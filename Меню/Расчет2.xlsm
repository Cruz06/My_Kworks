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orutkovskaya\аа\Кворк\Меню\"/>
    </mc:Choice>
  </mc:AlternateContent>
  <xr:revisionPtr revIDLastSave="0" documentId="13_ncr:1_{3784B891-E32D-4D92-81FB-7430CD825730}" xr6:coauthVersionLast="47" xr6:coauthVersionMax="47" xr10:uidLastSave="{00000000-0000-0000-0000-000000000000}"/>
  <bookViews>
    <workbookView xWindow="-120" yWindow="-120" windowWidth="29040" windowHeight="15720" tabRatio="689" activeTab="1" xr2:uid="{00000000-000D-0000-FFFF-FFFF00000000}"/>
  </bookViews>
  <sheets>
    <sheet name="Обложка" sheetId="1" r:id="rId1"/>
    <sheet name="Меню" sheetId="5" r:id="rId2"/>
    <sheet name="Проверка норм" sheetId="16" r:id="rId3"/>
    <sheet name="Лист3 учет" sheetId="2" r:id="rId4"/>
    <sheet name="Сводная" sheetId="15" r:id="rId5"/>
    <sheet name="Акт" sheetId="6" r:id="rId6"/>
    <sheet name="инфо" sheetId="3" r:id="rId7"/>
    <sheet name="Лист3 печать" sheetId="4" r:id="rId8"/>
  </sheets>
  <definedNames>
    <definedName name="_xlnm._FilterDatabase" localSheetId="6" hidden="1">инфо!$A$1:$AP$4527</definedName>
    <definedName name="_xlnm._FilterDatabase" localSheetId="7" hidden="1">'Лист3 печать'!$A$10:$QM$215</definedName>
    <definedName name="_xlnm._FilterDatabase" localSheetId="3" hidden="1">'Лист3 учет'!$A$1:$Q$913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C286" i="5" l="1"/>
  <c r="FB286" i="5"/>
  <c r="FA286" i="5"/>
  <c r="EZ286" i="5"/>
  <c r="EY286" i="5"/>
  <c r="EX286" i="5"/>
  <c r="EW286" i="5"/>
  <c r="EV286" i="5"/>
  <c r="EU286" i="5"/>
  <c r="ET286" i="5"/>
  <c r="ES286" i="5"/>
  <c r="ER286" i="5"/>
  <c r="EQ286" i="5"/>
  <c r="EP286" i="5"/>
  <c r="EO286" i="5"/>
  <c r="EN286" i="5"/>
  <c r="EM286" i="5"/>
  <c r="EL286" i="5"/>
  <c r="EK286" i="5"/>
  <c r="EJ286" i="5"/>
  <c r="EI286" i="5"/>
  <c r="EH286" i="5"/>
  <c r="EG286" i="5"/>
  <c r="EF286" i="5"/>
  <c r="EE286" i="5"/>
  <c r="ED286" i="5"/>
  <c r="EC286" i="5"/>
  <c r="EB286" i="5"/>
  <c r="EA286" i="5"/>
  <c r="DZ286" i="5"/>
  <c r="DY286" i="5"/>
  <c r="DX286" i="5"/>
  <c r="DW286" i="5"/>
  <c r="DV286" i="5"/>
  <c r="DU286" i="5"/>
  <c r="DT286" i="5"/>
  <c r="DS286" i="5"/>
  <c r="DR286" i="5"/>
  <c r="DQ286" i="5"/>
  <c r="DP286" i="5"/>
  <c r="DO286" i="5"/>
  <c r="DN286" i="5"/>
  <c r="DM286" i="5"/>
  <c r="DL286" i="5"/>
  <c r="DK286" i="5"/>
  <c r="DJ286" i="5"/>
  <c r="DI286" i="5"/>
  <c r="DH286" i="5"/>
  <c r="DG286" i="5"/>
  <c r="DF286" i="5"/>
  <c r="DE286" i="5"/>
  <c r="DD286" i="5"/>
  <c r="DC286" i="5"/>
  <c r="DB286" i="5"/>
  <c r="DA286" i="5"/>
  <c r="CZ286" i="5"/>
  <c r="CY286" i="5"/>
  <c r="CX286" i="5"/>
  <c r="CW286" i="5"/>
  <c r="CV286" i="5"/>
  <c r="CU286" i="5"/>
  <c r="CT286" i="5"/>
  <c r="CS286" i="5"/>
  <c r="CR286" i="5"/>
  <c r="CQ286" i="5"/>
  <c r="CP286" i="5"/>
  <c r="CO286" i="5"/>
  <c r="CN286" i="5"/>
  <c r="CM286" i="5"/>
  <c r="CL286" i="5"/>
  <c r="CK286" i="5"/>
  <c r="CJ286" i="5"/>
  <c r="CI286" i="5"/>
  <c r="CH286" i="5"/>
  <c r="CG286" i="5"/>
  <c r="CF286" i="5"/>
  <c r="CE286" i="5"/>
  <c r="CD286" i="5"/>
  <c r="CC286" i="5"/>
  <c r="CB286" i="5"/>
  <c r="CA286" i="5"/>
  <c r="BZ286" i="5"/>
  <c r="BY286" i="5"/>
  <c r="BX286" i="5"/>
  <c r="BW286" i="5"/>
  <c r="BV286" i="5"/>
  <c r="BU286" i="5"/>
  <c r="BT286" i="5"/>
  <c r="BS286" i="5"/>
  <c r="BR286" i="5"/>
  <c r="BQ286" i="5"/>
  <c r="BP286" i="5"/>
  <c r="BO286" i="5"/>
  <c r="BN286" i="5"/>
  <c r="BM286" i="5"/>
  <c r="BL286" i="5"/>
  <c r="BK286" i="5"/>
  <c r="BJ286" i="5"/>
  <c r="BI286" i="5"/>
  <c r="BH286" i="5"/>
  <c r="BG286" i="5"/>
  <c r="BF286" i="5"/>
  <c r="BE286" i="5"/>
  <c r="BD286" i="5"/>
  <c r="BC286" i="5"/>
  <c r="BB286" i="5"/>
  <c r="BA286" i="5"/>
  <c r="AZ286" i="5"/>
  <c r="AY286" i="5"/>
  <c r="AX286" i="5"/>
  <c r="AW286" i="5"/>
  <c r="AV286" i="5"/>
  <c r="AU286" i="5"/>
  <c r="AT286" i="5"/>
  <c r="AS286" i="5"/>
  <c r="AR286" i="5"/>
  <c r="AQ286" i="5"/>
  <c r="AP286" i="5"/>
  <c r="AO286" i="5"/>
  <c r="AN286" i="5"/>
  <c r="AM286" i="5"/>
  <c r="AL286" i="5"/>
  <c r="AK286" i="5"/>
  <c r="AJ286" i="5"/>
  <c r="AI286" i="5"/>
  <c r="AH286" i="5"/>
  <c r="AG286" i="5"/>
  <c r="AF286" i="5"/>
  <c r="AE286" i="5"/>
  <c r="AD286" i="5"/>
  <c r="AC286" i="5"/>
  <c r="AB286" i="5"/>
  <c r="AA286" i="5"/>
  <c r="Z286" i="5"/>
  <c r="Y286" i="5"/>
  <c r="X286" i="5"/>
  <c r="W286" i="5"/>
  <c r="V286" i="5"/>
  <c r="U286" i="5"/>
  <c r="T286" i="5"/>
  <c r="S286" i="5"/>
  <c r="R286" i="5"/>
  <c r="Q286" i="5"/>
  <c r="P286" i="5"/>
  <c r="O286" i="5"/>
  <c r="N286" i="5"/>
  <c r="M286" i="5"/>
  <c r="L286" i="5"/>
  <c r="K286" i="5"/>
  <c r="J286" i="5"/>
  <c r="FC241" i="5"/>
  <c r="FB241" i="5"/>
  <c r="FA241" i="5"/>
  <c r="EZ241" i="5"/>
  <c r="EY241" i="5"/>
  <c r="EX241" i="5"/>
  <c r="EW241" i="5"/>
  <c r="EV241" i="5"/>
  <c r="EU241" i="5"/>
  <c r="ET241" i="5"/>
  <c r="ES241" i="5"/>
  <c r="ER241" i="5"/>
  <c r="EQ241" i="5"/>
  <c r="EP241" i="5"/>
  <c r="EO241" i="5"/>
  <c r="EN241" i="5"/>
  <c r="EM241" i="5"/>
  <c r="EL241" i="5"/>
  <c r="EK241" i="5"/>
  <c r="EJ241" i="5"/>
  <c r="EI241" i="5"/>
  <c r="EH241" i="5"/>
  <c r="EG241" i="5"/>
  <c r="EF241" i="5"/>
  <c r="EE241" i="5"/>
  <c r="ED241" i="5"/>
  <c r="EC241" i="5"/>
  <c r="EB241" i="5"/>
  <c r="EA241" i="5"/>
  <c r="DZ241" i="5"/>
  <c r="DY241" i="5"/>
  <c r="DX241" i="5"/>
  <c r="DW241" i="5"/>
  <c r="DV241" i="5"/>
  <c r="DU241" i="5"/>
  <c r="DT241" i="5"/>
  <c r="DS241" i="5"/>
  <c r="DR241" i="5"/>
  <c r="DQ241" i="5"/>
  <c r="DP241" i="5"/>
  <c r="DO241" i="5"/>
  <c r="DN241" i="5"/>
  <c r="DM241" i="5"/>
  <c r="DL241" i="5"/>
  <c r="DK241" i="5"/>
  <c r="DJ241" i="5"/>
  <c r="DI241" i="5"/>
  <c r="DH241" i="5"/>
  <c r="DG241" i="5"/>
  <c r="DF241" i="5"/>
  <c r="DE241" i="5"/>
  <c r="DD241" i="5"/>
  <c r="DC241" i="5"/>
  <c r="DB241" i="5"/>
  <c r="DA241" i="5"/>
  <c r="CZ241" i="5"/>
  <c r="CY241" i="5"/>
  <c r="CX241" i="5"/>
  <c r="CW241" i="5"/>
  <c r="CV241" i="5"/>
  <c r="CU241" i="5"/>
  <c r="CT241" i="5"/>
  <c r="CS241" i="5"/>
  <c r="CR241" i="5"/>
  <c r="CQ241" i="5"/>
  <c r="CP241" i="5"/>
  <c r="CO241" i="5"/>
  <c r="CN241" i="5"/>
  <c r="CM241" i="5"/>
  <c r="CL241" i="5"/>
  <c r="CK241" i="5"/>
  <c r="CJ241" i="5"/>
  <c r="CI241" i="5"/>
  <c r="CH241" i="5"/>
  <c r="CG241" i="5"/>
  <c r="CF241" i="5"/>
  <c r="CE241" i="5"/>
  <c r="CD241" i="5"/>
  <c r="CC241" i="5"/>
  <c r="CB241" i="5"/>
  <c r="CA241" i="5"/>
  <c r="BZ241" i="5"/>
  <c r="BY241" i="5"/>
  <c r="BX241" i="5"/>
  <c r="BW241" i="5"/>
  <c r="BV241" i="5"/>
  <c r="BU241" i="5"/>
  <c r="BT241" i="5"/>
  <c r="BS241" i="5"/>
  <c r="BR241" i="5"/>
  <c r="BQ241" i="5"/>
  <c r="BP241" i="5"/>
  <c r="BO241" i="5"/>
  <c r="BN241" i="5"/>
  <c r="BM241" i="5"/>
  <c r="BL241" i="5"/>
  <c r="BK241" i="5"/>
  <c r="BJ241" i="5"/>
  <c r="BI241" i="5"/>
  <c r="BH241" i="5"/>
  <c r="BG241" i="5"/>
  <c r="BF241" i="5"/>
  <c r="BE241" i="5"/>
  <c r="BD241" i="5"/>
  <c r="BC241" i="5"/>
  <c r="BB241" i="5"/>
  <c r="BA241" i="5"/>
  <c r="AZ241" i="5"/>
  <c r="AY241" i="5"/>
  <c r="AX241" i="5"/>
  <c r="AW241" i="5"/>
  <c r="AV241" i="5"/>
  <c r="AU241" i="5"/>
  <c r="AT241" i="5"/>
  <c r="AS241" i="5"/>
  <c r="AR241" i="5"/>
  <c r="AQ241" i="5"/>
  <c r="AP241" i="5"/>
  <c r="AO241" i="5"/>
  <c r="AN241" i="5"/>
  <c r="AM241" i="5"/>
  <c r="AL241" i="5"/>
  <c r="AK241" i="5"/>
  <c r="AJ241" i="5"/>
  <c r="AI241" i="5"/>
  <c r="AH241" i="5"/>
  <c r="AG241" i="5"/>
  <c r="AF241" i="5"/>
  <c r="AE241" i="5"/>
  <c r="AD241" i="5"/>
  <c r="AC241" i="5"/>
  <c r="AB241" i="5"/>
  <c r="AA241" i="5"/>
  <c r="Z241" i="5"/>
  <c r="Y241" i="5"/>
  <c r="X241" i="5"/>
  <c r="W241" i="5"/>
  <c r="V241" i="5"/>
  <c r="U241" i="5"/>
  <c r="T241" i="5"/>
  <c r="S241" i="5"/>
  <c r="R241" i="5"/>
  <c r="Q241" i="5"/>
  <c r="P241" i="5"/>
  <c r="O241" i="5"/>
  <c r="N241" i="5"/>
  <c r="M241" i="5"/>
  <c r="L241" i="5"/>
  <c r="K241" i="5"/>
  <c r="J241" i="5"/>
  <c r="FC281" i="5"/>
  <c r="FB281" i="5"/>
  <c r="FA281" i="5"/>
  <c r="EZ281" i="5"/>
  <c r="EY281" i="5"/>
  <c r="EX281" i="5"/>
  <c r="EW281" i="5"/>
  <c r="EV281" i="5"/>
  <c r="EU281" i="5"/>
  <c r="ET281" i="5"/>
  <c r="ES281" i="5"/>
  <c r="ER281" i="5"/>
  <c r="EQ281" i="5"/>
  <c r="EP281" i="5"/>
  <c r="EO281" i="5"/>
  <c r="EN281" i="5"/>
  <c r="EM281" i="5"/>
  <c r="EL281" i="5"/>
  <c r="EK281" i="5"/>
  <c r="EJ281" i="5"/>
  <c r="EI281" i="5"/>
  <c r="EH281" i="5"/>
  <c r="EG281" i="5"/>
  <c r="EF281" i="5"/>
  <c r="EE281" i="5"/>
  <c r="ED281" i="5"/>
  <c r="EC281" i="5"/>
  <c r="EB281" i="5"/>
  <c r="EA281" i="5"/>
  <c r="DZ281" i="5"/>
  <c r="DY281" i="5"/>
  <c r="DX281" i="5"/>
  <c r="DW281" i="5"/>
  <c r="DV281" i="5"/>
  <c r="DU281" i="5"/>
  <c r="DT281" i="5"/>
  <c r="DS281" i="5"/>
  <c r="DR281" i="5"/>
  <c r="DQ281" i="5"/>
  <c r="DP281" i="5"/>
  <c r="DO281" i="5"/>
  <c r="DN281" i="5"/>
  <c r="DM281" i="5"/>
  <c r="DL281" i="5"/>
  <c r="DK281" i="5"/>
  <c r="DJ281" i="5"/>
  <c r="DI281" i="5"/>
  <c r="DH281" i="5"/>
  <c r="DG281" i="5"/>
  <c r="DF281" i="5"/>
  <c r="DE281" i="5"/>
  <c r="DD281" i="5"/>
  <c r="DC281" i="5"/>
  <c r="DB281" i="5"/>
  <c r="DA281" i="5"/>
  <c r="CZ281" i="5"/>
  <c r="CY281" i="5"/>
  <c r="CX281" i="5"/>
  <c r="CW281" i="5"/>
  <c r="CV281" i="5"/>
  <c r="CU281" i="5"/>
  <c r="CT281" i="5"/>
  <c r="CS281" i="5"/>
  <c r="CR281" i="5"/>
  <c r="CQ281" i="5"/>
  <c r="CP281" i="5"/>
  <c r="CO281" i="5"/>
  <c r="CN281" i="5"/>
  <c r="CM281" i="5"/>
  <c r="CL281" i="5"/>
  <c r="CK281" i="5"/>
  <c r="CJ281" i="5"/>
  <c r="CI281" i="5"/>
  <c r="CH281" i="5"/>
  <c r="CG281" i="5"/>
  <c r="CF281" i="5"/>
  <c r="CE281" i="5"/>
  <c r="CD281" i="5"/>
  <c r="CC281" i="5"/>
  <c r="CB281" i="5"/>
  <c r="CA281" i="5"/>
  <c r="BZ281" i="5"/>
  <c r="BY281" i="5"/>
  <c r="BX281" i="5"/>
  <c r="BW281" i="5"/>
  <c r="BV281" i="5"/>
  <c r="BU281" i="5"/>
  <c r="BT281" i="5"/>
  <c r="BS281" i="5"/>
  <c r="BR281" i="5"/>
  <c r="BQ281" i="5"/>
  <c r="BP281" i="5"/>
  <c r="BO281" i="5"/>
  <c r="BN281" i="5"/>
  <c r="BM281" i="5"/>
  <c r="BL281" i="5"/>
  <c r="BK281" i="5"/>
  <c r="BJ281" i="5"/>
  <c r="BI281" i="5"/>
  <c r="BH281" i="5"/>
  <c r="BG281" i="5"/>
  <c r="BF281" i="5"/>
  <c r="BE281" i="5"/>
  <c r="BD281" i="5"/>
  <c r="BC281" i="5"/>
  <c r="BB281" i="5"/>
  <c r="BA281" i="5"/>
  <c r="AZ281" i="5"/>
  <c r="AY281" i="5"/>
  <c r="AX281" i="5"/>
  <c r="AW281" i="5"/>
  <c r="AV281" i="5"/>
  <c r="AU281" i="5"/>
  <c r="AT281" i="5"/>
  <c r="AS281" i="5"/>
  <c r="AR281" i="5"/>
  <c r="AQ281" i="5"/>
  <c r="AP281" i="5"/>
  <c r="AO281" i="5"/>
  <c r="AN281" i="5"/>
  <c r="AM281" i="5"/>
  <c r="AL281" i="5"/>
  <c r="AK281" i="5"/>
  <c r="AJ281" i="5"/>
  <c r="AI281" i="5"/>
  <c r="AH281" i="5"/>
  <c r="AG281" i="5"/>
  <c r="AF281" i="5"/>
  <c r="AE281" i="5"/>
  <c r="AD281" i="5"/>
  <c r="AC281" i="5"/>
  <c r="AB281" i="5"/>
  <c r="AA281" i="5"/>
  <c r="Z281" i="5"/>
  <c r="Y281" i="5"/>
  <c r="X281" i="5"/>
  <c r="W281" i="5"/>
  <c r="V281" i="5"/>
  <c r="U281" i="5"/>
  <c r="T281" i="5"/>
  <c r="S281" i="5"/>
  <c r="R281" i="5"/>
  <c r="Q281" i="5"/>
  <c r="P281" i="5"/>
  <c r="O281" i="5"/>
  <c r="N281" i="5"/>
  <c r="M281" i="5"/>
  <c r="L281" i="5"/>
  <c r="K281" i="5"/>
  <c r="J281" i="5"/>
  <c r="FC236" i="5"/>
  <c r="FB236" i="5"/>
  <c r="FA236" i="5"/>
  <c r="EZ236" i="5"/>
  <c r="EY236" i="5"/>
  <c r="EX236" i="5"/>
  <c r="EW236" i="5"/>
  <c r="EV236" i="5"/>
  <c r="EU236" i="5"/>
  <c r="ET236" i="5"/>
  <c r="ES236" i="5"/>
  <c r="ER236" i="5"/>
  <c r="EQ236" i="5"/>
  <c r="EP236" i="5"/>
  <c r="EO236" i="5"/>
  <c r="EN236" i="5"/>
  <c r="EM236" i="5"/>
  <c r="EL236" i="5"/>
  <c r="EK236" i="5"/>
  <c r="EJ236" i="5"/>
  <c r="EI236" i="5"/>
  <c r="EH236" i="5"/>
  <c r="EG236" i="5"/>
  <c r="EF236" i="5"/>
  <c r="EE236" i="5"/>
  <c r="ED236" i="5"/>
  <c r="EC236" i="5"/>
  <c r="EB236" i="5"/>
  <c r="EA236" i="5"/>
  <c r="DZ236" i="5"/>
  <c r="DY236" i="5"/>
  <c r="DX236" i="5"/>
  <c r="DW236" i="5"/>
  <c r="DV236" i="5"/>
  <c r="DU236" i="5"/>
  <c r="DT236" i="5"/>
  <c r="DS236" i="5"/>
  <c r="DR236" i="5"/>
  <c r="DQ236" i="5"/>
  <c r="DP236" i="5"/>
  <c r="DO236" i="5"/>
  <c r="DN236" i="5"/>
  <c r="DM236" i="5"/>
  <c r="DL236" i="5"/>
  <c r="DK236" i="5"/>
  <c r="DJ236" i="5"/>
  <c r="DI236" i="5"/>
  <c r="DH236" i="5"/>
  <c r="DG236" i="5"/>
  <c r="DF236" i="5"/>
  <c r="DE236" i="5"/>
  <c r="DD236" i="5"/>
  <c r="DC236" i="5"/>
  <c r="DB236" i="5"/>
  <c r="DA236" i="5"/>
  <c r="CZ236" i="5"/>
  <c r="CY236" i="5"/>
  <c r="CX236" i="5"/>
  <c r="CW236" i="5"/>
  <c r="CV236" i="5"/>
  <c r="CU236" i="5"/>
  <c r="CT236" i="5"/>
  <c r="CS236" i="5"/>
  <c r="CR236" i="5"/>
  <c r="CQ236" i="5"/>
  <c r="CP236" i="5"/>
  <c r="CO236" i="5"/>
  <c r="CN236" i="5"/>
  <c r="CM236" i="5"/>
  <c r="CL236" i="5"/>
  <c r="CK236" i="5"/>
  <c r="CJ236" i="5"/>
  <c r="CI236" i="5"/>
  <c r="CH236" i="5"/>
  <c r="CG236" i="5"/>
  <c r="CF236" i="5"/>
  <c r="CE236" i="5"/>
  <c r="CD236" i="5"/>
  <c r="CC236" i="5"/>
  <c r="CB236" i="5"/>
  <c r="CA236" i="5"/>
  <c r="BZ236" i="5"/>
  <c r="BY236" i="5"/>
  <c r="BX236" i="5"/>
  <c r="BW236" i="5"/>
  <c r="BV236" i="5"/>
  <c r="BU236" i="5"/>
  <c r="BT236" i="5"/>
  <c r="BS236" i="5"/>
  <c r="BR236" i="5"/>
  <c r="BQ236" i="5"/>
  <c r="BP236" i="5"/>
  <c r="BO236" i="5"/>
  <c r="BN236" i="5"/>
  <c r="BM236" i="5"/>
  <c r="BL236" i="5"/>
  <c r="BK236" i="5"/>
  <c r="BJ236" i="5"/>
  <c r="BI236" i="5"/>
  <c r="BH236" i="5"/>
  <c r="BG236" i="5"/>
  <c r="BF236" i="5"/>
  <c r="BE236" i="5"/>
  <c r="BD236" i="5"/>
  <c r="BC236" i="5"/>
  <c r="BB236" i="5"/>
  <c r="BA236" i="5"/>
  <c r="AZ236" i="5"/>
  <c r="AY236" i="5"/>
  <c r="AX236" i="5"/>
  <c r="AW236" i="5"/>
  <c r="AV236" i="5"/>
  <c r="AU236" i="5"/>
  <c r="AT236" i="5"/>
  <c r="AS236" i="5"/>
  <c r="AR236" i="5"/>
  <c r="AQ236" i="5"/>
  <c r="AP236" i="5"/>
  <c r="AO236" i="5"/>
  <c r="AN236" i="5"/>
  <c r="AM236" i="5"/>
  <c r="AL236" i="5"/>
  <c r="AK236" i="5"/>
  <c r="AJ236" i="5"/>
  <c r="AI236" i="5"/>
  <c r="AH236" i="5"/>
  <c r="AG236" i="5"/>
  <c r="AF236" i="5"/>
  <c r="AE236" i="5"/>
  <c r="AD236" i="5"/>
  <c r="AC236" i="5"/>
  <c r="AB236" i="5"/>
  <c r="AA236" i="5"/>
  <c r="Z236" i="5"/>
  <c r="Y236" i="5"/>
  <c r="X236" i="5"/>
  <c r="W236" i="5"/>
  <c r="V236" i="5"/>
  <c r="U236" i="5"/>
  <c r="T236" i="5"/>
  <c r="S236" i="5"/>
  <c r="R236" i="5"/>
  <c r="Q236" i="5"/>
  <c r="P236" i="5"/>
  <c r="O236" i="5"/>
  <c r="N236" i="5"/>
  <c r="M236" i="5"/>
  <c r="L236" i="5"/>
  <c r="K236" i="5"/>
  <c r="J236" i="5"/>
  <c r="FC268" i="5"/>
  <c r="FB268" i="5"/>
  <c r="FA268" i="5"/>
  <c r="EZ268" i="5"/>
  <c r="EY268" i="5"/>
  <c r="EX268" i="5"/>
  <c r="EW268" i="5"/>
  <c r="EV268" i="5"/>
  <c r="EU268" i="5"/>
  <c r="ET268" i="5"/>
  <c r="ES268" i="5"/>
  <c r="ER268" i="5"/>
  <c r="EQ268" i="5"/>
  <c r="EP268" i="5"/>
  <c r="EO268" i="5"/>
  <c r="EN268" i="5"/>
  <c r="EM268" i="5"/>
  <c r="EL268" i="5"/>
  <c r="EK268" i="5"/>
  <c r="EJ268" i="5"/>
  <c r="EI268" i="5"/>
  <c r="EH268" i="5"/>
  <c r="EG268" i="5"/>
  <c r="EF268" i="5"/>
  <c r="EE268" i="5"/>
  <c r="ED268" i="5"/>
  <c r="EC268" i="5"/>
  <c r="EB268" i="5"/>
  <c r="EA268" i="5"/>
  <c r="DZ268" i="5"/>
  <c r="DY268" i="5"/>
  <c r="DX268" i="5"/>
  <c r="DW268" i="5"/>
  <c r="DV268" i="5"/>
  <c r="DU268" i="5"/>
  <c r="DT268" i="5"/>
  <c r="DS268" i="5"/>
  <c r="DR268" i="5"/>
  <c r="DQ268" i="5"/>
  <c r="DP268" i="5"/>
  <c r="DO268" i="5"/>
  <c r="DN268" i="5"/>
  <c r="DM268" i="5"/>
  <c r="DL268" i="5"/>
  <c r="DK268" i="5"/>
  <c r="DJ268" i="5"/>
  <c r="DI268" i="5"/>
  <c r="DH268" i="5"/>
  <c r="DG268" i="5"/>
  <c r="DF268" i="5"/>
  <c r="DE268" i="5"/>
  <c r="DD268" i="5"/>
  <c r="DC268" i="5"/>
  <c r="DB268" i="5"/>
  <c r="DA268" i="5"/>
  <c r="CZ268" i="5"/>
  <c r="CY268" i="5"/>
  <c r="CX268" i="5"/>
  <c r="CW268" i="5"/>
  <c r="CV268" i="5"/>
  <c r="CU268" i="5"/>
  <c r="CT268" i="5"/>
  <c r="CS268" i="5"/>
  <c r="CR268" i="5"/>
  <c r="CQ268" i="5"/>
  <c r="CP268" i="5"/>
  <c r="CO268" i="5"/>
  <c r="CN268" i="5"/>
  <c r="CM268" i="5"/>
  <c r="CL268" i="5"/>
  <c r="CK268" i="5"/>
  <c r="CJ268" i="5"/>
  <c r="CI268" i="5"/>
  <c r="CH268" i="5"/>
  <c r="CG268" i="5"/>
  <c r="CF268" i="5"/>
  <c r="CE268" i="5"/>
  <c r="CD268" i="5"/>
  <c r="CC268" i="5"/>
  <c r="CB268" i="5"/>
  <c r="CA268" i="5"/>
  <c r="BZ268" i="5"/>
  <c r="BY268" i="5"/>
  <c r="BX268" i="5"/>
  <c r="BW268" i="5"/>
  <c r="BV268" i="5"/>
  <c r="BU268" i="5"/>
  <c r="BT268" i="5"/>
  <c r="BS268" i="5"/>
  <c r="BR268" i="5"/>
  <c r="BQ268" i="5"/>
  <c r="BP268" i="5"/>
  <c r="BO268" i="5"/>
  <c r="BN268" i="5"/>
  <c r="BM268" i="5"/>
  <c r="BL268" i="5"/>
  <c r="BK268" i="5"/>
  <c r="BJ268" i="5"/>
  <c r="BI268" i="5"/>
  <c r="BH268" i="5"/>
  <c r="BG268" i="5"/>
  <c r="BF268" i="5"/>
  <c r="BE268" i="5"/>
  <c r="BD268" i="5"/>
  <c r="BC268" i="5"/>
  <c r="BB268" i="5"/>
  <c r="BA268" i="5"/>
  <c r="AZ268" i="5"/>
  <c r="AY268" i="5"/>
  <c r="AX268" i="5"/>
  <c r="AW268" i="5"/>
  <c r="AV268" i="5"/>
  <c r="AU268" i="5"/>
  <c r="AT268" i="5"/>
  <c r="AS268" i="5"/>
  <c r="AR268" i="5"/>
  <c r="AQ268" i="5"/>
  <c r="AP268" i="5"/>
  <c r="AO268" i="5"/>
  <c r="AN268" i="5"/>
  <c r="AM268" i="5"/>
  <c r="AL268" i="5"/>
  <c r="AK268" i="5"/>
  <c r="AJ268" i="5"/>
  <c r="AI268" i="5"/>
  <c r="AH268" i="5"/>
  <c r="AG268" i="5"/>
  <c r="AF268" i="5"/>
  <c r="AE268" i="5"/>
  <c r="AD268" i="5"/>
  <c r="AC268" i="5"/>
  <c r="AB268" i="5"/>
  <c r="AA268" i="5"/>
  <c r="Z268" i="5"/>
  <c r="Y268" i="5"/>
  <c r="X268" i="5"/>
  <c r="W268" i="5"/>
  <c r="V268" i="5"/>
  <c r="U268" i="5"/>
  <c r="T268" i="5"/>
  <c r="S268" i="5"/>
  <c r="R268" i="5"/>
  <c r="Q268" i="5"/>
  <c r="P268" i="5"/>
  <c r="O268" i="5"/>
  <c r="N268" i="5"/>
  <c r="M268" i="5"/>
  <c r="L268" i="5"/>
  <c r="K268" i="5"/>
  <c r="J268" i="5"/>
  <c r="FC223" i="5"/>
  <c r="FB223" i="5"/>
  <c r="FA223" i="5"/>
  <c r="EZ223" i="5"/>
  <c r="EY223" i="5"/>
  <c r="EX223" i="5"/>
  <c r="EW223" i="5"/>
  <c r="EV223" i="5"/>
  <c r="EU223" i="5"/>
  <c r="ET223" i="5"/>
  <c r="ES223" i="5"/>
  <c r="ER223" i="5"/>
  <c r="EQ223" i="5"/>
  <c r="EP223" i="5"/>
  <c r="EO223" i="5"/>
  <c r="EN223" i="5"/>
  <c r="EM223" i="5"/>
  <c r="EL223" i="5"/>
  <c r="EK223" i="5"/>
  <c r="EJ223" i="5"/>
  <c r="EI223" i="5"/>
  <c r="EH223" i="5"/>
  <c r="EG223" i="5"/>
  <c r="EF223" i="5"/>
  <c r="EE223" i="5"/>
  <c r="ED223" i="5"/>
  <c r="EC223" i="5"/>
  <c r="EB223" i="5"/>
  <c r="EA223" i="5"/>
  <c r="DZ223" i="5"/>
  <c r="DY223" i="5"/>
  <c r="DX223" i="5"/>
  <c r="DW223" i="5"/>
  <c r="DV223" i="5"/>
  <c r="DU223" i="5"/>
  <c r="DT223" i="5"/>
  <c r="DS223" i="5"/>
  <c r="DR223" i="5"/>
  <c r="DQ223" i="5"/>
  <c r="DP223" i="5"/>
  <c r="DO223" i="5"/>
  <c r="DN223" i="5"/>
  <c r="DM223" i="5"/>
  <c r="DL223" i="5"/>
  <c r="DK223" i="5"/>
  <c r="DJ223" i="5"/>
  <c r="DI223" i="5"/>
  <c r="DH223" i="5"/>
  <c r="DG223" i="5"/>
  <c r="DF223" i="5"/>
  <c r="DE223" i="5"/>
  <c r="DD223" i="5"/>
  <c r="DC223" i="5"/>
  <c r="DB223" i="5"/>
  <c r="DA223" i="5"/>
  <c r="CZ223" i="5"/>
  <c r="CY223" i="5"/>
  <c r="CX223" i="5"/>
  <c r="CW223" i="5"/>
  <c r="CV223" i="5"/>
  <c r="CU223" i="5"/>
  <c r="CT223" i="5"/>
  <c r="CS223" i="5"/>
  <c r="CR223" i="5"/>
  <c r="CQ223" i="5"/>
  <c r="CP223" i="5"/>
  <c r="CO223" i="5"/>
  <c r="CN223" i="5"/>
  <c r="CM223" i="5"/>
  <c r="CL223" i="5"/>
  <c r="CK223" i="5"/>
  <c r="CJ223" i="5"/>
  <c r="CI223" i="5"/>
  <c r="CH223" i="5"/>
  <c r="CG223" i="5"/>
  <c r="CF223" i="5"/>
  <c r="CE223" i="5"/>
  <c r="CD223" i="5"/>
  <c r="CC223" i="5"/>
  <c r="CB223" i="5"/>
  <c r="CA223" i="5"/>
  <c r="BZ223" i="5"/>
  <c r="BY223" i="5"/>
  <c r="BX223" i="5"/>
  <c r="BW223" i="5"/>
  <c r="BV223" i="5"/>
  <c r="BU223" i="5"/>
  <c r="BT223" i="5"/>
  <c r="BS223" i="5"/>
  <c r="BR223" i="5"/>
  <c r="BQ223" i="5"/>
  <c r="BP223" i="5"/>
  <c r="BO223" i="5"/>
  <c r="BN223" i="5"/>
  <c r="BM223" i="5"/>
  <c r="BL223" i="5"/>
  <c r="BK223" i="5"/>
  <c r="BJ223" i="5"/>
  <c r="BI223" i="5"/>
  <c r="BH223" i="5"/>
  <c r="BG223" i="5"/>
  <c r="BF223" i="5"/>
  <c r="BE223" i="5"/>
  <c r="BD223" i="5"/>
  <c r="BC223" i="5"/>
  <c r="BB223" i="5"/>
  <c r="BA223" i="5"/>
  <c r="AZ223" i="5"/>
  <c r="AY223" i="5"/>
  <c r="AX223" i="5"/>
  <c r="AW223" i="5"/>
  <c r="AV223" i="5"/>
  <c r="AU223" i="5"/>
  <c r="AT223" i="5"/>
  <c r="AS223" i="5"/>
  <c r="AR223" i="5"/>
  <c r="AQ223" i="5"/>
  <c r="AP223" i="5"/>
  <c r="AO223" i="5"/>
  <c r="AN223" i="5"/>
  <c r="AM223" i="5"/>
  <c r="AL223" i="5"/>
  <c r="AK223" i="5"/>
  <c r="AJ223" i="5"/>
  <c r="AI223" i="5"/>
  <c r="AH223" i="5"/>
  <c r="AG223" i="5"/>
  <c r="AF223" i="5"/>
  <c r="AE223" i="5"/>
  <c r="AD223" i="5"/>
  <c r="AC223" i="5"/>
  <c r="AB223" i="5"/>
  <c r="AA223" i="5"/>
  <c r="Z223" i="5"/>
  <c r="Y223" i="5"/>
  <c r="X223" i="5"/>
  <c r="W223" i="5"/>
  <c r="V223" i="5"/>
  <c r="U223" i="5"/>
  <c r="T223" i="5"/>
  <c r="S223" i="5"/>
  <c r="R223" i="5"/>
  <c r="Q223" i="5"/>
  <c r="P223" i="5"/>
  <c r="O223" i="5"/>
  <c r="N223" i="5"/>
  <c r="M223" i="5"/>
  <c r="L223" i="5"/>
  <c r="K223" i="5"/>
  <c r="J223" i="5"/>
  <c r="FC253" i="5"/>
  <c r="FB253" i="5"/>
  <c r="FA253" i="5"/>
  <c r="EZ253" i="5"/>
  <c r="EZ287" i="5" s="1"/>
  <c r="EY253" i="5"/>
  <c r="EX253" i="5"/>
  <c r="EW253" i="5"/>
  <c r="EV253" i="5"/>
  <c r="EV287" i="5" s="1"/>
  <c r="EU253" i="5"/>
  <c r="ET253" i="5"/>
  <c r="ES253" i="5"/>
  <c r="ER253" i="5"/>
  <c r="ER287" i="5" s="1"/>
  <c r="EQ253" i="5"/>
  <c r="EP253" i="5"/>
  <c r="EO253" i="5"/>
  <c r="EN253" i="5"/>
  <c r="EN287" i="5" s="1"/>
  <c r="EM253" i="5"/>
  <c r="EL253" i="5"/>
  <c r="EK253" i="5"/>
  <c r="EJ253" i="5"/>
  <c r="EJ287" i="5" s="1"/>
  <c r="EI253" i="5"/>
  <c r="EH253" i="5"/>
  <c r="EG253" i="5"/>
  <c r="EF253" i="5"/>
  <c r="EF287" i="5" s="1"/>
  <c r="EE253" i="5"/>
  <c r="ED253" i="5"/>
  <c r="EC253" i="5"/>
  <c r="EB253" i="5"/>
  <c r="EB287" i="5" s="1"/>
  <c r="EA253" i="5"/>
  <c r="DZ253" i="5"/>
  <c r="DY253" i="5"/>
  <c r="DX253" i="5"/>
  <c r="DX287" i="5" s="1"/>
  <c r="DW253" i="5"/>
  <c r="DV253" i="5"/>
  <c r="DU253" i="5"/>
  <c r="DT253" i="5"/>
  <c r="DT287" i="5" s="1"/>
  <c r="DS253" i="5"/>
  <c r="DR253" i="5"/>
  <c r="DQ253" i="5"/>
  <c r="DP253" i="5"/>
  <c r="DP287" i="5" s="1"/>
  <c r="DO253" i="5"/>
  <c r="DN253" i="5"/>
  <c r="DM253" i="5"/>
  <c r="DL253" i="5"/>
  <c r="DL287" i="5" s="1"/>
  <c r="DK253" i="5"/>
  <c r="DJ253" i="5"/>
  <c r="DI253" i="5"/>
  <c r="DH253" i="5"/>
  <c r="DH287" i="5" s="1"/>
  <c r="DG253" i="5"/>
  <c r="DF253" i="5"/>
  <c r="DE253" i="5"/>
  <c r="DD253" i="5"/>
  <c r="DD287" i="5" s="1"/>
  <c r="DC253" i="5"/>
  <c r="DB253" i="5"/>
  <c r="DA253" i="5"/>
  <c r="CZ253" i="5"/>
  <c r="CZ287" i="5" s="1"/>
  <c r="CY253" i="5"/>
  <c r="CX253" i="5"/>
  <c r="CW253" i="5"/>
  <c r="CV253" i="5"/>
  <c r="CV287" i="5" s="1"/>
  <c r="CU253" i="5"/>
  <c r="CT253" i="5"/>
  <c r="CS253" i="5"/>
  <c r="CR253" i="5"/>
  <c r="CR287" i="5" s="1"/>
  <c r="CQ253" i="5"/>
  <c r="CP253" i="5"/>
  <c r="CO253" i="5"/>
  <c r="CN253" i="5"/>
  <c r="CN287" i="5" s="1"/>
  <c r="CM253" i="5"/>
  <c r="CL253" i="5"/>
  <c r="CK253" i="5"/>
  <c r="CJ253" i="5"/>
  <c r="CJ287" i="5" s="1"/>
  <c r="CI253" i="5"/>
  <c r="CH253" i="5"/>
  <c r="CG253" i="5"/>
  <c r="CF253" i="5"/>
  <c r="CF287" i="5" s="1"/>
  <c r="CE253" i="5"/>
  <c r="CD253" i="5"/>
  <c r="CC253" i="5"/>
  <c r="CB253" i="5"/>
  <c r="CB287" i="5" s="1"/>
  <c r="CA253" i="5"/>
  <c r="BZ253" i="5"/>
  <c r="BY253" i="5"/>
  <c r="BX253" i="5"/>
  <c r="BX287" i="5" s="1"/>
  <c r="BW253" i="5"/>
  <c r="BV253" i="5"/>
  <c r="BU253" i="5"/>
  <c r="BT253" i="5"/>
  <c r="BT287" i="5" s="1"/>
  <c r="BS253" i="5"/>
  <c r="BR253" i="5"/>
  <c r="BQ253" i="5"/>
  <c r="BP253" i="5"/>
  <c r="BP287" i="5" s="1"/>
  <c r="BO253" i="5"/>
  <c r="BN253" i="5"/>
  <c r="BM253" i="5"/>
  <c r="BL253" i="5"/>
  <c r="BL287" i="5" s="1"/>
  <c r="BK253" i="5"/>
  <c r="BJ253" i="5"/>
  <c r="BI253" i="5"/>
  <c r="BH253" i="5"/>
  <c r="BH287" i="5" s="1"/>
  <c r="BG253" i="5"/>
  <c r="BF253" i="5"/>
  <c r="BE253" i="5"/>
  <c r="BD253" i="5"/>
  <c r="BD287" i="5" s="1"/>
  <c r="BC253" i="5"/>
  <c r="BB253" i="5"/>
  <c r="BA253" i="5"/>
  <c r="AZ253" i="5"/>
  <c r="AZ287" i="5" s="1"/>
  <c r="AY253" i="5"/>
  <c r="AX253" i="5"/>
  <c r="AW253" i="5"/>
  <c r="AV253" i="5"/>
  <c r="AV287" i="5" s="1"/>
  <c r="AU253" i="5"/>
  <c r="AT253" i="5"/>
  <c r="AS253" i="5"/>
  <c r="AR253" i="5"/>
  <c r="AR287" i="5" s="1"/>
  <c r="AQ253" i="5"/>
  <c r="AP253" i="5"/>
  <c r="AO253" i="5"/>
  <c r="AN253" i="5"/>
  <c r="AN287" i="5" s="1"/>
  <c r="AM253" i="5"/>
  <c r="AL253" i="5"/>
  <c r="AK253" i="5"/>
  <c r="AJ253" i="5"/>
  <c r="AJ287" i="5" s="1"/>
  <c r="AI253" i="5"/>
  <c r="AH253" i="5"/>
  <c r="AG253" i="5"/>
  <c r="AF253" i="5"/>
  <c r="AF287" i="5" s="1"/>
  <c r="AE253" i="5"/>
  <c r="AD253" i="5"/>
  <c r="AC253" i="5"/>
  <c r="AB253" i="5"/>
  <c r="AB287" i="5" s="1"/>
  <c r="AA253" i="5"/>
  <c r="Z253" i="5"/>
  <c r="Y253" i="5"/>
  <c r="X253" i="5"/>
  <c r="X287" i="5" s="1"/>
  <c r="W253" i="5"/>
  <c r="V253" i="5"/>
  <c r="U253" i="5"/>
  <c r="T253" i="5"/>
  <c r="T287" i="5" s="1"/>
  <c r="S253" i="5"/>
  <c r="R253" i="5"/>
  <c r="Q253" i="5"/>
  <c r="P253" i="5"/>
  <c r="P287" i="5" s="1"/>
  <c r="O253" i="5"/>
  <c r="N253" i="5"/>
  <c r="M253" i="5"/>
  <c r="L253" i="5"/>
  <c r="L287" i="5" s="1"/>
  <c r="K253" i="5"/>
  <c r="J253" i="5"/>
  <c r="FC208" i="5"/>
  <c r="FB208" i="5"/>
  <c r="FA208" i="5"/>
  <c r="EZ208" i="5"/>
  <c r="EY208" i="5"/>
  <c r="EX208" i="5"/>
  <c r="EW208" i="5"/>
  <c r="EV208" i="5"/>
  <c r="EU208" i="5"/>
  <c r="ET208" i="5"/>
  <c r="ES208" i="5"/>
  <c r="ER208" i="5"/>
  <c r="EQ208" i="5"/>
  <c r="EP208" i="5"/>
  <c r="EO208" i="5"/>
  <c r="EN208" i="5"/>
  <c r="EM208" i="5"/>
  <c r="EL208" i="5"/>
  <c r="EK208" i="5"/>
  <c r="EJ208" i="5"/>
  <c r="EI208" i="5"/>
  <c r="EH208" i="5"/>
  <c r="EG208" i="5"/>
  <c r="EF208" i="5"/>
  <c r="EE208" i="5"/>
  <c r="ED208" i="5"/>
  <c r="EC208" i="5"/>
  <c r="EB208" i="5"/>
  <c r="EA208" i="5"/>
  <c r="DZ208" i="5"/>
  <c r="DY208" i="5"/>
  <c r="DX208" i="5"/>
  <c r="DW208" i="5"/>
  <c r="DV208" i="5"/>
  <c r="DU208" i="5"/>
  <c r="DT208" i="5"/>
  <c r="DS208" i="5"/>
  <c r="DR208" i="5"/>
  <c r="DQ208" i="5"/>
  <c r="DP208" i="5"/>
  <c r="DO208" i="5"/>
  <c r="DN208" i="5"/>
  <c r="DM208" i="5"/>
  <c r="DL208" i="5"/>
  <c r="DK208" i="5"/>
  <c r="DJ208" i="5"/>
  <c r="DI208" i="5"/>
  <c r="DH208" i="5"/>
  <c r="DG208" i="5"/>
  <c r="DF208" i="5"/>
  <c r="DE208" i="5"/>
  <c r="DD208" i="5"/>
  <c r="DC208" i="5"/>
  <c r="DB208" i="5"/>
  <c r="DA208" i="5"/>
  <c r="CZ208" i="5"/>
  <c r="CY208" i="5"/>
  <c r="CX208" i="5"/>
  <c r="CW208" i="5"/>
  <c r="CV208" i="5"/>
  <c r="CU208" i="5"/>
  <c r="CT208" i="5"/>
  <c r="CS208" i="5"/>
  <c r="CR208" i="5"/>
  <c r="CQ208" i="5"/>
  <c r="CP208" i="5"/>
  <c r="CO208" i="5"/>
  <c r="CN208" i="5"/>
  <c r="CM208" i="5"/>
  <c r="CL208" i="5"/>
  <c r="CK208" i="5"/>
  <c r="CJ208" i="5"/>
  <c r="CI208" i="5"/>
  <c r="CH208" i="5"/>
  <c r="CG208" i="5"/>
  <c r="CF208" i="5"/>
  <c r="CE208" i="5"/>
  <c r="CD208" i="5"/>
  <c r="CC208" i="5"/>
  <c r="CB208" i="5"/>
  <c r="CA208" i="5"/>
  <c r="BZ208" i="5"/>
  <c r="BY208" i="5"/>
  <c r="BX208" i="5"/>
  <c r="BW208" i="5"/>
  <c r="BV208" i="5"/>
  <c r="BU208" i="5"/>
  <c r="BT208" i="5"/>
  <c r="BS208" i="5"/>
  <c r="BR208" i="5"/>
  <c r="BQ208" i="5"/>
  <c r="BP208" i="5"/>
  <c r="BO208" i="5"/>
  <c r="BN208" i="5"/>
  <c r="BM208" i="5"/>
  <c r="BL208" i="5"/>
  <c r="BK208" i="5"/>
  <c r="BJ208" i="5"/>
  <c r="BI208" i="5"/>
  <c r="BH208" i="5"/>
  <c r="BG208" i="5"/>
  <c r="BF208" i="5"/>
  <c r="BE208" i="5"/>
  <c r="BD208" i="5"/>
  <c r="BC208" i="5"/>
  <c r="BB208" i="5"/>
  <c r="BA208" i="5"/>
  <c r="AZ208" i="5"/>
  <c r="AY208" i="5"/>
  <c r="AX208" i="5"/>
  <c r="AW208" i="5"/>
  <c r="AV208" i="5"/>
  <c r="AU208" i="5"/>
  <c r="AT208" i="5"/>
  <c r="AS208" i="5"/>
  <c r="AR208" i="5"/>
  <c r="AQ208" i="5"/>
  <c r="AP208" i="5"/>
  <c r="AO208" i="5"/>
  <c r="AN208" i="5"/>
  <c r="AM208" i="5"/>
  <c r="AL208" i="5"/>
  <c r="AK208" i="5"/>
  <c r="AJ208" i="5"/>
  <c r="AI208" i="5"/>
  <c r="AH208" i="5"/>
  <c r="AG208" i="5"/>
  <c r="AF208" i="5"/>
  <c r="AE208" i="5"/>
  <c r="AE242" i="5" s="1"/>
  <c r="AD208" i="5"/>
  <c r="AC208" i="5"/>
  <c r="AB208" i="5"/>
  <c r="AA208" i="5"/>
  <c r="AA242" i="5" s="1"/>
  <c r="Z208" i="5"/>
  <c r="Y208" i="5"/>
  <c r="X208" i="5"/>
  <c r="W208" i="5"/>
  <c r="W242" i="5" s="1"/>
  <c r="V208" i="5"/>
  <c r="U208" i="5"/>
  <c r="T208" i="5"/>
  <c r="S208" i="5"/>
  <c r="S242" i="5" s="1"/>
  <c r="R208" i="5"/>
  <c r="Q208" i="5"/>
  <c r="P208" i="5"/>
  <c r="O208" i="5"/>
  <c r="O242" i="5" s="1"/>
  <c r="N208" i="5"/>
  <c r="M208" i="5"/>
  <c r="L208" i="5"/>
  <c r="K208" i="5"/>
  <c r="K242" i="5" s="1"/>
  <c r="J208" i="5"/>
  <c r="AI242" i="5" l="1"/>
  <c r="J242" i="5"/>
  <c r="N242" i="5"/>
  <c r="AM242" i="5"/>
  <c r="AQ242" i="5"/>
  <c r="AU242" i="5"/>
  <c r="AY242" i="5"/>
  <c r="BC242" i="5"/>
  <c r="BG242" i="5"/>
  <c r="BK242" i="5"/>
  <c r="BO242" i="5"/>
  <c r="BS242" i="5"/>
  <c r="BW242" i="5"/>
  <c r="CA242" i="5"/>
  <c r="CE242" i="5"/>
  <c r="CI242" i="5"/>
  <c r="P242" i="5"/>
  <c r="T242" i="5"/>
  <c r="X242" i="5"/>
  <c r="AF242" i="5"/>
  <c r="AJ242" i="5"/>
  <c r="AN242" i="5"/>
  <c r="AR242" i="5"/>
  <c r="AV242" i="5"/>
  <c r="AZ242" i="5"/>
  <c r="BD242" i="5"/>
  <c r="BH242" i="5"/>
  <c r="BL242" i="5"/>
  <c r="BP242" i="5"/>
  <c r="BT242" i="5"/>
  <c r="BX242" i="5"/>
  <c r="CB242" i="5"/>
  <c r="CF242" i="5"/>
  <c r="CJ242" i="5"/>
  <c r="CN242" i="5"/>
  <c r="CR242" i="5"/>
  <c r="CV242" i="5"/>
  <c r="CZ242" i="5"/>
  <c r="DD242" i="5"/>
  <c r="DH242" i="5"/>
  <c r="DL242" i="5"/>
  <c r="DP242" i="5"/>
  <c r="DT242" i="5"/>
  <c r="DX242" i="5"/>
  <c r="EB242" i="5"/>
  <c r="EF242" i="5"/>
  <c r="EJ242" i="5"/>
  <c r="EN242" i="5"/>
  <c r="ER242" i="5"/>
  <c r="EV242" i="5"/>
  <c r="EZ242" i="5"/>
  <c r="K287" i="5"/>
  <c r="O287" i="5"/>
  <c r="S287" i="5"/>
  <c r="W287" i="5"/>
  <c r="AA287" i="5"/>
  <c r="AE287" i="5"/>
  <c r="AI287" i="5"/>
  <c r="AM287" i="5"/>
  <c r="AQ287" i="5"/>
  <c r="AU287" i="5"/>
  <c r="AY287" i="5"/>
  <c r="BC287" i="5"/>
  <c r="BG287" i="5"/>
  <c r="BK287" i="5"/>
  <c r="BO287" i="5"/>
  <c r="BS287" i="5"/>
  <c r="BW287" i="5"/>
  <c r="CA287" i="5"/>
  <c r="CE287" i="5"/>
  <c r="CI287" i="5"/>
  <c r="CM287" i="5"/>
  <c r="CQ287" i="5"/>
  <c r="CU287" i="5"/>
  <c r="CY287" i="5"/>
  <c r="DC287" i="5"/>
  <c r="DG287" i="5"/>
  <c r="DK287" i="5"/>
  <c r="DO287" i="5"/>
  <c r="DS287" i="5"/>
  <c r="DW287" i="5"/>
  <c r="EA287" i="5"/>
  <c r="EE287" i="5"/>
  <c r="EI287" i="5"/>
  <c r="EM287" i="5"/>
  <c r="EQ287" i="5"/>
  <c r="EU287" i="5"/>
  <c r="EY287" i="5"/>
  <c r="FC287" i="5"/>
  <c r="L242" i="5"/>
  <c r="AB242" i="5"/>
  <c r="M242" i="5"/>
  <c r="Q242" i="5"/>
  <c r="U242" i="5"/>
  <c r="Y242" i="5"/>
  <c r="AC242" i="5"/>
  <c r="AG242" i="5"/>
  <c r="AK242" i="5"/>
  <c r="AO242" i="5"/>
  <c r="AS242" i="5"/>
  <c r="AW242" i="5"/>
  <c r="BA242" i="5"/>
  <c r="BE242" i="5"/>
  <c r="BI242" i="5"/>
  <c r="BM242" i="5"/>
  <c r="BQ242" i="5"/>
  <c r="BU242" i="5"/>
  <c r="BY242" i="5"/>
  <c r="CC242" i="5"/>
  <c r="CG242" i="5"/>
  <c r="CK242" i="5"/>
  <c r="CO242" i="5"/>
  <c r="CS242" i="5"/>
  <c r="CW242" i="5"/>
  <c r="DA242" i="5"/>
  <c r="DE242" i="5"/>
  <c r="DI242" i="5"/>
  <c r="DM242" i="5"/>
  <c r="DQ242" i="5"/>
  <c r="DU242" i="5"/>
  <c r="DY242" i="5"/>
  <c r="EC242" i="5"/>
  <c r="EG242" i="5"/>
  <c r="EK242" i="5"/>
  <c r="EO242" i="5"/>
  <c r="ES242" i="5"/>
  <c r="EW242" i="5"/>
  <c r="FA242" i="5"/>
  <c r="R242" i="5"/>
  <c r="V242" i="5"/>
  <c r="Z242" i="5"/>
  <c r="AD242" i="5"/>
  <c r="AH242" i="5"/>
  <c r="AL242" i="5"/>
  <c r="AP242" i="5"/>
  <c r="AT242" i="5"/>
  <c r="AX242" i="5"/>
  <c r="BB242" i="5"/>
  <c r="BF242" i="5"/>
  <c r="BJ242" i="5"/>
  <c r="BN242" i="5"/>
  <c r="BR242" i="5"/>
  <c r="BV242" i="5"/>
  <c r="BZ242" i="5"/>
  <c r="CD242" i="5"/>
  <c r="CH242" i="5"/>
  <c r="CL242" i="5"/>
  <c r="CP242" i="5"/>
  <c r="CT242" i="5"/>
  <c r="CX242" i="5"/>
  <c r="DB242" i="5"/>
  <c r="DF242" i="5"/>
  <c r="DJ242" i="5"/>
  <c r="DN242" i="5"/>
  <c r="DR242" i="5"/>
  <c r="DV242" i="5"/>
  <c r="DZ242" i="5"/>
  <c r="ED242" i="5"/>
  <c r="EH242" i="5"/>
  <c r="EL242" i="5"/>
  <c r="EP242" i="5"/>
  <c r="ET242" i="5"/>
  <c r="EX242" i="5"/>
  <c r="FB242" i="5"/>
  <c r="M287" i="5"/>
  <c r="Q287" i="5"/>
  <c r="U287" i="5"/>
  <c r="Y287" i="5"/>
  <c r="AC287" i="5"/>
  <c r="AG287" i="5"/>
  <c r="AK287" i="5"/>
  <c r="AO287" i="5"/>
  <c r="AS287" i="5"/>
  <c r="AW287" i="5"/>
  <c r="BA287" i="5"/>
  <c r="BE287" i="5"/>
  <c r="BI287" i="5"/>
  <c r="BM287" i="5"/>
  <c r="BQ287" i="5"/>
  <c r="BU287" i="5"/>
  <c r="BY287" i="5"/>
  <c r="CC287" i="5"/>
  <c r="CG287" i="5"/>
  <c r="CK287" i="5"/>
  <c r="CO287" i="5"/>
  <c r="CS287" i="5"/>
  <c r="CW287" i="5"/>
  <c r="DA287" i="5"/>
  <c r="DE287" i="5"/>
  <c r="DI287" i="5"/>
  <c r="DM287" i="5"/>
  <c r="DQ287" i="5"/>
  <c r="DU287" i="5"/>
  <c r="DY287" i="5"/>
  <c r="EC287" i="5"/>
  <c r="EG287" i="5"/>
  <c r="EK287" i="5"/>
  <c r="EO287" i="5"/>
  <c r="ES287" i="5"/>
  <c r="EW287" i="5"/>
  <c r="FA287" i="5"/>
  <c r="CM242" i="5"/>
  <c r="CQ242" i="5"/>
  <c r="CU242" i="5"/>
  <c r="CY242" i="5"/>
  <c r="DC242" i="5"/>
  <c r="DG242" i="5"/>
  <c r="DK242" i="5"/>
  <c r="DO242" i="5"/>
  <c r="DS242" i="5"/>
  <c r="DW242" i="5"/>
  <c r="EA242" i="5"/>
  <c r="EE242" i="5"/>
  <c r="EI242" i="5"/>
  <c r="EM242" i="5"/>
  <c r="EQ242" i="5"/>
  <c r="EU242" i="5"/>
  <c r="EY242" i="5"/>
  <c r="FC242" i="5"/>
  <c r="J287" i="5"/>
  <c r="N287" i="5"/>
  <c r="R287" i="5"/>
  <c r="V287" i="5"/>
  <c r="Z287" i="5"/>
  <c r="AD287" i="5"/>
  <c r="AH287" i="5"/>
  <c r="AL287" i="5"/>
  <c r="AP287" i="5"/>
  <c r="AT287" i="5"/>
  <c r="AX287" i="5"/>
  <c r="BB287" i="5"/>
  <c r="BF287" i="5"/>
  <c r="BJ287" i="5"/>
  <c r="BN287" i="5"/>
  <c r="BR287" i="5"/>
  <c r="BV287" i="5"/>
  <c r="BZ287" i="5"/>
  <c r="CD287" i="5"/>
  <c r="CH287" i="5"/>
  <c r="CL287" i="5"/>
  <c r="CP287" i="5"/>
  <c r="CT287" i="5"/>
  <c r="CX287" i="5"/>
  <c r="DB287" i="5"/>
  <c r="DF287" i="5"/>
  <c r="DJ287" i="5"/>
  <c r="DN287" i="5"/>
  <c r="DR287" i="5"/>
  <c r="DV287" i="5"/>
  <c r="DZ287" i="5"/>
  <c r="ED287" i="5"/>
  <c r="EH287" i="5"/>
  <c r="EL287" i="5"/>
  <c r="EP287" i="5"/>
  <c r="ET287" i="5"/>
  <c r="EX287" i="5"/>
  <c r="FB287" i="5"/>
  <c r="Z936" i="3"/>
  <c r="AA939" i="3"/>
  <c r="AA529" i="3"/>
  <c r="AA936" i="3"/>
  <c r="AA744" i="3"/>
  <c r="AA938" i="3"/>
  <c r="AA528" i="3"/>
  <c r="AA935" i="3"/>
  <c r="AA743" i="3"/>
  <c r="AA937" i="3"/>
  <c r="AA527" i="3"/>
  <c r="AA934" i="3"/>
  <c r="AA708" i="3"/>
  <c r="AA707" i="3"/>
  <c r="AA706" i="3"/>
  <c r="AA705" i="3"/>
  <c r="AA704" i="3"/>
  <c r="AA703" i="3"/>
  <c r="AA702" i="3"/>
  <c r="AA701" i="3"/>
  <c r="AA700" i="3"/>
  <c r="AA699" i="3"/>
  <c r="AA672" i="3"/>
  <c r="AA671" i="3"/>
  <c r="AA670" i="3"/>
  <c r="AA669" i="3"/>
  <c r="AA668" i="3"/>
  <c r="AA667" i="3"/>
  <c r="AA666" i="3"/>
  <c r="FD330" i="5" l="1"/>
  <c r="FD329" i="5"/>
  <c r="FD328" i="5"/>
  <c r="FD327" i="5"/>
  <c r="FD325" i="5"/>
  <c r="FD324" i="5"/>
  <c r="FD323" i="5"/>
  <c r="FD322" i="5"/>
  <c r="FD321" i="5"/>
  <c r="FD320" i="5"/>
  <c r="FD319" i="5"/>
  <c r="FD318" i="5"/>
  <c r="FD317" i="5"/>
  <c r="FD316" i="5"/>
  <c r="FD315" i="5"/>
  <c r="FD314" i="5"/>
  <c r="FD312" i="5"/>
  <c r="FD311" i="5"/>
  <c r="FD310" i="5"/>
  <c r="FD309" i="5"/>
  <c r="FD308" i="5"/>
  <c r="FD307" i="5"/>
  <c r="FD306" i="5"/>
  <c r="FD305" i="5"/>
  <c r="FD304" i="5"/>
  <c r="FD303" i="5"/>
  <c r="FD302" i="5"/>
  <c r="FD301" i="5"/>
  <c r="FD300" i="5"/>
  <c r="FD299" i="5"/>
  <c r="FD297" i="5"/>
  <c r="FD296" i="5"/>
  <c r="FD295" i="5"/>
  <c r="FD294" i="5"/>
  <c r="FD293" i="5"/>
  <c r="FD292" i="5"/>
  <c r="FD291" i="5"/>
  <c r="FD290" i="5"/>
  <c r="FD289" i="5"/>
  <c r="FD288" i="5"/>
  <c r="FD285" i="5"/>
  <c r="FD284" i="5"/>
  <c r="FD283" i="5"/>
  <c r="FD282" i="5"/>
  <c r="FD286" i="5" s="1"/>
  <c r="FD280" i="5"/>
  <c r="FD279" i="5"/>
  <c r="FD278" i="5"/>
  <c r="FD277" i="5"/>
  <c r="FD276" i="5"/>
  <c r="FD275" i="5"/>
  <c r="FD274" i="5"/>
  <c r="FD273" i="5"/>
  <c r="FD272" i="5"/>
  <c r="FD271" i="5"/>
  <c r="FD270" i="5"/>
  <c r="FD269" i="5"/>
  <c r="FD281" i="5" s="1"/>
  <c r="FD267" i="5"/>
  <c r="FD266" i="5"/>
  <c r="FD265" i="5"/>
  <c r="FD264" i="5"/>
  <c r="FD263" i="5"/>
  <c r="FD262" i="5"/>
  <c r="FD261" i="5"/>
  <c r="FD260" i="5"/>
  <c r="FD259" i="5"/>
  <c r="FD258" i="5"/>
  <c r="FD257" i="5"/>
  <c r="FD256" i="5"/>
  <c r="FD255" i="5"/>
  <c r="FD254" i="5"/>
  <c r="FD252" i="5"/>
  <c r="FD251" i="5"/>
  <c r="FD250" i="5"/>
  <c r="FD249" i="5"/>
  <c r="FD248" i="5"/>
  <c r="FD247" i="5"/>
  <c r="FD246" i="5"/>
  <c r="FD245" i="5"/>
  <c r="FD244" i="5"/>
  <c r="FD243" i="5"/>
  <c r="FD253" i="5" s="1"/>
  <c r="FD240" i="5"/>
  <c r="FD239" i="5"/>
  <c r="FD238" i="5"/>
  <c r="FD237" i="5"/>
  <c r="FD241" i="5" s="1"/>
  <c r="FD235" i="5"/>
  <c r="FD234" i="5"/>
  <c r="FD233" i="5"/>
  <c r="FD232" i="5"/>
  <c r="FD231" i="5"/>
  <c r="FD230" i="5"/>
  <c r="FD229" i="5"/>
  <c r="FD228" i="5"/>
  <c r="FD227" i="5"/>
  <c r="FD226" i="5"/>
  <c r="FD225" i="5"/>
  <c r="FD224" i="5"/>
  <c r="FD236" i="5" s="1"/>
  <c r="FD222" i="5"/>
  <c r="FD221" i="5"/>
  <c r="FD220" i="5"/>
  <c r="FD219" i="5"/>
  <c r="FD218" i="5"/>
  <c r="FD217" i="5"/>
  <c r="FD216" i="5"/>
  <c r="FD215" i="5"/>
  <c r="FD214" i="5"/>
  <c r="FD213" i="5"/>
  <c r="FD212" i="5"/>
  <c r="FD211" i="5"/>
  <c r="FD210" i="5"/>
  <c r="FD209" i="5"/>
  <c r="FD207" i="5"/>
  <c r="FD206" i="5"/>
  <c r="FD205" i="5"/>
  <c r="FD204" i="5"/>
  <c r="FD203" i="5"/>
  <c r="FD202" i="5"/>
  <c r="FD201" i="5"/>
  <c r="FD200" i="5"/>
  <c r="FD199" i="5"/>
  <c r="FD198" i="5"/>
  <c r="FD208" i="5" s="1"/>
  <c r="FD195" i="5"/>
  <c r="FD194" i="5"/>
  <c r="FD193" i="5"/>
  <c r="FD192" i="5"/>
  <c r="FD190" i="5"/>
  <c r="FD189" i="5"/>
  <c r="FD188" i="5"/>
  <c r="FD187" i="5"/>
  <c r="FD186" i="5"/>
  <c r="FD185" i="5"/>
  <c r="FD184" i="5"/>
  <c r="FD183" i="5"/>
  <c r="FD182" i="5"/>
  <c r="FD181" i="5"/>
  <c r="FD180" i="5"/>
  <c r="FD179" i="5"/>
  <c r="FD177" i="5"/>
  <c r="FD176" i="5"/>
  <c r="FD175" i="5"/>
  <c r="FD174" i="5"/>
  <c r="FD173" i="5"/>
  <c r="FD172" i="5"/>
  <c r="FD171" i="5"/>
  <c r="FD170" i="5"/>
  <c r="FD169" i="5"/>
  <c r="FD168" i="5"/>
  <c r="FD167" i="5"/>
  <c r="FD166" i="5"/>
  <c r="FD165" i="5"/>
  <c r="FD164" i="5"/>
  <c r="FD162" i="5"/>
  <c r="FD161" i="5"/>
  <c r="FD160" i="5"/>
  <c r="FD159" i="5"/>
  <c r="FD158" i="5"/>
  <c r="FD157" i="5"/>
  <c r="FD156" i="5"/>
  <c r="FD155" i="5"/>
  <c r="FD154" i="5"/>
  <c r="FD153" i="5"/>
  <c r="FD150" i="5"/>
  <c r="FD149" i="5"/>
  <c r="FD148" i="5"/>
  <c r="FD147" i="5"/>
  <c r="FD145" i="5"/>
  <c r="FD144" i="5"/>
  <c r="FD143" i="5"/>
  <c r="FD142" i="5"/>
  <c r="FD141" i="5"/>
  <c r="FD140" i="5"/>
  <c r="FD139" i="5"/>
  <c r="FD138" i="5"/>
  <c r="FD137" i="5"/>
  <c r="FD136" i="5"/>
  <c r="FD135" i="5"/>
  <c r="FD134" i="5"/>
  <c r="FD132" i="5"/>
  <c r="FD131" i="5"/>
  <c r="FD130" i="5"/>
  <c r="FD129" i="5"/>
  <c r="FD128" i="5"/>
  <c r="FD127" i="5"/>
  <c r="FD126" i="5"/>
  <c r="FD125" i="5"/>
  <c r="FD124" i="5"/>
  <c r="FD123" i="5"/>
  <c r="FD122" i="5"/>
  <c r="FD121" i="5"/>
  <c r="FD120" i="5"/>
  <c r="FD119" i="5"/>
  <c r="FD117" i="5"/>
  <c r="FD116" i="5"/>
  <c r="FD115" i="5"/>
  <c r="FD114" i="5"/>
  <c r="FD113" i="5"/>
  <c r="FD112" i="5"/>
  <c r="FD111" i="5"/>
  <c r="FD110" i="5"/>
  <c r="FD109" i="5"/>
  <c r="FD108" i="5"/>
  <c r="FD105" i="5"/>
  <c r="FD104" i="5"/>
  <c r="FD103" i="5"/>
  <c r="FD102" i="5"/>
  <c r="FD100" i="5"/>
  <c r="FD99" i="5"/>
  <c r="FD98" i="5"/>
  <c r="FD97" i="5"/>
  <c r="FD96" i="5"/>
  <c r="FD95" i="5"/>
  <c r="FD94" i="5"/>
  <c r="FD93" i="5"/>
  <c r="FD92" i="5"/>
  <c r="FD91" i="5"/>
  <c r="FD90" i="5"/>
  <c r="FD89" i="5"/>
  <c r="FD87" i="5"/>
  <c r="FD86" i="5"/>
  <c r="FD85" i="5"/>
  <c r="FD84" i="5"/>
  <c r="FD83" i="5"/>
  <c r="FD82" i="5"/>
  <c r="FD81" i="5"/>
  <c r="FD80" i="5"/>
  <c r="FD79" i="5"/>
  <c r="FD78" i="5"/>
  <c r="FD77" i="5"/>
  <c r="FD76" i="5"/>
  <c r="FD75" i="5"/>
  <c r="FD74" i="5"/>
  <c r="FD72" i="5"/>
  <c r="FD71" i="5"/>
  <c r="FD70" i="5"/>
  <c r="FD69" i="5"/>
  <c r="FD68" i="5"/>
  <c r="FD67" i="5"/>
  <c r="FD66" i="5"/>
  <c r="FD65" i="5"/>
  <c r="FD64" i="5"/>
  <c r="FD63" i="5"/>
  <c r="FD60" i="5"/>
  <c r="FD59" i="5"/>
  <c r="FD58" i="5"/>
  <c r="FD57" i="5"/>
  <c r="FD55" i="5"/>
  <c r="FD54" i="5"/>
  <c r="FD53" i="5"/>
  <c r="FD52" i="5"/>
  <c r="FD51" i="5"/>
  <c r="FD50" i="5"/>
  <c r="FD49" i="5"/>
  <c r="FD48" i="5"/>
  <c r="FD47" i="5"/>
  <c r="FD46" i="5"/>
  <c r="FD45" i="5"/>
  <c r="FD44" i="5"/>
  <c r="FD42" i="5"/>
  <c r="FD41" i="5"/>
  <c r="FD40" i="5"/>
  <c r="FD39" i="5"/>
  <c r="FD38" i="5"/>
  <c r="FD37" i="5"/>
  <c r="FD36" i="5"/>
  <c r="FD35" i="5"/>
  <c r="FD34" i="5"/>
  <c r="FD33" i="5"/>
  <c r="FD32" i="5"/>
  <c r="FD31" i="5"/>
  <c r="FD30" i="5"/>
  <c r="FD29" i="5"/>
  <c r="FD27" i="5"/>
  <c r="FD26" i="5"/>
  <c r="FD25" i="5"/>
  <c r="FD24" i="5"/>
  <c r="FD23" i="5"/>
  <c r="FD22" i="5"/>
  <c r="FD21" i="5"/>
  <c r="FD20" i="5"/>
  <c r="FD19" i="5"/>
  <c r="FD18" i="5"/>
  <c r="FD287" i="5" l="1"/>
  <c r="FD268" i="5"/>
  <c r="FD223" i="5"/>
  <c r="FD242" i="5" s="1"/>
  <c r="FD331" i="5"/>
  <c r="FD298" i="5"/>
  <c r="FD196" i="5"/>
  <c r="FD163" i="5"/>
  <c r="FD151" i="5"/>
  <c r="FD118" i="5"/>
  <c r="FD101" i="5"/>
  <c r="FD106" i="5"/>
  <c r="FD73" i="5"/>
  <c r="FD326" i="5"/>
  <c r="FD88" i="5"/>
  <c r="FD133" i="5"/>
  <c r="FD146" i="5"/>
  <c r="FD178" i="5"/>
  <c r="FD191" i="5"/>
  <c r="FD313" i="5"/>
  <c r="M322" i="2"/>
  <c r="O322" i="2" s="1"/>
  <c r="M323" i="2"/>
  <c r="O323" i="2" s="1"/>
  <c r="M324" i="2"/>
  <c r="O324" i="2" s="1"/>
  <c r="M325" i="2"/>
  <c r="O325" i="2" s="1"/>
  <c r="M326" i="2"/>
  <c r="O326" i="2" s="1"/>
  <c r="M327" i="2"/>
  <c r="O327" i="2" s="1"/>
  <c r="M328" i="2"/>
  <c r="O328" i="2" s="1"/>
  <c r="M329" i="2"/>
  <c r="O329" i="2" s="1"/>
  <c r="M330" i="2"/>
  <c r="O330" i="2" s="1"/>
  <c r="M331" i="2"/>
  <c r="O331" i="2" s="1"/>
  <c r="M332" i="2"/>
  <c r="O332" i="2" s="1"/>
  <c r="M333" i="2"/>
  <c r="O333" i="2" s="1"/>
  <c r="M334" i="2"/>
  <c r="O334" i="2" s="1"/>
  <c r="M335" i="2"/>
  <c r="O335" i="2" s="1"/>
  <c r="M336" i="2"/>
  <c r="O336" i="2" s="1"/>
  <c r="M337" i="2"/>
  <c r="O337" i="2" s="1"/>
  <c r="M338" i="2"/>
  <c r="O338" i="2" s="1"/>
  <c r="M339" i="2"/>
  <c r="O339" i="2" s="1"/>
  <c r="M340" i="2"/>
  <c r="O340" i="2" s="1"/>
  <c r="M341" i="2"/>
  <c r="O341" i="2" s="1"/>
  <c r="M342" i="2"/>
  <c r="O342" i="2" s="1"/>
  <c r="M343" i="2"/>
  <c r="O343" i="2" s="1"/>
  <c r="M344" i="2"/>
  <c r="O344" i="2" s="1"/>
  <c r="M345" i="2"/>
  <c r="O345" i="2" s="1"/>
  <c r="M346" i="2"/>
  <c r="O346" i="2" s="1"/>
  <c r="M347" i="2"/>
  <c r="O347" i="2" s="1"/>
  <c r="M348" i="2"/>
  <c r="O348" i="2" s="1"/>
  <c r="M349" i="2"/>
  <c r="O349" i="2" s="1"/>
  <c r="M350" i="2"/>
  <c r="O350" i="2" s="1"/>
  <c r="M351" i="2"/>
  <c r="O351" i="2" s="1"/>
  <c r="M352" i="2"/>
  <c r="O352" i="2" s="1"/>
  <c r="M353" i="2"/>
  <c r="O353" i="2" s="1"/>
  <c r="M354" i="2"/>
  <c r="O354" i="2" s="1"/>
  <c r="M355" i="2"/>
  <c r="O355" i="2" s="1"/>
  <c r="M356" i="2"/>
  <c r="O356" i="2" s="1"/>
  <c r="M357" i="2"/>
  <c r="O357" i="2" s="1"/>
  <c r="M358" i="2"/>
  <c r="O358" i="2" s="1"/>
  <c r="M359" i="2"/>
  <c r="O359" i="2" s="1"/>
  <c r="M360" i="2"/>
  <c r="O360" i="2" s="1"/>
  <c r="M361" i="2"/>
  <c r="O361" i="2" s="1"/>
  <c r="M362" i="2"/>
  <c r="O362" i="2" s="1"/>
  <c r="M363" i="2"/>
  <c r="O363" i="2" s="1"/>
  <c r="M364" i="2"/>
  <c r="O364" i="2" s="1"/>
  <c r="M365" i="2"/>
  <c r="O365" i="2" s="1"/>
  <c r="M366" i="2"/>
  <c r="O366" i="2" s="1"/>
  <c r="M367" i="2"/>
  <c r="O367" i="2" s="1"/>
  <c r="M368" i="2"/>
  <c r="O368" i="2" s="1"/>
  <c r="M369" i="2"/>
  <c r="O369" i="2" s="1"/>
  <c r="M370" i="2"/>
  <c r="O370" i="2" s="1"/>
  <c r="M371" i="2"/>
  <c r="O371" i="2" s="1"/>
  <c r="M372" i="2"/>
  <c r="O372" i="2" s="1"/>
  <c r="M373" i="2"/>
  <c r="O373" i="2" s="1"/>
  <c r="M374" i="2"/>
  <c r="O374" i="2" s="1"/>
  <c r="M375" i="2"/>
  <c r="O375" i="2" s="1"/>
  <c r="M376" i="2"/>
  <c r="O376" i="2" s="1"/>
  <c r="M377" i="2"/>
  <c r="O377" i="2" s="1"/>
  <c r="M378" i="2"/>
  <c r="O378" i="2" s="1"/>
  <c r="M379" i="2"/>
  <c r="O379" i="2" s="1"/>
  <c r="M380" i="2"/>
  <c r="O380" i="2" s="1"/>
  <c r="M381" i="2"/>
  <c r="O381" i="2" s="1"/>
  <c r="M382" i="2"/>
  <c r="O382" i="2" s="1"/>
  <c r="M383" i="2"/>
  <c r="O383" i="2" s="1"/>
  <c r="M384" i="2"/>
  <c r="O384" i="2" s="1"/>
  <c r="M385" i="2"/>
  <c r="O385" i="2" s="1"/>
  <c r="M386" i="2"/>
  <c r="O386" i="2" s="1"/>
  <c r="M387" i="2"/>
  <c r="O387" i="2" s="1"/>
  <c r="M388" i="2"/>
  <c r="O388" i="2" s="1"/>
  <c r="M389" i="2"/>
  <c r="O389" i="2" s="1"/>
  <c r="M390" i="2"/>
  <c r="O390" i="2" s="1"/>
  <c r="M391" i="2"/>
  <c r="O391" i="2" s="1"/>
  <c r="M392" i="2"/>
  <c r="O392" i="2" s="1"/>
  <c r="M393" i="2"/>
  <c r="O393" i="2" s="1"/>
  <c r="M394" i="2"/>
  <c r="O394" i="2" s="1"/>
  <c r="M395" i="2"/>
  <c r="O395" i="2" s="1"/>
  <c r="M396" i="2"/>
  <c r="O396" i="2" s="1"/>
  <c r="M397" i="2"/>
  <c r="O397" i="2" s="1"/>
  <c r="M398" i="2"/>
  <c r="O398" i="2" s="1"/>
  <c r="M399" i="2"/>
  <c r="O399" i="2" s="1"/>
  <c r="M400" i="2"/>
  <c r="O400" i="2" s="1"/>
  <c r="M401" i="2"/>
  <c r="O401" i="2" s="1"/>
  <c r="M402" i="2"/>
  <c r="O402" i="2" s="1"/>
  <c r="M403" i="2"/>
  <c r="O403" i="2" s="1"/>
  <c r="M404" i="2"/>
  <c r="O404" i="2" s="1"/>
  <c r="M405" i="2"/>
  <c r="O405" i="2" s="1"/>
  <c r="M406" i="2"/>
  <c r="O406" i="2" s="1"/>
  <c r="M407" i="2"/>
  <c r="O407" i="2" s="1"/>
  <c r="M408" i="2"/>
  <c r="O408" i="2" s="1"/>
  <c r="M409" i="2"/>
  <c r="O409" i="2" s="1"/>
  <c r="M410" i="2"/>
  <c r="O410" i="2" s="1"/>
  <c r="M411" i="2"/>
  <c r="O411" i="2" s="1"/>
  <c r="M412" i="2"/>
  <c r="O412" i="2" s="1"/>
  <c r="M413" i="2"/>
  <c r="O413" i="2" s="1"/>
  <c r="M414" i="2"/>
  <c r="O414" i="2" s="1"/>
  <c r="M415" i="2"/>
  <c r="O415" i="2" s="1"/>
  <c r="M416" i="2"/>
  <c r="O416" i="2" s="1"/>
  <c r="M417" i="2"/>
  <c r="O417" i="2" s="1"/>
  <c r="M418" i="2"/>
  <c r="O418" i="2" s="1"/>
  <c r="M419" i="2"/>
  <c r="O419" i="2" s="1"/>
  <c r="M420" i="2"/>
  <c r="O420" i="2" s="1"/>
  <c r="M421" i="2"/>
  <c r="O421" i="2" s="1"/>
  <c r="M422" i="2"/>
  <c r="O422" i="2" s="1"/>
  <c r="M423" i="2"/>
  <c r="O423" i="2" s="1"/>
  <c r="M424" i="2"/>
  <c r="O424" i="2" s="1"/>
  <c r="M425" i="2"/>
  <c r="O425" i="2" s="1"/>
  <c r="M426" i="2"/>
  <c r="O426" i="2" s="1"/>
  <c r="M427" i="2"/>
  <c r="O427" i="2" s="1"/>
  <c r="M428" i="2"/>
  <c r="O428" i="2" s="1"/>
  <c r="M429" i="2"/>
  <c r="O429" i="2" s="1"/>
  <c r="M430" i="2"/>
  <c r="O430" i="2" s="1"/>
  <c r="M431" i="2"/>
  <c r="O431" i="2" s="1"/>
  <c r="M432" i="2"/>
  <c r="O432" i="2" s="1"/>
  <c r="M433" i="2"/>
  <c r="O433" i="2" s="1"/>
  <c r="M434" i="2"/>
  <c r="O434" i="2" s="1"/>
  <c r="M435" i="2"/>
  <c r="O435" i="2" s="1"/>
  <c r="M436" i="2"/>
  <c r="O436" i="2" s="1"/>
  <c r="M437" i="2"/>
  <c r="O437" i="2" s="1"/>
  <c r="M438" i="2"/>
  <c r="O438" i="2" s="1"/>
  <c r="M439" i="2"/>
  <c r="O439" i="2" s="1"/>
  <c r="M440" i="2"/>
  <c r="O440" i="2" s="1"/>
  <c r="M441" i="2"/>
  <c r="O441" i="2" s="1"/>
  <c r="M442" i="2"/>
  <c r="O442" i="2" s="1"/>
  <c r="M443" i="2"/>
  <c r="O443" i="2" s="1"/>
  <c r="M444" i="2"/>
  <c r="O444" i="2" s="1"/>
  <c r="M445" i="2"/>
  <c r="O445" i="2" s="1"/>
  <c r="M446" i="2"/>
  <c r="O446" i="2" s="1"/>
  <c r="M447" i="2"/>
  <c r="O447" i="2" s="1"/>
  <c r="M448" i="2"/>
  <c r="O448" i="2" s="1"/>
  <c r="M449" i="2"/>
  <c r="O449" i="2" s="1"/>
  <c r="M450" i="2"/>
  <c r="O450" i="2" s="1"/>
  <c r="M451" i="2"/>
  <c r="O451" i="2" s="1"/>
  <c r="M452" i="2"/>
  <c r="O452" i="2" s="1"/>
  <c r="M453" i="2"/>
  <c r="O453" i="2" s="1"/>
  <c r="M454" i="2"/>
  <c r="O454" i="2" s="1"/>
  <c r="M455" i="2"/>
  <c r="O455" i="2" s="1"/>
  <c r="M456" i="2"/>
  <c r="O456" i="2" s="1"/>
  <c r="M457" i="2"/>
  <c r="O457" i="2" s="1"/>
  <c r="M458" i="2"/>
  <c r="O458" i="2" s="1"/>
  <c r="M459" i="2"/>
  <c r="O459" i="2" s="1"/>
  <c r="M460" i="2"/>
  <c r="O460" i="2" s="1"/>
  <c r="M461" i="2"/>
  <c r="O461" i="2" s="1"/>
  <c r="M462" i="2"/>
  <c r="O462" i="2" s="1"/>
  <c r="M463" i="2"/>
  <c r="O463" i="2" s="1"/>
  <c r="M464" i="2"/>
  <c r="O464" i="2" s="1"/>
  <c r="M465" i="2"/>
  <c r="O465" i="2" s="1"/>
  <c r="M466" i="2"/>
  <c r="O466" i="2" s="1"/>
  <c r="M467" i="2"/>
  <c r="O467" i="2" s="1"/>
  <c r="M468" i="2"/>
  <c r="O468" i="2" s="1"/>
  <c r="M469" i="2"/>
  <c r="O469" i="2" s="1"/>
  <c r="M470" i="2"/>
  <c r="O470" i="2" s="1"/>
  <c r="M471" i="2"/>
  <c r="O471" i="2" s="1"/>
  <c r="M472" i="2"/>
  <c r="O472" i="2" s="1"/>
  <c r="M473" i="2"/>
  <c r="O473" i="2" s="1"/>
  <c r="M474" i="2"/>
  <c r="O474" i="2" s="1"/>
  <c r="M475" i="2"/>
  <c r="O475" i="2" s="1"/>
  <c r="M476" i="2"/>
  <c r="O476" i="2" s="1"/>
  <c r="M477" i="2"/>
  <c r="O477" i="2" s="1"/>
  <c r="M478" i="2"/>
  <c r="O478" i="2" s="1"/>
  <c r="M479" i="2"/>
  <c r="O479" i="2" s="1"/>
  <c r="M480" i="2"/>
  <c r="O480" i="2" s="1"/>
  <c r="M481" i="2"/>
  <c r="O481" i="2" s="1"/>
  <c r="M482" i="2"/>
  <c r="O482" i="2" s="1"/>
  <c r="M483" i="2"/>
  <c r="O483" i="2" s="1"/>
  <c r="M484" i="2"/>
  <c r="O484" i="2" s="1"/>
  <c r="M485" i="2"/>
  <c r="O485" i="2" s="1"/>
  <c r="M486" i="2"/>
  <c r="O486" i="2" s="1"/>
  <c r="M487" i="2"/>
  <c r="O487" i="2" s="1"/>
  <c r="M488" i="2"/>
  <c r="O488" i="2" s="1"/>
  <c r="M489" i="2"/>
  <c r="O489" i="2" s="1"/>
  <c r="M490" i="2"/>
  <c r="O490" i="2" s="1"/>
  <c r="M491" i="2"/>
  <c r="O491" i="2" s="1"/>
  <c r="M492" i="2"/>
  <c r="O492" i="2" s="1"/>
  <c r="M493" i="2"/>
  <c r="O493" i="2" s="1"/>
  <c r="M494" i="2"/>
  <c r="O494" i="2" s="1"/>
  <c r="M495" i="2"/>
  <c r="O495" i="2" s="1"/>
  <c r="M496" i="2"/>
  <c r="O496" i="2" s="1"/>
  <c r="M497" i="2"/>
  <c r="O497" i="2" s="1"/>
  <c r="M498" i="2"/>
  <c r="O498" i="2" s="1"/>
  <c r="M499" i="2"/>
  <c r="O499" i="2" s="1"/>
  <c r="M500" i="2"/>
  <c r="O500" i="2" s="1"/>
  <c r="M501" i="2"/>
  <c r="O501" i="2" s="1"/>
  <c r="M502" i="2"/>
  <c r="O502" i="2" s="1"/>
  <c r="M503" i="2"/>
  <c r="O503" i="2" s="1"/>
  <c r="M504" i="2"/>
  <c r="O504" i="2" s="1"/>
  <c r="M505" i="2"/>
  <c r="O505" i="2" s="1"/>
  <c r="M506" i="2"/>
  <c r="O506" i="2" s="1"/>
  <c r="M507" i="2"/>
  <c r="O507" i="2" s="1"/>
  <c r="M508" i="2"/>
  <c r="O508" i="2" s="1"/>
  <c r="M509" i="2"/>
  <c r="O509" i="2" s="1"/>
  <c r="M510" i="2"/>
  <c r="O510" i="2" s="1"/>
  <c r="M511" i="2"/>
  <c r="O511" i="2" s="1"/>
  <c r="M512" i="2"/>
  <c r="O512" i="2" s="1"/>
  <c r="M513" i="2"/>
  <c r="O513" i="2" s="1"/>
  <c r="M514" i="2"/>
  <c r="O514" i="2" s="1"/>
  <c r="M515" i="2"/>
  <c r="O515" i="2" s="1"/>
  <c r="M516" i="2"/>
  <c r="O516" i="2" s="1"/>
  <c r="M517" i="2"/>
  <c r="O517" i="2" s="1"/>
  <c r="M518" i="2"/>
  <c r="O518" i="2" s="1"/>
  <c r="M519" i="2"/>
  <c r="O519" i="2" s="1"/>
  <c r="M520" i="2"/>
  <c r="O520" i="2" s="1"/>
  <c r="M521" i="2"/>
  <c r="O521" i="2" s="1"/>
  <c r="M522" i="2"/>
  <c r="O522" i="2" s="1"/>
  <c r="M523" i="2"/>
  <c r="O523" i="2" s="1"/>
  <c r="M524" i="2"/>
  <c r="O524" i="2" s="1"/>
  <c r="M525" i="2"/>
  <c r="O525" i="2" s="1"/>
  <c r="M526" i="2"/>
  <c r="O526" i="2" s="1"/>
  <c r="M527" i="2"/>
  <c r="O527" i="2" s="1"/>
  <c r="M528" i="2"/>
  <c r="O528" i="2" s="1"/>
  <c r="M529" i="2"/>
  <c r="O529" i="2" s="1"/>
  <c r="M530" i="2"/>
  <c r="O530" i="2" s="1"/>
  <c r="M531" i="2"/>
  <c r="O531" i="2" s="1"/>
  <c r="M532" i="2"/>
  <c r="O532" i="2" s="1"/>
  <c r="M533" i="2"/>
  <c r="O533" i="2" s="1"/>
  <c r="M534" i="2"/>
  <c r="O534" i="2" s="1"/>
  <c r="M535" i="2"/>
  <c r="O535" i="2" s="1"/>
  <c r="M536" i="2"/>
  <c r="O536" i="2" s="1"/>
  <c r="M537" i="2"/>
  <c r="O537" i="2" s="1"/>
  <c r="M538" i="2"/>
  <c r="O538" i="2" s="1"/>
  <c r="M539" i="2"/>
  <c r="O539" i="2" s="1"/>
  <c r="M540" i="2"/>
  <c r="O540" i="2" s="1"/>
  <c r="M541" i="2"/>
  <c r="O541" i="2" s="1"/>
  <c r="M542" i="2"/>
  <c r="O542" i="2" s="1"/>
  <c r="M543" i="2"/>
  <c r="O543" i="2" s="1"/>
  <c r="M544" i="2"/>
  <c r="O544" i="2" s="1"/>
  <c r="M545" i="2"/>
  <c r="O545" i="2" s="1"/>
  <c r="M546" i="2"/>
  <c r="O546" i="2" s="1"/>
  <c r="M547" i="2"/>
  <c r="O547" i="2" s="1"/>
  <c r="M548" i="2"/>
  <c r="O548" i="2" s="1"/>
  <c r="M549" i="2"/>
  <c r="O549" i="2" s="1"/>
  <c r="M550" i="2"/>
  <c r="O550" i="2" s="1"/>
  <c r="M551" i="2"/>
  <c r="O551" i="2" s="1"/>
  <c r="M552" i="2"/>
  <c r="O552" i="2" s="1"/>
  <c r="M553" i="2"/>
  <c r="O553" i="2" s="1"/>
  <c r="M554" i="2"/>
  <c r="O554" i="2" s="1"/>
  <c r="M555" i="2"/>
  <c r="O555" i="2" s="1"/>
  <c r="M556" i="2"/>
  <c r="O556" i="2" s="1"/>
  <c r="M557" i="2"/>
  <c r="O557" i="2" s="1"/>
  <c r="M558" i="2"/>
  <c r="O558" i="2" s="1"/>
  <c r="M559" i="2"/>
  <c r="O559" i="2" s="1"/>
  <c r="M560" i="2"/>
  <c r="O560" i="2" s="1"/>
  <c r="M561" i="2"/>
  <c r="O561" i="2" s="1"/>
  <c r="M562" i="2"/>
  <c r="O562" i="2" s="1"/>
  <c r="M563" i="2"/>
  <c r="O563" i="2" s="1"/>
  <c r="M564" i="2"/>
  <c r="O564" i="2" s="1"/>
  <c r="M565" i="2"/>
  <c r="O565" i="2" s="1"/>
  <c r="M566" i="2"/>
  <c r="O566" i="2" s="1"/>
  <c r="M567" i="2"/>
  <c r="O567" i="2" s="1"/>
  <c r="M568" i="2"/>
  <c r="O568" i="2" s="1"/>
  <c r="M569" i="2"/>
  <c r="O569" i="2" s="1"/>
  <c r="M570" i="2"/>
  <c r="O570" i="2" s="1"/>
  <c r="M571" i="2"/>
  <c r="O571" i="2" s="1"/>
  <c r="M572" i="2"/>
  <c r="O572" i="2" s="1"/>
  <c r="M573" i="2"/>
  <c r="O573" i="2" s="1"/>
  <c r="M574" i="2"/>
  <c r="O574" i="2" s="1"/>
  <c r="M575" i="2"/>
  <c r="O575" i="2" s="1"/>
  <c r="M576" i="2"/>
  <c r="O576" i="2" s="1"/>
  <c r="M577" i="2"/>
  <c r="O577" i="2" s="1"/>
  <c r="M578" i="2"/>
  <c r="O578" i="2" s="1"/>
  <c r="M579" i="2"/>
  <c r="O579" i="2" s="1"/>
  <c r="M580" i="2"/>
  <c r="O580" i="2" s="1"/>
  <c r="M581" i="2"/>
  <c r="O581" i="2" s="1"/>
  <c r="M582" i="2"/>
  <c r="O582" i="2" s="1"/>
  <c r="M583" i="2"/>
  <c r="O583" i="2" s="1"/>
  <c r="M584" i="2"/>
  <c r="O584" i="2" s="1"/>
  <c r="M585" i="2"/>
  <c r="O585" i="2" s="1"/>
  <c r="M586" i="2"/>
  <c r="O586" i="2" s="1"/>
  <c r="M587" i="2"/>
  <c r="O587" i="2" s="1"/>
  <c r="M588" i="2"/>
  <c r="O588" i="2" s="1"/>
  <c r="M589" i="2"/>
  <c r="O589" i="2" s="1"/>
  <c r="M590" i="2"/>
  <c r="O590" i="2" s="1"/>
  <c r="M591" i="2"/>
  <c r="O591" i="2" s="1"/>
  <c r="M592" i="2"/>
  <c r="O592" i="2" s="1"/>
  <c r="M593" i="2"/>
  <c r="O593" i="2" s="1"/>
  <c r="M594" i="2"/>
  <c r="O594" i="2" s="1"/>
  <c r="M595" i="2"/>
  <c r="O595" i="2" s="1"/>
  <c r="M596" i="2"/>
  <c r="O596" i="2" s="1"/>
  <c r="M597" i="2"/>
  <c r="O597" i="2" s="1"/>
  <c r="M598" i="2"/>
  <c r="O598" i="2" s="1"/>
  <c r="M599" i="2"/>
  <c r="O599" i="2" s="1"/>
  <c r="M600" i="2"/>
  <c r="O600" i="2" s="1"/>
  <c r="M601" i="2"/>
  <c r="O601" i="2" s="1"/>
  <c r="M602" i="2"/>
  <c r="O602" i="2" s="1"/>
  <c r="M603" i="2"/>
  <c r="O603" i="2" s="1"/>
  <c r="M604" i="2"/>
  <c r="O604" i="2" s="1"/>
  <c r="M605" i="2"/>
  <c r="O605" i="2" s="1"/>
  <c r="M606" i="2"/>
  <c r="O606" i="2" s="1"/>
  <c r="M607" i="2"/>
  <c r="O607" i="2" s="1"/>
  <c r="M608" i="2"/>
  <c r="O608" i="2" s="1"/>
  <c r="M609" i="2"/>
  <c r="O609" i="2" s="1"/>
  <c r="M610" i="2"/>
  <c r="O610" i="2" s="1"/>
  <c r="M611" i="2"/>
  <c r="O611" i="2" s="1"/>
  <c r="M612" i="2"/>
  <c r="O612" i="2" s="1"/>
  <c r="M613" i="2"/>
  <c r="O613" i="2" s="1"/>
  <c r="M614" i="2"/>
  <c r="O614" i="2" s="1"/>
  <c r="M615" i="2"/>
  <c r="O615" i="2" s="1"/>
  <c r="M616" i="2"/>
  <c r="O616" i="2" s="1"/>
  <c r="M617" i="2"/>
  <c r="O617" i="2" s="1"/>
  <c r="M618" i="2"/>
  <c r="O618" i="2" s="1"/>
  <c r="M619" i="2"/>
  <c r="O619" i="2" s="1"/>
  <c r="M620" i="2"/>
  <c r="O620" i="2" s="1"/>
  <c r="M621" i="2"/>
  <c r="O621" i="2" s="1"/>
  <c r="M622" i="2"/>
  <c r="O622" i="2" s="1"/>
  <c r="M623" i="2"/>
  <c r="O623" i="2" s="1"/>
  <c r="M624" i="2"/>
  <c r="O624" i="2" s="1"/>
  <c r="M625" i="2"/>
  <c r="O625" i="2" s="1"/>
  <c r="M626" i="2"/>
  <c r="O626" i="2" s="1"/>
  <c r="M627" i="2"/>
  <c r="O627" i="2" s="1"/>
  <c r="M628" i="2"/>
  <c r="O628" i="2" s="1"/>
  <c r="M629" i="2"/>
  <c r="O629" i="2" s="1"/>
  <c r="M630" i="2"/>
  <c r="O630" i="2" s="1"/>
  <c r="M631" i="2"/>
  <c r="O631" i="2" s="1"/>
  <c r="M632" i="2"/>
  <c r="O632" i="2" s="1"/>
  <c r="M633" i="2"/>
  <c r="O633" i="2" s="1"/>
  <c r="M634" i="2"/>
  <c r="O634" i="2" s="1"/>
  <c r="M635" i="2"/>
  <c r="O635" i="2" s="1"/>
  <c r="M636" i="2"/>
  <c r="O636" i="2" s="1"/>
  <c r="M637" i="2"/>
  <c r="O637" i="2" s="1"/>
  <c r="M638" i="2"/>
  <c r="O638" i="2" s="1"/>
  <c r="M639" i="2"/>
  <c r="O639" i="2" s="1"/>
  <c r="M640" i="2"/>
  <c r="O640" i="2" s="1"/>
  <c r="M641" i="2"/>
  <c r="O641" i="2" s="1"/>
  <c r="M642" i="2"/>
  <c r="O642" i="2" s="1"/>
  <c r="M643" i="2"/>
  <c r="O643" i="2" s="1"/>
  <c r="M644" i="2"/>
  <c r="O644" i="2" s="1"/>
  <c r="M645" i="2"/>
  <c r="O645" i="2" s="1"/>
  <c r="M646" i="2"/>
  <c r="O646" i="2" s="1"/>
  <c r="M647" i="2"/>
  <c r="O647" i="2" s="1"/>
  <c r="M648" i="2"/>
  <c r="O648" i="2" s="1"/>
  <c r="M649" i="2"/>
  <c r="O649" i="2" s="1"/>
  <c r="M650" i="2"/>
  <c r="O650" i="2" s="1"/>
  <c r="M651" i="2"/>
  <c r="O651" i="2" s="1"/>
  <c r="M652" i="2"/>
  <c r="O652" i="2" s="1"/>
  <c r="M653" i="2"/>
  <c r="O653" i="2" s="1"/>
  <c r="M654" i="2"/>
  <c r="O654" i="2" s="1"/>
  <c r="M655" i="2"/>
  <c r="O655" i="2" s="1"/>
  <c r="M656" i="2"/>
  <c r="O656" i="2" s="1"/>
  <c r="M657" i="2"/>
  <c r="O657" i="2" s="1"/>
  <c r="M658" i="2"/>
  <c r="O658" i="2" s="1"/>
  <c r="M659" i="2"/>
  <c r="O659" i="2" s="1"/>
  <c r="M660" i="2"/>
  <c r="O660" i="2" s="1"/>
  <c r="M661" i="2"/>
  <c r="O661" i="2" s="1"/>
  <c r="M662" i="2"/>
  <c r="O662" i="2" s="1"/>
  <c r="M663" i="2"/>
  <c r="O663" i="2" s="1"/>
  <c r="M664" i="2"/>
  <c r="O664" i="2" s="1"/>
  <c r="M665" i="2"/>
  <c r="O665" i="2" s="1"/>
  <c r="M666" i="2"/>
  <c r="O666" i="2" s="1"/>
  <c r="M667" i="2"/>
  <c r="O667" i="2" s="1"/>
  <c r="M668" i="2"/>
  <c r="O668" i="2" s="1"/>
  <c r="M669" i="2"/>
  <c r="O669" i="2" s="1"/>
  <c r="M670" i="2"/>
  <c r="O670" i="2" s="1"/>
  <c r="M671" i="2"/>
  <c r="O671" i="2" s="1"/>
  <c r="M672" i="2"/>
  <c r="O672" i="2" s="1"/>
  <c r="M673" i="2"/>
  <c r="O673" i="2" s="1"/>
  <c r="M674" i="2"/>
  <c r="O674" i="2" s="1"/>
  <c r="M675" i="2"/>
  <c r="O675" i="2" s="1"/>
  <c r="M676" i="2"/>
  <c r="O676" i="2" s="1"/>
  <c r="M677" i="2"/>
  <c r="O677" i="2" s="1"/>
  <c r="M678" i="2"/>
  <c r="O678" i="2" s="1"/>
  <c r="M679" i="2"/>
  <c r="O679" i="2" s="1"/>
  <c r="M680" i="2"/>
  <c r="O680" i="2" s="1"/>
  <c r="M681" i="2"/>
  <c r="O681" i="2" s="1"/>
  <c r="M682" i="2"/>
  <c r="O682" i="2" s="1"/>
  <c r="M683" i="2"/>
  <c r="O683" i="2" s="1"/>
  <c r="M684" i="2"/>
  <c r="O684" i="2" s="1"/>
  <c r="M685" i="2"/>
  <c r="O685" i="2" s="1"/>
  <c r="M686" i="2"/>
  <c r="O686" i="2" s="1"/>
  <c r="M687" i="2"/>
  <c r="O687" i="2" s="1"/>
  <c r="M688" i="2"/>
  <c r="O688" i="2" s="1"/>
  <c r="M689" i="2"/>
  <c r="O689" i="2" s="1"/>
  <c r="M690" i="2"/>
  <c r="O690" i="2" s="1"/>
  <c r="M691" i="2"/>
  <c r="O691" i="2" s="1"/>
  <c r="M692" i="2"/>
  <c r="O692" i="2" s="1"/>
  <c r="M693" i="2"/>
  <c r="O693" i="2" s="1"/>
  <c r="M694" i="2"/>
  <c r="O694" i="2" s="1"/>
  <c r="M695" i="2"/>
  <c r="O695" i="2" s="1"/>
  <c r="M696" i="2"/>
  <c r="O696" i="2" s="1"/>
  <c r="M697" i="2"/>
  <c r="O697" i="2" s="1"/>
  <c r="M698" i="2"/>
  <c r="O698" i="2" s="1"/>
  <c r="M699" i="2"/>
  <c r="O699" i="2" s="1"/>
  <c r="M700" i="2"/>
  <c r="O700" i="2" s="1"/>
  <c r="M701" i="2"/>
  <c r="O701" i="2" s="1"/>
  <c r="M702" i="2"/>
  <c r="O702" i="2" s="1"/>
  <c r="M703" i="2"/>
  <c r="O703" i="2" s="1"/>
  <c r="M704" i="2"/>
  <c r="O704" i="2" s="1"/>
  <c r="M705" i="2"/>
  <c r="O705" i="2" s="1"/>
  <c r="M706" i="2"/>
  <c r="O706" i="2" s="1"/>
  <c r="M707" i="2"/>
  <c r="O707" i="2" s="1"/>
  <c r="M708" i="2"/>
  <c r="O708" i="2" s="1"/>
  <c r="M709" i="2"/>
  <c r="O709" i="2" s="1"/>
  <c r="M710" i="2"/>
  <c r="O710" i="2" s="1"/>
  <c r="M711" i="2"/>
  <c r="O711" i="2" s="1"/>
  <c r="M712" i="2"/>
  <c r="O712" i="2" s="1"/>
  <c r="M713" i="2"/>
  <c r="O713" i="2" s="1"/>
  <c r="M714" i="2"/>
  <c r="O714" i="2" s="1"/>
  <c r="M715" i="2"/>
  <c r="O715" i="2" s="1"/>
  <c r="M716" i="2"/>
  <c r="O716" i="2" s="1"/>
  <c r="M717" i="2"/>
  <c r="O717" i="2" s="1"/>
  <c r="M718" i="2"/>
  <c r="O718" i="2" s="1"/>
  <c r="M719" i="2"/>
  <c r="O719" i="2" s="1"/>
  <c r="M720" i="2"/>
  <c r="O720" i="2" s="1"/>
  <c r="M721" i="2"/>
  <c r="O721" i="2" s="1"/>
  <c r="M722" i="2"/>
  <c r="O722" i="2" s="1"/>
  <c r="M723" i="2"/>
  <c r="O723" i="2" s="1"/>
  <c r="M724" i="2"/>
  <c r="O724" i="2" s="1"/>
  <c r="M725" i="2"/>
  <c r="O725" i="2" s="1"/>
  <c r="M726" i="2"/>
  <c r="O726" i="2" s="1"/>
  <c r="M727" i="2"/>
  <c r="O727" i="2" s="1"/>
  <c r="M728" i="2"/>
  <c r="O728" i="2" s="1"/>
  <c r="M729" i="2"/>
  <c r="O729" i="2" s="1"/>
  <c r="M730" i="2"/>
  <c r="O730" i="2" s="1"/>
  <c r="M731" i="2"/>
  <c r="O731" i="2" s="1"/>
  <c r="M732" i="2"/>
  <c r="O732" i="2" s="1"/>
  <c r="M733" i="2"/>
  <c r="O733" i="2" s="1"/>
  <c r="M734" i="2"/>
  <c r="O734" i="2" s="1"/>
  <c r="M735" i="2"/>
  <c r="O735" i="2" s="1"/>
  <c r="M736" i="2"/>
  <c r="O736" i="2" s="1"/>
  <c r="M737" i="2"/>
  <c r="O737" i="2" s="1"/>
  <c r="M738" i="2"/>
  <c r="O738" i="2" s="1"/>
  <c r="M739" i="2"/>
  <c r="O739" i="2" s="1"/>
  <c r="M740" i="2"/>
  <c r="O740" i="2" s="1"/>
  <c r="M741" i="2"/>
  <c r="O741" i="2" s="1"/>
  <c r="M742" i="2"/>
  <c r="O742" i="2" s="1"/>
  <c r="M743" i="2"/>
  <c r="O743" i="2" s="1"/>
  <c r="M744" i="2"/>
  <c r="O744" i="2" s="1"/>
  <c r="M745" i="2"/>
  <c r="O745" i="2" s="1"/>
  <c r="M746" i="2"/>
  <c r="O746" i="2" s="1"/>
  <c r="M747" i="2"/>
  <c r="O747" i="2" s="1"/>
  <c r="M748" i="2"/>
  <c r="O748" i="2" s="1"/>
  <c r="M749" i="2"/>
  <c r="O749" i="2" s="1"/>
  <c r="M750" i="2"/>
  <c r="O750" i="2" s="1"/>
  <c r="M751" i="2"/>
  <c r="O751" i="2" s="1"/>
  <c r="M752" i="2"/>
  <c r="O752" i="2" s="1"/>
  <c r="M753" i="2"/>
  <c r="O753" i="2" s="1"/>
  <c r="M754" i="2"/>
  <c r="O754" i="2" s="1"/>
  <c r="M755" i="2"/>
  <c r="O755" i="2" s="1"/>
  <c r="M756" i="2"/>
  <c r="O756" i="2" s="1"/>
  <c r="M757" i="2"/>
  <c r="O757" i="2" s="1"/>
  <c r="M758" i="2"/>
  <c r="O758" i="2" s="1"/>
  <c r="M759" i="2"/>
  <c r="O759" i="2" s="1"/>
  <c r="M760" i="2"/>
  <c r="O760" i="2" s="1"/>
  <c r="M761" i="2"/>
  <c r="O761" i="2" s="1"/>
  <c r="M762" i="2"/>
  <c r="O762" i="2" s="1"/>
  <c r="M763" i="2"/>
  <c r="O763" i="2" s="1"/>
  <c r="M764" i="2"/>
  <c r="O764" i="2" s="1"/>
  <c r="M765" i="2"/>
  <c r="O765" i="2" s="1"/>
  <c r="M766" i="2"/>
  <c r="O766" i="2" s="1"/>
  <c r="M767" i="2"/>
  <c r="O767" i="2" s="1"/>
  <c r="M768" i="2"/>
  <c r="O768" i="2" s="1"/>
  <c r="M769" i="2"/>
  <c r="O769" i="2" s="1"/>
  <c r="M770" i="2"/>
  <c r="O770" i="2" s="1"/>
  <c r="M771" i="2"/>
  <c r="O771" i="2" s="1"/>
  <c r="M772" i="2"/>
  <c r="O772" i="2" s="1"/>
  <c r="M773" i="2"/>
  <c r="O773" i="2" s="1"/>
  <c r="M774" i="2"/>
  <c r="O774" i="2" s="1"/>
  <c r="M775" i="2"/>
  <c r="O775" i="2" s="1"/>
  <c r="M776" i="2"/>
  <c r="O776" i="2" s="1"/>
  <c r="M777" i="2"/>
  <c r="O777" i="2" s="1"/>
  <c r="M778" i="2"/>
  <c r="O778" i="2" s="1"/>
  <c r="M779" i="2"/>
  <c r="O779" i="2" s="1"/>
  <c r="M780" i="2"/>
  <c r="O780" i="2" s="1"/>
  <c r="M781" i="2"/>
  <c r="O781" i="2" s="1"/>
  <c r="M782" i="2"/>
  <c r="O782" i="2" s="1"/>
  <c r="M783" i="2"/>
  <c r="O783" i="2" s="1"/>
  <c r="M784" i="2"/>
  <c r="O784" i="2" s="1"/>
  <c r="M785" i="2"/>
  <c r="O785" i="2" s="1"/>
  <c r="M786" i="2"/>
  <c r="O786" i="2" s="1"/>
  <c r="M787" i="2"/>
  <c r="O787" i="2" s="1"/>
  <c r="M788" i="2"/>
  <c r="O788" i="2" s="1"/>
  <c r="M789" i="2"/>
  <c r="O789" i="2" s="1"/>
  <c r="M790" i="2"/>
  <c r="O790" i="2" s="1"/>
  <c r="M791" i="2"/>
  <c r="O791" i="2" s="1"/>
  <c r="M792" i="2"/>
  <c r="O792" i="2" s="1"/>
  <c r="M793" i="2"/>
  <c r="O793" i="2" s="1"/>
  <c r="M794" i="2"/>
  <c r="O794" i="2" s="1"/>
  <c r="M795" i="2"/>
  <c r="O795" i="2" s="1"/>
  <c r="M796" i="2"/>
  <c r="O796" i="2" s="1"/>
  <c r="M797" i="2"/>
  <c r="O797" i="2" s="1"/>
  <c r="M798" i="2"/>
  <c r="O798" i="2" s="1"/>
  <c r="M799" i="2"/>
  <c r="O799" i="2" s="1"/>
  <c r="M800" i="2"/>
  <c r="O800" i="2" s="1"/>
  <c r="M801" i="2"/>
  <c r="O801" i="2" s="1"/>
  <c r="M802" i="2"/>
  <c r="O802" i="2" s="1"/>
  <c r="M803" i="2"/>
  <c r="O803" i="2" s="1"/>
  <c r="M804" i="2"/>
  <c r="O804" i="2" s="1"/>
  <c r="M805" i="2"/>
  <c r="O805" i="2" s="1"/>
  <c r="M806" i="2"/>
  <c r="O806" i="2" s="1"/>
  <c r="M807" i="2"/>
  <c r="O807" i="2" s="1"/>
  <c r="M808" i="2"/>
  <c r="O808" i="2" s="1"/>
  <c r="M809" i="2"/>
  <c r="O809" i="2" s="1"/>
  <c r="M810" i="2"/>
  <c r="O810" i="2" s="1"/>
  <c r="M811" i="2"/>
  <c r="O811" i="2" s="1"/>
  <c r="M812" i="2"/>
  <c r="O812" i="2" s="1"/>
  <c r="M813" i="2"/>
  <c r="O813" i="2" s="1"/>
  <c r="M814" i="2"/>
  <c r="O814" i="2" s="1"/>
  <c r="M815" i="2"/>
  <c r="O815" i="2" s="1"/>
  <c r="M816" i="2"/>
  <c r="O816" i="2" s="1"/>
  <c r="M817" i="2"/>
  <c r="O817" i="2" s="1"/>
  <c r="M818" i="2"/>
  <c r="O818" i="2" s="1"/>
  <c r="M819" i="2"/>
  <c r="O819" i="2" s="1"/>
  <c r="M820" i="2"/>
  <c r="O820" i="2" s="1"/>
  <c r="M821" i="2"/>
  <c r="O821" i="2" s="1"/>
  <c r="M822" i="2"/>
  <c r="O822" i="2" s="1"/>
  <c r="M823" i="2"/>
  <c r="O823" i="2" s="1"/>
  <c r="M824" i="2"/>
  <c r="O824" i="2" s="1"/>
  <c r="M825" i="2"/>
  <c r="O825" i="2" s="1"/>
  <c r="M826" i="2"/>
  <c r="O826" i="2" s="1"/>
  <c r="M827" i="2"/>
  <c r="O827" i="2" s="1"/>
  <c r="M828" i="2"/>
  <c r="O828" i="2" s="1"/>
  <c r="M829" i="2"/>
  <c r="O829" i="2" s="1"/>
  <c r="M830" i="2"/>
  <c r="O830" i="2" s="1"/>
  <c r="M831" i="2"/>
  <c r="O831" i="2" s="1"/>
  <c r="M832" i="2"/>
  <c r="O832" i="2" s="1"/>
  <c r="M833" i="2"/>
  <c r="O833" i="2" s="1"/>
  <c r="M834" i="2"/>
  <c r="O834" i="2" s="1"/>
  <c r="M835" i="2"/>
  <c r="O835" i="2" s="1"/>
  <c r="M836" i="2"/>
  <c r="O836" i="2" s="1"/>
  <c r="M837" i="2"/>
  <c r="O837" i="2" s="1"/>
  <c r="M838" i="2"/>
  <c r="O838" i="2" s="1"/>
  <c r="M839" i="2"/>
  <c r="O839" i="2" s="1"/>
  <c r="M840" i="2"/>
  <c r="O840" i="2" s="1"/>
  <c r="M841" i="2"/>
  <c r="O841" i="2" s="1"/>
  <c r="M842" i="2"/>
  <c r="O842" i="2" s="1"/>
  <c r="M843" i="2"/>
  <c r="O843" i="2" s="1"/>
  <c r="M844" i="2"/>
  <c r="O844" i="2" s="1"/>
  <c r="M845" i="2"/>
  <c r="O845" i="2" s="1"/>
  <c r="M846" i="2"/>
  <c r="O846" i="2" s="1"/>
  <c r="M847" i="2"/>
  <c r="O847" i="2" s="1"/>
  <c r="M848" i="2"/>
  <c r="O848" i="2" s="1"/>
  <c r="M849" i="2"/>
  <c r="O849" i="2" s="1"/>
  <c r="M850" i="2"/>
  <c r="O850" i="2" s="1"/>
  <c r="M851" i="2"/>
  <c r="O851" i="2" s="1"/>
  <c r="M852" i="2"/>
  <c r="O852" i="2" s="1"/>
  <c r="M853" i="2"/>
  <c r="O853" i="2" s="1"/>
  <c r="M854" i="2"/>
  <c r="O854" i="2" s="1"/>
  <c r="M855" i="2"/>
  <c r="O855" i="2" s="1"/>
  <c r="M856" i="2"/>
  <c r="O856" i="2" s="1"/>
  <c r="M857" i="2"/>
  <c r="O857" i="2" s="1"/>
  <c r="M858" i="2"/>
  <c r="O858" i="2" s="1"/>
  <c r="M859" i="2"/>
  <c r="O859" i="2" s="1"/>
  <c r="M860" i="2"/>
  <c r="O860" i="2" s="1"/>
  <c r="M861" i="2"/>
  <c r="O861" i="2" s="1"/>
  <c r="M862" i="2"/>
  <c r="O862" i="2" s="1"/>
  <c r="M863" i="2"/>
  <c r="O863" i="2" s="1"/>
  <c r="M864" i="2"/>
  <c r="O864" i="2" s="1"/>
  <c r="M865" i="2"/>
  <c r="O865" i="2" s="1"/>
  <c r="M866" i="2"/>
  <c r="O866" i="2" s="1"/>
  <c r="M867" i="2"/>
  <c r="O867" i="2" s="1"/>
  <c r="M868" i="2"/>
  <c r="O868" i="2" s="1"/>
  <c r="M869" i="2"/>
  <c r="O869" i="2" s="1"/>
  <c r="M870" i="2"/>
  <c r="O870" i="2" s="1"/>
  <c r="M871" i="2"/>
  <c r="O871" i="2" s="1"/>
  <c r="M872" i="2"/>
  <c r="O872" i="2" s="1"/>
  <c r="M873" i="2"/>
  <c r="O873" i="2" s="1"/>
  <c r="M874" i="2"/>
  <c r="O874" i="2" s="1"/>
  <c r="M875" i="2"/>
  <c r="O875" i="2" s="1"/>
  <c r="M876" i="2"/>
  <c r="O876" i="2" s="1"/>
  <c r="M877" i="2"/>
  <c r="O877" i="2" s="1"/>
  <c r="M878" i="2"/>
  <c r="O878" i="2" s="1"/>
  <c r="M879" i="2"/>
  <c r="O879" i="2" s="1"/>
  <c r="M880" i="2"/>
  <c r="O880" i="2" s="1"/>
  <c r="M881" i="2"/>
  <c r="O881" i="2" s="1"/>
  <c r="M882" i="2"/>
  <c r="O882" i="2" s="1"/>
  <c r="M883" i="2"/>
  <c r="O883" i="2" s="1"/>
  <c r="M884" i="2"/>
  <c r="O884" i="2" s="1"/>
  <c r="M885" i="2"/>
  <c r="O885" i="2" s="1"/>
  <c r="M886" i="2"/>
  <c r="O886" i="2" s="1"/>
  <c r="M887" i="2"/>
  <c r="O887" i="2" s="1"/>
  <c r="M888" i="2"/>
  <c r="O888" i="2" s="1"/>
  <c r="M889" i="2"/>
  <c r="O889" i="2" s="1"/>
  <c r="M890" i="2"/>
  <c r="O890" i="2" s="1"/>
  <c r="M891" i="2"/>
  <c r="O891" i="2" s="1"/>
  <c r="M892" i="2"/>
  <c r="O892" i="2" s="1"/>
  <c r="M893" i="2"/>
  <c r="O893" i="2" s="1"/>
  <c r="M894" i="2"/>
  <c r="O894" i="2" s="1"/>
  <c r="M895" i="2"/>
  <c r="O895" i="2" s="1"/>
  <c r="M896" i="2"/>
  <c r="O896" i="2" s="1"/>
  <c r="M897" i="2"/>
  <c r="O897" i="2" s="1"/>
  <c r="M898" i="2"/>
  <c r="O898" i="2" s="1"/>
  <c r="M899" i="2"/>
  <c r="O899" i="2" s="1"/>
  <c r="M900" i="2"/>
  <c r="O900" i="2" s="1"/>
  <c r="M901" i="2"/>
  <c r="O901" i="2" s="1"/>
  <c r="M902" i="2"/>
  <c r="O902" i="2" s="1"/>
  <c r="M903" i="2"/>
  <c r="O903" i="2" s="1"/>
  <c r="M904" i="2"/>
  <c r="O904" i="2" s="1"/>
  <c r="M905" i="2"/>
  <c r="O905" i="2" s="1"/>
  <c r="M906" i="2"/>
  <c r="O906" i="2" s="1"/>
  <c r="M907" i="2"/>
  <c r="O907" i="2" s="1"/>
  <c r="M908" i="2"/>
  <c r="O908" i="2" s="1"/>
  <c r="M909" i="2"/>
  <c r="O909" i="2" s="1"/>
  <c r="M910" i="2"/>
  <c r="O910" i="2" s="1"/>
  <c r="M911" i="2"/>
  <c r="O911" i="2" s="1"/>
  <c r="M912" i="2"/>
  <c r="O912" i="2" s="1"/>
  <c r="M913" i="2"/>
  <c r="O913" i="2" s="1"/>
  <c r="I322" i="2"/>
  <c r="J322" i="2" s="1"/>
  <c r="I323" i="2"/>
  <c r="J323" i="2" s="1"/>
  <c r="I324" i="2"/>
  <c r="J324" i="2" s="1"/>
  <c r="I325" i="2"/>
  <c r="J325" i="2" s="1"/>
  <c r="I326" i="2"/>
  <c r="J326" i="2" s="1"/>
  <c r="I327" i="2"/>
  <c r="J327" i="2" s="1"/>
  <c r="I328" i="2"/>
  <c r="J328" i="2" s="1"/>
  <c r="I329" i="2"/>
  <c r="J329" i="2" s="1"/>
  <c r="I330" i="2"/>
  <c r="J330" i="2" s="1"/>
  <c r="I331" i="2"/>
  <c r="J331" i="2" s="1"/>
  <c r="I332" i="2"/>
  <c r="J332" i="2" s="1"/>
  <c r="I333" i="2"/>
  <c r="J333" i="2" s="1"/>
  <c r="I334" i="2"/>
  <c r="J334" i="2" s="1"/>
  <c r="I335" i="2"/>
  <c r="J335" i="2" s="1"/>
  <c r="I336" i="2"/>
  <c r="J336" i="2" s="1"/>
  <c r="I337" i="2"/>
  <c r="J337" i="2" s="1"/>
  <c r="I338" i="2"/>
  <c r="J338" i="2" s="1"/>
  <c r="I339" i="2"/>
  <c r="J339" i="2" s="1"/>
  <c r="I340" i="2"/>
  <c r="J340" i="2" s="1"/>
  <c r="I341" i="2"/>
  <c r="J341" i="2" s="1"/>
  <c r="I342" i="2"/>
  <c r="J342" i="2" s="1"/>
  <c r="I343" i="2"/>
  <c r="J343" i="2" s="1"/>
  <c r="I344" i="2"/>
  <c r="J344" i="2" s="1"/>
  <c r="I345" i="2"/>
  <c r="J345" i="2" s="1"/>
  <c r="I346" i="2"/>
  <c r="J346" i="2" s="1"/>
  <c r="I347" i="2"/>
  <c r="J347" i="2" s="1"/>
  <c r="I348" i="2"/>
  <c r="J348" i="2" s="1"/>
  <c r="I349" i="2"/>
  <c r="J349" i="2" s="1"/>
  <c r="I350" i="2"/>
  <c r="J350" i="2" s="1"/>
  <c r="I351" i="2"/>
  <c r="J351" i="2" s="1"/>
  <c r="I352" i="2"/>
  <c r="J352" i="2" s="1"/>
  <c r="I353" i="2"/>
  <c r="J353" i="2" s="1"/>
  <c r="I354" i="2"/>
  <c r="J354" i="2" s="1"/>
  <c r="I355" i="2"/>
  <c r="J355" i="2" s="1"/>
  <c r="I356" i="2"/>
  <c r="J356" i="2" s="1"/>
  <c r="I357" i="2"/>
  <c r="J357" i="2" s="1"/>
  <c r="I358" i="2"/>
  <c r="J358" i="2" s="1"/>
  <c r="I359" i="2"/>
  <c r="J359" i="2" s="1"/>
  <c r="I360" i="2"/>
  <c r="J360" i="2" s="1"/>
  <c r="I361" i="2"/>
  <c r="J361" i="2" s="1"/>
  <c r="I362" i="2"/>
  <c r="J362" i="2" s="1"/>
  <c r="I363" i="2"/>
  <c r="J363" i="2" s="1"/>
  <c r="I364" i="2"/>
  <c r="J364" i="2" s="1"/>
  <c r="I365" i="2"/>
  <c r="J365" i="2" s="1"/>
  <c r="I366" i="2"/>
  <c r="J366" i="2" s="1"/>
  <c r="I367" i="2"/>
  <c r="J367" i="2" s="1"/>
  <c r="I368" i="2"/>
  <c r="J368" i="2" s="1"/>
  <c r="I369" i="2"/>
  <c r="J369" i="2" s="1"/>
  <c r="I370" i="2"/>
  <c r="J370" i="2" s="1"/>
  <c r="I371" i="2"/>
  <c r="J371" i="2" s="1"/>
  <c r="I372" i="2"/>
  <c r="J372" i="2" s="1"/>
  <c r="I373" i="2"/>
  <c r="J373" i="2" s="1"/>
  <c r="I374" i="2"/>
  <c r="J374" i="2" s="1"/>
  <c r="I375" i="2"/>
  <c r="J375" i="2" s="1"/>
  <c r="I376" i="2"/>
  <c r="J376" i="2" s="1"/>
  <c r="I377" i="2"/>
  <c r="J377" i="2" s="1"/>
  <c r="I378" i="2"/>
  <c r="J378" i="2" s="1"/>
  <c r="I379" i="2"/>
  <c r="J379" i="2" s="1"/>
  <c r="I380" i="2"/>
  <c r="J380" i="2" s="1"/>
  <c r="I381" i="2"/>
  <c r="J381" i="2" s="1"/>
  <c r="I382" i="2"/>
  <c r="J382" i="2" s="1"/>
  <c r="I383" i="2"/>
  <c r="J383" i="2" s="1"/>
  <c r="I384" i="2"/>
  <c r="J384" i="2" s="1"/>
  <c r="I385" i="2"/>
  <c r="J385" i="2" s="1"/>
  <c r="I386" i="2"/>
  <c r="J386" i="2" s="1"/>
  <c r="I387" i="2"/>
  <c r="J387" i="2" s="1"/>
  <c r="I388" i="2"/>
  <c r="J388" i="2" s="1"/>
  <c r="I389" i="2"/>
  <c r="J389" i="2" s="1"/>
  <c r="I390" i="2"/>
  <c r="J390" i="2" s="1"/>
  <c r="I391" i="2"/>
  <c r="J391" i="2" s="1"/>
  <c r="I392" i="2"/>
  <c r="J392" i="2" s="1"/>
  <c r="I393" i="2"/>
  <c r="J393" i="2" s="1"/>
  <c r="I394" i="2"/>
  <c r="J394" i="2" s="1"/>
  <c r="I395" i="2"/>
  <c r="J395" i="2" s="1"/>
  <c r="I396" i="2"/>
  <c r="J396" i="2" s="1"/>
  <c r="I397" i="2"/>
  <c r="J397" i="2" s="1"/>
  <c r="I398" i="2"/>
  <c r="J398" i="2" s="1"/>
  <c r="I399" i="2"/>
  <c r="J399" i="2" s="1"/>
  <c r="I400" i="2"/>
  <c r="J400" i="2" s="1"/>
  <c r="I401" i="2"/>
  <c r="J401" i="2" s="1"/>
  <c r="I402" i="2"/>
  <c r="J402" i="2" s="1"/>
  <c r="I403" i="2"/>
  <c r="J403" i="2" s="1"/>
  <c r="I404" i="2"/>
  <c r="J404" i="2" s="1"/>
  <c r="I405" i="2"/>
  <c r="J405" i="2" s="1"/>
  <c r="I406" i="2"/>
  <c r="J406" i="2" s="1"/>
  <c r="I407" i="2"/>
  <c r="J407" i="2" s="1"/>
  <c r="I408" i="2"/>
  <c r="J408" i="2" s="1"/>
  <c r="I409" i="2"/>
  <c r="J409" i="2" s="1"/>
  <c r="I410" i="2"/>
  <c r="J410" i="2" s="1"/>
  <c r="I411" i="2"/>
  <c r="J411" i="2" s="1"/>
  <c r="I412" i="2"/>
  <c r="J412" i="2" s="1"/>
  <c r="I413" i="2"/>
  <c r="J413" i="2" s="1"/>
  <c r="I414" i="2"/>
  <c r="J414" i="2" s="1"/>
  <c r="I415" i="2"/>
  <c r="J415" i="2" s="1"/>
  <c r="I416" i="2"/>
  <c r="J416" i="2" s="1"/>
  <c r="I417" i="2"/>
  <c r="J417" i="2" s="1"/>
  <c r="I418" i="2"/>
  <c r="J418" i="2" s="1"/>
  <c r="I419" i="2"/>
  <c r="J419" i="2" s="1"/>
  <c r="I420" i="2"/>
  <c r="J420" i="2" s="1"/>
  <c r="I421" i="2"/>
  <c r="J421" i="2" s="1"/>
  <c r="I422" i="2"/>
  <c r="J422" i="2" s="1"/>
  <c r="I423" i="2"/>
  <c r="J423" i="2" s="1"/>
  <c r="I424" i="2"/>
  <c r="J424" i="2" s="1"/>
  <c r="I425" i="2"/>
  <c r="J425" i="2" s="1"/>
  <c r="I426" i="2"/>
  <c r="J426" i="2" s="1"/>
  <c r="I427" i="2"/>
  <c r="J427" i="2" s="1"/>
  <c r="I428" i="2"/>
  <c r="J428" i="2" s="1"/>
  <c r="I429" i="2"/>
  <c r="J429" i="2" s="1"/>
  <c r="I430" i="2"/>
  <c r="J430" i="2" s="1"/>
  <c r="I431" i="2"/>
  <c r="J431" i="2" s="1"/>
  <c r="I432" i="2"/>
  <c r="J432" i="2" s="1"/>
  <c r="I433" i="2"/>
  <c r="J433" i="2" s="1"/>
  <c r="I434" i="2"/>
  <c r="J434" i="2" s="1"/>
  <c r="I435" i="2"/>
  <c r="J435" i="2" s="1"/>
  <c r="I436" i="2"/>
  <c r="J436" i="2" s="1"/>
  <c r="I437" i="2"/>
  <c r="J437" i="2" s="1"/>
  <c r="I438" i="2"/>
  <c r="J438" i="2" s="1"/>
  <c r="I439" i="2"/>
  <c r="J439" i="2" s="1"/>
  <c r="I440" i="2"/>
  <c r="J440" i="2" s="1"/>
  <c r="I441" i="2"/>
  <c r="J441" i="2" s="1"/>
  <c r="I442" i="2"/>
  <c r="J442" i="2" s="1"/>
  <c r="I443" i="2"/>
  <c r="J443" i="2" s="1"/>
  <c r="I444" i="2"/>
  <c r="J444" i="2" s="1"/>
  <c r="I445" i="2"/>
  <c r="J445" i="2" s="1"/>
  <c r="I446" i="2"/>
  <c r="J446" i="2" s="1"/>
  <c r="I447" i="2"/>
  <c r="J447" i="2" s="1"/>
  <c r="I448" i="2"/>
  <c r="J448" i="2" s="1"/>
  <c r="I449" i="2"/>
  <c r="J449" i="2" s="1"/>
  <c r="I450" i="2"/>
  <c r="J450" i="2" s="1"/>
  <c r="I451" i="2"/>
  <c r="J451" i="2" s="1"/>
  <c r="I452" i="2"/>
  <c r="J452" i="2" s="1"/>
  <c r="I453" i="2"/>
  <c r="J453" i="2" s="1"/>
  <c r="I454" i="2"/>
  <c r="J454" i="2" s="1"/>
  <c r="I455" i="2"/>
  <c r="J455" i="2" s="1"/>
  <c r="I456" i="2"/>
  <c r="J456" i="2" s="1"/>
  <c r="I457" i="2"/>
  <c r="J457" i="2" s="1"/>
  <c r="I458" i="2"/>
  <c r="J458" i="2" s="1"/>
  <c r="I459" i="2"/>
  <c r="J459" i="2" s="1"/>
  <c r="I460" i="2"/>
  <c r="J460" i="2" s="1"/>
  <c r="I461" i="2"/>
  <c r="J461" i="2" s="1"/>
  <c r="I462" i="2"/>
  <c r="J462" i="2" s="1"/>
  <c r="I463" i="2"/>
  <c r="J463" i="2" s="1"/>
  <c r="I464" i="2"/>
  <c r="J464" i="2" s="1"/>
  <c r="I465" i="2"/>
  <c r="J465" i="2" s="1"/>
  <c r="I466" i="2"/>
  <c r="J466" i="2" s="1"/>
  <c r="I467" i="2"/>
  <c r="J467" i="2" s="1"/>
  <c r="I468" i="2"/>
  <c r="J468" i="2" s="1"/>
  <c r="I469" i="2"/>
  <c r="J469" i="2" s="1"/>
  <c r="I470" i="2"/>
  <c r="J470" i="2" s="1"/>
  <c r="I471" i="2"/>
  <c r="J471" i="2" s="1"/>
  <c r="I472" i="2"/>
  <c r="J472" i="2" s="1"/>
  <c r="I473" i="2"/>
  <c r="J473" i="2" s="1"/>
  <c r="I474" i="2"/>
  <c r="J474" i="2" s="1"/>
  <c r="I475" i="2"/>
  <c r="J475" i="2" s="1"/>
  <c r="I476" i="2"/>
  <c r="J476" i="2" s="1"/>
  <c r="I477" i="2"/>
  <c r="J477" i="2" s="1"/>
  <c r="I478" i="2"/>
  <c r="J478" i="2" s="1"/>
  <c r="I479" i="2"/>
  <c r="J479" i="2" s="1"/>
  <c r="I480" i="2"/>
  <c r="J480" i="2" s="1"/>
  <c r="I481" i="2"/>
  <c r="J481" i="2" s="1"/>
  <c r="I482" i="2"/>
  <c r="J482" i="2" s="1"/>
  <c r="I483" i="2"/>
  <c r="J483" i="2" s="1"/>
  <c r="I484" i="2"/>
  <c r="J484" i="2" s="1"/>
  <c r="I485" i="2"/>
  <c r="J485" i="2" s="1"/>
  <c r="I486" i="2"/>
  <c r="J486" i="2" s="1"/>
  <c r="I487" i="2"/>
  <c r="J487" i="2" s="1"/>
  <c r="I488" i="2"/>
  <c r="J488" i="2" s="1"/>
  <c r="I489" i="2"/>
  <c r="J489" i="2" s="1"/>
  <c r="I490" i="2"/>
  <c r="J490" i="2" s="1"/>
  <c r="I491" i="2"/>
  <c r="J491" i="2" s="1"/>
  <c r="I492" i="2"/>
  <c r="J492" i="2" s="1"/>
  <c r="I493" i="2"/>
  <c r="J493" i="2" s="1"/>
  <c r="I494" i="2"/>
  <c r="J494" i="2" s="1"/>
  <c r="I495" i="2"/>
  <c r="J495" i="2" s="1"/>
  <c r="I496" i="2"/>
  <c r="J496" i="2" s="1"/>
  <c r="I497" i="2"/>
  <c r="J497" i="2" s="1"/>
  <c r="I498" i="2"/>
  <c r="J498" i="2" s="1"/>
  <c r="I499" i="2"/>
  <c r="J499" i="2" s="1"/>
  <c r="I500" i="2"/>
  <c r="J500" i="2" s="1"/>
  <c r="I501" i="2"/>
  <c r="J501" i="2" s="1"/>
  <c r="I502" i="2"/>
  <c r="J502" i="2" s="1"/>
  <c r="I503" i="2"/>
  <c r="J503" i="2" s="1"/>
  <c r="I504" i="2"/>
  <c r="J504" i="2" s="1"/>
  <c r="I505" i="2"/>
  <c r="J505" i="2" s="1"/>
  <c r="I506" i="2"/>
  <c r="J506" i="2" s="1"/>
  <c r="I507" i="2"/>
  <c r="J507" i="2" s="1"/>
  <c r="I508" i="2"/>
  <c r="J508" i="2" s="1"/>
  <c r="I509" i="2"/>
  <c r="J509" i="2" s="1"/>
  <c r="I510" i="2"/>
  <c r="J510" i="2" s="1"/>
  <c r="I511" i="2"/>
  <c r="J511" i="2" s="1"/>
  <c r="I512" i="2"/>
  <c r="J512" i="2" s="1"/>
  <c r="I513" i="2"/>
  <c r="J513" i="2" s="1"/>
  <c r="I514" i="2"/>
  <c r="J514" i="2" s="1"/>
  <c r="I515" i="2"/>
  <c r="J515" i="2" s="1"/>
  <c r="I516" i="2"/>
  <c r="J516" i="2" s="1"/>
  <c r="I517" i="2"/>
  <c r="J517" i="2" s="1"/>
  <c r="I518" i="2"/>
  <c r="J518" i="2" s="1"/>
  <c r="I519" i="2"/>
  <c r="J519" i="2" s="1"/>
  <c r="I520" i="2"/>
  <c r="J520" i="2" s="1"/>
  <c r="I521" i="2"/>
  <c r="J521" i="2" s="1"/>
  <c r="I522" i="2"/>
  <c r="J522" i="2" s="1"/>
  <c r="I523" i="2"/>
  <c r="J523" i="2" s="1"/>
  <c r="I524" i="2"/>
  <c r="J524" i="2" s="1"/>
  <c r="I525" i="2"/>
  <c r="J525" i="2" s="1"/>
  <c r="I526" i="2"/>
  <c r="J526" i="2" s="1"/>
  <c r="I527" i="2"/>
  <c r="J527" i="2" s="1"/>
  <c r="I528" i="2"/>
  <c r="J528" i="2" s="1"/>
  <c r="I529" i="2"/>
  <c r="J529" i="2" s="1"/>
  <c r="I530" i="2"/>
  <c r="J530" i="2" s="1"/>
  <c r="I531" i="2"/>
  <c r="J531" i="2" s="1"/>
  <c r="I532" i="2"/>
  <c r="J532" i="2" s="1"/>
  <c r="I533" i="2"/>
  <c r="J533" i="2" s="1"/>
  <c r="I534" i="2"/>
  <c r="J534" i="2" s="1"/>
  <c r="I535" i="2"/>
  <c r="J535" i="2" s="1"/>
  <c r="I536" i="2"/>
  <c r="J536" i="2" s="1"/>
  <c r="I537" i="2"/>
  <c r="J537" i="2" s="1"/>
  <c r="I538" i="2"/>
  <c r="J538" i="2" s="1"/>
  <c r="I539" i="2"/>
  <c r="J539" i="2" s="1"/>
  <c r="I540" i="2"/>
  <c r="J540" i="2" s="1"/>
  <c r="I541" i="2"/>
  <c r="J541" i="2" s="1"/>
  <c r="I542" i="2"/>
  <c r="J542" i="2" s="1"/>
  <c r="I543" i="2"/>
  <c r="J543" i="2" s="1"/>
  <c r="I544" i="2"/>
  <c r="J544" i="2" s="1"/>
  <c r="I545" i="2"/>
  <c r="J545" i="2" s="1"/>
  <c r="I546" i="2"/>
  <c r="J546" i="2" s="1"/>
  <c r="I547" i="2"/>
  <c r="J547" i="2" s="1"/>
  <c r="I548" i="2"/>
  <c r="J548" i="2" s="1"/>
  <c r="I549" i="2"/>
  <c r="J549" i="2" s="1"/>
  <c r="I550" i="2"/>
  <c r="J550" i="2" s="1"/>
  <c r="I551" i="2"/>
  <c r="J551" i="2" s="1"/>
  <c r="I552" i="2"/>
  <c r="J552" i="2" s="1"/>
  <c r="I553" i="2"/>
  <c r="J553" i="2" s="1"/>
  <c r="I554" i="2"/>
  <c r="J554" i="2" s="1"/>
  <c r="I555" i="2"/>
  <c r="J555" i="2" s="1"/>
  <c r="I556" i="2"/>
  <c r="J556" i="2" s="1"/>
  <c r="I557" i="2"/>
  <c r="J557" i="2" s="1"/>
  <c r="I558" i="2"/>
  <c r="J558" i="2" s="1"/>
  <c r="I559" i="2"/>
  <c r="J559" i="2" s="1"/>
  <c r="I560" i="2"/>
  <c r="J560" i="2" s="1"/>
  <c r="I561" i="2"/>
  <c r="J561" i="2" s="1"/>
  <c r="I562" i="2"/>
  <c r="J562" i="2" s="1"/>
  <c r="I563" i="2"/>
  <c r="J563" i="2" s="1"/>
  <c r="I564" i="2"/>
  <c r="J564" i="2" s="1"/>
  <c r="I565" i="2"/>
  <c r="J565" i="2" s="1"/>
  <c r="I566" i="2"/>
  <c r="J566" i="2" s="1"/>
  <c r="I567" i="2"/>
  <c r="J567" i="2" s="1"/>
  <c r="I568" i="2"/>
  <c r="J568" i="2" s="1"/>
  <c r="I569" i="2"/>
  <c r="J569" i="2" s="1"/>
  <c r="I570" i="2"/>
  <c r="J570" i="2" s="1"/>
  <c r="I571" i="2"/>
  <c r="J571" i="2" s="1"/>
  <c r="I572" i="2"/>
  <c r="J572" i="2" s="1"/>
  <c r="I573" i="2"/>
  <c r="J573" i="2" s="1"/>
  <c r="I574" i="2"/>
  <c r="J574" i="2" s="1"/>
  <c r="I575" i="2"/>
  <c r="J575" i="2" s="1"/>
  <c r="I576" i="2"/>
  <c r="J576" i="2" s="1"/>
  <c r="I577" i="2"/>
  <c r="J577" i="2" s="1"/>
  <c r="I578" i="2"/>
  <c r="J578" i="2" s="1"/>
  <c r="I579" i="2"/>
  <c r="J579" i="2" s="1"/>
  <c r="I580" i="2"/>
  <c r="J580" i="2" s="1"/>
  <c r="I581" i="2"/>
  <c r="J581" i="2" s="1"/>
  <c r="I582" i="2"/>
  <c r="J582" i="2" s="1"/>
  <c r="I583" i="2"/>
  <c r="J583" i="2" s="1"/>
  <c r="I584" i="2"/>
  <c r="J584" i="2" s="1"/>
  <c r="I585" i="2"/>
  <c r="J585" i="2" s="1"/>
  <c r="I586" i="2"/>
  <c r="J586" i="2" s="1"/>
  <c r="I587" i="2"/>
  <c r="J587" i="2" s="1"/>
  <c r="I588" i="2"/>
  <c r="J588" i="2" s="1"/>
  <c r="I589" i="2"/>
  <c r="J589" i="2" s="1"/>
  <c r="I590" i="2"/>
  <c r="J590" i="2" s="1"/>
  <c r="I591" i="2"/>
  <c r="J591" i="2" s="1"/>
  <c r="I592" i="2"/>
  <c r="J592" i="2" s="1"/>
  <c r="I593" i="2"/>
  <c r="J593" i="2" s="1"/>
  <c r="I594" i="2"/>
  <c r="J594" i="2" s="1"/>
  <c r="I595" i="2"/>
  <c r="J595" i="2" s="1"/>
  <c r="I596" i="2"/>
  <c r="J596" i="2" s="1"/>
  <c r="I597" i="2"/>
  <c r="J597" i="2" s="1"/>
  <c r="I598" i="2"/>
  <c r="J598" i="2" s="1"/>
  <c r="I599" i="2"/>
  <c r="J599" i="2" s="1"/>
  <c r="I600" i="2"/>
  <c r="J600" i="2" s="1"/>
  <c r="I601" i="2"/>
  <c r="J601" i="2" s="1"/>
  <c r="I602" i="2"/>
  <c r="J602" i="2" s="1"/>
  <c r="I603" i="2"/>
  <c r="J603" i="2" s="1"/>
  <c r="I604" i="2"/>
  <c r="J604" i="2" s="1"/>
  <c r="I605" i="2"/>
  <c r="J605" i="2" s="1"/>
  <c r="I606" i="2"/>
  <c r="J606" i="2" s="1"/>
  <c r="I607" i="2"/>
  <c r="J607" i="2" s="1"/>
  <c r="I608" i="2"/>
  <c r="J608" i="2" s="1"/>
  <c r="I609" i="2"/>
  <c r="J609" i="2" s="1"/>
  <c r="I610" i="2"/>
  <c r="J610" i="2" s="1"/>
  <c r="I611" i="2"/>
  <c r="J611" i="2" s="1"/>
  <c r="I612" i="2"/>
  <c r="J612" i="2" s="1"/>
  <c r="I613" i="2"/>
  <c r="J613" i="2" s="1"/>
  <c r="I614" i="2"/>
  <c r="J614" i="2" s="1"/>
  <c r="I615" i="2"/>
  <c r="J615" i="2" s="1"/>
  <c r="I616" i="2"/>
  <c r="J616" i="2" s="1"/>
  <c r="I617" i="2"/>
  <c r="J617" i="2" s="1"/>
  <c r="I618" i="2"/>
  <c r="J618" i="2" s="1"/>
  <c r="I619" i="2"/>
  <c r="J619" i="2" s="1"/>
  <c r="I620" i="2"/>
  <c r="J620" i="2" s="1"/>
  <c r="I621" i="2"/>
  <c r="J621" i="2" s="1"/>
  <c r="I622" i="2"/>
  <c r="J622" i="2" s="1"/>
  <c r="I623" i="2"/>
  <c r="J623" i="2" s="1"/>
  <c r="I624" i="2"/>
  <c r="J624" i="2" s="1"/>
  <c r="I625" i="2"/>
  <c r="J625" i="2" s="1"/>
  <c r="I626" i="2"/>
  <c r="J626" i="2" s="1"/>
  <c r="I627" i="2"/>
  <c r="J627" i="2" s="1"/>
  <c r="I628" i="2"/>
  <c r="J628" i="2" s="1"/>
  <c r="I629" i="2"/>
  <c r="J629" i="2" s="1"/>
  <c r="I630" i="2"/>
  <c r="J630" i="2" s="1"/>
  <c r="I631" i="2"/>
  <c r="J631" i="2" s="1"/>
  <c r="I632" i="2"/>
  <c r="J632" i="2" s="1"/>
  <c r="I633" i="2"/>
  <c r="J633" i="2" s="1"/>
  <c r="I634" i="2"/>
  <c r="J634" i="2" s="1"/>
  <c r="I635" i="2"/>
  <c r="J635" i="2" s="1"/>
  <c r="I636" i="2"/>
  <c r="J636" i="2" s="1"/>
  <c r="I637" i="2"/>
  <c r="J637" i="2" s="1"/>
  <c r="I638" i="2"/>
  <c r="J638" i="2" s="1"/>
  <c r="I639" i="2"/>
  <c r="J639" i="2" s="1"/>
  <c r="I640" i="2"/>
  <c r="J640" i="2" s="1"/>
  <c r="I641" i="2"/>
  <c r="J641" i="2" s="1"/>
  <c r="I642" i="2"/>
  <c r="J642" i="2" s="1"/>
  <c r="I643" i="2"/>
  <c r="J643" i="2" s="1"/>
  <c r="I644" i="2"/>
  <c r="J644" i="2" s="1"/>
  <c r="I645" i="2"/>
  <c r="J645" i="2" s="1"/>
  <c r="I646" i="2"/>
  <c r="J646" i="2" s="1"/>
  <c r="I647" i="2"/>
  <c r="J647" i="2" s="1"/>
  <c r="I648" i="2"/>
  <c r="J648" i="2" s="1"/>
  <c r="I649" i="2"/>
  <c r="J649" i="2" s="1"/>
  <c r="I650" i="2"/>
  <c r="J650" i="2" s="1"/>
  <c r="I651" i="2"/>
  <c r="J651" i="2" s="1"/>
  <c r="I652" i="2"/>
  <c r="J652" i="2" s="1"/>
  <c r="I653" i="2"/>
  <c r="J653" i="2" s="1"/>
  <c r="I654" i="2"/>
  <c r="J654" i="2" s="1"/>
  <c r="I655" i="2"/>
  <c r="J655" i="2" s="1"/>
  <c r="I656" i="2"/>
  <c r="J656" i="2" s="1"/>
  <c r="I657" i="2"/>
  <c r="J657" i="2" s="1"/>
  <c r="I658" i="2"/>
  <c r="J658" i="2" s="1"/>
  <c r="I659" i="2"/>
  <c r="J659" i="2" s="1"/>
  <c r="I660" i="2"/>
  <c r="J660" i="2" s="1"/>
  <c r="I661" i="2"/>
  <c r="J661" i="2" s="1"/>
  <c r="I662" i="2"/>
  <c r="J662" i="2" s="1"/>
  <c r="I663" i="2"/>
  <c r="J663" i="2" s="1"/>
  <c r="I664" i="2"/>
  <c r="J664" i="2" s="1"/>
  <c r="I665" i="2"/>
  <c r="J665" i="2" s="1"/>
  <c r="I666" i="2"/>
  <c r="J666" i="2" s="1"/>
  <c r="I667" i="2"/>
  <c r="J667" i="2" s="1"/>
  <c r="I668" i="2"/>
  <c r="J668" i="2" s="1"/>
  <c r="I669" i="2"/>
  <c r="J669" i="2" s="1"/>
  <c r="I670" i="2"/>
  <c r="J670" i="2" s="1"/>
  <c r="I671" i="2"/>
  <c r="J671" i="2" s="1"/>
  <c r="I672" i="2"/>
  <c r="J672" i="2" s="1"/>
  <c r="I673" i="2"/>
  <c r="J673" i="2" s="1"/>
  <c r="I674" i="2"/>
  <c r="J674" i="2" s="1"/>
  <c r="I675" i="2"/>
  <c r="J675" i="2" s="1"/>
  <c r="I676" i="2"/>
  <c r="J676" i="2" s="1"/>
  <c r="I677" i="2"/>
  <c r="J677" i="2" s="1"/>
  <c r="I678" i="2"/>
  <c r="J678" i="2" s="1"/>
  <c r="I679" i="2"/>
  <c r="J679" i="2" s="1"/>
  <c r="I680" i="2"/>
  <c r="J680" i="2" s="1"/>
  <c r="I681" i="2"/>
  <c r="J681" i="2" s="1"/>
  <c r="I682" i="2"/>
  <c r="J682" i="2" s="1"/>
  <c r="I683" i="2"/>
  <c r="J683" i="2" s="1"/>
  <c r="I684" i="2"/>
  <c r="J684" i="2" s="1"/>
  <c r="I685" i="2"/>
  <c r="J685" i="2" s="1"/>
  <c r="I686" i="2"/>
  <c r="J686" i="2" s="1"/>
  <c r="I687" i="2"/>
  <c r="J687" i="2" s="1"/>
  <c r="I688" i="2"/>
  <c r="J688" i="2" s="1"/>
  <c r="I689" i="2"/>
  <c r="J689" i="2" s="1"/>
  <c r="I690" i="2"/>
  <c r="J690" i="2" s="1"/>
  <c r="I691" i="2"/>
  <c r="J691" i="2" s="1"/>
  <c r="I692" i="2"/>
  <c r="J692" i="2" s="1"/>
  <c r="I693" i="2"/>
  <c r="J693" i="2" s="1"/>
  <c r="I694" i="2"/>
  <c r="J694" i="2" s="1"/>
  <c r="I695" i="2"/>
  <c r="J695" i="2" s="1"/>
  <c r="I696" i="2"/>
  <c r="J696" i="2" s="1"/>
  <c r="I697" i="2"/>
  <c r="J697" i="2" s="1"/>
  <c r="I698" i="2"/>
  <c r="J698" i="2" s="1"/>
  <c r="I699" i="2"/>
  <c r="J699" i="2" s="1"/>
  <c r="I700" i="2"/>
  <c r="J700" i="2" s="1"/>
  <c r="I701" i="2"/>
  <c r="J701" i="2" s="1"/>
  <c r="I702" i="2"/>
  <c r="J702" i="2" s="1"/>
  <c r="I703" i="2"/>
  <c r="J703" i="2" s="1"/>
  <c r="I704" i="2"/>
  <c r="J704" i="2" s="1"/>
  <c r="I705" i="2"/>
  <c r="J705" i="2" s="1"/>
  <c r="I706" i="2"/>
  <c r="J706" i="2" s="1"/>
  <c r="I707" i="2"/>
  <c r="J707" i="2" s="1"/>
  <c r="I708" i="2"/>
  <c r="J708" i="2" s="1"/>
  <c r="I709" i="2"/>
  <c r="J709" i="2" s="1"/>
  <c r="I710" i="2"/>
  <c r="J710" i="2" s="1"/>
  <c r="I711" i="2"/>
  <c r="J711" i="2" s="1"/>
  <c r="I712" i="2"/>
  <c r="J712" i="2" s="1"/>
  <c r="I713" i="2"/>
  <c r="J713" i="2" s="1"/>
  <c r="I714" i="2"/>
  <c r="J714" i="2" s="1"/>
  <c r="I715" i="2"/>
  <c r="J715" i="2" s="1"/>
  <c r="I716" i="2"/>
  <c r="J716" i="2" s="1"/>
  <c r="I717" i="2"/>
  <c r="J717" i="2" s="1"/>
  <c r="I718" i="2"/>
  <c r="J718" i="2" s="1"/>
  <c r="I719" i="2"/>
  <c r="J719" i="2" s="1"/>
  <c r="I720" i="2"/>
  <c r="J720" i="2" s="1"/>
  <c r="I721" i="2"/>
  <c r="J721" i="2" s="1"/>
  <c r="I722" i="2"/>
  <c r="J722" i="2" s="1"/>
  <c r="I723" i="2"/>
  <c r="J723" i="2" s="1"/>
  <c r="I724" i="2"/>
  <c r="J724" i="2" s="1"/>
  <c r="I725" i="2"/>
  <c r="J725" i="2" s="1"/>
  <c r="I726" i="2"/>
  <c r="J726" i="2" s="1"/>
  <c r="I727" i="2"/>
  <c r="J727" i="2" s="1"/>
  <c r="I728" i="2"/>
  <c r="J728" i="2" s="1"/>
  <c r="I729" i="2"/>
  <c r="J729" i="2" s="1"/>
  <c r="I730" i="2"/>
  <c r="J730" i="2" s="1"/>
  <c r="I731" i="2"/>
  <c r="J731" i="2" s="1"/>
  <c r="I732" i="2"/>
  <c r="J732" i="2" s="1"/>
  <c r="I733" i="2"/>
  <c r="J733" i="2" s="1"/>
  <c r="I734" i="2"/>
  <c r="J734" i="2" s="1"/>
  <c r="I735" i="2"/>
  <c r="J735" i="2" s="1"/>
  <c r="I736" i="2"/>
  <c r="J736" i="2" s="1"/>
  <c r="I737" i="2"/>
  <c r="J737" i="2" s="1"/>
  <c r="I738" i="2"/>
  <c r="J738" i="2" s="1"/>
  <c r="I739" i="2"/>
  <c r="J739" i="2" s="1"/>
  <c r="I740" i="2"/>
  <c r="J740" i="2" s="1"/>
  <c r="I741" i="2"/>
  <c r="J741" i="2" s="1"/>
  <c r="I742" i="2"/>
  <c r="J742" i="2" s="1"/>
  <c r="I743" i="2"/>
  <c r="J743" i="2" s="1"/>
  <c r="I744" i="2"/>
  <c r="J744" i="2" s="1"/>
  <c r="I745" i="2"/>
  <c r="J745" i="2" s="1"/>
  <c r="I746" i="2"/>
  <c r="J746" i="2" s="1"/>
  <c r="I747" i="2"/>
  <c r="J747" i="2" s="1"/>
  <c r="I748" i="2"/>
  <c r="J748" i="2" s="1"/>
  <c r="I749" i="2"/>
  <c r="J749" i="2" s="1"/>
  <c r="I750" i="2"/>
  <c r="J750" i="2" s="1"/>
  <c r="I751" i="2"/>
  <c r="J751" i="2" s="1"/>
  <c r="I752" i="2"/>
  <c r="J752" i="2" s="1"/>
  <c r="I753" i="2"/>
  <c r="J753" i="2" s="1"/>
  <c r="I754" i="2"/>
  <c r="J754" i="2" s="1"/>
  <c r="I755" i="2"/>
  <c r="J755" i="2" s="1"/>
  <c r="I756" i="2"/>
  <c r="J756" i="2" s="1"/>
  <c r="I757" i="2"/>
  <c r="J757" i="2" s="1"/>
  <c r="I758" i="2"/>
  <c r="J758" i="2" s="1"/>
  <c r="I759" i="2"/>
  <c r="J759" i="2" s="1"/>
  <c r="I760" i="2"/>
  <c r="J760" i="2" s="1"/>
  <c r="I761" i="2"/>
  <c r="J761" i="2" s="1"/>
  <c r="I762" i="2"/>
  <c r="J762" i="2" s="1"/>
  <c r="I763" i="2"/>
  <c r="J763" i="2" s="1"/>
  <c r="I764" i="2"/>
  <c r="J764" i="2" s="1"/>
  <c r="I765" i="2"/>
  <c r="J765" i="2" s="1"/>
  <c r="I766" i="2"/>
  <c r="J766" i="2" s="1"/>
  <c r="I767" i="2"/>
  <c r="J767" i="2" s="1"/>
  <c r="I768" i="2"/>
  <c r="J768" i="2" s="1"/>
  <c r="I769" i="2"/>
  <c r="J769" i="2" s="1"/>
  <c r="I770" i="2"/>
  <c r="J770" i="2" s="1"/>
  <c r="I771" i="2"/>
  <c r="J771" i="2" s="1"/>
  <c r="I772" i="2"/>
  <c r="J772" i="2" s="1"/>
  <c r="I773" i="2"/>
  <c r="J773" i="2" s="1"/>
  <c r="I774" i="2"/>
  <c r="J774" i="2" s="1"/>
  <c r="I775" i="2"/>
  <c r="J775" i="2" s="1"/>
  <c r="I776" i="2"/>
  <c r="J776" i="2" s="1"/>
  <c r="I777" i="2"/>
  <c r="J777" i="2" s="1"/>
  <c r="I778" i="2"/>
  <c r="J778" i="2" s="1"/>
  <c r="I779" i="2"/>
  <c r="J779" i="2" s="1"/>
  <c r="I780" i="2"/>
  <c r="J780" i="2" s="1"/>
  <c r="I781" i="2"/>
  <c r="J781" i="2" s="1"/>
  <c r="I782" i="2"/>
  <c r="J782" i="2" s="1"/>
  <c r="I783" i="2"/>
  <c r="J783" i="2" s="1"/>
  <c r="I784" i="2"/>
  <c r="J784" i="2" s="1"/>
  <c r="I785" i="2"/>
  <c r="J785" i="2" s="1"/>
  <c r="I786" i="2"/>
  <c r="J786" i="2" s="1"/>
  <c r="I787" i="2"/>
  <c r="J787" i="2" s="1"/>
  <c r="I788" i="2"/>
  <c r="J788" i="2" s="1"/>
  <c r="I789" i="2"/>
  <c r="J789" i="2" s="1"/>
  <c r="I790" i="2"/>
  <c r="J790" i="2" s="1"/>
  <c r="I791" i="2"/>
  <c r="J791" i="2" s="1"/>
  <c r="I792" i="2"/>
  <c r="J792" i="2" s="1"/>
  <c r="I793" i="2"/>
  <c r="J793" i="2" s="1"/>
  <c r="I794" i="2"/>
  <c r="J794" i="2" s="1"/>
  <c r="I795" i="2"/>
  <c r="J795" i="2" s="1"/>
  <c r="I796" i="2"/>
  <c r="J796" i="2" s="1"/>
  <c r="I797" i="2"/>
  <c r="J797" i="2" s="1"/>
  <c r="I798" i="2"/>
  <c r="J798" i="2" s="1"/>
  <c r="I799" i="2"/>
  <c r="J799" i="2" s="1"/>
  <c r="I800" i="2"/>
  <c r="J800" i="2" s="1"/>
  <c r="I801" i="2"/>
  <c r="J801" i="2" s="1"/>
  <c r="I802" i="2"/>
  <c r="J802" i="2" s="1"/>
  <c r="I803" i="2"/>
  <c r="J803" i="2" s="1"/>
  <c r="I804" i="2"/>
  <c r="J804" i="2" s="1"/>
  <c r="I805" i="2"/>
  <c r="J805" i="2" s="1"/>
  <c r="I806" i="2"/>
  <c r="J806" i="2" s="1"/>
  <c r="I807" i="2"/>
  <c r="J807" i="2" s="1"/>
  <c r="I808" i="2"/>
  <c r="J808" i="2" s="1"/>
  <c r="I809" i="2"/>
  <c r="J809" i="2" s="1"/>
  <c r="I810" i="2"/>
  <c r="J810" i="2" s="1"/>
  <c r="I811" i="2"/>
  <c r="J811" i="2" s="1"/>
  <c r="I812" i="2"/>
  <c r="J812" i="2" s="1"/>
  <c r="I813" i="2"/>
  <c r="J813" i="2" s="1"/>
  <c r="I814" i="2"/>
  <c r="J814" i="2" s="1"/>
  <c r="I815" i="2"/>
  <c r="J815" i="2" s="1"/>
  <c r="I816" i="2"/>
  <c r="J816" i="2" s="1"/>
  <c r="I817" i="2"/>
  <c r="J817" i="2" s="1"/>
  <c r="I818" i="2"/>
  <c r="J818" i="2" s="1"/>
  <c r="I819" i="2"/>
  <c r="J819" i="2" s="1"/>
  <c r="I820" i="2"/>
  <c r="J820" i="2" s="1"/>
  <c r="I821" i="2"/>
  <c r="J821" i="2" s="1"/>
  <c r="I822" i="2"/>
  <c r="J822" i="2" s="1"/>
  <c r="I823" i="2"/>
  <c r="J823" i="2" s="1"/>
  <c r="I824" i="2"/>
  <c r="J824" i="2" s="1"/>
  <c r="I825" i="2"/>
  <c r="J825" i="2" s="1"/>
  <c r="I826" i="2"/>
  <c r="J826" i="2" s="1"/>
  <c r="I827" i="2"/>
  <c r="J827" i="2" s="1"/>
  <c r="I828" i="2"/>
  <c r="J828" i="2" s="1"/>
  <c r="I829" i="2"/>
  <c r="J829" i="2" s="1"/>
  <c r="I830" i="2"/>
  <c r="J830" i="2" s="1"/>
  <c r="I831" i="2"/>
  <c r="J831" i="2" s="1"/>
  <c r="I832" i="2"/>
  <c r="J832" i="2" s="1"/>
  <c r="I833" i="2"/>
  <c r="J833" i="2" s="1"/>
  <c r="I834" i="2"/>
  <c r="J834" i="2" s="1"/>
  <c r="I835" i="2"/>
  <c r="J835" i="2" s="1"/>
  <c r="I836" i="2"/>
  <c r="J836" i="2" s="1"/>
  <c r="I837" i="2"/>
  <c r="J837" i="2" s="1"/>
  <c r="I838" i="2"/>
  <c r="J838" i="2" s="1"/>
  <c r="I839" i="2"/>
  <c r="J839" i="2" s="1"/>
  <c r="I840" i="2"/>
  <c r="J840" i="2" s="1"/>
  <c r="I841" i="2"/>
  <c r="J841" i="2" s="1"/>
  <c r="I842" i="2"/>
  <c r="J842" i="2" s="1"/>
  <c r="I843" i="2"/>
  <c r="J843" i="2" s="1"/>
  <c r="I844" i="2"/>
  <c r="J844" i="2" s="1"/>
  <c r="I845" i="2"/>
  <c r="J845" i="2" s="1"/>
  <c r="I846" i="2"/>
  <c r="J846" i="2" s="1"/>
  <c r="I847" i="2"/>
  <c r="J847" i="2" s="1"/>
  <c r="I848" i="2"/>
  <c r="J848" i="2" s="1"/>
  <c r="I849" i="2"/>
  <c r="J849" i="2" s="1"/>
  <c r="I850" i="2"/>
  <c r="J850" i="2" s="1"/>
  <c r="I851" i="2"/>
  <c r="J851" i="2" s="1"/>
  <c r="I852" i="2"/>
  <c r="J852" i="2" s="1"/>
  <c r="I853" i="2"/>
  <c r="J853" i="2" s="1"/>
  <c r="I854" i="2"/>
  <c r="J854" i="2" s="1"/>
  <c r="I855" i="2"/>
  <c r="J855" i="2" s="1"/>
  <c r="I856" i="2"/>
  <c r="J856" i="2" s="1"/>
  <c r="I857" i="2"/>
  <c r="J857" i="2" s="1"/>
  <c r="I858" i="2"/>
  <c r="J858" i="2" s="1"/>
  <c r="I859" i="2"/>
  <c r="J859" i="2" s="1"/>
  <c r="I860" i="2"/>
  <c r="J860" i="2" s="1"/>
  <c r="I861" i="2"/>
  <c r="J861" i="2" s="1"/>
  <c r="I862" i="2"/>
  <c r="J862" i="2" s="1"/>
  <c r="I863" i="2"/>
  <c r="J863" i="2" s="1"/>
  <c r="I864" i="2"/>
  <c r="J864" i="2" s="1"/>
  <c r="I865" i="2"/>
  <c r="J865" i="2" s="1"/>
  <c r="I866" i="2"/>
  <c r="J866" i="2" s="1"/>
  <c r="I867" i="2"/>
  <c r="J867" i="2" s="1"/>
  <c r="I868" i="2"/>
  <c r="J868" i="2" s="1"/>
  <c r="I869" i="2"/>
  <c r="J869" i="2" s="1"/>
  <c r="I870" i="2"/>
  <c r="J870" i="2" s="1"/>
  <c r="I871" i="2"/>
  <c r="J871" i="2" s="1"/>
  <c r="I872" i="2"/>
  <c r="J872" i="2" s="1"/>
  <c r="I873" i="2"/>
  <c r="J873" i="2" s="1"/>
  <c r="I874" i="2"/>
  <c r="J874" i="2" s="1"/>
  <c r="I875" i="2"/>
  <c r="J875" i="2" s="1"/>
  <c r="I876" i="2"/>
  <c r="J876" i="2" s="1"/>
  <c r="I877" i="2"/>
  <c r="J877" i="2" s="1"/>
  <c r="I878" i="2"/>
  <c r="J878" i="2" s="1"/>
  <c r="I879" i="2"/>
  <c r="J879" i="2" s="1"/>
  <c r="I880" i="2"/>
  <c r="J880" i="2" s="1"/>
  <c r="I881" i="2"/>
  <c r="J881" i="2" s="1"/>
  <c r="I882" i="2"/>
  <c r="J882" i="2" s="1"/>
  <c r="I883" i="2"/>
  <c r="J883" i="2" s="1"/>
  <c r="I884" i="2"/>
  <c r="J884" i="2" s="1"/>
  <c r="I885" i="2"/>
  <c r="J885" i="2" s="1"/>
  <c r="I886" i="2"/>
  <c r="J886" i="2" s="1"/>
  <c r="I887" i="2"/>
  <c r="J887" i="2" s="1"/>
  <c r="I888" i="2"/>
  <c r="J888" i="2" s="1"/>
  <c r="I889" i="2"/>
  <c r="J889" i="2" s="1"/>
  <c r="I890" i="2"/>
  <c r="J890" i="2" s="1"/>
  <c r="I891" i="2"/>
  <c r="J891" i="2" s="1"/>
  <c r="I892" i="2"/>
  <c r="J892" i="2" s="1"/>
  <c r="I893" i="2"/>
  <c r="J893" i="2" s="1"/>
  <c r="I894" i="2"/>
  <c r="J894" i="2" s="1"/>
  <c r="I895" i="2"/>
  <c r="J895" i="2" s="1"/>
  <c r="I896" i="2"/>
  <c r="J896" i="2" s="1"/>
  <c r="I897" i="2"/>
  <c r="J897" i="2" s="1"/>
  <c r="I898" i="2"/>
  <c r="J898" i="2" s="1"/>
  <c r="I899" i="2"/>
  <c r="J899" i="2" s="1"/>
  <c r="I900" i="2"/>
  <c r="J900" i="2" s="1"/>
  <c r="I901" i="2"/>
  <c r="J901" i="2" s="1"/>
  <c r="I902" i="2"/>
  <c r="J902" i="2" s="1"/>
  <c r="I903" i="2"/>
  <c r="J903" i="2" s="1"/>
  <c r="I904" i="2"/>
  <c r="J904" i="2" s="1"/>
  <c r="I905" i="2"/>
  <c r="J905" i="2" s="1"/>
  <c r="I906" i="2"/>
  <c r="J906" i="2" s="1"/>
  <c r="I907" i="2"/>
  <c r="J907" i="2" s="1"/>
  <c r="I908" i="2"/>
  <c r="J908" i="2" s="1"/>
  <c r="I909" i="2"/>
  <c r="J909" i="2" s="1"/>
  <c r="I910" i="2"/>
  <c r="J910" i="2" s="1"/>
  <c r="I911" i="2"/>
  <c r="J911" i="2" s="1"/>
  <c r="I912" i="2"/>
  <c r="J912" i="2" s="1"/>
  <c r="I913" i="2"/>
  <c r="J913" i="2" s="1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AA3232" i="3" l="1"/>
  <c r="AA3231" i="3"/>
  <c r="AA1181" i="3" l="1"/>
  <c r="Q38" i="16"/>
  <c r="R45" i="16" l="1"/>
  <c r="R44" i="16"/>
  <c r="R43" i="16"/>
  <c r="R42" i="16"/>
  <c r="R38" i="16"/>
  <c r="R35" i="16"/>
  <c r="P45" i="16"/>
  <c r="P35" i="16"/>
  <c r="N45" i="16"/>
  <c r="N35" i="16"/>
  <c r="L45" i="16"/>
  <c r="L35" i="16"/>
  <c r="J45" i="16"/>
  <c r="J35" i="16"/>
  <c r="H45" i="16"/>
  <c r="H35" i="16"/>
  <c r="F45" i="16"/>
  <c r="F35" i="16"/>
  <c r="D3" i="16"/>
  <c r="O38" i="16" l="1"/>
  <c r="P38" i="16" s="1"/>
  <c r="K38" i="16"/>
  <c r="L38" i="16" s="1"/>
  <c r="M38" i="16"/>
  <c r="N38" i="16" s="1"/>
  <c r="I38" i="16"/>
  <c r="J38" i="16" s="1"/>
  <c r="G38" i="16"/>
  <c r="H38" i="16" s="1"/>
  <c r="E38" i="16"/>
  <c r="F38" i="16" s="1"/>
  <c r="AA3583" i="3"/>
  <c r="AA3582" i="3"/>
  <c r="AA3581" i="3"/>
  <c r="AA3453" i="3"/>
  <c r="AA3452" i="3"/>
  <c r="AA3451" i="3"/>
  <c r="AA3396" i="3"/>
  <c r="AA3395" i="3"/>
  <c r="AA3234" i="3"/>
  <c r="AA3233" i="3"/>
  <c r="AA2726" i="3"/>
  <c r="AA2725" i="3"/>
  <c r="AA2721" i="3"/>
  <c r="AA2720" i="3"/>
  <c r="AA1416" i="3"/>
  <c r="AA1415" i="3"/>
  <c r="AA1402" i="3"/>
  <c r="AA1401" i="3"/>
  <c r="AA1322" i="3"/>
  <c r="AA1321" i="3"/>
  <c r="AA1022" i="3"/>
  <c r="AA1021" i="3"/>
  <c r="AA1018" i="3"/>
  <c r="AA1017" i="3"/>
  <c r="AA1016" i="3"/>
  <c r="AA1015" i="3"/>
  <c r="AA764" i="3"/>
  <c r="AA763" i="3"/>
  <c r="AA742" i="3"/>
  <c r="AA741" i="3"/>
  <c r="AA595" i="3"/>
  <c r="AA594" i="3"/>
  <c r="AA480" i="3"/>
  <c r="AA479" i="3"/>
  <c r="AA362" i="3"/>
  <c r="AA361" i="3"/>
  <c r="AA360" i="3"/>
  <c r="AA359" i="3"/>
  <c r="AA2916" i="3"/>
  <c r="AA2915" i="3"/>
  <c r="AA2914" i="3"/>
  <c r="AA2913" i="3"/>
  <c r="AA2912" i="3"/>
  <c r="AA2911" i="3"/>
  <c r="AA2910" i="3"/>
  <c r="AA2909" i="3"/>
  <c r="AA2908" i="3"/>
  <c r="AA2907" i="3"/>
  <c r="AA2906" i="3"/>
  <c r="AA2905" i="3"/>
  <c r="AA2904" i="3"/>
  <c r="AA2903" i="3"/>
  <c r="AA2902" i="3"/>
  <c r="AA2901" i="3"/>
  <c r="AA2900" i="3"/>
  <c r="AA2899" i="3"/>
  <c r="AA2898" i="3"/>
  <c r="AA2897" i="3"/>
  <c r="AA2896" i="3"/>
  <c r="AA2895" i="3"/>
  <c r="AA2894" i="3"/>
  <c r="AA2893" i="3"/>
  <c r="AA2892" i="3"/>
  <c r="AA2891" i="3"/>
  <c r="AA2890" i="3"/>
  <c r="AA2889" i="3"/>
  <c r="AA2888" i="3"/>
  <c r="AA2887" i="3"/>
  <c r="AA2886" i="3"/>
  <c r="AA2885" i="3"/>
  <c r="AA2884" i="3"/>
  <c r="AA2883" i="3"/>
  <c r="AA2882" i="3"/>
  <c r="AA2881" i="3"/>
  <c r="AA2880" i="3"/>
  <c r="AA2879" i="3"/>
  <c r="AA2878" i="3"/>
  <c r="AA2877" i="3"/>
  <c r="AA2876" i="3"/>
  <c r="AA2875" i="3"/>
  <c r="AA2874" i="3"/>
  <c r="AA2873" i="3"/>
  <c r="AA2872" i="3"/>
  <c r="AA2871" i="3"/>
  <c r="AA2870" i="3"/>
  <c r="AA2869" i="3"/>
  <c r="AA2868" i="3"/>
  <c r="AA2867" i="3"/>
  <c r="AA2866" i="3"/>
  <c r="AA2865" i="3"/>
  <c r="AA2864" i="3"/>
  <c r="AA2863" i="3"/>
  <c r="AA2862" i="3"/>
  <c r="AA2861" i="3"/>
  <c r="AA2860" i="3"/>
  <c r="AA2859" i="3"/>
  <c r="AA2858" i="3"/>
  <c r="AA2857" i="3"/>
  <c r="AA2856" i="3"/>
  <c r="AA2855" i="3"/>
  <c r="AA2854" i="3"/>
  <c r="AA2853" i="3"/>
  <c r="AA2852" i="3"/>
  <c r="AA2851" i="3"/>
  <c r="AA2850" i="3"/>
  <c r="AA2849" i="3"/>
  <c r="AA2848" i="3"/>
  <c r="AA2847" i="3"/>
  <c r="AA2846" i="3"/>
  <c r="AA2845" i="3"/>
  <c r="AA2844" i="3"/>
  <c r="AA2843" i="3"/>
  <c r="AA2842" i="3"/>
  <c r="AA2841" i="3"/>
  <c r="AA2840" i="3"/>
  <c r="AA2839" i="3"/>
  <c r="AA2838" i="3"/>
  <c r="AA2837" i="3"/>
  <c r="AA2836" i="3"/>
  <c r="AA2835" i="3"/>
  <c r="AA2834" i="3"/>
  <c r="AA2833" i="3"/>
  <c r="AA2832" i="3"/>
  <c r="AA2831" i="3"/>
  <c r="AA2830" i="3"/>
  <c r="AA2829" i="3"/>
  <c r="AA2828" i="3"/>
  <c r="AA2827" i="3"/>
  <c r="AA2826" i="3"/>
  <c r="AA2825" i="3"/>
  <c r="AA2824" i="3"/>
  <c r="AA2823" i="3"/>
  <c r="AA2822" i="3"/>
  <c r="AA2821" i="3"/>
  <c r="AA2820" i="3"/>
  <c r="AA2819" i="3"/>
  <c r="AA368" i="3"/>
  <c r="AA367" i="3"/>
  <c r="AA366" i="3"/>
  <c r="AA365" i="3"/>
  <c r="AA364" i="3"/>
  <c r="AA363" i="3"/>
  <c r="AA3457" i="3"/>
  <c r="AA3456" i="3"/>
  <c r="AA3455" i="3"/>
  <c r="AA3454" i="3"/>
  <c r="AA2786" i="3"/>
  <c r="AA2785" i="3"/>
  <c r="AA1020" i="3"/>
  <c r="AA1019" i="3"/>
  <c r="AA933" i="3"/>
  <c r="AA932" i="3"/>
  <c r="AA931" i="3"/>
  <c r="AA930" i="3"/>
  <c r="AA929" i="3"/>
  <c r="AA928" i="3"/>
  <c r="AA927" i="3"/>
  <c r="AA926" i="3"/>
  <c r="AA925" i="3"/>
  <c r="AA924" i="3"/>
  <c r="AA923" i="3"/>
  <c r="AA922" i="3"/>
  <c r="AA921" i="3"/>
  <c r="AA762" i="3"/>
  <c r="AA761" i="3"/>
  <c r="AA760" i="3"/>
  <c r="AA759" i="3"/>
  <c r="AA758" i="3"/>
  <c r="AA757" i="3"/>
  <c r="AA756" i="3"/>
  <c r="AA755" i="3"/>
  <c r="AA754" i="3"/>
  <c r="AA753" i="3"/>
  <c r="AA752" i="3"/>
  <c r="AA751" i="3"/>
  <c r="AA750" i="3"/>
  <c r="AA749" i="3"/>
  <c r="AA748" i="3"/>
  <c r="AA747" i="3"/>
  <c r="AA746" i="3"/>
  <c r="AA745" i="3"/>
  <c r="AA560" i="3"/>
  <c r="AA559" i="3"/>
  <c r="AA558" i="3"/>
  <c r="AA557" i="3"/>
  <c r="AA556" i="3"/>
  <c r="AA2767" i="3"/>
  <c r="AA2766" i="3"/>
  <c r="AA2765" i="3"/>
  <c r="AA2764" i="3"/>
  <c r="AA2763" i="3"/>
  <c r="AA2762" i="3"/>
  <c r="AA2761" i="3"/>
  <c r="AA2760" i="3"/>
  <c r="AA2759" i="3"/>
  <c r="AA2758" i="3"/>
  <c r="AA2757" i="3"/>
  <c r="AA2756" i="3"/>
  <c r="AA2755" i="3"/>
  <c r="AA2754" i="3"/>
  <c r="AA2753" i="3"/>
  <c r="AA2752" i="3"/>
  <c r="AA2751" i="3"/>
  <c r="AA2750" i="3"/>
  <c r="AA2749" i="3"/>
  <c r="AA2748" i="3"/>
  <c r="AA2747" i="3"/>
  <c r="AA2746" i="3"/>
  <c r="AA2745" i="3"/>
  <c r="AA2744" i="3"/>
  <c r="AA2743" i="3"/>
  <c r="AA2742" i="3"/>
  <c r="AA2741" i="3"/>
  <c r="AA2740" i="3"/>
  <c r="AA2739" i="3"/>
  <c r="AA2738" i="3"/>
  <c r="AA2719" i="3"/>
  <c r="AA2718" i="3"/>
  <c r="AA2717" i="3"/>
  <c r="AA2716" i="3"/>
  <c r="AA2715" i="3"/>
  <c r="AA2714" i="3"/>
  <c r="AA2713" i="3"/>
  <c r="AA2712" i="3"/>
  <c r="AA2711" i="3"/>
  <c r="AA2710" i="3"/>
  <c r="AA2709" i="3"/>
  <c r="AA2708" i="3"/>
  <c r="AA2707" i="3"/>
  <c r="AA2706" i="3"/>
  <c r="AA2705" i="3"/>
  <c r="AA2704" i="3"/>
  <c r="AA2703" i="3"/>
  <c r="AA2702" i="3"/>
  <c r="AA2701" i="3"/>
  <c r="AA2700" i="3"/>
  <c r="AA2699" i="3"/>
  <c r="AA2698" i="3"/>
  <c r="AA2697" i="3"/>
  <c r="AA2696" i="3"/>
  <c r="AA2695" i="3"/>
  <c r="AA2694" i="3"/>
  <c r="AA2693" i="3"/>
  <c r="AA2692" i="3"/>
  <c r="AA2691" i="3"/>
  <c r="AA2690" i="3"/>
  <c r="AA2689" i="3"/>
  <c r="AA2688" i="3"/>
  <c r="AA2687" i="3"/>
  <c r="AA2686" i="3"/>
  <c r="AA2685" i="3"/>
  <c r="AA2684" i="3"/>
  <c r="AA2683" i="3"/>
  <c r="AA2682" i="3"/>
  <c r="AA2681" i="3"/>
  <c r="AA2680" i="3"/>
  <c r="AA2679" i="3"/>
  <c r="AA2678" i="3"/>
  <c r="AA2677" i="3"/>
  <c r="AA2676" i="3"/>
  <c r="AA2675" i="3"/>
  <c r="AA2674" i="3"/>
  <c r="AA2673" i="3"/>
  <c r="AA2672" i="3"/>
  <c r="AA2671" i="3"/>
  <c r="AA2670" i="3"/>
  <c r="AA2669" i="3"/>
  <c r="AA2668" i="3"/>
  <c r="AA2667" i="3"/>
  <c r="AA2666" i="3"/>
  <c r="AA2665" i="3"/>
  <c r="AA2664" i="3"/>
  <c r="AA2663" i="3"/>
  <c r="AA2662" i="3"/>
  <c r="AA2661" i="3"/>
  <c r="AA2660" i="3"/>
  <c r="AA2659" i="3"/>
  <c r="AA2658" i="3"/>
  <c r="AA2657" i="3"/>
  <c r="AA2656" i="3"/>
  <c r="AA2655" i="3"/>
  <c r="AA2654" i="3"/>
  <c r="AA2653" i="3"/>
  <c r="AA2652" i="3"/>
  <c r="AA2651" i="3"/>
  <c r="AA2650" i="3"/>
  <c r="AA2649" i="3"/>
  <c r="AA2648" i="3"/>
  <c r="AA2647" i="3"/>
  <c r="AA2646" i="3"/>
  <c r="AA2645" i="3"/>
  <c r="AA2644" i="3"/>
  <c r="AA2643" i="3"/>
  <c r="AA2642" i="3"/>
  <c r="AA2641" i="3"/>
  <c r="AA2640" i="3"/>
  <c r="AA2639" i="3"/>
  <c r="AA2638" i="3"/>
  <c r="AA2637" i="3"/>
  <c r="AA2636" i="3"/>
  <c r="AA2635" i="3"/>
  <c r="AA2634" i="3"/>
  <c r="AA2633" i="3"/>
  <c r="AA2632" i="3"/>
  <c r="AA2631" i="3"/>
  <c r="AA2630" i="3"/>
  <c r="AA2629" i="3"/>
  <c r="AA2628" i="3"/>
  <c r="AA2627" i="3"/>
  <c r="AA2626" i="3"/>
  <c r="AA2625" i="3"/>
  <c r="AA2624" i="3"/>
  <c r="AA2623" i="3"/>
  <c r="AA2622" i="3"/>
  <c r="AA2621" i="3"/>
  <c r="AA2620" i="3"/>
  <c r="AA2619" i="3"/>
  <c r="AA2618" i="3"/>
  <c r="AA2617" i="3"/>
  <c r="AA2616" i="3"/>
  <c r="AA2615" i="3"/>
  <c r="AA2614" i="3"/>
  <c r="AA2613" i="3"/>
  <c r="AA2612" i="3"/>
  <c r="AA2611" i="3"/>
  <c r="AA2610" i="3"/>
  <c r="AA2609" i="3"/>
  <c r="AA2608" i="3"/>
  <c r="AA2607" i="3"/>
  <c r="AA2606" i="3"/>
  <c r="AA2605" i="3"/>
  <c r="AA2604" i="3"/>
  <c r="AA2603" i="3"/>
  <c r="AA2602" i="3"/>
  <c r="AA2601" i="3"/>
  <c r="AA2600" i="3"/>
  <c r="AA2599" i="3"/>
  <c r="AA2598" i="3"/>
  <c r="AA2597" i="3"/>
  <c r="AA2596" i="3"/>
  <c r="AA2595" i="3"/>
  <c r="AA2594" i="3"/>
  <c r="AA2593" i="3"/>
  <c r="AA2592" i="3"/>
  <c r="AA2591" i="3"/>
  <c r="AA2590" i="3"/>
  <c r="AA2589" i="3"/>
  <c r="AA2588" i="3"/>
  <c r="AA2587" i="3"/>
  <c r="AA2586" i="3"/>
  <c r="AA2585" i="3"/>
  <c r="AA2584" i="3"/>
  <c r="AA2583" i="3"/>
  <c r="AA2582" i="3"/>
  <c r="AA2581" i="3"/>
  <c r="AA2580" i="3"/>
  <c r="AA2579" i="3"/>
  <c r="AA2578" i="3"/>
  <c r="AA2577" i="3"/>
  <c r="AA2576" i="3"/>
  <c r="AA2575" i="3"/>
  <c r="AA2574" i="3"/>
  <c r="AA2573" i="3"/>
  <c r="AA2572" i="3"/>
  <c r="AA2571" i="3"/>
  <c r="AA2570" i="3"/>
  <c r="AA2569" i="3"/>
  <c r="AA2568" i="3"/>
  <c r="AA2567" i="3"/>
  <c r="AA2566" i="3"/>
  <c r="AA2565" i="3"/>
  <c r="AA2564" i="3"/>
  <c r="AA2563" i="3"/>
  <c r="AA2562" i="3"/>
  <c r="AA2561" i="3"/>
  <c r="AA2560" i="3"/>
  <c r="AA2559" i="3"/>
  <c r="AA2558" i="3"/>
  <c r="AA2557" i="3"/>
  <c r="AA2556" i="3"/>
  <c r="AA2555" i="3"/>
  <c r="AA2554" i="3"/>
  <c r="AA2553" i="3"/>
  <c r="AA2552" i="3"/>
  <c r="AA2551" i="3"/>
  <c r="AA2550" i="3"/>
  <c r="AA2549" i="3"/>
  <c r="AA2548" i="3"/>
  <c r="AA2547" i="3"/>
  <c r="AA2546" i="3"/>
  <c r="AA2545" i="3"/>
  <c r="AA2544" i="3"/>
  <c r="AA2543" i="3"/>
  <c r="AA2542" i="3"/>
  <c r="AA2541" i="3"/>
  <c r="AA2540" i="3"/>
  <c r="AA2539" i="3"/>
  <c r="AA2538" i="3"/>
  <c r="AA2537" i="3"/>
  <c r="AA2536" i="3"/>
  <c r="AA2535" i="3"/>
  <c r="AA2534" i="3"/>
  <c r="AA2533" i="3"/>
  <c r="AA2532" i="3"/>
  <c r="AA2531" i="3"/>
  <c r="AA2530" i="3"/>
  <c r="AA2529" i="3"/>
  <c r="AA2528" i="3"/>
  <c r="AA2527" i="3"/>
  <c r="AA2526" i="3"/>
  <c r="AA2525" i="3"/>
  <c r="AA2524" i="3"/>
  <c r="AA2523" i="3"/>
  <c r="AA2522" i="3"/>
  <c r="AA2521" i="3"/>
  <c r="AA2520" i="3"/>
  <c r="AA2519" i="3"/>
  <c r="AA2518" i="3"/>
  <c r="AA2517" i="3"/>
  <c r="AA2516" i="3"/>
  <c r="AA2515" i="3"/>
  <c r="AA2514" i="3"/>
  <c r="AA2513" i="3"/>
  <c r="AA2512" i="3"/>
  <c r="AA2511" i="3"/>
  <c r="AA2510" i="3"/>
  <c r="AA2509" i="3"/>
  <c r="AA2508" i="3"/>
  <c r="AA2507" i="3"/>
  <c r="AA2506" i="3"/>
  <c r="AA2505" i="3"/>
  <c r="AA2504" i="3"/>
  <c r="AA2503" i="3"/>
  <c r="AA2502" i="3"/>
  <c r="AA2501" i="3"/>
  <c r="AA2500" i="3"/>
  <c r="AA2499" i="3"/>
  <c r="AA2498" i="3"/>
  <c r="AA2497" i="3"/>
  <c r="AA2496" i="3"/>
  <c r="AA2495" i="3"/>
  <c r="AA2494" i="3"/>
  <c r="AA2493" i="3"/>
  <c r="AA2492" i="3"/>
  <c r="AA2491" i="3"/>
  <c r="AA2490" i="3"/>
  <c r="AA2489" i="3"/>
  <c r="AA2488" i="3"/>
  <c r="AA2487" i="3"/>
  <c r="AA2486" i="3"/>
  <c r="AA2485" i="3"/>
  <c r="AA2484" i="3"/>
  <c r="AA2483" i="3"/>
  <c r="AA2482" i="3"/>
  <c r="AA2481" i="3"/>
  <c r="AA2480" i="3"/>
  <c r="AA2479" i="3"/>
  <c r="AA2478" i="3"/>
  <c r="AA2477" i="3"/>
  <c r="AA2476" i="3"/>
  <c r="AA2475" i="3"/>
  <c r="AA2474" i="3"/>
  <c r="AA2473" i="3"/>
  <c r="AA2472" i="3"/>
  <c r="AA2471" i="3"/>
  <c r="AA2470" i="3"/>
  <c r="AA2469" i="3"/>
  <c r="AA2468" i="3"/>
  <c r="AA2467" i="3"/>
  <c r="AA2466" i="3"/>
  <c r="AA2465" i="3"/>
  <c r="AA2464" i="3"/>
  <c r="AA2463" i="3"/>
  <c r="AA2462" i="3"/>
  <c r="AA2461" i="3"/>
  <c r="AA2460" i="3"/>
  <c r="AA2459" i="3"/>
  <c r="AA2458" i="3"/>
  <c r="AA2457" i="3"/>
  <c r="AA2456" i="3"/>
  <c r="AA2455" i="3"/>
  <c r="AA2454" i="3"/>
  <c r="AA2453" i="3"/>
  <c r="AA2452" i="3"/>
  <c r="AA2451" i="3"/>
  <c r="AA2450" i="3"/>
  <c r="AA2449" i="3"/>
  <c r="AA2448" i="3"/>
  <c r="AA2447" i="3"/>
  <c r="AA2446" i="3"/>
  <c r="AA2445" i="3"/>
  <c r="AA2444" i="3"/>
  <c r="AA2443" i="3"/>
  <c r="AA2442" i="3"/>
  <c r="AA2441" i="3"/>
  <c r="AA2440" i="3"/>
  <c r="AA2439" i="3"/>
  <c r="AA2438" i="3"/>
  <c r="AA2437" i="3"/>
  <c r="AA2436" i="3"/>
  <c r="AA2435" i="3"/>
  <c r="AA2434" i="3"/>
  <c r="AA2433" i="3"/>
  <c r="AA2432" i="3"/>
  <c r="AA2431" i="3"/>
  <c r="AA2430" i="3"/>
  <c r="AA2429" i="3"/>
  <c r="AA2428" i="3"/>
  <c r="AA2427" i="3"/>
  <c r="AA2426" i="3"/>
  <c r="AA2425" i="3"/>
  <c r="AA2424" i="3"/>
  <c r="AA2423" i="3"/>
  <c r="AA2422" i="3"/>
  <c r="AA2421" i="3"/>
  <c r="AA2420" i="3"/>
  <c r="AA2419" i="3"/>
  <c r="AA2418" i="3"/>
  <c r="AA2417" i="3"/>
  <c r="AA2416" i="3"/>
  <c r="AA2415" i="3"/>
  <c r="AA2414" i="3"/>
  <c r="AA2413" i="3"/>
  <c r="AA2412" i="3"/>
  <c r="AA2411" i="3"/>
  <c r="AA2410" i="3"/>
  <c r="AA2409" i="3"/>
  <c r="AA2408" i="3"/>
  <c r="AA2407" i="3"/>
  <c r="AA2406" i="3"/>
  <c r="AA2405" i="3"/>
  <c r="AA1030" i="3"/>
  <c r="AA1029" i="3"/>
  <c r="AA1028" i="3"/>
  <c r="AA1027" i="3"/>
  <c r="AA1026" i="3"/>
  <c r="AA1025" i="3"/>
  <c r="AA1024" i="3"/>
  <c r="AA1023" i="3"/>
  <c r="AA1014" i="3"/>
  <c r="AA1013" i="3"/>
  <c r="AA1012" i="3"/>
  <c r="AA555" i="3"/>
  <c r="AA554" i="3"/>
  <c r="AA553" i="3"/>
  <c r="AA552" i="3"/>
  <c r="AA551" i="3"/>
  <c r="AA550" i="3"/>
  <c r="AA549" i="3"/>
  <c r="AA548" i="3"/>
  <c r="AA547" i="3"/>
  <c r="AA546" i="3"/>
  <c r="AA545" i="3"/>
  <c r="AA544" i="3"/>
  <c r="AA543" i="3"/>
  <c r="AA542" i="3"/>
  <c r="AA541" i="3"/>
  <c r="AA540" i="3"/>
  <c r="AA539" i="3"/>
  <c r="AA538" i="3"/>
  <c r="AA537" i="3"/>
  <c r="AA536" i="3"/>
  <c r="AA535" i="3"/>
  <c r="AA534" i="3"/>
  <c r="AA533" i="3"/>
  <c r="AA532" i="3"/>
  <c r="AA531" i="3"/>
  <c r="AA530" i="3"/>
  <c r="AA526" i="3"/>
  <c r="AA525" i="3"/>
  <c r="AA524" i="3"/>
  <c r="AA523" i="3"/>
  <c r="AA522" i="3"/>
  <c r="AA521" i="3"/>
  <c r="AA520" i="3"/>
  <c r="AA519" i="3"/>
  <c r="AA317" i="3"/>
  <c r="AA316" i="3"/>
  <c r="AA315" i="3"/>
  <c r="AA314" i="3"/>
  <c r="AA313" i="3"/>
  <c r="AA312" i="3"/>
  <c r="AA311" i="3"/>
  <c r="AA310" i="3"/>
  <c r="AA309" i="3"/>
  <c r="AA308" i="3"/>
  <c r="AA307" i="3"/>
  <c r="AA306" i="3"/>
  <c r="AA305" i="3"/>
  <c r="AA304" i="3"/>
  <c r="AA303" i="3"/>
  <c r="AA302" i="3"/>
  <c r="AA301" i="3"/>
  <c r="AA300" i="3"/>
  <c r="AA299" i="3"/>
  <c r="AA298" i="3"/>
  <c r="AA297" i="3"/>
  <c r="AA296" i="3"/>
  <c r="AA295" i="3"/>
  <c r="AA294" i="3"/>
  <c r="AA293" i="3"/>
  <c r="AA292" i="3"/>
  <c r="AA291" i="3"/>
  <c r="AA290" i="3"/>
  <c r="AA289" i="3"/>
  <c r="AA288" i="3"/>
  <c r="AA287" i="3"/>
  <c r="AA286" i="3"/>
  <c r="AA285" i="3"/>
  <c r="AA284" i="3"/>
  <c r="AA283" i="3"/>
  <c r="AA282" i="3"/>
  <c r="AA281" i="3"/>
  <c r="AA280" i="3"/>
  <c r="AA279" i="3"/>
  <c r="AA278" i="3"/>
  <c r="AA277" i="3"/>
  <c r="AA276" i="3"/>
  <c r="AA275" i="3"/>
  <c r="AA274" i="3"/>
  <c r="AA273" i="3"/>
  <c r="AA272" i="3"/>
  <c r="AA271" i="3"/>
  <c r="AA270" i="3"/>
  <c r="AA269" i="3"/>
  <c r="AA268" i="3"/>
  <c r="AA267" i="3"/>
  <c r="AA266" i="3"/>
  <c r="AA265" i="3"/>
  <c r="AA264" i="3"/>
  <c r="AA263" i="3"/>
  <c r="AA262" i="3"/>
  <c r="AA261" i="3"/>
  <c r="AA260" i="3"/>
  <c r="AA259" i="3"/>
  <c r="AA258" i="3"/>
  <c r="AA257" i="3"/>
  <c r="AA256" i="3"/>
  <c r="AA255" i="3"/>
  <c r="AA254" i="3"/>
  <c r="AA3401" i="3"/>
  <c r="AA3400" i="3"/>
  <c r="AA3399" i="3"/>
  <c r="AA3398" i="3"/>
  <c r="AA3397" i="3"/>
  <c r="AA3394" i="3"/>
  <c r="AA3393" i="3"/>
  <c r="AA3392" i="3"/>
  <c r="AA3391" i="3"/>
  <c r="AA3390" i="3"/>
  <c r="AA3389" i="3"/>
  <c r="AA3388" i="3"/>
  <c r="AA3387" i="3"/>
  <c r="AA3386" i="3"/>
  <c r="AA3385" i="3"/>
  <c r="AA3384" i="3"/>
  <c r="AA3383" i="3"/>
  <c r="AA3382" i="3"/>
  <c r="AA3381" i="3"/>
  <c r="AA2815" i="3"/>
  <c r="AA2814" i="3"/>
  <c r="AA2813" i="3"/>
  <c r="AA2812" i="3"/>
  <c r="AA2811" i="3"/>
  <c r="AA2810" i="3"/>
  <c r="AA2809" i="3"/>
  <c r="AA2808" i="3"/>
  <c r="AA2807" i="3"/>
  <c r="AA2806" i="3"/>
  <c r="AA2805" i="3"/>
  <c r="AA2804" i="3"/>
  <c r="AA2803" i="3"/>
  <c r="AA2737" i="3"/>
  <c r="AA2736" i="3"/>
  <c r="AA2735" i="3"/>
  <c r="AA2734" i="3"/>
  <c r="AA2733" i="3"/>
  <c r="AA2732" i="3"/>
  <c r="AA2731" i="3"/>
  <c r="AA2730" i="3"/>
  <c r="AA2729" i="3"/>
  <c r="AA2728" i="3"/>
  <c r="AA2727" i="3"/>
  <c r="AA1590" i="3"/>
  <c r="AA1589" i="3"/>
  <c r="AA1588" i="3"/>
  <c r="AA1587" i="3"/>
  <c r="AA1586" i="3"/>
  <c r="AA1585" i="3"/>
  <c r="AA1584" i="3"/>
  <c r="AA1583" i="3"/>
  <c r="AA1582" i="3"/>
  <c r="AA1470" i="3"/>
  <c r="AA1469" i="3"/>
  <c r="AA1468" i="3"/>
  <c r="AA1467" i="3"/>
  <c r="AA1466" i="3"/>
  <c r="AA1465" i="3"/>
  <c r="AA1464" i="3"/>
  <c r="AA1463" i="3"/>
  <c r="AA1462" i="3"/>
  <c r="AA1461" i="3"/>
  <c r="AA1460" i="3"/>
  <c r="AA1459" i="3"/>
  <c r="AA1431" i="3"/>
  <c r="AA1430" i="3"/>
  <c r="AA1429" i="3"/>
  <c r="AA1428" i="3"/>
  <c r="AA1427" i="3"/>
  <c r="AA1426" i="3"/>
  <c r="AA1425" i="3"/>
  <c r="AA1424" i="3"/>
  <c r="AA1423" i="3"/>
  <c r="AA1422" i="3"/>
  <c r="AA1421" i="3"/>
  <c r="AA1420" i="3"/>
  <c r="AA1419" i="3"/>
  <c r="AA1418" i="3"/>
  <c r="AA1417" i="3"/>
  <c r="AA1376" i="3"/>
  <c r="AA1375" i="3"/>
  <c r="AA1374" i="3"/>
  <c r="AA1373" i="3"/>
  <c r="AA1372" i="3"/>
  <c r="AA1371" i="3"/>
  <c r="AA1370" i="3"/>
  <c r="AA1283" i="3"/>
  <c r="AA1282" i="3"/>
  <c r="AA1281" i="3"/>
  <c r="AA1280" i="3"/>
  <c r="AA1279" i="3"/>
  <c r="AA1278" i="3"/>
  <c r="AA1277" i="3"/>
  <c r="AA1276" i="3"/>
  <c r="AA1275" i="3"/>
  <c r="AA1274" i="3"/>
  <c r="AA1273" i="3"/>
  <c r="AA1272" i="3"/>
  <c r="AA1271" i="3"/>
  <c r="AA1270" i="3"/>
  <c r="AA1269" i="3"/>
  <c r="AA1268" i="3"/>
  <c r="AA1267" i="3"/>
  <c r="AA1266" i="3"/>
  <c r="AA1265" i="3"/>
  <c r="AA1257" i="3"/>
  <c r="AA1256" i="3"/>
  <c r="AA1255" i="3"/>
  <c r="AA1254" i="3"/>
  <c r="AA1253" i="3"/>
  <c r="AA1252" i="3"/>
  <c r="AA1251" i="3"/>
  <c r="AA1250" i="3"/>
  <c r="AA1249" i="3"/>
  <c r="AA1248" i="3"/>
  <c r="AA1247" i="3"/>
  <c r="AA1246" i="3"/>
  <c r="AA1245" i="3"/>
  <c r="AA1244" i="3"/>
  <c r="AA1243" i="3"/>
  <c r="AA1242" i="3"/>
  <c r="AA1241" i="3"/>
  <c r="AA1240" i="3"/>
  <c r="AA1239" i="3"/>
  <c r="AA1238" i="3"/>
  <c r="AA1237" i="3"/>
  <c r="AA1236" i="3"/>
  <c r="AA1235" i="3"/>
  <c r="AA1011" i="3"/>
  <c r="AA1010" i="3"/>
  <c r="AA1009" i="3"/>
  <c r="AA1008" i="3"/>
  <c r="AA1007" i="3"/>
  <c r="AA1006" i="3"/>
  <c r="AA1005" i="3"/>
  <c r="AA1004" i="3"/>
  <c r="AA1003" i="3"/>
  <c r="AA966" i="3"/>
  <c r="AA965" i="3"/>
  <c r="AA964" i="3"/>
  <c r="AA963" i="3"/>
  <c r="AA962" i="3"/>
  <c r="AA961" i="3"/>
  <c r="AA960" i="3"/>
  <c r="AA959" i="3"/>
  <c r="AA958" i="3"/>
  <c r="AA957" i="3"/>
  <c r="AA956" i="3"/>
  <c r="AA955" i="3"/>
  <c r="AA954" i="3"/>
  <c r="AA953" i="3"/>
  <c r="AA952" i="3"/>
  <c r="AA951" i="3"/>
  <c r="AA950" i="3"/>
  <c r="AA949" i="3"/>
  <c r="AA948" i="3"/>
  <c r="AA947" i="3"/>
  <c r="AA946" i="3"/>
  <c r="AA945" i="3"/>
  <c r="AA944" i="3"/>
  <c r="AA943" i="3"/>
  <c r="AA942" i="3"/>
  <c r="AA941" i="3"/>
  <c r="AA940" i="3"/>
  <c r="AA795" i="3"/>
  <c r="AA794" i="3"/>
  <c r="AA793" i="3"/>
  <c r="AA792" i="3"/>
  <c r="AA791" i="3"/>
  <c r="AA790" i="3"/>
  <c r="AA789" i="3"/>
  <c r="AA788" i="3"/>
  <c r="AA787" i="3"/>
  <c r="AA786" i="3"/>
  <c r="AA785" i="3"/>
  <c r="AA784" i="3"/>
  <c r="AA783" i="3"/>
  <c r="AA782" i="3"/>
  <c r="AA781" i="3"/>
  <c r="AA733" i="3"/>
  <c r="AA732" i="3"/>
  <c r="AA731" i="3"/>
  <c r="AA730" i="3"/>
  <c r="AA729" i="3"/>
  <c r="AA728" i="3"/>
  <c r="AA727" i="3"/>
  <c r="AA726" i="3"/>
  <c r="AA725" i="3"/>
  <c r="AA724" i="3"/>
  <c r="AA723" i="3"/>
  <c r="AA722" i="3"/>
  <c r="AA721" i="3"/>
  <c r="AA720" i="3"/>
  <c r="AA719" i="3"/>
  <c r="AA718" i="3"/>
  <c r="AA717" i="3"/>
  <c r="AA716" i="3"/>
  <c r="AA715" i="3"/>
  <c r="AA714" i="3"/>
  <c r="AA713" i="3"/>
  <c r="AA712" i="3"/>
  <c r="AA711" i="3"/>
  <c r="AA710" i="3"/>
  <c r="AA709" i="3"/>
  <c r="AA698" i="3"/>
  <c r="AA697" i="3"/>
  <c r="AA696" i="3"/>
  <c r="AA695" i="3"/>
  <c r="AA694" i="3"/>
  <c r="AA693" i="3"/>
  <c r="AA692" i="3"/>
  <c r="AA691" i="3"/>
  <c r="AA690" i="3"/>
  <c r="AA689" i="3"/>
  <c r="AA688" i="3"/>
  <c r="AA687" i="3"/>
  <c r="AA686" i="3"/>
  <c r="AA685" i="3"/>
  <c r="AA684" i="3"/>
  <c r="AA683" i="3"/>
  <c r="AA682" i="3"/>
  <c r="AA681" i="3"/>
  <c r="AA680" i="3"/>
  <c r="AA679" i="3"/>
  <c r="AA678" i="3"/>
  <c r="AA677" i="3"/>
  <c r="AA676" i="3"/>
  <c r="AA675" i="3"/>
  <c r="AA674" i="3"/>
  <c r="AA673" i="3"/>
  <c r="AA665" i="3"/>
  <c r="AA664" i="3"/>
  <c r="AA663" i="3"/>
  <c r="AA662" i="3"/>
  <c r="AA661" i="3"/>
  <c r="AA660" i="3"/>
  <c r="AA659" i="3"/>
  <c r="AA658" i="3"/>
  <c r="AA657" i="3"/>
  <c r="AA656" i="3"/>
  <c r="AA655" i="3"/>
  <c r="AA654" i="3"/>
  <c r="AA653" i="3"/>
  <c r="AA652" i="3"/>
  <c r="AA651" i="3"/>
  <c r="AA650" i="3"/>
  <c r="AA649" i="3"/>
  <c r="AA648" i="3"/>
  <c r="AA647" i="3"/>
  <c r="AA646" i="3"/>
  <c r="AA645" i="3"/>
  <c r="AA644" i="3"/>
  <c r="AA643" i="3"/>
  <c r="AA642" i="3"/>
  <c r="AA641" i="3"/>
  <c r="AA640" i="3"/>
  <c r="AA639" i="3"/>
  <c r="AA638" i="3"/>
  <c r="AA637" i="3"/>
  <c r="AA636" i="3"/>
  <c r="AA635" i="3"/>
  <c r="AA634" i="3"/>
  <c r="AA633" i="3"/>
  <c r="AA632" i="3"/>
  <c r="AA631" i="3"/>
  <c r="AA630" i="3"/>
  <c r="AA629" i="3"/>
  <c r="AA628" i="3"/>
  <c r="AA627" i="3"/>
  <c r="AA626" i="3"/>
  <c r="AA625" i="3"/>
  <c r="AA624" i="3"/>
  <c r="AA623" i="3"/>
  <c r="AA622" i="3"/>
  <c r="AA621" i="3"/>
  <c r="AA620" i="3"/>
  <c r="AA619" i="3"/>
  <c r="AA618" i="3"/>
  <c r="AA617" i="3"/>
  <c r="AA616" i="3"/>
  <c r="AA615" i="3"/>
  <c r="AA614" i="3"/>
  <c r="AA613" i="3"/>
  <c r="AA612" i="3"/>
  <c r="AA611" i="3"/>
  <c r="AA610" i="3"/>
  <c r="AA609" i="3"/>
  <c r="AA608" i="3"/>
  <c r="AA607" i="3"/>
  <c r="AA606" i="3"/>
  <c r="AA605" i="3"/>
  <c r="AA604" i="3"/>
  <c r="AA603" i="3"/>
  <c r="AA602" i="3"/>
  <c r="AA601" i="3"/>
  <c r="AA600" i="3"/>
  <c r="AA599" i="3"/>
  <c r="AA598" i="3"/>
  <c r="AA597" i="3"/>
  <c r="AA596" i="3"/>
  <c r="AA593" i="3"/>
  <c r="AA592" i="3"/>
  <c r="AA591" i="3"/>
  <c r="AA590" i="3"/>
  <c r="AA589" i="3"/>
  <c r="AA588" i="3"/>
  <c r="AA587" i="3"/>
  <c r="AA586" i="3"/>
  <c r="AA585" i="3"/>
  <c r="AA584" i="3"/>
  <c r="AA583" i="3"/>
  <c r="AA582" i="3"/>
  <c r="AA581" i="3"/>
  <c r="AA580" i="3"/>
  <c r="AA579" i="3"/>
  <c r="AA578" i="3"/>
  <c r="AA577" i="3"/>
  <c r="AA576" i="3"/>
  <c r="AA575" i="3"/>
  <c r="AA574" i="3"/>
  <c r="AA573" i="3"/>
  <c r="AA572" i="3"/>
  <c r="AA571" i="3"/>
  <c r="AA570" i="3"/>
  <c r="AA569" i="3"/>
  <c r="AA568" i="3"/>
  <c r="AA567" i="3"/>
  <c r="AA566" i="3"/>
  <c r="AA565" i="3"/>
  <c r="AA564" i="3"/>
  <c r="AA563" i="3"/>
  <c r="AA562" i="3"/>
  <c r="AA561" i="3"/>
  <c r="AA508" i="3"/>
  <c r="AA507" i="3"/>
  <c r="AA506" i="3"/>
  <c r="AA505" i="3"/>
  <c r="AA504" i="3"/>
  <c r="AA503" i="3"/>
  <c r="AA502" i="3"/>
  <c r="AA501" i="3"/>
  <c r="AA500" i="3"/>
  <c r="AA499" i="3"/>
  <c r="AA498" i="3"/>
  <c r="AA497" i="3"/>
  <c r="AA496" i="3"/>
  <c r="AA495" i="3"/>
  <c r="AA494" i="3"/>
  <c r="AA493" i="3"/>
  <c r="AA492" i="3"/>
  <c r="AA491" i="3"/>
  <c r="AA490" i="3"/>
  <c r="AA489" i="3"/>
  <c r="AA488" i="3"/>
  <c r="AA487" i="3"/>
  <c r="AA486" i="3"/>
  <c r="AA485" i="3"/>
  <c r="AA484" i="3"/>
  <c r="AA483" i="3"/>
  <c r="AA482" i="3"/>
  <c r="AA481" i="3"/>
  <c r="AA358" i="3"/>
  <c r="AA357" i="3"/>
  <c r="AA356" i="3"/>
  <c r="AA355" i="3"/>
  <c r="AA354" i="3"/>
  <c r="AA353" i="3"/>
  <c r="AA352" i="3"/>
  <c r="AA351" i="3"/>
  <c r="AA350" i="3"/>
  <c r="AA349" i="3"/>
  <c r="AA348" i="3"/>
  <c r="AA347" i="3"/>
  <c r="AA346" i="3"/>
  <c r="AA3580" i="3"/>
  <c r="AA3579" i="3"/>
  <c r="AA3578" i="3"/>
  <c r="AA3577" i="3"/>
  <c r="AA3576" i="3"/>
  <c r="AA3575" i="3"/>
  <c r="AA3574" i="3"/>
  <c r="AA3475" i="3"/>
  <c r="AA3474" i="3"/>
  <c r="AA3473" i="3"/>
  <c r="AA3472" i="3"/>
  <c r="AA3471" i="3"/>
  <c r="AA3470" i="3"/>
  <c r="AA3469" i="3"/>
  <c r="AA3468" i="3"/>
  <c r="AA3467" i="3"/>
  <c r="AA3466" i="3"/>
  <c r="AA3465" i="3"/>
  <c r="AA3464" i="3"/>
  <c r="AA3463" i="3"/>
  <c r="AA3462" i="3"/>
  <c r="AA3461" i="3"/>
  <c r="AA3460" i="3"/>
  <c r="AA3459" i="3"/>
  <c r="AA3458" i="3"/>
  <c r="AA3450" i="3"/>
  <c r="AA3449" i="3"/>
  <c r="AA3448" i="3"/>
  <c r="AA3447" i="3"/>
  <c r="AA3446" i="3"/>
  <c r="AA3445" i="3"/>
  <c r="AA3444" i="3"/>
  <c r="AA3443" i="3"/>
  <c r="AA3442" i="3"/>
  <c r="AA3441" i="3"/>
  <c r="AA3440" i="3"/>
  <c r="AA3439" i="3"/>
  <c r="AA3438" i="3"/>
  <c r="AA3437" i="3"/>
  <c r="AA3436" i="3"/>
  <c r="AA3435" i="3"/>
  <c r="AA3434" i="3"/>
  <c r="AA3433" i="3"/>
  <c r="AA3432" i="3"/>
  <c r="AA3431" i="3"/>
  <c r="AA3430" i="3"/>
  <c r="AA3429" i="3"/>
  <c r="AA3428" i="3"/>
  <c r="AA3427" i="3"/>
  <c r="AA3426" i="3"/>
  <c r="AA3425" i="3"/>
  <c r="AA3424" i="3"/>
  <c r="AA3423" i="3"/>
  <c r="AA3422" i="3"/>
  <c r="AA3421" i="3"/>
  <c r="AA3420" i="3"/>
  <c r="AA3419" i="3"/>
  <c r="AA3418" i="3"/>
  <c r="AA3417" i="3"/>
  <c r="AA3416" i="3"/>
  <c r="AA3415" i="3"/>
  <c r="AA3414" i="3"/>
  <c r="AA3413" i="3"/>
  <c r="AA3412" i="3"/>
  <c r="AA3411" i="3"/>
  <c r="AA3410" i="3"/>
  <c r="AA3409" i="3"/>
  <c r="AA3408" i="3"/>
  <c r="AA3407" i="3"/>
  <c r="AA3406" i="3"/>
  <c r="AA3405" i="3"/>
  <c r="AA3404" i="3"/>
  <c r="AA3403" i="3"/>
  <c r="AA3402" i="3"/>
  <c r="AA3354" i="3"/>
  <c r="AA3353" i="3"/>
  <c r="AA3352" i="3"/>
  <c r="AA3351" i="3"/>
  <c r="AA3350" i="3"/>
  <c r="AA3349" i="3"/>
  <c r="AA3348" i="3"/>
  <c r="AA3347" i="3"/>
  <c r="AA3346" i="3"/>
  <c r="AA3345" i="3"/>
  <c r="AA3344" i="3"/>
  <c r="AA3343" i="3"/>
  <c r="AA3342" i="3"/>
  <c r="AA3341" i="3"/>
  <c r="AA3340" i="3"/>
  <c r="AA3339" i="3"/>
  <c r="AA3338" i="3"/>
  <c r="AA3337" i="3"/>
  <c r="AA3336" i="3"/>
  <c r="AA3335" i="3"/>
  <c r="AA3334" i="3"/>
  <c r="AA3333" i="3"/>
  <c r="AA3332" i="3"/>
  <c r="AA3331" i="3"/>
  <c r="AA3330" i="3"/>
  <c r="AA3329" i="3"/>
  <c r="AA3328" i="3"/>
  <c r="AA3327" i="3"/>
  <c r="AA3326" i="3"/>
  <c r="AA3325" i="3"/>
  <c r="AA3324" i="3"/>
  <c r="AA3323" i="3"/>
  <c r="AA3322" i="3"/>
  <c r="AA3321" i="3"/>
  <c r="AA3320" i="3"/>
  <c r="AA3319" i="3"/>
  <c r="AA3318" i="3"/>
  <c r="AA3317" i="3"/>
  <c r="AA3316" i="3"/>
  <c r="AA3315" i="3"/>
  <c r="AA3314" i="3"/>
  <c r="AA3313" i="3"/>
  <c r="AA3312" i="3"/>
  <c r="AA3311" i="3"/>
  <c r="AA3310" i="3"/>
  <c r="AA3309" i="3"/>
  <c r="AA3308" i="3"/>
  <c r="AA3307" i="3"/>
  <c r="AA3306" i="3"/>
  <c r="AA3305" i="3"/>
  <c r="AA3304" i="3"/>
  <c r="AA3303" i="3"/>
  <c r="AA3302" i="3"/>
  <c r="AA3301" i="3"/>
  <c r="AA3300" i="3"/>
  <c r="AA3299" i="3"/>
  <c r="AA3298" i="3"/>
  <c r="AA3297" i="3"/>
  <c r="AA3296" i="3"/>
  <c r="AA3295" i="3"/>
  <c r="AA3294" i="3"/>
  <c r="AA3293" i="3"/>
  <c r="AA3292" i="3"/>
  <c r="AA3291" i="3"/>
  <c r="AA3290" i="3"/>
  <c r="AA3289" i="3"/>
  <c r="AA3288" i="3"/>
  <c r="AA3287" i="3"/>
  <c r="AA3286" i="3"/>
  <c r="AA3285" i="3"/>
  <c r="AA3284" i="3"/>
  <c r="AA3283" i="3"/>
  <c r="AA3282" i="3"/>
  <c r="AA3281" i="3"/>
  <c r="AA3280" i="3"/>
  <c r="AA3279" i="3"/>
  <c r="AA3278" i="3"/>
  <c r="AA3277" i="3"/>
  <c r="AA3276" i="3"/>
  <c r="AA3275" i="3"/>
  <c r="AA3274" i="3"/>
  <c r="AA3273" i="3"/>
  <c r="AA3272" i="3"/>
  <c r="AA3271" i="3"/>
  <c r="AA3270" i="3"/>
  <c r="AA3269" i="3"/>
  <c r="AA3268" i="3"/>
  <c r="AA3267" i="3"/>
  <c r="AA3266" i="3"/>
  <c r="AA3265" i="3"/>
  <c r="AA3264" i="3"/>
  <c r="AA3263" i="3"/>
  <c r="AA3262" i="3"/>
  <c r="AA3261" i="3"/>
  <c r="AA3260" i="3"/>
  <c r="AA3259" i="3"/>
  <c r="AA3258" i="3"/>
  <c r="AA3257" i="3"/>
  <c r="AA3256" i="3"/>
  <c r="AA3255" i="3"/>
  <c r="AA3254" i="3"/>
  <c r="AA3253" i="3"/>
  <c r="AA3252" i="3"/>
  <c r="AA3251" i="3"/>
  <c r="AA3250" i="3"/>
  <c r="AA3249" i="3"/>
  <c r="AA3248" i="3"/>
  <c r="AA3247" i="3"/>
  <c r="AA3246" i="3"/>
  <c r="AA3245" i="3"/>
  <c r="AA3244" i="3"/>
  <c r="AA3243" i="3"/>
  <c r="AA3242" i="3"/>
  <c r="AA3241" i="3"/>
  <c r="AA3240" i="3"/>
  <c r="AA3239" i="3"/>
  <c r="AA3238" i="3"/>
  <c r="AA3237" i="3"/>
  <c r="AA3236" i="3"/>
  <c r="AA3235" i="3"/>
  <c r="AA2818" i="3"/>
  <c r="AA2817" i="3"/>
  <c r="AA2816" i="3"/>
  <c r="AA2784" i="3"/>
  <c r="AA2783" i="3"/>
  <c r="AA2782" i="3"/>
  <c r="AA2781" i="3"/>
  <c r="AA2780" i="3"/>
  <c r="AA2779" i="3"/>
  <c r="AA2778" i="3"/>
  <c r="AA2777" i="3"/>
  <c r="AA2776" i="3"/>
  <c r="AA2775" i="3"/>
  <c r="AA2774" i="3"/>
  <c r="AA2773" i="3"/>
  <c r="AA2772" i="3"/>
  <c r="AA2771" i="3"/>
  <c r="AA2770" i="3"/>
  <c r="AA2769" i="3"/>
  <c r="AA2768" i="3"/>
  <c r="AA2724" i="3"/>
  <c r="AA2723" i="3"/>
  <c r="AA2722" i="3"/>
  <c r="AA2404" i="3"/>
  <c r="AA2403" i="3"/>
  <c r="AA2402" i="3"/>
  <c r="AA2401" i="3"/>
  <c r="AA2400" i="3"/>
  <c r="AA2399" i="3"/>
  <c r="AA2398" i="3"/>
  <c r="AA2397" i="3"/>
  <c r="AA2396" i="3"/>
  <c r="AA2395" i="3"/>
  <c r="AA2394" i="3"/>
  <c r="AA2393" i="3"/>
  <c r="AA2392" i="3"/>
  <c r="AA2391" i="3"/>
  <c r="AA2390" i="3"/>
  <c r="AA2389" i="3"/>
  <c r="AA2388" i="3"/>
  <c r="AA2387" i="3"/>
  <c r="AA2386" i="3"/>
  <c r="AA2385" i="3"/>
  <c r="AA2384" i="3"/>
  <c r="AA2383" i="3"/>
  <c r="AA2382" i="3"/>
  <c r="AA2381" i="3"/>
  <c r="AA2380" i="3"/>
  <c r="AA2379" i="3"/>
  <c r="AA2378" i="3"/>
  <c r="AA2377" i="3"/>
  <c r="AA2376" i="3"/>
  <c r="AA2375" i="3"/>
  <c r="AA2374" i="3"/>
  <c r="AA2373" i="3"/>
  <c r="AA2372" i="3"/>
  <c r="AA2371" i="3"/>
  <c r="AA2370" i="3"/>
  <c r="AA2369" i="3"/>
  <c r="AA2368" i="3"/>
  <c r="AA2367" i="3"/>
  <c r="AA2366" i="3"/>
  <c r="AA2365" i="3"/>
  <c r="AA2364" i="3"/>
  <c r="AA2363" i="3"/>
  <c r="AA2362" i="3"/>
  <c r="AA2361" i="3"/>
  <c r="AA2360" i="3"/>
  <c r="AA2359" i="3"/>
  <c r="AA2358" i="3"/>
  <c r="AA2357" i="3"/>
  <c r="AA2356" i="3"/>
  <c r="AA2355" i="3"/>
  <c r="AA2354" i="3"/>
  <c r="AA2353" i="3"/>
  <c r="AA2352" i="3"/>
  <c r="AA2351" i="3"/>
  <c r="AA2350" i="3"/>
  <c r="AA2349" i="3"/>
  <c r="AA2348" i="3"/>
  <c r="AA2347" i="3"/>
  <c r="AA2346" i="3"/>
  <c r="AA2345" i="3"/>
  <c r="AA2344" i="3"/>
  <c r="AA2343" i="3"/>
  <c r="AA2342" i="3"/>
  <c r="AA2341" i="3"/>
  <c r="AA2340" i="3"/>
  <c r="AA2339" i="3"/>
  <c r="AA2338" i="3"/>
  <c r="AA2337" i="3"/>
  <c r="AA2336" i="3"/>
  <c r="AA2335" i="3"/>
  <c r="AA2334" i="3"/>
  <c r="AA2333" i="3"/>
  <c r="AA2332" i="3"/>
  <c r="AA2331" i="3"/>
  <c r="AA2330" i="3"/>
  <c r="AA2329" i="3"/>
  <c r="AA2328" i="3"/>
  <c r="AA2327" i="3"/>
  <c r="AA2326" i="3"/>
  <c r="AA2325" i="3"/>
  <c r="AA2324" i="3"/>
  <c r="AA2323" i="3"/>
  <c r="AA2322" i="3"/>
  <c r="AA2321" i="3"/>
  <c r="AA2320" i="3"/>
  <c r="AA2319" i="3"/>
  <c r="AA2318" i="3"/>
  <c r="AA2317" i="3"/>
  <c r="AA2316" i="3"/>
  <c r="AA2315" i="3"/>
  <c r="AA2314" i="3"/>
  <c r="AA2313" i="3"/>
  <c r="AA2312" i="3"/>
  <c r="AA2311" i="3"/>
  <c r="AA2310" i="3"/>
  <c r="AA2309" i="3"/>
  <c r="AA2308" i="3"/>
  <c r="AA2307" i="3"/>
  <c r="AA2306" i="3"/>
  <c r="AA2305" i="3"/>
  <c r="AA2304" i="3"/>
  <c r="AA2303" i="3"/>
  <c r="AA2302" i="3"/>
  <c r="AA2301" i="3"/>
  <c r="AA2300" i="3"/>
  <c r="AA2299" i="3"/>
  <c r="AA2298" i="3"/>
  <c r="AA2297" i="3"/>
  <c r="AA2296" i="3"/>
  <c r="AA2295" i="3"/>
  <c r="AA2294" i="3"/>
  <c r="AA2293" i="3"/>
  <c r="AA2292" i="3"/>
  <c r="AA2291" i="3"/>
  <c r="AA2290" i="3"/>
  <c r="AA2289" i="3"/>
  <c r="AA2288" i="3"/>
  <c r="AA2287" i="3"/>
  <c r="AA2286" i="3"/>
  <c r="AA2285" i="3"/>
  <c r="AA2284" i="3"/>
  <c r="AA2283" i="3"/>
  <c r="AA2282" i="3"/>
  <c r="AA2281" i="3"/>
  <c r="AA2280" i="3"/>
  <c r="AA2279" i="3"/>
  <c r="AA2278" i="3"/>
  <c r="AA2277" i="3"/>
  <c r="AA2276" i="3"/>
  <c r="AA2275" i="3"/>
  <c r="AA2274" i="3"/>
  <c r="AA2273" i="3"/>
  <c r="AA2272" i="3"/>
  <c r="AA2271" i="3"/>
  <c r="AA2270" i="3"/>
  <c r="AA2269" i="3"/>
  <c r="AA2268" i="3"/>
  <c r="AA2267" i="3"/>
  <c r="AA2266" i="3"/>
  <c r="AA2265" i="3"/>
  <c r="AA2264" i="3"/>
  <c r="AA2263" i="3"/>
  <c r="AA2262" i="3"/>
  <c r="AA2261" i="3"/>
  <c r="AA2260" i="3"/>
  <c r="AA2259" i="3"/>
  <c r="AA2258" i="3"/>
  <c r="AA2257" i="3"/>
  <c r="AA2256" i="3"/>
  <c r="AA2255" i="3"/>
  <c r="AA2254" i="3"/>
  <c r="AA2253" i="3"/>
  <c r="AA2252" i="3"/>
  <c r="AA2251" i="3"/>
  <c r="AA2250" i="3"/>
  <c r="AA2249" i="3"/>
  <c r="AA2248" i="3"/>
  <c r="AA2247" i="3"/>
  <c r="AA2246" i="3"/>
  <c r="AA2245" i="3"/>
  <c r="AA2244" i="3"/>
  <c r="AA2243" i="3"/>
  <c r="AA2242" i="3"/>
  <c r="AA2241" i="3"/>
  <c r="AA2240" i="3"/>
  <c r="AA2239" i="3"/>
  <c r="AA2238" i="3"/>
  <c r="AA2237" i="3"/>
  <c r="AA2236" i="3"/>
  <c r="AA2235" i="3"/>
  <c r="AA2234" i="3"/>
  <c r="AA2233" i="3"/>
  <c r="AA2232" i="3"/>
  <c r="AA2231" i="3"/>
  <c r="AA2230" i="3"/>
  <c r="AA2229" i="3"/>
  <c r="AA2228" i="3"/>
  <c r="AA2227" i="3"/>
  <c r="AA2226" i="3"/>
  <c r="AA2225" i="3"/>
  <c r="AA2224" i="3"/>
  <c r="AA2223" i="3"/>
  <c r="AA2222" i="3"/>
  <c r="AA2221" i="3"/>
  <c r="AA2220" i="3"/>
  <c r="AA2219" i="3"/>
  <c r="AA2218" i="3"/>
  <c r="AA2217" i="3"/>
  <c r="AA2216" i="3"/>
  <c r="AA2215" i="3"/>
  <c r="AA2214" i="3"/>
  <c r="AA2213" i="3"/>
  <c r="AA2212" i="3"/>
  <c r="AA2211" i="3"/>
  <c r="AA2210" i="3"/>
  <c r="AA2209" i="3"/>
  <c r="AA2208" i="3"/>
  <c r="AA2207" i="3"/>
  <c r="AA2206" i="3"/>
  <c r="AA2205" i="3"/>
  <c r="AA2204" i="3"/>
  <c r="AA2203" i="3"/>
  <c r="AA2202" i="3"/>
  <c r="AA2201" i="3"/>
  <c r="AA2200" i="3"/>
  <c r="AA2199" i="3"/>
  <c r="AA2198" i="3"/>
  <c r="AA2197" i="3"/>
  <c r="AA2196" i="3"/>
  <c r="AA2195" i="3"/>
  <c r="AA2194" i="3"/>
  <c r="AA2193" i="3"/>
  <c r="AA2192" i="3"/>
  <c r="AA2191" i="3"/>
  <c r="AA2190" i="3"/>
  <c r="AA2189" i="3"/>
  <c r="AA2188" i="3"/>
  <c r="AA2187" i="3"/>
  <c r="AA2186" i="3"/>
  <c r="AA2185" i="3"/>
  <c r="AA2184" i="3"/>
  <c r="AA2183" i="3"/>
  <c r="AA2182" i="3"/>
  <c r="AA2181" i="3"/>
  <c r="AA2180" i="3"/>
  <c r="AA2179" i="3"/>
  <c r="AA2178" i="3"/>
  <c r="AA2177" i="3"/>
  <c r="AA2176" i="3"/>
  <c r="AA2175" i="3"/>
  <c r="AA2174" i="3"/>
  <c r="AA2173" i="3"/>
  <c r="AA2172" i="3"/>
  <c r="AA2171" i="3"/>
  <c r="AA2170" i="3"/>
  <c r="AA2169" i="3"/>
  <c r="AA2168" i="3"/>
  <c r="AA2167" i="3"/>
  <c r="AA2166" i="3"/>
  <c r="AA2165" i="3"/>
  <c r="AA2164" i="3"/>
  <c r="AA2163" i="3"/>
  <c r="AA2162" i="3"/>
  <c r="AA2161" i="3"/>
  <c r="AA2160" i="3"/>
  <c r="AA2159" i="3"/>
  <c r="AA2158" i="3"/>
  <c r="AA2157" i="3"/>
  <c r="AA2156" i="3"/>
  <c r="AA2155" i="3"/>
  <c r="AA2154" i="3"/>
  <c r="AA2153" i="3"/>
  <c r="AA2152" i="3"/>
  <c r="AA2151" i="3"/>
  <c r="AA2150" i="3"/>
  <c r="AA2149" i="3"/>
  <c r="AA2148" i="3"/>
  <c r="AA2147" i="3"/>
  <c r="AA2146" i="3"/>
  <c r="AA2145" i="3"/>
  <c r="AA2144" i="3"/>
  <c r="AA2143" i="3"/>
  <c r="AA2142" i="3"/>
  <c r="AA2141" i="3"/>
  <c r="AA2140" i="3"/>
  <c r="AA2139" i="3"/>
  <c r="AA2138" i="3"/>
  <c r="AA2137" i="3"/>
  <c r="AA2136" i="3"/>
  <c r="AA2135" i="3"/>
  <c r="AA2134" i="3"/>
  <c r="AA2133" i="3"/>
  <c r="AA2132" i="3"/>
  <c r="AA2131" i="3"/>
  <c r="AA2130" i="3"/>
  <c r="AA2129" i="3"/>
  <c r="AA2128" i="3"/>
  <c r="AA2127" i="3"/>
  <c r="AA2126" i="3"/>
  <c r="AA2125" i="3"/>
  <c r="AA2124" i="3"/>
  <c r="AA2123" i="3"/>
  <c r="AA2122" i="3"/>
  <c r="AA2121" i="3"/>
  <c r="AA2120" i="3"/>
  <c r="AA2119" i="3"/>
  <c r="AA2118" i="3"/>
  <c r="AA2117" i="3"/>
  <c r="AA2116" i="3"/>
  <c r="AA2115" i="3"/>
  <c r="AA2114" i="3"/>
  <c r="AA2113" i="3"/>
  <c r="AA2112" i="3"/>
  <c r="AA2111" i="3"/>
  <c r="AA2110" i="3"/>
  <c r="AA2109" i="3"/>
  <c r="AA2108" i="3"/>
  <c r="AA2107" i="3"/>
  <c r="AA2106" i="3"/>
  <c r="AA2105" i="3"/>
  <c r="AA2104" i="3"/>
  <c r="AA2103" i="3"/>
  <c r="AA2102" i="3"/>
  <c r="AA2101" i="3"/>
  <c r="AA2100" i="3"/>
  <c r="AA2099" i="3"/>
  <c r="AA2098" i="3"/>
  <c r="AA2097" i="3"/>
  <c r="AA2096" i="3"/>
  <c r="AA2095" i="3"/>
  <c r="AA2094" i="3"/>
  <c r="AA2093" i="3"/>
  <c r="AA2092" i="3"/>
  <c r="AA2091" i="3"/>
  <c r="AA2090" i="3"/>
  <c r="AA2089" i="3"/>
  <c r="AA2088" i="3"/>
  <c r="AA2087" i="3"/>
  <c r="AA2086" i="3"/>
  <c r="AA2085" i="3"/>
  <c r="AA2084" i="3"/>
  <c r="AA2083" i="3"/>
  <c r="AA2082" i="3"/>
  <c r="AA2081" i="3"/>
  <c r="AA2080" i="3"/>
  <c r="AA2079" i="3"/>
  <c r="AA2078" i="3"/>
  <c r="AA2077" i="3"/>
  <c r="AA2076" i="3"/>
  <c r="AA2075" i="3"/>
  <c r="AA2074" i="3"/>
  <c r="AA2073" i="3"/>
  <c r="AA2072" i="3"/>
  <c r="AA2071" i="3"/>
  <c r="AA2070" i="3"/>
  <c r="AA2069" i="3"/>
  <c r="AA2068" i="3"/>
  <c r="AA2067" i="3"/>
  <c r="AA2066" i="3"/>
  <c r="AA2065" i="3"/>
  <c r="AA2064" i="3"/>
  <c r="AA2063" i="3"/>
  <c r="AA2062" i="3"/>
  <c r="AA2061" i="3"/>
  <c r="AA2060" i="3"/>
  <c r="AA2059" i="3"/>
  <c r="AA2058" i="3"/>
  <c r="AA2057" i="3"/>
  <c r="AA2056" i="3"/>
  <c r="AA2055" i="3"/>
  <c r="AA2054" i="3"/>
  <c r="AA2053" i="3"/>
  <c r="AA2052" i="3"/>
  <c r="AA2051" i="3"/>
  <c r="AA2050" i="3"/>
  <c r="AA2049" i="3"/>
  <c r="AA2048" i="3"/>
  <c r="AA2047" i="3"/>
  <c r="AA2046" i="3"/>
  <c r="AA2045" i="3"/>
  <c r="AA2044" i="3"/>
  <c r="AA2043" i="3"/>
  <c r="AA2042" i="3"/>
  <c r="AA2041" i="3"/>
  <c r="AA2040" i="3"/>
  <c r="AA2039" i="3"/>
  <c r="AA2038" i="3"/>
  <c r="AA2037" i="3"/>
  <c r="AA2036" i="3"/>
  <c r="AA2035" i="3"/>
  <c r="AA2034" i="3"/>
  <c r="AA2033" i="3"/>
  <c r="AA2032" i="3"/>
  <c r="AA2031" i="3"/>
  <c r="AA2030" i="3"/>
  <c r="AA2029" i="3"/>
  <c r="AA2028" i="3"/>
  <c r="AA2027" i="3"/>
  <c r="AA2026" i="3"/>
  <c r="AA2025" i="3"/>
  <c r="AA2024" i="3"/>
  <c r="AA2023" i="3"/>
  <c r="AA2022" i="3"/>
  <c r="AA2021" i="3"/>
  <c r="AA2020" i="3"/>
  <c r="AA2019" i="3"/>
  <c r="AA2018" i="3"/>
  <c r="AA2017" i="3"/>
  <c r="AA2016" i="3"/>
  <c r="AA2015" i="3"/>
  <c r="AA2014" i="3"/>
  <c r="AA2013" i="3"/>
  <c r="AA2012" i="3"/>
  <c r="AA2011" i="3"/>
  <c r="AA2010" i="3"/>
  <c r="AA2009" i="3"/>
  <c r="AA2008" i="3"/>
  <c r="AA2007" i="3"/>
  <c r="AA2006" i="3"/>
  <c r="AA2005" i="3"/>
  <c r="AA2004" i="3"/>
  <c r="AA2003" i="3"/>
  <c r="AA2002" i="3"/>
  <c r="AA2001" i="3"/>
  <c r="AA2000" i="3"/>
  <c r="AA1999" i="3"/>
  <c r="AA1998" i="3"/>
  <c r="AA1997" i="3"/>
  <c r="AA1996" i="3"/>
  <c r="AA1995" i="3"/>
  <c r="AA1994" i="3"/>
  <c r="AA1993" i="3"/>
  <c r="AA1992" i="3"/>
  <c r="AA1991" i="3"/>
  <c r="AA1990" i="3"/>
  <c r="AA1989" i="3"/>
  <c r="AA1988" i="3"/>
  <c r="AA1987" i="3"/>
  <c r="AA1986" i="3"/>
  <c r="AA1985" i="3"/>
  <c r="AA1984" i="3"/>
  <c r="AA1983" i="3"/>
  <c r="AA1982" i="3"/>
  <c r="AA1981" i="3"/>
  <c r="AA1980" i="3"/>
  <c r="AA1979" i="3"/>
  <c r="AA1978" i="3"/>
  <c r="AA1977" i="3"/>
  <c r="AA1976" i="3"/>
  <c r="AA1975" i="3"/>
  <c r="AA1974" i="3"/>
  <c r="AA1973" i="3"/>
  <c r="AA1972" i="3"/>
  <c r="AA1971" i="3"/>
  <c r="AA1970" i="3"/>
  <c r="AA1969" i="3"/>
  <c r="AA1968" i="3"/>
  <c r="AA1967" i="3"/>
  <c r="AA1966" i="3"/>
  <c r="AA1965" i="3"/>
  <c r="AA1964" i="3"/>
  <c r="AA1963" i="3"/>
  <c r="AA1962" i="3"/>
  <c r="AA1961" i="3"/>
  <c r="AA1960" i="3"/>
  <c r="AA1959" i="3"/>
  <c r="AA1958" i="3"/>
  <c r="AA1957" i="3"/>
  <c r="AA1956" i="3"/>
  <c r="AA1955" i="3"/>
  <c r="AA1954" i="3"/>
  <c r="AA1953" i="3"/>
  <c r="AA1952" i="3"/>
  <c r="AA1951" i="3"/>
  <c r="AA1950" i="3"/>
  <c r="AA1949" i="3"/>
  <c r="AA1948" i="3"/>
  <c r="AA1947" i="3"/>
  <c r="AA1946" i="3"/>
  <c r="AA1945" i="3"/>
  <c r="AA1944" i="3"/>
  <c r="AA1943" i="3"/>
  <c r="AA1942" i="3"/>
  <c r="AA1941" i="3"/>
  <c r="AA1940" i="3"/>
  <c r="AA1939" i="3"/>
  <c r="AA1938" i="3"/>
  <c r="AA1937" i="3"/>
  <c r="AA1936" i="3"/>
  <c r="AA1935" i="3"/>
  <c r="AA1934" i="3"/>
  <c r="AA1933" i="3"/>
  <c r="AA1932" i="3"/>
  <c r="AA1931" i="3"/>
  <c r="AA1930" i="3"/>
  <c r="AA1929" i="3"/>
  <c r="AA1928" i="3"/>
  <c r="AA1927" i="3"/>
  <c r="AA1926" i="3"/>
  <c r="AA1925" i="3"/>
  <c r="AA1924" i="3"/>
  <c r="AA1923" i="3"/>
  <c r="AA1922" i="3"/>
  <c r="AA1921" i="3"/>
  <c r="AA1920" i="3"/>
  <c r="AA1919" i="3"/>
  <c r="AA1918" i="3"/>
  <c r="AA1917" i="3"/>
  <c r="AA1916" i="3"/>
  <c r="AA1915" i="3"/>
  <c r="AA1914" i="3"/>
  <c r="AA1913" i="3"/>
  <c r="AA1912" i="3"/>
  <c r="AA1911" i="3"/>
  <c r="AA1910" i="3"/>
  <c r="AA1909" i="3"/>
  <c r="AA1908" i="3"/>
  <c r="AA1907" i="3"/>
  <c r="AA1906" i="3"/>
  <c r="AA1905" i="3"/>
  <c r="AA1904" i="3"/>
  <c r="AA1903" i="3"/>
  <c r="AA1902" i="3"/>
  <c r="AA1901" i="3"/>
  <c r="AA1900" i="3"/>
  <c r="AA1899" i="3"/>
  <c r="AA1898" i="3"/>
  <c r="AA1897" i="3"/>
  <c r="AA1896" i="3"/>
  <c r="AA1895" i="3"/>
  <c r="AA1894" i="3"/>
  <c r="AA1893" i="3"/>
  <c r="AA1892" i="3"/>
  <c r="AA1891" i="3"/>
  <c r="AA1890" i="3"/>
  <c r="AA1889" i="3"/>
  <c r="AA1888" i="3"/>
  <c r="AA1887" i="3"/>
  <c r="AA1886" i="3"/>
  <c r="AA1885" i="3"/>
  <c r="AA1884" i="3"/>
  <c r="AA1883" i="3"/>
  <c r="AA1882" i="3"/>
  <c r="AA1881" i="3"/>
  <c r="AA1880" i="3"/>
  <c r="AA1879" i="3"/>
  <c r="AA1878" i="3"/>
  <c r="AA1877" i="3"/>
  <c r="AA1876" i="3"/>
  <c r="AA1875" i="3"/>
  <c r="AA1874" i="3"/>
  <c r="AA1873" i="3"/>
  <c r="AA1872" i="3"/>
  <c r="AA1871" i="3"/>
  <c r="AA1870" i="3"/>
  <c r="AA1869" i="3"/>
  <c r="AA1868" i="3"/>
  <c r="AA1867" i="3"/>
  <c r="AA1866" i="3"/>
  <c r="AA1865" i="3"/>
  <c r="AA1864" i="3"/>
  <c r="AA1863" i="3"/>
  <c r="AA1862" i="3"/>
  <c r="AA1861" i="3"/>
  <c r="AA1860" i="3"/>
  <c r="AA1859" i="3"/>
  <c r="AA1858" i="3"/>
  <c r="AA1857" i="3"/>
  <c r="AA1856" i="3"/>
  <c r="AA1855" i="3"/>
  <c r="AA1854" i="3"/>
  <c r="AA1853" i="3"/>
  <c r="AA1852" i="3"/>
  <c r="AA1851" i="3"/>
  <c r="AA1850" i="3"/>
  <c r="AA1849" i="3"/>
  <c r="AA1848" i="3"/>
  <c r="AA1847" i="3"/>
  <c r="AA1846" i="3"/>
  <c r="AA1845" i="3"/>
  <c r="AA1844" i="3"/>
  <c r="AA1843" i="3"/>
  <c r="AA1842" i="3"/>
  <c r="AA1841" i="3"/>
  <c r="AA1840" i="3"/>
  <c r="AA1839" i="3"/>
  <c r="AA1838" i="3"/>
  <c r="AA1837" i="3"/>
  <c r="AA1836" i="3"/>
  <c r="AA1835" i="3"/>
  <c r="AA1834" i="3"/>
  <c r="AA1833" i="3"/>
  <c r="AA1832" i="3"/>
  <c r="AA1831" i="3"/>
  <c r="AA1830" i="3"/>
  <c r="AA1829" i="3"/>
  <c r="AA1828" i="3"/>
  <c r="AA1827" i="3"/>
  <c r="AA1826" i="3"/>
  <c r="AA1825" i="3"/>
  <c r="AA1824" i="3"/>
  <c r="AA1823" i="3"/>
  <c r="AA1822" i="3"/>
  <c r="AA1821" i="3"/>
  <c r="AA1820" i="3"/>
  <c r="AA1819" i="3"/>
  <c r="AA1818" i="3"/>
  <c r="AA1817" i="3"/>
  <c r="AA1816" i="3"/>
  <c r="AA1815" i="3"/>
  <c r="AA1814" i="3"/>
  <c r="AA1813" i="3"/>
  <c r="AA1812" i="3"/>
  <c r="AA1811" i="3"/>
  <c r="AA1810" i="3"/>
  <c r="AA1809" i="3"/>
  <c r="AA1808" i="3"/>
  <c r="AA1807" i="3"/>
  <c r="AA1806" i="3"/>
  <c r="AA1805" i="3"/>
  <c r="AA1804" i="3"/>
  <c r="AA1803" i="3"/>
  <c r="AA1802" i="3"/>
  <c r="AA1801" i="3"/>
  <c r="AA1800" i="3"/>
  <c r="AA1799" i="3"/>
  <c r="AA1798" i="3"/>
  <c r="AA1797" i="3"/>
  <c r="AA1796" i="3"/>
  <c r="AA1795" i="3"/>
  <c r="AA1794" i="3"/>
  <c r="AA1793" i="3"/>
  <c r="AA1792" i="3"/>
  <c r="AA1791" i="3"/>
  <c r="AA1790" i="3"/>
  <c r="AA1789" i="3"/>
  <c r="AA1788" i="3"/>
  <c r="AA1787" i="3"/>
  <c r="AA1786" i="3"/>
  <c r="AA1785" i="3"/>
  <c r="AA1784" i="3"/>
  <c r="AA1783" i="3"/>
  <c r="AA1782" i="3"/>
  <c r="AA1781" i="3"/>
  <c r="AA1780" i="3"/>
  <c r="AA1779" i="3"/>
  <c r="AA1778" i="3"/>
  <c r="AA1777" i="3"/>
  <c r="AA1776" i="3"/>
  <c r="AA1775" i="3"/>
  <c r="AA1774" i="3"/>
  <c r="AA1773" i="3"/>
  <c r="AA1772" i="3"/>
  <c r="AA1771" i="3"/>
  <c r="AA1770" i="3"/>
  <c r="AA1769" i="3"/>
  <c r="AA1768" i="3"/>
  <c r="AA1767" i="3"/>
  <c r="AA1766" i="3"/>
  <c r="AA1765" i="3"/>
  <c r="AA1764" i="3"/>
  <c r="AA1763" i="3"/>
  <c r="AA1762" i="3"/>
  <c r="AA1761" i="3"/>
  <c r="AA1760" i="3"/>
  <c r="AA1759" i="3"/>
  <c r="AA1758" i="3"/>
  <c r="AA1757" i="3"/>
  <c r="AA1756" i="3"/>
  <c r="AA1755" i="3"/>
  <c r="AA1754" i="3"/>
  <c r="AA1753" i="3"/>
  <c r="AA1752" i="3"/>
  <c r="AA1751" i="3"/>
  <c r="AA1750" i="3"/>
  <c r="AA1749" i="3"/>
  <c r="AA1748" i="3"/>
  <c r="AA1747" i="3"/>
  <c r="AA1746" i="3"/>
  <c r="AA1745" i="3"/>
  <c r="AA1744" i="3"/>
  <c r="AA1743" i="3"/>
  <c r="AA1742" i="3"/>
  <c r="AA1741" i="3"/>
  <c r="AA1740" i="3"/>
  <c r="AA1739" i="3"/>
  <c r="AA1738" i="3"/>
  <c r="AA1737" i="3"/>
  <c r="AA1736" i="3"/>
  <c r="AA1735" i="3"/>
  <c r="AA1734" i="3"/>
  <c r="AA1733" i="3"/>
  <c r="AA1732" i="3"/>
  <c r="AA1731" i="3"/>
  <c r="AA1730" i="3"/>
  <c r="AA1729" i="3"/>
  <c r="AA1728" i="3"/>
  <c r="AA1727" i="3"/>
  <c r="AA1726" i="3"/>
  <c r="AA1725" i="3"/>
  <c r="AA1724" i="3"/>
  <c r="AA1723" i="3"/>
  <c r="AA1722" i="3"/>
  <c r="AA1721" i="3"/>
  <c r="AA1720" i="3"/>
  <c r="AA1719" i="3"/>
  <c r="AA1718" i="3"/>
  <c r="AA1717" i="3"/>
  <c r="AA1716" i="3"/>
  <c r="AA1715" i="3"/>
  <c r="AA1714" i="3"/>
  <c r="AA1713" i="3"/>
  <c r="AA1712" i="3"/>
  <c r="AA1711" i="3"/>
  <c r="AA1710" i="3"/>
  <c r="AA1709" i="3"/>
  <c r="AA1708" i="3"/>
  <c r="AA1707" i="3"/>
  <c r="AA1706" i="3"/>
  <c r="AA1705" i="3"/>
  <c r="AA1704" i="3"/>
  <c r="AA1703" i="3"/>
  <c r="AA1702" i="3"/>
  <c r="AA1701" i="3"/>
  <c r="AA1700" i="3"/>
  <c r="AA1699" i="3"/>
  <c r="AA1698" i="3"/>
  <c r="AA1697" i="3"/>
  <c r="AA1696" i="3"/>
  <c r="AA1695" i="3"/>
  <c r="AA1694" i="3"/>
  <c r="AA1693" i="3"/>
  <c r="AA1692" i="3"/>
  <c r="AA1691" i="3"/>
  <c r="AA1690" i="3"/>
  <c r="AA1689" i="3"/>
  <c r="AA1688" i="3"/>
  <c r="AA1687" i="3"/>
  <c r="AA1686" i="3"/>
  <c r="AA1685" i="3"/>
  <c r="AA1684" i="3"/>
  <c r="AA1683" i="3"/>
  <c r="AA1682" i="3"/>
  <c r="AA1681" i="3"/>
  <c r="AA1680" i="3"/>
  <c r="AA1679" i="3"/>
  <c r="AA1678" i="3"/>
  <c r="AA1677" i="3"/>
  <c r="AA1676" i="3"/>
  <c r="AA1675" i="3"/>
  <c r="AA1674" i="3"/>
  <c r="AA1673" i="3"/>
  <c r="AA1672" i="3"/>
  <c r="AA1671" i="3"/>
  <c r="AA1670" i="3"/>
  <c r="AA1669" i="3"/>
  <c r="AA1668" i="3"/>
  <c r="AA1667" i="3"/>
  <c r="AA1666" i="3"/>
  <c r="AA1665" i="3"/>
  <c r="AA1664" i="3"/>
  <c r="AA1663" i="3"/>
  <c r="AA1662" i="3"/>
  <c r="AA1661" i="3"/>
  <c r="AA1660" i="3"/>
  <c r="AA1659" i="3"/>
  <c r="AA1658" i="3"/>
  <c r="AA1657" i="3"/>
  <c r="AA1656" i="3"/>
  <c r="AA1655" i="3"/>
  <c r="AA1654" i="3"/>
  <c r="AA1653" i="3"/>
  <c r="AA1652" i="3"/>
  <c r="AA1651" i="3"/>
  <c r="AA1650" i="3"/>
  <c r="AA1649" i="3"/>
  <c r="AA1648" i="3"/>
  <c r="AA1647" i="3"/>
  <c r="AA1646" i="3"/>
  <c r="AA1645" i="3"/>
  <c r="AA1644" i="3"/>
  <c r="AA1643" i="3"/>
  <c r="AA1642" i="3"/>
  <c r="AA1641" i="3"/>
  <c r="AA1640" i="3"/>
  <c r="AA1639" i="3"/>
  <c r="AA1638" i="3"/>
  <c r="AA1637" i="3"/>
  <c r="AA1636" i="3"/>
  <c r="AA1635" i="3"/>
  <c r="AA1634" i="3"/>
  <c r="AA1633" i="3"/>
  <c r="AA1632" i="3"/>
  <c r="AA1631" i="3"/>
  <c r="AA1630" i="3"/>
  <c r="AA1629" i="3"/>
  <c r="AA1628" i="3"/>
  <c r="AA1627" i="3"/>
  <c r="AA1626" i="3"/>
  <c r="AA1625" i="3"/>
  <c r="AA1624" i="3"/>
  <c r="AA1623" i="3"/>
  <c r="AA1622" i="3"/>
  <c r="AA1621" i="3"/>
  <c r="AA1620" i="3"/>
  <c r="AA1619" i="3"/>
  <c r="AA1618" i="3"/>
  <c r="AA1617" i="3"/>
  <c r="AA1616" i="3"/>
  <c r="AA1615" i="3"/>
  <c r="AA1614" i="3"/>
  <c r="AA1613" i="3"/>
  <c r="AA1612" i="3"/>
  <c r="AA1611" i="3"/>
  <c r="AA1610" i="3"/>
  <c r="AA1609" i="3"/>
  <c r="AA1608" i="3"/>
  <c r="AA1607" i="3"/>
  <c r="AA1606" i="3"/>
  <c r="AA1605" i="3"/>
  <c r="AA1604" i="3"/>
  <c r="AA1603" i="3"/>
  <c r="AA1602" i="3"/>
  <c r="AA1601" i="3"/>
  <c r="AA1600" i="3"/>
  <c r="AA1599" i="3"/>
  <c r="AA1598" i="3"/>
  <c r="AA1597" i="3"/>
  <c r="AA1596" i="3"/>
  <c r="AA1595" i="3"/>
  <c r="AA1594" i="3"/>
  <c r="AA1593" i="3"/>
  <c r="AA1592" i="3"/>
  <c r="AA1591" i="3"/>
  <c r="AA1458" i="3"/>
  <c r="AA1457" i="3"/>
  <c r="AA1456" i="3"/>
  <c r="AA1455" i="3"/>
  <c r="AA1454" i="3"/>
  <c r="AA1453" i="3"/>
  <c r="AA1452" i="3"/>
  <c r="AA1451" i="3"/>
  <c r="AA1450" i="3"/>
  <c r="AA1449" i="3"/>
  <c r="AA1448" i="3"/>
  <c r="AA1447" i="3"/>
  <c r="AA1446" i="3"/>
  <c r="AA1445" i="3"/>
  <c r="AA1444" i="3"/>
  <c r="AA1443" i="3"/>
  <c r="AA1442" i="3"/>
  <c r="AA1441" i="3"/>
  <c r="AA1440" i="3"/>
  <c r="AA1439" i="3"/>
  <c r="AA1438" i="3"/>
  <c r="AA1437" i="3"/>
  <c r="AA1436" i="3"/>
  <c r="AA1435" i="3"/>
  <c r="AA1434" i="3"/>
  <c r="AA1433" i="3"/>
  <c r="AA1432" i="3"/>
  <c r="AA1400" i="3"/>
  <c r="AA1399" i="3"/>
  <c r="AA1398" i="3"/>
  <c r="AA1397" i="3"/>
  <c r="AA1396" i="3"/>
  <c r="AA1395" i="3"/>
  <c r="AA1394" i="3"/>
  <c r="AA1393" i="3"/>
  <c r="AA1392" i="3"/>
  <c r="AA1391" i="3"/>
  <c r="AA1390" i="3"/>
  <c r="AA1389" i="3"/>
  <c r="AA1388" i="3"/>
  <c r="AA1387" i="3"/>
  <c r="AA1386" i="3"/>
  <c r="AA1385" i="3"/>
  <c r="AA1384" i="3"/>
  <c r="AA1383" i="3"/>
  <c r="AA1382" i="3"/>
  <c r="AA1381" i="3"/>
  <c r="AA1380" i="3"/>
  <c r="AA1379" i="3"/>
  <c r="AA1378" i="3"/>
  <c r="AA1377" i="3"/>
  <c r="AA1369" i="3"/>
  <c r="AA1368" i="3"/>
  <c r="AA1367" i="3"/>
  <c r="AA1366" i="3"/>
  <c r="AA1365" i="3"/>
  <c r="AA1364" i="3"/>
  <c r="AA1363" i="3"/>
  <c r="AA1362" i="3"/>
  <c r="AA1361" i="3"/>
  <c r="AA1360" i="3"/>
  <c r="AA1359" i="3"/>
  <c r="AA1358" i="3"/>
  <c r="AA1357" i="3"/>
  <c r="AA1356" i="3"/>
  <c r="AA1355" i="3"/>
  <c r="AA1354" i="3"/>
  <c r="AA1353" i="3"/>
  <c r="AA1352" i="3"/>
  <c r="AA1351" i="3"/>
  <c r="AA1350" i="3"/>
  <c r="AA1349" i="3"/>
  <c r="AA1348" i="3"/>
  <c r="AA1347" i="3"/>
  <c r="AA1346" i="3"/>
  <c r="AA1345" i="3"/>
  <c r="AA1344" i="3"/>
  <c r="AA1343" i="3"/>
  <c r="AA1342" i="3"/>
  <c r="AA1341" i="3"/>
  <c r="AA1340" i="3"/>
  <c r="AA1339" i="3"/>
  <c r="AA1338" i="3"/>
  <c r="AA1337" i="3"/>
  <c r="AA1336" i="3"/>
  <c r="AA1335" i="3"/>
  <c r="AA1334" i="3"/>
  <c r="AA1333" i="3"/>
  <c r="AA1332" i="3"/>
  <c r="AA1331" i="3"/>
  <c r="AA1330" i="3"/>
  <c r="AA1329" i="3"/>
  <c r="AA1328" i="3"/>
  <c r="AA1327" i="3"/>
  <c r="AA1326" i="3"/>
  <c r="AA1325" i="3"/>
  <c r="AA1324" i="3"/>
  <c r="AA1323" i="3"/>
  <c r="AA1320" i="3"/>
  <c r="AA1319" i="3"/>
  <c r="AA1318" i="3"/>
  <c r="AA1317" i="3"/>
  <c r="AA1316" i="3"/>
  <c r="AA1315" i="3"/>
  <c r="AA1314" i="3"/>
  <c r="AA1313" i="3"/>
  <c r="AA1312" i="3"/>
  <c r="AA1311" i="3"/>
  <c r="AA1310" i="3"/>
  <c r="AA1309" i="3"/>
  <c r="AA1308" i="3"/>
  <c r="AA1307" i="3"/>
  <c r="AA1306" i="3"/>
  <c r="AA1305" i="3"/>
  <c r="AA1304" i="3"/>
  <c r="AA1303" i="3"/>
  <c r="AA1302" i="3"/>
  <c r="AA1301" i="3"/>
  <c r="AA1300" i="3"/>
  <c r="AA1299" i="3"/>
  <c r="AA1298" i="3"/>
  <c r="AA1297" i="3"/>
  <c r="AA1296" i="3"/>
  <c r="AA1295" i="3"/>
  <c r="AA1294" i="3"/>
  <c r="AA1293" i="3"/>
  <c r="AA1292" i="3"/>
  <c r="AA1291" i="3"/>
  <c r="AA1290" i="3"/>
  <c r="AA1289" i="3"/>
  <c r="AA1288" i="3"/>
  <c r="AA1287" i="3"/>
  <c r="AA1286" i="3"/>
  <c r="AA1285" i="3"/>
  <c r="AA1284" i="3"/>
  <c r="AA1264" i="3"/>
  <c r="AA1263" i="3"/>
  <c r="AA1262" i="3"/>
  <c r="AA1261" i="3"/>
  <c r="AA1260" i="3"/>
  <c r="AA1259" i="3"/>
  <c r="AA1258" i="3"/>
  <c r="AA1234" i="3"/>
  <c r="AA1233" i="3"/>
  <c r="AA1232" i="3"/>
  <c r="AA1231" i="3"/>
  <c r="AA1230" i="3"/>
  <c r="AA1229" i="3"/>
  <c r="AA1228" i="3"/>
  <c r="AA1227" i="3"/>
  <c r="AA1226" i="3"/>
  <c r="AA1225" i="3"/>
  <c r="AA1224" i="3"/>
  <c r="AA1223" i="3"/>
  <c r="AA1222" i="3"/>
  <c r="AA1221" i="3"/>
  <c r="AA1220" i="3"/>
  <c r="AA1219" i="3"/>
  <c r="AA1218" i="3"/>
  <c r="AA1217" i="3"/>
  <c r="AA1216" i="3"/>
  <c r="AA1215" i="3"/>
  <c r="AA1214" i="3"/>
  <c r="AA1213" i="3"/>
  <c r="AA1212" i="3"/>
  <c r="AA1211" i="3"/>
  <c r="AA1210" i="3"/>
  <c r="AA1209" i="3"/>
  <c r="AA1208" i="3"/>
  <c r="AA1207" i="3"/>
  <c r="AA1206" i="3"/>
  <c r="AA1205" i="3"/>
  <c r="AA1204" i="3"/>
  <c r="AA1203" i="3"/>
  <c r="AA1202" i="3"/>
  <c r="AA1201" i="3"/>
  <c r="AA1200" i="3"/>
  <c r="AA1199" i="3"/>
  <c r="AA1198" i="3"/>
  <c r="AA1197" i="3"/>
  <c r="AA1196" i="3"/>
  <c r="AA1195" i="3"/>
  <c r="AA1194" i="3"/>
  <c r="AA1193" i="3"/>
  <c r="AA1192" i="3"/>
  <c r="AA1191" i="3"/>
  <c r="AA1190" i="3"/>
  <c r="AA1189" i="3"/>
  <c r="AA1188" i="3"/>
  <c r="AA1187" i="3"/>
  <c r="AA1186" i="3"/>
  <c r="AA1185" i="3"/>
  <c r="AA1184" i="3"/>
  <c r="AA1183" i="3"/>
  <c r="AA1182" i="3"/>
  <c r="AA1180" i="3"/>
  <c r="AA1179" i="3"/>
  <c r="AA1178" i="3"/>
  <c r="AA1177" i="3"/>
  <c r="AA1176" i="3"/>
  <c r="AA1175" i="3"/>
  <c r="AA1174" i="3"/>
  <c r="AA1173" i="3"/>
  <c r="AA1172" i="3"/>
  <c r="AA1171" i="3"/>
  <c r="AA1170" i="3"/>
  <c r="AA1169" i="3"/>
  <c r="AA1168" i="3"/>
  <c r="AA1167" i="3"/>
  <c r="AA1166" i="3"/>
  <c r="AA1165" i="3"/>
  <c r="AA1164" i="3"/>
  <c r="AA1163" i="3"/>
  <c r="AA1162" i="3"/>
  <c r="AA1161" i="3"/>
  <c r="AA1160" i="3"/>
  <c r="AA1159" i="3"/>
  <c r="AA1158" i="3"/>
  <c r="AA1157" i="3"/>
  <c r="AA1156" i="3"/>
  <c r="AA1155" i="3"/>
  <c r="AA1154" i="3"/>
  <c r="AA1153" i="3"/>
  <c r="AA1152" i="3"/>
  <c r="AA1151" i="3"/>
  <c r="AA1150" i="3"/>
  <c r="AA1149" i="3"/>
  <c r="AA1148" i="3"/>
  <c r="AA1147" i="3"/>
  <c r="AA1146" i="3"/>
  <c r="AA1145" i="3"/>
  <c r="AA1144" i="3"/>
  <c r="AA1143" i="3"/>
  <c r="AA1142" i="3"/>
  <c r="AA1141" i="3"/>
  <c r="AA1140" i="3"/>
  <c r="AA1139" i="3"/>
  <c r="AA1138" i="3"/>
  <c r="AA1137" i="3"/>
  <c r="AA1136" i="3"/>
  <c r="AA1135" i="3"/>
  <c r="AA1134" i="3"/>
  <c r="AA1133" i="3"/>
  <c r="AA1132" i="3"/>
  <c r="AA1131" i="3"/>
  <c r="AA1130" i="3"/>
  <c r="AA1129" i="3"/>
  <c r="AA1128" i="3"/>
  <c r="AA1127" i="3"/>
  <c r="AA1126" i="3"/>
  <c r="AA1125" i="3"/>
  <c r="AA1124" i="3"/>
  <c r="AA1123" i="3"/>
  <c r="AA1122" i="3"/>
  <c r="AA1121" i="3"/>
  <c r="AA1120" i="3"/>
  <c r="AA1119" i="3"/>
  <c r="AA1118" i="3"/>
  <c r="AA1117" i="3"/>
  <c r="AA1116" i="3"/>
  <c r="AA1115" i="3"/>
  <c r="AA1114" i="3"/>
  <c r="AA1113" i="3"/>
  <c r="AA1112" i="3"/>
  <c r="AA1111" i="3"/>
  <c r="AA1110" i="3"/>
  <c r="AA1109" i="3"/>
  <c r="AA1108" i="3"/>
  <c r="AA1107" i="3"/>
  <c r="AA1106" i="3"/>
  <c r="AA1105" i="3"/>
  <c r="AA1104" i="3"/>
  <c r="AA1103" i="3"/>
  <c r="AA1102" i="3"/>
  <c r="AA1101" i="3"/>
  <c r="AA1100" i="3"/>
  <c r="AA1099" i="3"/>
  <c r="AA1098" i="3"/>
  <c r="AA1097" i="3"/>
  <c r="AA1096" i="3"/>
  <c r="AA1095" i="3"/>
  <c r="AA1094" i="3"/>
  <c r="AA1093" i="3"/>
  <c r="AA1092" i="3"/>
  <c r="AA1091" i="3"/>
  <c r="AA1090" i="3"/>
  <c r="AA1089" i="3"/>
  <c r="AA1088" i="3"/>
  <c r="AA1087" i="3"/>
  <c r="AA1086" i="3"/>
  <c r="AA1085" i="3"/>
  <c r="AA1084" i="3"/>
  <c r="AA1083" i="3"/>
  <c r="AA1082" i="3"/>
  <c r="AA1081" i="3"/>
  <c r="AA1080" i="3"/>
  <c r="AA1079" i="3"/>
  <c r="AA1078" i="3"/>
  <c r="AA1077" i="3"/>
  <c r="AA1076" i="3"/>
  <c r="AA1075" i="3"/>
  <c r="AA1074" i="3"/>
  <c r="AA1073" i="3"/>
  <c r="AA1072" i="3"/>
  <c r="AA1071" i="3"/>
  <c r="AA1070" i="3"/>
  <c r="AA1069" i="3"/>
  <c r="AA1068" i="3"/>
  <c r="AA1067" i="3"/>
  <c r="AA1066" i="3"/>
  <c r="AA1065" i="3"/>
  <c r="AA1064" i="3"/>
  <c r="AA1063" i="3"/>
  <c r="AA1062" i="3"/>
  <c r="AA1061" i="3"/>
  <c r="AA1060" i="3"/>
  <c r="AA1059" i="3"/>
  <c r="AA1058" i="3"/>
  <c r="AA1057" i="3"/>
  <c r="AA1056" i="3"/>
  <c r="AA1055" i="3"/>
  <c r="AA1054" i="3"/>
  <c r="AA1053" i="3"/>
  <c r="AA1052" i="3"/>
  <c r="AA1051" i="3"/>
  <c r="AA1050" i="3"/>
  <c r="AA1049" i="3"/>
  <c r="AA1048" i="3"/>
  <c r="AA1047" i="3"/>
  <c r="AA1046" i="3"/>
  <c r="AA1045" i="3"/>
  <c r="AA1044" i="3"/>
  <c r="AA1043" i="3"/>
  <c r="AA1042" i="3"/>
  <c r="AA1041" i="3"/>
  <c r="AA1040" i="3"/>
  <c r="AA1039" i="3"/>
  <c r="AA1038" i="3"/>
  <c r="AA1037" i="3"/>
  <c r="AA1036" i="3"/>
  <c r="AA1035" i="3"/>
  <c r="AA1034" i="3"/>
  <c r="AA1033" i="3"/>
  <c r="AA1032" i="3"/>
  <c r="AA1031" i="3"/>
  <c r="AA1002" i="3"/>
  <c r="AA1001" i="3"/>
  <c r="AA1000" i="3"/>
  <c r="AA999" i="3"/>
  <c r="AA998" i="3"/>
  <c r="AA997" i="3"/>
  <c r="AA996" i="3"/>
  <c r="AA995" i="3"/>
  <c r="AA994" i="3"/>
  <c r="AA993" i="3"/>
  <c r="AA992" i="3"/>
  <c r="AA991" i="3"/>
  <c r="AA990" i="3"/>
  <c r="AA989" i="3"/>
  <c r="AA988" i="3"/>
  <c r="AA987" i="3"/>
  <c r="AA986" i="3"/>
  <c r="AA985" i="3"/>
  <c r="AA984" i="3"/>
  <c r="AA983" i="3"/>
  <c r="AA982" i="3"/>
  <c r="AA981" i="3"/>
  <c r="AA980" i="3"/>
  <c r="AA979" i="3"/>
  <c r="AA978" i="3"/>
  <c r="AA977" i="3"/>
  <c r="AA976" i="3"/>
  <c r="AA975" i="3"/>
  <c r="AA974" i="3"/>
  <c r="AA973" i="3"/>
  <c r="AA972" i="3"/>
  <c r="AA971" i="3"/>
  <c r="AA970" i="3"/>
  <c r="AA969" i="3"/>
  <c r="AA968" i="3"/>
  <c r="AA967" i="3"/>
  <c r="AA920" i="3"/>
  <c r="AA919" i="3"/>
  <c r="AA918" i="3"/>
  <c r="AA917" i="3"/>
  <c r="AA916" i="3"/>
  <c r="AA915" i="3"/>
  <c r="AA914" i="3"/>
  <c r="AA913" i="3"/>
  <c r="AA912" i="3"/>
  <c r="AA911" i="3"/>
  <c r="AA910" i="3"/>
  <c r="AA909" i="3"/>
  <c r="AA908" i="3"/>
  <c r="AA907" i="3"/>
  <c r="AA906" i="3"/>
  <c r="AA905" i="3"/>
  <c r="AA904" i="3"/>
  <c r="AA903" i="3"/>
  <c r="AA902" i="3"/>
  <c r="AA901" i="3"/>
  <c r="AA900" i="3"/>
  <c r="AA899" i="3"/>
  <c r="AA898" i="3"/>
  <c r="AA897" i="3"/>
  <c r="AA896" i="3"/>
  <c r="AA895" i="3"/>
  <c r="AA894" i="3"/>
  <c r="AA893" i="3"/>
  <c r="AA892" i="3"/>
  <c r="AA891" i="3"/>
  <c r="AA890" i="3"/>
  <c r="AA889" i="3"/>
  <c r="AA888" i="3"/>
  <c r="AA887" i="3"/>
  <c r="AA886" i="3"/>
  <c r="AA885" i="3"/>
  <c r="AA884" i="3"/>
  <c r="AA883" i="3"/>
  <c r="AA882" i="3"/>
  <c r="AA881" i="3"/>
  <c r="AA880" i="3"/>
  <c r="AA879" i="3"/>
  <c r="AA878" i="3"/>
  <c r="AA877" i="3"/>
  <c r="AA876" i="3"/>
  <c r="AA875" i="3"/>
  <c r="AA874" i="3"/>
  <c r="AA873" i="3"/>
  <c r="AA872" i="3"/>
  <c r="AA871" i="3"/>
  <c r="AA870" i="3"/>
  <c r="AA869" i="3"/>
  <c r="AA868" i="3"/>
  <c r="AA867" i="3"/>
  <c r="AA866" i="3"/>
  <c r="AA865" i="3"/>
  <c r="AA864" i="3"/>
  <c r="AA863" i="3"/>
  <c r="AA862" i="3"/>
  <c r="AA861" i="3"/>
  <c r="AA860" i="3"/>
  <c r="AA859" i="3"/>
  <c r="AA858" i="3"/>
  <c r="AA857" i="3"/>
  <c r="AA856" i="3"/>
  <c r="AA855" i="3"/>
  <c r="AA854" i="3"/>
  <c r="AA853" i="3"/>
  <c r="AA852" i="3"/>
  <c r="AA851" i="3"/>
  <c r="AA850" i="3"/>
  <c r="AA849" i="3"/>
  <c r="AA848" i="3"/>
  <c r="AA847" i="3"/>
  <c r="AA846" i="3"/>
  <c r="AA845" i="3"/>
  <c r="AA844" i="3"/>
  <c r="AA843" i="3"/>
  <c r="AA842" i="3"/>
  <c r="AA841" i="3"/>
  <c r="AA840" i="3"/>
  <c r="AA839" i="3"/>
  <c r="AA838" i="3"/>
  <c r="AA837" i="3"/>
  <c r="AA836" i="3"/>
  <c r="AA835" i="3"/>
  <c r="AA834" i="3"/>
  <c r="AA833" i="3"/>
  <c r="AA832" i="3"/>
  <c r="AA831" i="3"/>
  <c r="AA830" i="3"/>
  <c r="AA829" i="3"/>
  <c r="AA828" i="3"/>
  <c r="AA827" i="3"/>
  <c r="AA826" i="3"/>
  <c r="AA825" i="3"/>
  <c r="AA824" i="3"/>
  <c r="AA823" i="3"/>
  <c r="AA822" i="3"/>
  <c r="AA821" i="3"/>
  <c r="AA820" i="3"/>
  <c r="AA819" i="3"/>
  <c r="AA818" i="3"/>
  <c r="AA817" i="3"/>
  <c r="AA816" i="3"/>
  <c r="AA815" i="3"/>
  <c r="AA814" i="3"/>
  <c r="AA813" i="3"/>
  <c r="AA812" i="3"/>
  <c r="AA811" i="3"/>
  <c r="AA810" i="3"/>
  <c r="AA809" i="3"/>
  <c r="AA808" i="3"/>
  <c r="AA807" i="3"/>
  <c r="AA806" i="3"/>
  <c r="AA805" i="3"/>
  <c r="AA804" i="3"/>
  <c r="AA803" i="3"/>
  <c r="AA802" i="3"/>
  <c r="AA801" i="3"/>
  <c r="AA800" i="3"/>
  <c r="AA799" i="3"/>
  <c r="AA798" i="3"/>
  <c r="AA797" i="3"/>
  <c r="AA796" i="3"/>
  <c r="AA780" i="3"/>
  <c r="AA779" i="3"/>
  <c r="AA778" i="3"/>
  <c r="AA777" i="3"/>
  <c r="AA776" i="3"/>
  <c r="AA775" i="3"/>
  <c r="AA774" i="3"/>
  <c r="AA773" i="3"/>
  <c r="AA772" i="3"/>
  <c r="AA771" i="3"/>
  <c r="AA770" i="3"/>
  <c r="AA769" i="3"/>
  <c r="AA768" i="3"/>
  <c r="AA767" i="3"/>
  <c r="AA766" i="3"/>
  <c r="AA765" i="3"/>
  <c r="AA740" i="3"/>
  <c r="AA739" i="3"/>
  <c r="AA738" i="3"/>
  <c r="AA737" i="3"/>
  <c r="AA736" i="3"/>
  <c r="AA735" i="3"/>
  <c r="AA734" i="3"/>
  <c r="AA518" i="3"/>
  <c r="AA517" i="3"/>
  <c r="AA516" i="3"/>
  <c r="AA515" i="3"/>
  <c r="AA514" i="3"/>
  <c r="AA513" i="3"/>
  <c r="AA512" i="3"/>
  <c r="AA511" i="3"/>
  <c r="AA510" i="3"/>
  <c r="AA509" i="3"/>
  <c r="AA478" i="3"/>
  <c r="AA477" i="3"/>
  <c r="AA476" i="3"/>
  <c r="AA475" i="3"/>
  <c r="AA474" i="3"/>
  <c r="AA473" i="3"/>
  <c r="AA472" i="3"/>
  <c r="AA471" i="3"/>
  <c r="AA470" i="3"/>
  <c r="AA469" i="3"/>
  <c r="AA468" i="3"/>
  <c r="AA467" i="3"/>
  <c r="AA466" i="3"/>
  <c r="AA465" i="3"/>
  <c r="AA464" i="3"/>
  <c r="AA463" i="3"/>
  <c r="AA462" i="3"/>
  <c r="AA461" i="3"/>
  <c r="AA460" i="3"/>
  <c r="AA459" i="3"/>
  <c r="AA458" i="3"/>
  <c r="AA457" i="3"/>
  <c r="AA456" i="3"/>
  <c r="AA455" i="3"/>
  <c r="AA454" i="3"/>
  <c r="AA453" i="3"/>
  <c r="AA452" i="3"/>
  <c r="AA451" i="3"/>
  <c r="AA450" i="3"/>
  <c r="AA449" i="3"/>
  <c r="AA448" i="3"/>
  <c r="AA447" i="3"/>
  <c r="AA446" i="3"/>
  <c r="AA445" i="3"/>
  <c r="AA444" i="3"/>
  <c r="AA443" i="3"/>
  <c r="AA442" i="3"/>
  <c r="AA441" i="3"/>
  <c r="AA440" i="3"/>
  <c r="AA439" i="3"/>
  <c r="AA438" i="3"/>
  <c r="AA437" i="3"/>
  <c r="AA436" i="3"/>
  <c r="AA435" i="3"/>
  <c r="AA434" i="3"/>
  <c r="AA433" i="3"/>
  <c r="AA432" i="3"/>
  <c r="AA431" i="3"/>
  <c r="AA430" i="3"/>
  <c r="AA429" i="3"/>
  <c r="AA428" i="3"/>
  <c r="AA427" i="3"/>
  <c r="AA426" i="3"/>
  <c r="AA425" i="3"/>
  <c r="AA424" i="3"/>
  <c r="AA423" i="3"/>
  <c r="AA422" i="3"/>
  <c r="AA421" i="3"/>
  <c r="AA420" i="3"/>
  <c r="AA419" i="3"/>
  <c r="AA418" i="3"/>
  <c r="AA417" i="3"/>
  <c r="AA416" i="3"/>
  <c r="AA415" i="3"/>
  <c r="AA414" i="3"/>
  <c r="AA413" i="3"/>
  <c r="AA412" i="3"/>
  <c r="AA411" i="3"/>
  <c r="AA410" i="3"/>
  <c r="AA409" i="3"/>
  <c r="AA408" i="3"/>
  <c r="AA407" i="3"/>
  <c r="AA406" i="3"/>
  <c r="AA405" i="3"/>
  <c r="AA404" i="3"/>
  <c r="AA403" i="3"/>
  <c r="AA402" i="3"/>
  <c r="AA401" i="3"/>
  <c r="AA400" i="3"/>
  <c r="AA399" i="3"/>
  <c r="AA398" i="3"/>
  <c r="AA397" i="3"/>
  <c r="AA396" i="3"/>
  <c r="AA395" i="3"/>
  <c r="AA394" i="3"/>
  <c r="AA393" i="3"/>
  <c r="AA392" i="3"/>
  <c r="AA391" i="3"/>
  <c r="AA390" i="3"/>
  <c r="AA389" i="3"/>
  <c r="AA388" i="3"/>
  <c r="AA387" i="3"/>
  <c r="AA386" i="3"/>
  <c r="AA385" i="3"/>
  <c r="AA384" i="3"/>
  <c r="AA383" i="3"/>
  <c r="AA382" i="3"/>
  <c r="AA381" i="3"/>
  <c r="AA380" i="3"/>
  <c r="AA379" i="3"/>
  <c r="AA378" i="3"/>
  <c r="AA377" i="3"/>
  <c r="AA376" i="3"/>
  <c r="AA375" i="3"/>
  <c r="AA374" i="3"/>
  <c r="AA373" i="3"/>
  <c r="AA372" i="3"/>
  <c r="AA371" i="3"/>
  <c r="AA370" i="3"/>
  <c r="AA369" i="3"/>
  <c r="AA345" i="3"/>
  <c r="AA344" i="3"/>
  <c r="AA343" i="3"/>
  <c r="AA342" i="3"/>
  <c r="AA341" i="3"/>
  <c r="AA340" i="3"/>
  <c r="AA339" i="3"/>
  <c r="AA338" i="3"/>
  <c r="AA337" i="3"/>
  <c r="AA336" i="3"/>
  <c r="AA335" i="3"/>
  <c r="AA334" i="3"/>
  <c r="AA333" i="3"/>
  <c r="AA332" i="3"/>
  <c r="AA331" i="3"/>
  <c r="AA330" i="3"/>
  <c r="AA329" i="3"/>
  <c r="AA328" i="3"/>
  <c r="AA327" i="3"/>
  <c r="AA326" i="3"/>
  <c r="AA325" i="3"/>
  <c r="AA324" i="3"/>
  <c r="AA323" i="3"/>
  <c r="AA322" i="3"/>
  <c r="AA321" i="3"/>
  <c r="AA320" i="3"/>
  <c r="AA319" i="3"/>
  <c r="AA318" i="3"/>
  <c r="AA105" i="3"/>
  <c r="AA104" i="3"/>
  <c r="AA103" i="3"/>
  <c r="AA102" i="3"/>
  <c r="AA101" i="3"/>
  <c r="AA100" i="3"/>
  <c r="AA99" i="3"/>
  <c r="AA98" i="3"/>
  <c r="AA97" i="3"/>
  <c r="AA96" i="3"/>
  <c r="AA95" i="3"/>
  <c r="AA94" i="3"/>
  <c r="AA93" i="3"/>
  <c r="AA92" i="3"/>
  <c r="AA91" i="3"/>
  <c r="AA90" i="3"/>
  <c r="AA89" i="3"/>
  <c r="AA88" i="3"/>
  <c r="AA87" i="3"/>
  <c r="AA86" i="3"/>
  <c r="AA85" i="3"/>
  <c r="AA84" i="3"/>
  <c r="AA83" i="3"/>
  <c r="AA82" i="3"/>
  <c r="AA81" i="3"/>
  <c r="AA80" i="3"/>
  <c r="AA79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3573" i="3"/>
  <c r="AA3572" i="3"/>
  <c r="AA3571" i="3"/>
  <c r="AA3570" i="3"/>
  <c r="AA3569" i="3"/>
  <c r="AA3568" i="3"/>
  <c r="AA3567" i="3"/>
  <c r="AA3566" i="3"/>
  <c r="AA3565" i="3"/>
  <c r="AA3564" i="3"/>
  <c r="AA3563" i="3"/>
  <c r="AA3562" i="3"/>
  <c r="AA3561" i="3"/>
  <c r="AA3560" i="3"/>
  <c r="AA3559" i="3"/>
  <c r="AA3558" i="3"/>
  <c r="AA3557" i="3"/>
  <c r="AA3556" i="3"/>
  <c r="AA3555" i="3"/>
  <c r="AA3554" i="3"/>
  <c r="AA3553" i="3"/>
  <c r="AA3552" i="3"/>
  <c r="AA3551" i="3"/>
  <c r="AA3550" i="3"/>
  <c r="AA3549" i="3"/>
  <c r="AA3548" i="3"/>
  <c r="AA3547" i="3"/>
  <c r="AA3546" i="3"/>
  <c r="AA3545" i="3"/>
  <c r="AA3544" i="3"/>
  <c r="AA3543" i="3"/>
  <c r="AA3542" i="3"/>
  <c r="AA3541" i="3"/>
  <c r="AA3540" i="3"/>
  <c r="AA3539" i="3"/>
  <c r="AA3538" i="3"/>
  <c r="AA3537" i="3"/>
  <c r="AA3536" i="3"/>
  <c r="AA3535" i="3"/>
  <c r="AA3534" i="3"/>
  <c r="AA3533" i="3"/>
  <c r="AA3532" i="3"/>
  <c r="AA3531" i="3"/>
  <c r="AA3530" i="3"/>
  <c r="AA3529" i="3"/>
  <c r="AA3528" i="3"/>
  <c r="AA3527" i="3"/>
  <c r="AA3526" i="3"/>
  <c r="AA3525" i="3"/>
  <c r="AA3524" i="3"/>
  <c r="AA3523" i="3"/>
  <c r="AA3522" i="3"/>
  <c r="AA3521" i="3"/>
  <c r="AA3520" i="3"/>
  <c r="AA3519" i="3"/>
  <c r="AA3518" i="3"/>
  <c r="AA3517" i="3"/>
  <c r="AA3516" i="3"/>
  <c r="AA3515" i="3"/>
  <c r="AA3514" i="3"/>
  <c r="AA3513" i="3"/>
  <c r="AA3512" i="3"/>
  <c r="AA3511" i="3"/>
  <c r="AA3510" i="3"/>
  <c r="AA3509" i="3"/>
  <c r="AA3508" i="3"/>
  <c r="AA3507" i="3"/>
  <c r="AA3506" i="3"/>
  <c r="AA3505" i="3"/>
  <c r="AA3504" i="3"/>
  <c r="AA3503" i="3"/>
  <c r="AA3502" i="3"/>
  <c r="AA3501" i="3"/>
  <c r="AA3500" i="3"/>
  <c r="AA3499" i="3"/>
  <c r="AA3498" i="3"/>
  <c r="AA3497" i="3"/>
  <c r="AA3496" i="3"/>
  <c r="AA3495" i="3"/>
  <c r="AA3494" i="3"/>
  <c r="AA3493" i="3"/>
  <c r="AA3492" i="3"/>
  <c r="AA3491" i="3"/>
  <c r="AA3490" i="3"/>
  <c r="AA3489" i="3"/>
  <c r="AA3488" i="3"/>
  <c r="AA3487" i="3"/>
  <c r="AA3486" i="3"/>
  <c r="AA3485" i="3"/>
  <c r="AA3484" i="3"/>
  <c r="AA3483" i="3"/>
  <c r="AA3482" i="3"/>
  <c r="AA3481" i="3"/>
  <c r="AA3480" i="3"/>
  <c r="AA3479" i="3"/>
  <c r="AA3478" i="3"/>
  <c r="AA3477" i="3"/>
  <c r="AA3476" i="3"/>
  <c r="AA3380" i="3"/>
  <c r="AA3379" i="3"/>
  <c r="AA3378" i="3"/>
  <c r="AA3377" i="3"/>
  <c r="AA3376" i="3"/>
  <c r="AA3375" i="3"/>
  <c r="AA3374" i="3"/>
  <c r="AA3373" i="3"/>
  <c r="AA3372" i="3"/>
  <c r="AA3371" i="3"/>
  <c r="AA3370" i="3"/>
  <c r="AA3369" i="3"/>
  <c r="AA3368" i="3"/>
  <c r="AA3367" i="3"/>
  <c r="AA3366" i="3"/>
  <c r="AA3365" i="3"/>
  <c r="AA3364" i="3"/>
  <c r="AA3363" i="3"/>
  <c r="AA3362" i="3"/>
  <c r="AA3361" i="3"/>
  <c r="AA3360" i="3"/>
  <c r="AA3359" i="3"/>
  <c r="AA3358" i="3"/>
  <c r="AA3357" i="3"/>
  <c r="AA3356" i="3"/>
  <c r="AA3355" i="3"/>
  <c r="AA3230" i="3"/>
  <c r="AA3229" i="3"/>
  <c r="AA3228" i="3"/>
  <c r="AA3227" i="3"/>
  <c r="AA3226" i="3"/>
  <c r="AA3225" i="3"/>
  <c r="AA3224" i="3"/>
  <c r="AA3223" i="3"/>
  <c r="AA3222" i="3"/>
  <c r="AA3221" i="3"/>
  <c r="AA3220" i="3"/>
  <c r="AA3219" i="3"/>
  <c r="AA3218" i="3"/>
  <c r="AA3217" i="3"/>
  <c r="AA3216" i="3"/>
  <c r="AA3215" i="3"/>
  <c r="AA3214" i="3"/>
  <c r="AA3213" i="3"/>
  <c r="AA3212" i="3"/>
  <c r="AA3211" i="3"/>
  <c r="AA3210" i="3"/>
  <c r="AA3209" i="3"/>
  <c r="AA3208" i="3"/>
  <c r="AA3207" i="3"/>
  <c r="AA3206" i="3"/>
  <c r="AA3205" i="3"/>
  <c r="AA3204" i="3"/>
  <c r="AA3203" i="3"/>
  <c r="AA3202" i="3"/>
  <c r="AA3201" i="3"/>
  <c r="AA3200" i="3"/>
  <c r="AA3199" i="3"/>
  <c r="AA3198" i="3"/>
  <c r="AA3197" i="3"/>
  <c r="AA3196" i="3"/>
  <c r="AA3195" i="3"/>
  <c r="AA3194" i="3"/>
  <c r="AA3193" i="3"/>
  <c r="AA3192" i="3"/>
  <c r="AA3191" i="3"/>
  <c r="AA3190" i="3"/>
  <c r="AA3189" i="3"/>
  <c r="AA3188" i="3"/>
  <c r="AA3187" i="3"/>
  <c r="AA3186" i="3"/>
  <c r="AA3185" i="3"/>
  <c r="AA3184" i="3"/>
  <c r="AA3183" i="3"/>
  <c r="AA3182" i="3"/>
  <c r="AA3181" i="3"/>
  <c r="AA3180" i="3"/>
  <c r="AA3179" i="3"/>
  <c r="AA3178" i="3"/>
  <c r="AA3177" i="3"/>
  <c r="AA3176" i="3"/>
  <c r="AA3175" i="3"/>
  <c r="AA3174" i="3"/>
  <c r="AA3173" i="3"/>
  <c r="AA3172" i="3"/>
  <c r="AA3171" i="3"/>
  <c r="AA3170" i="3"/>
  <c r="AA3169" i="3"/>
  <c r="AA3168" i="3"/>
  <c r="AA3167" i="3"/>
  <c r="AA3166" i="3"/>
  <c r="AA3165" i="3"/>
  <c r="AA3164" i="3"/>
  <c r="AA3163" i="3"/>
  <c r="AA3162" i="3"/>
  <c r="AA3161" i="3"/>
  <c r="AA3160" i="3"/>
  <c r="AA3159" i="3"/>
  <c r="AA3158" i="3"/>
  <c r="AA3157" i="3"/>
  <c r="AA3156" i="3"/>
  <c r="AA3155" i="3"/>
  <c r="AA3154" i="3"/>
  <c r="AA3153" i="3"/>
  <c r="AA3152" i="3"/>
  <c r="AA3151" i="3"/>
  <c r="AA3150" i="3"/>
  <c r="AA3149" i="3"/>
  <c r="AA3148" i="3"/>
  <c r="AA3147" i="3"/>
  <c r="AA3146" i="3"/>
  <c r="AA3145" i="3"/>
  <c r="AA3144" i="3"/>
  <c r="AA3143" i="3"/>
  <c r="AA3142" i="3"/>
  <c r="AA3141" i="3"/>
  <c r="AA3140" i="3"/>
  <c r="AA3139" i="3"/>
  <c r="AA3138" i="3"/>
  <c r="AA3137" i="3"/>
  <c r="AA3136" i="3"/>
  <c r="AA3135" i="3"/>
  <c r="AA3134" i="3"/>
  <c r="AA3133" i="3"/>
  <c r="AA3132" i="3"/>
  <c r="AA3131" i="3"/>
  <c r="AA3130" i="3"/>
  <c r="AA3129" i="3"/>
  <c r="AA3128" i="3"/>
  <c r="AA3127" i="3"/>
  <c r="AA3126" i="3"/>
  <c r="AA3125" i="3"/>
  <c r="AA3124" i="3"/>
  <c r="AA3123" i="3"/>
  <c r="AA3122" i="3"/>
  <c r="AA3121" i="3"/>
  <c r="AA3120" i="3"/>
  <c r="AA3119" i="3"/>
  <c r="AA3118" i="3"/>
  <c r="AA3117" i="3"/>
  <c r="AA3116" i="3"/>
  <c r="AA3115" i="3"/>
  <c r="AA3114" i="3"/>
  <c r="AA3113" i="3"/>
  <c r="AA3112" i="3"/>
  <c r="AA3111" i="3"/>
  <c r="AA3110" i="3"/>
  <c r="AA3109" i="3"/>
  <c r="AA3108" i="3"/>
  <c r="AA3107" i="3"/>
  <c r="AA3106" i="3"/>
  <c r="AA3105" i="3"/>
  <c r="AA3104" i="3"/>
  <c r="AA3103" i="3"/>
  <c r="AA3102" i="3"/>
  <c r="AA3101" i="3"/>
  <c r="AA3100" i="3"/>
  <c r="AA3099" i="3"/>
  <c r="AA3098" i="3"/>
  <c r="AA3097" i="3"/>
  <c r="AA3096" i="3"/>
  <c r="AA3095" i="3"/>
  <c r="AA3094" i="3"/>
  <c r="AA3093" i="3"/>
  <c r="AA3092" i="3"/>
  <c r="AA3091" i="3"/>
  <c r="AA3090" i="3"/>
  <c r="AA3089" i="3"/>
  <c r="AA3088" i="3"/>
  <c r="AA3087" i="3"/>
  <c r="AA3086" i="3"/>
  <c r="AA3085" i="3"/>
  <c r="AA3084" i="3"/>
  <c r="AA3083" i="3"/>
  <c r="AA3082" i="3"/>
  <c r="AA3081" i="3"/>
  <c r="AA3080" i="3"/>
  <c r="AA3079" i="3"/>
  <c r="AA3078" i="3"/>
  <c r="AA3077" i="3"/>
  <c r="AA3076" i="3"/>
  <c r="AA3075" i="3"/>
  <c r="AA3074" i="3"/>
  <c r="AA3073" i="3"/>
  <c r="AA3072" i="3"/>
  <c r="AA3071" i="3"/>
  <c r="AA3070" i="3"/>
  <c r="AA3069" i="3"/>
  <c r="AA3068" i="3"/>
  <c r="AA3067" i="3"/>
  <c r="AA3066" i="3"/>
  <c r="AA3065" i="3"/>
  <c r="AA3064" i="3"/>
  <c r="AA3063" i="3"/>
  <c r="AA3062" i="3"/>
  <c r="AA3061" i="3"/>
  <c r="AA3060" i="3"/>
  <c r="AA3059" i="3"/>
  <c r="AA3058" i="3"/>
  <c r="AA3057" i="3"/>
  <c r="AA3056" i="3"/>
  <c r="AA3055" i="3"/>
  <c r="AA3054" i="3"/>
  <c r="AA3053" i="3"/>
  <c r="AA3052" i="3"/>
  <c r="AA3051" i="3"/>
  <c r="AA3050" i="3"/>
  <c r="AA3049" i="3"/>
  <c r="AA3048" i="3"/>
  <c r="AA3047" i="3"/>
  <c r="AA3046" i="3"/>
  <c r="AA3045" i="3"/>
  <c r="AA3044" i="3"/>
  <c r="AA3043" i="3"/>
  <c r="AA3042" i="3"/>
  <c r="AA3041" i="3"/>
  <c r="AA3040" i="3"/>
  <c r="AA3039" i="3"/>
  <c r="AA3038" i="3"/>
  <c r="AA3037" i="3"/>
  <c r="AA3036" i="3"/>
  <c r="AA3035" i="3"/>
  <c r="AA3034" i="3"/>
  <c r="AA3033" i="3"/>
  <c r="AA3032" i="3"/>
  <c r="AA3031" i="3"/>
  <c r="AA3030" i="3"/>
  <c r="AA3029" i="3"/>
  <c r="AA3028" i="3"/>
  <c r="AA3027" i="3"/>
  <c r="AA3026" i="3"/>
  <c r="AA3025" i="3"/>
  <c r="AA3024" i="3"/>
  <c r="AA3023" i="3"/>
  <c r="AA3022" i="3"/>
  <c r="AA3021" i="3"/>
  <c r="AA3020" i="3"/>
  <c r="AA3019" i="3"/>
  <c r="AA3018" i="3"/>
  <c r="AA3017" i="3"/>
  <c r="AA3016" i="3"/>
  <c r="AA3015" i="3"/>
  <c r="AA3014" i="3"/>
  <c r="AA3013" i="3"/>
  <c r="AA3012" i="3"/>
  <c r="AA3011" i="3"/>
  <c r="AA3010" i="3"/>
  <c r="AA3009" i="3"/>
  <c r="AA3008" i="3"/>
  <c r="AA3007" i="3"/>
  <c r="AA3006" i="3"/>
  <c r="AA3005" i="3"/>
  <c r="AA3004" i="3"/>
  <c r="AA3003" i="3"/>
  <c r="AA3002" i="3"/>
  <c r="AA3001" i="3"/>
  <c r="AA3000" i="3"/>
  <c r="AA2999" i="3"/>
  <c r="AA2998" i="3"/>
  <c r="AA2997" i="3"/>
  <c r="AA2996" i="3"/>
  <c r="AA2995" i="3"/>
  <c r="AA2994" i="3"/>
  <c r="AA2993" i="3"/>
  <c r="AA2992" i="3"/>
  <c r="AA2991" i="3"/>
  <c r="AA2990" i="3"/>
  <c r="AA2989" i="3"/>
  <c r="AA2988" i="3"/>
  <c r="AA2987" i="3"/>
  <c r="AA2986" i="3"/>
  <c r="AA2985" i="3"/>
  <c r="AA2984" i="3"/>
  <c r="AA2983" i="3"/>
  <c r="AA2982" i="3"/>
  <c r="AA2981" i="3"/>
  <c r="AA2980" i="3"/>
  <c r="AA2979" i="3"/>
  <c r="AA2978" i="3"/>
  <c r="AA2977" i="3"/>
  <c r="AA2976" i="3"/>
  <c r="AA2975" i="3"/>
  <c r="AA2974" i="3"/>
  <c r="AA2973" i="3"/>
  <c r="AA2972" i="3"/>
  <c r="AA2971" i="3"/>
  <c r="AA2970" i="3"/>
  <c r="AA2969" i="3"/>
  <c r="AA2968" i="3"/>
  <c r="AA2967" i="3"/>
  <c r="AA2966" i="3"/>
  <c r="AA2965" i="3"/>
  <c r="AA2964" i="3"/>
  <c r="AA2963" i="3"/>
  <c r="AA2962" i="3"/>
  <c r="AA2961" i="3"/>
  <c r="AA2960" i="3"/>
  <c r="AA2959" i="3"/>
  <c r="AA2958" i="3"/>
  <c r="AA2957" i="3"/>
  <c r="AA2956" i="3"/>
  <c r="AA2955" i="3"/>
  <c r="AA2954" i="3"/>
  <c r="AA2953" i="3"/>
  <c r="AA2952" i="3"/>
  <c r="AA2951" i="3"/>
  <c r="AA2950" i="3"/>
  <c r="AA2949" i="3"/>
  <c r="AA2948" i="3"/>
  <c r="AA2947" i="3"/>
  <c r="AA2946" i="3"/>
  <c r="AA2945" i="3"/>
  <c r="AA2944" i="3"/>
  <c r="AA2943" i="3"/>
  <c r="AA2942" i="3"/>
  <c r="AA2941" i="3"/>
  <c r="AA2940" i="3"/>
  <c r="AA2939" i="3"/>
  <c r="AA2938" i="3"/>
  <c r="AA2937" i="3"/>
  <c r="AA2936" i="3"/>
  <c r="AA2935" i="3"/>
  <c r="AA2934" i="3"/>
  <c r="AA2933" i="3"/>
  <c r="AA2932" i="3"/>
  <c r="AA2931" i="3"/>
  <c r="AA2930" i="3"/>
  <c r="AA2929" i="3"/>
  <c r="AA2928" i="3"/>
  <c r="AA2927" i="3"/>
  <c r="AA2926" i="3"/>
  <c r="AA2925" i="3"/>
  <c r="AA2924" i="3"/>
  <c r="AA2923" i="3"/>
  <c r="AA2922" i="3"/>
  <c r="AA2921" i="3"/>
  <c r="AA2920" i="3"/>
  <c r="AA2919" i="3"/>
  <c r="AA2918" i="3"/>
  <c r="AA2917" i="3"/>
  <c r="AA2802" i="3"/>
  <c r="AA2801" i="3"/>
  <c r="AA2800" i="3"/>
  <c r="AA2799" i="3"/>
  <c r="AA2798" i="3"/>
  <c r="AA2797" i="3"/>
  <c r="AA2796" i="3"/>
  <c r="AA2795" i="3"/>
  <c r="AA2794" i="3"/>
  <c r="AA2793" i="3"/>
  <c r="AA2792" i="3"/>
  <c r="AA2791" i="3"/>
  <c r="AA2790" i="3"/>
  <c r="AA2789" i="3"/>
  <c r="AA2788" i="3"/>
  <c r="AA2787" i="3"/>
  <c r="AA1581" i="3"/>
  <c r="AA1580" i="3"/>
  <c r="AA1579" i="3"/>
  <c r="AA1578" i="3"/>
  <c r="AA1577" i="3"/>
  <c r="AA1576" i="3"/>
  <c r="AA1575" i="3"/>
  <c r="AA1574" i="3"/>
  <c r="AA1573" i="3"/>
  <c r="AA1572" i="3"/>
  <c r="AA1571" i="3"/>
  <c r="AA1570" i="3"/>
  <c r="AA1569" i="3"/>
  <c r="AA1568" i="3"/>
  <c r="AA1567" i="3"/>
  <c r="AA1566" i="3"/>
  <c r="AA1565" i="3"/>
  <c r="AA1564" i="3"/>
  <c r="AA1563" i="3"/>
  <c r="AA1562" i="3"/>
  <c r="AA1561" i="3"/>
  <c r="AA1560" i="3"/>
  <c r="AA1559" i="3"/>
  <c r="AA1558" i="3"/>
  <c r="AA1557" i="3"/>
  <c r="AA1556" i="3"/>
  <c r="AA1555" i="3"/>
  <c r="AA1554" i="3"/>
  <c r="AA1553" i="3"/>
  <c r="AA1552" i="3"/>
  <c r="AA1551" i="3"/>
  <c r="AA1550" i="3"/>
  <c r="AA1549" i="3"/>
  <c r="AA1548" i="3"/>
  <c r="AA1547" i="3"/>
  <c r="AA1546" i="3"/>
  <c r="AA1545" i="3"/>
  <c r="AA1544" i="3"/>
  <c r="AA1543" i="3"/>
  <c r="AA1542" i="3"/>
  <c r="AA1541" i="3"/>
  <c r="AA1540" i="3"/>
  <c r="AA1539" i="3"/>
  <c r="AA1538" i="3"/>
  <c r="AA1537" i="3"/>
  <c r="AA1536" i="3"/>
  <c r="AA1535" i="3"/>
  <c r="AA1534" i="3"/>
  <c r="AA1533" i="3"/>
  <c r="AA1532" i="3"/>
  <c r="AA1531" i="3"/>
  <c r="AA1530" i="3"/>
  <c r="AA1529" i="3"/>
  <c r="AA1528" i="3"/>
  <c r="AA1527" i="3"/>
  <c r="AA1526" i="3"/>
  <c r="AA1525" i="3"/>
  <c r="AA1524" i="3"/>
  <c r="AA1523" i="3"/>
  <c r="AA1522" i="3"/>
  <c r="AA1521" i="3"/>
  <c r="AA1520" i="3"/>
  <c r="AA1519" i="3"/>
  <c r="AA1518" i="3"/>
  <c r="AA1517" i="3"/>
  <c r="AA1516" i="3"/>
  <c r="AA1515" i="3"/>
  <c r="AA1514" i="3"/>
  <c r="AA1513" i="3"/>
  <c r="AA1512" i="3"/>
  <c r="AA1511" i="3"/>
  <c r="AA1510" i="3"/>
  <c r="AA1509" i="3"/>
  <c r="AA1508" i="3"/>
  <c r="AA1507" i="3"/>
  <c r="AA1506" i="3"/>
  <c r="AA1505" i="3"/>
  <c r="AA1504" i="3"/>
  <c r="AA1503" i="3"/>
  <c r="AA1502" i="3"/>
  <c r="AA1501" i="3"/>
  <c r="AA1500" i="3"/>
  <c r="AA1499" i="3"/>
  <c r="AA1498" i="3"/>
  <c r="AA1497" i="3"/>
  <c r="AA1496" i="3"/>
  <c r="AA1495" i="3"/>
  <c r="AA1494" i="3"/>
  <c r="AA1493" i="3"/>
  <c r="AA1492" i="3"/>
  <c r="AA1491" i="3"/>
  <c r="AA1490" i="3"/>
  <c r="AA1489" i="3"/>
  <c r="AA1488" i="3"/>
  <c r="AA1487" i="3"/>
  <c r="AA1486" i="3"/>
  <c r="AA1485" i="3"/>
  <c r="AA1484" i="3"/>
  <c r="AA1483" i="3"/>
  <c r="AA1482" i="3"/>
  <c r="AA1481" i="3"/>
  <c r="AA1480" i="3"/>
  <c r="AA1479" i="3"/>
  <c r="AA1478" i="3"/>
  <c r="AA1477" i="3"/>
  <c r="AA1476" i="3"/>
  <c r="AA1475" i="3"/>
  <c r="AA1474" i="3"/>
  <c r="AA1473" i="3"/>
  <c r="AA1472" i="3"/>
  <c r="AA1471" i="3"/>
  <c r="AA1414" i="3"/>
  <c r="AA1413" i="3"/>
  <c r="AA1412" i="3"/>
  <c r="AA1411" i="3"/>
  <c r="AA1410" i="3"/>
  <c r="AA1409" i="3"/>
  <c r="AA1408" i="3"/>
  <c r="AA1407" i="3"/>
  <c r="AA1406" i="3"/>
  <c r="AA1405" i="3"/>
  <c r="AA1404" i="3"/>
  <c r="AA1403" i="3"/>
  <c r="AA253" i="3"/>
  <c r="AA252" i="3"/>
  <c r="AA251" i="3"/>
  <c r="AA250" i="3"/>
  <c r="AA249" i="3"/>
  <c r="AA248" i="3"/>
  <c r="AA247" i="3"/>
  <c r="AA246" i="3"/>
  <c r="AA245" i="3"/>
  <c r="AA244" i="3"/>
  <c r="AA243" i="3"/>
  <c r="AA242" i="3"/>
  <c r="AA241" i="3"/>
  <c r="AA240" i="3"/>
  <c r="AA239" i="3"/>
  <c r="AA238" i="3"/>
  <c r="AA237" i="3"/>
  <c r="AA236" i="3"/>
  <c r="AA235" i="3"/>
  <c r="AA234" i="3"/>
  <c r="AA233" i="3"/>
  <c r="AA232" i="3"/>
  <c r="AA231" i="3"/>
  <c r="AA230" i="3"/>
  <c r="AA229" i="3"/>
  <c r="AA228" i="3"/>
  <c r="AA227" i="3"/>
  <c r="AA226" i="3"/>
  <c r="AA225" i="3"/>
  <c r="AA224" i="3"/>
  <c r="AA223" i="3"/>
  <c r="AA222" i="3"/>
  <c r="AA221" i="3"/>
  <c r="AA220" i="3"/>
  <c r="AA219" i="3"/>
  <c r="AA218" i="3"/>
  <c r="AA217" i="3"/>
  <c r="AA216" i="3"/>
  <c r="AA215" i="3"/>
  <c r="AA214" i="3"/>
  <c r="AA213" i="3"/>
  <c r="AA212" i="3"/>
  <c r="AA211" i="3"/>
  <c r="AA210" i="3"/>
  <c r="AA209" i="3"/>
  <c r="AA208" i="3"/>
  <c r="AA207" i="3"/>
  <c r="AA206" i="3"/>
  <c r="AA205" i="3"/>
  <c r="AA204" i="3"/>
  <c r="AA203" i="3"/>
  <c r="AA202" i="3"/>
  <c r="AA201" i="3"/>
  <c r="AA200" i="3"/>
  <c r="AA199" i="3"/>
  <c r="AA198" i="3"/>
  <c r="AA197" i="3"/>
  <c r="AA196" i="3"/>
  <c r="AA195" i="3"/>
  <c r="AA194" i="3"/>
  <c r="AA193" i="3"/>
  <c r="AA192" i="3"/>
  <c r="AA191" i="3"/>
  <c r="AA190" i="3"/>
  <c r="AA189" i="3"/>
  <c r="AA188" i="3"/>
  <c r="AA187" i="3"/>
  <c r="AA186" i="3"/>
  <c r="AA185" i="3"/>
  <c r="AA184" i="3"/>
  <c r="AA183" i="3"/>
  <c r="AA182" i="3"/>
  <c r="AA181" i="3"/>
  <c r="AA180" i="3"/>
  <c r="AA179" i="3"/>
  <c r="AA178" i="3"/>
  <c r="AA177" i="3"/>
  <c r="AA176" i="3"/>
  <c r="AA175" i="3"/>
  <c r="AA174" i="3"/>
  <c r="AA173" i="3"/>
  <c r="AA172" i="3"/>
  <c r="AA171" i="3"/>
  <c r="AA170" i="3"/>
  <c r="AA169" i="3"/>
  <c r="AA168" i="3"/>
  <c r="AA167" i="3"/>
  <c r="AA166" i="3"/>
  <c r="AA165" i="3"/>
  <c r="AA164" i="3"/>
  <c r="AA163" i="3"/>
  <c r="AA162" i="3"/>
  <c r="AA161" i="3"/>
  <c r="AA160" i="3"/>
  <c r="AA159" i="3"/>
  <c r="AA158" i="3"/>
  <c r="AA157" i="3"/>
  <c r="AA156" i="3"/>
  <c r="AA155" i="3"/>
  <c r="AA154" i="3"/>
  <c r="AA153" i="3"/>
  <c r="AA152" i="3"/>
  <c r="AA151" i="3"/>
  <c r="AA150" i="3"/>
  <c r="AA149" i="3"/>
  <c r="AA148" i="3"/>
  <c r="AA147" i="3"/>
  <c r="AA146" i="3"/>
  <c r="AA145" i="3"/>
  <c r="AA144" i="3"/>
  <c r="AA143" i="3"/>
  <c r="AA142" i="3"/>
  <c r="AA141" i="3"/>
  <c r="AA140" i="3"/>
  <c r="AA139" i="3"/>
  <c r="AA138" i="3"/>
  <c r="AA137" i="3"/>
  <c r="AA136" i="3"/>
  <c r="AA135" i="3"/>
  <c r="AA134" i="3"/>
  <c r="AA133" i="3"/>
  <c r="AA132" i="3"/>
  <c r="AA131" i="3"/>
  <c r="AA130" i="3"/>
  <c r="AA129" i="3"/>
  <c r="AA128" i="3"/>
  <c r="AA127" i="3"/>
  <c r="AA126" i="3"/>
  <c r="AA125" i="3"/>
  <c r="AA124" i="3"/>
  <c r="AA123" i="3"/>
  <c r="AA122" i="3"/>
  <c r="AA121" i="3"/>
  <c r="AA120" i="3"/>
  <c r="AA119" i="3"/>
  <c r="AA118" i="3"/>
  <c r="AA117" i="3"/>
  <c r="AA116" i="3"/>
  <c r="AA115" i="3"/>
  <c r="AA114" i="3"/>
  <c r="AA113" i="3"/>
  <c r="AA112" i="3"/>
  <c r="AA111" i="3"/>
  <c r="AA110" i="3"/>
  <c r="AA109" i="3"/>
  <c r="AA108" i="3"/>
  <c r="AA107" i="3"/>
  <c r="AA10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G325" i="5" l="1"/>
  <c r="G324" i="5"/>
  <c r="G323" i="5"/>
  <c r="G322" i="5"/>
  <c r="G321" i="5"/>
  <c r="G320" i="5"/>
  <c r="G319" i="5"/>
  <c r="G318" i="5"/>
  <c r="G317" i="5"/>
  <c r="G316" i="5"/>
  <c r="G315" i="5"/>
  <c r="G314" i="5"/>
  <c r="G312" i="5"/>
  <c r="G311" i="5"/>
  <c r="G310" i="5"/>
  <c r="G309" i="5"/>
  <c r="G308" i="5"/>
  <c r="G307" i="5"/>
  <c r="G306" i="5"/>
  <c r="G305" i="5"/>
  <c r="G304" i="5"/>
  <c r="G303" i="5"/>
  <c r="G302" i="5"/>
  <c r="G301" i="5"/>
  <c r="G300" i="5"/>
  <c r="G299" i="5"/>
  <c r="G297" i="5"/>
  <c r="G296" i="5"/>
  <c r="G295" i="5"/>
  <c r="G294" i="5"/>
  <c r="G293" i="5"/>
  <c r="G292" i="5"/>
  <c r="G291" i="5"/>
  <c r="G290" i="5"/>
  <c r="G289" i="5"/>
  <c r="G288" i="5"/>
  <c r="G280" i="5"/>
  <c r="G279" i="5"/>
  <c r="G278" i="5"/>
  <c r="G277" i="5"/>
  <c r="G276" i="5"/>
  <c r="G275" i="5"/>
  <c r="G274" i="5"/>
  <c r="G273" i="5"/>
  <c r="G272" i="5"/>
  <c r="G271" i="5"/>
  <c r="G270" i="5"/>
  <c r="G269" i="5"/>
  <c r="G267" i="5"/>
  <c r="G266" i="5"/>
  <c r="G265" i="5"/>
  <c r="G264" i="5"/>
  <c r="G263" i="5"/>
  <c r="G262" i="5"/>
  <c r="G261" i="5"/>
  <c r="G260" i="5"/>
  <c r="G259" i="5"/>
  <c r="G258" i="5"/>
  <c r="G257" i="5"/>
  <c r="G256" i="5"/>
  <c r="G255" i="5"/>
  <c r="G254" i="5"/>
  <c r="G252" i="5"/>
  <c r="G251" i="5"/>
  <c r="G250" i="5"/>
  <c r="G249" i="5"/>
  <c r="G248" i="5"/>
  <c r="G247" i="5"/>
  <c r="G246" i="5"/>
  <c r="G245" i="5"/>
  <c r="G244" i="5"/>
  <c r="G243" i="5"/>
  <c r="G235" i="5"/>
  <c r="G234" i="5"/>
  <c r="G233" i="5"/>
  <c r="G232" i="5"/>
  <c r="G231" i="5"/>
  <c r="G230" i="5"/>
  <c r="G229" i="5"/>
  <c r="G228" i="5"/>
  <c r="G227" i="5"/>
  <c r="G226" i="5"/>
  <c r="G225" i="5"/>
  <c r="G224" i="5"/>
  <c r="G222" i="5"/>
  <c r="G221" i="5"/>
  <c r="G220" i="5"/>
  <c r="G219" i="5"/>
  <c r="G218" i="5"/>
  <c r="G217" i="5"/>
  <c r="G216" i="5"/>
  <c r="G215" i="5"/>
  <c r="G214" i="5"/>
  <c r="G213" i="5"/>
  <c r="G212" i="5"/>
  <c r="G211" i="5"/>
  <c r="G210" i="5"/>
  <c r="G209" i="5"/>
  <c r="G207" i="5"/>
  <c r="G206" i="5"/>
  <c r="G205" i="5"/>
  <c r="G204" i="5"/>
  <c r="G203" i="5"/>
  <c r="G202" i="5"/>
  <c r="G201" i="5"/>
  <c r="G200" i="5"/>
  <c r="G199" i="5"/>
  <c r="G198" i="5"/>
  <c r="G190" i="5"/>
  <c r="G189" i="5"/>
  <c r="G188" i="5"/>
  <c r="G187" i="5"/>
  <c r="G186" i="5"/>
  <c r="G185" i="5"/>
  <c r="G184" i="5"/>
  <c r="G183" i="5"/>
  <c r="G182" i="5"/>
  <c r="G181" i="5"/>
  <c r="G180" i="5"/>
  <c r="G179" i="5"/>
  <c r="G177" i="5"/>
  <c r="G176" i="5"/>
  <c r="G175" i="5"/>
  <c r="G174" i="5"/>
  <c r="G173" i="5"/>
  <c r="G172" i="5"/>
  <c r="G171" i="5"/>
  <c r="G170" i="5"/>
  <c r="G169" i="5"/>
  <c r="G168" i="5"/>
  <c r="G167" i="5"/>
  <c r="G166" i="5"/>
  <c r="G165" i="5"/>
  <c r="G164" i="5"/>
  <c r="G162" i="5"/>
  <c r="G161" i="5"/>
  <c r="G160" i="5"/>
  <c r="G159" i="5"/>
  <c r="G158" i="5"/>
  <c r="G157" i="5"/>
  <c r="G156" i="5"/>
  <c r="G155" i="5"/>
  <c r="G154" i="5"/>
  <c r="G153" i="5"/>
  <c r="G145" i="5"/>
  <c r="G144" i="5"/>
  <c r="G143" i="5"/>
  <c r="G142" i="5"/>
  <c r="G141" i="5"/>
  <c r="G140" i="5"/>
  <c r="G139" i="5"/>
  <c r="G138" i="5"/>
  <c r="G137" i="5"/>
  <c r="G136" i="5"/>
  <c r="G135" i="5"/>
  <c r="G134" i="5"/>
  <c r="G132" i="5"/>
  <c r="G131" i="5"/>
  <c r="G130" i="5"/>
  <c r="G129" i="5"/>
  <c r="G128" i="5"/>
  <c r="G127" i="5"/>
  <c r="G126" i="5"/>
  <c r="G125" i="5"/>
  <c r="G124" i="5"/>
  <c r="G123" i="5"/>
  <c r="G122" i="5"/>
  <c r="G121" i="5"/>
  <c r="G120" i="5"/>
  <c r="G119" i="5"/>
  <c r="G117" i="5"/>
  <c r="G116" i="5"/>
  <c r="G115" i="5"/>
  <c r="G114" i="5"/>
  <c r="G113" i="5"/>
  <c r="G112" i="5"/>
  <c r="G111" i="5"/>
  <c r="G110" i="5"/>
  <c r="G109" i="5"/>
  <c r="G108" i="5"/>
  <c r="G100" i="5"/>
  <c r="G99" i="5"/>
  <c r="G98" i="5"/>
  <c r="G97" i="5"/>
  <c r="G96" i="5"/>
  <c r="G95" i="5"/>
  <c r="G94" i="5"/>
  <c r="G93" i="5"/>
  <c r="G92" i="5"/>
  <c r="G91" i="5"/>
  <c r="G90" i="5"/>
  <c r="G89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2" i="5"/>
  <c r="G71" i="5"/>
  <c r="G70" i="5"/>
  <c r="G69" i="5"/>
  <c r="G68" i="5"/>
  <c r="G67" i="5"/>
  <c r="G66" i="5"/>
  <c r="G65" i="5"/>
  <c r="G64" i="5"/>
  <c r="G63" i="5"/>
  <c r="G55" i="5"/>
  <c r="G54" i="5"/>
  <c r="G53" i="5"/>
  <c r="G52" i="5"/>
  <c r="G51" i="5"/>
  <c r="G50" i="5"/>
  <c r="G49" i="5"/>
  <c r="G48" i="5"/>
  <c r="G47" i="5"/>
  <c r="G46" i="5"/>
  <c r="G45" i="5"/>
  <c r="G44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7" i="5"/>
  <c r="G26" i="5"/>
  <c r="G25" i="5"/>
  <c r="G24" i="5"/>
  <c r="G23" i="5"/>
  <c r="G22" i="5"/>
  <c r="G21" i="5"/>
  <c r="G20" i="5"/>
  <c r="G19" i="5"/>
  <c r="G18" i="5"/>
  <c r="G54" i="16" l="1"/>
  <c r="H54" i="16" s="1"/>
  <c r="G50" i="16"/>
  <c r="H50" i="16" s="1"/>
  <c r="G53" i="16"/>
  <c r="H53" i="16" s="1"/>
  <c r="G52" i="16"/>
  <c r="H52" i="16" s="1"/>
  <c r="G51" i="16"/>
  <c r="H51" i="16" s="1"/>
  <c r="I53" i="16"/>
  <c r="J53" i="16" s="1"/>
  <c r="I52" i="16"/>
  <c r="J52" i="16" s="1"/>
  <c r="I51" i="16"/>
  <c r="J51" i="16" s="1"/>
  <c r="I54" i="16"/>
  <c r="J54" i="16" s="1"/>
  <c r="I50" i="16"/>
  <c r="J50" i="16" s="1"/>
  <c r="K52" i="16"/>
  <c r="L52" i="16" s="1"/>
  <c r="K51" i="16"/>
  <c r="L51" i="16" s="1"/>
  <c r="K54" i="16"/>
  <c r="L54" i="16" s="1"/>
  <c r="K50" i="16"/>
  <c r="L50" i="16" s="1"/>
  <c r="K53" i="16"/>
  <c r="L53" i="16" s="1"/>
  <c r="M51" i="16"/>
  <c r="N51" i="16" s="1"/>
  <c r="M54" i="16"/>
  <c r="N54" i="16" s="1"/>
  <c r="M50" i="16"/>
  <c r="N50" i="16" s="1"/>
  <c r="M53" i="16"/>
  <c r="N53" i="16" s="1"/>
  <c r="M52" i="16"/>
  <c r="N52" i="16" s="1"/>
  <c r="O54" i="16"/>
  <c r="P54" i="16" s="1"/>
  <c r="O50" i="16"/>
  <c r="P50" i="16" s="1"/>
  <c r="O53" i="16"/>
  <c r="P53" i="16" s="1"/>
  <c r="O52" i="16"/>
  <c r="P52" i="16" s="1"/>
  <c r="O51" i="16"/>
  <c r="P51" i="16" s="1"/>
  <c r="Q54" i="16"/>
  <c r="R54" i="16" s="1"/>
  <c r="Q50" i="16"/>
  <c r="R50" i="16" s="1"/>
  <c r="Q53" i="16"/>
  <c r="R53" i="16" s="1"/>
  <c r="Q52" i="16"/>
  <c r="R52" i="16" s="1"/>
  <c r="Q51" i="16"/>
  <c r="R51" i="16" s="1"/>
  <c r="E54" i="16"/>
  <c r="F54" i="16" s="1"/>
  <c r="E51" i="16"/>
  <c r="F51" i="16" s="1"/>
  <c r="E52" i="16"/>
  <c r="F52" i="16" s="1"/>
  <c r="E53" i="16"/>
  <c r="F53" i="16" s="1"/>
  <c r="E50" i="16"/>
  <c r="F50" i="16" s="1"/>
  <c r="A11" i="16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N74" i="3"/>
  <c r="AN75" i="3" s="1"/>
  <c r="AN76" i="3" s="1"/>
  <c r="AN72" i="3"/>
  <c r="AN117" i="3"/>
  <c r="A42" i="16" l="1"/>
  <c r="A43" i="16" s="1"/>
  <c r="A44" i="16" s="1"/>
  <c r="AN77" i="3"/>
  <c r="S2" i="2" l="1"/>
  <c r="C321" i="2"/>
  <c r="M321" i="2" l="1"/>
  <c r="O321" i="2" s="1"/>
  <c r="I321" i="2"/>
  <c r="C164" i="15"/>
  <c r="C165" i="15"/>
  <c r="J321" i="2" l="1"/>
  <c r="J35" i="1"/>
  <c r="I35" i="1"/>
  <c r="R13" i="1"/>
  <c r="D13" i="1"/>
  <c r="I165" i="6"/>
  <c r="I164" i="6"/>
  <c r="FC106" i="5"/>
  <c r="L162" i="15" s="1"/>
  <c r="FB106" i="5"/>
  <c r="FA106" i="5"/>
  <c r="L160" i="15" s="1"/>
  <c r="EZ106" i="5"/>
  <c r="EY106" i="5"/>
  <c r="EX106" i="5"/>
  <c r="EW106" i="5"/>
  <c r="EV106" i="5"/>
  <c r="EU106" i="5"/>
  <c r="ET106" i="5"/>
  <c r="ES106" i="5"/>
  <c r="ER106" i="5"/>
  <c r="EQ106" i="5"/>
  <c r="EP106" i="5"/>
  <c r="EO106" i="5"/>
  <c r="EN106" i="5"/>
  <c r="EM106" i="5"/>
  <c r="EL106" i="5"/>
  <c r="EK106" i="5"/>
  <c r="EJ106" i="5"/>
  <c r="EI106" i="5"/>
  <c r="EH106" i="5"/>
  <c r="EG106" i="5"/>
  <c r="EF106" i="5"/>
  <c r="EE106" i="5"/>
  <c r="ED106" i="5"/>
  <c r="EC106" i="5"/>
  <c r="EB106" i="5"/>
  <c r="EA106" i="5"/>
  <c r="DZ106" i="5"/>
  <c r="DY106" i="5"/>
  <c r="DX106" i="5"/>
  <c r="DW106" i="5"/>
  <c r="DV106" i="5"/>
  <c r="DU106" i="5"/>
  <c r="DT106" i="5"/>
  <c r="DS106" i="5"/>
  <c r="DR106" i="5"/>
  <c r="DQ106" i="5"/>
  <c r="DP106" i="5"/>
  <c r="DO106" i="5"/>
  <c r="DN106" i="5"/>
  <c r="DM106" i="5"/>
  <c r="DL106" i="5"/>
  <c r="DK106" i="5"/>
  <c r="DJ106" i="5"/>
  <c r="DI106" i="5"/>
  <c r="DH106" i="5"/>
  <c r="DG106" i="5"/>
  <c r="DF106" i="5"/>
  <c r="DE106" i="5"/>
  <c r="DD106" i="5"/>
  <c r="DC106" i="5"/>
  <c r="DB106" i="5"/>
  <c r="DA106" i="5"/>
  <c r="CZ106" i="5"/>
  <c r="CY106" i="5"/>
  <c r="CX106" i="5"/>
  <c r="CW106" i="5"/>
  <c r="CV106" i="5"/>
  <c r="CU106" i="5"/>
  <c r="CT106" i="5"/>
  <c r="CS106" i="5"/>
  <c r="CR106" i="5"/>
  <c r="CQ106" i="5"/>
  <c r="CP106" i="5"/>
  <c r="CO106" i="5"/>
  <c r="CN106" i="5"/>
  <c r="CM106" i="5"/>
  <c r="CL106" i="5"/>
  <c r="CK106" i="5"/>
  <c r="CJ106" i="5"/>
  <c r="CI106" i="5"/>
  <c r="CH106" i="5"/>
  <c r="CG106" i="5"/>
  <c r="CF106" i="5"/>
  <c r="CE106" i="5"/>
  <c r="CD106" i="5"/>
  <c r="CC106" i="5"/>
  <c r="CB106" i="5"/>
  <c r="CA106" i="5"/>
  <c r="BZ106" i="5"/>
  <c r="BY106" i="5"/>
  <c r="BX106" i="5"/>
  <c r="BW106" i="5"/>
  <c r="BV106" i="5"/>
  <c r="BU106" i="5"/>
  <c r="BT106" i="5"/>
  <c r="BS106" i="5"/>
  <c r="BR106" i="5"/>
  <c r="BQ106" i="5"/>
  <c r="BP106" i="5"/>
  <c r="BO106" i="5"/>
  <c r="BN106" i="5"/>
  <c r="BM106" i="5"/>
  <c r="BL106" i="5"/>
  <c r="BK106" i="5"/>
  <c r="BJ106" i="5"/>
  <c r="BI106" i="5"/>
  <c r="BH106" i="5"/>
  <c r="BG106" i="5"/>
  <c r="BF106" i="5"/>
  <c r="BE106" i="5"/>
  <c r="BD106" i="5"/>
  <c r="BC106" i="5"/>
  <c r="BB106" i="5"/>
  <c r="BA106" i="5"/>
  <c r="AZ106" i="5"/>
  <c r="AY106" i="5"/>
  <c r="AX106" i="5"/>
  <c r="AW106" i="5"/>
  <c r="AV106" i="5"/>
  <c r="AU106" i="5"/>
  <c r="AT106" i="5"/>
  <c r="AS106" i="5"/>
  <c r="AR106" i="5"/>
  <c r="AQ106" i="5"/>
  <c r="AP106" i="5"/>
  <c r="AO106" i="5"/>
  <c r="AN106" i="5"/>
  <c r="AM106" i="5"/>
  <c r="AL106" i="5"/>
  <c r="AK106" i="5"/>
  <c r="AJ106" i="5"/>
  <c r="AI106" i="5"/>
  <c r="AH106" i="5"/>
  <c r="AG106" i="5"/>
  <c r="AF106" i="5"/>
  <c r="AE106" i="5"/>
  <c r="AD106" i="5"/>
  <c r="AC106" i="5"/>
  <c r="AB106" i="5"/>
  <c r="AA106" i="5"/>
  <c r="Z106" i="5"/>
  <c r="Y106" i="5"/>
  <c r="X106" i="5"/>
  <c r="W106" i="5"/>
  <c r="V106" i="5"/>
  <c r="U106" i="5"/>
  <c r="T106" i="5"/>
  <c r="S106" i="5"/>
  <c r="R106" i="5"/>
  <c r="Q106" i="5"/>
  <c r="P106" i="5"/>
  <c r="O106" i="5"/>
  <c r="N106" i="5"/>
  <c r="M106" i="5"/>
  <c r="L106" i="5"/>
  <c r="K106" i="5"/>
  <c r="J106" i="5"/>
  <c r="FE106" i="5" l="1"/>
  <c r="G49" i="16"/>
  <c r="H49" i="16" s="1"/>
  <c r="E8" i="16"/>
  <c r="G2" i="6"/>
  <c r="L163" i="15"/>
  <c r="L161" i="15"/>
  <c r="C5" i="15"/>
  <c r="R170" i="15"/>
  <c r="R168" i="15"/>
  <c r="M3" i="15" l="1"/>
  <c r="AM165" i="15"/>
  <c r="AM164" i="15"/>
  <c r="D12" i="15" l="1"/>
  <c r="D12" i="1"/>
  <c r="E7" i="16" l="1"/>
  <c r="C18" i="5"/>
  <c r="E4" i="6"/>
  <c r="D11" i="15"/>
  <c r="F13" i="1"/>
  <c r="G8" i="16" s="1"/>
  <c r="F12" i="1"/>
  <c r="G7" i="16" s="1"/>
  <c r="Z2635" i="3"/>
  <c r="Z2634" i="3"/>
  <c r="QC11" i="4"/>
  <c r="QB11" i="4"/>
  <c r="PZ11" i="4"/>
  <c r="PY11" i="4"/>
  <c r="PW11" i="4"/>
  <c r="PV11" i="4"/>
  <c r="PT11" i="4"/>
  <c r="PS11" i="4"/>
  <c r="PQ11" i="4"/>
  <c r="PP11" i="4"/>
  <c r="PN11" i="4"/>
  <c r="PM11" i="4"/>
  <c r="PK11" i="4"/>
  <c r="PJ11" i="4"/>
  <c r="PH11" i="4"/>
  <c r="PG11" i="4"/>
  <c r="PE11" i="4"/>
  <c r="PD11" i="4"/>
  <c r="PB11" i="4"/>
  <c r="PA11" i="4"/>
  <c r="OY11" i="4"/>
  <c r="OX11" i="4"/>
  <c r="OV11" i="4"/>
  <c r="OU11" i="4"/>
  <c r="OS11" i="4"/>
  <c r="OR11" i="4"/>
  <c r="OP11" i="4"/>
  <c r="OO11" i="4"/>
  <c r="OM11" i="4"/>
  <c r="OL11" i="4"/>
  <c r="OJ11" i="4"/>
  <c r="OI11" i="4"/>
  <c r="OG11" i="4"/>
  <c r="OF11" i="4"/>
  <c r="OD11" i="4"/>
  <c r="OC11" i="4"/>
  <c r="OA11" i="4"/>
  <c r="NZ11" i="4"/>
  <c r="NX11" i="4"/>
  <c r="NW11" i="4"/>
  <c r="NU11" i="4"/>
  <c r="NT11" i="4"/>
  <c r="NR11" i="4"/>
  <c r="NQ11" i="4"/>
  <c r="NO11" i="4"/>
  <c r="NN11" i="4"/>
  <c r="NL11" i="4"/>
  <c r="NK11" i="4"/>
  <c r="NI11" i="4"/>
  <c r="NH11" i="4"/>
  <c r="NF11" i="4"/>
  <c r="NE11" i="4"/>
  <c r="NC11" i="4"/>
  <c r="NB11" i="4"/>
  <c r="MZ11" i="4"/>
  <c r="MY11" i="4"/>
  <c r="MW11" i="4"/>
  <c r="MV11" i="4"/>
  <c r="MT11" i="4"/>
  <c r="MS11" i="4"/>
  <c r="MQ11" i="4"/>
  <c r="MP11" i="4"/>
  <c r="MN11" i="4"/>
  <c r="MM11" i="4"/>
  <c r="MK11" i="4"/>
  <c r="MJ11" i="4"/>
  <c r="MH11" i="4"/>
  <c r="MG11" i="4"/>
  <c r="ME11" i="4"/>
  <c r="MD11" i="4"/>
  <c r="MB11" i="4"/>
  <c r="MA11" i="4"/>
  <c r="LY11" i="4"/>
  <c r="LX11" i="4"/>
  <c r="LV11" i="4"/>
  <c r="LU11" i="4"/>
  <c r="LS11" i="4"/>
  <c r="LR11" i="4"/>
  <c r="LP11" i="4"/>
  <c r="LO11" i="4"/>
  <c r="LM11" i="4"/>
  <c r="LL11" i="4"/>
  <c r="LJ11" i="4"/>
  <c r="LI11" i="4"/>
  <c r="LG11" i="4"/>
  <c r="LF11" i="4"/>
  <c r="LD11" i="4"/>
  <c r="LC11" i="4"/>
  <c r="LA11" i="4"/>
  <c r="KZ11" i="4"/>
  <c r="KX11" i="4"/>
  <c r="KW11" i="4"/>
  <c r="KU11" i="4"/>
  <c r="KT11" i="4"/>
  <c r="KR11" i="4"/>
  <c r="KQ11" i="4"/>
  <c r="KO11" i="4"/>
  <c r="KN11" i="4"/>
  <c r="KL11" i="4"/>
  <c r="KK11" i="4"/>
  <c r="KI11" i="4"/>
  <c r="KH11" i="4"/>
  <c r="KF11" i="4"/>
  <c r="KE11" i="4"/>
  <c r="KC11" i="4"/>
  <c r="KB11" i="4"/>
  <c r="JZ11" i="4"/>
  <c r="JY11" i="4"/>
  <c r="JW11" i="4"/>
  <c r="JV11" i="4"/>
  <c r="JT11" i="4"/>
  <c r="JS11" i="4"/>
  <c r="JQ11" i="4"/>
  <c r="JP11" i="4"/>
  <c r="JN11" i="4"/>
  <c r="JM11" i="4"/>
  <c r="JK11" i="4"/>
  <c r="JJ11" i="4"/>
  <c r="JH11" i="4"/>
  <c r="JG11" i="4"/>
  <c r="JE11" i="4"/>
  <c r="JD11" i="4"/>
  <c r="JB11" i="4"/>
  <c r="JA11" i="4"/>
  <c r="IY11" i="4"/>
  <c r="IX11" i="4"/>
  <c r="IV11" i="4"/>
  <c r="IU11" i="4"/>
  <c r="IS11" i="4"/>
  <c r="IR11" i="4"/>
  <c r="IP11" i="4"/>
  <c r="IO11" i="4"/>
  <c r="IM11" i="4"/>
  <c r="IL11" i="4"/>
  <c r="IJ11" i="4"/>
  <c r="II11" i="4"/>
  <c r="IG11" i="4"/>
  <c r="IF11" i="4"/>
  <c r="ID11" i="4"/>
  <c r="IC11" i="4"/>
  <c r="IA11" i="4"/>
  <c r="HZ11" i="4"/>
  <c r="HX11" i="4"/>
  <c r="HW11" i="4"/>
  <c r="HU11" i="4"/>
  <c r="HT11" i="4"/>
  <c r="HR11" i="4"/>
  <c r="HQ11" i="4"/>
  <c r="HO11" i="4"/>
  <c r="HN11" i="4"/>
  <c r="HL11" i="4"/>
  <c r="HK11" i="4"/>
  <c r="HI11" i="4"/>
  <c r="HH11" i="4"/>
  <c r="HF11" i="4"/>
  <c r="HE11" i="4"/>
  <c r="HC11" i="4"/>
  <c r="HB11" i="4"/>
  <c r="GZ11" i="4"/>
  <c r="GY11" i="4"/>
  <c r="GW11" i="4"/>
  <c r="GV11" i="4"/>
  <c r="GT11" i="4"/>
  <c r="GS11" i="4"/>
  <c r="GQ11" i="4"/>
  <c r="GP11" i="4"/>
  <c r="GN11" i="4"/>
  <c r="GM11" i="4"/>
  <c r="GK11" i="4"/>
  <c r="GJ11" i="4"/>
  <c r="GH11" i="4"/>
  <c r="GG11" i="4"/>
  <c r="GE11" i="4"/>
  <c r="GD11" i="4"/>
  <c r="GB11" i="4"/>
  <c r="GA11" i="4"/>
  <c r="FY11" i="4"/>
  <c r="FX11" i="4"/>
  <c r="FV11" i="4"/>
  <c r="FU11" i="4"/>
  <c r="FS11" i="4"/>
  <c r="FR11" i="4"/>
  <c r="FP11" i="4"/>
  <c r="FO11" i="4"/>
  <c r="FM11" i="4"/>
  <c r="FL11" i="4"/>
  <c r="FJ11" i="4"/>
  <c r="FI11" i="4"/>
  <c r="FG11" i="4"/>
  <c r="FF11" i="4"/>
  <c r="FD11" i="4"/>
  <c r="FC11" i="4"/>
  <c r="FA11" i="4"/>
  <c r="EZ11" i="4"/>
  <c r="EX11" i="4"/>
  <c r="EW11" i="4"/>
  <c r="EU11" i="4"/>
  <c r="ET11" i="4"/>
  <c r="ER11" i="4"/>
  <c r="EQ11" i="4"/>
  <c r="EO11" i="4"/>
  <c r="EN11" i="4"/>
  <c r="EL11" i="4"/>
  <c r="EK11" i="4"/>
  <c r="EI11" i="4"/>
  <c r="EH11" i="4"/>
  <c r="EF11" i="4"/>
  <c r="EE11" i="4"/>
  <c r="EC11" i="4"/>
  <c r="EB11" i="4"/>
  <c r="DZ11" i="4"/>
  <c r="DY11" i="4"/>
  <c r="DW11" i="4"/>
  <c r="DV11" i="4"/>
  <c r="DT11" i="4"/>
  <c r="DS11" i="4"/>
  <c r="DQ11" i="4"/>
  <c r="DP11" i="4"/>
  <c r="DN11" i="4"/>
  <c r="DM11" i="4"/>
  <c r="DK11" i="4"/>
  <c r="DJ11" i="4"/>
  <c r="DH11" i="4"/>
  <c r="DG11" i="4"/>
  <c r="DE11" i="4"/>
  <c r="DD11" i="4"/>
  <c r="DB11" i="4"/>
  <c r="DA11" i="4"/>
  <c r="CY11" i="4"/>
  <c r="CX11" i="4"/>
  <c r="CV11" i="4"/>
  <c r="CU11" i="4"/>
  <c r="CS11" i="4"/>
  <c r="CR11" i="4"/>
  <c r="CP11" i="4"/>
  <c r="CO11" i="4"/>
  <c r="CM11" i="4"/>
  <c r="CL11" i="4"/>
  <c r="CJ11" i="4"/>
  <c r="CI11" i="4"/>
  <c r="CG11" i="4"/>
  <c r="CF11" i="4"/>
  <c r="CD11" i="4"/>
  <c r="CC11" i="4"/>
  <c r="CA11" i="4"/>
  <c r="BZ11" i="4"/>
  <c r="BX11" i="4"/>
  <c r="BW11" i="4"/>
  <c r="BU11" i="4"/>
  <c r="BT11" i="4"/>
  <c r="BR11" i="4"/>
  <c r="BQ11" i="4"/>
  <c r="BO11" i="4"/>
  <c r="BN11" i="4"/>
  <c r="BL11" i="4"/>
  <c r="BK11" i="4"/>
  <c r="BI11" i="4"/>
  <c r="BH11" i="4"/>
  <c r="BF11" i="4"/>
  <c r="BE11" i="4"/>
  <c r="BC11" i="4"/>
  <c r="BB11" i="4"/>
  <c r="AZ11" i="4"/>
  <c r="AY11" i="4"/>
  <c r="AW11" i="4"/>
  <c r="AV11" i="4"/>
  <c r="AT11" i="4"/>
  <c r="AS11" i="4"/>
  <c r="AQ11" i="4"/>
  <c r="AP11" i="4"/>
  <c r="AN11" i="4"/>
  <c r="AM11" i="4"/>
  <c r="AK11" i="4"/>
  <c r="AJ11" i="4"/>
  <c r="AH11" i="4"/>
  <c r="AG11" i="4"/>
  <c r="AE11" i="4"/>
  <c r="AD11" i="4"/>
  <c r="AB11" i="4"/>
  <c r="AA11" i="4"/>
  <c r="Y11" i="4"/>
  <c r="X11" i="4"/>
  <c r="V11" i="4"/>
  <c r="U11" i="4"/>
  <c r="S11" i="4"/>
  <c r="R11" i="4"/>
  <c r="P11" i="4"/>
  <c r="O11" i="4"/>
  <c r="M11" i="4"/>
  <c r="L11" i="4"/>
  <c r="J11" i="4"/>
  <c r="I11" i="4"/>
  <c r="G11" i="4"/>
  <c r="F11" i="4"/>
  <c r="H12" i="1" l="1"/>
  <c r="I7" i="16" s="1"/>
  <c r="I11" i="15"/>
  <c r="I12" i="15"/>
  <c r="H13" i="1"/>
  <c r="I8" i="16" s="1"/>
  <c r="N12" i="15" l="1"/>
  <c r="J13" i="1"/>
  <c r="K8" i="16" s="1"/>
  <c r="J12" i="1"/>
  <c r="K7" i="16" s="1"/>
  <c r="N11" i="15"/>
  <c r="AA2" i="4"/>
  <c r="AD2" i="4"/>
  <c r="L12" i="1" l="1"/>
  <c r="M7" i="16" s="1"/>
  <c r="S11" i="15"/>
  <c r="S12" i="15"/>
  <c r="L13" i="1"/>
  <c r="M8" i="16" s="1"/>
  <c r="V2" i="2"/>
  <c r="U2" i="2"/>
  <c r="W2" i="2"/>
  <c r="X12" i="15" l="1"/>
  <c r="N13" i="1"/>
  <c r="O8" i="16" s="1"/>
  <c r="N12" i="1"/>
  <c r="O7" i="16" s="1"/>
  <c r="X11" i="15"/>
  <c r="P12" i="1" l="1"/>
  <c r="AC11" i="15"/>
  <c r="AC12" i="15"/>
  <c r="P13" i="1"/>
  <c r="T2" i="2"/>
  <c r="X2" i="2"/>
  <c r="AH12" i="15" l="1"/>
  <c r="Q8" i="16"/>
  <c r="AH11" i="15"/>
  <c r="Q7" i="16"/>
  <c r="QB2" i="4"/>
  <c r="PY2" i="4"/>
  <c r="PV2" i="4"/>
  <c r="PS2" i="4"/>
  <c r="PP2" i="4"/>
  <c r="PM2" i="4"/>
  <c r="PJ2" i="4"/>
  <c r="PG2" i="4"/>
  <c r="PD2" i="4"/>
  <c r="PA2" i="4"/>
  <c r="OX2" i="4"/>
  <c r="OU2" i="4"/>
  <c r="OR2" i="4"/>
  <c r="OO2" i="4"/>
  <c r="OL2" i="4"/>
  <c r="OI2" i="4"/>
  <c r="OF2" i="4"/>
  <c r="OC2" i="4"/>
  <c r="NZ2" i="4"/>
  <c r="NW2" i="4"/>
  <c r="NT2" i="4"/>
  <c r="NQ2" i="4"/>
  <c r="NN2" i="4"/>
  <c r="NK2" i="4"/>
  <c r="NH2" i="4"/>
  <c r="NE2" i="4"/>
  <c r="NB2" i="4"/>
  <c r="MY2" i="4"/>
  <c r="MV2" i="4"/>
  <c r="MS2" i="4"/>
  <c r="MP2" i="4"/>
  <c r="MM2" i="4"/>
  <c r="MJ2" i="4"/>
  <c r="MG2" i="4"/>
  <c r="MD2" i="4"/>
  <c r="MA2" i="4"/>
  <c r="LX2" i="4"/>
  <c r="LU2" i="4"/>
  <c r="LR2" i="4"/>
  <c r="LO2" i="4"/>
  <c r="LL2" i="4"/>
  <c r="LI2" i="4"/>
  <c r="LF2" i="4"/>
  <c r="LC2" i="4"/>
  <c r="KZ2" i="4"/>
  <c r="KW2" i="4"/>
  <c r="KT2" i="4"/>
  <c r="KQ2" i="4"/>
  <c r="KN2" i="4"/>
  <c r="KK2" i="4"/>
  <c r="KH2" i="4"/>
  <c r="KE2" i="4"/>
  <c r="KB2" i="4"/>
  <c r="JY2" i="4"/>
  <c r="JV2" i="4"/>
  <c r="JS2" i="4"/>
  <c r="JP2" i="4"/>
  <c r="JM2" i="4"/>
  <c r="JJ2" i="4"/>
  <c r="JG2" i="4"/>
  <c r="JD2" i="4"/>
  <c r="JA2" i="4"/>
  <c r="IX2" i="4"/>
  <c r="IU2" i="4"/>
  <c r="IR2" i="4"/>
  <c r="IO2" i="4"/>
  <c r="IL2" i="4"/>
  <c r="II2" i="4"/>
  <c r="IF2" i="4"/>
  <c r="IC2" i="4"/>
  <c r="HZ2" i="4"/>
  <c r="HW2" i="4"/>
  <c r="E437" i="2"/>
  <c r="E398" i="2"/>
  <c r="E390" i="2"/>
  <c r="E382" i="2"/>
  <c r="E369" i="2"/>
  <c r="E417" i="2"/>
  <c r="E393" i="2"/>
  <c r="E383" i="2"/>
  <c r="E380" i="2"/>
  <c r="E354" i="2"/>
  <c r="E413" i="2"/>
  <c r="E395" i="2"/>
  <c r="E385" i="2"/>
  <c r="E375" i="2"/>
  <c r="E356" i="2"/>
  <c r="E415" i="2"/>
  <c r="E391" i="2"/>
  <c r="E388" i="2"/>
  <c r="E378" i="2"/>
  <c r="E351" i="2"/>
  <c r="E706" i="2"/>
  <c r="E705" i="2"/>
  <c r="E703" i="2"/>
  <c r="E702" i="2"/>
  <c r="E701" i="2"/>
  <c r="E700" i="2"/>
  <c r="E696" i="2"/>
  <c r="E699" i="2"/>
  <c r="E698" i="2"/>
  <c r="E697" i="2"/>
  <c r="E694" i="2"/>
  <c r="E692" i="2"/>
  <c r="E691" i="2"/>
  <c r="E690" i="2"/>
  <c r="E688" i="2"/>
  <c r="E613" i="2"/>
  <c r="E612" i="2"/>
  <c r="E611" i="2"/>
  <c r="E610" i="2"/>
  <c r="E609" i="2"/>
  <c r="E607" i="2"/>
  <c r="E605" i="2"/>
  <c r="E603" i="2"/>
  <c r="E601" i="2"/>
  <c r="E600" i="2"/>
  <c r="E599" i="2"/>
  <c r="E597" i="2"/>
  <c r="E596" i="2"/>
  <c r="E595" i="2"/>
  <c r="E594" i="2"/>
  <c r="E593" i="2"/>
  <c r="E592" i="2"/>
  <c r="E591" i="2"/>
  <c r="E748" i="2"/>
  <c r="E747" i="2"/>
  <c r="E746" i="2"/>
  <c r="E745" i="2"/>
  <c r="E744" i="2"/>
  <c r="E743" i="2"/>
  <c r="E742" i="2"/>
  <c r="E741" i="2"/>
  <c r="E740" i="2"/>
  <c r="E739" i="2"/>
  <c r="E738" i="2"/>
  <c r="E737" i="2"/>
  <c r="E736" i="2"/>
  <c r="E735" i="2"/>
  <c r="E734" i="2"/>
  <c r="E733" i="2"/>
  <c r="E732" i="2"/>
  <c r="E731" i="2"/>
  <c r="E730" i="2"/>
  <c r="E729" i="2"/>
  <c r="E728" i="2"/>
  <c r="E727" i="2"/>
  <c r="E726" i="2"/>
  <c r="E725" i="2"/>
  <c r="E724" i="2"/>
  <c r="E723" i="2"/>
  <c r="E722" i="2"/>
  <c r="E721" i="2"/>
  <c r="E720" i="2"/>
  <c r="E719" i="2"/>
  <c r="E718" i="2"/>
  <c r="E717" i="2"/>
  <c r="E716" i="2"/>
  <c r="E715" i="2"/>
  <c r="E714" i="2"/>
  <c r="E713" i="2"/>
  <c r="E712" i="2"/>
  <c r="E711" i="2"/>
  <c r="E709" i="2"/>
  <c r="E851" i="2"/>
  <c r="E850" i="2"/>
  <c r="E849" i="2"/>
  <c r="E848" i="2"/>
  <c r="E847" i="2"/>
  <c r="E846" i="2"/>
  <c r="E845" i="2"/>
  <c r="E844" i="2"/>
  <c r="E843" i="2"/>
  <c r="E842" i="2"/>
  <c r="E841" i="2"/>
  <c r="E840" i="2"/>
  <c r="E839" i="2"/>
  <c r="E838" i="2"/>
  <c r="E837" i="2"/>
  <c r="E836" i="2"/>
  <c r="E801" i="2"/>
  <c r="E800" i="2"/>
  <c r="E799" i="2"/>
  <c r="E797" i="2"/>
  <c r="E796" i="2"/>
  <c r="E795" i="2"/>
  <c r="E794" i="2"/>
  <c r="E793" i="2"/>
  <c r="E791" i="2"/>
  <c r="E790" i="2"/>
  <c r="E789" i="2"/>
  <c r="E787" i="2"/>
  <c r="E785" i="2"/>
  <c r="E783" i="2"/>
  <c r="E781" i="2"/>
  <c r="E779" i="2"/>
  <c r="E778" i="2"/>
  <c r="E777" i="2"/>
  <c r="E776" i="2"/>
  <c r="E775" i="2"/>
  <c r="E774" i="2"/>
  <c r="E773" i="2"/>
  <c r="E772" i="2"/>
  <c r="E770" i="2"/>
  <c r="E768" i="2"/>
  <c r="E766" i="2"/>
  <c r="E765" i="2"/>
  <c r="E764" i="2"/>
  <c r="E763" i="2"/>
  <c r="E762" i="2"/>
  <c r="E761" i="2"/>
  <c r="E760" i="2"/>
  <c r="E758" i="2"/>
  <c r="E757" i="2"/>
  <c r="E756" i="2"/>
  <c r="E755" i="2"/>
  <c r="E753" i="2"/>
  <c r="E751" i="2"/>
  <c r="E749" i="2"/>
  <c r="E348" i="2"/>
  <c r="E367" i="2"/>
  <c r="E368" i="2"/>
  <c r="E374" i="2"/>
  <c r="E359" i="2"/>
  <c r="E373" i="2"/>
  <c r="E372" i="2"/>
  <c r="E353" i="2"/>
  <c r="E350" i="2"/>
  <c r="E365" i="2"/>
  <c r="E364" i="2"/>
  <c r="E360" i="2"/>
  <c r="E347" i="2"/>
  <c r="E371" i="2"/>
  <c r="E358" i="2"/>
  <c r="E366" i="2"/>
  <c r="E370" i="2"/>
  <c r="E361" i="2"/>
  <c r="E362" i="2"/>
  <c r="E363" i="2"/>
  <c r="E349" i="2"/>
  <c r="E433" i="2"/>
  <c r="E424" i="2"/>
  <c r="E432" i="2"/>
  <c r="E439" i="2"/>
  <c r="E448" i="2"/>
  <c r="E444" i="2"/>
  <c r="E421" i="2"/>
  <c r="E447" i="2"/>
  <c r="E427" i="2"/>
  <c r="E430" i="2"/>
  <c r="E423" i="2"/>
  <c r="E419" i="2"/>
  <c r="E436" i="2"/>
  <c r="E425" i="2"/>
  <c r="E422" i="2"/>
  <c r="E431" i="2"/>
  <c r="E434" i="2"/>
  <c r="E412" i="2"/>
  <c r="E420" i="2"/>
  <c r="E508" i="2"/>
  <c r="E570" i="2"/>
  <c r="E518" i="2"/>
  <c r="E528" i="2"/>
  <c r="E552" i="2"/>
  <c r="E569" i="2"/>
  <c r="E546" i="2"/>
  <c r="E559" i="2"/>
  <c r="E519" i="2"/>
  <c r="E545" i="2"/>
  <c r="E517" i="2"/>
  <c r="E526" i="2"/>
  <c r="E503" i="2"/>
  <c r="E550" i="2"/>
  <c r="E549" i="2"/>
  <c r="E513" i="2"/>
  <c r="E512" i="2"/>
  <c r="E516" i="2"/>
  <c r="E538" i="2"/>
  <c r="E534" i="2"/>
  <c r="E491" i="2"/>
  <c r="E483" i="2"/>
  <c r="E481" i="2"/>
  <c r="E465" i="2"/>
  <c r="E469" i="2"/>
  <c r="E471" i="2"/>
  <c r="E475" i="2"/>
  <c r="E497" i="2"/>
  <c r="E500" i="2"/>
  <c r="E477" i="2"/>
  <c r="E499" i="2"/>
  <c r="E498" i="2"/>
  <c r="E464" i="2"/>
  <c r="E462" i="2"/>
  <c r="E457" i="2"/>
  <c r="E461" i="2"/>
  <c r="E460" i="2"/>
  <c r="E459" i="2"/>
  <c r="E458" i="2"/>
  <c r="E454" i="2"/>
  <c r="E463" i="2"/>
  <c r="E455" i="2"/>
  <c r="E456" i="2"/>
  <c r="E335" i="2"/>
  <c r="E334" i="2"/>
  <c r="E343" i="2"/>
  <c r="E329" i="2"/>
  <c r="E345" i="2"/>
  <c r="E330" i="2"/>
  <c r="E340" i="2"/>
  <c r="E327" i="2"/>
  <c r="E339" i="2"/>
  <c r="E338" i="2"/>
  <c r="E331" i="2"/>
  <c r="E326" i="2"/>
  <c r="E337" i="2"/>
  <c r="E336" i="2"/>
  <c r="E333" i="2"/>
  <c r="E332" i="2"/>
  <c r="E344" i="2"/>
  <c r="E342" i="2"/>
  <c r="E341" i="2"/>
  <c r="E346" i="2"/>
  <c r="E328" i="2"/>
  <c r="I37" i="1" l="1"/>
  <c r="I36" i="1"/>
  <c r="HT2" i="4"/>
  <c r="HQ2" i="4"/>
  <c r="HN2" i="4"/>
  <c r="HK2" i="4"/>
  <c r="HH2" i="4"/>
  <c r="HE2" i="4"/>
  <c r="HB2" i="4"/>
  <c r="GY2" i="4"/>
  <c r="GV2" i="4"/>
  <c r="GS2" i="4"/>
  <c r="GP2" i="4"/>
  <c r="GM2" i="4"/>
  <c r="GJ2" i="4"/>
  <c r="GG2" i="4"/>
  <c r="GD2" i="4"/>
  <c r="GA2" i="4"/>
  <c r="FX2" i="4"/>
  <c r="FU2" i="4"/>
  <c r="FR2" i="4"/>
  <c r="FO2" i="4"/>
  <c r="FL2" i="4"/>
  <c r="FI2" i="4"/>
  <c r="FF2" i="4"/>
  <c r="FC2" i="4"/>
  <c r="EZ2" i="4"/>
  <c r="EW2" i="4"/>
  <c r="ET2" i="4"/>
  <c r="EQ2" i="4"/>
  <c r="EN2" i="4"/>
  <c r="EK2" i="4"/>
  <c r="EH2" i="4"/>
  <c r="EE2" i="4"/>
  <c r="EB2" i="4"/>
  <c r="DY2" i="4"/>
  <c r="DV2" i="4"/>
  <c r="DS2" i="4"/>
  <c r="DP2" i="4"/>
  <c r="DM2" i="4"/>
  <c r="DJ2" i="4"/>
  <c r="DG2" i="4"/>
  <c r="DD2" i="4"/>
  <c r="DA2" i="4"/>
  <c r="CX2" i="4"/>
  <c r="CU2" i="4"/>
  <c r="CR2" i="4"/>
  <c r="CO2" i="4"/>
  <c r="CL2" i="4"/>
  <c r="CI2" i="4"/>
  <c r="CF2" i="4"/>
  <c r="CC2" i="4"/>
  <c r="BZ2" i="4"/>
  <c r="BW2" i="4"/>
  <c r="BT2" i="4"/>
  <c r="BQ2" i="4"/>
  <c r="BN2" i="4"/>
  <c r="BK2" i="4"/>
  <c r="BH2" i="4"/>
  <c r="BE2" i="4"/>
  <c r="BB2" i="4"/>
  <c r="AY2" i="4"/>
  <c r="AV2" i="4"/>
  <c r="AS2" i="4"/>
  <c r="AP2" i="4"/>
  <c r="AM2" i="4"/>
  <c r="AJ2" i="4"/>
  <c r="AG2" i="4"/>
  <c r="H19" i="1" l="1"/>
  <c r="I19" i="1"/>
  <c r="AA2" i="3" l="1"/>
  <c r="B159" i="15" l="1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EO7" i="5"/>
  <c r="EA7" i="5"/>
  <c r="EZ8" i="5"/>
  <c r="EY8" i="5"/>
  <c r="EX8" i="5"/>
  <c r="EW8" i="5"/>
  <c r="EV8" i="5"/>
  <c r="EU8" i="5"/>
  <c r="ET8" i="5"/>
  <c r="ES8" i="5"/>
  <c r="ER8" i="5"/>
  <c r="EQ8" i="5"/>
  <c r="EP8" i="5"/>
  <c r="EZ331" i="5"/>
  <c r="EY331" i="5"/>
  <c r="EX331" i="5"/>
  <c r="EW331" i="5"/>
  <c r="EV331" i="5"/>
  <c r="EU331" i="5"/>
  <c r="ET331" i="5"/>
  <c r="ES331" i="5"/>
  <c r="ER331" i="5"/>
  <c r="EQ331" i="5"/>
  <c r="EP331" i="5"/>
  <c r="EZ326" i="5"/>
  <c r="EY326" i="5"/>
  <c r="EX326" i="5"/>
  <c r="EW326" i="5"/>
  <c r="EV326" i="5"/>
  <c r="EU326" i="5"/>
  <c r="ET326" i="5"/>
  <c r="ES326" i="5"/>
  <c r="ER326" i="5"/>
  <c r="EQ326" i="5"/>
  <c r="EP326" i="5"/>
  <c r="EZ313" i="5"/>
  <c r="EY313" i="5"/>
  <c r="EX313" i="5"/>
  <c r="EW313" i="5"/>
  <c r="EV313" i="5"/>
  <c r="EU313" i="5"/>
  <c r="ET313" i="5"/>
  <c r="ES313" i="5"/>
  <c r="ER313" i="5"/>
  <c r="EQ313" i="5"/>
  <c r="EP313" i="5"/>
  <c r="EZ298" i="5"/>
  <c r="EY298" i="5"/>
  <c r="EX298" i="5"/>
  <c r="EW298" i="5"/>
  <c r="EV298" i="5"/>
  <c r="EU298" i="5"/>
  <c r="ET298" i="5"/>
  <c r="ES298" i="5"/>
  <c r="ER298" i="5"/>
  <c r="EQ298" i="5"/>
  <c r="EP298" i="5"/>
  <c r="EZ196" i="5"/>
  <c r="EY196" i="5"/>
  <c r="EX196" i="5"/>
  <c r="EW196" i="5"/>
  <c r="EV196" i="5"/>
  <c r="EU196" i="5"/>
  <c r="ET196" i="5"/>
  <c r="ES196" i="5"/>
  <c r="ER196" i="5"/>
  <c r="EQ196" i="5"/>
  <c r="EP196" i="5"/>
  <c r="EZ191" i="5"/>
  <c r="EY191" i="5"/>
  <c r="EX191" i="5"/>
  <c r="EW191" i="5"/>
  <c r="EV191" i="5"/>
  <c r="EU191" i="5"/>
  <c r="ET191" i="5"/>
  <c r="ES191" i="5"/>
  <c r="ER191" i="5"/>
  <c r="EQ191" i="5"/>
  <c r="EP191" i="5"/>
  <c r="EZ178" i="5"/>
  <c r="EY178" i="5"/>
  <c r="EX178" i="5"/>
  <c r="EW178" i="5"/>
  <c r="EV178" i="5"/>
  <c r="EU178" i="5"/>
  <c r="ET178" i="5"/>
  <c r="ES178" i="5"/>
  <c r="ER178" i="5"/>
  <c r="EQ178" i="5"/>
  <c r="EP178" i="5"/>
  <c r="EZ163" i="5"/>
  <c r="EY163" i="5"/>
  <c r="EX163" i="5"/>
  <c r="EW163" i="5"/>
  <c r="EV163" i="5"/>
  <c r="EU163" i="5"/>
  <c r="ET163" i="5"/>
  <c r="ES163" i="5"/>
  <c r="ER163" i="5"/>
  <c r="EQ163" i="5"/>
  <c r="EP163" i="5"/>
  <c r="EZ151" i="5"/>
  <c r="EY151" i="5"/>
  <c r="EX151" i="5"/>
  <c r="EW151" i="5"/>
  <c r="EV151" i="5"/>
  <c r="EU151" i="5"/>
  <c r="ET151" i="5"/>
  <c r="ES151" i="5"/>
  <c r="ER151" i="5"/>
  <c r="EQ151" i="5"/>
  <c r="EP151" i="5"/>
  <c r="EZ146" i="5"/>
  <c r="EY146" i="5"/>
  <c r="EX146" i="5"/>
  <c r="EW146" i="5"/>
  <c r="EV146" i="5"/>
  <c r="EU146" i="5"/>
  <c r="ET146" i="5"/>
  <c r="ES146" i="5"/>
  <c r="ER146" i="5"/>
  <c r="EQ146" i="5"/>
  <c r="EP146" i="5"/>
  <c r="EZ133" i="5"/>
  <c r="EY133" i="5"/>
  <c r="EX133" i="5"/>
  <c r="EW133" i="5"/>
  <c r="EV133" i="5"/>
  <c r="EU133" i="5"/>
  <c r="ET133" i="5"/>
  <c r="ES133" i="5"/>
  <c r="ER133" i="5"/>
  <c r="EQ133" i="5"/>
  <c r="EP133" i="5"/>
  <c r="EZ118" i="5"/>
  <c r="EY118" i="5"/>
  <c r="EX118" i="5"/>
  <c r="EW118" i="5"/>
  <c r="EV118" i="5"/>
  <c r="EU118" i="5"/>
  <c r="ET118" i="5"/>
  <c r="ES118" i="5"/>
  <c r="ER118" i="5"/>
  <c r="EQ118" i="5"/>
  <c r="EP118" i="5"/>
  <c r="EZ101" i="5"/>
  <c r="EY101" i="5"/>
  <c r="EX101" i="5"/>
  <c r="EW101" i="5"/>
  <c r="EV101" i="5"/>
  <c r="EU101" i="5"/>
  <c r="ET101" i="5"/>
  <c r="ES101" i="5"/>
  <c r="ER101" i="5"/>
  <c r="EQ101" i="5"/>
  <c r="EP101" i="5"/>
  <c r="EZ88" i="5"/>
  <c r="EY88" i="5"/>
  <c r="EX88" i="5"/>
  <c r="EW88" i="5"/>
  <c r="EV88" i="5"/>
  <c r="EU88" i="5"/>
  <c r="ET88" i="5"/>
  <c r="ES88" i="5"/>
  <c r="ER88" i="5"/>
  <c r="EQ88" i="5"/>
  <c r="EP88" i="5"/>
  <c r="EZ73" i="5"/>
  <c r="EY73" i="5"/>
  <c r="EX73" i="5"/>
  <c r="EW73" i="5"/>
  <c r="EV73" i="5"/>
  <c r="EU73" i="5"/>
  <c r="ET73" i="5"/>
  <c r="ES73" i="5"/>
  <c r="ER73" i="5"/>
  <c r="EQ73" i="5"/>
  <c r="EP73" i="5"/>
  <c r="EZ61" i="5"/>
  <c r="EY61" i="5"/>
  <c r="EX61" i="5"/>
  <c r="EW61" i="5"/>
  <c r="EV61" i="5"/>
  <c r="EU61" i="5"/>
  <c r="ET61" i="5"/>
  <c r="ES61" i="5"/>
  <c r="ER61" i="5"/>
  <c r="EQ61" i="5"/>
  <c r="EP61" i="5"/>
  <c r="EZ56" i="5"/>
  <c r="EY56" i="5"/>
  <c r="EX56" i="5"/>
  <c r="EW56" i="5"/>
  <c r="EV56" i="5"/>
  <c r="EU56" i="5"/>
  <c r="ET56" i="5"/>
  <c r="ES56" i="5"/>
  <c r="ER56" i="5"/>
  <c r="EQ56" i="5"/>
  <c r="EP56" i="5"/>
  <c r="EZ43" i="5"/>
  <c r="EY43" i="5"/>
  <c r="EX43" i="5"/>
  <c r="EW43" i="5"/>
  <c r="EV43" i="5"/>
  <c r="EU43" i="5"/>
  <c r="ET43" i="5"/>
  <c r="ES43" i="5"/>
  <c r="ER43" i="5"/>
  <c r="EQ43" i="5"/>
  <c r="EP43" i="5"/>
  <c r="EZ28" i="5"/>
  <c r="EY28" i="5"/>
  <c r="EX28" i="5"/>
  <c r="EW28" i="5"/>
  <c r="EV28" i="5"/>
  <c r="EU28" i="5"/>
  <c r="ET28" i="5"/>
  <c r="ES28" i="5"/>
  <c r="ER28" i="5"/>
  <c r="EQ28" i="5"/>
  <c r="EP28" i="5"/>
  <c r="EO8" i="5"/>
  <c r="EN8" i="5"/>
  <c r="EM8" i="5"/>
  <c r="EL8" i="5"/>
  <c r="EK8" i="5"/>
  <c r="EJ8" i="5"/>
  <c r="EI8" i="5"/>
  <c r="EH8" i="5"/>
  <c r="EG8" i="5"/>
  <c r="EF8" i="5"/>
  <c r="EE8" i="5"/>
  <c r="ED8" i="5"/>
  <c r="EC8" i="5"/>
  <c r="EB8" i="5"/>
  <c r="EA8" i="5"/>
  <c r="DZ8" i="5"/>
  <c r="DY8" i="5"/>
  <c r="EO331" i="5"/>
  <c r="EN331" i="5"/>
  <c r="EM331" i="5"/>
  <c r="EL331" i="5"/>
  <c r="EK331" i="5"/>
  <c r="EJ331" i="5"/>
  <c r="EI331" i="5"/>
  <c r="EH331" i="5"/>
  <c r="EG331" i="5"/>
  <c r="EF331" i="5"/>
  <c r="EE331" i="5"/>
  <c r="ED331" i="5"/>
  <c r="EC331" i="5"/>
  <c r="EB331" i="5"/>
  <c r="EA331" i="5"/>
  <c r="DZ331" i="5"/>
  <c r="DY331" i="5"/>
  <c r="EO326" i="5"/>
  <c r="EN326" i="5"/>
  <c r="EM326" i="5"/>
  <c r="EL326" i="5"/>
  <c r="EK326" i="5"/>
  <c r="EJ326" i="5"/>
  <c r="EI326" i="5"/>
  <c r="EH326" i="5"/>
  <c r="EG326" i="5"/>
  <c r="EF326" i="5"/>
  <c r="EE326" i="5"/>
  <c r="ED326" i="5"/>
  <c r="EC326" i="5"/>
  <c r="EB326" i="5"/>
  <c r="EA326" i="5"/>
  <c r="DZ326" i="5"/>
  <c r="DY326" i="5"/>
  <c r="EO313" i="5"/>
  <c r="EN313" i="5"/>
  <c r="EM313" i="5"/>
  <c r="EL313" i="5"/>
  <c r="EK313" i="5"/>
  <c r="EJ313" i="5"/>
  <c r="EI313" i="5"/>
  <c r="EH313" i="5"/>
  <c r="EG313" i="5"/>
  <c r="EF313" i="5"/>
  <c r="EE313" i="5"/>
  <c r="ED313" i="5"/>
  <c r="EC313" i="5"/>
  <c r="EB313" i="5"/>
  <c r="EA313" i="5"/>
  <c r="DZ313" i="5"/>
  <c r="DY313" i="5"/>
  <c r="EO298" i="5"/>
  <c r="EN298" i="5"/>
  <c r="EM298" i="5"/>
  <c r="EL298" i="5"/>
  <c r="EK298" i="5"/>
  <c r="EJ298" i="5"/>
  <c r="EI298" i="5"/>
  <c r="EH298" i="5"/>
  <c r="EG298" i="5"/>
  <c r="EF298" i="5"/>
  <c r="EE298" i="5"/>
  <c r="ED298" i="5"/>
  <c r="EC298" i="5"/>
  <c r="EB298" i="5"/>
  <c r="EA298" i="5"/>
  <c r="DZ298" i="5"/>
  <c r="DY298" i="5"/>
  <c r="EO196" i="5"/>
  <c r="EN196" i="5"/>
  <c r="EM196" i="5"/>
  <c r="EL196" i="5"/>
  <c r="EK196" i="5"/>
  <c r="EJ196" i="5"/>
  <c r="EI196" i="5"/>
  <c r="EH196" i="5"/>
  <c r="EG196" i="5"/>
  <c r="EF196" i="5"/>
  <c r="EE196" i="5"/>
  <c r="ED196" i="5"/>
  <c r="EC196" i="5"/>
  <c r="EB196" i="5"/>
  <c r="EA196" i="5"/>
  <c r="DZ196" i="5"/>
  <c r="DY196" i="5"/>
  <c r="EO191" i="5"/>
  <c r="EN191" i="5"/>
  <c r="EM191" i="5"/>
  <c r="EL191" i="5"/>
  <c r="EK191" i="5"/>
  <c r="EJ191" i="5"/>
  <c r="EI191" i="5"/>
  <c r="EH191" i="5"/>
  <c r="EG191" i="5"/>
  <c r="EF191" i="5"/>
  <c r="EE191" i="5"/>
  <c r="ED191" i="5"/>
  <c r="EC191" i="5"/>
  <c r="EB191" i="5"/>
  <c r="EA191" i="5"/>
  <c r="DZ191" i="5"/>
  <c r="DY191" i="5"/>
  <c r="EO178" i="5"/>
  <c r="EN178" i="5"/>
  <c r="EM178" i="5"/>
  <c r="EL178" i="5"/>
  <c r="EK178" i="5"/>
  <c r="EJ178" i="5"/>
  <c r="EI178" i="5"/>
  <c r="EH178" i="5"/>
  <c r="EG178" i="5"/>
  <c r="EF178" i="5"/>
  <c r="EE178" i="5"/>
  <c r="ED178" i="5"/>
  <c r="EC178" i="5"/>
  <c r="EB178" i="5"/>
  <c r="EA178" i="5"/>
  <c r="DZ178" i="5"/>
  <c r="DY178" i="5"/>
  <c r="EO163" i="5"/>
  <c r="EN163" i="5"/>
  <c r="EM163" i="5"/>
  <c r="EL163" i="5"/>
  <c r="EK163" i="5"/>
  <c r="EJ163" i="5"/>
  <c r="EI163" i="5"/>
  <c r="EH163" i="5"/>
  <c r="EG163" i="5"/>
  <c r="EF163" i="5"/>
  <c r="EE163" i="5"/>
  <c r="ED163" i="5"/>
  <c r="EC163" i="5"/>
  <c r="EB163" i="5"/>
  <c r="EA163" i="5"/>
  <c r="DZ163" i="5"/>
  <c r="DY163" i="5"/>
  <c r="EO151" i="5"/>
  <c r="EN151" i="5"/>
  <c r="EM151" i="5"/>
  <c r="EL151" i="5"/>
  <c r="EK151" i="5"/>
  <c r="EJ151" i="5"/>
  <c r="EI151" i="5"/>
  <c r="EH151" i="5"/>
  <c r="EG151" i="5"/>
  <c r="EF151" i="5"/>
  <c r="EE151" i="5"/>
  <c r="ED151" i="5"/>
  <c r="EC151" i="5"/>
  <c r="EB151" i="5"/>
  <c r="EA151" i="5"/>
  <c r="DZ151" i="5"/>
  <c r="DY151" i="5"/>
  <c r="EO146" i="5"/>
  <c r="EN146" i="5"/>
  <c r="EM146" i="5"/>
  <c r="EL146" i="5"/>
  <c r="EK146" i="5"/>
  <c r="EJ146" i="5"/>
  <c r="EI146" i="5"/>
  <c r="EH146" i="5"/>
  <c r="EG146" i="5"/>
  <c r="EF146" i="5"/>
  <c r="EE146" i="5"/>
  <c r="ED146" i="5"/>
  <c r="EC146" i="5"/>
  <c r="EB146" i="5"/>
  <c r="EA146" i="5"/>
  <c r="DZ146" i="5"/>
  <c r="DY146" i="5"/>
  <c r="EO133" i="5"/>
  <c r="EN133" i="5"/>
  <c r="EM133" i="5"/>
  <c r="EL133" i="5"/>
  <c r="EK133" i="5"/>
  <c r="EJ133" i="5"/>
  <c r="EI133" i="5"/>
  <c r="EH133" i="5"/>
  <c r="EG133" i="5"/>
  <c r="EF133" i="5"/>
  <c r="EE133" i="5"/>
  <c r="ED133" i="5"/>
  <c r="EC133" i="5"/>
  <c r="EB133" i="5"/>
  <c r="EA133" i="5"/>
  <c r="DZ133" i="5"/>
  <c r="DY133" i="5"/>
  <c r="EO118" i="5"/>
  <c r="EN118" i="5"/>
  <c r="EM118" i="5"/>
  <c r="EL118" i="5"/>
  <c r="EK118" i="5"/>
  <c r="EJ118" i="5"/>
  <c r="EI118" i="5"/>
  <c r="EH118" i="5"/>
  <c r="EG118" i="5"/>
  <c r="EF118" i="5"/>
  <c r="EE118" i="5"/>
  <c r="ED118" i="5"/>
  <c r="EC118" i="5"/>
  <c r="EB118" i="5"/>
  <c r="EA118" i="5"/>
  <c r="DZ118" i="5"/>
  <c r="DY118" i="5"/>
  <c r="EO101" i="5"/>
  <c r="EN101" i="5"/>
  <c r="EM101" i="5"/>
  <c r="EL101" i="5"/>
  <c r="EK101" i="5"/>
  <c r="EJ101" i="5"/>
  <c r="EI101" i="5"/>
  <c r="EH101" i="5"/>
  <c r="EG101" i="5"/>
  <c r="EF101" i="5"/>
  <c r="EE101" i="5"/>
  <c r="ED101" i="5"/>
  <c r="EC101" i="5"/>
  <c r="EB101" i="5"/>
  <c r="EA101" i="5"/>
  <c r="DZ101" i="5"/>
  <c r="DY101" i="5"/>
  <c r="EO88" i="5"/>
  <c r="EN88" i="5"/>
  <c r="EM88" i="5"/>
  <c r="EL88" i="5"/>
  <c r="EK88" i="5"/>
  <c r="EJ88" i="5"/>
  <c r="EI88" i="5"/>
  <c r="EH88" i="5"/>
  <c r="EG88" i="5"/>
  <c r="EF88" i="5"/>
  <c r="EE88" i="5"/>
  <c r="ED88" i="5"/>
  <c r="EC88" i="5"/>
  <c r="EB88" i="5"/>
  <c r="EA88" i="5"/>
  <c r="DZ88" i="5"/>
  <c r="DY88" i="5"/>
  <c r="EO73" i="5"/>
  <c r="EN73" i="5"/>
  <c r="EM73" i="5"/>
  <c r="EL73" i="5"/>
  <c r="EK73" i="5"/>
  <c r="EJ73" i="5"/>
  <c r="EI73" i="5"/>
  <c r="EH73" i="5"/>
  <c r="EG73" i="5"/>
  <c r="EF73" i="5"/>
  <c r="EE73" i="5"/>
  <c r="ED73" i="5"/>
  <c r="EC73" i="5"/>
  <c r="EB73" i="5"/>
  <c r="EA73" i="5"/>
  <c r="DZ73" i="5"/>
  <c r="DY73" i="5"/>
  <c r="EO61" i="5"/>
  <c r="EN61" i="5"/>
  <c r="EM61" i="5"/>
  <c r="EL61" i="5"/>
  <c r="EK61" i="5"/>
  <c r="EJ61" i="5"/>
  <c r="EI61" i="5"/>
  <c r="EH61" i="5"/>
  <c r="EG61" i="5"/>
  <c r="EF61" i="5"/>
  <c r="EE61" i="5"/>
  <c r="ED61" i="5"/>
  <c r="EC61" i="5"/>
  <c r="EB61" i="5"/>
  <c r="EA61" i="5"/>
  <c r="DZ61" i="5"/>
  <c r="DY61" i="5"/>
  <c r="EO56" i="5"/>
  <c r="EN56" i="5"/>
  <c r="EM56" i="5"/>
  <c r="EL56" i="5"/>
  <c r="EK56" i="5"/>
  <c r="EJ56" i="5"/>
  <c r="EI56" i="5"/>
  <c r="EH56" i="5"/>
  <c r="EG56" i="5"/>
  <c r="EF56" i="5"/>
  <c r="EE56" i="5"/>
  <c r="ED56" i="5"/>
  <c r="EC56" i="5"/>
  <c r="EB56" i="5"/>
  <c r="EA56" i="5"/>
  <c r="DZ56" i="5"/>
  <c r="DY56" i="5"/>
  <c r="EO43" i="5"/>
  <c r="EN43" i="5"/>
  <c r="EM43" i="5"/>
  <c r="EL43" i="5"/>
  <c r="EK43" i="5"/>
  <c r="EJ43" i="5"/>
  <c r="EI43" i="5"/>
  <c r="EH43" i="5"/>
  <c r="EG43" i="5"/>
  <c r="EF43" i="5"/>
  <c r="EE43" i="5"/>
  <c r="ED43" i="5"/>
  <c r="EC43" i="5"/>
  <c r="EB43" i="5"/>
  <c r="EA43" i="5"/>
  <c r="DZ43" i="5"/>
  <c r="DY43" i="5"/>
  <c r="EO28" i="5"/>
  <c r="EN28" i="5"/>
  <c r="EM28" i="5"/>
  <c r="EL28" i="5"/>
  <c r="EK28" i="5"/>
  <c r="EJ28" i="5"/>
  <c r="EI28" i="5"/>
  <c r="EH28" i="5"/>
  <c r="EG28" i="5"/>
  <c r="EF28" i="5"/>
  <c r="EE28" i="5"/>
  <c r="ED28" i="5"/>
  <c r="EC28" i="5"/>
  <c r="EB28" i="5"/>
  <c r="EA28" i="5"/>
  <c r="DZ28" i="5"/>
  <c r="DY28" i="5"/>
  <c r="DN7" i="5"/>
  <c r="DX8" i="5"/>
  <c r="DW8" i="5"/>
  <c r="DV8" i="5"/>
  <c r="DU8" i="5"/>
  <c r="DT8" i="5"/>
  <c r="DS8" i="5"/>
  <c r="DR8" i="5"/>
  <c r="DQ8" i="5"/>
  <c r="DP8" i="5"/>
  <c r="DO8" i="5"/>
  <c r="DN8" i="5"/>
  <c r="DM8" i="5"/>
  <c r="DL8" i="5"/>
  <c r="DK8" i="5"/>
  <c r="DJ8" i="5"/>
  <c r="DI8" i="5"/>
  <c r="DH8" i="5"/>
  <c r="DG8" i="5"/>
  <c r="DF8" i="5"/>
  <c r="DE8" i="5"/>
  <c r="DD8" i="5"/>
  <c r="DC8" i="5"/>
  <c r="DB8" i="5"/>
  <c r="DA8" i="5"/>
  <c r="CZ8" i="5"/>
  <c r="CY8" i="5"/>
  <c r="CX8" i="5"/>
  <c r="CW8" i="5"/>
  <c r="CV8" i="5"/>
  <c r="CU8" i="5"/>
  <c r="CT8" i="5"/>
  <c r="CL7" i="5"/>
  <c r="CS8" i="5"/>
  <c r="CR8" i="5"/>
  <c r="CQ8" i="5"/>
  <c r="CP8" i="5"/>
  <c r="CO8" i="5"/>
  <c r="CN8" i="5"/>
  <c r="CM8" i="5"/>
  <c r="CC7" i="5"/>
  <c r="CL8" i="5"/>
  <c r="CK8" i="5"/>
  <c r="CJ8" i="5"/>
  <c r="CI8" i="5"/>
  <c r="CH8" i="5"/>
  <c r="CG8" i="5"/>
  <c r="CF8" i="5"/>
  <c r="CE8" i="5"/>
  <c r="CD8" i="5"/>
  <c r="CC8" i="5"/>
  <c r="BS7" i="5"/>
  <c r="CB8" i="5"/>
  <c r="CA8" i="5"/>
  <c r="CA9" i="5" s="1"/>
  <c r="BZ8" i="5"/>
  <c r="BY8" i="5"/>
  <c r="BX8" i="5"/>
  <c r="BW8" i="5"/>
  <c r="BV8" i="5"/>
  <c r="BU8" i="5"/>
  <c r="BT8" i="5"/>
  <c r="BS8" i="5"/>
  <c r="BN7" i="5"/>
  <c r="BR8" i="5"/>
  <c r="BQ8" i="5"/>
  <c r="BP8" i="5"/>
  <c r="BO8" i="5"/>
  <c r="BN8" i="5"/>
  <c r="BL331" i="5"/>
  <c r="BK331" i="5"/>
  <c r="BJ331" i="5"/>
  <c r="BI331" i="5"/>
  <c r="BL326" i="5"/>
  <c r="BK326" i="5"/>
  <c r="BJ326" i="5"/>
  <c r="BI326" i="5"/>
  <c r="BL313" i="5"/>
  <c r="BK313" i="5"/>
  <c r="BJ313" i="5"/>
  <c r="BI313" i="5"/>
  <c r="BL298" i="5"/>
  <c r="BK298" i="5"/>
  <c r="BJ298" i="5"/>
  <c r="BI298" i="5"/>
  <c r="BL196" i="5"/>
  <c r="BK196" i="5"/>
  <c r="BJ196" i="5"/>
  <c r="BI196" i="5"/>
  <c r="BL191" i="5"/>
  <c r="BK191" i="5"/>
  <c r="BJ191" i="5"/>
  <c r="BI191" i="5"/>
  <c r="BL178" i="5"/>
  <c r="BK178" i="5"/>
  <c r="BJ178" i="5"/>
  <c r="BI178" i="5"/>
  <c r="BL163" i="5"/>
  <c r="BK163" i="5"/>
  <c r="BJ163" i="5"/>
  <c r="BI163" i="5"/>
  <c r="BL151" i="5"/>
  <c r="BK151" i="5"/>
  <c r="BJ151" i="5"/>
  <c r="BI151" i="5"/>
  <c r="BL146" i="5"/>
  <c r="BK146" i="5"/>
  <c r="BJ146" i="5"/>
  <c r="BI146" i="5"/>
  <c r="BL133" i="5"/>
  <c r="BK133" i="5"/>
  <c r="BJ133" i="5"/>
  <c r="BI133" i="5"/>
  <c r="BL118" i="5"/>
  <c r="BK118" i="5"/>
  <c r="BJ118" i="5"/>
  <c r="BI118" i="5"/>
  <c r="BL101" i="5"/>
  <c r="BK101" i="5"/>
  <c r="BJ101" i="5"/>
  <c r="BI101" i="5"/>
  <c r="BL88" i="5"/>
  <c r="BK88" i="5"/>
  <c r="BJ88" i="5"/>
  <c r="BI88" i="5"/>
  <c r="BL73" i="5"/>
  <c r="BK73" i="5"/>
  <c r="BJ73" i="5"/>
  <c r="BI73" i="5"/>
  <c r="BL61" i="5"/>
  <c r="BK61" i="5"/>
  <c r="BJ61" i="5"/>
  <c r="BI61" i="5"/>
  <c r="BL56" i="5"/>
  <c r="BK56" i="5"/>
  <c r="BJ56" i="5"/>
  <c r="BI56" i="5"/>
  <c r="BL43" i="5"/>
  <c r="BK43" i="5"/>
  <c r="BJ43" i="5"/>
  <c r="BI43" i="5"/>
  <c r="BL28" i="5"/>
  <c r="BK28" i="5"/>
  <c r="BJ28" i="5"/>
  <c r="BI28" i="5"/>
  <c r="BM8" i="5"/>
  <c r="BL8" i="5"/>
  <c r="BK8" i="5"/>
  <c r="BJ8" i="5"/>
  <c r="BI8" i="5"/>
  <c r="BH8" i="5"/>
  <c r="BG8" i="5"/>
  <c r="BE7" i="5"/>
  <c r="AD7" i="5"/>
  <c r="BF8" i="5"/>
  <c r="BE8" i="5"/>
  <c r="BD331" i="5"/>
  <c r="BC331" i="5"/>
  <c r="BB331" i="5"/>
  <c r="BA331" i="5"/>
  <c r="AZ331" i="5"/>
  <c r="AY331" i="5"/>
  <c r="AX331" i="5"/>
  <c r="AW331" i="5"/>
  <c r="AV331" i="5"/>
  <c r="AU331" i="5"/>
  <c r="BD326" i="5"/>
  <c r="BC326" i="5"/>
  <c r="BB326" i="5"/>
  <c r="BA326" i="5"/>
  <c r="AZ326" i="5"/>
  <c r="AY326" i="5"/>
  <c r="AX326" i="5"/>
  <c r="AW326" i="5"/>
  <c r="AV326" i="5"/>
  <c r="AU326" i="5"/>
  <c r="BD313" i="5"/>
  <c r="BC313" i="5"/>
  <c r="BB313" i="5"/>
  <c r="BA313" i="5"/>
  <c r="AZ313" i="5"/>
  <c r="AY313" i="5"/>
  <c r="AX313" i="5"/>
  <c r="AW313" i="5"/>
  <c r="AV313" i="5"/>
  <c r="AU313" i="5"/>
  <c r="BD298" i="5"/>
  <c r="BC298" i="5"/>
  <c r="BB298" i="5"/>
  <c r="BA298" i="5"/>
  <c r="AZ298" i="5"/>
  <c r="AY298" i="5"/>
  <c r="AX298" i="5"/>
  <c r="AW298" i="5"/>
  <c r="AV298" i="5"/>
  <c r="AU298" i="5"/>
  <c r="BD196" i="5"/>
  <c r="BC196" i="5"/>
  <c r="BB196" i="5"/>
  <c r="BA196" i="5"/>
  <c r="AZ196" i="5"/>
  <c r="AY196" i="5"/>
  <c r="AX196" i="5"/>
  <c r="AW196" i="5"/>
  <c r="AV196" i="5"/>
  <c r="AU196" i="5"/>
  <c r="BD191" i="5"/>
  <c r="BC191" i="5"/>
  <c r="BB191" i="5"/>
  <c r="BA191" i="5"/>
  <c r="AZ191" i="5"/>
  <c r="AY191" i="5"/>
  <c r="AX191" i="5"/>
  <c r="AW191" i="5"/>
  <c r="AV191" i="5"/>
  <c r="AU191" i="5"/>
  <c r="BD178" i="5"/>
  <c r="BC178" i="5"/>
  <c r="BB178" i="5"/>
  <c r="BA178" i="5"/>
  <c r="AZ178" i="5"/>
  <c r="AY178" i="5"/>
  <c r="AX178" i="5"/>
  <c r="AW178" i="5"/>
  <c r="AV178" i="5"/>
  <c r="AU178" i="5"/>
  <c r="BD163" i="5"/>
  <c r="BC163" i="5"/>
  <c r="BB163" i="5"/>
  <c r="BA163" i="5"/>
  <c r="AZ163" i="5"/>
  <c r="AY163" i="5"/>
  <c r="AX163" i="5"/>
  <c r="AW163" i="5"/>
  <c r="AV163" i="5"/>
  <c r="AU163" i="5"/>
  <c r="BD151" i="5"/>
  <c r="BC151" i="5"/>
  <c r="BB151" i="5"/>
  <c r="BA151" i="5"/>
  <c r="AZ151" i="5"/>
  <c r="AY151" i="5"/>
  <c r="AX151" i="5"/>
  <c r="AW151" i="5"/>
  <c r="AV151" i="5"/>
  <c r="AU151" i="5"/>
  <c r="BD146" i="5"/>
  <c r="BC146" i="5"/>
  <c r="BB146" i="5"/>
  <c r="BA146" i="5"/>
  <c r="AZ146" i="5"/>
  <c r="AY146" i="5"/>
  <c r="AX146" i="5"/>
  <c r="AW146" i="5"/>
  <c r="AV146" i="5"/>
  <c r="AU146" i="5"/>
  <c r="BD133" i="5"/>
  <c r="BC133" i="5"/>
  <c r="BB133" i="5"/>
  <c r="BA133" i="5"/>
  <c r="AZ133" i="5"/>
  <c r="AY133" i="5"/>
  <c r="AX133" i="5"/>
  <c r="AW133" i="5"/>
  <c r="AV133" i="5"/>
  <c r="AU133" i="5"/>
  <c r="BD118" i="5"/>
  <c r="BC118" i="5"/>
  <c r="BB118" i="5"/>
  <c r="BA118" i="5"/>
  <c r="AZ118" i="5"/>
  <c r="AY118" i="5"/>
  <c r="AX118" i="5"/>
  <c r="AW118" i="5"/>
  <c r="AV118" i="5"/>
  <c r="AU118" i="5"/>
  <c r="BD101" i="5"/>
  <c r="BC101" i="5"/>
  <c r="BB101" i="5"/>
  <c r="BA101" i="5"/>
  <c r="AZ101" i="5"/>
  <c r="AY101" i="5"/>
  <c r="AX101" i="5"/>
  <c r="AW101" i="5"/>
  <c r="AV101" i="5"/>
  <c r="AU101" i="5"/>
  <c r="BD88" i="5"/>
  <c r="BC88" i="5"/>
  <c r="BB88" i="5"/>
  <c r="BA88" i="5"/>
  <c r="AZ88" i="5"/>
  <c r="AY88" i="5"/>
  <c r="AX88" i="5"/>
  <c r="AW88" i="5"/>
  <c r="AV88" i="5"/>
  <c r="AU88" i="5"/>
  <c r="BD73" i="5"/>
  <c r="BC73" i="5"/>
  <c r="BB73" i="5"/>
  <c r="BA73" i="5"/>
  <c r="AZ73" i="5"/>
  <c r="AY73" i="5"/>
  <c r="AX73" i="5"/>
  <c r="AW73" i="5"/>
  <c r="AV73" i="5"/>
  <c r="AU73" i="5"/>
  <c r="BD61" i="5"/>
  <c r="BC61" i="5"/>
  <c r="BB61" i="5"/>
  <c r="BA61" i="5"/>
  <c r="AZ61" i="5"/>
  <c r="AY61" i="5"/>
  <c r="AX61" i="5"/>
  <c r="AW61" i="5"/>
  <c r="AV61" i="5"/>
  <c r="AU61" i="5"/>
  <c r="BD56" i="5"/>
  <c r="BC56" i="5"/>
  <c r="BB56" i="5"/>
  <c r="BA56" i="5"/>
  <c r="AZ56" i="5"/>
  <c r="AY56" i="5"/>
  <c r="AX56" i="5"/>
  <c r="AW56" i="5"/>
  <c r="AV56" i="5"/>
  <c r="AU56" i="5"/>
  <c r="BD43" i="5"/>
  <c r="BC43" i="5"/>
  <c r="BB43" i="5"/>
  <c r="BA43" i="5"/>
  <c r="AZ43" i="5"/>
  <c r="AY43" i="5"/>
  <c r="AX43" i="5"/>
  <c r="AW43" i="5"/>
  <c r="AV43" i="5"/>
  <c r="AU43" i="5"/>
  <c r="BD28" i="5"/>
  <c r="BC28" i="5"/>
  <c r="BB28" i="5"/>
  <c r="BA28" i="5"/>
  <c r="AZ28" i="5"/>
  <c r="AY28" i="5"/>
  <c r="AX28" i="5"/>
  <c r="AW28" i="5"/>
  <c r="AV28" i="5"/>
  <c r="AU28" i="5"/>
  <c r="BD8" i="5"/>
  <c r="BC8" i="5"/>
  <c r="BB8" i="5"/>
  <c r="BA8" i="5"/>
  <c r="AZ8" i="5"/>
  <c r="AY8" i="5"/>
  <c r="AX8" i="5"/>
  <c r="AW8" i="5"/>
  <c r="AV8" i="5"/>
  <c r="AU8" i="5"/>
  <c r="AC331" i="5"/>
  <c r="AC326" i="5"/>
  <c r="AC313" i="5"/>
  <c r="AC298" i="5"/>
  <c r="AC196" i="5"/>
  <c r="AC191" i="5"/>
  <c r="AC178" i="5"/>
  <c r="AC163" i="5"/>
  <c r="AC151" i="5"/>
  <c r="AC146" i="5"/>
  <c r="AC133" i="5"/>
  <c r="AC118" i="5"/>
  <c r="AC101" i="5"/>
  <c r="AC88" i="5"/>
  <c r="AC73" i="5"/>
  <c r="AC61" i="5"/>
  <c r="AC56" i="5"/>
  <c r="AC43" i="5"/>
  <c r="AC28" i="5"/>
  <c r="AB331" i="5"/>
  <c r="AB326" i="5"/>
  <c r="AB313" i="5"/>
  <c r="AB298" i="5"/>
  <c r="AB196" i="5"/>
  <c r="AB191" i="5"/>
  <c r="AB178" i="5"/>
  <c r="AB163" i="5"/>
  <c r="AB151" i="5"/>
  <c r="AB146" i="5"/>
  <c r="AB133" i="5"/>
  <c r="AB118" i="5"/>
  <c r="AB101" i="5"/>
  <c r="AB88" i="5"/>
  <c r="AB73" i="5"/>
  <c r="AB61" i="5"/>
  <c r="AB56" i="5"/>
  <c r="AB43" i="5"/>
  <c r="AB28" i="5"/>
  <c r="V331" i="5"/>
  <c r="V326" i="5"/>
  <c r="V313" i="5"/>
  <c r="V298" i="5"/>
  <c r="V196" i="5"/>
  <c r="V191" i="5"/>
  <c r="V178" i="5"/>
  <c r="V163" i="5"/>
  <c r="V151" i="5"/>
  <c r="V146" i="5"/>
  <c r="V133" i="5"/>
  <c r="V118" i="5"/>
  <c r="V101" i="5"/>
  <c r="V88" i="5"/>
  <c r="V73" i="5"/>
  <c r="V61" i="5"/>
  <c r="V56" i="5"/>
  <c r="V43" i="5"/>
  <c r="V28" i="5"/>
  <c r="U331" i="5"/>
  <c r="U326" i="5"/>
  <c r="U313" i="5"/>
  <c r="U298" i="5"/>
  <c r="U196" i="5"/>
  <c r="U191" i="5"/>
  <c r="U178" i="5"/>
  <c r="U163" i="5"/>
  <c r="U151" i="5"/>
  <c r="U146" i="5"/>
  <c r="U133" i="5"/>
  <c r="U118" i="5"/>
  <c r="U101" i="5"/>
  <c r="U88" i="5"/>
  <c r="U73" i="5"/>
  <c r="U61" i="5"/>
  <c r="U56" i="5"/>
  <c r="U43" i="5"/>
  <c r="U28" i="5"/>
  <c r="T331" i="5"/>
  <c r="T326" i="5"/>
  <c r="T313" i="5"/>
  <c r="T298" i="5"/>
  <c r="T196" i="5"/>
  <c r="T191" i="5"/>
  <c r="T178" i="5"/>
  <c r="T163" i="5"/>
  <c r="T151" i="5"/>
  <c r="T146" i="5"/>
  <c r="T133" i="5"/>
  <c r="T118" i="5"/>
  <c r="T101" i="5"/>
  <c r="T88" i="5"/>
  <c r="T73" i="5"/>
  <c r="T61" i="5"/>
  <c r="T56" i="5"/>
  <c r="T43" i="5"/>
  <c r="T28" i="5"/>
  <c r="AF8" i="5"/>
  <c r="AC8" i="5"/>
  <c r="AB8" i="5"/>
  <c r="V8" i="5"/>
  <c r="U8" i="5"/>
  <c r="T8" i="5"/>
  <c r="BI152" i="5" l="1"/>
  <c r="BI332" i="5"/>
  <c r="BK332" i="5"/>
  <c r="V9" i="5"/>
  <c r="AZ9" i="5"/>
  <c r="BH9" i="5"/>
  <c r="BS9" i="5"/>
  <c r="CH9" i="5"/>
  <c r="CO9" i="5"/>
  <c r="CV9" i="5"/>
  <c r="DD9" i="5"/>
  <c r="DL9" i="5"/>
  <c r="DT9" i="5"/>
  <c r="EF9" i="5"/>
  <c r="EN9" i="5"/>
  <c r="EU9" i="5"/>
  <c r="AB9" i="5"/>
  <c r="BA9" i="5"/>
  <c r="BI9" i="5"/>
  <c r="BT9" i="5"/>
  <c r="CB9" i="5"/>
  <c r="CI9" i="5"/>
  <c r="CP9" i="5"/>
  <c r="CW9" i="5"/>
  <c r="DE9" i="5"/>
  <c r="DM9" i="5"/>
  <c r="DU9" i="5"/>
  <c r="DY9" i="5"/>
  <c r="EG9" i="5"/>
  <c r="EO9" i="5"/>
  <c r="EV9" i="5"/>
  <c r="AC9" i="5"/>
  <c r="BB9" i="5"/>
  <c r="BJ9" i="5"/>
  <c r="BN9" i="5"/>
  <c r="BU9" i="5"/>
  <c r="CJ9" i="5"/>
  <c r="CQ9" i="5"/>
  <c r="CX9" i="5"/>
  <c r="DF9" i="5"/>
  <c r="DN9" i="5"/>
  <c r="DV9" i="5"/>
  <c r="DZ9" i="5"/>
  <c r="EH9" i="5"/>
  <c r="EW9" i="5"/>
  <c r="AU9" i="5"/>
  <c r="BC9" i="5"/>
  <c r="BE9" i="5"/>
  <c r="BK9" i="5"/>
  <c r="BO9" i="5"/>
  <c r="BV9" i="5"/>
  <c r="CC9" i="5"/>
  <c r="CK9" i="5"/>
  <c r="CR9" i="5"/>
  <c r="CY9" i="5"/>
  <c r="DG9" i="5"/>
  <c r="DO9" i="5"/>
  <c r="DW9" i="5"/>
  <c r="EA9" i="5"/>
  <c r="EI9" i="5"/>
  <c r="EP9" i="5"/>
  <c r="EX9" i="5"/>
  <c r="AV9" i="5"/>
  <c r="BD9" i="5"/>
  <c r="BF9" i="5"/>
  <c r="BL9" i="5"/>
  <c r="BP9" i="5"/>
  <c r="BW9" i="5"/>
  <c r="CD9" i="5"/>
  <c r="CL9" i="5"/>
  <c r="CS9" i="5"/>
  <c r="CZ9" i="5"/>
  <c r="DH9" i="5"/>
  <c r="DP9" i="5"/>
  <c r="DX9" i="5"/>
  <c r="EB9" i="5"/>
  <c r="EJ9" i="5"/>
  <c r="EQ9" i="5"/>
  <c r="EY9" i="5"/>
  <c r="AF9" i="5"/>
  <c r="AW9" i="5"/>
  <c r="BM9" i="5"/>
  <c r="BQ9" i="5"/>
  <c r="BX9" i="5"/>
  <c r="CE9" i="5"/>
  <c r="DA9" i="5"/>
  <c r="DI9" i="5"/>
  <c r="DQ9" i="5"/>
  <c r="EC9" i="5"/>
  <c r="EK9" i="5"/>
  <c r="ER9" i="5"/>
  <c r="EZ9" i="5"/>
  <c r="T9" i="5"/>
  <c r="AX9" i="5"/>
  <c r="BR9" i="5"/>
  <c r="BY9" i="5"/>
  <c r="CF9" i="5"/>
  <c r="CM9" i="5"/>
  <c r="CT9" i="5"/>
  <c r="DB9" i="5"/>
  <c r="DJ9" i="5"/>
  <c r="DR9" i="5"/>
  <c r="ED9" i="5"/>
  <c r="EL9" i="5"/>
  <c r="ES9" i="5"/>
  <c r="U9" i="5"/>
  <c r="AY9" i="5"/>
  <c r="BG9" i="5"/>
  <c r="BZ9" i="5"/>
  <c r="CG9" i="5"/>
  <c r="CN9" i="5"/>
  <c r="CU9" i="5"/>
  <c r="DC9" i="5"/>
  <c r="DK9" i="5"/>
  <c r="DS9" i="5"/>
  <c r="EE9" i="5"/>
  <c r="EM9" i="5"/>
  <c r="ET9" i="5"/>
  <c r="BJ332" i="5"/>
  <c r="AU332" i="5"/>
  <c r="BL62" i="5"/>
  <c r="BC332" i="5"/>
  <c r="EA197" i="5"/>
  <c r="EI197" i="5"/>
  <c r="EE332" i="5"/>
  <c r="EM332" i="5"/>
  <c r="EU62" i="5"/>
  <c r="EQ107" i="5"/>
  <c r="EU107" i="5"/>
  <c r="EY107" i="5"/>
  <c r="EV197" i="5"/>
  <c r="EP332" i="5"/>
  <c r="ET332" i="5"/>
  <c r="EX332" i="5"/>
  <c r="EV332" i="5"/>
  <c r="U62" i="5"/>
  <c r="AC152" i="5"/>
  <c r="BB107" i="5"/>
  <c r="EU332" i="5"/>
  <c r="AC332" i="5"/>
  <c r="EJ152" i="5"/>
  <c r="EB332" i="5"/>
  <c r="ER62" i="5"/>
  <c r="EW62" i="5"/>
  <c r="EQ152" i="5"/>
  <c r="AW332" i="5"/>
  <c r="EF62" i="5"/>
  <c r="EN62" i="5"/>
  <c r="EB107" i="5"/>
  <c r="EF107" i="5"/>
  <c r="EN107" i="5"/>
  <c r="ES62" i="5"/>
  <c r="ER152" i="5"/>
  <c r="EZ152" i="5"/>
  <c r="EE62" i="5"/>
  <c r="EB152" i="5"/>
  <c r="EJ332" i="5"/>
  <c r="EZ62" i="5"/>
  <c r="EV107" i="5"/>
  <c r="EY152" i="5"/>
  <c r="U332" i="5"/>
  <c r="BB332" i="5"/>
  <c r="AZ332" i="5"/>
  <c r="DZ197" i="5"/>
  <c r="EH197" i="5"/>
  <c r="K44" i="16" s="1"/>
  <c r="L44" i="16" s="1"/>
  <c r="O44" i="16"/>
  <c r="P44" i="16" s="1"/>
  <c r="ED332" i="5"/>
  <c r="Q26" i="16" s="1"/>
  <c r="R26" i="16" s="1"/>
  <c r="EL332" i="5"/>
  <c r="ES197" i="5"/>
  <c r="EW197" i="5"/>
  <c r="DY107" i="5"/>
  <c r="EG107" i="5"/>
  <c r="EO107" i="5"/>
  <c r="EC152" i="5"/>
  <c r="EK152" i="5"/>
  <c r="EC332" i="5"/>
  <c r="EK332" i="5"/>
  <c r="ET62" i="5"/>
  <c r="EW107" i="5"/>
  <c r="ET107" i="5"/>
  <c r="EU152" i="5"/>
  <c r="EX107" i="5"/>
  <c r="BD332" i="5"/>
  <c r="EM62" i="5"/>
  <c r="M15" i="16"/>
  <c r="N15" i="16" s="1"/>
  <c r="AX332" i="5"/>
  <c r="BL332" i="5"/>
  <c r="DY62" i="5"/>
  <c r="EG62" i="5"/>
  <c r="EO62" i="5"/>
  <c r="EF332" i="5"/>
  <c r="EN332" i="5"/>
  <c r="EP62" i="5"/>
  <c r="EX62" i="5"/>
  <c r="ET197" i="5"/>
  <c r="AY332" i="5"/>
  <c r="DZ62" i="5"/>
  <c r="EJ107" i="5"/>
  <c r="DY332" i="5"/>
  <c r="EG332" i="5"/>
  <c r="EO332" i="5"/>
  <c r="ER107" i="5"/>
  <c r="EZ107" i="5"/>
  <c r="EV152" i="5"/>
  <c r="ES152" i="5"/>
  <c r="EP197" i="5"/>
  <c r="EX197" i="5"/>
  <c r="EU197" i="5"/>
  <c r="EQ332" i="5"/>
  <c r="EY332" i="5"/>
  <c r="T332" i="5"/>
  <c r="ED107" i="5"/>
  <c r="G26" i="16" s="1"/>
  <c r="H26" i="16" s="1"/>
  <c r="EL107" i="5"/>
  <c r="M44" i="16"/>
  <c r="N44" i="16" s="1"/>
  <c r="DZ332" i="5"/>
  <c r="EH332" i="5"/>
  <c r="ES107" i="5"/>
  <c r="EP107" i="5"/>
  <c r="EW152" i="5"/>
  <c r="ET152" i="5"/>
  <c r="EQ197" i="5"/>
  <c r="EY197" i="5"/>
  <c r="ER332" i="5"/>
  <c r="EZ332" i="5"/>
  <c r="EW332" i="5"/>
  <c r="AV332" i="5"/>
  <c r="AB332" i="5"/>
  <c r="BA332" i="5"/>
  <c r="EE107" i="5"/>
  <c r="EM107" i="5"/>
  <c r="EA332" i="5"/>
  <c r="EI332" i="5"/>
  <c r="EQ62" i="5"/>
  <c r="EY62" i="5"/>
  <c r="EV62" i="5"/>
  <c r="EP152" i="5"/>
  <c r="EX152" i="5"/>
  <c r="ER197" i="5"/>
  <c r="EZ197" i="5"/>
  <c r="ES332" i="5"/>
  <c r="EH62" i="5"/>
  <c r="E44" i="16" s="1"/>
  <c r="F44" i="16" s="1"/>
  <c r="ED152" i="5"/>
  <c r="I26" i="16" s="1"/>
  <c r="J26" i="16" s="1"/>
  <c r="EL152" i="5"/>
  <c r="EB197" i="5"/>
  <c r="EJ197" i="5"/>
  <c r="AY152" i="5"/>
  <c r="BJ107" i="5"/>
  <c r="BJ152" i="5"/>
  <c r="BJ197" i="5"/>
  <c r="EA62" i="5"/>
  <c r="EI62" i="5"/>
  <c r="EE152" i="5"/>
  <c r="EM152" i="5"/>
  <c r="EC197" i="5"/>
  <c r="EK197" i="5"/>
  <c r="BK107" i="5"/>
  <c r="BK152" i="5"/>
  <c r="EB62" i="5"/>
  <c r="EJ62" i="5"/>
  <c r="DZ107" i="5"/>
  <c r="EH107" i="5"/>
  <c r="G44" i="16" s="1"/>
  <c r="H44" i="16" s="1"/>
  <c r="EF152" i="5"/>
  <c r="EN152" i="5"/>
  <c r="ED197" i="5"/>
  <c r="K26" i="16" s="1"/>
  <c r="L26" i="16" s="1"/>
  <c r="EL197" i="5"/>
  <c r="M26" i="16"/>
  <c r="N26" i="16" s="1"/>
  <c r="BL197" i="5"/>
  <c r="EC62" i="5"/>
  <c r="EK62" i="5"/>
  <c r="EA107" i="5"/>
  <c r="EI107" i="5"/>
  <c r="DY152" i="5"/>
  <c r="EG152" i="5"/>
  <c r="EO152" i="5"/>
  <c r="EE197" i="5"/>
  <c r="EM197" i="5"/>
  <c r="O26" i="16"/>
  <c r="P26" i="16" s="1"/>
  <c r="AZ62" i="5"/>
  <c r="AZ107" i="5"/>
  <c r="BI62" i="5"/>
  <c r="BI107" i="5"/>
  <c r="ED62" i="5"/>
  <c r="E26" i="16" s="1"/>
  <c r="F26" i="16" s="1"/>
  <c r="EL62" i="5"/>
  <c r="DZ152" i="5"/>
  <c r="EH152" i="5"/>
  <c r="I44" i="16" s="1"/>
  <c r="J44" i="16" s="1"/>
  <c r="EF197" i="5"/>
  <c r="EN197" i="5"/>
  <c r="T107" i="5"/>
  <c r="EC107" i="5"/>
  <c r="EK107" i="5"/>
  <c r="EA152" i="5"/>
  <c r="EI152" i="5"/>
  <c r="DY197" i="5"/>
  <c r="EG197" i="5"/>
  <c r="EO197" i="5"/>
  <c r="AX107" i="5"/>
  <c r="AY62" i="5"/>
  <c r="AY107" i="5"/>
  <c r="AU107" i="5"/>
  <c r="BC107" i="5"/>
  <c r="BI197" i="5"/>
  <c r="BA107" i="5"/>
  <c r="BL107" i="5"/>
  <c r="BL152" i="5"/>
  <c r="BK197" i="5"/>
  <c r="AW197" i="5"/>
  <c r="BJ62" i="5"/>
  <c r="U197" i="5"/>
  <c r="BB62" i="5"/>
  <c r="AX152" i="5"/>
  <c r="AX197" i="5"/>
  <c r="BK62" i="5"/>
  <c r="BA62" i="5"/>
  <c r="AV107" i="5"/>
  <c r="AZ152" i="5"/>
  <c r="AY197" i="5"/>
  <c r="T197" i="5"/>
  <c r="BA152" i="5"/>
  <c r="AZ197" i="5"/>
  <c r="AU62" i="5"/>
  <c r="BC62" i="5"/>
  <c r="BB152" i="5"/>
  <c r="BA197" i="5"/>
  <c r="T152" i="5"/>
  <c r="U107" i="5"/>
  <c r="T62" i="5"/>
  <c r="AV62" i="5"/>
  <c r="BD62" i="5"/>
  <c r="AU152" i="5"/>
  <c r="BC152" i="5"/>
  <c r="BB197" i="5"/>
  <c r="AC107" i="5"/>
  <c r="AC197" i="5"/>
  <c r="AW62" i="5"/>
  <c r="BD107" i="5"/>
  <c r="AV152" i="5"/>
  <c r="BD152" i="5"/>
  <c r="AU197" i="5"/>
  <c r="BC197" i="5"/>
  <c r="AX62" i="5"/>
  <c r="AW107" i="5"/>
  <c r="AW152" i="5"/>
  <c r="AV197" i="5"/>
  <c r="BD197" i="5"/>
  <c r="V332" i="5"/>
  <c r="Q15" i="16" s="1"/>
  <c r="R15" i="16" s="1"/>
  <c r="V62" i="5"/>
  <c r="E15" i="16" s="1"/>
  <c r="F15" i="16" s="1"/>
  <c r="AB197" i="5"/>
  <c r="U152" i="5"/>
  <c r="V107" i="5"/>
  <c r="G15" i="16" s="1"/>
  <c r="H15" i="16" s="1"/>
  <c r="V197" i="5"/>
  <c r="K15" i="16" s="1"/>
  <c r="L15" i="16" s="1"/>
  <c r="AB62" i="5"/>
  <c r="AB107" i="5"/>
  <c r="O15" i="16"/>
  <c r="P15" i="16" s="1"/>
  <c r="V152" i="5"/>
  <c r="I15" i="16" s="1"/>
  <c r="J15" i="16" s="1"/>
  <c r="AC62" i="5"/>
  <c r="AB152" i="5"/>
  <c r="G42" i="16" l="1"/>
  <c r="H42" i="16" s="1"/>
  <c r="O42" i="16"/>
  <c r="P42" i="16" s="1"/>
  <c r="I42" i="16"/>
  <c r="J42" i="16" s="1"/>
  <c r="Q27" i="16"/>
  <c r="R27" i="16" s="1"/>
  <c r="I43" i="16"/>
  <c r="J43" i="16" s="1"/>
  <c r="M27" i="16"/>
  <c r="N27" i="16" s="1"/>
  <c r="M42" i="16"/>
  <c r="N42" i="16" s="1"/>
  <c r="M43" i="16"/>
  <c r="N43" i="16" s="1"/>
  <c r="E27" i="16"/>
  <c r="F27" i="16" s="1"/>
  <c r="O27" i="16"/>
  <c r="P27" i="16" s="1"/>
  <c r="G27" i="16"/>
  <c r="H27" i="16" s="1"/>
  <c r="K42" i="16"/>
  <c r="L42" i="16" s="1"/>
  <c r="K43" i="16"/>
  <c r="L43" i="16" s="1"/>
  <c r="K27" i="16"/>
  <c r="L27" i="16" s="1"/>
  <c r="I27" i="16"/>
  <c r="J27" i="16" s="1"/>
  <c r="E42" i="16"/>
  <c r="F42" i="16" s="1"/>
  <c r="G43" i="16"/>
  <c r="H43" i="16" s="1"/>
  <c r="E43" i="16"/>
  <c r="F43" i="16" s="1"/>
  <c r="O43" i="16"/>
  <c r="P43" i="16" s="1"/>
  <c r="EU333" i="5"/>
  <c r="EV333" i="5"/>
  <c r="EN333" i="5"/>
  <c r="EF333" i="5"/>
  <c r="BI333" i="5"/>
  <c r="EW333" i="5"/>
  <c r="EZ333" i="5"/>
  <c r="AY333" i="5"/>
  <c r="EY333" i="5"/>
  <c r="ES333" i="5"/>
  <c r="EK333" i="5"/>
  <c r="EI333" i="5"/>
  <c r="ER333" i="5"/>
  <c r="EH333" i="5"/>
  <c r="DY333" i="5"/>
  <c r="EG333" i="5"/>
  <c r="BK333" i="5"/>
  <c r="BJ333" i="5"/>
  <c r="EM333" i="5"/>
  <c r="EQ333" i="5"/>
  <c r="EX333" i="5"/>
  <c r="U333" i="5"/>
  <c r="AV333" i="5"/>
  <c r="EP333" i="5"/>
  <c r="ET333" i="5"/>
  <c r="BL333" i="5"/>
  <c r="EO333" i="5"/>
  <c r="DZ333" i="5"/>
  <c r="AZ333" i="5"/>
  <c r="EL333" i="5"/>
  <c r="EJ333" i="5"/>
  <c r="EA333" i="5"/>
  <c r="EB333" i="5"/>
  <c r="ED333" i="5"/>
  <c r="EE333" i="5"/>
  <c r="EC333" i="5"/>
  <c r="T333" i="5"/>
  <c r="AW333" i="5"/>
  <c r="AX333" i="5"/>
  <c r="BB333" i="5"/>
  <c r="AC333" i="5"/>
  <c r="BD333" i="5"/>
  <c r="BC333" i="5"/>
  <c r="AU333" i="5"/>
  <c r="V333" i="5"/>
  <c r="AB333" i="5"/>
  <c r="BA333" i="5"/>
  <c r="AK163" i="15" l="1"/>
  <c r="FC331" i="5"/>
  <c r="AK162" i="15" s="1"/>
  <c r="FB331" i="5"/>
  <c r="FA331" i="5"/>
  <c r="AK160" i="15" s="1"/>
  <c r="AJ163" i="15"/>
  <c r="FC326" i="5"/>
  <c r="AJ162" i="15" s="1"/>
  <c r="FB326" i="5"/>
  <c r="FA326" i="5"/>
  <c r="AJ160" i="15" s="1"/>
  <c r="AF163" i="15"/>
  <c r="AF162" i="15"/>
  <c r="AF160" i="15"/>
  <c r="AE163" i="15"/>
  <c r="AE162" i="15"/>
  <c r="AE160" i="15"/>
  <c r="AA162" i="15"/>
  <c r="AA160" i="15"/>
  <c r="Z162" i="15"/>
  <c r="Z160" i="15"/>
  <c r="FC196" i="5"/>
  <c r="V162" i="15" s="1"/>
  <c r="FB196" i="5"/>
  <c r="FA196" i="5"/>
  <c r="V160" i="15" s="1"/>
  <c r="FC191" i="5"/>
  <c r="U162" i="15" s="1"/>
  <c r="FB191" i="5"/>
  <c r="FA191" i="5"/>
  <c r="U160" i="15" s="1"/>
  <c r="FC178" i="5"/>
  <c r="T162" i="15" s="1"/>
  <c r="FC151" i="5"/>
  <c r="Q162" i="15" s="1"/>
  <c r="FB151" i="5"/>
  <c r="FA151" i="5"/>
  <c r="Q160" i="15" s="1"/>
  <c r="FC146" i="5"/>
  <c r="P162" i="15" s="1"/>
  <c r="FB146" i="5"/>
  <c r="FA146" i="5"/>
  <c r="P160" i="15" s="1"/>
  <c r="FC101" i="5"/>
  <c r="K162" i="15" s="1"/>
  <c r="FB101" i="5"/>
  <c r="FA101" i="5"/>
  <c r="K160" i="15" s="1"/>
  <c r="FC73" i="5"/>
  <c r="FE331" i="5" l="1"/>
  <c r="Q49" i="16"/>
  <c r="FE326" i="5"/>
  <c r="Q48" i="16"/>
  <c r="FE286" i="5"/>
  <c r="O49" i="16"/>
  <c r="P49" i="16" s="1"/>
  <c r="FE281" i="5"/>
  <c r="O48" i="16"/>
  <c r="P48" i="16" s="1"/>
  <c r="FE241" i="5"/>
  <c r="M49" i="16"/>
  <c r="N49" i="16" s="1"/>
  <c r="FE236" i="5"/>
  <c r="M48" i="16"/>
  <c r="N48" i="16" s="1"/>
  <c r="FE196" i="5"/>
  <c r="K49" i="16"/>
  <c r="L49" i="16" s="1"/>
  <c r="FE151" i="5"/>
  <c r="I49" i="16"/>
  <c r="J49" i="16" s="1"/>
  <c r="FE146" i="5"/>
  <c r="I48" i="16"/>
  <c r="J48" i="16" s="1"/>
  <c r="FE101" i="5"/>
  <c r="G48" i="16"/>
  <c r="H48" i="16" s="1"/>
  <c r="FE191" i="5"/>
  <c r="K48" i="16"/>
  <c r="L48" i="16" s="1"/>
  <c r="V161" i="15"/>
  <c r="AA161" i="15"/>
  <c r="U161" i="15"/>
  <c r="Z161" i="15"/>
  <c r="K161" i="15"/>
  <c r="Q161" i="15"/>
  <c r="P161" i="15"/>
  <c r="I162" i="15"/>
  <c r="P163" i="15"/>
  <c r="U163" i="15"/>
  <c r="Z163" i="15"/>
  <c r="AE161" i="15"/>
  <c r="AJ161" i="15"/>
  <c r="K163" i="15"/>
  <c r="Q163" i="15"/>
  <c r="V163" i="15"/>
  <c r="AA163" i="15"/>
  <c r="AF161" i="15"/>
  <c r="AK161" i="15"/>
  <c r="FB313" i="5"/>
  <c r="FC313" i="5"/>
  <c r="AI162" i="15" s="1"/>
  <c r="FC298" i="5"/>
  <c r="AD162" i="15"/>
  <c r="Y162" i="15"/>
  <c r="FC163" i="5"/>
  <c r="FC133" i="5"/>
  <c r="O162" i="15" s="1"/>
  <c r="FC118" i="5"/>
  <c r="FC88" i="5"/>
  <c r="J162" i="15" s="1"/>
  <c r="FB118" i="5"/>
  <c r="I46" i="16" s="1"/>
  <c r="J46" i="16" s="1"/>
  <c r="FB133" i="5"/>
  <c r="O161" i="15" s="1"/>
  <c r="FB163" i="5"/>
  <c r="K46" i="16" s="1"/>
  <c r="L46" i="16" s="1"/>
  <c r="O46" i="16"/>
  <c r="P46" i="16" s="1"/>
  <c r="FB178" i="5"/>
  <c r="FA163" i="5"/>
  <c r="FB73" i="5"/>
  <c r="G46" i="16" s="1"/>
  <c r="H46" i="16" s="1"/>
  <c r="FB88" i="5"/>
  <c r="FB298" i="5"/>
  <c r="Q46" i="16" s="1"/>
  <c r="Y160" i="15"/>
  <c r="AD160" i="15"/>
  <c r="FA298" i="5"/>
  <c r="FA133" i="5"/>
  <c r="O160" i="15" s="1"/>
  <c r="FA73" i="5"/>
  <c r="FA118" i="5"/>
  <c r="AI163" i="15"/>
  <c r="FA88" i="5"/>
  <c r="J160" i="15" s="1"/>
  <c r="FA313" i="5"/>
  <c r="AI160" i="15" s="1"/>
  <c r="FA178" i="5"/>
  <c r="T160" i="15" s="1"/>
  <c r="AD163" i="15"/>
  <c r="J161" i="15"/>
  <c r="B15" i="15"/>
  <c r="C15" i="6"/>
  <c r="CZ326" i="5"/>
  <c r="CZ313" i="5"/>
  <c r="CZ298" i="5"/>
  <c r="CZ196" i="5"/>
  <c r="CZ191" i="5"/>
  <c r="CZ178" i="5"/>
  <c r="CZ163" i="5"/>
  <c r="CZ151" i="5"/>
  <c r="CZ146" i="5"/>
  <c r="CZ133" i="5"/>
  <c r="CZ118" i="5"/>
  <c r="CZ101" i="5"/>
  <c r="CZ88" i="5"/>
  <c r="CZ73" i="5"/>
  <c r="CZ61" i="5"/>
  <c r="CZ56" i="5"/>
  <c r="CZ43" i="5"/>
  <c r="CZ28" i="5"/>
  <c r="DD331" i="5"/>
  <c r="DD326" i="5"/>
  <c r="DD313" i="5"/>
  <c r="DD298" i="5"/>
  <c r="DD196" i="5"/>
  <c r="DD191" i="5"/>
  <c r="DD178" i="5"/>
  <c r="DD163" i="5"/>
  <c r="DD151" i="5"/>
  <c r="DD146" i="5"/>
  <c r="DD133" i="5"/>
  <c r="DD118" i="5"/>
  <c r="BZ331" i="5"/>
  <c r="BY331" i="5"/>
  <c r="BZ326" i="5"/>
  <c r="BY326" i="5"/>
  <c r="BZ313" i="5"/>
  <c r="BY313" i="5"/>
  <c r="BZ298" i="5"/>
  <c r="BY298" i="5"/>
  <c r="BZ196" i="5"/>
  <c r="BY196" i="5"/>
  <c r="BZ191" i="5"/>
  <c r="BY191" i="5"/>
  <c r="BZ178" i="5"/>
  <c r="BY178" i="5"/>
  <c r="BZ163" i="5"/>
  <c r="BY163" i="5"/>
  <c r="BZ151" i="5"/>
  <c r="BY151" i="5"/>
  <c r="BZ146" i="5"/>
  <c r="BY146" i="5"/>
  <c r="BZ133" i="5"/>
  <c r="BY133" i="5"/>
  <c r="BZ118" i="5"/>
  <c r="BY118" i="5"/>
  <c r="BZ101" i="5"/>
  <c r="BY101" i="5"/>
  <c r="BZ88" i="5"/>
  <c r="BY88" i="5"/>
  <c r="BZ73" i="5"/>
  <c r="BY73" i="5"/>
  <c r="BZ61" i="5"/>
  <c r="BY61" i="5"/>
  <c r="BZ56" i="5"/>
  <c r="BY56" i="5"/>
  <c r="BZ43" i="5"/>
  <c r="BY43" i="5"/>
  <c r="BZ28" i="5"/>
  <c r="BY28" i="5"/>
  <c r="AG331" i="5"/>
  <c r="AG326" i="5"/>
  <c r="AG313" i="5"/>
  <c r="AG298" i="5"/>
  <c r="AG196" i="5"/>
  <c r="AG191" i="5"/>
  <c r="AG178" i="5"/>
  <c r="AG163" i="5"/>
  <c r="AG151" i="5"/>
  <c r="AG146" i="5"/>
  <c r="AG133" i="5"/>
  <c r="AG118" i="5"/>
  <c r="AG101" i="5"/>
  <c r="AG88" i="5"/>
  <c r="AG73" i="5"/>
  <c r="AG61" i="5"/>
  <c r="AG56" i="5"/>
  <c r="AG43" i="5"/>
  <c r="AG28" i="5"/>
  <c r="Y331" i="5"/>
  <c r="Y326" i="5"/>
  <c r="Y313" i="5"/>
  <c r="Y298" i="5"/>
  <c r="Y196" i="5"/>
  <c r="Y191" i="5"/>
  <c r="Y178" i="5"/>
  <c r="Y163" i="5"/>
  <c r="Y151" i="5"/>
  <c r="Y146" i="5"/>
  <c r="Y133" i="5"/>
  <c r="Y118" i="5"/>
  <c r="Y101" i="5"/>
  <c r="Y88" i="5"/>
  <c r="Y73" i="5"/>
  <c r="Y61" i="5"/>
  <c r="Y56" i="5"/>
  <c r="Y43" i="5"/>
  <c r="Y28" i="5"/>
  <c r="CQ331" i="5"/>
  <c r="CP331" i="5"/>
  <c r="CO331" i="5"/>
  <c r="CN331" i="5"/>
  <c r="CQ326" i="5"/>
  <c r="CP326" i="5"/>
  <c r="CO326" i="5"/>
  <c r="CN326" i="5"/>
  <c r="CQ313" i="5"/>
  <c r="CP313" i="5"/>
  <c r="CO313" i="5"/>
  <c r="CN313" i="5"/>
  <c r="CQ298" i="5"/>
  <c r="CP298" i="5"/>
  <c r="CO298" i="5"/>
  <c r="CN298" i="5"/>
  <c r="CQ196" i="5"/>
  <c r="CP196" i="5"/>
  <c r="CO196" i="5"/>
  <c r="CN196" i="5"/>
  <c r="CQ191" i="5"/>
  <c r="CP191" i="5"/>
  <c r="CO191" i="5"/>
  <c r="CN191" i="5"/>
  <c r="CQ178" i="5"/>
  <c r="CP178" i="5"/>
  <c r="CO178" i="5"/>
  <c r="CN178" i="5"/>
  <c r="CQ163" i="5"/>
  <c r="CP163" i="5"/>
  <c r="CO163" i="5"/>
  <c r="CN163" i="5"/>
  <c r="CQ151" i="5"/>
  <c r="CP151" i="5"/>
  <c r="CO151" i="5"/>
  <c r="CN151" i="5"/>
  <c r="CQ146" i="5"/>
  <c r="CP146" i="5"/>
  <c r="CO146" i="5"/>
  <c r="CN146" i="5"/>
  <c r="CQ133" i="5"/>
  <c r="CP133" i="5"/>
  <c r="CO133" i="5"/>
  <c r="CN133" i="5"/>
  <c r="CQ118" i="5"/>
  <c r="CP118" i="5"/>
  <c r="CO118" i="5"/>
  <c r="CN118" i="5"/>
  <c r="CQ101" i="5"/>
  <c r="CP101" i="5"/>
  <c r="CO101" i="5"/>
  <c r="CN101" i="5"/>
  <c r="CQ88" i="5"/>
  <c r="CP88" i="5"/>
  <c r="CO88" i="5"/>
  <c r="CN88" i="5"/>
  <c r="CQ73" i="5"/>
  <c r="CP73" i="5"/>
  <c r="CO73" i="5"/>
  <c r="CN73" i="5"/>
  <c r="CQ61" i="5"/>
  <c r="CP61" i="5"/>
  <c r="CO61" i="5"/>
  <c r="CN61" i="5"/>
  <c r="CQ56" i="5"/>
  <c r="CP56" i="5"/>
  <c r="CO56" i="5"/>
  <c r="CN56" i="5"/>
  <c r="CQ43" i="5"/>
  <c r="CP43" i="5"/>
  <c r="CO43" i="5"/>
  <c r="CN43" i="5"/>
  <c r="CQ28" i="5"/>
  <c r="CP28" i="5"/>
  <c r="CO28" i="5"/>
  <c r="CN28" i="5"/>
  <c r="AT8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E8" i="5"/>
  <c r="AD8" i="5"/>
  <c r="AA8" i="5"/>
  <c r="Z8" i="5"/>
  <c r="Y8" i="5"/>
  <c r="X8" i="5"/>
  <c r="W8" i="5"/>
  <c r="D149" i="6"/>
  <c r="D132" i="6"/>
  <c r="D135" i="6"/>
  <c r="D143" i="6"/>
  <c r="D67" i="6"/>
  <c r="D64" i="6"/>
  <c r="D159" i="6"/>
  <c r="D136" i="6"/>
  <c r="D139" i="6"/>
  <c r="D148" i="6"/>
  <c r="D146" i="6"/>
  <c r="D133" i="6"/>
  <c r="D57" i="6"/>
  <c r="D151" i="6"/>
  <c r="D157" i="6"/>
  <c r="D137" i="6"/>
  <c r="D142" i="6"/>
  <c r="D158" i="6"/>
  <c r="D156" i="6"/>
  <c r="D155" i="6"/>
  <c r="D59" i="6"/>
  <c r="D150" i="6"/>
  <c r="D56" i="6"/>
  <c r="D147" i="6"/>
  <c r="D66" i="6"/>
  <c r="D152" i="6"/>
  <c r="D138" i="6"/>
  <c r="D141" i="6"/>
  <c r="D65" i="6"/>
  <c r="D153" i="6"/>
  <c r="D58" i="6"/>
  <c r="D134" i="6"/>
  <c r="D52" i="6"/>
  <c r="D50" i="6"/>
  <c r="D140" i="6"/>
  <c r="D53" i="6"/>
  <c r="D54" i="6"/>
  <c r="D145" i="6"/>
  <c r="D144" i="6"/>
  <c r="D51" i="6"/>
  <c r="D55" i="6"/>
  <c r="D154" i="6"/>
  <c r="M46" i="16" l="1"/>
  <c r="N46" i="16" s="1"/>
  <c r="FE313" i="5"/>
  <c r="Q47" i="16"/>
  <c r="FE223" i="5"/>
  <c r="M47" i="16"/>
  <c r="N47" i="16" s="1"/>
  <c r="FE133" i="5"/>
  <c r="I47" i="16"/>
  <c r="J47" i="16" s="1"/>
  <c r="FE88" i="5"/>
  <c r="G47" i="16"/>
  <c r="H47" i="16" s="1"/>
  <c r="FE178" i="5"/>
  <c r="K47" i="16"/>
  <c r="L47" i="16" s="1"/>
  <c r="FE268" i="5"/>
  <c r="O47" i="16"/>
  <c r="P47" i="16" s="1"/>
  <c r="T161" i="15"/>
  <c r="M162" i="15"/>
  <c r="Y161" i="15"/>
  <c r="I161" i="15"/>
  <c r="M161" i="15" s="1"/>
  <c r="S161" i="15"/>
  <c r="AC160" i="15"/>
  <c r="AG160" i="15" s="1"/>
  <c r="FE208" i="5"/>
  <c r="N162" i="15"/>
  <c r="R162" i="15" s="1"/>
  <c r="X160" i="15"/>
  <c r="AB160" i="15" s="1"/>
  <c r="AH162" i="15"/>
  <c r="AL162" i="15" s="1"/>
  <c r="N161" i="15"/>
  <c r="R161" i="15" s="1"/>
  <c r="FE298" i="5"/>
  <c r="FE253" i="5"/>
  <c r="S162" i="15"/>
  <c r="W162" i="15" s="1"/>
  <c r="N160" i="15"/>
  <c r="R160" i="15" s="1"/>
  <c r="X162" i="15"/>
  <c r="AB162" i="15" s="1"/>
  <c r="AH163" i="15"/>
  <c r="AL163" i="15" s="1"/>
  <c r="I160" i="15"/>
  <c r="M160" i="15" s="1"/>
  <c r="FE163" i="5"/>
  <c r="AC163" i="15"/>
  <c r="AG163" i="15" s="1"/>
  <c r="FE73" i="5"/>
  <c r="AC162" i="15"/>
  <c r="AG162" i="15" s="1"/>
  <c r="X161" i="15"/>
  <c r="AH160" i="15"/>
  <c r="AL160" i="15" s="1"/>
  <c r="S160" i="15"/>
  <c r="W160" i="15" s="1"/>
  <c r="FE118" i="5"/>
  <c r="AI161" i="15"/>
  <c r="AH161" i="15"/>
  <c r="AC161" i="15"/>
  <c r="CQ152" i="5"/>
  <c r="AD161" i="15"/>
  <c r="CQ197" i="5"/>
  <c r="CQ332" i="5"/>
  <c r="AK9" i="5"/>
  <c r="AS9" i="5"/>
  <c r="AA9" i="5"/>
  <c r="AT9" i="5"/>
  <c r="Z9" i="5"/>
  <c r="AD9" i="5"/>
  <c r="AM9" i="5"/>
  <c r="AE9" i="5"/>
  <c r="AN9" i="5"/>
  <c r="AL9" i="5"/>
  <c r="AG9" i="5"/>
  <c r="AO9" i="5"/>
  <c r="W9" i="5"/>
  <c r="AH9" i="5"/>
  <c r="AP9" i="5"/>
  <c r="X9" i="5"/>
  <c r="AI9" i="5"/>
  <c r="AQ9" i="5"/>
  <c r="Y9" i="5"/>
  <c r="AJ9" i="5"/>
  <c r="AR9" i="5"/>
  <c r="N163" i="15"/>
  <c r="Y163" i="15"/>
  <c r="J163" i="15"/>
  <c r="X163" i="15"/>
  <c r="S163" i="15"/>
  <c r="I163" i="15"/>
  <c r="T163" i="15"/>
  <c r="O163" i="15"/>
  <c r="CP152" i="5"/>
  <c r="CP197" i="5"/>
  <c r="CN332" i="5"/>
  <c r="Y107" i="5"/>
  <c r="BY107" i="5"/>
  <c r="CZ107" i="5"/>
  <c r="BY332" i="5"/>
  <c r="CO62" i="5"/>
  <c r="CO107" i="5"/>
  <c r="BY197" i="5"/>
  <c r="BY152" i="5"/>
  <c r="Y152" i="5"/>
  <c r="Y332" i="5"/>
  <c r="BZ62" i="5"/>
  <c r="CZ152" i="5"/>
  <c r="Y62" i="5"/>
  <c r="CQ62" i="5"/>
  <c r="CQ107" i="5"/>
  <c r="CO152" i="5"/>
  <c r="CO197" i="5"/>
  <c r="CN62" i="5"/>
  <c r="D95" i="6" s="1"/>
  <c r="CN107" i="5"/>
  <c r="CN152" i="5"/>
  <c r="CN197" i="5"/>
  <c r="BY62" i="5"/>
  <c r="CO332" i="5"/>
  <c r="CZ62" i="5"/>
  <c r="D107" i="6" s="1"/>
  <c r="CP332" i="5"/>
  <c r="M40" i="16"/>
  <c r="N40" i="16" s="1"/>
  <c r="CP62" i="5"/>
  <c r="CP107" i="5"/>
  <c r="AG62" i="5"/>
  <c r="CZ197" i="5"/>
  <c r="DD332" i="5"/>
  <c r="BZ332" i="5"/>
  <c r="AG332" i="5"/>
  <c r="Q40" i="16" s="1"/>
  <c r="R40" i="16" s="1"/>
  <c r="O40" i="16"/>
  <c r="P40" i="16" s="1"/>
  <c r="DD197" i="5"/>
  <c r="BZ197" i="5"/>
  <c r="AG197" i="5"/>
  <c r="K40" i="16" s="1"/>
  <c r="L40" i="16" s="1"/>
  <c r="DD152" i="5"/>
  <c r="BZ152" i="5"/>
  <c r="AG152" i="5"/>
  <c r="I40" i="16" s="1"/>
  <c r="J40" i="16" s="1"/>
  <c r="AG107" i="5"/>
  <c r="G40" i="16" s="1"/>
  <c r="H40" i="16" s="1"/>
  <c r="BZ107" i="5"/>
  <c r="Y197" i="5"/>
  <c r="CZ331" i="5"/>
  <c r="D96" i="6"/>
  <c r="D23" i="6"/>
  <c r="D97" i="6"/>
  <c r="D32" i="6"/>
  <c r="D25" i="6"/>
  <c r="D98" i="6"/>
  <c r="D31" i="6"/>
  <c r="D24" i="6"/>
  <c r="D81" i="6"/>
  <c r="AB161" i="15" l="1"/>
  <c r="AB163" i="15"/>
  <c r="W161" i="15"/>
  <c r="E40" i="16"/>
  <c r="F40" i="16" s="1"/>
  <c r="AG161" i="15"/>
  <c r="R163" i="15"/>
  <c r="AL161" i="15"/>
  <c r="W163" i="15"/>
  <c r="M163" i="15"/>
  <c r="BY333" i="5"/>
  <c r="CP333" i="5"/>
  <c r="CO333" i="5"/>
  <c r="BZ333" i="5"/>
  <c r="CN333" i="5"/>
  <c r="CQ333" i="5"/>
  <c r="AG333" i="5"/>
  <c r="Y333" i="5"/>
  <c r="CZ332" i="5"/>
  <c r="CZ333" i="5" s="1"/>
  <c r="D36" i="6"/>
  <c r="D80" i="6"/>
  <c r="D28" i="6"/>
  <c r="E3" i="1" l="1"/>
  <c r="A14" i="15" l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B14" i="15"/>
  <c r="B13" i="15"/>
  <c r="DQ331" i="5" l="1"/>
  <c r="DP331" i="5"/>
  <c r="DO331" i="5"/>
  <c r="DN331" i="5"/>
  <c r="DM331" i="5"/>
  <c r="DL331" i="5"/>
  <c r="DK331" i="5"/>
  <c r="DJ331" i="5"/>
  <c r="DI331" i="5"/>
  <c r="DQ326" i="5"/>
  <c r="DP326" i="5"/>
  <c r="DO326" i="5"/>
  <c r="DN326" i="5"/>
  <c r="DM326" i="5"/>
  <c r="DL326" i="5"/>
  <c r="DK326" i="5"/>
  <c r="DJ326" i="5"/>
  <c r="DI326" i="5"/>
  <c r="DQ313" i="5"/>
  <c r="DP313" i="5"/>
  <c r="DO313" i="5"/>
  <c r="DN313" i="5"/>
  <c r="DM313" i="5"/>
  <c r="DL313" i="5"/>
  <c r="DK313" i="5"/>
  <c r="DJ313" i="5"/>
  <c r="DI313" i="5"/>
  <c r="DQ298" i="5"/>
  <c r="DP298" i="5"/>
  <c r="DO298" i="5"/>
  <c r="DN298" i="5"/>
  <c r="DM298" i="5"/>
  <c r="DL298" i="5"/>
  <c r="DK298" i="5"/>
  <c r="DJ298" i="5"/>
  <c r="DI298" i="5"/>
  <c r="DQ196" i="5"/>
  <c r="DP196" i="5"/>
  <c r="DO196" i="5"/>
  <c r="DN196" i="5"/>
  <c r="DM196" i="5"/>
  <c r="DL196" i="5"/>
  <c r="DK196" i="5"/>
  <c r="DJ196" i="5"/>
  <c r="DI196" i="5"/>
  <c r="DQ191" i="5"/>
  <c r="DP191" i="5"/>
  <c r="DO191" i="5"/>
  <c r="DN191" i="5"/>
  <c r="DM191" i="5"/>
  <c r="DL191" i="5"/>
  <c r="DK191" i="5"/>
  <c r="DJ191" i="5"/>
  <c r="DI191" i="5"/>
  <c r="DQ178" i="5"/>
  <c r="DP178" i="5"/>
  <c r="DO178" i="5"/>
  <c r="DN178" i="5"/>
  <c r="DM178" i="5"/>
  <c r="DL178" i="5"/>
  <c r="DK178" i="5"/>
  <c r="DJ178" i="5"/>
  <c r="DI178" i="5"/>
  <c r="DQ163" i="5"/>
  <c r="DP163" i="5"/>
  <c r="DO163" i="5"/>
  <c r="DN163" i="5"/>
  <c r="DM163" i="5"/>
  <c r="DL163" i="5"/>
  <c r="DK163" i="5"/>
  <c r="DJ163" i="5"/>
  <c r="DI163" i="5"/>
  <c r="DQ151" i="5"/>
  <c r="DP151" i="5"/>
  <c r="DO151" i="5"/>
  <c r="DN151" i="5"/>
  <c r="DM151" i="5"/>
  <c r="DL151" i="5"/>
  <c r="DK151" i="5"/>
  <c r="DJ151" i="5"/>
  <c r="DI151" i="5"/>
  <c r="DQ146" i="5"/>
  <c r="DP146" i="5"/>
  <c r="DO146" i="5"/>
  <c r="DN146" i="5"/>
  <c r="DM146" i="5"/>
  <c r="DL146" i="5"/>
  <c r="DK146" i="5"/>
  <c r="DJ146" i="5"/>
  <c r="DI146" i="5"/>
  <c r="DQ133" i="5"/>
  <c r="DP133" i="5"/>
  <c r="DO133" i="5"/>
  <c r="DN133" i="5"/>
  <c r="DM133" i="5"/>
  <c r="DL133" i="5"/>
  <c r="DK133" i="5"/>
  <c r="DJ133" i="5"/>
  <c r="DI133" i="5"/>
  <c r="DQ118" i="5"/>
  <c r="DP118" i="5"/>
  <c r="DO118" i="5"/>
  <c r="DN118" i="5"/>
  <c r="DM118" i="5"/>
  <c r="DL118" i="5"/>
  <c r="DK118" i="5"/>
  <c r="DJ118" i="5"/>
  <c r="DI118" i="5"/>
  <c r="DQ101" i="5"/>
  <c r="DP101" i="5"/>
  <c r="DO101" i="5"/>
  <c r="DN101" i="5"/>
  <c r="DM101" i="5"/>
  <c r="DL101" i="5"/>
  <c r="DK101" i="5"/>
  <c r="DJ101" i="5"/>
  <c r="DI101" i="5"/>
  <c r="DQ88" i="5"/>
  <c r="DP88" i="5"/>
  <c r="DO88" i="5"/>
  <c r="DN88" i="5"/>
  <c r="DM88" i="5"/>
  <c r="DL88" i="5"/>
  <c r="DK88" i="5"/>
  <c r="DJ88" i="5"/>
  <c r="DI88" i="5"/>
  <c r="DQ73" i="5"/>
  <c r="DP73" i="5"/>
  <c r="DO73" i="5"/>
  <c r="DN73" i="5"/>
  <c r="DM73" i="5"/>
  <c r="DL73" i="5"/>
  <c r="DK73" i="5"/>
  <c r="DJ73" i="5"/>
  <c r="DI73" i="5"/>
  <c r="DQ61" i="5"/>
  <c r="DP61" i="5"/>
  <c r="DO61" i="5"/>
  <c r="DN61" i="5"/>
  <c r="DM61" i="5"/>
  <c r="DL61" i="5"/>
  <c r="DK61" i="5"/>
  <c r="DJ61" i="5"/>
  <c r="DI61" i="5"/>
  <c r="DQ56" i="5"/>
  <c r="DP56" i="5"/>
  <c r="DO56" i="5"/>
  <c r="DN56" i="5"/>
  <c r="DM56" i="5"/>
  <c r="DL56" i="5"/>
  <c r="DK56" i="5"/>
  <c r="DJ56" i="5"/>
  <c r="DI56" i="5"/>
  <c r="DQ43" i="5"/>
  <c r="DP43" i="5"/>
  <c r="DO43" i="5"/>
  <c r="DN43" i="5"/>
  <c r="DM43" i="5"/>
  <c r="DL43" i="5"/>
  <c r="DK43" i="5"/>
  <c r="DJ43" i="5"/>
  <c r="DI43" i="5"/>
  <c r="DQ28" i="5"/>
  <c r="DP28" i="5"/>
  <c r="DO28" i="5"/>
  <c r="DN28" i="5"/>
  <c r="DM28" i="5"/>
  <c r="DL28" i="5"/>
  <c r="DK28" i="5"/>
  <c r="DJ28" i="5"/>
  <c r="DI28" i="5"/>
  <c r="DE331" i="5"/>
  <c r="DC331" i="5"/>
  <c r="DB331" i="5"/>
  <c r="DA331" i="5"/>
  <c r="CY331" i="5"/>
  <c r="CX331" i="5"/>
  <c r="CW331" i="5"/>
  <c r="CV331" i="5"/>
  <c r="DE326" i="5"/>
  <c r="DC326" i="5"/>
  <c r="DB326" i="5"/>
  <c r="DA326" i="5"/>
  <c r="CY326" i="5"/>
  <c r="CX326" i="5"/>
  <c r="CW326" i="5"/>
  <c r="CV326" i="5"/>
  <c r="DE313" i="5"/>
  <c r="DC313" i="5"/>
  <c r="DB313" i="5"/>
  <c r="DA313" i="5"/>
  <c r="CY313" i="5"/>
  <c r="CX313" i="5"/>
  <c r="CW313" i="5"/>
  <c r="CV313" i="5"/>
  <c r="DE298" i="5"/>
  <c r="DC298" i="5"/>
  <c r="DB298" i="5"/>
  <c r="DA298" i="5"/>
  <c r="CY298" i="5"/>
  <c r="CX298" i="5"/>
  <c r="CW298" i="5"/>
  <c r="CV298" i="5"/>
  <c r="DE196" i="5"/>
  <c r="DC196" i="5"/>
  <c r="DB196" i="5"/>
  <c r="DA196" i="5"/>
  <c r="CY196" i="5"/>
  <c r="CX196" i="5"/>
  <c r="CW196" i="5"/>
  <c r="CV196" i="5"/>
  <c r="DE191" i="5"/>
  <c r="DC191" i="5"/>
  <c r="DB191" i="5"/>
  <c r="DA191" i="5"/>
  <c r="CY191" i="5"/>
  <c r="CX191" i="5"/>
  <c r="CW191" i="5"/>
  <c r="CV191" i="5"/>
  <c r="DE178" i="5"/>
  <c r="DC178" i="5"/>
  <c r="DB178" i="5"/>
  <c r="DA178" i="5"/>
  <c r="CY178" i="5"/>
  <c r="CX178" i="5"/>
  <c r="CW178" i="5"/>
  <c r="CV178" i="5"/>
  <c r="DE163" i="5"/>
  <c r="DC163" i="5"/>
  <c r="DB163" i="5"/>
  <c r="DA163" i="5"/>
  <c r="CY163" i="5"/>
  <c r="CX163" i="5"/>
  <c r="CW163" i="5"/>
  <c r="CV163" i="5"/>
  <c r="DE151" i="5"/>
  <c r="DC151" i="5"/>
  <c r="DB151" i="5"/>
  <c r="DA151" i="5"/>
  <c r="CY151" i="5"/>
  <c r="CX151" i="5"/>
  <c r="CW151" i="5"/>
  <c r="CV151" i="5"/>
  <c r="DE146" i="5"/>
  <c r="DC146" i="5"/>
  <c r="DB146" i="5"/>
  <c r="DA146" i="5"/>
  <c r="CY146" i="5"/>
  <c r="CX146" i="5"/>
  <c r="CW146" i="5"/>
  <c r="CV146" i="5"/>
  <c r="DE133" i="5"/>
  <c r="DC133" i="5"/>
  <c r="DB133" i="5"/>
  <c r="DA133" i="5"/>
  <c r="CY133" i="5"/>
  <c r="CX133" i="5"/>
  <c r="CW133" i="5"/>
  <c r="CV133" i="5"/>
  <c r="DE118" i="5"/>
  <c r="DC118" i="5"/>
  <c r="DB118" i="5"/>
  <c r="DA118" i="5"/>
  <c r="CY118" i="5"/>
  <c r="CX118" i="5"/>
  <c r="CW118" i="5"/>
  <c r="CV118" i="5"/>
  <c r="DE101" i="5"/>
  <c r="DD101" i="5"/>
  <c r="DC101" i="5"/>
  <c r="DB101" i="5"/>
  <c r="DA101" i="5"/>
  <c r="CY101" i="5"/>
  <c r="CX101" i="5"/>
  <c r="CW101" i="5"/>
  <c r="CV101" i="5"/>
  <c r="DE88" i="5"/>
  <c r="DD88" i="5"/>
  <c r="DC88" i="5"/>
  <c r="DB88" i="5"/>
  <c r="DA88" i="5"/>
  <c r="CY88" i="5"/>
  <c r="CX88" i="5"/>
  <c r="CW88" i="5"/>
  <c r="CV88" i="5"/>
  <c r="DE73" i="5"/>
  <c r="DD73" i="5"/>
  <c r="DC73" i="5"/>
  <c r="DB73" i="5"/>
  <c r="DA73" i="5"/>
  <c r="CY73" i="5"/>
  <c r="CX73" i="5"/>
  <c r="CW73" i="5"/>
  <c r="CV73" i="5"/>
  <c r="DE61" i="5"/>
  <c r="DD61" i="5"/>
  <c r="DC61" i="5"/>
  <c r="DB61" i="5"/>
  <c r="DA61" i="5"/>
  <c r="CY61" i="5"/>
  <c r="CX61" i="5"/>
  <c r="CW61" i="5"/>
  <c r="CV61" i="5"/>
  <c r="DE56" i="5"/>
  <c r="DD56" i="5"/>
  <c r="DC56" i="5"/>
  <c r="DB56" i="5"/>
  <c r="DA56" i="5"/>
  <c r="CY56" i="5"/>
  <c r="CX56" i="5"/>
  <c r="CW56" i="5"/>
  <c r="CV56" i="5"/>
  <c r="DE43" i="5"/>
  <c r="DD43" i="5"/>
  <c r="DC43" i="5"/>
  <c r="DB43" i="5"/>
  <c r="DA43" i="5"/>
  <c r="CY43" i="5"/>
  <c r="CX43" i="5"/>
  <c r="CW43" i="5"/>
  <c r="CV43" i="5"/>
  <c r="DE28" i="5"/>
  <c r="DD28" i="5"/>
  <c r="DC28" i="5"/>
  <c r="DB28" i="5"/>
  <c r="DA28" i="5"/>
  <c r="CY28" i="5"/>
  <c r="CX28" i="5"/>
  <c r="CW28" i="5"/>
  <c r="CV28" i="5"/>
  <c r="BX331" i="5"/>
  <c r="BW331" i="5"/>
  <c r="BV331" i="5"/>
  <c r="BX326" i="5"/>
  <c r="BW326" i="5"/>
  <c r="BV326" i="5"/>
  <c r="BX313" i="5"/>
  <c r="BW313" i="5"/>
  <c r="BV313" i="5"/>
  <c r="BX298" i="5"/>
  <c r="BW298" i="5"/>
  <c r="BV298" i="5"/>
  <c r="BX196" i="5"/>
  <c r="BW196" i="5"/>
  <c r="BV196" i="5"/>
  <c r="BX191" i="5"/>
  <c r="BW191" i="5"/>
  <c r="BV191" i="5"/>
  <c r="BX178" i="5"/>
  <c r="BW178" i="5"/>
  <c r="BV178" i="5"/>
  <c r="BX163" i="5"/>
  <c r="BW163" i="5"/>
  <c r="BV163" i="5"/>
  <c r="BX151" i="5"/>
  <c r="BW151" i="5"/>
  <c r="BV151" i="5"/>
  <c r="BX146" i="5"/>
  <c r="BW146" i="5"/>
  <c r="BV146" i="5"/>
  <c r="BX133" i="5"/>
  <c r="BW133" i="5"/>
  <c r="BV133" i="5"/>
  <c r="BX118" i="5"/>
  <c r="BW118" i="5"/>
  <c r="BV118" i="5"/>
  <c r="BX101" i="5"/>
  <c r="BW101" i="5"/>
  <c r="BV101" i="5"/>
  <c r="BX88" i="5"/>
  <c r="BW88" i="5"/>
  <c r="BV88" i="5"/>
  <c r="BX73" i="5"/>
  <c r="BW73" i="5"/>
  <c r="BV73" i="5"/>
  <c r="BX61" i="5"/>
  <c r="BW61" i="5"/>
  <c r="BV61" i="5"/>
  <c r="BX56" i="5"/>
  <c r="BW56" i="5"/>
  <c r="BV56" i="5"/>
  <c r="BX43" i="5"/>
  <c r="BW43" i="5"/>
  <c r="BV43" i="5"/>
  <c r="BX28" i="5"/>
  <c r="BW28" i="5"/>
  <c r="BV28" i="5"/>
  <c r="BQ331" i="5"/>
  <c r="BQ326" i="5"/>
  <c r="BQ313" i="5"/>
  <c r="BQ298" i="5"/>
  <c r="BQ196" i="5"/>
  <c r="BQ191" i="5"/>
  <c r="BQ178" i="5"/>
  <c r="BQ163" i="5"/>
  <c r="BQ151" i="5"/>
  <c r="BQ146" i="5"/>
  <c r="BQ133" i="5"/>
  <c r="BQ118" i="5"/>
  <c r="BQ101" i="5"/>
  <c r="BQ88" i="5"/>
  <c r="BQ73" i="5"/>
  <c r="BQ61" i="5"/>
  <c r="BQ56" i="5"/>
  <c r="BQ43" i="5"/>
  <c r="BQ28" i="5"/>
  <c r="BU331" i="5"/>
  <c r="BT331" i="5"/>
  <c r="BS331" i="5"/>
  <c r="BR331" i="5"/>
  <c r="BP331" i="5"/>
  <c r="BO331" i="5"/>
  <c r="BN331" i="5"/>
  <c r="BM331" i="5"/>
  <c r="BH331" i="5"/>
  <c r="BG331" i="5"/>
  <c r="BF331" i="5"/>
  <c r="BE331" i="5"/>
  <c r="BU326" i="5"/>
  <c r="BT326" i="5"/>
  <c r="BS326" i="5"/>
  <c r="BR326" i="5"/>
  <c r="BP326" i="5"/>
  <c r="BO326" i="5"/>
  <c r="BN326" i="5"/>
  <c r="BM326" i="5"/>
  <c r="BH326" i="5"/>
  <c r="BG326" i="5"/>
  <c r="BF326" i="5"/>
  <c r="BE326" i="5"/>
  <c r="BU313" i="5"/>
  <c r="BT313" i="5"/>
  <c r="BS313" i="5"/>
  <c r="BR313" i="5"/>
  <c r="BP313" i="5"/>
  <c r="BO313" i="5"/>
  <c r="BN313" i="5"/>
  <c r="BM313" i="5"/>
  <c r="BH313" i="5"/>
  <c r="BG313" i="5"/>
  <c r="BF313" i="5"/>
  <c r="BE313" i="5"/>
  <c r="BU298" i="5"/>
  <c r="BT298" i="5"/>
  <c r="BS298" i="5"/>
  <c r="BR298" i="5"/>
  <c r="BP298" i="5"/>
  <c r="BO298" i="5"/>
  <c r="BN298" i="5"/>
  <c r="BM298" i="5"/>
  <c r="BH298" i="5"/>
  <c r="BG298" i="5"/>
  <c r="BF298" i="5"/>
  <c r="BE298" i="5"/>
  <c r="BU196" i="5"/>
  <c r="BT196" i="5"/>
  <c r="BS196" i="5"/>
  <c r="BR196" i="5"/>
  <c r="BP196" i="5"/>
  <c r="BO196" i="5"/>
  <c r="BN196" i="5"/>
  <c r="BM196" i="5"/>
  <c r="BH196" i="5"/>
  <c r="BG196" i="5"/>
  <c r="BF196" i="5"/>
  <c r="BE196" i="5"/>
  <c r="BU191" i="5"/>
  <c r="BT191" i="5"/>
  <c r="BS191" i="5"/>
  <c r="BR191" i="5"/>
  <c r="BP191" i="5"/>
  <c r="BO191" i="5"/>
  <c r="BN191" i="5"/>
  <c r="BM191" i="5"/>
  <c r="BH191" i="5"/>
  <c r="BG191" i="5"/>
  <c r="BF191" i="5"/>
  <c r="BE191" i="5"/>
  <c r="BU178" i="5"/>
  <c r="BT178" i="5"/>
  <c r="BS178" i="5"/>
  <c r="BR178" i="5"/>
  <c r="BP178" i="5"/>
  <c r="BO178" i="5"/>
  <c r="BN178" i="5"/>
  <c r="BM178" i="5"/>
  <c r="BH178" i="5"/>
  <c r="BG178" i="5"/>
  <c r="BF178" i="5"/>
  <c r="BE178" i="5"/>
  <c r="BU163" i="5"/>
  <c r="BT163" i="5"/>
  <c r="BS163" i="5"/>
  <c r="BR163" i="5"/>
  <c r="BP163" i="5"/>
  <c r="BO163" i="5"/>
  <c r="BN163" i="5"/>
  <c r="BM163" i="5"/>
  <c r="BH163" i="5"/>
  <c r="BG163" i="5"/>
  <c r="BF163" i="5"/>
  <c r="BE163" i="5"/>
  <c r="BU151" i="5"/>
  <c r="BT151" i="5"/>
  <c r="BS151" i="5"/>
  <c r="BR151" i="5"/>
  <c r="BP151" i="5"/>
  <c r="BO151" i="5"/>
  <c r="BN151" i="5"/>
  <c r="BM151" i="5"/>
  <c r="BH151" i="5"/>
  <c r="BG151" i="5"/>
  <c r="BF151" i="5"/>
  <c r="BE151" i="5"/>
  <c r="BU146" i="5"/>
  <c r="BT146" i="5"/>
  <c r="BS146" i="5"/>
  <c r="BR146" i="5"/>
  <c r="BP146" i="5"/>
  <c r="BO146" i="5"/>
  <c r="BN146" i="5"/>
  <c r="BM146" i="5"/>
  <c r="BH146" i="5"/>
  <c r="BG146" i="5"/>
  <c r="BF146" i="5"/>
  <c r="BE146" i="5"/>
  <c r="BU133" i="5"/>
  <c r="BT133" i="5"/>
  <c r="BS133" i="5"/>
  <c r="BR133" i="5"/>
  <c r="BP133" i="5"/>
  <c r="BO133" i="5"/>
  <c r="BN133" i="5"/>
  <c r="BM133" i="5"/>
  <c r="BH133" i="5"/>
  <c r="BG133" i="5"/>
  <c r="BF133" i="5"/>
  <c r="BE133" i="5"/>
  <c r="BU118" i="5"/>
  <c r="BT118" i="5"/>
  <c r="BS118" i="5"/>
  <c r="BR118" i="5"/>
  <c r="BP118" i="5"/>
  <c r="BO118" i="5"/>
  <c r="BN118" i="5"/>
  <c r="BM118" i="5"/>
  <c r="BH118" i="5"/>
  <c r="BG118" i="5"/>
  <c r="BF118" i="5"/>
  <c r="BE118" i="5"/>
  <c r="BU101" i="5"/>
  <c r="BT101" i="5"/>
  <c r="BS101" i="5"/>
  <c r="BR101" i="5"/>
  <c r="BP101" i="5"/>
  <c r="BO101" i="5"/>
  <c r="BN101" i="5"/>
  <c r="BM101" i="5"/>
  <c r="BH101" i="5"/>
  <c r="BG101" i="5"/>
  <c r="BF101" i="5"/>
  <c r="BE101" i="5"/>
  <c r="BU88" i="5"/>
  <c r="BT88" i="5"/>
  <c r="BS88" i="5"/>
  <c r="BR88" i="5"/>
  <c r="BP88" i="5"/>
  <c r="BO88" i="5"/>
  <c r="BN88" i="5"/>
  <c r="BM88" i="5"/>
  <c r="BH88" i="5"/>
  <c r="BG88" i="5"/>
  <c r="BF88" i="5"/>
  <c r="BE88" i="5"/>
  <c r="BU73" i="5"/>
  <c r="BT73" i="5"/>
  <c r="BS73" i="5"/>
  <c r="BR73" i="5"/>
  <c r="BP73" i="5"/>
  <c r="BO73" i="5"/>
  <c r="BN73" i="5"/>
  <c r="BM73" i="5"/>
  <c r="BH73" i="5"/>
  <c r="BG73" i="5"/>
  <c r="BF73" i="5"/>
  <c r="BE73" i="5"/>
  <c r="BU61" i="5"/>
  <c r="BT61" i="5"/>
  <c r="BS61" i="5"/>
  <c r="BR61" i="5"/>
  <c r="BP61" i="5"/>
  <c r="BO61" i="5"/>
  <c r="BN61" i="5"/>
  <c r="BM61" i="5"/>
  <c r="BH61" i="5"/>
  <c r="BG61" i="5"/>
  <c r="BF61" i="5"/>
  <c r="BE61" i="5"/>
  <c r="BU56" i="5"/>
  <c r="BT56" i="5"/>
  <c r="BS56" i="5"/>
  <c r="BR56" i="5"/>
  <c r="BP56" i="5"/>
  <c r="BO56" i="5"/>
  <c r="BN56" i="5"/>
  <c r="BM56" i="5"/>
  <c r="BH56" i="5"/>
  <c r="BG56" i="5"/>
  <c r="BF56" i="5"/>
  <c r="BE56" i="5"/>
  <c r="BU43" i="5"/>
  <c r="BT43" i="5"/>
  <c r="BS43" i="5"/>
  <c r="BR43" i="5"/>
  <c r="BP43" i="5"/>
  <c r="BO43" i="5"/>
  <c r="BN43" i="5"/>
  <c r="BM43" i="5"/>
  <c r="BH43" i="5"/>
  <c r="BG43" i="5"/>
  <c r="BF43" i="5"/>
  <c r="BE43" i="5"/>
  <c r="BU28" i="5"/>
  <c r="BT28" i="5"/>
  <c r="BS28" i="5"/>
  <c r="BR28" i="5"/>
  <c r="BP28" i="5"/>
  <c r="BO28" i="5"/>
  <c r="BN28" i="5"/>
  <c r="BM28" i="5"/>
  <c r="BH28" i="5"/>
  <c r="BG28" i="5"/>
  <c r="BF28" i="5"/>
  <c r="BE28" i="5"/>
  <c r="AS331" i="5"/>
  <c r="AS326" i="5"/>
  <c r="AS313" i="5"/>
  <c r="AS298" i="5"/>
  <c r="AS196" i="5"/>
  <c r="AS191" i="5"/>
  <c r="AS178" i="5"/>
  <c r="AS163" i="5"/>
  <c r="AS151" i="5"/>
  <c r="AS146" i="5"/>
  <c r="AS133" i="5"/>
  <c r="AS118" i="5"/>
  <c r="AS101" i="5"/>
  <c r="AS88" i="5"/>
  <c r="AS73" i="5"/>
  <c r="AS61" i="5"/>
  <c r="AS56" i="5"/>
  <c r="AS43" i="5"/>
  <c r="AS28" i="5"/>
  <c r="DB107" i="5" l="1"/>
  <c r="DK107" i="5"/>
  <c r="DO62" i="5"/>
  <c r="DL197" i="5"/>
  <c r="DP332" i="5"/>
  <c r="Q24" i="16" s="1"/>
  <c r="R24" i="16" s="1"/>
  <c r="DL107" i="5"/>
  <c r="BV197" i="5"/>
  <c r="DO332" i="5"/>
  <c r="DM332" i="5"/>
  <c r="AS107" i="5"/>
  <c r="DK332" i="5"/>
  <c r="DC62" i="5"/>
  <c r="CW332" i="5"/>
  <c r="DJ107" i="5"/>
  <c r="BN197" i="5"/>
  <c r="K20" i="16" s="1"/>
  <c r="L20" i="16" s="1"/>
  <c r="DI152" i="5"/>
  <c r="M25" i="16"/>
  <c r="N25" i="16" s="1"/>
  <c r="DQ332" i="5"/>
  <c r="Q25" i="16" s="1"/>
  <c r="R25" i="16" s="1"/>
  <c r="BN152" i="5"/>
  <c r="I20" i="16" s="1"/>
  <c r="J20" i="16" s="1"/>
  <c r="BX62" i="5"/>
  <c r="D79" i="6" s="1"/>
  <c r="BE152" i="5"/>
  <c r="I21" i="16" s="1"/>
  <c r="J21" i="16" s="1"/>
  <c r="BR152" i="5"/>
  <c r="DP107" i="5"/>
  <c r="G24" i="16" s="1"/>
  <c r="H24" i="16" s="1"/>
  <c r="CV152" i="5"/>
  <c r="DJ197" i="5"/>
  <c r="M23" i="16"/>
  <c r="N23" i="16" s="1"/>
  <c r="DK197" i="5"/>
  <c r="CV197" i="5"/>
  <c r="DE197" i="5"/>
  <c r="BE197" i="5"/>
  <c r="K21" i="16" s="1"/>
  <c r="L21" i="16" s="1"/>
  <c r="DB152" i="5"/>
  <c r="BE332" i="5"/>
  <c r="Q21" i="16" s="1"/>
  <c r="R21" i="16" s="1"/>
  <c r="BR332" i="5"/>
  <c r="BH332" i="5"/>
  <c r="Q22" i="16" s="1"/>
  <c r="R22" i="16" s="1"/>
  <c r="DE332" i="5"/>
  <c r="CX332" i="5"/>
  <c r="BN332" i="5"/>
  <c r="Q20" i="16" s="1"/>
  <c r="R20" i="16" s="1"/>
  <c r="BS332" i="5"/>
  <c r="DB332" i="5"/>
  <c r="DC332" i="5"/>
  <c r="AS332" i="5"/>
  <c r="BX332" i="5"/>
  <c r="O24" i="16"/>
  <c r="P24" i="16" s="1"/>
  <c r="O21" i="16"/>
  <c r="P21" i="16" s="1"/>
  <c r="O20" i="16"/>
  <c r="P20" i="16" s="1"/>
  <c r="O23" i="16"/>
  <c r="P23" i="16" s="1"/>
  <c r="M22" i="16"/>
  <c r="N22" i="16" s="1"/>
  <c r="M20" i="16"/>
  <c r="N20" i="16" s="1"/>
  <c r="M24" i="16"/>
  <c r="N24" i="16" s="1"/>
  <c r="AS197" i="5"/>
  <c r="BF197" i="5"/>
  <c r="BW197" i="5"/>
  <c r="BS197" i="5"/>
  <c r="CX197" i="5"/>
  <c r="DN197" i="5"/>
  <c r="K23" i="16" s="1"/>
  <c r="L23" i="16" s="1"/>
  <c r="BQ197" i="5"/>
  <c r="BH197" i="5"/>
  <c r="K22" i="16" s="1"/>
  <c r="L22" i="16" s="1"/>
  <c r="BO197" i="5"/>
  <c r="K19" i="16" s="1"/>
  <c r="L19" i="16" s="1"/>
  <c r="AS152" i="5"/>
  <c r="DE152" i="5"/>
  <c r="BF152" i="5"/>
  <c r="BQ152" i="5"/>
  <c r="DN152" i="5"/>
  <c r="I23" i="16" s="1"/>
  <c r="J23" i="16" s="1"/>
  <c r="DO152" i="5"/>
  <c r="BX152" i="5"/>
  <c r="DC107" i="5"/>
  <c r="DI107" i="5"/>
  <c r="DQ107" i="5"/>
  <c r="G25" i="16" s="1"/>
  <c r="H25" i="16" s="1"/>
  <c r="BR107" i="5"/>
  <c r="BN107" i="5"/>
  <c r="G20" i="16" s="1"/>
  <c r="H20" i="16" s="1"/>
  <c r="BE107" i="5"/>
  <c r="G21" i="16" s="1"/>
  <c r="H21" i="16" s="1"/>
  <c r="BP107" i="5"/>
  <c r="BT107" i="5"/>
  <c r="DD107" i="5"/>
  <c r="CX107" i="5"/>
  <c r="BO107" i="5"/>
  <c r="G19" i="16" s="1"/>
  <c r="H19" i="16" s="1"/>
  <c r="DO107" i="5"/>
  <c r="CV62" i="5"/>
  <c r="CW62" i="5"/>
  <c r="DL62" i="5"/>
  <c r="D119" i="6" s="1"/>
  <c r="CX62" i="5"/>
  <c r="DM62" i="5"/>
  <c r="DN62" i="5"/>
  <c r="BW62" i="5"/>
  <c r="D78" i="6" s="1"/>
  <c r="BF62" i="5"/>
  <c r="BP62" i="5"/>
  <c r="AS62" i="5"/>
  <c r="BV62" i="5"/>
  <c r="D77" i="6" s="1"/>
  <c r="DE62" i="5"/>
  <c r="DP62" i="5"/>
  <c r="BG197" i="5"/>
  <c r="BT197" i="5"/>
  <c r="BU197" i="5"/>
  <c r="BM197" i="5"/>
  <c r="BX197" i="5"/>
  <c r="CY197" i="5"/>
  <c r="DA197" i="5"/>
  <c r="CW197" i="5"/>
  <c r="DM197" i="5"/>
  <c r="DB197" i="5"/>
  <c r="DO197" i="5"/>
  <c r="BP197" i="5"/>
  <c r="DC197" i="5"/>
  <c r="BR197" i="5"/>
  <c r="DI197" i="5"/>
  <c r="DQ197" i="5"/>
  <c r="K25" i="16" s="1"/>
  <c r="L25" i="16" s="1"/>
  <c r="DP197" i="5"/>
  <c r="K24" i="16" s="1"/>
  <c r="L24" i="16" s="1"/>
  <c r="M19" i="16"/>
  <c r="N19" i="16" s="1"/>
  <c r="M21" i="16"/>
  <c r="N21" i="16" s="1"/>
  <c r="O22" i="16"/>
  <c r="P22" i="16" s="1"/>
  <c r="O19" i="16"/>
  <c r="P19" i="16" s="1"/>
  <c r="O25" i="16"/>
  <c r="P25" i="16" s="1"/>
  <c r="BT332" i="5"/>
  <c r="BQ332" i="5"/>
  <c r="DN332" i="5"/>
  <c r="Q23" i="16" s="1"/>
  <c r="R23" i="16" s="1"/>
  <c r="BF332" i="5"/>
  <c r="BG332" i="5"/>
  <c r="BM332" i="5"/>
  <c r="CV332" i="5"/>
  <c r="BV332" i="5"/>
  <c r="DJ332" i="5"/>
  <c r="DI332" i="5"/>
  <c r="BO332" i="5"/>
  <c r="Q19" i="16" s="1"/>
  <c r="R19" i="16" s="1"/>
  <c r="BW332" i="5"/>
  <c r="CY332" i="5"/>
  <c r="BU332" i="5"/>
  <c r="BP332" i="5"/>
  <c r="DA332" i="5"/>
  <c r="DL332" i="5"/>
  <c r="BS152" i="5"/>
  <c r="DA152" i="5"/>
  <c r="BG152" i="5"/>
  <c r="BT152" i="5"/>
  <c r="DK152" i="5"/>
  <c r="DJ152" i="5"/>
  <c r="BH152" i="5"/>
  <c r="I22" i="16" s="1"/>
  <c r="J22" i="16" s="1"/>
  <c r="DL152" i="5"/>
  <c r="BU152" i="5"/>
  <c r="BM152" i="5"/>
  <c r="CW152" i="5"/>
  <c r="DC152" i="5"/>
  <c r="DM152" i="5"/>
  <c r="BO152" i="5"/>
  <c r="I19" i="16" s="1"/>
  <c r="J19" i="16" s="1"/>
  <c r="BV152" i="5"/>
  <c r="CX152" i="5"/>
  <c r="BP152" i="5"/>
  <c r="BW152" i="5"/>
  <c r="CY152" i="5"/>
  <c r="DQ152" i="5"/>
  <c r="I25" i="16" s="1"/>
  <c r="J25" i="16" s="1"/>
  <c r="DP152" i="5"/>
  <c r="I24" i="16" s="1"/>
  <c r="J24" i="16" s="1"/>
  <c r="DN107" i="5"/>
  <c r="G23" i="16" s="1"/>
  <c r="H23" i="16" s="1"/>
  <c r="DA107" i="5"/>
  <c r="CY107" i="5"/>
  <c r="BV107" i="5"/>
  <c r="BM107" i="5"/>
  <c r="BU107" i="5"/>
  <c r="BW107" i="5"/>
  <c r="BS107" i="5"/>
  <c r="BG107" i="5"/>
  <c r="BH107" i="5"/>
  <c r="G22" i="16" s="1"/>
  <c r="H22" i="16" s="1"/>
  <c r="BQ107" i="5"/>
  <c r="BX107" i="5"/>
  <c r="DE107" i="5"/>
  <c r="BF107" i="5"/>
  <c r="CW107" i="5"/>
  <c r="CV107" i="5"/>
  <c r="DM107" i="5"/>
  <c r="DK62" i="5"/>
  <c r="D118" i="6" s="1"/>
  <c r="DI62" i="5"/>
  <c r="DD62" i="5"/>
  <c r="BG62" i="5"/>
  <c r="D62" i="6" s="1"/>
  <c r="BT62" i="5"/>
  <c r="D75" i="6" s="1"/>
  <c r="CY62" i="5"/>
  <c r="D106" i="6" s="1"/>
  <c r="BE62" i="5"/>
  <c r="BU62" i="5"/>
  <c r="D76" i="6" s="1"/>
  <c r="BH62" i="5"/>
  <c r="E22" i="16" s="1"/>
  <c r="F22" i="16" s="1"/>
  <c r="BM62" i="5"/>
  <c r="BS62" i="5"/>
  <c r="BN62" i="5"/>
  <c r="DB62" i="5"/>
  <c r="D109" i="6" s="1"/>
  <c r="DA62" i="5"/>
  <c r="D108" i="6" s="1"/>
  <c r="BR62" i="5"/>
  <c r="D73" i="6" s="1"/>
  <c r="BO62" i="5"/>
  <c r="DJ62" i="5"/>
  <c r="D117" i="6" s="1"/>
  <c r="DQ62" i="5"/>
  <c r="BQ62" i="5"/>
  <c r="D72" i="6" s="1"/>
  <c r="D105" i="6"/>
  <c r="D111" i="6"/>
  <c r="D110" i="6"/>
  <c r="D48" i="6"/>
  <c r="D61" i="6"/>
  <c r="D112" i="6"/>
  <c r="D104" i="6"/>
  <c r="D103" i="6"/>
  <c r="D71" i="6"/>
  <c r="D116" i="6"/>
  <c r="D120" i="6"/>
  <c r="D122" i="6"/>
  <c r="D68" i="6"/>
  <c r="E19" i="16" l="1"/>
  <c r="F19" i="16" s="1"/>
  <c r="E20" i="16"/>
  <c r="F20" i="16" s="1"/>
  <c r="E21" i="16"/>
  <c r="F21" i="16" s="1"/>
  <c r="E23" i="16"/>
  <c r="F23" i="16" s="1"/>
  <c r="E25" i="16"/>
  <c r="F25" i="16" s="1"/>
  <c r="E24" i="16"/>
  <c r="F24" i="16" s="1"/>
  <c r="DD333" i="5"/>
  <c r="CV333" i="5"/>
  <c r="BN333" i="5"/>
  <c r="DI333" i="5"/>
  <c r="BX333" i="5"/>
  <c r="DL333" i="5"/>
  <c r="BE333" i="5"/>
  <c r="DN333" i="5"/>
  <c r="BR333" i="5"/>
  <c r="DE333" i="5"/>
  <c r="BV333" i="5"/>
  <c r="BU333" i="5"/>
  <c r="BT333" i="5"/>
  <c r="DB333" i="5"/>
  <c r="DQ333" i="5"/>
  <c r="BF333" i="5"/>
  <c r="DK333" i="5"/>
  <c r="CX333" i="5"/>
  <c r="BS333" i="5"/>
  <c r="DO333" i="5"/>
  <c r="DP333" i="5"/>
  <c r="DM333" i="5"/>
  <c r="BP333" i="5"/>
  <c r="CY333" i="5"/>
  <c r="DA333" i="5"/>
  <c r="BG333" i="5"/>
  <c r="DJ333" i="5"/>
  <c r="AS333" i="5"/>
  <c r="DC333" i="5"/>
  <c r="BQ333" i="5"/>
  <c r="BM333" i="5"/>
  <c r="BO333" i="5"/>
  <c r="CW333" i="5"/>
  <c r="BW333" i="5"/>
  <c r="BH333" i="5"/>
  <c r="D63" i="6"/>
  <c r="D69" i="6"/>
  <c r="D60" i="6"/>
  <c r="D121" i="6"/>
  <c r="D123" i="6"/>
  <c r="D70" i="6"/>
  <c r="D74" i="6"/>
  <c r="D124" i="6"/>
  <c r="J6" i="6" l="1"/>
  <c r="K6" i="6"/>
  <c r="J7" i="6"/>
  <c r="K7" i="6"/>
  <c r="J8" i="6"/>
  <c r="K8" i="6"/>
  <c r="CJ331" i="5"/>
  <c r="CJ326" i="5"/>
  <c r="CJ313" i="5"/>
  <c r="CJ298" i="5"/>
  <c r="CJ196" i="5"/>
  <c r="CJ191" i="5"/>
  <c r="CJ178" i="5"/>
  <c r="CJ163" i="5"/>
  <c r="CJ151" i="5"/>
  <c r="CJ146" i="5"/>
  <c r="CJ133" i="5"/>
  <c r="CJ118" i="5"/>
  <c r="CJ101" i="5"/>
  <c r="CJ88" i="5"/>
  <c r="CJ73" i="5"/>
  <c r="CJ61" i="5"/>
  <c r="CJ56" i="5"/>
  <c r="CJ43" i="5"/>
  <c r="CJ28" i="5"/>
  <c r="CK331" i="5"/>
  <c r="CK326" i="5"/>
  <c r="CK313" i="5"/>
  <c r="CK298" i="5"/>
  <c r="CK196" i="5"/>
  <c r="CK191" i="5"/>
  <c r="CK178" i="5"/>
  <c r="CK163" i="5"/>
  <c r="CK151" i="5"/>
  <c r="CK146" i="5"/>
  <c r="CK133" i="5"/>
  <c r="CK118" i="5"/>
  <c r="CK101" i="5"/>
  <c r="CK88" i="5"/>
  <c r="CK73" i="5"/>
  <c r="CK61" i="5"/>
  <c r="CK56" i="5"/>
  <c r="CK43" i="5"/>
  <c r="CK28" i="5"/>
  <c r="AR331" i="5"/>
  <c r="AR326" i="5"/>
  <c r="AR313" i="5"/>
  <c r="AR298" i="5"/>
  <c r="AR196" i="5"/>
  <c r="AR191" i="5"/>
  <c r="AR178" i="5"/>
  <c r="AR163" i="5"/>
  <c r="AR151" i="5"/>
  <c r="AR146" i="5"/>
  <c r="AR133" i="5"/>
  <c r="AR118" i="5"/>
  <c r="AR101" i="5"/>
  <c r="AR88" i="5"/>
  <c r="AR73" i="5"/>
  <c r="AR61" i="5"/>
  <c r="AR56" i="5"/>
  <c r="AR43" i="5"/>
  <c r="AR28" i="5"/>
  <c r="AQ331" i="5"/>
  <c r="AQ326" i="5"/>
  <c r="AQ313" i="5"/>
  <c r="AQ298" i="5"/>
  <c r="AQ196" i="5"/>
  <c r="AQ191" i="5"/>
  <c r="AQ178" i="5"/>
  <c r="AQ163" i="5"/>
  <c r="AQ151" i="5"/>
  <c r="AQ146" i="5"/>
  <c r="AQ133" i="5"/>
  <c r="AQ118" i="5"/>
  <c r="AQ101" i="5"/>
  <c r="AQ88" i="5"/>
  <c r="AQ73" i="5"/>
  <c r="AQ61" i="5"/>
  <c r="AQ56" i="5"/>
  <c r="AQ43" i="5"/>
  <c r="AQ28" i="5"/>
  <c r="AP331" i="5"/>
  <c r="AP326" i="5"/>
  <c r="AP313" i="5"/>
  <c r="AP298" i="5"/>
  <c r="AP196" i="5"/>
  <c r="AP191" i="5"/>
  <c r="AP178" i="5"/>
  <c r="AP163" i="5"/>
  <c r="AP151" i="5"/>
  <c r="AP146" i="5"/>
  <c r="AP133" i="5"/>
  <c r="AP118" i="5"/>
  <c r="AP101" i="5"/>
  <c r="AP88" i="5"/>
  <c r="AP73" i="5"/>
  <c r="AP61" i="5"/>
  <c r="AP56" i="5"/>
  <c r="AP43" i="5"/>
  <c r="AP28" i="5"/>
  <c r="AO331" i="5"/>
  <c r="AO326" i="5"/>
  <c r="AO313" i="5"/>
  <c r="AO298" i="5"/>
  <c r="AO196" i="5"/>
  <c r="AO191" i="5"/>
  <c r="AO178" i="5"/>
  <c r="AO163" i="5"/>
  <c r="AO151" i="5"/>
  <c r="AO146" i="5"/>
  <c r="AO133" i="5"/>
  <c r="AO118" i="5"/>
  <c r="AO101" i="5"/>
  <c r="AO88" i="5"/>
  <c r="AO73" i="5"/>
  <c r="AO61" i="5"/>
  <c r="AO56" i="5"/>
  <c r="AO43" i="5"/>
  <c r="AO28" i="5"/>
  <c r="AN331" i="5"/>
  <c r="AN326" i="5"/>
  <c r="AN313" i="5"/>
  <c r="AN298" i="5"/>
  <c r="AN196" i="5"/>
  <c r="AN191" i="5"/>
  <c r="AN178" i="5"/>
  <c r="AN163" i="5"/>
  <c r="AN151" i="5"/>
  <c r="AN146" i="5"/>
  <c r="AN133" i="5"/>
  <c r="AN118" i="5"/>
  <c r="AN101" i="5"/>
  <c r="AN88" i="5"/>
  <c r="AN73" i="5"/>
  <c r="AN61" i="5"/>
  <c r="AN56" i="5"/>
  <c r="AN43" i="5"/>
  <c r="AN28" i="5"/>
  <c r="AM331" i="5"/>
  <c r="AM326" i="5"/>
  <c r="AM313" i="5"/>
  <c r="AM298" i="5"/>
  <c r="AM196" i="5"/>
  <c r="AM191" i="5"/>
  <c r="AM178" i="5"/>
  <c r="AM163" i="5"/>
  <c r="AM151" i="5"/>
  <c r="AM146" i="5"/>
  <c r="AM133" i="5"/>
  <c r="AM118" i="5"/>
  <c r="AM101" i="5"/>
  <c r="AM88" i="5"/>
  <c r="AM73" i="5"/>
  <c r="AM61" i="5"/>
  <c r="AM56" i="5"/>
  <c r="AM43" i="5"/>
  <c r="AM28" i="5"/>
  <c r="AH331" i="5"/>
  <c r="AH326" i="5"/>
  <c r="AH313" i="5"/>
  <c r="AH298" i="5"/>
  <c r="AH196" i="5"/>
  <c r="AH191" i="5"/>
  <c r="AH178" i="5"/>
  <c r="AH163" i="5"/>
  <c r="AH151" i="5"/>
  <c r="AH146" i="5"/>
  <c r="AH133" i="5"/>
  <c r="AH118" i="5"/>
  <c r="AH101" i="5"/>
  <c r="AH88" i="5"/>
  <c r="AH73" i="5"/>
  <c r="AH61" i="5"/>
  <c r="AH56" i="5"/>
  <c r="AH43" i="5"/>
  <c r="AH28" i="5"/>
  <c r="AF331" i="5"/>
  <c r="AF326" i="5"/>
  <c r="AF313" i="5"/>
  <c r="AF298" i="5"/>
  <c r="AF196" i="5"/>
  <c r="AF191" i="5"/>
  <c r="AF178" i="5"/>
  <c r="AF163" i="5"/>
  <c r="AF151" i="5"/>
  <c r="AF146" i="5"/>
  <c r="AF133" i="5"/>
  <c r="AF118" i="5"/>
  <c r="AF101" i="5"/>
  <c r="AF88" i="5"/>
  <c r="AF73" i="5"/>
  <c r="AF61" i="5"/>
  <c r="AF56" i="5"/>
  <c r="AF43" i="5"/>
  <c r="AF28" i="5"/>
  <c r="CT331" i="5"/>
  <c r="CT326" i="5"/>
  <c r="CT313" i="5"/>
  <c r="CT298" i="5"/>
  <c r="CT196" i="5"/>
  <c r="CT191" i="5"/>
  <c r="CT178" i="5"/>
  <c r="CT163" i="5"/>
  <c r="CT151" i="5"/>
  <c r="CT146" i="5"/>
  <c r="CT133" i="5"/>
  <c r="CT118" i="5"/>
  <c r="CT101" i="5"/>
  <c r="CT88" i="5"/>
  <c r="CT73" i="5"/>
  <c r="CT61" i="5"/>
  <c r="CT56" i="5"/>
  <c r="CT43" i="5"/>
  <c r="CT28" i="5"/>
  <c r="CK152" i="5" l="1"/>
  <c r="CK197" i="5"/>
  <c r="CJ152" i="5"/>
  <c r="CJ197" i="5"/>
  <c r="CK107" i="5"/>
  <c r="CK62" i="5"/>
  <c r="CJ107" i="5"/>
  <c r="CK332" i="5"/>
  <c r="CJ332" i="5"/>
  <c r="CJ62" i="5"/>
  <c r="AR62" i="5"/>
  <c r="AR152" i="5"/>
  <c r="AR197" i="5"/>
  <c r="AO107" i="5"/>
  <c r="AP62" i="5"/>
  <c r="AP152" i="5"/>
  <c r="AP197" i="5"/>
  <c r="AQ152" i="5"/>
  <c r="AQ197" i="5"/>
  <c r="AQ107" i="5"/>
  <c r="AO152" i="5"/>
  <c r="AO197" i="5"/>
  <c r="AO332" i="5"/>
  <c r="AP332" i="5"/>
  <c r="AQ62" i="5"/>
  <c r="D46" i="6" s="1"/>
  <c r="AQ332" i="5"/>
  <c r="AR332" i="5"/>
  <c r="AM152" i="5"/>
  <c r="AM197" i="5"/>
  <c r="AN152" i="5"/>
  <c r="AN197" i="5"/>
  <c r="AN332" i="5"/>
  <c r="AM332" i="5"/>
  <c r="AP107" i="5"/>
  <c r="AR107" i="5"/>
  <c r="AM107" i="5"/>
  <c r="AN62" i="5"/>
  <c r="D43" i="6" s="1"/>
  <c r="AM62" i="5"/>
  <c r="AO62" i="5"/>
  <c r="D44" i="6" s="1"/>
  <c r="AN107" i="5"/>
  <c r="AH332" i="5"/>
  <c r="AH107" i="5"/>
  <c r="AH62" i="5"/>
  <c r="O39" i="16"/>
  <c r="P39" i="16" s="1"/>
  <c r="AF332" i="5"/>
  <c r="Q39" i="16" s="1"/>
  <c r="R39" i="16" s="1"/>
  <c r="AF62" i="5"/>
  <c r="AF107" i="5"/>
  <c r="G39" i="16" s="1"/>
  <c r="H39" i="16" s="1"/>
  <c r="AF152" i="5"/>
  <c r="I39" i="16" s="1"/>
  <c r="J39" i="16" s="1"/>
  <c r="AF197" i="5"/>
  <c r="K39" i="16" s="1"/>
  <c r="L39" i="16" s="1"/>
  <c r="M39" i="16"/>
  <c r="N39" i="16" s="1"/>
  <c r="AH152" i="5"/>
  <c r="AH197" i="5"/>
  <c r="CT62" i="5"/>
  <c r="CT152" i="5"/>
  <c r="CT197" i="5"/>
  <c r="CT332" i="5"/>
  <c r="CT107" i="5"/>
  <c r="D45" i="6"/>
  <c r="D47" i="6"/>
  <c r="D101" i="6"/>
  <c r="D91" i="6"/>
  <c r="D92" i="6"/>
  <c r="D42" i="6"/>
  <c r="E39" i="16" l="1"/>
  <c r="F39" i="16" s="1"/>
  <c r="FC9" i="5"/>
  <c r="FD9" i="5"/>
  <c r="M58" i="16"/>
  <c r="CK333" i="5"/>
  <c r="CJ333" i="5"/>
  <c r="AP333" i="5"/>
  <c r="O57" i="16"/>
  <c r="AR333" i="5"/>
  <c r="AO333" i="5"/>
  <c r="AM333" i="5"/>
  <c r="AQ333" i="5"/>
  <c r="AN333" i="5"/>
  <c r="AH333" i="5"/>
  <c r="AF333" i="5"/>
  <c r="CT333" i="5"/>
  <c r="FD107" i="5"/>
  <c r="G58" i="16" s="1"/>
  <c r="DX326" i="5"/>
  <c r="DW326" i="5"/>
  <c r="DV326" i="5"/>
  <c r="DU326" i="5"/>
  <c r="DT326" i="5"/>
  <c r="DS326" i="5"/>
  <c r="DR326" i="5"/>
  <c r="DH326" i="5"/>
  <c r="DG326" i="5"/>
  <c r="DF326" i="5"/>
  <c r="CU326" i="5"/>
  <c r="CS326" i="5"/>
  <c r="CR326" i="5"/>
  <c r="CM326" i="5"/>
  <c r="CL326" i="5"/>
  <c r="CI326" i="5"/>
  <c r="CH326" i="5"/>
  <c r="CG326" i="5"/>
  <c r="CF326" i="5"/>
  <c r="CE326" i="5"/>
  <c r="CD326" i="5"/>
  <c r="CC326" i="5"/>
  <c r="CB326" i="5"/>
  <c r="CA326" i="5"/>
  <c r="AT326" i="5"/>
  <c r="AL326" i="5"/>
  <c r="AK326" i="5"/>
  <c r="AJ326" i="5"/>
  <c r="AI326" i="5"/>
  <c r="AE326" i="5"/>
  <c r="AD326" i="5"/>
  <c r="AA326" i="5"/>
  <c r="Z326" i="5"/>
  <c r="X326" i="5"/>
  <c r="W326" i="5"/>
  <c r="S326" i="5"/>
  <c r="R326" i="5"/>
  <c r="Q326" i="5"/>
  <c r="P326" i="5"/>
  <c r="O326" i="5"/>
  <c r="N326" i="5"/>
  <c r="M326" i="5"/>
  <c r="L326" i="5"/>
  <c r="K326" i="5"/>
  <c r="J326" i="5"/>
  <c r="DX331" i="5"/>
  <c r="DW331" i="5"/>
  <c r="DV331" i="5"/>
  <c r="DU331" i="5"/>
  <c r="DT331" i="5"/>
  <c r="DS331" i="5"/>
  <c r="DR331" i="5"/>
  <c r="DH331" i="5"/>
  <c r="DG331" i="5"/>
  <c r="DF331" i="5"/>
  <c r="CU331" i="5"/>
  <c r="CS331" i="5"/>
  <c r="CR331" i="5"/>
  <c r="CM331" i="5"/>
  <c r="CL331" i="5"/>
  <c r="CI331" i="5"/>
  <c r="CH331" i="5"/>
  <c r="CG331" i="5"/>
  <c r="CF331" i="5"/>
  <c r="CE331" i="5"/>
  <c r="CD331" i="5"/>
  <c r="CC331" i="5"/>
  <c r="CB331" i="5"/>
  <c r="CA331" i="5"/>
  <c r="AT331" i="5"/>
  <c r="AL331" i="5"/>
  <c r="AK331" i="5"/>
  <c r="AJ331" i="5"/>
  <c r="AI331" i="5"/>
  <c r="AE331" i="5"/>
  <c r="AD331" i="5"/>
  <c r="AA331" i="5"/>
  <c r="Z331" i="5"/>
  <c r="X331" i="5"/>
  <c r="W331" i="5"/>
  <c r="S331" i="5"/>
  <c r="R331" i="5"/>
  <c r="Q331" i="5"/>
  <c r="P331" i="5"/>
  <c r="O331" i="5"/>
  <c r="N331" i="5"/>
  <c r="M331" i="5"/>
  <c r="L331" i="5"/>
  <c r="K331" i="5"/>
  <c r="J331" i="5"/>
  <c r="DX196" i="5"/>
  <c r="DW196" i="5"/>
  <c r="DV196" i="5"/>
  <c r="DU196" i="5"/>
  <c r="DT196" i="5"/>
  <c r="DS196" i="5"/>
  <c r="DR196" i="5"/>
  <c r="DH196" i="5"/>
  <c r="DG196" i="5"/>
  <c r="DF196" i="5"/>
  <c r="CU196" i="5"/>
  <c r="CS196" i="5"/>
  <c r="CR196" i="5"/>
  <c r="CM196" i="5"/>
  <c r="CL196" i="5"/>
  <c r="CI196" i="5"/>
  <c r="CH196" i="5"/>
  <c r="CG196" i="5"/>
  <c r="CF196" i="5"/>
  <c r="CE196" i="5"/>
  <c r="CD196" i="5"/>
  <c r="CC196" i="5"/>
  <c r="CB196" i="5"/>
  <c r="CA196" i="5"/>
  <c r="AT196" i="5"/>
  <c r="AL196" i="5"/>
  <c r="AK196" i="5"/>
  <c r="AJ196" i="5"/>
  <c r="AI196" i="5"/>
  <c r="AE196" i="5"/>
  <c r="AD196" i="5"/>
  <c r="AA196" i="5"/>
  <c r="Z196" i="5"/>
  <c r="X196" i="5"/>
  <c r="W196" i="5"/>
  <c r="S196" i="5"/>
  <c r="R196" i="5"/>
  <c r="Q196" i="5"/>
  <c r="P196" i="5"/>
  <c r="O196" i="5"/>
  <c r="N196" i="5"/>
  <c r="M196" i="5"/>
  <c r="L196" i="5"/>
  <c r="K196" i="5"/>
  <c r="J196" i="5"/>
  <c r="DX151" i="5"/>
  <c r="DW151" i="5"/>
  <c r="DV151" i="5"/>
  <c r="DU151" i="5"/>
  <c r="DT151" i="5"/>
  <c r="DS151" i="5"/>
  <c r="DR151" i="5"/>
  <c r="DH151" i="5"/>
  <c r="DG151" i="5"/>
  <c r="DF151" i="5"/>
  <c r="CU151" i="5"/>
  <c r="CS151" i="5"/>
  <c r="CR151" i="5"/>
  <c r="CM151" i="5"/>
  <c r="CL151" i="5"/>
  <c r="CI151" i="5"/>
  <c r="CH151" i="5"/>
  <c r="CG151" i="5"/>
  <c r="CF151" i="5"/>
  <c r="CE151" i="5"/>
  <c r="CD151" i="5"/>
  <c r="CC151" i="5"/>
  <c r="CB151" i="5"/>
  <c r="CA151" i="5"/>
  <c r="AT151" i="5"/>
  <c r="AL151" i="5"/>
  <c r="AK151" i="5"/>
  <c r="AJ151" i="5"/>
  <c r="AI151" i="5"/>
  <c r="AE151" i="5"/>
  <c r="AD151" i="5"/>
  <c r="AA151" i="5"/>
  <c r="Z151" i="5"/>
  <c r="X151" i="5"/>
  <c r="W151" i="5"/>
  <c r="S151" i="5"/>
  <c r="R151" i="5"/>
  <c r="Q151" i="5"/>
  <c r="P151" i="5"/>
  <c r="O151" i="5"/>
  <c r="N151" i="5"/>
  <c r="M151" i="5"/>
  <c r="L151" i="5"/>
  <c r="K151" i="5"/>
  <c r="J151" i="5"/>
  <c r="DX191" i="5"/>
  <c r="DW191" i="5"/>
  <c r="DV191" i="5"/>
  <c r="DU191" i="5"/>
  <c r="DT191" i="5"/>
  <c r="DS191" i="5"/>
  <c r="DR191" i="5"/>
  <c r="DH191" i="5"/>
  <c r="DG191" i="5"/>
  <c r="DF191" i="5"/>
  <c r="CU191" i="5"/>
  <c r="CS191" i="5"/>
  <c r="CR191" i="5"/>
  <c r="CM191" i="5"/>
  <c r="CL191" i="5"/>
  <c r="CI191" i="5"/>
  <c r="CH191" i="5"/>
  <c r="CG191" i="5"/>
  <c r="CF191" i="5"/>
  <c r="CE191" i="5"/>
  <c r="CD191" i="5"/>
  <c r="CC191" i="5"/>
  <c r="CB191" i="5"/>
  <c r="CA191" i="5"/>
  <c r="AT191" i="5"/>
  <c r="AL191" i="5"/>
  <c r="AK191" i="5"/>
  <c r="AJ191" i="5"/>
  <c r="AI191" i="5"/>
  <c r="AE191" i="5"/>
  <c r="AD191" i="5"/>
  <c r="AA191" i="5"/>
  <c r="Z191" i="5"/>
  <c r="X191" i="5"/>
  <c r="W191" i="5"/>
  <c r="S191" i="5"/>
  <c r="R191" i="5"/>
  <c r="Q191" i="5"/>
  <c r="P191" i="5"/>
  <c r="O191" i="5"/>
  <c r="N191" i="5"/>
  <c r="M191" i="5"/>
  <c r="L191" i="5"/>
  <c r="K191" i="5"/>
  <c r="J191" i="5"/>
  <c r="DX146" i="5"/>
  <c r="DW146" i="5"/>
  <c r="DV146" i="5"/>
  <c r="DU146" i="5"/>
  <c r="DT146" i="5"/>
  <c r="DS146" i="5"/>
  <c r="DR146" i="5"/>
  <c r="DH146" i="5"/>
  <c r="DG146" i="5"/>
  <c r="DF146" i="5"/>
  <c r="CU146" i="5"/>
  <c r="CS146" i="5"/>
  <c r="CR146" i="5"/>
  <c r="CM146" i="5"/>
  <c r="CL146" i="5"/>
  <c r="CI146" i="5"/>
  <c r="CH146" i="5"/>
  <c r="CG146" i="5"/>
  <c r="CF146" i="5"/>
  <c r="CE146" i="5"/>
  <c r="CD146" i="5"/>
  <c r="CC146" i="5"/>
  <c r="CB146" i="5"/>
  <c r="CA146" i="5"/>
  <c r="AT146" i="5"/>
  <c r="AL146" i="5"/>
  <c r="AK146" i="5"/>
  <c r="AJ146" i="5"/>
  <c r="AI146" i="5"/>
  <c r="AE146" i="5"/>
  <c r="AD146" i="5"/>
  <c r="AA146" i="5"/>
  <c r="Z146" i="5"/>
  <c r="X146" i="5"/>
  <c r="W146" i="5"/>
  <c r="S146" i="5"/>
  <c r="R146" i="5"/>
  <c r="Q146" i="5"/>
  <c r="P146" i="5"/>
  <c r="O146" i="5"/>
  <c r="N146" i="5"/>
  <c r="M146" i="5"/>
  <c r="L146" i="5"/>
  <c r="K146" i="5"/>
  <c r="J146" i="5"/>
  <c r="J118" i="5"/>
  <c r="K118" i="5"/>
  <c r="L118" i="5"/>
  <c r="M118" i="5"/>
  <c r="N118" i="5"/>
  <c r="O118" i="5"/>
  <c r="P118" i="5"/>
  <c r="Q118" i="5"/>
  <c r="R118" i="5"/>
  <c r="S118" i="5"/>
  <c r="W118" i="5"/>
  <c r="X118" i="5"/>
  <c r="Z118" i="5"/>
  <c r="AA118" i="5"/>
  <c r="AD118" i="5"/>
  <c r="AE118" i="5"/>
  <c r="AI118" i="5"/>
  <c r="AJ118" i="5"/>
  <c r="AK118" i="5"/>
  <c r="AL118" i="5"/>
  <c r="AT118" i="5"/>
  <c r="CA118" i="5"/>
  <c r="CB118" i="5"/>
  <c r="CC118" i="5"/>
  <c r="CD118" i="5"/>
  <c r="CE118" i="5"/>
  <c r="CF118" i="5"/>
  <c r="CG118" i="5"/>
  <c r="CH118" i="5"/>
  <c r="CI118" i="5"/>
  <c r="CL118" i="5"/>
  <c r="CM118" i="5"/>
  <c r="CR118" i="5"/>
  <c r="CS118" i="5"/>
  <c r="CU118" i="5"/>
  <c r="DF118" i="5"/>
  <c r="DG118" i="5"/>
  <c r="DH118" i="5"/>
  <c r="DR118" i="5"/>
  <c r="DS118" i="5"/>
  <c r="DT118" i="5"/>
  <c r="DU118" i="5"/>
  <c r="DV118" i="5"/>
  <c r="DW118" i="5"/>
  <c r="DX118" i="5"/>
  <c r="DX101" i="5"/>
  <c r="DW101" i="5"/>
  <c r="DV101" i="5"/>
  <c r="DU101" i="5"/>
  <c r="DT101" i="5"/>
  <c r="DS101" i="5"/>
  <c r="DR101" i="5"/>
  <c r="DH101" i="5"/>
  <c r="DG101" i="5"/>
  <c r="DF101" i="5"/>
  <c r="CU101" i="5"/>
  <c r="CS101" i="5"/>
  <c r="CR101" i="5"/>
  <c r="CM101" i="5"/>
  <c r="CL101" i="5"/>
  <c r="CI101" i="5"/>
  <c r="CH101" i="5"/>
  <c r="CG101" i="5"/>
  <c r="CF101" i="5"/>
  <c r="CE101" i="5"/>
  <c r="CD101" i="5"/>
  <c r="CC101" i="5"/>
  <c r="CB101" i="5"/>
  <c r="CA101" i="5"/>
  <c r="AT101" i="5"/>
  <c r="AL101" i="5"/>
  <c r="AK101" i="5"/>
  <c r="AJ101" i="5"/>
  <c r="AI101" i="5"/>
  <c r="AE101" i="5"/>
  <c r="AD101" i="5"/>
  <c r="AA101" i="5"/>
  <c r="Z101" i="5"/>
  <c r="X101" i="5"/>
  <c r="W101" i="5"/>
  <c r="S101" i="5"/>
  <c r="R101" i="5"/>
  <c r="Q101" i="5"/>
  <c r="P101" i="5"/>
  <c r="O101" i="5"/>
  <c r="N101" i="5"/>
  <c r="M101" i="5"/>
  <c r="L101" i="5"/>
  <c r="K101" i="5"/>
  <c r="J101" i="5"/>
  <c r="DX313" i="5"/>
  <c r="DW313" i="5"/>
  <c r="DV313" i="5"/>
  <c r="DU313" i="5"/>
  <c r="DT313" i="5"/>
  <c r="DS313" i="5"/>
  <c r="DR313" i="5"/>
  <c r="DH313" i="5"/>
  <c r="DG313" i="5"/>
  <c r="DF313" i="5"/>
  <c r="CU313" i="5"/>
  <c r="CS313" i="5"/>
  <c r="CR313" i="5"/>
  <c r="CM313" i="5"/>
  <c r="CL313" i="5"/>
  <c r="CI313" i="5"/>
  <c r="CH313" i="5"/>
  <c r="CG313" i="5"/>
  <c r="CF313" i="5"/>
  <c r="CE313" i="5"/>
  <c r="CD313" i="5"/>
  <c r="CC313" i="5"/>
  <c r="CB313" i="5"/>
  <c r="CA313" i="5"/>
  <c r="AT313" i="5"/>
  <c r="AL313" i="5"/>
  <c r="AK313" i="5"/>
  <c r="AJ313" i="5"/>
  <c r="AI313" i="5"/>
  <c r="AE313" i="5"/>
  <c r="AD313" i="5"/>
  <c r="AA313" i="5"/>
  <c r="Z313" i="5"/>
  <c r="X313" i="5"/>
  <c r="W313" i="5"/>
  <c r="S313" i="5"/>
  <c r="R313" i="5"/>
  <c r="Q313" i="5"/>
  <c r="P313" i="5"/>
  <c r="O313" i="5"/>
  <c r="N313" i="5"/>
  <c r="M313" i="5"/>
  <c r="L313" i="5"/>
  <c r="K313" i="5"/>
  <c r="J313" i="5"/>
  <c r="DX178" i="5"/>
  <c r="DW178" i="5"/>
  <c r="DV178" i="5"/>
  <c r="DU178" i="5"/>
  <c r="DT178" i="5"/>
  <c r="DS178" i="5"/>
  <c r="DR178" i="5"/>
  <c r="DH178" i="5"/>
  <c r="DG178" i="5"/>
  <c r="DF178" i="5"/>
  <c r="CU178" i="5"/>
  <c r="CS178" i="5"/>
  <c r="CR178" i="5"/>
  <c r="CM178" i="5"/>
  <c r="CL178" i="5"/>
  <c r="CI178" i="5"/>
  <c r="CH178" i="5"/>
  <c r="CG178" i="5"/>
  <c r="CF178" i="5"/>
  <c r="CE178" i="5"/>
  <c r="CD178" i="5"/>
  <c r="CC178" i="5"/>
  <c r="CB178" i="5"/>
  <c r="CA178" i="5"/>
  <c r="AT178" i="5"/>
  <c r="AL178" i="5"/>
  <c r="AK178" i="5"/>
  <c r="AJ178" i="5"/>
  <c r="AI178" i="5"/>
  <c r="AE178" i="5"/>
  <c r="AD178" i="5"/>
  <c r="AA178" i="5"/>
  <c r="Z178" i="5"/>
  <c r="X178" i="5"/>
  <c r="W178" i="5"/>
  <c r="S178" i="5"/>
  <c r="R178" i="5"/>
  <c r="Q178" i="5"/>
  <c r="P178" i="5"/>
  <c r="O178" i="5"/>
  <c r="N178" i="5"/>
  <c r="M178" i="5"/>
  <c r="L178" i="5"/>
  <c r="K178" i="5"/>
  <c r="J178" i="5"/>
  <c r="DX133" i="5"/>
  <c r="DW133" i="5"/>
  <c r="DV133" i="5"/>
  <c r="DU133" i="5"/>
  <c r="DT133" i="5"/>
  <c r="DS133" i="5"/>
  <c r="DR133" i="5"/>
  <c r="DH133" i="5"/>
  <c r="DG133" i="5"/>
  <c r="DF133" i="5"/>
  <c r="CU133" i="5"/>
  <c r="CS133" i="5"/>
  <c r="CR133" i="5"/>
  <c r="CM133" i="5"/>
  <c r="CL133" i="5"/>
  <c r="CI133" i="5"/>
  <c r="CH133" i="5"/>
  <c r="CG133" i="5"/>
  <c r="CF133" i="5"/>
  <c r="CE133" i="5"/>
  <c r="CD133" i="5"/>
  <c r="CC133" i="5"/>
  <c r="CB133" i="5"/>
  <c r="CA133" i="5"/>
  <c r="AT133" i="5"/>
  <c r="AL133" i="5"/>
  <c r="AK133" i="5"/>
  <c r="AJ133" i="5"/>
  <c r="AI133" i="5"/>
  <c r="AE133" i="5"/>
  <c r="AD133" i="5"/>
  <c r="AA133" i="5"/>
  <c r="Z133" i="5"/>
  <c r="X133" i="5"/>
  <c r="W133" i="5"/>
  <c r="S133" i="5"/>
  <c r="R133" i="5"/>
  <c r="Q133" i="5"/>
  <c r="P133" i="5"/>
  <c r="O133" i="5"/>
  <c r="N133" i="5"/>
  <c r="M133" i="5"/>
  <c r="L133" i="5"/>
  <c r="K133" i="5"/>
  <c r="J133" i="5"/>
  <c r="DX88" i="5"/>
  <c r="DW88" i="5"/>
  <c r="DV88" i="5"/>
  <c r="DU88" i="5"/>
  <c r="DT88" i="5"/>
  <c r="DS88" i="5"/>
  <c r="DR88" i="5"/>
  <c r="DH88" i="5"/>
  <c r="DG88" i="5"/>
  <c r="DF88" i="5"/>
  <c r="CU88" i="5"/>
  <c r="CS88" i="5"/>
  <c r="CR88" i="5"/>
  <c r="CM88" i="5"/>
  <c r="CL88" i="5"/>
  <c r="CI88" i="5"/>
  <c r="CH88" i="5"/>
  <c r="CG88" i="5"/>
  <c r="CF88" i="5"/>
  <c r="CE88" i="5"/>
  <c r="CD88" i="5"/>
  <c r="CC88" i="5"/>
  <c r="CB88" i="5"/>
  <c r="CA88" i="5"/>
  <c r="AT88" i="5"/>
  <c r="AL88" i="5"/>
  <c r="AK88" i="5"/>
  <c r="AJ88" i="5"/>
  <c r="AI88" i="5"/>
  <c r="AE88" i="5"/>
  <c r="AD88" i="5"/>
  <c r="AA88" i="5"/>
  <c r="Z88" i="5"/>
  <c r="X88" i="5"/>
  <c r="W88" i="5"/>
  <c r="S88" i="5"/>
  <c r="R88" i="5"/>
  <c r="Q88" i="5"/>
  <c r="P88" i="5"/>
  <c r="O88" i="5"/>
  <c r="N88" i="5"/>
  <c r="M88" i="5"/>
  <c r="L88" i="5"/>
  <c r="K88" i="5"/>
  <c r="J88" i="5"/>
  <c r="DX298" i="5"/>
  <c r="DW298" i="5"/>
  <c r="DV298" i="5"/>
  <c r="DU298" i="5"/>
  <c r="DT298" i="5"/>
  <c r="DS298" i="5"/>
  <c r="DR298" i="5"/>
  <c r="DH298" i="5"/>
  <c r="DG298" i="5"/>
  <c r="DF298" i="5"/>
  <c r="CU298" i="5"/>
  <c r="CS298" i="5"/>
  <c r="CR298" i="5"/>
  <c r="CM298" i="5"/>
  <c r="CL298" i="5"/>
  <c r="CI298" i="5"/>
  <c r="CH298" i="5"/>
  <c r="CG298" i="5"/>
  <c r="CF298" i="5"/>
  <c r="CE298" i="5"/>
  <c r="CD298" i="5"/>
  <c r="CC298" i="5"/>
  <c r="CB298" i="5"/>
  <c r="CA298" i="5"/>
  <c r="AT298" i="5"/>
  <c r="AL298" i="5"/>
  <c r="AK298" i="5"/>
  <c r="AJ298" i="5"/>
  <c r="AI298" i="5"/>
  <c r="AE298" i="5"/>
  <c r="AD298" i="5"/>
  <c r="AA298" i="5"/>
  <c r="Z298" i="5"/>
  <c r="X298" i="5"/>
  <c r="W298" i="5"/>
  <c r="S298" i="5"/>
  <c r="R298" i="5"/>
  <c r="Q298" i="5"/>
  <c r="P298" i="5"/>
  <c r="O298" i="5"/>
  <c r="N298" i="5"/>
  <c r="M298" i="5"/>
  <c r="L298" i="5"/>
  <c r="K298" i="5"/>
  <c r="J298" i="5"/>
  <c r="DX163" i="5"/>
  <c r="DW163" i="5"/>
  <c r="DV163" i="5"/>
  <c r="DU163" i="5"/>
  <c r="DT163" i="5"/>
  <c r="DS163" i="5"/>
  <c r="DR163" i="5"/>
  <c r="DH163" i="5"/>
  <c r="DG163" i="5"/>
  <c r="DF163" i="5"/>
  <c r="CU163" i="5"/>
  <c r="CS163" i="5"/>
  <c r="CR163" i="5"/>
  <c r="CM163" i="5"/>
  <c r="CL163" i="5"/>
  <c r="CI163" i="5"/>
  <c r="CH163" i="5"/>
  <c r="CG163" i="5"/>
  <c r="CF163" i="5"/>
  <c r="CE163" i="5"/>
  <c r="CD163" i="5"/>
  <c r="CC163" i="5"/>
  <c r="CB163" i="5"/>
  <c r="CA163" i="5"/>
  <c r="AT163" i="5"/>
  <c r="AL163" i="5"/>
  <c r="AK163" i="5"/>
  <c r="AJ163" i="5"/>
  <c r="AI163" i="5"/>
  <c r="AE163" i="5"/>
  <c r="AD163" i="5"/>
  <c r="AA163" i="5"/>
  <c r="Z163" i="5"/>
  <c r="X163" i="5"/>
  <c r="W163" i="5"/>
  <c r="S163" i="5"/>
  <c r="R163" i="5"/>
  <c r="Q163" i="5"/>
  <c r="P163" i="5"/>
  <c r="O163" i="5"/>
  <c r="N163" i="5"/>
  <c r="M163" i="5"/>
  <c r="L163" i="5"/>
  <c r="K163" i="5"/>
  <c r="J163" i="5"/>
  <c r="DX73" i="5"/>
  <c r="DW73" i="5"/>
  <c r="DV73" i="5"/>
  <c r="DU73" i="5"/>
  <c r="DT73" i="5"/>
  <c r="DS73" i="5"/>
  <c r="DR73" i="5"/>
  <c r="DH73" i="5"/>
  <c r="DG73" i="5"/>
  <c r="DF73" i="5"/>
  <c r="CU73" i="5"/>
  <c r="CS73" i="5"/>
  <c r="CR73" i="5"/>
  <c r="CM73" i="5"/>
  <c r="CL73" i="5"/>
  <c r="CI73" i="5"/>
  <c r="CH73" i="5"/>
  <c r="CG73" i="5"/>
  <c r="CF73" i="5"/>
  <c r="CE73" i="5"/>
  <c r="CD73" i="5"/>
  <c r="CC73" i="5"/>
  <c r="CB73" i="5"/>
  <c r="CA73" i="5"/>
  <c r="AT73" i="5"/>
  <c r="AL73" i="5"/>
  <c r="AK73" i="5"/>
  <c r="AJ73" i="5"/>
  <c r="AI73" i="5"/>
  <c r="AE73" i="5"/>
  <c r="AD73" i="5"/>
  <c r="AA73" i="5"/>
  <c r="Z73" i="5"/>
  <c r="X73" i="5"/>
  <c r="W73" i="5"/>
  <c r="S73" i="5"/>
  <c r="R73" i="5"/>
  <c r="Q73" i="5"/>
  <c r="P73" i="5"/>
  <c r="O73" i="5"/>
  <c r="N73" i="5"/>
  <c r="M73" i="5"/>
  <c r="L73" i="5"/>
  <c r="K73" i="5"/>
  <c r="J73" i="5"/>
  <c r="D35" i="6"/>
  <c r="D37" i="6"/>
  <c r="O58" i="16" l="1"/>
  <c r="FD332" i="5"/>
  <c r="Q58" i="16" s="1"/>
  <c r="FB197" i="5"/>
  <c r="M55" i="16"/>
  <c r="M57" i="16"/>
  <c r="FC197" i="5"/>
  <c r="K57" i="16" s="1"/>
  <c r="FD197" i="5"/>
  <c r="K58" i="16" s="1"/>
  <c r="O55" i="16"/>
  <c r="FA332" i="5"/>
  <c r="Q55" i="16" s="1"/>
  <c r="FC332" i="5"/>
  <c r="Q57" i="16" s="1"/>
  <c r="FD152" i="5"/>
  <c r="I58" i="16" s="1"/>
  <c r="FB332" i="5"/>
  <c r="FC152" i="5"/>
  <c r="I57" i="16" s="1"/>
  <c r="FC107" i="5"/>
  <c r="G57" i="16" s="1"/>
  <c r="FA152" i="5"/>
  <c r="I55" i="16" s="1"/>
  <c r="FA197" i="5"/>
  <c r="K55" i="16" s="1"/>
  <c r="FA107" i="5"/>
  <c r="G55" i="16" s="1"/>
  <c r="FB107" i="5"/>
  <c r="FB152" i="5"/>
  <c r="J152" i="5"/>
  <c r="AD152" i="5"/>
  <c r="CA152" i="5"/>
  <c r="CS152" i="5"/>
  <c r="DS152" i="5"/>
  <c r="I29" i="16" s="1"/>
  <c r="J29" i="16" s="1"/>
  <c r="DW152" i="5"/>
  <c r="I33" i="16" s="1"/>
  <c r="J33" i="16" s="1"/>
  <c r="N152" i="5"/>
  <c r="AK152" i="5"/>
  <c r="DG152" i="5"/>
  <c r="R152" i="5"/>
  <c r="AT152" i="5"/>
  <c r="CI152" i="5"/>
  <c r="CE152" i="5"/>
  <c r="K332" i="5"/>
  <c r="O332" i="5"/>
  <c r="S332" i="5"/>
  <c r="AE332" i="5"/>
  <c r="Q37" i="16" s="1"/>
  <c r="R37" i="16" s="1"/>
  <c r="AL332" i="5"/>
  <c r="CB332" i="5"/>
  <c r="CL332" i="5"/>
  <c r="CU332" i="5"/>
  <c r="DH332" i="5"/>
  <c r="DT332" i="5"/>
  <c r="Q32" i="16" s="1"/>
  <c r="R32" i="16" s="1"/>
  <c r="DX332" i="5"/>
  <c r="Q31" i="16" s="1"/>
  <c r="R31" i="16" s="1"/>
  <c r="L332" i="5"/>
  <c r="P332" i="5"/>
  <c r="Z332" i="5"/>
  <c r="Q11" i="16" s="1"/>
  <c r="R11" i="16" s="1"/>
  <c r="AI332" i="5"/>
  <c r="Q41" i="16" s="1"/>
  <c r="R41" i="16" s="1"/>
  <c r="CC332" i="5"/>
  <c r="CG332" i="5"/>
  <c r="CM332" i="5"/>
  <c r="DU332" i="5"/>
  <c r="M332" i="5"/>
  <c r="Q332" i="5"/>
  <c r="W332" i="5"/>
  <c r="AA332" i="5"/>
  <c r="Q12" i="16" s="1"/>
  <c r="R12" i="16" s="1"/>
  <c r="AJ332" i="5"/>
  <c r="CD332" i="5"/>
  <c r="CH332" i="5"/>
  <c r="CR332" i="5"/>
  <c r="DF332" i="5"/>
  <c r="DR332" i="5"/>
  <c r="Q28" i="16" s="1"/>
  <c r="R28" i="16" s="1"/>
  <c r="DV332" i="5"/>
  <c r="J332" i="5"/>
  <c r="N332" i="5"/>
  <c r="R332" i="5"/>
  <c r="X332" i="5"/>
  <c r="AD332" i="5"/>
  <c r="Q36" i="16" s="1"/>
  <c r="R36" i="16" s="1"/>
  <c r="AK332" i="5"/>
  <c r="AT332" i="5"/>
  <c r="CA332" i="5"/>
  <c r="Q16" i="16" s="1"/>
  <c r="R16" i="16" s="1"/>
  <c r="CE332" i="5"/>
  <c r="CI332" i="5"/>
  <c r="CS332" i="5"/>
  <c r="DG332" i="5"/>
  <c r="DS332" i="5"/>
  <c r="Q29" i="16" s="1"/>
  <c r="R29" i="16" s="1"/>
  <c r="DW332" i="5"/>
  <c r="Q33" i="16" s="1"/>
  <c r="R33" i="16" s="1"/>
  <c r="CF332" i="5"/>
  <c r="O28" i="16"/>
  <c r="P28" i="16" s="1"/>
  <c r="O16" i="16"/>
  <c r="P16" i="16" s="1"/>
  <c r="O29" i="16"/>
  <c r="P29" i="16" s="1"/>
  <c r="O33" i="16"/>
  <c r="P33" i="16" s="1"/>
  <c r="O12" i="16"/>
  <c r="P12" i="16" s="1"/>
  <c r="O37" i="16"/>
  <c r="P37" i="16" s="1"/>
  <c r="O32" i="16"/>
  <c r="P32" i="16" s="1"/>
  <c r="O31" i="16"/>
  <c r="P31" i="16" s="1"/>
  <c r="O11" i="16"/>
  <c r="P11" i="16" s="1"/>
  <c r="O41" i="16"/>
  <c r="P41" i="16" s="1"/>
  <c r="O30" i="16"/>
  <c r="P30" i="16" s="1"/>
  <c r="M41" i="16"/>
  <c r="N41" i="16" s="1"/>
  <c r="M12" i="16"/>
  <c r="N12" i="16" s="1"/>
  <c r="M28" i="16"/>
  <c r="N28" i="16" s="1"/>
  <c r="M36" i="16"/>
  <c r="N36" i="16" s="1"/>
  <c r="M29" i="16"/>
  <c r="N29" i="16" s="1"/>
  <c r="M33" i="16"/>
  <c r="N33" i="16" s="1"/>
  <c r="M11" i="16"/>
  <c r="N11" i="16" s="1"/>
  <c r="M37" i="16"/>
  <c r="N37" i="16" s="1"/>
  <c r="M32" i="16"/>
  <c r="N32" i="16" s="1"/>
  <c r="M31" i="16"/>
  <c r="N31" i="16" s="1"/>
  <c r="CL197" i="5"/>
  <c r="M197" i="5"/>
  <c r="W197" i="5"/>
  <c r="AJ197" i="5"/>
  <c r="CD197" i="5"/>
  <c r="DF197" i="5"/>
  <c r="DV197" i="5"/>
  <c r="N197" i="5"/>
  <c r="AD197" i="5"/>
  <c r="CI197" i="5"/>
  <c r="CS197" i="5"/>
  <c r="DS197" i="5"/>
  <c r="K29" i="16" s="1"/>
  <c r="L29" i="16" s="1"/>
  <c r="K197" i="5"/>
  <c r="O197" i="5"/>
  <c r="S197" i="5"/>
  <c r="AE197" i="5"/>
  <c r="K37" i="16" s="1"/>
  <c r="L37" i="16" s="1"/>
  <c r="AL197" i="5"/>
  <c r="CB197" i="5"/>
  <c r="CF197" i="5"/>
  <c r="CU197" i="5"/>
  <c r="DH197" i="5"/>
  <c r="DX197" i="5"/>
  <c r="K31" i="16" s="1"/>
  <c r="L31" i="16" s="1"/>
  <c r="Q197" i="5"/>
  <c r="AA197" i="5"/>
  <c r="K12" i="16" s="1"/>
  <c r="L12" i="16" s="1"/>
  <c r="CH197" i="5"/>
  <c r="CR197" i="5"/>
  <c r="DR197" i="5"/>
  <c r="K28" i="16" s="1"/>
  <c r="L28" i="16" s="1"/>
  <c r="J197" i="5"/>
  <c r="R197" i="5"/>
  <c r="X197" i="5"/>
  <c r="AK197" i="5"/>
  <c r="AT197" i="5"/>
  <c r="CA197" i="5"/>
  <c r="CE197" i="5"/>
  <c r="DG197" i="5"/>
  <c r="DW197" i="5"/>
  <c r="K33" i="16" s="1"/>
  <c r="L33" i="16" s="1"/>
  <c r="L197" i="5"/>
  <c r="P197" i="5"/>
  <c r="Z197" i="5"/>
  <c r="K11" i="16" s="1"/>
  <c r="L11" i="16" s="1"/>
  <c r="AI197" i="5"/>
  <c r="K41" i="16" s="1"/>
  <c r="L41" i="16" s="1"/>
  <c r="CC197" i="5"/>
  <c r="CG197" i="5"/>
  <c r="CM197" i="5"/>
  <c r="DU197" i="5"/>
  <c r="DT197" i="5"/>
  <c r="K32" i="16" s="1"/>
  <c r="L32" i="16" s="1"/>
  <c r="DU152" i="5"/>
  <c r="CM152" i="5"/>
  <c r="CG152" i="5"/>
  <c r="CC152" i="5"/>
  <c r="AI152" i="5"/>
  <c r="I41" i="16" s="1"/>
  <c r="J41" i="16" s="1"/>
  <c r="Z152" i="5"/>
  <c r="I11" i="16" s="1"/>
  <c r="J11" i="16" s="1"/>
  <c r="P152" i="5"/>
  <c r="L152" i="5"/>
  <c r="DX152" i="5"/>
  <c r="I31" i="16" s="1"/>
  <c r="J31" i="16" s="1"/>
  <c r="DT152" i="5"/>
  <c r="I32" i="16" s="1"/>
  <c r="J32" i="16" s="1"/>
  <c r="DH152" i="5"/>
  <c r="CU152" i="5"/>
  <c r="CL152" i="5"/>
  <c r="CF152" i="5"/>
  <c r="CB152" i="5"/>
  <c r="AL152" i="5"/>
  <c r="AE152" i="5"/>
  <c r="I37" i="16" s="1"/>
  <c r="J37" i="16" s="1"/>
  <c r="S152" i="5"/>
  <c r="O152" i="5"/>
  <c r="K152" i="5"/>
  <c r="DV152" i="5"/>
  <c r="DR152" i="5"/>
  <c r="I28" i="16" s="1"/>
  <c r="J28" i="16" s="1"/>
  <c r="DF152" i="5"/>
  <c r="CR152" i="5"/>
  <c r="CH152" i="5"/>
  <c r="CD152" i="5"/>
  <c r="AJ152" i="5"/>
  <c r="AA152" i="5"/>
  <c r="I12" i="16" s="1"/>
  <c r="J12" i="16" s="1"/>
  <c r="W152" i="5"/>
  <c r="Q152" i="5"/>
  <c r="M152" i="5"/>
  <c r="X152" i="5"/>
  <c r="M107" i="5"/>
  <c r="Q107" i="5"/>
  <c r="W107" i="5"/>
  <c r="AA107" i="5"/>
  <c r="G12" i="16" s="1"/>
  <c r="H12" i="16" s="1"/>
  <c r="AJ107" i="5"/>
  <c r="CD107" i="5"/>
  <c r="CH107" i="5"/>
  <c r="CR107" i="5"/>
  <c r="DF107" i="5"/>
  <c r="DR107" i="5"/>
  <c r="G28" i="16" s="1"/>
  <c r="H28" i="16" s="1"/>
  <c r="DV107" i="5"/>
  <c r="J107" i="5"/>
  <c r="N107" i="5"/>
  <c r="R107" i="5"/>
  <c r="X107" i="5"/>
  <c r="AD107" i="5"/>
  <c r="AK107" i="5"/>
  <c r="AT107" i="5"/>
  <c r="CA107" i="5"/>
  <c r="CE107" i="5"/>
  <c r="CI107" i="5"/>
  <c r="CS107" i="5"/>
  <c r="DG107" i="5"/>
  <c r="DS107" i="5"/>
  <c r="G29" i="16" s="1"/>
  <c r="H29" i="16" s="1"/>
  <c r="DW107" i="5"/>
  <c r="G33" i="16" s="1"/>
  <c r="H33" i="16" s="1"/>
  <c r="K107" i="5"/>
  <c r="O107" i="5"/>
  <c r="S107" i="5"/>
  <c r="AE107" i="5"/>
  <c r="G37" i="16" s="1"/>
  <c r="H37" i="16" s="1"/>
  <c r="AL107" i="5"/>
  <c r="CB107" i="5"/>
  <c r="CF107" i="5"/>
  <c r="CL107" i="5"/>
  <c r="CU107" i="5"/>
  <c r="DH107" i="5"/>
  <c r="DT107" i="5"/>
  <c r="G32" i="16" s="1"/>
  <c r="H32" i="16" s="1"/>
  <c r="DX107" i="5"/>
  <c r="G31" i="16" s="1"/>
  <c r="H31" i="16" s="1"/>
  <c r="L107" i="5"/>
  <c r="P107" i="5"/>
  <c r="Z107" i="5"/>
  <c r="G11" i="16" s="1"/>
  <c r="H11" i="16" s="1"/>
  <c r="AI107" i="5"/>
  <c r="G41" i="16" s="1"/>
  <c r="H41" i="16" s="1"/>
  <c r="CC107" i="5"/>
  <c r="CG107" i="5"/>
  <c r="CM107" i="5"/>
  <c r="DU107" i="5"/>
  <c r="AL61" i="5"/>
  <c r="AL56" i="5"/>
  <c r="AL43" i="5"/>
  <c r="AL28" i="5"/>
  <c r="FC61" i="5"/>
  <c r="G162" i="15" s="1"/>
  <c r="H162" i="6" s="1"/>
  <c r="FC28" i="5"/>
  <c r="DX61" i="5"/>
  <c r="DW61" i="5"/>
  <c r="DV61" i="5"/>
  <c r="DU61" i="5"/>
  <c r="DT61" i="5"/>
  <c r="DS61" i="5"/>
  <c r="DR61" i="5"/>
  <c r="DH61" i="5"/>
  <c r="DG61" i="5"/>
  <c r="DF61" i="5"/>
  <c r="CU61" i="5"/>
  <c r="CS61" i="5"/>
  <c r="CR61" i="5"/>
  <c r="CM61" i="5"/>
  <c r="CL61" i="5"/>
  <c r="CI61" i="5"/>
  <c r="CH61" i="5"/>
  <c r="CG61" i="5"/>
  <c r="CF61" i="5"/>
  <c r="CE61" i="5"/>
  <c r="CD61" i="5"/>
  <c r="CC61" i="5"/>
  <c r="CB61" i="5"/>
  <c r="CA61" i="5"/>
  <c r="AT61" i="5"/>
  <c r="AK61" i="5"/>
  <c r="AJ61" i="5"/>
  <c r="AI61" i="5"/>
  <c r="AE61" i="5"/>
  <c r="AD61" i="5"/>
  <c r="AA61" i="5"/>
  <c r="Z61" i="5"/>
  <c r="X61" i="5"/>
  <c r="W61" i="5"/>
  <c r="S61" i="5"/>
  <c r="R61" i="5"/>
  <c r="Q61" i="5"/>
  <c r="P61" i="5"/>
  <c r="O61" i="5"/>
  <c r="N61" i="5"/>
  <c r="M61" i="5"/>
  <c r="L61" i="5"/>
  <c r="K61" i="5"/>
  <c r="J61" i="5"/>
  <c r="DX56" i="5"/>
  <c r="DW56" i="5"/>
  <c r="DV56" i="5"/>
  <c r="DU56" i="5"/>
  <c r="DT56" i="5"/>
  <c r="DS56" i="5"/>
  <c r="DR56" i="5"/>
  <c r="DH56" i="5"/>
  <c r="DG56" i="5"/>
  <c r="DF56" i="5"/>
  <c r="CU56" i="5"/>
  <c r="CS56" i="5"/>
  <c r="CR56" i="5"/>
  <c r="CM56" i="5"/>
  <c r="CL56" i="5"/>
  <c r="CI56" i="5"/>
  <c r="CH56" i="5"/>
  <c r="CG56" i="5"/>
  <c r="CF56" i="5"/>
  <c r="CE56" i="5"/>
  <c r="CD56" i="5"/>
  <c r="CC56" i="5"/>
  <c r="CB56" i="5"/>
  <c r="CA56" i="5"/>
  <c r="AT56" i="5"/>
  <c r="AK56" i="5"/>
  <c r="AJ56" i="5"/>
  <c r="AI56" i="5"/>
  <c r="AE56" i="5"/>
  <c r="AD56" i="5"/>
  <c r="AA56" i="5"/>
  <c r="Z56" i="5"/>
  <c r="X56" i="5"/>
  <c r="W56" i="5"/>
  <c r="S56" i="5"/>
  <c r="R56" i="5"/>
  <c r="Q56" i="5"/>
  <c r="P56" i="5"/>
  <c r="O56" i="5"/>
  <c r="N56" i="5"/>
  <c r="M56" i="5"/>
  <c r="L56" i="5"/>
  <c r="K56" i="5"/>
  <c r="J56" i="5"/>
  <c r="DX43" i="5"/>
  <c r="DW43" i="5"/>
  <c r="DV43" i="5"/>
  <c r="DU43" i="5"/>
  <c r="DT43" i="5"/>
  <c r="DS43" i="5"/>
  <c r="DR43" i="5"/>
  <c r="DH43" i="5"/>
  <c r="DG43" i="5"/>
  <c r="DF43" i="5"/>
  <c r="CU43" i="5"/>
  <c r="CS43" i="5"/>
  <c r="CR43" i="5"/>
  <c r="CM43" i="5"/>
  <c r="CL43" i="5"/>
  <c r="CI43" i="5"/>
  <c r="CH43" i="5"/>
  <c r="CG43" i="5"/>
  <c r="CF43" i="5"/>
  <c r="CE43" i="5"/>
  <c r="CD43" i="5"/>
  <c r="CC43" i="5"/>
  <c r="CB43" i="5"/>
  <c r="CA43" i="5"/>
  <c r="AT43" i="5"/>
  <c r="AK43" i="5"/>
  <c r="AJ43" i="5"/>
  <c r="AI43" i="5"/>
  <c r="AE43" i="5"/>
  <c r="AD43" i="5"/>
  <c r="AA43" i="5"/>
  <c r="Z43" i="5"/>
  <c r="X43" i="5"/>
  <c r="W43" i="5"/>
  <c r="S43" i="5"/>
  <c r="R43" i="5"/>
  <c r="Q43" i="5"/>
  <c r="P43" i="5"/>
  <c r="O43" i="5"/>
  <c r="N43" i="5"/>
  <c r="M43" i="5"/>
  <c r="L43" i="5"/>
  <c r="K43" i="5"/>
  <c r="J43" i="5"/>
  <c r="DX28" i="5"/>
  <c r="DW28" i="5"/>
  <c r="DV28" i="5"/>
  <c r="DU28" i="5"/>
  <c r="DT28" i="5"/>
  <c r="DS28" i="5"/>
  <c r="DR28" i="5"/>
  <c r="DH28" i="5"/>
  <c r="DG28" i="5"/>
  <c r="DF28" i="5"/>
  <c r="CU28" i="5"/>
  <c r="CS28" i="5"/>
  <c r="CR28" i="5"/>
  <c r="CM28" i="5"/>
  <c r="CL28" i="5"/>
  <c r="CI28" i="5"/>
  <c r="CH28" i="5"/>
  <c r="CG28" i="5"/>
  <c r="CF28" i="5"/>
  <c r="CE28" i="5"/>
  <c r="CD28" i="5"/>
  <c r="CC28" i="5"/>
  <c r="CB28" i="5"/>
  <c r="CA28" i="5"/>
  <c r="AT28" i="5"/>
  <c r="AK28" i="5"/>
  <c r="AJ28" i="5"/>
  <c r="AI28" i="5"/>
  <c r="AE28" i="5"/>
  <c r="AD28" i="5"/>
  <c r="AA28" i="5"/>
  <c r="Z28" i="5"/>
  <c r="X28" i="5"/>
  <c r="W28" i="5"/>
  <c r="S28" i="5"/>
  <c r="R28" i="5"/>
  <c r="Q28" i="5"/>
  <c r="P28" i="5"/>
  <c r="O28" i="5"/>
  <c r="N28" i="5"/>
  <c r="M28" i="5"/>
  <c r="L28" i="5"/>
  <c r="K28" i="5"/>
  <c r="J28" i="5"/>
  <c r="K30" i="16" l="1"/>
  <c r="L30" i="16" s="1"/>
  <c r="FE197" i="5"/>
  <c r="K56" i="16"/>
  <c r="G30" i="16"/>
  <c r="H30" i="16" s="1"/>
  <c r="FE107" i="5"/>
  <c r="G56" i="16"/>
  <c r="FE287" i="5"/>
  <c r="O56" i="16"/>
  <c r="FE332" i="5"/>
  <c r="Q56" i="16"/>
  <c r="FE242" i="5"/>
  <c r="M56" i="16"/>
  <c r="FE152" i="5"/>
  <c r="I56" i="16"/>
  <c r="M13" i="16"/>
  <c r="N13" i="16" s="1"/>
  <c r="I17" i="16"/>
  <c r="J17" i="16" s="1"/>
  <c r="Q34" i="16"/>
  <c r="R34" i="16" s="1"/>
  <c r="Q14" i="16"/>
  <c r="R14" i="16" s="1"/>
  <c r="K17" i="16"/>
  <c r="L17" i="16" s="1"/>
  <c r="K16" i="16"/>
  <c r="L16" i="16" s="1"/>
  <c r="G17" i="16"/>
  <c r="H17" i="16" s="1"/>
  <c r="M16" i="16"/>
  <c r="N16" i="16" s="1"/>
  <c r="M30" i="16"/>
  <c r="N30" i="16" s="1"/>
  <c r="O13" i="16"/>
  <c r="P13" i="16" s="1"/>
  <c r="G18" i="16"/>
  <c r="H18" i="16" s="1"/>
  <c r="I13" i="16"/>
  <c r="J13" i="16" s="1"/>
  <c r="I18" i="16"/>
  <c r="J18" i="16" s="1"/>
  <c r="M17" i="16"/>
  <c r="N17" i="16" s="1"/>
  <c r="Q17" i="16"/>
  <c r="R17" i="16" s="1"/>
  <c r="Q18" i="16"/>
  <c r="R18" i="16" s="1"/>
  <c r="K14" i="16"/>
  <c r="L14" i="16" s="1"/>
  <c r="M18" i="16"/>
  <c r="N18" i="16" s="1"/>
  <c r="M14" i="16"/>
  <c r="N14" i="16" s="1"/>
  <c r="O17" i="16"/>
  <c r="P17" i="16" s="1"/>
  <c r="O18" i="16"/>
  <c r="P18" i="16" s="1"/>
  <c r="K13" i="16"/>
  <c r="L13" i="16" s="1"/>
  <c r="K36" i="16"/>
  <c r="L36" i="16" s="1"/>
  <c r="K34" i="16"/>
  <c r="L34" i="16" s="1"/>
  <c r="K18" i="16"/>
  <c r="L18" i="16" s="1"/>
  <c r="I16" i="16"/>
  <c r="J16" i="16" s="1"/>
  <c r="I30" i="16"/>
  <c r="J30" i="16" s="1"/>
  <c r="I34" i="16"/>
  <c r="J34" i="16" s="1"/>
  <c r="I36" i="16"/>
  <c r="J36" i="16" s="1"/>
  <c r="I14" i="16"/>
  <c r="J14" i="16" s="1"/>
  <c r="G36" i="16"/>
  <c r="H36" i="16" s="1"/>
  <c r="G34" i="16"/>
  <c r="H34" i="16" s="1"/>
  <c r="G14" i="16"/>
  <c r="H14" i="16" s="1"/>
  <c r="G16" i="16"/>
  <c r="H16" i="16" s="1"/>
  <c r="G13" i="16"/>
  <c r="H13" i="16" s="1"/>
  <c r="O34" i="16"/>
  <c r="P34" i="16" s="1"/>
  <c r="O36" i="16"/>
  <c r="P36" i="16" s="1"/>
  <c r="O14" i="16"/>
  <c r="P14" i="16" s="1"/>
  <c r="Q30" i="16"/>
  <c r="R30" i="16" s="1"/>
  <c r="Q13" i="16"/>
  <c r="R13" i="16" s="1"/>
  <c r="D162" i="15"/>
  <c r="E162" i="6" s="1"/>
  <c r="O20" i="1"/>
  <c r="I20" i="1"/>
  <c r="Q20" i="1"/>
  <c r="G20" i="1"/>
  <c r="K20" i="1"/>
  <c r="M20" i="1"/>
  <c r="J62" i="5"/>
  <c r="N62" i="5"/>
  <c r="R62" i="5"/>
  <c r="X62" i="5"/>
  <c r="D27" i="6" s="1"/>
  <c r="AD62" i="5"/>
  <c r="AK62" i="5"/>
  <c r="CC62" i="5"/>
  <c r="D84" i="6" s="1"/>
  <c r="CG62" i="5"/>
  <c r="CM62" i="5"/>
  <c r="DU62" i="5"/>
  <c r="M62" i="5"/>
  <c r="Q62" i="5"/>
  <c r="W62" i="5"/>
  <c r="AA62" i="5"/>
  <c r="AJ62" i="5"/>
  <c r="D39" i="6" s="1"/>
  <c r="CB62" i="5"/>
  <c r="CF62" i="5"/>
  <c r="CL62" i="5"/>
  <c r="CU62" i="5"/>
  <c r="D102" i="6" s="1"/>
  <c r="DH62" i="5"/>
  <c r="D115" i="6" s="1"/>
  <c r="DT62" i="5"/>
  <c r="DX62" i="5"/>
  <c r="AL62" i="5"/>
  <c r="O62" i="5"/>
  <c r="S62" i="5"/>
  <c r="AE62" i="5"/>
  <c r="CD62" i="5"/>
  <c r="D85" i="6" s="1"/>
  <c r="CH62" i="5"/>
  <c r="CR62" i="5"/>
  <c r="DF62" i="5"/>
  <c r="DR62" i="5"/>
  <c r="DV62" i="5"/>
  <c r="K62" i="5"/>
  <c r="FC43" i="5"/>
  <c r="E162" i="15" s="1"/>
  <c r="FC56" i="5"/>
  <c r="F162" i="15" s="1"/>
  <c r="G162" i="6" s="1"/>
  <c r="FB28" i="5"/>
  <c r="E46" i="16" s="1"/>
  <c r="F46" i="16" s="1"/>
  <c r="FB61" i="5"/>
  <c r="FB56" i="5"/>
  <c r="FB43" i="5"/>
  <c r="L62" i="5"/>
  <c r="P62" i="5"/>
  <c r="Z62" i="5"/>
  <c r="E11" i="16" s="1"/>
  <c r="F11" i="16" s="1"/>
  <c r="AI62" i="5"/>
  <c r="E41" i="16" s="1"/>
  <c r="F41" i="16" s="1"/>
  <c r="AT62" i="5"/>
  <c r="CA62" i="5"/>
  <c r="CE62" i="5"/>
  <c r="D86" i="6" s="1"/>
  <c r="CI62" i="5"/>
  <c r="CS62" i="5"/>
  <c r="DG62" i="5"/>
  <c r="DS62" i="5"/>
  <c r="DW62" i="5"/>
  <c r="E33" i="16" s="1"/>
  <c r="F33" i="16" s="1"/>
  <c r="D99" i="6"/>
  <c r="D87" i="6"/>
  <c r="D88" i="6"/>
  <c r="D40" i="6"/>
  <c r="D113" i="6"/>
  <c r="D114" i="6"/>
  <c r="D89" i="6"/>
  <c r="D90" i="6"/>
  <c r="D129" i="6"/>
  <c r="D49" i="6"/>
  <c r="D100" i="6"/>
  <c r="D94" i="6"/>
  <c r="D83" i="6"/>
  <c r="FE56" i="5" l="1"/>
  <c r="E48" i="16"/>
  <c r="F48" i="16" s="1"/>
  <c r="FE61" i="5"/>
  <c r="E49" i="16"/>
  <c r="F49" i="16" s="1"/>
  <c r="FE43" i="5"/>
  <c r="E47" i="16"/>
  <c r="F47" i="16" s="1"/>
  <c r="E17" i="16"/>
  <c r="F17" i="16" s="1"/>
  <c r="E16" i="16"/>
  <c r="F16" i="16" s="1"/>
  <c r="E18" i="16"/>
  <c r="F18" i="16" s="1"/>
  <c r="E28" i="16"/>
  <c r="F28" i="16" s="1"/>
  <c r="E29" i="16"/>
  <c r="F29" i="16" s="1"/>
  <c r="E37" i="16"/>
  <c r="F37" i="16" s="1"/>
  <c r="E31" i="16"/>
  <c r="F31" i="16" s="1"/>
  <c r="E12" i="16"/>
  <c r="F12" i="16" s="1"/>
  <c r="E30" i="16"/>
  <c r="F30" i="16" s="1"/>
  <c r="E32" i="16"/>
  <c r="F32" i="16" s="1"/>
  <c r="E13" i="16"/>
  <c r="F13" i="16" s="1"/>
  <c r="M34" i="16"/>
  <c r="N34" i="16" s="1"/>
  <c r="E36" i="16"/>
  <c r="F36" i="16" s="1"/>
  <c r="E34" i="16"/>
  <c r="F34" i="16" s="1"/>
  <c r="E14" i="16"/>
  <c r="F14" i="16" s="1"/>
  <c r="FE28" i="5"/>
  <c r="H162" i="15"/>
  <c r="F162" i="6"/>
  <c r="AL333" i="5"/>
  <c r="FC62" i="5"/>
  <c r="FB62" i="5"/>
  <c r="B14" i="6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C14" i="6"/>
  <c r="J8" i="5"/>
  <c r="K8" i="5"/>
  <c r="C13" i="6"/>
  <c r="S8" i="5"/>
  <c r="R8" i="5"/>
  <c r="W7" i="5"/>
  <c r="J7" i="5"/>
  <c r="Q8" i="5"/>
  <c r="P8" i="5"/>
  <c r="O8" i="5"/>
  <c r="N8" i="5"/>
  <c r="M8" i="5"/>
  <c r="L8" i="5"/>
  <c r="H9" i="6"/>
  <c r="CB4" i="5"/>
  <c r="DA339" i="5" s="1"/>
  <c r="D82" i="6"/>
  <c r="D131" i="6"/>
  <c r="D126" i="6"/>
  <c r="D34" i="6"/>
  <c r="D30" i="6"/>
  <c r="D33" i="6"/>
  <c r="D125" i="6"/>
  <c r="D127" i="6"/>
  <c r="D38" i="6"/>
  <c r="D128" i="6"/>
  <c r="D130" i="6"/>
  <c r="D93" i="6"/>
  <c r="D29" i="6"/>
  <c r="D26" i="6"/>
  <c r="D41" i="6"/>
  <c r="P56" i="16" l="1"/>
  <c r="H56" i="16"/>
  <c r="N56" i="16"/>
  <c r="L56" i="16"/>
  <c r="R56" i="16"/>
  <c r="J56" i="16"/>
  <c r="E57" i="16"/>
  <c r="F57" i="16" s="1"/>
  <c r="L57" i="16"/>
  <c r="R57" i="16"/>
  <c r="J57" i="16"/>
  <c r="P57" i="16"/>
  <c r="H57" i="16"/>
  <c r="N57" i="16"/>
  <c r="FE62" i="5"/>
  <c r="E56" i="16"/>
  <c r="F56" i="16" s="1"/>
  <c r="P9" i="5"/>
  <c r="R9" i="5"/>
  <c r="L9" i="5"/>
  <c r="S9" i="5"/>
  <c r="N9" i="5"/>
  <c r="Q9" i="5"/>
  <c r="M9" i="5"/>
  <c r="O9" i="5"/>
  <c r="K9" i="5"/>
  <c r="C41" i="15"/>
  <c r="G23" i="15"/>
  <c r="H23" i="6" s="1"/>
  <c r="F57" i="15"/>
  <c r="G57" i="6" s="1"/>
  <c r="E66" i="15"/>
  <c r="F66" i="6" s="1"/>
  <c r="J66" i="15"/>
  <c r="F24" i="15"/>
  <c r="G24" i="6" s="1"/>
  <c r="I31" i="15"/>
  <c r="D54" i="15"/>
  <c r="E54" i="6" s="1"/>
  <c r="F50" i="15"/>
  <c r="G50" i="6" s="1"/>
  <c r="G56" i="15"/>
  <c r="H56" i="6" s="1"/>
  <c r="J52" i="15"/>
  <c r="K58" i="15"/>
  <c r="D24" i="15"/>
  <c r="E24" i="6" s="1"/>
  <c r="D56" i="15"/>
  <c r="E56" i="6" s="1"/>
  <c r="I56" i="15"/>
  <c r="F65" i="15"/>
  <c r="G65" i="6" s="1"/>
  <c r="K65" i="15"/>
  <c r="J24" i="15"/>
  <c r="D32" i="15"/>
  <c r="E32" i="6" s="1"/>
  <c r="F53" i="15"/>
  <c r="G53" i="6" s="1"/>
  <c r="J51" i="15"/>
  <c r="K57" i="15"/>
  <c r="D25" i="15"/>
  <c r="E25" i="6" s="1"/>
  <c r="F32" i="15"/>
  <c r="G32" i="6" s="1"/>
  <c r="D59" i="15"/>
  <c r="E59" i="6" s="1"/>
  <c r="F55" i="15"/>
  <c r="G55" i="6" s="1"/>
  <c r="I51" i="15"/>
  <c r="J57" i="15"/>
  <c r="D64" i="15"/>
  <c r="E64" i="6" s="1"/>
  <c r="I64" i="15"/>
  <c r="J25" i="15"/>
  <c r="E54" i="15"/>
  <c r="F54" i="6" s="1"/>
  <c r="I52" i="15"/>
  <c r="D65" i="15"/>
  <c r="E65" i="6" s="1"/>
  <c r="E136" i="15"/>
  <c r="F136" i="6" s="1"/>
  <c r="F135" i="15"/>
  <c r="G135" i="6" s="1"/>
  <c r="G134" i="15"/>
  <c r="H134" i="6" s="1"/>
  <c r="I137" i="15"/>
  <c r="J140" i="15"/>
  <c r="K139" i="15"/>
  <c r="D138" i="15"/>
  <c r="E138" i="6" s="1"/>
  <c r="E141" i="15"/>
  <c r="F141" i="6" s="1"/>
  <c r="F144" i="15"/>
  <c r="G144" i="6" s="1"/>
  <c r="G143" i="15"/>
  <c r="H143" i="6" s="1"/>
  <c r="I142" i="15"/>
  <c r="J145" i="15"/>
  <c r="K148" i="15"/>
  <c r="E152" i="15"/>
  <c r="F152" i="6" s="1"/>
  <c r="F157" i="15"/>
  <c r="G157" i="6" s="1"/>
  <c r="I151" i="15"/>
  <c r="J156" i="15"/>
  <c r="L16" i="15"/>
  <c r="L32" i="15"/>
  <c r="L48" i="15"/>
  <c r="L64" i="15"/>
  <c r="L80" i="15"/>
  <c r="L96" i="15"/>
  <c r="L112" i="15"/>
  <c r="L128" i="15"/>
  <c r="L144" i="15"/>
  <c r="G67" i="15"/>
  <c r="H67" i="6" s="1"/>
  <c r="D135" i="15"/>
  <c r="E135" i="6" s="1"/>
  <c r="E134" i="15"/>
  <c r="F134" i="6" s="1"/>
  <c r="F137" i="15"/>
  <c r="G137" i="6" s="1"/>
  <c r="G140" i="15"/>
  <c r="H140" i="6" s="1"/>
  <c r="I139" i="15"/>
  <c r="J138" i="15"/>
  <c r="K141" i="15"/>
  <c r="E149" i="15"/>
  <c r="F149" i="6" s="1"/>
  <c r="F154" i="15"/>
  <c r="G154" i="6" s="1"/>
  <c r="G159" i="15"/>
  <c r="H159" i="6" s="1"/>
  <c r="J153" i="15"/>
  <c r="K158" i="15"/>
  <c r="L29" i="15"/>
  <c r="L45" i="15"/>
  <c r="L61" i="15"/>
  <c r="L77" i="15"/>
  <c r="L93" i="15"/>
  <c r="L109" i="15"/>
  <c r="L125" i="15"/>
  <c r="L141" i="15"/>
  <c r="L157" i="15"/>
  <c r="D148" i="15"/>
  <c r="E148" i="6" s="1"/>
  <c r="E147" i="15"/>
  <c r="F147" i="6" s="1"/>
  <c r="F146" i="15"/>
  <c r="G146" i="6" s="1"/>
  <c r="I136" i="15"/>
  <c r="D53" i="15"/>
  <c r="E53" i="6" s="1"/>
  <c r="G51" i="15"/>
  <c r="H51" i="6" s="1"/>
  <c r="F66" i="15"/>
  <c r="G66" i="6" s="1"/>
  <c r="K66" i="15"/>
  <c r="K24" i="15"/>
  <c r="E32" i="15"/>
  <c r="F32" i="6" s="1"/>
  <c r="D58" i="15"/>
  <c r="E58" i="6" s="1"/>
  <c r="F54" i="15"/>
  <c r="G54" i="6" s="1"/>
  <c r="I50" i="15"/>
  <c r="J56" i="15"/>
  <c r="D67" i="15"/>
  <c r="E67" i="6" s="1"/>
  <c r="E25" i="15"/>
  <c r="F25" i="6" s="1"/>
  <c r="E58" i="15"/>
  <c r="F58" i="6" s="1"/>
  <c r="J58" i="15"/>
  <c r="G65" i="15"/>
  <c r="H65" i="6" s="1"/>
  <c r="D23" i="15"/>
  <c r="E23" i="6" s="1"/>
  <c r="F25" i="15"/>
  <c r="G25" i="6" s="1"/>
  <c r="I32" i="15"/>
  <c r="G55" i="15"/>
  <c r="H55" i="6" s="1"/>
  <c r="J55" i="15"/>
  <c r="F23" i="15"/>
  <c r="G23" i="6" s="1"/>
  <c r="I25" i="15"/>
  <c r="K32" i="15"/>
  <c r="E53" i="15"/>
  <c r="F53" i="6" s="1"/>
  <c r="F59" i="15"/>
  <c r="G59" i="6" s="1"/>
  <c r="I55" i="15"/>
  <c r="K51" i="15"/>
  <c r="E64" i="15"/>
  <c r="F64" i="6" s="1"/>
  <c r="J64" i="15"/>
  <c r="G32" i="15"/>
  <c r="H32" i="6" s="1"/>
  <c r="F52" i="15"/>
  <c r="G52" i="6" s="1"/>
  <c r="J50" i="15"/>
  <c r="D137" i="15"/>
  <c r="E137" i="6" s="1"/>
  <c r="E140" i="15"/>
  <c r="F140" i="6" s="1"/>
  <c r="F139" i="15"/>
  <c r="G139" i="6" s="1"/>
  <c r="G138" i="15"/>
  <c r="H138" i="6" s="1"/>
  <c r="I141" i="15"/>
  <c r="J144" i="15"/>
  <c r="K143" i="15"/>
  <c r="D142" i="15"/>
  <c r="E142" i="6" s="1"/>
  <c r="E145" i="15"/>
  <c r="F145" i="6" s="1"/>
  <c r="F148" i="15"/>
  <c r="G148" i="6" s="1"/>
  <c r="G147" i="15"/>
  <c r="H147" i="6" s="1"/>
  <c r="I146" i="15"/>
  <c r="K136" i="15"/>
  <c r="D151" i="15"/>
  <c r="E151" i="6" s="1"/>
  <c r="E156" i="15"/>
  <c r="F156" i="6" s="1"/>
  <c r="G150" i="15"/>
  <c r="H150" i="6" s="1"/>
  <c r="I155" i="15"/>
  <c r="K149" i="15"/>
  <c r="L20" i="15"/>
  <c r="L36" i="15"/>
  <c r="L52" i="15"/>
  <c r="L68" i="15"/>
  <c r="L84" i="15"/>
  <c r="L100" i="15"/>
  <c r="L116" i="15"/>
  <c r="L132" i="15"/>
  <c r="L148" i="15"/>
  <c r="I67" i="15"/>
  <c r="D139" i="15"/>
  <c r="E139" i="6" s="1"/>
  <c r="E138" i="15"/>
  <c r="F138" i="6" s="1"/>
  <c r="F141" i="15"/>
  <c r="G141" i="6" s="1"/>
  <c r="G144" i="15"/>
  <c r="H144" i="6" s="1"/>
  <c r="I143" i="15"/>
  <c r="J142" i="15"/>
  <c r="K145" i="15"/>
  <c r="E153" i="15"/>
  <c r="F153" i="6" s="1"/>
  <c r="F158" i="15"/>
  <c r="G158" i="6" s="1"/>
  <c r="I152" i="15"/>
  <c r="J157" i="15"/>
  <c r="L17" i="15"/>
  <c r="L33" i="15"/>
  <c r="L49" i="15"/>
  <c r="L65" i="15"/>
  <c r="L81" i="15"/>
  <c r="L97" i="15"/>
  <c r="L113" i="15"/>
  <c r="L129" i="15"/>
  <c r="L145" i="15"/>
  <c r="D136" i="15"/>
  <c r="E136" i="6" s="1"/>
  <c r="E135" i="15"/>
  <c r="F135" i="6" s="1"/>
  <c r="F134" i="15"/>
  <c r="G134" i="6" s="1"/>
  <c r="G137" i="15"/>
  <c r="H137" i="6" s="1"/>
  <c r="I140" i="15"/>
  <c r="J139" i="15"/>
  <c r="K138" i="15"/>
  <c r="D153" i="15"/>
  <c r="E153" i="6" s="1"/>
  <c r="E158" i="15"/>
  <c r="F158" i="6" s="1"/>
  <c r="G152" i="15"/>
  <c r="H152" i="6" s="1"/>
  <c r="I157" i="15"/>
  <c r="K151" i="15"/>
  <c r="L22" i="15"/>
  <c r="L38" i="15"/>
  <c r="L54" i="15"/>
  <c r="L70" i="15"/>
  <c r="L86" i="15"/>
  <c r="L102" i="15"/>
  <c r="L118" i="15"/>
  <c r="L134" i="15"/>
  <c r="L150" i="15"/>
  <c r="D154" i="15"/>
  <c r="E154" i="6" s="1"/>
  <c r="E159" i="15"/>
  <c r="F159" i="6" s="1"/>
  <c r="G153" i="15"/>
  <c r="H153" i="6" s="1"/>
  <c r="I158" i="15"/>
  <c r="K152" i="15"/>
  <c r="L27" i="15"/>
  <c r="L43" i="15"/>
  <c r="L59" i="15"/>
  <c r="L75" i="15"/>
  <c r="L91" i="15"/>
  <c r="L107" i="15"/>
  <c r="E51" i="15"/>
  <c r="F51" i="6" s="1"/>
  <c r="I53" i="15"/>
  <c r="G66" i="15"/>
  <c r="H66" i="6" s="1"/>
  <c r="E23" i="15"/>
  <c r="F23" i="6" s="1"/>
  <c r="G25" i="15"/>
  <c r="H25" i="6" s="1"/>
  <c r="J32" i="15"/>
  <c r="E52" i="15"/>
  <c r="F52" i="6" s="1"/>
  <c r="F58" i="15"/>
  <c r="G58" i="6" s="1"/>
  <c r="I54" i="15"/>
  <c r="K50" i="15"/>
  <c r="E67" i="15"/>
  <c r="F67" i="6" s="1"/>
  <c r="F31" i="15"/>
  <c r="G31" i="6" s="1"/>
  <c r="F56" i="15"/>
  <c r="G56" i="6" s="1"/>
  <c r="K52" i="15"/>
  <c r="I65" i="15"/>
  <c r="I23" i="15"/>
  <c r="K25" i="15"/>
  <c r="D57" i="15"/>
  <c r="E57" i="6" s="1"/>
  <c r="G59" i="15"/>
  <c r="H59" i="6" s="1"/>
  <c r="J59" i="15"/>
  <c r="K23" i="15"/>
  <c r="E31" i="15"/>
  <c r="F31" i="6" s="1"/>
  <c r="D51" i="15"/>
  <c r="E51" i="6" s="1"/>
  <c r="E57" i="15"/>
  <c r="F57" i="6" s="1"/>
  <c r="G53" i="15"/>
  <c r="H53" i="6" s="1"/>
  <c r="I59" i="15"/>
  <c r="K55" i="15"/>
  <c r="F64" i="15"/>
  <c r="G64" i="6" s="1"/>
  <c r="K64" i="15"/>
  <c r="D52" i="15"/>
  <c r="E52" i="6" s="1"/>
  <c r="G50" i="15"/>
  <c r="H50" i="6" s="1"/>
  <c r="J54" i="15"/>
  <c r="D141" i="15"/>
  <c r="E141" i="6" s="1"/>
  <c r="E144" i="15"/>
  <c r="F144" i="6" s="1"/>
  <c r="F143" i="15"/>
  <c r="G143" i="6" s="1"/>
  <c r="G142" i="15"/>
  <c r="H142" i="6" s="1"/>
  <c r="I145" i="15"/>
  <c r="J148" i="15"/>
  <c r="K147" i="15"/>
  <c r="D146" i="15"/>
  <c r="E146" i="6" s="1"/>
  <c r="F136" i="15"/>
  <c r="G136" i="6" s="1"/>
  <c r="G135" i="15"/>
  <c r="H135" i="6" s="1"/>
  <c r="I134" i="15"/>
  <c r="J137" i="15"/>
  <c r="K140" i="15"/>
  <c r="D155" i="15"/>
  <c r="E155" i="6" s="1"/>
  <c r="F149" i="15"/>
  <c r="G149" i="6" s="1"/>
  <c r="G154" i="15"/>
  <c r="H154" i="6" s="1"/>
  <c r="I159" i="15"/>
  <c r="K153" i="15"/>
  <c r="L24" i="15"/>
  <c r="L40" i="15"/>
  <c r="L56" i="15"/>
  <c r="L72" i="15"/>
  <c r="L88" i="15"/>
  <c r="L104" i="15"/>
  <c r="L120" i="15"/>
  <c r="L136" i="15"/>
  <c r="L152" i="15"/>
  <c r="J67" i="15"/>
  <c r="D143" i="15"/>
  <c r="E143" i="6" s="1"/>
  <c r="E142" i="15"/>
  <c r="F142" i="6" s="1"/>
  <c r="F145" i="15"/>
  <c r="G145" i="6" s="1"/>
  <c r="G148" i="15"/>
  <c r="H148" i="6" s="1"/>
  <c r="I147" i="15"/>
  <c r="J146" i="15"/>
  <c r="D152" i="15"/>
  <c r="E152" i="6" s="1"/>
  <c r="E157" i="15"/>
  <c r="F157" i="6" s="1"/>
  <c r="G151" i="15"/>
  <c r="H151" i="6" s="1"/>
  <c r="I156" i="15"/>
  <c r="K150" i="15"/>
  <c r="L21" i="15"/>
  <c r="L37" i="15"/>
  <c r="L53" i="15"/>
  <c r="L69" i="15"/>
  <c r="L85" i="15"/>
  <c r="L101" i="15"/>
  <c r="L117" i="15"/>
  <c r="L133" i="15"/>
  <c r="L149" i="15"/>
  <c r="D140" i="15"/>
  <c r="E140" i="6" s="1"/>
  <c r="E139" i="15"/>
  <c r="F139" i="6" s="1"/>
  <c r="F138" i="15"/>
  <c r="G138" i="6" s="1"/>
  <c r="G141" i="15"/>
  <c r="H141" i="6" s="1"/>
  <c r="I144" i="15"/>
  <c r="J143" i="15"/>
  <c r="K142" i="15"/>
  <c r="D157" i="15"/>
  <c r="E157" i="6" s="1"/>
  <c r="F151" i="15"/>
  <c r="G151" i="6" s="1"/>
  <c r="G156" i="15"/>
  <c r="H156" i="6" s="1"/>
  <c r="J150" i="15"/>
  <c r="K155" i="15"/>
  <c r="L26" i="15"/>
  <c r="L42" i="15"/>
  <c r="L58" i="15"/>
  <c r="L74" i="15"/>
  <c r="L90" i="15"/>
  <c r="L106" i="15"/>
  <c r="L122" i="15"/>
  <c r="L138" i="15"/>
  <c r="L154" i="15"/>
  <c r="D158" i="15"/>
  <c r="E158" i="6" s="1"/>
  <c r="F152" i="15"/>
  <c r="G152" i="6" s="1"/>
  <c r="G157" i="15"/>
  <c r="H157" i="6" s="1"/>
  <c r="J151" i="15"/>
  <c r="K156" i="15"/>
  <c r="E55" i="15"/>
  <c r="F55" i="6" s="1"/>
  <c r="D31" i="15"/>
  <c r="E31" i="6" s="1"/>
  <c r="I58" i="15"/>
  <c r="G58" i="15"/>
  <c r="H58" i="6" s="1"/>
  <c r="G31" i="15"/>
  <c r="H31" i="6" s="1"/>
  <c r="G24" i="15"/>
  <c r="H24" i="6" s="1"/>
  <c r="G57" i="15"/>
  <c r="H57" i="6" s="1"/>
  <c r="I24" i="15"/>
  <c r="D145" i="15"/>
  <c r="E145" i="6" s="1"/>
  <c r="J136" i="15"/>
  <c r="F140" i="15"/>
  <c r="G140" i="6" s="1"/>
  <c r="K144" i="15"/>
  <c r="J152" i="15"/>
  <c r="L60" i="15"/>
  <c r="L124" i="15"/>
  <c r="D147" i="15"/>
  <c r="E147" i="6" s="1"/>
  <c r="J134" i="15"/>
  <c r="G155" i="15"/>
  <c r="H155" i="6" s="1"/>
  <c r="L41" i="15"/>
  <c r="L105" i="15"/>
  <c r="D144" i="15"/>
  <c r="E144" i="6" s="1"/>
  <c r="I148" i="15"/>
  <c r="K146" i="15"/>
  <c r="F155" i="15"/>
  <c r="G155" i="6" s="1"/>
  <c r="J154" i="15"/>
  <c r="L30" i="15"/>
  <c r="L62" i="15"/>
  <c r="L94" i="15"/>
  <c r="L126" i="15"/>
  <c r="L158" i="15"/>
  <c r="F156" i="15"/>
  <c r="G156" i="6" s="1"/>
  <c r="J155" i="15"/>
  <c r="L31" i="15"/>
  <c r="L51" i="15"/>
  <c r="L71" i="15"/>
  <c r="L95" i="15"/>
  <c r="L115" i="15"/>
  <c r="L131" i="15"/>
  <c r="L147" i="15"/>
  <c r="K133" i="15"/>
  <c r="J133" i="15"/>
  <c r="D132" i="15"/>
  <c r="E132" i="6" s="1"/>
  <c r="G133" i="15"/>
  <c r="H133" i="6" s="1"/>
  <c r="D66" i="15"/>
  <c r="E66" i="6" s="1"/>
  <c r="D50" i="15"/>
  <c r="E50" i="6" s="1"/>
  <c r="K54" i="15"/>
  <c r="E65" i="15"/>
  <c r="F65" i="6" s="1"/>
  <c r="E59" i="15"/>
  <c r="F59" i="6" s="1"/>
  <c r="J31" i="15"/>
  <c r="J53" i="15"/>
  <c r="E50" i="15"/>
  <c r="F50" i="6" s="1"/>
  <c r="E148" i="15"/>
  <c r="F148" i="6" s="1"/>
  <c r="K135" i="15"/>
  <c r="G139" i="15"/>
  <c r="H139" i="6" s="1"/>
  <c r="D159" i="15"/>
  <c r="E159" i="6" s="1"/>
  <c r="K157" i="15"/>
  <c r="L76" i="15"/>
  <c r="L140" i="15"/>
  <c r="E146" i="15"/>
  <c r="F146" i="6" s="1"/>
  <c r="K137" i="15"/>
  <c r="J149" i="15"/>
  <c r="L57" i="15"/>
  <c r="L121" i="15"/>
  <c r="E143" i="15"/>
  <c r="F143" i="6" s="1"/>
  <c r="J135" i="15"/>
  <c r="D149" i="15"/>
  <c r="E149" i="6" s="1"/>
  <c r="F159" i="15"/>
  <c r="G159" i="6" s="1"/>
  <c r="J158" i="15"/>
  <c r="L34" i="15"/>
  <c r="L66" i="15"/>
  <c r="L98" i="15"/>
  <c r="L130" i="15"/>
  <c r="D150" i="15"/>
  <c r="E150" i="6" s="1"/>
  <c r="G149" i="15"/>
  <c r="H149" i="6" s="1"/>
  <c r="J159" i="15"/>
  <c r="L35" i="15"/>
  <c r="L55" i="15"/>
  <c r="L79" i="15"/>
  <c r="L99" i="15"/>
  <c r="L119" i="15"/>
  <c r="L135" i="15"/>
  <c r="L151" i="15"/>
  <c r="K132" i="15"/>
  <c r="J132" i="15"/>
  <c r="D133" i="15"/>
  <c r="E133" i="6" s="1"/>
  <c r="G132" i="15"/>
  <c r="H132" i="6" s="1"/>
  <c r="I66" i="15"/>
  <c r="E56" i="15"/>
  <c r="F56" i="6" s="1"/>
  <c r="F67" i="15"/>
  <c r="G67" i="6" s="1"/>
  <c r="J65" i="15"/>
  <c r="I57" i="15"/>
  <c r="D55" i="15"/>
  <c r="E55" i="6" s="1"/>
  <c r="K59" i="15"/>
  <c r="G54" i="15"/>
  <c r="H54" i="6" s="1"/>
  <c r="F147" i="15"/>
  <c r="G147" i="6" s="1"/>
  <c r="D134" i="15"/>
  <c r="E134" i="6" s="1"/>
  <c r="I138" i="15"/>
  <c r="F153" i="15"/>
  <c r="G153" i="6" s="1"/>
  <c r="L28" i="15"/>
  <c r="L92" i="15"/>
  <c r="L156" i="15"/>
  <c r="G136" i="15"/>
  <c r="H136" i="6" s="1"/>
  <c r="D156" i="15"/>
  <c r="E156" i="6" s="1"/>
  <c r="K154" i="15"/>
  <c r="L73" i="15"/>
  <c r="L137" i="15"/>
  <c r="F142" i="15"/>
  <c r="G142" i="6" s="1"/>
  <c r="J147" i="15"/>
  <c r="E150" i="15"/>
  <c r="F150" i="6" s="1"/>
  <c r="I149" i="15"/>
  <c r="K159" i="15"/>
  <c r="L46" i="15"/>
  <c r="L78" i="15"/>
  <c r="L110" i="15"/>
  <c r="L142" i="15"/>
  <c r="E151" i="15"/>
  <c r="F151" i="6" s="1"/>
  <c r="I150" i="15"/>
  <c r="L19" i="15"/>
  <c r="L39" i="15"/>
  <c r="L63" i="15"/>
  <c r="L83" i="15"/>
  <c r="L103" i="15"/>
  <c r="L123" i="15"/>
  <c r="L139" i="15"/>
  <c r="L155" i="15"/>
  <c r="I133" i="15"/>
  <c r="F132" i="15"/>
  <c r="G132" i="6" s="1"/>
  <c r="E132" i="15"/>
  <c r="F132" i="6" s="1"/>
  <c r="J23" i="15"/>
  <c r="G52" i="15"/>
  <c r="H52" i="6" s="1"/>
  <c r="K31" i="15"/>
  <c r="E24" i="15"/>
  <c r="F24" i="6" s="1"/>
  <c r="K53" i="15"/>
  <c r="F51" i="15"/>
  <c r="G51" i="6" s="1"/>
  <c r="G64" i="15"/>
  <c r="H64" i="6" s="1"/>
  <c r="K56" i="15"/>
  <c r="G146" i="15"/>
  <c r="H146" i="6" s="1"/>
  <c r="E137" i="15"/>
  <c r="F137" i="6" s="1"/>
  <c r="J141" i="15"/>
  <c r="G158" i="15"/>
  <c r="H158" i="6" s="1"/>
  <c r="L44" i="15"/>
  <c r="L108" i="15"/>
  <c r="K67" i="15"/>
  <c r="I135" i="15"/>
  <c r="F150" i="15"/>
  <c r="G150" i="6" s="1"/>
  <c r="L25" i="15"/>
  <c r="L89" i="15"/>
  <c r="L153" i="15"/>
  <c r="G145" i="15"/>
  <c r="H145" i="6" s="1"/>
  <c r="K134" i="15"/>
  <c r="E154" i="15"/>
  <c r="F154" i="6" s="1"/>
  <c r="I153" i="15"/>
  <c r="L18" i="15"/>
  <c r="L50" i="15"/>
  <c r="L82" i="15"/>
  <c r="L114" i="15"/>
  <c r="L146" i="15"/>
  <c r="E155" i="15"/>
  <c r="F155" i="6" s="1"/>
  <c r="I154" i="15"/>
  <c r="L23" i="15"/>
  <c r="L47" i="15"/>
  <c r="L67" i="15"/>
  <c r="L87" i="15"/>
  <c r="L111" i="15"/>
  <c r="L127" i="15"/>
  <c r="L143" i="15"/>
  <c r="L159" i="15"/>
  <c r="I132" i="15"/>
  <c r="F133" i="15"/>
  <c r="G133" i="6" s="1"/>
  <c r="E133" i="15"/>
  <c r="F133" i="6" s="1"/>
  <c r="C25" i="15"/>
  <c r="C134" i="15"/>
  <c r="C142" i="15"/>
  <c r="C58" i="15"/>
  <c r="C148" i="15"/>
  <c r="C159" i="15"/>
  <c r="C137" i="15"/>
  <c r="C65" i="15"/>
  <c r="C155" i="15"/>
  <c r="C135" i="15"/>
  <c r="C66" i="15"/>
  <c r="C154" i="15"/>
  <c r="C50" i="15"/>
  <c r="C149" i="15"/>
  <c r="C54" i="15"/>
  <c r="C53" i="15"/>
  <c r="C51" i="15"/>
  <c r="C147" i="15"/>
  <c r="C145" i="15"/>
  <c r="C141" i="15"/>
  <c r="C31" i="15"/>
  <c r="C55" i="15"/>
  <c r="C151" i="15"/>
  <c r="C132" i="15"/>
  <c r="C57" i="15"/>
  <c r="C150" i="15"/>
  <c r="C139" i="15"/>
  <c r="C138" i="15"/>
  <c r="C146" i="15"/>
  <c r="C59" i="15"/>
  <c r="C67" i="15"/>
  <c r="C152" i="15"/>
  <c r="C32" i="15"/>
  <c r="C153" i="15"/>
  <c r="C158" i="15"/>
  <c r="C133" i="15"/>
  <c r="C136" i="15"/>
  <c r="C140" i="15"/>
  <c r="C56" i="15"/>
  <c r="C143" i="15"/>
  <c r="C144" i="15"/>
  <c r="C52" i="15"/>
  <c r="C24" i="15"/>
  <c r="C156" i="15"/>
  <c r="C23" i="15"/>
  <c r="C157" i="15"/>
  <c r="C64" i="15"/>
  <c r="D97" i="15"/>
  <c r="E97" i="6" s="1"/>
  <c r="I97" i="15"/>
  <c r="K28" i="15"/>
  <c r="I80" i="15"/>
  <c r="E98" i="15"/>
  <c r="F98" i="6" s="1"/>
  <c r="J98" i="15"/>
  <c r="I36" i="15"/>
  <c r="K81" i="15"/>
  <c r="D95" i="15"/>
  <c r="E95" i="6" s="1"/>
  <c r="I95" i="15"/>
  <c r="I28" i="15"/>
  <c r="G80" i="15"/>
  <c r="H80" i="6" s="1"/>
  <c r="G96" i="15"/>
  <c r="H96" i="6" s="1"/>
  <c r="E28" i="15"/>
  <c r="F28" i="6" s="1"/>
  <c r="E81" i="15"/>
  <c r="F81" i="6" s="1"/>
  <c r="J107" i="15"/>
  <c r="G97" i="15"/>
  <c r="H97" i="6" s="1"/>
  <c r="F28" i="15"/>
  <c r="G28" i="6" s="1"/>
  <c r="F80" i="15"/>
  <c r="G80" i="6" s="1"/>
  <c r="D98" i="15"/>
  <c r="E98" i="6" s="1"/>
  <c r="I98" i="15"/>
  <c r="I81" i="15"/>
  <c r="G95" i="15"/>
  <c r="H95" i="6" s="1"/>
  <c r="D28" i="15"/>
  <c r="E28" i="6" s="1"/>
  <c r="E80" i="15"/>
  <c r="F80" i="6" s="1"/>
  <c r="F96" i="15"/>
  <c r="G96" i="6" s="1"/>
  <c r="K36" i="15"/>
  <c r="E107" i="15"/>
  <c r="F107" i="6" s="1"/>
  <c r="E97" i="15"/>
  <c r="F97" i="6" s="1"/>
  <c r="J97" i="15"/>
  <c r="G36" i="15"/>
  <c r="H36" i="6" s="1"/>
  <c r="K80" i="15"/>
  <c r="F98" i="15"/>
  <c r="G98" i="6" s="1"/>
  <c r="K98" i="15"/>
  <c r="D81" i="15"/>
  <c r="E81" i="6" s="1"/>
  <c r="G107" i="15"/>
  <c r="H107" i="6" s="1"/>
  <c r="E95" i="15"/>
  <c r="F95" i="6" s="1"/>
  <c r="J95" i="15"/>
  <c r="E36" i="15"/>
  <c r="F36" i="6" s="1"/>
  <c r="J80" i="15"/>
  <c r="D96" i="15"/>
  <c r="E96" i="6" s="1"/>
  <c r="I96" i="15"/>
  <c r="J28" i="15"/>
  <c r="G81" i="15"/>
  <c r="H81" i="6" s="1"/>
  <c r="I107" i="15"/>
  <c r="K96" i="15"/>
  <c r="F97" i="15"/>
  <c r="G97" i="6" s="1"/>
  <c r="K97" i="15"/>
  <c r="D80" i="15"/>
  <c r="E80" i="6" s="1"/>
  <c r="F107" i="15"/>
  <c r="G107" i="6" s="1"/>
  <c r="G98" i="15"/>
  <c r="H98" i="6" s="1"/>
  <c r="G28" i="15"/>
  <c r="H28" i="6" s="1"/>
  <c r="F81" i="15"/>
  <c r="G81" i="6" s="1"/>
  <c r="L15" i="15"/>
  <c r="F95" i="15"/>
  <c r="G95" i="6" s="1"/>
  <c r="K95" i="15"/>
  <c r="J36" i="15"/>
  <c r="D107" i="15"/>
  <c r="E107" i="6" s="1"/>
  <c r="E96" i="15"/>
  <c r="F96" i="6" s="1"/>
  <c r="J96" i="15"/>
  <c r="F36" i="15"/>
  <c r="G36" i="6" s="1"/>
  <c r="J81" i="15"/>
  <c r="K107" i="15"/>
  <c r="D36" i="15"/>
  <c r="E36" i="6" s="1"/>
  <c r="C28" i="15"/>
  <c r="C98" i="15"/>
  <c r="C80" i="15"/>
  <c r="C81" i="15"/>
  <c r="C97" i="15"/>
  <c r="C36" i="15"/>
  <c r="C107" i="15"/>
  <c r="C96" i="15"/>
  <c r="C95" i="15"/>
  <c r="L13" i="15"/>
  <c r="L14" i="15"/>
  <c r="D68" i="15"/>
  <c r="E68" i="6" s="1"/>
  <c r="I68" i="15"/>
  <c r="J79" i="15"/>
  <c r="J111" i="15"/>
  <c r="K123" i="15"/>
  <c r="F74" i="15"/>
  <c r="G74" i="6" s="1"/>
  <c r="J69" i="15"/>
  <c r="D79" i="15"/>
  <c r="E79" i="6" s="1"/>
  <c r="D104" i="15"/>
  <c r="E104" i="6" s="1"/>
  <c r="E112" i="15"/>
  <c r="F112" i="6" s="1"/>
  <c r="G110" i="15"/>
  <c r="H110" i="6" s="1"/>
  <c r="J108" i="15"/>
  <c r="D118" i="15"/>
  <c r="E118" i="6" s="1"/>
  <c r="F116" i="15"/>
  <c r="G116" i="6" s="1"/>
  <c r="G123" i="15"/>
  <c r="H123" i="6" s="1"/>
  <c r="J121" i="15"/>
  <c r="G48" i="15"/>
  <c r="H48" i="6" s="1"/>
  <c r="G73" i="15"/>
  <c r="H73" i="6" s="1"/>
  <c r="I72" i="15"/>
  <c r="G104" i="15"/>
  <c r="H104" i="6" s="1"/>
  <c r="D121" i="15"/>
  <c r="E121" i="6" s="1"/>
  <c r="J116" i="15"/>
  <c r="E74" i="15"/>
  <c r="F74" i="6" s="1"/>
  <c r="I69" i="15"/>
  <c r="E72" i="15"/>
  <c r="F72" i="6" s="1"/>
  <c r="D62" i="15"/>
  <c r="E62" i="6" s="1"/>
  <c r="E70" i="15"/>
  <c r="F70" i="6" s="1"/>
  <c r="F75" i="15"/>
  <c r="G75" i="6" s="1"/>
  <c r="I62" i="15"/>
  <c r="J70" i="15"/>
  <c r="K75" i="15"/>
  <c r="F78" i="15"/>
  <c r="G78" i="6" s="1"/>
  <c r="D105" i="15"/>
  <c r="E105" i="6" s="1"/>
  <c r="F103" i="15"/>
  <c r="G103" i="6" s="1"/>
  <c r="G111" i="15"/>
  <c r="H111" i="6" s="1"/>
  <c r="J109" i="15"/>
  <c r="D119" i="15"/>
  <c r="E119" i="6" s="1"/>
  <c r="F117" i="15"/>
  <c r="G117" i="6" s="1"/>
  <c r="G124" i="15"/>
  <c r="H124" i="6" s="1"/>
  <c r="J122" i="15"/>
  <c r="E60" i="15"/>
  <c r="F60" i="6" s="1"/>
  <c r="J68" i="15"/>
  <c r="I78" i="15"/>
  <c r="I108" i="15"/>
  <c r="E116" i="15"/>
  <c r="F116" i="6" s="1"/>
  <c r="J124" i="15"/>
  <c r="F48" i="15"/>
  <c r="G48" i="6" s="1"/>
  <c r="D76" i="15"/>
  <c r="E76" i="6" s="1"/>
  <c r="F63" i="15"/>
  <c r="G63" i="6" s="1"/>
  <c r="G71" i="15"/>
  <c r="H71" i="6" s="1"/>
  <c r="I76" i="15"/>
  <c r="K63" i="15"/>
  <c r="D77" i="15"/>
  <c r="E77" i="6" s="1"/>
  <c r="J78" i="15"/>
  <c r="E105" i="15"/>
  <c r="F105" i="6" s="1"/>
  <c r="G103" i="15"/>
  <c r="H103" i="6" s="1"/>
  <c r="I111" i="15"/>
  <c r="K109" i="15"/>
  <c r="E119" i="15"/>
  <c r="F119" i="6" s="1"/>
  <c r="G117" i="15"/>
  <c r="H117" i="6" s="1"/>
  <c r="I124" i="15"/>
  <c r="K122" i="15"/>
  <c r="E68" i="15"/>
  <c r="F68" i="6" s="1"/>
  <c r="J60" i="15"/>
  <c r="D112" i="15"/>
  <c r="E112" i="6" s="1"/>
  <c r="E120" i="15"/>
  <c r="F120" i="6" s="1"/>
  <c r="D48" i="15"/>
  <c r="E48" i="6" s="1"/>
  <c r="G69" i="15"/>
  <c r="H69" i="6" s="1"/>
  <c r="J74" i="15"/>
  <c r="F77" i="15"/>
  <c r="G77" i="6" s="1"/>
  <c r="D109" i="15"/>
  <c r="E109" i="6" s="1"/>
  <c r="F106" i="15"/>
  <c r="G106" i="6" s="1"/>
  <c r="I104" i="15"/>
  <c r="J112" i="15"/>
  <c r="D122" i="15"/>
  <c r="E122" i="6" s="1"/>
  <c r="F120" i="15"/>
  <c r="G120" i="6" s="1"/>
  <c r="I118" i="15"/>
  <c r="K116" i="15"/>
  <c r="D73" i="15"/>
  <c r="E73" i="6" s="1"/>
  <c r="I73" i="15"/>
  <c r="G77" i="15"/>
  <c r="H77" i="6" s="1"/>
  <c r="I103" i="15"/>
  <c r="E124" i="15"/>
  <c r="F124" i="6" s="1"/>
  <c r="K119" i="15"/>
  <c r="F69" i="15"/>
  <c r="G69" i="6" s="1"/>
  <c r="J61" i="15"/>
  <c r="G78" i="15"/>
  <c r="H78" i="6" s="1"/>
  <c r="D70" i="15"/>
  <c r="E70" i="6" s="1"/>
  <c r="E75" i="15"/>
  <c r="F75" i="6" s="1"/>
  <c r="G62" i="15"/>
  <c r="H62" i="6" s="1"/>
  <c r="I70" i="15"/>
  <c r="J75" i="15"/>
  <c r="F72" i="15"/>
  <c r="G72" i="6" s="1"/>
  <c r="G79" i="15"/>
  <c r="H79" i="6" s="1"/>
  <c r="D110" i="15"/>
  <c r="E110" i="6" s="1"/>
  <c r="F108" i="15"/>
  <c r="G108" i="6" s="1"/>
  <c r="I105" i="15"/>
  <c r="K103" i="15"/>
  <c r="D123" i="15"/>
  <c r="E123" i="6" s="1"/>
  <c r="F121" i="15"/>
  <c r="G121" i="6" s="1"/>
  <c r="I119" i="15"/>
  <c r="K117" i="15"/>
  <c r="F68" i="15"/>
  <c r="G68" i="6" s="1"/>
  <c r="K73" i="15"/>
  <c r="D103" i="15"/>
  <c r="E103" i="6" s="1"/>
  <c r="J106" i="15"/>
  <c r="F119" i="15"/>
  <c r="G119" i="6" s="1"/>
  <c r="I48" i="15"/>
  <c r="K48" i="15"/>
  <c r="E63" i="15"/>
  <c r="F63" i="6" s="1"/>
  <c r="F71" i="15"/>
  <c r="G71" i="6" s="1"/>
  <c r="G76" i="15"/>
  <c r="H76" i="6" s="1"/>
  <c r="J63" i="15"/>
  <c r="K71" i="15"/>
  <c r="E78" i="15"/>
  <c r="F78" i="6" s="1"/>
  <c r="K79" i="15"/>
  <c r="E110" i="15"/>
  <c r="F110" i="6" s="1"/>
  <c r="G108" i="15"/>
  <c r="H108" i="6" s="1"/>
  <c r="J105" i="15"/>
  <c r="D116" i="15"/>
  <c r="E116" i="6" s="1"/>
  <c r="E123" i="15"/>
  <c r="F123" i="6" s="1"/>
  <c r="G121" i="15"/>
  <c r="H121" i="6" s="1"/>
  <c r="J119" i="15"/>
  <c r="F60" i="15"/>
  <c r="G60" i="6" s="1"/>
  <c r="K68" i="15"/>
  <c r="F105" i="15"/>
  <c r="G105" i="6" s="1"/>
  <c r="G118" i="15"/>
  <c r="H118" i="6" s="1"/>
  <c r="D69" i="15"/>
  <c r="E69" i="6" s="1"/>
  <c r="I61" i="15"/>
  <c r="K74" i="15"/>
  <c r="I79" i="15"/>
  <c r="E103" i="15"/>
  <c r="F103" i="6" s="1"/>
  <c r="F111" i="15"/>
  <c r="G111" i="6" s="1"/>
  <c r="I109" i="15"/>
  <c r="K106" i="15"/>
  <c r="E117" i="15"/>
  <c r="F117" i="6" s="1"/>
  <c r="F124" i="15"/>
  <c r="G124" i="6" s="1"/>
  <c r="I122" i="15"/>
  <c r="K120" i="15"/>
  <c r="E73" i="15"/>
  <c r="F73" i="6" s="1"/>
  <c r="J73" i="15"/>
  <c r="D108" i="15"/>
  <c r="E108" i="6" s="1"/>
  <c r="I112" i="15"/>
  <c r="F123" i="15"/>
  <c r="G123" i="6" s="1"/>
  <c r="D61" i="15"/>
  <c r="E61" i="6" s="1"/>
  <c r="G61" i="15"/>
  <c r="H61" i="6" s="1"/>
  <c r="K61" i="15"/>
  <c r="E48" i="15"/>
  <c r="F48" i="6" s="1"/>
  <c r="D75" i="15"/>
  <c r="E75" i="6" s="1"/>
  <c r="F62" i="15"/>
  <c r="G62" i="6" s="1"/>
  <c r="G70" i="15"/>
  <c r="H70" i="6" s="1"/>
  <c r="I75" i="15"/>
  <c r="K62" i="15"/>
  <c r="K72" i="15"/>
  <c r="J77" i="15"/>
  <c r="E104" i="15"/>
  <c r="F104" i="6" s="1"/>
  <c r="F112" i="15"/>
  <c r="G112" i="6" s="1"/>
  <c r="I110" i="15"/>
  <c r="K108" i="15"/>
  <c r="E118" i="15"/>
  <c r="F118" i="6" s="1"/>
  <c r="G116" i="15"/>
  <c r="H116" i="6" s="1"/>
  <c r="I123" i="15"/>
  <c r="K121" i="15"/>
  <c r="G68" i="15"/>
  <c r="H68" i="6" s="1"/>
  <c r="D72" i="15"/>
  <c r="E72" i="6" s="1"/>
  <c r="E106" i="15"/>
  <c r="F106" i="6" s="1"/>
  <c r="K105" i="15"/>
  <c r="G122" i="15"/>
  <c r="H122" i="6" s="1"/>
  <c r="D74" i="15"/>
  <c r="E74" i="6" s="1"/>
  <c r="D63" i="15"/>
  <c r="E63" i="6" s="1"/>
  <c r="E71" i="15"/>
  <c r="F71" i="6" s="1"/>
  <c r="F76" i="15"/>
  <c r="G76" i="6" s="1"/>
  <c r="I63" i="15"/>
  <c r="J71" i="15"/>
  <c r="K76" i="15"/>
  <c r="F79" i="15"/>
  <c r="G79" i="6" s="1"/>
  <c r="D106" i="15"/>
  <c r="E106" i="6" s="1"/>
  <c r="F104" i="15"/>
  <c r="G104" i="6" s="1"/>
  <c r="G112" i="15"/>
  <c r="H112" i="6" s="1"/>
  <c r="J110" i="15"/>
  <c r="D120" i="15"/>
  <c r="E120" i="6" s="1"/>
  <c r="F118" i="15"/>
  <c r="G118" i="6" s="1"/>
  <c r="I116" i="15"/>
  <c r="J123" i="15"/>
  <c r="G60" i="15"/>
  <c r="H60" i="6" s="1"/>
  <c r="D78" i="15"/>
  <c r="E78" i="6" s="1"/>
  <c r="G109" i="15"/>
  <c r="H109" i="6" s="1"/>
  <c r="J120" i="15"/>
  <c r="F61" i="15"/>
  <c r="G61" i="6" s="1"/>
  <c r="I74" i="15"/>
  <c r="J72" i="15"/>
  <c r="K77" i="15"/>
  <c r="E108" i="15"/>
  <c r="F108" i="6" s="1"/>
  <c r="G105" i="15"/>
  <c r="H105" i="6" s="1"/>
  <c r="J103" i="15"/>
  <c r="K111" i="15"/>
  <c r="E121" i="15"/>
  <c r="F121" i="6" s="1"/>
  <c r="G119" i="15"/>
  <c r="H119" i="6" s="1"/>
  <c r="J117" i="15"/>
  <c r="K124" i="15"/>
  <c r="F73" i="15"/>
  <c r="G73" i="6" s="1"/>
  <c r="K60" i="15"/>
  <c r="E111" i="15"/>
  <c r="F111" i="6" s="1"/>
  <c r="K110" i="15"/>
  <c r="I117" i="15"/>
  <c r="E61" i="15"/>
  <c r="F61" i="6" s="1"/>
  <c r="G74" i="15"/>
  <c r="H74" i="6" s="1"/>
  <c r="K69" i="15"/>
  <c r="J48" i="15"/>
  <c r="E62" i="15"/>
  <c r="F62" i="6" s="1"/>
  <c r="F70" i="15"/>
  <c r="G70" i="6" s="1"/>
  <c r="G75" i="15"/>
  <c r="H75" i="6" s="1"/>
  <c r="J62" i="15"/>
  <c r="K70" i="15"/>
  <c r="E77" i="15"/>
  <c r="F77" i="6" s="1"/>
  <c r="K78" i="15"/>
  <c r="E109" i="15"/>
  <c r="F109" i="6" s="1"/>
  <c r="G106" i="15"/>
  <c r="H106" i="6" s="1"/>
  <c r="J104" i="15"/>
  <c r="K112" i="15"/>
  <c r="E122" i="15"/>
  <c r="F122" i="6" s="1"/>
  <c r="G120" i="15"/>
  <c r="H120" i="6" s="1"/>
  <c r="J118" i="15"/>
  <c r="D60" i="15"/>
  <c r="E60" i="6" s="1"/>
  <c r="I60" i="15"/>
  <c r="E79" i="15"/>
  <c r="F79" i="6" s="1"/>
  <c r="F110" i="15"/>
  <c r="G110" i="6" s="1"/>
  <c r="D117" i="15"/>
  <c r="E117" i="6" s="1"/>
  <c r="I121" i="15"/>
  <c r="E69" i="15"/>
  <c r="F69" i="6" s="1"/>
  <c r="D71" i="15"/>
  <c r="E71" i="6" s="1"/>
  <c r="E76" i="15"/>
  <c r="F76" i="6" s="1"/>
  <c r="G63" i="15"/>
  <c r="H63" i="6" s="1"/>
  <c r="I71" i="15"/>
  <c r="J76" i="15"/>
  <c r="G72" i="15"/>
  <c r="H72" i="6" s="1"/>
  <c r="I77" i="15"/>
  <c r="D111" i="15"/>
  <c r="E111" i="6" s="1"/>
  <c r="F109" i="15"/>
  <c r="G109" i="6" s="1"/>
  <c r="I106" i="15"/>
  <c r="K104" i="15"/>
  <c r="D124" i="15"/>
  <c r="E124" i="6" s="1"/>
  <c r="F122" i="15"/>
  <c r="G122" i="6" s="1"/>
  <c r="I120" i="15"/>
  <c r="K118" i="15"/>
  <c r="C48" i="15"/>
  <c r="C121" i="15"/>
  <c r="C71" i="15"/>
  <c r="C60" i="15"/>
  <c r="C78" i="15"/>
  <c r="C105" i="15"/>
  <c r="C103" i="15"/>
  <c r="C108" i="15"/>
  <c r="C73" i="15"/>
  <c r="C122" i="15"/>
  <c r="C116" i="15"/>
  <c r="C74" i="15"/>
  <c r="C69" i="15"/>
  <c r="C72" i="15"/>
  <c r="C109" i="15"/>
  <c r="C68" i="15"/>
  <c r="C123" i="15"/>
  <c r="C79" i="15"/>
  <c r="C61" i="15"/>
  <c r="C70" i="15"/>
  <c r="C124" i="15"/>
  <c r="C106" i="15"/>
  <c r="C62" i="15"/>
  <c r="C112" i="15"/>
  <c r="C104" i="15"/>
  <c r="C118" i="15"/>
  <c r="C111" i="15"/>
  <c r="C76" i="15"/>
  <c r="C63" i="15"/>
  <c r="C77" i="15"/>
  <c r="C117" i="15"/>
  <c r="C120" i="15"/>
  <c r="C119" i="15"/>
  <c r="C110" i="15"/>
  <c r="C75" i="15"/>
  <c r="F101" i="15"/>
  <c r="G101" i="6" s="1"/>
  <c r="I37" i="15"/>
  <c r="K43" i="15"/>
  <c r="E46" i="15"/>
  <c r="F46" i="6" s="1"/>
  <c r="G92" i="15"/>
  <c r="H92" i="6" s="1"/>
  <c r="D35" i="15"/>
  <c r="E35" i="6" s="1"/>
  <c r="F42" i="15"/>
  <c r="G42" i="6" s="1"/>
  <c r="I44" i="15"/>
  <c r="K46" i="15"/>
  <c r="E91" i="15"/>
  <c r="F91" i="6" s="1"/>
  <c r="E35" i="15"/>
  <c r="F35" i="6" s="1"/>
  <c r="G42" i="15"/>
  <c r="H42" i="6" s="1"/>
  <c r="J44" i="15"/>
  <c r="D47" i="15"/>
  <c r="E47" i="6" s="1"/>
  <c r="F91" i="15"/>
  <c r="G91" i="6" s="1"/>
  <c r="F35" i="15"/>
  <c r="G35" i="6" s="1"/>
  <c r="I42" i="15"/>
  <c r="K44" i="15"/>
  <c r="E47" i="15"/>
  <c r="F47" i="6" s="1"/>
  <c r="G91" i="15"/>
  <c r="H91" i="6" s="1"/>
  <c r="K101" i="15"/>
  <c r="E42" i="15"/>
  <c r="F42" i="6" s="1"/>
  <c r="G44" i="15"/>
  <c r="H44" i="6" s="1"/>
  <c r="J46" i="15"/>
  <c r="D91" i="15"/>
  <c r="E91" i="6" s="1"/>
  <c r="I35" i="15"/>
  <c r="K42" i="15"/>
  <c r="E45" i="15"/>
  <c r="F45" i="6" s="1"/>
  <c r="G47" i="15"/>
  <c r="H47" i="6" s="1"/>
  <c r="J91" i="15"/>
  <c r="J35" i="15"/>
  <c r="D43" i="15"/>
  <c r="E43" i="6" s="1"/>
  <c r="F45" i="15"/>
  <c r="G45" i="6" s="1"/>
  <c r="I47" i="15"/>
  <c r="K91" i="15"/>
  <c r="K35" i="15"/>
  <c r="E43" i="15"/>
  <c r="F43" i="6" s="1"/>
  <c r="G45" i="15"/>
  <c r="H45" i="6" s="1"/>
  <c r="J47" i="15"/>
  <c r="G35" i="15"/>
  <c r="H35" i="6" s="1"/>
  <c r="J42" i="15"/>
  <c r="D45" i="15"/>
  <c r="E45" i="6" s="1"/>
  <c r="F47" i="15"/>
  <c r="G47" i="6" s="1"/>
  <c r="I91" i="15"/>
  <c r="E37" i="15"/>
  <c r="F37" i="6" s="1"/>
  <c r="G43" i="15"/>
  <c r="H43" i="6" s="1"/>
  <c r="J45" i="15"/>
  <c r="D92" i="15"/>
  <c r="E92" i="6" s="1"/>
  <c r="D101" i="15"/>
  <c r="E101" i="6" s="1"/>
  <c r="F37" i="15"/>
  <c r="G37" i="6" s="1"/>
  <c r="I43" i="15"/>
  <c r="K45" i="15"/>
  <c r="E92" i="15"/>
  <c r="F92" i="6" s="1"/>
  <c r="E101" i="15"/>
  <c r="F101" i="6" s="1"/>
  <c r="G37" i="15"/>
  <c r="H37" i="6" s="1"/>
  <c r="J43" i="15"/>
  <c r="D46" i="15"/>
  <c r="E46" i="6" s="1"/>
  <c r="F92" i="15"/>
  <c r="G92" i="6" s="1"/>
  <c r="D37" i="15"/>
  <c r="E37" i="6" s="1"/>
  <c r="F43" i="15"/>
  <c r="G43" i="6" s="1"/>
  <c r="I45" i="15"/>
  <c r="K47" i="15"/>
  <c r="G101" i="15"/>
  <c r="H101" i="6" s="1"/>
  <c r="J37" i="15"/>
  <c r="D44" i="15"/>
  <c r="E44" i="6" s="1"/>
  <c r="F46" i="15"/>
  <c r="G46" i="6" s="1"/>
  <c r="I92" i="15"/>
  <c r="I101" i="15"/>
  <c r="K37" i="15"/>
  <c r="E44" i="15"/>
  <c r="F44" i="6" s="1"/>
  <c r="G46" i="15"/>
  <c r="H46" i="6" s="1"/>
  <c r="J92" i="15"/>
  <c r="J101" i="15"/>
  <c r="D42" i="15"/>
  <c r="E42" i="6" s="1"/>
  <c r="F44" i="15"/>
  <c r="G44" i="6" s="1"/>
  <c r="I46" i="15"/>
  <c r="K92" i="15"/>
  <c r="I16" i="15"/>
  <c r="I41" i="15"/>
  <c r="I113" i="15"/>
  <c r="J19" i="15"/>
  <c r="J83" i="15"/>
  <c r="J125" i="15"/>
  <c r="K21" i="15"/>
  <c r="K85" i="15"/>
  <c r="K127" i="15"/>
  <c r="C92" i="15"/>
  <c r="I29" i="15"/>
  <c r="I89" i="15"/>
  <c r="I131" i="15"/>
  <c r="J34" i="15"/>
  <c r="J94" i="15"/>
  <c r="K14" i="15"/>
  <c r="K39" i="15"/>
  <c r="K100" i="15"/>
  <c r="C46" i="15"/>
  <c r="I30" i="15"/>
  <c r="I90" i="15"/>
  <c r="J13" i="15"/>
  <c r="J38" i="15"/>
  <c r="J99" i="15"/>
  <c r="K15" i="15"/>
  <c r="K40" i="15"/>
  <c r="K102" i="15"/>
  <c r="C42" i="15"/>
  <c r="I26" i="15"/>
  <c r="I87" i="15"/>
  <c r="I129" i="15"/>
  <c r="J30" i="15"/>
  <c r="J90" i="15"/>
  <c r="K16" i="15"/>
  <c r="K41" i="15"/>
  <c r="K113" i="15"/>
  <c r="C44" i="15"/>
  <c r="I20" i="15"/>
  <c r="I84" i="15"/>
  <c r="I126" i="15"/>
  <c r="J26" i="15"/>
  <c r="J87" i="15"/>
  <c r="J129" i="15"/>
  <c r="K29" i="15"/>
  <c r="K89" i="15"/>
  <c r="K131" i="15"/>
  <c r="I13" i="15"/>
  <c r="I38" i="15"/>
  <c r="I99" i="15"/>
  <c r="J16" i="15"/>
  <c r="J41" i="15"/>
  <c r="J113" i="15"/>
  <c r="K18" i="15"/>
  <c r="K82" i="15"/>
  <c r="K115" i="15"/>
  <c r="I14" i="15"/>
  <c r="I39" i="15"/>
  <c r="I100" i="15"/>
  <c r="J17" i="15"/>
  <c r="J49" i="15"/>
  <c r="J114" i="15"/>
  <c r="K19" i="15"/>
  <c r="K83" i="15"/>
  <c r="K125" i="15"/>
  <c r="C45" i="15"/>
  <c r="I33" i="15"/>
  <c r="I93" i="15"/>
  <c r="J14" i="15"/>
  <c r="J39" i="15"/>
  <c r="J100" i="15"/>
  <c r="K20" i="15"/>
  <c r="K84" i="15"/>
  <c r="K126" i="15"/>
  <c r="C91" i="15"/>
  <c r="I27" i="15"/>
  <c r="I88" i="15"/>
  <c r="I130" i="15"/>
  <c r="J33" i="15"/>
  <c r="J93" i="15"/>
  <c r="K13" i="15"/>
  <c r="K38" i="15"/>
  <c r="K99" i="15"/>
  <c r="C43" i="15"/>
  <c r="I17" i="15"/>
  <c r="I49" i="15"/>
  <c r="I114" i="15"/>
  <c r="J20" i="15"/>
  <c r="J84" i="15"/>
  <c r="J126" i="15"/>
  <c r="K22" i="15"/>
  <c r="K86" i="15"/>
  <c r="K128" i="15"/>
  <c r="I18" i="15"/>
  <c r="I82" i="15"/>
  <c r="I115" i="15"/>
  <c r="J21" i="15"/>
  <c r="J85" i="15"/>
  <c r="J127" i="15"/>
  <c r="K26" i="15"/>
  <c r="K87" i="15"/>
  <c r="K129" i="15"/>
  <c r="I15" i="15"/>
  <c r="I40" i="15"/>
  <c r="I102" i="15"/>
  <c r="J18" i="15"/>
  <c r="J82" i="15"/>
  <c r="J115" i="15"/>
  <c r="K27" i="15"/>
  <c r="K88" i="15"/>
  <c r="K130" i="15"/>
  <c r="I34" i="15"/>
  <c r="I94" i="15"/>
  <c r="J15" i="15"/>
  <c r="J40" i="15"/>
  <c r="J102" i="15"/>
  <c r="K17" i="15"/>
  <c r="K49" i="15"/>
  <c r="K114" i="15"/>
  <c r="C47" i="15"/>
  <c r="I21" i="15"/>
  <c r="I85" i="15"/>
  <c r="I127" i="15"/>
  <c r="J27" i="15"/>
  <c r="J88" i="15"/>
  <c r="J130" i="15"/>
  <c r="K30" i="15"/>
  <c r="K90" i="15"/>
  <c r="C101" i="15"/>
  <c r="I22" i="15"/>
  <c r="I86" i="15"/>
  <c r="I128" i="15"/>
  <c r="J29" i="15"/>
  <c r="J89" i="15"/>
  <c r="J131" i="15"/>
  <c r="K33" i="15"/>
  <c r="K93" i="15"/>
  <c r="C35" i="15"/>
  <c r="I19" i="15"/>
  <c r="I83" i="15"/>
  <c r="I125" i="15"/>
  <c r="J22" i="15"/>
  <c r="J86" i="15"/>
  <c r="J128" i="15"/>
  <c r="K34" i="15"/>
  <c r="K94" i="15"/>
  <c r="C37" i="15"/>
  <c r="D16" i="15"/>
  <c r="E16" i="6" s="1"/>
  <c r="D49" i="15"/>
  <c r="E49" i="6" s="1"/>
  <c r="D114" i="15"/>
  <c r="E114" i="6" s="1"/>
  <c r="E20" i="15"/>
  <c r="F20" i="6" s="1"/>
  <c r="E85" i="15"/>
  <c r="F85" i="6" s="1"/>
  <c r="E127" i="15"/>
  <c r="F127" i="6" s="1"/>
  <c r="F27" i="15"/>
  <c r="G27" i="6" s="1"/>
  <c r="F89" i="15"/>
  <c r="G89" i="6" s="1"/>
  <c r="F131" i="15"/>
  <c r="G131" i="6" s="1"/>
  <c r="G34" i="15"/>
  <c r="H34" i="6" s="1"/>
  <c r="G99" i="15"/>
  <c r="H99" i="6" s="1"/>
  <c r="E41" i="15"/>
  <c r="F41" i="6" s="1"/>
  <c r="D86" i="15"/>
  <c r="E86" i="6" s="1"/>
  <c r="D128" i="15"/>
  <c r="E128" i="6" s="1"/>
  <c r="E29" i="15"/>
  <c r="F29" i="6" s="1"/>
  <c r="E90" i="15"/>
  <c r="F90" i="6" s="1"/>
  <c r="F13" i="15"/>
  <c r="G13" i="6" s="1"/>
  <c r="F38" i="15"/>
  <c r="G38" i="6" s="1"/>
  <c r="F100" i="15"/>
  <c r="G100" i="6" s="1"/>
  <c r="G17" i="15"/>
  <c r="H17" i="6" s="1"/>
  <c r="G82" i="15"/>
  <c r="H82" i="6" s="1"/>
  <c r="G115" i="15"/>
  <c r="H115" i="6" s="1"/>
  <c r="D14" i="15"/>
  <c r="E14" i="6" s="1"/>
  <c r="D93" i="15"/>
  <c r="E93" i="6" s="1"/>
  <c r="E14" i="15"/>
  <c r="F14" i="6" s="1"/>
  <c r="E39" i="15"/>
  <c r="F39" i="6" s="1"/>
  <c r="E102" i="15"/>
  <c r="F102" i="6" s="1"/>
  <c r="F18" i="15"/>
  <c r="G18" i="6" s="1"/>
  <c r="F83" i="15"/>
  <c r="G83" i="6" s="1"/>
  <c r="F125" i="15"/>
  <c r="G125" i="6" s="1"/>
  <c r="G22" i="15"/>
  <c r="H22" i="6" s="1"/>
  <c r="G87" i="15"/>
  <c r="H87" i="6" s="1"/>
  <c r="G129" i="15"/>
  <c r="H129" i="6" s="1"/>
  <c r="D18" i="15"/>
  <c r="E18" i="6" s="1"/>
  <c r="D19" i="15"/>
  <c r="E19" i="6" s="1"/>
  <c r="D84" i="15"/>
  <c r="E84" i="6" s="1"/>
  <c r="D126" i="15"/>
  <c r="E126" i="6" s="1"/>
  <c r="E26" i="15"/>
  <c r="F26" i="6" s="1"/>
  <c r="E88" i="15"/>
  <c r="F88" i="6" s="1"/>
  <c r="E130" i="15"/>
  <c r="F130" i="6" s="1"/>
  <c r="F33" i="15"/>
  <c r="G33" i="6" s="1"/>
  <c r="F94" i="15"/>
  <c r="G94" i="6" s="1"/>
  <c r="G15" i="15"/>
  <c r="H15" i="6" s="1"/>
  <c r="G40" i="15"/>
  <c r="H40" i="6" s="1"/>
  <c r="G113" i="15"/>
  <c r="H113" i="6" s="1"/>
  <c r="D20" i="15"/>
  <c r="E20" i="6" s="1"/>
  <c r="D85" i="15"/>
  <c r="E85" i="6" s="1"/>
  <c r="D127" i="15"/>
  <c r="E127" i="6" s="1"/>
  <c r="E27" i="15"/>
  <c r="F27" i="6" s="1"/>
  <c r="E89" i="15"/>
  <c r="F89" i="6" s="1"/>
  <c r="E131" i="15"/>
  <c r="F131" i="6" s="1"/>
  <c r="F34" i="15"/>
  <c r="G34" i="6" s="1"/>
  <c r="F99" i="15"/>
  <c r="G99" i="6" s="1"/>
  <c r="G16" i="15"/>
  <c r="H16" i="6" s="1"/>
  <c r="G49" i="15"/>
  <c r="H49" i="6" s="1"/>
  <c r="G114" i="15"/>
  <c r="H114" i="6" s="1"/>
  <c r="D21" i="15"/>
  <c r="E21" i="6" s="1"/>
  <c r="D90" i="15"/>
  <c r="E90" i="6" s="1"/>
  <c r="E13" i="15"/>
  <c r="F13" i="6" s="1"/>
  <c r="E38" i="15"/>
  <c r="F38" i="6" s="1"/>
  <c r="E100" i="15"/>
  <c r="F100" i="6" s="1"/>
  <c r="F17" i="15"/>
  <c r="G17" i="6" s="1"/>
  <c r="F82" i="15"/>
  <c r="G82" i="6" s="1"/>
  <c r="F115" i="15"/>
  <c r="G115" i="6" s="1"/>
  <c r="G21" i="15"/>
  <c r="H21" i="6" s="1"/>
  <c r="G86" i="15"/>
  <c r="H86" i="6" s="1"/>
  <c r="G128" i="15"/>
  <c r="H128" i="6" s="1"/>
  <c r="D30" i="15"/>
  <c r="E30" i="6" s="1"/>
  <c r="D102" i="15"/>
  <c r="E102" i="6" s="1"/>
  <c r="E18" i="15"/>
  <c r="F18" i="6" s="1"/>
  <c r="E83" i="15"/>
  <c r="F83" i="6" s="1"/>
  <c r="E125" i="15"/>
  <c r="F125" i="6" s="1"/>
  <c r="F22" i="15"/>
  <c r="G22" i="6" s="1"/>
  <c r="F87" i="15"/>
  <c r="G87" i="6" s="1"/>
  <c r="F129" i="15"/>
  <c r="G129" i="6" s="1"/>
  <c r="G30" i="15"/>
  <c r="H30" i="6" s="1"/>
  <c r="G93" i="15"/>
  <c r="H93" i="6" s="1"/>
  <c r="G41" i="15"/>
  <c r="H41" i="6" s="1"/>
  <c r="D22" i="15"/>
  <c r="E22" i="6" s="1"/>
  <c r="D26" i="15"/>
  <c r="E26" i="6" s="1"/>
  <c r="D88" i="15"/>
  <c r="E88" i="6" s="1"/>
  <c r="D130" i="15"/>
  <c r="E130" i="6" s="1"/>
  <c r="E33" i="15"/>
  <c r="F33" i="6" s="1"/>
  <c r="E94" i="15"/>
  <c r="F94" i="6" s="1"/>
  <c r="F15" i="15"/>
  <c r="G15" i="6" s="1"/>
  <c r="F40" i="15"/>
  <c r="G40" i="6" s="1"/>
  <c r="F113" i="15"/>
  <c r="G113" i="6" s="1"/>
  <c r="G19" i="15"/>
  <c r="H19" i="6" s="1"/>
  <c r="G84" i="15"/>
  <c r="H84" i="6" s="1"/>
  <c r="G126" i="15"/>
  <c r="H126" i="6" s="1"/>
  <c r="D27" i="15"/>
  <c r="E27" i="6" s="1"/>
  <c r="D89" i="15"/>
  <c r="E89" i="6" s="1"/>
  <c r="D131" i="15"/>
  <c r="E131" i="6" s="1"/>
  <c r="E34" i="15"/>
  <c r="F34" i="6" s="1"/>
  <c r="E99" i="15"/>
  <c r="F99" i="6" s="1"/>
  <c r="F16" i="15"/>
  <c r="G16" i="6" s="1"/>
  <c r="F49" i="15"/>
  <c r="G49" i="6" s="1"/>
  <c r="F114" i="15"/>
  <c r="G114" i="6" s="1"/>
  <c r="G20" i="15"/>
  <c r="H20" i="6" s="1"/>
  <c r="G85" i="15"/>
  <c r="H85" i="6" s="1"/>
  <c r="G127" i="15"/>
  <c r="H127" i="6" s="1"/>
  <c r="D38" i="15"/>
  <c r="E38" i="6" s="1"/>
  <c r="D100" i="15"/>
  <c r="E100" i="6" s="1"/>
  <c r="E17" i="15"/>
  <c r="F17" i="6" s="1"/>
  <c r="E82" i="15"/>
  <c r="F82" i="6" s="1"/>
  <c r="E115" i="15"/>
  <c r="F115" i="6" s="1"/>
  <c r="F21" i="15"/>
  <c r="G21" i="6" s="1"/>
  <c r="F86" i="15"/>
  <c r="G86" i="6" s="1"/>
  <c r="F128" i="15"/>
  <c r="G128" i="6" s="1"/>
  <c r="G29" i="15"/>
  <c r="H29" i="6" s="1"/>
  <c r="G90" i="15"/>
  <c r="H90" i="6" s="1"/>
  <c r="F41" i="15"/>
  <c r="G41" i="6" s="1"/>
  <c r="D83" i="15"/>
  <c r="E83" i="6" s="1"/>
  <c r="D125" i="15"/>
  <c r="E125" i="6" s="1"/>
  <c r="E22" i="15"/>
  <c r="F22" i="6" s="1"/>
  <c r="E87" i="15"/>
  <c r="F87" i="6" s="1"/>
  <c r="E129" i="15"/>
  <c r="F129" i="6" s="1"/>
  <c r="F30" i="15"/>
  <c r="G30" i="6" s="1"/>
  <c r="F93" i="15"/>
  <c r="G93" i="6" s="1"/>
  <c r="G14" i="15"/>
  <c r="H14" i="6" s="1"/>
  <c r="G39" i="15"/>
  <c r="H39" i="6" s="1"/>
  <c r="G102" i="15"/>
  <c r="H102" i="6" s="1"/>
  <c r="D17" i="15"/>
  <c r="E17" i="6" s="1"/>
  <c r="D39" i="15"/>
  <c r="E39" i="6" s="1"/>
  <c r="D33" i="15"/>
  <c r="E33" i="6" s="1"/>
  <c r="D94" i="15"/>
  <c r="E94" i="6" s="1"/>
  <c r="E15" i="15"/>
  <c r="F15" i="6" s="1"/>
  <c r="E40" i="15"/>
  <c r="F40" i="6" s="1"/>
  <c r="E113" i="15"/>
  <c r="F113" i="6" s="1"/>
  <c r="F19" i="15"/>
  <c r="G19" i="6" s="1"/>
  <c r="F84" i="15"/>
  <c r="G84" i="6" s="1"/>
  <c r="F126" i="15"/>
  <c r="G126" i="6" s="1"/>
  <c r="G26" i="15"/>
  <c r="H26" i="6" s="1"/>
  <c r="G88" i="15"/>
  <c r="H88" i="6" s="1"/>
  <c r="G130" i="15"/>
  <c r="H130" i="6" s="1"/>
  <c r="D34" i="15"/>
  <c r="E34" i="6" s="1"/>
  <c r="D99" i="15"/>
  <c r="E99" i="6" s="1"/>
  <c r="E16" i="15"/>
  <c r="F16" i="6" s="1"/>
  <c r="E49" i="15"/>
  <c r="F49" i="6" s="1"/>
  <c r="E114" i="15"/>
  <c r="F114" i="6" s="1"/>
  <c r="F20" i="15"/>
  <c r="G20" i="6" s="1"/>
  <c r="F85" i="15"/>
  <c r="G85" i="6" s="1"/>
  <c r="F127" i="15"/>
  <c r="G127" i="6" s="1"/>
  <c r="G27" i="15"/>
  <c r="H27" i="6" s="1"/>
  <c r="G89" i="15"/>
  <c r="H89" i="6" s="1"/>
  <c r="G131" i="15"/>
  <c r="H131" i="6" s="1"/>
  <c r="D82" i="15"/>
  <c r="E82" i="6" s="1"/>
  <c r="D115" i="15"/>
  <c r="E115" i="6" s="1"/>
  <c r="E21" i="15"/>
  <c r="F21" i="6" s="1"/>
  <c r="E86" i="15"/>
  <c r="F86" i="6" s="1"/>
  <c r="E128" i="15"/>
  <c r="F128" i="6" s="1"/>
  <c r="F29" i="15"/>
  <c r="G29" i="6" s="1"/>
  <c r="F90" i="15"/>
  <c r="G90" i="6" s="1"/>
  <c r="G13" i="15"/>
  <c r="H13" i="6" s="1"/>
  <c r="G38" i="15"/>
  <c r="H38" i="6" s="1"/>
  <c r="G100" i="15"/>
  <c r="H100" i="6" s="1"/>
  <c r="D13" i="15"/>
  <c r="E13" i="6" s="1"/>
  <c r="D87" i="15"/>
  <c r="E87" i="6" s="1"/>
  <c r="D129" i="15"/>
  <c r="E129" i="6" s="1"/>
  <c r="E30" i="15"/>
  <c r="F30" i="6" s="1"/>
  <c r="E93" i="15"/>
  <c r="F93" i="6" s="1"/>
  <c r="F14" i="15"/>
  <c r="G14" i="6" s="1"/>
  <c r="F39" i="15"/>
  <c r="G39" i="6" s="1"/>
  <c r="F102" i="15"/>
  <c r="G102" i="6" s="1"/>
  <c r="G18" i="15"/>
  <c r="H18" i="6" s="1"/>
  <c r="G83" i="15"/>
  <c r="H83" i="6" s="1"/>
  <c r="G125" i="15"/>
  <c r="H125" i="6" s="1"/>
  <c r="D29" i="15"/>
  <c r="E29" i="6" s="1"/>
  <c r="D15" i="15"/>
  <c r="E15" i="6" s="1"/>
  <c r="D40" i="15"/>
  <c r="E40" i="6" s="1"/>
  <c r="D113" i="15"/>
  <c r="E113" i="6" s="1"/>
  <c r="E19" i="15"/>
  <c r="F19" i="6" s="1"/>
  <c r="E84" i="15"/>
  <c r="F84" i="6" s="1"/>
  <c r="E126" i="15"/>
  <c r="F126" i="6" s="1"/>
  <c r="F26" i="15"/>
  <c r="G26" i="6" s="1"/>
  <c r="F88" i="15"/>
  <c r="G88" i="6" s="1"/>
  <c r="F130" i="15"/>
  <c r="G130" i="6" s="1"/>
  <c r="G33" i="15"/>
  <c r="H33" i="6" s="1"/>
  <c r="G94" i="15"/>
  <c r="H94" i="6" s="1"/>
  <c r="D41" i="15"/>
  <c r="E41" i="6" s="1"/>
  <c r="FC333" i="5"/>
  <c r="I162" i="6"/>
  <c r="AM162" i="15"/>
  <c r="J9" i="5"/>
  <c r="AF106" i="15"/>
  <c r="AC106" i="15"/>
  <c r="AA106" i="15"/>
  <c r="U106" i="15"/>
  <c r="P106" i="15"/>
  <c r="AI16" i="15"/>
  <c r="AD16" i="15"/>
  <c r="AA16" i="15"/>
  <c r="U16" i="15"/>
  <c r="N16" i="15"/>
  <c r="AD24" i="15"/>
  <c r="AI24" i="15"/>
  <c r="AE24" i="15"/>
  <c r="U24" i="15"/>
  <c r="Q24" i="15"/>
  <c r="AD32" i="15"/>
  <c r="AF32" i="15"/>
  <c r="X32" i="15"/>
  <c r="U32" i="15"/>
  <c r="P32" i="15"/>
  <c r="AJ40" i="15"/>
  <c r="AK40" i="15"/>
  <c r="X40" i="15"/>
  <c r="U40" i="15"/>
  <c r="V40" i="15"/>
  <c r="AE48" i="15"/>
  <c r="AI48" i="15"/>
  <c r="AA48" i="15"/>
  <c r="U48" i="15"/>
  <c r="O48" i="15"/>
  <c r="AJ56" i="15"/>
  <c r="AE56" i="15"/>
  <c r="AE106" i="15"/>
  <c r="AJ106" i="15"/>
  <c r="X106" i="15"/>
  <c r="T106" i="15"/>
  <c r="V106" i="15"/>
  <c r="AH16" i="15"/>
  <c r="AC16" i="15"/>
  <c r="X16" i="15"/>
  <c r="T16" i="15"/>
  <c r="V16" i="15"/>
  <c r="AC24" i="15"/>
  <c r="AH24" i="15"/>
  <c r="Z24" i="15"/>
  <c r="T24" i="15"/>
  <c r="P24" i="15"/>
  <c r="AJ32" i="15"/>
  <c r="AE32" i="15"/>
  <c r="AA32" i="15"/>
  <c r="T32" i="15"/>
  <c r="O32" i="15"/>
  <c r="AI40" i="15"/>
  <c r="AH40" i="15"/>
  <c r="AE40" i="15"/>
  <c r="T40" i="15"/>
  <c r="P40" i="15"/>
  <c r="AD48" i="15"/>
  <c r="AH48" i="15"/>
  <c r="Z48" i="15"/>
  <c r="T48" i="15"/>
  <c r="N48" i="15"/>
  <c r="AI56" i="15"/>
  <c r="AK56" i="15"/>
  <c r="Y56" i="15"/>
  <c r="T56" i="15"/>
  <c r="N56" i="15"/>
  <c r="AK64" i="15"/>
  <c r="AD64" i="15"/>
  <c r="AA64" i="15"/>
  <c r="T64" i="15"/>
  <c r="V64" i="15"/>
  <c r="AD72" i="15"/>
  <c r="AH72" i="15"/>
  <c r="Z72" i="15"/>
  <c r="T72" i="15"/>
  <c r="O72" i="15"/>
  <c r="AF80" i="15"/>
  <c r="AJ80" i="15"/>
  <c r="Y80" i="15"/>
  <c r="T80" i="15"/>
  <c r="AD106" i="15"/>
  <c r="AI106" i="15"/>
  <c r="Z106" i="15"/>
  <c r="S106" i="15"/>
  <c r="O106" i="15"/>
  <c r="AF16" i="15"/>
  <c r="AK16" i="15"/>
  <c r="Z16" i="15"/>
  <c r="S16" i="15"/>
  <c r="P16" i="15"/>
  <c r="AK24" i="15"/>
  <c r="AF24" i="15"/>
  <c r="Y24" i="15"/>
  <c r="S24" i="15"/>
  <c r="N24" i="15"/>
  <c r="AI32" i="15"/>
  <c r="AC32" i="15"/>
  <c r="Z32" i="15"/>
  <c r="S32" i="15"/>
  <c r="N32" i="15"/>
  <c r="AD40" i="15"/>
  <c r="AF40" i="15"/>
  <c r="AA40" i="15"/>
  <c r="S40" i="15"/>
  <c r="O40" i="15"/>
  <c r="AK48" i="15"/>
  <c r="AF48" i="15"/>
  <c r="Y48" i="15"/>
  <c r="S48" i="15"/>
  <c r="Q48" i="15"/>
  <c r="AH56" i="15"/>
  <c r="AD56" i="15"/>
  <c r="Z56" i="15"/>
  <c r="S56" i="15"/>
  <c r="Q56" i="15"/>
  <c r="AJ64" i="15"/>
  <c r="Z64" i="15"/>
  <c r="Y64" i="15"/>
  <c r="S64" i="15"/>
  <c r="Q64" i="15"/>
  <c r="AC72" i="15"/>
  <c r="Y72" i="15"/>
  <c r="X72" i="15"/>
  <c r="S72" i="15"/>
  <c r="P72" i="15"/>
  <c r="AE80" i="15"/>
  <c r="X80" i="15"/>
  <c r="Z80" i="15"/>
  <c r="S80" i="15"/>
  <c r="AK106" i="15"/>
  <c r="N106" i="15"/>
  <c r="Q16" i="15"/>
  <c r="X24" i="15"/>
  <c r="AK32" i="15"/>
  <c r="AC40" i="15"/>
  <c r="N40" i="15"/>
  <c r="P48" i="15"/>
  <c r="AC56" i="15"/>
  <c r="V56" i="15"/>
  <c r="AH64" i="15"/>
  <c r="U64" i="15"/>
  <c r="AE72" i="15"/>
  <c r="AF72" i="15"/>
  <c r="Q72" i="15"/>
  <c r="AC80" i="15"/>
  <c r="U80" i="15"/>
  <c r="V80" i="15"/>
  <c r="AH88" i="15"/>
  <c r="AK88" i="15"/>
  <c r="Z88" i="15"/>
  <c r="S88" i="15"/>
  <c r="O88" i="15"/>
  <c r="AJ96" i="15"/>
  <c r="AF96" i="15"/>
  <c r="Z96" i="15"/>
  <c r="S96" i="15"/>
  <c r="V96" i="15"/>
  <c r="AD104" i="15"/>
  <c r="AA104" i="15"/>
  <c r="Z104" i="15"/>
  <c r="S104" i="15"/>
  <c r="N104" i="15"/>
  <c r="AF112" i="15"/>
  <c r="AK112" i="15"/>
  <c r="Y112" i="15"/>
  <c r="S112" i="15"/>
  <c r="V112" i="15"/>
  <c r="AI120" i="15"/>
  <c r="AD120" i="15"/>
  <c r="Y120" i="15"/>
  <c r="S120" i="15"/>
  <c r="Q120" i="15"/>
  <c r="AK128" i="15"/>
  <c r="AF128" i="15"/>
  <c r="Y128" i="15"/>
  <c r="S128" i="15"/>
  <c r="Q128" i="15"/>
  <c r="AE136" i="15"/>
  <c r="AJ136" i="15"/>
  <c r="X136" i="15"/>
  <c r="O136" i="15"/>
  <c r="Q136" i="15"/>
  <c r="AJ144" i="15"/>
  <c r="AE144" i="15"/>
  <c r="AA144" i="15"/>
  <c r="N144" i="15"/>
  <c r="O144" i="15"/>
  <c r="AE152" i="15"/>
  <c r="AJ152" i="15"/>
  <c r="Z152" i="15"/>
  <c r="T152" i="15"/>
  <c r="P152" i="15"/>
  <c r="AE114" i="15"/>
  <c r="AI114" i="15"/>
  <c r="Y114" i="15"/>
  <c r="S114" i="15"/>
  <c r="N114" i="15"/>
  <c r="AF17" i="15"/>
  <c r="AK17" i="15"/>
  <c r="Z17" i="15"/>
  <c r="P17" i="15"/>
  <c r="S17" i="15"/>
  <c r="AA25" i="15"/>
  <c r="AH25" i="15"/>
  <c r="Z25" i="15"/>
  <c r="S25" i="15"/>
  <c r="T25" i="15"/>
  <c r="AJ33" i="15"/>
  <c r="AF33" i="15"/>
  <c r="Y33" i="15"/>
  <c r="N33" i="15"/>
  <c r="Q33" i="15"/>
  <c r="AF41" i="15"/>
  <c r="AC41" i="15"/>
  <c r="Z41" i="15"/>
  <c r="S41" i="15"/>
  <c r="P41" i="15"/>
  <c r="X49" i="15"/>
  <c r="AH49" i="15"/>
  <c r="AC49" i="15"/>
  <c r="T49" i="15"/>
  <c r="N49" i="15"/>
  <c r="AH57" i="15"/>
  <c r="AD57" i="15"/>
  <c r="AC57" i="15"/>
  <c r="S57" i="15"/>
  <c r="T57" i="15"/>
  <c r="AJ65" i="15"/>
  <c r="AF65" i="15"/>
  <c r="Z65" i="15"/>
  <c r="Q65" i="15"/>
  <c r="S65" i="15"/>
  <c r="AC73" i="15"/>
  <c r="AI73" i="15"/>
  <c r="Y73" i="15"/>
  <c r="S73" i="15"/>
  <c r="N73" i="15"/>
  <c r="AE81" i="15"/>
  <c r="AK81" i="15"/>
  <c r="Y81" i="15"/>
  <c r="P81" i="15"/>
  <c r="S81" i="15"/>
  <c r="AH89" i="15"/>
  <c r="AD89" i="15"/>
  <c r="X89" i="15"/>
  <c r="T89" i="15"/>
  <c r="Q89" i="15"/>
  <c r="AJ97" i="15"/>
  <c r="AA97" i="15"/>
  <c r="AD97" i="15"/>
  <c r="T97" i="15"/>
  <c r="Q97" i="15"/>
  <c r="AD105" i="15"/>
  <c r="AI105" i="15"/>
  <c r="AA105" i="15"/>
  <c r="T105" i="15"/>
  <c r="P105" i="15"/>
  <c r="AF113" i="15"/>
  <c r="AK113" i="15"/>
  <c r="AA113" i="15"/>
  <c r="T113" i="15"/>
  <c r="N113" i="15"/>
  <c r="AI121" i="15"/>
  <c r="AD121" i="15"/>
  <c r="AA121" i="15"/>
  <c r="T121" i="15"/>
  <c r="O121" i="15"/>
  <c r="AK129" i="15"/>
  <c r="AF129" i="15"/>
  <c r="Z129" i="15"/>
  <c r="T129" i="15"/>
  <c r="O129" i="15"/>
  <c r="AE137" i="15"/>
  <c r="AJ137" i="15"/>
  <c r="X137" i="15"/>
  <c r="T137" i="15"/>
  <c r="O137" i="15"/>
  <c r="AJ145" i="15"/>
  <c r="AE145" i="15"/>
  <c r="Y145" i="15"/>
  <c r="U145" i="15"/>
  <c r="O145" i="15"/>
  <c r="AE153" i="15"/>
  <c r="AJ153" i="15"/>
  <c r="Y153" i="15"/>
  <c r="V153" i="15"/>
  <c r="S153" i="15"/>
  <c r="AK26" i="15"/>
  <c r="AF26" i="15"/>
  <c r="X26" i="15"/>
  <c r="AH106" i="15"/>
  <c r="AE16" i="15"/>
  <c r="O16" i="15"/>
  <c r="V24" i="15"/>
  <c r="Y32" i="15"/>
  <c r="Y40" i="15"/>
  <c r="AJ48" i="15"/>
  <c r="V48" i="15"/>
  <c r="X56" i="15"/>
  <c r="P56" i="15"/>
  <c r="X64" i="15"/>
  <c r="N64" i="15"/>
  <c r="AK72" i="15"/>
  <c r="AA72" i="15"/>
  <c r="N72" i="15"/>
  <c r="AK80" i="15"/>
  <c r="Q80" i="15"/>
  <c r="O80" i="15"/>
  <c r="AF88" i="15"/>
  <c r="AD88" i="15"/>
  <c r="Y88" i="15"/>
  <c r="Q88" i="15"/>
  <c r="N88" i="15"/>
  <c r="AI96" i="15"/>
  <c r="AD96" i="15"/>
  <c r="AA96" i="15"/>
  <c r="Q96" i="15"/>
  <c r="N96" i="15"/>
  <c r="AC104" i="15"/>
  <c r="AK104" i="15"/>
  <c r="Y104" i="15"/>
  <c r="Q104" i="15"/>
  <c r="V104" i="15"/>
  <c r="AE112" i="15"/>
  <c r="AJ112" i="15"/>
  <c r="X112" i="15"/>
  <c r="P112" i="15"/>
  <c r="Q112" i="15"/>
  <c r="AH120" i="15"/>
  <c r="AC120" i="15"/>
  <c r="X120" i="15"/>
  <c r="O120" i="15"/>
  <c r="P120" i="15"/>
  <c r="AJ128" i="15"/>
  <c r="AE128" i="15"/>
  <c r="X128" i="15"/>
  <c r="N128" i="15"/>
  <c r="O128" i="15"/>
  <c r="AD136" i="15"/>
  <c r="AI136" i="15"/>
  <c r="AA136" i="15"/>
  <c r="T136" i="15"/>
  <c r="P136" i="15"/>
  <c r="AI144" i="15"/>
  <c r="AD144" i="15"/>
  <c r="Z144" i="15"/>
  <c r="T144" i="15"/>
  <c r="P144" i="15"/>
  <c r="AD152" i="15"/>
  <c r="AI152" i="15"/>
  <c r="Y152" i="15"/>
  <c r="S152" i="15"/>
  <c r="O152" i="15"/>
  <c r="AD114" i="15"/>
  <c r="AJ114" i="15"/>
  <c r="X114" i="15"/>
  <c r="P114" i="15"/>
  <c r="Q114" i="15"/>
  <c r="AE17" i="15"/>
  <c r="AJ17" i="15"/>
  <c r="Y17" i="15"/>
  <c r="O17" i="15"/>
  <c r="Q17" i="15"/>
  <c r="AK25" i="15"/>
  <c r="AF25" i="15"/>
  <c r="X25" i="15"/>
  <c r="O25" i="15"/>
  <c r="P25" i="15"/>
  <c r="Z33" i="15"/>
  <c r="AE33" i="15"/>
  <c r="X33" i="15"/>
  <c r="T33" i="15"/>
  <c r="O33" i="15"/>
  <c r="AE41" i="15"/>
  <c r="AK41" i="15"/>
  <c r="X41" i="15"/>
  <c r="Q41" i="15"/>
  <c r="N41" i="15"/>
  <c r="AK49" i="15"/>
  <c r="AF49" i="15"/>
  <c r="Z49" i="15"/>
  <c r="Q49" i="15"/>
  <c r="O49" i="15"/>
  <c r="AF57" i="15"/>
  <c r="X57" i="15"/>
  <c r="Z57" i="15"/>
  <c r="Q57" i="15"/>
  <c r="N57" i="15"/>
  <c r="AI65" i="15"/>
  <c r="AD65" i="15"/>
  <c r="Y65" i="15"/>
  <c r="P65" i="15"/>
  <c r="N65" i="15"/>
  <c r="AK73" i="15"/>
  <c r="AF73" i="15"/>
  <c r="X73" i="15"/>
  <c r="Q73" i="15"/>
  <c r="T73" i="15"/>
  <c r="AD81" i="15"/>
  <c r="AI81" i="15"/>
  <c r="X81" i="15"/>
  <c r="O81" i="15"/>
  <c r="Q81" i="15"/>
  <c r="AF89" i="15"/>
  <c r="AA89" i="15"/>
  <c r="AK89" i="15"/>
  <c r="O89" i="15"/>
  <c r="P89" i="15"/>
  <c r="AI97" i="15"/>
  <c r="Z97" i="15"/>
  <c r="Y97" i="15"/>
  <c r="N97" i="15"/>
  <c r="O97" i="15"/>
  <c r="AC105" i="15"/>
  <c r="AH105" i="15"/>
  <c r="X105" i="15"/>
  <c r="S105" i="15"/>
  <c r="N105" i="15"/>
  <c r="Y106" i="15"/>
  <c r="AJ16" i="15"/>
  <c r="AJ24" i="15"/>
  <c r="O24" i="15"/>
  <c r="Q32" i="15"/>
  <c r="Z40" i="15"/>
  <c r="AC48" i="15"/>
  <c r="AF56" i="15"/>
  <c r="U56" i="15"/>
  <c r="AC64" i="15"/>
  <c r="AF64" i="15"/>
  <c r="P64" i="15"/>
  <c r="AJ72" i="15"/>
  <c r="U72" i="15"/>
  <c r="AH80" i="15"/>
  <c r="AI80" i="15"/>
  <c r="P80" i="15"/>
  <c r="AJ88" i="15"/>
  <c r="AE88" i="15"/>
  <c r="X88" i="15"/>
  <c r="U88" i="15"/>
  <c r="P88" i="15"/>
  <c r="AC96" i="15"/>
  <c r="AH96" i="15"/>
  <c r="Y96" i="15"/>
  <c r="U96" i="15"/>
  <c r="P96" i="15"/>
  <c r="AF104" i="15"/>
  <c r="AJ104" i="15"/>
  <c r="X104" i="15"/>
  <c r="U104" i="15"/>
  <c r="P104" i="15"/>
  <c r="AI112" i="15"/>
  <c r="AD112" i="15"/>
  <c r="AA112" i="15"/>
  <c r="U112" i="15"/>
  <c r="O112" i="15"/>
  <c r="AK120" i="15"/>
  <c r="AF120" i="15"/>
  <c r="AA120" i="15"/>
  <c r="U120" i="15"/>
  <c r="N120" i="15"/>
  <c r="AD128" i="15"/>
  <c r="AI128" i="15"/>
  <c r="AA128" i="15"/>
  <c r="U128" i="15"/>
  <c r="V128" i="15"/>
  <c r="AH136" i="15"/>
  <c r="AC136" i="15"/>
  <c r="Z136" i="15"/>
  <c r="V136" i="15"/>
  <c r="S136" i="15"/>
  <c r="AC144" i="15"/>
  <c r="AH144" i="15"/>
  <c r="Y144" i="15"/>
  <c r="V144" i="15"/>
  <c r="S144" i="15"/>
  <c r="AH152" i="15"/>
  <c r="AC152" i="15"/>
  <c r="X152" i="15"/>
  <c r="V152" i="15"/>
  <c r="Q152" i="15"/>
  <c r="AH114" i="15"/>
  <c r="AK114" i="15"/>
  <c r="AA114" i="15"/>
  <c r="U114" i="15"/>
  <c r="O114" i="15"/>
  <c r="AI17" i="15"/>
  <c r="AD17" i="15"/>
  <c r="X17" i="15"/>
  <c r="V17" i="15"/>
  <c r="N17" i="15"/>
  <c r="AD25" i="15"/>
  <c r="AJ25" i="15"/>
  <c r="AE25" i="15"/>
  <c r="V25" i="15"/>
  <c r="N25" i="15"/>
  <c r="AD33" i="15"/>
  <c r="AI33" i="15"/>
  <c r="AC33" i="15"/>
  <c r="V33" i="15"/>
  <c r="S33" i="15"/>
  <c r="AJ41" i="15"/>
  <c r="Y41" i="15"/>
  <c r="AH41" i="15"/>
  <c r="V41" i="15"/>
  <c r="O41" i="15"/>
  <c r="AE49" i="15"/>
  <c r="AJ49" i="15"/>
  <c r="Y49" i="15"/>
  <c r="V49" i="15"/>
  <c r="S49" i="15"/>
  <c r="AJ57" i="15"/>
  <c r="AE57" i="15"/>
  <c r="Y57" i="15"/>
  <c r="V57" i="15"/>
  <c r="P57" i="15"/>
  <c r="AC65" i="15"/>
  <c r="AH65" i="15"/>
  <c r="X65" i="15"/>
  <c r="V65" i="15"/>
  <c r="T65" i="15"/>
  <c r="AE73" i="15"/>
  <c r="AJ73" i="15"/>
  <c r="AH32" i="15"/>
  <c r="AA56" i="15"/>
  <c r="O64" i="15"/>
  <c r="AA80" i="15"/>
  <c r="AA88" i="15"/>
  <c r="AE96" i="15"/>
  <c r="AE104" i="15"/>
  <c r="O104" i="15"/>
  <c r="T112" i="15"/>
  <c r="Z120" i="15"/>
  <c r="AH128" i="15"/>
  <c r="AF136" i="15"/>
  <c r="N136" i="15"/>
  <c r="U144" i="15"/>
  <c r="AA152" i="15"/>
  <c r="AC114" i="15"/>
  <c r="AH17" i="15"/>
  <c r="T17" i="15"/>
  <c r="U25" i="15"/>
  <c r="AA33" i="15"/>
  <c r="AD41" i="15"/>
  <c r="AD49" i="15"/>
  <c r="P49" i="15"/>
  <c r="U57" i="15"/>
  <c r="AA65" i="15"/>
  <c r="AH73" i="15"/>
  <c r="U73" i="15"/>
  <c r="AF81" i="15"/>
  <c r="AA81" i="15"/>
  <c r="T81" i="15"/>
  <c r="AC89" i="15"/>
  <c r="U89" i="15"/>
  <c r="AK97" i="15"/>
  <c r="AF97" i="15"/>
  <c r="P97" i="15"/>
  <c r="AJ105" i="15"/>
  <c r="U105" i="15"/>
  <c r="AH113" i="15"/>
  <c r="AJ113" i="15"/>
  <c r="V113" i="15"/>
  <c r="P113" i="15"/>
  <c r="AH121" i="15"/>
  <c r="X121" i="15"/>
  <c r="U121" i="15"/>
  <c r="N121" i="15"/>
  <c r="AI129" i="15"/>
  <c r="Y129" i="15"/>
  <c r="Q129" i="15"/>
  <c r="AH137" i="15"/>
  <c r="AK137" i="15"/>
  <c r="Y137" i="15"/>
  <c r="P137" i="15"/>
  <c r="AK145" i="15"/>
  <c r="AD145" i="15"/>
  <c r="Q145" i="15"/>
  <c r="P145" i="15"/>
  <c r="AD153" i="15"/>
  <c r="AA153" i="15"/>
  <c r="P153" i="15"/>
  <c r="O153" i="15"/>
  <c r="AI26" i="15"/>
  <c r="Z26" i="15"/>
  <c r="S26" i="15"/>
  <c r="O26" i="15"/>
  <c r="AK42" i="15"/>
  <c r="AD42" i="15"/>
  <c r="X42" i="15"/>
  <c r="S42" i="15"/>
  <c r="N42" i="15"/>
  <c r="AF58" i="15"/>
  <c r="AJ58" i="15"/>
  <c r="Z58" i="15"/>
  <c r="S58" i="15"/>
  <c r="Q58" i="15"/>
  <c r="AD82" i="15"/>
  <c r="X82" i="15"/>
  <c r="Y82" i="15"/>
  <c r="S82" i="15"/>
  <c r="N82" i="15"/>
  <c r="AD154" i="15"/>
  <c r="AI154" i="15"/>
  <c r="Z154" i="15"/>
  <c r="T154" i="15"/>
  <c r="O154" i="15"/>
  <c r="AE19" i="15"/>
  <c r="AJ19" i="15"/>
  <c r="AA19" i="15"/>
  <c r="T19" i="15"/>
  <c r="N19" i="15"/>
  <c r="AA27" i="15"/>
  <c r="AF27" i="15"/>
  <c r="Z27" i="15"/>
  <c r="O27" i="15"/>
  <c r="P27" i="15"/>
  <c r="AE35" i="15"/>
  <c r="AI35" i="15"/>
  <c r="X35" i="15"/>
  <c r="T35" i="15"/>
  <c r="Q35" i="15"/>
  <c r="AK43" i="15"/>
  <c r="AE43" i="15"/>
  <c r="X43" i="15"/>
  <c r="T43" i="15"/>
  <c r="S43" i="15"/>
  <c r="AJ51" i="15"/>
  <c r="AH51" i="15"/>
  <c r="Z51" i="15"/>
  <c r="T51" i="15"/>
  <c r="N51" i="15"/>
  <c r="AE59" i="15"/>
  <c r="AJ59" i="15"/>
  <c r="AA59" i="15"/>
  <c r="Q59" i="15"/>
  <c r="S59" i="15"/>
  <c r="AH67" i="15"/>
  <c r="AD67" i="15"/>
  <c r="Z67" i="15"/>
  <c r="T67" i="15"/>
  <c r="O67" i="15"/>
  <c r="AJ75" i="15"/>
  <c r="AA75" i="15"/>
  <c r="Y75" i="15"/>
  <c r="Q75" i="15"/>
  <c r="T75" i="15"/>
  <c r="AC83" i="15"/>
  <c r="Z83" i="15"/>
  <c r="AA83" i="15"/>
  <c r="T83" i="15"/>
  <c r="N83" i="15"/>
  <c r="AE91" i="15"/>
  <c r="AA91" i="15"/>
  <c r="Z91" i="15"/>
  <c r="T91" i="15"/>
  <c r="Q91" i="15"/>
  <c r="AH99" i="15"/>
  <c r="AC99" i="15"/>
  <c r="X99" i="15"/>
  <c r="T99" i="15"/>
  <c r="O99" i="15"/>
  <c r="AK107" i="15"/>
  <c r="AE107" i="15"/>
  <c r="AF107" i="15"/>
  <c r="T107" i="15"/>
  <c r="N107" i="15"/>
  <c r="AD115" i="15"/>
  <c r="AH115" i="15"/>
  <c r="AA115" i="15"/>
  <c r="T115" i="15"/>
  <c r="N115" i="15"/>
  <c r="Q106" i="15"/>
  <c r="V32" i="15"/>
  <c r="O56" i="15"/>
  <c r="AI72" i="15"/>
  <c r="N80" i="15"/>
  <c r="T88" i="15"/>
  <c r="X96" i="15"/>
  <c r="AI104" i="15"/>
  <c r="AH112" i="15"/>
  <c r="N112" i="15"/>
  <c r="T120" i="15"/>
  <c r="Z128" i="15"/>
  <c r="AK136" i="15"/>
  <c r="AK144" i="15"/>
  <c r="Q144" i="15"/>
  <c r="U152" i="15"/>
  <c r="Z114" i="15"/>
  <c r="AC17" i="15"/>
  <c r="AC25" i="15"/>
  <c r="Q25" i="15"/>
  <c r="U33" i="15"/>
  <c r="AA41" i="15"/>
  <c r="AI49" i="15"/>
  <c r="AI57" i="15"/>
  <c r="O57" i="15"/>
  <c r="U65" i="15"/>
  <c r="AA73" i="15"/>
  <c r="P73" i="15"/>
  <c r="AC81" i="15"/>
  <c r="V81" i="15"/>
  <c r="AJ89" i="15"/>
  <c r="Y89" i="15"/>
  <c r="N89" i="15"/>
  <c r="AH97" i="15"/>
  <c r="V97" i="15"/>
  <c r="AF105" i="15"/>
  <c r="Z105" i="15"/>
  <c r="Q105" i="15"/>
  <c r="AE113" i="15"/>
  <c r="Y113" i="15"/>
  <c r="U113" i="15"/>
  <c r="O113" i="15"/>
  <c r="AF121" i="15"/>
  <c r="Z121" i="15"/>
  <c r="Q121" i="15"/>
  <c r="AD129" i="15"/>
  <c r="AH129" i="15"/>
  <c r="X129" i="15"/>
  <c r="P129" i="15"/>
  <c r="AF137" i="15"/>
  <c r="AI137" i="15"/>
  <c r="V137" i="15"/>
  <c r="S137" i="15"/>
  <c r="AI145" i="15"/>
  <c r="AA145" i="15"/>
  <c r="V145" i="15"/>
  <c r="N145" i="15"/>
  <c r="AC153" i="15"/>
  <c r="Z153" i="15"/>
  <c r="N153" i="15"/>
  <c r="AD26" i="15"/>
  <c r="AH26" i="15"/>
  <c r="Y26" i="15"/>
  <c r="Q26" i="15"/>
  <c r="N26" i="15"/>
  <c r="AH42" i="15"/>
  <c r="AC42" i="15"/>
  <c r="AA42" i="15"/>
  <c r="Q42" i="15"/>
  <c r="V42" i="15"/>
  <c r="AE58" i="15"/>
  <c r="AD58" i="15"/>
  <c r="X58" i="15"/>
  <c r="O58" i="15"/>
  <c r="P58" i="15"/>
  <c r="AK82" i="15"/>
  <c r="AJ82" i="15"/>
  <c r="AH82" i="15"/>
  <c r="V82" i="15"/>
  <c r="O82" i="15"/>
  <c r="AK154" i="15"/>
  <c r="X154" i="15"/>
  <c r="Y154" i="15"/>
  <c r="S154" i="15"/>
  <c r="N154" i="15"/>
  <c r="AD19" i="15"/>
  <c r="X19" i="15"/>
  <c r="AI19" i="15"/>
  <c r="P19" i="15"/>
  <c r="Q19" i="15"/>
  <c r="AJ27" i="15"/>
  <c r="AE27" i="15"/>
  <c r="AD27" i="15"/>
  <c r="N27" i="15"/>
  <c r="S27" i="15"/>
  <c r="Z35" i="15"/>
  <c r="AH35" i="15"/>
  <c r="AF35" i="15"/>
  <c r="N35" i="15"/>
  <c r="O35" i="15"/>
  <c r="Y43" i="15"/>
  <c r="AD43" i="15"/>
  <c r="Z43" i="15"/>
  <c r="Q43" i="15"/>
  <c r="N43" i="15"/>
  <c r="AI51" i="15"/>
  <c r="AF51" i="15"/>
  <c r="Y51" i="15"/>
  <c r="S51" i="15"/>
  <c r="O51" i="15"/>
  <c r="AD59" i="15"/>
  <c r="Z59" i="15"/>
  <c r="AI59" i="15"/>
  <c r="P59" i="15"/>
  <c r="N59" i="15"/>
  <c r="AF67" i="15"/>
  <c r="Y67" i="15"/>
  <c r="AA67" i="15"/>
  <c r="S67" i="15"/>
  <c r="N67" i="15"/>
  <c r="AI75" i="15"/>
  <c r="AF75" i="15"/>
  <c r="Z75" i="15"/>
  <c r="P75" i="15"/>
  <c r="S75" i="15"/>
  <c r="AK83" i="15"/>
  <c r="AI83" i="15"/>
  <c r="Y83" i="15"/>
  <c r="P83" i="15"/>
  <c r="Q83" i="15"/>
  <c r="AD91" i="15"/>
  <c r="AK91" i="15"/>
  <c r="X91" i="15"/>
  <c r="O91" i="15"/>
  <c r="P91" i="15"/>
  <c r="AE99" i="15"/>
  <c r="AA99" i="15"/>
  <c r="Y99" i="15"/>
  <c r="N99" i="15"/>
  <c r="Q99" i="15"/>
  <c r="AJ107" i="15"/>
  <c r="Z107" i="15"/>
  <c r="AA107" i="15"/>
  <c r="S107" i="15"/>
  <c r="P107" i="15"/>
  <c r="AC115" i="15"/>
  <c r="AI115" i="15"/>
  <c r="Z115" i="15"/>
  <c r="S115" i="15"/>
  <c r="O115" i="15"/>
  <c r="AE123" i="15"/>
  <c r="AJ123" i="15"/>
  <c r="Y123" i="15"/>
  <c r="S123" i="15"/>
  <c r="N123" i="15"/>
  <c r="AH131" i="15"/>
  <c r="AC131" i="15"/>
  <c r="X131" i="15"/>
  <c r="S131" i="15"/>
  <c r="N131" i="15"/>
  <c r="AK139" i="15"/>
  <c r="AF139" i="15"/>
  <c r="Y139" i="15"/>
  <c r="S139" i="15"/>
  <c r="O139" i="15"/>
  <c r="AF147" i="15"/>
  <c r="AK147" i="15"/>
  <c r="X147" i="15"/>
  <c r="Y16" i="15"/>
  <c r="Q40" i="15"/>
  <c r="AI64" i="15"/>
  <c r="V72" i="15"/>
  <c r="AI88" i="15"/>
  <c r="V88" i="15"/>
  <c r="T96" i="15"/>
  <c r="AH104" i="15"/>
  <c r="AC112" i="15"/>
  <c r="AJ120" i="15"/>
  <c r="V120" i="15"/>
  <c r="T128" i="15"/>
  <c r="Y136" i="15"/>
  <c r="AF144" i="15"/>
  <c r="AF152" i="15"/>
  <c r="N152" i="15"/>
  <c r="T114" i="15"/>
  <c r="AA17" i="15"/>
  <c r="AI25" i="15"/>
  <c r="AK33" i="15"/>
  <c r="P33" i="15"/>
  <c r="U41" i="15"/>
  <c r="AA49" i="15"/>
  <c r="AK57" i="15"/>
  <c r="AK65" i="15"/>
  <c r="O65" i="15"/>
  <c r="Z73" i="15"/>
  <c r="O73" i="15"/>
  <c r="AJ81" i="15"/>
  <c r="U81" i="15"/>
  <c r="AI89" i="15"/>
  <c r="Z89" i="15"/>
  <c r="S89" i="15"/>
  <c r="AE97" i="15"/>
  <c r="U97" i="15"/>
  <c r="AE105" i="15"/>
  <c r="Y105" i="15"/>
  <c r="O105" i="15"/>
  <c r="AD113" i="15"/>
  <c r="X113" i="15"/>
  <c r="S113" i="15"/>
  <c r="AK121" i="15"/>
  <c r="AE121" i="15"/>
  <c r="Y121" i="15"/>
  <c r="S121" i="15"/>
  <c r="AC129" i="15"/>
  <c r="AE129" i="15"/>
  <c r="V129" i="15"/>
  <c r="S129" i="15"/>
  <c r="AD137" i="15"/>
  <c r="AA137" i="15"/>
  <c r="U137" i="15"/>
  <c r="N137" i="15"/>
  <c r="AH145" i="15"/>
  <c r="Z145" i="15"/>
  <c r="T145" i="15"/>
  <c r="AH153" i="15"/>
  <c r="AK153" i="15"/>
  <c r="X153" i="15"/>
  <c r="U153" i="15"/>
  <c r="AC26" i="15"/>
  <c r="AE26" i="15"/>
  <c r="U26" i="15"/>
  <c r="P26" i="15"/>
  <c r="AJ42" i="15"/>
  <c r="AF42" i="15"/>
  <c r="Z42" i="15"/>
  <c r="U42" i="15"/>
  <c r="P42" i="15"/>
  <c r="AI58" i="15"/>
  <c r="AK58" i="15"/>
  <c r="Y58" i="15"/>
  <c r="U58" i="15"/>
  <c r="N58" i="15"/>
  <c r="AF82" i="15"/>
  <c r="AC82" i="15"/>
  <c r="AA82" i="15"/>
  <c r="U82" i="15"/>
  <c r="Q82" i="15"/>
  <c r="AF154" i="15"/>
  <c r="AC154" i="15"/>
  <c r="AH154" i="15"/>
  <c r="V154" i="15"/>
  <c r="Q154" i="15"/>
  <c r="AH19" i="15"/>
  <c r="AC19" i="15"/>
  <c r="Y19" i="15"/>
  <c r="V19" i="15"/>
  <c r="S19" i="15"/>
  <c r="AC27" i="15"/>
  <c r="AI27" i="15"/>
  <c r="X27" i="15"/>
  <c r="V27" i="15"/>
  <c r="T27" i="15"/>
  <c r="AD35" i="15"/>
  <c r="AK35" i="15"/>
  <c r="AA35" i="15"/>
  <c r="V35" i="15"/>
  <c r="S35" i="15"/>
  <c r="AI43" i="15"/>
  <c r="AJ43" i="15"/>
  <c r="AC43" i="15"/>
  <c r="V43" i="15"/>
  <c r="O43" i="15"/>
  <c r="AD51" i="15"/>
  <c r="AK51" i="15"/>
  <c r="AE51" i="15"/>
  <c r="V51" i="15"/>
  <c r="Q51" i="15"/>
  <c r="AH59" i="15"/>
  <c r="AC59" i="15"/>
  <c r="Y59" i="15"/>
  <c r="V59" i="15"/>
  <c r="T59" i="15"/>
  <c r="AJ67" i="15"/>
  <c r="AE67" i="15"/>
  <c r="X67" i="15"/>
  <c r="V67" i="15"/>
  <c r="Q67" i="15"/>
  <c r="AC75" i="15"/>
  <c r="AH75" i="15"/>
  <c r="X75" i="15"/>
  <c r="V75" i="15"/>
  <c r="O75" i="15"/>
  <c r="AE83" i="15"/>
  <c r="AJ83" i="15"/>
  <c r="AF83" i="15"/>
  <c r="V83" i="15"/>
  <c r="S83" i="15"/>
  <c r="AH91" i="15"/>
  <c r="AC91" i="15"/>
  <c r="AI91" i="15"/>
  <c r="V91" i="15"/>
  <c r="S91" i="15"/>
  <c r="AK99" i="15"/>
  <c r="AF99" i="15"/>
  <c r="Z99" i="15"/>
  <c r="V99" i="15"/>
  <c r="S99" i="15"/>
  <c r="AD107" i="15"/>
  <c r="AI107" i="15"/>
  <c r="Y107" i="15"/>
  <c r="V107" i="15"/>
  <c r="Q107" i="15"/>
  <c r="AF115" i="15"/>
  <c r="AK115" i="15"/>
  <c r="Y115" i="15"/>
  <c r="V115" i="15"/>
  <c r="Q115" i="15"/>
  <c r="AI123" i="15"/>
  <c r="AD123" i="15"/>
  <c r="X123" i="15"/>
  <c r="V123" i="15"/>
  <c r="Q123" i="15"/>
  <c r="AK131" i="15"/>
  <c r="AF131" i="15"/>
  <c r="AA131" i="15"/>
  <c r="V131" i="15"/>
  <c r="Q131" i="15"/>
  <c r="AE139" i="15"/>
  <c r="AJ139" i="15"/>
  <c r="AA139" i="15"/>
  <c r="V139" i="15"/>
  <c r="Q139" i="15"/>
  <c r="AJ147" i="15"/>
  <c r="AE147" i="15"/>
  <c r="AA147" i="15"/>
  <c r="Q147" i="15"/>
  <c r="AA24" i="15"/>
  <c r="X48" i="15"/>
  <c r="AE64" i="15"/>
  <c r="AD80" i="15"/>
  <c r="AC88" i="15"/>
  <c r="AK96" i="15"/>
  <c r="O96" i="15"/>
  <c r="T104" i="15"/>
  <c r="Z112" i="15"/>
  <c r="AE120" i="15"/>
  <c r="AC128" i="15"/>
  <c r="P128" i="15"/>
  <c r="U136" i="15"/>
  <c r="X144" i="15"/>
  <c r="AK152" i="15"/>
  <c r="AF114" i="15"/>
  <c r="V114" i="15"/>
  <c r="U17" i="15"/>
  <c r="Y25" i="15"/>
  <c r="AH33" i="15"/>
  <c r="AI41" i="15"/>
  <c r="T41" i="15"/>
  <c r="U49" i="15"/>
  <c r="AA57" i="15"/>
  <c r="AE65" i="15"/>
  <c r="AD73" i="15"/>
  <c r="V73" i="15"/>
  <c r="AH81" i="15"/>
  <c r="Z81" i="15"/>
  <c r="N81" i="15"/>
  <c r="AE89" i="15"/>
  <c r="V89" i="15"/>
  <c r="AC97" i="15"/>
  <c r="X97" i="15"/>
  <c r="S97" i="15"/>
  <c r="W97" i="15" s="1"/>
  <c r="CP13" i="5" s="1"/>
  <c r="AK105" i="15"/>
  <c r="V105" i="15"/>
  <c r="AI113" i="15"/>
  <c r="AC113" i="15"/>
  <c r="AG113" i="15" s="1"/>
  <c r="DF15" i="5" s="1"/>
  <c r="Z113" i="15"/>
  <c r="Q113" i="15"/>
  <c r="AJ121" i="15"/>
  <c r="AC121" i="15"/>
  <c r="V121" i="15"/>
  <c r="P121" i="15"/>
  <c r="AJ129" i="15"/>
  <c r="AA129" i="15"/>
  <c r="U129" i="15"/>
  <c r="N129" i="15"/>
  <c r="R129" i="15" s="1"/>
  <c r="DV12" i="5" s="1"/>
  <c r="AC137" i="15"/>
  <c r="Z137" i="15"/>
  <c r="Q137" i="15"/>
  <c r="AC145" i="15"/>
  <c r="AF145" i="15"/>
  <c r="X145" i="15"/>
  <c r="S145" i="15"/>
  <c r="AF153" i="15"/>
  <c r="AI153" i="15"/>
  <c r="Q153" i="15"/>
  <c r="T153" i="15"/>
  <c r="AJ26" i="15"/>
  <c r="AA26" i="15"/>
  <c r="T26" i="15"/>
  <c r="V26" i="15"/>
  <c r="AI42" i="15"/>
  <c r="AE42" i="15"/>
  <c r="Y42" i="15"/>
  <c r="AA58" i="15"/>
  <c r="AE82" i="15"/>
  <c r="P82" i="15"/>
  <c r="U154" i="15"/>
  <c r="Z19" i="15"/>
  <c r="AH27" i="15"/>
  <c r="AC35" i="15"/>
  <c r="P35" i="15"/>
  <c r="U43" i="15"/>
  <c r="AA51" i="15"/>
  <c r="AK59" i="15"/>
  <c r="AI67" i="15"/>
  <c r="P67" i="15"/>
  <c r="U75" i="15"/>
  <c r="X83" i="15"/>
  <c r="AJ91" i="15"/>
  <c r="AJ99" i="15"/>
  <c r="P99" i="15"/>
  <c r="U107" i="15"/>
  <c r="X115" i="15"/>
  <c r="AF123" i="15"/>
  <c r="AA123" i="15"/>
  <c r="O123" i="15"/>
  <c r="AD131" i="15"/>
  <c r="T131" i="15"/>
  <c r="AC139" i="15"/>
  <c r="X139" i="15"/>
  <c r="N139" i="15"/>
  <c r="AC147" i="15"/>
  <c r="U147" i="15"/>
  <c r="N147" i="15"/>
  <c r="AD155" i="15"/>
  <c r="AI155" i="15"/>
  <c r="Y155" i="15"/>
  <c r="O155" i="15"/>
  <c r="T155" i="15"/>
  <c r="AF18" i="15"/>
  <c r="AK18" i="15"/>
  <c r="Y18" i="15"/>
  <c r="S18" i="15"/>
  <c r="O18" i="15"/>
  <c r="AJ66" i="15"/>
  <c r="Z66" i="15"/>
  <c r="AA66" i="15"/>
  <c r="S66" i="15"/>
  <c r="Q66" i="15"/>
  <c r="AJ146" i="15"/>
  <c r="AE146" i="15"/>
  <c r="AA146" i="15"/>
  <c r="N146" i="15"/>
  <c r="Q146" i="15"/>
  <c r="AD20" i="15"/>
  <c r="AI20" i="15"/>
  <c r="Y20" i="15"/>
  <c r="S20" i="15"/>
  <c r="P20" i="15"/>
  <c r="AI28" i="15"/>
  <c r="AD28" i="15"/>
  <c r="AC28" i="15"/>
  <c r="S28" i="15"/>
  <c r="O28" i="15"/>
  <c r="AF36" i="15"/>
  <c r="AI36" i="15"/>
  <c r="AH36" i="15"/>
  <c r="S36" i="15"/>
  <c r="N36" i="15"/>
  <c r="AK44" i="15"/>
  <c r="AD44" i="15"/>
  <c r="Y44" i="15"/>
  <c r="S44" i="15"/>
  <c r="V44" i="15"/>
  <c r="AI52" i="15"/>
  <c r="AJ52" i="15"/>
  <c r="X52" i="15"/>
  <c r="S52" i="15"/>
  <c r="Q52" i="15"/>
  <c r="AD60" i="15"/>
  <c r="AJ60" i="15"/>
  <c r="Z60" i="15"/>
  <c r="S60" i="15"/>
  <c r="Q60" i="15"/>
  <c r="AF68" i="15"/>
  <c r="Z68" i="15"/>
  <c r="AA68" i="15"/>
  <c r="S68" i="15"/>
  <c r="T42" i="15"/>
  <c r="AC58" i="15"/>
  <c r="AI82" i="15"/>
  <c r="AE154" i="15"/>
  <c r="P154" i="15"/>
  <c r="U19" i="15"/>
  <c r="Y27" i="15"/>
  <c r="AJ35" i="15"/>
  <c r="AH43" i="15"/>
  <c r="P43" i="15"/>
  <c r="U51" i="15"/>
  <c r="X59" i="15"/>
  <c r="AC67" i="15"/>
  <c r="AK75" i="15"/>
  <c r="N75" i="15"/>
  <c r="U83" i="15"/>
  <c r="Y91" i="15"/>
  <c r="AD99" i="15"/>
  <c r="AC107" i="15"/>
  <c r="O107" i="15"/>
  <c r="U115" i="15"/>
  <c r="AC123" i="15"/>
  <c r="U123" i="15"/>
  <c r="AJ131" i="15"/>
  <c r="Y131" i="15"/>
  <c r="P131" i="15"/>
  <c r="AI139" i="15"/>
  <c r="U139" i="15"/>
  <c r="AI147" i="15"/>
  <c r="Z147" i="15"/>
  <c r="T147" i="15"/>
  <c r="S147" i="15"/>
  <c r="AC155" i="15"/>
  <c r="AH155" i="15"/>
  <c r="X155" i="15"/>
  <c r="V155" i="15"/>
  <c r="S155" i="15"/>
  <c r="AE18" i="15"/>
  <c r="AA18" i="15"/>
  <c r="AJ18" i="15"/>
  <c r="V18" i="15"/>
  <c r="P18" i="15"/>
  <c r="AI66" i="15"/>
  <c r="AF66" i="15"/>
  <c r="Y66" i="15"/>
  <c r="N66" i="15"/>
  <c r="O66" i="15"/>
  <c r="AI146" i="15"/>
  <c r="AD146" i="15"/>
  <c r="Z146" i="15"/>
  <c r="T146" i="15"/>
  <c r="P146" i="15"/>
  <c r="AC20" i="15"/>
  <c r="X20" i="15"/>
  <c r="AH20" i="15"/>
  <c r="Q20" i="15"/>
  <c r="O20" i="15"/>
  <c r="AH28" i="15"/>
  <c r="Y28" i="15"/>
  <c r="X28" i="15"/>
  <c r="Q28" i="15"/>
  <c r="N28" i="15"/>
  <c r="AE36" i="15"/>
  <c r="X36" i="15"/>
  <c r="AA36" i="15"/>
  <c r="Q36" i="15"/>
  <c r="V36" i="15"/>
  <c r="AJ44" i="15"/>
  <c r="AA44" i="15"/>
  <c r="X44" i="15"/>
  <c r="Q44" i="15"/>
  <c r="N44" i="15"/>
  <c r="AH52" i="15"/>
  <c r="AF52" i="15"/>
  <c r="AA52" i="15"/>
  <c r="P52" i="15"/>
  <c r="V52" i="15"/>
  <c r="AC60" i="15"/>
  <c r="AI60" i="15"/>
  <c r="X60" i="15"/>
  <c r="O60" i="15"/>
  <c r="P60" i="15"/>
  <c r="AE68" i="15"/>
  <c r="X68" i="15"/>
  <c r="Y68" i="15"/>
  <c r="N68" i="15"/>
  <c r="O42" i="15"/>
  <c r="T58" i="15"/>
  <c r="Z82" i="15"/>
  <c r="AJ154" i="15"/>
  <c r="AF19" i="15"/>
  <c r="O19" i="15"/>
  <c r="U27" i="15"/>
  <c r="Y35" i="15"/>
  <c r="AF43" i="15"/>
  <c r="AC51" i="15"/>
  <c r="P51" i="15"/>
  <c r="U59" i="15"/>
  <c r="AK67" i="15"/>
  <c r="AE75" i="15"/>
  <c r="AD83" i="15"/>
  <c r="O83" i="15"/>
  <c r="U91" i="15"/>
  <c r="AI99" i="15"/>
  <c r="AH107" i="15"/>
  <c r="AE115" i="15"/>
  <c r="P115" i="15"/>
  <c r="AK123" i="15"/>
  <c r="T123" i="15"/>
  <c r="AI131" i="15"/>
  <c r="Z131" i="15"/>
  <c r="O131" i="15"/>
  <c r="AH139" i="15"/>
  <c r="T139" i="15"/>
  <c r="AH147" i="15"/>
  <c r="Y147" i="15"/>
  <c r="P147" i="15"/>
  <c r="AF155" i="15"/>
  <c r="AK155" i="15"/>
  <c r="AA155" i="15"/>
  <c r="Q155" i="15"/>
  <c r="N155" i="15"/>
  <c r="AI18" i="15"/>
  <c r="AD18" i="15"/>
  <c r="Z18" i="15"/>
  <c r="U18" i="15"/>
  <c r="Q18" i="15"/>
  <c r="AK66" i="15"/>
  <c r="AH66" i="15"/>
  <c r="AD66" i="15"/>
  <c r="U66" i="15"/>
  <c r="V66" i="15"/>
  <c r="AK146" i="15"/>
  <c r="AH146" i="15"/>
  <c r="Y146" i="15"/>
  <c r="V146" i="15"/>
  <c r="S146" i="15"/>
  <c r="AF20" i="15"/>
  <c r="AK20" i="15"/>
  <c r="AA20" i="15"/>
  <c r="U20" i="15"/>
  <c r="N20" i="15"/>
  <c r="AK28" i="15"/>
  <c r="AF28" i="15"/>
  <c r="AA28" i="15"/>
  <c r="U28" i="15"/>
  <c r="V28" i="15"/>
  <c r="AC36" i="15"/>
  <c r="AD36" i="15"/>
  <c r="Z36" i="15"/>
  <c r="U36" i="15"/>
  <c r="P36" i="15"/>
  <c r="AH44" i="15"/>
  <c r="AI44" i="15"/>
  <c r="Z44" i="15"/>
  <c r="U44" i="15"/>
  <c r="P44" i="15"/>
  <c r="AC52" i="15"/>
  <c r="AD52" i="15"/>
  <c r="Y52" i="15"/>
  <c r="U52" i="15"/>
  <c r="O52" i="15"/>
  <c r="AF60" i="15"/>
  <c r="AK60" i="15"/>
  <c r="Y60" i="15"/>
  <c r="U60" i="15"/>
  <c r="N60" i="15"/>
  <c r="AI68" i="15"/>
  <c r="AD68" i="15"/>
  <c r="AJ68" i="15"/>
  <c r="U68" i="15"/>
  <c r="AH58" i="15"/>
  <c r="V58" i="15"/>
  <c r="T82" i="15"/>
  <c r="AA154" i="15"/>
  <c r="AK19" i="15"/>
  <c r="AK27" i="15"/>
  <c r="Q27" i="15"/>
  <c r="U35" i="15"/>
  <c r="AA43" i="15"/>
  <c r="X51" i="15"/>
  <c r="AF59" i="15"/>
  <c r="O59" i="15"/>
  <c r="U67" i="15"/>
  <c r="AD75" i="15"/>
  <c r="AH83" i="15"/>
  <c r="AF91" i="15"/>
  <c r="N91" i="15"/>
  <c r="U99" i="15"/>
  <c r="X107" i="15"/>
  <c r="AJ115" i="15"/>
  <c r="AH123" i="15"/>
  <c r="Z123" i="15"/>
  <c r="P123" i="15"/>
  <c r="AE131" i="15"/>
  <c r="U131" i="15"/>
  <c r="AD139" i="15"/>
  <c r="Z139" i="15"/>
  <c r="P139" i="15"/>
  <c r="AD147" i="15"/>
  <c r="V147" i="15"/>
  <c r="O147" i="15"/>
  <c r="AE155" i="15"/>
  <c r="AJ155" i="15"/>
  <c r="Z155" i="15"/>
  <c r="P155" i="15"/>
  <c r="U155" i="15"/>
  <c r="AH18" i="15"/>
  <c r="AC18" i="15"/>
  <c r="X18" i="15"/>
  <c r="T18" i="15"/>
  <c r="N18" i="15"/>
  <c r="AC66" i="15"/>
  <c r="AE66" i="15"/>
  <c r="X66" i="15"/>
  <c r="T66" i="15"/>
  <c r="P66" i="15"/>
  <c r="AC146" i="15"/>
  <c r="AF146" i="15"/>
  <c r="X146" i="15"/>
  <c r="U146" i="15"/>
  <c r="O146" i="15"/>
  <c r="AE20" i="15"/>
  <c r="AJ20" i="15"/>
  <c r="Z20" i="15"/>
  <c r="T20" i="15"/>
  <c r="V20" i="15"/>
  <c r="AJ28" i="15"/>
  <c r="AE28" i="15"/>
  <c r="Z28" i="15"/>
  <c r="T28" i="15"/>
  <c r="P28" i="15"/>
  <c r="AK36" i="15"/>
  <c r="AJ36" i="15"/>
  <c r="Y36" i="15"/>
  <c r="T36" i="15"/>
  <c r="O36" i="15"/>
  <c r="AF44" i="15"/>
  <c r="AE44" i="15"/>
  <c r="AC44" i="15"/>
  <c r="T44" i="15"/>
  <c r="O44" i="15"/>
  <c r="AK52" i="15"/>
  <c r="Z52" i="15"/>
  <c r="AE52" i="15"/>
  <c r="T52" i="15"/>
  <c r="N52" i="15"/>
  <c r="AE60" i="15"/>
  <c r="AA60" i="15"/>
  <c r="AH60" i="15"/>
  <c r="T60" i="15"/>
  <c r="V60" i="15"/>
  <c r="AH68" i="15"/>
  <c r="AK68" i="15"/>
  <c r="AC68" i="15"/>
  <c r="T68" i="15"/>
  <c r="P68" i="15"/>
  <c r="AK76" i="15"/>
  <c r="AF76" i="15"/>
  <c r="AC76" i="15"/>
  <c r="U76" i="15"/>
  <c r="Q76" i="15"/>
  <c r="AD84" i="15"/>
  <c r="AI84" i="15"/>
  <c r="AE84" i="15"/>
  <c r="U84" i="15"/>
  <c r="Q84" i="15"/>
  <c r="AF92" i="15"/>
  <c r="AK92" i="15"/>
  <c r="AA92" i="15"/>
  <c r="U92" i="15"/>
  <c r="Q92" i="15"/>
  <c r="AJ100" i="15"/>
  <c r="AD100" i="15"/>
  <c r="Y100" i="15"/>
  <c r="U100" i="15"/>
  <c r="Q100" i="15"/>
  <c r="AC108" i="15"/>
  <c r="AH108" i="15"/>
  <c r="AE108" i="15"/>
  <c r="U108" i="15"/>
  <c r="Q108" i="15"/>
  <c r="AE116" i="15"/>
  <c r="AJ116" i="15"/>
  <c r="AA116" i="15"/>
  <c r="U116" i="15"/>
  <c r="P116" i="15"/>
  <c r="AH124" i="15"/>
  <c r="AC124" i="15"/>
  <c r="Z124" i="15"/>
  <c r="U124" i="15"/>
  <c r="O124" i="15"/>
  <c r="AJ132" i="15"/>
  <c r="AE132" i="15"/>
  <c r="AA132" i="15"/>
  <c r="U132" i="15"/>
  <c r="N132" i="15"/>
  <c r="AE140" i="15"/>
  <c r="AJ140" i="15"/>
  <c r="Z140" i="15"/>
  <c r="V140" i="15"/>
  <c r="N140" i="15"/>
  <c r="AJ148" i="15"/>
  <c r="AE148" i="15"/>
  <c r="X148" i="15"/>
  <c r="V148" i="15"/>
  <c r="S148" i="15"/>
  <c r="AF156" i="15"/>
  <c r="AK156" i="15"/>
  <c r="AH156" i="15"/>
  <c r="V156" i="15"/>
  <c r="Q156" i="15"/>
  <c r="AE34" i="15"/>
  <c r="AI34" i="15"/>
  <c r="AA34" i="15"/>
  <c r="U34" i="15"/>
  <c r="V34" i="15"/>
  <c r="AE50" i="15"/>
  <c r="AF50" i="15"/>
  <c r="AH50" i="15"/>
  <c r="U50" i="15"/>
  <c r="O50" i="15"/>
  <c r="AE74" i="15"/>
  <c r="AJ74" i="15"/>
  <c r="Y74" i="15"/>
  <c r="U74" i="15"/>
  <c r="V74" i="15"/>
  <c r="AI90" i="15"/>
  <c r="AK90" i="15"/>
  <c r="Z90" i="15"/>
  <c r="U90" i="15"/>
  <c r="Q90" i="15"/>
  <c r="AK98" i="15"/>
  <c r="AH98" i="15"/>
  <c r="AA98" i="15"/>
  <c r="U98" i="15"/>
  <c r="V98" i="15"/>
  <c r="AF138" i="15"/>
  <c r="AC138" i="15"/>
  <c r="Z138" i="15"/>
  <c r="V138" i="15"/>
  <c r="S138" i="15"/>
  <c r="AF21" i="15"/>
  <c r="AK21" i="15"/>
  <c r="AH21" i="15"/>
  <c r="V21" i="15"/>
  <c r="S21" i="15"/>
  <c r="AK29" i="15"/>
  <c r="AH29" i="15"/>
  <c r="X29" i="15"/>
  <c r="V29" i="15"/>
  <c r="S29" i="15"/>
  <c r="AC37" i="15"/>
  <c r="Y37" i="15"/>
  <c r="AA37" i="15"/>
  <c r="V37" i="15"/>
  <c r="O37" i="15"/>
  <c r="AH45" i="15"/>
  <c r="X45" i="15"/>
  <c r="AA45" i="15"/>
  <c r="V45" i="15"/>
  <c r="Q45" i="15"/>
  <c r="AC53" i="15"/>
  <c r="AH53" i="15"/>
  <c r="AA53" i="15"/>
  <c r="V53" i="15"/>
  <c r="O53" i="15"/>
  <c r="AF61" i="15"/>
  <c r="AK61" i="15"/>
  <c r="Z61" i="15"/>
  <c r="V61" i="15"/>
  <c r="S61" i="15"/>
  <c r="AI69" i="15"/>
  <c r="AD69" i="15"/>
  <c r="AC69" i="15"/>
  <c r="V69" i="15"/>
  <c r="O69" i="15"/>
  <c r="AK77" i="15"/>
  <c r="AF77" i="15"/>
  <c r="Z77" i="15"/>
  <c r="V77" i="15"/>
  <c r="O77" i="15"/>
  <c r="AD85" i="15"/>
  <c r="AI85" i="15"/>
  <c r="AA85" i="15"/>
  <c r="V85" i="15"/>
  <c r="N85" i="15"/>
  <c r="AF93" i="15"/>
  <c r="AK93" i="15"/>
  <c r="X93" i="15"/>
  <c r="V93" i="15"/>
  <c r="P93" i="15"/>
  <c r="AJ101" i="15"/>
  <c r="AD101" i="15"/>
  <c r="Z101" i="15"/>
  <c r="V101" i="15"/>
  <c r="O101" i="15"/>
  <c r="AC109" i="15"/>
  <c r="AH109" i="15"/>
  <c r="Y109" i="15"/>
  <c r="V109" i="15"/>
  <c r="P109" i="15"/>
  <c r="AE117" i="15"/>
  <c r="AJ117" i="15"/>
  <c r="X117" i="15"/>
  <c r="V117" i="15"/>
  <c r="P117" i="15"/>
  <c r="AH125" i="15"/>
  <c r="AC125" i="15"/>
  <c r="AA125" i="15"/>
  <c r="V125" i="15"/>
  <c r="P125" i="15"/>
  <c r="AJ133" i="15"/>
  <c r="AE133" i="15"/>
  <c r="AA133" i="15"/>
  <c r="V133" i="15"/>
  <c r="P133" i="15"/>
  <c r="AE141" i="15"/>
  <c r="AJ141" i="15"/>
  <c r="AA141" i="15"/>
  <c r="Q141" i="15"/>
  <c r="S141" i="15"/>
  <c r="AJ149" i="15"/>
  <c r="AE149" i="15"/>
  <c r="AA149" i="15"/>
  <c r="Q149" i="15"/>
  <c r="T149" i="15"/>
  <c r="O68" i="15"/>
  <c r="AJ76" i="15"/>
  <c r="AD76" i="15"/>
  <c r="AA76" i="15"/>
  <c r="T76" i="15"/>
  <c r="O76" i="15"/>
  <c r="AC84" i="15"/>
  <c r="AF84" i="15"/>
  <c r="AA84" i="15"/>
  <c r="T84" i="15"/>
  <c r="P84" i="15"/>
  <c r="AE92" i="15"/>
  <c r="AI92" i="15"/>
  <c r="Z92" i="15"/>
  <c r="T92" i="15"/>
  <c r="P92" i="15"/>
  <c r="AI100" i="15"/>
  <c r="AK100" i="15"/>
  <c r="X100" i="15"/>
  <c r="T100" i="15"/>
  <c r="P100" i="15"/>
  <c r="AK108" i="15"/>
  <c r="AF108" i="15"/>
  <c r="X108" i="15"/>
  <c r="T108" i="15"/>
  <c r="P108" i="15"/>
  <c r="AD116" i="15"/>
  <c r="AI116" i="15"/>
  <c r="Z116" i="15"/>
  <c r="T116" i="15"/>
  <c r="O116" i="15"/>
  <c r="AF124" i="15"/>
  <c r="AK124" i="15"/>
  <c r="Y124" i="15"/>
  <c r="T124" i="15"/>
  <c r="N124" i="15"/>
  <c r="AI132" i="15"/>
  <c r="AD132" i="15"/>
  <c r="Z132" i="15"/>
  <c r="T132" i="15"/>
  <c r="P132" i="15"/>
  <c r="AD140" i="15"/>
  <c r="AI140" i="15"/>
  <c r="Y140" i="15"/>
  <c r="U140" i="15"/>
  <c r="S140" i="15"/>
  <c r="AI148" i="15"/>
  <c r="AD148" i="15"/>
  <c r="AK148" i="15"/>
  <c r="U148" i="15"/>
  <c r="Q148" i="15"/>
  <c r="AE156" i="15"/>
  <c r="AJ156" i="15"/>
  <c r="AA156" i="15"/>
  <c r="U156" i="15"/>
  <c r="O156" i="15"/>
  <c r="AD34" i="15"/>
  <c r="AH34" i="15"/>
  <c r="Y34" i="15"/>
  <c r="T34" i="15"/>
  <c r="P34" i="15"/>
  <c r="AD50" i="15"/>
  <c r="AC50" i="15"/>
  <c r="AA50" i="15"/>
  <c r="T50" i="15"/>
  <c r="V50" i="15"/>
  <c r="AD74" i="15"/>
  <c r="AI74" i="15"/>
  <c r="AA74" i="15"/>
  <c r="T74" i="15"/>
  <c r="O74" i="15"/>
  <c r="AH90" i="15"/>
  <c r="AC90" i="15"/>
  <c r="Y90" i="15"/>
  <c r="T90" i="15"/>
  <c r="P90" i="15"/>
  <c r="AI98" i="15"/>
  <c r="AE98" i="15"/>
  <c r="Z98" i="15"/>
  <c r="T98" i="15"/>
  <c r="P98" i="15"/>
  <c r="AE138" i="15"/>
  <c r="AJ138" i="15"/>
  <c r="Y138" i="15"/>
  <c r="U138" i="15"/>
  <c r="P138" i="15"/>
  <c r="AE21" i="15"/>
  <c r="AJ21" i="15"/>
  <c r="AA21" i="15"/>
  <c r="U21" i="15"/>
  <c r="Q21" i="15"/>
  <c r="AJ29" i="15"/>
  <c r="AF29" i="15"/>
  <c r="Y29" i="15"/>
  <c r="U29" i="15"/>
  <c r="P29" i="15"/>
  <c r="AK37" i="15"/>
  <c r="AF37" i="15"/>
  <c r="Z37" i="15"/>
  <c r="U37" i="15"/>
  <c r="N37" i="15"/>
  <c r="AF45" i="15"/>
  <c r="AK45" i="15"/>
  <c r="Z45" i="15"/>
  <c r="U45" i="15"/>
  <c r="P45" i="15"/>
  <c r="AK53" i="15"/>
  <c r="AF53" i="15"/>
  <c r="Z53" i="15"/>
  <c r="U53" i="15"/>
  <c r="S53" i="15"/>
  <c r="AE61" i="15"/>
  <c r="AI61" i="15"/>
  <c r="Y61" i="15"/>
  <c r="U61" i="15"/>
  <c r="P61" i="15"/>
  <c r="AH69" i="15"/>
  <c r="AK69" i="15"/>
  <c r="Z69" i="15"/>
  <c r="U69" i="15"/>
  <c r="N69" i="15"/>
  <c r="AJ77" i="15"/>
  <c r="AD77" i="15"/>
  <c r="Y77" i="15"/>
  <c r="U77" i="15"/>
  <c r="S77" i="15"/>
  <c r="AC85" i="15"/>
  <c r="AF85" i="15"/>
  <c r="Y85" i="15"/>
  <c r="U85" i="15"/>
  <c r="Q85" i="15"/>
  <c r="AE93" i="15"/>
  <c r="AI93" i="15"/>
  <c r="AJ93" i="15"/>
  <c r="U93" i="15"/>
  <c r="O93" i="15"/>
  <c r="AI101" i="15"/>
  <c r="AK101" i="15"/>
  <c r="Y101" i="15"/>
  <c r="U101" i="15"/>
  <c r="S101" i="15"/>
  <c r="AK109" i="15"/>
  <c r="AF109" i="15"/>
  <c r="X109" i="15"/>
  <c r="U109" i="15"/>
  <c r="N109" i="15"/>
  <c r="AD117" i="15"/>
  <c r="AI117" i="15"/>
  <c r="Z117" i="15"/>
  <c r="U117" i="15"/>
  <c r="O117" i="15"/>
  <c r="AF125" i="15"/>
  <c r="AK125" i="15"/>
  <c r="Y125" i="15"/>
  <c r="U125" i="15"/>
  <c r="O125" i="15"/>
  <c r="AI133" i="15"/>
  <c r="AD133" i="15"/>
  <c r="Z133" i="15"/>
  <c r="U133" i="15"/>
  <c r="O133" i="15"/>
  <c r="AD141" i="15"/>
  <c r="AI141" i="15"/>
  <c r="Z141" i="15"/>
  <c r="V141" i="15"/>
  <c r="O141" i="15"/>
  <c r="AI149" i="15"/>
  <c r="AD149" i="15"/>
  <c r="Z149" i="15"/>
  <c r="P149" i="15"/>
  <c r="V68" i="15"/>
  <c r="AI76" i="15"/>
  <c r="Y76" i="15"/>
  <c r="Z76" i="15"/>
  <c r="S76" i="15"/>
  <c r="N76" i="15"/>
  <c r="AK84" i="15"/>
  <c r="X84" i="15"/>
  <c r="Z84" i="15"/>
  <c r="S84" i="15"/>
  <c r="N84" i="15"/>
  <c r="AD92" i="15"/>
  <c r="AJ92" i="15"/>
  <c r="Y92" i="15"/>
  <c r="S92" i="15"/>
  <c r="O92" i="15"/>
  <c r="AH100" i="15"/>
  <c r="AE100" i="15"/>
  <c r="AA100" i="15"/>
  <c r="S100" i="15"/>
  <c r="O100" i="15"/>
  <c r="AJ108" i="15"/>
  <c r="AD108" i="15"/>
  <c r="Y108" i="15"/>
  <c r="S108" i="15"/>
  <c r="O108" i="15"/>
  <c r="AC116" i="15"/>
  <c r="AH116" i="15"/>
  <c r="Y116" i="15"/>
  <c r="S116" i="15"/>
  <c r="N116" i="15"/>
  <c r="AE124" i="15"/>
  <c r="AJ124" i="15"/>
  <c r="X124" i="15"/>
  <c r="S124" i="15"/>
  <c r="Q124" i="15"/>
  <c r="AH132" i="15"/>
  <c r="AC132" i="15"/>
  <c r="Y132" i="15"/>
  <c r="S132" i="15"/>
  <c r="O132" i="15"/>
  <c r="AC140" i="15"/>
  <c r="AH140" i="15"/>
  <c r="X140" i="15"/>
  <c r="O140" i="15"/>
  <c r="Q140" i="15"/>
  <c r="AH148" i="15"/>
  <c r="AC148" i="15"/>
  <c r="AA148" i="15"/>
  <c r="N148" i="15"/>
  <c r="P148" i="15"/>
  <c r="AD156" i="15"/>
  <c r="AI156" i="15"/>
  <c r="Z156" i="15"/>
  <c r="T156" i="15"/>
  <c r="N156" i="15"/>
  <c r="AK34" i="15"/>
  <c r="AF34" i="15"/>
  <c r="AC34" i="15"/>
  <c r="S34" i="15"/>
  <c r="O34" i="15"/>
  <c r="AK50" i="15"/>
  <c r="Z50" i="15"/>
  <c r="Y50" i="15"/>
  <c r="S50" i="15"/>
  <c r="N50" i="15"/>
  <c r="AK74" i="15"/>
  <c r="AH74" i="15"/>
  <c r="Z74" i="15"/>
  <c r="S74" i="15"/>
  <c r="P74" i="15"/>
  <c r="AF90" i="15"/>
  <c r="AJ90" i="15"/>
  <c r="X90" i="15"/>
  <c r="S90" i="15"/>
  <c r="O90" i="15"/>
  <c r="AC98" i="15"/>
  <c r="AF98" i="15"/>
  <c r="Y98" i="15"/>
  <c r="S98" i="15"/>
  <c r="O98" i="15"/>
  <c r="AD138" i="15"/>
  <c r="AI138" i="15"/>
  <c r="X138" i="15"/>
  <c r="O138" i="15"/>
  <c r="N138" i="15"/>
  <c r="AD21" i="15"/>
  <c r="AI21" i="15"/>
  <c r="X21" i="15"/>
  <c r="O21" i="15"/>
  <c r="T21" i="15"/>
  <c r="Z29" i="15"/>
  <c r="AE29" i="15"/>
  <c r="AC29" i="15"/>
  <c r="N29" i="15"/>
  <c r="O29" i="15"/>
  <c r="AI37" i="15"/>
  <c r="AE37" i="15"/>
  <c r="X37" i="15"/>
  <c r="Q37" i="15"/>
  <c r="T37" i="15"/>
  <c r="AD45" i="15"/>
  <c r="AJ45" i="15"/>
  <c r="AE45" i="15"/>
  <c r="T45" i="15"/>
  <c r="N45" i="15"/>
  <c r="AJ53" i="15"/>
  <c r="AE53" i="15"/>
  <c r="Y53" i="15"/>
  <c r="Q53" i="15"/>
  <c r="T53" i="15"/>
  <c r="AD61" i="15"/>
  <c r="AH61" i="15"/>
  <c r="X61" i="15"/>
  <c r="T61" i="15"/>
  <c r="O61" i="15"/>
  <c r="AF69" i="15"/>
  <c r="AJ69" i="15"/>
  <c r="Y69" i="15"/>
  <c r="Q69" i="15"/>
  <c r="S69" i="15"/>
  <c r="AI77" i="15"/>
  <c r="AE77" i="15"/>
  <c r="AA77" i="15"/>
  <c r="P77" i="15"/>
  <c r="N77" i="15"/>
  <c r="AK85" i="15"/>
  <c r="AH85" i="15"/>
  <c r="X85" i="15"/>
  <c r="T85" i="15"/>
  <c r="S85" i="15"/>
  <c r="AD93" i="15"/>
  <c r="AA93" i="15"/>
  <c r="Y93" i="15"/>
  <c r="T93" i="15"/>
  <c r="Q93" i="15"/>
  <c r="AH101" i="15"/>
  <c r="AE101" i="15"/>
  <c r="AA101" i="15"/>
  <c r="T101" i="15"/>
  <c r="N101" i="15"/>
  <c r="AJ109" i="15"/>
  <c r="AE109" i="15"/>
  <c r="AA109" i="15"/>
  <c r="T109" i="15"/>
  <c r="S109" i="15"/>
  <c r="AC117" i="15"/>
  <c r="AH117" i="15"/>
  <c r="AA117" i="15"/>
  <c r="T117" i="15"/>
  <c r="S117" i="15"/>
  <c r="AE125" i="15"/>
  <c r="AJ125" i="15"/>
  <c r="Z125" i="15"/>
  <c r="T125" i="15"/>
  <c r="N125" i="15"/>
  <c r="AH133" i="15"/>
  <c r="AC133" i="15"/>
  <c r="X133" i="15"/>
  <c r="T133" i="15"/>
  <c r="N133" i="15"/>
  <c r="AC141" i="15"/>
  <c r="AH141" i="15"/>
  <c r="Y141" i="15"/>
  <c r="U141" i="15"/>
  <c r="N141" i="15"/>
  <c r="AH149" i="15"/>
  <c r="AC149" i="15"/>
  <c r="Y149" i="15"/>
  <c r="V149" i="15"/>
  <c r="Q68" i="15"/>
  <c r="AH76" i="15"/>
  <c r="AE76" i="15"/>
  <c r="X76" i="15"/>
  <c r="V76" i="15"/>
  <c r="P76" i="15"/>
  <c r="AJ84" i="15"/>
  <c r="AH84" i="15"/>
  <c r="Y84" i="15"/>
  <c r="V84" i="15"/>
  <c r="O84" i="15"/>
  <c r="AC92" i="15"/>
  <c r="AH92" i="15"/>
  <c r="X92" i="15"/>
  <c r="V92" i="15"/>
  <c r="N92" i="15"/>
  <c r="AF100" i="15"/>
  <c r="AC100" i="15"/>
  <c r="Z100" i="15"/>
  <c r="V100" i="15"/>
  <c r="N100" i="15"/>
  <c r="AI108" i="15"/>
  <c r="AA108" i="15"/>
  <c r="Z108" i="15"/>
  <c r="V108" i="15"/>
  <c r="N108" i="15"/>
  <c r="AK116" i="15"/>
  <c r="AF116" i="15"/>
  <c r="X116" i="15"/>
  <c r="V116" i="15"/>
  <c r="Q116" i="15"/>
  <c r="AD124" i="15"/>
  <c r="AA124" i="15"/>
  <c r="AI124" i="15"/>
  <c r="V124" i="15"/>
  <c r="P124" i="15"/>
  <c r="AF132" i="15"/>
  <c r="AK132" i="15"/>
  <c r="X132" i="15"/>
  <c r="V132" i="15"/>
  <c r="Q132" i="15"/>
  <c r="AK140" i="15"/>
  <c r="AF140" i="15"/>
  <c r="AA140" i="15"/>
  <c r="T140" i="15"/>
  <c r="P140" i="15"/>
  <c r="AF148" i="15"/>
  <c r="Y148" i="15"/>
  <c r="Z148" i="15"/>
  <c r="T148" i="15"/>
  <c r="O148" i="15"/>
  <c r="AC156" i="15"/>
  <c r="X156" i="15"/>
  <c r="Y156" i="15"/>
  <c r="S156" i="15"/>
  <c r="P156" i="15"/>
  <c r="AJ34" i="15"/>
  <c r="X34" i="15"/>
  <c r="Z34" i="15"/>
  <c r="Q34" i="15"/>
  <c r="N34" i="15"/>
  <c r="AJ50" i="15"/>
  <c r="AI50" i="15"/>
  <c r="X50" i="15"/>
  <c r="P50" i="15"/>
  <c r="Q50" i="15"/>
  <c r="AC74" i="15"/>
  <c r="AF74" i="15"/>
  <c r="X74" i="15"/>
  <c r="Q74" i="15"/>
  <c r="N74" i="15"/>
  <c r="AE90" i="15"/>
  <c r="AD90" i="15"/>
  <c r="AA90" i="15"/>
  <c r="V90" i="15"/>
  <c r="N90" i="15"/>
  <c r="AJ98" i="15"/>
  <c r="AD98" i="15"/>
  <c r="X98" i="15"/>
  <c r="Q98" i="15"/>
  <c r="N98" i="15"/>
  <c r="AK138" i="15"/>
  <c r="AH138" i="15"/>
  <c r="AA138" i="15"/>
  <c r="T138" i="15"/>
  <c r="Q138" i="15"/>
  <c r="AC21" i="15"/>
  <c r="Y21" i="15"/>
  <c r="Z21" i="15"/>
  <c r="N21" i="15"/>
  <c r="P21" i="15"/>
  <c r="AI29" i="15"/>
  <c r="AD29" i="15"/>
  <c r="AA29" i="15"/>
  <c r="T29" i="15"/>
  <c r="Q29" i="15"/>
  <c r="AH37" i="15"/>
  <c r="AD37" i="15"/>
  <c r="AJ37" i="15"/>
  <c r="S37" i="15"/>
  <c r="P37" i="15"/>
  <c r="AC45" i="15"/>
  <c r="AI45" i="15"/>
  <c r="Y45" i="15"/>
  <c r="S45" i="15"/>
  <c r="O45" i="15"/>
  <c r="AI53" i="15"/>
  <c r="AD53" i="15"/>
  <c r="X53" i="15"/>
  <c r="P53" i="15"/>
  <c r="N53" i="15"/>
  <c r="AC61" i="15"/>
  <c r="AA61" i="15"/>
  <c r="AJ61" i="15"/>
  <c r="Q61" i="15"/>
  <c r="N61" i="15"/>
  <c r="AE69" i="15"/>
  <c r="AA69" i="15"/>
  <c r="X69" i="15"/>
  <c r="P69" i="15"/>
  <c r="T69" i="15"/>
  <c r="AH77" i="15"/>
  <c r="AC77" i="15"/>
  <c r="X77" i="15"/>
  <c r="T77" i="15"/>
  <c r="Q77" i="15"/>
  <c r="AJ85" i="15"/>
  <c r="AE85" i="15"/>
  <c r="Z85" i="15"/>
  <c r="O85" i="15"/>
  <c r="P85" i="15"/>
  <c r="AC93" i="15"/>
  <c r="Z93" i="15"/>
  <c r="AH93" i="15"/>
  <c r="N93" i="15"/>
  <c r="S93" i="15"/>
  <c r="AF101" i="15"/>
  <c r="AC101" i="15"/>
  <c r="X101" i="15"/>
  <c r="Q101" i="15"/>
  <c r="P101" i="15"/>
  <c r="AI109" i="15"/>
  <c r="AD109" i="15"/>
  <c r="Z109" i="15"/>
  <c r="Q109" i="15"/>
  <c r="O109" i="15"/>
  <c r="AK117" i="15"/>
  <c r="AF117" i="15"/>
  <c r="Y117" i="15"/>
  <c r="Q117" i="15"/>
  <c r="N117" i="15"/>
  <c r="AD125" i="15"/>
  <c r="AI125" i="15"/>
  <c r="X125" i="15"/>
  <c r="Q125" i="15"/>
  <c r="S125" i="15"/>
  <c r="AF133" i="15"/>
  <c r="AK133" i="15"/>
  <c r="Y133" i="15"/>
  <c r="Q133" i="15"/>
  <c r="S133" i="15"/>
  <c r="AK141" i="15"/>
  <c r="AF141" i="15"/>
  <c r="X141" i="15"/>
  <c r="T141" i="15"/>
  <c r="P141" i="15"/>
  <c r="AF149" i="15"/>
  <c r="AK149" i="15"/>
  <c r="X149" i="15"/>
  <c r="U149" i="15"/>
  <c r="S149" i="15"/>
  <c r="AE157" i="15"/>
  <c r="AJ157" i="15"/>
  <c r="Z157" i="15"/>
  <c r="O157" i="15"/>
  <c r="T157" i="15"/>
  <c r="AI122" i="15"/>
  <c r="AD122" i="15"/>
  <c r="Z122" i="15"/>
  <c r="T122" i="15"/>
  <c r="V122" i="15"/>
  <c r="AE22" i="15"/>
  <c r="AJ22" i="15"/>
  <c r="Y22" i="15"/>
  <c r="T22" i="15"/>
  <c r="V22" i="15"/>
  <c r="AJ30" i="15"/>
  <c r="AE30" i="15"/>
  <c r="Z30" i="15"/>
  <c r="T30" i="15"/>
  <c r="P30" i="15"/>
  <c r="AK38" i="15"/>
  <c r="AF38" i="15"/>
  <c r="Y38" i="15"/>
  <c r="T38" i="15"/>
  <c r="O38" i="15"/>
  <c r="AF46" i="15"/>
  <c r="AC46" i="15"/>
  <c r="Y46" i="15"/>
  <c r="T46" i="15"/>
  <c r="O46" i="15"/>
  <c r="AK54" i="15"/>
  <c r="AE54" i="15"/>
  <c r="AF54" i="15"/>
  <c r="T54" i="15"/>
  <c r="V54" i="15"/>
  <c r="AE62" i="15"/>
  <c r="AJ62" i="15"/>
  <c r="AH62" i="15"/>
  <c r="T62" i="15"/>
  <c r="P62" i="15"/>
  <c r="AF70" i="15"/>
  <c r="AK70" i="15"/>
  <c r="AA70" i="15"/>
  <c r="T70" i="15"/>
  <c r="O70" i="15"/>
  <c r="AI78" i="15"/>
  <c r="AE78" i="15"/>
  <c r="AA78" i="15"/>
  <c r="T78" i="15"/>
  <c r="P78" i="15"/>
  <c r="AK86" i="15"/>
  <c r="AH86" i="15"/>
  <c r="Y86" i="15"/>
  <c r="T86" i="15"/>
  <c r="O86" i="15"/>
  <c r="AE94" i="15"/>
  <c r="AJ94" i="15"/>
  <c r="Z94" i="15"/>
  <c r="T94" i="15"/>
  <c r="O94" i="15"/>
  <c r="AH102" i="15"/>
  <c r="AE102" i="15"/>
  <c r="X102" i="15"/>
  <c r="T102" i="15"/>
  <c r="O102" i="15"/>
  <c r="AC110" i="15"/>
  <c r="AF110" i="15"/>
  <c r="Z110" i="15"/>
  <c r="T110" i="15"/>
  <c r="N110" i="15"/>
  <c r="AD118" i="15"/>
  <c r="AI118" i="15"/>
  <c r="Z118" i="15"/>
  <c r="T118" i="15"/>
  <c r="V118" i="15"/>
  <c r="AE126" i="15"/>
  <c r="AJ126" i="15"/>
  <c r="Y126" i="15"/>
  <c r="T126" i="15"/>
  <c r="P126" i="15"/>
  <c r="AH134" i="15"/>
  <c r="AK134" i="15"/>
  <c r="Y134" i="15"/>
  <c r="O134" i="15"/>
  <c r="P134" i="15"/>
  <c r="AD142" i="15"/>
  <c r="AI142" i="15"/>
  <c r="X142" i="15"/>
  <c r="U142" i="15"/>
  <c r="Q142" i="15"/>
  <c r="AH150" i="15"/>
  <c r="AK150" i="15"/>
  <c r="AA150" i="15"/>
  <c r="U150" i="15"/>
  <c r="P150" i="15"/>
  <c r="AE158" i="15"/>
  <c r="AJ158" i="15"/>
  <c r="Z158" i="15"/>
  <c r="U158" i="15"/>
  <c r="P158" i="15"/>
  <c r="AK130" i="15"/>
  <c r="AH130" i="15"/>
  <c r="Z130" i="15"/>
  <c r="T130" i="15"/>
  <c r="P130" i="15"/>
  <c r="AD23" i="15"/>
  <c r="AI23" i="15"/>
  <c r="AA23" i="15"/>
  <c r="U23" i="15"/>
  <c r="S23" i="15"/>
  <c r="AI31" i="15"/>
  <c r="AE31" i="15"/>
  <c r="AK31" i="15"/>
  <c r="U31" i="15"/>
  <c r="O31" i="15"/>
  <c r="AJ39" i="15"/>
  <c r="AH39" i="15"/>
  <c r="AD39" i="15"/>
  <c r="U39" i="15"/>
  <c r="O39" i="15"/>
  <c r="AE47" i="15"/>
  <c r="AH47" i="15"/>
  <c r="AK47" i="15"/>
  <c r="U47" i="15"/>
  <c r="N47" i="15"/>
  <c r="AJ55" i="15"/>
  <c r="AE55" i="15"/>
  <c r="Z55" i="15"/>
  <c r="U55" i="15"/>
  <c r="P55" i="15"/>
  <c r="AC63" i="15"/>
  <c r="AH63" i="15"/>
  <c r="Z63" i="15"/>
  <c r="U63" i="15"/>
  <c r="N63" i="15"/>
  <c r="AE71" i="15"/>
  <c r="AI71" i="15"/>
  <c r="Z71" i="15"/>
  <c r="U71" i="15"/>
  <c r="O71" i="15"/>
  <c r="AH79" i="15"/>
  <c r="AK79" i="15"/>
  <c r="AA79" i="15"/>
  <c r="U79" i="15"/>
  <c r="T79" i="15"/>
  <c r="AJ87" i="15"/>
  <c r="AD87" i="15"/>
  <c r="AC87" i="15"/>
  <c r="U87" i="15"/>
  <c r="Q87" i="15"/>
  <c r="AC95" i="15"/>
  <c r="AF95" i="15"/>
  <c r="AE95" i="15"/>
  <c r="U95" i="15"/>
  <c r="Q95" i="15"/>
  <c r="AF103" i="15"/>
  <c r="AJ103" i="15"/>
  <c r="Y103" i="15"/>
  <c r="U103" i="15"/>
  <c r="S103" i="15"/>
  <c r="AI111" i="15"/>
  <c r="AD111" i="15"/>
  <c r="AC111" i="15"/>
  <c r="U111" i="15"/>
  <c r="N111" i="15"/>
  <c r="AK119" i="15"/>
  <c r="AF119" i="15"/>
  <c r="Z119" i="15"/>
  <c r="U119" i="15"/>
  <c r="O119" i="15"/>
  <c r="AD127" i="15"/>
  <c r="AI127" i="15"/>
  <c r="Y127" i="15"/>
  <c r="U127" i="15"/>
  <c r="O127" i="15"/>
  <c r="AF135" i="15"/>
  <c r="O149" i="15"/>
  <c r="AD157" i="15"/>
  <c r="AI157" i="15"/>
  <c r="Y157" i="15"/>
  <c r="N157" i="15"/>
  <c r="S157" i="15"/>
  <c r="AH122" i="15"/>
  <c r="AK122" i="15"/>
  <c r="Y122" i="15"/>
  <c r="S122" i="15"/>
  <c r="Q122" i="15"/>
  <c r="AD22" i="15"/>
  <c r="AI22" i="15"/>
  <c r="AH22" i="15"/>
  <c r="S22" i="15"/>
  <c r="O22" i="15"/>
  <c r="AI30" i="15"/>
  <c r="AD30" i="15"/>
  <c r="Y30" i="15"/>
  <c r="S30" i="15"/>
  <c r="O30" i="15"/>
  <c r="AJ38" i="15"/>
  <c r="AE38" i="15"/>
  <c r="AA38" i="15"/>
  <c r="S38" i="15"/>
  <c r="N38" i="15"/>
  <c r="AI46" i="15"/>
  <c r="AK46" i="15"/>
  <c r="X46" i="15"/>
  <c r="S46" i="15"/>
  <c r="N46" i="15"/>
  <c r="AJ54" i="15"/>
  <c r="AD54" i="15"/>
  <c r="X54" i="15"/>
  <c r="S54" i="15"/>
  <c r="Q54" i="15"/>
  <c r="AD62" i="15"/>
  <c r="Z62" i="15"/>
  <c r="Y62" i="15"/>
  <c r="S62" i="15"/>
  <c r="O62" i="15"/>
  <c r="AE70" i="15"/>
  <c r="AI70" i="15"/>
  <c r="Z70" i="15"/>
  <c r="S70" i="15"/>
  <c r="N70" i="15"/>
  <c r="AH78" i="15"/>
  <c r="AC78" i="15"/>
  <c r="Z78" i="15"/>
  <c r="S78" i="15"/>
  <c r="N78" i="15"/>
  <c r="AC86" i="15"/>
  <c r="AF86" i="15"/>
  <c r="AE86" i="15"/>
  <c r="S86" i="15"/>
  <c r="V86" i="15"/>
  <c r="AD94" i="15"/>
  <c r="AH94" i="15"/>
  <c r="Y94" i="15"/>
  <c r="S94" i="15"/>
  <c r="N94" i="15"/>
  <c r="AF102" i="15"/>
  <c r="AJ102" i="15"/>
  <c r="Z102" i="15"/>
  <c r="S102" i="15"/>
  <c r="N102" i="15"/>
  <c r="AJ110" i="15"/>
  <c r="AE110" i="15"/>
  <c r="Y110" i="15"/>
  <c r="S110" i="15"/>
  <c r="V110" i="15"/>
  <c r="AK118" i="15"/>
  <c r="AH118" i="15"/>
  <c r="Y118" i="15"/>
  <c r="S118" i="15"/>
  <c r="Q118" i="15"/>
  <c r="AD126" i="15"/>
  <c r="AI126" i="15"/>
  <c r="X126" i="15"/>
  <c r="S126" i="15"/>
  <c r="Q126" i="15"/>
  <c r="AF134" i="15"/>
  <c r="AC134" i="15"/>
  <c r="X134" i="15"/>
  <c r="T134" i="15"/>
  <c r="Q134" i="15"/>
  <c r="AK142" i="15"/>
  <c r="AH142" i="15"/>
  <c r="AA142" i="15"/>
  <c r="N142" i="15"/>
  <c r="P142" i="15"/>
  <c r="AF150" i="15"/>
  <c r="AC150" i="15"/>
  <c r="Z150" i="15"/>
  <c r="T150" i="15"/>
  <c r="O150" i="15"/>
  <c r="AD158" i="15"/>
  <c r="AI158" i="15"/>
  <c r="Y158" i="15"/>
  <c r="T158" i="15"/>
  <c r="O158" i="15"/>
  <c r="AC130" i="15"/>
  <c r="AF130" i="15"/>
  <c r="Y130" i="15"/>
  <c r="S130" i="15"/>
  <c r="O130" i="15"/>
  <c r="AC23" i="15"/>
  <c r="AH23" i="15"/>
  <c r="Z23" i="15"/>
  <c r="O23" i="15"/>
  <c r="Q23" i="15"/>
  <c r="Z31" i="15"/>
  <c r="AD31" i="15"/>
  <c r="X31" i="15"/>
  <c r="N31" i="15"/>
  <c r="S31" i="15"/>
  <c r="AC39" i="15"/>
  <c r="AF39" i="15"/>
  <c r="Z39" i="15"/>
  <c r="T39" i="15"/>
  <c r="P39" i="15"/>
  <c r="AJ47" i="15"/>
  <c r="AD47" i="15"/>
  <c r="AA47" i="15"/>
  <c r="Q47" i="15"/>
  <c r="S47" i="15"/>
  <c r="AI55" i="15"/>
  <c r="AD55" i="15"/>
  <c r="Y55" i="15"/>
  <c r="T55" i="15"/>
  <c r="O55" i="15"/>
  <c r="AK63" i="15"/>
  <c r="AF63" i="15"/>
  <c r="Y63" i="15"/>
  <c r="Q63" i="15"/>
  <c r="T63" i="15"/>
  <c r="AD71" i="15"/>
  <c r="AA71" i="15"/>
  <c r="Y71" i="15"/>
  <c r="Q71" i="15"/>
  <c r="S71" i="15"/>
  <c r="AF79" i="15"/>
  <c r="Z79" i="15"/>
  <c r="Y79" i="15"/>
  <c r="P79" i="15"/>
  <c r="S79" i="15"/>
  <c r="AI87" i="15"/>
  <c r="AA87" i="15"/>
  <c r="Z87" i="15"/>
  <c r="T87" i="15"/>
  <c r="P87" i="15"/>
  <c r="AK95" i="15"/>
  <c r="AA95" i="15"/>
  <c r="X95" i="15"/>
  <c r="T95" i="15"/>
  <c r="O95" i="15"/>
  <c r="AE103" i="15"/>
  <c r="AI103" i="15"/>
  <c r="X103" i="15"/>
  <c r="T103" i="15"/>
  <c r="P103" i="15"/>
  <c r="AH111" i="15"/>
  <c r="AK111" i="15"/>
  <c r="AA111" i="15"/>
  <c r="T111" i="15"/>
  <c r="S111" i="15"/>
  <c r="AJ119" i="15"/>
  <c r="AD119" i="15"/>
  <c r="Y119" i="15"/>
  <c r="T119" i="15"/>
  <c r="N149" i="15"/>
  <c r="AC157" i="15"/>
  <c r="AH157" i="15"/>
  <c r="X157" i="15"/>
  <c r="V157" i="15"/>
  <c r="Q157" i="15"/>
  <c r="AF122" i="15"/>
  <c r="AC122" i="15"/>
  <c r="X122" i="15"/>
  <c r="O122" i="15"/>
  <c r="P122" i="15"/>
  <c r="AC22" i="15"/>
  <c r="AA22" i="15"/>
  <c r="X22" i="15"/>
  <c r="Q22" i="15"/>
  <c r="N22" i="15"/>
  <c r="AH30" i="15"/>
  <c r="AA30" i="15"/>
  <c r="X30" i="15"/>
  <c r="V30" i="15"/>
  <c r="N30" i="15"/>
  <c r="AI38" i="15"/>
  <c r="AD38" i="15"/>
  <c r="Z38" i="15"/>
  <c r="Q38" i="15"/>
  <c r="V38" i="15"/>
  <c r="AE46" i="15"/>
  <c r="AA46" i="15"/>
  <c r="AJ46" i="15"/>
  <c r="V46" i="15"/>
  <c r="Q46" i="15"/>
  <c r="AI54" i="15"/>
  <c r="AA54" i="15"/>
  <c r="Z54" i="15"/>
  <c r="O54" i="15"/>
  <c r="P54" i="15"/>
  <c r="AK62" i="15"/>
  <c r="X62" i="15"/>
  <c r="AA62" i="15"/>
  <c r="V62" i="15"/>
  <c r="Q62" i="15"/>
  <c r="AD70" i="15"/>
  <c r="Y70" i="15"/>
  <c r="X70" i="15"/>
  <c r="V70" i="15"/>
  <c r="P70" i="15"/>
  <c r="AF78" i="15"/>
  <c r="X78" i="15"/>
  <c r="Y78" i="15"/>
  <c r="V78" i="15"/>
  <c r="O78" i="15"/>
  <c r="AJ86" i="15"/>
  <c r="AA86" i="15"/>
  <c r="X86" i="15"/>
  <c r="Q86" i="15"/>
  <c r="N86" i="15"/>
  <c r="AK94" i="15"/>
  <c r="AI94" i="15"/>
  <c r="X94" i="15"/>
  <c r="Q94" i="15"/>
  <c r="V94" i="15"/>
  <c r="AD102" i="15"/>
  <c r="AC102" i="15"/>
  <c r="Y102" i="15"/>
  <c r="Q102" i="15"/>
  <c r="V102" i="15"/>
  <c r="AI110" i="15"/>
  <c r="AD110" i="15"/>
  <c r="X110" i="15"/>
  <c r="P110" i="15"/>
  <c r="Q110" i="15"/>
  <c r="AC118" i="15"/>
  <c r="AF118" i="15"/>
  <c r="X118" i="15"/>
  <c r="O118" i="15"/>
  <c r="P118" i="15"/>
  <c r="AK126" i="15"/>
  <c r="AA126" i="15"/>
  <c r="AH126" i="15"/>
  <c r="N126" i="15"/>
  <c r="O126" i="15"/>
  <c r="AE134" i="15"/>
  <c r="AJ134" i="15"/>
  <c r="AA134" i="15"/>
  <c r="S134" i="15"/>
  <c r="N134" i="15"/>
  <c r="AC142" i="15"/>
  <c r="AF142" i="15"/>
  <c r="Z142" i="15"/>
  <c r="T142" i="15"/>
  <c r="O142" i="15"/>
  <c r="AE150" i="15"/>
  <c r="AJ150" i="15"/>
  <c r="Y150" i="15"/>
  <c r="S150" i="15"/>
  <c r="N150" i="15"/>
  <c r="AK158" i="15"/>
  <c r="AH158" i="15"/>
  <c r="X158" i="15"/>
  <c r="S158" i="15"/>
  <c r="N158" i="15"/>
  <c r="AJ130" i="15"/>
  <c r="AE130" i="15"/>
  <c r="X130" i="15"/>
  <c r="N130" i="15"/>
  <c r="Q130" i="15"/>
  <c r="AK23" i="15"/>
  <c r="AF23" i="15"/>
  <c r="X23" i="15"/>
  <c r="N23" i="15"/>
  <c r="P23" i="15"/>
  <c r="AH31" i="15"/>
  <c r="AC31" i="15"/>
  <c r="AA31" i="15"/>
  <c r="T31" i="15"/>
  <c r="Q31" i="15"/>
  <c r="Y39" i="15"/>
  <c r="AE39" i="15"/>
  <c r="X39" i="15"/>
  <c r="S39" i="15"/>
  <c r="N39" i="15"/>
  <c r="AI47" i="15"/>
  <c r="AC47" i="15"/>
  <c r="Y47" i="15"/>
  <c r="P47" i="15"/>
  <c r="O47" i="15"/>
  <c r="AH55" i="15"/>
  <c r="AC55" i="15"/>
  <c r="X55" i="15"/>
  <c r="Q55" i="15"/>
  <c r="N55" i="15"/>
  <c r="AJ63" i="15"/>
  <c r="AE63" i="15"/>
  <c r="X63" i="15"/>
  <c r="P63" i="15"/>
  <c r="S63" i="15"/>
  <c r="AC71" i="15"/>
  <c r="AJ71" i="15"/>
  <c r="X71" i="15"/>
  <c r="P71" i="15"/>
  <c r="N71" i="15"/>
  <c r="AE79" i="15"/>
  <c r="AJ79" i="15"/>
  <c r="X79" i="15"/>
  <c r="O79" i="15"/>
  <c r="Q79" i="15"/>
  <c r="AH87" i="15"/>
  <c r="Y87" i="15"/>
  <c r="X87" i="15"/>
  <c r="O87" i="15"/>
  <c r="S87" i="15"/>
  <c r="AJ95" i="15"/>
  <c r="Z95" i="15"/>
  <c r="Y95" i="15"/>
  <c r="N95" i="15"/>
  <c r="S95" i="15"/>
  <c r="AD103" i="15"/>
  <c r="AC103" i="15"/>
  <c r="AA103" i="15"/>
  <c r="Q103" i="15"/>
  <c r="N103" i="15"/>
  <c r="AF111" i="15"/>
  <c r="Y111" i="15"/>
  <c r="Z111" i="15"/>
  <c r="Q111" i="15"/>
  <c r="O111" i="15"/>
  <c r="AI119" i="15"/>
  <c r="X119" i="15"/>
  <c r="AA119" i="15"/>
  <c r="Q119" i="15"/>
  <c r="AF157" i="15"/>
  <c r="AK157" i="15"/>
  <c r="AA157" i="15"/>
  <c r="P157" i="15"/>
  <c r="U157" i="15"/>
  <c r="AJ122" i="15"/>
  <c r="AE122" i="15"/>
  <c r="AA122" i="15"/>
  <c r="U122" i="15"/>
  <c r="N122" i="15"/>
  <c r="AF22" i="15"/>
  <c r="AK22" i="15"/>
  <c r="Z22" i="15"/>
  <c r="U22" i="15"/>
  <c r="P22" i="15"/>
  <c r="AK30" i="15"/>
  <c r="AF30" i="15"/>
  <c r="AC30" i="15"/>
  <c r="U30" i="15"/>
  <c r="Q30" i="15"/>
  <c r="AC38" i="15"/>
  <c r="AH38" i="15"/>
  <c r="X38" i="15"/>
  <c r="U38" i="15"/>
  <c r="P38" i="15"/>
  <c r="AH46" i="15"/>
  <c r="AD46" i="15"/>
  <c r="Z46" i="15"/>
  <c r="U46" i="15"/>
  <c r="P46" i="15"/>
  <c r="AC54" i="15"/>
  <c r="AH54" i="15"/>
  <c r="Y54" i="15"/>
  <c r="U54" i="15"/>
  <c r="N54" i="15"/>
  <c r="AF62" i="15"/>
  <c r="AC62" i="15"/>
  <c r="AI62" i="15"/>
  <c r="U62" i="15"/>
  <c r="N62" i="15"/>
  <c r="AH70" i="15"/>
  <c r="AJ70" i="15"/>
  <c r="AC70" i="15"/>
  <c r="U70" i="15"/>
  <c r="Q70" i="15"/>
  <c r="AJ78" i="15"/>
  <c r="AD78" i="15"/>
  <c r="AK78" i="15"/>
  <c r="U78" i="15"/>
  <c r="Q78" i="15"/>
  <c r="AD86" i="15"/>
  <c r="AI86" i="15"/>
  <c r="Z86" i="15"/>
  <c r="U86" i="15"/>
  <c r="P86" i="15"/>
  <c r="AF94" i="15"/>
  <c r="AC94" i="15"/>
  <c r="AA94" i="15"/>
  <c r="U94" i="15"/>
  <c r="P94" i="15"/>
  <c r="AI102" i="15"/>
  <c r="AK102" i="15"/>
  <c r="AA102" i="15"/>
  <c r="U102" i="15"/>
  <c r="P102" i="15"/>
  <c r="AK110" i="15"/>
  <c r="AH110" i="15"/>
  <c r="AA110" i="15"/>
  <c r="U110" i="15"/>
  <c r="O110" i="15"/>
  <c r="AE118" i="15"/>
  <c r="AJ118" i="15"/>
  <c r="AA118" i="15"/>
  <c r="U118" i="15"/>
  <c r="N118" i="15"/>
  <c r="AF126" i="15"/>
  <c r="AC126" i="15"/>
  <c r="Z126" i="15"/>
  <c r="U126" i="15"/>
  <c r="V126" i="15"/>
  <c r="AI134" i="15"/>
  <c r="AD134" i="15"/>
  <c r="Z134" i="15"/>
  <c r="U134" i="15"/>
  <c r="V134" i="15"/>
  <c r="AE142" i="15"/>
  <c r="AJ142" i="15"/>
  <c r="Y142" i="15"/>
  <c r="V142" i="15"/>
  <c r="S142" i="15"/>
  <c r="AI150" i="15"/>
  <c r="AD150" i="15"/>
  <c r="X150" i="15"/>
  <c r="V150" i="15"/>
  <c r="Q150" i="15"/>
  <c r="AF158" i="15"/>
  <c r="AC158" i="15"/>
  <c r="AA158" i="15"/>
  <c r="V158" i="15"/>
  <c r="Q158" i="15"/>
  <c r="AD130" i="15"/>
  <c r="AI130" i="15"/>
  <c r="AA130" i="15"/>
  <c r="U130" i="15"/>
  <c r="V130" i="15"/>
  <c r="AE23" i="15"/>
  <c r="AJ23" i="15"/>
  <c r="Y23" i="15"/>
  <c r="V23" i="15"/>
  <c r="T23" i="15"/>
  <c r="AJ31" i="15"/>
  <c r="P31" i="15"/>
  <c r="V39" i="15"/>
  <c r="Z47" i="15"/>
  <c r="AF55" i="15"/>
  <c r="AD63" i="15"/>
  <c r="O63" i="15"/>
  <c r="V71" i="15"/>
  <c r="AC79" i="15"/>
  <c r="AF87" i="15"/>
  <c r="AD95" i="15"/>
  <c r="P95" i="15"/>
  <c r="V103" i="15"/>
  <c r="X111" i="15"/>
  <c r="AH119" i="15"/>
  <c r="N119" i="15"/>
  <c r="AK127" i="15"/>
  <c r="AA127" i="15"/>
  <c r="T127" i="15"/>
  <c r="S127" i="15"/>
  <c r="AC135" i="15"/>
  <c r="AA135" i="15"/>
  <c r="V135" i="15"/>
  <c r="P135" i="15"/>
  <c r="AC143" i="15"/>
  <c r="AH143" i="15"/>
  <c r="AA143" i="15"/>
  <c r="Q143" i="15"/>
  <c r="O143" i="15"/>
  <c r="AH151" i="15"/>
  <c r="AC151" i="15"/>
  <c r="AA151" i="15"/>
  <c r="Q151" i="15"/>
  <c r="T151" i="15"/>
  <c r="AE159" i="15"/>
  <c r="AJ159" i="15"/>
  <c r="AA159" i="15"/>
  <c r="P159" i="15"/>
  <c r="U159" i="15"/>
  <c r="X47" i="15"/>
  <c r="AK55" i="15"/>
  <c r="V63" i="15"/>
  <c r="AK87" i="15"/>
  <c r="Z103" i="15"/>
  <c r="AC119" i="15"/>
  <c r="V127" i="15"/>
  <c r="AD135" i="15"/>
  <c r="AI143" i="15"/>
  <c r="T143" i="15"/>
  <c r="P143" i="15"/>
  <c r="X151" i="15"/>
  <c r="AK159" i="15"/>
  <c r="AF31" i="15"/>
  <c r="AK39" i="15"/>
  <c r="Q39" i="15"/>
  <c r="V47" i="15"/>
  <c r="AA55" i="15"/>
  <c r="AI63" i="15"/>
  <c r="AF71" i="15"/>
  <c r="T71" i="15"/>
  <c r="V79" i="15"/>
  <c r="AE87" i="15"/>
  <c r="AI95" i="15"/>
  <c r="AH103" i="15"/>
  <c r="O103" i="15"/>
  <c r="V111" i="15"/>
  <c r="AE119" i="15"/>
  <c r="S119" i="15"/>
  <c r="AJ127" i="15"/>
  <c r="X127" i="15"/>
  <c r="Q127" i="15"/>
  <c r="AH135" i="15"/>
  <c r="AK135" i="15"/>
  <c r="Z135" i="15"/>
  <c r="U135" i="15"/>
  <c r="O135" i="15"/>
  <c r="AK143" i="15"/>
  <c r="AF143" i="15"/>
  <c r="Z143" i="15"/>
  <c r="V143" i="15"/>
  <c r="S143" i="15"/>
  <c r="AF151" i="15"/>
  <c r="AK151" i="15"/>
  <c r="Z151" i="15"/>
  <c r="P151" i="15"/>
  <c r="O151" i="15"/>
  <c r="AD159" i="15"/>
  <c r="AI159" i="15"/>
  <c r="Z159" i="15"/>
  <c r="O159" i="15"/>
  <c r="T159" i="15"/>
  <c r="V31" i="15"/>
  <c r="AD79" i="15"/>
  <c r="N87" i="15"/>
  <c r="AE111" i="15"/>
  <c r="AC127" i="15"/>
  <c r="N127" i="15"/>
  <c r="Y135" i="15"/>
  <c r="Q135" i="15"/>
  <c r="AD143" i="15"/>
  <c r="AI151" i="15"/>
  <c r="U151" i="15"/>
  <c r="AF159" i="15"/>
  <c r="V159" i="15"/>
  <c r="Q159" i="15"/>
  <c r="Y31" i="15"/>
  <c r="AI39" i="15"/>
  <c r="AF47" i="15"/>
  <c r="T47" i="15"/>
  <c r="V55" i="15"/>
  <c r="AA63" i="15"/>
  <c r="AK71" i="15"/>
  <c r="AI79" i="15"/>
  <c r="N79" i="15"/>
  <c r="V87" i="15"/>
  <c r="AH95" i="15"/>
  <c r="AK103" i="15"/>
  <c r="AJ111" i="15"/>
  <c r="P111" i="15"/>
  <c r="V119" i="15"/>
  <c r="AE127" i="15"/>
  <c r="AH127" i="15"/>
  <c r="Z127" i="15"/>
  <c r="P127" i="15"/>
  <c r="AE135" i="15"/>
  <c r="AJ135" i="15"/>
  <c r="X135" i="15"/>
  <c r="T135" i="15"/>
  <c r="N135" i="15"/>
  <c r="AJ143" i="15"/>
  <c r="AE143" i="15"/>
  <c r="Y143" i="15"/>
  <c r="U143" i="15"/>
  <c r="N143" i="15"/>
  <c r="AE151" i="15"/>
  <c r="AJ151" i="15"/>
  <c r="Y151" i="15"/>
  <c r="V151" i="15"/>
  <c r="N151" i="15"/>
  <c r="AC159" i="15"/>
  <c r="AH159" i="15"/>
  <c r="Y159" i="15"/>
  <c r="N159" i="15"/>
  <c r="S159" i="15"/>
  <c r="AA39" i="15"/>
  <c r="S55" i="15"/>
  <c r="AH71" i="15"/>
  <c r="V95" i="15"/>
  <c r="P119" i="15"/>
  <c r="AF127" i="15"/>
  <c r="AI135" i="15"/>
  <c r="S135" i="15"/>
  <c r="X143" i="15"/>
  <c r="AD151" i="15"/>
  <c r="S151" i="15"/>
  <c r="X159" i="15"/>
  <c r="M136" i="15"/>
  <c r="EC11" i="5" s="1"/>
  <c r="M140" i="15"/>
  <c r="EG11" i="5" s="1"/>
  <c r="M138" i="15"/>
  <c r="EE11" i="5" s="1"/>
  <c r="M80" i="15"/>
  <c r="BY11" i="5" s="1"/>
  <c r="M142" i="15"/>
  <c r="EI11" i="5" s="1"/>
  <c r="M64" i="15"/>
  <c r="BI11" i="5" s="1"/>
  <c r="M150" i="15"/>
  <c r="EQ11" i="5" s="1"/>
  <c r="AF15" i="15"/>
  <c r="X15" i="15"/>
  <c r="AA15" i="15"/>
  <c r="O15" i="15"/>
  <c r="Q15" i="15"/>
  <c r="AJ15" i="15"/>
  <c r="AE15" i="15"/>
  <c r="Z15" i="15"/>
  <c r="V15" i="15"/>
  <c r="N15" i="15"/>
  <c r="AI15" i="15"/>
  <c r="AD15" i="15"/>
  <c r="Y15" i="15"/>
  <c r="U15" i="15"/>
  <c r="T15" i="15"/>
  <c r="AH15" i="15"/>
  <c r="AC15" i="15"/>
  <c r="AK15" i="15"/>
  <c r="P15" i="15"/>
  <c r="S15" i="15"/>
  <c r="AI14" i="15"/>
  <c r="AD14" i="15"/>
  <c r="X14" i="15"/>
  <c r="S14" i="15"/>
  <c r="O14" i="15"/>
  <c r="AI13" i="15"/>
  <c r="AD13" i="15"/>
  <c r="V13" i="15"/>
  <c r="O13" i="15"/>
  <c r="Y14" i="15"/>
  <c r="AJ13" i="15"/>
  <c r="T13" i="15"/>
  <c r="AH14" i="15"/>
  <c r="AA14" i="15"/>
  <c r="AC14" i="15"/>
  <c r="V14" i="15"/>
  <c r="P14" i="15"/>
  <c r="AH13" i="15"/>
  <c r="AC13" i="15"/>
  <c r="U13" i="15"/>
  <c r="S13" i="15"/>
  <c r="AE14" i="15"/>
  <c r="N14" i="15"/>
  <c r="Y13" i="15"/>
  <c r="AK14" i="15"/>
  <c r="AF14" i="15"/>
  <c r="Z14" i="15"/>
  <c r="U14" i="15"/>
  <c r="Q14" i="15"/>
  <c r="AK13" i="15"/>
  <c r="AF13" i="15"/>
  <c r="X13" i="15"/>
  <c r="P13" i="15"/>
  <c r="N13" i="15"/>
  <c r="AJ14" i="15"/>
  <c r="T14" i="15"/>
  <c r="AE13" i="15"/>
  <c r="Q13" i="15"/>
  <c r="Z13" i="15"/>
  <c r="AA13" i="15"/>
  <c r="FB333" i="5"/>
  <c r="E20" i="1"/>
  <c r="I339" i="5"/>
  <c r="FA4" i="5"/>
  <c r="CG4" i="5"/>
  <c r="M333" i="5"/>
  <c r="C16" i="15" s="1"/>
  <c r="Q333" i="5"/>
  <c r="C20" i="15" s="1"/>
  <c r="W333" i="5"/>
  <c r="C26" i="15" s="1"/>
  <c r="AA333" i="5"/>
  <c r="C30" i="15" s="1"/>
  <c r="AJ333" i="5"/>
  <c r="C39" i="15" s="1"/>
  <c r="CB333" i="5"/>
  <c r="C83" i="15" s="1"/>
  <c r="CF333" i="5"/>
  <c r="C87" i="15" s="1"/>
  <c r="CL333" i="5"/>
  <c r="C93" i="15" s="1"/>
  <c r="CU333" i="5"/>
  <c r="C102" i="15" s="1"/>
  <c r="DH333" i="5"/>
  <c r="C115" i="15" s="1"/>
  <c r="DT333" i="5"/>
  <c r="C127" i="15" s="1"/>
  <c r="DX333" i="5"/>
  <c r="C131" i="15" s="1"/>
  <c r="P333" i="5"/>
  <c r="C19" i="15" s="1"/>
  <c r="Z333" i="5"/>
  <c r="C29" i="15" s="1"/>
  <c r="AI333" i="5"/>
  <c r="C38" i="15" s="1"/>
  <c r="AT333" i="5"/>
  <c r="C49" i="15" s="1"/>
  <c r="CA333" i="5"/>
  <c r="C82" i="15" s="1"/>
  <c r="CE333" i="5"/>
  <c r="C86" i="15" s="1"/>
  <c r="DG333" i="5"/>
  <c r="C114" i="15" s="1"/>
  <c r="DW333" i="5"/>
  <c r="C130" i="15" s="1"/>
  <c r="S333" i="5"/>
  <c r="C22" i="15" s="1"/>
  <c r="CI333" i="5"/>
  <c r="C90" i="15" s="1"/>
  <c r="CS333" i="5"/>
  <c r="C100" i="15" s="1"/>
  <c r="DS333" i="5"/>
  <c r="C126" i="15" s="1"/>
  <c r="O333" i="5"/>
  <c r="C18" i="15" s="1"/>
  <c r="AE333" i="5"/>
  <c r="C34" i="15" s="1"/>
  <c r="CD333" i="5"/>
  <c r="C85" i="15" s="1"/>
  <c r="CH333" i="5"/>
  <c r="C89" i="15" s="1"/>
  <c r="CR333" i="5"/>
  <c r="C99" i="15" s="1"/>
  <c r="DF333" i="5"/>
  <c r="C113" i="15" s="1"/>
  <c r="DR333" i="5"/>
  <c r="C125" i="15" s="1"/>
  <c r="DV333" i="5"/>
  <c r="C129" i="15" s="1"/>
  <c r="N333" i="5"/>
  <c r="C17" i="15" s="1"/>
  <c r="R333" i="5"/>
  <c r="C21" i="15" s="1"/>
  <c r="X333" i="5"/>
  <c r="C27" i="15" s="1"/>
  <c r="AD333" i="5"/>
  <c r="C33" i="15" s="1"/>
  <c r="AK333" i="5"/>
  <c r="C40" i="15" s="1"/>
  <c r="CC333" i="5"/>
  <c r="C84" i="15" s="1"/>
  <c r="CG333" i="5"/>
  <c r="C88" i="15" s="1"/>
  <c r="CM333" i="5"/>
  <c r="C94" i="15" s="1"/>
  <c r="DU333" i="5"/>
  <c r="C128" i="15" s="1"/>
  <c r="K333" i="5"/>
  <c r="C14" i="15" s="1"/>
  <c r="J333" i="5"/>
  <c r="C13" i="15" s="1"/>
  <c r="L333" i="5"/>
  <c r="C15" i="15" s="1"/>
  <c r="D18" i="6"/>
  <c r="D19" i="6"/>
  <c r="D14" i="6"/>
  <c r="D22" i="6"/>
  <c r="D17" i="6"/>
  <c r="D16" i="6"/>
  <c r="D15" i="6"/>
  <c r="D21" i="6"/>
  <c r="D162" i="6"/>
  <c r="D13" i="6"/>
  <c r="D20" i="6"/>
  <c r="M116" i="15" l="1"/>
  <c r="DI11" i="5" s="1"/>
  <c r="M58" i="15"/>
  <c r="BC11" i="5" s="1"/>
  <c r="M144" i="15"/>
  <c r="EK11" i="5" s="1"/>
  <c r="M46" i="15"/>
  <c r="AQ11" i="5" s="1"/>
  <c r="H23" i="15"/>
  <c r="M120" i="15"/>
  <c r="DM11" i="5" s="1"/>
  <c r="M106" i="15"/>
  <c r="CY11" i="5" s="1"/>
  <c r="M122" i="15"/>
  <c r="DO11" i="5" s="1"/>
  <c r="M154" i="15"/>
  <c r="EU11" i="5" s="1"/>
  <c r="M74" i="15"/>
  <c r="BS11" i="5" s="1"/>
  <c r="AG88" i="15"/>
  <c r="CG15" i="5" s="1"/>
  <c r="R136" i="15"/>
  <c r="EC12" i="5" s="1"/>
  <c r="M42" i="15"/>
  <c r="AM11" i="5" s="1"/>
  <c r="M76" i="15"/>
  <c r="BU11" i="5" s="1"/>
  <c r="AG121" i="15"/>
  <c r="DN15" i="5" s="1"/>
  <c r="M16" i="15"/>
  <c r="M11" i="5" s="1"/>
  <c r="AL107" i="15"/>
  <c r="CZ16" i="5" s="1"/>
  <c r="AL104" i="15"/>
  <c r="CW16" i="5" s="1"/>
  <c r="AG128" i="15"/>
  <c r="DU15" i="5" s="1"/>
  <c r="AB145" i="15"/>
  <c r="EL14" i="5" s="1"/>
  <c r="AB48" i="15"/>
  <c r="AS14" i="5" s="1"/>
  <c r="H108" i="15"/>
  <c r="I108" i="6" s="1"/>
  <c r="H142" i="15"/>
  <c r="I142" i="6" s="1"/>
  <c r="H110" i="15"/>
  <c r="I110" i="6" s="1"/>
  <c r="H28" i="15"/>
  <c r="I28" i="6" s="1"/>
  <c r="H67" i="15"/>
  <c r="BL10" i="5" s="1"/>
  <c r="H138" i="15"/>
  <c r="I138" i="6" s="1"/>
  <c r="H74" i="15"/>
  <c r="BS10" i="5" s="1"/>
  <c r="H50" i="15"/>
  <c r="AU10" i="5" s="1"/>
  <c r="H80" i="15"/>
  <c r="I80" i="6" s="1"/>
  <c r="AL32" i="15"/>
  <c r="AC16" i="5" s="1"/>
  <c r="H116" i="15"/>
  <c r="DI10" i="5" s="1"/>
  <c r="H52" i="15"/>
  <c r="I52" i="6" s="1"/>
  <c r="H123" i="15"/>
  <c r="I123" i="6" s="1"/>
  <c r="H70" i="15"/>
  <c r="BO10" i="5" s="1"/>
  <c r="AB64" i="15"/>
  <c r="BI14" i="5" s="1"/>
  <c r="AB51" i="15"/>
  <c r="AV14" i="5" s="1"/>
  <c r="AG112" i="15"/>
  <c r="DE15" i="5" s="1"/>
  <c r="M33" i="15"/>
  <c r="AD11" i="5" s="1"/>
  <c r="M78" i="15"/>
  <c r="BW11" i="5" s="1"/>
  <c r="AG58" i="15"/>
  <c r="BC15" i="5" s="1"/>
  <c r="M90" i="15"/>
  <c r="CI11" i="5" s="1"/>
  <c r="M26" i="15"/>
  <c r="W11" i="5" s="1"/>
  <c r="M29" i="15"/>
  <c r="Z11" i="5" s="1"/>
  <c r="AB153" i="15"/>
  <c r="ET14" i="5" s="1"/>
  <c r="AG48" i="15"/>
  <c r="AS15" i="5" s="1"/>
  <c r="C163" i="15"/>
  <c r="FE333" i="5"/>
  <c r="C162" i="15"/>
  <c r="R72" i="15"/>
  <c r="BQ12" i="5" s="1"/>
  <c r="AL106" i="15"/>
  <c r="CY16" i="5" s="1"/>
  <c r="R81" i="15"/>
  <c r="BZ12" i="5" s="1"/>
  <c r="H9" i="5"/>
  <c r="W106" i="15"/>
  <c r="CY13" i="5" s="1"/>
  <c r="W40" i="15"/>
  <c r="AK13" i="5" s="1"/>
  <c r="H106" i="15"/>
  <c r="I106" i="6" s="1"/>
  <c r="H146" i="15"/>
  <c r="I146" i="6" s="1"/>
  <c r="H88" i="15"/>
  <c r="I23" i="6"/>
  <c r="T10" i="5"/>
  <c r="H82" i="15"/>
  <c r="CA10" i="5" s="1"/>
  <c r="H72" i="15"/>
  <c r="H57" i="15"/>
  <c r="H155" i="15"/>
  <c r="H56" i="15"/>
  <c r="H65" i="15"/>
  <c r="H60" i="15"/>
  <c r="H85" i="15"/>
  <c r="H99" i="15"/>
  <c r="H91" i="15"/>
  <c r="H33" i="15"/>
  <c r="H134" i="15"/>
  <c r="H75" i="15"/>
  <c r="H18" i="15"/>
  <c r="H104" i="15"/>
  <c r="H144" i="15"/>
  <c r="AG38" i="15"/>
  <c r="AI15" i="5" s="1"/>
  <c r="AB47" i="15"/>
  <c r="AR14" i="5" s="1"/>
  <c r="W45" i="15"/>
  <c r="AP13" i="5" s="1"/>
  <c r="AL92" i="15"/>
  <c r="CK16" i="5" s="1"/>
  <c r="AG107" i="15"/>
  <c r="CZ15" i="5" s="1"/>
  <c r="AG25" i="15"/>
  <c r="V15" i="5" s="1"/>
  <c r="R17" i="15"/>
  <c r="N12" i="5" s="1"/>
  <c r="AG17" i="15"/>
  <c r="N15" i="5" s="1"/>
  <c r="R112" i="15"/>
  <c r="DE12" i="5" s="1"/>
  <c r="R89" i="15"/>
  <c r="CH12" i="5" s="1"/>
  <c r="AL112" i="15"/>
  <c r="DE16" i="5" s="1"/>
  <c r="R80" i="15"/>
  <c r="BY12" i="5" s="1"/>
  <c r="W135" i="15"/>
  <c r="EB13" i="5" s="1"/>
  <c r="AL95" i="15"/>
  <c r="CN16" i="5" s="1"/>
  <c r="W16" i="15"/>
  <c r="M13" i="5" s="1"/>
  <c r="AL46" i="15"/>
  <c r="AQ16" i="5" s="1"/>
  <c r="AL123" i="15"/>
  <c r="DP16" i="5" s="1"/>
  <c r="AL58" i="15"/>
  <c r="BC16" i="5" s="1"/>
  <c r="AB149" i="15"/>
  <c r="EP14" i="5" s="1"/>
  <c r="W113" i="15"/>
  <c r="DF13" i="5" s="1"/>
  <c r="R152" i="15"/>
  <c r="ES12" i="5" s="1"/>
  <c r="W55" i="15"/>
  <c r="AZ13" i="5" s="1"/>
  <c r="AL17" i="15"/>
  <c r="N16" i="5" s="1"/>
  <c r="AL97" i="15"/>
  <c r="CP16" i="5" s="1"/>
  <c r="AL40" i="15"/>
  <c r="AK16" i="5" s="1"/>
  <c r="AL56" i="15"/>
  <c r="BA16" i="5" s="1"/>
  <c r="AL93" i="15"/>
  <c r="CL16" i="5" s="1"/>
  <c r="AL119" i="15"/>
  <c r="DL16" i="5" s="1"/>
  <c r="AG97" i="15"/>
  <c r="CP15" i="5" s="1"/>
  <c r="AG32" i="15"/>
  <c r="AC15" i="5" s="1"/>
  <c r="AG123" i="15"/>
  <c r="DP15" i="5" s="1"/>
  <c r="AG81" i="15"/>
  <c r="BZ15" i="5" s="1"/>
  <c r="AG51" i="15"/>
  <c r="AV15" i="5" s="1"/>
  <c r="AB97" i="15"/>
  <c r="CP14" i="5" s="1"/>
  <c r="AB144" i="15"/>
  <c r="EK14" i="5" s="1"/>
  <c r="AB74" i="15"/>
  <c r="BS14" i="5" s="1"/>
  <c r="AB115" i="15"/>
  <c r="DH14" i="5" s="1"/>
  <c r="AB53" i="15"/>
  <c r="AX14" i="5" s="1"/>
  <c r="AB116" i="15"/>
  <c r="DI14" i="5" s="1"/>
  <c r="AL37" i="15"/>
  <c r="AH16" i="5" s="1"/>
  <c r="AG145" i="15"/>
  <c r="EL15" i="5" s="1"/>
  <c r="AL101" i="15"/>
  <c r="CT16" i="5" s="1"/>
  <c r="W50" i="15"/>
  <c r="AU13" i="5" s="1"/>
  <c r="AL100" i="15"/>
  <c r="CS16" i="5" s="1"/>
  <c r="AG27" i="15"/>
  <c r="X15" i="5" s="1"/>
  <c r="AG55" i="15"/>
  <c r="AZ15" i="5" s="1"/>
  <c r="W158" i="15"/>
  <c r="EY13" i="5" s="1"/>
  <c r="AG118" i="15"/>
  <c r="DK15" i="5" s="1"/>
  <c r="AL81" i="15"/>
  <c r="BZ16" i="5" s="1"/>
  <c r="W151" i="15"/>
  <c r="AL71" i="15"/>
  <c r="BP16" i="5" s="1"/>
  <c r="AB141" i="15"/>
  <c r="EH14" i="5" s="1"/>
  <c r="AG93" i="15"/>
  <c r="CL15" i="5" s="1"/>
  <c r="AB77" i="15"/>
  <c r="BV14" i="5" s="1"/>
  <c r="AG61" i="15"/>
  <c r="BF15" i="5" s="1"/>
  <c r="AG156" i="15"/>
  <c r="EW15" i="5" s="1"/>
  <c r="AG92" i="15"/>
  <c r="CK15" i="5" s="1"/>
  <c r="W74" i="15"/>
  <c r="BS13" i="5" s="1"/>
  <c r="AG68" i="15"/>
  <c r="BM15" i="5" s="1"/>
  <c r="AB66" i="15"/>
  <c r="BK14" i="5" s="1"/>
  <c r="AL147" i="15"/>
  <c r="EN16" i="5" s="1"/>
  <c r="AG33" i="15"/>
  <c r="AD15" i="5" s="1"/>
  <c r="H29" i="15"/>
  <c r="AG15" i="15"/>
  <c r="L15" i="5" s="1"/>
  <c r="H153" i="15"/>
  <c r="H25" i="15"/>
  <c r="H54" i="15"/>
  <c r="H157" i="15"/>
  <c r="H93" i="15"/>
  <c r="H112" i="15"/>
  <c r="H40" i="15"/>
  <c r="AL127" i="15"/>
  <c r="DT16" i="5" s="1"/>
  <c r="W149" i="15"/>
  <c r="EP13" i="5" s="1"/>
  <c r="AG77" i="15"/>
  <c r="BV15" i="5" s="1"/>
  <c r="AG21" i="15"/>
  <c r="R15" i="5" s="1"/>
  <c r="AL138" i="15"/>
  <c r="EE16" i="5" s="1"/>
  <c r="AG74" i="15"/>
  <c r="BS15" i="5" s="1"/>
  <c r="W156" i="15"/>
  <c r="EW13" i="5" s="1"/>
  <c r="AL133" i="15"/>
  <c r="AL61" i="15"/>
  <c r="BF16" i="5" s="1"/>
  <c r="AG98" i="15"/>
  <c r="CQ15" i="5" s="1"/>
  <c r="AL132" i="15"/>
  <c r="AG50" i="15"/>
  <c r="AU15" i="5" s="1"/>
  <c r="AG84" i="15"/>
  <c r="CC15" i="5" s="1"/>
  <c r="AL60" i="15"/>
  <c r="BE16" i="5" s="1"/>
  <c r="AG146" i="15"/>
  <c r="EM15" i="5" s="1"/>
  <c r="AL83" i="15"/>
  <c r="AG52" i="15"/>
  <c r="AW15" i="5" s="1"/>
  <c r="AL146" i="15"/>
  <c r="EM16" i="5" s="1"/>
  <c r="AG60" i="15"/>
  <c r="BE15" i="5" s="1"/>
  <c r="AL28" i="15"/>
  <c r="Y16" i="5" s="1"/>
  <c r="AL155" i="15"/>
  <c r="EV16" i="5" s="1"/>
  <c r="AG35" i="15"/>
  <c r="AF15" i="5" s="1"/>
  <c r="AG137" i="15"/>
  <c r="ED15" i="5" s="1"/>
  <c r="AL114" i="15"/>
  <c r="DG16" i="5" s="1"/>
  <c r="AL80" i="15"/>
  <c r="BY16" i="5" s="1"/>
  <c r="W15" i="15"/>
  <c r="L13" i="5" s="1"/>
  <c r="AL15" i="15"/>
  <c r="L16" i="5" s="1"/>
  <c r="H121" i="15"/>
  <c r="H48" i="15"/>
  <c r="AG70" i="15"/>
  <c r="BO15" i="5" s="1"/>
  <c r="AG54" i="15"/>
  <c r="AY15" i="5" s="1"/>
  <c r="AL77" i="15"/>
  <c r="BV16" i="5" s="1"/>
  <c r="AG45" i="15"/>
  <c r="AP15" i="5" s="1"/>
  <c r="AL76" i="15"/>
  <c r="BU16" i="5" s="1"/>
  <c r="W98" i="15"/>
  <c r="CQ13" i="5" s="1"/>
  <c r="W34" i="15"/>
  <c r="AE13" i="5" s="1"/>
  <c r="AL66" i="15"/>
  <c r="BK16" i="5" s="1"/>
  <c r="AL139" i="15"/>
  <c r="EF16" i="5" s="1"/>
  <c r="AG67" i="15"/>
  <c r="BL15" i="5" s="1"/>
  <c r="AL43" i="15"/>
  <c r="AN16" i="5" s="1"/>
  <c r="AL145" i="15"/>
  <c r="EL16" i="5" s="1"/>
  <c r="AL128" i="15"/>
  <c r="DU16" i="5" s="1"/>
  <c r="H131" i="15"/>
  <c r="W159" i="15"/>
  <c r="EZ13" i="5" s="1"/>
  <c r="W142" i="15"/>
  <c r="EI13" i="5" s="1"/>
  <c r="AL38" i="15"/>
  <c r="AI16" i="5" s="1"/>
  <c r="AG30" i="15"/>
  <c r="AA15" i="5" s="1"/>
  <c r="W39" i="15"/>
  <c r="AJ13" i="5" s="1"/>
  <c r="AL31" i="15"/>
  <c r="AB16" i="5" s="1"/>
  <c r="AG22" i="15"/>
  <c r="S15" i="5" s="1"/>
  <c r="AG122" i="15"/>
  <c r="DO15" i="5" s="1"/>
  <c r="AG130" i="15"/>
  <c r="DW15" i="5" s="1"/>
  <c r="W110" i="15"/>
  <c r="DC13" i="5" s="1"/>
  <c r="AL94" i="15"/>
  <c r="CM16" i="5" s="1"/>
  <c r="W78" i="15"/>
  <c r="BW13" i="5" s="1"/>
  <c r="W46" i="15"/>
  <c r="AQ13" i="5" s="1"/>
  <c r="W133" i="15"/>
  <c r="AL149" i="15"/>
  <c r="EP16" i="5" s="1"/>
  <c r="AL141" i="15"/>
  <c r="EH16" i="5" s="1"/>
  <c r="W117" i="15"/>
  <c r="DJ13" i="5" s="1"/>
  <c r="AG117" i="15"/>
  <c r="DJ15" i="5" s="1"/>
  <c r="W85" i="15"/>
  <c r="CD13" i="5" s="1"/>
  <c r="AG34" i="15"/>
  <c r="AE15" i="5" s="1"/>
  <c r="AL148" i="15"/>
  <c r="EO16" i="5" s="1"/>
  <c r="AL140" i="15"/>
  <c r="EG16" i="5" s="1"/>
  <c r="AG116" i="15"/>
  <c r="DI15" i="5" s="1"/>
  <c r="W101" i="15"/>
  <c r="CT13" i="5" s="1"/>
  <c r="AL69" i="15"/>
  <c r="BN16" i="5" s="1"/>
  <c r="AL18" i="15"/>
  <c r="O16" i="5" s="1"/>
  <c r="R91" i="15"/>
  <c r="CJ12" i="5" s="1"/>
  <c r="W145" i="15"/>
  <c r="EL13" i="5" s="1"/>
  <c r="AL33" i="15"/>
  <c r="AD16" i="5" s="1"/>
  <c r="AG26" i="15"/>
  <c r="W15" i="5" s="1"/>
  <c r="AL73" i="15"/>
  <c r="BR16" i="5" s="1"/>
  <c r="H117" i="15"/>
  <c r="H136" i="15"/>
  <c r="H90" i="15"/>
  <c r="H26" i="15"/>
  <c r="H17" i="15"/>
  <c r="H149" i="15"/>
  <c r="H140" i="15"/>
  <c r="H101" i="15"/>
  <c r="H44" i="15"/>
  <c r="R58" i="15"/>
  <c r="BC12" i="5" s="1"/>
  <c r="R120" i="15"/>
  <c r="DM12" i="5" s="1"/>
  <c r="H133" i="15"/>
  <c r="I133" i="6" s="1"/>
  <c r="H87" i="15"/>
  <c r="H35" i="15"/>
  <c r="H37" i="15"/>
  <c r="H114" i="15"/>
  <c r="H51" i="15"/>
  <c r="M38" i="15"/>
  <c r="AI11" i="5" s="1"/>
  <c r="M112" i="15"/>
  <c r="DE11" i="5" s="1"/>
  <c r="M102" i="15"/>
  <c r="CU11" i="5" s="1"/>
  <c r="M56" i="15"/>
  <c r="BA11" i="5" s="1"/>
  <c r="M134" i="15"/>
  <c r="EA11" i="5" s="1"/>
  <c r="M94" i="15"/>
  <c r="CM11" i="5" s="1"/>
  <c r="M54" i="15"/>
  <c r="AY11" i="5" s="1"/>
  <c r="M70" i="15"/>
  <c r="BO11" i="5" s="1"/>
  <c r="M40" i="15"/>
  <c r="AK11" i="5" s="1"/>
  <c r="M44" i="15"/>
  <c r="AO11" i="5" s="1"/>
  <c r="M84" i="15"/>
  <c r="CC11" i="5" s="1"/>
  <c r="M100" i="15"/>
  <c r="CS11" i="5" s="1"/>
  <c r="M104" i="15"/>
  <c r="CW11" i="5" s="1"/>
  <c r="M114" i="15"/>
  <c r="DG11" i="5" s="1"/>
  <c r="M50" i="15"/>
  <c r="AU11" i="5" s="1"/>
  <c r="M152" i="15"/>
  <c r="ES11" i="5" s="1"/>
  <c r="M36" i="15"/>
  <c r="AG11" i="5" s="1"/>
  <c r="M68" i="15"/>
  <c r="BM11" i="5" s="1"/>
  <c r="M108" i="15"/>
  <c r="DA11" i="5" s="1"/>
  <c r="M98" i="15"/>
  <c r="CQ11" i="5" s="1"/>
  <c r="M34" i="15"/>
  <c r="AE11" i="5" s="1"/>
  <c r="M72" i="15"/>
  <c r="BQ11" i="5" s="1"/>
  <c r="M24" i="15"/>
  <c r="U11" i="5" s="1"/>
  <c r="M20" i="15"/>
  <c r="Q11" i="5" s="1"/>
  <c r="M146" i="15"/>
  <c r="EM11" i="5" s="1"/>
  <c r="M82" i="15"/>
  <c r="M18" i="15"/>
  <c r="O11" i="5" s="1"/>
  <c r="M88" i="15"/>
  <c r="CG11" i="5" s="1"/>
  <c r="M132" i="15"/>
  <c r="M110" i="15"/>
  <c r="DC11" i="5" s="1"/>
  <c r="M118" i="15"/>
  <c r="DK11" i="5" s="1"/>
  <c r="M52" i="15"/>
  <c r="AW11" i="5" s="1"/>
  <c r="M96" i="15"/>
  <c r="CO11" i="5" s="1"/>
  <c r="M148" i="15"/>
  <c r="EO11" i="5" s="1"/>
  <c r="M128" i="15"/>
  <c r="DU11" i="5" s="1"/>
  <c r="M62" i="15"/>
  <c r="BG11" i="5" s="1"/>
  <c r="M156" i="15"/>
  <c r="EW11" i="5" s="1"/>
  <c r="M92" i="15"/>
  <c r="CK11" i="5" s="1"/>
  <c r="M28" i="15"/>
  <c r="Y11" i="5" s="1"/>
  <c r="M32" i="15"/>
  <c r="AC11" i="5" s="1"/>
  <c r="R149" i="15"/>
  <c r="EP12" i="5" s="1"/>
  <c r="R108" i="15"/>
  <c r="DA12" i="5" s="1"/>
  <c r="AB143" i="15"/>
  <c r="EJ14" i="5" s="1"/>
  <c r="AB101" i="15"/>
  <c r="CT14" i="5" s="1"/>
  <c r="AB69" i="15"/>
  <c r="BN14" i="5" s="1"/>
  <c r="AB98" i="15"/>
  <c r="CQ14" i="5" s="1"/>
  <c r="AB132" i="15"/>
  <c r="AB107" i="15"/>
  <c r="CZ14" i="5" s="1"/>
  <c r="AB44" i="15"/>
  <c r="AO14" i="5" s="1"/>
  <c r="AB20" i="15"/>
  <c r="Q14" i="5" s="1"/>
  <c r="AB83" i="15"/>
  <c r="AB125" i="15"/>
  <c r="DR14" i="5" s="1"/>
  <c r="AB92" i="15"/>
  <c r="CK14" i="5" s="1"/>
  <c r="AB75" i="15"/>
  <c r="BT14" i="5" s="1"/>
  <c r="AB104" i="15"/>
  <c r="CW14" i="5" s="1"/>
  <c r="AB119" i="15"/>
  <c r="DL14" i="5" s="1"/>
  <c r="AB79" i="15"/>
  <c r="BX14" i="5" s="1"/>
  <c r="AB130" i="15"/>
  <c r="DW14" i="5" s="1"/>
  <c r="AB78" i="15"/>
  <c r="BW14" i="5" s="1"/>
  <c r="AB70" i="15"/>
  <c r="BO14" i="5" s="1"/>
  <c r="AB157" i="15"/>
  <c r="EX14" i="5" s="1"/>
  <c r="AB95" i="15"/>
  <c r="CN14" i="5" s="1"/>
  <c r="AB54" i="15"/>
  <c r="AY14" i="5" s="1"/>
  <c r="AB156" i="15"/>
  <c r="EW14" i="5" s="1"/>
  <c r="AB37" i="15"/>
  <c r="AH14" i="5" s="1"/>
  <c r="AB59" i="15"/>
  <c r="BD14" i="5" s="1"/>
  <c r="AB67" i="15"/>
  <c r="BL14" i="5" s="1"/>
  <c r="AB96" i="15"/>
  <c r="CO14" i="5" s="1"/>
  <c r="M22" i="15"/>
  <c r="S11" i="5" s="1"/>
  <c r="M86" i="15"/>
  <c r="CE11" i="5" s="1"/>
  <c r="R143" i="15"/>
  <c r="EJ12" i="5" s="1"/>
  <c r="R79" i="15"/>
  <c r="BX12" i="5" s="1"/>
  <c r="R87" i="15"/>
  <c r="CF12" i="5" s="1"/>
  <c r="R90" i="15"/>
  <c r="CI12" i="5" s="1"/>
  <c r="R92" i="15"/>
  <c r="CK12" i="5" s="1"/>
  <c r="R75" i="15"/>
  <c r="BT12" i="5" s="1"/>
  <c r="R62" i="15"/>
  <c r="BG12" i="5" s="1"/>
  <c r="R117" i="15"/>
  <c r="DJ12" i="5" s="1"/>
  <c r="R93" i="15"/>
  <c r="CL12" i="5" s="1"/>
  <c r="R53" i="15"/>
  <c r="AX12" i="5" s="1"/>
  <c r="R74" i="15"/>
  <c r="BS12" i="5" s="1"/>
  <c r="R133" i="15"/>
  <c r="R20" i="15"/>
  <c r="Q12" i="5" s="1"/>
  <c r="R28" i="15"/>
  <c r="Y12" i="5" s="1"/>
  <c r="R66" i="15"/>
  <c r="BK12" i="5" s="1"/>
  <c r="R145" i="15"/>
  <c r="EL12" i="5" s="1"/>
  <c r="R159" i="15"/>
  <c r="R151" i="15"/>
  <c r="R122" i="15"/>
  <c r="DO12" i="5" s="1"/>
  <c r="R150" i="15"/>
  <c r="EQ12" i="5" s="1"/>
  <c r="R126" i="15"/>
  <c r="DS12" i="5" s="1"/>
  <c r="R86" i="15"/>
  <c r="CE12" i="5" s="1"/>
  <c r="R22" i="15"/>
  <c r="S12" i="5" s="1"/>
  <c r="R142" i="15"/>
  <c r="EI12" i="5" s="1"/>
  <c r="R102" i="15"/>
  <c r="CU12" i="5" s="1"/>
  <c r="R70" i="15"/>
  <c r="BO12" i="5" s="1"/>
  <c r="R38" i="15"/>
  <c r="AI12" i="5" s="1"/>
  <c r="R98" i="15"/>
  <c r="CQ12" i="5" s="1"/>
  <c r="R34" i="15"/>
  <c r="AE12" i="5" s="1"/>
  <c r="R100" i="15"/>
  <c r="CS12" i="5" s="1"/>
  <c r="R29" i="15"/>
  <c r="Z12" i="5" s="1"/>
  <c r="H24" i="15"/>
  <c r="H39" i="15"/>
  <c r="H125" i="15"/>
  <c r="H148" i="15"/>
  <c r="H84" i="15"/>
  <c r="H20" i="15"/>
  <c r="H53" i="15"/>
  <c r="H31" i="15"/>
  <c r="H46" i="15"/>
  <c r="H143" i="15"/>
  <c r="H79" i="15"/>
  <c r="H83" i="15"/>
  <c r="AB13" i="15"/>
  <c r="J14" i="5" s="1"/>
  <c r="AL14" i="15"/>
  <c r="K16" i="5" s="1"/>
  <c r="M13" i="15"/>
  <c r="J11" i="5" s="1"/>
  <c r="W14" i="15"/>
  <c r="K13" i="5" s="1"/>
  <c r="M15" i="15"/>
  <c r="L11" i="5" s="1"/>
  <c r="M158" i="15"/>
  <c r="EY11" i="5" s="1"/>
  <c r="M30" i="15"/>
  <c r="AA11" i="5" s="1"/>
  <c r="H145" i="15"/>
  <c r="H113" i="15"/>
  <c r="H81" i="15"/>
  <c r="AL159" i="15"/>
  <c r="R135" i="15"/>
  <c r="EB12" i="5" s="1"/>
  <c r="R127" i="15"/>
  <c r="DT12" i="5" s="1"/>
  <c r="H71" i="15"/>
  <c r="H86" i="15"/>
  <c r="H141" i="15"/>
  <c r="H109" i="15"/>
  <c r="H139" i="15"/>
  <c r="H107" i="15"/>
  <c r="W143" i="15"/>
  <c r="EJ13" i="5" s="1"/>
  <c r="M159" i="15"/>
  <c r="EZ11" i="5" s="1"/>
  <c r="M143" i="15"/>
  <c r="EJ11" i="5" s="1"/>
  <c r="M127" i="15"/>
  <c r="DT11" i="5" s="1"/>
  <c r="M111" i="15"/>
  <c r="DD11" i="5" s="1"/>
  <c r="M95" i="15"/>
  <c r="CN11" i="5" s="1"/>
  <c r="M79" i="15"/>
  <c r="BX11" i="5" s="1"/>
  <c r="M63" i="15"/>
  <c r="BH11" i="5" s="1"/>
  <c r="M47" i="15"/>
  <c r="AR11" i="5" s="1"/>
  <c r="M31" i="15"/>
  <c r="AB11" i="5" s="1"/>
  <c r="M149" i="15"/>
  <c r="EP11" i="5" s="1"/>
  <c r="M133" i="15"/>
  <c r="M117" i="15"/>
  <c r="DJ11" i="5" s="1"/>
  <c r="M101" i="15"/>
  <c r="CT11" i="5" s="1"/>
  <c r="M85" i="15"/>
  <c r="CD11" i="5" s="1"/>
  <c r="M69" i="15"/>
  <c r="BN11" i="5" s="1"/>
  <c r="M53" i="15"/>
  <c r="AX11" i="5" s="1"/>
  <c r="M37" i="15"/>
  <c r="AH11" i="5" s="1"/>
  <c r="M21" i="15"/>
  <c r="R11" i="5" s="1"/>
  <c r="M147" i="15"/>
  <c r="EN11" i="5" s="1"/>
  <c r="M131" i="15"/>
  <c r="DX11" i="5" s="1"/>
  <c r="M115" i="15"/>
  <c r="DH11" i="5" s="1"/>
  <c r="M99" i="15"/>
  <c r="CR11" i="5" s="1"/>
  <c r="M83" i="15"/>
  <c r="CB11" i="5" s="1"/>
  <c r="M67" i="15"/>
  <c r="BL11" i="5" s="1"/>
  <c r="M51" i="15"/>
  <c r="AV11" i="5" s="1"/>
  <c r="M35" i="15"/>
  <c r="AF11" i="5" s="1"/>
  <c r="M19" i="15"/>
  <c r="P11" i="5" s="1"/>
  <c r="M153" i="15"/>
  <c r="ET11" i="5" s="1"/>
  <c r="M137" i="15"/>
  <c r="ED11" i="5" s="1"/>
  <c r="M121" i="15"/>
  <c r="DN11" i="5" s="1"/>
  <c r="M105" i="15"/>
  <c r="CX11" i="5" s="1"/>
  <c r="M89" i="15"/>
  <c r="CH11" i="5" s="1"/>
  <c r="M73" i="15"/>
  <c r="BR11" i="5" s="1"/>
  <c r="M57" i="15"/>
  <c r="BB11" i="5" s="1"/>
  <c r="M41" i="15"/>
  <c r="AL11" i="5" s="1"/>
  <c r="M25" i="15"/>
  <c r="V11" i="5" s="1"/>
  <c r="AL151" i="15"/>
  <c r="ER16" i="5" s="1"/>
  <c r="AL143" i="15"/>
  <c r="EJ16" i="5" s="1"/>
  <c r="AB111" i="15"/>
  <c r="DD14" i="5" s="1"/>
  <c r="AL54" i="15"/>
  <c r="AY16" i="5" s="1"/>
  <c r="AG103" i="15"/>
  <c r="CV15" i="5" s="1"/>
  <c r="AB63" i="15"/>
  <c r="BH14" i="5" s="1"/>
  <c r="R23" i="15"/>
  <c r="T12" i="5" s="1"/>
  <c r="AL158" i="15"/>
  <c r="EY16" i="5" s="1"/>
  <c r="R134" i="15"/>
  <c r="EA12" i="5" s="1"/>
  <c r="AB118" i="15"/>
  <c r="DK14" i="5" s="1"/>
  <c r="AB86" i="15"/>
  <c r="CE14" i="5" s="1"/>
  <c r="AB62" i="15"/>
  <c r="BG14" i="5" s="1"/>
  <c r="AB22" i="15"/>
  <c r="S14" i="5" s="1"/>
  <c r="AG157" i="15"/>
  <c r="EX15" i="5" s="1"/>
  <c r="AG119" i="15"/>
  <c r="DL15" i="5" s="1"/>
  <c r="W31" i="15"/>
  <c r="AB13" i="5" s="1"/>
  <c r="AL23" i="15"/>
  <c r="T16" i="5" s="1"/>
  <c r="AL142" i="15"/>
  <c r="EI16" i="5" s="1"/>
  <c r="AB134" i="15"/>
  <c r="EA14" i="5" s="1"/>
  <c r="W126" i="15"/>
  <c r="DS13" i="5" s="1"/>
  <c r="W94" i="15"/>
  <c r="CM13" i="5" s="1"/>
  <c r="AG86" i="15"/>
  <c r="CE15" i="5" s="1"/>
  <c r="AG78" i="15"/>
  <c r="BW15" i="5" s="1"/>
  <c r="W62" i="15"/>
  <c r="BG13" i="5" s="1"/>
  <c r="W30" i="15"/>
  <c r="AA13" i="5" s="1"/>
  <c r="W103" i="15"/>
  <c r="CV13" i="5" s="1"/>
  <c r="AG87" i="15"/>
  <c r="CF15" i="5" s="1"/>
  <c r="AL63" i="15"/>
  <c r="BH16" i="5" s="1"/>
  <c r="AB142" i="15"/>
  <c r="EI14" i="5" s="1"/>
  <c r="AL86" i="15"/>
  <c r="CE16" i="5" s="1"/>
  <c r="R101" i="15"/>
  <c r="CT12" i="5" s="1"/>
  <c r="AB85" i="15"/>
  <c r="CD14" i="5" s="1"/>
  <c r="W69" i="15"/>
  <c r="BN13" i="5" s="1"/>
  <c r="AB21" i="15"/>
  <c r="R14" i="5" s="1"/>
  <c r="W108" i="15"/>
  <c r="DA13" i="5" s="1"/>
  <c r="W76" i="15"/>
  <c r="BU13" i="5" s="1"/>
  <c r="AG85" i="15"/>
  <c r="CD15" i="5" s="1"/>
  <c r="W53" i="15"/>
  <c r="AX13" i="5" s="1"/>
  <c r="AB100" i="15"/>
  <c r="CS14" i="5" s="1"/>
  <c r="W141" i="15"/>
  <c r="EH13" i="5" s="1"/>
  <c r="AG109" i="15"/>
  <c r="DB15" i="5" s="1"/>
  <c r="AB93" i="15"/>
  <c r="CL14" i="5" s="1"/>
  <c r="AL45" i="15"/>
  <c r="AP16" i="5" s="1"/>
  <c r="AB29" i="15"/>
  <c r="Z14" i="5" s="1"/>
  <c r="W138" i="15"/>
  <c r="EE13" i="5" s="1"/>
  <c r="AL98" i="15"/>
  <c r="CQ16" i="5" s="1"/>
  <c r="AL156" i="15"/>
  <c r="EW16" i="5" s="1"/>
  <c r="R140" i="15"/>
  <c r="EG12" i="5" s="1"/>
  <c r="AG108" i="15"/>
  <c r="DA15" i="5" s="1"/>
  <c r="R155" i="15"/>
  <c r="EV12" i="5" s="1"/>
  <c r="R68" i="15"/>
  <c r="BM12" i="5" s="1"/>
  <c r="W52" i="15"/>
  <c r="AW13" i="5" s="1"/>
  <c r="AG28" i="15"/>
  <c r="Y15" i="5" s="1"/>
  <c r="W20" i="15"/>
  <c r="Q13" i="5" s="1"/>
  <c r="AB18" i="15"/>
  <c r="O14" i="5" s="1"/>
  <c r="R147" i="15"/>
  <c r="EN12" i="5" s="1"/>
  <c r="AB139" i="15"/>
  <c r="EF14" i="5" s="1"/>
  <c r="AB123" i="15"/>
  <c r="DP14" i="5" s="1"/>
  <c r="AG75" i="15"/>
  <c r="BT15" i="5" s="1"/>
  <c r="AB27" i="15"/>
  <c r="X14" i="5" s="1"/>
  <c r="AG82" i="15"/>
  <c r="CA15" i="5" s="1"/>
  <c r="AB113" i="15"/>
  <c r="DF14" i="5" s="1"/>
  <c r="AB131" i="15"/>
  <c r="DX14" i="5" s="1"/>
  <c r="W123" i="15"/>
  <c r="DP13" i="5" s="1"/>
  <c r="AG115" i="15"/>
  <c r="DH15" i="5" s="1"/>
  <c r="R27" i="15"/>
  <c r="X12" i="5" s="1"/>
  <c r="AB154" i="15"/>
  <c r="EU14" i="5" s="1"/>
  <c r="AL82" i="15"/>
  <c r="AL42" i="15"/>
  <c r="AM16" i="5" s="1"/>
  <c r="AL26" i="15"/>
  <c r="W16" i="5" s="1"/>
  <c r="AG153" i="15"/>
  <c r="ET15" i="5" s="1"/>
  <c r="R115" i="15"/>
  <c r="DH12" i="5" s="1"/>
  <c r="AB99" i="15"/>
  <c r="CR14" i="5" s="1"/>
  <c r="R83" i="15"/>
  <c r="CB12" i="5" s="1"/>
  <c r="AG83" i="15"/>
  <c r="R51" i="15"/>
  <c r="AV12" i="5" s="1"/>
  <c r="AB35" i="15"/>
  <c r="AF14" i="5" s="1"/>
  <c r="R19" i="15"/>
  <c r="P12" i="5" s="1"/>
  <c r="W58" i="15"/>
  <c r="BC13" i="5" s="1"/>
  <c r="R42" i="15"/>
  <c r="AM12" i="5" s="1"/>
  <c r="AL137" i="15"/>
  <c r="ED16" i="5" s="1"/>
  <c r="R121" i="15"/>
  <c r="DN12" i="5" s="1"/>
  <c r="AB65" i="15"/>
  <c r="BJ14" i="5" s="1"/>
  <c r="W49" i="15"/>
  <c r="AT13" i="5" s="1"/>
  <c r="AB152" i="15"/>
  <c r="ES14" i="5" s="1"/>
  <c r="W136" i="15"/>
  <c r="EC13" i="5" s="1"/>
  <c r="AL136" i="15"/>
  <c r="EC16" i="5" s="1"/>
  <c r="AL96" i="15"/>
  <c r="CO16" i="5" s="1"/>
  <c r="AB88" i="15"/>
  <c r="CG14" i="5" s="1"/>
  <c r="AL105" i="15"/>
  <c r="CX16" i="5" s="1"/>
  <c r="AB33" i="15"/>
  <c r="AD14" i="5" s="1"/>
  <c r="AB120" i="15"/>
  <c r="DM14" i="5" s="1"/>
  <c r="AG104" i="15"/>
  <c r="CW15" i="5" s="1"/>
  <c r="AB56" i="15"/>
  <c r="BA14" i="5" s="1"/>
  <c r="W73" i="15"/>
  <c r="BR13" i="5" s="1"/>
  <c r="W65" i="15"/>
  <c r="BJ13" i="5" s="1"/>
  <c r="AG49" i="15"/>
  <c r="AT15" i="5" s="1"/>
  <c r="W41" i="15"/>
  <c r="AL13" i="5" s="1"/>
  <c r="AL25" i="15"/>
  <c r="V16" i="5" s="1"/>
  <c r="W114" i="15"/>
  <c r="DG13" i="5" s="1"/>
  <c r="AB136" i="15"/>
  <c r="EC14" i="5" s="1"/>
  <c r="W128" i="15"/>
  <c r="DU13" i="5" s="1"/>
  <c r="W96" i="15"/>
  <c r="CO13" i="5" s="1"/>
  <c r="AL88" i="15"/>
  <c r="CG16" i="5" s="1"/>
  <c r="AL64" i="15"/>
  <c r="BI16" i="5" s="1"/>
  <c r="R40" i="15"/>
  <c r="AK12" i="5" s="1"/>
  <c r="W80" i="15"/>
  <c r="BY13" i="5" s="1"/>
  <c r="AG72" i="15"/>
  <c r="BQ15" i="5" s="1"/>
  <c r="W48" i="15"/>
  <c r="AS13" i="5" s="1"/>
  <c r="AL72" i="15"/>
  <c r="BQ16" i="5" s="1"/>
  <c r="R48" i="15"/>
  <c r="AS12" i="5" s="1"/>
  <c r="AL16" i="15"/>
  <c r="M16" i="5" s="1"/>
  <c r="AB32" i="15"/>
  <c r="AC14" i="5" s="1"/>
  <c r="R16" i="15"/>
  <c r="M12" i="5" s="1"/>
  <c r="AG106" i="15"/>
  <c r="CY15" i="5" s="1"/>
  <c r="M14" i="15"/>
  <c r="K11" i="5" s="1"/>
  <c r="AB14" i="15"/>
  <c r="K14" i="5" s="1"/>
  <c r="R15" i="15"/>
  <c r="L12" i="5" s="1"/>
  <c r="H16" i="15"/>
  <c r="H102" i="15"/>
  <c r="H77" i="15"/>
  <c r="M126" i="15"/>
  <c r="DS11" i="5" s="1"/>
  <c r="M48" i="15"/>
  <c r="AS11" i="5" s="1"/>
  <c r="M124" i="15"/>
  <c r="DQ11" i="5" s="1"/>
  <c r="M60" i="15"/>
  <c r="BE11" i="5" s="1"/>
  <c r="H19" i="15"/>
  <c r="M130" i="15"/>
  <c r="DW11" i="5" s="1"/>
  <c r="M66" i="15"/>
  <c r="BK11" i="5" s="1"/>
  <c r="AB159" i="15"/>
  <c r="H120" i="15"/>
  <c r="H156" i="15"/>
  <c r="H124" i="15"/>
  <c r="H89" i="15"/>
  <c r="H73" i="15"/>
  <c r="H41" i="15"/>
  <c r="H152" i="15"/>
  <c r="AG159" i="15"/>
  <c r="EZ15" i="5" s="1"/>
  <c r="AG127" i="15"/>
  <c r="DT15" i="5" s="1"/>
  <c r="AL135" i="15"/>
  <c r="EB16" i="5" s="1"/>
  <c r="W119" i="15"/>
  <c r="DL13" i="5" s="1"/>
  <c r="AL103" i="15"/>
  <c r="CV16" i="5" s="1"/>
  <c r="H135" i="15"/>
  <c r="H103" i="15"/>
  <c r="H55" i="15"/>
  <c r="H96" i="15"/>
  <c r="H38" i="15"/>
  <c r="H45" i="15"/>
  <c r="H132" i="15"/>
  <c r="H100" i="15"/>
  <c r="H68" i="15"/>
  <c r="H36" i="15"/>
  <c r="H64" i="15"/>
  <c r="H42" i="15"/>
  <c r="H49" i="15"/>
  <c r="AG143" i="15"/>
  <c r="EJ15" i="5" s="1"/>
  <c r="AG135" i="15"/>
  <c r="EB15" i="5" s="1"/>
  <c r="AG79" i="15"/>
  <c r="BX15" i="5" s="1"/>
  <c r="R118" i="15"/>
  <c r="DK12" i="5" s="1"/>
  <c r="AL110" i="15"/>
  <c r="DC16" i="5" s="1"/>
  <c r="R54" i="15"/>
  <c r="AY12" i="5" s="1"/>
  <c r="AB38" i="15"/>
  <c r="AI14" i="5" s="1"/>
  <c r="R103" i="15"/>
  <c r="CV12" i="5" s="1"/>
  <c r="AB87" i="15"/>
  <c r="CF14" i="5" s="1"/>
  <c r="R71" i="15"/>
  <c r="BP12" i="5" s="1"/>
  <c r="AB55" i="15"/>
  <c r="AZ14" i="5" s="1"/>
  <c r="R39" i="15"/>
  <c r="AJ12" i="5" s="1"/>
  <c r="AB23" i="15"/>
  <c r="T14" i="5" s="1"/>
  <c r="R130" i="15"/>
  <c r="DW12" i="5" s="1"/>
  <c r="R158" i="15"/>
  <c r="EY12" i="5" s="1"/>
  <c r="W134" i="15"/>
  <c r="EA13" i="5" s="1"/>
  <c r="AB110" i="15"/>
  <c r="DC14" i="5" s="1"/>
  <c r="R30" i="15"/>
  <c r="AA12" i="5" s="1"/>
  <c r="AL30" i="15"/>
  <c r="AA16" i="5" s="1"/>
  <c r="AB122" i="15"/>
  <c r="DO14" i="5" s="1"/>
  <c r="AB103" i="15"/>
  <c r="CV14" i="5" s="1"/>
  <c r="AG47" i="15"/>
  <c r="AR15" i="5" s="1"/>
  <c r="R31" i="15"/>
  <c r="AB12" i="5" s="1"/>
  <c r="AG23" i="15"/>
  <c r="T15" i="5" s="1"/>
  <c r="AG134" i="15"/>
  <c r="EA15" i="5" s="1"/>
  <c r="AB126" i="15"/>
  <c r="DS14" i="5" s="1"/>
  <c r="W118" i="15"/>
  <c r="DK13" i="5" s="1"/>
  <c r="W86" i="15"/>
  <c r="CE13" i="5" s="1"/>
  <c r="R78" i="15"/>
  <c r="BW12" i="5" s="1"/>
  <c r="AL78" i="15"/>
  <c r="BW16" i="5" s="1"/>
  <c r="W54" i="15"/>
  <c r="AY13" i="5" s="1"/>
  <c r="R46" i="15"/>
  <c r="AQ12" i="5" s="1"/>
  <c r="W22" i="15"/>
  <c r="S13" i="5" s="1"/>
  <c r="AL122" i="15"/>
  <c r="DO16" i="5" s="1"/>
  <c r="AG111" i="15"/>
  <c r="DD15" i="5" s="1"/>
  <c r="AG95" i="15"/>
  <c r="CN15" i="5" s="1"/>
  <c r="R63" i="15"/>
  <c r="BH12" i="5" s="1"/>
  <c r="AG63" i="15"/>
  <c r="BH15" i="5" s="1"/>
  <c r="AL150" i="15"/>
  <c r="EQ16" i="5" s="1"/>
  <c r="AB102" i="15"/>
  <c r="CU14" i="5" s="1"/>
  <c r="AG46" i="15"/>
  <c r="AQ15" i="5" s="1"/>
  <c r="AG101" i="15"/>
  <c r="CT15" i="5" s="1"/>
  <c r="R21" i="15"/>
  <c r="R12" i="5" s="1"/>
  <c r="AB34" i="15"/>
  <c r="AE14" i="5" s="1"/>
  <c r="AG100" i="15"/>
  <c r="CS15" i="5" s="1"/>
  <c r="AG149" i="15"/>
  <c r="EP15" i="5" s="1"/>
  <c r="R125" i="15"/>
  <c r="DR12" i="5" s="1"/>
  <c r="AL117" i="15"/>
  <c r="DJ16" i="5" s="1"/>
  <c r="AL85" i="15"/>
  <c r="CD16" i="5" s="1"/>
  <c r="AB138" i="15"/>
  <c r="EE14" i="5" s="1"/>
  <c r="AL74" i="15"/>
  <c r="BS16" i="5" s="1"/>
  <c r="R156" i="15"/>
  <c r="EW12" i="5" s="1"/>
  <c r="AG148" i="15"/>
  <c r="EO15" i="5" s="1"/>
  <c r="AB140" i="15"/>
  <c r="EG14" i="5" s="1"/>
  <c r="W132" i="15"/>
  <c r="AL116" i="15"/>
  <c r="DI16" i="5" s="1"/>
  <c r="W100" i="15"/>
  <c r="CS13" i="5" s="1"/>
  <c r="AB84" i="15"/>
  <c r="CC14" i="5" s="1"/>
  <c r="R109" i="15"/>
  <c r="DB12" i="5" s="1"/>
  <c r="W77" i="15"/>
  <c r="BV13" i="5" s="1"/>
  <c r="AL34" i="15"/>
  <c r="AE16" i="5" s="1"/>
  <c r="W140" i="15"/>
  <c r="EG13" i="5" s="1"/>
  <c r="AG125" i="15"/>
  <c r="DR15" i="5" s="1"/>
  <c r="AB117" i="15"/>
  <c r="DJ14" i="5" s="1"/>
  <c r="AG37" i="15"/>
  <c r="AH15" i="5" s="1"/>
  <c r="AL29" i="15"/>
  <c r="Z16" i="5" s="1"/>
  <c r="AL21" i="15"/>
  <c r="R16" i="5" s="1"/>
  <c r="AB148" i="15"/>
  <c r="EO14" i="5" s="1"/>
  <c r="R132" i="15"/>
  <c r="AG124" i="15"/>
  <c r="DQ15" i="5" s="1"/>
  <c r="AL68" i="15"/>
  <c r="BM16" i="5" s="1"/>
  <c r="AG66" i="15"/>
  <c r="BK15" i="5" s="1"/>
  <c r="AG18" i="15"/>
  <c r="O15" i="5" s="1"/>
  <c r="AL44" i="15"/>
  <c r="AO16" i="5" s="1"/>
  <c r="W146" i="15"/>
  <c r="EM13" i="5" s="1"/>
  <c r="AL52" i="15"/>
  <c r="AW16" i="5" s="1"/>
  <c r="AG20" i="15"/>
  <c r="Q15" i="5" s="1"/>
  <c r="W155" i="15"/>
  <c r="EV13" i="5" s="1"/>
  <c r="AG155" i="15"/>
  <c r="EV15" i="5" s="1"/>
  <c r="AB52" i="15"/>
  <c r="AW14" i="5" s="1"/>
  <c r="W44" i="15"/>
  <c r="AO13" i="5" s="1"/>
  <c r="R36" i="15"/>
  <c r="AG12" i="5" s="1"/>
  <c r="R146" i="15"/>
  <c r="EM12" i="5" s="1"/>
  <c r="AG139" i="15"/>
  <c r="EF15" i="5" s="1"/>
  <c r="AL27" i="15"/>
  <c r="X16" i="5" s="1"/>
  <c r="W99" i="15"/>
  <c r="CR13" i="5" s="1"/>
  <c r="AG91" i="15"/>
  <c r="CJ15" i="5" s="1"/>
  <c r="AG59" i="15"/>
  <c r="BD15" i="5" s="1"/>
  <c r="W35" i="15"/>
  <c r="AF13" i="5" s="1"/>
  <c r="W115" i="15"/>
  <c r="DH13" i="5" s="1"/>
  <c r="AB91" i="15"/>
  <c r="CJ14" i="5" s="1"/>
  <c r="W75" i="15"/>
  <c r="BT13" i="5" s="1"/>
  <c r="W51" i="15"/>
  <c r="AV13" i="5" s="1"/>
  <c r="R43" i="15"/>
  <c r="AN12" i="5" s="1"/>
  <c r="AL35" i="15"/>
  <c r="AF16" i="5" s="1"/>
  <c r="AB58" i="15"/>
  <c r="BC14" i="5" s="1"/>
  <c r="R26" i="15"/>
  <c r="W12" i="5" s="1"/>
  <c r="W137" i="15"/>
  <c r="ED13" i="5" s="1"/>
  <c r="R107" i="15"/>
  <c r="CZ12" i="5" s="1"/>
  <c r="AG99" i="15"/>
  <c r="CR15" i="5" s="1"/>
  <c r="W43" i="15"/>
  <c r="AN13" i="5" s="1"/>
  <c r="R154" i="15"/>
  <c r="EU12" i="5" s="1"/>
  <c r="AB82" i="15"/>
  <c r="CA14" i="5" s="1"/>
  <c r="W42" i="15"/>
  <c r="AM13" i="5" s="1"/>
  <c r="AG114" i="15"/>
  <c r="DG15" i="5" s="1"/>
  <c r="AL65" i="15"/>
  <c r="BJ16" i="5" s="1"/>
  <c r="AG152" i="15"/>
  <c r="ES15" i="5" s="1"/>
  <c r="AG96" i="15"/>
  <c r="CO15" i="5" s="1"/>
  <c r="R105" i="15"/>
  <c r="CX12" i="5" s="1"/>
  <c r="AG105" i="15"/>
  <c r="CX15" i="5" s="1"/>
  <c r="R41" i="15"/>
  <c r="AL12" i="5" s="1"/>
  <c r="AB25" i="15"/>
  <c r="V14" i="5" s="1"/>
  <c r="AG120" i="15"/>
  <c r="DM15" i="5" s="1"/>
  <c r="AB112" i="15"/>
  <c r="DE14" i="5" s="1"/>
  <c r="R96" i="15"/>
  <c r="CO12" i="5" s="1"/>
  <c r="R64" i="15"/>
  <c r="BI12" i="5" s="1"/>
  <c r="W153" i="15"/>
  <c r="ET13" i="5" s="1"/>
  <c r="AB137" i="15"/>
  <c r="ED14" i="5" s="1"/>
  <c r="AL89" i="15"/>
  <c r="CH16" i="5" s="1"/>
  <c r="AL57" i="15"/>
  <c r="BB16" i="5" s="1"/>
  <c r="AL49" i="15"/>
  <c r="AT16" i="5" s="1"/>
  <c r="R33" i="15"/>
  <c r="AD12" i="5" s="1"/>
  <c r="W120" i="15"/>
  <c r="DM13" i="5" s="1"/>
  <c r="W88" i="15"/>
  <c r="CG13" i="5" s="1"/>
  <c r="AG40" i="15"/>
  <c r="AK15" i="5" s="1"/>
  <c r="R106" i="15"/>
  <c r="CY12" i="5" s="1"/>
  <c r="W72" i="15"/>
  <c r="BQ13" i="5" s="1"/>
  <c r="R32" i="15"/>
  <c r="AC12" i="5" s="1"/>
  <c r="AG14" i="15"/>
  <c r="K15" i="5" s="1"/>
  <c r="H14" i="15"/>
  <c r="H13" i="15"/>
  <c r="H27" i="15"/>
  <c r="H21" i="15"/>
  <c r="H111" i="15"/>
  <c r="H147" i="15"/>
  <c r="H115" i="15"/>
  <c r="AB135" i="15"/>
  <c r="EB14" i="5" s="1"/>
  <c r="H159" i="15"/>
  <c r="H127" i="15"/>
  <c r="H158" i="15"/>
  <c r="H78" i="15"/>
  <c r="H69" i="15"/>
  <c r="H92" i="15"/>
  <c r="H76" i="15"/>
  <c r="M151" i="15"/>
  <c r="ER11" i="5" s="1"/>
  <c r="M135" i="15"/>
  <c r="EB11" i="5" s="1"/>
  <c r="M119" i="15"/>
  <c r="DL11" i="5" s="1"/>
  <c r="M103" i="15"/>
  <c r="CV11" i="5" s="1"/>
  <c r="M87" i="15"/>
  <c r="CF11" i="5" s="1"/>
  <c r="M71" i="15"/>
  <c r="BP11" i="5" s="1"/>
  <c r="M55" i="15"/>
  <c r="AZ11" i="5" s="1"/>
  <c r="M39" i="15"/>
  <c r="AJ11" i="5" s="1"/>
  <c r="M23" i="15"/>
  <c r="T11" i="5" s="1"/>
  <c r="M157" i="15"/>
  <c r="EX11" i="5" s="1"/>
  <c r="M141" i="15"/>
  <c r="EH11" i="5" s="1"/>
  <c r="M125" i="15"/>
  <c r="DR11" i="5" s="1"/>
  <c r="M109" i="15"/>
  <c r="DB11" i="5" s="1"/>
  <c r="M93" i="15"/>
  <c r="CL11" i="5" s="1"/>
  <c r="M77" i="15"/>
  <c r="BV11" i="5" s="1"/>
  <c r="M61" i="15"/>
  <c r="BF11" i="5" s="1"/>
  <c r="M45" i="15"/>
  <c r="AP11" i="5" s="1"/>
  <c r="M155" i="15"/>
  <c r="EV11" i="5" s="1"/>
  <c r="M139" i="15"/>
  <c r="EF11" i="5" s="1"/>
  <c r="M123" i="15"/>
  <c r="DP11" i="5" s="1"/>
  <c r="M107" i="15"/>
  <c r="CZ11" i="5" s="1"/>
  <c r="M91" i="15"/>
  <c r="CJ11" i="5" s="1"/>
  <c r="M75" i="15"/>
  <c r="BT11" i="5" s="1"/>
  <c r="M59" i="15"/>
  <c r="BD11" i="5" s="1"/>
  <c r="M43" i="15"/>
  <c r="AN11" i="5" s="1"/>
  <c r="M27" i="15"/>
  <c r="X11" i="5" s="1"/>
  <c r="M145" i="15"/>
  <c r="EL11" i="5" s="1"/>
  <c r="M129" i="15"/>
  <c r="DV11" i="5" s="1"/>
  <c r="M113" i="15"/>
  <c r="DF11" i="5" s="1"/>
  <c r="M97" i="15"/>
  <c r="CP11" i="5" s="1"/>
  <c r="M81" i="15"/>
  <c r="BZ11" i="5" s="1"/>
  <c r="M65" i="15"/>
  <c r="BJ11" i="5" s="1"/>
  <c r="M49" i="15"/>
  <c r="AT11" i="5" s="1"/>
  <c r="M17" i="15"/>
  <c r="N11" i="5" s="1"/>
  <c r="W127" i="15"/>
  <c r="DT13" i="5" s="1"/>
  <c r="R119" i="15"/>
  <c r="DL12" i="5" s="1"/>
  <c r="W95" i="15"/>
  <c r="CN13" i="5" s="1"/>
  <c r="W63" i="15"/>
  <c r="BH13" i="5" s="1"/>
  <c r="W111" i="15"/>
  <c r="DD13" i="5" s="1"/>
  <c r="AL111" i="15"/>
  <c r="DD16" i="5" s="1"/>
  <c r="W79" i="15"/>
  <c r="BX13" i="5" s="1"/>
  <c r="W47" i="15"/>
  <c r="AR13" i="5" s="1"/>
  <c r="AB31" i="15"/>
  <c r="AB14" i="5" s="1"/>
  <c r="AL22" i="15"/>
  <c r="S16" i="5" s="1"/>
  <c r="W122" i="15"/>
  <c r="DO13" i="5" s="1"/>
  <c r="W157" i="15"/>
  <c r="EX13" i="5" s="1"/>
  <c r="AL47" i="15"/>
  <c r="AR16" i="5" s="1"/>
  <c r="W23" i="15"/>
  <c r="T13" i="5" s="1"/>
  <c r="AL130" i="15"/>
  <c r="DW16" i="5" s="1"/>
  <c r="R110" i="15"/>
  <c r="DC12" i="5" s="1"/>
  <c r="AG110" i="15"/>
  <c r="DC15" i="5" s="1"/>
  <c r="AL62" i="15"/>
  <c r="BG16" i="5" s="1"/>
  <c r="AB133" i="15"/>
  <c r="W90" i="15"/>
  <c r="CI13" i="5" s="1"/>
  <c r="W124" i="15"/>
  <c r="DQ13" i="5" s="1"/>
  <c r="R116" i="15"/>
  <c r="DI12" i="5" s="1"/>
  <c r="W92" i="15"/>
  <c r="CK13" i="5" s="1"/>
  <c r="R84" i="15"/>
  <c r="CC12" i="5" s="1"/>
  <c r="R69" i="15"/>
  <c r="BN12" i="5" s="1"/>
  <c r="R37" i="15"/>
  <c r="AH12" i="5" s="1"/>
  <c r="AG90" i="15"/>
  <c r="CI15" i="5" s="1"/>
  <c r="AL125" i="15"/>
  <c r="DR16" i="5" s="1"/>
  <c r="W61" i="15"/>
  <c r="BF13" i="5" s="1"/>
  <c r="AL53" i="15"/>
  <c r="AX16" i="5" s="1"/>
  <c r="W29" i="15"/>
  <c r="Z13" i="5" s="1"/>
  <c r="AL50" i="15"/>
  <c r="AU16" i="5" s="1"/>
  <c r="AL124" i="15"/>
  <c r="DQ16" i="5" s="1"/>
  <c r="AG76" i="15"/>
  <c r="BU15" i="5" s="1"/>
  <c r="AG44" i="15"/>
  <c r="AO15" i="5" s="1"/>
  <c r="AB146" i="15"/>
  <c r="EM14" i="5" s="1"/>
  <c r="R18" i="15"/>
  <c r="O12" i="5" s="1"/>
  <c r="AG36" i="15"/>
  <c r="AG15" i="5" s="1"/>
  <c r="AB68" i="15"/>
  <c r="BM14" i="5" s="1"/>
  <c r="AB60" i="15"/>
  <c r="BE14" i="5" s="1"/>
  <c r="R44" i="15"/>
  <c r="AO12" i="5" s="1"/>
  <c r="AB36" i="15"/>
  <c r="AG14" i="5" s="1"/>
  <c r="AB28" i="15"/>
  <c r="Y14" i="5" s="1"/>
  <c r="W147" i="15"/>
  <c r="EN13" i="5" s="1"/>
  <c r="W68" i="15"/>
  <c r="BM13" i="5" s="1"/>
  <c r="W36" i="15"/>
  <c r="AG13" i="5" s="1"/>
  <c r="W66" i="15"/>
  <c r="BK13" i="5" s="1"/>
  <c r="AG147" i="15"/>
  <c r="EN15" i="5" s="1"/>
  <c r="W91" i="15"/>
  <c r="CJ13" i="5" s="1"/>
  <c r="AL91" i="15"/>
  <c r="CJ16" i="5" s="1"/>
  <c r="AL59" i="15"/>
  <c r="BD16" i="5" s="1"/>
  <c r="AG43" i="15"/>
  <c r="AN15" i="5" s="1"/>
  <c r="AG19" i="15"/>
  <c r="P15" i="5" s="1"/>
  <c r="AL154" i="15"/>
  <c r="EU16" i="5" s="1"/>
  <c r="AG129" i="15"/>
  <c r="DV15" i="5" s="1"/>
  <c r="AB147" i="15"/>
  <c r="EN14" i="5" s="1"/>
  <c r="W139" i="15"/>
  <c r="EF13" i="5" s="1"/>
  <c r="R131" i="15"/>
  <c r="DX12" i="5" s="1"/>
  <c r="AL131" i="15"/>
  <c r="DX16" i="5" s="1"/>
  <c r="W107" i="15"/>
  <c r="CZ13" i="5" s="1"/>
  <c r="R67" i="15"/>
  <c r="BL12" i="5" s="1"/>
  <c r="W154" i="15"/>
  <c r="EU13" i="5" s="1"/>
  <c r="R153" i="15"/>
  <c r="ET12" i="5" s="1"/>
  <c r="AB129" i="15"/>
  <c r="DV14" i="5" s="1"/>
  <c r="AL99" i="15"/>
  <c r="CR16" i="5" s="1"/>
  <c r="AL67" i="15"/>
  <c r="BL16" i="5" s="1"/>
  <c r="R82" i="15"/>
  <c r="CA12" i="5" s="1"/>
  <c r="AB42" i="15"/>
  <c r="AM14" i="5" s="1"/>
  <c r="W26" i="15"/>
  <c r="W13" i="5" s="1"/>
  <c r="AB121" i="15"/>
  <c r="DN14" i="5" s="1"/>
  <c r="AG89" i="15"/>
  <c r="CH15" i="5" s="1"/>
  <c r="AG65" i="15"/>
  <c r="BJ15" i="5" s="1"/>
  <c r="W33" i="15"/>
  <c r="AD13" i="5" s="1"/>
  <c r="AB17" i="15"/>
  <c r="N14" i="5" s="1"/>
  <c r="AL152" i="15"/>
  <c r="ES16" i="5" s="1"/>
  <c r="AL144" i="15"/>
  <c r="EK16" i="5" s="1"/>
  <c r="AG64" i="15"/>
  <c r="BI15" i="5" s="1"/>
  <c r="W105" i="15"/>
  <c r="CX13" i="5" s="1"/>
  <c r="AB81" i="15"/>
  <c r="BZ14" i="5" s="1"/>
  <c r="R65" i="15"/>
  <c r="BJ12" i="5" s="1"/>
  <c r="AB57" i="15"/>
  <c r="BB14" i="5" s="1"/>
  <c r="R128" i="15"/>
  <c r="DU12" i="5" s="1"/>
  <c r="AL120" i="15"/>
  <c r="DM16" i="5" s="1"/>
  <c r="R88" i="15"/>
  <c r="CG12" i="5" s="1"/>
  <c r="AB26" i="15"/>
  <c r="W14" i="5" s="1"/>
  <c r="R113" i="15"/>
  <c r="DF12" i="5" s="1"/>
  <c r="W81" i="15"/>
  <c r="BZ13" i="5" s="1"/>
  <c r="W57" i="15"/>
  <c r="BB13" i="5" s="1"/>
  <c r="R49" i="15"/>
  <c r="AT12" i="5" s="1"/>
  <c r="AB49" i="15"/>
  <c r="AT14" i="5" s="1"/>
  <c r="AG41" i="15"/>
  <c r="AL15" i="5" s="1"/>
  <c r="W25" i="15"/>
  <c r="V13" i="5" s="1"/>
  <c r="W17" i="15"/>
  <c r="N13" i="5" s="1"/>
  <c r="R144" i="15"/>
  <c r="EK12" i="5" s="1"/>
  <c r="W112" i="15"/>
  <c r="DE13" i="5" s="1"/>
  <c r="R104" i="15"/>
  <c r="CW12" i="5" s="1"/>
  <c r="AG56" i="15"/>
  <c r="BA15" i="5" s="1"/>
  <c r="AB80" i="15"/>
  <c r="BY14" i="5" s="1"/>
  <c r="AB72" i="15"/>
  <c r="BQ14" i="5" s="1"/>
  <c r="W64" i="15"/>
  <c r="BI13" i="5" s="1"/>
  <c r="W32" i="15"/>
  <c r="AC13" i="5" s="1"/>
  <c r="R24" i="15"/>
  <c r="U12" i="5" s="1"/>
  <c r="AL24" i="15"/>
  <c r="U16" i="5" s="1"/>
  <c r="AB16" i="15"/>
  <c r="M14" i="5" s="1"/>
  <c r="R14" i="15"/>
  <c r="K12" i="5" s="1"/>
  <c r="H15" i="15"/>
  <c r="AB15" i="15"/>
  <c r="L14" i="5" s="1"/>
  <c r="H151" i="15"/>
  <c r="H119" i="15"/>
  <c r="H150" i="15"/>
  <c r="H118" i="15"/>
  <c r="H22" i="15"/>
  <c r="H61" i="15"/>
  <c r="H59" i="15"/>
  <c r="H43" i="15"/>
  <c r="H154" i="15"/>
  <c r="H122" i="15"/>
  <c r="H58" i="15"/>
  <c r="H129" i="15"/>
  <c r="H97" i="15"/>
  <c r="AB127" i="15"/>
  <c r="DT14" i="5" s="1"/>
  <c r="AB151" i="15"/>
  <c r="H95" i="15"/>
  <c r="H63" i="15"/>
  <c r="H47" i="15"/>
  <c r="H128" i="15"/>
  <c r="H126" i="15"/>
  <c r="H94" i="15"/>
  <c r="H62" i="15"/>
  <c r="H30" i="15"/>
  <c r="H32" i="15"/>
  <c r="H130" i="15"/>
  <c r="H98" i="15"/>
  <c r="H66" i="15"/>
  <c r="H34" i="15"/>
  <c r="H137" i="15"/>
  <c r="H105" i="15"/>
  <c r="AG151" i="15"/>
  <c r="ER15" i="5" s="1"/>
  <c r="AG158" i="15"/>
  <c r="EY15" i="5" s="1"/>
  <c r="AB150" i="15"/>
  <c r="EQ14" i="5" s="1"/>
  <c r="AG126" i="15"/>
  <c r="DS15" i="5" s="1"/>
  <c r="AG94" i="15"/>
  <c r="CM15" i="5" s="1"/>
  <c r="AL70" i="15"/>
  <c r="BO16" i="5" s="1"/>
  <c r="AG62" i="15"/>
  <c r="BG15" i="5" s="1"/>
  <c r="R95" i="15"/>
  <c r="CN12" i="5" s="1"/>
  <c r="W87" i="15"/>
  <c r="CF13" i="5" s="1"/>
  <c r="AL87" i="15"/>
  <c r="CF16" i="5" s="1"/>
  <c r="AB71" i="15"/>
  <c r="BP14" i="5" s="1"/>
  <c r="R55" i="15"/>
  <c r="AZ12" i="5" s="1"/>
  <c r="AL55" i="15"/>
  <c r="AZ16" i="5" s="1"/>
  <c r="AB39" i="15"/>
  <c r="AJ14" i="5" s="1"/>
  <c r="AB158" i="15"/>
  <c r="EY14" i="5" s="1"/>
  <c r="W150" i="15"/>
  <c r="EQ13" i="5" s="1"/>
  <c r="AG142" i="15"/>
  <c r="EI15" i="5" s="1"/>
  <c r="AL126" i="15"/>
  <c r="DS16" i="5" s="1"/>
  <c r="AG102" i="15"/>
  <c r="CU15" i="5" s="1"/>
  <c r="AB94" i="15"/>
  <c r="CM14" i="5" s="1"/>
  <c r="AB30" i="15"/>
  <c r="AA14" i="5" s="1"/>
  <c r="AL157" i="15"/>
  <c r="EX16" i="5" s="1"/>
  <c r="W71" i="15"/>
  <c r="BP13" i="5" s="1"/>
  <c r="AG71" i="15"/>
  <c r="BP15" i="5" s="1"/>
  <c r="AG39" i="15"/>
  <c r="AJ15" i="5" s="1"/>
  <c r="AG31" i="15"/>
  <c r="AB15" i="5" s="1"/>
  <c r="W130" i="15"/>
  <c r="DW13" i="5" s="1"/>
  <c r="AG150" i="15"/>
  <c r="EQ15" i="5" s="1"/>
  <c r="AL118" i="15"/>
  <c r="DK16" i="5" s="1"/>
  <c r="W102" i="15"/>
  <c r="CU13" i="5" s="1"/>
  <c r="R94" i="15"/>
  <c r="CM12" i="5" s="1"/>
  <c r="W70" i="15"/>
  <c r="BO13" i="5" s="1"/>
  <c r="AB46" i="15"/>
  <c r="AQ14" i="5" s="1"/>
  <c r="W38" i="15"/>
  <c r="AI13" i="5" s="1"/>
  <c r="R157" i="15"/>
  <c r="EX12" i="5" s="1"/>
  <c r="R111" i="15"/>
  <c r="DD12" i="5" s="1"/>
  <c r="AL79" i="15"/>
  <c r="BX16" i="5" s="1"/>
  <c r="R47" i="15"/>
  <c r="AR12" i="5" s="1"/>
  <c r="AL39" i="15"/>
  <c r="AJ16" i="5" s="1"/>
  <c r="AL134" i="15"/>
  <c r="EA16" i="5" s="1"/>
  <c r="AL102" i="15"/>
  <c r="CU16" i="5" s="1"/>
  <c r="W125" i="15"/>
  <c r="DR13" i="5" s="1"/>
  <c r="W93" i="15"/>
  <c r="CL13" i="5" s="1"/>
  <c r="R61" i="15"/>
  <c r="BF12" i="5" s="1"/>
  <c r="W37" i="15"/>
  <c r="AH13" i="5" s="1"/>
  <c r="AB50" i="15"/>
  <c r="AU14" i="5" s="1"/>
  <c r="AL84" i="15"/>
  <c r="CC16" i="5" s="1"/>
  <c r="AB76" i="15"/>
  <c r="BU14" i="5" s="1"/>
  <c r="R141" i="15"/>
  <c r="EH12" i="5" s="1"/>
  <c r="AG141" i="15"/>
  <c r="EH15" i="5" s="1"/>
  <c r="AG133" i="15"/>
  <c r="W109" i="15"/>
  <c r="DB13" i="5" s="1"/>
  <c r="R77" i="15"/>
  <c r="BV12" i="5" s="1"/>
  <c r="AB61" i="15"/>
  <c r="BF14" i="5" s="1"/>
  <c r="R45" i="15"/>
  <c r="AP12" i="5" s="1"/>
  <c r="AG29" i="15"/>
  <c r="Z15" i="5" s="1"/>
  <c r="R138" i="15"/>
  <c r="EE12" i="5" s="1"/>
  <c r="AB90" i="15"/>
  <c r="CI14" i="5" s="1"/>
  <c r="R50" i="15"/>
  <c r="AU12" i="5" s="1"/>
  <c r="R148" i="15"/>
  <c r="EO12" i="5" s="1"/>
  <c r="AG140" i="15"/>
  <c r="EG15" i="5" s="1"/>
  <c r="AG132" i="15"/>
  <c r="AB124" i="15"/>
  <c r="DQ14" i="5" s="1"/>
  <c r="W116" i="15"/>
  <c r="DI13" i="5" s="1"/>
  <c r="W84" i="15"/>
  <c r="CC13" i="5" s="1"/>
  <c r="R76" i="15"/>
  <c r="BU12" i="5" s="1"/>
  <c r="AB109" i="15"/>
  <c r="DB14" i="5" s="1"/>
  <c r="AL90" i="15"/>
  <c r="CI16" i="5" s="1"/>
  <c r="R124" i="15"/>
  <c r="DQ12" i="5" s="1"/>
  <c r="AB108" i="15"/>
  <c r="DA14" i="5" s="1"/>
  <c r="AL109" i="15"/>
  <c r="DB16" i="5" s="1"/>
  <c r="R85" i="15"/>
  <c r="CD12" i="5" s="1"/>
  <c r="AG69" i="15"/>
  <c r="BN15" i="5" s="1"/>
  <c r="AG53" i="15"/>
  <c r="AX15" i="5" s="1"/>
  <c r="AB45" i="15"/>
  <c r="AP14" i="5" s="1"/>
  <c r="W21" i="15"/>
  <c r="R13" i="5" s="1"/>
  <c r="AG138" i="15"/>
  <c r="EE15" i="5" s="1"/>
  <c r="W148" i="15"/>
  <c r="EO13" i="5" s="1"/>
  <c r="AL108" i="15"/>
  <c r="DA16" i="5" s="1"/>
  <c r="R52" i="15"/>
  <c r="AW12" i="5" s="1"/>
  <c r="R60" i="15"/>
  <c r="BE12" i="5" s="1"/>
  <c r="AL20" i="15"/>
  <c r="Q16" i="5" s="1"/>
  <c r="AB155" i="15"/>
  <c r="EV14" i="5" s="1"/>
  <c r="W60" i="15"/>
  <c r="BE13" i="5" s="1"/>
  <c r="AL36" i="15"/>
  <c r="AG16" i="5" s="1"/>
  <c r="W28" i="15"/>
  <c r="Y13" i="5" s="1"/>
  <c r="W18" i="15"/>
  <c r="O13" i="5" s="1"/>
  <c r="R139" i="15"/>
  <c r="EF12" i="5" s="1"/>
  <c r="AG131" i="15"/>
  <c r="DX15" i="5" s="1"/>
  <c r="W83" i="15"/>
  <c r="AL75" i="15"/>
  <c r="BT16" i="5" s="1"/>
  <c r="W19" i="15"/>
  <c r="P13" i="5" s="1"/>
  <c r="AL19" i="15"/>
  <c r="P16" i="5" s="1"/>
  <c r="AG154" i="15"/>
  <c r="EU15" i="5" s="1"/>
  <c r="AL153" i="15"/>
  <c r="ET16" i="5" s="1"/>
  <c r="R137" i="15"/>
  <c r="ED12" i="5" s="1"/>
  <c r="W129" i="15"/>
  <c r="DV13" i="5" s="1"/>
  <c r="W121" i="15"/>
  <c r="DN13" i="5" s="1"/>
  <c r="W89" i="15"/>
  <c r="CH13" i="5" s="1"/>
  <c r="W131" i="15"/>
  <c r="DX13" i="5" s="1"/>
  <c r="R123" i="15"/>
  <c r="DP12" i="5" s="1"/>
  <c r="R99" i="15"/>
  <c r="CR12" i="5" s="1"/>
  <c r="W67" i="15"/>
  <c r="BL13" i="5" s="1"/>
  <c r="R59" i="15"/>
  <c r="BD12" i="5" s="1"/>
  <c r="R35" i="15"/>
  <c r="AF12" i="5" s="1"/>
  <c r="W27" i="15"/>
  <c r="X13" i="5" s="1"/>
  <c r="AB19" i="15"/>
  <c r="P14" i="5" s="1"/>
  <c r="AG42" i="15"/>
  <c r="AM15" i="5" s="1"/>
  <c r="AL129" i="15"/>
  <c r="DV16" i="5" s="1"/>
  <c r="AL115" i="15"/>
  <c r="DH16" i="5" s="1"/>
  <c r="W59" i="15"/>
  <c r="BD13" i="5" s="1"/>
  <c r="AL51" i="15"/>
  <c r="AV16" i="5" s="1"/>
  <c r="AB43" i="15"/>
  <c r="AN14" i="5" s="1"/>
  <c r="W82" i="15"/>
  <c r="CA13" i="5" s="1"/>
  <c r="AL121" i="15"/>
  <c r="DN16" i="5" s="1"/>
  <c r="AL113" i="15"/>
  <c r="DF16" i="5" s="1"/>
  <c r="AL41" i="15"/>
  <c r="AL16" i="5" s="1"/>
  <c r="R25" i="15"/>
  <c r="V12" i="5" s="1"/>
  <c r="W144" i="15"/>
  <c r="EK13" i="5" s="1"/>
  <c r="AG144" i="15"/>
  <c r="EK15" i="5" s="1"/>
  <c r="AG136" i="15"/>
  <c r="EC15" i="5" s="1"/>
  <c r="AB105" i="15"/>
  <c r="CX14" i="5" s="1"/>
  <c r="R97" i="15"/>
  <c r="CP12" i="5" s="1"/>
  <c r="AB73" i="15"/>
  <c r="BR14" i="5" s="1"/>
  <c r="R57" i="15"/>
  <c r="BB12" i="5" s="1"/>
  <c r="AB41" i="15"/>
  <c r="AL14" i="5" s="1"/>
  <c r="AB114" i="15"/>
  <c r="DG14" i="5" s="1"/>
  <c r="W152" i="15"/>
  <c r="ES13" i="5" s="1"/>
  <c r="AB128" i="15"/>
  <c r="DU14" i="5" s="1"/>
  <c r="AB89" i="15"/>
  <c r="CH14" i="5" s="1"/>
  <c r="R73" i="15"/>
  <c r="BR12" i="5" s="1"/>
  <c r="AG73" i="15"/>
  <c r="BR15" i="5" s="1"/>
  <c r="AG57" i="15"/>
  <c r="BB15" i="5" s="1"/>
  <c r="R114" i="15"/>
  <c r="DG12" i="5" s="1"/>
  <c r="W104" i="15"/>
  <c r="CW13" i="5" s="1"/>
  <c r="AG80" i="15"/>
  <c r="BY15" i="5" s="1"/>
  <c r="AB24" i="15"/>
  <c r="U14" i="5" s="1"/>
  <c r="W56" i="15"/>
  <c r="BA13" i="5" s="1"/>
  <c r="W24" i="15"/>
  <c r="U13" i="5" s="1"/>
  <c r="R56" i="15"/>
  <c r="BA12" i="5" s="1"/>
  <c r="AL48" i="15"/>
  <c r="AS16" i="5" s="1"/>
  <c r="AG24" i="15"/>
  <c r="U15" i="5" s="1"/>
  <c r="AG16" i="15"/>
  <c r="M15" i="5" s="1"/>
  <c r="AB106" i="15"/>
  <c r="CY14" i="5" s="1"/>
  <c r="AB40" i="15"/>
  <c r="AK14" i="5" s="1"/>
  <c r="AL13" i="15"/>
  <c r="J16" i="5" s="1"/>
  <c r="AG13" i="15"/>
  <c r="J15" i="5" s="1"/>
  <c r="W13" i="15"/>
  <c r="J13" i="5" s="1"/>
  <c r="R13" i="15"/>
  <c r="J12" i="5" s="1"/>
  <c r="FB9" i="5"/>
  <c r="FA9" i="5"/>
  <c r="FD61" i="5"/>
  <c r="FA61" i="5"/>
  <c r="G160" i="15" s="1"/>
  <c r="H160" i="6" s="1"/>
  <c r="FD56" i="5"/>
  <c r="FD43" i="5"/>
  <c r="FA43" i="5"/>
  <c r="E160" i="15" s="1"/>
  <c r="F160" i="6" s="1"/>
  <c r="I74" i="6" l="1"/>
  <c r="CA16" i="5"/>
  <c r="CA11" i="5"/>
  <c r="CB13" i="5"/>
  <c r="CB16" i="5"/>
  <c r="CB15" i="5"/>
  <c r="CB14" i="5"/>
  <c r="I50" i="6"/>
  <c r="EE10" i="5"/>
  <c r="EI10" i="5"/>
  <c r="DA10" i="5"/>
  <c r="Y10" i="5"/>
  <c r="DC10" i="5"/>
  <c r="I67" i="6"/>
  <c r="BY10" i="5"/>
  <c r="I116" i="6"/>
  <c r="AW10" i="5"/>
  <c r="DP10" i="5"/>
  <c r="I70" i="6"/>
  <c r="CY10" i="5"/>
  <c r="EZ14" i="5"/>
  <c r="EZ12" i="5"/>
  <c r="EZ16" i="5"/>
  <c r="ER12" i="5"/>
  <c r="ER13" i="5"/>
  <c r="ER14" i="5"/>
  <c r="EM10" i="5"/>
  <c r="DY12" i="5"/>
  <c r="DZ12" i="5"/>
  <c r="DZ16" i="5"/>
  <c r="DY16" i="5"/>
  <c r="DY14" i="5"/>
  <c r="DZ14" i="5"/>
  <c r="DY11" i="5"/>
  <c r="DZ11" i="5"/>
  <c r="DY15" i="5"/>
  <c r="DZ15" i="5"/>
  <c r="DY13" i="5"/>
  <c r="DZ13" i="5"/>
  <c r="I34" i="6"/>
  <c r="AE10" i="5"/>
  <c r="I118" i="6"/>
  <c r="DK10" i="5"/>
  <c r="I17" i="6"/>
  <c r="N10" i="5"/>
  <c r="I47" i="6"/>
  <c r="AR10" i="5"/>
  <c r="I77" i="6"/>
  <c r="BV10" i="5"/>
  <c r="I113" i="6"/>
  <c r="DF10" i="5"/>
  <c r="I48" i="6"/>
  <c r="AS10" i="5"/>
  <c r="I155" i="6"/>
  <c r="EV10" i="5"/>
  <c r="I63" i="6"/>
  <c r="BH10" i="5"/>
  <c r="I55" i="6"/>
  <c r="AZ10" i="5"/>
  <c r="I105" i="6"/>
  <c r="CX10" i="5"/>
  <c r="I61" i="6"/>
  <c r="BF10" i="5"/>
  <c r="I127" i="6"/>
  <c r="DT10" i="5"/>
  <c r="I100" i="6"/>
  <c r="CS10" i="5"/>
  <c r="I89" i="6"/>
  <c r="CH10" i="5"/>
  <c r="I46" i="6"/>
  <c r="AQ10" i="5"/>
  <c r="I24" i="6"/>
  <c r="U10" i="5"/>
  <c r="I140" i="6"/>
  <c r="EG10" i="5"/>
  <c r="I144" i="6"/>
  <c r="EK10" i="5"/>
  <c r="I85" i="6"/>
  <c r="CD10" i="5"/>
  <c r="I137" i="6"/>
  <c r="ED10" i="5"/>
  <c r="I94" i="6"/>
  <c r="CM10" i="5"/>
  <c r="I97" i="6"/>
  <c r="CP10" i="5"/>
  <c r="I22" i="6"/>
  <c r="S10" i="5"/>
  <c r="I159" i="6"/>
  <c r="EZ10" i="5"/>
  <c r="I14" i="6"/>
  <c r="K10" i="5"/>
  <c r="I132" i="6"/>
  <c r="DZ10" i="5"/>
  <c r="DY10" i="5"/>
  <c r="I124" i="6"/>
  <c r="DQ10" i="5"/>
  <c r="I31" i="6"/>
  <c r="AB10" i="5"/>
  <c r="I35" i="6"/>
  <c r="AF10" i="5"/>
  <c r="I149" i="6"/>
  <c r="EP10" i="5"/>
  <c r="I40" i="6"/>
  <c r="AK10" i="5"/>
  <c r="I29" i="6"/>
  <c r="Z10" i="5"/>
  <c r="I104" i="6"/>
  <c r="CW10" i="5"/>
  <c r="I60" i="6"/>
  <c r="BE10" i="5"/>
  <c r="I66" i="6"/>
  <c r="BK10" i="5"/>
  <c r="I128" i="6"/>
  <c r="DU10" i="5"/>
  <c r="I58" i="6"/>
  <c r="BC10" i="5"/>
  <c r="I150" i="6"/>
  <c r="EQ10" i="5"/>
  <c r="I76" i="6"/>
  <c r="BU10" i="5"/>
  <c r="I115" i="6"/>
  <c r="DH10" i="5"/>
  <c r="I49" i="6"/>
  <c r="AT10" i="5"/>
  <c r="I38" i="6"/>
  <c r="AI10" i="5"/>
  <c r="I120" i="6"/>
  <c r="DM10" i="5"/>
  <c r="I139" i="6"/>
  <c r="EF10" i="5"/>
  <c r="I81" i="6"/>
  <c r="BZ10" i="5"/>
  <c r="I20" i="6"/>
  <c r="Q10" i="5"/>
  <c r="I26" i="6"/>
  <c r="W10" i="5"/>
  <c r="I93" i="6"/>
  <c r="CL10" i="5"/>
  <c r="I75" i="6"/>
  <c r="BT10" i="5"/>
  <c r="I56" i="6"/>
  <c r="BA10" i="5"/>
  <c r="I88" i="6"/>
  <c r="CG10" i="5"/>
  <c r="I129" i="6"/>
  <c r="DV10" i="5"/>
  <c r="I147" i="6"/>
  <c r="EN10" i="5"/>
  <c r="I141" i="6"/>
  <c r="EH10" i="5"/>
  <c r="I83" i="6"/>
  <c r="CB10" i="5"/>
  <c r="I121" i="6"/>
  <c r="DN10" i="5"/>
  <c r="I54" i="6"/>
  <c r="AY10" i="5"/>
  <c r="I33" i="6"/>
  <c r="AD10" i="5"/>
  <c r="I57" i="6"/>
  <c r="BB10" i="5"/>
  <c r="I126" i="6"/>
  <c r="DS10" i="5"/>
  <c r="I45" i="6"/>
  <c r="AP10" i="5"/>
  <c r="I107" i="6"/>
  <c r="CZ10" i="5"/>
  <c r="I112" i="6"/>
  <c r="DE10" i="5"/>
  <c r="I65" i="6"/>
  <c r="BJ10" i="5"/>
  <c r="I119" i="6"/>
  <c r="DL10" i="5"/>
  <c r="I42" i="6"/>
  <c r="AM10" i="5"/>
  <c r="I84" i="6"/>
  <c r="CC10" i="5"/>
  <c r="I90" i="6"/>
  <c r="CI10" i="5"/>
  <c r="I130" i="6"/>
  <c r="DW10" i="5"/>
  <c r="I151" i="6"/>
  <c r="ER10" i="5"/>
  <c r="I111" i="6"/>
  <c r="DD10" i="5"/>
  <c r="I64" i="6"/>
  <c r="BI10" i="5"/>
  <c r="I102" i="6"/>
  <c r="CU10" i="5"/>
  <c r="I145" i="6"/>
  <c r="EL10" i="5"/>
  <c r="I148" i="6"/>
  <c r="EO10" i="5"/>
  <c r="I136" i="6"/>
  <c r="EC10" i="5"/>
  <c r="I32" i="6"/>
  <c r="AC10" i="5"/>
  <c r="I95" i="6"/>
  <c r="CN10" i="5"/>
  <c r="I43" i="6"/>
  <c r="AN10" i="5"/>
  <c r="I78" i="6"/>
  <c r="BW10" i="5"/>
  <c r="I21" i="6"/>
  <c r="R10" i="5"/>
  <c r="I36" i="6"/>
  <c r="AG10" i="5"/>
  <c r="I103" i="6"/>
  <c r="CV10" i="5"/>
  <c r="I41" i="6"/>
  <c r="AL10" i="5"/>
  <c r="I16" i="6"/>
  <c r="M10" i="5"/>
  <c r="I86" i="6"/>
  <c r="CE10" i="5"/>
  <c r="I79" i="6"/>
  <c r="BX10" i="5"/>
  <c r="I125" i="6"/>
  <c r="DR10" i="5"/>
  <c r="I51" i="6"/>
  <c r="AV10" i="5"/>
  <c r="I44" i="6"/>
  <c r="AO10" i="5"/>
  <c r="I117" i="6"/>
  <c r="DJ10" i="5"/>
  <c r="I131" i="6"/>
  <c r="DX10" i="5"/>
  <c r="I25" i="6"/>
  <c r="V10" i="5"/>
  <c r="I91" i="6"/>
  <c r="CJ10" i="5"/>
  <c r="I72" i="6"/>
  <c r="BQ10" i="5"/>
  <c r="I156" i="6"/>
  <c r="EW10" i="5"/>
  <c r="I53" i="6"/>
  <c r="AX10" i="5"/>
  <c r="I87" i="6"/>
  <c r="CF10" i="5"/>
  <c r="I18" i="6"/>
  <c r="O10" i="5"/>
  <c r="I98" i="6"/>
  <c r="CQ10" i="5"/>
  <c r="I92" i="6"/>
  <c r="CK10" i="5"/>
  <c r="I96" i="6"/>
  <c r="CO10" i="5"/>
  <c r="I69" i="6"/>
  <c r="BN10" i="5"/>
  <c r="I30" i="6"/>
  <c r="AA10" i="5"/>
  <c r="I59" i="6"/>
  <c r="BD10" i="5"/>
  <c r="I15" i="6"/>
  <c r="L10" i="5"/>
  <c r="I158" i="6"/>
  <c r="EY10" i="5"/>
  <c r="I27" i="6"/>
  <c r="X10" i="5"/>
  <c r="I68" i="6"/>
  <c r="BM10" i="5"/>
  <c r="I135" i="6"/>
  <c r="EB10" i="5"/>
  <c r="I73" i="6"/>
  <c r="BR10" i="5"/>
  <c r="I19" i="6"/>
  <c r="P10" i="5"/>
  <c r="I71" i="6"/>
  <c r="BP10" i="5"/>
  <c r="I143" i="6"/>
  <c r="EJ10" i="5"/>
  <c r="I39" i="6"/>
  <c r="AJ10" i="5"/>
  <c r="I114" i="6"/>
  <c r="DG10" i="5"/>
  <c r="I101" i="6"/>
  <c r="CT10" i="5"/>
  <c r="I153" i="6"/>
  <c r="ET10" i="5"/>
  <c r="I99" i="6"/>
  <c r="CR10" i="5"/>
  <c r="I82" i="6"/>
  <c r="I122" i="6"/>
  <c r="DO10" i="5"/>
  <c r="I109" i="6"/>
  <c r="DB10" i="5"/>
  <c r="I157" i="6"/>
  <c r="EX10" i="5"/>
  <c r="I134" i="6"/>
  <c r="EA10" i="5"/>
  <c r="I154" i="6"/>
  <c r="EU10" i="5"/>
  <c r="I152" i="6"/>
  <c r="ES10" i="5"/>
  <c r="I62" i="6"/>
  <c r="BG10" i="5"/>
  <c r="I13" i="6"/>
  <c r="J10" i="5"/>
  <c r="I37" i="6"/>
  <c r="AH10" i="5"/>
  <c r="F161" i="15"/>
  <c r="G161" i="6" s="1"/>
  <c r="F163" i="15"/>
  <c r="G163" i="6" s="1"/>
  <c r="G161" i="15"/>
  <c r="H161" i="6" s="1"/>
  <c r="G163" i="15"/>
  <c r="H163" i="6" s="1"/>
  <c r="E161" i="15"/>
  <c r="F161" i="6" s="1"/>
  <c r="E163" i="15"/>
  <c r="F163" i="6" s="1"/>
  <c r="AM133" i="15"/>
  <c r="AM132" i="15"/>
  <c r="AM13" i="15"/>
  <c r="AM100" i="15"/>
  <c r="AM77" i="15"/>
  <c r="AM17" i="15"/>
  <c r="AM79" i="15"/>
  <c r="AM116" i="15"/>
  <c r="AM129" i="15"/>
  <c r="AM95" i="15"/>
  <c r="AM90" i="15"/>
  <c r="AM118" i="15"/>
  <c r="AM73" i="15"/>
  <c r="AM69" i="15"/>
  <c r="AM82" i="15"/>
  <c r="AM23" i="15"/>
  <c r="AM140" i="15"/>
  <c r="AM29" i="15"/>
  <c r="AM53" i="15"/>
  <c r="AM104" i="15"/>
  <c r="AM51" i="15"/>
  <c r="AM42" i="15"/>
  <c r="AM63" i="15"/>
  <c r="AM41" i="15"/>
  <c r="AM43" i="15"/>
  <c r="AM47" i="15"/>
  <c r="AM24" i="15"/>
  <c r="AM156" i="15"/>
  <c r="AM60" i="15"/>
  <c r="AM125" i="15"/>
  <c r="AM111" i="15"/>
  <c r="AM15" i="15"/>
  <c r="AM46" i="15"/>
  <c r="AM99" i="15"/>
  <c r="AM119" i="15"/>
  <c r="AM81" i="15"/>
  <c r="AM137" i="15"/>
  <c r="AM67" i="15"/>
  <c r="AM21" i="15"/>
  <c r="AM74" i="15"/>
  <c r="AM32" i="15"/>
  <c r="AM155" i="15"/>
  <c r="AM96" i="15"/>
  <c r="AM31" i="15"/>
  <c r="AM136" i="15"/>
  <c r="AM49" i="15"/>
  <c r="AM86" i="15"/>
  <c r="AM91" i="15"/>
  <c r="AM28" i="15"/>
  <c r="AM123" i="15"/>
  <c r="AM48" i="15"/>
  <c r="AM22" i="15"/>
  <c r="AM64" i="15"/>
  <c r="AM148" i="15"/>
  <c r="AM39" i="15"/>
  <c r="AM147" i="15"/>
  <c r="AM27" i="15"/>
  <c r="AM25" i="15"/>
  <c r="AM68" i="15"/>
  <c r="AM92" i="15"/>
  <c r="AM85" i="15"/>
  <c r="AM143" i="15"/>
  <c r="AM55" i="15"/>
  <c r="AM33" i="15"/>
  <c r="AM52" i="15"/>
  <c r="AM142" i="15"/>
  <c r="AM19" i="15"/>
  <c r="AM153" i="15"/>
  <c r="AM124" i="15"/>
  <c r="AM71" i="15"/>
  <c r="AM93" i="15"/>
  <c r="AM151" i="15"/>
  <c r="AM20" i="15"/>
  <c r="AM84" i="15"/>
  <c r="AM107" i="15"/>
  <c r="AM61" i="15"/>
  <c r="AM141" i="15"/>
  <c r="AM76" i="15"/>
  <c r="AM139" i="15"/>
  <c r="AM109" i="15"/>
  <c r="AM158" i="15"/>
  <c r="AM130" i="15"/>
  <c r="AM36" i="15"/>
  <c r="AM40" i="15"/>
  <c r="AM117" i="15"/>
  <c r="AM70" i="15"/>
  <c r="AM89" i="15"/>
  <c r="AM159" i="15"/>
  <c r="AM80" i="15"/>
  <c r="AM65" i="15"/>
  <c r="AM54" i="15"/>
  <c r="AM102" i="15"/>
  <c r="AM58" i="15"/>
  <c r="AM26" i="15"/>
  <c r="AM121" i="15"/>
  <c r="AM112" i="15"/>
  <c r="AM113" i="15"/>
  <c r="AM122" i="15"/>
  <c r="AM146" i="15"/>
  <c r="AM97" i="15"/>
  <c r="AM50" i="15"/>
  <c r="AM87" i="15"/>
  <c r="AM66" i="15"/>
  <c r="AM149" i="15"/>
  <c r="AM45" i="15"/>
  <c r="AM105" i="15"/>
  <c r="AM35" i="15"/>
  <c r="AM154" i="15"/>
  <c r="AM57" i="15"/>
  <c r="AM144" i="15"/>
  <c r="AM14" i="15"/>
  <c r="AM126" i="15"/>
  <c r="AM59" i="15"/>
  <c r="AM135" i="15"/>
  <c r="AM108" i="15"/>
  <c r="AM115" i="15"/>
  <c r="AM110" i="15"/>
  <c r="AM83" i="15"/>
  <c r="AM152" i="15"/>
  <c r="AM138" i="15"/>
  <c r="AM128" i="15"/>
  <c r="AM150" i="15"/>
  <c r="AM94" i="15"/>
  <c r="AM120" i="15"/>
  <c r="AM37" i="15"/>
  <c r="AM101" i="15"/>
  <c r="AM72" i="15"/>
  <c r="AM103" i="15"/>
  <c r="AM18" i="15"/>
  <c r="AM98" i="15"/>
  <c r="AM127" i="15"/>
  <c r="AM16" i="15"/>
  <c r="AM134" i="15"/>
  <c r="AM145" i="15"/>
  <c r="AM88" i="15"/>
  <c r="AM114" i="15"/>
  <c r="AM106" i="15"/>
  <c r="AM131" i="15"/>
  <c r="AM157" i="15"/>
  <c r="AM75" i="15"/>
  <c r="AM38" i="15"/>
  <c r="AM30" i="15"/>
  <c r="AM44" i="15"/>
  <c r="AM78" i="15"/>
  <c r="AM56" i="15"/>
  <c r="AM34" i="15"/>
  <c r="AM62" i="15"/>
  <c r="FA28" i="5"/>
  <c r="FD28" i="5"/>
  <c r="FA56" i="5"/>
  <c r="F160" i="15" s="1"/>
  <c r="G160" i="6" s="1"/>
  <c r="D163" i="15" l="1"/>
  <c r="H163" i="15" s="1"/>
  <c r="D160" i="15"/>
  <c r="H160" i="15" s="1"/>
  <c r="C166" i="15"/>
  <c r="FD62" i="5"/>
  <c r="D161" i="15"/>
  <c r="FA62" i="5"/>
  <c r="E58" i="16" l="1"/>
  <c r="F58" i="16" s="1"/>
  <c r="P58" i="16"/>
  <c r="H58" i="16"/>
  <c r="N58" i="16"/>
  <c r="L58" i="16"/>
  <c r="R58" i="16"/>
  <c r="J58" i="16"/>
  <c r="E55" i="16"/>
  <c r="F55" i="16" s="1"/>
  <c r="L55" i="16"/>
  <c r="R55" i="16"/>
  <c r="J55" i="16"/>
  <c r="P55" i="16"/>
  <c r="H55" i="16"/>
  <c r="N55" i="16"/>
  <c r="E163" i="6"/>
  <c r="E160" i="6"/>
  <c r="I163" i="6"/>
  <c r="AM163" i="15"/>
  <c r="FD333" i="5"/>
  <c r="H161" i="15"/>
  <c r="E161" i="6"/>
  <c r="AM160" i="15"/>
  <c r="I160" i="6"/>
  <c r="FA333" i="5"/>
  <c r="D160" i="6"/>
  <c r="D163" i="6"/>
  <c r="D161" i="6"/>
  <c r="Q59" i="16" l="1"/>
  <c r="M59" i="16"/>
  <c r="K59" i="16"/>
  <c r="I59" i="16"/>
  <c r="O59" i="16"/>
  <c r="G59" i="16"/>
  <c r="E59" i="16"/>
  <c r="C161" i="15"/>
  <c r="C160" i="15"/>
  <c r="I161" i="6"/>
  <c r="AM161" i="15"/>
  <c r="Q19" i="1"/>
  <c r="P19" i="1"/>
  <c r="O19" i="1"/>
  <c r="N19" i="1"/>
  <c r="M19" i="1"/>
  <c r="L19" i="1"/>
  <c r="K19" i="1"/>
  <c r="J19" i="1"/>
  <c r="G19" i="1"/>
  <c r="F19" i="1"/>
  <c r="E19" i="1"/>
  <c r="K9" i="6" s="1"/>
  <c r="D19" i="1"/>
  <c r="J9" i="6" s="1"/>
  <c r="D8" i="1"/>
  <c r="M5" i="15" l="1"/>
  <c r="G3" i="16"/>
  <c r="D166" i="6" l="1"/>
  <c r="C63" i="5"/>
  <c r="BI17" i="5" l="1"/>
  <c r="AT17" i="5"/>
  <c r="BK17" i="5"/>
  <c r="AS17" i="5"/>
  <c r="AZ17" i="5"/>
  <c r="ES17" i="5"/>
  <c r="EG17" i="5"/>
  <c r="DF17" i="5"/>
  <c r="BO17" i="5"/>
  <c r="DE17" i="5"/>
  <c r="AX17" i="5"/>
  <c r="BT17" i="5"/>
  <c r="EE17" i="5"/>
  <c r="CN17" i="5"/>
  <c r="Y17" i="5"/>
  <c r="DX17" i="5"/>
  <c r="DN17" i="5"/>
  <c r="AO17" i="5"/>
  <c r="AI17" i="5"/>
  <c r="BV17" i="5"/>
  <c r="AF17" i="5"/>
  <c r="DI17" i="5"/>
  <c r="BJ17" i="5"/>
  <c r="AH17" i="5"/>
  <c r="DW17" i="5"/>
  <c r="AU17" i="5"/>
  <c r="AD17" i="5"/>
  <c r="CI17" i="5"/>
  <c r="EW17" i="5"/>
  <c r="DO17" i="5"/>
  <c r="BS17" i="5"/>
  <c r="DT17" i="5"/>
  <c r="BB17" i="5"/>
  <c r="AG17" i="5"/>
  <c r="DL17" i="5"/>
  <c r="DD17" i="5"/>
  <c r="EX17" i="5"/>
  <c r="CO17" i="5"/>
  <c r="DA17" i="5"/>
  <c r="AV17" i="5"/>
  <c r="BR17" i="5"/>
  <c r="AJ17" i="5"/>
  <c r="CD17" i="5"/>
  <c r="EH17" i="5"/>
  <c r="T17" i="5"/>
  <c r="EV17" i="5"/>
  <c r="CG17" i="5"/>
  <c r="AY17" i="5"/>
  <c r="EB17" i="5"/>
  <c r="DH17" i="5"/>
  <c r="EP17" i="5"/>
  <c r="ER17" i="5"/>
  <c r="CV17" i="5"/>
  <c r="DV17" i="5"/>
  <c r="EZ17" i="5"/>
  <c r="DU17" i="5"/>
  <c r="BN17" i="5"/>
  <c r="BX17" i="5"/>
  <c r="CP17" i="5"/>
  <c r="DP17" i="5"/>
  <c r="CL17" i="5"/>
  <c r="EQ17" i="5"/>
  <c r="CH17" i="5"/>
  <c r="BU17" i="5"/>
  <c r="Z17" i="5"/>
  <c r="AE17" i="5"/>
  <c r="EK17" i="5"/>
  <c r="BZ17" i="5"/>
  <c r="BH17" i="5"/>
  <c r="EI17" i="5"/>
  <c r="ED17" i="5"/>
  <c r="BY17" i="5"/>
  <c r="EU17" i="5"/>
  <c r="BD17" i="5"/>
  <c r="DS17" i="5"/>
  <c r="CQ17" i="5"/>
  <c r="BF17" i="5"/>
  <c r="AM17" i="5"/>
  <c r="DJ17" i="5"/>
  <c r="CA17" i="5"/>
  <c r="CW17" i="5"/>
  <c r="EY17" i="5"/>
  <c r="BQ17" i="5"/>
  <c r="CM17" i="5"/>
  <c r="DB17" i="5"/>
  <c r="CB17" i="5"/>
  <c r="CZ17" i="5"/>
  <c r="AW17" i="5"/>
  <c r="AB17" i="5"/>
  <c r="BM17" i="5"/>
  <c r="CU17" i="5"/>
  <c r="CY17" i="5"/>
  <c r="AR17" i="5"/>
  <c r="AQ17" i="5"/>
  <c r="EJ17" i="5"/>
  <c r="AL17" i="5"/>
  <c r="EN17" i="5"/>
  <c r="AC17" i="5"/>
  <c r="CE17" i="5"/>
  <c r="CC17" i="5"/>
  <c r="BC17" i="5"/>
  <c r="EO17" i="5"/>
  <c r="ET17" i="5"/>
  <c r="DM17" i="5"/>
  <c r="EF17" i="5"/>
  <c r="EA17" i="5"/>
  <c r="EL17" i="5"/>
  <c r="BP17" i="5"/>
  <c r="CT17" i="5"/>
  <c r="BG17" i="5"/>
  <c r="DR17" i="5"/>
  <c r="CR17" i="5"/>
  <c r="CX17" i="5"/>
  <c r="BA17" i="5"/>
  <c r="X17" i="5"/>
  <c r="AA17" i="5"/>
  <c r="BW17" i="5"/>
  <c r="BE17" i="5"/>
  <c r="DQ17" i="5"/>
  <c r="EM17" i="5"/>
  <c r="W17" i="5"/>
  <c r="AP17" i="5"/>
  <c r="BL17" i="5"/>
  <c r="CK17" i="5"/>
  <c r="DG17" i="5"/>
  <c r="EC17" i="5"/>
  <c r="DC17" i="5"/>
  <c r="DK17" i="5"/>
  <c r="U17" i="5"/>
  <c r="V17" i="5"/>
  <c r="CJ17" i="5"/>
  <c r="DY17" i="5"/>
  <c r="CS17" i="5"/>
  <c r="DZ17" i="5"/>
  <c r="AK17" i="5"/>
  <c r="CF17" i="5"/>
  <c r="AN17" i="5"/>
  <c r="N17" i="5"/>
  <c r="L17" i="5"/>
  <c r="K17" i="5"/>
  <c r="Q17" i="5"/>
  <c r="S17" i="5"/>
  <c r="P17" i="5"/>
  <c r="R17" i="5"/>
  <c r="O17" i="5"/>
  <c r="M17" i="5"/>
  <c r="J17" i="5"/>
  <c r="C108" i="5"/>
  <c r="H17" i="5" l="1"/>
  <c r="FD17" i="5"/>
  <c r="FC17" i="5"/>
  <c r="FA17" i="5"/>
  <c r="FB17" i="5"/>
  <c r="C153" i="5"/>
  <c r="C198" i="5" l="1"/>
  <c r="C243" i="5" l="1"/>
  <c r="C288" i="5" l="1"/>
</calcChain>
</file>

<file path=xl/sharedStrings.xml><?xml version="1.0" encoding="utf-8"?>
<sst xmlns="http://schemas.openxmlformats.org/spreadsheetml/2006/main" count="27359" uniqueCount="1574">
  <si>
    <t>Начало недели:</t>
  </si>
  <si>
    <t>Конец недели:</t>
  </si>
  <si>
    <t>Пн</t>
  </si>
  <si>
    <t>Вт</t>
  </si>
  <si>
    <t>Ср</t>
  </si>
  <si>
    <t>Чт</t>
  </si>
  <si>
    <t>Пт</t>
  </si>
  <si>
    <t>Сб</t>
  </si>
  <si>
    <t>Вс</t>
  </si>
  <si>
    <t>в/с всего</t>
  </si>
  <si>
    <t>в т.ч. призыв</t>
  </si>
  <si>
    <t>завтрак</t>
  </si>
  <si>
    <t>обед</t>
  </si>
  <si>
    <t>среднее за сутки</t>
  </si>
  <si>
    <t>№</t>
  </si>
  <si>
    <t>Дата записи</t>
  </si>
  <si>
    <t>Приход/ расход</t>
  </si>
  <si>
    <t>Наименование документа</t>
  </si>
  <si>
    <t>Дата документа</t>
  </si>
  <si>
    <t>№ документа</t>
  </si>
  <si>
    <t>Поставщик</t>
  </si>
  <si>
    <t>Код по КВТ</t>
  </si>
  <si>
    <t>Ед.изм.</t>
  </si>
  <si>
    <t>Не использовать</t>
  </si>
  <si>
    <t>Накладная</t>
  </si>
  <si>
    <t>Горох</t>
  </si>
  <si>
    <t>Овсяная</t>
  </si>
  <si>
    <t>Рис</t>
  </si>
  <si>
    <t>Расход</t>
  </si>
  <si>
    <t>Консервы рыбные</t>
  </si>
  <si>
    <t>Сардельки, сосиски</t>
  </si>
  <si>
    <t>Перловая</t>
  </si>
  <si>
    <t>Лук репчатый</t>
  </si>
  <si>
    <t>Пшено</t>
  </si>
  <si>
    <t>Молоко</t>
  </si>
  <si>
    <t>Очередность</t>
  </si>
  <si>
    <t>Продукты категория</t>
  </si>
  <si>
    <t>кг</t>
  </si>
  <si>
    <t>Гречневая</t>
  </si>
  <si>
    <t>Манная</t>
  </si>
  <si>
    <t>Ячневая</t>
  </si>
  <si>
    <t>Макаронные изделия</t>
  </si>
  <si>
    <t>Овощи</t>
  </si>
  <si>
    <t>Горошек, фасоль, кукуруза консервированные</t>
  </si>
  <si>
    <t>Капуста (капуста квашенная)</t>
  </si>
  <si>
    <t>Картофель</t>
  </si>
  <si>
    <t>Морковь</t>
  </si>
  <si>
    <t>Помидоры консерв.(свежие)</t>
  </si>
  <si>
    <t>Свекла</t>
  </si>
  <si>
    <t>Чеснок</t>
  </si>
  <si>
    <t>Хлеб</t>
  </si>
  <si>
    <t>Хлеб дарницкий</t>
  </si>
  <si>
    <t>Молоко коровье</t>
  </si>
  <si>
    <t>Сахар</t>
  </si>
  <si>
    <t>Сметана</t>
  </si>
  <si>
    <t>Соль йодированная</t>
  </si>
  <si>
    <t>Сыр плавленный</t>
  </si>
  <si>
    <t>Чай</t>
  </si>
  <si>
    <t>Жиры</t>
  </si>
  <si>
    <t>Колбаса с/к</t>
  </si>
  <si>
    <t>Масло коровье</t>
  </si>
  <si>
    <t>Масло растительное</t>
  </si>
  <si>
    <t>Сало-шпик</t>
  </si>
  <si>
    <t>Говядина б/к ,печень</t>
  </si>
  <si>
    <t>Колбаса п/к</t>
  </si>
  <si>
    <t>Мясо птицы</t>
  </si>
  <si>
    <t>Свинина б/к</t>
  </si>
  <si>
    <t>Сельдь</t>
  </si>
  <si>
    <t>Прочие</t>
  </si>
  <si>
    <t>Горчичный порошок</t>
  </si>
  <si>
    <t>Зелень</t>
  </si>
  <si>
    <t>Кефир</t>
  </si>
  <si>
    <t>Кофе растворимый</t>
  </si>
  <si>
    <t>Курага</t>
  </si>
  <si>
    <t>Лавровый лист</t>
  </si>
  <si>
    <t>Сок п/я</t>
  </si>
  <si>
    <t>Томат-паста</t>
  </si>
  <si>
    <t>Уксус</t>
  </si>
  <si>
    <t>Чернослив</t>
  </si>
  <si>
    <t>Яйцо</t>
  </si>
  <si>
    <t>Апельсины</t>
  </si>
  <si>
    <t>Вафли</t>
  </si>
  <si>
    <t>Карамель</t>
  </si>
  <si>
    <t>Конфеты шоколадные</t>
  </si>
  <si>
    <t>Кофе БС</t>
  </si>
  <si>
    <t>Печенье</t>
  </si>
  <si>
    <t>Печенье БС</t>
  </si>
  <si>
    <t>Пряники, печенье</t>
  </si>
  <si>
    <t>Сок яблочный</t>
  </si>
  <si>
    <t>Яблоки свежие</t>
  </si>
  <si>
    <t>Остаток</t>
  </si>
  <si>
    <t>Книга учета</t>
  </si>
  <si>
    <t>№ и дата документа</t>
  </si>
  <si>
    <t>Наименование материальных ценностей и их категории</t>
  </si>
  <si>
    <t>Единица измерения</t>
  </si>
  <si>
    <t>Цена за единицу</t>
  </si>
  <si>
    <t>Прибыло</t>
  </si>
  <si>
    <t>Убыло</t>
  </si>
  <si>
    <t>Состоит</t>
  </si>
  <si>
    <t>УТВЕРЖДАЮ</t>
  </si>
  <si>
    <t>ПО НОРМАМ №3 (МОРСКОГО ПАЙКА)   ВОЙСКОВОЙ ЧАСТИ 75764</t>
  </si>
  <si>
    <t xml:space="preserve"> </t>
  </si>
  <si>
    <t>На время с</t>
  </si>
  <si>
    <t>по</t>
  </si>
  <si>
    <t>Дата и дни недели</t>
  </si>
  <si>
    <t>Приемы пищи</t>
  </si>
  <si>
    <t>НАИМЕНОВАНИЕ БЛЮД</t>
  </si>
  <si>
    <t>Общая масса готового блюда, г</t>
  </si>
  <si>
    <t>Масса мясных и рыбных порций, г</t>
  </si>
  <si>
    <t>ОКГ</t>
  </si>
  <si>
    <t>Понедельник</t>
  </si>
  <si>
    <t>Завтрак</t>
  </si>
  <si>
    <t>Обед</t>
  </si>
  <si>
    <t>Закуска</t>
  </si>
  <si>
    <t>I блюдо</t>
  </si>
  <si>
    <t>II блюдо</t>
  </si>
  <si>
    <t>III блюдо</t>
  </si>
  <si>
    <t>Ужин</t>
  </si>
  <si>
    <t>Вторник</t>
  </si>
  <si>
    <t>Среда</t>
  </si>
  <si>
    <t>Борщ из свежей капусты</t>
  </si>
  <si>
    <t>Четверг</t>
  </si>
  <si>
    <t>Пятница</t>
  </si>
  <si>
    <t>Суббота</t>
  </si>
  <si>
    <t>Воскресенье</t>
  </si>
  <si>
    <t>Всего по раскладке</t>
  </si>
  <si>
    <t>Начальник службы снабжения войсковой части 75764</t>
  </si>
  <si>
    <t>форма № 2а</t>
  </si>
  <si>
    <t>в/с призыв в т.ч</t>
  </si>
  <si>
    <t>№ п/п</t>
  </si>
  <si>
    <t>Наименование продуктов</t>
  </si>
  <si>
    <t>Отпущено</t>
  </si>
  <si>
    <t>Примечание</t>
  </si>
  <si>
    <t>ужин</t>
  </si>
  <si>
    <t>Моющее средство</t>
  </si>
  <si>
    <t>Чистящее средство</t>
  </si>
  <si>
    <t>на завтрак</t>
  </si>
  <si>
    <t>на обед</t>
  </si>
  <si>
    <t>на ужин</t>
  </si>
  <si>
    <t>Отметка врача о</t>
  </si>
  <si>
    <t>качестве продуктов</t>
  </si>
  <si>
    <t>Фасоль консервированая</t>
  </si>
  <si>
    <t>Горчица</t>
  </si>
  <si>
    <t>Шпик</t>
  </si>
  <si>
    <t>Рыба жареная</t>
  </si>
  <si>
    <t>Консервы овощные</t>
  </si>
  <si>
    <t>Вечерний чай</t>
  </si>
  <si>
    <t>КОМАНДИР ВОЙСКОВОЙ ЧАСТИ 75764</t>
  </si>
  <si>
    <t>А.Чирва</t>
  </si>
  <si>
    <t>Молочные</t>
  </si>
  <si>
    <t>Наименования продуктов  и масса их в граммах на одного человека</t>
  </si>
  <si>
    <t>Крупа 1</t>
  </si>
  <si>
    <t>Жиры 1</t>
  </si>
  <si>
    <t>а</t>
  </si>
  <si>
    <t>р</t>
  </si>
  <si>
    <t>о</t>
  </si>
  <si>
    <t>Макароны отварные</t>
  </si>
  <si>
    <t>Накладная №</t>
  </si>
  <si>
    <t>На выдачу подуктов с продовольственного склада в/ч 75764 в столовую по норме № 3</t>
  </si>
  <si>
    <t>вечерний чай</t>
  </si>
  <si>
    <t>Горошек консервированный</t>
  </si>
  <si>
    <t>Пряники</t>
  </si>
  <si>
    <t>Молоко сгущенное</t>
  </si>
  <si>
    <t>Морковь по-корейски</t>
  </si>
  <si>
    <t>Закуска овощная</t>
  </si>
  <si>
    <t>Сало шпик</t>
  </si>
  <si>
    <t>Помидоры консервированные</t>
  </si>
  <si>
    <t>Суп с фрикадельками</t>
  </si>
  <si>
    <t>Турчин Н.В.</t>
  </si>
  <si>
    <t>Сапунов Р.С.</t>
  </si>
  <si>
    <t xml:space="preserve">Выдал: </t>
  </si>
  <si>
    <t>Принял:</t>
  </si>
  <si>
    <t xml:space="preserve">Начальник службы снабжения: </t>
  </si>
  <si>
    <t>ст.л-т И.Новичков</t>
  </si>
  <si>
    <t>Итого</t>
  </si>
  <si>
    <t>Продуктов за день</t>
  </si>
  <si>
    <t>итого</t>
  </si>
  <si>
    <t>Огурцы свежие (соленые)</t>
  </si>
  <si>
    <t>Сладости и фрукты</t>
  </si>
  <si>
    <t>Гексавит</t>
  </si>
  <si>
    <t>Мучное</t>
  </si>
  <si>
    <t>Мучное 1</t>
  </si>
  <si>
    <t>ст. л-т  И. Новичков</t>
  </si>
  <si>
    <t>мичман А.Васильев</t>
  </si>
  <si>
    <t>фельдшер войсковой части 75764</t>
  </si>
  <si>
    <t>Очистить меню:</t>
  </si>
  <si>
    <t>Сегодня:</t>
  </si>
  <si>
    <t>Раскладка меню:</t>
  </si>
  <si>
    <t>Итого наименований:</t>
  </si>
  <si>
    <t>(учет в кг)</t>
  </si>
  <si>
    <t>Подписи</t>
  </si>
  <si>
    <t>Основание: раскладка продуктов, строевая записка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</si>
  <si>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</si>
  <si>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</si>
  <si>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</si>
  <si>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</si>
  <si>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</si>
  <si>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</si>
  <si>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</si>
  <si>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неделя</t>
  </si>
  <si>
    <t>Действия</t>
  </si>
  <si>
    <t>Хлеб белый из пш. муки 1 сорта (корабли)</t>
  </si>
  <si>
    <t>Хлеб белый из пш. муки 1 сорта (нарезка)</t>
  </si>
  <si>
    <t>Конд.изд.Пряники весовые</t>
  </si>
  <si>
    <t>Конд.изд.Печенье сахарное в ассорт.</t>
  </si>
  <si>
    <t>Конд.изд.Вафли весовые</t>
  </si>
  <si>
    <t>Мука в/с</t>
  </si>
  <si>
    <t>Мука в/с ГОСТ</t>
  </si>
  <si>
    <t>Крупа перловая</t>
  </si>
  <si>
    <t>Крупа Рис шлиф.1сорт круглый</t>
  </si>
  <si>
    <t>Крупа Хлопья овсяные</t>
  </si>
  <si>
    <t>Крупа Хлопья овсяные(геркулес)</t>
  </si>
  <si>
    <t>Крупа греча ядрица 1сорт</t>
  </si>
  <si>
    <t>Крупа пшено</t>
  </si>
  <si>
    <t>Крупа пшеничная</t>
  </si>
  <si>
    <t>Крупа ячневая</t>
  </si>
  <si>
    <t>Бобовые горох шлиф.колотый</t>
  </si>
  <si>
    <t>Бобовые Фасоль</t>
  </si>
  <si>
    <t>Макаронные изд.</t>
  </si>
  <si>
    <t>Крупа манная</t>
  </si>
  <si>
    <t>Мясо птицы 1 сорт</t>
  </si>
  <si>
    <t>Мясн.конс. Цыпленка в с/с</t>
  </si>
  <si>
    <t>Мясо свинина на кости</t>
  </si>
  <si>
    <t>Мясо говядина на кости (отруба)</t>
  </si>
  <si>
    <t>Субпродукты Печень говяжья</t>
  </si>
  <si>
    <t>Субпродукты Сердце говяжье</t>
  </si>
  <si>
    <t>Мясо говядина б/к блочное</t>
  </si>
  <si>
    <t>Мясо свинина б/к блочное</t>
  </si>
  <si>
    <t>Мясо свинина б/к блочное (лопатка)</t>
  </si>
  <si>
    <t>Мясн.конс.Свинина тушеная</t>
  </si>
  <si>
    <t>Мясн.конс.Говядина тушеная КОНКОРД</t>
  </si>
  <si>
    <t>Мясн.конс.Говядина тушеная кп</t>
  </si>
  <si>
    <t>Мясн.конс.Говядина тушеная</t>
  </si>
  <si>
    <t>Колбас.изд.Сосиски</t>
  </si>
  <si>
    <t>Колбас.изд.Сардельки</t>
  </si>
  <si>
    <t>Колбас.изд.Колбаса п/к</t>
  </si>
  <si>
    <t>Колбас.изд.Колбаса п/к в/с</t>
  </si>
  <si>
    <t>Колбас.изд.Колбаса с/к</t>
  </si>
  <si>
    <t>Колбас.изд.Колбаса с/к в/с</t>
  </si>
  <si>
    <t>Рыба с/м навага б/г</t>
  </si>
  <si>
    <t>Рыба с/м камбала б/г</t>
  </si>
  <si>
    <t>Рыба с/м налим б/г</t>
  </si>
  <si>
    <t>Рыба с/м Пикша б/г</t>
  </si>
  <si>
    <t>Рыба с/м Сайда б/г</t>
  </si>
  <si>
    <t>Рыба с/м Минтай б/г</t>
  </si>
  <si>
    <t>Рыба с/м Треска б/г</t>
  </si>
  <si>
    <t>Рыба с/м Хек б/г</t>
  </si>
  <si>
    <t>Рыбн.прод. Сельдь с/с</t>
  </si>
  <si>
    <t>Рыбн.прод Сельдь соленая</t>
  </si>
  <si>
    <t>Рыбн.конс. Сардина</t>
  </si>
  <si>
    <t>Рыбн.конс. Сардина в масле</t>
  </si>
  <si>
    <t>Рыбн.конс. Сардинелла</t>
  </si>
  <si>
    <t>Рыбн.конс. Скумбрия</t>
  </si>
  <si>
    <t>Масло раст.5л (кг)</t>
  </si>
  <si>
    <t>Масло раст.1л (кг)</t>
  </si>
  <si>
    <t>Масло слив.72,5% порционное 15г (СЛИВОЧНОЕ)</t>
  </si>
  <si>
    <t>Масло слив.72,5% весовое (сливочное)</t>
  </si>
  <si>
    <t>Масло слив.72,5% весовое</t>
  </si>
  <si>
    <t>Мол.прод.Молоко коровье 0,2 л</t>
  </si>
  <si>
    <t>Мол.прод.Молоко коровье 3,2%</t>
  </si>
  <si>
    <t>Мол.прод.Молоко коровье 1 л</t>
  </si>
  <si>
    <t>Молоко сгущеное в мягкой упаковке</t>
  </si>
  <si>
    <t>Молоко сгущенное м/у</t>
  </si>
  <si>
    <t>Мол.прод.Сметана весовая 20%</t>
  </si>
  <si>
    <t>Мол.прод.Сыр твердый (полутвердый) 50%</t>
  </si>
  <si>
    <t>Сыр плавленый (упак. по 17,5гр.)</t>
  </si>
  <si>
    <t>Овощи Картофель свежий н/о</t>
  </si>
  <si>
    <t>Овощи Капуста б/к</t>
  </si>
  <si>
    <t>Консерв.Капуста мариннованная</t>
  </si>
  <si>
    <t>Консерв.Капуста маринованная</t>
  </si>
  <si>
    <t>Овощи Свекла свежая н/о</t>
  </si>
  <si>
    <t>Консерв.свекла</t>
  </si>
  <si>
    <t>Овощи Морковь свежая н/о</t>
  </si>
  <si>
    <t>Консерв.Морковь.3кг гарнир</t>
  </si>
  <si>
    <t>Овощи Лук свежий н/о</t>
  </si>
  <si>
    <t>Соленья кабачки консерв.3 кг</t>
  </si>
  <si>
    <t>Соленья Огурцы консерв.3кг</t>
  </si>
  <si>
    <t>Соленья Помидоры консерв.3кг</t>
  </si>
  <si>
    <t>Овощи Перец сладкий</t>
  </si>
  <si>
    <t>Зелень петрушка свежая</t>
  </si>
  <si>
    <t>Зелень укроп свежий</t>
  </si>
  <si>
    <t>Овощи Огурец свежий</t>
  </si>
  <si>
    <t>Овощи Помидор свежий</t>
  </si>
  <si>
    <t>Овощи Кабачки свежие</t>
  </si>
  <si>
    <t>Баклажаны</t>
  </si>
  <si>
    <t>Овощи Чеснок свежий</t>
  </si>
  <si>
    <t>Консерв. Фасоль</t>
  </si>
  <si>
    <t>Консерв.Фасоль</t>
  </si>
  <si>
    <t>Консерв.Кукуруза</t>
  </si>
  <si>
    <t>Консерв.Зеленый горошек</t>
  </si>
  <si>
    <t>Консерв.Лечо</t>
  </si>
  <si>
    <t>Консерв.Закуска "Воронежская"</t>
  </si>
  <si>
    <t>Икра кабачковая</t>
  </si>
  <si>
    <t>Икра баклажанная</t>
  </si>
  <si>
    <t>Сок фрукт.восст.0,2 л в ассорт</t>
  </si>
  <si>
    <t>Сок фрукт.восст.0,2л в ассорт.</t>
  </si>
  <si>
    <t>Сок фрукт.восст. 1л в ассорт.</t>
  </si>
  <si>
    <t>Сок фрукт.восст.1 л в ассорт.</t>
  </si>
  <si>
    <t>Экстракт плодово-ягодный в ассорт.</t>
  </si>
  <si>
    <t>экстракт плодовый и ягодный</t>
  </si>
  <si>
    <t>Сухофрукты Изюм</t>
  </si>
  <si>
    <t>Сухофрукты Курага</t>
  </si>
  <si>
    <t>Дрожжи сушенные</t>
  </si>
  <si>
    <t>Сахарный песок</t>
  </si>
  <si>
    <t>Соль поваренная пищевая</t>
  </si>
  <si>
    <t>Чай листовой заварной в пачках</t>
  </si>
  <si>
    <t>Чай листовой заварной ГОСТ в пачках</t>
  </si>
  <si>
    <t>Кофе весовой</t>
  </si>
  <si>
    <t>Специи Лавровый лист</t>
  </si>
  <si>
    <t>Специи Перец черный молотый</t>
  </si>
  <si>
    <t>Специи Горчица сухая</t>
  </si>
  <si>
    <t>Специи Уксус столовый 9%</t>
  </si>
  <si>
    <t>Томат-паста 25%</t>
  </si>
  <si>
    <t>Томатная паста 25%</t>
  </si>
  <si>
    <t>Конфеты карамель (отливная)</t>
  </si>
  <si>
    <t>Вода бутилированная 1,5 л</t>
  </si>
  <si>
    <t>Молоко сгущеное в ж/б</t>
  </si>
  <si>
    <t>Наименование стандартное</t>
  </si>
  <si>
    <t>Фасоль</t>
  </si>
  <si>
    <t>Печенье сахарное в</t>
  </si>
  <si>
    <t>Творог</t>
  </si>
  <si>
    <t>Сыр</t>
  </si>
  <si>
    <t>Кабачки</t>
  </si>
  <si>
    <t>Дрожжи</t>
  </si>
  <si>
    <t>Изюм</t>
  </si>
  <si>
    <t>Редис</t>
  </si>
  <si>
    <t>Соль</t>
  </si>
  <si>
    <t>Мясо говядина на кости</t>
  </si>
  <si>
    <t>Перец сладкий</t>
  </si>
  <si>
    <t>Баклажан</t>
  </si>
  <si>
    <t>Вода</t>
  </si>
  <si>
    <t>Свекла консерв.</t>
  </si>
  <si>
    <t>Морковь консерв.</t>
  </si>
  <si>
    <t>Кабачки консерв.</t>
  </si>
  <si>
    <t>Крупы</t>
  </si>
  <si>
    <t>Свинина на кости</t>
  </si>
  <si>
    <t>Говядина на кости</t>
  </si>
  <si>
    <t>Капуста свежая/кваш.</t>
  </si>
  <si>
    <t>Огурцы свежие/соленые</t>
  </si>
  <si>
    <t>Помидоры свежие/конс.</t>
  </si>
  <si>
    <t>Наименование для меню (стандартизированное)</t>
  </si>
  <si>
    <t>капитан 3 ранга_____________А.Чирва</t>
  </si>
  <si>
    <t>РАСКЛАДКА  ПРОДУКТОВ</t>
  </si>
  <si>
    <t>Положено 
на 1 чел, гр</t>
  </si>
  <si>
    <t>пон-к</t>
  </si>
  <si>
    <t>Воск-е</t>
  </si>
  <si>
    <t>Всего</t>
  </si>
  <si>
    <t>Основание:</t>
  </si>
  <si>
    <t>раскладка продуктов, строевая записка</t>
  </si>
  <si>
    <t>№ накладной на понедельник:</t>
  </si>
  <si>
    <t xml:space="preserve">Сводная № </t>
  </si>
  <si>
    <t>Баталер продовольственный:</t>
  </si>
  <si>
    <t>Начальник службы снабжения:</t>
  </si>
  <si>
    <t xml:space="preserve">на выдачу подуктов с продовольственного склада в/ч 75764 в столовую по норме № 3 </t>
  </si>
  <si>
    <t>с</t>
  </si>
  <si>
    <t>ОКГ = овоще-крупяная группа</t>
  </si>
  <si>
    <t>при этом сметану, сгущ.молоко и сыр умножить на 5</t>
  </si>
  <si>
    <t>чеснок коэфф.=4</t>
  </si>
  <si>
    <t>В меню все заносится в граммах на 1 человека</t>
  </si>
  <si>
    <t xml:space="preserve">В ведомостях выдачи на день эти цифры умножаются на кол-во человек, </t>
  </si>
  <si>
    <t>которые должны принимать пищу в этот день в этот прием пищи</t>
  </si>
  <si>
    <t>При этом необходимо учитывать:</t>
  </si>
  <si>
    <t xml:space="preserve"> - наличие нужных продуктов на складе</t>
  </si>
  <si>
    <t xml:space="preserve"> - соблюдение норм питания</t>
  </si>
  <si>
    <t xml:space="preserve"> - распределение количества пищи по приемам пищи</t>
  </si>
  <si>
    <t>- на ужин - 375 г.</t>
  </si>
  <si>
    <t xml:space="preserve"> - на обед - 625 г (для приготовления первого блюда - 275 г, - 300 г, второго блюда - 325 г (включая соус);</t>
  </si>
  <si>
    <t>второго обеденного блюда - 300 г (включая соус),</t>
  </si>
  <si>
    <t xml:space="preserve">если же на обед приготовление холодной закуски не предусмотрено, </t>
  </si>
  <si>
    <t xml:space="preserve">то распределение продуктов производится следующим образом: </t>
  </si>
  <si>
    <t xml:space="preserve">овощи к основному гарниру второго блюда (холодная закуска) - 50 г), </t>
  </si>
  <si>
    <t>· Мука пшеничная 2 сорта рекомендована при приготовлении соусов к мясным и рыбным блюдам, а также для панировки рыбы и заправки супов;</t>
  </si>
  <si>
    <t>по приемам пищи не распределяются, а записываются в соответствующих графах строки «Итого за день»;</t>
  </si>
  <si>
    <t>· Вторые мясные блюда готовятся в вареном, жареном или тушеном виде;</t>
  </si>
  <si>
    <t>крупы и макароны коэфф.= 5</t>
  </si>
  <si>
    <t>овощи и зелень коэфф.=1</t>
  </si>
  <si>
    <t>горошек, фасоль, бобовые конс. коэфф.=2,5</t>
  </si>
  <si>
    <t>овощи конс.коэфф. = 0,75</t>
  </si>
  <si>
    <t xml:space="preserve"> - на завтрак - 375 г;</t>
  </si>
  <si>
    <t xml:space="preserve">       для приготовления первого блюда - 300 г, </t>
  </si>
  <si>
    <t xml:space="preserve">       второго блюда - 325 г (включая соус);</t>
  </si>
  <si>
    <t xml:space="preserve">Специи (соль, перец, лавровый лист, горчичный порошок) </t>
  </si>
  <si>
    <t xml:space="preserve"> = сумма группы мясо -рыба</t>
  </si>
  <si>
    <t xml:space="preserve"> = сумма молочной группы</t>
  </si>
  <si>
    <t xml:space="preserve">Сахар планируется на завтрак и ужин при приготовлении чая по 15 г., </t>
  </si>
  <si>
    <t xml:space="preserve">при этом по 15 г., при приготовлении компота на обед и чая на завтрак и ужин сахар закладывается на завтрак - 10 г, </t>
  </si>
  <si>
    <t xml:space="preserve">на обед - 10 г, на ужин - 10 г. Причем сахар закладывается в котел в полном объеме. </t>
  </si>
  <si>
    <t xml:space="preserve">Суточные нормы мяса и рыбы необходимо планировать к выдаче в один прием пищи следующим образом: </t>
  </si>
  <si>
    <t>рыба - на завтрак или ужин, мясо - на обед ко второму блюду</t>
  </si>
  <si>
    <t xml:space="preserve">Первые блюда в ассортименте приготавливаются на основе мясокостного бульона, кроме случаев, </t>
  </si>
  <si>
    <t>когда планируется использование при приготовлении сосисок, консервированной продукции из мяса и других продуктов, разрешается приготовление рыбных супов;</t>
  </si>
  <si>
    <t xml:space="preserve">· Яйцо куриное распределяется в зависимости от запланированных блюд и нормы питания по одному яйцу </t>
  </si>
  <si>
    <t>на завтрак в вареном неочищенном виде, по 0,5 яйца разрешается использовать только для приготовления крупяных и овощных запеканок;</t>
  </si>
  <si>
    <t xml:space="preserve">· Молоко используется для приготовления молочных каш либо выдается в натуральном виде на завтрак. </t>
  </si>
  <si>
    <t>Молоко может использоваться для приготовления молочных каш, добавления в кофейный напиток, также может выдаваться в натуральном виде на полдник;</t>
  </si>
  <si>
    <t xml:space="preserve">· Расчетный выход готовых блюд указывается в графе «Вес готового блюда», включая массу готового мяса, рыбы и соуса, </t>
  </si>
  <si>
    <t>отдельной графой указывается «Вес мясной и рыбной порции»;</t>
  </si>
  <si>
    <t xml:space="preserve">· Объем первых блюд должен составлять 0,5-0,6 л, для беременных женщин и кормящих матерей - 0,25-0,3 л, </t>
  </si>
  <si>
    <t>в зависимости от массы закладываемых в котел продуктов после их первичной обработки. При этом масса густой части может составлять 40-50% общей массы первого блюда;</t>
  </si>
  <si>
    <t>· В целях рационального распределения продуктов по приемам пищи и облегчения составления меню-раскладки продуктов</t>
  </si>
  <si>
    <t xml:space="preserve"> применяются постоянный суммарный набор продуктов овоще-крупяной группы (Далее – ОКГ) для первых и вторых блюд, а также овощи к основному гарниру.</t>
  </si>
  <si>
    <t xml:space="preserve">При составлении меню-раскладки необходимо полностью, без каких-либо сокращений указывать наименования блюд </t>
  </si>
  <si>
    <t xml:space="preserve">(«Салат витаминный», «Щи из свежей капусты», «Гуляш из мяса говядины с макаронами отварными, соус», </t>
  </si>
  <si>
    <t>«Рыба, навага жареная, с картофельным пюре», «Компот из сухофруктов»);</t>
  </si>
  <si>
    <t>Методика и формулы расчета</t>
  </si>
  <si>
    <t>Подлежит отпуску, кг</t>
  </si>
  <si>
    <t>Всего за день, кг</t>
  </si>
  <si>
    <t>№ сводной ведомости:</t>
  </si>
  <si>
    <t>Есть данные за период:</t>
  </si>
  <si>
    <t>Консервы овощ. закусочные, лечо</t>
  </si>
  <si>
    <t>Мука пшеничная 1 с</t>
  </si>
  <si>
    <t>Хлеб из муки пш. 1 сорта</t>
  </si>
  <si>
    <t>Молоко сгущ.</t>
  </si>
  <si>
    <t>Рыба с/м</t>
  </si>
  <si>
    <t>Мука 1с</t>
  </si>
  <si>
    <t>Хлеб из смеси рж. и пш. муки 1 с (корабли)</t>
  </si>
  <si>
    <t>Мол.прод.Сыр плавленый</t>
  </si>
  <si>
    <t>Мол.прод.Творог 9% весовой</t>
  </si>
  <si>
    <t>Рыбн.конс. Сельдь</t>
  </si>
  <si>
    <t>Рыба с/м б/г</t>
  </si>
  <si>
    <t>Дрожжи сушеные</t>
  </si>
  <si>
    <t>Пельмени</t>
  </si>
  <si>
    <t>Смесь сухофруктов</t>
  </si>
  <si>
    <t>Какао</t>
  </si>
  <si>
    <t>Наим. из накладной/рецепта</t>
  </si>
  <si>
    <t>Греча</t>
  </si>
  <si>
    <t>Крупа гречневая</t>
  </si>
  <si>
    <t>Крупа овсяная</t>
  </si>
  <si>
    <t>Крупа (перловая, рис)</t>
  </si>
  <si>
    <t>Крупа (рис, перловая, пшено)</t>
  </si>
  <si>
    <t>Крупа (пшено, перловая)</t>
  </si>
  <si>
    <t>Крупа (пшено, рис)</t>
  </si>
  <si>
    <t>Крупа рисовая</t>
  </si>
  <si>
    <t>Фасоль сухая</t>
  </si>
  <si>
    <t>Мука пшеничная</t>
  </si>
  <si>
    <t>панировочные сухари</t>
  </si>
  <si>
    <t>Сухари</t>
  </si>
  <si>
    <t>Сухари или мука</t>
  </si>
  <si>
    <t>Хлеб пшеничный</t>
  </si>
  <si>
    <t>Горошек зеленый конс.</t>
  </si>
  <si>
    <t>Зеленый горошек конс.</t>
  </si>
  <si>
    <t>Кукуруза консервир.</t>
  </si>
  <si>
    <t>Лук зеленый</t>
  </si>
  <si>
    <t>Капуста маринованная</t>
  </si>
  <si>
    <t>Лук</t>
  </si>
  <si>
    <t>Огурцы консерв</t>
  </si>
  <si>
    <t>Огурцы свежие</t>
  </si>
  <si>
    <t>Перец свежий</t>
  </si>
  <si>
    <t>Помидоры свежие</t>
  </si>
  <si>
    <t>Помидоры солёные/ консервирован.</t>
  </si>
  <si>
    <t>Молоко сгущеное с сахар.</t>
  </si>
  <si>
    <t>Сыр сычужный</t>
  </si>
  <si>
    <t>Масло сливочное</t>
  </si>
  <si>
    <t>Молоко коровье 3,2%</t>
  </si>
  <si>
    <t>Говядина б/к</t>
  </si>
  <si>
    <t>Говядина н/к 1 кат</t>
  </si>
  <si>
    <t>Консервы мясные "Говядина тушеная"</t>
  </si>
  <si>
    <t>Мясо говядины 1к</t>
  </si>
  <si>
    <t>Печень говяжья</t>
  </si>
  <si>
    <t>Сердце говяжье</t>
  </si>
  <si>
    <t>Рыба консервированная</t>
  </si>
  <si>
    <t>Консервы мясные "Мясо птицы в собственном соку"</t>
  </si>
  <si>
    <t>Свинина н/к</t>
  </si>
  <si>
    <t>Пельмени п/ф</t>
  </si>
  <si>
    <t>горбуша б/г</t>
  </si>
  <si>
    <t>Горбуша с/г</t>
  </si>
  <si>
    <t>навага</t>
  </si>
  <si>
    <t>пикша</t>
  </si>
  <si>
    <t>Рыба с/м б/г (треска, пикша)</t>
  </si>
  <si>
    <t>сайда</t>
  </si>
  <si>
    <t>сом с/г</t>
  </si>
  <si>
    <t>хек</t>
  </si>
  <si>
    <t>щука б/г</t>
  </si>
  <si>
    <t>щука с/г</t>
  </si>
  <si>
    <t>Колбаса вареная</t>
  </si>
  <si>
    <t>Сардельки</t>
  </si>
  <si>
    <t>Сосиски</t>
  </si>
  <si>
    <t>Консервы мясные "Свинина тушеная"</t>
  </si>
  <si>
    <t>Вода для соуса</t>
  </si>
  <si>
    <t>Вода или бульон</t>
  </si>
  <si>
    <t>Вода или бульон для соуса</t>
  </si>
  <si>
    <t>Горчица столовая</t>
  </si>
  <si>
    <t>Какао-порошок</t>
  </si>
  <si>
    <t>Кофе черный растворимый</t>
  </si>
  <si>
    <t>Перец черный</t>
  </si>
  <si>
    <t>Смесь сухофруктов (груши, изюм, чернослив, курага и т.д.)</t>
  </si>
  <si>
    <t>Уксус 9%</t>
  </si>
  <si>
    <t>Чай черный</t>
  </si>
  <si>
    <t>Фрукты свежие яблоки или груши</t>
  </si>
  <si>
    <t>Капуста квашеная</t>
  </si>
  <si>
    <t>Капуста свежая</t>
  </si>
  <si>
    <t>Прочие 1</t>
  </si>
  <si>
    <t>Овощи 1</t>
  </si>
  <si>
    <t>Овощи 2</t>
  </si>
  <si>
    <t>Первовая</t>
  </si>
  <si>
    <t>Горошек консерв.</t>
  </si>
  <si>
    <t>Капуста консерв.</t>
  </si>
  <si>
    <t>Кукуруза консерв.</t>
  </si>
  <si>
    <t>Огурцы консерв.</t>
  </si>
  <si>
    <t>Помидоры консерв.</t>
  </si>
  <si>
    <t>Укроп</t>
  </si>
  <si>
    <t>Фасоль консерв.</t>
  </si>
  <si>
    <t>Говядина консерв.</t>
  </si>
  <si>
    <t>Говядина н/к</t>
  </si>
  <si>
    <t>Горбуша б/г</t>
  </si>
  <si>
    <t>Камбала</t>
  </si>
  <si>
    <t>Навага</t>
  </si>
  <si>
    <t>Печень</t>
  </si>
  <si>
    <t>Пикша</t>
  </si>
  <si>
    <t>Рыба с/м Сайда с/г</t>
  </si>
  <si>
    <t>Рыба с/м треска</t>
  </si>
  <si>
    <t>Сайда</t>
  </si>
  <si>
    <t>Свинина консерв.</t>
  </si>
  <si>
    <t>Сердце</t>
  </si>
  <si>
    <t>Сом с/г</t>
  </si>
  <si>
    <t>Судак с/г</t>
  </si>
  <si>
    <t>Треска</t>
  </si>
  <si>
    <t>Хек</t>
  </si>
  <si>
    <t>Щука б/г</t>
  </si>
  <si>
    <t>Щука с/г</t>
  </si>
  <si>
    <t>Яйцо 1/13</t>
  </si>
  <si>
    <t>Груши свежие</t>
  </si>
  <si>
    <t>Крупа 2</t>
  </si>
  <si>
    <t>Мучное 2</t>
  </si>
  <si>
    <t>Молочное 1</t>
  </si>
  <si>
    <t>Молочное 2</t>
  </si>
  <si>
    <t>Жиры 2</t>
  </si>
  <si>
    <t>Мясо</t>
  </si>
  <si>
    <t>Мясо 1</t>
  </si>
  <si>
    <t>Мясо 2</t>
  </si>
  <si>
    <t>П/ф</t>
  </si>
  <si>
    <t>Полуфабрикаты 1</t>
  </si>
  <si>
    <t>Рыба</t>
  </si>
  <si>
    <t>Рыба 1</t>
  </si>
  <si>
    <t>Яйцо и специи</t>
  </si>
  <si>
    <t>Яйцо и специи 1</t>
  </si>
  <si>
    <t>Прочие 2</t>
  </si>
  <si>
    <t>Сладости и фрукты 1</t>
  </si>
  <si>
    <t>Сладости и фрукты 2</t>
  </si>
  <si>
    <t>№ в группе продуктов</t>
  </si>
  <si>
    <t>литр</t>
  </si>
  <si>
    <t>Минтай</t>
  </si>
  <si>
    <t>сайда б/г</t>
  </si>
  <si>
    <t>сайда с/г</t>
  </si>
  <si>
    <t>Треска б/г</t>
  </si>
  <si>
    <t>хек б/г</t>
  </si>
  <si>
    <t>Яйцо куриное</t>
  </si>
  <si>
    <t>Яйцо куриное 1/13 шт</t>
  </si>
  <si>
    <t>Груши</t>
  </si>
  <si>
    <t>Яблоки</t>
  </si>
  <si>
    <t>Норма №</t>
  </si>
  <si>
    <t>блюда</t>
  </si>
  <si>
    <t xml:space="preserve">ТЕХНИКО-ТЕХНОЛОГИЧЕСКАЯ  КАРТА  № </t>
  </si>
  <si>
    <t>Блюдо</t>
  </si>
  <si>
    <t>наим.станд.</t>
  </si>
  <si>
    <t>1. Первые блюда</t>
  </si>
  <si>
    <t>2.26</t>
  </si>
  <si>
    <t>Cуп-лапша домашняя</t>
  </si>
  <si>
    <t>Выход готового блюда</t>
  </si>
  <si>
    <t>2.4</t>
  </si>
  <si>
    <t>Борщ волынский</t>
  </si>
  <si>
    <t>2.2</t>
  </si>
  <si>
    <t>Борщ из квашенной капусты</t>
  </si>
  <si>
    <t>2.1</t>
  </si>
  <si>
    <t>2.5</t>
  </si>
  <si>
    <t>Борщ львовский</t>
  </si>
  <si>
    <t>2.3</t>
  </si>
  <si>
    <t>Борщ московский</t>
  </si>
  <si>
    <t>2.6</t>
  </si>
  <si>
    <t>Борщ сибирский</t>
  </si>
  <si>
    <t>2.8</t>
  </si>
  <si>
    <t>Борщ украинский</t>
  </si>
  <si>
    <t>2.7</t>
  </si>
  <si>
    <t>Борщ флотский</t>
  </si>
  <si>
    <t>2.27</t>
  </si>
  <si>
    <t>Похлебка cтарорусская</t>
  </si>
  <si>
    <t>2.12</t>
  </si>
  <si>
    <t>Рассольник домашний</t>
  </si>
  <si>
    <t>2.13</t>
  </si>
  <si>
    <t>2.14</t>
  </si>
  <si>
    <t>2.30</t>
  </si>
  <si>
    <t>Солянка домашняя</t>
  </si>
  <si>
    <t>2.17</t>
  </si>
  <si>
    <t>2.16</t>
  </si>
  <si>
    <t>Суп картофельный</t>
  </si>
  <si>
    <t>2.19</t>
  </si>
  <si>
    <t>Суп картофельный с горохом</t>
  </si>
  <si>
    <t>2.18</t>
  </si>
  <si>
    <t>Суп картофельный с макаронными изделиями</t>
  </si>
  <si>
    <t>2.20</t>
  </si>
  <si>
    <t>Суп картофельный с фасолью</t>
  </si>
  <si>
    <t>2.15</t>
  </si>
  <si>
    <t>2.32</t>
  </si>
  <si>
    <t>Суп молочный с крупой</t>
  </si>
  <si>
    <t>2.31</t>
  </si>
  <si>
    <t>Суп молочный с макаронными изделиями</t>
  </si>
  <si>
    <t>2.21</t>
  </si>
  <si>
    <t>Суп овощной</t>
  </si>
  <si>
    <t>2.22</t>
  </si>
  <si>
    <t>Суп овощной с зеленым горошком</t>
  </si>
  <si>
    <t>2.28</t>
  </si>
  <si>
    <t>Суп рыбный</t>
  </si>
  <si>
    <t>2.23</t>
  </si>
  <si>
    <t>Суп с клёцками</t>
  </si>
  <si>
    <t>2.24</t>
  </si>
  <si>
    <t>2.25</t>
  </si>
  <si>
    <t>Суп-харчо</t>
  </si>
  <si>
    <t>2.29</t>
  </si>
  <si>
    <t>2.10</t>
  </si>
  <si>
    <t>Щи из квашеной капусты с картофелем</t>
  </si>
  <si>
    <t>2.9</t>
  </si>
  <si>
    <t>Щи из свежей капусты с картофелем</t>
  </si>
  <si>
    <t>2.11</t>
  </si>
  <si>
    <t>2. Вторые блюда</t>
  </si>
  <si>
    <t>3.17 б/к</t>
  </si>
  <si>
    <t>Азу из говядины б/к</t>
  </si>
  <si>
    <t>3.17 н/к</t>
  </si>
  <si>
    <t>Азу из говядины н/к</t>
  </si>
  <si>
    <t>3.65 (только 3)</t>
  </si>
  <si>
    <t>Антрекот (говядина б/к)</t>
  </si>
  <si>
    <t>Антрекот (говядина н/к)</t>
  </si>
  <si>
    <t>3.11 б/к</t>
  </si>
  <si>
    <t>Бефстроганов из говядины б/к</t>
  </si>
  <si>
    <t>3.11 н/к</t>
  </si>
  <si>
    <t>Бефстроганов из говядины н/к</t>
  </si>
  <si>
    <t>3.62 (только 3)</t>
  </si>
  <si>
    <t>Бигус со свежей капустой (сардельки)</t>
  </si>
  <si>
    <t>3.63 (только 3)</t>
  </si>
  <si>
    <t>Бигус со свежей капустой (сосиски)</t>
  </si>
  <si>
    <t>3.20 б/к</t>
  </si>
  <si>
    <t>Бифштекс рубленный б/к</t>
  </si>
  <si>
    <t>3.20 н/к</t>
  </si>
  <si>
    <t>Бифштекс рубленный н/к</t>
  </si>
  <si>
    <t>3.23 н/к</t>
  </si>
  <si>
    <t>Голубцы ленивые (говядина б/к)</t>
  </si>
  <si>
    <t>3.23 б/к</t>
  </si>
  <si>
    <t>Голубцы ленивые (говядина н/к)</t>
  </si>
  <si>
    <t>3.16 б/к</t>
  </si>
  <si>
    <t>Гуляш из говядины б/к</t>
  </si>
  <si>
    <t>3.16 н/к</t>
  </si>
  <si>
    <t>Гуляш из говядины н/к</t>
  </si>
  <si>
    <t>3.29</t>
  </si>
  <si>
    <t>Гуляш из свинины</t>
  </si>
  <si>
    <t>3.51 говядина</t>
  </si>
  <si>
    <t>Жаркое по домашнему с мясными консервами (говядина)</t>
  </si>
  <si>
    <t>3.51 птица</t>
  </si>
  <si>
    <t>Жаркое по домашнему с мясными консервами (птица)</t>
  </si>
  <si>
    <t>3.51 свинина</t>
  </si>
  <si>
    <t>Жаркое по домашнему с мясными консервами (свинина)</t>
  </si>
  <si>
    <t>3.19 н/к</t>
  </si>
  <si>
    <t>Жаркое по-домашнему (говядина б/к)</t>
  </si>
  <si>
    <t>3.19 б/к</t>
  </si>
  <si>
    <t>Жаркое по-домашнему (говядина н/к)</t>
  </si>
  <si>
    <t>3.31</t>
  </si>
  <si>
    <t>Жаркое по-домашнему (свинина)</t>
  </si>
  <si>
    <t>3.56</t>
  </si>
  <si>
    <t>Зразы с луком и яйцом (говядина)</t>
  </si>
  <si>
    <t>Панировочные сухари</t>
  </si>
  <si>
    <t>3.50</t>
  </si>
  <si>
    <t>Колбаса жареная</t>
  </si>
  <si>
    <t>3.49</t>
  </si>
  <si>
    <t>Колбаса отварная</t>
  </si>
  <si>
    <t>3.60 говядина (только 1)</t>
  </si>
  <si>
    <t>Котлета по-домашнему (говядина)</t>
  </si>
  <si>
    <t>3.60 свинина (только 1)</t>
  </si>
  <si>
    <t>Котлета по-домашнему (свинина)</t>
  </si>
  <si>
    <t>3.58 (только 1)</t>
  </si>
  <si>
    <t>Котлеты полтавские</t>
  </si>
  <si>
    <t>3.7.3</t>
  </si>
  <si>
    <t>Котлеты рыбные любительские (минтай)</t>
  </si>
  <si>
    <t>Котлеты рыбные любительские (треска)</t>
  </si>
  <si>
    <t>3.21 н/к</t>
  </si>
  <si>
    <t>Котлеты, биточки, шницели мясные (говядина н/к)</t>
  </si>
  <si>
    <t>3.21 б/к</t>
  </si>
  <si>
    <t>3.32</t>
  </si>
  <si>
    <t>Котлеты, биточки, шницели мясные (свинина)</t>
  </si>
  <si>
    <t>3.59 (только 1)</t>
  </si>
  <si>
    <t>Котлеты, биточки, шницели мясные(говядина 2к)</t>
  </si>
  <si>
    <t>3.7.1</t>
  </si>
  <si>
    <t>Котлеты, биточки, шницель из рыбы (навага)</t>
  </si>
  <si>
    <t>3.7.2</t>
  </si>
  <si>
    <t>Котлеты, биточки, шницель из рыбы (налим)</t>
  </si>
  <si>
    <t>Котлеты, биточки, шницель из рыбы (пикша)</t>
  </si>
  <si>
    <t>Котлеты, биточки, шницель из рыбы (сом)</t>
  </si>
  <si>
    <t>Котлеты, биточки, шницель из рыбы (судак)</t>
  </si>
  <si>
    <t>Котлеты, биточки, шницель из рыбы (треска)</t>
  </si>
  <si>
    <t>Котлеты, биточки, шницель из рыбы (хек)</t>
  </si>
  <si>
    <t>Котлеты, биточки, шницель из рыбы (щука)</t>
  </si>
  <si>
    <t>3.53 говядина</t>
  </si>
  <si>
    <t>Макароны откидные с тушеным мясом консервированным в соусе (говядина)</t>
  </si>
  <si>
    <t>3.53 птица</t>
  </si>
  <si>
    <t>Макароны откидные с тушеным мясом консервированным в соусе (птица)</t>
  </si>
  <si>
    <t>3.53 свинина</t>
  </si>
  <si>
    <t>Макароны откидные с тушеным мясом консервированным в соусе (свинина)</t>
  </si>
  <si>
    <t>3.10 б/к</t>
  </si>
  <si>
    <t>Мясо жареное (говядина б/к)</t>
  </si>
  <si>
    <t>3.10 н/к</t>
  </si>
  <si>
    <t>Мясо жареное (говядина н/к)</t>
  </si>
  <si>
    <t>3.26</t>
  </si>
  <si>
    <t>Мясо жареное (свинина)</t>
  </si>
  <si>
    <t>3.24</t>
  </si>
  <si>
    <t>Мясо запеченное (говядина)</t>
  </si>
  <si>
    <t>3.34</t>
  </si>
  <si>
    <t>Мясо запеченное (свинина)</t>
  </si>
  <si>
    <t>3.9 б/к</t>
  </si>
  <si>
    <t>Мясо отварное (говядина б/к)</t>
  </si>
  <si>
    <t>3.9 н/к</t>
  </si>
  <si>
    <t>Мясо отварное (говядина н/к)</t>
  </si>
  <si>
    <t>3.25</t>
  </si>
  <si>
    <t>Мясо отварное (свинина б/к)</t>
  </si>
  <si>
    <t>Мясо отварное (свинина н/к)</t>
  </si>
  <si>
    <t>3.36</t>
  </si>
  <si>
    <t>Мясо птицы жареное</t>
  </si>
  <si>
    <t>3.35</t>
  </si>
  <si>
    <t>Мясо птицы отварное</t>
  </si>
  <si>
    <t>3.37</t>
  </si>
  <si>
    <t>Мясо птицы тушеное</t>
  </si>
  <si>
    <t>3.15 б/к</t>
  </si>
  <si>
    <t>Мясо тушенное с черносливом (говядина б/к)</t>
  </si>
  <si>
    <t>3.15 н/к</t>
  </si>
  <si>
    <t>Мясо тушенное с черносливом (говядина н/к)</t>
  </si>
  <si>
    <t>3.14 б/к</t>
  </si>
  <si>
    <t>Мясо тушеное (говядина б/к)</t>
  </si>
  <si>
    <t>3.14 н/к</t>
  </si>
  <si>
    <t>Мясо тушеное (говядина н/к)</t>
  </si>
  <si>
    <t>3.52 говядина</t>
  </si>
  <si>
    <t>Мясо тушеное консервированное в соусе (говядина)</t>
  </si>
  <si>
    <t>3.52 птица</t>
  </si>
  <si>
    <t>Мясо тушеное консервированное в соусе (птица)</t>
  </si>
  <si>
    <t>3.52 свинина</t>
  </si>
  <si>
    <t>Мясо тушеное консервированное в соусе (свинина)</t>
  </si>
  <si>
    <t>3.13 б/к</t>
  </si>
  <si>
    <t>Мясо шпигованное (говядина б/к)</t>
  </si>
  <si>
    <t>3.13 н/к</t>
  </si>
  <si>
    <t>Мясо шпигованное (говядина н/к)</t>
  </si>
  <si>
    <t>3.28</t>
  </si>
  <si>
    <t>Мясо шпигованное (свинина)</t>
  </si>
  <si>
    <t>3.44</t>
  </si>
  <si>
    <t>Оладьи из печени</t>
  </si>
  <si>
    <t>3.46</t>
  </si>
  <si>
    <t>Пельмени отварные</t>
  </si>
  <si>
    <t>3.43</t>
  </si>
  <si>
    <t>Печень по-строгановски</t>
  </si>
  <si>
    <t>3.41</t>
  </si>
  <si>
    <t>Печень тушенная в соусе</t>
  </si>
  <si>
    <t>3.42</t>
  </si>
  <si>
    <t>Печень тушенная порционная в соусе</t>
  </si>
  <si>
    <t>3.18 б/к</t>
  </si>
  <si>
    <t>Плов из говядины б/к</t>
  </si>
  <si>
    <t>3.18 н/к</t>
  </si>
  <si>
    <t>Плов из говядины н/к</t>
  </si>
  <si>
    <t>3.39</t>
  </si>
  <si>
    <t>Плов из курицы</t>
  </si>
  <si>
    <t>3.30</t>
  </si>
  <si>
    <t>Плов из свинины</t>
  </si>
  <si>
    <t>3.12 б/к</t>
  </si>
  <si>
    <t>Поджарка из говядины б/к</t>
  </si>
  <si>
    <t>3.12 н/к</t>
  </si>
  <si>
    <t>Поджарка из говядины н/к</t>
  </si>
  <si>
    <t>3.27</t>
  </si>
  <si>
    <t>Поджарка из свинины</t>
  </si>
  <si>
    <t>3.40</t>
  </si>
  <si>
    <t>Рагу из курицы с картофелем</t>
  </si>
  <si>
    <t>Рагу из мяса говядины</t>
  </si>
  <si>
    <t>3.58 (только 3)</t>
  </si>
  <si>
    <t>3.66 (только 3)</t>
  </si>
  <si>
    <t>Ромштекс (говядина б/к)</t>
  </si>
  <si>
    <t>Ромштекс (говядина н/к)</t>
  </si>
  <si>
    <t>3.55</t>
  </si>
  <si>
    <t>Рулет с луком и яйцом (говядина)</t>
  </si>
  <si>
    <t>3.3 горбуша б/г</t>
  </si>
  <si>
    <t>Рыба жареная (горбуша б/г)</t>
  </si>
  <si>
    <t>3.3 горбуша с/г</t>
  </si>
  <si>
    <t>Рыба жареная (горбуша с/г)</t>
  </si>
  <si>
    <t>3.3.камбала</t>
  </si>
  <si>
    <t>Рыба жареная (камбала)</t>
  </si>
  <si>
    <t>3.3.навага</t>
  </si>
  <si>
    <t>Рыба жареная (навага)</t>
  </si>
  <si>
    <t>3.3.пикша</t>
  </si>
  <si>
    <t>Рыба жареная (пикша)</t>
  </si>
  <si>
    <t>3.3.сайда</t>
  </si>
  <si>
    <t>Рыба жареная (сайда)</t>
  </si>
  <si>
    <t>3.3.сом</t>
  </si>
  <si>
    <t>Рыба жареная (сом)</t>
  </si>
  <si>
    <t>3.3.треска</t>
  </si>
  <si>
    <t>Рыба жареная (треска)</t>
  </si>
  <si>
    <t>3.3.хек</t>
  </si>
  <si>
    <t>Рыба жареная (хек)</t>
  </si>
  <si>
    <t>3.3 щука б/г</t>
  </si>
  <si>
    <t>Рыба жареная (щука б/г)</t>
  </si>
  <si>
    <t>3.3 щука с/г</t>
  </si>
  <si>
    <t>Рыба жареная (щука с/г)</t>
  </si>
  <si>
    <t>3.67 (только 3)</t>
  </si>
  <si>
    <t>Рыба жареная по-ленинградски (горбуша с/г)</t>
  </si>
  <si>
    <t>горбуша с/г</t>
  </si>
  <si>
    <t>3.68 (только 3)</t>
  </si>
  <si>
    <t>Рыба жареная по-ленинградски (налим с/г)</t>
  </si>
  <si>
    <t>Рыба жареная по-ленинградски (пикша)</t>
  </si>
  <si>
    <t>Рыба жареная по-ленинградски (сайда б/г)</t>
  </si>
  <si>
    <t>Рыба жареная по-ленинградски (сайда с/г)</t>
  </si>
  <si>
    <t>Рыба жареная по-ленинградски (сом с/г)</t>
  </si>
  <si>
    <t>Рыба жареная по-ленинградски (судак с/г)</t>
  </si>
  <si>
    <t>Рыба жареная по-ленинградски (треска б/г)</t>
  </si>
  <si>
    <t>Рыба жареная по-ленинградски (треска)</t>
  </si>
  <si>
    <t>Рыба жареная по-ленинградски (хек б/г)</t>
  </si>
  <si>
    <t>Рыба жареная по-ленинградски (щука с/г)</t>
  </si>
  <si>
    <t>Рыба запеченая в соусе</t>
  </si>
  <si>
    <t>3.5 горбуша б/г</t>
  </si>
  <si>
    <t>Рыба запеченая в соусе (горбуша б/г)</t>
  </si>
  <si>
    <t>3.5 горбуша с/г</t>
  </si>
  <si>
    <t>Рыба запеченая в соусе (горбуша с/г)</t>
  </si>
  <si>
    <t>3.5.камбала</t>
  </si>
  <si>
    <t>Рыба запеченая в соусе (камбала)</t>
  </si>
  <si>
    <t>3.5.навага</t>
  </si>
  <si>
    <t>Рыба запеченая в соусе (навага)</t>
  </si>
  <si>
    <t>3.5.пикша</t>
  </si>
  <si>
    <t>Рыба запеченая в соусе (пикша)</t>
  </si>
  <si>
    <t>3.5.сайда</t>
  </si>
  <si>
    <t>Рыба запеченая в соусе (сайда)</t>
  </si>
  <si>
    <t>3.5.сом</t>
  </si>
  <si>
    <t>Рыба запеченая в соусе (сом с/г)</t>
  </si>
  <si>
    <t>3.5.треска</t>
  </si>
  <si>
    <t>Рыба запеченая в соусе (треска)</t>
  </si>
  <si>
    <t>3.5.хек</t>
  </si>
  <si>
    <t>Рыба запеченая в соусе (хек)</t>
  </si>
  <si>
    <t>3.5 щука б/г</t>
  </si>
  <si>
    <t>Рыба запеченая в соусе (щука б/г)</t>
  </si>
  <si>
    <t>3.5 щука с/г</t>
  </si>
  <si>
    <t>Рыба запеченая в соусе (щука с/г)</t>
  </si>
  <si>
    <t>3.60 (только 3)</t>
  </si>
  <si>
    <t>Рыба запеченная по-русски (горбуша с/г)</t>
  </si>
  <si>
    <t>Рыба запеченная по-русски (пикша)</t>
  </si>
  <si>
    <t>Рыба запеченная по-русски (сайда б/г)</t>
  </si>
  <si>
    <t>Рыба запеченная по-русски (сайда с/г)</t>
  </si>
  <si>
    <t>Рыба запеченная по-русски (сом)</t>
  </si>
  <si>
    <t>Рыба запеченная по-русски (треска)</t>
  </si>
  <si>
    <t>Рыба запеченная по-русски (хек б/г)</t>
  </si>
  <si>
    <t>Рыба запеченная по-русски (щука с/г)</t>
  </si>
  <si>
    <t>3.1</t>
  </si>
  <si>
    <t>Рыба отварная</t>
  </si>
  <si>
    <t>3.1 горбуша б/г</t>
  </si>
  <si>
    <t>Рыба отварная (горбуша б/г)</t>
  </si>
  <si>
    <t>3.1 горбуша с/г</t>
  </si>
  <si>
    <t>Рыба отварная (горбуша с/г)</t>
  </si>
  <si>
    <t>3.1.камбала</t>
  </si>
  <si>
    <t>Рыба отварная (камбала)</t>
  </si>
  <si>
    <t>3.1.навага</t>
  </si>
  <si>
    <t>Рыба отварная (навага)</t>
  </si>
  <si>
    <t>3.1.пикша</t>
  </si>
  <si>
    <t>Рыба отварная (пикша)</t>
  </si>
  <si>
    <t>3.1.сайда</t>
  </si>
  <si>
    <t>Рыба отварная (сайда)</t>
  </si>
  <si>
    <t>3.1.сом</t>
  </si>
  <si>
    <t>Рыба отварная (сом с/г)</t>
  </si>
  <si>
    <t>3.1.треска</t>
  </si>
  <si>
    <t>Рыба отварная (треска)</t>
  </si>
  <si>
    <t>3.1.хек</t>
  </si>
  <si>
    <t>Рыба отварная (хек)</t>
  </si>
  <si>
    <t>3.1 щука б/г</t>
  </si>
  <si>
    <t>Рыба отварная (щука б/г)</t>
  </si>
  <si>
    <t>3.1 щука с/г</t>
  </si>
  <si>
    <t>Рыба отварная (щука с/г)</t>
  </si>
  <si>
    <t>Рыба под маринадом</t>
  </si>
  <si>
    <t>3.4 горбуша б/г</t>
  </si>
  <si>
    <t>Рыба под маринадом (горбуша б/г)</t>
  </si>
  <si>
    <t>3.4 горбуша с/г</t>
  </si>
  <si>
    <t>Рыба под маринадом (горбуша с/г)</t>
  </si>
  <si>
    <t>3.4.камбала</t>
  </si>
  <si>
    <t>Рыба под маринадом (камбала)</t>
  </si>
  <si>
    <t>3.4.навага</t>
  </si>
  <si>
    <t>Рыба под маринадом (навага)</t>
  </si>
  <si>
    <t>3.4.пикша</t>
  </si>
  <si>
    <t>Рыба под маринадом (пикша)</t>
  </si>
  <si>
    <t>3.4.сайда</t>
  </si>
  <si>
    <t>Рыба под маринадом (сайда)</t>
  </si>
  <si>
    <t>3.4.сом</t>
  </si>
  <si>
    <t>Рыба под маринадом (сом с/г)</t>
  </si>
  <si>
    <t>3.4.треска</t>
  </si>
  <si>
    <t>Рыба под маринадом (треска)</t>
  </si>
  <si>
    <t>3.4.хек</t>
  </si>
  <si>
    <t>Рыба под маринадом (хек)</t>
  </si>
  <si>
    <t>3.4 щука б/г</t>
  </si>
  <si>
    <t>Рыба под маринадом (щука б/г)</t>
  </si>
  <si>
    <t>3.4 щука с/г</t>
  </si>
  <si>
    <t>Рыба под маринадом (щука с/г)</t>
  </si>
  <si>
    <t>Рыба припущенная</t>
  </si>
  <si>
    <t>3.2 горбуша б/г</t>
  </si>
  <si>
    <t>Рыба припущенная (горбуша б/г)</t>
  </si>
  <si>
    <t>3.2 горбуша с/г</t>
  </si>
  <si>
    <t>Рыба припущенная (горбуша с/г)</t>
  </si>
  <si>
    <t>3.2.камбала</t>
  </si>
  <si>
    <t>Рыба припущенная (камбала)</t>
  </si>
  <si>
    <t>3.2.навага</t>
  </si>
  <si>
    <t>Рыба припущенная (навага)</t>
  </si>
  <si>
    <t>3.2.пикша</t>
  </si>
  <si>
    <t>Рыба припущенная (пикша)</t>
  </si>
  <si>
    <t>3.2.сайда</t>
  </si>
  <si>
    <t>Рыба припущенная (сайда)</t>
  </si>
  <si>
    <t>3.2.сом</t>
  </si>
  <si>
    <t>Рыба припущенная (сом с/г)</t>
  </si>
  <si>
    <t>3.2.треска</t>
  </si>
  <si>
    <t>Рыба припущенная (треска)</t>
  </si>
  <si>
    <t>3.2.хек</t>
  </si>
  <si>
    <t>Рыба припущенная (хек)</t>
  </si>
  <si>
    <t>3.2 щука б/г</t>
  </si>
  <si>
    <t>Рыба припущенная (щука б/г)</t>
  </si>
  <si>
    <t>3.2 щука с/г</t>
  </si>
  <si>
    <t>Рыба припущенная (щука с/г)</t>
  </si>
  <si>
    <t>Рыба тушеная в томатном соусе</t>
  </si>
  <si>
    <t>3.6 горбуша б/г</t>
  </si>
  <si>
    <t>Рыба тушеная в томатном соусе (горбуша б/г)</t>
  </si>
  <si>
    <t>3.6 горбуша с/г</t>
  </si>
  <si>
    <t>Рыба тушеная в томатном соусе (горбуша с/г)</t>
  </si>
  <si>
    <t>3.6.камбала</t>
  </si>
  <si>
    <t>Рыба тушеная в томатном соусе (камбала)</t>
  </si>
  <si>
    <t>3.6.навага</t>
  </si>
  <si>
    <t>Рыба тушеная в томатном соусе (навага)</t>
  </si>
  <si>
    <t>3.6.пикша</t>
  </si>
  <si>
    <t>Рыба тушеная в томатном соусе (пикша)</t>
  </si>
  <si>
    <t>3.6.сайда</t>
  </si>
  <si>
    <t>Рыба тушеная в томатном соусе (сайда)</t>
  </si>
  <si>
    <t>3.6.сом</t>
  </si>
  <si>
    <t>Рыба тушеная в томатном соусе (сом с/г)</t>
  </si>
  <si>
    <t>3.6.треска</t>
  </si>
  <si>
    <t>Рыба тушеная в томатном соусе (треска)</t>
  </si>
  <si>
    <t>3.6.хек</t>
  </si>
  <si>
    <t>Рыба тушеная в томатном соусе (хек)</t>
  </si>
  <si>
    <t>3.6 щука б/г</t>
  </si>
  <si>
    <t>Рыба тушеная в томатном соусе (щука б/г)</t>
  </si>
  <si>
    <t>3.6 щука с/г</t>
  </si>
  <si>
    <t>Рыба тушеная в томатном соусе (щука с/г)</t>
  </si>
  <si>
    <t>3.45</t>
  </si>
  <si>
    <t>Сердце говяжье тушеное в соусе</t>
  </si>
  <si>
    <t>3.47</t>
  </si>
  <si>
    <t>Сердце отварное</t>
  </si>
  <si>
    <t>3.48 сосиски</t>
  </si>
  <si>
    <t>Сосиски отварные</t>
  </si>
  <si>
    <t>3.48 сардельки</t>
  </si>
  <si>
    <t>3.8.1</t>
  </si>
  <si>
    <t>Тефтели из рыбы в соусе (навага)</t>
  </si>
  <si>
    <t>Тефтели из рыбы в соусе (пикша)</t>
  </si>
  <si>
    <t>3.8.2</t>
  </si>
  <si>
    <t>Тефтели из рыбы в соусе (сайда)</t>
  </si>
  <si>
    <t>Тефтели из рыбы в соусе (сом)</t>
  </si>
  <si>
    <t>Тефтели из рыбы в соусе (треска)</t>
  </si>
  <si>
    <t>Тефтели из рыбы в соусе (хек)</t>
  </si>
  <si>
    <t>Тефтели из рыбы в соусе (щука)</t>
  </si>
  <si>
    <t>3.33</t>
  </si>
  <si>
    <t>Тефтели мясные (свинина)</t>
  </si>
  <si>
    <t>3.22 б/к</t>
  </si>
  <si>
    <t>Тефтели мясные(говядина б/к)</t>
  </si>
  <si>
    <t>3.22 н/к</t>
  </si>
  <si>
    <t>Тефтели мясные(говядина н/к)</t>
  </si>
  <si>
    <t>3.54 говядина</t>
  </si>
  <si>
    <t>Фасоль отварная с тушеным мясом консервированным в соусе (говядина)</t>
  </si>
  <si>
    <t>3.54 птица</t>
  </si>
  <si>
    <t>Фасоль отварная с тушеным мясом консервированным в соусе (птица)</t>
  </si>
  <si>
    <t>3.54 свинина</t>
  </si>
  <si>
    <t>Фасоль отварная с тушеным мясом консервированным в соусе (свинина)</t>
  </si>
  <si>
    <t>3.61 (только 3)</t>
  </si>
  <si>
    <t>Филе мяса птицы тушеное</t>
  </si>
  <si>
    <t>3.38</t>
  </si>
  <si>
    <t>Чахохбили из куры</t>
  </si>
  <si>
    <t>Шницель из свинины натуральный</t>
  </si>
  <si>
    <t>3.64 (только 3)</t>
  </si>
  <si>
    <t>Эскалоп</t>
  </si>
  <si>
    <t>3. Гарниры</t>
  </si>
  <si>
    <t>4.41</t>
  </si>
  <si>
    <t>Голубцы овощные (ленивые)</t>
  </si>
  <si>
    <t>4.40</t>
  </si>
  <si>
    <t>Запеканка капустная</t>
  </si>
  <si>
    <t>4.32</t>
  </si>
  <si>
    <t>Запеканка картофельная с овощами</t>
  </si>
  <si>
    <t>4.20</t>
  </si>
  <si>
    <t>Запеканка рисовая</t>
  </si>
  <si>
    <t>4.36</t>
  </si>
  <si>
    <t>Капуста квашеная тушеная</t>
  </si>
  <si>
    <t>4.37</t>
  </si>
  <si>
    <t>Капуста свежая жареная</t>
  </si>
  <si>
    <t>4.35</t>
  </si>
  <si>
    <t>Капуста свежая тушеная</t>
  </si>
  <si>
    <t>4.29</t>
  </si>
  <si>
    <t>Картофель запеченный с соусом</t>
  </si>
  <si>
    <t>4.27</t>
  </si>
  <si>
    <t>Картофель отварной</t>
  </si>
  <si>
    <t>4.28</t>
  </si>
  <si>
    <t>Картофель тушеный с овощами</t>
  </si>
  <si>
    <t>4.4</t>
  </si>
  <si>
    <t>Каша гречневая вязкая</t>
  </si>
  <si>
    <t>4.1</t>
  </si>
  <si>
    <t>Каша гречневая рассыпчатая</t>
  </si>
  <si>
    <t>4.7</t>
  </si>
  <si>
    <t>Каша манная вязкая</t>
  </si>
  <si>
    <t>4.11</t>
  </si>
  <si>
    <t>Каша молочная гречневая</t>
  </si>
  <si>
    <t>4.14</t>
  </si>
  <si>
    <t>Каша молочная манная</t>
  </si>
  <si>
    <t>4.15</t>
  </si>
  <si>
    <t>Каша молочная овсяная</t>
  </si>
  <si>
    <t>4.12</t>
  </si>
  <si>
    <t>Каша молочная пшеничная</t>
  </si>
  <si>
    <t>4.13</t>
  </si>
  <si>
    <t>Каша молочная пшенная</t>
  </si>
  <si>
    <t>4.10</t>
  </si>
  <si>
    <t>Каша молочная рисовая</t>
  </si>
  <si>
    <t>4.6</t>
  </si>
  <si>
    <t>Каша овсяная вязкая</t>
  </si>
  <si>
    <t>4.8</t>
  </si>
  <si>
    <t>Каша пшеничная вязкая</t>
  </si>
  <si>
    <t>4.9</t>
  </si>
  <si>
    <t>Каша пшенная вязкая</t>
  </si>
  <si>
    <t>4.3</t>
  </si>
  <si>
    <t>Каша пшенная рассыпчатая</t>
  </si>
  <si>
    <t>4.5</t>
  </si>
  <si>
    <t>Каша рисовая вязкая</t>
  </si>
  <si>
    <t>4.2</t>
  </si>
  <si>
    <t>Каша рисовая рассыпчатая</t>
  </si>
  <si>
    <t>4.38</t>
  </si>
  <si>
    <t>Котлеты капустные</t>
  </si>
  <si>
    <t>4.34</t>
  </si>
  <si>
    <t>Котлеты картофельные</t>
  </si>
  <si>
    <t>4.25</t>
  </si>
  <si>
    <t>Макаронник</t>
  </si>
  <si>
    <t>4.24</t>
  </si>
  <si>
    <t>Макароны запеченные с сыром</t>
  </si>
  <si>
    <t>4.23</t>
  </si>
  <si>
    <t>4.22</t>
  </si>
  <si>
    <t>Макароны откидные</t>
  </si>
  <si>
    <t>4.26</t>
  </si>
  <si>
    <t>Макароны с овощами</t>
  </si>
  <si>
    <t>4.44</t>
  </si>
  <si>
    <t>Овощи припущенные в молочном соусе</t>
  </si>
  <si>
    <t>4.42</t>
  </si>
  <si>
    <t>Овощи тушеные</t>
  </si>
  <si>
    <t>4.39</t>
  </si>
  <si>
    <t>Оладьи капустные с сыром</t>
  </si>
  <si>
    <t>4.33</t>
  </si>
  <si>
    <t>Оладьи картофельные с сыром</t>
  </si>
  <si>
    <t>4.16</t>
  </si>
  <si>
    <t>Плов овощной</t>
  </si>
  <si>
    <t>4.19</t>
  </si>
  <si>
    <t>Пюре из гороха</t>
  </si>
  <si>
    <t>4.30</t>
  </si>
  <si>
    <t>Пюре картофельное</t>
  </si>
  <si>
    <t>4.31</t>
  </si>
  <si>
    <t>Пюре картофельное с морковью</t>
  </si>
  <si>
    <t>4.43</t>
  </si>
  <si>
    <t>Рагу овощное</t>
  </si>
  <si>
    <t>4.21</t>
  </si>
  <si>
    <t>Ризотто</t>
  </si>
  <si>
    <t>4.46</t>
  </si>
  <si>
    <t>Свекла тушеная в сметанном соусе</t>
  </si>
  <si>
    <t>4.45</t>
  </si>
  <si>
    <t>Солянка овощная</t>
  </si>
  <si>
    <t>4.18</t>
  </si>
  <si>
    <t>Фасоль гарнирная в томатном соусе</t>
  </si>
  <si>
    <t>4.17</t>
  </si>
  <si>
    <t>Фасоль отварная</t>
  </si>
  <si>
    <t>4. Салаты</t>
  </si>
  <si>
    <t>1.2</t>
  </si>
  <si>
    <t>Винегрет мясной</t>
  </si>
  <si>
    <t>1.1</t>
  </si>
  <si>
    <t>Винегрет овощной c зеленым луком</t>
  </si>
  <si>
    <t>1.4</t>
  </si>
  <si>
    <t>Винегрет овощной c квашенной капустой</t>
  </si>
  <si>
    <t>1.3</t>
  </si>
  <si>
    <t>Винегрет овощной c репчатым луком</t>
  </si>
  <si>
    <t>1.6</t>
  </si>
  <si>
    <t>Винегрет по-курсантски</t>
  </si>
  <si>
    <t>1.44</t>
  </si>
  <si>
    <t>Икра овощная</t>
  </si>
  <si>
    <t>1.29</t>
  </si>
  <si>
    <t>Икра свекольная</t>
  </si>
  <si>
    <t>1.19</t>
  </si>
  <si>
    <t>1.41</t>
  </si>
  <si>
    <t>Салат "Весенний каприз"</t>
  </si>
  <si>
    <t>1.14</t>
  </si>
  <si>
    <t>Салат витаминный</t>
  </si>
  <si>
    <t>1.15</t>
  </si>
  <si>
    <t>Салат из квашеной капусты</t>
  </si>
  <si>
    <t>1.16</t>
  </si>
  <si>
    <t>Салат из квашеной капусты со свеклой</t>
  </si>
  <si>
    <t>1.20</t>
  </si>
  <si>
    <t>Салат из моркови и зеленого горошка</t>
  </si>
  <si>
    <t>1.18</t>
  </si>
  <si>
    <t>Салат из моркови с чесноком</t>
  </si>
  <si>
    <t>1.7</t>
  </si>
  <si>
    <t>Салат из свежей капусты c морковью</t>
  </si>
  <si>
    <t>1.9</t>
  </si>
  <si>
    <t>Салат из свежей капусты c чесноком</t>
  </si>
  <si>
    <t>1.13</t>
  </si>
  <si>
    <t>Салат из свежей капусты с зеленым горошком</t>
  </si>
  <si>
    <t>1.11</t>
  </si>
  <si>
    <t>Салат из свежей капусты с огурцами</t>
  </si>
  <si>
    <t>1.12</t>
  </si>
  <si>
    <t>Салат из свежей капусты с перцем</t>
  </si>
  <si>
    <t>1.10</t>
  </si>
  <si>
    <t>Салат из свежей капусты с томатами</t>
  </si>
  <si>
    <t>1.8</t>
  </si>
  <si>
    <t>Салат из свежей капусты со свеклой</t>
  </si>
  <si>
    <t>1.17</t>
  </si>
  <si>
    <t>Салат из свежей моркови</t>
  </si>
  <si>
    <t>1.24</t>
  </si>
  <si>
    <t>Салат из свежих овощей</t>
  </si>
  <si>
    <t>1.22</t>
  </si>
  <si>
    <t>Салат из свежих огурцов</t>
  </si>
  <si>
    <t>1.21</t>
  </si>
  <si>
    <t>Салат из свежих томатов</t>
  </si>
  <si>
    <t>1.23</t>
  </si>
  <si>
    <t>Салат из свежих томатов и свежих огурцов</t>
  </si>
  <si>
    <t>1.27</t>
  </si>
  <si>
    <t>Салат из свеклы</t>
  </si>
  <si>
    <t>1.30</t>
  </si>
  <si>
    <t>Салат из свеклы с зеленым горошком</t>
  </si>
  <si>
    <t>1.31</t>
  </si>
  <si>
    <t>Салат из свеклы с солеными огурцами</t>
  </si>
  <si>
    <t>1.28</t>
  </si>
  <si>
    <t>Салат из свеклы с чесноком</t>
  </si>
  <si>
    <t>1.25</t>
  </si>
  <si>
    <t>Салат из соленых огурцов</t>
  </si>
  <si>
    <t>1.26</t>
  </si>
  <si>
    <t>Салат из соленых томатов</t>
  </si>
  <si>
    <t>1.34</t>
  </si>
  <si>
    <t>Салат картофельный с зеленым горошком</t>
  </si>
  <si>
    <t>1.32</t>
  </si>
  <si>
    <t>Салат картофельный с морковью</t>
  </si>
  <si>
    <t>1.33</t>
  </si>
  <si>
    <t>Салат картофельный с солеными огурцами</t>
  </si>
  <si>
    <t>1.42</t>
  </si>
  <si>
    <t>Салат минский</t>
  </si>
  <si>
    <t>Салат мясной</t>
  </si>
  <si>
    <t>1.35.1</t>
  </si>
  <si>
    <t>Салат овощной</t>
  </si>
  <si>
    <t>1.35</t>
  </si>
  <si>
    <t>Салат овощной с зеленым горошком</t>
  </si>
  <si>
    <t>1.38</t>
  </si>
  <si>
    <t>Салат рыбный</t>
  </si>
  <si>
    <t>1.39</t>
  </si>
  <si>
    <t>Салат рыбный с рисом</t>
  </si>
  <si>
    <t>1.37</t>
  </si>
  <si>
    <t>Сельдь под шубой</t>
  </si>
  <si>
    <t>1.5</t>
  </si>
  <si>
    <t>Сельдь с винегретом</t>
  </si>
  <si>
    <t>1.36</t>
  </si>
  <si>
    <t>Сельдь с гарниром (морковь, картофель, лук )</t>
  </si>
  <si>
    <t>1.43</t>
  </si>
  <si>
    <t>Яйцо вареное в крутую</t>
  </si>
  <si>
    <t>5. Напитки</t>
  </si>
  <si>
    <t>7.1</t>
  </si>
  <si>
    <t>Какао с молоком</t>
  </si>
  <si>
    <t>7.2</t>
  </si>
  <si>
    <t>Компот из свежих фруктов (груши)</t>
  </si>
  <si>
    <t>Компот из свежих фруктов (яблоки)</t>
  </si>
  <si>
    <t>7.3</t>
  </si>
  <si>
    <t>Компот из сухофруктов</t>
  </si>
  <si>
    <t>7.4</t>
  </si>
  <si>
    <t>Кофе чёрный растворимый</t>
  </si>
  <si>
    <t>7.5</t>
  </si>
  <si>
    <t>Кофе чёрный растворимый с молоком</t>
  </si>
  <si>
    <t>7.6</t>
  </si>
  <si>
    <t>Кофе чёрный растворимый с молоком сгущеным</t>
  </si>
  <si>
    <t>7.7</t>
  </si>
  <si>
    <t>Молоко кипячёное</t>
  </si>
  <si>
    <t>7.8</t>
  </si>
  <si>
    <t>Чай с сахаром</t>
  </si>
  <si>
    <t>6. Соус</t>
  </si>
  <si>
    <t>5.11</t>
  </si>
  <si>
    <t xml:space="preserve">Горчица столовая </t>
  </si>
  <si>
    <t>5.5</t>
  </si>
  <si>
    <t xml:space="preserve">Соус белый основной </t>
  </si>
  <si>
    <t>5.1</t>
  </si>
  <si>
    <t xml:space="preserve">Соус красный основной </t>
  </si>
  <si>
    <t>5.4</t>
  </si>
  <si>
    <t>Соус красный с луком и огурцами</t>
  </si>
  <si>
    <t>5.2</t>
  </si>
  <si>
    <t>Соус луковый</t>
  </si>
  <si>
    <t>5.3</t>
  </si>
  <si>
    <t xml:space="preserve">Соус луковый c горчицей </t>
  </si>
  <si>
    <t>5.9</t>
  </si>
  <si>
    <t xml:space="preserve">Соус молочный </t>
  </si>
  <si>
    <t>5.10</t>
  </si>
  <si>
    <t xml:space="preserve">Соус польский </t>
  </si>
  <si>
    <t>5.7</t>
  </si>
  <si>
    <t>Соус сметанный</t>
  </si>
  <si>
    <t>5.8</t>
  </si>
  <si>
    <t>Соус сметанный c томатом и луком</t>
  </si>
  <si>
    <t>5.6</t>
  </si>
  <si>
    <t xml:space="preserve">Соус томатный </t>
  </si>
  <si>
    <t>Стандартные наименования продуктов</t>
  </si>
  <si>
    <t>Подписи для документов</t>
  </si>
  <si>
    <t>Преобразование продуктов в стандартные</t>
  </si>
  <si>
    <t>Рецепты норма 3</t>
  </si>
  <si>
    <t>8. Отдельные продукты</t>
  </si>
  <si>
    <t>Сардельки отварные</t>
  </si>
  <si>
    <t>Наименование продукта из рецепта</t>
  </si>
  <si>
    <t>Напитки</t>
  </si>
  <si>
    <t>Соус</t>
  </si>
  <si>
    <t>Отдельные_продукты</t>
  </si>
  <si>
    <t>Гарниры_Каши_и_макароны</t>
  </si>
  <si>
    <t>Гарниры_Прочие</t>
  </si>
  <si>
    <t>Салаты_Прочие</t>
  </si>
  <si>
    <t>Салаты_С_капустой_или_картофелем</t>
  </si>
  <si>
    <t>Салаты_Со_свеклой</t>
  </si>
  <si>
    <t>Первые_блюда_Борщи_или_щи</t>
  </si>
  <si>
    <t>Первые_блюда_Прочие</t>
  </si>
  <si>
    <t>Вторые_блюда_С_говядиной</t>
  </si>
  <si>
    <t>Вторые_блюда_С_пф_или_субпродуктами</t>
  </si>
  <si>
    <t>Вторые_блюда_С_птицей</t>
  </si>
  <si>
    <t>Вторые_блюда_С_рыбой</t>
  </si>
  <si>
    <t>Вторые_блюда_Со_свининой</t>
  </si>
  <si>
    <t>Котлеты, биточки, шницели мясные (говядина б/к)</t>
  </si>
  <si>
    <t>Рыба жареная по-ленинградски (сом б/г)</t>
  </si>
  <si>
    <t>Сом б/г</t>
  </si>
  <si>
    <t>Рыба жареная по-ленинградски (щука б/г)</t>
  </si>
  <si>
    <t>Выход мясной/рыбной порции</t>
  </si>
  <si>
    <t>Выход готового блюда с соусом</t>
  </si>
  <si>
    <t>Рыба отварная (сом б/г)</t>
  </si>
  <si>
    <t>Рыба припущенная (сом б/г)</t>
  </si>
  <si>
    <t>Камбала б/г</t>
  </si>
  <si>
    <t>Минтай б/г</t>
  </si>
  <si>
    <t>Навага б/г</t>
  </si>
  <si>
    <t>Налим б/г</t>
  </si>
  <si>
    <t>Пикша б/г</t>
  </si>
  <si>
    <t>Сайда б/г</t>
  </si>
  <si>
    <t>Сайда с/г</t>
  </si>
  <si>
    <t>Хек б/г</t>
  </si>
  <si>
    <t>Треска с/г</t>
  </si>
  <si>
    <t>Навага с/г</t>
  </si>
  <si>
    <t>Камбала с/г</t>
  </si>
  <si>
    <t>Сельдь б/г</t>
  </si>
  <si>
    <t>Сельдь с/г</t>
  </si>
  <si>
    <t>Судак б/г</t>
  </si>
  <si>
    <t>Пикша с/г</t>
  </si>
  <si>
    <t>Хек с/г</t>
  </si>
  <si>
    <t>Минтай с/г</t>
  </si>
  <si>
    <t>камбала с/г</t>
  </si>
  <si>
    <t>камбала б/г</t>
  </si>
  <si>
    <t>треска с/г</t>
  </si>
  <si>
    <t>хек с/г</t>
  </si>
  <si>
    <t>Сельдь с/с с/г</t>
  </si>
  <si>
    <t>Рыба с/м треска с/г</t>
  </si>
  <si>
    <t>1.40 (говядина н/к)</t>
  </si>
  <si>
    <t>1.40 (говядина б/к)</t>
  </si>
  <si>
    <t>Салат мясной (говядина б/к)</t>
  </si>
  <si>
    <t>Салат мясной (говядина н/к)</t>
  </si>
  <si>
    <t>Яйцо (шт)</t>
  </si>
  <si>
    <t>Яйцо (гр)</t>
  </si>
  <si>
    <t>Пшеничная</t>
  </si>
  <si>
    <t>Порядок</t>
  </si>
  <si>
    <t>№ в списке</t>
  </si>
  <si>
    <t>Наличие</t>
  </si>
  <si>
    <t>Рассольник ленинградский (перловка)</t>
  </si>
  <si>
    <t>Рассольник ленинградский (рис)</t>
  </si>
  <si>
    <t>Суп (полевой) картофельный с рисом</t>
  </si>
  <si>
    <t>Суп (полевой) картофельный с пшеном</t>
  </si>
  <si>
    <t>Суп (полевой) картофельный с перловкой</t>
  </si>
  <si>
    <t>Суп крестьянский с перловкой</t>
  </si>
  <si>
    <t>Суп крестьянский с пшеном</t>
  </si>
  <si>
    <t>Суп рыбный с перловкой</t>
  </si>
  <si>
    <t>Суп рыбный с пшеном</t>
  </si>
  <si>
    <t>Суп рыбный с рисом</t>
  </si>
  <si>
    <t>Щи по-уральски с пшеном</t>
  </si>
  <si>
    <t>Щи по-уральски с перловкой</t>
  </si>
  <si>
    <t>Рассольник рыбный (пикша)</t>
  </si>
  <si>
    <t>Рассольник рыбный (треска)</t>
  </si>
  <si>
    <t>Суп молочный с пшеном</t>
  </si>
  <si>
    <t>Суп молочный с рисом</t>
  </si>
  <si>
    <t>Уха (пикша)</t>
  </si>
  <si>
    <t>Уха (треска)</t>
  </si>
  <si>
    <t>Расход за понедельник</t>
  </si>
  <si>
    <t>Расход за вторник</t>
  </si>
  <si>
    <t>Расход за среду</t>
  </si>
  <si>
    <t>Расход за четверг</t>
  </si>
  <si>
    <t>Расход за пятницу</t>
  </si>
  <si>
    <t>Расход за субботу</t>
  </si>
  <si>
    <t>Расход за воскресенье</t>
  </si>
  <si>
    <t>Последний приход:</t>
  </si>
  <si>
    <t>Последний расход:</t>
  </si>
  <si>
    <t>Ввести дату - начало недели</t>
  </si>
  <si>
    <t>Ввести номер ведомости на понедельник</t>
  </si>
  <si>
    <t>Ввести номер сводной ведомости</t>
  </si>
  <si>
    <t>(D6)</t>
  </si>
  <si>
    <t>Ввести приход в "Лист3 учета"</t>
  </si>
  <si>
    <t>Меню:</t>
  </si>
  <si>
    <t>Выбрать блюда на день с учетом наличия продуктов и норм питания</t>
  </si>
  <si>
    <t>Убедиться, что остатки за прошлую неделю перенесены в книгу учета</t>
  </si>
  <si>
    <t>выбор наим.продукта</t>
  </si>
  <si>
    <t>расчет наличия</t>
  </si>
  <si>
    <t>расчет остатка</t>
  </si>
  <si>
    <t>выбор порядкового № продукта</t>
  </si>
  <si>
    <t>Ведомость понедельник</t>
  </si>
  <si>
    <t>Меню на неделю</t>
  </si>
  <si>
    <t>Учет прихода и расхода</t>
  </si>
  <si>
    <t>1</t>
  </si>
  <si>
    <t>5</t>
  </si>
  <si>
    <t>Проверить, что все остатки перенесены из меню</t>
  </si>
  <si>
    <t>Сформировать книгу учета</t>
  </si>
  <si>
    <t>ед.изм.</t>
  </si>
  <si>
    <t>Значений меньше нуля в строке:</t>
  </si>
  <si>
    <t>Компот из готовой смеси сухофруктов</t>
  </si>
  <si>
    <t>Для каждого нажать кнопку расчет расхода продуктов</t>
  </si>
  <si>
    <t>Восстановить формулы в Книге Учета:</t>
  </si>
  <si>
    <t>Укажите предполагаемое количество военнослужащих:</t>
  </si>
  <si>
    <t>Приход
(здесь вводить)</t>
  </si>
  <si>
    <t>Дополнить формулы</t>
  </si>
  <si>
    <t>Ед. изм.</t>
  </si>
  <si>
    <t>Наименование из накладной (здесь вводить)</t>
  </si>
  <si>
    <t>Дата записи (здесь вводить)</t>
  </si>
  <si>
    <t>Итого приход/расход за период</t>
  </si>
  <si>
    <t>2.2 (свой)</t>
  </si>
  <si>
    <t>Борщ (свой)</t>
  </si>
  <si>
    <t>2.12а (свой)</t>
  </si>
  <si>
    <t>Рассольник (свой)</t>
  </si>
  <si>
    <t>2.12 (свой)</t>
  </si>
  <si>
    <t>Рассольник домашний (свой)</t>
  </si>
  <si>
    <t>2.13 (свой)</t>
  </si>
  <si>
    <t>Рассольник ленинградский (свой)</t>
  </si>
  <si>
    <t>2.16 (свой)</t>
  </si>
  <si>
    <t>Суп картофельный (свой)</t>
  </si>
  <si>
    <t>2.19 (свой)</t>
  </si>
  <si>
    <t>Суп картофельный с крупой (свой)</t>
  </si>
  <si>
    <t>2.18 (свой)</t>
  </si>
  <si>
    <t>Суп картофельный с макаронными изделиями (свой)</t>
  </si>
  <si>
    <t>2.15 (свой)</t>
  </si>
  <si>
    <t>Суп крестьянский с крупой (свой)</t>
  </si>
  <si>
    <t>2.21 (свой)</t>
  </si>
  <si>
    <t>Суп овощной (свой)</t>
  </si>
  <si>
    <t>Суп пшенный с горохом (свой)</t>
  </si>
  <si>
    <t>2.11 (свой)</t>
  </si>
  <si>
    <t>Щи из квашенной капусты с крупой (свой)</t>
  </si>
  <si>
    <t>2.10 (свой)</t>
  </si>
  <si>
    <t>Щи из квашеной капусты с картофелем (свой)</t>
  </si>
  <si>
    <t>2.9 (свой)</t>
  </si>
  <si>
    <t>Щи из свежей капусты с картофелем (свой)</t>
  </si>
  <si>
    <t>1.3 (свой)</t>
  </si>
  <si>
    <t>Винегрет (свой рецепт)</t>
  </si>
  <si>
    <t>1.44 (свой)</t>
  </si>
  <si>
    <t>Икра из соленых помидоров (свой)</t>
  </si>
  <si>
    <t>1.29 (свой)</t>
  </si>
  <si>
    <t>Икра свекольная (свой)</t>
  </si>
  <si>
    <t>1.27а (свой)</t>
  </si>
  <si>
    <t>Маринованная свекла (свой)</t>
  </si>
  <si>
    <t>1.14 (свой)</t>
  </si>
  <si>
    <t>Салат витаминный (свой)</t>
  </si>
  <si>
    <t>1.7 (свой)</t>
  </si>
  <si>
    <t>Салат из белокачанной капусты (свой)</t>
  </si>
  <si>
    <t>1.15 (свой)</t>
  </si>
  <si>
    <t>Салат из квашеной капусты (свой)</t>
  </si>
  <si>
    <t>1.16 (свой)</t>
  </si>
  <si>
    <t>Салат из квашеной капусты со свеклой (свой)</t>
  </si>
  <si>
    <t>1.24 (свой)</t>
  </si>
  <si>
    <t>Салат из свежих овощей (свой)</t>
  </si>
  <si>
    <t>1.27 (свой)</t>
  </si>
  <si>
    <t>Салат из свеклы (свой)</t>
  </si>
  <si>
    <t>1.25 (свой)</t>
  </si>
  <si>
    <t>Салат из соленых огурцов (свой)</t>
  </si>
  <si>
    <t>1.26 (свой)</t>
  </si>
  <si>
    <t>Салат из соленых помидоров (свой)</t>
  </si>
  <si>
    <t>1.32 (свой)</t>
  </si>
  <si>
    <t>Салат картофельный (свой)</t>
  </si>
  <si>
    <t>1.33 (свой)</t>
  </si>
  <si>
    <t>Салат картофельный с огурцами (свой)</t>
  </si>
  <si>
    <t>1.35.1 (свой)</t>
  </si>
  <si>
    <t>Салат овощной (свой)</t>
  </si>
  <si>
    <t>мичман  А.Матяш</t>
  </si>
  <si>
    <t>сводная ведомость</t>
  </si>
  <si>
    <t>подписи</t>
  </si>
  <si>
    <t>за понедельник</t>
  </si>
  <si>
    <t>за вторник</t>
  </si>
  <si>
    <t>за среду</t>
  </si>
  <si>
    <t>за четверг</t>
  </si>
  <si>
    <t>за пятницу</t>
  </si>
  <si>
    <t>за субботу</t>
  </si>
  <si>
    <t>за воскр.</t>
  </si>
  <si>
    <t>за всю неделю</t>
  </si>
  <si>
    <t>Сводная накладная готова 31.07.2023</t>
  </si>
  <si>
    <t xml:space="preserve"> в 21:31:00</t>
  </si>
  <si>
    <t xml:space="preserve"> в 21:32:19</t>
  </si>
  <si>
    <t xml:space="preserve"> в 21:38:59</t>
  </si>
  <si>
    <t xml:space="preserve"> в 22:08:36</t>
  </si>
  <si>
    <t xml:space="preserve"> в 22:11:52</t>
  </si>
  <si>
    <t xml:space="preserve"> в 22:20:06</t>
  </si>
  <si>
    <t xml:space="preserve"> в 22:32:56</t>
  </si>
  <si>
    <t>среднее за день</t>
  </si>
  <si>
    <t>на чай</t>
  </si>
  <si>
    <t>tue</t>
  </si>
  <si>
    <t>wen</t>
  </si>
  <si>
    <t>thur</t>
  </si>
  <si>
    <t>fri</t>
  </si>
  <si>
    <t>sat</t>
  </si>
  <si>
    <t>sun</t>
  </si>
  <si>
    <t>Сводная накладная готова 01.08.2023</t>
  </si>
  <si>
    <t xml:space="preserve"> в 16:02:23</t>
  </si>
  <si>
    <t xml:space="preserve"> в 16:04:32</t>
  </si>
  <si>
    <t>Накладные:</t>
  </si>
  <si>
    <t>Остатки в книгу учета:</t>
  </si>
  <si>
    <t>Сводная ведомость:</t>
  </si>
  <si>
    <t>Подготовить 
для печати за период</t>
  </si>
  <si>
    <t>ввести</t>
  </si>
  <si>
    <t>итог</t>
  </si>
  <si>
    <t>Общая масса готового
 блюда, г/чел</t>
  </si>
  <si>
    <t>erased 20.07.2023</t>
  </si>
  <si>
    <t xml:space="preserve"> on 02.08.2023 16:19:03</t>
  </si>
  <si>
    <t>erased 21.07.2023</t>
  </si>
  <si>
    <t xml:space="preserve"> on 02.08.2023 16:20:53</t>
  </si>
  <si>
    <t>Подлежит отпуску всего, кг</t>
  </si>
  <si>
    <t>Книга учета за период с 25.07.2023 по 02.08.2023 готова</t>
  </si>
  <si>
    <t xml:space="preserve"> в 21:03:13</t>
  </si>
  <si>
    <t xml:space="preserve"> в 23:07:06</t>
  </si>
  <si>
    <t>Указать количество едоков на каждый день (D15-Q18)</t>
  </si>
  <si>
    <t>(J8)</t>
  </si>
  <si>
    <t>(N8)</t>
  </si>
  <si>
    <t>Очистить день, все дни по очереди</t>
  </si>
  <si>
    <t>Сформировать ведомость выдачи продуктов по дням</t>
  </si>
  <si>
    <t>Перенести расход продуктов после их выдачи по дням</t>
  </si>
  <si>
    <t>Ввести период, за который надо вывести книгу учета и подготовить ее</t>
  </si>
  <si>
    <t>Задать период формирования книги учета на печать</t>
  </si>
  <si>
    <t>erased data for ved Nr.311</t>
  </si>
  <si>
    <t xml:space="preserve"> on 03.08.2023 10:13:41</t>
  </si>
  <si>
    <t>erased data for ved Nr.312</t>
  </si>
  <si>
    <t xml:space="preserve"> on 03.08.2023 10:13:54</t>
  </si>
  <si>
    <t>выбор ед.изм.</t>
  </si>
  <si>
    <t>приход/расход</t>
  </si>
  <si>
    <t>Остаток продуктов на начало недели, кг</t>
  </si>
  <si>
    <t>Остаток после заполнения меню, кг</t>
  </si>
  <si>
    <t>на одного человека, гр</t>
  </si>
  <si>
    <t>второй ужин</t>
  </si>
  <si>
    <t>Рекомендуемая масса порций (блюд) должна составлять:</t>
  </si>
  <si>
    <t>100-150 гр</t>
  </si>
  <si>
    <t>250-300 гр</t>
  </si>
  <si>
    <t>100-120 гр</t>
  </si>
  <si>
    <t>180-230 гр</t>
  </si>
  <si>
    <t>150-200 гр</t>
  </si>
  <si>
    <t>холодных закусок</t>
  </si>
  <si>
    <t>первых блюд</t>
  </si>
  <si>
    <t>мясных (рыбных) блюд с соусом</t>
  </si>
  <si>
    <t>гарниров</t>
  </si>
  <si>
    <t>напитков</t>
  </si>
  <si>
    <t>Распределение калорий по приемам пищи в %:</t>
  </si>
  <si>
    <t>гр</t>
  </si>
  <si>
    <t>Сводная накладная готова 06.08.2023</t>
  </si>
  <si>
    <t xml:space="preserve"> в 18:49:08</t>
  </si>
  <si>
    <t>Формулы в Книге Учета восстановлены 06.08.2023</t>
  </si>
  <si>
    <t xml:space="preserve"> в 19:24:47</t>
  </si>
  <si>
    <t>Книга учета за период с 25.07.2023 по 30.07.2023 готова</t>
  </si>
  <si>
    <t xml:space="preserve"> в 19:25:20</t>
  </si>
  <si>
    <t xml:space="preserve"> в 21:28:39</t>
  </si>
  <si>
    <t xml:space="preserve"> в 21:29:34</t>
  </si>
  <si>
    <t xml:space="preserve"> в 21:36:53</t>
  </si>
  <si>
    <t xml:space="preserve"> в 21:40:47</t>
  </si>
  <si>
    <t xml:space="preserve"> в 21:41:37</t>
  </si>
  <si>
    <t xml:space="preserve"> в 21:43:29</t>
  </si>
  <si>
    <t>Нормы</t>
  </si>
  <si>
    <t>Масса пищи на 1 человека</t>
  </si>
  <si>
    <t>за день</t>
  </si>
  <si>
    <t>Норма N 3</t>
  </si>
  <si>
    <t>(морской паек)</t>
  </si>
  <si>
    <t>Количество (в граммах) на одного человека в сутки</t>
  </si>
  <si>
    <t>Хлеб из смеси ржаной и пшеничной муки 1-го сорта</t>
  </si>
  <si>
    <t>Хлеб белый из пшеничной муки 1-го сорта</t>
  </si>
  <si>
    <t>Мука пшеничная 1-го сорта</t>
  </si>
  <si>
    <t>Крупа разная, бобовые</t>
  </si>
  <si>
    <t>Макаронные изделия высшего сорта</t>
  </si>
  <si>
    <t>Колбасы полукопченые (мясокопчености)</t>
  </si>
  <si>
    <t>Рыба потрошеная без головы</t>
  </si>
  <si>
    <t>Молоко коровье (миллилитров)</t>
  </si>
  <si>
    <t>Сыр твердый (полутвердый)</t>
  </si>
  <si>
    <t>Яйцо куриное (штук)</t>
  </si>
  <si>
    <t>Кофе натуральный растворимый</t>
  </si>
  <si>
    <t>Перец</t>
  </si>
  <si>
    <t>Томатная паста</t>
  </si>
  <si>
    <t>Дрожжи хлебопекарные прессованные</t>
  </si>
  <si>
    <t>Картофель и овощи свежие - всего</t>
  </si>
  <si>
    <t>в том числе:</t>
  </si>
  <si>
    <t>картофель</t>
  </si>
  <si>
    <t>капуста</t>
  </si>
  <si>
    <t>свекла</t>
  </si>
  <si>
    <t>морковь</t>
  </si>
  <si>
    <t>лук</t>
  </si>
  <si>
    <t>огурцы, помидоры, тыква, кабачки</t>
  </si>
  <si>
    <t>Соки плодовые и ягодные (миллилитров)</t>
  </si>
  <si>
    <t>Фрукты сушеные (курага, изюм, чернослив)</t>
  </si>
  <si>
    <t>Поливитаминный препарат (драже) &lt;*&gt;</t>
  </si>
  <si>
    <t>за неделю</t>
  </si>
  <si>
    <t>Рекомендуемая масса порций (блюд)</t>
  </si>
  <si>
    <t>Норма № 3 (морской паек)</t>
  </si>
  <si>
    <t>Отдельные продукты</t>
  </si>
  <si>
    <t>Сладости и фрукты 3</t>
  </si>
  <si>
    <t>Категория блюда</t>
  </si>
  <si>
    <t>Наименование</t>
  </si>
  <si>
    <t>Вид блюда</t>
  </si>
  <si>
    <t>Первые блюда</t>
  </si>
  <si>
    <t>Мясные (рыбные) блюда с соусом</t>
  </si>
  <si>
    <t>Прочее</t>
  </si>
  <si>
    <t>Гарниры</t>
  </si>
  <si>
    <t>Холодные закуски</t>
  </si>
  <si>
    <t>Прием пищи</t>
  </si>
  <si>
    <t xml:space="preserve"> on 07.08.2023 13:18:38</t>
  </si>
  <si>
    <t>Итоги</t>
  </si>
  <si>
    <t>Колбасы</t>
  </si>
  <si>
    <t>Сухофрукты</t>
  </si>
  <si>
    <t>Соки</t>
  </si>
  <si>
    <t>Проверка соблюдения норм питания</t>
  </si>
  <si>
    <t>за период</t>
  </si>
  <si>
    <t>Дни недели</t>
  </si>
  <si>
    <t>факт</t>
  </si>
  <si>
    <t>откл.</t>
  </si>
  <si>
    <t>Итог:</t>
  </si>
  <si>
    <t>Кофе</t>
  </si>
  <si>
    <t>день недели</t>
  </si>
  <si>
    <t>дата</t>
  </si>
  <si>
    <t>№ ведомости</t>
  </si>
  <si>
    <t>прием пищи</t>
  </si>
  <si>
    <t>Положено на 1 чел в день, гр.</t>
  </si>
  <si>
    <t>Мясо птицы консерв.</t>
  </si>
  <si>
    <t>121</t>
  </si>
  <si>
    <t>Формулы в Книге Учета восстановлены 08.08.2023</t>
  </si>
  <si>
    <t xml:space="preserve"> в 23:43:50</t>
  </si>
  <si>
    <t>Всего на
 1 чел. в неделю, гр.</t>
  </si>
  <si>
    <t>Яйцо и специи 2</t>
  </si>
  <si>
    <t>Яйцо и специи 3</t>
  </si>
  <si>
    <t>норма № 3 в гр</t>
  </si>
  <si>
    <t>Формулы в Книге Учета восстановлены 09.08.2023</t>
  </si>
  <si>
    <t xml:space="preserve"> в 12:43:48</t>
  </si>
  <si>
    <t>Меню на неделю для печати подготовлено 09.08.2023</t>
  </si>
  <si>
    <t xml:space="preserve"> в 12:56:16</t>
  </si>
  <si>
    <t>Сводная накладная готова 09.08.2023</t>
  </si>
  <si>
    <t xml:space="preserve"> в 12:58:21</t>
  </si>
  <si>
    <t xml:space="preserve"> в 13:26:45</t>
  </si>
  <si>
    <t xml:space="preserve"> в 13:29:02</t>
  </si>
  <si>
    <t xml:space="preserve"> в 13:35:29</t>
  </si>
  <si>
    <t xml:space="preserve"> в 13:37:32</t>
  </si>
  <si>
    <t xml:space="preserve"> on 09.08.2023 14:17:42</t>
  </si>
  <si>
    <t xml:space="preserve"> on 09.08.2023 14:18:05</t>
  </si>
  <si>
    <t>Книга учета за период с 01.07.2023 по 25.07.2023 готова</t>
  </si>
  <si>
    <t xml:space="preserve"> в 14:21:38</t>
  </si>
  <si>
    <t>Книга учета за период с 10.07.2023 по 21.07.2023 готова</t>
  </si>
  <si>
    <t xml:space="preserve"> в 14:25:30</t>
  </si>
  <si>
    <t>checked</t>
  </si>
  <si>
    <t>Расход на 311 внесен в книгу учета 09.08.2023</t>
  </si>
  <si>
    <t xml:space="preserve"> в 15:57:39</t>
  </si>
  <si>
    <t xml:space="preserve"> в 16:02:28</t>
  </si>
  <si>
    <t xml:space="preserve"> в 16:04:02</t>
  </si>
  <si>
    <t xml:space="preserve"> в 16:04:05</t>
  </si>
  <si>
    <t xml:space="preserve"> в 16:04:08</t>
  </si>
  <si>
    <t xml:space="preserve"> в 16:04:11</t>
  </si>
  <si>
    <t xml:space="preserve"> в 16:04:15</t>
  </si>
  <si>
    <t xml:space="preserve"> в 16:19:43</t>
  </si>
  <si>
    <t xml:space="preserve"> в 16:21:43</t>
  </si>
  <si>
    <t xml:space="preserve"> в 16:22:21</t>
  </si>
  <si>
    <t xml:space="preserve"> в 16:23:32</t>
  </si>
  <si>
    <t xml:space="preserve"> в 16:26:01</t>
  </si>
  <si>
    <t>Каша молочная перловая</t>
  </si>
  <si>
    <t>Каша перловая вязкая</t>
  </si>
  <si>
    <t>Каша перловая рассыпчатая</t>
  </si>
  <si>
    <t>Кукуруза консервированная</t>
  </si>
  <si>
    <t>Лечо</t>
  </si>
  <si>
    <t xml:space="preserve"> on 10.08.2023 15:25:46</t>
  </si>
  <si>
    <t xml:space="preserve"> on 10.08.2023 15:25:48</t>
  </si>
  <si>
    <t xml:space="preserve"> on 10.08.2023 15:29:26</t>
  </si>
  <si>
    <t xml:space="preserve"> on 10.08.2023 15:29:27</t>
  </si>
  <si>
    <t>erased 22.07.2023</t>
  </si>
  <si>
    <t xml:space="preserve"> on 10.08.2023 15:29:29</t>
  </si>
  <si>
    <t>erased 23.07.2023</t>
  </si>
  <si>
    <t xml:space="preserve"> on 10.08.2023 15:29:32</t>
  </si>
  <si>
    <t xml:space="preserve"> on 10.08.2023 15:29:35</t>
  </si>
  <si>
    <t xml:space="preserve"> on 10.08.2023 15:31:13</t>
  </si>
  <si>
    <t>erased 24.07.2023</t>
  </si>
  <si>
    <t xml:space="preserve"> on 10.08.2023 15:31:15</t>
  </si>
  <si>
    <t>erased 25.07.2023</t>
  </si>
  <si>
    <t xml:space="preserve"> on 10.08.2023 15:31:16</t>
  </si>
  <si>
    <t>erased 26.07.2023</t>
  </si>
  <si>
    <t xml:space="preserve"> on 10.08.2023 15:31:18</t>
  </si>
  <si>
    <t>Тип блюда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</si>
</sst>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"/>
    <numFmt numFmtId="165" formatCode="0.0"/>
    <numFmt numFmtId="166" formatCode="[$-FC19]dd\ mmmm\ yyyy\ \г\.;@"/>
    <numFmt numFmtId="167" formatCode="[$-F800]dddd\,\ mmmm\ dd\,\ yyyy"/>
    <numFmt numFmtId="168" formatCode="d\ mmmm\,\ yyyy"/>
    <numFmt numFmtId="169" formatCode="0.0000"/>
    <numFmt numFmtId="170" formatCode="0.00000"/>
    <numFmt numFmtId="171" formatCode="dd/mm/yy;@"/>
    <numFmt numFmtId="172" formatCode="[$-419]d\ mmm\ yy;@"/>
    <numFmt numFmtId="173" formatCode="0.0_ ;[Red]\-0.0\ "/>
  </numFmts>
  <fonts count="187" x14ac:knownFonts="1">
    <font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8"/>
      <color theme="0" tint="-0.34998626667073579"/>
      <name val="Arial Cyr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i/>
      <sz val="10"/>
      <name val="Calibri Light"/>
      <family val="1"/>
      <charset val="204"/>
      <scheme val="major"/>
    </font>
    <font>
      <i/>
      <sz val="8"/>
      <name val="Calibri Light"/>
      <family val="1"/>
      <charset val="204"/>
      <scheme val="major"/>
    </font>
    <font>
      <i/>
      <sz val="12"/>
      <name val="Calibri Light"/>
      <family val="1"/>
      <charset val="204"/>
      <scheme val="major"/>
    </font>
    <font>
      <i/>
      <sz val="11"/>
      <name val="Calibri Light"/>
      <family val="1"/>
      <charset val="204"/>
      <scheme val="major"/>
    </font>
    <font>
      <sz val="11"/>
      <color rgb="FF0033CC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22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sz val="2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20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b/>
      <sz val="22"/>
      <name val="Calibri"/>
      <family val="2"/>
      <charset val="204"/>
      <scheme val="minor"/>
    </font>
    <font>
      <b/>
      <sz val="20"/>
      <name val="Calibri"/>
      <family val="2"/>
      <charset val="204"/>
      <scheme val="minor"/>
    </font>
    <font>
      <b/>
      <sz val="18"/>
      <color theme="9" tint="-0.499984740745262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i/>
      <sz val="10"/>
      <color rgb="FF800000"/>
      <name val="Calibri Light"/>
      <family val="2"/>
      <charset val="204"/>
      <scheme val="major"/>
    </font>
    <font>
      <b/>
      <i/>
      <sz val="9"/>
      <color rgb="FF800000"/>
      <name val="Calibri Light"/>
      <family val="2"/>
      <charset val="204"/>
      <scheme val="major"/>
    </font>
    <font>
      <i/>
      <sz val="10"/>
      <color rgb="FF800000"/>
      <name val="Calibri Light"/>
      <family val="2"/>
      <charset val="204"/>
      <scheme val="major"/>
    </font>
    <font>
      <b/>
      <i/>
      <sz val="10"/>
      <color rgb="FF0033CC"/>
      <name val="Calibri Light"/>
      <family val="2"/>
      <charset val="204"/>
      <scheme val="maj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color rgb="FF800000"/>
      <name val="Calibri"/>
      <family val="2"/>
      <charset val="204"/>
      <scheme val="minor"/>
    </font>
    <font>
      <b/>
      <sz val="14"/>
      <color theme="9" tint="-0.499984740745262"/>
      <name val="Calibri"/>
      <family val="2"/>
      <charset val="204"/>
      <scheme val="minor"/>
    </font>
    <font>
      <b/>
      <sz val="20"/>
      <color theme="9" tint="-0.499984740745262"/>
      <name val="Calibri"/>
      <family val="2"/>
      <charset val="204"/>
      <scheme val="minor"/>
    </font>
    <font>
      <sz val="14"/>
      <color theme="9" tint="-0.499984740745262"/>
      <name val="Calibri"/>
      <family val="2"/>
      <charset val="204"/>
      <scheme val="minor"/>
    </font>
    <font>
      <sz val="11"/>
      <color theme="9" tint="-0.499984740745262"/>
      <name val="Calibri"/>
      <family val="2"/>
      <charset val="204"/>
      <scheme val="minor"/>
    </font>
    <font>
      <sz val="11"/>
      <color rgb="FF990099"/>
      <name val="Calibri"/>
      <family val="2"/>
      <charset val="204"/>
      <scheme val="minor"/>
    </font>
    <font>
      <b/>
      <sz val="14"/>
      <color rgb="FF990099"/>
      <name val="Calibri"/>
      <family val="2"/>
      <charset val="204"/>
      <scheme val="minor"/>
    </font>
    <font>
      <sz val="14"/>
      <color rgb="FF990099"/>
      <name val="Calibri"/>
      <family val="2"/>
      <charset val="204"/>
      <scheme val="minor"/>
    </font>
    <font>
      <b/>
      <sz val="14"/>
      <color rgb="FF0033CC"/>
      <name val="Calibri"/>
      <family val="2"/>
      <charset val="204"/>
      <scheme val="minor"/>
    </font>
    <font>
      <b/>
      <sz val="16"/>
      <color rgb="FF0033CC"/>
      <name val="Calibri"/>
      <family val="2"/>
      <charset val="204"/>
      <scheme val="minor"/>
    </font>
    <font>
      <b/>
      <sz val="12"/>
      <color rgb="FF0033CC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b/>
      <sz val="14"/>
      <color rgb="FF0070C0"/>
      <name val="Calibri"/>
      <family val="2"/>
      <charset val="204"/>
      <scheme val="minor"/>
    </font>
    <font>
      <b/>
      <sz val="20"/>
      <color rgb="FF0070C0"/>
      <name val="Calibri"/>
      <family val="2"/>
      <charset val="204"/>
      <scheme val="minor"/>
    </font>
    <font>
      <sz val="14"/>
      <color rgb="FF0070C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b/>
      <sz val="20"/>
      <color rgb="FFC00000"/>
      <name val="Calibri"/>
      <family val="2"/>
      <charset val="204"/>
      <scheme val="minor"/>
    </font>
    <font>
      <b/>
      <sz val="18"/>
      <color rgb="FFC00000"/>
      <name val="Calibri"/>
      <family val="2"/>
      <charset val="204"/>
      <scheme val="minor"/>
    </font>
    <font>
      <b/>
      <sz val="16"/>
      <color rgb="FFC00000"/>
      <name val="Calibri"/>
      <family val="2"/>
      <charset val="204"/>
      <scheme val="minor"/>
    </font>
    <font>
      <sz val="14"/>
      <color rgb="FFC00000"/>
      <name val="Calibri"/>
      <family val="2"/>
      <charset val="204"/>
      <scheme val="minor"/>
    </font>
    <font>
      <sz val="22"/>
      <color rgb="FF0033CC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i/>
      <sz val="24"/>
      <color rgb="FF0033CC"/>
      <name val="Calibri"/>
      <family val="2"/>
      <charset val="204"/>
      <scheme val="minor"/>
    </font>
    <font>
      <b/>
      <i/>
      <sz val="12"/>
      <color rgb="FF0033CC"/>
      <name val="Calibri"/>
      <family val="2"/>
      <charset val="204"/>
      <scheme val="minor"/>
    </font>
    <font>
      <i/>
      <sz val="11"/>
      <name val="Calibri"/>
      <family val="2"/>
      <charset val="204"/>
      <scheme val="minor"/>
    </font>
    <font>
      <sz val="22"/>
      <color rgb="FFC00000"/>
      <name val="Calibri"/>
      <family val="2"/>
      <charset val="204"/>
      <scheme val="minor"/>
    </font>
    <font>
      <b/>
      <i/>
      <sz val="12"/>
      <color rgb="FFFF0000"/>
      <name val="Calibri"/>
      <family val="2"/>
      <charset val="204"/>
      <scheme val="minor"/>
    </font>
    <font>
      <i/>
      <sz val="11"/>
      <color rgb="FF0000FF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22"/>
      <color rgb="FFC00000"/>
      <name val="Calibri"/>
      <family val="2"/>
      <charset val="204"/>
      <scheme val="minor"/>
    </font>
    <font>
      <b/>
      <sz val="22"/>
      <color rgb="FF0033CC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8"/>
      <name val="Arial Cyr"/>
      <charset val="204"/>
    </font>
    <font>
      <sz val="9"/>
      <name val="Arial Cyr"/>
      <charset val="204"/>
    </font>
    <font>
      <i/>
      <sz val="8"/>
      <name val="Arial Cyr"/>
      <charset val="204"/>
    </font>
    <font>
      <sz val="9"/>
      <color theme="0"/>
      <name val="Arial Cyr"/>
      <charset val="204"/>
    </font>
    <font>
      <sz val="11"/>
      <name val="Arial Cyr"/>
      <charset val="204"/>
    </font>
    <font>
      <b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10"/>
      <name val="Arial Cyr"/>
      <charset val="204"/>
    </font>
    <font>
      <sz val="14"/>
      <name val="Arial Cyr"/>
      <charset val="204"/>
    </font>
    <font>
      <b/>
      <sz val="11"/>
      <color rgb="FFC00000"/>
      <name val="Calibri"/>
      <family val="2"/>
      <charset val="204"/>
      <scheme val="minor"/>
    </font>
    <font>
      <sz val="11"/>
      <color rgb="FF0000FF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8"/>
      <color rgb="FFC00000"/>
      <name val="Arial Cyr"/>
      <charset val="204"/>
    </font>
    <font>
      <sz val="9"/>
      <color rgb="FFC00000"/>
      <name val="Arial Cyr"/>
      <charset val="204"/>
    </font>
    <font>
      <sz val="9"/>
      <color rgb="FF0000FF"/>
      <name val="Arial Cyr"/>
      <charset val="204"/>
    </font>
    <font>
      <sz val="11"/>
      <color rgb="FF0000CC"/>
      <name val="Calibri"/>
      <family val="2"/>
      <charset val="204"/>
      <scheme val="minor"/>
    </font>
    <font>
      <sz val="8"/>
      <color rgb="FF0000CC"/>
      <name val="Arial Cyr"/>
      <charset val="204"/>
    </font>
    <font>
      <sz val="24"/>
      <color rgb="FFCC0099"/>
      <name val="Calibri"/>
      <family val="2"/>
      <charset val="204"/>
      <scheme val="minor"/>
    </font>
    <font>
      <sz val="20"/>
      <color rgb="FFCC0099"/>
      <name val="Calibri"/>
      <family val="2"/>
      <charset val="204"/>
      <scheme val="minor"/>
    </font>
    <font>
      <b/>
      <sz val="14"/>
      <color rgb="FFCC0099"/>
      <name val="Calibri"/>
      <family val="2"/>
      <charset val="204"/>
      <scheme val="minor"/>
    </font>
    <font>
      <b/>
      <sz val="18"/>
      <color rgb="FFCC0099"/>
      <name val="Calibri"/>
      <family val="2"/>
      <charset val="204"/>
      <scheme val="minor"/>
    </font>
    <font>
      <b/>
      <sz val="20"/>
      <color rgb="FFCC0099"/>
      <name val="Calibri"/>
      <family val="2"/>
      <charset val="204"/>
      <scheme val="minor"/>
    </font>
    <font>
      <sz val="14"/>
      <color rgb="FFCC0099"/>
      <name val="Calibri"/>
      <family val="2"/>
      <charset val="204"/>
      <scheme val="minor"/>
    </font>
    <font>
      <sz val="22"/>
      <color rgb="FFCC0099"/>
      <name val="Calibri"/>
      <family val="2"/>
      <charset val="204"/>
      <scheme val="minor"/>
    </font>
    <font>
      <sz val="11"/>
      <color rgb="FFCC0099"/>
      <name val="Calibri"/>
      <family val="2"/>
      <charset val="204"/>
      <scheme val="minor"/>
    </font>
    <font>
      <sz val="24"/>
      <color rgb="FF0000CC"/>
      <name val="Calibri"/>
      <family val="2"/>
      <charset val="204"/>
      <scheme val="minor"/>
    </font>
    <font>
      <b/>
      <sz val="24"/>
      <color rgb="FF0000CC"/>
      <name val="Calibri"/>
      <family val="2"/>
      <charset val="204"/>
      <scheme val="minor"/>
    </font>
    <font>
      <sz val="16"/>
      <color rgb="FF0000CC"/>
      <name val="Calibri"/>
      <family val="2"/>
      <charset val="204"/>
      <scheme val="minor"/>
    </font>
    <font>
      <sz val="20"/>
      <color rgb="FF0000CC"/>
      <name val="Calibri"/>
      <family val="2"/>
      <charset val="204"/>
      <scheme val="minor"/>
    </font>
    <font>
      <b/>
      <sz val="20"/>
      <color rgb="FF0000CC"/>
      <name val="Calibri"/>
      <family val="2"/>
      <charset val="204"/>
      <scheme val="minor"/>
    </font>
    <font>
      <b/>
      <sz val="14"/>
      <color rgb="FF0000CC"/>
      <name val="Calibri"/>
      <family val="2"/>
      <charset val="204"/>
      <scheme val="minor"/>
    </font>
    <font>
      <b/>
      <sz val="18"/>
      <color rgb="FF0000CC"/>
      <name val="Calibri"/>
      <family val="2"/>
      <charset val="204"/>
      <scheme val="minor"/>
    </font>
    <font>
      <sz val="14"/>
      <color rgb="FF0000CC"/>
      <name val="Calibri"/>
      <family val="2"/>
      <charset val="204"/>
      <scheme val="minor"/>
    </font>
    <font>
      <sz val="22"/>
      <color rgb="FF0000CC"/>
      <name val="Calibri"/>
      <family val="2"/>
      <charset val="204"/>
      <scheme val="minor"/>
    </font>
    <font>
      <b/>
      <sz val="22"/>
      <color rgb="FF0000CC"/>
      <name val="Calibri"/>
      <family val="2"/>
      <charset val="204"/>
      <scheme val="minor"/>
    </font>
    <font>
      <sz val="16"/>
      <color rgb="FFC00000"/>
      <name val="Calibri"/>
      <family val="2"/>
      <charset val="204"/>
      <scheme val="minor"/>
    </font>
    <font>
      <sz val="20"/>
      <color rgb="FFC00000"/>
      <name val="Calibri"/>
      <family val="2"/>
      <charset val="204"/>
      <scheme val="minor"/>
    </font>
    <font>
      <sz val="10"/>
      <color rgb="FFC00000"/>
      <name val="Calibri"/>
      <family val="2"/>
      <charset val="204"/>
    </font>
    <font>
      <sz val="10"/>
      <color rgb="FF0000FF"/>
      <name val="Calibri"/>
      <family val="2"/>
      <charset val="204"/>
    </font>
    <font>
      <sz val="12"/>
      <color rgb="FFCC0099"/>
      <name val="Calibri"/>
      <family val="2"/>
      <charset val="204"/>
      <scheme val="minor"/>
    </font>
    <font>
      <sz val="12"/>
      <color rgb="FF0000CC"/>
      <name val="Calibri"/>
      <family val="2"/>
      <charset val="204"/>
      <scheme val="minor"/>
    </font>
    <font>
      <sz val="12"/>
      <color rgb="FFC00000"/>
      <name val="Calibri"/>
      <family val="2"/>
      <charset val="204"/>
      <scheme val="minor"/>
    </font>
    <font>
      <b/>
      <sz val="18"/>
      <color rgb="FF990099"/>
      <name val="Calibri"/>
      <family val="2"/>
      <charset val="204"/>
      <scheme val="minor"/>
    </font>
    <font>
      <b/>
      <sz val="18"/>
      <color rgb="FF0070C0"/>
      <name val="Calibri"/>
      <family val="2"/>
      <charset val="204"/>
      <scheme val="minor"/>
    </font>
    <font>
      <b/>
      <sz val="14"/>
      <color theme="9" tint="-0.249977111117893"/>
      <name val="Calibri"/>
      <family val="2"/>
      <charset val="204"/>
      <scheme val="minor"/>
    </font>
    <font>
      <b/>
      <sz val="14"/>
      <color rgb="FF800000"/>
      <name val="Calibri"/>
      <family val="2"/>
      <charset val="204"/>
      <scheme val="minor"/>
    </font>
    <font>
      <sz val="11"/>
      <color rgb="FFCCFFFF"/>
      <name val="Calibri"/>
      <family val="2"/>
      <charset val="204"/>
      <scheme val="minor"/>
    </font>
    <font>
      <b/>
      <i/>
      <sz val="16"/>
      <color rgb="FFC00000"/>
      <name val="Calibri"/>
      <family val="2"/>
      <charset val="204"/>
      <scheme val="minor"/>
    </font>
    <font>
      <b/>
      <i/>
      <sz val="14"/>
      <color rgb="FFC00000"/>
      <name val="Calibri"/>
      <family val="2"/>
      <charset val="204"/>
      <scheme val="minor"/>
    </font>
    <font>
      <b/>
      <i/>
      <sz val="16"/>
      <color rgb="FFFF0000"/>
      <name val="Calibri"/>
      <family val="2"/>
      <charset val="204"/>
      <scheme val="minor"/>
    </font>
    <font>
      <sz val="18"/>
      <color rgb="FFCC0099"/>
      <name val="Calibri"/>
      <family val="2"/>
      <charset val="204"/>
      <scheme val="minor"/>
    </font>
    <font>
      <sz val="18"/>
      <color rgb="FF0000CC"/>
      <name val="Calibri"/>
      <family val="2"/>
      <charset val="204"/>
      <scheme val="minor"/>
    </font>
    <font>
      <sz val="18"/>
      <color rgb="FFC00000"/>
      <name val="Calibri"/>
      <family val="2"/>
      <charset val="204"/>
      <scheme val="minor"/>
    </font>
    <font>
      <sz val="11"/>
      <color rgb="FF800000"/>
      <name val="Calibri"/>
      <family val="2"/>
      <charset val="204"/>
      <scheme val="minor"/>
    </font>
    <font>
      <sz val="11"/>
      <color rgb="FFFFFFCC"/>
      <name val="Calibri"/>
      <family val="2"/>
      <charset val="204"/>
      <scheme val="minor"/>
    </font>
    <font>
      <b/>
      <sz val="12"/>
      <color rgb="FF0000FF"/>
      <name val="Calibri"/>
      <family val="2"/>
      <charset val="204"/>
      <scheme val="minor"/>
    </font>
    <font>
      <b/>
      <sz val="12"/>
      <color rgb="FFC0000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i/>
      <sz val="12"/>
      <color rgb="FFC00000"/>
      <name val="Calibri"/>
      <family val="2"/>
      <charset val="204"/>
      <scheme val="minor"/>
    </font>
    <font>
      <sz val="8"/>
      <color theme="0"/>
      <name val="Calibri"/>
      <family val="2"/>
      <charset val="204"/>
      <scheme val="minor"/>
    </font>
    <font>
      <sz val="8"/>
      <name val="Times New Roman"/>
      <family val="1"/>
      <charset val="204"/>
    </font>
    <font>
      <sz val="8"/>
      <color theme="0" tint="-0.34998626667073579"/>
      <name val="Calibri"/>
      <family val="2"/>
      <charset val="204"/>
      <scheme val="minor"/>
    </font>
    <font>
      <sz val="8"/>
      <color theme="0" tint="-0.34998626667073579"/>
      <name val="Times New Roman"/>
      <family val="1"/>
      <charset val="204"/>
    </font>
    <font>
      <sz val="7"/>
      <color rgb="FF0000FF"/>
      <name val="Arial Cyr"/>
      <charset val="204"/>
    </font>
    <font>
      <sz val="8"/>
      <color rgb="FF0000FF"/>
      <name val="Arial Cyr"/>
      <charset val="204"/>
    </font>
    <font>
      <b/>
      <sz val="9"/>
      <color rgb="FFC00000"/>
      <name val="Arial Cyr"/>
      <charset val="204"/>
    </font>
    <font>
      <b/>
      <sz val="9"/>
      <color rgb="FF0000CC"/>
      <name val="Arial Cyr"/>
      <charset val="204"/>
    </font>
    <font>
      <b/>
      <sz val="8"/>
      <color rgb="FF0000CC"/>
      <name val="Arial Cyr"/>
      <charset val="204"/>
    </font>
    <font>
      <b/>
      <sz val="9"/>
      <color rgb="FF800000"/>
      <name val="Arial Cyr"/>
      <charset val="204"/>
    </font>
    <font>
      <sz val="7"/>
      <color rgb="FF0000CC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10"/>
      <color rgb="FFC00000"/>
      <name val="Calibri"/>
      <family val="2"/>
      <charset val="204"/>
      <scheme val="minor"/>
    </font>
    <font>
      <b/>
      <i/>
      <sz val="10"/>
      <color rgb="FF0000FF"/>
      <name val="Calibri"/>
      <family val="2"/>
      <charset val="204"/>
      <scheme val="minor"/>
    </font>
    <font>
      <i/>
      <sz val="10"/>
      <name val="Arial Cyr"/>
      <charset val="204"/>
    </font>
    <font>
      <b/>
      <sz val="9"/>
      <color rgb="FF0000FF"/>
      <name val="Arial Cyr"/>
      <charset val="204"/>
    </font>
    <font>
      <b/>
      <sz val="8"/>
      <color rgb="FF0000FF"/>
      <name val="Arial Cyr"/>
      <charset val="204"/>
    </font>
    <font>
      <b/>
      <sz val="11"/>
      <color rgb="FF0000FF"/>
      <name val="Calibri"/>
      <family val="2"/>
      <charset val="204"/>
      <scheme val="minor"/>
    </font>
    <font>
      <b/>
      <sz val="14"/>
      <color rgb="FF0000FF"/>
      <name val="Arial Cyr"/>
      <charset val="204"/>
    </font>
    <font>
      <b/>
      <sz val="7"/>
      <color rgb="FF0000FF"/>
      <name val="Arial Cyr"/>
      <charset val="204"/>
    </font>
    <font>
      <sz val="9"/>
      <color rgb="FF0000CC"/>
      <name val="Arial Cyr"/>
      <charset val="204"/>
    </font>
    <font>
      <b/>
      <i/>
      <sz val="10"/>
      <name val="Calibri Light"/>
      <family val="2"/>
      <charset val="204"/>
      <scheme val="major"/>
    </font>
    <font>
      <b/>
      <i/>
      <sz val="11"/>
      <name val="Calibri Light"/>
      <family val="2"/>
      <charset val="204"/>
      <scheme val="major"/>
    </font>
    <font>
      <b/>
      <i/>
      <sz val="10"/>
      <color rgb="FF0000CC"/>
      <name val="Calibri Light"/>
      <family val="2"/>
      <charset val="204"/>
      <scheme val="major"/>
    </font>
    <font>
      <b/>
      <i/>
      <sz val="12"/>
      <color rgb="FF0000CC"/>
      <name val="Calibri Light"/>
      <family val="2"/>
      <charset val="204"/>
      <scheme val="major"/>
    </font>
    <font>
      <b/>
      <i/>
      <sz val="11"/>
      <color rgb="FF0000CC"/>
      <name val="Calibri Light"/>
      <family val="2"/>
      <charset val="204"/>
      <scheme val="major"/>
    </font>
    <font>
      <i/>
      <sz val="11"/>
      <color rgb="FFC00000"/>
      <name val="Calibri Light"/>
      <family val="1"/>
      <charset val="204"/>
      <scheme val="major"/>
    </font>
    <font>
      <i/>
      <sz val="12"/>
      <color rgb="FFC00000"/>
      <name val="Calibri Light"/>
      <family val="1"/>
      <charset val="204"/>
      <scheme val="major"/>
    </font>
    <font>
      <b/>
      <i/>
      <sz val="11"/>
      <color rgb="FFC00000"/>
      <name val="Calibri Light"/>
      <family val="2"/>
      <charset val="204"/>
      <scheme val="major"/>
    </font>
    <font>
      <b/>
      <i/>
      <sz val="13"/>
      <color rgb="FFC00000"/>
      <name val="Calibri"/>
      <family val="2"/>
      <charset val="204"/>
      <scheme val="minor"/>
    </font>
    <font>
      <sz val="13"/>
      <color theme="1"/>
      <name val="Calibri"/>
      <family val="2"/>
      <charset val="204"/>
      <scheme val="minor"/>
    </font>
    <font>
      <sz val="8"/>
      <color rgb="FF800000"/>
      <name val="Arial Cyr"/>
      <charset val="204"/>
    </font>
    <font>
      <b/>
      <sz val="12"/>
      <color rgb="FF80000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6"/>
      <color rgb="FFFF0000"/>
      <name val="Calibri"/>
      <family val="2"/>
      <charset val="204"/>
      <scheme val="minor"/>
    </font>
    <font>
      <sz val="22"/>
      <color rgb="FFFF000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3"/>
      <color rgb="FF252525"/>
      <name val="Arial"/>
      <family val="2"/>
      <charset val="204"/>
    </font>
    <font>
      <sz val="10"/>
      <color rgb="FFC00000"/>
      <name val="Calibri"/>
      <family val="2"/>
      <charset val="204"/>
      <scheme val="minor"/>
    </font>
    <font>
      <i/>
      <sz val="9"/>
      <color rgb="FF0000FF"/>
      <name val="Arial Cyr"/>
      <charset val="204"/>
    </font>
    <font>
      <sz val="8"/>
      <color rgb="FFCC0099"/>
      <name val="Calibri"/>
      <family val="2"/>
      <charset val="204"/>
      <scheme val="minor"/>
    </font>
    <font>
      <sz val="8"/>
      <color rgb="FF0000CC"/>
      <name val="Calibri"/>
      <family val="2"/>
      <charset val="204"/>
      <scheme val="minor"/>
    </font>
    <font>
      <b/>
      <sz val="8"/>
      <color rgb="FF0000CC"/>
      <name val="Calibri"/>
      <family val="2"/>
      <charset val="204"/>
      <scheme val="minor"/>
    </font>
    <font>
      <sz val="8"/>
      <color rgb="FFC00000"/>
      <name val="Calibri"/>
      <family val="2"/>
      <charset val="204"/>
      <scheme val="minor"/>
    </font>
    <font>
      <sz val="8"/>
      <color rgb="FF0033CC"/>
      <name val="Calibri"/>
      <family val="2"/>
      <charset val="204"/>
      <scheme val="minor"/>
    </font>
    <font>
      <b/>
      <sz val="8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i/>
      <sz val="8"/>
      <color rgb="FF0000FF"/>
      <name val="Arial Cyr"/>
      <charset val="204"/>
    </font>
    <font>
      <b/>
      <sz val="9"/>
      <color rgb="FF006600"/>
      <name val="Arial Cyr"/>
      <charset val="204"/>
    </font>
    <font>
      <sz val="9"/>
      <color rgb="FF006600"/>
      <name val="Arial Cyr"/>
      <charset val="204"/>
    </font>
    <font>
      <sz val="8"/>
      <color rgb="FF006600"/>
      <name val="Arial Cyr"/>
      <charset val="204"/>
    </font>
    <font>
      <b/>
      <sz val="8"/>
      <color rgb="FF006600"/>
      <name val="Arial Cyr"/>
      <charset val="204"/>
    </font>
    <font>
      <b/>
      <sz val="8"/>
      <color rgb="FFFF0000"/>
      <name val="Arial Cyr"/>
      <charset val="204"/>
    </font>
    <font>
      <b/>
      <sz val="9"/>
      <color theme="8" tint="-0.249977111117893"/>
      <name val="Arial Cyr"/>
      <charset val="204"/>
    </font>
    <font>
      <sz val="9"/>
      <color theme="8" tint="-0.249977111117893"/>
      <name val="Arial Cyr"/>
      <charset val="204"/>
    </font>
    <font>
      <sz val="9"/>
      <color theme="6" tint="-0.499984740745262"/>
      <name val="Arial Cyr"/>
      <charset val="204"/>
    </font>
    <font>
      <b/>
      <sz val="8"/>
      <color rgb="FFC00000"/>
      <name val="Calibri"/>
      <family val="2"/>
      <charset val="204"/>
      <scheme val="minor"/>
    </font>
    <font>
      <b/>
      <sz val="8"/>
      <color rgb="FFC00000"/>
      <name val="Times New Roman"/>
      <family val="1"/>
      <charset val="204"/>
    </font>
  </fonts>
  <fills count="1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7" tint="0.79998168889431442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rgb="FF6600FF"/>
      </left>
      <right/>
      <top style="double">
        <color rgb="FF6600FF"/>
      </top>
      <bottom style="double">
        <color rgb="FF6600FF"/>
      </bottom>
      <diagonal/>
    </border>
    <border>
      <left/>
      <right style="double">
        <color rgb="FF6600FF"/>
      </right>
      <top style="double">
        <color rgb="FF6600FF"/>
      </top>
      <bottom style="double">
        <color rgb="FF6600FF"/>
      </bottom>
      <diagonal/>
    </border>
    <border>
      <left style="slantDashDot">
        <color rgb="FF6600FF"/>
      </left>
      <right/>
      <top style="slantDashDot">
        <color rgb="FF6600FF"/>
      </top>
      <bottom/>
      <diagonal/>
    </border>
    <border>
      <left/>
      <right/>
      <top style="slantDashDot">
        <color rgb="FF6600FF"/>
      </top>
      <bottom/>
      <diagonal/>
    </border>
    <border>
      <left/>
      <right style="slantDashDot">
        <color rgb="FF6600FF"/>
      </right>
      <top style="slantDashDot">
        <color rgb="FF6600FF"/>
      </top>
      <bottom/>
      <diagonal/>
    </border>
    <border>
      <left style="slantDashDot">
        <color rgb="FF6600FF"/>
      </left>
      <right/>
      <top/>
      <bottom/>
      <diagonal/>
    </border>
    <border>
      <left/>
      <right style="slantDashDot">
        <color rgb="FF6600FF"/>
      </right>
      <top/>
      <bottom/>
      <diagonal/>
    </border>
    <border>
      <left style="slantDashDot">
        <color rgb="FF6600FF"/>
      </left>
      <right/>
      <top/>
      <bottom style="slantDashDot">
        <color rgb="FF6600FF"/>
      </bottom>
      <diagonal/>
    </border>
    <border>
      <left/>
      <right/>
      <top/>
      <bottom style="slantDashDot">
        <color rgb="FF6600FF"/>
      </bottom>
      <diagonal/>
    </border>
    <border>
      <left/>
      <right style="slantDashDot">
        <color rgb="FF6600FF"/>
      </right>
      <top/>
      <bottom style="slantDashDot">
        <color rgb="FF6600F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rgb="FF6600FF"/>
      </left>
      <right style="thin">
        <color indexed="64"/>
      </right>
      <top/>
      <bottom style="thin">
        <color indexed="64"/>
      </bottom>
      <diagonal/>
    </border>
    <border>
      <left style="slantDashDot">
        <color rgb="FF6600FF"/>
      </left>
      <right style="thin">
        <color indexed="64"/>
      </right>
      <top/>
      <bottom/>
      <diagonal/>
    </border>
    <border>
      <left style="slantDashDot">
        <color rgb="FF6600FF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medium">
        <color indexed="64"/>
      </left>
      <right style="dott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medium">
        <color indexed="64"/>
      </left>
      <right style="dashed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4" fillId="0" borderId="0"/>
  </cellStyleXfs>
  <cellXfs count="1136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3" fillId="4" borderId="0" xfId="0" applyFont="1" applyFill="1"/>
    <xf numFmtId="49" fontId="3" fillId="4" borderId="0" xfId="0" applyNumberFormat="1" applyFont="1" applyFill="1"/>
    <xf numFmtId="2" fontId="3" fillId="4" borderId="0" xfId="0" applyNumberFormat="1" applyFont="1" applyFill="1" applyAlignment="1">
      <alignment horizontal="center"/>
    </xf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5" fillId="0" borderId="1" xfId="1" applyFont="1" applyBorder="1" applyAlignment="1">
      <alignment horizontal="center" vertical="center" textRotation="90" wrapText="1"/>
    </xf>
    <xf numFmtId="0" fontId="8" fillId="0" borderId="0" xfId="0" applyFont="1"/>
    <xf numFmtId="0" fontId="8" fillId="0" borderId="0" xfId="0" applyFont="1" applyBorder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8" fillId="0" borderId="1" xfId="0" applyFont="1" applyBorder="1"/>
    <xf numFmtId="0" fontId="8" fillId="0" borderId="7" xfId="0" applyFont="1" applyBorder="1"/>
    <xf numFmtId="0" fontId="8" fillId="0" borderId="7" xfId="0" applyFont="1" applyBorder="1" applyAlignment="1">
      <alignment horizontal="left" vertical="top"/>
    </xf>
    <xf numFmtId="164" fontId="8" fillId="0" borderId="7" xfId="0" applyNumberFormat="1" applyFont="1" applyBorder="1"/>
    <xf numFmtId="0" fontId="10" fillId="0" borderId="1" xfId="0" applyFont="1" applyFill="1" applyBorder="1" applyAlignment="1">
      <alignment horizontal="left" vertical="center"/>
    </xf>
    <xf numFmtId="0" fontId="10" fillId="0" borderId="1" xfId="0" applyFont="1" applyFill="1" applyBorder="1" applyAlignment="1">
      <alignment horizontal="center" vertical="center"/>
    </xf>
    <xf numFmtId="0" fontId="10" fillId="0" borderId="18" xfId="0" applyFont="1" applyFill="1" applyBorder="1" applyAlignment="1">
      <alignment horizontal="center" vertical="center"/>
    </xf>
    <xf numFmtId="2" fontId="10" fillId="0" borderId="1" xfId="0" applyNumberFormat="1" applyFont="1" applyFill="1" applyBorder="1" applyAlignment="1">
      <alignment horizontal="center" vertical="center"/>
    </xf>
    <xf numFmtId="0" fontId="11" fillId="0" borderId="0" xfId="0" applyFont="1" applyBorder="1"/>
    <xf numFmtId="0" fontId="11" fillId="0" borderId="0" xfId="0" applyFont="1"/>
    <xf numFmtId="0" fontId="11" fillId="0" borderId="59" xfId="0" applyFont="1" applyBorder="1"/>
    <xf numFmtId="0" fontId="11" fillId="0" borderId="0" xfId="0" applyFont="1" applyAlignment="1">
      <alignment horizontal="center"/>
    </xf>
    <xf numFmtId="164" fontId="11" fillId="0" borderId="0" xfId="0" applyNumberFormat="1" applyFont="1"/>
    <xf numFmtId="0" fontId="11" fillId="0" borderId="0" xfId="0" applyFont="1" applyBorder="1" applyAlignment="1">
      <alignment horizontal="left"/>
    </xf>
    <xf numFmtId="0" fontId="11" fillId="0" borderId="22" xfId="0" applyFont="1" applyBorder="1"/>
    <xf numFmtId="164" fontId="11" fillId="0" borderId="22" xfId="0" applyNumberFormat="1" applyFont="1" applyBorder="1"/>
    <xf numFmtId="0" fontId="11" fillId="0" borderId="22" xfId="0" applyFont="1" applyBorder="1" applyAlignment="1">
      <alignment horizontal="left"/>
    </xf>
    <xf numFmtId="0" fontId="11" fillId="0" borderId="20" xfId="0" applyFont="1" applyBorder="1"/>
    <xf numFmtId="0" fontId="11" fillId="0" borderId="2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38" xfId="0" applyFont="1" applyBorder="1"/>
    <xf numFmtId="0" fontId="10" fillId="0" borderId="2" xfId="0" applyFont="1" applyFill="1" applyBorder="1" applyAlignment="1">
      <alignment horizontal="left"/>
    </xf>
    <xf numFmtId="0" fontId="11" fillId="0" borderId="2" xfId="0" applyFont="1" applyBorder="1"/>
    <xf numFmtId="0" fontId="11" fillId="0" borderId="4" xfId="0" applyFont="1" applyBorder="1"/>
    <xf numFmtId="0" fontId="11" fillId="0" borderId="3" xfId="0" applyFont="1" applyBorder="1"/>
    <xf numFmtId="0" fontId="11" fillId="0" borderId="17" xfId="0" applyFont="1" applyBorder="1" applyAlignment="1">
      <alignment horizontal="left"/>
    </xf>
    <xf numFmtId="0" fontId="11" fillId="0" borderId="15" xfId="0" applyFont="1" applyBorder="1"/>
    <xf numFmtId="0" fontId="11" fillId="0" borderId="17" xfId="0" applyFont="1" applyBorder="1"/>
    <xf numFmtId="0" fontId="11" fillId="0" borderId="19" xfId="0" applyFont="1" applyBorder="1" applyAlignment="1">
      <alignment horizontal="left"/>
    </xf>
    <xf numFmtId="0" fontId="11" fillId="0" borderId="19" xfId="0" applyFont="1" applyBorder="1"/>
    <xf numFmtId="164" fontId="11" fillId="0" borderId="0" xfId="0" applyNumberFormat="1" applyFont="1" applyBorder="1"/>
    <xf numFmtId="0" fontId="8" fillId="0" borderId="37" xfId="0" applyFont="1" applyFill="1" applyBorder="1" applyAlignment="1">
      <alignment horizontal="center" vertical="center"/>
    </xf>
    <xf numFmtId="0" fontId="11" fillId="0" borderId="29" xfId="0" applyFont="1" applyFill="1" applyBorder="1" applyAlignment="1">
      <alignment horizontal="center"/>
    </xf>
    <xf numFmtId="0" fontId="11" fillId="0" borderId="42" xfId="0" applyFont="1" applyFill="1" applyBorder="1" applyAlignment="1">
      <alignment horizontal="center"/>
    </xf>
    <xf numFmtId="0" fontId="8" fillId="0" borderId="40" xfId="0" applyFont="1" applyFill="1" applyBorder="1" applyAlignment="1">
      <alignment horizontal="center" vertical="center" wrapText="1"/>
    </xf>
    <xf numFmtId="0" fontId="12" fillId="0" borderId="0" xfId="0" applyFont="1"/>
    <xf numFmtId="0" fontId="14" fillId="0" borderId="0" xfId="0" applyFont="1" applyFill="1" applyAlignment="1">
      <alignment horizontal="left" vertical="center" wrapText="1"/>
    </xf>
    <xf numFmtId="0" fontId="0" fillId="0" borderId="0" xfId="0" applyFont="1"/>
    <xf numFmtId="0" fontId="18" fillId="0" borderId="0" xfId="0" applyFont="1" applyFill="1" applyAlignment="1"/>
    <xf numFmtId="167" fontId="18" fillId="0" borderId="0" xfId="0" applyNumberFormat="1" applyFont="1" applyFill="1" applyAlignment="1"/>
    <xf numFmtId="0" fontId="25" fillId="0" borderId="0" xfId="0" applyFont="1" applyFill="1" applyAlignment="1">
      <alignment vertical="center"/>
    </xf>
    <xf numFmtId="0" fontId="15" fillId="0" borderId="0" xfId="0" applyFont="1" applyFill="1" applyAlignment="1">
      <alignment vertical="center"/>
    </xf>
    <xf numFmtId="0" fontId="0" fillId="0" borderId="0" xfId="0" applyFont="1" applyAlignment="1">
      <alignment horizontal="center" vertical="center"/>
    </xf>
    <xf numFmtId="0" fontId="11" fillId="0" borderId="2" xfId="0" applyFont="1" applyBorder="1" applyAlignment="1">
      <alignment horizontal="left"/>
    </xf>
    <xf numFmtId="0" fontId="26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left"/>
    </xf>
    <xf numFmtId="164" fontId="31" fillId="0" borderId="0" xfId="0" applyNumberFormat="1" applyFont="1"/>
    <xf numFmtId="0" fontId="31" fillId="0" borderId="0" xfId="0" applyFont="1" applyBorder="1"/>
    <xf numFmtId="0" fontId="31" fillId="0" borderId="0" xfId="0" applyFont="1" applyBorder="1" applyAlignment="1">
      <alignment horizontal="left"/>
    </xf>
    <xf numFmtId="0" fontId="31" fillId="0" borderId="0" xfId="0" applyFont="1" applyBorder="1" applyAlignment="1">
      <alignment vertical="center"/>
    </xf>
    <xf numFmtId="0" fontId="31" fillId="0" borderId="0" xfId="0" applyFont="1" applyBorder="1" applyAlignment="1">
      <alignment horizontal="left" vertical="top"/>
    </xf>
    <xf numFmtId="164" fontId="31" fillId="0" borderId="0" xfId="0" applyNumberFormat="1" applyFont="1" applyBorder="1"/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"/>
    </xf>
    <xf numFmtId="0" fontId="31" fillId="0" borderId="0" xfId="0" applyFont="1" applyBorder="1" applyAlignment="1">
      <alignment horizontal="center"/>
    </xf>
    <xf numFmtId="167" fontId="31" fillId="0" borderId="0" xfId="0" applyNumberFormat="1" applyFont="1" applyAlignment="1">
      <alignment horizontal="left" vertical="center"/>
    </xf>
    <xf numFmtId="167" fontId="31" fillId="0" borderId="0" xfId="0" applyNumberFormat="1" applyFont="1" applyAlignment="1">
      <alignment vertical="center"/>
    </xf>
    <xf numFmtId="164" fontId="31" fillId="0" borderId="0" xfId="0" applyNumberFormat="1" applyFont="1" applyAlignment="1">
      <alignment horizontal="left"/>
    </xf>
    <xf numFmtId="0" fontId="9" fillId="0" borderId="0" xfId="0" applyFont="1" applyAlignment="1">
      <alignment horizontal="right"/>
    </xf>
    <xf numFmtId="2" fontId="29" fillId="7" borderId="47" xfId="0" applyNumberFormat="1" applyFont="1" applyFill="1" applyBorder="1" applyAlignment="1">
      <alignment horizontal="center" vertical="center"/>
    </xf>
    <xf numFmtId="2" fontId="8" fillId="0" borderId="7" xfId="0" applyNumberFormat="1" applyFont="1" applyBorder="1"/>
    <xf numFmtId="0" fontId="33" fillId="0" borderId="10" xfId="0" applyFont="1" applyFill="1" applyBorder="1" applyAlignment="1"/>
    <xf numFmtId="0" fontId="35" fillId="0" borderId="0" xfId="0" applyFont="1" applyFill="1"/>
    <xf numFmtId="0" fontId="36" fillId="0" borderId="0" xfId="0" applyFont="1"/>
    <xf numFmtId="0" fontId="37" fillId="0" borderId="0" xfId="0" applyFont="1"/>
    <xf numFmtId="0" fontId="38" fillId="0" borderId="10" xfId="0" applyFont="1" applyFill="1" applyBorder="1" applyAlignment="1"/>
    <xf numFmtId="0" fontId="39" fillId="0" borderId="0" xfId="0" applyFont="1" applyFill="1"/>
    <xf numFmtId="0" fontId="40" fillId="0" borderId="10" xfId="0" applyFont="1" applyFill="1" applyBorder="1" applyAlignment="1"/>
    <xf numFmtId="0" fontId="43" fillId="0" borderId="0" xfId="0" applyFont="1"/>
    <xf numFmtId="0" fontId="44" fillId="0" borderId="10" xfId="0" applyFont="1" applyFill="1" applyBorder="1" applyAlignment="1"/>
    <xf numFmtId="0" fontId="46" fillId="0" borderId="0" xfId="0" applyFont="1" applyFill="1"/>
    <xf numFmtId="0" fontId="47" fillId="0" borderId="0" xfId="0" applyFont="1"/>
    <xf numFmtId="0" fontId="48" fillId="0" borderId="10" xfId="0" applyFont="1" applyFill="1" applyBorder="1" applyAlignment="1"/>
    <xf numFmtId="0" fontId="52" fillId="0" borderId="0" xfId="0" applyFont="1" applyFill="1"/>
    <xf numFmtId="0" fontId="54" fillId="0" borderId="0" xfId="0" applyFont="1"/>
    <xf numFmtId="0" fontId="10" fillId="0" borderId="4" xfId="0" applyFont="1" applyFill="1" applyBorder="1" applyAlignment="1">
      <alignment horizontal="right"/>
    </xf>
    <xf numFmtId="0" fontId="14" fillId="0" borderId="0" xfId="0" applyFont="1" applyFill="1" applyAlignment="1">
      <alignment vertical="center" wrapText="1"/>
    </xf>
    <xf numFmtId="14" fontId="13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30" fillId="0" borderId="0" xfId="0" applyFont="1" applyFill="1"/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13" fillId="0" borderId="72" xfId="0" applyFont="1" applyBorder="1" applyAlignment="1">
      <alignment vertical="center"/>
    </xf>
    <xf numFmtId="0" fontId="55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13" fillId="0" borderId="73" xfId="0" applyFont="1" applyBorder="1" applyAlignment="1">
      <alignment vertical="center"/>
    </xf>
    <xf numFmtId="0" fontId="13" fillId="0" borderId="72" xfId="0" applyFont="1" applyFill="1" applyBorder="1" applyAlignment="1">
      <alignment vertical="center"/>
    </xf>
    <xf numFmtId="0" fontId="55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30" fillId="0" borderId="0" xfId="0" applyFont="1" applyBorder="1"/>
    <xf numFmtId="0" fontId="1" fillId="0" borderId="72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73" xfId="0" applyFont="1" applyBorder="1" applyAlignment="1">
      <alignment vertical="center"/>
    </xf>
    <xf numFmtId="0" fontId="30" fillId="0" borderId="72" xfId="0" applyFont="1" applyBorder="1"/>
    <xf numFmtId="0" fontId="30" fillId="0" borderId="73" xfId="0" applyFont="1" applyBorder="1"/>
    <xf numFmtId="0" fontId="0" fillId="0" borderId="72" xfId="0" applyBorder="1"/>
    <xf numFmtId="0" fontId="0" fillId="0" borderId="0" xfId="0" applyBorder="1"/>
    <xf numFmtId="0" fontId="0" fillId="0" borderId="73" xfId="0" applyBorder="1"/>
    <xf numFmtId="0" fontId="0" fillId="0" borderId="74" xfId="0" applyBorder="1"/>
    <xf numFmtId="0" fontId="0" fillId="0" borderId="75" xfId="0" applyBorder="1"/>
    <xf numFmtId="0" fontId="0" fillId="0" borderId="76" xfId="0" applyBorder="1"/>
    <xf numFmtId="0" fontId="0" fillId="8" borderId="0" xfId="0" applyFill="1"/>
    <xf numFmtId="0" fontId="30" fillId="8" borderId="0" xfId="0" applyFont="1" applyFill="1"/>
    <xf numFmtId="0" fontId="56" fillId="0" borderId="0" xfId="0" applyFont="1" applyBorder="1" applyAlignment="1">
      <alignment vertical="center"/>
    </xf>
    <xf numFmtId="0" fontId="8" fillId="0" borderId="40" xfId="0" applyFont="1" applyFill="1" applyBorder="1" applyAlignment="1">
      <alignment horizontal="center" vertical="center"/>
    </xf>
    <xf numFmtId="0" fontId="8" fillId="0" borderId="39" xfId="0" applyFont="1" applyFill="1" applyBorder="1" applyAlignment="1">
      <alignment horizontal="center" vertical="center"/>
    </xf>
    <xf numFmtId="0" fontId="57" fillId="0" borderId="0" xfId="0" applyFont="1" applyAlignment="1">
      <alignment horizontal="left"/>
    </xf>
    <xf numFmtId="0" fontId="54" fillId="0" borderId="0" xfId="0" applyFont="1" applyAlignment="1">
      <alignment horizontal="center" vertical="center"/>
    </xf>
    <xf numFmtId="0" fontId="50" fillId="0" borderId="10" xfId="0" applyFont="1" applyFill="1" applyBorder="1" applyAlignment="1">
      <alignment vertical="center"/>
    </xf>
    <xf numFmtId="0" fontId="23" fillId="0" borderId="10" xfId="0" applyFont="1" applyFill="1" applyBorder="1" applyAlignment="1">
      <alignment vertical="center"/>
    </xf>
    <xf numFmtId="0" fontId="59" fillId="0" borderId="0" xfId="0" applyFont="1" applyBorder="1"/>
    <xf numFmtId="0" fontId="60" fillId="0" borderId="0" xfId="0" applyFont="1"/>
    <xf numFmtId="0" fontId="8" fillId="0" borderId="31" xfId="0" applyFont="1" applyFill="1" applyBorder="1" applyAlignment="1">
      <alignment horizontal="center" vertical="center"/>
    </xf>
    <xf numFmtId="0" fontId="10" fillId="0" borderId="63" xfId="0" applyFont="1" applyFill="1" applyBorder="1" applyAlignment="1">
      <alignment horizontal="left" vertical="center"/>
    </xf>
    <xf numFmtId="0" fontId="10" fillId="0" borderId="63" xfId="0" applyFont="1" applyFill="1" applyBorder="1" applyAlignment="1">
      <alignment horizontal="center" vertical="center"/>
    </xf>
    <xf numFmtId="0" fontId="10" fillId="0" borderId="34" xfId="0" applyFont="1" applyFill="1" applyBorder="1" applyAlignment="1">
      <alignment horizontal="center" vertical="center"/>
    </xf>
    <xf numFmtId="0" fontId="20" fillId="5" borderId="53" xfId="0" applyFont="1" applyFill="1" applyBorder="1" applyAlignment="1">
      <alignment horizontal="center" vertical="center"/>
    </xf>
    <xf numFmtId="0" fontId="20" fillId="6" borderId="66" xfId="0" applyFont="1" applyFill="1" applyBorder="1" applyAlignment="1"/>
    <xf numFmtId="0" fontId="61" fillId="0" borderId="0" xfId="0" applyFont="1"/>
    <xf numFmtId="0" fontId="19" fillId="0" borderId="0" xfId="0" applyFont="1" applyFill="1" applyAlignment="1">
      <alignment wrapText="1"/>
    </xf>
    <xf numFmtId="0" fontId="62" fillId="0" borderId="0" xfId="0" applyFont="1" applyAlignment="1">
      <alignment wrapText="1"/>
    </xf>
    <xf numFmtId="0" fontId="58" fillId="0" borderId="0" xfId="0" applyFont="1" applyFill="1"/>
    <xf numFmtId="0" fontId="53" fillId="0" borderId="0" xfId="0" applyFont="1" applyFill="1"/>
    <xf numFmtId="0" fontId="58" fillId="0" borderId="0" xfId="0" applyFont="1"/>
    <xf numFmtId="0" fontId="53" fillId="0" borderId="0" xfId="0" applyFont="1"/>
    <xf numFmtId="0" fontId="65" fillId="0" borderId="36" xfId="0" applyFont="1" applyFill="1" applyBorder="1" applyAlignment="1">
      <alignment horizontal="center" vertical="center" textRotation="90" wrapText="1"/>
    </xf>
    <xf numFmtId="0" fontId="33" fillId="0" borderId="27" xfId="0" applyFont="1" applyFill="1" applyBorder="1" applyAlignment="1">
      <alignment horizontal="center" vertical="center"/>
    </xf>
    <xf numFmtId="0" fontId="38" fillId="0" borderId="27" xfId="0" applyFont="1" applyFill="1" applyBorder="1" applyAlignment="1">
      <alignment horizontal="center" vertical="center"/>
    </xf>
    <xf numFmtId="0" fontId="48" fillId="0" borderId="27" xfId="0" applyFont="1" applyFill="1" applyBorder="1" applyAlignment="1">
      <alignment horizontal="center" vertical="center"/>
    </xf>
    <xf numFmtId="0" fontId="44" fillId="0" borderId="27" xfId="0" applyFont="1" applyFill="1" applyBorder="1" applyAlignment="1">
      <alignment horizontal="center" vertical="center"/>
    </xf>
    <xf numFmtId="0" fontId="65" fillId="0" borderId="26" xfId="0" applyFont="1" applyFill="1" applyBorder="1" applyAlignment="1">
      <alignment horizontal="center" vertical="center"/>
    </xf>
    <xf numFmtId="0" fontId="65" fillId="0" borderId="27" xfId="0" applyFont="1" applyFill="1" applyBorder="1" applyAlignment="1">
      <alignment horizontal="center" vertical="center"/>
    </xf>
    <xf numFmtId="0" fontId="65" fillId="0" borderId="50" xfId="0" applyFont="1" applyFill="1" applyBorder="1" applyAlignment="1">
      <alignment horizontal="center" vertical="center"/>
    </xf>
    <xf numFmtId="0" fontId="25" fillId="0" borderId="0" xfId="0" applyFont="1"/>
    <xf numFmtId="0" fontId="66" fillId="0" borderId="0" xfId="0" applyFont="1"/>
    <xf numFmtId="0" fontId="65" fillId="0" borderId="5" xfId="0" applyFont="1" applyFill="1" applyBorder="1" applyAlignment="1">
      <alignment horizontal="center" vertical="center" textRotation="90" wrapText="1"/>
    </xf>
    <xf numFmtId="0" fontId="41" fillId="5" borderId="53" xfId="0" applyFont="1" applyFill="1" applyBorder="1" applyAlignment="1">
      <alignment vertical="center"/>
    </xf>
    <xf numFmtId="0" fontId="15" fillId="0" borderId="0" xfId="0" applyFont="1"/>
    <xf numFmtId="0" fontId="51" fillId="6" borderId="41" xfId="0" applyFont="1" applyFill="1" applyBorder="1" applyAlignment="1"/>
    <xf numFmtId="0" fontId="20" fillId="6" borderId="29" xfId="0" applyFont="1" applyFill="1" applyBorder="1" applyAlignment="1"/>
    <xf numFmtId="0" fontId="54" fillId="0" borderId="0" xfId="0" applyFont="1" applyAlignment="1">
      <alignment horizontal="center"/>
    </xf>
    <xf numFmtId="0" fontId="67" fillId="0" borderId="14" xfId="0" applyFont="1" applyFill="1" applyBorder="1" applyAlignment="1">
      <alignment horizontal="center" vertical="center" wrapText="1"/>
    </xf>
    <xf numFmtId="0" fontId="67" fillId="0" borderId="0" xfId="0" applyFont="1" applyFill="1" applyBorder="1" applyAlignment="1">
      <alignment horizontal="center" vertical="center" wrapText="1"/>
    </xf>
    <xf numFmtId="0" fontId="67" fillId="0" borderId="13" xfId="0" applyFont="1" applyFill="1" applyBorder="1" applyAlignment="1">
      <alignment horizontal="center" vertical="center" wrapText="1"/>
    </xf>
    <xf numFmtId="0" fontId="54" fillId="2" borderId="44" xfId="0" applyFont="1" applyFill="1" applyBorder="1" applyAlignment="1">
      <alignment horizontal="center" vertical="center" wrapText="1"/>
    </xf>
    <xf numFmtId="0" fontId="54" fillId="2" borderId="54" xfId="0" applyFont="1" applyFill="1" applyBorder="1" applyAlignment="1">
      <alignment horizontal="center" vertical="center" wrapText="1"/>
    </xf>
    <xf numFmtId="0" fontId="54" fillId="2" borderId="56" xfId="0" applyFont="1" applyFill="1" applyBorder="1" applyAlignment="1">
      <alignment horizontal="center" vertical="center"/>
    </xf>
    <xf numFmtId="1" fontId="67" fillId="0" borderId="55" xfId="0" applyNumberFormat="1" applyFont="1" applyFill="1" applyBorder="1" applyAlignment="1">
      <alignment horizontal="center" vertical="center" wrapText="1"/>
    </xf>
    <xf numFmtId="1" fontId="67" fillId="0" borderId="35" xfId="0" applyNumberFormat="1" applyFont="1" applyFill="1" applyBorder="1" applyAlignment="1">
      <alignment horizontal="center" vertical="center" wrapText="1"/>
    </xf>
    <xf numFmtId="1" fontId="54" fillId="0" borderId="0" xfId="0" applyNumberFormat="1" applyFont="1" applyAlignment="1">
      <alignment horizontal="center"/>
    </xf>
    <xf numFmtId="1" fontId="67" fillId="0" borderId="29" xfId="0" applyNumberFormat="1" applyFont="1" applyFill="1" applyBorder="1" applyAlignment="1">
      <alignment horizontal="center" vertical="center" wrapText="1"/>
    </xf>
    <xf numFmtId="1" fontId="67" fillId="0" borderId="42" xfId="0" applyNumberFormat="1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left" vertical="center"/>
    </xf>
    <xf numFmtId="0" fontId="40" fillId="5" borderId="53" xfId="0" applyFont="1" applyFill="1" applyBorder="1" applyAlignment="1">
      <alignment vertical="center"/>
    </xf>
    <xf numFmtId="0" fontId="48" fillId="5" borderId="52" xfId="0" applyFont="1" applyFill="1" applyBorder="1" applyAlignment="1">
      <alignment vertical="center"/>
    </xf>
    <xf numFmtId="166" fontId="18" fillId="0" borderId="0" xfId="0" applyNumberFormat="1" applyFont="1" applyFill="1" applyAlignment="1"/>
    <xf numFmtId="0" fontId="16" fillId="0" borderId="0" xfId="0" applyFont="1" applyFill="1" applyAlignment="1">
      <alignment horizontal="center" vertical="center"/>
    </xf>
    <xf numFmtId="0" fontId="58" fillId="0" borderId="0" xfId="0" applyFont="1" applyFill="1" applyAlignment="1">
      <alignment horizontal="center" vertical="center"/>
    </xf>
    <xf numFmtId="0" fontId="53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 wrapText="1"/>
    </xf>
    <xf numFmtId="0" fontId="18" fillId="0" borderId="0" xfId="0" applyFont="1" applyFill="1"/>
    <xf numFmtId="0" fontId="15" fillId="0" borderId="0" xfId="0" applyFont="1" applyFill="1" applyAlignment="1">
      <alignment horizontal="right"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right" vertical="center"/>
    </xf>
    <xf numFmtId="166" fontId="15" fillId="0" borderId="0" xfId="0" applyNumberFormat="1" applyFont="1" applyFill="1" applyBorder="1" applyAlignment="1">
      <alignment vertical="center"/>
    </xf>
    <xf numFmtId="0" fontId="16" fillId="0" borderId="0" xfId="0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8" fillId="0" borderId="0" xfId="0" applyFont="1" applyFill="1" applyAlignment="1">
      <alignment horizontal="left" vertical="center" wrapText="1"/>
    </xf>
    <xf numFmtId="0" fontId="18" fillId="0" borderId="0" xfId="0" applyFont="1"/>
    <xf numFmtId="0" fontId="14" fillId="0" borderId="0" xfId="0" applyFont="1" applyFill="1"/>
    <xf numFmtId="0" fontId="14" fillId="0" borderId="0" xfId="0" applyFont="1" applyFill="1" applyAlignment="1">
      <alignment horizontal="center"/>
    </xf>
    <xf numFmtId="0" fontId="14" fillId="0" borderId="0" xfId="0" applyFont="1"/>
    <xf numFmtId="0" fontId="14" fillId="0" borderId="0" xfId="0" applyFont="1" applyFill="1" applyAlignment="1">
      <alignment wrapText="1"/>
    </xf>
    <xf numFmtId="0" fontId="14" fillId="0" borderId="0" xfId="0" applyFont="1" applyFill="1" applyAlignment="1">
      <alignment vertical="center"/>
    </xf>
    <xf numFmtId="0" fontId="14" fillId="0" borderId="0" xfId="0" applyFont="1" applyFill="1" applyAlignment="1">
      <alignment horizontal="center" vertical="center"/>
    </xf>
    <xf numFmtId="0" fontId="14" fillId="0" borderId="0" xfId="0" applyFont="1" applyAlignment="1">
      <alignment wrapText="1"/>
    </xf>
    <xf numFmtId="0" fontId="14" fillId="0" borderId="0" xfId="0" applyFont="1" applyFill="1" applyAlignment="1">
      <alignment horizontal="left"/>
    </xf>
    <xf numFmtId="0" fontId="14" fillId="0" borderId="0" xfId="0" applyFont="1" applyAlignment="1">
      <alignment horizontal="left"/>
    </xf>
    <xf numFmtId="0" fontId="14" fillId="0" borderId="0" xfId="0" applyFont="1" applyFill="1" applyAlignment="1">
      <alignment horizontal="left"/>
    </xf>
    <xf numFmtId="0" fontId="14" fillId="0" borderId="0" xfId="0" applyFont="1" applyFill="1" applyBorder="1" applyAlignment="1">
      <alignment horizontal="left" vertical="center" wrapText="1"/>
    </xf>
    <xf numFmtId="0" fontId="0" fillId="0" borderId="0" xfId="0" applyFill="1"/>
    <xf numFmtId="0" fontId="68" fillId="0" borderId="0" xfId="0" applyFont="1" applyFill="1"/>
    <xf numFmtId="0" fontId="69" fillId="0" borderId="0" xfId="0" applyFont="1" applyFill="1" applyBorder="1"/>
    <xf numFmtId="0" fontId="69" fillId="0" borderId="0" xfId="0" applyFont="1" applyFill="1"/>
    <xf numFmtId="0" fontId="69" fillId="0" borderId="0" xfId="0" applyFont="1" applyFill="1" applyAlignment="1">
      <alignment horizontal="right"/>
    </xf>
    <xf numFmtId="167" fontId="70" fillId="0" borderId="0" xfId="0" applyNumberFormat="1" applyFont="1" applyFill="1"/>
    <xf numFmtId="168" fontId="68" fillId="0" borderId="0" xfId="0" applyNumberFormat="1" applyFont="1" applyFill="1" applyAlignment="1">
      <alignment horizontal="center"/>
    </xf>
    <xf numFmtId="0" fontId="71" fillId="0" borderId="0" xfId="0" applyFont="1" applyFill="1" applyBorder="1"/>
    <xf numFmtId="0" fontId="69" fillId="0" borderId="7" xfId="0" applyFont="1" applyFill="1" applyBorder="1"/>
    <xf numFmtId="0" fontId="69" fillId="0" borderId="7" xfId="0" applyFont="1" applyFill="1" applyBorder="1" applyAlignment="1">
      <alignment vertical="top"/>
    </xf>
    <xf numFmtId="165" fontId="69" fillId="0" borderId="1" xfId="0" applyNumberFormat="1" applyFont="1" applyFill="1" applyBorder="1"/>
    <xf numFmtId="0" fontId="69" fillId="0" borderId="59" xfId="0" applyFont="1" applyFill="1" applyBorder="1"/>
    <xf numFmtId="0" fontId="0" fillId="0" borderId="0" xfId="0" applyFill="1" applyBorder="1"/>
    <xf numFmtId="0" fontId="72" fillId="0" borderId="0" xfId="0" applyFont="1" applyFill="1"/>
    <xf numFmtId="0" fontId="73" fillId="0" borderId="0" xfId="0" applyFont="1" applyBorder="1" applyAlignment="1">
      <alignment vertical="center"/>
    </xf>
    <xf numFmtId="1" fontId="31" fillId="0" borderId="22" xfId="0" applyNumberFormat="1" applyFont="1" applyBorder="1" applyAlignment="1">
      <alignment horizontal="left" vertical="top"/>
    </xf>
    <xf numFmtId="0" fontId="7" fillId="0" borderId="0" xfId="0" applyFont="1" applyFill="1"/>
    <xf numFmtId="0" fontId="68" fillId="0" borderId="0" xfId="0" applyFont="1" applyFill="1" applyBorder="1"/>
    <xf numFmtId="0" fontId="68" fillId="0" borderId="0" xfId="0" applyFont="1" applyFill="1" applyAlignment="1">
      <alignment vertical="center"/>
    </xf>
    <xf numFmtId="0" fontId="68" fillId="0" borderId="7" xfId="0" applyFont="1" applyFill="1" applyBorder="1"/>
    <xf numFmtId="0" fontId="7" fillId="0" borderId="0" xfId="0" applyFont="1" applyFill="1" applyBorder="1"/>
    <xf numFmtId="0" fontId="7" fillId="0" borderId="0" xfId="0" applyFont="1"/>
    <xf numFmtId="0" fontId="69" fillId="0" borderId="0" xfId="0" applyFont="1" applyFill="1" applyAlignment="1"/>
    <xf numFmtId="0" fontId="69" fillId="0" borderId="20" xfId="0" applyFont="1" applyFill="1" applyBorder="1"/>
    <xf numFmtId="0" fontId="69" fillId="0" borderId="22" xfId="0" applyFont="1" applyFill="1" applyBorder="1" applyAlignment="1"/>
    <xf numFmtId="168" fontId="70" fillId="0" borderId="0" xfId="0" applyNumberFormat="1" applyFont="1" applyFill="1" applyAlignment="1">
      <alignment horizontal="center"/>
    </xf>
    <xf numFmtId="169" fontId="68" fillId="0" borderId="1" xfId="0" applyNumberFormat="1" applyFont="1" applyFill="1" applyBorder="1"/>
    <xf numFmtId="170" fontId="68" fillId="0" borderId="1" xfId="0" applyNumberFormat="1" applyFont="1" applyFill="1" applyBorder="1"/>
    <xf numFmtId="0" fontId="76" fillId="0" borderId="0" xfId="0" applyFont="1" applyFill="1" applyBorder="1"/>
    <xf numFmtId="0" fontId="66" fillId="0" borderId="0" xfId="0" applyFont="1" applyFill="1" applyBorder="1" applyAlignment="1">
      <alignment horizontal="right"/>
    </xf>
    <xf numFmtId="0" fontId="66" fillId="0" borderId="0" xfId="0" applyFont="1" applyFill="1" applyBorder="1" applyAlignment="1">
      <alignment horizontal="left" vertical="top"/>
    </xf>
    <xf numFmtId="0" fontId="76" fillId="0" borderId="0" xfId="0" applyFont="1" applyFill="1"/>
    <xf numFmtId="0" fontId="75" fillId="0" borderId="0" xfId="0" applyFont="1" applyFill="1" applyAlignment="1"/>
    <xf numFmtId="168" fontId="69" fillId="0" borderId="0" xfId="0" applyNumberFormat="1" applyFont="1" applyFill="1" applyAlignment="1">
      <alignment horizontal="center"/>
    </xf>
    <xf numFmtId="0" fontId="56" fillId="0" borderId="0" xfId="0" applyFont="1" applyBorder="1" applyAlignment="1"/>
    <xf numFmtId="0" fontId="79" fillId="0" borderId="0" xfId="0" applyFont="1" applyAlignment="1">
      <alignment vertical="center"/>
    </xf>
    <xf numFmtId="0" fontId="80" fillId="0" borderId="0" xfId="0" applyFont="1"/>
    <xf numFmtId="0" fontId="82" fillId="0" borderId="54" xfId="0" applyFont="1" applyFill="1" applyBorder="1" applyAlignment="1">
      <alignment horizontal="center"/>
    </xf>
    <xf numFmtId="0" fontId="83" fillId="0" borderId="1" xfId="0" applyFont="1" applyFill="1" applyBorder="1" applyAlignment="1">
      <alignment horizontal="center" vertical="center" wrapText="1" shrinkToFit="1"/>
    </xf>
    <xf numFmtId="0" fontId="83" fillId="0" borderId="1" xfId="0" applyFont="1" applyFill="1" applyBorder="1" applyAlignment="1">
      <alignment horizontal="center"/>
    </xf>
    <xf numFmtId="0" fontId="78" fillId="0" borderId="0" xfId="0" applyFont="1"/>
    <xf numFmtId="0" fontId="83" fillId="0" borderId="16" xfId="0" applyFont="1" applyFill="1" applyBorder="1" applyAlignment="1">
      <alignment horizontal="center" vertical="center" wrapText="1" shrinkToFit="1"/>
    </xf>
    <xf numFmtId="0" fontId="81" fillId="0" borderId="1" xfId="0" applyFont="1" applyFill="1" applyBorder="1" applyAlignment="1">
      <alignment horizontal="center" vertical="center" wrapText="1"/>
    </xf>
    <xf numFmtId="0" fontId="82" fillId="0" borderId="1" xfId="0" applyFont="1" applyFill="1" applyBorder="1" applyAlignment="1">
      <alignment horizontal="center" vertical="center"/>
    </xf>
    <xf numFmtId="0" fontId="82" fillId="0" borderId="16" xfId="0" applyFont="1" applyFill="1" applyBorder="1" applyAlignment="1">
      <alignment horizontal="center" vertical="center"/>
    </xf>
    <xf numFmtId="0" fontId="81" fillId="0" borderId="44" xfId="0" applyFont="1" applyFill="1" applyBorder="1"/>
    <xf numFmtId="0" fontId="82" fillId="0" borderId="1" xfId="0" applyFont="1" applyFill="1" applyBorder="1"/>
    <xf numFmtId="0" fontId="81" fillId="0" borderId="37" xfId="0" applyFont="1" applyFill="1" applyBorder="1"/>
    <xf numFmtId="0" fontId="82" fillId="0" borderId="22" xfId="0" applyFont="1" applyFill="1" applyBorder="1"/>
    <xf numFmtId="0" fontId="82" fillId="0" borderId="19" xfId="0" applyFont="1" applyFill="1" applyBorder="1" applyAlignment="1"/>
    <xf numFmtId="0" fontId="82" fillId="0" borderId="22" xfId="0" applyFont="1" applyFill="1" applyBorder="1" applyAlignment="1"/>
    <xf numFmtId="1" fontId="66" fillId="0" borderId="22" xfId="0" applyNumberFormat="1" applyFont="1" applyFill="1" applyBorder="1"/>
    <xf numFmtId="0" fontId="0" fillId="0" borderId="0" xfId="0" applyAlignment="1">
      <alignment horizontal="left"/>
    </xf>
    <xf numFmtId="171" fontId="2" fillId="2" borderId="1" xfId="0" applyNumberFormat="1" applyFont="1" applyFill="1" applyBorder="1" applyAlignment="1">
      <alignment horizontal="center" vertical="center"/>
    </xf>
    <xf numFmtId="49" fontId="3" fillId="4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center"/>
    </xf>
    <xf numFmtId="14" fontId="85" fillId="4" borderId="0" xfId="0" applyNumberFormat="1" applyFont="1" applyFill="1"/>
    <xf numFmtId="14" fontId="84" fillId="0" borderId="0" xfId="0" applyNumberFormat="1" applyFont="1"/>
    <xf numFmtId="0" fontId="84" fillId="0" borderId="0" xfId="0" applyFont="1"/>
    <xf numFmtId="0" fontId="86" fillId="0" borderId="0" xfId="0" applyFont="1" applyFill="1" applyAlignment="1">
      <alignment horizontal="center" vertical="center"/>
    </xf>
    <xf numFmtId="0" fontId="87" fillId="0" borderId="0" xfId="0" applyFont="1" applyFill="1" applyAlignment="1"/>
    <xf numFmtId="0" fontId="88" fillId="0" borderId="10" xfId="0" applyFont="1" applyFill="1" applyBorder="1" applyAlignment="1"/>
    <xf numFmtId="0" fontId="89" fillId="0" borderId="10" xfId="0" applyFont="1" applyFill="1" applyBorder="1" applyAlignment="1"/>
    <xf numFmtId="0" fontId="88" fillId="0" borderId="27" xfId="0" applyFont="1" applyFill="1" applyBorder="1" applyAlignment="1">
      <alignment horizontal="center" vertical="center"/>
    </xf>
    <xf numFmtId="0" fontId="91" fillId="0" borderId="0" xfId="0" applyFont="1" applyFill="1"/>
    <xf numFmtId="0" fontId="92" fillId="0" borderId="0" xfId="0" applyFont="1" applyFill="1" applyAlignment="1">
      <alignment horizontal="left"/>
    </xf>
    <xf numFmtId="0" fontId="92" fillId="0" borderId="0" xfId="0" applyFont="1" applyFill="1" applyAlignment="1">
      <alignment horizontal="left" vertical="center"/>
    </xf>
    <xf numFmtId="0" fontId="92" fillId="0" borderId="0" xfId="0" applyFont="1" applyAlignment="1">
      <alignment horizontal="left"/>
    </xf>
    <xf numFmtId="0" fontId="92" fillId="0" borderId="0" xfId="0" applyFont="1"/>
    <xf numFmtId="0" fontId="93" fillId="0" borderId="0" xfId="0" applyFont="1"/>
    <xf numFmtId="0" fontId="94" fillId="0" borderId="0" xfId="0" applyFont="1" applyFill="1" applyAlignment="1">
      <alignment horizontal="center" vertical="center"/>
    </xf>
    <xf numFmtId="0" fontId="95" fillId="0" borderId="0" xfId="0" applyFont="1" applyFill="1" applyAlignment="1">
      <alignment horizontal="center" vertical="center"/>
    </xf>
    <xf numFmtId="0" fontId="96" fillId="0" borderId="0" xfId="0" applyFont="1" applyFill="1" applyAlignment="1">
      <alignment horizontal="center" vertical="center"/>
    </xf>
    <xf numFmtId="166" fontId="97" fillId="0" borderId="0" xfId="0" applyNumberFormat="1" applyFont="1" applyFill="1" applyAlignment="1"/>
    <xf numFmtId="167" fontId="97" fillId="0" borderId="0" xfId="0" applyNumberFormat="1" applyFont="1" applyFill="1" applyAlignment="1"/>
    <xf numFmtId="166" fontId="97" fillId="0" borderId="0" xfId="0" applyNumberFormat="1" applyFont="1" applyFill="1"/>
    <xf numFmtId="0" fontId="97" fillId="0" borderId="0" xfId="0" applyFont="1" applyFill="1"/>
    <xf numFmtId="0" fontId="98" fillId="0" borderId="0" xfId="0" applyFont="1" applyFill="1"/>
    <xf numFmtId="0" fontId="99" fillId="0" borderId="10" xfId="0" applyFont="1" applyFill="1" applyBorder="1" applyAlignment="1"/>
    <xf numFmtId="0" fontId="99" fillId="0" borderId="27" xfId="0" applyFont="1" applyFill="1" applyBorder="1" applyAlignment="1">
      <alignment horizontal="center" vertical="center"/>
    </xf>
    <xf numFmtId="0" fontId="101" fillId="0" borderId="0" xfId="0" applyFont="1" applyFill="1"/>
    <xf numFmtId="0" fontId="100" fillId="0" borderId="0" xfId="0" applyFont="1" applyFill="1"/>
    <xf numFmtId="0" fontId="102" fillId="0" borderId="0" xfId="0" applyFont="1" applyFill="1" applyAlignment="1">
      <alignment horizontal="left"/>
    </xf>
    <xf numFmtId="0" fontId="103" fillId="0" borderId="0" xfId="0" applyFont="1" applyFill="1" applyAlignment="1">
      <alignment horizontal="left"/>
    </xf>
    <xf numFmtId="0" fontId="102" fillId="0" borderId="0" xfId="0" applyFont="1" applyAlignment="1">
      <alignment horizontal="left"/>
    </xf>
    <xf numFmtId="0" fontId="102" fillId="0" borderId="0" xfId="0" applyFont="1"/>
    <xf numFmtId="0" fontId="104" fillId="0" borderId="0" xfId="0" applyFont="1" applyFill="1" applyAlignment="1">
      <alignment horizontal="center" vertical="center"/>
    </xf>
    <xf numFmtId="0" fontId="104" fillId="0" borderId="0" xfId="0" applyFont="1" applyAlignment="1">
      <alignment horizontal="center" vertical="center"/>
    </xf>
    <xf numFmtId="0" fontId="104" fillId="0" borderId="0" xfId="0" applyFont="1" applyFill="1" applyAlignment="1">
      <alignment horizontal="center" vertical="center" wrapText="1"/>
    </xf>
    <xf numFmtId="0" fontId="105" fillId="0" borderId="0" xfId="0" applyFont="1" applyFill="1"/>
    <xf numFmtId="166" fontId="105" fillId="0" borderId="0" xfId="0" applyNumberFormat="1" applyFont="1" applyFill="1" applyAlignment="1">
      <alignment horizontal="right"/>
    </xf>
    <xf numFmtId="0" fontId="105" fillId="0" borderId="0" xfId="0" applyFont="1" applyFill="1" applyAlignment="1">
      <alignment wrapText="1"/>
    </xf>
    <xf numFmtId="0" fontId="104" fillId="0" borderId="0" xfId="0" applyFont="1" applyFill="1"/>
    <xf numFmtId="0" fontId="58" fillId="0" borderId="0" xfId="0" applyFont="1" applyFill="1" applyAlignment="1">
      <alignment horizontal="left"/>
    </xf>
    <xf numFmtId="1" fontId="58" fillId="0" borderId="0" xfId="0" applyNumberFormat="1" applyFont="1" applyFill="1" applyAlignment="1">
      <alignment horizontal="left"/>
    </xf>
    <xf numFmtId="0" fontId="58" fillId="0" borderId="0" xfId="0" applyFont="1" applyFill="1" applyAlignment="1">
      <alignment horizontal="left" wrapText="1"/>
    </xf>
    <xf numFmtId="0" fontId="58" fillId="0" borderId="0" xfId="0" applyFont="1" applyAlignment="1">
      <alignment horizontal="left"/>
    </xf>
    <xf numFmtId="0" fontId="3" fillId="4" borderId="0" xfId="0" applyFont="1" applyFill="1" applyAlignment="1">
      <alignment horizontal="left"/>
    </xf>
    <xf numFmtId="0" fontId="47" fillId="0" borderId="0" xfId="0" applyFont="1" applyFill="1"/>
    <xf numFmtId="0" fontId="102" fillId="0" borderId="0" xfId="0" applyFont="1" applyFill="1" applyAlignment="1">
      <alignment horizontal="left"/>
    </xf>
    <xf numFmtId="0" fontId="14" fillId="0" borderId="0" xfId="0" applyFont="1" applyFill="1" applyAlignment="1">
      <alignment horizontal="left"/>
    </xf>
    <xf numFmtId="0" fontId="14" fillId="0" borderId="0" xfId="0" applyFont="1" applyFill="1" applyAlignment="1">
      <alignment horizontal="left"/>
    </xf>
    <xf numFmtId="0" fontId="41" fillId="6" borderId="66" xfId="0" applyFont="1" applyFill="1" applyBorder="1" applyAlignment="1"/>
    <xf numFmtId="0" fontId="33" fillId="0" borderId="49" xfId="0" applyFont="1" applyFill="1" applyBorder="1" applyAlignment="1">
      <alignment horizontal="center" vertical="center"/>
    </xf>
    <xf numFmtId="0" fontId="20" fillId="5" borderId="52" xfId="0" applyFont="1" applyFill="1" applyBorder="1" applyAlignment="1">
      <alignment vertical="center" wrapText="1"/>
    </xf>
    <xf numFmtId="0" fontId="20" fillId="6" borderId="52" xfId="0" applyFont="1" applyFill="1" applyBorder="1" applyAlignment="1">
      <alignment wrapText="1"/>
    </xf>
    <xf numFmtId="0" fontId="20" fillId="6" borderId="50" xfId="0" applyFont="1" applyFill="1" applyBorder="1" applyAlignment="1"/>
    <xf numFmtId="0" fontId="34" fillId="9" borderId="32" xfId="0" applyFont="1" applyFill="1" applyBorder="1" applyAlignment="1">
      <alignment horizontal="center"/>
    </xf>
    <xf numFmtId="0" fontId="47" fillId="2" borderId="0" xfId="0" applyFont="1" applyFill="1"/>
    <xf numFmtId="49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  <xf numFmtId="0" fontId="0" fillId="2" borderId="0" xfId="0" applyFill="1" applyAlignment="1">
      <alignment horizontal="left"/>
    </xf>
    <xf numFmtId="0" fontId="107" fillId="0" borderId="0" xfId="0" applyFont="1" applyFill="1" applyAlignment="1">
      <alignment horizontal="left"/>
    </xf>
    <xf numFmtId="0" fontId="107" fillId="0" borderId="0" xfId="0" applyFont="1" applyFill="1"/>
    <xf numFmtId="0" fontId="106" fillId="0" borderId="0" xfId="0" applyFont="1"/>
    <xf numFmtId="0" fontId="65" fillId="0" borderId="36" xfId="0" applyFont="1" applyFill="1" applyBorder="1" applyAlignment="1">
      <alignment horizontal="center" vertical="center"/>
    </xf>
    <xf numFmtId="0" fontId="65" fillId="0" borderId="5" xfId="0" applyFont="1" applyFill="1" applyBorder="1" applyAlignment="1">
      <alignment horizontal="center" vertical="center"/>
    </xf>
    <xf numFmtId="0" fontId="20" fillId="5" borderId="78" xfId="0" applyFont="1" applyFill="1" applyBorder="1" applyAlignment="1">
      <alignment horizontal="center" vertical="center"/>
    </xf>
    <xf numFmtId="0" fontId="17" fillId="0" borderId="77" xfId="0" applyFont="1" applyFill="1" applyBorder="1" applyAlignment="1">
      <alignment horizontal="center" vertical="center" wrapText="1"/>
    </xf>
    <xf numFmtId="0" fontId="17" fillId="0" borderId="12" xfId="0" applyFont="1" applyFill="1" applyBorder="1" applyAlignment="1">
      <alignment horizontal="center" vertical="center" wrapText="1"/>
    </xf>
    <xf numFmtId="0" fontId="17" fillId="0" borderId="24" xfId="0" applyFont="1" applyFill="1" applyBorder="1" applyAlignment="1">
      <alignment horizontal="center" vertical="center" wrapText="1"/>
    </xf>
    <xf numFmtId="0" fontId="65" fillId="0" borderId="36" xfId="0" applyFont="1" applyFill="1" applyBorder="1" applyAlignment="1">
      <alignment horizontal="left" vertical="center" wrapText="1" shrinkToFit="1"/>
    </xf>
    <xf numFmtId="165" fontId="13" fillId="0" borderId="32" xfId="0" applyNumberFormat="1" applyFont="1" applyFill="1" applyBorder="1" applyAlignment="1">
      <alignment horizontal="center" vertical="center" wrapText="1"/>
    </xf>
    <xf numFmtId="165" fontId="13" fillId="0" borderId="63" xfId="0" applyNumberFormat="1" applyFont="1" applyFill="1" applyBorder="1" applyAlignment="1">
      <alignment horizontal="center" vertical="center" wrapText="1"/>
    </xf>
    <xf numFmtId="165" fontId="108" fillId="0" borderId="63" xfId="0" applyNumberFormat="1" applyFont="1" applyFill="1" applyBorder="1" applyAlignment="1">
      <alignment horizontal="center" vertical="center" wrapText="1"/>
    </xf>
    <xf numFmtId="165" fontId="109" fillId="0" borderId="63" xfId="0" applyNumberFormat="1" applyFont="1" applyFill="1" applyBorder="1" applyAlignment="1">
      <alignment horizontal="center" vertical="center" wrapText="1"/>
    </xf>
    <xf numFmtId="165" fontId="110" fillId="0" borderId="63" xfId="0" applyNumberFormat="1" applyFont="1" applyFill="1" applyBorder="1" applyAlignment="1">
      <alignment horizontal="center" vertical="center" wrapText="1"/>
    </xf>
    <xf numFmtId="165" fontId="13" fillId="0" borderId="4" xfId="0" applyNumberFormat="1" applyFont="1" applyFill="1" applyBorder="1" applyAlignment="1">
      <alignment horizontal="center" vertical="center" wrapText="1"/>
    </xf>
    <xf numFmtId="165" fontId="13" fillId="0" borderId="1" xfId="0" applyNumberFormat="1" applyFont="1" applyFill="1" applyBorder="1" applyAlignment="1">
      <alignment horizontal="center" vertical="center" wrapText="1"/>
    </xf>
    <xf numFmtId="165" fontId="108" fillId="0" borderId="1" xfId="0" applyNumberFormat="1" applyFont="1" applyFill="1" applyBorder="1" applyAlignment="1">
      <alignment horizontal="center" vertical="center" wrapText="1"/>
    </xf>
    <xf numFmtId="165" fontId="109" fillId="0" borderId="1" xfId="0" applyNumberFormat="1" applyFont="1" applyFill="1" applyBorder="1" applyAlignment="1">
      <alignment horizontal="center" vertical="center" wrapText="1"/>
    </xf>
    <xf numFmtId="165" fontId="110" fillId="0" borderId="1" xfId="0" applyNumberFormat="1" applyFont="1" applyFill="1" applyBorder="1" applyAlignment="1">
      <alignment horizontal="center" vertical="center" wrapText="1"/>
    </xf>
    <xf numFmtId="165" fontId="13" fillId="0" borderId="39" xfId="0" applyNumberFormat="1" applyFont="1" applyFill="1" applyBorder="1" applyAlignment="1">
      <alignment horizontal="center" vertical="center" wrapText="1"/>
    </xf>
    <xf numFmtId="165" fontId="13" fillId="0" borderId="40" xfId="0" applyNumberFormat="1" applyFont="1" applyFill="1" applyBorder="1" applyAlignment="1">
      <alignment horizontal="center" vertical="center" wrapText="1"/>
    </xf>
    <xf numFmtId="165" fontId="13" fillId="0" borderId="40" xfId="0" applyNumberFormat="1" applyFont="1" applyFill="1" applyBorder="1" applyAlignment="1">
      <alignment horizontal="center" vertical="center" shrinkToFit="1"/>
    </xf>
    <xf numFmtId="165" fontId="13" fillId="0" borderId="40" xfId="0" applyNumberFormat="1" applyFont="1" applyFill="1" applyBorder="1" applyAlignment="1">
      <alignment horizontal="center" vertical="center" wrapText="1" shrinkToFit="1"/>
    </xf>
    <xf numFmtId="165" fontId="13" fillId="0" borderId="40" xfId="0" applyNumberFormat="1" applyFont="1" applyFill="1" applyBorder="1" applyAlignment="1">
      <alignment horizontal="center" vertical="center"/>
    </xf>
    <xf numFmtId="165" fontId="108" fillId="0" borderId="40" xfId="0" applyNumberFormat="1" applyFont="1" applyFill="1" applyBorder="1" applyAlignment="1">
      <alignment horizontal="center" vertical="center" wrapText="1"/>
    </xf>
    <xf numFmtId="165" fontId="109" fillId="0" borderId="40" xfId="0" applyNumberFormat="1" applyFont="1" applyFill="1" applyBorder="1" applyAlignment="1">
      <alignment horizontal="center" vertical="center" wrapText="1"/>
    </xf>
    <xf numFmtId="165" fontId="109" fillId="0" borderId="40" xfId="0" applyNumberFormat="1" applyFont="1" applyFill="1" applyBorder="1" applyAlignment="1">
      <alignment horizontal="center" vertical="center"/>
    </xf>
    <xf numFmtId="165" fontId="110" fillId="0" borderId="40" xfId="0" applyNumberFormat="1" applyFont="1" applyFill="1" applyBorder="1" applyAlignment="1">
      <alignment horizontal="center" vertical="center"/>
    </xf>
    <xf numFmtId="165" fontId="110" fillId="0" borderId="40" xfId="0" applyNumberFormat="1" applyFont="1" applyFill="1" applyBorder="1" applyAlignment="1">
      <alignment horizontal="center" vertical="center" wrapText="1"/>
    </xf>
    <xf numFmtId="0" fontId="23" fillId="9" borderId="39" xfId="0" applyFont="1" applyFill="1" applyBorder="1" applyAlignment="1">
      <alignment horizontal="center" vertical="center" textRotation="90" wrapText="1"/>
    </xf>
    <xf numFmtId="0" fontId="23" fillId="9" borderId="40" xfId="0" applyFont="1" applyFill="1" applyBorder="1" applyAlignment="1">
      <alignment horizontal="center" vertical="center" textRotation="90" wrapText="1"/>
    </xf>
    <xf numFmtId="0" fontId="111" fillId="13" borderId="39" xfId="0" applyFont="1" applyFill="1" applyBorder="1" applyAlignment="1">
      <alignment horizontal="center" vertical="center" textRotation="90" wrapText="1"/>
    </xf>
    <xf numFmtId="0" fontId="111" fillId="11" borderId="39" xfId="0" applyFont="1" applyFill="1" applyBorder="1" applyAlignment="1">
      <alignment horizontal="center" vertical="center" textRotation="90" wrapText="1"/>
    </xf>
    <xf numFmtId="0" fontId="50" fillId="3" borderId="39" xfId="0" applyFont="1" applyFill="1" applyBorder="1" applyAlignment="1">
      <alignment horizontal="center" vertical="center" textRotation="90" wrapText="1"/>
    </xf>
    <xf numFmtId="0" fontId="112" fillId="12" borderId="39" xfId="0" applyFont="1" applyFill="1" applyBorder="1" applyAlignment="1">
      <alignment horizontal="center" vertical="center" textRotation="90" wrapText="1"/>
    </xf>
    <xf numFmtId="0" fontId="89" fillId="10" borderId="39" xfId="0" applyFont="1" applyFill="1" applyBorder="1" applyAlignment="1">
      <alignment horizontal="center" vertical="center" textRotation="90" wrapText="1"/>
    </xf>
    <xf numFmtId="0" fontId="100" fillId="3" borderId="39" xfId="0" applyFont="1" applyFill="1" applyBorder="1" applyAlignment="1">
      <alignment horizontal="center" vertical="center" textRotation="90" wrapText="1"/>
    </xf>
    <xf numFmtId="0" fontId="50" fillId="2" borderId="39" xfId="0" applyFont="1" applyFill="1" applyBorder="1" applyAlignment="1">
      <alignment horizontal="center" vertical="center" textRotation="90" wrapText="1"/>
    </xf>
    <xf numFmtId="0" fontId="50" fillId="0" borderId="39" xfId="0" applyFont="1" applyFill="1" applyBorder="1" applyAlignment="1">
      <alignment horizontal="center" vertical="center" textRotation="90" wrapText="1"/>
    </xf>
    <xf numFmtId="0" fontId="50" fillId="13" borderId="39" xfId="0" applyFont="1" applyFill="1" applyBorder="1" applyAlignment="1">
      <alignment horizontal="center" vertical="center" textRotation="90" wrapText="1"/>
    </xf>
    <xf numFmtId="0" fontId="33" fillId="2" borderId="32" xfId="0" applyFont="1" applyFill="1" applyBorder="1" applyAlignment="1">
      <alignment horizontal="center" vertical="center"/>
    </xf>
    <xf numFmtId="0" fontId="33" fillId="2" borderId="63" xfId="0" applyFont="1" applyFill="1" applyBorder="1" applyAlignment="1">
      <alignment horizontal="center" vertical="center"/>
    </xf>
    <xf numFmtId="0" fontId="38" fillId="2" borderId="63" xfId="0" applyFont="1" applyFill="1" applyBorder="1" applyAlignment="1">
      <alignment horizontal="center" vertical="center"/>
    </xf>
    <xf numFmtId="0" fontId="48" fillId="2" borderId="63" xfId="0" applyFont="1" applyFill="1" applyBorder="1" applyAlignment="1">
      <alignment horizontal="center" vertical="center"/>
    </xf>
    <xf numFmtId="0" fontId="44" fillId="2" borderId="63" xfId="0" applyFont="1" applyFill="1" applyBorder="1" applyAlignment="1">
      <alignment horizontal="center" vertical="center"/>
    </xf>
    <xf numFmtId="0" fontId="88" fillId="2" borderId="63" xfId="0" applyFont="1" applyFill="1" applyBorder="1" applyAlignment="1">
      <alignment horizontal="center" vertical="center"/>
    </xf>
    <xf numFmtId="0" fontId="99" fillId="2" borderId="63" xfId="0" applyFont="1" applyFill="1" applyBorder="1" applyAlignment="1">
      <alignment horizontal="center" vertical="center"/>
    </xf>
    <xf numFmtId="0" fontId="48" fillId="2" borderId="63" xfId="0" applyNumberFormat="1" applyFont="1" applyFill="1" applyBorder="1" applyAlignment="1">
      <alignment horizontal="center" vertical="center"/>
    </xf>
    <xf numFmtId="0" fontId="48" fillId="2" borderId="63" xfId="0" applyNumberFormat="1" applyFont="1" applyFill="1" applyBorder="1" applyAlignment="1">
      <alignment horizontal="center" vertical="center" wrapText="1"/>
    </xf>
    <xf numFmtId="0" fontId="65" fillId="2" borderId="31" xfId="0" applyFont="1" applyFill="1" applyBorder="1" applyAlignment="1">
      <alignment horizontal="center" vertical="center"/>
    </xf>
    <xf numFmtId="0" fontId="65" fillId="2" borderId="63" xfId="0" applyFont="1" applyFill="1" applyBorder="1" applyAlignment="1">
      <alignment horizontal="center" vertical="center"/>
    </xf>
    <xf numFmtId="165" fontId="65" fillId="2" borderId="63" xfId="0" applyNumberFormat="1" applyFont="1" applyFill="1" applyBorder="1" applyAlignment="1">
      <alignment horizontal="center" vertical="center"/>
    </xf>
    <xf numFmtId="0" fontId="65" fillId="2" borderId="34" xfId="0" applyFont="1" applyFill="1" applyBorder="1" applyAlignment="1">
      <alignment horizontal="center" vertical="center"/>
    </xf>
    <xf numFmtId="0" fontId="33" fillId="2" borderId="4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/>
    </xf>
    <xf numFmtId="0" fontId="48" fillId="2" borderId="1" xfId="0" applyFont="1" applyFill="1" applyBorder="1" applyAlignment="1">
      <alignment horizontal="center" vertical="center"/>
    </xf>
    <xf numFmtId="0" fontId="44" fillId="2" borderId="1" xfId="0" applyFont="1" applyFill="1" applyBorder="1" applyAlignment="1">
      <alignment horizontal="center" vertical="center"/>
    </xf>
    <xf numFmtId="0" fontId="88" fillId="2" borderId="1" xfId="0" applyFont="1" applyFill="1" applyBorder="1" applyAlignment="1">
      <alignment horizontal="center" vertical="center"/>
    </xf>
    <xf numFmtId="0" fontId="99" fillId="2" borderId="1" xfId="0" applyFont="1" applyFill="1" applyBorder="1" applyAlignment="1">
      <alignment horizontal="center" vertical="center"/>
    </xf>
    <xf numFmtId="0" fontId="48" fillId="2" borderId="1" xfId="0" applyNumberFormat="1" applyFont="1" applyFill="1" applyBorder="1" applyAlignment="1">
      <alignment horizontal="center" vertical="center"/>
    </xf>
    <xf numFmtId="0" fontId="48" fillId="2" borderId="1" xfId="0" applyNumberFormat="1" applyFont="1" applyFill="1" applyBorder="1" applyAlignment="1">
      <alignment horizontal="center" vertical="center" wrapText="1"/>
    </xf>
    <xf numFmtId="0" fontId="65" fillId="2" borderId="37" xfId="0" applyFont="1" applyFill="1" applyBorder="1" applyAlignment="1">
      <alignment horizontal="center" vertical="center"/>
    </xf>
    <xf numFmtId="0" fontId="65" fillId="2" borderId="1" xfId="0" applyFont="1" applyFill="1" applyBorder="1" applyAlignment="1">
      <alignment horizontal="center" vertical="center"/>
    </xf>
    <xf numFmtId="0" fontId="65" fillId="2" borderId="18" xfId="0" applyFont="1" applyFill="1" applyBorder="1" applyAlignment="1">
      <alignment horizontal="center" vertical="center"/>
    </xf>
    <xf numFmtId="0" fontId="33" fillId="2" borderId="15" xfId="0" applyFont="1" applyFill="1" applyBorder="1" applyAlignment="1">
      <alignment horizontal="center" vertical="center"/>
    </xf>
    <xf numFmtId="0" fontId="33" fillId="2" borderId="16" xfId="0" applyFont="1" applyFill="1" applyBorder="1" applyAlignment="1">
      <alignment horizontal="center" vertical="center"/>
    </xf>
    <xf numFmtId="0" fontId="38" fillId="2" borderId="16" xfId="0" applyFont="1" applyFill="1" applyBorder="1" applyAlignment="1">
      <alignment horizontal="center" vertical="center"/>
    </xf>
    <xf numFmtId="0" fontId="48" fillId="2" borderId="16" xfId="0" applyFont="1" applyFill="1" applyBorder="1" applyAlignment="1">
      <alignment horizontal="center" vertical="center"/>
    </xf>
    <xf numFmtId="0" fontId="44" fillId="2" borderId="16" xfId="0" applyFont="1" applyFill="1" applyBorder="1" applyAlignment="1">
      <alignment horizontal="center" vertical="center"/>
    </xf>
    <xf numFmtId="0" fontId="88" fillId="2" borderId="16" xfId="0" applyFont="1" applyFill="1" applyBorder="1" applyAlignment="1">
      <alignment horizontal="center" vertical="center"/>
    </xf>
    <xf numFmtId="0" fontId="99" fillId="2" borderId="16" xfId="0" applyFont="1" applyFill="1" applyBorder="1" applyAlignment="1">
      <alignment horizontal="center" vertical="center"/>
    </xf>
    <xf numFmtId="0" fontId="48" fillId="2" borderId="16" xfId="0" applyNumberFormat="1" applyFont="1" applyFill="1" applyBorder="1" applyAlignment="1">
      <alignment horizontal="center" vertical="center"/>
    </xf>
    <xf numFmtId="0" fontId="48" fillId="2" borderId="16" xfId="0" applyNumberFormat="1" applyFont="1" applyFill="1" applyBorder="1" applyAlignment="1">
      <alignment horizontal="center" vertical="center" wrapText="1"/>
    </xf>
    <xf numFmtId="0" fontId="65" fillId="2" borderId="60" xfId="0" applyFont="1" applyFill="1" applyBorder="1" applyAlignment="1">
      <alignment horizontal="center" vertical="center"/>
    </xf>
    <xf numFmtId="0" fontId="65" fillId="2" borderId="16" xfId="0" applyFont="1" applyFill="1" applyBorder="1" applyAlignment="1">
      <alignment horizontal="center" vertical="center"/>
    </xf>
    <xf numFmtId="0" fontId="65" fillId="2" borderId="45" xfId="0" applyFont="1" applyFill="1" applyBorder="1" applyAlignment="1">
      <alignment horizontal="center" vertical="center"/>
    </xf>
    <xf numFmtId="0" fontId="33" fillId="2" borderId="39" xfId="0" applyFont="1" applyFill="1" applyBorder="1" applyAlignment="1">
      <alignment horizontal="center" vertical="center"/>
    </xf>
    <xf numFmtId="0" fontId="33" fillId="2" borderId="40" xfId="0" applyFont="1" applyFill="1" applyBorder="1" applyAlignment="1">
      <alignment horizontal="center" vertical="center"/>
    </xf>
    <xf numFmtId="0" fontId="38" fillId="2" borderId="40" xfId="0" applyFont="1" applyFill="1" applyBorder="1" applyAlignment="1">
      <alignment horizontal="center" vertical="center"/>
    </xf>
    <xf numFmtId="0" fontId="48" fillId="2" borderId="40" xfId="0" applyFont="1" applyFill="1" applyBorder="1" applyAlignment="1">
      <alignment horizontal="center" vertical="center"/>
    </xf>
    <xf numFmtId="0" fontId="44" fillId="2" borderId="40" xfId="0" applyFont="1" applyFill="1" applyBorder="1" applyAlignment="1">
      <alignment horizontal="center" vertical="center"/>
    </xf>
    <xf numFmtId="0" fontId="88" fillId="2" borderId="40" xfId="0" applyFont="1" applyFill="1" applyBorder="1" applyAlignment="1">
      <alignment horizontal="center" vertical="center"/>
    </xf>
    <xf numFmtId="0" fontId="99" fillId="2" borderId="40" xfId="0" applyFont="1" applyFill="1" applyBorder="1" applyAlignment="1">
      <alignment horizontal="center" vertical="center"/>
    </xf>
    <xf numFmtId="2" fontId="99" fillId="2" borderId="40" xfId="0" applyNumberFormat="1" applyFont="1" applyFill="1" applyBorder="1" applyAlignment="1">
      <alignment horizontal="center" vertical="center"/>
    </xf>
    <xf numFmtId="0" fontId="48" fillId="2" borderId="40" xfId="0" applyNumberFormat="1" applyFont="1" applyFill="1" applyBorder="1" applyAlignment="1">
      <alignment horizontal="center" vertical="center"/>
    </xf>
    <xf numFmtId="0" fontId="48" fillId="2" borderId="40" xfId="0" applyNumberFormat="1" applyFont="1" applyFill="1" applyBorder="1" applyAlignment="1">
      <alignment horizontal="center" vertical="center" wrapText="1"/>
    </xf>
    <xf numFmtId="0" fontId="65" fillId="2" borderId="41" xfId="0" applyFont="1" applyFill="1" applyBorder="1" applyAlignment="1">
      <alignment horizontal="center" vertical="center"/>
    </xf>
    <xf numFmtId="0" fontId="65" fillId="2" borderId="40" xfId="0" applyFont="1" applyFill="1" applyBorder="1" applyAlignment="1">
      <alignment horizontal="center" vertical="center"/>
    </xf>
    <xf numFmtId="0" fontId="65" fillId="2" borderId="65" xfId="0" applyFont="1" applyFill="1" applyBorder="1" applyAlignment="1">
      <alignment horizontal="center" vertical="center"/>
    </xf>
    <xf numFmtId="0" fontId="33" fillId="2" borderId="20" xfId="0" applyFont="1" applyFill="1" applyBorder="1" applyAlignment="1">
      <alignment horizontal="center" vertical="center"/>
    </xf>
    <xf numFmtId="0" fontId="33" fillId="2" borderId="21" xfId="0" applyFont="1" applyFill="1" applyBorder="1" applyAlignment="1">
      <alignment horizontal="center" vertical="center"/>
    </xf>
    <xf numFmtId="0" fontId="38" fillId="2" borderId="21" xfId="0" applyFont="1" applyFill="1" applyBorder="1" applyAlignment="1">
      <alignment horizontal="center" vertical="center"/>
    </xf>
    <xf numFmtId="0" fontId="48" fillId="2" borderId="21" xfId="0" applyFont="1" applyFill="1" applyBorder="1" applyAlignment="1">
      <alignment horizontal="center" vertical="center"/>
    </xf>
    <xf numFmtId="0" fontId="44" fillId="2" borderId="21" xfId="0" applyFont="1" applyFill="1" applyBorder="1" applyAlignment="1">
      <alignment horizontal="center" vertical="center"/>
    </xf>
    <xf numFmtId="0" fontId="88" fillId="2" borderId="21" xfId="0" applyFont="1" applyFill="1" applyBorder="1" applyAlignment="1">
      <alignment horizontal="center" vertical="center"/>
    </xf>
    <xf numFmtId="0" fontId="99" fillId="2" borderId="21" xfId="0" applyFont="1" applyFill="1" applyBorder="1" applyAlignment="1">
      <alignment horizontal="center" vertical="center"/>
    </xf>
    <xf numFmtId="2" fontId="99" fillId="2" borderId="21" xfId="0" applyNumberFormat="1" applyFont="1" applyFill="1" applyBorder="1" applyAlignment="1">
      <alignment horizontal="center" vertical="center"/>
    </xf>
    <xf numFmtId="0" fontId="48" fillId="2" borderId="21" xfId="0" applyNumberFormat="1" applyFont="1" applyFill="1" applyBorder="1" applyAlignment="1">
      <alignment horizontal="center" vertical="center"/>
    </xf>
    <xf numFmtId="0" fontId="48" fillId="2" borderId="21" xfId="0" applyNumberFormat="1" applyFont="1" applyFill="1" applyBorder="1" applyAlignment="1">
      <alignment horizontal="center" vertical="center" wrapText="1"/>
    </xf>
    <xf numFmtId="0" fontId="65" fillId="2" borderId="61" xfId="0" applyFont="1" applyFill="1" applyBorder="1" applyAlignment="1">
      <alignment horizontal="center" vertical="center"/>
    </xf>
    <xf numFmtId="0" fontId="65" fillId="2" borderId="21" xfId="0" applyFont="1" applyFill="1" applyBorder="1" applyAlignment="1">
      <alignment horizontal="center" vertical="center"/>
    </xf>
    <xf numFmtId="0" fontId="65" fillId="2" borderId="62" xfId="0" applyFont="1" applyFill="1" applyBorder="1" applyAlignment="1">
      <alignment horizontal="center" vertical="center"/>
    </xf>
    <xf numFmtId="2" fontId="99" fillId="2" borderId="1" xfId="0" applyNumberFormat="1" applyFont="1" applyFill="1" applyBorder="1" applyAlignment="1">
      <alignment horizontal="center" vertical="center"/>
    </xf>
    <xf numFmtId="165" fontId="44" fillId="2" borderId="16" xfId="0" applyNumberFormat="1" applyFont="1" applyFill="1" applyBorder="1" applyAlignment="1">
      <alignment horizontal="center" vertical="center"/>
    </xf>
    <xf numFmtId="16" fontId="88" fillId="2" borderId="16" xfId="0" applyNumberFormat="1" applyFont="1" applyFill="1" applyBorder="1" applyAlignment="1">
      <alignment horizontal="center" vertical="center"/>
    </xf>
    <xf numFmtId="0" fontId="33" fillId="3" borderId="20" xfId="0" applyFont="1" applyFill="1" applyBorder="1" applyAlignment="1">
      <alignment horizontal="center" vertical="center"/>
    </xf>
    <xf numFmtId="0" fontId="33" fillId="3" borderId="21" xfId="0" applyFont="1" applyFill="1" applyBorder="1" applyAlignment="1">
      <alignment horizontal="center" vertical="center"/>
    </xf>
    <xf numFmtId="0" fontId="38" fillId="3" borderId="21" xfId="0" applyFont="1" applyFill="1" applyBorder="1" applyAlignment="1">
      <alignment horizontal="center" vertical="center"/>
    </xf>
    <xf numFmtId="0" fontId="48" fillId="3" borderId="21" xfId="0" applyFont="1" applyFill="1" applyBorder="1" applyAlignment="1">
      <alignment horizontal="center" vertical="center"/>
    </xf>
    <xf numFmtId="0" fontId="44" fillId="3" borderId="21" xfId="0" applyFont="1" applyFill="1" applyBorder="1" applyAlignment="1">
      <alignment horizontal="center" vertical="center"/>
    </xf>
    <xf numFmtId="0" fontId="88" fillId="3" borderId="21" xfId="0" applyFont="1" applyFill="1" applyBorder="1" applyAlignment="1">
      <alignment horizontal="center" vertical="center"/>
    </xf>
    <xf numFmtId="0" fontId="99" fillId="3" borderId="21" xfId="0" applyFont="1" applyFill="1" applyBorder="1" applyAlignment="1">
      <alignment horizontal="center" vertical="center"/>
    </xf>
    <xf numFmtId="0" fontId="48" fillId="3" borderId="21" xfId="0" applyNumberFormat="1" applyFont="1" applyFill="1" applyBorder="1" applyAlignment="1">
      <alignment horizontal="center" vertical="center"/>
    </xf>
    <xf numFmtId="0" fontId="48" fillId="3" borderId="21" xfId="0" applyNumberFormat="1" applyFont="1" applyFill="1" applyBorder="1" applyAlignment="1">
      <alignment horizontal="center" vertical="center" wrapText="1"/>
    </xf>
    <xf numFmtId="0" fontId="33" fillId="3" borderId="4" xfId="0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0" fontId="38" fillId="3" borderId="1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horizontal="center" vertical="center"/>
    </xf>
    <xf numFmtId="0" fontId="88" fillId="3" borderId="1" xfId="0" applyFont="1" applyFill="1" applyBorder="1" applyAlignment="1">
      <alignment horizontal="center" vertical="center"/>
    </xf>
    <xf numFmtId="0" fontId="99" fillId="3" borderId="1" xfId="0" applyFont="1" applyFill="1" applyBorder="1" applyAlignment="1">
      <alignment horizontal="center" vertical="center"/>
    </xf>
    <xf numFmtId="0" fontId="48" fillId="3" borderId="1" xfId="0" applyNumberFormat="1" applyFont="1" applyFill="1" applyBorder="1" applyAlignment="1">
      <alignment horizontal="center" vertical="center"/>
    </xf>
    <xf numFmtId="0" fontId="48" fillId="3" borderId="1" xfId="0" applyNumberFormat="1" applyFont="1" applyFill="1" applyBorder="1" applyAlignment="1">
      <alignment horizontal="center" vertical="center" wrapText="1"/>
    </xf>
    <xf numFmtId="0" fontId="33" fillId="3" borderId="15" xfId="0" applyFont="1" applyFill="1" applyBorder="1" applyAlignment="1">
      <alignment horizontal="center" vertical="center"/>
    </xf>
    <xf numFmtId="0" fontId="33" fillId="3" borderId="16" xfId="0" applyFont="1" applyFill="1" applyBorder="1" applyAlignment="1">
      <alignment horizontal="center" vertical="center"/>
    </xf>
    <xf numFmtId="0" fontId="38" fillId="3" borderId="16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16" xfId="0" applyFont="1" applyFill="1" applyBorder="1" applyAlignment="1">
      <alignment horizontal="center" vertical="center"/>
    </xf>
    <xf numFmtId="0" fontId="88" fillId="3" borderId="16" xfId="0" applyFont="1" applyFill="1" applyBorder="1" applyAlignment="1">
      <alignment horizontal="center" vertical="center"/>
    </xf>
    <xf numFmtId="0" fontId="99" fillId="3" borderId="16" xfId="0" applyFont="1" applyFill="1" applyBorder="1" applyAlignment="1">
      <alignment horizontal="center" vertical="center"/>
    </xf>
    <xf numFmtId="0" fontId="48" fillId="3" borderId="16" xfId="0" applyNumberFormat="1" applyFont="1" applyFill="1" applyBorder="1" applyAlignment="1">
      <alignment horizontal="center" vertical="center"/>
    </xf>
    <xf numFmtId="0" fontId="48" fillId="3" borderId="16" xfId="0" applyNumberFormat="1" applyFont="1" applyFill="1" applyBorder="1" applyAlignment="1">
      <alignment horizontal="center" vertical="center" wrapText="1"/>
    </xf>
    <xf numFmtId="0" fontId="33" fillId="3" borderId="32" xfId="0" applyFont="1" applyFill="1" applyBorder="1" applyAlignment="1">
      <alignment horizontal="center" vertical="center"/>
    </xf>
    <xf numFmtId="0" fontId="33" fillId="3" borderId="63" xfId="0" applyFont="1" applyFill="1" applyBorder="1" applyAlignment="1">
      <alignment horizontal="center" vertical="center"/>
    </xf>
    <xf numFmtId="0" fontId="38" fillId="3" borderId="63" xfId="0" applyFont="1" applyFill="1" applyBorder="1" applyAlignment="1">
      <alignment horizontal="center" vertical="center"/>
    </xf>
    <xf numFmtId="0" fontId="48" fillId="3" borderId="63" xfId="0" applyFont="1" applyFill="1" applyBorder="1" applyAlignment="1">
      <alignment horizontal="center" vertical="center"/>
    </xf>
    <xf numFmtId="0" fontId="44" fillId="3" borderId="63" xfId="0" applyFont="1" applyFill="1" applyBorder="1" applyAlignment="1">
      <alignment horizontal="center" vertical="center"/>
    </xf>
    <xf numFmtId="0" fontId="88" fillId="3" borderId="63" xfId="0" applyFont="1" applyFill="1" applyBorder="1" applyAlignment="1">
      <alignment horizontal="center" vertical="center"/>
    </xf>
    <xf numFmtId="0" fontId="99" fillId="3" borderId="63" xfId="0" applyFont="1" applyFill="1" applyBorder="1" applyAlignment="1">
      <alignment horizontal="center" vertical="center"/>
    </xf>
    <xf numFmtId="0" fontId="48" fillId="3" borderId="63" xfId="0" applyNumberFormat="1" applyFont="1" applyFill="1" applyBorder="1" applyAlignment="1">
      <alignment horizontal="center" vertical="center"/>
    </xf>
    <xf numFmtId="0" fontId="48" fillId="3" borderId="63" xfId="0" applyNumberFormat="1" applyFont="1" applyFill="1" applyBorder="1" applyAlignment="1">
      <alignment horizontal="center" vertical="center" wrapText="1"/>
    </xf>
    <xf numFmtId="0" fontId="33" fillId="3" borderId="39" xfId="0" applyFont="1" applyFill="1" applyBorder="1" applyAlignment="1">
      <alignment horizontal="center" vertical="center"/>
    </xf>
    <xf numFmtId="0" fontId="33" fillId="3" borderId="40" xfId="0" applyFont="1" applyFill="1" applyBorder="1" applyAlignment="1">
      <alignment horizontal="center" vertical="center"/>
    </xf>
    <xf numFmtId="0" fontId="38" fillId="3" borderId="40" xfId="0" applyFont="1" applyFill="1" applyBorder="1" applyAlignment="1">
      <alignment horizontal="center" vertical="center"/>
    </xf>
    <xf numFmtId="0" fontId="48" fillId="3" borderId="40" xfId="0" applyFont="1" applyFill="1" applyBorder="1" applyAlignment="1">
      <alignment horizontal="center" vertical="center"/>
    </xf>
    <xf numFmtId="0" fontId="44" fillId="3" borderId="40" xfId="0" applyFont="1" applyFill="1" applyBorder="1" applyAlignment="1">
      <alignment horizontal="center" vertical="center"/>
    </xf>
    <xf numFmtId="0" fontId="88" fillId="3" borderId="40" xfId="0" applyFont="1" applyFill="1" applyBorder="1" applyAlignment="1">
      <alignment horizontal="center" vertical="center"/>
    </xf>
    <xf numFmtId="0" fontId="99" fillId="3" borderId="40" xfId="0" applyFont="1" applyFill="1" applyBorder="1" applyAlignment="1">
      <alignment horizontal="center" vertical="center"/>
    </xf>
    <xf numFmtId="0" fontId="48" fillId="3" borderId="40" xfId="0" applyNumberFormat="1" applyFont="1" applyFill="1" applyBorder="1" applyAlignment="1">
      <alignment horizontal="center" vertical="center"/>
    </xf>
    <xf numFmtId="0" fontId="48" fillId="3" borderId="40" xfId="0" applyNumberFormat="1" applyFont="1" applyFill="1" applyBorder="1" applyAlignment="1">
      <alignment horizontal="center" vertical="center" wrapText="1"/>
    </xf>
    <xf numFmtId="14" fontId="38" fillId="3" borderId="63" xfId="0" applyNumberFormat="1" applyFont="1" applyFill="1" applyBorder="1" applyAlignment="1">
      <alignment horizontal="center" vertical="center"/>
    </xf>
    <xf numFmtId="0" fontId="48" fillId="3" borderId="40" xfId="0" applyFont="1" applyFill="1" applyBorder="1"/>
    <xf numFmtId="0" fontId="48" fillId="3" borderId="21" xfId="0" applyFont="1" applyFill="1" applyBorder="1"/>
    <xf numFmtId="0" fontId="48" fillId="3" borderId="1" xfId="0" applyFont="1" applyFill="1" applyBorder="1"/>
    <xf numFmtId="0" fontId="33" fillId="9" borderId="20" xfId="0" applyFont="1" applyFill="1" applyBorder="1" applyAlignment="1">
      <alignment horizontal="center" vertical="center"/>
    </xf>
    <xf numFmtId="0" fontId="33" fillId="9" borderId="21" xfId="0" applyFont="1" applyFill="1" applyBorder="1" applyAlignment="1">
      <alignment horizontal="center" vertical="center"/>
    </xf>
    <xf numFmtId="0" fontId="38" fillId="9" borderId="21" xfId="0" applyFont="1" applyFill="1" applyBorder="1" applyAlignment="1">
      <alignment horizontal="center" vertical="center"/>
    </xf>
    <xf numFmtId="0" fontId="48" fillId="9" borderId="21" xfId="0" applyFont="1" applyFill="1" applyBorder="1" applyAlignment="1">
      <alignment horizontal="center" vertical="center"/>
    </xf>
    <xf numFmtId="0" fontId="44" fillId="9" borderId="21" xfId="0" applyFont="1" applyFill="1" applyBorder="1" applyAlignment="1">
      <alignment horizontal="center" vertical="center"/>
    </xf>
    <xf numFmtId="0" fontId="88" fillId="9" borderId="21" xfId="0" applyFont="1" applyFill="1" applyBorder="1" applyAlignment="1">
      <alignment horizontal="center" vertical="center"/>
    </xf>
    <xf numFmtId="0" fontId="99" fillId="9" borderId="21" xfId="0" applyFont="1" applyFill="1" applyBorder="1" applyAlignment="1">
      <alignment horizontal="center" vertical="center"/>
    </xf>
    <xf numFmtId="0" fontId="48" fillId="9" borderId="21" xfId="0" applyNumberFormat="1" applyFont="1" applyFill="1" applyBorder="1" applyAlignment="1">
      <alignment horizontal="center" vertical="center"/>
    </xf>
    <xf numFmtId="0" fontId="48" fillId="9" borderId="21" xfId="0" applyNumberFormat="1" applyFont="1" applyFill="1" applyBorder="1" applyAlignment="1">
      <alignment horizontal="center" vertical="center" wrapText="1"/>
    </xf>
    <xf numFmtId="0" fontId="33" fillId="9" borderId="4" xfId="0" applyFont="1" applyFill="1" applyBorder="1" applyAlignment="1">
      <alignment horizontal="center" vertical="center"/>
    </xf>
    <xf numFmtId="0" fontId="33" fillId="9" borderId="1" xfId="0" applyFont="1" applyFill="1" applyBorder="1" applyAlignment="1">
      <alignment horizontal="center" vertical="center"/>
    </xf>
    <xf numFmtId="0" fontId="38" fillId="9" borderId="1" xfId="0" applyFont="1" applyFill="1" applyBorder="1" applyAlignment="1">
      <alignment horizontal="center" vertical="center"/>
    </xf>
    <xf numFmtId="0" fontId="48" fillId="9" borderId="1" xfId="0" applyFont="1" applyFill="1" applyBorder="1" applyAlignment="1">
      <alignment horizontal="center" vertical="center"/>
    </xf>
    <xf numFmtId="0" fontId="44" fillId="9" borderId="1" xfId="0" applyFont="1" applyFill="1" applyBorder="1" applyAlignment="1">
      <alignment horizontal="center" vertical="center"/>
    </xf>
    <xf numFmtId="0" fontId="88" fillId="9" borderId="1" xfId="0" applyFont="1" applyFill="1" applyBorder="1" applyAlignment="1">
      <alignment horizontal="center" vertical="center"/>
    </xf>
    <xf numFmtId="0" fontId="99" fillId="9" borderId="1" xfId="0" applyFont="1" applyFill="1" applyBorder="1" applyAlignment="1">
      <alignment horizontal="center" vertical="center"/>
    </xf>
    <xf numFmtId="0" fontId="48" fillId="9" borderId="1" xfId="0" applyNumberFormat="1" applyFont="1" applyFill="1" applyBorder="1" applyAlignment="1">
      <alignment horizontal="center" vertical="center"/>
    </xf>
    <xf numFmtId="0" fontId="48" fillId="9" borderId="1" xfId="0" applyNumberFormat="1" applyFont="1" applyFill="1" applyBorder="1" applyAlignment="1">
      <alignment horizontal="center" vertical="center" wrapText="1"/>
    </xf>
    <xf numFmtId="0" fontId="33" fillId="9" borderId="15" xfId="0" applyFont="1" applyFill="1" applyBorder="1" applyAlignment="1">
      <alignment horizontal="center" vertical="center"/>
    </xf>
    <xf numFmtId="0" fontId="33" fillId="9" borderId="16" xfId="0" applyFont="1" applyFill="1" applyBorder="1" applyAlignment="1">
      <alignment horizontal="center" vertical="center"/>
    </xf>
    <xf numFmtId="0" fontId="38" fillId="9" borderId="16" xfId="0" applyFont="1" applyFill="1" applyBorder="1" applyAlignment="1">
      <alignment horizontal="center" vertical="center"/>
    </xf>
    <xf numFmtId="0" fontId="48" fillId="9" borderId="16" xfId="0" applyFont="1" applyFill="1" applyBorder="1" applyAlignment="1">
      <alignment horizontal="center" vertical="center"/>
    </xf>
    <xf numFmtId="0" fontId="44" fillId="9" borderId="16" xfId="0" applyFont="1" applyFill="1" applyBorder="1" applyAlignment="1">
      <alignment horizontal="center" vertical="center"/>
    </xf>
    <xf numFmtId="0" fontId="88" fillId="9" borderId="16" xfId="0" applyFont="1" applyFill="1" applyBorder="1" applyAlignment="1">
      <alignment horizontal="center" vertical="center"/>
    </xf>
    <xf numFmtId="0" fontId="99" fillId="9" borderId="16" xfId="0" applyFont="1" applyFill="1" applyBorder="1" applyAlignment="1">
      <alignment horizontal="center" vertical="center"/>
    </xf>
    <xf numFmtId="0" fontId="48" fillId="9" borderId="16" xfId="0" applyNumberFormat="1" applyFont="1" applyFill="1" applyBorder="1" applyAlignment="1">
      <alignment horizontal="center" vertical="center"/>
    </xf>
    <xf numFmtId="0" fontId="48" fillId="9" borderId="16" xfId="0" applyNumberFormat="1" applyFont="1" applyFill="1" applyBorder="1" applyAlignment="1">
      <alignment horizontal="center" vertical="center" wrapText="1"/>
    </xf>
    <xf numFmtId="0" fontId="33" fillId="9" borderId="32" xfId="0" applyFont="1" applyFill="1" applyBorder="1" applyAlignment="1">
      <alignment horizontal="center" vertical="center"/>
    </xf>
    <xf numFmtId="0" fontId="33" fillId="9" borderId="63" xfId="0" applyFont="1" applyFill="1" applyBorder="1" applyAlignment="1">
      <alignment horizontal="center" vertical="center"/>
    </xf>
    <xf numFmtId="0" fontId="38" fillId="9" borderId="63" xfId="0" applyFont="1" applyFill="1" applyBorder="1" applyAlignment="1">
      <alignment horizontal="center" vertical="center"/>
    </xf>
    <xf numFmtId="0" fontId="48" fillId="9" borderId="63" xfId="0" applyFont="1" applyFill="1" applyBorder="1" applyAlignment="1">
      <alignment horizontal="center" vertical="center"/>
    </xf>
    <xf numFmtId="0" fontId="44" fillId="9" borderId="63" xfId="0" applyFont="1" applyFill="1" applyBorder="1" applyAlignment="1">
      <alignment horizontal="center" vertical="center"/>
    </xf>
    <xf numFmtId="0" fontId="88" fillId="9" borderId="63" xfId="0" applyFont="1" applyFill="1" applyBorder="1" applyAlignment="1">
      <alignment horizontal="center" vertical="center"/>
    </xf>
    <xf numFmtId="0" fontId="99" fillId="9" borderId="63" xfId="0" applyFont="1" applyFill="1" applyBorder="1" applyAlignment="1">
      <alignment horizontal="center" vertical="center"/>
    </xf>
    <xf numFmtId="0" fontId="48" fillId="9" borderId="63" xfId="0" applyNumberFormat="1" applyFont="1" applyFill="1" applyBorder="1" applyAlignment="1">
      <alignment horizontal="center" vertical="center"/>
    </xf>
    <xf numFmtId="0" fontId="48" fillId="9" borderId="63" xfId="0" applyNumberFormat="1" applyFont="1" applyFill="1" applyBorder="1" applyAlignment="1">
      <alignment horizontal="center" vertical="center" wrapText="1"/>
    </xf>
    <xf numFmtId="0" fontId="33" fillId="9" borderId="39" xfId="0" applyFont="1" applyFill="1" applyBorder="1" applyAlignment="1">
      <alignment horizontal="center" vertical="center"/>
    </xf>
    <xf numFmtId="0" fontId="33" fillId="9" borderId="40" xfId="0" applyFont="1" applyFill="1" applyBorder="1" applyAlignment="1">
      <alignment horizontal="center" vertical="center"/>
    </xf>
    <xf numFmtId="0" fontId="38" fillId="9" borderId="40" xfId="0" applyFont="1" applyFill="1" applyBorder="1" applyAlignment="1">
      <alignment horizontal="center" vertical="center"/>
    </xf>
    <xf numFmtId="0" fontId="48" fillId="9" borderId="40" xfId="0" applyFont="1" applyFill="1" applyBorder="1" applyAlignment="1">
      <alignment horizontal="center" vertical="center"/>
    </xf>
    <xf numFmtId="0" fontId="44" fillId="9" borderId="40" xfId="0" applyFont="1" applyFill="1" applyBorder="1" applyAlignment="1">
      <alignment horizontal="center" vertical="center"/>
    </xf>
    <xf numFmtId="0" fontId="88" fillId="9" borderId="40" xfId="0" applyFont="1" applyFill="1" applyBorder="1" applyAlignment="1">
      <alignment horizontal="center" vertical="center"/>
    </xf>
    <xf numFmtId="0" fontId="99" fillId="9" borderId="40" xfId="0" applyFont="1" applyFill="1" applyBorder="1" applyAlignment="1">
      <alignment horizontal="center" vertical="center"/>
    </xf>
    <xf numFmtId="0" fontId="48" fillId="9" borderId="40" xfId="0" applyNumberFormat="1" applyFont="1" applyFill="1" applyBorder="1" applyAlignment="1">
      <alignment horizontal="center" vertical="center"/>
    </xf>
    <xf numFmtId="0" fontId="48" fillId="9" borderId="40" xfId="0" applyNumberFormat="1" applyFont="1" applyFill="1" applyBorder="1" applyAlignment="1">
      <alignment horizontal="center" vertical="center" wrapText="1"/>
    </xf>
    <xf numFmtId="0" fontId="33" fillId="10" borderId="20" xfId="0" applyFont="1" applyFill="1" applyBorder="1" applyAlignment="1">
      <alignment horizontal="center" vertical="center"/>
    </xf>
    <xf numFmtId="0" fontId="33" fillId="10" borderId="21" xfId="0" applyFont="1" applyFill="1" applyBorder="1" applyAlignment="1">
      <alignment horizontal="center" vertical="center"/>
    </xf>
    <xf numFmtId="0" fontId="38" fillId="10" borderId="21" xfId="0" applyFont="1" applyFill="1" applyBorder="1" applyAlignment="1">
      <alignment horizontal="center" vertical="center"/>
    </xf>
    <xf numFmtId="0" fontId="48" fillId="10" borderId="21" xfId="0" applyFont="1" applyFill="1" applyBorder="1" applyAlignment="1">
      <alignment horizontal="center" vertical="center"/>
    </xf>
    <xf numFmtId="0" fontId="44" fillId="10" borderId="21" xfId="0" applyFont="1" applyFill="1" applyBorder="1" applyAlignment="1">
      <alignment horizontal="center" vertical="center"/>
    </xf>
    <xf numFmtId="0" fontId="88" fillId="10" borderId="21" xfId="0" applyFont="1" applyFill="1" applyBorder="1" applyAlignment="1">
      <alignment horizontal="center" vertical="center"/>
    </xf>
    <xf numFmtId="0" fontId="99" fillId="10" borderId="21" xfId="0" applyFont="1" applyFill="1" applyBorder="1" applyAlignment="1">
      <alignment horizontal="center" vertical="center"/>
    </xf>
    <xf numFmtId="0" fontId="48" fillId="10" borderId="21" xfId="0" applyNumberFormat="1" applyFont="1" applyFill="1" applyBorder="1" applyAlignment="1">
      <alignment horizontal="center" vertical="center"/>
    </xf>
    <xf numFmtId="0" fontId="48" fillId="10" borderId="21" xfId="0" applyNumberFormat="1" applyFont="1" applyFill="1" applyBorder="1" applyAlignment="1">
      <alignment horizontal="center" vertical="center" wrapText="1"/>
    </xf>
    <xf numFmtId="0" fontId="33" fillId="10" borderId="4" xfId="0" applyFont="1" applyFill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0" fontId="38" fillId="10" borderId="1" xfId="0" applyFont="1" applyFill="1" applyBorder="1" applyAlignment="1">
      <alignment horizontal="center" vertical="center"/>
    </xf>
    <xf numFmtId="0" fontId="48" fillId="10" borderId="1" xfId="0" applyFont="1" applyFill="1" applyBorder="1" applyAlignment="1">
      <alignment horizontal="center" vertical="center"/>
    </xf>
    <xf numFmtId="0" fontId="44" fillId="10" borderId="1" xfId="0" applyFont="1" applyFill="1" applyBorder="1" applyAlignment="1">
      <alignment horizontal="center" vertical="center"/>
    </xf>
    <xf numFmtId="0" fontId="88" fillId="10" borderId="1" xfId="0" applyFont="1" applyFill="1" applyBorder="1" applyAlignment="1">
      <alignment horizontal="center" vertical="center"/>
    </xf>
    <xf numFmtId="0" fontId="99" fillId="10" borderId="1" xfId="0" applyFont="1" applyFill="1" applyBorder="1" applyAlignment="1">
      <alignment horizontal="center" vertical="center"/>
    </xf>
    <xf numFmtId="0" fontId="48" fillId="10" borderId="1" xfId="0" applyNumberFormat="1" applyFont="1" applyFill="1" applyBorder="1" applyAlignment="1">
      <alignment horizontal="center" vertical="center"/>
    </xf>
    <xf numFmtId="0" fontId="48" fillId="10" borderId="1" xfId="0" applyNumberFormat="1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/>
    </xf>
    <xf numFmtId="0" fontId="33" fillId="10" borderId="16" xfId="0" applyFont="1" applyFill="1" applyBorder="1" applyAlignment="1">
      <alignment horizontal="center" vertical="center"/>
    </xf>
    <xf numFmtId="0" fontId="38" fillId="10" borderId="16" xfId="0" applyFont="1" applyFill="1" applyBorder="1" applyAlignment="1">
      <alignment horizontal="center" vertical="center"/>
    </xf>
    <xf numFmtId="0" fontId="48" fillId="10" borderId="16" xfId="0" applyFont="1" applyFill="1" applyBorder="1" applyAlignment="1">
      <alignment horizontal="center" vertical="center"/>
    </xf>
    <xf numFmtId="0" fontId="44" fillId="10" borderId="16" xfId="0" applyFont="1" applyFill="1" applyBorder="1" applyAlignment="1">
      <alignment horizontal="center" vertical="center"/>
    </xf>
    <xf numFmtId="0" fontId="88" fillId="10" borderId="16" xfId="0" applyFont="1" applyFill="1" applyBorder="1" applyAlignment="1">
      <alignment horizontal="center" vertical="center"/>
    </xf>
    <xf numFmtId="0" fontId="99" fillId="10" borderId="16" xfId="0" applyFont="1" applyFill="1" applyBorder="1" applyAlignment="1">
      <alignment horizontal="center" vertical="center"/>
    </xf>
    <xf numFmtId="0" fontId="48" fillId="10" borderId="16" xfId="0" applyNumberFormat="1" applyFont="1" applyFill="1" applyBorder="1" applyAlignment="1">
      <alignment horizontal="center" vertical="center"/>
    </xf>
    <xf numFmtId="0" fontId="48" fillId="10" borderId="16" xfId="0" applyNumberFormat="1" applyFont="1" applyFill="1" applyBorder="1" applyAlignment="1">
      <alignment horizontal="center" vertical="center" wrapText="1"/>
    </xf>
    <xf numFmtId="0" fontId="33" fillId="5" borderId="64" xfId="0" applyFont="1" applyFill="1" applyBorder="1" applyAlignment="1">
      <alignment horizontal="center" vertical="center"/>
    </xf>
    <xf numFmtId="0" fontId="33" fillId="5" borderId="23" xfId="0" applyFont="1" applyFill="1" applyBorder="1" applyAlignment="1">
      <alignment horizontal="center" vertical="center"/>
    </xf>
    <xf numFmtId="0" fontId="38" fillId="5" borderId="23" xfId="0" applyFont="1" applyFill="1" applyBorder="1" applyAlignment="1">
      <alignment horizontal="center" vertical="center"/>
    </xf>
    <xf numFmtId="0" fontId="48" fillId="5" borderId="23" xfId="0" applyFont="1" applyFill="1" applyBorder="1" applyAlignment="1">
      <alignment horizontal="center" vertical="center"/>
    </xf>
    <xf numFmtId="0" fontId="44" fillId="5" borderId="23" xfId="0" applyFont="1" applyFill="1" applyBorder="1" applyAlignment="1">
      <alignment horizontal="center" vertical="center"/>
    </xf>
    <xf numFmtId="0" fontId="88" fillId="5" borderId="23" xfId="0" applyFont="1" applyFill="1" applyBorder="1" applyAlignment="1">
      <alignment horizontal="center" vertical="center"/>
    </xf>
    <xf numFmtId="0" fontId="99" fillId="5" borderId="23" xfId="0" applyFont="1" applyFill="1" applyBorder="1" applyAlignment="1">
      <alignment horizontal="center" vertical="center"/>
    </xf>
    <xf numFmtId="0" fontId="113" fillId="5" borderId="24" xfId="0" applyFont="1" applyFill="1" applyBorder="1" applyAlignment="1">
      <alignment horizontal="center" vertical="center"/>
    </xf>
    <xf numFmtId="0" fontId="113" fillId="5" borderId="25" xfId="0" applyFont="1" applyFill="1" applyBorder="1" applyAlignment="1">
      <alignment horizontal="center" vertical="center"/>
    </xf>
    <xf numFmtId="0" fontId="33" fillId="5" borderId="49" xfId="0" applyFont="1" applyFill="1" applyBorder="1" applyAlignment="1">
      <alignment horizontal="center" vertical="center"/>
    </xf>
    <xf numFmtId="0" fontId="33" fillId="5" borderId="27" xfId="0" applyFont="1" applyFill="1" applyBorder="1" applyAlignment="1">
      <alignment horizontal="center" vertical="center"/>
    </xf>
    <xf numFmtId="0" fontId="38" fillId="5" borderId="27" xfId="0" applyFont="1" applyFill="1" applyBorder="1" applyAlignment="1">
      <alignment horizontal="center" vertical="center"/>
    </xf>
    <xf numFmtId="0" fontId="48" fillId="5" borderId="27" xfId="0" applyFont="1" applyFill="1" applyBorder="1" applyAlignment="1">
      <alignment horizontal="center" vertical="center"/>
    </xf>
    <xf numFmtId="0" fontId="44" fillId="5" borderId="27" xfId="0" applyFont="1" applyFill="1" applyBorder="1" applyAlignment="1">
      <alignment horizontal="center" vertical="center"/>
    </xf>
    <xf numFmtId="0" fontId="88" fillId="5" borderId="27" xfId="0" applyFont="1" applyFill="1" applyBorder="1" applyAlignment="1">
      <alignment horizontal="center" vertical="center"/>
    </xf>
    <xf numFmtId="0" fontId="99" fillId="5" borderId="27" xfId="0" applyFont="1" applyFill="1" applyBorder="1" applyAlignment="1">
      <alignment horizontal="center" vertical="center"/>
    </xf>
    <xf numFmtId="0" fontId="113" fillId="5" borderId="28" xfId="0" applyFont="1" applyFill="1" applyBorder="1" applyAlignment="1">
      <alignment horizontal="center" vertical="center"/>
    </xf>
    <xf numFmtId="0" fontId="113" fillId="5" borderId="50" xfId="0" applyFont="1" applyFill="1" applyBorder="1" applyAlignment="1">
      <alignment horizontal="center" vertical="center"/>
    </xf>
    <xf numFmtId="0" fontId="33" fillId="6" borderId="64" xfId="0" applyFont="1" applyFill="1" applyBorder="1" applyAlignment="1">
      <alignment horizontal="center" vertical="center"/>
    </xf>
    <xf numFmtId="0" fontId="38" fillId="6" borderId="64" xfId="0" applyFont="1" applyFill="1" applyBorder="1" applyAlignment="1">
      <alignment horizontal="center" vertical="center"/>
    </xf>
    <xf numFmtId="0" fontId="48" fillId="6" borderId="64" xfId="0" applyFont="1" applyFill="1" applyBorder="1" applyAlignment="1">
      <alignment horizontal="center" vertical="center"/>
    </xf>
    <xf numFmtId="0" fontId="44" fillId="6" borderId="64" xfId="0" applyFont="1" applyFill="1" applyBorder="1" applyAlignment="1">
      <alignment horizontal="center" vertical="center"/>
    </xf>
    <xf numFmtId="0" fontId="88" fillId="6" borderId="64" xfId="0" applyFont="1" applyFill="1" applyBorder="1" applyAlignment="1">
      <alignment horizontal="center" vertical="center"/>
    </xf>
    <xf numFmtId="0" fontId="99" fillId="6" borderId="64" xfId="0" applyFont="1" applyFill="1" applyBorder="1" applyAlignment="1">
      <alignment horizontal="center" vertical="center"/>
    </xf>
    <xf numFmtId="0" fontId="114" fillId="6" borderId="27" xfId="0" applyFont="1" applyFill="1" applyBorder="1" applyAlignment="1">
      <alignment horizontal="center" vertical="center"/>
    </xf>
    <xf numFmtId="0" fontId="114" fillId="6" borderId="64" xfId="0" applyFont="1" applyFill="1" applyBorder="1" applyAlignment="1">
      <alignment horizontal="center" vertical="center"/>
    </xf>
    <xf numFmtId="0" fontId="114" fillId="6" borderId="48" xfId="0" applyFont="1" applyFill="1" applyBorder="1" applyAlignment="1">
      <alignment horizontal="center" vertical="center"/>
    </xf>
    <xf numFmtId="0" fontId="73" fillId="2" borderId="79" xfId="0" applyFont="1" applyFill="1" applyBorder="1" applyAlignment="1">
      <alignment horizontal="left" vertical="center" wrapText="1"/>
    </xf>
    <xf numFmtId="0" fontId="73" fillId="2" borderId="80" xfId="0" applyFont="1" applyFill="1" applyBorder="1" applyAlignment="1">
      <alignment horizontal="left" vertical="center" wrapText="1"/>
    </xf>
    <xf numFmtId="0" fontId="73" fillId="2" borderId="82" xfId="0" applyFont="1" applyFill="1" applyBorder="1" applyAlignment="1">
      <alignment horizontal="left" vertical="center" wrapText="1"/>
    </xf>
    <xf numFmtId="0" fontId="73" fillId="2" borderId="80" xfId="0" applyFont="1" applyFill="1" applyBorder="1" applyAlignment="1">
      <alignment horizontal="left" vertical="center" wrapText="1" shrinkToFit="1"/>
    </xf>
    <xf numFmtId="0" fontId="73" fillId="2" borderId="81" xfId="0" applyFont="1" applyFill="1" applyBorder="1" applyAlignment="1">
      <alignment horizontal="left" vertical="center" wrapText="1" shrinkToFit="1"/>
    </xf>
    <xf numFmtId="0" fontId="73" fillId="2" borderId="83" xfId="0" applyFont="1" applyFill="1" applyBorder="1" applyAlignment="1">
      <alignment horizontal="left" vertical="center" wrapText="1" shrinkToFit="1"/>
    </xf>
    <xf numFmtId="0" fontId="73" fillId="2" borderId="82" xfId="0" applyFont="1" applyFill="1" applyBorder="1" applyAlignment="1">
      <alignment horizontal="left" vertical="center" wrapText="1" shrinkToFit="1"/>
    </xf>
    <xf numFmtId="0" fontId="73" fillId="0" borderId="36" xfId="0" applyFont="1" applyFill="1" applyBorder="1" applyAlignment="1">
      <alignment horizontal="left" vertical="center" wrapText="1" shrinkToFit="1"/>
    </xf>
    <xf numFmtId="0" fontId="73" fillId="3" borderId="83" xfId="0" applyFont="1" applyFill="1" applyBorder="1" applyAlignment="1">
      <alignment horizontal="left" vertical="center" wrapText="1" shrinkToFit="1"/>
    </xf>
    <xf numFmtId="0" fontId="73" fillId="3" borderId="82" xfId="0" applyFont="1" applyFill="1" applyBorder="1" applyAlignment="1">
      <alignment horizontal="left" vertical="center" wrapText="1" shrinkToFit="1"/>
    </xf>
    <xf numFmtId="0" fontId="73" fillId="3" borderId="79" xfId="0" applyFont="1" applyFill="1" applyBorder="1" applyAlignment="1">
      <alignment horizontal="left" vertical="center" wrapText="1" shrinkToFit="1"/>
    </xf>
    <xf numFmtId="0" fontId="73" fillId="3" borderId="80" xfId="0" applyFont="1" applyFill="1" applyBorder="1" applyAlignment="1">
      <alignment horizontal="left" vertical="center" wrapText="1" shrinkToFit="1"/>
    </xf>
    <xf numFmtId="0" fontId="73" fillId="3" borderId="81" xfId="0" applyFont="1" applyFill="1" applyBorder="1" applyAlignment="1">
      <alignment horizontal="left" vertical="center" wrapText="1" shrinkToFit="1"/>
    </xf>
    <xf numFmtId="0" fontId="73" fillId="3" borderId="82" xfId="0" applyFont="1" applyFill="1" applyBorder="1" applyAlignment="1">
      <alignment horizontal="left" vertical="center" wrapText="1"/>
    </xf>
    <xf numFmtId="0" fontId="73" fillId="9" borderId="83" xfId="0" applyFont="1" applyFill="1" applyBorder="1" applyAlignment="1">
      <alignment horizontal="left" vertical="center" wrapText="1" shrinkToFit="1"/>
    </xf>
    <xf numFmtId="0" fontId="73" fillId="9" borderId="80" xfId="0" applyFont="1" applyFill="1" applyBorder="1" applyAlignment="1">
      <alignment horizontal="left" vertical="center" wrapText="1" shrinkToFit="1"/>
    </xf>
    <xf numFmtId="0" fontId="73" fillId="9" borderId="82" xfId="0" applyFont="1" applyFill="1" applyBorder="1" applyAlignment="1">
      <alignment horizontal="left" vertical="center" wrapText="1" shrinkToFit="1"/>
    </xf>
    <xf numFmtId="0" fontId="73" fillId="9" borderId="79" xfId="0" applyFont="1" applyFill="1" applyBorder="1" applyAlignment="1">
      <alignment horizontal="left" vertical="center" wrapText="1" shrinkToFit="1"/>
    </xf>
    <xf numFmtId="0" fontId="73" fillId="9" borderId="81" xfId="0" applyFont="1" applyFill="1" applyBorder="1" applyAlignment="1">
      <alignment horizontal="left" vertical="center" wrapText="1" shrinkToFit="1"/>
    </xf>
    <xf numFmtId="0" fontId="73" fillId="10" borderId="83" xfId="0" applyFont="1" applyFill="1" applyBorder="1" applyAlignment="1">
      <alignment horizontal="left" vertical="center" wrapText="1" shrinkToFit="1"/>
    </xf>
    <xf numFmtId="0" fontId="73" fillId="10" borderId="80" xfId="0" applyFont="1" applyFill="1" applyBorder="1" applyAlignment="1">
      <alignment horizontal="left" vertical="center" wrapText="1" shrinkToFit="1"/>
    </xf>
    <xf numFmtId="0" fontId="73" fillId="10" borderId="82" xfId="0" applyFont="1" applyFill="1" applyBorder="1" applyAlignment="1">
      <alignment horizontal="left" vertical="center" wrapText="1" shrinkToFit="1"/>
    </xf>
    <xf numFmtId="0" fontId="73" fillId="0" borderId="5" xfId="0" applyFont="1" applyFill="1" applyBorder="1" applyAlignment="1">
      <alignment horizontal="left" vertical="center" wrapText="1" shrinkToFit="1"/>
    </xf>
    <xf numFmtId="0" fontId="73" fillId="5" borderId="36" xfId="0" applyFont="1" applyFill="1" applyBorder="1" applyAlignment="1">
      <alignment vertical="center"/>
    </xf>
    <xf numFmtId="0" fontId="73" fillId="2" borderId="6" xfId="0" applyFont="1" applyFill="1" applyBorder="1" applyAlignment="1">
      <alignment horizontal="left" vertical="center" wrapText="1" shrinkToFit="1"/>
    </xf>
    <xf numFmtId="0" fontId="73" fillId="2" borderId="36" xfId="0" applyFont="1" applyFill="1" applyBorder="1" applyAlignment="1">
      <alignment horizontal="left" vertical="center" wrapText="1" shrinkToFit="1"/>
    </xf>
    <xf numFmtId="1" fontId="115" fillId="2" borderId="41" xfId="0" applyNumberFormat="1" applyFont="1" applyFill="1" applyBorder="1" applyAlignment="1">
      <alignment horizontal="center" vertical="center" wrapText="1"/>
    </xf>
    <xf numFmtId="1" fontId="115" fillId="2" borderId="40" xfId="0" applyNumberFormat="1" applyFont="1" applyFill="1" applyBorder="1" applyAlignment="1">
      <alignment horizontal="center" vertical="center" wrapText="1"/>
    </xf>
    <xf numFmtId="1" fontId="115" fillId="2" borderId="65" xfId="0" applyNumberFormat="1" applyFont="1" applyFill="1" applyBorder="1" applyAlignment="1">
      <alignment horizontal="center" vertical="center"/>
    </xf>
    <xf numFmtId="0" fontId="106" fillId="0" borderId="0" xfId="0" applyFont="1" applyAlignment="1">
      <alignment horizontal="left"/>
    </xf>
    <xf numFmtId="0" fontId="5" fillId="0" borderId="1" xfId="1" applyFont="1" applyBorder="1" applyAlignment="1">
      <alignment horizontal="center" vertical="center" textRotation="90" wrapText="1"/>
    </xf>
    <xf numFmtId="0" fontId="73" fillId="10" borderId="80" xfId="0" applyFont="1" applyFill="1" applyBorder="1" applyAlignment="1">
      <alignment horizontal="left" vertical="center" wrapText="1"/>
    </xf>
    <xf numFmtId="1" fontId="115" fillId="2" borderId="31" xfId="0" applyNumberFormat="1" applyFont="1" applyFill="1" applyBorder="1" applyAlignment="1">
      <alignment horizontal="center" vertical="center" wrapText="1"/>
    </xf>
    <xf numFmtId="1" fontId="115" fillId="2" borderId="63" xfId="0" applyNumberFormat="1" applyFont="1" applyFill="1" applyBorder="1" applyAlignment="1">
      <alignment horizontal="center" vertical="center" wrapText="1"/>
    </xf>
    <xf numFmtId="1" fontId="115" fillId="2" borderId="34" xfId="0" applyNumberFormat="1" applyFont="1" applyFill="1" applyBorder="1" applyAlignment="1">
      <alignment horizontal="center" vertical="center"/>
    </xf>
    <xf numFmtId="0" fontId="73" fillId="2" borderId="5" xfId="0" applyFont="1" applyFill="1" applyBorder="1" applyAlignment="1">
      <alignment horizontal="left" vertical="center" wrapText="1" shrinkToFit="1"/>
    </xf>
    <xf numFmtId="0" fontId="73" fillId="2" borderId="36" xfId="0" applyFont="1" applyFill="1" applyBorder="1" applyAlignment="1">
      <alignment vertical="center"/>
    </xf>
    <xf numFmtId="0" fontId="73" fillId="10" borderId="81" xfId="0" applyFont="1" applyFill="1" applyBorder="1" applyAlignment="1">
      <alignment horizontal="left" vertical="center" wrapText="1" shrinkToFit="1"/>
    </xf>
    <xf numFmtId="0" fontId="73" fillId="10" borderId="82" xfId="0" applyFont="1" applyFill="1" applyBorder="1" applyAlignment="1">
      <alignment horizontal="left" vertical="center" wrapText="1"/>
    </xf>
    <xf numFmtId="1" fontId="110" fillId="0" borderId="40" xfId="0" applyNumberFormat="1" applyFont="1" applyFill="1" applyBorder="1" applyAlignment="1">
      <alignment horizontal="center" vertical="center"/>
    </xf>
    <xf numFmtId="0" fontId="73" fillId="10" borderId="79" xfId="0" applyFont="1" applyFill="1" applyBorder="1" applyAlignment="1">
      <alignment horizontal="left" vertical="center" wrapText="1"/>
    </xf>
    <xf numFmtId="0" fontId="42" fillId="0" borderId="0" xfId="0" applyFont="1" applyBorder="1" applyAlignment="1">
      <alignment horizontal="left" wrapText="1"/>
    </xf>
    <xf numFmtId="14" fontId="0" fillId="0" borderId="0" xfId="0" applyNumberFormat="1" applyBorder="1"/>
    <xf numFmtId="0" fontId="116" fillId="0" borderId="0" xfId="0" applyFont="1" applyBorder="1" applyAlignment="1">
      <alignment vertical="center"/>
    </xf>
    <xf numFmtId="0" fontId="117" fillId="0" borderId="0" xfId="0" applyFont="1" applyBorder="1" applyAlignment="1">
      <alignment vertical="center"/>
    </xf>
    <xf numFmtId="0" fontId="118" fillId="0" borderId="0" xfId="0" applyFont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73" xfId="0" applyFont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73" xfId="0" applyFont="1" applyFill="1" applyBorder="1" applyAlignment="1">
      <alignment horizontal="left" vertical="center"/>
    </xf>
    <xf numFmtId="0" fontId="19" fillId="0" borderId="0" xfId="0" applyFont="1" applyFill="1"/>
    <xf numFmtId="167" fontId="19" fillId="0" borderId="0" xfId="0" applyNumberFormat="1" applyFont="1" applyFill="1" applyAlignment="1">
      <alignment vertical="center"/>
    </xf>
    <xf numFmtId="167" fontId="19" fillId="0" borderId="0" xfId="0" applyNumberFormat="1" applyFont="1" applyFill="1" applyAlignment="1">
      <alignment horizontal="left" vertical="center"/>
    </xf>
    <xf numFmtId="166" fontId="19" fillId="0" borderId="0" xfId="0" applyNumberFormat="1" applyFont="1" applyFill="1" applyAlignment="1">
      <alignment horizontal="center"/>
    </xf>
    <xf numFmtId="166" fontId="19" fillId="0" borderId="0" xfId="0" applyNumberFormat="1" applyFont="1" applyFill="1" applyAlignment="1">
      <alignment horizontal="left"/>
    </xf>
    <xf numFmtId="0" fontId="19" fillId="0" borderId="0" xfId="0" applyFont="1" applyFill="1" applyAlignment="1">
      <alignment horizontal="left"/>
    </xf>
    <xf numFmtId="0" fontId="119" fillId="0" borderId="0" xfId="0" applyFont="1" applyFill="1" applyAlignment="1">
      <alignment horizontal="left"/>
    </xf>
    <xf numFmtId="0" fontId="120" fillId="0" borderId="0" xfId="0" applyFont="1" applyFill="1" applyAlignment="1">
      <alignment horizontal="left"/>
    </xf>
    <xf numFmtId="0" fontId="120" fillId="0" borderId="0" xfId="0" applyFont="1" applyAlignment="1">
      <alignment horizontal="left"/>
    </xf>
    <xf numFmtId="167" fontId="120" fillId="0" borderId="0" xfId="0" applyNumberFormat="1" applyFont="1" applyFill="1" applyAlignment="1">
      <alignment horizontal="left"/>
    </xf>
    <xf numFmtId="167" fontId="120" fillId="0" borderId="0" xfId="0" applyNumberFormat="1" applyFont="1" applyFill="1" applyAlignment="1"/>
    <xf numFmtId="1" fontId="121" fillId="0" borderId="0" xfId="0" applyNumberFormat="1" applyFont="1" applyFill="1" applyAlignment="1">
      <alignment horizontal="left"/>
    </xf>
    <xf numFmtId="0" fontId="121" fillId="0" borderId="0" xfId="0" applyFont="1" applyFill="1" applyAlignment="1">
      <alignment horizontal="left"/>
    </xf>
    <xf numFmtId="0" fontId="121" fillId="0" borderId="0" xfId="0" applyFont="1" applyFill="1" applyAlignment="1">
      <alignment horizontal="left" wrapText="1"/>
    </xf>
    <xf numFmtId="0" fontId="19" fillId="0" borderId="0" xfId="0" applyFont="1" applyAlignment="1">
      <alignment horizontal="left"/>
    </xf>
    <xf numFmtId="0" fontId="19" fillId="0" borderId="0" xfId="0" applyFont="1"/>
    <xf numFmtId="0" fontId="117" fillId="0" borderId="0" xfId="0" applyFont="1" applyBorder="1" applyAlignment="1">
      <alignment vertical="center" wrapText="1"/>
    </xf>
    <xf numFmtId="0" fontId="0" fillId="3" borderId="0" xfId="0" applyFill="1"/>
    <xf numFmtId="0" fontId="32" fillId="3" borderId="0" xfId="0" applyFont="1" applyFill="1"/>
    <xf numFmtId="0" fontId="122" fillId="3" borderId="0" xfId="0" applyFont="1" applyFill="1"/>
    <xf numFmtId="0" fontId="30" fillId="3" borderId="0" xfId="0" applyFont="1" applyFill="1"/>
    <xf numFmtId="0" fontId="60" fillId="3" borderId="0" xfId="0" applyFont="1" applyFill="1"/>
    <xf numFmtId="0" fontId="123" fillId="3" borderId="0" xfId="0" applyFont="1" applyFill="1"/>
    <xf numFmtId="0" fontId="123" fillId="8" borderId="0" xfId="0" applyFont="1" applyFill="1"/>
    <xf numFmtId="0" fontId="123" fillId="0" borderId="0" xfId="0" applyFont="1"/>
    <xf numFmtId="0" fontId="117" fillId="0" borderId="0" xfId="0" applyFont="1" applyBorder="1" applyAlignment="1">
      <alignment horizontal="left" vertical="center" wrapText="1"/>
    </xf>
    <xf numFmtId="49" fontId="0" fillId="0" borderId="0" xfId="0" applyNumberFormat="1" applyBorder="1" applyAlignment="1">
      <alignment horizontal="right"/>
    </xf>
    <xf numFmtId="49" fontId="0" fillId="0" borderId="0" xfId="0" applyNumberFormat="1" applyFill="1" applyBorder="1" applyAlignment="1">
      <alignment horizontal="right"/>
    </xf>
    <xf numFmtId="0" fontId="42" fillId="0" borderId="0" xfId="0" applyFont="1" applyBorder="1" applyAlignment="1">
      <alignment wrapText="1"/>
    </xf>
    <xf numFmtId="164" fontId="77" fillId="10" borderId="1" xfId="0" applyNumberFormat="1" applyFont="1" applyFill="1" applyBorder="1" applyAlignment="1">
      <alignment vertical="center" wrapText="1"/>
    </xf>
    <xf numFmtId="165" fontId="67" fillId="10" borderId="1" xfId="0" applyNumberFormat="1" applyFont="1" applyFill="1" applyBorder="1" applyAlignment="1">
      <alignment horizontal="center" vertical="center"/>
    </xf>
    <xf numFmtId="1" fontId="67" fillId="10" borderId="3" xfId="0" applyNumberFormat="1" applyFont="1" applyFill="1" applyBorder="1" applyAlignment="1">
      <alignment horizontal="center" vertical="center"/>
    </xf>
    <xf numFmtId="165" fontId="67" fillId="10" borderId="3" xfId="0" applyNumberFormat="1" applyFont="1" applyFill="1" applyBorder="1" applyAlignment="1">
      <alignment horizontal="center" vertical="center"/>
    </xf>
    <xf numFmtId="1" fontId="67" fillId="10" borderId="4" xfId="0" applyNumberFormat="1" applyFont="1" applyFill="1" applyBorder="1" applyAlignment="1">
      <alignment horizontal="center" vertical="center"/>
    </xf>
    <xf numFmtId="0" fontId="124" fillId="0" borderId="1" xfId="0" applyFont="1" applyBorder="1" applyAlignment="1">
      <alignment horizontal="center" vertical="center"/>
    </xf>
    <xf numFmtId="164" fontId="125" fillId="0" borderId="1" xfId="0" applyNumberFormat="1" applyFont="1" applyBorder="1" applyAlignment="1">
      <alignment vertical="center" wrapText="1"/>
    </xf>
    <xf numFmtId="0" fontId="73" fillId="2" borderId="83" xfId="0" applyFont="1" applyFill="1" applyBorder="1" applyAlignment="1">
      <alignment horizontal="left" vertical="center" wrapText="1"/>
    </xf>
    <xf numFmtId="0" fontId="73" fillId="10" borderId="83" xfId="0" applyFont="1" applyFill="1" applyBorder="1" applyAlignment="1">
      <alignment horizontal="left" vertical="center" wrapText="1"/>
    </xf>
    <xf numFmtId="0" fontId="73" fillId="10" borderId="6" xfId="0" applyFont="1" applyFill="1" applyBorder="1" applyAlignment="1">
      <alignment horizontal="left" vertical="center" wrapText="1" shrinkToFit="1"/>
    </xf>
    <xf numFmtId="164" fontId="0" fillId="0" borderId="0" xfId="0" applyNumberFormat="1"/>
    <xf numFmtId="0" fontId="80" fillId="0" borderId="0" xfId="0" applyFont="1" applyBorder="1"/>
    <xf numFmtId="0" fontId="126" fillId="0" borderId="0" xfId="0" applyFont="1"/>
    <xf numFmtId="22" fontId="3" fillId="4" borderId="0" xfId="0" applyNumberFormat="1" applyFont="1" applyFill="1"/>
    <xf numFmtId="14" fontId="16" fillId="0" borderId="0" xfId="0" applyNumberFormat="1" applyFont="1" applyFill="1" applyAlignment="1">
      <alignment horizontal="center" vertical="center"/>
    </xf>
    <xf numFmtId="2" fontId="84" fillId="2" borderId="0" xfId="0" applyNumberFormat="1" applyFont="1" applyFill="1" applyAlignment="1">
      <alignment horizontal="center"/>
    </xf>
    <xf numFmtId="0" fontId="54" fillId="2" borderId="0" xfId="0" applyFont="1" applyFill="1" applyAlignment="1">
      <alignment horizontal="center" vertical="center" wrapText="1"/>
    </xf>
    <xf numFmtId="14" fontId="54" fillId="2" borderId="0" xfId="0" applyNumberFormat="1" applyFont="1" applyFill="1" applyAlignment="1">
      <alignment horizontal="center" vertical="center" wrapText="1"/>
    </xf>
    <xf numFmtId="49" fontId="54" fillId="2" borderId="0" xfId="0" applyNumberFormat="1" applyFont="1" applyFill="1" applyAlignment="1">
      <alignment horizontal="center" vertical="center" wrapText="1"/>
    </xf>
    <xf numFmtId="2" fontId="54" fillId="2" borderId="0" xfId="0" applyNumberFormat="1" applyFont="1" applyFill="1" applyAlignment="1">
      <alignment horizontal="center" vertical="center" wrapText="1"/>
    </xf>
    <xf numFmtId="14" fontId="6" fillId="0" borderId="0" xfId="1" applyNumberFormat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165" fontId="6" fillId="0" borderId="1" xfId="1" applyNumberFormat="1" applyFont="1" applyBorder="1" applyAlignment="1">
      <alignment horizontal="center" vertical="center" wrapText="1"/>
    </xf>
    <xf numFmtId="165" fontId="7" fillId="0" borderId="0" xfId="0" applyNumberFormat="1" applyFont="1"/>
    <xf numFmtId="165" fontId="7" fillId="0" borderId="0" xfId="0" applyNumberFormat="1" applyFont="1" applyBorder="1"/>
    <xf numFmtId="165" fontId="0" fillId="0" borderId="0" xfId="0" applyNumberFormat="1" applyBorder="1"/>
    <xf numFmtId="165" fontId="129" fillId="0" borderId="1" xfId="1" applyNumberFormat="1" applyFont="1" applyBorder="1" applyAlignment="1">
      <alignment horizontal="center" vertical="center" wrapText="1"/>
    </xf>
    <xf numFmtId="14" fontId="128" fillId="0" borderId="0" xfId="0" applyNumberFormat="1" applyFont="1"/>
    <xf numFmtId="14" fontId="129" fillId="0" borderId="1" xfId="1" applyNumberFormat="1" applyFont="1" applyBorder="1" applyAlignment="1">
      <alignment horizontal="center" vertical="center" wrapText="1"/>
    </xf>
    <xf numFmtId="14" fontId="128" fillId="0" borderId="0" xfId="0" applyNumberFormat="1" applyFont="1" applyBorder="1"/>
    <xf numFmtId="14" fontId="126" fillId="0" borderId="0" xfId="0" applyNumberFormat="1" applyFont="1" applyBorder="1"/>
    <xf numFmtId="14" fontId="126" fillId="0" borderId="0" xfId="0" applyNumberFormat="1" applyFont="1"/>
    <xf numFmtId="0" fontId="130" fillId="0" borderId="0" xfId="0" applyFont="1"/>
    <xf numFmtId="0" fontId="131" fillId="0" borderId="1" xfId="1" applyFont="1" applyBorder="1" applyAlignment="1">
      <alignment horizontal="center" vertical="center" wrapText="1"/>
    </xf>
    <xf numFmtId="168" fontId="70" fillId="0" borderId="0" xfId="0" applyNumberFormat="1" applyFont="1" applyFill="1" applyAlignment="1">
      <alignment horizontal="center"/>
    </xf>
    <xf numFmtId="14" fontId="132" fillId="0" borderId="1" xfId="0" applyNumberFormat="1" applyFont="1" applyFill="1" applyBorder="1" applyAlignment="1">
      <alignment horizontal="center"/>
    </xf>
    <xf numFmtId="1" fontId="66" fillId="0" borderId="0" xfId="0" applyNumberFormat="1" applyFont="1" applyFill="1" applyBorder="1"/>
    <xf numFmtId="165" fontId="135" fillId="0" borderId="1" xfId="0" applyNumberFormat="1" applyFont="1" applyFill="1" applyBorder="1"/>
    <xf numFmtId="169" fontId="136" fillId="0" borderId="1" xfId="0" applyNumberFormat="1" applyFont="1" applyFill="1" applyBorder="1"/>
    <xf numFmtId="170" fontId="138" fillId="0" borderId="1" xfId="0" applyNumberFormat="1" applyFont="1" applyFill="1" applyBorder="1"/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39" fillId="0" borderId="2" xfId="0" applyFont="1" applyBorder="1"/>
    <xf numFmtId="0" fontId="139" fillId="0" borderId="4" xfId="0" applyFont="1" applyBorder="1"/>
    <xf numFmtId="0" fontId="1" fillId="0" borderId="1" xfId="0" applyFont="1" applyBorder="1" applyAlignment="1">
      <alignment vertical="center"/>
    </xf>
    <xf numFmtId="0" fontId="141" fillId="0" borderId="1" xfId="0" applyFont="1" applyBorder="1" applyAlignment="1">
      <alignment horizontal="left" vertical="center"/>
    </xf>
    <xf numFmtId="165" fontId="69" fillId="0" borderId="1" xfId="0" applyNumberFormat="1" applyFont="1" applyFill="1" applyBorder="1" applyAlignment="1">
      <alignment horizontal="center"/>
    </xf>
    <xf numFmtId="169" fontId="144" fillId="0" borderId="1" xfId="0" applyNumberFormat="1" applyFont="1" applyFill="1" applyBorder="1"/>
    <xf numFmtId="0" fontId="145" fillId="0" borderId="0" xfId="0" applyFont="1" applyFill="1"/>
    <xf numFmtId="0" fontId="146" fillId="0" borderId="0" xfId="0" applyFont="1" applyFill="1"/>
    <xf numFmtId="0" fontId="143" fillId="0" borderId="0" xfId="0" applyFont="1" applyFill="1"/>
    <xf numFmtId="165" fontId="143" fillId="0" borderId="1" xfId="0" applyNumberFormat="1" applyFont="1" applyFill="1" applyBorder="1"/>
    <xf numFmtId="170" fontId="147" fillId="0" borderId="1" xfId="0" applyNumberFormat="1" applyFont="1" applyFill="1" applyBorder="1"/>
    <xf numFmtId="0" fontId="143" fillId="0" borderId="22" xfId="0" applyFont="1" applyFill="1" applyBorder="1"/>
    <xf numFmtId="0" fontId="145" fillId="0" borderId="0" xfId="0" applyFont="1"/>
    <xf numFmtId="172" fontId="142" fillId="0" borderId="22" xfId="0" applyNumberFormat="1" applyFont="1" applyFill="1" applyBorder="1"/>
    <xf numFmtId="1" fontId="69" fillId="0" borderId="22" xfId="0" applyNumberFormat="1" applyFont="1" applyFill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32" fillId="0" borderId="0" xfId="0" applyFont="1" applyAlignment="1">
      <alignment horizontal="center" vertical="center"/>
    </xf>
    <xf numFmtId="164" fontId="32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164" fontId="26" fillId="0" borderId="1" xfId="0" applyNumberFormat="1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 vertical="center" wrapText="1"/>
    </xf>
    <xf numFmtId="0" fontId="11" fillId="0" borderId="22" xfId="0" applyFont="1" applyBorder="1" applyAlignment="1">
      <alignment horizontal="center"/>
    </xf>
    <xf numFmtId="164" fontId="11" fillId="0" borderId="2" xfId="0" applyNumberFormat="1" applyFont="1" applyBorder="1"/>
    <xf numFmtId="164" fontId="11" fillId="0" borderId="17" xfId="0" applyNumberFormat="1" applyFont="1" applyBorder="1"/>
    <xf numFmtId="164" fontId="11" fillId="0" borderId="19" xfId="0" applyNumberFormat="1" applyFont="1" applyBorder="1"/>
    <xf numFmtId="165" fontId="82" fillId="0" borderId="1" xfId="0" applyNumberFormat="1" applyFont="1" applyFill="1" applyBorder="1"/>
    <xf numFmtId="165" fontId="134" fillId="0" borderId="1" xfId="0" applyNumberFormat="1" applyFont="1" applyFill="1" applyBorder="1"/>
    <xf numFmtId="165" fontId="82" fillId="0" borderId="1" xfId="0" applyNumberFormat="1" applyFont="1" applyFill="1" applyBorder="1" applyAlignment="1">
      <alignment horizontal="center"/>
    </xf>
    <xf numFmtId="0" fontId="148" fillId="0" borderId="22" xfId="0" applyFont="1" applyFill="1" applyBorder="1"/>
    <xf numFmtId="0" fontId="148" fillId="0" borderId="21" xfId="0" applyFont="1" applyFill="1" applyBorder="1" applyAlignment="1">
      <alignment horizontal="center"/>
    </xf>
    <xf numFmtId="169" fontId="85" fillId="0" borderId="1" xfId="0" applyNumberFormat="1" applyFont="1" applyFill="1" applyBorder="1"/>
    <xf numFmtId="0" fontId="148" fillId="0" borderId="1" xfId="0" applyFont="1" applyFill="1" applyBorder="1"/>
    <xf numFmtId="0" fontId="148" fillId="0" borderId="1" xfId="0" applyFont="1" applyFill="1" applyBorder="1" applyAlignment="1">
      <alignment horizontal="center"/>
    </xf>
    <xf numFmtId="170" fontId="85" fillId="0" borderId="1" xfId="0" applyNumberFormat="1" applyFont="1" applyFill="1" applyBorder="1"/>
    <xf numFmtId="0" fontId="150" fillId="0" borderId="29" xfId="0" applyFont="1" applyFill="1" applyBorder="1" applyAlignment="1">
      <alignment horizontal="center"/>
    </xf>
    <xf numFmtId="164" fontId="152" fillId="0" borderId="1" xfId="0" applyNumberFormat="1" applyFont="1" applyFill="1" applyBorder="1" applyAlignment="1">
      <alignment horizontal="center" vertical="center"/>
    </xf>
    <xf numFmtId="0" fontId="153" fillId="0" borderId="29" xfId="0" applyFont="1" applyFill="1" applyBorder="1" applyAlignment="1">
      <alignment horizontal="center"/>
    </xf>
    <xf numFmtId="0" fontId="155" fillId="0" borderId="63" xfId="0" applyFont="1" applyFill="1" applyBorder="1" applyAlignment="1">
      <alignment horizontal="center" vertical="center"/>
    </xf>
    <xf numFmtId="0" fontId="155" fillId="0" borderId="1" xfId="0" applyFont="1" applyFill="1" applyBorder="1" applyAlignment="1">
      <alignment horizontal="center" vertical="center"/>
    </xf>
    <xf numFmtId="0" fontId="149" fillId="0" borderId="37" xfId="0" applyFont="1" applyFill="1" applyBorder="1" applyAlignment="1">
      <alignment horizontal="center" vertical="center"/>
    </xf>
    <xf numFmtId="0" fontId="150" fillId="0" borderId="43" xfId="0" applyFont="1" applyFill="1" applyBorder="1" applyAlignment="1">
      <alignment horizontal="left"/>
    </xf>
    <xf numFmtId="0" fontId="156" fillId="0" borderId="29" xfId="0" applyFont="1" applyFill="1" applyBorder="1" applyAlignment="1">
      <alignment horizontal="center"/>
    </xf>
    <xf numFmtId="0" fontId="150" fillId="0" borderId="1" xfId="0" applyFont="1" applyFill="1" applyBorder="1" applyAlignment="1">
      <alignment horizontal="left" vertical="center"/>
    </xf>
    <xf numFmtId="0" fontId="156" fillId="0" borderId="1" xfId="0" applyFont="1" applyFill="1" applyBorder="1" applyAlignment="1">
      <alignment horizontal="center" vertical="center"/>
    </xf>
    <xf numFmtId="2" fontId="150" fillId="0" borderId="1" xfId="0" applyNumberFormat="1" applyFont="1" applyFill="1" applyBorder="1" applyAlignment="1">
      <alignment horizontal="center" vertical="center"/>
    </xf>
    <xf numFmtId="164" fontId="153" fillId="0" borderId="1" xfId="0" applyNumberFormat="1" applyFont="1" applyFill="1" applyBorder="1" applyAlignment="1">
      <alignment horizontal="center" vertical="center"/>
    </xf>
    <xf numFmtId="0" fontId="150" fillId="0" borderId="1" xfId="0" applyFont="1" applyFill="1" applyBorder="1" applyAlignment="1">
      <alignment horizontal="center" vertical="center"/>
    </xf>
    <xf numFmtId="0" fontId="153" fillId="0" borderId="1" xfId="0" applyFont="1" applyFill="1" applyBorder="1" applyAlignment="1">
      <alignment horizontal="center" vertical="center"/>
    </xf>
    <xf numFmtId="0" fontId="30" fillId="0" borderId="0" xfId="0" applyFont="1" applyAlignment="1">
      <alignment wrapText="1"/>
    </xf>
    <xf numFmtId="0" fontId="42" fillId="0" borderId="0" xfId="0" applyFont="1" applyBorder="1" applyAlignment="1">
      <alignment horizontal="left" wrapText="1"/>
    </xf>
    <xf numFmtId="0" fontId="66" fillId="0" borderId="0" xfId="0" applyFont="1" applyBorder="1"/>
    <xf numFmtId="1" fontId="74" fillId="2" borderId="1" xfId="0" applyNumberFormat="1" applyFont="1" applyFill="1" applyBorder="1" applyAlignment="1">
      <alignment horizontal="center" vertical="center"/>
    </xf>
    <xf numFmtId="0" fontId="126" fillId="0" borderId="0" xfId="0" applyFont="1" applyAlignment="1">
      <alignment wrapText="1"/>
    </xf>
    <xf numFmtId="0" fontId="126" fillId="0" borderId="0" xfId="0" applyFont="1" applyAlignment="1">
      <alignment horizontal="center" wrapText="1"/>
    </xf>
    <xf numFmtId="0" fontId="126" fillId="0" borderId="0" xfId="0" applyFont="1" applyAlignment="1">
      <alignment horizontal="left"/>
    </xf>
    <xf numFmtId="0" fontId="126" fillId="0" borderId="0" xfId="0" applyFont="1" applyAlignment="1">
      <alignment horizontal="center"/>
    </xf>
    <xf numFmtId="164" fontId="126" fillId="0" borderId="0" xfId="0" applyNumberFormat="1" applyFont="1" applyAlignment="1">
      <alignment horizontal="center"/>
    </xf>
    <xf numFmtId="22" fontId="126" fillId="0" borderId="0" xfId="0" applyNumberFormat="1" applyFont="1"/>
    <xf numFmtId="0" fontId="127" fillId="0" borderId="0" xfId="0" applyFont="1" applyBorder="1" applyAlignment="1">
      <alignment vertical="center" wrapText="1"/>
    </xf>
    <xf numFmtId="0" fontId="157" fillId="0" borderId="0" xfId="0" applyFont="1" applyBorder="1" applyAlignment="1">
      <alignment vertical="center"/>
    </xf>
    <xf numFmtId="0" fontId="158" fillId="0" borderId="0" xfId="0" applyFont="1"/>
    <xf numFmtId="0" fontId="158" fillId="0" borderId="0" xfId="0" applyFont="1" applyBorder="1"/>
    <xf numFmtId="0" fontId="2" fillId="0" borderId="17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124" fillId="0" borderId="12" xfId="0" applyFont="1" applyBorder="1" applyAlignment="1">
      <alignment horizontal="center" vertical="center"/>
    </xf>
    <xf numFmtId="0" fontId="124" fillId="0" borderId="38" xfId="0" applyFont="1" applyBorder="1" applyAlignment="1">
      <alignment horizontal="center" vertical="center"/>
    </xf>
    <xf numFmtId="0" fontId="124" fillId="0" borderId="19" xfId="0" applyFont="1" applyBorder="1" applyAlignment="1">
      <alignment horizontal="center" vertical="center"/>
    </xf>
    <xf numFmtId="0" fontId="124" fillId="0" borderId="20" xfId="0" applyFont="1" applyBorder="1" applyAlignment="1">
      <alignment horizontal="center" vertical="center"/>
    </xf>
    <xf numFmtId="0" fontId="141" fillId="0" borderId="21" xfId="0" applyFont="1" applyBorder="1" applyAlignment="1">
      <alignment horizontal="left" vertical="center"/>
    </xf>
    <xf numFmtId="0" fontId="141" fillId="0" borderId="87" xfId="0" applyFont="1" applyBorder="1" applyAlignment="1">
      <alignment horizontal="left" vertical="center"/>
    </xf>
    <xf numFmtId="0" fontId="122" fillId="2" borderId="0" xfId="0" applyFont="1" applyFill="1" applyAlignment="1">
      <alignment horizontal="center" vertical="center" wrapText="1"/>
    </xf>
    <xf numFmtId="0" fontId="159" fillId="4" borderId="0" xfId="0" applyFont="1" applyFill="1" applyAlignment="1">
      <alignment horizontal="left"/>
    </xf>
    <xf numFmtId="0" fontId="122" fillId="0" borderId="0" xfId="0" applyFont="1" applyAlignment="1">
      <alignment horizontal="left"/>
    </xf>
    <xf numFmtId="0" fontId="68" fillId="4" borderId="0" xfId="0" applyFont="1" applyFill="1" applyAlignment="1">
      <alignment horizontal="center"/>
    </xf>
    <xf numFmtId="0" fontId="75" fillId="0" borderId="0" xfId="0" applyFont="1" applyFill="1" applyAlignment="1">
      <alignment horizontal="center"/>
    </xf>
    <xf numFmtId="0" fontId="161" fillId="0" borderId="0" xfId="0" applyFont="1" applyAlignment="1">
      <alignment horizontal="center" vertical="center"/>
    </xf>
    <xf numFmtId="0" fontId="161" fillId="0" borderId="0" xfId="0" applyFont="1"/>
    <xf numFmtId="0" fontId="163" fillId="0" borderId="0" xfId="0" applyFont="1" applyFill="1" applyAlignment="1">
      <alignment horizontal="left"/>
    </xf>
    <xf numFmtId="0" fontId="164" fillId="0" borderId="0" xfId="0" applyFont="1" applyFill="1" applyAlignment="1">
      <alignment horizontal="left"/>
    </xf>
    <xf numFmtId="0" fontId="163" fillId="0" borderId="0" xfId="0" applyFont="1" applyAlignment="1">
      <alignment horizontal="left"/>
    </xf>
    <xf numFmtId="0" fontId="163" fillId="0" borderId="0" xfId="0" applyFont="1"/>
    <xf numFmtId="0" fontId="0" fillId="0" borderId="17" xfId="0" applyBorder="1"/>
    <xf numFmtId="0" fontId="0" fillId="0" borderId="59" xfId="0" applyBorder="1"/>
    <xf numFmtId="0" fontId="0" fillId="0" borderId="15" xfId="0" applyBorder="1"/>
    <xf numFmtId="0" fontId="0" fillId="0" borderId="12" xfId="0" applyBorder="1"/>
    <xf numFmtId="0" fontId="0" fillId="0" borderId="38" xfId="0" applyBorder="1"/>
    <xf numFmtId="0" fontId="0" fillId="0" borderId="0" xfId="0" applyBorder="1" applyAlignment="1">
      <alignment vertical="center"/>
    </xf>
    <xf numFmtId="0" fontId="0" fillId="0" borderId="19" xfId="0" applyBorder="1"/>
    <xf numFmtId="0" fontId="0" fillId="0" borderId="22" xfId="0" applyBorder="1"/>
    <xf numFmtId="0" fontId="0" fillId="0" borderId="20" xfId="0" applyBorder="1"/>
    <xf numFmtId="0" fontId="0" fillId="0" borderId="59" xfId="0" applyBorder="1" applyAlignment="1">
      <alignment vertical="center"/>
    </xf>
    <xf numFmtId="0" fontId="161" fillId="0" borderId="90" xfId="0" applyFont="1" applyBorder="1"/>
    <xf numFmtId="0" fontId="161" fillId="0" borderId="91" xfId="0" applyFont="1" applyBorder="1"/>
    <xf numFmtId="0" fontId="161" fillId="0" borderId="91" xfId="0" applyFont="1" applyBorder="1" applyAlignment="1">
      <alignment horizontal="center" vertical="center"/>
    </xf>
    <xf numFmtId="1" fontId="161" fillId="0" borderId="91" xfId="0" applyNumberFormat="1" applyFont="1" applyBorder="1" applyAlignment="1">
      <alignment horizontal="center"/>
    </xf>
    <xf numFmtId="0" fontId="161" fillId="0" borderId="91" xfId="0" applyFont="1" applyBorder="1" applyAlignment="1">
      <alignment horizontal="center"/>
    </xf>
    <xf numFmtId="1" fontId="161" fillId="0" borderId="92" xfId="0" applyNumberFormat="1" applyFont="1" applyBorder="1" applyAlignment="1">
      <alignment horizontal="center"/>
    </xf>
    <xf numFmtId="0" fontId="161" fillId="0" borderId="94" xfId="0" applyFont="1" applyBorder="1"/>
    <xf numFmtId="0" fontId="161" fillId="0" borderId="95" xfId="0" applyFont="1" applyBorder="1"/>
    <xf numFmtId="0" fontId="162" fillId="0" borderId="96" xfId="0" applyFont="1" applyBorder="1"/>
    <xf numFmtId="0" fontId="162" fillId="0" borderId="93" xfId="0" applyFont="1" applyBorder="1"/>
    <xf numFmtId="0" fontId="83" fillId="0" borderId="1" xfId="0" applyFont="1" applyFill="1" applyBorder="1"/>
    <xf numFmtId="165" fontId="83" fillId="0" borderId="1" xfId="0" applyNumberFormat="1" applyFont="1" applyFill="1" applyBorder="1" applyAlignment="1">
      <alignment horizontal="center"/>
    </xf>
    <xf numFmtId="0" fontId="166" fillId="0" borderId="0" xfId="0" applyFont="1"/>
    <xf numFmtId="1" fontId="0" fillId="0" borderId="0" xfId="0" applyNumberFormat="1" applyBorder="1"/>
    <xf numFmtId="1" fontId="165" fillId="5" borderId="0" xfId="0" applyNumberFormat="1" applyFont="1" applyFill="1" applyBorder="1"/>
    <xf numFmtId="0" fontId="1" fillId="2" borderId="63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2" borderId="16" xfId="0" applyFont="1" applyFill="1" applyBorder="1" applyAlignment="1">
      <alignment horizontal="left" vertical="center"/>
    </xf>
    <xf numFmtId="0" fontId="1" fillId="2" borderId="40" xfId="0" applyFont="1" applyFill="1" applyBorder="1" applyAlignment="1">
      <alignment horizontal="left" vertical="center"/>
    </xf>
    <xf numFmtId="0" fontId="1" fillId="2" borderId="21" xfId="0" applyFont="1" applyFill="1" applyBorder="1" applyAlignment="1">
      <alignment horizontal="left" vertical="center"/>
    </xf>
    <xf numFmtId="0" fontId="1" fillId="3" borderId="63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3" borderId="16" xfId="0" applyFont="1" applyFill="1" applyBorder="1" applyAlignment="1">
      <alignment horizontal="left" vertical="center"/>
    </xf>
    <xf numFmtId="0" fontId="1" fillId="3" borderId="40" xfId="0" applyFont="1" applyFill="1" applyBorder="1" applyAlignment="1">
      <alignment horizontal="left" vertical="center"/>
    </xf>
    <xf numFmtId="0" fontId="1" fillId="3" borderId="21" xfId="0" applyFont="1" applyFill="1" applyBorder="1" applyAlignment="1">
      <alignment horizontal="left" vertical="center"/>
    </xf>
    <xf numFmtId="0" fontId="1" fillId="9" borderId="63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horizontal="left" vertical="center"/>
    </xf>
    <xf numFmtId="0" fontId="1" fillId="9" borderId="16" xfId="0" applyFont="1" applyFill="1" applyBorder="1" applyAlignment="1">
      <alignment horizontal="left" vertical="center"/>
    </xf>
    <xf numFmtId="0" fontId="1" fillId="9" borderId="40" xfId="0" applyFont="1" applyFill="1" applyBorder="1" applyAlignment="1">
      <alignment horizontal="left" vertical="center"/>
    </xf>
    <xf numFmtId="0" fontId="1" fillId="9" borderId="21" xfId="0" applyFont="1" applyFill="1" applyBorder="1" applyAlignment="1">
      <alignment horizontal="left" vertical="center"/>
    </xf>
    <xf numFmtId="0" fontId="1" fillId="10" borderId="2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6" xfId="0" applyFont="1" applyFill="1" applyBorder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/>
    </xf>
    <xf numFmtId="0" fontId="1" fillId="0" borderId="27" xfId="0" applyFont="1" applyFill="1" applyBorder="1" applyAlignment="1">
      <alignment horizontal="left" vertical="center"/>
    </xf>
    <xf numFmtId="0" fontId="1" fillId="0" borderId="57" xfId="0" applyFont="1" applyFill="1" applyBorder="1" applyAlignment="1">
      <alignment horizontal="left" vertical="center"/>
    </xf>
    <xf numFmtId="167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horizontal="left"/>
    </xf>
    <xf numFmtId="0" fontId="139" fillId="0" borderId="0" xfId="0" applyFont="1" applyAlignment="1">
      <alignment horizontal="left"/>
    </xf>
    <xf numFmtId="1" fontId="1" fillId="0" borderId="55" xfId="0" applyNumberFormat="1" applyFont="1" applyFill="1" applyBorder="1" applyAlignment="1">
      <alignment horizontal="left" vertical="center" wrapText="1"/>
    </xf>
    <xf numFmtId="0" fontId="1" fillId="0" borderId="0" xfId="0" applyFont="1" applyFill="1" applyBorder="1" applyAlignment="1">
      <alignment horizontal="left" vertical="center" wrapText="1"/>
    </xf>
    <xf numFmtId="1" fontId="1" fillId="0" borderId="29" xfId="0" applyNumberFormat="1" applyFont="1" applyFill="1" applyBorder="1" applyAlignment="1">
      <alignment horizontal="left" vertical="center" wrapText="1"/>
    </xf>
    <xf numFmtId="0" fontId="1" fillId="5" borderId="27" xfId="0" applyFont="1" applyFill="1" applyBorder="1" applyAlignment="1">
      <alignment horizontal="left" vertical="center"/>
    </xf>
    <xf numFmtId="0" fontId="1" fillId="6" borderId="40" xfId="0" applyFont="1" applyFill="1" applyBorder="1" applyAlignment="1">
      <alignment horizontal="left"/>
    </xf>
    <xf numFmtId="1" fontId="1" fillId="0" borderId="11" xfId="0" applyNumberFormat="1" applyFont="1" applyFill="1" applyBorder="1" applyAlignment="1">
      <alignment horizontal="left" vertical="center" wrapText="1"/>
    </xf>
    <xf numFmtId="0" fontId="1" fillId="0" borderId="14" xfId="0" applyFont="1" applyFill="1" applyBorder="1" applyAlignment="1">
      <alignment horizontal="left" vertical="center" wrapText="1"/>
    </xf>
    <xf numFmtId="1" fontId="1" fillId="0" borderId="43" xfId="0" applyNumberFormat="1" applyFont="1" applyFill="1" applyBorder="1" applyAlignment="1">
      <alignment horizontal="left" vertical="center" wrapText="1"/>
    </xf>
    <xf numFmtId="0" fontId="1" fillId="2" borderId="31" xfId="0" applyFont="1" applyFill="1" applyBorder="1" applyAlignment="1">
      <alignment horizontal="left" vertical="center"/>
    </xf>
    <xf numFmtId="0" fontId="1" fillId="2" borderId="37" xfId="0" applyFont="1" applyFill="1" applyBorder="1" applyAlignment="1">
      <alignment horizontal="left" vertical="center"/>
    </xf>
    <xf numFmtId="0" fontId="1" fillId="2" borderId="60" xfId="0" applyFont="1" applyFill="1" applyBorder="1" applyAlignment="1">
      <alignment horizontal="left" vertical="center"/>
    </xf>
    <xf numFmtId="0" fontId="1" fillId="2" borderId="41" xfId="0" applyFont="1" applyFill="1" applyBorder="1" applyAlignment="1">
      <alignment horizontal="left" vertical="center"/>
    </xf>
    <xf numFmtId="0" fontId="1" fillId="2" borderId="61" xfId="0" applyFont="1" applyFill="1" applyBorder="1" applyAlignment="1">
      <alignment horizontal="left" vertical="center"/>
    </xf>
    <xf numFmtId="0" fontId="1" fillId="0" borderId="26" xfId="0" applyFont="1" applyFill="1" applyBorder="1" applyAlignment="1">
      <alignment horizontal="left" vertical="center"/>
    </xf>
    <xf numFmtId="0" fontId="1" fillId="3" borderId="31" xfId="0" applyFont="1" applyFill="1" applyBorder="1" applyAlignment="1">
      <alignment horizontal="left" vertical="center"/>
    </xf>
    <xf numFmtId="0" fontId="1" fillId="3" borderId="37" xfId="0" applyFont="1" applyFill="1" applyBorder="1" applyAlignment="1">
      <alignment horizontal="left" vertical="center"/>
    </xf>
    <xf numFmtId="0" fontId="1" fillId="3" borderId="60" xfId="0" applyFont="1" applyFill="1" applyBorder="1" applyAlignment="1">
      <alignment horizontal="left" vertical="center"/>
    </xf>
    <xf numFmtId="0" fontId="1" fillId="3" borderId="41" xfId="0" applyFont="1" applyFill="1" applyBorder="1" applyAlignment="1">
      <alignment horizontal="left" vertical="center"/>
    </xf>
    <xf numFmtId="0" fontId="1" fillId="3" borderId="61" xfId="0" applyFont="1" applyFill="1" applyBorder="1" applyAlignment="1">
      <alignment horizontal="left" vertical="center"/>
    </xf>
    <xf numFmtId="0" fontId="1" fillId="9" borderId="31" xfId="0" applyFont="1" applyFill="1" applyBorder="1" applyAlignment="1">
      <alignment horizontal="left" vertical="center"/>
    </xf>
    <xf numFmtId="0" fontId="1" fillId="9" borderId="37" xfId="0" applyFont="1" applyFill="1" applyBorder="1" applyAlignment="1">
      <alignment horizontal="left" vertical="center"/>
    </xf>
    <xf numFmtId="0" fontId="1" fillId="9" borderId="60" xfId="0" applyFont="1" applyFill="1" applyBorder="1" applyAlignment="1">
      <alignment horizontal="left" vertical="center"/>
    </xf>
    <xf numFmtId="0" fontId="1" fillId="9" borderId="41" xfId="0" applyFont="1" applyFill="1" applyBorder="1" applyAlignment="1">
      <alignment horizontal="left" vertical="center"/>
    </xf>
    <xf numFmtId="0" fontId="1" fillId="9" borderId="61" xfId="0" applyFont="1" applyFill="1" applyBorder="1" applyAlignment="1">
      <alignment horizontal="left" vertical="center"/>
    </xf>
    <xf numFmtId="0" fontId="1" fillId="10" borderId="61" xfId="0" applyFont="1" applyFill="1" applyBorder="1" applyAlignment="1">
      <alignment horizontal="left" vertical="center"/>
    </xf>
    <xf numFmtId="0" fontId="1" fillId="10" borderId="37" xfId="0" applyFont="1" applyFill="1" applyBorder="1" applyAlignment="1">
      <alignment horizontal="left" vertical="center"/>
    </xf>
    <xf numFmtId="0" fontId="1" fillId="10" borderId="60" xfId="0" applyFont="1" applyFill="1" applyBorder="1" applyAlignment="1">
      <alignment horizontal="left" vertical="center"/>
    </xf>
    <xf numFmtId="0" fontId="1" fillId="0" borderId="51" xfId="0" applyFont="1" applyFill="1" applyBorder="1" applyAlignment="1">
      <alignment horizontal="left" vertical="center"/>
    </xf>
    <xf numFmtId="0" fontId="1" fillId="5" borderId="26" xfId="0" applyFont="1" applyFill="1" applyBorder="1" applyAlignment="1">
      <alignment horizontal="left" vertical="center"/>
    </xf>
    <xf numFmtId="0" fontId="1" fillId="6" borderId="41" xfId="0" applyFont="1" applyFill="1" applyBorder="1" applyAlignment="1">
      <alignment horizontal="left"/>
    </xf>
    <xf numFmtId="1" fontId="167" fillId="0" borderId="63" xfId="0" applyNumberFormat="1" applyFont="1" applyFill="1" applyBorder="1" applyAlignment="1">
      <alignment horizontal="center" vertical="center" wrapText="1"/>
    </xf>
    <xf numFmtId="1" fontId="167" fillId="0" borderId="1" xfId="0" applyNumberFormat="1" applyFont="1" applyFill="1" applyBorder="1" applyAlignment="1">
      <alignment horizontal="center" vertical="center" wrapText="1"/>
    </xf>
    <xf numFmtId="1" fontId="167" fillId="0" borderId="40" xfId="0" applyNumberFormat="1" applyFont="1" applyFill="1" applyBorder="1" applyAlignment="1">
      <alignment horizontal="center" vertical="center" wrapText="1"/>
    </xf>
    <xf numFmtId="165" fontId="83" fillId="0" borderId="1" xfId="0" applyNumberFormat="1" applyFont="1" applyFill="1" applyBorder="1"/>
    <xf numFmtId="0" fontId="168" fillId="0" borderId="1" xfId="0" applyFont="1" applyFill="1" applyBorder="1"/>
    <xf numFmtId="0" fontId="24" fillId="0" borderId="7" xfId="0" applyFont="1" applyFill="1" applyBorder="1" applyAlignment="1">
      <alignment vertical="center"/>
    </xf>
    <xf numFmtId="0" fontId="24" fillId="0" borderId="7" xfId="0" applyFont="1" applyFill="1" applyBorder="1" applyAlignment="1">
      <alignment horizontal="left" vertical="center"/>
    </xf>
    <xf numFmtId="0" fontId="174" fillId="0" borderId="7" xfId="0" applyFont="1" applyFill="1" applyBorder="1" applyAlignment="1">
      <alignment horizontal="center"/>
    </xf>
    <xf numFmtId="0" fontId="24" fillId="0" borderId="7" xfId="0" applyFont="1" applyFill="1" applyBorder="1" applyAlignment="1">
      <alignment horizontal="center" vertical="center"/>
    </xf>
    <xf numFmtId="0" fontId="172" fillId="0" borderId="7" xfId="0" applyFont="1" applyFill="1" applyBorder="1" applyAlignment="1"/>
    <xf numFmtId="0" fontId="173" fillId="0" borderId="7" xfId="0" applyFont="1" applyFill="1" applyBorder="1" applyAlignment="1"/>
    <xf numFmtId="0" fontId="24" fillId="0" borderId="7" xfId="0" applyFont="1" applyFill="1" applyBorder="1" applyAlignment="1"/>
    <xf numFmtId="0" fontId="169" fillId="0" borderId="7" xfId="0" applyFont="1" applyFill="1" applyBorder="1" applyAlignment="1"/>
    <xf numFmtId="0" fontId="170" fillId="0" borderId="7" xfId="0" applyFont="1" applyFill="1" applyBorder="1" applyAlignment="1"/>
    <xf numFmtId="0" fontId="171" fillId="0" borderId="7" xfId="0" applyFont="1" applyFill="1" applyBorder="1" applyAlignment="1"/>
    <xf numFmtId="1" fontId="172" fillId="0" borderId="7" xfId="0" applyNumberFormat="1" applyFont="1" applyFill="1" applyBorder="1" applyAlignment="1"/>
    <xf numFmtId="0" fontId="175" fillId="0" borderId="0" xfId="0" applyFont="1" applyAlignment="1"/>
    <xf numFmtId="0" fontId="24" fillId="0" borderId="0" xfId="0" applyFont="1" applyAlignment="1"/>
    <xf numFmtId="165" fontId="176" fillId="0" borderId="1" xfId="0" applyNumberFormat="1" applyFont="1" applyFill="1" applyBorder="1" applyAlignment="1">
      <alignment horizontal="center"/>
    </xf>
    <xf numFmtId="165" fontId="70" fillId="0" borderId="1" xfId="0" applyNumberFormat="1" applyFont="1" applyFill="1" applyBorder="1"/>
    <xf numFmtId="165" fontId="176" fillId="0" borderId="1" xfId="0" applyNumberFormat="1" applyFont="1" applyFill="1" applyBorder="1"/>
    <xf numFmtId="0" fontId="0" fillId="0" borderId="0" xfId="0" applyFill="1" applyAlignment="1">
      <alignment horizontal="center"/>
    </xf>
    <xf numFmtId="172" fontId="142" fillId="0" borderId="22" xfId="0" applyNumberFormat="1" applyFont="1" applyFill="1" applyBorder="1" applyAlignment="1">
      <alignment horizontal="center"/>
    </xf>
    <xf numFmtId="0" fontId="178" fillId="0" borderId="1" xfId="0" applyFont="1" applyFill="1" applyBorder="1"/>
    <xf numFmtId="165" fontId="178" fillId="0" borderId="1" xfId="0" applyNumberFormat="1" applyFont="1" applyFill="1" applyBorder="1" applyAlignment="1">
      <alignment horizontal="center"/>
    </xf>
    <xf numFmtId="165" fontId="177" fillId="0" borderId="1" xfId="0" applyNumberFormat="1" applyFont="1" applyFill="1" applyBorder="1"/>
    <xf numFmtId="165" fontId="178" fillId="0" borderId="1" xfId="0" applyNumberFormat="1" applyFont="1" applyFill="1" applyBorder="1"/>
    <xf numFmtId="0" fontId="179" fillId="0" borderId="37" xfId="0" applyFont="1" applyFill="1" applyBorder="1"/>
    <xf numFmtId="0" fontId="178" fillId="0" borderId="22" xfId="0" applyFont="1" applyFill="1" applyBorder="1"/>
    <xf numFmtId="0" fontId="133" fillId="0" borderId="37" xfId="0" applyFont="1" applyFill="1" applyBorder="1"/>
    <xf numFmtId="173" fontId="178" fillId="0" borderId="1" xfId="0" applyNumberFormat="1" applyFont="1" applyFill="1" applyBorder="1"/>
    <xf numFmtId="0" fontId="177" fillId="0" borderId="22" xfId="0" applyFont="1" applyFill="1" applyBorder="1" applyAlignment="1"/>
    <xf numFmtId="0" fontId="177" fillId="0" borderId="22" xfId="0" applyFont="1" applyFill="1" applyBorder="1" applyAlignment="1">
      <alignment horizontal="right"/>
    </xf>
    <xf numFmtId="0" fontId="177" fillId="0" borderId="19" xfId="0" applyFont="1" applyFill="1" applyBorder="1" applyAlignment="1"/>
    <xf numFmtId="1" fontId="177" fillId="0" borderId="22" xfId="0" applyNumberFormat="1" applyFont="1" applyFill="1" applyBorder="1" applyAlignment="1">
      <alignment horizontal="center"/>
    </xf>
    <xf numFmtId="0" fontId="177" fillId="0" borderId="2" xfId="0" applyFont="1" applyFill="1" applyBorder="1" applyAlignment="1"/>
    <xf numFmtId="0" fontId="177" fillId="0" borderId="4" xfId="0" applyFont="1" applyFill="1" applyBorder="1" applyAlignment="1"/>
    <xf numFmtId="0" fontId="177" fillId="0" borderId="20" xfId="0" applyFont="1" applyFill="1" applyBorder="1"/>
    <xf numFmtId="0" fontId="165" fillId="0" borderId="0" xfId="0" applyFont="1"/>
    <xf numFmtId="0" fontId="167" fillId="0" borderId="16" xfId="0" applyFont="1" applyBorder="1" applyAlignment="1">
      <alignment horizontal="right" vertical="center"/>
    </xf>
    <xf numFmtId="0" fontId="167" fillId="0" borderId="54" xfId="0" applyFont="1" applyBorder="1" applyAlignment="1">
      <alignment horizontal="right" vertical="center"/>
    </xf>
    <xf numFmtId="0" fontId="167" fillId="0" borderId="21" xfId="0" applyFont="1" applyBorder="1" applyAlignment="1">
      <alignment horizontal="left" vertical="center"/>
    </xf>
    <xf numFmtId="0" fontId="182" fillId="0" borderId="1" xfId="0" applyFont="1" applyFill="1" applyBorder="1"/>
    <xf numFmtId="165" fontId="183" fillId="0" borderId="1" xfId="0" applyNumberFormat="1" applyFont="1" applyFill="1" applyBorder="1" applyAlignment="1">
      <alignment horizontal="center"/>
    </xf>
    <xf numFmtId="165" fontId="183" fillId="0" borderId="1" xfId="0" applyNumberFormat="1" applyFont="1" applyFill="1" applyBorder="1"/>
    <xf numFmtId="173" fontId="183" fillId="0" borderId="1" xfId="0" applyNumberFormat="1" applyFont="1" applyFill="1" applyBorder="1"/>
    <xf numFmtId="0" fontId="184" fillId="0" borderId="1" xfId="0" applyFont="1" applyFill="1" applyBorder="1"/>
    <xf numFmtId="165" fontId="184" fillId="0" borderId="1" xfId="0" applyNumberFormat="1" applyFont="1" applyFill="1" applyBorder="1" applyAlignment="1">
      <alignment horizontal="center"/>
    </xf>
    <xf numFmtId="165" fontId="184" fillId="0" borderId="1" xfId="0" applyNumberFormat="1" applyFont="1" applyFill="1" applyBorder="1"/>
    <xf numFmtId="173" fontId="184" fillId="0" borderId="1" xfId="0" applyNumberFormat="1" applyFont="1" applyFill="1" applyBorder="1"/>
    <xf numFmtId="0" fontId="179" fillId="2" borderId="37" xfId="0" applyFont="1" applyFill="1" applyBorder="1"/>
    <xf numFmtId="0" fontId="177" fillId="2" borderId="1" xfId="0" applyFont="1" applyFill="1" applyBorder="1"/>
    <xf numFmtId="165" fontId="178" fillId="2" borderId="1" xfId="0" applyNumberFormat="1" applyFont="1" applyFill="1" applyBorder="1" applyAlignment="1">
      <alignment horizontal="center"/>
    </xf>
    <xf numFmtId="165" fontId="178" fillId="2" borderId="1" xfId="0" applyNumberFormat="1" applyFont="1" applyFill="1" applyBorder="1"/>
    <xf numFmtId="173" fontId="178" fillId="2" borderId="1" xfId="0" applyNumberFormat="1" applyFont="1" applyFill="1" applyBorder="1"/>
    <xf numFmtId="0" fontId="81" fillId="2" borderId="1" xfId="0" applyFont="1" applyFill="1" applyBorder="1" applyAlignment="1">
      <alignment horizontal="center" vertical="center" wrapText="1"/>
    </xf>
    <xf numFmtId="0" fontId="178" fillId="2" borderId="1" xfId="0" applyFont="1" applyFill="1" applyBorder="1"/>
    <xf numFmtId="0" fontId="81" fillId="2" borderId="4" xfId="0" applyFont="1" applyFill="1" applyBorder="1" applyAlignment="1">
      <alignment horizontal="center" vertical="center" wrapText="1"/>
    </xf>
    <xf numFmtId="1" fontId="180" fillId="2" borderId="2" xfId="0" applyNumberFormat="1" applyFont="1" applyFill="1" applyBorder="1" applyAlignment="1">
      <alignment horizontal="center"/>
    </xf>
    <xf numFmtId="1" fontId="181" fillId="2" borderId="4" xfId="0" applyNumberFormat="1" applyFont="1" applyFill="1" applyBorder="1" applyAlignment="1">
      <alignment horizontal="center"/>
    </xf>
    <xf numFmtId="0" fontId="82" fillId="10" borderId="54" xfId="0" applyFont="1" applyFill="1" applyBorder="1" applyAlignment="1">
      <alignment horizontal="center"/>
    </xf>
    <xf numFmtId="0" fontId="81" fillId="10" borderId="1" xfId="0" applyFont="1" applyFill="1" applyBorder="1" applyAlignment="1">
      <alignment horizontal="center" vertical="center" wrapText="1"/>
    </xf>
    <xf numFmtId="0" fontId="82" fillId="10" borderId="1" xfId="0" applyFont="1" applyFill="1" applyBorder="1" applyAlignment="1">
      <alignment horizontal="center" vertical="center"/>
    </xf>
    <xf numFmtId="0" fontId="83" fillId="10" borderId="1" xfId="0" applyFont="1" applyFill="1" applyBorder="1" applyAlignment="1">
      <alignment horizontal="center" vertical="center" wrapText="1" shrinkToFit="1"/>
    </xf>
    <xf numFmtId="14" fontId="132" fillId="10" borderId="1" xfId="0" applyNumberFormat="1" applyFont="1" applyFill="1" applyBorder="1" applyAlignment="1">
      <alignment horizontal="center"/>
    </xf>
    <xf numFmtId="0" fontId="82" fillId="10" borderId="16" xfId="0" applyFont="1" applyFill="1" applyBorder="1" applyAlignment="1">
      <alignment horizontal="center" vertical="center"/>
    </xf>
    <xf numFmtId="0" fontId="83" fillId="10" borderId="16" xfId="0" applyFont="1" applyFill="1" applyBorder="1" applyAlignment="1">
      <alignment horizontal="center" vertical="center" wrapText="1" shrinkToFit="1"/>
    </xf>
    <xf numFmtId="0" fontId="83" fillId="10" borderId="1" xfId="0" applyFont="1" applyFill="1" applyBorder="1" applyAlignment="1">
      <alignment horizontal="center"/>
    </xf>
    <xf numFmtId="1" fontId="67" fillId="0" borderId="11" xfId="0" applyNumberFormat="1" applyFont="1" applyFill="1" applyBorder="1" applyAlignment="1">
      <alignment horizontal="left" vertical="center"/>
    </xf>
    <xf numFmtId="1" fontId="67" fillId="0" borderId="43" xfId="0" applyNumberFormat="1" applyFont="1" applyFill="1" applyBorder="1" applyAlignment="1">
      <alignment horizontal="left" vertical="center"/>
    </xf>
    <xf numFmtId="1" fontId="67" fillId="0" borderId="79" xfId="0" applyNumberFormat="1" applyFont="1" applyFill="1" applyBorder="1" applyAlignment="1">
      <alignment horizontal="left" vertical="center" wrapText="1"/>
    </xf>
    <xf numFmtId="0" fontId="54" fillId="0" borderId="80" xfId="0" applyFont="1" applyFill="1" applyBorder="1" applyAlignment="1">
      <alignment horizontal="left" vertical="center" wrapText="1"/>
    </xf>
    <xf numFmtId="1" fontId="67" fillId="0" borderId="81" xfId="0" applyNumberFormat="1" applyFont="1" applyFill="1" applyBorder="1" applyAlignment="1">
      <alignment horizontal="left" vertical="center" wrapText="1"/>
    </xf>
    <xf numFmtId="1" fontId="67" fillId="0" borderId="55" xfId="0" applyNumberFormat="1" applyFont="1" applyFill="1" applyBorder="1" applyAlignment="1">
      <alignment horizontal="left" vertical="center" wrapText="1"/>
    </xf>
    <xf numFmtId="0" fontId="67" fillId="0" borderId="0" xfId="0" applyFont="1" applyFill="1" applyBorder="1" applyAlignment="1">
      <alignment horizontal="left" vertical="center" wrapText="1"/>
    </xf>
    <xf numFmtId="1" fontId="67" fillId="0" borderId="29" xfId="0" applyNumberFormat="1" applyFont="1" applyFill="1" applyBorder="1" applyAlignment="1">
      <alignment horizontal="left" vertical="center" wrapText="1"/>
    </xf>
    <xf numFmtId="0" fontId="73" fillId="10" borderId="83" xfId="0" applyFont="1" applyFill="1" applyBorder="1" applyAlignment="1" applyProtection="1">
      <alignment horizontal="left" vertical="center" wrapText="1" shrinkToFit="1"/>
    </xf>
    <xf numFmtId="0" fontId="183" fillId="0" borderId="22" xfId="0" applyFont="1" applyFill="1" applyBorder="1"/>
    <xf numFmtId="2" fontId="48" fillId="2" borderId="63" xfId="0" applyNumberFormat="1" applyFont="1" applyFill="1" applyBorder="1" applyAlignment="1">
      <alignment horizontal="center" vertical="center"/>
    </xf>
    <xf numFmtId="2" fontId="48" fillId="2" borderId="1" xfId="0" applyNumberFormat="1" applyFont="1" applyFill="1" applyBorder="1" applyAlignment="1">
      <alignment horizontal="center" vertical="center"/>
    </xf>
    <xf numFmtId="2" fontId="48" fillId="2" borderId="16" xfId="0" applyNumberFormat="1" applyFont="1" applyFill="1" applyBorder="1" applyAlignment="1">
      <alignment horizontal="center" vertical="center"/>
    </xf>
    <xf numFmtId="2" fontId="48" fillId="2" borderId="40" xfId="0" applyNumberFormat="1" applyFont="1" applyFill="1" applyBorder="1" applyAlignment="1">
      <alignment horizontal="center" vertical="center"/>
    </xf>
    <xf numFmtId="2" fontId="48" fillId="2" borderId="21" xfId="0" applyNumberFormat="1" applyFont="1" applyFill="1" applyBorder="1" applyAlignment="1">
      <alignment horizontal="center" vertical="center"/>
    </xf>
    <xf numFmtId="2" fontId="48" fillId="0" borderId="27" xfId="0" applyNumberFormat="1" applyFont="1" applyFill="1" applyBorder="1" applyAlignment="1">
      <alignment horizontal="center" vertical="center"/>
    </xf>
    <xf numFmtId="2" fontId="48" fillId="3" borderId="21" xfId="0" applyNumberFormat="1" applyFont="1" applyFill="1" applyBorder="1" applyAlignment="1">
      <alignment horizontal="center" vertical="center"/>
    </xf>
    <xf numFmtId="2" fontId="48" fillId="3" borderId="1" xfId="0" applyNumberFormat="1" applyFont="1" applyFill="1" applyBorder="1" applyAlignment="1">
      <alignment horizontal="center" vertical="center"/>
    </xf>
    <xf numFmtId="2" fontId="48" fillId="3" borderId="16" xfId="0" applyNumberFormat="1" applyFont="1" applyFill="1" applyBorder="1" applyAlignment="1">
      <alignment horizontal="center" vertical="center"/>
    </xf>
    <xf numFmtId="2" fontId="48" fillId="3" borderId="63" xfId="0" applyNumberFormat="1" applyFont="1" applyFill="1" applyBorder="1" applyAlignment="1">
      <alignment horizontal="center" vertical="center"/>
    </xf>
    <xf numFmtId="2" fontId="48" fillId="3" borderId="40" xfId="0" applyNumberFormat="1" applyFont="1" applyFill="1" applyBorder="1" applyAlignment="1">
      <alignment horizontal="center" vertical="center"/>
    </xf>
    <xf numFmtId="2" fontId="48" fillId="9" borderId="21" xfId="0" applyNumberFormat="1" applyFont="1" applyFill="1" applyBorder="1" applyAlignment="1">
      <alignment horizontal="center" vertical="center"/>
    </xf>
    <xf numFmtId="2" fontId="48" fillId="9" borderId="1" xfId="0" applyNumberFormat="1" applyFont="1" applyFill="1" applyBorder="1" applyAlignment="1">
      <alignment horizontal="center" vertical="center"/>
    </xf>
    <xf numFmtId="2" fontId="48" fillId="9" borderId="16" xfId="0" applyNumberFormat="1" applyFont="1" applyFill="1" applyBorder="1" applyAlignment="1">
      <alignment horizontal="center" vertical="center"/>
    </xf>
    <xf numFmtId="2" fontId="48" fillId="9" borderId="63" xfId="0" applyNumberFormat="1" applyFont="1" applyFill="1" applyBorder="1" applyAlignment="1">
      <alignment horizontal="center" vertical="center"/>
    </xf>
    <xf numFmtId="2" fontId="48" fillId="9" borderId="40" xfId="0" applyNumberFormat="1" applyFont="1" applyFill="1" applyBorder="1" applyAlignment="1">
      <alignment horizontal="center" vertical="center"/>
    </xf>
    <xf numFmtId="2" fontId="48" fillId="10" borderId="21" xfId="0" applyNumberFormat="1" applyFont="1" applyFill="1" applyBorder="1" applyAlignment="1">
      <alignment horizontal="center" vertical="center"/>
    </xf>
    <xf numFmtId="2" fontId="48" fillId="10" borderId="1" xfId="0" applyNumberFormat="1" applyFont="1" applyFill="1" applyBorder="1" applyAlignment="1">
      <alignment horizontal="center" vertical="center"/>
    </xf>
    <xf numFmtId="2" fontId="48" fillId="10" borderId="16" xfId="0" applyNumberFormat="1" applyFont="1" applyFill="1" applyBorder="1" applyAlignment="1">
      <alignment horizontal="center" vertical="center"/>
    </xf>
    <xf numFmtId="2" fontId="48" fillId="5" borderId="23" xfId="0" applyNumberFormat="1" applyFont="1" applyFill="1" applyBorder="1" applyAlignment="1">
      <alignment horizontal="center" vertical="center"/>
    </xf>
    <xf numFmtId="2" fontId="48" fillId="5" borderId="27" xfId="0" applyNumberFormat="1" applyFont="1" applyFill="1" applyBorder="1" applyAlignment="1">
      <alignment horizontal="center" vertical="center"/>
    </xf>
    <xf numFmtId="14" fontId="185" fillId="0" borderId="0" xfId="0" applyNumberFormat="1" applyFont="1"/>
    <xf numFmtId="14" fontId="186" fillId="0" borderId="16" xfId="1" applyNumberFormat="1" applyFont="1" applyBorder="1" applyAlignment="1">
      <alignment horizontal="left" vertical="center"/>
    </xf>
    <xf numFmtId="165" fontId="186" fillId="0" borderId="16" xfId="1" applyNumberFormat="1" applyFont="1" applyBorder="1" applyAlignment="1">
      <alignment horizontal="center" vertical="center" wrapText="1"/>
    </xf>
    <xf numFmtId="165" fontId="185" fillId="0" borderId="0" xfId="0" applyNumberFormat="1" applyFont="1"/>
    <xf numFmtId="2" fontId="73" fillId="2" borderId="0" xfId="0" applyNumberFormat="1" applyFont="1" applyFill="1" applyAlignment="1">
      <alignment horizontal="center" vertical="center" wrapText="1"/>
    </xf>
    <xf numFmtId="2" fontId="160" fillId="2" borderId="0" xfId="0" applyNumberFormat="1" applyFont="1" applyFill="1" applyAlignment="1">
      <alignment horizontal="center" vertical="center" wrapText="1"/>
    </xf>
    <xf numFmtId="2" fontId="124" fillId="2" borderId="0" xfId="0" applyNumberFormat="1" applyFont="1" applyFill="1" applyAlignment="1">
      <alignment horizontal="center" vertical="center" wrapText="1"/>
    </xf>
    <xf numFmtId="2" fontId="85" fillId="2" borderId="0" xfId="0" applyNumberFormat="1" applyFont="1" applyFill="1" applyAlignment="1">
      <alignment horizontal="center"/>
    </xf>
    <xf numFmtId="2" fontId="159" fillId="4" borderId="0" xfId="0" applyNumberFormat="1" applyFont="1" applyFill="1" applyAlignment="1">
      <alignment horizontal="center"/>
    </xf>
    <xf numFmtId="2" fontId="81" fillId="4" borderId="0" xfId="0" applyNumberFormat="1" applyFont="1" applyFill="1" applyAlignment="1">
      <alignment horizontal="center"/>
    </xf>
    <xf numFmtId="2" fontId="78" fillId="0" borderId="0" xfId="0" applyNumberFormat="1" applyFont="1" applyAlignment="1">
      <alignment horizontal="center"/>
    </xf>
    <xf numFmtId="2" fontId="122" fillId="0" borderId="0" xfId="0" applyNumberFormat="1" applyFont="1" applyAlignment="1">
      <alignment horizontal="center"/>
    </xf>
    <xf numFmtId="2" fontId="47" fillId="0" borderId="0" xfId="0" applyNumberFormat="1" applyFont="1" applyAlignment="1">
      <alignment horizontal="center"/>
    </xf>
    <xf numFmtId="14" fontId="6" fillId="0" borderId="1" xfId="1" applyNumberFormat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42" fillId="0" borderId="0" xfId="0" applyFont="1" applyBorder="1" applyAlignment="1">
      <alignment horizontal="left" wrapText="1"/>
    </xf>
    <xf numFmtId="1" fontId="77" fillId="10" borderId="1" xfId="0" applyNumberFormat="1" applyFont="1" applyFill="1" applyBorder="1" applyAlignment="1">
      <alignment horizontal="center" vertical="center"/>
    </xf>
    <xf numFmtId="14" fontId="77" fillId="10" borderId="1" xfId="0" applyNumberFormat="1" applyFont="1" applyFill="1" applyBorder="1" applyAlignment="1">
      <alignment horizontal="center" vertical="center"/>
    </xf>
    <xf numFmtId="14" fontId="13" fillId="10" borderId="67" xfId="0" applyNumberFormat="1" applyFont="1" applyFill="1" applyBorder="1" applyAlignment="1">
      <alignment horizontal="center" vertical="center"/>
    </xf>
    <xf numFmtId="0" fontId="13" fillId="10" borderId="68" xfId="0" applyFont="1" applyFill="1" applyBorder="1" applyAlignment="1">
      <alignment horizontal="center" vertical="center"/>
    </xf>
    <xf numFmtId="14" fontId="74" fillId="2" borderId="1" xfId="0" applyNumberFormat="1" applyFont="1" applyFill="1" applyBorder="1" applyAlignment="1">
      <alignment horizontal="center" vertical="center"/>
    </xf>
    <xf numFmtId="0" fontId="77" fillId="10" borderId="1" xfId="0" applyFont="1" applyFill="1" applyBorder="1" applyAlignment="1">
      <alignment horizontal="center" vertical="center"/>
    </xf>
    <xf numFmtId="0" fontId="139" fillId="0" borderId="88" xfId="0" applyFont="1" applyBorder="1" applyAlignment="1">
      <alignment horizontal="center" vertical="center"/>
    </xf>
    <xf numFmtId="0" fontId="139" fillId="0" borderId="89" xfId="0" applyFont="1" applyBorder="1" applyAlignment="1">
      <alignment horizontal="center" vertical="center"/>
    </xf>
    <xf numFmtId="0" fontId="127" fillId="0" borderId="0" xfId="0" applyFont="1" applyBorder="1" applyAlignment="1">
      <alignment horizontal="left" vertical="center" wrapText="1"/>
    </xf>
    <xf numFmtId="14" fontId="139" fillId="0" borderId="19" xfId="0" applyNumberFormat="1" applyFont="1" applyBorder="1" applyAlignment="1">
      <alignment horizontal="center" vertical="center"/>
    </xf>
    <xf numFmtId="14" fontId="139" fillId="0" borderId="20" xfId="0" applyNumberFormat="1" applyFont="1" applyBorder="1" applyAlignment="1">
      <alignment horizontal="center" vertical="center"/>
    </xf>
    <xf numFmtId="14" fontId="140" fillId="10" borderId="1" xfId="0" applyNumberFormat="1" applyFont="1" applyFill="1" applyBorder="1" applyAlignment="1">
      <alignment horizontal="center" vertical="center"/>
    </xf>
    <xf numFmtId="14" fontId="141" fillId="0" borderId="19" xfId="0" applyNumberFormat="1" applyFont="1" applyBorder="1" applyAlignment="1">
      <alignment horizontal="center" vertical="center"/>
    </xf>
    <xf numFmtId="0" fontId="141" fillId="0" borderId="20" xfId="0" applyFont="1" applyBorder="1" applyAlignment="1">
      <alignment horizontal="center" vertical="center"/>
    </xf>
    <xf numFmtId="0" fontId="141" fillId="0" borderId="19" xfId="0" applyFont="1" applyBorder="1" applyAlignment="1">
      <alignment horizontal="center" vertical="center"/>
    </xf>
    <xf numFmtId="0" fontId="124" fillId="0" borderId="86" xfId="0" applyFont="1" applyBorder="1" applyAlignment="1">
      <alignment horizontal="center" vertical="center" textRotation="90"/>
    </xf>
    <xf numFmtId="0" fontId="124" fillId="0" borderId="85" xfId="0" applyFont="1" applyBorder="1" applyAlignment="1">
      <alignment horizontal="center" vertical="center" textRotation="90"/>
    </xf>
    <xf numFmtId="0" fontId="124" fillId="0" borderId="84" xfId="0" applyFont="1" applyBorder="1" applyAlignment="1">
      <alignment horizontal="center" vertical="center" textRotation="90"/>
    </xf>
    <xf numFmtId="164" fontId="140" fillId="10" borderId="2" xfId="0" applyNumberFormat="1" applyFont="1" applyFill="1" applyBorder="1" applyAlignment="1">
      <alignment horizontal="left" vertical="center" wrapText="1"/>
    </xf>
    <xf numFmtId="164" fontId="140" fillId="10" borderId="3" xfId="0" applyNumberFormat="1" applyFont="1" applyFill="1" applyBorder="1" applyAlignment="1">
      <alignment horizontal="left" vertical="center" wrapText="1"/>
    </xf>
    <xf numFmtId="14" fontId="74" fillId="2" borderId="2" xfId="0" applyNumberFormat="1" applyFont="1" applyFill="1" applyBorder="1" applyAlignment="1">
      <alignment horizontal="center" vertical="center"/>
    </xf>
    <xf numFmtId="14" fontId="74" fillId="2" borderId="4" xfId="0" applyNumberFormat="1" applyFont="1" applyFill="1" applyBorder="1" applyAlignment="1">
      <alignment horizontal="center" vertical="center"/>
    </xf>
    <xf numFmtId="0" fontId="157" fillId="0" borderId="0" xfId="0" applyFont="1" applyBorder="1" applyAlignment="1">
      <alignment horizontal="left" vertical="center" wrapText="1"/>
    </xf>
    <xf numFmtId="0" fontId="139" fillId="0" borderId="20" xfId="0" applyFont="1" applyBorder="1" applyAlignment="1">
      <alignment horizontal="center" vertical="center"/>
    </xf>
    <xf numFmtId="0" fontId="34" fillId="9" borderId="33" xfId="0" applyFont="1" applyFill="1" applyBorder="1" applyAlignment="1">
      <alignment horizontal="center"/>
    </xf>
    <xf numFmtId="0" fontId="34" fillId="9" borderId="55" xfId="0" applyFont="1" applyFill="1" applyBorder="1" applyAlignment="1">
      <alignment horizontal="center"/>
    </xf>
    <xf numFmtId="0" fontId="34" fillId="9" borderId="32" xfId="0" applyFont="1" applyFill="1" applyBorder="1" applyAlignment="1">
      <alignment horizontal="center"/>
    </xf>
    <xf numFmtId="0" fontId="90" fillId="10" borderId="33" xfId="0" applyFont="1" applyFill="1" applyBorder="1" applyAlignment="1">
      <alignment horizontal="center"/>
    </xf>
    <xf numFmtId="0" fontId="90" fillId="10" borderId="55" xfId="0" applyFont="1" applyFill="1" applyBorder="1" applyAlignment="1">
      <alignment horizontal="center"/>
    </xf>
    <xf numFmtId="0" fontId="98" fillId="3" borderId="55" xfId="0" applyFont="1" applyFill="1" applyBorder="1" applyAlignment="1">
      <alignment horizontal="center"/>
    </xf>
    <xf numFmtId="0" fontId="98" fillId="3" borderId="32" xfId="0" applyFont="1" applyFill="1" applyBorder="1" applyAlignment="1">
      <alignment horizontal="center"/>
    </xf>
    <xf numFmtId="0" fontId="49" fillId="2" borderId="33" xfId="0" applyFont="1" applyFill="1" applyBorder="1" applyAlignment="1">
      <alignment horizontal="center"/>
    </xf>
    <xf numFmtId="0" fontId="49" fillId="2" borderId="55" xfId="0" applyFont="1" applyFill="1" applyBorder="1" applyAlignment="1">
      <alignment horizontal="center"/>
    </xf>
    <xf numFmtId="0" fontId="23" fillId="0" borderId="55" xfId="0" applyFont="1" applyFill="1" applyBorder="1" applyAlignment="1">
      <alignment horizontal="center" vertical="center"/>
    </xf>
    <xf numFmtId="0" fontId="23" fillId="13" borderId="55" xfId="0" applyFont="1" applyFill="1" applyBorder="1" applyAlignment="1">
      <alignment horizontal="center" vertical="center"/>
    </xf>
    <xf numFmtId="0" fontId="23" fillId="13" borderId="35" xfId="0" applyFont="1" applyFill="1" applyBorder="1" applyAlignment="1">
      <alignment horizontal="center" vertical="center"/>
    </xf>
    <xf numFmtId="166" fontId="18" fillId="0" borderId="0" xfId="0" applyNumberFormat="1" applyFont="1" applyFill="1" applyAlignment="1">
      <alignment horizontal="center"/>
    </xf>
    <xf numFmtId="166" fontId="15" fillId="0" borderId="0" xfId="0" applyNumberFormat="1" applyFont="1" applyFill="1" applyBorder="1" applyAlignment="1">
      <alignment horizontal="right" vertical="center"/>
    </xf>
    <xf numFmtId="0" fontId="102" fillId="0" borderId="0" xfId="0" applyFont="1" applyFill="1" applyAlignment="1">
      <alignment horizontal="left"/>
    </xf>
    <xf numFmtId="0" fontId="20" fillId="2" borderId="58" xfId="0" applyFont="1" applyFill="1" applyBorder="1" applyAlignment="1">
      <alignment horizontal="center" vertical="center" textRotation="90"/>
    </xf>
    <xf numFmtId="0" fontId="20" fillId="2" borderId="56" xfId="0" applyFont="1" applyFill="1" applyBorder="1" applyAlignment="1">
      <alignment horizontal="center" vertical="center" textRotation="90"/>
    </xf>
    <xf numFmtId="0" fontId="20" fillId="2" borderId="25" xfId="0" applyFont="1" applyFill="1" applyBorder="1" applyAlignment="1">
      <alignment horizontal="center" vertical="center" textRotation="90"/>
    </xf>
    <xf numFmtId="0" fontId="17" fillId="2" borderId="51" xfId="0" applyFont="1" applyFill="1" applyBorder="1" applyAlignment="1">
      <alignment horizontal="center" vertical="center" textRotation="90" wrapText="1"/>
    </xf>
    <xf numFmtId="0" fontId="17" fillId="2" borderId="44" xfId="0" applyFont="1" applyFill="1" applyBorder="1" applyAlignment="1">
      <alignment horizontal="center" vertical="center" textRotation="90" wrapText="1"/>
    </xf>
    <xf numFmtId="0" fontId="17" fillId="2" borderId="46" xfId="0" applyFont="1" applyFill="1" applyBorder="1" applyAlignment="1">
      <alignment horizontal="center" vertical="center" textRotation="90" wrapText="1"/>
    </xf>
    <xf numFmtId="0" fontId="20" fillId="2" borderId="57" xfId="0" applyFont="1" applyFill="1" applyBorder="1" applyAlignment="1">
      <alignment horizontal="center" vertical="center" textRotation="90" wrapText="1"/>
    </xf>
    <xf numFmtId="0" fontId="20" fillId="2" borderId="54" xfId="0" applyFont="1" applyFill="1" applyBorder="1" applyAlignment="1">
      <alignment horizontal="center" vertical="center" textRotation="90" wrapText="1"/>
    </xf>
    <xf numFmtId="0" fontId="20" fillId="2" borderId="23" xfId="0" applyFont="1" applyFill="1" applyBorder="1" applyAlignment="1">
      <alignment horizontal="center" vertical="center" textRotation="90" wrapText="1"/>
    </xf>
    <xf numFmtId="167" fontId="120" fillId="0" borderId="0" xfId="0" applyNumberFormat="1" applyFont="1" applyFill="1" applyAlignment="1">
      <alignment horizontal="left"/>
    </xf>
    <xf numFmtId="168" fontId="63" fillId="0" borderId="9" xfId="0" applyNumberFormat="1" applyFont="1" applyFill="1" applyBorder="1" applyAlignment="1">
      <alignment horizontal="center" vertical="center" textRotation="90"/>
    </xf>
    <xf numFmtId="168" fontId="63" fillId="0" borderId="14" xfId="0" applyNumberFormat="1" applyFont="1" applyFill="1" applyBorder="1" applyAlignment="1">
      <alignment horizontal="center" vertical="center" textRotation="90"/>
    </xf>
    <xf numFmtId="167" fontId="64" fillId="0" borderId="10" xfId="0" applyNumberFormat="1" applyFont="1" applyFill="1" applyBorder="1" applyAlignment="1">
      <alignment horizontal="center" vertical="center" textRotation="90"/>
    </xf>
    <xf numFmtId="167" fontId="64" fillId="0" borderId="0" xfId="0" applyNumberFormat="1" applyFont="1" applyFill="1" applyBorder="1" applyAlignment="1">
      <alignment horizontal="center" vertical="center" textRotation="90"/>
    </xf>
    <xf numFmtId="0" fontId="17" fillId="0" borderId="9" xfId="0" applyFont="1" applyFill="1" applyBorder="1" applyAlignment="1">
      <alignment horizontal="center" vertical="center" wrapText="1"/>
    </xf>
    <xf numFmtId="0" fontId="17" fillId="0" borderId="10" xfId="0" applyFont="1" applyFill="1" applyBorder="1" applyAlignment="1">
      <alignment horizontal="center" vertical="center" wrapText="1"/>
    </xf>
    <xf numFmtId="0" fontId="17" fillId="0" borderId="14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17" fillId="0" borderId="30" xfId="0" applyFont="1" applyFill="1" applyBorder="1" applyAlignment="1">
      <alignment horizontal="center" vertical="center" wrapText="1"/>
    </xf>
    <xf numFmtId="0" fontId="17" fillId="0" borderId="7" xfId="0" applyFont="1" applyFill="1" applyBorder="1" applyAlignment="1">
      <alignment horizontal="center" vertical="center" wrapText="1"/>
    </xf>
    <xf numFmtId="0" fontId="17" fillId="0" borderId="8" xfId="0" applyFont="1" applyFill="1" applyBorder="1" applyAlignment="1">
      <alignment horizontal="center" vertical="center" wrapText="1"/>
    </xf>
    <xf numFmtId="0" fontId="17" fillId="0" borderId="13" xfId="0" applyFont="1" applyFill="1" applyBorder="1" applyAlignment="1">
      <alignment horizontal="center" vertical="center" wrapText="1"/>
    </xf>
    <xf numFmtId="0" fontId="17" fillId="0" borderId="48" xfId="0" applyFont="1" applyFill="1" applyBorder="1" applyAlignment="1">
      <alignment horizontal="center" vertical="center" wrapText="1"/>
    </xf>
    <xf numFmtId="0" fontId="21" fillId="10" borderId="5" xfId="0" applyFont="1" applyFill="1" applyBorder="1" applyAlignment="1">
      <alignment horizontal="center" vertical="center" wrapText="1"/>
    </xf>
    <xf numFmtId="0" fontId="21" fillId="10" borderId="6" xfId="0" applyFont="1" applyFill="1" applyBorder="1" applyAlignment="1">
      <alignment horizontal="center" vertical="center" wrapText="1"/>
    </xf>
    <xf numFmtId="0" fontId="21" fillId="10" borderId="47" xfId="0" applyFont="1" applyFill="1" applyBorder="1" applyAlignment="1">
      <alignment horizontal="center" vertical="center" wrapText="1"/>
    </xf>
    <xf numFmtId="0" fontId="17" fillId="3" borderId="47" xfId="0" applyFont="1" applyFill="1" applyBorder="1" applyAlignment="1">
      <alignment horizontal="center" vertical="center" textRotation="90" wrapText="1"/>
    </xf>
    <xf numFmtId="0" fontId="17" fillId="3" borderId="36" xfId="0" applyFont="1" applyFill="1" applyBorder="1" applyAlignment="1">
      <alignment horizontal="center" vertical="center" textRotation="90" wrapText="1"/>
    </xf>
    <xf numFmtId="0" fontId="17" fillId="3" borderId="5" xfId="0" applyFont="1" applyFill="1" applyBorder="1" applyAlignment="1">
      <alignment horizontal="center" vertical="center" textRotation="90" wrapText="1"/>
    </xf>
    <xf numFmtId="0" fontId="17" fillId="2" borderId="36" xfId="0" applyFont="1" applyFill="1" applyBorder="1" applyAlignment="1">
      <alignment horizontal="center" vertical="center" textRotation="90" wrapText="1"/>
    </xf>
    <xf numFmtId="0" fontId="17" fillId="2" borderId="5" xfId="0" applyFont="1" applyFill="1" applyBorder="1" applyAlignment="1">
      <alignment horizontal="center" vertical="center" textRotation="90" wrapText="1"/>
    </xf>
    <xf numFmtId="0" fontId="20" fillId="3" borderId="36" xfId="0" applyFont="1" applyFill="1" applyBorder="1" applyAlignment="1">
      <alignment horizontal="center" vertical="center"/>
    </xf>
    <xf numFmtId="0" fontId="20" fillId="2" borderId="36" xfId="0" applyFont="1" applyFill="1" applyBorder="1" applyAlignment="1">
      <alignment horizontal="center" vertical="center"/>
    </xf>
    <xf numFmtId="0" fontId="20" fillId="2" borderId="5" xfId="0" applyFont="1" applyFill="1" applyBorder="1" applyAlignment="1">
      <alignment horizontal="center" vertical="center"/>
    </xf>
    <xf numFmtId="0" fontId="20" fillId="2" borderId="47" xfId="0" applyFont="1" applyFill="1" applyBorder="1" applyAlignment="1">
      <alignment horizontal="center" vertical="center"/>
    </xf>
    <xf numFmtId="0" fontId="20" fillId="3" borderId="47" xfId="0" applyFont="1" applyFill="1" applyBorder="1" applyAlignment="1">
      <alignment horizontal="center" vertical="center"/>
    </xf>
    <xf numFmtId="0" fontId="20" fillId="3" borderId="5" xfId="0" applyFont="1" applyFill="1" applyBorder="1" applyAlignment="1">
      <alignment horizontal="center" vertical="center"/>
    </xf>
    <xf numFmtId="0" fontId="34" fillId="9" borderId="11" xfId="0" applyFont="1" applyFill="1" applyBorder="1" applyAlignment="1">
      <alignment horizontal="center"/>
    </xf>
    <xf numFmtId="0" fontId="22" fillId="13" borderId="33" xfId="0" applyFont="1" applyFill="1" applyBorder="1" applyAlignment="1">
      <alignment horizontal="center"/>
    </xf>
    <xf numFmtId="0" fontId="22" fillId="13" borderId="55" xfId="0" applyFont="1" applyFill="1" applyBorder="1" applyAlignment="1">
      <alignment horizontal="center"/>
    </xf>
    <xf numFmtId="0" fontId="22" fillId="11" borderId="55" xfId="0" applyFont="1" applyFill="1" applyBorder="1" applyAlignment="1">
      <alignment horizontal="center"/>
    </xf>
    <xf numFmtId="0" fontId="22" fillId="11" borderId="32" xfId="0" applyFont="1" applyFill="1" applyBorder="1" applyAlignment="1">
      <alignment horizontal="center"/>
    </xf>
    <xf numFmtId="0" fontId="49" fillId="3" borderId="33" xfId="0" applyFont="1" applyFill="1" applyBorder="1" applyAlignment="1">
      <alignment horizontal="center"/>
    </xf>
    <xf numFmtId="0" fontId="49" fillId="3" borderId="55" xfId="0" applyFont="1" applyFill="1" applyBorder="1" applyAlignment="1">
      <alignment horizontal="center"/>
    </xf>
    <xf numFmtId="0" fontId="49" fillId="3" borderId="32" xfId="0" applyFont="1" applyFill="1" applyBorder="1" applyAlignment="1">
      <alignment horizontal="center"/>
    </xf>
    <xf numFmtId="0" fontId="45" fillId="12" borderId="33" xfId="0" applyFont="1" applyFill="1" applyBorder="1" applyAlignment="1">
      <alignment horizontal="center"/>
    </xf>
    <xf numFmtId="0" fontId="45" fillId="12" borderId="55" xfId="0" applyFont="1" applyFill="1" applyBorder="1" applyAlignment="1">
      <alignment horizontal="center"/>
    </xf>
    <xf numFmtId="0" fontId="17" fillId="10" borderId="47" xfId="0" applyFont="1" applyFill="1" applyBorder="1" applyAlignment="1">
      <alignment horizontal="center" vertical="center" textRotation="90" wrapText="1"/>
    </xf>
    <xf numFmtId="0" fontId="17" fillId="10" borderId="36" xfId="0" applyFont="1" applyFill="1" applyBorder="1" applyAlignment="1">
      <alignment horizontal="center" vertical="center" textRotation="90" wrapText="1"/>
    </xf>
    <xf numFmtId="0" fontId="17" fillId="10" borderId="5" xfId="0" applyFont="1" applyFill="1" applyBorder="1" applyAlignment="1">
      <alignment horizontal="center" vertical="center" textRotation="90" wrapText="1"/>
    </xf>
    <xf numFmtId="0" fontId="17" fillId="9" borderId="47" xfId="0" applyFont="1" applyFill="1" applyBorder="1" applyAlignment="1">
      <alignment horizontal="center" vertical="center" textRotation="90" wrapText="1"/>
    </xf>
    <xf numFmtId="0" fontId="17" fillId="9" borderId="36" xfId="0" applyFont="1" applyFill="1" applyBorder="1" applyAlignment="1">
      <alignment horizontal="center" vertical="center" textRotation="90" wrapText="1"/>
    </xf>
    <xf numFmtId="0" fontId="17" fillId="9" borderId="5" xfId="0" applyFont="1" applyFill="1" applyBorder="1" applyAlignment="1">
      <alignment horizontal="center" vertical="center" textRotation="90" wrapText="1"/>
    </xf>
    <xf numFmtId="0" fontId="20" fillId="10" borderId="47" xfId="0" applyFont="1" applyFill="1" applyBorder="1" applyAlignment="1">
      <alignment horizontal="center" vertical="center" wrapText="1"/>
    </xf>
    <xf numFmtId="0" fontId="20" fillId="10" borderId="36" xfId="0" applyFont="1" applyFill="1" applyBorder="1" applyAlignment="1">
      <alignment horizontal="center" vertical="center" wrapText="1"/>
    </xf>
    <xf numFmtId="0" fontId="20" fillId="10" borderId="5" xfId="0" applyFont="1" applyFill="1" applyBorder="1" applyAlignment="1">
      <alignment horizontal="center" vertical="center" wrapText="1"/>
    </xf>
    <xf numFmtId="0" fontId="20" fillId="9" borderId="47" xfId="0" applyFont="1" applyFill="1" applyBorder="1" applyAlignment="1">
      <alignment horizontal="center" vertical="center"/>
    </xf>
    <xf numFmtId="0" fontId="20" fillId="9" borderId="36" xfId="0" applyFont="1" applyFill="1" applyBorder="1" applyAlignment="1">
      <alignment horizontal="center" vertical="center"/>
    </xf>
    <xf numFmtId="0" fontId="20" fillId="9" borderId="5" xfId="0" applyFont="1" applyFill="1" applyBorder="1" applyAlignment="1">
      <alignment horizontal="center" vertical="center"/>
    </xf>
    <xf numFmtId="0" fontId="1" fillId="0" borderId="57" xfId="0" applyFont="1" applyFill="1" applyBorder="1" applyAlignment="1">
      <alignment horizontal="center" vertical="center" textRotation="90" wrapText="1"/>
    </xf>
    <xf numFmtId="0" fontId="1" fillId="0" borderId="54" xfId="0" applyFont="1" applyFill="1" applyBorder="1" applyAlignment="1">
      <alignment horizontal="center" vertical="center" textRotation="90" wrapText="1"/>
    </xf>
    <xf numFmtId="0" fontId="1" fillId="0" borderId="23" xfId="0" applyFont="1" applyFill="1" applyBorder="1" applyAlignment="1">
      <alignment horizontal="center" vertical="center" textRotation="90" wrapText="1"/>
    </xf>
    <xf numFmtId="0" fontId="1" fillId="0" borderId="51" xfId="0" applyFont="1" applyFill="1" applyBorder="1" applyAlignment="1">
      <alignment horizontal="center" vertical="center" textRotation="90" wrapText="1"/>
    </xf>
    <xf numFmtId="0" fontId="1" fillId="0" borderId="44" xfId="0" applyFont="1" applyFill="1" applyBorder="1" applyAlignment="1">
      <alignment horizontal="center" vertical="center" textRotation="90" wrapText="1"/>
    </xf>
    <xf numFmtId="0" fontId="1" fillId="0" borderId="46" xfId="0" applyFont="1" applyFill="1" applyBorder="1" applyAlignment="1">
      <alignment horizontal="center" vertical="center" textRotation="90" wrapText="1"/>
    </xf>
    <xf numFmtId="0" fontId="81" fillId="10" borderId="51" xfId="0" applyFont="1" applyFill="1" applyBorder="1" applyAlignment="1">
      <alignment horizontal="center" vertical="center" wrapText="1"/>
    </xf>
    <xf numFmtId="0" fontId="81" fillId="10" borderId="44" xfId="0" applyFont="1" applyFill="1" applyBorder="1" applyAlignment="1">
      <alignment horizontal="center" vertical="center" wrapText="1"/>
    </xf>
    <xf numFmtId="0" fontId="82" fillId="10" borderId="57" xfId="0" applyFont="1" applyFill="1" applyBorder="1" applyAlignment="1">
      <alignment horizontal="center" vertical="center" wrapText="1"/>
    </xf>
    <xf numFmtId="0" fontId="82" fillId="10" borderId="54" xfId="0" applyFont="1" applyFill="1" applyBorder="1" applyAlignment="1">
      <alignment horizontal="center" vertical="center" wrapText="1"/>
    </xf>
    <xf numFmtId="0" fontId="81" fillId="10" borderId="57" xfId="0" applyFont="1" applyFill="1" applyBorder="1" applyAlignment="1">
      <alignment horizontal="center" vertical="center" wrapText="1" shrinkToFit="1"/>
    </xf>
    <xf numFmtId="0" fontId="81" fillId="10" borderId="21" xfId="0" applyFont="1" applyFill="1" applyBorder="1" applyAlignment="1">
      <alignment horizontal="center" vertical="center" wrapText="1" shrinkToFit="1"/>
    </xf>
    <xf numFmtId="0" fontId="82" fillId="10" borderId="33" xfId="0" applyFont="1" applyFill="1" applyBorder="1" applyAlignment="1">
      <alignment horizontal="center" vertical="center"/>
    </xf>
    <xf numFmtId="0" fontId="82" fillId="10" borderId="55" xfId="0" applyFont="1" applyFill="1" applyBorder="1" applyAlignment="1">
      <alignment horizontal="center" vertical="center"/>
    </xf>
    <xf numFmtId="0" fontId="82" fillId="10" borderId="35" xfId="0" applyFont="1" applyFill="1" applyBorder="1" applyAlignment="1">
      <alignment horizontal="center" vertical="center"/>
    </xf>
    <xf numFmtId="0" fontId="134" fillId="10" borderId="2" xfId="0" applyFont="1" applyFill="1" applyBorder="1" applyAlignment="1">
      <alignment horizontal="center"/>
    </xf>
    <xf numFmtId="0" fontId="134" fillId="10" borderId="4" xfId="0" applyFont="1" applyFill="1" applyBorder="1" applyAlignment="1">
      <alignment horizontal="center"/>
    </xf>
    <xf numFmtId="0" fontId="82" fillId="10" borderId="21" xfId="0" applyFont="1" applyFill="1" applyBorder="1" applyAlignment="1">
      <alignment horizontal="center" vertical="center" wrapText="1"/>
    </xf>
    <xf numFmtId="1" fontId="137" fillId="10" borderId="2" xfId="0" applyNumberFormat="1" applyFont="1" applyFill="1" applyBorder="1" applyAlignment="1">
      <alignment horizontal="center"/>
    </xf>
    <xf numFmtId="1" fontId="137" fillId="10" borderId="4" xfId="0" applyNumberFormat="1" applyFont="1" applyFill="1" applyBorder="1" applyAlignment="1">
      <alignment horizontal="center"/>
    </xf>
    <xf numFmtId="14" fontId="133" fillId="10" borderId="2" xfId="0" applyNumberFormat="1" applyFont="1" applyFill="1" applyBorder="1" applyAlignment="1">
      <alignment horizontal="center"/>
    </xf>
    <xf numFmtId="14" fontId="133" fillId="10" borderId="4" xfId="0" applyNumberFormat="1" applyFont="1" applyFill="1" applyBorder="1" applyAlignment="1">
      <alignment horizontal="center"/>
    </xf>
    <xf numFmtId="172" fontId="142" fillId="0" borderId="22" xfId="0" applyNumberFormat="1" applyFont="1" applyFill="1" applyBorder="1" applyAlignment="1">
      <alignment horizontal="center"/>
    </xf>
    <xf numFmtId="1" fontId="177" fillId="2" borderId="2" xfId="0" applyNumberFormat="1" applyFont="1" applyFill="1" applyBorder="1" applyAlignment="1">
      <alignment horizontal="center"/>
    </xf>
    <xf numFmtId="1" fontId="177" fillId="2" borderId="4" xfId="0" applyNumberFormat="1" applyFont="1" applyFill="1" applyBorder="1" applyAlignment="1">
      <alignment horizontal="center"/>
    </xf>
    <xf numFmtId="0" fontId="134" fillId="0" borderId="2" xfId="0" applyFont="1" applyFill="1" applyBorder="1" applyAlignment="1">
      <alignment horizontal="center"/>
    </xf>
    <xf numFmtId="0" fontId="134" fillId="0" borderId="3" xfId="0" applyFont="1" applyFill="1" applyBorder="1" applyAlignment="1">
      <alignment horizontal="center"/>
    </xf>
    <xf numFmtId="0" fontId="134" fillId="0" borderId="4" xfId="0" applyFont="1" applyFill="1" applyBorder="1" applyAlignment="1">
      <alignment horizontal="center"/>
    </xf>
    <xf numFmtId="14" fontId="133" fillId="0" borderId="2" xfId="0" applyNumberFormat="1" applyFont="1" applyFill="1" applyBorder="1" applyAlignment="1">
      <alignment horizontal="center"/>
    </xf>
    <xf numFmtId="14" fontId="133" fillId="0" borderId="3" xfId="0" applyNumberFormat="1" applyFont="1" applyFill="1" applyBorder="1" applyAlignment="1">
      <alignment horizontal="center"/>
    </xf>
    <xf numFmtId="14" fontId="133" fillId="0" borderId="4" xfId="0" applyNumberFormat="1" applyFont="1" applyFill="1" applyBorder="1" applyAlignment="1">
      <alignment horizontal="center"/>
    </xf>
    <xf numFmtId="1" fontId="137" fillId="0" borderId="2" xfId="0" applyNumberFormat="1" applyFont="1" applyFill="1" applyBorder="1" applyAlignment="1">
      <alignment horizontal="center"/>
    </xf>
    <xf numFmtId="1" fontId="137" fillId="0" borderId="3" xfId="0" applyNumberFormat="1" applyFont="1" applyFill="1" applyBorder="1" applyAlignment="1">
      <alignment horizontal="center"/>
    </xf>
    <xf numFmtId="1" fontId="137" fillId="0" borderId="4" xfId="0" applyNumberFormat="1" applyFont="1" applyFill="1" applyBorder="1" applyAlignment="1">
      <alignment horizontal="center"/>
    </xf>
    <xf numFmtId="172" fontId="142" fillId="0" borderId="22" xfId="0" applyNumberFormat="1" applyFont="1" applyFill="1" applyBorder="1" applyAlignment="1">
      <alignment horizontal="left"/>
    </xf>
    <xf numFmtId="0" fontId="81" fillId="0" borderId="51" xfId="0" applyFont="1" applyFill="1" applyBorder="1" applyAlignment="1">
      <alignment horizontal="center" vertical="center" wrapText="1"/>
    </xf>
    <xf numFmtId="0" fontId="81" fillId="0" borderId="44" xfId="0" applyFont="1" applyFill="1" applyBorder="1" applyAlignment="1">
      <alignment horizontal="center" vertical="center" wrapText="1"/>
    </xf>
    <xf numFmtId="0" fontId="82" fillId="0" borderId="57" xfId="0" applyFont="1" applyFill="1" applyBorder="1" applyAlignment="1">
      <alignment horizontal="center" vertical="center"/>
    </xf>
    <xf numFmtId="0" fontId="82" fillId="0" borderId="54" xfId="0" applyFont="1" applyFill="1" applyBorder="1" applyAlignment="1">
      <alignment horizontal="center" vertical="center"/>
    </xf>
    <xf numFmtId="0" fontId="82" fillId="0" borderId="57" xfId="0" applyFont="1" applyFill="1" applyBorder="1" applyAlignment="1">
      <alignment horizontal="center" vertical="center" wrapText="1" shrinkToFit="1"/>
    </xf>
    <xf numFmtId="0" fontId="82" fillId="0" borderId="21" xfId="0" applyFont="1" applyFill="1" applyBorder="1" applyAlignment="1">
      <alignment horizontal="center" vertical="center" wrapText="1" shrinkToFit="1"/>
    </xf>
    <xf numFmtId="0" fontId="82" fillId="0" borderId="33" xfId="0" applyFont="1" applyFill="1" applyBorder="1" applyAlignment="1">
      <alignment horizontal="center" vertical="center"/>
    </xf>
    <xf numFmtId="0" fontId="82" fillId="0" borderId="55" xfId="0" applyFont="1" applyFill="1" applyBorder="1" applyAlignment="1">
      <alignment horizontal="center" vertical="center"/>
    </xf>
    <xf numFmtId="0" fontId="82" fillId="0" borderId="35" xfId="0" applyFont="1" applyFill="1" applyBorder="1" applyAlignment="1">
      <alignment horizontal="center" vertical="center"/>
    </xf>
    <xf numFmtId="0" fontId="11" fillId="0" borderId="58" xfId="0" applyFont="1" applyFill="1" applyBorder="1" applyAlignment="1">
      <alignment horizontal="center" vertical="center" wrapText="1"/>
    </xf>
    <xf numFmtId="0" fontId="11" fillId="0" borderId="25" xfId="0" applyFont="1" applyFill="1" applyBorder="1" applyAlignment="1">
      <alignment horizontal="center" vertical="center" wrapText="1"/>
    </xf>
    <xf numFmtId="0" fontId="11" fillId="0" borderId="57" xfId="0" applyFont="1" applyFill="1" applyBorder="1" applyAlignment="1">
      <alignment horizontal="center" vertical="center" wrapText="1"/>
    </xf>
    <xf numFmtId="0" fontId="11" fillId="0" borderId="23" xfId="0" applyFont="1" applyFill="1" applyBorder="1" applyAlignment="1">
      <alignment horizontal="center" vertical="center" wrapText="1"/>
    </xf>
    <xf numFmtId="0" fontId="11" fillId="0" borderId="51" xfId="0" applyFont="1" applyFill="1" applyBorder="1" applyAlignment="1">
      <alignment horizontal="center" vertical="center" wrapText="1"/>
    </xf>
    <xf numFmtId="0" fontId="11" fillId="0" borderId="46" xfId="0" applyFont="1" applyFill="1" applyBorder="1" applyAlignment="1">
      <alignment horizontal="center" vertical="center" wrapText="1"/>
    </xf>
    <xf numFmtId="0" fontId="11" fillId="0" borderId="33" xfId="0" applyFont="1" applyFill="1" applyBorder="1" applyAlignment="1">
      <alignment horizontal="center" vertical="center"/>
    </xf>
    <xf numFmtId="0" fontId="11" fillId="0" borderId="55" xfId="0" applyFont="1" applyFill="1" applyBorder="1" applyAlignment="1">
      <alignment horizontal="center" vertical="center"/>
    </xf>
    <xf numFmtId="0" fontId="11" fillId="0" borderId="32" xfId="0" applyFont="1" applyFill="1" applyBorder="1" applyAlignment="1">
      <alignment horizontal="center" vertical="center"/>
    </xf>
    <xf numFmtId="167" fontId="31" fillId="0" borderId="22" xfId="0" applyNumberFormat="1" applyFont="1" applyBorder="1" applyAlignment="1">
      <alignment horizontal="center" vertical="center"/>
    </xf>
    <xf numFmtId="0" fontId="154" fillId="0" borderId="57" xfId="0" applyFont="1" applyFill="1" applyBorder="1" applyAlignment="1">
      <alignment horizontal="center" vertical="center" wrapText="1" shrinkToFit="1"/>
    </xf>
    <xf numFmtId="0" fontId="154" fillId="0" borderId="23" xfId="0" applyFont="1" applyFill="1" applyBorder="1" applyAlignment="1">
      <alignment horizontal="center" vertical="center" wrapText="1" shrinkToFit="1"/>
    </xf>
    <xf numFmtId="164" fontId="151" fillId="0" borderId="57" xfId="0" applyNumberFormat="1" applyFont="1" applyFill="1" applyBorder="1" applyAlignment="1">
      <alignment horizontal="center" vertical="center" wrapText="1"/>
    </xf>
    <xf numFmtId="164" fontId="151" fillId="0" borderId="23" xfId="0" applyNumberFormat="1" applyFont="1" applyFill="1" applyBorder="1" applyAlignment="1">
      <alignment horizontal="center" vertical="center" wrapText="1"/>
    </xf>
    <xf numFmtId="0" fontId="8" fillId="0" borderId="57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28" fillId="7" borderId="5" xfId="0" applyFont="1" applyFill="1" applyBorder="1" applyAlignment="1">
      <alignment horizontal="center" vertical="center" wrapText="1"/>
    </xf>
    <xf numFmtId="0" fontId="28" fillId="7" borderId="6" xfId="0" applyFont="1" applyFill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0" fontId="5" fillId="0" borderId="2" xfId="1" applyFont="1" applyBorder="1" applyAlignment="1">
      <alignment horizontal="center" vertical="center" wrapText="1"/>
    </xf>
    <xf numFmtId="0" fontId="5" fillId="0" borderId="3" xfId="1" applyFont="1" applyBorder="1" applyAlignment="1">
      <alignment horizontal="center" vertical="center" wrapText="1"/>
    </xf>
    <xf numFmtId="0" fontId="5" fillId="0" borderId="4" xfId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textRotation="90" wrapText="1"/>
    </xf>
    <xf numFmtId="0" fontId="5" fillId="0" borderId="16" xfId="1" applyFont="1" applyBorder="1" applyAlignment="1">
      <alignment horizontal="center" vertical="center" textRotation="90" wrapText="1"/>
    </xf>
    <xf numFmtId="0" fontId="5" fillId="0" borderId="54" xfId="1" applyFont="1" applyBorder="1" applyAlignment="1">
      <alignment horizontal="center" vertical="center" textRotation="90" wrapText="1"/>
    </xf>
    <xf numFmtId="0" fontId="5" fillId="0" borderId="21" xfId="1" applyFont="1" applyBorder="1" applyAlignment="1">
      <alignment horizontal="center" vertical="center" textRotation="90" wrapText="1"/>
    </xf>
  </cellXfs>
  <cellStyles count="2">
    <cellStyle name="Обычный" xfId="0" builtinId="0"/>
    <cellStyle name="Обычный 2" xfId="1" xr:uid="{00000000-0005-0000-0000-000001000000}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color rgb="FF0000FF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0000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CC"/>
        <name val="Calibri"/>
        <scheme val="minor"/>
      </font>
      <numFmt numFmtId="2" formatCode="0.00"/>
      <fill>
        <patternFill patternType="solid">
          <fgColor indexed="64"/>
          <bgColor rgb="FFCCFFFF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800000"/>
      </font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CC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CC"/>
        <name val="Calibri"/>
        <scheme val="minor"/>
      </font>
      <numFmt numFmtId="19" formatCode="dd/mm/yyyy"/>
    </dxf>
  </dxfs>
  <tableStyles count="0" defaultTableStyle="TableStyleMedium2" defaultPivotStyle="PivotStyleLight16"/>
  <colors>
    <mruColors>
      <color rgb="FFCCFFCC"/>
      <color rgb="FFCCFFFF"/>
      <color rgb="FF0000FF"/>
      <color rgb="FF006600"/>
      <color rgb="FF800000"/>
      <color rgb="FF0000CC"/>
      <color rgb="FFFFFFCC"/>
      <color rgb="FFCCECFF"/>
      <color rgb="FFCC0099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172708</xdr:colOff>
      <xdr:row>31</xdr:row>
      <xdr:rowOff>186826</xdr:rowOff>
    </xdr:from>
    <xdr:to>
      <xdr:col>4</xdr:col>
      <xdr:colOff>344491</xdr:colOff>
      <xdr:row>33</xdr:row>
      <xdr:rowOff>129842</xdr:rowOff>
    </xdr:to>
    <xdr:sp macro="[0]!Menu_for_print" textlink="">
      <xdr:nvSpPr>
        <xdr:cNvPr id="1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782433" y="7121026"/>
          <a:ext cx="724233" cy="324016"/>
        </a:xfrm>
        <a:prstGeom prst="roundRect">
          <a:avLst/>
        </a:prstGeom>
        <a:solidFill>
          <a:srgbClr val="00B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Меню</a:t>
          </a:r>
        </a:p>
      </xdr:txBody>
    </xdr:sp>
    <xdr:clientData/>
  </xdr:twoCellAnchor>
  <xdr:twoCellAnchor>
    <xdr:from>
      <xdr:col>3</xdr:col>
      <xdr:colOff>83283</xdr:colOff>
      <xdr:row>27</xdr:row>
      <xdr:rowOff>230343</xdr:rowOff>
    </xdr:from>
    <xdr:to>
      <xdr:col>4</xdr:col>
      <xdr:colOff>250833</xdr:colOff>
      <xdr:row>29</xdr:row>
      <xdr:rowOff>74082</xdr:rowOff>
    </xdr:to>
    <xdr:sp macro="[0]!Svodnaya" textlink="">
      <xdr:nvSpPr>
        <xdr:cNvPr id="13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744866" y="6463926"/>
          <a:ext cx="717884" cy="267073"/>
        </a:xfrm>
        <a:prstGeom prst="roundRect">
          <a:avLst/>
        </a:prstGeom>
        <a:solidFill>
          <a:srgbClr val="00CCFF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Сводная</a:t>
          </a:r>
        </a:p>
      </xdr:txBody>
    </xdr:sp>
    <xdr:clientData/>
  </xdr:twoCellAnchor>
  <xdr:twoCellAnchor>
    <xdr:from>
      <xdr:col>19</xdr:col>
      <xdr:colOff>104775</xdr:colOff>
      <xdr:row>29</xdr:row>
      <xdr:rowOff>79560</xdr:rowOff>
    </xdr:from>
    <xdr:to>
      <xdr:col>20</xdr:col>
      <xdr:colOff>190500</xdr:colOff>
      <xdr:row>31</xdr:row>
      <xdr:rowOff>39510</xdr:rowOff>
    </xdr:to>
    <xdr:sp macro="[0]!Saldo_KU_general" textlink="">
      <xdr:nvSpPr>
        <xdr:cNvPr id="15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0553700" y="6632760"/>
          <a:ext cx="457200" cy="340950"/>
        </a:xfrm>
        <a:prstGeom prst="roundRect">
          <a:avLst/>
        </a:prstGeom>
        <a:solidFill>
          <a:srgbClr val="00B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800" b="1">
              <a:solidFill>
                <a:sysClr val="windowText" lastClr="000000"/>
              </a:solidFill>
            </a:rPr>
            <a:t>День</a:t>
          </a:r>
        </a:p>
      </xdr:txBody>
    </xdr:sp>
    <xdr:clientData/>
  </xdr:twoCellAnchor>
  <xdr:twoCellAnchor>
    <xdr:from>
      <xdr:col>10</xdr:col>
      <xdr:colOff>363456</xdr:colOff>
      <xdr:row>37</xdr:row>
      <xdr:rowOff>51295</xdr:rowOff>
    </xdr:from>
    <xdr:to>
      <xdr:col>12</xdr:col>
      <xdr:colOff>114299</xdr:colOff>
      <xdr:row>39</xdr:row>
      <xdr:rowOff>124487</xdr:rowOff>
    </xdr:to>
    <xdr:sp macro="[0]!Kniga_ucheta" textlink="">
      <xdr:nvSpPr>
        <xdr:cNvPr id="16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840331" y="8185645"/>
          <a:ext cx="855743" cy="473242"/>
        </a:xfrm>
        <a:prstGeom prst="roundRect">
          <a:avLst/>
        </a:prstGeom>
        <a:solidFill>
          <a:srgbClr val="00B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Печать КУ</a:t>
          </a:r>
        </a:p>
      </xdr:txBody>
    </xdr:sp>
    <xdr:clientData/>
  </xdr:twoCellAnchor>
  <xdr:twoCellAnchor>
    <xdr:from>
      <xdr:col>19</xdr:col>
      <xdr:colOff>23286</xdr:colOff>
      <xdr:row>34</xdr:row>
      <xdr:rowOff>65628</xdr:rowOff>
    </xdr:from>
    <xdr:to>
      <xdr:col>21</xdr:col>
      <xdr:colOff>2453</xdr:colOff>
      <xdr:row>36</xdr:row>
      <xdr:rowOff>13935</xdr:rowOff>
    </xdr:to>
    <xdr:sp macro="[0]!KU_restore_formulas" textlink="">
      <xdr:nvSpPr>
        <xdr:cNvPr id="31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0472211" y="7571328"/>
          <a:ext cx="722117" cy="338832"/>
        </a:xfrm>
        <a:prstGeom prst="roundRect">
          <a:avLst/>
        </a:prstGeom>
        <a:solidFill>
          <a:srgbClr val="00CCFF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Формулы</a:t>
          </a:r>
        </a:p>
      </xdr:txBody>
    </xdr:sp>
    <xdr:clientData/>
  </xdr:twoCellAnchor>
  <xdr:twoCellAnchor>
    <xdr:from>
      <xdr:col>19</xdr:col>
      <xdr:colOff>27513</xdr:colOff>
      <xdr:row>25</xdr:row>
      <xdr:rowOff>201084</xdr:rowOff>
    </xdr:from>
    <xdr:to>
      <xdr:col>21</xdr:col>
      <xdr:colOff>4563</xdr:colOff>
      <xdr:row>27</xdr:row>
      <xdr:rowOff>113409</xdr:rowOff>
    </xdr:to>
    <xdr:sp macro="[0]!Create_Act" textlink="">
      <xdr:nvSpPr>
        <xdr:cNvPr id="21" name="Прямоугольник: скругленные углы 1">
          <a:extLst>
            <a:ext uri="{FF2B5EF4-FFF2-40B4-BE49-F238E27FC236}">
              <a16:creationId xmlns:a16="http://schemas.microsoft.com/office/drawing/2014/main" id="{D5659C73-AC71-4945-BE8E-200A6E93B21A}"/>
            </a:ext>
          </a:extLst>
        </xdr:cNvPr>
        <xdr:cNvSpPr/>
      </xdr:nvSpPr>
      <xdr:spPr>
        <a:xfrm>
          <a:off x="10476438" y="5887509"/>
          <a:ext cx="720000" cy="360000"/>
        </a:xfrm>
        <a:prstGeom prst="roundRect">
          <a:avLst/>
        </a:prstGeom>
        <a:solidFill>
          <a:srgbClr val="00CCFF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День</a:t>
          </a:r>
        </a:p>
      </xdr:txBody>
    </xdr:sp>
    <xdr:clientData/>
  </xdr:twoCellAnchor>
  <xdr:twoCellAnchor>
    <xdr:from>
      <xdr:col>19</xdr:col>
      <xdr:colOff>47624</xdr:colOff>
      <xdr:row>23</xdr:row>
      <xdr:rowOff>180974</xdr:rowOff>
    </xdr:from>
    <xdr:to>
      <xdr:col>20</xdr:col>
      <xdr:colOff>142874</xdr:colOff>
      <xdr:row>25</xdr:row>
      <xdr:rowOff>83774</xdr:rowOff>
    </xdr:to>
    <xdr:sp macro="[0]!clear_menu_per_day" textlink="">
      <xdr:nvSpPr>
        <xdr:cNvPr id="10" name="Прямоугольник: скругленные углы 1">
          <a:extLst>
            <a:ext uri="{FF2B5EF4-FFF2-40B4-BE49-F238E27FC236}">
              <a16:creationId xmlns:a16="http://schemas.microsoft.com/office/drawing/2014/main" id="{C9DB89D2-D873-4F9C-8B25-D48119138717}"/>
            </a:ext>
          </a:extLst>
        </xdr:cNvPr>
        <xdr:cNvSpPr/>
      </xdr:nvSpPr>
      <xdr:spPr>
        <a:xfrm>
          <a:off x="10496549" y="5410199"/>
          <a:ext cx="466725" cy="360000"/>
        </a:xfrm>
        <a:prstGeom prst="roundRect">
          <a:avLst/>
        </a:prstGeom>
        <a:solidFill>
          <a:srgbClr val="FF000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800" b="1">
              <a:solidFill>
                <a:sysClr val="windowText" lastClr="000000"/>
              </a:solidFill>
            </a:rPr>
            <a:t>День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7</xdr:row>
      <xdr:rowOff>607219</xdr:rowOff>
    </xdr:from>
    <xdr:to>
      <xdr:col>7</xdr:col>
      <xdr:colOff>1276350</xdr:colOff>
      <xdr:row>7</xdr:row>
      <xdr:rowOff>1346359</xdr:rowOff>
    </xdr:to>
    <xdr:sp macro="[0]!Fill_menu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655094" y="3190875"/>
          <a:ext cx="1038225" cy="739140"/>
        </a:xfrm>
        <a:prstGeom prst="roundRect">
          <a:avLst/>
        </a:prstGeom>
        <a:solidFill>
          <a:srgbClr val="FF5050"/>
        </a:solidFill>
        <a:ln cmpd="dbl">
          <a:solidFill>
            <a:srgbClr val="0000CC"/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1200" b="1">
              <a:solidFill>
                <a:srgbClr val="0000CC"/>
              </a:solidFill>
            </a:rPr>
            <a:t>заполнить</a:t>
          </a:r>
          <a:r>
            <a:rPr lang="ru-RU" sz="1200" b="1" baseline="0">
              <a:solidFill>
                <a:srgbClr val="0000CC"/>
              </a:solidFill>
            </a:rPr>
            <a:t> по рецепту</a:t>
          </a:r>
          <a:endParaRPr lang="ru-RU" sz="1200" b="1">
            <a:solidFill>
              <a:srgbClr val="0000CC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0000000}" name="Книга_учета" displayName="Книга_учета" ref="A1:Q913" totalsRowShown="0">
  <autoFilter ref="A1:Q913" xr:uid="{00000000-0009-0000-0100-000010000000}"/>
  <sortState xmlns:xlrd2="http://schemas.microsoft.com/office/spreadsheetml/2017/richdata2" ref="A2:Q1021">
    <sortCondition ref="E2:E1021"/>
    <sortCondition ref="K2:K1021"/>
  </sortState>
  <tableColumns count="17">
    <tableColumn id="1" xr3:uid="{00000000-0010-0000-0000-000001000000}" name="№"/>
    <tableColumn id="2" xr3:uid="{00000000-0010-0000-0000-000002000000}" name="Дата записи (здесь вводить)" dataDxfId="12"/>
    <tableColumn id="3" xr3:uid="{00000000-0010-0000-0000-000003000000}" name="Приход/ расход"/>
    <tableColumn id="4" xr3:uid="{00000000-0010-0000-0000-000004000000}" name="Наименование документа"/>
    <tableColumn id="5" xr3:uid="{00000000-0010-0000-0000-000005000000}" name="Дата документа" dataDxfId="11"/>
    <tableColumn id="6" xr3:uid="{00000000-0010-0000-0000-000006000000}" name="№ документа" dataDxfId="10"/>
    <tableColumn id="7" xr3:uid="{00000000-0010-0000-0000-000007000000}" name="Поставщик"/>
    <tableColumn id="8" xr3:uid="{00000000-0010-0000-0000-000008000000}" name="Наименование из накладной (здесь вводить)" dataDxfId="9"/>
    <tableColumn id="9" xr3:uid="{00000000-0010-0000-0000-000009000000}" name="Наименование для меню (стандартизированное)" dataDxfId="8">
      <calculatedColumnFormula>VLOOKUP($H2,инфо!$O:$P,2,FALSE)</calculatedColumnFormula>
    </tableColumn>
    <tableColumn id="10" xr3:uid="{00000000-0010-0000-0000-00000A000000}" name="Ед. изм." dataDxfId="7">
      <calculatedColumnFormula>VLOOKUP($I2,инфо!$D:$G,3,FALSE)</calculatedColumnFormula>
    </tableColumn>
    <tableColumn id="11" xr3:uid="{00000000-0010-0000-0000-00000B000000}" name="№ в списке" dataDxfId="6">
      <calculatedColumnFormula>VLOOKUP($I2,инфо!$D:$G,4,FALSE)</calculatedColumnFormula>
    </tableColumn>
    <tableColumn id="12" xr3:uid="{00000000-0010-0000-0000-00000C000000}" name="Приход_x000a_(здесь вводить)" dataDxfId="5"/>
    <tableColumn id="13" xr3:uid="{00000000-0010-0000-0000-00000D000000}" name="Наличие" dataDxfId="4">
      <calculatedColumnFormula>SUMIF($H$1:$H2,$H2,$L$1:$L2)-SUMIF($H$1:$H1,$H2,$N$1:$N1)</calculatedColumnFormula>
    </tableColumn>
    <tableColumn id="14" xr3:uid="{00000000-0010-0000-0000-00000E000000}" name="Расход" dataDxfId="3"/>
    <tableColumn id="15" xr3:uid="{00000000-0010-0000-0000-00000F000000}" name="Остаток" dataDxfId="2">
      <calculatedColumnFormula>$M2-$N2</calculatedColumnFormula>
    </tableColumn>
    <tableColumn id="16" xr3:uid="{00000000-0010-0000-0000-000010000000}" name="р"/>
    <tableColumn id="17" xr3:uid="{00000000-0010-0000-0000-000011000000}" name="о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Первые_блюда_Борщи_или_щи" displayName="Первые_блюда_Борщи_или_щи" ref="AZ1:AZ17" totalsRowShown="0">
  <sortState xmlns:xlrd2="http://schemas.microsoft.com/office/spreadsheetml/2017/richdata2" ref="AZ2:AZ17">
    <sortCondition ref="AZ2:AZ17"/>
  </sortState>
  <tableColumns count="1">
    <tableColumn id="1" xr3:uid="{00000000-0010-0000-0100-000001000000}" name="Первые_блюда_Борщи_или_щи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Первые_блюда_Прочие" displayName="Первые_блюда_Прочие" ref="BA1:BA41" totalsRowShown="0">
  <sortState xmlns:xlrd2="http://schemas.microsoft.com/office/spreadsheetml/2017/richdata2" ref="BA2:BA41">
    <sortCondition ref="BA2:BA41"/>
  </sortState>
  <tableColumns count="1">
    <tableColumn id="1" xr3:uid="{00000000-0010-0000-0200-000001000000}" name="Первые_блюда_Прочие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Вторые_блюда_С_говядиной" displayName="Вторые_блюда_С_говядиной" ref="AQ1:AQ33" totalsRowShown="0">
  <sortState xmlns:xlrd2="http://schemas.microsoft.com/office/spreadsheetml/2017/richdata2" ref="AQ2:AQ45">
    <sortCondition ref="AQ2:AQ45"/>
  </sortState>
  <tableColumns count="1">
    <tableColumn id="1" xr3:uid="{00000000-0010-0000-0300-000001000000}" name="Вторые_блюда_С_говядиной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Вторые_блюда_С_пф_или_субпродуктами" displayName="Вторые_блюда_С_пф_или_субпродуктами" ref="AS1:AS14" totalsRowShown="0">
  <tableColumns count="1">
    <tableColumn id="1" xr3:uid="{00000000-0010-0000-0400-000001000000}" name="Вторые_блюда_С_пф_или_субпродуктами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Вторые_блюда_С_птицей" displayName="Вторые_блюда_С_птицей" ref="AR1:AR14" totalsRowShown="0">
  <sortState xmlns:xlrd2="http://schemas.microsoft.com/office/spreadsheetml/2017/richdata2" ref="AR2:AR14">
    <sortCondition ref="AR2:AR14"/>
  </sortState>
  <tableColumns count="1">
    <tableColumn id="1" xr3:uid="{00000000-0010-0000-0500-000001000000}" name="Вторые_блюда_С_птицей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Вторые_блюда_С_рыбой" displayName="Вторые_блюда_С_рыбой" ref="AT1:AT24" totalsRowShown="0">
  <sortState xmlns:xlrd2="http://schemas.microsoft.com/office/spreadsheetml/2017/richdata2" ref="AT2:AT109">
    <sortCondition ref="AT2:AT109"/>
  </sortState>
  <tableColumns count="1">
    <tableColumn id="1" xr3:uid="{00000000-0010-0000-0600-000001000000}" name="Вторые_блюда_С_рыбой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Вторые_блюда_Со_свининой" displayName="Вторые_блюда_Со_свининой" ref="AU1:AU18" totalsRowShown="0">
  <tableColumns count="1">
    <tableColumn id="1" xr3:uid="{00000000-0010-0000-0700-000001000000}" name="Вторые_блюда_Со_свининой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Гарниры_Каши_и_макароны" displayName="Гарниры_Каши_и_макароны" ref="AV1:AV24" totalsRowShown="0">
  <sortState xmlns:xlrd2="http://schemas.microsoft.com/office/spreadsheetml/2017/richdata2" ref="AV2:AV24">
    <sortCondition ref="AV2:AV24"/>
  </sortState>
  <tableColumns count="1">
    <tableColumn id="1" xr3:uid="{00000000-0010-0000-0800-000001000000}" name="Гарниры_Каши_и_макароны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Гарниры_Прочие" displayName="Гарниры_Прочие" ref="AW1:AW27" totalsRowShown="0">
  <tableColumns count="1">
    <tableColumn id="1" xr3:uid="{00000000-0010-0000-0900-000001000000}" name="Гарниры_Прочие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Салаты_Прочие" displayName="Салаты_Прочие" ref="BB1:BB20" totalsRowShown="0">
  <sortState xmlns:xlrd2="http://schemas.microsoft.com/office/spreadsheetml/2017/richdata2" ref="BB2:BB18">
    <sortCondition ref="BB2:BB18"/>
  </sortState>
  <tableColumns count="1">
    <tableColumn id="1" xr3:uid="{00000000-0010-0000-0A00-000001000000}" name="Салаты_Прочие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B000000}" name="Салаты_С_капустой_или_картофелем" displayName="Салаты_С_капустой_или_картофелем" ref="BC1:BC28" totalsRowShown="0">
  <sortState xmlns:xlrd2="http://schemas.microsoft.com/office/spreadsheetml/2017/richdata2" ref="BC2:BC28">
    <sortCondition ref="BC2:BC28"/>
  </sortState>
  <tableColumns count="1">
    <tableColumn id="1" xr3:uid="{00000000-0010-0000-0B00-000001000000}" name="Салаты_С_капустой_или_картофелем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C000000}" name="Салаты_Со_свеклой" displayName="Салаты_Со_свеклой" ref="BD1:BD18" totalsRowShown="0">
  <sortState xmlns:xlrd2="http://schemas.microsoft.com/office/spreadsheetml/2017/richdata2" ref="BD2:BD18">
    <sortCondition ref="BD2:BD18"/>
  </sortState>
  <tableColumns count="1">
    <tableColumn id="1" xr3:uid="{00000000-0010-0000-0C00-000001000000}" name="Салаты_Со_свеклой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D000000}" name="Напитки" displayName="Напитки" ref="AX1:AX12" totalsRowShown="0">
  <sortState xmlns:xlrd2="http://schemas.microsoft.com/office/spreadsheetml/2017/richdata2" ref="AX2:AX12">
    <sortCondition ref="AX2:AX12"/>
  </sortState>
  <tableColumns count="1">
    <tableColumn id="1" xr3:uid="{00000000-0010-0000-0D00-000001000000}" name="Напитки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E000000}" name="Соус" displayName="Соус" ref="BE1:BE12" totalsRowShown="0">
  <tableColumns count="1">
    <tableColumn id="1" xr3:uid="{00000000-0010-0000-0E00-000001000000}" name="Соус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F000000}" name="Отдельные_продукты" displayName="Отдельные_продукты" ref="AY1:AY23" totalsRowShown="0">
  <sortState xmlns:xlrd2="http://schemas.microsoft.com/office/spreadsheetml/2017/richdata2" ref="AY2:AY23">
    <sortCondition ref="AY2:AY23"/>
  </sortState>
  <tableColumns count="1">
    <tableColumn id="1" xr3:uid="{00000000-0010-0000-0F00-000001000000}" name="Отдельные_продукты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8FA4AF4-C592-421E-AE3D-898F14780463}" name="Тип_блюда" displayName="Тип_блюда" ref="AP1:AP16" totalsRowShown="0">
  <autoFilter ref="AP1:AP16" xr:uid="{78FA4AF4-C592-421E-AE3D-898F14780463}"/>
  <sortState xmlns:xlrd2="http://schemas.microsoft.com/office/spreadsheetml/2017/richdata2" ref="AP2:AP16">
    <sortCondition ref="AP2:AP16"/>
  </sortState>
  <tableColumns count="1">
    <tableColumn id="1" xr3:uid="{915E6F13-4D7C-4667-9897-2DFC10483B35}" name="Тип блюда"/>
  </tableColumns>
  <tableStyleInfo name="TableStyleMedium12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U125"/>
  <sheetViews>
    <sheetView showGridLines="0" zoomScale="90" zoomScaleNormal="90" workbookViewId="0">
      <pane xSplit="1" ySplit="9" topLeftCell="B10" activePane="bottomRight" state="frozen"/>
      <selection pane="topRight" activeCell="B1" sqref="B1"/>
      <selection pane="bottomLeft" activeCell="A10" sqref="A10"/>
      <selection pane="bottomRight" activeCell="V23" sqref="V23"/>
    </sheetView>
  </sheetViews>
  <sheetFormatPr defaultRowHeight="15" x14ac:dyDescent="0.25"/>
  <cols>
    <col min="1" max="1" width="1.7109375" customWidth="1"/>
    <col min="2" max="2" width="3.7109375" customWidth="1"/>
    <col min="3" max="3" width="19.5703125" customWidth="1"/>
    <col min="4" max="19" width="8.28515625" customWidth="1"/>
    <col min="20" max="22" width="5.5703125" customWidth="1"/>
    <col min="23" max="23" width="2.140625" customWidth="1"/>
    <col min="29" max="29" width="11.140625" customWidth="1"/>
  </cols>
  <sheetData>
    <row r="1" spans="1:47" s="643" customFormat="1" ht="7.5" customHeight="1" thickBot="1" x14ac:dyDescent="0.3">
      <c r="A1" s="641">
        <v>1</v>
      </c>
      <c r="B1" s="641"/>
      <c r="C1" s="641"/>
      <c r="D1" s="641"/>
      <c r="E1" s="641"/>
      <c r="F1" s="641"/>
      <c r="G1" s="641"/>
      <c r="H1" s="641"/>
      <c r="I1" s="641"/>
      <c r="J1" s="641"/>
      <c r="K1" s="641"/>
      <c r="L1" s="641"/>
      <c r="M1" s="641"/>
      <c r="N1" s="641"/>
      <c r="O1" s="641"/>
      <c r="P1" s="641"/>
      <c r="Q1" s="641"/>
      <c r="R1" s="641"/>
      <c r="S1" s="641"/>
      <c r="T1" s="641"/>
      <c r="U1" s="641"/>
      <c r="V1" s="641"/>
      <c r="W1" s="641"/>
      <c r="X1" s="641" t="s">
        <v>200</v>
      </c>
      <c r="Y1" s="641"/>
      <c r="Z1" s="641"/>
      <c r="AA1" s="641"/>
      <c r="AB1" s="641"/>
      <c r="AC1" s="641"/>
      <c r="AD1" s="641"/>
      <c r="AE1" s="641"/>
      <c r="AF1" s="641"/>
      <c r="AG1" s="641"/>
      <c r="AH1" s="641"/>
      <c r="AI1" s="641"/>
      <c r="AJ1" s="641"/>
      <c r="AK1" s="641"/>
      <c r="AL1" s="641"/>
      <c r="AM1" s="641"/>
      <c r="AN1" s="641"/>
      <c r="AO1" s="642"/>
      <c r="AP1" s="642"/>
      <c r="AQ1" s="642"/>
      <c r="AR1" s="642"/>
      <c r="AS1" s="642"/>
      <c r="AT1" s="642"/>
      <c r="AU1" s="642"/>
    </row>
    <row r="2" spans="1:47" ht="18" customHeight="1" thickBot="1" x14ac:dyDescent="0.3">
      <c r="A2" s="636"/>
      <c r="B2" s="99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1"/>
      <c r="W2" s="638"/>
      <c r="X2" s="637" t="s">
        <v>200</v>
      </c>
      <c r="Y2" s="638"/>
      <c r="Z2" s="638"/>
      <c r="AA2" s="638"/>
      <c r="AB2" s="638"/>
      <c r="AC2" s="638"/>
      <c r="AD2" s="638"/>
      <c r="AE2" s="636"/>
      <c r="AF2" s="636"/>
      <c r="AG2" s="636"/>
      <c r="AH2" s="636"/>
      <c r="AI2" s="636"/>
      <c r="AJ2" s="636"/>
      <c r="AK2" s="636"/>
      <c r="AL2" s="636"/>
      <c r="AM2" s="636"/>
      <c r="AN2" s="636"/>
      <c r="AO2" s="121"/>
      <c r="AP2" s="121"/>
      <c r="AQ2" s="121"/>
      <c r="AR2" s="121"/>
      <c r="AS2" s="121"/>
      <c r="AT2" s="121"/>
      <c r="AU2" s="121"/>
    </row>
    <row r="3" spans="1:47" s="62" customFormat="1" ht="18" customHeight="1" thickTop="1" thickBot="1" x14ac:dyDescent="0.3">
      <c r="A3" s="639"/>
      <c r="B3" s="102"/>
      <c r="C3" s="103" t="s">
        <v>186</v>
      </c>
      <c r="D3" s="104"/>
      <c r="E3" s="970">
        <f ca="1">TODAY()</f>
        <v>45173</v>
      </c>
      <c r="F3" s="971"/>
      <c r="G3" s="104"/>
      <c r="H3" s="104"/>
      <c r="I3" s="615"/>
      <c r="J3" s="614"/>
      <c r="K3" s="614"/>
      <c r="L3" s="614"/>
      <c r="M3" s="614"/>
      <c r="N3" s="614"/>
      <c r="O3" s="614"/>
      <c r="P3" s="614"/>
      <c r="Q3" s="614"/>
      <c r="R3" s="615"/>
      <c r="S3" s="615"/>
      <c r="T3" s="615"/>
      <c r="U3" s="615"/>
      <c r="V3" s="616"/>
      <c r="W3" s="640"/>
      <c r="X3" s="640" t="s">
        <v>1375</v>
      </c>
      <c r="Y3" s="640"/>
      <c r="Z3" s="640"/>
      <c r="AA3" s="640"/>
      <c r="AB3" s="640"/>
      <c r="AC3" s="640"/>
      <c r="AD3" s="640" t="s">
        <v>1376</v>
      </c>
      <c r="AE3" s="640"/>
      <c r="AF3" s="640"/>
      <c r="AG3" s="640"/>
      <c r="AH3" s="640"/>
      <c r="AI3" s="640"/>
      <c r="AJ3" s="640"/>
      <c r="AK3" s="640"/>
      <c r="AL3" s="640"/>
      <c r="AM3" s="640"/>
      <c r="AN3" s="640"/>
      <c r="AO3" s="122"/>
      <c r="AP3" s="122"/>
      <c r="AQ3" s="122"/>
      <c r="AR3" s="122"/>
      <c r="AS3" s="122"/>
      <c r="AT3" s="122"/>
      <c r="AU3" s="122"/>
    </row>
    <row r="4" spans="1:47" s="98" customFormat="1" ht="18" customHeight="1" thickTop="1" x14ac:dyDescent="0.25">
      <c r="A4" s="639"/>
      <c r="B4" s="106"/>
      <c r="C4" s="107"/>
      <c r="D4" s="108"/>
      <c r="E4" s="96"/>
      <c r="F4" s="97"/>
      <c r="G4" s="108"/>
      <c r="H4" s="108"/>
      <c r="I4" s="617"/>
      <c r="J4" s="614"/>
      <c r="K4" s="614"/>
      <c r="L4" s="614"/>
      <c r="M4" s="614"/>
      <c r="N4" s="614"/>
      <c r="O4" s="614"/>
      <c r="P4" s="614"/>
      <c r="Q4" s="614"/>
      <c r="R4" s="617"/>
      <c r="S4" s="617"/>
      <c r="T4" s="617"/>
      <c r="U4" s="617"/>
      <c r="V4" s="618"/>
      <c r="W4" s="640"/>
      <c r="X4" s="640" t="s">
        <v>1375</v>
      </c>
      <c r="Y4" s="640"/>
      <c r="Z4" s="640"/>
      <c r="AA4" s="640"/>
      <c r="AB4" s="640"/>
      <c r="AC4" s="640"/>
      <c r="AD4" s="640" t="s">
        <v>1377</v>
      </c>
      <c r="AE4" s="640"/>
      <c r="AF4" s="640">
        <v>311</v>
      </c>
      <c r="AG4" s="640"/>
      <c r="AH4" s="640"/>
      <c r="AI4" s="640"/>
      <c r="AJ4" s="640"/>
      <c r="AK4" s="640"/>
      <c r="AL4" s="640"/>
      <c r="AM4" s="640"/>
      <c r="AN4" s="640"/>
      <c r="AO4" s="122"/>
      <c r="AP4" s="122"/>
      <c r="AQ4" s="122"/>
      <c r="AR4" s="122"/>
      <c r="AS4" s="122"/>
      <c r="AT4" s="122"/>
      <c r="AU4" s="122"/>
    </row>
    <row r="5" spans="1:47" s="62" customFormat="1" ht="18" customHeight="1" x14ac:dyDescent="0.25">
      <c r="A5" s="639"/>
      <c r="B5" s="102"/>
      <c r="C5" s="123"/>
      <c r="D5" s="216"/>
      <c r="E5" s="216"/>
      <c r="F5" s="104"/>
      <c r="G5" s="104"/>
      <c r="H5" s="104"/>
      <c r="I5" s="615"/>
      <c r="J5" s="614"/>
      <c r="K5" s="614"/>
      <c r="L5" s="614"/>
      <c r="M5" s="614"/>
      <c r="N5" s="614"/>
      <c r="O5" s="614"/>
      <c r="P5" s="614"/>
      <c r="Q5" s="614"/>
      <c r="R5" s="615"/>
      <c r="S5" s="615"/>
      <c r="T5" s="615"/>
      <c r="U5" s="615"/>
      <c r="V5" s="616"/>
      <c r="W5" s="640"/>
      <c r="X5" s="640" t="s">
        <v>1375</v>
      </c>
      <c r="Y5" s="640"/>
      <c r="Z5" s="640"/>
      <c r="AA5" s="640"/>
      <c r="AB5" s="640"/>
      <c r="AC5" s="640"/>
      <c r="AD5" s="640" t="s">
        <v>1378</v>
      </c>
      <c r="AE5" s="640"/>
      <c r="AF5" s="640"/>
      <c r="AG5" s="640"/>
      <c r="AH5" s="640"/>
      <c r="AI5" s="640"/>
      <c r="AJ5" s="640"/>
      <c r="AK5" s="640"/>
      <c r="AL5" s="640"/>
      <c r="AM5" s="640"/>
      <c r="AN5" s="640"/>
      <c r="AO5" s="122"/>
      <c r="AP5" s="122"/>
      <c r="AQ5" s="122"/>
      <c r="AR5" s="122"/>
      <c r="AS5" s="122"/>
      <c r="AT5" s="122"/>
      <c r="AU5" s="122"/>
    </row>
    <row r="6" spans="1:47" s="62" customFormat="1" ht="18" customHeight="1" x14ac:dyDescent="0.25">
      <c r="A6" s="639"/>
      <c r="B6" s="102"/>
      <c r="C6" s="123" t="s">
        <v>0</v>
      </c>
      <c r="D6" s="972">
        <v>45127</v>
      </c>
      <c r="E6" s="972"/>
      <c r="F6" s="104"/>
      <c r="G6" s="104"/>
      <c r="H6" s="104"/>
      <c r="I6" s="615"/>
      <c r="J6" s="614"/>
      <c r="K6" s="614"/>
      <c r="L6" s="614"/>
      <c r="M6" s="614"/>
      <c r="N6" s="614"/>
      <c r="O6" s="614"/>
      <c r="P6" s="614"/>
      <c r="Q6" s="614"/>
      <c r="R6" s="615"/>
      <c r="S6" s="615"/>
      <c r="T6" s="615"/>
      <c r="U6" s="615"/>
      <c r="V6" s="616"/>
      <c r="W6" s="640"/>
      <c r="X6" s="640" t="s">
        <v>1375</v>
      </c>
      <c r="Y6" s="640"/>
      <c r="Z6" s="640"/>
      <c r="AA6" s="640"/>
      <c r="AB6" s="640"/>
      <c r="AC6" s="640"/>
      <c r="AD6" s="640" t="s">
        <v>1379</v>
      </c>
      <c r="AE6" s="640"/>
      <c r="AF6" s="640"/>
      <c r="AG6" s="640"/>
      <c r="AH6" s="640"/>
      <c r="AI6" s="640"/>
      <c r="AJ6" s="640"/>
      <c r="AK6" s="640"/>
      <c r="AL6" s="640"/>
      <c r="AM6" s="640"/>
      <c r="AN6" s="640"/>
      <c r="AO6" s="122"/>
      <c r="AP6" s="122"/>
      <c r="AQ6" s="122"/>
      <c r="AR6" s="122"/>
      <c r="AS6" s="122"/>
      <c r="AT6" s="122"/>
      <c r="AU6" s="122"/>
    </row>
    <row r="7" spans="1:47" s="62" customFormat="1" ht="18" customHeight="1" x14ac:dyDescent="0.25">
      <c r="A7" s="639"/>
      <c r="B7" s="102"/>
      <c r="C7" s="123"/>
      <c r="D7" s="216"/>
      <c r="E7" s="216"/>
      <c r="F7" s="104"/>
      <c r="G7" s="967" t="s">
        <v>349</v>
      </c>
      <c r="H7" s="967"/>
      <c r="I7" s="967"/>
      <c r="J7" s="614"/>
      <c r="K7" s="614"/>
      <c r="L7" s="967" t="s">
        <v>407</v>
      </c>
      <c r="M7" s="967"/>
      <c r="N7" s="614"/>
      <c r="O7" s="614"/>
      <c r="P7" s="614"/>
      <c r="Q7" s="614"/>
      <c r="R7" s="615"/>
      <c r="S7" s="615"/>
      <c r="T7" s="615"/>
      <c r="U7" s="615"/>
      <c r="V7" s="616"/>
      <c r="W7" s="640"/>
      <c r="X7" s="640" t="s">
        <v>1375</v>
      </c>
      <c r="Y7" s="640"/>
      <c r="Z7" s="640"/>
      <c r="AA7" s="640"/>
      <c r="AB7" s="640"/>
      <c r="AC7" s="640"/>
      <c r="AD7" s="640" t="s">
        <v>1380</v>
      </c>
      <c r="AE7" s="640"/>
      <c r="AF7" s="640"/>
      <c r="AG7" s="640"/>
      <c r="AH7" s="640"/>
      <c r="AI7" s="640"/>
      <c r="AJ7" s="640"/>
      <c r="AK7" s="640"/>
      <c r="AL7" s="640"/>
      <c r="AM7" s="640"/>
      <c r="AN7" s="640"/>
      <c r="AO7" s="122"/>
      <c r="AP7" s="122"/>
      <c r="AQ7" s="122"/>
      <c r="AR7" s="122"/>
      <c r="AS7" s="122"/>
      <c r="AT7" s="122"/>
      <c r="AU7" s="122"/>
    </row>
    <row r="8" spans="1:47" s="62" customFormat="1" ht="18" customHeight="1" x14ac:dyDescent="0.25">
      <c r="A8" s="639"/>
      <c r="B8" s="102"/>
      <c r="C8" s="123" t="s">
        <v>1</v>
      </c>
      <c r="D8" s="972">
        <f>D6+6</f>
        <v>45133</v>
      </c>
      <c r="E8" s="972"/>
      <c r="F8" s="610"/>
      <c r="G8" s="967"/>
      <c r="H8" s="967"/>
      <c r="I8" s="967"/>
      <c r="J8" s="743">
        <v>311</v>
      </c>
      <c r="K8" s="104"/>
      <c r="L8" s="967"/>
      <c r="M8" s="967"/>
      <c r="N8" s="743">
        <v>103</v>
      </c>
      <c r="O8" s="104"/>
      <c r="P8" s="614"/>
      <c r="Q8" s="614"/>
      <c r="R8" s="615"/>
      <c r="S8" s="615"/>
      <c r="T8" s="615"/>
      <c r="U8" s="615"/>
      <c r="V8" s="616"/>
      <c r="W8" s="640"/>
      <c r="X8" s="640" t="s">
        <v>1375</v>
      </c>
      <c r="Y8" s="640"/>
      <c r="Z8" s="640"/>
      <c r="AA8" s="640"/>
      <c r="AB8" s="640"/>
      <c r="AC8" s="640"/>
      <c r="AD8" s="640" t="s">
        <v>1381</v>
      </c>
      <c r="AE8" s="640"/>
      <c r="AF8" s="640"/>
      <c r="AG8" s="640"/>
      <c r="AH8" s="640"/>
      <c r="AI8" s="640"/>
      <c r="AJ8" s="640"/>
      <c r="AK8" s="640"/>
      <c r="AL8" s="640"/>
      <c r="AM8" s="640"/>
      <c r="AN8" s="640"/>
      <c r="AO8" s="122"/>
      <c r="AP8" s="122"/>
      <c r="AQ8" s="122"/>
      <c r="AR8" s="122"/>
      <c r="AS8" s="122"/>
      <c r="AT8" s="122"/>
      <c r="AU8" s="122"/>
    </row>
    <row r="9" spans="1:47" s="62" customFormat="1" ht="18" customHeight="1" x14ac:dyDescent="0.25">
      <c r="A9" s="639"/>
      <c r="B9" s="102"/>
      <c r="C9" s="647"/>
      <c r="D9" s="104"/>
      <c r="E9" s="104"/>
      <c r="F9" s="610"/>
      <c r="G9" s="647"/>
      <c r="H9" s="647"/>
      <c r="I9" s="647"/>
      <c r="J9" s="741"/>
      <c r="K9" s="104"/>
      <c r="L9" s="647"/>
      <c r="M9" s="647"/>
      <c r="N9" s="741"/>
      <c r="O9" s="104"/>
      <c r="P9" s="104"/>
      <c r="Q9" s="104"/>
      <c r="R9" s="104"/>
      <c r="S9" s="104"/>
      <c r="T9" s="104"/>
      <c r="U9" s="104"/>
      <c r="V9" s="105"/>
      <c r="W9" s="640"/>
      <c r="X9" s="640" t="s">
        <v>1375</v>
      </c>
      <c r="Y9" s="640"/>
      <c r="Z9" s="640"/>
      <c r="AA9" s="640"/>
      <c r="AB9" s="640"/>
      <c r="AC9" s="640"/>
      <c r="AD9" s="640" t="s">
        <v>1382</v>
      </c>
      <c r="AE9" s="640"/>
      <c r="AF9" s="640"/>
      <c r="AG9" s="640"/>
      <c r="AH9" s="640"/>
      <c r="AI9" s="640"/>
      <c r="AJ9" s="640"/>
      <c r="AK9" s="640"/>
      <c r="AL9" s="640"/>
      <c r="AM9" s="640"/>
      <c r="AN9" s="640"/>
      <c r="AO9" s="122"/>
      <c r="AP9" s="122"/>
      <c r="AQ9" s="122"/>
      <c r="AR9" s="122"/>
      <c r="AS9" s="122"/>
      <c r="AT9" s="122"/>
      <c r="AU9" s="122"/>
    </row>
    <row r="10" spans="1:47" s="62" customFormat="1" ht="18" customHeight="1" x14ac:dyDescent="0.25">
      <c r="A10" s="639"/>
      <c r="B10" s="102"/>
      <c r="C10" s="236"/>
      <c r="D10" s="236" t="s">
        <v>1302</v>
      </c>
      <c r="E10" s="104"/>
      <c r="F10" s="610"/>
      <c r="G10" s="610"/>
      <c r="H10" s="610"/>
      <c r="I10" s="610"/>
      <c r="J10" s="610"/>
      <c r="K10" s="610"/>
      <c r="L10" s="610"/>
      <c r="M10" s="610"/>
      <c r="N10" s="610"/>
      <c r="O10" s="104"/>
      <c r="P10" s="104"/>
      <c r="Q10" s="104"/>
      <c r="R10" s="104"/>
      <c r="S10" s="104"/>
      <c r="T10" s="104"/>
      <c r="U10" s="104"/>
      <c r="V10" s="105"/>
      <c r="W10" s="640"/>
      <c r="X10" s="640" t="s">
        <v>1391</v>
      </c>
      <c r="Y10" s="640"/>
      <c r="Z10" s="640"/>
      <c r="AA10" s="640"/>
      <c r="AB10" s="640"/>
      <c r="AC10" s="640"/>
      <c r="AD10" s="640" t="s">
        <v>1392</v>
      </c>
      <c r="AE10" s="640"/>
      <c r="AF10" s="640"/>
      <c r="AG10" s="640"/>
      <c r="AH10" s="640"/>
      <c r="AI10" s="640"/>
      <c r="AJ10" s="640"/>
      <c r="AK10" s="640"/>
      <c r="AL10" s="640"/>
      <c r="AM10" s="640"/>
      <c r="AN10" s="640"/>
      <c r="AO10" s="122"/>
      <c r="AP10" s="122"/>
      <c r="AQ10" s="122"/>
      <c r="AR10" s="122"/>
      <c r="AS10" s="122"/>
      <c r="AT10" s="122"/>
      <c r="AU10" s="122"/>
    </row>
    <row r="11" spans="1:47" s="62" customFormat="1" ht="18" customHeight="1" x14ac:dyDescent="0.25">
      <c r="A11" s="639"/>
      <c r="B11" s="102"/>
      <c r="C11" s="892" t="s">
        <v>1509</v>
      </c>
      <c r="D11" s="973" t="s">
        <v>2</v>
      </c>
      <c r="E11" s="973"/>
      <c r="F11" s="973" t="s">
        <v>3</v>
      </c>
      <c r="G11" s="973"/>
      <c r="H11" s="973" t="s">
        <v>4</v>
      </c>
      <c r="I11" s="973"/>
      <c r="J11" s="973" t="s">
        <v>5</v>
      </c>
      <c r="K11" s="973"/>
      <c r="L11" s="973" t="s">
        <v>6</v>
      </c>
      <c r="M11" s="973"/>
      <c r="N11" s="973" t="s">
        <v>7</v>
      </c>
      <c r="O11" s="973"/>
      <c r="P11" s="973" t="s">
        <v>8</v>
      </c>
      <c r="Q11" s="973"/>
      <c r="R11" s="973" t="s">
        <v>199</v>
      </c>
      <c r="S11" s="973"/>
      <c r="T11" s="104"/>
      <c r="U11" s="104"/>
      <c r="V11" s="105"/>
      <c r="W11" s="640"/>
      <c r="X11" s="640" t="s">
        <v>1391</v>
      </c>
      <c r="Y11" s="640"/>
      <c r="Z11" s="640"/>
      <c r="AA11" s="640"/>
      <c r="AB11" s="640"/>
      <c r="AC11" s="640"/>
      <c r="AD11" s="640" t="s">
        <v>1393</v>
      </c>
      <c r="AE11" s="640"/>
      <c r="AF11" s="640"/>
      <c r="AG11" s="640"/>
      <c r="AH11" s="640"/>
      <c r="AI11" s="640"/>
      <c r="AJ11" s="640"/>
      <c r="AK11" s="640"/>
      <c r="AL11" s="640"/>
      <c r="AM11" s="640"/>
      <c r="AN11" s="640"/>
      <c r="AO11" s="122"/>
      <c r="AP11" s="122"/>
      <c r="AQ11" s="122"/>
      <c r="AR11" s="122"/>
      <c r="AS11" s="122"/>
      <c r="AT11" s="122"/>
      <c r="AU11" s="122"/>
    </row>
    <row r="12" spans="1:47" ht="18" customHeight="1" x14ac:dyDescent="0.25">
      <c r="A12" s="636"/>
      <c r="B12" s="110"/>
      <c r="C12" s="893" t="s">
        <v>1510</v>
      </c>
      <c r="D12" s="969">
        <f>D6</f>
        <v>45127</v>
      </c>
      <c r="E12" s="969"/>
      <c r="F12" s="969">
        <f>D12+1</f>
        <v>45128</v>
      </c>
      <c r="G12" s="969"/>
      <c r="H12" s="969">
        <f t="shared" ref="H12" si="0">F12+1</f>
        <v>45129</v>
      </c>
      <c r="I12" s="969"/>
      <c r="J12" s="969">
        <f t="shared" ref="J12" si="1">H12+1</f>
        <v>45130</v>
      </c>
      <c r="K12" s="969"/>
      <c r="L12" s="969">
        <f t="shared" ref="L12" si="2">J12+1</f>
        <v>45131</v>
      </c>
      <c r="M12" s="969"/>
      <c r="N12" s="969">
        <f t="shared" ref="N12" si="3">L12+1</f>
        <v>45132</v>
      </c>
      <c r="O12" s="969"/>
      <c r="P12" s="969">
        <f t="shared" ref="P12" si="4">N12+1</f>
        <v>45133</v>
      </c>
      <c r="Q12" s="969"/>
      <c r="R12" s="979" t="s">
        <v>1365</v>
      </c>
      <c r="S12" s="979"/>
      <c r="T12" s="111"/>
      <c r="U12" s="111"/>
      <c r="V12" s="112"/>
      <c r="W12" s="640"/>
      <c r="X12" s="640" t="s">
        <v>1401</v>
      </c>
      <c r="Y12" s="640"/>
      <c r="Z12" s="640"/>
      <c r="AA12" s="640"/>
      <c r="AB12" s="640"/>
      <c r="AC12" s="640"/>
      <c r="AD12" s="640" t="s">
        <v>1402</v>
      </c>
      <c r="AE12" s="640"/>
      <c r="AF12" s="640"/>
      <c r="AG12" s="640"/>
      <c r="AH12" s="640"/>
      <c r="AI12" s="640"/>
      <c r="AJ12" s="640"/>
      <c r="AK12" s="640"/>
      <c r="AL12" s="640"/>
      <c r="AM12" s="640"/>
      <c r="AN12" s="640"/>
      <c r="AO12" s="121"/>
      <c r="AP12" s="121"/>
      <c r="AQ12" s="121"/>
      <c r="AR12" s="121"/>
      <c r="AS12" s="121"/>
      <c r="AT12" s="121"/>
      <c r="AU12" s="121"/>
    </row>
    <row r="13" spans="1:47" ht="18" customHeight="1" x14ac:dyDescent="0.25">
      <c r="A13" s="636"/>
      <c r="B13" s="110"/>
      <c r="C13" s="893" t="s">
        <v>1511</v>
      </c>
      <c r="D13" s="968">
        <f>J8</f>
        <v>311</v>
      </c>
      <c r="E13" s="968"/>
      <c r="F13" s="968">
        <f>D13+1</f>
        <v>312</v>
      </c>
      <c r="G13" s="968"/>
      <c r="H13" s="968">
        <f>F13+1</f>
        <v>313</v>
      </c>
      <c r="I13" s="968"/>
      <c r="J13" s="968">
        <f>H13+1</f>
        <v>314</v>
      </c>
      <c r="K13" s="968"/>
      <c r="L13" s="968">
        <f>J13+1</f>
        <v>315</v>
      </c>
      <c r="M13" s="968"/>
      <c r="N13" s="968">
        <f>L13+1</f>
        <v>316</v>
      </c>
      <c r="O13" s="968"/>
      <c r="P13" s="968">
        <f>N13+1</f>
        <v>317</v>
      </c>
      <c r="Q13" s="968"/>
      <c r="R13" s="968">
        <f>N8</f>
        <v>103</v>
      </c>
      <c r="S13" s="968"/>
      <c r="T13" s="111"/>
      <c r="U13" s="111"/>
      <c r="V13" s="112"/>
      <c r="W13" s="640"/>
      <c r="X13" s="640" t="s">
        <v>1403</v>
      </c>
      <c r="Y13" s="640"/>
      <c r="Z13" s="640"/>
      <c r="AA13" s="640"/>
      <c r="AB13" s="640"/>
      <c r="AC13" s="640"/>
      <c r="AD13" s="640" t="s">
        <v>1404</v>
      </c>
      <c r="AE13" s="640"/>
      <c r="AF13" s="640"/>
      <c r="AG13" s="640"/>
      <c r="AH13" s="640"/>
      <c r="AI13" s="640"/>
      <c r="AJ13" s="640"/>
      <c r="AK13" s="640"/>
      <c r="AL13" s="640"/>
      <c r="AM13" s="640"/>
      <c r="AN13" s="640"/>
      <c r="AO13" s="121"/>
      <c r="AP13" s="121"/>
      <c r="AQ13" s="121"/>
      <c r="AR13" s="121"/>
      <c r="AS13" s="121"/>
      <c r="AT13" s="121"/>
      <c r="AU13" s="121"/>
    </row>
    <row r="14" spans="1:47" ht="21" customHeight="1" x14ac:dyDescent="0.25">
      <c r="A14" s="636"/>
      <c r="B14" s="110"/>
      <c r="C14" s="894" t="s">
        <v>1512</v>
      </c>
      <c r="D14" s="1" t="s">
        <v>9</v>
      </c>
      <c r="E14" s="1" t="s">
        <v>10</v>
      </c>
      <c r="F14" s="1" t="s">
        <v>9</v>
      </c>
      <c r="G14" s="1" t="s">
        <v>10</v>
      </c>
      <c r="H14" s="1" t="s">
        <v>9</v>
      </c>
      <c r="I14" s="1" t="s">
        <v>10</v>
      </c>
      <c r="J14" s="1" t="s">
        <v>9</v>
      </c>
      <c r="K14" s="1" t="s">
        <v>10</v>
      </c>
      <c r="L14" s="1" t="s">
        <v>9</v>
      </c>
      <c r="M14" s="1" t="s">
        <v>10</v>
      </c>
      <c r="N14" s="1" t="s">
        <v>9</v>
      </c>
      <c r="O14" s="1" t="s">
        <v>10</v>
      </c>
      <c r="P14" s="1" t="s">
        <v>9</v>
      </c>
      <c r="Q14" s="1" t="s">
        <v>10</v>
      </c>
      <c r="R14" s="754"/>
      <c r="S14" s="755"/>
      <c r="T14" s="111"/>
      <c r="U14" s="111"/>
      <c r="V14" s="112"/>
      <c r="W14" s="640"/>
      <c r="X14" s="640" t="s">
        <v>1406</v>
      </c>
      <c r="Y14" s="640"/>
      <c r="Z14" s="640"/>
      <c r="AA14" s="640"/>
      <c r="AB14" s="640"/>
      <c r="AC14" s="640"/>
      <c r="AD14" s="640" t="s">
        <v>1407</v>
      </c>
      <c r="AE14" s="640"/>
      <c r="AF14" s="640"/>
      <c r="AG14" s="640"/>
      <c r="AH14" s="640"/>
      <c r="AI14" s="640"/>
      <c r="AJ14" s="640"/>
      <c r="AK14" s="640"/>
      <c r="AL14" s="640"/>
      <c r="AM14" s="640"/>
      <c r="AN14" s="640"/>
      <c r="AO14" s="121"/>
      <c r="AP14" s="121"/>
      <c r="AQ14" s="121"/>
      <c r="AR14" s="121"/>
      <c r="AS14" s="121"/>
      <c r="AT14" s="121"/>
      <c r="AU14" s="121"/>
    </row>
    <row r="15" spans="1:47" ht="18" customHeight="1" x14ac:dyDescent="0.25">
      <c r="A15" s="636"/>
      <c r="B15" s="983" t="s">
        <v>1398</v>
      </c>
      <c r="C15" s="654" t="s">
        <v>11</v>
      </c>
      <c r="D15" s="653">
        <v>122</v>
      </c>
      <c r="E15" s="653">
        <v>24</v>
      </c>
      <c r="F15" s="653">
        <v>128</v>
      </c>
      <c r="G15" s="653">
        <v>23</v>
      </c>
      <c r="H15" s="653">
        <v>115</v>
      </c>
      <c r="I15" s="653">
        <v>20</v>
      </c>
      <c r="J15" s="653">
        <v>105</v>
      </c>
      <c r="K15" s="653">
        <v>3</v>
      </c>
      <c r="L15" s="653">
        <v>140</v>
      </c>
      <c r="M15" s="653">
        <v>24</v>
      </c>
      <c r="N15" s="653">
        <v>45</v>
      </c>
      <c r="O15" s="653">
        <v>5</v>
      </c>
      <c r="P15" s="653">
        <v>20</v>
      </c>
      <c r="Q15" s="653">
        <v>0</v>
      </c>
      <c r="R15" s="756"/>
      <c r="S15" s="757"/>
      <c r="T15" s="111"/>
      <c r="U15" s="111"/>
      <c r="V15" s="112"/>
      <c r="W15" s="640"/>
      <c r="X15" s="640" t="s">
        <v>1406</v>
      </c>
      <c r="Y15" s="640"/>
      <c r="Z15" s="640"/>
      <c r="AA15" s="640"/>
      <c r="AB15" s="640"/>
      <c r="AC15" s="640"/>
      <c r="AD15" s="640" t="s">
        <v>1408</v>
      </c>
      <c r="AE15" s="640"/>
      <c r="AF15" s="640"/>
      <c r="AG15" s="640"/>
      <c r="AH15" s="640"/>
      <c r="AI15" s="640"/>
      <c r="AJ15" s="640"/>
      <c r="AK15" s="640"/>
      <c r="AL15" s="640"/>
      <c r="AM15" s="640"/>
      <c r="AN15" s="640"/>
      <c r="AO15" s="121"/>
      <c r="AP15" s="121"/>
      <c r="AQ15" s="121"/>
      <c r="AR15" s="121"/>
      <c r="AS15" s="121"/>
      <c r="AT15" s="121"/>
      <c r="AU15" s="121"/>
    </row>
    <row r="16" spans="1:47" ht="18" customHeight="1" x14ac:dyDescent="0.25">
      <c r="A16" s="636"/>
      <c r="B16" s="984"/>
      <c r="C16" s="654" t="s">
        <v>12</v>
      </c>
      <c r="D16" s="653">
        <v>122</v>
      </c>
      <c r="E16" s="653">
        <v>24</v>
      </c>
      <c r="F16" s="653">
        <v>122</v>
      </c>
      <c r="G16" s="653">
        <v>22</v>
      </c>
      <c r="H16" s="653">
        <v>115</v>
      </c>
      <c r="I16" s="653">
        <v>20</v>
      </c>
      <c r="J16" s="653">
        <v>100</v>
      </c>
      <c r="K16" s="653">
        <v>3</v>
      </c>
      <c r="L16" s="653">
        <v>140</v>
      </c>
      <c r="M16" s="653">
        <v>24</v>
      </c>
      <c r="N16" s="653">
        <v>45</v>
      </c>
      <c r="O16" s="653">
        <v>5</v>
      </c>
      <c r="P16" s="653">
        <v>25</v>
      </c>
      <c r="Q16" s="653">
        <v>0</v>
      </c>
      <c r="R16" s="756"/>
      <c r="S16" s="757"/>
      <c r="T16" s="111"/>
      <c r="U16" s="111"/>
      <c r="V16" s="112"/>
      <c r="W16" s="640"/>
      <c r="X16" s="640" t="s">
        <v>1417</v>
      </c>
      <c r="Y16" s="640"/>
      <c r="Z16" s="640"/>
      <c r="AA16" s="640"/>
      <c r="AB16" s="640"/>
      <c r="AC16" s="640"/>
      <c r="AD16" s="640" t="s">
        <v>1418</v>
      </c>
      <c r="AE16" s="640"/>
      <c r="AF16" s="640"/>
      <c r="AG16" s="640"/>
      <c r="AH16" s="640"/>
      <c r="AI16" s="640"/>
      <c r="AJ16" s="640"/>
      <c r="AK16" s="640"/>
      <c r="AL16" s="640"/>
      <c r="AM16" s="640"/>
      <c r="AN16" s="640"/>
      <c r="AO16" s="121"/>
      <c r="AP16" s="121"/>
      <c r="AQ16" s="121"/>
      <c r="AR16" s="121"/>
      <c r="AS16" s="121"/>
      <c r="AT16" s="121"/>
      <c r="AU16" s="121"/>
    </row>
    <row r="17" spans="1:47" ht="18" customHeight="1" x14ac:dyDescent="0.25">
      <c r="A17" s="636"/>
      <c r="B17" s="984"/>
      <c r="C17" s="654" t="s">
        <v>133</v>
      </c>
      <c r="D17" s="653">
        <v>122</v>
      </c>
      <c r="E17" s="653">
        <v>24</v>
      </c>
      <c r="F17" s="653">
        <v>130</v>
      </c>
      <c r="G17" s="653">
        <v>22</v>
      </c>
      <c r="H17" s="653">
        <v>115</v>
      </c>
      <c r="I17" s="653">
        <v>20</v>
      </c>
      <c r="J17" s="653">
        <v>98</v>
      </c>
      <c r="K17" s="653">
        <v>3</v>
      </c>
      <c r="L17" s="653">
        <v>35</v>
      </c>
      <c r="M17" s="653">
        <v>10</v>
      </c>
      <c r="N17" s="653">
        <v>45</v>
      </c>
      <c r="O17" s="653">
        <v>5</v>
      </c>
      <c r="P17" s="653">
        <v>25</v>
      </c>
      <c r="Q17" s="653">
        <v>0</v>
      </c>
      <c r="R17" s="756"/>
      <c r="S17" s="757"/>
      <c r="T17" s="111"/>
      <c r="U17" s="111"/>
      <c r="V17" s="112"/>
      <c r="W17" s="640"/>
      <c r="X17" s="640" t="s">
        <v>1419</v>
      </c>
      <c r="Y17" s="640"/>
      <c r="Z17" s="640"/>
      <c r="AA17" s="640"/>
      <c r="AB17" s="640"/>
      <c r="AC17" s="640"/>
      <c r="AD17" s="640" t="s">
        <v>1420</v>
      </c>
      <c r="AE17" s="640"/>
      <c r="AF17" s="640"/>
      <c r="AG17" s="640"/>
      <c r="AH17" s="640"/>
      <c r="AI17" s="640"/>
      <c r="AJ17" s="640"/>
      <c r="AK17" s="640"/>
      <c r="AL17" s="640"/>
      <c r="AM17" s="640"/>
      <c r="AN17" s="640"/>
      <c r="AO17" s="121"/>
      <c r="AP17" s="121"/>
      <c r="AQ17" s="121"/>
      <c r="AR17" s="121"/>
      <c r="AS17" s="121"/>
      <c r="AT17" s="121"/>
      <c r="AU17" s="121"/>
    </row>
    <row r="18" spans="1:47" ht="18" customHeight="1" x14ac:dyDescent="0.25">
      <c r="A18" s="636"/>
      <c r="B18" s="985"/>
      <c r="C18" s="654" t="s">
        <v>159</v>
      </c>
      <c r="D18" s="653">
        <v>122</v>
      </c>
      <c r="E18" s="653">
        <v>24</v>
      </c>
      <c r="F18" s="653">
        <v>130</v>
      </c>
      <c r="G18" s="653">
        <v>22</v>
      </c>
      <c r="H18" s="653">
        <v>115</v>
      </c>
      <c r="I18" s="653">
        <v>20</v>
      </c>
      <c r="J18" s="653">
        <v>98</v>
      </c>
      <c r="K18" s="653">
        <v>3</v>
      </c>
      <c r="L18" s="653">
        <v>35</v>
      </c>
      <c r="M18" s="653">
        <v>10</v>
      </c>
      <c r="N18" s="653">
        <v>45</v>
      </c>
      <c r="O18" s="653">
        <v>5</v>
      </c>
      <c r="P18" s="653">
        <v>4</v>
      </c>
      <c r="Q18" s="653">
        <v>0</v>
      </c>
      <c r="R18" s="758"/>
      <c r="S18" s="759"/>
      <c r="T18" s="111"/>
      <c r="U18" s="111"/>
      <c r="V18" s="112"/>
      <c r="W18" s="640"/>
      <c r="X18" s="640" t="s">
        <v>1440</v>
      </c>
      <c r="Y18" s="640"/>
      <c r="Z18" s="640"/>
      <c r="AA18" s="640"/>
      <c r="AB18" s="640"/>
      <c r="AC18" s="640"/>
      <c r="AD18" s="640" t="s">
        <v>1441</v>
      </c>
      <c r="AE18" s="640"/>
      <c r="AF18" s="640"/>
      <c r="AG18" s="640"/>
      <c r="AH18" s="640"/>
      <c r="AI18" s="640"/>
      <c r="AJ18" s="640"/>
      <c r="AK18" s="640"/>
      <c r="AL18" s="640"/>
      <c r="AM18" s="640"/>
      <c r="AN18" s="640"/>
      <c r="AO18" s="121"/>
      <c r="AP18" s="121"/>
      <c r="AQ18" s="121"/>
      <c r="AR18" s="121"/>
      <c r="AS18" s="121"/>
      <c r="AT18" s="121"/>
      <c r="AU18" s="121"/>
    </row>
    <row r="19" spans="1:47" ht="18" customHeight="1" x14ac:dyDescent="0.25">
      <c r="A19" s="636"/>
      <c r="B19" s="983" t="s">
        <v>1399</v>
      </c>
      <c r="C19" s="648" t="s">
        <v>13</v>
      </c>
      <c r="D19" s="649">
        <f>AVERAGE(D15:D18)</f>
        <v>122</v>
      </c>
      <c r="E19" s="649">
        <f t="shared" ref="E19:Q19" si="5">AVERAGE(E15:E18)</f>
        <v>24</v>
      </c>
      <c r="F19" s="649">
        <f t="shared" si="5"/>
        <v>127.5</v>
      </c>
      <c r="G19" s="649">
        <f t="shared" si="5"/>
        <v>22.25</v>
      </c>
      <c r="H19" s="649">
        <f t="shared" si="5"/>
        <v>115</v>
      </c>
      <c r="I19" s="649">
        <f t="shared" si="5"/>
        <v>20</v>
      </c>
      <c r="J19" s="649">
        <f t="shared" si="5"/>
        <v>100.25</v>
      </c>
      <c r="K19" s="649">
        <f t="shared" si="5"/>
        <v>3</v>
      </c>
      <c r="L19" s="649">
        <f t="shared" si="5"/>
        <v>87.5</v>
      </c>
      <c r="M19" s="649">
        <f t="shared" si="5"/>
        <v>17</v>
      </c>
      <c r="N19" s="649">
        <f t="shared" si="5"/>
        <v>45</v>
      </c>
      <c r="O19" s="649">
        <f t="shared" si="5"/>
        <v>5</v>
      </c>
      <c r="P19" s="649">
        <f t="shared" si="5"/>
        <v>18.5</v>
      </c>
      <c r="Q19" s="649">
        <f t="shared" si="5"/>
        <v>0</v>
      </c>
      <c r="R19" s="649"/>
      <c r="S19" s="649"/>
      <c r="T19" s="111"/>
      <c r="U19" s="111"/>
      <c r="V19" s="112"/>
      <c r="W19" s="640"/>
      <c r="X19" s="640" t="s">
        <v>1442</v>
      </c>
      <c r="Y19" s="640"/>
      <c r="Z19" s="640"/>
      <c r="AA19" s="640"/>
      <c r="AB19" s="640"/>
      <c r="AC19" s="640"/>
      <c r="AD19" s="640" t="s">
        <v>1443</v>
      </c>
      <c r="AE19" s="640"/>
      <c r="AF19" s="640"/>
      <c r="AG19" s="640"/>
      <c r="AH19" s="640"/>
      <c r="AI19" s="640"/>
      <c r="AJ19" s="640"/>
      <c r="AK19" s="640"/>
      <c r="AL19" s="640"/>
      <c r="AM19" s="640"/>
      <c r="AN19" s="640"/>
      <c r="AO19" s="121"/>
      <c r="AP19" s="121"/>
      <c r="AQ19" s="121"/>
      <c r="AR19" s="121"/>
      <c r="AS19" s="121"/>
      <c r="AT19" s="121"/>
      <c r="AU19" s="121"/>
    </row>
    <row r="20" spans="1:47" ht="23.25" customHeight="1" x14ac:dyDescent="0.25">
      <c r="A20" s="636"/>
      <c r="B20" s="985"/>
      <c r="C20" s="986" t="s">
        <v>1400</v>
      </c>
      <c r="D20" s="987"/>
      <c r="E20" s="650">
        <f>Меню!$FB62</f>
        <v>4863</v>
      </c>
      <c r="F20" s="651"/>
      <c r="G20" s="650">
        <f>Меню!$FB107</f>
        <v>3954</v>
      </c>
      <c r="H20" s="651"/>
      <c r="I20" s="650">
        <f>Меню!$FB152</f>
        <v>4113.3</v>
      </c>
      <c r="J20" s="651"/>
      <c r="K20" s="650">
        <f>Меню!$FB197</f>
        <v>3862</v>
      </c>
      <c r="L20" s="651"/>
      <c r="M20" s="650">
        <f>Меню!$FB242</f>
        <v>3751.9180000000001</v>
      </c>
      <c r="N20" s="651"/>
      <c r="O20" s="650">
        <f>Меню!$FB287</f>
        <v>4252.4319999999998</v>
      </c>
      <c r="P20" s="651"/>
      <c r="Q20" s="652">
        <f>Меню!$FB332</f>
        <v>4087.752</v>
      </c>
      <c r="R20" s="651"/>
      <c r="S20" s="652"/>
      <c r="T20" s="111"/>
      <c r="U20" s="111"/>
      <c r="V20" s="112"/>
      <c r="W20" s="640"/>
      <c r="X20" s="640" t="s">
        <v>1444</v>
      </c>
      <c r="Y20" s="640"/>
      <c r="Z20" s="640"/>
      <c r="AA20" s="640"/>
      <c r="AB20" s="640"/>
      <c r="AC20" s="640"/>
      <c r="AD20" s="640" t="s">
        <v>1445</v>
      </c>
      <c r="AE20" s="640"/>
      <c r="AF20" s="640"/>
      <c r="AG20" s="640"/>
      <c r="AH20" s="640"/>
      <c r="AI20" s="640"/>
      <c r="AJ20" s="640"/>
      <c r="AK20" s="640"/>
      <c r="AL20" s="640"/>
      <c r="AM20" s="640"/>
      <c r="AN20" s="640"/>
      <c r="AO20" s="121"/>
      <c r="AP20" s="121"/>
      <c r="AQ20" s="121"/>
      <c r="AR20" s="121"/>
      <c r="AS20" s="121"/>
      <c r="AT20" s="121"/>
      <c r="AU20" s="121"/>
    </row>
    <row r="21" spans="1:47" s="62" customFormat="1" ht="18" customHeight="1" x14ac:dyDescent="0.25">
      <c r="A21" s="639"/>
      <c r="B21" s="983" t="s">
        <v>1366</v>
      </c>
      <c r="C21" s="692" t="s">
        <v>172</v>
      </c>
      <c r="D21" s="688" t="s">
        <v>173</v>
      </c>
      <c r="E21" s="689"/>
      <c r="F21" s="688" t="s">
        <v>173</v>
      </c>
      <c r="G21" s="689"/>
      <c r="H21" s="688" t="s">
        <v>173</v>
      </c>
      <c r="I21" s="689"/>
      <c r="J21" s="688" t="s">
        <v>173</v>
      </c>
      <c r="K21" s="689"/>
      <c r="L21" s="688" t="s">
        <v>173</v>
      </c>
      <c r="M21" s="689"/>
      <c r="N21" s="688" t="s">
        <v>173</v>
      </c>
      <c r="O21" s="689"/>
      <c r="P21" s="688" t="s">
        <v>173</v>
      </c>
      <c r="Q21" s="689"/>
      <c r="R21" s="688" t="s">
        <v>173</v>
      </c>
      <c r="S21" s="689"/>
      <c r="T21" s="104"/>
      <c r="U21" s="104"/>
      <c r="V21" s="105"/>
      <c r="W21" s="640"/>
      <c r="X21" s="640" t="s">
        <v>1444</v>
      </c>
      <c r="Y21" s="640"/>
      <c r="Z21" s="640"/>
      <c r="AA21" s="640"/>
      <c r="AB21" s="640"/>
      <c r="AC21" s="640"/>
      <c r="AD21" s="640" t="s">
        <v>1446</v>
      </c>
      <c r="AE21" s="640"/>
      <c r="AF21" s="640"/>
      <c r="AG21" s="640"/>
      <c r="AH21" s="640"/>
      <c r="AI21" s="640"/>
      <c r="AJ21" s="640"/>
      <c r="AK21" s="640"/>
      <c r="AL21" s="640"/>
      <c r="AM21" s="640"/>
      <c r="AN21" s="640"/>
      <c r="AO21" s="122"/>
      <c r="AP21" s="122"/>
      <c r="AQ21" s="122"/>
      <c r="AR21" s="122"/>
      <c r="AS21" s="122"/>
      <c r="AT21" s="122"/>
      <c r="AU21" s="122"/>
    </row>
    <row r="22" spans="1:47" s="62" customFormat="1" ht="18" customHeight="1" x14ac:dyDescent="0.25">
      <c r="A22" s="639"/>
      <c r="B22" s="984"/>
      <c r="C22" s="692" t="s">
        <v>170</v>
      </c>
      <c r="D22" s="690" t="s">
        <v>168</v>
      </c>
      <c r="E22" s="691"/>
      <c r="F22" s="690" t="s">
        <v>1385</v>
      </c>
      <c r="G22" s="691"/>
      <c r="H22" s="690" t="s">
        <v>1386</v>
      </c>
      <c r="I22" s="691"/>
      <c r="J22" s="690" t="s">
        <v>1387</v>
      </c>
      <c r="K22" s="691"/>
      <c r="L22" s="690" t="s">
        <v>1388</v>
      </c>
      <c r="M22" s="691"/>
      <c r="N22" s="690" t="s">
        <v>1389</v>
      </c>
      <c r="O22" s="691"/>
      <c r="P22" s="690" t="s">
        <v>1390</v>
      </c>
      <c r="Q22" s="691"/>
      <c r="R22" s="690"/>
      <c r="S22" s="691"/>
      <c r="T22" s="109"/>
      <c r="U22" s="109"/>
      <c r="V22" s="114"/>
      <c r="W22" s="640"/>
      <c r="X22" s="640" t="s">
        <v>1444</v>
      </c>
      <c r="Y22" s="640"/>
      <c r="Z22" s="640"/>
      <c r="AA22" s="640"/>
      <c r="AB22" s="640"/>
      <c r="AC22" s="640"/>
      <c r="AD22" s="640" t="s">
        <v>1447</v>
      </c>
      <c r="AE22" s="640"/>
      <c r="AF22" s="640"/>
      <c r="AG22" s="640"/>
      <c r="AH22" s="640"/>
      <c r="AI22" s="640"/>
      <c r="AJ22" s="640"/>
      <c r="AK22" s="640"/>
      <c r="AL22" s="640"/>
      <c r="AM22" s="640"/>
      <c r="AN22" s="640"/>
      <c r="AO22" s="122"/>
      <c r="AP22" s="122"/>
      <c r="AQ22" s="122"/>
      <c r="AR22" s="122"/>
      <c r="AS22" s="122"/>
      <c r="AT22" s="122"/>
      <c r="AU22" s="122"/>
    </row>
    <row r="23" spans="1:47" s="62" customFormat="1" ht="18" customHeight="1" x14ac:dyDescent="0.25">
      <c r="A23" s="639"/>
      <c r="B23" s="984"/>
      <c r="C23" s="692" t="s">
        <v>171</v>
      </c>
      <c r="D23" s="690" t="s">
        <v>169</v>
      </c>
      <c r="E23" s="691"/>
      <c r="F23" s="690">
        <v>2</v>
      </c>
      <c r="G23" s="691"/>
      <c r="H23" s="690">
        <v>3</v>
      </c>
      <c r="I23" s="691"/>
      <c r="J23" s="690">
        <v>4</v>
      </c>
      <c r="K23" s="691"/>
      <c r="L23" s="690">
        <v>5</v>
      </c>
      <c r="M23" s="691"/>
      <c r="N23" s="690">
        <v>6</v>
      </c>
      <c r="O23" s="691"/>
      <c r="P23" s="690">
        <v>7</v>
      </c>
      <c r="Q23" s="691"/>
      <c r="R23" s="690"/>
      <c r="S23" s="691"/>
      <c r="T23" s="109"/>
      <c r="U23" s="109"/>
      <c r="V23" s="114"/>
      <c r="W23" s="640"/>
      <c r="X23" s="640" t="s">
        <v>1444</v>
      </c>
      <c r="Y23" s="640"/>
      <c r="Z23" s="640"/>
      <c r="AA23" s="640"/>
      <c r="AB23" s="640"/>
      <c r="AC23" s="640"/>
      <c r="AD23" s="640" t="s">
        <v>1448</v>
      </c>
      <c r="AE23" s="640"/>
      <c r="AF23" s="640"/>
      <c r="AG23" s="640"/>
      <c r="AH23" s="640"/>
      <c r="AI23" s="640"/>
      <c r="AJ23" s="640"/>
      <c r="AK23" s="640"/>
      <c r="AL23" s="640"/>
      <c r="AM23" s="640"/>
      <c r="AN23" s="640"/>
      <c r="AO23" s="122"/>
      <c r="AP23" s="122"/>
      <c r="AQ23" s="122"/>
      <c r="AR23" s="122"/>
      <c r="AS23" s="122"/>
      <c r="AT23" s="122"/>
      <c r="AU23" s="122"/>
    </row>
    <row r="24" spans="1:47" s="62" customFormat="1" ht="18" customHeight="1" x14ac:dyDescent="0.25">
      <c r="A24" s="639"/>
      <c r="B24" s="985"/>
      <c r="C24" s="692" t="s">
        <v>351</v>
      </c>
      <c r="D24" s="690"/>
      <c r="E24" s="691"/>
      <c r="F24" s="690"/>
      <c r="G24" s="691"/>
      <c r="H24" s="690"/>
      <c r="I24" s="691"/>
      <c r="J24" s="690"/>
      <c r="K24" s="691"/>
      <c r="L24" s="690"/>
      <c r="M24" s="691"/>
      <c r="N24" s="690"/>
      <c r="O24" s="691"/>
      <c r="P24" s="690"/>
      <c r="Q24" s="691"/>
      <c r="R24" s="690" t="s">
        <v>1364</v>
      </c>
      <c r="S24" s="691"/>
      <c r="T24" s="109"/>
      <c r="U24" s="109"/>
      <c r="V24" s="114"/>
      <c r="W24" s="640"/>
      <c r="X24" s="640" t="s">
        <v>1444</v>
      </c>
      <c r="Y24" s="640"/>
      <c r="Z24" s="640"/>
      <c r="AA24" s="640"/>
      <c r="AB24" s="640"/>
      <c r="AC24" s="640"/>
      <c r="AD24" s="640" t="s">
        <v>1449</v>
      </c>
      <c r="AE24" s="640"/>
      <c r="AF24" s="640"/>
      <c r="AG24" s="640"/>
      <c r="AH24" s="640"/>
      <c r="AI24" s="640"/>
      <c r="AJ24" s="640"/>
      <c r="AK24" s="640"/>
      <c r="AL24" s="640"/>
      <c r="AM24" s="640"/>
      <c r="AN24" s="640"/>
      <c r="AO24" s="122"/>
      <c r="AP24" s="122"/>
      <c r="AQ24" s="122"/>
      <c r="AR24" s="122"/>
      <c r="AS24" s="122"/>
      <c r="AT24" s="122"/>
      <c r="AU24" s="122"/>
    </row>
    <row r="25" spans="1:47" s="62" customFormat="1" ht="18" customHeight="1" x14ac:dyDescent="0.25">
      <c r="A25" s="639"/>
      <c r="B25" s="113"/>
      <c r="C25" s="761" t="s">
        <v>185</v>
      </c>
      <c r="D25" s="974" t="s">
        <v>1367</v>
      </c>
      <c r="E25" s="975"/>
      <c r="F25" s="974" t="s">
        <v>1368</v>
      </c>
      <c r="G25" s="975"/>
      <c r="H25" s="974" t="s">
        <v>1369</v>
      </c>
      <c r="I25" s="975"/>
      <c r="J25" s="974" t="s">
        <v>1370</v>
      </c>
      <c r="K25" s="975"/>
      <c r="L25" s="974" t="s">
        <v>1371</v>
      </c>
      <c r="M25" s="975"/>
      <c r="N25" s="974" t="s">
        <v>1372</v>
      </c>
      <c r="O25" s="975"/>
      <c r="P25" s="974" t="s">
        <v>1373</v>
      </c>
      <c r="Q25" s="975"/>
      <c r="R25" s="974" t="s">
        <v>1374</v>
      </c>
      <c r="S25" s="975"/>
      <c r="T25" s="109"/>
      <c r="U25" s="109"/>
      <c r="V25" s="114"/>
      <c r="W25" s="640"/>
      <c r="X25" s="640" t="s">
        <v>1444</v>
      </c>
      <c r="Y25" s="640"/>
      <c r="Z25" s="640"/>
      <c r="AA25" s="640"/>
      <c r="AB25" s="640"/>
      <c r="AC25" s="640"/>
      <c r="AD25" s="640" t="s">
        <v>1450</v>
      </c>
      <c r="AE25" s="640"/>
      <c r="AF25" s="640"/>
      <c r="AG25" s="640"/>
      <c r="AH25" s="640"/>
      <c r="AI25" s="640"/>
      <c r="AJ25" s="640"/>
      <c r="AK25" s="640"/>
      <c r="AL25" s="640"/>
      <c r="AM25" s="640"/>
      <c r="AN25" s="640"/>
      <c r="AO25" s="122"/>
      <c r="AP25" s="122"/>
      <c r="AQ25" s="122"/>
      <c r="AR25" s="122"/>
      <c r="AS25" s="122"/>
      <c r="AT25" s="122"/>
      <c r="AU25" s="122"/>
    </row>
    <row r="26" spans="1:47" s="62" customFormat="1" ht="18" customHeight="1" x14ac:dyDescent="0.25">
      <c r="A26" s="639"/>
      <c r="B26" s="113"/>
      <c r="C26" s="760"/>
      <c r="D26" s="980">
        <v>45127</v>
      </c>
      <c r="E26" s="981"/>
      <c r="F26" s="980">
        <v>45128</v>
      </c>
      <c r="G26" s="981"/>
      <c r="H26" s="980">
        <v>45129</v>
      </c>
      <c r="I26" s="981"/>
      <c r="J26" s="980">
        <v>45130</v>
      </c>
      <c r="K26" s="981"/>
      <c r="L26" s="980">
        <v>45131</v>
      </c>
      <c r="M26" s="981"/>
      <c r="N26" s="980">
        <v>45132</v>
      </c>
      <c r="O26" s="981"/>
      <c r="P26" s="980">
        <v>45133</v>
      </c>
      <c r="Q26" s="981"/>
      <c r="R26" s="982"/>
      <c r="S26" s="981"/>
      <c r="T26" s="109"/>
      <c r="U26" s="109"/>
      <c r="V26" s="114"/>
      <c r="W26" s="640"/>
      <c r="X26" s="640" t="s">
        <v>1444</v>
      </c>
      <c r="Y26" s="640"/>
      <c r="Z26" s="640"/>
      <c r="AA26" s="640"/>
      <c r="AB26" s="640"/>
      <c r="AC26" s="640"/>
      <c r="AD26" s="640" t="s">
        <v>1451</v>
      </c>
      <c r="AE26" s="640"/>
      <c r="AF26" s="640"/>
      <c r="AG26" s="640"/>
      <c r="AH26" s="640"/>
      <c r="AI26" s="640"/>
      <c r="AJ26" s="640"/>
      <c r="AK26" s="640"/>
      <c r="AL26" s="640"/>
      <c r="AM26" s="640"/>
      <c r="AN26" s="640"/>
      <c r="AO26" s="122"/>
      <c r="AP26" s="122"/>
      <c r="AQ26" s="122"/>
      <c r="AR26" s="122"/>
      <c r="AS26" s="122"/>
      <c r="AT26" s="122"/>
      <c r="AU26" s="122"/>
    </row>
    <row r="27" spans="1:47" ht="17.25" customHeight="1" x14ac:dyDescent="0.25">
      <c r="A27" s="636"/>
      <c r="B27" s="115"/>
      <c r="C27" s="761" t="s">
        <v>1394</v>
      </c>
      <c r="D27" s="974" t="s">
        <v>1367</v>
      </c>
      <c r="E27" s="975"/>
      <c r="F27" s="974" t="s">
        <v>1368</v>
      </c>
      <c r="G27" s="975"/>
      <c r="H27" s="974" t="s">
        <v>1369</v>
      </c>
      <c r="I27" s="975"/>
      <c r="J27" s="974" t="s">
        <v>1370</v>
      </c>
      <c r="K27" s="975"/>
      <c r="L27" s="974" t="s">
        <v>1371</v>
      </c>
      <c r="M27" s="975"/>
      <c r="N27" s="974" t="s">
        <v>1372</v>
      </c>
      <c r="O27" s="975"/>
      <c r="P27" s="974" t="s">
        <v>1373</v>
      </c>
      <c r="Q27" s="975"/>
      <c r="R27" s="974"/>
      <c r="S27" s="975"/>
      <c r="T27" s="116"/>
      <c r="U27" s="116"/>
      <c r="V27" s="117"/>
      <c r="W27" s="640"/>
      <c r="X27" s="640" t="s">
        <v>1401</v>
      </c>
      <c r="Y27" s="640"/>
      <c r="Z27" s="640"/>
      <c r="AA27" s="640"/>
      <c r="AB27" s="640"/>
      <c r="AC27" s="640"/>
      <c r="AD27" s="640" t="s">
        <v>1497</v>
      </c>
      <c r="AE27" s="640"/>
      <c r="AF27" s="640"/>
      <c r="AG27" s="640"/>
      <c r="AH27" s="640"/>
      <c r="AI27" s="640"/>
      <c r="AJ27" s="640"/>
      <c r="AK27" s="640"/>
      <c r="AL27" s="640"/>
      <c r="AM27" s="640"/>
      <c r="AN27" s="640"/>
      <c r="AO27" s="121"/>
      <c r="AP27" s="121"/>
      <c r="AQ27" s="121"/>
      <c r="AR27" s="121"/>
      <c r="AS27" s="121"/>
      <c r="AT27" s="121"/>
      <c r="AU27" s="121"/>
    </row>
    <row r="28" spans="1:47" ht="18" customHeight="1" x14ac:dyDescent="0.25">
      <c r="A28" s="636"/>
      <c r="B28" s="115"/>
      <c r="C28" s="760"/>
      <c r="D28" s="977">
        <v>45127</v>
      </c>
      <c r="E28" s="991"/>
      <c r="F28" s="977">
        <v>45128</v>
      </c>
      <c r="G28" s="991"/>
      <c r="H28" s="977">
        <v>45129</v>
      </c>
      <c r="I28" s="991"/>
      <c r="J28" s="977">
        <v>45130</v>
      </c>
      <c r="K28" s="991"/>
      <c r="L28" s="977">
        <v>45131</v>
      </c>
      <c r="M28" s="991"/>
      <c r="N28" s="977">
        <v>45132</v>
      </c>
      <c r="O28" s="991"/>
      <c r="P28" s="977">
        <v>45133</v>
      </c>
      <c r="Q28" s="991"/>
      <c r="R28" s="977">
        <v>45127</v>
      </c>
      <c r="S28" s="991"/>
      <c r="T28" s="116"/>
      <c r="U28" s="116"/>
      <c r="V28" s="117"/>
      <c r="W28" s="640"/>
      <c r="X28" s="640" t="s">
        <v>1516</v>
      </c>
      <c r="Y28" s="640"/>
      <c r="Z28" s="640"/>
      <c r="AA28" s="640"/>
      <c r="AB28" s="640"/>
      <c r="AC28" s="640"/>
      <c r="AD28" s="640" t="s">
        <v>1517</v>
      </c>
      <c r="AE28" s="640"/>
      <c r="AF28" s="640"/>
      <c r="AG28" s="640"/>
      <c r="AH28" s="640"/>
      <c r="AI28" s="640"/>
      <c r="AJ28" s="640"/>
      <c r="AK28" s="640"/>
      <c r="AL28" s="640"/>
      <c r="AM28" s="640"/>
      <c r="AN28" s="640"/>
      <c r="AO28" s="121"/>
      <c r="AP28" s="121"/>
      <c r="AQ28" s="121"/>
      <c r="AR28" s="121"/>
      <c r="AS28" s="121"/>
      <c r="AT28" s="121"/>
      <c r="AU28" s="121"/>
    </row>
    <row r="29" spans="1:47" ht="15" customHeight="1" x14ac:dyDescent="0.25">
      <c r="A29" s="636"/>
      <c r="B29" s="115"/>
      <c r="C29" s="693" t="s">
        <v>1396</v>
      </c>
      <c r="D29" s="635"/>
      <c r="E29" s="635"/>
      <c r="F29" s="116"/>
      <c r="G29" s="116"/>
      <c r="H29" s="613"/>
      <c r="I29" s="613"/>
      <c r="J29" s="613"/>
      <c r="P29" s="109"/>
      <c r="Q29" s="116"/>
      <c r="R29" s="116"/>
      <c r="S29" s="116"/>
      <c r="T29" s="116"/>
      <c r="U29" s="116"/>
      <c r="V29" s="117"/>
      <c r="W29" s="640"/>
      <c r="X29" s="640" t="s">
        <v>1522</v>
      </c>
      <c r="Y29" s="640"/>
      <c r="Z29" s="640"/>
      <c r="AA29" s="640"/>
      <c r="AB29" s="640"/>
      <c r="AC29" s="640"/>
      <c r="AD29" s="640" t="s">
        <v>1523</v>
      </c>
      <c r="AE29" s="640"/>
      <c r="AF29" s="640"/>
      <c r="AG29" s="640"/>
      <c r="AH29" s="640"/>
      <c r="AI29" s="640"/>
      <c r="AJ29" s="640"/>
      <c r="AK29" s="640"/>
      <c r="AL29" s="640"/>
      <c r="AM29" s="640"/>
      <c r="AN29" s="640"/>
      <c r="AO29" s="121"/>
      <c r="AP29" s="121"/>
      <c r="AQ29" s="121"/>
      <c r="AR29" s="121"/>
      <c r="AS29" s="121"/>
      <c r="AT29" s="121"/>
      <c r="AU29" s="121"/>
    </row>
    <row r="30" spans="1:47" ht="15" customHeight="1" x14ac:dyDescent="0.3">
      <c r="A30" s="636"/>
      <c r="B30" s="115"/>
      <c r="C30" s="693"/>
      <c r="D30" s="635"/>
      <c r="E30" s="635"/>
      <c r="F30" s="116"/>
      <c r="G30" s="116"/>
      <c r="H30" s="742"/>
      <c r="I30" s="613"/>
      <c r="J30" s="613"/>
      <c r="P30" s="109"/>
      <c r="Q30" s="116"/>
      <c r="R30" s="116"/>
      <c r="S30" s="116"/>
      <c r="T30" s="116"/>
      <c r="U30" s="116"/>
      <c r="V30" s="117"/>
      <c r="W30" s="640"/>
      <c r="X30" s="640" t="s">
        <v>1524</v>
      </c>
      <c r="Y30" s="640"/>
      <c r="Z30" s="640"/>
      <c r="AA30" s="640"/>
      <c r="AB30" s="640"/>
      <c r="AC30" s="640"/>
      <c r="AD30" s="640" t="s">
        <v>1525</v>
      </c>
      <c r="AE30" s="640"/>
      <c r="AF30" s="640"/>
      <c r="AG30" s="640"/>
      <c r="AH30" s="640"/>
      <c r="AI30" s="640"/>
      <c r="AJ30" s="640"/>
      <c r="AK30" s="640"/>
      <c r="AL30" s="640"/>
      <c r="AM30" s="640"/>
      <c r="AN30" s="640"/>
      <c r="AO30" s="121"/>
      <c r="AP30" s="121"/>
      <c r="AQ30" s="121"/>
      <c r="AR30" s="121"/>
      <c r="AS30" s="121"/>
      <c r="AT30" s="121"/>
      <c r="AU30" s="121"/>
    </row>
    <row r="31" spans="1:47" ht="15" customHeight="1" x14ac:dyDescent="0.25">
      <c r="A31" s="636"/>
      <c r="B31" s="115"/>
      <c r="C31" s="761" t="s">
        <v>1395</v>
      </c>
      <c r="D31" s="974" t="s">
        <v>1367</v>
      </c>
      <c r="E31" s="975"/>
      <c r="F31" s="974" t="s">
        <v>1368</v>
      </c>
      <c r="G31" s="975"/>
      <c r="H31" s="974" t="s">
        <v>1369</v>
      </c>
      <c r="I31" s="975"/>
      <c r="J31" s="974" t="s">
        <v>1370</v>
      </c>
      <c r="K31" s="975"/>
      <c r="L31" s="974" t="s">
        <v>1371</v>
      </c>
      <c r="M31" s="975"/>
      <c r="N31" s="974" t="s">
        <v>1372</v>
      </c>
      <c r="O31" s="975"/>
      <c r="P31" s="974" t="s">
        <v>1373</v>
      </c>
      <c r="Q31" s="975"/>
      <c r="R31" s="974"/>
      <c r="S31" s="975"/>
      <c r="T31" s="116"/>
      <c r="U31" s="116"/>
      <c r="V31" s="117"/>
      <c r="W31" s="640"/>
      <c r="X31" s="640" t="s">
        <v>1526</v>
      </c>
      <c r="Y31" s="640"/>
      <c r="Z31" s="640"/>
      <c r="AA31" s="640"/>
      <c r="AB31" s="640"/>
      <c r="AC31" s="640"/>
      <c r="AD31" s="640" t="s">
        <v>1527</v>
      </c>
      <c r="AE31" s="640"/>
      <c r="AF31" s="640"/>
      <c r="AG31" s="640"/>
      <c r="AH31" s="640"/>
      <c r="AI31" s="640"/>
      <c r="AJ31" s="640"/>
      <c r="AK31" s="640"/>
      <c r="AL31" s="640"/>
      <c r="AM31" s="640"/>
      <c r="AN31" s="640"/>
      <c r="AO31" s="121"/>
      <c r="AP31" s="121"/>
      <c r="AQ31" s="121"/>
      <c r="AR31" s="121"/>
      <c r="AS31" s="121"/>
      <c r="AT31" s="121"/>
      <c r="AU31" s="121"/>
    </row>
    <row r="32" spans="1:47" ht="15" customHeight="1" x14ac:dyDescent="0.25">
      <c r="A32" s="636"/>
      <c r="B32" s="115"/>
      <c r="C32" s="760"/>
      <c r="D32" s="977"/>
      <c r="E32" s="978"/>
      <c r="F32" s="977"/>
      <c r="G32" s="978"/>
      <c r="H32" s="977"/>
      <c r="I32" s="978"/>
      <c r="J32" s="977"/>
      <c r="K32" s="978"/>
      <c r="L32" s="977"/>
      <c r="M32" s="978"/>
      <c r="N32" s="977"/>
      <c r="O32" s="978"/>
      <c r="P32" s="977"/>
      <c r="Q32" s="978"/>
      <c r="R32" s="977"/>
      <c r="S32" s="978"/>
      <c r="T32" s="116"/>
      <c r="U32" s="116"/>
      <c r="V32" s="117"/>
      <c r="W32" s="640"/>
      <c r="X32" s="640" t="s">
        <v>1526</v>
      </c>
      <c r="Y32" s="640"/>
      <c r="Z32" s="640"/>
      <c r="AA32" s="640"/>
      <c r="AB32" s="640"/>
      <c r="AC32" s="640"/>
      <c r="AD32" s="640" t="s">
        <v>1528</v>
      </c>
      <c r="AE32" s="640"/>
      <c r="AF32" s="640"/>
      <c r="AG32" s="640"/>
      <c r="AH32" s="640"/>
      <c r="AI32" s="640"/>
      <c r="AJ32" s="640"/>
      <c r="AK32" s="640"/>
      <c r="AL32" s="640"/>
      <c r="AM32" s="640"/>
      <c r="AN32" s="640"/>
      <c r="AO32" s="121"/>
      <c r="AP32" s="121"/>
      <c r="AQ32" s="121"/>
      <c r="AR32" s="121"/>
      <c r="AS32" s="121"/>
      <c r="AT32" s="121"/>
      <c r="AU32" s="121"/>
    </row>
    <row r="33" spans="1:47" ht="15" customHeight="1" x14ac:dyDescent="0.25">
      <c r="A33" s="636"/>
      <c r="B33" s="115"/>
      <c r="C33" s="693" t="s">
        <v>187</v>
      </c>
      <c r="D33" s="116"/>
      <c r="E33" s="130"/>
      <c r="F33" s="116"/>
      <c r="G33" s="116"/>
      <c r="P33" s="750"/>
      <c r="Q33" s="750"/>
      <c r="R33" s="750"/>
      <c r="S33" s="750"/>
      <c r="T33" s="116"/>
      <c r="U33" s="116"/>
      <c r="V33" s="117"/>
      <c r="W33" s="640"/>
      <c r="X33" s="640" t="s">
        <v>1526</v>
      </c>
      <c r="Y33" s="640"/>
      <c r="Z33" s="640"/>
      <c r="AA33" s="640"/>
      <c r="AB33" s="640"/>
      <c r="AC33" s="640"/>
      <c r="AD33" s="640" t="s">
        <v>1529</v>
      </c>
      <c r="AE33" s="640"/>
      <c r="AF33" s="640"/>
      <c r="AG33" s="640"/>
      <c r="AH33" s="640"/>
      <c r="AI33" s="640"/>
      <c r="AJ33" s="640"/>
      <c r="AK33" s="640"/>
      <c r="AL33" s="640"/>
      <c r="AM33" s="640"/>
      <c r="AN33" s="640"/>
      <c r="AO33" s="121"/>
      <c r="AP33" s="121"/>
      <c r="AQ33" s="121"/>
      <c r="AR33" s="121"/>
      <c r="AS33" s="121"/>
      <c r="AT33" s="121"/>
      <c r="AU33" s="121"/>
    </row>
    <row r="34" spans="1:47" ht="15" customHeight="1" x14ac:dyDescent="0.25">
      <c r="A34" s="636"/>
      <c r="B34" s="115"/>
      <c r="C34" s="612"/>
      <c r="D34" s="644"/>
      <c r="E34" s="644"/>
      <c r="F34" s="635"/>
      <c r="G34" s="116"/>
      <c r="P34" s="750"/>
      <c r="Q34" s="750"/>
      <c r="R34" s="750"/>
      <c r="S34" s="750"/>
      <c r="T34" s="116"/>
      <c r="U34" s="116"/>
      <c r="V34" s="117"/>
      <c r="W34" s="640"/>
      <c r="X34" s="640" t="s">
        <v>1526</v>
      </c>
      <c r="Y34" s="640"/>
      <c r="Z34" s="640"/>
      <c r="AA34" s="640"/>
      <c r="AB34" s="640"/>
      <c r="AC34" s="640"/>
      <c r="AD34" s="640" t="s">
        <v>1530</v>
      </c>
      <c r="AE34" s="640"/>
      <c r="AF34" s="640"/>
      <c r="AG34" s="640"/>
      <c r="AH34" s="640"/>
      <c r="AI34" s="640"/>
      <c r="AJ34" s="640"/>
      <c r="AK34" s="640"/>
      <c r="AL34" s="640"/>
      <c r="AM34" s="640"/>
      <c r="AN34" s="640"/>
      <c r="AO34" s="121"/>
      <c r="AP34" s="121"/>
      <c r="AQ34" s="121"/>
      <c r="AR34" s="121"/>
      <c r="AS34" s="121"/>
      <c r="AT34" s="121"/>
      <c r="AU34" s="121"/>
    </row>
    <row r="35" spans="1:47" ht="15" customHeight="1" x14ac:dyDescent="0.3">
      <c r="A35" s="636"/>
      <c r="B35" s="115"/>
      <c r="C35" s="613" t="s">
        <v>91</v>
      </c>
      <c r="D35" s="613"/>
      <c r="E35" s="751" t="s">
        <v>408</v>
      </c>
      <c r="F35" s="752"/>
      <c r="G35" s="752"/>
      <c r="H35" s="753"/>
      <c r="I35" s="255">
        <f>MIN('Лист3 учет'!$B:$B)</f>
        <v>45078</v>
      </c>
      <c r="J35" s="255">
        <f>MAX('Лист3 учет'!$B:$B)</f>
        <v>45140</v>
      </c>
      <c r="L35" s="750"/>
      <c r="M35" s="750"/>
      <c r="N35" s="750"/>
      <c r="O35" s="750"/>
      <c r="P35" s="976" t="s">
        <v>1301</v>
      </c>
      <c r="Q35" s="976"/>
      <c r="R35" s="976"/>
      <c r="S35" s="976"/>
      <c r="T35" s="116"/>
      <c r="U35" s="116"/>
      <c r="V35" s="117"/>
      <c r="W35" s="640"/>
      <c r="X35" s="640" t="s">
        <v>1526</v>
      </c>
      <c r="Y35" s="640"/>
      <c r="Z35" s="640"/>
      <c r="AA35" s="640"/>
      <c r="AB35" s="640"/>
      <c r="AC35" s="640"/>
      <c r="AD35" s="640" t="s">
        <v>1531</v>
      </c>
      <c r="AE35" s="640"/>
      <c r="AF35" s="640"/>
      <c r="AG35" s="640"/>
      <c r="AH35" s="640"/>
      <c r="AI35" s="640"/>
      <c r="AJ35" s="640"/>
      <c r="AK35" s="640"/>
      <c r="AL35" s="640"/>
      <c r="AM35" s="640"/>
      <c r="AN35" s="640"/>
      <c r="AO35" s="121"/>
      <c r="AP35" s="121"/>
      <c r="AQ35" s="121"/>
      <c r="AR35" s="121"/>
      <c r="AS35" s="121"/>
      <c r="AT35" s="121"/>
      <c r="AU35" s="121"/>
    </row>
    <row r="36" spans="1:47" ht="15.75" customHeight="1" x14ac:dyDescent="0.3">
      <c r="A36" s="636"/>
      <c r="B36" s="115"/>
      <c r="C36" s="742"/>
      <c r="D36" s="613"/>
      <c r="E36" s="751" t="s">
        <v>1276</v>
      </c>
      <c r="F36" s="752"/>
      <c r="G36" s="752"/>
      <c r="H36" s="753"/>
      <c r="I36" s="988">
        <f>MAX(IF('Лист3 учет'!$L:$L&gt;0,'Лист3 учет'!$B:$B,'Лист3 учет'!$E:$E))</f>
        <v>45140</v>
      </c>
      <c r="J36" s="989"/>
      <c r="L36" s="750"/>
      <c r="M36" s="750"/>
      <c r="N36" s="750"/>
      <c r="O36" s="750"/>
      <c r="P36" s="976"/>
      <c r="Q36" s="976"/>
      <c r="R36" s="976"/>
      <c r="S36" s="976"/>
      <c r="T36" s="116"/>
      <c r="U36" s="116"/>
      <c r="V36" s="117"/>
      <c r="W36" s="640"/>
      <c r="X36" s="640" t="s">
        <v>1403</v>
      </c>
      <c r="Y36" s="640"/>
      <c r="Z36" s="640"/>
      <c r="AA36" s="640"/>
      <c r="AB36" s="640"/>
      <c r="AC36" s="640"/>
      <c r="AD36" s="640" t="s">
        <v>1532</v>
      </c>
      <c r="AE36" s="640"/>
      <c r="AF36" s="640"/>
      <c r="AG36" s="640"/>
      <c r="AH36" s="640"/>
      <c r="AI36" s="640"/>
      <c r="AJ36" s="640"/>
      <c r="AK36" s="640"/>
      <c r="AL36" s="640"/>
      <c r="AM36" s="640"/>
      <c r="AN36" s="640"/>
      <c r="AO36" s="121"/>
      <c r="AP36" s="121"/>
      <c r="AQ36" s="121"/>
      <c r="AR36" s="121"/>
      <c r="AS36" s="121"/>
      <c r="AT36" s="121"/>
      <c r="AU36" s="121"/>
    </row>
    <row r="37" spans="1:47" ht="18.75" x14ac:dyDescent="0.3">
      <c r="A37" s="636"/>
      <c r="B37" s="115"/>
      <c r="C37" s="742"/>
      <c r="D37" s="613"/>
      <c r="E37" s="751" t="s">
        <v>1277</v>
      </c>
      <c r="F37" s="752"/>
      <c r="G37" s="752"/>
      <c r="H37" s="753"/>
      <c r="I37" s="988">
        <f>MAX(IF('Лист3 учет'!$N:$N,'Лист3 учет'!$B:$B,'Лист3 учет'!$E:$E))</f>
        <v>45140</v>
      </c>
      <c r="J37" s="989"/>
      <c r="K37" s="740"/>
      <c r="L37" s="750"/>
      <c r="M37" s="750"/>
      <c r="N37" s="750"/>
      <c r="O37" s="750"/>
      <c r="P37" s="116"/>
      <c r="Q37" s="116"/>
      <c r="R37" s="116"/>
      <c r="S37" s="116"/>
      <c r="T37" s="116"/>
      <c r="U37" s="116"/>
      <c r="V37" s="117"/>
      <c r="W37" s="640"/>
      <c r="X37" s="640" t="s">
        <v>1403</v>
      </c>
      <c r="Y37" s="640"/>
      <c r="Z37" s="640"/>
      <c r="AA37" s="640"/>
      <c r="AB37" s="640"/>
      <c r="AC37" s="640"/>
      <c r="AD37" s="640" t="s">
        <v>1533</v>
      </c>
      <c r="AE37" s="640"/>
      <c r="AF37" s="640"/>
      <c r="AG37" s="640"/>
      <c r="AH37" s="640"/>
      <c r="AI37" s="640"/>
      <c r="AJ37" s="640"/>
      <c r="AK37" s="640"/>
      <c r="AL37" s="640"/>
      <c r="AM37" s="640"/>
      <c r="AN37" s="640"/>
      <c r="AO37" s="121"/>
      <c r="AP37" s="121"/>
      <c r="AQ37" s="121"/>
      <c r="AR37" s="121"/>
      <c r="AS37" s="121"/>
      <c r="AT37" s="121"/>
      <c r="AU37" s="121"/>
    </row>
    <row r="38" spans="1:47" ht="15.75" x14ac:dyDescent="0.25">
      <c r="A38" s="636"/>
      <c r="B38" s="115"/>
      <c r="C38" s="116"/>
      <c r="D38" s="116"/>
      <c r="E38" s="990" t="s">
        <v>1397</v>
      </c>
      <c r="F38" s="990"/>
      <c r="G38" s="990"/>
      <c r="H38" s="990"/>
      <c r="I38" s="116"/>
      <c r="J38" s="116"/>
      <c r="K38" s="740"/>
      <c r="L38" s="750"/>
      <c r="M38" s="750"/>
      <c r="N38" s="750"/>
      <c r="O38" s="750"/>
      <c r="P38" s="116"/>
      <c r="Q38" s="116"/>
      <c r="R38" s="116"/>
      <c r="S38" s="116"/>
      <c r="T38" s="116"/>
      <c r="U38" s="116"/>
      <c r="V38" s="117"/>
      <c r="W38" s="640"/>
      <c r="X38" s="640" t="s">
        <v>1534</v>
      </c>
      <c r="Y38" s="640"/>
      <c r="Z38" s="640"/>
      <c r="AA38" s="640"/>
      <c r="AB38" s="640"/>
      <c r="AC38" s="640"/>
      <c r="AD38" s="640" t="s">
        <v>1535</v>
      </c>
      <c r="AE38" s="640"/>
      <c r="AF38" s="640"/>
      <c r="AG38" s="640"/>
      <c r="AH38" s="640"/>
      <c r="AI38" s="640"/>
      <c r="AJ38" s="640"/>
      <c r="AK38" s="640"/>
      <c r="AL38" s="640"/>
      <c r="AM38" s="640"/>
      <c r="AN38" s="640"/>
      <c r="AO38" s="121"/>
      <c r="AP38" s="121"/>
      <c r="AQ38" s="121"/>
      <c r="AR38" s="121"/>
      <c r="AS38" s="121"/>
      <c r="AT38" s="121"/>
      <c r="AU38" s="121"/>
    </row>
    <row r="39" spans="1:47" ht="15.75" x14ac:dyDescent="0.25">
      <c r="A39" s="636"/>
      <c r="B39" s="115"/>
      <c r="C39" s="116"/>
      <c r="D39" s="116"/>
      <c r="E39" s="990"/>
      <c r="F39" s="990"/>
      <c r="G39" s="990"/>
      <c r="H39" s="990"/>
      <c r="I39" s="255">
        <v>45108</v>
      </c>
      <c r="J39" s="255">
        <v>45132</v>
      </c>
      <c r="K39" s="740"/>
      <c r="L39" s="740"/>
      <c r="M39" s="740"/>
      <c r="N39" s="740"/>
      <c r="O39" s="116"/>
      <c r="P39" s="116"/>
      <c r="Q39" s="116"/>
      <c r="R39" s="116"/>
      <c r="S39" s="116"/>
      <c r="T39" s="116"/>
      <c r="U39" s="116"/>
      <c r="V39" s="117"/>
      <c r="W39" s="640"/>
      <c r="X39" s="640" t="s">
        <v>1536</v>
      </c>
      <c r="Y39" s="640"/>
      <c r="Z39" s="640"/>
      <c r="AA39" s="640"/>
      <c r="AB39" s="640"/>
      <c r="AC39" s="640"/>
      <c r="AD39" s="640" t="s">
        <v>1537</v>
      </c>
      <c r="AE39" s="640"/>
      <c r="AF39" s="640"/>
      <c r="AG39" s="640"/>
      <c r="AH39" s="640"/>
      <c r="AI39" s="640"/>
      <c r="AJ39" s="640"/>
      <c r="AK39" s="640"/>
      <c r="AL39" s="640"/>
      <c r="AM39" s="640"/>
      <c r="AN39" s="640"/>
      <c r="AO39" s="121"/>
      <c r="AP39" s="121"/>
      <c r="AQ39" s="121"/>
      <c r="AR39" s="121"/>
      <c r="AS39" s="121"/>
      <c r="AT39" s="121"/>
      <c r="AU39" s="121"/>
    </row>
    <row r="40" spans="1:47" ht="15.75" x14ac:dyDescent="0.25">
      <c r="A40" s="636"/>
      <c r="B40" s="115"/>
      <c r="C40" s="116"/>
      <c r="D40" s="116"/>
      <c r="E40" s="130"/>
      <c r="F40" s="116"/>
      <c r="G40" s="116"/>
      <c r="H40" s="116"/>
      <c r="I40" s="116"/>
      <c r="J40" s="116"/>
      <c r="K40" s="740"/>
      <c r="L40" s="740"/>
      <c r="M40" s="740"/>
      <c r="N40" s="740"/>
      <c r="O40" s="116"/>
      <c r="P40" s="116"/>
      <c r="Q40" s="116"/>
      <c r="R40" s="116"/>
      <c r="S40" s="116"/>
      <c r="T40" s="116"/>
      <c r="U40" s="116"/>
      <c r="V40" s="117"/>
      <c r="W40" s="640"/>
      <c r="X40" s="640" t="s">
        <v>1539</v>
      </c>
      <c r="Y40" s="640"/>
      <c r="Z40" s="640"/>
      <c r="AA40" s="640"/>
      <c r="AB40" s="640"/>
      <c r="AC40" s="640"/>
      <c r="AD40" s="640" t="s">
        <v>1540</v>
      </c>
      <c r="AE40" s="640"/>
      <c r="AF40" s="640"/>
      <c r="AG40" s="640"/>
      <c r="AH40" s="640"/>
      <c r="AI40" s="640"/>
      <c r="AJ40" s="640"/>
      <c r="AK40" s="640"/>
      <c r="AL40" s="640"/>
      <c r="AM40" s="640"/>
      <c r="AN40" s="640"/>
      <c r="AO40" s="121"/>
      <c r="AP40" s="121"/>
      <c r="AQ40" s="121"/>
      <c r="AR40" s="121"/>
      <c r="AS40" s="121"/>
      <c r="AT40" s="121"/>
      <c r="AU40" s="121"/>
    </row>
    <row r="41" spans="1:47" ht="15.75" x14ac:dyDescent="0.25">
      <c r="A41" s="636"/>
      <c r="B41" s="115"/>
      <c r="C41" s="116"/>
      <c r="D41" s="116"/>
      <c r="E41" s="130"/>
      <c r="F41" s="116"/>
      <c r="G41" s="116"/>
      <c r="H41" s="116"/>
      <c r="I41" s="116"/>
      <c r="J41" s="116"/>
      <c r="K41" s="116"/>
      <c r="L41" s="116"/>
      <c r="M41" s="659"/>
      <c r="N41" s="116"/>
      <c r="O41" s="116"/>
      <c r="P41" s="116"/>
      <c r="Q41" s="116"/>
      <c r="R41" s="116"/>
      <c r="S41" s="116"/>
      <c r="T41" s="116"/>
      <c r="U41" s="116"/>
      <c r="V41" s="117"/>
      <c r="W41" s="640"/>
      <c r="X41" s="640" t="s">
        <v>1539</v>
      </c>
      <c r="Y41" s="640"/>
      <c r="Z41" s="640"/>
      <c r="AA41" s="640"/>
      <c r="AB41" s="640"/>
      <c r="AC41" s="640"/>
      <c r="AD41" s="640" t="s">
        <v>1541</v>
      </c>
      <c r="AE41" s="640"/>
      <c r="AF41" s="640"/>
      <c r="AG41" s="640"/>
      <c r="AH41" s="640"/>
      <c r="AI41" s="640"/>
      <c r="AJ41" s="640"/>
      <c r="AK41" s="640"/>
      <c r="AL41" s="640"/>
      <c r="AM41" s="640"/>
      <c r="AN41" s="640"/>
      <c r="AO41" s="121"/>
      <c r="AP41" s="121"/>
      <c r="AQ41" s="121"/>
      <c r="AR41" s="121"/>
      <c r="AS41" s="121"/>
      <c r="AT41" s="121"/>
      <c r="AU41" s="121"/>
    </row>
    <row r="42" spans="1:47" ht="15.75" x14ac:dyDescent="0.25">
      <c r="A42" s="636"/>
      <c r="B42" s="115"/>
      <c r="C42" s="659" t="s">
        <v>1291</v>
      </c>
      <c r="D42" s="116"/>
      <c r="E42" s="130"/>
      <c r="F42" s="116"/>
      <c r="G42" s="116"/>
      <c r="H42" s="116"/>
      <c r="I42" s="116"/>
      <c r="J42" s="116"/>
      <c r="K42" s="116"/>
      <c r="L42" s="116"/>
      <c r="M42" s="659"/>
      <c r="N42" s="116"/>
      <c r="O42" s="116"/>
      <c r="P42" s="116"/>
      <c r="Q42" s="116"/>
      <c r="R42" s="116"/>
      <c r="S42" s="116"/>
      <c r="T42" s="116"/>
      <c r="U42" s="116"/>
      <c r="V42" s="117"/>
      <c r="W42" s="640"/>
      <c r="X42" s="640" t="s">
        <v>1539</v>
      </c>
      <c r="Y42" s="640"/>
      <c r="Z42" s="640"/>
      <c r="AA42" s="640"/>
      <c r="AB42" s="640"/>
      <c r="AC42" s="640"/>
      <c r="AD42" s="640" t="s">
        <v>1542</v>
      </c>
      <c r="AE42" s="640"/>
      <c r="AF42" s="640"/>
      <c r="AG42" s="640"/>
      <c r="AH42" s="640"/>
      <c r="AI42" s="640"/>
      <c r="AJ42" s="640"/>
      <c r="AK42" s="640"/>
      <c r="AL42" s="640"/>
      <c r="AM42" s="640"/>
      <c r="AN42" s="640"/>
      <c r="AO42" s="121"/>
      <c r="AP42" s="121"/>
      <c r="AQ42" s="121"/>
      <c r="AR42" s="121"/>
      <c r="AS42" s="121"/>
      <c r="AT42" s="121"/>
      <c r="AU42" s="121"/>
    </row>
    <row r="43" spans="1:47" ht="15.75" x14ac:dyDescent="0.25">
      <c r="A43" s="636"/>
      <c r="B43" s="115"/>
      <c r="C43" s="645">
        <v>1</v>
      </c>
      <c r="D43" s="116" t="s">
        <v>1278</v>
      </c>
      <c r="E43" s="130"/>
      <c r="F43" s="116"/>
      <c r="G43" s="116"/>
      <c r="H43" s="116" t="s">
        <v>1281</v>
      </c>
      <c r="I43" s="116"/>
      <c r="J43" s="116"/>
      <c r="K43" s="116"/>
      <c r="L43" s="116"/>
      <c r="M43" s="659" t="s">
        <v>1292</v>
      </c>
      <c r="N43" s="116"/>
      <c r="O43" s="130"/>
      <c r="P43" s="116"/>
      <c r="Q43" s="116"/>
      <c r="R43" s="116"/>
      <c r="S43" s="116"/>
      <c r="T43" s="116"/>
      <c r="U43" s="116"/>
      <c r="V43" s="117"/>
      <c r="W43" s="640"/>
      <c r="X43" s="640" t="s">
        <v>1539</v>
      </c>
      <c r="Y43" s="640"/>
      <c r="Z43" s="640"/>
      <c r="AA43" s="640"/>
      <c r="AB43" s="640"/>
      <c r="AC43" s="640"/>
      <c r="AD43" s="640" t="s">
        <v>1543</v>
      </c>
      <c r="AE43" s="640"/>
      <c r="AF43" s="640"/>
      <c r="AG43" s="640"/>
      <c r="AH43" s="640"/>
      <c r="AI43" s="640"/>
      <c r="AJ43" s="640"/>
      <c r="AK43" s="640"/>
      <c r="AL43" s="640"/>
      <c r="AM43" s="640"/>
      <c r="AN43" s="640"/>
      <c r="AO43" s="121"/>
      <c r="AP43" s="121"/>
      <c r="AQ43" s="121"/>
      <c r="AR43" s="121"/>
      <c r="AS43" s="121"/>
      <c r="AT43" s="121"/>
      <c r="AU43" s="121"/>
    </row>
    <row r="44" spans="1:47" ht="15.75" x14ac:dyDescent="0.25">
      <c r="A44" s="636"/>
      <c r="B44" s="115"/>
      <c r="C44" s="645">
        <v>2</v>
      </c>
      <c r="D44" s="116" t="s">
        <v>1409</v>
      </c>
      <c r="E44" s="130"/>
      <c r="F44" s="116"/>
      <c r="G44" s="116"/>
      <c r="H44" s="116"/>
      <c r="I44" s="116"/>
      <c r="J44" s="116"/>
      <c r="K44" s="116"/>
      <c r="L44" s="116"/>
      <c r="M44" s="646" t="s">
        <v>1293</v>
      </c>
      <c r="N44" s="214" t="s">
        <v>1282</v>
      </c>
      <c r="O44" s="116"/>
      <c r="P44" s="116"/>
      <c r="Q44" s="116"/>
      <c r="R44" s="116"/>
      <c r="S44" s="116"/>
      <c r="T44" s="116"/>
      <c r="U44" s="116"/>
      <c r="V44" s="117"/>
      <c r="W44" s="640"/>
      <c r="X44" s="640" t="s">
        <v>1539</v>
      </c>
      <c r="Y44" s="640"/>
      <c r="Z44" s="640"/>
      <c r="AA44" s="640"/>
      <c r="AB44" s="640"/>
      <c r="AC44" s="640"/>
      <c r="AD44" s="640" t="s">
        <v>1544</v>
      </c>
      <c r="AE44" s="640"/>
      <c r="AF44" s="640"/>
      <c r="AG44" s="640"/>
      <c r="AH44" s="640"/>
      <c r="AI44" s="640"/>
      <c r="AJ44" s="640"/>
      <c r="AK44" s="640"/>
      <c r="AL44" s="640"/>
      <c r="AM44" s="640"/>
      <c r="AN44" s="640"/>
      <c r="AO44" s="121"/>
      <c r="AP44" s="121"/>
      <c r="AQ44" s="121"/>
      <c r="AR44" s="121"/>
      <c r="AS44" s="121"/>
      <c r="AT44" s="121"/>
      <c r="AU44" s="121"/>
    </row>
    <row r="45" spans="1:47" ht="15.75" x14ac:dyDescent="0.25">
      <c r="A45" s="636"/>
      <c r="B45" s="115"/>
      <c r="C45" s="645">
        <v>3</v>
      </c>
      <c r="D45" s="116" t="s">
        <v>1279</v>
      </c>
      <c r="E45" s="130"/>
      <c r="F45" s="116"/>
      <c r="G45" s="116"/>
      <c r="H45" s="116"/>
      <c r="I45" s="116" t="s">
        <v>1410</v>
      </c>
      <c r="J45" s="116"/>
      <c r="K45" s="116"/>
      <c r="L45" s="116"/>
      <c r="M45" s="116">
        <v>2</v>
      </c>
      <c r="N45" s="116" t="s">
        <v>1304</v>
      </c>
      <c r="O45" s="116"/>
      <c r="P45" s="116"/>
      <c r="Q45" s="116"/>
      <c r="R45" s="116"/>
      <c r="S45" s="116"/>
      <c r="T45" s="116"/>
      <c r="U45" s="116"/>
      <c r="V45" s="117"/>
      <c r="W45" s="640"/>
      <c r="X45" s="640" t="s">
        <v>1539</v>
      </c>
      <c r="Y45" s="640"/>
      <c r="Z45" s="640"/>
      <c r="AA45" s="640"/>
      <c r="AB45" s="640"/>
      <c r="AC45" s="640"/>
      <c r="AD45" s="640" t="s">
        <v>1545</v>
      </c>
      <c r="AE45" s="640"/>
      <c r="AF45" s="640"/>
      <c r="AG45" s="640"/>
      <c r="AH45" s="640"/>
      <c r="AI45" s="640"/>
      <c r="AJ45" s="640"/>
      <c r="AK45" s="640"/>
      <c r="AL45" s="640"/>
      <c r="AM45" s="640"/>
      <c r="AN45" s="640"/>
      <c r="AO45" s="121"/>
      <c r="AP45" s="121"/>
      <c r="AQ45" s="121"/>
      <c r="AR45" s="121"/>
      <c r="AS45" s="121"/>
      <c r="AT45" s="121"/>
      <c r="AU45" s="121"/>
    </row>
    <row r="46" spans="1:47" ht="15.75" x14ac:dyDescent="0.25">
      <c r="A46" s="636"/>
      <c r="B46" s="115"/>
      <c r="C46" s="646">
        <v>4</v>
      </c>
      <c r="D46" s="214" t="s">
        <v>1280</v>
      </c>
      <c r="E46" s="130"/>
      <c r="F46" s="116"/>
      <c r="G46" s="116"/>
      <c r="H46" s="116"/>
      <c r="I46" s="116" t="s">
        <v>1411</v>
      </c>
      <c r="J46" s="116"/>
      <c r="K46" s="116"/>
      <c r="L46" s="116"/>
      <c r="M46" s="116">
        <v>3</v>
      </c>
      <c r="N46" s="116" t="s">
        <v>1295</v>
      </c>
      <c r="O46" s="116"/>
      <c r="P46" s="116"/>
      <c r="Q46" s="116"/>
      <c r="R46" s="116"/>
      <c r="S46" s="116"/>
      <c r="T46" s="116"/>
      <c r="U46" s="116"/>
      <c r="V46" s="117"/>
      <c r="W46" s="640"/>
      <c r="X46" s="640" t="s">
        <v>1539</v>
      </c>
      <c r="Y46" s="640"/>
      <c r="Z46" s="640"/>
      <c r="AA46" s="640"/>
      <c r="AB46" s="640"/>
      <c r="AC46" s="640"/>
      <c r="AD46" s="640" t="s">
        <v>1546</v>
      </c>
      <c r="AE46" s="640"/>
      <c r="AF46" s="640"/>
      <c r="AG46" s="640"/>
      <c r="AH46" s="640"/>
      <c r="AI46" s="640"/>
      <c r="AJ46" s="640"/>
      <c r="AK46" s="640"/>
      <c r="AL46" s="640"/>
      <c r="AM46" s="640"/>
      <c r="AN46" s="640"/>
      <c r="AO46" s="121"/>
      <c r="AP46" s="121"/>
      <c r="AQ46" s="121"/>
      <c r="AR46" s="121"/>
      <c r="AS46" s="121"/>
      <c r="AT46" s="121"/>
      <c r="AU46" s="121"/>
    </row>
    <row r="47" spans="1:47" ht="15.75" x14ac:dyDescent="0.25">
      <c r="A47" s="636"/>
      <c r="B47" s="115"/>
      <c r="C47" s="646" t="s">
        <v>1294</v>
      </c>
      <c r="D47" s="214" t="s">
        <v>1283</v>
      </c>
      <c r="E47" s="130"/>
      <c r="F47" s="116"/>
      <c r="G47" s="116"/>
      <c r="H47" s="116"/>
      <c r="I47" s="116"/>
      <c r="J47" s="116"/>
      <c r="K47" s="116"/>
      <c r="L47" s="116"/>
      <c r="M47" s="116">
        <v>4</v>
      </c>
      <c r="N47" s="214" t="s">
        <v>1416</v>
      </c>
      <c r="O47" s="116"/>
      <c r="P47" s="116"/>
      <c r="Q47" s="116"/>
      <c r="R47" s="116"/>
      <c r="S47" s="116"/>
      <c r="T47" s="116"/>
      <c r="U47" s="116"/>
      <c r="V47" s="117"/>
      <c r="W47" s="640"/>
      <c r="X47" s="640" t="s">
        <v>1522</v>
      </c>
      <c r="Y47" s="640"/>
      <c r="Z47" s="640"/>
      <c r="AA47" s="640"/>
      <c r="AB47" s="640"/>
      <c r="AC47" s="640"/>
      <c r="AD47" s="640" t="s">
        <v>1547</v>
      </c>
      <c r="AE47" s="640"/>
      <c r="AF47" s="640"/>
      <c r="AG47" s="640"/>
      <c r="AH47" s="640"/>
      <c r="AI47" s="640"/>
      <c r="AJ47" s="640"/>
      <c r="AK47" s="640"/>
      <c r="AL47" s="640"/>
      <c r="AM47" s="640"/>
      <c r="AN47" s="640"/>
      <c r="AO47" s="121"/>
      <c r="AP47" s="121"/>
      <c r="AQ47" s="121"/>
      <c r="AR47" s="121"/>
      <c r="AS47" s="121"/>
      <c r="AT47" s="121"/>
      <c r="AU47" s="121"/>
    </row>
    <row r="48" spans="1:47" x14ac:dyDescent="0.25">
      <c r="A48" s="636"/>
      <c r="B48" s="115"/>
      <c r="C48" s="645"/>
      <c r="D48" s="645" t="s">
        <v>1170</v>
      </c>
      <c r="E48" s="214" t="s">
        <v>1285</v>
      </c>
      <c r="F48" s="116"/>
      <c r="G48" s="116"/>
      <c r="H48" s="116"/>
      <c r="I48" s="116"/>
      <c r="J48" s="116"/>
      <c r="K48" s="116"/>
      <c r="L48" s="116"/>
      <c r="M48" s="214">
        <v>5</v>
      </c>
      <c r="N48" s="214" t="s">
        <v>1296</v>
      </c>
      <c r="O48" s="116"/>
      <c r="P48" s="116"/>
      <c r="Q48" s="116"/>
      <c r="R48" s="116"/>
      <c r="S48" s="116"/>
      <c r="T48" s="116"/>
      <c r="U48" s="116"/>
      <c r="V48" s="117"/>
      <c r="W48" s="640"/>
      <c r="X48" s="640" t="s">
        <v>1526</v>
      </c>
      <c r="Y48" s="640"/>
      <c r="Z48" s="640"/>
      <c r="AA48" s="640"/>
      <c r="AB48" s="640"/>
      <c r="AC48" s="640"/>
      <c r="AD48" s="640" t="s">
        <v>1548</v>
      </c>
      <c r="AE48" s="640"/>
      <c r="AF48" s="640"/>
      <c r="AG48" s="640"/>
      <c r="AH48" s="640"/>
      <c r="AI48" s="640"/>
      <c r="AJ48" s="640"/>
      <c r="AK48" s="640"/>
      <c r="AL48" s="640"/>
      <c r="AM48" s="640"/>
      <c r="AN48" s="640"/>
      <c r="AO48" s="121"/>
      <c r="AP48" s="121"/>
      <c r="AQ48" s="121"/>
      <c r="AR48" s="121"/>
      <c r="AS48" s="121"/>
      <c r="AT48" s="121"/>
      <c r="AU48" s="121"/>
    </row>
    <row r="49" spans="1:47" x14ac:dyDescent="0.25">
      <c r="A49" s="636"/>
      <c r="B49" s="115"/>
      <c r="C49" s="645"/>
      <c r="D49" s="645" t="s">
        <v>1174</v>
      </c>
      <c r="E49" s="214" t="s">
        <v>1412</v>
      </c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7"/>
      <c r="W49" s="640"/>
      <c r="X49" s="640" t="s">
        <v>1524</v>
      </c>
      <c r="Y49" s="640"/>
      <c r="Z49" s="640"/>
      <c r="AA49" s="640"/>
      <c r="AB49" s="640"/>
      <c r="AC49" s="640"/>
      <c r="AD49" s="640" t="s">
        <v>1549</v>
      </c>
      <c r="AE49" s="640"/>
      <c r="AF49" s="640"/>
      <c r="AG49" s="640"/>
      <c r="AH49" s="640"/>
      <c r="AI49" s="640"/>
      <c r="AJ49" s="640"/>
      <c r="AK49" s="640"/>
      <c r="AL49" s="640"/>
      <c r="AM49" s="640"/>
      <c r="AN49" s="640"/>
      <c r="AO49" s="121"/>
      <c r="AP49" s="121"/>
      <c r="AQ49" s="121"/>
      <c r="AR49" s="121"/>
      <c r="AS49" s="121"/>
      <c r="AT49" s="121"/>
      <c r="AU49" s="121"/>
    </row>
    <row r="50" spans="1:47" x14ac:dyDescent="0.25">
      <c r="A50" s="636"/>
      <c r="B50" s="115"/>
      <c r="C50" s="645"/>
      <c r="D50" s="645" t="s">
        <v>1176</v>
      </c>
      <c r="E50" s="214" t="s">
        <v>1284</v>
      </c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7"/>
      <c r="W50" s="640"/>
      <c r="X50" s="640" t="s">
        <v>1526</v>
      </c>
      <c r="Y50" s="640"/>
      <c r="Z50" s="640"/>
      <c r="AA50" s="640"/>
      <c r="AB50" s="640"/>
      <c r="AC50" s="640"/>
      <c r="AD50" s="640" t="s">
        <v>1550</v>
      </c>
      <c r="AE50" s="640"/>
      <c r="AF50" s="640"/>
      <c r="AG50" s="640"/>
      <c r="AH50" s="640"/>
      <c r="AI50" s="640"/>
      <c r="AJ50" s="640"/>
      <c r="AK50" s="640"/>
      <c r="AL50" s="640"/>
      <c r="AM50" s="640"/>
      <c r="AN50" s="640"/>
      <c r="AO50" s="121"/>
      <c r="AP50" s="121"/>
      <c r="AQ50" s="121"/>
      <c r="AR50" s="121"/>
      <c r="AS50" s="121"/>
      <c r="AT50" s="121"/>
      <c r="AU50" s="121"/>
    </row>
    <row r="51" spans="1:47" x14ac:dyDescent="0.25">
      <c r="A51" s="636"/>
      <c r="B51" s="115"/>
      <c r="C51" s="645"/>
      <c r="D51" s="645" t="s">
        <v>1172</v>
      </c>
      <c r="E51" s="214" t="s">
        <v>1300</v>
      </c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7"/>
      <c r="W51" s="640"/>
      <c r="X51" s="640" t="s">
        <v>1534</v>
      </c>
      <c r="Y51" s="640"/>
      <c r="Z51" s="640"/>
      <c r="AA51" s="640"/>
      <c r="AB51" s="640"/>
      <c r="AC51" s="640"/>
      <c r="AD51" s="640" t="s">
        <v>1551</v>
      </c>
      <c r="AE51" s="640"/>
      <c r="AF51" s="640"/>
      <c r="AG51" s="640"/>
      <c r="AH51" s="640"/>
      <c r="AI51" s="640"/>
      <c r="AJ51" s="640"/>
      <c r="AK51" s="640"/>
      <c r="AL51" s="640"/>
      <c r="AM51" s="640"/>
      <c r="AN51" s="640"/>
      <c r="AO51" s="121"/>
      <c r="AP51" s="121"/>
      <c r="AQ51" s="121"/>
      <c r="AR51" s="121"/>
      <c r="AS51" s="121"/>
      <c r="AT51" s="121"/>
      <c r="AU51" s="121"/>
    </row>
    <row r="52" spans="1:47" x14ac:dyDescent="0.25">
      <c r="A52" s="636"/>
      <c r="B52" s="115"/>
      <c r="C52" s="645"/>
      <c r="D52" s="645" t="s">
        <v>1168</v>
      </c>
      <c r="E52" s="214" t="s">
        <v>1413</v>
      </c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7"/>
      <c r="W52" s="640"/>
      <c r="X52" s="640" t="s">
        <v>1401</v>
      </c>
      <c r="Y52" s="640"/>
      <c r="Z52" s="640"/>
      <c r="AA52" s="640"/>
      <c r="AB52" s="640"/>
      <c r="AC52" s="640"/>
      <c r="AD52" s="640" t="s">
        <v>1557</v>
      </c>
      <c r="AE52" s="640"/>
      <c r="AF52" s="640"/>
      <c r="AG52" s="640"/>
      <c r="AH52" s="640"/>
      <c r="AI52" s="640"/>
      <c r="AJ52" s="640"/>
      <c r="AK52" s="640"/>
      <c r="AL52" s="640"/>
      <c r="AM52" s="640"/>
      <c r="AN52" s="640"/>
      <c r="AO52" s="121"/>
      <c r="AP52" s="121"/>
      <c r="AQ52" s="121"/>
      <c r="AR52" s="121"/>
      <c r="AS52" s="121"/>
      <c r="AT52" s="121"/>
      <c r="AU52" s="121"/>
    </row>
    <row r="53" spans="1:47" x14ac:dyDescent="0.25">
      <c r="A53" s="636"/>
      <c r="B53" s="115"/>
      <c r="C53" s="645"/>
      <c r="D53" s="645" t="s">
        <v>1186</v>
      </c>
      <c r="E53" s="214" t="s">
        <v>1414</v>
      </c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7"/>
      <c r="W53" s="640"/>
      <c r="X53" s="640" t="s">
        <v>1401</v>
      </c>
      <c r="Y53" s="640"/>
      <c r="Z53" s="640"/>
      <c r="AA53" s="640"/>
      <c r="AB53" s="640"/>
      <c r="AC53" s="640"/>
      <c r="AD53" s="640" t="s">
        <v>1558</v>
      </c>
      <c r="AE53" s="640"/>
      <c r="AF53" s="640"/>
      <c r="AG53" s="640"/>
      <c r="AH53" s="640"/>
      <c r="AI53" s="640"/>
      <c r="AJ53" s="640"/>
      <c r="AK53" s="640"/>
      <c r="AL53" s="640"/>
      <c r="AM53" s="640"/>
      <c r="AN53" s="640"/>
      <c r="AO53" s="121"/>
      <c r="AP53" s="121"/>
      <c r="AQ53" s="121"/>
      <c r="AR53" s="121"/>
      <c r="AS53" s="121"/>
      <c r="AT53" s="121"/>
      <c r="AU53" s="121"/>
    </row>
    <row r="54" spans="1:47" x14ac:dyDescent="0.25">
      <c r="A54" s="636"/>
      <c r="B54" s="115"/>
      <c r="C54" s="645"/>
      <c r="D54" s="645" t="s">
        <v>1182</v>
      </c>
      <c r="E54" s="214" t="s">
        <v>1415</v>
      </c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7"/>
      <c r="W54" s="640"/>
      <c r="X54" s="640" t="s">
        <v>1401</v>
      </c>
      <c r="Y54" s="640"/>
      <c r="Z54" s="640"/>
      <c r="AA54" s="640"/>
      <c r="AB54" s="640"/>
      <c r="AC54" s="640"/>
      <c r="AD54" s="640" t="s">
        <v>1559</v>
      </c>
      <c r="AE54" s="640"/>
      <c r="AF54" s="640"/>
      <c r="AG54" s="640"/>
      <c r="AH54" s="640"/>
      <c r="AI54" s="640"/>
      <c r="AJ54" s="640"/>
      <c r="AK54" s="640"/>
      <c r="AL54" s="640"/>
      <c r="AM54" s="640"/>
      <c r="AN54" s="640"/>
      <c r="AO54" s="121"/>
      <c r="AP54" s="121"/>
      <c r="AQ54" s="121"/>
      <c r="AR54" s="121"/>
      <c r="AS54" s="121"/>
      <c r="AT54" s="121"/>
      <c r="AU54" s="121"/>
    </row>
    <row r="55" spans="1:47" x14ac:dyDescent="0.25">
      <c r="A55" s="636"/>
      <c r="B55" s="115"/>
      <c r="C55" s="645"/>
      <c r="D55" s="645"/>
      <c r="E55" s="214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7"/>
      <c r="W55" s="640"/>
      <c r="X55" s="640" t="s">
        <v>1403</v>
      </c>
      <c r="Y55" s="640"/>
      <c r="Z55" s="640"/>
      <c r="AA55" s="640"/>
      <c r="AB55" s="640"/>
      <c r="AC55" s="640"/>
      <c r="AD55" s="640" t="s">
        <v>1560</v>
      </c>
      <c r="AE55" s="640"/>
      <c r="AF55" s="640"/>
      <c r="AG55" s="640"/>
      <c r="AH55" s="640"/>
      <c r="AI55" s="640"/>
      <c r="AJ55" s="640"/>
      <c r="AK55" s="640"/>
      <c r="AL55" s="640"/>
      <c r="AM55" s="640"/>
      <c r="AN55" s="640"/>
      <c r="AO55" s="121"/>
      <c r="AP55" s="121"/>
      <c r="AQ55" s="121"/>
      <c r="AR55" s="121"/>
      <c r="AS55" s="121"/>
      <c r="AT55" s="121"/>
      <c r="AU55" s="121"/>
    </row>
    <row r="56" spans="1:47" ht="15.75" thickBot="1" x14ac:dyDescent="0.3">
      <c r="A56" s="636"/>
      <c r="B56" s="118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20"/>
      <c r="W56" s="640"/>
      <c r="X56" s="640" t="s">
        <v>1561</v>
      </c>
      <c r="Y56" s="640"/>
      <c r="Z56" s="640"/>
      <c r="AA56" s="640"/>
      <c r="AB56" s="640"/>
      <c r="AC56" s="640"/>
      <c r="AD56" s="640" t="s">
        <v>1562</v>
      </c>
      <c r="AE56" s="640"/>
      <c r="AF56" s="640"/>
      <c r="AG56" s="640"/>
      <c r="AH56" s="640"/>
      <c r="AI56" s="640"/>
      <c r="AJ56" s="640"/>
      <c r="AK56" s="640"/>
      <c r="AL56" s="640"/>
      <c r="AM56" s="640"/>
      <c r="AN56" s="640"/>
      <c r="AO56" s="121"/>
      <c r="AP56" s="121"/>
      <c r="AQ56" s="121"/>
      <c r="AR56" s="121"/>
      <c r="AS56" s="121"/>
      <c r="AT56" s="121"/>
      <c r="AU56" s="121"/>
    </row>
    <row r="57" spans="1:47" x14ac:dyDescent="0.25">
      <c r="A57" s="636"/>
      <c r="B57" s="636"/>
      <c r="C57" s="636"/>
      <c r="D57" s="636"/>
      <c r="E57" s="636"/>
      <c r="F57" s="636"/>
      <c r="G57" s="636"/>
      <c r="H57" s="636"/>
      <c r="I57" s="636"/>
      <c r="J57" s="636"/>
      <c r="K57" s="636"/>
      <c r="L57" s="636"/>
      <c r="M57" s="636"/>
      <c r="N57" s="636"/>
      <c r="O57" s="636"/>
      <c r="P57" s="636"/>
      <c r="Q57" s="636"/>
      <c r="R57" s="636"/>
      <c r="S57" s="636"/>
      <c r="T57" s="636"/>
      <c r="U57" s="636"/>
      <c r="V57" s="636"/>
      <c r="W57" s="640"/>
      <c r="X57" s="640" t="s">
        <v>1563</v>
      </c>
      <c r="Y57" s="640"/>
      <c r="Z57" s="640"/>
      <c r="AA57" s="640"/>
      <c r="AB57" s="640"/>
      <c r="AC57" s="640"/>
      <c r="AD57" s="640" t="s">
        <v>1564</v>
      </c>
      <c r="AE57" s="640"/>
      <c r="AF57" s="640"/>
      <c r="AG57" s="640"/>
      <c r="AH57" s="640"/>
      <c r="AI57" s="640"/>
      <c r="AJ57" s="640"/>
      <c r="AK57" s="640"/>
      <c r="AL57" s="640"/>
      <c r="AM57" s="640"/>
      <c r="AN57" s="640"/>
      <c r="AO57" s="121"/>
      <c r="AP57" s="121"/>
      <c r="AQ57" s="121"/>
      <c r="AR57" s="121"/>
      <c r="AS57" s="121"/>
      <c r="AT57" s="121"/>
      <c r="AU57" s="121"/>
    </row>
    <row r="58" spans="1:47" x14ac:dyDescent="0.25">
      <c r="A58" s="636"/>
      <c r="B58" s="636"/>
      <c r="C58" s="636"/>
      <c r="D58" s="636"/>
      <c r="E58" s="636"/>
      <c r="F58" s="636"/>
      <c r="G58" s="636"/>
      <c r="H58" s="636"/>
      <c r="I58" s="636"/>
      <c r="J58" s="636"/>
      <c r="K58" s="636"/>
      <c r="L58" s="636"/>
      <c r="M58" s="636"/>
      <c r="N58" s="636"/>
      <c r="O58" s="636"/>
      <c r="P58" s="636"/>
      <c r="Q58" s="636"/>
      <c r="R58" s="636"/>
      <c r="S58" s="636"/>
      <c r="T58" s="636"/>
      <c r="U58" s="636"/>
      <c r="V58" s="636"/>
      <c r="W58" s="640"/>
      <c r="X58" s="640" t="s">
        <v>1563</v>
      </c>
      <c r="Y58" s="640"/>
      <c r="Z58" s="640"/>
      <c r="AA58" s="640"/>
      <c r="AB58" s="640"/>
      <c r="AC58" s="640"/>
      <c r="AD58" s="640" t="s">
        <v>1565</v>
      </c>
      <c r="AE58" s="640"/>
      <c r="AF58" s="640"/>
      <c r="AG58" s="640"/>
      <c r="AH58" s="640"/>
      <c r="AI58" s="640"/>
      <c r="AJ58" s="640"/>
      <c r="AK58" s="640"/>
      <c r="AL58" s="640"/>
      <c r="AM58" s="640"/>
      <c r="AN58" s="640"/>
      <c r="AO58" s="121"/>
      <c r="AP58" s="121"/>
      <c r="AQ58" s="121"/>
      <c r="AR58" s="121"/>
      <c r="AS58" s="121"/>
      <c r="AT58" s="121"/>
      <c r="AU58" s="121"/>
    </row>
    <row r="59" spans="1:47" x14ac:dyDescent="0.25">
      <c r="A59" s="636"/>
      <c r="B59" s="636"/>
      <c r="C59" s="636"/>
      <c r="D59" s="636"/>
      <c r="E59" s="636"/>
      <c r="F59" s="636"/>
      <c r="G59" s="636"/>
      <c r="H59" s="636"/>
      <c r="I59" s="636"/>
      <c r="J59" s="636"/>
      <c r="K59" s="636"/>
      <c r="L59" s="636"/>
      <c r="M59" s="636"/>
      <c r="N59" s="636"/>
      <c r="O59" s="636"/>
      <c r="P59" s="636"/>
      <c r="Q59" s="636"/>
      <c r="R59" s="636"/>
      <c r="S59" s="636"/>
      <c r="T59" s="636"/>
      <c r="U59" s="636"/>
      <c r="V59" s="636"/>
      <c r="W59" s="640"/>
      <c r="X59" s="640" t="s">
        <v>1563</v>
      </c>
      <c r="Y59" s="640"/>
      <c r="Z59" s="640"/>
      <c r="AA59" s="640"/>
      <c r="AB59" s="640"/>
      <c r="AC59" s="640"/>
      <c r="AD59" s="640" t="s">
        <v>1566</v>
      </c>
      <c r="AE59" s="640"/>
      <c r="AF59" s="640"/>
      <c r="AG59" s="640"/>
      <c r="AH59" s="640"/>
      <c r="AI59" s="640"/>
      <c r="AJ59" s="640"/>
      <c r="AK59" s="640"/>
      <c r="AL59" s="640"/>
      <c r="AM59" s="640"/>
      <c r="AN59" s="640"/>
      <c r="AO59" s="121"/>
      <c r="AP59" s="121"/>
      <c r="AQ59" s="121"/>
      <c r="AR59" s="121"/>
      <c r="AS59" s="121"/>
      <c r="AT59" s="121"/>
      <c r="AU59" s="121"/>
    </row>
    <row r="60" spans="1:47" x14ac:dyDescent="0.25">
      <c r="A60" s="636"/>
      <c r="B60" s="636"/>
      <c r="C60" s="636"/>
      <c r="D60" s="636"/>
      <c r="E60" s="636"/>
      <c r="F60" s="636"/>
      <c r="G60" s="636"/>
      <c r="H60" s="636"/>
      <c r="I60" s="636"/>
      <c r="J60" s="636"/>
      <c r="K60" s="636"/>
      <c r="L60" s="636"/>
      <c r="M60" s="636"/>
      <c r="N60" s="636"/>
      <c r="O60" s="636"/>
      <c r="P60" s="636"/>
      <c r="Q60" s="636"/>
      <c r="R60" s="636"/>
      <c r="S60" s="636"/>
      <c r="T60" s="636"/>
      <c r="U60" s="636"/>
      <c r="V60" s="636"/>
      <c r="W60" s="640"/>
      <c r="X60" s="640" t="s">
        <v>1567</v>
      </c>
      <c r="Y60" s="640"/>
      <c r="Z60" s="640"/>
      <c r="AA60" s="640"/>
      <c r="AB60" s="640"/>
      <c r="AC60" s="640"/>
      <c r="AD60" s="640" t="s">
        <v>1568</v>
      </c>
      <c r="AE60" s="640"/>
      <c r="AF60" s="640"/>
      <c r="AG60" s="640"/>
      <c r="AH60" s="640"/>
      <c r="AI60" s="640"/>
      <c r="AJ60" s="640"/>
      <c r="AK60" s="640"/>
      <c r="AL60" s="640"/>
      <c r="AM60" s="640"/>
      <c r="AN60" s="640"/>
      <c r="AO60" s="121"/>
      <c r="AP60" s="121"/>
      <c r="AQ60" s="121"/>
      <c r="AR60" s="121"/>
      <c r="AS60" s="121"/>
      <c r="AT60" s="121"/>
      <c r="AU60" s="121"/>
    </row>
    <row r="61" spans="1:47" x14ac:dyDescent="0.25">
      <c r="A61" s="636"/>
      <c r="B61" s="636"/>
      <c r="C61" s="636"/>
      <c r="D61" s="636"/>
      <c r="E61" s="636"/>
      <c r="F61" s="636"/>
      <c r="G61" s="636"/>
      <c r="H61" s="636"/>
      <c r="I61" s="636"/>
      <c r="J61" s="636"/>
      <c r="K61" s="636"/>
      <c r="L61" s="636"/>
      <c r="M61" s="636"/>
      <c r="N61" s="636"/>
      <c r="O61" s="636"/>
      <c r="P61" s="636"/>
      <c r="Q61" s="636"/>
      <c r="R61" s="636"/>
      <c r="S61" s="636"/>
      <c r="T61" s="636"/>
      <c r="U61" s="636"/>
      <c r="V61" s="636"/>
      <c r="W61" s="640"/>
      <c r="X61" s="640" t="s">
        <v>1569</v>
      </c>
      <c r="Y61" s="640"/>
      <c r="Z61" s="640"/>
      <c r="AA61" s="640"/>
      <c r="AB61" s="640"/>
      <c r="AC61" s="640"/>
      <c r="AD61" s="640" t="s">
        <v>1570</v>
      </c>
      <c r="AE61" s="640"/>
      <c r="AF61" s="640"/>
      <c r="AG61" s="640"/>
      <c r="AH61" s="640"/>
      <c r="AI61" s="640"/>
      <c r="AJ61" s="640"/>
      <c r="AK61" s="640"/>
      <c r="AL61" s="640"/>
      <c r="AM61" s="640"/>
      <c r="AN61" s="640"/>
      <c r="AO61" s="121"/>
      <c r="AP61" s="121"/>
      <c r="AQ61" s="121"/>
      <c r="AR61" s="121"/>
      <c r="AS61" s="121"/>
      <c r="AT61" s="121"/>
      <c r="AU61" s="121"/>
    </row>
    <row r="62" spans="1:47" x14ac:dyDescent="0.25">
      <c r="A62" s="636"/>
      <c r="B62" s="636"/>
      <c r="C62" s="636"/>
      <c r="D62" s="636"/>
      <c r="E62" s="636"/>
      <c r="F62" s="636"/>
      <c r="G62" s="636"/>
      <c r="H62" s="636"/>
      <c r="I62" s="636"/>
      <c r="J62" s="636"/>
      <c r="K62" s="636"/>
      <c r="L62" s="636"/>
      <c r="M62" s="636"/>
      <c r="N62" s="636"/>
      <c r="O62" s="636"/>
      <c r="P62" s="636"/>
      <c r="Q62" s="636"/>
      <c r="R62" s="636"/>
      <c r="S62" s="636"/>
      <c r="T62" s="636"/>
      <c r="U62" s="636"/>
      <c r="V62" s="636"/>
      <c r="W62" s="640"/>
      <c r="X62" s="640" t="s">
        <v>1571</v>
      </c>
      <c r="Y62" s="640"/>
      <c r="Z62" s="640"/>
      <c r="AA62" s="640"/>
      <c r="AB62" s="640"/>
      <c r="AC62" s="640"/>
      <c r="AD62" s="640" t="s">
        <v>1572</v>
      </c>
      <c r="AE62" s="640"/>
      <c r="AF62" s="640"/>
      <c r="AG62" s="640"/>
      <c r="AH62" s="640"/>
      <c r="AI62" s="640"/>
      <c r="AJ62" s="640"/>
      <c r="AK62" s="640"/>
      <c r="AL62" s="640"/>
      <c r="AM62" s="640"/>
      <c r="AN62" s="640"/>
      <c r="AO62" s="121"/>
      <c r="AP62" s="121"/>
      <c r="AQ62" s="121"/>
      <c r="AR62" s="121"/>
      <c r="AS62" s="121"/>
      <c r="AT62" s="121"/>
      <c r="AU62" s="121"/>
    </row>
    <row r="63" spans="1:47" x14ac:dyDescent="0.25">
      <c r="A63" s="636"/>
      <c r="B63" s="636"/>
      <c r="C63" s="636"/>
      <c r="D63" s="636"/>
      <c r="E63" s="636"/>
      <c r="F63" s="636"/>
      <c r="G63" s="636"/>
      <c r="H63" s="636"/>
      <c r="I63" s="636"/>
      <c r="J63" s="636"/>
      <c r="K63" s="636"/>
      <c r="L63" s="636"/>
      <c r="M63" s="636"/>
      <c r="N63" s="636"/>
      <c r="O63" s="636"/>
      <c r="P63" s="636"/>
      <c r="Q63" s="636"/>
      <c r="R63" s="636"/>
      <c r="S63" s="636"/>
      <c r="T63" s="636"/>
      <c r="U63" s="636"/>
      <c r="V63" s="636"/>
      <c r="W63" s="640"/>
      <c r="X63" s="640"/>
      <c r="Y63" s="640"/>
      <c r="Z63" s="640"/>
      <c r="AA63" s="640"/>
      <c r="AB63" s="640"/>
      <c r="AC63" s="640"/>
      <c r="AD63" s="640"/>
      <c r="AE63" s="640"/>
      <c r="AF63" s="640"/>
      <c r="AG63" s="640"/>
      <c r="AH63" s="640"/>
      <c r="AI63" s="640"/>
      <c r="AJ63" s="640"/>
      <c r="AK63" s="640"/>
      <c r="AL63" s="640"/>
      <c r="AM63" s="640"/>
      <c r="AN63" s="640"/>
      <c r="AO63" s="121"/>
      <c r="AP63" s="121"/>
      <c r="AQ63" s="121"/>
      <c r="AR63" s="121"/>
      <c r="AS63" s="121"/>
      <c r="AT63" s="121"/>
      <c r="AU63" s="121"/>
    </row>
    <row r="64" spans="1:47" x14ac:dyDescent="0.25">
      <c r="A64" s="636"/>
      <c r="B64" s="636"/>
      <c r="C64" s="636"/>
      <c r="D64" s="636"/>
      <c r="E64" s="636"/>
      <c r="F64" s="636"/>
      <c r="G64" s="636"/>
      <c r="H64" s="636"/>
      <c r="I64" s="636"/>
      <c r="J64" s="636"/>
      <c r="K64" s="636"/>
      <c r="L64" s="636"/>
      <c r="M64" s="636"/>
      <c r="N64" s="636"/>
      <c r="O64" s="636"/>
      <c r="P64" s="636"/>
      <c r="Q64" s="636"/>
      <c r="R64" s="636"/>
      <c r="S64" s="636"/>
      <c r="T64" s="636"/>
      <c r="U64" s="636"/>
      <c r="V64" s="636"/>
      <c r="W64" s="640"/>
      <c r="X64" s="640"/>
      <c r="Y64" s="640"/>
      <c r="Z64" s="640"/>
      <c r="AA64" s="640"/>
      <c r="AB64" s="640"/>
      <c r="AC64" s="640"/>
      <c r="AD64" s="640"/>
      <c r="AE64" s="640"/>
      <c r="AF64" s="640"/>
      <c r="AG64" s="640"/>
      <c r="AH64" s="640"/>
      <c r="AI64" s="640"/>
      <c r="AJ64" s="640"/>
      <c r="AK64" s="640"/>
      <c r="AL64" s="640"/>
      <c r="AM64" s="640"/>
      <c r="AN64" s="640"/>
      <c r="AO64" s="121"/>
      <c r="AP64" s="121"/>
      <c r="AQ64" s="121"/>
      <c r="AR64" s="121"/>
      <c r="AS64" s="121"/>
      <c r="AT64" s="121"/>
      <c r="AU64" s="121"/>
    </row>
    <row r="65" spans="1:40" x14ac:dyDescent="0.25">
      <c r="A65" s="636"/>
      <c r="B65" s="636"/>
      <c r="C65" s="636"/>
      <c r="D65" s="636"/>
      <c r="E65" s="636"/>
      <c r="F65" s="636"/>
      <c r="G65" s="636"/>
      <c r="H65" s="636"/>
      <c r="I65" s="636"/>
      <c r="J65" s="636"/>
      <c r="K65" s="636"/>
      <c r="L65" s="636"/>
      <c r="M65" s="636"/>
      <c r="N65" s="636"/>
      <c r="O65" s="636"/>
      <c r="P65" s="636"/>
      <c r="Q65" s="636"/>
      <c r="R65" s="636"/>
      <c r="S65" s="636"/>
      <c r="T65" s="636"/>
      <c r="U65" s="636"/>
      <c r="V65" s="636"/>
      <c r="W65" s="640"/>
      <c r="X65" s="640"/>
      <c r="Y65" s="640"/>
      <c r="Z65" s="640"/>
      <c r="AA65" s="640"/>
      <c r="AB65" s="640"/>
      <c r="AC65" s="640"/>
      <c r="AD65" s="640"/>
      <c r="AE65" s="640"/>
      <c r="AF65" s="640"/>
      <c r="AG65" s="640"/>
      <c r="AH65" s="640"/>
      <c r="AI65" s="640"/>
      <c r="AJ65" s="640"/>
      <c r="AK65" s="640"/>
      <c r="AL65" s="640"/>
      <c r="AM65" s="640"/>
      <c r="AN65" s="640"/>
    </row>
    <row r="66" spans="1:40" x14ac:dyDescent="0.25">
      <c r="A66" s="636"/>
      <c r="B66" s="636"/>
      <c r="C66" s="636"/>
      <c r="D66" s="636"/>
      <c r="E66" s="636"/>
      <c r="F66" s="636"/>
      <c r="G66" s="636"/>
      <c r="H66" s="636"/>
      <c r="I66" s="636"/>
      <c r="J66" s="636"/>
      <c r="K66" s="636"/>
      <c r="L66" s="636"/>
      <c r="M66" s="636"/>
      <c r="N66" s="636"/>
      <c r="O66" s="636"/>
      <c r="P66" s="636"/>
      <c r="Q66" s="636"/>
      <c r="R66" s="636"/>
      <c r="S66" s="636"/>
      <c r="T66" s="636"/>
      <c r="U66" s="636"/>
      <c r="V66" s="636"/>
      <c r="W66" s="640"/>
      <c r="X66" s="640"/>
      <c r="Y66" s="640"/>
      <c r="Z66" s="640"/>
      <c r="AA66" s="640"/>
      <c r="AB66" s="640"/>
      <c r="AC66" s="640"/>
      <c r="AD66" s="640"/>
      <c r="AE66" s="640"/>
      <c r="AF66" s="640"/>
      <c r="AG66" s="640"/>
      <c r="AH66" s="640"/>
      <c r="AI66" s="640"/>
      <c r="AJ66" s="640"/>
      <c r="AK66" s="640"/>
      <c r="AL66" s="640"/>
      <c r="AM66" s="640"/>
      <c r="AN66" s="640"/>
    </row>
    <row r="67" spans="1:40" x14ac:dyDescent="0.25">
      <c r="A67" s="636"/>
      <c r="B67" s="636"/>
      <c r="C67" s="636"/>
      <c r="D67" s="636"/>
      <c r="E67" s="636"/>
      <c r="F67" s="636"/>
      <c r="G67" s="636"/>
      <c r="H67" s="636"/>
      <c r="I67" s="636"/>
      <c r="J67" s="636"/>
      <c r="K67" s="636"/>
      <c r="L67" s="636"/>
      <c r="M67" s="636"/>
      <c r="N67" s="636"/>
      <c r="O67" s="636"/>
      <c r="P67" s="636"/>
      <c r="Q67" s="636"/>
      <c r="R67" s="636"/>
      <c r="S67" s="636"/>
      <c r="T67" s="636"/>
      <c r="U67" s="636"/>
      <c r="V67" s="636"/>
      <c r="W67" s="640"/>
      <c r="X67" s="640"/>
      <c r="Y67" s="640"/>
      <c r="Z67" s="640"/>
      <c r="AA67" s="640"/>
      <c r="AB67" s="640"/>
      <c r="AC67" s="640"/>
      <c r="AD67" s="640"/>
      <c r="AE67" s="640"/>
      <c r="AF67" s="640"/>
      <c r="AG67" s="640"/>
      <c r="AH67" s="640"/>
      <c r="AI67" s="640"/>
      <c r="AJ67" s="640"/>
      <c r="AK67" s="640"/>
      <c r="AL67" s="640"/>
      <c r="AM67" s="640"/>
      <c r="AN67" s="640"/>
    </row>
    <row r="68" spans="1:40" x14ac:dyDescent="0.25">
      <c r="A68" s="636"/>
      <c r="B68" s="636"/>
      <c r="C68" s="636"/>
      <c r="D68" s="636"/>
      <c r="E68" s="636"/>
      <c r="F68" s="636"/>
      <c r="G68" s="636"/>
      <c r="H68" s="636"/>
      <c r="I68" s="636"/>
      <c r="J68" s="636"/>
      <c r="K68" s="636"/>
      <c r="L68" s="636"/>
      <c r="M68" s="636"/>
      <c r="N68" s="636"/>
      <c r="O68" s="636"/>
      <c r="P68" s="636"/>
      <c r="Q68" s="636"/>
      <c r="R68" s="636"/>
      <c r="S68" s="636"/>
      <c r="T68" s="636"/>
      <c r="U68" s="636"/>
      <c r="V68" s="636"/>
      <c r="W68" s="640"/>
      <c r="X68" s="640"/>
      <c r="Y68" s="640"/>
      <c r="Z68" s="640"/>
      <c r="AA68" s="640"/>
      <c r="AB68" s="640"/>
      <c r="AC68" s="640"/>
      <c r="AD68" s="640"/>
      <c r="AE68" s="640"/>
      <c r="AF68" s="640"/>
      <c r="AG68" s="640"/>
      <c r="AH68" s="640"/>
      <c r="AI68" s="640"/>
      <c r="AJ68" s="640"/>
      <c r="AK68" s="640"/>
      <c r="AL68" s="640"/>
      <c r="AM68" s="640"/>
      <c r="AN68" s="640"/>
    </row>
    <row r="69" spans="1:40" x14ac:dyDescent="0.25">
      <c r="A69" s="636"/>
      <c r="B69" s="636"/>
      <c r="C69" s="636"/>
      <c r="D69" s="636"/>
      <c r="E69" s="636"/>
      <c r="F69" s="636"/>
      <c r="G69" s="636"/>
      <c r="H69" s="636"/>
      <c r="I69" s="636"/>
      <c r="J69" s="636"/>
      <c r="K69" s="636"/>
      <c r="L69" s="636"/>
      <c r="M69" s="636"/>
      <c r="N69" s="636"/>
      <c r="O69" s="636"/>
      <c r="P69" s="636"/>
      <c r="Q69" s="636"/>
      <c r="R69" s="636"/>
      <c r="S69" s="636"/>
      <c r="T69" s="636"/>
      <c r="U69" s="636"/>
      <c r="V69" s="636"/>
      <c r="W69" s="640"/>
      <c r="X69" s="640"/>
      <c r="Y69" s="640"/>
      <c r="Z69" s="640"/>
      <c r="AA69" s="640"/>
      <c r="AB69" s="640"/>
      <c r="AC69" s="640"/>
      <c r="AD69" s="640"/>
      <c r="AE69" s="640"/>
      <c r="AF69" s="640"/>
      <c r="AG69" s="640"/>
      <c r="AH69" s="640"/>
      <c r="AI69" s="640"/>
      <c r="AJ69" s="640"/>
      <c r="AK69" s="640"/>
      <c r="AL69" s="640"/>
      <c r="AM69" s="640"/>
      <c r="AN69" s="640"/>
    </row>
    <row r="70" spans="1:40" x14ac:dyDescent="0.25">
      <c r="A70" s="636"/>
      <c r="B70" s="636"/>
      <c r="C70" s="636"/>
      <c r="D70" s="636"/>
      <c r="E70" s="636"/>
      <c r="F70" s="636"/>
      <c r="G70" s="636"/>
      <c r="H70" s="636"/>
      <c r="I70" s="636"/>
      <c r="J70" s="636"/>
      <c r="K70" s="636"/>
      <c r="L70" s="636"/>
      <c r="M70" s="636"/>
      <c r="N70" s="636"/>
      <c r="O70" s="636"/>
      <c r="P70" s="636"/>
      <c r="Q70" s="636"/>
      <c r="R70" s="636"/>
      <c r="S70" s="636"/>
      <c r="T70" s="636"/>
      <c r="U70" s="636"/>
      <c r="V70" s="636"/>
      <c r="W70" s="640"/>
      <c r="X70" s="640"/>
      <c r="Y70" s="640"/>
      <c r="Z70" s="640"/>
      <c r="AA70" s="640"/>
      <c r="AB70" s="640"/>
      <c r="AC70" s="640"/>
      <c r="AD70" s="640"/>
      <c r="AE70" s="640"/>
      <c r="AF70" s="640"/>
      <c r="AG70" s="640"/>
      <c r="AH70" s="640"/>
      <c r="AI70" s="640"/>
      <c r="AJ70" s="640"/>
      <c r="AK70" s="640"/>
      <c r="AL70" s="640"/>
      <c r="AM70" s="640"/>
      <c r="AN70" s="640"/>
    </row>
    <row r="71" spans="1:40" x14ac:dyDescent="0.25">
      <c r="A71" s="636"/>
      <c r="B71" s="636"/>
      <c r="C71" s="636"/>
      <c r="D71" s="636"/>
      <c r="E71" s="636"/>
      <c r="F71" s="636"/>
      <c r="G71" s="636"/>
      <c r="H71" s="636"/>
      <c r="I71" s="636"/>
      <c r="J71" s="636"/>
      <c r="K71" s="636"/>
      <c r="L71" s="636"/>
      <c r="M71" s="636"/>
      <c r="N71" s="636"/>
      <c r="O71" s="636"/>
      <c r="P71" s="636"/>
      <c r="Q71" s="636"/>
      <c r="R71" s="636"/>
      <c r="S71" s="636"/>
      <c r="T71" s="636"/>
      <c r="U71" s="636"/>
      <c r="V71" s="636"/>
      <c r="W71" s="640"/>
      <c r="X71" s="640"/>
      <c r="Y71" s="640"/>
      <c r="Z71" s="640"/>
      <c r="AA71" s="640"/>
      <c r="AB71" s="640"/>
      <c r="AC71" s="640"/>
      <c r="AD71" s="640"/>
      <c r="AE71" s="640"/>
      <c r="AF71" s="640"/>
      <c r="AG71" s="640"/>
      <c r="AH71" s="640"/>
      <c r="AI71" s="640"/>
      <c r="AJ71" s="640"/>
      <c r="AK71" s="640"/>
      <c r="AL71" s="640"/>
      <c r="AM71" s="640"/>
      <c r="AN71" s="640"/>
    </row>
    <row r="72" spans="1:40" x14ac:dyDescent="0.25">
      <c r="A72" s="636"/>
      <c r="B72" s="636"/>
      <c r="C72" s="636"/>
      <c r="D72" s="636"/>
      <c r="E72" s="636"/>
      <c r="F72" s="636"/>
      <c r="G72" s="636"/>
      <c r="H72" s="636"/>
      <c r="I72" s="636"/>
      <c r="J72" s="636"/>
      <c r="K72" s="636"/>
      <c r="L72" s="636"/>
      <c r="M72" s="636"/>
      <c r="N72" s="636"/>
      <c r="O72" s="636"/>
      <c r="P72" s="636"/>
      <c r="Q72" s="636"/>
      <c r="R72" s="636"/>
      <c r="S72" s="636"/>
      <c r="T72" s="636"/>
      <c r="U72" s="636"/>
      <c r="V72" s="636"/>
      <c r="W72" s="640"/>
      <c r="X72" s="640"/>
      <c r="Y72" s="640"/>
      <c r="Z72" s="640"/>
      <c r="AA72" s="640"/>
      <c r="AB72" s="640"/>
      <c r="AC72" s="640"/>
      <c r="AD72" s="640"/>
      <c r="AE72" s="640"/>
      <c r="AF72" s="640"/>
      <c r="AG72" s="640"/>
      <c r="AH72" s="640"/>
      <c r="AI72" s="640"/>
      <c r="AJ72" s="640"/>
      <c r="AK72" s="640"/>
      <c r="AL72" s="640"/>
      <c r="AM72" s="640"/>
      <c r="AN72" s="640"/>
    </row>
    <row r="73" spans="1:40" x14ac:dyDescent="0.25">
      <c r="A73" s="636"/>
      <c r="B73" s="636"/>
      <c r="C73" s="636"/>
      <c r="D73" s="636"/>
      <c r="E73" s="636"/>
      <c r="F73" s="636"/>
      <c r="G73" s="636"/>
      <c r="H73" s="636"/>
      <c r="I73" s="636"/>
      <c r="J73" s="636"/>
      <c r="K73" s="636"/>
      <c r="L73" s="636"/>
      <c r="M73" s="636"/>
      <c r="N73" s="636"/>
      <c r="O73" s="636"/>
      <c r="P73" s="636"/>
      <c r="Q73" s="636"/>
      <c r="R73" s="636"/>
      <c r="S73" s="636"/>
      <c r="T73" s="636"/>
      <c r="U73" s="636"/>
      <c r="V73" s="636"/>
      <c r="W73" s="640"/>
      <c r="X73" s="640"/>
      <c r="Y73" s="640"/>
      <c r="Z73" s="640"/>
      <c r="AA73" s="640"/>
      <c r="AB73" s="640"/>
      <c r="AC73" s="640"/>
      <c r="AD73" s="640"/>
      <c r="AE73" s="640"/>
      <c r="AF73" s="640"/>
      <c r="AG73" s="640"/>
      <c r="AH73" s="640"/>
      <c r="AI73" s="640"/>
      <c r="AJ73" s="640"/>
      <c r="AK73" s="640"/>
      <c r="AL73" s="640"/>
      <c r="AM73" s="640"/>
      <c r="AN73" s="640"/>
    </row>
    <row r="74" spans="1:40" x14ac:dyDescent="0.25">
      <c r="A74" s="636"/>
      <c r="B74" s="636"/>
      <c r="C74" s="636"/>
      <c r="D74" s="636"/>
      <c r="E74" s="636"/>
      <c r="F74" s="636"/>
      <c r="G74" s="636"/>
      <c r="H74" s="636"/>
      <c r="I74" s="636"/>
      <c r="J74" s="636"/>
      <c r="K74" s="636"/>
      <c r="L74" s="636"/>
      <c r="M74" s="636"/>
      <c r="N74" s="636"/>
      <c r="O74" s="636"/>
      <c r="P74" s="636"/>
      <c r="Q74" s="636"/>
      <c r="R74" s="636"/>
      <c r="S74" s="636"/>
      <c r="T74" s="636"/>
      <c r="U74" s="636"/>
      <c r="V74" s="636"/>
      <c r="W74" s="640"/>
      <c r="X74" s="640"/>
      <c r="Y74" s="640"/>
      <c r="Z74" s="640"/>
      <c r="AA74" s="640"/>
      <c r="AB74" s="640"/>
      <c r="AC74" s="640"/>
      <c r="AD74" s="640"/>
      <c r="AE74" s="640"/>
      <c r="AF74" s="640"/>
      <c r="AG74" s="640"/>
      <c r="AH74" s="640"/>
      <c r="AI74" s="640"/>
      <c r="AJ74" s="640"/>
      <c r="AK74" s="640"/>
      <c r="AL74" s="640"/>
      <c r="AM74" s="640"/>
      <c r="AN74" s="640"/>
    </row>
    <row r="75" spans="1:40" x14ac:dyDescent="0.25">
      <c r="A75" s="636"/>
      <c r="B75" s="636"/>
      <c r="C75" s="636"/>
      <c r="D75" s="636"/>
      <c r="E75" s="636"/>
      <c r="F75" s="636"/>
      <c r="G75" s="636"/>
      <c r="H75" s="636"/>
      <c r="I75" s="636"/>
      <c r="J75" s="636"/>
      <c r="K75" s="636"/>
      <c r="L75" s="636"/>
      <c r="M75" s="636"/>
      <c r="N75" s="636"/>
      <c r="O75" s="636"/>
      <c r="P75" s="636"/>
      <c r="Q75" s="636"/>
      <c r="R75" s="636"/>
      <c r="S75" s="636"/>
      <c r="T75" s="636"/>
      <c r="U75" s="636"/>
      <c r="V75" s="636"/>
      <c r="W75" s="640"/>
      <c r="X75" s="640"/>
      <c r="Y75" s="640"/>
      <c r="Z75" s="640"/>
      <c r="AA75" s="640"/>
      <c r="AB75" s="640"/>
      <c r="AC75" s="640"/>
      <c r="AD75" s="640"/>
      <c r="AE75" s="640"/>
      <c r="AF75" s="640"/>
      <c r="AG75" s="640"/>
      <c r="AH75" s="640"/>
      <c r="AI75" s="640"/>
      <c r="AJ75" s="640"/>
      <c r="AK75" s="640"/>
      <c r="AL75" s="640"/>
      <c r="AM75" s="640"/>
      <c r="AN75" s="640"/>
    </row>
    <row r="76" spans="1:40" x14ac:dyDescent="0.25">
      <c r="A76" s="636"/>
      <c r="B76" s="636"/>
      <c r="C76" s="636"/>
      <c r="D76" s="636"/>
      <c r="E76" s="636"/>
      <c r="F76" s="636"/>
      <c r="G76" s="636"/>
      <c r="H76" s="636"/>
      <c r="I76" s="636"/>
      <c r="J76" s="636"/>
      <c r="K76" s="636"/>
      <c r="L76" s="636"/>
      <c r="M76" s="636"/>
      <c r="N76" s="636"/>
      <c r="O76" s="636"/>
      <c r="P76" s="636"/>
      <c r="Q76" s="636"/>
      <c r="R76" s="636"/>
      <c r="S76" s="636"/>
      <c r="T76" s="636"/>
      <c r="U76" s="636"/>
      <c r="V76" s="636"/>
      <c r="W76" s="640"/>
      <c r="X76" s="640"/>
      <c r="Y76" s="640"/>
      <c r="Z76" s="640"/>
      <c r="AA76" s="640"/>
      <c r="AB76" s="640"/>
      <c r="AC76" s="640"/>
      <c r="AD76" s="640"/>
      <c r="AE76" s="640"/>
      <c r="AF76" s="640"/>
      <c r="AG76" s="640"/>
      <c r="AH76" s="640"/>
      <c r="AI76" s="640"/>
      <c r="AJ76" s="640"/>
      <c r="AK76" s="640"/>
      <c r="AL76" s="640"/>
      <c r="AM76" s="640"/>
      <c r="AN76" s="640"/>
    </row>
    <row r="77" spans="1:40" x14ac:dyDescent="0.25">
      <c r="A77" s="636"/>
      <c r="B77" s="636"/>
      <c r="C77" s="636"/>
      <c r="D77" s="636"/>
      <c r="E77" s="636"/>
      <c r="F77" s="636"/>
      <c r="G77" s="636"/>
      <c r="H77" s="636"/>
      <c r="I77" s="636"/>
      <c r="J77" s="636"/>
      <c r="K77" s="636"/>
      <c r="L77" s="636"/>
      <c r="M77" s="636"/>
      <c r="N77" s="636"/>
      <c r="O77" s="636"/>
      <c r="P77" s="636"/>
      <c r="Q77" s="636"/>
      <c r="R77" s="636"/>
      <c r="S77" s="636"/>
      <c r="T77" s="636"/>
      <c r="U77" s="636"/>
      <c r="V77" s="636"/>
      <c r="W77" s="640"/>
      <c r="X77" s="640"/>
      <c r="Y77" s="640"/>
      <c r="Z77" s="640"/>
      <c r="AA77" s="640"/>
      <c r="AB77" s="640"/>
      <c r="AC77" s="640"/>
      <c r="AD77" s="640"/>
      <c r="AE77" s="640"/>
      <c r="AF77" s="640"/>
      <c r="AG77" s="640"/>
      <c r="AH77" s="640"/>
      <c r="AI77" s="640"/>
      <c r="AJ77" s="640"/>
      <c r="AK77" s="640"/>
      <c r="AL77" s="640"/>
      <c r="AM77" s="640"/>
      <c r="AN77" s="640"/>
    </row>
    <row r="78" spans="1:40" x14ac:dyDescent="0.25">
      <c r="A78" s="636"/>
      <c r="B78" s="636"/>
      <c r="C78" s="636"/>
      <c r="D78" s="636"/>
      <c r="E78" s="636"/>
      <c r="F78" s="636"/>
      <c r="G78" s="636"/>
      <c r="H78" s="636"/>
      <c r="I78" s="636"/>
      <c r="J78" s="636"/>
      <c r="K78" s="636"/>
      <c r="L78" s="636"/>
      <c r="M78" s="636"/>
      <c r="N78" s="636"/>
      <c r="O78" s="636"/>
      <c r="P78" s="636"/>
      <c r="Q78" s="636"/>
      <c r="R78" s="636"/>
      <c r="S78" s="636"/>
      <c r="T78" s="636"/>
      <c r="U78" s="636"/>
      <c r="V78" s="636"/>
      <c r="W78" s="640"/>
      <c r="X78" s="640"/>
      <c r="Y78" s="640"/>
      <c r="Z78" s="640"/>
      <c r="AA78" s="640"/>
      <c r="AB78" s="640"/>
      <c r="AC78" s="640"/>
      <c r="AD78" s="640"/>
      <c r="AE78" s="640"/>
      <c r="AF78" s="640"/>
      <c r="AG78" s="640"/>
      <c r="AH78" s="640"/>
      <c r="AI78" s="640"/>
      <c r="AJ78" s="640"/>
      <c r="AK78" s="640"/>
      <c r="AL78" s="640"/>
      <c r="AM78" s="640"/>
      <c r="AN78" s="640"/>
    </row>
    <row r="79" spans="1:40" x14ac:dyDescent="0.25">
      <c r="A79" s="636"/>
      <c r="B79" s="636"/>
      <c r="C79" s="636"/>
      <c r="D79" s="636"/>
      <c r="E79" s="636"/>
      <c r="F79" s="636"/>
      <c r="G79" s="636"/>
      <c r="H79" s="636"/>
      <c r="I79" s="636"/>
      <c r="J79" s="636"/>
      <c r="K79" s="636"/>
      <c r="L79" s="636"/>
      <c r="M79" s="636"/>
      <c r="N79" s="636"/>
      <c r="O79" s="636"/>
      <c r="P79" s="636"/>
      <c r="Q79" s="636"/>
      <c r="R79" s="636"/>
      <c r="S79" s="636"/>
      <c r="T79" s="636"/>
      <c r="U79" s="636"/>
      <c r="V79" s="636"/>
      <c r="W79" s="640"/>
      <c r="X79" s="640"/>
      <c r="Y79" s="640"/>
      <c r="Z79" s="640"/>
      <c r="AA79" s="640"/>
      <c r="AB79" s="640"/>
      <c r="AC79" s="640"/>
      <c r="AD79" s="640"/>
      <c r="AE79" s="640"/>
      <c r="AF79" s="640"/>
      <c r="AG79" s="640"/>
      <c r="AH79" s="640"/>
      <c r="AI79" s="640"/>
      <c r="AJ79" s="640"/>
      <c r="AK79" s="640"/>
      <c r="AL79" s="640"/>
      <c r="AM79" s="640"/>
      <c r="AN79" s="640"/>
    </row>
    <row r="80" spans="1:40" x14ac:dyDescent="0.25">
      <c r="A80" s="636"/>
      <c r="B80" s="636"/>
      <c r="C80" s="636"/>
      <c r="D80" s="636"/>
      <c r="E80" s="636"/>
      <c r="F80" s="636"/>
      <c r="G80" s="636"/>
      <c r="H80" s="636"/>
      <c r="I80" s="636"/>
      <c r="J80" s="636"/>
      <c r="K80" s="636"/>
      <c r="L80" s="636"/>
      <c r="M80" s="636"/>
      <c r="N80" s="636"/>
      <c r="O80" s="636"/>
      <c r="P80" s="636"/>
      <c r="Q80" s="636"/>
      <c r="R80" s="636"/>
      <c r="S80" s="636"/>
      <c r="T80" s="636"/>
      <c r="U80" s="636"/>
      <c r="V80" s="636"/>
      <c r="W80" s="640"/>
      <c r="X80" s="640"/>
      <c r="Y80" s="640"/>
      <c r="Z80" s="640"/>
      <c r="AA80" s="640"/>
      <c r="AB80" s="640"/>
      <c r="AC80" s="640"/>
      <c r="AD80" s="640"/>
      <c r="AE80" s="640"/>
      <c r="AF80" s="640"/>
      <c r="AG80" s="640"/>
      <c r="AH80" s="640"/>
      <c r="AI80" s="640"/>
      <c r="AJ80" s="640"/>
      <c r="AK80" s="640"/>
      <c r="AL80" s="640"/>
      <c r="AM80" s="640"/>
      <c r="AN80" s="640"/>
    </row>
    <row r="81" spans="1:40" x14ac:dyDescent="0.25">
      <c r="A81" s="636"/>
      <c r="B81" s="636"/>
      <c r="C81" s="636"/>
      <c r="D81" s="636"/>
      <c r="E81" s="636"/>
      <c r="F81" s="636"/>
      <c r="G81" s="636"/>
      <c r="H81" s="636"/>
      <c r="I81" s="636"/>
      <c r="J81" s="636"/>
      <c r="K81" s="636"/>
      <c r="L81" s="636"/>
      <c r="M81" s="636"/>
      <c r="N81" s="636"/>
      <c r="O81" s="636"/>
      <c r="P81" s="636"/>
      <c r="Q81" s="636"/>
      <c r="R81" s="636"/>
      <c r="S81" s="636"/>
      <c r="T81" s="636"/>
      <c r="U81" s="636"/>
      <c r="V81" s="636"/>
      <c r="W81" s="640"/>
      <c r="X81" s="640"/>
      <c r="Y81" s="640"/>
      <c r="Z81" s="640"/>
      <c r="AA81" s="640"/>
      <c r="AB81" s="640"/>
      <c r="AC81" s="640"/>
      <c r="AD81" s="640"/>
      <c r="AE81" s="640"/>
      <c r="AF81" s="640"/>
      <c r="AG81" s="640"/>
      <c r="AH81" s="640"/>
      <c r="AI81" s="640"/>
      <c r="AJ81" s="640"/>
      <c r="AK81" s="640"/>
      <c r="AL81" s="640"/>
      <c r="AM81" s="640"/>
      <c r="AN81" s="640"/>
    </row>
    <row r="82" spans="1:40" x14ac:dyDescent="0.25">
      <c r="A82" s="636"/>
      <c r="B82" s="636"/>
      <c r="C82" s="636"/>
      <c r="D82" s="636"/>
      <c r="E82" s="636"/>
      <c r="F82" s="636"/>
      <c r="G82" s="636"/>
      <c r="H82" s="636"/>
      <c r="I82" s="636"/>
      <c r="J82" s="636"/>
      <c r="K82" s="636"/>
      <c r="L82" s="636"/>
      <c r="M82" s="636"/>
      <c r="N82" s="636"/>
      <c r="O82" s="636"/>
      <c r="P82" s="636"/>
      <c r="Q82" s="636"/>
      <c r="R82" s="636"/>
      <c r="S82" s="636"/>
      <c r="T82" s="636"/>
      <c r="U82" s="636"/>
      <c r="V82" s="636"/>
      <c r="W82" s="640"/>
      <c r="X82" s="640"/>
      <c r="Y82" s="640"/>
      <c r="Z82" s="640"/>
      <c r="AA82" s="640"/>
      <c r="AB82" s="640"/>
      <c r="AC82" s="640"/>
      <c r="AD82" s="640"/>
      <c r="AE82" s="640"/>
      <c r="AF82" s="640"/>
      <c r="AG82" s="640"/>
      <c r="AH82" s="640"/>
      <c r="AI82" s="640"/>
      <c r="AJ82" s="640"/>
      <c r="AK82" s="640"/>
      <c r="AL82" s="640"/>
      <c r="AM82" s="640"/>
      <c r="AN82" s="640"/>
    </row>
    <row r="83" spans="1:40" x14ac:dyDescent="0.25">
      <c r="A83" s="636"/>
      <c r="B83" s="636"/>
      <c r="C83" s="636"/>
      <c r="D83" s="636"/>
      <c r="E83" s="636"/>
      <c r="F83" s="636"/>
      <c r="G83" s="636"/>
      <c r="H83" s="636"/>
      <c r="I83" s="636"/>
      <c r="J83" s="636"/>
      <c r="K83" s="636"/>
      <c r="L83" s="636"/>
      <c r="M83" s="636"/>
      <c r="N83" s="636"/>
      <c r="O83" s="636"/>
      <c r="P83" s="636"/>
      <c r="Q83" s="636"/>
      <c r="R83" s="636"/>
      <c r="S83" s="636"/>
      <c r="T83" s="636"/>
      <c r="U83" s="636"/>
      <c r="V83" s="636"/>
      <c r="W83" s="640"/>
      <c r="X83" s="640"/>
      <c r="Y83" s="640"/>
      <c r="Z83" s="640"/>
      <c r="AA83" s="640"/>
      <c r="AB83" s="640"/>
      <c r="AC83" s="640"/>
      <c r="AD83" s="640"/>
      <c r="AE83" s="640"/>
      <c r="AF83" s="640"/>
      <c r="AG83" s="640"/>
      <c r="AH83" s="640"/>
      <c r="AI83" s="640"/>
      <c r="AJ83" s="640"/>
      <c r="AK83" s="640"/>
      <c r="AL83" s="640"/>
      <c r="AM83" s="640"/>
      <c r="AN83" s="640"/>
    </row>
    <row r="84" spans="1:40" x14ac:dyDescent="0.25">
      <c r="A84" s="636"/>
      <c r="B84" s="636"/>
      <c r="C84" s="636"/>
      <c r="D84" s="636"/>
      <c r="E84" s="636"/>
      <c r="F84" s="636"/>
      <c r="G84" s="636"/>
      <c r="H84" s="636"/>
      <c r="I84" s="636"/>
      <c r="J84" s="636"/>
      <c r="K84" s="636"/>
      <c r="L84" s="636"/>
      <c r="M84" s="636"/>
      <c r="N84" s="636"/>
      <c r="O84" s="636"/>
      <c r="P84" s="636"/>
      <c r="Q84" s="636"/>
      <c r="R84" s="636"/>
      <c r="S84" s="636"/>
      <c r="T84" s="636"/>
      <c r="U84" s="636"/>
      <c r="V84" s="636"/>
      <c r="W84" s="640"/>
      <c r="X84" s="640"/>
      <c r="Y84" s="640"/>
      <c r="Z84" s="640"/>
      <c r="AA84" s="640"/>
      <c r="AB84" s="640"/>
      <c r="AC84" s="640"/>
      <c r="AD84" s="640"/>
      <c r="AE84" s="640"/>
      <c r="AF84" s="640"/>
      <c r="AG84" s="640"/>
      <c r="AH84" s="640"/>
      <c r="AI84" s="640"/>
      <c r="AJ84" s="640"/>
      <c r="AK84" s="640"/>
      <c r="AL84" s="640"/>
      <c r="AM84" s="640"/>
      <c r="AN84" s="640"/>
    </row>
    <row r="85" spans="1:40" x14ac:dyDescent="0.25">
      <c r="A85" s="636"/>
      <c r="B85" s="636"/>
      <c r="C85" s="636"/>
      <c r="D85" s="636"/>
      <c r="E85" s="636"/>
      <c r="F85" s="636"/>
      <c r="G85" s="636"/>
      <c r="H85" s="636"/>
      <c r="I85" s="636"/>
      <c r="J85" s="636"/>
      <c r="K85" s="636"/>
      <c r="L85" s="636"/>
      <c r="M85" s="636"/>
      <c r="N85" s="636"/>
      <c r="O85" s="636"/>
      <c r="P85" s="636"/>
      <c r="Q85" s="636"/>
      <c r="R85" s="636"/>
      <c r="S85" s="636"/>
      <c r="T85" s="636"/>
      <c r="U85" s="636"/>
      <c r="V85" s="636"/>
      <c r="W85" s="640"/>
      <c r="X85" s="640"/>
      <c r="Y85" s="640"/>
      <c r="Z85" s="640"/>
      <c r="AA85" s="640"/>
      <c r="AB85" s="640"/>
      <c r="AC85" s="640"/>
      <c r="AD85" s="640"/>
      <c r="AE85" s="640"/>
      <c r="AF85" s="640"/>
      <c r="AG85" s="640"/>
      <c r="AH85" s="640"/>
      <c r="AI85" s="640"/>
      <c r="AJ85" s="640"/>
      <c r="AK85" s="640"/>
      <c r="AL85" s="640"/>
      <c r="AM85" s="640"/>
      <c r="AN85" s="640"/>
    </row>
    <row r="86" spans="1:40" x14ac:dyDescent="0.25">
      <c r="A86" s="636"/>
      <c r="B86" s="636"/>
      <c r="C86" s="636"/>
      <c r="D86" s="636"/>
      <c r="E86" s="636"/>
      <c r="F86" s="636"/>
      <c r="G86" s="636"/>
      <c r="H86" s="636"/>
      <c r="I86" s="636"/>
      <c r="J86" s="636"/>
      <c r="K86" s="636"/>
      <c r="L86" s="636"/>
      <c r="M86" s="636"/>
      <c r="N86" s="636"/>
      <c r="O86" s="636"/>
      <c r="P86" s="636"/>
      <c r="Q86" s="636"/>
      <c r="R86" s="636"/>
      <c r="S86" s="636"/>
      <c r="T86" s="636"/>
      <c r="U86" s="636"/>
      <c r="V86" s="636"/>
      <c r="W86" s="640"/>
      <c r="X86" s="640"/>
      <c r="Y86" s="640"/>
      <c r="Z86" s="640"/>
      <c r="AA86" s="640"/>
      <c r="AB86" s="640"/>
      <c r="AC86" s="640"/>
      <c r="AD86" s="640"/>
      <c r="AE86" s="640"/>
      <c r="AF86" s="640"/>
      <c r="AG86" s="640"/>
      <c r="AH86" s="640"/>
      <c r="AI86" s="640"/>
      <c r="AJ86" s="640"/>
      <c r="AK86" s="640"/>
      <c r="AL86" s="640"/>
      <c r="AM86" s="640"/>
      <c r="AN86" s="640"/>
    </row>
    <row r="87" spans="1:40" x14ac:dyDescent="0.25">
      <c r="A87" s="636"/>
      <c r="B87" s="636"/>
      <c r="C87" s="636"/>
      <c r="D87" s="636"/>
      <c r="E87" s="636"/>
      <c r="F87" s="636"/>
      <c r="G87" s="636"/>
      <c r="H87" s="636"/>
      <c r="I87" s="636"/>
      <c r="J87" s="636"/>
      <c r="K87" s="636"/>
      <c r="L87" s="636"/>
      <c r="M87" s="636"/>
      <c r="N87" s="636"/>
      <c r="O87" s="636"/>
      <c r="P87" s="636"/>
      <c r="Q87" s="636"/>
      <c r="R87" s="636"/>
      <c r="S87" s="636"/>
      <c r="T87" s="636"/>
      <c r="U87" s="636"/>
      <c r="V87" s="636"/>
      <c r="W87" s="640"/>
      <c r="X87" s="640"/>
      <c r="Y87" s="640"/>
      <c r="Z87" s="640"/>
      <c r="AA87" s="640"/>
      <c r="AB87" s="640"/>
      <c r="AC87" s="640"/>
      <c r="AD87" s="640"/>
      <c r="AE87" s="640"/>
      <c r="AF87" s="640"/>
      <c r="AG87" s="640"/>
      <c r="AH87" s="640"/>
      <c r="AI87" s="640"/>
      <c r="AJ87" s="640"/>
      <c r="AK87" s="640"/>
      <c r="AL87" s="640"/>
      <c r="AM87" s="640"/>
      <c r="AN87" s="640"/>
    </row>
    <row r="88" spans="1:40" x14ac:dyDescent="0.25">
      <c r="A88" s="636"/>
      <c r="B88" s="636"/>
      <c r="C88" s="636"/>
      <c r="D88" s="636"/>
      <c r="E88" s="636"/>
      <c r="F88" s="636"/>
      <c r="G88" s="636"/>
      <c r="H88" s="636"/>
      <c r="I88" s="636"/>
      <c r="J88" s="636"/>
      <c r="K88" s="636"/>
      <c r="L88" s="636"/>
      <c r="M88" s="636"/>
      <c r="N88" s="636"/>
      <c r="O88" s="636"/>
      <c r="P88" s="636"/>
      <c r="Q88" s="636"/>
      <c r="R88" s="636"/>
      <c r="S88" s="636"/>
      <c r="T88" s="636"/>
      <c r="U88" s="636"/>
      <c r="V88" s="636"/>
      <c r="W88" s="640"/>
      <c r="X88" s="640"/>
      <c r="Y88" s="640"/>
      <c r="Z88" s="640"/>
      <c r="AA88" s="640"/>
      <c r="AB88" s="640"/>
      <c r="AC88" s="640"/>
      <c r="AD88" s="640"/>
      <c r="AE88" s="640"/>
      <c r="AF88" s="640"/>
      <c r="AG88" s="640"/>
      <c r="AH88" s="640"/>
      <c r="AI88" s="640"/>
      <c r="AJ88" s="640"/>
      <c r="AK88" s="640"/>
      <c r="AL88" s="640"/>
      <c r="AM88" s="640"/>
      <c r="AN88" s="640"/>
    </row>
    <row r="89" spans="1:40" x14ac:dyDescent="0.25">
      <c r="A89" s="636"/>
      <c r="B89" s="636"/>
      <c r="C89" s="636"/>
      <c r="D89" s="636"/>
      <c r="E89" s="636"/>
      <c r="F89" s="636"/>
      <c r="G89" s="636"/>
      <c r="H89" s="636"/>
      <c r="I89" s="636"/>
      <c r="J89" s="636"/>
      <c r="K89" s="636"/>
      <c r="L89" s="636"/>
      <c r="M89" s="636"/>
      <c r="N89" s="636"/>
      <c r="O89" s="636"/>
      <c r="P89" s="636"/>
      <c r="Q89" s="636"/>
      <c r="R89" s="636"/>
      <c r="S89" s="636"/>
      <c r="T89" s="636"/>
      <c r="U89" s="636"/>
      <c r="V89" s="636"/>
      <c r="W89" s="640"/>
      <c r="X89" s="640"/>
      <c r="Y89" s="640"/>
      <c r="Z89" s="640"/>
      <c r="AA89" s="640"/>
      <c r="AB89" s="640"/>
      <c r="AC89" s="640"/>
      <c r="AD89" s="640"/>
      <c r="AE89" s="640"/>
      <c r="AF89" s="640"/>
      <c r="AG89" s="640"/>
      <c r="AH89" s="640"/>
      <c r="AI89" s="640"/>
      <c r="AJ89" s="640"/>
      <c r="AK89" s="640"/>
      <c r="AL89" s="640"/>
      <c r="AM89" s="640"/>
      <c r="AN89" s="640"/>
    </row>
    <row r="90" spans="1:40" x14ac:dyDescent="0.25">
      <c r="A90" s="636"/>
      <c r="B90" s="636"/>
      <c r="C90" s="636"/>
      <c r="D90" s="636"/>
      <c r="E90" s="636"/>
      <c r="F90" s="636"/>
      <c r="G90" s="636"/>
      <c r="H90" s="636"/>
      <c r="I90" s="636"/>
      <c r="J90" s="636"/>
      <c r="K90" s="636"/>
      <c r="L90" s="636"/>
      <c r="M90" s="636"/>
      <c r="N90" s="636"/>
      <c r="O90" s="636"/>
      <c r="P90" s="636"/>
      <c r="Q90" s="636"/>
      <c r="R90" s="636"/>
      <c r="S90" s="636"/>
      <c r="T90" s="636"/>
      <c r="U90" s="636"/>
      <c r="V90" s="636"/>
      <c r="W90" s="640"/>
      <c r="X90" s="640"/>
      <c r="Y90" s="640"/>
      <c r="Z90" s="640"/>
      <c r="AA90" s="640"/>
      <c r="AB90" s="640"/>
      <c r="AC90" s="640"/>
      <c r="AD90" s="640"/>
      <c r="AE90" s="640"/>
      <c r="AF90" s="640"/>
      <c r="AG90" s="640"/>
      <c r="AH90" s="640"/>
      <c r="AI90" s="640"/>
      <c r="AJ90" s="640"/>
      <c r="AK90" s="640"/>
      <c r="AL90" s="640"/>
      <c r="AM90" s="640"/>
      <c r="AN90" s="640"/>
    </row>
    <row r="91" spans="1:40" x14ac:dyDescent="0.25">
      <c r="A91" s="636"/>
      <c r="B91" s="636"/>
      <c r="C91" s="636"/>
      <c r="D91" s="636"/>
      <c r="E91" s="636"/>
      <c r="F91" s="636"/>
      <c r="G91" s="636"/>
      <c r="H91" s="636"/>
      <c r="I91" s="636"/>
      <c r="J91" s="636"/>
      <c r="K91" s="636"/>
      <c r="L91" s="636"/>
      <c r="M91" s="636"/>
      <c r="N91" s="636"/>
      <c r="O91" s="636"/>
      <c r="P91" s="636"/>
      <c r="Q91" s="636"/>
      <c r="R91" s="636"/>
      <c r="S91" s="636"/>
      <c r="T91" s="636"/>
      <c r="U91" s="636"/>
      <c r="V91" s="636"/>
      <c r="W91" s="640"/>
      <c r="X91" s="640"/>
      <c r="Y91" s="640"/>
      <c r="Z91" s="640"/>
      <c r="AA91" s="640"/>
      <c r="AB91" s="640"/>
      <c r="AC91" s="640"/>
      <c r="AD91" s="640"/>
      <c r="AE91" s="640"/>
      <c r="AF91" s="640"/>
      <c r="AG91" s="640"/>
      <c r="AH91" s="640"/>
      <c r="AI91" s="640"/>
      <c r="AJ91" s="640"/>
      <c r="AK91" s="640"/>
      <c r="AL91" s="640"/>
      <c r="AM91" s="640"/>
      <c r="AN91" s="640"/>
    </row>
    <row r="92" spans="1:40" x14ac:dyDescent="0.25">
      <c r="A92" s="636"/>
      <c r="B92" s="636"/>
      <c r="C92" s="636"/>
      <c r="D92" s="636"/>
      <c r="E92" s="636"/>
      <c r="F92" s="636"/>
      <c r="G92" s="636"/>
      <c r="H92" s="636"/>
      <c r="I92" s="636"/>
      <c r="J92" s="636"/>
      <c r="K92" s="636"/>
      <c r="L92" s="636"/>
      <c r="M92" s="636"/>
      <c r="N92" s="636"/>
      <c r="O92" s="636"/>
      <c r="P92" s="636"/>
      <c r="Q92" s="636"/>
      <c r="R92" s="636"/>
      <c r="S92" s="636"/>
      <c r="T92" s="636"/>
      <c r="U92" s="636"/>
      <c r="V92" s="636"/>
      <c r="W92" s="640"/>
      <c r="X92" s="640"/>
      <c r="Y92" s="640"/>
      <c r="Z92" s="640"/>
      <c r="AA92" s="640"/>
      <c r="AB92" s="640"/>
      <c r="AC92" s="640"/>
      <c r="AD92" s="640"/>
      <c r="AE92" s="640"/>
      <c r="AF92" s="640"/>
      <c r="AG92" s="640"/>
      <c r="AH92" s="640"/>
      <c r="AI92" s="640"/>
      <c r="AJ92" s="640"/>
      <c r="AK92" s="640"/>
      <c r="AL92" s="640"/>
      <c r="AM92" s="640"/>
      <c r="AN92" s="640"/>
    </row>
    <row r="93" spans="1:40" x14ac:dyDescent="0.25">
      <c r="A93" s="636"/>
      <c r="B93" s="636"/>
      <c r="C93" s="636"/>
      <c r="D93" s="636"/>
      <c r="E93" s="636"/>
      <c r="F93" s="636"/>
      <c r="G93" s="636"/>
      <c r="H93" s="636"/>
      <c r="I93" s="636"/>
      <c r="J93" s="636"/>
      <c r="K93" s="636"/>
      <c r="L93" s="636"/>
      <c r="M93" s="636"/>
      <c r="N93" s="636"/>
      <c r="O93" s="636"/>
      <c r="P93" s="636"/>
      <c r="Q93" s="636"/>
      <c r="R93" s="636"/>
      <c r="S93" s="636"/>
      <c r="T93" s="636"/>
      <c r="U93" s="636"/>
      <c r="V93" s="636"/>
      <c r="W93" s="640"/>
      <c r="X93" s="640"/>
      <c r="Y93" s="640"/>
      <c r="Z93" s="640"/>
      <c r="AA93" s="640"/>
      <c r="AB93" s="640"/>
      <c r="AC93" s="640"/>
      <c r="AD93" s="640"/>
      <c r="AE93" s="640"/>
      <c r="AF93" s="640"/>
      <c r="AG93" s="640"/>
      <c r="AH93" s="640"/>
      <c r="AI93" s="640"/>
      <c r="AJ93" s="640"/>
      <c r="AK93" s="640"/>
      <c r="AL93" s="640"/>
      <c r="AM93" s="640"/>
      <c r="AN93" s="640"/>
    </row>
    <row r="94" spans="1:40" x14ac:dyDescent="0.25">
      <c r="A94" s="636"/>
      <c r="B94" s="636"/>
      <c r="C94" s="636"/>
      <c r="D94" s="636"/>
      <c r="E94" s="636"/>
      <c r="F94" s="636"/>
      <c r="G94" s="636"/>
      <c r="H94" s="636"/>
      <c r="I94" s="636"/>
      <c r="J94" s="636"/>
      <c r="K94" s="636"/>
      <c r="L94" s="636"/>
      <c r="M94" s="636"/>
      <c r="N94" s="636"/>
      <c r="O94" s="636"/>
      <c r="P94" s="636"/>
      <c r="Q94" s="636"/>
      <c r="R94" s="636"/>
      <c r="S94" s="636"/>
      <c r="T94" s="636"/>
      <c r="U94" s="636"/>
      <c r="V94" s="636"/>
      <c r="W94" s="640"/>
      <c r="X94" s="640"/>
      <c r="Y94" s="640"/>
      <c r="Z94" s="640"/>
      <c r="AA94" s="640"/>
      <c r="AB94" s="640"/>
      <c r="AC94" s="640"/>
      <c r="AD94" s="640"/>
      <c r="AE94" s="640"/>
      <c r="AF94" s="640"/>
      <c r="AG94" s="640"/>
      <c r="AH94" s="640"/>
      <c r="AI94" s="640"/>
      <c r="AJ94" s="640"/>
      <c r="AK94" s="640"/>
      <c r="AL94" s="640"/>
      <c r="AM94" s="640"/>
      <c r="AN94" s="640"/>
    </row>
    <row r="95" spans="1:40" x14ac:dyDescent="0.25">
      <c r="A95" s="636"/>
      <c r="B95" s="636"/>
      <c r="C95" s="636"/>
      <c r="D95" s="636"/>
      <c r="E95" s="636"/>
      <c r="F95" s="636"/>
      <c r="G95" s="636"/>
      <c r="H95" s="636"/>
      <c r="I95" s="636"/>
      <c r="J95" s="636"/>
      <c r="K95" s="636"/>
      <c r="L95" s="636"/>
      <c r="M95" s="636"/>
      <c r="N95" s="636"/>
      <c r="O95" s="636"/>
      <c r="P95" s="636"/>
      <c r="Q95" s="636"/>
      <c r="R95" s="636"/>
      <c r="S95" s="636"/>
      <c r="T95" s="636"/>
      <c r="U95" s="636"/>
      <c r="V95" s="636"/>
      <c r="W95" s="640"/>
      <c r="X95" s="640"/>
      <c r="Y95" s="640"/>
      <c r="Z95" s="640"/>
      <c r="AA95" s="640"/>
      <c r="AB95" s="640"/>
      <c r="AC95" s="640"/>
      <c r="AD95" s="640"/>
      <c r="AE95" s="640"/>
      <c r="AF95" s="640"/>
      <c r="AG95" s="640"/>
      <c r="AH95" s="640"/>
      <c r="AI95" s="640"/>
      <c r="AJ95" s="640"/>
      <c r="AK95" s="640"/>
      <c r="AL95" s="640"/>
      <c r="AM95" s="640"/>
      <c r="AN95" s="640"/>
    </row>
    <row r="96" spans="1:40" x14ac:dyDescent="0.25">
      <c r="A96" s="636"/>
      <c r="B96" s="636"/>
      <c r="C96" s="636"/>
      <c r="D96" s="636"/>
      <c r="E96" s="636"/>
      <c r="F96" s="636"/>
      <c r="G96" s="636"/>
      <c r="H96" s="636"/>
      <c r="I96" s="636"/>
      <c r="J96" s="636"/>
      <c r="K96" s="636"/>
      <c r="L96" s="636"/>
      <c r="M96" s="636"/>
      <c r="N96" s="636"/>
      <c r="O96" s="636"/>
      <c r="P96" s="636"/>
      <c r="Q96" s="636"/>
      <c r="R96" s="636"/>
      <c r="S96" s="636"/>
      <c r="T96" s="636"/>
      <c r="U96" s="636"/>
      <c r="V96" s="636"/>
      <c r="W96" s="640"/>
      <c r="X96" s="640"/>
      <c r="Y96" s="640"/>
      <c r="Z96" s="640"/>
      <c r="AA96" s="640"/>
      <c r="AB96" s="640"/>
      <c r="AC96" s="640"/>
      <c r="AD96" s="640"/>
      <c r="AE96" s="640"/>
      <c r="AF96" s="640"/>
      <c r="AG96" s="640"/>
      <c r="AH96" s="640"/>
      <c r="AI96" s="640"/>
      <c r="AJ96" s="640"/>
      <c r="AK96" s="640"/>
      <c r="AL96" s="640"/>
      <c r="AM96" s="640"/>
      <c r="AN96" s="640"/>
    </row>
    <row r="97" spans="1:40" x14ac:dyDescent="0.25">
      <c r="A97" s="636"/>
      <c r="B97" s="636"/>
      <c r="C97" s="636"/>
      <c r="D97" s="636"/>
      <c r="E97" s="636"/>
      <c r="F97" s="636"/>
      <c r="G97" s="636"/>
      <c r="H97" s="636"/>
      <c r="I97" s="636"/>
      <c r="J97" s="636"/>
      <c r="K97" s="636"/>
      <c r="L97" s="636"/>
      <c r="M97" s="636"/>
      <c r="N97" s="636"/>
      <c r="O97" s="636"/>
      <c r="P97" s="636"/>
      <c r="Q97" s="636"/>
      <c r="R97" s="636"/>
      <c r="S97" s="636"/>
      <c r="T97" s="636"/>
      <c r="U97" s="636"/>
      <c r="V97" s="636"/>
      <c r="W97" s="640"/>
      <c r="X97" s="640"/>
      <c r="Y97" s="640"/>
      <c r="Z97" s="640"/>
      <c r="AA97" s="640"/>
      <c r="AB97" s="640"/>
      <c r="AC97" s="640"/>
      <c r="AD97" s="640"/>
      <c r="AE97" s="640"/>
      <c r="AF97" s="640"/>
      <c r="AG97" s="640"/>
      <c r="AH97" s="640"/>
      <c r="AI97" s="640"/>
      <c r="AJ97" s="640"/>
      <c r="AK97" s="640"/>
      <c r="AL97" s="640"/>
      <c r="AM97" s="640"/>
      <c r="AN97" s="640"/>
    </row>
    <row r="98" spans="1:40" x14ac:dyDescent="0.25">
      <c r="A98" s="636"/>
      <c r="B98" s="636"/>
      <c r="C98" s="636"/>
      <c r="D98" s="636"/>
      <c r="E98" s="636"/>
      <c r="F98" s="636"/>
      <c r="G98" s="636"/>
      <c r="H98" s="636"/>
      <c r="I98" s="636"/>
      <c r="J98" s="636"/>
      <c r="K98" s="636"/>
      <c r="L98" s="636"/>
      <c r="M98" s="636"/>
      <c r="N98" s="636"/>
      <c r="O98" s="636"/>
      <c r="P98" s="636"/>
      <c r="Q98" s="636"/>
      <c r="R98" s="636"/>
      <c r="S98" s="636"/>
      <c r="T98" s="636"/>
      <c r="U98" s="636"/>
      <c r="V98" s="636"/>
      <c r="W98" s="640"/>
      <c r="X98" s="640"/>
      <c r="Y98" s="640"/>
      <c r="Z98" s="640"/>
      <c r="AA98" s="640"/>
      <c r="AB98" s="640"/>
      <c r="AC98" s="640"/>
      <c r="AD98" s="640"/>
      <c r="AE98" s="640"/>
      <c r="AF98" s="640"/>
      <c r="AG98" s="640"/>
      <c r="AH98" s="640"/>
      <c r="AI98" s="640"/>
      <c r="AJ98" s="640"/>
      <c r="AK98" s="640"/>
      <c r="AL98" s="640"/>
      <c r="AM98" s="640"/>
      <c r="AN98" s="640"/>
    </row>
    <row r="99" spans="1:40" x14ac:dyDescent="0.25">
      <c r="A99" s="636"/>
      <c r="B99" s="636"/>
      <c r="C99" s="636"/>
      <c r="D99" s="636"/>
      <c r="E99" s="636"/>
      <c r="F99" s="636"/>
      <c r="G99" s="636"/>
      <c r="H99" s="636"/>
      <c r="I99" s="636"/>
      <c r="J99" s="636"/>
      <c r="K99" s="636"/>
      <c r="L99" s="636"/>
      <c r="M99" s="636"/>
      <c r="N99" s="636"/>
      <c r="O99" s="636"/>
      <c r="P99" s="636"/>
      <c r="Q99" s="636"/>
      <c r="R99" s="636"/>
      <c r="S99" s="636"/>
      <c r="T99" s="636"/>
      <c r="U99" s="636"/>
      <c r="V99" s="636"/>
      <c r="W99" s="640"/>
      <c r="X99" s="640"/>
      <c r="Y99" s="640"/>
      <c r="Z99" s="640"/>
      <c r="AA99" s="640"/>
      <c r="AB99" s="640"/>
      <c r="AC99" s="640"/>
      <c r="AD99" s="640"/>
      <c r="AE99" s="640"/>
      <c r="AF99" s="640"/>
      <c r="AG99" s="640"/>
      <c r="AH99" s="640"/>
      <c r="AI99" s="640"/>
      <c r="AJ99" s="640"/>
      <c r="AK99" s="640"/>
      <c r="AL99" s="640"/>
      <c r="AM99" s="640"/>
      <c r="AN99" s="640"/>
    </row>
    <row r="100" spans="1:40" x14ac:dyDescent="0.25">
      <c r="A100" s="636"/>
      <c r="B100" s="636"/>
      <c r="C100" s="636"/>
      <c r="D100" s="636"/>
      <c r="E100" s="636"/>
      <c r="F100" s="636"/>
      <c r="G100" s="636"/>
      <c r="H100" s="636"/>
      <c r="I100" s="636"/>
      <c r="J100" s="636"/>
      <c r="K100" s="636"/>
      <c r="L100" s="636"/>
      <c r="M100" s="636"/>
      <c r="N100" s="636"/>
      <c r="O100" s="636"/>
      <c r="P100" s="636"/>
      <c r="Q100" s="636"/>
      <c r="R100" s="636"/>
      <c r="S100" s="636"/>
      <c r="T100" s="636"/>
      <c r="U100" s="636"/>
      <c r="V100" s="636"/>
      <c r="W100" s="640"/>
      <c r="X100" s="640"/>
      <c r="Y100" s="640"/>
      <c r="Z100" s="640"/>
      <c r="AA100" s="640"/>
      <c r="AB100" s="640"/>
      <c r="AC100" s="640"/>
      <c r="AD100" s="640"/>
      <c r="AE100" s="640"/>
      <c r="AF100" s="640"/>
      <c r="AG100" s="640"/>
      <c r="AH100" s="640"/>
      <c r="AI100" s="640"/>
      <c r="AJ100" s="640"/>
      <c r="AK100" s="640"/>
      <c r="AL100" s="640"/>
      <c r="AM100" s="640"/>
      <c r="AN100" s="640"/>
    </row>
    <row r="101" spans="1:40" x14ac:dyDescent="0.25">
      <c r="A101" s="636"/>
      <c r="B101" s="636"/>
      <c r="C101" s="636"/>
      <c r="D101" s="636"/>
      <c r="E101" s="636"/>
      <c r="F101" s="636"/>
      <c r="G101" s="636"/>
      <c r="H101" s="636"/>
      <c r="I101" s="636"/>
      <c r="J101" s="636"/>
      <c r="K101" s="636"/>
      <c r="L101" s="636"/>
      <c r="M101" s="636"/>
      <c r="N101" s="636"/>
      <c r="O101" s="636"/>
      <c r="P101" s="636"/>
      <c r="Q101" s="636"/>
      <c r="R101" s="636"/>
      <c r="S101" s="636"/>
      <c r="T101" s="636"/>
      <c r="U101" s="636"/>
      <c r="V101" s="636"/>
      <c r="W101" s="640"/>
      <c r="X101" s="640"/>
      <c r="Y101" s="640"/>
      <c r="Z101" s="640"/>
      <c r="AA101" s="640"/>
      <c r="AB101" s="640"/>
      <c r="AC101" s="640"/>
      <c r="AD101" s="640"/>
      <c r="AE101" s="640"/>
      <c r="AF101" s="640"/>
      <c r="AG101" s="640"/>
      <c r="AH101" s="640"/>
      <c r="AI101" s="640"/>
      <c r="AJ101" s="640"/>
      <c r="AK101" s="640"/>
      <c r="AL101" s="640"/>
      <c r="AM101" s="640"/>
      <c r="AN101" s="640"/>
    </row>
    <row r="102" spans="1:40" x14ac:dyDescent="0.25">
      <c r="A102" s="636"/>
      <c r="B102" s="636"/>
      <c r="C102" s="636"/>
      <c r="D102" s="636"/>
      <c r="E102" s="636"/>
      <c r="F102" s="636"/>
      <c r="G102" s="636"/>
      <c r="H102" s="636"/>
      <c r="I102" s="636"/>
      <c r="J102" s="636"/>
      <c r="K102" s="636"/>
      <c r="L102" s="636"/>
      <c r="M102" s="636"/>
      <c r="N102" s="636"/>
      <c r="O102" s="636"/>
      <c r="P102" s="636"/>
      <c r="Q102" s="636"/>
      <c r="R102" s="636"/>
      <c r="S102" s="636"/>
      <c r="T102" s="636"/>
      <c r="U102" s="636"/>
      <c r="V102" s="636"/>
      <c r="W102" s="640"/>
      <c r="X102" s="640"/>
      <c r="Y102" s="640"/>
      <c r="Z102" s="640"/>
      <c r="AA102" s="640"/>
      <c r="AB102" s="640"/>
      <c r="AC102" s="640"/>
      <c r="AD102" s="640"/>
      <c r="AE102" s="640"/>
      <c r="AF102" s="640"/>
      <c r="AG102" s="640"/>
      <c r="AH102" s="640"/>
      <c r="AI102" s="640"/>
      <c r="AJ102" s="640"/>
      <c r="AK102" s="640"/>
      <c r="AL102" s="640"/>
      <c r="AM102" s="640"/>
      <c r="AN102" s="640"/>
    </row>
    <row r="103" spans="1:40" x14ac:dyDescent="0.25">
      <c r="A103" s="636"/>
      <c r="B103" s="636"/>
      <c r="C103" s="636"/>
      <c r="D103" s="636"/>
      <c r="E103" s="636"/>
      <c r="F103" s="636"/>
      <c r="G103" s="636"/>
      <c r="H103" s="636"/>
      <c r="I103" s="636"/>
      <c r="J103" s="636"/>
      <c r="K103" s="636"/>
      <c r="L103" s="636"/>
      <c r="M103" s="636"/>
      <c r="N103" s="636"/>
      <c r="O103" s="636"/>
      <c r="P103" s="636"/>
      <c r="Q103" s="636"/>
      <c r="R103" s="636"/>
      <c r="S103" s="636"/>
      <c r="T103" s="636"/>
      <c r="U103" s="636"/>
      <c r="V103" s="636"/>
      <c r="W103" s="640"/>
      <c r="X103" s="640"/>
      <c r="Y103" s="640"/>
      <c r="Z103" s="640"/>
      <c r="AA103" s="640"/>
      <c r="AB103" s="640"/>
      <c r="AC103" s="640"/>
      <c r="AD103" s="640"/>
      <c r="AE103" s="640"/>
      <c r="AF103" s="640"/>
      <c r="AG103" s="640"/>
      <c r="AH103" s="640"/>
      <c r="AI103" s="640"/>
      <c r="AJ103" s="640"/>
      <c r="AK103" s="640"/>
      <c r="AL103" s="640"/>
      <c r="AM103" s="640"/>
      <c r="AN103" s="640"/>
    </row>
    <row r="104" spans="1:40" x14ac:dyDescent="0.25">
      <c r="A104" s="636"/>
      <c r="B104" s="636"/>
      <c r="C104" s="636"/>
      <c r="D104" s="636"/>
      <c r="E104" s="636"/>
      <c r="F104" s="636"/>
      <c r="G104" s="636"/>
      <c r="H104" s="636"/>
      <c r="I104" s="636"/>
      <c r="J104" s="636"/>
      <c r="K104" s="636"/>
      <c r="L104" s="636"/>
      <c r="M104" s="636"/>
      <c r="N104" s="636"/>
      <c r="O104" s="636"/>
      <c r="P104" s="636"/>
      <c r="Q104" s="636"/>
      <c r="R104" s="636"/>
      <c r="S104" s="636"/>
      <c r="T104" s="636"/>
      <c r="U104" s="636"/>
      <c r="V104" s="636"/>
      <c r="W104" s="640"/>
      <c r="X104" s="640"/>
      <c r="Y104" s="640"/>
      <c r="Z104" s="640"/>
      <c r="AA104" s="640"/>
      <c r="AB104" s="640"/>
      <c r="AC104" s="640"/>
      <c r="AD104" s="640"/>
      <c r="AE104" s="640"/>
      <c r="AF104" s="640"/>
      <c r="AG104" s="640"/>
      <c r="AH104" s="640"/>
      <c r="AI104" s="640"/>
      <c r="AJ104" s="640"/>
      <c r="AK104" s="640"/>
      <c r="AL104" s="640"/>
      <c r="AM104" s="640"/>
      <c r="AN104" s="640"/>
    </row>
    <row r="105" spans="1:40" x14ac:dyDescent="0.25">
      <c r="A105" s="636"/>
      <c r="B105" s="636"/>
      <c r="C105" s="636"/>
      <c r="D105" s="636"/>
      <c r="E105" s="636"/>
      <c r="F105" s="636"/>
      <c r="G105" s="636"/>
      <c r="H105" s="636"/>
      <c r="I105" s="636"/>
      <c r="J105" s="636"/>
      <c r="K105" s="636"/>
      <c r="L105" s="636"/>
      <c r="M105" s="636"/>
      <c r="N105" s="636"/>
      <c r="O105" s="636"/>
      <c r="P105" s="636"/>
      <c r="Q105" s="636"/>
      <c r="R105" s="636"/>
      <c r="S105" s="636"/>
      <c r="T105" s="636"/>
      <c r="U105" s="636"/>
      <c r="V105" s="636"/>
      <c r="W105" s="640"/>
      <c r="X105" s="640"/>
      <c r="Y105" s="640"/>
      <c r="Z105" s="640"/>
      <c r="AA105" s="640"/>
      <c r="AB105" s="640"/>
      <c r="AC105" s="640"/>
      <c r="AD105" s="640"/>
      <c r="AE105" s="640"/>
      <c r="AF105" s="640"/>
      <c r="AG105" s="640"/>
      <c r="AH105" s="640"/>
      <c r="AI105" s="640"/>
      <c r="AJ105" s="640"/>
      <c r="AK105" s="640"/>
      <c r="AL105" s="640"/>
      <c r="AM105" s="640"/>
      <c r="AN105" s="640"/>
    </row>
    <row r="106" spans="1:40" x14ac:dyDescent="0.25">
      <c r="A106" s="636"/>
      <c r="B106" s="636"/>
      <c r="C106" s="636"/>
      <c r="D106" s="636"/>
      <c r="E106" s="636"/>
      <c r="F106" s="636"/>
      <c r="G106" s="636"/>
      <c r="H106" s="636"/>
      <c r="I106" s="636"/>
      <c r="J106" s="636"/>
      <c r="K106" s="636"/>
      <c r="L106" s="636"/>
      <c r="M106" s="636"/>
      <c r="N106" s="636"/>
      <c r="O106" s="636"/>
      <c r="P106" s="636"/>
      <c r="Q106" s="636"/>
      <c r="R106" s="636"/>
      <c r="S106" s="636"/>
      <c r="T106" s="636"/>
      <c r="U106" s="636"/>
      <c r="V106" s="636"/>
      <c r="W106" s="640"/>
      <c r="X106" s="640"/>
      <c r="Y106" s="640"/>
      <c r="Z106" s="640"/>
      <c r="AA106" s="640"/>
      <c r="AB106" s="640"/>
      <c r="AC106" s="640"/>
      <c r="AD106" s="640"/>
      <c r="AE106" s="640"/>
      <c r="AF106" s="640"/>
      <c r="AG106" s="640"/>
      <c r="AH106" s="640"/>
      <c r="AI106" s="640"/>
      <c r="AJ106" s="640"/>
      <c r="AK106" s="640"/>
      <c r="AL106" s="640"/>
      <c r="AM106" s="640"/>
      <c r="AN106" s="640"/>
    </row>
    <row r="107" spans="1:40" x14ac:dyDescent="0.25">
      <c r="A107" s="636"/>
      <c r="B107" s="636"/>
      <c r="C107" s="636"/>
      <c r="D107" s="636"/>
      <c r="E107" s="636"/>
      <c r="F107" s="636"/>
      <c r="G107" s="636"/>
      <c r="H107" s="636"/>
      <c r="I107" s="636"/>
      <c r="J107" s="636"/>
      <c r="K107" s="636"/>
      <c r="L107" s="636"/>
      <c r="M107" s="636"/>
      <c r="N107" s="636"/>
      <c r="O107" s="636"/>
      <c r="P107" s="636"/>
      <c r="Q107" s="636"/>
      <c r="R107" s="636"/>
      <c r="S107" s="636"/>
      <c r="T107" s="636"/>
      <c r="U107" s="636"/>
      <c r="V107" s="636"/>
      <c r="W107" s="640"/>
      <c r="X107" s="640"/>
      <c r="Y107" s="640"/>
      <c r="Z107" s="640"/>
      <c r="AA107" s="640"/>
      <c r="AB107" s="640"/>
      <c r="AC107" s="640"/>
      <c r="AD107" s="640"/>
      <c r="AE107" s="640"/>
      <c r="AF107" s="640"/>
      <c r="AG107" s="640"/>
      <c r="AH107" s="640"/>
      <c r="AI107" s="640"/>
      <c r="AJ107" s="640"/>
      <c r="AK107" s="640"/>
      <c r="AL107" s="640"/>
      <c r="AM107" s="640"/>
      <c r="AN107" s="640"/>
    </row>
    <row r="108" spans="1:40" x14ac:dyDescent="0.25">
      <c r="A108" s="636"/>
      <c r="B108" s="636"/>
      <c r="C108" s="636"/>
      <c r="D108" s="636"/>
      <c r="E108" s="636"/>
      <c r="F108" s="636"/>
      <c r="G108" s="636"/>
      <c r="H108" s="636"/>
      <c r="I108" s="636"/>
      <c r="J108" s="636"/>
      <c r="K108" s="636"/>
      <c r="L108" s="636"/>
      <c r="M108" s="636"/>
      <c r="N108" s="636"/>
      <c r="O108" s="636"/>
      <c r="P108" s="636"/>
      <c r="Q108" s="636"/>
      <c r="R108" s="636"/>
      <c r="S108" s="636"/>
      <c r="T108" s="636"/>
      <c r="U108" s="636"/>
      <c r="V108" s="636"/>
      <c r="W108" s="640"/>
      <c r="X108" s="640"/>
      <c r="Y108" s="640"/>
      <c r="Z108" s="640"/>
      <c r="AA108" s="640"/>
      <c r="AB108" s="640"/>
      <c r="AC108" s="640"/>
      <c r="AD108" s="640"/>
      <c r="AE108" s="640"/>
      <c r="AF108" s="640"/>
      <c r="AG108" s="640"/>
      <c r="AH108" s="640"/>
      <c r="AI108" s="640"/>
      <c r="AJ108" s="640"/>
      <c r="AK108" s="640"/>
      <c r="AL108" s="640"/>
      <c r="AM108" s="640"/>
      <c r="AN108" s="640"/>
    </row>
    <row r="109" spans="1:40" x14ac:dyDescent="0.25">
      <c r="A109" s="636"/>
      <c r="B109" s="636"/>
      <c r="C109" s="636"/>
      <c r="D109" s="636"/>
      <c r="E109" s="636"/>
      <c r="F109" s="636"/>
      <c r="G109" s="636"/>
      <c r="H109" s="636"/>
      <c r="I109" s="636"/>
      <c r="J109" s="636"/>
      <c r="K109" s="636"/>
      <c r="L109" s="636"/>
      <c r="M109" s="636"/>
      <c r="N109" s="636"/>
      <c r="O109" s="636"/>
      <c r="P109" s="636"/>
      <c r="Q109" s="636"/>
      <c r="R109" s="636"/>
      <c r="S109" s="636"/>
      <c r="T109" s="636"/>
      <c r="U109" s="636"/>
      <c r="V109" s="636"/>
      <c r="W109" s="640"/>
      <c r="X109" s="640"/>
      <c r="Y109" s="640"/>
      <c r="Z109" s="640"/>
      <c r="AA109" s="640"/>
      <c r="AB109" s="640"/>
      <c r="AC109" s="640"/>
      <c r="AD109" s="640"/>
      <c r="AE109" s="640"/>
      <c r="AF109" s="640"/>
      <c r="AG109" s="640"/>
      <c r="AH109" s="640"/>
      <c r="AI109" s="640"/>
      <c r="AJ109" s="640"/>
      <c r="AK109" s="640"/>
      <c r="AL109" s="640"/>
      <c r="AM109" s="640"/>
      <c r="AN109" s="640"/>
    </row>
    <row r="110" spans="1:40" x14ac:dyDescent="0.25">
      <c r="A110" s="636"/>
      <c r="B110" s="636"/>
      <c r="C110" s="636"/>
      <c r="D110" s="636"/>
      <c r="E110" s="636"/>
      <c r="F110" s="636"/>
      <c r="G110" s="636"/>
      <c r="H110" s="636"/>
      <c r="I110" s="636"/>
      <c r="J110" s="636"/>
      <c r="K110" s="636"/>
      <c r="L110" s="636"/>
      <c r="M110" s="636"/>
      <c r="N110" s="636"/>
      <c r="O110" s="636"/>
      <c r="P110" s="636"/>
      <c r="Q110" s="636"/>
      <c r="R110" s="636"/>
      <c r="S110" s="636"/>
      <c r="T110" s="636"/>
      <c r="U110" s="636"/>
      <c r="V110" s="636"/>
      <c r="W110" s="640"/>
      <c r="X110" s="640"/>
      <c r="Y110" s="640"/>
      <c r="Z110" s="640"/>
      <c r="AA110" s="640"/>
      <c r="AB110" s="640"/>
      <c r="AC110" s="640"/>
      <c r="AD110" s="640"/>
      <c r="AE110" s="640"/>
      <c r="AF110" s="640"/>
      <c r="AG110" s="640"/>
      <c r="AH110" s="640"/>
      <c r="AI110" s="640"/>
      <c r="AJ110" s="640"/>
      <c r="AK110" s="640"/>
      <c r="AL110" s="640"/>
      <c r="AM110" s="640"/>
      <c r="AN110" s="640"/>
    </row>
    <row r="111" spans="1:40" x14ac:dyDescent="0.25">
      <c r="A111" s="636"/>
      <c r="B111" s="636"/>
      <c r="C111" s="636"/>
      <c r="D111" s="636"/>
      <c r="E111" s="636"/>
      <c r="F111" s="636"/>
      <c r="G111" s="636"/>
      <c r="H111" s="636"/>
      <c r="I111" s="636"/>
      <c r="J111" s="636"/>
      <c r="K111" s="636"/>
      <c r="L111" s="636"/>
      <c r="M111" s="636"/>
      <c r="N111" s="636"/>
      <c r="O111" s="636"/>
      <c r="P111" s="636"/>
      <c r="Q111" s="636"/>
      <c r="R111" s="636"/>
      <c r="S111" s="636"/>
      <c r="T111" s="636"/>
      <c r="U111" s="636"/>
      <c r="V111" s="636"/>
      <c r="W111" s="640"/>
      <c r="X111" s="640"/>
      <c r="Y111" s="640"/>
      <c r="Z111" s="640"/>
      <c r="AA111" s="640"/>
      <c r="AB111" s="640"/>
      <c r="AC111" s="640"/>
      <c r="AD111" s="640"/>
      <c r="AE111" s="640"/>
      <c r="AF111" s="640"/>
      <c r="AG111" s="640"/>
      <c r="AH111" s="640"/>
      <c r="AI111" s="640"/>
      <c r="AJ111" s="640"/>
      <c r="AK111" s="640"/>
      <c r="AL111" s="640"/>
      <c r="AM111" s="640"/>
      <c r="AN111" s="640"/>
    </row>
    <row r="112" spans="1:40" x14ac:dyDescent="0.25">
      <c r="A112" s="636"/>
      <c r="B112" s="636"/>
      <c r="C112" s="636"/>
      <c r="D112" s="636"/>
      <c r="E112" s="636"/>
      <c r="F112" s="636"/>
      <c r="G112" s="636"/>
      <c r="H112" s="636"/>
      <c r="I112" s="636"/>
      <c r="J112" s="636"/>
      <c r="K112" s="636"/>
      <c r="L112" s="636"/>
      <c r="M112" s="636"/>
      <c r="N112" s="636"/>
      <c r="O112" s="636"/>
      <c r="P112" s="636"/>
      <c r="Q112" s="636"/>
      <c r="R112" s="636"/>
      <c r="S112" s="636"/>
      <c r="T112" s="636"/>
      <c r="U112" s="636"/>
      <c r="V112" s="636"/>
      <c r="W112" s="640"/>
      <c r="X112" s="640"/>
      <c r="Y112" s="640"/>
      <c r="Z112" s="640"/>
      <c r="AA112" s="640"/>
      <c r="AB112" s="640"/>
      <c r="AC112" s="640"/>
      <c r="AD112" s="640"/>
      <c r="AE112" s="640"/>
      <c r="AF112" s="640"/>
      <c r="AG112" s="640"/>
      <c r="AH112" s="640"/>
      <c r="AI112" s="640"/>
      <c r="AJ112" s="640"/>
      <c r="AK112" s="640"/>
      <c r="AL112" s="640"/>
      <c r="AM112" s="640"/>
      <c r="AN112" s="640"/>
    </row>
    <row r="113" spans="1:40" x14ac:dyDescent="0.25">
      <c r="A113" s="636"/>
      <c r="B113" s="636"/>
      <c r="C113" s="636"/>
      <c r="D113" s="636"/>
      <c r="E113" s="636"/>
      <c r="F113" s="636"/>
      <c r="G113" s="636"/>
      <c r="H113" s="636"/>
      <c r="I113" s="636"/>
      <c r="J113" s="636"/>
      <c r="K113" s="636"/>
      <c r="L113" s="636"/>
      <c r="M113" s="636"/>
      <c r="N113" s="636"/>
      <c r="O113" s="636"/>
      <c r="P113" s="636"/>
      <c r="Q113" s="636"/>
      <c r="R113" s="636"/>
      <c r="S113" s="636"/>
      <c r="T113" s="636"/>
      <c r="U113" s="636"/>
      <c r="V113" s="636"/>
      <c r="W113" s="640"/>
      <c r="X113" s="640"/>
      <c r="Y113" s="640"/>
      <c r="Z113" s="640"/>
      <c r="AA113" s="640"/>
      <c r="AB113" s="640"/>
      <c r="AC113" s="640"/>
      <c r="AD113" s="640"/>
      <c r="AE113" s="640"/>
      <c r="AF113" s="640"/>
      <c r="AG113" s="640"/>
      <c r="AH113" s="640"/>
      <c r="AI113" s="640"/>
      <c r="AJ113" s="640"/>
      <c r="AK113" s="640"/>
      <c r="AL113" s="640"/>
      <c r="AM113" s="640"/>
      <c r="AN113" s="640"/>
    </row>
    <row r="114" spans="1:40" x14ac:dyDescent="0.25">
      <c r="A114" s="636"/>
      <c r="B114" s="636"/>
      <c r="C114" s="636"/>
      <c r="D114" s="636"/>
      <c r="E114" s="636"/>
      <c r="F114" s="636"/>
      <c r="G114" s="636"/>
      <c r="H114" s="636"/>
      <c r="I114" s="636"/>
      <c r="J114" s="636"/>
      <c r="K114" s="636"/>
      <c r="L114" s="636"/>
      <c r="M114" s="636"/>
      <c r="N114" s="636"/>
      <c r="O114" s="636"/>
      <c r="P114" s="636"/>
      <c r="Q114" s="636"/>
      <c r="R114" s="636"/>
      <c r="S114" s="636"/>
      <c r="T114" s="636"/>
      <c r="U114" s="636"/>
      <c r="V114" s="636"/>
      <c r="W114" s="640"/>
      <c r="X114" s="640"/>
      <c r="Y114" s="640"/>
      <c r="Z114" s="640"/>
      <c r="AA114" s="640"/>
      <c r="AB114" s="640"/>
      <c r="AC114" s="640"/>
      <c r="AD114" s="640"/>
      <c r="AE114" s="640"/>
      <c r="AF114" s="640"/>
      <c r="AG114" s="640"/>
      <c r="AH114" s="640"/>
      <c r="AI114" s="640"/>
      <c r="AJ114" s="640"/>
      <c r="AK114" s="640"/>
      <c r="AL114" s="640"/>
      <c r="AM114" s="640"/>
      <c r="AN114" s="640"/>
    </row>
    <row r="115" spans="1:40" x14ac:dyDescent="0.25">
      <c r="A115" s="636"/>
      <c r="B115" s="636"/>
      <c r="C115" s="636"/>
      <c r="D115" s="636"/>
      <c r="E115" s="636"/>
      <c r="F115" s="636"/>
      <c r="G115" s="636"/>
      <c r="H115" s="636"/>
      <c r="I115" s="636"/>
      <c r="J115" s="636"/>
      <c r="K115" s="636"/>
      <c r="L115" s="636"/>
      <c r="M115" s="636"/>
      <c r="N115" s="636"/>
      <c r="O115" s="636"/>
      <c r="P115" s="636"/>
      <c r="Q115" s="636"/>
      <c r="R115" s="636"/>
      <c r="S115" s="636"/>
      <c r="T115" s="636"/>
      <c r="U115" s="636"/>
      <c r="V115" s="636"/>
      <c r="W115" s="640"/>
      <c r="X115" s="640"/>
      <c r="Y115" s="640"/>
      <c r="Z115" s="640"/>
      <c r="AA115" s="640"/>
      <c r="AB115" s="640"/>
      <c r="AC115" s="640"/>
      <c r="AD115" s="640"/>
      <c r="AE115" s="640"/>
      <c r="AF115" s="640"/>
      <c r="AG115" s="640"/>
      <c r="AH115" s="640"/>
      <c r="AI115" s="640"/>
      <c r="AJ115" s="640"/>
      <c r="AK115" s="640"/>
      <c r="AL115" s="640"/>
      <c r="AM115" s="640"/>
      <c r="AN115" s="640"/>
    </row>
    <row r="116" spans="1:40" x14ac:dyDescent="0.25">
      <c r="A116" s="636"/>
      <c r="B116" s="636"/>
      <c r="C116" s="636"/>
      <c r="D116" s="636"/>
      <c r="E116" s="636"/>
      <c r="F116" s="636"/>
      <c r="G116" s="636"/>
      <c r="H116" s="636"/>
      <c r="I116" s="636"/>
      <c r="J116" s="636"/>
      <c r="K116" s="636"/>
      <c r="L116" s="636"/>
      <c r="M116" s="636"/>
      <c r="N116" s="636"/>
      <c r="O116" s="636"/>
      <c r="P116" s="636"/>
      <c r="Q116" s="636"/>
      <c r="R116" s="636"/>
      <c r="S116" s="636"/>
      <c r="T116" s="636"/>
      <c r="U116" s="636"/>
      <c r="V116" s="636"/>
      <c r="W116" s="640"/>
      <c r="X116" s="640"/>
      <c r="Y116" s="640"/>
      <c r="Z116" s="640"/>
      <c r="AA116" s="640"/>
      <c r="AB116" s="640"/>
      <c r="AC116" s="640"/>
      <c r="AD116" s="640"/>
      <c r="AE116" s="640"/>
      <c r="AF116" s="640"/>
      <c r="AG116" s="640"/>
      <c r="AH116" s="640"/>
      <c r="AI116" s="640"/>
      <c r="AJ116" s="640"/>
      <c r="AK116" s="640"/>
      <c r="AL116" s="640"/>
      <c r="AM116" s="640"/>
      <c r="AN116" s="640"/>
    </row>
    <row r="117" spans="1:40" x14ac:dyDescent="0.25">
      <c r="A117" s="636"/>
      <c r="B117" s="636"/>
      <c r="C117" s="636"/>
      <c r="D117" s="636"/>
      <c r="E117" s="636"/>
      <c r="F117" s="636"/>
      <c r="G117" s="636"/>
      <c r="H117" s="636"/>
      <c r="I117" s="636"/>
      <c r="J117" s="636"/>
      <c r="K117" s="636"/>
      <c r="L117" s="636"/>
      <c r="M117" s="636"/>
      <c r="N117" s="636"/>
      <c r="O117" s="636"/>
      <c r="P117" s="636"/>
      <c r="Q117" s="636"/>
      <c r="R117" s="636"/>
      <c r="S117" s="636"/>
      <c r="T117" s="636"/>
      <c r="U117" s="636"/>
      <c r="V117" s="636"/>
      <c r="W117" s="640"/>
      <c r="X117" s="640"/>
      <c r="Y117" s="640"/>
      <c r="Z117" s="640"/>
      <c r="AA117" s="640"/>
      <c r="AB117" s="640"/>
      <c r="AC117" s="640"/>
      <c r="AD117" s="640"/>
      <c r="AE117" s="640"/>
      <c r="AF117" s="640"/>
      <c r="AG117" s="640"/>
      <c r="AH117" s="640"/>
      <c r="AI117" s="640"/>
      <c r="AJ117" s="640"/>
      <c r="AK117" s="640"/>
      <c r="AL117" s="640"/>
      <c r="AM117" s="640"/>
      <c r="AN117" s="640"/>
    </row>
    <row r="118" spans="1:40" x14ac:dyDescent="0.25">
      <c r="A118" s="636"/>
      <c r="B118" s="636"/>
      <c r="C118" s="636"/>
      <c r="D118" s="636"/>
      <c r="E118" s="636"/>
      <c r="F118" s="636"/>
      <c r="G118" s="636"/>
      <c r="H118" s="636"/>
      <c r="I118" s="636"/>
      <c r="J118" s="636"/>
      <c r="K118" s="636"/>
      <c r="L118" s="636"/>
      <c r="M118" s="636"/>
      <c r="N118" s="636"/>
      <c r="O118" s="636"/>
      <c r="P118" s="636"/>
      <c r="Q118" s="636"/>
      <c r="R118" s="636"/>
      <c r="S118" s="636"/>
      <c r="T118" s="636"/>
      <c r="U118" s="636"/>
      <c r="V118" s="636"/>
      <c r="W118" s="640"/>
      <c r="X118" s="640"/>
      <c r="Y118" s="640"/>
      <c r="Z118" s="640"/>
      <c r="AA118" s="640"/>
      <c r="AB118" s="640"/>
      <c r="AC118" s="640"/>
      <c r="AD118" s="640"/>
      <c r="AE118" s="640"/>
      <c r="AF118" s="640"/>
      <c r="AG118" s="640"/>
      <c r="AH118" s="640"/>
      <c r="AI118" s="640"/>
      <c r="AJ118" s="640"/>
      <c r="AK118" s="640"/>
      <c r="AL118" s="640"/>
      <c r="AM118" s="640"/>
      <c r="AN118" s="640"/>
    </row>
    <row r="119" spans="1:40" x14ac:dyDescent="0.25">
      <c r="A119" s="636"/>
      <c r="B119" s="636"/>
      <c r="C119" s="636"/>
      <c r="D119" s="636"/>
      <c r="E119" s="636"/>
      <c r="F119" s="636"/>
      <c r="G119" s="636"/>
      <c r="H119" s="636"/>
      <c r="I119" s="636"/>
      <c r="J119" s="636"/>
      <c r="K119" s="636"/>
      <c r="L119" s="636"/>
      <c r="M119" s="636"/>
      <c r="N119" s="636"/>
      <c r="O119" s="636"/>
      <c r="P119" s="636"/>
      <c r="Q119" s="636"/>
      <c r="R119" s="636"/>
      <c r="S119" s="636"/>
      <c r="T119" s="636"/>
      <c r="U119" s="636"/>
      <c r="V119" s="636"/>
      <c r="W119" s="640"/>
      <c r="X119" s="640"/>
      <c r="Y119" s="640"/>
      <c r="Z119" s="640"/>
      <c r="AA119" s="640"/>
      <c r="AB119" s="640"/>
      <c r="AC119" s="640"/>
      <c r="AD119" s="640"/>
      <c r="AE119" s="640"/>
      <c r="AF119" s="640"/>
      <c r="AG119" s="640"/>
      <c r="AH119" s="640"/>
      <c r="AI119" s="640"/>
      <c r="AJ119" s="640"/>
      <c r="AK119" s="640"/>
      <c r="AL119" s="640"/>
      <c r="AM119" s="640"/>
      <c r="AN119" s="640"/>
    </row>
    <row r="120" spans="1:40" x14ac:dyDescent="0.25">
      <c r="A120" s="636"/>
      <c r="B120" s="636"/>
      <c r="C120" s="636"/>
      <c r="D120" s="636"/>
      <c r="E120" s="636"/>
      <c r="F120" s="636"/>
      <c r="G120" s="636"/>
      <c r="H120" s="636"/>
      <c r="I120" s="636"/>
      <c r="J120" s="636"/>
      <c r="K120" s="636"/>
      <c r="L120" s="636"/>
      <c r="M120" s="636"/>
      <c r="N120" s="636"/>
      <c r="O120" s="636"/>
      <c r="P120" s="636"/>
      <c r="Q120" s="636"/>
      <c r="R120" s="636"/>
      <c r="S120" s="636"/>
      <c r="T120" s="636"/>
      <c r="U120" s="636"/>
      <c r="V120" s="636"/>
      <c r="W120" s="640"/>
      <c r="X120" s="640"/>
      <c r="Y120" s="640"/>
      <c r="Z120" s="640"/>
      <c r="AA120" s="640"/>
      <c r="AB120" s="640"/>
      <c r="AC120" s="640"/>
      <c r="AD120" s="640"/>
      <c r="AE120" s="640"/>
      <c r="AF120" s="640"/>
      <c r="AG120" s="640"/>
      <c r="AH120" s="640"/>
      <c r="AI120" s="640"/>
      <c r="AJ120" s="640"/>
      <c r="AK120" s="640"/>
      <c r="AL120" s="640"/>
      <c r="AM120" s="640"/>
      <c r="AN120" s="640"/>
    </row>
    <row r="121" spans="1:40" x14ac:dyDescent="0.25">
      <c r="A121" s="636"/>
      <c r="B121" s="636"/>
      <c r="C121" s="636"/>
      <c r="D121" s="636"/>
      <c r="E121" s="636"/>
      <c r="F121" s="636"/>
      <c r="G121" s="636"/>
      <c r="H121" s="636"/>
      <c r="I121" s="636"/>
      <c r="J121" s="636"/>
      <c r="K121" s="636"/>
      <c r="L121" s="636"/>
      <c r="M121" s="636"/>
      <c r="N121" s="636"/>
      <c r="O121" s="636"/>
      <c r="P121" s="636"/>
      <c r="Q121" s="636"/>
      <c r="R121" s="636"/>
      <c r="S121" s="636"/>
      <c r="T121" s="636"/>
      <c r="U121" s="636"/>
      <c r="V121" s="636"/>
      <c r="W121" s="640"/>
      <c r="X121" s="640"/>
      <c r="Y121" s="640"/>
      <c r="Z121" s="640"/>
      <c r="AA121" s="640"/>
      <c r="AB121" s="640"/>
      <c r="AC121" s="640"/>
      <c r="AD121" s="640"/>
      <c r="AE121" s="640"/>
      <c r="AF121" s="640"/>
      <c r="AG121" s="640"/>
      <c r="AH121" s="640"/>
      <c r="AI121" s="640"/>
      <c r="AJ121" s="640"/>
      <c r="AK121" s="640"/>
      <c r="AL121" s="640"/>
      <c r="AM121" s="640"/>
      <c r="AN121" s="640"/>
    </row>
    <row r="122" spans="1:40" x14ac:dyDescent="0.25">
      <c r="A122" s="636"/>
      <c r="C122" s="636"/>
      <c r="D122" s="636"/>
      <c r="E122" s="636"/>
      <c r="F122" s="636"/>
      <c r="G122" s="636"/>
      <c r="H122" s="636"/>
      <c r="I122" s="636"/>
      <c r="J122" s="636"/>
      <c r="K122" s="636"/>
      <c r="L122" s="636"/>
      <c r="M122" s="636"/>
      <c r="N122" s="636"/>
      <c r="O122" s="636"/>
      <c r="P122" s="636"/>
      <c r="Q122" s="636"/>
      <c r="R122" s="636"/>
      <c r="S122" s="636"/>
      <c r="W122" s="640"/>
      <c r="X122" s="640"/>
      <c r="Y122" s="640"/>
      <c r="Z122" s="640"/>
      <c r="AA122" s="640"/>
      <c r="AB122" s="640"/>
      <c r="AC122" s="640"/>
      <c r="AD122" s="640"/>
      <c r="AE122" s="640"/>
      <c r="AF122" s="640"/>
      <c r="AG122" s="640"/>
      <c r="AH122" s="640"/>
      <c r="AI122" s="640"/>
      <c r="AJ122" s="640"/>
      <c r="AK122" s="640"/>
      <c r="AL122" s="640"/>
      <c r="AM122" s="640"/>
      <c r="AN122" s="640"/>
    </row>
    <row r="123" spans="1:40" x14ac:dyDescent="0.25">
      <c r="A123" s="636"/>
      <c r="C123" s="636"/>
      <c r="D123" s="636"/>
      <c r="E123" s="636"/>
      <c r="F123" s="636"/>
      <c r="G123" s="636"/>
      <c r="H123" s="636"/>
      <c r="I123" s="636"/>
      <c r="J123" s="636"/>
      <c r="K123" s="636"/>
      <c r="L123" s="636"/>
      <c r="M123" s="636"/>
      <c r="N123" s="636"/>
      <c r="O123" s="636"/>
      <c r="P123" s="636"/>
      <c r="Q123" s="636"/>
      <c r="R123" s="636"/>
      <c r="S123" s="636"/>
      <c r="W123" s="640"/>
      <c r="X123" s="640"/>
      <c r="Y123" s="640"/>
      <c r="Z123" s="640"/>
      <c r="AA123" s="640"/>
      <c r="AB123" s="640"/>
      <c r="AC123" s="640"/>
      <c r="AD123" s="640"/>
      <c r="AE123" s="640"/>
      <c r="AF123" s="640"/>
      <c r="AG123" s="640"/>
      <c r="AH123" s="640"/>
      <c r="AI123" s="640"/>
      <c r="AJ123" s="640"/>
      <c r="AK123" s="640"/>
      <c r="AL123" s="640"/>
      <c r="AM123" s="640"/>
      <c r="AN123" s="640"/>
    </row>
    <row r="124" spans="1:40" x14ac:dyDescent="0.25">
      <c r="A124" s="636"/>
      <c r="O124" s="636"/>
      <c r="P124" s="636"/>
      <c r="Q124" s="636"/>
      <c r="W124" s="640"/>
      <c r="X124" s="640"/>
      <c r="Y124" s="640"/>
      <c r="Z124" s="640"/>
      <c r="AA124" s="640"/>
      <c r="AB124" s="640"/>
      <c r="AC124" s="640"/>
      <c r="AD124" s="640"/>
      <c r="AE124" s="640"/>
      <c r="AF124" s="640"/>
      <c r="AG124" s="640"/>
      <c r="AH124" s="640"/>
      <c r="AI124" s="640"/>
      <c r="AJ124" s="640"/>
      <c r="AK124" s="640"/>
      <c r="AL124" s="640"/>
      <c r="AM124" s="640"/>
      <c r="AN124" s="640"/>
    </row>
    <row r="125" spans="1:40" x14ac:dyDescent="0.25">
      <c r="W125" s="131"/>
      <c r="X125" s="131"/>
      <c r="Y125" s="131"/>
      <c r="Z125" s="131"/>
      <c r="AA125" s="131"/>
      <c r="AB125" s="131"/>
      <c r="AC125" s="131"/>
      <c r="AD125" s="131"/>
      <c r="AE125" s="131"/>
      <c r="AF125" s="131"/>
      <c r="AG125" s="131"/>
      <c r="AH125" s="131"/>
      <c r="AI125" s="131"/>
      <c r="AJ125" s="131"/>
      <c r="AK125" s="131"/>
      <c r="AL125" s="131"/>
      <c r="AM125" s="131"/>
      <c r="AN125" s="131"/>
    </row>
  </sheetData>
  <mergeCells count="85">
    <mergeCell ref="J28:K28"/>
    <mergeCell ref="L28:M28"/>
    <mergeCell ref="N28:O28"/>
    <mergeCell ref="P28:Q28"/>
    <mergeCell ref="R28:S28"/>
    <mergeCell ref="D28:E28"/>
    <mergeCell ref="F28:G28"/>
    <mergeCell ref="H28:I28"/>
    <mergeCell ref="D27:E27"/>
    <mergeCell ref="F27:G27"/>
    <mergeCell ref="H27:I27"/>
    <mergeCell ref="I36:J36"/>
    <mergeCell ref="I37:J37"/>
    <mergeCell ref="E38:H39"/>
    <mergeCell ref="D32:E32"/>
    <mergeCell ref="F32:G32"/>
    <mergeCell ref="H32:I32"/>
    <mergeCell ref="D31:E31"/>
    <mergeCell ref="F31:G31"/>
    <mergeCell ref="H31:I31"/>
    <mergeCell ref="J32:K32"/>
    <mergeCell ref="L32:M32"/>
    <mergeCell ref="J31:K31"/>
    <mergeCell ref="L31:M31"/>
    <mergeCell ref="J27:K27"/>
    <mergeCell ref="L27:M27"/>
    <mergeCell ref="B21:B24"/>
    <mergeCell ref="D25:E25"/>
    <mergeCell ref="F25:G25"/>
    <mergeCell ref="H25:I25"/>
    <mergeCell ref="J26:K26"/>
    <mergeCell ref="L26:M26"/>
    <mergeCell ref="L25:M25"/>
    <mergeCell ref="D26:E26"/>
    <mergeCell ref="F26:G26"/>
    <mergeCell ref="H26:I26"/>
    <mergeCell ref="B15:B18"/>
    <mergeCell ref="B19:B20"/>
    <mergeCell ref="C20:D20"/>
    <mergeCell ref="J25:K25"/>
    <mergeCell ref="F13:G13"/>
    <mergeCell ref="H13:I13"/>
    <mergeCell ref="J13:K13"/>
    <mergeCell ref="N11:O11"/>
    <mergeCell ref="P11:Q11"/>
    <mergeCell ref="N27:O27"/>
    <mergeCell ref="P27:Q27"/>
    <mergeCell ref="R11:S11"/>
    <mergeCell ref="R12:S12"/>
    <mergeCell ref="R13:S13"/>
    <mergeCell ref="R27:S27"/>
    <mergeCell ref="N13:O13"/>
    <mergeCell ref="N26:O26"/>
    <mergeCell ref="P26:Q26"/>
    <mergeCell ref="R26:S26"/>
    <mergeCell ref="N25:O25"/>
    <mergeCell ref="P25:Q25"/>
    <mergeCell ref="R25:S25"/>
    <mergeCell ref="N31:O31"/>
    <mergeCell ref="P35:S36"/>
    <mergeCell ref="P31:Q31"/>
    <mergeCell ref="R31:S31"/>
    <mergeCell ref="L12:M12"/>
    <mergeCell ref="N12:O12"/>
    <mergeCell ref="P12:Q12"/>
    <mergeCell ref="L13:M13"/>
    <mergeCell ref="N32:O32"/>
    <mergeCell ref="P32:Q32"/>
    <mergeCell ref="R32:S32"/>
    <mergeCell ref="L7:M8"/>
    <mergeCell ref="P13:Q13"/>
    <mergeCell ref="J12:K12"/>
    <mergeCell ref="D13:E13"/>
    <mergeCell ref="E3:F3"/>
    <mergeCell ref="D6:E6"/>
    <mergeCell ref="D8:E8"/>
    <mergeCell ref="D12:E12"/>
    <mergeCell ref="F12:G12"/>
    <mergeCell ref="D11:E11"/>
    <mergeCell ref="F11:G11"/>
    <mergeCell ref="G7:I8"/>
    <mergeCell ref="H11:I11"/>
    <mergeCell ref="H12:I12"/>
    <mergeCell ref="J11:K11"/>
    <mergeCell ref="L11:M1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B1:FL383"/>
  <sheetViews>
    <sheetView showGridLines="0" tabSelected="1" zoomScale="66" zoomScaleNormal="66" workbookViewId="0">
      <pane xSplit="9" ySplit="17" topLeftCell="EF18" activePane="bottomRight" state="frozen"/>
      <selection pane="topRight" activeCell="J1" sqref="J1"/>
      <selection pane="bottomLeft" activeCell="A18" sqref="A18"/>
      <selection pane="bottomRight" activeCell="I18" sqref="I18"/>
    </sheetView>
  </sheetViews>
  <sheetFormatPr defaultRowHeight="28.5" outlineLevelRow="1" outlineLevelCol="1" x14ac:dyDescent="0.45"/>
  <cols>
    <col min="1" max="1" width="3.140625" style="53" customWidth="1"/>
    <col min="2" max="2" width="7.140625" style="143" customWidth="1"/>
    <col min="3" max="3" width="6.140625" style="144" customWidth="1"/>
    <col min="4" max="4" width="6" style="140" customWidth="1"/>
    <col min="5" max="5" width="13.7109375" style="138" customWidth="1"/>
    <col min="6" max="6" width="7.42578125" style="822" hidden="1" customWidth="1"/>
    <col min="7" max="7" width="10" style="822" hidden="1" customWidth="1"/>
    <col min="8" max="8" width="25.28515625" style="53" customWidth="1"/>
    <col min="9" max="9" width="39.7109375" style="53" customWidth="1"/>
    <col min="10" max="10" width="8.7109375" style="82" customWidth="1" outlineLevel="1"/>
    <col min="11" max="11" width="11" style="82" customWidth="1" outlineLevel="1"/>
    <col min="12" max="12" width="12.140625" style="82" customWidth="1" outlineLevel="1"/>
    <col min="13" max="22" width="8.7109375" style="82" customWidth="1" outlineLevel="1"/>
    <col min="23" max="29" width="8.7109375" style="83" customWidth="1" outlineLevel="1"/>
    <col min="30" max="30" width="9.7109375" style="83" customWidth="1" outlineLevel="1"/>
    <col min="31" max="56" width="8.7109375" style="83" customWidth="1" outlineLevel="1"/>
    <col min="57" max="59" width="8.7109375" style="51" customWidth="1" outlineLevel="1"/>
    <col min="60" max="65" width="8.7109375" style="90" customWidth="1" outlineLevel="1"/>
    <col min="66" max="74" width="8.7109375" style="87" customWidth="1" outlineLevel="1"/>
    <col min="75" max="79" width="8.7109375" style="82" customWidth="1" outlineLevel="1"/>
    <col min="80" max="96" width="8.7109375" style="271" customWidth="1" outlineLevel="1"/>
    <col min="97" max="117" width="8.7109375" style="260" customWidth="1" outlineLevel="1"/>
    <col min="118" max="118" width="8.7109375" style="90" customWidth="1" outlineLevel="1"/>
    <col min="119" max="119" width="11" style="90" customWidth="1" outlineLevel="1"/>
    <col min="120" max="128" width="8.7109375" style="90" customWidth="1" outlineLevel="1"/>
    <col min="129" max="156" width="8.7109375" style="82" customWidth="1" outlineLevel="1"/>
    <col min="157" max="157" width="9.140625" style="93" customWidth="1"/>
    <col min="158" max="158" width="10" style="93" customWidth="1"/>
    <col min="159" max="160" width="9.140625" style="93" customWidth="1"/>
    <col min="161" max="161" width="9.140625" style="768"/>
    <col min="162" max="164" width="9.140625" style="93"/>
    <col min="165" max="16384" width="9.140625" style="53"/>
  </cols>
  <sheetData>
    <row r="1" spans="2:164" s="127" customFormat="1" ht="31.5" outlineLevel="1" x14ac:dyDescent="0.25">
      <c r="B1" s="177"/>
      <c r="C1" s="178"/>
      <c r="D1" s="179"/>
      <c r="E1" s="176"/>
      <c r="F1" s="816"/>
      <c r="G1" s="816"/>
      <c r="H1" s="176"/>
      <c r="I1" s="187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  <c r="CA1" s="176"/>
      <c r="CB1" s="176"/>
      <c r="CC1" s="176"/>
      <c r="CD1" s="176" t="s">
        <v>342</v>
      </c>
      <c r="CE1" s="176"/>
      <c r="CF1" s="176"/>
      <c r="CG1" s="176"/>
      <c r="CH1" s="176"/>
      <c r="CI1" s="176"/>
      <c r="CJ1" s="176"/>
      <c r="CK1" s="176"/>
      <c r="CL1" s="176"/>
      <c r="CM1" s="261"/>
      <c r="CN1" s="261"/>
      <c r="CO1" s="261"/>
      <c r="CP1" s="261"/>
      <c r="CQ1" s="261"/>
      <c r="CR1" s="261"/>
      <c r="CS1" s="272"/>
      <c r="CT1" s="272"/>
      <c r="CU1" s="272"/>
      <c r="CV1" s="272"/>
      <c r="CW1" s="272"/>
      <c r="CX1" s="272"/>
      <c r="CY1" s="272"/>
      <c r="CZ1" s="272"/>
      <c r="DA1" s="273"/>
      <c r="DB1" s="272"/>
      <c r="DC1" s="274"/>
      <c r="DD1" s="274"/>
      <c r="DE1" s="274"/>
      <c r="DF1" s="274"/>
      <c r="DG1" s="274"/>
      <c r="DH1" s="274"/>
      <c r="DI1" s="274"/>
      <c r="DJ1" s="274"/>
      <c r="DK1" s="274"/>
      <c r="DL1" s="274"/>
      <c r="DM1" s="274"/>
      <c r="DN1" s="288"/>
      <c r="DO1" s="288"/>
      <c r="DP1" s="288"/>
      <c r="DQ1" s="288"/>
      <c r="DR1" s="288"/>
      <c r="DS1" s="288"/>
      <c r="DT1" s="288"/>
      <c r="DU1" s="288"/>
      <c r="DV1" s="288"/>
      <c r="DW1" s="288"/>
      <c r="DX1" s="288"/>
      <c r="DY1" s="180"/>
      <c r="DZ1" s="180"/>
      <c r="EA1" s="180"/>
      <c r="EB1" s="180"/>
      <c r="EC1" s="180"/>
      <c r="ED1" s="180"/>
      <c r="EE1" s="180"/>
      <c r="EF1" s="180"/>
      <c r="EG1" s="180"/>
      <c r="EH1" s="180"/>
      <c r="EI1" s="180"/>
      <c r="EJ1" s="180"/>
      <c r="EK1" s="180"/>
      <c r="EL1" s="180"/>
      <c r="EM1" s="180"/>
      <c r="EN1" s="180"/>
      <c r="EO1" s="180"/>
      <c r="EP1" s="180"/>
      <c r="EQ1" s="180"/>
      <c r="ER1" s="180"/>
      <c r="ES1" s="180"/>
      <c r="ET1" s="180"/>
      <c r="EU1" s="180"/>
      <c r="EV1" s="180"/>
      <c r="EW1" s="180"/>
      <c r="EX1" s="180"/>
      <c r="EY1" s="180"/>
      <c r="EZ1" s="180"/>
      <c r="FA1" s="183"/>
      <c r="FB1" s="183"/>
      <c r="FC1" s="183"/>
      <c r="FD1" s="183" t="s">
        <v>99</v>
      </c>
      <c r="FE1" s="767"/>
    </row>
    <row r="2" spans="2:164" s="127" customFormat="1" ht="31.5" outlineLevel="1" x14ac:dyDescent="0.25">
      <c r="B2" s="177"/>
      <c r="C2" s="178"/>
      <c r="D2" s="179"/>
      <c r="E2" s="176"/>
      <c r="F2" s="816"/>
      <c r="G2" s="816"/>
      <c r="H2" s="662"/>
      <c r="I2" s="187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88"/>
      <c r="BX2" s="176"/>
      <c r="BY2" s="176"/>
      <c r="BZ2" s="176"/>
      <c r="CA2" s="176"/>
      <c r="CB2" s="176"/>
      <c r="CC2" s="176"/>
      <c r="CD2" s="176" t="s">
        <v>100</v>
      </c>
      <c r="CE2" s="176"/>
      <c r="CF2" s="176"/>
      <c r="CG2" s="176"/>
      <c r="CH2" s="176"/>
      <c r="CI2" s="176"/>
      <c r="CJ2" s="176"/>
      <c r="CK2" s="176"/>
      <c r="CL2" s="176"/>
      <c r="CM2" s="261"/>
      <c r="CN2" s="261"/>
      <c r="CO2" s="261"/>
      <c r="CP2" s="261"/>
      <c r="CQ2" s="261"/>
      <c r="CR2" s="261"/>
      <c r="CS2" s="272"/>
      <c r="CT2" s="272"/>
      <c r="CU2" s="272"/>
      <c r="CV2" s="272"/>
      <c r="CW2" s="272"/>
      <c r="CX2" s="272" t="s">
        <v>101</v>
      </c>
      <c r="CY2" s="272"/>
      <c r="CZ2" s="272"/>
      <c r="DA2" s="273"/>
      <c r="DB2" s="272"/>
      <c r="DC2" s="274"/>
      <c r="DD2" s="274"/>
      <c r="DE2" s="274"/>
      <c r="DF2" s="274"/>
      <c r="DG2" s="274"/>
      <c r="DH2" s="274"/>
      <c r="DI2" s="274"/>
      <c r="DJ2" s="274"/>
      <c r="DK2" s="274"/>
      <c r="DL2" s="274"/>
      <c r="DM2" s="274"/>
      <c r="DN2" s="288"/>
      <c r="DO2" s="288"/>
      <c r="DP2" s="288"/>
      <c r="DQ2" s="289"/>
      <c r="DR2" s="290"/>
      <c r="DS2" s="288"/>
      <c r="DT2" s="288"/>
      <c r="DU2" s="288"/>
      <c r="DV2" s="288"/>
      <c r="DW2" s="288"/>
      <c r="DX2" s="288"/>
      <c r="DY2" s="180"/>
      <c r="DZ2" s="180"/>
      <c r="EA2" s="180"/>
      <c r="EB2" s="180"/>
      <c r="EC2" s="180"/>
      <c r="ED2" s="180"/>
      <c r="EE2" s="180"/>
      <c r="EF2" s="180"/>
      <c r="EG2" s="180"/>
      <c r="EH2" s="180"/>
      <c r="EI2" s="180"/>
      <c r="EJ2" s="180"/>
      <c r="EK2" s="180"/>
      <c r="EL2" s="180"/>
      <c r="EM2" s="180"/>
      <c r="EN2" s="180"/>
      <c r="EO2" s="180"/>
      <c r="EP2" s="180"/>
      <c r="EQ2" s="180"/>
      <c r="ER2" s="180"/>
      <c r="ES2" s="180"/>
      <c r="ET2" s="180"/>
      <c r="EU2" s="180"/>
      <c r="EV2" s="180"/>
      <c r="EW2" s="180"/>
      <c r="EX2" s="180"/>
      <c r="EY2" s="180"/>
      <c r="EZ2" s="180"/>
      <c r="FA2" s="183"/>
      <c r="FB2" s="183"/>
      <c r="FC2" s="183"/>
      <c r="FD2" s="183" t="s">
        <v>147</v>
      </c>
      <c r="FE2" s="767"/>
    </row>
    <row r="3" spans="2:164" s="127" customFormat="1" ht="31.5" outlineLevel="1" x14ac:dyDescent="0.25">
      <c r="B3" s="177"/>
      <c r="C3" s="178"/>
      <c r="D3" s="179"/>
      <c r="E3" s="176"/>
      <c r="F3" s="816"/>
      <c r="G3" s="816"/>
      <c r="H3" s="176"/>
      <c r="I3" s="187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  <c r="CA3" s="176"/>
      <c r="CB3" s="176"/>
      <c r="CC3" s="176"/>
      <c r="CD3" s="176"/>
      <c r="CE3" s="176"/>
      <c r="CF3" s="176"/>
      <c r="CG3" s="176"/>
      <c r="CH3" s="176"/>
      <c r="CI3" s="176"/>
      <c r="CJ3" s="176"/>
      <c r="CK3" s="176"/>
      <c r="CL3" s="176"/>
      <c r="CM3" s="261"/>
      <c r="CN3" s="261"/>
      <c r="CO3" s="261"/>
      <c r="CP3" s="261"/>
      <c r="CQ3" s="261"/>
      <c r="CR3" s="261"/>
      <c r="CS3" s="272"/>
      <c r="CT3" s="272"/>
      <c r="CU3" s="272"/>
      <c r="CV3" s="272"/>
      <c r="CW3" s="272"/>
      <c r="CX3" s="272"/>
      <c r="CY3" s="272"/>
      <c r="CZ3" s="272"/>
      <c r="DA3" s="273"/>
      <c r="DB3" s="272"/>
      <c r="DC3" s="274"/>
      <c r="DD3" s="274"/>
      <c r="DE3" s="274"/>
      <c r="DF3" s="274"/>
      <c r="DG3" s="274"/>
      <c r="DH3" s="274"/>
      <c r="DI3" s="274"/>
      <c r="DJ3" s="274"/>
      <c r="DK3" s="274"/>
      <c r="DL3" s="274"/>
      <c r="DM3" s="274"/>
      <c r="DN3" s="288"/>
      <c r="DO3" s="288"/>
      <c r="DP3" s="288"/>
      <c r="DQ3" s="289"/>
      <c r="DR3" s="288"/>
      <c r="DS3" s="288"/>
      <c r="DT3" s="288"/>
      <c r="DU3" s="288"/>
      <c r="DV3" s="288"/>
      <c r="DW3" s="288"/>
      <c r="DX3" s="288"/>
      <c r="DY3" s="184"/>
      <c r="DZ3" s="184"/>
      <c r="EA3" s="184"/>
      <c r="EB3" s="184"/>
      <c r="EC3" s="184"/>
      <c r="ED3" s="184"/>
      <c r="EE3" s="184"/>
      <c r="EF3" s="184"/>
      <c r="EG3" s="184"/>
      <c r="EH3" s="184"/>
      <c r="EI3" s="184"/>
      <c r="EJ3" s="184"/>
      <c r="EK3" s="184"/>
      <c r="EL3" s="184"/>
      <c r="EM3" s="184"/>
      <c r="EN3" s="184"/>
      <c r="EO3" s="184"/>
      <c r="EP3" s="184"/>
      <c r="EQ3" s="184"/>
      <c r="ER3" s="184"/>
      <c r="ES3" s="184"/>
      <c r="ET3" s="184"/>
      <c r="EU3" s="184"/>
      <c r="EV3" s="184"/>
      <c r="EW3" s="184"/>
      <c r="EX3" s="184"/>
      <c r="EY3" s="184"/>
      <c r="EZ3" s="184"/>
      <c r="FA3" s="185"/>
      <c r="FB3" s="185"/>
      <c r="FC3" s="183"/>
      <c r="FD3" s="183" t="s">
        <v>341</v>
      </c>
      <c r="FE3" s="767"/>
    </row>
    <row r="4" spans="2:164" s="93" customFormat="1" outlineLevel="1" x14ac:dyDescent="0.45">
      <c r="B4" s="141"/>
      <c r="C4" s="142"/>
      <c r="D4" s="139"/>
      <c r="E4" s="182"/>
      <c r="F4" s="817"/>
      <c r="G4" s="817"/>
      <c r="H4" s="182"/>
      <c r="I4" s="189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190"/>
      <c r="BY4" s="190"/>
      <c r="BZ4" s="54" t="s">
        <v>102</v>
      </c>
      <c r="CA4" s="190"/>
      <c r="CB4" s="1004">
        <f>Обложка!D6</f>
        <v>45127</v>
      </c>
      <c r="CC4" s="1004"/>
      <c r="CD4" s="1004"/>
      <c r="CE4" s="1004"/>
      <c r="CF4" s="55" t="s">
        <v>103</v>
      </c>
      <c r="CG4" s="1004">
        <f>CB4+6</f>
        <v>45133</v>
      </c>
      <c r="CH4" s="1004"/>
      <c r="CI4" s="1004"/>
      <c r="CJ4" s="1004"/>
      <c r="CK4" s="175"/>
      <c r="CL4" s="175"/>
      <c r="CM4" s="262"/>
      <c r="CN4" s="262"/>
      <c r="CO4" s="262"/>
      <c r="CP4" s="262"/>
      <c r="CQ4" s="262"/>
      <c r="CR4" s="262"/>
      <c r="CS4" s="276"/>
      <c r="CT4" s="275"/>
      <c r="CU4" s="275"/>
      <c r="CV4" s="275"/>
      <c r="CW4" s="277"/>
      <c r="CX4" s="278"/>
      <c r="CY4" s="278"/>
      <c r="CZ4" s="278"/>
      <c r="DA4" s="279"/>
      <c r="DB4" s="278"/>
      <c r="DC4" s="278"/>
      <c r="DD4" s="278"/>
      <c r="DE4" s="278"/>
      <c r="DF4" s="278"/>
      <c r="DG4" s="278"/>
      <c r="DH4" s="278"/>
      <c r="DI4" s="278"/>
      <c r="DJ4" s="278"/>
      <c r="DK4" s="278"/>
      <c r="DL4" s="278"/>
      <c r="DM4" s="278"/>
      <c r="DN4" s="292"/>
      <c r="DO4" s="292"/>
      <c r="DP4" s="292"/>
      <c r="DQ4" s="291"/>
      <c r="DR4" s="293"/>
      <c r="DS4" s="291"/>
      <c r="DT4" s="294"/>
      <c r="DU4" s="294"/>
      <c r="DV4" s="294"/>
      <c r="DW4" s="294"/>
      <c r="DX4" s="294"/>
      <c r="DY4" s="186"/>
      <c r="DZ4" s="186"/>
      <c r="EA4" s="186"/>
      <c r="EB4" s="186"/>
      <c r="EC4" s="186"/>
      <c r="ED4" s="186"/>
      <c r="EE4" s="186"/>
      <c r="EF4" s="186"/>
      <c r="EG4" s="186"/>
      <c r="EH4" s="186"/>
      <c r="EI4" s="186"/>
      <c r="EJ4" s="186"/>
      <c r="EK4" s="186"/>
      <c r="EL4" s="186"/>
      <c r="EM4" s="186"/>
      <c r="EN4" s="186"/>
      <c r="EO4" s="186"/>
      <c r="EP4" s="186"/>
      <c r="EQ4" s="186"/>
      <c r="ER4" s="186"/>
      <c r="ES4" s="186"/>
      <c r="ET4" s="186"/>
      <c r="EU4" s="186"/>
      <c r="EV4" s="186"/>
      <c r="EW4" s="186"/>
      <c r="EX4" s="186"/>
      <c r="EY4" s="186"/>
      <c r="EZ4" s="186"/>
      <c r="FA4" s="1005">
        <f>$CB$4-3</f>
        <v>45124</v>
      </c>
      <c r="FB4" s="1005"/>
      <c r="FC4" s="1005"/>
      <c r="FD4" s="1005"/>
      <c r="FE4" s="768"/>
    </row>
    <row r="5" spans="2:164" s="870" customFormat="1" ht="4.5" customHeight="1" outlineLevel="1" thickBot="1" x14ac:dyDescent="0.25">
      <c r="B5" s="862"/>
      <c r="C5" s="863"/>
      <c r="D5" s="864"/>
      <c r="E5" s="858"/>
      <c r="F5" s="859"/>
      <c r="G5" s="859"/>
      <c r="H5" s="858"/>
      <c r="I5" s="859"/>
      <c r="J5" s="864" t="s">
        <v>1461</v>
      </c>
      <c r="K5" s="864" t="s">
        <v>1461</v>
      </c>
      <c r="L5" s="864" t="s">
        <v>1461</v>
      </c>
      <c r="M5" s="864" t="s">
        <v>1461</v>
      </c>
      <c r="N5" s="864" t="s">
        <v>1461</v>
      </c>
      <c r="O5" s="864" t="s">
        <v>1461</v>
      </c>
      <c r="P5" s="864" t="s">
        <v>1461</v>
      </c>
      <c r="Q5" s="864" t="s">
        <v>1461</v>
      </c>
      <c r="R5" s="864" t="s">
        <v>1461</v>
      </c>
      <c r="S5" s="864" t="s">
        <v>1461</v>
      </c>
      <c r="T5" s="864" t="s">
        <v>1461</v>
      </c>
      <c r="U5" s="864" t="s">
        <v>1461</v>
      </c>
      <c r="V5" s="864" t="s">
        <v>41</v>
      </c>
      <c r="W5" s="864" t="s">
        <v>410</v>
      </c>
      <c r="X5" s="864" t="s">
        <v>410</v>
      </c>
      <c r="Y5" s="864" t="s">
        <v>51</v>
      </c>
      <c r="Z5" s="864" t="s">
        <v>51</v>
      </c>
      <c r="AA5" s="864" t="s">
        <v>411</v>
      </c>
      <c r="AB5" s="864" t="s">
        <v>51</v>
      </c>
      <c r="AC5" s="864" t="s">
        <v>51</v>
      </c>
      <c r="AD5" s="864" t="s">
        <v>45</v>
      </c>
      <c r="AE5" s="864" t="s">
        <v>490</v>
      </c>
      <c r="AF5" s="864" t="s">
        <v>46</v>
      </c>
      <c r="AG5" s="864" t="s">
        <v>32</v>
      </c>
      <c r="AH5" s="864" t="s">
        <v>1479</v>
      </c>
      <c r="AI5" s="864" t="s">
        <v>1479</v>
      </c>
      <c r="AJ5" s="864"/>
      <c r="AK5" s="864"/>
      <c r="AL5" s="864"/>
      <c r="AM5" s="864"/>
      <c r="AN5" s="864" t="s">
        <v>1479</v>
      </c>
      <c r="AO5" s="864"/>
      <c r="AP5" s="864"/>
      <c r="AQ5" s="864"/>
      <c r="AR5" s="864"/>
      <c r="AS5" s="864"/>
      <c r="AT5" s="864"/>
      <c r="AU5" s="864"/>
      <c r="AV5" s="864"/>
      <c r="AW5" s="864"/>
      <c r="AX5" s="864"/>
      <c r="AY5" s="864"/>
      <c r="AZ5" s="864"/>
      <c r="BA5" s="864"/>
      <c r="BB5" s="864"/>
      <c r="BC5" s="864"/>
      <c r="BD5" s="864"/>
      <c r="BE5" s="864" t="s">
        <v>34</v>
      </c>
      <c r="BF5" s="864"/>
      <c r="BG5" s="864"/>
      <c r="BH5" s="864" t="s">
        <v>321</v>
      </c>
      <c r="BI5" s="864"/>
      <c r="BJ5" s="864"/>
      <c r="BK5" s="864" t="s">
        <v>321</v>
      </c>
      <c r="BL5" s="864"/>
      <c r="BM5" s="864"/>
      <c r="BN5" s="864" t="s">
        <v>60</v>
      </c>
      <c r="BO5" s="864" t="s">
        <v>61</v>
      </c>
      <c r="BP5" s="864"/>
      <c r="BQ5" s="864"/>
      <c r="BR5" s="864"/>
      <c r="BS5" s="864" t="s">
        <v>527</v>
      </c>
      <c r="BT5" s="864" t="s">
        <v>527</v>
      </c>
      <c r="BU5" s="864" t="s">
        <v>527</v>
      </c>
      <c r="BV5" s="864" t="s">
        <v>527</v>
      </c>
      <c r="BW5" s="864" t="s">
        <v>527</v>
      </c>
      <c r="BX5" s="864" t="s">
        <v>527</v>
      </c>
      <c r="BY5" s="864" t="s">
        <v>527</v>
      </c>
      <c r="BZ5" s="864" t="s">
        <v>527</v>
      </c>
      <c r="CA5" s="864" t="s">
        <v>527</v>
      </c>
      <c r="CB5" s="864" t="s">
        <v>527</v>
      </c>
      <c r="CC5" s="864" t="s">
        <v>1499</v>
      </c>
      <c r="CD5" s="864" t="s">
        <v>1499</v>
      </c>
      <c r="CE5" s="864" t="s">
        <v>1499</v>
      </c>
      <c r="CF5" s="864"/>
      <c r="CG5" s="864"/>
      <c r="CH5" s="864"/>
      <c r="CI5" s="864"/>
      <c r="CJ5" s="864"/>
      <c r="CK5" s="864"/>
      <c r="CL5" s="864" t="s">
        <v>532</v>
      </c>
      <c r="CM5" s="865" t="s">
        <v>532</v>
      </c>
      <c r="CN5" s="865" t="s">
        <v>532</v>
      </c>
      <c r="CO5" s="865" t="s">
        <v>532</v>
      </c>
      <c r="CP5" s="865" t="s">
        <v>532</v>
      </c>
      <c r="CQ5" s="865" t="s">
        <v>532</v>
      </c>
      <c r="CR5" s="865" t="s">
        <v>532</v>
      </c>
      <c r="CS5" s="866" t="s">
        <v>532</v>
      </c>
      <c r="CT5" s="866" t="s">
        <v>532</v>
      </c>
      <c r="CU5" s="866" t="s">
        <v>532</v>
      </c>
      <c r="CV5" s="866" t="s">
        <v>532</v>
      </c>
      <c r="CW5" s="866" t="s">
        <v>532</v>
      </c>
      <c r="CX5" s="866" t="s">
        <v>532</v>
      </c>
      <c r="CY5" s="866" t="s">
        <v>532</v>
      </c>
      <c r="CZ5" s="866" t="s">
        <v>532</v>
      </c>
      <c r="DA5" s="867" t="s">
        <v>532</v>
      </c>
      <c r="DB5" s="866" t="s">
        <v>532</v>
      </c>
      <c r="DC5" s="866" t="s">
        <v>532</v>
      </c>
      <c r="DD5" s="866" t="s">
        <v>532</v>
      </c>
      <c r="DE5" s="866" t="s">
        <v>532</v>
      </c>
      <c r="DF5" s="866" t="s">
        <v>532</v>
      </c>
      <c r="DG5" s="866" t="s">
        <v>532</v>
      </c>
      <c r="DH5" s="866" t="s">
        <v>532</v>
      </c>
      <c r="DI5" s="866" t="s">
        <v>532</v>
      </c>
      <c r="DJ5" s="866" t="s">
        <v>532</v>
      </c>
      <c r="DK5" s="866" t="s">
        <v>532</v>
      </c>
      <c r="DL5" s="866" t="s">
        <v>532</v>
      </c>
      <c r="DM5" s="866" t="s">
        <v>532</v>
      </c>
      <c r="DN5" s="868" t="s">
        <v>1245</v>
      </c>
      <c r="DO5" s="868"/>
      <c r="DP5" s="862" t="s">
        <v>53</v>
      </c>
      <c r="DQ5" s="862" t="s">
        <v>326</v>
      </c>
      <c r="DR5" s="862" t="s">
        <v>74</v>
      </c>
      <c r="DS5" s="862" t="s">
        <v>484</v>
      </c>
      <c r="DT5" s="862" t="s">
        <v>76</v>
      </c>
      <c r="DU5" s="862" t="s">
        <v>69</v>
      </c>
      <c r="DV5" s="862" t="s">
        <v>69</v>
      </c>
      <c r="DW5" s="862" t="s">
        <v>323</v>
      </c>
      <c r="DX5" s="862" t="s">
        <v>77</v>
      </c>
      <c r="DY5" s="864"/>
      <c r="DZ5" s="864"/>
      <c r="EA5" s="864"/>
      <c r="EB5" s="864"/>
      <c r="EC5" s="864" t="s">
        <v>1501</v>
      </c>
      <c r="ED5" s="864" t="s">
        <v>57</v>
      </c>
      <c r="EE5" s="864" t="s">
        <v>1508</v>
      </c>
      <c r="EF5" s="864" t="s">
        <v>1508</v>
      </c>
      <c r="EG5" s="864"/>
      <c r="EH5" s="864" t="s">
        <v>179</v>
      </c>
      <c r="EI5" s="864" t="s">
        <v>1500</v>
      </c>
      <c r="EJ5" s="864" t="s">
        <v>1500</v>
      </c>
      <c r="EK5" s="864" t="s">
        <v>1500</v>
      </c>
      <c r="EL5" s="864" t="s">
        <v>1500</v>
      </c>
      <c r="EM5" s="864" t="s">
        <v>1501</v>
      </c>
      <c r="EN5" s="864"/>
      <c r="EO5" s="864"/>
      <c r="EP5" s="864"/>
      <c r="EQ5" s="864"/>
      <c r="ER5" s="864"/>
      <c r="ES5" s="864"/>
      <c r="ET5" s="864"/>
      <c r="EU5" s="864"/>
      <c r="EV5" s="864"/>
      <c r="EW5" s="864"/>
      <c r="EX5" s="864"/>
      <c r="EY5" s="864"/>
      <c r="EZ5" s="864"/>
      <c r="FA5" s="860"/>
      <c r="FB5" s="861"/>
      <c r="FC5" s="861"/>
      <c r="FD5" s="861"/>
      <c r="FE5" s="869"/>
    </row>
    <row r="6" spans="2:164" ht="24" customHeight="1" thickBot="1" x14ac:dyDescent="0.4">
      <c r="B6" s="1021" t="s">
        <v>104</v>
      </c>
      <c r="C6" s="1022"/>
      <c r="D6" s="1021" t="s">
        <v>105</v>
      </c>
      <c r="E6" s="1027"/>
      <c r="F6" s="1069" t="s">
        <v>1496</v>
      </c>
      <c r="G6" s="1066" t="s">
        <v>1490</v>
      </c>
      <c r="H6" s="320"/>
      <c r="I6" s="1030" t="s">
        <v>106</v>
      </c>
      <c r="J6" s="80"/>
      <c r="K6" s="80"/>
      <c r="L6" s="80"/>
      <c r="M6" s="80"/>
      <c r="N6" s="80"/>
      <c r="O6" s="80"/>
      <c r="P6" s="80"/>
      <c r="Q6" s="80"/>
      <c r="R6" s="80"/>
      <c r="S6" s="80"/>
      <c r="T6" s="80"/>
      <c r="U6" s="80"/>
      <c r="V6" s="80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  <c r="AS6" s="84"/>
      <c r="AT6" s="84"/>
      <c r="AU6" s="84"/>
      <c r="AV6" s="84"/>
      <c r="AW6" s="84"/>
      <c r="AX6" s="84"/>
      <c r="AY6" s="84"/>
      <c r="AZ6" s="84"/>
      <c r="BA6" s="84"/>
      <c r="BB6" s="84"/>
      <c r="BC6" s="84"/>
      <c r="BD6" s="84"/>
      <c r="BE6" s="86"/>
      <c r="BF6" s="86"/>
      <c r="BG6" s="86"/>
      <c r="BH6" s="91"/>
      <c r="BI6" s="91"/>
      <c r="BJ6" s="91"/>
      <c r="BK6" s="91"/>
      <c r="BL6" s="91"/>
      <c r="BM6" s="91"/>
      <c r="BN6" s="88"/>
      <c r="BO6" s="88"/>
      <c r="BP6" s="88"/>
      <c r="BQ6" s="88"/>
      <c r="BR6" s="88"/>
      <c r="BS6" s="88"/>
      <c r="BT6" s="88"/>
      <c r="BU6" s="88"/>
      <c r="BV6" s="88"/>
      <c r="BW6" s="80"/>
      <c r="BX6" s="80"/>
      <c r="BY6" s="80"/>
      <c r="BZ6" s="80"/>
      <c r="CA6" s="80"/>
      <c r="CB6" s="263"/>
      <c r="CC6" s="263"/>
      <c r="CD6" s="264" t="s">
        <v>150</v>
      </c>
      <c r="CE6" s="263"/>
      <c r="CF6" s="263"/>
      <c r="CG6" s="263"/>
      <c r="CH6" s="263"/>
      <c r="CI6" s="263"/>
      <c r="CJ6" s="263"/>
      <c r="CK6" s="263"/>
      <c r="CL6" s="263"/>
      <c r="CM6" s="263"/>
      <c r="CN6" s="263"/>
      <c r="CO6" s="263"/>
      <c r="CP6" s="263"/>
      <c r="CQ6" s="263"/>
      <c r="CR6" s="263"/>
      <c r="CS6" s="280"/>
      <c r="CT6" s="280"/>
      <c r="CU6" s="280"/>
      <c r="CV6" s="280"/>
      <c r="CW6" s="280"/>
      <c r="CX6" s="280"/>
      <c r="CY6" s="280"/>
      <c r="CZ6" s="280"/>
      <c r="DA6" s="280"/>
      <c r="DB6" s="280"/>
      <c r="DC6" s="280"/>
      <c r="DD6" s="280"/>
      <c r="DE6" s="280"/>
      <c r="DF6" s="280"/>
      <c r="DG6" s="280"/>
      <c r="DH6" s="280"/>
      <c r="DI6" s="280"/>
      <c r="DJ6" s="280"/>
      <c r="DK6" s="280"/>
      <c r="DL6" s="280"/>
      <c r="DM6" s="280"/>
      <c r="DN6" s="128"/>
      <c r="DO6" s="128"/>
      <c r="DP6" s="128"/>
      <c r="DQ6" s="128"/>
      <c r="DR6" s="128"/>
      <c r="DS6" s="128"/>
      <c r="DT6" s="128"/>
      <c r="DU6" s="128"/>
      <c r="DV6" s="128"/>
      <c r="DW6" s="128"/>
      <c r="DX6" s="128"/>
      <c r="DY6" s="129"/>
      <c r="DZ6" s="129"/>
      <c r="EA6" s="129"/>
      <c r="EB6" s="129"/>
      <c r="EC6" s="129"/>
      <c r="ED6" s="129"/>
      <c r="EE6" s="129"/>
      <c r="EF6" s="129"/>
      <c r="EG6" s="129"/>
      <c r="EH6" s="129"/>
      <c r="EI6" s="129"/>
      <c r="EJ6" s="129"/>
      <c r="EK6" s="129"/>
      <c r="EL6" s="129"/>
      <c r="EM6" s="129"/>
      <c r="EN6" s="129"/>
      <c r="EO6" s="129"/>
      <c r="EP6" s="129"/>
      <c r="EQ6" s="129"/>
      <c r="ER6" s="129"/>
      <c r="ES6" s="129"/>
      <c r="ET6" s="129"/>
      <c r="EU6" s="129"/>
      <c r="EV6" s="129"/>
      <c r="EW6" s="129"/>
      <c r="EX6" s="129"/>
      <c r="EY6" s="129"/>
      <c r="EZ6" s="129"/>
      <c r="FA6" s="1010" t="s">
        <v>109</v>
      </c>
      <c r="FB6" s="1013" t="s">
        <v>107</v>
      </c>
      <c r="FC6" s="1013" t="s">
        <v>108</v>
      </c>
      <c r="FD6" s="1007" t="s">
        <v>149</v>
      </c>
      <c r="FE6" s="783"/>
    </row>
    <row r="7" spans="2:164" ht="26.25" customHeight="1" x14ac:dyDescent="0.4">
      <c r="B7" s="1023"/>
      <c r="C7" s="1024"/>
      <c r="D7" s="1023"/>
      <c r="E7" s="1028"/>
      <c r="F7" s="1070"/>
      <c r="G7" s="1067"/>
      <c r="H7" s="321"/>
      <c r="I7" s="1031"/>
      <c r="J7" s="1044" t="str">
        <f>инфо!C2</f>
        <v>Крупы</v>
      </c>
      <c r="K7" s="993"/>
      <c r="L7" s="993"/>
      <c r="M7" s="993"/>
      <c r="N7" s="993"/>
      <c r="O7" s="993"/>
      <c r="P7" s="993"/>
      <c r="Q7" s="993"/>
      <c r="R7" s="993"/>
      <c r="S7" s="993"/>
      <c r="T7" s="993"/>
      <c r="U7" s="994"/>
      <c r="V7" s="309"/>
      <c r="W7" s="1045" t="str">
        <f>инфо!C15</f>
        <v>Мучное</v>
      </c>
      <c r="X7" s="1046"/>
      <c r="Y7" s="1046"/>
      <c r="Z7" s="1046"/>
      <c r="AA7" s="1046"/>
      <c r="AB7" s="1046"/>
      <c r="AC7" s="1046"/>
      <c r="AD7" s="1047" t="str">
        <f>инфо!C22</f>
        <v>Овощи</v>
      </c>
      <c r="AE7" s="1047"/>
      <c r="AF7" s="1047"/>
      <c r="AG7" s="1047"/>
      <c r="AH7" s="1047"/>
      <c r="AI7" s="1047"/>
      <c r="AJ7" s="1047"/>
      <c r="AK7" s="1047"/>
      <c r="AL7" s="1047"/>
      <c r="AM7" s="1047"/>
      <c r="AN7" s="1047"/>
      <c r="AO7" s="1047"/>
      <c r="AP7" s="1047"/>
      <c r="AQ7" s="1047"/>
      <c r="AR7" s="1047"/>
      <c r="AS7" s="1047"/>
      <c r="AT7" s="1047"/>
      <c r="AU7" s="1047"/>
      <c r="AV7" s="1047"/>
      <c r="AW7" s="1047"/>
      <c r="AX7" s="1047"/>
      <c r="AY7" s="1047"/>
      <c r="AZ7" s="1047"/>
      <c r="BA7" s="1047"/>
      <c r="BB7" s="1047"/>
      <c r="BC7" s="1047"/>
      <c r="BD7" s="1048"/>
      <c r="BE7" s="1049" t="str">
        <f>инфо!C49</f>
        <v>Молочные</v>
      </c>
      <c r="BF7" s="1050"/>
      <c r="BG7" s="1050"/>
      <c r="BH7" s="1050"/>
      <c r="BI7" s="1050"/>
      <c r="BJ7" s="1050"/>
      <c r="BK7" s="1050"/>
      <c r="BL7" s="1050"/>
      <c r="BM7" s="1051"/>
      <c r="BN7" s="1052" t="str">
        <f>инфо!C58</f>
        <v>Жиры</v>
      </c>
      <c r="BO7" s="1053"/>
      <c r="BP7" s="1053"/>
      <c r="BQ7" s="1053"/>
      <c r="BR7" s="1053"/>
      <c r="BS7" s="992" t="str">
        <f>инфо!C63</f>
        <v>Мясо</v>
      </c>
      <c r="BT7" s="993"/>
      <c r="BU7" s="993"/>
      <c r="BV7" s="993"/>
      <c r="BW7" s="993"/>
      <c r="BX7" s="993"/>
      <c r="BY7" s="993"/>
      <c r="BZ7" s="993"/>
      <c r="CA7" s="993"/>
      <c r="CB7" s="994"/>
      <c r="CC7" s="995" t="str">
        <f>инфо!C73</f>
        <v>П/ф</v>
      </c>
      <c r="CD7" s="996"/>
      <c r="CE7" s="996"/>
      <c r="CF7" s="996"/>
      <c r="CG7" s="996"/>
      <c r="CH7" s="996"/>
      <c r="CI7" s="996"/>
      <c r="CJ7" s="996"/>
      <c r="CK7" s="996"/>
      <c r="CL7" s="997" t="str">
        <f>инфо!C82</f>
        <v>Рыба</v>
      </c>
      <c r="CM7" s="997"/>
      <c r="CN7" s="997"/>
      <c r="CO7" s="997"/>
      <c r="CP7" s="997"/>
      <c r="CQ7" s="997"/>
      <c r="CR7" s="997"/>
      <c r="CS7" s="997"/>
      <c r="CT7" s="997"/>
      <c r="CU7" s="997"/>
      <c r="CV7" s="997"/>
      <c r="CW7" s="997"/>
      <c r="CX7" s="997"/>
      <c r="CY7" s="997"/>
      <c r="CZ7" s="997"/>
      <c r="DA7" s="997"/>
      <c r="DB7" s="997"/>
      <c r="DC7" s="997"/>
      <c r="DD7" s="997"/>
      <c r="DE7" s="997"/>
      <c r="DF7" s="997"/>
      <c r="DG7" s="997"/>
      <c r="DH7" s="997"/>
      <c r="DI7" s="997"/>
      <c r="DJ7" s="997"/>
      <c r="DK7" s="997"/>
      <c r="DL7" s="997"/>
      <c r="DM7" s="998"/>
      <c r="DN7" s="999" t="str">
        <f>инфо!C110</f>
        <v>Яйцо и специи</v>
      </c>
      <c r="DO7" s="1000"/>
      <c r="DP7" s="1000"/>
      <c r="DQ7" s="1000"/>
      <c r="DR7" s="1000"/>
      <c r="DS7" s="1000"/>
      <c r="DT7" s="1000"/>
      <c r="DU7" s="1000"/>
      <c r="DV7" s="1000"/>
      <c r="DW7" s="1000"/>
      <c r="DX7" s="1000"/>
      <c r="DY7" s="1000"/>
      <c r="DZ7" s="1000"/>
      <c r="EA7" s="1001" t="str">
        <f>инфо!C123</f>
        <v>Прочие</v>
      </c>
      <c r="EB7" s="1001"/>
      <c r="EC7" s="1001"/>
      <c r="ED7" s="1001"/>
      <c r="EE7" s="1001"/>
      <c r="EF7" s="1001"/>
      <c r="EG7" s="1001"/>
      <c r="EH7" s="1001"/>
      <c r="EI7" s="1001"/>
      <c r="EJ7" s="1001"/>
      <c r="EK7" s="1001"/>
      <c r="EL7" s="1001"/>
      <c r="EM7" s="1001"/>
      <c r="EN7" s="1001"/>
      <c r="EO7" s="1002" t="str">
        <f>инфо!C137</f>
        <v>Сладости и фрукты</v>
      </c>
      <c r="EP7" s="1002"/>
      <c r="EQ7" s="1002"/>
      <c r="ER7" s="1002"/>
      <c r="ES7" s="1002"/>
      <c r="ET7" s="1002"/>
      <c r="EU7" s="1002"/>
      <c r="EV7" s="1002"/>
      <c r="EW7" s="1002"/>
      <c r="EX7" s="1002"/>
      <c r="EY7" s="1002"/>
      <c r="EZ7" s="1003"/>
      <c r="FA7" s="1011"/>
      <c r="FB7" s="1014"/>
      <c r="FC7" s="1014"/>
      <c r="FD7" s="1008"/>
      <c r="FE7" s="784"/>
    </row>
    <row r="8" spans="2:164" s="58" customFormat="1" ht="152.25" customHeight="1" thickBot="1" x14ac:dyDescent="0.3">
      <c r="B8" s="1025"/>
      <c r="C8" s="1026"/>
      <c r="D8" s="1025"/>
      <c r="E8" s="1029"/>
      <c r="F8" s="1071"/>
      <c r="G8" s="1068"/>
      <c r="H8" s="322"/>
      <c r="I8" s="1032"/>
      <c r="J8" s="344" t="str">
        <f>инфо!$D2</f>
        <v>Горох</v>
      </c>
      <c r="K8" s="344" t="str">
        <f>инфо!$D3</f>
        <v>Гречневая</v>
      </c>
      <c r="L8" s="344" t="str">
        <f>инфо!$D4</f>
        <v>Манная</v>
      </c>
      <c r="M8" s="344" t="str">
        <f>инфо!$D5</f>
        <v>Овсяная</v>
      </c>
      <c r="N8" s="344" t="str">
        <f>инфо!$D6</f>
        <v>Пшеничная</v>
      </c>
      <c r="O8" s="344" t="str">
        <f>инфо!$D7</f>
        <v>Перловая</v>
      </c>
      <c r="P8" s="344" t="str">
        <f>инфо!$D8</f>
        <v>Пшено</v>
      </c>
      <c r="Q8" s="344" t="str">
        <f>инфо!$D9</f>
        <v>Рис</v>
      </c>
      <c r="R8" s="345" t="str">
        <f>инфо!$D10</f>
        <v>Фасоль</v>
      </c>
      <c r="S8" s="344" t="str">
        <f>инфо!$D11</f>
        <v>Ячневая</v>
      </c>
      <c r="T8" s="344" t="str">
        <f>инфо!$D12</f>
        <v>Крупа 1</v>
      </c>
      <c r="U8" s="344" t="str">
        <f>инфо!$D13</f>
        <v>Крупа 2</v>
      </c>
      <c r="V8" s="344" t="str">
        <f>инфо!$D14</f>
        <v>Макаронные изделия</v>
      </c>
      <c r="W8" s="346" t="str">
        <f>инфо!$D15</f>
        <v>Мука в/с</v>
      </c>
      <c r="X8" s="346" t="str">
        <f>инфо!$D16</f>
        <v>Мука пшеничная 1 с</v>
      </c>
      <c r="Y8" s="346" t="str">
        <f>инфо!$D17</f>
        <v>Сухари</v>
      </c>
      <c r="Z8" s="346" t="str">
        <f>инфо!$D18</f>
        <v>Хлеб дарницкий</v>
      </c>
      <c r="AA8" s="346" t="str">
        <f>инфо!$D19</f>
        <v>Хлеб из муки пш. 1 сорта</v>
      </c>
      <c r="AB8" s="346" t="str">
        <f>инфо!$D20</f>
        <v>Мучное 1</v>
      </c>
      <c r="AC8" s="346" t="str">
        <f>инфо!$D21</f>
        <v>Мучное 2</v>
      </c>
      <c r="AD8" s="347" t="str">
        <f>инфо!$D22</f>
        <v>Картофель</v>
      </c>
      <c r="AE8" s="347" t="str">
        <f>инфо!$D23</f>
        <v>Капуста свежая</v>
      </c>
      <c r="AF8" s="347" t="str">
        <f>инфо!$D24</f>
        <v>Морковь</v>
      </c>
      <c r="AG8" s="347" t="str">
        <f>инфо!$D25</f>
        <v>Лук репчатый</v>
      </c>
      <c r="AH8" s="347" t="str">
        <f>инфо!$D26</f>
        <v>Огурцы свежие</v>
      </c>
      <c r="AI8" s="347" t="str">
        <f>инфо!$D27</f>
        <v>Помидоры свежие</v>
      </c>
      <c r="AJ8" s="347" t="str">
        <f>инфо!$D28</f>
        <v>Свекла</v>
      </c>
      <c r="AK8" s="347" t="str">
        <f>инфо!$D29</f>
        <v>Редис</v>
      </c>
      <c r="AL8" s="347" t="str">
        <f>инфо!$D30</f>
        <v>Перец сладкий</v>
      </c>
      <c r="AM8" s="347" t="str">
        <f>инфо!$D31</f>
        <v>Баклажан</v>
      </c>
      <c r="AN8" s="347" t="str">
        <f>инфо!$D32</f>
        <v>Кабачки</v>
      </c>
      <c r="AO8" s="347" t="str">
        <f>инфо!$D33</f>
        <v>Зелень</v>
      </c>
      <c r="AP8" s="347" t="str">
        <f>инфо!$D34</f>
        <v>Лук зеленый</v>
      </c>
      <c r="AQ8" s="347" t="str">
        <f>инфо!$D35</f>
        <v>Укроп</v>
      </c>
      <c r="AR8" s="347" t="str">
        <f>инфо!$D36</f>
        <v>Чеснок</v>
      </c>
      <c r="AS8" s="347" t="str">
        <f>инфо!$D37</f>
        <v>Горошек консерв.</v>
      </c>
      <c r="AT8" s="347" t="str">
        <f>инфо!$D38</f>
        <v>Кукуруза консерв.</v>
      </c>
      <c r="AU8" s="347" t="str">
        <f>инфо!$D39</f>
        <v>Фасоль консерв.</v>
      </c>
      <c r="AV8" s="347" t="str">
        <f>инфо!$D40</f>
        <v>Огурцы консерв.</v>
      </c>
      <c r="AW8" s="347" t="str">
        <f>инфо!$D41</f>
        <v>Капуста консерв.</v>
      </c>
      <c r="AX8" s="347" t="str">
        <f>инфо!$D42</f>
        <v>Помидоры консерв.</v>
      </c>
      <c r="AY8" s="347" t="str">
        <f>инфо!$D43</f>
        <v>Морковь консерв.</v>
      </c>
      <c r="AZ8" s="347" t="str">
        <f>инфо!$D44</f>
        <v>Свекла консерв.</v>
      </c>
      <c r="BA8" s="347" t="str">
        <f>инфо!$D45</f>
        <v>Кабачки консерв.</v>
      </c>
      <c r="BB8" s="347" t="str">
        <f>инфо!$D46</f>
        <v>Консервы овощ. закусочные, лечо</v>
      </c>
      <c r="BC8" s="347" t="str">
        <f>инфо!$D47</f>
        <v>Овощи 1</v>
      </c>
      <c r="BD8" s="347" t="str">
        <f>инфо!$D48</f>
        <v>Овощи 2</v>
      </c>
      <c r="BE8" s="348" t="str">
        <f>инфо!$D49</f>
        <v>Молоко коровье</v>
      </c>
      <c r="BF8" s="348" t="str">
        <f>инфо!$D50</f>
        <v>Кефир</v>
      </c>
      <c r="BG8" s="348" t="str">
        <f>инфо!$D51</f>
        <v>Творог</v>
      </c>
      <c r="BH8" s="348" t="str">
        <f>инфо!$D52</f>
        <v>Сыр плавленный</v>
      </c>
      <c r="BI8" s="348" t="str">
        <f>инфо!$D53</f>
        <v>Молоко сгущ.</v>
      </c>
      <c r="BJ8" s="348" t="str">
        <f>инфо!$D54</f>
        <v>Сметана</v>
      </c>
      <c r="BK8" s="348" t="str">
        <f>инфо!$D55</f>
        <v>Сыр</v>
      </c>
      <c r="BL8" s="348" t="str">
        <f>инфо!$D56</f>
        <v>Молочное 1</v>
      </c>
      <c r="BM8" s="348" t="str">
        <f>инфо!$D57</f>
        <v>Молочное 2</v>
      </c>
      <c r="BN8" s="349" t="str">
        <f>инфо!$D58</f>
        <v>Масло коровье</v>
      </c>
      <c r="BO8" s="349" t="str">
        <f>инфо!$D59</f>
        <v>Масло растительное</v>
      </c>
      <c r="BP8" s="349" t="str">
        <f>инфо!$D60</f>
        <v>Сало-шпик</v>
      </c>
      <c r="BQ8" s="349" t="str">
        <f>инфо!$D61</f>
        <v>Жиры 1</v>
      </c>
      <c r="BR8" s="349" t="str">
        <f>инфо!$D62</f>
        <v>Жиры 2</v>
      </c>
      <c r="BS8" s="344" t="str">
        <f>инфо!$D63</f>
        <v>Говядина б/к</v>
      </c>
      <c r="BT8" s="344" t="str">
        <f>инфо!$D64</f>
        <v>Говядина консерв.</v>
      </c>
      <c r="BU8" s="344" t="str">
        <f>инфо!$D65</f>
        <v>Говядина н/к</v>
      </c>
      <c r="BV8" s="344" t="str">
        <f>инфо!$D66</f>
        <v>Говядина на кости</v>
      </c>
      <c r="BW8" s="344" t="str">
        <f>инфо!$D67</f>
        <v>Мясо птицы</v>
      </c>
      <c r="BX8" s="344" t="str">
        <f>инфо!$D68</f>
        <v>Свинина б/к</v>
      </c>
      <c r="BY8" s="344" t="str">
        <f>инфо!$D69</f>
        <v>Свинина консерв.</v>
      </c>
      <c r="BZ8" s="344" t="str">
        <f>инфо!$D70</f>
        <v>Свинина на кости</v>
      </c>
      <c r="CA8" s="344" t="str">
        <f>инфо!$D71</f>
        <v>Мясо птицы консерв.</v>
      </c>
      <c r="CB8" s="344" t="str">
        <f>инфо!$D72</f>
        <v>Мясо 1</v>
      </c>
      <c r="CC8" s="350" t="str">
        <f>инфо!$D73</f>
        <v>Колбаса вареная</v>
      </c>
      <c r="CD8" s="350" t="str">
        <f>инфо!$D74</f>
        <v>Колбаса п/к</v>
      </c>
      <c r="CE8" s="350" t="str">
        <f>инфо!$D75</f>
        <v>Колбаса с/к</v>
      </c>
      <c r="CF8" s="350" t="str">
        <f>инфо!$D76</f>
        <v>Сосиски</v>
      </c>
      <c r="CG8" s="350" t="str">
        <f>инфо!$D77</f>
        <v>Сардельки</v>
      </c>
      <c r="CH8" s="350" t="str">
        <f>инфо!$D78</f>
        <v>Пельмени</v>
      </c>
      <c r="CI8" s="350" t="str">
        <f>инфо!$D79</f>
        <v>Печень</v>
      </c>
      <c r="CJ8" s="350" t="str">
        <f>инфо!$D80</f>
        <v>Сердце</v>
      </c>
      <c r="CK8" s="350" t="str">
        <f>инфо!$D81</f>
        <v>Полуфабрикаты 1</v>
      </c>
      <c r="CL8" s="351" t="str">
        <f>инфо!$D82</f>
        <v>Консервы рыбные</v>
      </c>
      <c r="CM8" s="351" t="str">
        <f>инфо!$D83</f>
        <v>Хек б/г</v>
      </c>
      <c r="CN8" s="351" t="str">
        <f>инфо!$D84</f>
        <v>Хек с/г</v>
      </c>
      <c r="CO8" s="351" t="str">
        <f>инфо!$D85</f>
        <v>Треска б/г</v>
      </c>
      <c r="CP8" s="351" t="str">
        <f>инфо!$D86</f>
        <v>Треска с/г</v>
      </c>
      <c r="CQ8" s="351" t="str">
        <f>инфо!$D87</f>
        <v>Сельдь б/г</v>
      </c>
      <c r="CR8" s="351" t="str">
        <f>инфо!$D88</f>
        <v>Сельдь с/г</v>
      </c>
      <c r="CS8" s="351" t="str">
        <f>инфо!$D89</f>
        <v>Минтай б/г</v>
      </c>
      <c r="CT8" s="351" t="str">
        <f>инфо!$D90</f>
        <v>Минтай с/г</v>
      </c>
      <c r="CU8" s="351" t="str">
        <f>инфо!$D91</f>
        <v>Навага б/г</v>
      </c>
      <c r="CV8" s="351" t="str">
        <f>инфо!$D92</f>
        <v>Навага с/г</v>
      </c>
      <c r="CW8" s="351" t="str">
        <f>инфо!$D93</f>
        <v>Камбала б/г</v>
      </c>
      <c r="CX8" s="351" t="str">
        <f>инфо!$D94</f>
        <v>Камбала с/г</v>
      </c>
      <c r="CY8" s="351" t="str">
        <f>инфо!$D95</f>
        <v>Горбуша б/г</v>
      </c>
      <c r="CZ8" s="351" t="str">
        <f>инфо!$D96</f>
        <v>Горбуша с/г</v>
      </c>
      <c r="DA8" s="351" t="str">
        <f>инфо!$D97</f>
        <v>Налим б/г</v>
      </c>
      <c r="DB8" s="351" t="str">
        <f>инфо!$D98</f>
        <v>Пикша б/г</v>
      </c>
      <c r="DC8" s="351" t="str">
        <f>инфо!$D99</f>
        <v>Пикша с/г</v>
      </c>
      <c r="DD8" s="351" t="str">
        <f>инфо!$D100</f>
        <v>Сайда б/г</v>
      </c>
      <c r="DE8" s="351" t="str">
        <f>инфо!$D101</f>
        <v>Сайда с/г</v>
      </c>
      <c r="DF8" s="351" t="str">
        <f>инфо!$D102</f>
        <v>Сом б/г</v>
      </c>
      <c r="DG8" s="351" t="str">
        <f>инфо!$D103</f>
        <v>Сом с/г</v>
      </c>
      <c r="DH8" s="351" t="str">
        <f>инфо!$D104</f>
        <v>Судак б/г</v>
      </c>
      <c r="DI8" s="351" t="str">
        <f>инфо!$D105</f>
        <v>Судак с/г</v>
      </c>
      <c r="DJ8" s="351" t="str">
        <f>инфо!$D106</f>
        <v>Щука б/г</v>
      </c>
      <c r="DK8" s="351" t="str">
        <f>инфо!$D107</f>
        <v>Щука с/г</v>
      </c>
      <c r="DL8" s="351" t="str">
        <f>инфо!$D108</f>
        <v>Рыба с/м б/г</v>
      </c>
      <c r="DM8" s="351" t="str">
        <f>инфо!$D109</f>
        <v>Рыба 1</v>
      </c>
      <c r="DN8" s="352" t="str">
        <f>инфо!$D110</f>
        <v>Яйцо (шт)</v>
      </c>
      <c r="DO8" s="352" t="str">
        <f>инфо!$D111</f>
        <v>Сахар</v>
      </c>
      <c r="DP8" s="352" t="str">
        <f>инфо!$D112</f>
        <v>Соль</v>
      </c>
      <c r="DQ8" s="352" t="str">
        <f>инфо!$D113</f>
        <v>Лавровый лист</v>
      </c>
      <c r="DR8" s="352" t="str">
        <f>инфо!$D114</f>
        <v>Перец черный</v>
      </c>
      <c r="DS8" s="352" t="str">
        <f>инфо!$D115</f>
        <v>Томат-паста</v>
      </c>
      <c r="DT8" s="352" t="str">
        <f>инфо!$D116</f>
        <v>Горчица</v>
      </c>
      <c r="DU8" s="352" t="str">
        <f>инфо!$D117</f>
        <v>Горчичный порошок</v>
      </c>
      <c r="DV8" s="352" t="str">
        <f>инфо!$D118</f>
        <v>Дрожжи</v>
      </c>
      <c r="DW8" s="352" t="str">
        <f>инфо!$D119</f>
        <v>Уксус</v>
      </c>
      <c r="DX8" s="352" t="str">
        <f>инфо!$D120</f>
        <v>Яйцо и специи 1</v>
      </c>
      <c r="DY8" s="352" t="str">
        <f>инфо!$D121</f>
        <v>Яйцо и специи 2</v>
      </c>
      <c r="DZ8" s="352" t="str">
        <f>инфо!$D122</f>
        <v>Яйцо и специи 3</v>
      </c>
      <c r="EA8" s="353" t="str">
        <f>инфо!$D123</f>
        <v>Вода</v>
      </c>
      <c r="EB8" s="353" t="str">
        <f>инфо!$D124</f>
        <v>Вода или бульон</v>
      </c>
      <c r="EC8" s="353" t="str">
        <f>инфо!$D125</f>
        <v>Сок п/я</v>
      </c>
      <c r="ED8" s="353" t="str">
        <f>инфо!$D126</f>
        <v>Чай</v>
      </c>
      <c r="EE8" s="353" t="str">
        <f>инфо!$D127</f>
        <v>Кофе БС</v>
      </c>
      <c r="EF8" s="353" t="str">
        <f>инфо!$D128</f>
        <v>Кофе растворимый</v>
      </c>
      <c r="EG8" s="353" t="str">
        <f>инфо!$D129</f>
        <v>Какао</v>
      </c>
      <c r="EH8" s="353" t="str">
        <f>инфо!$D130</f>
        <v>Гексавит</v>
      </c>
      <c r="EI8" s="353" t="str">
        <f>инфо!$D131</f>
        <v>Изюм</v>
      </c>
      <c r="EJ8" s="353" t="str">
        <f>инфо!$D132</f>
        <v>Курага</v>
      </c>
      <c r="EK8" s="353" t="str">
        <f>инфо!$D133</f>
        <v>Чернослив</v>
      </c>
      <c r="EL8" s="353" t="str">
        <f>инфо!$D134</f>
        <v>Смесь сухофруктов</v>
      </c>
      <c r="EM8" s="353" t="str">
        <f>инфо!$D135</f>
        <v>Сок яблочный</v>
      </c>
      <c r="EN8" s="353" t="str">
        <f>инфо!$D136</f>
        <v>Прочие 2</v>
      </c>
      <c r="EO8" s="354" t="str">
        <f>инфо!$D137</f>
        <v>Карамель</v>
      </c>
      <c r="EP8" s="354" t="str">
        <f>инфо!$D138</f>
        <v>Печенье</v>
      </c>
      <c r="EQ8" s="354" t="str">
        <f>инфо!$D139</f>
        <v>Пряники</v>
      </c>
      <c r="ER8" s="354" t="str">
        <f>инфо!$D140</f>
        <v>Вафли</v>
      </c>
      <c r="ES8" s="354" t="str">
        <f>инфо!$D141</f>
        <v>Печенье БС</v>
      </c>
      <c r="ET8" s="354" t="str">
        <f>инфо!$D142</f>
        <v>Яблоки свежие</v>
      </c>
      <c r="EU8" s="354" t="str">
        <f>инфо!$D143</f>
        <v>Апельсины</v>
      </c>
      <c r="EV8" s="354" t="str">
        <f>инфо!$D144</f>
        <v>Груши свежие</v>
      </c>
      <c r="EW8" s="354" t="str">
        <f>инфо!$D145</f>
        <v>Конфеты шоколадные</v>
      </c>
      <c r="EX8" s="354" t="str">
        <f>инфо!$D146</f>
        <v>Сладости и фрукты 1</v>
      </c>
      <c r="EY8" s="354" t="str">
        <f>инфо!$D147</f>
        <v>Сладости и фрукты 2</v>
      </c>
      <c r="EZ8" s="354" t="str">
        <f>инфо!$D148</f>
        <v>Сладости и фрукты 3</v>
      </c>
      <c r="FA8" s="1012"/>
      <c r="FB8" s="1015"/>
      <c r="FC8" s="1015"/>
      <c r="FD8" s="1009"/>
      <c r="FE8" s="785"/>
      <c r="FF8" s="127"/>
      <c r="FG8" s="127"/>
      <c r="FH8" s="127"/>
    </row>
    <row r="9" spans="2:164" s="169" customFormat="1" ht="31.5" customHeight="1" x14ac:dyDescent="0.25">
      <c r="B9" s="921" t="s">
        <v>1298</v>
      </c>
      <c r="C9" s="167"/>
      <c r="D9" s="167"/>
      <c r="E9" s="168"/>
      <c r="F9" s="828"/>
      <c r="G9" s="823"/>
      <c r="H9" s="926">
        <f>COUNTIF(J9:EZ9,"&lt;0")</f>
        <v>0</v>
      </c>
      <c r="I9" s="923" t="s">
        <v>1423</v>
      </c>
      <c r="J9" s="324">
        <f>SUMIFS('Лист3 учет'!$L:$L,'Лист3 учет'!$E:$E,"&lt;"&amp;Обложка!$D$6,'Лист3 учет'!$I:$I,"="&amp;J8)-SUMIFS('Лист3 учет'!$N:$N,'Лист3 учет'!$E:$E,"&lt;"&amp;Обложка!$D$6,'Лист3 учет'!$I:$I,"="&amp;J8)</f>
        <v>300</v>
      </c>
      <c r="K9" s="325">
        <f>SUMIFS('Лист3 учет'!$L:$L,'Лист3 учет'!$E:$E,"&lt;"&amp;Обложка!$D$6,'Лист3 учет'!$I:$I,"="&amp;K8)-SUMIFS('Лист3 учет'!$N:$N,'Лист3 учет'!$E:$E,"&lt;"&amp;Обложка!$D$6,'Лист3 учет'!$I:$I,"="&amp;K8)</f>
        <v>200</v>
      </c>
      <c r="L9" s="325">
        <f>SUMIFS('Лист3 учет'!$L:$L,'Лист3 учет'!$E:$E,"&lt;"&amp;Обложка!$D$6,'Лист3 учет'!$I:$I,"="&amp;L8)-SUMIFS('Лист3 учет'!$N:$N,'Лист3 учет'!$E:$E,"&lt;"&amp;Обложка!$D$6,'Лист3 учет'!$I:$I,"="&amp;L8)</f>
        <v>95</v>
      </c>
      <c r="M9" s="325">
        <f>SUMIFS('Лист3 учет'!$L:$L,'Лист3 учет'!$E:$E,"&lt;"&amp;Обложка!$D$6,'Лист3 учет'!$I:$I,"="&amp;M8)-SUMIFS('Лист3 учет'!$N:$N,'Лист3 учет'!$E:$E,"&lt;"&amp;Обложка!$D$6,'Лист3 учет'!$I:$I,"="&amp;M8)</f>
        <v>82.01733999999999</v>
      </c>
      <c r="N9" s="325">
        <f>SUMIFS('Лист3 учет'!$L:$L,'Лист3 учет'!$E:$E,"&lt;"&amp;Обложка!$D$6,'Лист3 учет'!$I:$I,"="&amp;N8)-SUMIFS('Лист3 учет'!$N:$N,'Лист3 учет'!$E:$E,"&lt;"&amp;Обложка!$D$6,'Лист3 учет'!$I:$I,"="&amp;N8)</f>
        <v>19.020229999999998</v>
      </c>
      <c r="O9" s="325">
        <f>SUMIFS('Лист3 учет'!$L:$L,'Лист3 учет'!$E:$E,"&lt;"&amp;Обложка!$D$6,'Лист3 учет'!$I:$I,"="&amp;O8)-SUMIFS('Лист3 учет'!$N:$N,'Лист3 учет'!$E:$E,"&lt;"&amp;Обложка!$D$6,'Лист3 учет'!$I:$I,"="&amp;O8)</f>
        <v>25.507225000000005</v>
      </c>
      <c r="P9" s="325">
        <f>SUMIFS('Лист3 учет'!$L:$L,'Лист3 учет'!$E:$E,"&lt;"&amp;Обложка!$D$6,'Лист3 учет'!$I:$I,"="&amp;P8)-SUMIFS('Лист3 учет'!$N:$N,'Лист3 учет'!$E:$E,"&lt;"&amp;Обложка!$D$6,'Лист3 учет'!$I:$I,"="&amp;P8)</f>
        <v>96.62</v>
      </c>
      <c r="Q9" s="325">
        <f>SUMIFS('Лист3 учет'!$L:$L,'Лист3 учет'!$E:$E,"&lt;"&amp;Обложка!$D$6,'Лист3 учет'!$I:$I,"="&amp;Q8)-SUMIFS('Лист3 учет'!$N:$N,'Лист3 учет'!$E:$E,"&lt;"&amp;Обложка!$D$6,'Лист3 учет'!$I:$I,"="&amp;Q8)</f>
        <v>216.49600000000001</v>
      </c>
      <c r="R9" s="325">
        <f>SUMIFS('Лист3 учет'!$L:$L,'Лист3 учет'!$E:$E,"&lt;"&amp;Обложка!$D$6,'Лист3 учет'!$I:$I,"="&amp;R8)-SUMIFS('Лист3 учет'!$N:$N,'Лист3 учет'!$E:$E,"&lt;"&amp;Обложка!$D$6,'Лист3 учет'!$I:$I,"="&amp;R8)</f>
        <v>144.68199999999999</v>
      </c>
      <c r="S9" s="325">
        <f>SUMIFS('Лист3 учет'!$L:$L,'Лист3 учет'!$E:$E,"&lt;"&amp;Обложка!$D$6,'Лист3 учет'!$I:$I,"="&amp;S8)-SUMIFS('Лист3 учет'!$N:$N,'Лист3 учет'!$E:$E,"&lt;"&amp;Обложка!$D$6,'Лист3 учет'!$I:$I,"="&amp;S8)</f>
        <v>204.744</v>
      </c>
      <c r="T9" s="325">
        <f>SUMIFS('Лист3 учет'!$L:$L,'Лист3 учет'!$E:$E,"&lt;"&amp;Обложка!$D$6,'Лист3 учет'!$I:$I,"="&amp;T8)-SUMIFS('Лист3 учет'!$N:$N,'Лист3 учет'!$E:$E,"&lt;"&amp;Обложка!$D$6,'Лист3 учет'!$I:$I,"="&amp;T8)</f>
        <v>0</v>
      </c>
      <c r="U9" s="325">
        <f>SUMIFS('Лист3 учет'!$L:$L,'Лист3 учет'!$E:$E,"&lt;"&amp;Обложка!$D$6,'Лист3 учет'!$I:$I,"="&amp;U8)-SUMIFS('Лист3 учет'!$N:$N,'Лист3 учет'!$E:$E,"&lt;"&amp;Обложка!$D$6,'Лист3 учет'!$I:$I,"="&amp;U8)</f>
        <v>0</v>
      </c>
      <c r="V9" s="325">
        <f>SUMIFS('Лист3 учет'!$L:$L,'Лист3 учет'!$E:$E,"&lt;"&amp;Обложка!$D$6,'Лист3 учет'!$I:$I,"="&amp;V8)-SUMIFS('Лист3 учет'!$N:$N,'Лист3 учет'!$E:$E,"&lt;"&amp;Обложка!$D$6,'Лист3 учет'!$I:$I,"="&amp;V8)</f>
        <v>569.02022999999997</v>
      </c>
      <c r="W9" s="325">
        <f>SUMIFS('Лист3 учет'!$L:$L,'Лист3 учет'!$E:$E,"&lt;"&amp;Обложка!$D$6,'Лист3 учет'!$I:$I,"="&amp;W8)-SUMIFS('Лист3 учет'!$N:$N,'Лист3 учет'!$E:$E,"&lt;"&amp;Обложка!$D$6,'Лист3 учет'!$I:$I,"="&amp;W8)</f>
        <v>313.50144499999999</v>
      </c>
      <c r="X9" s="325">
        <f>SUMIFS('Лист3 учет'!$L:$L,'Лист3 учет'!$E:$E,"&lt;"&amp;Обложка!$D$6,'Лист3 учет'!$I:$I,"="&amp;X8)-SUMIFS('Лист3 учет'!$N:$N,'Лист3 учет'!$E:$E,"&lt;"&amp;Обложка!$D$6,'Лист3 учет'!$I:$I,"="&amp;X8)</f>
        <v>301.00867</v>
      </c>
      <c r="Y9" s="325">
        <f>SUMIFS('Лист3 учет'!$L:$L,'Лист3 учет'!$E:$E,"&lt;"&amp;Обложка!$D$6,'Лист3 учет'!$I:$I,"="&amp;Y8)-SUMIFS('Лист3 учет'!$N:$N,'Лист3 учет'!$E:$E,"&lt;"&amp;Обложка!$D$6,'Лист3 учет'!$I:$I,"="&amp;Y8)</f>
        <v>108.124</v>
      </c>
      <c r="Z9" s="325">
        <f>SUMIFS('Лист3 учет'!$L:$L,'Лист3 учет'!$E:$E,"&lt;"&amp;Обложка!$D$6,'Лист3 учет'!$I:$I,"="&amp;Z8)-SUMIFS('Лист3 учет'!$N:$N,'Лист3 учет'!$E:$E,"&lt;"&amp;Обложка!$D$6,'Лист3 учет'!$I:$I,"="&amp;Z8)</f>
        <v>507</v>
      </c>
      <c r="AA9" s="325">
        <f>SUMIFS('Лист3 учет'!$L:$L,'Лист3 учет'!$E:$E,"&lt;"&amp;Обложка!$D$6,'Лист3 учет'!$I:$I,"="&amp;AA8)-SUMIFS('Лист3 учет'!$N:$N,'Лист3 учет'!$E:$E,"&lt;"&amp;Обложка!$D$6,'Лист3 учет'!$I:$I,"="&amp;AA8)</f>
        <v>539</v>
      </c>
      <c r="AB9" s="325">
        <f>SUMIFS('Лист3 учет'!$L:$L,'Лист3 учет'!$E:$E,"&lt;"&amp;Обложка!$D$6,'Лист3 учет'!$I:$I,"="&amp;AB8)-SUMIFS('Лист3 учет'!$N:$N,'Лист3 учет'!$E:$E,"&lt;"&amp;Обложка!$D$6,'Лист3 учет'!$I:$I,"="&amp;AB8)</f>
        <v>0</v>
      </c>
      <c r="AC9" s="325">
        <f>SUMIFS('Лист3 учет'!$L:$L,'Лист3 учет'!$E:$E,"&lt;"&amp;Обложка!$D$6,'Лист3 учет'!$I:$I,"="&amp;AC8)-SUMIFS('Лист3 учет'!$N:$N,'Лист3 учет'!$E:$E,"&lt;"&amp;Обложка!$D$6,'Лист3 учет'!$I:$I,"="&amp;AC8)</f>
        <v>0</v>
      </c>
      <c r="AD9" s="325">
        <f>SUMIFS('Лист3 учет'!$L:$L,'Лист3 учет'!$E:$E,"&lt;"&amp;Обложка!$D$6,'Лист3 учет'!$I:$I,"="&amp;AD8)-SUMIFS('Лист3 учет'!$N:$N,'Лист3 учет'!$E:$E,"&lt;"&amp;Обложка!$D$6,'Лист3 учет'!$I:$I,"="&amp;AD8)</f>
        <v>705.03111999999999</v>
      </c>
      <c r="AE9" s="325">
        <f>SUMIFS('Лист3 учет'!$L:$L,'Лист3 учет'!$E:$E,"&lt;"&amp;Обложка!$D$6,'Лист3 учет'!$I:$I,"="&amp;AE8)-SUMIFS('Лист3 учет'!$N:$N,'Лист3 учет'!$E:$E,"&lt;"&amp;Обложка!$D$6,'Лист3 учет'!$I:$I,"="&amp;AE8)</f>
        <v>302.15223000000003</v>
      </c>
      <c r="AF9" s="325">
        <f>SUMIFS('Лист3 учет'!$L:$L,'Лист3 учет'!$E:$E,"&lt;"&amp;Обложка!$D$6,'Лист3 учет'!$I:$I,"="&amp;AF8)-SUMIFS('Лист3 учет'!$N:$N,'Лист3 учет'!$E:$E,"&lt;"&amp;Обложка!$D$6,'Лист3 учет'!$I:$I,"="&amp;AF8)</f>
        <v>132.27333999999999</v>
      </c>
      <c r="AG9" s="325">
        <f>SUMIFS('Лист3 учет'!$L:$L,'Лист3 учет'!$E:$E,"&lt;"&amp;Обложка!$D$6,'Лист3 учет'!$I:$I,"="&amp;AG8)-SUMIFS('Лист3 учет'!$N:$N,'Лист3 учет'!$E:$E,"&lt;"&amp;Обложка!$D$6,'Лист3 учет'!$I:$I,"="&amp;AG8)</f>
        <v>80</v>
      </c>
      <c r="AH9" s="325">
        <f>SUMIFS('Лист3 учет'!$L:$L,'Лист3 учет'!$E:$E,"&lt;"&amp;Обложка!$D$6,'Лист3 учет'!$I:$I,"="&amp;AH8)-SUMIFS('Лист3 учет'!$N:$N,'Лист3 учет'!$E:$E,"&lt;"&amp;Обложка!$D$6,'Лист3 учет'!$I:$I,"="&amp;AH8)</f>
        <v>50</v>
      </c>
      <c r="AI9" s="325">
        <f>SUMIFS('Лист3 учет'!$L:$L,'Лист3 учет'!$E:$E,"&lt;"&amp;Обложка!$D$6,'Лист3 учет'!$I:$I,"="&amp;AI8)-SUMIFS('Лист3 учет'!$N:$N,'Лист3 учет'!$E:$E,"&lt;"&amp;Обложка!$D$6,'Лист3 учет'!$I:$I,"="&amp;AI8)</f>
        <v>62.620000000000005</v>
      </c>
      <c r="AJ9" s="325">
        <f>SUMIFS('Лист3 учет'!$L:$L,'Лист3 учет'!$E:$E,"&lt;"&amp;Обложка!$D$6,'Лист3 учет'!$I:$I,"="&amp;AJ8)-SUMIFS('Лист3 учет'!$N:$N,'Лист3 учет'!$E:$E,"&lt;"&amp;Обложка!$D$6,'Лист3 учет'!$I:$I,"="&amp;AJ8)</f>
        <v>189.49600000000001</v>
      </c>
      <c r="AK9" s="325">
        <f>SUMIFS('Лист3 учет'!$L:$L,'Лист3 учет'!$E:$E,"&lt;"&amp;Обложка!$D$6,'Лист3 учет'!$I:$I,"="&amp;AK8)-SUMIFS('Лист3 учет'!$N:$N,'Лист3 учет'!$E:$E,"&lt;"&amp;Обложка!$D$6,'Лист3 учет'!$I:$I,"="&amp;AK8)</f>
        <v>8.1240000000000006</v>
      </c>
      <c r="AL9" s="325">
        <f>SUMIFS('Лист3 учет'!$L:$L,'Лист3 учет'!$E:$E,"&lt;"&amp;Обложка!$D$6,'Лист3 учет'!$I:$I,"="&amp;AL8)-SUMIFS('Лист3 учет'!$N:$N,'Лист3 учет'!$E:$E,"&lt;"&amp;Обложка!$D$6,'Лист3 учет'!$I:$I,"="&amp;AL8)</f>
        <v>23.249600000000001</v>
      </c>
      <c r="AM9" s="325">
        <f>SUMIFS('Лист3 учет'!$L:$L,'Лист3 учет'!$E:$E,"&lt;"&amp;Обложка!$D$6,'Лист3 учет'!$I:$I,"="&amp;AM8)-SUMIFS('Лист3 учет'!$N:$N,'Лист3 учет'!$E:$E,"&lt;"&amp;Обложка!$D$6,'Лист3 учет'!$I:$I,"="&amp;AM8)</f>
        <v>105.68680000000001</v>
      </c>
      <c r="AN9" s="325">
        <f>SUMIFS('Лист3 учет'!$L:$L,'Лист3 учет'!$E:$E,"&lt;"&amp;Обложка!$D$6,'Лист3 учет'!$I:$I,"="&amp;AN8)-SUMIFS('Лист3 учет'!$N:$N,'Лист3 учет'!$E:$E,"&lt;"&amp;Обложка!$D$6,'Лист3 учет'!$I:$I,"="&amp;AN8)</f>
        <v>108</v>
      </c>
      <c r="AO9" s="325">
        <f>SUMIFS('Лист3 учет'!$L:$L,'Лист3 учет'!$E:$E,"&lt;"&amp;Обложка!$D$6,'Лист3 учет'!$I:$I,"="&amp;AO8)-SUMIFS('Лист3 учет'!$N:$N,'Лист3 учет'!$E:$E,"&lt;"&amp;Обложка!$D$6,'Лист3 учет'!$I:$I,"="&amp;AO8)</f>
        <v>119.2496</v>
      </c>
      <c r="AP9" s="325">
        <f>SUMIFS('Лист3 учет'!$L:$L,'Лист3 учет'!$E:$E,"&lt;"&amp;Обложка!$D$6,'Лист3 учет'!$I:$I,"="&amp;AP8)-SUMIFS('Лист3 учет'!$N:$N,'Лист3 учет'!$E:$E,"&lt;"&amp;Обложка!$D$6,'Лист3 учет'!$I:$I,"="&amp;AP8)</f>
        <v>16.201734000000002</v>
      </c>
      <c r="AQ9" s="325">
        <f>SUMIFS('Лист3 учет'!$L:$L,'Лист3 учет'!$E:$E,"&lt;"&amp;Обложка!$D$6,'Лист3 учет'!$I:$I,"="&amp;AQ8)-SUMIFS('Лист3 учет'!$N:$N,'Лист3 учет'!$E:$E,"&lt;"&amp;Обложка!$D$6,'Лист3 учет'!$I:$I,"="&amp;AQ8)</f>
        <v>120.10086699999999</v>
      </c>
      <c r="AR9" s="325">
        <f>SUMIFS('Лист3 учет'!$L:$L,'Лист3 учет'!$E:$E,"&lt;"&amp;Обложка!$D$6,'Лист3 учет'!$I:$I,"="&amp;AR8)-SUMIFS('Лист3 учет'!$N:$N,'Лист3 учет'!$E:$E,"&lt;"&amp;Обложка!$D$6,'Лист3 учет'!$I:$I,"="&amp;AR8)</f>
        <v>142.43719999999999</v>
      </c>
      <c r="AS9" s="325">
        <f>SUMIFS('Лист3 учет'!$L:$L,'Лист3 учет'!$E:$E,"&lt;"&amp;Обложка!$D$6,'Лист3 учет'!$I:$I,"="&amp;AS8)-SUMIFS('Лист3 учет'!$N:$N,'Лист3 учет'!$E:$E,"&lt;"&amp;Обложка!$D$6,'Лист3 учет'!$I:$I,"="&amp;AS8)</f>
        <v>216.55799999999999</v>
      </c>
      <c r="AT9" s="325">
        <f>SUMIFS('Лист3 учет'!$L:$L,'Лист3 учет'!$E:$E,"&lt;"&amp;Обложка!$D$6,'Лист3 учет'!$I:$I,"="&amp;AT8)-SUMIFS('Лист3 учет'!$N:$N,'Лист3 учет'!$E:$E,"&lt;"&amp;Обложка!$D$6,'Лист3 учет'!$I:$I,"="&amp;AT8)</f>
        <v>28.434000000000001</v>
      </c>
      <c r="AU9" s="325">
        <f>SUMIFS('Лист3 учет'!$L:$L,'Лист3 учет'!$E:$E,"&lt;"&amp;Обложка!$D$6,'Лист3 учет'!$I:$I,"="&amp;AU8)-SUMIFS('Лист3 учет'!$N:$N,'Лист3 учет'!$E:$E,"&lt;"&amp;Обложка!$D$6,'Лист3 учет'!$I:$I,"="&amp;AU8)</f>
        <v>135.7456</v>
      </c>
      <c r="AV9" s="325">
        <f>SUMIFS('Лист3 учет'!$L:$L,'Лист3 учет'!$E:$E,"&lt;"&amp;Обложка!$D$6,'Лист3 учет'!$I:$I,"="&amp;AV8)-SUMIFS('Лист3 учет'!$N:$N,'Лист3 учет'!$E:$E,"&lt;"&amp;Обложка!$D$6,'Лист3 учет'!$I:$I,"="&amp;AV8)</f>
        <v>156</v>
      </c>
      <c r="AW9" s="325">
        <f>SUMIFS('Лист3 учет'!$L:$L,'Лист3 учет'!$E:$E,"&lt;"&amp;Обложка!$D$6,'Лист3 учет'!$I:$I,"="&amp;AW8)-SUMIFS('Лист3 учет'!$N:$N,'Лист3 учет'!$E:$E,"&lt;"&amp;Обложка!$D$6,'Лист3 учет'!$I:$I,"="&amp;AW8)</f>
        <v>171.55799999999999</v>
      </c>
      <c r="AX9" s="325">
        <f>SUMIFS('Лист3 учет'!$L:$L,'Лист3 учет'!$E:$E,"&lt;"&amp;Обложка!$D$6,'Лист3 учет'!$I:$I,"="&amp;AX8)-SUMIFS('Лист3 учет'!$N:$N,'Лист3 учет'!$E:$E,"&lt;"&amp;Обложка!$D$6,'Лист3 учет'!$I:$I,"="&amp;AX8)</f>
        <v>97.510114999999999</v>
      </c>
      <c r="AY9" s="325">
        <f>SUMIFS('Лист3 учет'!$L:$L,'Лист3 учет'!$E:$E,"&lt;"&amp;Обложка!$D$6,'Лист3 учет'!$I:$I,"="&amp;AY8)-SUMIFS('Лист3 учет'!$N:$N,'Лист3 учет'!$E:$E,"&lt;"&amp;Обложка!$D$6,'Лист3 учет'!$I:$I,"="&amp;AY8)</f>
        <v>144.81271599999999</v>
      </c>
      <c r="AZ9" s="325">
        <f>SUMIFS('Лист3 учет'!$L:$L,'Лист3 учет'!$E:$E,"&lt;"&amp;Обложка!$D$6,'Лист3 учет'!$I:$I,"="&amp;AZ8)-SUMIFS('Лист3 учет'!$N:$N,'Лист3 учет'!$E:$E,"&lt;"&amp;Обложка!$D$6,'Лист3 учет'!$I:$I,"="&amp;AZ8)</f>
        <v>12.496</v>
      </c>
      <c r="BA9" s="325">
        <f>SUMIFS('Лист3 учет'!$L:$L,'Лист3 учет'!$E:$E,"&lt;"&amp;Обложка!$D$6,'Лист3 учет'!$I:$I,"="&amp;BA8)-SUMIFS('Лист3 учет'!$N:$N,'Лист3 учет'!$E:$E,"&lt;"&amp;Обложка!$D$6,'Лист3 учет'!$I:$I,"="&amp;BA8)</f>
        <v>63.955005</v>
      </c>
      <c r="BB9" s="325">
        <f>SUMIFS('Лист3 учет'!$L:$L,'Лист3 учет'!$E:$E,"&lt;"&amp;Обложка!$D$6,'Лист3 учет'!$I:$I,"="&amp;BB8)-SUMIFS('Лист3 учет'!$N:$N,'Лист3 учет'!$E:$E,"&lt;"&amp;Обложка!$D$6,'Лист3 учет'!$I:$I,"="&amp;BB8)</f>
        <v>142.07611500000002</v>
      </c>
      <c r="BC9" s="325">
        <f>SUMIFS('Лист3 учет'!$L:$L,'Лист3 учет'!$E:$E,"&lt;"&amp;Обложка!$D$6,'Лист3 учет'!$I:$I,"="&amp;BC8)-SUMIFS('Лист3 учет'!$N:$N,'Лист3 учет'!$E:$E,"&lt;"&amp;Обложка!$D$6,'Лист3 учет'!$I:$I,"="&amp;BC8)</f>
        <v>0</v>
      </c>
      <c r="BD9" s="325">
        <f>SUMIFS('Лист3 учет'!$L:$L,'Лист3 учет'!$E:$E,"&lt;"&amp;Обложка!$D$6,'Лист3 учет'!$I:$I,"="&amp;BD8)-SUMIFS('Лист3 учет'!$N:$N,'Лист3 учет'!$E:$E,"&lt;"&amp;Обложка!$D$6,'Лист3 учет'!$I:$I,"="&amp;BD8)</f>
        <v>0</v>
      </c>
      <c r="BE9" s="325">
        <f>SUMIFS('Лист3 учет'!$L:$L,'Лист3 учет'!$E:$E,"&lt;"&amp;Обложка!$D$6,'Лист3 учет'!$I:$I,"="&amp;BE8)-SUMIFS('Лист3 учет'!$N:$N,'Лист3 учет'!$E:$E,"&lt;"&amp;Обложка!$D$6,'Лист3 учет'!$I:$I,"="&amp;BE8)</f>
        <v>294</v>
      </c>
      <c r="BF9" s="325">
        <f>SUMIFS('Лист3 учет'!$L:$L,'Лист3 учет'!$E:$E,"&lt;"&amp;Обложка!$D$6,'Лист3 учет'!$I:$I,"="&amp;BF8)-SUMIFS('Лист3 учет'!$N:$N,'Лист3 учет'!$E:$E,"&lt;"&amp;Обложка!$D$6,'Лист3 учет'!$I:$I,"="&amp;BF8)</f>
        <v>57.496000000000002</v>
      </c>
      <c r="BG9" s="325">
        <f>SUMIFS('Лист3 учет'!$L:$L,'Лист3 учет'!$E:$E,"&lt;"&amp;Обложка!$D$6,'Лист3 учет'!$I:$I,"="&amp;BG8)-SUMIFS('Лист3 учет'!$N:$N,'Лист3 учет'!$E:$E,"&lt;"&amp;Обложка!$D$6,'Лист3 учет'!$I:$I,"="&amp;BG8)</f>
        <v>130</v>
      </c>
      <c r="BH9" s="325">
        <f>SUMIFS('Лист3 учет'!$L:$L,'Лист3 учет'!$E:$E,"&lt;"&amp;Обложка!$D$6,'Лист3 учет'!$I:$I,"="&amp;BH8)-SUMIFS('Лист3 учет'!$N:$N,'Лист3 учет'!$E:$E,"&lt;"&amp;Обложка!$D$6,'Лист3 учет'!$I:$I,"="&amp;BH8)</f>
        <v>64.394450000000006</v>
      </c>
      <c r="BI9" s="325">
        <f>SUMIFS('Лист3 учет'!$L:$L,'Лист3 учет'!$E:$E,"&lt;"&amp;Обложка!$D$6,'Лист3 учет'!$I:$I,"="&amp;BI8)-SUMIFS('Лист3 учет'!$N:$N,'Лист3 учет'!$E:$E,"&lt;"&amp;Обложка!$D$6,'Лист3 учет'!$I:$I,"="&amp;BI8)</f>
        <v>156.63666999999998</v>
      </c>
      <c r="BJ9" s="325">
        <f>SUMIFS('Лист3 учет'!$L:$L,'Лист3 учет'!$E:$E,"&lt;"&amp;Обложка!$D$6,'Лист3 учет'!$I:$I,"="&amp;BJ8)-SUMIFS('Лист3 учет'!$N:$N,'Лист3 учет'!$E:$E,"&lt;"&amp;Обложка!$D$6,'Лист3 учет'!$I:$I,"="&amp;BJ8)</f>
        <v>32</v>
      </c>
      <c r="BK9" s="325">
        <f>SUMIFS('Лист3 учет'!$L:$L,'Лист3 учет'!$E:$E,"&lt;"&amp;Обложка!$D$6,'Лист3 учет'!$I:$I,"="&amp;BK8)-SUMIFS('Лист3 учет'!$N:$N,'Лист3 учет'!$E:$E,"&lt;"&amp;Обложка!$D$6,'Лист3 учет'!$I:$I,"="&amp;BK8)</f>
        <v>132.49600000000001</v>
      </c>
      <c r="BL9" s="325">
        <f>SUMIFS('Лист3 учет'!$L:$L,'Лист3 учет'!$E:$E,"&lt;"&amp;Обложка!$D$6,'Лист3 учет'!$I:$I,"="&amp;BL8)-SUMIFS('Лист3 учет'!$N:$N,'Лист3 учет'!$E:$E,"&lt;"&amp;Обложка!$D$6,'Лист3 учет'!$I:$I,"="&amp;BL8)</f>
        <v>0</v>
      </c>
      <c r="BM9" s="325">
        <f>SUMIFS('Лист3 учет'!$L:$L,'Лист3 учет'!$E:$E,"&lt;"&amp;Обложка!$D$6,'Лист3 учет'!$I:$I,"="&amp;BM8)-SUMIFS('Лист3 учет'!$N:$N,'Лист3 учет'!$E:$E,"&lt;"&amp;Обложка!$D$6,'Лист3 учет'!$I:$I,"="&amp;BM8)</f>
        <v>0</v>
      </c>
      <c r="BN9" s="325">
        <f>SUMIFS('Лист3 учет'!$L:$L,'Лист3 учет'!$E:$E,"&lt;"&amp;Обложка!$D$6,'Лист3 учет'!$I:$I,"="&amp;BN8)-SUMIFS('Лист3 учет'!$N:$N,'Лист3 учет'!$E:$E,"&lt;"&amp;Обложка!$D$6,'Лист3 учет'!$I:$I,"="&amp;BN8)</f>
        <v>262.62</v>
      </c>
      <c r="BO9" s="325">
        <f>SUMIFS('Лист3 учет'!$L:$L,'Лист3 учет'!$E:$E,"&lt;"&amp;Обложка!$D$6,'Лист3 учет'!$I:$I,"="&amp;BO8)-SUMIFS('Лист3 учет'!$N:$N,'Лист3 учет'!$E:$E,"&lt;"&amp;Обложка!$D$6,'Лист3 учет'!$I:$I,"="&amp;BO8)</f>
        <v>180.02023</v>
      </c>
      <c r="BP9" s="325">
        <f>SUMIFS('Лист3 учет'!$L:$L,'Лист3 учет'!$E:$E,"&lt;"&amp;Обложка!$D$6,'Лист3 учет'!$I:$I,"="&amp;BP8)-SUMIFS('Лист3 учет'!$N:$N,'Лист3 учет'!$E:$E,"&lt;"&amp;Обложка!$D$6,'Лист3 учет'!$I:$I,"="&amp;BP8)</f>
        <v>70.005780000000001</v>
      </c>
      <c r="BQ9" s="325">
        <f>SUMIFS('Лист3 учет'!$L:$L,'Лист3 учет'!$E:$E,"&lt;"&amp;Обложка!$D$6,'Лист3 учет'!$I:$I,"="&amp;BQ8)-SUMIFS('Лист3 учет'!$N:$N,'Лист3 учет'!$E:$E,"&lt;"&amp;Обложка!$D$6,'Лист3 учет'!$I:$I,"="&amp;BQ8)</f>
        <v>0</v>
      </c>
      <c r="BR9" s="325">
        <f>SUMIFS('Лист3 учет'!$L:$L,'Лист3 учет'!$E:$E,"&lt;"&amp;Обложка!$D$6,'Лист3 учет'!$I:$I,"="&amp;BR8)-SUMIFS('Лист3 учет'!$N:$N,'Лист3 учет'!$E:$E,"&lt;"&amp;Обложка!$D$6,'Лист3 учет'!$I:$I,"="&amp;BR8)</f>
        <v>0</v>
      </c>
      <c r="BS9" s="325">
        <f>SUMIFS('Лист3 учет'!$L:$L,'Лист3 учет'!$E:$E,"&lt;"&amp;Обложка!$D$6,'Лист3 учет'!$I:$I,"="&amp;BS8)-SUMIFS('Лист3 учет'!$N:$N,'Лист3 учет'!$E:$E,"&lt;"&amp;Обложка!$D$6,'Лист3 учет'!$I:$I,"="&amp;BS8)</f>
        <v>132.49600000000001</v>
      </c>
      <c r="BT9" s="325">
        <f>SUMIFS('Лист3 учет'!$L:$L,'Лист3 учет'!$E:$E,"&lt;"&amp;Обложка!$D$6,'Лист3 учет'!$I:$I,"="&amp;BT8)-SUMIFS('Лист3 учет'!$N:$N,'Лист3 учет'!$E:$E,"&lt;"&amp;Обложка!$D$6,'Лист3 учет'!$I:$I,"="&amp;BT8)</f>
        <v>124.372</v>
      </c>
      <c r="BU9" s="325">
        <f>SUMIFS('Лист3 учет'!$L:$L,'Лист3 учет'!$E:$E,"&lt;"&amp;Обложка!$D$6,'Лист3 учет'!$I:$I,"="&amp;BU8)-SUMIFS('Лист3 учет'!$N:$N,'Лист3 учет'!$E:$E,"&lt;"&amp;Обложка!$D$6,'Лист3 учет'!$I:$I,"="&amp;BU8)</f>
        <v>335.01445000000001</v>
      </c>
      <c r="BV9" s="325">
        <f>SUMIFS('Лист3 учет'!$L:$L,'Лист3 учет'!$E:$E,"&lt;"&amp;Обложка!$D$6,'Лист3 учет'!$I:$I,"="&amp;BV8)-SUMIFS('Лист3 учет'!$N:$N,'Лист3 учет'!$E:$E,"&lt;"&amp;Обложка!$D$6,'Лист3 учет'!$I:$I,"="&amp;BV8)</f>
        <v>68.011560000000003</v>
      </c>
      <c r="BW9" s="325">
        <f>SUMIFS('Лист3 учет'!$L:$L,'Лист3 учет'!$E:$E,"&lt;"&amp;Обложка!$D$6,'Лист3 учет'!$I:$I,"="&amp;BW8)-SUMIFS('Лист3 учет'!$N:$N,'Лист3 учет'!$E:$E,"&lt;"&amp;Обложка!$D$6,'Лист3 учет'!$I:$I,"="&amp;BW8)</f>
        <v>210.01733999999999</v>
      </c>
      <c r="BX9" s="325">
        <f>SUMIFS('Лист3 учет'!$L:$L,'Лист3 учет'!$E:$E,"&lt;"&amp;Обложка!$D$6,'Лист3 учет'!$I:$I,"="&amp;BX8)-SUMIFS('Лист3 учет'!$N:$N,'Лист3 учет'!$E:$E,"&lt;"&amp;Обложка!$D$6,'Лист3 учет'!$I:$I,"="&amp;BX8)</f>
        <v>258.74400000000003</v>
      </c>
      <c r="BY9" s="325">
        <f>SUMIFS('Лист3 учет'!$L:$L,'Лист3 учет'!$E:$E,"&lt;"&amp;Обложка!$D$6,'Лист3 учет'!$I:$I,"="&amp;BY8)-SUMIFS('Лист3 учет'!$N:$N,'Лист3 учет'!$E:$E,"&lt;"&amp;Обложка!$D$6,'Лист3 учет'!$I:$I,"="&amp;BY8)</f>
        <v>212.49600000000001</v>
      </c>
      <c r="BZ9" s="325">
        <f>SUMIFS('Лист3 учет'!$L:$L,'Лист3 учет'!$E:$E,"&lt;"&amp;Обложка!$D$6,'Лист3 учет'!$I:$I,"="&amp;BZ8)-SUMIFS('Лист3 учет'!$N:$N,'Лист3 учет'!$E:$E,"&lt;"&amp;Обложка!$D$6,'Лист3 учет'!$I:$I,"="&amp;BZ8)</f>
        <v>210.62</v>
      </c>
      <c r="CA9" s="325">
        <f>SUMIFS('Лист3 учет'!$L:$L,'Лист3 учет'!$E:$E,"&lt;"&amp;Обложка!$D$6,'Лист3 учет'!$I:$I,"="&amp;CA8)-SUMIFS('Лист3 учет'!$N:$N,'Лист3 учет'!$E:$E,"&lt;"&amp;Обложка!$D$6,'Лист3 учет'!$I:$I,"="&amp;CA8)</f>
        <v>100</v>
      </c>
      <c r="CB9" s="325">
        <f>SUMIFS('Лист3 учет'!$L:$L,'Лист3 учет'!$E:$E,"&lt;"&amp;Обложка!$D$6,'Лист3 учет'!$I:$I,"="&amp;CB8)-SUMIFS('Лист3 учет'!$N:$N,'Лист3 учет'!$E:$E,"&lt;"&amp;Обложка!$D$6,'Лист3 учет'!$I:$I,"="&amp;CB8)</f>
        <v>0</v>
      </c>
      <c r="CC9" s="326">
        <f>SUMIFS('Лист3 учет'!$L:$L,'Лист3 учет'!$E:$E,"&lt;"&amp;Обложка!$D$6,'Лист3 учет'!$I:$I,"="&amp;CC8)-SUMIFS('Лист3 учет'!$N:$N,'Лист3 учет'!$E:$E,"&lt;"&amp;Обложка!$D$6,'Лист3 учет'!$I:$I,"="&amp;CC8)</f>
        <v>78.372</v>
      </c>
      <c r="CD9" s="326">
        <f>SUMIFS('Лист3 учет'!$L:$L,'Лист3 учет'!$E:$E,"&lt;"&amp;Обложка!$D$6,'Лист3 учет'!$I:$I,"="&amp;CD8)-SUMIFS('Лист3 учет'!$N:$N,'Лист3 учет'!$E:$E,"&lt;"&amp;Обложка!$D$6,'Лист3 учет'!$I:$I,"="&amp;CD8)</f>
        <v>68.248000000000005</v>
      </c>
      <c r="CE9" s="326">
        <f>SUMIFS('Лист3 учет'!$L:$L,'Лист3 учет'!$E:$E,"&lt;"&amp;Обложка!$D$6,'Лист3 учет'!$I:$I,"="&amp;CE8)-SUMIFS('Лист3 учет'!$N:$N,'Лист3 учет'!$E:$E,"&lt;"&amp;Обложка!$D$6,'Лист3 учет'!$I:$I,"="&amp;CE8)</f>
        <v>72.248000000000005</v>
      </c>
      <c r="CF9" s="326">
        <f>SUMIFS('Лист3 учет'!$L:$L,'Лист3 учет'!$E:$E,"&lt;"&amp;Обложка!$D$6,'Лист3 учет'!$I:$I,"="&amp;CF8)-SUMIFS('Лист3 учет'!$N:$N,'Лист3 учет'!$E:$E,"&lt;"&amp;Обложка!$D$6,'Лист3 учет'!$I:$I,"="&amp;CF8)</f>
        <v>321.01156000000003</v>
      </c>
      <c r="CG9" s="326">
        <f>SUMIFS('Лист3 учет'!$L:$L,'Лист3 учет'!$E:$E,"&lt;"&amp;Обложка!$D$6,'Лист3 учет'!$I:$I,"="&amp;CG8)-SUMIFS('Лист3 учет'!$N:$N,'Лист3 учет'!$E:$E,"&lt;"&amp;Обложка!$D$6,'Лист3 учет'!$I:$I,"="&amp;CG8)</f>
        <v>160.01156</v>
      </c>
      <c r="CH9" s="326">
        <f>SUMIFS('Лист3 учет'!$L:$L,'Лист3 учет'!$E:$E,"&lt;"&amp;Обложка!$D$6,'Лист3 учет'!$I:$I,"="&amp;CH8)-SUMIFS('Лист3 учет'!$N:$N,'Лист3 учет'!$E:$E,"&lt;"&amp;Обложка!$D$6,'Лист3 учет'!$I:$I,"="&amp;CH8)</f>
        <v>175.01445000000001</v>
      </c>
      <c r="CI9" s="326">
        <f>SUMIFS('Лист3 учет'!$L:$L,'Лист3 учет'!$E:$E,"&lt;"&amp;Обложка!$D$6,'Лист3 учет'!$I:$I,"="&amp;CI8)-SUMIFS('Лист3 учет'!$N:$N,'Лист3 учет'!$E:$E,"&lt;"&amp;Обложка!$D$6,'Лист3 учет'!$I:$I,"="&amp;CI8)</f>
        <v>212.124</v>
      </c>
      <c r="CJ9" s="326">
        <f>SUMIFS('Лист3 учет'!$L:$L,'Лист3 учет'!$E:$E,"&lt;"&amp;Обложка!$D$6,'Лист3 учет'!$I:$I,"="&amp;CJ8)-SUMIFS('Лист3 учет'!$N:$N,'Лист3 учет'!$E:$E,"&lt;"&amp;Обложка!$D$6,'Лист3 учет'!$I:$I,"="&amp;CJ8)</f>
        <v>57.472799999999999</v>
      </c>
      <c r="CK9" s="326">
        <f>SUMIFS('Лист3 учет'!$L:$L,'Лист3 учет'!$E:$E,"&lt;"&amp;Обложка!$D$6,'Лист3 учет'!$I:$I,"="&amp;CK8)-SUMIFS('Лист3 учет'!$N:$N,'Лист3 учет'!$E:$E,"&lt;"&amp;Обложка!$D$6,'Лист3 учет'!$I:$I,"="&amp;CK8)</f>
        <v>0</v>
      </c>
      <c r="CL9" s="326">
        <f>SUMIFS('Лист3 учет'!$L:$L,'Лист3 учет'!$E:$E,"&lt;"&amp;Обложка!$D$6,'Лист3 учет'!$I:$I,"="&amp;CL8)-SUMIFS('Лист3 учет'!$N:$N,'Лист3 учет'!$E:$E,"&lt;"&amp;Обложка!$D$6,'Лист3 учет'!$I:$I,"="&amp;CL8)</f>
        <v>142.434</v>
      </c>
      <c r="CM9" s="326">
        <f>SUMIFS('Лист3 учет'!$L:$L,'Лист3 учет'!$E:$E,"&lt;"&amp;Обложка!$D$6,'Лист3 учет'!$I:$I,"="&amp;CM8)-SUMIFS('Лист3 учет'!$N:$N,'Лист3 учет'!$E:$E,"&lt;"&amp;Обложка!$D$6,'Лист3 учет'!$I:$I,"="&amp;CM8)</f>
        <v>240</v>
      </c>
      <c r="CN9" s="326">
        <f>SUMIFS('Лист3 учет'!$L:$L,'Лист3 учет'!$E:$E,"&lt;"&amp;Обложка!$D$6,'Лист3 учет'!$I:$I,"="&amp;CN8)-SUMIFS('Лист3 учет'!$N:$N,'Лист3 учет'!$E:$E,"&lt;"&amp;Обложка!$D$6,'Лист3 учет'!$I:$I,"="&amp;CN8)</f>
        <v>212</v>
      </c>
      <c r="CO9" s="326">
        <f>SUMIFS('Лист3 учет'!$L:$L,'Лист3 учет'!$E:$E,"&lt;"&amp;Обложка!$D$6,'Лист3 учет'!$I:$I,"="&amp;CO8)-SUMIFS('Лист3 учет'!$N:$N,'Лист3 учет'!$E:$E,"&lt;"&amp;Обложка!$D$6,'Лист3 учет'!$I:$I,"="&amp;CO8)</f>
        <v>217.55799999999999</v>
      </c>
      <c r="CP9" s="326">
        <f>SUMIFS('Лист3 учет'!$L:$L,'Лист3 учет'!$E:$E,"&lt;"&amp;Обложка!$D$6,'Лист3 учет'!$I:$I,"="&amp;CP8)-SUMIFS('Лист3 учет'!$N:$N,'Лист3 учет'!$E:$E,"&lt;"&amp;Обложка!$D$6,'Лист3 учет'!$I:$I,"="&amp;CP8)</f>
        <v>105.01445000000001</v>
      </c>
      <c r="CQ9" s="326">
        <f>SUMIFS('Лист3 учет'!$L:$L,'Лист3 учет'!$E:$E,"&lt;"&amp;Обложка!$D$6,'Лист3 учет'!$I:$I,"="&amp;CQ8)-SUMIFS('Лист3 учет'!$N:$N,'Лист3 учет'!$E:$E,"&lt;"&amp;Обложка!$D$6,'Лист3 учет'!$I:$I,"="&amp;CQ8)</f>
        <v>130.01156</v>
      </c>
      <c r="CR9" s="326">
        <f>SUMIFS('Лист3 учет'!$L:$L,'Лист3 учет'!$E:$E,"&lt;"&amp;Обложка!$D$6,'Лист3 учет'!$I:$I,"="&amp;CR8)-SUMIFS('Лист3 учет'!$N:$N,'Лист3 учет'!$E:$E,"&lt;"&amp;Обложка!$D$6,'Лист3 учет'!$I:$I,"="&amp;CR8)</f>
        <v>221.55799999999999</v>
      </c>
      <c r="CS9" s="327">
        <f>SUMIFS('Лист3 учет'!$L:$L,'Лист3 учет'!$E:$E,"&lt;"&amp;Обложка!$D$6,'Лист3 учет'!$I:$I,"="&amp;CS8)-SUMIFS('Лист3 учет'!$N:$N,'Лист3 учет'!$E:$E,"&lt;"&amp;Обложка!$D$6,'Лист3 учет'!$I:$I,"="&amp;CS8)</f>
        <v>190.62</v>
      </c>
      <c r="CT9" s="327">
        <f>SUMIFS('Лист3 учет'!$L:$L,'Лист3 учет'!$E:$E,"&lt;"&amp;Обложка!$D$6,'Лист3 учет'!$I:$I,"="&amp;CT8)-SUMIFS('Лист3 учет'!$N:$N,'Лист3 учет'!$E:$E,"&lt;"&amp;Обложка!$D$6,'Лист3 учет'!$I:$I,"="&amp;CT8)</f>
        <v>134.49600000000001</v>
      </c>
      <c r="CU9" s="327">
        <f>SUMIFS('Лист3 учет'!$L:$L,'Лист3 учет'!$E:$E,"&lt;"&amp;Обложка!$D$6,'Лист3 учет'!$I:$I,"="&amp;CU8)-SUMIFS('Лист3 учет'!$N:$N,'Лист3 учет'!$E:$E,"&lt;"&amp;Обложка!$D$6,'Лист3 учет'!$I:$I,"="&amp;CU8)</f>
        <v>120.955005</v>
      </c>
      <c r="CV9" s="327">
        <f>SUMIFS('Лист3 учет'!$L:$L,'Лист3 учет'!$E:$E,"&lt;"&amp;Обложка!$D$6,'Лист3 учет'!$I:$I,"="&amp;CV8)-SUMIFS('Лист3 учет'!$N:$N,'Лист3 учет'!$E:$E,"&lt;"&amp;Обложка!$D$6,'Лист3 учет'!$I:$I,"="&amp;CV8)</f>
        <v>184.39445000000001</v>
      </c>
      <c r="CW9" s="327">
        <f>SUMIFS('Лист3 учет'!$L:$L,'Лист3 учет'!$E:$E,"&lt;"&amp;Обложка!$D$6,'Лист3 учет'!$I:$I,"="&amp;CW8)-SUMIFS('Лист3 учет'!$N:$N,'Лист3 учет'!$E:$E,"&lt;"&amp;Обложка!$D$6,'Лист3 учет'!$I:$I,"="&amp;CW8)</f>
        <v>212</v>
      </c>
      <c r="CX9" s="327">
        <f>SUMIFS('Лист3 учет'!$L:$L,'Лист3 учет'!$E:$E,"&lt;"&amp;Обложка!$D$6,'Лист3 учет'!$I:$I,"="&amp;CX8)-SUMIFS('Лист3 учет'!$N:$N,'Лист3 учет'!$E:$E,"&lt;"&amp;Обложка!$D$6,'Лист3 учет'!$I:$I,"="&amp;CX8)</f>
        <v>82.513004999999993</v>
      </c>
      <c r="CY9" s="327">
        <f>SUMIFS('Лист3 учет'!$L:$L,'Лист3 учет'!$E:$E,"&lt;"&amp;Обложка!$D$6,'Лист3 учет'!$I:$I,"="&amp;CY8)-SUMIFS('Лист3 учет'!$N:$N,'Лист3 учет'!$E:$E,"&lt;"&amp;Обложка!$D$6,'Лист3 учет'!$I:$I,"="&amp;CY8)</f>
        <v>95.014450000000011</v>
      </c>
      <c r="CZ9" s="327">
        <f>SUMIFS('Лист3 учет'!$L:$L,'Лист3 учет'!$E:$E,"&lt;"&amp;Обложка!$D$6,'Лист3 учет'!$I:$I,"="&amp;CZ8)-SUMIFS('Лист3 учет'!$N:$N,'Лист3 учет'!$E:$E,"&lt;"&amp;Обложка!$D$6,'Лист3 учет'!$I:$I,"="&amp;CZ8)</f>
        <v>80.011560000000003</v>
      </c>
      <c r="DA9" s="327">
        <f>SUMIFS('Лист3 учет'!$L:$L,'Лист3 учет'!$E:$E,"&lt;"&amp;Обложка!$D$6,'Лист3 учет'!$I:$I,"="&amp;DA8)-SUMIFS('Лист3 учет'!$N:$N,'Лист3 учет'!$E:$E,"&lt;"&amp;Обложка!$D$6,'Лист3 учет'!$I:$I,"="&amp;DA8)</f>
        <v>117.55799999999999</v>
      </c>
      <c r="DB9" s="327">
        <f>SUMIFS('Лист3 учет'!$L:$L,'Лист3 учет'!$E:$E,"&lt;"&amp;Обложка!$D$6,'Лист3 учет'!$I:$I,"="&amp;DB8)-SUMIFS('Лист3 учет'!$N:$N,'Лист3 учет'!$E:$E,"&lt;"&amp;Обложка!$D$6,'Лист3 учет'!$I:$I,"="&amp;DB8)</f>
        <v>195.62</v>
      </c>
      <c r="DC9" s="327">
        <f>SUMIFS('Лист3 учет'!$L:$L,'Лист3 учет'!$E:$E,"&lt;"&amp;Обложка!$D$6,'Лист3 учет'!$I:$I,"="&amp;DC8)-SUMIFS('Лист3 учет'!$N:$N,'Лист3 учет'!$E:$E,"&lt;"&amp;Обложка!$D$6,'Лист3 учет'!$I:$I,"="&amp;DC8)</f>
        <v>136.49600000000001</v>
      </c>
      <c r="DD9" s="327">
        <f>SUMIFS('Лист3 учет'!$L:$L,'Лист3 учет'!$E:$E,"&lt;"&amp;Обложка!$D$6,'Лист3 учет'!$I:$I,"="&amp;DD8)-SUMIFS('Лист3 учет'!$N:$N,'Лист3 учет'!$E:$E,"&lt;"&amp;Обложка!$D$6,'Лист3 учет'!$I:$I,"="&amp;DD8)</f>
        <v>122.51300499999999</v>
      </c>
      <c r="DE9" s="327">
        <f>SUMIFS('Лист3 учет'!$L:$L,'Лист3 учет'!$E:$E,"&lt;"&amp;Обложка!$D$6,'Лист3 учет'!$I:$I,"="&amp;DE8)-SUMIFS('Лист3 учет'!$N:$N,'Лист3 учет'!$E:$E,"&lt;"&amp;Обложка!$D$6,'Лист3 учет'!$I:$I,"="&amp;DE8)</f>
        <v>95.014450000000011</v>
      </c>
      <c r="DF9" s="327">
        <f>SUMIFS('Лист3 учет'!$L:$L,'Лист3 учет'!$E:$E,"&lt;"&amp;Обложка!$D$6,'Лист3 учет'!$I:$I,"="&amp;DF8)-SUMIFS('Лист3 учет'!$N:$N,'Лист3 учет'!$E:$E,"&lt;"&amp;Обложка!$D$6,'Лист3 учет'!$I:$I,"="&amp;DF8)</f>
        <v>220.01156</v>
      </c>
      <c r="DG9" s="327">
        <f>SUMIFS('Лист3 учет'!$L:$L,'Лист3 учет'!$E:$E,"&lt;"&amp;Обложка!$D$6,'Лист3 учет'!$I:$I,"="&amp;DG8)-SUMIFS('Лист3 учет'!$N:$N,'Лист3 учет'!$E:$E,"&lt;"&amp;Обложка!$D$6,'Лист3 учет'!$I:$I,"="&amp;DG8)</f>
        <v>98.513004999999993</v>
      </c>
      <c r="DH9" s="327">
        <f>SUMIFS('Лист3 учет'!$L:$L,'Лист3 учет'!$E:$E,"&lt;"&amp;Обложка!$D$6,'Лист3 учет'!$I:$I,"="&amp;DH8)-SUMIFS('Лист3 учет'!$N:$N,'Лист3 учет'!$E:$E,"&lt;"&amp;Обложка!$D$6,'Лист3 учет'!$I:$I,"="&amp;DH8)</f>
        <v>95.014450000000011</v>
      </c>
      <c r="DI9" s="327">
        <f>SUMIFS('Лист3 учет'!$L:$L,'Лист3 учет'!$E:$E,"&lt;"&amp;Обложка!$D$6,'Лист3 учет'!$I:$I,"="&amp;DI8)-SUMIFS('Лист3 учет'!$N:$N,'Лист3 учет'!$E:$E,"&lt;"&amp;Обложка!$D$6,'Лист3 учет'!$I:$I,"="&amp;DI8)</f>
        <v>150.01156</v>
      </c>
      <c r="DJ9" s="327">
        <f>SUMIFS('Лист3 учет'!$L:$L,'Лист3 учет'!$E:$E,"&lt;"&amp;Обложка!$D$6,'Лист3 учет'!$I:$I,"="&amp;DJ8)-SUMIFS('Лист3 учет'!$N:$N,'Лист3 учет'!$E:$E,"&lt;"&amp;Обложка!$D$6,'Лист3 учет'!$I:$I,"="&amp;DJ8)</f>
        <v>98.557999999999993</v>
      </c>
      <c r="DK9" s="327">
        <f>SUMIFS('Лист3 учет'!$L:$L,'Лист3 учет'!$E:$E,"&lt;"&amp;Обложка!$D$6,'Лист3 учет'!$I:$I,"="&amp;DK8)-SUMIFS('Лист3 учет'!$N:$N,'Лист3 учет'!$E:$E,"&lt;"&amp;Обложка!$D$6,'Лист3 учет'!$I:$I,"="&amp;DK8)</f>
        <v>91</v>
      </c>
      <c r="DL9" s="327">
        <f>SUMIFS('Лист3 учет'!$L:$L,'Лист3 учет'!$E:$E,"&lt;"&amp;Обложка!$D$6,'Лист3 учет'!$I:$I,"="&amp;DL8)-SUMIFS('Лист3 учет'!$N:$N,'Лист3 учет'!$E:$E,"&lt;"&amp;Обложка!$D$6,'Лист3 учет'!$I:$I,"="&amp;DL8)</f>
        <v>185.51555999999999</v>
      </c>
      <c r="DM9" s="327">
        <f>SUMIFS('Лист3 учет'!$L:$L,'Лист3 учет'!$E:$E,"&lt;"&amp;Обложка!$D$6,'Лист3 учет'!$I:$I,"="&amp;DM8)-SUMIFS('Лист3 учет'!$N:$N,'Лист3 учет'!$E:$E,"&lt;"&amp;Обложка!$D$6,'Лист3 учет'!$I:$I,"="&amp;DM8)</f>
        <v>0</v>
      </c>
      <c r="DN9" s="328">
        <f>SUMIFS('Лист3 учет'!$L:$L,'Лист3 учет'!$E:$E,"&lt;"&amp;Обложка!$D$6,'Лист3 учет'!$I:$I,"="&amp;DN8)-SUMIFS('Лист3 учет'!$N:$N,'Лист3 учет'!$E:$E,"&lt;"&amp;Обложка!$D$6,'Лист3 учет'!$I:$I,"="&amp;DN8)</f>
        <v>2439.92</v>
      </c>
      <c r="DO9" s="328">
        <f>SUMIFS('Лист3 учет'!$L:$L,'Лист3 учет'!$E:$E,"&lt;"&amp;Обложка!$D$6,'Лист3 учет'!$I:$I,"="&amp;DO8)-SUMIFS('Лист3 учет'!$N:$N,'Лист3 учет'!$E:$E,"&lt;"&amp;Обложка!$D$6,'Лист3 учет'!$I:$I,"="&amp;DO8)</f>
        <v>638.24</v>
      </c>
      <c r="DP9" s="328">
        <f>SUMIFS('Лист3 учет'!$L:$L,'Лист3 учет'!$E:$E,"&lt;"&amp;Обложка!$D$6,'Лист3 учет'!$I:$I,"="&amp;DP8)-SUMIFS('Лист3 учет'!$N:$N,'Лист3 учет'!$E:$E,"&lt;"&amp;Обложка!$D$6,'Лист3 учет'!$I:$I,"="&amp;DP8)</f>
        <v>57.247999999999998</v>
      </c>
      <c r="DQ9" s="328">
        <f>SUMIFS('Лист3 учет'!$L:$L,'Лист3 учет'!$E:$E,"&lt;"&amp;Обложка!$D$6,'Лист3 учет'!$I:$I,"="&amp;DQ8)-SUMIFS('Лист3 учет'!$N:$N,'Лист3 учет'!$E:$E,"&lt;"&amp;Обложка!$D$6,'Лист3 учет'!$I:$I,"="&amp;DQ8)</f>
        <v>28.123999999999999</v>
      </c>
      <c r="DR9" s="328">
        <f>SUMIFS('Лист3 учет'!$L:$L,'Лист3 учет'!$E:$E,"&lt;"&amp;Обложка!$D$6,'Лист3 учет'!$I:$I,"="&amp;DR8)-SUMIFS('Лист3 учет'!$N:$N,'Лист3 учет'!$E:$E,"&lt;"&amp;Обложка!$D$6,'Лист3 учет'!$I:$I,"="&amp;DR8)</f>
        <v>21.574400000000001</v>
      </c>
      <c r="DS9" s="328">
        <f>SUMIFS('Лист3 учет'!$L:$L,'Лист3 учет'!$E:$E,"&lt;"&amp;Обложка!$D$6,'Лист3 учет'!$I:$I,"="&amp;DS8)-SUMIFS('Лист3 учет'!$N:$N,'Лист3 учет'!$E:$E,"&lt;"&amp;Обложка!$D$6,'Лист3 учет'!$I:$I,"="&amp;DS8)</f>
        <v>94.636669999999995</v>
      </c>
      <c r="DT9" s="328">
        <f>SUMIFS('Лист3 учет'!$L:$L,'Лист3 учет'!$E:$E,"&lt;"&amp;Обложка!$D$6,'Лист3 учет'!$I:$I,"="&amp;DT8)-SUMIFS('Лист3 учет'!$N:$N,'Лист3 учет'!$E:$E,"&lt;"&amp;Обложка!$D$6,'Лист3 учет'!$I:$I,"="&amp;DT8)</f>
        <v>96.878889999999998</v>
      </c>
      <c r="DU9" s="328">
        <f>SUMIFS('Лист3 учет'!$L:$L,'Лист3 учет'!$E:$E,"&lt;"&amp;Обложка!$D$6,'Лист3 учет'!$I:$I,"="&amp;DU8)-SUMIFS('Лист3 учет'!$N:$N,'Лист3 учет'!$E:$E,"&lt;"&amp;Обложка!$D$6,'Лист3 учет'!$I:$I,"="&amp;DU8)</f>
        <v>101.254668</v>
      </c>
      <c r="DV9" s="328">
        <f>SUMIFS('Лист3 учет'!$L:$L,'Лист3 учет'!$E:$E,"&lt;"&amp;Обложка!$D$6,'Лист3 учет'!$I:$I,"="&amp;DV8)-SUMIFS('Лист3 учет'!$N:$N,'Лист3 учет'!$E:$E,"&lt;"&amp;Обложка!$D$6,'Лист3 учет'!$I:$I,"="&amp;DV8)</f>
        <v>96.002312000000003</v>
      </c>
      <c r="DW9" s="328">
        <f>SUMIFS('Лист3 учет'!$L:$L,'Лист3 учет'!$E:$E,"&lt;"&amp;Обложка!$D$6,'Лист3 учет'!$I:$I,"="&amp;DW8)-SUMIFS('Лист3 учет'!$N:$N,'Лист3 учет'!$E:$E,"&lt;"&amp;Обложка!$D$6,'Лист3 учет'!$I:$I,"="&amp;DW8)</f>
        <v>100.75778</v>
      </c>
      <c r="DX9" s="328">
        <f>SUMIFS('Лист3 учет'!$L:$L,'Лист3 учет'!$E:$E,"&lt;"&amp;Обложка!$D$6,'Лист3 учет'!$I:$I,"="&amp;DX8)-SUMIFS('Лист3 учет'!$N:$N,'Лист3 учет'!$E:$E,"&lt;"&amp;Обложка!$D$6,'Лист3 учет'!$I:$I,"="&amp;DX8)</f>
        <v>0</v>
      </c>
      <c r="DY9" s="328">
        <f>SUMIFS('Лист3 учет'!$L:$L,'Лист3 учет'!$E:$E,"&lt;"&amp;Обложка!$D$6,'Лист3 учет'!$I:$I,"="&amp;DY8)-SUMIFS('Лист3 учет'!$N:$N,'Лист3 учет'!$E:$E,"&lt;"&amp;Обложка!$D$6,'Лист3 учет'!$I:$I,"="&amp;DY8)</f>
        <v>0</v>
      </c>
      <c r="DZ9" s="328">
        <f>SUMIFS('Лист3 учет'!$L:$L,'Лист3 учет'!$E:$E,"&lt;"&amp;Обложка!$D$6,'Лист3 учет'!$I:$I,"="&amp;DZ8)-SUMIFS('Лист3 учет'!$N:$N,'Лист3 учет'!$E:$E,"&lt;"&amp;Обложка!$D$6,'Лист3 учет'!$I:$I,"="&amp;DZ8)</f>
        <v>0</v>
      </c>
      <c r="EA9" s="853">
        <f>SUMIFS('Лист3 учет'!$L:$L,'Лист3 учет'!$E:$E,"&lt;"&amp;Обложка!$D$6,'Лист3 учет'!$I:$I,"="&amp;EA8)-SUMIFS('Лист3 учет'!$N:$N,'Лист3 учет'!$E:$E,"&lt;"&amp;Обложка!$D$6,'Лист3 учет'!$I:$I,"="&amp;EA8)</f>
        <v>99343.944499999998</v>
      </c>
      <c r="EB9" s="328">
        <f>SUMIFS('Лист3 учет'!$L:$L,'Лист3 учет'!$E:$E,"&lt;"&amp;Обложка!$D$6,'Лист3 учет'!$I:$I,"="&amp;EB8)-SUMIFS('Лист3 учет'!$N:$N,'Лист3 учет'!$E:$E,"&lt;"&amp;Обложка!$D$6,'Лист3 учет'!$I:$I,"="&amp;EB8)</f>
        <v>737.57780000000002</v>
      </c>
      <c r="EC9" s="328">
        <f>SUMIFS('Лист3 учет'!$L:$L,'Лист3 учет'!$E:$E,"&lt;"&amp;Обложка!$D$6,'Лист3 учет'!$I:$I,"="&amp;EC8)-SUMIFS('Лист3 учет'!$N:$N,'Лист3 учет'!$E:$E,"&lt;"&amp;Обложка!$D$6,'Лист3 учет'!$I:$I,"="&amp;EC8)</f>
        <v>630</v>
      </c>
      <c r="ED9" s="328">
        <f>SUMIFS('Лист3 учет'!$L:$L,'Лист3 учет'!$E:$E,"&lt;"&amp;Обложка!$D$6,'Лист3 учет'!$I:$I,"="&amp;ED8)-SUMIFS('Лист3 учет'!$N:$N,'Лист3 учет'!$E:$E,"&lt;"&amp;Обложка!$D$6,'Лист3 учет'!$I:$I,"="&amp;ED8)</f>
        <v>137.4</v>
      </c>
      <c r="EE9" s="328">
        <f>SUMIFS('Лист3 учет'!$L:$L,'Лист3 учет'!$E:$E,"&lt;"&amp;Обложка!$D$6,'Лист3 учет'!$I:$I,"="&amp;EE8)-SUMIFS('Лист3 учет'!$N:$N,'Лист3 учет'!$E:$E,"&lt;"&amp;Обложка!$D$6,'Лист3 учет'!$I:$I,"="&amp;EE8)</f>
        <v>19.503111999999998</v>
      </c>
      <c r="EF9" s="328">
        <f>SUMIFS('Лист3 учет'!$L:$L,'Лист3 учет'!$E:$E,"&lt;"&amp;Обложка!$D$6,'Лист3 учет'!$I:$I,"="&amp;EF8)-SUMIFS('Лист3 учет'!$N:$N,'Лист3 учет'!$E:$E,"&lt;"&amp;Обложка!$D$6,'Лист3 учет'!$I:$I,"="&amp;EF8)</f>
        <v>5.503111999999998</v>
      </c>
      <c r="EG9" s="328">
        <f>SUMIFS('Лист3 учет'!$L:$L,'Лист3 учет'!$E:$E,"&lt;"&amp;Обложка!$D$6,'Лист3 учет'!$I:$I,"="&amp;EG8)-SUMIFS('Лист3 учет'!$N:$N,'Лист3 учет'!$E:$E,"&lt;"&amp;Обложка!$D$6,'Лист3 учет'!$I:$I,"="&amp;EG8)</f>
        <v>96.878889999999998</v>
      </c>
      <c r="EH9" s="328">
        <f>SUMIFS('Лист3 учет'!$L:$L,'Лист3 учет'!$E:$E,"&lt;"&amp;Обложка!$D$6,'Лист3 учет'!$I:$I,"="&amp;EH8)-SUMIFS('Лист3 учет'!$N:$N,'Лист3 учет'!$E:$E,"&lt;"&amp;Обложка!$D$6,'Лист3 учет'!$I:$I,"="&amp;EH8)</f>
        <v>124.63667</v>
      </c>
      <c r="EI9" s="328">
        <f>SUMIFS('Лист3 учет'!$L:$L,'Лист3 учет'!$E:$E,"&lt;"&amp;Обложка!$D$6,'Лист3 учет'!$I:$I,"="&amp;EI8)-SUMIFS('Лист3 учет'!$N:$N,'Лист3 учет'!$E:$E,"&lt;"&amp;Обложка!$D$6,'Лист3 учет'!$I:$I,"="&amp;EI8)</f>
        <v>111.87889</v>
      </c>
      <c r="EJ9" s="328">
        <f>SUMIFS('Лист3 учет'!$L:$L,'Лист3 учет'!$E:$E,"&lt;"&amp;Обложка!$D$6,'Лист3 учет'!$I:$I,"="&amp;EJ8)-SUMIFS('Лист3 учет'!$N:$N,'Лист3 учет'!$E:$E,"&lt;"&amp;Обложка!$D$6,'Лист3 учет'!$I:$I,"="&amp;EJ8)</f>
        <v>61.573599999999999</v>
      </c>
      <c r="EK9" s="328">
        <f>SUMIFS('Лист3 учет'!$L:$L,'Лист3 учет'!$E:$E,"&lt;"&amp;Обложка!$D$6,'Лист3 учет'!$I:$I,"="&amp;EK8)-SUMIFS('Лист3 учет'!$N:$N,'Лист3 учет'!$E:$E,"&lt;"&amp;Обложка!$D$6,'Лист3 учет'!$I:$I,"="&amp;EK8)</f>
        <v>151.94255700000002</v>
      </c>
      <c r="EL9" s="328">
        <f>SUMIFS('Лист3 учет'!$L:$L,'Лист3 учет'!$E:$E,"&lt;"&amp;Обложка!$D$6,'Лист3 учет'!$I:$I,"="&amp;EL8)-SUMIFS('Лист3 учет'!$N:$N,'Лист3 учет'!$E:$E,"&lt;"&amp;Обложка!$D$6,'Лист3 учет'!$I:$I,"="&amp;EL8)</f>
        <v>4.0057800000000015</v>
      </c>
      <c r="EM9" s="328">
        <f>SUMIFS('Лист3 учет'!$L:$L,'Лист3 учет'!$E:$E,"&lt;"&amp;Обложка!$D$6,'Лист3 учет'!$I:$I,"="&amp;EM8)-SUMIFS('Лист3 учет'!$N:$N,'Лист3 учет'!$E:$E,"&lt;"&amp;Обложка!$D$6,'Лист3 учет'!$I:$I,"="&amp;EM8)</f>
        <v>320</v>
      </c>
      <c r="EN9" s="328">
        <f>SUMIFS('Лист3 учет'!$L:$L,'Лист3 учет'!$E:$E,"&lt;"&amp;Обложка!$D$6,'Лист3 учет'!$I:$I,"="&amp;EN8)-SUMIFS('Лист3 учет'!$N:$N,'Лист3 учет'!$E:$E,"&lt;"&amp;Обложка!$D$6,'Лист3 учет'!$I:$I,"="&amp;EN8)</f>
        <v>0</v>
      </c>
      <c r="EO9" s="328">
        <f>SUMIFS('Лист3 учет'!$L:$L,'Лист3 учет'!$E:$E,"&lt;"&amp;Обложка!$D$6,'Лист3 учет'!$I:$I,"="&amp;EO8)-SUMIFS('Лист3 учет'!$N:$N,'Лист3 учет'!$E:$E,"&lt;"&amp;Обложка!$D$6,'Лист3 учет'!$I:$I,"="&amp;EO8)</f>
        <v>160.01156</v>
      </c>
      <c r="EP9" s="328">
        <f>SUMIFS('Лист3 учет'!$L:$L,'Лист3 учет'!$E:$E,"&lt;"&amp;Обложка!$D$6,'Лист3 учет'!$I:$I,"="&amp;EP8)-SUMIFS('Лист3 учет'!$N:$N,'Лист3 учет'!$E:$E,"&lt;"&amp;Обложка!$D$6,'Лист3 учет'!$I:$I,"="&amp;EP8)</f>
        <v>318</v>
      </c>
      <c r="EQ9" s="328">
        <f>SUMIFS('Лист3 учет'!$L:$L,'Лист3 учет'!$E:$E,"&lt;"&amp;Обложка!$D$6,'Лист3 учет'!$I:$I,"="&amp;EQ8)-SUMIFS('Лист3 учет'!$N:$N,'Лист3 учет'!$E:$E,"&lt;"&amp;Обложка!$D$6,'Лист3 учет'!$I:$I,"="&amp;EQ8)</f>
        <v>118</v>
      </c>
      <c r="ER9" s="328">
        <f>SUMIFS('Лист3 учет'!$L:$L,'Лист3 учет'!$E:$E,"&lt;"&amp;Обложка!$D$6,'Лист3 учет'!$I:$I,"="&amp;ER8)-SUMIFS('Лист3 учет'!$N:$N,'Лист3 учет'!$E:$E,"&lt;"&amp;Обложка!$D$6,'Лист3 учет'!$I:$I,"="&amp;ER8)</f>
        <v>183</v>
      </c>
      <c r="ES9" s="328">
        <f>SUMIFS('Лист3 учет'!$L:$L,'Лист3 учет'!$E:$E,"&lt;"&amp;Обложка!$D$6,'Лист3 учет'!$I:$I,"="&amp;ES8)-SUMIFS('Лист3 учет'!$N:$N,'Лист3 учет'!$E:$E,"&lt;"&amp;Обложка!$D$6,'Лист3 учет'!$I:$I,"="&amp;ES8)</f>
        <v>61.599999999999994</v>
      </c>
      <c r="ET9" s="328">
        <f>SUMIFS('Лист3 учет'!$L:$L,'Лист3 учет'!$E:$E,"&lt;"&amp;Обложка!$D$6,'Лист3 учет'!$I:$I,"="&amp;ET8)-SUMIFS('Лист3 учет'!$N:$N,'Лист3 учет'!$E:$E,"&lt;"&amp;Обложка!$D$6,'Лист3 учет'!$I:$I,"="&amp;ET8)</f>
        <v>215.01445000000001</v>
      </c>
      <c r="EU9" s="328">
        <f>SUMIFS('Лист3 учет'!$L:$L,'Лист3 учет'!$E:$E,"&lt;"&amp;Обложка!$D$6,'Лист3 учет'!$I:$I,"="&amp;EU8)-SUMIFS('Лист3 учет'!$N:$N,'Лист3 учет'!$E:$E,"&lt;"&amp;Обложка!$D$6,'Лист3 учет'!$I:$I,"="&amp;EU8)</f>
        <v>97</v>
      </c>
      <c r="EV9" s="328">
        <f>SUMIFS('Лист3 учет'!$L:$L,'Лист3 учет'!$E:$E,"&lt;"&amp;Обложка!$D$6,'Лист3 учет'!$I:$I,"="&amp;EV8)-SUMIFS('Лист3 учет'!$N:$N,'Лист3 учет'!$E:$E,"&lt;"&amp;Обложка!$D$6,'Лист3 учет'!$I:$I,"="&amp;EV8)</f>
        <v>40.005780000000001</v>
      </c>
      <c r="EW9" s="328">
        <f>SUMIFS('Лист3 учет'!$L:$L,'Лист3 учет'!$E:$E,"&lt;"&amp;Обложка!$D$6,'Лист3 учет'!$I:$I,"="&amp;EW8)-SUMIFS('Лист3 учет'!$N:$N,'Лист3 учет'!$E:$E,"&lt;"&amp;Обложка!$D$6,'Лист3 учет'!$I:$I,"="&amp;EW8)</f>
        <v>145</v>
      </c>
      <c r="EX9" s="328">
        <f>SUMIFS('Лист3 учет'!$L:$L,'Лист3 учет'!$E:$E,"&lt;"&amp;Обложка!$D$6,'Лист3 учет'!$I:$I,"="&amp;EX8)-SUMIFS('Лист3 учет'!$N:$N,'Лист3 учет'!$E:$E,"&lt;"&amp;Обложка!$D$6,'Лист3 учет'!$I:$I,"="&amp;EX8)</f>
        <v>0</v>
      </c>
      <c r="EY9" s="328">
        <f>SUMIFS('Лист3 учет'!$L:$L,'Лист3 учет'!$E:$E,"&lt;"&amp;Обложка!$D$6,'Лист3 учет'!$I:$I,"="&amp;EY8)-SUMIFS('Лист3 учет'!$N:$N,'Лист3 учет'!$E:$E,"&lt;"&amp;Обложка!$D$6,'Лист3 учет'!$I:$I,"="&amp;EY8)</f>
        <v>0</v>
      </c>
      <c r="EZ9" s="328">
        <f>SUMIFS('Лист3 учет'!$L:$L,'Лист3 учет'!$E:$E,"&lt;"&amp;Обложка!$D$6,'Лист3 учет'!$I:$I,"="&amp;EZ8)-SUMIFS('Лист3 учет'!$N:$N,'Лист3 учет'!$E:$E,"&lt;"&amp;Обложка!$D$6,'Лист3 учет'!$I:$I,"="&amp;EZ8)</f>
        <v>0</v>
      </c>
      <c r="FA9" s="601">
        <f t="shared" ref="FA9" si="0">SUM(J9:V9,BE9:BM9)*5+SUM(W9:BD9)+AS9*4+SUM(AK9:AR9)*2.5+SUM(W9:AJ9)*0.75</f>
        <v>24144.564488249998</v>
      </c>
      <c r="FB9" s="602">
        <f t="shared" ref="FB9" si="1">SUM(J9:EZ9)</f>
        <v>121962.97152300006</v>
      </c>
      <c r="FC9" s="602">
        <f t="shared" ref="FC9" si="2">SUM(CC9:CR9)</f>
        <v>2413.0783799999999</v>
      </c>
      <c r="FD9" s="603">
        <f t="shared" ref="FD9" si="3">SUM(BN9:BP9,BR9)+SUM(BQ9:BT9)*5</f>
        <v>1796.9860099999999</v>
      </c>
      <c r="FE9" s="786"/>
    </row>
    <row r="10" spans="2:164" s="160" customFormat="1" ht="19.5" customHeight="1" outlineLevel="1" x14ac:dyDescent="0.25">
      <c r="B10" s="161"/>
      <c r="C10" s="162"/>
      <c r="D10" s="162"/>
      <c r="E10" s="163"/>
      <c r="F10" s="829"/>
      <c r="G10" s="824"/>
      <c r="H10" s="927"/>
      <c r="I10" s="924" t="s">
        <v>1269</v>
      </c>
      <c r="J10" s="329">
        <f>VLOOKUP(J$8,Сводная!$B$13:$AM$159,7,FALSE)</f>
        <v>0</v>
      </c>
      <c r="K10" s="330">
        <f>VLOOKUP(K$8,Сводная!$B$13:$AM$159,7,FALSE)</f>
        <v>23.302</v>
      </c>
      <c r="L10" s="330">
        <f>VLOOKUP(L$8,Сводная!$B$13:$AM$159,7,FALSE)</f>
        <v>0</v>
      </c>
      <c r="M10" s="330">
        <f>VLOOKUP(M$8,Сводная!$B$13:$AM$159,7,FALSE)</f>
        <v>10.126000000000001</v>
      </c>
      <c r="N10" s="330">
        <f>VLOOKUP(N$8,Сводная!$B$13:$AM$159,7,FALSE)</f>
        <v>0</v>
      </c>
      <c r="O10" s="330">
        <f>VLOOKUP(O$8,Сводная!$B$13:$AM$159,7,FALSE)</f>
        <v>0.61</v>
      </c>
      <c r="P10" s="330">
        <f>VLOOKUP(P$8,Сводная!$B$13:$AM$159,7,FALSE)</f>
        <v>0</v>
      </c>
      <c r="Q10" s="330">
        <f>VLOOKUP(Q$8,Сводная!$B$13:$AM$159,7,FALSE)</f>
        <v>0</v>
      </c>
      <c r="R10" s="330">
        <f>VLOOKUP(R$8,Сводная!$B$13:$AM$159,7,FALSE)</f>
        <v>0</v>
      </c>
      <c r="S10" s="330">
        <f>VLOOKUP(S$8,Сводная!$B$13:$AM$159,7,FALSE)</f>
        <v>0</v>
      </c>
      <c r="T10" s="330">
        <f>VLOOKUP(T$8,Сводная!$B$13:$AM$159,7,FALSE)</f>
        <v>0</v>
      </c>
      <c r="U10" s="330">
        <f>VLOOKUP(U$8,Сводная!$B$13:$AM$159,7,FALSE)</f>
        <v>0</v>
      </c>
      <c r="V10" s="330">
        <f>VLOOKUP(V$8,Сводная!$B$13:$AM$159,7,FALSE)</f>
        <v>10.126000000000001</v>
      </c>
      <c r="W10" s="330">
        <f>VLOOKUP(W$8,Сводная!$B$13:$AM$159,7,FALSE)</f>
        <v>0</v>
      </c>
      <c r="X10" s="330">
        <f>VLOOKUP(X$8,Сводная!$B$13:$AM$159,7,FALSE)</f>
        <v>1.3420000000000001</v>
      </c>
      <c r="Y10" s="330">
        <f>VLOOKUP(Y$8,Сводная!$B$13:$AM$159,7,FALSE)</f>
        <v>0</v>
      </c>
      <c r="Z10" s="330">
        <f>VLOOKUP(Z$8,Сводная!$B$13:$AM$159,7,FALSE)</f>
        <v>18.3</v>
      </c>
      <c r="AA10" s="330">
        <f>VLOOKUP(AA$8,Сводная!$B$13:$AM$159,7,FALSE)</f>
        <v>36.6</v>
      </c>
      <c r="AB10" s="330">
        <f>VLOOKUP(AB$8,Сводная!$B$13:$AM$159,7,FALSE)</f>
        <v>0</v>
      </c>
      <c r="AC10" s="330">
        <f>VLOOKUP(AC$8,Сводная!$B$13:$AM$159,7,FALSE)</f>
        <v>0</v>
      </c>
      <c r="AD10" s="330">
        <f>VLOOKUP(AD$8,Сводная!$B$13:$AM$159,7,FALSE)</f>
        <v>53.679999999999993</v>
      </c>
      <c r="AE10" s="330">
        <f>VLOOKUP(AE$8,Сводная!$B$13:$AM$159,7,FALSE)</f>
        <v>0</v>
      </c>
      <c r="AF10" s="330">
        <f>VLOOKUP(AF$8,Сводная!$B$13:$AM$159,7,FALSE)</f>
        <v>7.8079999999999998</v>
      </c>
      <c r="AG10" s="330">
        <f>VLOOKUP(AG$8,Сводная!$B$13:$AM$159,7,FALSE)</f>
        <v>10.248000000000001</v>
      </c>
      <c r="AH10" s="330">
        <f>VLOOKUP(AH$8,Сводная!$B$13:$AM$159,7,FALSE)</f>
        <v>0</v>
      </c>
      <c r="AI10" s="330">
        <f>VLOOKUP(AI$8,Сводная!$B$13:$AM$159,7,FALSE)</f>
        <v>3.0500000000000003</v>
      </c>
      <c r="AJ10" s="330">
        <f>VLOOKUP(AJ$8,Сводная!$B$13:$AM$159,7,FALSE)</f>
        <v>17.079999999999998</v>
      </c>
      <c r="AK10" s="330">
        <f>VLOOKUP(AK$8,Сводная!$B$13:$AM$159,7,FALSE)</f>
        <v>0</v>
      </c>
      <c r="AL10" s="330">
        <f>VLOOKUP(AL$8,Сводная!$B$13:$AM$159,7,FALSE)</f>
        <v>0</v>
      </c>
      <c r="AM10" s="330">
        <f>VLOOKUP(AM$8,Сводная!$B$13:$AM$159,7,FALSE)</f>
        <v>0</v>
      </c>
      <c r="AN10" s="330">
        <f>VLOOKUP(AN$8,Сводная!$B$13:$AM$159,7,FALSE)</f>
        <v>0</v>
      </c>
      <c r="AO10" s="330">
        <f>VLOOKUP(AO$8,Сводная!$B$13:$AM$159,7,FALSE)</f>
        <v>1.22</v>
      </c>
      <c r="AP10" s="330">
        <f>VLOOKUP(AP$8,Сводная!$B$13:$AM$159,7,FALSE)</f>
        <v>0</v>
      </c>
      <c r="AQ10" s="330">
        <f>VLOOKUP(AQ$8,Сводная!$B$13:$AM$159,7,FALSE)</f>
        <v>0</v>
      </c>
      <c r="AR10" s="330">
        <f>VLOOKUP(AR$8,Сводная!$B$13:$AM$159,7,FALSE)</f>
        <v>0</v>
      </c>
      <c r="AS10" s="330">
        <f>VLOOKUP(AS$8,Сводная!$B$13:$AM$159,7,FALSE)</f>
        <v>2.44</v>
      </c>
      <c r="AT10" s="330">
        <f>VLOOKUP(AT$8,Сводная!$B$13:$AM$159,7,FALSE)</f>
        <v>0</v>
      </c>
      <c r="AU10" s="330">
        <f>VLOOKUP(AU$8,Сводная!$B$13:$AM$159,7,FALSE)</f>
        <v>0</v>
      </c>
      <c r="AV10" s="330">
        <f>VLOOKUP(AV$8,Сводная!$B$13:$AM$159,7,FALSE)</f>
        <v>3.0500000000000003</v>
      </c>
      <c r="AW10" s="330">
        <f>VLOOKUP(AW$8,Сводная!$B$13:$AM$159,7,FALSE)</f>
        <v>14.030000000000001</v>
      </c>
      <c r="AX10" s="330">
        <f>VLOOKUP(AX$8,Сводная!$B$13:$AM$159,7,FALSE)</f>
        <v>2.44</v>
      </c>
      <c r="AY10" s="330">
        <f>VLOOKUP(AY$8,Сводная!$B$13:$AM$159,7,FALSE)</f>
        <v>0</v>
      </c>
      <c r="AZ10" s="330">
        <f>VLOOKUP(AZ$8,Сводная!$B$13:$AM$159,7,FALSE)</f>
        <v>0</v>
      </c>
      <c r="BA10" s="330">
        <f>VLOOKUP(BA$8,Сводная!$B$13:$AM$159,7,FALSE)</f>
        <v>0</v>
      </c>
      <c r="BB10" s="330">
        <f>VLOOKUP(BB$8,Сводная!$B$13:$AM$159,7,FALSE)</f>
        <v>2.44</v>
      </c>
      <c r="BC10" s="330">
        <f>VLOOKUP(BC$8,Сводная!$B$13:$AM$159,7,FALSE)</f>
        <v>0</v>
      </c>
      <c r="BD10" s="330">
        <f>VLOOKUP(BD$8,Сводная!$B$13:$AM$159,7,FALSE)</f>
        <v>0</v>
      </c>
      <c r="BE10" s="330">
        <f>VLOOKUP(BE$8,Сводная!$B$13:$AM$159,7,FALSE)</f>
        <v>24.400000000000002</v>
      </c>
      <c r="BF10" s="330">
        <f>VLOOKUP(BF$8,Сводная!$B$13:$AM$159,7,FALSE)</f>
        <v>0</v>
      </c>
      <c r="BG10" s="330">
        <f>VLOOKUP(BG$8,Сводная!$B$13:$AM$159,7,FALSE)</f>
        <v>0</v>
      </c>
      <c r="BH10" s="330">
        <f>VLOOKUP(BH$8,Сводная!$B$13:$AM$159,7,FALSE)</f>
        <v>2.6839999999999997</v>
      </c>
      <c r="BI10" s="330">
        <f>VLOOKUP(BI$8,Сводная!$B$13:$AM$159,7,FALSE)</f>
        <v>0</v>
      </c>
      <c r="BJ10" s="330">
        <f>VLOOKUP(BJ$8,Сводная!$B$13:$AM$159,7,FALSE)</f>
        <v>0</v>
      </c>
      <c r="BK10" s="330">
        <f>VLOOKUP(BK$8,Сводная!$B$13:$AM$159,7,FALSE)</f>
        <v>0</v>
      </c>
      <c r="BL10" s="330">
        <f>VLOOKUP(BL$8,Сводная!$B$13:$AM$159,7,FALSE)</f>
        <v>0</v>
      </c>
      <c r="BM10" s="330">
        <f>VLOOKUP(BM$8,Сводная!$B$13:$AM$159,7,FALSE)</f>
        <v>0</v>
      </c>
      <c r="BN10" s="330">
        <f>VLOOKUP(BN$8,Сводная!$B$13:$AM$159,7,FALSE)</f>
        <v>9.1499999999999986</v>
      </c>
      <c r="BO10" s="330">
        <f>VLOOKUP(BO$8,Сводная!$B$13:$AM$159,7,FALSE)</f>
        <v>5.3680000000000003</v>
      </c>
      <c r="BP10" s="330">
        <f>VLOOKUP(BP$8,Сводная!$B$13:$AM$159,7,FALSE)</f>
        <v>1.8299999999999998</v>
      </c>
      <c r="BQ10" s="330">
        <f>VLOOKUP(BQ$8,Сводная!$B$13:$AM$159,7,FALSE)</f>
        <v>0</v>
      </c>
      <c r="BR10" s="330">
        <f>VLOOKUP(BR$8,Сводная!$B$13:$AM$159,7,FALSE)</f>
        <v>0</v>
      </c>
      <c r="BS10" s="330">
        <f>VLOOKUP(BS$8,Сводная!$B$13:$AM$159,7,FALSE)</f>
        <v>0</v>
      </c>
      <c r="BT10" s="330">
        <f>VLOOKUP(BT$8,Сводная!$B$13:$AM$159,7,FALSE)</f>
        <v>0</v>
      </c>
      <c r="BU10" s="330">
        <f>VLOOKUP(BU$8,Сводная!$B$13:$AM$159,7,FALSE)</f>
        <v>0</v>
      </c>
      <c r="BV10" s="330">
        <f>VLOOKUP(BV$8,Сводная!$B$13:$AM$159,7,FALSE)</f>
        <v>0</v>
      </c>
      <c r="BW10" s="330">
        <f>VLOOKUP(BW$8,Сводная!$B$13:$AM$159,7,FALSE)</f>
        <v>0</v>
      </c>
      <c r="BX10" s="330">
        <f>VLOOKUP(BX$8,Сводная!$B$13:$AM$159,7,FALSE)</f>
        <v>0</v>
      </c>
      <c r="BY10" s="330">
        <f>VLOOKUP(BY$8,Сводная!$B$13:$AM$159,7,FALSE)</f>
        <v>0</v>
      </c>
      <c r="BZ10" s="330">
        <f>VLOOKUP(BZ$8,Сводная!$B$13:$AM$159,7,FALSE)</f>
        <v>13.725</v>
      </c>
      <c r="CA10" s="330">
        <f>VLOOKUP(CA$8,Сводная!$B$13:$AM$159,7,FALSE)</f>
        <v>0</v>
      </c>
      <c r="CB10" s="330">
        <f>VLOOKUP(CB$8,Сводная!$B$13:$AM$159,7,FALSE)</f>
        <v>0</v>
      </c>
      <c r="CC10" s="331">
        <f>VLOOKUP(CC$8,Сводная!$B$13:$AM$159,7,FALSE)</f>
        <v>0</v>
      </c>
      <c r="CD10" s="331">
        <f>VLOOKUP(CD$8,Сводная!$B$13:$AM$159,7,FALSE)</f>
        <v>3.0500000000000003</v>
      </c>
      <c r="CE10" s="331">
        <f>VLOOKUP(CE$8,Сводная!$B$13:$AM$159,7,FALSE)</f>
        <v>0</v>
      </c>
      <c r="CF10" s="331">
        <f>VLOOKUP(CF$8,Сводная!$B$13:$AM$159,7,FALSE)</f>
        <v>9.76</v>
      </c>
      <c r="CG10" s="331">
        <f>VLOOKUP(CG$8,Сводная!$B$13:$AM$159,7,FALSE)</f>
        <v>0</v>
      </c>
      <c r="CH10" s="331">
        <f>VLOOKUP(CH$8,Сводная!$B$13:$AM$159,7,FALSE)</f>
        <v>0</v>
      </c>
      <c r="CI10" s="331">
        <f>VLOOKUP(CI$8,Сводная!$B$13:$AM$159,7,FALSE)</f>
        <v>0</v>
      </c>
      <c r="CJ10" s="331">
        <f>VLOOKUP(CJ$8,Сводная!$B$13:$AM$159,7,FALSE)</f>
        <v>0</v>
      </c>
      <c r="CK10" s="331">
        <f>VLOOKUP(CK$8,Сводная!$B$13:$AM$159,7,FALSE)</f>
        <v>0</v>
      </c>
      <c r="CL10" s="331">
        <f>VLOOKUP(CL$8,Сводная!$B$13:$AM$159,7,FALSE)</f>
        <v>0</v>
      </c>
      <c r="CM10" s="331">
        <f>VLOOKUP(CM$8,Сводная!$B$13:$AM$159,7,FALSE)</f>
        <v>0</v>
      </c>
      <c r="CN10" s="331">
        <f>VLOOKUP(CN$8,Сводная!$B$13:$AM$159,7,FALSE)</f>
        <v>0</v>
      </c>
      <c r="CO10" s="331">
        <f>VLOOKUP(CO$8,Сводная!$B$13:$AM$159,7,FALSE)</f>
        <v>6.1000000000000005</v>
      </c>
      <c r="CP10" s="331">
        <f>VLOOKUP(CP$8,Сводная!$B$13:$AM$159,7,FALSE)</f>
        <v>0</v>
      </c>
      <c r="CQ10" s="331">
        <f>VLOOKUP(CQ$8,Сводная!$B$13:$AM$159,7,FALSE)</f>
        <v>0</v>
      </c>
      <c r="CR10" s="331">
        <f>VLOOKUP(CR$8,Сводная!$B$13:$AM$159,7,FALSE)</f>
        <v>0</v>
      </c>
      <c r="CS10" s="332">
        <f>VLOOKUP(CS$8,Сводная!$B$13:$AM$159,7,FALSE)</f>
        <v>0</v>
      </c>
      <c r="CT10" s="332">
        <f>VLOOKUP(CT$8,Сводная!$B$13:$AM$159,7,FALSE)</f>
        <v>0</v>
      </c>
      <c r="CU10" s="332">
        <f>VLOOKUP(CU$8,Сводная!$B$13:$AM$159,7,FALSE)</f>
        <v>0</v>
      </c>
      <c r="CV10" s="332">
        <f>VLOOKUP(CV$8,Сводная!$B$13:$AM$159,7,FALSE)</f>
        <v>0</v>
      </c>
      <c r="CW10" s="332">
        <f>VLOOKUP(CW$8,Сводная!$B$13:$AM$159,7,FALSE)</f>
        <v>0</v>
      </c>
      <c r="CX10" s="332">
        <f>VLOOKUP(CX$8,Сводная!$B$13:$AM$159,7,FALSE)</f>
        <v>0</v>
      </c>
      <c r="CY10" s="332">
        <f>VLOOKUP(CY$8,Сводная!$B$13:$AM$159,7,FALSE)</f>
        <v>0</v>
      </c>
      <c r="CZ10" s="332">
        <f>VLOOKUP(CZ$8,Сводная!$B$13:$AM$159,7,FALSE)</f>
        <v>0</v>
      </c>
      <c r="DA10" s="332">
        <f>VLOOKUP(DA$8,Сводная!$B$13:$AM$159,7,FALSE)</f>
        <v>0</v>
      </c>
      <c r="DB10" s="332">
        <f>VLOOKUP(DB$8,Сводная!$B$13:$AM$159,7,FALSE)</f>
        <v>0</v>
      </c>
      <c r="DC10" s="332">
        <f>VLOOKUP(DC$8,Сводная!$B$13:$AM$159,7,FALSE)</f>
        <v>0</v>
      </c>
      <c r="DD10" s="332">
        <f>VLOOKUP(DD$8,Сводная!$B$13:$AM$159,7,FALSE)</f>
        <v>14.639999999999999</v>
      </c>
      <c r="DE10" s="332">
        <f>VLOOKUP(DE$8,Сводная!$B$13:$AM$159,7,FALSE)</f>
        <v>0</v>
      </c>
      <c r="DF10" s="332">
        <f>VLOOKUP(DF$8,Сводная!$B$13:$AM$159,7,FALSE)</f>
        <v>0</v>
      </c>
      <c r="DG10" s="332">
        <f>VLOOKUP(DG$8,Сводная!$B$13:$AM$159,7,FALSE)</f>
        <v>0</v>
      </c>
      <c r="DH10" s="332">
        <f>VLOOKUP(DH$8,Сводная!$B$13:$AM$159,7,FALSE)</f>
        <v>0</v>
      </c>
      <c r="DI10" s="332">
        <f>VLOOKUP(DI$8,Сводная!$B$13:$AM$159,7,FALSE)</f>
        <v>0</v>
      </c>
      <c r="DJ10" s="332">
        <f>VLOOKUP(DJ$8,Сводная!$B$13:$AM$159,7,FALSE)</f>
        <v>0</v>
      </c>
      <c r="DK10" s="332">
        <f>VLOOKUP(DK$8,Сводная!$B$13:$AM$159,7,FALSE)</f>
        <v>0</v>
      </c>
      <c r="DL10" s="332">
        <f>VLOOKUP(DL$8,Сводная!$B$13:$AM$159,7,FALSE)</f>
        <v>0</v>
      </c>
      <c r="DM10" s="332">
        <f>VLOOKUP(DM$8,Сводная!$B$13:$AM$159,7,FALSE)</f>
        <v>0</v>
      </c>
      <c r="DN10" s="333">
        <f>VLOOKUP(DN$8,Сводная!$B$13:$AM$159,7,FALSE)</f>
        <v>2.0333333333333332</v>
      </c>
      <c r="DO10" s="333">
        <f>VLOOKUP(DO$8,Сводная!$B$13:$AM$159,7,FALSE)</f>
        <v>18.3</v>
      </c>
      <c r="DP10" s="333">
        <f>VLOOKUP(DP$8,Сводная!$B$13:$AM$159,7,FALSE)</f>
        <v>3.6844000000000001</v>
      </c>
      <c r="DQ10" s="333">
        <f>VLOOKUP(DQ$8,Сводная!$B$13:$AM$159,7,FALSE)</f>
        <v>6.5880000000000001E-3</v>
      </c>
      <c r="DR10" s="333">
        <f>VLOOKUP(DR$8,Сводная!$B$13:$AM$159,7,FALSE)</f>
        <v>1.7080000000000001E-2</v>
      </c>
      <c r="DS10" s="333">
        <f>VLOOKUP(DS$8,Сводная!$B$13:$AM$159,7,FALSE)</f>
        <v>0.24399999999999999</v>
      </c>
      <c r="DT10" s="333">
        <f>VLOOKUP(DT$8,Сводная!$B$13:$AM$159,7,FALSE)</f>
        <v>0.61</v>
      </c>
      <c r="DU10" s="333">
        <f>VLOOKUP(DU$8,Сводная!$B$13:$AM$159,7,FALSE)</f>
        <v>0</v>
      </c>
      <c r="DV10" s="333">
        <f>VLOOKUP(DV$8,Сводная!$B$13:$AM$159,7,FALSE)</f>
        <v>0</v>
      </c>
      <c r="DW10" s="333">
        <f>VLOOKUP(DW$8,Сводная!$B$13:$AM$159,7,FALSE)</f>
        <v>6.0999999999999999E-2</v>
      </c>
      <c r="DX10" s="333">
        <f>VLOOKUP(DX$8,Сводная!$B$13:$AM$159,7,FALSE)</f>
        <v>0</v>
      </c>
      <c r="DY10" s="333">
        <f>VLOOKUP(DY$8,Сводная!$B$13:$AM$159,7,FALSE)</f>
        <v>0</v>
      </c>
      <c r="DZ10" s="333">
        <f>VLOOKUP(DZ$8,Сводная!$B$13:$AM$159,7,FALSE)</f>
        <v>0</v>
      </c>
      <c r="EA10" s="854">
        <f>VLOOKUP(EA$8,Сводная!$B$13:$AM$159,7,FALSE)</f>
        <v>217.08680000000004</v>
      </c>
      <c r="EB10" s="333">
        <f>VLOOKUP(EB$8,Сводная!$B$13:$AM$159,7,FALSE)</f>
        <v>100.52800000000001</v>
      </c>
      <c r="EC10" s="333">
        <f>VLOOKUP(EC$8,Сводная!$B$13:$AM$159,7,FALSE)</f>
        <v>24.400000000000002</v>
      </c>
      <c r="ED10" s="333">
        <f>VLOOKUP(ED$8,Сводная!$B$13:$AM$159,7,FALSE)</f>
        <v>0.24399999999999999</v>
      </c>
      <c r="EE10" s="333">
        <f>VLOOKUP(EE$8,Сводная!$B$13:$AM$159,7,FALSE)</f>
        <v>0</v>
      </c>
      <c r="EF10" s="333">
        <f>VLOOKUP(EF$8,Сводная!$B$13:$AM$159,7,FALSE)</f>
        <v>0.183</v>
      </c>
      <c r="EG10" s="333">
        <f>VLOOKUP(EG$8,Сводная!$B$13:$AM$159,7,FALSE)</f>
        <v>0</v>
      </c>
      <c r="EH10" s="333">
        <f>VLOOKUP(EH$8,Сводная!$B$13:$AM$159,7,FALSE)</f>
        <v>0</v>
      </c>
      <c r="EI10" s="333">
        <f>VLOOKUP(EI$8,Сводная!$B$13:$AM$159,7,FALSE)</f>
        <v>0.97599999999999998</v>
      </c>
      <c r="EJ10" s="333">
        <f>VLOOKUP(EJ$8,Сводная!$B$13:$AM$159,7,FALSE)</f>
        <v>0.97599999999999998</v>
      </c>
      <c r="EK10" s="333">
        <f>VLOOKUP(EK$8,Сводная!$B$13:$AM$159,7,FALSE)</f>
        <v>0.48799999999999999</v>
      </c>
      <c r="EL10" s="333">
        <f>VLOOKUP(EL$8,Сводная!$B$13:$AM$159,7,FALSE)</f>
        <v>0</v>
      </c>
      <c r="EM10" s="333">
        <f>VLOOKUP(EM$8,Сводная!$B$13:$AM$159,7,FALSE)</f>
        <v>0</v>
      </c>
      <c r="EN10" s="333">
        <f>VLOOKUP(EN$8,Сводная!$B$13:$AM$159,7,FALSE)</f>
        <v>0</v>
      </c>
      <c r="EO10" s="333">
        <f>VLOOKUP(EO$8,Сводная!$B$13:$AM$159,7,FALSE)</f>
        <v>2.44</v>
      </c>
      <c r="EP10" s="333">
        <f>VLOOKUP(EP$8,Сводная!$B$13:$AM$159,7,FALSE)</f>
        <v>7.3199999999999994</v>
      </c>
      <c r="EQ10" s="333">
        <f>VLOOKUP(EQ$8,Сводная!$B$13:$AM$159,7,FALSE)</f>
        <v>0</v>
      </c>
      <c r="ER10" s="333">
        <f>VLOOKUP(ER$8,Сводная!$B$13:$AM$159,7,FALSE)</f>
        <v>0</v>
      </c>
      <c r="ES10" s="333">
        <f>VLOOKUP(ES$8,Сводная!$B$13:$AM$159,7,FALSE)</f>
        <v>0</v>
      </c>
      <c r="ET10" s="333">
        <f>VLOOKUP(ET$8,Сводная!$B$13:$AM$159,7,FALSE)</f>
        <v>0</v>
      </c>
      <c r="EU10" s="333">
        <f>VLOOKUP(EU$8,Сводная!$B$13:$AM$159,7,FALSE)</f>
        <v>0</v>
      </c>
      <c r="EV10" s="333">
        <f>VLOOKUP(EV$8,Сводная!$B$13:$AM$159,7,FALSE)</f>
        <v>0</v>
      </c>
      <c r="EW10" s="333">
        <f>VLOOKUP(EW$8,Сводная!$B$13:$AM$159,7,FALSE)</f>
        <v>0</v>
      </c>
      <c r="EX10" s="333">
        <f>VLOOKUP(EX$8,Сводная!$B$13:$AM$159,7,FALSE)</f>
        <v>0</v>
      </c>
      <c r="EY10" s="333">
        <f>VLOOKUP(EY$8,Сводная!$B$13:$AM$159,7,FALSE)</f>
        <v>0</v>
      </c>
      <c r="EZ10" s="333">
        <f>VLOOKUP(EZ$8,Сводная!$B$13:$AM$159,7,FALSE)</f>
        <v>0</v>
      </c>
      <c r="FA10" s="164"/>
      <c r="FB10" s="165"/>
      <c r="FC10" s="165"/>
      <c r="FD10" s="166"/>
      <c r="FE10" s="787"/>
    </row>
    <row r="11" spans="2:164" s="160" customFormat="1" ht="19.5" customHeight="1" outlineLevel="1" x14ac:dyDescent="0.25">
      <c r="B11" s="161"/>
      <c r="C11" s="162"/>
      <c r="D11" s="162"/>
      <c r="E11" s="163"/>
      <c r="F11" s="829"/>
      <c r="G11" s="824"/>
      <c r="H11" s="927"/>
      <c r="I11" s="924" t="s">
        <v>1270</v>
      </c>
      <c r="J11" s="329">
        <f>VLOOKUP(J$8,Сводная!$B$13:$AM$159,12,FALSE)</f>
        <v>10.790000000000001</v>
      </c>
      <c r="K11" s="330">
        <f>VLOOKUP(K$8,Сводная!$B$13:$AM$159,12,FALSE)</f>
        <v>2.6</v>
      </c>
      <c r="L11" s="330">
        <f>VLOOKUP(L$8,Сводная!$B$13:$AM$159,12,FALSE)</f>
        <v>0</v>
      </c>
      <c r="M11" s="330">
        <f>VLOOKUP(M$8,Сводная!$B$13:$AM$159,12,FALSE)</f>
        <v>0</v>
      </c>
      <c r="N11" s="330">
        <f>VLOOKUP(N$8,Сводная!$B$13:$AM$159,12,FALSE)</f>
        <v>0</v>
      </c>
      <c r="O11" s="330">
        <f>VLOOKUP(O$8,Сводная!$B$13:$AM$159,12,FALSE)</f>
        <v>11.064</v>
      </c>
      <c r="P11" s="330">
        <f>VLOOKUP(P$8,Сводная!$B$13:$AM$159,12,FALSE)</f>
        <v>0</v>
      </c>
      <c r="Q11" s="330">
        <f>VLOOKUP(Q$8,Сводная!$B$13:$AM$159,12,FALSE)</f>
        <v>1.8260000000000001</v>
      </c>
      <c r="R11" s="330">
        <f>VLOOKUP(R$8,Сводная!$B$13:$AM$159,12,FALSE)</f>
        <v>0</v>
      </c>
      <c r="S11" s="330">
        <f>VLOOKUP(S$8,Сводная!$B$13:$AM$159,12,FALSE)</f>
        <v>0</v>
      </c>
      <c r="T11" s="330">
        <f>VLOOKUP(T$8,Сводная!$B$13:$AM$159,12,FALSE)</f>
        <v>0</v>
      </c>
      <c r="U11" s="330">
        <f>VLOOKUP(U$8,Сводная!$B$13:$AM$159,12,FALSE)</f>
        <v>0</v>
      </c>
      <c r="V11" s="330">
        <f>VLOOKUP(V$8,Сводная!$B$13:$AM$159,12,FALSE)</f>
        <v>0</v>
      </c>
      <c r="W11" s="330">
        <f>VLOOKUP(W$8,Сводная!$B$13:$AM$159,12,FALSE)</f>
        <v>0</v>
      </c>
      <c r="X11" s="330">
        <f>VLOOKUP(X$8,Сводная!$B$13:$AM$159,12,FALSE)</f>
        <v>0.92408000000000001</v>
      </c>
      <c r="Y11" s="330">
        <f>VLOOKUP(Y$8,Сводная!$B$13:$AM$159,12,FALSE)</f>
        <v>0</v>
      </c>
      <c r="Z11" s="330">
        <f>VLOOKUP(Z$8,Сводная!$B$13:$AM$159,12,FALSE)</f>
        <v>14</v>
      </c>
      <c r="AA11" s="330">
        <f>VLOOKUP(AA$8,Сводная!$B$13:$AM$159,12,FALSE)</f>
        <v>28</v>
      </c>
      <c r="AB11" s="330">
        <f>VLOOKUP(AB$8,Сводная!$B$13:$AM$159,12,FALSE)</f>
        <v>0</v>
      </c>
      <c r="AC11" s="330">
        <f>VLOOKUP(AC$8,Сводная!$B$13:$AM$159,12,FALSE)</f>
        <v>0</v>
      </c>
      <c r="AD11" s="330">
        <f>VLOOKUP(AD$8,Сводная!$B$13:$AM$159,12,FALSE)</f>
        <v>27.56</v>
      </c>
      <c r="AE11" s="330">
        <f>VLOOKUP(AE$8,Сводная!$B$13:$AM$159,12,FALSE)</f>
        <v>0</v>
      </c>
      <c r="AF11" s="330">
        <f>VLOOKUP(AF$8,Сводная!$B$13:$AM$159,12,FALSE)</f>
        <v>0.83040000000000003</v>
      </c>
      <c r="AG11" s="330">
        <f>VLOOKUP(AG$8,Сводная!$B$13:$AM$159,12,FALSE)</f>
        <v>1.0284</v>
      </c>
      <c r="AH11" s="330">
        <f>VLOOKUP(AH$8,Сводная!$B$13:$AM$159,12,FALSE)</f>
        <v>0</v>
      </c>
      <c r="AI11" s="330">
        <f>VLOOKUP(AI$8,Сводная!$B$13:$AM$159,12,FALSE)</f>
        <v>0</v>
      </c>
      <c r="AJ11" s="330">
        <f>VLOOKUP(AJ$8,Сводная!$B$13:$AM$159,12,FALSE)</f>
        <v>0</v>
      </c>
      <c r="AK11" s="330">
        <f>VLOOKUP(AK$8,Сводная!$B$13:$AM$159,12,FALSE)</f>
        <v>0</v>
      </c>
      <c r="AL11" s="330">
        <f>VLOOKUP(AL$8,Сводная!$B$13:$AM$159,12,FALSE)</f>
        <v>0</v>
      </c>
      <c r="AM11" s="330">
        <f>VLOOKUP(AM$8,Сводная!$B$13:$AM$159,12,FALSE)</f>
        <v>0</v>
      </c>
      <c r="AN11" s="330">
        <f>VLOOKUP(AN$8,Сводная!$B$13:$AM$159,12,FALSE)</f>
        <v>0</v>
      </c>
      <c r="AO11" s="330">
        <f>VLOOKUP(AO$8,Сводная!$B$13:$AM$159,12,FALSE)</f>
        <v>0.76</v>
      </c>
      <c r="AP11" s="330">
        <f>VLOOKUP(AP$8,Сводная!$B$13:$AM$159,12,FALSE)</f>
        <v>0</v>
      </c>
      <c r="AQ11" s="330">
        <f>VLOOKUP(AQ$8,Сводная!$B$13:$AM$159,12,FALSE)</f>
        <v>0</v>
      </c>
      <c r="AR11" s="330">
        <f>VLOOKUP(AR$8,Сводная!$B$13:$AM$159,12,FALSE)</f>
        <v>0</v>
      </c>
      <c r="AS11" s="330">
        <f>VLOOKUP(AS$8,Сводная!$B$13:$AM$159,12,FALSE)</f>
        <v>0</v>
      </c>
      <c r="AT11" s="330">
        <f>VLOOKUP(AT$8,Сводная!$B$13:$AM$159,12,FALSE)</f>
        <v>0</v>
      </c>
      <c r="AU11" s="330">
        <f>VLOOKUP(AU$8,Сводная!$B$13:$AM$159,12,FALSE)</f>
        <v>2.6</v>
      </c>
      <c r="AV11" s="330">
        <f>VLOOKUP(AV$8,Сводная!$B$13:$AM$159,12,FALSE)</f>
        <v>1.4079999999999999</v>
      </c>
      <c r="AW11" s="330">
        <f>VLOOKUP(AW$8,Сводная!$B$13:$AM$159,12,FALSE)</f>
        <v>0</v>
      </c>
      <c r="AX11" s="330">
        <f>VLOOKUP(AX$8,Сводная!$B$13:$AM$159,12,FALSE)</f>
        <v>2.31</v>
      </c>
      <c r="AY11" s="330">
        <f>VLOOKUP(AY$8,Сводная!$B$13:$AM$159,12,FALSE)</f>
        <v>0</v>
      </c>
      <c r="AZ11" s="330">
        <f>VLOOKUP(AZ$8,Сводная!$B$13:$AM$159,12,FALSE)</f>
        <v>0</v>
      </c>
      <c r="BA11" s="330">
        <f>VLOOKUP(BA$8,Сводная!$B$13:$AM$159,12,FALSE)</f>
        <v>0</v>
      </c>
      <c r="BB11" s="330">
        <f>VLOOKUP(BB$8,Сводная!$B$13:$AM$159,12,FALSE)</f>
        <v>2.56</v>
      </c>
      <c r="BC11" s="330">
        <f>VLOOKUP(BC$8,Сводная!$B$13:$AM$159,12,FALSE)</f>
        <v>0</v>
      </c>
      <c r="BD11" s="330">
        <f>VLOOKUP(BD$8,Сводная!$B$13:$AM$159,12,FALSE)</f>
        <v>0</v>
      </c>
      <c r="BE11" s="330">
        <f>VLOOKUP(BE$8,Сводная!$B$13:$AM$159,12,FALSE)</f>
        <v>25.6</v>
      </c>
      <c r="BF11" s="330">
        <f>VLOOKUP(BF$8,Сводная!$B$13:$AM$159,12,FALSE)</f>
        <v>0</v>
      </c>
      <c r="BG11" s="330">
        <f>VLOOKUP(BG$8,Сводная!$B$13:$AM$159,12,FALSE)</f>
        <v>0</v>
      </c>
      <c r="BH11" s="330">
        <f>VLOOKUP(BH$8,Сводная!$B$13:$AM$159,12,FALSE)</f>
        <v>2.8159999999999998</v>
      </c>
      <c r="BI11" s="330">
        <f>VLOOKUP(BI$8,Сводная!$B$13:$AM$159,12,FALSE)</f>
        <v>0</v>
      </c>
      <c r="BJ11" s="330">
        <f>VLOOKUP(BJ$8,Сводная!$B$13:$AM$159,12,FALSE)</f>
        <v>0.11</v>
      </c>
      <c r="BK11" s="330">
        <f>VLOOKUP(BK$8,Сводная!$B$13:$AM$159,12,FALSE)</f>
        <v>0</v>
      </c>
      <c r="BL11" s="330">
        <f>VLOOKUP(BL$8,Сводная!$B$13:$AM$159,12,FALSE)</f>
        <v>0</v>
      </c>
      <c r="BM11" s="330">
        <f>VLOOKUP(BM$8,Сводная!$B$13:$AM$159,12,FALSE)</f>
        <v>0</v>
      </c>
      <c r="BN11" s="330">
        <f>VLOOKUP(BN$8,Сводная!$B$13:$AM$159,12,FALSE)</f>
        <v>8.1</v>
      </c>
      <c r="BO11" s="330">
        <f>VLOOKUP(BO$8,Сводная!$B$13:$AM$159,12,FALSE)</f>
        <v>1.5536799999999999</v>
      </c>
      <c r="BP11" s="330">
        <f>VLOOKUP(BP$8,Сводная!$B$13:$AM$159,12,FALSE)</f>
        <v>0</v>
      </c>
      <c r="BQ11" s="330">
        <f>VLOOKUP(BQ$8,Сводная!$B$13:$AM$159,12,FALSE)</f>
        <v>0</v>
      </c>
      <c r="BR11" s="330">
        <f>VLOOKUP(BR$8,Сводная!$B$13:$AM$159,12,FALSE)</f>
        <v>0</v>
      </c>
      <c r="BS11" s="330">
        <f>VLOOKUP(BS$8,Сводная!$B$13:$AM$159,12,FALSE)</f>
        <v>0</v>
      </c>
      <c r="BT11" s="330">
        <f>VLOOKUP(BT$8,Сводная!$B$13:$AM$159,12,FALSE)</f>
        <v>0</v>
      </c>
      <c r="BU11" s="330">
        <f>VLOOKUP(BU$8,Сводная!$B$13:$AM$159,12,FALSE)</f>
        <v>0</v>
      </c>
      <c r="BV11" s="330">
        <f>VLOOKUP(BV$8,Сводная!$B$13:$AM$159,12,FALSE)</f>
        <v>0</v>
      </c>
      <c r="BW11" s="330">
        <f>VLOOKUP(BW$8,Сводная!$B$13:$AM$159,12,FALSE)</f>
        <v>2.2000000000000002</v>
      </c>
      <c r="BX11" s="330">
        <f>VLOOKUP(BX$8,Сводная!$B$13:$AM$159,12,FALSE)</f>
        <v>0</v>
      </c>
      <c r="BY11" s="330">
        <f>VLOOKUP(BY$8,Сводная!$B$13:$AM$159,12,FALSE)</f>
        <v>0</v>
      </c>
      <c r="BZ11" s="330">
        <f>VLOOKUP(BZ$8,Сводная!$B$13:$AM$159,12,FALSE)</f>
        <v>0</v>
      </c>
      <c r="CA11" s="330">
        <f>VLOOKUP(CA$8,Сводная!$B$13:$AM$159,12,FALSE)</f>
        <v>0</v>
      </c>
      <c r="CB11" s="330">
        <f>VLOOKUP(CB$8,Сводная!$B$13:$AM$159,12,FALSE)</f>
        <v>0</v>
      </c>
      <c r="CC11" s="331">
        <f>VLOOKUP(CC$8,Сводная!$B$13:$AM$159,12,FALSE)</f>
        <v>0</v>
      </c>
      <c r="CD11" s="331">
        <f>VLOOKUP(CD$8,Сводная!$B$13:$AM$159,12,FALSE)</f>
        <v>3.2</v>
      </c>
      <c r="CE11" s="331">
        <f>VLOOKUP(CE$8,Сводная!$B$13:$AM$159,12,FALSE)</f>
        <v>0</v>
      </c>
      <c r="CF11" s="331">
        <f>VLOOKUP(CF$8,Сводная!$B$13:$AM$159,12,FALSE)</f>
        <v>10.24</v>
      </c>
      <c r="CG11" s="331">
        <f>VLOOKUP(CG$8,Сводная!$B$13:$AM$159,12,FALSE)</f>
        <v>0</v>
      </c>
      <c r="CH11" s="331">
        <f>VLOOKUP(CH$8,Сводная!$B$13:$AM$159,12,FALSE)</f>
        <v>0</v>
      </c>
      <c r="CI11" s="331">
        <f>VLOOKUP(CI$8,Сводная!$B$13:$AM$159,12,FALSE)</f>
        <v>0</v>
      </c>
      <c r="CJ11" s="331">
        <f>VLOOKUP(CJ$8,Сводная!$B$13:$AM$159,12,FALSE)</f>
        <v>0</v>
      </c>
      <c r="CK11" s="331">
        <f>VLOOKUP(CK$8,Сводная!$B$13:$AM$159,12,FALSE)</f>
        <v>0</v>
      </c>
      <c r="CL11" s="331">
        <f>VLOOKUP(CL$8,Сводная!$B$13:$AM$159,12,FALSE)</f>
        <v>0</v>
      </c>
      <c r="CM11" s="331">
        <f>VLOOKUP(CM$8,Сводная!$B$13:$AM$159,12,FALSE)</f>
        <v>0</v>
      </c>
      <c r="CN11" s="331">
        <f>VLOOKUP(CN$8,Сводная!$B$13:$AM$159,12,FALSE)</f>
        <v>0</v>
      </c>
      <c r="CO11" s="331">
        <f>VLOOKUP(CO$8,Сводная!$B$13:$AM$159,12,FALSE)</f>
        <v>0</v>
      </c>
      <c r="CP11" s="331">
        <f>VLOOKUP(CP$8,Сводная!$B$13:$AM$159,12,FALSE)</f>
        <v>0</v>
      </c>
      <c r="CQ11" s="331">
        <f>VLOOKUP(CQ$8,Сводная!$B$13:$AM$159,12,FALSE)</f>
        <v>0</v>
      </c>
      <c r="CR11" s="331">
        <f>VLOOKUP(CR$8,Сводная!$B$13:$AM$159,12,FALSE)</f>
        <v>0</v>
      </c>
      <c r="CS11" s="332">
        <f>VLOOKUP(CS$8,Сводная!$B$13:$AM$159,12,FALSE)</f>
        <v>0</v>
      </c>
      <c r="CT11" s="332">
        <f>VLOOKUP(CT$8,Сводная!$B$13:$AM$159,12,FALSE)</f>
        <v>0</v>
      </c>
      <c r="CU11" s="332">
        <f>VLOOKUP(CU$8,Сводная!$B$13:$AM$159,12,FALSE)</f>
        <v>0</v>
      </c>
      <c r="CV11" s="332">
        <f>VLOOKUP(CV$8,Сводная!$B$13:$AM$159,12,FALSE)</f>
        <v>0</v>
      </c>
      <c r="CW11" s="332">
        <f>VLOOKUP(CW$8,Сводная!$B$13:$AM$159,12,FALSE)</f>
        <v>0</v>
      </c>
      <c r="CX11" s="332">
        <f>VLOOKUP(CX$8,Сводная!$B$13:$AM$159,12,FALSE)</f>
        <v>0</v>
      </c>
      <c r="CY11" s="332">
        <f>VLOOKUP(CY$8,Сводная!$B$13:$AM$159,12,FALSE)</f>
        <v>0</v>
      </c>
      <c r="CZ11" s="332">
        <f>VLOOKUP(CZ$8,Сводная!$B$13:$AM$159,12,FALSE)</f>
        <v>0</v>
      </c>
      <c r="DA11" s="332">
        <f>VLOOKUP(DA$8,Сводная!$B$13:$AM$159,12,FALSE)</f>
        <v>0</v>
      </c>
      <c r="DB11" s="332">
        <f>VLOOKUP(DB$8,Сводная!$B$13:$AM$159,12,FALSE)</f>
        <v>0</v>
      </c>
      <c r="DC11" s="332">
        <f>VLOOKUP(DC$8,Сводная!$B$13:$AM$159,12,FALSE)</f>
        <v>0</v>
      </c>
      <c r="DD11" s="332">
        <f>VLOOKUP(DD$8,Сводная!$B$13:$AM$159,12,FALSE)</f>
        <v>0</v>
      </c>
      <c r="DE11" s="332">
        <f>VLOOKUP(DE$8,Сводная!$B$13:$AM$159,12,FALSE)</f>
        <v>0</v>
      </c>
      <c r="DF11" s="332">
        <f>VLOOKUP(DF$8,Сводная!$B$13:$AM$159,12,FALSE)</f>
        <v>0</v>
      </c>
      <c r="DG11" s="332">
        <f>VLOOKUP(DG$8,Сводная!$B$13:$AM$159,12,FALSE)</f>
        <v>15.6</v>
      </c>
      <c r="DH11" s="332">
        <f>VLOOKUP(DH$8,Сводная!$B$13:$AM$159,12,FALSE)</f>
        <v>0</v>
      </c>
      <c r="DI11" s="332">
        <f>VLOOKUP(DI$8,Сводная!$B$13:$AM$159,12,FALSE)</f>
        <v>0</v>
      </c>
      <c r="DJ11" s="332">
        <f>VLOOKUP(DJ$8,Сводная!$B$13:$AM$159,12,FALSE)</f>
        <v>0</v>
      </c>
      <c r="DK11" s="332">
        <f>VLOOKUP(DK$8,Сводная!$B$13:$AM$159,12,FALSE)</f>
        <v>0</v>
      </c>
      <c r="DL11" s="332">
        <f>VLOOKUP(DL$8,Сводная!$B$13:$AM$159,12,FALSE)</f>
        <v>0</v>
      </c>
      <c r="DM11" s="332">
        <f>VLOOKUP(DM$8,Сводная!$B$13:$AM$159,12,FALSE)</f>
        <v>0</v>
      </c>
      <c r="DN11" s="333">
        <f>VLOOKUP(DN$8,Сводная!$B$13:$AM$159,12,FALSE)</f>
        <v>0</v>
      </c>
      <c r="DO11" s="333">
        <f>VLOOKUP(DO$8,Сводная!$B$13:$AM$159,12,FALSE)</f>
        <v>13.34</v>
      </c>
      <c r="DP11" s="333">
        <f>VLOOKUP(DP$8,Сводная!$B$13:$AM$159,12,FALSE)</f>
        <v>2.5375200000000002</v>
      </c>
      <c r="DQ11" s="333">
        <f>VLOOKUP(DQ$8,Сводная!$B$13:$AM$159,12,FALSE)</f>
        <v>5.9840000000000002E-4</v>
      </c>
      <c r="DR11" s="333">
        <f>VLOOKUP(DR$8,Сводная!$B$13:$AM$159,12,FALSE)</f>
        <v>3.0160000000000005E-3</v>
      </c>
      <c r="DS11" s="333">
        <f>VLOOKUP(DS$8,Сводная!$B$13:$AM$159,12,FALSE)</f>
        <v>1.4080000000000001E-2</v>
      </c>
      <c r="DT11" s="333">
        <f>VLOOKUP(DT$8,Сводная!$B$13:$AM$159,12,FALSE)</f>
        <v>0.11</v>
      </c>
      <c r="DU11" s="333">
        <f>VLOOKUP(DU$8,Сводная!$B$13:$AM$159,12,FALSE)</f>
        <v>0</v>
      </c>
      <c r="DV11" s="333">
        <f>VLOOKUP(DV$8,Сводная!$B$13:$AM$159,12,FALSE)</f>
        <v>0</v>
      </c>
      <c r="DW11" s="333">
        <f>VLOOKUP(DW$8,Сводная!$B$13:$AM$159,12,FALSE)</f>
        <v>1.7600000000000001E-2</v>
      </c>
      <c r="DX11" s="333">
        <f>VLOOKUP(DX$8,Сводная!$B$13:$AM$159,12,FALSE)</f>
        <v>0</v>
      </c>
      <c r="DY11" s="333">
        <f>VLOOKUP(DY$8,Сводная!$B$13:$AM$159,12,FALSE)</f>
        <v>0</v>
      </c>
      <c r="DZ11" s="333">
        <f>VLOOKUP(DZ$8,Сводная!$B$13:$AM$159,12,FALSE)</f>
        <v>0</v>
      </c>
      <c r="EA11" s="854">
        <f>VLOOKUP(EA$8,Сводная!$B$13:$AM$159,12,FALSE)</f>
        <v>119.9328</v>
      </c>
      <c r="EB11" s="333">
        <f>VLOOKUP(EB$8,Сводная!$B$13:$AM$159,12,FALSE)</f>
        <v>61.081600000000002</v>
      </c>
      <c r="EC11" s="333">
        <f>VLOOKUP(EC$8,Сводная!$B$13:$AM$159,12,FALSE)</f>
        <v>26</v>
      </c>
      <c r="ED11" s="333">
        <f>VLOOKUP(ED$8,Сводная!$B$13:$AM$159,12,FALSE)</f>
        <v>0.13</v>
      </c>
      <c r="EE11" s="333">
        <f>VLOOKUP(EE$8,Сводная!$B$13:$AM$159,12,FALSE)</f>
        <v>0</v>
      </c>
      <c r="EF11" s="333">
        <f>VLOOKUP(EF$8,Сводная!$B$13:$AM$159,12,FALSE)</f>
        <v>0.192</v>
      </c>
      <c r="EG11" s="333">
        <f>VLOOKUP(EG$8,Сводная!$B$13:$AM$159,12,FALSE)</f>
        <v>0</v>
      </c>
      <c r="EH11" s="333">
        <f>VLOOKUP(EH$8,Сводная!$B$13:$AM$159,12,FALSE)</f>
        <v>0</v>
      </c>
      <c r="EI11" s="333">
        <f>VLOOKUP(EI$8,Сводная!$B$13:$AM$159,12,FALSE)</f>
        <v>0</v>
      </c>
      <c r="EJ11" s="333">
        <f>VLOOKUP(EJ$8,Сводная!$B$13:$AM$159,12,FALSE)</f>
        <v>0</v>
      </c>
      <c r="EK11" s="333">
        <f>VLOOKUP(EK$8,Сводная!$B$13:$AM$159,12,FALSE)</f>
        <v>0</v>
      </c>
      <c r="EL11" s="333">
        <f>VLOOKUP(EL$8,Сводная!$B$13:$AM$159,12,FALSE)</f>
        <v>0</v>
      </c>
      <c r="EM11" s="333">
        <f>VLOOKUP(EM$8,Сводная!$B$13:$AM$159,12,FALSE)</f>
        <v>0</v>
      </c>
      <c r="EN11" s="333">
        <f>VLOOKUP(EN$8,Сводная!$B$13:$AM$159,12,FALSE)</f>
        <v>0</v>
      </c>
      <c r="EO11" s="333">
        <f>VLOOKUP(EO$8,Сводная!$B$13:$AM$159,12,FALSE)</f>
        <v>0.44</v>
      </c>
      <c r="EP11" s="333">
        <f>VLOOKUP(EP$8,Сводная!$B$13:$AM$159,12,FALSE)</f>
        <v>0</v>
      </c>
      <c r="EQ11" s="333">
        <f>VLOOKUP(EQ$8,Сводная!$B$13:$AM$159,12,FALSE)</f>
        <v>7.8</v>
      </c>
      <c r="ER11" s="333">
        <f>VLOOKUP(ER$8,Сводная!$B$13:$AM$159,12,FALSE)</f>
        <v>0</v>
      </c>
      <c r="ES11" s="333">
        <f>VLOOKUP(ES$8,Сводная!$B$13:$AM$159,12,FALSE)</f>
        <v>0</v>
      </c>
      <c r="ET11" s="333">
        <f>VLOOKUP(ET$8,Сводная!$B$13:$AM$159,12,FALSE)</f>
        <v>0.55000000000000004</v>
      </c>
      <c r="EU11" s="333">
        <f>VLOOKUP(EU$8,Сводная!$B$13:$AM$159,12,FALSE)</f>
        <v>0</v>
      </c>
      <c r="EV11" s="333">
        <f>VLOOKUP(EV$8,Сводная!$B$13:$AM$159,12,FALSE)</f>
        <v>0</v>
      </c>
      <c r="EW11" s="333">
        <f>VLOOKUP(EW$8,Сводная!$B$13:$AM$159,12,FALSE)</f>
        <v>0</v>
      </c>
      <c r="EX11" s="333">
        <f>VLOOKUP(EX$8,Сводная!$B$13:$AM$159,12,FALSE)</f>
        <v>0</v>
      </c>
      <c r="EY11" s="333">
        <f>VLOOKUP(EY$8,Сводная!$B$13:$AM$159,12,FALSE)</f>
        <v>0</v>
      </c>
      <c r="EZ11" s="333">
        <f>VLOOKUP(EZ$8,Сводная!$B$13:$AM$159,12,FALSE)</f>
        <v>0</v>
      </c>
      <c r="FA11" s="164"/>
      <c r="FB11" s="165"/>
      <c r="FC11" s="165"/>
      <c r="FD11" s="166"/>
      <c r="FE11" s="787"/>
    </row>
    <row r="12" spans="2:164" s="160" customFormat="1" ht="19.5" customHeight="1" outlineLevel="1" x14ac:dyDescent="0.25">
      <c r="B12" s="161"/>
      <c r="C12" s="162"/>
      <c r="D12" s="162"/>
      <c r="E12" s="163"/>
      <c r="F12" s="829"/>
      <c r="G12" s="824"/>
      <c r="H12" s="927"/>
      <c r="I12" s="924" t="s">
        <v>1271</v>
      </c>
      <c r="J12" s="329">
        <f>VLOOKUP(J$8,Сводная!$B$13:$AM$159,17,FALSE)</f>
        <v>0</v>
      </c>
      <c r="K12" s="330">
        <f>VLOOKUP(K$8,Сводная!$B$13:$AM$159,17,FALSE)</f>
        <v>0</v>
      </c>
      <c r="L12" s="330">
        <f>VLOOKUP(L$8,Сводная!$B$13:$AM$159,17,FALSE)</f>
        <v>0</v>
      </c>
      <c r="M12" s="330">
        <f>VLOOKUP(M$8,Сводная!$B$13:$AM$159,17,FALSE)</f>
        <v>0</v>
      </c>
      <c r="N12" s="330">
        <f>VLOOKUP(N$8,Сводная!$B$13:$AM$159,17,FALSE)</f>
        <v>0</v>
      </c>
      <c r="O12" s="330">
        <f>VLOOKUP(O$8,Сводная!$B$13:$AM$159,17,FALSE)</f>
        <v>2.3000000000000003</v>
      </c>
      <c r="P12" s="330">
        <f>VLOOKUP(P$8,Сводная!$B$13:$AM$159,17,FALSE)</f>
        <v>0</v>
      </c>
      <c r="Q12" s="330">
        <f>VLOOKUP(Q$8,Сводная!$B$13:$AM$159,17,FALSE)</f>
        <v>19.09</v>
      </c>
      <c r="R12" s="330">
        <f>VLOOKUP(R$8,Сводная!$B$13:$AM$159,17,FALSE)</f>
        <v>0</v>
      </c>
      <c r="S12" s="330">
        <f>VLOOKUP(S$8,Сводная!$B$13:$AM$159,17,FALSE)</f>
        <v>0</v>
      </c>
      <c r="T12" s="330">
        <f>VLOOKUP(T$8,Сводная!$B$13:$AM$159,17,FALSE)</f>
        <v>0</v>
      </c>
      <c r="U12" s="330">
        <f>VLOOKUP(U$8,Сводная!$B$13:$AM$159,17,FALSE)</f>
        <v>0</v>
      </c>
      <c r="V12" s="330">
        <f>VLOOKUP(V$8,Сводная!$B$13:$AM$159,17,FALSE)</f>
        <v>9.5449999999999999</v>
      </c>
      <c r="W12" s="330">
        <f>VLOOKUP(W$8,Сводная!$B$13:$AM$159,17,FALSE)</f>
        <v>0</v>
      </c>
      <c r="X12" s="330">
        <f>VLOOKUP(X$8,Сводная!$B$13:$AM$159,17,FALSE)</f>
        <v>1.794</v>
      </c>
      <c r="Y12" s="330">
        <f>VLOOKUP(Y$8,Сводная!$B$13:$AM$159,17,FALSE)</f>
        <v>0</v>
      </c>
      <c r="Z12" s="330">
        <f>VLOOKUP(Z$8,Сводная!$B$13:$AM$159,17,FALSE)</f>
        <v>17.25</v>
      </c>
      <c r="AA12" s="330">
        <f>VLOOKUP(AA$8,Сводная!$B$13:$AM$159,17,FALSE)</f>
        <v>37.49</v>
      </c>
      <c r="AB12" s="330">
        <f>VLOOKUP(AB$8,Сводная!$B$13:$AM$159,17,FALSE)</f>
        <v>0</v>
      </c>
      <c r="AC12" s="330">
        <f>VLOOKUP(AC$8,Сводная!$B$13:$AM$159,17,FALSE)</f>
        <v>0</v>
      </c>
      <c r="AD12" s="330">
        <f>VLOOKUP(AD$8,Сводная!$B$13:$AM$159,17,FALSE)</f>
        <v>27.024999999999999</v>
      </c>
      <c r="AE12" s="330">
        <f>VLOOKUP(AE$8,Сводная!$B$13:$AM$159,17,FALSE)</f>
        <v>16.100000000000001</v>
      </c>
      <c r="AF12" s="330">
        <f>VLOOKUP(AF$8,Сводная!$B$13:$AM$159,17,FALSE)</f>
        <v>3.335</v>
      </c>
      <c r="AG12" s="330">
        <f>VLOOKUP(AG$8,Сводная!$B$13:$AM$159,17,FALSE)</f>
        <v>3.7030000000000003</v>
      </c>
      <c r="AH12" s="330">
        <f>VLOOKUP(AH$8,Сводная!$B$13:$AM$159,17,FALSE)</f>
        <v>0</v>
      </c>
      <c r="AI12" s="330">
        <f>VLOOKUP(AI$8,Сводная!$B$13:$AM$159,17,FALSE)</f>
        <v>0</v>
      </c>
      <c r="AJ12" s="330">
        <f>VLOOKUP(AJ$8,Сводная!$B$13:$AM$159,17,FALSE)</f>
        <v>0</v>
      </c>
      <c r="AK12" s="330">
        <f>VLOOKUP(AK$8,Сводная!$B$13:$AM$159,17,FALSE)</f>
        <v>0</v>
      </c>
      <c r="AL12" s="330">
        <f>VLOOKUP(AL$8,Сводная!$B$13:$AM$159,17,FALSE)</f>
        <v>0</v>
      </c>
      <c r="AM12" s="330">
        <f>VLOOKUP(AM$8,Сводная!$B$13:$AM$159,17,FALSE)</f>
        <v>0</v>
      </c>
      <c r="AN12" s="330">
        <f>VLOOKUP(AN$8,Сводная!$B$13:$AM$159,17,FALSE)</f>
        <v>0</v>
      </c>
      <c r="AO12" s="330">
        <f>VLOOKUP(AO$8,Сводная!$B$13:$AM$159,17,FALSE)</f>
        <v>1.1500000000000001</v>
      </c>
      <c r="AP12" s="330">
        <f>VLOOKUP(AP$8,Сводная!$B$13:$AM$159,17,FALSE)</f>
        <v>0</v>
      </c>
      <c r="AQ12" s="330">
        <f>VLOOKUP(AQ$8,Сводная!$B$13:$AM$159,17,FALSE)</f>
        <v>0</v>
      </c>
      <c r="AR12" s="330">
        <f>VLOOKUP(AR$8,Сводная!$B$13:$AM$159,17,FALSE)</f>
        <v>0</v>
      </c>
      <c r="AS12" s="330">
        <f>VLOOKUP(AS$8,Сводная!$B$13:$AM$159,17,FALSE)</f>
        <v>0</v>
      </c>
      <c r="AT12" s="330">
        <f>VLOOKUP(AT$8,Сводная!$B$13:$AM$159,17,FALSE)</f>
        <v>0</v>
      </c>
      <c r="AU12" s="330">
        <f>VLOOKUP(AU$8,Сводная!$B$13:$AM$159,17,FALSE)</f>
        <v>2.3000000000000003</v>
      </c>
      <c r="AV12" s="330">
        <f>VLOOKUP(AV$8,Сводная!$B$13:$AM$159,17,FALSE)</f>
        <v>12.074999999999999</v>
      </c>
      <c r="AW12" s="330">
        <f>VLOOKUP(AW$8,Сводная!$B$13:$AM$159,17,FALSE)</f>
        <v>0</v>
      </c>
      <c r="AX12" s="330">
        <f>VLOOKUP(AX$8,Сводная!$B$13:$AM$159,17,FALSE)</f>
        <v>0</v>
      </c>
      <c r="AY12" s="330">
        <f>VLOOKUP(AY$8,Сводная!$B$13:$AM$159,17,FALSE)</f>
        <v>0</v>
      </c>
      <c r="AZ12" s="330">
        <f>VLOOKUP(AZ$8,Сводная!$B$13:$AM$159,17,FALSE)</f>
        <v>0</v>
      </c>
      <c r="BA12" s="330">
        <f>VLOOKUP(BA$8,Сводная!$B$13:$AM$159,17,FALSE)</f>
        <v>0</v>
      </c>
      <c r="BB12" s="330">
        <f>VLOOKUP(BB$8,Сводная!$B$13:$AM$159,17,FALSE)</f>
        <v>4.3125</v>
      </c>
      <c r="BC12" s="330">
        <f>VLOOKUP(BC$8,Сводная!$B$13:$AM$159,17,FALSE)</f>
        <v>0</v>
      </c>
      <c r="BD12" s="330">
        <f>VLOOKUP(BD$8,Сводная!$B$13:$AM$159,17,FALSE)</f>
        <v>0</v>
      </c>
      <c r="BE12" s="330">
        <f>VLOOKUP(BE$8,Сводная!$B$13:$AM$159,17,FALSE)</f>
        <v>23</v>
      </c>
      <c r="BF12" s="330">
        <f>VLOOKUP(BF$8,Сводная!$B$13:$AM$159,17,FALSE)</f>
        <v>0</v>
      </c>
      <c r="BG12" s="330">
        <f>VLOOKUP(BG$8,Сводная!$B$13:$AM$159,17,FALSE)</f>
        <v>0</v>
      </c>
      <c r="BH12" s="330">
        <f>VLOOKUP(BH$8,Сводная!$B$13:$AM$159,17,FALSE)</f>
        <v>2.5299999999999998</v>
      </c>
      <c r="BI12" s="330">
        <f>VLOOKUP(BI$8,Сводная!$B$13:$AM$159,17,FALSE)</f>
        <v>0</v>
      </c>
      <c r="BJ12" s="330">
        <f>VLOOKUP(BJ$8,Сводная!$B$13:$AM$159,17,FALSE)</f>
        <v>0.57500000000000007</v>
      </c>
      <c r="BK12" s="330">
        <f>VLOOKUP(BK$8,Сводная!$B$13:$AM$159,17,FALSE)</f>
        <v>0</v>
      </c>
      <c r="BL12" s="330">
        <f>VLOOKUP(BL$8,Сводная!$B$13:$AM$159,17,FALSE)</f>
        <v>0</v>
      </c>
      <c r="BM12" s="330">
        <f>VLOOKUP(BM$8,Сводная!$B$13:$AM$159,17,FALSE)</f>
        <v>0</v>
      </c>
      <c r="BN12" s="330">
        <f>VLOOKUP(BN$8,Сводная!$B$13:$AM$159,17,FALSE)</f>
        <v>8.625</v>
      </c>
      <c r="BO12" s="330">
        <f>VLOOKUP(BO$8,Сводная!$B$13:$AM$159,17,FALSE)</f>
        <v>3.1509999999999998</v>
      </c>
      <c r="BP12" s="330">
        <f>VLOOKUP(BP$8,Сводная!$B$13:$AM$159,17,FALSE)</f>
        <v>0</v>
      </c>
      <c r="BQ12" s="330">
        <f>VLOOKUP(BQ$8,Сводная!$B$13:$AM$159,17,FALSE)</f>
        <v>0</v>
      </c>
      <c r="BR12" s="330">
        <f>VLOOKUP(BR$8,Сводная!$B$13:$AM$159,17,FALSE)</f>
        <v>0</v>
      </c>
      <c r="BS12" s="330">
        <f>VLOOKUP(BS$8,Сводная!$B$13:$AM$159,17,FALSE)</f>
        <v>0</v>
      </c>
      <c r="BT12" s="330">
        <f>VLOOKUP(BT$8,Сводная!$B$13:$AM$159,17,FALSE)</f>
        <v>0</v>
      </c>
      <c r="BU12" s="330">
        <f>VLOOKUP(BU$8,Сводная!$B$13:$AM$159,17,FALSE)</f>
        <v>8.625</v>
      </c>
      <c r="BV12" s="330">
        <f>VLOOKUP(BV$8,Сводная!$B$13:$AM$159,17,FALSE)</f>
        <v>0</v>
      </c>
      <c r="BW12" s="330">
        <f>VLOOKUP(BW$8,Сводная!$B$13:$AM$159,17,FALSE)</f>
        <v>0</v>
      </c>
      <c r="BX12" s="330">
        <f>VLOOKUP(BX$8,Сводная!$B$13:$AM$159,17,FALSE)</f>
        <v>0</v>
      </c>
      <c r="BY12" s="330">
        <f>VLOOKUP(BY$8,Сводная!$B$13:$AM$159,17,FALSE)</f>
        <v>0</v>
      </c>
      <c r="BZ12" s="330">
        <f>VLOOKUP(BZ$8,Сводная!$B$13:$AM$159,17,FALSE)</f>
        <v>0</v>
      </c>
      <c r="CA12" s="330">
        <f>VLOOKUP(CA$8,Сводная!$B$13:$AM$159,17,FALSE)</f>
        <v>0</v>
      </c>
      <c r="CB12" s="330">
        <f>VLOOKUP(CB$8,Сводная!$B$13:$AM$159,17,FALSE)</f>
        <v>0</v>
      </c>
      <c r="CC12" s="331">
        <f>VLOOKUP(CC$8,Сводная!$B$13:$AM$159,17,FALSE)</f>
        <v>0</v>
      </c>
      <c r="CD12" s="331">
        <f>VLOOKUP(CD$8,Сводная!$B$13:$AM$159,17,FALSE)</f>
        <v>2.875</v>
      </c>
      <c r="CE12" s="331">
        <f>VLOOKUP(CE$8,Сводная!$B$13:$AM$159,17,FALSE)</f>
        <v>0</v>
      </c>
      <c r="CF12" s="331">
        <f>VLOOKUP(CF$8,Сводная!$B$13:$AM$159,17,FALSE)</f>
        <v>9.2000000000000011</v>
      </c>
      <c r="CG12" s="331">
        <f>VLOOKUP(CG$8,Сводная!$B$13:$AM$159,17,FALSE)</f>
        <v>0</v>
      </c>
      <c r="CH12" s="331">
        <f>VLOOKUP(CH$8,Сводная!$B$13:$AM$159,17,FALSE)</f>
        <v>0</v>
      </c>
      <c r="CI12" s="331">
        <f>VLOOKUP(CI$8,Сводная!$B$13:$AM$159,17,FALSE)</f>
        <v>0</v>
      </c>
      <c r="CJ12" s="331">
        <f>VLOOKUP(CJ$8,Сводная!$B$13:$AM$159,17,FALSE)</f>
        <v>0</v>
      </c>
      <c r="CK12" s="331">
        <f>VLOOKUP(CK$8,Сводная!$B$13:$AM$159,17,FALSE)</f>
        <v>0</v>
      </c>
      <c r="CL12" s="331">
        <f>VLOOKUP(CL$8,Сводная!$B$13:$AM$159,17,FALSE)</f>
        <v>0</v>
      </c>
      <c r="CM12" s="331">
        <f>VLOOKUP(CM$8,Сводная!$B$13:$AM$159,17,FALSE)</f>
        <v>0</v>
      </c>
      <c r="CN12" s="331">
        <f>VLOOKUP(CN$8,Сводная!$B$13:$AM$159,17,FALSE)</f>
        <v>0</v>
      </c>
      <c r="CO12" s="331">
        <f>VLOOKUP(CO$8,Сводная!$B$13:$AM$159,17,FALSE)</f>
        <v>13.799999999999999</v>
      </c>
      <c r="CP12" s="331">
        <f>VLOOKUP(CP$8,Сводная!$B$13:$AM$159,17,FALSE)</f>
        <v>0</v>
      </c>
      <c r="CQ12" s="331">
        <f>VLOOKUP(CQ$8,Сводная!$B$13:$AM$159,17,FALSE)</f>
        <v>0</v>
      </c>
      <c r="CR12" s="331">
        <f>VLOOKUP(CR$8,Сводная!$B$13:$AM$159,17,FALSE)</f>
        <v>0</v>
      </c>
      <c r="CS12" s="332">
        <f>VLOOKUP(CS$8,Сводная!$B$13:$AM$159,17,FALSE)</f>
        <v>0</v>
      </c>
      <c r="CT12" s="332">
        <f>VLOOKUP(CT$8,Сводная!$B$13:$AM$159,17,FALSE)</f>
        <v>0</v>
      </c>
      <c r="CU12" s="332">
        <f>VLOOKUP(CU$8,Сводная!$B$13:$AM$159,17,FALSE)</f>
        <v>0</v>
      </c>
      <c r="CV12" s="332">
        <f>VLOOKUP(CV$8,Сводная!$B$13:$AM$159,17,FALSE)</f>
        <v>0</v>
      </c>
      <c r="CW12" s="332">
        <f>VLOOKUP(CW$8,Сводная!$B$13:$AM$159,17,FALSE)</f>
        <v>0</v>
      </c>
      <c r="CX12" s="332">
        <f>VLOOKUP(CX$8,Сводная!$B$13:$AM$159,17,FALSE)</f>
        <v>0</v>
      </c>
      <c r="CY12" s="332">
        <f>VLOOKUP(CY$8,Сводная!$B$13:$AM$159,17,FALSE)</f>
        <v>0</v>
      </c>
      <c r="CZ12" s="332">
        <f>VLOOKUP(CZ$8,Сводная!$B$13:$AM$159,17,FALSE)</f>
        <v>0</v>
      </c>
      <c r="DA12" s="332">
        <f>VLOOKUP(DA$8,Сводная!$B$13:$AM$159,17,FALSE)</f>
        <v>0</v>
      </c>
      <c r="DB12" s="332">
        <f>VLOOKUP(DB$8,Сводная!$B$13:$AM$159,17,FALSE)</f>
        <v>0</v>
      </c>
      <c r="DC12" s="332">
        <f>VLOOKUP(DC$8,Сводная!$B$13:$AM$159,17,FALSE)</f>
        <v>0</v>
      </c>
      <c r="DD12" s="332">
        <f>VLOOKUP(DD$8,Сводная!$B$13:$AM$159,17,FALSE)</f>
        <v>0</v>
      </c>
      <c r="DE12" s="332">
        <f>VLOOKUP(DE$8,Сводная!$B$13:$AM$159,17,FALSE)</f>
        <v>0</v>
      </c>
      <c r="DF12" s="332">
        <f>VLOOKUP(DF$8,Сводная!$B$13:$AM$159,17,FALSE)</f>
        <v>0</v>
      </c>
      <c r="DG12" s="332">
        <f>VLOOKUP(DG$8,Сводная!$B$13:$AM$159,17,FALSE)</f>
        <v>0</v>
      </c>
      <c r="DH12" s="332">
        <f>VLOOKUP(DH$8,Сводная!$B$13:$AM$159,17,FALSE)</f>
        <v>0</v>
      </c>
      <c r="DI12" s="332">
        <f>VLOOKUP(DI$8,Сводная!$B$13:$AM$159,17,FALSE)</f>
        <v>0</v>
      </c>
      <c r="DJ12" s="332">
        <f>VLOOKUP(DJ$8,Сводная!$B$13:$AM$159,17,FALSE)</f>
        <v>0</v>
      </c>
      <c r="DK12" s="332">
        <f>VLOOKUP(DK$8,Сводная!$B$13:$AM$159,17,FALSE)</f>
        <v>0</v>
      </c>
      <c r="DL12" s="332">
        <f>VLOOKUP(DL$8,Сводная!$B$13:$AM$159,17,FALSE)</f>
        <v>0</v>
      </c>
      <c r="DM12" s="332">
        <f>VLOOKUP(DM$8,Сводная!$B$13:$AM$159,17,FALSE)</f>
        <v>0</v>
      </c>
      <c r="DN12" s="333">
        <f>VLOOKUP(DN$8,Сводная!$B$13:$AM$159,17,FALSE)</f>
        <v>1.9166666666666667</v>
      </c>
      <c r="DO12" s="333">
        <f>VLOOKUP(DO$8,Сводная!$B$13:$AM$159,17,FALSE)</f>
        <v>12.649999999999999</v>
      </c>
      <c r="DP12" s="333">
        <f>VLOOKUP(DP$8,Сводная!$B$13:$AM$159,17,FALSE)</f>
        <v>2.4954999999999998</v>
      </c>
      <c r="DQ12" s="333">
        <f>VLOOKUP(DQ$8,Сводная!$B$13:$AM$159,17,FALSE)</f>
        <v>5.4280000000000005E-3</v>
      </c>
      <c r="DR12" s="333">
        <f>VLOOKUP(DR$8,Сводная!$B$13:$AM$159,17,FALSE)</f>
        <v>2.622E-2</v>
      </c>
      <c r="DS12" s="333">
        <f>VLOOKUP(DS$8,Сводная!$B$13:$AM$159,17,FALSE)</f>
        <v>0.52900000000000003</v>
      </c>
      <c r="DT12" s="333">
        <f>VLOOKUP(DT$8,Сводная!$B$13:$AM$159,17,FALSE)</f>
        <v>0.57500000000000007</v>
      </c>
      <c r="DU12" s="333">
        <f>VLOOKUP(DU$8,Сводная!$B$13:$AM$159,17,FALSE)</f>
        <v>0</v>
      </c>
      <c r="DV12" s="333">
        <f>VLOOKUP(DV$8,Сводная!$B$13:$AM$159,17,FALSE)</f>
        <v>0</v>
      </c>
      <c r="DW12" s="333">
        <f>VLOOKUP(DW$8,Сводная!$B$13:$AM$159,17,FALSE)</f>
        <v>0</v>
      </c>
      <c r="DX12" s="333">
        <f>VLOOKUP(DX$8,Сводная!$B$13:$AM$159,17,FALSE)</f>
        <v>0</v>
      </c>
      <c r="DY12" s="333">
        <f>VLOOKUP(DY$8,Сводная!$B$13:$AM$159,17,FALSE)</f>
        <v>0</v>
      </c>
      <c r="DZ12" s="333">
        <f>VLOOKUP(DZ$8,Сводная!$B$13:$AM$159,17,FALSE)</f>
        <v>0</v>
      </c>
      <c r="EA12" s="854">
        <f>VLOOKUP(EA$8,Сводная!$B$13:$AM$159,17,FALSE)</f>
        <v>166.19800000000004</v>
      </c>
      <c r="EB12" s="333">
        <f>VLOOKUP(EB$8,Сводная!$B$13:$AM$159,17,FALSE)</f>
        <v>94.207999999999998</v>
      </c>
      <c r="EC12" s="333">
        <f>VLOOKUP(EC$8,Сводная!$B$13:$AM$159,17,FALSE)</f>
        <v>46</v>
      </c>
      <c r="ED12" s="333">
        <f>VLOOKUP(ED$8,Сводная!$B$13:$AM$159,17,FALSE)</f>
        <v>0.115</v>
      </c>
      <c r="EE12" s="333">
        <f>VLOOKUP(EE$8,Сводная!$B$13:$AM$159,17,FALSE)</f>
        <v>0</v>
      </c>
      <c r="EF12" s="333">
        <f>VLOOKUP(EF$8,Сводная!$B$13:$AM$159,17,FALSE)</f>
        <v>0.17250000000000001</v>
      </c>
      <c r="EG12" s="333">
        <f>VLOOKUP(EG$8,Сводная!$B$13:$AM$159,17,FALSE)</f>
        <v>0</v>
      </c>
      <c r="EH12" s="333">
        <f>VLOOKUP(EH$8,Сводная!$B$13:$AM$159,17,FALSE)</f>
        <v>0</v>
      </c>
      <c r="EI12" s="333">
        <f>VLOOKUP(EI$8,Сводная!$B$13:$AM$159,17,FALSE)</f>
        <v>0</v>
      </c>
      <c r="EJ12" s="333">
        <f>VLOOKUP(EJ$8,Сводная!$B$13:$AM$159,17,FALSE)</f>
        <v>0</v>
      </c>
      <c r="EK12" s="333">
        <f>VLOOKUP(EK$8,Сводная!$B$13:$AM$159,17,FALSE)</f>
        <v>0</v>
      </c>
      <c r="EL12" s="333">
        <f>VLOOKUP(EL$8,Сводная!$B$13:$AM$159,17,FALSE)</f>
        <v>0</v>
      </c>
      <c r="EM12" s="333">
        <f>VLOOKUP(EM$8,Сводная!$B$13:$AM$159,17,FALSE)</f>
        <v>0</v>
      </c>
      <c r="EN12" s="333">
        <f>VLOOKUP(EN$8,Сводная!$B$13:$AM$159,17,FALSE)</f>
        <v>0</v>
      </c>
      <c r="EO12" s="333">
        <f>VLOOKUP(EO$8,Сводная!$B$13:$AM$159,17,FALSE)</f>
        <v>2.3000000000000003</v>
      </c>
      <c r="EP12" s="333">
        <f>VLOOKUP(EP$8,Сводная!$B$13:$AM$159,17,FALSE)</f>
        <v>6.8999999999999995</v>
      </c>
      <c r="EQ12" s="333">
        <f>VLOOKUP(EQ$8,Сводная!$B$13:$AM$159,17,FALSE)</f>
        <v>0</v>
      </c>
      <c r="ER12" s="333">
        <f>VLOOKUP(ER$8,Сводная!$B$13:$AM$159,17,FALSE)</f>
        <v>0</v>
      </c>
      <c r="ES12" s="333">
        <f>VLOOKUP(ES$8,Сводная!$B$13:$AM$159,17,FALSE)</f>
        <v>0</v>
      </c>
      <c r="ET12" s="333">
        <f>VLOOKUP(ET$8,Сводная!$B$13:$AM$159,17,FALSE)</f>
        <v>0</v>
      </c>
      <c r="EU12" s="333">
        <f>VLOOKUP(EU$8,Сводная!$B$13:$AM$159,17,FALSE)</f>
        <v>0</v>
      </c>
      <c r="EV12" s="333">
        <f>VLOOKUP(EV$8,Сводная!$B$13:$AM$159,17,FALSE)</f>
        <v>0</v>
      </c>
      <c r="EW12" s="333">
        <f>VLOOKUP(EW$8,Сводная!$B$13:$AM$159,17,FALSE)</f>
        <v>0</v>
      </c>
      <c r="EX12" s="333">
        <f>VLOOKUP(EX$8,Сводная!$B$13:$AM$159,17,FALSE)</f>
        <v>0</v>
      </c>
      <c r="EY12" s="333">
        <f>VLOOKUP(EY$8,Сводная!$B$13:$AM$159,17,FALSE)</f>
        <v>0</v>
      </c>
      <c r="EZ12" s="333">
        <f>VLOOKUP(EZ$8,Сводная!$B$13:$AM$159,17,FALSE)</f>
        <v>0</v>
      </c>
      <c r="FA12" s="164"/>
      <c r="FB12" s="165"/>
      <c r="FC12" s="165"/>
      <c r="FD12" s="166"/>
      <c r="FE12" s="787"/>
    </row>
    <row r="13" spans="2:164" s="160" customFormat="1" ht="19.5" customHeight="1" outlineLevel="1" x14ac:dyDescent="0.25">
      <c r="B13" s="161"/>
      <c r="C13" s="162"/>
      <c r="D13" s="162"/>
      <c r="E13" s="163"/>
      <c r="F13" s="829"/>
      <c r="G13" s="824"/>
      <c r="H13" s="927"/>
      <c r="I13" s="924" t="s">
        <v>1272</v>
      </c>
      <c r="J13" s="329">
        <f>VLOOKUP(J$8,Сводная!$B$13:$AM$159,22,FALSE)</f>
        <v>1.96</v>
      </c>
      <c r="K13" s="330">
        <f>VLOOKUP(K$8,Сводная!$B$13:$AM$159,22,FALSE)</f>
        <v>16.849</v>
      </c>
      <c r="L13" s="330">
        <f>VLOOKUP(L$8,Сводная!$B$13:$AM$159,22,FALSE)</f>
        <v>0</v>
      </c>
      <c r="M13" s="330">
        <f>VLOOKUP(M$8,Сводная!$B$13:$AM$159,22,FALSE)</f>
        <v>0</v>
      </c>
      <c r="N13" s="330">
        <f>VLOOKUP(N$8,Сводная!$B$13:$AM$159,22,FALSE)</f>
        <v>0</v>
      </c>
      <c r="O13" s="330">
        <f>VLOOKUP(O$8,Сводная!$B$13:$AM$159,22,FALSE)</f>
        <v>0</v>
      </c>
      <c r="P13" s="330">
        <f>VLOOKUP(P$8,Сводная!$B$13:$AM$159,22,FALSE)</f>
        <v>8.3000000000000007</v>
      </c>
      <c r="Q13" s="330">
        <f>VLOOKUP(Q$8,Сводная!$B$13:$AM$159,22,FALSE)</f>
        <v>0</v>
      </c>
      <c r="R13" s="330">
        <f>VLOOKUP(R$8,Сводная!$B$13:$AM$159,22,FALSE)</f>
        <v>0</v>
      </c>
      <c r="S13" s="330">
        <f>VLOOKUP(S$8,Сводная!$B$13:$AM$159,22,FALSE)</f>
        <v>0</v>
      </c>
      <c r="T13" s="330">
        <f>VLOOKUP(T$8,Сводная!$B$13:$AM$159,22,FALSE)</f>
        <v>0</v>
      </c>
      <c r="U13" s="330">
        <f>VLOOKUP(U$8,Сводная!$B$13:$AM$159,22,FALSE)</f>
        <v>0</v>
      </c>
      <c r="V13" s="330">
        <f>VLOOKUP(V$8,Сводная!$B$13:$AM$159,22,FALSE)</f>
        <v>0</v>
      </c>
      <c r="W13" s="330">
        <f>VLOOKUP(W$8,Сводная!$B$13:$AM$159,22,FALSE)</f>
        <v>0</v>
      </c>
      <c r="X13" s="330">
        <f>VLOOKUP(X$8,Сводная!$B$13:$AM$159,22,FALSE)</f>
        <v>1.1659999999999999</v>
      </c>
      <c r="Y13" s="330">
        <f>VLOOKUP(Y$8,Сводная!$B$13:$AM$159,22,FALSE)</f>
        <v>0</v>
      </c>
      <c r="Z13" s="330">
        <f>VLOOKUP(Z$8,Сводная!$B$13:$AM$159,22,FALSE)</f>
        <v>15.15</v>
      </c>
      <c r="AA13" s="330">
        <f>VLOOKUP(AA$8,Сводная!$B$13:$AM$159,22,FALSE)</f>
        <v>30.3</v>
      </c>
      <c r="AB13" s="330">
        <f>VLOOKUP(AB$8,Сводная!$B$13:$AM$159,22,FALSE)</f>
        <v>0</v>
      </c>
      <c r="AC13" s="330">
        <f>VLOOKUP(AC$8,Сводная!$B$13:$AM$159,22,FALSE)</f>
        <v>0</v>
      </c>
      <c r="AD13" s="330">
        <f>VLOOKUP(AD$8,Сводная!$B$13:$AM$159,22,FALSE)</f>
        <v>39.700000000000003</v>
      </c>
      <c r="AE13" s="330">
        <f>VLOOKUP(AE$8,Сводная!$B$13:$AM$159,22,FALSE)</f>
        <v>14.000000000000002</v>
      </c>
      <c r="AF13" s="330">
        <f>VLOOKUP(AF$8,Сводная!$B$13:$AM$159,22,FALSE)</f>
        <v>4.88</v>
      </c>
      <c r="AG13" s="330">
        <f>VLOOKUP(AG$8,Сводная!$B$13:$AM$159,22,FALSE)</f>
        <v>5.379999999999999</v>
      </c>
      <c r="AH13" s="330">
        <f>VLOOKUP(AH$8,Сводная!$B$13:$AM$159,22,FALSE)</f>
        <v>0</v>
      </c>
      <c r="AI13" s="330">
        <f>VLOOKUP(AI$8,Сводная!$B$13:$AM$159,22,FALSE)</f>
        <v>0</v>
      </c>
      <c r="AJ13" s="330">
        <f>VLOOKUP(AJ$8,Сводная!$B$13:$AM$159,22,FALSE)</f>
        <v>0</v>
      </c>
      <c r="AK13" s="330">
        <f>VLOOKUP(AK$8,Сводная!$B$13:$AM$159,22,FALSE)</f>
        <v>0</v>
      </c>
      <c r="AL13" s="330">
        <f>VLOOKUP(AL$8,Сводная!$B$13:$AM$159,22,FALSE)</f>
        <v>0</v>
      </c>
      <c r="AM13" s="330">
        <f>VLOOKUP(AM$8,Сводная!$B$13:$AM$159,22,FALSE)</f>
        <v>0</v>
      </c>
      <c r="AN13" s="330">
        <f>VLOOKUP(AN$8,Сводная!$B$13:$AM$159,22,FALSE)</f>
        <v>0</v>
      </c>
      <c r="AO13" s="330">
        <f>VLOOKUP(AO$8,Сводная!$B$13:$AM$159,22,FALSE)</f>
        <v>0.99</v>
      </c>
      <c r="AP13" s="330">
        <f>VLOOKUP(AP$8,Сводная!$B$13:$AM$159,22,FALSE)</f>
        <v>0</v>
      </c>
      <c r="AQ13" s="330">
        <f>VLOOKUP(AQ$8,Сводная!$B$13:$AM$159,22,FALSE)</f>
        <v>0</v>
      </c>
      <c r="AR13" s="330">
        <f>VLOOKUP(AR$8,Сводная!$B$13:$AM$159,22,FALSE)</f>
        <v>0</v>
      </c>
      <c r="AS13" s="330">
        <f>VLOOKUP(AS$8,Сводная!$B$13:$AM$159,22,FALSE)</f>
        <v>2.1</v>
      </c>
      <c r="AT13" s="330">
        <f>VLOOKUP(AT$8,Сводная!$B$13:$AM$159,22,FALSE)</f>
        <v>0</v>
      </c>
      <c r="AU13" s="330">
        <f>VLOOKUP(AU$8,Сводная!$B$13:$AM$159,22,FALSE)</f>
        <v>0</v>
      </c>
      <c r="AV13" s="330">
        <f>VLOOKUP(AV$8,Сводная!$B$13:$AM$159,22,FALSE)</f>
        <v>0</v>
      </c>
      <c r="AW13" s="330">
        <f>VLOOKUP(AW$8,Сводная!$B$13:$AM$159,22,FALSE)</f>
        <v>0</v>
      </c>
      <c r="AX13" s="330">
        <f>VLOOKUP(AX$8,Сводная!$B$13:$AM$159,22,FALSE)</f>
        <v>0</v>
      </c>
      <c r="AY13" s="330">
        <f>VLOOKUP(AY$8,Сводная!$B$13:$AM$159,22,FALSE)</f>
        <v>0</v>
      </c>
      <c r="AZ13" s="330">
        <f>VLOOKUP(AZ$8,Сводная!$B$13:$AM$159,22,FALSE)</f>
        <v>0</v>
      </c>
      <c r="BA13" s="330">
        <f>VLOOKUP(BA$8,Сводная!$B$13:$AM$159,22,FALSE)</f>
        <v>0</v>
      </c>
      <c r="BB13" s="330">
        <f>VLOOKUP(BB$8,Сводная!$B$13:$AM$159,22,FALSE)</f>
        <v>0</v>
      </c>
      <c r="BC13" s="330">
        <f>VLOOKUP(BC$8,Сводная!$B$13:$AM$159,22,FALSE)</f>
        <v>0</v>
      </c>
      <c r="BD13" s="330">
        <f>VLOOKUP(BD$8,Сводная!$B$13:$AM$159,22,FALSE)</f>
        <v>0</v>
      </c>
      <c r="BE13" s="330">
        <f>VLOOKUP(BE$8,Сводная!$B$13:$AM$159,22,FALSE)</f>
        <v>15.75</v>
      </c>
      <c r="BF13" s="330">
        <f>VLOOKUP(BF$8,Сводная!$B$13:$AM$159,22,FALSE)</f>
        <v>0</v>
      </c>
      <c r="BG13" s="330">
        <f>VLOOKUP(BG$8,Сводная!$B$13:$AM$159,22,FALSE)</f>
        <v>0</v>
      </c>
      <c r="BH13" s="330">
        <f>VLOOKUP(BH$8,Сводная!$B$13:$AM$159,22,FALSE)</f>
        <v>2.31</v>
      </c>
      <c r="BI13" s="330">
        <f>VLOOKUP(BI$8,Сводная!$B$13:$AM$159,22,FALSE)</f>
        <v>0</v>
      </c>
      <c r="BJ13" s="330">
        <f>VLOOKUP(BJ$8,Сводная!$B$13:$AM$159,22,FALSE)</f>
        <v>2</v>
      </c>
      <c r="BK13" s="330">
        <f>VLOOKUP(BK$8,Сводная!$B$13:$AM$159,22,FALSE)</f>
        <v>0</v>
      </c>
      <c r="BL13" s="330">
        <f>VLOOKUP(BL$8,Сводная!$B$13:$AM$159,22,FALSE)</f>
        <v>0</v>
      </c>
      <c r="BM13" s="330">
        <f>VLOOKUP(BM$8,Сводная!$B$13:$AM$159,22,FALSE)</f>
        <v>0</v>
      </c>
      <c r="BN13" s="330">
        <f>VLOOKUP(BN$8,Сводная!$B$13:$AM$159,22,FALSE)</f>
        <v>6.0149999999999997</v>
      </c>
      <c r="BO13" s="330">
        <f>VLOOKUP(BO$8,Сводная!$B$13:$AM$159,22,FALSE)</f>
        <v>2.5620000000000003</v>
      </c>
      <c r="BP13" s="330">
        <f>VLOOKUP(BP$8,Сводная!$B$13:$AM$159,22,FALSE)</f>
        <v>0</v>
      </c>
      <c r="BQ13" s="330">
        <f>VLOOKUP(BQ$8,Сводная!$B$13:$AM$159,22,FALSE)</f>
        <v>0</v>
      </c>
      <c r="BR13" s="330">
        <f>VLOOKUP(BR$8,Сводная!$B$13:$AM$159,22,FALSE)</f>
        <v>0</v>
      </c>
      <c r="BS13" s="330">
        <f>VLOOKUP(BS$8,Сводная!$B$13:$AM$159,22,FALSE)</f>
        <v>0</v>
      </c>
      <c r="BT13" s="330">
        <f>VLOOKUP(BT$8,Сводная!$B$13:$AM$159,22,FALSE)</f>
        <v>0</v>
      </c>
      <c r="BU13" s="330">
        <f>VLOOKUP(BU$8,Сводная!$B$13:$AM$159,22,FALSE)</f>
        <v>5</v>
      </c>
      <c r="BV13" s="330">
        <f>VLOOKUP(BV$8,Сводная!$B$13:$AM$159,22,FALSE)</f>
        <v>0</v>
      </c>
      <c r="BW13" s="330">
        <f>VLOOKUP(BW$8,Сводная!$B$13:$AM$159,22,FALSE)</f>
        <v>10</v>
      </c>
      <c r="BX13" s="330">
        <f>VLOOKUP(BX$8,Сводная!$B$13:$AM$159,22,FALSE)</f>
        <v>0</v>
      </c>
      <c r="BY13" s="330">
        <f>VLOOKUP(BY$8,Сводная!$B$13:$AM$159,22,FALSE)</f>
        <v>0</v>
      </c>
      <c r="BZ13" s="330">
        <f>VLOOKUP(BZ$8,Сводная!$B$13:$AM$159,22,FALSE)</f>
        <v>0</v>
      </c>
      <c r="CA13" s="330">
        <f>VLOOKUP(CA$8,Сводная!$B$13:$AM$159,22,FALSE)</f>
        <v>0</v>
      </c>
      <c r="CB13" s="330">
        <f>VLOOKUP(CB$8,Сводная!$B$13:$AM$159,22,FALSE)</f>
        <v>0</v>
      </c>
      <c r="CC13" s="331">
        <f>VLOOKUP(CC$8,Сводная!$B$13:$AM$159,22,FALSE)</f>
        <v>0</v>
      </c>
      <c r="CD13" s="331">
        <f>VLOOKUP(CD$8,Сводная!$B$13:$AM$159,22,FALSE)</f>
        <v>2.625</v>
      </c>
      <c r="CE13" s="331">
        <f>VLOOKUP(CE$8,Сводная!$B$13:$AM$159,22,FALSE)</f>
        <v>0</v>
      </c>
      <c r="CF13" s="331">
        <f>VLOOKUP(CF$8,Сводная!$B$13:$AM$159,22,FALSE)</f>
        <v>8.4</v>
      </c>
      <c r="CG13" s="331">
        <f>VLOOKUP(CG$8,Сводная!$B$13:$AM$159,22,FALSE)</f>
        <v>0</v>
      </c>
      <c r="CH13" s="331">
        <f>VLOOKUP(CH$8,Сводная!$B$13:$AM$159,22,FALSE)</f>
        <v>0</v>
      </c>
      <c r="CI13" s="331">
        <f>VLOOKUP(CI$8,Сводная!$B$13:$AM$159,22,FALSE)</f>
        <v>0</v>
      </c>
      <c r="CJ13" s="331">
        <f>VLOOKUP(CJ$8,Сводная!$B$13:$AM$159,22,FALSE)</f>
        <v>0</v>
      </c>
      <c r="CK13" s="331">
        <f>VLOOKUP(CK$8,Сводная!$B$13:$AM$159,22,FALSE)</f>
        <v>0</v>
      </c>
      <c r="CL13" s="331">
        <f>VLOOKUP(CL$8,Сводная!$B$13:$AM$159,22,FALSE)</f>
        <v>0</v>
      </c>
      <c r="CM13" s="331">
        <f>VLOOKUP(CM$8,Сводная!$B$13:$AM$159,22,FALSE)</f>
        <v>0</v>
      </c>
      <c r="CN13" s="331">
        <f>VLOOKUP(CN$8,Сводная!$B$13:$AM$159,22,FALSE)</f>
        <v>0</v>
      </c>
      <c r="CO13" s="331">
        <f>VLOOKUP(CO$8,Сводная!$B$13:$AM$159,22,FALSE)</f>
        <v>0</v>
      </c>
      <c r="CP13" s="331">
        <f>VLOOKUP(CP$8,Сводная!$B$13:$AM$159,22,FALSE)</f>
        <v>0</v>
      </c>
      <c r="CQ13" s="331">
        <f>VLOOKUP(CQ$8,Сводная!$B$13:$AM$159,22,FALSE)</f>
        <v>0</v>
      </c>
      <c r="CR13" s="331">
        <f>VLOOKUP(CR$8,Сводная!$B$13:$AM$159,22,FALSE)</f>
        <v>0</v>
      </c>
      <c r="CS13" s="332">
        <f>VLOOKUP(CS$8,Сводная!$B$13:$AM$159,22,FALSE)</f>
        <v>0</v>
      </c>
      <c r="CT13" s="332">
        <f>VLOOKUP(CT$8,Сводная!$B$13:$AM$159,22,FALSE)</f>
        <v>0</v>
      </c>
      <c r="CU13" s="332">
        <f>VLOOKUP(CU$8,Сводная!$B$13:$AM$159,22,FALSE)</f>
        <v>0</v>
      </c>
      <c r="CV13" s="332">
        <f>VLOOKUP(CV$8,Сводная!$B$13:$AM$159,22,FALSE)</f>
        <v>0</v>
      </c>
      <c r="CW13" s="332">
        <f>VLOOKUP(CW$8,Сводная!$B$13:$AM$159,22,FALSE)</f>
        <v>0</v>
      </c>
      <c r="CX13" s="332">
        <f>VLOOKUP(CX$8,Сводная!$B$13:$AM$159,22,FALSE)</f>
        <v>0</v>
      </c>
      <c r="CY13" s="332">
        <f>VLOOKUP(CY$8,Сводная!$B$13:$AM$159,22,FALSE)</f>
        <v>11.76</v>
      </c>
      <c r="CZ13" s="332">
        <f>VLOOKUP(CZ$8,Сводная!$B$13:$AM$159,22,FALSE)</f>
        <v>0</v>
      </c>
      <c r="DA13" s="332">
        <f>VLOOKUP(DA$8,Сводная!$B$13:$AM$159,22,FALSE)</f>
        <v>0</v>
      </c>
      <c r="DB13" s="332">
        <f>VLOOKUP(DB$8,Сводная!$B$13:$AM$159,22,FALSE)</f>
        <v>0</v>
      </c>
      <c r="DC13" s="332">
        <f>VLOOKUP(DC$8,Сводная!$B$13:$AM$159,22,FALSE)</f>
        <v>0</v>
      </c>
      <c r="DD13" s="332">
        <f>VLOOKUP(DD$8,Сводная!$B$13:$AM$159,22,FALSE)</f>
        <v>0</v>
      </c>
      <c r="DE13" s="332">
        <f>VLOOKUP(DE$8,Сводная!$B$13:$AM$159,22,FALSE)</f>
        <v>0</v>
      </c>
      <c r="DF13" s="332">
        <f>VLOOKUP(DF$8,Сводная!$B$13:$AM$159,22,FALSE)</f>
        <v>0</v>
      </c>
      <c r="DG13" s="332">
        <f>VLOOKUP(DG$8,Сводная!$B$13:$AM$159,22,FALSE)</f>
        <v>0</v>
      </c>
      <c r="DH13" s="332">
        <f>VLOOKUP(DH$8,Сводная!$B$13:$AM$159,22,FALSE)</f>
        <v>0</v>
      </c>
      <c r="DI13" s="332">
        <f>VLOOKUP(DI$8,Сводная!$B$13:$AM$159,22,FALSE)</f>
        <v>0</v>
      </c>
      <c r="DJ13" s="332">
        <f>VLOOKUP(DJ$8,Сводная!$B$13:$AM$159,22,FALSE)</f>
        <v>0</v>
      </c>
      <c r="DK13" s="332">
        <f>VLOOKUP(DK$8,Сводная!$B$13:$AM$159,22,FALSE)</f>
        <v>0</v>
      </c>
      <c r="DL13" s="332">
        <f>VLOOKUP(DL$8,Сводная!$B$13:$AM$159,22,FALSE)</f>
        <v>0</v>
      </c>
      <c r="DM13" s="332">
        <f>VLOOKUP(DM$8,Сводная!$B$13:$AM$159,22,FALSE)</f>
        <v>0</v>
      </c>
      <c r="DN13" s="333">
        <f>VLOOKUP(DN$8,Сводная!$B$13:$AM$159,22,FALSE)</f>
        <v>0</v>
      </c>
      <c r="DO13" s="333">
        <f>VLOOKUP(DO$8,Сводная!$B$13:$AM$159,22,FALSE)</f>
        <v>11.2</v>
      </c>
      <c r="DP13" s="333">
        <f>VLOOKUP(DP$8,Сводная!$B$13:$AM$159,22,FALSE)</f>
        <v>2.27</v>
      </c>
      <c r="DQ13" s="333">
        <f>VLOOKUP(DQ$8,Сводная!$B$13:$AM$159,22,FALSE)</f>
        <v>2.4000000000000002E-3</v>
      </c>
      <c r="DR13" s="333">
        <f>VLOOKUP(DR$8,Сводная!$B$13:$AM$159,22,FALSE)</f>
        <v>5.698000000000001E-2</v>
      </c>
      <c r="DS13" s="333">
        <f>VLOOKUP(DS$8,Сводная!$B$13:$AM$159,22,FALSE)</f>
        <v>0.27999999999999997</v>
      </c>
      <c r="DT13" s="333">
        <f>VLOOKUP(DT$8,Сводная!$B$13:$AM$159,22,FALSE)</f>
        <v>0</v>
      </c>
      <c r="DU13" s="333">
        <f>VLOOKUP(DU$8,Сводная!$B$13:$AM$159,22,FALSE)</f>
        <v>0</v>
      </c>
      <c r="DV13" s="333">
        <f>VLOOKUP(DV$8,Сводная!$B$13:$AM$159,22,FALSE)</f>
        <v>0</v>
      </c>
      <c r="DW13" s="333">
        <f>VLOOKUP(DW$8,Сводная!$B$13:$AM$159,22,FALSE)</f>
        <v>0.1</v>
      </c>
      <c r="DX13" s="333">
        <f>VLOOKUP(DX$8,Сводная!$B$13:$AM$159,22,FALSE)</f>
        <v>0</v>
      </c>
      <c r="DY13" s="333">
        <f>VLOOKUP(DY$8,Сводная!$B$13:$AM$159,22,FALSE)</f>
        <v>0</v>
      </c>
      <c r="DZ13" s="333">
        <f>VLOOKUP(DZ$8,Сводная!$B$13:$AM$159,22,FALSE)</f>
        <v>0</v>
      </c>
      <c r="EA13" s="854">
        <f>VLOOKUP(EA$8,Сводная!$B$13:$AM$159,22,FALSE)</f>
        <v>101.649</v>
      </c>
      <c r="EB13" s="333">
        <f>VLOOKUP(EB$8,Сводная!$B$13:$AM$159,22,FALSE)</f>
        <v>80.800000000000011</v>
      </c>
      <c r="EC13" s="333">
        <f>VLOOKUP(EC$8,Сводная!$B$13:$AM$159,22,FALSE)</f>
        <v>39.6</v>
      </c>
      <c r="ED13" s="333">
        <f>VLOOKUP(ED$8,Сводная!$B$13:$AM$159,22,FALSE)</f>
        <v>9.8000000000000004E-2</v>
      </c>
      <c r="EE13" s="333">
        <f>VLOOKUP(EE$8,Сводная!$B$13:$AM$159,22,FALSE)</f>
        <v>0</v>
      </c>
      <c r="EF13" s="333">
        <f>VLOOKUP(EF$8,Сводная!$B$13:$AM$159,22,FALSE)</f>
        <v>0.1575</v>
      </c>
      <c r="EG13" s="333">
        <f>VLOOKUP(EG$8,Сводная!$B$13:$AM$159,22,FALSE)</f>
        <v>0</v>
      </c>
      <c r="EH13" s="333">
        <f>VLOOKUP(EH$8,Сводная!$B$13:$AM$159,22,FALSE)</f>
        <v>0</v>
      </c>
      <c r="EI13" s="333">
        <f>VLOOKUP(EI$8,Сводная!$B$13:$AM$159,22,FALSE)</f>
        <v>0</v>
      </c>
      <c r="EJ13" s="333">
        <f>VLOOKUP(EJ$8,Сводная!$B$13:$AM$159,22,FALSE)</f>
        <v>0</v>
      </c>
      <c r="EK13" s="333">
        <f>VLOOKUP(EK$8,Сводная!$B$13:$AM$159,22,FALSE)</f>
        <v>0</v>
      </c>
      <c r="EL13" s="333">
        <f>VLOOKUP(EL$8,Сводная!$B$13:$AM$159,22,FALSE)</f>
        <v>0</v>
      </c>
      <c r="EM13" s="333">
        <f>VLOOKUP(EM$8,Сводная!$B$13:$AM$159,22,FALSE)</f>
        <v>0</v>
      </c>
      <c r="EN13" s="333">
        <f>VLOOKUP(EN$8,Сводная!$B$13:$AM$159,22,FALSE)</f>
        <v>0</v>
      </c>
      <c r="EO13" s="333">
        <f>VLOOKUP(EO$8,Сводная!$B$13:$AM$159,22,FALSE)</f>
        <v>2</v>
      </c>
      <c r="EP13" s="333">
        <f>VLOOKUP(EP$8,Сводная!$B$13:$AM$159,22,FALSE)</f>
        <v>0</v>
      </c>
      <c r="EQ13" s="333">
        <f>VLOOKUP(EQ$8,Сводная!$B$13:$AM$159,22,FALSE)</f>
        <v>5.88</v>
      </c>
      <c r="ER13" s="333">
        <f>VLOOKUP(ER$8,Сводная!$B$13:$AM$159,22,FALSE)</f>
        <v>0</v>
      </c>
      <c r="ES13" s="333">
        <f>VLOOKUP(ES$8,Сводная!$B$13:$AM$159,22,FALSE)</f>
        <v>0</v>
      </c>
      <c r="ET13" s="333">
        <f>VLOOKUP(ET$8,Сводная!$B$13:$AM$159,22,FALSE)</f>
        <v>0</v>
      </c>
      <c r="EU13" s="333">
        <f>VLOOKUP(EU$8,Сводная!$B$13:$AM$159,22,FALSE)</f>
        <v>0</v>
      </c>
      <c r="EV13" s="333">
        <f>VLOOKUP(EV$8,Сводная!$B$13:$AM$159,22,FALSE)</f>
        <v>0</v>
      </c>
      <c r="EW13" s="333">
        <f>VLOOKUP(EW$8,Сводная!$B$13:$AM$159,22,FALSE)</f>
        <v>0</v>
      </c>
      <c r="EX13" s="333">
        <f>VLOOKUP(EX$8,Сводная!$B$13:$AM$159,22,FALSE)</f>
        <v>0</v>
      </c>
      <c r="EY13" s="333">
        <f>VLOOKUP(EY$8,Сводная!$B$13:$AM$159,22,FALSE)</f>
        <v>0</v>
      </c>
      <c r="EZ13" s="333">
        <f>VLOOKUP(EZ$8,Сводная!$B$13:$AM$159,22,FALSE)</f>
        <v>0</v>
      </c>
      <c r="FA13" s="164"/>
      <c r="FB13" s="165"/>
      <c r="FC13" s="165"/>
      <c r="FD13" s="166"/>
      <c r="FE13" s="787"/>
    </row>
    <row r="14" spans="2:164" s="160" customFormat="1" ht="19.5" customHeight="1" outlineLevel="1" x14ac:dyDescent="0.25">
      <c r="B14" s="161"/>
      <c r="C14" s="162"/>
      <c r="D14" s="162"/>
      <c r="E14" s="163"/>
      <c r="F14" s="829"/>
      <c r="G14" s="824"/>
      <c r="H14" s="927"/>
      <c r="I14" s="924" t="s">
        <v>1273</v>
      </c>
      <c r="J14" s="329">
        <f>VLOOKUP(J$8,Сводная!$B$13:$AM$159,27,FALSE)</f>
        <v>0</v>
      </c>
      <c r="K14" s="330">
        <f>VLOOKUP(K$8,Сводная!$B$13:$AM$159,27,FALSE)</f>
        <v>8.3000000000000007</v>
      </c>
      <c r="L14" s="330">
        <f>VLOOKUP(L$8,Сводная!$B$13:$AM$159,27,FALSE)</f>
        <v>0</v>
      </c>
      <c r="M14" s="330">
        <f>VLOOKUP(M$8,Сводная!$B$13:$AM$159,27,FALSE)</f>
        <v>0</v>
      </c>
      <c r="N14" s="330">
        <f>VLOOKUP(N$8,Сводная!$B$13:$AM$159,27,FALSE)</f>
        <v>0</v>
      </c>
      <c r="O14" s="330">
        <f>VLOOKUP(O$8,Сводная!$B$13:$AM$159,27,FALSE)</f>
        <v>0</v>
      </c>
      <c r="P14" s="330">
        <f>VLOOKUP(P$8,Сводная!$B$13:$AM$159,27,FALSE)</f>
        <v>0</v>
      </c>
      <c r="Q14" s="330">
        <f>VLOOKUP(Q$8,Сводная!$B$13:$AM$159,27,FALSE)</f>
        <v>12.32</v>
      </c>
      <c r="R14" s="330">
        <f>VLOOKUP(R$8,Сводная!$B$13:$AM$159,27,FALSE)</f>
        <v>0</v>
      </c>
      <c r="S14" s="330">
        <f>VLOOKUP(S$8,Сводная!$B$13:$AM$159,27,FALSE)</f>
        <v>0</v>
      </c>
      <c r="T14" s="330">
        <f>VLOOKUP(T$8,Сводная!$B$13:$AM$159,27,FALSE)</f>
        <v>0</v>
      </c>
      <c r="U14" s="330">
        <f>VLOOKUP(U$8,Сводная!$B$13:$AM$159,27,FALSE)</f>
        <v>0</v>
      </c>
      <c r="V14" s="330">
        <f>VLOOKUP(V$8,Сводная!$B$13:$AM$159,27,FALSE)</f>
        <v>2.9050000000000002</v>
      </c>
      <c r="W14" s="330">
        <f>VLOOKUP(W$8,Сводная!$B$13:$AM$159,27,FALSE)</f>
        <v>0</v>
      </c>
      <c r="X14" s="330">
        <f>VLOOKUP(X$8,Сводная!$B$13:$AM$159,27,FALSE)</f>
        <v>0.47020000000000001</v>
      </c>
      <c r="Y14" s="330">
        <f>VLOOKUP(Y$8,Сводная!$B$13:$AM$159,27,FALSE)</f>
        <v>0</v>
      </c>
      <c r="Z14" s="330">
        <f>VLOOKUP(Z$8,Сводная!$B$13:$AM$159,27,FALSE)</f>
        <v>13.75</v>
      </c>
      <c r="AA14" s="330">
        <f>VLOOKUP(AA$8,Сводная!$B$13:$AM$159,27,FALSE)</f>
        <v>27.5</v>
      </c>
      <c r="AB14" s="330">
        <f>VLOOKUP(AB$8,Сводная!$B$13:$AM$159,27,FALSE)</f>
        <v>0</v>
      </c>
      <c r="AC14" s="330">
        <f>VLOOKUP(AC$8,Сводная!$B$13:$AM$159,27,FALSE)</f>
        <v>0</v>
      </c>
      <c r="AD14" s="330">
        <f>VLOOKUP(AD$8,Сводная!$B$13:$AM$159,27,FALSE)</f>
        <v>15.375</v>
      </c>
      <c r="AE14" s="330">
        <f>VLOOKUP(AE$8,Сводная!$B$13:$AM$159,27,FALSE)</f>
        <v>9</v>
      </c>
      <c r="AF14" s="330">
        <f>VLOOKUP(AF$8,Сводная!$B$13:$AM$159,27,FALSE)</f>
        <v>16.475999999999999</v>
      </c>
      <c r="AG14" s="330">
        <f>VLOOKUP(AG$8,Сводная!$B$13:$AM$159,27,FALSE)</f>
        <v>4.1160000000000005</v>
      </c>
      <c r="AH14" s="330">
        <f>VLOOKUP(AH$8,Сводная!$B$13:$AM$159,27,FALSE)</f>
        <v>0</v>
      </c>
      <c r="AI14" s="330">
        <f>VLOOKUP(AI$8,Сводная!$B$13:$AM$159,27,FALSE)</f>
        <v>0</v>
      </c>
      <c r="AJ14" s="330">
        <f>VLOOKUP(AJ$8,Сводная!$B$13:$AM$159,27,FALSE)</f>
        <v>0</v>
      </c>
      <c r="AK14" s="330">
        <f>VLOOKUP(AK$8,Сводная!$B$13:$AM$159,27,FALSE)</f>
        <v>0</v>
      </c>
      <c r="AL14" s="330">
        <f>VLOOKUP(AL$8,Сводная!$B$13:$AM$159,27,FALSE)</f>
        <v>0</v>
      </c>
      <c r="AM14" s="330">
        <f>VLOOKUP(AM$8,Сводная!$B$13:$AM$159,27,FALSE)</f>
        <v>0</v>
      </c>
      <c r="AN14" s="330">
        <f>VLOOKUP(AN$8,Сводная!$B$13:$AM$159,27,FALSE)</f>
        <v>0</v>
      </c>
      <c r="AO14" s="330">
        <f>VLOOKUP(AO$8,Сводная!$B$13:$AM$159,27,FALSE)</f>
        <v>0.67500000000000004</v>
      </c>
      <c r="AP14" s="330">
        <f>VLOOKUP(AP$8,Сводная!$B$13:$AM$159,27,FALSE)</f>
        <v>0</v>
      </c>
      <c r="AQ14" s="330">
        <f>VLOOKUP(AQ$8,Сводная!$B$13:$AM$159,27,FALSE)</f>
        <v>0</v>
      </c>
      <c r="AR14" s="330">
        <f>VLOOKUP(AR$8,Сводная!$B$13:$AM$159,27,FALSE)</f>
        <v>0.25</v>
      </c>
      <c r="AS14" s="330">
        <f>VLOOKUP(AS$8,Сводная!$B$13:$AM$159,27,FALSE)</f>
        <v>0</v>
      </c>
      <c r="AT14" s="330">
        <f>VLOOKUP(AT$8,Сводная!$B$13:$AM$159,27,FALSE)</f>
        <v>0</v>
      </c>
      <c r="AU14" s="330">
        <f>VLOOKUP(AU$8,Сводная!$B$13:$AM$159,27,FALSE)</f>
        <v>3.5000000000000004</v>
      </c>
      <c r="AV14" s="330">
        <f>VLOOKUP(AV$8,Сводная!$B$13:$AM$159,27,FALSE)</f>
        <v>3.5000000000000004</v>
      </c>
      <c r="AW14" s="330">
        <f>VLOOKUP(AW$8,Сводная!$B$13:$AM$159,27,FALSE)</f>
        <v>0</v>
      </c>
      <c r="AX14" s="330">
        <f>VLOOKUP(AX$8,Сводная!$B$13:$AM$159,27,FALSE)</f>
        <v>0</v>
      </c>
      <c r="AY14" s="330">
        <f>VLOOKUP(AY$8,Сводная!$B$13:$AM$159,27,FALSE)</f>
        <v>0</v>
      </c>
      <c r="AZ14" s="330">
        <f>VLOOKUP(AZ$8,Сводная!$B$13:$AM$159,27,FALSE)</f>
        <v>0</v>
      </c>
      <c r="BA14" s="330">
        <f>VLOOKUP(BA$8,Сводная!$B$13:$AM$159,27,FALSE)</f>
        <v>0</v>
      </c>
      <c r="BB14" s="330">
        <f>VLOOKUP(BB$8,Сводная!$B$13:$AM$159,27,FALSE)</f>
        <v>0.70000000000000007</v>
      </c>
      <c r="BC14" s="330">
        <f>VLOOKUP(BC$8,Сводная!$B$13:$AM$159,27,FALSE)</f>
        <v>0</v>
      </c>
      <c r="BD14" s="330">
        <f>VLOOKUP(BD$8,Сводная!$B$13:$AM$159,27,FALSE)</f>
        <v>0</v>
      </c>
      <c r="BE14" s="330">
        <f>VLOOKUP(BE$8,Сводная!$B$13:$AM$159,27,FALSE)</f>
        <v>0</v>
      </c>
      <c r="BF14" s="330">
        <f>VLOOKUP(BF$8,Сводная!$B$13:$AM$159,27,FALSE)</f>
        <v>0</v>
      </c>
      <c r="BG14" s="330">
        <f>VLOOKUP(BG$8,Сводная!$B$13:$AM$159,27,FALSE)</f>
        <v>0</v>
      </c>
      <c r="BH14" s="330">
        <f>VLOOKUP(BH$8,Сводная!$B$13:$AM$159,27,FALSE)</f>
        <v>3.0799999999999996</v>
      </c>
      <c r="BI14" s="330">
        <f>VLOOKUP(BI$8,Сводная!$B$13:$AM$159,27,FALSE)</f>
        <v>0</v>
      </c>
      <c r="BJ14" s="330">
        <f>VLOOKUP(BJ$8,Сводная!$B$13:$AM$159,27,FALSE)</f>
        <v>0.5</v>
      </c>
      <c r="BK14" s="330">
        <f>VLOOKUP(BK$8,Сводная!$B$13:$AM$159,27,FALSE)</f>
        <v>0</v>
      </c>
      <c r="BL14" s="330">
        <f>VLOOKUP(BL$8,Сводная!$B$13:$AM$159,27,FALSE)</f>
        <v>0</v>
      </c>
      <c r="BM14" s="330">
        <f>VLOOKUP(BM$8,Сводная!$B$13:$AM$159,27,FALSE)</f>
        <v>0</v>
      </c>
      <c r="BN14" s="330">
        <f>VLOOKUP(BN$8,Сводная!$B$13:$AM$159,27,FALSE)</f>
        <v>2.5499999999999998</v>
      </c>
      <c r="BO14" s="330">
        <f>VLOOKUP(BO$8,Сводная!$B$13:$AM$159,27,FALSE)</f>
        <v>2.0682</v>
      </c>
      <c r="BP14" s="330">
        <f>VLOOKUP(BP$8,Сводная!$B$13:$AM$159,27,FALSE)</f>
        <v>0</v>
      </c>
      <c r="BQ14" s="330">
        <f>VLOOKUP(BQ$8,Сводная!$B$13:$AM$159,27,FALSE)</f>
        <v>0</v>
      </c>
      <c r="BR14" s="330">
        <f>VLOOKUP(BR$8,Сводная!$B$13:$AM$159,27,FALSE)</f>
        <v>0</v>
      </c>
      <c r="BS14" s="330">
        <f>VLOOKUP(BS$8,Сводная!$B$13:$AM$159,27,FALSE)</f>
        <v>0</v>
      </c>
      <c r="BT14" s="330">
        <f>VLOOKUP(BT$8,Сводная!$B$13:$AM$159,27,FALSE)</f>
        <v>0</v>
      </c>
      <c r="BU14" s="330">
        <f>VLOOKUP(BU$8,Сводная!$B$13:$AM$159,27,FALSE)</f>
        <v>0</v>
      </c>
      <c r="BV14" s="330">
        <f>VLOOKUP(BV$8,Сводная!$B$13:$AM$159,27,FALSE)</f>
        <v>0</v>
      </c>
      <c r="BW14" s="330">
        <f>VLOOKUP(BW$8,Сводная!$B$13:$AM$159,27,FALSE)</f>
        <v>0</v>
      </c>
      <c r="BX14" s="330">
        <f>VLOOKUP(BX$8,Сводная!$B$13:$AM$159,27,FALSE)</f>
        <v>0</v>
      </c>
      <c r="BY14" s="330">
        <f>VLOOKUP(BY$8,Сводная!$B$13:$AM$159,27,FALSE)</f>
        <v>0</v>
      </c>
      <c r="BZ14" s="330">
        <f>VLOOKUP(BZ$8,Сводная!$B$13:$AM$159,27,FALSE)</f>
        <v>11.25</v>
      </c>
      <c r="CA14" s="330">
        <f>VLOOKUP(CA$8,Сводная!$B$13:$AM$159,27,FALSE)</f>
        <v>0</v>
      </c>
      <c r="CB14" s="330">
        <f>VLOOKUP(CB$8,Сводная!$B$13:$AM$159,27,FALSE)</f>
        <v>0</v>
      </c>
      <c r="CC14" s="331">
        <f>VLOOKUP(CC$8,Сводная!$B$13:$AM$159,27,FALSE)</f>
        <v>0</v>
      </c>
      <c r="CD14" s="331">
        <f>VLOOKUP(CD$8,Сводная!$B$13:$AM$159,27,FALSE)</f>
        <v>3.5</v>
      </c>
      <c r="CE14" s="331">
        <f>VLOOKUP(CE$8,Сводная!$B$13:$AM$159,27,FALSE)</f>
        <v>0</v>
      </c>
      <c r="CF14" s="331">
        <f>VLOOKUP(CF$8,Сводная!$B$13:$AM$159,27,FALSE)</f>
        <v>11.200000000000001</v>
      </c>
      <c r="CG14" s="331">
        <f>VLOOKUP(CG$8,Сводная!$B$13:$AM$159,27,FALSE)</f>
        <v>0</v>
      </c>
      <c r="CH14" s="331">
        <f>VLOOKUP(CH$8,Сводная!$B$13:$AM$159,27,FALSE)</f>
        <v>0</v>
      </c>
      <c r="CI14" s="331">
        <f>VLOOKUP(CI$8,Сводная!$B$13:$AM$159,27,FALSE)</f>
        <v>0</v>
      </c>
      <c r="CJ14" s="331">
        <f>VLOOKUP(CJ$8,Сводная!$B$13:$AM$159,27,FALSE)</f>
        <v>0</v>
      </c>
      <c r="CK14" s="331">
        <f>VLOOKUP(CK$8,Сводная!$B$13:$AM$159,27,FALSE)</f>
        <v>0</v>
      </c>
      <c r="CL14" s="331">
        <f>VLOOKUP(CL$8,Сводная!$B$13:$AM$159,27,FALSE)</f>
        <v>0</v>
      </c>
      <c r="CM14" s="331">
        <f>VLOOKUP(CM$8,Сводная!$B$13:$AM$159,27,FALSE)</f>
        <v>0</v>
      </c>
      <c r="CN14" s="331">
        <f>VLOOKUP(CN$8,Сводная!$B$13:$AM$159,27,FALSE)</f>
        <v>0</v>
      </c>
      <c r="CO14" s="331">
        <f>VLOOKUP(CO$8,Сводная!$B$13:$AM$159,27,FALSE)</f>
        <v>0</v>
      </c>
      <c r="CP14" s="331">
        <f>VLOOKUP(CP$8,Сводная!$B$13:$AM$159,27,FALSE)</f>
        <v>0</v>
      </c>
      <c r="CQ14" s="331">
        <f>VLOOKUP(CQ$8,Сводная!$B$13:$AM$159,27,FALSE)</f>
        <v>0</v>
      </c>
      <c r="CR14" s="331">
        <f>VLOOKUP(CR$8,Сводная!$B$13:$AM$159,27,FALSE)</f>
        <v>0</v>
      </c>
      <c r="CS14" s="332">
        <f>VLOOKUP(CS$8,Сводная!$B$13:$AM$159,27,FALSE)</f>
        <v>0</v>
      </c>
      <c r="CT14" s="332">
        <f>VLOOKUP(CT$8,Сводная!$B$13:$AM$159,27,FALSE)</f>
        <v>0</v>
      </c>
      <c r="CU14" s="332">
        <f>VLOOKUP(CU$8,Сводная!$B$13:$AM$159,27,FALSE)</f>
        <v>0</v>
      </c>
      <c r="CV14" s="332">
        <f>VLOOKUP(CV$8,Сводная!$B$13:$AM$159,27,FALSE)</f>
        <v>0</v>
      </c>
      <c r="CW14" s="332">
        <f>VLOOKUP(CW$8,Сводная!$B$13:$AM$159,27,FALSE)</f>
        <v>4.2</v>
      </c>
      <c r="CX14" s="332">
        <f>VLOOKUP(CX$8,Сводная!$B$13:$AM$159,27,FALSE)</f>
        <v>0</v>
      </c>
      <c r="CY14" s="332">
        <f>VLOOKUP(CY$8,Сводная!$B$13:$AM$159,27,FALSE)</f>
        <v>0</v>
      </c>
      <c r="CZ14" s="332">
        <f>VLOOKUP(CZ$8,Сводная!$B$13:$AM$159,27,FALSE)</f>
        <v>0</v>
      </c>
      <c r="DA14" s="332">
        <f>VLOOKUP(DA$8,Сводная!$B$13:$AM$159,27,FALSE)</f>
        <v>0</v>
      </c>
      <c r="DB14" s="332">
        <f>VLOOKUP(DB$8,Сводная!$B$13:$AM$159,27,FALSE)</f>
        <v>0</v>
      </c>
      <c r="DC14" s="332">
        <f>VLOOKUP(DC$8,Сводная!$B$13:$AM$159,27,FALSE)</f>
        <v>0</v>
      </c>
      <c r="DD14" s="332">
        <f>VLOOKUP(DD$8,Сводная!$B$13:$AM$159,27,FALSE)</f>
        <v>0</v>
      </c>
      <c r="DE14" s="332">
        <f>VLOOKUP(DE$8,Сводная!$B$13:$AM$159,27,FALSE)</f>
        <v>0</v>
      </c>
      <c r="DF14" s="332">
        <f>VLOOKUP(DF$8,Сводная!$B$13:$AM$159,27,FALSE)</f>
        <v>0</v>
      </c>
      <c r="DG14" s="332">
        <f>VLOOKUP(DG$8,Сводная!$B$13:$AM$159,27,FALSE)</f>
        <v>0</v>
      </c>
      <c r="DH14" s="332">
        <f>VLOOKUP(DH$8,Сводная!$B$13:$AM$159,27,FALSE)</f>
        <v>0</v>
      </c>
      <c r="DI14" s="332">
        <f>VLOOKUP(DI$8,Сводная!$B$13:$AM$159,27,FALSE)</f>
        <v>0</v>
      </c>
      <c r="DJ14" s="332">
        <f>VLOOKUP(DJ$8,Сводная!$B$13:$AM$159,27,FALSE)</f>
        <v>0</v>
      </c>
      <c r="DK14" s="332">
        <f>VLOOKUP(DK$8,Сводная!$B$13:$AM$159,27,FALSE)</f>
        <v>0</v>
      </c>
      <c r="DL14" s="332">
        <f>VLOOKUP(DL$8,Сводная!$B$13:$AM$159,27,FALSE)</f>
        <v>0</v>
      </c>
      <c r="DM14" s="332">
        <f>VLOOKUP(DM$8,Сводная!$B$13:$AM$159,27,FALSE)</f>
        <v>0</v>
      </c>
      <c r="DN14" s="333">
        <f>VLOOKUP(DN$8,Сводная!$B$13:$AM$159,27,FALSE)</f>
        <v>2.3333333333333335</v>
      </c>
      <c r="DO14" s="333">
        <f>VLOOKUP(DO$8,Сводная!$B$13:$AM$159,27,FALSE)</f>
        <v>8.75</v>
      </c>
      <c r="DP14" s="333">
        <f>VLOOKUP(DP$8,Сводная!$B$13:$AM$159,27,FALSE)</f>
        <v>1.5712999999999999</v>
      </c>
      <c r="DQ14" s="333">
        <f>VLOOKUP(DQ$8,Сводная!$B$13:$AM$159,27,FALSE)</f>
        <v>3.9659999999999999E-3</v>
      </c>
      <c r="DR14" s="333">
        <f>VLOOKUP(DR$8,Сводная!$B$13:$AM$159,27,FALSE)</f>
        <v>7.7649999999999993E-3</v>
      </c>
      <c r="DS14" s="333">
        <f>VLOOKUP(DS$8,Сводная!$B$13:$AM$159,27,FALSE)</f>
        <v>0.22520000000000001</v>
      </c>
      <c r="DT14" s="333">
        <f>VLOOKUP(DT$8,Сводная!$B$13:$AM$159,27,FALSE)</f>
        <v>1</v>
      </c>
      <c r="DU14" s="333">
        <f>VLOOKUP(DU$8,Сводная!$B$13:$AM$159,27,FALSE)</f>
        <v>0</v>
      </c>
      <c r="DV14" s="333">
        <f>VLOOKUP(DV$8,Сводная!$B$13:$AM$159,27,FALSE)</f>
        <v>0</v>
      </c>
      <c r="DW14" s="333">
        <f>VLOOKUP(DW$8,Сводная!$B$13:$AM$159,27,FALSE)</f>
        <v>0.128</v>
      </c>
      <c r="DX14" s="333">
        <f>VLOOKUP(DX$8,Сводная!$B$13:$AM$159,27,FALSE)</f>
        <v>0</v>
      </c>
      <c r="DY14" s="333">
        <f>VLOOKUP(DY$8,Сводная!$B$13:$AM$159,27,FALSE)</f>
        <v>0</v>
      </c>
      <c r="DZ14" s="333">
        <f>VLOOKUP(DZ$8,Сводная!$B$13:$AM$159,27,FALSE)</f>
        <v>0</v>
      </c>
      <c r="EA14" s="854">
        <f>VLOOKUP(EA$8,Сводная!$B$13:$AM$159,27,FALSE)</f>
        <v>86.993000000000009</v>
      </c>
      <c r="EB14" s="333">
        <f>VLOOKUP(EB$8,Сводная!$B$13:$AM$159,27,FALSE)</f>
        <v>54.503999999999998</v>
      </c>
      <c r="EC14" s="333">
        <f>VLOOKUP(EC$8,Сводная!$B$13:$AM$159,27,FALSE)</f>
        <v>27</v>
      </c>
      <c r="ED14" s="333">
        <f>VLOOKUP(ED$8,Сводная!$B$13:$AM$159,27,FALSE)</f>
        <v>3.5000000000000003E-2</v>
      </c>
      <c r="EE14" s="333">
        <f>VLOOKUP(EE$8,Сводная!$B$13:$AM$159,27,FALSE)</f>
        <v>0</v>
      </c>
      <c r="EF14" s="333">
        <f>VLOOKUP(EF$8,Сводная!$B$13:$AM$159,27,FALSE)</f>
        <v>0.21</v>
      </c>
      <c r="EG14" s="333">
        <f>VLOOKUP(EG$8,Сводная!$B$13:$AM$159,27,FALSE)</f>
        <v>0</v>
      </c>
      <c r="EH14" s="333">
        <f>VLOOKUP(EH$8,Сводная!$B$13:$AM$159,27,FALSE)</f>
        <v>0</v>
      </c>
      <c r="EI14" s="333">
        <f>VLOOKUP(EI$8,Сводная!$B$13:$AM$159,27,FALSE)</f>
        <v>0</v>
      </c>
      <c r="EJ14" s="333">
        <f>VLOOKUP(EJ$8,Сводная!$B$13:$AM$159,27,FALSE)</f>
        <v>0</v>
      </c>
      <c r="EK14" s="333">
        <f>VLOOKUP(EK$8,Сводная!$B$13:$AM$159,27,FALSE)</f>
        <v>0</v>
      </c>
      <c r="EL14" s="333">
        <f>VLOOKUP(EL$8,Сводная!$B$13:$AM$159,27,FALSE)</f>
        <v>0</v>
      </c>
      <c r="EM14" s="333">
        <f>VLOOKUP(EM$8,Сводная!$B$13:$AM$159,27,FALSE)</f>
        <v>0</v>
      </c>
      <c r="EN14" s="333">
        <f>VLOOKUP(EN$8,Сводная!$B$13:$AM$159,27,FALSE)</f>
        <v>0</v>
      </c>
      <c r="EO14" s="333">
        <f>VLOOKUP(EO$8,Сводная!$B$13:$AM$159,27,FALSE)</f>
        <v>2</v>
      </c>
      <c r="EP14" s="333">
        <f>VLOOKUP(EP$8,Сводная!$B$13:$AM$159,27,FALSE)</f>
        <v>2.1</v>
      </c>
      <c r="EQ14" s="333">
        <f>VLOOKUP(EQ$8,Сводная!$B$13:$AM$159,27,FALSE)</f>
        <v>0</v>
      </c>
      <c r="ER14" s="333">
        <f>VLOOKUP(ER$8,Сводная!$B$13:$AM$159,27,FALSE)</f>
        <v>0</v>
      </c>
      <c r="ES14" s="333">
        <f>VLOOKUP(ES$8,Сводная!$B$13:$AM$159,27,FALSE)</f>
        <v>0</v>
      </c>
      <c r="ET14" s="333">
        <f>VLOOKUP(ET$8,Сводная!$B$13:$AM$159,27,FALSE)</f>
        <v>0</v>
      </c>
      <c r="EU14" s="333">
        <f>VLOOKUP(EU$8,Сводная!$B$13:$AM$159,27,FALSE)</f>
        <v>0</v>
      </c>
      <c r="EV14" s="333">
        <f>VLOOKUP(EV$8,Сводная!$B$13:$AM$159,27,FALSE)</f>
        <v>0</v>
      </c>
      <c r="EW14" s="333">
        <f>VLOOKUP(EW$8,Сводная!$B$13:$AM$159,27,FALSE)</f>
        <v>0</v>
      </c>
      <c r="EX14" s="333">
        <f>VLOOKUP(EX$8,Сводная!$B$13:$AM$159,27,FALSE)</f>
        <v>0</v>
      </c>
      <c r="EY14" s="333">
        <f>VLOOKUP(EY$8,Сводная!$B$13:$AM$159,27,FALSE)</f>
        <v>0</v>
      </c>
      <c r="EZ14" s="333">
        <f>VLOOKUP(EZ$8,Сводная!$B$13:$AM$159,27,FALSE)</f>
        <v>0</v>
      </c>
      <c r="FA14" s="164"/>
      <c r="FB14" s="165"/>
      <c r="FC14" s="165"/>
      <c r="FD14" s="166"/>
      <c r="FE14" s="787"/>
    </row>
    <row r="15" spans="2:164" s="160" customFormat="1" ht="19.5" customHeight="1" outlineLevel="1" x14ac:dyDescent="0.25">
      <c r="B15" s="161"/>
      <c r="C15" s="162"/>
      <c r="D15" s="162"/>
      <c r="E15" s="163"/>
      <c r="F15" s="829"/>
      <c r="G15" s="824"/>
      <c r="H15" s="927"/>
      <c r="I15" s="924" t="s">
        <v>1274</v>
      </c>
      <c r="J15" s="329">
        <f>VLOOKUP(J$8,Сводная!$B$13:$AM$159,32,FALSE)</f>
        <v>0</v>
      </c>
      <c r="K15" s="330">
        <f>VLOOKUP(K$8,Сводная!$B$13:$AM$159,32,FALSE)</f>
        <v>0</v>
      </c>
      <c r="L15" s="330">
        <f>VLOOKUP(L$8,Сводная!$B$13:$AM$159,32,FALSE)</f>
        <v>0</v>
      </c>
      <c r="M15" s="330">
        <f>VLOOKUP(M$8,Сводная!$B$13:$AM$159,32,FALSE)</f>
        <v>0</v>
      </c>
      <c r="N15" s="330">
        <f>VLOOKUP(N$8,Сводная!$B$13:$AM$159,32,FALSE)</f>
        <v>0</v>
      </c>
      <c r="O15" s="330">
        <f>VLOOKUP(O$8,Сводная!$B$13:$AM$159,32,FALSE)</f>
        <v>3.7350000000000003</v>
      </c>
      <c r="P15" s="330">
        <f>VLOOKUP(P$8,Сводная!$B$13:$AM$159,32,FALSE)</f>
        <v>7.4700000000000006</v>
      </c>
      <c r="Q15" s="330">
        <f>VLOOKUP(Q$8,Сводная!$B$13:$AM$159,32,FALSE)</f>
        <v>0</v>
      </c>
      <c r="R15" s="330">
        <f>VLOOKUP(R$8,Сводная!$B$13:$AM$159,32,FALSE)</f>
        <v>0</v>
      </c>
      <c r="S15" s="330">
        <f>VLOOKUP(S$8,Сводная!$B$13:$AM$159,32,FALSE)</f>
        <v>0</v>
      </c>
      <c r="T15" s="330">
        <f>VLOOKUP(T$8,Сводная!$B$13:$AM$159,32,FALSE)</f>
        <v>0</v>
      </c>
      <c r="U15" s="330">
        <f>VLOOKUP(U$8,Сводная!$B$13:$AM$159,32,FALSE)</f>
        <v>0</v>
      </c>
      <c r="V15" s="330">
        <f>VLOOKUP(V$8,Сводная!$B$13:$AM$159,32,FALSE)</f>
        <v>3.7350000000000003</v>
      </c>
      <c r="W15" s="330">
        <f>VLOOKUP(W$8,Сводная!$B$13:$AM$159,32,FALSE)</f>
        <v>0</v>
      </c>
      <c r="X15" s="330">
        <f>VLOOKUP(X$8,Сводная!$B$13:$AM$159,32,FALSE)</f>
        <v>0.35099999999999998</v>
      </c>
      <c r="Y15" s="330">
        <f>VLOOKUP(Y$8,Сводная!$B$13:$AM$159,32,FALSE)</f>
        <v>0</v>
      </c>
      <c r="Z15" s="330">
        <f>VLOOKUP(Z$8,Сводная!$B$13:$AM$159,32,FALSE)</f>
        <v>6.75</v>
      </c>
      <c r="AA15" s="330">
        <f>VLOOKUP(AA$8,Сводная!$B$13:$AM$159,32,FALSE)</f>
        <v>13.5</v>
      </c>
      <c r="AB15" s="330">
        <f>VLOOKUP(AB$8,Сводная!$B$13:$AM$159,32,FALSE)</f>
        <v>0</v>
      </c>
      <c r="AC15" s="330">
        <f>VLOOKUP(AC$8,Сводная!$B$13:$AM$159,32,FALSE)</f>
        <v>0</v>
      </c>
      <c r="AD15" s="330">
        <f>VLOOKUP(AD$8,Сводная!$B$13:$AM$159,32,FALSE)</f>
        <v>21.6</v>
      </c>
      <c r="AE15" s="330">
        <f>VLOOKUP(AE$8,Сводная!$B$13:$AM$159,32,FALSE)</f>
        <v>0</v>
      </c>
      <c r="AF15" s="330">
        <f>VLOOKUP(AF$8,Сводная!$B$13:$AM$159,32,FALSE)</f>
        <v>0.63</v>
      </c>
      <c r="AG15" s="330">
        <f>VLOOKUP(AG$8,Сводная!$B$13:$AM$159,32,FALSE)</f>
        <v>1.53</v>
      </c>
      <c r="AH15" s="330">
        <f>VLOOKUP(AH$8,Сводная!$B$13:$AM$159,32,FALSE)</f>
        <v>0</v>
      </c>
      <c r="AI15" s="330">
        <f>VLOOKUP(AI$8,Сводная!$B$13:$AM$159,32,FALSE)</f>
        <v>0</v>
      </c>
      <c r="AJ15" s="330">
        <f>VLOOKUP(AJ$8,Сводная!$B$13:$AM$159,32,FALSE)</f>
        <v>0</v>
      </c>
      <c r="AK15" s="330">
        <f>VLOOKUP(AK$8,Сводная!$B$13:$AM$159,32,FALSE)</f>
        <v>0</v>
      </c>
      <c r="AL15" s="330">
        <f>VLOOKUP(AL$8,Сводная!$B$13:$AM$159,32,FALSE)</f>
        <v>0</v>
      </c>
      <c r="AM15" s="330">
        <f>VLOOKUP(AM$8,Сводная!$B$13:$AM$159,32,FALSE)</f>
        <v>0</v>
      </c>
      <c r="AN15" s="330">
        <f>VLOOKUP(AN$8,Сводная!$B$13:$AM$159,32,FALSE)</f>
        <v>0</v>
      </c>
      <c r="AO15" s="330">
        <f>VLOOKUP(AO$8,Сводная!$B$13:$AM$159,32,FALSE)</f>
        <v>0.45</v>
      </c>
      <c r="AP15" s="330">
        <f>VLOOKUP(AP$8,Сводная!$B$13:$AM$159,32,FALSE)</f>
        <v>0</v>
      </c>
      <c r="AQ15" s="330">
        <f>VLOOKUP(AQ$8,Сводная!$B$13:$AM$159,32,FALSE)</f>
        <v>0</v>
      </c>
      <c r="AR15" s="330">
        <f>VLOOKUP(AR$8,Сводная!$B$13:$AM$159,32,FALSE)</f>
        <v>0</v>
      </c>
      <c r="AS15" s="330">
        <f>VLOOKUP(AS$8,Сводная!$B$13:$AM$159,32,FALSE)</f>
        <v>0</v>
      </c>
      <c r="AT15" s="330">
        <f>VLOOKUP(AT$8,Сводная!$B$13:$AM$159,32,FALSE)</f>
        <v>0</v>
      </c>
      <c r="AU15" s="330">
        <f>VLOOKUP(AU$8,Сводная!$B$13:$AM$159,32,FALSE)</f>
        <v>0.9</v>
      </c>
      <c r="AV15" s="330">
        <f>VLOOKUP(AV$8,Сводная!$B$13:$AM$159,32,FALSE)</f>
        <v>1.5750000000000002</v>
      </c>
      <c r="AW15" s="330">
        <f>VLOOKUP(AW$8,Сводная!$B$13:$AM$159,32,FALSE)</f>
        <v>0</v>
      </c>
      <c r="AX15" s="330">
        <f>VLOOKUP(AX$8,Сводная!$B$13:$AM$159,32,FALSE)</f>
        <v>4.05</v>
      </c>
      <c r="AY15" s="330">
        <f>VLOOKUP(AY$8,Сводная!$B$13:$AM$159,32,FALSE)</f>
        <v>0</v>
      </c>
      <c r="AZ15" s="330">
        <f>VLOOKUP(AZ$8,Сводная!$B$13:$AM$159,32,FALSE)</f>
        <v>0</v>
      </c>
      <c r="BA15" s="330">
        <f>VLOOKUP(BA$8,Сводная!$B$13:$AM$159,32,FALSE)</f>
        <v>0</v>
      </c>
      <c r="BB15" s="330">
        <f>VLOOKUP(BB$8,Сводная!$B$13:$AM$159,32,FALSE)</f>
        <v>0.9</v>
      </c>
      <c r="BC15" s="330">
        <f>VLOOKUP(BC$8,Сводная!$B$13:$AM$159,32,FALSE)</f>
        <v>0</v>
      </c>
      <c r="BD15" s="330">
        <f>VLOOKUP(BD$8,Сводная!$B$13:$AM$159,32,FALSE)</f>
        <v>0</v>
      </c>
      <c r="BE15" s="330">
        <f>VLOOKUP(BE$8,Сводная!$B$13:$AM$159,32,FALSE)</f>
        <v>6.75</v>
      </c>
      <c r="BF15" s="330">
        <f>VLOOKUP(BF$8,Сводная!$B$13:$AM$159,32,FALSE)</f>
        <v>0</v>
      </c>
      <c r="BG15" s="330">
        <f>VLOOKUP(BG$8,Сводная!$B$13:$AM$159,32,FALSE)</f>
        <v>0</v>
      </c>
      <c r="BH15" s="330">
        <f>VLOOKUP(BH$8,Сводная!$B$13:$AM$159,32,FALSE)</f>
        <v>0.99</v>
      </c>
      <c r="BI15" s="330">
        <f>VLOOKUP(BI$8,Сводная!$B$13:$AM$159,32,FALSE)</f>
        <v>0</v>
      </c>
      <c r="BJ15" s="330">
        <f>VLOOKUP(BJ$8,Сводная!$B$13:$AM$159,32,FALSE)</f>
        <v>0.22500000000000001</v>
      </c>
      <c r="BK15" s="330">
        <f>VLOOKUP(BK$8,Сводная!$B$13:$AM$159,32,FALSE)</f>
        <v>0</v>
      </c>
      <c r="BL15" s="330">
        <f>VLOOKUP(BL$8,Сводная!$B$13:$AM$159,32,FALSE)</f>
        <v>0</v>
      </c>
      <c r="BM15" s="330">
        <f>VLOOKUP(BM$8,Сводная!$B$13:$AM$159,32,FALSE)</f>
        <v>0</v>
      </c>
      <c r="BN15" s="330">
        <f>VLOOKUP(BN$8,Сводная!$B$13:$AM$159,32,FALSE)</f>
        <v>2.6999999999999997</v>
      </c>
      <c r="BO15" s="330">
        <f>VLOOKUP(BO$8,Сводная!$B$13:$AM$159,32,FALSE)</f>
        <v>1.026</v>
      </c>
      <c r="BP15" s="330">
        <f>VLOOKUP(BP$8,Сводная!$B$13:$AM$159,32,FALSE)</f>
        <v>0.67499999999999993</v>
      </c>
      <c r="BQ15" s="330">
        <f>VLOOKUP(BQ$8,Сводная!$B$13:$AM$159,32,FALSE)</f>
        <v>0</v>
      </c>
      <c r="BR15" s="330">
        <f>VLOOKUP(BR$8,Сводная!$B$13:$AM$159,32,FALSE)</f>
        <v>0</v>
      </c>
      <c r="BS15" s="330">
        <f>VLOOKUP(BS$8,Сводная!$B$13:$AM$159,32,FALSE)</f>
        <v>0</v>
      </c>
      <c r="BT15" s="330">
        <f>VLOOKUP(BT$8,Сводная!$B$13:$AM$159,32,FALSE)</f>
        <v>0</v>
      </c>
      <c r="BU15" s="330">
        <f>VLOOKUP(BU$8,Сводная!$B$13:$AM$159,32,FALSE)</f>
        <v>0</v>
      </c>
      <c r="BV15" s="330">
        <f>VLOOKUP(BV$8,Сводная!$B$13:$AM$159,32,FALSE)</f>
        <v>0</v>
      </c>
      <c r="BW15" s="330">
        <f>VLOOKUP(BW$8,Сводная!$B$13:$AM$159,32,FALSE)</f>
        <v>0</v>
      </c>
      <c r="BX15" s="330">
        <f>VLOOKUP(BX$8,Сводная!$B$13:$AM$159,32,FALSE)</f>
        <v>0</v>
      </c>
      <c r="BY15" s="330">
        <f>VLOOKUP(BY$8,Сводная!$B$13:$AM$159,32,FALSE)</f>
        <v>0</v>
      </c>
      <c r="BZ15" s="330">
        <f>VLOOKUP(BZ$8,Сводная!$B$13:$AM$159,32,FALSE)</f>
        <v>0</v>
      </c>
      <c r="CA15" s="330">
        <f>VLOOKUP(CA$8,Сводная!$B$13:$AM$159,32,FALSE)</f>
        <v>0</v>
      </c>
      <c r="CB15" s="330">
        <f>VLOOKUP(CB$8,Сводная!$B$13:$AM$159,32,FALSE)</f>
        <v>0</v>
      </c>
      <c r="CC15" s="331">
        <f>VLOOKUP(CC$8,Сводная!$B$13:$AM$159,32,FALSE)</f>
        <v>0</v>
      </c>
      <c r="CD15" s="331">
        <f>VLOOKUP(CD$8,Сводная!$B$13:$AM$159,32,FALSE)</f>
        <v>1.9350000000000001</v>
      </c>
      <c r="CE15" s="331">
        <f>VLOOKUP(CE$8,Сводная!$B$13:$AM$159,32,FALSE)</f>
        <v>0</v>
      </c>
      <c r="CF15" s="331">
        <f>VLOOKUP(CF$8,Сводная!$B$13:$AM$159,32,FALSE)</f>
        <v>4.32</v>
      </c>
      <c r="CG15" s="331">
        <f>VLOOKUP(CG$8,Сводная!$B$13:$AM$159,32,FALSE)</f>
        <v>0</v>
      </c>
      <c r="CH15" s="331">
        <f>VLOOKUP(CH$8,Сводная!$B$13:$AM$159,32,FALSE)</f>
        <v>0</v>
      </c>
      <c r="CI15" s="331">
        <f>VLOOKUP(CI$8,Сводная!$B$13:$AM$159,32,FALSE)</f>
        <v>0</v>
      </c>
      <c r="CJ15" s="331">
        <f>VLOOKUP(CJ$8,Сводная!$B$13:$AM$159,32,FALSE)</f>
        <v>0</v>
      </c>
      <c r="CK15" s="331">
        <f>VLOOKUP(CK$8,Сводная!$B$13:$AM$159,32,FALSE)</f>
        <v>0</v>
      </c>
      <c r="CL15" s="331">
        <f>VLOOKUP(CL$8,Сводная!$B$13:$AM$159,32,FALSE)</f>
        <v>0</v>
      </c>
      <c r="CM15" s="331">
        <f>VLOOKUP(CM$8,Сводная!$B$13:$AM$159,32,FALSE)</f>
        <v>0</v>
      </c>
      <c r="CN15" s="331">
        <f>VLOOKUP(CN$8,Сводная!$B$13:$AM$159,32,FALSE)</f>
        <v>0</v>
      </c>
      <c r="CO15" s="331">
        <f>VLOOKUP(CO$8,Сводная!$B$13:$AM$159,32,FALSE)</f>
        <v>0</v>
      </c>
      <c r="CP15" s="331">
        <f>VLOOKUP(CP$8,Сводная!$B$13:$AM$159,32,FALSE)</f>
        <v>0</v>
      </c>
      <c r="CQ15" s="331">
        <f>VLOOKUP(CQ$8,Сводная!$B$13:$AM$159,32,FALSE)</f>
        <v>0</v>
      </c>
      <c r="CR15" s="331">
        <f>VLOOKUP(CR$8,Сводная!$B$13:$AM$159,32,FALSE)</f>
        <v>0</v>
      </c>
      <c r="CS15" s="332">
        <f>VLOOKUP(CS$8,Сводная!$B$13:$AM$159,32,FALSE)</f>
        <v>0</v>
      </c>
      <c r="CT15" s="332">
        <f>VLOOKUP(CT$8,Сводная!$B$13:$AM$159,32,FALSE)</f>
        <v>0</v>
      </c>
      <c r="CU15" s="332">
        <f>VLOOKUP(CU$8,Сводная!$B$13:$AM$159,32,FALSE)</f>
        <v>0</v>
      </c>
      <c r="CV15" s="332">
        <f>VLOOKUP(CV$8,Сводная!$B$13:$AM$159,32,FALSE)</f>
        <v>0</v>
      </c>
      <c r="CW15" s="332">
        <f>VLOOKUP(CW$8,Сводная!$B$13:$AM$159,32,FALSE)</f>
        <v>0</v>
      </c>
      <c r="CX15" s="332">
        <f>VLOOKUP(CX$8,Сводная!$B$13:$AM$159,32,FALSE)</f>
        <v>0</v>
      </c>
      <c r="CY15" s="332">
        <f>VLOOKUP(CY$8,Сводная!$B$13:$AM$159,32,FALSE)</f>
        <v>0</v>
      </c>
      <c r="CZ15" s="332">
        <f>VLOOKUP(CZ$8,Сводная!$B$13:$AM$159,32,FALSE)</f>
        <v>0</v>
      </c>
      <c r="DA15" s="332">
        <f>VLOOKUP(DA$8,Сводная!$B$13:$AM$159,32,FALSE)</f>
        <v>0</v>
      </c>
      <c r="DB15" s="332">
        <f>VLOOKUP(DB$8,Сводная!$B$13:$AM$159,32,FALSE)</f>
        <v>2.25</v>
      </c>
      <c r="DC15" s="332">
        <f>VLOOKUP(DC$8,Сводная!$B$13:$AM$159,32,FALSE)</f>
        <v>0</v>
      </c>
      <c r="DD15" s="332">
        <f>VLOOKUP(DD$8,Сводная!$B$13:$AM$159,32,FALSE)</f>
        <v>0</v>
      </c>
      <c r="DE15" s="332">
        <f>VLOOKUP(DE$8,Сводная!$B$13:$AM$159,32,FALSE)</f>
        <v>0</v>
      </c>
      <c r="DF15" s="332">
        <f>VLOOKUP(DF$8,Сводная!$B$13:$AM$159,32,FALSE)</f>
        <v>0</v>
      </c>
      <c r="DG15" s="332">
        <f>VLOOKUP(DG$8,Сводная!$B$13:$AM$159,32,FALSE)</f>
        <v>0</v>
      </c>
      <c r="DH15" s="332">
        <f>VLOOKUP(DH$8,Сводная!$B$13:$AM$159,32,FALSE)</f>
        <v>0</v>
      </c>
      <c r="DI15" s="332">
        <f>VLOOKUP(DI$8,Сводная!$B$13:$AM$159,32,FALSE)</f>
        <v>0</v>
      </c>
      <c r="DJ15" s="332">
        <f>VLOOKUP(DJ$8,Сводная!$B$13:$AM$159,32,FALSE)</f>
        <v>5.3999999999999995</v>
      </c>
      <c r="DK15" s="332">
        <f>VLOOKUP(DK$8,Сводная!$B$13:$AM$159,32,FALSE)</f>
        <v>0</v>
      </c>
      <c r="DL15" s="332">
        <f>VLOOKUP(DL$8,Сводная!$B$13:$AM$159,32,FALSE)</f>
        <v>0</v>
      </c>
      <c r="DM15" s="332">
        <f>VLOOKUP(DM$8,Сводная!$B$13:$AM$159,32,FALSE)</f>
        <v>0</v>
      </c>
      <c r="DN15" s="333">
        <f>VLOOKUP(DN$8,Сводная!$B$13:$AM$159,32,FALSE)</f>
        <v>0.75</v>
      </c>
      <c r="DO15" s="333">
        <f>VLOOKUP(DO$8,Сводная!$B$13:$AM$159,32,FALSE)</f>
        <v>4.9499999999999993</v>
      </c>
      <c r="DP15" s="333">
        <f>VLOOKUP(DP$8,Сводная!$B$13:$AM$159,32,FALSE)</f>
        <v>1.1789999999999998</v>
      </c>
      <c r="DQ15" s="333">
        <f>VLOOKUP(DQ$8,Сводная!$B$13:$AM$159,32,FALSE)</f>
        <v>1.98E-3</v>
      </c>
      <c r="DR15" s="333">
        <f>VLOOKUP(DR$8,Сводная!$B$13:$AM$159,32,FALSE)</f>
        <v>6.3E-3</v>
      </c>
      <c r="DS15" s="333">
        <f>VLOOKUP(DS$8,Сводная!$B$13:$AM$159,32,FALSE)</f>
        <v>0.21599999999999997</v>
      </c>
      <c r="DT15" s="333">
        <f>VLOOKUP(DT$8,Сводная!$B$13:$AM$159,32,FALSE)</f>
        <v>0</v>
      </c>
      <c r="DU15" s="333">
        <f>VLOOKUP(DU$8,Сводная!$B$13:$AM$159,32,FALSE)</f>
        <v>0</v>
      </c>
      <c r="DV15" s="333">
        <f>VLOOKUP(DV$8,Сводная!$B$13:$AM$159,32,FALSE)</f>
        <v>0</v>
      </c>
      <c r="DW15" s="333">
        <f>VLOOKUP(DW$8,Сводная!$B$13:$AM$159,32,FALSE)</f>
        <v>0</v>
      </c>
      <c r="DX15" s="333">
        <f>VLOOKUP(DX$8,Сводная!$B$13:$AM$159,32,FALSE)</f>
        <v>0</v>
      </c>
      <c r="DY15" s="333">
        <f>VLOOKUP(DY$8,Сводная!$B$13:$AM$159,32,FALSE)</f>
        <v>0</v>
      </c>
      <c r="DZ15" s="333">
        <f>VLOOKUP(DZ$8,Сводная!$B$13:$AM$159,32,FALSE)</f>
        <v>0</v>
      </c>
      <c r="EA15" s="854">
        <f>VLOOKUP(EA$8,Сводная!$B$13:$AM$159,32,FALSE)</f>
        <v>59.823</v>
      </c>
      <c r="EB15" s="333">
        <f>VLOOKUP(EB$8,Сводная!$B$13:$AM$159,32,FALSE)</f>
        <v>36.72</v>
      </c>
      <c r="EC15" s="333">
        <f>VLOOKUP(EC$8,Сводная!$B$13:$AM$159,32,FALSE)</f>
        <v>18</v>
      </c>
      <c r="ED15" s="333">
        <f>VLOOKUP(ED$8,Сводная!$B$13:$AM$159,32,FALSE)</f>
        <v>4.4999999999999998E-2</v>
      </c>
      <c r="EE15" s="333">
        <f>VLOOKUP(EE$8,Сводная!$B$13:$AM$159,32,FALSE)</f>
        <v>0</v>
      </c>
      <c r="EF15" s="333">
        <f>VLOOKUP(EF$8,Сводная!$B$13:$AM$159,32,FALSE)</f>
        <v>6.7500000000000004E-2</v>
      </c>
      <c r="EG15" s="333">
        <f>VLOOKUP(EG$8,Сводная!$B$13:$AM$159,32,FALSE)</f>
        <v>0</v>
      </c>
      <c r="EH15" s="333">
        <f>VLOOKUP(EH$8,Сводная!$B$13:$AM$159,32,FALSE)</f>
        <v>0</v>
      </c>
      <c r="EI15" s="333">
        <f>VLOOKUP(EI$8,Сводная!$B$13:$AM$159,32,FALSE)</f>
        <v>0</v>
      </c>
      <c r="EJ15" s="333">
        <f>VLOOKUP(EJ$8,Сводная!$B$13:$AM$159,32,FALSE)</f>
        <v>0</v>
      </c>
      <c r="EK15" s="333">
        <f>VLOOKUP(EK$8,Сводная!$B$13:$AM$159,32,FALSE)</f>
        <v>0</v>
      </c>
      <c r="EL15" s="333">
        <f>VLOOKUP(EL$8,Сводная!$B$13:$AM$159,32,FALSE)</f>
        <v>0</v>
      </c>
      <c r="EM15" s="333">
        <f>VLOOKUP(EM$8,Сводная!$B$13:$AM$159,32,FALSE)</f>
        <v>0</v>
      </c>
      <c r="EN15" s="333">
        <f>VLOOKUP(EN$8,Сводная!$B$13:$AM$159,32,FALSE)</f>
        <v>0</v>
      </c>
      <c r="EO15" s="333">
        <f>VLOOKUP(EO$8,Сводная!$B$13:$AM$159,32,FALSE)</f>
        <v>1.8</v>
      </c>
      <c r="EP15" s="333">
        <f>VLOOKUP(EP$8,Сводная!$B$13:$AM$159,32,FALSE)</f>
        <v>0</v>
      </c>
      <c r="EQ15" s="333">
        <f>VLOOKUP(EQ$8,Сводная!$B$13:$AM$159,32,FALSE)</f>
        <v>2.6999999999999997</v>
      </c>
      <c r="ER15" s="333">
        <f>VLOOKUP(ER$8,Сводная!$B$13:$AM$159,32,FALSE)</f>
        <v>0</v>
      </c>
      <c r="ES15" s="333">
        <f>VLOOKUP(ES$8,Сводная!$B$13:$AM$159,32,FALSE)</f>
        <v>0</v>
      </c>
      <c r="ET15" s="333">
        <f>VLOOKUP(ET$8,Сводная!$B$13:$AM$159,32,FALSE)</f>
        <v>0</v>
      </c>
      <c r="EU15" s="333">
        <f>VLOOKUP(EU$8,Сводная!$B$13:$AM$159,32,FALSE)</f>
        <v>0</v>
      </c>
      <c r="EV15" s="333">
        <f>VLOOKUP(EV$8,Сводная!$B$13:$AM$159,32,FALSE)</f>
        <v>0</v>
      </c>
      <c r="EW15" s="333">
        <f>VLOOKUP(EW$8,Сводная!$B$13:$AM$159,32,FALSE)</f>
        <v>0</v>
      </c>
      <c r="EX15" s="333">
        <f>VLOOKUP(EX$8,Сводная!$B$13:$AM$159,32,FALSE)</f>
        <v>0</v>
      </c>
      <c r="EY15" s="333">
        <f>VLOOKUP(EY$8,Сводная!$B$13:$AM$159,32,FALSE)</f>
        <v>0</v>
      </c>
      <c r="EZ15" s="333">
        <f>VLOOKUP(EZ$8,Сводная!$B$13:$AM$159,32,FALSE)</f>
        <v>0</v>
      </c>
      <c r="FA15" s="164"/>
      <c r="FB15" s="165"/>
      <c r="FC15" s="165"/>
      <c r="FD15" s="166"/>
      <c r="FE15" s="787"/>
    </row>
    <row r="16" spans="2:164" s="160" customFormat="1" ht="19.5" customHeight="1" outlineLevel="1" x14ac:dyDescent="0.25">
      <c r="B16" s="161"/>
      <c r="C16" s="162"/>
      <c r="D16" s="162"/>
      <c r="E16" s="163"/>
      <c r="F16" s="829"/>
      <c r="G16" s="824"/>
      <c r="H16" s="927"/>
      <c r="I16" s="924" t="s">
        <v>1275</v>
      </c>
      <c r="J16" s="329">
        <f>VLOOKUP(J$8,Сводная!$B$13:$AM$159,37,FALSE)</f>
        <v>0</v>
      </c>
      <c r="K16" s="330">
        <f>VLOOKUP(K$8,Сводная!$B$13:$AM$159,37,FALSE)</f>
        <v>0</v>
      </c>
      <c r="L16" s="330">
        <f>VLOOKUP(L$8,Сводная!$B$13:$AM$159,37,FALSE)</f>
        <v>0</v>
      </c>
      <c r="M16" s="330">
        <f>VLOOKUP(M$8,Сводная!$B$13:$AM$159,37,FALSE)</f>
        <v>1.6600000000000001</v>
      </c>
      <c r="N16" s="330">
        <f>VLOOKUP(N$8,Сводная!$B$13:$AM$159,37,FALSE)</f>
        <v>0</v>
      </c>
      <c r="O16" s="330">
        <f>VLOOKUP(O$8,Сводная!$B$13:$AM$159,37,FALSE)</f>
        <v>0</v>
      </c>
      <c r="P16" s="330">
        <f>VLOOKUP(P$8,Сводная!$B$13:$AM$159,37,FALSE)</f>
        <v>0</v>
      </c>
      <c r="Q16" s="330">
        <f>VLOOKUP(Q$8,Сводная!$B$13:$AM$159,37,FALSE)</f>
        <v>2.0249999999999999</v>
      </c>
      <c r="R16" s="330">
        <f>VLOOKUP(R$8,Сводная!$B$13:$AM$159,37,FALSE)</f>
        <v>0.5</v>
      </c>
      <c r="S16" s="330">
        <f>VLOOKUP(S$8,Сводная!$B$13:$AM$159,37,FALSE)</f>
        <v>0</v>
      </c>
      <c r="T16" s="330">
        <f>VLOOKUP(T$8,Сводная!$B$13:$AM$159,37,FALSE)</f>
        <v>0</v>
      </c>
      <c r="U16" s="330">
        <f>VLOOKUP(U$8,Сводная!$B$13:$AM$159,37,FALSE)</f>
        <v>0</v>
      </c>
      <c r="V16" s="330">
        <f>VLOOKUP(V$8,Сводная!$B$13:$AM$159,37,FALSE)</f>
        <v>0</v>
      </c>
      <c r="W16" s="330">
        <f>VLOOKUP(W$8,Сводная!$B$13:$AM$159,37,FALSE)</f>
        <v>0</v>
      </c>
      <c r="X16" s="330">
        <f>VLOOKUP(X$8,Сводная!$B$13:$AM$159,37,FALSE)</f>
        <v>0.215</v>
      </c>
      <c r="Y16" s="330">
        <f>VLOOKUP(Y$8,Сводная!$B$13:$AM$159,37,FALSE)</f>
        <v>0</v>
      </c>
      <c r="Z16" s="330">
        <f>VLOOKUP(Z$8,Сводная!$B$13:$AM$159,37,FALSE)</f>
        <v>3.5</v>
      </c>
      <c r="AA16" s="330">
        <f>VLOOKUP(AA$8,Сводная!$B$13:$AM$159,37,FALSE)</f>
        <v>7</v>
      </c>
      <c r="AB16" s="330">
        <f>VLOOKUP(AB$8,Сводная!$B$13:$AM$159,37,FALSE)</f>
        <v>0</v>
      </c>
      <c r="AC16" s="330">
        <f>VLOOKUP(AC$8,Сводная!$B$13:$AM$159,37,FALSE)</f>
        <v>0</v>
      </c>
      <c r="AD16" s="330">
        <f>VLOOKUP(AD$8,Сводная!$B$13:$AM$159,37,FALSE)</f>
        <v>16.125</v>
      </c>
      <c r="AE16" s="330">
        <f>VLOOKUP(AE$8,Сводная!$B$13:$AM$159,37,FALSE)</f>
        <v>1.875</v>
      </c>
      <c r="AF16" s="330">
        <f>VLOOKUP(AF$8,Сводная!$B$13:$AM$159,37,FALSE)</f>
        <v>1</v>
      </c>
      <c r="AG16" s="330">
        <f>VLOOKUP(AG$8,Сводная!$B$13:$AM$159,37,FALSE)</f>
        <v>1.1749999999999998</v>
      </c>
      <c r="AH16" s="330">
        <f>VLOOKUP(AH$8,Сводная!$B$13:$AM$159,37,FALSE)</f>
        <v>0</v>
      </c>
      <c r="AI16" s="330">
        <f>VLOOKUP(AI$8,Сводная!$B$13:$AM$159,37,FALSE)</f>
        <v>0</v>
      </c>
      <c r="AJ16" s="330">
        <f>VLOOKUP(AJ$8,Сводная!$B$13:$AM$159,37,FALSE)</f>
        <v>1.7500000000000002</v>
      </c>
      <c r="AK16" s="330">
        <f>VLOOKUP(AK$8,Сводная!$B$13:$AM$159,37,FALSE)</f>
        <v>0</v>
      </c>
      <c r="AL16" s="330">
        <f>VLOOKUP(AL$8,Сводная!$B$13:$AM$159,37,FALSE)</f>
        <v>0</v>
      </c>
      <c r="AM16" s="330">
        <f>VLOOKUP(AM$8,Сводная!$B$13:$AM$159,37,FALSE)</f>
        <v>0</v>
      </c>
      <c r="AN16" s="330">
        <f>VLOOKUP(AN$8,Сводная!$B$13:$AM$159,37,FALSE)</f>
        <v>0</v>
      </c>
      <c r="AO16" s="330">
        <f>VLOOKUP(AO$8,Сводная!$B$13:$AM$159,37,FALSE)</f>
        <v>0.27</v>
      </c>
      <c r="AP16" s="330">
        <f>VLOOKUP(AP$8,Сводная!$B$13:$AM$159,37,FALSE)</f>
        <v>0</v>
      </c>
      <c r="AQ16" s="330">
        <f>VLOOKUP(AQ$8,Сводная!$B$13:$AM$159,37,FALSE)</f>
        <v>0</v>
      </c>
      <c r="AR16" s="330">
        <f>VLOOKUP(AR$8,Сводная!$B$13:$AM$159,37,FALSE)</f>
        <v>0</v>
      </c>
      <c r="AS16" s="330">
        <f>VLOOKUP(AS$8,Сводная!$B$13:$AM$159,37,FALSE)</f>
        <v>0</v>
      </c>
      <c r="AT16" s="330">
        <f>VLOOKUP(AT$8,Сводная!$B$13:$AM$159,37,FALSE)</f>
        <v>0</v>
      </c>
      <c r="AU16" s="330">
        <f>VLOOKUP(AU$8,Сводная!$B$13:$AM$159,37,FALSE)</f>
        <v>0.4</v>
      </c>
      <c r="AV16" s="330">
        <f>VLOOKUP(AV$8,Сводная!$B$13:$AM$159,37,FALSE)</f>
        <v>0</v>
      </c>
      <c r="AW16" s="330">
        <f>VLOOKUP(AW$8,Сводная!$B$13:$AM$159,37,FALSE)</f>
        <v>0</v>
      </c>
      <c r="AX16" s="330">
        <f>VLOOKUP(AX$8,Сводная!$B$13:$AM$159,37,FALSE)</f>
        <v>2.625</v>
      </c>
      <c r="AY16" s="330">
        <f>VLOOKUP(AY$8,Сводная!$B$13:$AM$159,37,FALSE)</f>
        <v>0</v>
      </c>
      <c r="AZ16" s="330">
        <f>VLOOKUP(AZ$8,Сводная!$B$13:$AM$159,37,FALSE)</f>
        <v>0</v>
      </c>
      <c r="BA16" s="330">
        <f>VLOOKUP(BA$8,Сводная!$B$13:$AM$159,37,FALSE)</f>
        <v>0</v>
      </c>
      <c r="BB16" s="330">
        <f>VLOOKUP(BB$8,Сводная!$B$13:$AM$159,37,FALSE)</f>
        <v>0.5</v>
      </c>
      <c r="BC16" s="330">
        <f>VLOOKUP(BC$8,Сводная!$B$13:$AM$159,37,FALSE)</f>
        <v>0</v>
      </c>
      <c r="BD16" s="330">
        <f>VLOOKUP(BD$8,Сводная!$B$13:$AM$159,37,FALSE)</f>
        <v>0</v>
      </c>
      <c r="BE16" s="330">
        <f>VLOOKUP(BE$8,Сводная!$B$13:$AM$159,37,FALSE)</f>
        <v>4</v>
      </c>
      <c r="BF16" s="330">
        <f>VLOOKUP(BF$8,Сводная!$B$13:$AM$159,37,FALSE)</f>
        <v>0</v>
      </c>
      <c r="BG16" s="330">
        <f>VLOOKUP(BG$8,Сводная!$B$13:$AM$159,37,FALSE)</f>
        <v>0</v>
      </c>
      <c r="BH16" s="330">
        <f>VLOOKUP(BH$8,Сводная!$B$13:$AM$159,37,FALSE)</f>
        <v>0.43999999999999995</v>
      </c>
      <c r="BI16" s="330">
        <f>VLOOKUP(BI$8,Сводная!$B$13:$AM$159,37,FALSE)</f>
        <v>0.4</v>
      </c>
      <c r="BJ16" s="330">
        <f>VLOOKUP(BJ$8,Сводная!$B$13:$AM$159,37,FALSE)</f>
        <v>0.125</v>
      </c>
      <c r="BK16" s="330">
        <f>VLOOKUP(BK$8,Сводная!$B$13:$AM$159,37,FALSE)</f>
        <v>0</v>
      </c>
      <c r="BL16" s="330">
        <f>VLOOKUP(BL$8,Сводная!$B$13:$AM$159,37,FALSE)</f>
        <v>0</v>
      </c>
      <c r="BM16" s="330">
        <f>VLOOKUP(BM$8,Сводная!$B$13:$AM$159,37,FALSE)</f>
        <v>0</v>
      </c>
      <c r="BN16" s="330">
        <f>VLOOKUP(BN$8,Сводная!$B$13:$AM$159,37,FALSE)</f>
        <v>0.8600000000000001</v>
      </c>
      <c r="BO16" s="330">
        <f>VLOOKUP(BO$8,Сводная!$B$13:$AM$159,37,FALSE)</f>
        <v>0.79999999999999993</v>
      </c>
      <c r="BP16" s="330">
        <f>VLOOKUP(BP$8,Сводная!$B$13:$AM$159,37,FALSE)</f>
        <v>0.375</v>
      </c>
      <c r="BQ16" s="330">
        <f>VLOOKUP(BQ$8,Сводная!$B$13:$AM$159,37,FALSE)</f>
        <v>0</v>
      </c>
      <c r="BR16" s="330">
        <f>VLOOKUP(BR$8,Сводная!$B$13:$AM$159,37,FALSE)</f>
        <v>0</v>
      </c>
      <c r="BS16" s="330">
        <f>VLOOKUP(BS$8,Сводная!$B$13:$AM$159,37,FALSE)</f>
        <v>1.8749999999999999E-2</v>
      </c>
      <c r="BT16" s="330">
        <f>VLOOKUP(BT$8,Сводная!$B$13:$AM$159,37,FALSE)</f>
        <v>0</v>
      </c>
      <c r="BU16" s="330">
        <f>VLOOKUP(BU$8,Сводная!$B$13:$AM$159,37,FALSE)</f>
        <v>0</v>
      </c>
      <c r="BV16" s="330">
        <f>VLOOKUP(BV$8,Сводная!$B$13:$AM$159,37,FALSE)</f>
        <v>0</v>
      </c>
      <c r="BW16" s="330">
        <f>VLOOKUP(BW$8,Сводная!$B$13:$AM$159,37,FALSE)</f>
        <v>0</v>
      </c>
      <c r="BX16" s="330">
        <f>VLOOKUP(BX$8,Сводная!$B$13:$AM$159,37,FALSE)</f>
        <v>0</v>
      </c>
      <c r="BY16" s="330">
        <f>VLOOKUP(BY$8,Сводная!$B$13:$AM$159,37,FALSE)</f>
        <v>0</v>
      </c>
      <c r="BZ16" s="330">
        <f>VLOOKUP(BZ$8,Сводная!$B$13:$AM$159,37,FALSE)</f>
        <v>2.5</v>
      </c>
      <c r="CA16" s="330">
        <f>VLOOKUP(CA$8,Сводная!$B$13:$AM$159,37,FALSE)</f>
        <v>0</v>
      </c>
      <c r="CB16" s="330">
        <f>VLOOKUP(CB$8,Сводная!$B$13:$AM$159,37,FALSE)</f>
        <v>0</v>
      </c>
      <c r="CC16" s="331">
        <f>VLOOKUP(CC$8,Сводная!$B$13:$AM$159,37,FALSE)</f>
        <v>0</v>
      </c>
      <c r="CD16" s="331">
        <f>VLOOKUP(CD$8,Сводная!$B$13:$AM$159,37,FALSE)</f>
        <v>0.5</v>
      </c>
      <c r="CE16" s="331">
        <f>VLOOKUP(CE$8,Сводная!$B$13:$AM$159,37,FALSE)</f>
        <v>0</v>
      </c>
      <c r="CF16" s="331">
        <f>VLOOKUP(CF$8,Сводная!$B$13:$AM$159,37,FALSE)</f>
        <v>1.6</v>
      </c>
      <c r="CG16" s="331">
        <f>VLOOKUP(CG$8,Сводная!$B$13:$AM$159,37,FALSE)</f>
        <v>0</v>
      </c>
      <c r="CH16" s="331">
        <f>VLOOKUP(CH$8,Сводная!$B$13:$AM$159,37,FALSE)</f>
        <v>0</v>
      </c>
      <c r="CI16" s="331">
        <f>VLOOKUP(CI$8,Сводная!$B$13:$AM$159,37,FALSE)</f>
        <v>0</v>
      </c>
      <c r="CJ16" s="331">
        <f>VLOOKUP(CJ$8,Сводная!$B$13:$AM$159,37,FALSE)</f>
        <v>0</v>
      </c>
      <c r="CK16" s="331">
        <f>VLOOKUP(CK$8,Сводная!$B$13:$AM$159,37,FALSE)</f>
        <v>0</v>
      </c>
      <c r="CL16" s="331">
        <f>VLOOKUP(CL$8,Сводная!$B$13:$AM$159,37,FALSE)</f>
        <v>0</v>
      </c>
      <c r="CM16" s="331">
        <f>VLOOKUP(CM$8,Сводная!$B$13:$AM$159,37,FALSE)</f>
        <v>0</v>
      </c>
      <c r="CN16" s="331">
        <f>VLOOKUP(CN$8,Сводная!$B$13:$AM$159,37,FALSE)</f>
        <v>0</v>
      </c>
      <c r="CO16" s="331">
        <f>VLOOKUP(CO$8,Сводная!$B$13:$AM$159,37,FALSE)</f>
        <v>0</v>
      </c>
      <c r="CP16" s="331">
        <f>VLOOKUP(CP$8,Сводная!$B$13:$AM$159,37,FALSE)</f>
        <v>0</v>
      </c>
      <c r="CQ16" s="331">
        <f>VLOOKUP(CQ$8,Сводная!$B$13:$AM$159,37,FALSE)</f>
        <v>0</v>
      </c>
      <c r="CR16" s="331">
        <f>VLOOKUP(CR$8,Сводная!$B$13:$AM$159,37,FALSE)</f>
        <v>0</v>
      </c>
      <c r="CS16" s="332">
        <f>VLOOKUP(CS$8,Сводная!$B$13:$AM$159,37,FALSE)</f>
        <v>0</v>
      </c>
      <c r="CT16" s="332">
        <f>VLOOKUP(CT$8,Сводная!$B$13:$AM$159,37,FALSE)</f>
        <v>0</v>
      </c>
      <c r="CU16" s="332">
        <f>VLOOKUP(CU$8,Сводная!$B$13:$AM$159,37,FALSE)</f>
        <v>2.4</v>
      </c>
      <c r="CV16" s="332">
        <f>VLOOKUP(CV$8,Сводная!$B$13:$AM$159,37,FALSE)</f>
        <v>0</v>
      </c>
      <c r="CW16" s="332">
        <f>VLOOKUP(CW$8,Сводная!$B$13:$AM$159,37,FALSE)</f>
        <v>0</v>
      </c>
      <c r="CX16" s="332">
        <f>VLOOKUP(CX$8,Сводная!$B$13:$AM$159,37,FALSE)</f>
        <v>0</v>
      </c>
      <c r="CY16" s="332">
        <f>VLOOKUP(CY$8,Сводная!$B$13:$AM$159,37,FALSE)</f>
        <v>0</v>
      </c>
      <c r="CZ16" s="332">
        <f>VLOOKUP(CZ$8,Сводная!$B$13:$AM$159,37,FALSE)</f>
        <v>0</v>
      </c>
      <c r="DA16" s="332">
        <f>VLOOKUP(DA$8,Сводная!$B$13:$AM$159,37,FALSE)</f>
        <v>0</v>
      </c>
      <c r="DB16" s="332">
        <f>VLOOKUP(DB$8,Сводная!$B$13:$AM$159,37,FALSE)</f>
        <v>0</v>
      </c>
      <c r="DC16" s="332">
        <f>VLOOKUP(DC$8,Сводная!$B$13:$AM$159,37,FALSE)</f>
        <v>0</v>
      </c>
      <c r="DD16" s="332">
        <f>VLOOKUP(DD$8,Сводная!$B$13:$AM$159,37,FALSE)</f>
        <v>0</v>
      </c>
      <c r="DE16" s="332">
        <f>VLOOKUP(DE$8,Сводная!$B$13:$AM$159,37,FALSE)</f>
        <v>0</v>
      </c>
      <c r="DF16" s="332">
        <f>VLOOKUP(DF$8,Сводная!$B$13:$AM$159,37,FALSE)</f>
        <v>0</v>
      </c>
      <c r="DG16" s="332">
        <f>VLOOKUP(DG$8,Сводная!$B$13:$AM$159,37,FALSE)</f>
        <v>0</v>
      </c>
      <c r="DH16" s="332">
        <f>VLOOKUP(DH$8,Сводная!$B$13:$AM$159,37,FALSE)</f>
        <v>0</v>
      </c>
      <c r="DI16" s="332">
        <f>VLOOKUP(DI$8,Сводная!$B$13:$AM$159,37,FALSE)</f>
        <v>0</v>
      </c>
      <c r="DJ16" s="332">
        <f>VLOOKUP(DJ$8,Сводная!$B$13:$AM$159,37,FALSE)</f>
        <v>0</v>
      </c>
      <c r="DK16" s="332">
        <f>VLOOKUP(DK$8,Сводная!$B$13:$AM$159,37,FALSE)</f>
        <v>0</v>
      </c>
      <c r="DL16" s="332">
        <f>VLOOKUP(DL$8,Сводная!$B$13:$AM$159,37,FALSE)</f>
        <v>0</v>
      </c>
      <c r="DM16" s="332">
        <f>VLOOKUP(DM$8,Сводная!$B$13:$AM$159,37,FALSE)</f>
        <v>0</v>
      </c>
      <c r="DN16" s="333">
        <f>VLOOKUP(DN$8,Сводная!$B$13:$AM$159,37,FALSE)</f>
        <v>3.3333333333333333E-2</v>
      </c>
      <c r="DO16" s="333">
        <f>VLOOKUP(DO$8,Сводная!$B$13:$AM$159,37,FALSE)</f>
        <v>1.2</v>
      </c>
      <c r="DP16" s="333">
        <f>VLOOKUP(DP$8,Сводная!$B$13:$AM$159,37,FALSE)</f>
        <v>0.40500000000000003</v>
      </c>
      <c r="DQ16" s="333">
        <f>VLOOKUP(DQ$8,Сводная!$B$13:$AM$159,37,FALSE)</f>
        <v>1.8E-3</v>
      </c>
      <c r="DR16" s="333">
        <f>VLOOKUP(DR$8,Сводная!$B$13:$AM$159,37,FALSE)</f>
        <v>3.3250000000000003E-3</v>
      </c>
      <c r="DS16" s="333">
        <f>VLOOKUP(DS$8,Сводная!$B$13:$AM$159,37,FALSE)</f>
        <v>0.15000000000000002</v>
      </c>
      <c r="DT16" s="333">
        <f>VLOOKUP(DT$8,Сводная!$B$13:$AM$159,37,FALSE)</f>
        <v>0.125</v>
      </c>
      <c r="DU16" s="333">
        <f>VLOOKUP(DU$8,Сводная!$B$13:$AM$159,37,FALSE)</f>
        <v>0</v>
      </c>
      <c r="DV16" s="333">
        <f>VLOOKUP(DV$8,Сводная!$B$13:$AM$159,37,FALSE)</f>
        <v>0</v>
      </c>
      <c r="DW16" s="333">
        <f>VLOOKUP(DW$8,Сводная!$B$13:$AM$159,37,FALSE)</f>
        <v>0.05</v>
      </c>
      <c r="DX16" s="333">
        <f>VLOOKUP(DX$8,Сводная!$B$13:$AM$159,37,FALSE)</f>
        <v>0</v>
      </c>
      <c r="DY16" s="333">
        <f>VLOOKUP(DY$8,Сводная!$B$13:$AM$159,37,FALSE)</f>
        <v>0</v>
      </c>
      <c r="DZ16" s="333">
        <f>VLOOKUP(DZ$8,Сводная!$B$13:$AM$159,37,FALSE)</f>
        <v>0</v>
      </c>
      <c r="EA16" s="854">
        <f>VLOOKUP(EA$8,Сводная!$B$13:$AM$159,37,FALSE)</f>
        <v>17.562000000000001</v>
      </c>
      <c r="EB16" s="333">
        <f>VLOOKUP(EB$8,Сводная!$B$13:$AM$159,37,FALSE)</f>
        <v>20.299999999999997</v>
      </c>
      <c r="EC16" s="333">
        <f>VLOOKUP(EC$8,Сводная!$B$13:$AM$159,37,FALSE)</f>
        <v>5</v>
      </c>
      <c r="ED16" s="333">
        <f>VLOOKUP(ED$8,Сводная!$B$13:$AM$159,37,FALSE)</f>
        <v>4.0000000000000001E-3</v>
      </c>
      <c r="EE16" s="333">
        <f>VLOOKUP(EE$8,Сводная!$B$13:$AM$159,37,FALSE)</f>
        <v>0</v>
      </c>
      <c r="EF16" s="333">
        <f>VLOOKUP(EF$8,Сводная!$B$13:$AM$159,37,FALSE)</f>
        <v>0.03</v>
      </c>
      <c r="EG16" s="333">
        <f>VLOOKUP(EG$8,Сводная!$B$13:$AM$159,37,FALSE)</f>
        <v>0</v>
      </c>
      <c r="EH16" s="333">
        <f>VLOOKUP(EH$8,Сводная!$B$13:$AM$159,37,FALSE)</f>
        <v>0</v>
      </c>
      <c r="EI16" s="333">
        <f>VLOOKUP(EI$8,Сводная!$B$13:$AM$159,37,FALSE)</f>
        <v>0</v>
      </c>
      <c r="EJ16" s="333">
        <f>VLOOKUP(EJ$8,Сводная!$B$13:$AM$159,37,FALSE)</f>
        <v>0</v>
      </c>
      <c r="EK16" s="333">
        <f>VLOOKUP(EK$8,Сводная!$B$13:$AM$159,37,FALSE)</f>
        <v>0</v>
      </c>
      <c r="EL16" s="333">
        <f>VLOOKUP(EL$8,Сводная!$B$13:$AM$159,37,FALSE)</f>
        <v>0</v>
      </c>
      <c r="EM16" s="333">
        <f>VLOOKUP(EM$8,Сводная!$B$13:$AM$159,37,FALSE)</f>
        <v>0</v>
      </c>
      <c r="EN16" s="333">
        <f>VLOOKUP(EN$8,Сводная!$B$13:$AM$159,37,FALSE)</f>
        <v>0</v>
      </c>
      <c r="EO16" s="333">
        <f>VLOOKUP(EO$8,Сводная!$B$13:$AM$159,37,FALSE)</f>
        <v>0.5</v>
      </c>
      <c r="EP16" s="333">
        <f>VLOOKUP(EP$8,Сводная!$B$13:$AM$159,37,FALSE)</f>
        <v>0.24</v>
      </c>
      <c r="EQ16" s="333">
        <f>VLOOKUP(EQ$8,Сводная!$B$13:$AM$159,37,FALSE)</f>
        <v>0</v>
      </c>
      <c r="ER16" s="333">
        <f>VLOOKUP(ER$8,Сводная!$B$13:$AM$159,37,FALSE)</f>
        <v>0</v>
      </c>
      <c r="ES16" s="333">
        <f>VLOOKUP(ES$8,Сводная!$B$13:$AM$159,37,FALSE)</f>
        <v>0</v>
      </c>
      <c r="ET16" s="333">
        <f>VLOOKUP(ET$8,Сводная!$B$13:$AM$159,37,FALSE)</f>
        <v>0.625</v>
      </c>
      <c r="EU16" s="333">
        <f>VLOOKUP(EU$8,Сводная!$B$13:$AM$159,37,FALSE)</f>
        <v>0</v>
      </c>
      <c r="EV16" s="333">
        <f>VLOOKUP(EV$8,Сводная!$B$13:$AM$159,37,FALSE)</f>
        <v>0</v>
      </c>
      <c r="EW16" s="333">
        <f>VLOOKUP(EW$8,Сводная!$B$13:$AM$159,37,FALSE)</f>
        <v>0</v>
      </c>
      <c r="EX16" s="333">
        <f>VLOOKUP(EX$8,Сводная!$B$13:$AM$159,37,FALSE)</f>
        <v>0</v>
      </c>
      <c r="EY16" s="333">
        <f>VLOOKUP(EY$8,Сводная!$B$13:$AM$159,37,FALSE)</f>
        <v>0</v>
      </c>
      <c r="EZ16" s="333">
        <f>VLOOKUP(EZ$8,Сводная!$B$13:$AM$159,37,FALSE)</f>
        <v>0</v>
      </c>
      <c r="FA16" s="164"/>
      <c r="FB16" s="165"/>
      <c r="FC16" s="165"/>
      <c r="FD16" s="166"/>
      <c r="FE16" s="787"/>
    </row>
    <row r="17" spans="2:164" s="169" customFormat="1" ht="31.5" customHeight="1" thickBot="1" x14ac:dyDescent="0.3">
      <c r="B17" s="922" t="s">
        <v>1298</v>
      </c>
      <c r="C17" s="170"/>
      <c r="D17" s="170"/>
      <c r="E17" s="171"/>
      <c r="F17" s="830"/>
      <c r="G17" s="825"/>
      <c r="H17" s="928">
        <f>COUNTIF(J17:EZ17,"&lt;0")</f>
        <v>0</v>
      </c>
      <c r="I17" s="925" t="s">
        <v>1424</v>
      </c>
      <c r="J17" s="334">
        <f>J9-SUM(J10:J16)</f>
        <v>287.25</v>
      </c>
      <c r="K17" s="335">
        <f t="shared" ref="K17:S17" si="4">K9-SUM(K10:K16)</f>
        <v>148.94900000000001</v>
      </c>
      <c r="L17" s="335">
        <f t="shared" si="4"/>
        <v>95</v>
      </c>
      <c r="M17" s="335">
        <f t="shared" si="4"/>
        <v>70.231339999999989</v>
      </c>
      <c r="N17" s="335">
        <f t="shared" si="4"/>
        <v>19.020229999999998</v>
      </c>
      <c r="O17" s="335">
        <f t="shared" si="4"/>
        <v>7.7982250000000057</v>
      </c>
      <c r="P17" s="335">
        <f t="shared" si="4"/>
        <v>80.850000000000009</v>
      </c>
      <c r="Q17" s="335">
        <f t="shared" si="4"/>
        <v>181.23500000000001</v>
      </c>
      <c r="R17" s="335">
        <f t="shared" si="4"/>
        <v>144.18199999999999</v>
      </c>
      <c r="S17" s="335">
        <f t="shared" si="4"/>
        <v>204.744</v>
      </c>
      <c r="T17" s="335">
        <f t="shared" ref="T17:V17" si="5">T9-SUM(T10:T16)</f>
        <v>0</v>
      </c>
      <c r="U17" s="335">
        <f t="shared" si="5"/>
        <v>0</v>
      </c>
      <c r="V17" s="335">
        <f t="shared" si="5"/>
        <v>542.70922999999993</v>
      </c>
      <c r="W17" s="336">
        <f t="shared" ref="W17:CH17" si="6">W9-SUM(W10:W16)</f>
        <v>313.50144499999999</v>
      </c>
      <c r="X17" s="336">
        <f t="shared" si="6"/>
        <v>294.74639000000002</v>
      </c>
      <c r="Y17" s="336">
        <f t="shared" si="6"/>
        <v>108.124</v>
      </c>
      <c r="Z17" s="336">
        <f t="shared" si="6"/>
        <v>418.3</v>
      </c>
      <c r="AA17" s="336">
        <f t="shared" si="6"/>
        <v>358.61</v>
      </c>
      <c r="AB17" s="336">
        <f t="shared" si="6"/>
        <v>0</v>
      </c>
      <c r="AC17" s="336">
        <f t="shared" si="6"/>
        <v>0</v>
      </c>
      <c r="AD17" s="337">
        <f t="shared" si="6"/>
        <v>503.96612000000005</v>
      </c>
      <c r="AE17" s="337">
        <f t="shared" si="6"/>
        <v>261.17723000000001</v>
      </c>
      <c r="AF17" s="337">
        <f t="shared" si="6"/>
        <v>97.313939999999988</v>
      </c>
      <c r="AG17" s="337">
        <f t="shared" si="6"/>
        <v>52.819599999999994</v>
      </c>
      <c r="AH17" s="337">
        <f t="shared" si="6"/>
        <v>50</v>
      </c>
      <c r="AI17" s="336">
        <f t="shared" si="6"/>
        <v>59.570000000000007</v>
      </c>
      <c r="AJ17" s="336">
        <f t="shared" si="6"/>
        <v>170.666</v>
      </c>
      <c r="AK17" s="336">
        <f t="shared" si="6"/>
        <v>8.1240000000000006</v>
      </c>
      <c r="AL17" s="336">
        <f t="shared" si="6"/>
        <v>23.249600000000001</v>
      </c>
      <c r="AM17" s="336">
        <f t="shared" si="6"/>
        <v>105.68680000000001</v>
      </c>
      <c r="AN17" s="336">
        <f t="shared" si="6"/>
        <v>108</v>
      </c>
      <c r="AO17" s="336">
        <f t="shared" si="6"/>
        <v>113.7346</v>
      </c>
      <c r="AP17" s="336">
        <f t="shared" si="6"/>
        <v>16.201734000000002</v>
      </c>
      <c r="AQ17" s="336">
        <f t="shared" si="6"/>
        <v>120.10086699999999</v>
      </c>
      <c r="AR17" s="336">
        <f t="shared" si="6"/>
        <v>142.18719999999999</v>
      </c>
      <c r="AS17" s="336">
        <f t="shared" si="6"/>
        <v>212.018</v>
      </c>
      <c r="AT17" s="336">
        <f t="shared" si="6"/>
        <v>28.434000000000001</v>
      </c>
      <c r="AU17" s="336">
        <f t="shared" si="6"/>
        <v>126.04559999999999</v>
      </c>
      <c r="AV17" s="336">
        <f t="shared" si="6"/>
        <v>134.392</v>
      </c>
      <c r="AW17" s="336">
        <f t="shared" si="6"/>
        <v>157.52799999999999</v>
      </c>
      <c r="AX17" s="336">
        <f t="shared" si="6"/>
        <v>86.085115000000002</v>
      </c>
      <c r="AY17" s="336">
        <f t="shared" si="6"/>
        <v>144.81271599999999</v>
      </c>
      <c r="AZ17" s="336">
        <f t="shared" si="6"/>
        <v>12.496</v>
      </c>
      <c r="BA17" s="336">
        <f t="shared" si="6"/>
        <v>63.955005</v>
      </c>
      <c r="BB17" s="336">
        <f t="shared" si="6"/>
        <v>130.66361500000002</v>
      </c>
      <c r="BC17" s="336">
        <f t="shared" si="6"/>
        <v>0</v>
      </c>
      <c r="BD17" s="336">
        <f t="shared" si="6"/>
        <v>0</v>
      </c>
      <c r="BE17" s="335">
        <f t="shared" si="6"/>
        <v>194.5</v>
      </c>
      <c r="BF17" s="335">
        <f t="shared" si="6"/>
        <v>57.496000000000002</v>
      </c>
      <c r="BG17" s="335">
        <f t="shared" si="6"/>
        <v>130</v>
      </c>
      <c r="BH17" s="335">
        <f t="shared" si="6"/>
        <v>49.544450000000005</v>
      </c>
      <c r="BI17" s="335">
        <f t="shared" si="6"/>
        <v>156.23666999999998</v>
      </c>
      <c r="BJ17" s="335">
        <f t="shared" si="6"/>
        <v>28.465</v>
      </c>
      <c r="BK17" s="335">
        <f t="shared" si="6"/>
        <v>132.49600000000001</v>
      </c>
      <c r="BL17" s="335">
        <f t="shared" si="6"/>
        <v>0</v>
      </c>
      <c r="BM17" s="335">
        <f t="shared" si="6"/>
        <v>0</v>
      </c>
      <c r="BN17" s="335">
        <f t="shared" si="6"/>
        <v>224.62</v>
      </c>
      <c r="BO17" s="335">
        <f t="shared" si="6"/>
        <v>163.49135000000001</v>
      </c>
      <c r="BP17" s="335">
        <f t="shared" si="6"/>
        <v>67.125780000000006</v>
      </c>
      <c r="BQ17" s="335">
        <f t="shared" si="6"/>
        <v>0</v>
      </c>
      <c r="BR17" s="335">
        <f t="shared" si="6"/>
        <v>0</v>
      </c>
      <c r="BS17" s="335">
        <f t="shared" si="6"/>
        <v>132.47725</v>
      </c>
      <c r="BT17" s="335">
        <f t="shared" si="6"/>
        <v>124.372</v>
      </c>
      <c r="BU17" s="335">
        <f t="shared" si="6"/>
        <v>321.38945000000001</v>
      </c>
      <c r="BV17" s="335">
        <f t="shared" si="6"/>
        <v>68.011560000000003</v>
      </c>
      <c r="BW17" s="335">
        <f t="shared" si="6"/>
        <v>197.81734</v>
      </c>
      <c r="BX17" s="335">
        <f t="shared" si="6"/>
        <v>258.74400000000003</v>
      </c>
      <c r="BY17" s="338">
        <f t="shared" si="6"/>
        <v>212.49600000000001</v>
      </c>
      <c r="BZ17" s="338">
        <f t="shared" si="6"/>
        <v>183.14500000000001</v>
      </c>
      <c r="CA17" s="338">
        <f t="shared" si="6"/>
        <v>100</v>
      </c>
      <c r="CB17" s="338">
        <f t="shared" si="6"/>
        <v>0</v>
      </c>
      <c r="CC17" s="339">
        <f t="shared" si="6"/>
        <v>78.372</v>
      </c>
      <c r="CD17" s="339">
        <f t="shared" si="6"/>
        <v>50.563000000000002</v>
      </c>
      <c r="CE17" s="339">
        <f t="shared" si="6"/>
        <v>72.248000000000005</v>
      </c>
      <c r="CF17" s="339">
        <f t="shared" si="6"/>
        <v>266.29156</v>
      </c>
      <c r="CG17" s="339">
        <f t="shared" si="6"/>
        <v>160.01156</v>
      </c>
      <c r="CH17" s="339">
        <f t="shared" si="6"/>
        <v>175.01445000000001</v>
      </c>
      <c r="CI17" s="339">
        <f t="shared" ref="CI17:ET17" si="7">CI9-SUM(CI10:CI16)</f>
        <v>212.124</v>
      </c>
      <c r="CJ17" s="339">
        <f t="shared" si="7"/>
        <v>57.472799999999999</v>
      </c>
      <c r="CK17" s="339">
        <f t="shared" si="7"/>
        <v>0</v>
      </c>
      <c r="CL17" s="339">
        <f t="shared" si="7"/>
        <v>142.434</v>
      </c>
      <c r="CM17" s="339">
        <f t="shared" si="7"/>
        <v>240</v>
      </c>
      <c r="CN17" s="339">
        <f t="shared" si="7"/>
        <v>212</v>
      </c>
      <c r="CO17" s="339">
        <f t="shared" si="7"/>
        <v>197.65799999999999</v>
      </c>
      <c r="CP17" s="339">
        <f t="shared" si="7"/>
        <v>105.01445000000001</v>
      </c>
      <c r="CQ17" s="339">
        <f t="shared" si="7"/>
        <v>130.01156</v>
      </c>
      <c r="CR17" s="339">
        <f t="shared" si="7"/>
        <v>221.55799999999999</v>
      </c>
      <c r="CS17" s="340">
        <f t="shared" si="7"/>
        <v>190.62</v>
      </c>
      <c r="CT17" s="340">
        <f t="shared" si="7"/>
        <v>134.49600000000001</v>
      </c>
      <c r="CU17" s="340">
        <f t="shared" si="7"/>
        <v>118.55500499999999</v>
      </c>
      <c r="CV17" s="340">
        <f t="shared" si="7"/>
        <v>184.39445000000001</v>
      </c>
      <c r="CW17" s="340">
        <f t="shared" si="7"/>
        <v>207.8</v>
      </c>
      <c r="CX17" s="340">
        <f t="shared" si="7"/>
        <v>82.513004999999993</v>
      </c>
      <c r="CY17" s="340">
        <f t="shared" si="7"/>
        <v>83.254450000000006</v>
      </c>
      <c r="CZ17" s="341">
        <f t="shared" si="7"/>
        <v>80.011560000000003</v>
      </c>
      <c r="DA17" s="341">
        <f t="shared" si="7"/>
        <v>117.55799999999999</v>
      </c>
      <c r="DB17" s="340">
        <f t="shared" si="7"/>
        <v>193.37</v>
      </c>
      <c r="DC17" s="340">
        <f t="shared" si="7"/>
        <v>136.49600000000001</v>
      </c>
      <c r="DD17" s="340">
        <f t="shared" si="7"/>
        <v>107.87300499999999</v>
      </c>
      <c r="DE17" s="340">
        <f t="shared" si="7"/>
        <v>95.014450000000011</v>
      </c>
      <c r="DF17" s="340">
        <f t="shared" si="7"/>
        <v>220.01156</v>
      </c>
      <c r="DG17" s="340">
        <f t="shared" si="7"/>
        <v>82.913004999999998</v>
      </c>
      <c r="DH17" s="340">
        <f t="shared" si="7"/>
        <v>95.014450000000011</v>
      </c>
      <c r="DI17" s="340">
        <f t="shared" si="7"/>
        <v>150.01156</v>
      </c>
      <c r="DJ17" s="340">
        <f t="shared" si="7"/>
        <v>93.157999999999987</v>
      </c>
      <c r="DK17" s="340">
        <f t="shared" si="7"/>
        <v>91</v>
      </c>
      <c r="DL17" s="340">
        <f t="shared" si="7"/>
        <v>185.51555999999999</v>
      </c>
      <c r="DM17" s="340">
        <f t="shared" si="7"/>
        <v>0</v>
      </c>
      <c r="DN17" s="608">
        <f t="shared" si="7"/>
        <v>2432.8533333333335</v>
      </c>
      <c r="DO17" s="342">
        <f t="shared" si="7"/>
        <v>567.85</v>
      </c>
      <c r="DP17" s="342">
        <f t="shared" si="7"/>
        <v>43.105279999999993</v>
      </c>
      <c r="DQ17" s="342">
        <f t="shared" si="7"/>
        <v>28.1012396</v>
      </c>
      <c r="DR17" s="342">
        <f t="shared" si="7"/>
        <v>21.453714000000002</v>
      </c>
      <c r="DS17" s="342">
        <f t="shared" si="7"/>
        <v>92.97838999999999</v>
      </c>
      <c r="DT17" s="343">
        <f t="shared" si="7"/>
        <v>94.458889999999997</v>
      </c>
      <c r="DU17" s="343">
        <f t="shared" si="7"/>
        <v>101.254668</v>
      </c>
      <c r="DV17" s="343">
        <f t="shared" si="7"/>
        <v>96.002312000000003</v>
      </c>
      <c r="DW17" s="343">
        <f t="shared" si="7"/>
        <v>100.40118</v>
      </c>
      <c r="DX17" s="343">
        <f t="shared" si="7"/>
        <v>0</v>
      </c>
      <c r="DY17" s="343">
        <f t="shared" si="7"/>
        <v>0</v>
      </c>
      <c r="DZ17" s="343">
        <f t="shared" si="7"/>
        <v>0</v>
      </c>
      <c r="EA17" s="855">
        <f t="shared" si="7"/>
        <v>98574.699899999992</v>
      </c>
      <c r="EB17" s="343">
        <f t="shared" si="7"/>
        <v>289.43619999999993</v>
      </c>
      <c r="EC17" s="343">
        <f t="shared" si="7"/>
        <v>444</v>
      </c>
      <c r="ED17" s="343">
        <f t="shared" si="7"/>
        <v>136.72900000000001</v>
      </c>
      <c r="EE17" s="343">
        <f t="shared" si="7"/>
        <v>19.503111999999998</v>
      </c>
      <c r="EF17" s="343">
        <f t="shared" si="7"/>
        <v>4.4906119999999978</v>
      </c>
      <c r="EG17" s="343">
        <f t="shared" si="7"/>
        <v>96.878889999999998</v>
      </c>
      <c r="EH17" s="343">
        <f t="shared" si="7"/>
        <v>124.63667</v>
      </c>
      <c r="EI17" s="343">
        <f t="shared" si="7"/>
        <v>110.90289</v>
      </c>
      <c r="EJ17" s="343">
        <f t="shared" si="7"/>
        <v>60.5976</v>
      </c>
      <c r="EK17" s="343">
        <f t="shared" si="7"/>
        <v>151.45455700000002</v>
      </c>
      <c r="EL17" s="343">
        <f t="shared" si="7"/>
        <v>4.0057800000000015</v>
      </c>
      <c r="EM17" s="343">
        <f t="shared" si="7"/>
        <v>320</v>
      </c>
      <c r="EN17" s="343">
        <f t="shared" si="7"/>
        <v>0</v>
      </c>
      <c r="EO17" s="343">
        <f t="shared" si="7"/>
        <v>148.53156000000001</v>
      </c>
      <c r="EP17" s="343">
        <f t="shared" si="7"/>
        <v>301.44</v>
      </c>
      <c r="EQ17" s="343">
        <f t="shared" si="7"/>
        <v>101.62</v>
      </c>
      <c r="ER17" s="343">
        <f t="shared" si="7"/>
        <v>183</v>
      </c>
      <c r="ES17" s="343">
        <f t="shared" si="7"/>
        <v>61.599999999999994</v>
      </c>
      <c r="ET17" s="343">
        <f t="shared" si="7"/>
        <v>213.83945</v>
      </c>
      <c r="EU17" s="343">
        <f t="shared" ref="EU17:EZ17" si="8">EU9-SUM(EU10:EU16)</f>
        <v>97</v>
      </c>
      <c r="EV17" s="343">
        <f t="shared" si="8"/>
        <v>40.005780000000001</v>
      </c>
      <c r="EW17" s="343">
        <f t="shared" si="8"/>
        <v>145</v>
      </c>
      <c r="EX17" s="343">
        <f t="shared" si="8"/>
        <v>0</v>
      </c>
      <c r="EY17" s="343">
        <f t="shared" si="8"/>
        <v>0</v>
      </c>
      <c r="EZ17" s="343">
        <f t="shared" si="8"/>
        <v>0</v>
      </c>
      <c r="FA17" s="595">
        <f t="shared" ref="FA17" si="9">SUM(J17:V17,BE17:BM17)*5+SUM(W17:BD17)+AS17*4+SUM(AK17:AR17)*2.5+SUM(W17:AJ17)*0.75</f>
        <v>21533.925348249999</v>
      </c>
      <c r="FB17" s="596">
        <f t="shared" ref="FB17" si="10">SUM(J17:EZ17)</f>
        <v>119185.09089993336</v>
      </c>
      <c r="FC17" s="596">
        <f t="shared" ref="FC17" si="11">SUM(CC17:CR17)</f>
        <v>2320.7733799999996</v>
      </c>
      <c r="FD17" s="597">
        <f t="shared" ref="FD17" si="12">SUM(BN17:BP17,BR17)+SUM(BQ17:BT17)*5</f>
        <v>1739.4833799999999</v>
      </c>
      <c r="FE17" s="788"/>
    </row>
    <row r="18" spans="2:164" ht="26.1" customHeight="1" outlineLevel="1" thickBot="1" x14ac:dyDescent="0.3">
      <c r="B18" s="1017" t="s">
        <v>110</v>
      </c>
      <c r="C18" s="1019">
        <f>Обложка!D12</f>
        <v>45127</v>
      </c>
      <c r="D18" s="1036" t="s">
        <v>111</v>
      </c>
      <c r="E18" s="1039" t="s">
        <v>114</v>
      </c>
      <c r="F18" s="831" t="s">
        <v>111</v>
      </c>
      <c r="G18" s="798" t="str">
        <f>VLOOKUP(H18,инфо!AD:AE,2,FALSE)</f>
        <v>Прочее</v>
      </c>
      <c r="H18" s="569" t="s">
        <v>1206</v>
      </c>
      <c r="I18" s="588" t="s">
        <v>936</v>
      </c>
      <c r="J18" s="355"/>
      <c r="K18" s="356"/>
      <c r="L18" s="356"/>
      <c r="M18" s="356"/>
      <c r="N18" s="356"/>
      <c r="O18" s="356"/>
      <c r="P18" s="356"/>
      <c r="Q18" s="356"/>
      <c r="R18" s="356"/>
      <c r="S18" s="356"/>
      <c r="T18" s="356"/>
      <c r="U18" s="356"/>
      <c r="V18" s="356"/>
      <c r="W18" s="357"/>
      <c r="X18" s="357"/>
      <c r="Y18" s="357"/>
      <c r="Z18" s="357"/>
      <c r="AA18" s="357"/>
      <c r="AB18" s="357"/>
      <c r="AC18" s="357"/>
      <c r="AD18" s="357"/>
      <c r="AE18" s="357"/>
      <c r="AF18" s="357"/>
      <c r="AG18" s="357"/>
      <c r="AH18" s="357"/>
      <c r="AI18" s="357"/>
      <c r="AJ18" s="357"/>
      <c r="AK18" s="357"/>
      <c r="AL18" s="357"/>
      <c r="AM18" s="357"/>
      <c r="AN18" s="357"/>
      <c r="AO18" s="357"/>
      <c r="AP18" s="357"/>
      <c r="AQ18" s="357"/>
      <c r="AR18" s="357"/>
      <c r="AS18" s="357"/>
      <c r="AT18" s="357"/>
      <c r="AU18" s="357"/>
      <c r="AV18" s="357"/>
      <c r="AW18" s="357"/>
      <c r="AX18" s="357"/>
      <c r="AY18" s="357"/>
      <c r="AZ18" s="357"/>
      <c r="BA18" s="357"/>
      <c r="BB18" s="357"/>
      <c r="BC18" s="357"/>
      <c r="BD18" s="357"/>
      <c r="BE18" s="358"/>
      <c r="BF18" s="358"/>
      <c r="BG18" s="358"/>
      <c r="BH18" s="358"/>
      <c r="BI18" s="358"/>
      <c r="BJ18" s="358"/>
      <c r="BK18" s="358"/>
      <c r="BL18" s="358"/>
      <c r="BM18" s="358"/>
      <c r="BN18" s="359"/>
      <c r="BO18" s="359"/>
      <c r="BP18" s="359"/>
      <c r="BQ18" s="359"/>
      <c r="BR18" s="359"/>
      <c r="BS18" s="359"/>
      <c r="BT18" s="359"/>
      <c r="BU18" s="359"/>
      <c r="BV18" s="356"/>
      <c r="BW18" s="356"/>
      <c r="BX18" s="356"/>
      <c r="BY18" s="356"/>
      <c r="BZ18" s="356"/>
      <c r="CA18" s="356"/>
      <c r="CB18" s="356"/>
      <c r="CC18" s="360"/>
      <c r="CD18" s="360"/>
      <c r="CE18" s="360"/>
      <c r="CF18" s="360">
        <v>80</v>
      </c>
      <c r="CG18" s="360"/>
      <c r="CH18" s="360"/>
      <c r="CI18" s="360"/>
      <c r="CJ18" s="360"/>
      <c r="CK18" s="360"/>
      <c r="CL18" s="360"/>
      <c r="CM18" s="360"/>
      <c r="CN18" s="360"/>
      <c r="CO18" s="360"/>
      <c r="CP18" s="360"/>
      <c r="CQ18" s="360"/>
      <c r="CR18" s="360"/>
      <c r="CS18" s="361"/>
      <c r="CT18" s="361"/>
      <c r="CU18" s="361"/>
      <c r="CV18" s="361"/>
      <c r="CW18" s="361"/>
      <c r="CX18" s="361"/>
      <c r="CY18" s="361"/>
      <c r="CZ18" s="361"/>
      <c r="DA18" s="361"/>
      <c r="DB18" s="361"/>
      <c r="DC18" s="361"/>
      <c r="DD18" s="361"/>
      <c r="DE18" s="361"/>
      <c r="DF18" s="361"/>
      <c r="DG18" s="361"/>
      <c r="DH18" s="361"/>
      <c r="DI18" s="361"/>
      <c r="DJ18" s="361"/>
      <c r="DK18" s="361"/>
      <c r="DL18" s="361"/>
      <c r="DM18" s="361"/>
      <c r="DN18" s="931"/>
      <c r="DO18" s="362"/>
      <c r="DP18" s="362"/>
      <c r="DQ18" s="363"/>
      <c r="DR18" s="363"/>
      <c r="DS18" s="358"/>
      <c r="DT18" s="358"/>
      <c r="DU18" s="358"/>
      <c r="DV18" s="358"/>
      <c r="DW18" s="358"/>
      <c r="DX18" s="358"/>
      <c r="DY18" s="358"/>
      <c r="DZ18" s="358"/>
      <c r="EA18" s="358"/>
      <c r="EB18" s="358"/>
      <c r="EC18" s="358"/>
      <c r="ED18" s="358"/>
      <c r="EE18" s="358"/>
      <c r="EF18" s="358"/>
      <c r="EG18" s="358"/>
      <c r="EH18" s="358"/>
      <c r="EI18" s="358"/>
      <c r="EJ18" s="358"/>
      <c r="EK18" s="358"/>
      <c r="EL18" s="358"/>
      <c r="EM18" s="358"/>
      <c r="EN18" s="358"/>
      <c r="EO18" s="358"/>
      <c r="EP18" s="358"/>
      <c r="EQ18" s="358"/>
      <c r="ER18" s="358"/>
      <c r="ES18" s="358"/>
      <c r="ET18" s="358"/>
      <c r="EU18" s="358"/>
      <c r="EV18" s="358"/>
      <c r="EW18" s="358"/>
      <c r="EX18" s="358"/>
      <c r="EY18" s="358"/>
      <c r="EZ18" s="358"/>
      <c r="FA18" s="364"/>
      <c r="FB18" s="365">
        <v>78</v>
      </c>
      <c r="FC18" s="366">
        <v>78</v>
      </c>
      <c r="FD18" s="367">
        <f>SUM(BE18:BG18,BI18,BL18:BM18)+SUM(BH18,BJ18,BK18)*5</f>
        <v>0</v>
      </c>
      <c r="FE18" s="789"/>
    </row>
    <row r="19" spans="2:164" ht="26.1" customHeight="1" outlineLevel="1" thickBot="1" x14ac:dyDescent="0.3">
      <c r="B19" s="1018"/>
      <c r="C19" s="1020"/>
      <c r="D19" s="1036"/>
      <c r="E19" s="1039"/>
      <c r="F19" s="832" t="s">
        <v>111</v>
      </c>
      <c r="G19" s="799" t="str">
        <f>VLOOKUP(H19,инфо!AD:AE,2,FALSE)</f>
        <v>Гарниры</v>
      </c>
      <c r="H19" s="570" t="s">
        <v>1198</v>
      </c>
      <c r="I19" s="600" t="s">
        <v>998</v>
      </c>
      <c r="J19" s="368"/>
      <c r="K19" s="369"/>
      <c r="L19" s="369"/>
      <c r="M19" s="369">
        <v>83</v>
      </c>
      <c r="N19" s="369"/>
      <c r="O19" s="369"/>
      <c r="P19" s="369"/>
      <c r="Q19" s="369"/>
      <c r="R19" s="369"/>
      <c r="S19" s="369"/>
      <c r="T19" s="369"/>
      <c r="U19" s="369"/>
      <c r="V19" s="369"/>
      <c r="W19" s="370"/>
      <c r="X19" s="370"/>
      <c r="Y19" s="370"/>
      <c r="Z19" s="370"/>
      <c r="AA19" s="370"/>
      <c r="AB19" s="370"/>
      <c r="AC19" s="370"/>
      <c r="AD19" s="370"/>
      <c r="AE19" s="370"/>
      <c r="AF19" s="370"/>
      <c r="AG19" s="370"/>
      <c r="AH19" s="370"/>
      <c r="AI19" s="370"/>
      <c r="AJ19" s="370"/>
      <c r="AK19" s="370"/>
      <c r="AL19" s="370"/>
      <c r="AM19" s="370"/>
      <c r="AN19" s="370"/>
      <c r="AO19" s="370"/>
      <c r="AP19" s="370"/>
      <c r="AQ19" s="370"/>
      <c r="AR19" s="370"/>
      <c r="AS19" s="370"/>
      <c r="AT19" s="370"/>
      <c r="AU19" s="370"/>
      <c r="AV19" s="370"/>
      <c r="AW19" s="370"/>
      <c r="AX19" s="370"/>
      <c r="AY19" s="370"/>
      <c r="AZ19" s="370"/>
      <c r="BA19" s="370"/>
      <c r="BB19" s="370"/>
      <c r="BC19" s="370"/>
      <c r="BD19" s="370"/>
      <c r="BE19" s="371">
        <v>150</v>
      </c>
      <c r="BF19" s="371"/>
      <c r="BG19" s="371"/>
      <c r="BH19" s="371"/>
      <c r="BI19" s="371"/>
      <c r="BJ19" s="371"/>
      <c r="BK19" s="371"/>
      <c r="BL19" s="371"/>
      <c r="BM19" s="371"/>
      <c r="BN19" s="372"/>
      <c r="BO19" s="372"/>
      <c r="BP19" s="372"/>
      <c r="BQ19" s="372"/>
      <c r="BR19" s="372"/>
      <c r="BS19" s="372"/>
      <c r="BT19" s="372"/>
      <c r="BU19" s="372"/>
      <c r="BV19" s="369"/>
      <c r="BW19" s="369"/>
      <c r="BX19" s="369"/>
      <c r="BY19" s="369"/>
      <c r="BZ19" s="369"/>
      <c r="CA19" s="369"/>
      <c r="CB19" s="369"/>
      <c r="CC19" s="373"/>
      <c r="CD19" s="373"/>
      <c r="CE19" s="373"/>
      <c r="CF19" s="373"/>
      <c r="CG19" s="373"/>
      <c r="CH19" s="373"/>
      <c r="CI19" s="373"/>
      <c r="CJ19" s="373"/>
      <c r="CK19" s="373"/>
      <c r="CL19" s="373"/>
      <c r="CM19" s="373"/>
      <c r="CN19" s="373"/>
      <c r="CO19" s="373"/>
      <c r="CP19" s="373"/>
      <c r="CQ19" s="373"/>
      <c r="CR19" s="373"/>
      <c r="CS19" s="374"/>
      <c r="CT19" s="374"/>
      <c r="CU19" s="374"/>
      <c r="CV19" s="374"/>
      <c r="CW19" s="374"/>
      <c r="CX19" s="374"/>
      <c r="CY19" s="374"/>
      <c r="CZ19" s="374"/>
      <c r="DA19" s="374"/>
      <c r="DB19" s="374"/>
      <c r="DC19" s="374"/>
      <c r="DD19" s="374"/>
      <c r="DE19" s="374"/>
      <c r="DF19" s="374"/>
      <c r="DG19" s="374"/>
      <c r="DH19" s="374"/>
      <c r="DI19" s="374"/>
      <c r="DJ19" s="374"/>
      <c r="DK19" s="374"/>
      <c r="DL19" s="374"/>
      <c r="DM19" s="374"/>
      <c r="DN19" s="932"/>
      <c r="DO19" s="375">
        <v>10</v>
      </c>
      <c r="DP19" s="375">
        <v>3</v>
      </c>
      <c r="DQ19" s="376"/>
      <c r="DR19" s="376"/>
      <c r="DS19" s="371"/>
      <c r="DT19" s="371"/>
      <c r="DU19" s="371"/>
      <c r="DV19" s="371"/>
      <c r="DW19" s="371"/>
      <c r="DX19" s="371"/>
      <c r="DY19" s="371"/>
      <c r="DZ19" s="371"/>
      <c r="EA19" s="371">
        <v>115.6</v>
      </c>
      <c r="EB19" s="371"/>
      <c r="EC19" s="371"/>
      <c r="ED19" s="371"/>
      <c r="EE19" s="371"/>
      <c r="EF19" s="371"/>
      <c r="EG19" s="371"/>
      <c r="EH19" s="371"/>
      <c r="EI19" s="371"/>
      <c r="EJ19" s="371"/>
      <c r="EK19" s="371"/>
      <c r="EL19" s="371"/>
      <c r="EM19" s="371"/>
      <c r="EN19" s="371"/>
      <c r="EO19" s="371"/>
      <c r="EP19" s="371"/>
      <c r="EQ19" s="371"/>
      <c r="ER19" s="371"/>
      <c r="ES19" s="371"/>
      <c r="ET19" s="371"/>
      <c r="EU19" s="371"/>
      <c r="EV19" s="371"/>
      <c r="EW19" s="371"/>
      <c r="EX19" s="371"/>
      <c r="EY19" s="371"/>
      <c r="EZ19" s="371"/>
      <c r="FA19" s="377">
        <v>415</v>
      </c>
      <c r="FB19" s="378">
        <v>332</v>
      </c>
      <c r="FC19" s="378"/>
      <c r="FD19" s="379">
        <f t="shared" ref="FD19:FD27" si="13">SUM(BE19:BG19,BI19,BL19:BM19)+SUM(BH19,BJ19,BK19)*5</f>
        <v>150</v>
      </c>
      <c r="FE19" s="790"/>
    </row>
    <row r="20" spans="2:164" ht="26.1" customHeight="1" outlineLevel="1" thickBot="1" x14ac:dyDescent="0.3">
      <c r="B20" s="1018"/>
      <c r="C20" s="1020"/>
      <c r="D20" s="1036"/>
      <c r="E20" s="1040"/>
      <c r="F20" s="833" t="s">
        <v>111</v>
      </c>
      <c r="G20" s="800" t="str">
        <f>VLOOKUP(H20,инфо!AD:AE,2,FALSE)</f>
        <v>Прочее</v>
      </c>
      <c r="H20" s="571" t="s">
        <v>1197</v>
      </c>
      <c r="I20" s="607" t="s">
        <v>160</v>
      </c>
      <c r="J20" s="380"/>
      <c r="K20" s="381"/>
      <c r="L20" s="381"/>
      <c r="M20" s="381"/>
      <c r="N20" s="381"/>
      <c r="O20" s="381"/>
      <c r="P20" s="381"/>
      <c r="Q20" s="381"/>
      <c r="R20" s="381"/>
      <c r="S20" s="381"/>
      <c r="T20" s="381"/>
      <c r="U20" s="381"/>
      <c r="V20" s="381"/>
      <c r="W20" s="382"/>
      <c r="X20" s="382"/>
      <c r="Y20" s="382"/>
      <c r="Z20" s="382"/>
      <c r="AA20" s="382"/>
      <c r="AB20" s="382"/>
      <c r="AC20" s="382"/>
      <c r="AD20" s="382"/>
      <c r="AE20" s="382"/>
      <c r="AF20" s="382"/>
      <c r="AG20" s="382"/>
      <c r="AH20" s="382"/>
      <c r="AI20" s="382"/>
      <c r="AJ20" s="382"/>
      <c r="AK20" s="382"/>
      <c r="AL20" s="382"/>
      <c r="AM20" s="382"/>
      <c r="AN20" s="382"/>
      <c r="AO20" s="382"/>
      <c r="AP20" s="382"/>
      <c r="AQ20" s="382"/>
      <c r="AR20" s="382"/>
      <c r="AS20" s="382">
        <v>20</v>
      </c>
      <c r="AT20" s="382"/>
      <c r="AU20" s="382"/>
      <c r="AV20" s="382"/>
      <c r="AW20" s="382"/>
      <c r="AX20" s="382"/>
      <c r="AY20" s="382"/>
      <c r="AZ20" s="382"/>
      <c r="BA20" s="382"/>
      <c r="BB20" s="382"/>
      <c r="BC20" s="382"/>
      <c r="BD20" s="382"/>
      <c r="BE20" s="383"/>
      <c r="BF20" s="383"/>
      <c r="BG20" s="383"/>
      <c r="BH20" s="383"/>
      <c r="BI20" s="383"/>
      <c r="BJ20" s="383"/>
      <c r="BK20" s="383"/>
      <c r="BL20" s="383"/>
      <c r="BM20" s="383"/>
      <c r="BN20" s="384"/>
      <c r="BO20" s="384"/>
      <c r="BP20" s="384"/>
      <c r="BQ20" s="384"/>
      <c r="BR20" s="384"/>
      <c r="BS20" s="384"/>
      <c r="BT20" s="384"/>
      <c r="BU20" s="384"/>
      <c r="BV20" s="381"/>
      <c r="BW20" s="381"/>
      <c r="BX20" s="381"/>
      <c r="BY20" s="381"/>
      <c r="BZ20" s="381"/>
      <c r="CA20" s="381"/>
      <c r="CB20" s="381"/>
      <c r="CC20" s="385"/>
      <c r="CD20" s="385"/>
      <c r="CE20" s="385"/>
      <c r="CF20" s="385"/>
      <c r="CG20" s="385"/>
      <c r="CH20" s="385"/>
      <c r="CI20" s="385"/>
      <c r="CJ20" s="385"/>
      <c r="CK20" s="385"/>
      <c r="CL20" s="385"/>
      <c r="CM20" s="385"/>
      <c r="CN20" s="385"/>
      <c r="CO20" s="385"/>
      <c r="CP20" s="385"/>
      <c r="CQ20" s="385"/>
      <c r="CR20" s="385"/>
      <c r="CS20" s="386"/>
      <c r="CT20" s="386"/>
      <c r="CU20" s="386"/>
      <c r="CV20" s="386"/>
      <c r="CW20" s="386"/>
      <c r="CX20" s="386"/>
      <c r="CY20" s="386"/>
      <c r="CZ20" s="386"/>
      <c r="DA20" s="386"/>
      <c r="DB20" s="386"/>
      <c r="DC20" s="386"/>
      <c r="DD20" s="386"/>
      <c r="DE20" s="386"/>
      <c r="DF20" s="386"/>
      <c r="DG20" s="386"/>
      <c r="DH20" s="386"/>
      <c r="DI20" s="386"/>
      <c r="DJ20" s="386"/>
      <c r="DK20" s="386"/>
      <c r="DL20" s="386"/>
      <c r="DM20" s="386"/>
      <c r="DN20" s="933"/>
      <c r="DO20" s="387"/>
      <c r="DP20" s="387"/>
      <c r="DQ20" s="388"/>
      <c r="DR20" s="388"/>
      <c r="DS20" s="383"/>
      <c r="DT20" s="383"/>
      <c r="DU20" s="383"/>
      <c r="DV20" s="383"/>
      <c r="DW20" s="383"/>
      <c r="DX20" s="383"/>
      <c r="DY20" s="383"/>
      <c r="DZ20" s="383"/>
      <c r="EA20" s="383"/>
      <c r="EB20" s="383"/>
      <c r="EC20" s="383"/>
      <c r="ED20" s="383"/>
      <c r="EE20" s="383"/>
      <c r="EF20" s="383"/>
      <c r="EG20" s="383"/>
      <c r="EH20" s="383"/>
      <c r="EI20" s="383"/>
      <c r="EJ20" s="383"/>
      <c r="EK20" s="383"/>
      <c r="EL20" s="383"/>
      <c r="EM20" s="383"/>
      <c r="EN20" s="383"/>
      <c r="EO20" s="383"/>
      <c r="EP20" s="383"/>
      <c r="EQ20" s="383"/>
      <c r="ER20" s="383"/>
      <c r="ES20" s="383"/>
      <c r="ET20" s="383"/>
      <c r="EU20" s="383"/>
      <c r="EV20" s="383"/>
      <c r="EW20" s="383"/>
      <c r="EX20" s="383"/>
      <c r="EY20" s="383"/>
      <c r="EZ20" s="383"/>
      <c r="FA20" s="389"/>
      <c r="FB20" s="390">
        <v>20</v>
      </c>
      <c r="FC20" s="390"/>
      <c r="FD20" s="391">
        <f t="shared" si="13"/>
        <v>0</v>
      </c>
      <c r="FE20" s="790"/>
    </row>
    <row r="21" spans="2:164" ht="26.1" customHeight="1" outlineLevel="1" thickBot="1" x14ac:dyDescent="0.3">
      <c r="B21" s="1018"/>
      <c r="C21" s="1020"/>
      <c r="D21" s="1036"/>
      <c r="E21" s="1039" t="s">
        <v>115</v>
      </c>
      <c r="F21" s="831" t="s">
        <v>111</v>
      </c>
      <c r="G21" s="798" t="str">
        <f>VLOOKUP(H21,инфо!AD:AE,2,FALSE)</f>
        <v>Прочее</v>
      </c>
      <c r="H21" s="569" t="s">
        <v>1197</v>
      </c>
      <c r="I21" s="609" t="s">
        <v>64</v>
      </c>
      <c r="J21" s="355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7"/>
      <c r="X21" s="357"/>
      <c r="Y21" s="357"/>
      <c r="Z21" s="357"/>
      <c r="AA21" s="357"/>
      <c r="AB21" s="357"/>
      <c r="AC21" s="357"/>
      <c r="AD21" s="357"/>
      <c r="AE21" s="357"/>
      <c r="AF21" s="357"/>
      <c r="AG21" s="357"/>
      <c r="AH21" s="357"/>
      <c r="AI21" s="357"/>
      <c r="AJ21" s="357"/>
      <c r="AK21" s="357"/>
      <c r="AL21" s="357"/>
      <c r="AM21" s="357"/>
      <c r="AN21" s="357"/>
      <c r="AO21" s="357"/>
      <c r="AP21" s="357"/>
      <c r="AQ21" s="357"/>
      <c r="AR21" s="357"/>
      <c r="AS21" s="357"/>
      <c r="AT21" s="357"/>
      <c r="AU21" s="357"/>
      <c r="AV21" s="357"/>
      <c r="AW21" s="357"/>
      <c r="AX21" s="357"/>
      <c r="AY21" s="357"/>
      <c r="AZ21" s="357"/>
      <c r="BA21" s="357"/>
      <c r="BB21" s="357"/>
      <c r="BC21" s="357"/>
      <c r="BD21" s="357"/>
      <c r="BE21" s="358"/>
      <c r="BF21" s="358"/>
      <c r="BG21" s="358"/>
      <c r="BH21" s="358"/>
      <c r="BI21" s="358"/>
      <c r="BJ21" s="358"/>
      <c r="BK21" s="358"/>
      <c r="BL21" s="358"/>
      <c r="BM21" s="358"/>
      <c r="BN21" s="359"/>
      <c r="BO21" s="359"/>
      <c r="BP21" s="359"/>
      <c r="BQ21" s="359"/>
      <c r="BR21" s="359"/>
      <c r="BS21" s="359"/>
      <c r="BT21" s="359"/>
      <c r="BU21" s="359"/>
      <c r="BV21" s="356"/>
      <c r="BW21" s="356"/>
      <c r="BX21" s="356"/>
      <c r="BY21" s="356"/>
      <c r="BZ21" s="356"/>
      <c r="CA21" s="356"/>
      <c r="CB21" s="356"/>
      <c r="CC21" s="360"/>
      <c r="CD21" s="360">
        <v>25</v>
      </c>
      <c r="CE21" s="360"/>
      <c r="CF21" s="360"/>
      <c r="CG21" s="360"/>
      <c r="CH21" s="360"/>
      <c r="CI21" s="360"/>
      <c r="CJ21" s="360"/>
      <c r="CK21" s="360"/>
      <c r="CL21" s="360"/>
      <c r="CM21" s="360"/>
      <c r="CN21" s="360"/>
      <c r="CO21" s="360"/>
      <c r="CP21" s="360"/>
      <c r="CQ21" s="360"/>
      <c r="CR21" s="360"/>
      <c r="CS21" s="361"/>
      <c r="CT21" s="361"/>
      <c r="CU21" s="361"/>
      <c r="CV21" s="361"/>
      <c r="CW21" s="361"/>
      <c r="CX21" s="361"/>
      <c r="CY21" s="361"/>
      <c r="CZ21" s="361"/>
      <c r="DA21" s="361"/>
      <c r="DB21" s="361"/>
      <c r="DC21" s="361"/>
      <c r="DD21" s="361"/>
      <c r="DE21" s="361"/>
      <c r="DF21" s="361"/>
      <c r="DG21" s="361"/>
      <c r="DH21" s="361"/>
      <c r="DI21" s="361"/>
      <c r="DJ21" s="361"/>
      <c r="DK21" s="361"/>
      <c r="DL21" s="361"/>
      <c r="DM21" s="361"/>
      <c r="DN21" s="931"/>
      <c r="DO21" s="362"/>
      <c r="DP21" s="362"/>
      <c r="DQ21" s="363"/>
      <c r="DR21" s="363"/>
      <c r="DS21" s="358"/>
      <c r="DT21" s="358"/>
      <c r="DU21" s="358"/>
      <c r="DV21" s="358"/>
      <c r="DW21" s="358"/>
      <c r="DX21" s="358"/>
      <c r="DY21" s="358"/>
      <c r="DZ21" s="358"/>
      <c r="EA21" s="358"/>
      <c r="EB21" s="358"/>
      <c r="EC21" s="358"/>
      <c r="ED21" s="358"/>
      <c r="EE21" s="358"/>
      <c r="EF21" s="358"/>
      <c r="EG21" s="358"/>
      <c r="EH21" s="358"/>
      <c r="EI21" s="358"/>
      <c r="EJ21" s="358"/>
      <c r="EK21" s="358"/>
      <c r="EL21" s="358"/>
      <c r="EM21" s="358"/>
      <c r="EN21" s="358"/>
      <c r="EO21" s="358"/>
      <c r="EP21" s="358"/>
      <c r="EQ21" s="358"/>
      <c r="ER21" s="358"/>
      <c r="ES21" s="358"/>
      <c r="ET21" s="358"/>
      <c r="EU21" s="358"/>
      <c r="EV21" s="358"/>
      <c r="EW21" s="358"/>
      <c r="EX21" s="358"/>
      <c r="EY21" s="358"/>
      <c r="EZ21" s="358"/>
      <c r="FA21" s="364"/>
      <c r="FB21" s="365">
        <v>25</v>
      </c>
      <c r="FC21" s="365"/>
      <c r="FD21" s="367">
        <f t="shared" si="13"/>
        <v>0</v>
      </c>
      <c r="FE21" s="790"/>
    </row>
    <row r="22" spans="2:164" ht="26.1" customHeight="1" outlineLevel="1" thickBot="1" x14ac:dyDescent="0.3">
      <c r="B22" s="1018"/>
      <c r="C22" s="1020"/>
      <c r="D22" s="1036"/>
      <c r="E22" s="1039"/>
      <c r="F22" s="832" t="s">
        <v>111</v>
      </c>
      <c r="G22" s="799" t="str">
        <f>VLOOKUP(H22,инфо!AD:AE,2,FALSE)</f>
        <v>Холодные закуски</v>
      </c>
      <c r="H22" s="572" t="s">
        <v>1200</v>
      </c>
      <c r="I22" s="589" t="s">
        <v>1146</v>
      </c>
      <c r="J22" s="368"/>
      <c r="K22" s="369"/>
      <c r="L22" s="369"/>
      <c r="M22" s="369"/>
      <c r="N22" s="369"/>
      <c r="O22" s="369"/>
      <c r="P22" s="369"/>
      <c r="Q22" s="369"/>
      <c r="R22" s="369"/>
      <c r="S22" s="369"/>
      <c r="T22" s="369"/>
      <c r="U22" s="369"/>
      <c r="V22" s="369"/>
      <c r="W22" s="370"/>
      <c r="X22" s="370"/>
      <c r="Y22" s="370"/>
      <c r="Z22" s="370"/>
      <c r="AA22" s="370"/>
      <c r="AB22" s="370"/>
      <c r="AC22" s="370"/>
      <c r="AD22" s="370"/>
      <c r="AE22" s="370"/>
      <c r="AF22" s="370"/>
      <c r="AG22" s="370"/>
      <c r="AH22" s="370"/>
      <c r="AI22" s="370"/>
      <c r="AJ22" s="370"/>
      <c r="AK22" s="370"/>
      <c r="AL22" s="370"/>
      <c r="AM22" s="370"/>
      <c r="AN22" s="370"/>
      <c r="AO22" s="370"/>
      <c r="AP22" s="370"/>
      <c r="AQ22" s="370"/>
      <c r="AR22" s="370"/>
      <c r="AS22" s="370"/>
      <c r="AT22" s="370"/>
      <c r="AU22" s="370"/>
      <c r="AV22" s="370"/>
      <c r="AW22" s="370"/>
      <c r="AX22" s="370"/>
      <c r="AY22" s="370"/>
      <c r="AZ22" s="370"/>
      <c r="BA22" s="370"/>
      <c r="BB22" s="370"/>
      <c r="BC22" s="370"/>
      <c r="BD22" s="370"/>
      <c r="BE22" s="371"/>
      <c r="BF22" s="371"/>
      <c r="BG22" s="371"/>
      <c r="BH22" s="371"/>
      <c r="BI22" s="371"/>
      <c r="BJ22" s="371"/>
      <c r="BK22" s="371"/>
      <c r="BL22" s="371"/>
      <c r="BM22" s="371"/>
      <c r="BN22" s="372"/>
      <c r="BO22" s="372"/>
      <c r="BP22" s="372"/>
      <c r="BQ22" s="372"/>
      <c r="BR22" s="372"/>
      <c r="BS22" s="372"/>
      <c r="BT22" s="372"/>
      <c r="BU22" s="372"/>
      <c r="BV22" s="369"/>
      <c r="BW22" s="369"/>
      <c r="BX22" s="369"/>
      <c r="BY22" s="369"/>
      <c r="BZ22" s="369"/>
      <c r="CA22" s="369"/>
      <c r="CB22" s="369"/>
      <c r="CC22" s="373"/>
      <c r="CD22" s="373"/>
      <c r="CE22" s="373"/>
      <c r="CF22" s="373"/>
      <c r="CG22" s="373"/>
      <c r="CH22" s="373"/>
      <c r="CI22" s="373"/>
      <c r="CJ22" s="373"/>
      <c r="CK22" s="373"/>
      <c r="CL22" s="373"/>
      <c r="CM22" s="373"/>
      <c r="CN22" s="373"/>
      <c r="CO22" s="373"/>
      <c r="CP22" s="373"/>
      <c r="CQ22" s="373"/>
      <c r="CR22" s="373"/>
      <c r="CS22" s="374"/>
      <c r="CT22" s="374"/>
      <c r="CU22" s="374"/>
      <c r="CV22" s="374"/>
      <c r="CW22" s="374"/>
      <c r="CX22" s="374"/>
      <c r="CY22" s="374"/>
      <c r="CZ22" s="374"/>
      <c r="DA22" s="374"/>
      <c r="DB22" s="374"/>
      <c r="DC22" s="374"/>
      <c r="DD22" s="374"/>
      <c r="DE22" s="374"/>
      <c r="DF22" s="374"/>
      <c r="DG22" s="374"/>
      <c r="DH22" s="374"/>
      <c r="DI22" s="374"/>
      <c r="DJ22" s="374"/>
      <c r="DK22" s="374"/>
      <c r="DL22" s="374"/>
      <c r="DM22" s="374"/>
      <c r="DN22" s="932">
        <v>1</v>
      </c>
      <c r="DO22" s="375"/>
      <c r="DP22" s="375">
        <v>2</v>
      </c>
      <c r="DQ22" s="376"/>
      <c r="DR22" s="376"/>
      <c r="DS22" s="371"/>
      <c r="DT22" s="371"/>
      <c r="DU22" s="371"/>
      <c r="DV22" s="371"/>
      <c r="DW22" s="371"/>
      <c r="DX22" s="371"/>
      <c r="DY22" s="371"/>
      <c r="DZ22" s="371"/>
      <c r="EA22" s="371"/>
      <c r="EB22" s="371"/>
      <c r="EC22" s="371"/>
      <c r="ED22" s="371"/>
      <c r="EE22" s="371"/>
      <c r="EF22" s="371"/>
      <c r="EG22" s="371"/>
      <c r="EH22" s="371"/>
      <c r="EI22" s="371"/>
      <c r="EJ22" s="371"/>
      <c r="EK22" s="371"/>
      <c r="EL22" s="371"/>
      <c r="EM22" s="371"/>
      <c r="EN22" s="371"/>
      <c r="EO22" s="371"/>
      <c r="EP22" s="371"/>
      <c r="EQ22" s="371"/>
      <c r="ER22" s="371"/>
      <c r="ES22" s="371"/>
      <c r="ET22" s="371"/>
      <c r="EU22" s="371"/>
      <c r="EV22" s="371"/>
      <c r="EW22" s="371"/>
      <c r="EX22" s="371"/>
      <c r="EY22" s="371"/>
      <c r="EZ22" s="371"/>
      <c r="FA22" s="377"/>
      <c r="FB22" s="378">
        <v>40</v>
      </c>
      <c r="FC22" s="378"/>
      <c r="FD22" s="379">
        <f t="shared" si="13"/>
        <v>0</v>
      </c>
      <c r="FE22" s="790"/>
    </row>
    <row r="23" spans="2:164" ht="26.1" customHeight="1" outlineLevel="1" thickBot="1" x14ac:dyDescent="0.3">
      <c r="B23" s="1018"/>
      <c r="C23" s="1020"/>
      <c r="D23" s="1036"/>
      <c r="E23" s="1039"/>
      <c r="F23" s="834" t="s">
        <v>111</v>
      </c>
      <c r="G23" s="801" t="str">
        <f>VLOOKUP(H23,инфо!AD:AE,2,FALSE)</f>
        <v>Прочее</v>
      </c>
      <c r="H23" s="573" t="s">
        <v>1197</v>
      </c>
      <c r="I23" s="606" t="s">
        <v>60</v>
      </c>
      <c r="J23" s="392"/>
      <c r="K23" s="393"/>
      <c r="L23" s="393"/>
      <c r="M23" s="393"/>
      <c r="N23" s="393"/>
      <c r="O23" s="393"/>
      <c r="P23" s="393"/>
      <c r="Q23" s="393"/>
      <c r="R23" s="393"/>
      <c r="S23" s="393"/>
      <c r="T23" s="393"/>
      <c r="U23" s="393"/>
      <c r="V23" s="393"/>
      <c r="W23" s="394"/>
      <c r="X23" s="394"/>
      <c r="Y23" s="394"/>
      <c r="Z23" s="394"/>
      <c r="AA23" s="394"/>
      <c r="AB23" s="394"/>
      <c r="AC23" s="394"/>
      <c r="AD23" s="394"/>
      <c r="AE23" s="394"/>
      <c r="AF23" s="394"/>
      <c r="AG23" s="394"/>
      <c r="AH23" s="394"/>
      <c r="AI23" s="394"/>
      <c r="AJ23" s="394"/>
      <c r="AK23" s="394"/>
      <c r="AL23" s="394"/>
      <c r="AM23" s="394"/>
      <c r="AN23" s="394"/>
      <c r="AO23" s="394"/>
      <c r="AP23" s="394"/>
      <c r="AQ23" s="394"/>
      <c r="AR23" s="394"/>
      <c r="AS23" s="394"/>
      <c r="AT23" s="394"/>
      <c r="AU23" s="394"/>
      <c r="AV23" s="394"/>
      <c r="AW23" s="394"/>
      <c r="AX23" s="394"/>
      <c r="AY23" s="394"/>
      <c r="AZ23" s="394"/>
      <c r="BA23" s="394"/>
      <c r="BB23" s="394"/>
      <c r="BC23" s="394"/>
      <c r="BD23" s="394"/>
      <c r="BE23" s="395"/>
      <c r="BF23" s="395"/>
      <c r="BG23" s="395"/>
      <c r="BH23" s="395"/>
      <c r="BI23" s="395"/>
      <c r="BJ23" s="395"/>
      <c r="BK23" s="395"/>
      <c r="BL23" s="395"/>
      <c r="BM23" s="395"/>
      <c r="BN23" s="396">
        <v>15</v>
      </c>
      <c r="BO23" s="396"/>
      <c r="BP23" s="396"/>
      <c r="BQ23" s="396"/>
      <c r="BR23" s="396"/>
      <c r="BS23" s="396"/>
      <c r="BT23" s="396"/>
      <c r="BU23" s="396"/>
      <c r="BV23" s="393"/>
      <c r="BW23" s="393"/>
      <c r="BX23" s="393"/>
      <c r="BY23" s="393"/>
      <c r="BZ23" s="393"/>
      <c r="CA23" s="393"/>
      <c r="CB23" s="393"/>
      <c r="CC23" s="397"/>
      <c r="CD23" s="397"/>
      <c r="CE23" s="397"/>
      <c r="CF23" s="397"/>
      <c r="CG23" s="397"/>
      <c r="CH23" s="397"/>
      <c r="CI23" s="397"/>
      <c r="CJ23" s="397"/>
      <c r="CK23" s="397"/>
      <c r="CL23" s="397"/>
      <c r="CM23" s="397"/>
      <c r="CN23" s="397"/>
      <c r="CO23" s="397"/>
      <c r="CP23" s="397"/>
      <c r="CQ23" s="397"/>
      <c r="CR23" s="397"/>
      <c r="CS23" s="398"/>
      <c r="CT23" s="398"/>
      <c r="CU23" s="398"/>
      <c r="CV23" s="398"/>
      <c r="CW23" s="399"/>
      <c r="CX23" s="398"/>
      <c r="CY23" s="398"/>
      <c r="CZ23" s="398"/>
      <c r="DA23" s="398"/>
      <c r="DB23" s="398"/>
      <c r="DC23" s="398"/>
      <c r="DD23" s="398"/>
      <c r="DE23" s="398"/>
      <c r="DF23" s="398"/>
      <c r="DG23" s="398"/>
      <c r="DH23" s="398"/>
      <c r="DI23" s="398"/>
      <c r="DJ23" s="398"/>
      <c r="DK23" s="398"/>
      <c r="DL23" s="398"/>
      <c r="DM23" s="398"/>
      <c r="DN23" s="934"/>
      <c r="DO23" s="400"/>
      <c r="DP23" s="400"/>
      <c r="DQ23" s="401"/>
      <c r="DR23" s="401"/>
      <c r="DS23" s="395"/>
      <c r="DT23" s="395"/>
      <c r="DU23" s="395"/>
      <c r="DV23" s="395"/>
      <c r="DW23" s="395"/>
      <c r="DX23" s="395"/>
      <c r="DY23" s="395"/>
      <c r="DZ23" s="395"/>
      <c r="EA23" s="395"/>
      <c r="EB23" s="395"/>
      <c r="EC23" s="395"/>
      <c r="ED23" s="395"/>
      <c r="EE23" s="395"/>
      <c r="EF23" s="395"/>
      <c r="EG23" s="395"/>
      <c r="EH23" s="395"/>
      <c r="EI23" s="395"/>
      <c r="EJ23" s="395"/>
      <c r="EK23" s="395"/>
      <c r="EL23" s="395"/>
      <c r="EM23" s="395"/>
      <c r="EN23" s="395"/>
      <c r="EO23" s="395"/>
      <c r="EP23" s="395"/>
      <c r="EQ23" s="395"/>
      <c r="ER23" s="395"/>
      <c r="ES23" s="395"/>
      <c r="ET23" s="395"/>
      <c r="EU23" s="395"/>
      <c r="EV23" s="395"/>
      <c r="EW23" s="395"/>
      <c r="EX23" s="395"/>
      <c r="EY23" s="395"/>
      <c r="EZ23" s="395"/>
      <c r="FA23" s="402"/>
      <c r="FB23" s="403">
        <v>15</v>
      </c>
      <c r="FC23" s="403"/>
      <c r="FD23" s="404">
        <f t="shared" si="13"/>
        <v>0</v>
      </c>
      <c r="FE23" s="790"/>
    </row>
    <row r="24" spans="2:164" ht="26.1" customHeight="1" outlineLevel="1" thickBot="1" x14ac:dyDescent="0.3">
      <c r="B24" s="1018"/>
      <c r="C24" s="1020"/>
      <c r="D24" s="1036"/>
      <c r="E24" s="1041" t="s">
        <v>116</v>
      </c>
      <c r="F24" s="835" t="s">
        <v>111</v>
      </c>
      <c r="G24" s="802" t="str">
        <f>VLOOKUP(H24,инфо!AD:AE,2,FALSE)</f>
        <v>Напитки</v>
      </c>
      <c r="H24" s="574" t="s">
        <v>1195</v>
      </c>
      <c r="I24" s="588" t="s">
        <v>1158</v>
      </c>
      <c r="J24" s="405"/>
      <c r="K24" s="406"/>
      <c r="L24" s="406"/>
      <c r="M24" s="406"/>
      <c r="N24" s="406"/>
      <c r="O24" s="406"/>
      <c r="P24" s="406"/>
      <c r="Q24" s="406"/>
      <c r="R24" s="406"/>
      <c r="S24" s="406"/>
      <c r="T24" s="406"/>
      <c r="U24" s="406"/>
      <c r="V24" s="406"/>
      <c r="W24" s="407"/>
      <c r="X24" s="407"/>
      <c r="Y24" s="407"/>
      <c r="Z24" s="407"/>
      <c r="AA24" s="407"/>
      <c r="AB24" s="407"/>
      <c r="AC24" s="407"/>
      <c r="AD24" s="407"/>
      <c r="AE24" s="407"/>
      <c r="AF24" s="407"/>
      <c r="AG24" s="407"/>
      <c r="AH24" s="407"/>
      <c r="AI24" s="407"/>
      <c r="AJ24" s="407"/>
      <c r="AK24" s="407"/>
      <c r="AL24" s="407"/>
      <c r="AM24" s="407"/>
      <c r="AN24" s="407"/>
      <c r="AO24" s="407"/>
      <c r="AP24" s="407"/>
      <c r="AQ24" s="407"/>
      <c r="AR24" s="407"/>
      <c r="AS24" s="407"/>
      <c r="AT24" s="407"/>
      <c r="AU24" s="407"/>
      <c r="AV24" s="407"/>
      <c r="AW24" s="407"/>
      <c r="AX24" s="407"/>
      <c r="AY24" s="407"/>
      <c r="AZ24" s="407"/>
      <c r="BA24" s="407"/>
      <c r="BB24" s="407"/>
      <c r="BC24" s="407"/>
      <c r="BD24" s="407"/>
      <c r="BE24" s="408">
        <v>50</v>
      </c>
      <c r="BF24" s="408"/>
      <c r="BG24" s="408"/>
      <c r="BH24" s="408"/>
      <c r="BI24" s="408"/>
      <c r="BJ24" s="408"/>
      <c r="BK24" s="408"/>
      <c r="BL24" s="408"/>
      <c r="BM24" s="408"/>
      <c r="BN24" s="409"/>
      <c r="BO24" s="409"/>
      <c r="BP24" s="409"/>
      <c r="BQ24" s="409"/>
      <c r="BR24" s="409"/>
      <c r="BS24" s="409"/>
      <c r="BT24" s="409"/>
      <c r="BU24" s="409"/>
      <c r="BV24" s="406"/>
      <c r="BW24" s="406"/>
      <c r="BX24" s="406"/>
      <c r="BY24" s="406"/>
      <c r="BZ24" s="406"/>
      <c r="CA24" s="406"/>
      <c r="CB24" s="406"/>
      <c r="CC24" s="410"/>
      <c r="CD24" s="410"/>
      <c r="CE24" s="410"/>
      <c r="CF24" s="410"/>
      <c r="CG24" s="410"/>
      <c r="CH24" s="410"/>
      <c r="CI24" s="410"/>
      <c r="CJ24" s="410"/>
      <c r="CK24" s="410"/>
      <c r="CL24" s="410"/>
      <c r="CM24" s="410"/>
      <c r="CN24" s="410"/>
      <c r="CO24" s="410"/>
      <c r="CP24" s="410"/>
      <c r="CQ24" s="410"/>
      <c r="CR24" s="410"/>
      <c r="CS24" s="411"/>
      <c r="CT24" s="411"/>
      <c r="CU24" s="411"/>
      <c r="CV24" s="411"/>
      <c r="CW24" s="412"/>
      <c r="CX24" s="411"/>
      <c r="CY24" s="411"/>
      <c r="CZ24" s="411"/>
      <c r="DA24" s="411"/>
      <c r="DB24" s="411"/>
      <c r="DC24" s="411"/>
      <c r="DD24" s="411"/>
      <c r="DE24" s="411"/>
      <c r="DF24" s="411"/>
      <c r="DG24" s="411"/>
      <c r="DH24" s="411"/>
      <c r="DI24" s="411"/>
      <c r="DJ24" s="411"/>
      <c r="DK24" s="411"/>
      <c r="DL24" s="411"/>
      <c r="DM24" s="411"/>
      <c r="DN24" s="935"/>
      <c r="DO24" s="413">
        <v>25</v>
      </c>
      <c r="DP24" s="413"/>
      <c r="DQ24" s="414"/>
      <c r="DR24" s="414"/>
      <c r="DS24" s="408"/>
      <c r="DT24" s="408"/>
      <c r="DU24" s="408"/>
      <c r="DV24" s="408"/>
      <c r="DW24" s="408"/>
      <c r="DX24" s="408"/>
      <c r="DY24" s="408"/>
      <c r="DZ24" s="408"/>
      <c r="EA24" s="408">
        <v>200</v>
      </c>
      <c r="EB24" s="408"/>
      <c r="EC24" s="408"/>
      <c r="ED24" s="408"/>
      <c r="EE24" s="408"/>
      <c r="EF24" s="408">
        <v>1.5</v>
      </c>
      <c r="EG24" s="408"/>
      <c r="EH24" s="408"/>
      <c r="EI24" s="408"/>
      <c r="EJ24" s="408"/>
      <c r="EK24" s="408"/>
      <c r="EL24" s="408"/>
      <c r="EM24" s="408"/>
      <c r="EN24" s="408"/>
      <c r="EO24" s="408"/>
      <c r="EP24" s="408"/>
      <c r="EQ24" s="408"/>
      <c r="ER24" s="408"/>
      <c r="ES24" s="408"/>
      <c r="ET24" s="408"/>
      <c r="EU24" s="408"/>
      <c r="EV24" s="408"/>
      <c r="EW24" s="408"/>
      <c r="EX24" s="408"/>
      <c r="EY24" s="408"/>
      <c r="EZ24" s="408"/>
      <c r="FA24" s="415"/>
      <c r="FB24" s="416">
        <v>250</v>
      </c>
      <c r="FC24" s="416"/>
      <c r="FD24" s="417">
        <f t="shared" si="13"/>
        <v>50</v>
      </c>
      <c r="FE24" s="790"/>
    </row>
    <row r="25" spans="2:164" ht="26.1" customHeight="1" outlineLevel="1" thickBot="1" x14ac:dyDescent="0.3">
      <c r="B25" s="1018"/>
      <c r="C25" s="1020"/>
      <c r="D25" s="1036"/>
      <c r="E25" s="1039"/>
      <c r="F25" s="832" t="s">
        <v>111</v>
      </c>
      <c r="G25" s="799" t="str">
        <f>VLOOKUP(H25,инфо!AD:AE,2,FALSE)</f>
        <v>Прочее</v>
      </c>
      <c r="H25" s="572" t="s">
        <v>1197</v>
      </c>
      <c r="I25" s="589" t="s">
        <v>53</v>
      </c>
      <c r="J25" s="368"/>
      <c r="K25" s="369"/>
      <c r="L25" s="369"/>
      <c r="M25" s="369"/>
      <c r="N25" s="369"/>
      <c r="O25" s="369"/>
      <c r="P25" s="369"/>
      <c r="Q25" s="369"/>
      <c r="R25" s="369"/>
      <c r="S25" s="369"/>
      <c r="T25" s="369"/>
      <c r="U25" s="369"/>
      <c r="V25" s="369"/>
      <c r="W25" s="370"/>
      <c r="X25" s="370"/>
      <c r="Y25" s="370"/>
      <c r="Z25" s="370"/>
      <c r="AA25" s="370"/>
      <c r="AB25" s="370"/>
      <c r="AC25" s="370"/>
      <c r="AD25" s="370"/>
      <c r="AE25" s="370"/>
      <c r="AF25" s="370"/>
      <c r="AG25" s="370"/>
      <c r="AH25" s="370"/>
      <c r="AI25" s="370"/>
      <c r="AJ25" s="370"/>
      <c r="AK25" s="370"/>
      <c r="AL25" s="370"/>
      <c r="AM25" s="370"/>
      <c r="AN25" s="370"/>
      <c r="AO25" s="370"/>
      <c r="AP25" s="370"/>
      <c r="AQ25" s="370"/>
      <c r="AR25" s="370"/>
      <c r="AS25" s="370"/>
      <c r="AT25" s="370"/>
      <c r="AU25" s="370"/>
      <c r="AV25" s="370"/>
      <c r="AW25" s="370"/>
      <c r="AX25" s="370"/>
      <c r="AY25" s="370"/>
      <c r="AZ25" s="370"/>
      <c r="BA25" s="370"/>
      <c r="BB25" s="370"/>
      <c r="BC25" s="370"/>
      <c r="BD25" s="370"/>
      <c r="BE25" s="371"/>
      <c r="BF25" s="371"/>
      <c r="BG25" s="371"/>
      <c r="BH25" s="371"/>
      <c r="BI25" s="371"/>
      <c r="BJ25" s="371"/>
      <c r="BK25" s="371"/>
      <c r="BL25" s="371"/>
      <c r="BM25" s="371"/>
      <c r="BN25" s="372"/>
      <c r="BO25" s="372"/>
      <c r="BP25" s="372"/>
      <c r="BQ25" s="372"/>
      <c r="BR25" s="372"/>
      <c r="BS25" s="372"/>
      <c r="BT25" s="372"/>
      <c r="BU25" s="372"/>
      <c r="BV25" s="369"/>
      <c r="BW25" s="369"/>
      <c r="BX25" s="369"/>
      <c r="BY25" s="369"/>
      <c r="BZ25" s="369"/>
      <c r="CA25" s="369"/>
      <c r="CB25" s="369"/>
      <c r="CC25" s="373"/>
      <c r="CD25" s="373"/>
      <c r="CE25" s="373"/>
      <c r="CF25" s="373"/>
      <c r="CG25" s="373"/>
      <c r="CH25" s="373"/>
      <c r="CI25" s="373"/>
      <c r="CJ25" s="373"/>
      <c r="CK25" s="373"/>
      <c r="CL25" s="373"/>
      <c r="CM25" s="373"/>
      <c r="CN25" s="373"/>
      <c r="CO25" s="373"/>
      <c r="CP25" s="373"/>
      <c r="CQ25" s="373"/>
      <c r="CR25" s="373"/>
      <c r="CS25" s="374"/>
      <c r="CT25" s="374"/>
      <c r="CU25" s="374"/>
      <c r="CV25" s="374"/>
      <c r="CW25" s="418"/>
      <c r="CX25" s="374"/>
      <c r="CY25" s="374"/>
      <c r="CZ25" s="374"/>
      <c r="DA25" s="374"/>
      <c r="DB25" s="374"/>
      <c r="DC25" s="374"/>
      <c r="DD25" s="374"/>
      <c r="DE25" s="374"/>
      <c r="DF25" s="374"/>
      <c r="DG25" s="374"/>
      <c r="DH25" s="374"/>
      <c r="DI25" s="374"/>
      <c r="DJ25" s="374"/>
      <c r="DK25" s="374"/>
      <c r="DL25" s="374"/>
      <c r="DM25" s="374"/>
      <c r="DN25" s="932"/>
      <c r="DO25" s="375">
        <v>25</v>
      </c>
      <c r="DP25" s="375"/>
      <c r="DQ25" s="376"/>
      <c r="DR25" s="376"/>
      <c r="DS25" s="371"/>
      <c r="DT25" s="371"/>
      <c r="DU25" s="371"/>
      <c r="DV25" s="371"/>
      <c r="DW25" s="371"/>
      <c r="DX25" s="371"/>
      <c r="DY25" s="371"/>
      <c r="DZ25" s="371"/>
      <c r="EA25" s="371"/>
      <c r="EB25" s="371"/>
      <c r="EC25" s="371"/>
      <c r="ED25" s="371"/>
      <c r="EE25" s="371"/>
      <c r="EF25" s="371"/>
      <c r="EG25" s="371"/>
      <c r="EH25" s="371"/>
      <c r="EI25" s="371"/>
      <c r="EJ25" s="371"/>
      <c r="EK25" s="371"/>
      <c r="EL25" s="371"/>
      <c r="EM25" s="371"/>
      <c r="EN25" s="371"/>
      <c r="EO25" s="371"/>
      <c r="EP25" s="371"/>
      <c r="EQ25" s="371"/>
      <c r="ER25" s="371"/>
      <c r="ES25" s="371"/>
      <c r="ET25" s="371"/>
      <c r="EU25" s="371"/>
      <c r="EV25" s="371"/>
      <c r="EW25" s="371"/>
      <c r="EX25" s="371"/>
      <c r="EY25" s="371"/>
      <c r="EZ25" s="371"/>
      <c r="FA25" s="377"/>
      <c r="FB25" s="378">
        <v>25</v>
      </c>
      <c r="FC25" s="378"/>
      <c r="FD25" s="379">
        <f t="shared" si="13"/>
        <v>0</v>
      </c>
      <c r="FE25" s="790"/>
    </row>
    <row r="26" spans="2:164" ht="26.1" customHeight="1" outlineLevel="1" thickBot="1" x14ac:dyDescent="0.3">
      <c r="B26" s="1018"/>
      <c r="C26" s="1020"/>
      <c r="D26" s="1036"/>
      <c r="E26" s="1039"/>
      <c r="F26" s="832" t="s">
        <v>111</v>
      </c>
      <c r="G26" s="799" t="str">
        <f>VLOOKUP(H26,инфо!AD:AE,2,FALSE)</f>
        <v>Прочее</v>
      </c>
      <c r="H26" s="575" t="s">
        <v>1197</v>
      </c>
      <c r="I26" s="590" t="s">
        <v>50</v>
      </c>
      <c r="J26" s="368"/>
      <c r="K26" s="369"/>
      <c r="L26" s="369"/>
      <c r="M26" s="369"/>
      <c r="N26" s="369"/>
      <c r="O26" s="369"/>
      <c r="P26" s="369"/>
      <c r="Q26" s="369"/>
      <c r="R26" s="369"/>
      <c r="S26" s="369"/>
      <c r="T26" s="369"/>
      <c r="U26" s="369"/>
      <c r="V26" s="369"/>
      <c r="W26" s="370"/>
      <c r="X26" s="370"/>
      <c r="Y26" s="370"/>
      <c r="Z26" s="370">
        <v>50</v>
      </c>
      <c r="AA26" s="370">
        <v>100</v>
      </c>
      <c r="AB26" s="370"/>
      <c r="AC26" s="370"/>
      <c r="AD26" s="370"/>
      <c r="AE26" s="370"/>
      <c r="AF26" s="370"/>
      <c r="AG26" s="370"/>
      <c r="AH26" s="370"/>
      <c r="AI26" s="370"/>
      <c r="AJ26" s="370"/>
      <c r="AK26" s="370"/>
      <c r="AL26" s="370"/>
      <c r="AM26" s="370"/>
      <c r="AN26" s="370"/>
      <c r="AO26" s="370"/>
      <c r="AP26" s="370"/>
      <c r="AQ26" s="370"/>
      <c r="AR26" s="370"/>
      <c r="AS26" s="370"/>
      <c r="AT26" s="370"/>
      <c r="AU26" s="370"/>
      <c r="AV26" s="370"/>
      <c r="AW26" s="370"/>
      <c r="AX26" s="370"/>
      <c r="AY26" s="370"/>
      <c r="AZ26" s="370"/>
      <c r="BA26" s="370"/>
      <c r="BB26" s="370"/>
      <c r="BC26" s="370"/>
      <c r="BD26" s="370"/>
      <c r="BE26" s="371"/>
      <c r="BF26" s="371"/>
      <c r="BG26" s="371"/>
      <c r="BH26" s="371"/>
      <c r="BI26" s="371"/>
      <c r="BJ26" s="371"/>
      <c r="BK26" s="371"/>
      <c r="BL26" s="371"/>
      <c r="BM26" s="371"/>
      <c r="BN26" s="372"/>
      <c r="BO26" s="372"/>
      <c r="BP26" s="372"/>
      <c r="BQ26" s="372"/>
      <c r="BR26" s="372"/>
      <c r="BS26" s="372"/>
      <c r="BT26" s="372"/>
      <c r="BU26" s="372"/>
      <c r="BV26" s="369"/>
      <c r="BW26" s="369"/>
      <c r="BX26" s="369"/>
      <c r="BY26" s="369"/>
      <c r="BZ26" s="369"/>
      <c r="CA26" s="369"/>
      <c r="CB26" s="369"/>
      <c r="CC26" s="373"/>
      <c r="CD26" s="373"/>
      <c r="CE26" s="373"/>
      <c r="CF26" s="373"/>
      <c r="CG26" s="373"/>
      <c r="CH26" s="373"/>
      <c r="CI26" s="373"/>
      <c r="CJ26" s="373"/>
      <c r="CK26" s="373"/>
      <c r="CL26" s="373"/>
      <c r="CM26" s="373"/>
      <c r="CN26" s="373"/>
      <c r="CO26" s="373"/>
      <c r="CP26" s="373"/>
      <c r="CQ26" s="373"/>
      <c r="CR26" s="373"/>
      <c r="CS26" s="374"/>
      <c r="CT26" s="374"/>
      <c r="CU26" s="374"/>
      <c r="CV26" s="374"/>
      <c r="CW26" s="418"/>
      <c r="CX26" s="374"/>
      <c r="CY26" s="374"/>
      <c r="CZ26" s="374"/>
      <c r="DA26" s="374"/>
      <c r="DB26" s="374"/>
      <c r="DC26" s="374"/>
      <c r="DD26" s="374"/>
      <c r="DE26" s="374"/>
      <c r="DF26" s="374"/>
      <c r="DG26" s="374"/>
      <c r="DH26" s="374"/>
      <c r="DI26" s="374"/>
      <c r="DJ26" s="374"/>
      <c r="DK26" s="374"/>
      <c r="DL26" s="374"/>
      <c r="DM26" s="374"/>
      <c r="DN26" s="932"/>
      <c r="DO26" s="375"/>
      <c r="DP26" s="375"/>
      <c r="DQ26" s="376"/>
      <c r="DR26" s="376"/>
      <c r="DS26" s="371"/>
      <c r="DT26" s="371"/>
      <c r="DU26" s="371"/>
      <c r="DV26" s="371"/>
      <c r="DW26" s="371"/>
      <c r="DX26" s="371"/>
      <c r="DY26" s="371"/>
      <c r="DZ26" s="371"/>
      <c r="EA26" s="371"/>
      <c r="EB26" s="371"/>
      <c r="EC26" s="371"/>
      <c r="ED26" s="371"/>
      <c r="EE26" s="371"/>
      <c r="EF26" s="371"/>
      <c r="EG26" s="371"/>
      <c r="EH26" s="371"/>
      <c r="EI26" s="371"/>
      <c r="EJ26" s="371"/>
      <c r="EK26" s="371"/>
      <c r="EL26" s="371"/>
      <c r="EM26" s="371"/>
      <c r="EN26" s="371"/>
      <c r="EO26" s="371"/>
      <c r="EP26" s="371"/>
      <c r="EQ26" s="371"/>
      <c r="ER26" s="371"/>
      <c r="ES26" s="371"/>
      <c r="ET26" s="371"/>
      <c r="EU26" s="371"/>
      <c r="EV26" s="371"/>
      <c r="EW26" s="371"/>
      <c r="EX26" s="371"/>
      <c r="EY26" s="371"/>
      <c r="EZ26" s="371"/>
      <c r="FA26" s="377"/>
      <c r="FB26" s="378">
        <v>150</v>
      </c>
      <c r="FC26" s="378"/>
      <c r="FD26" s="379">
        <f t="shared" si="13"/>
        <v>0</v>
      </c>
      <c r="FE26" s="790"/>
    </row>
    <row r="27" spans="2:164" ht="26.1" customHeight="1" outlineLevel="1" thickBot="1" x14ac:dyDescent="0.3">
      <c r="B27" s="1018"/>
      <c r="C27" s="1020"/>
      <c r="D27" s="1037"/>
      <c r="E27" s="1040"/>
      <c r="F27" s="834" t="s">
        <v>111</v>
      </c>
      <c r="G27" s="801" t="str">
        <f>VLOOKUP(H27,инфо!AD:AE,2,FALSE)</f>
        <v>Прочее</v>
      </c>
      <c r="H27" s="575" t="s">
        <v>1197</v>
      </c>
      <c r="I27" s="590" t="s">
        <v>56</v>
      </c>
      <c r="J27" s="380"/>
      <c r="K27" s="381"/>
      <c r="L27" s="381"/>
      <c r="M27" s="381"/>
      <c r="N27" s="381"/>
      <c r="O27" s="381"/>
      <c r="P27" s="381"/>
      <c r="Q27" s="381"/>
      <c r="R27" s="381"/>
      <c r="S27" s="381"/>
      <c r="T27" s="381"/>
      <c r="U27" s="381"/>
      <c r="V27" s="381"/>
      <c r="W27" s="382"/>
      <c r="X27" s="382"/>
      <c r="Y27" s="382"/>
      <c r="Z27" s="382"/>
      <c r="AA27" s="382"/>
      <c r="AB27" s="382"/>
      <c r="AC27" s="382"/>
      <c r="AD27" s="382"/>
      <c r="AE27" s="382"/>
      <c r="AF27" s="382"/>
      <c r="AG27" s="382"/>
      <c r="AH27" s="382"/>
      <c r="AI27" s="382"/>
      <c r="AJ27" s="382"/>
      <c r="AK27" s="382"/>
      <c r="AL27" s="382"/>
      <c r="AM27" s="382"/>
      <c r="AN27" s="382"/>
      <c r="AO27" s="382"/>
      <c r="AP27" s="382"/>
      <c r="AQ27" s="382"/>
      <c r="AR27" s="382"/>
      <c r="AS27" s="382"/>
      <c r="AT27" s="382"/>
      <c r="AU27" s="382"/>
      <c r="AV27" s="382"/>
      <c r="AW27" s="382"/>
      <c r="AX27" s="382"/>
      <c r="AY27" s="382"/>
      <c r="AZ27" s="382"/>
      <c r="BA27" s="382"/>
      <c r="BB27" s="382"/>
      <c r="BC27" s="382"/>
      <c r="BD27" s="382"/>
      <c r="BE27" s="383"/>
      <c r="BF27" s="383"/>
      <c r="BG27" s="383"/>
      <c r="BH27" s="383">
        <v>22</v>
      </c>
      <c r="BI27" s="383"/>
      <c r="BJ27" s="383"/>
      <c r="BK27" s="383"/>
      <c r="BL27" s="383"/>
      <c r="BM27" s="383"/>
      <c r="BN27" s="419"/>
      <c r="BO27" s="419"/>
      <c r="BP27" s="419"/>
      <c r="BQ27" s="419"/>
      <c r="BR27" s="419"/>
      <c r="BS27" s="419"/>
      <c r="BT27" s="419"/>
      <c r="BU27" s="384"/>
      <c r="BV27" s="381"/>
      <c r="BW27" s="381"/>
      <c r="BX27" s="381"/>
      <c r="BY27" s="381"/>
      <c r="BZ27" s="381"/>
      <c r="CA27" s="381"/>
      <c r="CB27" s="381"/>
      <c r="CC27" s="420"/>
      <c r="CD27" s="385"/>
      <c r="CE27" s="385"/>
      <c r="CF27" s="385"/>
      <c r="CG27" s="385"/>
      <c r="CH27" s="385"/>
      <c r="CI27" s="385"/>
      <c r="CJ27" s="385"/>
      <c r="CK27" s="385"/>
      <c r="CL27" s="385"/>
      <c r="CM27" s="385"/>
      <c r="CN27" s="385"/>
      <c r="CO27" s="385"/>
      <c r="CP27" s="385"/>
      <c r="CQ27" s="385"/>
      <c r="CR27" s="385"/>
      <c r="CS27" s="386"/>
      <c r="CT27" s="386"/>
      <c r="CU27" s="386"/>
      <c r="CV27" s="386"/>
      <c r="CW27" s="386"/>
      <c r="CX27" s="386"/>
      <c r="CY27" s="386"/>
      <c r="CZ27" s="386"/>
      <c r="DA27" s="386"/>
      <c r="DB27" s="386"/>
      <c r="DC27" s="386"/>
      <c r="DD27" s="386"/>
      <c r="DE27" s="386"/>
      <c r="DF27" s="386"/>
      <c r="DG27" s="386"/>
      <c r="DH27" s="386"/>
      <c r="DI27" s="386"/>
      <c r="DJ27" s="386"/>
      <c r="DK27" s="386"/>
      <c r="DL27" s="386"/>
      <c r="DM27" s="386"/>
      <c r="DN27" s="933"/>
      <c r="DO27" s="387"/>
      <c r="DP27" s="387"/>
      <c r="DQ27" s="388"/>
      <c r="DR27" s="388"/>
      <c r="DS27" s="383"/>
      <c r="DT27" s="383"/>
      <c r="DU27" s="383"/>
      <c r="DV27" s="383"/>
      <c r="DW27" s="383"/>
      <c r="DX27" s="383"/>
      <c r="DY27" s="383"/>
      <c r="DZ27" s="383"/>
      <c r="EA27" s="383"/>
      <c r="EB27" s="383"/>
      <c r="EC27" s="383"/>
      <c r="ED27" s="383"/>
      <c r="EE27" s="383"/>
      <c r="EF27" s="383"/>
      <c r="EG27" s="383"/>
      <c r="EH27" s="383"/>
      <c r="EI27" s="383"/>
      <c r="EJ27" s="383"/>
      <c r="EK27" s="383"/>
      <c r="EL27" s="383"/>
      <c r="EM27" s="383"/>
      <c r="EN27" s="383"/>
      <c r="EO27" s="383"/>
      <c r="EP27" s="383"/>
      <c r="EQ27" s="383"/>
      <c r="ER27" s="383"/>
      <c r="ES27" s="383"/>
      <c r="ET27" s="383"/>
      <c r="EU27" s="383"/>
      <c r="EV27" s="383"/>
      <c r="EW27" s="383"/>
      <c r="EX27" s="383"/>
      <c r="EY27" s="383"/>
      <c r="EZ27" s="383"/>
      <c r="FA27" s="402"/>
      <c r="FB27" s="403">
        <v>22</v>
      </c>
      <c r="FC27" s="403"/>
      <c r="FD27" s="404">
        <f t="shared" si="13"/>
        <v>110</v>
      </c>
      <c r="FE27" s="790"/>
    </row>
    <row r="28" spans="2:164" s="154" customFormat="1" ht="16.5" customHeight="1" outlineLevel="1" thickBot="1" x14ac:dyDescent="0.4">
      <c r="B28" s="1018"/>
      <c r="C28" s="1020"/>
      <c r="D28" s="145"/>
      <c r="E28" s="317" t="s">
        <v>174</v>
      </c>
      <c r="F28" s="836"/>
      <c r="G28" s="818"/>
      <c r="H28" s="576"/>
      <c r="I28" s="594"/>
      <c r="J28" s="305">
        <f>SUM(J18:J27)</f>
        <v>0</v>
      </c>
      <c r="K28" s="146">
        <f t="shared" ref="K28:CU28" si="14">SUM(K18:K27)</f>
        <v>0</v>
      </c>
      <c r="L28" s="146">
        <f t="shared" si="14"/>
        <v>0</v>
      </c>
      <c r="M28" s="146">
        <f t="shared" si="14"/>
        <v>83</v>
      </c>
      <c r="N28" s="146">
        <f t="shared" si="14"/>
        <v>0</v>
      </c>
      <c r="O28" s="146">
        <f t="shared" si="14"/>
        <v>0</v>
      </c>
      <c r="P28" s="146">
        <f t="shared" si="14"/>
        <v>0</v>
      </c>
      <c r="Q28" s="146">
        <f t="shared" si="14"/>
        <v>0</v>
      </c>
      <c r="R28" s="146">
        <f t="shared" si="14"/>
        <v>0</v>
      </c>
      <c r="S28" s="146">
        <f t="shared" si="14"/>
        <v>0</v>
      </c>
      <c r="T28" s="146">
        <f t="shared" ref="T28:V28" si="15">SUM(T18:T27)</f>
        <v>0</v>
      </c>
      <c r="U28" s="146">
        <f t="shared" si="15"/>
        <v>0</v>
      </c>
      <c r="V28" s="146">
        <f t="shared" si="15"/>
        <v>0</v>
      </c>
      <c r="W28" s="147">
        <f t="shared" si="14"/>
        <v>0</v>
      </c>
      <c r="X28" s="147">
        <f t="shared" si="14"/>
        <v>0</v>
      </c>
      <c r="Y28" s="147">
        <f t="shared" ref="Y28" si="16">SUM(Y18:Y27)</f>
        <v>0</v>
      </c>
      <c r="Z28" s="147">
        <f t="shared" si="14"/>
        <v>50</v>
      </c>
      <c r="AA28" s="147">
        <f t="shared" si="14"/>
        <v>100</v>
      </c>
      <c r="AB28" s="147">
        <f t="shared" ref="AB28:AC28" si="17">SUM(AB18:AB27)</f>
        <v>0</v>
      </c>
      <c r="AC28" s="147">
        <f t="shared" si="17"/>
        <v>0</v>
      </c>
      <c r="AD28" s="147">
        <f t="shared" si="14"/>
        <v>0</v>
      </c>
      <c r="AE28" s="147">
        <f t="shared" si="14"/>
        <v>0</v>
      </c>
      <c r="AF28" s="147">
        <f t="shared" ref="AF28:AH28" si="18">SUM(AF18:AF27)</f>
        <v>0</v>
      </c>
      <c r="AG28" s="147">
        <f t="shared" si="18"/>
        <v>0</v>
      </c>
      <c r="AH28" s="147">
        <f t="shared" si="18"/>
        <v>0</v>
      </c>
      <c r="AI28" s="147">
        <f t="shared" si="14"/>
        <v>0</v>
      </c>
      <c r="AJ28" s="147">
        <f t="shared" si="14"/>
        <v>0</v>
      </c>
      <c r="AK28" s="147">
        <f t="shared" si="14"/>
        <v>0</v>
      </c>
      <c r="AL28" s="147">
        <f t="shared" ref="AL28" si="19">SUM(AL18:AL27)</f>
        <v>0</v>
      </c>
      <c r="AM28" s="147">
        <f t="shared" ref="AM28:AS28" si="20">SUM(AM18:AM27)</f>
        <v>0</v>
      </c>
      <c r="AN28" s="147">
        <f t="shared" si="20"/>
        <v>0</v>
      </c>
      <c r="AO28" s="147">
        <f t="shared" si="20"/>
        <v>0</v>
      </c>
      <c r="AP28" s="147">
        <f t="shared" si="20"/>
        <v>0</v>
      </c>
      <c r="AQ28" s="147">
        <f t="shared" si="20"/>
        <v>0</v>
      </c>
      <c r="AR28" s="147">
        <f t="shared" si="20"/>
        <v>0</v>
      </c>
      <c r="AS28" s="147">
        <f t="shared" si="20"/>
        <v>20</v>
      </c>
      <c r="AT28" s="147">
        <f t="shared" si="14"/>
        <v>0</v>
      </c>
      <c r="AU28" s="147">
        <f t="shared" ref="AU28:BD28" si="21">SUM(AU18:AU27)</f>
        <v>0</v>
      </c>
      <c r="AV28" s="147">
        <f t="shared" si="21"/>
        <v>0</v>
      </c>
      <c r="AW28" s="147">
        <f t="shared" si="21"/>
        <v>0</v>
      </c>
      <c r="AX28" s="147">
        <f t="shared" si="21"/>
        <v>0</v>
      </c>
      <c r="AY28" s="147">
        <f t="shared" si="21"/>
        <v>0</v>
      </c>
      <c r="AZ28" s="147">
        <f t="shared" si="21"/>
        <v>0</v>
      </c>
      <c r="BA28" s="147">
        <f t="shared" si="21"/>
        <v>0</v>
      </c>
      <c r="BB28" s="147">
        <f t="shared" si="21"/>
        <v>0</v>
      </c>
      <c r="BC28" s="147">
        <f t="shared" si="21"/>
        <v>0</v>
      </c>
      <c r="BD28" s="147">
        <f t="shared" si="21"/>
        <v>0</v>
      </c>
      <c r="BE28" s="148">
        <f t="shared" ref="BE28:BP28" si="22">SUM(BE18:BE27)</f>
        <v>200</v>
      </c>
      <c r="BF28" s="148">
        <f t="shared" si="22"/>
        <v>0</v>
      </c>
      <c r="BG28" s="148">
        <f t="shared" si="22"/>
        <v>0</v>
      </c>
      <c r="BH28" s="148">
        <f t="shared" si="22"/>
        <v>22</v>
      </c>
      <c r="BI28" s="148">
        <f t="shared" ref="BI28:BL28" si="23">SUM(BI18:BI27)</f>
        <v>0</v>
      </c>
      <c r="BJ28" s="148">
        <f t="shared" si="23"/>
        <v>0</v>
      </c>
      <c r="BK28" s="148">
        <f t="shared" si="23"/>
        <v>0</v>
      </c>
      <c r="BL28" s="148">
        <f t="shared" si="23"/>
        <v>0</v>
      </c>
      <c r="BM28" s="148">
        <f t="shared" si="22"/>
        <v>0</v>
      </c>
      <c r="BN28" s="149">
        <f t="shared" si="22"/>
        <v>15</v>
      </c>
      <c r="BO28" s="149">
        <f t="shared" si="22"/>
        <v>0</v>
      </c>
      <c r="BP28" s="149">
        <f t="shared" si="22"/>
        <v>0</v>
      </c>
      <c r="BQ28" s="149">
        <f t="shared" ref="BQ28" si="24">SUM(BQ18:BQ27)</f>
        <v>0</v>
      </c>
      <c r="BR28" s="149">
        <f t="shared" ref="BR28:BU28" si="25">SUM(BR18:BR27)</f>
        <v>0</v>
      </c>
      <c r="BS28" s="149">
        <f t="shared" si="25"/>
        <v>0</v>
      </c>
      <c r="BT28" s="149">
        <f t="shared" si="25"/>
        <v>0</v>
      </c>
      <c r="BU28" s="149">
        <f t="shared" si="25"/>
        <v>0</v>
      </c>
      <c r="BV28" s="146">
        <f t="shared" ref="BV28:BX28" si="26">SUM(BV18:BV27)</f>
        <v>0</v>
      </c>
      <c r="BW28" s="146">
        <f t="shared" si="26"/>
        <v>0</v>
      </c>
      <c r="BX28" s="146">
        <f t="shared" si="26"/>
        <v>0</v>
      </c>
      <c r="BY28" s="146">
        <f t="shared" ref="BY28:BZ28" si="27">SUM(BY18:BY27)</f>
        <v>0</v>
      </c>
      <c r="BZ28" s="146">
        <f t="shared" si="27"/>
        <v>0</v>
      </c>
      <c r="CA28" s="146">
        <f t="shared" si="14"/>
        <v>0</v>
      </c>
      <c r="CB28" s="146">
        <f t="shared" si="14"/>
        <v>0</v>
      </c>
      <c r="CC28" s="265">
        <f t="shared" si="14"/>
        <v>0</v>
      </c>
      <c r="CD28" s="265">
        <f t="shared" si="14"/>
        <v>25</v>
      </c>
      <c r="CE28" s="265">
        <f t="shared" si="14"/>
        <v>0</v>
      </c>
      <c r="CF28" s="265">
        <f t="shared" si="14"/>
        <v>80</v>
      </c>
      <c r="CG28" s="265">
        <f t="shared" si="14"/>
        <v>0</v>
      </c>
      <c r="CH28" s="265">
        <f t="shared" si="14"/>
        <v>0</v>
      </c>
      <c r="CI28" s="265">
        <f t="shared" si="14"/>
        <v>0</v>
      </c>
      <c r="CJ28" s="265">
        <f t="shared" ref="CJ28" si="28">SUM(CJ18:CJ27)</f>
        <v>0</v>
      </c>
      <c r="CK28" s="265">
        <f t="shared" ref="CK28" si="29">SUM(CK18:CK27)</f>
        <v>0</v>
      </c>
      <c r="CL28" s="265">
        <f t="shared" si="14"/>
        <v>0</v>
      </c>
      <c r="CM28" s="265">
        <f t="shared" si="14"/>
        <v>0</v>
      </c>
      <c r="CN28" s="265">
        <f t="shared" ref="CN28:CQ28" si="30">SUM(CN18:CN27)</f>
        <v>0</v>
      </c>
      <c r="CO28" s="265">
        <f t="shared" si="30"/>
        <v>0</v>
      </c>
      <c r="CP28" s="265">
        <f t="shared" si="30"/>
        <v>0</v>
      </c>
      <c r="CQ28" s="265">
        <f t="shared" si="30"/>
        <v>0</v>
      </c>
      <c r="CR28" s="265">
        <f t="shared" si="14"/>
        <v>0</v>
      </c>
      <c r="CS28" s="281">
        <f t="shared" si="14"/>
        <v>0</v>
      </c>
      <c r="CT28" s="281">
        <f t="shared" ref="CT28" si="31">SUM(CT18:CT27)</f>
        <v>0</v>
      </c>
      <c r="CU28" s="281">
        <f t="shared" si="14"/>
        <v>0</v>
      </c>
      <c r="CV28" s="281">
        <f t="shared" ref="CV28:DE28" si="32">SUM(CV18:CV27)</f>
        <v>0</v>
      </c>
      <c r="CW28" s="281">
        <f t="shared" si="32"/>
        <v>0</v>
      </c>
      <c r="CX28" s="281">
        <f t="shared" si="32"/>
        <v>0</v>
      </c>
      <c r="CY28" s="281">
        <f t="shared" si="32"/>
        <v>0</v>
      </c>
      <c r="CZ28" s="281">
        <f t="shared" ref="CZ28" si="33">SUM(CZ18:CZ27)</f>
        <v>0</v>
      </c>
      <c r="DA28" s="281">
        <f t="shared" si="32"/>
        <v>0</v>
      </c>
      <c r="DB28" s="281">
        <f t="shared" si="32"/>
        <v>0</v>
      </c>
      <c r="DC28" s="281">
        <f t="shared" si="32"/>
        <v>0</v>
      </c>
      <c r="DD28" s="281">
        <f t="shared" si="32"/>
        <v>0</v>
      </c>
      <c r="DE28" s="281">
        <f t="shared" si="32"/>
        <v>0</v>
      </c>
      <c r="DF28" s="281">
        <f t="shared" ref="DF28:FD28" si="34">SUM(DF18:DF27)</f>
        <v>0</v>
      </c>
      <c r="DG28" s="281">
        <f t="shared" si="34"/>
        <v>0</v>
      </c>
      <c r="DH28" s="281">
        <f t="shared" si="34"/>
        <v>0</v>
      </c>
      <c r="DI28" s="281">
        <f t="shared" ref="DI28:DQ28" si="35">SUM(DI18:DI27)</f>
        <v>0</v>
      </c>
      <c r="DJ28" s="281">
        <f t="shared" si="35"/>
        <v>0</v>
      </c>
      <c r="DK28" s="281">
        <f t="shared" si="35"/>
        <v>0</v>
      </c>
      <c r="DL28" s="281">
        <f t="shared" si="35"/>
        <v>0</v>
      </c>
      <c r="DM28" s="281">
        <f t="shared" si="35"/>
        <v>0</v>
      </c>
      <c r="DN28" s="936">
        <f t="shared" si="35"/>
        <v>1</v>
      </c>
      <c r="DO28" s="148">
        <f t="shared" si="35"/>
        <v>60</v>
      </c>
      <c r="DP28" s="148">
        <f t="shared" si="35"/>
        <v>5</v>
      </c>
      <c r="DQ28" s="148">
        <f t="shared" si="35"/>
        <v>0</v>
      </c>
      <c r="DR28" s="148">
        <f t="shared" si="34"/>
        <v>0</v>
      </c>
      <c r="DS28" s="148">
        <f t="shared" si="34"/>
        <v>0</v>
      </c>
      <c r="DT28" s="148">
        <f t="shared" si="34"/>
        <v>0</v>
      </c>
      <c r="DU28" s="148">
        <f t="shared" si="34"/>
        <v>0</v>
      </c>
      <c r="DV28" s="148">
        <f t="shared" si="34"/>
        <v>0</v>
      </c>
      <c r="DW28" s="148">
        <f t="shared" si="34"/>
        <v>0</v>
      </c>
      <c r="DX28" s="148">
        <f t="shared" si="34"/>
        <v>0</v>
      </c>
      <c r="DY28" s="148">
        <f t="shared" ref="DY28:EO28" si="36">SUM(DY18:DY27)</f>
        <v>0</v>
      </c>
      <c r="DZ28" s="148">
        <f t="shared" si="36"/>
        <v>0</v>
      </c>
      <c r="EA28" s="148">
        <f t="shared" si="36"/>
        <v>315.60000000000002</v>
      </c>
      <c r="EB28" s="148">
        <f t="shared" si="36"/>
        <v>0</v>
      </c>
      <c r="EC28" s="148">
        <f t="shared" si="36"/>
        <v>0</v>
      </c>
      <c r="ED28" s="148">
        <f t="shared" si="36"/>
        <v>0</v>
      </c>
      <c r="EE28" s="148">
        <f t="shared" si="36"/>
        <v>0</v>
      </c>
      <c r="EF28" s="148">
        <f t="shared" si="36"/>
        <v>1.5</v>
      </c>
      <c r="EG28" s="148">
        <f t="shared" si="36"/>
        <v>0</v>
      </c>
      <c r="EH28" s="148">
        <f t="shared" si="36"/>
        <v>0</v>
      </c>
      <c r="EI28" s="148">
        <f t="shared" si="36"/>
        <v>0</v>
      </c>
      <c r="EJ28" s="148">
        <f t="shared" si="36"/>
        <v>0</v>
      </c>
      <c r="EK28" s="148">
        <f t="shared" si="36"/>
        <v>0</v>
      </c>
      <c r="EL28" s="148">
        <f t="shared" si="36"/>
        <v>0</v>
      </c>
      <c r="EM28" s="148">
        <f t="shared" si="36"/>
        <v>0</v>
      </c>
      <c r="EN28" s="148">
        <f t="shared" si="36"/>
        <v>0</v>
      </c>
      <c r="EO28" s="148">
        <f t="shared" si="36"/>
        <v>0</v>
      </c>
      <c r="EP28" s="148">
        <f t="shared" ref="EP28:EZ28" si="37">SUM(EP18:EP27)</f>
        <v>0</v>
      </c>
      <c r="EQ28" s="148">
        <f t="shared" si="37"/>
        <v>0</v>
      </c>
      <c r="ER28" s="148">
        <f t="shared" si="37"/>
        <v>0</v>
      </c>
      <c r="ES28" s="148">
        <f t="shared" si="37"/>
        <v>0</v>
      </c>
      <c r="ET28" s="148">
        <f t="shared" si="37"/>
        <v>0</v>
      </c>
      <c r="EU28" s="148">
        <f t="shared" si="37"/>
        <v>0</v>
      </c>
      <c r="EV28" s="148">
        <f t="shared" si="37"/>
        <v>0</v>
      </c>
      <c r="EW28" s="148">
        <f t="shared" si="37"/>
        <v>0</v>
      </c>
      <c r="EX28" s="148">
        <f t="shared" si="37"/>
        <v>0</v>
      </c>
      <c r="EY28" s="148">
        <f t="shared" si="37"/>
        <v>0</v>
      </c>
      <c r="EZ28" s="148">
        <f t="shared" si="37"/>
        <v>0</v>
      </c>
      <c r="FA28" s="150">
        <f t="shared" si="34"/>
        <v>415</v>
      </c>
      <c r="FB28" s="151">
        <f t="shared" si="34"/>
        <v>957</v>
      </c>
      <c r="FC28" s="151">
        <f t="shared" si="34"/>
        <v>78</v>
      </c>
      <c r="FD28" s="152">
        <f t="shared" si="34"/>
        <v>310</v>
      </c>
      <c r="FE28" s="792" t="str">
        <f>IF(FB28&lt;инфо!$AN$74,FB28-инфо!$AN$74,"")</f>
        <v/>
      </c>
      <c r="FF28" s="153"/>
      <c r="FG28" s="153"/>
      <c r="FH28" s="153"/>
    </row>
    <row r="29" spans="2:164" ht="26.1" customHeight="1" outlineLevel="1" thickBot="1" x14ac:dyDescent="0.3">
      <c r="B29" s="1018"/>
      <c r="C29" s="1020"/>
      <c r="D29" s="1033" t="s">
        <v>112</v>
      </c>
      <c r="E29" s="1042" t="s">
        <v>113</v>
      </c>
      <c r="F29" s="837" t="s">
        <v>112</v>
      </c>
      <c r="G29" s="803" t="str">
        <f>VLOOKUP(H29,инфо!AD:AE,2,FALSE)</f>
        <v>Холодные закуски</v>
      </c>
      <c r="H29" s="577" t="s">
        <v>1201</v>
      </c>
      <c r="I29" s="588" t="s">
        <v>1081</v>
      </c>
      <c r="J29" s="421"/>
      <c r="K29" s="422"/>
      <c r="L29" s="422"/>
      <c r="M29" s="422"/>
      <c r="N29" s="422"/>
      <c r="O29" s="422"/>
      <c r="P29" s="422"/>
      <c r="Q29" s="422"/>
      <c r="R29" s="422"/>
      <c r="S29" s="422"/>
      <c r="T29" s="422"/>
      <c r="U29" s="422"/>
      <c r="V29" s="422"/>
      <c r="W29" s="423"/>
      <c r="X29" s="423"/>
      <c r="Y29" s="423"/>
      <c r="Z29" s="423"/>
      <c r="AA29" s="423"/>
      <c r="AB29" s="423"/>
      <c r="AC29" s="423"/>
      <c r="AD29" s="423"/>
      <c r="AE29" s="423"/>
      <c r="AF29" s="423"/>
      <c r="AG29" s="423">
        <v>15</v>
      </c>
      <c r="AH29" s="423"/>
      <c r="AI29" s="423"/>
      <c r="AJ29" s="423">
        <v>45</v>
      </c>
      <c r="AK29" s="423"/>
      <c r="AL29" s="423"/>
      <c r="AM29" s="423"/>
      <c r="AN29" s="423"/>
      <c r="AO29" s="423"/>
      <c r="AP29" s="423"/>
      <c r="AQ29" s="423"/>
      <c r="AR29" s="423"/>
      <c r="AS29" s="423"/>
      <c r="AT29" s="423"/>
      <c r="AU29" s="423"/>
      <c r="AV29" s="423"/>
      <c r="AW29" s="423">
        <v>115</v>
      </c>
      <c r="AX29" s="423"/>
      <c r="AY29" s="423"/>
      <c r="AZ29" s="423"/>
      <c r="BA29" s="423"/>
      <c r="BB29" s="423"/>
      <c r="BC29" s="423"/>
      <c r="BD29" s="423"/>
      <c r="BE29" s="424"/>
      <c r="BF29" s="424"/>
      <c r="BG29" s="424"/>
      <c r="BH29" s="424"/>
      <c r="BI29" s="424"/>
      <c r="BJ29" s="424"/>
      <c r="BK29" s="424"/>
      <c r="BL29" s="424"/>
      <c r="BM29" s="424"/>
      <c r="BN29" s="425"/>
      <c r="BO29" s="425">
        <v>8</v>
      </c>
      <c r="BP29" s="425"/>
      <c r="BQ29" s="425"/>
      <c r="BR29" s="425"/>
      <c r="BS29" s="425"/>
      <c r="BT29" s="425"/>
      <c r="BU29" s="425"/>
      <c r="BV29" s="422"/>
      <c r="BW29" s="422"/>
      <c r="BX29" s="422"/>
      <c r="BY29" s="422"/>
      <c r="BZ29" s="422"/>
      <c r="CA29" s="422"/>
      <c r="CB29" s="422"/>
      <c r="CC29" s="426"/>
      <c r="CD29" s="426"/>
      <c r="CE29" s="426"/>
      <c r="CF29" s="426"/>
      <c r="CG29" s="426"/>
      <c r="CH29" s="426"/>
      <c r="CI29" s="426"/>
      <c r="CJ29" s="426"/>
      <c r="CK29" s="426"/>
      <c r="CL29" s="426"/>
      <c r="CM29" s="426"/>
      <c r="CN29" s="426"/>
      <c r="CO29" s="426"/>
      <c r="CP29" s="426"/>
      <c r="CQ29" s="426"/>
      <c r="CR29" s="426"/>
      <c r="CS29" s="427"/>
      <c r="CT29" s="427"/>
      <c r="CU29" s="427"/>
      <c r="CV29" s="427"/>
      <c r="CW29" s="427"/>
      <c r="CX29" s="427"/>
      <c r="CY29" s="427"/>
      <c r="CZ29" s="427"/>
      <c r="DA29" s="427"/>
      <c r="DB29" s="427"/>
      <c r="DC29" s="427"/>
      <c r="DD29" s="427"/>
      <c r="DE29" s="427"/>
      <c r="DF29" s="427"/>
      <c r="DG29" s="427"/>
      <c r="DH29" s="427"/>
      <c r="DI29" s="427"/>
      <c r="DJ29" s="427"/>
      <c r="DK29" s="427"/>
      <c r="DL29" s="427"/>
      <c r="DM29" s="427"/>
      <c r="DN29" s="937"/>
      <c r="DO29" s="428"/>
      <c r="DP29" s="428"/>
      <c r="DQ29" s="429"/>
      <c r="DR29" s="429"/>
      <c r="DS29" s="424"/>
      <c r="DT29" s="424"/>
      <c r="DU29" s="424"/>
      <c r="DV29" s="424"/>
      <c r="DW29" s="424">
        <v>0.5</v>
      </c>
      <c r="DX29" s="424"/>
      <c r="DY29" s="424"/>
      <c r="DZ29" s="424"/>
      <c r="EA29" s="424"/>
      <c r="EB29" s="424"/>
      <c r="EC29" s="424"/>
      <c r="ED29" s="424"/>
      <c r="EE29" s="424"/>
      <c r="EF29" s="424"/>
      <c r="EG29" s="424"/>
      <c r="EH29" s="424"/>
      <c r="EI29" s="424"/>
      <c r="EJ29" s="424"/>
      <c r="EK29" s="424"/>
      <c r="EL29" s="424"/>
      <c r="EM29" s="424"/>
      <c r="EN29" s="424"/>
      <c r="EO29" s="424"/>
      <c r="EP29" s="424"/>
      <c r="EQ29" s="424"/>
      <c r="ER29" s="424"/>
      <c r="ES29" s="424"/>
      <c r="ET29" s="424"/>
      <c r="EU29" s="424"/>
      <c r="EV29" s="424"/>
      <c r="EW29" s="424"/>
      <c r="EX29" s="424"/>
      <c r="EY29" s="424"/>
      <c r="EZ29" s="424"/>
      <c r="FA29" s="377">
        <v>175</v>
      </c>
      <c r="FB29" s="378">
        <v>132</v>
      </c>
      <c r="FC29" s="378"/>
      <c r="FD29" s="379">
        <f t="shared" ref="FD29:FD42" si="38">SUM(BE29:BG29,BI29,BL29:BM29)+SUM(BH29,BJ29,BK29)*5</f>
        <v>0</v>
      </c>
      <c r="FE29" s="790"/>
    </row>
    <row r="30" spans="2:164" ht="26.1" customHeight="1" outlineLevel="1" thickBot="1" x14ac:dyDescent="0.3">
      <c r="B30" s="1018"/>
      <c r="C30" s="1020"/>
      <c r="D30" s="1033"/>
      <c r="E30" s="1038"/>
      <c r="F30" s="838" t="s">
        <v>112</v>
      </c>
      <c r="G30" s="804" t="str">
        <f>VLOOKUP(H30,инфо!AD:AE,2,FALSE)</f>
        <v>Прочее</v>
      </c>
      <c r="H30" s="577" t="s">
        <v>1197</v>
      </c>
      <c r="I30" s="588" t="s">
        <v>142</v>
      </c>
      <c r="J30" s="430"/>
      <c r="K30" s="431"/>
      <c r="L30" s="431"/>
      <c r="M30" s="431"/>
      <c r="N30" s="431"/>
      <c r="O30" s="431"/>
      <c r="P30" s="431"/>
      <c r="Q30" s="431"/>
      <c r="R30" s="431"/>
      <c r="S30" s="431"/>
      <c r="T30" s="431"/>
      <c r="U30" s="431"/>
      <c r="V30" s="431"/>
      <c r="W30" s="432"/>
      <c r="X30" s="432"/>
      <c r="Y30" s="432"/>
      <c r="Z30" s="432"/>
      <c r="AA30" s="432"/>
      <c r="AB30" s="432"/>
      <c r="AC30" s="432"/>
      <c r="AD30" s="432"/>
      <c r="AE30" s="432"/>
      <c r="AF30" s="432"/>
      <c r="AG30" s="432"/>
      <c r="AH30" s="432"/>
      <c r="AI30" s="432"/>
      <c r="AJ30" s="432"/>
      <c r="AK30" s="432"/>
      <c r="AL30" s="432"/>
      <c r="AM30" s="432"/>
      <c r="AN30" s="432"/>
      <c r="AO30" s="432"/>
      <c r="AP30" s="432"/>
      <c r="AQ30" s="432"/>
      <c r="AR30" s="432"/>
      <c r="AS30" s="432"/>
      <c r="AT30" s="432"/>
      <c r="AU30" s="432"/>
      <c r="AV30" s="432"/>
      <c r="AW30" s="432"/>
      <c r="AX30" s="432"/>
      <c r="AY30" s="432"/>
      <c r="AZ30" s="432"/>
      <c r="BA30" s="432"/>
      <c r="BB30" s="432"/>
      <c r="BC30" s="432"/>
      <c r="BD30" s="432"/>
      <c r="BE30" s="433"/>
      <c r="BF30" s="433"/>
      <c r="BG30" s="433"/>
      <c r="BH30" s="433"/>
      <c r="BI30" s="433"/>
      <c r="BJ30" s="433"/>
      <c r="BK30" s="433"/>
      <c r="BL30" s="433"/>
      <c r="BM30" s="433"/>
      <c r="BN30" s="434"/>
      <c r="BO30" s="434"/>
      <c r="BP30" s="434"/>
      <c r="BQ30" s="434"/>
      <c r="BR30" s="434"/>
      <c r="BS30" s="434"/>
      <c r="BT30" s="434"/>
      <c r="BU30" s="434"/>
      <c r="BV30" s="431"/>
      <c r="BW30" s="431"/>
      <c r="BX30" s="431"/>
      <c r="BY30" s="431"/>
      <c r="BZ30" s="431"/>
      <c r="CA30" s="431"/>
      <c r="CB30" s="431"/>
      <c r="CC30" s="435"/>
      <c r="CD30" s="435"/>
      <c r="CE30" s="435"/>
      <c r="CF30" s="435"/>
      <c r="CG30" s="435"/>
      <c r="CH30" s="435"/>
      <c r="CI30" s="435"/>
      <c r="CJ30" s="435"/>
      <c r="CK30" s="435"/>
      <c r="CL30" s="435"/>
      <c r="CM30" s="435"/>
      <c r="CN30" s="435"/>
      <c r="CO30" s="435"/>
      <c r="CP30" s="435"/>
      <c r="CQ30" s="435"/>
      <c r="CR30" s="435"/>
      <c r="CS30" s="436"/>
      <c r="CT30" s="436"/>
      <c r="CU30" s="436"/>
      <c r="CV30" s="436"/>
      <c r="CW30" s="436"/>
      <c r="CX30" s="436"/>
      <c r="CY30" s="436"/>
      <c r="CZ30" s="436"/>
      <c r="DA30" s="436"/>
      <c r="DB30" s="436"/>
      <c r="DC30" s="436"/>
      <c r="DD30" s="436"/>
      <c r="DE30" s="436"/>
      <c r="DF30" s="436"/>
      <c r="DG30" s="436"/>
      <c r="DH30" s="436"/>
      <c r="DI30" s="436"/>
      <c r="DJ30" s="436"/>
      <c r="DK30" s="436"/>
      <c r="DL30" s="436"/>
      <c r="DM30" s="436"/>
      <c r="DN30" s="938"/>
      <c r="DO30" s="437"/>
      <c r="DP30" s="437"/>
      <c r="DQ30" s="438"/>
      <c r="DR30" s="438"/>
      <c r="DS30" s="433"/>
      <c r="DT30" s="433">
        <v>5</v>
      </c>
      <c r="DU30" s="433"/>
      <c r="DV30" s="433"/>
      <c r="DW30" s="433"/>
      <c r="DX30" s="433"/>
      <c r="DY30" s="433"/>
      <c r="DZ30" s="433"/>
      <c r="EA30" s="433"/>
      <c r="EB30" s="433"/>
      <c r="EC30" s="433"/>
      <c r="ED30" s="433"/>
      <c r="EE30" s="433"/>
      <c r="EF30" s="433"/>
      <c r="EG30" s="433"/>
      <c r="EH30" s="433"/>
      <c r="EI30" s="433"/>
      <c r="EJ30" s="433"/>
      <c r="EK30" s="433"/>
      <c r="EL30" s="433"/>
      <c r="EM30" s="433"/>
      <c r="EN30" s="433"/>
      <c r="EO30" s="433"/>
      <c r="EP30" s="433"/>
      <c r="EQ30" s="433"/>
      <c r="ER30" s="433"/>
      <c r="ES30" s="433"/>
      <c r="ET30" s="433"/>
      <c r="EU30" s="433"/>
      <c r="EV30" s="433"/>
      <c r="EW30" s="433"/>
      <c r="EX30" s="433"/>
      <c r="EY30" s="433"/>
      <c r="EZ30" s="433"/>
      <c r="FA30" s="377"/>
      <c r="FB30" s="378">
        <v>5</v>
      </c>
      <c r="FC30" s="378"/>
      <c r="FD30" s="379">
        <f t="shared" si="38"/>
        <v>0</v>
      </c>
      <c r="FE30" s="790"/>
    </row>
    <row r="31" spans="2:164" ht="26.1" customHeight="1" outlineLevel="1" thickBot="1" x14ac:dyDescent="0.3">
      <c r="B31" s="1018"/>
      <c r="C31" s="1020"/>
      <c r="D31" s="1034"/>
      <c r="E31" s="1043"/>
      <c r="F31" s="839" t="s">
        <v>112</v>
      </c>
      <c r="G31" s="805" t="str">
        <f>VLOOKUP(H31,инфо!AD:AE,2,FALSE)</f>
        <v>Прочее</v>
      </c>
      <c r="H31" s="578" t="s">
        <v>1197</v>
      </c>
      <c r="I31" s="606" t="s">
        <v>50</v>
      </c>
      <c r="J31" s="439"/>
      <c r="K31" s="440"/>
      <c r="L31" s="440"/>
      <c r="M31" s="440"/>
      <c r="N31" s="440"/>
      <c r="O31" s="440"/>
      <c r="P31" s="440"/>
      <c r="Q31" s="440"/>
      <c r="R31" s="440"/>
      <c r="S31" s="440"/>
      <c r="T31" s="440"/>
      <c r="U31" s="440"/>
      <c r="V31" s="440"/>
      <c r="W31" s="441"/>
      <c r="X31" s="441"/>
      <c r="Y31" s="441"/>
      <c r="Z31" s="441">
        <v>50</v>
      </c>
      <c r="AA31" s="441">
        <v>100</v>
      </c>
      <c r="AB31" s="441"/>
      <c r="AC31" s="441"/>
      <c r="AD31" s="441"/>
      <c r="AE31" s="441"/>
      <c r="AF31" s="441"/>
      <c r="AG31" s="441"/>
      <c r="AH31" s="441"/>
      <c r="AI31" s="441"/>
      <c r="AJ31" s="441"/>
      <c r="AK31" s="441"/>
      <c r="AL31" s="441"/>
      <c r="AM31" s="441"/>
      <c r="AN31" s="441"/>
      <c r="AO31" s="441"/>
      <c r="AP31" s="441"/>
      <c r="AQ31" s="441"/>
      <c r="AR31" s="441"/>
      <c r="AS31" s="441"/>
      <c r="AT31" s="441"/>
      <c r="AU31" s="441"/>
      <c r="AV31" s="441"/>
      <c r="AW31" s="441"/>
      <c r="AX31" s="441"/>
      <c r="AY31" s="441"/>
      <c r="AZ31" s="441"/>
      <c r="BA31" s="441"/>
      <c r="BB31" s="441"/>
      <c r="BC31" s="441"/>
      <c r="BD31" s="441"/>
      <c r="BE31" s="442"/>
      <c r="BF31" s="442"/>
      <c r="BG31" s="442"/>
      <c r="BH31" s="442"/>
      <c r="BI31" s="442"/>
      <c r="BJ31" s="442"/>
      <c r="BK31" s="442"/>
      <c r="BL31" s="442"/>
      <c r="BM31" s="442"/>
      <c r="BN31" s="443"/>
      <c r="BO31" s="443"/>
      <c r="BP31" s="443"/>
      <c r="BQ31" s="443"/>
      <c r="BR31" s="443"/>
      <c r="BS31" s="443"/>
      <c r="BT31" s="443"/>
      <c r="BU31" s="443"/>
      <c r="BV31" s="440"/>
      <c r="BW31" s="440"/>
      <c r="BX31" s="440"/>
      <c r="BY31" s="440"/>
      <c r="BZ31" s="440"/>
      <c r="CA31" s="440"/>
      <c r="CB31" s="440"/>
      <c r="CC31" s="444"/>
      <c r="CD31" s="444"/>
      <c r="CE31" s="444"/>
      <c r="CF31" s="444"/>
      <c r="CG31" s="444"/>
      <c r="CH31" s="444"/>
      <c r="CI31" s="444"/>
      <c r="CJ31" s="444"/>
      <c r="CK31" s="444"/>
      <c r="CL31" s="444"/>
      <c r="CM31" s="444"/>
      <c r="CN31" s="444"/>
      <c r="CO31" s="444"/>
      <c r="CP31" s="444"/>
      <c r="CQ31" s="444"/>
      <c r="CR31" s="444"/>
      <c r="CS31" s="445"/>
      <c r="CT31" s="445"/>
      <c r="CU31" s="445"/>
      <c r="CV31" s="445"/>
      <c r="CW31" s="445"/>
      <c r="CX31" s="445"/>
      <c r="CY31" s="445"/>
      <c r="CZ31" s="445"/>
      <c r="DA31" s="445"/>
      <c r="DB31" s="445"/>
      <c r="DC31" s="445"/>
      <c r="DD31" s="445"/>
      <c r="DE31" s="445"/>
      <c r="DF31" s="445"/>
      <c r="DG31" s="445"/>
      <c r="DH31" s="445"/>
      <c r="DI31" s="445"/>
      <c r="DJ31" s="445"/>
      <c r="DK31" s="445"/>
      <c r="DL31" s="445"/>
      <c r="DM31" s="445"/>
      <c r="DN31" s="939"/>
      <c r="DO31" s="446"/>
      <c r="DP31" s="446"/>
      <c r="DQ31" s="447"/>
      <c r="DR31" s="447"/>
      <c r="DS31" s="442"/>
      <c r="DT31" s="442"/>
      <c r="DU31" s="442"/>
      <c r="DV31" s="442"/>
      <c r="DW31" s="442"/>
      <c r="DX31" s="442"/>
      <c r="DY31" s="442"/>
      <c r="DZ31" s="442"/>
      <c r="EA31" s="442"/>
      <c r="EB31" s="442"/>
      <c r="EC31" s="442"/>
      <c r="ED31" s="442"/>
      <c r="EE31" s="442"/>
      <c r="EF31" s="442"/>
      <c r="EG31" s="442"/>
      <c r="EH31" s="442"/>
      <c r="EI31" s="442"/>
      <c r="EJ31" s="442"/>
      <c r="EK31" s="442"/>
      <c r="EL31" s="442"/>
      <c r="EM31" s="442"/>
      <c r="EN31" s="442"/>
      <c r="EO31" s="442"/>
      <c r="EP31" s="442"/>
      <c r="EQ31" s="442"/>
      <c r="ER31" s="442"/>
      <c r="ES31" s="442"/>
      <c r="ET31" s="442"/>
      <c r="EU31" s="442"/>
      <c r="EV31" s="442"/>
      <c r="EW31" s="442"/>
      <c r="EX31" s="442"/>
      <c r="EY31" s="442"/>
      <c r="EZ31" s="442"/>
      <c r="FA31" s="389"/>
      <c r="FB31" s="390">
        <v>150</v>
      </c>
      <c r="FC31" s="390"/>
      <c r="FD31" s="391">
        <f t="shared" si="38"/>
        <v>0</v>
      </c>
      <c r="FE31" s="790"/>
    </row>
    <row r="32" spans="2:164" ht="26.1" customHeight="1" outlineLevel="1" thickBot="1" x14ac:dyDescent="0.3">
      <c r="B32" s="1018"/>
      <c r="C32" s="1020"/>
      <c r="D32" s="1034"/>
      <c r="E32" s="1038" t="s">
        <v>114</v>
      </c>
      <c r="F32" s="837" t="s">
        <v>112</v>
      </c>
      <c r="G32" s="803" t="str">
        <f>VLOOKUP(H32,инфо!AD:AE,2,FALSE)</f>
        <v>Первые блюда</v>
      </c>
      <c r="H32" s="579" t="s">
        <v>1204</v>
      </c>
      <c r="I32" s="588" t="s">
        <v>575</v>
      </c>
      <c r="J32" s="448"/>
      <c r="K32" s="449">
        <v>25</v>
      </c>
      <c r="L32" s="449"/>
      <c r="M32" s="449"/>
      <c r="N32" s="449"/>
      <c r="O32" s="449"/>
      <c r="P32" s="449"/>
      <c r="Q32" s="449"/>
      <c r="R32" s="449"/>
      <c r="S32" s="449"/>
      <c r="T32" s="449"/>
      <c r="U32" s="449"/>
      <c r="V32" s="449"/>
      <c r="W32" s="450"/>
      <c r="X32" s="450"/>
      <c r="Y32" s="450"/>
      <c r="Z32" s="450"/>
      <c r="AA32" s="450"/>
      <c r="AB32" s="450"/>
      <c r="AC32" s="450"/>
      <c r="AD32" s="450">
        <v>150</v>
      </c>
      <c r="AE32" s="450"/>
      <c r="AF32" s="450">
        <v>10</v>
      </c>
      <c r="AG32" s="450">
        <v>10</v>
      </c>
      <c r="AH32" s="450"/>
      <c r="AI32" s="450"/>
      <c r="AJ32" s="450"/>
      <c r="AK32" s="450"/>
      <c r="AL32" s="450"/>
      <c r="AM32" s="450"/>
      <c r="AN32" s="450"/>
      <c r="AO32" s="450">
        <v>5</v>
      </c>
      <c r="AP32" s="450"/>
      <c r="AQ32" s="450"/>
      <c r="AR32" s="450"/>
      <c r="AS32" s="450"/>
      <c r="AT32" s="450"/>
      <c r="AU32" s="450"/>
      <c r="AV32" s="450"/>
      <c r="AW32" s="450"/>
      <c r="AX32" s="450"/>
      <c r="AY32" s="450"/>
      <c r="AZ32" s="450"/>
      <c r="BA32" s="450"/>
      <c r="BB32" s="450"/>
      <c r="BC32" s="450"/>
      <c r="BD32" s="450"/>
      <c r="BE32" s="451"/>
      <c r="BF32" s="451"/>
      <c r="BG32" s="451"/>
      <c r="BH32" s="451"/>
      <c r="BI32" s="451"/>
      <c r="BJ32" s="451"/>
      <c r="BK32" s="451"/>
      <c r="BL32" s="451"/>
      <c r="BM32" s="451"/>
      <c r="BN32" s="452"/>
      <c r="BO32" s="452">
        <v>4</v>
      </c>
      <c r="BP32" s="452"/>
      <c r="BQ32" s="452"/>
      <c r="BR32" s="452"/>
      <c r="BS32" s="452"/>
      <c r="BT32" s="452"/>
      <c r="BU32" s="452"/>
      <c r="BV32" s="449"/>
      <c r="BW32" s="449"/>
      <c r="BX32" s="449"/>
      <c r="BY32" s="449"/>
      <c r="BZ32" s="449"/>
      <c r="CA32" s="449"/>
      <c r="CB32" s="449"/>
      <c r="CC32" s="453"/>
      <c r="CD32" s="453"/>
      <c r="CE32" s="453"/>
      <c r="CF32" s="453"/>
      <c r="CG32" s="453"/>
      <c r="CH32" s="453"/>
      <c r="CI32" s="453"/>
      <c r="CJ32" s="453"/>
      <c r="CK32" s="453"/>
      <c r="CL32" s="453"/>
      <c r="CM32" s="453"/>
      <c r="CN32" s="453"/>
      <c r="CO32" s="453"/>
      <c r="CP32" s="453"/>
      <c r="CQ32" s="453"/>
      <c r="CR32" s="453"/>
      <c r="CS32" s="454"/>
      <c r="CT32" s="454"/>
      <c r="CU32" s="454"/>
      <c r="CV32" s="454"/>
      <c r="CW32" s="454"/>
      <c r="CX32" s="454"/>
      <c r="CY32" s="454"/>
      <c r="CZ32" s="454"/>
      <c r="DA32" s="454"/>
      <c r="DB32" s="454"/>
      <c r="DC32" s="454"/>
      <c r="DD32" s="454"/>
      <c r="DE32" s="454"/>
      <c r="DF32" s="454"/>
      <c r="DG32" s="454"/>
      <c r="DH32" s="454"/>
      <c r="DI32" s="454"/>
      <c r="DJ32" s="454"/>
      <c r="DK32" s="454"/>
      <c r="DL32" s="454"/>
      <c r="DM32" s="454"/>
      <c r="DN32" s="940"/>
      <c r="DO32" s="455"/>
      <c r="DP32" s="455">
        <v>4</v>
      </c>
      <c r="DQ32" s="456">
        <v>0.02</v>
      </c>
      <c r="DR32" s="456">
        <v>0.05</v>
      </c>
      <c r="DS32" s="451"/>
      <c r="DT32" s="451"/>
      <c r="DU32" s="451"/>
      <c r="DV32" s="451"/>
      <c r="DW32" s="451"/>
      <c r="DX32" s="451"/>
      <c r="DY32" s="451"/>
      <c r="DZ32" s="451"/>
      <c r="EA32" s="451"/>
      <c r="EB32" s="451">
        <v>400</v>
      </c>
      <c r="EC32" s="451"/>
      <c r="ED32" s="451"/>
      <c r="EE32" s="451"/>
      <c r="EF32" s="451"/>
      <c r="EG32" s="451"/>
      <c r="EH32" s="451"/>
      <c r="EI32" s="451"/>
      <c r="EJ32" s="451"/>
      <c r="EK32" s="451"/>
      <c r="EL32" s="451"/>
      <c r="EM32" s="451"/>
      <c r="EN32" s="451"/>
      <c r="EO32" s="451"/>
      <c r="EP32" s="451"/>
      <c r="EQ32" s="451"/>
      <c r="ER32" s="451"/>
      <c r="ES32" s="451"/>
      <c r="ET32" s="451"/>
      <c r="EU32" s="451"/>
      <c r="EV32" s="451"/>
      <c r="EW32" s="451"/>
      <c r="EX32" s="451"/>
      <c r="EY32" s="451"/>
      <c r="EZ32" s="451"/>
      <c r="FA32" s="364">
        <v>250</v>
      </c>
      <c r="FB32" s="365">
        <v>500</v>
      </c>
      <c r="FC32" s="365"/>
      <c r="FD32" s="367">
        <f t="shared" si="38"/>
        <v>0</v>
      </c>
      <c r="FE32" s="790"/>
    </row>
    <row r="33" spans="2:164" ht="26.1" customHeight="1" outlineLevel="1" thickBot="1" x14ac:dyDescent="0.3">
      <c r="B33" s="1018"/>
      <c r="C33" s="1020"/>
      <c r="D33" s="1034"/>
      <c r="E33" s="1038"/>
      <c r="F33" s="838" t="s">
        <v>112</v>
      </c>
      <c r="G33" s="804" t="str">
        <f>VLOOKUP(H33,инфо!AD:AE,2,FALSE)</f>
        <v>Мясные (рыбные) блюда с соусом</v>
      </c>
      <c r="H33" s="580" t="s">
        <v>1209</v>
      </c>
      <c r="I33" s="588" t="s">
        <v>642</v>
      </c>
      <c r="J33" s="430"/>
      <c r="K33" s="431"/>
      <c r="L33" s="431"/>
      <c r="M33" s="431"/>
      <c r="N33" s="431"/>
      <c r="O33" s="431"/>
      <c r="P33" s="431"/>
      <c r="Q33" s="431"/>
      <c r="R33" s="431"/>
      <c r="S33" s="431"/>
      <c r="T33" s="431"/>
      <c r="U33" s="431"/>
      <c r="V33" s="431"/>
      <c r="W33" s="432"/>
      <c r="X33" s="432">
        <v>2</v>
      </c>
      <c r="Y33" s="432"/>
      <c r="Z33" s="432"/>
      <c r="AA33" s="432"/>
      <c r="AB33" s="432"/>
      <c r="AC33" s="432"/>
      <c r="AD33" s="432"/>
      <c r="AE33" s="432"/>
      <c r="AF33" s="432">
        <v>10</v>
      </c>
      <c r="AG33" s="432">
        <v>10</v>
      </c>
      <c r="AH33" s="432"/>
      <c r="AI33" s="432"/>
      <c r="AJ33" s="432"/>
      <c r="AK33" s="432"/>
      <c r="AL33" s="432"/>
      <c r="AM33" s="432"/>
      <c r="AN33" s="432"/>
      <c r="AO33" s="432"/>
      <c r="AP33" s="432"/>
      <c r="AQ33" s="432"/>
      <c r="AR33" s="432"/>
      <c r="AS33" s="432"/>
      <c r="AT33" s="432"/>
      <c r="AU33" s="432"/>
      <c r="AV33" s="432"/>
      <c r="AW33" s="432"/>
      <c r="AX33" s="432"/>
      <c r="AY33" s="432"/>
      <c r="AZ33" s="432"/>
      <c r="BA33" s="432"/>
      <c r="BB33" s="432"/>
      <c r="BC33" s="432"/>
      <c r="BD33" s="432"/>
      <c r="BE33" s="433"/>
      <c r="BF33" s="433"/>
      <c r="BG33" s="433"/>
      <c r="BH33" s="433"/>
      <c r="BI33" s="433"/>
      <c r="BJ33" s="433"/>
      <c r="BK33" s="433"/>
      <c r="BL33" s="433"/>
      <c r="BM33" s="433"/>
      <c r="BN33" s="434"/>
      <c r="BO33" s="434">
        <v>5</v>
      </c>
      <c r="BP33" s="434"/>
      <c r="BQ33" s="434"/>
      <c r="BR33" s="434"/>
      <c r="BS33" s="434"/>
      <c r="BT33" s="434"/>
      <c r="BU33" s="434"/>
      <c r="BV33" s="431"/>
      <c r="BW33" s="431"/>
      <c r="BX33" s="431"/>
      <c r="BY33" s="431"/>
      <c r="BZ33" s="431">
        <v>112.5</v>
      </c>
      <c r="CA33" s="431"/>
      <c r="CB33" s="431"/>
      <c r="CC33" s="435"/>
      <c r="CD33" s="435"/>
      <c r="CE33" s="435"/>
      <c r="CF33" s="435"/>
      <c r="CG33" s="435"/>
      <c r="CH33" s="435"/>
      <c r="CI33" s="435"/>
      <c r="CJ33" s="435"/>
      <c r="CK33" s="435"/>
      <c r="CL33" s="435"/>
      <c r="CM33" s="435"/>
      <c r="CN33" s="435"/>
      <c r="CO33" s="435"/>
      <c r="CP33" s="435"/>
      <c r="CQ33" s="435"/>
      <c r="CR33" s="435"/>
      <c r="CS33" s="436"/>
      <c r="CT33" s="436"/>
      <c r="CU33" s="436"/>
      <c r="CV33" s="436"/>
      <c r="CW33" s="436"/>
      <c r="CX33" s="436"/>
      <c r="CY33" s="436"/>
      <c r="CZ33" s="436"/>
      <c r="DA33" s="436"/>
      <c r="DB33" s="436"/>
      <c r="DC33" s="436"/>
      <c r="DD33" s="436"/>
      <c r="DE33" s="436"/>
      <c r="DF33" s="436"/>
      <c r="DG33" s="436"/>
      <c r="DH33" s="436"/>
      <c r="DI33" s="436"/>
      <c r="DJ33" s="436"/>
      <c r="DK33" s="436"/>
      <c r="DL33" s="436"/>
      <c r="DM33" s="436"/>
      <c r="DN33" s="938"/>
      <c r="DO33" s="437"/>
      <c r="DP33" s="437">
        <v>2</v>
      </c>
      <c r="DQ33" s="438">
        <v>0.01</v>
      </c>
      <c r="DR33" s="438"/>
      <c r="DS33" s="433">
        <v>2</v>
      </c>
      <c r="DT33" s="433"/>
      <c r="DU33" s="433"/>
      <c r="DV33" s="433"/>
      <c r="DW33" s="433"/>
      <c r="DX33" s="433"/>
      <c r="DY33" s="433"/>
      <c r="DZ33" s="433"/>
      <c r="EA33" s="433"/>
      <c r="EB33" s="433"/>
      <c r="EC33" s="433"/>
      <c r="ED33" s="433"/>
      <c r="EE33" s="433"/>
      <c r="EF33" s="433"/>
      <c r="EG33" s="433"/>
      <c r="EH33" s="433"/>
      <c r="EI33" s="433"/>
      <c r="EJ33" s="433"/>
      <c r="EK33" s="433"/>
      <c r="EL33" s="433"/>
      <c r="EM33" s="433"/>
      <c r="EN33" s="433"/>
      <c r="EO33" s="433"/>
      <c r="EP33" s="433"/>
      <c r="EQ33" s="433"/>
      <c r="ER33" s="433"/>
      <c r="ES33" s="433"/>
      <c r="ET33" s="433"/>
      <c r="EU33" s="433"/>
      <c r="EV33" s="433"/>
      <c r="EW33" s="433"/>
      <c r="EX33" s="433"/>
      <c r="EY33" s="433"/>
      <c r="EZ33" s="433"/>
      <c r="FA33" s="377"/>
      <c r="FB33" s="378">
        <v>115</v>
      </c>
      <c r="FC33" s="378">
        <v>65</v>
      </c>
      <c r="FD33" s="379">
        <f t="shared" si="38"/>
        <v>0</v>
      </c>
      <c r="FE33" s="790"/>
    </row>
    <row r="34" spans="2:164" ht="26.1" customHeight="1" outlineLevel="1" thickBot="1" x14ac:dyDescent="0.3">
      <c r="B34" s="1018"/>
      <c r="C34" s="1020"/>
      <c r="D34" s="1034"/>
      <c r="E34" s="1038"/>
      <c r="F34" s="840" t="s">
        <v>112</v>
      </c>
      <c r="G34" s="806" t="str">
        <f>VLOOKUP(H34,инфо!AD:AE,2,FALSE)</f>
        <v>Гарниры</v>
      </c>
      <c r="H34" s="581" t="s">
        <v>1198</v>
      </c>
      <c r="I34" s="606" t="s">
        <v>988</v>
      </c>
      <c r="J34" s="457"/>
      <c r="K34" s="458">
        <v>83</v>
      </c>
      <c r="L34" s="458"/>
      <c r="M34" s="458"/>
      <c r="N34" s="458"/>
      <c r="O34" s="458"/>
      <c r="P34" s="458"/>
      <c r="Q34" s="458"/>
      <c r="R34" s="458"/>
      <c r="S34" s="458"/>
      <c r="T34" s="458"/>
      <c r="U34" s="458"/>
      <c r="V34" s="458"/>
      <c r="W34" s="459"/>
      <c r="X34" s="459"/>
      <c r="Y34" s="459"/>
      <c r="Z34" s="459"/>
      <c r="AA34" s="459"/>
      <c r="AB34" s="459"/>
      <c r="AC34" s="459"/>
      <c r="AD34" s="459"/>
      <c r="AE34" s="459"/>
      <c r="AF34" s="459"/>
      <c r="AG34" s="459"/>
      <c r="AH34" s="459"/>
      <c r="AI34" s="459"/>
      <c r="AJ34" s="459"/>
      <c r="AK34" s="459"/>
      <c r="AL34" s="459"/>
      <c r="AM34" s="459"/>
      <c r="AN34" s="459"/>
      <c r="AO34" s="459"/>
      <c r="AP34" s="459"/>
      <c r="AQ34" s="459"/>
      <c r="AR34" s="459"/>
      <c r="AS34" s="459"/>
      <c r="AT34" s="459"/>
      <c r="AU34" s="459"/>
      <c r="AV34" s="459"/>
      <c r="AW34" s="459"/>
      <c r="AX34" s="459"/>
      <c r="AY34" s="459"/>
      <c r="AZ34" s="459"/>
      <c r="BA34" s="459"/>
      <c r="BB34" s="459"/>
      <c r="BC34" s="459"/>
      <c r="BD34" s="459"/>
      <c r="BE34" s="460"/>
      <c r="BF34" s="460"/>
      <c r="BG34" s="460"/>
      <c r="BH34" s="460"/>
      <c r="BI34" s="460"/>
      <c r="BJ34" s="460"/>
      <c r="BK34" s="460"/>
      <c r="BL34" s="460"/>
      <c r="BM34" s="460"/>
      <c r="BN34" s="461"/>
      <c r="BO34" s="461"/>
      <c r="BP34" s="461"/>
      <c r="BQ34" s="461"/>
      <c r="BR34" s="461"/>
      <c r="BS34" s="461"/>
      <c r="BT34" s="461"/>
      <c r="BU34" s="461"/>
      <c r="BV34" s="458"/>
      <c r="BW34" s="458"/>
      <c r="BX34" s="458"/>
      <c r="BY34" s="458"/>
      <c r="BZ34" s="458"/>
      <c r="CA34" s="458"/>
      <c r="CB34" s="458"/>
      <c r="CC34" s="462"/>
      <c r="CD34" s="462"/>
      <c r="CE34" s="462"/>
      <c r="CF34" s="462"/>
      <c r="CG34" s="462"/>
      <c r="CH34" s="462"/>
      <c r="CI34" s="462"/>
      <c r="CJ34" s="462"/>
      <c r="CK34" s="462"/>
      <c r="CL34" s="462"/>
      <c r="CM34" s="462"/>
      <c r="CN34" s="462"/>
      <c r="CO34" s="462"/>
      <c r="CP34" s="462"/>
      <c r="CQ34" s="462"/>
      <c r="CR34" s="462"/>
      <c r="CS34" s="463"/>
      <c r="CT34" s="463"/>
      <c r="CU34" s="463"/>
      <c r="CV34" s="463"/>
      <c r="CW34" s="463"/>
      <c r="CX34" s="463"/>
      <c r="CY34" s="463"/>
      <c r="CZ34" s="463"/>
      <c r="DA34" s="463"/>
      <c r="DB34" s="463"/>
      <c r="DC34" s="463"/>
      <c r="DD34" s="463"/>
      <c r="DE34" s="463"/>
      <c r="DF34" s="463"/>
      <c r="DG34" s="463"/>
      <c r="DH34" s="463"/>
      <c r="DI34" s="463"/>
      <c r="DJ34" s="463"/>
      <c r="DK34" s="463"/>
      <c r="DL34" s="463"/>
      <c r="DM34" s="463"/>
      <c r="DN34" s="941"/>
      <c r="DO34" s="464"/>
      <c r="DP34" s="464">
        <v>3</v>
      </c>
      <c r="DQ34" s="465"/>
      <c r="DR34" s="465"/>
      <c r="DS34" s="460"/>
      <c r="DT34" s="460"/>
      <c r="DU34" s="460"/>
      <c r="DV34" s="460"/>
      <c r="DW34" s="460"/>
      <c r="DX34" s="460"/>
      <c r="DY34" s="460"/>
      <c r="DZ34" s="460"/>
      <c r="EA34" s="460">
        <v>265.60000000000002</v>
      </c>
      <c r="EB34" s="460"/>
      <c r="EC34" s="460"/>
      <c r="ED34" s="460"/>
      <c r="EE34" s="460"/>
      <c r="EF34" s="460"/>
      <c r="EG34" s="460"/>
      <c r="EH34" s="460"/>
      <c r="EI34" s="460"/>
      <c r="EJ34" s="460"/>
      <c r="EK34" s="460"/>
      <c r="EL34" s="460"/>
      <c r="EM34" s="460"/>
      <c r="EN34" s="460"/>
      <c r="EO34" s="460"/>
      <c r="EP34" s="460"/>
      <c r="EQ34" s="460"/>
      <c r="ER34" s="460"/>
      <c r="ES34" s="460"/>
      <c r="ET34" s="460"/>
      <c r="EU34" s="460"/>
      <c r="EV34" s="460"/>
      <c r="EW34" s="460"/>
      <c r="EX34" s="460"/>
      <c r="EY34" s="460"/>
      <c r="EZ34" s="460"/>
      <c r="FA34" s="402">
        <v>415</v>
      </c>
      <c r="FB34" s="403">
        <v>316</v>
      </c>
      <c r="FC34" s="403"/>
      <c r="FD34" s="404">
        <f t="shared" si="38"/>
        <v>0</v>
      </c>
      <c r="FE34" s="790"/>
    </row>
    <row r="35" spans="2:164" ht="26.1" customHeight="1" outlineLevel="1" thickBot="1" x14ac:dyDescent="0.3">
      <c r="B35" s="1018"/>
      <c r="C35" s="1020"/>
      <c r="D35" s="1034"/>
      <c r="E35" s="1038" t="s">
        <v>115</v>
      </c>
      <c r="F35" s="837" t="s">
        <v>112</v>
      </c>
      <c r="G35" s="803" t="str">
        <f>VLOOKUP(H35,инфо!AD:AE,2,FALSE)</f>
        <v>Мясные (рыбные) блюда с соусом</v>
      </c>
      <c r="H35" s="579" t="s">
        <v>1196</v>
      </c>
      <c r="I35" s="588" t="s">
        <v>1169</v>
      </c>
      <c r="J35" s="448"/>
      <c r="K35" s="449"/>
      <c r="L35" s="449"/>
      <c r="M35" s="449"/>
      <c r="N35" s="449"/>
      <c r="O35" s="449"/>
      <c r="P35" s="449"/>
      <c r="Q35" s="449"/>
      <c r="R35" s="449"/>
      <c r="S35" s="449"/>
      <c r="T35" s="449"/>
      <c r="U35" s="449"/>
      <c r="V35" s="449"/>
      <c r="W35" s="450"/>
      <c r="X35" s="466">
        <v>2</v>
      </c>
      <c r="Y35" s="450"/>
      <c r="Z35" s="450"/>
      <c r="AA35" s="450"/>
      <c r="AB35" s="450"/>
      <c r="AC35" s="450"/>
      <c r="AD35" s="450"/>
      <c r="AE35" s="450"/>
      <c r="AF35" s="450"/>
      <c r="AG35" s="450">
        <v>4</v>
      </c>
      <c r="AH35" s="450"/>
      <c r="AI35" s="450"/>
      <c r="AJ35" s="450"/>
      <c r="AK35" s="450"/>
      <c r="AL35" s="450"/>
      <c r="AM35" s="450"/>
      <c r="AN35" s="450"/>
      <c r="AO35" s="450"/>
      <c r="AP35" s="450"/>
      <c r="AQ35" s="450"/>
      <c r="AR35" s="450"/>
      <c r="AS35" s="450"/>
      <c r="AT35" s="450"/>
      <c r="AU35" s="450"/>
      <c r="AV35" s="450"/>
      <c r="AW35" s="450"/>
      <c r="AX35" s="450"/>
      <c r="AY35" s="450"/>
      <c r="AZ35" s="450"/>
      <c r="BA35" s="450"/>
      <c r="BB35" s="450"/>
      <c r="BC35" s="450"/>
      <c r="BD35" s="450"/>
      <c r="BE35" s="451"/>
      <c r="BF35" s="451"/>
      <c r="BG35" s="451"/>
      <c r="BH35" s="451"/>
      <c r="BI35" s="451"/>
      <c r="BJ35" s="451"/>
      <c r="BK35" s="451"/>
      <c r="BL35" s="451"/>
      <c r="BM35" s="451"/>
      <c r="BN35" s="452"/>
      <c r="BO35" s="452">
        <v>2</v>
      </c>
      <c r="BP35" s="452"/>
      <c r="BQ35" s="452"/>
      <c r="BR35" s="452"/>
      <c r="BS35" s="452"/>
      <c r="BT35" s="452"/>
      <c r="BU35" s="452"/>
      <c r="BV35" s="449"/>
      <c r="BW35" s="449"/>
      <c r="BX35" s="449"/>
      <c r="BY35" s="449"/>
      <c r="BZ35" s="449"/>
      <c r="CA35" s="449"/>
      <c r="CB35" s="449"/>
      <c r="CC35" s="453"/>
      <c r="CD35" s="453"/>
      <c r="CE35" s="453"/>
      <c r="CF35" s="453"/>
      <c r="CG35" s="453"/>
      <c r="CH35" s="453"/>
      <c r="CI35" s="453"/>
      <c r="CJ35" s="453"/>
      <c r="CK35" s="453"/>
      <c r="CL35" s="453"/>
      <c r="CM35" s="453"/>
      <c r="CN35" s="453"/>
      <c r="CO35" s="453"/>
      <c r="CP35" s="453"/>
      <c r="CQ35" s="453"/>
      <c r="CR35" s="453"/>
      <c r="CS35" s="454"/>
      <c r="CT35" s="454"/>
      <c r="CU35" s="454"/>
      <c r="CV35" s="454"/>
      <c r="CW35" s="454"/>
      <c r="CX35" s="454"/>
      <c r="CY35" s="454"/>
      <c r="CZ35" s="454"/>
      <c r="DA35" s="454"/>
      <c r="DB35" s="454"/>
      <c r="DC35" s="454"/>
      <c r="DD35" s="454"/>
      <c r="DE35" s="454"/>
      <c r="DF35" s="454"/>
      <c r="DG35" s="454"/>
      <c r="DH35" s="454"/>
      <c r="DI35" s="454"/>
      <c r="DJ35" s="454"/>
      <c r="DK35" s="454"/>
      <c r="DL35" s="454"/>
      <c r="DM35" s="454"/>
      <c r="DN35" s="940"/>
      <c r="DO35" s="455"/>
      <c r="DP35" s="455">
        <v>0.2</v>
      </c>
      <c r="DQ35" s="456">
        <v>4.0000000000000001E-3</v>
      </c>
      <c r="DR35" s="456">
        <v>0.01</v>
      </c>
      <c r="DS35" s="451"/>
      <c r="DT35" s="451"/>
      <c r="DU35" s="451"/>
      <c r="DV35" s="451"/>
      <c r="DW35" s="451"/>
      <c r="DX35" s="451"/>
      <c r="DY35" s="451"/>
      <c r="DZ35" s="451"/>
      <c r="EA35" s="451"/>
      <c r="EB35" s="451">
        <v>24</v>
      </c>
      <c r="EC35" s="451"/>
      <c r="ED35" s="451"/>
      <c r="EE35" s="451"/>
      <c r="EF35" s="451"/>
      <c r="EG35" s="451"/>
      <c r="EH35" s="451"/>
      <c r="EI35" s="451"/>
      <c r="EJ35" s="451"/>
      <c r="EK35" s="451"/>
      <c r="EL35" s="451"/>
      <c r="EM35" s="451"/>
      <c r="EN35" s="451"/>
      <c r="EO35" s="451"/>
      <c r="EP35" s="451"/>
      <c r="EQ35" s="451"/>
      <c r="ER35" s="451"/>
      <c r="ES35" s="451"/>
      <c r="ET35" s="451"/>
      <c r="EU35" s="451"/>
      <c r="EV35" s="451"/>
      <c r="EW35" s="451"/>
      <c r="EX35" s="451"/>
      <c r="EY35" s="451"/>
      <c r="EZ35" s="451"/>
      <c r="FA35" s="364"/>
      <c r="FB35" s="365">
        <v>20</v>
      </c>
      <c r="FC35" s="365"/>
      <c r="FD35" s="367">
        <f t="shared" si="38"/>
        <v>0</v>
      </c>
      <c r="FE35" s="790"/>
    </row>
    <row r="36" spans="2:164" ht="26.1" customHeight="1" outlineLevel="1" thickBot="1" x14ac:dyDescent="0.3">
      <c r="B36" s="1018"/>
      <c r="C36" s="1020"/>
      <c r="D36" s="1034"/>
      <c r="E36" s="1038"/>
      <c r="F36" s="838" t="s">
        <v>112</v>
      </c>
      <c r="G36" s="804" t="str">
        <f>VLOOKUP(H36,инфо!AD:AE,2,FALSE)</f>
        <v>Прочее</v>
      </c>
      <c r="H36" s="580" t="s">
        <v>1197</v>
      </c>
      <c r="I36" s="588" t="s">
        <v>165</v>
      </c>
      <c r="J36" s="430"/>
      <c r="K36" s="431"/>
      <c r="L36" s="431"/>
      <c r="M36" s="431"/>
      <c r="N36" s="431"/>
      <c r="O36" s="431"/>
      <c r="P36" s="431"/>
      <c r="Q36" s="431"/>
      <c r="R36" s="431"/>
      <c r="S36" s="431"/>
      <c r="T36" s="431"/>
      <c r="U36" s="431"/>
      <c r="V36" s="431"/>
      <c r="W36" s="432"/>
      <c r="X36" s="432"/>
      <c r="Y36" s="432"/>
      <c r="Z36" s="432"/>
      <c r="AA36" s="432"/>
      <c r="AB36" s="432"/>
      <c r="AC36" s="432"/>
      <c r="AD36" s="432"/>
      <c r="AE36" s="432"/>
      <c r="AF36" s="432"/>
      <c r="AG36" s="432"/>
      <c r="AH36" s="432"/>
      <c r="AI36" s="432"/>
      <c r="AJ36" s="432"/>
      <c r="AK36" s="432"/>
      <c r="AL36" s="432"/>
      <c r="AM36" s="432"/>
      <c r="AN36" s="432"/>
      <c r="AO36" s="432"/>
      <c r="AP36" s="432"/>
      <c r="AQ36" s="432"/>
      <c r="AR36" s="432"/>
      <c r="AS36" s="432"/>
      <c r="AT36" s="432"/>
      <c r="AU36" s="432"/>
      <c r="AV36" s="432"/>
      <c r="AW36" s="432"/>
      <c r="AX36" s="432"/>
      <c r="AY36" s="432"/>
      <c r="AZ36" s="432"/>
      <c r="BA36" s="432"/>
      <c r="BB36" s="432"/>
      <c r="BC36" s="432"/>
      <c r="BD36" s="432"/>
      <c r="BE36" s="433"/>
      <c r="BF36" s="433"/>
      <c r="BG36" s="433"/>
      <c r="BH36" s="433"/>
      <c r="BI36" s="433"/>
      <c r="BJ36" s="433"/>
      <c r="BK36" s="433"/>
      <c r="BL36" s="433"/>
      <c r="BM36" s="433"/>
      <c r="BN36" s="434"/>
      <c r="BO36" s="434"/>
      <c r="BP36" s="434">
        <v>15</v>
      </c>
      <c r="BQ36" s="434"/>
      <c r="BR36" s="434"/>
      <c r="BS36" s="434"/>
      <c r="BT36" s="434"/>
      <c r="BU36" s="434"/>
      <c r="BV36" s="431"/>
      <c r="BW36" s="431"/>
      <c r="BX36" s="431"/>
      <c r="BY36" s="431"/>
      <c r="BZ36" s="431"/>
      <c r="CA36" s="431"/>
      <c r="CB36" s="431"/>
      <c r="CC36" s="435"/>
      <c r="CD36" s="435"/>
      <c r="CE36" s="435"/>
      <c r="CF36" s="435"/>
      <c r="CG36" s="435"/>
      <c r="CH36" s="435"/>
      <c r="CI36" s="435"/>
      <c r="CJ36" s="435"/>
      <c r="CK36" s="435"/>
      <c r="CL36" s="435"/>
      <c r="CM36" s="435"/>
      <c r="CN36" s="435"/>
      <c r="CO36" s="435"/>
      <c r="CP36" s="435"/>
      <c r="CQ36" s="435"/>
      <c r="CR36" s="435"/>
      <c r="CS36" s="436"/>
      <c r="CT36" s="436"/>
      <c r="CU36" s="436"/>
      <c r="CV36" s="436"/>
      <c r="CW36" s="436"/>
      <c r="CX36" s="436"/>
      <c r="CY36" s="436"/>
      <c r="CZ36" s="436"/>
      <c r="DA36" s="436"/>
      <c r="DB36" s="436"/>
      <c r="DC36" s="436"/>
      <c r="DD36" s="436"/>
      <c r="DE36" s="436"/>
      <c r="DF36" s="436"/>
      <c r="DG36" s="436"/>
      <c r="DH36" s="436"/>
      <c r="DI36" s="436"/>
      <c r="DJ36" s="436"/>
      <c r="DK36" s="436"/>
      <c r="DL36" s="436"/>
      <c r="DM36" s="436"/>
      <c r="DN36" s="938"/>
      <c r="DO36" s="437"/>
      <c r="DP36" s="437"/>
      <c r="DQ36" s="438"/>
      <c r="DR36" s="438"/>
      <c r="DS36" s="433"/>
      <c r="DT36" s="433"/>
      <c r="DU36" s="433"/>
      <c r="DV36" s="433"/>
      <c r="DW36" s="433"/>
      <c r="DX36" s="433"/>
      <c r="DY36" s="433"/>
      <c r="DZ36" s="433"/>
      <c r="EA36" s="433"/>
      <c r="EB36" s="433"/>
      <c r="EC36" s="433"/>
      <c r="ED36" s="433"/>
      <c r="EE36" s="433"/>
      <c r="EF36" s="433"/>
      <c r="EG36" s="433"/>
      <c r="EH36" s="433"/>
      <c r="EI36" s="433"/>
      <c r="EJ36" s="433"/>
      <c r="EK36" s="433"/>
      <c r="EL36" s="433"/>
      <c r="EM36" s="433"/>
      <c r="EN36" s="433"/>
      <c r="EO36" s="433"/>
      <c r="EP36" s="433"/>
      <c r="EQ36" s="433"/>
      <c r="ER36" s="433"/>
      <c r="ES36" s="433"/>
      <c r="ET36" s="433"/>
      <c r="EU36" s="433"/>
      <c r="EV36" s="433"/>
      <c r="EW36" s="433"/>
      <c r="EX36" s="433"/>
      <c r="EY36" s="433"/>
      <c r="EZ36" s="433"/>
      <c r="FA36" s="377"/>
      <c r="FB36" s="378">
        <v>15</v>
      </c>
      <c r="FC36" s="378"/>
      <c r="FD36" s="379">
        <f t="shared" si="38"/>
        <v>0</v>
      </c>
      <c r="FE36" s="790"/>
    </row>
    <row r="37" spans="2:164" ht="26.1" customHeight="1" outlineLevel="1" thickBot="1" x14ac:dyDescent="0.3">
      <c r="B37" s="1018"/>
      <c r="C37" s="1020"/>
      <c r="D37" s="1034"/>
      <c r="E37" s="1038"/>
      <c r="F37" s="838" t="s">
        <v>112</v>
      </c>
      <c r="G37" s="804" t="str">
        <f>VLOOKUP(H37,инфо!AD:AE,2,FALSE)</f>
        <v>Прочее</v>
      </c>
      <c r="H37" s="580" t="s">
        <v>1197</v>
      </c>
      <c r="I37" s="590" t="s">
        <v>60</v>
      </c>
      <c r="J37" s="430"/>
      <c r="K37" s="431"/>
      <c r="L37" s="431"/>
      <c r="M37" s="431"/>
      <c r="N37" s="431"/>
      <c r="O37" s="431"/>
      <c r="P37" s="431"/>
      <c r="Q37" s="431"/>
      <c r="R37" s="431"/>
      <c r="S37" s="431"/>
      <c r="T37" s="431"/>
      <c r="U37" s="431"/>
      <c r="V37" s="431"/>
      <c r="W37" s="432"/>
      <c r="X37" s="432"/>
      <c r="Y37" s="432"/>
      <c r="Z37" s="432"/>
      <c r="AA37" s="432"/>
      <c r="AB37" s="432"/>
      <c r="AC37" s="432"/>
      <c r="AD37" s="432"/>
      <c r="AE37" s="432"/>
      <c r="AF37" s="432"/>
      <c r="AG37" s="432"/>
      <c r="AH37" s="432"/>
      <c r="AI37" s="432"/>
      <c r="AJ37" s="432"/>
      <c r="AK37" s="432"/>
      <c r="AL37" s="432"/>
      <c r="AM37" s="432"/>
      <c r="AN37" s="432"/>
      <c r="AO37" s="432"/>
      <c r="AP37" s="432"/>
      <c r="AQ37" s="432"/>
      <c r="AR37" s="432"/>
      <c r="AS37" s="432"/>
      <c r="AT37" s="432"/>
      <c r="AU37" s="432"/>
      <c r="AV37" s="432"/>
      <c r="AW37" s="432"/>
      <c r="AX37" s="432"/>
      <c r="AY37" s="432"/>
      <c r="AZ37" s="432"/>
      <c r="BA37" s="432"/>
      <c r="BB37" s="432"/>
      <c r="BC37" s="432"/>
      <c r="BD37" s="432"/>
      <c r="BE37" s="433"/>
      <c r="BF37" s="433"/>
      <c r="BG37" s="433"/>
      <c r="BH37" s="433"/>
      <c r="BI37" s="433"/>
      <c r="BJ37" s="433"/>
      <c r="BK37" s="433"/>
      <c r="BL37" s="433"/>
      <c r="BM37" s="433"/>
      <c r="BN37" s="434">
        <v>15</v>
      </c>
      <c r="BO37" s="434"/>
      <c r="BP37" s="434"/>
      <c r="BQ37" s="434"/>
      <c r="BR37" s="434"/>
      <c r="BS37" s="434"/>
      <c r="BT37" s="434"/>
      <c r="BU37" s="434"/>
      <c r="BV37" s="431"/>
      <c r="BW37" s="431"/>
      <c r="BX37" s="431"/>
      <c r="BY37" s="431"/>
      <c r="BZ37" s="431"/>
      <c r="CA37" s="431"/>
      <c r="CB37" s="431"/>
      <c r="CC37" s="435"/>
      <c r="CD37" s="435"/>
      <c r="CE37" s="435"/>
      <c r="CF37" s="435"/>
      <c r="CG37" s="435"/>
      <c r="CH37" s="435"/>
      <c r="CI37" s="435"/>
      <c r="CJ37" s="435"/>
      <c r="CK37" s="435"/>
      <c r="CL37" s="435"/>
      <c r="CM37" s="435"/>
      <c r="CN37" s="435"/>
      <c r="CO37" s="435"/>
      <c r="CP37" s="435"/>
      <c r="CQ37" s="435"/>
      <c r="CR37" s="435"/>
      <c r="CS37" s="436"/>
      <c r="CT37" s="436"/>
      <c r="CU37" s="436"/>
      <c r="CV37" s="436"/>
      <c r="CW37" s="436"/>
      <c r="CX37" s="436"/>
      <c r="CY37" s="436"/>
      <c r="CZ37" s="436"/>
      <c r="DA37" s="436"/>
      <c r="DB37" s="436"/>
      <c r="DC37" s="436"/>
      <c r="DD37" s="436"/>
      <c r="DE37" s="436"/>
      <c r="DF37" s="436"/>
      <c r="DG37" s="436"/>
      <c r="DH37" s="436"/>
      <c r="DI37" s="436"/>
      <c r="DJ37" s="436"/>
      <c r="DK37" s="436"/>
      <c r="DL37" s="436"/>
      <c r="DM37" s="436"/>
      <c r="DN37" s="938"/>
      <c r="DO37" s="437"/>
      <c r="DP37" s="437"/>
      <c r="DQ37" s="438"/>
      <c r="DR37" s="438"/>
      <c r="DS37" s="433"/>
      <c r="DT37" s="433"/>
      <c r="DU37" s="433"/>
      <c r="DV37" s="433"/>
      <c r="DW37" s="433"/>
      <c r="DX37" s="433"/>
      <c r="DY37" s="433"/>
      <c r="DZ37" s="433"/>
      <c r="EA37" s="433"/>
      <c r="EB37" s="433"/>
      <c r="EC37" s="433"/>
      <c r="ED37" s="433"/>
      <c r="EE37" s="433"/>
      <c r="EF37" s="433"/>
      <c r="EG37" s="433"/>
      <c r="EH37" s="433"/>
      <c r="EI37" s="433"/>
      <c r="EJ37" s="433"/>
      <c r="EK37" s="433"/>
      <c r="EL37" s="433"/>
      <c r="EM37" s="433"/>
      <c r="EN37" s="433"/>
      <c r="EO37" s="433"/>
      <c r="EP37" s="433"/>
      <c r="EQ37" s="433"/>
      <c r="ER37" s="433"/>
      <c r="ES37" s="433"/>
      <c r="ET37" s="433"/>
      <c r="EU37" s="433"/>
      <c r="EV37" s="433"/>
      <c r="EW37" s="433"/>
      <c r="EX37" s="433"/>
      <c r="EY37" s="433"/>
      <c r="EZ37" s="433"/>
      <c r="FA37" s="377"/>
      <c r="FB37" s="378">
        <v>15</v>
      </c>
      <c r="FC37" s="378"/>
      <c r="FD37" s="379">
        <f t="shared" si="38"/>
        <v>0</v>
      </c>
      <c r="FE37" s="790"/>
    </row>
    <row r="38" spans="2:164" ht="26.1" customHeight="1" outlineLevel="1" thickBot="1" x14ac:dyDescent="0.35">
      <c r="B38" s="1018"/>
      <c r="C38" s="1020"/>
      <c r="D38" s="1034"/>
      <c r="E38" s="1038"/>
      <c r="F38" s="840" t="s">
        <v>112</v>
      </c>
      <c r="G38" s="806" t="str">
        <f>VLOOKUP(H38,инфо!AD:AE,2,FALSE)</f>
        <v>Прочее</v>
      </c>
      <c r="H38" s="581" t="s">
        <v>1197</v>
      </c>
      <c r="I38" s="573"/>
      <c r="J38" s="457"/>
      <c r="K38" s="458"/>
      <c r="L38" s="458"/>
      <c r="M38" s="458"/>
      <c r="N38" s="458"/>
      <c r="O38" s="458"/>
      <c r="P38" s="458"/>
      <c r="Q38" s="458"/>
      <c r="R38" s="458"/>
      <c r="S38" s="458"/>
      <c r="T38" s="458"/>
      <c r="U38" s="458"/>
      <c r="V38" s="458"/>
      <c r="W38" s="459"/>
      <c r="X38" s="459"/>
      <c r="Y38" s="459"/>
      <c r="Z38" s="459"/>
      <c r="AA38" s="459"/>
      <c r="AB38" s="459"/>
      <c r="AC38" s="459"/>
      <c r="AD38" s="459"/>
      <c r="AE38" s="459"/>
      <c r="AF38" s="459"/>
      <c r="AG38" s="459"/>
      <c r="AH38" s="459"/>
      <c r="AI38" s="459"/>
      <c r="AJ38" s="459"/>
      <c r="AK38" s="459"/>
      <c r="AL38" s="459"/>
      <c r="AM38" s="459"/>
      <c r="AN38" s="459"/>
      <c r="AO38" s="459"/>
      <c r="AP38" s="459"/>
      <c r="AQ38" s="459"/>
      <c r="AR38" s="459"/>
      <c r="AS38" s="459"/>
      <c r="AT38" s="459"/>
      <c r="AU38" s="459"/>
      <c r="AV38" s="459"/>
      <c r="AW38" s="459"/>
      <c r="AX38" s="459"/>
      <c r="AY38" s="459"/>
      <c r="AZ38" s="459"/>
      <c r="BA38" s="459"/>
      <c r="BB38" s="459"/>
      <c r="BC38" s="459"/>
      <c r="BD38" s="459"/>
      <c r="BE38" s="460"/>
      <c r="BF38" s="460"/>
      <c r="BG38" s="460"/>
      <c r="BH38" s="460"/>
      <c r="BI38" s="460"/>
      <c r="BJ38" s="460"/>
      <c r="BK38" s="460"/>
      <c r="BL38" s="460"/>
      <c r="BM38" s="460"/>
      <c r="BN38" s="461"/>
      <c r="BO38" s="461"/>
      <c r="BP38" s="461"/>
      <c r="BQ38" s="461"/>
      <c r="BR38" s="461"/>
      <c r="BS38" s="461"/>
      <c r="BT38" s="461"/>
      <c r="BU38" s="461"/>
      <c r="BV38" s="458"/>
      <c r="BW38" s="458"/>
      <c r="BX38" s="458"/>
      <c r="BY38" s="458"/>
      <c r="BZ38" s="458"/>
      <c r="CA38" s="458"/>
      <c r="CB38" s="458"/>
      <c r="CC38" s="462"/>
      <c r="CD38" s="462"/>
      <c r="CE38" s="462"/>
      <c r="CF38" s="462"/>
      <c r="CG38" s="462"/>
      <c r="CH38" s="462"/>
      <c r="CI38" s="462"/>
      <c r="CJ38" s="462"/>
      <c r="CK38" s="462"/>
      <c r="CL38" s="462"/>
      <c r="CM38" s="462"/>
      <c r="CN38" s="462"/>
      <c r="CO38" s="462"/>
      <c r="CP38" s="462"/>
      <c r="CQ38" s="462"/>
      <c r="CR38" s="462"/>
      <c r="CS38" s="463"/>
      <c r="CT38" s="463"/>
      <c r="CU38" s="463"/>
      <c r="CV38" s="463"/>
      <c r="CW38" s="463"/>
      <c r="CX38" s="463"/>
      <c r="CY38" s="463"/>
      <c r="CZ38" s="463"/>
      <c r="DA38" s="463"/>
      <c r="DB38" s="463"/>
      <c r="DC38" s="463"/>
      <c r="DD38" s="463"/>
      <c r="DE38" s="463"/>
      <c r="DF38" s="463"/>
      <c r="DG38" s="463"/>
      <c r="DH38" s="463"/>
      <c r="DI38" s="463"/>
      <c r="DJ38" s="463"/>
      <c r="DK38" s="463"/>
      <c r="DL38" s="463"/>
      <c r="DM38" s="463"/>
      <c r="DN38" s="941"/>
      <c r="DO38" s="464"/>
      <c r="DP38" s="464"/>
      <c r="DQ38" s="465"/>
      <c r="DR38" s="465"/>
      <c r="DS38" s="460"/>
      <c r="DT38" s="467"/>
      <c r="DU38" s="467"/>
      <c r="DV38" s="467"/>
      <c r="DW38" s="467"/>
      <c r="DX38" s="467"/>
      <c r="DY38" s="467"/>
      <c r="DZ38" s="467"/>
      <c r="EA38" s="467"/>
      <c r="EB38" s="467"/>
      <c r="EC38" s="467"/>
      <c r="ED38" s="467"/>
      <c r="EE38" s="467"/>
      <c r="EF38" s="467"/>
      <c r="EG38" s="467"/>
      <c r="EH38" s="467"/>
      <c r="EI38" s="467"/>
      <c r="EJ38" s="467"/>
      <c r="EK38" s="467"/>
      <c r="EL38" s="467"/>
      <c r="EM38" s="467"/>
      <c r="EN38" s="467"/>
      <c r="EO38" s="467"/>
      <c r="EP38" s="467"/>
      <c r="EQ38" s="467"/>
      <c r="ER38" s="467"/>
      <c r="ES38" s="467"/>
      <c r="ET38" s="467"/>
      <c r="EU38" s="467"/>
      <c r="EV38" s="467"/>
      <c r="EW38" s="467"/>
      <c r="EX38" s="467"/>
      <c r="EY38" s="467"/>
      <c r="EZ38" s="467"/>
      <c r="FA38" s="402"/>
      <c r="FB38" s="403"/>
      <c r="FC38" s="403"/>
      <c r="FD38" s="404">
        <f t="shared" si="38"/>
        <v>0</v>
      </c>
      <c r="FE38" s="790"/>
    </row>
    <row r="39" spans="2:164" ht="26.1" customHeight="1" outlineLevel="1" thickBot="1" x14ac:dyDescent="0.35">
      <c r="B39" s="1018"/>
      <c r="C39" s="1020"/>
      <c r="D39" s="1034"/>
      <c r="E39" s="1042" t="s">
        <v>116</v>
      </c>
      <c r="F39" s="841" t="s">
        <v>112</v>
      </c>
      <c r="G39" s="807" t="str">
        <f>VLOOKUP(H39,инфо!AD:AE,2,FALSE)</f>
        <v>Напитки</v>
      </c>
      <c r="H39" s="577" t="s">
        <v>1195</v>
      </c>
      <c r="I39" s="588" t="s">
        <v>1154</v>
      </c>
      <c r="J39" s="421"/>
      <c r="K39" s="422"/>
      <c r="L39" s="422"/>
      <c r="M39" s="422"/>
      <c r="N39" s="422"/>
      <c r="O39" s="422"/>
      <c r="P39" s="422"/>
      <c r="Q39" s="422"/>
      <c r="R39" s="422"/>
      <c r="S39" s="422"/>
      <c r="T39" s="422"/>
      <c r="U39" s="422"/>
      <c r="V39" s="422"/>
      <c r="W39" s="423"/>
      <c r="X39" s="423"/>
      <c r="Y39" s="423"/>
      <c r="Z39" s="423"/>
      <c r="AA39" s="423"/>
      <c r="AB39" s="423"/>
      <c r="AC39" s="423"/>
      <c r="AD39" s="423"/>
      <c r="AE39" s="423"/>
      <c r="AF39" s="423"/>
      <c r="AG39" s="423"/>
      <c r="AH39" s="423"/>
      <c r="AI39" s="423"/>
      <c r="AJ39" s="423"/>
      <c r="AK39" s="423"/>
      <c r="AL39" s="423"/>
      <c r="AM39" s="423"/>
      <c r="AN39" s="423"/>
      <c r="AO39" s="423"/>
      <c r="AP39" s="423"/>
      <c r="AQ39" s="423"/>
      <c r="AR39" s="423"/>
      <c r="AS39" s="423"/>
      <c r="AT39" s="423"/>
      <c r="AU39" s="423"/>
      <c r="AV39" s="423"/>
      <c r="AW39" s="423"/>
      <c r="AX39" s="423"/>
      <c r="AY39" s="423"/>
      <c r="AZ39" s="423"/>
      <c r="BA39" s="423"/>
      <c r="BB39" s="423"/>
      <c r="BC39" s="423"/>
      <c r="BD39" s="423"/>
      <c r="BE39" s="424"/>
      <c r="BF39" s="424"/>
      <c r="BG39" s="424"/>
      <c r="BH39" s="424"/>
      <c r="BI39" s="424"/>
      <c r="BJ39" s="424"/>
      <c r="BK39" s="424"/>
      <c r="BL39" s="424"/>
      <c r="BM39" s="424"/>
      <c r="BN39" s="425"/>
      <c r="BO39" s="425"/>
      <c r="BP39" s="425"/>
      <c r="BQ39" s="425"/>
      <c r="BR39" s="425"/>
      <c r="BS39" s="425"/>
      <c r="BT39" s="425"/>
      <c r="BU39" s="425"/>
      <c r="BV39" s="422"/>
      <c r="BW39" s="422"/>
      <c r="BX39" s="422"/>
      <c r="BY39" s="422"/>
      <c r="BZ39" s="422"/>
      <c r="CA39" s="422"/>
      <c r="CB39" s="422"/>
      <c r="CC39" s="426"/>
      <c r="CD39" s="426"/>
      <c r="CE39" s="426"/>
      <c r="CF39" s="426"/>
      <c r="CG39" s="426"/>
      <c r="CH39" s="426"/>
      <c r="CI39" s="426"/>
      <c r="CJ39" s="426"/>
      <c r="CK39" s="426"/>
      <c r="CL39" s="426"/>
      <c r="CM39" s="426"/>
      <c r="CN39" s="426"/>
      <c r="CO39" s="426"/>
      <c r="CP39" s="426"/>
      <c r="CQ39" s="426"/>
      <c r="CR39" s="426"/>
      <c r="CS39" s="427"/>
      <c r="CT39" s="427"/>
      <c r="CU39" s="427"/>
      <c r="CV39" s="427"/>
      <c r="CW39" s="427"/>
      <c r="CX39" s="427"/>
      <c r="CY39" s="427"/>
      <c r="CZ39" s="427"/>
      <c r="DA39" s="427"/>
      <c r="DB39" s="427"/>
      <c r="DC39" s="427"/>
      <c r="DD39" s="427"/>
      <c r="DE39" s="427"/>
      <c r="DF39" s="427"/>
      <c r="DG39" s="427"/>
      <c r="DH39" s="427"/>
      <c r="DI39" s="427"/>
      <c r="DJ39" s="427"/>
      <c r="DK39" s="427"/>
      <c r="DL39" s="427"/>
      <c r="DM39" s="427"/>
      <c r="DN39" s="937"/>
      <c r="DO39" s="428">
        <v>15</v>
      </c>
      <c r="DP39" s="428"/>
      <c r="DQ39" s="429"/>
      <c r="DR39" s="429"/>
      <c r="DS39" s="424"/>
      <c r="DT39" s="468"/>
      <c r="DU39" s="468"/>
      <c r="DV39" s="468"/>
      <c r="DW39" s="468"/>
      <c r="DX39" s="468"/>
      <c r="DY39" s="468"/>
      <c r="DZ39" s="468"/>
      <c r="EA39" s="468">
        <v>250</v>
      </c>
      <c r="EB39" s="468"/>
      <c r="EC39" s="468"/>
      <c r="ED39" s="468"/>
      <c r="EE39" s="468"/>
      <c r="EF39" s="468"/>
      <c r="EG39" s="468"/>
      <c r="EH39" s="468"/>
      <c r="EI39" s="468">
        <v>8</v>
      </c>
      <c r="EJ39" s="468">
        <v>8</v>
      </c>
      <c r="EK39" s="468">
        <v>4</v>
      </c>
      <c r="EL39" s="468"/>
      <c r="EM39" s="468"/>
      <c r="EN39" s="468"/>
      <c r="EO39" s="468"/>
      <c r="EP39" s="468"/>
      <c r="EQ39" s="468"/>
      <c r="ER39" s="468"/>
      <c r="ES39" s="468"/>
      <c r="ET39" s="468"/>
      <c r="EU39" s="468"/>
      <c r="EV39" s="468"/>
      <c r="EW39" s="468"/>
      <c r="EX39" s="468"/>
      <c r="EY39" s="468"/>
      <c r="EZ39" s="468"/>
      <c r="FA39" s="415"/>
      <c r="FB39" s="416">
        <v>250</v>
      </c>
      <c r="FC39" s="416"/>
      <c r="FD39" s="417">
        <f t="shared" si="38"/>
        <v>0</v>
      </c>
      <c r="FE39" s="790"/>
    </row>
    <row r="40" spans="2:164" ht="26.1" customHeight="1" outlineLevel="1" thickBot="1" x14ac:dyDescent="0.35">
      <c r="B40" s="1018"/>
      <c r="C40" s="1020"/>
      <c r="D40" s="1034"/>
      <c r="E40" s="1038"/>
      <c r="F40" s="838" t="s">
        <v>112</v>
      </c>
      <c r="G40" s="804" t="str">
        <f>VLOOKUP(H40,инфо!AD:AE,2,FALSE)</f>
        <v>Прочее</v>
      </c>
      <c r="H40" s="580" t="s">
        <v>1197</v>
      </c>
      <c r="I40" s="588" t="s">
        <v>82</v>
      </c>
      <c r="J40" s="430"/>
      <c r="K40" s="431"/>
      <c r="L40" s="431"/>
      <c r="M40" s="431"/>
      <c r="N40" s="431"/>
      <c r="O40" s="431"/>
      <c r="P40" s="431"/>
      <c r="Q40" s="431"/>
      <c r="R40" s="431"/>
      <c r="S40" s="431"/>
      <c r="T40" s="431"/>
      <c r="U40" s="431"/>
      <c r="V40" s="431"/>
      <c r="W40" s="432"/>
      <c r="X40" s="432"/>
      <c r="Y40" s="432"/>
      <c r="Z40" s="432"/>
      <c r="AA40" s="432"/>
      <c r="AB40" s="432"/>
      <c r="AC40" s="432"/>
      <c r="AD40" s="432"/>
      <c r="AE40" s="432"/>
      <c r="AF40" s="432"/>
      <c r="AG40" s="432"/>
      <c r="AH40" s="432"/>
      <c r="AI40" s="432"/>
      <c r="AJ40" s="432"/>
      <c r="AK40" s="432"/>
      <c r="AL40" s="432"/>
      <c r="AM40" s="432"/>
      <c r="AN40" s="432"/>
      <c r="AO40" s="432"/>
      <c r="AP40" s="432"/>
      <c r="AQ40" s="432"/>
      <c r="AR40" s="432"/>
      <c r="AS40" s="432"/>
      <c r="AT40" s="432"/>
      <c r="AU40" s="432"/>
      <c r="AV40" s="432"/>
      <c r="AW40" s="432"/>
      <c r="AX40" s="432"/>
      <c r="AY40" s="432"/>
      <c r="AZ40" s="432"/>
      <c r="BA40" s="432"/>
      <c r="BB40" s="432"/>
      <c r="BC40" s="432"/>
      <c r="BD40" s="432"/>
      <c r="BE40" s="433"/>
      <c r="BF40" s="433"/>
      <c r="BG40" s="433"/>
      <c r="BH40" s="433"/>
      <c r="BI40" s="433"/>
      <c r="BJ40" s="433"/>
      <c r="BK40" s="433"/>
      <c r="BL40" s="433"/>
      <c r="BM40" s="433"/>
      <c r="BN40" s="434"/>
      <c r="BO40" s="434"/>
      <c r="BP40" s="434"/>
      <c r="BQ40" s="434"/>
      <c r="BR40" s="434"/>
      <c r="BS40" s="434"/>
      <c r="BT40" s="434"/>
      <c r="BU40" s="434"/>
      <c r="BV40" s="431"/>
      <c r="BW40" s="431"/>
      <c r="BX40" s="431"/>
      <c r="BY40" s="431"/>
      <c r="BZ40" s="431"/>
      <c r="CA40" s="431"/>
      <c r="CB40" s="431"/>
      <c r="CC40" s="435"/>
      <c r="CD40" s="435"/>
      <c r="CE40" s="435"/>
      <c r="CF40" s="435"/>
      <c r="CG40" s="435"/>
      <c r="CH40" s="435"/>
      <c r="CI40" s="435"/>
      <c r="CJ40" s="435"/>
      <c r="CK40" s="435"/>
      <c r="CL40" s="435"/>
      <c r="CM40" s="435"/>
      <c r="CN40" s="435"/>
      <c r="CO40" s="435"/>
      <c r="CP40" s="435"/>
      <c r="CQ40" s="435"/>
      <c r="CR40" s="435"/>
      <c r="CS40" s="436"/>
      <c r="CT40" s="436"/>
      <c r="CU40" s="436"/>
      <c r="CV40" s="436"/>
      <c r="CW40" s="436"/>
      <c r="CX40" s="436"/>
      <c r="CY40" s="436"/>
      <c r="CZ40" s="436"/>
      <c r="DA40" s="436"/>
      <c r="DB40" s="436"/>
      <c r="DC40" s="436"/>
      <c r="DD40" s="436"/>
      <c r="DE40" s="436"/>
      <c r="DF40" s="436"/>
      <c r="DG40" s="436"/>
      <c r="DH40" s="436"/>
      <c r="DI40" s="436"/>
      <c r="DJ40" s="436"/>
      <c r="DK40" s="436"/>
      <c r="DL40" s="436"/>
      <c r="DM40" s="436"/>
      <c r="DN40" s="938"/>
      <c r="DO40" s="437"/>
      <c r="DP40" s="437"/>
      <c r="DQ40" s="438"/>
      <c r="DR40" s="438"/>
      <c r="DS40" s="433"/>
      <c r="DT40" s="469"/>
      <c r="DU40" s="469"/>
      <c r="DV40" s="469"/>
      <c r="DW40" s="469"/>
      <c r="DX40" s="469"/>
      <c r="DY40" s="469"/>
      <c r="DZ40" s="469"/>
      <c r="EA40" s="469"/>
      <c r="EB40" s="469"/>
      <c r="EC40" s="469"/>
      <c r="ED40" s="469"/>
      <c r="EE40" s="469"/>
      <c r="EF40" s="469"/>
      <c r="EG40" s="469"/>
      <c r="EH40" s="469"/>
      <c r="EI40" s="469"/>
      <c r="EJ40" s="469"/>
      <c r="EK40" s="469"/>
      <c r="EL40" s="469"/>
      <c r="EM40" s="469"/>
      <c r="EN40" s="469"/>
      <c r="EO40" s="469">
        <v>20</v>
      </c>
      <c r="EP40" s="469"/>
      <c r="EQ40" s="469"/>
      <c r="ER40" s="469"/>
      <c r="ES40" s="469"/>
      <c r="ET40" s="469"/>
      <c r="EU40" s="469"/>
      <c r="EV40" s="469"/>
      <c r="EW40" s="469"/>
      <c r="EX40" s="469"/>
      <c r="EY40" s="469"/>
      <c r="EZ40" s="469"/>
      <c r="FA40" s="377"/>
      <c r="FB40" s="378">
        <v>20</v>
      </c>
      <c r="FC40" s="378"/>
      <c r="FD40" s="379">
        <f t="shared" si="38"/>
        <v>0</v>
      </c>
      <c r="FE40" s="790"/>
    </row>
    <row r="41" spans="2:164" ht="26.1" customHeight="1" outlineLevel="1" thickBot="1" x14ac:dyDescent="0.35">
      <c r="B41" s="1018"/>
      <c r="C41" s="1020"/>
      <c r="D41" s="1034"/>
      <c r="E41" s="1038"/>
      <c r="F41" s="838" t="s">
        <v>112</v>
      </c>
      <c r="G41" s="804" t="str">
        <f>VLOOKUP(H41,инфо!AD:AE,2,FALSE)</f>
        <v>Гарниры</v>
      </c>
      <c r="H41" s="580" t="s">
        <v>1198</v>
      </c>
      <c r="I41" s="575"/>
      <c r="J41" s="430"/>
      <c r="K41" s="431"/>
      <c r="L41" s="431"/>
      <c r="M41" s="431"/>
      <c r="N41" s="431"/>
      <c r="O41" s="431"/>
      <c r="P41" s="431"/>
      <c r="Q41" s="431"/>
      <c r="R41" s="431"/>
      <c r="S41" s="431"/>
      <c r="T41" s="431"/>
      <c r="U41" s="431"/>
      <c r="V41" s="431"/>
      <c r="W41" s="432"/>
      <c r="X41" s="432"/>
      <c r="Y41" s="432"/>
      <c r="Z41" s="432"/>
      <c r="AA41" s="432"/>
      <c r="AB41" s="432"/>
      <c r="AC41" s="432"/>
      <c r="AD41" s="432"/>
      <c r="AE41" s="432"/>
      <c r="AF41" s="432"/>
      <c r="AG41" s="432"/>
      <c r="AH41" s="432"/>
      <c r="AI41" s="432"/>
      <c r="AJ41" s="432"/>
      <c r="AK41" s="432"/>
      <c r="AL41" s="432"/>
      <c r="AM41" s="432"/>
      <c r="AN41" s="432"/>
      <c r="AO41" s="432"/>
      <c r="AP41" s="432"/>
      <c r="AQ41" s="432"/>
      <c r="AR41" s="432"/>
      <c r="AS41" s="432"/>
      <c r="AT41" s="432"/>
      <c r="AU41" s="432"/>
      <c r="AV41" s="432"/>
      <c r="AW41" s="432"/>
      <c r="AX41" s="432"/>
      <c r="AY41" s="432"/>
      <c r="AZ41" s="432"/>
      <c r="BA41" s="432"/>
      <c r="BB41" s="432"/>
      <c r="BC41" s="432"/>
      <c r="BD41" s="432"/>
      <c r="BE41" s="433"/>
      <c r="BF41" s="433"/>
      <c r="BG41" s="433"/>
      <c r="BH41" s="433"/>
      <c r="BI41" s="433"/>
      <c r="BJ41" s="433"/>
      <c r="BK41" s="433"/>
      <c r="BL41" s="433"/>
      <c r="BM41" s="433"/>
      <c r="BN41" s="434"/>
      <c r="BO41" s="434"/>
      <c r="BP41" s="434"/>
      <c r="BQ41" s="434"/>
      <c r="BR41" s="434"/>
      <c r="BS41" s="434"/>
      <c r="BT41" s="434"/>
      <c r="BU41" s="434"/>
      <c r="BV41" s="431"/>
      <c r="BW41" s="431"/>
      <c r="BX41" s="431"/>
      <c r="BY41" s="431"/>
      <c r="BZ41" s="431"/>
      <c r="CA41" s="431"/>
      <c r="CB41" s="431"/>
      <c r="CC41" s="435"/>
      <c r="CD41" s="435"/>
      <c r="CE41" s="435"/>
      <c r="CF41" s="435"/>
      <c r="CG41" s="435"/>
      <c r="CH41" s="435"/>
      <c r="CI41" s="435"/>
      <c r="CJ41" s="435"/>
      <c r="CK41" s="435"/>
      <c r="CL41" s="435"/>
      <c r="CM41" s="435"/>
      <c r="CN41" s="435"/>
      <c r="CO41" s="435"/>
      <c r="CP41" s="435"/>
      <c r="CQ41" s="435"/>
      <c r="CR41" s="435"/>
      <c r="CS41" s="436"/>
      <c r="CT41" s="436"/>
      <c r="CU41" s="436"/>
      <c r="CV41" s="436"/>
      <c r="CW41" s="436"/>
      <c r="CX41" s="436"/>
      <c r="CY41" s="436"/>
      <c r="CZ41" s="436"/>
      <c r="DA41" s="436"/>
      <c r="DB41" s="436"/>
      <c r="DC41" s="436"/>
      <c r="DD41" s="436"/>
      <c r="DE41" s="436"/>
      <c r="DF41" s="436"/>
      <c r="DG41" s="436"/>
      <c r="DH41" s="436"/>
      <c r="DI41" s="436"/>
      <c r="DJ41" s="436"/>
      <c r="DK41" s="436"/>
      <c r="DL41" s="436"/>
      <c r="DM41" s="436"/>
      <c r="DN41" s="938"/>
      <c r="DO41" s="437"/>
      <c r="DP41" s="437"/>
      <c r="DQ41" s="438"/>
      <c r="DR41" s="438"/>
      <c r="DS41" s="433"/>
      <c r="DT41" s="469"/>
      <c r="DU41" s="469"/>
      <c r="DV41" s="469"/>
      <c r="DW41" s="469"/>
      <c r="DX41" s="469"/>
      <c r="DY41" s="469"/>
      <c r="DZ41" s="469"/>
      <c r="EA41" s="469"/>
      <c r="EB41" s="469"/>
      <c r="EC41" s="469"/>
      <c r="ED41" s="469"/>
      <c r="EE41" s="469"/>
      <c r="EF41" s="469"/>
      <c r="EG41" s="469"/>
      <c r="EH41" s="469"/>
      <c r="EI41" s="469"/>
      <c r="EJ41" s="469"/>
      <c r="EK41" s="469"/>
      <c r="EL41" s="469"/>
      <c r="EM41" s="469"/>
      <c r="EN41" s="469"/>
      <c r="EO41" s="469"/>
      <c r="EP41" s="469"/>
      <c r="EQ41" s="469"/>
      <c r="ER41" s="469"/>
      <c r="ES41" s="469"/>
      <c r="ET41" s="469"/>
      <c r="EU41" s="469"/>
      <c r="EV41" s="469"/>
      <c r="EW41" s="469"/>
      <c r="EX41" s="469"/>
      <c r="EY41" s="469"/>
      <c r="EZ41" s="469"/>
      <c r="FA41" s="377"/>
      <c r="FB41" s="378"/>
      <c r="FC41" s="378"/>
      <c r="FD41" s="379">
        <f t="shared" si="38"/>
        <v>0</v>
      </c>
      <c r="FE41" s="790"/>
    </row>
    <row r="42" spans="2:164" ht="26.1" customHeight="1" outlineLevel="1" thickBot="1" x14ac:dyDescent="0.3">
      <c r="B42" s="1018"/>
      <c r="C42" s="1020"/>
      <c r="D42" s="1035"/>
      <c r="E42" s="1043"/>
      <c r="F42" s="840" t="s">
        <v>112</v>
      </c>
      <c r="G42" s="806" t="str">
        <f>VLOOKUP(H42,инфо!AD:AE,2,FALSE)</f>
        <v>Прочее</v>
      </c>
      <c r="H42" s="582" t="s">
        <v>1197</v>
      </c>
      <c r="I42" s="573"/>
      <c r="J42" s="439"/>
      <c r="K42" s="440"/>
      <c r="L42" s="440"/>
      <c r="M42" s="440"/>
      <c r="N42" s="440"/>
      <c r="O42" s="440"/>
      <c r="P42" s="440"/>
      <c r="Q42" s="440"/>
      <c r="R42" s="440"/>
      <c r="S42" s="440"/>
      <c r="T42" s="440"/>
      <c r="U42" s="440"/>
      <c r="V42" s="440"/>
      <c r="W42" s="441"/>
      <c r="X42" s="441"/>
      <c r="Y42" s="441"/>
      <c r="Z42" s="441"/>
      <c r="AA42" s="441"/>
      <c r="AB42" s="441"/>
      <c r="AC42" s="441"/>
      <c r="AD42" s="441"/>
      <c r="AE42" s="441"/>
      <c r="AF42" s="441"/>
      <c r="AG42" s="441"/>
      <c r="AH42" s="441"/>
      <c r="AI42" s="441"/>
      <c r="AJ42" s="441"/>
      <c r="AK42" s="441"/>
      <c r="AL42" s="441"/>
      <c r="AM42" s="441"/>
      <c r="AN42" s="441"/>
      <c r="AO42" s="441"/>
      <c r="AP42" s="441"/>
      <c r="AQ42" s="441"/>
      <c r="AR42" s="441"/>
      <c r="AS42" s="441"/>
      <c r="AT42" s="441"/>
      <c r="AU42" s="441"/>
      <c r="AV42" s="441"/>
      <c r="AW42" s="441"/>
      <c r="AX42" s="441"/>
      <c r="AY42" s="441"/>
      <c r="AZ42" s="441"/>
      <c r="BA42" s="441"/>
      <c r="BB42" s="441"/>
      <c r="BC42" s="441"/>
      <c r="BD42" s="441"/>
      <c r="BE42" s="442"/>
      <c r="BF42" s="442"/>
      <c r="BG42" s="442"/>
      <c r="BH42" s="442"/>
      <c r="BI42" s="442"/>
      <c r="BJ42" s="442"/>
      <c r="BK42" s="442"/>
      <c r="BL42" s="442"/>
      <c r="BM42" s="442"/>
      <c r="BN42" s="443"/>
      <c r="BO42" s="443"/>
      <c r="BP42" s="443"/>
      <c r="BQ42" s="443"/>
      <c r="BR42" s="443"/>
      <c r="BS42" s="443"/>
      <c r="BT42" s="443"/>
      <c r="BU42" s="443"/>
      <c r="BV42" s="440"/>
      <c r="BW42" s="440"/>
      <c r="BX42" s="440"/>
      <c r="BY42" s="440"/>
      <c r="BZ42" s="440"/>
      <c r="CA42" s="440"/>
      <c r="CB42" s="440"/>
      <c r="CC42" s="444"/>
      <c r="CD42" s="444"/>
      <c r="CE42" s="444"/>
      <c r="CF42" s="444"/>
      <c r="CG42" s="444"/>
      <c r="CH42" s="444"/>
      <c r="CI42" s="444"/>
      <c r="CJ42" s="444"/>
      <c r="CK42" s="444"/>
      <c r="CL42" s="444"/>
      <c r="CM42" s="444"/>
      <c r="CN42" s="444"/>
      <c r="CO42" s="444"/>
      <c r="CP42" s="444"/>
      <c r="CQ42" s="444"/>
      <c r="CR42" s="444"/>
      <c r="CS42" s="445"/>
      <c r="CT42" s="445"/>
      <c r="CU42" s="445"/>
      <c r="CV42" s="445"/>
      <c r="CW42" s="445"/>
      <c r="CX42" s="445"/>
      <c r="CY42" s="445"/>
      <c r="CZ42" s="445"/>
      <c r="DA42" s="445"/>
      <c r="DB42" s="445"/>
      <c r="DC42" s="445"/>
      <c r="DD42" s="445"/>
      <c r="DE42" s="445"/>
      <c r="DF42" s="445"/>
      <c r="DG42" s="445"/>
      <c r="DH42" s="445"/>
      <c r="DI42" s="445"/>
      <c r="DJ42" s="445"/>
      <c r="DK42" s="445"/>
      <c r="DL42" s="445"/>
      <c r="DM42" s="445"/>
      <c r="DN42" s="939"/>
      <c r="DO42" s="446"/>
      <c r="DP42" s="446"/>
      <c r="DQ42" s="447"/>
      <c r="DR42" s="447"/>
      <c r="DS42" s="442"/>
      <c r="DT42" s="442"/>
      <c r="DU42" s="442"/>
      <c r="DV42" s="442"/>
      <c r="DW42" s="442"/>
      <c r="DX42" s="442"/>
      <c r="DY42" s="442"/>
      <c r="DZ42" s="442"/>
      <c r="EA42" s="442"/>
      <c r="EB42" s="442"/>
      <c r="EC42" s="442"/>
      <c r="ED42" s="442"/>
      <c r="EE42" s="442"/>
      <c r="EF42" s="442"/>
      <c r="EG42" s="442"/>
      <c r="EH42" s="442"/>
      <c r="EI42" s="442"/>
      <c r="EJ42" s="442"/>
      <c r="EK42" s="442"/>
      <c r="EL42" s="442"/>
      <c r="EM42" s="442"/>
      <c r="EN42" s="442"/>
      <c r="EO42" s="442"/>
      <c r="EP42" s="442"/>
      <c r="EQ42" s="442"/>
      <c r="ER42" s="442"/>
      <c r="ES42" s="442"/>
      <c r="ET42" s="442"/>
      <c r="EU42" s="442"/>
      <c r="EV42" s="442"/>
      <c r="EW42" s="442"/>
      <c r="EX42" s="442"/>
      <c r="EY42" s="442"/>
      <c r="EZ42" s="442"/>
      <c r="FA42" s="377"/>
      <c r="FB42" s="378"/>
      <c r="FC42" s="378"/>
      <c r="FD42" s="379">
        <f t="shared" si="38"/>
        <v>0</v>
      </c>
      <c r="FE42" s="790"/>
    </row>
    <row r="43" spans="2:164" s="154" customFormat="1" ht="16.5" customHeight="1" outlineLevel="1" thickBot="1" x14ac:dyDescent="0.4">
      <c r="B43" s="1018"/>
      <c r="C43" s="1020"/>
      <c r="D43" s="145"/>
      <c r="E43" s="317" t="s">
        <v>174</v>
      </c>
      <c r="F43" s="836"/>
      <c r="G43" s="818"/>
      <c r="H43" s="576"/>
      <c r="I43" s="594"/>
      <c r="J43" s="305">
        <f>SUM(J29:J42)</f>
        <v>0</v>
      </c>
      <c r="K43" s="146">
        <f t="shared" ref="K43:CU43" si="39">SUM(K29:K42)</f>
        <v>108</v>
      </c>
      <c r="L43" s="146">
        <f t="shared" si="39"/>
        <v>0</v>
      </c>
      <c r="M43" s="146">
        <f t="shared" si="39"/>
        <v>0</v>
      </c>
      <c r="N43" s="146">
        <f t="shared" si="39"/>
        <v>0</v>
      </c>
      <c r="O43" s="146">
        <f t="shared" si="39"/>
        <v>0</v>
      </c>
      <c r="P43" s="146">
        <f t="shared" si="39"/>
        <v>0</v>
      </c>
      <c r="Q43" s="146">
        <f t="shared" si="39"/>
        <v>0</v>
      </c>
      <c r="R43" s="146">
        <f t="shared" si="39"/>
        <v>0</v>
      </c>
      <c r="S43" s="146">
        <f t="shared" si="39"/>
        <v>0</v>
      </c>
      <c r="T43" s="146">
        <f t="shared" ref="T43:V43" si="40">SUM(T29:T42)</f>
        <v>0</v>
      </c>
      <c r="U43" s="146">
        <f t="shared" si="40"/>
        <v>0</v>
      </c>
      <c r="V43" s="146">
        <f t="shared" si="40"/>
        <v>0</v>
      </c>
      <c r="W43" s="147">
        <f t="shared" si="39"/>
        <v>0</v>
      </c>
      <c r="X43" s="147">
        <f t="shared" si="39"/>
        <v>4</v>
      </c>
      <c r="Y43" s="147">
        <f t="shared" ref="Y43" si="41">SUM(Y29:Y42)</f>
        <v>0</v>
      </c>
      <c r="Z43" s="147">
        <f t="shared" si="39"/>
        <v>50</v>
      </c>
      <c r="AA43" s="147">
        <f t="shared" si="39"/>
        <v>100</v>
      </c>
      <c r="AB43" s="147">
        <f t="shared" ref="AB43:AC43" si="42">SUM(AB29:AB42)</f>
        <v>0</v>
      </c>
      <c r="AC43" s="147">
        <f t="shared" si="42"/>
        <v>0</v>
      </c>
      <c r="AD43" s="147">
        <f t="shared" si="39"/>
        <v>150</v>
      </c>
      <c r="AE43" s="147">
        <f t="shared" si="39"/>
        <v>0</v>
      </c>
      <c r="AF43" s="147">
        <f t="shared" ref="AF43:AH43" si="43">SUM(AF29:AF42)</f>
        <v>20</v>
      </c>
      <c r="AG43" s="147">
        <f t="shared" si="43"/>
        <v>39</v>
      </c>
      <c r="AH43" s="147">
        <f t="shared" si="43"/>
        <v>0</v>
      </c>
      <c r="AI43" s="147">
        <f t="shared" si="39"/>
        <v>0</v>
      </c>
      <c r="AJ43" s="147">
        <f t="shared" si="39"/>
        <v>45</v>
      </c>
      <c r="AK43" s="147">
        <f t="shared" si="39"/>
        <v>0</v>
      </c>
      <c r="AL43" s="147">
        <f t="shared" ref="AL43" si="44">SUM(AL29:AL42)</f>
        <v>0</v>
      </c>
      <c r="AM43" s="147">
        <f t="shared" ref="AM43:AS43" si="45">SUM(AM29:AM42)</f>
        <v>0</v>
      </c>
      <c r="AN43" s="147">
        <f t="shared" si="45"/>
        <v>0</v>
      </c>
      <c r="AO43" s="147">
        <f t="shared" si="45"/>
        <v>5</v>
      </c>
      <c r="AP43" s="147">
        <f t="shared" si="45"/>
        <v>0</v>
      </c>
      <c r="AQ43" s="147">
        <f t="shared" si="45"/>
        <v>0</v>
      </c>
      <c r="AR43" s="147">
        <f t="shared" si="45"/>
        <v>0</v>
      </c>
      <c r="AS43" s="147">
        <f t="shared" si="45"/>
        <v>0</v>
      </c>
      <c r="AT43" s="147">
        <f t="shared" si="39"/>
        <v>0</v>
      </c>
      <c r="AU43" s="147">
        <f t="shared" ref="AU43:BD43" si="46">SUM(AU29:AU42)</f>
        <v>0</v>
      </c>
      <c r="AV43" s="147">
        <f t="shared" si="46"/>
        <v>0</v>
      </c>
      <c r="AW43" s="147">
        <f t="shared" si="46"/>
        <v>115</v>
      </c>
      <c r="AX43" s="147">
        <f t="shared" si="46"/>
        <v>0</v>
      </c>
      <c r="AY43" s="147">
        <f t="shared" si="46"/>
        <v>0</v>
      </c>
      <c r="AZ43" s="147">
        <f t="shared" si="46"/>
        <v>0</v>
      </c>
      <c r="BA43" s="147">
        <f t="shared" si="46"/>
        <v>0</v>
      </c>
      <c r="BB43" s="147">
        <f t="shared" si="46"/>
        <v>0</v>
      </c>
      <c r="BC43" s="147">
        <f t="shared" si="46"/>
        <v>0</v>
      </c>
      <c r="BD43" s="147">
        <f t="shared" si="46"/>
        <v>0</v>
      </c>
      <c r="BE43" s="148">
        <f t="shared" ref="BE43:BP43" si="47">SUM(BE29:BE42)</f>
        <v>0</v>
      </c>
      <c r="BF43" s="148">
        <f t="shared" si="47"/>
        <v>0</v>
      </c>
      <c r="BG43" s="148">
        <f t="shared" si="47"/>
        <v>0</v>
      </c>
      <c r="BH43" s="148">
        <f t="shared" si="47"/>
        <v>0</v>
      </c>
      <c r="BI43" s="148">
        <f t="shared" ref="BI43:BL43" si="48">SUM(BI29:BI42)</f>
        <v>0</v>
      </c>
      <c r="BJ43" s="148">
        <f t="shared" si="48"/>
        <v>0</v>
      </c>
      <c r="BK43" s="148">
        <f t="shared" si="48"/>
        <v>0</v>
      </c>
      <c r="BL43" s="148">
        <f t="shared" si="48"/>
        <v>0</v>
      </c>
      <c r="BM43" s="148">
        <f t="shared" si="47"/>
        <v>0</v>
      </c>
      <c r="BN43" s="149">
        <f t="shared" si="47"/>
        <v>15</v>
      </c>
      <c r="BO43" s="149">
        <f t="shared" si="47"/>
        <v>19</v>
      </c>
      <c r="BP43" s="149">
        <f t="shared" si="47"/>
        <v>15</v>
      </c>
      <c r="BQ43" s="149">
        <f t="shared" ref="BQ43" si="49">SUM(BQ29:BQ42)</f>
        <v>0</v>
      </c>
      <c r="BR43" s="149">
        <f t="shared" ref="BR43:BU43" si="50">SUM(BR29:BR42)</f>
        <v>0</v>
      </c>
      <c r="BS43" s="149">
        <f t="shared" si="50"/>
        <v>0</v>
      </c>
      <c r="BT43" s="149">
        <f t="shared" si="50"/>
        <v>0</v>
      </c>
      <c r="BU43" s="149">
        <f t="shared" si="50"/>
        <v>0</v>
      </c>
      <c r="BV43" s="146">
        <f t="shared" ref="BV43:BX43" si="51">SUM(BV29:BV42)</f>
        <v>0</v>
      </c>
      <c r="BW43" s="146">
        <f t="shared" si="51"/>
        <v>0</v>
      </c>
      <c r="BX43" s="146">
        <f t="shared" si="51"/>
        <v>0</v>
      </c>
      <c r="BY43" s="146">
        <f t="shared" ref="BY43:BZ43" si="52">SUM(BY29:BY42)</f>
        <v>0</v>
      </c>
      <c r="BZ43" s="146">
        <f t="shared" si="52"/>
        <v>112.5</v>
      </c>
      <c r="CA43" s="146">
        <f t="shared" si="39"/>
        <v>0</v>
      </c>
      <c r="CB43" s="146">
        <f t="shared" si="39"/>
        <v>0</v>
      </c>
      <c r="CC43" s="265">
        <f t="shared" si="39"/>
        <v>0</v>
      </c>
      <c r="CD43" s="265">
        <f t="shared" si="39"/>
        <v>0</v>
      </c>
      <c r="CE43" s="265">
        <f t="shared" si="39"/>
        <v>0</v>
      </c>
      <c r="CF43" s="265">
        <f t="shared" si="39"/>
        <v>0</v>
      </c>
      <c r="CG43" s="265">
        <f t="shared" si="39"/>
        <v>0</v>
      </c>
      <c r="CH43" s="265">
        <f t="shared" si="39"/>
        <v>0</v>
      </c>
      <c r="CI43" s="265">
        <f t="shared" si="39"/>
        <v>0</v>
      </c>
      <c r="CJ43" s="265">
        <f t="shared" ref="CJ43" si="53">SUM(CJ29:CJ42)</f>
        <v>0</v>
      </c>
      <c r="CK43" s="265">
        <f t="shared" ref="CK43" si="54">SUM(CK29:CK42)</f>
        <v>0</v>
      </c>
      <c r="CL43" s="265">
        <f t="shared" si="39"/>
        <v>0</v>
      </c>
      <c r="CM43" s="265">
        <f t="shared" si="39"/>
        <v>0</v>
      </c>
      <c r="CN43" s="265">
        <f t="shared" ref="CN43:CQ43" si="55">SUM(CN29:CN42)</f>
        <v>0</v>
      </c>
      <c r="CO43" s="265">
        <f t="shared" si="55"/>
        <v>0</v>
      </c>
      <c r="CP43" s="265">
        <f t="shared" si="55"/>
        <v>0</v>
      </c>
      <c r="CQ43" s="265">
        <f t="shared" si="55"/>
        <v>0</v>
      </c>
      <c r="CR43" s="265">
        <f t="shared" si="39"/>
        <v>0</v>
      </c>
      <c r="CS43" s="281">
        <f t="shared" si="39"/>
        <v>0</v>
      </c>
      <c r="CT43" s="281">
        <f t="shared" ref="CT43" si="56">SUM(CT29:CT42)</f>
        <v>0</v>
      </c>
      <c r="CU43" s="281">
        <f t="shared" si="39"/>
        <v>0</v>
      </c>
      <c r="CV43" s="281">
        <f t="shared" ref="CV43:DE43" si="57">SUM(CV29:CV42)</f>
        <v>0</v>
      </c>
      <c r="CW43" s="281">
        <f t="shared" si="57"/>
        <v>0</v>
      </c>
      <c r="CX43" s="281">
        <f t="shared" si="57"/>
        <v>0</v>
      </c>
      <c r="CY43" s="281">
        <f t="shared" si="57"/>
        <v>0</v>
      </c>
      <c r="CZ43" s="281">
        <f t="shared" ref="CZ43" si="58">SUM(CZ29:CZ42)</f>
        <v>0</v>
      </c>
      <c r="DA43" s="281">
        <f t="shared" si="57"/>
        <v>0</v>
      </c>
      <c r="DB43" s="281">
        <f t="shared" si="57"/>
        <v>0</v>
      </c>
      <c r="DC43" s="281">
        <f t="shared" si="57"/>
        <v>0</v>
      </c>
      <c r="DD43" s="281">
        <f t="shared" si="57"/>
        <v>0</v>
      </c>
      <c r="DE43" s="281">
        <f t="shared" si="57"/>
        <v>0</v>
      </c>
      <c r="DF43" s="281">
        <f t="shared" ref="DF43:FD43" si="59">SUM(DF29:DF42)</f>
        <v>0</v>
      </c>
      <c r="DG43" s="281">
        <f t="shared" si="59"/>
        <v>0</v>
      </c>
      <c r="DH43" s="281">
        <f t="shared" si="59"/>
        <v>0</v>
      </c>
      <c r="DI43" s="281">
        <f t="shared" ref="DI43:DQ43" si="60">SUM(DI29:DI42)</f>
        <v>0</v>
      </c>
      <c r="DJ43" s="281">
        <f t="shared" si="60"/>
        <v>0</v>
      </c>
      <c r="DK43" s="281">
        <f t="shared" si="60"/>
        <v>0</v>
      </c>
      <c r="DL43" s="281">
        <f t="shared" si="60"/>
        <v>0</v>
      </c>
      <c r="DM43" s="281">
        <f t="shared" si="60"/>
        <v>0</v>
      </c>
      <c r="DN43" s="936">
        <f t="shared" si="60"/>
        <v>0</v>
      </c>
      <c r="DO43" s="148">
        <f t="shared" si="60"/>
        <v>15</v>
      </c>
      <c r="DP43" s="148">
        <f t="shared" si="60"/>
        <v>9.1999999999999993</v>
      </c>
      <c r="DQ43" s="148">
        <f t="shared" si="60"/>
        <v>3.4000000000000002E-2</v>
      </c>
      <c r="DR43" s="148">
        <f t="shared" si="59"/>
        <v>6.0000000000000005E-2</v>
      </c>
      <c r="DS43" s="148">
        <f t="shared" si="59"/>
        <v>2</v>
      </c>
      <c r="DT43" s="148">
        <f t="shared" si="59"/>
        <v>5</v>
      </c>
      <c r="DU43" s="148">
        <f t="shared" si="59"/>
        <v>0</v>
      </c>
      <c r="DV43" s="148">
        <f t="shared" si="59"/>
        <v>0</v>
      </c>
      <c r="DW43" s="148">
        <f t="shared" si="59"/>
        <v>0.5</v>
      </c>
      <c r="DX43" s="148">
        <f t="shared" si="59"/>
        <v>0</v>
      </c>
      <c r="DY43" s="148">
        <f t="shared" ref="DY43:EO43" si="61">SUM(DY29:DY42)</f>
        <v>0</v>
      </c>
      <c r="DZ43" s="148">
        <f t="shared" si="61"/>
        <v>0</v>
      </c>
      <c r="EA43" s="148">
        <f t="shared" si="61"/>
        <v>515.6</v>
      </c>
      <c r="EB43" s="148">
        <f t="shared" si="61"/>
        <v>424</v>
      </c>
      <c r="EC43" s="148">
        <f t="shared" si="61"/>
        <v>0</v>
      </c>
      <c r="ED43" s="148">
        <f t="shared" si="61"/>
        <v>0</v>
      </c>
      <c r="EE43" s="148">
        <f t="shared" si="61"/>
        <v>0</v>
      </c>
      <c r="EF43" s="148">
        <f t="shared" si="61"/>
        <v>0</v>
      </c>
      <c r="EG43" s="148">
        <f t="shared" si="61"/>
        <v>0</v>
      </c>
      <c r="EH43" s="148">
        <f t="shared" si="61"/>
        <v>0</v>
      </c>
      <c r="EI43" s="148">
        <f t="shared" si="61"/>
        <v>8</v>
      </c>
      <c r="EJ43" s="148">
        <f t="shared" si="61"/>
        <v>8</v>
      </c>
      <c r="EK43" s="148">
        <f t="shared" si="61"/>
        <v>4</v>
      </c>
      <c r="EL43" s="148">
        <f t="shared" si="61"/>
        <v>0</v>
      </c>
      <c r="EM43" s="148">
        <f t="shared" si="61"/>
        <v>0</v>
      </c>
      <c r="EN43" s="148">
        <f t="shared" si="61"/>
        <v>0</v>
      </c>
      <c r="EO43" s="148">
        <f t="shared" si="61"/>
        <v>20</v>
      </c>
      <c r="EP43" s="148">
        <f t="shared" ref="EP43:EZ43" si="62">SUM(EP29:EP42)</f>
        <v>0</v>
      </c>
      <c r="EQ43" s="148">
        <f t="shared" si="62"/>
        <v>0</v>
      </c>
      <c r="ER43" s="148">
        <f t="shared" si="62"/>
        <v>0</v>
      </c>
      <c r="ES43" s="148">
        <f t="shared" si="62"/>
        <v>0</v>
      </c>
      <c r="ET43" s="148">
        <f t="shared" si="62"/>
        <v>0</v>
      </c>
      <c r="EU43" s="148">
        <f t="shared" si="62"/>
        <v>0</v>
      </c>
      <c r="EV43" s="148">
        <f t="shared" si="62"/>
        <v>0</v>
      </c>
      <c r="EW43" s="148">
        <f t="shared" si="62"/>
        <v>0</v>
      </c>
      <c r="EX43" s="148">
        <f t="shared" si="62"/>
        <v>0</v>
      </c>
      <c r="EY43" s="148">
        <f t="shared" si="62"/>
        <v>0</v>
      </c>
      <c r="EZ43" s="148">
        <f t="shared" si="62"/>
        <v>0</v>
      </c>
      <c r="FA43" s="150">
        <f t="shared" si="59"/>
        <v>840</v>
      </c>
      <c r="FB43" s="151">
        <f t="shared" si="59"/>
        <v>1538</v>
      </c>
      <c r="FC43" s="151">
        <f t="shared" si="59"/>
        <v>65</v>
      </c>
      <c r="FD43" s="152">
        <f t="shared" si="59"/>
        <v>0</v>
      </c>
      <c r="FE43" s="792" t="str">
        <f>IF(FB43&lt;инфо!$AN$75,FB43-инфо!$AN$75,"")</f>
        <v/>
      </c>
      <c r="FF43" s="153"/>
      <c r="FG43" s="153"/>
      <c r="FH43" s="153"/>
    </row>
    <row r="44" spans="2:164" ht="26.1" customHeight="1" outlineLevel="1" thickBot="1" x14ac:dyDescent="0.3">
      <c r="B44" s="1018"/>
      <c r="C44" s="1020"/>
      <c r="D44" s="1057" t="s">
        <v>117</v>
      </c>
      <c r="E44" s="1063" t="s">
        <v>114</v>
      </c>
      <c r="F44" s="842" t="s">
        <v>117</v>
      </c>
      <c r="G44" s="808" t="str">
        <f>VLOOKUP(H44,инфо!AD:AE,2,FALSE)</f>
        <v>Первые блюда</v>
      </c>
      <c r="H44" s="583" t="s">
        <v>1204</v>
      </c>
      <c r="I44" s="588" t="s">
        <v>1268</v>
      </c>
      <c r="J44" s="470"/>
      <c r="K44" s="471"/>
      <c r="L44" s="471"/>
      <c r="M44" s="471"/>
      <c r="N44" s="471"/>
      <c r="O44" s="471"/>
      <c r="P44" s="471"/>
      <c r="Q44" s="471"/>
      <c r="R44" s="471"/>
      <c r="S44" s="471"/>
      <c r="T44" s="471"/>
      <c r="U44" s="471"/>
      <c r="V44" s="471"/>
      <c r="W44" s="472"/>
      <c r="X44" s="472"/>
      <c r="Y44" s="472"/>
      <c r="Z44" s="472"/>
      <c r="AA44" s="472"/>
      <c r="AB44" s="472"/>
      <c r="AC44" s="472"/>
      <c r="AD44" s="472">
        <v>250</v>
      </c>
      <c r="AE44" s="472"/>
      <c r="AF44" s="472">
        <v>10</v>
      </c>
      <c r="AG44" s="472">
        <v>10</v>
      </c>
      <c r="AH44" s="472"/>
      <c r="AI44" s="472"/>
      <c r="AJ44" s="472"/>
      <c r="AK44" s="472"/>
      <c r="AL44" s="472"/>
      <c r="AM44" s="472"/>
      <c r="AN44" s="472"/>
      <c r="AO44" s="472">
        <v>5</v>
      </c>
      <c r="AP44" s="472"/>
      <c r="AQ44" s="472"/>
      <c r="AR44" s="472"/>
      <c r="AS44" s="472"/>
      <c r="AT44" s="472"/>
      <c r="AU44" s="472"/>
      <c r="AV44" s="472"/>
      <c r="AW44" s="472"/>
      <c r="AX44" s="472"/>
      <c r="AY44" s="472"/>
      <c r="AZ44" s="472"/>
      <c r="BA44" s="472"/>
      <c r="BB44" s="472"/>
      <c r="BC44" s="472"/>
      <c r="BD44" s="472"/>
      <c r="BE44" s="473"/>
      <c r="BF44" s="473"/>
      <c r="BG44" s="473"/>
      <c r="BH44" s="473"/>
      <c r="BI44" s="473"/>
      <c r="BJ44" s="473"/>
      <c r="BK44" s="473"/>
      <c r="BL44" s="473"/>
      <c r="BM44" s="473"/>
      <c r="BN44" s="474"/>
      <c r="BO44" s="474">
        <v>4</v>
      </c>
      <c r="BP44" s="474"/>
      <c r="BQ44" s="474"/>
      <c r="BR44" s="474"/>
      <c r="BS44" s="474"/>
      <c r="BT44" s="474"/>
      <c r="BU44" s="474"/>
      <c r="BV44" s="471"/>
      <c r="BW44" s="471"/>
      <c r="BX44" s="471"/>
      <c r="BY44" s="471"/>
      <c r="BZ44" s="471"/>
      <c r="CA44" s="471"/>
      <c r="CB44" s="471"/>
      <c r="CC44" s="475"/>
      <c r="CD44" s="475"/>
      <c r="CE44" s="475"/>
      <c r="CF44" s="475"/>
      <c r="CG44" s="475"/>
      <c r="CH44" s="475"/>
      <c r="CI44" s="475"/>
      <c r="CJ44" s="475"/>
      <c r="CK44" s="475"/>
      <c r="CL44" s="475"/>
      <c r="CM44" s="475"/>
      <c r="CN44" s="475"/>
      <c r="CO44" s="475">
        <v>50</v>
      </c>
      <c r="CP44" s="475"/>
      <c r="CQ44" s="475"/>
      <c r="CR44" s="475"/>
      <c r="CS44" s="476"/>
      <c r="CT44" s="476"/>
      <c r="CU44" s="476"/>
      <c r="CV44" s="476"/>
      <c r="CW44" s="476"/>
      <c r="CX44" s="476"/>
      <c r="CY44" s="476"/>
      <c r="CZ44" s="476"/>
      <c r="DA44" s="476"/>
      <c r="DB44" s="476"/>
      <c r="DC44" s="476"/>
      <c r="DD44" s="476"/>
      <c r="DE44" s="476"/>
      <c r="DF44" s="476"/>
      <c r="DG44" s="476"/>
      <c r="DH44" s="476"/>
      <c r="DI44" s="476"/>
      <c r="DJ44" s="476"/>
      <c r="DK44" s="476"/>
      <c r="DL44" s="476"/>
      <c r="DM44" s="476"/>
      <c r="DN44" s="942"/>
      <c r="DO44" s="477"/>
      <c r="DP44" s="477">
        <v>4</v>
      </c>
      <c r="DQ44" s="478">
        <v>0.02</v>
      </c>
      <c r="DR44" s="478">
        <v>0.05</v>
      </c>
      <c r="DS44" s="473"/>
      <c r="DT44" s="473"/>
      <c r="DU44" s="473"/>
      <c r="DV44" s="473"/>
      <c r="DW44" s="473"/>
      <c r="DX44" s="473"/>
      <c r="DY44" s="473"/>
      <c r="DZ44" s="473"/>
      <c r="EA44" s="473"/>
      <c r="EB44" s="473">
        <v>400</v>
      </c>
      <c r="EC44" s="473"/>
      <c r="ED44" s="473"/>
      <c r="EE44" s="473"/>
      <c r="EF44" s="473"/>
      <c r="EG44" s="473"/>
      <c r="EH44" s="473"/>
      <c r="EI44" s="473"/>
      <c r="EJ44" s="473"/>
      <c r="EK44" s="473"/>
      <c r="EL44" s="473"/>
      <c r="EM44" s="473"/>
      <c r="EN44" s="473"/>
      <c r="EO44" s="473"/>
      <c r="EP44" s="473"/>
      <c r="EQ44" s="473"/>
      <c r="ER44" s="473"/>
      <c r="ES44" s="473"/>
      <c r="ET44" s="473"/>
      <c r="EU44" s="473"/>
      <c r="EV44" s="473"/>
      <c r="EW44" s="473"/>
      <c r="EX44" s="473"/>
      <c r="EY44" s="473"/>
      <c r="EZ44" s="473"/>
      <c r="FA44" s="377">
        <v>250</v>
      </c>
      <c r="FB44" s="378">
        <v>500</v>
      </c>
      <c r="FC44" s="378">
        <v>42.5</v>
      </c>
      <c r="FD44" s="379">
        <f t="shared" ref="FD44:FD55" si="63">SUM(BE44:BG44,BI44,BL44:BM44)+SUM(BH44,BJ44,BK44)*5</f>
        <v>0</v>
      </c>
      <c r="FE44" s="790"/>
    </row>
    <row r="45" spans="2:164" ht="26.1" customHeight="1" outlineLevel="1" thickBot="1" x14ac:dyDescent="0.3">
      <c r="B45" s="1018"/>
      <c r="C45" s="1020"/>
      <c r="D45" s="1058"/>
      <c r="E45" s="1064"/>
      <c r="F45" s="843" t="s">
        <v>117</v>
      </c>
      <c r="G45" s="809" t="str">
        <f>VLOOKUP(H45,инфо!AD:AE,2,FALSE)</f>
        <v>Гарниры</v>
      </c>
      <c r="H45" s="584" t="s">
        <v>1198</v>
      </c>
      <c r="I45" s="589" t="s">
        <v>156</v>
      </c>
      <c r="J45" s="479"/>
      <c r="K45" s="480"/>
      <c r="L45" s="480"/>
      <c r="M45" s="480"/>
      <c r="N45" s="480"/>
      <c r="O45" s="480"/>
      <c r="P45" s="480"/>
      <c r="Q45" s="480"/>
      <c r="R45" s="480"/>
      <c r="S45" s="480"/>
      <c r="T45" s="480"/>
      <c r="U45" s="480"/>
      <c r="V45" s="480">
        <v>83</v>
      </c>
      <c r="W45" s="481"/>
      <c r="X45" s="481"/>
      <c r="Y45" s="481"/>
      <c r="Z45" s="481"/>
      <c r="AA45" s="481"/>
      <c r="AB45" s="481"/>
      <c r="AC45" s="481"/>
      <c r="AD45" s="481"/>
      <c r="AE45" s="481"/>
      <c r="AF45" s="481"/>
      <c r="AG45" s="481"/>
      <c r="AH45" s="481"/>
      <c r="AI45" s="481"/>
      <c r="AJ45" s="481"/>
      <c r="AK45" s="481"/>
      <c r="AL45" s="481"/>
      <c r="AM45" s="481"/>
      <c r="AN45" s="481"/>
      <c r="AO45" s="481"/>
      <c r="AP45" s="481"/>
      <c r="AQ45" s="481"/>
      <c r="AR45" s="481"/>
      <c r="AS45" s="481"/>
      <c r="AT45" s="481"/>
      <c r="AU45" s="481"/>
      <c r="AV45" s="481"/>
      <c r="AW45" s="481"/>
      <c r="AX45" s="481"/>
      <c r="AY45" s="481"/>
      <c r="AZ45" s="481"/>
      <c r="BA45" s="481"/>
      <c r="BB45" s="481"/>
      <c r="BC45" s="481"/>
      <c r="BD45" s="481"/>
      <c r="BE45" s="482"/>
      <c r="BF45" s="482"/>
      <c r="BG45" s="482"/>
      <c r="BH45" s="482"/>
      <c r="BI45" s="482"/>
      <c r="BJ45" s="482"/>
      <c r="BK45" s="482"/>
      <c r="BL45" s="482"/>
      <c r="BM45" s="482"/>
      <c r="BN45" s="483"/>
      <c r="BO45" s="483"/>
      <c r="BP45" s="483"/>
      <c r="BQ45" s="483"/>
      <c r="BR45" s="483"/>
      <c r="BS45" s="483"/>
      <c r="BT45" s="483"/>
      <c r="BU45" s="483"/>
      <c r="BV45" s="480"/>
      <c r="BW45" s="480"/>
      <c r="BX45" s="480"/>
      <c r="BY45" s="480"/>
      <c r="BZ45" s="480"/>
      <c r="CA45" s="480"/>
      <c r="CB45" s="480"/>
      <c r="CC45" s="484"/>
      <c r="CD45" s="484"/>
      <c r="CE45" s="484"/>
      <c r="CF45" s="484"/>
      <c r="CG45" s="484"/>
      <c r="CH45" s="484"/>
      <c r="CI45" s="484"/>
      <c r="CJ45" s="484"/>
      <c r="CK45" s="484"/>
      <c r="CL45" s="484"/>
      <c r="CM45" s="484"/>
      <c r="CN45" s="484"/>
      <c r="CO45" s="484"/>
      <c r="CP45" s="484"/>
      <c r="CQ45" s="484"/>
      <c r="CR45" s="484"/>
      <c r="CS45" s="485"/>
      <c r="CT45" s="485"/>
      <c r="CU45" s="485"/>
      <c r="CV45" s="485"/>
      <c r="CW45" s="485"/>
      <c r="CX45" s="485"/>
      <c r="CY45" s="485"/>
      <c r="CZ45" s="485"/>
      <c r="DA45" s="485"/>
      <c r="DB45" s="485"/>
      <c r="DC45" s="485"/>
      <c r="DD45" s="485"/>
      <c r="DE45" s="485"/>
      <c r="DF45" s="485"/>
      <c r="DG45" s="485"/>
      <c r="DH45" s="485"/>
      <c r="DI45" s="485"/>
      <c r="DJ45" s="485"/>
      <c r="DK45" s="485"/>
      <c r="DL45" s="485"/>
      <c r="DM45" s="485"/>
      <c r="DN45" s="943"/>
      <c r="DO45" s="486"/>
      <c r="DP45" s="486">
        <v>3</v>
      </c>
      <c r="DQ45" s="487"/>
      <c r="DR45" s="487"/>
      <c r="DS45" s="482"/>
      <c r="DT45" s="482"/>
      <c r="DU45" s="482"/>
      <c r="DV45" s="482"/>
      <c r="DW45" s="482"/>
      <c r="DX45" s="482"/>
      <c r="DY45" s="482"/>
      <c r="DZ45" s="482"/>
      <c r="EA45" s="482">
        <v>182.60000000000002</v>
      </c>
      <c r="EB45" s="482"/>
      <c r="EC45" s="482"/>
      <c r="ED45" s="482"/>
      <c r="EE45" s="482"/>
      <c r="EF45" s="482"/>
      <c r="EG45" s="482"/>
      <c r="EH45" s="482"/>
      <c r="EI45" s="482"/>
      <c r="EJ45" s="482"/>
      <c r="EK45" s="482"/>
      <c r="EL45" s="482"/>
      <c r="EM45" s="482"/>
      <c r="EN45" s="482"/>
      <c r="EO45" s="482"/>
      <c r="EP45" s="482"/>
      <c r="EQ45" s="482"/>
      <c r="ER45" s="482"/>
      <c r="ES45" s="482"/>
      <c r="ET45" s="482"/>
      <c r="EU45" s="482"/>
      <c r="EV45" s="482"/>
      <c r="EW45" s="482"/>
      <c r="EX45" s="482"/>
      <c r="EY45" s="482"/>
      <c r="EZ45" s="482"/>
      <c r="FA45" s="377">
        <v>415</v>
      </c>
      <c r="FB45" s="378">
        <v>249</v>
      </c>
      <c r="FC45" s="378"/>
      <c r="FD45" s="379">
        <f t="shared" si="63"/>
        <v>0</v>
      </c>
      <c r="FE45" s="790"/>
    </row>
    <row r="46" spans="2:164" ht="26.1" customHeight="1" outlineLevel="1" thickBot="1" x14ac:dyDescent="0.3">
      <c r="B46" s="1018"/>
      <c r="C46" s="1020"/>
      <c r="D46" s="1058"/>
      <c r="E46" s="1064"/>
      <c r="F46" s="843" t="s">
        <v>117</v>
      </c>
      <c r="G46" s="809" t="str">
        <f>VLOOKUP(H46,инфо!AD:AE,2,FALSE)</f>
        <v>Мясные (рыбные) блюда с соусом</v>
      </c>
      <c r="H46" s="584" t="s">
        <v>1208</v>
      </c>
      <c r="I46" s="589" t="s">
        <v>781</v>
      </c>
      <c r="J46" s="479"/>
      <c r="K46" s="480"/>
      <c r="L46" s="480"/>
      <c r="M46" s="480"/>
      <c r="N46" s="480"/>
      <c r="O46" s="480"/>
      <c r="P46" s="480"/>
      <c r="Q46" s="480"/>
      <c r="R46" s="480"/>
      <c r="S46" s="480"/>
      <c r="T46" s="480"/>
      <c r="U46" s="480"/>
      <c r="V46" s="480"/>
      <c r="W46" s="481"/>
      <c r="X46" s="481">
        <v>7</v>
      </c>
      <c r="Y46" s="481"/>
      <c r="Z46" s="481"/>
      <c r="AA46" s="481"/>
      <c r="AB46" s="481"/>
      <c r="AC46" s="481"/>
      <c r="AD46" s="481"/>
      <c r="AE46" s="481"/>
      <c r="AF46" s="481"/>
      <c r="AG46" s="481"/>
      <c r="AH46" s="481"/>
      <c r="AI46" s="481"/>
      <c r="AJ46" s="481"/>
      <c r="AK46" s="481"/>
      <c r="AL46" s="481"/>
      <c r="AM46" s="481"/>
      <c r="AN46" s="481"/>
      <c r="AO46" s="481"/>
      <c r="AP46" s="481"/>
      <c r="AQ46" s="481"/>
      <c r="AR46" s="481"/>
      <c r="AS46" s="481"/>
      <c r="AT46" s="481"/>
      <c r="AU46" s="481"/>
      <c r="AV46" s="481"/>
      <c r="AW46" s="481"/>
      <c r="AX46" s="481"/>
      <c r="AY46" s="481"/>
      <c r="AZ46" s="481"/>
      <c r="BA46" s="481"/>
      <c r="BB46" s="481"/>
      <c r="BC46" s="481"/>
      <c r="BD46" s="481"/>
      <c r="BE46" s="482"/>
      <c r="BF46" s="482"/>
      <c r="BG46" s="482"/>
      <c r="BH46" s="482"/>
      <c r="BI46" s="482"/>
      <c r="BJ46" s="482"/>
      <c r="BK46" s="482"/>
      <c r="BL46" s="482"/>
      <c r="BM46" s="482"/>
      <c r="BN46" s="483"/>
      <c r="BO46" s="483">
        <v>5</v>
      </c>
      <c r="BP46" s="483"/>
      <c r="BQ46" s="483"/>
      <c r="BR46" s="483"/>
      <c r="BS46" s="483"/>
      <c r="BT46" s="483"/>
      <c r="BU46" s="483"/>
      <c r="BV46" s="480"/>
      <c r="BW46" s="480"/>
      <c r="BX46" s="480"/>
      <c r="BY46" s="480"/>
      <c r="BZ46" s="480"/>
      <c r="CA46" s="480"/>
      <c r="CB46" s="480"/>
      <c r="CC46" s="484"/>
      <c r="CD46" s="484"/>
      <c r="CE46" s="484"/>
      <c r="CF46" s="484"/>
      <c r="CG46" s="484"/>
      <c r="CH46" s="484"/>
      <c r="CI46" s="484"/>
      <c r="CJ46" s="484"/>
      <c r="CK46" s="484"/>
      <c r="CL46" s="484"/>
      <c r="CM46" s="484"/>
      <c r="CN46" s="484"/>
      <c r="CO46" s="484"/>
      <c r="CP46" s="484"/>
      <c r="CQ46" s="484"/>
      <c r="CR46" s="484"/>
      <c r="CS46" s="485"/>
      <c r="CT46" s="485"/>
      <c r="CU46" s="485"/>
      <c r="CV46" s="485"/>
      <c r="CW46" s="485"/>
      <c r="CX46" s="485"/>
      <c r="CY46" s="485"/>
      <c r="CZ46" s="485"/>
      <c r="DA46" s="485"/>
      <c r="DB46" s="485"/>
      <c r="DC46" s="485"/>
      <c r="DD46" s="485">
        <v>120</v>
      </c>
      <c r="DE46" s="485"/>
      <c r="DF46" s="485"/>
      <c r="DG46" s="485"/>
      <c r="DH46" s="485"/>
      <c r="DI46" s="485"/>
      <c r="DJ46" s="485"/>
      <c r="DK46" s="485"/>
      <c r="DL46" s="485"/>
      <c r="DM46" s="485"/>
      <c r="DN46" s="943"/>
      <c r="DO46" s="486"/>
      <c r="DP46" s="486">
        <v>2</v>
      </c>
      <c r="DQ46" s="487"/>
      <c r="DR46" s="487">
        <v>0.01</v>
      </c>
      <c r="DS46" s="482"/>
      <c r="DT46" s="482"/>
      <c r="DU46" s="482"/>
      <c r="DV46" s="482"/>
      <c r="DW46" s="482"/>
      <c r="DX46" s="482"/>
      <c r="DY46" s="482"/>
      <c r="DZ46" s="482"/>
      <c r="EA46" s="482"/>
      <c r="EB46" s="482"/>
      <c r="EC46" s="482"/>
      <c r="ED46" s="482"/>
      <c r="EE46" s="482"/>
      <c r="EF46" s="482"/>
      <c r="EG46" s="482"/>
      <c r="EH46" s="482"/>
      <c r="EI46" s="482"/>
      <c r="EJ46" s="482"/>
      <c r="EK46" s="482"/>
      <c r="EL46" s="482"/>
      <c r="EM46" s="482"/>
      <c r="EN46" s="482"/>
      <c r="EO46" s="482"/>
      <c r="EP46" s="482"/>
      <c r="EQ46" s="482"/>
      <c r="ER46" s="482"/>
      <c r="ES46" s="482"/>
      <c r="ET46" s="482"/>
      <c r="EU46" s="482"/>
      <c r="EV46" s="482"/>
      <c r="EW46" s="482"/>
      <c r="EX46" s="482"/>
      <c r="EY46" s="482"/>
      <c r="EZ46" s="482"/>
      <c r="FA46" s="377"/>
      <c r="FB46" s="378">
        <v>90</v>
      </c>
      <c r="FC46" s="378">
        <v>90</v>
      </c>
      <c r="FD46" s="379">
        <f t="shared" si="63"/>
        <v>0</v>
      </c>
      <c r="FE46" s="790"/>
    </row>
    <row r="47" spans="2:164" ht="26.1" customHeight="1" outlineLevel="1" thickBot="1" x14ac:dyDescent="0.3">
      <c r="B47" s="1018"/>
      <c r="C47" s="1020"/>
      <c r="D47" s="1058"/>
      <c r="E47" s="1065"/>
      <c r="F47" s="844" t="s">
        <v>117</v>
      </c>
      <c r="G47" s="810" t="str">
        <f>VLOOKUP(H47,инфо!AD:AE,2,FALSE)</f>
        <v>Прочее</v>
      </c>
      <c r="H47" s="585" t="s">
        <v>1197</v>
      </c>
      <c r="I47" s="606" t="s">
        <v>164</v>
      </c>
      <c r="J47" s="488"/>
      <c r="K47" s="489"/>
      <c r="L47" s="489"/>
      <c r="M47" s="489"/>
      <c r="N47" s="489"/>
      <c r="O47" s="489"/>
      <c r="P47" s="489"/>
      <c r="Q47" s="489"/>
      <c r="R47" s="489"/>
      <c r="S47" s="489"/>
      <c r="T47" s="489"/>
      <c r="U47" s="489"/>
      <c r="V47" s="489"/>
      <c r="W47" s="490"/>
      <c r="X47" s="490"/>
      <c r="Y47" s="490"/>
      <c r="Z47" s="490"/>
      <c r="AA47" s="490"/>
      <c r="AB47" s="490"/>
      <c r="AC47" s="490"/>
      <c r="AD47" s="490"/>
      <c r="AE47" s="490"/>
      <c r="AF47" s="490"/>
      <c r="AG47" s="490"/>
      <c r="AH47" s="490"/>
      <c r="AI47" s="490"/>
      <c r="AJ47" s="490"/>
      <c r="AK47" s="490"/>
      <c r="AL47" s="490"/>
      <c r="AM47" s="490"/>
      <c r="AN47" s="490"/>
      <c r="AO47" s="490"/>
      <c r="AP47" s="490"/>
      <c r="AQ47" s="490"/>
      <c r="AR47" s="490"/>
      <c r="AS47" s="490"/>
      <c r="AT47" s="490"/>
      <c r="AU47" s="490"/>
      <c r="AV47" s="490"/>
      <c r="AW47" s="490"/>
      <c r="AX47" s="490"/>
      <c r="AY47" s="490"/>
      <c r="AZ47" s="490"/>
      <c r="BA47" s="490"/>
      <c r="BB47" s="490">
        <v>20</v>
      </c>
      <c r="BC47" s="490"/>
      <c r="BD47" s="490"/>
      <c r="BE47" s="491"/>
      <c r="BF47" s="491"/>
      <c r="BG47" s="491"/>
      <c r="BH47" s="491"/>
      <c r="BI47" s="491"/>
      <c r="BJ47" s="491"/>
      <c r="BK47" s="491"/>
      <c r="BL47" s="491"/>
      <c r="BM47" s="491"/>
      <c r="BN47" s="492"/>
      <c r="BO47" s="492"/>
      <c r="BP47" s="492"/>
      <c r="BQ47" s="492"/>
      <c r="BR47" s="492"/>
      <c r="BS47" s="492"/>
      <c r="BT47" s="492"/>
      <c r="BU47" s="492"/>
      <c r="BV47" s="489"/>
      <c r="BW47" s="489"/>
      <c r="BX47" s="489"/>
      <c r="BY47" s="489"/>
      <c r="BZ47" s="489"/>
      <c r="CA47" s="489"/>
      <c r="CB47" s="489"/>
      <c r="CC47" s="493"/>
      <c r="CD47" s="493"/>
      <c r="CE47" s="493"/>
      <c r="CF47" s="493"/>
      <c r="CG47" s="493"/>
      <c r="CH47" s="493"/>
      <c r="CI47" s="493"/>
      <c r="CJ47" s="493"/>
      <c r="CK47" s="493"/>
      <c r="CL47" s="493"/>
      <c r="CM47" s="493"/>
      <c r="CN47" s="493"/>
      <c r="CO47" s="493"/>
      <c r="CP47" s="493"/>
      <c r="CQ47" s="493"/>
      <c r="CR47" s="493"/>
      <c r="CS47" s="494"/>
      <c r="CT47" s="494"/>
      <c r="CU47" s="494"/>
      <c r="CV47" s="494"/>
      <c r="CW47" s="494"/>
      <c r="CX47" s="494"/>
      <c r="CY47" s="494"/>
      <c r="CZ47" s="494"/>
      <c r="DA47" s="494"/>
      <c r="DB47" s="494"/>
      <c r="DC47" s="494"/>
      <c r="DD47" s="494"/>
      <c r="DE47" s="494"/>
      <c r="DF47" s="494"/>
      <c r="DG47" s="494"/>
      <c r="DH47" s="494"/>
      <c r="DI47" s="494"/>
      <c r="DJ47" s="494"/>
      <c r="DK47" s="494"/>
      <c r="DL47" s="494"/>
      <c r="DM47" s="494"/>
      <c r="DN47" s="944"/>
      <c r="DO47" s="495"/>
      <c r="DP47" s="495"/>
      <c r="DQ47" s="496"/>
      <c r="DR47" s="496"/>
      <c r="DS47" s="491"/>
      <c r="DT47" s="491"/>
      <c r="DU47" s="491"/>
      <c r="DV47" s="491"/>
      <c r="DW47" s="491"/>
      <c r="DX47" s="491"/>
      <c r="DY47" s="491"/>
      <c r="DZ47" s="491"/>
      <c r="EA47" s="491"/>
      <c r="EB47" s="491"/>
      <c r="EC47" s="491"/>
      <c r="ED47" s="491"/>
      <c r="EE47" s="491"/>
      <c r="EF47" s="491"/>
      <c r="EG47" s="491"/>
      <c r="EH47" s="491"/>
      <c r="EI47" s="491"/>
      <c r="EJ47" s="491"/>
      <c r="EK47" s="491"/>
      <c r="EL47" s="491"/>
      <c r="EM47" s="491"/>
      <c r="EN47" s="491"/>
      <c r="EO47" s="491"/>
      <c r="EP47" s="491"/>
      <c r="EQ47" s="491"/>
      <c r="ER47" s="491"/>
      <c r="ES47" s="491"/>
      <c r="ET47" s="491"/>
      <c r="EU47" s="491"/>
      <c r="EV47" s="491"/>
      <c r="EW47" s="491"/>
      <c r="EX47" s="491"/>
      <c r="EY47" s="491"/>
      <c r="EZ47" s="491"/>
      <c r="FA47" s="389"/>
      <c r="FB47" s="390">
        <v>20</v>
      </c>
      <c r="FC47" s="390"/>
      <c r="FD47" s="391">
        <f t="shared" si="63"/>
        <v>0</v>
      </c>
      <c r="FE47" s="790"/>
    </row>
    <row r="48" spans="2:164" ht="26.1" customHeight="1" outlineLevel="1" thickBot="1" x14ac:dyDescent="0.3">
      <c r="B48" s="1018"/>
      <c r="C48" s="1020"/>
      <c r="D48" s="1058"/>
      <c r="E48" s="1064" t="s">
        <v>115</v>
      </c>
      <c r="F48" s="842" t="s">
        <v>117</v>
      </c>
      <c r="G48" s="808" t="str">
        <f>VLOOKUP(H48,инфо!AD:AE,2,FALSE)</f>
        <v>Холодные закуски</v>
      </c>
      <c r="H48" s="586" t="s">
        <v>1202</v>
      </c>
      <c r="I48" s="588" t="s">
        <v>1070</v>
      </c>
      <c r="J48" s="497"/>
      <c r="K48" s="498"/>
      <c r="L48" s="498"/>
      <c r="M48" s="498"/>
      <c r="N48" s="498"/>
      <c r="O48" s="498"/>
      <c r="P48" s="498"/>
      <c r="Q48" s="498"/>
      <c r="R48" s="498"/>
      <c r="S48" s="498"/>
      <c r="T48" s="498"/>
      <c r="U48" s="498"/>
      <c r="V48" s="498"/>
      <c r="W48" s="499"/>
      <c r="X48" s="499"/>
      <c r="Y48" s="499"/>
      <c r="Z48" s="499"/>
      <c r="AA48" s="499"/>
      <c r="AB48" s="499"/>
      <c r="AC48" s="499"/>
      <c r="AD48" s="499"/>
      <c r="AE48" s="499"/>
      <c r="AF48" s="499">
        <v>22</v>
      </c>
      <c r="AG48" s="499">
        <v>25</v>
      </c>
      <c r="AH48" s="499"/>
      <c r="AI48" s="499">
        <v>25</v>
      </c>
      <c r="AJ48" s="499">
        <v>55</v>
      </c>
      <c r="AK48" s="499"/>
      <c r="AL48" s="499"/>
      <c r="AM48" s="499"/>
      <c r="AN48" s="499"/>
      <c r="AO48" s="499"/>
      <c r="AP48" s="499"/>
      <c r="AQ48" s="499"/>
      <c r="AR48" s="499"/>
      <c r="AS48" s="499"/>
      <c r="AT48" s="499"/>
      <c r="AU48" s="499"/>
      <c r="AV48" s="499">
        <v>25</v>
      </c>
      <c r="AW48" s="499"/>
      <c r="AX48" s="499"/>
      <c r="AY48" s="499"/>
      <c r="AZ48" s="499"/>
      <c r="BA48" s="499"/>
      <c r="BB48" s="499"/>
      <c r="BC48" s="499"/>
      <c r="BD48" s="499"/>
      <c r="BE48" s="500"/>
      <c r="BF48" s="500"/>
      <c r="BG48" s="500"/>
      <c r="BH48" s="500"/>
      <c r="BI48" s="500"/>
      <c r="BJ48" s="500"/>
      <c r="BK48" s="500"/>
      <c r="BL48" s="500"/>
      <c r="BM48" s="500"/>
      <c r="BN48" s="501"/>
      <c r="BO48" s="501">
        <v>8</v>
      </c>
      <c r="BP48" s="501"/>
      <c r="BQ48" s="501"/>
      <c r="BR48" s="501"/>
      <c r="BS48" s="501"/>
      <c r="BT48" s="501"/>
      <c r="BU48" s="501"/>
      <c r="BV48" s="498"/>
      <c r="BW48" s="498"/>
      <c r="BX48" s="498"/>
      <c r="BY48" s="498"/>
      <c r="BZ48" s="498"/>
      <c r="CA48" s="498"/>
      <c r="CB48" s="498"/>
      <c r="CC48" s="502"/>
      <c r="CD48" s="502"/>
      <c r="CE48" s="502"/>
      <c r="CF48" s="502"/>
      <c r="CG48" s="502"/>
      <c r="CH48" s="502"/>
      <c r="CI48" s="502"/>
      <c r="CJ48" s="502"/>
      <c r="CK48" s="502"/>
      <c r="CL48" s="502"/>
      <c r="CM48" s="502"/>
      <c r="CN48" s="502"/>
      <c r="CO48" s="502"/>
      <c r="CP48" s="502"/>
      <c r="CQ48" s="502"/>
      <c r="CR48" s="502"/>
      <c r="CS48" s="503"/>
      <c r="CT48" s="503"/>
      <c r="CU48" s="503"/>
      <c r="CV48" s="503"/>
      <c r="CW48" s="503"/>
      <c r="CX48" s="503"/>
      <c r="CY48" s="503"/>
      <c r="CZ48" s="503"/>
      <c r="DA48" s="503"/>
      <c r="DB48" s="503"/>
      <c r="DC48" s="503"/>
      <c r="DD48" s="503"/>
      <c r="DE48" s="503"/>
      <c r="DF48" s="503"/>
      <c r="DG48" s="503"/>
      <c r="DH48" s="503"/>
      <c r="DI48" s="503"/>
      <c r="DJ48" s="503"/>
      <c r="DK48" s="503"/>
      <c r="DL48" s="503"/>
      <c r="DM48" s="503"/>
      <c r="DN48" s="945"/>
      <c r="DO48" s="504"/>
      <c r="DP48" s="504">
        <v>2</v>
      </c>
      <c r="DQ48" s="505"/>
      <c r="DR48" s="505">
        <v>0.02</v>
      </c>
      <c r="DS48" s="500"/>
      <c r="DT48" s="500"/>
      <c r="DU48" s="500"/>
      <c r="DV48" s="500"/>
      <c r="DW48" s="500"/>
      <c r="DX48" s="500"/>
      <c r="DY48" s="500"/>
      <c r="DZ48" s="500"/>
      <c r="EA48" s="500"/>
      <c r="EB48" s="500"/>
      <c r="EC48" s="500"/>
      <c r="ED48" s="500"/>
      <c r="EE48" s="500"/>
      <c r="EF48" s="500"/>
      <c r="EG48" s="500"/>
      <c r="EH48" s="500"/>
      <c r="EI48" s="500"/>
      <c r="EJ48" s="500"/>
      <c r="EK48" s="500"/>
      <c r="EL48" s="500"/>
      <c r="EM48" s="500"/>
      <c r="EN48" s="500"/>
      <c r="EO48" s="500"/>
      <c r="EP48" s="500"/>
      <c r="EQ48" s="500"/>
      <c r="ER48" s="500"/>
      <c r="ES48" s="500"/>
      <c r="ET48" s="500"/>
      <c r="EU48" s="500"/>
      <c r="EV48" s="500"/>
      <c r="EW48" s="500"/>
      <c r="EX48" s="500"/>
      <c r="EY48" s="500"/>
      <c r="EZ48" s="500"/>
      <c r="FA48" s="364">
        <v>150</v>
      </c>
      <c r="FB48" s="365">
        <v>92</v>
      </c>
      <c r="FC48" s="365"/>
      <c r="FD48" s="367">
        <f t="shared" si="63"/>
        <v>0</v>
      </c>
      <c r="FE48" s="790"/>
    </row>
    <row r="49" spans="2:164" ht="26.1" customHeight="1" outlineLevel="1" thickBot="1" x14ac:dyDescent="0.3">
      <c r="B49" s="1018"/>
      <c r="C49" s="1020"/>
      <c r="D49" s="1058"/>
      <c r="E49" s="1064"/>
      <c r="F49" s="843" t="s">
        <v>117</v>
      </c>
      <c r="G49" s="809" t="str">
        <f>VLOOKUP(H49,инфо!AD:AE,2,FALSE)</f>
        <v>Гарниры</v>
      </c>
      <c r="H49" s="584" t="s">
        <v>1198</v>
      </c>
      <c r="I49" s="589" t="s">
        <v>988</v>
      </c>
      <c r="J49" s="479"/>
      <c r="K49" s="480">
        <v>83</v>
      </c>
      <c r="L49" s="480"/>
      <c r="M49" s="480"/>
      <c r="N49" s="480"/>
      <c r="O49" s="480"/>
      <c r="P49" s="480"/>
      <c r="Q49" s="480"/>
      <c r="R49" s="480"/>
      <c r="S49" s="480"/>
      <c r="T49" s="480"/>
      <c r="U49" s="480"/>
      <c r="V49" s="480"/>
      <c r="W49" s="481"/>
      <c r="X49" s="481"/>
      <c r="Y49" s="481"/>
      <c r="Z49" s="481"/>
      <c r="AA49" s="481"/>
      <c r="AB49" s="481"/>
      <c r="AC49" s="481"/>
      <c r="AD49" s="481"/>
      <c r="AE49" s="481"/>
      <c r="AF49" s="481"/>
      <c r="AG49" s="481"/>
      <c r="AH49" s="481"/>
      <c r="AI49" s="481"/>
      <c r="AJ49" s="481"/>
      <c r="AK49" s="481"/>
      <c r="AL49" s="481"/>
      <c r="AM49" s="481"/>
      <c r="AN49" s="481"/>
      <c r="AO49" s="481"/>
      <c r="AP49" s="481"/>
      <c r="AQ49" s="481"/>
      <c r="AR49" s="481"/>
      <c r="AS49" s="481"/>
      <c r="AT49" s="481"/>
      <c r="AU49" s="481"/>
      <c r="AV49" s="481"/>
      <c r="AW49" s="481"/>
      <c r="AX49" s="481"/>
      <c r="AY49" s="481"/>
      <c r="AZ49" s="481"/>
      <c r="BA49" s="481"/>
      <c r="BB49" s="481"/>
      <c r="BC49" s="481"/>
      <c r="BD49" s="481"/>
      <c r="BE49" s="482"/>
      <c r="BF49" s="482"/>
      <c r="BG49" s="482"/>
      <c r="BH49" s="482"/>
      <c r="BI49" s="482"/>
      <c r="BJ49" s="482"/>
      <c r="BK49" s="482"/>
      <c r="BL49" s="482"/>
      <c r="BM49" s="482"/>
      <c r="BN49" s="483"/>
      <c r="BO49" s="483"/>
      <c r="BP49" s="483"/>
      <c r="BQ49" s="483"/>
      <c r="BR49" s="483"/>
      <c r="BS49" s="483"/>
      <c r="BT49" s="483"/>
      <c r="BU49" s="483"/>
      <c r="BV49" s="480"/>
      <c r="BW49" s="480"/>
      <c r="BX49" s="480"/>
      <c r="BY49" s="480"/>
      <c r="BZ49" s="480"/>
      <c r="CA49" s="480"/>
      <c r="CB49" s="480"/>
      <c r="CC49" s="484"/>
      <c r="CD49" s="484"/>
      <c r="CE49" s="484"/>
      <c r="CF49" s="484"/>
      <c r="CG49" s="484"/>
      <c r="CH49" s="484"/>
      <c r="CI49" s="484"/>
      <c r="CJ49" s="484"/>
      <c r="CK49" s="484"/>
      <c r="CL49" s="484"/>
      <c r="CM49" s="484"/>
      <c r="CN49" s="484"/>
      <c r="CO49" s="484"/>
      <c r="CP49" s="484"/>
      <c r="CQ49" s="484"/>
      <c r="CR49" s="484"/>
      <c r="CS49" s="485"/>
      <c r="CT49" s="485"/>
      <c r="CU49" s="485"/>
      <c r="CV49" s="485"/>
      <c r="CW49" s="485"/>
      <c r="CX49" s="485"/>
      <c r="CY49" s="485"/>
      <c r="CZ49" s="485"/>
      <c r="DA49" s="485"/>
      <c r="DB49" s="485"/>
      <c r="DC49" s="485"/>
      <c r="DD49" s="485"/>
      <c r="DE49" s="485"/>
      <c r="DF49" s="485"/>
      <c r="DG49" s="485"/>
      <c r="DH49" s="485"/>
      <c r="DI49" s="485"/>
      <c r="DJ49" s="485"/>
      <c r="DK49" s="485"/>
      <c r="DL49" s="485"/>
      <c r="DM49" s="485"/>
      <c r="DN49" s="943"/>
      <c r="DO49" s="486"/>
      <c r="DP49" s="486">
        <v>3</v>
      </c>
      <c r="DQ49" s="487"/>
      <c r="DR49" s="487"/>
      <c r="DS49" s="482"/>
      <c r="DT49" s="482"/>
      <c r="DU49" s="482"/>
      <c r="DV49" s="482"/>
      <c r="DW49" s="482"/>
      <c r="DX49" s="482"/>
      <c r="DY49" s="482"/>
      <c r="DZ49" s="482"/>
      <c r="EA49" s="482">
        <v>265.60000000000002</v>
      </c>
      <c r="EB49" s="482"/>
      <c r="EC49" s="482"/>
      <c r="ED49" s="482"/>
      <c r="EE49" s="482"/>
      <c r="EF49" s="482"/>
      <c r="EG49" s="482"/>
      <c r="EH49" s="482"/>
      <c r="EI49" s="482"/>
      <c r="EJ49" s="482"/>
      <c r="EK49" s="482"/>
      <c r="EL49" s="482"/>
      <c r="EM49" s="482"/>
      <c r="EN49" s="482"/>
      <c r="EO49" s="482"/>
      <c r="EP49" s="482"/>
      <c r="EQ49" s="482"/>
      <c r="ER49" s="482"/>
      <c r="ES49" s="482"/>
      <c r="ET49" s="482"/>
      <c r="EU49" s="482"/>
      <c r="EV49" s="482"/>
      <c r="EW49" s="482"/>
      <c r="EX49" s="482"/>
      <c r="EY49" s="482"/>
      <c r="EZ49" s="482"/>
      <c r="FA49" s="377">
        <v>415</v>
      </c>
      <c r="FB49" s="378">
        <v>316</v>
      </c>
      <c r="FC49" s="378"/>
      <c r="FD49" s="379">
        <f t="shared" si="63"/>
        <v>0</v>
      </c>
      <c r="FE49" s="790"/>
    </row>
    <row r="50" spans="2:164" ht="26.1" customHeight="1" outlineLevel="1" thickBot="1" x14ac:dyDescent="0.3">
      <c r="B50" s="1018"/>
      <c r="C50" s="1020"/>
      <c r="D50" s="1058"/>
      <c r="E50" s="1064"/>
      <c r="F50" s="843" t="s">
        <v>117</v>
      </c>
      <c r="G50" s="809" t="str">
        <f>VLOOKUP(H50,инфо!AD:AE,2,FALSE)</f>
        <v>Холодные закуски</v>
      </c>
      <c r="H50" s="584" t="s">
        <v>1202</v>
      </c>
      <c r="I50" s="589" t="s">
        <v>1068</v>
      </c>
      <c r="J50" s="479"/>
      <c r="K50" s="480"/>
      <c r="L50" s="480"/>
      <c r="M50" s="480"/>
      <c r="N50" s="480"/>
      <c r="O50" s="480">
        <v>5</v>
      </c>
      <c r="P50" s="480"/>
      <c r="Q50" s="480"/>
      <c r="R50" s="480"/>
      <c r="S50" s="480"/>
      <c r="T50" s="480"/>
      <c r="U50" s="480"/>
      <c r="V50" s="480"/>
      <c r="W50" s="481"/>
      <c r="X50" s="481"/>
      <c r="Y50" s="481"/>
      <c r="Z50" s="481"/>
      <c r="AA50" s="481"/>
      <c r="AB50" s="481"/>
      <c r="AC50" s="481"/>
      <c r="AD50" s="481">
        <v>40</v>
      </c>
      <c r="AE50" s="481"/>
      <c r="AF50" s="481">
        <v>12</v>
      </c>
      <c r="AG50" s="481">
        <v>10</v>
      </c>
      <c r="AH50" s="481"/>
      <c r="AI50" s="481"/>
      <c r="AJ50" s="481">
        <v>40</v>
      </c>
      <c r="AK50" s="481"/>
      <c r="AL50" s="481"/>
      <c r="AM50" s="481"/>
      <c r="AN50" s="481"/>
      <c r="AO50" s="481"/>
      <c r="AP50" s="481"/>
      <c r="AQ50" s="481"/>
      <c r="AR50" s="481"/>
      <c r="AS50" s="481"/>
      <c r="AT50" s="481"/>
      <c r="AU50" s="481"/>
      <c r="AV50" s="481"/>
      <c r="AW50" s="481"/>
      <c r="AX50" s="481">
        <v>20</v>
      </c>
      <c r="AY50" s="481"/>
      <c r="AZ50" s="481"/>
      <c r="BA50" s="481"/>
      <c r="BB50" s="481"/>
      <c r="BC50" s="481"/>
      <c r="BD50" s="481"/>
      <c r="BE50" s="482"/>
      <c r="BF50" s="482"/>
      <c r="BG50" s="482"/>
      <c r="BH50" s="482"/>
      <c r="BI50" s="482"/>
      <c r="BJ50" s="482"/>
      <c r="BK50" s="482"/>
      <c r="BL50" s="482"/>
      <c r="BM50" s="482"/>
      <c r="BN50" s="483"/>
      <c r="BO50" s="483">
        <v>8</v>
      </c>
      <c r="BP50" s="483"/>
      <c r="BQ50" s="483"/>
      <c r="BR50" s="483"/>
      <c r="BS50" s="483"/>
      <c r="BT50" s="483"/>
      <c r="BU50" s="483"/>
      <c r="BV50" s="480"/>
      <c r="BW50" s="480"/>
      <c r="BX50" s="480"/>
      <c r="BY50" s="480"/>
      <c r="BZ50" s="480"/>
      <c r="CA50" s="480"/>
      <c r="CB50" s="480"/>
      <c r="CC50" s="484"/>
      <c r="CD50" s="484"/>
      <c r="CE50" s="484"/>
      <c r="CF50" s="484"/>
      <c r="CG50" s="484"/>
      <c r="CH50" s="484"/>
      <c r="CI50" s="484"/>
      <c r="CJ50" s="484"/>
      <c r="CK50" s="484"/>
      <c r="CL50" s="484"/>
      <c r="CM50" s="484"/>
      <c r="CN50" s="484"/>
      <c r="CO50" s="484"/>
      <c r="CP50" s="484"/>
      <c r="CQ50" s="484"/>
      <c r="CR50" s="484"/>
      <c r="CS50" s="485"/>
      <c r="CT50" s="485"/>
      <c r="CU50" s="485"/>
      <c r="CV50" s="485"/>
      <c r="CW50" s="485"/>
      <c r="CX50" s="485"/>
      <c r="CY50" s="485"/>
      <c r="CZ50" s="485"/>
      <c r="DA50" s="485"/>
      <c r="DB50" s="485"/>
      <c r="DC50" s="485"/>
      <c r="DD50" s="485"/>
      <c r="DE50" s="485"/>
      <c r="DF50" s="485"/>
      <c r="DG50" s="485"/>
      <c r="DH50" s="485"/>
      <c r="DI50" s="485"/>
      <c r="DJ50" s="485"/>
      <c r="DK50" s="485"/>
      <c r="DL50" s="485"/>
      <c r="DM50" s="485"/>
      <c r="DN50" s="943"/>
      <c r="DO50" s="486"/>
      <c r="DP50" s="486">
        <v>2</v>
      </c>
      <c r="DQ50" s="487"/>
      <c r="DR50" s="487"/>
      <c r="DS50" s="482"/>
      <c r="DT50" s="482"/>
      <c r="DU50" s="482"/>
      <c r="DV50" s="482"/>
      <c r="DW50" s="482"/>
      <c r="DX50" s="482"/>
      <c r="DY50" s="482"/>
      <c r="DZ50" s="482"/>
      <c r="EA50" s="482"/>
      <c r="EB50" s="482"/>
      <c r="EC50" s="482"/>
      <c r="ED50" s="482"/>
      <c r="EE50" s="482"/>
      <c r="EF50" s="482"/>
      <c r="EG50" s="482"/>
      <c r="EH50" s="482"/>
      <c r="EI50" s="482"/>
      <c r="EJ50" s="482"/>
      <c r="EK50" s="482"/>
      <c r="EL50" s="482"/>
      <c r="EM50" s="482"/>
      <c r="EN50" s="482"/>
      <c r="EO50" s="482"/>
      <c r="EP50" s="482"/>
      <c r="EQ50" s="482"/>
      <c r="ER50" s="482"/>
      <c r="ES50" s="482"/>
      <c r="ET50" s="482"/>
      <c r="EU50" s="482"/>
      <c r="EV50" s="482"/>
      <c r="EW50" s="482"/>
      <c r="EX50" s="482"/>
      <c r="EY50" s="482"/>
      <c r="EZ50" s="482"/>
      <c r="FA50" s="377">
        <v>150</v>
      </c>
      <c r="FB50" s="378">
        <v>121</v>
      </c>
      <c r="FC50" s="378"/>
      <c r="FD50" s="379">
        <f t="shared" si="63"/>
        <v>0</v>
      </c>
      <c r="FE50" s="790"/>
    </row>
    <row r="51" spans="2:164" ht="26.1" customHeight="1" outlineLevel="1" thickBot="1" x14ac:dyDescent="0.3">
      <c r="B51" s="1018"/>
      <c r="C51" s="1020"/>
      <c r="D51" s="1058"/>
      <c r="E51" s="1064"/>
      <c r="F51" s="845" t="s">
        <v>117</v>
      </c>
      <c r="G51" s="811" t="str">
        <f>VLOOKUP(H51,инфо!AD:AE,2,FALSE)</f>
        <v>Напитки</v>
      </c>
      <c r="H51" s="587" t="s">
        <v>1195</v>
      </c>
      <c r="I51" s="606" t="s">
        <v>1164</v>
      </c>
      <c r="J51" s="506"/>
      <c r="K51" s="507"/>
      <c r="L51" s="507"/>
      <c r="M51" s="507"/>
      <c r="N51" s="507"/>
      <c r="O51" s="507"/>
      <c r="P51" s="507"/>
      <c r="Q51" s="507"/>
      <c r="R51" s="507"/>
      <c r="S51" s="507"/>
      <c r="T51" s="507"/>
      <c r="U51" s="507"/>
      <c r="V51" s="507"/>
      <c r="W51" s="508"/>
      <c r="X51" s="508"/>
      <c r="Y51" s="508"/>
      <c r="Z51" s="508"/>
      <c r="AA51" s="508"/>
      <c r="AB51" s="508"/>
      <c r="AC51" s="508"/>
      <c r="AD51" s="508"/>
      <c r="AE51" s="508"/>
      <c r="AF51" s="508"/>
      <c r="AG51" s="508"/>
      <c r="AH51" s="508"/>
      <c r="AI51" s="508"/>
      <c r="AJ51" s="508"/>
      <c r="AK51" s="508"/>
      <c r="AL51" s="508"/>
      <c r="AM51" s="508"/>
      <c r="AN51" s="508"/>
      <c r="AO51" s="508"/>
      <c r="AP51" s="508"/>
      <c r="AQ51" s="508"/>
      <c r="AR51" s="508"/>
      <c r="AS51" s="508"/>
      <c r="AT51" s="508"/>
      <c r="AU51" s="508"/>
      <c r="AV51" s="508"/>
      <c r="AW51" s="508"/>
      <c r="AX51" s="508"/>
      <c r="AY51" s="508"/>
      <c r="AZ51" s="508"/>
      <c r="BA51" s="508"/>
      <c r="BB51" s="508"/>
      <c r="BC51" s="508"/>
      <c r="BD51" s="508"/>
      <c r="BE51" s="509"/>
      <c r="BF51" s="509"/>
      <c r="BG51" s="509"/>
      <c r="BH51" s="509"/>
      <c r="BI51" s="509"/>
      <c r="BJ51" s="509"/>
      <c r="BK51" s="509"/>
      <c r="BL51" s="509"/>
      <c r="BM51" s="509"/>
      <c r="BN51" s="510"/>
      <c r="BO51" s="510"/>
      <c r="BP51" s="510"/>
      <c r="BQ51" s="510"/>
      <c r="BR51" s="510"/>
      <c r="BS51" s="510"/>
      <c r="BT51" s="510"/>
      <c r="BU51" s="510"/>
      <c r="BV51" s="507"/>
      <c r="BW51" s="507"/>
      <c r="BX51" s="507"/>
      <c r="BY51" s="507"/>
      <c r="BZ51" s="507"/>
      <c r="CA51" s="507"/>
      <c r="CB51" s="507"/>
      <c r="CC51" s="511"/>
      <c r="CD51" s="511"/>
      <c r="CE51" s="511"/>
      <c r="CF51" s="511"/>
      <c r="CG51" s="511"/>
      <c r="CH51" s="511"/>
      <c r="CI51" s="511"/>
      <c r="CJ51" s="511"/>
      <c r="CK51" s="511"/>
      <c r="CL51" s="511"/>
      <c r="CM51" s="511"/>
      <c r="CN51" s="511"/>
      <c r="CO51" s="511"/>
      <c r="CP51" s="511"/>
      <c r="CQ51" s="511"/>
      <c r="CR51" s="511"/>
      <c r="CS51" s="512"/>
      <c r="CT51" s="512"/>
      <c r="CU51" s="512"/>
      <c r="CV51" s="512"/>
      <c r="CW51" s="512"/>
      <c r="CX51" s="512"/>
      <c r="CY51" s="512"/>
      <c r="CZ51" s="512"/>
      <c r="DA51" s="512"/>
      <c r="DB51" s="512"/>
      <c r="DC51" s="512"/>
      <c r="DD51" s="512"/>
      <c r="DE51" s="512"/>
      <c r="DF51" s="512"/>
      <c r="DG51" s="512"/>
      <c r="DH51" s="512"/>
      <c r="DI51" s="512"/>
      <c r="DJ51" s="512"/>
      <c r="DK51" s="512"/>
      <c r="DL51" s="512"/>
      <c r="DM51" s="512"/>
      <c r="DN51" s="946"/>
      <c r="DO51" s="513">
        <v>25</v>
      </c>
      <c r="DP51" s="513"/>
      <c r="DQ51" s="514"/>
      <c r="DR51" s="514"/>
      <c r="DS51" s="509"/>
      <c r="DT51" s="509"/>
      <c r="DU51" s="509"/>
      <c r="DV51" s="509"/>
      <c r="DW51" s="509"/>
      <c r="DX51" s="509"/>
      <c r="DY51" s="509"/>
      <c r="DZ51" s="509"/>
      <c r="EA51" s="509">
        <v>250</v>
      </c>
      <c r="EB51" s="509"/>
      <c r="EC51" s="509"/>
      <c r="ED51" s="509">
        <v>1</v>
      </c>
      <c r="EE51" s="509"/>
      <c r="EF51" s="509"/>
      <c r="EG51" s="509"/>
      <c r="EH51" s="509"/>
      <c r="EI51" s="509"/>
      <c r="EJ51" s="509"/>
      <c r="EK51" s="509"/>
      <c r="EL51" s="509"/>
      <c r="EM51" s="509"/>
      <c r="EN51" s="509"/>
      <c r="EO51" s="509"/>
      <c r="EP51" s="509"/>
      <c r="EQ51" s="509"/>
      <c r="ER51" s="509"/>
      <c r="ES51" s="509"/>
      <c r="ET51" s="509"/>
      <c r="EU51" s="509"/>
      <c r="EV51" s="509"/>
      <c r="EW51" s="509"/>
      <c r="EX51" s="509"/>
      <c r="EY51" s="509"/>
      <c r="EZ51" s="509"/>
      <c r="FA51" s="402"/>
      <c r="FB51" s="403">
        <v>250</v>
      </c>
      <c r="FC51" s="403"/>
      <c r="FD51" s="404">
        <f t="shared" si="63"/>
        <v>0</v>
      </c>
      <c r="FE51" s="790"/>
    </row>
    <row r="52" spans="2:164" ht="26.1" customHeight="1" outlineLevel="1" thickBot="1" x14ac:dyDescent="0.3">
      <c r="B52" s="1018"/>
      <c r="C52" s="1020"/>
      <c r="D52" s="1058"/>
      <c r="E52" s="1063" t="s">
        <v>116</v>
      </c>
      <c r="F52" s="846" t="s">
        <v>117</v>
      </c>
      <c r="G52" s="812" t="str">
        <f>VLOOKUP(H52,инфо!AD:AE,2,FALSE)</f>
        <v>Прочее</v>
      </c>
      <c r="H52" s="583" t="s">
        <v>1197</v>
      </c>
      <c r="I52" s="588" t="s">
        <v>60</v>
      </c>
      <c r="J52" s="470"/>
      <c r="K52" s="471"/>
      <c r="L52" s="471"/>
      <c r="M52" s="471"/>
      <c r="N52" s="471"/>
      <c r="O52" s="471"/>
      <c r="P52" s="471"/>
      <c r="Q52" s="471"/>
      <c r="R52" s="471"/>
      <c r="S52" s="471"/>
      <c r="T52" s="471"/>
      <c r="U52" s="471"/>
      <c r="V52" s="471"/>
      <c r="W52" s="472"/>
      <c r="X52" s="472"/>
      <c r="Y52" s="472"/>
      <c r="Z52" s="472"/>
      <c r="AA52" s="472"/>
      <c r="AB52" s="472"/>
      <c r="AC52" s="472"/>
      <c r="AD52" s="472"/>
      <c r="AE52" s="472"/>
      <c r="AF52" s="472"/>
      <c r="AG52" s="472"/>
      <c r="AH52" s="472"/>
      <c r="AI52" s="472"/>
      <c r="AJ52" s="472"/>
      <c r="AK52" s="472"/>
      <c r="AL52" s="472"/>
      <c r="AM52" s="472"/>
      <c r="AN52" s="472"/>
      <c r="AO52" s="472"/>
      <c r="AP52" s="472"/>
      <c r="AQ52" s="472"/>
      <c r="AR52" s="472"/>
      <c r="AS52" s="472"/>
      <c r="AT52" s="472"/>
      <c r="AU52" s="472"/>
      <c r="AV52" s="472"/>
      <c r="AW52" s="472"/>
      <c r="AX52" s="472"/>
      <c r="AY52" s="472"/>
      <c r="AZ52" s="472"/>
      <c r="BA52" s="472"/>
      <c r="BB52" s="472"/>
      <c r="BC52" s="472"/>
      <c r="BD52" s="472"/>
      <c r="BE52" s="473"/>
      <c r="BF52" s="473"/>
      <c r="BG52" s="473"/>
      <c r="BH52" s="473"/>
      <c r="BI52" s="473"/>
      <c r="BJ52" s="473"/>
      <c r="BK52" s="473"/>
      <c r="BL52" s="473"/>
      <c r="BM52" s="473"/>
      <c r="BN52" s="474">
        <v>15</v>
      </c>
      <c r="BO52" s="474"/>
      <c r="BP52" s="474"/>
      <c r="BQ52" s="474"/>
      <c r="BR52" s="474"/>
      <c r="BS52" s="474"/>
      <c r="BT52" s="474"/>
      <c r="BU52" s="474"/>
      <c r="BV52" s="471"/>
      <c r="BW52" s="471"/>
      <c r="BX52" s="471"/>
      <c r="BY52" s="471"/>
      <c r="BZ52" s="471"/>
      <c r="CA52" s="471"/>
      <c r="CB52" s="471"/>
      <c r="CC52" s="475"/>
      <c r="CD52" s="475"/>
      <c r="CE52" s="475"/>
      <c r="CF52" s="475"/>
      <c r="CG52" s="475"/>
      <c r="CH52" s="475"/>
      <c r="CI52" s="475"/>
      <c r="CJ52" s="475"/>
      <c r="CK52" s="475"/>
      <c r="CL52" s="475"/>
      <c r="CM52" s="475"/>
      <c r="CN52" s="475"/>
      <c r="CO52" s="475"/>
      <c r="CP52" s="475"/>
      <c r="CQ52" s="475"/>
      <c r="CR52" s="475"/>
      <c r="CS52" s="476"/>
      <c r="CT52" s="476"/>
      <c r="CU52" s="476"/>
      <c r="CV52" s="476"/>
      <c r="CW52" s="476"/>
      <c r="CX52" s="476"/>
      <c r="CY52" s="476"/>
      <c r="CZ52" s="476"/>
      <c r="DA52" s="476"/>
      <c r="DB52" s="476"/>
      <c r="DC52" s="476"/>
      <c r="DD52" s="476"/>
      <c r="DE52" s="476"/>
      <c r="DF52" s="476"/>
      <c r="DG52" s="476"/>
      <c r="DH52" s="476"/>
      <c r="DI52" s="476"/>
      <c r="DJ52" s="476"/>
      <c r="DK52" s="476"/>
      <c r="DL52" s="476"/>
      <c r="DM52" s="476"/>
      <c r="DN52" s="942"/>
      <c r="DO52" s="477"/>
      <c r="DP52" s="477"/>
      <c r="DQ52" s="478"/>
      <c r="DR52" s="478"/>
      <c r="DS52" s="473"/>
      <c r="DT52" s="473"/>
      <c r="DU52" s="473"/>
      <c r="DV52" s="473"/>
      <c r="DW52" s="473"/>
      <c r="DX52" s="473"/>
      <c r="DY52" s="473"/>
      <c r="DZ52" s="473"/>
      <c r="EA52" s="473"/>
      <c r="EB52" s="473"/>
      <c r="EC52" s="473"/>
      <c r="ED52" s="473"/>
      <c r="EE52" s="473"/>
      <c r="EF52" s="473"/>
      <c r="EG52" s="473"/>
      <c r="EH52" s="473"/>
      <c r="EI52" s="473"/>
      <c r="EJ52" s="473"/>
      <c r="EK52" s="473"/>
      <c r="EL52" s="473"/>
      <c r="EM52" s="473"/>
      <c r="EN52" s="473"/>
      <c r="EO52" s="473"/>
      <c r="EP52" s="473"/>
      <c r="EQ52" s="473"/>
      <c r="ER52" s="473"/>
      <c r="ES52" s="473"/>
      <c r="ET52" s="473"/>
      <c r="EU52" s="473"/>
      <c r="EV52" s="473"/>
      <c r="EW52" s="473"/>
      <c r="EX52" s="473"/>
      <c r="EY52" s="473"/>
      <c r="EZ52" s="473"/>
      <c r="FA52" s="415"/>
      <c r="FB52" s="416">
        <v>15</v>
      </c>
      <c r="FC52" s="416"/>
      <c r="FD52" s="417">
        <f t="shared" si="63"/>
        <v>0</v>
      </c>
      <c r="FE52" s="790"/>
    </row>
    <row r="53" spans="2:164" ht="26.1" customHeight="1" outlineLevel="1" thickBot="1" x14ac:dyDescent="0.3">
      <c r="B53" s="1018"/>
      <c r="C53" s="1020"/>
      <c r="D53" s="1058"/>
      <c r="E53" s="1064"/>
      <c r="F53" s="843" t="s">
        <v>117</v>
      </c>
      <c r="G53" s="809" t="str">
        <f>VLOOKUP(H53,инфо!AD:AE,2,FALSE)</f>
        <v>Напитки</v>
      </c>
      <c r="H53" s="584" t="s">
        <v>1195</v>
      </c>
      <c r="I53" s="589" t="s">
        <v>75</v>
      </c>
      <c r="J53" s="479"/>
      <c r="K53" s="480"/>
      <c r="L53" s="480"/>
      <c r="M53" s="480"/>
      <c r="N53" s="480"/>
      <c r="O53" s="480"/>
      <c r="P53" s="480"/>
      <c r="Q53" s="480"/>
      <c r="R53" s="480"/>
      <c r="S53" s="480"/>
      <c r="T53" s="480"/>
      <c r="U53" s="480"/>
      <c r="V53" s="480"/>
      <c r="W53" s="481"/>
      <c r="X53" s="481"/>
      <c r="Y53" s="481"/>
      <c r="Z53" s="481"/>
      <c r="AA53" s="481"/>
      <c r="AB53" s="481"/>
      <c r="AC53" s="481"/>
      <c r="AD53" s="481"/>
      <c r="AE53" s="481"/>
      <c r="AF53" s="481"/>
      <c r="AG53" s="481"/>
      <c r="AH53" s="481"/>
      <c r="AI53" s="481"/>
      <c r="AJ53" s="481"/>
      <c r="AK53" s="481"/>
      <c r="AL53" s="481"/>
      <c r="AM53" s="481"/>
      <c r="AN53" s="481"/>
      <c r="AO53" s="481"/>
      <c r="AP53" s="481"/>
      <c r="AQ53" s="481"/>
      <c r="AR53" s="481"/>
      <c r="AS53" s="481"/>
      <c r="AT53" s="481"/>
      <c r="AU53" s="481"/>
      <c r="AV53" s="481"/>
      <c r="AW53" s="481"/>
      <c r="AX53" s="481"/>
      <c r="AY53" s="481"/>
      <c r="AZ53" s="481"/>
      <c r="BA53" s="481"/>
      <c r="BB53" s="481"/>
      <c r="BC53" s="481"/>
      <c r="BD53" s="481"/>
      <c r="BE53" s="482"/>
      <c r="BF53" s="482"/>
      <c r="BG53" s="482"/>
      <c r="BH53" s="482"/>
      <c r="BI53" s="482"/>
      <c r="BJ53" s="482"/>
      <c r="BK53" s="482"/>
      <c r="BL53" s="482"/>
      <c r="BM53" s="482"/>
      <c r="BN53" s="483"/>
      <c r="BO53" s="483"/>
      <c r="BP53" s="483"/>
      <c r="BQ53" s="483"/>
      <c r="BR53" s="483"/>
      <c r="BS53" s="483"/>
      <c r="BT53" s="483"/>
      <c r="BU53" s="483"/>
      <c r="BV53" s="480"/>
      <c r="BW53" s="480"/>
      <c r="BX53" s="480"/>
      <c r="BY53" s="480"/>
      <c r="BZ53" s="480"/>
      <c r="CA53" s="480"/>
      <c r="CB53" s="480"/>
      <c r="CC53" s="484"/>
      <c r="CD53" s="484"/>
      <c r="CE53" s="484"/>
      <c r="CF53" s="484"/>
      <c r="CG53" s="484"/>
      <c r="CH53" s="484"/>
      <c r="CI53" s="484"/>
      <c r="CJ53" s="484"/>
      <c r="CK53" s="484"/>
      <c r="CL53" s="484"/>
      <c r="CM53" s="484"/>
      <c r="CN53" s="484"/>
      <c r="CO53" s="484"/>
      <c r="CP53" s="484"/>
      <c r="CQ53" s="484"/>
      <c r="CR53" s="484"/>
      <c r="CS53" s="485"/>
      <c r="CT53" s="485"/>
      <c r="CU53" s="485"/>
      <c r="CV53" s="485"/>
      <c r="CW53" s="485"/>
      <c r="CX53" s="485"/>
      <c r="CY53" s="485"/>
      <c r="CZ53" s="485"/>
      <c r="DA53" s="485"/>
      <c r="DB53" s="485"/>
      <c r="DC53" s="485"/>
      <c r="DD53" s="485"/>
      <c r="DE53" s="485"/>
      <c r="DF53" s="485"/>
      <c r="DG53" s="485"/>
      <c r="DH53" s="485"/>
      <c r="DI53" s="485"/>
      <c r="DJ53" s="485"/>
      <c r="DK53" s="485"/>
      <c r="DL53" s="485"/>
      <c r="DM53" s="485"/>
      <c r="DN53" s="943"/>
      <c r="DO53" s="486"/>
      <c r="DP53" s="486"/>
      <c r="DQ53" s="487"/>
      <c r="DR53" s="487"/>
      <c r="DS53" s="482"/>
      <c r="DT53" s="482"/>
      <c r="DU53" s="482"/>
      <c r="DV53" s="482"/>
      <c r="DW53" s="482"/>
      <c r="DX53" s="482"/>
      <c r="DY53" s="482"/>
      <c r="DZ53" s="482"/>
      <c r="EA53" s="482"/>
      <c r="EB53" s="482"/>
      <c r="EC53" s="482">
        <v>200</v>
      </c>
      <c r="ED53" s="482"/>
      <c r="EE53" s="482"/>
      <c r="EF53" s="482"/>
      <c r="EG53" s="482"/>
      <c r="EH53" s="482"/>
      <c r="EI53" s="482"/>
      <c r="EJ53" s="482"/>
      <c r="EK53" s="482"/>
      <c r="EL53" s="482"/>
      <c r="EM53" s="482"/>
      <c r="EN53" s="482"/>
      <c r="EO53" s="482"/>
      <c r="EP53" s="482"/>
      <c r="EQ53" s="482"/>
      <c r="ER53" s="482"/>
      <c r="ES53" s="482"/>
      <c r="ET53" s="482"/>
      <c r="EU53" s="482"/>
      <c r="EV53" s="482"/>
      <c r="EW53" s="482"/>
      <c r="EX53" s="482"/>
      <c r="EY53" s="482"/>
      <c r="EZ53" s="482"/>
      <c r="FA53" s="377"/>
      <c r="FB53" s="378">
        <v>200</v>
      </c>
      <c r="FC53" s="378"/>
      <c r="FD53" s="379">
        <f t="shared" si="63"/>
        <v>0</v>
      </c>
      <c r="FE53" s="790"/>
    </row>
    <row r="54" spans="2:164" ht="26.1" customHeight="1" outlineLevel="1" thickBot="1" x14ac:dyDescent="0.3">
      <c r="B54" s="1018"/>
      <c r="C54" s="1020"/>
      <c r="D54" s="1058"/>
      <c r="E54" s="1064"/>
      <c r="F54" s="843" t="s">
        <v>117</v>
      </c>
      <c r="G54" s="809" t="str">
        <f>VLOOKUP(H54,инфо!AD:AE,2,FALSE)</f>
        <v>Прочее</v>
      </c>
      <c r="H54" s="584" t="s">
        <v>1197</v>
      </c>
      <c r="I54" s="589" t="s">
        <v>50</v>
      </c>
      <c r="J54" s="479"/>
      <c r="K54" s="480"/>
      <c r="L54" s="480"/>
      <c r="M54" s="480"/>
      <c r="N54" s="480"/>
      <c r="O54" s="480"/>
      <c r="P54" s="480"/>
      <c r="Q54" s="480"/>
      <c r="R54" s="480"/>
      <c r="S54" s="480"/>
      <c r="T54" s="480"/>
      <c r="U54" s="480"/>
      <c r="V54" s="480"/>
      <c r="W54" s="481"/>
      <c r="X54" s="481"/>
      <c r="Y54" s="481"/>
      <c r="Z54" s="481">
        <v>50</v>
      </c>
      <c r="AA54" s="481">
        <v>100</v>
      </c>
      <c r="AB54" s="481"/>
      <c r="AC54" s="481"/>
      <c r="AD54" s="481"/>
      <c r="AE54" s="481"/>
      <c r="AF54" s="481"/>
      <c r="AG54" s="481"/>
      <c r="AH54" s="481"/>
      <c r="AI54" s="481"/>
      <c r="AJ54" s="481"/>
      <c r="AK54" s="481"/>
      <c r="AL54" s="481"/>
      <c r="AM54" s="481"/>
      <c r="AN54" s="481"/>
      <c r="AO54" s="481"/>
      <c r="AP54" s="481"/>
      <c r="AQ54" s="481"/>
      <c r="AR54" s="481"/>
      <c r="AS54" s="481"/>
      <c r="AT54" s="481"/>
      <c r="AU54" s="481"/>
      <c r="AV54" s="481"/>
      <c r="AW54" s="481"/>
      <c r="AX54" s="481"/>
      <c r="AY54" s="481"/>
      <c r="AZ54" s="481"/>
      <c r="BA54" s="481"/>
      <c r="BB54" s="481"/>
      <c r="BC54" s="481"/>
      <c r="BD54" s="481"/>
      <c r="BE54" s="482"/>
      <c r="BF54" s="482"/>
      <c r="BG54" s="482"/>
      <c r="BH54" s="482"/>
      <c r="BI54" s="482"/>
      <c r="BJ54" s="482"/>
      <c r="BK54" s="482"/>
      <c r="BL54" s="482"/>
      <c r="BM54" s="482"/>
      <c r="BN54" s="483"/>
      <c r="BO54" s="483"/>
      <c r="BP54" s="483"/>
      <c r="BQ54" s="483"/>
      <c r="BR54" s="483"/>
      <c r="BS54" s="483"/>
      <c r="BT54" s="483"/>
      <c r="BU54" s="483"/>
      <c r="BV54" s="480"/>
      <c r="BW54" s="480"/>
      <c r="BX54" s="480"/>
      <c r="BY54" s="480"/>
      <c r="BZ54" s="480"/>
      <c r="CA54" s="480"/>
      <c r="CB54" s="480"/>
      <c r="CC54" s="484"/>
      <c r="CD54" s="484"/>
      <c r="CE54" s="484"/>
      <c r="CF54" s="484"/>
      <c r="CG54" s="484"/>
      <c r="CH54" s="484"/>
      <c r="CI54" s="484"/>
      <c r="CJ54" s="484"/>
      <c r="CK54" s="484"/>
      <c r="CL54" s="484"/>
      <c r="CM54" s="484"/>
      <c r="CN54" s="484"/>
      <c r="CO54" s="484"/>
      <c r="CP54" s="484"/>
      <c r="CQ54" s="484"/>
      <c r="CR54" s="484"/>
      <c r="CS54" s="485"/>
      <c r="CT54" s="485"/>
      <c r="CU54" s="485"/>
      <c r="CV54" s="485"/>
      <c r="CW54" s="485"/>
      <c r="CX54" s="485"/>
      <c r="CY54" s="485"/>
      <c r="CZ54" s="485"/>
      <c r="DA54" s="485"/>
      <c r="DB54" s="485"/>
      <c r="DC54" s="485"/>
      <c r="DD54" s="485"/>
      <c r="DE54" s="485"/>
      <c r="DF54" s="485"/>
      <c r="DG54" s="485"/>
      <c r="DH54" s="485"/>
      <c r="DI54" s="485"/>
      <c r="DJ54" s="485"/>
      <c r="DK54" s="485"/>
      <c r="DL54" s="485"/>
      <c r="DM54" s="485"/>
      <c r="DN54" s="943"/>
      <c r="DO54" s="486"/>
      <c r="DP54" s="486"/>
      <c r="DQ54" s="487"/>
      <c r="DR54" s="487"/>
      <c r="DS54" s="482"/>
      <c r="DT54" s="482"/>
      <c r="DU54" s="482"/>
      <c r="DV54" s="482"/>
      <c r="DW54" s="482"/>
      <c r="DX54" s="482"/>
      <c r="DY54" s="482"/>
      <c r="DZ54" s="482"/>
      <c r="EA54" s="482"/>
      <c r="EB54" s="482"/>
      <c r="EC54" s="482"/>
      <c r="ED54" s="482"/>
      <c r="EE54" s="482"/>
      <c r="EF54" s="482"/>
      <c r="EG54" s="482"/>
      <c r="EH54" s="482"/>
      <c r="EI54" s="482"/>
      <c r="EJ54" s="482"/>
      <c r="EK54" s="482"/>
      <c r="EL54" s="482"/>
      <c r="EM54" s="482"/>
      <c r="EN54" s="482"/>
      <c r="EO54" s="482"/>
      <c r="EP54" s="482"/>
      <c r="EQ54" s="482"/>
      <c r="ER54" s="482"/>
      <c r="ES54" s="482"/>
      <c r="ET54" s="482"/>
      <c r="EU54" s="482"/>
      <c r="EV54" s="482"/>
      <c r="EW54" s="482"/>
      <c r="EX54" s="482"/>
      <c r="EY54" s="482"/>
      <c r="EZ54" s="482"/>
      <c r="FA54" s="377"/>
      <c r="FB54" s="378">
        <v>150</v>
      </c>
      <c r="FC54" s="378"/>
      <c r="FD54" s="379">
        <f t="shared" si="63"/>
        <v>0</v>
      </c>
      <c r="FE54" s="790"/>
    </row>
    <row r="55" spans="2:164" ht="26.1" customHeight="1" outlineLevel="1" thickBot="1" x14ac:dyDescent="0.3">
      <c r="B55" s="1018"/>
      <c r="C55" s="1020"/>
      <c r="D55" s="1059"/>
      <c r="E55" s="1065"/>
      <c r="F55" s="845" t="s">
        <v>117</v>
      </c>
      <c r="G55" s="811" t="str">
        <f>VLOOKUP(H55,инфо!AD:AE,2,FALSE)</f>
        <v>Прочее</v>
      </c>
      <c r="H55" s="585" t="s">
        <v>1197</v>
      </c>
      <c r="I55" s="657" t="s">
        <v>60</v>
      </c>
      <c r="J55" s="488"/>
      <c r="K55" s="489"/>
      <c r="L55" s="489"/>
      <c r="M55" s="489"/>
      <c r="N55" s="489"/>
      <c r="O55" s="489"/>
      <c r="P55" s="489"/>
      <c r="Q55" s="489"/>
      <c r="R55" s="489"/>
      <c r="S55" s="489"/>
      <c r="T55" s="489"/>
      <c r="U55" s="489"/>
      <c r="V55" s="489"/>
      <c r="W55" s="490"/>
      <c r="X55" s="490"/>
      <c r="Y55" s="490"/>
      <c r="Z55" s="490"/>
      <c r="AA55" s="490"/>
      <c r="AB55" s="490"/>
      <c r="AC55" s="490"/>
      <c r="AD55" s="490"/>
      <c r="AE55" s="490"/>
      <c r="AF55" s="490"/>
      <c r="AG55" s="490"/>
      <c r="AH55" s="490"/>
      <c r="AI55" s="490"/>
      <c r="AJ55" s="490"/>
      <c r="AK55" s="490"/>
      <c r="AL55" s="490"/>
      <c r="AM55" s="490"/>
      <c r="AN55" s="490"/>
      <c r="AO55" s="490"/>
      <c r="AP55" s="490"/>
      <c r="AQ55" s="490"/>
      <c r="AR55" s="490"/>
      <c r="AS55" s="490"/>
      <c r="AT55" s="490"/>
      <c r="AU55" s="490"/>
      <c r="AV55" s="490"/>
      <c r="AW55" s="490"/>
      <c r="AX55" s="490"/>
      <c r="AY55" s="490"/>
      <c r="AZ55" s="490"/>
      <c r="BA55" s="490"/>
      <c r="BB55" s="490"/>
      <c r="BC55" s="490"/>
      <c r="BD55" s="490"/>
      <c r="BE55" s="491"/>
      <c r="BF55" s="491"/>
      <c r="BG55" s="491"/>
      <c r="BH55" s="491"/>
      <c r="BI55" s="491"/>
      <c r="BJ55" s="491"/>
      <c r="BK55" s="491"/>
      <c r="BL55" s="491"/>
      <c r="BM55" s="491"/>
      <c r="BN55" s="492">
        <v>15</v>
      </c>
      <c r="BO55" s="492"/>
      <c r="BP55" s="492"/>
      <c r="BQ55" s="492"/>
      <c r="BR55" s="492"/>
      <c r="BS55" s="492"/>
      <c r="BT55" s="492"/>
      <c r="BU55" s="492"/>
      <c r="BV55" s="489"/>
      <c r="BW55" s="489"/>
      <c r="BX55" s="489"/>
      <c r="BY55" s="489"/>
      <c r="BZ55" s="489"/>
      <c r="CA55" s="489"/>
      <c r="CB55" s="489"/>
      <c r="CC55" s="493"/>
      <c r="CD55" s="493"/>
      <c r="CE55" s="493"/>
      <c r="CF55" s="493"/>
      <c r="CG55" s="493"/>
      <c r="CH55" s="493"/>
      <c r="CI55" s="493"/>
      <c r="CJ55" s="493"/>
      <c r="CK55" s="493"/>
      <c r="CL55" s="493"/>
      <c r="CM55" s="493"/>
      <c r="CN55" s="493"/>
      <c r="CO55" s="493"/>
      <c r="CP55" s="493"/>
      <c r="CQ55" s="493"/>
      <c r="CR55" s="493"/>
      <c r="CS55" s="494"/>
      <c r="CT55" s="494"/>
      <c r="CU55" s="494"/>
      <c r="CV55" s="494"/>
      <c r="CW55" s="494"/>
      <c r="CX55" s="494"/>
      <c r="CY55" s="494"/>
      <c r="CZ55" s="494"/>
      <c r="DA55" s="494"/>
      <c r="DB55" s="494"/>
      <c r="DC55" s="494"/>
      <c r="DD55" s="494"/>
      <c r="DE55" s="494"/>
      <c r="DF55" s="494"/>
      <c r="DG55" s="494"/>
      <c r="DH55" s="494"/>
      <c r="DI55" s="494"/>
      <c r="DJ55" s="494"/>
      <c r="DK55" s="494"/>
      <c r="DL55" s="494"/>
      <c r="DM55" s="494"/>
      <c r="DN55" s="944"/>
      <c r="DO55" s="495"/>
      <c r="DP55" s="495"/>
      <c r="DQ55" s="496"/>
      <c r="DR55" s="496"/>
      <c r="DS55" s="491"/>
      <c r="DT55" s="491"/>
      <c r="DU55" s="491"/>
      <c r="DV55" s="491"/>
      <c r="DW55" s="491"/>
      <c r="DX55" s="491"/>
      <c r="DY55" s="491"/>
      <c r="DZ55" s="491"/>
      <c r="EA55" s="491"/>
      <c r="EB55" s="491"/>
      <c r="EC55" s="491"/>
      <c r="ED55" s="491"/>
      <c r="EE55" s="491"/>
      <c r="EF55" s="491"/>
      <c r="EG55" s="491"/>
      <c r="EH55" s="491"/>
      <c r="EI55" s="491"/>
      <c r="EJ55" s="491"/>
      <c r="EK55" s="491"/>
      <c r="EL55" s="491"/>
      <c r="EM55" s="491"/>
      <c r="EN55" s="491"/>
      <c r="EO55" s="491"/>
      <c r="EP55" s="491"/>
      <c r="EQ55" s="491"/>
      <c r="ER55" s="491"/>
      <c r="ES55" s="491"/>
      <c r="ET55" s="491"/>
      <c r="EU55" s="491"/>
      <c r="EV55" s="491"/>
      <c r="EW55" s="491"/>
      <c r="EX55" s="491"/>
      <c r="EY55" s="491"/>
      <c r="EZ55" s="491"/>
      <c r="FA55" s="377"/>
      <c r="FB55" s="378">
        <v>15</v>
      </c>
      <c r="FC55" s="378"/>
      <c r="FD55" s="379">
        <f t="shared" si="63"/>
        <v>0</v>
      </c>
      <c r="FE55" s="790"/>
    </row>
    <row r="56" spans="2:164" s="154" customFormat="1" ht="16.5" customHeight="1" outlineLevel="1" thickBot="1" x14ac:dyDescent="0.4">
      <c r="B56" s="1018"/>
      <c r="C56" s="1020"/>
      <c r="D56" s="145"/>
      <c r="E56" s="317" t="s">
        <v>174</v>
      </c>
      <c r="F56" s="836"/>
      <c r="G56" s="818"/>
      <c r="H56" s="576"/>
      <c r="I56" s="594"/>
      <c r="J56" s="305">
        <f>SUM(J44:J55)</f>
        <v>0</v>
      </c>
      <c r="K56" s="146">
        <f t="shared" ref="K56:CU56" si="64">SUM(K44:K55)</f>
        <v>83</v>
      </c>
      <c r="L56" s="146">
        <f t="shared" si="64"/>
        <v>0</v>
      </c>
      <c r="M56" s="146">
        <f t="shared" si="64"/>
        <v>0</v>
      </c>
      <c r="N56" s="146">
        <f t="shared" si="64"/>
        <v>0</v>
      </c>
      <c r="O56" s="146">
        <f t="shared" si="64"/>
        <v>5</v>
      </c>
      <c r="P56" s="146">
        <f t="shared" si="64"/>
        <v>0</v>
      </c>
      <c r="Q56" s="146">
        <f t="shared" si="64"/>
        <v>0</v>
      </c>
      <c r="R56" s="146">
        <f t="shared" si="64"/>
        <v>0</v>
      </c>
      <c r="S56" s="146">
        <f t="shared" si="64"/>
        <v>0</v>
      </c>
      <c r="T56" s="146">
        <f t="shared" ref="T56:V56" si="65">SUM(T44:T55)</f>
        <v>0</v>
      </c>
      <c r="U56" s="146">
        <f t="shared" si="65"/>
        <v>0</v>
      </c>
      <c r="V56" s="146">
        <f t="shared" si="65"/>
        <v>83</v>
      </c>
      <c r="W56" s="147">
        <f t="shared" si="64"/>
        <v>0</v>
      </c>
      <c r="X56" s="147">
        <f t="shared" si="64"/>
        <v>7</v>
      </c>
      <c r="Y56" s="147">
        <f t="shared" ref="Y56" si="66">SUM(Y44:Y55)</f>
        <v>0</v>
      </c>
      <c r="Z56" s="147">
        <f t="shared" si="64"/>
        <v>50</v>
      </c>
      <c r="AA56" s="147">
        <f t="shared" si="64"/>
        <v>100</v>
      </c>
      <c r="AB56" s="147">
        <f t="shared" ref="AB56:AC56" si="67">SUM(AB44:AB55)</f>
        <v>0</v>
      </c>
      <c r="AC56" s="147">
        <f t="shared" si="67"/>
        <v>0</v>
      </c>
      <c r="AD56" s="147">
        <f t="shared" si="64"/>
        <v>290</v>
      </c>
      <c r="AE56" s="147">
        <f t="shared" si="64"/>
        <v>0</v>
      </c>
      <c r="AF56" s="147">
        <f t="shared" ref="AF56:AH56" si="68">SUM(AF44:AF55)</f>
        <v>44</v>
      </c>
      <c r="AG56" s="147">
        <f t="shared" si="68"/>
        <v>45</v>
      </c>
      <c r="AH56" s="147">
        <f t="shared" si="68"/>
        <v>0</v>
      </c>
      <c r="AI56" s="147">
        <f t="shared" si="64"/>
        <v>25</v>
      </c>
      <c r="AJ56" s="147">
        <f t="shared" si="64"/>
        <v>95</v>
      </c>
      <c r="AK56" s="147">
        <f t="shared" si="64"/>
        <v>0</v>
      </c>
      <c r="AL56" s="147">
        <f t="shared" ref="AL56" si="69">SUM(AL44:AL55)</f>
        <v>0</v>
      </c>
      <c r="AM56" s="147">
        <f t="shared" ref="AM56:AS56" si="70">SUM(AM44:AM55)</f>
        <v>0</v>
      </c>
      <c r="AN56" s="147">
        <f t="shared" si="70"/>
        <v>0</v>
      </c>
      <c r="AO56" s="147">
        <f t="shared" si="70"/>
        <v>5</v>
      </c>
      <c r="AP56" s="147">
        <f t="shared" si="70"/>
        <v>0</v>
      </c>
      <c r="AQ56" s="147">
        <f t="shared" si="70"/>
        <v>0</v>
      </c>
      <c r="AR56" s="147">
        <f t="shared" si="70"/>
        <v>0</v>
      </c>
      <c r="AS56" s="147">
        <f t="shared" si="70"/>
        <v>0</v>
      </c>
      <c r="AT56" s="147">
        <f t="shared" si="64"/>
        <v>0</v>
      </c>
      <c r="AU56" s="147">
        <f t="shared" ref="AU56:BD56" si="71">SUM(AU44:AU55)</f>
        <v>0</v>
      </c>
      <c r="AV56" s="147">
        <f t="shared" si="71"/>
        <v>25</v>
      </c>
      <c r="AW56" s="147">
        <f t="shared" si="71"/>
        <v>0</v>
      </c>
      <c r="AX56" s="147">
        <f t="shared" si="71"/>
        <v>20</v>
      </c>
      <c r="AY56" s="147">
        <f t="shared" si="71"/>
        <v>0</v>
      </c>
      <c r="AZ56" s="147">
        <f t="shared" si="71"/>
        <v>0</v>
      </c>
      <c r="BA56" s="147">
        <f t="shared" si="71"/>
        <v>0</v>
      </c>
      <c r="BB56" s="147">
        <f t="shared" si="71"/>
        <v>20</v>
      </c>
      <c r="BC56" s="147">
        <f t="shared" si="71"/>
        <v>0</v>
      </c>
      <c r="BD56" s="147">
        <f t="shared" si="71"/>
        <v>0</v>
      </c>
      <c r="BE56" s="148">
        <f t="shared" ref="BE56:BP56" si="72">SUM(BE44:BE55)</f>
        <v>0</v>
      </c>
      <c r="BF56" s="148">
        <f t="shared" si="72"/>
        <v>0</v>
      </c>
      <c r="BG56" s="148">
        <f t="shared" si="72"/>
        <v>0</v>
      </c>
      <c r="BH56" s="148">
        <f t="shared" si="72"/>
        <v>0</v>
      </c>
      <c r="BI56" s="148">
        <f t="shared" ref="BI56:BL56" si="73">SUM(BI44:BI55)</f>
        <v>0</v>
      </c>
      <c r="BJ56" s="148">
        <f t="shared" si="73"/>
        <v>0</v>
      </c>
      <c r="BK56" s="148">
        <f t="shared" si="73"/>
        <v>0</v>
      </c>
      <c r="BL56" s="148">
        <f t="shared" si="73"/>
        <v>0</v>
      </c>
      <c r="BM56" s="148">
        <f t="shared" si="72"/>
        <v>0</v>
      </c>
      <c r="BN56" s="149">
        <f t="shared" si="72"/>
        <v>30</v>
      </c>
      <c r="BO56" s="149">
        <f t="shared" si="72"/>
        <v>25</v>
      </c>
      <c r="BP56" s="149">
        <f t="shared" si="72"/>
        <v>0</v>
      </c>
      <c r="BQ56" s="149">
        <f t="shared" ref="BQ56" si="74">SUM(BQ44:BQ55)</f>
        <v>0</v>
      </c>
      <c r="BR56" s="149">
        <f t="shared" ref="BR56:BU56" si="75">SUM(BR44:BR55)</f>
        <v>0</v>
      </c>
      <c r="BS56" s="149">
        <f t="shared" si="75"/>
        <v>0</v>
      </c>
      <c r="BT56" s="149">
        <f t="shared" si="75"/>
        <v>0</v>
      </c>
      <c r="BU56" s="149">
        <f t="shared" si="75"/>
        <v>0</v>
      </c>
      <c r="BV56" s="146">
        <f t="shared" ref="BV56:BX56" si="76">SUM(BV44:BV55)</f>
        <v>0</v>
      </c>
      <c r="BW56" s="146">
        <f t="shared" si="76"/>
        <v>0</v>
      </c>
      <c r="BX56" s="146">
        <f t="shared" si="76"/>
        <v>0</v>
      </c>
      <c r="BY56" s="146">
        <f t="shared" ref="BY56:BZ56" si="77">SUM(BY44:BY55)</f>
        <v>0</v>
      </c>
      <c r="BZ56" s="146">
        <f t="shared" si="77"/>
        <v>0</v>
      </c>
      <c r="CA56" s="146">
        <f t="shared" si="64"/>
        <v>0</v>
      </c>
      <c r="CB56" s="146">
        <f t="shared" si="64"/>
        <v>0</v>
      </c>
      <c r="CC56" s="265">
        <f t="shared" si="64"/>
        <v>0</v>
      </c>
      <c r="CD56" s="265">
        <f t="shared" si="64"/>
        <v>0</v>
      </c>
      <c r="CE56" s="265">
        <f t="shared" si="64"/>
        <v>0</v>
      </c>
      <c r="CF56" s="265">
        <f t="shared" si="64"/>
        <v>0</v>
      </c>
      <c r="CG56" s="265">
        <f t="shared" si="64"/>
        <v>0</v>
      </c>
      <c r="CH56" s="265">
        <f t="shared" si="64"/>
        <v>0</v>
      </c>
      <c r="CI56" s="265">
        <f t="shared" si="64"/>
        <v>0</v>
      </c>
      <c r="CJ56" s="265">
        <f t="shared" ref="CJ56" si="78">SUM(CJ44:CJ55)</f>
        <v>0</v>
      </c>
      <c r="CK56" s="265">
        <f t="shared" ref="CK56" si="79">SUM(CK44:CK55)</f>
        <v>0</v>
      </c>
      <c r="CL56" s="265">
        <f t="shared" si="64"/>
        <v>0</v>
      </c>
      <c r="CM56" s="265">
        <f t="shared" si="64"/>
        <v>0</v>
      </c>
      <c r="CN56" s="265">
        <f t="shared" ref="CN56:CQ56" si="80">SUM(CN44:CN55)</f>
        <v>0</v>
      </c>
      <c r="CO56" s="265">
        <f t="shared" si="80"/>
        <v>50</v>
      </c>
      <c r="CP56" s="265">
        <f t="shared" si="80"/>
        <v>0</v>
      </c>
      <c r="CQ56" s="265">
        <f t="shared" si="80"/>
        <v>0</v>
      </c>
      <c r="CR56" s="265">
        <f t="shared" si="64"/>
        <v>0</v>
      </c>
      <c r="CS56" s="281">
        <f t="shared" si="64"/>
        <v>0</v>
      </c>
      <c r="CT56" s="281">
        <f t="shared" ref="CT56" si="81">SUM(CT44:CT55)</f>
        <v>0</v>
      </c>
      <c r="CU56" s="281">
        <f t="shared" si="64"/>
        <v>0</v>
      </c>
      <c r="CV56" s="281">
        <f t="shared" ref="CV56:DE56" si="82">SUM(CV44:CV55)</f>
        <v>0</v>
      </c>
      <c r="CW56" s="281">
        <f t="shared" si="82"/>
        <v>0</v>
      </c>
      <c r="CX56" s="281">
        <f t="shared" si="82"/>
        <v>0</v>
      </c>
      <c r="CY56" s="281">
        <f t="shared" si="82"/>
        <v>0</v>
      </c>
      <c r="CZ56" s="281">
        <f t="shared" ref="CZ56" si="83">SUM(CZ44:CZ55)</f>
        <v>0</v>
      </c>
      <c r="DA56" s="281">
        <f t="shared" si="82"/>
        <v>0</v>
      </c>
      <c r="DB56" s="281">
        <f t="shared" si="82"/>
        <v>0</v>
      </c>
      <c r="DC56" s="281">
        <f t="shared" si="82"/>
        <v>0</v>
      </c>
      <c r="DD56" s="281">
        <f t="shared" si="82"/>
        <v>120</v>
      </c>
      <c r="DE56" s="281">
        <f t="shared" si="82"/>
        <v>0</v>
      </c>
      <c r="DF56" s="281">
        <f t="shared" ref="DF56:FD56" si="84">SUM(DF44:DF55)</f>
        <v>0</v>
      </c>
      <c r="DG56" s="281">
        <f t="shared" si="84"/>
        <v>0</v>
      </c>
      <c r="DH56" s="281">
        <f t="shared" si="84"/>
        <v>0</v>
      </c>
      <c r="DI56" s="281">
        <f t="shared" ref="DI56:DQ56" si="85">SUM(DI44:DI55)</f>
        <v>0</v>
      </c>
      <c r="DJ56" s="281">
        <f t="shared" si="85"/>
        <v>0</v>
      </c>
      <c r="DK56" s="281">
        <f t="shared" si="85"/>
        <v>0</v>
      </c>
      <c r="DL56" s="281">
        <f t="shared" si="85"/>
        <v>0</v>
      </c>
      <c r="DM56" s="281">
        <f t="shared" si="85"/>
        <v>0</v>
      </c>
      <c r="DN56" s="936">
        <f t="shared" si="85"/>
        <v>0</v>
      </c>
      <c r="DO56" s="148">
        <f t="shared" si="85"/>
        <v>25</v>
      </c>
      <c r="DP56" s="148">
        <f t="shared" si="85"/>
        <v>16</v>
      </c>
      <c r="DQ56" s="148">
        <f t="shared" si="85"/>
        <v>0.02</v>
      </c>
      <c r="DR56" s="148">
        <f t="shared" si="84"/>
        <v>0.08</v>
      </c>
      <c r="DS56" s="148">
        <f t="shared" si="84"/>
        <v>0</v>
      </c>
      <c r="DT56" s="148">
        <f t="shared" si="84"/>
        <v>0</v>
      </c>
      <c r="DU56" s="148">
        <f t="shared" si="84"/>
        <v>0</v>
      </c>
      <c r="DV56" s="148">
        <f t="shared" si="84"/>
        <v>0</v>
      </c>
      <c r="DW56" s="148">
        <f t="shared" si="84"/>
        <v>0</v>
      </c>
      <c r="DX56" s="148">
        <f t="shared" si="84"/>
        <v>0</v>
      </c>
      <c r="DY56" s="148">
        <f t="shared" ref="DY56:EO56" si="86">SUM(DY44:DY55)</f>
        <v>0</v>
      </c>
      <c r="DZ56" s="148">
        <f t="shared" si="86"/>
        <v>0</v>
      </c>
      <c r="EA56" s="148">
        <f t="shared" si="86"/>
        <v>698.2</v>
      </c>
      <c r="EB56" s="148">
        <f t="shared" si="86"/>
        <v>400</v>
      </c>
      <c r="EC56" s="148">
        <f t="shared" si="86"/>
        <v>200</v>
      </c>
      <c r="ED56" s="148">
        <f t="shared" si="86"/>
        <v>1</v>
      </c>
      <c r="EE56" s="148">
        <f t="shared" si="86"/>
        <v>0</v>
      </c>
      <c r="EF56" s="148">
        <f t="shared" si="86"/>
        <v>0</v>
      </c>
      <c r="EG56" s="148">
        <f t="shared" si="86"/>
        <v>0</v>
      </c>
      <c r="EH56" s="148">
        <f t="shared" si="86"/>
        <v>0</v>
      </c>
      <c r="EI56" s="148">
        <f t="shared" si="86"/>
        <v>0</v>
      </c>
      <c r="EJ56" s="148">
        <f t="shared" si="86"/>
        <v>0</v>
      </c>
      <c r="EK56" s="148">
        <f t="shared" si="86"/>
        <v>0</v>
      </c>
      <c r="EL56" s="148">
        <f t="shared" si="86"/>
        <v>0</v>
      </c>
      <c r="EM56" s="148">
        <f t="shared" si="86"/>
        <v>0</v>
      </c>
      <c r="EN56" s="148">
        <f t="shared" si="86"/>
        <v>0</v>
      </c>
      <c r="EO56" s="148">
        <f t="shared" si="86"/>
        <v>0</v>
      </c>
      <c r="EP56" s="148">
        <f t="shared" ref="EP56:EZ56" si="87">SUM(EP44:EP55)</f>
        <v>0</v>
      </c>
      <c r="EQ56" s="148">
        <f t="shared" si="87"/>
        <v>0</v>
      </c>
      <c r="ER56" s="148">
        <f t="shared" si="87"/>
        <v>0</v>
      </c>
      <c r="ES56" s="148">
        <f t="shared" si="87"/>
        <v>0</v>
      </c>
      <c r="ET56" s="148">
        <f t="shared" si="87"/>
        <v>0</v>
      </c>
      <c r="EU56" s="148">
        <f t="shared" si="87"/>
        <v>0</v>
      </c>
      <c r="EV56" s="148">
        <f t="shared" si="87"/>
        <v>0</v>
      </c>
      <c r="EW56" s="148">
        <f t="shared" si="87"/>
        <v>0</v>
      </c>
      <c r="EX56" s="148">
        <f t="shared" si="87"/>
        <v>0</v>
      </c>
      <c r="EY56" s="148">
        <f t="shared" si="87"/>
        <v>0</v>
      </c>
      <c r="EZ56" s="148">
        <f t="shared" si="87"/>
        <v>0</v>
      </c>
      <c r="FA56" s="150">
        <f t="shared" si="84"/>
        <v>1380</v>
      </c>
      <c r="FB56" s="151">
        <f t="shared" si="84"/>
        <v>2018</v>
      </c>
      <c r="FC56" s="151">
        <f t="shared" si="84"/>
        <v>132.5</v>
      </c>
      <c r="FD56" s="152">
        <f t="shared" si="84"/>
        <v>0</v>
      </c>
      <c r="FE56" s="792" t="str">
        <f>IF(FB56&lt;инфо!$AN$76,FB56-инфо!$AN$76,"")</f>
        <v/>
      </c>
      <c r="FF56" s="153"/>
      <c r="FG56" s="153"/>
      <c r="FH56" s="153"/>
    </row>
    <row r="57" spans="2:164" ht="26.1" customHeight="1" outlineLevel="1" thickBot="1" x14ac:dyDescent="0.3">
      <c r="B57" s="1018"/>
      <c r="C57" s="1020"/>
      <c r="D57" s="1054" t="s">
        <v>146</v>
      </c>
      <c r="E57" s="1060" t="s">
        <v>146</v>
      </c>
      <c r="F57" s="847" t="s">
        <v>146</v>
      </c>
      <c r="G57" s="813" t="s">
        <v>1492</v>
      </c>
      <c r="H57" s="588" t="s">
        <v>1195</v>
      </c>
      <c r="I57" s="588" t="s">
        <v>1164</v>
      </c>
      <c r="J57" s="515"/>
      <c r="K57" s="516"/>
      <c r="L57" s="516"/>
      <c r="M57" s="516"/>
      <c r="N57" s="516"/>
      <c r="O57" s="516"/>
      <c r="P57" s="516"/>
      <c r="Q57" s="516"/>
      <c r="R57" s="516"/>
      <c r="S57" s="516"/>
      <c r="T57" s="516"/>
      <c r="U57" s="516"/>
      <c r="V57" s="516"/>
      <c r="W57" s="517"/>
      <c r="X57" s="517"/>
      <c r="Y57" s="517"/>
      <c r="Z57" s="517"/>
      <c r="AA57" s="517"/>
      <c r="AB57" s="517"/>
      <c r="AC57" s="517"/>
      <c r="AD57" s="517"/>
      <c r="AE57" s="517"/>
      <c r="AF57" s="517"/>
      <c r="AG57" s="517"/>
      <c r="AH57" s="517"/>
      <c r="AI57" s="517"/>
      <c r="AJ57" s="517"/>
      <c r="AK57" s="517"/>
      <c r="AL57" s="517"/>
      <c r="AM57" s="517"/>
      <c r="AN57" s="517"/>
      <c r="AO57" s="517"/>
      <c r="AP57" s="517"/>
      <c r="AQ57" s="517"/>
      <c r="AR57" s="517"/>
      <c r="AS57" s="517"/>
      <c r="AT57" s="517"/>
      <c r="AU57" s="517"/>
      <c r="AV57" s="517"/>
      <c r="AW57" s="517"/>
      <c r="AX57" s="517"/>
      <c r="AY57" s="517"/>
      <c r="AZ57" s="517"/>
      <c r="BA57" s="517"/>
      <c r="BB57" s="517"/>
      <c r="BC57" s="517"/>
      <c r="BD57" s="517"/>
      <c r="BE57" s="518"/>
      <c r="BF57" s="518"/>
      <c r="BG57" s="518"/>
      <c r="BH57" s="518"/>
      <c r="BI57" s="518"/>
      <c r="BJ57" s="518"/>
      <c r="BK57" s="518"/>
      <c r="BL57" s="518"/>
      <c r="BM57" s="518"/>
      <c r="BN57" s="519"/>
      <c r="BO57" s="519"/>
      <c r="BP57" s="519"/>
      <c r="BQ57" s="519"/>
      <c r="BR57" s="519"/>
      <c r="BS57" s="519"/>
      <c r="BT57" s="519"/>
      <c r="BU57" s="519"/>
      <c r="BV57" s="516"/>
      <c r="BW57" s="516"/>
      <c r="BX57" s="516"/>
      <c r="BY57" s="516"/>
      <c r="BZ57" s="516"/>
      <c r="CA57" s="516"/>
      <c r="CB57" s="516"/>
      <c r="CC57" s="520"/>
      <c r="CD57" s="520"/>
      <c r="CE57" s="520"/>
      <c r="CF57" s="520"/>
      <c r="CG57" s="520"/>
      <c r="CH57" s="520"/>
      <c r="CI57" s="520"/>
      <c r="CJ57" s="520"/>
      <c r="CK57" s="520"/>
      <c r="CL57" s="520"/>
      <c r="CM57" s="520"/>
      <c r="CN57" s="520"/>
      <c r="CO57" s="520"/>
      <c r="CP57" s="520"/>
      <c r="CQ57" s="520"/>
      <c r="CR57" s="520"/>
      <c r="CS57" s="521"/>
      <c r="CT57" s="521"/>
      <c r="CU57" s="521"/>
      <c r="CV57" s="521"/>
      <c r="CW57" s="521"/>
      <c r="CX57" s="521"/>
      <c r="CY57" s="521"/>
      <c r="CZ57" s="521"/>
      <c r="DA57" s="521"/>
      <c r="DB57" s="521"/>
      <c r="DC57" s="521"/>
      <c r="DD57" s="521"/>
      <c r="DE57" s="521"/>
      <c r="DF57" s="521"/>
      <c r="DG57" s="521"/>
      <c r="DH57" s="521"/>
      <c r="DI57" s="521"/>
      <c r="DJ57" s="521"/>
      <c r="DK57" s="521"/>
      <c r="DL57" s="521"/>
      <c r="DM57" s="521"/>
      <c r="DN57" s="947"/>
      <c r="DO57" s="522">
        <v>25</v>
      </c>
      <c r="DP57" s="522"/>
      <c r="DQ57" s="523"/>
      <c r="DR57" s="523"/>
      <c r="DS57" s="518"/>
      <c r="DT57" s="518"/>
      <c r="DU57" s="518"/>
      <c r="DV57" s="518"/>
      <c r="DW57" s="518"/>
      <c r="DX57" s="518"/>
      <c r="DY57" s="518"/>
      <c r="DZ57" s="518"/>
      <c r="EA57" s="518">
        <v>250</v>
      </c>
      <c r="EB57" s="518"/>
      <c r="EC57" s="518"/>
      <c r="ED57" s="518">
        <v>1</v>
      </c>
      <c r="EE57" s="518"/>
      <c r="EF57" s="518"/>
      <c r="EG57" s="518"/>
      <c r="EH57" s="518"/>
      <c r="EI57" s="518"/>
      <c r="EJ57" s="518"/>
      <c r="EK57" s="518"/>
      <c r="EL57" s="518"/>
      <c r="EM57" s="518"/>
      <c r="EN57" s="518"/>
      <c r="EO57" s="518"/>
      <c r="EP57" s="518"/>
      <c r="EQ57" s="518"/>
      <c r="ER57" s="518"/>
      <c r="ES57" s="518"/>
      <c r="ET57" s="518"/>
      <c r="EU57" s="518"/>
      <c r="EV57" s="518"/>
      <c r="EW57" s="518"/>
      <c r="EX57" s="518"/>
      <c r="EY57" s="518"/>
      <c r="EZ57" s="518"/>
      <c r="FA57" s="377"/>
      <c r="FB57" s="378">
        <v>250</v>
      </c>
      <c r="FC57" s="378"/>
      <c r="FD57" s="379">
        <f t="shared" ref="FD57:FD60" si="88">SUM(BE57:BG57,BI57,BL57:BM57)+SUM(BH57,BJ57,BK57)*5</f>
        <v>0</v>
      </c>
      <c r="FE57" s="790"/>
    </row>
    <row r="58" spans="2:164" ht="26.1" customHeight="1" outlineLevel="1" thickBot="1" x14ac:dyDescent="0.3">
      <c r="B58" s="1018"/>
      <c r="C58" s="1020"/>
      <c r="D58" s="1055"/>
      <c r="E58" s="1061"/>
      <c r="F58" s="848" t="s">
        <v>146</v>
      </c>
      <c r="G58" s="814" t="s">
        <v>1492</v>
      </c>
      <c r="H58" s="589" t="s">
        <v>1197</v>
      </c>
      <c r="I58" s="589" t="s">
        <v>53</v>
      </c>
      <c r="J58" s="524"/>
      <c r="K58" s="525"/>
      <c r="L58" s="525"/>
      <c r="M58" s="525"/>
      <c r="N58" s="525"/>
      <c r="O58" s="525"/>
      <c r="P58" s="525"/>
      <c r="Q58" s="525"/>
      <c r="R58" s="525"/>
      <c r="S58" s="525"/>
      <c r="T58" s="525"/>
      <c r="U58" s="525"/>
      <c r="V58" s="525"/>
      <c r="W58" s="526"/>
      <c r="X58" s="526"/>
      <c r="Y58" s="526"/>
      <c r="Z58" s="526"/>
      <c r="AA58" s="526"/>
      <c r="AB58" s="526"/>
      <c r="AC58" s="526"/>
      <c r="AD58" s="526"/>
      <c r="AE58" s="526"/>
      <c r="AF58" s="526"/>
      <c r="AG58" s="526"/>
      <c r="AH58" s="526"/>
      <c r="AI58" s="526"/>
      <c r="AJ58" s="526"/>
      <c r="AK58" s="526"/>
      <c r="AL58" s="526"/>
      <c r="AM58" s="526"/>
      <c r="AN58" s="526"/>
      <c r="AO58" s="526"/>
      <c r="AP58" s="526"/>
      <c r="AQ58" s="526"/>
      <c r="AR58" s="526"/>
      <c r="AS58" s="526"/>
      <c r="AT58" s="526"/>
      <c r="AU58" s="526"/>
      <c r="AV58" s="526"/>
      <c r="AW58" s="526"/>
      <c r="AX58" s="526"/>
      <c r="AY58" s="526"/>
      <c r="AZ58" s="526"/>
      <c r="BA58" s="526"/>
      <c r="BB58" s="526"/>
      <c r="BC58" s="526"/>
      <c r="BD58" s="526"/>
      <c r="BE58" s="527"/>
      <c r="BF58" s="527"/>
      <c r="BG58" s="527"/>
      <c r="BH58" s="527"/>
      <c r="BI58" s="527"/>
      <c r="BJ58" s="527"/>
      <c r="BK58" s="527"/>
      <c r="BL58" s="527"/>
      <c r="BM58" s="527"/>
      <c r="BN58" s="528"/>
      <c r="BO58" s="528"/>
      <c r="BP58" s="528"/>
      <c r="BQ58" s="528"/>
      <c r="BR58" s="528"/>
      <c r="BS58" s="528"/>
      <c r="BT58" s="528"/>
      <c r="BU58" s="528"/>
      <c r="BV58" s="525"/>
      <c r="BW58" s="525"/>
      <c r="BX58" s="525"/>
      <c r="BY58" s="525"/>
      <c r="BZ58" s="525"/>
      <c r="CA58" s="525"/>
      <c r="CB58" s="525"/>
      <c r="CC58" s="529"/>
      <c r="CD58" s="529"/>
      <c r="CE58" s="529"/>
      <c r="CF58" s="529"/>
      <c r="CG58" s="529"/>
      <c r="CH58" s="529"/>
      <c r="CI58" s="529"/>
      <c r="CJ58" s="529"/>
      <c r="CK58" s="529"/>
      <c r="CL58" s="529"/>
      <c r="CM58" s="529"/>
      <c r="CN58" s="529"/>
      <c r="CO58" s="529"/>
      <c r="CP58" s="529"/>
      <c r="CQ58" s="529"/>
      <c r="CR58" s="529"/>
      <c r="CS58" s="530"/>
      <c r="CT58" s="530"/>
      <c r="CU58" s="530"/>
      <c r="CV58" s="530"/>
      <c r="CW58" s="530"/>
      <c r="CX58" s="530"/>
      <c r="CY58" s="530"/>
      <c r="CZ58" s="530"/>
      <c r="DA58" s="530"/>
      <c r="DB58" s="530"/>
      <c r="DC58" s="530"/>
      <c r="DD58" s="530"/>
      <c r="DE58" s="530"/>
      <c r="DF58" s="530"/>
      <c r="DG58" s="530"/>
      <c r="DH58" s="530"/>
      <c r="DI58" s="530"/>
      <c r="DJ58" s="530"/>
      <c r="DK58" s="530"/>
      <c r="DL58" s="530"/>
      <c r="DM58" s="530"/>
      <c r="DN58" s="948"/>
      <c r="DO58" s="531">
        <v>25</v>
      </c>
      <c r="DP58" s="531"/>
      <c r="DQ58" s="532"/>
      <c r="DR58" s="532"/>
      <c r="DS58" s="527"/>
      <c r="DT58" s="527"/>
      <c r="DU58" s="527"/>
      <c r="DV58" s="527"/>
      <c r="DW58" s="527"/>
      <c r="DX58" s="527"/>
      <c r="DY58" s="527"/>
      <c r="DZ58" s="527"/>
      <c r="EA58" s="527"/>
      <c r="EB58" s="527"/>
      <c r="EC58" s="527"/>
      <c r="ED58" s="527"/>
      <c r="EE58" s="527"/>
      <c r="EF58" s="527"/>
      <c r="EG58" s="527"/>
      <c r="EH58" s="527"/>
      <c r="EI58" s="527"/>
      <c r="EJ58" s="527"/>
      <c r="EK58" s="527"/>
      <c r="EL58" s="527"/>
      <c r="EM58" s="527"/>
      <c r="EN58" s="527"/>
      <c r="EO58" s="527"/>
      <c r="EP58" s="527"/>
      <c r="EQ58" s="527"/>
      <c r="ER58" s="527"/>
      <c r="ES58" s="527"/>
      <c r="ET58" s="527"/>
      <c r="EU58" s="527"/>
      <c r="EV58" s="527"/>
      <c r="EW58" s="527"/>
      <c r="EX58" s="527"/>
      <c r="EY58" s="527"/>
      <c r="EZ58" s="527"/>
      <c r="FA58" s="377"/>
      <c r="FB58" s="378">
        <v>25</v>
      </c>
      <c r="FC58" s="378"/>
      <c r="FD58" s="379">
        <f t="shared" si="88"/>
        <v>0</v>
      </c>
      <c r="FE58" s="790"/>
    </row>
    <row r="59" spans="2:164" ht="26.1" customHeight="1" outlineLevel="1" thickBot="1" x14ac:dyDescent="0.3">
      <c r="B59" s="1018"/>
      <c r="C59" s="1020"/>
      <c r="D59" s="1055"/>
      <c r="E59" s="1061"/>
      <c r="F59" s="848" t="s">
        <v>146</v>
      </c>
      <c r="G59" s="814" t="s">
        <v>1492</v>
      </c>
      <c r="H59" s="589" t="s">
        <v>1197</v>
      </c>
      <c r="I59" s="589" t="s">
        <v>85</v>
      </c>
      <c r="J59" s="524"/>
      <c r="K59" s="525"/>
      <c r="L59" s="525"/>
      <c r="M59" s="525"/>
      <c r="N59" s="525"/>
      <c r="O59" s="525"/>
      <c r="P59" s="525"/>
      <c r="Q59" s="525"/>
      <c r="R59" s="525"/>
      <c r="S59" s="525"/>
      <c r="T59" s="525"/>
      <c r="U59" s="525"/>
      <c r="V59" s="525"/>
      <c r="W59" s="526"/>
      <c r="X59" s="526"/>
      <c r="Y59" s="526"/>
      <c r="Z59" s="526"/>
      <c r="AA59" s="526"/>
      <c r="AB59" s="526"/>
      <c r="AC59" s="526"/>
      <c r="AD59" s="526"/>
      <c r="AE59" s="526"/>
      <c r="AF59" s="526"/>
      <c r="AG59" s="526"/>
      <c r="AH59" s="526"/>
      <c r="AI59" s="526"/>
      <c r="AJ59" s="526"/>
      <c r="AK59" s="526"/>
      <c r="AL59" s="526"/>
      <c r="AM59" s="526"/>
      <c r="AN59" s="526"/>
      <c r="AO59" s="526"/>
      <c r="AP59" s="526"/>
      <c r="AQ59" s="526"/>
      <c r="AR59" s="526"/>
      <c r="AS59" s="526"/>
      <c r="AT59" s="526"/>
      <c r="AU59" s="526"/>
      <c r="AV59" s="526"/>
      <c r="AW59" s="526"/>
      <c r="AX59" s="526"/>
      <c r="AY59" s="526"/>
      <c r="AZ59" s="526"/>
      <c r="BA59" s="526"/>
      <c r="BB59" s="526"/>
      <c r="BC59" s="526"/>
      <c r="BD59" s="526"/>
      <c r="BE59" s="527"/>
      <c r="BF59" s="527"/>
      <c r="BG59" s="527"/>
      <c r="BH59" s="527"/>
      <c r="BI59" s="527"/>
      <c r="BJ59" s="527"/>
      <c r="BK59" s="527"/>
      <c r="BL59" s="527"/>
      <c r="BM59" s="527"/>
      <c r="BN59" s="528"/>
      <c r="BO59" s="528"/>
      <c r="BP59" s="528"/>
      <c r="BQ59" s="528"/>
      <c r="BR59" s="528"/>
      <c r="BS59" s="528"/>
      <c r="BT59" s="528"/>
      <c r="BU59" s="528"/>
      <c r="BV59" s="525"/>
      <c r="BW59" s="525"/>
      <c r="BX59" s="525"/>
      <c r="BY59" s="525"/>
      <c r="BZ59" s="525"/>
      <c r="CA59" s="525"/>
      <c r="CB59" s="525"/>
      <c r="CC59" s="529"/>
      <c r="CD59" s="529"/>
      <c r="CE59" s="529"/>
      <c r="CF59" s="529"/>
      <c r="CG59" s="529"/>
      <c r="CH59" s="529"/>
      <c r="CI59" s="529"/>
      <c r="CJ59" s="529"/>
      <c r="CK59" s="529"/>
      <c r="CL59" s="529"/>
      <c r="CM59" s="529"/>
      <c r="CN59" s="529"/>
      <c r="CO59" s="529"/>
      <c r="CP59" s="529"/>
      <c r="CQ59" s="529"/>
      <c r="CR59" s="529"/>
      <c r="CS59" s="530"/>
      <c r="CT59" s="530"/>
      <c r="CU59" s="530"/>
      <c r="CV59" s="530"/>
      <c r="CW59" s="530"/>
      <c r="CX59" s="530"/>
      <c r="CY59" s="530"/>
      <c r="CZ59" s="530"/>
      <c r="DA59" s="530"/>
      <c r="DB59" s="530"/>
      <c r="DC59" s="530"/>
      <c r="DD59" s="530"/>
      <c r="DE59" s="530"/>
      <c r="DF59" s="530"/>
      <c r="DG59" s="530"/>
      <c r="DH59" s="530"/>
      <c r="DI59" s="530"/>
      <c r="DJ59" s="530"/>
      <c r="DK59" s="530"/>
      <c r="DL59" s="530"/>
      <c r="DM59" s="530"/>
      <c r="DN59" s="948"/>
      <c r="DO59" s="531"/>
      <c r="DP59" s="531"/>
      <c r="DQ59" s="532"/>
      <c r="DR59" s="532"/>
      <c r="DS59" s="527"/>
      <c r="DT59" s="527"/>
      <c r="DU59" s="527"/>
      <c r="DV59" s="527"/>
      <c r="DW59" s="527"/>
      <c r="DX59" s="527"/>
      <c r="DY59" s="527"/>
      <c r="DZ59" s="527"/>
      <c r="EA59" s="527"/>
      <c r="EB59" s="527"/>
      <c r="EC59" s="527"/>
      <c r="ED59" s="527"/>
      <c r="EE59" s="527"/>
      <c r="EF59" s="527"/>
      <c r="EG59" s="527"/>
      <c r="EH59" s="527"/>
      <c r="EI59" s="527"/>
      <c r="EJ59" s="527"/>
      <c r="EK59" s="527"/>
      <c r="EL59" s="527"/>
      <c r="EM59" s="527"/>
      <c r="EN59" s="527"/>
      <c r="EO59" s="527"/>
      <c r="EP59" s="527">
        <v>60</v>
      </c>
      <c r="EQ59" s="527"/>
      <c r="ER59" s="527"/>
      <c r="ES59" s="527"/>
      <c r="ET59" s="527"/>
      <c r="EU59" s="527"/>
      <c r="EV59" s="527"/>
      <c r="EW59" s="527"/>
      <c r="EX59" s="527"/>
      <c r="EY59" s="527"/>
      <c r="EZ59" s="527"/>
      <c r="FA59" s="377"/>
      <c r="FB59" s="378">
        <v>60</v>
      </c>
      <c r="FC59" s="378"/>
      <c r="FD59" s="379">
        <f t="shared" si="88"/>
        <v>0</v>
      </c>
      <c r="FE59" s="790"/>
    </row>
    <row r="60" spans="2:164" ht="26.1" customHeight="1" outlineLevel="1" thickBot="1" x14ac:dyDescent="0.3">
      <c r="B60" s="1018"/>
      <c r="C60" s="1020"/>
      <c r="D60" s="1056"/>
      <c r="E60" s="1062"/>
      <c r="F60" s="849" t="s">
        <v>146</v>
      </c>
      <c r="G60" s="815" t="s">
        <v>1492</v>
      </c>
      <c r="H60" s="590" t="s">
        <v>1197</v>
      </c>
      <c r="I60" s="590" t="s">
        <v>60</v>
      </c>
      <c r="J60" s="533"/>
      <c r="K60" s="534"/>
      <c r="L60" s="534"/>
      <c r="M60" s="534"/>
      <c r="N60" s="534"/>
      <c r="O60" s="534"/>
      <c r="P60" s="534"/>
      <c r="Q60" s="534"/>
      <c r="R60" s="534"/>
      <c r="S60" s="534"/>
      <c r="T60" s="534"/>
      <c r="U60" s="534"/>
      <c r="V60" s="534"/>
      <c r="W60" s="535"/>
      <c r="X60" s="535"/>
      <c r="Y60" s="535"/>
      <c r="Z60" s="535"/>
      <c r="AA60" s="535"/>
      <c r="AB60" s="535"/>
      <c r="AC60" s="535"/>
      <c r="AD60" s="535"/>
      <c r="AE60" s="535"/>
      <c r="AF60" s="535"/>
      <c r="AG60" s="535"/>
      <c r="AH60" s="535"/>
      <c r="AI60" s="535"/>
      <c r="AJ60" s="535"/>
      <c r="AK60" s="535"/>
      <c r="AL60" s="535"/>
      <c r="AM60" s="535"/>
      <c r="AN60" s="535"/>
      <c r="AO60" s="535"/>
      <c r="AP60" s="535"/>
      <c r="AQ60" s="535"/>
      <c r="AR60" s="535"/>
      <c r="AS60" s="535"/>
      <c r="AT60" s="535"/>
      <c r="AU60" s="535"/>
      <c r="AV60" s="535"/>
      <c r="AW60" s="535"/>
      <c r="AX60" s="535"/>
      <c r="AY60" s="535"/>
      <c r="AZ60" s="535"/>
      <c r="BA60" s="535"/>
      <c r="BB60" s="535"/>
      <c r="BC60" s="535"/>
      <c r="BD60" s="535"/>
      <c r="BE60" s="536"/>
      <c r="BF60" s="536"/>
      <c r="BG60" s="536"/>
      <c r="BH60" s="536"/>
      <c r="BI60" s="536"/>
      <c r="BJ60" s="536"/>
      <c r="BK60" s="536"/>
      <c r="BL60" s="536"/>
      <c r="BM60" s="536"/>
      <c r="BN60" s="537">
        <v>15</v>
      </c>
      <c r="BO60" s="537"/>
      <c r="BP60" s="537"/>
      <c r="BQ60" s="537"/>
      <c r="BR60" s="537"/>
      <c r="BS60" s="537"/>
      <c r="BT60" s="537"/>
      <c r="BU60" s="537"/>
      <c r="BV60" s="534"/>
      <c r="BW60" s="534"/>
      <c r="BX60" s="534"/>
      <c r="BY60" s="534"/>
      <c r="BZ60" s="534"/>
      <c r="CA60" s="534"/>
      <c r="CB60" s="534"/>
      <c r="CC60" s="538"/>
      <c r="CD60" s="538"/>
      <c r="CE60" s="538"/>
      <c r="CF60" s="538"/>
      <c r="CG60" s="538"/>
      <c r="CH60" s="538"/>
      <c r="CI60" s="538"/>
      <c r="CJ60" s="538"/>
      <c r="CK60" s="538"/>
      <c r="CL60" s="538"/>
      <c r="CM60" s="538"/>
      <c r="CN60" s="538"/>
      <c r="CO60" s="538"/>
      <c r="CP60" s="538"/>
      <c r="CQ60" s="538"/>
      <c r="CR60" s="538"/>
      <c r="CS60" s="539"/>
      <c r="CT60" s="539"/>
      <c r="CU60" s="539"/>
      <c r="CV60" s="539"/>
      <c r="CW60" s="539"/>
      <c r="CX60" s="539"/>
      <c r="CY60" s="539"/>
      <c r="CZ60" s="539"/>
      <c r="DA60" s="539"/>
      <c r="DB60" s="539"/>
      <c r="DC60" s="539"/>
      <c r="DD60" s="539"/>
      <c r="DE60" s="539"/>
      <c r="DF60" s="539"/>
      <c r="DG60" s="539"/>
      <c r="DH60" s="539"/>
      <c r="DI60" s="539"/>
      <c r="DJ60" s="539"/>
      <c r="DK60" s="539"/>
      <c r="DL60" s="539"/>
      <c r="DM60" s="539"/>
      <c r="DN60" s="949"/>
      <c r="DO60" s="540"/>
      <c r="DP60" s="540"/>
      <c r="DQ60" s="541"/>
      <c r="DR60" s="541"/>
      <c r="DS60" s="536"/>
      <c r="DT60" s="536"/>
      <c r="DU60" s="536"/>
      <c r="DV60" s="536"/>
      <c r="DW60" s="536"/>
      <c r="DX60" s="536"/>
      <c r="DY60" s="536"/>
      <c r="DZ60" s="536"/>
      <c r="EA60" s="536"/>
      <c r="EB60" s="536"/>
      <c r="EC60" s="536"/>
      <c r="ED60" s="536"/>
      <c r="EE60" s="536"/>
      <c r="EF60" s="536"/>
      <c r="EG60" s="536"/>
      <c r="EH60" s="536"/>
      <c r="EI60" s="536"/>
      <c r="EJ60" s="536"/>
      <c r="EK60" s="536"/>
      <c r="EL60" s="536"/>
      <c r="EM60" s="536"/>
      <c r="EN60" s="536"/>
      <c r="EO60" s="536"/>
      <c r="EP60" s="536"/>
      <c r="EQ60" s="536"/>
      <c r="ER60" s="536"/>
      <c r="ES60" s="536"/>
      <c r="ET60" s="536"/>
      <c r="EU60" s="536"/>
      <c r="EV60" s="536"/>
      <c r="EW60" s="536"/>
      <c r="EX60" s="536"/>
      <c r="EY60" s="536"/>
      <c r="EZ60" s="536"/>
      <c r="FA60" s="377"/>
      <c r="FB60" s="378">
        <v>15</v>
      </c>
      <c r="FC60" s="378"/>
      <c r="FD60" s="379">
        <f t="shared" si="88"/>
        <v>0</v>
      </c>
      <c r="FE60" s="790"/>
    </row>
    <row r="61" spans="2:164" s="154" customFormat="1" ht="16.5" customHeight="1" outlineLevel="1" thickBot="1" x14ac:dyDescent="0.4">
      <c r="B61" s="1018"/>
      <c r="C61" s="1020"/>
      <c r="D61" s="155"/>
      <c r="E61" s="318" t="s">
        <v>174</v>
      </c>
      <c r="F61" s="850"/>
      <c r="G61" s="819"/>
      <c r="H61" s="591"/>
      <c r="I61" s="604"/>
      <c r="J61" s="305">
        <f>SUM(J57:J60)</f>
        <v>0</v>
      </c>
      <c r="K61" s="146">
        <f t="shared" ref="K61:CU61" si="89">SUM(K57:K60)</f>
        <v>0</v>
      </c>
      <c r="L61" s="146">
        <f t="shared" si="89"/>
        <v>0</v>
      </c>
      <c r="M61" s="146">
        <f t="shared" si="89"/>
        <v>0</v>
      </c>
      <c r="N61" s="146">
        <f t="shared" si="89"/>
        <v>0</v>
      </c>
      <c r="O61" s="146">
        <f t="shared" si="89"/>
        <v>0</v>
      </c>
      <c r="P61" s="146">
        <f t="shared" si="89"/>
        <v>0</v>
      </c>
      <c r="Q61" s="146">
        <f t="shared" si="89"/>
        <v>0</v>
      </c>
      <c r="R61" s="146">
        <f t="shared" si="89"/>
        <v>0</v>
      </c>
      <c r="S61" s="146">
        <f t="shared" si="89"/>
        <v>0</v>
      </c>
      <c r="T61" s="146">
        <f t="shared" ref="T61:V61" si="90">SUM(T57:T60)</f>
        <v>0</v>
      </c>
      <c r="U61" s="146">
        <f t="shared" si="90"/>
        <v>0</v>
      </c>
      <c r="V61" s="146">
        <f t="shared" si="90"/>
        <v>0</v>
      </c>
      <c r="W61" s="147">
        <f t="shared" si="89"/>
        <v>0</v>
      </c>
      <c r="X61" s="147">
        <f t="shared" si="89"/>
        <v>0</v>
      </c>
      <c r="Y61" s="147">
        <f t="shared" ref="Y61" si="91">SUM(Y57:Y60)</f>
        <v>0</v>
      </c>
      <c r="Z61" s="147">
        <f t="shared" si="89"/>
        <v>0</v>
      </c>
      <c r="AA61" s="147">
        <f t="shared" si="89"/>
        <v>0</v>
      </c>
      <c r="AB61" s="147">
        <f t="shared" ref="AB61:AC61" si="92">SUM(AB57:AB60)</f>
        <v>0</v>
      </c>
      <c r="AC61" s="147">
        <f t="shared" si="92"/>
        <v>0</v>
      </c>
      <c r="AD61" s="147">
        <f t="shared" si="89"/>
        <v>0</v>
      </c>
      <c r="AE61" s="147">
        <f t="shared" si="89"/>
        <v>0</v>
      </c>
      <c r="AF61" s="147">
        <f t="shared" ref="AF61:AH61" si="93">SUM(AF57:AF60)</f>
        <v>0</v>
      </c>
      <c r="AG61" s="147">
        <f t="shared" si="93"/>
        <v>0</v>
      </c>
      <c r="AH61" s="147">
        <f t="shared" si="93"/>
        <v>0</v>
      </c>
      <c r="AI61" s="147">
        <f t="shared" si="89"/>
        <v>0</v>
      </c>
      <c r="AJ61" s="147">
        <f t="shared" si="89"/>
        <v>0</v>
      </c>
      <c r="AK61" s="147">
        <f t="shared" si="89"/>
        <v>0</v>
      </c>
      <c r="AL61" s="147">
        <f t="shared" ref="AL61" si="94">SUM(AL57:AL60)</f>
        <v>0</v>
      </c>
      <c r="AM61" s="147">
        <f t="shared" ref="AM61:AS61" si="95">SUM(AM57:AM60)</f>
        <v>0</v>
      </c>
      <c r="AN61" s="147">
        <f t="shared" si="95"/>
        <v>0</v>
      </c>
      <c r="AO61" s="147">
        <f t="shared" si="95"/>
        <v>0</v>
      </c>
      <c r="AP61" s="147">
        <f t="shared" si="95"/>
        <v>0</v>
      </c>
      <c r="AQ61" s="147">
        <f t="shared" si="95"/>
        <v>0</v>
      </c>
      <c r="AR61" s="147">
        <f t="shared" si="95"/>
        <v>0</v>
      </c>
      <c r="AS61" s="147">
        <f t="shared" si="95"/>
        <v>0</v>
      </c>
      <c r="AT61" s="147">
        <f t="shared" si="89"/>
        <v>0</v>
      </c>
      <c r="AU61" s="147">
        <f t="shared" ref="AU61:BD61" si="96">SUM(AU57:AU60)</f>
        <v>0</v>
      </c>
      <c r="AV61" s="147">
        <f t="shared" si="96"/>
        <v>0</v>
      </c>
      <c r="AW61" s="147">
        <f t="shared" si="96"/>
        <v>0</v>
      </c>
      <c r="AX61" s="147">
        <f t="shared" si="96"/>
        <v>0</v>
      </c>
      <c r="AY61" s="147">
        <f t="shared" si="96"/>
        <v>0</v>
      </c>
      <c r="AZ61" s="147">
        <f t="shared" si="96"/>
        <v>0</v>
      </c>
      <c r="BA61" s="147">
        <f t="shared" si="96"/>
        <v>0</v>
      </c>
      <c r="BB61" s="147">
        <f t="shared" si="96"/>
        <v>0</v>
      </c>
      <c r="BC61" s="147">
        <f t="shared" si="96"/>
        <v>0</v>
      </c>
      <c r="BD61" s="147">
        <f t="shared" si="96"/>
        <v>0</v>
      </c>
      <c r="BE61" s="148">
        <f t="shared" ref="BE61:BP61" si="97">SUM(BE57:BE60)</f>
        <v>0</v>
      </c>
      <c r="BF61" s="148">
        <f t="shared" si="97"/>
        <v>0</v>
      </c>
      <c r="BG61" s="148">
        <f t="shared" si="97"/>
        <v>0</v>
      </c>
      <c r="BH61" s="148">
        <f t="shared" si="97"/>
        <v>0</v>
      </c>
      <c r="BI61" s="148">
        <f t="shared" ref="BI61:BL61" si="98">SUM(BI57:BI60)</f>
        <v>0</v>
      </c>
      <c r="BJ61" s="148">
        <f t="shared" si="98"/>
        <v>0</v>
      </c>
      <c r="BK61" s="148">
        <f t="shared" si="98"/>
        <v>0</v>
      </c>
      <c r="BL61" s="148">
        <f t="shared" si="98"/>
        <v>0</v>
      </c>
      <c r="BM61" s="148">
        <f t="shared" si="97"/>
        <v>0</v>
      </c>
      <c r="BN61" s="149">
        <f t="shared" si="97"/>
        <v>15</v>
      </c>
      <c r="BO61" s="149">
        <f t="shared" si="97"/>
        <v>0</v>
      </c>
      <c r="BP61" s="149">
        <f t="shared" si="97"/>
        <v>0</v>
      </c>
      <c r="BQ61" s="149">
        <f t="shared" ref="BQ61" si="99">SUM(BQ57:BQ60)</f>
        <v>0</v>
      </c>
      <c r="BR61" s="149">
        <f t="shared" ref="BR61:BU61" si="100">SUM(BR57:BR60)</f>
        <v>0</v>
      </c>
      <c r="BS61" s="149">
        <f t="shared" si="100"/>
        <v>0</v>
      </c>
      <c r="BT61" s="149">
        <f t="shared" si="100"/>
        <v>0</v>
      </c>
      <c r="BU61" s="149">
        <f t="shared" si="100"/>
        <v>0</v>
      </c>
      <c r="BV61" s="146">
        <f t="shared" ref="BV61:BX61" si="101">SUM(BV57:BV60)</f>
        <v>0</v>
      </c>
      <c r="BW61" s="146">
        <f t="shared" si="101"/>
        <v>0</v>
      </c>
      <c r="BX61" s="146">
        <f t="shared" si="101"/>
        <v>0</v>
      </c>
      <c r="BY61" s="146">
        <f t="shared" ref="BY61:BZ61" si="102">SUM(BY57:BY60)</f>
        <v>0</v>
      </c>
      <c r="BZ61" s="146">
        <f t="shared" si="102"/>
        <v>0</v>
      </c>
      <c r="CA61" s="146">
        <f t="shared" si="89"/>
        <v>0</v>
      </c>
      <c r="CB61" s="146">
        <f t="shared" si="89"/>
        <v>0</v>
      </c>
      <c r="CC61" s="265">
        <f t="shared" si="89"/>
        <v>0</v>
      </c>
      <c r="CD61" s="265">
        <f t="shared" si="89"/>
        <v>0</v>
      </c>
      <c r="CE61" s="265">
        <f t="shared" si="89"/>
        <v>0</v>
      </c>
      <c r="CF61" s="265">
        <f t="shared" si="89"/>
        <v>0</v>
      </c>
      <c r="CG61" s="265">
        <f t="shared" si="89"/>
        <v>0</v>
      </c>
      <c r="CH61" s="265">
        <f t="shared" si="89"/>
        <v>0</v>
      </c>
      <c r="CI61" s="265">
        <f t="shared" si="89"/>
        <v>0</v>
      </c>
      <c r="CJ61" s="265">
        <f t="shared" ref="CJ61" si="103">SUM(CJ57:CJ60)</f>
        <v>0</v>
      </c>
      <c r="CK61" s="265">
        <f t="shared" ref="CK61" si="104">SUM(CK57:CK60)</f>
        <v>0</v>
      </c>
      <c r="CL61" s="265">
        <f t="shared" si="89"/>
        <v>0</v>
      </c>
      <c r="CM61" s="265">
        <f t="shared" si="89"/>
        <v>0</v>
      </c>
      <c r="CN61" s="265">
        <f t="shared" ref="CN61:CQ61" si="105">SUM(CN57:CN60)</f>
        <v>0</v>
      </c>
      <c r="CO61" s="265">
        <f t="shared" si="105"/>
        <v>0</v>
      </c>
      <c r="CP61" s="265">
        <f t="shared" si="105"/>
        <v>0</v>
      </c>
      <c r="CQ61" s="265">
        <f t="shared" si="105"/>
        <v>0</v>
      </c>
      <c r="CR61" s="265">
        <f t="shared" si="89"/>
        <v>0</v>
      </c>
      <c r="CS61" s="281">
        <f t="shared" si="89"/>
        <v>0</v>
      </c>
      <c r="CT61" s="281">
        <f t="shared" ref="CT61" si="106">SUM(CT57:CT60)</f>
        <v>0</v>
      </c>
      <c r="CU61" s="281">
        <f t="shared" si="89"/>
        <v>0</v>
      </c>
      <c r="CV61" s="281">
        <f t="shared" ref="CV61:DE61" si="107">SUM(CV57:CV60)</f>
        <v>0</v>
      </c>
      <c r="CW61" s="281">
        <f t="shared" si="107"/>
        <v>0</v>
      </c>
      <c r="CX61" s="281">
        <f t="shared" si="107"/>
        <v>0</v>
      </c>
      <c r="CY61" s="281">
        <f t="shared" si="107"/>
        <v>0</v>
      </c>
      <c r="CZ61" s="281">
        <f t="shared" ref="CZ61" si="108">SUM(CZ57:CZ60)</f>
        <v>0</v>
      </c>
      <c r="DA61" s="281">
        <f t="shared" si="107"/>
        <v>0</v>
      </c>
      <c r="DB61" s="281">
        <f t="shared" si="107"/>
        <v>0</v>
      </c>
      <c r="DC61" s="281">
        <f t="shared" si="107"/>
        <v>0</v>
      </c>
      <c r="DD61" s="281">
        <f t="shared" si="107"/>
        <v>0</v>
      </c>
      <c r="DE61" s="281">
        <f t="shared" si="107"/>
        <v>0</v>
      </c>
      <c r="DF61" s="281">
        <f t="shared" ref="DF61:FD61" si="109">SUM(DF57:DF60)</f>
        <v>0</v>
      </c>
      <c r="DG61" s="281">
        <f t="shared" si="109"/>
        <v>0</v>
      </c>
      <c r="DH61" s="281">
        <f t="shared" si="109"/>
        <v>0</v>
      </c>
      <c r="DI61" s="281">
        <f t="shared" ref="DI61:DQ61" si="110">SUM(DI57:DI60)</f>
        <v>0</v>
      </c>
      <c r="DJ61" s="281">
        <f t="shared" si="110"/>
        <v>0</v>
      </c>
      <c r="DK61" s="281">
        <f t="shared" si="110"/>
        <v>0</v>
      </c>
      <c r="DL61" s="281">
        <f t="shared" si="110"/>
        <v>0</v>
      </c>
      <c r="DM61" s="281">
        <f t="shared" si="110"/>
        <v>0</v>
      </c>
      <c r="DN61" s="936">
        <f t="shared" si="110"/>
        <v>0</v>
      </c>
      <c r="DO61" s="148">
        <f t="shared" si="110"/>
        <v>50</v>
      </c>
      <c r="DP61" s="148">
        <f t="shared" si="110"/>
        <v>0</v>
      </c>
      <c r="DQ61" s="148">
        <f t="shared" si="110"/>
        <v>0</v>
      </c>
      <c r="DR61" s="148">
        <f t="shared" si="109"/>
        <v>0</v>
      </c>
      <c r="DS61" s="148">
        <f t="shared" si="109"/>
        <v>0</v>
      </c>
      <c r="DT61" s="148">
        <f t="shared" si="109"/>
        <v>0</v>
      </c>
      <c r="DU61" s="148">
        <f t="shared" si="109"/>
        <v>0</v>
      </c>
      <c r="DV61" s="148">
        <f t="shared" si="109"/>
        <v>0</v>
      </c>
      <c r="DW61" s="148">
        <f t="shared" si="109"/>
        <v>0</v>
      </c>
      <c r="DX61" s="148">
        <f t="shared" si="109"/>
        <v>0</v>
      </c>
      <c r="DY61" s="148">
        <f t="shared" ref="DY61:EO61" si="111">SUM(DY57:DY60)</f>
        <v>0</v>
      </c>
      <c r="DZ61" s="148">
        <f t="shared" si="111"/>
        <v>0</v>
      </c>
      <c r="EA61" s="148">
        <f t="shared" si="111"/>
        <v>250</v>
      </c>
      <c r="EB61" s="148">
        <f t="shared" si="111"/>
        <v>0</v>
      </c>
      <c r="EC61" s="148">
        <f t="shared" si="111"/>
        <v>0</v>
      </c>
      <c r="ED61" s="148">
        <f t="shared" si="111"/>
        <v>1</v>
      </c>
      <c r="EE61" s="148">
        <f t="shared" si="111"/>
        <v>0</v>
      </c>
      <c r="EF61" s="148">
        <f t="shared" si="111"/>
        <v>0</v>
      </c>
      <c r="EG61" s="148">
        <f t="shared" si="111"/>
        <v>0</v>
      </c>
      <c r="EH61" s="148">
        <f t="shared" si="111"/>
        <v>0</v>
      </c>
      <c r="EI61" s="148">
        <f t="shared" si="111"/>
        <v>0</v>
      </c>
      <c r="EJ61" s="148">
        <f t="shared" si="111"/>
        <v>0</v>
      </c>
      <c r="EK61" s="148">
        <f t="shared" si="111"/>
        <v>0</v>
      </c>
      <c r="EL61" s="148">
        <f t="shared" si="111"/>
        <v>0</v>
      </c>
      <c r="EM61" s="148">
        <f t="shared" si="111"/>
        <v>0</v>
      </c>
      <c r="EN61" s="148">
        <f t="shared" si="111"/>
        <v>0</v>
      </c>
      <c r="EO61" s="148">
        <f t="shared" si="111"/>
        <v>0</v>
      </c>
      <c r="EP61" s="148">
        <f t="shared" ref="EP61:EZ61" si="112">SUM(EP57:EP60)</f>
        <v>60</v>
      </c>
      <c r="EQ61" s="148">
        <f t="shared" si="112"/>
        <v>0</v>
      </c>
      <c r="ER61" s="148">
        <f t="shared" si="112"/>
        <v>0</v>
      </c>
      <c r="ES61" s="148">
        <f t="shared" si="112"/>
        <v>0</v>
      </c>
      <c r="ET61" s="148">
        <f t="shared" si="112"/>
        <v>0</v>
      </c>
      <c r="EU61" s="148">
        <f t="shared" si="112"/>
        <v>0</v>
      </c>
      <c r="EV61" s="148">
        <f t="shared" si="112"/>
        <v>0</v>
      </c>
      <c r="EW61" s="148">
        <f t="shared" si="112"/>
        <v>0</v>
      </c>
      <c r="EX61" s="148">
        <f t="shared" si="112"/>
        <v>0</v>
      </c>
      <c r="EY61" s="148">
        <f t="shared" si="112"/>
        <v>0</v>
      </c>
      <c r="EZ61" s="148">
        <f t="shared" si="112"/>
        <v>0</v>
      </c>
      <c r="FA61" s="150">
        <f t="shared" si="109"/>
        <v>0</v>
      </c>
      <c r="FB61" s="151">
        <f t="shared" si="109"/>
        <v>350</v>
      </c>
      <c r="FC61" s="151">
        <f t="shared" si="109"/>
        <v>0</v>
      </c>
      <c r="FD61" s="152">
        <f t="shared" si="109"/>
        <v>0</v>
      </c>
      <c r="FE61" s="792" t="str">
        <f>IF(FB61&lt;инфо!$AN$77,FB61-инфо!$AN$77,"")</f>
        <v/>
      </c>
      <c r="FF61" s="153"/>
      <c r="FG61" s="153"/>
      <c r="FH61" s="153"/>
    </row>
    <row r="62" spans="2:164" s="138" customFormat="1" ht="32.1" customHeight="1" thickBot="1" x14ac:dyDescent="0.4">
      <c r="B62" s="174" t="s">
        <v>175</v>
      </c>
      <c r="C62" s="173"/>
      <c r="D62" s="306"/>
      <c r="E62" s="319" t="s">
        <v>176</v>
      </c>
      <c r="F62" s="851"/>
      <c r="G62" s="826"/>
      <c r="H62" s="592" t="s">
        <v>1425</v>
      </c>
      <c r="I62" s="605" t="s">
        <v>192</v>
      </c>
      <c r="J62" s="542">
        <f>SUMIF($E18:$E61,$E62,J18:J61)</f>
        <v>0</v>
      </c>
      <c r="K62" s="543">
        <f t="shared" ref="K62:CU62" si="113">SUMIF($E18:$E61,$E62,K18:K61)</f>
        <v>191</v>
      </c>
      <c r="L62" s="543">
        <f t="shared" si="113"/>
        <v>0</v>
      </c>
      <c r="M62" s="543">
        <f t="shared" si="113"/>
        <v>83</v>
      </c>
      <c r="N62" s="543">
        <f t="shared" si="113"/>
        <v>0</v>
      </c>
      <c r="O62" s="543">
        <f t="shared" si="113"/>
        <v>5</v>
      </c>
      <c r="P62" s="543">
        <f t="shared" si="113"/>
        <v>0</v>
      </c>
      <c r="Q62" s="543">
        <f t="shared" si="113"/>
        <v>0</v>
      </c>
      <c r="R62" s="543">
        <f t="shared" si="113"/>
        <v>0</v>
      </c>
      <c r="S62" s="543">
        <f t="shared" si="113"/>
        <v>0</v>
      </c>
      <c r="T62" s="543">
        <f t="shared" ref="T62:V62" si="114">SUMIF($E18:$E61,$E62,T18:T61)</f>
        <v>0</v>
      </c>
      <c r="U62" s="543">
        <f t="shared" si="114"/>
        <v>0</v>
      </c>
      <c r="V62" s="543">
        <f t="shared" si="114"/>
        <v>83</v>
      </c>
      <c r="W62" s="544">
        <f t="shared" si="113"/>
        <v>0</v>
      </c>
      <c r="X62" s="544">
        <f t="shared" si="113"/>
        <v>11</v>
      </c>
      <c r="Y62" s="544">
        <f t="shared" ref="Y62" si="115">SUMIF($E18:$E61,$E62,Y18:Y61)</f>
        <v>0</v>
      </c>
      <c r="Z62" s="544">
        <f t="shared" si="113"/>
        <v>150</v>
      </c>
      <c r="AA62" s="544">
        <f t="shared" si="113"/>
        <v>300</v>
      </c>
      <c r="AB62" s="544">
        <f t="shared" ref="AB62:AC62" si="116">SUMIF($E18:$E61,$E62,AB18:AB61)</f>
        <v>0</v>
      </c>
      <c r="AC62" s="544">
        <f t="shared" si="116"/>
        <v>0</v>
      </c>
      <c r="AD62" s="544">
        <f t="shared" si="113"/>
        <v>440</v>
      </c>
      <c r="AE62" s="544">
        <f t="shared" si="113"/>
        <v>0</v>
      </c>
      <c r="AF62" s="544">
        <f t="shared" ref="AF62:AH62" si="117">SUMIF($E18:$E61,$E62,AF18:AF61)</f>
        <v>64</v>
      </c>
      <c r="AG62" s="544">
        <f t="shared" si="117"/>
        <v>84</v>
      </c>
      <c r="AH62" s="544">
        <f t="shared" si="117"/>
        <v>0</v>
      </c>
      <c r="AI62" s="544">
        <f t="shared" si="113"/>
        <v>25</v>
      </c>
      <c r="AJ62" s="544">
        <f t="shared" si="113"/>
        <v>140</v>
      </c>
      <c r="AK62" s="544">
        <f t="shared" si="113"/>
        <v>0</v>
      </c>
      <c r="AL62" s="544">
        <f t="shared" ref="AL62" si="118">SUMIF($E18:$E61,$E62,AL18:AL61)</f>
        <v>0</v>
      </c>
      <c r="AM62" s="544">
        <f t="shared" ref="AM62:AS62" si="119">SUMIF($E18:$E61,$E62,AM18:AM61)</f>
        <v>0</v>
      </c>
      <c r="AN62" s="544">
        <f t="shared" si="119"/>
        <v>0</v>
      </c>
      <c r="AO62" s="544">
        <f t="shared" si="119"/>
        <v>10</v>
      </c>
      <c r="AP62" s="544">
        <f t="shared" si="119"/>
        <v>0</v>
      </c>
      <c r="AQ62" s="544">
        <f t="shared" si="119"/>
        <v>0</v>
      </c>
      <c r="AR62" s="544">
        <f t="shared" si="119"/>
        <v>0</v>
      </c>
      <c r="AS62" s="544">
        <f t="shared" si="119"/>
        <v>20</v>
      </c>
      <c r="AT62" s="544">
        <f t="shared" si="113"/>
        <v>0</v>
      </c>
      <c r="AU62" s="544">
        <f t="shared" ref="AU62:BD62" si="120">SUMIF($E18:$E61,$E62,AU18:AU61)</f>
        <v>0</v>
      </c>
      <c r="AV62" s="544">
        <f t="shared" si="120"/>
        <v>25</v>
      </c>
      <c r="AW62" s="544">
        <f t="shared" si="120"/>
        <v>115</v>
      </c>
      <c r="AX62" s="544">
        <f t="shared" si="120"/>
        <v>20</v>
      </c>
      <c r="AY62" s="544">
        <f t="shared" si="120"/>
        <v>0</v>
      </c>
      <c r="AZ62" s="544">
        <f t="shared" si="120"/>
        <v>0</v>
      </c>
      <c r="BA62" s="544">
        <f t="shared" si="120"/>
        <v>0</v>
      </c>
      <c r="BB62" s="544">
        <f t="shared" si="120"/>
        <v>20</v>
      </c>
      <c r="BC62" s="544">
        <f t="shared" si="120"/>
        <v>0</v>
      </c>
      <c r="BD62" s="544">
        <f t="shared" si="120"/>
        <v>0</v>
      </c>
      <c r="BE62" s="545">
        <f t="shared" ref="BE62:BP62" si="121">SUMIF($E18:$E61,$E62,BE18:BE61)</f>
        <v>200</v>
      </c>
      <c r="BF62" s="545">
        <f t="shared" si="121"/>
        <v>0</v>
      </c>
      <c r="BG62" s="545">
        <f t="shared" si="121"/>
        <v>0</v>
      </c>
      <c r="BH62" s="545">
        <f t="shared" si="121"/>
        <v>22</v>
      </c>
      <c r="BI62" s="545">
        <f t="shared" ref="BI62:BL62" si="122">SUMIF($E18:$E61,$E62,BI18:BI61)</f>
        <v>0</v>
      </c>
      <c r="BJ62" s="545">
        <f t="shared" si="122"/>
        <v>0</v>
      </c>
      <c r="BK62" s="545">
        <f t="shared" si="122"/>
        <v>0</v>
      </c>
      <c r="BL62" s="545">
        <f t="shared" si="122"/>
        <v>0</v>
      </c>
      <c r="BM62" s="545">
        <f t="shared" si="121"/>
        <v>0</v>
      </c>
      <c r="BN62" s="546">
        <f t="shared" si="121"/>
        <v>75</v>
      </c>
      <c r="BO62" s="546">
        <f t="shared" si="121"/>
        <v>44</v>
      </c>
      <c r="BP62" s="546">
        <f t="shared" si="121"/>
        <v>15</v>
      </c>
      <c r="BQ62" s="546">
        <f t="shared" ref="BQ62" si="123">SUMIF($E18:$E61,$E62,BQ18:BQ61)</f>
        <v>0</v>
      </c>
      <c r="BR62" s="546">
        <f t="shared" ref="BR62:BU62" si="124">SUMIF($E18:$E61,$E62,BR18:BR61)</f>
        <v>0</v>
      </c>
      <c r="BS62" s="546">
        <f t="shared" si="124"/>
        <v>0</v>
      </c>
      <c r="BT62" s="546">
        <f t="shared" si="124"/>
        <v>0</v>
      </c>
      <c r="BU62" s="546">
        <f t="shared" si="124"/>
        <v>0</v>
      </c>
      <c r="BV62" s="543">
        <f t="shared" ref="BV62:BX62" si="125">SUMIF($E18:$E61,$E62,BV18:BV61)</f>
        <v>0</v>
      </c>
      <c r="BW62" s="543">
        <f t="shared" si="125"/>
        <v>0</v>
      </c>
      <c r="BX62" s="543">
        <f t="shared" si="125"/>
        <v>0</v>
      </c>
      <c r="BY62" s="543">
        <f t="shared" ref="BY62:BZ62" si="126">SUMIF($E18:$E61,$E62,BY18:BY61)</f>
        <v>0</v>
      </c>
      <c r="BZ62" s="543">
        <f t="shared" si="126"/>
        <v>112.5</v>
      </c>
      <c r="CA62" s="543">
        <f t="shared" si="113"/>
        <v>0</v>
      </c>
      <c r="CB62" s="543">
        <f t="shared" si="113"/>
        <v>0</v>
      </c>
      <c r="CC62" s="547">
        <f t="shared" si="113"/>
        <v>0</v>
      </c>
      <c r="CD62" s="547">
        <f t="shared" si="113"/>
        <v>25</v>
      </c>
      <c r="CE62" s="547">
        <f t="shared" si="113"/>
        <v>0</v>
      </c>
      <c r="CF62" s="547">
        <f t="shared" si="113"/>
        <v>80</v>
      </c>
      <c r="CG62" s="547">
        <f t="shared" si="113"/>
        <v>0</v>
      </c>
      <c r="CH62" s="547">
        <f t="shared" si="113"/>
        <v>0</v>
      </c>
      <c r="CI62" s="547">
        <f t="shared" si="113"/>
        <v>0</v>
      </c>
      <c r="CJ62" s="547">
        <f t="shared" ref="CJ62" si="127">SUMIF($E18:$E61,$E62,CJ18:CJ61)</f>
        <v>0</v>
      </c>
      <c r="CK62" s="547">
        <f t="shared" ref="CK62" si="128">SUMIF($E18:$E61,$E62,CK18:CK61)</f>
        <v>0</v>
      </c>
      <c r="CL62" s="547">
        <f t="shared" si="113"/>
        <v>0</v>
      </c>
      <c r="CM62" s="547">
        <f t="shared" si="113"/>
        <v>0</v>
      </c>
      <c r="CN62" s="547">
        <f t="shared" ref="CN62:CQ62" si="129">SUMIF($E18:$E61,$E62,CN18:CN61)</f>
        <v>0</v>
      </c>
      <c r="CO62" s="547">
        <f t="shared" si="129"/>
        <v>50</v>
      </c>
      <c r="CP62" s="547">
        <f t="shared" si="129"/>
        <v>0</v>
      </c>
      <c r="CQ62" s="547">
        <f t="shared" si="129"/>
        <v>0</v>
      </c>
      <c r="CR62" s="547">
        <f t="shared" si="113"/>
        <v>0</v>
      </c>
      <c r="CS62" s="548">
        <f t="shared" si="113"/>
        <v>0</v>
      </c>
      <c r="CT62" s="548">
        <f t="shared" ref="CT62" si="130">SUMIF($E18:$E61,$E62,CT18:CT61)</f>
        <v>0</v>
      </c>
      <c r="CU62" s="548">
        <f t="shared" si="113"/>
        <v>0</v>
      </c>
      <c r="CV62" s="548">
        <f t="shared" ref="CV62:DE62" si="131">SUMIF($E18:$E61,$E62,CV18:CV61)</f>
        <v>0</v>
      </c>
      <c r="CW62" s="548">
        <f t="shared" si="131"/>
        <v>0</v>
      </c>
      <c r="CX62" s="548">
        <f t="shared" si="131"/>
        <v>0</v>
      </c>
      <c r="CY62" s="548">
        <f t="shared" si="131"/>
        <v>0</v>
      </c>
      <c r="CZ62" s="548">
        <f t="shared" ref="CZ62" si="132">SUMIF($E18:$E61,$E62,CZ18:CZ61)</f>
        <v>0</v>
      </c>
      <c r="DA62" s="548">
        <f t="shared" si="131"/>
        <v>0</v>
      </c>
      <c r="DB62" s="548">
        <f t="shared" si="131"/>
        <v>0</v>
      </c>
      <c r="DC62" s="548">
        <f t="shared" si="131"/>
        <v>0</v>
      </c>
      <c r="DD62" s="548">
        <f t="shared" si="131"/>
        <v>120</v>
      </c>
      <c r="DE62" s="548">
        <f t="shared" si="131"/>
        <v>0</v>
      </c>
      <c r="DF62" s="548">
        <f t="shared" ref="DF62:FD62" si="133">SUMIF($E18:$E61,$E62,DF18:DF61)</f>
        <v>0</v>
      </c>
      <c r="DG62" s="548">
        <f t="shared" si="133"/>
        <v>0</v>
      </c>
      <c r="DH62" s="548">
        <f t="shared" si="133"/>
        <v>0</v>
      </c>
      <c r="DI62" s="548">
        <f t="shared" ref="DI62:DQ62" si="134">SUMIF($E18:$E61,$E62,DI18:DI61)</f>
        <v>0</v>
      </c>
      <c r="DJ62" s="548">
        <f t="shared" si="134"/>
        <v>0</v>
      </c>
      <c r="DK62" s="548">
        <f t="shared" si="134"/>
        <v>0</v>
      </c>
      <c r="DL62" s="548">
        <f t="shared" si="134"/>
        <v>0</v>
      </c>
      <c r="DM62" s="548">
        <f t="shared" si="134"/>
        <v>0</v>
      </c>
      <c r="DN62" s="950">
        <f t="shared" si="134"/>
        <v>1</v>
      </c>
      <c r="DO62" s="545">
        <f t="shared" si="134"/>
        <v>150</v>
      </c>
      <c r="DP62" s="545">
        <f t="shared" si="134"/>
        <v>30.2</v>
      </c>
      <c r="DQ62" s="545">
        <f t="shared" si="134"/>
        <v>5.4000000000000006E-2</v>
      </c>
      <c r="DR62" s="545">
        <f t="shared" si="133"/>
        <v>0.14000000000000001</v>
      </c>
      <c r="DS62" s="545">
        <f t="shared" si="133"/>
        <v>2</v>
      </c>
      <c r="DT62" s="545">
        <f t="shared" si="133"/>
        <v>5</v>
      </c>
      <c r="DU62" s="545">
        <f t="shared" si="133"/>
        <v>0</v>
      </c>
      <c r="DV62" s="545">
        <f t="shared" si="133"/>
        <v>0</v>
      </c>
      <c r="DW62" s="545">
        <f t="shared" si="133"/>
        <v>0.5</v>
      </c>
      <c r="DX62" s="545">
        <f t="shared" si="133"/>
        <v>0</v>
      </c>
      <c r="DY62" s="545">
        <f t="shared" ref="DY62:EO62" si="135">SUMIF($E18:$E61,$E62,DY18:DY61)</f>
        <v>0</v>
      </c>
      <c r="DZ62" s="545">
        <f t="shared" si="135"/>
        <v>0</v>
      </c>
      <c r="EA62" s="545">
        <f t="shared" si="135"/>
        <v>1779.4</v>
      </c>
      <c r="EB62" s="545">
        <f t="shared" si="135"/>
        <v>824</v>
      </c>
      <c r="EC62" s="545">
        <f t="shared" si="135"/>
        <v>200</v>
      </c>
      <c r="ED62" s="545">
        <f t="shared" si="135"/>
        <v>2</v>
      </c>
      <c r="EE62" s="545">
        <f t="shared" si="135"/>
        <v>0</v>
      </c>
      <c r="EF62" s="545">
        <f t="shared" si="135"/>
        <v>1.5</v>
      </c>
      <c r="EG62" s="545">
        <f t="shared" si="135"/>
        <v>0</v>
      </c>
      <c r="EH62" s="545">
        <f t="shared" si="135"/>
        <v>0</v>
      </c>
      <c r="EI62" s="545">
        <f t="shared" si="135"/>
        <v>8</v>
      </c>
      <c r="EJ62" s="545">
        <f t="shared" si="135"/>
        <v>8</v>
      </c>
      <c r="EK62" s="545">
        <f t="shared" si="135"/>
        <v>4</v>
      </c>
      <c r="EL62" s="545">
        <f t="shared" si="135"/>
        <v>0</v>
      </c>
      <c r="EM62" s="545">
        <f t="shared" si="135"/>
        <v>0</v>
      </c>
      <c r="EN62" s="545">
        <f t="shared" si="135"/>
        <v>0</v>
      </c>
      <c r="EO62" s="545">
        <f t="shared" si="135"/>
        <v>20</v>
      </c>
      <c r="EP62" s="545">
        <f t="shared" ref="EP62:EZ62" si="136">SUMIF($E18:$E61,$E62,EP18:EP61)</f>
        <v>60</v>
      </c>
      <c r="EQ62" s="545">
        <f t="shared" si="136"/>
        <v>0</v>
      </c>
      <c r="ER62" s="545">
        <f t="shared" si="136"/>
        <v>0</v>
      </c>
      <c r="ES62" s="545">
        <f t="shared" si="136"/>
        <v>0</v>
      </c>
      <c r="ET62" s="545">
        <f t="shared" si="136"/>
        <v>0</v>
      </c>
      <c r="EU62" s="545">
        <f t="shared" si="136"/>
        <v>0</v>
      </c>
      <c r="EV62" s="545">
        <f t="shared" si="136"/>
        <v>0</v>
      </c>
      <c r="EW62" s="545">
        <f t="shared" si="136"/>
        <v>0</v>
      </c>
      <c r="EX62" s="545">
        <f t="shared" si="136"/>
        <v>0</v>
      </c>
      <c r="EY62" s="545">
        <f t="shared" si="136"/>
        <v>0</v>
      </c>
      <c r="EZ62" s="545">
        <f t="shared" si="136"/>
        <v>0</v>
      </c>
      <c r="FA62" s="549">
        <f t="shared" si="133"/>
        <v>2635</v>
      </c>
      <c r="FB62" s="549">
        <f t="shared" si="133"/>
        <v>4863</v>
      </c>
      <c r="FC62" s="549">
        <f t="shared" si="133"/>
        <v>275.5</v>
      </c>
      <c r="FD62" s="550">
        <f t="shared" si="133"/>
        <v>310</v>
      </c>
      <c r="FE62" s="791" t="str">
        <f>IF(FB62&lt;инфо!$AN$73,FB62-инфо!$AN$73,"")</f>
        <v/>
      </c>
      <c r="FF62" s="157"/>
      <c r="FG62" s="157"/>
      <c r="FH62" s="157"/>
    </row>
    <row r="63" spans="2:164" ht="26.1" customHeight="1" outlineLevel="1" thickBot="1" x14ac:dyDescent="0.3">
      <c r="B63" s="1017" t="s">
        <v>118</v>
      </c>
      <c r="C63" s="1019">
        <f>C18+1</f>
        <v>45128</v>
      </c>
      <c r="D63" s="1036" t="s">
        <v>111</v>
      </c>
      <c r="E63" s="1039" t="s">
        <v>114</v>
      </c>
      <c r="F63" s="831" t="s">
        <v>111</v>
      </c>
      <c r="G63" s="798" t="str">
        <f>VLOOKUP(H63,инфо!AD:AE,2,FALSE)</f>
        <v>Прочее</v>
      </c>
      <c r="H63" s="569" t="s">
        <v>1206</v>
      </c>
      <c r="I63" s="609" t="s">
        <v>936</v>
      </c>
      <c r="J63" s="355"/>
      <c r="K63" s="356"/>
      <c r="L63" s="356"/>
      <c r="M63" s="356"/>
      <c r="N63" s="356"/>
      <c r="O63" s="356"/>
      <c r="P63" s="356"/>
      <c r="Q63" s="356"/>
      <c r="R63" s="356"/>
      <c r="S63" s="356"/>
      <c r="T63" s="356"/>
      <c r="U63" s="356"/>
      <c r="V63" s="356"/>
      <c r="W63" s="357"/>
      <c r="X63" s="357"/>
      <c r="Y63" s="357"/>
      <c r="Z63" s="357"/>
      <c r="AA63" s="357"/>
      <c r="AB63" s="357"/>
      <c r="AC63" s="357"/>
      <c r="AD63" s="357"/>
      <c r="AE63" s="357"/>
      <c r="AF63" s="357"/>
      <c r="AG63" s="357"/>
      <c r="AH63" s="357"/>
      <c r="AI63" s="357"/>
      <c r="AJ63" s="357"/>
      <c r="AK63" s="357"/>
      <c r="AL63" s="357"/>
      <c r="AM63" s="357"/>
      <c r="AN63" s="357"/>
      <c r="AO63" s="357"/>
      <c r="AP63" s="357"/>
      <c r="AQ63" s="357"/>
      <c r="AR63" s="357"/>
      <c r="AS63" s="357"/>
      <c r="AT63" s="357"/>
      <c r="AU63" s="357"/>
      <c r="AV63" s="357"/>
      <c r="AW63" s="357"/>
      <c r="AX63" s="357"/>
      <c r="AY63" s="357"/>
      <c r="AZ63" s="357"/>
      <c r="BA63" s="357"/>
      <c r="BB63" s="357"/>
      <c r="BC63" s="357"/>
      <c r="BD63" s="357"/>
      <c r="BE63" s="358"/>
      <c r="BF63" s="358"/>
      <c r="BG63" s="358"/>
      <c r="BH63" s="358"/>
      <c r="BI63" s="358"/>
      <c r="BJ63" s="358"/>
      <c r="BK63" s="358"/>
      <c r="BL63" s="358"/>
      <c r="BM63" s="358"/>
      <c r="BN63" s="359"/>
      <c r="BO63" s="359"/>
      <c r="BP63" s="359"/>
      <c r="BQ63" s="359"/>
      <c r="BR63" s="359"/>
      <c r="BS63" s="359"/>
      <c r="BT63" s="359"/>
      <c r="BU63" s="359"/>
      <c r="BV63" s="356"/>
      <c r="BW63" s="356"/>
      <c r="BX63" s="356"/>
      <c r="BY63" s="356"/>
      <c r="BZ63" s="356"/>
      <c r="CA63" s="356"/>
      <c r="CB63" s="356"/>
      <c r="CC63" s="360"/>
      <c r="CD63" s="360"/>
      <c r="CE63" s="360"/>
      <c r="CF63" s="360">
        <v>80</v>
      </c>
      <c r="CG63" s="360"/>
      <c r="CH63" s="360"/>
      <c r="CI63" s="360"/>
      <c r="CJ63" s="360"/>
      <c r="CK63" s="360"/>
      <c r="CL63" s="360"/>
      <c r="CM63" s="360"/>
      <c r="CN63" s="360"/>
      <c r="CO63" s="360"/>
      <c r="CP63" s="360"/>
      <c r="CQ63" s="360"/>
      <c r="CR63" s="360"/>
      <c r="CS63" s="361"/>
      <c r="CT63" s="361"/>
      <c r="CU63" s="361"/>
      <c r="CV63" s="361"/>
      <c r="CW63" s="361"/>
      <c r="CX63" s="361"/>
      <c r="CY63" s="361"/>
      <c r="CZ63" s="361"/>
      <c r="DA63" s="361"/>
      <c r="DB63" s="361"/>
      <c r="DC63" s="361"/>
      <c r="DD63" s="361"/>
      <c r="DE63" s="361"/>
      <c r="DF63" s="361"/>
      <c r="DG63" s="361"/>
      <c r="DH63" s="361"/>
      <c r="DI63" s="361"/>
      <c r="DJ63" s="361"/>
      <c r="DK63" s="361"/>
      <c r="DL63" s="361"/>
      <c r="DM63" s="361"/>
      <c r="DN63" s="931"/>
      <c r="DO63" s="362"/>
      <c r="DP63" s="362"/>
      <c r="DQ63" s="363"/>
      <c r="DR63" s="363"/>
      <c r="DS63" s="358"/>
      <c r="DT63" s="358"/>
      <c r="DU63" s="358"/>
      <c r="DV63" s="358"/>
      <c r="DW63" s="358"/>
      <c r="DX63" s="358"/>
      <c r="DY63" s="358"/>
      <c r="DZ63" s="358"/>
      <c r="EA63" s="358"/>
      <c r="EB63" s="358"/>
      <c r="EC63" s="358"/>
      <c r="ED63" s="358"/>
      <c r="EE63" s="358"/>
      <c r="EF63" s="358"/>
      <c r="EG63" s="358"/>
      <c r="EH63" s="358"/>
      <c r="EI63" s="358"/>
      <c r="EJ63" s="358"/>
      <c r="EK63" s="358"/>
      <c r="EL63" s="358"/>
      <c r="EM63" s="358"/>
      <c r="EN63" s="358"/>
      <c r="EO63" s="358"/>
      <c r="EP63" s="358"/>
      <c r="EQ63" s="358"/>
      <c r="ER63" s="358"/>
      <c r="ES63" s="358"/>
      <c r="ET63" s="358"/>
      <c r="EU63" s="358"/>
      <c r="EV63" s="358"/>
      <c r="EW63" s="358"/>
      <c r="EX63" s="358"/>
      <c r="EY63" s="358"/>
      <c r="EZ63" s="358"/>
      <c r="FA63" s="364"/>
      <c r="FB63" s="365">
        <v>78</v>
      </c>
      <c r="FC63" s="366">
        <v>78</v>
      </c>
      <c r="FD63" s="367">
        <f>SUM(BE63:BG63,BI63,BL63:BM63)+SUM(BH63,BJ63,BK63)*5</f>
        <v>0</v>
      </c>
      <c r="FE63" s="789"/>
    </row>
    <row r="64" spans="2:164" ht="26.1" customHeight="1" outlineLevel="1" thickBot="1" x14ac:dyDescent="0.3">
      <c r="B64" s="1018"/>
      <c r="C64" s="1020"/>
      <c r="D64" s="1036"/>
      <c r="E64" s="1039"/>
      <c r="F64" s="832" t="s">
        <v>111</v>
      </c>
      <c r="G64" s="799" t="str">
        <f>VLOOKUP(H64,инфо!AD:AE,2,FALSE)</f>
        <v>Гарниры</v>
      </c>
      <c r="H64" s="570" t="s">
        <v>1198</v>
      </c>
      <c r="I64" s="600" t="s">
        <v>1554</v>
      </c>
      <c r="J64" s="368"/>
      <c r="K64" s="369"/>
      <c r="L64" s="369"/>
      <c r="M64" s="369"/>
      <c r="N64" s="369"/>
      <c r="O64" s="369">
        <v>83</v>
      </c>
      <c r="P64" s="369"/>
      <c r="Q64" s="369"/>
      <c r="R64" s="369"/>
      <c r="S64" s="369"/>
      <c r="T64" s="369"/>
      <c r="U64" s="369"/>
      <c r="V64" s="369"/>
      <c r="W64" s="370"/>
      <c r="X64" s="370"/>
      <c r="Y64" s="370"/>
      <c r="Z64" s="370"/>
      <c r="AA64" s="370"/>
      <c r="AB64" s="370"/>
      <c r="AC64" s="370"/>
      <c r="AD64" s="370"/>
      <c r="AE64" s="370"/>
      <c r="AF64" s="370"/>
      <c r="AG64" s="370"/>
      <c r="AH64" s="370"/>
      <c r="AI64" s="370"/>
      <c r="AJ64" s="370"/>
      <c r="AK64" s="370"/>
      <c r="AL64" s="370"/>
      <c r="AM64" s="370"/>
      <c r="AN64" s="370"/>
      <c r="AO64" s="370"/>
      <c r="AP64" s="370"/>
      <c r="AQ64" s="370"/>
      <c r="AR64" s="370"/>
      <c r="AS64" s="370"/>
      <c r="AT64" s="370"/>
      <c r="AU64" s="370"/>
      <c r="AV64" s="370"/>
      <c r="AW64" s="370"/>
      <c r="AX64" s="370"/>
      <c r="AY64" s="370"/>
      <c r="AZ64" s="370"/>
      <c r="BA64" s="370"/>
      <c r="BB64" s="370"/>
      <c r="BC64" s="370"/>
      <c r="BD64" s="370"/>
      <c r="BE64" s="371"/>
      <c r="BF64" s="371"/>
      <c r="BG64" s="371"/>
      <c r="BH64" s="371"/>
      <c r="BI64" s="371"/>
      <c r="BJ64" s="371"/>
      <c r="BK64" s="371"/>
      <c r="BL64" s="371"/>
      <c r="BM64" s="371"/>
      <c r="BN64" s="372"/>
      <c r="BO64" s="372"/>
      <c r="BP64" s="372"/>
      <c r="BQ64" s="372"/>
      <c r="BR64" s="372"/>
      <c r="BS64" s="372"/>
      <c r="BT64" s="372"/>
      <c r="BU64" s="372"/>
      <c r="BV64" s="369"/>
      <c r="BW64" s="369"/>
      <c r="BX64" s="369"/>
      <c r="BY64" s="369"/>
      <c r="BZ64" s="369"/>
      <c r="CA64" s="369"/>
      <c r="CB64" s="369"/>
      <c r="CC64" s="373"/>
      <c r="CD64" s="373"/>
      <c r="CE64" s="373"/>
      <c r="CF64" s="373"/>
      <c r="CG64" s="373"/>
      <c r="CH64" s="373"/>
      <c r="CI64" s="373"/>
      <c r="CJ64" s="373"/>
      <c r="CK64" s="373"/>
      <c r="CL64" s="373"/>
      <c r="CM64" s="373"/>
      <c r="CN64" s="373"/>
      <c r="CO64" s="373"/>
      <c r="CP64" s="373"/>
      <c r="CQ64" s="373"/>
      <c r="CR64" s="373"/>
      <c r="CS64" s="374"/>
      <c r="CT64" s="374"/>
      <c r="CU64" s="374"/>
      <c r="CV64" s="374"/>
      <c r="CW64" s="374"/>
      <c r="CX64" s="374"/>
      <c r="CY64" s="374"/>
      <c r="CZ64" s="374"/>
      <c r="DA64" s="374"/>
      <c r="DB64" s="374"/>
      <c r="DC64" s="374"/>
      <c r="DD64" s="374"/>
      <c r="DE64" s="374"/>
      <c r="DF64" s="374"/>
      <c r="DG64" s="374"/>
      <c r="DH64" s="374"/>
      <c r="DI64" s="374"/>
      <c r="DJ64" s="374"/>
      <c r="DK64" s="374"/>
      <c r="DL64" s="374"/>
      <c r="DM64" s="374"/>
      <c r="DN64" s="932"/>
      <c r="DO64" s="375"/>
      <c r="DP64" s="375">
        <v>2</v>
      </c>
      <c r="DQ64" s="376"/>
      <c r="DR64" s="376"/>
      <c r="DS64" s="371"/>
      <c r="DT64" s="371"/>
      <c r="DU64" s="371"/>
      <c r="DV64" s="371"/>
      <c r="DW64" s="371"/>
      <c r="DX64" s="371"/>
      <c r="DY64" s="371"/>
      <c r="DZ64" s="371"/>
      <c r="EA64" s="371">
        <v>149.4</v>
      </c>
      <c r="EB64" s="371"/>
      <c r="EC64" s="371"/>
      <c r="ED64" s="371"/>
      <c r="EE64" s="371"/>
      <c r="EF64" s="371"/>
      <c r="EG64" s="371"/>
      <c r="EH64" s="371"/>
      <c r="EI64" s="371"/>
      <c r="EJ64" s="371"/>
      <c r="EK64" s="371"/>
      <c r="EL64" s="371"/>
      <c r="EM64" s="371"/>
      <c r="EN64" s="371"/>
      <c r="EO64" s="371"/>
      <c r="EP64" s="371"/>
      <c r="EQ64" s="371"/>
      <c r="ER64" s="371"/>
      <c r="ES64" s="371"/>
      <c r="ET64" s="371"/>
      <c r="EU64" s="371"/>
      <c r="EV64" s="371"/>
      <c r="EW64" s="371"/>
      <c r="EX64" s="371"/>
      <c r="EY64" s="371"/>
      <c r="EZ64" s="371"/>
      <c r="FA64" s="377">
        <v>415</v>
      </c>
      <c r="FB64" s="378">
        <v>208</v>
      </c>
      <c r="FC64" s="378"/>
      <c r="FD64" s="379">
        <f t="shared" ref="FD64:FD72" si="137">SUM(BE64:BG64,BI64,BL64:BM64)+SUM(BH64,BJ64,BK64)*5</f>
        <v>0</v>
      </c>
      <c r="FE64" s="790"/>
    </row>
    <row r="65" spans="2:164" ht="26.1" customHeight="1" outlineLevel="1" thickBot="1" x14ac:dyDescent="0.3">
      <c r="B65" s="1018"/>
      <c r="C65" s="1020"/>
      <c r="D65" s="1036"/>
      <c r="E65" s="1040"/>
      <c r="F65" s="833" t="s">
        <v>111</v>
      </c>
      <c r="G65" s="800" t="str">
        <f>VLOOKUP(H65,инфо!AD:AE,2,FALSE)</f>
        <v>Прочее</v>
      </c>
      <c r="H65" s="571" t="s">
        <v>1197</v>
      </c>
      <c r="I65" s="607" t="s">
        <v>1555</v>
      </c>
      <c r="J65" s="380"/>
      <c r="K65" s="381"/>
      <c r="L65" s="381"/>
      <c r="M65" s="381"/>
      <c r="N65" s="381"/>
      <c r="O65" s="381"/>
      <c r="P65" s="381"/>
      <c r="Q65" s="381"/>
      <c r="R65" s="381"/>
      <c r="S65" s="381"/>
      <c r="T65" s="381"/>
      <c r="U65" s="381"/>
      <c r="V65" s="381"/>
      <c r="W65" s="382"/>
      <c r="X65" s="382"/>
      <c r="Y65" s="382"/>
      <c r="Z65" s="382"/>
      <c r="AA65" s="382"/>
      <c r="AB65" s="382"/>
      <c r="AC65" s="382"/>
      <c r="AD65" s="382"/>
      <c r="AE65" s="382"/>
      <c r="AF65" s="382"/>
      <c r="AG65" s="382"/>
      <c r="AH65" s="382"/>
      <c r="AI65" s="382"/>
      <c r="AJ65" s="382"/>
      <c r="AK65" s="382"/>
      <c r="AL65" s="382"/>
      <c r="AM65" s="382"/>
      <c r="AN65" s="382"/>
      <c r="AO65" s="382"/>
      <c r="AP65" s="382"/>
      <c r="AQ65" s="382"/>
      <c r="AR65" s="382"/>
      <c r="AS65" s="382"/>
      <c r="AT65" s="382"/>
      <c r="AU65" s="382"/>
      <c r="AV65" s="382"/>
      <c r="AW65" s="382"/>
      <c r="AX65" s="382"/>
      <c r="AY65" s="382"/>
      <c r="AZ65" s="382"/>
      <c r="BA65" s="382"/>
      <c r="BB65" s="382">
        <v>20</v>
      </c>
      <c r="BC65" s="382"/>
      <c r="BD65" s="382"/>
      <c r="BE65" s="383"/>
      <c r="BF65" s="383"/>
      <c r="BG65" s="383"/>
      <c r="BH65" s="383"/>
      <c r="BI65" s="383"/>
      <c r="BJ65" s="383"/>
      <c r="BK65" s="383"/>
      <c r="BL65" s="383"/>
      <c r="BM65" s="383"/>
      <c r="BN65" s="384"/>
      <c r="BO65" s="384"/>
      <c r="BP65" s="384"/>
      <c r="BQ65" s="384"/>
      <c r="BR65" s="384"/>
      <c r="BS65" s="384"/>
      <c r="BT65" s="384"/>
      <c r="BU65" s="384"/>
      <c r="BV65" s="381"/>
      <c r="BW65" s="381"/>
      <c r="BX65" s="381"/>
      <c r="BY65" s="381"/>
      <c r="BZ65" s="381"/>
      <c r="CA65" s="381"/>
      <c r="CB65" s="381"/>
      <c r="CC65" s="385"/>
      <c r="CD65" s="385"/>
      <c r="CE65" s="385"/>
      <c r="CF65" s="385"/>
      <c r="CG65" s="385"/>
      <c r="CH65" s="385"/>
      <c r="CI65" s="385"/>
      <c r="CJ65" s="385"/>
      <c r="CK65" s="385"/>
      <c r="CL65" s="385"/>
      <c r="CM65" s="385"/>
      <c r="CN65" s="385"/>
      <c r="CO65" s="385"/>
      <c r="CP65" s="385"/>
      <c r="CQ65" s="385"/>
      <c r="CR65" s="385"/>
      <c r="CS65" s="386"/>
      <c r="CT65" s="386"/>
      <c r="CU65" s="386"/>
      <c r="CV65" s="386"/>
      <c r="CW65" s="386"/>
      <c r="CX65" s="386"/>
      <c r="CY65" s="386"/>
      <c r="CZ65" s="386"/>
      <c r="DA65" s="386"/>
      <c r="DB65" s="386"/>
      <c r="DC65" s="386"/>
      <c r="DD65" s="386"/>
      <c r="DE65" s="386"/>
      <c r="DF65" s="386"/>
      <c r="DG65" s="386"/>
      <c r="DH65" s="386"/>
      <c r="DI65" s="386"/>
      <c r="DJ65" s="386"/>
      <c r="DK65" s="386"/>
      <c r="DL65" s="386"/>
      <c r="DM65" s="386"/>
      <c r="DN65" s="933"/>
      <c r="DO65" s="387"/>
      <c r="DP65" s="387"/>
      <c r="DQ65" s="388"/>
      <c r="DR65" s="388"/>
      <c r="DS65" s="383"/>
      <c r="DT65" s="383"/>
      <c r="DU65" s="383"/>
      <c r="DV65" s="383"/>
      <c r="DW65" s="383"/>
      <c r="DX65" s="383"/>
      <c r="DY65" s="383"/>
      <c r="DZ65" s="383"/>
      <c r="EA65" s="383"/>
      <c r="EB65" s="383"/>
      <c r="EC65" s="383"/>
      <c r="ED65" s="383"/>
      <c r="EE65" s="383"/>
      <c r="EF65" s="383"/>
      <c r="EG65" s="383"/>
      <c r="EH65" s="383"/>
      <c r="EI65" s="383"/>
      <c r="EJ65" s="383"/>
      <c r="EK65" s="383"/>
      <c r="EL65" s="383"/>
      <c r="EM65" s="383"/>
      <c r="EN65" s="383"/>
      <c r="EO65" s="383"/>
      <c r="EP65" s="383"/>
      <c r="EQ65" s="383"/>
      <c r="ER65" s="383"/>
      <c r="ES65" s="383"/>
      <c r="ET65" s="383"/>
      <c r="EU65" s="383"/>
      <c r="EV65" s="383"/>
      <c r="EW65" s="383"/>
      <c r="EX65" s="383"/>
      <c r="EY65" s="383"/>
      <c r="EZ65" s="383"/>
      <c r="FA65" s="389">
        <v>15</v>
      </c>
      <c r="FB65" s="390">
        <v>20</v>
      </c>
      <c r="FC65" s="390"/>
      <c r="FD65" s="391">
        <f t="shared" si="137"/>
        <v>0</v>
      </c>
      <c r="FE65" s="790"/>
    </row>
    <row r="66" spans="2:164" ht="26.1" customHeight="1" outlineLevel="1" thickBot="1" x14ac:dyDescent="0.3">
      <c r="B66" s="1018"/>
      <c r="C66" s="1020"/>
      <c r="D66" s="1036"/>
      <c r="E66" s="1039" t="s">
        <v>115</v>
      </c>
      <c r="F66" s="831" t="s">
        <v>111</v>
      </c>
      <c r="G66" s="798" t="str">
        <f>VLOOKUP(H66,инфо!AD:AE,2,FALSE)</f>
        <v>Прочее</v>
      </c>
      <c r="H66" s="569" t="s">
        <v>1197</v>
      </c>
      <c r="I66" s="609" t="s">
        <v>64</v>
      </c>
      <c r="J66" s="355"/>
      <c r="K66" s="356"/>
      <c r="L66" s="356"/>
      <c r="M66" s="356"/>
      <c r="N66" s="356"/>
      <c r="O66" s="356"/>
      <c r="P66" s="356"/>
      <c r="Q66" s="356"/>
      <c r="R66" s="356"/>
      <c r="S66" s="356"/>
      <c r="T66" s="356"/>
      <c r="U66" s="356"/>
      <c r="V66" s="356"/>
      <c r="W66" s="357"/>
      <c r="X66" s="357"/>
      <c r="Y66" s="357"/>
      <c r="Z66" s="357"/>
      <c r="AA66" s="357"/>
      <c r="AB66" s="357"/>
      <c r="AC66" s="357"/>
      <c r="AD66" s="357"/>
      <c r="AE66" s="357"/>
      <c r="AF66" s="357"/>
      <c r="AG66" s="357"/>
      <c r="AH66" s="357"/>
      <c r="AI66" s="357"/>
      <c r="AJ66" s="357"/>
      <c r="AK66" s="357"/>
      <c r="AL66" s="357"/>
      <c r="AM66" s="357"/>
      <c r="AN66" s="357"/>
      <c r="AO66" s="357"/>
      <c r="AP66" s="357"/>
      <c r="AQ66" s="357"/>
      <c r="AR66" s="357"/>
      <c r="AS66" s="357"/>
      <c r="AT66" s="357"/>
      <c r="AU66" s="357"/>
      <c r="AV66" s="357"/>
      <c r="AW66" s="357"/>
      <c r="AX66" s="357"/>
      <c r="AY66" s="357"/>
      <c r="AZ66" s="357"/>
      <c r="BA66" s="357"/>
      <c r="BB66" s="357"/>
      <c r="BC66" s="357"/>
      <c r="BD66" s="357"/>
      <c r="BE66" s="358"/>
      <c r="BF66" s="358"/>
      <c r="BG66" s="358"/>
      <c r="BH66" s="358"/>
      <c r="BI66" s="358"/>
      <c r="BJ66" s="358"/>
      <c r="BK66" s="358"/>
      <c r="BL66" s="358"/>
      <c r="BM66" s="358"/>
      <c r="BN66" s="359"/>
      <c r="BO66" s="359"/>
      <c r="BP66" s="359"/>
      <c r="BQ66" s="359"/>
      <c r="BR66" s="359"/>
      <c r="BS66" s="359"/>
      <c r="BT66" s="359"/>
      <c r="BU66" s="359"/>
      <c r="BV66" s="356"/>
      <c r="BW66" s="356"/>
      <c r="BX66" s="356"/>
      <c r="BY66" s="356"/>
      <c r="BZ66" s="356"/>
      <c r="CA66" s="356"/>
      <c r="CB66" s="356"/>
      <c r="CC66" s="360"/>
      <c r="CD66" s="360">
        <v>25</v>
      </c>
      <c r="CE66" s="360"/>
      <c r="CF66" s="360"/>
      <c r="CG66" s="360"/>
      <c r="CH66" s="360"/>
      <c r="CI66" s="360"/>
      <c r="CJ66" s="360"/>
      <c r="CK66" s="360"/>
      <c r="CL66" s="360"/>
      <c r="CM66" s="360"/>
      <c r="CN66" s="360"/>
      <c r="CO66" s="360"/>
      <c r="CP66" s="360"/>
      <c r="CQ66" s="360"/>
      <c r="CR66" s="360"/>
      <c r="CS66" s="361"/>
      <c r="CT66" s="361"/>
      <c r="CU66" s="361"/>
      <c r="CV66" s="361"/>
      <c r="CW66" s="361"/>
      <c r="CX66" s="361"/>
      <c r="CY66" s="361"/>
      <c r="CZ66" s="361"/>
      <c r="DA66" s="361"/>
      <c r="DB66" s="361"/>
      <c r="DC66" s="361"/>
      <c r="DD66" s="361"/>
      <c r="DE66" s="361"/>
      <c r="DF66" s="361"/>
      <c r="DG66" s="361"/>
      <c r="DH66" s="361"/>
      <c r="DI66" s="361"/>
      <c r="DJ66" s="361"/>
      <c r="DK66" s="361"/>
      <c r="DL66" s="361"/>
      <c r="DM66" s="361"/>
      <c r="DN66" s="931"/>
      <c r="DO66" s="362"/>
      <c r="DP66" s="362"/>
      <c r="DQ66" s="363"/>
      <c r="DR66" s="363"/>
      <c r="DS66" s="358"/>
      <c r="DT66" s="358"/>
      <c r="DU66" s="358"/>
      <c r="DV66" s="358"/>
      <c r="DW66" s="358"/>
      <c r="DX66" s="358"/>
      <c r="DY66" s="358"/>
      <c r="DZ66" s="358"/>
      <c r="EA66" s="358"/>
      <c r="EB66" s="358"/>
      <c r="EC66" s="358"/>
      <c r="ED66" s="358"/>
      <c r="EE66" s="358"/>
      <c r="EF66" s="358"/>
      <c r="EG66" s="358"/>
      <c r="EH66" s="358"/>
      <c r="EI66" s="358"/>
      <c r="EJ66" s="358"/>
      <c r="EK66" s="358"/>
      <c r="EL66" s="358"/>
      <c r="EM66" s="358"/>
      <c r="EN66" s="358"/>
      <c r="EO66" s="358"/>
      <c r="EP66" s="358"/>
      <c r="EQ66" s="358"/>
      <c r="ER66" s="358"/>
      <c r="ES66" s="358"/>
      <c r="ET66" s="358"/>
      <c r="EU66" s="358"/>
      <c r="EV66" s="358"/>
      <c r="EW66" s="358"/>
      <c r="EX66" s="358"/>
      <c r="EY66" s="358"/>
      <c r="EZ66" s="358"/>
      <c r="FA66" s="364"/>
      <c r="FB66" s="365">
        <v>25</v>
      </c>
      <c r="FC66" s="365"/>
      <c r="FD66" s="367">
        <f t="shared" si="137"/>
        <v>0</v>
      </c>
      <c r="FE66" s="790"/>
    </row>
    <row r="67" spans="2:164" ht="26.1" customHeight="1" outlineLevel="1" thickBot="1" x14ac:dyDescent="0.3">
      <c r="B67" s="1018"/>
      <c r="C67" s="1020"/>
      <c r="D67" s="1036"/>
      <c r="E67" s="1039"/>
      <c r="F67" s="832" t="s">
        <v>111</v>
      </c>
      <c r="G67" s="799" t="str">
        <f>VLOOKUP(H67,инфо!AD:AE,2,FALSE)</f>
        <v>Прочее</v>
      </c>
      <c r="H67" s="572" t="s">
        <v>1197</v>
      </c>
      <c r="I67" s="589" t="s">
        <v>34</v>
      </c>
      <c r="J67" s="368"/>
      <c r="K67" s="369"/>
      <c r="L67" s="369"/>
      <c r="M67" s="369"/>
      <c r="N67" s="369"/>
      <c r="O67" s="369"/>
      <c r="P67" s="369"/>
      <c r="Q67" s="369"/>
      <c r="R67" s="369"/>
      <c r="S67" s="369"/>
      <c r="T67" s="369"/>
      <c r="U67" s="369"/>
      <c r="V67" s="369"/>
      <c r="W67" s="370"/>
      <c r="X67" s="370"/>
      <c r="Y67" s="370"/>
      <c r="Z67" s="370"/>
      <c r="AA67" s="370"/>
      <c r="AB67" s="370"/>
      <c r="AC67" s="370"/>
      <c r="AD67" s="370"/>
      <c r="AE67" s="370"/>
      <c r="AF67" s="370"/>
      <c r="AG67" s="370"/>
      <c r="AH67" s="370"/>
      <c r="AI67" s="370"/>
      <c r="AJ67" s="370"/>
      <c r="AK67" s="370"/>
      <c r="AL67" s="370"/>
      <c r="AM67" s="370"/>
      <c r="AN67" s="370"/>
      <c r="AO67" s="370"/>
      <c r="AP67" s="370"/>
      <c r="AQ67" s="370"/>
      <c r="AR67" s="370"/>
      <c r="AS67" s="370"/>
      <c r="AT67" s="370"/>
      <c r="AU67" s="370"/>
      <c r="AV67" s="370"/>
      <c r="AW67" s="370"/>
      <c r="AX67" s="370"/>
      <c r="AY67" s="370"/>
      <c r="AZ67" s="370"/>
      <c r="BA67" s="370"/>
      <c r="BB67" s="370"/>
      <c r="BC67" s="370"/>
      <c r="BD67" s="370"/>
      <c r="BE67" s="371">
        <v>200</v>
      </c>
      <c r="BF67" s="371"/>
      <c r="BG67" s="371"/>
      <c r="BH67" s="371"/>
      <c r="BI67" s="371"/>
      <c r="BJ67" s="371"/>
      <c r="BK67" s="371"/>
      <c r="BL67" s="371"/>
      <c r="BM67" s="371"/>
      <c r="BN67" s="372"/>
      <c r="BO67" s="372"/>
      <c r="BP67" s="372"/>
      <c r="BQ67" s="372"/>
      <c r="BR67" s="372"/>
      <c r="BS67" s="372"/>
      <c r="BT67" s="372"/>
      <c r="BU67" s="372"/>
      <c r="BV67" s="369"/>
      <c r="BW67" s="369"/>
      <c r="BX67" s="369"/>
      <c r="BY67" s="369"/>
      <c r="BZ67" s="369"/>
      <c r="CA67" s="369"/>
      <c r="CB67" s="369"/>
      <c r="CC67" s="373"/>
      <c r="CD67" s="373"/>
      <c r="CE67" s="373"/>
      <c r="CF67" s="373"/>
      <c r="CG67" s="373"/>
      <c r="CH67" s="373"/>
      <c r="CI67" s="373"/>
      <c r="CJ67" s="373"/>
      <c r="CK67" s="373"/>
      <c r="CL67" s="373"/>
      <c r="CM67" s="373"/>
      <c r="CN67" s="373"/>
      <c r="CO67" s="373"/>
      <c r="CP67" s="373"/>
      <c r="CQ67" s="373"/>
      <c r="CR67" s="373"/>
      <c r="CS67" s="374"/>
      <c r="CT67" s="374"/>
      <c r="CU67" s="374"/>
      <c r="CV67" s="374"/>
      <c r="CW67" s="374"/>
      <c r="CX67" s="374"/>
      <c r="CY67" s="374"/>
      <c r="CZ67" s="374"/>
      <c r="DA67" s="374"/>
      <c r="DB67" s="374"/>
      <c r="DC67" s="374"/>
      <c r="DD67" s="374"/>
      <c r="DE67" s="374"/>
      <c r="DF67" s="374"/>
      <c r="DG67" s="374"/>
      <c r="DH67" s="374"/>
      <c r="DI67" s="374"/>
      <c r="DJ67" s="374"/>
      <c r="DK67" s="374"/>
      <c r="DL67" s="374"/>
      <c r="DM67" s="374"/>
      <c r="DN67" s="932"/>
      <c r="DO67" s="375"/>
      <c r="DP67" s="375"/>
      <c r="DQ67" s="376"/>
      <c r="DR67" s="376"/>
      <c r="DS67" s="371"/>
      <c r="DT67" s="371"/>
      <c r="DU67" s="371"/>
      <c r="DV67" s="371"/>
      <c r="DW67" s="371"/>
      <c r="DX67" s="371"/>
      <c r="DY67" s="371"/>
      <c r="DZ67" s="371"/>
      <c r="EA67" s="371"/>
      <c r="EB67" s="371"/>
      <c r="EC67" s="371"/>
      <c r="ED67" s="371"/>
      <c r="EE67" s="371"/>
      <c r="EF67" s="371"/>
      <c r="EG67" s="371"/>
      <c r="EH67" s="371"/>
      <c r="EI67" s="371"/>
      <c r="EJ67" s="371"/>
      <c r="EK67" s="371"/>
      <c r="EL67" s="371"/>
      <c r="EM67" s="371"/>
      <c r="EN67" s="371"/>
      <c r="EO67" s="371"/>
      <c r="EP67" s="371"/>
      <c r="EQ67" s="371"/>
      <c r="ER67" s="371"/>
      <c r="ES67" s="371"/>
      <c r="ET67" s="371"/>
      <c r="EU67" s="371"/>
      <c r="EV67" s="371"/>
      <c r="EW67" s="371"/>
      <c r="EX67" s="371"/>
      <c r="EY67" s="371"/>
      <c r="EZ67" s="371"/>
      <c r="FA67" s="377"/>
      <c r="FB67" s="378">
        <v>200</v>
      </c>
      <c r="FC67" s="378"/>
      <c r="FD67" s="379">
        <f t="shared" si="137"/>
        <v>200</v>
      </c>
      <c r="FE67" s="790"/>
    </row>
    <row r="68" spans="2:164" ht="26.1" customHeight="1" outlineLevel="1" thickBot="1" x14ac:dyDescent="0.3">
      <c r="B68" s="1018"/>
      <c r="C68" s="1020"/>
      <c r="D68" s="1036"/>
      <c r="E68" s="1039"/>
      <c r="F68" s="834" t="s">
        <v>111</v>
      </c>
      <c r="G68" s="801" t="str">
        <f>VLOOKUP(H68,инфо!AD:AE,2,FALSE)</f>
        <v>Прочее</v>
      </c>
      <c r="H68" s="573" t="s">
        <v>1197</v>
      </c>
      <c r="I68" s="606" t="s">
        <v>60</v>
      </c>
      <c r="J68" s="392"/>
      <c r="K68" s="393"/>
      <c r="L68" s="393"/>
      <c r="M68" s="393"/>
      <c r="N68" s="393"/>
      <c r="O68" s="393"/>
      <c r="P68" s="393"/>
      <c r="Q68" s="393"/>
      <c r="R68" s="393"/>
      <c r="S68" s="393"/>
      <c r="T68" s="393"/>
      <c r="U68" s="393"/>
      <c r="V68" s="393"/>
      <c r="W68" s="394"/>
      <c r="X68" s="394"/>
      <c r="Y68" s="394"/>
      <c r="Z68" s="394"/>
      <c r="AA68" s="394"/>
      <c r="AB68" s="394"/>
      <c r="AC68" s="394"/>
      <c r="AD68" s="394"/>
      <c r="AE68" s="394"/>
      <c r="AF68" s="394"/>
      <c r="AG68" s="394"/>
      <c r="AH68" s="394"/>
      <c r="AI68" s="394"/>
      <c r="AJ68" s="394"/>
      <c r="AK68" s="394"/>
      <c r="AL68" s="394"/>
      <c r="AM68" s="394"/>
      <c r="AN68" s="394"/>
      <c r="AO68" s="394"/>
      <c r="AP68" s="394"/>
      <c r="AQ68" s="394"/>
      <c r="AR68" s="394"/>
      <c r="AS68" s="394"/>
      <c r="AT68" s="394"/>
      <c r="AU68" s="394"/>
      <c r="AV68" s="394"/>
      <c r="AW68" s="394"/>
      <c r="AX68" s="394"/>
      <c r="AY68" s="394"/>
      <c r="AZ68" s="394"/>
      <c r="BA68" s="394"/>
      <c r="BB68" s="394"/>
      <c r="BC68" s="394"/>
      <c r="BD68" s="394"/>
      <c r="BE68" s="395"/>
      <c r="BF68" s="395"/>
      <c r="BG68" s="395"/>
      <c r="BH68" s="395"/>
      <c r="BI68" s="395"/>
      <c r="BJ68" s="395"/>
      <c r="BK68" s="395"/>
      <c r="BL68" s="395"/>
      <c r="BM68" s="395"/>
      <c r="BN68" s="396">
        <v>15</v>
      </c>
      <c r="BO68" s="396"/>
      <c r="BP68" s="396"/>
      <c r="BQ68" s="396"/>
      <c r="BR68" s="396"/>
      <c r="BS68" s="396"/>
      <c r="BT68" s="396"/>
      <c r="BU68" s="396"/>
      <c r="BV68" s="393"/>
      <c r="BW68" s="393"/>
      <c r="BX68" s="393"/>
      <c r="BY68" s="393"/>
      <c r="BZ68" s="393"/>
      <c r="CA68" s="393"/>
      <c r="CB68" s="393"/>
      <c r="CC68" s="397"/>
      <c r="CD68" s="397"/>
      <c r="CE68" s="397"/>
      <c r="CF68" s="397"/>
      <c r="CG68" s="397"/>
      <c r="CH68" s="397"/>
      <c r="CI68" s="397"/>
      <c r="CJ68" s="397"/>
      <c r="CK68" s="397"/>
      <c r="CL68" s="397"/>
      <c r="CM68" s="397"/>
      <c r="CN68" s="397"/>
      <c r="CO68" s="397"/>
      <c r="CP68" s="397"/>
      <c r="CQ68" s="397"/>
      <c r="CR68" s="397"/>
      <c r="CS68" s="398"/>
      <c r="CT68" s="398"/>
      <c r="CU68" s="398"/>
      <c r="CV68" s="398"/>
      <c r="CW68" s="399"/>
      <c r="CX68" s="398"/>
      <c r="CY68" s="398"/>
      <c r="CZ68" s="398"/>
      <c r="DA68" s="398"/>
      <c r="DB68" s="398"/>
      <c r="DC68" s="398"/>
      <c r="DD68" s="398"/>
      <c r="DE68" s="398"/>
      <c r="DF68" s="398"/>
      <c r="DG68" s="398"/>
      <c r="DH68" s="398"/>
      <c r="DI68" s="398"/>
      <c r="DJ68" s="398"/>
      <c r="DK68" s="398"/>
      <c r="DL68" s="398"/>
      <c r="DM68" s="398"/>
      <c r="DN68" s="934"/>
      <c r="DO68" s="400"/>
      <c r="DP68" s="400"/>
      <c r="DQ68" s="401"/>
      <c r="DR68" s="401"/>
      <c r="DS68" s="395"/>
      <c r="DT68" s="395"/>
      <c r="DU68" s="395"/>
      <c r="DV68" s="395"/>
      <c r="DW68" s="395"/>
      <c r="DX68" s="395"/>
      <c r="DY68" s="395"/>
      <c r="DZ68" s="395"/>
      <c r="EA68" s="395"/>
      <c r="EB68" s="395"/>
      <c r="EC68" s="395"/>
      <c r="ED68" s="395"/>
      <c r="EE68" s="395"/>
      <c r="EF68" s="395"/>
      <c r="EG68" s="395"/>
      <c r="EH68" s="395"/>
      <c r="EI68" s="395"/>
      <c r="EJ68" s="395"/>
      <c r="EK68" s="395"/>
      <c r="EL68" s="395"/>
      <c r="EM68" s="395"/>
      <c r="EN68" s="395"/>
      <c r="EO68" s="395"/>
      <c r="EP68" s="395"/>
      <c r="EQ68" s="395"/>
      <c r="ER68" s="395"/>
      <c r="ES68" s="395"/>
      <c r="ET68" s="395"/>
      <c r="EU68" s="395"/>
      <c r="EV68" s="395"/>
      <c r="EW68" s="395"/>
      <c r="EX68" s="395"/>
      <c r="EY68" s="395"/>
      <c r="EZ68" s="395"/>
      <c r="FA68" s="402"/>
      <c r="FB68" s="403">
        <v>15</v>
      </c>
      <c r="FC68" s="403"/>
      <c r="FD68" s="404">
        <f t="shared" si="137"/>
        <v>0</v>
      </c>
      <c r="FE68" s="790"/>
    </row>
    <row r="69" spans="2:164" ht="26.1" customHeight="1" outlineLevel="1" thickBot="1" x14ac:dyDescent="0.3">
      <c r="B69" s="1018"/>
      <c r="C69" s="1020"/>
      <c r="D69" s="1036"/>
      <c r="E69" s="1041" t="s">
        <v>116</v>
      </c>
      <c r="F69" s="835" t="s">
        <v>111</v>
      </c>
      <c r="G69" s="802" t="str">
        <f>VLOOKUP(H69,инфо!AD:AE,2,FALSE)</f>
        <v>Напитки</v>
      </c>
      <c r="H69" s="574" t="s">
        <v>1195</v>
      </c>
      <c r="I69" s="588" t="s">
        <v>1156</v>
      </c>
      <c r="J69" s="405"/>
      <c r="K69" s="406"/>
      <c r="L69" s="406"/>
      <c r="M69" s="406"/>
      <c r="N69" s="406"/>
      <c r="O69" s="406"/>
      <c r="P69" s="406"/>
      <c r="Q69" s="406"/>
      <c r="R69" s="406"/>
      <c r="S69" s="406"/>
      <c r="T69" s="406"/>
      <c r="U69" s="406"/>
      <c r="V69" s="406"/>
      <c r="W69" s="407"/>
      <c r="X69" s="407"/>
      <c r="Y69" s="407"/>
      <c r="Z69" s="407"/>
      <c r="AA69" s="407"/>
      <c r="AB69" s="407"/>
      <c r="AC69" s="407"/>
      <c r="AD69" s="407"/>
      <c r="AE69" s="407"/>
      <c r="AF69" s="407"/>
      <c r="AG69" s="407"/>
      <c r="AH69" s="407"/>
      <c r="AI69" s="407"/>
      <c r="AJ69" s="407"/>
      <c r="AK69" s="407"/>
      <c r="AL69" s="407"/>
      <c r="AM69" s="407"/>
      <c r="AN69" s="407"/>
      <c r="AO69" s="407"/>
      <c r="AP69" s="407"/>
      <c r="AQ69" s="407"/>
      <c r="AR69" s="407"/>
      <c r="AS69" s="407"/>
      <c r="AT69" s="407"/>
      <c r="AU69" s="407"/>
      <c r="AV69" s="407"/>
      <c r="AW69" s="407"/>
      <c r="AX69" s="407"/>
      <c r="AY69" s="407"/>
      <c r="AZ69" s="407"/>
      <c r="BA69" s="407"/>
      <c r="BB69" s="407"/>
      <c r="BC69" s="407"/>
      <c r="BD69" s="407"/>
      <c r="BE69" s="408"/>
      <c r="BF69" s="408"/>
      <c r="BG69" s="408"/>
      <c r="BH69" s="408"/>
      <c r="BI69" s="408"/>
      <c r="BJ69" s="408"/>
      <c r="BK69" s="408"/>
      <c r="BL69" s="408"/>
      <c r="BM69" s="408"/>
      <c r="BN69" s="409"/>
      <c r="BO69" s="409"/>
      <c r="BP69" s="409"/>
      <c r="BQ69" s="409"/>
      <c r="BR69" s="409"/>
      <c r="BS69" s="409"/>
      <c r="BT69" s="409"/>
      <c r="BU69" s="409"/>
      <c r="BV69" s="406"/>
      <c r="BW69" s="406"/>
      <c r="BX69" s="406"/>
      <c r="BY69" s="406"/>
      <c r="BZ69" s="406"/>
      <c r="CA69" s="406"/>
      <c r="CB69" s="406"/>
      <c r="CC69" s="410"/>
      <c r="CD69" s="410"/>
      <c r="CE69" s="410"/>
      <c r="CF69" s="410"/>
      <c r="CG69" s="410"/>
      <c r="CH69" s="410"/>
      <c r="CI69" s="410"/>
      <c r="CJ69" s="410"/>
      <c r="CK69" s="410"/>
      <c r="CL69" s="410"/>
      <c r="CM69" s="410"/>
      <c r="CN69" s="410"/>
      <c r="CO69" s="410"/>
      <c r="CP69" s="410"/>
      <c r="CQ69" s="410"/>
      <c r="CR69" s="410"/>
      <c r="CS69" s="411"/>
      <c r="CT69" s="411"/>
      <c r="CU69" s="411"/>
      <c r="CV69" s="411"/>
      <c r="CW69" s="412"/>
      <c r="CX69" s="411"/>
      <c r="CY69" s="411"/>
      <c r="CZ69" s="411"/>
      <c r="DA69" s="411"/>
      <c r="DB69" s="411"/>
      <c r="DC69" s="411"/>
      <c r="DD69" s="411"/>
      <c r="DE69" s="411"/>
      <c r="DF69" s="411"/>
      <c r="DG69" s="411"/>
      <c r="DH69" s="411"/>
      <c r="DI69" s="411"/>
      <c r="DJ69" s="411"/>
      <c r="DK69" s="411"/>
      <c r="DL69" s="411"/>
      <c r="DM69" s="411"/>
      <c r="DN69" s="935"/>
      <c r="DO69" s="413">
        <v>25</v>
      </c>
      <c r="DP69" s="413"/>
      <c r="DQ69" s="414"/>
      <c r="DR69" s="414"/>
      <c r="DS69" s="408"/>
      <c r="DT69" s="408"/>
      <c r="DU69" s="408"/>
      <c r="DV69" s="408"/>
      <c r="DW69" s="408"/>
      <c r="DX69" s="408"/>
      <c r="DY69" s="408"/>
      <c r="DZ69" s="408"/>
      <c r="EA69" s="408">
        <v>250</v>
      </c>
      <c r="EB69" s="408"/>
      <c r="EC69" s="408"/>
      <c r="ED69" s="408"/>
      <c r="EE69" s="408"/>
      <c r="EF69" s="408">
        <v>1.5</v>
      </c>
      <c r="EG69" s="408"/>
      <c r="EH69" s="408"/>
      <c r="EI69" s="408"/>
      <c r="EJ69" s="408"/>
      <c r="EK69" s="408"/>
      <c r="EL69" s="408"/>
      <c r="EM69" s="408"/>
      <c r="EN69" s="408"/>
      <c r="EO69" s="408"/>
      <c r="EP69" s="408"/>
      <c r="EQ69" s="408"/>
      <c r="ER69" s="408"/>
      <c r="ES69" s="408"/>
      <c r="ET69" s="408"/>
      <c r="EU69" s="408"/>
      <c r="EV69" s="408"/>
      <c r="EW69" s="408"/>
      <c r="EX69" s="408"/>
      <c r="EY69" s="408"/>
      <c r="EZ69" s="408"/>
      <c r="FA69" s="415"/>
      <c r="FB69" s="416">
        <v>250</v>
      </c>
      <c r="FC69" s="416"/>
      <c r="FD69" s="417">
        <f t="shared" si="137"/>
        <v>0</v>
      </c>
      <c r="FE69" s="790"/>
    </row>
    <row r="70" spans="2:164" ht="26.1" customHeight="1" outlineLevel="1" thickBot="1" x14ac:dyDescent="0.3">
      <c r="B70" s="1018"/>
      <c r="C70" s="1020"/>
      <c r="D70" s="1036"/>
      <c r="E70" s="1039"/>
      <c r="F70" s="832" t="s">
        <v>111</v>
      </c>
      <c r="G70" s="799" t="str">
        <f>VLOOKUP(H70,инфо!AD:AE,2,FALSE)</f>
        <v>Прочее</v>
      </c>
      <c r="H70" s="572" t="s">
        <v>1197</v>
      </c>
      <c r="I70" s="589" t="s">
        <v>53</v>
      </c>
      <c r="J70" s="368"/>
      <c r="K70" s="369"/>
      <c r="L70" s="369"/>
      <c r="M70" s="369"/>
      <c r="N70" s="369"/>
      <c r="O70" s="369"/>
      <c r="P70" s="369"/>
      <c r="Q70" s="369"/>
      <c r="R70" s="369"/>
      <c r="S70" s="369"/>
      <c r="T70" s="369"/>
      <c r="U70" s="369"/>
      <c r="V70" s="369"/>
      <c r="W70" s="370"/>
      <c r="X70" s="370"/>
      <c r="Y70" s="370"/>
      <c r="Z70" s="370"/>
      <c r="AA70" s="370"/>
      <c r="AB70" s="370"/>
      <c r="AC70" s="370"/>
      <c r="AD70" s="370"/>
      <c r="AE70" s="370"/>
      <c r="AF70" s="370"/>
      <c r="AG70" s="370"/>
      <c r="AH70" s="370"/>
      <c r="AI70" s="370"/>
      <c r="AJ70" s="370"/>
      <c r="AK70" s="370"/>
      <c r="AL70" s="370"/>
      <c r="AM70" s="370"/>
      <c r="AN70" s="370"/>
      <c r="AO70" s="370"/>
      <c r="AP70" s="370"/>
      <c r="AQ70" s="370"/>
      <c r="AR70" s="370"/>
      <c r="AS70" s="370"/>
      <c r="AT70" s="370"/>
      <c r="AU70" s="370"/>
      <c r="AV70" s="370"/>
      <c r="AW70" s="370"/>
      <c r="AX70" s="370"/>
      <c r="AY70" s="370"/>
      <c r="AZ70" s="370"/>
      <c r="BA70" s="370"/>
      <c r="BB70" s="370"/>
      <c r="BC70" s="370"/>
      <c r="BD70" s="370"/>
      <c r="BE70" s="371"/>
      <c r="BF70" s="371"/>
      <c r="BG70" s="371"/>
      <c r="BH70" s="371"/>
      <c r="BI70" s="371"/>
      <c r="BJ70" s="371"/>
      <c r="BK70" s="371"/>
      <c r="BL70" s="371"/>
      <c r="BM70" s="371"/>
      <c r="BN70" s="372"/>
      <c r="BO70" s="372"/>
      <c r="BP70" s="372"/>
      <c r="BQ70" s="372"/>
      <c r="BR70" s="372"/>
      <c r="BS70" s="372"/>
      <c r="BT70" s="372"/>
      <c r="BU70" s="372"/>
      <c r="BV70" s="369"/>
      <c r="BW70" s="369"/>
      <c r="BX70" s="369"/>
      <c r="BY70" s="369"/>
      <c r="BZ70" s="369"/>
      <c r="CA70" s="369"/>
      <c r="CB70" s="369"/>
      <c r="CC70" s="373"/>
      <c r="CD70" s="373"/>
      <c r="CE70" s="373"/>
      <c r="CF70" s="373"/>
      <c r="CG70" s="373"/>
      <c r="CH70" s="373"/>
      <c r="CI70" s="373"/>
      <c r="CJ70" s="373"/>
      <c r="CK70" s="373"/>
      <c r="CL70" s="373"/>
      <c r="CM70" s="373"/>
      <c r="CN70" s="373"/>
      <c r="CO70" s="373"/>
      <c r="CP70" s="373"/>
      <c r="CQ70" s="373"/>
      <c r="CR70" s="373"/>
      <c r="CS70" s="374"/>
      <c r="CT70" s="374"/>
      <c r="CU70" s="374"/>
      <c r="CV70" s="374"/>
      <c r="CW70" s="418"/>
      <c r="CX70" s="374"/>
      <c r="CY70" s="374"/>
      <c r="CZ70" s="374"/>
      <c r="DA70" s="374"/>
      <c r="DB70" s="374"/>
      <c r="DC70" s="374"/>
      <c r="DD70" s="374"/>
      <c r="DE70" s="374"/>
      <c r="DF70" s="374"/>
      <c r="DG70" s="374"/>
      <c r="DH70" s="374"/>
      <c r="DI70" s="374"/>
      <c r="DJ70" s="374"/>
      <c r="DK70" s="374"/>
      <c r="DL70" s="374"/>
      <c r="DM70" s="374"/>
      <c r="DN70" s="932"/>
      <c r="DO70" s="375">
        <v>25</v>
      </c>
      <c r="DP70" s="375"/>
      <c r="DQ70" s="376"/>
      <c r="DR70" s="376"/>
      <c r="DS70" s="371"/>
      <c r="DT70" s="371"/>
      <c r="DU70" s="371"/>
      <c r="DV70" s="371"/>
      <c r="DW70" s="371"/>
      <c r="DX70" s="371"/>
      <c r="DY70" s="371"/>
      <c r="DZ70" s="371"/>
      <c r="EA70" s="371"/>
      <c r="EB70" s="371"/>
      <c r="EC70" s="371"/>
      <c r="ED70" s="371"/>
      <c r="EE70" s="371"/>
      <c r="EF70" s="371"/>
      <c r="EG70" s="371"/>
      <c r="EH70" s="371"/>
      <c r="EI70" s="371"/>
      <c r="EJ70" s="371"/>
      <c r="EK70" s="371"/>
      <c r="EL70" s="371"/>
      <c r="EM70" s="371"/>
      <c r="EN70" s="371"/>
      <c r="EO70" s="371"/>
      <c r="EP70" s="371"/>
      <c r="EQ70" s="371"/>
      <c r="ER70" s="371"/>
      <c r="ES70" s="371"/>
      <c r="ET70" s="371"/>
      <c r="EU70" s="371"/>
      <c r="EV70" s="371"/>
      <c r="EW70" s="371"/>
      <c r="EX70" s="371"/>
      <c r="EY70" s="371"/>
      <c r="EZ70" s="371"/>
      <c r="FA70" s="377"/>
      <c r="FB70" s="378">
        <v>25</v>
      </c>
      <c r="FC70" s="378"/>
      <c r="FD70" s="379">
        <f t="shared" si="137"/>
        <v>0</v>
      </c>
      <c r="FE70" s="790"/>
    </row>
    <row r="71" spans="2:164" ht="26.1" customHeight="1" outlineLevel="1" thickBot="1" x14ac:dyDescent="0.3">
      <c r="B71" s="1018"/>
      <c r="C71" s="1020"/>
      <c r="D71" s="1036"/>
      <c r="E71" s="1039"/>
      <c r="F71" s="832" t="s">
        <v>111</v>
      </c>
      <c r="G71" s="799" t="str">
        <f>VLOOKUP(H71,инфо!AD:AE,2,FALSE)</f>
        <v>Прочее</v>
      </c>
      <c r="H71" s="575" t="s">
        <v>1197</v>
      </c>
      <c r="I71" s="590" t="s">
        <v>50</v>
      </c>
      <c r="J71" s="368"/>
      <c r="K71" s="369"/>
      <c r="L71" s="369"/>
      <c r="M71" s="369"/>
      <c r="N71" s="369"/>
      <c r="O71" s="369"/>
      <c r="P71" s="369"/>
      <c r="Q71" s="369"/>
      <c r="R71" s="369"/>
      <c r="S71" s="369"/>
      <c r="T71" s="369"/>
      <c r="U71" s="369"/>
      <c r="V71" s="369"/>
      <c r="W71" s="370"/>
      <c r="X71" s="370"/>
      <c r="Y71" s="370"/>
      <c r="Z71" s="370">
        <v>50</v>
      </c>
      <c r="AA71" s="370">
        <v>100</v>
      </c>
      <c r="AB71" s="370"/>
      <c r="AC71" s="370"/>
      <c r="AD71" s="370"/>
      <c r="AE71" s="370"/>
      <c r="AF71" s="370"/>
      <c r="AG71" s="370"/>
      <c r="AH71" s="370"/>
      <c r="AI71" s="370"/>
      <c r="AJ71" s="370"/>
      <c r="AK71" s="370"/>
      <c r="AL71" s="370"/>
      <c r="AM71" s="370"/>
      <c r="AN71" s="370"/>
      <c r="AO71" s="370"/>
      <c r="AP71" s="370"/>
      <c r="AQ71" s="370"/>
      <c r="AR71" s="370"/>
      <c r="AS71" s="370"/>
      <c r="AT71" s="370"/>
      <c r="AU71" s="370"/>
      <c r="AV71" s="370"/>
      <c r="AW71" s="370"/>
      <c r="AX71" s="370"/>
      <c r="AY71" s="370"/>
      <c r="AZ71" s="370"/>
      <c r="BA71" s="370"/>
      <c r="BB71" s="370"/>
      <c r="BC71" s="370"/>
      <c r="BD71" s="370"/>
      <c r="BE71" s="371"/>
      <c r="BF71" s="371"/>
      <c r="BG71" s="371"/>
      <c r="BH71" s="371"/>
      <c r="BI71" s="371"/>
      <c r="BJ71" s="371"/>
      <c r="BK71" s="371"/>
      <c r="BL71" s="371"/>
      <c r="BM71" s="371"/>
      <c r="BN71" s="372"/>
      <c r="BO71" s="372"/>
      <c r="BP71" s="372"/>
      <c r="BQ71" s="372"/>
      <c r="BR71" s="372"/>
      <c r="BS71" s="372"/>
      <c r="BT71" s="372"/>
      <c r="BU71" s="372"/>
      <c r="BV71" s="369"/>
      <c r="BW71" s="369"/>
      <c r="BX71" s="369"/>
      <c r="BY71" s="369"/>
      <c r="BZ71" s="369"/>
      <c r="CA71" s="369"/>
      <c r="CB71" s="369"/>
      <c r="CC71" s="373"/>
      <c r="CD71" s="373"/>
      <c r="CE71" s="373"/>
      <c r="CF71" s="373"/>
      <c r="CG71" s="373"/>
      <c r="CH71" s="373"/>
      <c r="CI71" s="373"/>
      <c r="CJ71" s="373"/>
      <c r="CK71" s="373"/>
      <c r="CL71" s="373"/>
      <c r="CM71" s="373"/>
      <c r="CN71" s="373"/>
      <c r="CO71" s="373"/>
      <c r="CP71" s="373"/>
      <c r="CQ71" s="373"/>
      <c r="CR71" s="373"/>
      <c r="CS71" s="374"/>
      <c r="CT71" s="374"/>
      <c r="CU71" s="374"/>
      <c r="CV71" s="374"/>
      <c r="CW71" s="418"/>
      <c r="CX71" s="374"/>
      <c r="CY71" s="374"/>
      <c r="CZ71" s="374"/>
      <c r="DA71" s="374"/>
      <c r="DB71" s="374"/>
      <c r="DC71" s="374"/>
      <c r="DD71" s="374"/>
      <c r="DE71" s="374"/>
      <c r="DF71" s="374"/>
      <c r="DG71" s="374"/>
      <c r="DH71" s="374"/>
      <c r="DI71" s="374"/>
      <c r="DJ71" s="374"/>
      <c r="DK71" s="374"/>
      <c r="DL71" s="374"/>
      <c r="DM71" s="374"/>
      <c r="DN71" s="932"/>
      <c r="DO71" s="375"/>
      <c r="DP71" s="375"/>
      <c r="DQ71" s="376"/>
      <c r="DR71" s="376"/>
      <c r="DS71" s="371"/>
      <c r="DT71" s="371"/>
      <c r="DU71" s="371"/>
      <c r="DV71" s="371"/>
      <c r="DW71" s="371"/>
      <c r="DX71" s="371"/>
      <c r="DY71" s="371"/>
      <c r="DZ71" s="371"/>
      <c r="EA71" s="371"/>
      <c r="EB71" s="371"/>
      <c r="EC71" s="371"/>
      <c r="ED71" s="371"/>
      <c r="EE71" s="371"/>
      <c r="EF71" s="371"/>
      <c r="EG71" s="371"/>
      <c r="EH71" s="371"/>
      <c r="EI71" s="371"/>
      <c r="EJ71" s="371"/>
      <c r="EK71" s="371"/>
      <c r="EL71" s="371"/>
      <c r="EM71" s="371"/>
      <c r="EN71" s="371"/>
      <c r="EO71" s="371"/>
      <c r="EP71" s="371"/>
      <c r="EQ71" s="371"/>
      <c r="ER71" s="371"/>
      <c r="ES71" s="371"/>
      <c r="ET71" s="371"/>
      <c r="EU71" s="371"/>
      <c r="EV71" s="371"/>
      <c r="EW71" s="371"/>
      <c r="EX71" s="371"/>
      <c r="EY71" s="371"/>
      <c r="EZ71" s="371"/>
      <c r="FA71" s="377"/>
      <c r="FB71" s="378">
        <v>150</v>
      </c>
      <c r="FC71" s="378"/>
      <c r="FD71" s="379">
        <f t="shared" si="137"/>
        <v>0</v>
      </c>
      <c r="FE71" s="790"/>
    </row>
    <row r="72" spans="2:164" ht="26.1" customHeight="1" outlineLevel="1" thickBot="1" x14ac:dyDescent="0.3">
      <c r="B72" s="1018"/>
      <c r="C72" s="1020"/>
      <c r="D72" s="1037"/>
      <c r="E72" s="1040"/>
      <c r="F72" s="834" t="s">
        <v>111</v>
      </c>
      <c r="G72" s="801" t="str">
        <f>VLOOKUP(H72,инфо!AD:AE,2,FALSE)</f>
        <v>Прочее</v>
      </c>
      <c r="H72" s="575" t="s">
        <v>1197</v>
      </c>
      <c r="I72" s="590" t="s">
        <v>56</v>
      </c>
      <c r="J72" s="380"/>
      <c r="K72" s="381"/>
      <c r="L72" s="381"/>
      <c r="M72" s="381"/>
      <c r="N72" s="381"/>
      <c r="O72" s="381"/>
      <c r="P72" s="381"/>
      <c r="Q72" s="381"/>
      <c r="R72" s="381"/>
      <c r="S72" s="381"/>
      <c r="T72" s="381"/>
      <c r="U72" s="381"/>
      <c r="V72" s="381"/>
      <c r="W72" s="382"/>
      <c r="X72" s="382"/>
      <c r="Y72" s="382"/>
      <c r="Z72" s="382"/>
      <c r="AA72" s="382"/>
      <c r="AB72" s="382"/>
      <c r="AC72" s="382"/>
      <c r="AD72" s="382"/>
      <c r="AE72" s="382"/>
      <c r="AF72" s="382"/>
      <c r="AG72" s="382"/>
      <c r="AH72" s="382"/>
      <c r="AI72" s="382"/>
      <c r="AJ72" s="382"/>
      <c r="AK72" s="382"/>
      <c r="AL72" s="382"/>
      <c r="AM72" s="382"/>
      <c r="AN72" s="382"/>
      <c r="AO72" s="382"/>
      <c r="AP72" s="382"/>
      <c r="AQ72" s="382"/>
      <c r="AR72" s="382"/>
      <c r="AS72" s="382"/>
      <c r="AT72" s="382"/>
      <c r="AU72" s="382"/>
      <c r="AV72" s="382"/>
      <c r="AW72" s="382"/>
      <c r="AX72" s="382"/>
      <c r="AY72" s="382"/>
      <c r="AZ72" s="382"/>
      <c r="BA72" s="382"/>
      <c r="BB72" s="382"/>
      <c r="BC72" s="382"/>
      <c r="BD72" s="382"/>
      <c r="BE72" s="383"/>
      <c r="BF72" s="383"/>
      <c r="BG72" s="383"/>
      <c r="BH72" s="383">
        <v>22</v>
      </c>
      <c r="BI72" s="383"/>
      <c r="BJ72" s="383"/>
      <c r="BK72" s="383"/>
      <c r="BL72" s="383"/>
      <c r="BM72" s="383"/>
      <c r="BN72" s="419"/>
      <c r="BO72" s="419"/>
      <c r="BP72" s="419"/>
      <c r="BQ72" s="419"/>
      <c r="BR72" s="419"/>
      <c r="BS72" s="419"/>
      <c r="BT72" s="419"/>
      <c r="BU72" s="384"/>
      <c r="BV72" s="381"/>
      <c r="BW72" s="381"/>
      <c r="BX72" s="381"/>
      <c r="BY72" s="381"/>
      <c r="BZ72" s="381"/>
      <c r="CA72" s="381"/>
      <c r="CB72" s="381"/>
      <c r="CC72" s="420"/>
      <c r="CD72" s="385"/>
      <c r="CE72" s="385"/>
      <c r="CF72" s="385"/>
      <c r="CG72" s="385"/>
      <c r="CH72" s="385"/>
      <c r="CI72" s="385"/>
      <c r="CJ72" s="385"/>
      <c r="CK72" s="385"/>
      <c r="CL72" s="385"/>
      <c r="CM72" s="385"/>
      <c r="CN72" s="385"/>
      <c r="CO72" s="385"/>
      <c r="CP72" s="385"/>
      <c r="CQ72" s="385"/>
      <c r="CR72" s="385"/>
      <c r="CS72" s="386"/>
      <c r="CT72" s="386"/>
      <c r="CU72" s="386"/>
      <c r="CV72" s="386"/>
      <c r="CW72" s="386"/>
      <c r="CX72" s="386"/>
      <c r="CY72" s="386"/>
      <c r="CZ72" s="386"/>
      <c r="DA72" s="386"/>
      <c r="DB72" s="386"/>
      <c r="DC72" s="386"/>
      <c r="DD72" s="386"/>
      <c r="DE72" s="386"/>
      <c r="DF72" s="386"/>
      <c r="DG72" s="386"/>
      <c r="DH72" s="386"/>
      <c r="DI72" s="386"/>
      <c r="DJ72" s="386"/>
      <c r="DK72" s="386"/>
      <c r="DL72" s="386"/>
      <c r="DM72" s="386"/>
      <c r="DN72" s="933"/>
      <c r="DO72" s="387"/>
      <c r="DP72" s="387"/>
      <c r="DQ72" s="388"/>
      <c r="DR72" s="388"/>
      <c r="DS72" s="383"/>
      <c r="DT72" s="383"/>
      <c r="DU72" s="383"/>
      <c r="DV72" s="383"/>
      <c r="DW72" s="383"/>
      <c r="DX72" s="383"/>
      <c r="DY72" s="383"/>
      <c r="DZ72" s="383"/>
      <c r="EA72" s="383"/>
      <c r="EB72" s="383"/>
      <c r="EC72" s="383"/>
      <c r="ED72" s="383"/>
      <c r="EE72" s="383"/>
      <c r="EF72" s="383"/>
      <c r="EG72" s="383"/>
      <c r="EH72" s="383"/>
      <c r="EI72" s="383"/>
      <c r="EJ72" s="383"/>
      <c r="EK72" s="383"/>
      <c r="EL72" s="383"/>
      <c r="EM72" s="383"/>
      <c r="EN72" s="383"/>
      <c r="EO72" s="383"/>
      <c r="EP72" s="383"/>
      <c r="EQ72" s="383"/>
      <c r="ER72" s="383"/>
      <c r="ES72" s="383"/>
      <c r="ET72" s="383"/>
      <c r="EU72" s="383"/>
      <c r="EV72" s="383"/>
      <c r="EW72" s="383"/>
      <c r="EX72" s="383"/>
      <c r="EY72" s="383"/>
      <c r="EZ72" s="383"/>
      <c r="FA72" s="402"/>
      <c r="FB72" s="403">
        <v>22</v>
      </c>
      <c r="FC72" s="403"/>
      <c r="FD72" s="404">
        <f t="shared" si="137"/>
        <v>110</v>
      </c>
      <c r="FE72" s="790"/>
    </row>
    <row r="73" spans="2:164" s="154" customFormat="1" ht="16.5" customHeight="1" outlineLevel="1" thickBot="1" x14ac:dyDescent="0.4">
      <c r="B73" s="1018"/>
      <c r="C73" s="1020"/>
      <c r="D73" s="145"/>
      <c r="E73" s="317" t="s">
        <v>174</v>
      </c>
      <c r="F73" s="836"/>
      <c r="G73" s="818"/>
      <c r="H73" s="576"/>
      <c r="I73" s="594"/>
      <c r="J73" s="305">
        <f>SUM(J63:J72)</f>
        <v>0</v>
      </c>
      <c r="K73" s="146">
        <f t="shared" ref="K73:CU73" si="138">SUM(K63:K72)</f>
        <v>0</v>
      </c>
      <c r="L73" s="146">
        <f t="shared" si="138"/>
        <v>0</v>
      </c>
      <c r="M73" s="146">
        <f t="shared" si="138"/>
        <v>0</v>
      </c>
      <c r="N73" s="146">
        <f t="shared" si="138"/>
        <v>0</v>
      </c>
      <c r="O73" s="146">
        <f t="shared" si="138"/>
        <v>83</v>
      </c>
      <c r="P73" s="146">
        <f t="shared" si="138"/>
        <v>0</v>
      </c>
      <c r="Q73" s="146">
        <f t="shared" si="138"/>
        <v>0</v>
      </c>
      <c r="R73" s="146">
        <f t="shared" si="138"/>
        <v>0</v>
      </c>
      <c r="S73" s="146">
        <f t="shared" si="138"/>
        <v>0</v>
      </c>
      <c r="T73" s="146">
        <f t="shared" ref="T73:V73" si="139">SUM(T63:T72)</f>
        <v>0</v>
      </c>
      <c r="U73" s="146">
        <f t="shared" si="139"/>
        <v>0</v>
      </c>
      <c r="V73" s="146">
        <f t="shared" si="139"/>
        <v>0</v>
      </c>
      <c r="W73" s="147">
        <f t="shared" si="138"/>
        <v>0</v>
      </c>
      <c r="X73" s="147">
        <f t="shared" si="138"/>
        <v>0</v>
      </c>
      <c r="Y73" s="147">
        <f t="shared" ref="Y73" si="140">SUM(Y63:Y72)</f>
        <v>0</v>
      </c>
      <c r="Z73" s="147">
        <f t="shared" si="138"/>
        <v>50</v>
      </c>
      <c r="AA73" s="147">
        <f t="shared" si="138"/>
        <v>100</v>
      </c>
      <c r="AB73" s="147">
        <f t="shared" ref="AB73:AC73" si="141">SUM(AB63:AB72)</f>
        <v>0</v>
      </c>
      <c r="AC73" s="147">
        <f t="shared" si="141"/>
        <v>0</v>
      </c>
      <c r="AD73" s="147">
        <f t="shared" si="138"/>
        <v>0</v>
      </c>
      <c r="AE73" s="147">
        <f t="shared" si="138"/>
        <v>0</v>
      </c>
      <c r="AF73" s="147">
        <f t="shared" ref="AF73:AH73" si="142">SUM(AF63:AF72)</f>
        <v>0</v>
      </c>
      <c r="AG73" s="147">
        <f t="shared" si="142"/>
        <v>0</v>
      </c>
      <c r="AH73" s="147">
        <f t="shared" si="142"/>
        <v>0</v>
      </c>
      <c r="AI73" s="147">
        <f t="shared" si="138"/>
        <v>0</v>
      </c>
      <c r="AJ73" s="147">
        <f t="shared" si="138"/>
        <v>0</v>
      </c>
      <c r="AK73" s="147">
        <f t="shared" si="138"/>
        <v>0</v>
      </c>
      <c r="AL73" s="147">
        <f t="shared" si="138"/>
        <v>0</v>
      </c>
      <c r="AM73" s="147">
        <f t="shared" ref="AM73:AS73" si="143">SUM(AM63:AM72)</f>
        <v>0</v>
      </c>
      <c r="AN73" s="147">
        <f t="shared" si="143"/>
        <v>0</v>
      </c>
      <c r="AO73" s="147">
        <f t="shared" si="143"/>
        <v>0</v>
      </c>
      <c r="AP73" s="147">
        <f t="shared" si="143"/>
        <v>0</v>
      </c>
      <c r="AQ73" s="147">
        <f t="shared" si="143"/>
        <v>0</v>
      </c>
      <c r="AR73" s="147">
        <f t="shared" si="143"/>
        <v>0</v>
      </c>
      <c r="AS73" s="147">
        <f t="shared" si="143"/>
        <v>0</v>
      </c>
      <c r="AT73" s="147">
        <f t="shared" si="138"/>
        <v>0</v>
      </c>
      <c r="AU73" s="147">
        <f t="shared" ref="AU73:BD73" si="144">SUM(AU63:AU72)</f>
        <v>0</v>
      </c>
      <c r="AV73" s="147">
        <f t="shared" si="144"/>
        <v>0</v>
      </c>
      <c r="AW73" s="147">
        <f t="shared" si="144"/>
        <v>0</v>
      </c>
      <c r="AX73" s="147">
        <f t="shared" si="144"/>
        <v>0</v>
      </c>
      <c r="AY73" s="147">
        <f t="shared" si="144"/>
        <v>0</v>
      </c>
      <c r="AZ73" s="147">
        <f t="shared" si="144"/>
        <v>0</v>
      </c>
      <c r="BA73" s="147">
        <f t="shared" si="144"/>
        <v>0</v>
      </c>
      <c r="BB73" s="147">
        <f t="shared" si="144"/>
        <v>20</v>
      </c>
      <c r="BC73" s="147">
        <f t="shared" si="144"/>
        <v>0</v>
      </c>
      <c r="BD73" s="147">
        <f t="shared" si="144"/>
        <v>0</v>
      </c>
      <c r="BE73" s="148">
        <f t="shared" ref="BE73:BP73" si="145">SUM(BE63:BE72)</f>
        <v>200</v>
      </c>
      <c r="BF73" s="148">
        <f t="shared" si="145"/>
        <v>0</v>
      </c>
      <c r="BG73" s="148">
        <f t="shared" si="145"/>
        <v>0</v>
      </c>
      <c r="BH73" s="148">
        <f t="shared" si="145"/>
        <v>22</v>
      </c>
      <c r="BI73" s="148">
        <f t="shared" ref="BI73:BL73" si="146">SUM(BI63:BI72)</f>
        <v>0</v>
      </c>
      <c r="BJ73" s="148">
        <f t="shared" si="146"/>
        <v>0</v>
      </c>
      <c r="BK73" s="148">
        <f t="shared" si="146"/>
        <v>0</v>
      </c>
      <c r="BL73" s="148">
        <f t="shared" si="146"/>
        <v>0</v>
      </c>
      <c r="BM73" s="148">
        <f t="shared" si="145"/>
        <v>0</v>
      </c>
      <c r="BN73" s="149">
        <f t="shared" si="145"/>
        <v>15</v>
      </c>
      <c r="BO73" s="149">
        <f t="shared" si="145"/>
        <v>0</v>
      </c>
      <c r="BP73" s="149">
        <f t="shared" si="145"/>
        <v>0</v>
      </c>
      <c r="BQ73" s="149">
        <f t="shared" ref="BQ73" si="147">SUM(BQ63:BQ72)</f>
        <v>0</v>
      </c>
      <c r="BR73" s="149">
        <f t="shared" ref="BR73:BU73" si="148">SUM(BR63:BR72)</f>
        <v>0</v>
      </c>
      <c r="BS73" s="149">
        <f t="shared" si="148"/>
        <v>0</v>
      </c>
      <c r="BT73" s="149">
        <f t="shared" si="148"/>
        <v>0</v>
      </c>
      <c r="BU73" s="149">
        <f t="shared" si="148"/>
        <v>0</v>
      </c>
      <c r="BV73" s="146">
        <f t="shared" ref="BV73:BX73" si="149">SUM(BV63:BV72)</f>
        <v>0</v>
      </c>
      <c r="BW73" s="146">
        <f t="shared" si="149"/>
        <v>0</v>
      </c>
      <c r="BX73" s="146">
        <f t="shared" si="149"/>
        <v>0</v>
      </c>
      <c r="BY73" s="146">
        <f t="shared" ref="BY73:BZ73" si="150">SUM(BY63:BY72)</f>
        <v>0</v>
      </c>
      <c r="BZ73" s="146">
        <f t="shared" si="150"/>
        <v>0</v>
      </c>
      <c r="CA73" s="146">
        <f t="shared" si="138"/>
        <v>0</v>
      </c>
      <c r="CB73" s="146">
        <f t="shared" si="138"/>
        <v>0</v>
      </c>
      <c r="CC73" s="265">
        <f t="shared" si="138"/>
        <v>0</v>
      </c>
      <c r="CD73" s="265">
        <f t="shared" si="138"/>
        <v>25</v>
      </c>
      <c r="CE73" s="265">
        <f t="shared" si="138"/>
        <v>0</v>
      </c>
      <c r="CF73" s="265">
        <f t="shared" si="138"/>
        <v>80</v>
      </c>
      <c r="CG73" s="265">
        <f t="shared" si="138"/>
        <v>0</v>
      </c>
      <c r="CH73" s="265">
        <f t="shared" si="138"/>
        <v>0</v>
      </c>
      <c r="CI73" s="265">
        <f t="shared" si="138"/>
        <v>0</v>
      </c>
      <c r="CJ73" s="265">
        <f t="shared" ref="CJ73" si="151">SUM(CJ63:CJ72)</f>
        <v>0</v>
      </c>
      <c r="CK73" s="265">
        <f t="shared" ref="CK73" si="152">SUM(CK63:CK72)</f>
        <v>0</v>
      </c>
      <c r="CL73" s="265">
        <f t="shared" si="138"/>
        <v>0</v>
      </c>
      <c r="CM73" s="265">
        <f t="shared" si="138"/>
        <v>0</v>
      </c>
      <c r="CN73" s="265">
        <f t="shared" ref="CN73:CQ73" si="153">SUM(CN63:CN72)</f>
        <v>0</v>
      </c>
      <c r="CO73" s="265">
        <f t="shared" si="153"/>
        <v>0</v>
      </c>
      <c r="CP73" s="265">
        <f t="shared" si="153"/>
        <v>0</v>
      </c>
      <c r="CQ73" s="265">
        <f t="shared" si="153"/>
        <v>0</v>
      </c>
      <c r="CR73" s="265">
        <f t="shared" si="138"/>
        <v>0</v>
      </c>
      <c r="CS73" s="281">
        <f t="shared" si="138"/>
        <v>0</v>
      </c>
      <c r="CT73" s="281">
        <f t="shared" ref="CT73" si="154">SUM(CT63:CT72)</f>
        <v>0</v>
      </c>
      <c r="CU73" s="281">
        <f t="shared" si="138"/>
        <v>0</v>
      </c>
      <c r="CV73" s="281">
        <f t="shared" ref="CV73:DE73" si="155">SUM(CV63:CV72)</f>
        <v>0</v>
      </c>
      <c r="CW73" s="281">
        <f t="shared" si="155"/>
        <v>0</v>
      </c>
      <c r="CX73" s="281">
        <f t="shared" si="155"/>
        <v>0</v>
      </c>
      <c r="CY73" s="281">
        <f t="shared" si="155"/>
        <v>0</v>
      </c>
      <c r="CZ73" s="281">
        <f t="shared" ref="CZ73" si="156">SUM(CZ63:CZ72)</f>
        <v>0</v>
      </c>
      <c r="DA73" s="281">
        <f t="shared" si="155"/>
        <v>0</v>
      </c>
      <c r="DB73" s="281">
        <f t="shared" si="155"/>
        <v>0</v>
      </c>
      <c r="DC73" s="281">
        <f t="shared" si="155"/>
        <v>0</v>
      </c>
      <c r="DD73" s="281">
        <f t="shared" si="155"/>
        <v>0</v>
      </c>
      <c r="DE73" s="281">
        <f t="shared" si="155"/>
        <v>0</v>
      </c>
      <c r="DF73" s="281">
        <f t="shared" ref="DF73:FD73" si="157">SUM(DF63:DF72)</f>
        <v>0</v>
      </c>
      <c r="DG73" s="281">
        <f t="shared" si="157"/>
        <v>0</v>
      </c>
      <c r="DH73" s="281">
        <f t="shared" si="157"/>
        <v>0</v>
      </c>
      <c r="DI73" s="281">
        <f t="shared" ref="DI73:DQ73" si="158">SUM(DI63:DI72)</f>
        <v>0</v>
      </c>
      <c r="DJ73" s="281">
        <f t="shared" si="158"/>
        <v>0</v>
      </c>
      <c r="DK73" s="281">
        <f t="shared" si="158"/>
        <v>0</v>
      </c>
      <c r="DL73" s="281">
        <f t="shared" si="158"/>
        <v>0</v>
      </c>
      <c r="DM73" s="281">
        <f t="shared" si="158"/>
        <v>0</v>
      </c>
      <c r="DN73" s="936">
        <f t="shared" si="158"/>
        <v>0</v>
      </c>
      <c r="DO73" s="148">
        <f t="shared" si="158"/>
        <v>50</v>
      </c>
      <c r="DP73" s="148">
        <f t="shared" si="158"/>
        <v>2</v>
      </c>
      <c r="DQ73" s="148">
        <f t="shared" si="158"/>
        <v>0</v>
      </c>
      <c r="DR73" s="148">
        <f t="shared" si="157"/>
        <v>0</v>
      </c>
      <c r="DS73" s="148">
        <f t="shared" si="157"/>
        <v>0</v>
      </c>
      <c r="DT73" s="148">
        <f t="shared" si="157"/>
        <v>0</v>
      </c>
      <c r="DU73" s="148">
        <f t="shared" si="157"/>
        <v>0</v>
      </c>
      <c r="DV73" s="148">
        <f t="shared" si="157"/>
        <v>0</v>
      </c>
      <c r="DW73" s="148">
        <f t="shared" si="157"/>
        <v>0</v>
      </c>
      <c r="DX73" s="148">
        <f t="shared" si="157"/>
        <v>0</v>
      </c>
      <c r="DY73" s="148">
        <f t="shared" ref="DY73:EO73" si="159">SUM(DY63:DY72)</f>
        <v>0</v>
      </c>
      <c r="DZ73" s="148">
        <f t="shared" si="159"/>
        <v>0</v>
      </c>
      <c r="EA73" s="148">
        <f t="shared" si="159"/>
        <v>399.4</v>
      </c>
      <c r="EB73" s="148">
        <f t="shared" si="159"/>
        <v>0</v>
      </c>
      <c r="EC73" s="148">
        <f t="shared" si="159"/>
        <v>0</v>
      </c>
      <c r="ED73" s="148">
        <f t="shared" si="159"/>
        <v>0</v>
      </c>
      <c r="EE73" s="148">
        <f t="shared" si="159"/>
        <v>0</v>
      </c>
      <c r="EF73" s="148">
        <f t="shared" si="159"/>
        <v>1.5</v>
      </c>
      <c r="EG73" s="148">
        <f t="shared" si="159"/>
        <v>0</v>
      </c>
      <c r="EH73" s="148">
        <f t="shared" si="159"/>
        <v>0</v>
      </c>
      <c r="EI73" s="148">
        <f t="shared" si="159"/>
        <v>0</v>
      </c>
      <c r="EJ73" s="148">
        <f t="shared" si="159"/>
        <v>0</v>
      </c>
      <c r="EK73" s="148">
        <f t="shared" si="159"/>
        <v>0</v>
      </c>
      <c r="EL73" s="148">
        <f t="shared" si="159"/>
        <v>0</v>
      </c>
      <c r="EM73" s="148">
        <f t="shared" si="159"/>
        <v>0</v>
      </c>
      <c r="EN73" s="148">
        <f t="shared" si="159"/>
        <v>0</v>
      </c>
      <c r="EO73" s="148">
        <f t="shared" si="159"/>
        <v>0</v>
      </c>
      <c r="EP73" s="148">
        <f t="shared" ref="EP73:EZ73" si="160">SUM(EP63:EP72)</f>
        <v>0</v>
      </c>
      <c r="EQ73" s="148">
        <f t="shared" si="160"/>
        <v>0</v>
      </c>
      <c r="ER73" s="148">
        <f t="shared" si="160"/>
        <v>0</v>
      </c>
      <c r="ES73" s="148">
        <f t="shared" si="160"/>
        <v>0</v>
      </c>
      <c r="ET73" s="148">
        <f t="shared" si="160"/>
        <v>0</v>
      </c>
      <c r="EU73" s="148">
        <f t="shared" si="160"/>
        <v>0</v>
      </c>
      <c r="EV73" s="148">
        <f t="shared" si="160"/>
        <v>0</v>
      </c>
      <c r="EW73" s="148">
        <f t="shared" si="160"/>
        <v>0</v>
      </c>
      <c r="EX73" s="148">
        <f t="shared" si="160"/>
        <v>0</v>
      </c>
      <c r="EY73" s="148">
        <f t="shared" si="160"/>
        <v>0</v>
      </c>
      <c r="EZ73" s="148">
        <f t="shared" si="160"/>
        <v>0</v>
      </c>
      <c r="FA73" s="150">
        <f t="shared" si="157"/>
        <v>430</v>
      </c>
      <c r="FB73" s="151">
        <f t="shared" si="157"/>
        <v>993</v>
      </c>
      <c r="FC73" s="151">
        <f t="shared" si="157"/>
        <v>78</v>
      </c>
      <c r="FD73" s="152">
        <f t="shared" si="157"/>
        <v>310</v>
      </c>
      <c r="FE73" s="792" t="str">
        <f>IF(FB73&lt;инфо!$AN$74,FB73-инфо!$AN$74,"")</f>
        <v/>
      </c>
      <c r="FF73" s="153"/>
      <c r="FG73" s="153"/>
      <c r="FH73" s="153"/>
    </row>
    <row r="74" spans="2:164" ht="26.1" customHeight="1" outlineLevel="1" thickBot="1" x14ac:dyDescent="0.3">
      <c r="B74" s="1018"/>
      <c r="C74" s="1020"/>
      <c r="D74" s="1033" t="s">
        <v>112</v>
      </c>
      <c r="E74" s="1042" t="s">
        <v>113</v>
      </c>
      <c r="F74" s="837" t="s">
        <v>112</v>
      </c>
      <c r="G74" s="803" t="str">
        <f>VLOOKUP(H74,инфо!AD:AE,2,FALSE)</f>
        <v>Холодные закуски</v>
      </c>
      <c r="H74" s="577" t="s">
        <v>1200</v>
      </c>
      <c r="I74" s="588" t="s">
        <v>1357</v>
      </c>
      <c r="J74" s="421"/>
      <c r="K74" s="422"/>
      <c r="L74" s="422"/>
      <c r="M74" s="422"/>
      <c r="N74" s="422"/>
      <c r="O74" s="422"/>
      <c r="P74" s="422"/>
      <c r="Q74" s="422"/>
      <c r="R74" s="422"/>
      <c r="S74" s="422"/>
      <c r="T74" s="422"/>
      <c r="U74" s="422"/>
      <c r="V74" s="422"/>
      <c r="W74" s="423"/>
      <c r="X74" s="423"/>
      <c r="Y74" s="423"/>
      <c r="Z74" s="423"/>
      <c r="AA74" s="423"/>
      <c r="AB74" s="423"/>
      <c r="AC74" s="423"/>
      <c r="AD74" s="423"/>
      <c r="AE74" s="423"/>
      <c r="AF74" s="423"/>
      <c r="AG74" s="423">
        <v>5</v>
      </c>
      <c r="AH74" s="423"/>
      <c r="AI74" s="423"/>
      <c r="AJ74" s="423"/>
      <c r="AK74" s="423"/>
      <c r="AL74" s="423"/>
      <c r="AM74" s="423"/>
      <c r="AN74" s="423"/>
      <c r="AO74" s="423"/>
      <c r="AP74" s="423"/>
      <c r="AQ74" s="423"/>
      <c r="AR74" s="423"/>
      <c r="AS74" s="423"/>
      <c r="AT74" s="423"/>
      <c r="AU74" s="423"/>
      <c r="AV74" s="423"/>
      <c r="AW74" s="423"/>
      <c r="AX74" s="423">
        <v>105</v>
      </c>
      <c r="AY74" s="423"/>
      <c r="AZ74" s="423"/>
      <c r="BA74" s="423"/>
      <c r="BB74" s="423"/>
      <c r="BC74" s="423"/>
      <c r="BD74" s="423"/>
      <c r="BE74" s="424"/>
      <c r="BF74" s="424"/>
      <c r="BG74" s="424"/>
      <c r="BH74" s="424"/>
      <c r="BI74" s="424"/>
      <c r="BJ74" s="424"/>
      <c r="BK74" s="424"/>
      <c r="BL74" s="424"/>
      <c r="BM74" s="424"/>
      <c r="BN74" s="425"/>
      <c r="BO74" s="425">
        <v>8</v>
      </c>
      <c r="BP74" s="425"/>
      <c r="BQ74" s="425"/>
      <c r="BR74" s="425"/>
      <c r="BS74" s="425"/>
      <c r="BT74" s="425"/>
      <c r="BU74" s="425"/>
      <c r="BV74" s="422"/>
      <c r="BW74" s="422"/>
      <c r="BX74" s="422"/>
      <c r="BY74" s="422"/>
      <c r="BZ74" s="422"/>
      <c r="CA74" s="422"/>
      <c r="CB74" s="422"/>
      <c r="CC74" s="426"/>
      <c r="CD74" s="426"/>
      <c r="CE74" s="426"/>
      <c r="CF74" s="426"/>
      <c r="CG74" s="426"/>
      <c r="CH74" s="426"/>
      <c r="CI74" s="426"/>
      <c r="CJ74" s="426"/>
      <c r="CK74" s="426"/>
      <c r="CL74" s="426"/>
      <c r="CM74" s="426"/>
      <c r="CN74" s="426"/>
      <c r="CO74" s="426"/>
      <c r="CP74" s="426"/>
      <c r="CQ74" s="426"/>
      <c r="CR74" s="426"/>
      <c r="CS74" s="427"/>
      <c r="CT74" s="427"/>
      <c r="CU74" s="427"/>
      <c r="CV74" s="427"/>
      <c r="CW74" s="427"/>
      <c r="CX74" s="427"/>
      <c r="CY74" s="427"/>
      <c r="CZ74" s="427"/>
      <c r="DA74" s="427"/>
      <c r="DB74" s="427"/>
      <c r="DC74" s="427"/>
      <c r="DD74" s="427"/>
      <c r="DE74" s="427"/>
      <c r="DF74" s="427"/>
      <c r="DG74" s="427"/>
      <c r="DH74" s="427"/>
      <c r="DI74" s="427"/>
      <c r="DJ74" s="427"/>
      <c r="DK74" s="427"/>
      <c r="DL74" s="427"/>
      <c r="DM74" s="427"/>
      <c r="DN74" s="937"/>
      <c r="DO74" s="428"/>
      <c r="DP74" s="428"/>
      <c r="DQ74" s="429"/>
      <c r="DR74" s="429"/>
      <c r="DS74" s="424"/>
      <c r="DT74" s="424"/>
      <c r="DU74" s="424"/>
      <c r="DV74" s="424"/>
      <c r="DW74" s="424"/>
      <c r="DX74" s="424"/>
      <c r="DY74" s="424"/>
      <c r="DZ74" s="424"/>
      <c r="EA74" s="424"/>
      <c r="EB74" s="424"/>
      <c r="EC74" s="424"/>
      <c r="ED74" s="424"/>
      <c r="EE74" s="424"/>
      <c r="EF74" s="424"/>
      <c r="EG74" s="424"/>
      <c r="EH74" s="424"/>
      <c r="EI74" s="424"/>
      <c r="EJ74" s="424"/>
      <c r="EK74" s="424"/>
      <c r="EL74" s="424"/>
      <c r="EM74" s="424"/>
      <c r="EN74" s="424"/>
      <c r="EO74" s="424"/>
      <c r="EP74" s="424"/>
      <c r="EQ74" s="424"/>
      <c r="ER74" s="424"/>
      <c r="ES74" s="424"/>
      <c r="ET74" s="424"/>
      <c r="EU74" s="424"/>
      <c r="EV74" s="424"/>
      <c r="EW74" s="424"/>
      <c r="EX74" s="424"/>
      <c r="EY74" s="424"/>
      <c r="EZ74" s="424"/>
      <c r="FA74" s="377">
        <v>62</v>
      </c>
      <c r="FB74" s="378">
        <v>110</v>
      </c>
      <c r="FC74" s="378"/>
      <c r="FD74" s="379">
        <f t="shared" ref="FD74:FD87" si="161">SUM(BE74:BG74,BI74,BL74:BM74)+SUM(BH74,BJ74,BK74)*5</f>
        <v>0</v>
      </c>
      <c r="FE74" s="790"/>
    </row>
    <row r="75" spans="2:164" ht="26.1" customHeight="1" outlineLevel="1" thickBot="1" x14ac:dyDescent="0.3">
      <c r="B75" s="1018"/>
      <c r="C75" s="1020"/>
      <c r="D75" s="1033"/>
      <c r="E75" s="1038"/>
      <c r="F75" s="838" t="s">
        <v>112</v>
      </c>
      <c r="G75" s="804" t="str">
        <f>VLOOKUP(H75,инфо!AD:AE,2,FALSE)</f>
        <v>Прочее</v>
      </c>
      <c r="H75" s="577" t="s">
        <v>1197</v>
      </c>
      <c r="I75" s="588" t="s">
        <v>142</v>
      </c>
      <c r="J75" s="430"/>
      <c r="K75" s="431"/>
      <c r="L75" s="431"/>
      <c r="M75" s="431"/>
      <c r="N75" s="431"/>
      <c r="O75" s="431"/>
      <c r="P75" s="431"/>
      <c r="Q75" s="431"/>
      <c r="R75" s="431"/>
      <c r="S75" s="431"/>
      <c r="T75" s="431"/>
      <c r="U75" s="431"/>
      <c r="V75" s="431"/>
      <c r="W75" s="432"/>
      <c r="X75" s="432"/>
      <c r="Y75" s="432"/>
      <c r="Z75" s="432"/>
      <c r="AA75" s="432"/>
      <c r="AB75" s="432"/>
      <c r="AC75" s="432"/>
      <c r="AD75" s="432"/>
      <c r="AE75" s="432"/>
      <c r="AF75" s="432"/>
      <c r="AG75" s="432"/>
      <c r="AH75" s="432"/>
      <c r="AI75" s="432"/>
      <c r="AJ75" s="432"/>
      <c r="AK75" s="432"/>
      <c r="AL75" s="432"/>
      <c r="AM75" s="432"/>
      <c r="AN75" s="432"/>
      <c r="AO75" s="432"/>
      <c r="AP75" s="432"/>
      <c r="AQ75" s="432"/>
      <c r="AR75" s="432"/>
      <c r="AS75" s="432"/>
      <c r="AT75" s="432"/>
      <c r="AU75" s="432"/>
      <c r="AV75" s="432"/>
      <c r="AW75" s="432"/>
      <c r="AX75" s="432"/>
      <c r="AY75" s="432"/>
      <c r="AZ75" s="432"/>
      <c r="BA75" s="432"/>
      <c r="BB75" s="432"/>
      <c r="BC75" s="432"/>
      <c r="BD75" s="432"/>
      <c r="BE75" s="433"/>
      <c r="BF75" s="433"/>
      <c r="BG75" s="433"/>
      <c r="BH75" s="433"/>
      <c r="BI75" s="433"/>
      <c r="BJ75" s="433"/>
      <c r="BK75" s="433"/>
      <c r="BL75" s="433"/>
      <c r="BM75" s="433"/>
      <c r="BN75" s="434"/>
      <c r="BO75" s="434"/>
      <c r="BP75" s="434"/>
      <c r="BQ75" s="434"/>
      <c r="BR75" s="434"/>
      <c r="BS75" s="434"/>
      <c r="BT75" s="434"/>
      <c r="BU75" s="434"/>
      <c r="BV75" s="431"/>
      <c r="BW75" s="431"/>
      <c r="BX75" s="431"/>
      <c r="BY75" s="431"/>
      <c r="BZ75" s="431"/>
      <c r="CA75" s="431"/>
      <c r="CB75" s="431"/>
      <c r="CC75" s="435"/>
      <c r="CD75" s="435"/>
      <c r="CE75" s="435"/>
      <c r="CF75" s="435"/>
      <c r="CG75" s="435"/>
      <c r="CH75" s="435"/>
      <c r="CI75" s="435"/>
      <c r="CJ75" s="435"/>
      <c r="CK75" s="435"/>
      <c r="CL75" s="435"/>
      <c r="CM75" s="435"/>
      <c r="CN75" s="435"/>
      <c r="CO75" s="435"/>
      <c r="CP75" s="435"/>
      <c r="CQ75" s="435"/>
      <c r="CR75" s="435"/>
      <c r="CS75" s="436"/>
      <c r="CT75" s="436"/>
      <c r="CU75" s="436"/>
      <c r="CV75" s="436"/>
      <c r="CW75" s="436"/>
      <c r="CX75" s="436"/>
      <c r="CY75" s="436"/>
      <c r="CZ75" s="436"/>
      <c r="DA75" s="436"/>
      <c r="DB75" s="436"/>
      <c r="DC75" s="436"/>
      <c r="DD75" s="436"/>
      <c r="DE75" s="436"/>
      <c r="DF75" s="436"/>
      <c r="DG75" s="436"/>
      <c r="DH75" s="436"/>
      <c r="DI75" s="436"/>
      <c r="DJ75" s="436"/>
      <c r="DK75" s="436"/>
      <c r="DL75" s="436"/>
      <c r="DM75" s="436"/>
      <c r="DN75" s="938"/>
      <c r="DO75" s="437"/>
      <c r="DP75" s="437"/>
      <c r="DQ75" s="438"/>
      <c r="DR75" s="438"/>
      <c r="DS75" s="433"/>
      <c r="DT75" s="433">
        <v>5</v>
      </c>
      <c r="DU75" s="433"/>
      <c r="DV75" s="433"/>
      <c r="DW75" s="433"/>
      <c r="DX75" s="433"/>
      <c r="DY75" s="433"/>
      <c r="DZ75" s="433"/>
      <c r="EA75" s="433"/>
      <c r="EB75" s="433"/>
      <c r="EC75" s="433"/>
      <c r="ED75" s="433"/>
      <c r="EE75" s="433"/>
      <c r="EF75" s="433"/>
      <c r="EG75" s="433"/>
      <c r="EH75" s="433"/>
      <c r="EI75" s="433"/>
      <c r="EJ75" s="433"/>
      <c r="EK75" s="433"/>
      <c r="EL75" s="433"/>
      <c r="EM75" s="433"/>
      <c r="EN75" s="433"/>
      <c r="EO75" s="433"/>
      <c r="EP75" s="433"/>
      <c r="EQ75" s="433"/>
      <c r="ER75" s="433"/>
      <c r="ES75" s="433"/>
      <c r="ET75" s="433"/>
      <c r="EU75" s="433"/>
      <c r="EV75" s="433"/>
      <c r="EW75" s="433"/>
      <c r="EX75" s="433"/>
      <c r="EY75" s="433"/>
      <c r="EZ75" s="433"/>
      <c r="FA75" s="377"/>
      <c r="FB75" s="378">
        <v>5</v>
      </c>
      <c r="FC75" s="378"/>
      <c r="FD75" s="379">
        <f t="shared" si="161"/>
        <v>0</v>
      </c>
      <c r="FE75" s="790"/>
    </row>
    <row r="76" spans="2:164" ht="26.1" customHeight="1" outlineLevel="1" thickBot="1" x14ac:dyDescent="0.3">
      <c r="B76" s="1018"/>
      <c r="C76" s="1020"/>
      <c r="D76" s="1034"/>
      <c r="E76" s="1043"/>
      <c r="F76" s="839" t="s">
        <v>112</v>
      </c>
      <c r="G76" s="805" t="str">
        <f>VLOOKUP(H76,инфо!AD:AE,2,FALSE)</f>
        <v>Прочее</v>
      </c>
      <c r="H76" s="578" t="s">
        <v>1197</v>
      </c>
      <c r="I76" s="606" t="s">
        <v>50</v>
      </c>
      <c r="J76" s="439"/>
      <c r="K76" s="440"/>
      <c r="L76" s="440"/>
      <c r="M76" s="440"/>
      <c r="N76" s="440"/>
      <c r="O76" s="440"/>
      <c r="P76" s="440"/>
      <c r="Q76" s="440"/>
      <c r="R76" s="440"/>
      <c r="S76" s="440"/>
      <c r="T76" s="440"/>
      <c r="U76" s="440"/>
      <c r="V76" s="440"/>
      <c r="W76" s="441"/>
      <c r="X76" s="441"/>
      <c r="Y76" s="441"/>
      <c r="Z76" s="441">
        <v>50</v>
      </c>
      <c r="AA76" s="441">
        <v>100</v>
      </c>
      <c r="AB76" s="441"/>
      <c r="AC76" s="441"/>
      <c r="AD76" s="441"/>
      <c r="AE76" s="441"/>
      <c r="AF76" s="441"/>
      <c r="AG76" s="441"/>
      <c r="AH76" s="441"/>
      <c r="AI76" s="441"/>
      <c r="AJ76" s="441"/>
      <c r="AK76" s="441"/>
      <c r="AL76" s="441"/>
      <c r="AM76" s="441"/>
      <c r="AN76" s="441"/>
      <c r="AO76" s="441"/>
      <c r="AP76" s="441"/>
      <c r="AQ76" s="441"/>
      <c r="AR76" s="441"/>
      <c r="AS76" s="441"/>
      <c r="AT76" s="441"/>
      <c r="AU76" s="441"/>
      <c r="AV76" s="441"/>
      <c r="AW76" s="441"/>
      <c r="AX76" s="441"/>
      <c r="AY76" s="441"/>
      <c r="AZ76" s="441"/>
      <c r="BA76" s="441"/>
      <c r="BB76" s="441"/>
      <c r="BC76" s="441"/>
      <c r="BD76" s="441"/>
      <c r="BE76" s="442"/>
      <c r="BF76" s="442"/>
      <c r="BG76" s="442"/>
      <c r="BH76" s="442"/>
      <c r="BI76" s="442"/>
      <c r="BJ76" s="442"/>
      <c r="BK76" s="442"/>
      <c r="BL76" s="442"/>
      <c r="BM76" s="442"/>
      <c r="BN76" s="443"/>
      <c r="BO76" s="443"/>
      <c r="BP76" s="443"/>
      <c r="BQ76" s="443"/>
      <c r="BR76" s="443"/>
      <c r="BS76" s="443"/>
      <c r="BT76" s="443"/>
      <c r="BU76" s="443"/>
      <c r="BV76" s="440"/>
      <c r="BW76" s="440"/>
      <c r="BX76" s="440"/>
      <c r="BY76" s="440"/>
      <c r="BZ76" s="440"/>
      <c r="CA76" s="440"/>
      <c r="CB76" s="440"/>
      <c r="CC76" s="444"/>
      <c r="CD76" s="444"/>
      <c r="CE76" s="444"/>
      <c r="CF76" s="444"/>
      <c r="CG76" s="444"/>
      <c r="CH76" s="444"/>
      <c r="CI76" s="444"/>
      <c r="CJ76" s="444"/>
      <c r="CK76" s="444"/>
      <c r="CL76" s="444"/>
      <c r="CM76" s="444"/>
      <c r="CN76" s="444"/>
      <c r="CO76" s="444"/>
      <c r="CP76" s="444"/>
      <c r="CQ76" s="444"/>
      <c r="CR76" s="444"/>
      <c r="CS76" s="445"/>
      <c r="CT76" s="445"/>
      <c r="CU76" s="445"/>
      <c r="CV76" s="445"/>
      <c r="CW76" s="445"/>
      <c r="CX76" s="445"/>
      <c r="CY76" s="445"/>
      <c r="CZ76" s="445"/>
      <c r="DA76" s="445"/>
      <c r="DB76" s="445"/>
      <c r="DC76" s="445"/>
      <c r="DD76" s="445"/>
      <c r="DE76" s="445"/>
      <c r="DF76" s="445"/>
      <c r="DG76" s="445"/>
      <c r="DH76" s="445"/>
      <c r="DI76" s="445"/>
      <c r="DJ76" s="445"/>
      <c r="DK76" s="445"/>
      <c r="DL76" s="445"/>
      <c r="DM76" s="445"/>
      <c r="DN76" s="939"/>
      <c r="DO76" s="446"/>
      <c r="DP76" s="446"/>
      <c r="DQ76" s="447"/>
      <c r="DR76" s="447"/>
      <c r="DS76" s="442"/>
      <c r="DT76" s="442"/>
      <c r="DU76" s="442"/>
      <c r="DV76" s="442"/>
      <c r="DW76" s="442"/>
      <c r="DX76" s="442"/>
      <c r="DY76" s="442"/>
      <c r="DZ76" s="442"/>
      <c r="EA76" s="442"/>
      <c r="EB76" s="442"/>
      <c r="EC76" s="442"/>
      <c r="ED76" s="442"/>
      <c r="EE76" s="442"/>
      <c r="EF76" s="442"/>
      <c r="EG76" s="442"/>
      <c r="EH76" s="442"/>
      <c r="EI76" s="442"/>
      <c r="EJ76" s="442"/>
      <c r="EK76" s="442"/>
      <c r="EL76" s="442"/>
      <c r="EM76" s="442"/>
      <c r="EN76" s="442"/>
      <c r="EO76" s="442"/>
      <c r="EP76" s="442"/>
      <c r="EQ76" s="442"/>
      <c r="ER76" s="442"/>
      <c r="ES76" s="442"/>
      <c r="ET76" s="442"/>
      <c r="EU76" s="442"/>
      <c r="EV76" s="442"/>
      <c r="EW76" s="442"/>
      <c r="EX76" s="442"/>
      <c r="EY76" s="442"/>
      <c r="EZ76" s="442"/>
      <c r="FA76" s="389"/>
      <c r="FB76" s="390">
        <v>150</v>
      </c>
      <c r="FC76" s="390"/>
      <c r="FD76" s="391">
        <f t="shared" si="161"/>
        <v>0</v>
      </c>
      <c r="FE76" s="790"/>
    </row>
    <row r="77" spans="2:164" ht="26.1" customHeight="1" outlineLevel="1" thickBot="1" x14ac:dyDescent="0.3">
      <c r="B77" s="1018"/>
      <c r="C77" s="1020"/>
      <c r="D77" s="1034"/>
      <c r="E77" s="1038" t="s">
        <v>114</v>
      </c>
      <c r="F77" s="837" t="s">
        <v>112</v>
      </c>
      <c r="G77" s="803" t="str">
        <f>VLOOKUP(H77,инфо!AD:AE,2,FALSE)</f>
        <v>Первые блюда</v>
      </c>
      <c r="H77" s="579" t="s">
        <v>1204</v>
      </c>
      <c r="I77" s="588" t="s">
        <v>1316</v>
      </c>
      <c r="J77" s="448"/>
      <c r="K77" s="449"/>
      <c r="L77" s="449"/>
      <c r="M77" s="449"/>
      <c r="N77" s="449"/>
      <c r="O77" s="449">
        <v>20</v>
      </c>
      <c r="P77" s="449"/>
      <c r="Q77" s="449"/>
      <c r="R77" s="449"/>
      <c r="S77" s="449"/>
      <c r="T77" s="449"/>
      <c r="U77" s="449"/>
      <c r="V77" s="449"/>
      <c r="W77" s="450"/>
      <c r="X77" s="450"/>
      <c r="Y77" s="450"/>
      <c r="Z77" s="450"/>
      <c r="AA77" s="450"/>
      <c r="AB77" s="450"/>
      <c r="AC77" s="450"/>
      <c r="AD77" s="450">
        <v>130</v>
      </c>
      <c r="AE77" s="450"/>
      <c r="AF77" s="450">
        <v>5</v>
      </c>
      <c r="AG77" s="450">
        <v>5</v>
      </c>
      <c r="AH77" s="450"/>
      <c r="AI77" s="450"/>
      <c r="AJ77" s="450"/>
      <c r="AK77" s="450"/>
      <c r="AL77" s="450"/>
      <c r="AM77" s="450"/>
      <c r="AN77" s="450"/>
      <c r="AO77" s="450">
        <v>5</v>
      </c>
      <c r="AP77" s="450"/>
      <c r="AQ77" s="450"/>
      <c r="AR77" s="450"/>
      <c r="AS77" s="450"/>
      <c r="AT77" s="450"/>
      <c r="AU77" s="450"/>
      <c r="AV77" s="450">
        <v>60</v>
      </c>
      <c r="AW77" s="450"/>
      <c r="AX77" s="450"/>
      <c r="AY77" s="450"/>
      <c r="AZ77" s="450"/>
      <c r="BA77" s="450"/>
      <c r="BB77" s="450"/>
      <c r="BC77" s="450"/>
      <c r="BD77" s="450"/>
      <c r="BE77" s="451"/>
      <c r="BF77" s="451"/>
      <c r="BG77" s="451"/>
      <c r="BH77" s="451"/>
      <c r="BI77" s="451"/>
      <c r="BJ77" s="451">
        <v>5</v>
      </c>
      <c r="BK77" s="451"/>
      <c r="BL77" s="451"/>
      <c r="BM77" s="451"/>
      <c r="BN77" s="452"/>
      <c r="BO77" s="452">
        <v>5</v>
      </c>
      <c r="BP77" s="452"/>
      <c r="BQ77" s="452"/>
      <c r="BR77" s="452"/>
      <c r="BS77" s="452"/>
      <c r="BT77" s="452"/>
      <c r="BU77" s="452"/>
      <c r="BV77" s="449"/>
      <c r="BW77" s="449"/>
      <c r="BX77" s="449"/>
      <c r="BY77" s="449"/>
      <c r="BZ77" s="449"/>
      <c r="CA77" s="449"/>
      <c r="CB77" s="449"/>
      <c r="CC77" s="453"/>
      <c r="CD77" s="453"/>
      <c r="CE77" s="453"/>
      <c r="CF77" s="453"/>
      <c r="CG77" s="453"/>
      <c r="CH77" s="453"/>
      <c r="CI77" s="453"/>
      <c r="CJ77" s="453"/>
      <c r="CK77" s="453"/>
      <c r="CL77" s="453"/>
      <c r="CM77" s="453"/>
      <c r="CN77" s="453"/>
      <c r="CO77" s="453"/>
      <c r="CP77" s="453"/>
      <c r="CQ77" s="453"/>
      <c r="CR77" s="453"/>
      <c r="CS77" s="454"/>
      <c r="CT77" s="454"/>
      <c r="CU77" s="454"/>
      <c r="CV77" s="454"/>
      <c r="CW77" s="454"/>
      <c r="CX77" s="454"/>
      <c r="CY77" s="454"/>
      <c r="CZ77" s="454"/>
      <c r="DA77" s="454"/>
      <c r="DB77" s="454"/>
      <c r="DC77" s="454"/>
      <c r="DD77" s="454"/>
      <c r="DE77" s="454"/>
      <c r="DF77" s="454"/>
      <c r="DG77" s="454"/>
      <c r="DH77" s="454"/>
      <c r="DI77" s="454"/>
      <c r="DJ77" s="454"/>
      <c r="DK77" s="454"/>
      <c r="DL77" s="454"/>
      <c r="DM77" s="454"/>
      <c r="DN77" s="940"/>
      <c r="DO77" s="455"/>
      <c r="DP77" s="455">
        <v>4</v>
      </c>
      <c r="DQ77" s="456">
        <v>0.02</v>
      </c>
      <c r="DR77" s="456">
        <v>0.05</v>
      </c>
      <c r="DS77" s="451"/>
      <c r="DT77" s="451"/>
      <c r="DU77" s="451"/>
      <c r="DV77" s="451"/>
      <c r="DW77" s="451"/>
      <c r="DX77" s="451"/>
      <c r="DY77" s="451"/>
      <c r="DZ77" s="451"/>
      <c r="EA77" s="451"/>
      <c r="EB77" s="451">
        <v>400</v>
      </c>
      <c r="EC77" s="451"/>
      <c r="ED77" s="451"/>
      <c r="EE77" s="451"/>
      <c r="EF77" s="451"/>
      <c r="EG77" s="451"/>
      <c r="EH77" s="451"/>
      <c r="EI77" s="451"/>
      <c r="EJ77" s="451"/>
      <c r="EK77" s="451"/>
      <c r="EL77" s="451"/>
      <c r="EM77" s="451"/>
      <c r="EN77" s="451"/>
      <c r="EO77" s="451"/>
      <c r="EP77" s="451"/>
      <c r="EQ77" s="451"/>
      <c r="ER77" s="451"/>
      <c r="ES77" s="451"/>
      <c r="ET77" s="451"/>
      <c r="EU77" s="451"/>
      <c r="EV77" s="451"/>
      <c r="EW77" s="451"/>
      <c r="EX77" s="451"/>
      <c r="EY77" s="451"/>
      <c r="EZ77" s="451"/>
      <c r="FA77" s="364">
        <v>298</v>
      </c>
      <c r="FB77" s="365">
        <v>595</v>
      </c>
      <c r="FC77" s="365"/>
      <c r="FD77" s="367">
        <f t="shared" si="161"/>
        <v>25</v>
      </c>
      <c r="FE77" s="790"/>
    </row>
    <row r="78" spans="2:164" ht="26.1" customHeight="1" outlineLevel="1" thickBot="1" x14ac:dyDescent="0.3">
      <c r="B78" s="1018"/>
      <c r="C78" s="1020"/>
      <c r="D78" s="1034"/>
      <c r="E78" s="1038"/>
      <c r="F78" s="838" t="s">
        <v>112</v>
      </c>
      <c r="G78" s="804" t="str">
        <f>VLOOKUP(H78,инфо!AD:AE,2,FALSE)</f>
        <v>Мясные (рыбные) блюда с соусом</v>
      </c>
      <c r="H78" s="580" t="s">
        <v>1207</v>
      </c>
      <c r="I78" s="574"/>
      <c r="J78" s="430"/>
      <c r="K78" s="431"/>
      <c r="L78" s="431"/>
      <c r="M78" s="431"/>
      <c r="N78" s="431"/>
      <c r="O78" s="431"/>
      <c r="P78" s="431"/>
      <c r="Q78" s="431"/>
      <c r="R78" s="431"/>
      <c r="S78" s="431"/>
      <c r="T78" s="431"/>
      <c r="U78" s="431"/>
      <c r="V78" s="431"/>
      <c r="W78" s="432"/>
      <c r="X78" s="432"/>
      <c r="Y78" s="432"/>
      <c r="Z78" s="432"/>
      <c r="AA78" s="432"/>
      <c r="AB78" s="432"/>
      <c r="AC78" s="432"/>
      <c r="AD78" s="432"/>
      <c r="AE78" s="432"/>
      <c r="AF78" s="432"/>
      <c r="AG78" s="432"/>
      <c r="AH78" s="432"/>
      <c r="AI78" s="432"/>
      <c r="AJ78" s="432"/>
      <c r="AK78" s="432"/>
      <c r="AL78" s="432"/>
      <c r="AM78" s="432"/>
      <c r="AN78" s="432"/>
      <c r="AO78" s="432"/>
      <c r="AP78" s="432"/>
      <c r="AQ78" s="432"/>
      <c r="AR78" s="432"/>
      <c r="AS78" s="432"/>
      <c r="AT78" s="432"/>
      <c r="AU78" s="432"/>
      <c r="AV78" s="432"/>
      <c r="AW78" s="432"/>
      <c r="AX78" s="432"/>
      <c r="AY78" s="432"/>
      <c r="AZ78" s="432"/>
      <c r="BA78" s="432"/>
      <c r="BB78" s="432"/>
      <c r="BC78" s="432"/>
      <c r="BD78" s="432"/>
      <c r="BE78" s="433"/>
      <c r="BF78" s="433"/>
      <c r="BG78" s="433"/>
      <c r="BH78" s="433"/>
      <c r="BI78" s="433"/>
      <c r="BJ78" s="433"/>
      <c r="BK78" s="433"/>
      <c r="BL78" s="433"/>
      <c r="BM78" s="433"/>
      <c r="BN78" s="434"/>
      <c r="BO78" s="434"/>
      <c r="BP78" s="434"/>
      <c r="BQ78" s="434"/>
      <c r="BR78" s="434"/>
      <c r="BS78" s="434"/>
      <c r="BT78" s="434"/>
      <c r="BU78" s="434"/>
      <c r="BV78" s="431"/>
      <c r="BW78" s="431"/>
      <c r="BX78" s="431"/>
      <c r="BY78" s="431"/>
      <c r="BZ78" s="431"/>
      <c r="CA78" s="431"/>
      <c r="CB78" s="431"/>
      <c r="CC78" s="435"/>
      <c r="CD78" s="435"/>
      <c r="CE78" s="435"/>
      <c r="CF78" s="435"/>
      <c r="CG78" s="435"/>
      <c r="CH78" s="435"/>
      <c r="CI78" s="435"/>
      <c r="CJ78" s="435"/>
      <c r="CK78" s="435"/>
      <c r="CL78" s="435"/>
      <c r="CM78" s="435"/>
      <c r="CN78" s="435"/>
      <c r="CO78" s="435"/>
      <c r="CP78" s="435"/>
      <c r="CQ78" s="435"/>
      <c r="CR78" s="435"/>
      <c r="CS78" s="436"/>
      <c r="CT78" s="436"/>
      <c r="CU78" s="436"/>
      <c r="CV78" s="436"/>
      <c r="CW78" s="436"/>
      <c r="CX78" s="436"/>
      <c r="CY78" s="436"/>
      <c r="CZ78" s="436"/>
      <c r="DA78" s="436"/>
      <c r="DB78" s="436"/>
      <c r="DC78" s="436"/>
      <c r="DD78" s="436"/>
      <c r="DE78" s="436"/>
      <c r="DF78" s="436"/>
      <c r="DG78" s="436"/>
      <c r="DH78" s="436"/>
      <c r="DI78" s="436"/>
      <c r="DJ78" s="436"/>
      <c r="DK78" s="436"/>
      <c r="DL78" s="436"/>
      <c r="DM78" s="436"/>
      <c r="DN78" s="938"/>
      <c r="DO78" s="437"/>
      <c r="DP78" s="437"/>
      <c r="DQ78" s="438"/>
      <c r="DR78" s="438"/>
      <c r="DS78" s="433"/>
      <c r="DT78" s="433"/>
      <c r="DU78" s="433"/>
      <c r="DV78" s="433"/>
      <c r="DW78" s="433"/>
      <c r="DX78" s="433"/>
      <c r="DY78" s="433"/>
      <c r="DZ78" s="433"/>
      <c r="EA78" s="433"/>
      <c r="EB78" s="433"/>
      <c r="EC78" s="433"/>
      <c r="ED78" s="433"/>
      <c r="EE78" s="433"/>
      <c r="EF78" s="433"/>
      <c r="EG78" s="433"/>
      <c r="EH78" s="433"/>
      <c r="EI78" s="433"/>
      <c r="EJ78" s="433"/>
      <c r="EK78" s="433"/>
      <c r="EL78" s="433"/>
      <c r="EM78" s="433"/>
      <c r="EN78" s="433"/>
      <c r="EO78" s="433"/>
      <c r="EP78" s="433"/>
      <c r="EQ78" s="433"/>
      <c r="ER78" s="433"/>
      <c r="ES78" s="433"/>
      <c r="ET78" s="433"/>
      <c r="EU78" s="433"/>
      <c r="EV78" s="433"/>
      <c r="EW78" s="433"/>
      <c r="EX78" s="433"/>
      <c r="EY78" s="433"/>
      <c r="EZ78" s="433"/>
      <c r="FA78" s="377"/>
      <c r="FB78" s="378"/>
      <c r="FC78" s="378"/>
      <c r="FD78" s="379">
        <f t="shared" si="161"/>
        <v>0</v>
      </c>
      <c r="FE78" s="790"/>
    </row>
    <row r="79" spans="2:164" ht="26.1" customHeight="1" outlineLevel="1" thickBot="1" x14ac:dyDescent="0.3">
      <c r="B79" s="1018"/>
      <c r="C79" s="1020"/>
      <c r="D79" s="1034"/>
      <c r="E79" s="1038"/>
      <c r="F79" s="840" t="s">
        <v>112</v>
      </c>
      <c r="G79" s="806" t="str">
        <f>VLOOKUP(H79,инфо!AD:AE,2,FALSE)</f>
        <v>Гарниры</v>
      </c>
      <c r="H79" s="581" t="s">
        <v>1198</v>
      </c>
      <c r="I79" s="573"/>
      <c r="J79" s="457"/>
      <c r="K79" s="458"/>
      <c r="L79" s="458"/>
      <c r="M79" s="458"/>
      <c r="N79" s="458"/>
      <c r="O79" s="458"/>
      <c r="P79" s="458"/>
      <c r="Q79" s="458"/>
      <c r="R79" s="458"/>
      <c r="S79" s="458"/>
      <c r="T79" s="458"/>
      <c r="U79" s="458"/>
      <c r="V79" s="458"/>
      <c r="W79" s="459"/>
      <c r="X79" s="459"/>
      <c r="Y79" s="459"/>
      <c r="Z79" s="459"/>
      <c r="AA79" s="459"/>
      <c r="AB79" s="459"/>
      <c r="AC79" s="459"/>
      <c r="AD79" s="459"/>
      <c r="AE79" s="459"/>
      <c r="AF79" s="459"/>
      <c r="AG79" s="459"/>
      <c r="AH79" s="459"/>
      <c r="AI79" s="459"/>
      <c r="AJ79" s="459"/>
      <c r="AK79" s="459"/>
      <c r="AL79" s="459"/>
      <c r="AM79" s="459"/>
      <c r="AN79" s="459"/>
      <c r="AO79" s="459"/>
      <c r="AP79" s="459"/>
      <c r="AQ79" s="459"/>
      <c r="AR79" s="459"/>
      <c r="AS79" s="459"/>
      <c r="AT79" s="459"/>
      <c r="AU79" s="459"/>
      <c r="AV79" s="459"/>
      <c r="AW79" s="459"/>
      <c r="AX79" s="459"/>
      <c r="AY79" s="459"/>
      <c r="AZ79" s="459"/>
      <c r="BA79" s="459"/>
      <c r="BB79" s="459"/>
      <c r="BC79" s="459"/>
      <c r="BD79" s="459"/>
      <c r="BE79" s="460"/>
      <c r="BF79" s="460"/>
      <c r="BG79" s="460"/>
      <c r="BH79" s="460"/>
      <c r="BI79" s="460"/>
      <c r="BJ79" s="460"/>
      <c r="BK79" s="460"/>
      <c r="BL79" s="460"/>
      <c r="BM79" s="460"/>
      <c r="BN79" s="461"/>
      <c r="BO79" s="461"/>
      <c r="BP79" s="461"/>
      <c r="BQ79" s="461"/>
      <c r="BR79" s="461"/>
      <c r="BS79" s="461"/>
      <c r="BT79" s="461"/>
      <c r="BU79" s="461"/>
      <c r="BV79" s="458"/>
      <c r="BW79" s="458"/>
      <c r="BX79" s="458"/>
      <c r="BY79" s="458"/>
      <c r="BZ79" s="458"/>
      <c r="CA79" s="458"/>
      <c r="CB79" s="458"/>
      <c r="CC79" s="462"/>
      <c r="CD79" s="462"/>
      <c r="CE79" s="462"/>
      <c r="CF79" s="462"/>
      <c r="CG79" s="462"/>
      <c r="CH79" s="462"/>
      <c r="CI79" s="462"/>
      <c r="CJ79" s="462"/>
      <c r="CK79" s="462"/>
      <c r="CL79" s="462"/>
      <c r="CM79" s="462"/>
      <c r="CN79" s="462"/>
      <c r="CO79" s="462"/>
      <c r="CP79" s="462"/>
      <c r="CQ79" s="462"/>
      <c r="CR79" s="462"/>
      <c r="CS79" s="463"/>
      <c r="CT79" s="463"/>
      <c r="CU79" s="463"/>
      <c r="CV79" s="463"/>
      <c r="CW79" s="463"/>
      <c r="CX79" s="463"/>
      <c r="CY79" s="463"/>
      <c r="CZ79" s="463"/>
      <c r="DA79" s="463"/>
      <c r="DB79" s="463"/>
      <c r="DC79" s="463"/>
      <c r="DD79" s="463"/>
      <c r="DE79" s="463"/>
      <c r="DF79" s="463"/>
      <c r="DG79" s="463"/>
      <c r="DH79" s="463"/>
      <c r="DI79" s="463"/>
      <c r="DJ79" s="463"/>
      <c r="DK79" s="463"/>
      <c r="DL79" s="463"/>
      <c r="DM79" s="463"/>
      <c r="DN79" s="941"/>
      <c r="DO79" s="464"/>
      <c r="DP79" s="464"/>
      <c r="DQ79" s="465"/>
      <c r="DR79" s="465"/>
      <c r="DS79" s="460"/>
      <c r="DT79" s="460"/>
      <c r="DU79" s="460"/>
      <c r="DV79" s="460"/>
      <c r="DW79" s="460"/>
      <c r="DX79" s="460"/>
      <c r="DY79" s="460"/>
      <c r="DZ79" s="460"/>
      <c r="EA79" s="460"/>
      <c r="EB79" s="460"/>
      <c r="EC79" s="460"/>
      <c r="ED79" s="460"/>
      <c r="EE79" s="460"/>
      <c r="EF79" s="460"/>
      <c r="EG79" s="460"/>
      <c r="EH79" s="460"/>
      <c r="EI79" s="460"/>
      <c r="EJ79" s="460"/>
      <c r="EK79" s="460"/>
      <c r="EL79" s="460"/>
      <c r="EM79" s="460"/>
      <c r="EN79" s="460"/>
      <c r="EO79" s="460"/>
      <c r="EP79" s="460"/>
      <c r="EQ79" s="460"/>
      <c r="ER79" s="460"/>
      <c r="ES79" s="460"/>
      <c r="ET79" s="460"/>
      <c r="EU79" s="460"/>
      <c r="EV79" s="460"/>
      <c r="EW79" s="460"/>
      <c r="EX79" s="460"/>
      <c r="EY79" s="460"/>
      <c r="EZ79" s="460"/>
      <c r="FA79" s="402"/>
      <c r="FB79" s="403"/>
      <c r="FC79" s="403"/>
      <c r="FD79" s="404">
        <f t="shared" si="161"/>
        <v>0</v>
      </c>
      <c r="FE79" s="790"/>
    </row>
    <row r="80" spans="2:164" ht="26.1" customHeight="1" outlineLevel="1" thickBot="1" x14ac:dyDescent="0.3">
      <c r="B80" s="1018"/>
      <c r="C80" s="1020"/>
      <c r="D80" s="1034"/>
      <c r="E80" s="1038" t="s">
        <v>115</v>
      </c>
      <c r="F80" s="837" t="s">
        <v>112</v>
      </c>
      <c r="G80" s="803" t="str">
        <f>VLOOKUP(H80,инфо!AD:AE,2,FALSE)</f>
        <v>Мясные (рыбные) блюда с соусом</v>
      </c>
      <c r="H80" s="579" t="s">
        <v>1196</v>
      </c>
      <c r="I80" s="588" t="s">
        <v>1173</v>
      </c>
      <c r="J80" s="448"/>
      <c r="K80" s="449"/>
      <c r="L80" s="449"/>
      <c r="M80" s="449"/>
      <c r="N80" s="449"/>
      <c r="O80" s="449"/>
      <c r="P80" s="449"/>
      <c r="Q80" s="449"/>
      <c r="R80" s="449"/>
      <c r="S80" s="449"/>
      <c r="T80" s="449"/>
      <c r="U80" s="449"/>
      <c r="V80" s="449"/>
      <c r="W80" s="450"/>
      <c r="X80" s="466">
        <v>0.64</v>
      </c>
      <c r="Y80" s="450"/>
      <c r="Z80" s="450"/>
      <c r="AA80" s="450"/>
      <c r="AB80" s="450"/>
      <c r="AC80" s="450"/>
      <c r="AD80" s="450"/>
      <c r="AE80" s="450"/>
      <c r="AF80" s="450">
        <v>3.2</v>
      </c>
      <c r="AG80" s="450">
        <v>7.2</v>
      </c>
      <c r="AH80" s="450"/>
      <c r="AI80" s="450"/>
      <c r="AJ80" s="450"/>
      <c r="AK80" s="450"/>
      <c r="AL80" s="450"/>
      <c r="AM80" s="450"/>
      <c r="AN80" s="450"/>
      <c r="AO80" s="450"/>
      <c r="AP80" s="450"/>
      <c r="AQ80" s="450"/>
      <c r="AR80" s="450"/>
      <c r="AS80" s="450"/>
      <c r="AT80" s="450"/>
      <c r="AU80" s="450"/>
      <c r="AV80" s="450">
        <v>4</v>
      </c>
      <c r="AW80" s="450"/>
      <c r="AX80" s="450"/>
      <c r="AY80" s="450"/>
      <c r="AZ80" s="450"/>
      <c r="BA80" s="450"/>
      <c r="BB80" s="450"/>
      <c r="BC80" s="450"/>
      <c r="BD80" s="450"/>
      <c r="BE80" s="451"/>
      <c r="BF80" s="451"/>
      <c r="BG80" s="451"/>
      <c r="BH80" s="451"/>
      <c r="BI80" s="451"/>
      <c r="BJ80" s="451"/>
      <c r="BK80" s="451"/>
      <c r="BL80" s="451"/>
      <c r="BM80" s="451"/>
      <c r="BN80" s="452"/>
      <c r="BO80" s="452">
        <v>1.44</v>
      </c>
      <c r="BP80" s="452"/>
      <c r="BQ80" s="452"/>
      <c r="BR80" s="452"/>
      <c r="BS80" s="452"/>
      <c r="BT80" s="452"/>
      <c r="BU80" s="452"/>
      <c r="BV80" s="449"/>
      <c r="BW80" s="449"/>
      <c r="BX80" s="449"/>
      <c r="BY80" s="449"/>
      <c r="BZ80" s="449"/>
      <c r="CA80" s="449"/>
      <c r="CB80" s="449"/>
      <c r="CC80" s="453"/>
      <c r="CD80" s="453"/>
      <c r="CE80" s="453"/>
      <c r="CF80" s="453"/>
      <c r="CG80" s="453"/>
      <c r="CH80" s="453"/>
      <c r="CI80" s="453"/>
      <c r="CJ80" s="453"/>
      <c r="CK80" s="453"/>
      <c r="CL80" s="453"/>
      <c r="CM80" s="453"/>
      <c r="CN80" s="453"/>
      <c r="CO80" s="453"/>
      <c r="CP80" s="453"/>
      <c r="CQ80" s="453"/>
      <c r="CR80" s="453"/>
      <c r="CS80" s="454"/>
      <c r="CT80" s="454"/>
      <c r="CU80" s="454"/>
      <c r="CV80" s="454"/>
      <c r="CW80" s="454"/>
      <c r="CX80" s="454"/>
      <c r="CY80" s="454"/>
      <c r="CZ80" s="454"/>
      <c r="DA80" s="454"/>
      <c r="DB80" s="454"/>
      <c r="DC80" s="454"/>
      <c r="DD80" s="454"/>
      <c r="DE80" s="454"/>
      <c r="DF80" s="454"/>
      <c r="DG80" s="454"/>
      <c r="DH80" s="454"/>
      <c r="DI80" s="454"/>
      <c r="DJ80" s="454"/>
      <c r="DK80" s="454"/>
      <c r="DL80" s="454"/>
      <c r="DM80" s="454"/>
      <c r="DN80" s="940"/>
      <c r="DO80" s="455"/>
      <c r="DP80" s="455">
        <v>0.16</v>
      </c>
      <c r="DQ80" s="456">
        <v>7.1999999999999998E-3</v>
      </c>
      <c r="DR80" s="456">
        <v>1.7999999999999999E-2</v>
      </c>
      <c r="DS80" s="451">
        <v>0.64</v>
      </c>
      <c r="DT80" s="451"/>
      <c r="DU80" s="451"/>
      <c r="DV80" s="451"/>
      <c r="DW80" s="451">
        <v>0.8</v>
      </c>
      <c r="DX80" s="451"/>
      <c r="DY80" s="451"/>
      <c r="DZ80" s="451"/>
      <c r="EA80" s="451"/>
      <c r="EB80" s="451">
        <v>12.8</v>
      </c>
      <c r="EC80" s="451"/>
      <c r="ED80" s="451"/>
      <c r="EE80" s="451"/>
      <c r="EF80" s="451"/>
      <c r="EG80" s="451"/>
      <c r="EH80" s="451"/>
      <c r="EI80" s="451"/>
      <c r="EJ80" s="451"/>
      <c r="EK80" s="451"/>
      <c r="EL80" s="451"/>
      <c r="EM80" s="451"/>
      <c r="EN80" s="451"/>
      <c r="EO80" s="451"/>
      <c r="EP80" s="451"/>
      <c r="EQ80" s="451"/>
      <c r="ER80" s="451"/>
      <c r="ES80" s="451"/>
      <c r="ET80" s="451"/>
      <c r="EU80" s="451"/>
      <c r="EV80" s="451"/>
      <c r="EW80" s="451"/>
      <c r="EX80" s="451"/>
      <c r="EY80" s="451"/>
      <c r="EZ80" s="451"/>
      <c r="FA80" s="364"/>
      <c r="FB80" s="365">
        <v>20</v>
      </c>
      <c r="FC80" s="365"/>
      <c r="FD80" s="367">
        <f t="shared" si="161"/>
        <v>0</v>
      </c>
      <c r="FE80" s="790"/>
    </row>
    <row r="81" spans="2:164" ht="26.1" customHeight="1" outlineLevel="1" thickBot="1" x14ac:dyDescent="0.3">
      <c r="B81" s="1018"/>
      <c r="C81" s="1020"/>
      <c r="D81" s="1034"/>
      <c r="E81" s="1038"/>
      <c r="F81" s="838" t="s">
        <v>112</v>
      </c>
      <c r="G81" s="804" t="str">
        <f>VLOOKUP(H81,инфо!AD:AE,2,FALSE)</f>
        <v>Мясные (рыбные) блюда с соусом</v>
      </c>
      <c r="H81" s="580" t="s">
        <v>1207</v>
      </c>
      <c r="I81" s="588" t="s">
        <v>712</v>
      </c>
      <c r="J81" s="430"/>
      <c r="K81" s="431"/>
      <c r="L81" s="431"/>
      <c r="M81" s="431"/>
      <c r="N81" s="431"/>
      <c r="O81" s="431"/>
      <c r="P81" s="431"/>
      <c r="Q81" s="431"/>
      <c r="R81" s="431"/>
      <c r="S81" s="431"/>
      <c r="T81" s="431"/>
      <c r="U81" s="431"/>
      <c r="V81" s="431"/>
      <c r="W81" s="432"/>
      <c r="X81" s="432"/>
      <c r="Y81" s="432"/>
      <c r="Z81" s="432"/>
      <c r="AA81" s="432"/>
      <c r="AB81" s="432"/>
      <c r="AC81" s="432"/>
      <c r="AD81" s="432"/>
      <c r="AE81" s="432"/>
      <c r="AF81" s="432"/>
      <c r="AG81" s="432"/>
      <c r="AH81" s="432"/>
      <c r="AI81" s="432"/>
      <c r="AJ81" s="432"/>
      <c r="AK81" s="432"/>
      <c r="AL81" s="432"/>
      <c r="AM81" s="432"/>
      <c r="AN81" s="432"/>
      <c r="AO81" s="432"/>
      <c r="AP81" s="432"/>
      <c r="AQ81" s="432"/>
      <c r="AR81" s="432"/>
      <c r="AS81" s="432"/>
      <c r="AT81" s="432"/>
      <c r="AU81" s="432"/>
      <c r="AV81" s="432"/>
      <c r="AW81" s="432"/>
      <c r="AX81" s="432"/>
      <c r="AY81" s="432"/>
      <c r="AZ81" s="432"/>
      <c r="BA81" s="432"/>
      <c r="BB81" s="432"/>
      <c r="BC81" s="432"/>
      <c r="BD81" s="432"/>
      <c r="BE81" s="433"/>
      <c r="BF81" s="433"/>
      <c r="BG81" s="433"/>
      <c r="BH81" s="433"/>
      <c r="BI81" s="433"/>
      <c r="BJ81" s="433"/>
      <c r="BK81" s="433"/>
      <c r="BL81" s="433"/>
      <c r="BM81" s="433"/>
      <c r="BN81" s="434"/>
      <c r="BO81" s="434">
        <v>3</v>
      </c>
      <c r="BP81" s="434"/>
      <c r="BQ81" s="434"/>
      <c r="BR81" s="434"/>
      <c r="BS81" s="434"/>
      <c r="BT81" s="434"/>
      <c r="BU81" s="434"/>
      <c r="BV81" s="431"/>
      <c r="BW81" s="431">
        <v>100</v>
      </c>
      <c r="BX81" s="431"/>
      <c r="BY81" s="431"/>
      <c r="BZ81" s="431"/>
      <c r="CA81" s="431"/>
      <c r="CB81" s="431"/>
      <c r="CC81" s="435"/>
      <c r="CD81" s="435"/>
      <c r="CE81" s="435"/>
      <c r="CF81" s="435"/>
      <c r="CG81" s="435"/>
      <c r="CH81" s="435"/>
      <c r="CI81" s="435"/>
      <c r="CJ81" s="435"/>
      <c r="CK81" s="435"/>
      <c r="CL81" s="435"/>
      <c r="CM81" s="435"/>
      <c r="CN81" s="435"/>
      <c r="CO81" s="435"/>
      <c r="CP81" s="435"/>
      <c r="CQ81" s="435"/>
      <c r="CR81" s="435"/>
      <c r="CS81" s="436"/>
      <c r="CT81" s="436"/>
      <c r="CU81" s="436"/>
      <c r="CV81" s="436"/>
      <c r="CW81" s="436"/>
      <c r="CX81" s="436"/>
      <c r="CY81" s="436"/>
      <c r="CZ81" s="436"/>
      <c r="DA81" s="436"/>
      <c r="DB81" s="436"/>
      <c r="DC81" s="436"/>
      <c r="DD81" s="436"/>
      <c r="DE81" s="436"/>
      <c r="DF81" s="436"/>
      <c r="DG81" s="436"/>
      <c r="DH81" s="436"/>
      <c r="DI81" s="436"/>
      <c r="DJ81" s="436"/>
      <c r="DK81" s="436"/>
      <c r="DL81" s="436"/>
      <c r="DM81" s="436"/>
      <c r="DN81" s="938"/>
      <c r="DO81" s="437"/>
      <c r="DP81" s="437">
        <v>2</v>
      </c>
      <c r="DQ81" s="438"/>
      <c r="DR81" s="438">
        <v>0.01</v>
      </c>
      <c r="DS81" s="433"/>
      <c r="DT81" s="433"/>
      <c r="DU81" s="433"/>
      <c r="DV81" s="433"/>
      <c r="DW81" s="433"/>
      <c r="DX81" s="433"/>
      <c r="DY81" s="433"/>
      <c r="DZ81" s="433"/>
      <c r="EA81" s="433"/>
      <c r="EB81" s="433"/>
      <c r="EC81" s="433"/>
      <c r="ED81" s="433"/>
      <c r="EE81" s="433"/>
      <c r="EF81" s="433"/>
      <c r="EG81" s="433"/>
      <c r="EH81" s="433"/>
      <c r="EI81" s="433"/>
      <c r="EJ81" s="433"/>
      <c r="EK81" s="433"/>
      <c r="EL81" s="433"/>
      <c r="EM81" s="433"/>
      <c r="EN81" s="433"/>
      <c r="EO81" s="433"/>
      <c r="EP81" s="433"/>
      <c r="EQ81" s="433"/>
      <c r="ER81" s="433"/>
      <c r="ES81" s="433"/>
      <c r="ET81" s="433"/>
      <c r="EU81" s="433"/>
      <c r="EV81" s="433"/>
      <c r="EW81" s="433"/>
      <c r="EX81" s="433"/>
      <c r="EY81" s="433"/>
      <c r="EZ81" s="433"/>
      <c r="FA81" s="377"/>
      <c r="FB81" s="378">
        <v>61</v>
      </c>
      <c r="FC81" s="378">
        <v>61</v>
      </c>
      <c r="FD81" s="379">
        <f t="shared" si="161"/>
        <v>0</v>
      </c>
      <c r="FE81" s="790"/>
    </row>
    <row r="82" spans="2:164" ht="26.1" customHeight="1" outlineLevel="1" thickBot="1" x14ac:dyDescent="0.3">
      <c r="B82" s="1018"/>
      <c r="C82" s="1020"/>
      <c r="D82" s="1034"/>
      <c r="E82" s="1038"/>
      <c r="F82" s="838" t="s">
        <v>112</v>
      </c>
      <c r="G82" s="804" t="str">
        <f>VLOOKUP(H82,инфо!AD:AE,2,FALSE)</f>
        <v>Гарниры</v>
      </c>
      <c r="H82" s="580" t="s">
        <v>1198</v>
      </c>
      <c r="I82" s="590" t="s">
        <v>1016</v>
      </c>
      <c r="J82" s="430"/>
      <c r="K82" s="431"/>
      <c r="L82" s="431"/>
      <c r="M82" s="431"/>
      <c r="N82" s="431"/>
      <c r="O82" s="431"/>
      <c r="P82" s="431"/>
      <c r="Q82" s="431">
        <v>83</v>
      </c>
      <c r="R82" s="431"/>
      <c r="S82" s="431"/>
      <c r="T82" s="431"/>
      <c r="U82" s="431"/>
      <c r="V82" s="431"/>
      <c r="W82" s="432"/>
      <c r="X82" s="432"/>
      <c r="Y82" s="432"/>
      <c r="Z82" s="432"/>
      <c r="AA82" s="432"/>
      <c r="AB82" s="432"/>
      <c r="AC82" s="432"/>
      <c r="AD82" s="432"/>
      <c r="AE82" s="432"/>
      <c r="AF82" s="432"/>
      <c r="AG82" s="432"/>
      <c r="AH82" s="432"/>
      <c r="AI82" s="432"/>
      <c r="AJ82" s="432"/>
      <c r="AK82" s="432"/>
      <c r="AL82" s="432"/>
      <c r="AM82" s="432"/>
      <c r="AN82" s="432"/>
      <c r="AO82" s="432"/>
      <c r="AP82" s="432"/>
      <c r="AQ82" s="432"/>
      <c r="AR82" s="432"/>
      <c r="AS82" s="432"/>
      <c r="AT82" s="432"/>
      <c r="AU82" s="432"/>
      <c r="AV82" s="432"/>
      <c r="AW82" s="432"/>
      <c r="AX82" s="432"/>
      <c r="AY82" s="432"/>
      <c r="AZ82" s="432"/>
      <c r="BA82" s="432"/>
      <c r="BB82" s="432"/>
      <c r="BC82" s="432"/>
      <c r="BD82" s="432"/>
      <c r="BE82" s="433"/>
      <c r="BF82" s="433"/>
      <c r="BG82" s="433"/>
      <c r="BH82" s="433"/>
      <c r="BI82" s="433"/>
      <c r="BJ82" s="433"/>
      <c r="BK82" s="433"/>
      <c r="BL82" s="433"/>
      <c r="BM82" s="433"/>
      <c r="BN82" s="434"/>
      <c r="BO82" s="434"/>
      <c r="BP82" s="434"/>
      <c r="BQ82" s="434"/>
      <c r="BR82" s="434"/>
      <c r="BS82" s="434"/>
      <c r="BT82" s="434"/>
      <c r="BU82" s="434"/>
      <c r="BV82" s="431"/>
      <c r="BW82" s="431"/>
      <c r="BX82" s="431"/>
      <c r="BY82" s="431"/>
      <c r="BZ82" s="431"/>
      <c r="CA82" s="431"/>
      <c r="CB82" s="431"/>
      <c r="CC82" s="435"/>
      <c r="CD82" s="435"/>
      <c r="CE82" s="435"/>
      <c r="CF82" s="435"/>
      <c r="CG82" s="435"/>
      <c r="CH82" s="435"/>
      <c r="CI82" s="435"/>
      <c r="CJ82" s="435"/>
      <c r="CK82" s="435"/>
      <c r="CL82" s="435"/>
      <c r="CM82" s="435"/>
      <c r="CN82" s="435"/>
      <c r="CO82" s="435"/>
      <c r="CP82" s="435"/>
      <c r="CQ82" s="435"/>
      <c r="CR82" s="435"/>
      <c r="CS82" s="436"/>
      <c r="CT82" s="436"/>
      <c r="CU82" s="436"/>
      <c r="CV82" s="436"/>
      <c r="CW82" s="436"/>
      <c r="CX82" s="436"/>
      <c r="CY82" s="436"/>
      <c r="CZ82" s="436"/>
      <c r="DA82" s="436"/>
      <c r="DB82" s="436"/>
      <c r="DC82" s="436"/>
      <c r="DD82" s="436"/>
      <c r="DE82" s="436"/>
      <c r="DF82" s="436"/>
      <c r="DG82" s="436"/>
      <c r="DH82" s="436"/>
      <c r="DI82" s="436"/>
      <c r="DJ82" s="436"/>
      <c r="DK82" s="436"/>
      <c r="DL82" s="436"/>
      <c r="DM82" s="436"/>
      <c r="DN82" s="938"/>
      <c r="DO82" s="437"/>
      <c r="DP82" s="437">
        <v>3</v>
      </c>
      <c r="DQ82" s="438"/>
      <c r="DR82" s="438"/>
      <c r="DS82" s="433"/>
      <c r="DT82" s="433"/>
      <c r="DU82" s="433"/>
      <c r="DV82" s="433"/>
      <c r="DW82" s="433"/>
      <c r="DX82" s="433"/>
      <c r="DY82" s="433"/>
      <c r="DZ82" s="433"/>
      <c r="EA82" s="433">
        <v>174.3</v>
      </c>
      <c r="EB82" s="433"/>
      <c r="EC82" s="433"/>
      <c r="ED82" s="433"/>
      <c r="EE82" s="433"/>
      <c r="EF82" s="433"/>
      <c r="EG82" s="433"/>
      <c r="EH82" s="433"/>
      <c r="EI82" s="433"/>
      <c r="EJ82" s="433"/>
      <c r="EK82" s="433"/>
      <c r="EL82" s="433"/>
      <c r="EM82" s="433"/>
      <c r="EN82" s="433"/>
      <c r="EO82" s="433"/>
      <c r="EP82" s="433"/>
      <c r="EQ82" s="433"/>
      <c r="ER82" s="433"/>
      <c r="ES82" s="433"/>
      <c r="ET82" s="433"/>
      <c r="EU82" s="433"/>
      <c r="EV82" s="433"/>
      <c r="EW82" s="433"/>
      <c r="EX82" s="433"/>
      <c r="EY82" s="433"/>
      <c r="EZ82" s="433"/>
      <c r="FA82" s="377">
        <v>415</v>
      </c>
      <c r="FB82" s="378">
        <v>232</v>
      </c>
      <c r="FC82" s="378"/>
      <c r="FD82" s="379">
        <f t="shared" si="161"/>
        <v>0</v>
      </c>
      <c r="FE82" s="790"/>
    </row>
    <row r="83" spans="2:164" ht="26.1" customHeight="1" outlineLevel="1" thickBot="1" x14ac:dyDescent="0.35">
      <c r="B83" s="1018"/>
      <c r="C83" s="1020"/>
      <c r="D83" s="1034"/>
      <c r="E83" s="1038"/>
      <c r="F83" s="840" t="s">
        <v>112</v>
      </c>
      <c r="G83" s="806" t="str">
        <f>VLOOKUP(H83,инфо!AD:AE,2,FALSE)</f>
        <v>Прочее</v>
      </c>
      <c r="H83" s="581" t="s">
        <v>1197</v>
      </c>
      <c r="I83" s="606" t="s">
        <v>60</v>
      </c>
      <c r="J83" s="457"/>
      <c r="K83" s="458"/>
      <c r="L83" s="458"/>
      <c r="M83" s="458"/>
      <c r="N83" s="458"/>
      <c r="O83" s="458"/>
      <c r="P83" s="458"/>
      <c r="Q83" s="458"/>
      <c r="R83" s="458"/>
      <c r="S83" s="458"/>
      <c r="T83" s="458"/>
      <c r="U83" s="458"/>
      <c r="V83" s="458"/>
      <c r="W83" s="459"/>
      <c r="X83" s="459"/>
      <c r="Y83" s="459"/>
      <c r="Z83" s="459"/>
      <c r="AA83" s="459"/>
      <c r="AB83" s="459"/>
      <c r="AC83" s="459"/>
      <c r="AD83" s="459"/>
      <c r="AE83" s="459"/>
      <c r="AF83" s="459"/>
      <c r="AG83" s="459"/>
      <c r="AH83" s="459"/>
      <c r="AI83" s="459"/>
      <c r="AJ83" s="459"/>
      <c r="AK83" s="459"/>
      <c r="AL83" s="459"/>
      <c r="AM83" s="459"/>
      <c r="AN83" s="459"/>
      <c r="AO83" s="459"/>
      <c r="AP83" s="459"/>
      <c r="AQ83" s="459"/>
      <c r="AR83" s="459"/>
      <c r="AS83" s="459"/>
      <c r="AT83" s="459"/>
      <c r="AU83" s="459"/>
      <c r="AV83" s="459"/>
      <c r="AW83" s="459"/>
      <c r="AX83" s="459"/>
      <c r="AY83" s="459"/>
      <c r="AZ83" s="459"/>
      <c r="BA83" s="459"/>
      <c r="BB83" s="459"/>
      <c r="BC83" s="459"/>
      <c r="BD83" s="459"/>
      <c r="BE83" s="460"/>
      <c r="BF83" s="460"/>
      <c r="BG83" s="460"/>
      <c r="BH83" s="460"/>
      <c r="BI83" s="460"/>
      <c r="BJ83" s="460"/>
      <c r="BK83" s="460"/>
      <c r="BL83" s="460"/>
      <c r="BM83" s="460"/>
      <c r="BN83" s="461">
        <v>15</v>
      </c>
      <c r="BO83" s="461"/>
      <c r="BP83" s="461"/>
      <c r="BQ83" s="461"/>
      <c r="BR83" s="461"/>
      <c r="BS83" s="461"/>
      <c r="BT83" s="461"/>
      <c r="BU83" s="461"/>
      <c r="BV83" s="458"/>
      <c r="BW83" s="458"/>
      <c r="BX83" s="458"/>
      <c r="BY83" s="458"/>
      <c r="BZ83" s="458"/>
      <c r="CA83" s="458"/>
      <c r="CB83" s="458"/>
      <c r="CC83" s="462"/>
      <c r="CD83" s="462"/>
      <c r="CE83" s="462"/>
      <c r="CF83" s="462"/>
      <c r="CG83" s="462"/>
      <c r="CH83" s="462"/>
      <c r="CI83" s="462"/>
      <c r="CJ83" s="462"/>
      <c r="CK83" s="462"/>
      <c r="CL83" s="462"/>
      <c r="CM83" s="462"/>
      <c r="CN83" s="462"/>
      <c r="CO83" s="462"/>
      <c r="CP83" s="462"/>
      <c r="CQ83" s="462"/>
      <c r="CR83" s="462"/>
      <c r="CS83" s="463"/>
      <c r="CT83" s="463"/>
      <c r="CU83" s="463"/>
      <c r="CV83" s="463"/>
      <c r="CW83" s="463"/>
      <c r="CX83" s="463"/>
      <c r="CY83" s="463"/>
      <c r="CZ83" s="463"/>
      <c r="DA83" s="463"/>
      <c r="DB83" s="463"/>
      <c r="DC83" s="463"/>
      <c r="DD83" s="463"/>
      <c r="DE83" s="463"/>
      <c r="DF83" s="463"/>
      <c r="DG83" s="463"/>
      <c r="DH83" s="463"/>
      <c r="DI83" s="463"/>
      <c r="DJ83" s="463"/>
      <c r="DK83" s="463"/>
      <c r="DL83" s="463"/>
      <c r="DM83" s="463"/>
      <c r="DN83" s="941"/>
      <c r="DO83" s="464"/>
      <c r="DP83" s="464"/>
      <c r="DQ83" s="465"/>
      <c r="DR83" s="465"/>
      <c r="DS83" s="460"/>
      <c r="DT83" s="467"/>
      <c r="DU83" s="467"/>
      <c r="DV83" s="467"/>
      <c r="DW83" s="467"/>
      <c r="DX83" s="467"/>
      <c r="DY83" s="467"/>
      <c r="DZ83" s="467"/>
      <c r="EA83" s="467"/>
      <c r="EB83" s="467"/>
      <c r="EC83" s="467"/>
      <c r="ED83" s="467"/>
      <c r="EE83" s="467"/>
      <c r="EF83" s="467"/>
      <c r="EG83" s="467"/>
      <c r="EH83" s="467"/>
      <c r="EI83" s="467"/>
      <c r="EJ83" s="467"/>
      <c r="EK83" s="467"/>
      <c r="EL83" s="467"/>
      <c r="EM83" s="467"/>
      <c r="EN83" s="467"/>
      <c r="EO83" s="467"/>
      <c r="EP83" s="467"/>
      <c r="EQ83" s="467"/>
      <c r="ER83" s="467"/>
      <c r="ES83" s="467"/>
      <c r="ET83" s="467"/>
      <c r="EU83" s="467"/>
      <c r="EV83" s="467"/>
      <c r="EW83" s="467"/>
      <c r="EX83" s="467"/>
      <c r="EY83" s="467"/>
      <c r="EZ83" s="467"/>
      <c r="FA83" s="402"/>
      <c r="FB83" s="403">
        <v>15</v>
      </c>
      <c r="FC83" s="403"/>
      <c r="FD83" s="404">
        <f t="shared" si="161"/>
        <v>0</v>
      </c>
      <c r="FE83" s="790"/>
    </row>
    <row r="84" spans="2:164" ht="26.1" customHeight="1" outlineLevel="1" thickBot="1" x14ac:dyDescent="0.35">
      <c r="B84" s="1018"/>
      <c r="C84" s="1020"/>
      <c r="D84" s="1034"/>
      <c r="E84" s="1042" t="s">
        <v>116</v>
      </c>
      <c r="F84" s="841" t="s">
        <v>112</v>
      </c>
      <c r="G84" s="807" t="str">
        <f>VLOOKUP(H84,инфо!AD:AE,2,FALSE)</f>
        <v>Напитки</v>
      </c>
      <c r="H84" s="577" t="s">
        <v>1195</v>
      </c>
      <c r="I84" s="588" t="s">
        <v>1152</v>
      </c>
      <c r="J84" s="421"/>
      <c r="K84" s="422"/>
      <c r="L84" s="422"/>
      <c r="M84" s="422"/>
      <c r="N84" s="422"/>
      <c r="O84" s="422"/>
      <c r="P84" s="422"/>
      <c r="Q84" s="422"/>
      <c r="R84" s="422"/>
      <c r="S84" s="422"/>
      <c r="T84" s="422"/>
      <c r="U84" s="422"/>
      <c r="V84" s="422"/>
      <c r="W84" s="423"/>
      <c r="X84" s="423"/>
      <c r="Y84" s="423"/>
      <c r="Z84" s="423"/>
      <c r="AA84" s="423"/>
      <c r="AB84" s="423"/>
      <c r="AC84" s="423"/>
      <c r="AD84" s="423"/>
      <c r="AE84" s="423"/>
      <c r="AF84" s="423"/>
      <c r="AG84" s="423"/>
      <c r="AH84" s="423"/>
      <c r="AI84" s="423"/>
      <c r="AJ84" s="423"/>
      <c r="AK84" s="423"/>
      <c r="AL84" s="423"/>
      <c r="AM84" s="423"/>
      <c r="AN84" s="423"/>
      <c r="AO84" s="423"/>
      <c r="AP84" s="423"/>
      <c r="AQ84" s="423"/>
      <c r="AR84" s="423"/>
      <c r="AS84" s="423"/>
      <c r="AT84" s="423"/>
      <c r="AU84" s="423"/>
      <c r="AV84" s="423"/>
      <c r="AW84" s="423"/>
      <c r="AX84" s="423"/>
      <c r="AY84" s="423"/>
      <c r="AZ84" s="423"/>
      <c r="BA84" s="423"/>
      <c r="BB84" s="423"/>
      <c r="BC84" s="423"/>
      <c r="BD84" s="423"/>
      <c r="BE84" s="424"/>
      <c r="BF84" s="424"/>
      <c r="BG84" s="424"/>
      <c r="BH84" s="424"/>
      <c r="BI84" s="424"/>
      <c r="BJ84" s="424"/>
      <c r="BK84" s="424"/>
      <c r="BL84" s="424"/>
      <c r="BM84" s="424"/>
      <c r="BN84" s="425"/>
      <c r="BO84" s="425"/>
      <c r="BP84" s="425"/>
      <c r="BQ84" s="425"/>
      <c r="BR84" s="425"/>
      <c r="BS84" s="425"/>
      <c r="BT84" s="425"/>
      <c r="BU84" s="425"/>
      <c r="BV84" s="422"/>
      <c r="BW84" s="422"/>
      <c r="BX84" s="422"/>
      <c r="BY84" s="422"/>
      <c r="BZ84" s="422"/>
      <c r="CA84" s="422"/>
      <c r="CB84" s="422"/>
      <c r="CC84" s="426"/>
      <c r="CD84" s="426"/>
      <c r="CE84" s="426"/>
      <c r="CF84" s="426"/>
      <c r="CG84" s="426"/>
      <c r="CH84" s="426"/>
      <c r="CI84" s="426"/>
      <c r="CJ84" s="426"/>
      <c r="CK84" s="426"/>
      <c r="CL84" s="426"/>
      <c r="CM84" s="426"/>
      <c r="CN84" s="426"/>
      <c r="CO84" s="426"/>
      <c r="CP84" s="426"/>
      <c r="CQ84" s="426"/>
      <c r="CR84" s="426"/>
      <c r="CS84" s="427"/>
      <c r="CT84" s="427"/>
      <c r="CU84" s="427"/>
      <c r="CV84" s="427"/>
      <c r="CW84" s="427"/>
      <c r="CX84" s="427"/>
      <c r="CY84" s="427"/>
      <c r="CZ84" s="427"/>
      <c r="DA84" s="427"/>
      <c r="DB84" s="427"/>
      <c r="DC84" s="427"/>
      <c r="DD84" s="427"/>
      <c r="DE84" s="427"/>
      <c r="DF84" s="427"/>
      <c r="DG84" s="427"/>
      <c r="DH84" s="427"/>
      <c r="DI84" s="427"/>
      <c r="DJ84" s="427"/>
      <c r="DK84" s="427"/>
      <c r="DL84" s="427"/>
      <c r="DM84" s="427"/>
      <c r="DN84" s="937"/>
      <c r="DO84" s="428">
        <v>20</v>
      </c>
      <c r="DP84" s="428"/>
      <c r="DQ84" s="429"/>
      <c r="DR84" s="429"/>
      <c r="DS84" s="424"/>
      <c r="DT84" s="468"/>
      <c r="DU84" s="468"/>
      <c r="DV84" s="468"/>
      <c r="DW84" s="468"/>
      <c r="DX84" s="468"/>
      <c r="DY84" s="468"/>
      <c r="DZ84" s="468"/>
      <c r="EA84" s="468">
        <v>250</v>
      </c>
      <c r="EB84" s="468"/>
      <c r="EC84" s="468"/>
      <c r="ED84" s="468"/>
      <c r="EE84" s="468"/>
      <c r="EF84" s="468"/>
      <c r="EG84" s="468"/>
      <c r="EH84" s="468"/>
      <c r="EI84" s="468"/>
      <c r="EJ84" s="468"/>
      <c r="EK84" s="468"/>
      <c r="EL84" s="468"/>
      <c r="EM84" s="468"/>
      <c r="EN84" s="468"/>
      <c r="EO84" s="468"/>
      <c r="EP84" s="468"/>
      <c r="EQ84" s="468"/>
      <c r="ER84" s="468"/>
      <c r="ES84" s="468"/>
      <c r="ET84" s="468">
        <v>25</v>
      </c>
      <c r="EU84" s="468"/>
      <c r="EV84" s="468"/>
      <c r="EW84" s="468"/>
      <c r="EX84" s="468"/>
      <c r="EY84" s="468"/>
      <c r="EZ84" s="468"/>
      <c r="FA84" s="415"/>
      <c r="FB84" s="416">
        <v>250</v>
      </c>
      <c r="FC84" s="416"/>
      <c r="FD84" s="417">
        <f t="shared" si="161"/>
        <v>0</v>
      </c>
      <c r="FE84" s="790"/>
    </row>
    <row r="85" spans="2:164" ht="26.1" customHeight="1" outlineLevel="1" thickBot="1" x14ac:dyDescent="0.35">
      <c r="B85" s="1018"/>
      <c r="C85" s="1020"/>
      <c r="D85" s="1034"/>
      <c r="E85" s="1038"/>
      <c r="F85" s="838" t="s">
        <v>112</v>
      </c>
      <c r="G85" s="804" t="str">
        <f>VLOOKUP(H85,инфо!AD:AE,2,FALSE)</f>
        <v>Прочее</v>
      </c>
      <c r="H85" s="580" t="s">
        <v>1197</v>
      </c>
      <c r="I85" s="588" t="s">
        <v>82</v>
      </c>
      <c r="J85" s="430"/>
      <c r="K85" s="431"/>
      <c r="L85" s="431"/>
      <c r="M85" s="431"/>
      <c r="N85" s="431"/>
      <c r="O85" s="431"/>
      <c r="P85" s="431"/>
      <c r="Q85" s="431"/>
      <c r="R85" s="431"/>
      <c r="S85" s="431"/>
      <c r="T85" s="431"/>
      <c r="U85" s="431"/>
      <c r="V85" s="431"/>
      <c r="W85" s="432"/>
      <c r="X85" s="432"/>
      <c r="Y85" s="432"/>
      <c r="Z85" s="432"/>
      <c r="AA85" s="432"/>
      <c r="AB85" s="432"/>
      <c r="AC85" s="432"/>
      <c r="AD85" s="432"/>
      <c r="AE85" s="432"/>
      <c r="AF85" s="432"/>
      <c r="AG85" s="432"/>
      <c r="AH85" s="432"/>
      <c r="AI85" s="432"/>
      <c r="AJ85" s="432"/>
      <c r="AK85" s="432"/>
      <c r="AL85" s="432"/>
      <c r="AM85" s="432"/>
      <c r="AN85" s="432"/>
      <c r="AO85" s="432"/>
      <c r="AP85" s="432"/>
      <c r="AQ85" s="432"/>
      <c r="AR85" s="432"/>
      <c r="AS85" s="432"/>
      <c r="AT85" s="432"/>
      <c r="AU85" s="432"/>
      <c r="AV85" s="432"/>
      <c r="AW85" s="432"/>
      <c r="AX85" s="432"/>
      <c r="AY85" s="432"/>
      <c r="AZ85" s="432"/>
      <c r="BA85" s="432"/>
      <c r="BB85" s="432"/>
      <c r="BC85" s="432"/>
      <c r="BD85" s="432"/>
      <c r="BE85" s="433"/>
      <c r="BF85" s="433"/>
      <c r="BG85" s="433"/>
      <c r="BH85" s="433"/>
      <c r="BI85" s="433"/>
      <c r="BJ85" s="433"/>
      <c r="BK85" s="433"/>
      <c r="BL85" s="433"/>
      <c r="BM85" s="433"/>
      <c r="BN85" s="434"/>
      <c r="BO85" s="434"/>
      <c r="BP85" s="434"/>
      <c r="BQ85" s="434"/>
      <c r="BR85" s="434"/>
      <c r="BS85" s="434"/>
      <c r="BT85" s="434"/>
      <c r="BU85" s="434"/>
      <c r="BV85" s="431"/>
      <c r="BW85" s="431"/>
      <c r="BX85" s="431"/>
      <c r="BY85" s="431"/>
      <c r="BZ85" s="431"/>
      <c r="CA85" s="431"/>
      <c r="CB85" s="431"/>
      <c r="CC85" s="435"/>
      <c r="CD85" s="435"/>
      <c r="CE85" s="435"/>
      <c r="CF85" s="435"/>
      <c r="CG85" s="435"/>
      <c r="CH85" s="435"/>
      <c r="CI85" s="435"/>
      <c r="CJ85" s="435"/>
      <c r="CK85" s="435"/>
      <c r="CL85" s="435"/>
      <c r="CM85" s="435"/>
      <c r="CN85" s="435"/>
      <c r="CO85" s="435"/>
      <c r="CP85" s="435"/>
      <c r="CQ85" s="435"/>
      <c r="CR85" s="435"/>
      <c r="CS85" s="436"/>
      <c r="CT85" s="436"/>
      <c r="CU85" s="436"/>
      <c r="CV85" s="436"/>
      <c r="CW85" s="436"/>
      <c r="CX85" s="436"/>
      <c r="CY85" s="436"/>
      <c r="CZ85" s="436"/>
      <c r="DA85" s="436"/>
      <c r="DB85" s="436"/>
      <c r="DC85" s="436"/>
      <c r="DD85" s="436"/>
      <c r="DE85" s="436"/>
      <c r="DF85" s="436"/>
      <c r="DG85" s="436"/>
      <c r="DH85" s="436"/>
      <c r="DI85" s="436"/>
      <c r="DJ85" s="436"/>
      <c r="DK85" s="436"/>
      <c r="DL85" s="436"/>
      <c r="DM85" s="436"/>
      <c r="DN85" s="938"/>
      <c r="DO85" s="437"/>
      <c r="DP85" s="437"/>
      <c r="DQ85" s="438"/>
      <c r="DR85" s="438"/>
      <c r="DS85" s="433"/>
      <c r="DT85" s="469"/>
      <c r="DU85" s="469"/>
      <c r="DV85" s="469"/>
      <c r="DW85" s="469"/>
      <c r="DX85" s="469"/>
      <c r="DY85" s="469"/>
      <c r="DZ85" s="469"/>
      <c r="EA85" s="469"/>
      <c r="EB85" s="469"/>
      <c r="EC85" s="469"/>
      <c r="ED85" s="469"/>
      <c r="EE85" s="469"/>
      <c r="EF85" s="469"/>
      <c r="EG85" s="469"/>
      <c r="EH85" s="469"/>
      <c r="EI85" s="469"/>
      <c r="EJ85" s="469"/>
      <c r="EK85" s="469"/>
      <c r="EL85" s="469"/>
      <c r="EM85" s="469"/>
      <c r="EN85" s="469"/>
      <c r="EO85" s="469">
        <v>20</v>
      </c>
      <c r="EP85" s="469"/>
      <c r="EQ85" s="469"/>
      <c r="ER85" s="469"/>
      <c r="ES85" s="469"/>
      <c r="ET85" s="469"/>
      <c r="EU85" s="469"/>
      <c r="EV85" s="469"/>
      <c r="EW85" s="469"/>
      <c r="EX85" s="469"/>
      <c r="EY85" s="469"/>
      <c r="EZ85" s="469"/>
      <c r="FA85" s="377"/>
      <c r="FB85" s="378">
        <v>20</v>
      </c>
      <c r="FC85" s="378"/>
      <c r="FD85" s="379">
        <f t="shared" si="161"/>
        <v>0</v>
      </c>
      <c r="FE85" s="790"/>
    </row>
    <row r="86" spans="2:164" ht="26.1" customHeight="1" outlineLevel="1" thickBot="1" x14ac:dyDescent="0.35">
      <c r="B86" s="1018"/>
      <c r="C86" s="1020"/>
      <c r="D86" s="1034"/>
      <c r="E86" s="1038"/>
      <c r="F86" s="838" t="s">
        <v>112</v>
      </c>
      <c r="G86" s="804" t="str">
        <f>VLOOKUP(H86,инфо!AD:AE,2,FALSE)</f>
        <v>Гарниры</v>
      </c>
      <c r="H86" s="580" t="s">
        <v>1198</v>
      </c>
      <c r="I86" s="575"/>
      <c r="J86" s="430"/>
      <c r="K86" s="431"/>
      <c r="L86" s="431"/>
      <c r="M86" s="431"/>
      <c r="N86" s="431"/>
      <c r="O86" s="431"/>
      <c r="P86" s="431"/>
      <c r="Q86" s="431"/>
      <c r="R86" s="431"/>
      <c r="S86" s="431"/>
      <c r="T86" s="431"/>
      <c r="U86" s="431"/>
      <c r="V86" s="431"/>
      <c r="W86" s="432"/>
      <c r="X86" s="432"/>
      <c r="Y86" s="432"/>
      <c r="Z86" s="432"/>
      <c r="AA86" s="432"/>
      <c r="AB86" s="432"/>
      <c r="AC86" s="432"/>
      <c r="AD86" s="432"/>
      <c r="AE86" s="432"/>
      <c r="AF86" s="432"/>
      <c r="AG86" s="432"/>
      <c r="AH86" s="432"/>
      <c r="AI86" s="432"/>
      <c r="AJ86" s="432"/>
      <c r="AK86" s="432"/>
      <c r="AL86" s="432"/>
      <c r="AM86" s="432"/>
      <c r="AN86" s="432"/>
      <c r="AO86" s="432"/>
      <c r="AP86" s="432"/>
      <c r="AQ86" s="432"/>
      <c r="AR86" s="432"/>
      <c r="AS86" s="432"/>
      <c r="AT86" s="432"/>
      <c r="AU86" s="432"/>
      <c r="AV86" s="432"/>
      <c r="AW86" s="432"/>
      <c r="AX86" s="432"/>
      <c r="AY86" s="432"/>
      <c r="AZ86" s="432"/>
      <c r="BA86" s="432"/>
      <c r="BB86" s="432"/>
      <c r="BC86" s="432"/>
      <c r="BD86" s="432"/>
      <c r="BE86" s="433"/>
      <c r="BF86" s="433"/>
      <c r="BG86" s="433"/>
      <c r="BH86" s="433"/>
      <c r="BI86" s="433"/>
      <c r="BJ86" s="433"/>
      <c r="BK86" s="433"/>
      <c r="BL86" s="433"/>
      <c r="BM86" s="433"/>
      <c r="BN86" s="434"/>
      <c r="BO86" s="434"/>
      <c r="BP86" s="434"/>
      <c r="BQ86" s="434"/>
      <c r="BR86" s="434"/>
      <c r="BS86" s="434"/>
      <c r="BT86" s="434"/>
      <c r="BU86" s="434"/>
      <c r="BV86" s="431"/>
      <c r="BW86" s="431"/>
      <c r="BX86" s="431"/>
      <c r="BY86" s="431"/>
      <c r="BZ86" s="431"/>
      <c r="CA86" s="431"/>
      <c r="CB86" s="431"/>
      <c r="CC86" s="435"/>
      <c r="CD86" s="435"/>
      <c r="CE86" s="435"/>
      <c r="CF86" s="435"/>
      <c r="CG86" s="435"/>
      <c r="CH86" s="435"/>
      <c r="CI86" s="435"/>
      <c r="CJ86" s="435"/>
      <c r="CK86" s="435"/>
      <c r="CL86" s="435"/>
      <c r="CM86" s="435"/>
      <c r="CN86" s="435"/>
      <c r="CO86" s="435"/>
      <c r="CP86" s="435"/>
      <c r="CQ86" s="435"/>
      <c r="CR86" s="435"/>
      <c r="CS86" s="436"/>
      <c r="CT86" s="436"/>
      <c r="CU86" s="436"/>
      <c r="CV86" s="436"/>
      <c r="CW86" s="436"/>
      <c r="CX86" s="436"/>
      <c r="CY86" s="436"/>
      <c r="CZ86" s="436"/>
      <c r="DA86" s="436"/>
      <c r="DB86" s="436"/>
      <c r="DC86" s="436"/>
      <c r="DD86" s="436"/>
      <c r="DE86" s="436"/>
      <c r="DF86" s="436"/>
      <c r="DG86" s="436"/>
      <c r="DH86" s="436"/>
      <c r="DI86" s="436"/>
      <c r="DJ86" s="436"/>
      <c r="DK86" s="436"/>
      <c r="DL86" s="436"/>
      <c r="DM86" s="436"/>
      <c r="DN86" s="938"/>
      <c r="DO86" s="437"/>
      <c r="DP86" s="437"/>
      <c r="DQ86" s="438"/>
      <c r="DR86" s="438"/>
      <c r="DS86" s="433"/>
      <c r="DT86" s="469"/>
      <c r="DU86" s="469"/>
      <c r="DV86" s="469"/>
      <c r="DW86" s="469"/>
      <c r="DX86" s="469"/>
      <c r="DY86" s="469"/>
      <c r="DZ86" s="469"/>
      <c r="EA86" s="469"/>
      <c r="EB86" s="469"/>
      <c r="EC86" s="469"/>
      <c r="ED86" s="469"/>
      <c r="EE86" s="469"/>
      <c r="EF86" s="469"/>
      <c r="EG86" s="469"/>
      <c r="EH86" s="469"/>
      <c r="EI86" s="469"/>
      <c r="EJ86" s="469"/>
      <c r="EK86" s="469"/>
      <c r="EL86" s="469"/>
      <c r="EM86" s="469"/>
      <c r="EN86" s="469"/>
      <c r="EO86" s="469"/>
      <c r="EP86" s="469"/>
      <c r="EQ86" s="469"/>
      <c r="ER86" s="469"/>
      <c r="ES86" s="469"/>
      <c r="ET86" s="469"/>
      <c r="EU86" s="469"/>
      <c r="EV86" s="469"/>
      <c r="EW86" s="469"/>
      <c r="EX86" s="469"/>
      <c r="EY86" s="469"/>
      <c r="EZ86" s="469"/>
      <c r="FA86" s="377"/>
      <c r="FB86" s="378"/>
      <c r="FC86" s="378"/>
      <c r="FD86" s="379">
        <f t="shared" si="161"/>
        <v>0</v>
      </c>
      <c r="FE86" s="790"/>
    </row>
    <row r="87" spans="2:164" ht="26.1" customHeight="1" outlineLevel="1" thickBot="1" x14ac:dyDescent="0.3">
      <c r="B87" s="1018"/>
      <c r="C87" s="1020"/>
      <c r="D87" s="1035"/>
      <c r="E87" s="1043"/>
      <c r="F87" s="840" t="s">
        <v>112</v>
      </c>
      <c r="G87" s="806" t="str">
        <f>VLOOKUP(H87,инфо!AD:AE,2,FALSE)</f>
        <v>Прочее</v>
      </c>
      <c r="H87" s="582" t="s">
        <v>1197</v>
      </c>
      <c r="I87" s="573"/>
      <c r="J87" s="439"/>
      <c r="K87" s="440"/>
      <c r="L87" s="440"/>
      <c r="M87" s="440"/>
      <c r="N87" s="440"/>
      <c r="O87" s="440"/>
      <c r="P87" s="440"/>
      <c r="Q87" s="440"/>
      <c r="R87" s="440"/>
      <c r="S87" s="440"/>
      <c r="T87" s="440"/>
      <c r="U87" s="440"/>
      <c r="V87" s="440"/>
      <c r="W87" s="441"/>
      <c r="X87" s="441"/>
      <c r="Y87" s="441"/>
      <c r="Z87" s="441"/>
      <c r="AA87" s="441"/>
      <c r="AB87" s="441"/>
      <c r="AC87" s="441"/>
      <c r="AD87" s="441"/>
      <c r="AE87" s="441"/>
      <c r="AF87" s="441"/>
      <c r="AG87" s="441"/>
      <c r="AH87" s="441"/>
      <c r="AI87" s="441"/>
      <c r="AJ87" s="441"/>
      <c r="AK87" s="441"/>
      <c r="AL87" s="441"/>
      <c r="AM87" s="441"/>
      <c r="AN87" s="441"/>
      <c r="AO87" s="441"/>
      <c r="AP87" s="441"/>
      <c r="AQ87" s="441"/>
      <c r="AR87" s="441"/>
      <c r="AS87" s="441"/>
      <c r="AT87" s="441"/>
      <c r="AU87" s="441"/>
      <c r="AV87" s="441"/>
      <c r="AW87" s="441"/>
      <c r="AX87" s="441"/>
      <c r="AY87" s="441"/>
      <c r="AZ87" s="441"/>
      <c r="BA87" s="441"/>
      <c r="BB87" s="441"/>
      <c r="BC87" s="441"/>
      <c r="BD87" s="441"/>
      <c r="BE87" s="442"/>
      <c r="BF87" s="442"/>
      <c r="BG87" s="442"/>
      <c r="BH87" s="442"/>
      <c r="BI87" s="442"/>
      <c r="BJ87" s="442"/>
      <c r="BK87" s="442"/>
      <c r="BL87" s="442"/>
      <c r="BM87" s="442"/>
      <c r="BN87" s="443"/>
      <c r="BO87" s="443"/>
      <c r="BP87" s="443"/>
      <c r="BQ87" s="443"/>
      <c r="BR87" s="443"/>
      <c r="BS87" s="443"/>
      <c r="BT87" s="443"/>
      <c r="BU87" s="443"/>
      <c r="BV87" s="440"/>
      <c r="BW87" s="440"/>
      <c r="BX87" s="440"/>
      <c r="BY87" s="440"/>
      <c r="BZ87" s="440"/>
      <c r="CA87" s="440"/>
      <c r="CB87" s="440"/>
      <c r="CC87" s="444"/>
      <c r="CD87" s="444"/>
      <c r="CE87" s="444"/>
      <c r="CF87" s="444"/>
      <c r="CG87" s="444"/>
      <c r="CH87" s="444"/>
      <c r="CI87" s="444"/>
      <c r="CJ87" s="444"/>
      <c r="CK87" s="444"/>
      <c r="CL87" s="444"/>
      <c r="CM87" s="444"/>
      <c r="CN87" s="444"/>
      <c r="CO87" s="444"/>
      <c r="CP87" s="444"/>
      <c r="CQ87" s="444"/>
      <c r="CR87" s="444"/>
      <c r="CS87" s="445"/>
      <c r="CT87" s="445"/>
      <c r="CU87" s="445"/>
      <c r="CV87" s="445"/>
      <c r="CW87" s="445"/>
      <c r="CX87" s="445"/>
      <c r="CY87" s="445"/>
      <c r="CZ87" s="445"/>
      <c r="DA87" s="445"/>
      <c r="DB87" s="445"/>
      <c r="DC87" s="445"/>
      <c r="DD87" s="445"/>
      <c r="DE87" s="445"/>
      <c r="DF87" s="445"/>
      <c r="DG87" s="445"/>
      <c r="DH87" s="445"/>
      <c r="DI87" s="445"/>
      <c r="DJ87" s="445"/>
      <c r="DK87" s="445"/>
      <c r="DL87" s="445"/>
      <c r="DM87" s="445"/>
      <c r="DN87" s="939"/>
      <c r="DO87" s="446"/>
      <c r="DP87" s="446"/>
      <c r="DQ87" s="447"/>
      <c r="DR87" s="447"/>
      <c r="DS87" s="442"/>
      <c r="DT87" s="442"/>
      <c r="DU87" s="442"/>
      <c r="DV87" s="442"/>
      <c r="DW87" s="442"/>
      <c r="DX87" s="442"/>
      <c r="DY87" s="442"/>
      <c r="DZ87" s="442"/>
      <c r="EA87" s="442"/>
      <c r="EB87" s="442"/>
      <c r="EC87" s="442"/>
      <c r="ED87" s="442"/>
      <c r="EE87" s="442"/>
      <c r="EF87" s="442"/>
      <c r="EG87" s="442"/>
      <c r="EH87" s="442"/>
      <c r="EI87" s="442"/>
      <c r="EJ87" s="442"/>
      <c r="EK87" s="442"/>
      <c r="EL87" s="442"/>
      <c r="EM87" s="442"/>
      <c r="EN87" s="442"/>
      <c r="EO87" s="442"/>
      <c r="EP87" s="442"/>
      <c r="EQ87" s="442"/>
      <c r="ER87" s="442"/>
      <c r="ES87" s="442"/>
      <c r="ET87" s="442"/>
      <c r="EU87" s="442"/>
      <c r="EV87" s="442"/>
      <c r="EW87" s="442"/>
      <c r="EX87" s="442"/>
      <c r="EY87" s="442"/>
      <c r="EZ87" s="442"/>
      <c r="FA87" s="377"/>
      <c r="FB87" s="378"/>
      <c r="FC87" s="378"/>
      <c r="FD87" s="379">
        <f t="shared" si="161"/>
        <v>0</v>
      </c>
      <c r="FE87" s="790"/>
    </row>
    <row r="88" spans="2:164" s="154" customFormat="1" ht="16.5" customHeight="1" outlineLevel="1" thickBot="1" x14ac:dyDescent="0.4">
      <c r="B88" s="1018"/>
      <c r="C88" s="1020"/>
      <c r="D88" s="145"/>
      <c r="E88" s="317" t="s">
        <v>174</v>
      </c>
      <c r="F88" s="836"/>
      <c r="G88" s="818"/>
      <c r="H88" s="576"/>
      <c r="I88" s="594"/>
      <c r="J88" s="305">
        <f>SUM(J74:J87)</f>
        <v>0</v>
      </c>
      <c r="K88" s="146">
        <f t="shared" ref="K88:CU88" si="162">SUM(K74:K87)</f>
        <v>0</v>
      </c>
      <c r="L88" s="146">
        <f t="shared" si="162"/>
        <v>0</v>
      </c>
      <c r="M88" s="146">
        <f t="shared" si="162"/>
        <v>0</v>
      </c>
      <c r="N88" s="146">
        <f t="shared" si="162"/>
        <v>0</v>
      </c>
      <c r="O88" s="146">
        <f t="shared" si="162"/>
        <v>20</v>
      </c>
      <c r="P88" s="146">
        <f t="shared" si="162"/>
        <v>0</v>
      </c>
      <c r="Q88" s="146">
        <f t="shared" si="162"/>
        <v>83</v>
      </c>
      <c r="R88" s="146">
        <f t="shared" si="162"/>
        <v>0</v>
      </c>
      <c r="S88" s="146">
        <f t="shared" si="162"/>
        <v>0</v>
      </c>
      <c r="T88" s="146">
        <f t="shared" ref="T88:V88" si="163">SUM(T74:T87)</f>
        <v>0</v>
      </c>
      <c r="U88" s="146">
        <f t="shared" si="163"/>
        <v>0</v>
      </c>
      <c r="V88" s="146">
        <f t="shared" si="163"/>
        <v>0</v>
      </c>
      <c r="W88" s="147">
        <f t="shared" si="162"/>
        <v>0</v>
      </c>
      <c r="X88" s="147">
        <f t="shared" si="162"/>
        <v>0.64</v>
      </c>
      <c r="Y88" s="147">
        <f t="shared" ref="Y88" si="164">SUM(Y74:Y87)</f>
        <v>0</v>
      </c>
      <c r="Z88" s="147">
        <f t="shared" si="162"/>
        <v>50</v>
      </c>
      <c r="AA88" s="147">
        <f t="shared" si="162"/>
        <v>100</v>
      </c>
      <c r="AB88" s="147">
        <f t="shared" ref="AB88:AC88" si="165">SUM(AB74:AB87)</f>
        <v>0</v>
      </c>
      <c r="AC88" s="147">
        <f t="shared" si="165"/>
        <v>0</v>
      </c>
      <c r="AD88" s="147">
        <f t="shared" si="162"/>
        <v>130</v>
      </c>
      <c r="AE88" s="147">
        <f t="shared" si="162"/>
        <v>0</v>
      </c>
      <c r="AF88" s="147">
        <f t="shared" ref="AF88:AH88" si="166">SUM(AF74:AF87)</f>
        <v>8.1999999999999993</v>
      </c>
      <c r="AG88" s="147">
        <f t="shared" si="166"/>
        <v>17.2</v>
      </c>
      <c r="AH88" s="147">
        <f t="shared" si="166"/>
        <v>0</v>
      </c>
      <c r="AI88" s="147">
        <f t="shared" si="162"/>
        <v>0</v>
      </c>
      <c r="AJ88" s="147">
        <f t="shared" si="162"/>
        <v>0</v>
      </c>
      <c r="AK88" s="147">
        <f t="shared" si="162"/>
        <v>0</v>
      </c>
      <c r="AL88" s="147">
        <f t="shared" si="162"/>
        <v>0</v>
      </c>
      <c r="AM88" s="147">
        <f t="shared" ref="AM88:AS88" si="167">SUM(AM74:AM87)</f>
        <v>0</v>
      </c>
      <c r="AN88" s="147">
        <f t="shared" si="167"/>
        <v>0</v>
      </c>
      <c r="AO88" s="147">
        <f t="shared" si="167"/>
        <v>5</v>
      </c>
      <c r="AP88" s="147">
        <f t="shared" si="167"/>
        <v>0</v>
      </c>
      <c r="AQ88" s="147">
        <f t="shared" si="167"/>
        <v>0</v>
      </c>
      <c r="AR88" s="147">
        <f t="shared" si="167"/>
        <v>0</v>
      </c>
      <c r="AS88" s="147">
        <f t="shared" si="167"/>
        <v>0</v>
      </c>
      <c r="AT88" s="147">
        <f t="shared" si="162"/>
        <v>0</v>
      </c>
      <c r="AU88" s="147">
        <f t="shared" ref="AU88:BD88" si="168">SUM(AU74:AU87)</f>
        <v>0</v>
      </c>
      <c r="AV88" s="147">
        <f t="shared" si="168"/>
        <v>64</v>
      </c>
      <c r="AW88" s="147">
        <f t="shared" si="168"/>
        <v>0</v>
      </c>
      <c r="AX88" s="147">
        <f t="shared" si="168"/>
        <v>105</v>
      </c>
      <c r="AY88" s="147">
        <f t="shared" si="168"/>
        <v>0</v>
      </c>
      <c r="AZ88" s="147">
        <f t="shared" si="168"/>
        <v>0</v>
      </c>
      <c r="BA88" s="147">
        <f t="shared" si="168"/>
        <v>0</v>
      </c>
      <c r="BB88" s="147">
        <f t="shared" si="168"/>
        <v>0</v>
      </c>
      <c r="BC88" s="147">
        <f t="shared" si="168"/>
        <v>0</v>
      </c>
      <c r="BD88" s="147">
        <f t="shared" si="168"/>
        <v>0</v>
      </c>
      <c r="BE88" s="148">
        <f t="shared" ref="BE88:BP88" si="169">SUM(BE74:BE87)</f>
        <v>0</v>
      </c>
      <c r="BF88" s="148">
        <f t="shared" si="169"/>
        <v>0</v>
      </c>
      <c r="BG88" s="148">
        <f t="shared" si="169"/>
        <v>0</v>
      </c>
      <c r="BH88" s="148">
        <f t="shared" si="169"/>
        <v>0</v>
      </c>
      <c r="BI88" s="148">
        <f t="shared" ref="BI88:BL88" si="170">SUM(BI74:BI87)</f>
        <v>0</v>
      </c>
      <c r="BJ88" s="148">
        <f t="shared" si="170"/>
        <v>5</v>
      </c>
      <c r="BK88" s="148">
        <f t="shared" si="170"/>
        <v>0</v>
      </c>
      <c r="BL88" s="148">
        <f t="shared" si="170"/>
        <v>0</v>
      </c>
      <c r="BM88" s="148">
        <f t="shared" si="169"/>
        <v>0</v>
      </c>
      <c r="BN88" s="149">
        <f t="shared" si="169"/>
        <v>15</v>
      </c>
      <c r="BO88" s="149">
        <f t="shared" si="169"/>
        <v>17.439999999999998</v>
      </c>
      <c r="BP88" s="149">
        <f t="shared" si="169"/>
        <v>0</v>
      </c>
      <c r="BQ88" s="149">
        <f t="shared" ref="BQ88" si="171">SUM(BQ74:BQ87)</f>
        <v>0</v>
      </c>
      <c r="BR88" s="149">
        <f t="shared" ref="BR88:BU88" si="172">SUM(BR74:BR87)</f>
        <v>0</v>
      </c>
      <c r="BS88" s="149">
        <f t="shared" si="172"/>
        <v>0</v>
      </c>
      <c r="BT88" s="149">
        <f t="shared" si="172"/>
        <v>0</v>
      </c>
      <c r="BU88" s="149">
        <f t="shared" si="172"/>
        <v>0</v>
      </c>
      <c r="BV88" s="146">
        <f t="shared" ref="BV88:BX88" si="173">SUM(BV74:BV87)</f>
        <v>0</v>
      </c>
      <c r="BW88" s="146">
        <f t="shared" si="173"/>
        <v>100</v>
      </c>
      <c r="BX88" s="146">
        <f t="shared" si="173"/>
        <v>0</v>
      </c>
      <c r="BY88" s="146">
        <f t="shared" ref="BY88:BZ88" si="174">SUM(BY74:BY87)</f>
        <v>0</v>
      </c>
      <c r="BZ88" s="146">
        <f t="shared" si="174"/>
        <v>0</v>
      </c>
      <c r="CA88" s="146">
        <f t="shared" si="162"/>
        <v>0</v>
      </c>
      <c r="CB88" s="146">
        <f t="shared" si="162"/>
        <v>0</v>
      </c>
      <c r="CC88" s="265">
        <f t="shared" si="162"/>
        <v>0</v>
      </c>
      <c r="CD88" s="265">
        <f t="shared" si="162"/>
        <v>0</v>
      </c>
      <c r="CE88" s="265">
        <f t="shared" si="162"/>
        <v>0</v>
      </c>
      <c r="CF88" s="265">
        <f t="shared" si="162"/>
        <v>0</v>
      </c>
      <c r="CG88" s="265">
        <f t="shared" si="162"/>
        <v>0</v>
      </c>
      <c r="CH88" s="265">
        <f t="shared" si="162"/>
        <v>0</v>
      </c>
      <c r="CI88" s="265">
        <f t="shared" si="162"/>
        <v>0</v>
      </c>
      <c r="CJ88" s="265">
        <f t="shared" ref="CJ88" si="175">SUM(CJ74:CJ87)</f>
        <v>0</v>
      </c>
      <c r="CK88" s="265">
        <f t="shared" ref="CK88" si="176">SUM(CK74:CK87)</f>
        <v>0</v>
      </c>
      <c r="CL88" s="265">
        <f t="shared" si="162"/>
        <v>0</v>
      </c>
      <c r="CM88" s="265">
        <f t="shared" si="162"/>
        <v>0</v>
      </c>
      <c r="CN88" s="265">
        <f t="shared" ref="CN88:CQ88" si="177">SUM(CN74:CN87)</f>
        <v>0</v>
      </c>
      <c r="CO88" s="265">
        <f t="shared" si="177"/>
        <v>0</v>
      </c>
      <c r="CP88" s="265">
        <f t="shared" si="177"/>
        <v>0</v>
      </c>
      <c r="CQ88" s="265">
        <f t="shared" si="177"/>
        <v>0</v>
      </c>
      <c r="CR88" s="265">
        <f t="shared" si="162"/>
        <v>0</v>
      </c>
      <c r="CS88" s="281">
        <f t="shared" si="162"/>
        <v>0</v>
      </c>
      <c r="CT88" s="281">
        <f t="shared" ref="CT88" si="178">SUM(CT74:CT87)</f>
        <v>0</v>
      </c>
      <c r="CU88" s="281">
        <f t="shared" si="162"/>
        <v>0</v>
      </c>
      <c r="CV88" s="281">
        <f t="shared" ref="CV88:DE88" si="179">SUM(CV74:CV87)</f>
        <v>0</v>
      </c>
      <c r="CW88" s="281">
        <f t="shared" si="179"/>
        <v>0</v>
      </c>
      <c r="CX88" s="281">
        <f t="shared" si="179"/>
        <v>0</v>
      </c>
      <c r="CY88" s="281">
        <f t="shared" si="179"/>
        <v>0</v>
      </c>
      <c r="CZ88" s="281">
        <f t="shared" ref="CZ88" si="180">SUM(CZ74:CZ87)</f>
        <v>0</v>
      </c>
      <c r="DA88" s="281">
        <f t="shared" si="179"/>
        <v>0</v>
      </c>
      <c r="DB88" s="281">
        <f t="shared" si="179"/>
        <v>0</v>
      </c>
      <c r="DC88" s="281">
        <f t="shared" si="179"/>
        <v>0</v>
      </c>
      <c r="DD88" s="281">
        <f t="shared" si="179"/>
        <v>0</v>
      </c>
      <c r="DE88" s="281">
        <f t="shared" si="179"/>
        <v>0</v>
      </c>
      <c r="DF88" s="281">
        <f t="shared" ref="DF88:FD88" si="181">SUM(DF74:DF87)</f>
        <v>0</v>
      </c>
      <c r="DG88" s="281">
        <f t="shared" si="181"/>
        <v>0</v>
      </c>
      <c r="DH88" s="281">
        <f t="shared" si="181"/>
        <v>0</v>
      </c>
      <c r="DI88" s="281">
        <f t="shared" ref="DI88:DQ88" si="182">SUM(DI74:DI87)</f>
        <v>0</v>
      </c>
      <c r="DJ88" s="281">
        <f t="shared" si="182"/>
        <v>0</v>
      </c>
      <c r="DK88" s="281">
        <f t="shared" si="182"/>
        <v>0</v>
      </c>
      <c r="DL88" s="281">
        <f t="shared" si="182"/>
        <v>0</v>
      </c>
      <c r="DM88" s="281">
        <f t="shared" si="182"/>
        <v>0</v>
      </c>
      <c r="DN88" s="936">
        <f t="shared" si="182"/>
        <v>0</v>
      </c>
      <c r="DO88" s="148">
        <f t="shared" si="182"/>
        <v>20</v>
      </c>
      <c r="DP88" s="148">
        <f t="shared" si="182"/>
        <v>9.16</v>
      </c>
      <c r="DQ88" s="148">
        <f t="shared" si="182"/>
        <v>2.7200000000000002E-2</v>
      </c>
      <c r="DR88" s="148">
        <f t="shared" si="181"/>
        <v>7.8E-2</v>
      </c>
      <c r="DS88" s="148">
        <f t="shared" si="181"/>
        <v>0.64</v>
      </c>
      <c r="DT88" s="148">
        <f t="shared" si="181"/>
        <v>5</v>
      </c>
      <c r="DU88" s="148">
        <f t="shared" si="181"/>
        <v>0</v>
      </c>
      <c r="DV88" s="148">
        <f t="shared" si="181"/>
        <v>0</v>
      </c>
      <c r="DW88" s="148">
        <f t="shared" si="181"/>
        <v>0.8</v>
      </c>
      <c r="DX88" s="148">
        <f t="shared" si="181"/>
        <v>0</v>
      </c>
      <c r="DY88" s="148">
        <f t="shared" ref="DY88:EO88" si="183">SUM(DY74:DY87)</f>
        <v>0</v>
      </c>
      <c r="DZ88" s="148">
        <f t="shared" si="183"/>
        <v>0</v>
      </c>
      <c r="EA88" s="148">
        <f t="shared" si="183"/>
        <v>424.3</v>
      </c>
      <c r="EB88" s="148">
        <f t="shared" si="183"/>
        <v>412.8</v>
      </c>
      <c r="EC88" s="148">
        <f t="shared" si="183"/>
        <v>0</v>
      </c>
      <c r="ED88" s="148">
        <f t="shared" si="183"/>
        <v>0</v>
      </c>
      <c r="EE88" s="148">
        <f t="shared" si="183"/>
        <v>0</v>
      </c>
      <c r="EF88" s="148">
        <f t="shared" si="183"/>
        <v>0</v>
      </c>
      <c r="EG88" s="148">
        <f t="shared" si="183"/>
        <v>0</v>
      </c>
      <c r="EH88" s="148">
        <f t="shared" si="183"/>
        <v>0</v>
      </c>
      <c r="EI88" s="148">
        <f t="shared" si="183"/>
        <v>0</v>
      </c>
      <c r="EJ88" s="148">
        <f t="shared" si="183"/>
        <v>0</v>
      </c>
      <c r="EK88" s="148">
        <f t="shared" si="183"/>
        <v>0</v>
      </c>
      <c r="EL88" s="148">
        <f t="shared" si="183"/>
        <v>0</v>
      </c>
      <c r="EM88" s="148">
        <f t="shared" si="183"/>
        <v>0</v>
      </c>
      <c r="EN88" s="148">
        <f t="shared" si="183"/>
        <v>0</v>
      </c>
      <c r="EO88" s="148">
        <f t="shared" si="183"/>
        <v>20</v>
      </c>
      <c r="EP88" s="148">
        <f t="shared" ref="EP88:EZ88" si="184">SUM(EP74:EP87)</f>
        <v>0</v>
      </c>
      <c r="EQ88" s="148">
        <f t="shared" si="184"/>
        <v>0</v>
      </c>
      <c r="ER88" s="148">
        <f t="shared" si="184"/>
        <v>0</v>
      </c>
      <c r="ES88" s="148">
        <f t="shared" si="184"/>
        <v>0</v>
      </c>
      <c r="ET88" s="148">
        <f t="shared" si="184"/>
        <v>25</v>
      </c>
      <c r="EU88" s="148">
        <f t="shared" si="184"/>
        <v>0</v>
      </c>
      <c r="EV88" s="148">
        <f t="shared" si="184"/>
        <v>0</v>
      </c>
      <c r="EW88" s="148">
        <f t="shared" si="184"/>
        <v>0</v>
      </c>
      <c r="EX88" s="148">
        <f t="shared" si="184"/>
        <v>0</v>
      </c>
      <c r="EY88" s="148">
        <f t="shared" si="184"/>
        <v>0</v>
      </c>
      <c r="EZ88" s="148">
        <f t="shared" si="184"/>
        <v>0</v>
      </c>
      <c r="FA88" s="150">
        <f t="shared" si="181"/>
        <v>775</v>
      </c>
      <c r="FB88" s="151">
        <f t="shared" si="181"/>
        <v>1458</v>
      </c>
      <c r="FC88" s="151">
        <f t="shared" si="181"/>
        <v>61</v>
      </c>
      <c r="FD88" s="152">
        <f t="shared" si="181"/>
        <v>25</v>
      </c>
      <c r="FE88" s="792" t="str">
        <f>IF(FB88&lt;инфо!$AN$75,FB88-инфо!$AN$75,"")</f>
        <v/>
      </c>
      <c r="FF88" s="153"/>
      <c r="FG88" s="153"/>
      <c r="FH88" s="153"/>
    </row>
    <row r="89" spans="2:164" ht="26.1" customHeight="1" outlineLevel="1" thickBot="1" x14ac:dyDescent="0.3">
      <c r="B89" s="1018"/>
      <c r="C89" s="1020"/>
      <c r="D89" s="1057" t="s">
        <v>117</v>
      </c>
      <c r="E89" s="1063" t="s">
        <v>114</v>
      </c>
      <c r="F89" s="842" t="s">
        <v>117</v>
      </c>
      <c r="G89" s="808" t="str">
        <f>VLOOKUP(H89,инфо!AD:AE,2,FALSE)</f>
        <v>Первые блюда</v>
      </c>
      <c r="H89" s="583" t="s">
        <v>1204</v>
      </c>
      <c r="I89" s="588" t="s">
        <v>1320</v>
      </c>
      <c r="J89" s="470"/>
      <c r="K89" s="471">
        <v>20</v>
      </c>
      <c r="L89" s="471"/>
      <c r="M89" s="471"/>
      <c r="N89" s="471"/>
      <c r="O89" s="471"/>
      <c r="P89" s="471"/>
      <c r="Q89" s="471"/>
      <c r="R89" s="471"/>
      <c r="S89" s="471"/>
      <c r="T89" s="471"/>
      <c r="U89" s="471"/>
      <c r="V89" s="471"/>
      <c r="W89" s="472"/>
      <c r="X89" s="472"/>
      <c r="Y89" s="472"/>
      <c r="Z89" s="472"/>
      <c r="AA89" s="472"/>
      <c r="AB89" s="472"/>
      <c r="AC89" s="472"/>
      <c r="AD89" s="472">
        <v>190</v>
      </c>
      <c r="AE89" s="472"/>
      <c r="AF89" s="472">
        <v>5</v>
      </c>
      <c r="AG89" s="472">
        <v>5</v>
      </c>
      <c r="AH89" s="472"/>
      <c r="AI89" s="472"/>
      <c r="AJ89" s="472"/>
      <c r="AK89" s="472"/>
      <c r="AL89" s="472"/>
      <c r="AM89" s="472"/>
      <c r="AN89" s="472"/>
      <c r="AO89" s="472">
        <v>5</v>
      </c>
      <c r="AP89" s="472"/>
      <c r="AQ89" s="472"/>
      <c r="AR89" s="472"/>
      <c r="AS89" s="472"/>
      <c r="AT89" s="472"/>
      <c r="AU89" s="472"/>
      <c r="AV89" s="472"/>
      <c r="AW89" s="472"/>
      <c r="AX89" s="472"/>
      <c r="AY89" s="472"/>
      <c r="AZ89" s="472"/>
      <c r="BA89" s="472"/>
      <c r="BB89" s="472"/>
      <c r="BC89" s="472"/>
      <c r="BD89" s="472"/>
      <c r="BE89" s="473"/>
      <c r="BF89" s="473"/>
      <c r="BG89" s="473"/>
      <c r="BH89" s="473"/>
      <c r="BI89" s="473"/>
      <c r="BJ89" s="473"/>
      <c r="BK89" s="473"/>
      <c r="BL89" s="473"/>
      <c r="BM89" s="473"/>
      <c r="BN89" s="474"/>
      <c r="BO89" s="474">
        <v>4</v>
      </c>
      <c r="BP89" s="474"/>
      <c r="BQ89" s="474"/>
      <c r="BR89" s="474"/>
      <c r="BS89" s="474"/>
      <c r="BT89" s="474"/>
      <c r="BU89" s="474"/>
      <c r="BV89" s="471"/>
      <c r="BW89" s="471"/>
      <c r="BX89" s="471"/>
      <c r="BY89" s="471"/>
      <c r="BZ89" s="471"/>
      <c r="CA89" s="471"/>
      <c r="CB89" s="471"/>
      <c r="CC89" s="475"/>
      <c r="CD89" s="475"/>
      <c r="CE89" s="475"/>
      <c r="CF89" s="475"/>
      <c r="CG89" s="475"/>
      <c r="CH89" s="475"/>
      <c r="CI89" s="475"/>
      <c r="CJ89" s="475"/>
      <c r="CK89" s="475"/>
      <c r="CL89" s="475"/>
      <c r="CM89" s="475"/>
      <c r="CN89" s="475"/>
      <c r="CO89" s="475"/>
      <c r="CP89" s="475"/>
      <c r="CQ89" s="475"/>
      <c r="CR89" s="475"/>
      <c r="CS89" s="476"/>
      <c r="CT89" s="476"/>
      <c r="CU89" s="476"/>
      <c r="CV89" s="476"/>
      <c r="CW89" s="476"/>
      <c r="CX89" s="476"/>
      <c r="CY89" s="476"/>
      <c r="CZ89" s="476"/>
      <c r="DA89" s="476"/>
      <c r="DB89" s="476"/>
      <c r="DC89" s="476"/>
      <c r="DD89" s="476"/>
      <c r="DE89" s="476"/>
      <c r="DF89" s="476"/>
      <c r="DG89" s="476"/>
      <c r="DH89" s="476"/>
      <c r="DI89" s="476"/>
      <c r="DJ89" s="476"/>
      <c r="DK89" s="476"/>
      <c r="DL89" s="476"/>
      <c r="DM89" s="476"/>
      <c r="DN89" s="942"/>
      <c r="DO89" s="477"/>
      <c r="DP89" s="477">
        <v>4</v>
      </c>
      <c r="DQ89" s="478"/>
      <c r="DR89" s="478"/>
      <c r="DS89" s="473"/>
      <c r="DT89" s="473"/>
      <c r="DU89" s="473"/>
      <c r="DV89" s="473"/>
      <c r="DW89" s="473"/>
      <c r="DX89" s="473"/>
      <c r="DY89" s="473"/>
      <c r="DZ89" s="473"/>
      <c r="EA89" s="473"/>
      <c r="EB89" s="473">
        <v>400</v>
      </c>
      <c r="EC89" s="473"/>
      <c r="ED89" s="473"/>
      <c r="EE89" s="473"/>
      <c r="EF89" s="473"/>
      <c r="EG89" s="473"/>
      <c r="EH89" s="473"/>
      <c r="EI89" s="473"/>
      <c r="EJ89" s="473"/>
      <c r="EK89" s="473"/>
      <c r="EL89" s="473"/>
      <c r="EM89" s="473"/>
      <c r="EN89" s="473"/>
      <c r="EO89" s="473"/>
      <c r="EP89" s="473"/>
      <c r="EQ89" s="473"/>
      <c r="ER89" s="473"/>
      <c r="ES89" s="473"/>
      <c r="ET89" s="473"/>
      <c r="EU89" s="473"/>
      <c r="EV89" s="473"/>
      <c r="EW89" s="473"/>
      <c r="EX89" s="473"/>
      <c r="EY89" s="473"/>
      <c r="EZ89" s="473"/>
      <c r="FA89" s="377">
        <v>263</v>
      </c>
      <c r="FB89" s="378">
        <v>525</v>
      </c>
      <c r="FC89" s="378"/>
      <c r="FD89" s="379">
        <f t="shared" ref="FD89:FD100" si="185">SUM(BE89:BG89,BI89,BL89:BM89)+SUM(BH89,BJ89,BK89)*5</f>
        <v>0</v>
      </c>
      <c r="FE89" s="790"/>
    </row>
    <row r="90" spans="2:164" ht="26.1" customHeight="1" outlineLevel="1" thickBot="1" x14ac:dyDescent="0.3">
      <c r="B90" s="1018"/>
      <c r="C90" s="1020"/>
      <c r="D90" s="1058"/>
      <c r="E90" s="1064"/>
      <c r="F90" s="843" t="s">
        <v>117</v>
      </c>
      <c r="G90" s="809" t="str">
        <f>VLOOKUP(H90,инфо!AD:AE,2,FALSE)</f>
        <v>Гарниры</v>
      </c>
      <c r="H90" s="584" t="s">
        <v>1199</v>
      </c>
      <c r="I90" s="572"/>
      <c r="J90" s="479"/>
      <c r="K90" s="480"/>
      <c r="L90" s="480"/>
      <c r="M90" s="480"/>
      <c r="N90" s="480"/>
      <c r="O90" s="480"/>
      <c r="P90" s="480"/>
      <c r="Q90" s="480"/>
      <c r="R90" s="480"/>
      <c r="S90" s="480"/>
      <c r="T90" s="480"/>
      <c r="U90" s="480"/>
      <c r="V90" s="480"/>
      <c r="W90" s="481"/>
      <c r="X90" s="481"/>
      <c r="Y90" s="481"/>
      <c r="Z90" s="481"/>
      <c r="AA90" s="481"/>
      <c r="AB90" s="481"/>
      <c r="AC90" s="481"/>
      <c r="AD90" s="481"/>
      <c r="AE90" s="481"/>
      <c r="AF90" s="481"/>
      <c r="AG90" s="481"/>
      <c r="AH90" s="481"/>
      <c r="AI90" s="481"/>
      <c r="AJ90" s="481"/>
      <c r="AK90" s="481"/>
      <c r="AL90" s="481"/>
      <c r="AM90" s="481"/>
      <c r="AN90" s="481"/>
      <c r="AO90" s="481"/>
      <c r="AP90" s="481"/>
      <c r="AQ90" s="481"/>
      <c r="AR90" s="481"/>
      <c r="AS90" s="481"/>
      <c r="AT90" s="481"/>
      <c r="AU90" s="481"/>
      <c r="AV90" s="481"/>
      <c r="AW90" s="481"/>
      <c r="AX90" s="481"/>
      <c r="AY90" s="481"/>
      <c r="AZ90" s="481"/>
      <c r="BA90" s="481"/>
      <c r="BB90" s="481"/>
      <c r="BC90" s="481"/>
      <c r="BD90" s="481"/>
      <c r="BE90" s="482"/>
      <c r="BF90" s="482"/>
      <c r="BG90" s="482"/>
      <c r="BH90" s="482"/>
      <c r="BI90" s="482"/>
      <c r="BJ90" s="482"/>
      <c r="BK90" s="482"/>
      <c r="BL90" s="482"/>
      <c r="BM90" s="482"/>
      <c r="BN90" s="483"/>
      <c r="BO90" s="483"/>
      <c r="BP90" s="483"/>
      <c r="BQ90" s="483"/>
      <c r="BR90" s="483"/>
      <c r="BS90" s="483"/>
      <c r="BT90" s="483"/>
      <c r="BU90" s="483"/>
      <c r="BV90" s="480"/>
      <c r="BW90" s="480"/>
      <c r="BX90" s="480"/>
      <c r="BY90" s="480"/>
      <c r="BZ90" s="480"/>
      <c r="CA90" s="480"/>
      <c r="CB90" s="480"/>
      <c r="CC90" s="484"/>
      <c r="CD90" s="484"/>
      <c r="CE90" s="484"/>
      <c r="CF90" s="484"/>
      <c r="CG90" s="484"/>
      <c r="CH90" s="484"/>
      <c r="CI90" s="484"/>
      <c r="CJ90" s="484"/>
      <c r="CK90" s="484"/>
      <c r="CL90" s="484"/>
      <c r="CM90" s="484"/>
      <c r="CN90" s="484"/>
      <c r="CO90" s="484"/>
      <c r="CP90" s="484"/>
      <c r="CQ90" s="484"/>
      <c r="CR90" s="484"/>
      <c r="CS90" s="485"/>
      <c r="CT90" s="485"/>
      <c r="CU90" s="485"/>
      <c r="CV90" s="485"/>
      <c r="CW90" s="485"/>
      <c r="CX90" s="485"/>
      <c r="CY90" s="485"/>
      <c r="CZ90" s="485"/>
      <c r="DA90" s="485"/>
      <c r="DB90" s="485"/>
      <c r="DC90" s="485"/>
      <c r="DD90" s="485"/>
      <c r="DE90" s="485"/>
      <c r="DF90" s="485"/>
      <c r="DG90" s="485"/>
      <c r="DH90" s="485"/>
      <c r="DI90" s="485"/>
      <c r="DJ90" s="485"/>
      <c r="DK90" s="485"/>
      <c r="DL90" s="485"/>
      <c r="DM90" s="485"/>
      <c r="DN90" s="943"/>
      <c r="DO90" s="486"/>
      <c r="DP90" s="486"/>
      <c r="DQ90" s="487"/>
      <c r="DR90" s="487"/>
      <c r="DS90" s="482"/>
      <c r="DT90" s="482"/>
      <c r="DU90" s="482"/>
      <c r="DV90" s="482"/>
      <c r="DW90" s="482"/>
      <c r="DX90" s="482"/>
      <c r="DY90" s="482"/>
      <c r="DZ90" s="482"/>
      <c r="EA90" s="482"/>
      <c r="EB90" s="482"/>
      <c r="EC90" s="482"/>
      <c r="ED90" s="482"/>
      <c r="EE90" s="482"/>
      <c r="EF90" s="482"/>
      <c r="EG90" s="482"/>
      <c r="EH90" s="482"/>
      <c r="EI90" s="482"/>
      <c r="EJ90" s="482"/>
      <c r="EK90" s="482"/>
      <c r="EL90" s="482"/>
      <c r="EM90" s="482"/>
      <c r="EN90" s="482"/>
      <c r="EO90" s="482"/>
      <c r="EP90" s="482"/>
      <c r="EQ90" s="482"/>
      <c r="ER90" s="482"/>
      <c r="ES90" s="482"/>
      <c r="ET90" s="482"/>
      <c r="EU90" s="482"/>
      <c r="EV90" s="482"/>
      <c r="EW90" s="482"/>
      <c r="EX90" s="482"/>
      <c r="EY90" s="482"/>
      <c r="EZ90" s="482"/>
      <c r="FA90" s="377"/>
      <c r="FB90" s="378"/>
      <c r="FC90" s="378"/>
      <c r="FD90" s="379">
        <f t="shared" si="185"/>
        <v>0</v>
      </c>
      <c r="FE90" s="790"/>
    </row>
    <row r="91" spans="2:164" ht="26.1" customHeight="1" outlineLevel="1" thickBot="1" x14ac:dyDescent="0.3">
      <c r="B91" s="1018"/>
      <c r="C91" s="1020"/>
      <c r="D91" s="1058"/>
      <c r="E91" s="1064"/>
      <c r="F91" s="843" t="s">
        <v>117</v>
      </c>
      <c r="G91" s="809" t="str">
        <f>VLOOKUP(H91,инфо!AD:AE,2,FALSE)</f>
        <v>Мясные (рыбные) блюда с соусом</v>
      </c>
      <c r="H91" s="584" t="s">
        <v>1208</v>
      </c>
      <c r="I91" s="572"/>
      <c r="J91" s="479"/>
      <c r="K91" s="480"/>
      <c r="L91" s="480"/>
      <c r="M91" s="480"/>
      <c r="N91" s="480"/>
      <c r="O91" s="480"/>
      <c r="P91" s="480"/>
      <c r="Q91" s="480"/>
      <c r="R91" s="480"/>
      <c r="S91" s="480"/>
      <c r="T91" s="480"/>
      <c r="U91" s="480"/>
      <c r="V91" s="480"/>
      <c r="W91" s="481"/>
      <c r="X91" s="481"/>
      <c r="Y91" s="481"/>
      <c r="Z91" s="481"/>
      <c r="AA91" s="481"/>
      <c r="AB91" s="481"/>
      <c r="AC91" s="481"/>
      <c r="AD91" s="481"/>
      <c r="AE91" s="481"/>
      <c r="AF91" s="481"/>
      <c r="AG91" s="481"/>
      <c r="AH91" s="481"/>
      <c r="AI91" s="481"/>
      <c r="AJ91" s="481"/>
      <c r="AK91" s="481"/>
      <c r="AL91" s="481"/>
      <c r="AM91" s="481"/>
      <c r="AN91" s="481"/>
      <c r="AO91" s="481"/>
      <c r="AP91" s="481"/>
      <c r="AQ91" s="481"/>
      <c r="AR91" s="481"/>
      <c r="AS91" s="481"/>
      <c r="AT91" s="481"/>
      <c r="AU91" s="481"/>
      <c r="AV91" s="481"/>
      <c r="AW91" s="481"/>
      <c r="AX91" s="481"/>
      <c r="AY91" s="481"/>
      <c r="AZ91" s="481"/>
      <c r="BA91" s="481"/>
      <c r="BB91" s="481"/>
      <c r="BC91" s="481"/>
      <c r="BD91" s="481"/>
      <c r="BE91" s="482"/>
      <c r="BF91" s="482"/>
      <c r="BG91" s="482"/>
      <c r="BH91" s="482"/>
      <c r="BI91" s="482"/>
      <c r="BJ91" s="482"/>
      <c r="BK91" s="482"/>
      <c r="BL91" s="482"/>
      <c r="BM91" s="482"/>
      <c r="BN91" s="483"/>
      <c r="BO91" s="483"/>
      <c r="BP91" s="483"/>
      <c r="BQ91" s="483"/>
      <c r="BR91" s="483"/>
      <c r="BS91" s="483"/>
      <c r="BT91" s="483"/>
      <c r="BU91" s="483"/>
      <c r="BV91" s="480"/>
      <c r="BW91" s="480"/>
      <c r="BX91" s="480"/>
      <c r="BY91" s="480"/>
      <c r="BZ91" s="480"/>
      <c r="CA91" s="480"/>
      <c r="CB91" s="480"/>
      <c r="CC91" s="484"/>
      <c r="CD91" s="484"/>
      <c r="CE91" s="484"/>
      <c r="CF91" s="484"/>
      <c r="CG91" s="484"/>
      <c r="CH91" s="484"/>
      <c r="CI91" s="484"/>
      <c r="CJ91" s="484"/>
      <c r="CK91" s="484"/>
      <c r="CL91" s="484"/>
      <c r="CM91" s="484"/>
      <c r="CN91" s="484"/>
      <c r="CO91" s="484"/>
      <c r="CP91" s="484"/>
      <c r="CQ91" s="484"/>
      <c r="CR91" s="484"/>
      <c r="CS91" s="485"/>
      <c r="CT91" s="485"/>
      <c r="CU91" s="485"/>
      <c r="CV91" s="485"/>
      <c r="CW91" s="485"/>
      <c r="CX91" s="485"/>
      <c r="CY91" s="485"/>
      <c r="CZ91" s="485"/>
      <c r="DA91" s="485"/>
      <c r="DB91" s="485"/>
      <c r="DC91" s="485"/>
      <c r="DD91" s="485"/>
      <c r="DE91" s="485"/>
      <c r="DF91" s="485"/>
      <c r="DG91" s="485"/>
      <c r="DH91" s="485"/>
      <c r="DI91" s="485"/>
      <c r="DJ91" s="485"/>
      <c r="DK91" s="485"/>
      <c r="DL91" s="485"/>
      <c r="DM91" s="485"/>
      <c r="DN91" s="943"/>
      <c r="DO91" s="486"/>
      <c r="DP91" s="486"/>
      <c r="DQ91" s="487"/>
      <c r="DR91" s="487"/>
      <c r="DS91" s="482"/>
      <c r="DT91" s="482"/>
      <c r="DU91" s="482"/>
      <c r="DV91" s="482"/>
      <c r="DW91" s="482"/>
      <c r="DX91" s="482"/>
      <c r="DY91" s="482"/>
      <c r="DZ91" s="482"/>
      <c r="EA91" s="482"/>
      <c r="EB91" s="482"/>
      <c r="EC91" s="482"/>
      <c r="ED91" s="482"/>
      <c r="EE91" s="482"/>
      <c r="EF91" s="482"/>
      <c r="EG91" s="482"/>
      <c r="EH91" s="482"/>
      <c r="EI91" s="482"/>
      <c r="EJ91" s="482"/>
      <c r="EK91" s="482"/>
      <c r="EL91" s="482"/>
      <c r="EM91" s="482"/>
      <c r="EN91" s="482"/>
      <c r="EO91" s="482"/>
      <c r="EP91" s="482"/>
      <c r="EQ91" s="482"/>
      <c r="ER91" s="482"/>
      <c r="ES91" s="482"/>
      <c r="ET91" s="482"/>
      <c r="EU91" s="482"/>
      <c r="EV91" s="482"/>
      <c r="EW91" s="482"/>
      <c r="EX91" s="482"/>
      <c r="EY91" s="482"/>
      <c r="EZ91" s="482"/>
      <c r="FA91" s="377"/>
      <c r="FB91" s="378"/>
      <c r="FC91" s="378"/>
      <c r="FD91" s="379">
        <f t="shared" si="185"/>
        <v>0</v>
      </c>
      <c r="FE91" s="790"/>
    </row>
    <row r="92" spans="2:164" ht="26.1" customHeight="1" outlineLevel="1" thickBot="1" x14ac:dyDescent="0.3">
      <c r="B92" s="1018"/>
      <c r="C92" s="1020"/>
      <c r="D92" s="1058"/>
      <c r="E92" s="1065"/>
      <c r="F92" s="844" t="s">
        <v>117</v>
      </c>
      <c r="G92" s="810" t="str">
        <f>VLOOKUP(H92,инфо!AD:AE,2,FALSE)</f>
        <v>Прочее</v>
      </c>
      <c r="H92" s="585" t="s">
        <v>1197</v>
      </c>
      <c r="I92" s="573"/>
      <c r="J92" s="488"/>
      <c r="K92" s="489"/>
      <c r="L92" s="489"/>
      <c r="M92" s="489"/>
      <c r="N92" s="489"/>
      <c r="O92" s="489"/>
      <c r="P92" s="489"/>
      <c r="Q92" s="489"/>
      <c r="R92" s="489"/>
      <c r="S92" s="489"/>
      <c r="T92" s="489"/>
      <c r="U92" s="489"/>
      <c r="V92" s="489"/>
      <c r="W92" s="490"/>
      <c r="X92" s="490"/>
      <c r="Y92" s="490"/>
      <c r="Z92" s="490"/>
      <c r="AA92" s="490"/>
      <c r="AB92" s="490"/>
      <c r="AC92" s="490"/>
      <c r="AD92" s="490"/>
      <c r="AE92" s="490"/>
      <c r="AF92" s="490"/>
      <c r="AG92" s="490"/>
      <c r="AH92" s="490"/>
      <c r="AI92" s="490"/>
      <c r="AJ92" s="490"/>
      <c r="AK92" s="490"/>
      <c r="AL92" s="490"/>
      <c r="AM92" s="490"/>
      <c r="AN92" s="490"/>
      <c r="AO92" s="490"/>
      <c r="AP92" s="490"/>
      <c r="AQ92" s="490"/>
      <c r="AR92" s="490"/>
      <c r="AS92" s="490"/>
      <c r="AT92" s="490"/>
      <c r="AU92" s="490"/>
      <c r="AV92" s="490"/>
      <c r="AW92" s="490"/>
      <c r="AX92" s="490"/>
      <c r="AY92" s="490"/>
      <c r="AZ92" s="490"/>
      <c r="BA92" s="490"/>
      <c r="BB92" s="490"/>
      <c r="BC92" s="490"/>
      <c r="BD92" s="490"/>
      <c r="BE92" s="491"/>
      <c r="BF92" s="491"/>
      <c r="BG92" s="491"/>
      <c r="BH92" s="491"/>
      <c r="BI92" s="491"/>
      <c r="BJ92" s="491"/>
      <c r="BK92" s="491"/>
      <c r="BL92" s="491"/>
      <c r="BM92" s="491"/>
      <c r="BN92" s="492"/>
      <c r="BO92" s="492"/>
      <c r="BP92" s="492"/>
      <c r="BQ92" s="492"/>
      <c r="BR92" s="492"/>
      <c r="BS92" s="492"/>
      <c r="BT92" s="492"/>
      <c r="BU92" s="492"/>
      <c r="BV92" s="489"/>
      <c r="BW92" s="489"/>
      <c r="BX92" s="489"/>
      <c r="BY92" s="489"/>
      <c r="BZ92" s="489"/>
      <c r="CA92" s="489"/>
      <c r="CB92" s="489"/>
      <c r="CC92" s="493"/>
      <c r="CD92" s="493"/>
      <c r="CE92" s="493"/>
      <c r="CF92" s="493"/>
      <c r="CG92" s="493"/>
      <c r="CH92" s="493"/>
      <c r="CI92" s="493"/>
      <c r="CJ92" s="493"/>
      <c r="CK92" s="493"/>
      <c r="CL92" s="493"/>
      <c r="CM92" s="493"/>
      <c r="CN92" s="493"/>
      <c r="CO92" s="493"/>
      <c r="CP92" s="493"/>
      <c r="CQ92" s="493"/>
      <c r="CR92" s="493"/>
      <c r="CS92" s="494"/>
      <c r="CT92" s="494"/>
      <c r="CU92" s="494"/>
      <c r="CV92" s="494"/>
      <c r="CW92" s="494"/>
      <c r="CX92" s="494"/>
      <c r="CY92" s="494"/>
      <c r="CZ92" s="494"/>
      <c r="DA92" s="494"/>
      <c r="DB92" s="494"/>
      <c r="DC92" s="494"/>
      <c r="DD92" s="494"/>
      <c r="DE92" s="494"/>
      <c r="DF92" s="494"/>
      <c r="DG92" s="494"/>
      <c r="DH92" s="494"/>
      <c r="DI92" s="494"/>
      <c r="DJ92" s="494"/>
      <c r="DK92" s="494"/>
      <c r="DL92" s="494"/>
      <c r="DM92" s="494"/>
      <c r="DN92" s="944"/>
      <c r="DO92" s="495"/>
      <c r="DP92" s="495"/>
      <c r="DQ92" s="496"/>
      <c r="DR92" s="496"/>
      <c r="DS92" s="491"/>
      <c r="DT92" s="491"/>
      <c r="DU92" s="491"/>
      <c r="DV92" s="491"/>
      <c r="DW92" s="491"/>
      <c r="DX92" s="491"/>
      <c r="DY92" s="491"/>
      <c r="DZ92" s="491"/>
      <c r="EA92" s="491"/>
      <c r="EB92" s="491"/>
      <c r="EC92" s="491"/>
      <c r="ED92" s="491"/>
      <c r="EE92" s="491"/>
      <c r="EF92" s="491"/>
      <c r="EG92" s="491"/>
      <c r="EH92" s="491"/>
      <c r="EI92" s="491"/>
      <c r="EJ92" s="491"/>
      <c r="EK92" s="491"/>
      <c r="EL92" s="491"/>
      <c r="EM92" s="491"/>
      <c r="EN92" s="491"/>
      <c r="EO92" s="491"/>
      <c r="EP92" s="491"/>
      <c r="EQ92" s="491"/>
      <c r="ER92" s="491"/>
      <c r="ES92" s="491"/>
      <c r="ET92" s="491"/>
      <c r="EU92" s="491"/>
      <c r="EV92" s="491"/>
      <c r="EW92" s="491"/>
      <c r="EX92" s="491"/>
      <c r="EY92" s="491"/>
      <c r="EZ92" s="491"/>
      <c r="FA92" s="389"/>
      <c r="FB92" s="390"/>
      <c r="FC92" s="390"/>
      <c r="FD92" s="391">
        <f t="shared" si="185"/>
        <v>0</v>
      </c>
      <c r="FE92" s="790"/>
    </row>
    <row r="93" spans="2:164" ht="26.1" customHeight="1" outlineLevel="1" thickBot="1" x14ac:dyDescent="0.3">
      <c r="B93" s="1018"/>
      <c r="C93" s="1020"/>
      <c r="D93" s="1058"/>
      <c r="E93" s="1064" t="s">
        <v>115</v>
      </c>
      <c r="F93" s="842" t="s">
        <v>117</v>
      </c>
      <c r="G93" s="808" t="str">
        <f>VLOOKUP(H93,инфо!AD:AE,2,FALSE)</f>
        <v>Гарниры</v>
      </c>
      <c r="H93" s="586" t="s">
        <v>1199</v>
      </c>
      <c r="I93" s="588" t="s">
        <v>1041</v>
      </c>
      <c r="J93" s="497">
        <v>83</v>
      </c>
      <c r="K93" s="498"/>
      <c r="L93" s="498"/>
      <c r="M93" s="498"/>
      <c r="N93" s="498"/>
      <c r="O93" s="498"/>
      <c r="P93" s="498"/>
      <c r="Q93" s="498"/>
      <c r="R93" s="498"/>
      <c r="S93" s="498"/>
      <c r="T93" s="498"/>
      <c r="U93" s="498"/>
      <c r="V93" s="498"/>
      <c r="W93" s="499"/>
      <c r="X93" s="499"/>
      <c r="Y93" s="499"/>
      <c r="Z93" s="499"/>
      <c r="AA93" s="499"/>
      <c r="AB93" s="499"/>
      <c r="AC93" s="499"/>
      <c r="AD93" s="499"/>
      <c r="AE93" s="499"/>
      <c r="AF93" s="499"/>
      <c r="AG93" s="499"/>
      <c r="AH93" s="499"/>
      <c r="AI93" s="499"/>
      <c r="AJ93" s="499"/>
      <c r="AK93" s="499"/>
      <c r="AL93" s="499"/>
      <c r="AM93" s="499"/>
      <c r="AN93" s="499"/>
      <c r="AO93" s="499"/>
      <c r="AP93" s="499"/>
      <c r="AQ93" s="499"/>
      <c r="AR93" s="499"/>
      <c r="AS93" s="499"/>
      <c r="AT93" s="499"/>
      <c r="AU93" s="499"/>
      <c r="AV93" s="499"/>
      <c r="AW93" s="499"/>
      <c r="AX93" s="499"/>
      <c r="AY93" s="499"/>
      <c r="AZ93" s="499"/>
      <c r="BA93" s="499"/>
      <c r="BB93" s="499"/>
      <c r="BC93" s="499"/>
      <c r="BD93" s="499"/>
      <c r="BE93" s="500"/>
      <c r="BF93" s="500"/>
      <c r="BG93" s="500"/>
      <c r="BH93" s="500"/>
      <c r="BI93" s="500"/>
      <c r="BJ93" s="500"/>
      <c r="BK93" s="500"/>
      <c r="BL93" s="500"/>
      <c r="BM93" s="500"/>
      <c r="BN93" s="501"/>
      <c r="BO93" s="501"/>
      <c r="BP93" s="501"/>
      <c r="BQ93" s="501"/>
      <c r="BR93" s="501"/>
      <c r="BS93" s="501"/>
      <c r="BT93" s="501"/>
      <c r="BU93" s="501"/>
      <c r="BV93" s="498"/>
      <c r="BW93" s="498"/>
      <c r="BX93" s="498"/>
      <c r="BY93" s="498"/>
      <c r="BZ93" s="498"/>
      <c r="CA93" s="498"/>
      <c r="CB93" s="498"/>
      <c r="CC93" s="502"/>
      <c r="CD93" s="502"/>
      <c r="CE93" s="502"/>
      <c r="CF93" s="502"/>
      <c r="CG93" s="502"/>
      <c r="CH93" s="502"/>
      <c r="CI93" s="502"/>
      <c r="CJ93" s="502"/>
      <c r="CK93" s="502"/>
      <c r="CL93" s="502"/>
      <c r="CM93" s="502"/>
      <c r="CN93" s="502"/>
      <c r="CO93" s="502"/>
      <c r="CP93" s="502"/>
      <c r="CQ93" s="502"/>
      <c r="CR93" s="502"/>
      <c r="CS93" s="503"/>
      <c r="CT93" s="503"/>
      <c r="CU93" s="503"/>
      <c r="CV93" s="503"/>
      <c r="CW93" s="503"/>
      <c r="CX93" s="503"/>
      <c r="CY93" s="503"/>
      <c r="CZ93" s="503"/>
      <c r="DA93" s="503"/>
      <c r="DB93" s="503"/>
      <c r="DC93" s="503"/>
      <c r="DD93" s="503"/>
      <c r="DE93" s="503"/>
      <c r="DF93" s="503"/>
      <c r="DG93" s="503"/>
      <c r="DH93" s="503"/>
      <c r="DI93" s="503"/>
      <c r="DJ93" s="503"/>
      <c r="DK93" s="503"/>
      <c r="DL93" s="503"/>
      <c r="DM93" s="503"/>
      <c r="DN93" s="945"/>
      <c r="DO93" s="504"/>
      <c r="DP93" s="504">
        <v>10</v>
      </c>
      <c r="DQ93" s="505"/>
      <c r="DR93" s="505"/>
      <c r="DS93" s="500"/>
      <c r="DT93" s="500"/>
      <c r="DU93" s="500"/>
      <c r="DV93" s="500"/>
      <c r="DW93" s="500"/>
      <c r="DX93" s="500"/>
      <c r="DY93" s="500"/>
      <c r="DZ93" s="500"/>
      <c r="EA93" s="500">
        <v>207.5</v>
      </c>
      <c r="EB93" s="500"/>
      <c r="EC93" s="500"/>
      <c r="ED93" s="500"/>
      <c r="EE93" s="500"/>
      <c r="EF93" s="500"/>
      <c r="EG93" s="500"/>
      <c r="EH93" s="500"/>
      <c r="EI93" s="500"/>
      <c r="EJ93" s="500"/>
      <c r="EK93" s="500"/>
      <c r="EL93" s="500"/>
      <c r="EM93" s="500"/>
      <c r="EN93" s="500"/>
      <c r="EO93" s="500"/>
      <c r="EP93" s="500"/>
      <c r="EQ93" s="500"/>
      <c r="ER93" s="500"/>
      <c r="ES93" s="500"/>
      <c r="ET93" s="500"/>
      <c r="EU93" s="500"/>
      <c r="EV93" s="500"/>
      <c r="EW93" s="500"/>
      <c r="EX93" s="500"/>
      <c r="EY93" s="500"/>
      <c r="EZ93" s="500"/>
      <c r="FA93" s="364"/>
      <c r="FB93" s="365">
        <v>174</v>
      </c>
      <c r="FC93" s="365"/>
      <c r="FD93" s="367">
        <f t="shared" si="185"/>
        <v>0</v>
      </c>
      <c r="FE93" s="790"/>
    </row>
    <row r="94" spans="2:164" ht="26.1" customHeight="1" outlineLevel="1" thickBot="1" x14ac:dyDescent="0.3">
      <c r="B94" s="1018"/>
      <c r="C94" s="1020"/>
      <c r="D94" s="1058"/>
      <c r="E94" s="1064"/>
      <c r="F94" s="843" t="s">
        <v>117</v>
      </c>
      <c r="G94" s="809" t="str">
        <f>VLOOKUP(H94,инфо!AD:AE,2,FALSE)</f>
        <v>Мясные (рыбные) блюда с соусом</v>
      </c>
      <c r="H94" s="584" t="s">
        <v>1208</v>
      </c>
      <c r="I94" s="589" t="s">
        <v>783</v>
      </c>
      <c r="J94" s="479"/>
      <c r="K94" s="480"/>
      <c r="L94" s="480"/>
      <c r="M94" s="480"/>
      <c r="N94" s="480"/>
      <c r="O94" s="480"/>
      <c r="P94" s="480"/>
      <c r="Q94" s="480"/>
      <c r="R94" s="480"/>
      <c r="S94" s="480"/>
      <c r="T94" s="480"/>
      <c r="U94" s="480"/>
      <c r="V94" s="480"/>
      <c r="W94" s="481"/>
      <c r="X94" s="481">
        <v>7</v>
      </c>
      <c r="Y94" s="481"/>
      <c r="Z94" s="481"/>
      <c r="AA94" s="481"/>
      <c r="AB94" s="481"/>
      <c r="AC94" s="481"/>
      <c r="AD94" s="481"/>
      <c r="AE94" s="481"/>
      <c r="AF94" s="481"/>
      <c r="AG94" s="481"/>
      <c r="AH94" s="481"/>
      <c r="AI94" s="481"/>
      <c r="AJ94" s="481"/>
      <c r="AK94" s="481"/>
      <c r="AL94" s="481"/>
      <c r="AM94" s="481"/>
      <c r="AN94" s="481"/>
      <c r="AO94" s="481"/>
      <c r="AP94" s="481"/>
      <c r="AQ94" s="481"/>
      <c r="AR94" s="481"/>
      <c r="AS94" s="481"/>
      <c r="AT94" s="481"/>
      <c r="AU94" s="481"/>
      <c r="AV94" s="481"/>
      <c r="AW94" s="481"/>
      <c r="AX94" s="481"/>
      <c r="AY94" s="481"/>
      <c r="AZ94" s="481"/>
      <c r="BA94" s="481"/>
      <c r="BB94" s="481"/>
      <c r="BC94" s="481"/>
      <c r="BD94" s="481"/>
      <c r="BE94" s="482"/>
      <c r="BF94" s="482"/>
      <c r="BG94" s="482"/>
      <c r="BH94" s="482"/>
      <c r="BI94" s="482"/>
      <c r="BJ94" s="482"/>
      <c r="BK94" s="482"/>
      <c r="BL94" s="482"/>
      <c r="BM94" s="482"/>
      <c r="BN94" s="483"/>
      <c r="BO94" s="483">
        <v>5</v>
      </c>
      <c r="BP94" s="483"/>
      <c r="BQ94" s="483"/>
      <c r="BR94" s="483"/>
      <c r="BS94" s="483"/>
      <c r="BT94" s="483"/>
      <c r="BU94" s="483"/>
      <c r="BV94" s="480"/>
      <c r="BW94" s="480"/>
      <c r="BX94" s="480"/>
      <c r="BY94" s="480"/>
      <c r="BZ94" s="480"/>
      <c r="CA94" s="480"/>
      <c r="CB94" s="480"/>
      <c r="CC94" s="484"/>
      <c r="CD94" s="484"/>
      <c r="CE94" s="484"/>
      <c r="CF94" s="484"/>
      <c r="CG94" s="484"/>
      <c r="CH94" s="484"/>
      <c r="CI94" s="484"/>
      <c r="CJ94" s="484"/>
      <c r="CK94" s="484"/>
      <c r="CL94" s="484"/>
      <c r="CM94" s="484"/>
      <c r="CN94" s="484"/>
      <c r="CO94" s="484"/>
      <c r="CP94" s="484"/>
      <c r="CQ94" s="484"/>
      <c r="CR94" s="484"/>
      <c r="CS94" s="485"/>
      <c r="CT94" s="485"/>
      <c r="CU94" s="485"/>
      <c r="CV94" s="485"/>
      <c r="CW94" s="485"/>
      <c r="CX94" s="485"/>
      <c r="CY94" s="485"/>
      <c r="CZ94" s="485"/>
      <c r="DA94" s="485"/>
      <c r="DB94" s="485"/>
      <c r="DC94" s="485"/>
      <c r="DD94" s="485"/>
      <c r="DE94" s="485"/>
      <c r="DF94" s="485"/>
      <c r="DG94" s="485">
        <v>120</v>
      </c>
      <c r="DH94" s="485"/>
      <c r="DI94" s="485"/>
      <c r="DJ94" s="485"/>
      <c r="DK94" s="485"/>
      <c r="DL94" s="485"/>
      <c r="DM94" s="485"/>
      <c r="DN94" s="943"/>
      <c r="DO94" s="486"/>
      <c r="DP94" s="486">
        <v>2</v>
      </c>
      <c r="DQ94" s="487"/>
      <c r="DR94" s="487">
        <v>0.01</v>
      </c>
      <c r="DS94" s="482"/>
      <c r="DT94" s="482"/>
      <c r="DU94" s="482"/>
      <c r="DV94" s="482"/>
      <c r="DW94" s="482"/>
      <c r="DX94" s="482"/>
      <c r="DY94" s="482"/>
      <c r="DZ94" s="482"/>
      <c r="EA94" s="482"/>
      <c r="EB94" s="482"/>
      <c r="EC94" s="482"/>
      <c r="ED94" s="482"/>
      <c r="EE94" s="482"/>
      <c r="EF94" s="482"/>
      <c r="EG94" s="482"/>
      <c r="EH94" s="482"/>
      <c r="EI94" s="482"/>
      <c r="EJ94" s="482"/>
      <c r="EK94" s="482"/>
      <c r="EL94" s="482"/>
      <c r="EM94" s="482"/>
      <c r="EN94" s="482"/>
      <c r="EO94" s="482"/>
      <c r="EP94" s="482"/>
      <c r="EQ94" s="482"/>
      <c r="ER94" s="482"/>
      <c r="ES94" s="482"/>
      <c r="ET94" s="482"/>
      <c r="EU94" s="482"/>
      <c r="EV94" s="482"/>
      <c r="EW94" s="482"/>
      <c r="EX94" s="482"/>
      <c r="EY94" s="482"/>
      <c r="EZ94" s="482"/>
      <c r="FA94" s="377"/>
      <c r="FB94" s="378">
        <v>54</v>
      </c>
      <c r="FC94" s="378">
        <v>54</v>
      </c>
      <c r="FD94" s="379">
        <f t="shared" si="185"/>
        <v>0</v>
      </c>
      <c r="FE94" s="790"/>
    </row>
    <row r="95" spans="2:164" ht="26.1" customHeight="1" outlineLevel="1" thickBot="1" x14ac:dyDescent="0.3">
      <c r="B95" s="1018"/>
      <c r="C95" s="1020"/>
      <c r="D95" s="1058"/>
      <c r="E95" s="1064"/>
      <c r="F95" s="843" t="s">
        <v>117</v>
      </c>
      <c r="G95" s="809" t="str">
        <f>VLOOKUP(H95,инфо!AD:AE,2,FALSE)</f>
        <v>Прочее</v>
      </c>
      <c r="H95" s="584" t="s">
        <v>1197</v>
      </c>
      <c r="I95" s="589" t="s">
        <v>141</v>
      </c>
      <c r="J95" s="479"/>
      <c r="K95" s="480"/>
      <c r="L95" s="480"/>
      <c r="M95" s="480"/>
      <c r="N95" s="480"/>
      <c r="O95" s="480"/>
      <c r="P95" s="480"/>
      <c r="Q95" s="480"/>
      <c r="R95" s="480"/>
      <c r="S95" s="480"/>
      <c r="T95" s="480"/>
      <c r="U95" s="480"/>
      <c r="V95" s="480"/>
      <c r="W95" s="481"/>
      <c r="X95" s="481"/>
      <c r="Y95" s="481"/>
      <c r="Z95" s="481"/>
      <c r="AA95" s="481"/>
      <c r="AB95" s="481"/>
      <c r="AC95" s="481"/>
      <c r="AD95" s="481"/>
      <c r="AE95" s="481"/>
      <c r="AF95" s="481"/>
      <c r="AG95" s="481"/>
      <c r="AH95" s="481"/>
      <c r="AI95" s="481"/>
      <c r="AJ95" s="481"/>
      <c r="AK95" s="481"/>
      <c r="AL95" s="481"/>
      <c r="AM95" s="481"/>
      <c r="AN95" s="481"/>
      <c r="AO95" s="481"/>
      <c r="AP95" s="481"/>
      <c r="AQ95" s="481"/>
      <c r="AR95" s="481"/>
      <c r="AS95" s="481"/>
      <c r="AT95" s="481"/>
      <c r="AU95" s="481">
        <v>20</v>
      </c>
      <c r="AV95" s="481"/>
      <c r="AW95" s="481"/>
      <c r="AX95" s="481"/>
      <c r="AY95" s="481"/>
      <c r="AZ95" s="481"/>
      <c r="BA95" s="481"/>
      <c r="BB95" s="481"/>
      <c r="BC95" s="481"/>
      <c r="BD95" s="481"/>
      <c r="BE95" s="482"/>
      <c r="BF95" s="482"/>
      <c r="BG95" s="482"/>
      <c r="BH95" s="482"/>
      <c r="BI95" s="482"/>
      <c r="BJ95" s="482"/>
      <c r="BK95" s="482"/>
      <c r="BL95" s="482"/>
      <c r="BM95" s="482"/>
      <c r="BN95" s="483"/>
      <c r="BO95" s="483"/>
      <c r="BP95" s="483"/>
      <c r="BQ95" s="483"/>
      <c r="BR95" s="483"/>
      <c r="BS95" s="483"/>
      <c r="BT95" s="483"/>
      <c r="BU95" s="483"/>
      <c r="BV95" s="480"/>
      <c r="BW95" s="480"/>
      <c r="BX95" s="480"/>
      <c r="BY95" s="480"/>
      <c r="BZ95" s="480"/>
      <c r="CA95" s="480"/>
      <c r="CB95" s="480"/>
      <c r="CC95" s="484"/>
      <c r="CD95" s="484"/>
      <c r="CE95" s="484"/>
      <c r="CF95" s="484"/>
      <c r="CG95" s="484"/>
      <c r="CH95" s="484"/>
      <c r="CI95" s="484"/>
      <c r="CJ95" s="484"/>
      <c r="CK95" s="484"/>
      <c r="CL95" s="484"/>
      <c r="CM95" s="484"/>
      <c r="CN95" s="484"/>
      <c r="CO95" s="484"/>
      <c r="CP95" s="484"/>
      <c r="CQ95" s="484"/>
      <c r="CR95" s="484"/>
      <c r="CS95" s="485"/>
      <c r="CT95" s="485"/>
      <c r="CU95" s="485"/>
      <c r="CV95" s="485"/>
      <c r="CW95" s="485"/>
      <c r="CX95" s="485"/>
      <c r="CY95" s="485"/>
      <c r="CZ95" s="485"/>
      <c r="DA95" s="485"/>
      <c r="DB95" s="485"/>
      <c r="DC95" s="485"/>
      <c r="DD95" s="485"/>
      <c r="DE95" s="485"/>
      <c r="DF95" s="485"/>
      <c r="DG95" s="485"/>
      <c r="DH95" s="485"/>
      <c r="DI95" s="485"/>
      <c r="DJ95" s="485"/>
      <c r="DK95" s="485"/>
      <c r="DL95" s="485"/>
      <c r="DM95" s="485"/>
      <c r="DN95" s="943"/>
      <c r="DO95" s="486"/>
      <c r="DP95" s="486"/>
      <c r="DQ95" s="487"/>
      <c r="DR95" s="487"/>
      <c r="DS95" s="482"/>
      <c r="DT95" s="482"/>
      <c r="DU95" s="482"/>
      <c r="DV95" s="482"/>
      <c r="DW95" s="482"/>
      <c r="DX95" s="482"/>
      <c r="DY95" s="482"/>
      <c r="DZ95" s="482"/>
      <c r="EA95" s="482"/>
      <c r="EB95" s="482"/>
      <c r="EC95" s="482"/>
      <c r="ED95" s="482"/>
      <c r="EE95" s="482"/>
      <c r="EF95" s="482"/>
      <c r="EG95" s="482"/>
      <c r="EH95" s="482"/>
      <c r="EI95" s="482"/>
      <c r="EJ95" s="482"/>
      <c r="EK95" s="482"/>
      <c r="EL95" s="482"/>
      <c r="EM95" s="482"/>
      <c r="EN95" s="482"/>
      <c r="EO95" s="482"/>
      <c r="EP95" s="482"/>
      <c r="EQ95" s="482"/>
      <c r="ER95" s="482"/>
      <c r="ES95" s="482"/>
      <c r="ET95" s="482"/>
      <c r="EU95" s="482"/>
      <c r="EV95" s="482"/>
      <c r="EW95" s="482"/>
      <c r="EX95" s="482"/>
      <c r="EY95" s="482"/>
      <c r="EZ95" s="482"/>
      <c r="FA95" s="377"/>
      <c r="FB95" s="378">
        <v>20</v>
      </c>
      <c r="FC95" s="378"/>
      <c r="FD95" s="379">
        <f t="shared" si="185"/>
        <v>0</v>
      </c>
      <c r="FE95" s="790"/>
    </row>
    <row r="96" spans="2:164" ht="26.1" customHeight="1" outlineLevel="1" thickBot="1" x14ac:dyDescent="0.3">
      <c r="B96" s="1018"/>
      <c r="C96" s="1020"/>
      <c r="D96" s="1058"/>
      <c r="E96" s="1064"/>
      <c r="F96" s="845" t="s">
        <v>117</v>
      </c>
      <c r="G96" s="811" t="str">
        <f>VLOOKUP(H96,инфо!AD:AE,2,FALSE)</f>
        <v>Прочее</v>
      </c>
      <c r="H96" s="587" t="s">
        <v>1197</v>
      </c>
      <c r="I96" s="606" t="s">
        <v>50</v>
      </c>
      <c r="J96" s="506"/>
      <c r="K96" s="507"/>
      <c r="L96" s="507"/>
      <c r="M96" s="507"/>
      <c r="N96" s="507"/>
      <c r="O96" s="507"/>
      <c r="P96" s="507"/>
      <c r="Q96" s="507"/>
      <c r="R96" s="507"/>
      <c r="S96" s="507"/>
      <c r="T96" s="507"/>
      <c r="U96" s="507"/>
      <c r="V96" s="507"/>
      <c r="W96" s="508"/>
      <c r="X96" s="508"/>
      <c r="Y96" s="508"/>
      <c r="Z96" s="508">
        <v>50</v>
      </c>
      <c r="AA96" s="508">
        <v>100</v>
      </c>
      <c r="AB96" s="508"/>
      <c r="AC96" s="508"/>
      <c r="AD96" s="508"/>
      <c r="AE96" s="508"/>
      <c r="AF96" s="508"/>
      <c r="AG96" s="508"/>
      <c r="AH96" s="508"/>
      <c r="AI96" s="508"/>
      <c r="AJ96" s="508"/>
      <c r="AK96" s="508"/>
      <c r="AL96" s="508"/>
      <c r="AM96" s="508"/>
      <c r="AN96" s="508"/>
      <c r="AO96" s="508"/>
      <c r="AP96" s="508"/>
      <c r="AQ96" s="508"/>
      <c r="AR96" s="508"/>
      <c r="AS96" s="508"/>
      <c r="AT96" s="508"/>
      <c r="AU96" s="508"/>
      <c r="AV96" s="508"/>
      <c r="AW96" s="508"/>
      <c r="AX96" s="508"/>
      <c r="AY96" s="508"/>
      <c r="AZ96" s="508"/>
      <c r="BA96" s="508"/>
      <c r="BB96" s="508"/>
      <c r="BC96" s="508"/>
      <c r="BD96" s="508"/>
      <c r="BE96" s="509"/>
      <c r="BF96" s="509"/>
      <c r="BG96" s="509"/>
      <c r="BH96" s="509"/>
      <c r="BI96" s="509"/>
      <c r="BJ96" s="509"/>
      <c r="BK96" s="509"/>
      <c r="BL96" s="509"/>
      <c r="BM96" s="509"/>
      <c r="BN96" s="510"/>
      <c r="BO96" s="510"/>
      <c r="BP96" s="510"/>
      <c r="BQ96" s="510"/>
      <c r="BR96" s="510"/>
      <c r="BS96" s="510"/>
      <c r="BT96" s="510"/>
      <c r="BU96" s="510"/>
      <c r="BV96" s="507"/>
      <c r="BW96" s="507"/>
      <c r="BX96" s="507"/>
      <c r="BY96" s="507"/>
      <c r="BZ96" s="507"/>
      <c r="CA96" s="507"/>
      <c r="CB96" s="507"/>
      <c r="CC96" s="511"/>
      <c r="CD96" s="511"/>
      <c r="CE96" s="511"/>
      <c r="CF96" s="511"/>
      <c r="CG96" s="511"/>
      <c r="CH96" s="511"/>
      <c r="CI96" s="511"/>
      <c r="CJ96" s="511"/>
      <c r="CK96" s="511"/>
      <c r="CL96" s="511"/>
      <c r="CM96" s="511"/>
      <c r="CN96" s="511"/>
      <c r="CO96" s="511"/>
      <c r="CP96" s="511"/>
      <c r="CQ96" s="511"/>
      <c r="CR96" s="511"/>
      <c r="CS96" s="512"/>
      <c r="CT96" s="512"/>
      <c r="CU96" s="512"/>
      <c r="CV96" s="512"/>
      <c r="CW96" s="512"/>
      <c r="CX96" s="512"/>
      <c r="CY96" s="512"/>
      <c r="CZ96" s="512"/>
      <c r="DA96" s="512"/>
      <c r="DB96" s="512"/>
      <c r="DC96" s="512"/>
      <c r="DD96" s="512"/>
      <c r="DE96" s="512"/>
      <c r="DF96" s="512"/>
      <c r="DG96" s="512"/>
      <c r="DH96" s="512"/>
      <c r="DI96" s="512"/>
      <c r="DJ96" s="512"/>
      <c r="DK96" s="512"/>
      <c r="DL96" s="512"/>
      <c r="DM96" s="512"/>
      <c r="DN96" s="946"/>
      <c r="DO96" s="513"/>
      <c r="DP96" s="513"/>
      <c r="DQ96" s="514"/>
      <c r="DR96" s="514"/>
      <c r="DS96" s="509"/>
      <c r="DT96" s="509"/>
      <c r="DU96" s="509"/>
      <c r="DV96" s="509"/>
      <c r="DW96" s="509"/>
      <c r="DX96" s="509"/>
      <c r="DY96" s="509"/>
      <c r="DZ96" s="509"/>
      <c r="EA96" s="509"/>
      <c r="EB96" s="509"/>
      <c r="EC96" s="509"/>
      <c r="ED96" s="509"/>
      <c r="EE96" s="509"/>
      <c r="EF96" s="509"/>
      <c r="EG96" s="509"/>
      <c r="EH96" s="509"/>
      <c r="EI96" s="509"/>
      <c r="EJ96" s="509"/>
      <c r="EK96" s="509"/>
      <c r="EL96" s="509"/>
      <c r="EM96" s="509"/>
      <c r="EN96" s="509"/>
      <c r="EO96" s="509"/>
      <c r="EP96" s="509"/>
      <c r="EQ96" s="509"/>
      <c r="ER96" s="509"/>
      <c r="ES96" s="509"/>
      <c r="ET96" s="509"/>
      <c r="EU96" s="509"/>
      <c r="EV96" s="509"/>
      <c r="EW96" s="509"/>
      <c r="EX96" s="509"/>
      <c r="EY96" s="509"/>
      <c r="EZ96" s="509"/>
      <c r="FA96" s="402"/>
      <c r="FB96" s="403">
        <v>150</v>
      </c>
      <c r="FC96" s="403"/>
      <c r="FD96" s="404">
        <f t="shared" si="185"/>
        <v>0</v>
      </c>
      <c r="FE96" s="790"/>
    </row>
    <row r="97" spans="2:164" ht="26.1" customHeight="1" outlineLevel="1" thickBot="1" x14ac:dyDescent="0.3">
      <c r="B97" s="1018"/>
      <c r="C97" s="1020"/>
      <c r="D97" s="1058"/>
      <c r="E97" s="1063" t="s">
        <v>116</v>
      </c>
      <c r="F97" s="846" t="s">
        <v>117</v>
      </c>
      <c r="G97" s="812" t="str">
        <f>VLOOKUP(H97,инфо!AD:AE,2,FALSE)</f>
        <v>Прочее</v>
      </c>
      <c r="H97" s="583" t="s">
        <v>1197</v>
      </c>
      <c r="I97" s="588" t="s">
        <v>60</v>
      </c>
      <c r="J97" s="470"/>
      <c r="K97" s="471"/>
      <c r="L97" s="471"/>
      <c r="M97" s="471"/>
      <c r="N97" s="471"/>
      <c r="O97" s="471"/>
      <c r="P97" s="471"/>
      <c r="Q97" s="471"/>
      <c r="R97" s="471"/>
      <c r="S97" s="471"/>
      <c r="T97" s="471"/>
      <c r="U97" s="471"/>
      <c r="V97" s="471"/>
      <c r="W97" s="472"/>
      <c r="X97" s="472"/>
      <c r="Y97" s="472"/>
      <c r="Z97" s="472"/>
      <c r="AA97" s="472"/>
      <c r="AB97" s="472"/>
      <c r="AC97" s="472"/>
      <c r="AD97" s="472"/>
      <c r="AE97" s="472"/>
      <c r="AF97" s="472"/>
      <c r="AG97" s="472"/>
      <c r="AH97" s="472"/>
      <c r="AI97" s="472"/>
      <c r="AJ97" s="472"/>
      <c r="AK97" s="472"/>
      <c r="AL97" s="472"/>
      <c r="AM97" s="472"/>
      <c r="AN97" s="472"/>
      <c r="AO97" s="472"/>
      <c r="AP97" s="472"/>
      <c r="AQ97" s="472"/>
      <c r="AR97" s="472"/>
      <c r="AS97" s="472"/>
      <c r="AT97" s="472"/>
      <c r="AU97" s="472"/>
      <c r="AV97" s="472"/>
      <c r="AW97" s="472"/>
      <c r="AX97" s="472"/>
      <c r="AY97" s="472"/>
      <c r="AZ97" s="472"/>
      <c r="BA97" s="472"/>
      <c r="BB97" s="472"/>
      <c r="BC97" s="472"/>
      <c r="BD97" s="472"/>
      <c r="BE97" s="473"/>
      <c r="BF97" s="473"/>
      <c r="BG97" s="473"/>
      <c r="BH97" s="473"/>
      <c r="BI97" s="473"/>
      <c r="BJ97" s="473"/>
      <c r="BK97" s="473"/>
      <c r="BL97" s="473"/>
      <c r="BM97" s="473"/>
      <c r="BN97" s="474">
        <v>15</v>
      </c>
      <c r="BO97" s="474"/>
      <c r="BP97" s="474"/>
      <c r="BQ97" s="474"/>
      <c r="BR97" s="474"/>
      <c r="BS97" s="474"/>
      <c r="BT97" s="474"/>
      <c r="BU97" s="474"/>
      <c r="BV97" s="471"/>
      <c r="BW97" s="471"/>
      <c r="BX97" s="471"/>
      <c r="BY97" s="471"/>
      <c r="BZ97" s="471"/>
      <c r="CA97" s="471"/>
      <c r="CB97" s="471"/>
      <c r="CC97" s="475"/>
      <c r="CD97" s="475"/>
      <c r="CE97" s="475"/>
      <c r="CF97" s="475"/>
      <c r="CG97" s="475"/>
      <c r="CH97" s="475"/>
      <c r="CI97" s="475"/>
      <c r="CJ97" s="475"/>
      <c r="CK97" s="475"/>
      <c r="CL97" s="475"/>
      <c r="CM97" s="475"/>
      <c r="CN97" s="475"/>
      <c r="CO97" s="475"/>
      <c r="CP97" s="475"/>
      <c r="CQ97" s="475"/>
      <c r="CR97" s="475"/>
      <c r="CS97" s="476"/>
      <c r="CT97" s="476"/>
      <c r="CU97" s="476"/>
      <c r="CV97" s="476"/>
      <c r="CW97" s="476"/>
      <c r="CX97" s="476"/>
      <c r="CY97" s="476"/>
      <c r="CZ97" s="476"/>
      <c r="DA97" s="476"/>
      <c r="DB97" s="476"/>
      <c r="DC97" s="476"/>
      <c r="DD97" s="476"/>
      <c r="DE97" s="476"/>
      <c r="DF97" s="476"/>
      <c r="DG97" s="476"/>
      <c r="DH97" s="476"/>
      <c r="DI97" s="476"/>
      <c r="DJ97" s="476"/>
      <c r="DK97" s="476"/>
      <c r="DL97" s="476"/>
      <c r="DM97" s="476"/>
      <c r="DN97" s="942"/>
      <c r="DO97" s="477"/>
      <c r="DP97" s="477"/>
      <c r="DQ97" s="478"/>
      <c r="DR97" s="478"/>
      <c r="DS97" s="473"/>
      <c r="DT97" s="473"/>
      <c r="DU97" s="473"/>
      <c r="DV97" s="473"/>
      <c r="DW97" s="473"/>
      <c r="DX97" s="473"/>
      <c r="DY97" s="473"/>
      <c r="DZ97" s="473"/>
      <c r="EA97" s="473"/>
      <c r="EB97" s="473"/>
      <c r="EC97" s="473"/>
      <c r="ED97" s="473"/>
      <c r="EE97" s="473"/>
      <c r="EF97" s="473"/>
      <c r="EG97" s="473"/>
      <c r="EH97" s="473"/>
      <c r="EI97" s="473"/>
      <c r="EJ97" s="473"/>
      <c r="EK97" s="473"/>
      <c r="EL97" s="473"/>
      <c r="EM97" s="473"/>
      <c r="EN97" s="473"/>
      <c r="EO97" s="473"/>
      <c r="EP97" s="473"/>
      <c r="EQ97" s="473"/>
      <c r="ER97" s="473"/>
      <c r="ES97" s="473"/>
      <c r="ET97" s="473"/>
      <c r="EU97" s="473"/>
      <c r="EV97" s="473"/>
      <c r="EW97" s="473"/>
      <c r="EX97" s="473"/>
      <c r="EY97" s="473"/>
      <c r="EZ97" s="473"/>
      <c r="FA97" s="415"/>
      <c r="FB97" s="416">
        <v>15</v>
      </c>
      <c r="FC97" s="416"/>
      <c r="FD97" s="417">
        <f t="shared" si="185"/>
        <v>0</v>
      </c>
      <c r="FE97" s="790"/>
    </row>
    <row r="98" spans="2:164" ht="26.1" customHeight="1" outlineLevel="1" thickBot="1" x14ac:dyDescent="0.3">
      <c r="B98" s="1018"/>
      <c r="C98" s="1020"/>
      <c r="D98" s="1058"/>
      <c r="E98" s="1064"/>
      <c r="F98" s="843" t="s">
        <v>117</v>
      </c>
      <c r="G98" s="809" t="str">
        <f>VLOOKUP(H98,инфо!AD:AE,2,FALSE)</f>
        <v>Напитки</v>
      </c>
      <c r="H98" s="584" t="s">
        <v>1195</v>
      </c>
      <c r="I98" s="589" t="s">
        <v>75</v>
      </c>
      <c r="J98" s="479"/>
      <c r="K98" s="480"/>
      <c r="L98" s="480"/>
      <c r="M98" s="480"/>
      <c r="N98" s="480"/>
      <c r="O98" s="480"/>
      <c r="P98" s="480"/>
      <c r="Q98" s="480"/>
      <c r="R98" s="480"/>
      <c r="S98" s="480"/>
      <c r="T98" s="480"/>
      <c r="U98" s="480"/>
      <c r="V98" s="480"/>
      <c r="W98" s="481"/>
      <c r="X98" s="481"/>
      <c r="Y98" s="481"/>
      <c r="Z98" s="481"/>
      <c r="AA98" s="481"/>
      <c r="AB98" s="481"/>
      <c r="AC98" s="481"/>
      <c r="AD98" s="481"/>
      <c r="AE98" s="481"/>
      <c r="AF98" s="481"/>
      <c r="AG98" s="481"/>
      <c r="AH98" s="481"/>
      <c r="AI98" s="481"/>
      <c r="AJ98" s="481"/>
      <c r="AK98" s="481"/>
      <c r="AL98" s="481"/>
      <c r="AM98" s="481"/>
      <c r="AN98" s="481"/>
      <c r="AO98" s="481"/>
      <c r="AP98" s="481"/>
      <c r="AQ98" s="481"/>
      <c r="AR98" s="481"/>
      <c r="AS98" s="481"/>
      <c r="AT98" s="481"/>
      <c r="AU98" s="481"/>
      <c r="AV98" s="481"/>
      <c r="AW98" s="481"/>
      <c r="AX98" s="481"/>
      <c r="AY98" s="481"/>
      <c r="AZ98" s="481"/>
      <c r="BA98" s="481"/>
      <c r="BB98" s="481"/>
      <c r="BC98" s="481"/>
      <c r="BD98" s="481"/>
      <c r="BE98" s="482"/>
      <c r="BF98" s="482"/>
      <c r="BG98" s="482"/>
      <c r="BH98" s="482"/>
      <c r="BI98" s="482"/>
      <c r="BJ98" s="482"/>
      <c r="BK98" s="482"/>
      <c r="BL98" s="482"/>
      <c r="BM98" s="482"/>
      <c r="BN98" s="483"/>
      <c r="BO98" s="483"/>
      <c r="BP98" s="483"/>
      <c r="BQ98" s="483"/>
      <c r="BR98" s="483"/>
      <c r="BS98" s="483"/>
      <c r="BT98" s="483"/>
      <c r="BU98" s="483"/>
      <c r="BV98" s="480"/>
      <c r="BW98" s="480"/>
      <c r="BX98" s="480"/>
      <c r="BY98" s="480"/>
      <c r="BZ98" s="480"/>
      <c r="CA98" s="480"/>
      <c r="CB98" s="480"/>
      <c r="CC98" s="484"/>
      <c r="CD98" s="484"/>
      <c r="CE98" s="484"/>
      <c r="CF98" s="484"/>
      <c r="CG98" s="484"/>
      <c r="CH98" s="484"/>
      <c r="CI98" s="484"/>
      <c r="CJ98" s="484"/>
      <c r="CK98" s="484"/>
      <c r="CL98" s="484"/>
      <c r="CM98" s="484"/>
      <c r="CN98" s="484"/>
      <c r="CO98" s="484"/>
      <c r="CP98" s="484"/>
      <c r="CQ98" s="484"/>
      <c r="CR98" s="484"/>
      <c r="CS98" s="485"/>
      <c r="CT98" s="485"/>
      <c r="CU98" s="485"/>
      <c r="CV98" s="485"/>
      <c r="CW98" s="485"/>
      <c r="CX98" s="485"/>
      <c r="CY98" s="485"/>
      <c r="CZ98" s="485"/>
      <c r="DA98" s="485"/>
      <c r="DB98" s="485"/>
      <c r="DC98" s="485"/>
      <c r="DD98" s="485"/>
      <c r="DE98" s="485"/>
      <c r="DF98" s="485"/>
      <c r="DG98" s="485"/>
      <c r="DH98" s="485"/>
      <c r="DI98" s="485"/>
      <c r="DJ98" s="485"/>
      <c r="DK98" s="485"/>
      <c r="DL98" s="485"/>
      <c r="DM98" s="485"/>
      <c r="DN98" s="943"/>
      <c r="DO98" s="486"/>
      <c r="DP98" s="486"/>
      <c r="DQ98" s="487"/>
      <c r="DR98" s="487"/>
      <c r="DS98" s="482"/>
      <c r="DT98" s="482"/>
      <c r="DU98" s="482"/>
      <c r="DV98" s="482"/>
      <c r="DW98" s="482"/>
      <c r="DX98" s="482"/>
      <c r="DY98" s="482"/>
      <c r="DZ98" s="482"/>
      <c r="EA98" s="482"/>
      <c r="EB98" s="482"/>
      <c r="EC98" s="482">
        <v>200</v>
      </c>
      <c r="ED98" s="482"/>
      <c r="EE98" s="482"/>
      <c r="EF98" s="482"/>
      <c r="EG98" s="482"/>
      <c r="EH98" s="482"/>
      <c r="EI98" s="482"/>
      <c r="EJ98" s="482"/>
      <c r="EK98" s="482"/>
      <c r="EL98" s="482"/>
      <c r="EM98" s="482"/>
      <c r="EN98" s="482"/>
      <c r="EO98" s="482"/>
      <c r="EP98" s="482"/>
      <c r="EQ98" s="482"/>
      <c r="ER98" s="482"/>
      <c r="ES98" s="482"/>
      <c r="ET98" s="482"/>
      <c r="EU98" s="482"/>
      <c r="EV98" s="482"/>
      <c r="EW98" s="482"/>
      <c r="EX98" s="482"/>
      <c r="EY98" s="482"/>
      <c r="EZ98" s="482"/>
      <c r="FA98" s="377"/>
      <c r="FB98" s="378">
        <v>200</v>
      </c>
      <c r="FC98" s="378"/>
      <c r="FD98" s="379">
        <f t="shared" si="185"/>
        <v>0</v>
      </c>
      <c r="FE98" s="790"/>
    </row>
    <row r="99" spans="2:164" ht="26.1" customHeight="1" outlineLevel="1" thickBot="1" x14ac:dyDescent="0.3">
      <c r="B99" s="1018"/>
      <c r="C99" s="1020"/>
      <c r="D99" s="1058"/>
      <c r="E99" s="1064"/>
      <c r="F99" s="843" t="s">
        <v>117</v>
      </c>
      <c r="G99" s="809" t="str">
        <f>VLOOKUP(H99,инфо!AD:AE,2,FALSE)</f>
        <v>Прочее</v>
      </c>
      <c r="H99" s="584" t="s">
        <v>1197</v>
      </c>
      <c r="I99" s="589" t="s">
        <v>60</v>
      </c>
      <c r="J99" s="479"/>
      <c r="K99" s="480"/>
      <c r="L99" s="480"/>
      <c r="M99" s="480"/>
      <c r="N99" s="480"/>
      <c r="O99" s="480"/>
      <c r="P99" s="480"/>
      <c r="Q99" s="480"/>
      <c r="R99" s="480"/>
      <c r="S99" s="480"/>
      <c r="T99" s="480"/>
      <c r="U99" s="480"/>
      <c r="V99" s="480"/>
      <c r="W99" s="481"/>
      <c r="X99" s="481"/>
      <c r="Y99" s="481"/>
      <c r="Z99" s="481"/>
      <c r="AA99" s="481"/>
      <c r="AB99" s="481"/>
      <c r="AC99" s="481"/>
      <c r="AD99" s="481"/>
      <c r="AE99" s="481"/>
      <c r="AF99" s="481"/>
      <c r="AG99" s="481"/>
      <c r="AH99" s="481"/>
      <c r="AI99" s="481"/>
      <c r="AJ99" s="481"/>
      <c r="AK99" s="481"/>
      <c r="AL99" s="481"/>
      <c r="AM99" s="481"/>
      <c r="AN99" s="481"/>
      <c r="AO99" s="481"/>
      <c r="AP99" s="481"/>
      <c r="AQ99" s="481"/>
      <c r="AR99" s="481"/>
      <c r="AS99" s="481"/>
      <c r="AT99" s="481"/>
      <c r="AU99" s="481"/>
      <c r="AV99" s="481"/>
      <c r="AW99" s="481"/>
      <c r="AX99" s="481"/>
      <c r="AY99" s="481"/>
      <c r="AZ99" s="481"/>
      <c r="BA99" s="481"/>
      <c r="BB99" s="481"/>
      <c r="BC99" s="481"/>
      <c r="BD99" s="481"/>
      <c r="BE99" s="482"/>
      <c r="BF99" s="482"/>
      <c r="BG99" s="482"/>
      <c r="BH99" s="482"/>
      <c r="BI99" s="482"/>
      <c r="BJ99" s="482"/>
      <c r="BK99" s="482"/>
      <c r="BL99" s="482"/>
      <c r="BM99" s="482"/>
      <c r="BN99" s="483">
        <v>15</v>
      </c>
      <c r="BO99" s="483"/>
      <c r="BP99" s="483"/>
      <c r="BQ99" s="483"/>
      <c r="BR99" s="483"/>
      <c r="BS99" s="483"/>
      <c r="BT99" s="483"/>
      <c r="BU99" s="483"/>
      <c r="BV99" s="480"/>
      <c r="BW99" s="480"/>
      <c r="BX99" s="480"/>
      <c r="BY99" s="480"/>
      <c r="BZ99" s="480"/>
      <c r="CA99" s="480"/>
      <c r="CB99" s="480"/>
      <c r="CC99" s="484"/>
      <c r="CD99" s="484"/>
      <c r="CE99" s="484"/>
      <c r="CF99" s="484"/>
      <c r="CG99" s="484"/>
      <c r="CH99" s="484"/>
      <c r="CI99" s="484"/>
      <c r="CJ99" s="484"/>
      <c r="CK99" s="484"/>
      <c r="CL99" s="484"/>
      <c r="CM99" s="484"/>
      <c r="CN99" s="484"/>
      <c r="CO99" s="484"/>
      <c r="CP99" s="484"/>
      <c r="CQ99" s="484"/>
      <c r="CR99" s="484"/>
      <c r="CS99" s="485"/>
      <c r="CT99" s="485"/>
      <c r="CU99" s="485"/>
      <c r="CV99" s="485"/>
      <c r="CW99" s="485"/>
      <c r="CX99" s="485"/>
      <c r="CY99" s="485"/>
      <c r="CZ99" s="485"/>
      <c r="DA99" s="485"/>
      <c r="DB99" s="485"/>
      <c r="DC99" s="485"/>
      <c r="DD99" s="485"/>
      <c r="DE99" s="485"/>
      <c r="DF99" s="485"/>
      <c r="DG99" s="485"/>
      <c r="DH99" s="485"/>
      <c r="DI99" s="485"/>
      <c r="DJ99" s="485"/>
      <c r="DK99" s="485"/>
      <c r="DL99" s="485"/>
      <c r="DM99" s="485"/>
      <c r="DN99" s="943"/>
      <c r="DO99" s="486"/>
      <c r="DP99" s="486"/>
      <c r="DQ99" s="487"/>
      <c r="DR99" s="487"/>
      <c r="DS99" s="482"/>
      <c r="DT99" s="482"/>
      <c r="DU99" s="482"/>
      <c r="DV99" s="482"/>
      <c r="DW99" s="482"/>
      <c r="DX99" s="482"/>
      <c r="DY99" s="482"/>
      <c r="DZ99" s="482"/>
      <c r="EA99" s="482"/>
      <c r="EB99" s="482"/>
      <c r="EC99" s="482"/>
      <c r="ED99" s="482"/>
      <c r="EE99" s="482"/>
      <c r="EF99" s="482"/>
      <c r="EG99" s="482"/>
      <c r="EH99" s="482"/>
      <c r="EI99" s="482"/>
      <c r="EJ99" s="482"/>
      <c r="EK99" s="482"/>
      <c r="EL99" s="482"/>
      <c r="EM99" s="482"/>
      <c r="EN99" s="482"/>
      <c r="EO99" s="482"/>
      <c r="EP99" s="482"/>
      <c r="EQ99" s="482"/>
      <c r="ER99" s="482"/>
      <c r="ES99" s="482"/>
      <c r="ET99" s="482"/>
      <c r="EU99" s="482"/>
      <c r="EV99" s="482"/>
      <c r="EW99" s="482"/>
      <c r="EX99" s="482"/>
      <c r="EY99" s="482"/>
      <c r="EZ99" s="482"/>
      <c r="FA99" s="377"/>
      <c r="FB99" s="378">
        <v>15</v>
      </c>
      <c r="FC99" s="378"/>
      <c r="FD99" s="379">
        <f t="shared" si="185"/>
        <v>0</v>
      </c>
      <c r="FE99" s="790"/>
    </row>
    <row r="100" spans="2:164" ht="26.1" customHeight="1" outlineLevel="1" thickBot="1" x14ac:dyDescent="0.3">
      <c r="B100" s="1018"/>
      <c r="C100" s="1020"/>
      <c r="D100" s="1059"/>
      <c r="E100" s="1065"/>
      <c r="F100" s="845" t="s">
        <v>117</v>
      </c>
      <c r="G100" s="811" t="str">
        <f>VLOOKUP(H100,инфо!AD:AE,2,FALSE)</f>
        <v>Прочее</v>
      </c>
      <c r="H100" s="585" t="s">
        <v>1197</v>
      </c>
      <c r="I100" s="593"/>
      <c r="J100" s="488"/>
      <c r="K100" s="489"/>
      <c r="L100" s="489"/>
      <c r="M100" s="489"/>
      <c r="N100" s="489"/>
      <c r="O100" s="489"/>
      <c r="P100" s="489"/>
      <c r="Q100" s="489"/>
      <c r="R100" s="489"/>
      <c r="S100" s="489"/>
      <c r="T100" s="489"/>
      <c r="U100" s="489"/>
      <c r="V100" s="489"/>
      <c r="W100" s="490"/>
      <c r="X100" s="490"/>
      <c r="Y100" s="490"/>
      <c r="Z100" s="490"/>
      <c r="AA100" s="490"/>
      <c r="AB100" s="490"/>
      <c r="AC100" s="490"/>
      <c r="AD100" s="490"/>
      <c r="AE100" s="490"/>
      <c r="AF100" s="490"/>
      <c r="AG100" s="490"/>
      <c r="AH100" s="490"/>
      <c r="AI100" s="490"/>
      <c r="AJ100" s="490"/>
      <c r="AK100" s="490"/>
      <c r="AL100" s="490"/>
      <c r="AM100" s="490"/>
      <c r="AN100" s="490"/>
      <c r="AO100" s="490"/>
      <c r="AP100" s="490"/>
      <c r="AQ100" s="490"/>
      <c r="AR100" s="490"/>
      <c r="AS100" s="490"/>
      <c r="AT100" s="490"/>
      <c r="AU100" s="490"/>
      <c r="AV100" s="490"/>
      <c r="AW100" s="490"/>
      <c r="AX100" s="490"/>
      <c r="AY100" s="490"/>
      <c r="AZ100" s="490"/>
      <c r="BA100" s="490"/>
      <c r="BB100" s="490"/>
      <c r="BC100" s="490"/>
      <c r="BD100" s="490"/>
      <c r="BE100" s="491"/>
      <c r="BF100" s="491"/>
      <c r="BG100" s="491"/>
      <c r="BH100" s="491"/>
      <c r="BI100" s="491"/>
      <c r="BJ100" s="491"/>
      <c r="BK100" s="491"/>
      <c r="BL100" s="491"/>
      <c r="BM100" s="491"/>
      <c r="BN100" s="492"/>
      <c r="BO100" s="492"/>
      <c r="BP100" s="492"/>
      <c r="BQ100" s="492"/>
      <c r="BR100" s="492"/>
      <c r="BS100" s="492"/>
      <c r="BT100" s="492"/>
      <c r="BU100" s="492"/>
      <c r="BV100" s="489"/>
      <c r="BW100" s="489"/>
      <c r="BX100" s="489"/>
      <c r="BY100" s="489"/>
      <c r="BZ100" s="489"/>
      <c r="CA100" s="489"/>
      <c r="CB100" s="489"/>
      <c r="CC100" s="493"/>
      <c r="CD100" s="493"/>
      <c r="CE100" s="493"/>
      <c r="CF100" s="493"/>
      <c r="CG100" s="493"/>
      <c r="CH100" s="493"/>
      <c r="CI100" s="493"/>
      <c r="CJ100" s="493"/>
      <c r="CK100" s="493"/>
      <c r="CL100" s="493"/>
      <c r="CM100" s="493"/>
      <c r="CN100" s="493"/>
      <c r="CO100" s="493"/>
      <c r="CP100" s="493"/>
      <c r="CQ100" s="493"/>
      <c r="CR100" s="493"/>
      <c r="CS100" s="494"/>
      <c r="CT100" s="494"/>
      <c r="CU100" s="494"/>
      <c r="CV100" s="494"/>
      <c r="CW100" s="494"/>
      <c r="CX100" s="494"/>
      <c r="CY100" s="494"/>
      <c r="CZ100" s="494"/>
      <c r="DA100" s="494"/>
      <c r="DB100" s="494"/>
      <c r="DC100" s="494"/>
      <c r="DD100" s="494"/>
      <c r="DE100" s="494"/>
      <c r="DF100" s="494"/>
      <c r="DG100" s="494"/>
      <c r="DH100" s="494"/>
      <c r="DI100" s="494"/>
      <c r="DJ100" s="494"/>
      <c r="DK100" s="494"/>
      <c r="DL100" s="494"/>
      <c r="DM100" s="494"/>
      <c r="DN100" s="944"/>
      <c r="DO100" s="495"/>
      <c r="DP100" s="495"/>
      <c r="DQ100" s="496"/>
      <c r="DR100" s="496"/>
      <c r="DS100" s="491"/>
      <c r="DT100" s="491"/>
      <c r="DU100" s="491"/>
      <c r="DV100" s="491"/>
      <c r="DW100" s="491"/>
      <c r="DX100" s="491"/>
      <c r="DY100" s="491"/>
      <c r="DZ100" s="491"/>
      <c r="EA100" s="491"/>
      <c r="EB100" s="491"/>
      <c r="EC100" s="491"/>
      <c r="ED100" s="491"/>
      <c r="EE100" s="491"/>
      <c r="EF100" s="491"/>
      <c r="EG100" s="491"/>
      <c r="EH100" s="491"/>
      <c r="EI100" s="491"/>
      <c r="EJ100" s="491"/>
      <c r="EK100" s="491"/>
      <c r="EL100" s="491"/>
      <c r="EM100" s="491"/>
      <c r="EN100" s="491"/>
      <c r="EO100" s="491"/>
      <c r="EP100" s="491"/>
      <c r="EQ100" s="491"/>
      <c r="ER100" s="491"/>
      <c r="ES100" s="491"/>
      <c r="ET100" s="491"/>
      <c r="EU100" s="491"/>
      <c r="EV100" s="491"/>
      <c r="EW100" s="491"/>
      <c r="EX100" s="491"/>
      <c r="EY100" s="491"/>
      <c r="EZ100" s="491"/>
      <c r="FA100" s="377"/>
      <c r="FB100" s="378"/>
      <c r="FC100" s="378"/>
      <c r="FD100" s="379">
        <f t="shared" si="185"/>
        <v>0</v>
      </c>
      <c r="FE100" s="790"/>
    </row>
    <row r="101" spans="2:164" s="154" customFormat="1" ht="16.5" customHeight="1" outlineLevel="1" thickBot="1" x14ac:dyDescent="0.4">
      <c r="B101" s="1018"/>
      <c r="C101" s="1020"/>
      <c r="D101" s="145"/>
      <c r="E101" s="317" t="s">
        <v>174</v>
      </c>
      <c r="F101" s="836"/>
      <c r="G101" s="818"/>
      <c r="H101" s="576"/>
      <c r="I101" s="594"/>
      <c r="J101" s="305">
        <f>SUM(J89:J100)</f>
        <v>83</v>
      </c>
      <c r="K101" s="146">
        <f t="shared" ref="K101:CU101" si="186">SUM(K89:K100)</f>
        <v>20</v>
      </c>
      <c r="L101" s="146">
        <f t="shared" si="186"/>
        <v>0</v>
      </c>
      <c r="M101" s="146">
        <f t="shared" si="186"/>
        <v>0</v>
      </c>
      <c r="N101" s="146">
        <f t="shared" si="186"/>
        <v>0</v>
      </c>
      <c r="O101" s="146">
        <f t="shared" si="186"/>
        <v>0</v>
      </c>
      <c r="P101" s="146">
        <f t="shared" si="186"/>
        <v>0</v>
      </c>
      <c r="Q101" s="146">
        <f t="shared" si="186"/>
        <v>0</v>
      </c>
      <c r="R101" s="146">
        <f t="shared" si="186"/>
        <v>0</v>
      </c>
      <c r="S101" s="146">
        <f t="shared" si="186"/>
        <v>0</v>
      </c>
      <c r="T101" s="146">
        <f t="shared" ref="T101:V101" si="187">SUM(T89:T100)</f>
        <v>0</v>
      </c>
      <c r="U101" s="146">
        <f t="shared" si="187"/>
        <v>0</v>
      </c>
      <c r="V101" s="146">
        <f t="shared" si="187"/>
        <v>0</v>
      </c>
      <c r="W101" s="147">
        <f t="shared" si="186"/>
        <v>0</v>
      </c>
      <c r="X101" s="147">
        <f t="shared" si="186"/>
        <v>7</v>
      </c>
      <c r="Y101" s="147">
        <f t="shared" ref="Y101" si="188">SUM(Y89:Y100)</f>
        <v>0</v>
      </c>
      <c r="Z101" s="147">
        <f t="shared" si="186"/>
        <v>50</v>
      </c>
      <c r="AA101" s="147">
        <f t="shared" si="186"/>
        <v>100</v>
      </c>
      <c r="AB101" s="147">
        <f t="shared" ref="AB101:AC101" si="189">SUM(AB89:AB100)</f>
        <v>0</v>
      </c>
      <c r="AC101" s="147">
        <f t="shared" si="189"/>
        <v>0</v>
      </c>
      <c r="AD101" s="147">
        <f t="shared" si="186"/>
        <v>190</v>
      </c>
      <c r="AE101" s="147">
        <f t="shared" si="186"/>
        <v>0</v>
      </c>
      <c r="AF101" s="147">
        <f t="shared" ref="AF101:AH101" si="190">SUM(AF89:AF100)</f>
        <v>5</v>
      </c>
      <c r="AG101" s="147">
        <f t="shared" si="190"/>
        <v>5</v>
      </c>
      <c r="AH101" s="147">
        <f t="shared" si="190"/>
        <v>0</v>
      </c>
      <c r="AI101" s="147">
        <f t="shared" si="186"/>
        <v>0</v>
      </c>
      <c r="AJ101" s="147">
        <f t="shared" si="186"/>
        <v>0</v>
      </c>
      <c r="AK101" s="147">
        <f t="shared" si="186"/>
        <v>0</v>
      </c>
      <c r="AL101" s="147">
        <f t="shared" si="186"/>
        <v>0</v>
      </c>
      <c r="AM101" s="147">
        <f t="shared" ref="AM101:AS101" si="191">SUM(AM89:AM100)</f>
        <v>0</v>
      </c>
      <c r="AN101" s="147">
        <f t="shared" si="191"/>
        <v>0</v>
      </c>
      <c r="AO101" s="147">
        <f t="shared" si="191"/>
        <v>5</v>
      </c>
      <c r="AP101" s="147">
        <f t="shared" si="191"/>
        <v>0</v>
      </c>
      <c r="AQ101" s="147">
        <f t="shared" si="191"/>
        <v>0</v>
      </c>
      <c r="AR101" s="147">
        <f t="shared" si="191"/>
        <v>0</v>
      </c>
      <c r="AS101" s="147">
        <f t="shared" si="191"/>
        <v>0</v>
      </c>
      <c r="AT101" s="147">
        <f t="shared" si="186"/>
        <v>0</v>
      </c>
      <c r="AU101" s="147">
        <f t="shared" ref="AU101:BD101" si="192">SUM(AU89:AU100)</f>
        <v>20</v>
      </c>
      <c r="AV101" s="147">
        <f t="shared" si="192"/>
        <v>0</v>
      </c>
      <c r="AW101" s="147">
        <f t="shared" si="192"/>
        <v>0</v>
      </c>
      <c r="AX101" s="147">
        <f t="shared" si="192"/>
        <v>0</v>
      </c>
      <c r="AY101" s="147">
        <f t="shared" si="192"/>
        <v>0</v>
      </c>
      <c r="AZ101" s="147">
        <f t="shared" si="192"/>
        <v>0</v>
      </c>
      <c r="BA101" s="147">
        <f t="shared" si="192"/>
        <v>0</v>
      </c>
      <c r="BB101" s="147">
        <f t="shared" si="192"/>
        <v>0</v>
      </c>
      <c r="BC101" s="147">
        <f t="shared" si="192"/>
        <v>0</v>
      </c>
      <c r="BD101" s="147">
        <f t="shared" si="192"/>
        <v>0</v>
      </c>
      <c r="BE101" s="148">
        <f t="shared" ref="BE101:BP101" si="193">SUM(BE89:BE100)</f>
        <v>0</v>
      </c>
      <c r="BF101" s="148">
        <f t="shared" si="193"/>
        <v>0</v>
      </c>
      <c r="BG101" s="148">
        <f t="shared" si="193"/>
        <v>0</v>
      </c>
      <c r="BH101" s="148">
        <f t="shared" si="193"/>
        <v>0</v>
      </c>
      <c r="BI101" s="148">
        <f t="shared" ref="BI101:BL101" si="194">SUM(BI89:BI100)</f>
        <v>0</v>
      </c>
      <c r="BJ101" s="148">
        <f t="shared" si="194"/>
        <v>0</v>
      </c>
      <c r="BK101" s="148">
        <f t="shared" si="194"/>
        <v>0</v>
      </c>
      <c r="BL101" s="148">
        <f t="shared" si="194"/>
        <v>0</v>
      </c>
      <c r="BM101" s="148">
        <f t="shared" si="193"/>
        <v>0</v>
      </c>
      <c r="BN101" s="149">
        <f t="shared" si="193"/>
        <v>30</v>
      </c>
      <c r="BO101" s="149">
        <f t="shared" si="193"/>
        <v>9</v>
      </c>
      <c r="BP101" s="149">
        <f t="shared" si="193"/>
        <v>0</v>
      </c>
      <c r="BQ101" s="149">
        <f t="shared" ref="BQ101" si="195">SUM(BQ89:BQ100)</f>
        <v>0</v>
      </c>
      <c r="BR101" s="149">
        <f t="shared" ref="BR101:BU101" si="196">SUM(BR89:BR100)</f>
        <v>0</v>
      </c>
      <c r="BS101" s="149">
        <f t="shared" si="196"/>
        <v>0</v>
      </c>
      <c r="BT101" s="149">
        <f t="shared" si="196"/>
        <v>0</v>
      </c>
      <c r="BU101" s="149">
        <f t="shared" si="196"/>
        <v>0</v>
      </c>
      <c r="BV101" s="146">
        <f t="shared" ref="BV101:BX101" si="197">SUM(BV89:BV100)</f>
        <v>0</v>
      </c>
      <c r="BW101" s="146">
        <f t="shared" si="197"/>
        <v>0</v>
      </c>
      <c r="BX101" s="146">
        <f t="shared" si="197"/>
        <v>0</v>
      </c>
      <c r="BY101" s="146">
        <f t="shared" ref="BY101:BZ101" si="198">SUM(BY89:BY100)</f>
        <v>0</v>
      </c>
      <c r="BZ101" s="146">
        <f t="shared" si="198"/>
        <v>0</v>
      </c>
      <c r="CA101" s="146">
        <f t="shared" si="186"/>
        <v>0</v>
      </c>
      <c r="CB101" s="146">
        <f t="shared" si="186"/>
        <v>0</v>
      </c>
      <c r="CC101" s="265">
        <f t="shared" si="186"/>
        <v>0</v>
      </c>
      <c r="CD101" s="265">
        <f t="shared" si="186"/>
        <v>0</v>
      </c>
      <c r="CE101" s="265">
        <f t="shared" si="186"/>
        <v>0</v>
      </c>
      <c r="CF101" s="265">
        <f t="shared" si="186"/>
        <v>0</v>
      </c>
      <c r="CG101" s="265">
        <f t="shared" si="186"/>
        <v>0</v>
      </c>
      <c r="CH101" s="265">
        <f t="shared" si="186"/>
        <v>0</v>
      </c>
      <c r="CI101" s="265">
        <f t="shared" si="186"/>
        <v>0</v>
      </c>
      <c r="CJ101" s="265">
        <f t="shared" ref="CJ101" si="199">SUM(CJ89:CJ100)</f>
        <v>0</v>
      </c>
      <c r="CK101" s="265">
        <f t="shared" ref="CK101" si="200">SUM(CK89:CK100)</f>
        <v>0</v>
      </c>
      <c r="CL101" s="265">
        <f t="shared" si="186"/>
        <v>0</v>
      </c>
      <c r="CM101" s="265">
        <f t="shared" si="186"/>
        <v>0</v>
      </c>
      <c r="CN101" s="265">
        <f t="shared" ref="CN101:CQ101" si="201">SUM(CN89:CN100)</f>
        <v>0</v>
      </c>
      <c r="CO101" s="265">
        <f t="shared" si="201"/>
        <v>0</v>
      </c>
      <c r="CP101" s="265">
        <f t="shared" si="201"/>
        <v>0</v>
      </c>
      <c r="CQ101" s="265">
        <f t="shared" si="201"/>
        <v>0</v>
      </c>
      <c r="CR101" s="265">
        <f t="shared" si="186"/>
        <v>0</v>
      </c>
      <c r="CS101" s="281">
        <f t="shared" si="186"/>
        <v>0</v>
      </c>
      <c r="CT101" s="281">
        <f t="shared" ref="CT101" si="202">SUM(CT89:CT100)</f>
        <v>0</v>
      </c>
      <c r="CU101" s="281">
        <f t="shared" si="186"/>
        <v>0</v>
      </c>
      <c r="CV101" s="281">
        <f t="shared" ref="CV101:DE101" si="203">SUM(CV89:CV100)</f>
        <v>0</v>
      </c>
      <c r="CW101" s="281">
        <f t="shared" si="203"/>
        <v>0</v>
      </c>
      <c r="CX101" s="281">
        <f t="shared" si="203"/>
        <v>0</v>
      </c>
      <c r="CY101" s="281">
        <f t="shared" si="203"/>
        <v>0</v>
      </c>
      <c r="CZ101" s="281">
        <f t="shared" ref="CZ101" si="204">SUM(CZ89:CZ100)</f>
        <v>0</v>
      </c>
      <c r="DA101" s="281">
        <f t="shared" si="203"/>
        <v>0</v>
      </c>
      <c r="DB101" s="281">
        <f t="shared" si="203"/>
        <v>0</v>
      </c>
      <c r="DC101" s="281">
        <f t="shared" si="203"/>
        <v>0</v>
      </c>
      <c r="DD101" s="281">
        <f t="shared" si="203"/>
        <v>0</v>
      </c>
      <c r="DE101" s="281">
        <f t="shared" si="203"/>
        <v>0</v>
      </c>
      <c r="DF101" s="281">
        <f t="shared" ref="DF101:FD101" si="205">SUM(DF89:DF100)</f>
        <v>0</v>
      </c>
      <c r="DG101" s="281">
        <f t="shared" si="205"/>
        <v>120</v>
      </c>
      <c r="DH101" s="281">
        <f t="shared" si="205"/>
        <v>0</v>
      </c>
      <c r="DI101" s="281">
        <f t="shared" ref="DI101:DQ101" si="206">SUM(DI89:DI100)</f>
        <v>0</v>
      </c>
      <c r="DJ101" s="281">
        <f t="shared" si="206"/>
        <v>0</v>
      </c>
      <c r="DK101" s="281">
        <f t="shared" si="206"/>
        <v>0</v>
      </c>
      <c r="DL101" s="281">
        <f t="shared" si="206"/>
        <v>0</v>
      </c>
      <c r="DM101" s="281">
        <f t="shared" si="206"/>
        <v>0</v>
      </c>
      <c r="DN101" s="936">
        <f t="shared" si="206"/>
        <v>0</v>
      </c>
      <c r="DO101" s="148">
        <f t="shared" si="206"/>
        <v>0</v>
      </c>
      <c r="DP101" s="148">
        <f t="shared" si="206"/>
        <v>16</v>
      </c>
      <c r="DQ101" s="148">
        <f t="shared" si="206"/>
        <v>0</v>
      </c>
      <c r="DR101" s="148">
        <f t="shared" si="205"/>
        <v>0.01</v>
      </c>
      <c r="DS101" s="148">
        <f t="shared" si="205"/>
        <v>0</v>
      </c>
      <c r="DT101" s="148">
        <f t="shared" si="205"/>
        <v>0</v>
      </c>
      <c r="DU101" s="148">
        <f t="shared" si="205"/>
        <v>0</v>
      </c>
      <c r="DV101" s="148">
        <f t="shared" si="205"/>
        <v>0</v>
      </c>
      <c r="DW101" s="148">
        <f t="shared" si="205"/>
        <v>0</v>
      </c>
      <c r="DX101" s="148">
        <f t="shared" si="205"/>
        <v>0</v>
      </c>
      <c r="DY101" s="148">
        <f t="shared" ref="DY101:EO101" si="207">SUM(DY89:DY100)</f>
        <v>0</v>
      </c>
      <c r="DZ101" s="148">
        <f t="shared" si="207"/>
        <v>0</v>
      </c>
      <c r="EA101" s="148">
        <f t="shared" si="207"/>
        <v>207.5</v>
      </c>
      <c r="EB101" s="148">
        <f t="shared" si="207"/>
        <v>400</v>
      </c>
      <c r="EC101" s="148">
        <f t="shared" si="207"/>
        <v>200</v>
      </c>
      <c r="ED101" s="148">
        <f t="shared" si="207"/>
        <v>0</v>
      </c>
      <c r="EE101" s="148">
        <f t="shared" si="207"/>
        <v>0</v>
      </c>
      <c r="EF101" s="148">
        <f t="shared" si="207"/>
        <v>0</v>
      </c>
      <c r="EG101" s="148">
        <f t="shared" si="207"/>
        <v>0</v>
      </c>
      <c r="EH101" s="148">
        <f t="shared" si="207"/>
        <v>0</v>
      </c>
      <c r="EI101" s="148">
        <f t="shared" si="207"/>
        <v>0</v>
      </c>
      <c r="EJ101" s="148">
        <f t="shared" si="207"/>
        <v>0</v>
      </c>
      <c r="EK101" s="148">
        <f t="shared" si="207"/>
        <v>0</v>
      </c>
      <c r="EL101" s="148">
        <f t="shared" si="207"/>
        <v>0</v>
      </c>
      <c r="EM101" s="148">
        <f t="shared" si="207"/>
        <v>0</v>
      </c>
      <c r="EN101" s="148">
        <f t="shared" si="207"/>
        <v>0</v>
      </c>
      <c r="EO101" s="148">
        <f t="shared" si="207"/>
        <v>0</v>
      </c>
      <c r="EP101" s="148">
        <f t="shared" ref="EP101:EZ101" si="208">SUM(EP89:EP100)</f>
        <v>0</v>
      </c>
      <c r="EQ101" s="148">
        <f t="shared" si="208"/>
        <v>0</v>
      </c>
      <c r="ER101" s="148">
        <f t="shared" si="208"/>
        <v>0</v>
      </c>
      <c r="ES101" s="148">
        <f t="shared" si="208"/>
        <v>0</v>
      </c>
      <c r="ET101" s="148">
        <f t="shared" si="208"/>
        <v>0</v>
      </c>
      <c r="EU101" s="148">
        <f t="shared" si="208"/>
        <v>0</v>
      </c>
      <c r="EV101" s="148">
        <f t="shared" si="208"/>
        <v>0</v>
      </c>
      <c r="EW101" s="148">
        <f t="shared" si="208"/>
        <v>0</v>
      </c>
      <c r="EX101" s="148">
        <f t="shared" si="208"/>
        <v>0</v>
      </c>
      <c r="EY101" s="148">
        <f t="shared" si="208"/>
        <v>0</v>
      </c>
      <c r="EZ101" s="148">
        <f t="shared" si="208"/>
        <v>0</v>
      </c>
      <c r="FA101" s="150">
        <f t="shared" si="205"/>
        <v>263</v>
      </c>
      <c r="FB101" s="151">
        <f t="shared" si="205"/>
        <v>1153</v>
      </c>
      <c r="FC101" s="151">
        <f t="shared" si="205"/>
        <v>54</v>
      </c>
      <c r="FD101" s="152">
        <f t="shared" si="205"/>
        <v>0</v>
      </c>
      <c r="FE101" s="792" t="str">
        <f>IF(FB101&lt;инфо!$AN$76,FB101-инфо!$AN$76,"")</f>
        <v/>
      </c>
      <c r="FF101" s="153"/>
      <c r="FG101" s="153"/>
      <c r="FH101" s="153"/>
    </row>
    <row r="102" spans="2:164" ht="26.1" customHeight="1" outlineLevel="1" thickBot="1" x14ac:dyDescent="0.3">
      <c r="B102" s="1018"/>
      <c r="C102" s="1020"/>
      <c r="D102" s="1054" t="s">
        <v>146</v>
      </c>
      <c r="E102" s="1060"/>
      <c r="F102" s="847" t="s">
        <v>146</v>
      </c>
      <c r="G102" s="813" t="s">
        <v>1492</v>
      </c>
      <c r="H102" s="588" t="s">
        <v>1195</v>
      </c>
      <c r="I102" s="929" t="s">
        <v>1164</v>
      </c>
      <c r="J102" s="515"/>
      <c r="K102" s="516"/>
      <c r="L102" s="516"/>
      <c r="M102" s="516"/>
      <c r="N102" s="516"/>
      <c r="O102" s="516"/>
      <c r="P102" s="516"/>
      <c r="Q102" s="516"/>
      <c r="R102" s="516"/>
      <c r="S102" s="516"/>
      <c r="T102" s="516"/>
      <c r="U102" s="516"/>
      <c r="V102" s="516"/>
      <c r="W102" s="517"/>
      <c r="X102" s="517"/>
      <c r="Y102" s="517"/>
      <c r="Z102" s="517"/>
      <c r="AA102" s="517"/>
      <c r="AB102" s="517"/>
      <c r="AC102" s="517"/>
      <c r="AD102" s="517"/>
      <c r="AE102" s="517"/>
      <c r="AF102" s="517"/>
      <c r="AG102" s="517"/>
      <c r="AH102" s="517"/>
      <c r="AI102" s="517"/>
      <c r="AJ102" s="517"/>
      <c r="AK102" s="517"/>
      <c r="AL102" s="517"/>
      <c r="AM102" s="517"/>
      <c r="AN102" s="517"/>
      <c r="AO102" s="517"/>
      <c r="AP102" s="517"/>
      <c r="AQ102" s="517"/>
      <c r="AR102" s="517"/>
      <c r="AS102" s="517"/>
      <c r="AT102" s="517"/>
      <c r="AU102" s="517"/>
      <c r="AV102" s="517"/>
      <c r="AW102" s="517"/>
      <c r="AX102" s="517"/>
      <c r="AY102" s="517"/>
      <c r="AZ102" s="517"/>
      <c r="BA102" s="517"/>
      <c r="BB102" s="517"/>
      <c r="BC102" s="517"/>
      <c r="BD102" s="517"/>
      <c r="BE102" s="518"/>
      <c r="BF102" s="518"/>
      <c r="BG102" s="518"/>
      <c r="BH102" s="518"/>
      <c r="BI102" s="518"/>
      <c r="BJ102" s="518"/>
      <c r="BK102" s="518"/>
      <c r="BL102" s="518"/>
      <c r="BM102" s="518"/>
      <c r="BN102" s="519"/>
      <c r="BO102" s="519"/>
      <c r="BP102" s="519"/>
      <c r="BQ102" s="519"/>
      <c r="BR102" s="519"/>
      <c r="BS102" s="519"/>
      <c r="BT102" s="519"/>
      <c r="BU102" s="519"/>
      <c r="BV102" s="516"/>
      <c r="BW102" s="516"/>
      <c r="BX102" s="516"/>
      <c r="BY102" s="516"/>
      <c r="BZ102" s="516"/>
      <c r="CA102" s="516"/>
      <c r="CB102" s="516"/>
      <c r="CC102" s="520"/>
      <c r="CD102" s="520"/>
      <c r="CE102" s="520"/>
      <c r="CF102" s="520"/>
      <c r="CG102" s="520"/>
      <c r="CH102" s="520"/>
      <c r="CI102" s="520"/>
      <c r="CJ102" s="520"/>
      <c r="CK102" s="520"/>
      <c r="CL102" s="520"/>
      <c r="CM102" s="520"/>
      <c r="CN102" s="520"/>
      <c r="CO102" s="520"/>
      <c r="CP102" s="520"/>
      <c r="CQ102" s="520"/>
      <c r="CR102" s="520"/>
      <c r="CS102" s="521"/>
      <c r="CT102" s="521"/>
      <c r="CU102" s="521"/>
      <c r="CV102" s="521"/>
      <c r="CW102" s="521"/>
      <c r="CX102" s="521"/>
      <c r="CY102" s="521"/>
      <c r="CZ102" s="521"/>
      <c r="DA102" s="521"/>
      <c r="DB102" s="521"/>
      <c r="DC102" s="521"/>
      <c r="DD102" s="521"/>
      <c r="DE102" s="521"/>
      <c r="DF102" s="521"/>
      <c r="DG102" s="521"/>
      <c r="DH102" s="521"/>
      <c r="DI102" s="521"/>
      <c r="DJ102" s="521"/>
      <c r="DK102" s="521"/>
      <c r="DL102" s="521"/>
      <c r="DM102" s="521"/>
      <c r="DN102" s="947"/>
      <c r="DO102" s="522">
        <v>25</v>
      </c>
      <c r="DP102" s="522"/>
      <c r="DQ102" s="523"/>
      <c r="DR102" s="523"/>
      <c r="DS102" s="518"/>
      <c r="DT102" s="518"/>
      <c r="DU102" s="518"/>
      <c r="DV102" s="518"/>
      <c r="DW102" s="518"/>
      <c r="DX102" s="518"/>
      <c r="DY102" s="518"/>
      <c r="DZ102" s="518"/>
      <c r="EA102" s="518">
        <v>250</v>
      </c>
      <c r="EB102" s="518"/>
      <c r="EC102" s="518"/>
      <c r="ED102" s="518">
        <v>1</v>
      </c>
      <c r="EE102" s="518"/>
      <c r="EF102" s="518"/>
      <c r="EG102" s="518"/>
      <c r="EH102" s="518"/>
      <c r="EI102" s="518"/>
      <c r="EJ102" s="518"/>
      <c r="EK102" s="518"/>
      <c r="EL102" s="518"/>
      <c r="EM102" s="518"/>
      <c r="EN102" s="518"/>
      <c r="EO102" s="518"/>
      <c r="EP102" s="518"/>
      <c r="EQ102" s="518"/>
      <c r="ER102" s="518"/>
      <c r="ES102" s="518"/>
      <c r="ET102" s="518"/>
      <c r="EU102" s="518"/>
      <c r="EV102" s="518"/>
      <c r="EW102" s="518"/>
      <c r="EX102" s="518"/>
      <c r="EY102" s="518"/>
      <c r="EZ102" s="518"/>
      <c r="FA102" s="377"/>
      <c r="FB102" s="378">
        <v>250</v>
      </c>
      <c r="FC102" s="378"/>
      <c r="FD102" s="379">
        <f t="shared" ref="FD102:FD105" si="209">SUM(BE102:BG102,BI102,BL102:BM102)+SUM(BH102,BJ102,BK102)*5</f>
        <v>0</v>
      </c>
      <c r="FE102" s="790"/>
    </row>
    <row r="103" spans="2:164" ht="26.1" customHeight="1" outlineLevel="1" thickBot="1" x14ac:dyDescent="0.3">
      <c r="B103" s="1018"/>
      <c r="C103" s="1020"/>
      <c r="D103" s="1055"/>
      <c r="E103" s="1061"/>
      <c r="F103" s="848" t="s">
        <v>146</v>
      </c>
      <c r="G103" s="814" t="s">
        <v>1492</v>
      </c>
      <c r="H103" s="589" t="s">
        <v>1197</v>
      </c>
      <c r="I103" s="589" t="s">
        <v>53</v>
      </c>
      <c r="J103" s="524"/>
      <c r="K103" s="525"/>
      <c r="L103" s="525"/>
      <c r="M103" s="525"/>
      <c r="N103" s="525"/>
      <c r="O103" s="525"/>
      <c r="P103" s="525"/>
      <c r="Q103" s="525"/>
      <c r="R103" s="525"/>
      <c r="S103" s="525"/>
      <c r="T103" s="525"/>
      <c r="U103" s="525"/>
      <c r="V103" s="525"/>
      <c r="W103" s="526"/>
      <c r="X103" s="526"/>
      <c r="Y103" s="526"/>
      <c r="Z103" s="526"/>
      <c r="AA103" s="526"/>
      <c r="AB103" s="526"/>
      <c r="AC103" s="526"/>
      <c r="AD103" s="526"/>
      <c r="AE103" s="526"/>
      <c r="AF103" s="526"/>
      <c r="AG103" s="526"/>
      <c r="AH103" s="526"/>
      <c r="AI103" s="526"/>
      <c r="AJ103" s="526"/>
      <c r="AK103" s="526"/>
      <c r="AL103" s="526"/>
      <c r="AM103" s="526"/>
      <c r="AN103" s="526"/>
      <c r="AO103" s="526"/>
      <c r="AP103" s="526"/>
      <c r="AQ103" s="526"/>
      <c r="AR103" s="526"/>
      <c r="AS103" s="526"/>
      <c r="AT103" s="526"/>
      <c r="AU103" s="526"/>
      <c r="AV103" s="526"/>
      <c r="AW103" s="526"/>
      <c r="AX103" s="526"/>
      <c r="AY103" s="526"/>
      <c r="AZ103" s="526"/>
      <c r="BA103" s="526"/>
      <c r="BB103" s="526"/>
      <c r="BC103" s="526"/>
      <c r="BD103" s="526"/>
      <c r="BE103" s="527"/>
      <c r="BF103" s="527"/>
      <c r="BG103" s="527"/>
      <c r="BH103" s="527"/>
      <c r="BI103" s="527"/>
      <c r="BJ103" s="527"/>
      <c r="BK103" s="527"/>
      <c r="BL103" s="527"/>
      <c r="BM103" s="527"/>
      <c r="BN103" s="528"/>
      <c r="BO103" s="528"/>
      <c r="BP103" s="528"/>
      <c r="BQ103" s="528"/>
      <c r="BR103" s="528"/>
      <c r="BS103" s="528"/>
      <c r="BT103" s="528"/>
      <c r="BU103" s="528"/>
      <c r="BV103" s="525"/>
      <c r="BW103" s="525"/>
      <c r="BX103" s="525"/>
      <c r="BY103" s="525"/>
      <c r="BZ103" s="525"/>
      <c r="CA103" s="525"/>
      <c r="CB103" s="525"/>
      <c r="CC103" s="529"/>
      <c r="CD103" s="529"/>
      <c r="CE103" s="529"/>
      <c r="CF103" s="529"/>
      <c r="CG103" s="529"/>
      <c r="CH103" s="529"/>
      <c r="CI103" s="529"/>
      <c r="CJ103" s="529"/>
      <c r="CK103" s="529"/>
      <c r="CL103" s="529"/>
      <c r="CM103" s="529"/>
      <c r="CN103" s="529"/>
      <c r="CO103" s="529"/>
      <c r="CP103" s="529"/>
      <c r="CQ103" s="529"/>
      <c r="CR103" s="529"/>
      <c r="CS103" s="530"/>
      <c r="CT103" s="530"/>
      <c r="CU103" s="530"/>
      <c r="CV103" s="530"/>
      <c r="CW103" s="530"/>
      <c r="CX103" s="530"/>
      <c r="CY103" s="530"/>
      <c r="CZ103" s="530"/>
      <c r="DA103" s="530"/>
      <c r="DB103" s="530"/>
      <c r="DC103" s="530"/>
      <c r="DD103" s="530"/>
      <c r="DE103" s="530"/>
      <c r="DF103" s="530"/>
      <c r="DG103" s="530"/>
      <c r="DH103" s="530"/>
      <c r="DI103" s="530"/>
      <c r="DJ103" s="530"/>
      <c r="DK103" s="530"/>
      <c r="DL103" s="530"/>
      <c r="DM103" s="530"/>
      <c r="DN103" s="948"/>
      <c r="DO103" s="531">
        <v>25</v>
      </c>
      <c r="DP103" s="531"/>
      <c r="DQ103" s="532"/>
      <c r="DR103" s="532"/>
      <c r="DS103" s="527"/>
      <c r="DT103" s="527"/>
      <c r="DU103" s="527"/>
      <c r="DV103" s="527"/>
      <c r="DW103" s="527"/>
      <c r="DX103" s="527"/>
      <c r="DY103" s="527"/>
      <c r="DZ103" s="527"/>
      <c r="EA103" s="527"/>
      <c r="EB103" s="527"/>
      <c r="EC103" s="527"/>
      <c r="ED103" s="527"/>
      <c r="EE103" s="527"/>
      <c r="EF103" s="527"/>
      <c r="EG103" s="527"/>
      <c r="EH103" s="527"/>
      <c r="EI103" s="527"/>
      <c r="EJ103" s="527"/>
      <c r="EK103" s="527"/>
      <c r="EL103" s="527"/>
      <c r="EM103" s="527"/>
      <c r="EN103" s="527"/>
      <c r="EO103" s="527"/>
      <c r="EP103" s="527"/>
      <c r="EQ103" s="527"/>
      <c r="ER103" s="527"/>
      <c r="ES103" s="527"/>
      <c r="ET103" s="527"/>
      <c r="EU103" s="527"/>
      <c r="EV103" s="527"/>
      <c r="EW103" s="527"/>
      <c r="EX103" s="527"/>
      <c r="EY103" s="527"/>
      <c r="EZ103" s="527"/>
      <c r="FA103" s="377"/>
      <c r="FB103" s="378">
        <v>25</v>
      </c>
      <c r="FC103" s="378"/>
      <c r="FD103" s="379">
        <f t="shared" si="209"/>
        <v>0</v>
      </c>
      <c r="FE103" s="790"/>
    </row>
    <row r="104" spans="2:164" ht="26.1" customHeight="1" outlineLevel="1" thickBot="1" x14ac:dyDescent="0.3">
      <c r="B104" s="1018"/>
      <c r="C104" s="1020"/>
      <c r="D104" s="1055"/>
      <c r="E104" s="1061"/>
      <c r="F104" s="848" t="s">
        <v>146</v>
      </c>
      <c r="G104" s="814" t="s">
        <v>1492</v>
      </c>
      <c r="H104" s="589" t="s">
        <v>1197</v>
      </c>
      <c r="I104" s="589" t="s">
        <v>161</v>
      </c>
      <c r="J104" s="524"/>
      <c r="K104" s="525"/>
      <c r="L104" s="525"/>
      <c r="M104" s="525"/>
      <c r="N104" s="525"/>
      <c r="O104" s="525"/>
      <c r="P104" s="525"/>
      <c r="Q104" s="525"/>
      <c r="R104" s="525"/>
      <c r="S104" s="525"/>
      <c r="T104" s="525"/>
      <c r="U104" s="525"/>
      <c r="V104" s="525"/>
      <c r="W104" s="526"/>
      <c r="X104" s="526"/>
      <c r="Y104" s="526"/>
      <c r="Z104" s="526"/>
      <c r="AA104" s="526"/>
      <c r="AB104" s="526"/>
      <c r="AC104" s="526"/>
      <c r="AD104" s="526"/>
      <c r="AE104" s="526"/>
      <c r="AF104" s="526"/>
      <c r="AG104" s="526"/>
      <c r="AH104" s="526"/>
      <c r="AI104" s="526"/>
      <c r="AJ104" s="526"/>
      <c r="AK104" s="526"/>
      <c r="AL104" s="526"/>
      <c r="AM104" s="526"/>
      <c r="AN104" s="526"/>
      <c r="AO104" s="526"/>
      <c r="AP104" s="526"/>
      <c r="AQ104" s="526"/>
      <c r="AR104" s="526"/>
      <c r="AS104" s="526"/>
      <c r="AT104" s="526"/>
      <c r="AU104" s="526"/>
      <c r="AV104" s="526"/>
      <c r="AW104" s="526"/>
      <c r="AX104" s="526"/>
      <c r="AY104" s="526"/>
      <c r="AZ104" s="526"/>
      <c r="BA104" s="526"/>
      <c r="BB104" s="526"/>
      <c r="BC104" s="526"/>
      <c r="BD104" s="526"/>
      <c r="BE104" s="527"/>
      <c r="BF104" s="527"/>
      <c r="BG104" s="527"/>
      <c r="BH104" s="527"/>
      <c r="BI104" s="527"/>
      <c r="BJ104" s="527"/>
      <c r="BK104" s="527"/>
      <c r="BL104" s="527"/>
      <c r="BM104" s="527"/>
      <c r="BN104" s="528"/>
      <c r="BO104" s="528"/>
      <c r="BP104" s="528"/>
      <c r="BQ104" s="528"/>
      <c r="BR104" s="528"/>
      <c r="BS104" s="528"/>
      <c r="BT104" s="528"/>
      <c r="BU104" s="528"/>
      <c r="BV104" s="525"/>
      <c r="BW104" s="525"/>
      <c r="BX104" s="525"/>
      <c r="BY104" s="525"/>
      <c r="BZ104" s="525"/>
      <c r="CA104" s="525"/>
      <c r="CB104" s="525"/>
      <c r="CC104" s="529"/>
      <c r="CD104" s="529"/>
      <c r="CE104" s="529"/>
      <c r="CF104" s="529"/>
      <c r="CG104" s="529"/>
      <c r="CH104" s="529"/>
      <c r="CI104" s="529"/>
      <c r="CJ104" s="529"/>
      <c r="CK104" s="529"/>
      <c r="CL104" s="529"/>
      <c r="CM104" s="529"/>
      <c r="CN104" s="529"/>
      <c r="CO104" s="529"/>
      <c r="CP104" s="529"/>
      <c r="CQ104" s="529"/>
      <c r="CR104" s="529"/>
      <c r="CS104" s="530"/>
      <c r="CT104" s="530"/>
      <c r="CU104" s="530"/>
      <c r="CV104" s="530"/>
      <c r="CW104" s="530"/>
      <c r="CX104" s="530"/>
      <c r="CY104" s="530"/>
      <c r="CZ104" s="530"/>
      <c r="DA104" s="530"/>
      <c r="DB104" s="530"/>
      <c r="DC104" s="530"/>
      <c r="DD104" s="530"/>
      <c r="DE104" s="530"/>
      <c r="DF104" s="530"/>
      <c r="DG104" s="530"/>
      <c r="DH104" s="530"/>
      <c r="DI104" s="530"/>
      <c r="DJ104" s="530"/>
      <c r="DK104" s="530"/>
      <c r="DL104" s="530"/>
      <c r="DM104" s="530"/>
      <c r="DN104" s="948"/>
      <c r="DO104" s="531"/>
      <c r="DP104" s="531"/>
      <c r="DQ104" s="532"/>
      <c r="DR104" s="532"/>
      <c r="DS104" s="527"/>
      <c r="DT104" s="527"/>
      <c r="DU104" s="527"/>
      <c r="DV104" s="527"/>
      <c r="DW104" s="527"/>
      <c r="DX104" s="527"/>
      <c r="DY104" s="527"/>
      <c r="DZ104" s="527"/>
      <c r="EA104" s="527"/>
      <c r="EB104" s="527"/>
      <c r="EC104" s="527"/>
      <c r="ED104" s="527"/>
      <c r="EE104" s="527"/>
      <c r="EF104" s="527"/>
      <c r="EG104" s="527"/>
      <c r="EH104" s="527"/>
      <c r="EI104" s="527"/>
      <c r="EJ104" s="527"/>
      <c r="EK104" s="527"/>
      <c r="EL104" s="527"/>
      <c r="EM104" s="527"/>
      <c r="EN104" s="527"/>
      <c r="EO104" s="527"/>
      <c r="EP104" s="527"/>
      <c r="EQ104" s="527">
        <v>60</v>
      </c>
      <c r="ER104" s="527"/>
      <c r="ES104" s="527"/>
      <c r="ET104" s="527"/>
      <c r="EU104" s="527"/>
      <c r="EV104" s="527"/>
      <c r="EW104" s="527"/>
      <c r="EX104" s="527"/>
      <c r="EY104" s="527"/>
      <c r="EZ104" s="527"/>
      <c r="FA104" s="377"/>
      <c r="FB104" s="378">
        <v>60</v>
      </c>
      <c r="FC104" s="378"/>
      <c r="FD104" s="379">
        <f t="shared" si="209"/>
        <v>0</v>
      </c>
      <c r="FE104" s="790"/>
    </row>
    <row r="105" spans="2:164" ht="26.1" customHeight="1" outlineLevel="1" thickBot="1" x14ac:dyDescent="0.3">
      <c r="B105" s="1018"/>
      <c r="C105" s="1020"/>
      <c r="D105" s="1056"/>
      <c r="E105" s="1062"/>
      <c r="F105" s="849" t="s">
        <v>146</v>
      </c>
      <c r="G105" s="815" t="s">
        <v>1492</v>
      </c>
      <c r="H105" s="590" t="s">
        <v>1197</v>
      </c>
      <c r="I105" s="590" t="s">
        <v>60</v>
      </c>
      <c r="J105" s="533"/>
      <c r="K105" s="534"/>
      <c r="L105" s="534"/>
      <c r="M105" s="534"/>
      <c r="N105" s="534"/>
      <c r="O105" s="534"/>
      <c r="P105" s="534"/>
      <c r="Q105" s="534"/>
      <c r="R105" s="534"/>
      <c r="S105" s="534"/>
      <c r="T105" s="534"/>
      <c r="U105" s="534"/>
      <c r="V105" s="534"/>
      <c r="W105" s="535"/>
      <c r="X105" s="535"/>
      <c r="Y105" s="535"/>
      <c r="Z105" s="535"/>
      <c r="AA105" s="535"/>
      <c r="AB105" s="535"/>
      <c r="AC105" s="535"/>
      <c r="AD105" s="535"/>
      <c r="AE105" s="535"/>
      <c r="AF105" s="535"/>
      <c r="AG105" s="535"/>
      <c r="AH105" s="535"/>
      <c r="AI105" s="535"/>
      <c r="AJ105" s="535"/>
      <c r="AK105" s="535"/>
      <c r="AL105" s="535"/>
      <c r="AM105" s="535"/>
      <c r="AN105" s="535"/>
      <c r="AO105" s="535"/>
      <c r="AP105" s="535"/>
      <c r="AQ105" s="535"/>
      <c r="AR105" s="535"/>
      <c r="AS105" s="535"/>
      <c r="AT105" s="535"/>
      <c r="AU105" s="535"/>
      <c r="AV105" s="535"/>
      <c r="AW105" s="535"/>
      <c r="AX105" s="535"/>
      <c r="AY105" s="535"/>
      <c r="AZ105" s="535"/>
      <c r="BA105" s="535"/>
      <c r="BB105" s="535"/>
      <c r="BC105" s="535"/>
      <c r="BD105" s="535"/>
      <c r="BE105" s="536"/>
      <c r="BF105" s="536"/>
      <c r="BG105" s="536"/>
      <c r="BH105" s="536"/>
      <c r="BI105" s="536"/>
      <c r="BJ105" s="536"/>
      <c r="BK105" s="536"/>
      <c r="BL105" s="536"/>
      <c r="BM105" s="536"/>
      <c r="BN105" s="537">
        <v>15</v>
      </c>
      <c r="BO105" s="537"/>
      <c r="BP105" s="537"/>
      <c r="BQ105" s="537"/>
      <c r="BR105" s="537"/>
      <c r="BS105" s="537"/>
      <c r="BT105" s="537"/>
      <c r="BU105" s="537"/>
      <c r="BV105" s="534"/>
      <c r="BW105" s="534"/>
      <c r="BX105" s="534"/>
      <c r="BY105" s="534"/>
      <c r="BZ105" s="534"/>
      <c r="CA105" s="534"/>
      <c r="CB105" s="534"/>
      <c r="CC105" s="538"/>
      <c r="CD105" s="538"/>
      <c r="CE105" s="538"/>
      <c r="CF105" s="538"/>
      <c r="CG105" s="538"/>
      <c r="CH105" s="538"/>
      <c r="CI105" s="538"/>
      <c r="CJ105" s="538"/>
      <c r="CK105" s="538"/>
      <c r="CL105" s="538"/>
      <c r="CM105" s="538"/>
      <c r="CN105" s="538"/>
      <c r="CO105" s="538"/>
      <c r="CP105" s="538"/>
      <c r="CQ105" s="538"/>
      <c r="CR105" s="538"/>
      <c r="CS105" s="539"/>
      <c r="CT105" s="539"/>
      <c r="CU105" s="539"/>
      <c r="CV105" s="539"/>
      <c r="CW105" s="539"/>
      <c r="CX105" s="539"/>
      <c r="CY105" s="539"/>
      <c r="CZ105" s="539"/>
      <c r="DA105" s="539"/>
      <c r="DB105" s="539"/>
      <c r="DC105" s="539"/>
      <c r="DD105" s="539"/>
      <c r="DE105" s="539"/>
      <c r="DF105" s="539"/>
      <c r="DG105" s="539"/>
      <c r="DH105" s="539"/>
      <c r="DI105" s="539"/>
      <c r="DJ105" s="539"/>
      <c r="DK105" s="539"/>
      <c r="DL105" s="539"/>
      <c r="DM105" s="539"/>
      <c r="DN105" s="949"/>
      <c r="DO105" s="540"/>
      <c r="DP105" s="540"/>
      <c r="DQ105" s="541"/>
      <c r="DR105" s="541"/>
      <c r="DS105" s="536"/>
      <c r="DT105" s="536"/>
      <c r="DU105" s="536"/>
      <c r="DV105" s="536"/>
      <c r="DW105" s="536"/>
      <c r="DX105" s="536"/>
      <c r="DY105" s="536"/>
      <c r="DZ105" s="536"/>
      <c r="EA105" s="536"/>
      <c r="EB105" s="536"/>
      <c r="EC105" s="536"/>
      <c r="ED105" s="536"/>
      <c r="EE105" s="536"/>
      <c r="EF105" s="536"/>
      <c r="EG105" s="536"/>
      <c r="EH105" s="536"/>
      <c r="EI105" s="536"/>
      <c r="EJ105" s="536"/>
      <c r="EK105" s="536"/>
      <c r="EL105" s="536"/>
      <c r="EM105" s="536"/>
      <c r="EN105" s="536"/>
      <c r="EO105" s="536"/>
      <c r="EP105" s="536"/>
      <c r="EQ105" s="536"/>
      <c r="ER105" s="536"/>
      <c r="ES105" s="536"/>
      <c r="ET105" s="536"/>
      <c r="EU105" s="536"/>
      <c r="EV105" s="536"/>
      <c r="EW105" s="536"/>
      <c r="EX105" s="536"/>
      <c r="EY105" s="536"/>
      <c r="EZ105" s="536"/>
      <c r="FA105" s="377"/>
      <c r="FB105" s="378">
        <v>15</v>
      </c>
      <c r="FC105" s="378"/>
      <c r="FD105" s="379">
        <f t="shared" si="209"/>
        <v>0</v>
      </c>
      <c r="FE105" s="790"/>
    </row>
    <row r="106" spans="2:164" s="154" customFormat="1" ht="16.5" customHeight="1" outlineLevel="1" thickBot="1" x14ac:dyDescent="0.4">
      <c r="B106" s="1018"/>
      <c r="C106" s="1020"/>
      <c r="D106" s="155"/>
      <c r="E106" s="318" t="s">
        <v>174</v>
      </c>
      <c r="F106" s="850"/>
      <c r="G106" s="819"/>
      <c r="H106" s="591"/>
      <c r="I106" s="604"/>
      <c r="J106" s="305">
        <f>SUM(J102:J105)</f>
        <v>0</v>
      </c>
      <c r="K106" s="146">
        <f t="shared" ref="K106:CU106" si="210">SUM(K102:K105)</f>
        <v>0</v>
      </c>
      <c r="L106" s="146">
        <f t="shared" si="210"/>
        <v>0</v>
      </c>
      <c r="M106" s="146">
        <f t="shared" si="210"/>
        <v>0</v>
      </c>
      <c r="N106" s="146">
        <f t="shared" si="210"/>
        <v>0</v>
      </c>
      <c r="O106" s="146">
        <f t="shared" si="210"/>
        <v>0</v>
      </c>
      <c r="P106" s="146">
        <f t="shared" si="210"/>
        <v>0</v>
      </c>
      <c r="Q106" s="146">
        <f t="shared" si="210"/>
        <v>0</v>
      </c>
      <c r="R106" s="146">
        <f t="shared" si="210"/>
        <v>0</v>
      </c>
      <c r="S106" s="146">
        <f t="shared" si="210"/>
        <v>0</v>
      </c>
      <c r="T106" s="146">
        <f t="shared" si="210"/>
        <v>0</v>
      </c>
      <c r="U106" s="146">
        <f t="shared" si="210"/>
        <v>0</v>
      </c>
      <c r="V106" s="146">
        <f t="shared" si="210"/>
        <v>0</v>
      </c>
      <c r="W106" s="147">
        <f t="shared" si="210"/>
        <v>0</v>
      </c>
      <c r="X106" s="147">
        <f t="shared" si="210"/>
        <v>0</v>
      </c>
      <c r="Y106" s="147">
        <f t="shared" si="210"/>
        <v>0</v>
      </c>
      <c r="Z106" s="147">
        <f t="shared" si="210"/>
        <v>0</v>
      </c>
      <c r="AA106" s="147">
        <f t="shared" si="210"/>
        <v>0</v>
      </c>
      <c r="AB106" s="147">
        <f t="shared" si="210"/>
        <v>0</v>
      </c>
      <c r="AC106" s="147">
        <f t="shared" si="210"/>
        <v>0</v>
      </c>
      <c r="AD106" s="147">
        <f t="shared" si="210"/>
        <v>0</v>
      </c>
      <c r="AE106" s="147">
        <f t="shared" si="210"/>
        <v>0</v>
      </c>
      <c r="AF106" s="147">
        <f t="shared" si="210"/>
        <v>0</v>
      </c>
      <c r="AG106" s="147">
        <f t="shared" si="210"/>
        <v>0</v>
      </c>
      <c r="AH106" s="147">
        <f t="shared" si="210"/>
        <v>0</v>
      </c>
      <c r="AI106" s="147">
        <f t="shared" si="210"/>
        <v>0</v>
      </c>
      <c r="AJ106" s="147">
        <f t="shared" si="210"/>
        <v>0</v>
      </c>
      <c r="AK106" s="147">
        <f t="shared" si="210"/>
        <v>0</v>
      </c>
      <c r="AL106" s="147">
        <f t="shared" si="210"/>
        <v>0</v>
      </c>
      <c r="AM106" s="147">
        <f t="shared" si="210"/>
        <v>0</v>
      </c>
      <c r="AN106" s="147">
        <f t="shared" si="210"/>
        <v>0</v>
      </c>
      <c r="AO106" s="147">
        <f t="shared" si="210"/>
        <v>0</v>
      </c>
      <c r="AP106" s="147">
        <f t="shared" si="210"/>
        <v>0</v>
      </c>
      <c r="AQ106" s="147">
        <f t="shared" si="210"/>
        <v>0</v>
      </c>
      <c r="AR106" s="147">
        <f t="shared" si="210"/>
        <v>0</v>
      </c>
      <c r="AS106" s="147">
        <f t="shared" si="210"/>
        <v>0</v>
      </c>
      <c r="AT106" s="147">
        <f t="shared" si="210"/>
        <v>0</v>
      </c>
      <c r="AU106" s="147">
        <f t="shared" si="210"/>
        <v>0</v>
      </c>
      <c r="AV106" s="147">
        <f t="shared" si="210"/>
        <v>0</v>
      </c>
      <c r="AW106" s="147">
        <f t="shared" si="210"/>
        <v>0</v>
      </c>
      <c r="AX106" s="147">
        <f t="shared" si="210"/>
        <v>0</v>
      </c>
      <c r="AY106" s="147">
        <f t="shared" si="210"/>
        <v>0</v>
      </c>
      <c r="AZ106" s="147">
        <f t="shared" si="210"/>
        <v>0</v>
      </c>
      <c r="BA106" s="147">
        <f t="shared" si="210"/>
        <v>0</v>
      </c>
      <c r="BB106" s="147">
        <f t="shared" si="210"/>
        <v>0</v>
      </c>
      <c r="BC106" s="147">
        <f t="shared" si="210"/>
        <v>0</v>
      </c>
      <c r="BD106" s="147">
        <f t="shared" si="210"/>
        <v>0</v>
      </c>
      <c r="BE106" s="148">
        <f t="shared" si="210"/>
        <v>0</v>
      </c>
      <c r="BF106" s="148">
        <f t="shared" si="210"/>
        <v>0</v>
      </c>
      <c r="BG106" s="148">
        <f t="shared" si="210"/>
        <v>0</v>
      </c>
      <c r="BH106" s="148">
        <f t="shared" si="210"/>
        <v>0</v>
      </c>
      <c r="BI106" s="148">
        <f t="shared" si="210"/>
        <v>0</v>
      </c>
      <c r="BJ106" s="148">
        <f t="shared" si="210"/>
        <v>0</v>
      </c>
      <c r="BK106" s="148">
        <f t="shared" si="210"/>
        <v>0</v>
      </c>
      <c r="BL106" s="148">
        <f t="shared" si="210"/>
        <v>0</v>
      </c>
      <c r="BM106" s="148">
        <f t="shared" si="210"/>
        <v>0</v>
      </c>
      <c r="BN106" s="149">
        <f t="shared" si="210"/>
        <v>15</v>
      </c>
      <c r="BO106" s="149">
        <f t="shared" si="210"/>
        <v>0</v>
      </c>
      <c r="BP106" s="149">
        <f t="shared" si="210"/>
        <v>0</v>
      </c>
      <c r="BQ106" s="149">
        <f t="shared" si="210"/>
        <v>0</v>
      </c>
      <c r="BR106" s="149">
        <f t="shared" si="210"/>
        <v>0</v>
      </c>
      <c r="BS106" s="149">
        <f t="shared" si="210"/>
        <v>0</v>
      </c>
      <c r="BT106" s="149">
        <f t="shared" si="210"/>
        <v>0</v>
      </c>
      <c r="BU106" s="149">
        <f t="shared" si="210"/>
        <v>0</v>
      </c>
      <c r="BV106" s="146">
        <f t="shared" si="210"/>
        <v>0</v>
      </c>
      <c r="BW106" s="146">
        <f t="shared" si="210"/>
        <v>0</v>
      </c>
      <c r="BX106" s="146">
        <f t="shared" si="210"/>
        <v>0</v>
      </c>
      <c r="BY106" s="146">
        <f t="shared" si="210"/>
        <v>0</v>
      </c>
      <c r="BZ106" s="146">
        <f t="shared" si="210"/>
        <v>0</v>
      </c>
      <c r="CA106" s="146">
        <f t="shared" si="210"/>
        <v>0</v>
      </c>
      <c r="CB106" s="146">
        <f t="shared" si="210"/>
        <v>0</v>
      </c>
      <c r="CC106" s="265">
        <f t="shared" si="210"/>
        <v>0</v>
      </c>
      <c r="CD106" s="265">
        <f t="shared" si="210"/>
        <v>0</v>
      </c>
      <c r="CE106" s="265">
        <f t="shared" si="210"/>
        <v>0</v>
      </c>
      <c r="CF106" s="265">
        <f t="shared" si="210"/>
        <v>0</v>
      </c>
      <c r="CG106" s="265">
        <f t="shared" si="210"/>
        <v>0</v>
      </c>
      <c r="CH106" s="265">
        <f t="shared" si="210"/>
        <v>0</v>
      </c>
      <c r="CI106" s="265">
        <f t="shared" si="210"/>
        <v>0</v>
      </c>
      <c r="CJ106" s="265">
        <f t="shared" si="210"/>
        <v>0</v>
      </c>
      <c r="CK106" s="265">
        <f t="shared" si="210"/>
        <v>0</v>
      </c>
      <c r="CL106" s="265">
        <f t="shared" si="210"/>
        <v>0</v>
      </c>
      <c r="CM106" s="265">
        <f t="shared" si="210"/>
        <v>0</v>
      </c>
      <c r="CN106" s="265">
        <f t="shared" si="210"/>
        <v>0</v>
      </c>
      <c r="CO106" s="265">
        <f t="shared" si="210"/>
        <v>0</v>
      </c>
      <c r="CP106" s="265">
        <f t="shared" si="210"/>
        <v>0</v>
      </c>
      <c r="CQ106" s="265">
        <f t="shared" si="210"/>
        <v>0</v>
      </c>
      <c r="CR106" s="265">
        <f t="shared" si="210"/>
        <v>0</v>
      </c>
      <c r="CS106" s="281">
        <f t="shared" si="210"/>
        <v>0</v>
      </c>
      <c r="CT106" s="281">
        <f t="shared" si="210"/>
        <v>0</v>
      </c>
      <c r="CU106" s="281">
        <f t="shared" si="210"/>
        <v>0</v>
      </c>
      <c r="CV106" s="281">
        <f t="shared" ref="CV106:FD106" si="211">SUM(CV102:CV105)</f>
        <v>0</v>
      </c>
      <c r="CW106" s="281">
        <f t="shared" si="211"/>
        <v>0</v>
      </c>
      <c r="CX106" s="281">
        <f t="shared" si="211"/>
        <v>0</v>
      </c>
      <c r="CY106" s="281">
        <f t="shared" si="211"/>
        <v>0</v>
      </c>
      <c r="CZ106" s="281">
        <f t="shared" si="211"/>
        <v>0</v>
      </c>
      <c r="DA106" s="281">
        <f t="shared" si="211"/>
        <v>0</v>
      </c>
      <c r="DB106" s="281">
        <f t="shared" si="211"/>
        <v>0</v>
      </c>
      <c r="DC106" s="281">
        <f t="shared" si="211"/>
        <v>0</v>
      </c>
      <c r="DD106" s="281">
        <f t="shared" si="211"/>
        <v>0</v>
      </c>
      <c r="DE106" s="281">
        <f t="shared" si="211"/>
        <v>0</v>
      </c>
      <c r="DF106" s="281">
        <f t="shared" si="211"/>
        <v>0</v>
      </c>
      <c r="DG106" s="281">
        <f t="shared" si="211"/>
        <v>0</v>
      </c>
      <c r="DH106" s="281">
        <f t="shared" si="211"/>
        <v>0</v>
      </c>
      <c r="DI106" s="281">
        <f t="shared" si="211"/>
        <v>0</v>
      </c>
      <c r="DJ106" s="281">
        <f t="shared" si="211"/>
        <v>0</v>
      </c>
      <c r="DK106" s="281">
        <f t="shared" si="211"/>
        <v>0</v>
      </c>
      <c r="DL106" s="281">
        <f t="shared" si="211"/>
        <v>0</v>
      </c>
      <c r="DM106" s="281">
        <f t="shared" si="211"/>
        <v>0</v>
      </c>
      <c r="DN106" s="936">
        <f t="shared" si="211"/>
        <v>0</v>
      </c>
      <c r="DO106" s="148">
        <f t="shared" si="211"/>
        <v>50</v>
      </c>
      <c r="DP106" s="148">
        <f t="shared" si="211"/>
        <v>0</v>
      </c>
      <c r="DQ106" s="148">
        <f t="shared" si="211"/>
        <v>0</v>
      </c>
      <c r="DR106" s="148">
        <f t="shared" si="211"/>
        <v>0</v>
      </c>
      <c r="DS106" s="148">
        <f t="shared" si="211"/>
        <v>0</v>
      </c>
      <c r="DT106" s="148">
        <f t="shared" si="211"/>
        <v>0</v>
      </c>
      <c r="DU106" s="148">
        <f t="shared" si="211"/>
        <v>0</v>
      </c>
      <c r="DV106" s="148">
        <f t="shared" si="211"/>
        <v>0</v>
      </c>
      <c r="DW106" s="148">
        <f t="shared" si="211"/>
        <v>0</v>
      </c>
      <c r="DX106" s="148">
        <f t="shared" si="211"/>
        <v>0</v>
      </c>
      <c r="DY106" s="148">
        <f t="shared" si="211"/>
        <v>0</v>
      </c>
      <c r="DZ106" s="148">
        <f t="shared" si="211"/>
        <v>0</v>
      </c>
      <c r="EA106" s="148">
        <f t="shared" si="211"/>
        <v>250</v>
      </c>
      <c r="EB106" s="148">
        <f t="shared" si="211"/>
        <v>0</v>
      </c>
      <c r="EC106" s="148">
        <f t="shared" si="211"/>
        <v>0</v>
      </c>
      <c r="ED106" s="148">
        <f t="shared" si="211"/>
        <v>1</v>
      </c>
      <c r="EE106" s="148">
        <f t="shared" si="211"/>
        <v>0</v>
      </c>
      <c r="EF106" s="148">
        <f t="shared" si="211"/>
        <v>0</v>
      </c>
      <c r="EG106" s="148">
        <f t="shared" si="211"/>
        <v>0</v>
      </c>
      <c r="EH106" s="148">
        <f t="shared" si="211"/>
        <v>0</v>
      </c>
      <c r="EI106" s="148">
        <f t="shared" si="211"/>
        <v>0</v>
      </c>
      <c r="EJ106" s="148">
        <f t="shared" si="211"/>
        <v>0</v>
      </c>
      <c r="EK106" s="148">
        <f t="shared" si="211"/>
        <v>0</v>
      </c>
      <c r="EL106" s="148">
        <f t="shared" si="211"/>
        <v>0</v>
      </c>
      <c r="EM106" s="148">
        <f t="shared" si="211"/>
        <v>0</v>
      </c>
      <c r="EN106" s="148">
        <f t="shared" si="211"/>
        <v>0</v>
      </c>
      <c r="EO106" s="148">
        <f t="shared" si="211"/>
        <v>0</v>
      </c>
      <c r="EP106" s="148">
        <f t="shared" si="211"/>
        <v>0</v>
      </c>
      <c r="EQ106" s="148">
        <f t="shared" si="211"/>
        <v>60</v>
      </c>
      <c r="ER106" s="148">
        <f t="shared" si="211"/>
        <v>0</v>
      </c>
      <c r="ES106" s="148">
        <f t="shared" si="211"/>
        <v>0</v>
      </c>
      <c r="ET106" s="148">
        <f t="shared" si="211"/>
        <v>0</v>
      </c>
      <c r="EU106" s="148">
        <f t="shared" si="211"/>
        <v>0</v>
      </c>
      <c r="EV106" s="148">
        <f t="shared" si="211"/>
        <v>0</v>
      </c>
      <c r="EW106" s="148">
        <f t="shared" si="211"/>
        <v>0</v>
      </c>
      <c r="EX106" s="148">
        <f t="shared" si="211"/>
        <v>0</v>
      </c>
      <c r="EY106" s="148">
        <f t="shared" si="211"/>
        <v>0</v>
      </c>
      <c r="EZ106" s="148">
        <f t="shared" si="211"/>
        <v>0</v>
      </c>
      <c r="FA106" s="150">
        <f t="shared" si="211"/>
        <v>0</v>
      </c>
      <c r="FB106" s="151">
        <f t="shared" si="211"/>
        <v>350</v>
      </c>
      <c r="FC106" s="151">
        <f t="shared" si="211"/>
        <v>0</v>
      </c>
      <c r="FD106" s="152">
        <f t="shared" si="211"/>
        <v>0</v>
      </c>
      <c r="FE106" s="792" t="str">
        <f>IF(FB106&lt;инфо!$AN$77,FB106-инфо!$AN$77,"")</f>
        <v/>
      </c>
      <c r="FF106" s="153"/>
      <c r="FG106" s="153"/>
      <c r="FH106" s="153"/>
    </row>
    <row r="107" spans="2:164" ht="32.1" customHeight="1" thickBot="1" x14ac:dyDescent="0.4">
      <c r="B107" s="174" t="s">
        <v>175</v>
      </c>
      <c r="C107" s="156"/>
      <c r="D107" s="306"/>
      <c r="E107" s="319" t="s">
        <v>176</v>
      </c>
      <c r="F107" s="851"/>
      <c r="G107" s="826"/>
      <c r="H107" s="592" t="s">
        <v>1425</v>
      </c>
      <c r="I107" s="605" t="s">
        <v>193</v>
      </c>
      <c r="J107" s="542">
        <f>SUMIF($E63:$E106,$E107,J63:J106)</f>
        <v>83</v>
      </c>
      <c r="K107" s="543">
        <f t="shared" ref="K107:CU107" si="212">SUMIF($E63:$E106,$E107,K63:K106)</f>
        <v>20</v>
      </c>
      <c r="L107" s="543">
        <f t="shared" si="212"/>
        <v>0</v>
      </c>
      <c r="M107" s="543">
        <f t="shared" si="212"/>
        <v>0</v>
      </c>
      <c r="N107" s="543">
        <f t="shared" si="212"/>
        <v>0</v>
      </c>
      <c r="O107" s="543">
        <f t="shared" si="212"/>
        <v>103</v>
      </c>
      <c r="P107" s="543">
        <f t="shared" si="212"/>
        <v>0</v>
      </c>
      <c r="Q107" s="543">
        <f t="shared" si="212"/>
        <v>83</v>
      </c>
      <c r="R107" s="543">
        <f t="shared" si="212"/>
        <v>0</v>
      </c>
      <c r="S107" s="543">
        <f t="shared" si="212"/>
        <v>0</v>
      </c>
      <c r="T107" s="543">
        <f t="shared" ref="T107:V107" si="213">SUMIF($E63:$E106,$E107,T63:T106)</f>
        <v>0</v>
      </c>
      <c r="U107" s="543">
        <f t="shared" si="213"/>
        <v>0</v>
      </c>
      <c r="V107" s="543">
        <f t="shared" si="213"/>
        <v>0</v>
      </c>
      <c r="W107" s="544">
        <f t="shared" si="212"/>
        <v>0</v>
      </c>
      <c r="X107" s="544">
        <f t="shared" si="212"/>
        <v>7.64</v>
      </c>
      <c r="Y107" s="544">
        <f t="shared" ref="Y107" si="214">SUMIF($E63:$E106,$E107,Y63:Y106)</f>
        <v>0</v>
      </c>
      <c r="Z107" s="544">
        <f t="shared" si="212"/>
        <v>150</v>
      </c>
      <c r="AA107" s="544">
        <f t="shared" si="212"/>
        <v>300</v>
      </c>
      <c r="AB107" s="544">
        <f t="shared" ref="AB107:AC107" si="215">SUMIF($E63:$E106,$E107,AB63:AB106)</f>
        <v>0</v>
      </c>
      <c r="AC107" s="544">
        <f t="shared" si="215"/>
        <v>0</v>
      </c>
      <c r="AD107" s="544">
        <f t="shared" si="212"/>
        <v>320</v>
      </c>
      <c r="AE107" s="544">
        <f t="shared" si="212"/>
        <v>0</v>
      </c>
      <c r="AF107" s="544">
        <f t="shared" ref="AF107:AH107" si="216">SUMIF($E63:$E106,$E107,AF63:AF106)</f>
        <v>13.2</v>
      </c>
      <c r="AG107" s="544">
        <f t="shared" si="216"/>
        <v>22.2</v>
      </c>
      <c r="AH107" s="544">
        <f t="shared" si="216"/>
        <v>0</v>
      </c>
      <c r="AI107" s="544">
        <f t="shared" si="212"/>
        <v>0</v>
      </c>
      <c r="AJ107" s="544">
        <f t="shared" si="212"/>
        <v>0</v>
      </c>
      <c r="AK107" s="544">
        <f t="shared" si="212"/>
        <v>0</v>
      </c>
      <c r="AL107" s="544">
        <f t="shared" si="212"/>
        <v>0</v>
      </c>
      <c r="AM107" s="544">
        <f t="shared" ref="AM107:AS107" si="217">SUMIF($E63:$E106,$E107,AM63:AM106)</f>
        <v>0</v>
      </c>
      <c r="AN107" s="544">
        <f t="shared" si="217"/>
        <v>0</v>
      </c>
      <c r="AO107" s="544">
        <f t="shared" si="217"/>
        <v>10</v>
      </c>
      <c r="AP107" s="544">
        <f t="shared" si="217"/>
        <v>0</v>
      </c>
      <c r="AQ107" s="544">
        <f t="shared" si="217"/>
        <v>0</v>
      </c>
      <c r="AR107" s="544">
        <f t="shared" si="217"/>
        <v>0</v>
      </c>
      <c r="AS107" s="544">
        <f t="shared" si="217"/>
        <v>0</v>
      </c>
      <c r="AT107" s="544">
        <f t="shared" si="212"/>
        <v>0</v>
      </c>
      <c r="AU107" s="544">
        <f t="shared" ref="AU107:BD107" si="218">SUMIF($E63:$E106,$E107,AU63:AU106)</f>
        <v>20</v>
      </c>
      <c r="AV107" s="544">
        <f t="shared" si="218"/>
        <v>64</v>
      </c>
      <c r="AW107" s="544">
        <f t="shared" si="218"/>
        <v>0</v>
      </c>
      <c r="AX107" s="544">
        <f t="shared" si="218"/>
        <v>105</v>
      </c>
      <c r="AY107" s="544">
        <f t="shared" si="218"/>
        <v>0</v>
      </c>
      <c r="AZ107" s="544">
        <f t="shared" si="218"/>
        <v>0</v>
      </c>
      <c r="BA107" s="544">
        <f t="shared" si="218"/>
        <v>0</v>
      </c>
      <c r="BB107" s="544">
        <f t="shared" si="218"/>
        <v>20</v>
      </c>
      <c r="BC107" s="544">
        <f t="shared" si="218"/>
        <v>0</v>
      </c>
      <c r="BD107" s="544">
        <f t="shared" si="218"/>
        <v>0</v>
      </c>
      <c r="BE107" s="545">
        <f t="shared" ref="BE107:BP107" si="219">SUMIF($E63:$E106,$E107,BE63:BE106)</f>
        <v>200</v>
      </c>
      <c r="BF107" s="545">
        <f t="shared" si="219"/>
        <v>0</v>
      </c>
      <c r="BG107" s="545">
        <f t="shared" si="219"/>
        <v>0</v>
      </c>
      <c r="BH107" s="545">
        <f t="shared" si="219"/>
        <v>22</v>
      </c>
      <c r="BI107" s="545">
        <f t="shared" ref="BI107:BL107" si="220">SUMIF($E63:$E106,$E107,BI63:BI106)</f>
        <v>0</v>
      </c>
      <c r="BJ107" s="545">
        <f t="shared" si="220"/>
        <v>5</v>
      </c>
      <c r="BK107" s="545">
        <f t="shared" si="220"/>
        <v>0</v>
      </c>
      <c r="BL107" s="545">
        <f t="shared" si="220"/>
        <v>0</v>
      </c>
      <c r="BM107" s="545">
        <f t="shared" si="219"/>
        <v>0</v>
      </c>
      <c r="BN107" s="546">
        <f t="shared" si="219"/>
        <v>75</v>
      </c>
      <c r="BO107" s="546">
        <f t="shared" si="219"/>
        <v>26.439999999999998</v>
      </c>
      <c r="BP107" s="546">
        <f t="shared" si="219"/>
        <v>0</v>
      </c>
      <c r="BQ107" s="546">
        <f t="shared" ref="BQ107" si="221">SUMIF($E63:$E106,$E107,BQ63:BQ106)</f>
        <v>0</v>
      </c>
      <c r="BR107" s="546">
        <f t="shared" ref="BR107:BU107" si="222">SUMIF($E63:$E106,$E107,BR63:BR106)</f>
        <v>0</v>
      </c>
      <c r="BS107" s="546">
        <f t="shared" si="222"/>
        <v>0</v>
      </c>
      <c r="BT107" s="546">
        <f t="shared" si="222"/>
        <v>0</v>
      </c>
      <c r="BU107" s="546">
        <f t="shared" si="222"/>
        <v>0</v>
      </c>
      <c r="BV107" s="543">
        <f t="shared" ref="BV107:BX107" si="223">SUMIF($E63:$E106,$E107,BV63:BV106)</f>
        <v>0</v>
      </c>
      <c r="BW107" s="543">
        <f t="shared" si="223"/>
        <v>100</v>
      </c>
      <c r="BX107" s="543">
        <f t="shared" si="223"/>
        <v>0</v>
      </c>
      <c r="BY107" s="543">
        <f t="shared" ref="BY107:BZ107" si="224">SUMIF($E63:$E106,$E107,BY63:BY106)</f>
        <v>0</v>
      </c>
      <c r="BZ107" s="543">
        <f t="shared" si="224"/>
        <v>0</v>
      </c>
      <c r="CA107" s="543">
        <f t="shared" si="212"/>
        <v>0</v>
      </c>
      <c r="CB107" s="543">
        <f t="shared" si="212"/>
        <v>0</v>
      </c>
      <c r="CC107" s="547">
        <f t="shared" si="212"/>
        <v>0</v>
      </c>
      <c r="CD107" s="547">
        <f t="shared" si="212"/>
        <v>25</v>
      </c>
      <c r="CE107" s="547">
        <f t="shared" si="212"/>
        <v>0</v>
      </c>
      <c r="CF107" s="547">
        <f t="shared" si="212"/>
        <v>80</v>
      </c>
      <c r="CG107" s="547">
        <f t="shared" si="212"/>
        <v>0</v>
      </c>
      <c r="CH107" s="547">
        <f t="shared" si="212"/>
        <v>0</v>
      </c>
      <c r="CI107" s="547">
        <f t="shared" si="212"/>
        <v>0</v>
      </c>
      <c r="CJ107" s="547">
        <f t="shared" ref="CJ107" si="225">SUMIF($E63:$E106,$E107,CJ63:CJ106)</f>
        <v>0</v>
      </c>
      <c r="CK107" s="547">
        <f t="shared" ref="CK107" si="226">SUMIF($E63:$E106,$E107,CK63:CK106)</f>
        <v>0</v>
      </c>
      <c r="CL107" s="547">
        <f t="shared" si="212"/>
        <v>0</v>
      </c>
      <c r="CM107" s="547">
        <f t="shared" si="212"/>
        <v>0</v>
      </c>
      <c r="CN107" s="547">
        <f t="shared" ref="CN107:CQ107" si="227">SUMIF($E63:$E106,$E107,CN63:CN106)</f>
        <v>0</v>
      </c>
      <c r="CO107" s="547">
        <f t="shared" si="227"/>
        <v>0</v>
      </c>
      <c r="CP107" s="547">
        <f t="shared" si="227"/>
        <v>0</v>
      </c>
      <c r="CQ107" s="547">
        <f t="shared" si="227"/>
        <v>0</v>
      </c>
      <c r="CR107" s="547">
        <f t="shared" si="212"/>
        <v>0</v>
      </c>
      <c r="CS107" s="548">
        <f t="shared" si="212"/>
        <v>0</v>
      </c>
      <c r="CT107" s="548">
        <f t="shared" ref="CT107" si="228">SUMIF($E63:$E106,$E107,CT63:CT106)</f>
        <v>0</v>
      </c>
      <c r="CU107" s="548">
        <f t="shared" si="212"/>
        <v>0</v>
      </c>
      <c r="CV107" s="548">
        <f t="shared" ref="CV107:DE107" si="229">SUMIF($E63:$E106,$E107,CV63:CV106)</f>
        <v>0</v>
      </c>
      <c r="CW107" s="548">
        <f t="shared" si="229"/>
        <v>0</v>
      </c>
      <c r="CX107" s="548">
        <f t="shared" si="229"/>
        <v>0</v>
      </c>
      <c r="CY107" s="548">
        <f t="shared" si="229"/>
        <v>0</v>
      </c>
      <c r="CZ107" s="548">
        <f t="shared" ref="CZ107" si="230">SUMIF($E63:$E106,$E107,CZ63:CZ106)</f>
        <v>0</v>
      </c>
      <c r="DA107" s="548">
        <f t="shared" si="229"/>
        <v>0</v>
      </c>
      <c r="DB107" s="548">
        <f t="shared" si="229"/>
        <v>0</v>
      </c>
      <c r="DC107" s="548">
        <f t="shared" si="229"/>
        <v>0</v>
      </c>
      <c r="DD107" s="548">
        <f t="shared" si="229"/>
        <v>0</v>
      </c>
      <c r="DE107" s="548">
        <f t="shared" si="229"/>
        <v>0</v>
      </c>
      <c r="DF107" s="548">
        <f t="shared" ref="DF107:FD107" si="231">SUMIF($E63:$E106,$E107,DF63:DF106)</f>
        <v>0</v>
      </c>
      <c r="DG107" s="548">
        <f t="shared" si="231"/>
        <v>120</v>
      </c>
      <c r="DH107" s="548">
        <f t="shared" si="231"/>
        <v>0</v>
      </c>
      <c r="DI107" s="548">
        <f t="shared" ref="DI107:DQ107" si="232">SUMIF($E63:$E106,$E107,DI63:DI106)</f>
        <v>0</v>
      </c>
      <c r="DJ107" s="548">
        <f t="shared" si="232"/>
        <v>0</v>
      </c>
      <c r="DK107" s="548">
        <f t="shared" si="232"/>
        <v>0</v>
      </c>
      <c r="DL107" s="548">
        <f t="shared" si="232"/>
        <v>0</v>
      </c>
      <c r="DM107" s="548">
        <f t="shared" si="232"/>
        <v>0</v>
      </c>
      <c r="DN107" s="950">
        <f t="shared" si="232"/>
        <v>0</v>
      </c>
      <c r="DO107" s="545">
        <f t="shared" si="232"/>
        <v>120</v>
      </c>
      <c r="DP107" s="545">
        <f t="shared" si="232"/>
        <v>27.16</v>
      </c>
      <c r="DQ107" s="545">
        <f t="shared" si="232"/>
        <v>2.7200000000000002E-2</v>
      </c>
      <c r="DR107" s="545">
        <f t="shared" si="231"/>
        <v>8.7999999999999995E-2</v>
      </c>
      <c r="DS107" s="545">
        <f t="shared" si="231"/>
        <v>0.64</v>
      </c>
      <c r="DT107" s="545">
        <f t="shared" si="231"/>
        <v>5</v>
      </c>
      <c r="DU107" s="545">
        <f t="shared" si="231"/>
        <v>0</v>
      </c>
      <c r="DV107" s="545">
        <f t="shared" si="231"/>
        <v>0</v>
      </c>
      <c r="DW107" s="545">
        <f t="shared" si="231"/>
        <v>0.8</v>
      </c>
      <c r="DX107" s="545">
        <f t="shared" si="231"/>
        <v>0</v>
      </c>
      <c r="DY107" s="545">
        <f t="shared" ref="DY107:EO107" si="233">SUMIF($E63:$E106,$E107,DY63:DY106)</f>
        <v>0</v>
      </c>
      <c r="DZ107" s="545">
        <f t="shared" si="233"/>
        <v>0</v>
      </c>
      <c r="EA107" s="545">
        <f t="shared" si="233"/>
        <v>1281.2</v>
      </c>
      <c r="EB107" s="545">
        <f t="shared" si="233"/>
        <v>812.8</v>
      </c>
      <c r="EC107" s="545">
        <f t="shared" si="233"/>
        <v>200</v>
      </c>
      <c r="ED107" s="545">
        <f t="shared" si="233"/>
        <v>1</v>
      </c>
      <c r="EE107" s="545">
        <f t="shared" si="233"/>
        <v>0</v>
      </c>
      <c r="EF107" s="545">
        <f t="shared" si="233"/>
        <v>1.5</v>
      </c>
      <c r="EG107" s="545">
        <f t="shared" si="233"/>
        <v>0</v>
      </c>
      <c r="EH107" s="545">
        <f t="shared" si="233"/>
        <v>0</v>
      </c>
      <c r="EI107" s="545">
        <f t="shared" si="233"/>
        <v>0</v>
      </c>
      <c r="EJ107" s="545">
        <f t="shared" si="233"/>
        <v>0</v>
      </c>
      <c r="EK107" s="545">
        <f t="shared" si="233"/>
        <v>0</v>
      </c>
      <c r="EL107" s="545">
        <f t="shared" si="233"/>
        <v>0</v>
      </c>
      <c r="EM107" s="545">
        <f t="shared" si="233"/>
        <v>0</v>
      </c>
      <c r="EN107" s="545">
        <f t="shared" si="233"/>
        <v>0</v>
      </c>
      <c r="EO107" s="545">
        <f t="shared" si="233"/>
        <v>20</v>
      </c>
      <c r="EP107" s="545">
        <f t="shared" ref="EP107:EZ107" si="234">SUMIF($E63:$E106,$E107,EP63:EP106)</f>
        <v>0</v>
      </c>
      <c r="EQ107" s="545">
        <f t="shared" si="234"/>
        <v>60</v>
      </c>
      <c r="ER107" s="545">
        <f t="shared" si="234"/>
        <v>0</v>
      </c>
      <c r="ES107" s="545">
        <f t="shared" si="234"/>
        <v>0</v>
      </c>
      <c r="ET107" s="545">
        <f t="shared" si="234"/>
        <v>25</v>
      </c>
      <c r="EU107" s="545">
        <f t="shared" si="234"/>
        <v>0</v>
      </c>
      <c r="EV107" s="545">
        <f t="shared" si="234"/>
        <v>0</v>
      </c>
      <c r="EW107" s="545">
        <f t="shared" si="234"/>
        <v>0</v>
      </c>
      <c r="EX107" s="545">
        <f t="shared" si="234"/>
        <v>0</v>
      </c>
      <c r="EY107" s="545">
        <f t="shared" si="234"/>
        <v>0</v>
      </c>
      <c r="EZ107" s="545">
        <f t="shared" si="234"/>
        <v>0</v>
      </c>
      <c r="FA107" s="549">
        <f t="shared" si="231"/>
        <v>1468</v>
      </c>
      <c r="FB107" s="549">
        <f t="shared" si="231"/>
        <v>3954</v>
      </c>
      <c r="FC107" s="549">
        <f t="shared" si="231"/>
        <v>193</v>
      </c>
      <c r="FD107" s="550">
        <f t="shared" si="231"/>
        <v>335</v>
      </c>
      <c r="FE107" s="791" t="str">
        <f>IF(FB107&lt;инфо!$AN$73,FB107-инфо!$AN$73,"")</f>
        <v/>
      </c>
    </row>
    <row r="108" spans="2:164" ht="26.1" customHeight="1" outlineLevel="1" thickBot="1" x14ac:dyDescent="0.3">
      <c r="B108" s="1017" t="s">
        <v>119</v>
      </c>
      <c r="C108" s="1019">
        <f>C63+1</f>
        <v>45129</v>
      </c>
      <c r="D108" s="1036" t="s">
        <v>111</v>
      </c>
      <c r="E108" s="1039" t="s">
        <v>114</v>
      </c>
      <c r="F108" s="831" t="s">
        <v>111</v>
      </c>
      <c r="G108" s="798" t="str">
        <f>VLOOKUP(H108,инфо!AD:AE,2,FALSE)</f>
        <v>Прочее</v>
      </c>
      <c r="H108" s="569" t="s">
        <v>1206</v>
      </c>
      <c r="I108" s="609" t="s">
        <v>936</v>
      </c>
      <c r="J108" s="355"/>
      <c r="K108" s="356"/>
      <c r="L108" s="356"/>
      <c r="M108" s="356"/>
      <c r="N108" s="356"/>
      <c r="O108" s="356"/>
      <c r="P108" s="356"/>
      <c r="Q108" s="356"/>
      <c r="R108" s="356"/>
      <c r="S108" s="356"/>
      <c r="T108" s="356"/>
      <c r="U108" s="356"/>
      <c r="V108" s="356"/>
      <c r="W108" s="357"/>
      <c r="X108" s="357"/>
      <c r="Y108" s="357"/>
      <c r="Z108" s="357"/>
      <c r="AA108" s="357"/>
      <c r="AB108" s="357"/>
      <c r="AC108" s="357"/>
      <c r="AD108" s="357"/>
      <c r="AE108" s="357"/>
      <c r="AF108" s="357"/>
      <c r="AG108" s="357"/>
      <c r="AH108" s="357"/>
      <c r="AI108" s="357"/>
      <c r="AJ108" s="357"/>
      <c r="AK108" s="357"/>
      <c r="AL108" s="357"/>
      <c r="AM108" s="357"/>
      <c r="AN108" s="357"/>
      <c r="AO108" s="357"/>
      <c r="AP108" s="357"/>
      <c r="AQ108" s="357"/>
      <c r="AR108" s="357"/>
      <c r="AS108" s="357"/>
      <c r="AT108" s="357"/>
      <c r="AU108" s="357"/>
      <c r="AV108" s="357"/>
      <c r="AW108" s="357"/>
      <c r="AX108" s="357"/>
      <c r="AY108" s="357"/>
      <c r="AZ108" s="357"/>
      <c r="BA108" s="357"/>
      <c r="BB108" s="357"/>
      <c r="BC108" s="357"/>
      <c r="BD108" s="357"/>
      <c r="BE108" s="358"/>
      <c r="BF108" s="358"/>
      <c r="BG108" s="358"/>
      <c r="BH108" s="358"/>
      <c r="BI108" s="358"/>
      <c r="BJ108" s="358"/>
      <c r="BK108" s="358"/>
      <c r="BL108" s="358"/>
      <c r="BM108" s="358"/>
      <c r="BN108" s="359"/>
      <c r="BO108" s="359"/>
      <c r="BP108" s="359"/>
      <c r="BQ108" s="359"/>
      <c r="BR108" s="359"/>
      <c r="BS108" s="359"/>
      <c r="BT108" s="359"/>
      <c r="BU108" s="359"/>
      <c r="BV108" s="356"/>
      <c r="BW108" s="356"/>
      <c r="BX108" s="356"/>
      <c r="BY108" s="356"/>
      <c r="BZ108" s="356"/>
      <c r="CA108" s="356"/>
      <c r="CB108" s="356"/>
      <c r="CC108" s="360"/>
      <c r="CD108" s="360"/>
      <c r="CE108" s="360"/>
      <c r="CF108" s="360">
        <v>80</v>
      </c>
      <c r="CG108" s="360"/>
      <c r="CH108" s="360"/>
      <c r="CI108" s="360"/>
      <c r="CJ108" s="360"/>
      <c r="CK108" s="360"/>
      <c r="CL108" s="360"/>
      <c r="CM108" s="360"/>
      <c r="CN108" s="360"/>
      <c r="CO108" s="360"/>
      <c r="CP108" s="360"/>
      <c r="CQ108" s="360"/>
      <c r="CR108" s="360"/>
      <c r="CS108" s="361"/>
      <c r="CT108" s="361"/>
      <c r="CU108" s="361"/>
      <c r="CV108" s="361"/>
      <c r="CW108" s="361"/>
      <c r="CX108" s="361"/>
      <c r="CY108" s="361"/>
      <c r="CZ108" s="361"/>
      <c r="DA108" s="361"/>
      <c r="DB108" s="361"/>
      <c r="DC108" s="361"/>
      <c r="DD108" s="361"/>
      <c r="DE108" s="361"/>
      <c r="DF108" s="361"/>
      <c r="DG108" s="361"/>
      <c r="DH108" s="361"/>
      <c r="DI108" s="361"/>
      <c r="DJ108" s="361"/>
      <c r="DK108" s="361"/>
      <c r="DL108" s="361"/>
      <c r="DM108" s="361"/>
      <c r="DN108" s="931"/>
      <c r="DO108" s="362"/>
      <c r="DP108" s="362"/>
      <c r="DQ108" s="363"/>
      <c r="DR108" s="363"/>
      <c r="DS108" s="358"/>
      <c r="DT108" s="358"/>
      <c r="DU108" s="358"/>
      <c r="DV108" s="358"/>
      <c r="DW108" s="358"/>
      <c r="DX108" s="358"/>
      <c r="DY108" s="358"/>
      <c r="DZ108" s="358"/>
      <c r="EA108" s="358"/>
      <c r="EB108" s="358"/>
      <c r="EC108" s="358"/>
      <c r="ED108" s="358"/>
      <c r="EE108" s="358"/>
      <c r="EF108" s="358"/>
      <c r="EG108" s="358"/>
      <c r="EH108" s="358"/>
      <c r="EI108" s="358"/>
      <c r="EJ108" s="358"/>
      <c r="EK108" s="358"/>
      <c r="EL108" s="358"/>
      <c r="EM108" s="358"/>
      <c r="EN108" s="358"/>
      <c r="EO108" s="358"/>
      <c r="EP108" s="358"/>
      <c r="EQ108" s="358"/>
      <c r="ER108" s="358"/>
      <c r="ES108" s="358"/>
      <c r="ET108" s="358"/>
      <c r="EU108" s="358"/>
      <c r="EV108" s="358"/>
      <c r="EW108" s="358"/>
      <c r="EX108" s="358"/>
      <c r="EY108" s="358"/>
      <c r="EZ108" s="358"/>
      <c r="FA108" s="364"/>
      <c r="FB108" s="365">
        <v>78</v>
      </c>
      <c r="FC108" s="366">
        <v>78</v>
      </c>
      <c r="FD108" s="367">
        <f>SUM(BE108:BG108,BI108,BL108:BM108)+SUM(BH108,BJ108,BK108)*5</f>
        <v>0</v>
      </c>
      <c r="FE108" s="789"/>
    </row>
    <row r="109" spans="2:164" ht="26.1" customHeight="1" outlineLevel="1" thickBot="1" x14ac:dyDescent="0.3">
      <c r="B109" s="1018"/>
      <c r="C109" s="1020"/>
      <c r="D109" s="1036"/>
      <c r="E109" s="1039"/>
      <c r="F109" s="832" t="s">
        <v>111</v>
      </c>
      <c r="G109" s="799" t="str">
        <f>VLOOKUP(H109,инфо!AD:AE,2,FALSE)</f>
        <v>Гарниры</v>
      </c>
      <c r="H109" s="570" t="s">
        <v>1198</v>
      </c>
      <c r="I109" s="600" t="s">
        <v>1004</v>
      </c>
      <c r="J109" s="368"/>
      <c r="K109" s="369"/>
      <c r="L109" s="369"/>
      <c r="M109" s="369"/>
      <c r="N109" s="369"/>
      <c r="O109" s="369"/>
      <c r="P109" s="369"/>
      <c r="Q109" s="369">
        <v>83</v>
      </c>
      <c r="R109" s="369"/>
      <c r="S109" s="369"/>
      <c r="T109" s="369"/>
      <c r="U109" s="369"/>
      <c r="V109" s="369"/>
      <c r="W109" s="370"/>
      <c r="X109" s="370"/>
      <c r="Y109" s="370"/>
      <c r="Z109" s="370"/>
      <c r="AA109" s="370"/>
      <c r="AB109" s="370"/>
      <c r="AC109" s="370"/>
      <c r="AD109" s="370"/>
      <c r="AE109" s="370"/>
      <c r="AF109" s="370"/>
      <c r="AG109" s="370"/>
      <c r="AH109" s="370"/>
      <c r="AI109" s="370"/>
      <c r="AJ109" s="370"/>
      <c r="AK109" s="370"/>
      <c r="AL109" s="370"/>
      <c r="AM109" s="370"/>
      <c r="AN109" s="370"/>
      <c r="AO109" s="370"/>
      <c r="AP109" s="370"/>
      <c r="AQ109" s="370"/>
      <c r="AR109" s="370"/>
      <c r="AS109" s="370"/>
      <c r="AT109" s="370"/>
      <c r="AU109" s="370"/>
      <c r="AV109" s="370"/>
      <c r="AW109" s="370"/>
      <c r="AX109" s="370"/>
      <c r="AY109" s="370"/>
      <c r="AZ109" s="370"/>
      <c r="BA109" s="370"/>
      <c r="BB109" s="370"/>
      <c r="BC109" s="370"/>
      <c r="BD109" s="370"/>
      <c r="BE109" s="371">
        <v>200</v>
      </c>
      <c r="BF109" s="371"/>
      <c r="BG109" s="371"/>
      <c r="BH109" s="371"/>
      <c r="BI109" s="371"/>
      <c r="BJ109" s="371"/>
      <c r="BK109" s="371"/>
      <c r="BL109" s="371"/>
      <c r="BM109" s="371"/>
      <c r="BN109" s="372"/>
      <c r="BO109" s="372"/>
      <c r="BP109" s="372"/>
      <c r="BQ109" s="372"/>
      <c r="BR109" s="372"/>
      <c r="BS109" s="372"/>
      <c r="BT109" s="372"/>
      <c r="BU109" s="372"/>
      <c r="BV109" s="369"/>
      <c r="BW109" s="369"/>
      <c r="BX109" s="369"/>
      <c r="BY109" s="369"/>
      <c r="BZ109" s="369"/>
      <c r="CA109" s="369"/>
      <c r="CB109" s="369"/>
      <c r="CC109" s="373"/>
      <c r="CD109" s="373"/>
      <c r="CE109" s="373"/>
      <c r="CF109" s="373"/>
      <c r="CG109" s="373"/>
      <c r="CH109" s="373"/>
      <c r="CI109" s="373"/>
      <c r="CJ109" s="373"/>
      <c r="CK109" s="373"/>
      <c r="CL109" s="373"/>
      <c r="CM109" s="373"/>
      <c r="CN109" s="373"/>
      <c r="CO109" s="373"/>
      <c r="CP109" s="373"/>
      <c r="CQ109" s="373"/>
      <c r="CR109" s="373"/>
      <c r="CS109" s="374"/>
      <c r="CT109" s="374"/>
      <c r="CU109" s="374"/>
      <c r="CV109" s="374"/>
      <c r="CW109" s="374"/>
      <c r="CX109" s="374"/>
      <c r="CY109" s="374"/>
      <c r="CZ109" s="374"/>
      <c r="DA109" s="374"/>
      <c r="DB109" s="374"/>
      <c r="DC109" s="374"/>
      <c r="DD109" s="374"/>
      <c r="DE109" s="374"/>
      <c r="DF109" s="374"/>
      <c r="DG109" s="374"/>
      <c r="DH109" s="374"/>
      <c r="DI109" s="374"/>
      <c r="DJ109" s="374"/>
      <c r="DK109" s="374"/>
      <c r="DL109" s="374"/>
      <c r="DM109" s="374"/>
      <c r="DN109" s="932"/>
      <c r="DO109" s="375">
        <v>10</v>
      </c>
      <c r="DP109" s="375">
        <v>3.5</v>
      </c>
      <c r="DQ109" s="376"/>
      <c r="DR109" s="376"/>
      <c r="DS109" s="371"/>
      <c r="DT109" s="371"/>
      <c r="DU109" s="371"/>
      <c r="DV109" s="371"/>
      <c r="DW109" s="371"/>
      <c r="DX109" s="371"/>
      <c r="DY109" s="371"/>
      <c r="DZ109" s="371"/>
      <c r="EA109" s="371">
        <v>107.1</v>
      </c>
      <c r="EB109" s="371"/>
      <c r="EC109" s="371"/>
      <c r="ED109" s="371"/>
      <c r="EE109" s="371"/>
      <c r="EF109" s="371"/>
      <c r="EG109" s="371"/>
      <c r="EH109" s="371"/>
      <c r="EI109" s="371"/>
      <c r="EJ109" s="371"/>
      <c r="EK109" s="371"/>
      <c r="EL109" s="371"/>
      <c r="EM109" s="371"/>
      <c r="EN109" s="371"/>
      <c r="EO109" s="371"/>
      <c r="EP109" s="371"/>
      <c r="EQ109" s="371"/>
      <c r="ER109" s="371"/>
      <c r="ES109" s="371"/>
      <c r="ET109" s="371"/>
      <c r="EU109" s="371"/>
      <c r="EV109" s="371"/>
      <c r="EW109" s="371"/>
      <c r="EX109" s="371"/>
      <c r="EY109" s="371"/>
      <c r="EZ109" s="371"/>
      <c r="FA109" s="377">
        <v>415</v>
      </c>
      <c r="FB109" s="378">
        <v>374</v>
      </c>
      <c r="FC109" s="378"/>
      <c r="FD109" s="379">
        <f t="shared" ref="FD109:FD117" si="235">SUM(BE109:BG109,BI109,BL109:BM109)+SUM(BH109,BJ109,BK109)*5</f>
        <v>200</v>
      </c>
      <c r="FE109" s="790"/>
    </row>
    <row r="110" spans="2:164" ht="26.1" customHeight="1" outlineLevel="1" thickBot="1" x14ac:dyDescent="0.3">
      <c r="B110" s="1018"/>
      <c r="C110" s="1020"/>
      <c r="D110" s="1036"/>
      <c r="E110" s="1040"/>
      <c r="F110" s="833" t="s">
        <v>111</v>
      </c>
      <c r="G110" s="800" t="str">
        <f>VLOOKUP(H110,инфо!AD:AE,2,FALSE)</f>
        <v>Прочее</v>
      </c>
      <c r="H110" s="571" t="s">
        <v>1197</v>
      </c>
      <c r="I110" s="607" t="s">
        <v>141</v>
      </c>
      <c r="J110" s="380"/>
      <c r="K110" s="381"/>
      <c r="L110" s="381"/>
      <c r="M110" s="381"/>
      <c r="N110" s="381"/>
      <c r="O110" s="381"/>
      <c r="P110" s="381"/>
      <c r="Q110" s="381"/>
      <c r="R110" s="381"/>
      <c r="S110" s="381"/>
      <c r="T110" s="381"/>
      <c r="U110" s="381"/>
      <c r="V110" s="381"/>
      <c r="W110" s="382"/>
      <c r="X110" s="382"/>
      <c r="Y110" s="382"/>
      <c r="Z110" s="382"/>
      <c r="AA110" s="382"/>
      <c r="AB110" s="382"/>
      <c r="AC110" s="382"/>
      <c r="AD110" s="382"/>
      <c r="AE110" s="382"/>
      <c r="AF110" s="382"/>
      <c r="AG110" s="382"/>
      <c r="AH110" s="382"/>
      <c r="AI110" s="382"/>
      <c r="AJ110" s="382"/>
      <c r="AK110" s="382"/>
      <c r="AL110" s="382"/>
      <c r="AM110" s="382"/>
      <c r="AN110" s="382"/>
      <c r="AO110" s="382"/>
      <c r="AP110" s="382"/>
      <c r="AQ110" s="382"/>
      <c r="AR110" s="382"/>
      <c r="AS110" s="382"/>
      <c r="AT110" s="382"/>
      <c r="AU110" s="382">
        <v>20</v>
      </c>
      <c r="AV110" s="382"/>
      <c r="AW110" s="382"/>
      <c r="AX110" s="382"/>
      <c r="AY110" s="382"/>
      <c r="AZ110" s="382"/>
      <c r="BA110" s="382"/>
      <c r="BB110" s="382"/>
      <c r="BC110" s="382"/>
      <c r="BD110" s="382"/>
      <c r="BE110" s="383"/>
      <c r="BF110" s="383"/>
      <c r="BG110" s="383"/>
      <c r="BH110" s="383"/>
      <c r="BI110" s="383"/>
      <c r="BJ110" s="383"/>
      <c r="BK110" s="383"/>
      <c r="BL110" s="383"/>
      <c r="BM110" s="383"/>
      <c r="BN110" s="384"/>
      <c r="BO110" s="384"/>
      <c r="BP110" s="384"/>
      <c r="BQ110" s="384"/>
      <c r="BR110" s="384"/>
      <c r="BS110" s="384"/>
      <c r="BT110" s="384"/>
      <c r="BU110" s="384"/>
      <c r="BV110" s="381"/>
      <c r="BW110" s="381"/>
      <c r="BX110" s="381"/>
      <c r="BY110" s="381"/>
      <c r="BZ110" s="381"/>
      <c r="CA110" s="381"/>
      <c r="CB110" s="381"/>
      <c r="CC110" s="385"/>
      <c r="CD110" s="385"/>
      <c r="CE110" s="385"/>
      <c r="CF110" s="385"/>
      <c r="CG110" s="385"/>
      <c r="CH110" s="385"/>
      <c r="CI110" s="385"/>
      <c r="CJ110" s="385"/>
      <c r="CK110" s="385"/>
      <c r="CL110" s="385"/>
      <c r="CM110" s="385"/>
      <c r="CN110" s="385"/>
      <c r="CO110" s="385"/>
      <c r="CP110" s="385"/>
      <c r="CQ110" s="385"/>
      <c r="CR110" s="385"/>
      <c r="CS110" s="386"/>
      <c r="CT110" s="386"/>
      <c r="CU110" s="386"/>
      <c r="CV110" s="386"/>
      <c r="CW110" s="386"/>
      <c r="CX110" s="386"/>
      <c r="CY110" s="386"/>
      <c r="CZ110" s="386"/>
      <c r="DA110" s="386"/>
      <c r="DB110" s="386"/>
      <c r="DC110" s="386"/>
      <c r="DD110" s="386"/>
      <c r="DE110" s="386"/>
      <c r="DF110" s="386"/>
      <c r="DG110" s="386"/>
      <c r="DH110" s="386"/>
      <c r="DI110" s="386"/>
      <c r="DJ110" s="386"/>
      <c r="DK110" s="386"/>
      <c r="DL110" s="386"/>
      <c r="DM110" s="386"/>
      <c r="DN110" s="933"/>
      <c r="DO110" s="387"/>
      <c r="DP110" s="387"/>
      <c r="DQ110" s="388"/>
      <c r="DR110" s="388"/>
      <c r="DS110" s="383"/>
      <c r="DT110" s="383"/>
      <c r="DU110" s="383"/>
      <c r="DV110" s="383"/>
      <c r="DW110" s="383"/>
      <c r="DX110" s="383"/>
      <c r="DY110" s="383"/>
      <c r="DZ110" s="383"/>
      <c r="EA110" s="383"/>
      <c r="EB110" s="383"/>
      <c r="EC110" s="383"/>
      <c r="ED110" s="383"/>
      <c r="EE110" s="383"/>
      <c r="EF110" s="383"/>
      <c r="EG110" s="383"/>
      <c r="EH110" s="383"/>
      <c r="EI110" s="383"/>
      <c r="EJ110" s="383"/>
      <c r="EK110" s="383"/>
      <c r="EL110" s="383"/>
      <c r="EM110" s="383"/>
      <c r="EN110" s="383"/>
      <c r="EO110" s="383"/>
      <c r="EP110" s="383"/>
      <c r="EQ110" s="383"/>
      <c r="ER110" s="383"/>
      <c r="ES110" s="383"/>
      <c r="ET110" s="383"/>
      <c r="EU110" s="383"/>
      <c r="EV110" s="383"/>
      <c r="EW110" s="383"/>
      <c r="EX110" s="383"/>
      <c r="EY110" s="383"/>
      <c r="EZ110" s="383"/>
      <c r="FA110" s="389"/>
      <c r="FB110" s="390">
        <v>20</v>
      </c>
      <c r="FC110" s="390"/>
      <c r="FD110" s="391">
        <f t="shared" si="235"/>
        <v>0</v>
      </c>
      <c r="FE110" s="790"/>
    </row>
    <row r="111" spans="2:164" ht="26.1" customHeight="1" outlineLevel="1" thickBot="1" x14ac:dyDescent="0.3">
      <c r="B111" s="1018"/>
      <c r="C111" s="1020"/>
      <c r="D111" s="1036"/>
      <c r="E111" s="1039" t="s">
        <v>115</v>
      </c>
      <c r="F111" s="831" t="s">
        <v>111</v>
      </c>
      <c r="G111" s="798" t="str">
        <f>VLOOKUP(H111,инфо!AD:AE,2,FALSE)</f>
        <v>Прочее</v>
      </c>
      <c r="H111" s="569" t="s">
        <v>1197</v>
      </c>
      <c r="I111" s="609" t="s">
        <v>64</v>
      </c>
      <c r="J111" s="355"/>
      <c r="K111" s="356"/>
      <c r="L111" s="356"/>
      <c r="M111" s="356"/>
      <c r="N111" s="356"/>
      <c r="O111" s="356"/>
      <c r="P111" s="356"/>
      <c r="Q111" s="356"/>
      <c r="R111" s="356"/>
      <c r="S111" s="356"/>
      <c r="T111" s="356"/>
      <c r="U111" s="356"/>
      <c r="V111" s="356"/>
      <c r="W111" s="357"/>
      <c r="X111" s="357"/>
      <c r="Y111" s="357"/>
      <c r="Z111" s="357"/>
      <c r="AA111" s="357"/>
      <c r="AB111" s="357"/>
      <c r="AC111" s="357"/>
      <c r="AD111" s="357"/>
      <c r="AE111" s="357"/>
      <c r="AF111" s="357"/>
      <c r="AG111" s="357"/>
      <c r="AH111" s="357"/>
      <c r="AI111" s="357"/>
      <c r="AJ111" s="357"/>
      <c r="AK111" s="357"/>
      <c r="AL111" s="357"/>
      <c r="AM111" s="357"/>
      <c r="AN111" s="357"/>
      <c r="AO111" s="357"/>
      <c r="AP111" s="357"/>
      <c r="AQ111" s="357"/>
      <c r="AR111" s="357"/>
      <c r="AS111" s="357"/>
      <c r="AT111" s="357"/>
      <c r="AU111" s="357"/>
      <c r="AV111" s="357"/>
      <c r="AW111" s="357"/>
      <c r="AX111" s="357"/>
      <c r="AY111" s="357"/>
      <c r="AZ111" s="357"/>
      <c r="BA111" s="357"/>
      <c r="BB111" s="357"/>
      <c r="BC111" s="357"/>
      <c r="BD111" s="357"/>
      <c r="BE111" s="358"/>
      <c r="BF111" s="358"/>
      <c r="BG111" s="358"/>
      <c r="BH111" s="358"/>
      <c r="BI111" s="358"/>
      <c r="BJ111" s="358"/>
      <c r="BK111" s="358"/>
      <c r="BL111" s="358"/>
      <c r="BM111" s="358"/>
      <c r="BN111" s="359"/>
      <c r="BO111" s="359"/>
      <c r="BP111" s="359"/>
      <c r="BQ111" s="359"/>
      <c r="BR111" s="359"/>
      <c r="BS111" s="359"/>
      <c r="BT111" s="359"/>
      <c r="BU111" s="359"/>
      <c r="BV111" s="356"/>
      <c r="BW111" s="356"/>
      <c r="BX111" s="356"/>
      <c r="BY111" s="356"/>
      <c r="BZ111" s="356"/>
      <c r="CA111" s="356"/>
      <c r="CB111" s="356"/>
      <c r="CC111" s="360"/>
      <c r="CD111" s="360">
        <v>25</v>
      </c>
      <c r="CE111" s="360"/>
      <c r="CF111" s="360"/>
      <c r="CG111" s="360"/>
      <c r="CH111" s="360"/>
      <c r="CI111" s="360"/>
      <c r="CJ111" s="360"/>
      <c r="CK111" s="360"/>
      <c r="CL111" s="360"/>
      <c r="CM111" s="360"/>
      <c r="CN111" s="360"/>
      <c r="CO111" s="360"/>
      <c r="CP111" s="360"/>
      <c r="CQ111" s="360"/>
      <c r="CR111" s="360"/>
      <c r="CS111" s="361"/>
      <c r="CT111" s="361"/>
      <c r="CU111" s="361"/>
      <c r="CV111" s="361"/>
      <c r="CW111" s="361"/>
      <c r="CX111" s="361"/>
      <c r="CY111" s="361"/>
      <c r="CZ111" s="361"/>
      <c r="DA111" s="361"/>
      <c r="DB111" s="361"/>
      <c r="DC111" s="361"/>
      <c r="DD111" s="361"/>
      <c r="DE111" s="361"/>
      <c r="DF111" s="361"/>
      <c r="DG111" s="361"/>
      <c r="DH111" s="361"/>
      <c r="DI111" s="361"/>
      <c r="DJ111" s="361"/>
      <c r="DK111" s="361"/>
      <c r="DL111" s="361"/>
      <c r="DM111" s="361"/>
      <c r="DN111" s="931"/>
      <c r="DO111" s="362"/>
      <c r="DP111" s="362"/>
      <c r="DQ111" s="363"/>
      <c r="DR111" s="363"/>
      <c r="DS111" s="358"/>
      <c r="DT111" s="358"/>
      <c r="DU111" s="358"/>
      <c r="DV111" s="358"/>
      <c r="DW111" s="358"/>
      <c r="DX111" s="358"/>
      <c r="DY111" s="358"/>
      <c r="DZ111" s="358"/>
      <c r="EA111" s="358"/>
      <c r="EB111" s="358"/>
      <c r="EC111" s="358"/>
      <c r="ED111" s="358"/>
      <c r="EE111" s="358"/>
      <c r="EF111" s="358"/>
      <c r="EG111" s="358"/>
      <c r="EH111" s="358"/>
      <c r="EI111" s="358"/>
      <c r="EJ111" s="358"/>
      <c r="EK111" s="358"/>
      <c r="EL111" s="358"/>
      <c r="EM111" s="358"/>
      <c r="EN111" s="358"/>
      <c r="EO111" s="358"/>
      <c r="EP111" s="358"/>
      <c r="EQ111" s="358"/>
      <c r="ER111" s="358"/>
      <c r="ES111" s="358"/>
      <c r="ET111" s="358"/>
      <c r="EU111" s="358"/>
      <c r="EV111" s="358"/>
      <c r="EW111" s="358"/>
      <c r="EX111" s="358"/>
      <c r="EY111" s="358"/>
      <c r="EZ111" s="358"/>
      <c r="FA111" s="364"/>
      <c r="FB111" s="365">
        <v>25</v>
      </c>
      <c r="FC111" s="365"/>
      <c r="FD111" s="367">
        <f t="shared" si="235"/>
        <v>0</v>
      </c>
      <c r="FE111" s="790"/>
    </row>
    <row r="112" spans="2:164" ht="26.1" customHeight="1" outlineLevel="1" thickBot="1" x14ac:dyDescent="0.3">
      <c r="B112" s="1018"/>
      <c r="C112" s="1020"/>
      <c r="D112" s="1036"/>
      <c r="E112" s="1039"/>
      <c r="F112" s="832" t="s">
        <v>111</v>
      </c>
      <c r="G112" s="799" t="str">
        <f>VLOOKUP(H112,инфо!AD:AE,2,FALSE)</f>
        <v>Холодные закуски</v>
      </c>
      <c r="H112" s="572" t="s">
        <v>1200</v>
      </c>
      <c r="I112" s="589" t="s">
        <v>1146</v>
      </c>
      <c r="J112" s="368"/>
      <c r="K112" s="369"/>
      <c r="L112" s="369"/>
      <c r="M112" s="369"/>
      <c r="N112" s="369"/>
      <c r="O112" s="369"/>
      <c r="P112" s="369"/>
      <c r="Q112" s="369"/>
      <c r="R112" s="369"/>
      <c r="S112" s="369"/>
      <c r="T112" s="369"/>
      <c r="U112" s="369"/>
      <c r="V112" s="369"/>
      <c r="W112" s="370"/>
      <c r="X112" s="370"/>
      <c r="Y112" s="370"/>
      <c r="Z112" s="370"/>
      <c r="AA112" s="370"/>
      <c r="AB112" s="370"/>
      <c r="AC112" s="370"/>
      <c r="AD112" s="370"/>
      <c r="AE112" s="370"/>
      <c r="AF112" s="370"/>
      <c r="AG112" s="370"/>
      <c r="AH112" s="370"/>
      <c r="AI112" s="370"/>
      <c r="AJ112" s="370"/>
      <c r="AK112" s="370"/>
      <c r="AL112" s="370"/>
      <c r="AM112" s="370"/>
      <c r="AN112" s="370"/>
      <c r="AO112" s="370"/>
      <c r="AP112" s="370"/>
      <c r="AQ112" s="370"/>
      <c r="AR112" s="370"/>
      <c r="AS112" s="370"/>
      <c r="AT112" s="370"/>
      <c r="AU112" s="370"/>
      <c r="AV112" s="370"/>
      <c r="AW112" s="370"/>
      <c r="AX112" s="370"/>
      <c r="AY112" s="370"/>
      <c r="AZ112" s="370"/>
      <c r="BA112" s="370"/>
      <c r="BB112" s="370"/>
      <c r="BC112" s="370"/>
      <c r="BD112" s="370"/>
      <c r="BE112" s="371"/>
      <c r="BF112" s="371"/>
      <c r="BG112" s="371"/>
      <c r="BH112" s="371"/>
      <c r="BI112" s="371"/>
      <c r="BJ112" s="371"/>
      <c r="BK112" s="371"/>
      <c r="BL112" s="371"/>
      <c r="BM112" s="371"/>
      <c r="BN112" s="372"/>
      <c r="BO112" s="372"/>
      <c r="BP112" s="372"/>
      <c r="BQ112" s="372"/>
      <c r="BR112" s="372"/>
      <c r="BS112" s="372"/>
      <c r="BT112" s="372"/>
      <c r="BU112" s="372"/>
      <c r="BV112" s="369"/>
      <c r="BW112" s="369"/>
      <c r="BX112" s="369"/>
      <c r="BY112" s="369"/>
      <c r="BZ112" s="369"/>
      <c r="CA112" s="369"/>
      <c r="CB112" s="369"/>
      <c r="CC112" s="373"/>
      <c r="CD112" s="373"/>
      <c r="CE112" s="373"/>
      <c r="CF112" s="373"/>
      <c r="CG112" s="373"/>
      <c r="CH112" s="373"/>
      <c r="CI112" s="373"/>
      <c r="CJ112" s="373"/>
      <c r="CK112" s="373"/>
      <c r="CL112" s="373"/>
      <c r="CM112" s="373"/>
      <c r="CN112" s="373"/>
      <c r="CO112" s="373"/>
      <c r="CP112" s="373"/>
      <c r="CQ112" s="373"/>
      <c r="CR112" s="373"/>
      <c r="CS112" s="374"/>
      <c r="CT112" s="374"/>
      <c r="CU112" s="374"/>
      <c r="CV112" s="374"/>
      <c r="CW112" s="374"/>
      <c r="CX112" s="374"/>
      <c r="CY112" s="374"/>
      <c r="CZ112" s="374"/>
      <c r="DA112" s="374"/>
      <c r="DB112" s="374"/>
      <c r="DC112" s="374"/>
      <c r="DD112" s="374"/>
      <c r="DE112" s="374"/>
      <c r="DF112" s="374"/>
      <c r="DG112" s="374"/>
      <c r="DH112" s="374"/>
      <c r="DI112" s="374"/>
      <c r="DJ112" s="374"/>
      <c r="DK112" s="374"/>
      <c r="DL112" s="374"/>
      <c r="DM112" s="374"/>
      <c r="DN112" s="932">
        <v>1</v>
      </c>
      <c r="DO112" s="375"/>
      <c r="DP112" s="375">
        <v>2</v>
      </c>
      <c r="DQ112" s="376"/>
      <c r="DR112" s="376"/>
      <c r="DS112" s="371"/>
      <c r="DT112" s="371"/>
      <c r="DU112" s="371"/>
      <c r="DV112" s="371"/>
      <c r="DW112" s="371"/>
      <c r="DX112" s="371"/>
      <c r="DY112" s="371"/>
      <c r="DZ112" s="371"/>
      <c r="EA112" s="371"/>
      <c r="EB112" s="371"/>
      <c r="EC112" s="371"/>
      <c r="ED112" s="371"/>
      <c r="EE112" s="371"/>
      <c r="EF112" s="371"/>
      <c r="EG112" s="371"/>
      <c r="EH112" s="371"/>
      <c r="EI112" s="371"/>
      <c r="EJ112" s="371"/>
      <c r="EK112" s="371"/>
      <c r="EL112" s="371"/>
      <c r="EM112" s="371"/>
      <c r="EN112" s="371"/>
      <c r="EO112" s="371"/>
      <c r="EP112" s="371"/>
      <c r="EQ112" s="371"/>
      <c r="ER112" s="371"/>
      <c r="ES112" s="371"/>
      <c r="ET112" s="371"/>
      <c r="EU112" s="371"/>
      <c r="EV112" s="371"/>
      <c r="EW112" s="371"/>
      <c r="EX112" s="371"/>
      <c r="EY112" s="371"/>
      <c r="EZ112" s="371"/>
      <c r="FA112" s="377"/>
      <c r="FB112" s="378">
        <v>40</v>
      </c>
      <c r="FC112" s="378"/>
      <c r="FD112" s="379">
        <f t="shared" si="235"/>
        <v>0</v>
      </c>
      <c r="FE112" s="790"/>
    </row>
    <row r="113" spans="2:164" ht="26.1" customHeight="1" outlineLevel="1" thickBot="1" x14ac:dyDescent="0.3">
      <c r="B113" s="1018"/>
      <c r="C113" s="1020"/>
      <c r="D113" s="1036"/>
      <c r="E113" s="1039"/>
      <c r="F113" s="834" t="s">
        <v>111</v>
      </c>
      <c r="G113" s="801" t="str">
        <f>VLOOKUP(H113,инфо!AD:AE,2,FALSE)</f>
        <v>Прочее</v>
      </c>
      <c r="H113" s="573" t="s">
        <v>1197</v>
      </c>
      <c r="I113" s="606" t="s">
        <v>60</v>
      </c>
      <c r="J113" s="392"/>
      <c r="K113" s="393"/>
      <c r="L113" s="393"/>
      <c r="M113" s="393"/>
      <c r="N113" s="393"/>
      <c r="O113" s="393"/>
      <c r="P113" s="393"/>
      <c r="Q113" s="393"/>
      <c r="R113" s="393"/>
      <c r="S113" s="393"/>
      <c r="T113" s="393"/>
      <c r="U113" s="393"/>
      <c r="V113" s="393"/>
      <c r="W113" s="394"/>
      <c r="X113" s="394"/>
      <c r="Y113" s="394"/>
      <c r="Z113" s="394"/>
      <c r="AA113" s="394"/>
      <c r="AB113" s="394"/>
      <c r="AC113" s="394"/>
      <c r="AD113" s="394"/>
      <c r="AE113" s="394"/>
      <c r="AF113" s="394"/>
      <c r="AG113" s="394"/>
      <c r="AH113" s="394"/>
      <c r="AI113" s="394"/>
      <c r="AJ113" s="394"/>
      <c r="AK113" s="394"/>
      <c r="AL113" s="394"/>
      <c r="AM113" s="394"/>
      <c r="AN113" s="394"/>
      <c r="AO113" s="394"/>
      <c r="AP113" s="394"/>
      <c r="AQ113" s="394"/>
      <c r="AR113" s="394"/>
      <c r="AS113" s="394"/>
      <c r="AT113" s="394"/>
      <c r="AU113" s="394"/>
      <c r="AV113" s="394"/>
      <c r="AW113" s="394"/>
      <c r="AX113" s="394"/>
      <c r="AY113" s="394"/>
      <c r="AZ113" s="394"/>
      <c r="BA113" s="394"/>
      <c r="BB113" s="394"/>
      <c r="BC113" s="394"/>
      <c r="BD113" s="394"/>
      <c r="BE113" s="395"/>
      <c r="BF113" s="395"/>
      <c r="BG113" s="395"/>
      <c r="BH113" s="395"/>
      <c r="BI113" s="395"/>
      <c r="BJ113" s="395"/>
      <c r="BK113" s="395"/>
      <c r="BL113" s="395"/>
      <c r="BM113" s="395"/>
      <c r="BN113" s="396">
        <v>15</v>
      </c>
      <c r="BO113" s="396"/>
      <c r="BP113" s="396"/>
      <c r="BQ113" s="396"/>
      <c r="BR113" s="396"/>
      <c r="BS113" s="396"/>
      <c r="BT113" s="396"/>
      <c r="BU113" s="396"/>
      <c r="BV113" s="393"/>
      <c r="BW113" s="393"/>
      <c r="BX113" s="393"/>
      <c r="BY113" s="393"/>
      <c r="BZ113" s="393"/>
      <c r="CA113" s="393"/>
      <c r="CB113" s="393"/>
      <c r="CC113" s="397"/>
      <c r="CD113" s="397"/>
      <c r="CE113" s="397"/>
      <c r="CF113" s="397"/>
      <c r="CG113" s="397"/>
      <c r="CH113" s="397"/>
      <c r="CI113" s="397"/>
      <c r="CJ113" s="397"/>
      <c r="CK113" s="397"/>
      <c r="CL113" s="397"/>
      <c r="CM113" s="397"/>
      <c r="CN113" s="397"/>
      <c r="CO113" s="397"/>
      <c r="CP113" s="397"/>
      <c r="CQ113" s="397"/>
      <c r="CR113" s="397"/>
      <c r="CS113" s="398"/>
      <c r="CT113" s="398"/>
      <c r="CU113" s="398"/>
      <c r="CV113" s="398"/>
      <c r="CW113" s="399"/>
      <c r="CX113" s="398"/>
      <c r="CY113" s="398"/>
      <c r="CZ113" s="398"/>
      <c r="DA113" s="398"/>
      <c r="DB113" s="398"/>
      <c r="DC113" s="398"/>
      <c r="DD113" s="398"/>
      <c r="DE113" s="398"/>
      <c r="DF113" s="398"/>
      <c r="DG113" s="398"/>
      <c r="DH113" s="398"/>
      <c r="DI113" s="398"/>
      <c r="DJ113" s="398"/>
      <c r="DK113" s="398"/>
      <c r="DL113" s="398"/>
      <c r="DM113" s="398"/>
      <c r="DN113" s="934"/>
      <c r="DO113" s="400"/>
      <c r="DP113" s="400"/>
      <c r="DQ113" s="401"/>
      <c r="DR113" s="401"/>
      <c r="DS113" s="395"/>
      <c r="DT113" s="395"/>
      <c r="DU113" s="395"/>
      <c r="DV113" s="395"/>
      <c r="DW113" s="395"/>
      <c r="DX113" s="395"/>
      <c r="DY113" s="395"/>
      <c r="DZ113" s="395"/>
      <c r="EA113" s="395"/>
      <c r="EB113" s="395"/>
      <c r="EC113" s="395"/>
      <c r="ED113" s="395"/>
      <c r="EE113" s="395"/>
      <c r="EF113" s="395"/>
      <c r="EG113" s="395"/>
      <c r="EH113" s="395"/>
      <c r="EI113" s="395"/>
      <c r="EJ113" s="395"/>
      <c r="EK113" s="395"/>
      <c r="EL113" s="395"/>
      <c r="EM113" s="395"/>
      <c r="EN113" s="395"/>
      <c r="EO113" s="395"/>
      <c r="EP113" s="395"/>
      <c r="EQ113" s="395"/>
      <c r="ER113" s="395"/>
      <c r="ES113" s="395"/>
      <c r="ET113" s="395"/>
      <c r="EU113" s="395"/>
      <c r="EV113" s="395"/>
      <c r="EW113" s="395"/>
      <c r="EX113" s="395"/>
      <c r="EY113" s="395"/>
      <c r="EZ113" s="395"/>
      <c r="FA113" s="402"/>
      <c r="FB113" s="403">
        <v>15</v>
      </c>
      <c r="FC113" s="403"/>
      <c r="FD113" s="404">
        <f t="shared" si="235"/>
        <v>0</v>
      </c>
      <c r="FE113" s="790"/>
    </row>
    <row r="114" spans="2:164" ht="26.1" customHeight="1" outlineLevel="1" thickBot="1" x14ac:dyDescent="0.3">
      <c r="B114" s="1018"/>
      <c r="C114" s="1020"/>
      <c r="D114" s="1036"/>
      <c r="E114" s="1041" t="s">
        <v>116</v>
      </c>
      <c r="F114" s="835" t="s">
        <v>111</v>
      </c>
      <c r="G114" s="802" t="str">
        <f>VLOOKUP(H114,инфо!AD:AE,2,FALSE)</f>
        <v>Напитки</v>
      </c>
      <c r="H114" s="574" t="s">
        <v>1195</v>
      </c>
      <c r="I114" s="588" t="s">
        <v>1156</v>
      </c>
      <c r="J114" s="405"/>
      <c r="K114" s="406"/>
      <c r="L114" s="406"/>
      <c r="M114" s="406"/>
      <c r="N114" s="406"/>
      <c r="O114" s="406"/>
      <c r="P114" s="406"/>
      <c r="Q114" s="406"/>
      <c r="R114" s="406"/>
      <c r="S114" s="406"/>
      <c r="T114" s="406"/>
      <c r="U114" s="406"/>
      <c r="V114" s="406"/>
      <c r="W114" s="407"/>
      <c r="X114" s="407"/>
      <c r="Y114" s="407"/>
      <c r="Z114" s="407"/>
      <c r="AA114" s="407"/>
      <c r="AB114" s="407"/>
      <c r="AC114" s="407"/>
      <c r="AD114" s="407"/>
      <c r="AE114" s="407"/>
      <c r="AF114" s="407"/>
      <c r="AG114" s="407"/>
      <c r="AH114" s="407"/>
      <c r="AI114" s="407"/>
      <c r="AJ114" s="407"/>
      <c r="AK114" s="407"/>
      <c r="AL114" s="407"/>
      <c r="AM114" s="407"/>
      <c r="AN114" s="407"/>
      <c r="AO114" s="407"/>
      <c r="AP114" s="407"/>
      <c r="AQ114" s="407"/>
      <c r="AR114" s="407"/>
      <c r="AS114" s="407"/>
      <c r="AT114" s="407"/>
      <c r="AU114" s="407"/>
      <c r="AV114" s="407"/>
      <c r="AW114" s="407"/>
      <c r="AX114" s="407"/>
      <c r="AY114" s="407"/>
      <c r="AZ114" s="407"/>
      <c r="BA114" s="407"/>
      <c r="BB114" s="407"/>
      <c r="BC114" s="407"/>
      <c r="BD114" s="407"/>
      <c r="BE114" s="408"/>
      <c r="BF114" s="408"/>
      <c r="BG114" s="408"/>
      <c r="BH114" s="408"/>
      <c r="BI114" s="408"/>
      <c r="BJ114" s="408"/>
      <c r="BK114" s="408"/>
      <c r="BL114" s="408"/>
      <c r="BM114" s="408"/>
      <c r="BN114" s="409"/>
      <c r="BO114" s="409"/>
      <c r="BP114" s="409"/>
      <c r="BQ114" s="409"/>
      <c r="BR114" s="409"/>
      <c r="BS114" s="409"/>
      <c r="BT114" s="409"/>
      <c r="BU114" s="409"/>
      <c r="BV114" s="406"/>
      <c r="BW114" s="406"/>
      <c r="BX114" s="406"/>
      <c r="BY114" s="406"/>
      <c r="BZ114" s="406"/>
      <c r="CA114" s="406"/>
      <c r="CB114" s="406"/>
      <c r="CC114" s="410"/>
      <c r="CD114" s="410"/>
      <c r="CE114" s="410"/>
      <c r="CF114" s="410"/>
      <c r="CG114" s="410"/>
      <c r="CH114" s="410"/>
      <c r="CI114" s="410"/>
      <c r="CJ114" s="410"/>
      <c r="CK114" s="410"/>
      <c r="CL114" s="410"/>
      <c r="CM114" s="410"/>
      <c r="CN114" s="410"/>
      <c r="CO114" s="410"/>
      <c r="CP114" s="410"/>
      <c r="CQ114" s="410"/>
      <c r="CR114" s="410"/>
      <c r="CS114" s="411"/>
      <c r="CT114" s="411"/>
      <c r="CU114" s="411"/>
      <c r="CV114" s="411"/>
      <c r="CW114" s="412"/>
      <c r="CX114" s="411"/>
      <c r="CY114" s="411"/>
      <c r="CZ114" s="411"/>
      <c r="DA114" s="411"/>
      <c r="DB114" s="411"/>
      <c r="DC114" s="411"/>
      <c r="DD114" s="411"/>
      <c r="DE114" s="411"/>
      <c r="DF114" s="411"/>
      <c r="DG114" s="411"/>
      <c r="DH114" s="411"/>
      <c r="DI114" s="411"/>
      <c r="DJ114" s="411"/>
      <c r="DK114" s="411"/>
      <c r="DL114" s="411"/>
      <c r="DM114" s="411"/>
      <c r="DN114" s="935"/>
      <c r="DO114" s="413">
        <v>25</v>
      </c>
      <c r="DP114" s="413"/>
      <c r="DQ114" s="414"/>
      <c r="DR114" s="414"/>
      <c r="DS114" s="408"/>
      <c r="DT114" s="408"/>
      <c r="DU114" s="408"/>
      <c r="DV114" s="408"/>
      <c r="DW114" s="408"/>
      <c r="DX114" s="408"/>
      <c r="DY114" s="408"/>
      <c r="DZ114" s="408"/>
      <c r="EA114" s="408">
        <v>250</v>
      </c>
      <c r="EB114" s="408"/>
      <c r="EC114" s="408"/>
      <c r="ED114" s="408"/>
      <c r="EE114" s="408"/>
      <c r="EF114" s="408">
        <v>1.5</v>
      </c>
      <c r="EG114" s="408"/>
      <c r="EH114" s="408"/>
      <c r="EI114" s="408"/>
      <c r="EJ114" s="408"/>
      <c r="EK114" s="408"/>
      <c r="EL114" s="408"/>
      <c r="EM114" s="408"/>
      <c r="EN114" s="408"/>
      <c r="EO114" s="408"/>
      <c r="EP114" s="408"/>
      <c r="EQ114" s="408"/>
      <c r="ER114" s="408"/>
      <c r="ES114" s="408"/>
      <c r="ET114" s="408"/>
      <c r="EU114" s="408"/>
      <c r="EV114" s="408"/>
      <c r="EW114" s="408"/>
      <c r="EX114" s="408"/>
      <c r="EY114" s="408"/>
      <c r="EZ114" s="408"/>
      <c r="FA114" s="415"/>
      <c r="FB114" s="416">
        <v>250</v>
      </c>
      <c r="FC114" s="416"/>
      <c r="FD114" s="417">
        <f t="shared" si="235"/>
        <v>0</v>
      </c>
      <c r="FE114" s="790"/>
    </row>
    <row r="115" spans="2:164" ht="26.1" customHeight="1" outlineLevel="1" thickBot="1" x14ac:dyDescent="0.3">
      <c r="B115" s="1018"/>
      <c r="C115" s="1020"/>
      <c r="D115" s="1036"/>
      <c r="E115" s="1039"/>
      <c r="F115" s="832" t="s">
        <v>111</v>
      </c>
      <c r="G115" s="799" t="str">
        <f>VLOOKUP(H115,инфо!AD:AE,2,FALSE)</f>
        <v>Прочее</v>
      </c>
      <c r="H115" s="572" t="s">
        <v>1197</v>
      </c>
      <c r="I115" s="589" t="s">
        <v>53</v>
      </c>
      <c r="J115" s="368"/>
      <c r="K115" s="369"/>
      <c r="L115" s="369"/>
      <c r="M115" s="369"/>
      <c r="N115" s="369"/>
      <c r="O115" s="369"/>
      <c r="P115" s="369"/>
      <c r="Q115" s="369"/>
      <c r="R115" s="369"/>
      <c r="S115" s="369"/>
      <c r="T115" s="369"/>
      <c r="U115" s="369"/>
      <c r="V115" s="369"/>
      <c r="W115" s="370"/>
      <c r="X115" s="370"/>
      <c r="Y115" s="370"/>
      <c r="Z115" s="370"/>
      <c r="AA115" s="370"/>
      <c r="AB115" s="370"/>
      <c r="AC115" s="370"/>
      <c r="AD115" s="370"/>
      <c r="AE115" s="370"/>
      <c r="AF115" s="370"/>
      <c r="AG115" s="370"/>
      <c r="AH115" s="370"/>
      <c r="AI115" s="370"/>
      <c r="AJ115" s="370"/>
      <c r="AK115" s="370"/>
      <c r="AL115" s="370"/>
      <c r="AM115" s="370"/>
      <c r="AN115" s="370"/>
      <c r="AO115" s="370"/>
      <c r="AP115" s="370"/>
      <c r="AQ115" s="370"/>
      <c r="AR115" s="370"/>
      <c r="AS115" s="370"/>
      <c r="AT115" s="370"/>
      <c r="AU115" s="370"/>
      <c r="AV115" s="370"/>
      <c r="AW115" s="370"/>
      <c r="AX115" s="370"/>
      <c r="AY115" s="370"/>
      <c r="AZ115" s="370"/>
      <c r="BA115" s="370"/>
      <c r="BB115" s="370"/>
      <c r="BC115" s="370"/>
      <c r="BD115" s="370"/>
      <c r="BE115" s="371"/>
      <c r="BF115" s="371"/>
      <c r="BG115" s="371"/>
      <c r="BH115" s="371"/>
      <c r="BI115" s="371"/>
      <c r="BJ115" s="371"/>
      <c r="BK115" s="371"/>
      <c r="BL115" s="371"/>
      <c r="BM115" s="371"/>
      <c r="BN115" s="372"/>
      <c r="BO115" s="372"/>
      <c r="BP115" s="372"/>
      <c r="BQ115" s="372"/>
      <c r="BR115" s="372"/>
      <c r="BS115" s="372"/>
      <c r="BT115" s="372"/>
      <c r="BU115" s="372"/>
      <c r="BV115" s="369"/>
      <c r="BW115" s="369"/>
      <c r="BX115" s="369"/>
      <c r="BY115" s="369"/>
      <c r="BZ115" s="369"/>
      <c r="CA115" s="369"/>
      <c r="CB115" s="369"/>
      <c r="CC115" s="373"/>
      <c r="CD115" s="373"/>
      <c r="CE115" s="373"/>
      <c r="CF115" s="373"/>
      <c r="CG115" s="373"/>
      <c r="CH115" s="373"/>
      <c r="CI115" s="373"/>
      <c r="CJ115" s="373"/>
      <c r="CK115" s="373"/>
      <c r="CL115" s="373"/>
      <c r="CM115" s="373"/>
      <c r="CN115" s="373"/>
      <c r="CO115" s="373"/>
      <c r="CP115" s="373"/>
      <c r="CQ115" s="373"/>
      <c r="CR115" s="373"/>
      <c r="CS115" s="374"/>
      <c r="CT115" s="374"/>
      <c r="CU115" s="374"/>
      <c r="CV115" s="374"/>
      <c r="CW115" s="418"/>
      <c r="CX115" s="374"/>
      <c r="CY115" s="374"/>
      <c r="CZ115" s="374"/>
      <c r="DA115" s="374"/>
      <c r="DB115" s="374"/>
      <c r="DC115" s="374"/>
      <c r="DD115" s="374"/>
      <c r="DE115" s="374"/>
      <c r="DF115" s="374"/>
      <c r="DG115" s="374"/>
      <c r="DH115" s="374"/>
      <c r="DI115" s="374"/>
      <c r="DJ115" s="374"/>
      <c r="DK115" s="374"/>
      <c r="DL115" s="374"/>
      <c r="DM115" s="374"/>
      <c r="DN115" s="932"/>
      <c r="DO115" s="375">
        <v>25</v>
      </c>
      <c r="DP115" s="375"/>
      <c r="DQ115" s="376"/>
      <c r="DR115" s="376"/>
      <c r="DS115" s="371"/>
      <c r="DT115" s="371"/>
      <c r="DU115" s="371"/>
      <c r="DV115" s="371"/>
      <c r="DW115" s="371"/>
      <c r="DX115" s="371"/>
      <c r="DY115" s="371"/>
      <c r="DZ115" s="371"/>
      <c r="EA115" s="371"/>
      <c r="EB115" s="371"/>
      <c r="EC115" s="371"/>
      <c r="ED115" s="371"/>
      <c r="EE115" s="371"/>
      <c r="EF115" s="371"/>
      <c r="EG115" s="371"/>
      <c r="EH115" s="371"/>
      <c r="EI115" s="371"/>
      <c r="EJ115" s="371"/>
      <c r="EK115" s="371"/>
      <c r="EL115" s="371"/>
      <c r="EM115" s="371"/>
      <c r="EN115" s="371"/>
      <c r="EO115" s="371"/>
      <c r="EP115" s="371"/>
      <c r="EQ115" s="371"/>
      <c r="ER115" s="371"/>
      <c r="ES115" s="371"/>
      <c r="ET115" s="371"/>
      <c r="EU115" s="371"/>
      <c r="EV115" s="371"/>
      <c r="EW115" s="371"/>
      <c r="EX115" s="371"/>
      <c r="EY115" s="371"/>
      <c r="EZ115" s="371"/>
      <c r="FA115" s="377"/>
      <c r="FB115" s="378">
        <v>25</v>
      </c>
      <c r="FC115" s="378"/>
      <c r="FD115" s="379">
        <f t="shared" si="235"/>
        <v>0</v>
      </c>
      <c r="FE115" s="790"/>
    </row>
    <row r="116" spans="2:164" ht="26.1" customHeight="1" outlineLevel="1" thickBot="1" x14ac:dyDescent="0.3">
      <c r="B116" s="1018"/>
      <c r="C116" s="1020"/>
      <c r="D116" s="1036"/>
      <c r="E116" s="1039"/>
      <c r="F116" s="832" t="s">
        <v>111</v>
      </c>
      <c r="G116" s="799" t="str">
        <f>VLOOKUP(H116,инфо!AD:AE,2,FALSE)</f>
        <v>Прочее</v>
      </c>
      <c r="H116" s="575" t="s">
        <v>1197</v>
      </c>
      <c r="I116" s="590" t="s">
        <v>50</v>
      </c>
      <c r="J116" s="368"/>
      <c r="K116" s="369"/>
      <c r="L116" s="369"/>
      <c r="M116" s="369"/>
      <c r="N116" s="369"/>
      <c r="O116" s="369"/>
      <c r="P116" s="369"/>
      <c r="Q116" s="369"/>
      <c r="R116" s="369"/>
      <c r="S116" s="369"/>
      <c r="T116" s="369"/>
      <c r="U116" s="369"/>
      <c r="V116" s="369"/>
      <c r="W116" s="370"/>
      <c r="X116" s="370"/>
      <c r="Y116" s="370"/>
      <c r="Z116" s="370">
        <v>50</v>
      </c>
      <c r="AA116" s="370">
        <v>100</v>
      </c>
      <c r="AB116" s="370"/>
      <c r="AC116" s="370"/>
      <c r="AD116" s="370"/>
      <c r="AE116" s="370"/>
      <c r="AF116" s="370"/>
      <c r="AG116" s="370"/>
      <c r="AH116" s="370"/>
      <c r="AI116" s="370"/>
      <c r="AJ116" s="370"/>
      <c r="AK116" s="370"/>
      <c r="AL116" s="370"/>
      <c r="AM116" s="370"/>
      <c r="AN116" s="370"/>
      <c r="AO116" s="370"/>
      <c r="AP116" s="370"/>
      <c r="AQ116" s="370"/>
      <c r="AR116" s="370"/>
      <c r="AS116" s="370"/>
      <c r="AT116" s="370"/>
      <c r="AU116" s="370"/>
      <c r="AV116" s="370"/>
      <c r="AW116" s="370"/>
      <c r="AX116" s="370"/>
      <c r="AY116" s="370"/>
      <c r="AZ116" s="370"/>
      <c r="BA116" s="370"/>
      <c r="BB116" s="370"/>
      <c r="BC116" s="370"/>
      <c r="BD116" s="370"/>
      <c r="BE116" s="371"/>
      <c r="BF116" s="371"/>
      <c r="BG116" s="371"/>
      <c r="BH116" s="371"/>
      <c r="BI116" s="371"/>
      <c r="BJ116" s="371"/>
      <c r="BK116" s="371"/>
      <c r="BL116" s="371"/>
      <c r="BM116" s="371"/>
      <c r="BN116" s="372"/>
      <c r="BO116" s="372"/>
      <c r="BP116" s="372"/>
      <c r="BQ116" s="372"/>
      <c r="BR116" s="372"/>
      <c r="BS116" s="372"/>
      <c r="BT116" s="372"/>
      <c r="BU116" s="372"/>
      <c r="BV116" s="369"/>
      <c r="BW116" s="369"/>
      <c r="BX116" s="369"/>
      <c r="BY116" s="369"/>
      <c r="BZ116" s="369"/>
      <c r="CA116" s="369"/>
      <c r="CB116" s="369"/>
      <c r="CC116" s="373"/>
      <c r="CD116" s="373"/>
      <c r="CE116" s="373"/>
      <c r="CF116" s="373"/>
      <c r="CG116" s="373"/>
      <c r="CH116" s="373"/>
      <c r="CI116" s="373"/>
      <c r="CJ116" s="373"/>
      <c r="CK116" s="373"/>
      <c r="CL116" s="373"/>
      <c r="CM116" s="373"/>
      <c r="CN116" s="373"/>
      <c r="CO116" s="373"/>
      <c r="CP116" s="373"/>
      <c r="CQ116" s="373"/>
      <c r="CR116" s="373"/>
      <c r="CS116" s="374"/>
      <c r="CT116" s="374"/>
      <c r="CU116" s="374"/>
      <c r="CV116" s="374"/>
      <c r="CW116" s="418"/>
      <c r="CX116" s="374"/>
      <c r="CY116" s="374"/>
      <c r="CZ116" s="374"/>
      <c r="DA116" s="374"/>
      <c r="DB116" s="374"/>
      <c r="DC116" s="374"/>
      <c r="DD116" s="374"/>
      <c r="DE116" s="374"/>
      <c r="DF116" s="374"/>
      <c r="DG116" s="374"/>
      <c r="DH116" s="374"/>
      <c r="DI116" s="374"/>
      <c r="DJ116" s="374"/>
      <c r="DK116" s="374"/>
      <c r="DL116" s="374"/>
      <c r="DM116" s="374"/>
      <c r="DN116" s="932"/>
      <c r="DO116" s="375"/>
      <c r="DP116" s="375"/>
      <c r="DQ116" s="376"/>
      <c r="DR116" s="376"/>
      <c r="DS116" s="371"/>
      <c r="DT116" s="371"/>
      <c r="DU116" s="371"/>
      <c r="DV116" s="371"/>
      <c r="DW116" s="371"/>
      <c r="DX116" s="371"/>
      <c r="DY116" s="371"/>
      <c r="DZ116" s="371"/>
      <c r="EA116" s="371"/>
      <c r="EB116" s="371"/>
      <c r="EC116" s="371"/>
      <c r="ED116" s="371"/>
      <c r="EE116" s="371"/>
      <c r="EF116" s="371"/>
      <c r="EG116" s="371"/>
      <c r="EH116" s="371"/>
      <c r="EI116" s="371"/>
      <c r="EJ116" s="371"/>
      <c r="EK116" s="371"/>
      <c r="EL116" s="371"/>
      <c r="EM116" s="371"/>
      <c r="EN116" s="371"/>
      <c r="EO116" s="371"/>
      <c r="EP116" s="371"/>
      <c r="EQ116" s="371"/>
      <c r="ER116" s="371"/>
      <c r="ES116" s="371"/>
      <c r="ET116" s="371"/>
      <c r="EU116" s="371"/>
      <c r="EV116" s="371"/>
      <c r="EW116" s="371"/>
      <c r="EX116" s="371"/>
      <c r="EY116" s="371"/>
      <c r="EZ116" s="371"/>
      <c r="FA116" s="377"/>
      <c r="FB116" s="378">
        <v>150</v>
      </c>
      <c r="FC116" s="378"/>
      <c r="FD116" s="379">
        <f t="shared" si="235"/>
        <v>0</v>
      </c>
      <c r="FE116" s="790"/>
    </row>
    <row r="117" spans="2:164" ht="26.1" customHeight="1" outlineLevel="1" thickBot="1" x14ac:dyDescent="0.3">
      <c r="B117" s="1018"/>
      <c r="C117" s="1020"/>
      <c r="D117" s="1037"/>
      <c r="E117" s="1040"/>
      <c r="F117" s="834" t="s">
        <v>111</v>
      </c>
      <c r="G117" s="801" t="str">
        <f>VLOOKUP(H117,инфо!AD:AE,2,FALSE)</f>
        <v>Прочее</v>
      </c>
      <c r="H117" s="575" t="s">
        <v>1197</v>
      </c>
      <c r="I117" s="590" t="s">
        <v>56</v>
      </c>
      <c r="J117" s="380"/>
      <c r="K117" s="381"/>
      <c r="L117" s="381"/>
      <c r="M117" s="381"/>
      <c r="N117" s="381"/>
      <c r="O117" s="381"/>
      <c r="P117" s="381"/>
      <c r="Q117" s="381"/>
      <c r="R117" s="381"/>
      <c r="S117" s="381"/>
      <c r="T117" s="381"/>
      <c r="U117" s="381"/>
      <c r="V117" s="381"/>
      <c r="W117" s="382"/>
      <c r="X117" s="382"/>
      <c r="Y117" s="382"/>
      <c r="Z117" s="382"/>
      <c r="AA117" s="382"/>
      <c r="AB117" s="382"/>
      <c r="AC117" s="382"/>
      <c r="AD117" s="382"/>
      <c r="AE117" s="382"/>
      <c r="AF117" s="382"/>
      <c r="AG117" s="382"/>
      <c r="AH117" s="382"/>
      <c r="AI117" s="382"/>
      <c r="AJ117" s="382"/>
      <c r="AK117" s="382"/>
      <c r="AL117" s="382"/>
      <c r="AM117" s="382"/>
      <c r="AN117" s="382"/>
      <c r="AO117" s="382"/>
      <c r="AP117" s="382"/>
      <c r="AQ117" s="382"/>
      <c r="AR117" s="382"/>
      <c r="AS117" s="382"/>
      <c r="AT117" s="382"/>
      <c r="AU117" s="382"/>
      <c r="AV117" s="382"/>
      <c r="AW117" s="382"/>
      <c r="AX117" s="382"/>
      <c r="AY117" s="382"/>
      <c r="AZ117" s="382"/>
      <c r="BA117" s="382"/>
      <c r="BB117" s="382"/>
      <c r="BC117" s="382"/>
      <c r="BD117" s="382"/>
      <c r="BE117" s="383"/>
      <c r="BF117" s="383"/>
      <c r="BG117" s="383"/>
      <c r="BH117" s="383">
        <v>22</v>
      </c>
      <c r="BI117" s="383"/>
      <c r="BJ117" s="383"/>
      <c r="BK117" s="383"/>
      <c r="BL117" s="383"/>
      <c r="BM117" s="383"/>
      <c r="BN117" s="419"/>
      <c r="BO117" s="419"/>
      <c r="BP117" s="419"/>
      <c r="BQ117" s="419"/>
      <c r="BR117" s="419"/>
      <c r="BS117" s="419"/>
      <c r="BT117" s="419"/>
      <c r="BU117" s="384"/>
      <c r="BV117" s="381"/>
      <c r="BW117" s="381"/>
      <c r="BX117" s="381"/>
      <c r="BY117" s="381"/>
      <c r="BZ117" s="381"/>
      <c r="CA117" s="381"/>
      <c r="CB117" s="381"/>
      <c r="CC117" s="420"/>
      <c r="CD117" s="385"/>
      <c r="CE117" s="385"/>
      <c r="CF117" s="385"/>
      <c r="CG117" s="385"/>
      <c r="CH117" s="385"/>
      <c r="CI117" s="385"/>
      <c r="CJ117" s="385"/>
      <c r="CK117" s="385"/>
      <c r="CL117" s="385"/>
      <c r="CM117" s="385"/>
      <c r="CN117" s="385"/>
      <c r="CO117" s="385"/>
      <c r="CP117" s="385"/>
      <c r="CQ117" s="385"/>
      <c r="CR117" s="385"/>
      <c r="CS117" s="386"/>
      <c r="CT117" s="386"/>
      <c r="CU117" s="386"/>
      <c r="CV117" s="386"/>
      <c r="CW117" s="386"/>
      <c r="CX117" s="386"/>
      <c r="CY117" s="386"/>
      <c r="CZ117" s="386"/>
      <c r="DA117" s="386"/>
      <c r="DB117" s="386"/>
      <c r="DC117" s="386"/>
      <c r="DD117" s="386"/>
      <c r="DE117" s="386"/>
      <c r="DF117" s="386"/>
      <c r="DG117" s="386"/>
      <c r="DH117" s="386"/>
      <c r="DI117" s="386"/>
      <c r="DJ117" s="386"/>
      <c r="DK117" s="386"/>
      <c r="DL117" s="386"/>
      <c r="DM117" s="386"/>
      <c r="DN117" s="933"/>
      <c r="DO117" s="387"/>
      <c r="DP117" s="387"/>
      <c r="DQ117" s="388"/>
      <c r="DR117" s="388"/>
      <c r="DS117" s="383"/>
      <c r="DT117" s="383"/>
      <c r="DU117" s="383"/>
      <c r="DV117" s="383"/>
      <c r="DW117" s="383"/>
      <c r="DX117" s="383"/>
      <c r="DY117" s="383"/>
      <c r="DZ117" s="383"/>
      <c r="EA117" s="383"/>
      <c r="EB117" s="383"/>
      <c r="EC117" s="383"/>
      <c r="ED117" s="383"/>
      <c r="EE117" s="383"/>
      <c r="EF117" s="383"/>
      <c r="EG117" s="383"/>
      <c r="EH117" s="383"/>
      <c r="EI117" s="383"/>
      <c r="EJ117" s="383"/>
      <c r="EK117" s="383"/>
      <c r="EL117" s="383"/>
      <c r="EM117" s="383"/>
      <c r="EN117" s="383"/>
      <c r="EO117" s="383"/>
      <c r="EP117" s="383"/>
      <c r="EQ117" s="383"/>
      <c r="ER117" s="383"/>
      <c r="ES117" s="383"/>
      <c r="ET117" s="383"/>
      <c r="EU117" s="383"/>
      <c r="EV117" s="383"/>
      <c r="EW117" s="383"/>
      <c r="EX117" s="383"/>
      <c r="EY117" s="383"/>
      <c r="EZ117" s="383"/>
      <c r="FA117" s="402"/>
      <c r="FB117" s="403">
        <v>22</v>
      </c>
      <c r="FC117" s="403"/>
      <c r="FD117" s="404">
        <f t="shared" si="235"/>
        <v>110</v>
      </c>
      <c r="FE117" s="790"/>
    </row>
    <row r="118" spans="2:164" s="154" customFormat="1" ht="16.5" customHeight="1" outlineLevel="1" thickBot="1" x14ac:dyDescent="0.4">
      <c r="B118" s="1018"/>
      <c r="C118" s="1020"/>
      <c r="D118" s="145"/>
      <c r="E118" s="317" t="s">
        <v>174</v>
      </c>
      <c r="F118" s="836"/>
      <c r="G118" s="818"/>
      <c r="H118" s="576"/>
      <c r="I118" s="594"/>
      <c r="J118" s="305">
        <f>SUM(J108:J117)</f>
        <v>0</v>
      </c>
      <c r="K118" s="146">
        <f t="shared" ref="K118:CU118" si="236">SUM(K108:K117)</f>
        <v>0</v>
      </c>
      <c r="L118" s="146">
        <f t="shared" si="236"/>
        <v>0</v>
      </c>
      <c r="M118" s="146">
        <f t="shared" si="236"/>
        <v>0</v>
      </c>
      <c r="N118" s="146">
        <f t="shared" si="236"/>
        <v>0</v>
      </c>
      <c r="O118" s="146">
        <f t="shared" si="236"/>
        <v>0</v>
      </c>
      <c r="P118" s="146">
        <f t="shared" si="236"/>
        <v>0</v>
      </c>
      <c r="Q118" s="146">
        <f t="shared" si="236"/>
        <v>83</v>
      </c>
      <c r="R118" s="146">
        <f t="shared" si="236"/>
        <v>0</v>
      </c>
      <c r="S118" s="146">
        <f t="shared" si="236"/>
        <v>0</v>
      </c>
      <c r="T118" s="146">
        <f t="shared" ref="T118:V118" si="237">SUM(T108:T117)</f>
        <v>0</v>
      </c>
      <c r="U118" s="146">
        <f t="shared" si="237"/>
        <v>0</v>
      </c>
      <c r="V118" s="146">
        <f t="shared" si="237"/>
        <v>0</v>
      </c>
      <c r="W118" s="147">
        <f t="shared" si="236"/>
        <v>0</v>
      </c>
      <c r="X118" s="147">
        <f t="shared" si="236"/>
        <v>0</v>
      </c>
      <c r="Y118" s="147">
        <f t="shared" ref="Y118" si="238">SUM(Y108:Y117)</f>
        <v>0</v>
      </c>
      <c r="Z118" s="147">
        <f t="shared" si="236"/>
        <v>50</v>
      </c>
      <c r="AA118" s="147">
        <f t="shared" si="236"/>
        <v>100</v>
      </c>
      <c r="AB118" s="147">
        <f t="shared" ref="AB118:AC118" si="239">SUM(AB108:AB117)</f>
        <v>0</v>
      </c>
      <c r="AC118" s="147">
        <f t="shared" si="239"/>
        <v>0</v>
      </c>
      <c r="AD118" s="147">
        <f t="shared" si="236"/>
        <v>0</v>
      </c>
      <c r="AE118" s="147">
        <f t="shared" si="236"/>
        <v>0</v>
      </c>
      <c r="AF118" s="147">
        <f t="shared" ref="AF118:AH118" si="240">SUM(AF108:AF117)</f>
        <v>0</v>
      </c>
      <c r="AG118" s="147">
        <f t="shared" si="240"/>
        <v>0</v>
      </c>
      <c r="AH118" s="147">
        <f t="shared" si="240"/>
        <v>0</v>
      </c>
      <c r="AI118" s="147">
        <f t="shared" si="236"/>
        <v>0</v>
      </c>
      <c r="AJ118" s="147">
        <f t="shared" si="236"/>
        <v>0</v>
      </c>
      <c r="AK118" s="147">
        <f t="shared" si="236"/>
        <v>0</v>
      </c>
      <c r="AL118" s="147">
        <f t="shared" si="236"/>
        <v>0</v>
      </c>
      <c r="AM118" s="147">
        <f t="shared" ref="AM118:AS118" si="241">SUM(AM108:AM117)</f>
        <v>0</v>
      </c>
      <c r="AN118" s="147">
        <f t="shared" si="241"/>
        <v>0</v>
      </c>
      <c r="AO118" s="147">
        <f t="shared" si="241"/>
        <v>0</v>
      </c>
      <c r="AP118" s="147">
        <f t="shared" si="241"/>
        <v>0</v>
      </c>
      <c r="AQ118" s="147">
        <f t="shared" si="241"/>
        <v>0</v>
      </c>
      <c r="AR118" s="147">
        <f t="shared" si="241"/>
        <v>0</v>
      </c>
      <c r="AS118" s="147">
        <f t="shared" si="241"/>
        <v>0</v>
      </c>
      <c r="AT118" s="147">
        <f t="shared" si="236"/>
        <v>0</v>
      </c>
      <c r="AU118" s="147">
        <f t="shared" ref="AU118:BD118" si="242">SUM(AU108:AU117)</f>
        <v>20</v>
      </c>
      <c r="AV118" s="147">
        <f t="shared" si="242"/>
        <v>0</v>
      </c>
      <c r="AW118" s="147">
        <f t="shared" si="242"/>
        <v>0</v>
      </c>
      <c r="AX118" s="147">
        <f t="shared" si="242"/>
        <v>0</v>
      </c>
      <c r="AY118" s="147">
        <f t="shared" si="242"/>
        <v>0</v>
      </c>
      <c r="AZ118" s="147">
        <f t="shared" si="242"/>
        <v>0</v>
      </c>
      <c r="BA118" s="147">
        <f t="shared" si="242"/>
        <v>0</v>
      </c>
      <c r="BB118" s="147">
        <f t="shared" si="242"/>
        <v>0</v>
      </c>
      <c r="BC118" s="147">
        <f t="shared" si="242"/>
        <v>0</v>
      </c>
      <c r="BD118" s="147">
        <f t="shared" si="242"/>
        <v>0</v>
      </c>
      <c r="BE118" s="148">
        <f t="shared" ref="BE118:BP118" si="243">SUM(BE108:BE117)</f>
        <v>200</v>
      </c>
      <c r="BF118" s="148">
        <f t="shared" si="243"/>
        <v>0</v>
      </c>
      <c r="BG118" s="148">
        <f t="shared" si="243"/>
        <v>0</v>
      </c>
      <c r="BH118" s="148">
        <f t="shared" si="243"/>
        <v>22</v>
      </c>
      <c r="BI118" s="148">
        <f t="shared" ref="BI118:BL118" si="244">SUM(BI108:BI117)</f>
        <v>0</v>
      </c>
      <c r="BJ118" s="148">
        <f t="shared" si="244"/>
        <v>0</v>
      </c>
      <c r="BK118" s="148">
        <f t="shared" si="244"/>
        <v>0</v>
      </c>
      <c r="BL118" s="148">
        <f t="shared" si="244"/>
        <v>0</v>
      </c>
      <c r="BM118" s="148">
        <f t="shared" si="243"/>
        <v>0</v>
      </c>
      <c r="BN118" s="149">
        <f t="shared" si="243"/>
        <v>15</v>
      </c>
      <c r="BO118" s="149">
        <f t="shared" si="243"/>
        <v>0</v>
      </c>
      <c r="BP118" s="149">
        <f t="shared" si="243"/>
        <v>0</v>
      </c>
      <c r="BQ118" s="149">
        <f t="shared" ref="BQ118" si="245">SUM(BQ108:BQ117)</f>
        <v>0</v>
      </c>
      <c r="BR118" s="149">
        <f t="shared" ref="BR118:BU118" si="246">SUM(BR108:BR117)</f>
        <v>0</v>
      </c>
      <c r="BS118" s="149">
        <f t="shared" si="246"/>
        <v>0</v>
      </c>
      <c r="BT118" s="149">
        <f t="shared" si="246"/>
        <v>0</v>
      </c>
      <c r="BU118" s="149">
        <f t="shared" si="246"/>
        <v>0</v>
      </c>
      <c r="BV118" s="146">
        <f t="shared" ref="BV118:BX118" si="247">SUM(BV108:BV117)</f>
        <v>0</v>
      </c>
      <c r="BW118" s="146">
        <f t="shared" si="247"/>
        <v>0</v>
      </c>
      <c r="BX118" s="146">
        <f t="shared" si="247"/>
        <v>0</v>
      </c>
      <c r="BY118" s="146">
        <f t="shared" ref="BY118:BZ118" si="248">SUM(BY108:BY117)</f>
        <v>0</v>
      </c>
      <c r="BZ118" s="146">
        <f t="shared" si="248"/>
        <v>0</v>
      </c>
      <c r="CA118" s="146">
        <f t="shared" si="236"/>
        <v>0</v>
      </c>
      <c r="CB118" s="146">
        <f t="shared" si="236"/>
        <v>0</v>
      </c>
      <c r="CC118" s="265">
        <f t="shared" si="236"/>
        <v>0</v>
      </c>
      <c r="CD118" s="265">
        <f t="shared" si="236"/>
        <v>25</v>
      </c>
      <c r="CE118" s="265">
        <f t="shared" si="236"/>
        <v>0</v>
      </c>
      <c r="CF118" s="265">
        <f t="shared" si="236"/>
        <v>80</v>
      </c>
      <c r="CG118" s="265">
        <f t="shared" si="236"/>
        <v>0</v>
      </c>
      <c r="CH118" s="265">
        <f t="shared" si="236"/>
        <v>0</v>
      </c>
      <c r="CI118" s="265">
        <f t="shared" si="236"/>
        <v>0</v>
      </c>
      <c r="CJ118" s="265">
        <f t="shared" ref="CJ118" si="249">SUM(CJ108:CJ117)</f>
        <v>0</v>
      </c>
      <c r="CK118" s="265">
        <f t="shared" ref="CK118" si="250">SUM(CK108:CK117)</f>
        <v>0</v>
      </c>
      <c r="CL118" s="265">
        <f t="shared" si="236"/>
        <v>0</v>
      </c>
      <c r="CM118" s="265">
        <f t="shared" si="236"/>
        <v>0</v>
      </c>
      <c r="CN118" s="265">
        <f t="shared" ref="CN118:CQ118" si="251">SUM(CN108:CN117)</f>
        <v>0</v>
      </c>
      <c r="CO118" s="265">
        <f t="shared" si="251"/>
        <v>0</v>
      </c>
      <c r="CP118" s="265">
        <f t="shared" si="251"/>
        <v>0</v>
      </c>
      <c r="CQ118" s="265">
        <f t="shared" si="251"/>
        <v>0</v>
      </c>
      <c r="CR118" s="265">
        <f t="shared" si="236"/>
        <v>0</v>
      </c>
      <c r="CS118" s="281">
        <f t="shared" si="236"/>
        <v>0</v>
      </c>
      <c r="CT118" s="281">
        <f t="shared" ref="CT118" si="252">SUM(CT108:CT117)</f>
        <v>0</v>
      </c>
      <c r="CU118" s="281">
        <f t="shared" si="236"/>
        <v>0</v>
      </c>
      <c r="CV118" s="281">
        <f t="shared" ref="CV118:DE118" si="253">SUM(CV108:CV117)</f>
        <v>0</v>
      </c>
      <c r="CW118" s="281">
        <f t="shared" si="253"/>
        <v>0</v>
      </c>
      <c r="CX118" s="281">
        <f t="shared" si="253"/>
        <v>0</v>
      </c>
      <c r="CY118" s="281">
        <f t="shared" si="253"/>
        <v>0</v>
      </c>
      <c r="CZ118" s="281">
        <f t="shared" ref="CZ118" si="254">SUM(CZ108:CZ117)</f>
        <v>0</v>
      </c>
      <c r="DA118" s="281">
        <f t="shared" si="253"/>
        <v>0</v>
      </c>
      <c r="DB118" s="281">
        <f t="shared" si="253"/>
        <v>0</v>
      </c>
      <c r="DC118" s="281">
        <f t="shared" si="253"/>
        <v>0</v>
      </c>
      <c r="DD118" s="281">
        <f t="shared" ref="DD118" si="255">SUM(DD108:DD117)</f>
        <v>0</v>
      </c>
      <c r="DE118" s="281">
        <f t="shared" si="253"/>
        <v>0</v>
      </c>
      <c r="DF118" s="281">
        <f t="shared" ref="DF118:FD118" si="256">SUM(DF108:DF117)</f>
        <v>0</v>
      </c>
      <c r="DG118" s="281">
        <f t="shared" si="256"/>
        <v>0</v>
      </c>
      <c r="DH118" s="281">
        <f t="shared" si="256"/>
        <v>0</v>
      </c>
      <c r="DI118" s="281">
        <f t="shared" ref="DI118:DQ118" si="257">SUM(DI108:DI117)</f>
        <v>0</v>
      </c>
      <c r="DJ118" s="281">
        <f t="shared" si="257"/>
        <v>0</v>
      </c>
      <c r="DK118" s="281">
        <f t="shared" si="257"/>
        <v>0</v>
      </c>
      <c r="DL118" s="281">
        <f t="shared" si="257"/>
        <v>0</v>
      </c>
      <c r="DM118" s="281">
        <f t="shared" si="257"/>
        <v>0</v>
      </c>
      <c r="DN118" s="936">
        <f t="shared" si="257"/>
        <v>1</v>
      </c>
      <c r="DO118" s="148">
        <f t="shared" si="257"/>
        <v>60</v>
      </c>
      <c r="DP118" s="148">
        <f t="shared" si="257"/>
        <v>5.5</v>
      </c>
      <c r="DQ118" s="148">
        <f t="shared" si="257"/>
        <v>0</v>
      </c>
      <c r="DR118" s="148">
        <f t="shared" si="256"/>
        <v>0</v>
      </c>
      <c r="DS118" s="148">
        <f t="shared" si="256"/>
        <v>0</v>
      </c>
      <c r="DT118" s="148">
        <f t="shared" si="256"/>
        <v>0</v>
      </c>
      <c r="DU118" s="148">
        <f t="shared" si="256"/>
        <v>0</v>
      </c>
      <c r="DV118" s="148">
        <f t="shared" si="256"/>
        <v>0</v>
      </c>
      <c r="DW118" s="148">
        <f t="shared" si="256"/>
        <v>0</v>
      </c>
      <c r="DX118" s="148">
        <f t="shared" si="256"/>
        <v>0</v>
      </c>
      <c r="DY118" s="148">
        <f t="shared" ref="DY118:EO118" si="258">SUM(DY108:DY117)</f>
        <v>0</v>
      </c>
      <c r="DZ118" s="148">
        <f t="shared" si="258"/>
        <v>0</v>
      </c>
      <c r="EA118" s="148">
        <f t="shared" si="258"/>
        <v>357.1</v>
      </c>
      <c r="EB118" s="148">
        <f t="shared" si="258"/>
        <v>0</v>
      </c>
      <c r="EC118" s="148">
        <f t="shared" si="258"/>
        <v>0</v>
      </c>
      <c r="ED118" s="148">
        <f t="shared" si="258"/>
        <v>0</v>
      </c>
      <c r="EE118" s="148">
        <f t="shared" si="258"/>
        <v>0</v>
      </c>
      <c r="EF118" s="148">
        <f t="shared" si="258"/>
        <v>1.5</v>
      </c>
      <c r="EG118" s="148">
        <f t="shared" si="258"/>
        <v>0</v>
      </c>
      <c r="EH118" s="148">
        <f t="shared" si="258"/>
        <v>0</v>
      </c>
      <c r="EI118" s="148">
        <f t="shared" si="258"/>
        <v>0</v>
      </c>
      <c r="EJ118" s="148">
        <f t="shared" si="258"/>
        <v>0</v>
      </c>
      <c r="EK118" s="148">
        <f t="shared" si="258"/>
        <v>0</v>
      </c>
      <c r="EL118" s="148">
        <f t="shared" si="258"/>
        <v>0</v>
      </c>
      <c r="EM118" s="148">
        <f t="shared" si="258"/>
        <v>0</v>
      </c>
      <c r="EN118" s="148">
        <f t="shared" si="258"/>
        <v>0</v>
      </c>
      <c r="EO118" s="148">
        <f t="shared" si="258"/>
        <v>0</v>
      </c>
      <c r="EP118" s="148">
        <f t="shared" ref="EP118:EZ118" si="259">SUM(EP108:EP117)</f>
        <v>0</v>
      </c>
      <c r="EQ118" s="148">
        <f t="shared" si="259"/>
        <v>0</v>
      </c>
      <c r="ER118" s="148">
        <f t="shared" si="259"/>
        <v>0</v>
      </c>
      <c r="ES118" s="148">
        <f t="shared" si="259"/>
        <v>0</v>
      </c>
      <c r="ET118" s="148">
        <f t="shared" si="259"/>
        <v>0</v>
      </c>
      <c r="EU118" s="148">
        <f t="shared" si="259"/>
        <v>0</v>
      </c>
      <c r="EV118" s="148">
        <f t="shared" si="259"/>
        <v>0</v>
      </c>
      <c r="EW118" s="148">
        <f t="shared" si="259"/>
        <v>0</v>
      </c>
      <c r="EX118" s="148">
        <f t="shared" si="259"/>
        <v>0</v>
      </c>
      <c r="EY118" s="148">
        <f t="shared" si="259"/>
        <v>0</v>
      </c>
      <c r="EZ118" s="148">
        <f t="shared" si="259"/>
        <v>0</v>
      </c>
      <c r="FA118" s="150">
        <f t="shared" si="256"/>
        <v>415</v>
      </c>
      <c r="FB118" s="151">
        <f t="shared" si="256"/>
        <v>999</v>
      </c>
      <c r="FC118" s="151">
        <f t="shared" si="256"/>
        <v>78</v>
      </c>
      <c r="FD118" s="152">
        <f t="shared" si="256"/>
        <v>310</v>
      </c>
      <c r="FE118" s="792" t="str">
        <f>IF(FB118&lt;инфо!$AN$74,FB118-инфо!$AN$74,"")</f>
        <v/>
      </c>
      <c r="FF118" s="153"/>
      <c r="FG118" s="153"/>
      <c r="FH118" s="153"/>
    </row>
    <row r="119" spans="2:164" ht="26.1" customHeight="1" outlineLevel="1" thickBot="1" x14ac:dyDescent="0.3">
      <c r="B119" s="1018"/>
      <c r="C119" s="1020"/>
      <c r="D119" s="1033" t="s">
        <v>112</v>
      </c>
      <c r="E119" s="1042" t="s">
        <v>113</v>
      </c>
      <c r="F119" s="837" t="s">
        <v>112</v>
      </c>
      <c r="G119" s="803" t="str">
        <f>VLOOKUP(H119,инфо!AD:AE,2,FALSE)</f>
        <v>Холодные закуски</v>
      </c>
      <c r="H119" s="577" t="s">
        <v>1200</v>
      </c>
      <c r="I119" s="588" t="s">
        <v>1355</v>
      </c>
      <c r="J119" s="421"/>
      <c r="K119" s="422"/>
      <c r="L119" s="422"/>
      <c r="M119" s="422"/>
      <c r="N119" s="422"/>
      <c r="O119" s="422"/>
      <c r="P119" s="422"/>
      <c r="Q119" s="422"/>
      <c r="R119" s="422"/>
      <c r="S119" s="422"/>
      <c r="T119" s="422"/>
      <c r="U119" s="422"/>
      <c r="V119" s="422"/>
      <c r="W119" s="423"/>
      <c r="X119" s="423"/>
      <c r="Y119" s="423"/>
      <c r="Z119" s="423"/>
      <c r="AA119" s="423"/>
      <c r="AB119" s="423"/>
      <c r="AC119" s="423"/>
      <c r="AD119" s="423"/>
      <c r="AE119" s="423"/>
      <c r="AF119" s="423"/>
      <c r="AG119" s="423">
        <v>5</v>
      </c>
      <c r="AH119" s="423"/>
      <c r="AI119" s="423"/>
      <c r="AJ119" s="423"/>
      <c r="AK119" s="423"/>
      <c r="AL119" s="423"/>
      <c r="AM119" s="423"/>
      <c r="AN119" s="423"/>
      <c r="AO119" s="423"/>
      <c r="AP119" s="423"/>
      <c r="AQ119" s="423"/>
      <c r="AR119" s="423"/>
      <c r="AS119" s="423"/>
      <c r="AT119" s="423"/>
      <c r="AU119" s="423"/>
      <c r="AV119" s="423">
        <v>105</v>
      </c>
      <c r="AW119" s="423"/>
      <c r="AX119" s="423"/>
      <c r="AY119" s="423"/>
      <c r="AZ119" s="423"/>
      <c r="BA119" s="423"/>
      <c r="BB119" s="423"/>
      <c r="BC119" s="423"/>
      <c r="BD119" s="423"/>
      <c r="BE119" s="424"/>
      <c r="BF119" s="424"/>
      <c r="BG119" s="424"/>
      <c r="BH119" s="424"/>
      <c r="BI119" s="424"/>
      <c r="BJ119" s="424"/>
      <c r="BK119" s="424"/>
      <c r="BL119" s="424"/>
      <c r="BM119" s="424"/>
      <c r="BN119" s="425"/>
      <c r="BO119" s="425">
        <v>8</v>
      </c>
      <c r="BP119" s="425"/>
      <c r="BQ119" s="425"/>
      <c r="BR119" s="425"/>
      <c r="BS119" s="425"/>
      <c r="BT119" s="425"/>
      <c r="BU119" s="425"/>
      <c r="BV119" s="422"/>
      <c r="BW119" s="422"/>
      <c r="BX119" s="422"/>
      <c r="BY119" s="422"/>
      <c r="BZ119" s="422"/>
      <c r="CA119" s="422"/>
      <c r="CB119" s="422"/>
      <c r="CC119" s="426"/>
      <c r="CD119" s="426"/>
      <c r="CE119" s="426"/>
      <c r="CF119" s="426"/>
      <c r="CG119" s="426"/>
      <c r="CH119" s="426"/>
      <c r="CI119" s="426"/>
      <c r="CJ119" s="426"/>
      <c r="CK119" s="426"/>
      <c r="CL119" s="426"/>
      <c r="CM119" s="426"/>
      <c r="CN119" s="426"/>
      <c r="CO119" s="426"/>
      <c r="CP119" s="426"/>
      <c r="CQ119" s="426"/>
      <c r="CR119" s="426"/>
      <c r="CS119" s="427"/>
      <c r="CT119" s="427"/>
      <c r="CU119" s="427"/>
      <c r="CV119" s="427"/>
      <c r="CW119" s="427"/>
      <c r="CX119" s="427"/>
      <c r="CY119" s="427"/>
      <c r="CZ119" s="427"/>
      <c r="DA119" s="427"/>
      <c r="DB119" s="427"/>
      <c r="DC119" s="427"/>
      <c r="DD119" s="427"/>
      <c r="DE119" s="427"/>
      <c r="DF119" s="427"/>
      <c r="DG119" s="427"/>
      <c r="DH119" s="427"/>
      <c r="DI119" s="427"/>
      <c r="DJ119" s="427"/>
      <c r="DK119" s="427"/>
      <c r="DL119" s="427"/>
      <c r="DM119" s="427"/>
      <c r="DN119" s="937"/>
      <c r="DO119" s="428"/>
      <c r="DP119" s="428"/>
      <c r="DQ119" s="429"/>
      <c r="DR119" s="429"/>
      <c r="DS119" s="424"/>
      <c r="DT119" s="424"/>
      <c r="DU119" s="424"/>
      <c r="DV119" s="424"/>
      <c r="DW119" s="424"/>
      <c r="DX119" s="424"/>
      <c r="DY119" s="424"/>
      <c r="DZ119" s="424"/>
      <c r="EA119" s="424"/>
      <c r="EB119" s="424"/>
      <c r="EC119" s="424"/>
      <c r="ED119" s="424"/>
      <c r="EE119" s="424"/>
      <c r="EF119" s="424"/>
      <c r="EG119" s="424"/>
      <c r="EH119" s="424"/>
      <c r="EI119" s="424"/>
      <c r="EJ119" s="424"/>
      <c r="EK119" s="424"/>
      <c r="EL119" s="424"/>
      <c r="EM119" s="424"/>
      <c r="EN119" s="424"/>
      <c r="EO119" s="424"/>
      <c r="EP119" s="424"/>
      <c r="EQ119" s="424"/>
      <c r="ER119" s="424"/>
      <c r="ES119" s="424"/>
      <c r="ET119" s="424"/>
      <c r="EU119" s="424"/>
      <c r="EV119" s="424"/>
      <c r="EW119" s="424"/>
      <c r="EX119" s="424"/>
      <c r="EY119" s="424"/>
      <c r="EZ119" s="424"/>
      <c r="FA119" s="377">
        <v>110</v>
      </c>
      <c r="FB119" s="378">
        <v>65</v>
      </c>
      <c r="FC119" s="378"/>
      <c r="FD119" s="379">
        <f t="shared" ref="FD119:FD132" si="260">SUM(BE119:BG119,BI119,BL119:BM119)+SUM(BH119,BJ119,BK119)*5</f>
        <v>0</v>
      </c>
      <c r="FE119" s="790"/>
    </row>
    <row r="120" spans="2:164" ht="26.1" customHeight="1" outlineLevel="1" thickBot="1" x14ac:dyDescent="0.3">
      <c r="B120" s="1018"/>
      <c r="C120" s="1020"/>
      <c r="D120" s="1033"/>
      <c r="E120" s="1038"/>
      <c r="F120" s="838" t="s">
        <v>112</v>
      </c>
      <c r="G120" s="804" t="str">
        <f>VLOOKUP(H120,инфо!AD:AE,2,FALSE)</f>
        <v>Прочее</v>
      </c>
      <c r="H120" s="577" t="s">
        <v>1197</v>
      </c>
      <c r="I120" s="588" t="s">
        <v>142</v>
      </c>
      <c r="J120" s="430"/>
      <c r="K120" s="431"/>
      <c r="L120" s="431"/>
      <c r="M120" s="431"/>
      <c r="N120" s="431"/>
      <c r="O120" s="431"/>
      <c r="P120" s="431"/>
      <c r="Q120" s="431"/>
      <c r="R120" s="431"/>
      <c r="S120" s="431"/>
      <c r="T120" s="431"/>
      <c r="U120" s="431"/>
      <c r="V120" s="431"/>
      <c r="W120" s="432"/>
      <c r="X120" s="432"/>
      <c r="Y120" s="432"/>
      <c r="Z120" s="432"/>
      <c r="AA120" s="432"/>
      <c r="AB120" s="432"/>
      <c r="AC120" s="432"/>
      <c r="AD120" s="432"/>
      <c r="AE120" s="432"/>
      <c r="AF120" s="432"/>
      <c r="AG120" s="432"/>
      <c r="AH120" s="432"/>
      <c r="AI120" s="432"/>
      <c r="AJ120" s="432"/>
      <c r="AK120" s="432"/>
      <c r="AL120" s="432"/>
      <c r="AM120" s="432"/>
      <c r="AN120" s="432"/>
      <c r="AO120" s="432"/>
      <c r="AP120" s="432"/>
      <c r="AQ120" s="432"/>
      <c r="AR120" s="432"/>
      <c r="AS120" s="432"/>
      <c r="AT120" s="432"/>
      <c r="AU120" s="432"/>
      <c r="AV120" s="432"/>
      <c r="AW120" s="432"/>
      <c r="AX120" s="432"/>
      <c r="AY120" s="432"/>
      <c r="AZ120" s="432"/>
      <c r="BA120" s="432"/>
      <c r="BB120" s="432"/>
      <c r="BC120" s="432"/>
      <c r="BD120" s="432"/>
      <c r="BE120" s="433"/>
      <c r="BF120" s="433"/>
      <c r="BG120" s="433"/>
      <c r="BH120" s="433"/>
      <c r="BI120" s="433"/>
      <c r="BJ120" s="433"/>
      <c r="BK120" s="433"/>
      <c r="BL120" s="433"/>
      <c r="BM120" s="433"/>
      <c r="BN120" s="434"/>
      <c r="BO120" s="434"/>
      <c r="BP120" s="434"/>
      <c r="BQ120" s="434"/>
      <c r="BR120" s="434"/>
      <c r="BS120" s="434"/>
      <c r="BT120" s="434"/>
      <c r="BU120" s="434"/>
      <c r="BV120" s="431"/>
      <c r="BW120" s="431"/>
      <c r="BX120" s="431"/>
      <c r="BY120" s="431"/>
      <c r="BZ120" s="431"/>
      <c r="CA120" s="431"/>
      <c r="CB120" s="431"/>
      <c r="CC120" s="435"/>
      <c r="CD120" s="435"/>
      <c r="CE120" s="435"/>
      <c r="CF120" s="435"/>
      <c r="CG120" s="435"/>
      <c r="CH120" s="435"/>
      <c r="CI120" s="435"/>
      <c r="CJ120" s="435"/>
      <c r="CK120" s="435"/>
      <c r="CL120" s="435"/>
      <c r="CM120" s="435"/>
      <c r="CN120" s="435"/>
      <c r="CO120" s="435"/>
      <c r="CP120" s="435"/>
      <c r="CQ120" s="435"/>
      <c r="CR120" s="435"/>
      <c r="CS120" s="436"/>
      <c r="CT120" s="436"/>
      <c r="CU120" s="436"/>
      <c r="CV120" s="436"/>
      <c r="CW120" s="436"/>
      <c r="CX120" s="436"/>
      <c r="CY120" s="436"/>
      <c r="CZ120" s="436"/>
      <c r="DA120" s="436"/>
      <c r="DB120" s="436"/>
      <c r="DC120" s="436"/>
      <c r="DD120" s="436"/>
      <c r="DE120" s="436"/>
      <c r="DF120" s="436"/>
      <c r="DG120" s="436"/>
      <c r="DH120" s="436"/>
      <c r="DI120" s="436"/>
      <c r="DJ120" s="436"/>
      <c r="DK120" s="436"/>
      <c r="DL120" s="436"/>
      <c r="DM120" s="436"/>
      <c r="DN120" s="938"/>
      <c r="DO120" s="437"/>
      <c r="DP120" s="437"/>
      <c r="DQ120" s="438"/>
      <c r="DR120" s="438"/>
      <c r="DS120" s="433"/>
      <c r="DT120" s="433">
        <v>5</v>
      </c>
      <c r="DU120" s="433"/>
      <c r="DV120" s="433"/>
      <c r="DW120" s="433"/>
      <c r="DX120" s="433"/>
      <c r="DY120" s="433"/>
      <c r="DZ120" s="433"/>
      <c r="EA120" s="433"/>
      <c r="EB120" s="433"/>
      <c r="EC120" s="433"/>
      <c r="ED120" s="433"/>
      <c r="EE120" s="433"/>
      <c r="EF120" s="433"/>
      <c r="EG120" s="433"/>
      <c r="EH120" s="433"/>
      <c r="EI120" s="433"/>
      <c r="EJ120" s="433"/>
      <c r="EK120" s="433"/>
      <c r="EL120" s="433"/>
      <c r="EM120" s="433"/>
      <c r="EN120" s="433"/>
      <c r="EO120" s="433"/>
      <c r="EP120" s="433"/>
      <c r="EQ120" s="433"/>
      <c r="ER120" s="433"/>
      <c r="ES120" s="433"/>
      <c r="ET120" s="433"/>
      <c r="EU120" s="433"/>
      <c r="EV120" s="433"/>
      <c r="EW120" s="433"/>
      <c r="EX120" s="433"/>
      <c r="EY120" s="433"/>
      <c r="EZ120" s="433"/>
      <c r="FA120" s="377"/>
      <c r="FB120" s="378">
        <v>5</v>
      </c>
      <c r="FC120" s="378"/>
      <c r="FD120" s="379">
        <f t="shared" si="260"/>
        <v>0</v>
      </c>
      <c r="FE120" s="790"/>
    </row>
    <row r="121" spans="2:164" ht="26.1" customHeight="1" outlineLevel="1" thickBot="1" x14ac:dyDescent="0.3">
      <c r="B121" s="1018"/>
      <c r="C121" s="1020"/>
      <c r="D121" s="1034"/>
      <c r="E121" s="1043"/>
      <c r="F121" s="839" t="s">
        <v>112</v>
      </c>
      <c r="G121" s="805" t="str">
        <f>VLOOKUP(H121,инфо!AD:AE,2,FALSE)</f>
        <v>Прочее</v>
      </c>
      <c r="H121" s="578" t="s">
        <v>1197</v>
      </c>
      <c r="I121" s="606" t="s">
        <v>50</v>
      </c>
      <c r="J121" s="439"/>
      <c r="K121" s="440"/>
      <c r="L121" s="440"/>
      <c r="M121" s="440"/>
      <c r="N121" s="440"/>
      <c r="O121" s="440"/>
      <c r="P121" s="440"/>
      <c r="Q121" s="440"/>
      <c r="R121" s="440"/>
      <c r="S121" s="440"/>
      <c r="T121" s="440"/>
      <c r="U121" s="440"/>
      <c r="V121" s="440"/>
      <c r="W121" s="441"/>
      <c r="X121" s="441"/>
      <c r="Y121" s="441"/>
      <c r="Z121" s="441">
        <v>50</v>
      </c>
      <c r="AA121" s="441">
        <v>100</v>
      </c>
      <c r="AB121" s="441"/>
      <c r="AC121" s="441"/>
      <c r="AD121" s="441"/>
      <c r="AE121" s="441"/>
      <c r="AF121" s="441"/>
      <c r="AG121" s="441"/>
      <c r="AH121" s="441"/>
      <c r="AI121" s="441"/>
      <c r="AJ121" s="441"/>
      <c r="AK121" s="441"/>
      <c r="AL121" s="441"/>
      <c r="AM121" s="441"/>
      <c r="AN121" s="441"/>
      <c r="AO121" s="441"/>
      <c r="AP121" s="441"/>
      <c r="AQ121" s="441"/>
      <c r="AR121" s="441"/>
      <c r="AS121" s="441"/>
      <c r="AT121" s="441"/>
      <c r="AU121" s="441"/>
      <c r="AV121" s="441"/>
      <c r="AW121" s="441"/>
      <c r="AX121" s="441"/>
      <c r="AY121" s="441"/>
      <c r="AZ121" s="441"/>
      <c r="BA121" s="441"/>
      <c r="BB121" s="441"/>
      <c r="BC121" s="441"/>
      <c r="BD121" s="441"/>
      <c r="BE121" s="442"/>
      <c r="BF121" s="442"/>
      <c r="BG121" s="442"/>
      <c r="BH121" s="442"/>
      <c r="BI121" s="442"/>
      <c r="BJ121" s="442"/>
      <c r="BK121" s="442"/>
      <c r="BL121" s="442"/>
      <c r="BM121" s="442"/>
      <c r="BN121" s="443"/>
      <c r="BO121" s="443"/>
      <c r="BP121" s="443"/>
      <c r="BQ121" s="443"/>
      <c r="BR121" s="443"/>
      <c r="BS121" s="443"/>
      <c r="BT121" s="443"/>
      <c r="BU121" s="443"/>
      <c r="BV121" s="440"/>
      <c r="BW121" s="440"/>
      <c r="BX121" s="440"/>
      <c r="BY121" s="440"/>
      <c r="BZ121" s="440"/>
      <c r="CA121" s="440"/>
      <c r="CB121" s="440"/>
      <c r="CC121" s="444"/>
      <c r="CD121" s="444"/>
      <c r="CE121" s="444"/>
      <c r="CF121" s="444"/>
      <c r="CG121" s="444"/>
      <c r="CH121" s="444"/>
      <c r="CI121" s="444"/>
      <c r="CJ121" s="444"/>
      <c r="CK121" s="444"/>
      <c r="CL121" s="444"/>
      <c r="CM121" s="444"/>
      <c r="CN121" s="444"/>
      <c r="CO121" s="444"/>
      <c r="CP121" s="444"/>
      <c r="CQ121" s="444"/>
      <c r="CR121" s="444"/>
      <c r="CS121" s="445"/>
      <c r="CT121" s="445"/>
      <c r="CU121" s="445"/>
      <c r="CV121" s="445"/>
      <c r="CW121" s="445"/>
      <c r="CX121" s="445"/>
      <c r="CY121" s="445"/>
      <c r="CZ121" s="445"/>
      <c r="DA121" s="445"/>
      <c r="DB121" s="445"/>
      <c r="DC121" s="445"/>
      <c r="DD121" s="445"/>
      <c r="DE121" s="445"/>
      <c r="DF121" s="445"/>
      <c r="DG121" s="445"/>
      <c r="DH121" s="445"/>
      <c r="DI121" s="445"/>
      <c r="DJ121" s="445"/>
      <c r="DK121" s="445"/>
      <c r="DL121" s="445"/>
      <c r="DM121" s="445"/>
      <c r="DN121" s="939"/>
      <c r="DO121" s="446"/>
      <c r="DP121" s="446"/>
      <c r="DQ121" s="447"/>
      <c r="DR121" s="447"/>
      <c r="DS121" s="442"/>
      <c r="DT121" s="442"/>
      <c r="DU121" s="442"/>
      <c r="DV121" s="442"/>
      <c r="DW121" s="442"/>
      <c r="DX121" s="442"/>
      <c r="DY121" s="442"/>
      <c r="DZ121" s="442"/>
      <c r="EA121" s="442"/>
      <c r="EB121" s="442"/>
      <c r="EC121" s="442"/>
      <c r="ED121" s="442"/>
      <c r="EE121" s="442"/>
      <c r="EF121" s="442"/>
      <c r="EG121" s="442"/>
      <c r="EH121" s="442"/>
      <c r="EI121" s="442"/>
      <c r="EJ121" s="442"/>
      <c r="EK121" s="442"/>
      <c r="EL121" s="442"/>
      <c r="EM121" s="442"/>
      <c r="EN121" s="442"/>
      <c r="EO121" s="442"/>
      <c r="EP121" s="442"/>
      <c r="EQ121" s="442"/>
      <c r="ER121" s="442"/>
      <c r="ES121" s="442"/>
      <c r="ET121" s="442"/>
      <c r="EU121" s="442"/>
      <c r="EV121" s="442"/>
      <c r="EW121" s="442"/>
      <c r="EX121" s="442"/>
      <c r="EY121" s="442"/>
      <c r="EZ121" s="442"/>
      <c r="FA121" s="389"/>
      <c r="FB121" s="390">
        <v>150</v>
      </c>
      <c r="FC121" s="390"/>
      <c r="FD121" s="391">
        <f t="shared" si="260"/>
        <v>0</v>
      </c>
      <c r="FE121" s="790"/>
    </row>
    <row r="122" spans="2:164" ht="26.1" customHeight="1" outlineLevel="1" thickBot="1" x14ac:dyDescent="0.3">
      <c r="B122" s="1018"/>
      <c r="C122" s="1020"/>
      <c r="D122" s="1034"/>
      <c r="E122" s="1038" t="s">
        <v>114</v>
      </c>
      <c r="F122" s="837" t="s">
        <v>112</v>
      </c>
      <c r="G122" s="803" t="str">
        <f>VLOOKUP(H122,инфо!AD:AE,2,FALSE)</f>
        <v>Первые блюда</v>
      </c>
      <c r="H122" s="579" t="s">
        <v>1203</v>
      </c>
      <c r="I122" s="588" t="s">
        <v>1333</v>
      </c>
      <c r="J122" s="448"/>
      <c r="K122" s="449"/>
      <c r="L122" s="449"/>
      <c r="M122" s="449"/>
      <c r="N122" s="449"/>
      <c r="O122" s="449"/>
      <c r="P122" s="449"/>
      <c r="Q122" s="449"/>
      <c r="R122" s="449"/>
      <c r="S122" s="449"/>
      <c r="T122" s="449"/>
      <c r="U122" s="449"/>
      <c r="V122" s="449"/>
      <c r="W122" s="450"/>
      <c r="X122" s="450"/>
      <c r="Y122" s="450"/>
      <c r="Z122" s="450"/>
      <c r="AA122" s="450"/>
      <c r="AB122" s="450"/>
      <c r="AC122" s="450"/>
      <c r="AD122" s="450">
        <v>110</v>
      </c>
      <c r="AE122" s="450">
        <v>140</v>
      </c>
      <c r="AF122" s="450">
        <v>15</v>
      </c>
      <c r="AG122" s="450">
        <v>10</v>
      </c>
      <c r="AH122" s="450"/>
      <c r="AI122" s="450"/>
      <c r="AJ122" s="450"/>
      <c r="AK122" s="450"/>
      <c r="AL122" s="450"/>
      <c r="AM122" s="450"/>
      <c r="AN122" s="450"/>
      <c r="AO122" s="450">
        <v>5</v>
      </c>
      <c r="AP122" s="450"/>
      <c r="AQ122" s="450"/>
      <c r="AR122" s="450"/>
      <c r="AS122" s="450"/>
      <c r="AT122" s="450"/>
      <c r="AU122" s="450"/>
      <c r="AV122" s="450"/>
      <c r="AW122" s="450"/>
      <c r="AX122" s="450"/>
      <c r="AY122" s="450"/>
      <c r="AZ122" s="450"/>
      <c r="BA122" s="450"/>
      <c r="BB122" s="450"/>
      <c r="BC122" s="450"/>
      <c r="BD122" s="450"/>
      <c r="BE122" s="451"/>
      <c r="BF122" s="451"/>
      <c r="BG122" s="451"/>
      <c r="BH122" s="451"/>
      <c r="BI122" s="451"/>
      <c r="BJ122" s="451">
        <v>5</v>
      </c>
      <c r="BK122" s="451"/>
      <c r="BL122" s="451"/>
      <c r="BM122" s="451"/>
      <c r="BN122" s="452"/>
      <c r="BO122" s="452">
        <v>5</v>
      </c>
      <c r="BP122" s="452"/>
      <c r="BQ122" s="452"/>
      <c r="BR122" s="452"/>
      <c r="BS122" s="452"/>
      <c r="BT122" s="452"/>
      <c r="BU122" s="452"/>
      <c r="BV122" s="449"/>
      <c r="BW122" s="449"/>
      <c r="BX122" s="449"/>
      <c r="BY122" s="449"/>
      <c r="BZ122" s="449"/>
      <c r="CA122" s="449"/>
      <c r="CB122" s="449"/>
      <c r="CC122" s="453"/>
      <c r="CD122" s="453"/>
      <c r="CE122" s="453"/>
      <c r="CF122" s="453"/>
      <c r="CG122" s="453"/>
      <c r="CH122" s="453"/>
      <c r="CI122" s="453"/>
      <c r="CJ122" s="453"/>
      <c r="CK122" s="453"/>
      <c r="CL122" s="453"/>
      <c r="CM122" s="453"/>
      <c r="CN122" s="453"/>
      <c r="CO122" s="453"/>
      <c r="CP122" s="453"/>
      <c r="CQ122" s="453"/>
      <c r="CR122" s="453"/>
      <c r="CS122" s="454"/>
      <c r="CT122" s="454"/>
      <c r="CU122" s="454"/>
      <c r="CV122" s="454"/>
      <c r="CW122" s="454"/>
      <c r="CX122" s="454"/>
      <c r="CY122" s="454"/>
      <c r="CZ122" s="454"/>
      <c r="DA122" s="454"/>
      <c r="DB122" s="454"/>
      <c r="DC122" s="454"/>
      <c r="DD122" s="454"/>
      <c r="DE122" s="454"/>
      <c r="DF122" s="454"/>
      <c r="DG122" s="454"/>
      <c r="DH122" s="454"/>
      <c r="DI122" s="454"/>
      <c r="DJ122" s="454"/>
      <c r="DK122" s="454"/>
      <c r="DL122" s="454"/>
      <c r="DM122" s="454"/>
      <c r="DN122" s="940"/>
      <c r="DO122" s="455"/>
      <c r="DP122" s="455">
        <v>4</v>
      </c>
      <c r="DQ122" s="456">
        <v>0.02</v>
      </c>
      <c r="DR122" s="456">
        <v>0.05</v>
      </c>
      <c r="DS122" s="451">
        <v>3</v>
      </c>
      <c r="DT122" s="451"/>
      <c r="DU122" s="451"/>
      <c r="DV122" s="451"/>
      <c r="DW122" s="451"/>
      <c r="DX122" s="451"/>
      <c r="DY122" s="451"/>
      <c r="DZ122" s="451"/>
      <c r="EA122" s="451"/>
      <c r="EB122" s="451">
        <v>400</v>
      </c>
      <c r="EC122" s="451"/>
      <c r="ED122" s="451"/>
      <c r="EE122" s="451"/>
      <c r="EF122" s="451"/>
      <c r="EG122" s="451"/>
      <c r="EH122" s="451"/>
      <c r="EI122" s="451"/>
      <c r="EJ122" s="451"/>
      <c r="EK122" s="451"/>
      <c r="EL122" s="451"/>
      <c r="EM122" s="451"/>
      <c r="EN122" s="451"/>
      <c r="EO122" s="451"/>
      <c r="EP122" s="451"/>
      <c r="EQ122" s="451"/>
      <c r="ER122" s="451"/>
      <c r="ES122" s="451"/>
      <c r="ET122" s="451"/>
      <c r="EU122" s="451"/>
      <c r="EV122" s="451"/>
      <c r="EW122" s="451"/>
      <c r="EX122" s="451"/>
      <c r="EY122" s="451"/>
      <c r="EZ122" s="451"/>
      <c r="FA122" s="364">
        <v>270</v>
      </c>
      <c r="FB122" s="365">
        <v>538</v>
      </c>
      <c r="FC122" s="365"/>
      <c r="FD122" s="367">
        <f t="shared" si="260"/>
        <v>25</v>
      </c>
      <c r="FE122" s="790"/>
    </row>
    <row r="123" spans="2:164" ht="26.1" customHeight="1" outlineLevel="1" thickBot="1" x14ac:dyDescent="0.3">
      <c r="B123" s="1018"/>
      <c r="C123" s="1020"/>
      <c r="D123" s="1034"/>
      <c r="E123" s="1038"/>
      <c r="F123" s="838" t="s">
        <v>112</v>
      </c>
      <c r="G123" s="804" t="str">
        <f>VLOOKUP(H123,инфо!AD:AE,2,FALSE)</f>
        <v>Мясные (рыбные) блюда с соусом</v>
      </c>
      <c r="H123" s="580" t="s">
        <v>1207</v>
      </c>
      <c r="I123" s="574"/>
      <c r="J123" s="430"/>
      <c r="K123" s="431"/>
      <c r="L123" s="431"/>
      <c r="M123" s="431"/>
      <c r="N123" s="431"/>
      <c r="O123" s="431"/>
      <c r="P123" s="431"/>
      <c r="Q123" s="431"/>
      <c r="R123" s="431"/>
      <c r="S123" s="431"/>
      <c r="T123" s="431"/>
      <c r="U123" s="431"/>
      <c r="V123" s="431"/>
      <c r="W123" s="432"/>
      <c r="X123" s="432"/>
      <c r="Y123" s="432"/>
      <c r="Z123" s="432"/>
      <c r="AA123" s="432"/>
      <c r="AB123" s="432"/>
      <c r="AC123" s="432"/>
      <c r="AD123" s="432"/>
      <c r="AE123" s="432"/>
      <c r="AF123" s="432"/>
      <c r="AG123" s="432"/>
      <c r="AH123" s="432"/>
      <c r="AI123" s="432"/>
      <c r="AJ123" s="432"/>
      <c r="AK123" s="432"/>
      <c r="AL123" s="432"/>
      <c r="AM123" s="432"/>
      <c r="AN123" s="432"/>
      <c r="AO123" s="432"/>
      <c r="AP123" s="432"/>
      <c r="AQ123" s="432"/>
      <c r="AR123" s="432"/>
      <c r="AS123" s="432"/>
      <c r="AT123" s="432"/>
      <c r="AU123" s="432"/>
      <c r="AV123" s="432"/>
      <c r="AW123" s="432"/>
      <c r="AX123" s="432"/>
      <c r="AY123" s="432"/>
      <c r="AZ123" s="432"/>
      <c r="BA123" s="432"/>
      <c r="BB123" s="432"/>
      <c r="BC123" s="432"/>
      <c r="BD123" s="432"/>
      <c r="BE123" s="433"/>
      <c r="BF123" s="433"/>
      <c r="BG123" s="433"/>
      <c r="BH123" s="433"/>
      <c r="BI123" s="433"/>
      <c r="BJ123" s="433"/>
      <c r="BK123" s="433"/>
      <c r="BL123" s="433"/>
      <c r="BM123" s="433"/>
      <c r="BN123" s="434"/>
      <c r="BO123" s="434"/>
      <c r="BP123" s="434"/>
      <c r="BQ123" s="434"/>
      <c r="BR123" s="434"/>
      <c r="BS123" s="434"/>
      <c r="BT123" s="434"/>
      <c r="BU123" s="434"/>
      <c r="BV123" s="431"/>
      <c r="BW123" s="431"/>
      <c r="BX123" s="431"/>
      <c r="BY123" s="431"/>
      <c r="BZ123" s="431"/>
      <c r="CA123" s="431"/>
      <c r="CB123" s="431"/>
      <c r="CC123" s="435"/>
      <c r="CD123" s="435"/>
      <c r="CE123" s="435"/>
      <c r="CF123" s="435"/>
      <c r="CG123" s="435"/>
      <c r="CH123" s="435"/>
      <c r="CI123" s="435"/>
      <c r="CJ123" s="435"/>
      <c r="CK123" s="435"/>
      <c r="CL123" s="435"/>
      <c r="CM123" s="435"/>
      <c r="CN123" s="435"/>
      <c r="CO123" s="435"/>
      <c r="CP123" s="435"/>
      <c r="CQ123" s="435"/>
      <c r="CR123" s="435"/>
      <c r="CS123" s="436"/>
      <c r="CT123" s="436"/>
      <c r="CU123" s="436"/>
      <c r="CV123" s="436"/>
      <c r="CW123" s="436"/>
      <c r="CX123" s="436"/>
      <c r="CY123" s="436"/>
      <c r="CZ123" s="436"/>
      <c r="DA123" s="436"/>
      <c r="DB123" s="436"/>
      <c r="DC123" s="436"/>
      <c r="DD123" s="436"/>
      <c r="DE123" s="436"/>
      <c r="DF123" s="436"/>
      <c r="DG123" s="436"/>
      <c r="DH123" s="436"/>
      <c r="DI123" s="436"/>
      <c r="DJ123" s="436"/>
      <c r="DK123" s="436"/>
      <c r="DL123" s="436"/>
      <c r="DM123" s="436"/>
      <c r="DN123" s="938"/>
      <c r="DO123" s="437"/>
      <c r="DP123" s="437"/>
      <c r="DQ123" s="438"/>
      <c r="DR123" s="438"/>
      <c r="DS123" s="433"/>
      <c r="DT123" s="433"/>
      <c r="DU123" s="433"/>
      <c r="DV123" s="433"/>
      <c r="DW123" s="433"/>
      <c r="DX123" s="433"/>
      <c r="DY123" s="433"/>
      <c r="DZ123" s="433"/>
      <c r="EA123" s="433"/>
      <c r="EB123" s="433"/>
      <c r="EC123" s="433"/>
      <c r="ED123" s="433"/>
      <c r="EE123" s="433"/>
      <c r="EF123" s="433"/>
      <c r="EG123" s="433"/>
      <c r="EH123" s="433"/>
      <c r="EI123" s="433"/>
      <c r="EJ123" s="433"/>
      <c r="EK123" s="433"/>
      <c r="EL123" s="433"/>
      <c r="EM123" s="433"/>
      <c r="EN123" s="433"/>
      <c r="EO123" s="433"/>
      <c r="EP123" s="433"/>
      <c r="EQ123" s="433"/>
      <c r="ER123" s="433"/>
      <c r="ES123" s="433"/>
      <c r="ET123" s="433"/>
      <c r="EU123" s="433"/>
      <c r="EV123" s="433"/>
      <c r="EW123" s="433"/>
      <c r="EX123" s="433"/>
      <c r="EY123" s="433"/>
      <c r="EZ123" s="433"/>
      <c r="FA123" s="377"/>
      <c r="FB123" s="378"/>
      <c r="FC123" s="378"/>
      <c r="FD123" s="379">
        <f t="shared" si="260"/>
        <v>0</v>
      </c>
      <c r="FE123" s="790"/>
    </row>
    <row r="124" spans="2:164" ht="26.1" customHeight="1" outlineLevel="1" thickBot="1" x14ac:dyDescent="0.3">
      <c r="B124" s="1018"/>
      <c r="C124" s="1020"/>
      <c r="D124" s="1034"/>
      <c r="E124" s="1038"/>
      <c r="F124" s="840" t="s">
        <v>112</v>
      </c>
      <c r="G124" s="806" t="str">
        <f>VLOOKUP(H124,инфо!AD:AE,2,FALSE)</f>
        <v>Гарниры</v>
      </c>
      <c r="H124" s="581" t="s">
        <v>1198</v>
      </c>
      <c r="I124" s="573"/>
      <c r="J124" s="457"/>
      <c r="K124" s="458"/>
      <c r="L124" s="458"/>
      <c r="M124" s="458"/>
      <c r="N124" s="458"/>
      <c r="O124" s="458"/>
      <c r="P124" s="458"/>
      <c r="Q124" s="458"/>
      <c r="R124" s="458"/>
      <c r="S124" s="458"/>
      <c r="T124" s="458"/>
      <c r="U124" s="458"/>
      <c r="V124" s="458"/>
      <c r="W124" s="459"/>
      <c r="X124" s="459"/>
      <c r="Y124" s="459"/>
      <c r="Z124" s="459"/>
      <c r="AA124" s="459"/>
      <c r="AB124" s="459"/>
      <c r="AC124" s="459"/>
      <c r="AD124" s="459"/>
      <c r="AE124" s="459"/>
      <c r="AF124" s="459"/>
      <c r="AG124" s="459"/>
      <c r="AH124" s="459"/>
      <c r="AI124" s="459"/>
      <c r="AJ124" s="459"/>
      <c r="AK124" s="459"/>
      <c r="AL124" s="459"/>
      <c r="AM124" s="459"/>
      <c r="AN124" s="459"/>
      <c r="AO124" s="459"/>
      <c r="AP124" s="459"/>
      <c r="AQ124" s="459"/>
      <c r="AR124" s="459"/>
      <c r="AS124" s="459"/>
      <c r="AT124" s="459"/>
      <c r="AU124" s="459"/>
      <c r="AV124" s="459"/>
      <c r="AW124" s="459"/>
      <c r="AX124" s="459"/>
      <c r="AY124" s="459"/>
      <c r="AZ124" s="459"/>
      <c r="BA124" s="459"/>
      <c r="BB124" s="459"/>
      <c r="BC124" s="459"/>
      <c r="BD124" s="459"/>
      <c r="BE124" s="460"/>
      <c r="BF124" s="460"/>
      <c r="BG124" s="460"/>
      <c r="BH124" s="460"/>
      <c r="BI124" s="460"/>
      <c r="BJ124" s="460"/>
      <c r="BK124" s="460"/>
      <c r="BL124" s="460"/>
      <c r="BM124" s="460"/>
      <c r="BN124" s="461"/>
      <c r="BO124" s="461"/>
      <c r="BP124" s="461"/>
      <c r="BQ124" s="461"/>
      <c r="BR124" s="461"/>
      <c r="BS124" s="461"/>
      <c r="BT124" s="461"/>
      <c r="BU124" s="461"/>
      <c r="BV124" s="458"/>
      <c r="BW124" s="458"/>
      <c r="BX124" s="458"/>
      <c r="BY124" s="458"/>
      <c r="BZ124" s="458"/>
      <c r="CA124" s="458"/>
      <c r="CB124" s="458"/>
      <c r="CC124" s="462"/>
      <c r="CD124" s="462"/>
      <c r="CE124" s="462"/>
      <c r="CF124" s="462"/>
      <c r="CG124" s="462"/>
      <c r="CH124" s="462"/>
      <c r="CI124" s="462"/>
      <c r="CJ124" s="462"/>
      <c r="CK124" s="462"/>
      <c r="CL124" s="462"/>
      <c r="CM124" s="462"/>
      <c r="CN124" s="462"/>
      <c r="CO124" s="462"/>
      <c r="CP124" s="462"/>
      <c r="CQ124" s="462"/>
      <c r="CR124" s="462"/>
      <c r="CS124" s="463"/>
      <c r="CT124" s="463"/>
      <c r="CU124" s="463"/>
      <c r="CV124" s="463"/>
      <c r="CW124" s="463"/>
      <c r="CX124" s="463"/>
      <c r="CY124" s="463"/>
      <c r="CZ124" s="463"/>
      <c r="DA124" s="463"/>
      <c r="DB124" s="463"/>
      <c r="DC124" s="463"/>
      <c r="DD124" s="463"/>
      <c r="DE124" s="463"/>
      <c r="DF124" s="463"/>
      <c r="DG124" s="463"/>
      <c r="DH124" s="463"/>
      <c r="DI124" s="463"/>
      <c r="DJ124" s="463"/>
      <c r="DK124" s="463"/>
      <c r="DL124" s="463"/>
      <c r="DM124" s="463"/>
      <c r="DN124" s="941"/>
      <c r="DO124" s="464"/>
      <c r="DP124" s="464"/>
      <c r="DQ124" s="465"/>
      <c r="DR124" s="465"/>
      <c r="DS124" s="460"/>
      <c r="DT124" s="460"/>
      <c r="DU124" s="460"/>
      <c r="DV124" s="460"/>
      <c r="DW124" s="460"/>
      <c r="DX124" s="460"/>
      <c r="DY124" s="460"/>
      <c r="DZ124" s="460"/>
      <c r="EA124" s="460"/>
      <c r="EB124" s="460"/>
      <c r="EC124" s="460"/>
      <c r="ED124" s="460"/>
      <c r="EE124" s="460"/>
      <c r="EF124" s="460"/>
      <c r="EG124" s="460"/>
      <c r="EH124" s="460"/>
      <c r="EI124" s="460"/>
      <c r="EJ124" s="460"/>
      <c r="EK124" s="460"/>
      <c r="EL124" s="460"/>
      <c r="EM124" s="460"/>
      <c r="EN124" s="460"/>
      <c r="EO124" s="460"/>
      <c r="EP124" s="460"/>
      <c r="EQ124" s="460"/>
      <c r="ER124" s="460"/>
      <c r="ES124" s="460"/>
      <c r="ET124" s="460"/>
      <c r="EU124" s="460"/>
      <c r="EV124" s="460"/>
      <c r="EW124" s="460"/>
      <c r="EX124" s="460"/>
      <c r="EY124" s="460"/>
      <c r="EZ124" s="460"/>
      <c r="FA124" s="402"/>
      <c r="FB124" s="403"/>
      <c r="FC124" s="403"/>
      <c r="FD124" s="404">
        <f t="shared" si="260"/>
        <v>0</v>
      </c>
      <c r="FE124" s="790"/>
    </row>
    <row r="125" spans="2:164" ht="26.1" customHeight="1" outlineLevel="1" thickBot="1" x14ac:dyDescent="0.3">
      <c r="B125" s="1018"/>
      <c r="C125" s="1020"/>
      <c r="D125" s="1034"/>
      <c r="E125" s="1038" t="s">
        <v>115</v>
      </c>
      <c r="F125" s="837" t="s">
        <v>112</v>
      </c>
      <c r="G125" s="803" t="str">
        <f>VLOOKUP(H125,инфо!AD:AE,2,FALSE)</f>
        <v>Мясные (рыбные) блюда с соусом</v>
      </c>
      <c r="H125" s="579" t="s">
        <v>1196</v>
      </c>
      <c r="I125" s="588" t="s">
        <v>1187</v>
      </c>
      <c r="J125" s="448"/>
      <c r="K125" s="449"/>
      <c r="L125" s="449"/>
      <c r="M125" s="449"/>
      <c r="N125" s="449"/>
      <c r="O125" s="449"/>
      <c r="P125" s="449"/>
      <c r="Q125" s="449"/>
      <c r="R125" s="449"/>
      <c r="S125" s="449"/>
      <c r="T125" s="449"/>
      <c r="U125" s="449"/>
      <c r="V125" s="449"/>
      <c r="W125" s="450"/>
      <c r="X125" s="466">
        <v>1.6</v>
      </c>
      <c r="Y125" s="450"/>
      <c r="Z125" s="450"/>
      <c r="AA125" s="450"/>
      <c r="AB125" s="450"/>
      <c r="AC125" s="450"/>
      <c r="AD125" s="450"/>
      <c r="AE125" s="450"/>
      <c r="AF125" s="450">
        <v>4</v>
      </c>
      <c r="AG125" s="450">
        <v>7.2</v>
      </c>
      <c r="AH125" s="450"/>
      <c r="AI125" s="450"/>
      <c r="AJ125" s="450"/>
      <c r="AK125" s="450"/>
      <c r="AL125" s="450"/>
      <c r="AM125" s="450"/>
      <c r="AN125" s="450"/>
      <c r="AO125" s="450"/>
      <c r="AP125" s="450"/>
      <c r="AQ125" s="450"/>
      <c r="AR125" s="450"/>
      <c r="AS125" s="450"/>
      <c r="AT125" s="450"/>
      <c r="AU125" s="450"/>
      <c r="AV125" s="450"/>
      <c r="AW125" s="450"/>
      <c r="AX125" s="450"/>
      <c r="AY125" s="450"/>
      <c r="AZ125" s="450"/>
      <c r="BA125" s="450"/>
      <c r="BB125" s="450"/>
      <c r="BC125" s="450"/>
      <c r="BD125" s="450"/>
      <c r="BE125" s="451"/>
      <c r="BF125" s="451"/>
      <c r="BG125" s="451"/>
      <c r="BH125" s="451"/>
      <c r="BI125" s="451"/>
      <c r="BJ125" s="451"/>
      <c r="BK125" s="451"/>
      <c r="BL125" s="451"/>
      <c r="BM125" s="451"/>
      <c r="BN125" s="452"/>
      <c r="BO125" s="452">
        <v>2.4</v>
      </c>
      <c r="BP125" s="452"/>
      <c r="BQ125" s="452"/>
      <c r="BR125" s="452"/>
      <c r="BS125" s="452"/>
      <c r="BT125" s="452"/>
      <c r="BU125" s="452"/>
      <c r="BV125" s="449"/>
      <c r="BW125" s="449"/>
      <c r="BX125" s="449"/>
      <c r="BY125" s="449"/>
      <c r="BZ125" s="449"/>
      <c r="CA125" s="449"/>
      <c r="CB125" s="449"/>
      <c r="CC125" s="453"/>
      <c r="CD125" s="453"/>
      <c r="CE125" s="453"/>
      <c r="CF125" s="453"/>
      <c r="CG125" s="453"/>
      <c r="CH125" s="453"/>
      <c r="CI125" s="453"/>
      <c r="CJ125" s="453"/>
      <c r="CK125" s="453"/>
      <c r="CL125" s="453"/>
      <c r="CM125" s="453"/>
      <c r="CN125" s="453"/>
      <c r="CO125" s="453"/>
      <c r="CP125" s="453"/>
      <c r="CQ125" s="453"/>
      <c r="CR125" s="453"/>
      <c r="CS125" s="454"/>
      <c r="CT125" s="454"/>
      <c r="CU125" s="454"/>
      <c r="CV125" s="454"/>
      <c r="CW125" s="454"/>
      <c r="CX125" s="454"/>
      <c r="CY125" s="454"/>
      <c r="CZ125" s="454"/>
      <c r="DA125" s="454"/>
      <c r="DB125" s="454"/>
      <c r="DC125" s="454"/>
      <c r="DD125" s="454"/>
      <c r="DE125" s="454"/>
      <c r="DF125" s="454"/>
      <c r="DG125" s="454"/>
      <c r="DH125" s="454"/>
      <c r="DI125" s="454"/>
      <c r="DJ125" s="454"/>
      <c r="DK125" s="454"/>
      <c r="DL125" s="454"/>
      <c r="DM125" s="454"/>
      <c r="DN125" s="940"/>
      <c r="DO125" s="455"/>
      <c r="DP125" s="455">
        <v>0.2</v>
      </c>
      <c r="DQ125" s="456">
        <v>7.1999999999999998E-3</v>
      </c>
      <c r="DR125" s="456">
        <v>1.7999999999999999E-2</v>
      </c>
      <c r="DS125" s="451">
        <v>1.6</v>
      </c>
      <c r="DT125" s="451"/>
      <c r="DU125" s="451"/>
      <c r="DV125" s="451"/>
      <c r="DW125" s="451"/>
      <c r="DX125" s="451"/>
      <c r="DY125" s="451"/>
      <c r="DZ125" s="451"/>
      <c r="EA125" s="451"/>
      <c r="EB125" s="451">
        <v>19.2</v>
      </c>
      <c r="EC125" s="451"/>
      <c r="ED125" s="451"/>
      <c r="EE125" s="451"/>
      <c r="EF125" s="451"/>
      <c r="EG125" s="451"/>
      <c r="EH125" s="451"/>
      <c r="EI125" s="451"/>
      <c r="EJ125" s="451"/>
      <c r="EK125" s="451"/>
      <c r="EL125" s="451"/>
      <c r="EM125" s="451"/>
      <c r="EN125" s="451"/>
      <c r="EO125" s="451"/>
      <c r="EP125" s="451"/>
      <c r="EQ125" s="451"/>
      <c r="ER125" s="451"/>
      <c r="ES125" s="451"/>
      <c r="ET125" s="451"/>
      <c r="EU125" s="451"/>
      <c r="EV125" s="451"/>
      <c r="EW125" s="451"/>
      <c r="EX125" s="451"/>
      <c r="EY125" s="451"/>
      <c r="EZ125" s="451"/>
      <c r="FA125" s="364"/>
      <c r="FB125" s="365">
        <v>20</v>
      </c>
      <c r="FC125" s="365"/>
      <c r="FD125" s="367">
        <f t="shared" si="260"/>
        <v>0</v>
      </c>
      <c r="FE125" s="790"/>
    </row>
    <row r="126" spans="2:164" ht="26.1" customHeight="1" outlineLevel="1" thickBot="1" x14ac:dyDescent="0.3">
      <c r="B126" s="1018"/>
      <c r="C126" s="1020"/>
      <c r="D126" s="1034"/>
      <c r="E126" s="1038"/>
      <c r="F126" s="838" t="s">
        <v>112</v>
      </c>
      <c r="G126" s="804" t="str">
        <f>VLOOKUP(H126,инфо!AD:AE,2,FALSE)</f>
        <v>Мясные (рыбные) блюда с соусом</v>
      </c>
      <c r="H126" s="580" t="s">
        <v>1205</v>
      </c>
      <c r="I126" s="588" t="s">
        <v>663</v>
      </c>
      <c r="J126" s="430"/>
      <c r="K126" s="431"/>
      <c r="L126" s="431"/>
      <c r="M126" s="431"/>
      <c r="N126" s="431"/>
      <c r="O126" s="431"/>
      <c r="P126" s="431"/>
      <c r="Q126" s="431"/>
      <c r="R126" s="431"/>
      <c r="S126" s="431"/>
      <c r="T126" s="431"/>
      <c r="U126" s="431"/>
      <c r="V126" s="431"/>
      <c r="W126" s="432"/>
      <c r="X126" s="432">
        <v>7</v>
      </c>
      <c r="Y126" s="432"/>
      <c r="Z126" s="432"/>
      <c r="AA126" s="432">
        <v>26</v>
      </c>
      <c r="AB126" s="432"/>
      <c r="AC126" s="432"/>
      <c r="AD126" s="432"/>
      <c r="AE126" s="432"/>
      <c r="AF126" s="432"/>
      <c r="AG126" s="432"/>
      <c r="AH126" s="432"/>
      <c r="AI126" s="432"/>
      <c r="AJ126" s="432"/>
      <c r="AK126" s="432"/>
      <c r="AL126" s="432"/>
      <c r="AM126" s="432"/>
      <c r="AN126" s="432"/>
      <c r="AO126" s="432"/>
      <c r="AP126" s="432"/>
      <c r="AQ126" s="432"/>
      <c r="AR126" s="432"/>
      <c r="AS126" s="432"/>
      <c r="AT126" s="432"/>
      <c r="AU126" s="432"/>
      <c r="AV126" s="432"/>
      <c r="AW126" s="432"/>
      <c r="AX126" s="432"/>
      <c r="AY126" s="432"/>
      <c r="AZ126" s="432"/>
      <c r="BA126" s="432"/>
      <c r="BB126" s="432"/>
      <c r="BC126" s="432"/>
      <c r="BD126" s="432"/>
      <c r="BE126" s="433"/>
      <c r="BF126" s="433"/>
      <c r="BG126" s="433"/>
      <c r="BH126" s="433"/>
      <c r="BI126" s="433"/>
      <c r="BJ126" s="433"/>
      <c r="BK126" s="433"/>
      <c r="BL126" s="433"/>
      <c r="BM126" s="433"/>
      <c r="BN126" s="434"/>
      <c r="BO126" s="434">
        <v>3</v>
      </c>
      <c r="BP126" s="434"/>
      <c r="BQ126" s="434"/>
      <c r="BR126" s="434"/>
      <c r="BS126" s="434"/>
      <c r="BT126" s="434"/>
      <c r="BU126" s="434">
        <v>75</v>
      </c>
      <c r="BV126" s="431"/>
      <c r="BW126" s="431"/>
      <c r="BX126" s="431"/>
      <c r="BY126" s="431"/>
      <c r="BZ126" s="431"/>
      <c r="CA126" s="431"/>
      <c r="CB126" s="431"/>
      <c r="CC126" s="435"/>
      <c r="CD126" s="435"/>
      <c r="CE126" s="435"/>
      <c r="CF126" s="435"/>
      <c r="CG126" s="435"/>
      <c r="CH126" s="435"/>
      <c r="CI126" s="435"/>
      <c r="CJ126" s="435"/>
      <c r="CK126" s="435"/>
      <c r="CL126" s="435"/>
      <c r="CM126" s="435"/>
      <c r="CN126" s="435"/>
      <c r="CO126" s="435"/>
      <c r="CP126" s="435"/>
      <c r="CQ126" s="435"/>
      <c r="CR126" s="435"/>
      <c r="CS126" s="436"/>
      <c r="CT126" s="436"/>
      <c r="CU126" s="436"/>
      <c r="CV126" s="436"/>
      <c r="CW126" s="436"/>
      <c r="CX126" s="436"/>
      <c r="CY126" s="436"/>
      <c r="CZ126" s="436"/>
      <c r="DA126" s="436"/>
      <c r="DB126" s="436"/>
      <c r="DC126" s="436"/>
      <c r="DD126" s="436"/>
      <c r="DE126" s="436"/>
      <c r="DF126" s="436"/>
      <c r="DG126" s="436"/>
      <c r="DH126" s="436"/>
      <c r="DI126" s="436"/>
      <c r="DJ126" s="436"/>
      <c r="DK126" s="436"/>
      <c r="DL126" s="436"/>
      <c r="DM126" s="436"/>
      <c r="DN126" s="938"/>
      <c r="DO126" s="437"/>
      <c r="DP126" s="437"/>
      <c r="DQ126" s="438"/>
      <c r="DR126" s="438">
        <v>0.1</v>
      </c>
      <c r="DS126" s="433"/>
      <c r="DT126" s="433"/>
      <c r="DU126" s="433"/>
      <c r="DV126" s="433"/>
      <c r="DW126" s="433"/>
      <c r="DX126" s="433"/>
      <c r="DY126" s="433"/>
      <c r="DZ126" s="433"/>
      <c r="EA126" s="433">
        <v>33</v>
      </c>
      <c r="EB126" s="433"/>
      <c r="EC126" s="433"/>
      <c r="ED126" s="433"/>
      <c r="EE126" s="433"/>
      <c r="EF126" s="433"/>
      <c r="EG126" s="433"/>
      <c r="EH126" s="433"/>
      <c r="EI126" s="433"/>
      <c r="EJ126" s="433"/>
      <c r="EK126" s="433"/>
      <c r="EL126" s="433"/>
      <c r="EM126" s="433"/>
      <c r="EN126" s="433"/>
      <c r="EO126" s="433"/>
      <c r="EP126" s="433"/>
      <c r="EQ126" s="433"/>
      <c r="ER126" s="433"/>
      <c r="ES126" s="433"/>
      <c r="ET126" s="433"/>
      <c r="EU126" s="433"/>
      <c r="EV126" s="433"/>
      <c r="EW126" s="433"/>
      <c r="EX126" s="433"/>
      <c r="EY126" s="433"/>
      <c r="EZ126" s="433"/>
      <c r="FA126" s="377"/>
      <c r="FB126" s="378">
        <v>163</v>
      </c>
      <c r="FC126" s="378">
        <v>55.2</v>
      </c>
      <c r="FD126" s="379">
        <f t="shared" si="260"/>
        <v>0</v>
      </c>
      <c r="FE126" s="790"/>
    </row>
    <row r="127" spans="2:164" ht="26.1" customHeight="1" outlineLevel="1" thickBot="1" x14ac:dyDescent="0.3">
      <c r="B127" s="1018"/>
      <c r="C127" s="1020"/>
      <c r="D127" s="1034"/>
      <c r="E127" s="1038"/>
      <c r="F127" s="838" t="s">
        <v>112</v>
      </c>
      <c r="G127" s="804" t="str">
        <f>VLOOKUP(H127,инфо!AD:AE,2,FALSE)</f>
        <v>Гарниры</v>
      </c>
      <c r="H127" s="580" t="s">
        <v>1198</v>
      </c>
      <c r="I127" s="590" t="s">
        <v>1027</v>
      </c>
      <c r="J127" s="430"/>
      <c r="K127" s="431"/>
      <c r="L127" s="431"/>
      <c r="M127" s="431"/>
      <c r="N127" s="431"/>
      <c r="O127" s="431"/>
      <c r="P127" s="431"/>
      <c r="Q127" s="431"/>
      <c r="R127" s="431"/>
      <c r="S127" s="431"/>
      <c r="T127" s="431"/>
      <c r="U127" s="431"/>
      <c r="V127" s="431">
        <v>83</v>
      </c>
      <c r="W127" s="432"/>
      <c r="X127" s="432"/>
      <c r="Y127" s="432"/>
      <c r="Z127" s="432"/>
      <c r="AA127" s="432"/>
      <c r="AB127" s="432"/>
      <c r="AC127" s="432"/>
      <c r="AD127" s="432"/>
      <c r="AE127" s="432"/>
      <c r="AF127" s="432"/>
      <c r="AG127" s="432"/>
      <c r="AH127" s="432"/>
      <c r="AI127" s="432"/>
      <c r="AJ127" s="432"/>
      <c r="AK127" s="432"/>
      <c r="AL127" s="432"/>
      <c r="AM127" s="432"/>
      <c r="AN127" s="432"/>
      <c r="AO127" s="432"/>
      <c r="AP127" s="432"/>
      <c r="AQ127" s="432"/>
      <c r="AR127" s="432"/>
      <c r="AS127" s="432"/>
      <c r="AT127" s="432"/>
      <c r="AU127" s="432"/>
      <c r="AV127" s="432"/>
      <c r="AW127" s="432"/>
      <c r="AX127" s="432"/>
      <c r="AY127" s="432"/>
      <c r="AZ127" s="432"/>
      <c r="BA127" s="432"/>
      <c r="BB127" s="432"/>
      <c r="BC127" s="432"/>
      <c r="BD127" s="432"/>
      <c r="BE127" s="433"/>
      <c r="BF127" s="433"/>
      <c r="BG127" s="433"/>
      <c r="BH127" s="433"/>
      <c r="BI127" s="433"/>
      <c r="BJ127" s="433"/>
      <c r="BK127" s="433"/>
      <c r="BL127" s="433"/>
      <c r="BM127" s="433"/>
      <c r="BN127" s="434"/>
      <c r="BO127" s="434"/>
      <c r="BP127" s="434"/>
      <c r="BQ127" s="434"/>
      <c r="BR127" s="434"/>
      <c r="BS127" s="434"/>
      <c r="BT127" s="434"/>
      <c r="BU127" s="434"/>
      <c r="BV127" s="431"/>
      <c r="BW127" s="431"/>
      <c r="BX127" s="431"/>
      <c r="BY127" s="431"/>
      <c r="BZ127" s="431"/>
      <c r="CA127" s="431"/>
      <c r="CB127" s="431"/>
      <c r="CC127" s="435"/>
      <c r="CD127" s="435"/>
      <c r="CE127" s="435"/>
      <c r="CF127" s="435"/>
      <c r="CG127" s="435"/>
      <c r="CH127" s="435"/>
      <c r="CI127" s="435"/>
      <c r="CJ127" s="435"/>
      <c r="CK127" s="435"/>
      <c r="CL127" s="435"/>
      <c r="CM127" s="435"/>
      <c r="CN127" s="435"/>
      <c r="CO127" s="435"/>
      <c r="CP127" s="435"/>
      <c r="CQ127" s="435"/>
      <c r="CR127" s="435"/>
      <c r="CS127" s="436"/>
      <c r="CT127" s="436"/>
      <c r="CU127" s="436"/>
      <c r="CV127" s="436"/>
      <c r="CW127" s="436"/>
      <c r="CX127" s="436"/>
      <c r="CY127" s="436"/>
      <c r="CZ127" s="436"/>
      <c r="DA127" s="436"/>
      <c r="DB127" s="436"/>
      <c r="DC127" s="436"/>
      <c r="DD127" s="436"/>
      <c r="DE127" s="436"/>
      <c r="DF127" s="436"/>
      <c r="DG127" s="436"/>
      <c r="DH127" s="436"/>
      <c r="DI127" s="436"/>
      <c r="DJ127" s="436"/>
      <c r="DK127" s="436"/>
      <c r="DL127" s="436"/>
      <c r="DM127" s="436"/>
      <c r="DN127" s="938"/>
      <c r="DO127" s="437"/>
      <c r="DP127" s="437">
        <v>3</v>
      </c>
      <c r="DQ127" s="438"/>
      <c r="DR127" s="438"/>
      <c r="DS127" s="433"/>
      <c r="DT127" s="433"/>
      <c r="DU127" s="433"/>
      <c r="DV127" s="433"/>
      <c r="DW127" s="433"/>
      <c r="DX127" s="433"/>
      <c r="DY127" s="433"/>
      <c r="DZ127" s="433"/>
      <c r="EA127" s="433">
        <v>498</v>
      </c>
      <c r="EB127" s="433"/>
      <c r="EC127" s="433"/>
      <c r="ED127" s="433"/>
      <c r="EE127" s="433"/>
      <c r="EF127" s="433"/>
      <c r="EG127" s="433"/>
      <c r="EH127" s="433"/>
      <c r="EI127" s="433"/>
      <c r="EJ127" s="433"/>
      <c r="EK127" s="433"/>
      <c r="EL127" s="433"/>
      <c r="EM127" s="433"/>
      <c r="EN127" s="433"/>
      <c r="EO127" s="433"/>
      <c r="EP127" s="433"/>
      <c r="EQ127" s="433"/>
      <c r="ER127" s="433"/>
      <c r="ES127" s="433"/>
      <c r="ET127" s="433"/>
      <c r="EU127" s="433"/>
      <c r="EV127" s="433"/>
      <c r="EW127" s="433"/>
      <c r="EX127" s="433"/>
      <c r="EY127" s="433"/>
      <c r="EZ127" s="433"/>
      <c r="FA127" s="377">
        <v>415</v>
      </c>
      <c r="FB127" s="378">
        <v>208</v>
      </c>
      <c r="FC127" s="378"/>
      <c r="FD127" s="379">
        <f t="shared" si="260"/>
        <v>0</v>
      </c>
      <c r="FE127" s="790"/>
    </row>
    <row r="128" spans="2:164" ht="26.1" customHeight="1" outlineLevel="1" thickBot="1" x14ac:dyDescent="0.35">
      <c r="B128" s="1018"/>
      <c r="C128" s="1020"/>
      <c r="D128" s="1034"/>
      <c r="E128" s="1038"/>
      <c r="F128" s="840" t="s">
        <v>112</v>
      </c>
      <c r="G128" s="806" t="str">
        <f>VLOOKUP(H128,инфо!AD:AE,2,FALSE)</f>
        <v>Прочее</v>
      </c>
      <c r="H128" s="581" t="s">
        <v>1197</v>
      </c>
      <c r="I128" s="606" t="s">
        <v>60</v>
      </c>
      <c r="J128" s="457"/>
      <c r="K128" s="458"/>
      <c r="L128" s="458"/>
      <c r="M128" s="458"/>
      <c r="N128" s="458"/>
      <c r="O128" s="458"/>
      <c r="P128" s="458"/>
      <c r="Q128" s="458"/>
      <c r="R128" s="458"/>
      <c r="S128" s="458"/>
      <c r="T128" s="458"/>
      <c r="U128" s="458"/>
      <c r="V128" s="458"/>
      <c r="W128" s="459"/>
      <c r="X128" s="459"/>
      <c r="Y128" s="459"/>
      <c r="Z128" s="459"/>
      <c r="AA128" s="459"/>
      <c r="AB128" s="459"/>
      <c r="AC128" s="459"/>
      <c r="AD128" s="459"/>
      <c r="AE128" s="459"/>
      <c r="AF128" s="459"/>
      <c r="AG128" s="459"/>
      <c r="AH128" s="459"/>
      <c r="AI128" s="459"/>
      <c r="AJ128" s="459"/>
      <c r="AK128" s="459"/>
      <c r="AL128" s="459"/>
      <c r="AM128" s="459"/>
      <c r="AN128" s="459"/>
      <c r="AO128" s="459"/>
      <c r="AP128" s="459"/>
      <c r="AQ128" s="459"/>
      <c r="AR128" s="459"/>
      <c r="AS128" s="459"/>
      <c r="AT128" s="459"/>
      <c r="AU128" s="459"/>
      <c r="AV128" s="459"/>
      <c r="AW128" s="459"/>
      <c r="AX128" s="459"/>
      <c r="AY128" s="459"/>
      <c r="AZ128" s="459"/>
      <c r="BA128" s="459"/>
      <c r="BB128" s="459"/>
      <c r="BC128" s="459"/>
      <c r="BD128" s="459"/>
      <c r="BE128" s="460"/>
      <c r="BF128" s="460"/>
      <c r="BG128" s="460"/>
      <c r="BH128" s="460"/>
      <c r="BI128" s="460"/>
      <c r="BJ128" s="460"/>
      <c r="BK128" s="460"/>
      <c r="BL128" s="460"/>
      <c r="BM128" s="460"/>
      <c r="BN128" s="461">
        <v>15</v>
      </c>
      <c r="BO128" s="461"/>
      <c r="BP128" s="461"/>
      <c r="BQ128" s="461"/>
      <c r="BR128" s="461"/>
      <c r="BS128" s="461"/>
      <c r="BT128" s="461"/>
      <c r="BU128" s="461"/>
      <c r="BV128" s="458"/>
      <c r="BW128" s="458"/>
      <c r="BX128" s="458"/>
      <c r="BY128" s="458"/>
      <c r="BZ128" s="458"/>
      <c r="CA128" s="458"/>
      <c r="CB128" s="458"/>
      <c r="CC128" s="462"/>
      <c r="CD128" s="462"/>
      <c r="CE128" s="462"/>
      <c r="CF128" s="462"/>
      <c r="CG128" s="462"/>
      <c r="CH128" s="462"/>
      <c r="CI128" s="462"/>
      <c r="CJ128" s="462"/>
      <c r="CK128" s="462"/>
      <c r="CL128" s="462"/>
      <c r="CM128" s="462"/>
      <c r="CN128" s="462"/>
      <c r="CO128" s="462"/>
      <c r="CP128" s="462"/>
      <c r="CQ128" s="462"/>
      <c r="CR128" s="462"/>
      <c r="CS128" s="463"/>
      <c r="CT128" s="463"/>
      <c r="CU128" s="463"/>
      <c r="CV128" s="463"/>
      <c r="CW128" s="463"/>
      <c r="CX128" s="463"/>
      <c r="CY128" s="463"/>
      <c r="CZ128" s="463"/>
      <c r="DA128" s="463"/>
      <c r="DB128" s="463"/>
      <c r="DC128" s="463"/>
      <c r="DD128" s="463"/>
      <c r="DE128" s="463"/>
      <c r="DF128" s="463"/>
      <c r="DG128" s="463"/>
      <c r="DH128" s="463"/>
      <c r="DI128" s="463"/>
      <c r="DJ128" s="463"/>
      <c r="DK128" s="463"/>
      <c r="DL128" s="463"/>
      <c r="DM128" s="463"/>
      <c r="DN128" s="941"/>
      <c r="DO128" s="464"/>
      <c r="DP128" s="464"/>
      <c r="DQ128" s="465"/>
      <c r="DR128" s="465"/>
      <c r="DS128" s="460"/>
      <c r="DT128" s="467"/>
      <c r="DU128" s="467"/>
      <c r="DV128" s="467"/>
      <c r="DW128" s="467"/>
      <c r="DX128" s="467"/>
      <c r="DY128" s="467"/>
      <c r="DZ128" s="467"/>
      <c r="EA128" s="467"/>
      <c r="EB128" s="467"/>
      <c r="EC128" s="467"/>
      <c r="ED128" s="467"/>
      <c r="EE128" s="467"/>
      <c r="EF128" s="467"/>
      <c r="EG128" s="467"/>
      <c r="EH128" s="467"/>
      <c r="EI128" s="467"/>
      <c r="EJ128" s="467"/>
      <c r="EK128" s="467"/>
      <c r="EL128" s="467"/>
      <c r="EM128" s="467"/>
      <c r="EN128" s="467"/>
      <c r="EO128" s="467"/>
      <c r="EP128" s="467"/>
      <c r="EQ128" s="467"/>
      <c r="ER128" s="467"/>
      <c r="ES128" s="467"/>
      <c r="ET128" s="467"/>
      <c r="EU128" s="467"/>
      <c r="EV128" s="467"/>
      <c r="EW128" s="467"/>
      <c r="EX128" s="467"/>
      <c r="EY128" s="467"/>
      <c r="EZ128" s="467"/>
      <c r="FA128" s="402"/>
      <c r="FB128" s="403">
        <v>15</v>
      </c>
      <c r="FC128" s="403"/>
      <c r="FD128" s="404">
        <f t="shared" si="260"/>
        <v>0</v>
      </c>
      <c r="FE128" s="790"/>
    </row>
    <row r="129" spans="2:164" ht="26.1" customHeight="1" outlineLevel="1" thickBot="1" x14ac:dyDescent="0.35">
      <c r="B129" s="1018"/>
      <c r="C129" s="1020"/>
      <c r="D129" s="1034"/>
      <c r="E129" s="1042" t="s">
        <v>116</v>
      </c>
      <c r="F129" s="841" t="s">
        <v>112</v>
      </c>
      <c r="G129" s="807" t="str">
        <f>VLOOKUP(H129,инфо!AD:AE,2,FALSE)</f>
        <v>Напитки</v>
      </c>
      <c r="H129" s="577" t="s">
        <v>1195</v>
      </c>
      <c r="I129" s="588" t="s">
        <v>75</v>
      </c>
      <c r="J129" s="421"/>
      <c r="K129" s="422"/>
      <c r="L129" s="422"/>
      <c r="M129" s="422"/>
      <c r="N129" s="422"/>
      <c r="O129" s="422"/>
      <c r="P129" s="422"/>
      <c r="Q129" s="422"/>
      <c r="R129" s="422"/>
      <c r="S129" s="422"/>
      <c r="T129" s="422"/>
      <c r="U129" s="422"/>
      <c r="V129" s="422"/>
      <c r="W129" s="423"/>
      <c r="X129" s="423"/>
      <c r="Y129" s="423"/>
      <c r="Z129" s="423"/>
      <c r="AA129" s="423"/>
      <c r="AB129" s="423"/>
      <c r="AC129" s="423"/>
      <c r="AD129" s="423"/>
      <c r="AE129" s="423"/>
      <c r="AF129" s="423"/>
      <c r="AG129" s="423"/>
      <c r="AH129" s="423"/>
      <c r="AI129" s="423"/>
      <c r="AJ129" s="423"/>
      <c r="AK129" s="423"/>
      <c r="AL129" s="423"/>
      <c r="AM129" s="423"/>
      <c r="AN129" s="423"/>
      <c r="AO129" s="423"/>
      <c r="AP129" s="423"/>
      <c r="AQ129" s="423"/>
      <c r="AR129" s="423"/>
      <c r="AS129" s="423"/>
      <c r="AT129" s="423"/>
      <c r="AU129" s="423"/>
      <c r="AV129" s="423"/>
      <c r="AW129" s="423"/>
      <c r="AX129" s="423"/>
      <c r="AY129" s="423"/>
      <c r="AZ129" s="423"/>
      <c r="BA129" s="423"/>
      <c r="BB129" s="423"/>
      <c r="BC129" s="423"/>
      <c r="BD129" s="423"/>
      <c r="BE129" s="424"/>
      <c r="BF129" s="424"/>
      <c r="BG129" s="424"/>
      <c r="BH129" s="424"/>
      <c r="BI129" s="424"/>
      <c r="BJ129" s="424"/>
      <c r="BK129" s="424"/>
      <c r="BL129" s="424"/>
      <c r="BM129" s="424"/>
      <c r="BN129" s="425"/>
      <c r="BO129" s="425"/>
      <c r="BP129" s="425"/>
      <c r="BQ129" s="425"/>
      <c r="BR129" s="425"/>
      <c r="BS129" s="425"/>
      <c r="BT129" s="425"/>
      <c r="BU129" s="425"/>
      <c r="BV129" s="422"/>
      <c r="BW129" s="422"/>
      <c r="BX129" s="422"/>
      <c r="BY129" s="422"/>
      <c r="BZ129" s="422"/>
      <c r="CA129" s="422"/>
      <c r="CB129" s="422"/>
      <c r="CC129" s="426"/>
      <c r="CD129" s="426"/>
      <c r="CE129" s="426"/>
      <c r="CF129" s="426"/>
      <c r="CG129" s="426"/>
      <c r="CH129" s="426"/>
      <c r="CI129" s="426"/>
      <c r="CJ129" s="426"/>
      <c r="CK129" s="426"/>
      <c r="CL129" s="426"/>
      <c r="CM129" s="426"/>
      <c r="CN129" s="426"/>
      <c r="CO129" s="426"/>
      <c r="CP129" s="426"/>
      <c r="CQ129" s="426"/>
      <c r="CR129" s="426"/>
      <c r="CS129" s="427"/>
      <c r="CT129" s="427"/>
      <c r="CU129" s="427"/>
      <c r="CV129" s="427"/>
      <c r="CW129" s="427"/>
      <c r="CX129" s="427"/>
      <c r="CY129" s="427"/>
      <c r="CZ129" s="427"/>
      <c r="DA129" s="427"/>
      <c r="DB129" s="427"/>
      <c r="DC129" s="427"/>
      <c r="DD129" s="427"/>
      <c r="DE129" s="427"/>
      <c r="DF129" s="427"/>
      <c r="DG129" s="427"/>
      <c r="DH129" s="427"/>
      <c r="DI129" s="427"/>
      <c r="DJ129" s="427"/>
      <c r="DK129" s="427"/>
      <c r="DL129" s="427"/>
      <c r="DM129" s="427"/>
      <c r="DN129" s="937"/>
      <c r="DO129" s="428"/>
      <c r="DP129" s="428"/>
      <c r="DQ129" s="429"/>
      <c r="DR129" s="429"/>
      <c r="DS129" s="424"/>
      <c r="DT129" s="468"/>
      <c r="DU129" s="468"/>
      <c r="DV129" s="468"/>
      <c r="DW129" s="468"/>
      <c r="DX129" s="468"/>
      <c r="DY129" s="468"/>
      <c r="DZ129" s="468"/>
      <c r="EA129" s="468"/>
      <c r="EB129" s="468"/>
      <c r="EC129" s="468">
        <v>200</v>
      </c>
      <c r="ED129" s="468"/>
      <c r="EE129" s="468"/>
      <c r="EF129" s="468"/>
      <c r="EG129" s="468"/>
      <c r="EH129" s="468"/>
      <c r="EI129" s="468"/>
      <c r="EJ129" s="468"/>
      <c r="EK129" s="468"/>
      <c r="EL129" s="468"/>
      <c r="EM129" s="468"/>
      <c r="EN129" s="468"/>
      <c r="EO129" s="468"/>
      <c r="EP129" s="468"/>
      <c r="EQ129" s="468"/>
      <c r="ER129" s="468"/>
      <c r="ES129" s="468"/>
      <c r="ET129" s="468"/>
      <c r="EU129" s="468"/>
      <c r="EV129" s="468"/>
      <c r="EW129" s="468"/>
      <c r="EX129" s="468"/>
      <c r="EY129" s="468"/>
      <c r="EZ129" s="468"/>
      <c r="FA129" s="415"/>
      <c r="FB129" s="416">
        <v>200</v>
      </c>
      <c r="FC129" s="416"/>
      <c r="FD129" s="417">
        <f t="shared" si="260"/>
        <v>0</v>
      </c>
      <c r="FE129" s="790"/>
    </row>
    <row r="130" spans="2:164" ht="26.1" customHeight="1" outlineLevel="1" thickBot="1" x14ac:dyDescent="0.35">
      <c r="B130" s="1018"/>
      <c r="C130" s="1020"/>
      <c r="D130" s="1034"/>
      <c r="E130" s="1038"/>
      <c r="F130" s="838" t="s">
        <v>112</v>
      </c>
      <c r="G130" s="804" t="str">
        <f>VLOOKUP(H130,инфо!AD:AE,2,FALSE)</f>
        <v>Прочее</v>
      </c>
      <c r="H130" s="580" t="s">
        <v>1197</v>
      </c>
      <c r="I130" s="588" t="s">
        <v>82</v>
      </c>
      <c r="J130" s="430"/>
      <c r="K130" s="431"/>
      <c r="L130" s="431"/>
      <c r="M130" s="431"/>
      <c r="N130" s="431"/>
      <c r="O130" s="431"/>
      <c r="P130" s="431"/>
      <c r="Q130" s="431"/>
      <c r="R130" s="431"/>
      <c r="S130" s="431"/>
      <c r="T130" s="431"/>
      <c r="U130" s="431"/>
      <c r="V130" s="431"/>
      <c r="W130" s="432"/>
      <c r="X130" s="432"/>
      <c r="Y130" s="432"/>
      <c r="Z130" s="432"/>
      <c r="AA130" s="432"/>
      <c r="AB130" s="432"/>
      <c r="AC130" s="432"/>
      <c r="AD130" s="432"/>
      <c r="AE130" s="432"/>
      <c r="AF130" s="432"/>
      <c r="AG130" s="432"/>
      <c r="AH130" s="432"/>
      <c r="AI130" s="432"/>
      <c r="AJ130" s="432"/>
      <c r="AK130" s="432"/>
      <c r="AL130" s="432"/>
      <c r="AM130" s="432"/>
      <c r="AN130" s="432"/>
      <c r="AO130" s="432"/>
      <c r="AP130" s="432"/>
      <c r="AQ130" s="432"/>
      <c r="AR130" s="432"/>
      <c r="AS130" s="432"/>
      <c r="AT130" s="432"/>
      <c r="AU130" s="432"/>
      <c r="AV130" s="432"/>
      <c r="AW130" s="432"/>
      <c r="AX130" s="432"/>
      <c r="AY130" s="432"/>
      <c r="AZ130" s="432"/>
      <c r="BA130" s="432"/>
      <c r="BB130" s="432"/>
      <c r="BC130" s="432"/>
      <c r="BD130" s="432"/>
      <c r="BE130" s="433"/>
      <c r="BF130" s="433"/>
      <c r="BG130" s="433"/>
      <c r="BH130" s="433"/>
      <c r="BI130" s="433"/>
      <c r="BJ130" s="433"/>
      <c r="BK130" s="433"/>
      <c r="BL130" s="433"/>
      <c r="BM130" s="433"/>
      <c r="BN130" s="434"/>
      <c r="BO130" s="434"/>
      <c r="BP130" s="434"/>
      <c r="BQ130" s="434"/>
      <c r="BR130" s="434"/>
      <c r="BS130" s="434"/>
      <c r="BT130" s="434"/>
      <c r="BU130" s="434"/>
      <c r="BV130" s="431"/>
      <c r="BW130" s="431"/>
      <c r="BX130" s="431"/>
      <c r="BY130" s="431"/>
      <c r="BZ130" s="431"/>
      <c r="CA130" s="431"/>
      <c r="CB130" s="431"/>
      <c r="CC130" s="435"/>
      <c r="CD130" s="435"/>
      <c r="CE130" s="435"/>
      <c r="CF130" s="435"/>
      <c r="CG130" s="435"/>
      <c r="CH130" s="435"/>
      <c r="CI130" s="435"/>
      <c r="CJ130" s="435"/>
      <c r="CK130" s="435"/>
      <c r="CL130" s="435"/>
      <c r="CM130" s="435"/>
      <c r="CN130" s="435"/>
      <c r="CO130" s="435"/>
      <c r="CP130" s="435"/>
      <c r="CQ130" s="435"/>
      <c r="CR130" s="435"/>
      <c r="CS130" s="436"/>
      <c r="CT130" s="436"/>
      <c r="CU130" s="436"/>
      <c r="CV130" s="436"/>
      <c r="CW130" s="436"/>
      <c r="CX130" s="436"/>
      <c r="CY130" s="436"/>
      <c r="CZ130" s="436"/>
      <c r="DA130" s="436"/>
      <c r="DB130" s="436"/>
      <c r="DC130" s="436"/>
      <c r="DD130" s="436"/>
      <c r="DE130" s="436"/>
      <c r="DF130" s="436"/>
      <c r="DG130" s="436"/>
      <c r="DH130" s="436"/>
      <c r="DI130" s="436"/>
      <c r="DJ130" s="436"/>
      <c r="DK130" s="436"/>
      <c r="DL130" s="436"/>
      <c r="DM130" s="436"/>
      <c r="DN130" s="938"/>
      <c r="DO130" s="437"/>
      <c r="DP130" s="437"/>
      <c r="DQ130" s="438"/>
      <c r="DR130" s="438"/>
      <c r="DS130" s="433"/>
      <c r="DT130" s="469"/>
      <c r="DU130" s="469"/>
      <c r="DV130" s="469"/>
      <c r="DW130" s="469"/>
      <c r="DX130" s="469"/>
      <c r="DY130" s="469"/>
      <c r="DZ130" s="469"/>
      <c r="EA130" s="469"/>
      <c r="EB130" s="469"/>
      <c r="EC130" s="469"/>
      <c r="ED130" s="469"/>
      <c r="EE130" s="469"/>
      <c r="EF130" s="469"/>
      <c r="EG130" s="469"/>
      <c r="EH130" s="469"/>
      <c r="EI130" s="469"/>
      <c r="EJ130" s="469"/>
      <c r="EK130" s="469"/>
      <c r="EL130" s="469"/>
      <c r="EM130" s="469"/>
      <c r="EN130" s="469"/>
      <c r="EO130" s="469">
        <v>20</v>
      </c>
      <c r="EP130" s="469"/>
      <c r="EQ130" s="469"/>
      <c r="ER130" s="469"/>
      <c r="ES130" s="469"/>
      <c r="ET130" s="469"/>
      <c r="EU130" s="469"/>
      <c r="EV130" s="469"/>
      <c r="EW130" s="469"/>
      <c r="EX130" s="469"/>
      <c r="EY130" s="469"/>
      <c r="EZ130" s="469"/>
      <c r="FA130" s="377"/>
      <c r="FB130" s="378">
        <v>20</v>
      </c>
      <c r="FC130" s="378"/>
      <c r="FD130" s="379">
        <f t="shared" si="260"/>
        <v>0</v>
      </c>
      <c r="FE130" s="790"/>
    </row>
    <row r="131" spans="2:164" ht="26.1" customHeight="1" outlineLevel="1" thickBot="1" x14ac:dyDescent="0.35">
      <c r="B131" s="1018"/>
      <c r="C131" s="1020"/>
      <c r="D131" s="1034"/>
      <c r="E131" s="1038"/>
      <c r="F131" s="838" t="s">
        <v>112</v>
      </c>
      <c r="G131" s="804" t="str">
        <f>VLOOKUP(H131,инфо!AD:AE,2,FALSE)</f>
        <v>Гарниры</v>
      </c>
      <c r="H131" s="580" t="s">
        <v>1198</v>
      </c>
      <c r="I131" s="575"/>
      <c r="J131" s="430"/>
      <c r="K131" s="431"/>
      <c r="L131" s="431"/>
      <c r="M131" s="431"/>
      <c r="N131" s="431"/>
      <c r="O131" s="431"/>
      <c r="P131" s="431"/>
      <c r="Q131" s="431"/>
      <c r="R131" s="431"/>
      <c r="S131" s="431"/>
      <c r="T131" s="431"/>
      <c r="U131" s="431"/>
      <c r="V131" s="431"/>
      <c r="W131" s="432"/>
      <c r="X131" s="432"/>
      <c r="Y131" s="432"/>
      <c r="Z131" s="432"/>
      <c r="AA131" s="432"/>
      <c r="AB131" s="432"/>
      <c r="AC131" s="432"/>
      <c r="AD131" s="432"/>
      <c r="AE131" s="432"/>
      <c r="AF131" s="432"/>
      <c r="AG131" s="432"/>
      <c r="AH131" s="432"/>
      <c r="AI131" s="432"/>
      <c r="AJ131" s="432"/>
      <c r="AK131" s="432"/>
      <c r="AL131" s="432"/>
      <c r="AM131" s="432"/>
      <c r="AN131" s="432"/>
      <c r="AO131" s="432"/>
      <c r="AP131" s="432"/>
      <c r="AQ131" s="432"/>
      <c r="AR131" s="432"/>
      <c r="AS131" s="432"/>
      <c r="AT131" s="432"/>
      <c r="AU131" s="432"/>
      <c r="AV131" s="432"/>
      <c r="AW131" s="432"/>
      <c r="AX131" s="432"/>
      <c r="AY131" s="432"/>
      <c r="AZ131" s="432"/>
      <c r="BA131" s="432"/>
      <c r="BB131" s="432"/>
      <c r="BC131" s="432"/>
      <c r="BD131" s="432"/>
      <c r="BE131" s="433"/>
      <c r="BF131" s="433"/>
      <c r="BG131" s="433"/>
      <c r="BH131" s="433"/>
      <c r="BI131" s="433"/>
      <c r="BJ131" s="433"/>
      <c r="BK131" s="433"/>
      <c r="BL131" s="433"/>
      <c r="BM131" s="433"/>
      <c r="BN131" s="434"/>
      <c r="BO131" s="434"/>
      <c r="BP131" s="434"/>
      <c r="BQ131" s="434"/>
      <c r="BR131" s="434"/>
      <c r="BS131" s="434"/>
      <c r="BT131" s="434"/>
      <c r="BU131" s="434"/>
      <c r="BV131" s="431"/>
      <c r="BW131" s="431"/>
      <c r="BX131" s="431"/>
      <c r="BY131" s="431"/>
      <c r="BZ131" s="431"/>
      <c r="CA131" s="431"/>
      <c r="CB131" s="431"/>
      <c r="CC131" s="435"/>
      <c r="CD131" s="435"/>
      <c r="CE131" s="435"/>
      <c r="CF131" s="435"/>
      <c r="CG131" s="435"/>
      <c r="CH131" s="435"/>
      <c r="CI131" s="435"/>
      <c r="CJ131" s="435"/>
      <c r="CK131" s="435"/>
      <c r="CL131" s="435"/>
      <c r="CM131" s="435"/>
      <c r="CN131" s="435"/>
      <c r="CO131" s="435"/>
      <c r="CP131" s="435"/>
      <c r="CQ131" s="435"/>
      <c r="CR131" s="435"/>
      <c r="CS131" s="436"/>
      <c r="CT131" s="436"/>
      <c r="CU131" s="436"/>
      <c r="CV131" s="436"/>
      <c r="CW131" s="436"/>
      <c r="CX131" s="436"/>
      <c r="CY131" s="436"/>
      <c r="CZ131" s="436"/>
      <c r="DA131" s="436"/>
      <c r="DB131" s="436"/>
      <c r="DC131" s="436"/>
      <c r="DD131" s="436"/>
      <c r="DE131" s="436"/>
      <c r="DF131" s="436"/>
      <c r="DG131" s="436"/>
      <c r="DH131" s="436"/>
      <c r="DI131" s="436"/>
      <c r="DJ131" s="436"/>
      <c r="DK131" s="436"/>
      <c r="DL131" s="436"/>
      <c r="DM131" s="436"/>
      <c r="DN131" s="938"/>
      <c r="DO131" s="437"/>
      <c r="DP131" s="437"/>
      <c r="DQ131" s="438"/>
      <c r="DR131" s="438"/>
      <c r="DS131" s="433"/>
      <c r="DT131" s="469"/>
      <c r="DU131" s="469"/>
      <c r="DV131" s="469"/>
      <c r="DW131" s="469"/>
      <c r="DX131" s="469"/>
      <c r="DY131" s="469"/>
      <c r="DZ131" s="469"/>
      <c r="EA131" s="469"/>
      <c r="EB131" s="469"/>
      <c r="EC131" s="469"/>
      <c r="ED131" s="469"/>
      <c r="EE131" s="469"/>
      <c r="EF131" s="469"/>
      <c r="EG131" s="469"/>
      <c r="EH131" s="469"/>
      <c r="EI131" s="469"/>
      <c r="EJ131" s="469"/>
      <c r="EK131" s="469"/>
      <c r="EL131" s="469"/>
      <c r="EM131" s="469"/>
      <c r="EN131" s="469"/>
      <c r="EO131" s="469"/>
      <c r="EP131" s="469"/>
      <c r="EQ131" s="469"/>
      <c r="ER131" s="469"/>
      <c r="ES131" s="469"/>
      <c r="ET131" s="469"/>
      <c r="EU131" s="469"/>
      <c r="EV131" s="469"/>
      <c r="EW131" s="469"/>
      <c r="EX131" s="469"/>
      <c r="EY131" s="469"/>
      <c r="EZ131" s="469"/>
      <c r="FA131" s="377"/>
      <c r="FB131" s="378"/>
      <c r="FC131" s="378"/>
      <c r="FD131" s="379">
        <f t="shared" si="260"/>
        <v>0</v>
      </c>
      <c r="FE131" s="790"/>
    </row>
    <row r="132" spans="2:164" ht="26.1" customHeight="1" outlineLevel="1" thickBot="1" x14ac:dyDescent="0.3">
      <c r="B132" s="1018"/>
      <c r="C132" s="1020"/>
      <c r="D132" s="1035"/>
      <c r="E132" s="1043"/>
      <c r="F132" s="840" t="s">
        <v>112</v>
      </c>
      <c r="G132" s="806" t="str">
        <f>VLOOKUP(H132,инфо!AD:AE,2,FALSE)</f>
        <v>Прочее</v>
      </c>
      <c r="H132" s="582" t="s">
        <v>1197</v>
      </c>
      <c r="I132" s="573"/>
      <c r="J132" s="439"/>
      <c r="K132" s="440"/>
      <c r="L132" s="440"/>
      <c r="M132" s="440"/>
      <c r="N132" s="440"/>
      <c r="O132" s="440"/>
      <c r="P132" s="440"/>
      <c r="Q132" s="440"/>
      <c r="R132" s="440"/>
      <c r="S132" s="440"/>
      <c r="T132" s="440"/>
      <c r="U132" s="440"/>
      <c r="V132" s="440"/>
      <c r="W132" s="441"/>
      <c r="X132" s="441"/>
      <c r="Y132" s="441"/>
      <c r="Z132" s="441"/>
      <c r="AA132" s="441"/>
      <c r="AB132" s="441"/>
      <c r="AC132" s="441"/>
      <c r="AD132" s="441"/>
      <c r="AE132" s="441"/>
      <c r="AF132" s="441"/>
      <c r="AG132" s="441"/>
      <c r="AH132" s="441"/>
      <c r="AI132" s="441"/>
      <c r="AJ132" s="441"/>
      <c r="AK132" s="441"/>
      <c r="AL132" s="441"/>
      <c r="AM132" s="441"/>
      <c r="AN132" s="441"/>
      <c r="AO132" s="441"/>
      <c r="AP132" s="441"/>
      <c r="AQ132" s="441"/>
      <c r="AR132" s="441"/>
      <c r="AS132" s="441"/>
      <c r="AT132" s="441"/>
      <c r="AU132" s="441"/>
      <c r="AV132" s="441"/>
      <c r="AW132" s="441"/>
      <c r="AX132" s="441"/>
      <c r="AY132" s="441"/>
      <c r="AZ132" s="441"/>
      <c r="BA132" s="441"/>
      <c r="BB132" s="441"/>
      <c r="BC132" s="441"/>
      <c r="BD132" s="441"/>
      <c r="BE132" s="442"/>
      <c r="BF132" s="442"/>
      <c r="BG132" s="442"/>
      <c r="BH132" s="442"/>
      <c r="BI132" s="442"/>
      <c r="BJ132" s="442"/>
      <c r="BK132" s="442"/>
      <c r="BL132" s="442"/>
      <c r="BM132" s="442"/>
      <c r="BN132" s="443"/>
      <c r="BO132" s="443"/>
      <c r="BP132" s="443"/>
      <c r="BQ132" s="443"/>
      <c r="BR132" s="443"/>
      <c r="BS132" s="443"/>
      <c r="BT132" s="443"/>
      <c r="BU132" s="443"/>
      <c r="BV132" s="440"/>
      <c r="BW132" s="440"/>
      <c r="BX132" s="440"/>
      <c r="BY132" s="440"/>
      <c r="BZ132" s="440"/>
      <c r="CA132" s="440"/>
      <c r="CB132" s="440"/>
      <c r="CC132" s="444"/>
      <c r="CD132" s="444"/>
      <c r="CE132" s="444"/>
      <c r="CF132" s="444"/>
      <c r="CG132" s="444"/>
      <c r="CH132" s="444"/>
      <c r="CI132" s="444"/>
      <c r="CJ132" s="444"/>
      <c r="CK132" s="444"/>
      <c r="CL132" s="444"/>
      <c r="CM132" s="444"/>
      <c r="CN132" s="444"/>
      <c r="CO132" s="444"/>
      <c r="CP132" s="444"/>
      <c r="CQ132" s="444"/>
      <c r="CR132" s="444"/>
      <c r="CS132" s="445"/>
      <c r="CT132" s="445"/>
      <c r="CU132" s="445"/>
      <c r="CV132" s="445"/>
      <c r="CW132" s="445"/>
      <c r="CX132" s="445"/>
      <c r="CY132" s="445"/>
      <c r="CZ132" s="445"/>
      <c r="DA132" s="445"/>
      <c r="DB132" s="445"/>
      <c r="DC132" s="445"/>
      <c r="DD132" s="445"/>
      <c r="DE132" s="445"/>
      <c r="DF132" s="445"/>
      <c r="DG132" s="445"/>
      <c r="DH132" s="445"/>
      <c r="DI132" s="445"/>
      <c r="DJ132" s="445"/>
      <c r="DK132" s="445"/>
      <c r="DL132" s="445"/>
      <c r="DM132" s="445"/>
      <c r="DN132" s="939"/>
      <c r="DO132" s="446"/>
      <c r="DP132" s="446"/>
      <c r="DQ132" s="447"/>
      <c r="DR132" s="447"/>
      <c r="DS132" s="442"/>
      <c r="DT132" s="442"/>
      <c r="DU132" s="442"/>
      <c r="DV132" s="442"/>
      <c r="DW132" s="442"/>
      <c r="DX132" s="442"/>
      <c r="DY132" s="442"/>
      <c r="DZ132" s="442"/>
      <c r="EA132" s="442"/>
      <c r="EB132" s="442"/>
      <c r="EC132" s="442"/>
      <c r="ED132" s="442"/>
      <c r="EE132" s="442"/>
      <c r="EF132" s="442"/>
      <c r="EG132" s="442"/>
      <c r="EH132" s="442"/>
      <c r="EI132" s="442"/>
      <c r="EJ132" s="442"/>
      <c r="EK132" s="442"/>
      <c r="EL132" s="442"/>
      <c r="EM132" s="442"/>
      <c r="EN132" s="442"/>
      <c r="EO132" s="442"/>
      <c r="EP132" s="442"/>
      <c r="EQ132" s="442"/>
      <c r="ER132" s="442"/>
      <c r="ES132" s="442"/>
      <c r="ET132" s="442"/>
      <c r="EU132" s="442"/>
      <c r="EV132" s="442"/>
      <c r="EW132" s="442"/>
      <c r="EX132" s="442"/>
      <c r="EY132" s="442"/>
      <c r="EZ132" s="442"/>
      <c r="FA132" s="377"/>
      <c r="FB132" s="378"/>
      <c r="FC132" s="378"/>
      <c r="FD132" s="379">
        <f t="shared" si="260"/>
        <v>0</v>
      </c>
      <c r="FE132" s="790"/>
    </row>
    <row r="133" spans="2:164" s="154" customFormat="1" ht="16.5" customHeight="1" outlineLevel="1" thickBot="1" x14ac:dyDescent="0.4">
      <c r="B133" s="1018"/>
      <c r="C133" s="1020"/>
      <c r="D133" s="145"/>
      <c r="E133" s="317" t="s">
        <v>174</v>
      </c>
      <c r="F133" s="836"/>
      <c r="G133" s="818"/>
      <c r="H133" s="576"/>
      <c r="I133" s="594"/>
      <c r="J133" s="305">
        <f>SUM(J119:J132)</f>
        <v>0</v>
      </c>
      <c r="K133" s="146">
        <f t="shared" ref="K133:CU133" si="261">SUM(K119:K132)</f>
        <v>0</v>
      </c>
      <c r="L133" s="146">
        <f t="shared" si="261"/>
        <v>0</v>
      </c>
      <c r="M133" s="146">
        <f t="shared" si="261"/>
        <v>0</v>
      </c>
      <c r="N133" s="146">
        <f t="shared" si="261"/>
        <v>0</v>
      </c>
      <c r="O133" s="146">
        <f t="shared" si="261"/>
        <v>0</v>
      </c>
      <c r="P133" s="146">
        <f t="shared" si="261"/>
        <v>0</v>
      </c>
      <c r="Q133" s="146">
        <f t="shared" si="261"/>
        <v>0</v>
      </c>
      <c r="R133" s="146">
        <f t="shared" si="261"/>
        <v>0</v>
      </c>
      <c r="S133" s="146">
        <f t="shared" si="261"/>
        <v>0</v>
      </c>
      <c r="T133" s="146">
        <f t="shared" ref="T133:V133" si="262">SUM(T119:T132)</f>
        <v>0</v>
      </c>
      <c r="U133" s="146">
        <f t="shared" si="262"/>
        <v>0</v>
      </c>
      <c r="V133" s="146">
        <f t="shared" si="262"/>
        <v>83</v>
      </c>
      <c r="W133" s="147">
        <f t="shared" si="261"/>
        <v>0</v>
      </c>
      <c r="X133" s="147">
        <f t="shared" si="261"/>
        <v>8.6</v>
      </c>
      <c r="Y133" s="147">
        <f t="shared" ref="Y133" si="263">SUM(Y119:Y132)</f>
        <v>0</v>
      </c>
      <c r="Z133" s="147">
        <f t="shared" si="261"/>
        <v>50</v>
      </c>
      <c r="AA133" s="147">
        <f t="shared" si="261"/>
        <v>126</v>
      </c>
      <c r="AB133" s="147">
        <f t="shared" ref="AB133:AC133" si="264">SUM(AB119:AB132)</f>
        <v>0</v>
      </c>
      <c r="AC133" s="147">
        <f t="shared" si="264"/>
        <v>0</v>
      </c>
      <c r="AD133" s="147">
        <f t="shared" si="261"/>
        <v>110</v>
      </c>
      <c r="AE133" s="147">
        <f t="shared" si="261"/>
        <v>140</v>
      </c>
      <c r="AF133" s="147">
        <f t="shared" ref="AF133:AH133" si="265">SUM(AF119:AF132)</f>
        <v>19</v>
      </c>
      <c r="AG133" s="147">
        <f t="shared" si="265"/>
        <v>22.2</v>
      </c>
      <c r="AH133" s="147">
        <f t="shared" si="265"/>
        <v>0</v>
      </c>
      <c r="AI133" s="147">
        <f t="shared" si="261"/>
        <v>0</v>
      </c>
      <c r="AJ133" s="147">
        <f t="shared" si="261"/>
        <v>0</v>
      </c>
      <c r="AK133" s="147">
        <f t="shared" si="261"/>
        <v>0</v>
      </c>
      <c r="AL133" s="147">
        <f t="shared" si="261"/>
        <v>0</v>
      </c>
      <c r="AM133" s="147">
        <f t="shared" ref="AM133:AS133" si="266">SUM(AM119:AM132)</f>
        <v>0</v>
      </c>
      <c r="AN133" s="147">
        <f t="shared" si="266"/>
        <v>0</v>
      </c>
      <c r="AO133" s="147">
        <f t="shared" si="266"/>
        <v>5</v>
      </c>
      <c r="AP133" s="147">
        <f t="shared" si="266"/>
        <v>0</v>
      </c>
      <c r="AQ133" s="147">
        <f t="shared" si="266"/>
        <v>0</v>
      </c>
      <c r="AR133" s="147">
        <f t="shared" si="266"/>
        <v>0</v>
      </c>
      <c r="AS133" s="147">
        <f t="shared" si="266"/>
        <v>0</v>
      </c>
      <c r="AT133" s="147">
        <f t="shared" si="261"/>
        <v>0</v>
      </c>
      <c r="AU133" s="147">
        <f t="shared" ref="AU133:BD133" si="267">SUM(AU119:AU132)</f>
        <v>0</v>
      </c>
      <c r="AV133" s="147">
        <f t="shared" si="267"/>
        <v>105</v>
      </c>
      <c r="AW133" s="147">
        <f t="shared" si="267"/>
        <v>0</v>
      </c>
      <c r="AX133" s="147">
        <f t="shared" si="267"/>
        <v>0</v>
      </c>
      <c r="AY133" s="147">
        <f t="shared" si="267"/>
        <v>0</v>
      </c>
      <c r="AZ133" s="147">
        <f t="shared" si="267"/>
        <v>0</v>
      </c>
      <c r="BA133" s="147">
        <f t="shared" si="267"/>
        <v>0</v>
      </c>
      <c r="BB133" s="147">
        <f t="shared" si="267"/>
        <v>0</v>
      </c>
      <c r="BC133" s="147">
        <f t="shared" si="267"/>
        <v>0</v>
      </c>
      <c r="BD133" s="147">
        <f t="shared" si="267"/>
        <v>0</v>
      </c>
      <c r="BE133" s="148">
        <f t="shared" ref="BE133:BP133" si="268">SUM(BE119:BE132)</f>
        <v>0</v>
      </c>
      <c r="BF133" s="148">
        <f t="shared" si="268"/>
        <v>0</v>
      </c>
      <c r="BG133" s="148">
        <f t="shared" si="268"/>
        <v>0</v>
      </c>
      <c r="BH133" s="148">
        <f t="shared" si="268"/>
        <v>0</v>
      </c>
      <c r="BI133" s="148">
        <f t="shared" ref="BI133:BL133" si="269">SUM(BI119:BI132)</f>
        <v>0</v>
      </c>
      <c r="BJ133" s="148">
        <f t="shared" si="269"/>
        <v>5</v>
      </c>
      <c r="BK133" s="148">
        <f t="shared" si="269"/>
        <v>0</v>
      </c>
      <c r="BL133" s="148">
        <f t="shared" si="269"/>
        <v>0</v>
      </c>
      <c r="BM133" s="148">
        <f t="shared" si="268"/>
        <v>0</v>
      </c>
      <c r="BN133" s="149">
        <f t="shared" si="268"/>
        <v>15</v>
      </c>
      <c r="BO133" s="149">
        <f t="shared" si="268"/>
        <v>18.399999999999999</v>
      </c>
      <c r="BP133" s="149">
        <f t="shared" si="268"/>
        <v>0</v>
      </c>
      <c r="BQ133" s="149">
        <f t="shared" ref="BQ133" si="270">SUM(BQ119:BQ132)</f>
        <v>0</v>
      </c>
      <c r="BR133" s="149">
        <f t="shared" ref="BR133:BU133" si="271">SUM(BR119:BR132)</f>
        <v>0</v>
      </c>
      <c r="BS133" s="149">
        <f t="shared" si="271"/>
        <v>0</v>
      </c>
      <c r="BT133" s="149">
        <f t="shared" si="271"/>
        <v>0</v>
      </c>
      <c r="BU133" s="149">
        <f t="shared" si="271"/>
        <v>75</v>
      </c>
      <c r="BV133" s="146">
        <f t="shared" ref="BV133:BX133" si="272">SUM(BV119:BV132)</f>
        <v>0</v>
      </c>
      <c r="BW133" s="146">
        <f t="shared" si="272"/>
        <v>0</v>
      </c>
      <c r="BX133" s="146">
        <f t="shared" si="272"/>
        <v>0</v>
      </c>
      <c r="BY133" s="146">
        <f t="shared" ref="BY133:BZ133" si="273">SUM(BY119:BY132)</f>
        <v>0</v>
      </c>
      <c r="BZ133" s="146">
        <f t="shared" si="273"/>
        <v>0</v>
      </c>
      <c r="CA133" s="146">
        <f t="shared" si="261"/>
        <v>0</v>
      </c>
      <c r="CB133" s="146">
        <f t="shared" si="261"/>
        <v>0</v>
      </c>
      <c r="CC133" s="265">
        <f t="shared" si="261"/>
        <v>0</v>
      </c>
      <c r="CD133" s="265">
        <f t="shared" si="261"/>
        <v>0</v>
      </c>
      <c r="CE133" s="265">
        <f t="shared" si="261"/>
        <v>0</v>
      </c>
      <c r="CF133" s="265">
        <f t="shared" si="261"/>
        <v>0</v>
      </c>
      <c r="CG133" s="265">
        <f t="shared" si="261"/>
        <v>0</v>
      </c>
      <c r="CH133" s="265">
        <f t="shared" si="261"/>
        <v>0</v>
      </c>
      <c r="CI133" s="265">
        <f t="shared" si="261"/>
        <v>0</v>
      </c>
      <c r="CJ133" s="265">
        <f t="shared" ref="CJ133" si="274">SUM(CJ119:CJ132)</f>
        <v>0</v>
      </c>
      <c r="CK133" s="265">
        <f t="shared" ref="CK133" si="275">SUM(CK119:CK132)</f>
        <v>0</v>
      </c>
      <c r="CL133" s="265">
        <f t="shared" si="261"/>
        <v>0</v>
      </c>
      <c r="CM133" s="265">
        <f t="shared" si="261"/>
        <v>0</v>
      </c>
      <c r="CN133" s="265">
        <f t="shared" ref="CN133:CQ133" si="276">SUM(CN119:CN132)</f>
        <v>0</v>
      </c>
      <c r="CO133" s="265">
        <f t="shared" si="276"/>
        <v>0</v>
      </c>
      <c r="CP133" s="265">
        <f t="shared" si="276"/>
        <v>0</v>
      </c>
      <c r="CQ133" s="265">
        <f t="shared" si="276"/>
        <v>0</v>
      </c>
      <c r="CR133" s="265">
        <f t="shared" si="261"/>
        <v>0</v>
      </c>
      <c r="CS133" s="281">
        <f t="shared" si="261"/>
        <v>0</v>
      </c>
      <c r="CT133" s="281">
        <f t="shared" ref="CT133" si="277">SUM(CT119:CT132)</f>
        <v>0</v>
      </c>
      <c r="CU133" s="281">
        <f t="shared" si="261"/>
        <v>0</v>
      </c>
      <c r="CV133" s="281">
        <f t="shared" ref="CV133:DE133" si="278">SUM(CV119:CV132)</f>
        <v>0</v>
      </c>
      <c r="CW133" s="281">
        <f t="shared" si="278"/>
        <v>0</v>
      </c>
      <c r="CX133" s="281">
        <f t="shared" si="278"/>
        <v>0</v>
      </c>
      <c r="CY133" s="281">
        <f t="shared" si="278"/>
        <v>0</v>
      </c>
      <c r="CZ133" s="281">
        <f t="shared" ref="CZ133" si="279">SUM(CZ119:CZ132)</f>
        <v>0</v>
      </c>
      <c r="DA133" s="281">
        <f t="shared" si="278"/>
        <v>0</v>
      </c>
      <c r="DB133" s="281">
        <f t="shared" si="278"/>
        <v>0</v>
      </c>
      <c r="DC133" s="281">
        <f t="shared" si="278"/>
        <v>0</v>
      </c>
      <c r="DD133" s="281">
        <f t="shared" ref="DD133" si="280">SUM(DD119:DD132)</f>
        <v>0</v>
      </c>
      <c r="DE133" s="281">
        <f t="shared" si="278"/>
        <v>0</v>
      </c>
      <c r="DF133" s="281">
        <f t="shared" ref="DF133:FD133" si="281">SUM(DF119:DF132)</f>
        <v>0</v>
      </c>
      <c r="DG133" s="281">
        <f t="shared" si="281"/>
        <v>0</v>
      </c>
      <c r="DH133" s="281">
        <f t="shared" si="281"/>
        <v>0</v>
      </c>
      <c r="DI133" s="281">
        <f t="shared" ref="DI133:DQ133" si="282">SUM(DI119:DI132)</f>
        <v>0</v>
      </c>
      <c r="DJ133" s="281">
        <f t="shared" si="282"/>
        <v>0</v>
      </c>
      <c r="DK133" s="281">
        <f t="shared" si="282"/>
        <v>0</v>
      </c>
      <c r="DL133" s="281">
        <f t="shared" si="282"/>
        <v>0</v>
      </c>
      <c r="DM133" s="281">
        <f t="shared" si="282"/>
        <v>0</v>
      </c>
      <c r="DN133" s="936">
        <f t="shared" si="282"/>
        <v>0</v>
      </c>
      <c r="DO133" s="148">
        <f t="shared" si="282"/>
        <v>0</v>
      </c>
      <c r="DP133" s="148">
        <f t="shared" si="282"/>
        <v>7.2</v>
      </c>
      <c r="DQ133" s="148">
        <f t="shared" si="282"/>
        <v>2.7200000000000002E-2</v>
      </c>
      <c r="DR133" s="148">
        <f t="shared" si="281"/>
        <v>0.16800000000000001</v>
      </c>
      <c r="DS133" s="148">
        <f t="shared" si="281"/>
        <v>4.5999999999999996</v>
      </c>
      <c r="DT133" s="148">
        <f t="shared" si="281"/>
        <v>5</v>
      </c>
      <c r="DU133" s="148">
        <f t="shared" si="281"/>
        <v>0</v>
      </c>
      <c r="DV133" s="148">
        <f t="shared" si="281"/>
        <v>0</v>
      </c>
      <c r="DW133" s="148">
        <f t="shared" si="281"/>
        <v>0</v>
      </c>
      <c r="DX133" s="148">
        <f t="shared" si="281"/>
        <v>0</v>
      </c>
      <c r="DY133" s="148">
        <f t="shared" ref="DY133:EO133" si="283">SUM(DY119:DY132)</f>
        <v>0</v>
      </c>
      <c r="DZ133" s="148">
        <f t="shared" si="283"/>
        <v>0</v>
      </c>
      <c r="EA133" s="148">
        <f t="shared" si="283"/>
        <v>531</v>
      </c>
      <c r="EB133" s="148">
        <f t="shared" si="283"/>
        <v>419.2</v>
      </c>
      <c r="EC133" s="148">
        <f t="shared" si="283"/>
        <v>200</v>
      </c>
      <c r="ED133" s="148">
        <f t="shared" si="283"/>
        <v>0</v>
      </c>
      <c r="EE133" s="148">
        <f t="shared" si="283"/>
        <v>0</v>
      </c>
      <c r="EF133" s="148">
        <f t="shared" si="283"/>
        <v>0</v>
      </c>
      <c r="EG133" s="148">
        <f t="shared" si="283"/>
        <v>0</v>
      </c>
      <c r="EH133" s="148">
        <f t="shared" si="283"/>
        <v>0</v>
      </c>
      <c r="EI133" s="148">
        <f t="shared" si="283"/>
        <v>0</v>
      </c>
      <c r="EJ133" s="148">
        <f t="shared" si="283"/>
        <v>0</v>
      </c>
      <c r="EK133" s="148">
        <f t="shared" si="283"/>
        <v>0</v>
      </c>
      <c r="EL133" s="148">
        <f t="shared" si="283"/>
        <v>0</v>
      </c>
      <c r="EM133" s="148">
        <f t="shared" si="283"/>
        <v>0</v>
      </c>
      <c r="EN133" s="148">
        <f t="shared" si="283"/>
        <v>0</v>
      </c>
      <c r="EO133" s="148">
        <f t="shared" si="283"/>
        <v>20</v>
      </c>
      <c r="EP133" s="148">
        <f t="shared" ref="EP133:EZ133" si="284">SUM(EP119:EP132)</f>
        <v>0</v>
      </c>
      <c r="EQ133" s="148">
        <f t="shared" si="284"/>
        <v>0</v>
      </c>
      <c r="ER133" s="148">
        <f t="shared" si="284"/>
        <v>0</v>
      </c>
      <c r="ES133" s="148">
        <f t="shared" si="284"/>
        <v>0</v>
      </c>
      <c r="ET133" s="148">
        <f t="shared" si="284"/>
        <v>0</v>
      </c>
      <c r="EU133" s="148">
        <f t="shared" si="284"/>
        <v>0</v>
      </c>
      <c r="EV133" s="148">
        <f t="shared" si="284"/>
        <v>0</v>
      </c>
      <c r="EW133" s="148">
        <f t="shared" si="284"/>
        <v>0</v>
      </c>
      <c r="EX133" s="148">
        <f t="shared" si="284"/>
        <v>0</v>
      </c>
      <c r="EY133" s="148">
        <f t="shared" si="284"/>
        <v>0</v>
      </c>
      <c r="EZ133" s="148">
        <f t="shared" si="284"/>
        <v>0</v>
      </c>
      <c r="FA133" s="150">
        <f t="shared" si="281"/>
        <v>795</v>
      </c>
      <c r="FB133" s="151">
        <f t="shared" si="281"/>
        <v>1384</v>
      </c>
      <c r="FC133" s="151">
        <f t="shared" si="281"/>
        <v>55.2</v>
      </c>
      <c r="FD133" s="152">
        <f t="shared" si="281"/>
        <v>25</v>
      </c>
      <c r="FE133" s="792" t="str">
        <f>IF(FB133&lt;инфо!$AN$75,FB133-инфо!$AN$75,"")</f>
        <v/>
      </c>
      <c r="FF133" s="153"/>
      <c r="FG133" s="153"/>
      <c r="FH133" s="153"/>
    </row>
    <row r="134" spans="2:164" ht="26.1" customHeight="1" outlineLevel="1" thickBot="1" x14ac:dyDescent="0.3">
      <c r="B134" s="1018"/>
      <c r="C134" s="1020"/>
      <c r="D134" s="1057" t="s">
        <v>117</v>
      </c>
      <c r="E134" s="1063" t="s">
        <v>114</v>
      </c>
      <c r="F134" s="842" t="s">
        <v>117</v>
      </c>
      <c r="G134" s="808" t="str">
        <f>VLOOKUP(H134,инфо!AD:AE,2,FALSE)</f>
        <v>Первые блюда</v>
      </c>
      <c r="H134" s="583" t="s">
        <v>1204</v>
      </c>
      <c r="I134" s="588" t="s">
        <v>1255</v>
      </c>
      <c r="J134" s="470"/>
      <c r="K134" s="471"/>
      <c r="L134" s="471"/>
      <c r="M134" s="471"/>
      <c r="N134" s="471"/>
      <c r="O134" s="471">
        <v>20</v>
      </c>
      <c r="P134" s="471"/>
      <c r="Q134" s="471"/>
      <c r="R134" s="471"/>
      <c r="S134" s="471"/>
      <c r="T134" s="471"/>
      <c r="U134" s="471"/>
      <c r="V134" s="471"/>
      <c r="W134" s="472"/>
      <c r="X134" s="472"/>
      <c r="Y134" s="472"/>
      <c r="Z134" s="472"/>
      <c r="AA134" s="472"/>
      <c r="AB134" s="472"/>
      <c r="AC134" s="472"/>
      <c r="AD134" s="472">
        <v>125</v>
      </c>
      <c r="AE134" s="472"/>
      <c r="AF134" s="472">
        <v>10</v>
      </c>
      <c r="AG134" s="472">
        <v>10</v>
      </c>
      <c r="AH134" s="472"/>
      <c r="AI134" s="472"/>
      <c r="AJ134" s="472"/>
      <c r="AK134" s="472"/>
      <c r="AL134" s="472"/>
      <c r="AM134" s="472"/>
      <c r="AN134" s="472"/>
      <c r="AO134" s="472">
        <v>5</v>
      </c>
      <c r="AP134" s="472"/>
      <c r="AQ134" s="472"/>
      <c r="AR134" s="472"/>
      <c r="AS134" s="472"/>
      <c r="AT134" s="472"/>
      <c r="AU134" s="472"/>
      <c r="AV134" s="472"/>
      <c r="AW134" s="472"/>
      <c r="AX134" s="472"/>
      <c r="AY134" s="472"/>
      <c r="AZ134" s="472"/>
      <c r="BA134" s="472"/>
      <c r="BB134" s="472"/>
      <c r="BC134" s="472"/>
      <c r="BD134" s="472"/>
      <c r="BE134" s="473"/>
      <c r="BF134" s="473"/>
      <c r="BG134" s="473"/>
      <c r="BH134" s="473"/>
      <c r="BI134" s="473"/>
      <c r="BJ134" s="473"/>
      <c r="BK134" s="473"/>
      <c r="BL134" s="473"/>
      <c r="BM134" s="473"/>
      <c r="BN134" s="474"/>
      <c r="BO134" s="474">
        <v>4</v>
      </c>
      <c r="BP134" s="474"/>
      <c r="BQ134" s="474"/>
      <c r="BR134" s="474"/>
      <c r="BS134" s="474"/>
      <c r="BT134" s="474"/>
      <c r="BU134" s="474"/>
      <c r="BV134" s="471"/>
      <c r="BW134" s="471"/>
      <c r="BX134" s="471"/>
      <c r="BY134" s="471"/>
      <c r="BZ134" s="471"/>
      <c r="CA134" s="471"/>
      <c r="CB134" s="471"/>
      <c r="CC134" s="475"/>
      <c r="CD134" s="475"/>
      <c r="CE134" s="475"/>
      <c r="CF134" s="475"/>
      <c r="CG134" s="475"/>
      <c r="CH134" s="475"/>
      <c r="CI134" s="475"/>
      <c r="CJ134" s="475"/>
      <c r="CK134" s="475"/>
      <c r="CL134" s="475"/>
      <c r="CM134" s="475"/>
      <c r="CN134" s="475"/>
      <c r="CO134" s="475"/>
      <c r="CP134" s="475"/>
      <c r="CQ134" s="475"/>
      <c r="CR134" s="475"/>
      <c r="CS134" s="476"/>
      <c r="CT134" s="476"/>
      <c r="CU134" s="476"/>
      <c r="CV134" s="476"/>
      <c r="CW134" s="476"/>
      <c r="CX134" s="476"/>
      <c r="CY134" s="476"/>
      <c r="CZ134" s="476"/>
      <c r="DA134" s="476"/>
      <c r="DB134" s="476"/>
      <c r="DC134" s="476"/>
      <c r="DD134" s="476"/>
      <c r="DE134" s="476"/>
      <c r="DF134" s="476"/>
      <c r="DG134" s="476"/>
      <c r="DH134" s="476"/>
      <c r="DI134" s="476"/>
      <c r="DJ134" s="476"/>
      <c r="DK134" s="476"/>
      <c r="DL134" s="476"/>
      <c r="DM134" s="476"/>
      <c r="DN134" s="942"/>
      <c r="DO134" s="477"/>
      <c r="DP134" s="477">
        <v>4</v>
      </c>
      <c r="DQ134" s="478">
        <v>0.02</v>
      </c>
      <c r="DR134" s="478">
        <v>0.05</v>
      </c>
      <c r="DS134" s="473"/>
      <c r="DT134" s="473"/>
      <c r="DU134" s="473"/>
      <c r="DV134" s="473"/>
      <c r="DW134" s="473"/>
      <c r="DX134" s="473"/>
      <c r="DY134" s="473"/>
      <c r="DZ134" s="473"/>
      <c r="EA134" s="473"/>
      <c r="EB134" s="473">
        <v>400</v>
      </c>
      <c r="EC134" s="473"/>
      <c r="ED134" s="473"/>
      <c r="EE134" s="473"/>
      <c r="EF134" s="473"/>
      <c r="EG134" s="473"/>
      <c r="EH134" s="473"/>
      <c r="EI134" s="473"/>
      <c r="EJ134" s="473"/>
      <c r="EK134" s="473"/>
      <c r="EL134" s="473"/>
      <c r="EM134" s="473"/>
      <c r="EN134" s="473"/>
      <c r="EO134" s="473"/>
      <c r="EP134" s="473"/>
      <c r="EQ134" s="473"/>
      <c r="ER134" s="473"/>
      <c r="ES134" s="473"/>
      <c r="ET134" s="473"/>
      <c r="EU134" s="473"/>
      <c r="EV134" s="473"/>
      <c r="EW134" s="473"/>
      <c r="EX134" s="473"/>
      <c r="EY134" s="473"/>
      <c r="EZ134" s="473"/>
      <c r="FA134" s="377">
        <v>250</v>
      </c>
      <c r="FB134" s="378">
        <v>500</v>
      </c>
      <c r="FC134" s="378"/>
      <c r="FD134" s="379">
        <f t="shared" ref="FD134:FD145" si="285">SUM(BE134:BG134,BI134,BL134:BM134)+SUM(BH134,BJ134,BK134)*5</f>
        <v>0</v>
      </c>
      <c r="FE134" s="790"/>
    </row>
    <row r="135" spans="2:164" ht="26.1" customHeight="1" outlineLevel="1" thickBot="1" x14ac:dyDescent="0.3">
      <c r="B135" s="1018"/>
      <c r="C135" s="1020"/>
      <c r="D135" s="1058"/>
      <c r="E135" s="1064"/>
      <c r="F135" s="843" t="s">
        <v>117</v>
      </c>
      <c r="G135" s="809" t="str">
        <f>VLOOKUP(H135,инфо!AD:AE,2,FALSE)</f>
        <v>Гарниры</v>
      </c>
      <c r="H135" s="584" t="s">
        <v>1199</v>
      </c>
      <c r="I135" s="572"/>
      <c r="J135" s="479"/>
      <c r="K135" s="480"/>
      <c r="L135" s="480"/>
      <c r="M135" s="480"/>
      <c r="N135" s="480"/>
      <c r="O135" s="480"/>
      <c r="P135" s="480"/>
      <c r="Q135" s="480"/>
      <c r="R135" s="480"/>
      <c r="S135" s="480"/>
      <c r="T135" s="480"/>
      <c r="U135" s="480"/>
      <c r="V135" s="480"/>
      <c r="W135" s="481"/>
      <c r="X135" s="481"/>
      <c r="Y135" s="481"/>
      <c r="Z135" s="481"/>
      <c r="AA135" s="481"/>
      <c r="AB135" s="481"/>
      <c r="AC135" s="481"/>
      <c r="AD135" s="481"/>
      <c r="AE135" s="481"/>
      <c r="AF135" s="481"/>
      <c r="AG135" s="481"/>
      <c r="AH135" s="481"/>
      <c r="AI135" s="481"/>
      <c r="AJ135" s="481"/>
      <c r="AK135" s="481"/>
      <c r="AL135" s="481"/>
      <c r="AM135" s="481"/>
      <c r="AN135" s="481"/>
      <c r="AO135" s="481"/>
      <c r="AP135" s="481"/>
      <c r="AQ135" s="481"/>
      <c r="AR135" s="481"/>
      <c r="AS135" s="481"/>
      <c r="AT135" s="481"/>
      <c r="AU135" s="481"/>
      <c r="AV135" s="481"/>
      <c r="AW135" s="481"/>
      <c r="AX135" s="481"/>
      <c r="AY135" s="481"/>
      <c r="AZ135" s="481"/>
      <c r="BA135" s="481"/>
      <c r="BB135" s="481"/>
      <c r="BC135" s="481"/>
      <c r="BD135" s="481"/>
      <c r="BE135" s="482"/>
      <c r="BF135" s="482"/>
      <c r="BG135" s="482"/>
      <c r="BH135" s="482"/>
      <c r="BI135" s="482"/>
      <c r="BJ135" s="482"/>
      <c r="BK135" s="482"/>
      <c r="BL135" s="482"/>
      <c r="BM135" s="482"/>
      <c r="BN135" s="483"/>
      <c r="BO135" s="483"/>
      <c r="BP135" s="483"/>
      <c r="BQ135" s="483"/>
      <c r="BR135" s="483"/>
      <c r="BS135" s="483"/>
      <c r="BT135" s="483"/>
      <c r="BU135" s="483"/>
      <c r="BV135" s="480"/>
      <c r="BW135" s="480"/>
      <c r="BX135" s="480"/>
      <c r="BY135" s="480"/>
      <c r="BZ135" s="480"/>
      <c r="CA135" s="480"/>
      <c r="CB135" s="480"/>
      <c r="CC135" s="484"/>
      <c r="CD135" s="484"/>
      <c r="CE135" s="484"/>
      <c r="CF135" s="484"/>
      <c r="CG135" s="484"/>
      <c r="CH135" s="484"/>
      <c r="CI135" s="484"/>
      <c r="CJ135" s="484"/>
      <c r="CK135" s="484"/>
      <c r="CL135" s="484"/>
      <c r="CM135" s="484"/>
      <c r="CN135" s="484"/>
      <c r="CO135" s="484"/>
      <c r="CP135" s="484"/>
      <c r="CQ135" s="484"/>
      <c r="CR135" s="484"/>
      <c r="CS135" s="485"/>
      <c r="CT135" s="485"/>
      <c r="CU135" s="485"/>
      <c r="CV135" s="485"/>
      <c r="CW135" s="485"/>
      <c r="CX135" s="485"/>
      <c r="CY135" s="485"/>
      <c r="CZ135" s="485"/>
      <c r="DA135" s="485"/>
      <c r="DB135" s="485"/>
      <c r="DC135" s="485"/>
      <c r="DD135" s="485"/>
      <c r="DE135" s="485"/>
      <c r="DF135" s="485"/>
      <c r="DG135" s="485"/>
      <c r="DH135" s="485"/>
      <c r="DI135" s="485"/>
      <c r="DJ135" s="485"/>
      <c r="DK135" s="485"/>
      <c r="DL135" s="485"/>
      <c r="DM135" s="485"/>
      <c r="DN135" s="943"/>
      <c r="DO135" s="486"/>
      <c r="DP135" s="486"/>
      <c r="DQ135" s="487"/>
      <c r="DR135" s="487"/>
      <c r="DS135" s="482"/>
      <c r="DT135" s="482"/>
      <c r="DU135" s="482"/>
      <c r="DV135" s="482"/>
      <c r="DW135" s="482"/>
      <c r="DX135" s="482"/>
      <c r="DY135" s="482"/>
      <c r="DZ135" s="482"/>
      <c r="EA135" s="482"/>
      <c r="EB135" s="482"/>
      <c r="EC135" s="482"/>
      <c r="ED135" s="482"/>
      <c r="EE135" s="482"/>
      <c r="EF135" s="482"/>
      <c r="EG135" s="482"/>
      <c r="EH135" s="482"/>
      <c r="EI135" s="482"/>
      <c r="EJ135" s="482"/>
      <c r="EK135" s="482"/>
      <c r="EL135" s="482"/>
      <c r="EM135" s="482"/>
      <c r="EN135" s="482"/>
      <c r="EO135" s="482"/>
      <c r="EP135" s="482"/>
      <c r="EQ135" s="482"/>
      <c r="ER135" s="482"/>
      <c r="ES135" s="482"/>
      <c r="ET135" s="482"/>
      <c r="EU135" s="482"/>
      <c r="EV135" s="482"/>
      <c r="EW135" s="482"/>
      <c r="EX135" s="482"/>
      <c r="EY135" s="482"/>
      <c r="EZ135" s="482"/>
      <c r="FA135" s="377"/>
      <c r="FB135" s="378"/>
      <c r="FC135" s="378"/>
      <c r="FD135" s="379">
        <f t="shared" si="285"/>
        <v>0</v>
      </c>
      <c r="FE135" s="790"/>
    </row>
    <row r="136" spans="2:164" ht="26.1" customHeight="1" outlineLevel="1" thickBot="1" x14ac:dyDescent="0.3">
      <c r="B136" s="1018"/>
      <c r="C136" s="1020"/>
      <c r="D136" s="1058"/>
      <c r="E136" s="1064"/>
      <c r="F136" s="843" t="s">
        <v>117</v>
      </c>
      <c r="G136" s="809" t="str">
        <f>VLOOKUP(H136,инфо!AD:AE,2,FALSE)</f>
        <v>Мясные (рыбные) блюда с соусом</v>
      </c>
      <c r="H136" s="584" t="s">
        <v>1208</v>
      </c>
      <c r="I136" s="572"/>
      <c r="J136" s="479"/>
      <c r="K136" s="480"/>
      <c r="L136" s="480"/>
      <c r="M136" s="480"/>
      <c r="N136" s="480"/>
      <c r="O136" s="480"/>
      <c r="P136" s="480"/>
      <c r="Q136" s="480"/>
      <c r="R136" s="480"/>
      <c r="S136" s="480"/>
      <c r="T136" s="480"/>
      <c r="U136" s="480"/>
      <c r="V136" s="480"/>
      <c r="W136" s="481"/>
      <c r="X136" s="481"/>
      <c r="Y136" s="481"/>
      <c r="Z136" s="481"/>
      <c r="AA136" s="481"/>
      <c r="AB136" s="481"/>
      <c r="AC136" s="481"/>
      <c r="AD136" s="481"/>
      <c r="AE136" s="481"/>
      <c r="AF136" s="481"/>
      <c r="AG136" s="481"/>
      <c r="AH136" s="481"/>
      <c r="AI136" s="481"/>
      <c r="AJ136" s="481"/>
      <c r="AK136" s="481"/>
      <c r="AL136" s="481"/>
      <c r="AM136" s="481"/>
      <c r="AN136" s="481"/>
      <c r="AO136" s="481"/>
      <c r="AP136" s="481"/>
      <c r="AQ136" s="481"/>
      <c r="AR136" s="481"/>
      <c r="AS136" s="481"/>
      <c r="AT136" s="481"/>
      <c r="AU136" s="481"/>
      <c r="AV136" s="481"/>
      <c r="AW136" s="481"/>
      <c r="AX136" s="481"/>
      <c r="AY136" s="481"/>
      <c r="AZ136" s="481"/>
      <c r="BA136" s="481"/>
      <c r="BB136" s="481"/>
      <c r="BC136" s="481"/>
      <c r="BD136" s="481"/>
      <c r="BE136" s="482"/>
      <c r="BF136" s="482"/>
      <c r="BG136" s="482"/>
      <c r="BH136" s="482"/>
      <c r="BI136" s="482"/>
      <c r="BJ136" s="482"/>
      <c r="BK136" s="482"/>
      <c r="BL136" s="482"/>
      <c r="BM136" s="482"/>
      <c r="BN136" s="483"/>
      <c r="BO136" s="483"/>
      <c r="BP136" s="483"/>
      <c r="BQ136" s="483"/>
      <c r="BR136" s="483"/>
      <c r="BS136" s="483"/>
      <c r="BT136" s="483"/>
      <c r="BU136" s="483"/>
      <c r="BV136" s="480"/>
      <c r="BW136" s="480"/>
      <c r="BX136" s="480"/>
      <c r="BY136" s="480"/>
      <c r="BZ136" s="480"/>
      <c r="CA136" s="480"/>
      <c r="CB136" s="480"/>
      <c r="CC136" s="484"/>
      <c r="CD136" s="484"/>
      <c r="CE136" s="484"/>
      <c r="CF136" s="484"/>
      <c r="CG136" s="484"/>
      <c r="CH136" s="484"/>
      <c r="CI136" s="484"/>
      <c r="CJ136" s="484"/>
      <c r="CK136" s="484"/>
      <c r="CL136" s="484"/>
      <c r="CM136" s="484"/>
      <c r="CN136" s="484"/>
      <c r="CO136" s="484"/>
      <c r="CP136" s="484"/>
      <c r="CQ136" s="484"/>
      <c r="CR136" s="484"/>
      <c r="CS136" s="485"/>
      <c r="CT136" s="485"/>
      <c r="CU136" s="485"/>
      <c r="CV136" s="485"/>
      <c r="CW136" s="485"/>
      <c r="CX136" s="485"/>
      <c r="CY136" s="485"/>
      <c r="CZ136" s="485"/>
      <c r="DA136" s="485"/>
      <c r="DB136" s="485"/>
      <c r="DC136" s="485"/>
      <c r="DD136" s="485"/>
      <c r="DE136" s="485"/>
      <c r="DF136" s="485"/>
      <c r="DG136" s="485"/>
      <c r="DH136" s="485"/>
      <c r="DI136" s="485"/>
      <c r="DJ136" s="485"/>
      <c r="DK136" s="485"/>
      <c r="DL136" s="485"/>
      <c r="DM136" s="485"/>
      <c r="DN136" s="943"/>
      <c r="DO136" s="486"/>
      <c r="DP136" s="486"/>
      <c r="DQ136" s="487"/>
      <c r="DR136" s="487"/>
      <c r="DS136" s="482"/>
      <c r="DT136" s="482"/>
      <c r="DU136" s="482"/>
      <c r="DV136" s="482"/>
      <c r="DW136" s="482"/>
      <c r="DX136" s="482"/>
      <c r="DY136" s="482"/>
      <c r="DZ136" s="482"/>
      <c r="EA136" s="482"/>
      <c r="EB136" s="482"/>
      <c r="EC136" s="482"/>
      <c r="ED136" s="482"/>
      <c r="EE136" s="482"/>
      <c r="EF136" s="482"/>
      <c r="EG136" s="482"/>
      <c r="EH136" s="482"/>
      <c r="EI136" s="482"/>
      <c r="EJ136" s="482"/>
      <c r="EK136" s="482"/>
      <c r="EL136" s="482"/>
      <c r="EM136" s="482"/>
      <c r="EN136" s="482"/>
      <c r="EO136" s="482"/>
      <c r="EP136" s="482"/>
      <c r="EQ136" s="482"/>
      <c r="ER136" s="482"/>
      <c r="ES136" s="482"/>
      <c r="ET136" s="482"/>
      <c r="EU136" s="482"/>
      <c r="EV136" s="482"/>
      <c r="EW136" s="482"/>
      <c r="EX136" s="482"/>
      <c r="EY136" s="482"/>
      <c r="EZ136" s="482"/>
      <c r="FA136" s="377"/>
      <c r="FB136" s="378"/>
      <c r="FC136" s="378"/>
      <c r="FD136" s="379">
        <f t="shared" si="285"/>
        <v>0</v>
      </c>
      <c r="FE136" s="790"/>
    </row>
    <row r="137" spans="2:164" ht="26.1" customHeight="1" outlineLevel="1" thickBot="1" x14ac:dyDescent="0.3">
      <c r="B137" s="1018"/>
      <c r="C137" s="1020"/>
      <c r="D137" s="1058"/>
      <c r="E137" s="1065"/>
      <c r="F137" s="844" t="s">
        <v>117</v>
      </c>
      <c r="G137" s="810" t="str">
        <f>VLOOKUP(H137,инфо!AD:AE,2,FALSE)</f>
        <v>Прочее</v>
      </c>
      <c r="H137" s="585" t="s">
        <v>1197</v>
      </c>
      <c r="I137" s="573"/>
      <c r="J137" s="488"/>
      <c r="K137" s="489"/>
      <c r="L137" s="489"/>
      <c r="M137" s="489"/>
      <c r="N137" s="489"/>
      <c r="O137" s="489"/>
      <c r="P137" s="489"/>
      <c r="Q137" s="489"/>
      <c r="R137" s="489"/>
      <c r="S137" s="489"/>
      <c r="T137" s="489"/>
      <c r="U137" s="489"/>
      <c r="V137" s="489"/>
      <c r="W137" s="490"/>
      <c r="X137" s="490"/>
      <c r="Y137" s="490"/>
      <c r="Z137" s="490"/>
      <c r="AA137" s="490"/>
      <c r="AB137" s="490"/>
      <c r="AC137" s="490"/>
      <c r="AD137" s="490"/>
      <c r="AE137" s="490"/>
      <c r="AF137" s="490"/>
      <c r="AG137" s="490"/>
      <c r="AH137" s="490"/>
      <c r="AI137" s="490"/>
      <c r="AJ137" s="490"/>
      <c r="AK137" s="490"/>
      <c r="AL137" s="490"/>
      <c r="AM137" s="490"/>
      <c r="AN137" s="490"/>
      <c r="AO137" s="490"/>
      <c r="AP137" s="490"/>
      <c r="AQ137" s="490"/>
      <c r="AR137" s="490"/>
      <c r="AS137" s="490"/>
      <c r="AT137" s="490"/>
      <c r="AU137" s="490"/>
      <c r="AV137" s="490"/>
      <c r="AW137" s="490"/>
      <c r="AX137" s="490"/>
      <c r="AY137" s="490"/>
      <c r="AZ137" s="490"/>
      <c r="BA137" s="490"/>
      <c r="BB137" s="490"/>
      <c r="BC137" s="490"/>
      <c r="BD137" s="490"/>
      <c r="BE137" s="491"/>
      <c r="BF137" s="491"/>
      <c r="BG137" s="491"/>
      <c r="BH137" s="491"/>
      <c r="BI137" s="491"/>
      <c r="BJ137" s="491"/>
      <c r="BK137" s="491"/>
      <c r="BL137" s="491"/>
      <c r="BM137" s="491"/>
      <c r="BN137" s="492"/>
      <c r="BO137" s="492"/>
      <c r="BP137" s="492"/>
      <c r="BQ137" s="492"/>
      <c r="BR137" s="492"/>
      <c r="BS137" s="492"/>
      <c r="BT137" s="492"/>
      <c r="BU137" s="492"/>
      <c r="BV137" s="489"/>
      <c r="BW137" s="489"/>
      <c r="BX137" s="489"/>
      <c r="BY137" s="489"/>
      <c r="BZ137" s="489"/>
      <c r="CA137" s="489"/>
      <c r="CB137" s="489"/>
      <c r="CC137" s="493"/>
      <c r="CD137" s="493"/>
      <c r="CE137" s="493"/>
      <c r="CF137" s="493"/>
      <c r="CG137" s="493"/>
      <c r="CH137" s="493"/>
      <c r="CI137" s="493"/>
      <c r="CJ137" s="493"/>
      <c r="CK137" s="493"/>
      <c r="CL137" s="493"/>
      <c r="CM137" s="493"/>
      <c r="CN137" s="493"/>
      <c r="CO137" s="493"/>
      <c r="CP137" s="493"/>
      <c r="CQ137" s="493"/>
      <c r="CR137" s="493"/>
      <c r="CS137" s="494"/>
      <c r="CT137" s="494"/>
      <c r="CU137" s="494"/>
      <c r="CV137" s="494"/>
      <c r="CW137" s="494"/>
      <c r="CX137" s="494"/>
      <c r="CY137" s="494"/>
      <c r="CZ137" s="494"/>
      <c r="DA137" s="494"/>
      <c r="DB137" s="494"/>
      <c r="DC137" s="494"/>
      <c r="DD137" s="494"/>
      <c r="DE137" s="494"/>
      <c r="DF137" s="494"/>
      <c r="DG137" s="494"/>
      <c r="DH137" s="494"/>
      <c r="DI137" s="494"/>
      <c r="DJ137" s="494"/>
      <c r="DK137" s="494"/>
      <c r="DL137" s="494"/>
      <c r="DM137" s="494"/>
      <c r="DN137" s="944"/>
      <c r="DO137" s="495"/>
      <c r="DP137" s="495"/>
      <c r="DQ137" s="496"/>
      <c r="DR137" s="496"/>
      <c r="DS137" s="491"/>
      <c r="DT137" s="491"/>
      <c r="DU137" s="491"/>
      <c r="DV137" s="491"/>
      <c r="DW137" s="491"/>
      <c r="DX137" s="491"/>
      <c r="DY137" s="491"/>
      <c r="DZ137" s="491"/>
      <c r="EA137" s="491"/>
      <c r="EB137" s="491"/>
      <c r="EC137" s="491"/>
      <c r="ED137" s="491"/>
      <c r="EE137" s="491"/>
      <c r="EF137" s="491"/>
      <c r="EG137" s="491"/>
      <c r="EH137" s="491"/>
      <c r="EI137" s="491"/>
      <c r="EJ137" s="491"/>
      <c r="EK137" s="491"/>
      <c r="EL137" s="491"/>
      <c r="EM137" s="491"/>
      <c r="EN137" s="491"/>
      <c r="EO137" s="491"/>
      <c r="EP137" s="491"/>
      <c r="EQ137" s="491"/>
      <c r="ER137" s="491"/>
      <c r="ES137" s="491"/>
      <c r="ET137" s="491"/>
      <c r="EU137" s="491"/>
      <c r="EV137" s="491"/>
      <c r="EW137" s="491"/>
      <c r="EX137" s="491"/>
      <c r="EY137" s="491"/>
      <c r="EZ137" s="491"/>
      <c r="FA137" s="389"/>
      <c r="FB137" s="390"/>
      <c r="FC137" s="390"/>
      <c r="FD137" s="391">
        <f t="shared" si="285"/>
        <v>0</v>
      </c>
      <c r="FE137" s="790"/>
    </row>
    <row r="138" spans="2:164" ht="26.1" customHeight="1" outlineLevel="1" thickBot="1" x14ac:dyDescent="0.3">
      <c r="B138" s="1018"/>
      <c r="C138" s="1020"/>
      <c r="D138" s="1058"/>
      <c r="E138" s="1064" t="s">
        <v>115</v>
      </c>
      <c r="F138" s="842" t="s">
        <v>117</v>
      </c>
      <c r="G138" s="808" t="str">
        <f>VLOOKUP(H138,инфо!AD:AE,2,FALSE)</f>
        <v>Гарниры</v>
      </c>
      <c r="H138" s="586" t="s">
        <v>1198</v>
      </c>
      <c r="I138" s="588" t="s">
        <v>1014</v>
      </c>
      <c r="J138" s="497"/>
      <c r="K138" s="498"/>
      <c r="L138" s="498"/>
      <c r="M138" s="498"/>
      <c r="N138" s="498"/>
      <c r="O138" s="498"/>
      <c r="P138" s="498"/>
      <c r="Q138" s="498">
        <v>83</v>
      </c>
      <c r="R138" s="498"/>
      <c r="S138" s="498"/>
      <c r="T138" s="498"/>
      <c r="U138" s="498"/>
      <c r="V138" s="498"/>
      <c r="W138" s="499"/>
      <c r="X138" s="499"/>
      <c r="Y138" s="499"/>
      <c r="Z138" s="499"/>
      <c r="AA138" s="499"/>
      <c r="AB138" s="499"/>
      <c r="AC138" s="499"/>
      <c r="AD138" s="499"/>
      <c r="AE138" s="499"/>
      <c r="AF138" s="499"/>
      <c r="AG138" s="499"/>
      <c r="AH138" s="499"/>
      <c r="AI138" s="499"/>
      <c r="AJ138" s="499"/>
      <c r="AK138" s="499"/>
      <c r="AL138" s="499"/>
      <c r="AM138" s="499"/>
      <c r="AN138" s="499"/>
      <c r="AO138" s="499"/>
      <c r="AP138" s="499"/>
      <c r="AQ138" s="499"/>
      <c r="AR138" s="499"/>
      <c r="AS138" s="499"/>
      <c r="AT138" s="499"/>
      <c r="AU138" s="499"/>
      <c r="AV138" s="499"/>
      <c r="AW138" s="499"/>
      <c r="AX138" s="499"/>
      <c r="AY138" s="499"/>
      <c r="AZ138" s="499"/>
      <c r="BA138" s="499"/>
      <c r="BB138" s="499"/>
      <c r="BC138" s="499"/>
      <c r="BD138" s="499"/>
      <c r="BE138" s="500"/>
      <c r="BF138" s="500"/>
      <c r="BG138" s="500"/>
      <c r="BH138" s="500"/>
      <c r="BI138" s="500"/>
      <c r="BJ138" s="500"/>
      <c r="BK138" s="500"/>
      <c r="BL138" s="500"/>
      <c r="BM138" s="500"/>
      <c r="BN138" s="501"/>
      <c r="BO138" s="501"/>
      <c r="BP138" s="501"/>
      <c r="BQ138" s="501"/>
      <c r="BR138" s="501"/>
      <c r="BS138" s="501"/>
      <c r="BT138" s="501"/>
      <c r="BU138" s="501"/>
      <c r="BV138" s="498"/>
      <c r="BW138" s="498"/>
      <c r="BX138" s="498"/>
      <c r="BY138" s="498"/>
      <c r="BZ138" s="498"/>
      <c r="CA138" s="498"/>
      <c r="CB138" s="498"/>
      <c r="CC138" s="502"/>
      <c r="CD138" s="502"/>
      <c r="CE138" s="502"/>
      <c r="CF138" s="502"/>
      <c r="CG138" s="502"/>
      <c r="CH138" s="502"/>
      <c r="CI138" s="502"/>
      <c r="CJ138" s="502"/>
      <c r="CK138" s="502"/>
      <c r="CL138" s="502"/>
      <c r="CM138" s="502"/>
      <c r="CN138" s="502"/>
      <c r="CO138" s="502"/>
      <c r="CP138" s="502"/>
      <c r="CQ138" s="502"/>
      <c r="CR138" s="502"/>
      <c r="CS138" s="503"/>
      <c r="CT138" s="503"/>
      <c r="CU138" s="503"/>
      <c r="CV138" s="503"/>
      <c r="CW138" s="503"/>
      <c r="CX138" s="503"/>
      <c r="CY138" s="503"/>
      <c r="CZ138" s="503"/>
      <c r="DA138" s="503"/>
      <c r="DB138" s="503"/>
      <c r="DC138" s="503"/>
      <c r="DD138" s="503"/>
      <c r="DE138" s="503"/>
      <c r="DF138" s="503"/>
      <c r="DG138" s="503"/>
      <c r="DH138" s="503"/>
      <c r="DI138" s="503"/>
      <c r="DJ138" s="503"/>
      <c r="DK138" s="503"/>
      <c r="DL138" s="503"/>
      <c r="DM138" s="503"/>
      <c r="DN138" s="945"/>
      <c r="DO138" s="504"/>
      <c r="DP138" s="504">
        <v>3</v>
      </c>
      <c r="DQ138" s="505"/>
      <c r="DR138" s="505"/>
      <c r="DS138" s="500"/>
      <c r="DT138" s="500"/>
      <c r="DU138" s="500"/>
      <c r="DV138" s="500"/>
      <c r="DW138" s="500"/>
      <c r="DX138" s="500"/>
      <c r="DY138" s="500"/>
      <c r="DZ138" s="500"/>
      <c r="EA138" s="500">
        <v>307.10000000000002</v>
      </c>
      <c r="EB138" s="500"/>
      <c r="EC138" s="500"/>
      <c r="ED138" s="500"/>
      <c r="EE138" s="500"/>
      <c r="EF138" s="500"/>
      <c r="EG138" s="500"/>
      <c r="EH138" s="500"/>
      <c r="EI138" s="500"/>
      <c r="EJ138" s="500"/>
      <c r="EK138" s="500"/>
      <c r="EL138" s="500"/>
      <c r="EM138" s="500"/>
      <c r="EN138" s="500"/>
      <c r="EO138" s="500"/>
      <c r="EP138" s="500"/>
      <c r="EQ138" s="500"/>
      <c r="ER138" s="500"/>
      <c r="ES138" s="500"/>
      <c r="ET138" s="500"/>
      <c r="EU138" s="500"/>
      <c r="EV138" s="500"/>
      <c r="EW138" s="500"/>
      <c r="EX138" s="500"/>
      <c r="EY138" s="500"/>
      <c r="EZ138" s="500"/>
      <c r="FA138" s="364">
        <v>415</v>
      </c>
      <c r="FB138" s="365">
        <v>374</v>
      </c>
      <c r="FC138" s="365"/>
      <c r="FD138" s="367">
        <f t="shared" si="285"/>
        <v>0</v>
      </c>
      <c r="FE138" s="790"/>
    </row>
    <row r="139" spans="2:164" ht="26.1" customHeight="1" outlineLevel="1" thickBot="1" x14ac:dyDescent="0.3">
      <c r="B139" s="1018"/>
      <c r="C139" s="1020"/>
      <c r="D139" s="1058"/>
      <c r="E139" s="1064"/>
      <c r="F139" s="843" t="s">
        <v>117</v>
      </c>
      <c r="G139" s="809" t="str">
        <f>VLOOKUP(H139,инфо!AD:AE,2,FALSE)</f>
        <v>Мясные (рыбные) блюда с соусом</v>
      </c>
      <c r="H139" s="584" t="s">
        <v>1208</v>
      </c>
      <c r="I139" s="589" t="s">
        <v>785</v>
      </c>
      <c r="J139" s="479"/>
      <c r="K139" s="480"/>
      <c r="L139" s="480"/>
      <c r="M139" s="480"/>
      <c r="N139" s="480"/>
      <c r="O139" s="480"/>
      <c r="P139" s="480"/>
      <c r="Q139" s="480"/>
      <c r="R139" s="480"/>
      <c r="S139" s="480"/>
      <c r="T139" s="480"/>
      <c r="U139" s="480"/>
      <c r="V139" s="480"/>
      <c r="W139" s="481"/>
      <c r="X139" s="481">
        <v>7</v>
      </c>
      <c r="Y139" s="481"/>
      <c r="Z139" s="481"/>
      <c r="AA139" s="481"/>
      <c r="AB139" s="481"/>
      <c r="AC139" s="481"/>
      <c r="AD139" s="481"/>
      <c r="AE139" s="481"/>
      <c r="AF139" s="481"/>
      <c r="AG139" s="481"/>
      <c r="AH139" s="481"/>
      <c r="AI139" s="481"/>
      <c r="AJ139" s="481"/>
      <c r="AK139" s="481"/>
      <c r="AL139" s="481"/>
      <c r="AM139" s="481"/>
      <c r="AN139" s="481"/>
      <c r="AO139" s="481"/>
      <c r="AP139" s="481"/>
      <c r="AQ139" s="481"/>
      <c r="AR139" s="481"/>
      <c r="AS139" s="481"/>
      <c r="AT139" s="481"/>
      <c r="AU139" s="481"/>
      <c r="AV139" s="481"/>
      <c r="AW139" s="481"/>
      <c r="AX139" s="481"/>
      <c r="AY139" s="481"/>
      <c r="AZ139" s="481"/>
      <c r="BA139" s="481"/>
      <c r="BB139" s="481"/>
      <c r="BC139" s="481"/>
      <c r="BD139" s="481"/>
      <c r="BE139" s="482"/>
      <c r="BF139" s="482"/>
      <c r="BG139" s="482"/>
      <c r="BH139" s="482"/>
      <c r="BI139" s="482"/>
      <c r="BJ139" s="482"/>
      <c r="BK139" s="482"/>
      <c r="BL139" s="482"/>
      <c r="BM139" s="482"/>
      <c r="BN139" s="483"/>
      <c r="BO139" s="483">
        <v>5</v>
      </c>
      <c r="BP139" s="483"/>
      <c r="BQ139" s="483"/>
      <c r="BR139" s="483"/>
      <c r="BS139" s="483"/>
      <c r="BT139" s="483"/>
      <c r="BU139" s="483"/>
      <c r="BV139" s="480"/>
      <c r="BW139" s="480"/>
      <c r="BX139" s="480"/>
      <c r="BY139" s="480"/>
      <c r="BZ139" s="480"/>
      <c r="CA139" s="480"/>
      <c r="CB139" s="480"/>
      <c r="CC139" s="484"/>
      <c r="CD139" s="484"/>
      <c r="CE139" s="484"/>
      <c r="CF139" s="484"/>
      <c r="CG139" s="484"/>
      <c r="CH139" s="484"/>
      <c r="CI139" s="484"/>
      <c r="CJ139" s="484"/>
      <c r="CK139" s="484"/>
      <c r="CL139" s="484"/>
      <c r="CM139" s="484"/>
      <c r="CN139" s="484"/>
      <c r="CO139" s="484">
        <v>120</v>
      </c>
      <c r="CP139" s="484"/>
      <c r="CQ139" s="484"/>
      <c r="CR139" s="484"/>
      <c r="CS139" s="485"/>
      <c r="CT139" s="485"/>
      <c r="CU139" s="485"/>
      <c r="CV139" s="485"/>
      <c r="CW139" s="485"/>
      <c r="CX139" s="485"/>
      <c r="CY139" s="485"/>
      <c r="CZ139" s="485"/>
      <c r="DA139" s="485"/>
      <c r="DB139" s="485"/>
      <c r="DC139" s="485"/>
      <c r="DD139" s="485"/>
      <c r="DE139" s="485"/>
      <c r="DF139" s="485"/>
      <c r="DG139" s="485"/>
      <c r="DH139" s="485"/>
      <c r="DI139" s="485"/>
      <c r="DJ139" s="485"/>
      <c r="DK139" s="485"/>
      <c r="DL139" s="485"/>
      <c r="DM139" s="485"/>
      <c r="DN139" s="943"/>
      <c r="DO139" s="486"/>
      <c r="DP139" s="486">
        <v>2</v>
      </c>
      <c r="DQ139" s="487"/>
      <c r="DR139" s="487">
        <v>0.01</v>
      </c>
      <c r="DS139" s="482"/>
      <c r="DT139" s="482"/>
      <c r="DU139" s="482"/>
      <c r="DV139" s="482"/>
      <c r="DW139" s="482"/>
      <c r="DX139" s="482"/>
      <c r="DY139" s="482"/>
      <c r="DZ139" s="482"/>
      <c r="EA139" s="482"/>
      <c r="EB139" s="482"/>
      <c r="EC139" s="482"/>
      <c r="ED139" s="482"/>
      <c r="EE139" s="482"/>
      <c r="EF139" s="482"/>
      <c r="EG139" s="482"/>
      <c r="EH139" s="482"/>
      <c r="EI139" s="482"/>
      <c r="EJ139" s="482"/>
      <c r="EK139" s="482"/>
      <c r="EL139" s="482"/>
      <c r="EM139" s="482"/>
      <c r="EN139" s="482"/>
      <c r="EO139" s="482"/>
      <c r="EP139" s="482"/>
      <c r="EQ139" s="482"/>
      <c r="ER139" s="482"/>
      <c r="ES139" s="482"/>
      <c r="ET139" s="482"/>
      <c r="EU139" s="482"/>
      <c r="EV139" s="482"/>
      <c r="EW139" s="482"/>
      <c r="EX139" s="482"/>
      <c r="EY139" s="482"/>
      <c r="EZ139" s="482"/>
      <c r="FA139" s="377"/>
      <c r="FB139" s="378">
        <v>88.8</v>
      </c>
      <c r="FC139" s="378">
        <v>88.8</v>
      </c>
      <c r="FD139" s="379">
        <f t="shared" si="285"/>
        <v>0</v>
      </c>
      <c r="FE139" s="790"/>
    </row>
    <row r="140" spans="2:164" ht="26.1" customHeight="1" outlineLevel="1" thickBot="1" x14ac:dyDescent="0.3">
      <c r="B140" s="1018"/>
      <c r="C140" s="1020"/>
      <c r="D140" s="1058"/>
      <c r="E140" s="1064"/>
      <c r="F140" s="843" t="s">
        <v>117</v>
      </c>
      <c r="G140" s="809" t="str">
        <f>VLOOKUP(H140,инфо!AD:AE,2,FALSE)</f>
        <v>Прочее</v>
      </c>
      <c r="H140" s="584" t="s">
        <v>1197</v>
      </c>
      <c r="I140" s="589" t="s">
        <v>292</v>
      </c>
      <c r="J140" s="479"/>
      <c r="K140" s="480"/>
      <c r="L140" s="480"/>
      <c r="M140" s="480"/>
      <c r="N140" s="480"/>
      <c r="O140" s="480"/>
      <c r="P140" s="480"/>
      <c r="Q140" s="480"/>
      <c r="R140" s="480"/>
      <c r="S140" s="480"/>
      <c r="T140" s="480"/>
      <c r="U140" s="480"/>
      <c r="V140" s="480"/>
      <c r="W140" s="481"/>
      <c r="X140" s="481"/>
      <c r="Y140" s="481"/>
      <c r="Z140" s="481"/>
      <c r="AA140" s="481"/>
      <c r="AB140" s="481"/>
      <c r="AC140" s="481"/>
      <c r="AD140" s="481"/>
      <c r="AE140" s="481"/>
      <c r="AF140" s="481"/>
      <c r="AG140" s="481"/>
      <c r="AH140" s="481"/>
      <c r="AI140" s="481"/>
      <c r="AJ140" s="481"/>
      <c r="AK140" s="481"/>
      <c r="AL140" s="481"/>
      <c r="AM140" s="481"/>
      <c r="AN140" s="481"/>
      <c r="AO140" s="481"/>
      <c r="AP140" s="481"/>
      <c r="AQ140" s="481"/>
      <c r="AR140" s="481"/>
      <c r="AS140" s="481"/>
      <c r="AT140" s="481"/>
      <c r="AU140" s="481"/>
      <c r="AV140" s="481"/>
      <c r="AW140" s="481"/>
      <c r="AX140" s="481"/>
      <c r="AY140" s="481"/>
      <c r="AZ140" s="481"/>
      <c r="BA140" s="481"/>
      <c r="BB140" s="481">
        <v>37.5</v>
      </c>
      <c r="BC140" s="481"/>
      <c r="BD140" s="481"/>
      <c r="BE140" s="482"/>
      <c r="BF140" s="482"/>
      <c r="BG140" s="482"/>
      <c r="BH140" s="482"/>
      <c r="BI140" s="482"/>
      <c r="BJ140" s="482"/>
      <c r="BK140" s="482"/>
      <c r="BL140" s="482"/>
      <c r="BM140" s="482"/>
      <c r="BN140" s="483"/>
      <c r="BO140" s="483"/>
      <c r="BP140" s="483"/>
      <c r="BQ140" s="483"/>
      <c r="BR140" s="483"/>
      <c r="BS140" s="483"/>
      <c r="BT140" s="483"/>
      <c r="BU140" s="483"/>
      <c r="BV140" s="480"/>
      <c r="BW140" s="480"/>
      <c r="BX140" s="480"/>
      <c r="BY140" s="480"/>
      <c r="BZ140" s="480"/>
      <c r="CA140" s="480"/>
      <c r="CB140" s="480"/>
      <c r="CC140" s="484"/>
      <c r="CD140" s="484"/>
      <c r="CE140" s="484"/>
      <c r="CF140" s="484"/>
      <c r="CG140" s="484"/>
      <c r="CH140" s="484"/>
      <c r="CI140" s="484"/>
      <c r="CJ140" s="484"/>
      <c r="CK140" s="484"/>
      <c r="CL140" s="484"/>
      <c r="CM140" s="484"/>
      <c r="CN140" s="484"/>
      <c r="CO140" s="484"/>
      <c r="CP140" s="484"/>
      <c r="CQ140" s="484"/>
      <c r="CR140" s="484"/>
      <c r="CS140" s="485"/>
      <c r="CT140" s="485"/>
      <c r="CU140" s="485"/>
      <c r="CV140" s="485"/>
      <c r="CW140" s="485"/>
      <c r="CX140" s="485"/>
      <c r="CY140" s="485"/>
      <c r="CZ140" s="485"/>
      <c r="DA140" s="485"/>
      <c r="DB140" s="485"/>
      <c r="DC140" s="485"/>
      <c r="DD140" s="485"/>
      <c r="DE140" s="485"/>
      <c r="DF140" s="485"/>
      <c r="DG140" s="485"/>
      <c r="DH140" s="485"/>
      <c r="DI140" s="485"/>
      <c r="DJ140" s="485"/>
      <c r="DK140" s="485"/>
      <c r="DL140" s="485"/>
      <c r="DM140" s="485"/>
      <c r="DN140" s="943"/>
      <c r="DO140" s="486"/>
      <c r="DP140" s="486"/>
      <c r="DQ140" s="487"/>
      <c r="DR140" s="487"/>
      <c r="DS140" s="482"/>
      <c r="DT140" s="482"/>
      <c r="DU140" s="482"/>
      <c r="DV140" s="482"/>
      <c r="DW140" s="482"/>
      <c r="DX140" s="482"/>
      <c r="DY140" s="482"/>
      <c r="DZ140" s="482"/>
      <c r="EA140" s="482"/>
      <c r="EB140" s="482"/>
      <c r="EC140" s="482"/>
      <c r="ED140" s="482"/>
      <c r="EE140" s="482"/>
      <c r="EF140" s="482"/>
      <c r="EG140" s="482"/>
      <c r="EH140" s="482"/>
      <c r="EI140" s="482"/>
      <c r="EJ140" s="482"/>
      <c r="EK140" s="482"/>
      <c r="EL140" s="482"/>
      <c r="EM140" s="482"/>
      <c r="EN140" s="482"/>
      <c r="EO140" s="482"/>
      <c r="EP140" s="482"/>
      <c r="EQ140" s="482"/>
      <c r="ER140" s="482"/>
      <c r="ES140" s="482"/>
      <c r="ET140" s="482"/>
      <c r="EU140" s="482"/>
      <c r="EV140" s="482"/>
      <c r="EW140" s="482"/>
      <c r="EX140" s="482"/>
      <c r="EY140" s="482"/>
      <c r="EZ140" s="482"/>
      <c r="FA140" s="377">
        <v>37.5</v>
      </c>
      <c r="FB140" s="378">
        <v>37.5</v>
      </c>
      <c r="FC140" s="378"/>
      <c r="FD140" s="379">
        <f t="shared" si="285"/>
        <v>0</v>
      </c>
      <c r="FE140" s="790"/>
    </row>
    <row r="141" spans="2:164" ht="26.1" customHeight="1" outlineLevel="1" thickBot="1" x14ac:dyDescent="0.3">
      <c r="B141" s="1018"/>
      <c r="C141" s="1020"/>
      <c r="D141" s="1058"/>
      <c r="E141" s="1064"/>
      <c r="F141" s="845" t="s">
        <v>117</v>
      </c>
      <c r="G141" s="811" t="str">
        <f>VLOOKUP(H141,инфо!AD:AE,2,FALSE)</f>
        <v>Прочее</v>
      </c>
      <c r="H141" s="587" t="s">
        <v>1197</v>
      </c>
      <c r="I141" s="606" t="s">
        <v>50</v>
      </c>
      <c r="J141" s="506"/>
      <c r="K141" s="507"/>
      <c r="L141" s="507"/>
      <c r="M141" s="507"/>
      <c r="N141" s="507"/>
      <c r="O141" s="507"/>
      <c r="P141" s="507"/>
      <c r="Q141" s="507"/>
      <c r="R141" s="507"/>
      <c r="S141" s="507"/>
      <c r="T141" s="507"/>
      <c r="U141" s="507"/>
      <c r="V141" s="507"/>
      <c r="W141" s="508"/>
      <c r="X141" s="508"/>
      <c r="Y141" s="508"/>
      <c r="Z141" s="508">
        <v>50</v>
      </c>
      <c r="AA141" s="508">
        <v>100</v>
      </c>
      <c r="AB141" s="508"/>
      <c r="AC141" s="508"/>
      <c r="AD141" s="508"/>
      <c r="AE141" s="508"/>
      <c r="AF141" s="508"/>
      <c r="AG141" s="508"/>
      <c r="AH141" s="508"/>
      <c r="AI141" s="508"/>
      <c r="AJ141" s="508"/>
      <c r="AK141" s="508"/>
      <c r="AL141" s="508"/>
      <c r="AM141" s="508"/>
      <c r="AN141" s="508"/>
      <c r="AO141" s="508"/>
      <c r="AP141" s="508"/>
      <c r="AQ141" s="508"/>
      <c r="AR141" s="508"/>
      <c r="AS141" s="508"/>
      <c r="AT141" s="508"/>
      <c r="AU141" s="508"/>
      <c r="AV141" s="508"/>
      <c r="AW141" s="508"/>
      <c r="AX141" s="508"/>
      <c r="AY141" s="508"/>
      <c r="AZ141" s="508"/>
      <c r="BA141" s="508"/>
      <c r="BB141" s="508"/>
      <c r="BC141" s="508"/>
      <c r="BD141" s="508"/>
      <c r="BE141" s="509"/>
      <c r="BF141" s="509"/>
      <c r="BG141" s="509"/>
      <c r="BH141" s="509"/>
      <c r="BI141" s="509"/>
      <c r="BJ141" s="509"/>
      <c r="BK141" s="509"/>
      <c r="BL141" s="509"/>
      <c r="BM141" s="509"/>
      <c r="BN141" s="510"/>
      <c r="BO141" s="510"/>
      <c r="BP141" s="510"/>
      <c r="BQ141" s="510"/>
      <c r="BR141" s="510"/>
      <c r="BS141" s="510"/>
      <c r="BT141" s="510"/>
      <c r="BU141" s="510"/>
      <c r="BV141" s="507"/>
      <c r="BW141" s="507"/>
      <c r="BX141" s="507"/>
      <c r="BY141" s="507"/>
      <c r="BZ141" s="507"/>
      <c r="CA141" s="507"/>
      <c r="CB141" s="507"/>
      <c r="CC141" s="511"/>
      <c r="CD141" s="511"/>
      <c r="CE141" s="511"/>
      <c r="CF141" s="511"/>
      <c r="CG141" s="511"/>
      <c r="CH141" s="511"/>
      <c r="CI141" s="511"/>
      <c r="CJ141" s="511"/>
      <c r="CK141" s="511"/>
      <c r="CL141" s="511"/>
      <c r="CM141" s="511"/>
      <c r="CN141" s="511"/>
      <c r="CO141" s="511"/>
      <c r="CP141" s="511"/>
      <c r="CQ141" s="511"/>
      <c r="CR141" s="511"/>
      <c r="CS141" s="512"/>
      <c r="CT141" s="512"/>
      <c r="CU141" s="512"/>
      <c r="CV141" s="512"/>
      <c r="CW141" s="512"/>
      <c r="CX141" s="512"/>
      <c r="CY141" s="512"/>
      <c r="CZ141" s="512"/>
      <c r="DA141" s="512"/>
      <c r="DB141" s="512"/>
      <c r="DC141" s="512"/>
      <c r="DD141" s="512"/>
      <c r="DE141" s="512"/>
      <c r="DF141" s="512"/>
      <c r="DG141" s="512"/>
      <c r="DH141" s="512"/>
      <c r="DI141" s="512"/>
      <c r="DJ141" s="512"/>
      <c r="DK141" s="512"/>
      <c r="DL141" s="512"/>
      <c r="DM141" s="512"/>
      <c r="DN141" s="946"/>
      <c r="DO141" s="513"/>
      <c r="DP141" s="513"/>
      <c r="DQ141" s="514"/>
      <c r="DR141" s="514"/>
      <c r="DS141" s="509"/>
      <c r="DT141" s="509"/>
      <c r="DU141" s="509"/>
      <c r="DV141" s="509"/>
      <c r="DW141" s="509"/>
      <c r="DX141" s="509"/>
      <c r="DY141" s="509"/>
      <c r="DZ141" s="509"/>
      <c r="EA141" s="509"/>
      <c r="EB141" s="509"/>
      <c r="EC141" s="509"/>
      <c r="ED141" s="509"/>
      <c r="EE141" s="509"/>
      <c r="EF141" s="509"/>
      <c r="EG141" s="509"/>
      <c r="EH141" s="509"/>
      <c r="EI141" s="509"/>
      <c r="EJ141" s="509"/>
      <c r="EK141" s="509"/>
      <c r="EL141" s="509"/>
      <c r="EM141" s="509"/>
      <c r="EN141" s="509"/>
      <c r="EO141" s="509"/>
      <c r="EP141" s="509"/>
      <c r="EQ141" s="509"/>
      <c r="ER141" s="509"/>
      <c r="ES141" s="509"/>
      <c r="ET141" s="509"/>
      <c r="EU141" s="509"/>
      <c r="EV141" s="509"/>
      <c r="EW141" s="509"/>
      <c r="EX141" s="509"/>
      <c r="EY141" s="509"/>
      <c r="EZ141" s="509"/>
      <c r="FA141" s="402"/>
      <c r="FB141" s="403">
        <v>150</v>
      </c>
      <c r="FC141" s="403"/>
      <c r="FD141" s="404">
        <f t="shared" si="285"/>
        <v>0</v>
      </c>
      <c r="FE141" s="790"/>
    </row>
    <row r="142" spans="2:164" ht="26.1" customHeight="1" outlineLevel="1" thickBot="1" x14ac:dyDescent="0.3">
      <c r="B142" s="1018"/>
      <c r="C142" s="1020"/>
      <c r="D142" s="1058"/>
      <c r="E142" s="1063" t="s">
        <v>116</v>
      </c>
      <c r="F142" s="846" t="s">
        <v>117</v>
      </c>
      <c r="G142" s="812" t="str">
        <f>VLOOKUP(H142,инфо!AD:AE,2,FALSE)</f>
        <v>Прочее</v>
      </c>
      <c r="H142" s="583" t="s">
        <v>1197</v>
      </c>
      <c r="I142" s="588" t="s">
        <v>60</v>
      </c>
      <c r="J142" s="470"/>
      <c r="K142" s="471"/>
      <c r="L142" s="471"/>
      <c r="M142" s="471"/>
      <c r="N142" s="471"/>
      <c r="O142" s="471"/>
      <c r="P142" s="471"/>
      <c r="Q142" s="471"/>
      <c r="R142" s="471"/>
      <c r="S142" s="471"/>
      <c r="T142" s="471"/>
      <c r="U142" s="471"/>
      <c r="V142" s="471"/>
      <c r="W142" s="472"/>
      <c r="X142" s="472"/>
      <c r="Y142" s="472"/>
      <c r="Z142" s="472"/>
      <c r="AA142" s="472"/>
      <c r="AB142" s="472"/>
      <c r="AC142" s="472"/>
      <c r="AD142" s="472"/>
      <c r="AE142" s="472"/>
      <c r="AF142" s="472"/>
      <c r="AG142" s="472"/>
      <c r="AH142" s="472"/>
      <c r="AI142" s="472"/>
      <c r="AJ142" s="472"/>
      <c r="AK142" s="472"/>
      <c r="AL142" s="472"/>
      <c r="AM142" s="472"/>
      <c r="AN142" s="472"/>
      <c r="AO142" s="472"/>
      <c r="AP142" s="472"/>
      <c r="AQ142" s="472"/>
      <c r="AR142" s="472"/>
      <c r="AS142" s="472"/>
      <c r="AT142" s="472"/>
      <c r="AU142" s="472"/>
      <c r="AV142" s="472"/>
      <c r="AW142" s="472"/>
      <c r="AX142" s="472"/>
      <c r="AY142" s="472"/>
      <c r="AZ142" s="472"/>
      <c r="BA142" s="472"/>
      <c r="BB142" s="472"/>
      <c r="BC142" s="472"/>
      <c r="BD142" s="472"/>
      <c r="BE142" s="473"/>
      <c r="BF142" s="473"/>
      <c r="BG142" s="473"/>
      <c r="BH142" s="473"/>
      <c r="BI142" s="473"/>
      <c r="BJ142" s="473"/>
      <c r="BK142" s="473"/>
      <c r="BL142" s="473"/>
      <c r="BM142" s="473"/>
      <c r="BN142" s="474">
        <v>15</v>
      </c>
      <c r="BO142" s="474"/>
      <c r="BP142" s="474"/>
      <c r="BQ142" s="474"/>
      <c r="BR142" s="474"/>
      <c r="BS142" s="474"/>
      <c r="BT142" s="474"/>
      <c r="BU142" s="474"/>
      <c r="BV142" s="471"/>
      <c r="BW142" s="471"/>
      <c r="BX142" s="471"/>
      <c r="BY142" s="471"/>
      <c r="BZ142" s="471"/>
      <c r="CA142" s="471"/>
      <c r="CB142" s="471"/>
      <c r="CC142" s="475"/>
      <c r="CD142" s="475"/>
      <c r="CE142" s="475"/>
      <c r="CF142" s="475"/>
      <c r="CG142" s="475"/>
      <c r="CH142" s="475"/>
      <c r="CI142" s="475"/>
      <c r="CJ142" s="475"/>
      <c r="CK142" s="475"/>
      <c r="CL142" s="475"/>
      <c r="CM142" s="475"/>
      <c r="CN142" s="475"/>
      <c r="CO142" s="475"/>
      <c r="CP142" s="475"/>
      <c r="CQ142" s="475"/>
      <c r="CR142" s="475"/>
      <c r="CS142" s="476"/>
      <c r="CT142" s="476"/>
      <c r="CU142" s="476"/>
      <c r="CV142" s="476"/>
      <c r="CW142" s="476"/>
      <c r="CX142" s="476"/>
      <c r="CY142" s="476"/>
      <c r="CZ142" s="476"/>
      <c r="DA142" s="476"/>
      <c r="DB142" s="476"/>
      <c r="DC142" s="476"/>
      <c r="DD142" s="476"/>
      <c r="DE142" s="476"/>
      <c r="DF142" s="476"/>
      <c r="DG142" s="476"/>
      <c r="DH142" s="476"/>
      <c r="DI142" s="476"/>
      <c r="DJ142" s="476"/>
      <c r="DK142" s="476"/>
      <c r="DL142" s="476"/>
      <c r="DM142" s="476"/>
      <c r="DN142" s="942"/>
      <c r="DO142" s="477"/>
      <c r="DP142" s="477"/>
      <c r="DQ142" s="478"/>
      <c r="DR142" s="478"/>
      <c r="DS142" s="473"/>
      <c r="DT142" s="473"/>
      <c r="DU142" s="473"/>
      <c r="DV142" s="473"/>
      <c r="DW142" s="473"/>
      <c r="DX142" s="473"/>
      <c r="DY142" s="473"/>
      <c r="DZ142" s="473"/>
      <c r="EA142" s="473"/>
      <c r="EB142" s="473"/>
      <c r="EC142" s="473"/>
      <c r="ED142" s="473"/>
      <c r="EE142" s="473"/>
      <c r="EF142" s="473"/>
      <c r="EG142" s="473"/>
      <c r="EH142" s="473"/>
      <c r="EI142" s="473"/>
      <c r="EJ142" s="473"/>
      <c r="EK142" s="473"/>
      <c r="EL142" s="473"/>
      <c r="EM142" s="473"/>
      <c r="EN142" s="473"/>
      <c r="EO142" s="473"/>
      <c r="EP142" s="473"/>
      <c r="EQ142" s="473"/>
      <c r="ER142" s="473"/>
      <c r="ES142" s="473"/>
      <c r="ET142" s="473"/>
      <c r="EU142" s="473"/>
      <c r="EV142" s="473"/>
      <c r="EW142" s="473"/>
      <c r="EX142" s="473"/>
      <c r="EY142" s="473"/>
      <c r="EZ142" s="473"/>
      <c r="FA142" s="415"/>
      <c r="FB142" s="416">
        <v>15</v>
      </c>
      <c r="FC142" s="416"/>
      <c r="FD142" s="417">
        <f t="shared" si="285"/>
        <v>0</v>
      </c>
      <c r="FE142" s="790"/>
    </row>
    <row r="143" spans="2:164" ht="26.1" customHeight="1" outlineLevel="1" thickBot="1" x14ac:dyDescent="0.3">
      <c r="B143" s="1018"/>
      <c r="C143" s="1020"/>
      <c r="D143" s="1058"/>
      <c r="E143" s="1064"/>
      <c r="F143" s="843" t="s">
        <v>117</v>
      </c>
      <c r="G143" s="809" t="str">
        <f>VLOOKUP(H143,инфо!AD:AE,2,FALSE)</f>
        <v>Напитки</v>
      </c>
      <c r="H143" s="584" t="s">
        <v>1195</v>
      </c>
      <c r="I143" s="589" t="s">
        <v>75</v>
      </c>
      <c r="J143" s="479"/>
      <c r="K143" s="480"/>
      <c r="L143" s="480"/>
      <c r="M143" s="480"/>
      <c r="N143" s="480"/>
      <c r="O143" s="480"/>
      <c r="P143" s="480"/>
      <c r="Q143" s="480"/>
      <c r="R143" s="480"/>
      <c r="S143" s="480"/>
      <c r="T143" s="480"/>
      <c r="U143" s="480"/>
      <c r="V143" s="480"/>
      <c r="W143" s="481"/>
      <c r="X143" s="481"/>
      <c r="Y143" s="481"/>
      <c r="Z143" s="481"/>
      <c r="AA143" s="481"/>
      <c r="AB143" s="481"/>
      <c r="AC143" s="481"/>
      <c r="AD143" s="481"/>
      <c r="AE143" s="481"/>
      <c r="AF143" s="481"/>
      <c r="AG143" s="481"/>
      <c r="AH143" s="481"/>
      <c r="AI143" s="481"/>
      <c r="AJ143" s="481"/>
      <c r="AK143" s="481"/>
      <c r="AL143" s="481"/>
      <c r="AM143" s="481"/>
      <c r="AN143" s="481"/>
      <c r="AO143" s="481"/>
      <c r="AP143" s="481"/>
      <c r="AQ143" s="481"/>
      <c r="AR143" s="481"/>
      <c r="AS143" s="481"/>
      <c r="AT143" s="481"/>
      <c r="AU143" s="481"/>
      <c r="AV143" s="481"/>
      <c r="AW143" s="481"/>
      <c r="AX143" s="481"/>
      <c r="AY143" s="481"/>
      <c r="AZ143" s="481"/>
      <c r="BA143" s="481"/>
      <c r="BB143" s="481"/>
      <c r="BC143" s="481"/>
      <c r="BD143" s="481"/>
      <c r="BE143" s="482"/>
      <c r="BF143" s="482"/>
      <c r="BG143" s="482"/>
      <c r="BH143" s="482"/>
      <c r="BI143" s="482"/>
      <c r="BJ143" s="482"/>
      <c r="BK143" s="482"/>
      <c r="BL143" s="482"/>
      <c r="BM143" s="482"/>
      <c r="BN143" s="483"/>
      <c r="BO143" s="483"/>
      <c r="BP143" s="483"/>
      <c r="BQ143" s="483"/>
      <c r="BR143" s="483"/>
      <c r="BS143" s="483"/>
      <c r="BT143" s="483"/>
      <c r="BU143" s="483"/>
      <c r="BV143" s="480"/>
      <c r="BW143" s="480"/>
      <c r="BX143" s="480"/>
      <c r="BY143" s="480"/>
      <c r="BZ143" s="480"/>
      <c r="CA143" s="480"/>
      <c r="CB143" s="480"/>
      <c r="CC143" s="484"/>
      <c r="CD143" s="484"/>
      <c r="CE143" s="484"/>
      <c r="CF143" s="484"/>
      <c r="CG143" s="484"/>
      <c r="CH143" s="484"/>
      <c r="CI143" s="484"/>
      <c r="CJ143" s="484"/>
      <c r="CK143" s="484"/>
      <c r="CL143" s="484"/>
      <c r="CM143" s="484"/>
      <c r="CN143" s="484"/>
      <c r="CO143" s="484"/>
      <c r="CP143" s="484"/>
      <c r="CQ143" s="484"/>
      <c r="CR143" s="484"/>
      <c r="CS143" s="485"/>
      <c r="CT143" s="485"/>
      <c r="CU143" s="485"/>
      <c r="CV143" s="485"/>
      <c r="CW143" s="485"/>
      <c r="CX143" s="485"/>
      <c r="CY143" s="485"/>
      <c r="CZ143" s="485"/>
      <c r="DA143" s="485"/>
      <c r="DB143" s="485"/>
      <c r="DC143" s="485"/>
      <c r="DD143" s="485"/>
      <c r="DE143" s="485"/>
      <c r="DF143" s="485"/>
      <c r="DG143" s="485"/>
      <c r="DH143" s="485"/>
      <c r="DI143" s="485"/>
      <c r="DJ143" s="485"/>
      <c r="DK143" s="485"/>
      <c r="DL143" s="485"/>
      <c r="DM143" s="485"/>
      <c r="DN143" s="943"/>
      <c r="DO143" s="486"/>
      <c r="DP143" s="486"/>
      <c r="DQ143" s="487"/>
      <c r="DR143" s="487"/>
      <c r="DS143" s="482"/>
      <c r="DT143" s="482"/>
      <c r="DU143" s="482"/>
      <c r="DV143" s="482"/>
      <c r="DW143" s="482"/>
      <c r="DX143" s="482"/>
      <c r="DY143" s="482"/>
      <c r="DZ143" s="482"/>
      <c r="EA143" s="482"/>
      <c r="EB143" s="482"/>
      <c r="EC143" s="482">
        <v>200</v>
      </c>
      <c r="ED143" s="482"/>
      <c r="EE143" s="482"/>
      <c r="EF143" s="482"/>
      <c r="EG143" s="482"/>
      <c r="EH143" s="482"/>
      <c r="EI143" s="482"/>
      <c r="EJ143" s="482"/>
      <c r="EK143" s="482"/>
      <c r="EL143" s="482"/>
      <c r="EM143" s="482"/>
      <c r="EN143" s="482"/>
      <c r="EO143" s="482"/>
      <c r="EP143" s="482"/>
      <c r="EQ143" s="482"/>
      <c r="ER143" s="482"/>
      <c r="ES143" s="482"/>
      <c r="ET143" s="482"/>
      <c r="EU143" s="482"/>
      <c r="EV143" s="482"/>
      <c r="EW143" s="482"/>
      <c r="EX143" s="482"/>
      <c r="EY143" s="482"/>
      <c r="EZ143" s="482"/>
      <c r="FA143" s="377"/>
      <c r="FB143" s="378">
        <v>200</v>
      </c>
      <c r="FC143" s="378"/>
      <c r="FD143" s="379">
        <f t="shared" si="285"/>
        <v>0</v>
      </c>
      <c r="FE143" s="790"/>
    </row>
    <row r="144" spans="2:164" ht="26.1" customHeight="1" outlineLevel="1" thickBot="1" x14ac:dyDescent="0.3">
      <c r="B144" s="1018"/>
      <c r="C144" s="1020"/>
      <c r="D144" s="1058"/>
      <c r="E144" s="1064"/>
      <c r="F144" s="843" t="s">
        <v>117</v>
      </c>
      <c r="G144" s="809" t="str">
        <f>VLOOKUP(H144,инфо!AD:AE,2,FALSE)</f>
        <v>Прочее</v>
      </c>
      <c r="H144" s="584" t="s">
        <v>1197</v>
      </c>
      <c r="I144" s="589" t="s">
        <v>60</v>
      </c>
      <c r="J144" s="479"/>
      <c r="K144" s="480"/>
      <c r="L144" s="480"/>
      <c r="M144" s="480"/>
      <c r="N144" s="480"/>
      <c r="O144" s="480"/>
      <c r="P144" s="480"/>
      <c r="Q144" s="480"/>
      <c r="R144" s="480"/>
      <c r="S144" s="480"/>
      <c r="T144" s="480"/>
      <c r="U144" s="480"/>
      <c r="V144" s="480"/>
      <c r="W144" s="481"/>
      <c r="X144" s="481"/>
      <c r="Y144" s="481"/>
      <c r="Z144" s="481"/>
      <c r="AA144" s="481"/>
      <c r="AB144" s="481"/>
      <c r="AC144" s="481"/>
      <c r="AD144" s="481"/>
      <c r="AE144" s="481"/>
      <c r="AF144" s="481"/>
      <c r="AG144" s="481"/>
      <c r="AH144" s="481"/>
      <c r="AI144" s="481"/>
      <c r="AJ144" s="481"/>
      <c r="AK144" s="481"/>
      <c r="AL144" s="481"/>
      <c r="AM144" s="481"/>
      <c r="AN144" s="481"/>
      <c r="AO144" s="481"/>
      <c r="AP144" s="481"/>
      <c r="AQ144" s="481"/>
      <c r="AR144" s="481"/>
      <c r="AS144" s="481"/>
      <c r="AT144" s="481"/>
      <c r="AU144" s="481"/>
      <c r="AV144" s="481"/>
      <c r="AW144" s="481"/>
      <c r="AX144" s="481"/>
      <c r="AY144" s="481"/>
      <c r="AZ144" s="481"/>
      <c r="BA144" s="481"/>
      <c r="BB144" s="481"/>
      <c r="BC144" s="481"/>
      <c r="BD144" s="481"/>
      <c r="BE144" s="482"/>
      <c r="BF144" s="482"/>
      <c r="BG144" s="482"/>
      <c r="BH144" s="482"/>
      <c r="BI144" s="482"/>
      <c r="BJ144" s="482"/>
      <c r="BK144" s="482"/>
      <c r="BL144" s="482"/>
      <c r="BM144" s="482"/>
      <c r="BN144" s="483">
        <v>15</v>
      </c>
      <c r="BO144" s="483"/>
      <c r="BP144" s="483"/>
      <c r="BQ144" s="483"/>
      <c r="BR144" s="483"/>
      <c r="BS144" s="483"/>
      <c r="BT144" s="483"/>
      <c r="BU144" s="483"/>
      <c r="BV144" s="480"/>
      <c r="BW144" s="480"/>
      <c r="BX144" s="480"/>
      <c r="BY144" s="480"/>
      <c r="BZ144" s="480"/>
      <c r="CA144" s="480"/>
      <c r="CB144" s="480"/>
      <c r="CC144" s="484"/>
      <c r="CD144" s="484"/>
      <c r="CE144" s="484"/>
      <c r="CF144" s="484"/>
      <c r="CG144" s="484"/>
      <c r="CH144" s="484"/>
      <c r="CI144" s="484"/>
      <c r="CJ144" s="484"/>
      <c r="CK144" s="484"/>
      <c r="CL144" s="484"/>
      <c r="CM144" s="484"/>
      <c r="CN144" s="484"/>
      <c r="CO144" s="484"/>
      <c r="CP144" s="484"/>
      <c r="CQ144" s="484"/>
      <c r="CR144" s="484"/>
      <c r="CS144" s="485"/>
      <c r="CT144" s="485"/>
      <c r="CU144" s="485"/>
      <c r="CV144" s="485"/>
      <c r="CW144" s="485"/>
      <c r="CX144" s="485"/>
      <c r="CY144" s="485"/>
      <c r="CZ144" s="485"/>
      <c r="DA144" s="485"/>
      <c r="DB144" s="485"/>
      <c r="DC144" s="485"/>
      <c r="DD144" s="485"/>
      <c r="DE144" s="485"/>
      <c r="DF144" s="485"/>
      <c r="DG144" s="485"/>
      <c r="DH144" s="485"/>
      <c r="DI144" s="485"/>
      <c r="DJ144" s="485"/>
      <c r="DK144" s="485"/>
      <c r="DL144" s="485"/>
      <c r="DM144" s="485"/>
      <c r="DN144" s="943"/>
      <c r="DO144" s="486"/>
      <c r="DP144" s="486"/>
      <c r="DQ144" s="487"/>
      <c r="DR144" s="487"/>
      <c r="DS144" s="482"/>
      <c r="DT144" s="482"/>
      <c r="DU144" s="482"/>
      <c r="DV144" s="482"/>
      <c r="DW144" s="482"/>
      <c r="DX144" s="482"/>
      <c r="DY144" s="482"/>
      <c r="DZ144" s="482"/>
      <c r="EA144" s="482"/>
      <c r="EB144" s="482"/>
      <c r="EC144" s="482"/>
      <c r="ED144" s="482"/>
      <c r="EE144" s="482"/>
      <c r="EF144" s="482"/>
      <c r="EG144" s="482"/>
      <c r="EH144" s="482"/>
      <c r="EI144" s="482"/>
      <c r="EJ144" s="482"/>
      <c r="EK144" s="482"/>
      <c r="EL144" s="482"/>
      <c r="EM144" s="482"/>
      <c r="EN144" s="482"/>
      <c r="EO144" s="482"/>
      <c r="EP144" s="482"/>
      <c r="EQ144" s="482"/>
      <c r="ER144" s="482"/>
      <c r="ES144" s="482"/>
      <c r="ET144" s="482"/>
      <c r="EU144" s="482"/>
      <c r="EV144" s="482"/>
      <c r="EW144" s="482"/>
      <c r="EX144" s="482"/>
      <c r="EY144" s="482"/>
      <c r="EZ144" s="482"/>
      <c r="FA144" s="377"/>
      <c r="FB144" s="378">
        <v>15</v>
      </c>
      <c r="FC144" s="378"/>
      <c r="FD144" s="379">
        <f t="shared" si="285"/>
        <v>0</v>
      </c>
      <c r="FE144" s="790"/>
    </row>
    <row r="145" spans="2:164" ht="26.1" customHeight="1" outlineLevel="1" thickBot="1" x14ac:dyDescent="0.3">
      <c r="B145" s="1018"/>
      <c r="C145" s="1020"/>
      <c r="D145" s="1059"/>
      <c r="E145" s="1065"/>
      <c r="F145" s="845" t="s">
        <v>117</v>
      </c>
      <c r="G145" s="811" t="str">
        <f>VLOOKUP(H145,инфо!AD:AE,2,FALSE)</f>
        <v>Прочее</v>
      </c>
      <c r="H145" s="585" t="s">
        <v>1197</v>
      </c>
      <c r="I145" s="593"/>
      <c r="J145" s="488"/>
      <c r="K145" s="489"/>
      <c r="L145" s="489"/>
      <c r="M145" s="489"/>
      <c r="N145" s="489"/>
      <c r="O145" s="489"/>
      <c r="P145" s="489"/>
      <c r="Q145" s="489"/>
      <c r="R145" s="489"/>
      <c r="S145" s="489"/>
      <c r="T145" s="489"/>
      <c r="U145" s="489"/>
      <c r="V145" s="489"/>
      <c r="W145" s="490"/>
      <c r="X145" s="490"/>
      <c r="Y145" s="490"/>
      <c r="Z145" s="490"/>
      <c r="AA145" s="490"/>
      <c r="AB145" s="490"/>
      <c r="AC145" s="490"/>
      <c r="AD145" s="490"/>
      <c r="AE145" s="490"/>
      <c r="AF145" s="490"/>
      <c r="AG145" s="490"/>
      <c r="AH145" s="490"/>
      <c r="AI145" s="490"/>
      <c r="AJ145" s="490"/>
      <c r="AK145" s="490"/>
      <c r="AL145" s="490"/>
      <c r="AM145" s="490"/>
      <c r="AN145" s="490"/>
      <c r="AO145" s="490"/>
      <c r="AP145" s="490"/>
      <c r="AQ145" s="490"/>
      <c r="AR145" s="490"/>
      <c r="AS145" s="490"/>
      <c r="AT145" s="490"/>
      <c r="AU145" s="490"/>
      <c r="AV145" s="490"/>
      <c r="AW145" s="490"/>
      <c r="AX145" s="490"/>
      <c r="AY145" s="490"/>
      <c r="AZ145" s="490"/>
      <c r="BA145" s="490"/>
      <c r="BB145" s="490"/>
      <c r="BC145" s="490"/>
      <c r="BD145" s="490"/>
      <c r="BE145" s="491"/>
      <c r="BF145" s="491"/>
      <c r="BG145" s="491"/>
      <c r="BH145" s="491"/>
      <c r="BI145" s="491"/>
      <c r="BJ145" s="491"/>
      <c r="BK145" s="491"/>
      <c r="BL145" s="491"/>
      <c r="BM145" s="491"/>
      <c r="BN145" s="492"/>
      <c r="BO145" s="492"/>
      <c r="BP145" s="492"/>
      <c r="BQ145" s="492"/>
      <c r="BR145" s="492"/>
      <c r="BS145" s="492"/>
      <c r="BT145" s="492"/>
      <c r="BU145" s="492"/>
      <c r="BV145" s="489"/>
      <c r="BW145" s="489"/>
      <c r="BX145" s="489"/>
      <c r="BY145" s="489"/>
      <c r="BZ145" s="489"/>
      <c r="CA145" s="489"/>
      <c r="CB145" s="489"/>
      <c r="CC145" s="493"/>
      <c r="CD145" s="493"/>
      <c r="CE145" s="493"/>
      <c r="CF145" s="493"/>
      <c r="CG145" s="493"/>
      <c r="CH145" s="493"/>
      <c r="CI145" s="493"/>
      <c r="CJ145" s="493"/>
      <c r="CK145" s="493"/>
      <c r="CL145" s="493"/>
      <c r="CM145" s="493"/>
      <c r="CN145" s="493"/>
      <c r="CO145" s="493"/>
      <c r="CP145" s="493"/>
      <c r="CQ145" s="493"/>
      <c r="CR145" s="493"/>
      <c r="CS145" s="494"/>
      <c r="CT145" s="494"/>
      <c r="CU145" s="494"/>
      <c r="CV145" s="494"/>
      <c r="CW145" s="494"/>
      <c r="CX145" s="494"/>
      <c r="CY145" s="494"/>
      <c r="CZ145" s="494"/>
      <c r="DA145" s="494"/>
      <c r="DB145" s="494"/>
      <c r="DC145" s="494"/>
      <c r="DD145" s="494"/>
      <c r="DE145" s="494"/>
      <c r="DF145" s="494"/>
      <c r="DG145" s="494"/>
      <c r="DH145" s="494"/>
      <c r="DI145" s="494"/>
      <c r="DJ145" s="494"/>
      <c r="DK145" s="494"/>
      <c r="DL145" s="494"/>
      <c r="DM145" s="494"/>
      <c r="DN145" s="944"/>
      <c r="DO145" s="495"/>
      <c r="DP145" s="495"/>
      <c r="DQ145" s="496"/>
      <c r="DR145" s="496"/>
      <c r="DS145" s="491"/>
      <c r="DT145" s="491"/>
      <c r="DU145" s="491"/>
      <c r="DV145" s="491"/>
      <c r="DW145" s="491"/>
      <c r="DX145" s="491"/>
      <c r="DY145" s="491"/>
      <c r="DZ145" s="491"/>
      <c r="EA145" s="491"/>
      <c r="EB145" s="491"/>
      <c r="EC145" s="491"/>
      <c r="ED145" s="491"/>
      <c r="EE145" s="491"/>
      <c r="EF145" s="491"/>
      <c r="EG145" s="491"/>
      <c r="EH145" s="491"/>
      <c r="EI145" s="491"/>
      <c r="EJ145" s="491"/>
      <c r="EK145" s="491"/>
      <c r="EL145" s="491"/>
      <c r="EM145" s="491"/>
      <c r="EN145" s="491"/>
      <c r="EO145" s="491"/>
      <c r="EP145" s="491"/>
      <c r="EQ145" s="491"/>
      <c r="ER145" s="491"/>
      <c r="ES145" s="491"/>
      <c r="ET145" s="491"/>
      <c r="EU145" s="491"/>
      <c r="EV145" s="491"/>
      <c r="EW145" s="491"/>
      <c r="EX145" s="491"/>
      <c r="EY145" s="491"/>
      <c r="EZ145" s="491"/>
      <c r="FA145" s="377"/>
      <c r="FB145" s="378"/>
      <c r="FC145" s="378"/>
      <c r="FD145" s="379">
        <f t="shared" si="285"/>
        <v>0</v>
      </c>
      <c r="FE145" s="790"/>
    </row>
    <row r="146" spans="2:164" s="154" customFormat="1" ht="16.5" customHeight="1" outlineLevel="1" thickBot="1" x14ac:dyDescent="0.4">
      <c r="B146" s="1018"/>
      <c r="C146" s="1020"/>
      <c r="D146" s="145"/>
      <c r="E146" s="317" t="s">
        <v>174</v>
      </c>
      <c r="F146" s="836"/>
      <c r="G146" s="818"/>
      <c r="H146" s="576"/>
      <c r="I146" s="594"/>
      <c r="J146" s="305">
        <f>SUM(J134:J145)</f>
        <v>0</v>
      </c>
      <c r="K146" s="146">
        <f t="shared" ref="K146:CU146" si="286">SUM(K134:K145)</f>
        <v>0</v>
      </c>
      <c r="L146" s="146">
        <f t="shared" si="286"/>
        <v>0</v>
      </c>
      <c r="M146" s="146">
        <f t="shared" si="286"/>
        <v>0</v>
      </c>
      <c r="N146" s="146">
        <f t="shared" si="286"/>
        <v>0</v>
      </c>
      <c r="O146" s="146">
        <f t="shared" si="286"/>
        <v>20</v>
      </c>
      <c r="P146" s="146">
        <f t="shared" si="286"/>
        <v>0</v>
      </c>
      <c r="Q146" s="146">
        <f t="shared" si="286"/>
        <v>83</v>
      </c>
      <c r="R146" s="146">
        <f t="shared" si="286"/>
        <v>0</v>
      </c>
      <c r="S146" s="146">
        <f t="shared" si="286"/>
        <v>0</v>
      </c>
      <c r="T146" s="146">
        <f t="shared" ref="T146:V146" si="287">SUM(T134:T145)</f>
        <v>0</v>
      </c>
      <c r="U146" s="146">
        <f t="shared" si="287"/>
        <v>0</v>
      </c>
      <c r="V146" s="146">
        <f t="shared" si="287"/>
        <v>0</v>
      </c>
      <c r="W146" s="147">
        <f t="shared" si="286"/>
        <v>0</v>
      </c>
      <c r="X146" s="147">
        <f t="shared" si="286"/>
        <v>7</v>
      </c>
      <c r="Y146" s="147">
        <f t="shared" ref="Y146" si="288">SUM(Y134:Y145)</f>
        <v>0</v>
      </c>
      <c r="Z146" s="147">
        <f t="shared" si="286"/>
        <v>50</v>
      </c>
      <c r="AA146" s="147">
        <f t="shared" si="286"/>
        <v>100</v>
      </c>
      <c r="AB146" s="147">
        <f t="shared" ref="AB146:AC146" si="289">SUM(AB134:AB145)</f>
        <v>0</v>
      </c>
      <c r="AC146" s="147">
        <f t="shared" si="289"/>
        <v>0</v>
      </c>
      <c r="AD146" s="147">
        <f t="shared" si="286"/>
        <v>125</v>
      </c>
      <c r="AE146" s="147">
        <f t="shared" si="286"/>
        <v>0</v>
      </c>
      <c r="AF146" s="147">
        <f t="shared" ref="AF146:AH146" si="290">SUM(AF134:AF145)</f>
        <v>10</v>
      </c>
      <c r="AG146" s="147">
        <f t="shared" si="290"/>
        <v>10</v>
      </c>
      <c r="AH146" s="147">
        <f t="shared" si="290"/>
        <v>0</v>
      </c>
      <c r="AI146" s="147">
        <f t="shared" si="286"/>
        <v>0</v>
      </c>
      <c r="AJ146" s="147">
        <f t="shared" si="286"/>
        <v>0</v>
      </c>
      <c r="AK146" s="147">
        <f t="shared" si="286"/>
        <v>0</v>
      </c>
      <c r="AL146" s="147">
        <f t="shared" si="286"/>
        <v>0</v>
      </c>
      <c r="AM146" s="147">
        <f t="shared" ref="AM146:AS146" si="291">SUM(AM134:AM145)</f>
        <v>0</v>
      </c>
      <c r="AN146" s="147">
        <f t="shared" si="291"/>
        <v>0</v>
      </c>
      <c r="AO146" s="147">
        <f t="shared" si="291"/>
        <v>5</v>
      </c>
      <c r="AP146" s="147">
        <f t="shared" si="291"/>
        <v>0</v>
      </c>
      <c r="AQ146" s="147">
        <f t="shared" si="291"/>
        <v>0</v>
      </c>
      <c r="AR146" s="147">
        <f t="shared" si="291"/>
        <v>0</v>
      </c>
      <c r="AS146" s="147">
        <f t="shared" si="291"/>
        <v>0</v>
      </c>
      <c r="AT146" s="147">
        <f t="shared" si="286"/>
        <v>0</v>
      </c>
      <c r="AU146" s="147">
        <f t="shared" ref="AU146:BD146" si="292">SUM(AU134:AU145)</f>
        <v>0</v>
      </c>
      <c r="AV146" s="147">
        <f t="shared" si="292"/>
        <v>0</v>
      </c>
      <c r="AW146" s="147">
        <f t="shared" si="292"/>
        <v>0</v>
      </c>
      <c r="AX146" s="147">
        <f t="shared" si="292"/>
        <v>0</v>
      </c>
      <c r="AY146" s="147">
        <f t="shared" si="292"/>
        <v>0</v>
      </c>
      <c r="AZ146" s="147">
        <f t="shared" si="292"/>
        <v>0</v>
      </c>
      <c r="BA146" s="147">
        <f t="shared" si="292"/>
        <v>0</v>
      </c>
      <c r="BB146" s="147">
        <f t="shared" si="292"/>
        <v>37.5</v>
      </c>
      <c r="BC146" s="147">
        <f t="shared" si="292"/>
        <v>0</v>
      </c>
      <c r="BD146" s="147">
        <f t="shared" si="292"/>
        <v>0</v>
      </c>
      <c r="BE146" s="148">
        <f t="shared" ref="BE146:BP146" si="293">SUM(BE134:BE145)</f>
        <v>0</v>
      </c>
      <c r="BF146" s="148">
        <f t="shared" si="293"/>
        <v>0</v>
      </c>
      <c r="BG146" s="148">
        <f t="shared" si="293"/>
        <v>0</v>
      </c>
      <c r="BH146" s="148">
        <f t="shared" si="293"/>
        <v>0</v>
      </c>
      <c r="BI146" s="148">
        <f t="shared" ref="BI146:BL146" si="294">SUM(BI134:BI145)</f>
        <v>0</v>
      </c>
      <c r="BJ146" s="148">
        <f t="shared" si="294"/>
        <v>0</v>
      </c>
      <c r="BK146" s="148">
        <f t="shared" si="294"/>
        <v>0</v>
      </c>
      <c r="BL146" s="148">
        <f t="shared" si="294"/>
        <v>0</v>
      </c>
      <c r="BM146" s="148">
        <f t="shared" si="293"/>
        <v>0</v>
      </c>
      <c r="BN146" s="149">
        <f t="shared" si="293"/>
        <v>30</v>
      </c>
      <c r="BO146" s="149">
        <f t="shared" si="293"/>
        <v>9</v>
      </c>
      <c r="BP146" s="149">
        <f t="shared" si="293"/>
        <v>0</v>
      </c>
      <c r="BQ146" s="149">
        <f t="shared" ref="BQ146" si="295">SUM(BQ134:BQ145)</f>
        <v>0</v>
      </c>
      <c r="BR146" s="149">
        <f t="shared" ref="BR146:BU146" si="296">SUM(BR134:BR145)</f>
        <v>0</v>
      </c>
      <c r="BS146" s="149">
        <f t="shared" si="296"/>
        <v>0</v>
      </c>
      <c r="BT146" s="149">
        <f t="shared" si="296"/>
        <v>0</v>
      </c>
      <c r="BU146" s="149">
        <f t="shared" si="296"/>
        <v>0</v>
      </c>
      <c r="BV146" s="146">
        <f t="shared" ref="BV146:BX146" si="297">SUM(BV134:BV145)</f>
        <v>0</v>
      </c>
      <c r="BW146" s="146">
        <f t="shared" si="297"/>
        <v>0</v>
      </c>
      <c r="BX146" s="146">
        <f t="shared" si="297"/>
        <v>0</v>
      </c>
      <c r="BY146" s="146">
        <f t="shared" ref="BY146:BZ146" si="298">SUM(BY134:BY145)</f>
        <v>0</v>
      </c>
      <c r="BZ146" s="146">
        <f t="shared" si="298"/>
        <v>0</v>
      </c>
      <c r="CA146" s="146">
        <f t="shared" si="286"/>
        <v>0</v>
      </c>
      <c r="CB146" s="146">
        <f t="shared" si="286"/>
        <v>0</v>
      </c>
      <c r="CC146" s="265">
        <f t="shared" si="286"/>
        <v>0</v>
      </c>
      <c r="CD146" s="265">
        <f t="shared" si="286"/>
        <v>0</v>
      </c>
      <c r="CE146" s="265">
        <f t="shared" si="286"/>
        <v>0</v>
      </c>
      <c r="CF146" s="265">
        <f t="shared" si="286"/>
        <v>0</v>
      </c>
      <c r="CG146" s="265">
        <f t="shared" si="286"/>
        <v>0</v>
      </c>
      <c r="CH146" s="265">
        <f t="shared" si="286"/>
        <v>0</v>
      </c>
      <c r="CI146" s="265">
        <f t="shared" si="286"/>
        <v>0</v>
      </c>
      <c r="CJ146" s="265">
        <f t="shared" ref="CJ146" si="299">SUM(CJ134:CJ145)</f>
        <v>0</v>
      </c>
      <c r="CK146" s="265">
        <f t="shared" ref="CK146" si="300">SUM(CK134:CK145)</f>
        <v>0</v>
      </c>
      <c r="CL146" s="265">
        <f t="shared" si="286"/>
        <v>0</v>
      </c>
      <c r="CM146" s="265">
        <f t="shared" si="286"/>
        <v>0</v>
      </c>
      <c r="CN146" s="265">
        <f t="shared" ref="CN146:CQ146" si="301">SUM(CN134:CN145)</f>
        <v>0</v>
      </c>
      <c r="CO146" s="265">
        <f t="shared" si="301"/>
        <v>120</v>
      </c>
      <c r="CP146" s="265">
        <f t="shared" si="301"/>
        <v>0</v>
      </c>
      <c r="CQ146" s="265">
        <f t="shared" si="301"/>
        <v>0</v>
      </c>
      <c r="CR146" s="265">
        <f t="shared" si="286"/>
        <v>0</v>
      </c>
      <c r="CS146" s="281">
        <f t="shared" si="286"/>
        <v>0</v>
      </c>
      <c r="CT146" s="281">
        <f t="shared" ref="CT146" si="302">SUM(CT134:CT145)</f>
        <v>0</v>
      </c>
      <c r="CU146" s="281">
        <f t="shared" si="286"/>
        <v>0</v>
      </c>
      <c r="CV146" s="281">
        <f t="shared" ref="CV146:DE146" si="303">SUM(CV134:CV145)</f>
        <v>0</v>
      </c>
      <c r="CW146" s="281">
        <f t="shared" si="303"/>
        <v>0</v>
      </c>
      <c r="CX146" s="281">
        <f t="shared" si="303"/>
        <v>0</v>
      </c>
      <c r="CY146" s="281">
        <f t="shared" si="303"/>
        <v>0</v>
      </c>
      <c r="CZ146" s="281">
        <f t="shared" ref="CZ146" si="304">SUM(CZ134:CZ145)</f>
        <v>0</v>
      </c>
      <c r="DA146" s="281">
        <f t="shared" si="303"/>
        <v>0</v>
      </c>
      <c r="DB146" s="281">
        <f t="shared" si="303"/>
        <v>0</v>
      </c>
      <c r="DC146" s="281">
        <f t="shared" si="303"/>
        <v>0</v>
      </c>
      <c r="DD146" s="281">
        <f t="shared" ref="DD146" si="305">SUM(DD134:DD145)</f>
        <v>0</v>
      </c>
      <c r="DE146" s="281">
        <f t="shared" si="303"/>
        <v>0</v>
      </c>
      <c r="DF146" s="281">
        <f t="shared" ref="DF146:FD146" si="306">SUM(DF134:DF145)</f>
        <v>0</v>
      </c>
      <c r="DG146" s="281">
        <f t="shared" si="306"/>
        <v>0</v>
      </c>
      <c r="DH146" s="281">
        <f t="shared" si="306"/>
        <v>0</v>
      </c>
      <c r="DI146" s="281">
        <f t="shared" ref="DI146:DQ146" si="307">SUM(DI134:DI145)</f>
        <v>0</v>
      </c>
      <c r="DJ146" s="281">
        <f t="shared" si="307"/>
        <v>0</v>
      </c>
      <c r="DK146" s="281">
        <f t="shared" si="307"/>
        <v>0</v>
      </c>
      <c r="DL146" s="281">
        <f t="shared" si="307"/>
        <v>0</v>
      </c>
      <c r="DM146" s="281">
        <f t="shared" si="307"/>
        <v>0</v>
      </c>
      <c r="DN146" s="936">
        <f t="shared" si="307"/>
        <v>0</v>
      </c>
      <c r="DO146" s="148">
        <f t="shared" si="307"/>
        <v>0</v>
      </c>
      <c r="DP146" s="148">
        <f t="shared" si="307"/>
        <v>9</v>
      </c>
      <c r="DQ146" s="148">
        <f t="shared" si="307"/>
        <v>0.02</v>
      </c>
      <c r="DR146" s="148">
        <f t="shared" si="306"/>
        <v>6.0000000000000005E-2</v>
      </c>
      <c r="DS146" s="148">
        <f t="shared" si="306"/>
        <v>0</v>
      </c>
      <c r="DT146" s="148">
        <f t="shared" si="306"/>
        <v>0</v>
      </c>
      <c r="DU146" s="148">
        <f t="shared" si="306"/>
        <v>0</v>
      </c>
      <c r="DV146" s="148">
        <f t="shared" si="306"/>
        <v>0</v>
      </c>
      <c r="DW146" s="148">
        <f t="shared" si="306"/>
        <v>0</v>
      </c>
      <c r="DX146" s="148">
        <f t="shared" si="306"/>
        <v>0</v>
      </c>
      <c r="DY146" s="148">
        <f t="shared" ref="DY146:EO146" si="308">SUM(DY134:DY145)</f>
        <v>0</v>
      </c>
      <c r="DZ146" s="148">
        <f t="shared" si="308"/>
        <v>0</v>
      </c>
      <c r="EA146" s="148">
        <f t="shared" si="308"/>
        <v>307.10000000000002</v>
      </c>
      <c r="EB146" s="148">
        <f t="shared" si="308"/>
        <v>400</v>
      </c>
      <c r="EC146" s="148">
        <f t="shared" si="308"/>
        <v>200</v>
      </c>
      <c r="ED146" s="148">
        <f t="shared" si="308"/>
        <v>0</v>
      </c>
      <c r="EE146" s="148">
        <f t="shared" si="308"/>
        <v>0</v>
      </c>
      <c r="EF146" s="148">
        <f t="shared" si="308"/>
        <v>0</v>
      </c>
      <c r="EG146" s="148">
        <f t="shared" si="308"/>
        <v>0</v>
      </c>
      <c r="EH146" s="148">
        <f t="shared" si="308"/>
        <v>0</v>
      </c>
      <c r="EI146" s="148">
        <f t="shared" si="308"/>
        <v>0</v>
      </c>
      <c r="EJ146" s="148">
        <f t="shared" si="308"/>
        <v>0</v>
      </c>
      <c r="EK146" s="148">
        <f t="shared" si="308"/>
        <v>0</v>
      </c>
      <c r="EL146" s="148">
        <f t="shared" si="308"/>
        <v>0</v>
      </c>
      <c r="EM146" s="148">
        <f t="shared" si="308"/>
        <v>0</v>
      </c>
      <c r="EN146" s="148">
        <f t="shared" si="308"/>
        <v>0</v>
      </c>
      <c r="EO146" s="148">
        <f t="shared" si="308"/>
        <v>0</v>
      </c>
      <c r="EP146" s="148">
        <f t="shared" ref="EP146:EZ146" si="309">SUM(EP134:EP145)</f>
        <v>0</v>
      </c>
      <c r="EQ146" s="148">
        <f t="shared" si="309"/>
        <v>0</v>
      </c>
      <c r="ER146" s="148">
        <f t="shared" si="309"/>
        <v>0</v>
      </c>
      <c r="ES146" s="148">
        <f t="shared" si="309"/>
        <v>0</v>
      </c>
      <c r="ET146" s="148">
        <f t="shared" si="309"/>
        <v>0</v>
      </c>
      <c r="EU146" s="148">
        <f t="shared" si="309"/>
        <v>0</v>
      </c>
      <c r="EV146" s="148">
        <f t="shared" si="309"/>
        <v>0</v>
      </c>
      <c r="EW146" s="148">
        <f t="shared" si="309"/>
        <v>0</v>
      </c>
      <c r="EX146" s="148">
        <f t="shared" si="309"/>
        <v>0</v>
      </c>
      <c r="EY146" s="148">
        <f t="shared" si="309"/>
        <v>0</v>
      </c>
      <c r="EZ146" s="148">
        <f t="shared" si="309"/>
        <v>0</v>
      </c>
      <c r="FA146" s="150">
        <f t="shared" si="306"/>
        <v>702.5</v>
      </c>
      <c r="FB146" s="151">
        <f t="shared" si="306"/>
        <v>1380.3</v>
      </c>
      <c r="FC146" s="151">
        <f t="shared" si="306"/>
        <v>88.8</v>
      </c>
      <c r="FD146" s="152">
        <f t="shared" si="306"/>
        <v>0</v>
      </c>
      <c r="FE146" s="792" t="str">
        <f>IF(FB146&lt;инфо!$AN$76,FB146-инфо!$AN$76,"")</f>
        <v/>
      </c>
      <c r="FF146" s="153"/>
      <c r="FG146" s="153"/>
      <c r="FH146" s="153"/>
    </row>
    <row r="147" spans="2:164" ht="26.1" customHeight="1" outlineLevel="1" thickBot="1" x14ac:dyDescent="0.3">
      <c r="B147" s="1018"/>
      <c r="C147" s="1020"/>
      <c r="D147" s="1054" t="s">
        <v>146</v>
      </c>
      <c r="E147" s="1060"/>
      <c r="F147" s="847" t="s">
        <v>146</v>
      </c>
      <c r="G147" s="813" t="s">
        <v>1492</v>
      </c>
      <c r="H147" s="588" t="s">
        <v>1195</v>
      </c>
      <c r="I147" s="588" t="s">
        <v>1164</v>
      </c>
      <c r="J147" s="515"/>
      <c r="K147" s="516"/>
      <c r="L147" s="516"/>
      <c r="M147" s="516"/>
      <c r="N147" s="516"/>
      <c r="O147" s="516"/>
      <c r="P147" s="516"/>
      <c r="Q147" s="516"/>
      <c r="R147" s="516"/>
      <c r="S147" s="516"/>
      <c r="T147" s="516"/>
      <c r="U147" s="516"/>
      <c r="V147" s="516"/>
      <c r="W147" s="517"/>
      <c r="X147" s="517"/>
      <c r="Y147" s="517"/>
      <c r="Z147" s="517"/>
      <c r="AA147" s="517"/>
      <c r="AB147" s="517"/>
      <c r="AC147" s="517"/>
      <c r="AD147" s="517"/>
      <c r="AE147" s="517"/>
      <c r="AF147" s="517"/>
      <c r="AG147" s="517"/>
      <c r="AH147" s="517"/>
      <c r="AI147" s="517"/>
      <c r="AJ147" s="517"/>
      <c r="AK147" s="517"/>
      <c r="AL147" s="517"/>
      <c r="AM147" s="517"/>
      <c r="AN147" s="517"/>
      <c r="AO147" s="517"/>
      <c r="AP147" s="517"/>
      <c r="AQ147" s="517"/>
      <c r="AR147" s="517"/>
      <c r="AS147" s="517"/>
      <c r="AT147" s="517"/>
      <c r="AU147" s="517"/>
      <c r="AV147" s="517"/>
      <c r="AW147" s="517"/>
      <c r="AX147" s="517"/>
      <c r="AY147" s="517"/>
      <c r="AZ147" s="517"/>
      <c r="BA147" s="517"/>
      <c r="BB147" s="517"/>
      <c r="BC147" s="517"/>
      <c r="BD147" s="517"/>
      <c r="BE147" s="518"/>
      <c r="BF147" s="518"/>
      <c r="BG147" s="518"/>
      <c r="BH147" s="518"/>
      <c r="BI147" s="518"/>
      <c r="BJ147" s="518"/>
      <c r="BK147" s="518"/>
      <c r="BL147" s="518"/>
      <c r="BM147" s="518"/>
      <c r="BN147" s="519"/>
      <c r="BO147" s="519"/>
      <c r="BP147" s="519"/>
      <c r="BQ147" s="519"/>
      <c r="BR147" s="519"/>
      <c r="BS147" s="519"/>
      <c r="BT147" s="519"/>
      <c r="BU147" s="519"/>
      <c r="BV147" s="516"/>
      <c r="BW147" s="516"/>
      <c r="BX147" s="516"/>
      <c r="BY147" s="516"/>
      <c r="BZ147" s="516"/>
      <c r="CA147" s="516"/>
      <c r="CB147" s="516"/>
      <c r="CC147" s="520"/>
      <c r="CD147" s="520"/>
      <c r="CE147" s="520"/>
      <c r="CF147" s="520"/>
      <c r="CG147" s="520"/>
      <c r="CH147" s="520"/>
      <c r="CI147" s="520"/>
      <c r="CJ147" s="520"/>
      <c r="CK147" s="520"/>
      <c r="CL147" s="520"/>
      <c r="CM147" s="520"/>
      <c r="CN147" s="520"/>
      <c r="CO147" s="520"/>
      <c r="CP147" s="520"/>
      <c r="CQ147" s="520"/>
      <c r="CR147" s="520"/>
      <c r="CS147" s="521"/>
      <c r="CT147" s="521"/>
      <c r="CU147" s="521"/>
      <c r="CV147" s="521"/>
      <c r="CW147" s="521"/>
      <c r="CX147" s="521"/>
      <c r="CY147" s="521"/>
      <c r="CZ147" s="521"/>
      <c r="DA147" s="521"/>
      <c r="DB147" s="521"/>
      <c r="DC147" s="521"/>
      <c r="DD147" s="521"/>
      <c r="DE147" s="521"/>
      <c r="DF147" s="521"/>
      <c r="DG147" s="521"/>
      <c r="DH147" s="521"/>
      <c r="DI147" s="521"/>
      <c r="DJ147" s="521"/>
      <c r="DK147" s="521"/>
      <c r="DL147" s="521"/>
      <c r="DM147" s="521"/>
      <c r="DN147" s="947"/>
      <c r="DO147" s="522">
        <v>25</v>
      </c>
      <c r="DP147" s="522"/>
      <c r="DQ147" s="523"/>
      <c r="DR147" s="523"/>
      <c r="DS147" s="518"/>
      <c r="DT147" s="518"/>
      <c r="DU147" s="518"/>
      <c r="DV147" s="518"/>
      <c r="DW147" s="518"/>
      <c r="DX147" s="518"/>
      <c r="DY147" s="518"/>
      <c r="DZ147" s="518"/>
      <c r="EA147" s="518">
        <v>250</v>
      </c>
      <c r="EB147" s="518"/>
      <c r="EC147" s="518"/>
      <c r="ED147" s="518">
        <v>1</v>
      </c>
      <c r="EE147" s="518"/>
      <c r="EF147" s="518"/>
      <c r="EG147" s="518"/>
      <c r="EH147" s="518"/>
      <c r="EI147" s="518"/>
      <c r="EJ147" s="518"/>
      <c r="EK147" s="518"/>
      <c r="EL147" s="518"/>
      <c r="EM147" s="518"/>
      <c r="EN147" s="518"/>
      <c r="EO147" s="518"/>
      <c r="EP147" s="518"/>
      <c r="EQ147" s="518"/>
      <c r="ER147" s="518"/>
      <c r="ES147" s="518"/>
      <c r="ET147" s="518"/>
      <c r="EU147" s="518"/>
      <c r="EV147" s="518"/>
      <c r="EW147" s="518"/>
      <c r="EX147" s="518"/>
      <c r="EY147" s="518"/>
      <c r="EZ147" s="518"/>
      <c r="FA147" s="377"/>
      <c r="FB147" s="378">
        <v>250</v>
      </c>
      <c r="FC147" s="378"/>
      <c r="FD147" s="379">
        <f t="shared" ref="FD147:FD150" si="310">SUM(BE147:BG147,BI147,BL147:BM147)+SUM(BH147,BJ147,BK147)*5</f>
        <v>0</v>
      </c>
      <c r="FE147" s="790"/>
    </row>
    <row r="148" spans="2:164" ht="26.1" customHeight="1" outlineLevel="1" thickBot="1" x14ac:dyDescent="0.3">
      <c r="B148" s="1018"/>
      <c r="C148" s="1020"/>
      <c r="D148" s="1055"/>
      <c r="E148" s="1061"/>
      <c r="F148" s="848" t="s">
        <v>146</v>
      </c>
      <c r="G148" s="814" t="s">
        <v>1492</v>
      </c>
      <c r="H148" s="589" t="s">
        <v>1197</v>
      </c>
      <c r="I148" s="589" t="s">
        <v>53</v>
      </c>
      <c r="J148" s="524"/>
      <c r="K148" s="525"/>
      <c r="L148" s="525"/>
      <c r="M148" s="525"/>
      <c r="N148" s="525"/>
      <c r="O148" s="525"/>
      <c r="P148" s="525"/>
      <c r="Q148" s="525"/>
      <c r="R148" s="525"/>
      <c r="S148" s="525"/>
      <c r="T148" s="525"/>
      <c r="U148" s="525"/>
      <c r="V148" s="525"/>
      <c r="W148" s="526"/>
      <c r="X148" s="526"/>
      <c r="Y148" s="526"/>
      <c r="Z148" s="526"/>
      <c r="AA148" s="526"/>
      <c r="AB148" s="526"/>
      <c r="AC148" s="526"/>
      <c r="AD148" s="526"/>
      <c r="AE148" s="526"/>
      <c r="AF148" s="526"/>
      <c r="AG148" s="526"/>
      <c r="AH148" s="526"/>
      <c r="AI148" s="526"/>
      <c r="AJ148" s="526"/>
      <c r="AK148" s="526"/>
      <c r="AL148" s="526"/>
      <c r="AM148" s="526"/>
      <c r="AN148" s="526"/>
      <c r="AO148" s="526"/>
      <c r="AP148" s="526"/>
      <c r="AQ148" s="526"/>
      <c r="AR148" s="526"/>
      <c r="AS148" s="526"/>
      <c r="AT148" s="526"/>
      <c r="AU148" s="526"/>
      <c r="AV148" s="526"/>
      <c r="AW148" s="526"/>
      <c r="AX148" s="526"/>
      <c r="AY148" s="526"/>
      <c r="AZ148" s="526"/>
      <c r="BA148" s="526"/>
      <c r="BB148" s="526"/>
      <c r="BC148" s="526"/>
      <c r="BD148" s="526"/>
      <c r="BE148" s="527"/>
      <c r="BF148" s="527"/>
      <c r="BG148" s="527"/>
      <c r="BH148" s="527"/>
      <c r="BI148" s="527"/>
      <c r="BJ148" s="527"/>
      <c r="BK148" s="527"/>
      <c r="BL148" s="527"/>
      <c r="BM148" s="527"/>
      <c r="BN148" s="528"/>
      <c r="BO148" s="528"/>
      <c r="BP148" s="528"/>
      <c r="BQ148" s="528"/>
      <c r="BR148" s="528"/>
      <c r="BS148" s="528"/>
      <c r="BT148" s="528"/>
      <c r="BU148" s="528"/>
      <c r="BV148" s="525"/>
      <c r="BW148" s="525"/>
      <c r="BX148" s="525"/>
      <c r="BY148" s="525"/>
      <c r="BZ148" s="525"/>
      <c r="CA148" s="525"/>
      <c r="CB148" s="525"/>
      <c r="CC148" s="529"/>
      <c r="CD148" s="529"/>
      <c r="CE148" s="529"/>
      <c r="CF148" s="529"/>
      <c r="CG148" s="529"/>
      <c r="CH148" s="529"/>
      <c r="CI148" s="529"/>
      <c r="CJ148" s="529"/>
      <c r="CK148" s="529"/>
      <c r="CL148" s="529"/>
      <c r="CM148" s="529"/>
      <c r="CN148" s="529"/>
      <c r="CO148" s="529"/>
      <c r="CP148" s="529"/>
      <c r="CQ148" s="529"/>
      <c r="CR148" s="529"/>
      <c r="CS148" s="530"/>
      <c r="CT148" s="530"/>
      <c r="CU148" s="530"/>
      <c r="CV148" s="530"/>
      <c r="CW148" s="530"/>
      <c r="CX148" s="530"/>
      <c r="CY148" s="530"/>
      <c r="CZ148" s="530"/>
      <c r="DA148" s="530"/>
      <c r="DB148" s="530"/>
      <c r="DC148" s="530"/>
      <c r="DD148" s="530"/>
      <c r="DE148" s="530"/>
      <c r="DF148" s="530"/>
      <c r="DG148" s="530"/>
      <c r="DH148" s="530"/>
      <c r="DI148" s="530"/>
      <c r="DJ148" s="530"/>
      <c r="DK148" s="530"/>
      <c r="DL148" s="530"/>
      <c r="DM148" s="530"/>
      <c r="DN148" s="948"/>
      <c r="DO148" s="531">
        <v>25</v>
      </c>
      <c r="DP148" s="531"/>
      <c r="DQ148" s="532"/>
      <c r="DR148" s="532"/>
      <c r="DS148" s="527"/>
      <c r="DT148" s="527"/>
      <c r="DU148" s="527"/>
      <c r="DV148" s="527"/>
      <c r="DW148" s="527"/>
      <c r="DX148" s="527"/>
      <c r="DY148" s="527"/>
      <c r="DZ148" s="527"/>
      <c r="EA148" s="527"/>
      <c r="EB148" s="527"/>
      <c r="EC148" s="527"/>
      <c r="ED148" s="527"/>
      <c r="EE148" s="527"/>
      <c r="EF148" s="527"/>
      <c r="EG148" s="527"/>
      <c r="EH148" s="527"/>
      <c r="EI148" s="527"/>
      <c r="EJ148" s="527"/>
      <c r="EK148" s="527"/>
      <c r="EL148" s="527"/>
      <c r="EM148" s="527"/>
      <c r="EN148" s="527"/>
      <c r="EO148" s="527"/>
      <c r="EP148" s="527"/>
      <c r="EQ148" s="527"/>
      <c r="ER148" s="527"/>
      <c r="ES148" s="527"/>
      <c r="ET148" s="527"/>
      <c r="EU148" s="527"/>
      <c r="EV148" s="527"/>
      <c r="EW148" s="527"/>
      <c r="EX148" s="527"/>
      <c r="EY148" s="527"/>
      <c r="EZ148" s="527"/>
      <c r="FA148" s="377"/>
      <c r="FB148" s="378">
        <v>25</v>
      </c>
      <c r="FC148" s="378"/>
      <c r="FD148" s="379">
        <f t="shared" si="310"/>
        <v>0</v>
      </c>
      <c r="FE148" s="790"/>
    </row>
    <row r="149" spans="2:164" ht="26.1" customHeight="1" outlineLevel="1" thickBot="1" x14ac:dyDescent="0.3">
      <c r="B149" s="1018"/>
      <c r="C149" s="1020"/>
      <c r="D149" s="1055"/>
      <c r="E149" s="1061"/>
      <c r="F149" s="848" t="s">
        <v>146</v>
      </c>
      <c r="G149" s="814" t="s">
        <v>1492</v>
      </c>
      <c r="H149" s="589" t="s">
        <v>1197</v>
      </c>
      <c r="I149" s="589" t="s">
        <v>85</v>
      </c>
      <c r="J149" s="524"/>
      <c r="K149" s="525"/>
      <c r="L149" s="525"/>
      <c r="M149" s="525"/>
      <c r="N149" s="525"/>
      <c r="O149" s="525"/>
      <c r="P149" s="525"/>
      <c r="Q149" s="525"/>
      <c r="R149" s="525"/>
      <c r="S149" s="525"/>
      <c r="T149" s="525"/>
      <c r="U149" s="525"/>
      <c r="V149" s="525"/>
      <c r="W149" s="526"/>
      <c r="X149" s="526"/>
      <c r="Y149" s="526"/>
      <c r="Z149" s="526"/>
      <c r="AA149" s="526"/>
      <c r="AB149" s="526"/>
      <c r="AC149" s="526"/>
      <c r="AD149" s="526"/>
      <c r="AE149" s="526"/>
      <c r="AF149" s="526"/>
      <c r="AG149" s="526"/>
      <c r="AH149" s="526"/>
      <c r="AI149" s="526"/>
      <c r="AJ149" s="526"/>
      <c r="AK149" s="526"/>
      <c r="AL149" s="526"/>
      <c r="AM149" s="526"/>
      <c r="AN149" s="526"/>
      <c r="AO149" s="526"/>
      <c r="AP149" s="526"/>
      <c r="AQ149" s="526"/>
      <c r="AR149" s="526"/>
      <c r="AS149" s="526"/>
      <c r="AT149" s="526"/>
      <c r="AU149" s="526"/>
      <c r="AV149" s="526"/>
      <c r="AW149" s="526"/>
      <c r="AX149" s="526"/>
      <c r="AY149" s="526"/>
      <c r="AZ149" s="526"/>
      <c r="BA149" s="526"/>
      <c r="BB149" s="526"/>
      <c r="BC149" s="526"/>
      <c r="BD149" s="526"/>
      <c r="BE149" s="527"/>
      <c r="BF149" s="527"/>
      <c r="BG149" s="527"/>
      <c r="BH149" s="527"/>
      <c r="BI149" s="527"/>
      <c r="BJ149" s="527"/>
      <c r="BK149" s="527"/>
      <c r="BL149" s="527"/>
      <c r="BM149" s="527"/>
      <c r="BN149" s="528"/>
      <c r="BO149" s="528"/>
      <c r="BP149" s="528"/>
      <c r="BQ149" s="528"/>
      <c r="BR149" s="528"/>
      <c r="BS149" s="528"/>
      <c r="BT149" s="528"/>
      <c r="BU149" s="528"/>
      <c r="BV149" s="525"/>
      <c r="BW149" s="525"/>
      <c r="BX149" s="525"/>
      <c r="BY149" s="525"/>
      <c r="BZ149" s="525"/>
      <c r="CA149" s="525"/>
      <c r="CB149" s="525"/>
      <c r="CC149" s="529"/>
      <c r="CD149" s="529"/>
      <c r="CE149" s="529"/>
      <c r="CF149" s="529"/>
      <c r="CG149" s="529"/>
      <c r="CH149" s="529"/>
      <c r="CI149" s="529"/>
      <c r="CJ149" s="529"/>
      <c r="CK149" s="529"/>
      <c r="CL149" s="529"/>
      <c r="CM149" s="529"/>
      <c r="CN149" s="529"/>
      <c r="CO149" s="529"/>
      <c r="CP149" s="529"/>
      <c r="CQ149" s="529"/>
      <c r="CR149" s="529"/>
      <c r="CS149" s="530"/>
      <c r="CT149" s="530"/>
      <c r="CU149" s="530"/>
      <c r="CV149" s="530"/>
      <c r="CW149" s="530"/>
      <c r="CX149" s="530"/>
      <c r="CY149" s="530"/>
      <c r="CZ149" s="530"/>
      <c r="DA149" s="530"/>
      <c r="DB149" s="530"/>
      <c r="DC149" s="530"/>
      <c r="DD149" s="530"/>
      <c r="DE149" s="530"/>
      <c r="DF149" s="530"/>
      <c r="DG149" s="530"/>
      <c r="DH149" s="530"/>
      <c r="DI149" s="530"/>
      <c r="DJ149" s="530"/>
      <c r="DK149" s="530"/>
      <c r="DL149" s="530"/>
      <c r="DM149" s="530"/>
      <c r="DN149" s="948"/>
      <c r="DO149" s="531"/>
      <c r="DP149" s="531"/>
      <c r="DQ149" s="532"/>
      <c r="DR149" s="532"/>
      <c r="DS149" s="527"/>
      <c r="DT149" s="527"/>
      <c r="DU149" s="527"/>
      <c r="DV149" s="527"/>
      <c r="DW149" s="527"/>
      <c r="DX149" s="527"/>
      <c r="DY149" s="527"/>
      <c r="DZ149" s="527"/>
      <c r="EA149" s="527"/>
      <c r="EB149" s="527"/>
      <c r="EC149" s="527"/>
      <c r="ED149" s="527"/>
      <c r="EE149" s="527"/>
      <c r="EF149" s="527"/>
      <c r="EG149" s="527"/>
      <c r="EH149" s="527"/>
      <c r="EI149" s="527"/>
      <c r="EJ149" s="527"/>
      <c r="EK149" s="527"/>
      <c r="EL149" s="527"/>
      <c r="EM149" s="527"/>
      <c r="EN149" s="527"/>
      <c r="EO149" s="527"/>
      <c r="EP149" s="527">
        <v>60</v>
      </c>
      <c r="EQ149" s="527"/>
      <c r="ER149" s="527"/>
      <c r="ES149" s="527"/>
      <c r="ET149" s="527"/>
      <c r="EU149" s="527"/>
      <c r="EV149" s="527"/>
      <c r="EW149" s="527"/>
      <c r="EX149" s="527"/>
      <c r="EY149" s="527"/>
      <c r="EZ149" s="527"/>
      <c r="FA149" s="377"/>
      <c r="FB149" s="378">
        <v>60</v>
      </c>
      <c r="FC149" s="378"/>
      <c r="FD149" s="379">
        <f t="shared" si="310"/>
        <v>0</v>
      </c>
      <c r="FE149" s="790"/>
    </row>
    <row r="150" spans="2:164" ht="26.1" customHeight="1" outlineLevel="1" thickBot="1" x14ac:dyDescent="0.3">
      <c r="B150" s="1018"/>
      <c r="C150" s="1020"/>
      <c r="D150" s="1056"/>
      <c r="E150" s="1062"/>
      <c r="F150" s="849" t="s">
        <v>146</v>
      </c>
      <c r="G150" s="815" t="s">
        <v>1492</v>
      </c>
      <c r="H150" s="590" t="s">
        <v>1197</v>
      </c>
      <c r="I150" s="590" t="s">
        <v>60</v>
      </c>
      <c r="J150" s="533"/>
      <c r="K150" s="534"/>
      <c r="L150" s="534"/>
      <c r="M150" s="534"/>
      <c r="N150" s="534"/>
      <c r="O150" s="534"/>
      <c r="P150" s="534"/>
      <c r="Q150" s="534"/>
      <c r="R150" s="534"/>
      <c r="S150" s="534"/>
      <c r="T150" s="534"/>
      <c r="U150" s="534"/>
      <c r="V150" s="534"/>
      <c r="W150" s="535"/>
      <c r="X150" s="535"/>
      <c r="Y150" s="535"/>
      <c r="Z150" s="535"/>
      <c r="AA150" s="535"/>
      <c r="AB150" s="535"/>
      <c r="AC150" s="535"/>
      <c r="AD150" s="535"/>
      <c r="AE150" s="535"/>
      <c r="AF150" s="535"/>
      <c r="AG150" s="535"/>
      <c r="AH150" s="535"/>
      <c r="AI150" s="535"/>
      <c r="AJ150" s="535"/>
      <c r="AK150" s="535"/>
      <c r="AL150" s="535"/>
      <c r="AM150" s="535"/>
      <c r="AN150" s="535"/>
      <c r="AO150" s="535"/>
      <c r="AP150" s="535"/>
      <c r="AQ150" s="535"/>
      <c r="AR150" s="535"/>
      <c r="AS150" s="535"/>
      <c r="AT150" s="535"/>
      <c r="AU150" s="535"/>
      <c r="AV150" s="535"/>
      <c r="AW150" s="535"/>
      <c r="AX150" s="535"/>
      <c r="AY150" s="535"/>
      <c r="AZ150" s="535"/>
      <c r="BA150" s="535"/>
      <c r="BB150" s="535"/>
      <c r="BC150" s="535"/>
      <c r="BD150" s="535"/>
      <c r="BE150" s="536"/>
      <c r="BF150" s="536"/>
      <c r="BG150" s="536"/>
      <c r="BH150" s="536"/>
      <c r="BI150" s="536"/>
      <c r="BJ150" s="536"/>
      <c r="BK150" s="536"/>
      <c r="BL150" s="536"/>
      <c r="BM150" s="536"/>
      <c r="BN150" s="537">
        <v>15</v>
      </c>
      <c r="BO150" s="537"/>
      <c r="BP150" s="537"/>
      <c r="BQ150" s="537"/>
      <c r="BR150" s="537"/>
      <c r="BS150" s="537"/>
      <c r="BT150" s="537"/>
      <c r="BU150" s="537"/>
      <c r="BV150" s="534"/>
      <c r="BW150" s="534"/>
      <c r="BX150" s="534"/>
      <c r="BY150" s="534"/>
      <c r="BZ150" s="534"/>
      <c r="CA150" s="534"/>
      <c r="CB150" s="534"/>
      <c r="CC150" s="538"/>
      <c r="CD150" s="538"/>
      <c r="CE150" s="538"/>
      <c r="CF150" s="538"/>
      <c r="CG150" s="538"/>
      <c r="CH150" s="538"/>
      <c r="CI150" s="538"/>
      <c r="CJ150" s="538"/>
      <c r="CK150" s="538"/>
      <c r="CL150" s="538"/>
      <c r="CM150" s="538"/>
      <c r="CN150" s="538"/>
      <c r="CO150" s="538"/>
      <c r="CP150" s="538"/>
      <c r="CQ150" s="538"/>
      <c r="CR150" s="538"/>
      <c r="CS150" s="539"/>
      <c r="CT150" s="539"/>
      <c r="CU150" s="539"/>
      <c r="CV150" s="539"/>
      <c r="CW150" s="539"/>
      <c r="CX150" s="539"/>
      <c r="CY150" s="539"/>
      <c r="CZ150" s="539"/>
      <c r="DA150" s="539"/>
      <c r="DB150" s="539"/>
      <c r="DC150" s="539"/>
      <c r="DD150" s="539"/>
      <c r="DE150" s="539"/>
      <c r="DF150" s="539"/>
      <c r="DG150" s="539"/>
      <c r="DH150" s="539"/>
      <c r="DI150" s="539"/>
      <c r="DJ150" s="539"/>
      <c r="DK150" s="539"/>
      <c r="DL150" s="539"/>
      <c r="DM150" s="539"/>
      <c r="DN150" s="949"/>
      <c r="DO150" s="540"/>
      <c r="DP150" s="540"/>
      <c r="DQ150" s="541"/>
      <c r="DR150" s="541"/>
      <c r="DS150" s="536"/>
      <c r="DT150" s="536"/>
      <c r="DU150" s="536"/>
      <c r="DV150" s="536"/>
      <c r="DW150" s="536"/>
      <c r="DX150" s="536"/>
      <c r="DY150" s="536"/>
      <c r="DZ150" s="536"/>
      <c r="EA150" s="536"/>
      <c r="EB150" s="536"/>
      <c r="EC150" s="536"/>
      <c r="ED150" s="536"/>
      <c r="EE150" s="536"/>
      <c r="EF150" s="536"/>
      <c r="EG150" s="536"/>
      <c r="EH150" s="536"/>
      <c r="EI150" s="536"/>
      <c r="EJ150" s="536"/>
      <c r="EK150" s="536"/>
      <c r="EL150" s="536"/>
      <c r="EM150" s="536"/>
      <c r="EN150" s="536"/>
      <c r="EO150" s="536"/>
      <c r="EP150" s="536"/>
      <c r="EQ150" s="536"/>
      <c r="ER150" s="536"/>
      <c r="ES150" s="536"/>
      <c r="ET150" s="536"/>
      <c r="EU150" s="536"/>
      <c r="EV150" s="536"/>
      <c r="EW150" s="536"/>
      <c r="EX150" s="536"/>
      <c r="EY150" s="536"/>
      <c r="EZ150" s="536"/>
      <c r="FA150" s="377"/>
      <c r="FB150" s="378">
        <v>15</v>
      </c>
      <c r="FC150" s="378"/>
      <c r="FD150" s="379">
        <f t="shared" si="310"/>
        <v>0</v>
      </c>
      <c r="FE150" s="790"/>
    </row>
    <row r="151" spans="2:164" s="154" customFormat="1" ht="16.5" customHeight="1" outlineLevel="1" thickBot="1" x14ac:dyDescent="0.4">
      <c r="B151" s="1018"/>
      <c r="C151" s="1020"/>
      <c r="D151" s="155"/>
      <c r="E151" s="318" t="s">
        <v>174</v>
      </c>
      <c r="F151" s="850"/>
      <c r="G151" s="819"/>
      <c r="H151" s="591"/>
      <c r="I151" s="604"/>
      <c r="J151" s="305">
        <f>SUM(J147:J150)</f>
        <v>0</v>
      </c>
      <c r="K151" s="146">
        <f t="shared" ref="K151:CU151" si="311">SUM(K147:K150)</f>
        <v>0</v>
      </c>
      <c r="L151" s="146">
        <f t="shared" si="311"/>
        <v>0</v>
      </c>
      <c r="M151" s="146">
        <f t="shared" si="311"/>
        <v>0</v>
      </c>
      <c r="N151" s="146">
        <f t="shared" si="311"/>
        <v>0</v>
      </c>
      <c r="O151" s="146">
        <f t="shared" si="311"/>
        <v>0</v>
      </c>
      <c r="P151" s="146">
        <f t="shared" si="311"/>
        <v>0</v>
      </c>
      <c r="Q151" s="146">
        <f t="shared" si="311"/>
        <v>0</v>
      </c>
      <c r="R151" s="146">
        <f t="shared" si="311"/>
        <v>0</v>
      </c>
      <c r="S151" s="146">
        <f t="shared" si="311"/>
        <v>0</v>
      </c>
      <c r="T151" s="146">
        <f t="shared" ref="T151:V151" si="312">SUM(T147:T150)</f>
        <v>0</v>
      </c>
      <c r="U151" s="146">
        <f t="shared" si="312"/>
        <v>0</v>
      </c>
      <c r="V151" s="146">
        <f t="shared" si="312"/>
        <v>0</v>
      </c>
      <c r="W151" s="147">
        <f t="shared" si="311"/>
        <v>0</v>
      </c>
      <c r="X151" s="147">
        <f t="shared" si="311"/>
        <v>0</v>
      </c>
      <c r="Y151" s="147">
        <f t="shared" ref="Y151" si="313">SUM(Y147:Y150)</f>
        <v>0</v>
      </c>
      <c r="Z151" s="147">
        <f t="shared" si="311"/>
        <v>0</v>
      </c>
      <c r="AA151" s="147">
        <f t="shared" si="311"/>
        <v>0</v>
      </c>
      <c r="AB151" s="147">
        <f t="shared" ref="AB151:AC151" si="314">SUM(AB147:AB150)</f>
        <v>0</v>
      </c>
      <c r="AC151" s="147">
        <f t="shared" si="314"/>
        <v>0</v>
      </c>
      <c r="AD151" s="147">
        <f t="shared" si="311"/>
        <v>0</v>
      </c>
      <c r="AE151" s="147">
        <f t="shared" si="311"/>
        <v>0</v>
      </c>
      <c r="AF151" s="147">
        <f t="shared" ref="AF151:AH151" si="315">SUM(AF147:AF150)</f>
        <v>0</v>
      </c>
      <c r="AG151" s="147">
        <f t="shared" si="315"/>
        <v>0</v>
      </c>
      <c r="AH151" s="147">
        <f t="shared" si="315"/>
        <v>0</v>
      </c>
      <c r="AI151" s="147">
        <f t="shared" si="311"/>
        <v>0</v>
      </c>
      <c r="AJ151" s="147">
        <f t="shared" si="311"/>
        <v>0</v>
      </c>
      <c r="AK151" s="147">
        <f t="shared" si="311"/>
        <v>0</v>
      </c>
      <c r="AL151" s="147">
        <f t="shared" si="311"/>
        <v>0</v>
      </c>
      <c r="AM151" s="147">
        <f t="shared" ref="AM151:AS151" si="316">SUM(AM147:AM150)</f>
        <v>0</v>
      </c>
      <c r="AN151" s="147">
        <f t="shared" si="316"/>
        <v>0</v>
      </c>
      <c r="AO151" s="147">
        <f t="shared" si="316"/>
        <v>0</v>
      </c>
      <c r="AP151" s="147">
        <f t="shared" si="316"/>
        <v>0</v>
      </c>
      <c r="AQ151" s="147">
        <f t="shared" si="316"/>
        <v>0</v>
      </c>
      <c r="AR151" s="147">
        <f t="shared" si="316"/>
        <v>0</v>
      </c>
      <c r="AS151" s="147">
        <f t="shared" si="316"/>
        <v>0</v>
      </c>
      <c r="AT151" s="147">
        <f t="shared" si="311"/>
        <v>0</v>
      </c>
      <c r="AU151" s="147">
        <f t="shared" ref="AU151:BD151" si="317">SUM(AU147:AU150)</f>
        <v>0</v>
      </c>
      <c r="AV151" s="147">
        <f t="shared" si="317"/>
        <v>0</v>
      </c>
      <c r="AW151" s="147">
        <f t="shared" si="317"/>
        <v>0</v>
      </c>
      <c r="AX151" s="147">
        <f t="shared" si="317"/>
        <v>0</v>
      </c>
      <c r="AY151" s="147">
        <f t="shared" si="317"/>
        <v>0</v>
      </c>
      <c r="AZ151" s="147">
        <f t="shared" si="317"/>
        <v>0</v>
      </c>
      <c r="BA151" s="147">
        <f t="shared" si="317"/>
        <v>0</v>
      </c>
      <c r="BB151" s="147">
        <f t="shared" si="317"/>
        <v>0</v>
      </c>
      <c r="BC151" s="147">
        <f t="shared" si="317"/>
        <v>0</v>
      </c>
      <c r="BD151" s="147">
        <f t="shared" si="317"/>
        <v>0</v>
      </c>
      <c r="BE151" s="148">
        <f t="shared" ref="BE151:BP151" si="318">SUM(BE147:BE150)</f>
        <v>0</v>
      </c>
      <c r="BF151" s="148">
        <f t="shared" si="318"/>
        <v>0</v>
      </c>
      <c r="BG151" s="148">
        <f t="shared" si="318"/>
        <v>0</v>
      </c>
      <c r="BH151" s="148">
        <f t="shared" si="318"/>
        <v>0</v>
      </c>
      <c r="BI151" s="148">
        <f t="shared" ref="BI151:BL151" si="319">SUM(BI147:BI150)</f>
        <v>0</v>
      </c>
      <c r="BJ151" s="148">
        <f t="shared" si="319"/>
        <v>0</v>
      </c>
      <c r="BK151" s="148">
        <f t="shared" si="319"/>
        <v>0</v>
      </c>
      <c r="BL151" s="148">
        <f t="shared" si="319"/>
        <v>0</v>
      </c>
      <c r="BM151" s="148">
        <f t="shared" si="318"/>
        <v>0</v>
      </c>
      <c r="BN151" s="149">
        <f t="shared" si="318"/>
        <v>15</v>
      </c>
      <c r="BO151" s="149">
        <f t="shared" si="318"/>
        <v>0</v>
      </c>
      <c r="BP151" s="149">
        <f t="shared" si="318"/>
        <v>0</v>
      </c>
      <c r="BQ151" s="149">
        <f t="shared" ref="BQ151" si="320">SUM(BQ147:BQ150)</f>
        <v>0</v>
      </c>
      <c r="BR151" s="149">
        <f t="shared" ref="BR151:BU151" si="321">SUM(BR147:BR150)</f>
        <v>0</v>
      </c>
      <c r="BS151" s="149">
        <f t="shared" si="321"/>
        <v>0</v>
      </c>
      <c r="BT151" s="149">
        <f t="shared" si="321"/>
        <v>0</v>
      </c>
      <c r="BU151" s="149">
        <f t="shared" si="321"/>
        <v>0</v>
      </c>
      <c r="BV151" s="146">
        <f t="shared" ref="BV151:BX151" si="322">SUM(BV147:BV150)</f>
        <v>0</v>
      </c>
      <c r="BW151" s="146">
        <f t="shared" si="322"/>
        <v>0</v>
      </c>
      <c r="BX151" s="146">
        <f t="shared" si="322"/>
        <v>0</v>
      </c>
      <c r="BY151" s="146">
        <f t="shared" ref="BY151:BZ151" si="323">SUM(BY147:BY150)</f>
        <v>0</v>
      </c>
      <c r="BZ151" s="146">
        <f t="shared" si="323"/>
        <v>0</v>
      </c>
      <c r="CA151" s="146">
        <f t="shared" si="311"/>
        <v>0</v>
      </c>
      <c r="CB151" s="146">
        <f t="shared" si="311"/>
        <v>0</v>
      </c>
      <c r="CC151" s="265">
        <f t="shared" si="311"/>
        <v>0</v>
      </c>
      <c r="CD151" s="265">
        <f t="shared" si="311"/>
        <v>0</v>
      </c>
      <c r="CE151" s="265">
        <f t="shared" si="311"/>
        <v>0</v>
      </c>
      <c r="CF151" s="265">
        <f t="shared" si="311"/>
        <v>0</v>
      </c>
      <c r="CG151" s="265">
        <f t="shared" si="311"/>
        <v>0</v>
      </c>
      <c r="CH151" s="265">
        <f t="shared" si="311"/>
        <v>0</v>
      </c>
      <c r="CI151" s="265">
        <f t="shared" si="311"/>
        <v>0</v>
      </c>
      <c r="CJ151" s="265">
        <f t="shared" ref="CJ151" si="324">SUM(CJ147:CJ150)</f>
        <v>0</v>
      </c>
      <c r="CK151" s="265">
        <f t="shared" ref="CK151" si="325">SUM(CK147:CK150)</f>
        <v>0</v>
      </c>
      <c r="CL151" s="265">
        <f t="shared" si="311"/>
        <v>0</v>
      </c>
      <c r="CM151" s="265">
        <f t="shared" si="311"/>
        <v>0</v>
      </c>
      <c r="CN151" s="265">
        <f t="shared" ref="CN151:CQ151" si="326">SUM(CN147:CN150)</f>
        <v>0</v>
      </c>
      <c r="CO151" s="265">
        <f t="shared" si="326"/>
        <v>0</v>
      </c>
      <c r="CP151" s="265">
        <f t="shared" si="326"/>
        <v>0</v>
      </c>
      <c r="CQ151" s="265">
        <f t="shared" si="326"/>
        <v>0</v>
      </c>
      <c r="CR151" s="265">
        <f t="shared" si="311"/>
        <v>0</v>
      </c>
      <c r="CS151" s="281">
        <f t="shared" si="311"/>
        <v>0</v>
      </c>
      <c r="CT151" s="281">
        <f t="shared" ref="CT151" si="327">SUM(CT147:CT150)</f>
        <v>0</v>
      </c>
      <c r="CU151" s="281">
        <f t="shared" si="311"/>
        <v>0</v>
      </c>
      <c r="CV151" s="281">
        <f t="shared" ref="CV151:DE151" si="328">SUM(CV147:CV150)</f>
        <v>0</v>
      </c>
      <c r="CW151" s="281">
        <f t="shared" si="328"/>
        <v>0</v>
      </c>
      <c r="CX151" s="281">
        <f t="shared" si="328"/>
        <v>0</v>
      </c>
      <c r="CY151" s="281">
        <f t="shared" si="328"/>
        <v>0</v>
      </c>
      <c r="CZ151" s="281">
        <f t="shared" ref="CZ151" si="329">SUM(CZ147:CZ150)</f>
        <v>0</v>
      </c>
      <c r="DA151" s="281">
        <f t="shared" si="328"/>
        <v>0</v>
      </c>
      <c r="DB151" s="281">
        <f t="shared" si="328"/>
        <v>0</v>
      </c>
      <c r="DC151" s="281">
        <f t="shared" si="328"/>
        <v>0</v>
      </c>
      <c r="DD151" s="281">
        <f t="shared" ref="DD151" si="330">SUM(DD147:DD150)</f>
        <v>0</v>
      </c>
      <c r="DE151" s="281">
        <f t="shared" si="328"/>
        <v>0</v>
      </c>
      <c r="DF151" s="281">
        <f t="shared" ref="DF151:FD151" si="331">SUM(DF147:DF150)</f>
        <v>0</v>
      </c>
      <c r="DG151" s="281">
        <f t="shared" si="331"/>
        <v>0</v>
      </c>
      <c r="DH151" s="281">
        <f t="shared" si="331"/>
        <v>0</v>
      </c>
      <c r="DI151" s="281">
        <f t="shared" ref="DI151:DQ151" si="332">SUM(DI147:DI150)</f>
        <v>0</v>
      </c>
      <c r="DJ151" s="281">
        <f t="shared" si="332"/>
        <v>0</v>
      </c>
      <c r="DK151" s="281">
        <f t="shared" si="332"/>
        <v>0</v>
      </c>
      <c r="DL151" s="281">
        <f t="shared" si="332"/>
        <v>0</v>
      </c>
      <c r="DM151" s="281">
        <f t="shared" si="332"/>
        <v>0</v>
      </c>
      <c r="DN151" s="936">
        <f t="shared" si="332"/>
        <v>0</v>
      </c>
      <c r="DO151" s="148">
        <f t="shared" si="332"/>
        <v>50</v>
      </c>
      <c r="DP151" s="148">
        <f t="shared" si="332"/>
        <v>0</v>
      </c>
      <c r="DQ151" s="148">
        <f t="shared" si="332"/>
        <v>0</v>
      </c>
      <c r="DR151" s="148">
        <f t="shared" si="331"/>
        <v>0</v>
      </c>
      <c r="DS151" s="148">
        <f t="shared" si="331"/>
        <v>0</v>
      </c>
      <c r="DT151" s="148">
        <f t="shared" si="331"/>
        <v>0</v>
      </c>
      <c r="DU151" s="148">
        <f t="shared" si="331"/>
        <v>0</v>
      </c>
      <c r="DV151" s="148">
        <f t="shared" si="331"/>
        <v>0</v>
      </c>
      <c r="DW151" s="148">
        <f t="shared" si="331"/>
        <v>0</v>
      </c>
      <c r="DX151" s="148">
        <f t="shared" si="331"/>
        <v>0</v>
      </c>
      <c r="DY151" s="148">
        <f t="shared" ref="DY151:EO151" si="333">SUM(DY147:DY150)</f>
        <v>0</v>
      </c>
      <c r="DZ151" s="148">
        <f t="shared" si="333"/>
        <v>0</v>
      </c>
      <c r="EA151" s="148">
        <f t="shared" si="333"/>
        <v>250</v>
      </c>
      <c r="EB151" s="148">
        <f t="shared" si="333"/>
        <v>0</v>
      </c>
      <c r="EC151" s="148">
        <f t="shared" si="333"/>
        <v>0</v>
      </c>
      <c r="ED151" s="148">
        <f t="shared" si="333"/>
        <v>1</v>
      </c>
      <c r="EE151" s="148">
        <f t="shared" si="333"/>
        <v>0</v>
      </c>
      <c r="EF151" s="148">
        <f t="shared" si="333"/>
        <v>0</v>
      </c>
      <c r="EG151" s="148">
        <f t="shared" si="333"/>
        <v>0</v>
      </c>
      <c r="EH151" s="148">
        <f t="shared" si="333"/>
        <v>0</v>
      </c>
      <c r="EI151" s="148">
        <f t="shared" si="333"/>
        <v>0</v>
      </c>
      <c r="EJ151" s="148">
        <f t="shared" si="333"/>
        <v>0</v>
      </c>
      <c r="EK151" s="148">
        <f t="shared" si="333"/>
        <v>0</v>
      </c>
      <c r="EL151" s="148">
        <f t="shared" si="333"/>
        <v>0</v>
      </c>
      <c r="EM151" s="148">
        <f t="shared" si="333"/>
        <v>0</v>
      </c>
      <c r="EN151" s="148">
        <f t="shared" si="333"/>
        <v>0</v>
      </c>
      <c r="EO151" s="148">
        <f t="shared" si="333"/>
        <v>0</v>
      </c>
      <c r="EP151" s="148">
        <f t="shared" ref="EP151:EZ151" si="334">SUM(EP147:EP150)</f>
        <v>60</v>
      </c>
      <c r="EQ151" s="148">
        <f t="shared" si="334"/>
        <v>0</v>
      </c>
      <c r="ER151" s="148">
        <f t="shared" si="334"/>
        <v>0</v>
      </c>
      <c r="ES151" s="148">
        <f t="shared" si="334"/>
        <v>0</v>
      </c>
      <c r="ET151" s="148">
        <f t="shared" si="334"/>
        <v>0</v>
      </c>
      <c r="EU151" s="148">
        <f t="shared" si="334"/>
        <v>0</v>
      </c>
      <c r="EV151" s="148">
        <f t="shared" si="334"/>
        <v>0</v>
      </c>
      <c r="EW151" s="148">
        <f t="shared" si="334"/>
        <v>0</v>
      </c>
      <c r="EX151" s="148">
        <f t="shared" si="334"/>
        <v>0</v>
      </c>
      <c r="EY151" s="148">
        <f t="shared" si="334"/>
        <v>0</v>
      </c>
      <c r="EZ151" s="148">
        <f t="shared" si="334"/>
        <v>0</v>
      </c>
      <c r="FA151" s="150">
        <f t="shared" si="331"/>
        <v>0</v>
      </c>
      <c r="FB151" s="151">
        <f t="shared" si="331"/>
        <v>350</v>
      </c>
      <c r="FC151" s="151">
        <f t="shared" si="331"/>
        <v>0</v>
      </c>
      <c r="FD151" s="152">
        <f t="shared" si="331"/>
        <v>0</v>
      </c>
      <c r="FE151" s="792" t="str">
        <f>IF(FB151&lt;инфо!$AN$77,FB151-инфо!$AN$77,"")</f>
        <v/>
      </c>
      <c r="FF151" s="153"/>
      <c r="FG151" s="153"/>
      <c r="FH151" s="153"/>
    </row>
    <row r="152" spans="2:164" s="138" customFormat="1" ht="32.1" customHeight="1" thickBot="1" x14ac:dyDescent="0.4">
      <c r="B152" s="174" t="s">
        <v>175</v>
      </c>
      <c r="C152" s="156"/>
      <c r="D152" s="306"/>
      <c r="E152" s="319" t="s">
        <v>176</v>
      </c>
      <c r="F152" s="851"/>
      <c r="G152" s="826"/>
      <c r="H152" s="592" t="s">
        <v>1425</v>
      </c>
      <c r="I152" s="605" t="s">
        <v>194</v>
      </c>
      <c r="J152" s="542">
        <f>SUMIF($E108:$E151,$E152,J108:J151)</f>
        <v>0</v>
      </c>
      <c r="K152" s="543">
        <f t="shared" ref="K152:CU152" si="335">SUMIF($E108:$E151,$E152,K108:K151)</f>
        <v>0</v>
      </c>
      <c r="L152" s="543">
        <f t="shared" si="335"/>
        <v>0</v>
      </c>
      <c r="M152" s="543">
        <f t="shared" si="335"/>
        <v>0</v>
      </c>
      <c r="N152" s="543">
        <f t="shared" si="335"/>
        <v>0</v>
      </c>
      <c r="O152" s="543">
        <f t="shared" si="335"/>
        <v>20</v>
      </c>
      <c r="P152" s="543">
        <f t="shared" si="335"/>
        <v>0</v>
      </c>
      <c r="Q152" s="543">
        <f t="shared" si="335"/>
        <v>166</v>
      </c>
      <c r="R152" s="543">
        <f t="shared" si="335"/>
        <v>0</v>
      </c>
      <c r="S152" s="543">
        <f t="shared" si="335"/>
        <v>0</v>
      </c>
      <c r="T152" s="543">
        <f t="shared" ref="T152:V152" si="336">SUMIF($E108:$E151,$E152,T108:T151)</f>
        <v>0</v>
      </c>
      <c r="U152" s="543">
        <f t="shared" si="336"/>
        <v>0</v>
      </c>
      <c r="V152" s="543">
        <f t="shared" si="336"/>
        <v>83</v>
      </c>
      <c r="W152" s="544">
        <f t="shared" si="335"/>
        <v>0</v>
      </c>
      <c r="X152" s="544">
        <f t="shared" si="335"/>
        <v>15.6</v>
      </c>
      <c r="Y152" s="544">
        <f t="shared" ref="Y152" si="337">SUMIF($E108:$E151,$E152,Y108:Y151)</f>
        <v>0</v>
      </c>
      <c r="Z152" s="544">
        <f t="shared" si="335"/>
        <v>150</v>
      </c>
      <c r="AA152" s="544">
        <f t="shared" si="335"/>
        <v>326</v>
      </c>
      <c r="AB152" s="544">
        <f t="shared" ref="AB152:AC152" si="338">SUMIF($E108:$E151,$E152,AB108:AB151)</f>
        <v>0</v>
      </c>
      <c r="AC152" s="544">
        <f t="shared" si="338"/>
        <v>0</v>
      </c>
      <c r="AD152" s="544">
        <f t="shared" si="335"/>
        <v>235</v>
      </c>
      <c r="AE152" s="544">
        <f t="shared" si="335"/>
        <v>140</v>
      </c>
      <c r="AF152" s="544">
        <f t="shared" ref="AF152:AH152" si="339">SUMIF($E108:$E151,$E152,AF108:AF151)</f>
        <v>29</v>
      </c>
      <c r="AG152" s="544">
        <f t="shared" si="339"/>
        <v>32.200000000000003</v>
      </c>
      <c r="AH152" s="544">
        <f t="shared" si="339"/>
        <v>0</v>
      </c>
      <c r="AI152" s="544">
        <f t="shared" si="335"/>
        <v>0</v>
      </c>
      <c r="AJ152" s="544">
        <f t="shared" si="335"/>
        <v>0</v>
      </c>
      <c r="AK152" s="544">
        <f t="shared" si="335"/>
        <v>0</v>
      </c>
      <c r="AL152" s="544">
        <f t="shared" si="335"/>
        <v>0</v>
      </c>
      <c r="AM152" s="544">
        <f t="shared" ref="AM152:AS152" si="340">SUMIF($E108:$E151,$E152,AM108:AM151)</f>
        <v>0</v>
      </c>
      <c r="AN152" s="544">
        <f t="shared" si="340"/>
        <v>0</v>
      </c>
      <c r="AO152" s="544">
        <f t="shared" si="340"/>
        <v>10</v>
      </c>
      <c r="AP152" s="544">
        <f t="shared" si="340"/>
        <v>0</v>
      </c>
      <c r="AQ152" s="544">
        <f t="shared" si="340"/>
        <v>0</v>
      </c>
      <c r="AR152" s="544">
        <f t="shared" si="340"/>
        <v>0</v>
      </c>
      <c r="AS152" s="544">
        <f t="shared" si="340"/>
        <v>0</v>
      </c>
      <c r="AT152" s="544">
        <f t="shared" si="335"/>
        <v>0</v>
      </c>
      <c r="AU152" s="544">
        <f t="shared" ref="AU152:BD152" si="341">SUMIF($E108:$E151,$E152,AU108:AU151)</f>
        <v>20</v>
      </c>
      <c r="AV152" s="544">
        <f t="shared" si="341"/>
        <v>105</v>
      </c>
      <c r="AW152" s="544">
        <f t="shared" si="341"/>
        <v>0</v>
      </c>
      <c r="AX152" s="544">
        <f t="shared" si="341"/>
        <v>0</v>
      </c>
      <c r="AY152" s="544">
        <f t="shared" si="341"/>
        <v>0</v>
      </c>
      <c r="AZ152" s="544">
        <f t="shared" si="341"/>
        <v>0</v>
      </c>
      <c r="BA152" s="544">
        <f t="shared" si="341"/>
        <v>0</v>
      </c>
      <c r="BB152" s="544">
        <f t="shared" si="341"/>
        <v>37.5</v>
      </c>
      <c r="BC152" s="544">
        <f t="shared" si="341"/>
        <v>0</v>
      </c>
      <c r="BD152" s="544">
        <f t="shared" si="341"/>
        <v>0</v>
      </c>
      <c r="BE152" s="545">
        <f t="shared" ref="BE152:BP152" si="342">SUMIF($E108:$E151,$E152,BE108:BE151)</f>
        <v>200</v>
      </c>
      <c r="BF152" s="545">
        <f t="shared" si="342"/>
        <v>0</v>
      </c>
      <c r="BG152" s="545">
        <f t="shared" si="342"/>
        <v>0</v>
      </c>
      <c r="BH152" s="545">
        <f t="shared" si="342"/>
        <v>22</v>
      </c>
      <c r="BI152" s="545">
        <f t="shared" ref="BI152:BL152" si="343">SUMIF($E108:$E151,$E152,BI108:BI151)</f>
        <v>0</v>
      </c>
      <c r="BJ152" s="545">
        <f t="shared" si="343"/>
        <v>5</v>
      </c>
      <c r="BK152" s="545">
        <f t="shared" si="343"/>
        <v>0</v>
      </c>
      <c r="BL152" s="545">
        <f t="shared" si="343"/>
        <v>0</v>
      </c>
      <c r="BM152" s="545">
        <f t="shared" si="342"/>
        <v>0</v>
      </c>
      <c r="BN152" s="546">
        <f t="shared" si="342"/>
        <v>75</v>
      </c>
      <c r="BO152" s="546">
        <f t="shared" si="342"/>
        <v>27.4</v>
      </c>
      <c r="BP152" s="546">
        <f t="shared" si="342"/>
        <v>0</v>
      </c>
      <c r="BQ152" s="546">
        <f t="shared" ref="BQ152" si="344">SUMIF($E108:$E151,$E152,BQ108:BQ151)</f>
        <v>0</v>
      </c>
      <c r="BR152" s="546">
        <f t="shared" ref="BR152:BU152" si="345">SUMIF($E108:$E151,$E152,BR108:BR151)</f>
        <v>0</v>
      </c>
      <c r="BS152" s="546">
        <f t="shared" si="345"/>
        <v>0</v>
      </c>
      <c r="BT152" s="546">
        <f t="shared" si="345"/>
        <v>0</v>
      </c>
      <c r="BU152" s="546">
        <f t="shared" si="345"/>
        <v>75</v>
      </c>
      <c r="BV152" s="543">
        <f t="shared" ref="BV152:BX152" si="346">SUMIF($E108:$E151,$E152,BV108:BV151)</f>
        <v>0</v>
      </c>
      <c r="BW152" s="543">
        <f t="shared" si="346"/>
        <v>0</v>
      </c>
      <c r="BX152" s="543">
        <f t="shared" si="346"/>
        <v>0</v>
      </c>
      <c r="BY152" s="543">
        <f t="shared" ref="BY152:BZ152" si="347">SUMIF($E108:$E151,$E152,BY108:BY151)</f>
        <v>0</v>
      </c>
      <c r="BZ152" s="543">
        <f t="shared" si="347"/>
        <v>0</v>
      </c>
      <c r="CA152" s="543">
        <f t="shared" si="335"/>
        <v>0</v>
      </c>
      <c r="CB152" s="543">
        <f t="shared" si="335"/>
        <v>0</v>
      </c>
      <c r="CC152" s="547">
        <f t="shared" si="335"/>
        <v>0</v>
      </c>
      <c r="CD152" s="547">
        <f t="shared" si="335"/>
        <v>25</v>
      </c>
      <c r="CE152" s="547">
        <f t="shared" si="335"/>
        <v>0</v>
      </c>
      <c r="CF152" s="547">
        <f t="shared" si="335"/>
        <v>80</v>
      </c>
      <c r="CG152" s="547">
        <f t="shared" si="335"/>
        <v>0</v>
      </c>
      <c r="CH152" s="547">
        <f t="shared" si="335"/>
        <v>0</v>
      </c>
      <c r="CI152" s="547">
        <f t="shared" si="335"/>
        <v>0</v>
      </c>
      <c r="CJ152" s="547">
        <f t="shared" ref="CJ152" si="348">SUMIF($E108:$E151,$E152,CJ108:CJ151)</f>
        <v>0</v>
      </c>
      <c r="CK152" s="547">
        <f t="shared" ref="CK152" si="349">SUMIF($E108:$E151,$E152,CK108:CK151)</f>
        <v>0</v>
      </c>
      <c r="CL152" s="547">
        <f t="shared" si="335"/>
        <v>0</v>
      </c>
      <c r="CM152" s="547">
        <f t="shared" si="335"/>
        <v>0</v>
      </c>
      <c r="CN152" s="547">
        <f t="shared" ref="CN152:CQ152" si="350">SUMIF($E108:$E151,$E152,CN108:CN151)</f>
        <v>0</v>
      </c>
      <c r="CO152" s="547">
        <f t="shared" si="350"/>
        <v>120</v>
      </c>
      <c r="CP152" s="547">
        <f t="shared" si="350"/>
        <v>0</v>
      </c>
      <c r="CQ152" s="547">
        <f t="shared" si="350"/>
        <v>0</v>
      </c>
      <c r="CR152" s="547">
        <f t="shared" si="335"/>
        <v>0</v>
      </c>
      <c r="CS152" s="548">
        <f t="shared" si="335"/>
        <v>0</v>
      </c>
      <c r="CT152" s="548">
        <f t="shared" ref="CT152" si="351">SUMIF($E108:$E151,$E152,CT108:CT151)</f>
        <v>0</v>
      </c>
      <c r="CU152" s="548">
        <f t="shared" si="335"/>
        <v>0</v>
      </c>
      <c r="CV152" s="548">
        <f t="shared" ref="CV152:DE152" si="352">SUMIF($E108:$E151,$E152,CV108:CV151)</f>
        <v>0</v>
      </c>
      <c r="CW152" s="548">
        <f t="shared" si="352"/>
        <v>0</v>
      </c>
      <c r="CX152" s="548">
        <f t="shared" si="352"/>
        <v>0</v>
      </c>
      <c r="CY152" s="548">
        <f t="shared" si="352"/>
        <v>0</v>
      </c>
      <c r="CZ152" s="548">
        <f t="shared" ref="CZ152" si="353">SUMIF($E108:$E151,$E152,CZ108:CZ151)</f>
        <v>0</v>
      </c>
      <c r="DA152" s="548">
        <f t="shared" si="352"/>
        <v>0</v>
      </c>
      <c r="DB152" s="548">
        <f t="shared" si="352"/>
        <v>0</v>
      </c>
      <c r="DC152" s="548">
        <f t="shared" si="352"/>
        <v>0</v>
      </c>
      <c r="DD152" s="548">
        <f t="shared" ref="DD152" si="354">SUMIF($E108:$E151,$E152,DD108:DD151)</f>
        <v>0</v>
      </c>
      <c r="DE152" s="548">
        <f t="shared" si="352"/>
        <v>0</v>
      </c>
      <c r="DF152" s="548">
        <f t="shared" ref="DF152:FD152" si="355">SUMIF($E108:$E151,$E152,DF108:DF151)</f>
        <v>0</v>
      </c>
      <c r="DG152" s="548">
        <f t="shared" si="355"/>
        <v>0</v>
      </c>
      <c r="DH152" s="548">
        <f t="shared" si="355"/>
        <v>0</v>
      </c>
      <c r="DI152" s="548">
        <f t="shared" ref="DI152:DQ152" si="356">SUMIF($E108:$E151,$E152,DI108:DI151)</f>
        <v>0</v>
      </c>
      <c r="DJ152" s="548">
        <f t="shared" si="356"/>
        <v>0</v>
      </c>
      <c r="DK152" s="548">
        <f t="shared" si="356"/>
        <v>0</v>
      </c>
      <c r="DL152" s="548">
        <f t="shared" si="356"/>
        <v>0</v>
      </c>
      <c r="DM152" s="548">
        <f t="shared" si="356"/>
        <v>0</v>
      </c>
      <c r="DN152" s="950">
        <f t="shared" si="356"/>
        <v>1</v>
      </c>
      <c r="DO152" s="545">
        <f t="shared" si="356"/>
        <v>110</v>
      </c>
      <c r="DP152" s="545">
        <f t="shared" si="356"/>
        <v>21.7</v>
      </c>
      <c r="DQ152" s="545">
        <f t="shared" si="356"/>
        <v>4.7200000000000006E-2</v>
      </c>
      <c r="DR152" s="545">
        <f t="shared" si="355"/>
        <v>0.22800000000000001</v>
      </c>
      <c r="DS152" s="545">
        <f t="shared" si="355"/>
        <v>4.5999999999999996</v>
      </c>
      <c r="DT152" s="545">
        <f t="shared" si="355"/>
        <v>5</v>
      </c>
      <c r="DU152" s="545">
        <f t="shared" si="355"/>
        <v>0</v>
      </c>
      <c r="DV152" s="545">
        <f t="shared" si="355"/>
        <v>0</v>
      </c>
      <c r="DW152" s="545">
        <f t="shared" si="355"/>
        <v>0</v>
      </c>
      <c r="DX152" s="545">
        <f t="shared" si="355"/>
        <v>0</v>
      </c>
      <c r="DY152" s="545">
        <f t="shared" ref="DY152:EO152" si="357">SUMIF($E108:$E151,$E152,DY108:DY151)</f>
        <v>0</v>
      </c>
      <c r="DZ152" s="545">
        <f t="shared" si="357"/>
        <v>0</v>
      </c>
      <c r="EA152" s="545">
        <f t="shared" si="357"/>
        <v>1445.2</v>
      </c>
      <c r="EB152" s="545">
        <f t="shared" si="357"/>
        <v>819.2</v>
      </c>
      <c r="EC152" s="545">
        <f t="shared" si="357"/>
        <v>400</v>
      </c>
      <c r="ED152" s="545">
        <f t="shared" si="357"/>
        <v>1</v>
      </c>
      <c r="EE152" s="545">
        <f t="shared" si="357"/>
        <v>0</v>
      </c>
      <c r="EF152" s="545">
        <f t="shared" si="357"/>
        <v>1.5</v>
      </c>
      <c r="EG152" s="545">
        <f t="shared" si="357"/>
        <v>0</v>
      </c>
      <c r="EH152" s="545">
        <f t="shared" si="357"/>
        <v>0</v>
      </c>
      <c r="EI152" s="545">
        <f t="shared" si="357"/>
        <v>0</v>
      </c>
      <c r="EJ152" s="545">
        <f t="shared" si="357"/>
        <v>0</v>
      </c>
      <c r="EK152" s="545">
        <f t="shared" si="357"/>
        <v>0</v>
      </c>
      <c r="EL152" s="545">
        <f t="shared" si="357"/>
        <v>0</v>
      </c>
      <c r="EM152" s="545">
        <f t="shared" si="357"/>
        <v>0</v>
      </c>
      <c r="EN152" s="545">
        <f t="shared" si="357"/>
        <v>0</v>
      </c>
      <c r="EO152" s="545">
        <f t="shared" si="357"/>
        <v>20</v>
      </c>
      <c r="EP152" s="545">
        <f t="shared" ref="EP152:EZ152" si="358">SUMIF($E108:$E151,$E152,EP108:EP151)</f>
        <v>60</v>
      </c>
      <c r="EQ152" s="545">
        <f t="shared" si="358"/>
        <v>0</v>
      </c>
      <c r="ER152" s="545">
        <f t="shared" si="358"/>
        <v>0</v>
      </c>
      <c r="ES152" s="545">
        <f t="shared" si="358"/>
        <v>0</v>
      </c>
      <c r="ET152" s="545">
        <f t="shared" si="358"/>
        <v>0</v>
      </c>
      <c r="EU152" s="545">
        <f t="shared" si="358"/>
        <v>0</v>
      </c>
      <c r="EV152" s="545">
        <f t="shared" si="358"/>
        <v>0</v>
      </c>
      <c r="EW152" s="545">
        <f t="shared" si="358"/>
        <v>0</v>
      </c>
      <c r="EX152" s="545">
        <f t="shared" si="358"/>
        <v>0</v>
      </c>
      <c r="EY152" s="545">
        <f t="shared" si="358"/>
        <v>0</v>
      </c>
      <c r="EZ152" s="545">
        <f t="shared" si="358"/>
        <v>0</v>
      </c>
      <c r="FA152" s="549">
        <f t="shared" si="355"/>
        <v>1912.5</v>
      </c>
      <c r="FB152" s="549">
        <f t="shared" si="355"/>
        <v>4113.3</v>
      </c>
      <c r="FC152" s="549">
        <f t="shared" si="355"/>
        <v>222</v>
      </c>
      <c r="FD152" s="550">
        <f t="shared" si="355"/>
        <v>335</v>
      </c>
      <c r="FE152" s="791" t="str">
        <f>IF(FB152&lt;инфо!$AN$73,FB152-инфо!$AN$73,"")</f>
        <v/>
      </c>
      <c r="FF152" s="157"/>
      <c r="FG152" s="157"/>
      <c r="FH152" s="157"/>
    </row>
    <row r="153" spans="2:164" ht="26.1" customHeight="1" outlineLevel="1" thickBot="1" x14ac:dyDescent="0.3">
      <c r="B153" s="1017" t="s">
        <v>121</v>
      </c>
      <c r="C153" s="1019">
        <f>C108+1</f>
        <v>45130</v>
      </c>
      <c r="D153" s="1036" t="s">
        <v>111</v>
      </c>
      <c r="E153" s="1039" t="s">
        <v>114</v>
      </c>
      <c r="F153" s="831" t="s">
        <v>111</v>
      </c>
      <c r="G153" s="798" t="str">
        <f>VLOOKUP(H153,инфо!AD:AE,2,FALSE)</f>
        <v>Прочее</v>
      </c>
      <c r="H153" s="569" t="s">
        <v>1206</v>
      </c>
      <c r="I153" s="609" t="s">
        <v>936</v>
      </c>
      <c r="J153" s="355"/>
      <c r="K153" s="356"/>
      <c r="L153" s="356"/>
      <c r="M153" s="356"/>
      <c r="N153" s="356"/>
      <c r="O153" s="356"/>
      <c r="P153" s="356"/>
      <c r="Q153" s="356"/>
      <c r="R153" s="356"/>
      <c r="S153" s="356"/>
      <c r="T153" s="356"/>
      <c r="U153" s="356"/>
      <c r="V153" s="356"/>
      <c r="W153" s="357"/>
      <c r="X153" s="357"/>
      <c r="Y153" s="357"/>
      <c r="Z153" s="357"/>
      <c r="AA153" s="357"/>
      <c r="AB153" s="357"/>
      <c r="AC153" s="357"/>
      <c r="AD153" s="357"/>
      <c r="AE153" s="357"/>
      <c r="AF153" s="357"/>
      <c r="AG153" s="357"/>
      <c r="AH153" s="357"/>
      <c r="AI153" s="357"/>
      <c r="AJ153" s="357"/>
      <c r="AK153" s="357"/>
      <c r="AL153" s="357"/>
      <c r="AM153" s="357"/>
      <c r="AN153" s="357"/>
      <c r="AO153" s="357"/>
      <c r="AP153" s="357"/>
      <c r="AQ153" s="357"/>
      <c r="AR153" s="357"/>
      <c r="AS153" s="357"/>
      <c r="AT153" s="357"/>
      <c r="AU153" s="357"/>
      <c r="AV153" s="357"/>
      <c r="AW153" s="357"/>
      <c r="AX153" s="357"/>
      <c r="AY153" s="357"/>
      <c r="AZ153" s="357"/>
      <c r="BA153" s="357"/>
      <c r="BB153" s="357"/>
      <c r="BC153" s="357"/>
      <c r="BD153" s="357"/>
      <c r="BE153" s="358"/>
      <c r="BF153" s="358"/>
      <c r="BG153" s="358"/>
      <c r="BH153" s="358"/>
      <c r="BI153" s="358"/>
      <c r="BJ153" s="358"/>
      <c r="BK153" s="358"/>
      <c r="BL153" s="358"/>
      <c r="BM153" s="358"/>
      <c r="BN153" s="359"/>
      <c r="BO153" s="359"/>
      <c r="BP153" s="359"/>
      <c r="BQ153" s="359"/>
      <c r="BR153" s="359"/>
      <c r="BS153" s="359"/>
      <c r="BT153" s="359"/>
      <c r="BU153" s="359"/>
      <c r="BV153" s="356"/>
      <c r="BW153" s="356"/>
      <c r="BX153" s="356"/>
      <c r="BY153" s="356"/>
      <c r="BZ153" s="356"/>
      <c r="CA153" s="356"/>
      <c r="CB153" s="356"/>
      <c r="CC153" s="360"/>
      <c r="CD153" s="360"/>
      <c r="CE153" s="360"/>
      <c r="CF153" s="360">
        <v>80</v>
      </c>
      <c r="CG153" s="360"/>
      <c r="CH153" s="360"/>
      <c r="CI153" s="360"/>
      <c r="CJ153" s="360"/>
      <c r="CK153" s="360"/>
      <c r="CL153" s="360"/>
      <c r="CM153" s="360"/>
      <c r="CN153" s="360"/>
      <c r="CO153" s="360"/>
      <c r="CP153" s="360"/>
      <c r="CQ153" s="360"/>
      <c r="CR153" s="360"/>
      <c r="CS153" s="361"/>
      <c r="CT153" s="361"/>
      <c r="CU153" s="361"/>
      <c r="CV153" s="361"/>
      <c r="CW153" s="361"/>
      <c r="CX153" s="361"/>
      <c r="CY153" s="361"/>
      <c r="CZ153" s="361"/>
      <c r="DA153" s="361"/>
      <c r="DB153" s="361"/>
      <c r="DC153" s="361"/>
      <c r="DD153" s="361"/>
      <c r="DE153" s="361"/>
      <c r="DF153" s="361"/>
      <c r="DG153" s="361"/>
      <c r="DH153" s="361"/>
      <c r="DI153" s="361"/>
      <c r="DJ153" s="361"/>
      <c r="DK153" s="361"/>
      <c r="DL153" s="361"/>
      <c r="DM153" s="361"/>
      <c r="DN153" s="931"/>
      <c r="DO153" s="362"/>
      <c r="DP153" s="362"/>
      <c r="DQ153" s="363"/>
      <c r="DR153" s="363"/>
      <c r="DS153" s="358"/>
      <c r="DT153" s="358"/>
      <c r="DU153" s="358"/>
      <c r="DV153" s="358"/>
      <c r="DW153" s="358"/>
      <c r="DX153" s="358"/>
      <c r="DY153" s="358"/>
      <c r="DZ153" s="358"/>
      <c r="EA153" s="358"/>
      <c r="EB153" s="358"/>
      <c r="EC153" s="358"/>
      <c r="ED153" s="358"/>
      <c r="EE153" s="358"/>
      <c r="EF153" s="358"/>
      <c r="EG153" s="358"/>
      <c r="EH153" s="358"/>
      <c r="EI153" s="358"/>
      <c r="EJ153" s="358"/>
      <c r="EK153" s="358"/>
      <c r="EL153" s="358"/>
      <c r="EM153" s="358"/>
      <c r="EN153" s="358"/>
      <c r="EO153" s="358"/>
      <c r="EP153" s="358"/>
      <c r="EQ153" s="358"/>
      <c r="ER153" s="358"/>
      <c r="ES153" s="358"/>
      <c r="ET153" s="358"/>
      <c r="EU153" s="358"/>
      <c r="EV153" s="358"/>
      <c r="EW153" s="358"/>
      <c r="EX153" s="358"/>
      <c r="EY153" s="358"/>
      <c r="EZ153" s="358"/>
      <c r="FA153" s="364"/>
      <c r="FB153" s="365">
        <v>78</v>
      </c>
      <c r="FC153" s="366">
        <v>78</v>
      </c>
      <c r="FD153" s="367">
        <f>SUM(BE153:BG153,BI153,BL153:BM153)+SUM(BH153,BJ153,BK153)*5</f>
        <v>0</v>
      </c>
      <c r="FE153" s="789"/>
    </row>
    <row r="154" spans="2:164" ht="26.1" customHeight="1" outlineLevel="1" thickBot="1" x14ac:dyDescent="0.3">
      <c r="B154" s="1018"/>
      <c r="C154" s="1020"/>
      <c r="D154" s="1036"/>
      <c r="E154" s="1039"/>
      <c r="F154" s="832" t="s">
        <v>111</v>
      </c>
      <c r="G154" s="799" t="str">
        <f>VLOOKUP(H154,инфо!AD:AE,2,FALSE)</f>
        <v>Гарниры</v>
      </c>
      <c r="H154" s="655" t="s">
        <v>1198</v>
      </c>
      <c r="I154" s="656" t="s">
        <v>994</v>
      </c>
      <c r="J154" s="368"/>
      <c r="K154" s="369">
        <v>83</v>
      </c>
      <c r="L154" s="369"/>
      <c r="M154" s="369"/>
      <c r="N154" s="369"/>
      <c r="O154" s="369"/>
      <c r="P154" s="369"/>
      <c r="Q154" s="369"/>
      <c r="R154" s="369"/>
      <c r="S154" s="369"/>
      <c r="T154" s="369"/>
      <c r="U154" s="369"/>
      <c r="V154" s="369"/>
      <c r="W154" s="370"/>
      <c r="X154" s="370"/>
      <c r="Y154" s="370"/>
      <c r="Z154" s="370"/>
      <c r="AA154" s="370"/>
      <c r="AB154" s="370"/>
      <c r="AC154" s="370"/>
      <c r="AD154" s="370"/>
      <c r="AE154" s="370"/>
      <c r="AF154" s="370"/>
      <c r="AG154" s="370"/>
      <c r="AH154" s="370"/>
      <c r="AI154" s="370"/>
      <c r="AJ154" s="370"/>
      <c r="AK154" s="370"/>
      <c r="AL154" s="370"/>
      <c r="AM154" s="370"/>
      <c r="AN154" s="370"/>
      <c r="AO154" s="370"/>
      <c r="AP154" s="370"/>
      <c r="AQ154" s="370"/>
      <c r="AR154" s="370"/>
      <c r="AS154" s="370"/>
      <c r="AT154" s="370"/>
      <c r="AU154" s="370"/>
      <c r="AV154" s="370"/>
      <c r="AW154" s="370"/>
      <c r="AX154" s="370"/>
      <c r="AY154" s="370"/>
      <c r="AZ154" s="370"/>
      <c r="BA154" s="370"/>
      <c r="BB154" s="370"/>
      <c r="BC154" s="370"/>
      <c r="BD154" s="370"/>
      <c r="BE154" s="371">
        <v>150</v>
      </c>
      <c r="BF154" s="371"/>
      <c r="BG154" s="371"/>
      <c r="BH154" s="371"/>
      <c r="BI154" s="371"/>
      <c r="BJ154" s="371"/>
      <c r="BK154" s="371"/>
      <c r="BL154" s="371"/>
      <c r="BM154" s="371"/>
      <c r="BN154" s="372"/>
      <c r="BO154" s="372"/>
      <c r="BP154" s="372"/>
      <c r="BQ154" s="372"/>
      <c r="BR154" s="372"/>
      <c r="BS154" s="372"/>
      <c r="BT154" s="372"/>
      <c r="BU154" s="372"/>
      <c r="BV154" s="369"/>
      <c r="BW154" s="369"/>
      <c r="BX154" s="369"/>
      <c r="BY154" s="369"/>
      <c r="BZ154" s="369"/>
      <c r="CA154" s="369"/>
      <c r="CB154" s="369"/>
      <c r="CC154" s="373"/>
      <c r="CD154" s="373"/>
      <c r="CE154" s="373"/>
      <c r="CF154" s="373"/>
      <c r="CG154" s="373"/>
      <c r="CH154" s="373"/>
      <c r="CI154" s="373"/>
      <c r="CJ154" s="373"/>
      <c r="CK154" s="373"/>
      <c r="CL154" s="373"/>
      <c r="CM154" s="373"/>
      <c r="CN154" s="373"/>
      <c r="CO154" s="373"/>
      <c r="CP154" s="373"/>
      <c r="CQ154" s="373"/>
      <c r="CR154" s="373"/>
      <c r="CS154" s="374"/>
      <c r="CT154" s="374"/>
      <c r="CU154" s="374"/>
      <c r="CV154" s="374"/>
      <c r="CW154" s="374"/>
      <c r="CX154" s="374"/>
      <c r="CY154" s="374"/>
      <c r="CZ154" s="374"/>
      <c r="DA154" s="374"/>
      <c r="DB154" s="374"/>
      <c r="DC154" s="374"/>
      <c r="DD154" s="374"/>
      <c r="DE154" s="374"/>
      <c r="DF154" s="374"/>
      <c r="DG154" s="374"/>
      <c r="DH154" s="374"/>
      <c r="DI154" s="374"/>
      <c r="DJ154" s="374"/>
      <c r="DK154" s="374"/>
      <c r="DL154" s="374"/>
      <c r="DM154" s="374"/>
      <c r="DN154" s="932"/>
      <c r="DO154" s="375">
        <v>10</v>
      </c>
      <c r="DP154" s="375">
        <v>3</v>
      </c>
      <c r="DQ154" s="376"/>
      <c r="DR154" s="376"/>
      <c r="DS154" s="371"/>
      <c r="DT154" s="371"/>
      <c r="DU154" s="371"/>
      <c r="DV154" s="371"/>
      <c r="DW154" s="371"/>
      <c r="DX154" s="371"/>
      <c r="DY154" s="371"/>
      <c r="DZ154" s="371"/>
      <c r="EA154" s="371">
        <v>115.6</v>
      </c>
      <c r="EB154" s="371"/>
      <c r="EC154" s="371"/>
      <c r="ED154" s="371"/>
      <c r="EE154" s="371"/>
      <c r="EF154" s="371"/>
      <c r="EG154" s="371"/>
      <c r="EH154" s="371"/>
      <c r="EI154" s="371"/>
      <c r="EJ154" s="371"/>
      <c r="EK154" s="371"/>
      <c r="EL154" s="371"/>
      <c r="EM154" s="371"/>
      <c r="EN154" s="371"/>
      <c r="EO154" s="371"/>
      <c r="EP154" s="371"/>
      <c r="EQ154" s="371"/>
      <c r="ER154" s="371"/>
      <c r="ES154" s="371"/>
      <c r="ET154" s="371"/>
      <c r="EU154" s="371"/>
      <c r="EV154" s="371"/>
      <c r="EW154" s="371"/>
      <c r="EX154" s="371"/>
      <c r="EY154" s="371"/>
      <c r="EZ154" s="371"/>
      <c r="FA154" s="377">
        <v>415</v>
      </c>
      <c r="FB154" s="378">
        <v>332</v>
      </c>
      <c r="FC154" s="378"/>
      <c r="FD154" s="379">
        <f t="shared" ref="FD154:FD162" si="359">SUM(BE154:BG154,BI154,BL154:BM154)+SUM(BH154,BJ154,BK154)*5</f>
        <v>150</v>
      </c>
      <c r="FE154" s="790"/>
    </row>
    <row r="155" spans="2:164" ht="26.1" customHeight="1" outlineLevel="1" thickBot="1" x14ac:dyDescent="0.3">
      <c r="B155" s="1018"/>
      <c r="C155" s="1020"/>
      <c r="D155" s="1036"/>
      <c r="E155" s="1040"/>
      <c r="F155" s="833" t="s">
        <v>111</v>
      </c>
      <c r="G155" s="800" t="str">
        <f>VLOOKUP(H155,инфо!AD:AE,2,FALSE)</f>
        <v>Прочее</v>
      </c>
      <c r="H155" s="571" t="s">
        <v>1197</v>
      </c>
      <c r="I155" s="607" t="s">
        <v>160</v>
      </c>
      <c r="J155" s="380"/>
      <c r="K155" s="381"/>
      <c r="L155" s="381"/>
      <c r="M155" s="381"/>
      <c r="N155" s="381"/>
      <c r="O155" s="381"/>
      <c r="P155" s="381"/>
      <c r="Q155" s="381"/>
      <c r="R155" s="381"/>
      <c r="S155" s="381"/>
      <c r="T155" s="381"/>
      <c r="U155" s="381"/>
      <c r="V155" s="381"/>
      <c r="W155" s="382"/>
      <c r="X155" s="382"/>
      <c r="Y155" s="382"/>
      <c r="Z155" s="382"/>
      <c r="AA155" s="382"/>
      <c r="AB155" s="382"/>
      <c r="AC155" s="382"/>
      <c r="AD155" s="382"/>
      <c r="AE155" s="382"/>
      <c r="AF155" s="382"/>
      <c r="AG155" s="382"/>
      <c r="AH155" s="382"/>
      <c r="AI155" s="382"/>
      <c r="AJ155" s="382"/>
      <c r="AK155" s="382"/>
      <c r="AL155" s="382"/>
      <c r="AM155" s="382"/>
      <c r="AN155" s="382"/>
      <c r="AO155" s="382"/>
      <c r="AP155" s="382"/>
      <c r="AQ155" s="382"/>
      <c r="AR155" s="382"/>
      <c r="AS155" s="382">
        <v>20</v>
      </c>
      <c r="AT155" s="382"/>
      <c r="AU155" s="382"/>
      <c r="AV155" s="382"/>
      <c r="AW155" s="382"/>
      <c r="AX155" s="382"/>
      <c r="AY155" s="382"/>
      <c r="AZ155" s="382"/>
      <c r="BA155" s="382"/>
      <c r="BB155" s="382"/>
      <c r="BC155" s="382"/>
      <c r="BD155" s="382"/>
      <c r="BE155" s="383"/>
      <c r="BF155" s="383"/>
      <c r="BG155" s="383"/>
      <c r="BH155" s="383"/>
      <c r="BI155" s="383"/>
      <c r="BJ155" s="383"/>
      <c r="BK155" s="383"/>
      <c r="BL155" s="383"/>
      <c r="BM155" s="383"/>
      <c r="BN155" s="384"/>
      <c r="BO155" s="384"/>
      <c r="BP155" s="384"/>
      <c r="BQ155" s="384"/>
      <c r="BR155" s="384"/>
      <c r="BS155" s="384"/>
      <c r="BT155" s="384"/>
      <c r="BU155" s="384"/>
      <c r="BV155" s="381"/>
      <c r="BW155" s="381"/>
      <c r="BX155" s="381"/>
      <c r="BY155" s="381"/>
      <c r="BZ155" s="381"/>
      <c r="CA155" s="381"/>
      <c r="CB155" s="381"/>
      <c r="CC155" s="385"/>
      <c r="CD155" s="385"/>
      <c r="CE155" s="385"/>
      <c r="CF155" s="385"/>
      <c r="CG155" s="385"/>
      <c r="CH155" s="385"/>
      <c r="CI155" s="385"/>
      <c r="CJ155" s="385"/>
      <c r="CK155" s="385"/>
      <c r="CL155" s="385"/>
      <c r="CM155" s="385"/>
      <c r="CN155" s="385"/>
      <c r="CO155" s="385"/>
      <c r="CP155" s="385"/>
      <c r="CQ155" s="385"/>
      <c r="CR155" s="385"/>
      <c r="CS155" s="386"/>
      <c r="CT155" s="386"/>
      <c r="CU155" s="386"/>
      <c r="CV155" s="386"/>
      <c r="CW155" s="386"/>
      <c r="CX155" s="386"/>
      <c r="CY155" s="386"/>
      <c r="CZ155" s="386"/>
      <c r="DA155" s="386"/>
      <c r="DB155" s="386"/>
      <c r="DC155" s="386"/>
      <c r="DD155" s="386"/>
      <c r="DE155" s="386"/>
      <c r="DF155" s="386"/>
      <c r="DG155" s="386"/>
      <c r="DH155" s="386"/>
      <c r="DI155" s="386"/>
      <c r="DJ155" s="386"/>
      <c r="DK155" s="386"/>
      <c r="DL155" s="386"/>
      <c r="DM155" s="386"/>
      <c r="DN155" s="933"/>
      <c r="DO155" s="387"/>
      <c r="DP155" s="387"/>
      <c r="DQ155" s="388"/>
      <c r="DR155" s="388"/>
      <c r="DS155" s="383"/>
      <c r="DT155" s="383"/>
      <c r="DU155" s="383"/>
      <c r="DV155" s="383"/>
      <c r="DW155" s="383"/>
      <c r="DX155" s="383"/>
      <c r="DY155" s="383"/>
      <c r="DZ155" s="383"/>
      <c r="EA155" s="383"/>
      <c r="EB155" s="383"/>
      <c r="EC155" s="383"/>
      <c r="ED155" s="383"/>
      <c r="EE155" s="383"/>
      <c r="EF155" s="383"/>
      <c r="EG155" s="383"/>
      <c r="EH155" s="383"/>
      <c r="EI155" s="383"/>
      <c r="EJ155" s="383"/>
      <c r="EK155" s="383"/>
      <c r="EL155" s="383"/>
      <c r="EM155" s="383"/>
      <c r="EN155" s="383"/>
      <c r="EO155" s="383"/>
      <c r="EP155" s="383"/>
      <c r="EQ155" s="383"/>
      <c r="ER155" s="383"/>
      <c r="ES155" s="383"/>
      <c r="ET155" s="383"/>
      <c r="EU155" s="383"/>
      <c r="EV155" s="383"/>
      <c r="EW155" s="383"/>
      <c r="EX155" s="383"/>
      <c r="EY155" s="383"/>
      <c r="EZ155" s="383"/>
      <c r="FA155" s="389"/>
      <c r="FB155" s="390">
        <v>20</v>
      </c>
      <c r="FC155" s="390"/>
      <c r="FD155" s="391">
        <f t="shared" si="359"/>
        <v>0</v>
      </c>
      <c r="FE155" s="790"/>
    </row>
    <row r="156" spans="2:164" ht="26.1" customHeight="1" outlineLevel="1" thickBot="1" x14ac:dyDescent="0.3">
      <c r="B156" s="1018"/>
      <c r="C156" s="1020"/>
      <c r="D156" s="1036"/>
      <c r="E156" s="1039" t="s">
        <v>115</v>
      </c>
      <c r="F156" s="831" t="s">
        <v>111</v>
      </c>
      <c r="G156" s="798" t="str">
        <f>VLOOKUP(H156,инфо!AD:AE,2,FALSE)</f>
        <v>Прочее</v>
      </c>
      <c r="H156" s="569" t="s">
        <v>1197</v>
      </c>
      <c r="I156" s="609" t="s">
        <v>64</v>
      </c>
      <c r="J156" s="355"/>
      <c r="K156" s="356"/>
      <c r="L156" s="356"/>
      <c r="M156" s="356"/>
      <c r="N156" s="356"/>
      <c r="O156" s="356"/>
      <c r="P156" s="356"/>
      <c r="Q156" s="356"/>
      <c r="R156" s="356"/>
      <c r="S156" s="356"/>
      <c r="T156" s="356"/>
      <c r="U156" s="356"/>
      <c r="V156" s="356"/>
      <c r="W156" s="357"/>
      <c r="X156" s="357"/>
      <c r="Y156" s="357"/>
      <c r="Z156" s="357"/>
      <c r="AA156" s="357"/>
      <c r="AB156" s="357"/>
      <c r="AC156" s="357"/>
      <c r="AD156" s="357"/>
      <c r="AE156" s="357"/>
      <c r="AF156" s="357"/>
      <c r="AG156" s="357"/>
      <c r="AH156" s="357"/>
      <c r="AI156" s="357"/>
      <c r="AJ156" s="357"/>
      <c r="AK156" s="357"/>
      <c r="AL156" s="357"/>
      <c r="AM156" s="357"/>
      <c r="AN156" s="357"/>
      <c r="AO156" s="357"/>
      <c r="AP156" s="357"/>
      <c r="AQ156" s="357"/>
      <c r="AR156" s="357"/>
      <c r="AS156" s="357"/>
      <c r="AT156" s="357"/>
      <c r="AU156" s="357"/>
      <c r="AV156" s="357"/>
      <c r="AW156" s="357"/>
      <c r="AX156" s="357"/>
      <c r="AY156" s="357"/>
      <c r="AZ156" s="357"/>
      <c r="BA156" s="357"/>
      <c r="BB156" s="357"/>
      <c r="BC156" s="357"/>
      <c r="BD156" s="357"/>
      <c r="BE156" s="358"/>
      <c r="BF156" s="358"/>
      <c r="BG156" s="358"/>
      <c r="BH156" s="358"/>
      <c r="BI156" s="358"/>
      <c r="BJ156" s="358"/>
      <c r="BK156" s="358"/>
      <c r="BL156" s="358"/>
      <c r="BM156" s="358"/>
      <c r="BN156" s="359"/>
      <c r="BO156" s="359"/>
      <c r="BP156" s="359"/>
      <c r="BQ156" s="359"/>
      <c r="BR156" s="359"/>
      <c r="BS156" s="359"/>
      <c r="BT156" s="359"/>
      <c r="BU156" s="359"/>
      <c r="BV156" s="356"/>
      <c r="BW156" s="356"/>
      <c r="BX156" s="356"/>
      <c r="BY156" s="356"/>
      <c r="BZ156" s="356"/>
      <c r="CA156" s="356"/>
      <c r="CB156" s="356"/>
      <c r="CC156" s="360"/>
      <c r="CD156" s="360">
        <v>25</v>
      </c>
      <c r="CE156" s="360"/>
      <c r="CF156" s="360"/>
      <c r="CG156" s="360"/>
      <c r="CH156" s="360"/>
      <c r="CI156" s="360"/>
      <c r="CJ156" s="360"/>
      <c r="CK156" s="360"/>
      <c r="CL156" s="360"/>
      <c r="CM156" s="360"/>
      <c r="CN156" s="360"/>
      <c r="CO156" s="360"/>
      <c r="CP156" s="360"/>
      <c r="CQ156" s="360"/>
      <c r="CR156" s="360"/>
      <c r="CS156" s="361"/>
      <c r="CT156" s="361"/>
      <c r="CU156" s="361"/>
      <c r="CV156" s="361"/>
      <c r="CW156" s="361"/>
      <c r="CX156" s="361"/>
      <c r="CY156" s="361"/>
      <c r="CZ156" s="361"/>
      <c r="DA156" s="361"/>
      <c r="DB156" s="361"/>
      <c r="DC156" s="361"/>
      <c r="DD156" s="361"/>
      <c r="DE156" s="361"/>
      <c r="DF156" s="361"/>
      <c r="DG156" s="361"/>
      <c r="DH156" s="361"/>
      <c r="DI156" s="361"/>
      <c r="DJ156" s="361"/>
      <c r="DK156" s="361"/>
      <c r="DL156" s="361"/>
      <c r="DM156" s="361"/>
      <c r="DN156" s="931"/>
      <c r="DO156" s="362"/>
      <c r="DP156" s="362"/>
      <c r="DQ156" s="363"/>
      <c r="DR156" s="363"/>
      <c r="DS156" s="358"/>
      <c r="DT156" s="358"/>
      <c r="DU156" s="358"/>
      <c r="DV156" s="358"/>
      <c r="DW156" s="358"/>
      <c r="DX156" s="358"/>
      <c r="DY156" s="358"/>
      <c r="DZ156" s="358"/>
      <c r="EA156" s="358"/>
      <c r="EB156" s="358"/>
      <c r="EC156" s="358"/>
      <c r="ED156" s="358"/>
      <c r="EE156" s="358"/>
      <c r="EF156" s="358"/>
      <c r="EG156" s="358"/>
      <c r="EH156" s="358"/>
      <c r="EI156" s="358"/>
      <c r="EJ156" s="358"/>
      <c r="EK156" s="358"/>
      <c r="EL156" s="358"/>
      <c r="EM156" s="358"/>
      <c r="EN156" s="358"/>
      <c r="EO156" s="358"/>
      <c r="EP156" s="358"/>
      <c r="EQ156" s="358"/>
      <c r="ER156" s="358"/>
      <c r="ES156" s="358"/>
      <c r="ET156" s="358"/>
      <c r="EU156" s="358"/>
      <c r="EV156" s="358"/>
      <c r="EW156" s="358"/>
      <c r="EX156" s="358"/>
      <c r="EY156" s="358"/>
      <c r="EZ156" s="358"/>
      <c r="FA156" s="364"/>
      <c r="FB156" s="365">
        <v>25</v>
      </c>
      <c r="FC156" s="365"/>
      <c r="FD156" s="367">
        <f t="shared" si="359"/>
        <v>0</v>
      </c>
      <c r="FE156" s="790"/>
    </row>
    <row r="157" spans="2:164" ht="26.1" customHeight="1" outlineLevel="1" thickBot="1" x14ac:dyDescent="0.3">
      <c r="B157" s="1018"/>
      <c r="C157" s="1020"/>
      <c r="D157" s="1036"/>
      <c r="E157" s="1039"/>
      <c r="F157" s="832" t="s">
        <v>111</v>
      </c>
      <c r="G157" s="799" t="str">
        <f>VLOOKUP(H157,инфо!AD:AE,2,FALSE)</f>
        <v>Холодные закуски</v>
      </c>
      <c r="H157" s="572" t="s">
        <v>1200</v>
      </c>
      <c r="I157" s="572"/>
      <c r="J157" s="368"/>
      <c r="K157" s="369"/>
      <c r="L157" s="369"/>
      <c r="M157" s="369"/>
      <c r="N157" s="369"/>
      <c r="O157" s="369"/>
      <c r="P157" s="369"/>
      <c r="Q157" s="369"/>
      <c r="R157" s="369"/>
      <c r="S157" s="369"/>
      <c r="T157" s="369"/>
      <c r="U157" s="369"/>
      <c r="V157" s="369"/>
      <c r="W157" s="370"/>
      <c r="X157" s="370"/>
      <c r="Y157" s="370"/>
      <c r="Z157" s="370"/>
      <c r="AA157" s="370"/>
      <c r="AB157" s="370"/>
      <c r="AC157" s="370"/>
      <c r="AD157" s="370"/>
      <c r="AE157" s="370"/>
      <c r="AF157" s="370"/>
      <c r="AG157" s="370"/>
      <c r="AH157" s="370"/>
      <c r="AI157" s="370"/>
      <c r="AJ157" s="370"/>
      <c r="AK157" s="370"/>
      <c r="AL157" s="370"/>
      <c r="AM157" s="370"/>
      <c r="AN157" s="370"/>
      <c r="AO157" s="370"/>
      <c r="AP157" s="370"/>
      <c r="AQ157" s="370"/>
      <c r="AR157" s="370"/>
      <c r="AS157" s="370"/>
      <c r="AT157" s="370"/>
      <c r="AU157" s="370"/>
      <c r="AV157" s="370"/>
      <c r="AW157" s="370"/>
      <c r="AX157" s="370"/>
      <c r="AY157" s="370"/>
      <c r="AZ157" s="370"/>
      <c r="BA157" s="370"/>
      <c r="BB157" s="370"/>
      <c r="BC157" s="370"/>
      <c r="BD157" s="370"/>
      <c r="BE157" s="371"/>
      <c r="BF157" s="371"/>
      <c r="BG157" s="371"/>
      <c r="BH157" s="371"/>
      <c r="BI157" s="371"/>
      <c r="BJ157" s="371"/>
      <c r="BK157" s="371"/>
      <c r="BL157" s="371"/>
      <c r="BM157" s="371"/>
      <c r="BN157" s="372"/>
      <c r="BO157" s="372"/>
      <c r="BP157" s="372"/>
      <c r="BQ157" s="372"/>
      <c r="BR157" s="372"/>
      <c r="BS157" s="372"/>
      <c r="BT157" s="372"/>
      <c r="BU157" s="372"/>
      <c r="BV157" s="369"/>
      <c r="BW157" s="369"/>
      <c r="BX157" s="369"/>
      <c r="BY157" s="369"/>
      <c r="BZ157" s="369"/>
      <c r="CA157" s="369"/>
      <c r="CB157" s="369"/>
      <c r="CC157" s="373"/>
      <c r="CD157" s="373"/>
      <c r="CE157" s="373"/>
      <c r="CF157" s="373"/>
      <c r="CG157" s="373"/>
      <c r="CH157" s="373"/>
      <c r="CI157" s="373"/>
      <c r="CJ157" s="373"/>
      <c r="CK157" s="373"/>
      <c r="CL157" s="373"/>
      <c r="CM157" s="373"/>
      <c r="CN157" s="373"/>
      <c r="CO157" s="373"/>
      <c r="CP157" s="373"/>
      <c r="CQ157" s="373"/>
      <c r="CR157" s="373"/>
      <c r="CS157" s="374"/>
      <c r="CT157" s="374"/>
      <c r="CU157" s="374"/>
      <c r="CV157" s="374"/>
      <c r="CW157" s="374"/>
      <c r="CX157" s="374"/>
      <c r="CY157" s="374"/>
      <c r="CZ157" s="374"/>
      <c r="DA157" s="374"/>
      <c r="DB157" s="374"/>
      <c r="DC157" s="374"/>
      <c r="DD157" s="374"/>
      <c r="DE157" s="374"/>
      <c r="DF157" s="374"/>
      <c r="DG157" s="374"/>
      <c r="DH157" s="374"/>
      <c r="DI157" s="374"/>
      <c r="DJ157" s="374"/>
      <c r="DK157" s="374"/>
      <c r="DL157" s="374"/>
      <c r="DM157" s="374"/>
      <c r="DN157" s="932"/>
      <c r="DO157" s="375"/>
      <c r="DP157" s="375"/>
      <c r="DQ157" s="376"/>
      <c r="DR157" s="376"/>
      <c r="DS157" s="371"/>
      <c r="DT157" s="371"/>
      <c r="DU157" s="371"/>
      <c r="DV157" s="371"/>
      <c r="DW157" s="371"/>
      <c r="DX157" s="371"/>
      <c r="DY157" s="371"/>
      <c r="DZ157" s="371"/>
      <c r="EA157" s="371"/>
      <c r="EB157" s="371"/>
      <c r="EC157" s="371"/>
      <c r="ED157" s="371"/>
      <c r="EE157" s="371"/>
      <c r="EF157" s="371"/>
      <c r="EG157" s="371"/>
      <c r="EH157" s="371"/>
      <c r="EI157" s="371"/>
      <c r="EJ157" s="371"/>
      <c r="EK157" s="371"/>
      <c r="EL157" s="371"/>
      <c r="EM157" s="371"/>
      <c r="EN157" s="371"/>
      <c r="EO157" s="371"/>
      <c r="EP157" s="371"/>
      <c r="EQ157" s="371"/>
      <c r="ER157" s="371"/>
      <c r="ES157" s="371"/>
      <c r="ET157" s="371"/>
      <c r="EU157" s="371"/>
      <c r="EV157" s="371"/>
      <c r="EW157" s="371"/>
      <c r="EX157" s="371"/>
      <c r="EY157" s="371"/>
      <c r="EZ157" s="371"/>
      <c r="FA157" s="377"/>
      <c r="FB157" s="378"/>
      <c r="FC157" s="378"/>
      <c r="FD157" s="379">
        <f t="shared" si="359"/>
        <v>0</v>
      </c>
      <c r="FE157" s="790"/>
    </row>
    <row r="158" spans="2:164" ht="26.1" customHeight="1" outlineLevel="1" thickBot="1" x14ac:dyDescent="0.3">
      <c r="B158" s="1018"/>
      <c r="C158" s="1020"/>
      <c r="D158" s="1036"/>
      <c r="E158" s="1039"/>
      <c r="F158" s="834" t="s">
        <v>111</v>
      </c>
      <c r="G158" s="801" t="str">
        <f>VLOOKUP(H158,инфо!AD:AE,2,FALSE)</f>
        <v>Прочее</v>
      </c>
      <c r="H158" s="573" t="s">
        <v>1197</v>
      </c>
      <c r="I158" s="606" t="s">
        <v>60</v>
      </c>
      <c r="J158" s="392"/>
      <c r="K158" s="393"/>
      <c r="L158" s="393"/>
      <c r="M158" s="393"/>
      <c r="N158" s="393"/>
      <c r="O158" s="393"/>
      <c r="P158" s="393"/>
      <c r="Q158" s="393"/>
      <c r="R158" s="393"/>
      <c r="S158" s="393"/>
      <c r="T158" s="393"/>
      <c r="U158" s="393"/>
      <c r="V158" s="393"/>
      <c r="W158" s="394"/>
      <c r="X158" s="394"/>
      <c r="Y158" s="394"/>
      <c r="Z158" s="394"/>
      <c r="AA158" s="394"/>
      <c r="AB158" s="394"/>
      <c r="AC158" s="394"/>
      <c r="AD158" s="394"/>
      <c r="AE158" s="394"/>
      <c r="AF158" s="394"/>
      <c r="AG158" s="394"/>
      <c r="AH158" s="394"/>
      <c r="AI158" s="394"/>
      <c r="AJ158" s="394"/>
      <c r="AK158" s="394"/>
      <c r="AL158" s="394"/>
      <c r="AM158" s="394"/>
      <c r="AN158" s="394"/>
      <c r="AO158" s="394"/>
      <c r="AP158" s="394"/>
      <c r="AQ158" s="394"/>
      <c r="AR158" s="394"/>
      <c r="AS158" s="394"/>
      <c r="AT158" s="394"/>
      <c r="AU158" s="394"/>
      <c r="AV158" s="394"/>
      <c r="AW158" s="394"/>
      <c r="AX158" s="394"/>
      <c r="AY158" s="394"/>
      <c r="AZ158" s="394"/>
      <c r="BA158" s="394"/>
      <c r="BB158" s="394"/>
      <c r="BC158" s="394"/>
      <c r="BD158" s="394"/>
      <c r="BE158" s="395"/>
      <c r="BF158" s="395"/>
      <c r="BG158" s="395"/>
      <c r="BH158" s="395"/>
      <c r="BI158" s="395"/>
      <c r="BJ158" s="395"/>
      <c r="BK158" s="395"/>
      <c r="BL158" s="395"/>
      <c r="BM158" s="395"/>
      <c r="BN158" s="396">
        <v>15</v>
      </c>
      <c r="BO158" s="396"/>
      <c r="BP158" s="396"/>
      <c r="BQ158" s="396"/>
      <c r="BR158" s="396"/>
      <c r="BS158" s="396"/>
      <c r="BT158" s="396"/>
      <c r="BU158" s="396"/>
      <c r="BV158" s="393"/>
      <c r="BW158" s="393"/>
      <c r="BX158" s="393"/>
      <c r="BY158" s="393"/>
      <c r="BZ158" s="393"/>
      <c r="CA158" s="393"/>
      <c r="CB158" s="393"/>
      <c r="CC158" s="397"/>
      <c r="CD158" s="397"/>
      <c r="CE158" s="397"/>
      <c r="CF158" s="397"/>
      <c r="CG158" s="397"/>
      <c r="CH158" s="397"/>
      <c r="CI158" s="397"/>
      <c r="CJ158" s="397"/>
      <c r="CK158" s="397"/>
      <c r="CL158" s="397"/>
      <c r="CM158" s="397"/>
      <c r="CN158" s="397"/>
      <c r="CO158" s="397"/>
      <c r="CP158" s="397"/>
      <c r="CQ158" s="397"/>
      <c r="CR158" s="397"/>
      <c r="CS158" s="398"/>
      <c r="CT158" s="398"/>
      <c r="CU158" s="398"/>
      <c r="CV158" s="398"/>
      <c r="CW158" s="399"/>
      <c r="CX158" s="398"/>
      <c r="CY158" s="398"/>
      <c r="CZ158" s="398"/>
      <c r="DA158" s="398"/>
      <c r="DB158" s="398"/>
      <c r="DC158" s="398"/>
      <c r="DD158" s="398"/>
      <c r="DE158" s="398"/>
      <c r="DF158" s="398"/>
      <c r="DG158" s="398"/>
      <c r="DH158" s="398"/>
      <c r="DI158" s="398"/>
      <c r="DJ158" s="398"/>
      <c r="DK158" s="398"/>
      <c r="DL158" s="398"/>
      <c r="DM158" s="398"/>
      <c r="DN158" s="934"/>
      <c r="DO158" s="400"/>
      <c r="DP158" s="400"/>
      <c r="DQ158" s="401"/>
      <c r="DR158" s="401"/>
      <c r="DS158" s="395"/>
      <c r="DT158" s="395"/>
      <c r="DU158" s="395"/>
      <c r="DV158" s="395"/>
      <c r="DW158" s="395"/>
      <c r="DX158" s="395"/>
      <c r="DY158" s="395"/>
      <c r="DZ158" s="395"/>
      <c r="EA158" s="395"/>
      <c r="EB158" s="395"/>
      <c r="EC158" s="395"/>
      <c r="ED158" s="395"/>
      <c r="EE158" s="395"/>
      <c r="EF158" s="395"/>
      <c r="EG158" s="395"/>
      <c r="EH158" s="395"/>
      <c r="EI158" s="395"/>
      <c r="EJ158" s="395"/>
      <c r="EK158" s="395"/>
      <c r="EL158" s="395"/>
      <c r="EM158" s="395"/>
      <c r="EN158" s="395"/>
      <c r="EO158" s="395"/>
      <c r="EP158" s="395"/>
      <c r="EQ158" s="395"/>
      <c r="ER158" s="395"/>
      <c r="ES158" s="395"/>
      <c r="ET158" s="395"/>
      <c r="EU158" s="395"/>
      <c r="EV158" s="395"/>
      <c r="EW158" s="395"/>
      <c r="EX158" s="395"/>
      <c r="EY158" s="395"/>
      <c r="EZ158" s="395"/>
      <c r="FA158" s="402"/>
      <c r="FB158" s="403">
        <v>15</v>
      </c>
      <c r="FC158" s="403"/>
      <c r="FD158" s="404">
        <f t="shared" si="359"/>
        <v>0</v>
      </c>
      <c r="FE158" s="790"/>
    </row>
    <row r="159" spans="2:164" ht="26.1" customHeight="1" outlineLevel="1" thickBot="1" x14ac:dyDescent="0.3">
      <c r="B159" s="1018"/>
      <c r="C159" s="1020"/>
      <c r="D159" s="1036"/>
      <c r="E159" s="1041" t="s">
        <v>116</v>
      </c>
      <c r="F159" s="835" t="s">
        <v>111</v>
      </c>
      <c r="G159" s="802" t="str">
        <f>VLOOKUP(H159,инфо!AD:AE,2,FALSE)</f>
        <v>Напитки</v>
      </c>
      <c r="H159" s="574" t="s">
        <v>1195</v>
      </c>
      <c r="I159" s="588" t="s">
        <v>1156</v>
      </c>
      <c r="J159" s="405"/>
      <c r="K159" s="406"/>
      <c r="L159" s="406"/>
      <c r="M159" s="406"/>
      <c r="N159" s="406"/>
      <c r="O159" s="406"/>
      <c r="P159" s="406"/>
      <c r="Q159" s="406"/>
      <c r="R159" s="406"/>
      <c r="S159" s="406"/>
      <c r="T159" s="406"/>
      <c r="U159" s="406"/>
      <c r="V159" s="406"/>
      <c r="W159" s="407"/>
      <c r="X159" s="407"/>
      <c r="Y159" s="407"/>
      <c r="Z159" s="407"/>
      <c r="AA159" s="407"/>
      <c r="AB159" s="407"/>
      <c r="AC159" s="407"/>
      <c r="AD159" s="407"/>
      <c r="AE159" s="407"/>
      <c r="AF159" s="407"/>
      <c r="AG159" s="407"/>
      <c r="AH159" s="407"/>
      <c r="AI159" s="407"/>
      <c r="AJ159" s="407"/>
      <c r="AK159" s="407"/>
      <c r="AL159" s="407"/>
      <c r="AM159" s="407"/>
      <c r="AN159" s="407"/>
      <c r="AO159" s="407"/>
      <c r="AP159" s="407"/>
      <c r="AQ159" s="407"/>
      <c r="AR159" s="407"/>
      <c r="AS159" s="407"/>
      <c r="AT159" s="407"/>
      <c r="AU159" s="407"/>
      <c r="AV159" s="407"/>
      <c r="AW159" s="407"/>
      <c r="AX159" s="407"/>
      <c r="AY159" s="407"/>
      <c r="AZ159" s="407"/>
      <c r="BA159" s="407"/>
      <c r="BB159" s="407"/>
      <c r="BC159" s="407"/>
      <c r="BD159" s="407"/>
      <c r="BE159" s="408"/>
      <c r="BF159" s="408"/>
      <c r="BG159" s="408"/>
      <c r="BH159" s="408"/>
      <c r="BI159" s="408"/>
      <c r="BJ159" s="408"/>
      <c r="BK159" s="408"/>
      <c r="BL159" s="408"/>
      <c r="BM159" s="408"/>
      <c r="BN159" s="409"/>
      <c r="BO159" s="409"/>
      <c r="BP159" s="409"/>
      <c r="BQ159" s="409"/>
      <c r="BR159" s="409"/>
      <c r="BS159" s="409"/>
      <c r="BT159" s="409"/>
      <c r="BU159" s="409"/>
      <c r="BV159" s="406"/>
      <c r="BW159" s="406"/>
      <c r="BX159" s="406"/>
      <c r="BY159" s="406"/>
      <c r="BZ159" s="406"/>
      <c r="CA159" s="406"/>
      <c r="CB159" s="406"/>
      <c r="CC159" s="410"/>
      <c r="CD159" s="410"/>
      <c r="CE159" s="410"/>
      <c r="CF159" s="410"/>
      <c r="CG159" s="410"/>
      <c r="CH159" s="410"/>
      <c r="CI159" s="410"/>
      <c r="CJ159" s="410"/>
      <c r="CK159" s="410"/>
      <c r="CL159" s="410"/>
      <c r="CM159" s="410"/>
      <c r="CN159" s="410"/>
      <c r="CO159" s="410"/>
      <c r="CP159" s="410"/>
      <c r="CQ159" s="410"/>
      <c r="CR159" s="410"/>
      <c r="CS159" s="411"/>
      <c r="CT159" s="411"/>
      <c r="CU159" s="411"/>
      <c r="CV159" s="411"/>
      <c r="CW159" s="412"/>
      <c r="CX159" s="411"/>
      <c r="CY159" s="411"/>
      <c r="CZ159" s="411"/>
      <c r="DA159" s="411"/>
      <c r="DB159" s="411"/>
      <c r="DC159" s="411"/>
      <c r="DD159" s="411"/>
      <c r="DE159" s="411"/>
      <c r="DF159" s="411"/>
      <c r="DG159" s="411"/>
      <c r="DH159" s="411"/>
      <c r="DI159" s="411"/>
      <c r="DJ159" s="411"/>
      <c r="DK159" s="411"/>
      <c r="DL159" s="411"/>
      <c r="DM159" s="411"/>
      <c r="DN159" s="935"/>
      <c r="DO159" s="413">
        <v>25</v>
      </c>
      <c r="DP159" s="413"/>
      <c r="DQ159" s="414"/>
      <c r="DR159" s="414"/>
      <c r="DS159" s="408"/>
      <c r="DT159" s="408"/>
      <c r="DU159" s="408"/>
      <c r="DV159" s="408"/>
      <c r="DW159" s="408"/>
      <c r="DX159" s="408"/>
      <c r="DY159" s="408"/>
      <c r="DZ159" s="408"/>
      <c r="EA159" s="408">
        <v>250</v>
      </c>
      <c r="EB159" s="408"/>
      <c r="EC159" s="408"/>
      <c r="ED159" s="408"/>
      <c r="EE159" s="408"/>
      <c r="EF159" s="408">
        <v>1.5</v>
      </c>
      <c r="EG159" s="408"/>
      <c r="EH159" s="408"/>
      <c r="EI159" s="408"/>
      <c r="EJ159" s="408"/>
      <c r="EK159" s="408"/>
      <c r="EL159" s="408"/>
      <c r="EM159" s="408"/>
      <c r="EN159" s="408"/>
      <c r="EO159" s="408"/>
      <c r="EP159" s="408"/>
      <c r="EQ159" s="408"/>
      <c r="ER159" s="408"/>
      <c r="ES159" s="408"/>
      <c r="ET159" s="408"/>
      <c r="EU159" s="408"/>
      <c r="EV159" s="408"/>
      <c r="EW159" s="408"/>
      <c r="EX159" s="408"/>
      <c r="EY159" s="408"/>
      <c r="EZ159" s="408"/>
      <c r="FA159" s="415"/>
      <c r="FB159" s="416">
        <v>250</v>
      </c>
      <c r="FC159" s="416"/>
      <c r="FD159" s="417">
        <f t="shared" si="359"/>
        <v>0</v>
      </c>
      <c r="FE159" s="790"/>
    </row>
    <row r="160" spans="2:164" ht="26.1" customHeight="1" outlineLevel="1" thickBot="1" x14ac:dyDescent="0.3">
      <c r="B160" s="1018"/>
      <c r="C160" s="1020"/>
      <c r="D160" s="1036"/>
      <c r="E160" s="1039"/>
      <c r="F160" s="832" t="s">
        <v>111</v>
      </c>
      <c r="G160" s="799" t="str">
        <f>VLOOKUP(H160,инфо!AD:AE,2,FALSE)</f>
        <v>Прочее</v>
      </c>
      <c r="H160" s="572" t="s">
        <v>1197</v>
      </c>
      <c r="I160" s="589" t="s">
        <v>53</v>
      </c>
      <c r="J160" s="368"/>
      <c r="K160" s="369"/>
      <c r="L160" s="369"/>
      <c r="M160" s="369"/>
      <c r="N160" s="369"/>
      <c r="O160" s="369"/>
      <c r="P160" s="369"/>
      <c r="Q160" s="369"/>
      <c r="R160" s="369"/>
      <c r="S160" s="369"/>
      <c r="T160" s="369"/>
      <c r="U160" s="369"/>
      <c r="V160" s="369"/>
      <c r="W160" s="370"/>
      <c r="X160" s="370"/>
      <c r="Y160" s="370"/>
      <c r="Z160" s="370"/>
      <c r="AA160" s="370"/>
      <c r="AB160" s="370"/>
      <c r="AC160" s="370"/>
      <c r="AD160" s="370"/>
      <c r="AE160" s="370"/>
      <c r="AF160" s="370"/>
      <c r="AG160" s="370"/>
      <c r="AH160" s="370"/>
      <c r="AI160" s="370"/>
      <c r="AJ160" s="370"/>
      <c r="AK160" s="370"/>
      <c r="AL160" s="370"/>
      <c r="AM160" s="370"/>
      <c r="AN160" s="370"/>
      <c r="AO160" s="370"/>
      <c r="AP160" s="370"/>
      <c r="AQ160" s="370"/>
      <c r="AR160" s="370"/>
      <c r="AS160" s="370"/>
      <c r="AT160" s="370"/>
      <c r="AU160" s="370"/>
      <c r="AV160" s="370"/>
      <c r="AW160" s="370"/>
      <c r="AX160" s="370"/>
      <c r="AY160" s="370"/>
      <c r="AZ160" s="370"/>
      <c r="BA160" s="370"/>
      <c r="BB160" s="370"/>
      <c r="BC160" s="370"/>
      <c r="BD160" s="370"/>
      <c r="BE160" s="371"/>
      <c r="BF160" s="371"/>
      <c r="BG160" s="371"/>
      <c r="BH160" s="371"/>
      <c r="BI160" s="371"/>
      <c r="BJ160" s="371"/>
      <c r="BK160" s="371"/>
      <c r="BL160" s="371"/>
      <c r="BM160" s="371"/>
      <c r="BN160" s="372"/>
      <c r="BO160" s="372"/>
      <c r="BP160" s="372"/>
      <c r="BQ160" s="372"/>
      <c r="BR160" s="372"/>
      <c r="BS160" s="372"/>
      <c r="BT160" s="372"/>
      <c r="BU160" s="372"/>
      <c r="BV160" s="369"/>
      <c r="BW160" s="369"/>
      <c r="BX160" s="369"/>
      <c r="BY160" s="369"/>
      <c r="BZ160" s="369"/>
      <c r="CA160" s="369"/>
      <c r="CB160" s="369"/>
      <c r="CC160" s="373"/>
      <c r="CD160" s="373"/>
      <c r="CE160" s="373"/>
      <c r="CF160" s="373"/>
      <c r="CG160" s="373"/>
      <c r="CH160" s="373"/>
      <c r="CI160" s="373"/>
      <c r="CJ160" s="373"/>
      <c r="CK160" s="373"/>
      <c r="CL160" s="373"/>
      <c r="CM160" s="373"/>
      <c r="CN160" s="373"/>
      <c r="CO160" s="373"/>
      <c r="CP160" s="373"/>
      <c r="CQ160" s="373"/>
      <c r="CR160" s="373"/>
      <c r="CS160" s="374"/>
      <c r="CT160" s="374"/>
      <c r="CU160" s="374"/>
      <c r="CV160" s="374"/>
      <c r="CW160" s="418"/>
      <c r="CX160" s="374"/>
      <c r="CY160" s="374"/>
      <c r="CZ160" s="374"/>
      <c r="DA160" s="374"/>
      <c r="DB160" s="374"/>
      <c r="DC160" s="374"/>
      <c r="DD160" s="374"/>
      <c r="DE160" s="374"/>
      <c r="DF160" s="374"/>
      <c r="DG160" s="374"/>
      <c r="DH160" s="374"/>
      <c r="DI160" s="374"/>
      <c r="DJ160" s="374"/>
      <c r="DK160" s="374"/>
      <c r="DL160" s="374"/>
      <c r="DM160" s="374"/>
      <c r="DN160" s="932"/>
      <c r="DO160" s="375">
        <v>25</v>
      </c>
      <c r="DP160" s="375"/>
      <c r="DQ160" s="376"/>
      <c r="DR160" s="376"/>
      <c r="DS160" s="371"/>
      <c r="DT160" s="371"/>
      <c r="DU160" s="371"/>
      <c r="DV160" s="371"/>
      <c r="DW160" s="371"/>
      <c r="DX160" s="371"/>
      <c r="DY160" s="371"/>
      <c r="DZ160" s="371"/>
      <c r="EA160" s="371"/>
      <c r="EB160" s="371"/>
      <c r="EC160" s="371"/>
      <c r="ED160" s="371"/>
      <c r="EE160" s="371"/>
      <c r="EF160" s="371"/>
      <c r="EG160" s="371"/>
      <c r="EH160" s="371"/>
      <c r="EI160" s="371"/>
      <c r="EJ160" s="371"/>
      <c r="EK160" s="371"/>
      <c r="EL160" s="371"/>
      <c r="EM160" s="371"/>
      <c r="EN160" s="371"/>
      <c r="EO160" s="371"/>
      <c r="EP160" s="371"/>
      <c r="EQ160" s="371"/>
      <c r="ER160" s="371"/>
      <c r="ES160" s="371"/>
      <c r="ET160" s="371"/>
      <c r="EU160" s="371"/>
      <c r="EV160" s="371"/>
      <c r="EW160" s="371"/>
      <c r="EX160" s="371"/>
      <c r="EY160" s="371"/>
      <c r="EZ160" s="371"/>
      <c r="FA160" s="377"/>
      <c r="FB160" s="378">
        <v>25</v>
      </c>
      <c r="FC160" s="378"/>
      <c r="FD160" s="379">
        <f t="shared" si="359"/>
        <v>0</v>
      </c>
      <c r="FE160" s="790"/>
    </row>
    <row r="161" spans="2:164" ht="26.1" customHeight="1" outlineLevel="1" thickBot="1" x14ac:dyDescent="0.3">
      <c r="B161" s="1018"/>
      <c r="C161" s="1020"/>
      <c r="D161" s="1036"/>
      <c r="E161" s="1039"/>
      <c r="F161" s="832" t="s">
        <v>111</v>
      </c>
      <c r="G161" s="799" t="str">
        <f>VLOOKUP(H161,инфо!AD:AE,2,FALSE)</f>
        <v>Прочее</v>
      </c>
      <c r="H161" s="575" t="s">
        <v>1197</v>
      </c>
      <c r="I161" s="590" t="s">
        <v>50</v>
      </c>
      <c r="J161" s="368"/>
      <c r="K161" s="369"/>
      <c r="L161" s="369"/>
      <c r="M161" s="369"/>
      <c r="N161" s="369"/>
      <c r="O161" s="369"/>
      <c r="P161" s="369"/>
      <c r="Q161" s="369"/>
      <c r="R161" s="369"/>
      <c r="S161" s="369"/>
      <c r="T161" s="369"/>
      <c r="U161" s="369"/>
      <c r="V161" s="369"/>
      <c r="W161" s="370"/>
      <c r="X161" s="370"/>
      <c r="Y161" s="370"/>
      <c r="Z161" s="370">
        <v>50</v>
      </c>
      <c r="AA161" s="370">
        <v>100</v>
      </c>
      <c r="AB161" s="370"/>
      <c r="AC161" s="370"/>
      <c r="AD161" s="370"/>
      <c r="AE161" s="370"/>
      <c r="AF161" s="370"/>
      <c r="AG161" s="370"/>
      <c r="AH161" s="370"/>
      <c r="AI161" s="370"/>
      <c r="AJ161" s="370"/>
      <c r="AK161" s="370"/>
      <c r="AL161" s="370"/>
      <c r="AM161" s="370"/>
      <c r="AN161" s="370"/>
      <c r="AO161" s="370"/>
      <c r="AP161" s="370"/>
      <c r="AQ161" s="370"/>
      <c r="AR161" s="370"/>
      <c r="AS161" s="370"/>
      <c r="AT161" s="370"/>
      <c r="AU161" s="370"/>
      <c r="AV161" s="370"/>
      <c r="AW161" s="370"/>
      <c r="AX161" s="370"/>
      <c r="AY161" s="370"/>
      <c r="AZ161" s="370"/>
      <c r="BA161" s="370"/>
      <c r="BB161" s="370"/>
      <c r="BC161" s="370"/>
      <c r="BD161" s="370"/>
      <c r="BE161" s="371"/>
      <c r="BF161" s="371"/>
      <c r="BG161" s="371"/>
      <c r="BH161" s="371"/>
      <c r="BI161" s="371"/>
      <c r="BJ161" s="371"/>
      <c r="BK161" s="371"/>
      <c r="BL161" s="371"/>
      <c r="BM161" s="371"/>
      <c r="BN161" s="372"/>
      <c r="BO161" s="372"/>
      <c r="BP161" s="372"/>
      <c r="BQ161" s="372"/>
      <c r="BR161" s="372"/>
      <c r="BS161" s="372"/>
      <c r="BT161" s="372"/>
      <c r="BU161" s="372"/>
      <c r="BV161" s="369"/>
      <c r="BW161" s="369"/>
      <c r="BX161" s="369"/>
      <c r="BY161" s="369"/>
      <c r="BZ161" s="369"/>
      <c r="CA161" s="369"/>
      <c r="CB161" s="369"/>
      <c r="CC161" s="373"/>
      <c r="CD161" s="373"/>
      <c r="CE161" s="373"/>
      <c r="CF161" s="373"/>
      <c r="CG161" s="373"/>
      <c r="CH161" s="373"/>
      <c r="CI161" s="373"/>
      <c r="CJ161" s="373"/>
      <c r="CK161" s="373"/>
      <c r="CL161" s="373"/>
      <c r="CM161" s="373"/>
      <c r="CN161" s="373"/>
      <c r="CO161" s="373"/>
      <c r="CP161" s="373"/>
      <c r="CQ161" s="373"/>
      <c r="CR161" s="373"/>
      <c r="CS161" s="374"/>
      <c r="CT161" s="374"/>
      <c r="CU161" s="374"/>
      <c r="CV161" s="374"/>
      <c r="CW161" s="418"/>
      <c r="CX161" s="374"/>
      <c r="CY161" s="374"/>
      <c r="CZ161" s="374"/>
      <c r="DA161" s="374"/>
      <c r="DB161" s="374"/>
      <c r="DC161" s="374"/>
      <c r="DD161" s="374"/>
      <c r="DE161" s="374"/>
      <c r="DF161" s="374"/>
      <c r="DG161" s="374"/>
      <c r="DH161" s="374"/>
      <c r="DI161" s="374"/>
      <c r="DJ161" s="374"/>
      <c r="DK161" s="374"/>
      <c r="DL161" s="374"/>
      <c r="DM161" s="374"/>
      <c r="DN161" s="932"/>
      <c r="DO161" s="375"/>
      <c r="DP161" s="375"/>
      <c r="DQ161" s="376"/>
      <c r="DR161" s="376"/>
      <c r="DS161" s="371"/>
      <c r="DT161" s="371"/>
      <c r="DU161" s="371"/>
      <c r="DV161" s="371"/>
      <c r="DW161" s="371"/>
      <c r="DX161" s="371"/>
      <c r="DY161" s="371"/>
      <c r="DZ161" s="371"/>
      <c r="EA161" s="371"/>
      <c r="EB161" s="371"/>
      <c r="EC161" s="371"/>
      <c r="ED161" s="371"/>
      <c r="EE161" s="371"/>
      <c r="EF161" s="371"/>
      <c r="EG161" s="371"/>
      <c r="EH161" s="371"/>
      <c r="EI161" s="371"/>
      <c r="EJ161" s="371"/>
      <c r="EK161" s="371"/>
      <c r="EL161" s="371"/>
      <c r="EM161" s="371"/>
      <c r="EN161" s="371"/>
      <c r="EO161" s="371"/>
      <c r="EP161" s="371"/>
      <c r="EQ161" s="371"/>
      <c r="ER161" s="371"/>
      <c r="ES161" s="371"/>
      <c r="ET161" s="371"/>
      <c r="EU161" s="371"/>
      <c r="EV161" s="371"/>
      <c r="EW161" s="371"/>
      <c r="EX161" s="371"/>
      <c r="EY161" s="371"/>
      <c r="EZ161" s="371"/>
      <c r="FA161" s="377"/>
      <c r="FB161" s="378">
        <v>150</v>
      </c>
      <c r="FC161" s="378"/>
      <c r="FD161" s="379">
        <f t="shared" si="359"/>
        <v>0</v>
      </c>
      <c r="FE161" s="790"/>
    </row>
    <row r="162" spans="2:164" ht="26.1" customHeight="1" outlineLevel="1" thickBot="1" x14ac:dyDescent="0.3">
      <c r="B162" s="1018"/>
      <c r="C162" s="1020"/>
      <c r="D162" s="1037"/>
      <c r="E162" s="1040"/>
      <c r="F162" s="834" t="s">
        <v>111</v>
      </c>
      <c r="G162" s="801" t="str">
        <f>VLOOKUP(H162,инфо!AD:AE,2,FALSE)</f>
        <v>Прочее</v>
      </c>
      <c r="H162" s="575" t="s">
        <v>1197</v>
      </c>
      <c r="I162" s="590" t="s">
        <v>56</v>
      </c>
      <c r="J162" s="380"/>
      <c r="K162" s="381"/>
      <c r="L162" s="381"/>
      <c r="M162" s="381"/>
      <c r="N162" s="381"/>
      <c r="O162" s="381"/>
      <c r="P162" s="381"/>
      <c r="Q162" s="381"/>
      <c r="R162" s="381"/>
      <c r="S162" s="381"/>
      <c r="T162" s="381"/>
      <c r="U162" s="381"/>
      <c r="V162" s="381"/>
      <c r="W162" s="382"/>
      <c r="X162" s="382"/>
      <c r="Y162" s="382"/>
      <c r="Z162" s="382"/>
      <c r="AA162" s="382"/>
      <c r="AB162" s="382"/>
      <c r="AC162" s="382"/>
      <c r="AD162" s="382"/>
      <c r="AE162" s="382"/>
      <c r="AF162" s="382"/>
      <c r="AG162" s="382"/>
      <c r="AH162" s="382"/>
      <c r="AI162" s="382"/>
      <c r="AJ162" s="382"/>
      <c r="AK162" s="382"/>
      <c r="AL162" s="382"/>
      <c r="AM162" s="382"/>
      <c r="AN162" s="382"/>
      <c r="AO162" s="382"/>
      <c r="AP162" s="382"/>
      <c r="AQ162" s="382"/>
      <c r="AR162" s="382"/>
      <c r="AS162" s="382"/>
      <c r="AT162" s="382"/>
      <c r="AU162" s="382"/>
      <c r="AV162" s="382"/>
      <c r="AW162" s="382"/>
      <c r="AX162" s="382"/>
      <c r="AY162" s="382"/>
      <c r="AZ162" s="382"/>
      <c r="BA162" s="382"/>
      <c r="BB162" s="382"/>
      <c r="BC162" s="382"/>
      <c r="BD162" s="382"/>
      <c r="BE162" s="383"/>
      <c r="BF162" s="383"/>
      <c r="BG162" s="383"/>
      <c r="BH162" s="383">
        <v>22</v>
      </c>
      <c r="BI162" s="383"/>
      <c r="BJ162" s="383"/>
      <c r="BK162" s="383"/>
      <c r="BL162" s="383"/>
      <c r="BM162" s="383"/>
      <c r="BN162" s="419"/>
      <c r="BO162" s="419"/>
      <c r="BP162" s="419"/>
      <c r="BQ162" s="419"/>
      <c r="BR162" s="419"/>
      <c r="BS162" s="419"/>
      <c r="BT162" s="419"/>
      <c r="BU162" s="384"/>
      <c r="BV162" s="381"/>
      <c r="BW162" s="381"/>
      <c r="BX162" s="381"/>
      <c r="BY162" s="381"/>
      <c r="BZ162" s="381"/>
      <c r="CA162" s="381"/>
      <c r="CB162" s="381"/>
      <c r="CC162" s="420"/>
      <c r="CD162" s="385"/>
      <c r="CE162" s="385"/>
      <c r="CF162" s="385"/>
      <c r="CG162" s="385"/>
      <c r="CH162" s="385"/>
      <c r="CI162" s="385"/>
      <c r="CJ162" s="385"/>
      <c r="CK162" s="385"/>
      <c r="CL162" s="385"/>
      <c r="CM162" s="385"/>
      <c r="CN162" s="385"/>
      <c r="CO162" s="385"/>
      <c r="CP162" s="385"/>
      <c r="CQ162" s="385"/>
      <c r="CR162" s="385"/>
      <c r="CS162" s="386"/>
      <c r="CT162" s="386"/>
      <c r="CU162" s="386"/>
      <c r="CV162" s="386"/>
      <c r="CW162" s="386"/>
      <c r="CX162" s="386"/>
      <c r="CY162" s="386"/>
      <c r="CZ162" s="386"/>
      <c r="DA162" s="386"/>
      <c r="DB162" s="386"/>
      <c r="DC162" s="386"/>
      <c r="DD162" s="386"/>
      <c r="DE162" s="386"/>
      <c r="DF162" s="386"/>
      <c r="DG162" s="386"/>
      <c r="DH162" s="386"/>
      <c r="DI162" s="386"/>
      <c r="DJ162" s="386"/>
      <c r="DK162" s="386"/>
      <c r="DL162" s="386"/>
      <c r="DM162" s="386"/>
      <c r="DN162" s="933"/>
      <c r="DO162" s="387"/>
      <c r="DP162" s="387"/>
      <c r="DQ162" s="388"/>
      <c r="DR162" s="388"/>
      <c r="DS162" s="383"/>
      <c r="DT162" s="383"/>
      <c r="DU162" s="383"/>
      <c r="DV162" s="383"/>
      <c r="DW162" s="383"/>
      <c r="DX162" s="383"/>
      <c r="DY162" s="383"/>
      <c r="DZ162" s="383"/>
      <c r="EA162" s="383"/>
      <c r="EB162" s="383"/>
      <c r="EC162" s="383"/>
      <c r="ED162" s="383"/>
      <c r="EE162" s="383"/>
      <c r="EF162" s="383"/>
      <c r="EG162" s="383"/>
      <c r="EH162" s="383"/>
      <c r="EI162" s="383"/>
      <c r="EJ162" s="383"/>
      <c r="EK162" s="383"/>
      <c r="EL162" s="383"/>
      <c r="EM162" s="383"/>
      <c r="EN162" s="383"/>
      <c r="EO162" s="383"/>
      <c r="EP162" s="383"/>
      <c r="EQ162" s="383"/>
      <c r="ER162" s="383"/>
      <c r="ES162" s="383"/>
      <c r="ET162" s="383"/>
      <c r="EU162" s="383"/>
      <c r="EV162" s="383"/>
      <c r="EW162" s="383"/>
      <c r="EX162" s="383"/>
      <c r="EY162" s="383"/>
      <c r="EZ162" s="383"/>
      <c r="FA162" s="402"/>
      <c r="FB162" s="403">
        <v>22</v>
      </c>
      <c r="FC162" s="403"/>
      <c r="FD162" s="404">
        <f t="shared" si="359"/>
        <v>110</v>
      </c>
      <c r="FE162" s="790"/>
    </row>
    <row r="163" spans="2:164" s="154" customFormat="1" ht="16.5" customHeight="1" outlineLevel="1" thickBot="1" x14ac:dyDescent="0.4">
      <c r="B163" s="1018"/>
      <c r="C163" s="1020"/>
      <c r="D163" s="145"/>
      <c r="E163" s="317" t="s">
        <v>174</v>
      </c>
      <c r="F163" s="836"/>
      <c r="G163" s="818"/>
      <c r="H163" s="576"/>
      <c r="I163" s="594"/>
      <c r="J163" s="305">
        <f>SUM(J153:J162)</f>
        <v>0</v>
      </c>
      <c r="K163" s="146">
        <f t="shared" ref="K163:CU163" si="360">SUM(K153:K162)</f>
        <v>83</v>
      </c>
      <c r="L163" s="146">
        <f t="shared" si="360"/>
        <v>0</v>
      </c>
      <c r="M163" s="146">
        <f t="shared" si="360"/>
        <v>0</v>
      </c>
      <c r="N163" s="146">
        <f t="shared" si="360"/>
        <v>0</v>
      </c>
      <c r="O163" s="146">
        <f t="shared" si="360"/>
        <v>0</v>
      </c>
      <c r="P163" s="146">
        <f t="shared" si="360"/>
        <v>0</v>
      </c>
      <c r="Q163" s="146">
        <f t="shared" si="360"/>
        <v>0</v>
      </c>
      <c r="R163" s="146">
        <f t="shared" si="360"/>
        <v>0</v>
      </c>
      <c r="S163" s="146">
        <f t="shared" si="360"/>
        <v>0</v>
      </c>
      <c r="T163" s="146">
        <f t="shared" ref="T163:V163" si="361">SUM(T153:T162)</f>
        <v>0</v>
      </c>
      <c r="U163" s="146">
        <f t="shared" si="361"/>
        <v>0</v>
      </c>
      <c r="V163" s="146">
        <f t="shared" si="361"/>
        <v>0</v>
      </c>
      <c r="W163" s="147">
        <f t="shared" si="360"/>
        <v>0</v>
      </c>
      <c r="X163" s="147">
        <f t="shared" si="360"/>
        <v>0</v>
      </c>
      <c r="Y163" s="147">
        <f t="shared" ref="Y163" si="362">SUM(Y153:Y162)</f>
        <v>0</v>
      </c>
      <c r="Z163" s="147">
        <f t="shared" si="360"/>
        <v>50</v>
      </c>
      <c r="AA163" s="147">
        <f t="shared" si="360"/>
        <v>100</v>
      </c>
      <c r="AB163" s="147">
        <f t="shared" ref="AB163:AC163" si="363">SUM(AB153:AB162)</f>
        <v>0</v>
      </c>
      <c r="AC163" s="147">
        <f t="shared" si="363"/>
        <v>0</v>
      </c>
      <c r="AD163" s="147">
        <f t="shared" si="360"/>
        <v>0</v>
      </c>
      <c r="AE163" s="147">
        <f t="shared" si="360"/>
        <v>0</v>
      </c>
      <c r="AF163" s="147">
        <f t="shared" ref="AF163:AH163" si="364">SUM(AF153:AF162)</f>
        <v>0</v>
      </c>
      <c r="AG163" s="147">
        <f t="shared" si="364"/>
        <v>0</v>
      </c>
      <c r="AH163" s="147">
        <f t="shared" si="364"/>
        <v>0</v>
      </c>
      <c r="AI163" s="147">
        <f t="shared" si="360"/>
        <v>0</v>
      </c>
      <c r="AJ163" s="147">
        <f t="shared" si="360"/>
        <v>0</v>
      </c>
      <c r="AK163" s="147">
        <f t="shared" si="360"/>
        <v>0</v>
      </c>
      <c r="AL163" s="147">
        <f t="shared" si="360"/>
        <v>0</v>
      </c>
      <c r="AM163" s="147">
        <f t="shared" ref="AM163:AS163" si="365">SUM(AM153:AM162)</f>
        <v>0</v>
      </c>
      <c r="AN163" s="147">
        <f t="shared" si="365"/>
        <v>0</v>
      </c>
      <c r="AO163" s="147">
        <f t="shared" si="365"/>
        <v>0</v>
      </c>
      <c r="AP163" s="147">
        <f t="shared" si="365"/>
        <v>0</v>
      </c>
      <c r="AQ163" s="147">
        <f t="shared" si="365"/>
        <v>0</v>
      </c>
      <c r="AR163" s="147">
        <f t="shared" si="365"/>
        <v>0</v>
      </c>
      <c r="AS163" s="147">
        <f t="shared" si="365"/>
        <v>20</v>
      </c>
      <c r="AT163" s="147">
        <f t="shared" si="360"/>
        <v>0</v>
      </c>
      <c r="AU163" s="147">
        <f t="shared" ref="AU163:BD163" si="366">SUM(AU153:AU162)</f>
        <v>0</v>
      </c>
      <c r="AV163" s="147">
        <f t="shared" si="366"/>
        <v>0</v>
      </c>
      <c r="AW163" s="147">
        <f t="shared" si="366"/>
        <v>0</v>
      </c>
      <c r="AX163" s="147">
        <f t="shared" si="366"/>
        <v>0</v>
      </c>
      <c r="AY163" s="147">
        <f t="shared" si="366"/>
        <v>0</v>
      </c>
      <c r="AZ163" s="147">
        <f t="shared" si="366"/>
        <v>0</v>
      </c>
      <c r="BA163" s="147">
        <f t="shared" si="366"/>
        <v>0</v>
      </c>
      <c r="BB163" s="147">
        <f t="shared" si="366"/>
        <v>0</v>
      </c>
      <c r="BC163" s="147">
        <f t="shared" si="366"/>
        <v>0</v>
      </c>
      <c r="BD163" s="147">
        <f t="shared" si="366"/>
        <v>0</v>
      </c>
      <c r="BE163" s="148">
        <f t="shared" ref="BE163:BP163" si="367">SUM(BE153:BE162)</f>
        <v>150</v>
      </c>
      <c r="BF163" s="148">
        <f t="shared" si="367"/>
        <v>0</v>
      </c>
      <c r="BG163" s="148">
        <f t="shared" si="367"/>
        <v>0</v>
      </c>
      <c r="BH163" s="148">
        <f t="shared" si="367"/>
        <v>22</v>
      </c>
      <c r="BI163" s="148">
        <f t="shared" ref="BI163:BL163" si="368">SUM(BI153:BI162)</f>
        <v>0</v>
      </c>
      <c r="BJ163" s="148">
        <f t="shared" si="368"/>
        <v>0</v>
      </c>
      <c r="BK163" s="148">
        <f t="shared" si="368"/>
        <v>0</v>
      </c>
      <c r="BL163" s="148">
        <f t="shared" si="368"/>
        <v>0</v>
      </c>
      <c r="BM163" s="148">
        <f t="shared" si="367"/>
        <v>0</v>
      </c>
      <c r="BN163" s="149">
        <f t="shared" si="367"/>
        <v>15</v>
      </c>
      <c r="BO163" s="149">
        <f t="shared" si="367"/>
        <v>0</v>
      </c>
      <c r="BP163" s="149">
        <f t="shared" si="367"/>
        <v>0</v>
      </c>
      <c r="BQ163" s="149">
        <f t="shared" ref="BQ163" si="369">SUM(BQ153:BQ162)</f>
        <v>0</v>
      </c>
      <c r="BR163" s="149">
        <f t="shared" ref="BR163:BU163" si="370">SUM(BR153:BR162)</f>
        <v>0</v>
      </c>
      <c r="BS163" s="149">
        <f t="shared" si="370"/>
        <v>0</v>
      </c>
      <c r="BT163" s="149">
        <f t="shared" si="370"/>
        <v>0</v>
      </c>
      <c r="BU163" s="149">
        <f t="shared" si="370"/>
        <v>0</v>
      </c>
      <c r="BV163" s="146">
        <f t="shared" ref="BV163:BX163" si="371">SUM(BV153:BV162)</f>
        <v>0</v>
      </c>
      <c r="BW163" s="146">
        <f t="shared" si="371"/>
        <v>0</v>
      </c>
      <c r="BX163" s="146">
        <f t="shared" si="371"/>
        <v>0</v>
      </c>
      <c r="BY163" s="146">
        <f t="shared" ref="BY163:BZ163" si="372">SUM(BY153:BY162)</f>
        <v>0</v>
      </c>
      <c r="BZ163" s="146">
        <f t="shared" si="372"/>
        <v>0</v>
      </c>
      <c r="CA163" s="146">
        <f t="shared" si="360"/>
        <v>0</v>
      </c>
      <c r="CB163" s="146">
        <f t="shared" si="360"/>
        <v>0</v>
      </c>
      <c r="CC163" s="265">
        <f t="shared" si="360"/>
        <v>0</v>
      </c>
      <c r="CD163" s="265">
        <f t="shared" si="360"/>
        <v>25</v>
      </c>
      <c r="CE163" s="265">
        <f t="shared" si="360"/>
        <v>0</v>
      </c>
      <c r="CF163" s="265">
        <f t="shared" si="360"/>
        <v>80</v>
      </c>
      <c r="CG163" s="265">
        <f t="shared" si="360"/>
        <v>0</v>
      </c>
      <c r="CH163" s="265">
        <f t="shared" si="360"/>
        <v>0</v>
      </c>
      <c r="CI163" s="265">
        <f t="shared" si="360"/>
        <v>0</v>
      </c>
      <c r="CJ163" s="265">
        <f t="shared" ref="CJ163" si="373">SUM(CJ153:CJ162)</f>
        <v>0</v>
      </c>
      <c r="CK163" s="265">
        <f t="shared" ref="CK163" si="374">SUM(CK153:CK162)</f>
        <v>0</v>
      </c>
      <c r="CL163" s="265">
        <f t="shared" si="360"/>
        <v>0</v>
      </c>
      <c r="CM163" s="265">
        <f t="shared" si="360"/>
        <v>0</v>
      </c>
      <c r="CN163" s="265">
        <f t="shared" ref="CN163:CQ163" si="375">SUM(CN153:CN162)</f>
        <v>0</v>
      </c>
      <c r="CO163" s="265">
        <f t="shared" si="375"/>
        <v>0</v>
      </c>
      <c r="CP163" s="265">
        <f t="shared" si="375"/>
        <v>0</v>
      </c>
      <c r="CQ163" s="265">
        <f t="shared" si="375"/>
        <v>0</v>
      </c>
      <c r="CR163" s="265">
        <f t="shared" si="360"/>
        <v>0</v>
      </c>
      <c r="CS163" s="281">
        <f t="shared" si="360"/>
        <v>0</v>
      </c>
      <c r="CT163" s="281">
        <f t="shared" ref="CT163" si="376">SUM(CT153:CT162)</f>
        <v>0</v>
      </c>
      <c r="CU163" s="281">
        <f t="shared" si="360"/>
        <v>0</v>
      </c>
      <c r="CV163" s="281">
        <f t="shared" ref="CV163:DE163" si="377">SUM(CV153:CV162)</f>
        <v>0</v>
      </c>
      <c r="CW163" s="281">
        <f t="shared" si="377"/>
        <v>0</v>
      </c>
      <c r="CX163" s="281">
        <f t="shared" si="377"/>
        <v>0</v>
      </c>
      <c r="CY163" s="281">
        <f t="shared" si="377"/>
        <v>0</v>
      </c>
      <c r="CZ163" s="281">
        <f t="shared" ref="CZ163" si="378">SUM(CZ153:CZ162)</f>
        <v>0</v>
      </c>
      <c r="DA163" s="281">
        <f t="shared" si="377"/>
        <v>0</v>
      </c>
      <c r="DB163" s="281">
        <f t="shared" si="377"/>
        <v>0</v>
      </c>
      <c r="DC163" s="281">
        <f t="shared" si="377"/>
        <v>0</v>
      </c>
      <c r="DD163" s="281">
        <f t="shared" ref="DD163" si="379">SUM(DD153:DD162)</f>
        <v>0</v>
      </c>
      <c r="DE163" s="281">
        <f t="shared" si="377"/>
        <v>0</v>
      </c>
      <c r="DF163" s="281">
        <f t="shared" ref="DF163:FD163" si="380">SUM(DF153:DF162)</f>
        <v>0</v>
      </c>
      <c r="DG163" s="281">
        <f t="shared" si="380"/>
        <v>0</v>
      </c>
      <c r="DH163" s="281">
        <f t="shared" si="380"/>
        <v>0</v>
      </c>
      <c r="DI163" s="281">
        <f t="shared" ref="DI163:DQ163" si="381">SUM(DI153:DI162)</f>
        <v>0</v>
      </c>
      <c r="DJ163" s="281">
        <f t="shared" si="381"/>
        <v>0</v>
      </c>
      <c r="DK163" s="281">
        <f t="shared" si="381"/>
        <v>0</v>
      </c>
      <c r="DL163" s="281">
        <f t="shared" si="381"/>
        <v>0</v>
      </c>
      <c r="DM163" s="281">
        <f t="shared" si="381"/>
        <v>0</v>
      </c>
      <c r="DN163" s="936">
        <f t="shared" si="381"/>
        <v>0</v>
      </c>
      <c r="DO163" s="148">
        <f t="shared" si="381"/>
        <v>60</v>
      </c>
      <c r="DP163" s="148">
        <f t="shared" si="381"/>
        <v>3</v>
      </c>
      <c r="DQ163" s="148">
        <f t="shared" si="381"/>
        <v>0</v>
      </c>
      <c r="DR163" s="148">
        <f t="shared" si="380"/>
        <v>0</v>
      </c>
      <c r="DS163" s="148">
        <f t="shared" si="380"/>
        <v>0</v>
      </c>
      <c r="DT163" s="148">
        <f t="shared" si="380"/>
        <v>0</v>
      </c>
      <c r="DU163" s="148">
        <f t="shared" si="380"/>
        <v>0</v>
      </c>
      <c r="DV163" s="148">
        <f t="shared" si="380"/>
        <v>0</v>
      </c>
      <c r="DW163" s="148">
        <f t="shared" si="380"/>
        <v>0</v>
      </c>
      <c r="DX163" s="148">
        <f t="shared" si="380"/>
        <v>0</v>
      </c>
      <c r="DY163" s="148">
        <f t="shared" ref="DY163:EO163" si="382">SUM(DY153:DY162)</f>
        <v>0</v>
      </c>
      <c r="DZ163" s="148">
        <f t="shared" si="382"/>
        <v>0</v>
      </c>
      <c r="EA163" s="148">
        <f t="shared" si="382"/>
        <v>365.6</v>
      </c>
      <c r="EB163" s="148">
        <f t="shared" si="382"/>
        <v>0</v>
      </c>
      <c r="EC163" s="148">
        <f t="shared" si="382"/>
        <v>0</v>
      </c>
      <c r="ED163" s="148">
        <f t="shared" si="382"/>
        <v>0</v>
      </c>
      <c r="EE163" s="148">
        <f t="shared" si="382"/>
        <v>0</v>
      </c>
      <c r="EF163" s="148">
        <f t="shared" si="382"/>
        <v>1.5</v>
      </c>
      <c r="EG163" s="148">
        <f t="shared" si="382"/>
        <v>0</v>
      </c>
      <c r="EH163" s="148">
        <f t="shared" si="382"/>
        <v>0</v>
      </c>
      <c r="EI163" s="148">
        <f t="shared" si="382"/>
        <v>0</v>
      </c>
      <c r="EJ163" s="148">
        <f t="shared" si="382"/>
        <v>0</v>
      </c>
      <c r="EK163" s="148">
        <f t="shared" si="382"/>
        <v>0</v>
      </c>
      <c r="EL163" s="148">
        <f t="shared" si="382"/>
        <v>0</v>
      </c>
      <c r="EM163" s="148">
        <f t="shared" si="382"/>
        <v>0</v>
      </c>
      <c r="EN163" s="148">
        <f t="shared" si="382"/>
        <v>0</v>
      </c>
      <c r="EO163" s="148">
        <f t="shared" si="382"/>
        <v>0</v>
      </c>
      <c r="EP163" s="148">
        <f t="shared" ref="EP163:EZ163" si="383">SUM(EP153:EP162)</f>
        <v>0</v>
      </c>
      <c r="EQ163" s="148">
        <f t="shared" si="383"/>
        <v>0</v>
      </c>
      <c r="ER163" s="148">
        <f t="shared" si="383"/>
        <v>0</v>
      </c>
      <c r="ES163" s="148">
        <f t="shared" si="383"/>
        <v>0</v>
      </c>
      <c r="ET163" s="148">
        <f t="shared" si="383"/>
        <v>0</v>
      </c>
      <c r="EU163" s="148">
        <f t="shared" si="383"/>
        <v>0</v>
      </c>
      <c r="EV163" s="148">
        <f t="shared" si="383"/>
        <v>0</v>
      </c>
      <c r="EW163" s="148">
        <f t="shared" si="383"/>
        <v>0</v>
      </c>
      <c r="EX163" s="148">
        <f t="shared" si="383"/>
        <v>0</v>
      </c>
      <c r="EY163" s="148">
        <f t="shared" si="383"/>
        <v>0</v>
      </c>
      <c r="EZ163" s="148">
        <f t="shared" si="383"/>
        <v>0</v>
      </c>
      <c r="FA163" s="150">
        <f t="shared" si="380"/>
        <v>415</v>
      </c>
      <c r="FB163" s="151">
        <f t="shared" si="380"/>
        <v>917</v>
      </c>
      <c r="FC163" s="151">
        <f t="shared" si="380"/>
        <v>78</v>
      </c>
      <c r="FD163" s="152">
        <f t="shared" si="380"/>
        <v>260</v>
      </c>
      <c r="FE163" s="792" t="str">
        <f>IF(FB163&lt;инфо!$AN$74,FB163-инфо!$AN$74,"")</f>
        <v/>
      </c>
      <c r="FF163" s="153"/>
      <c r="FG163" s="153"/>
      <c r="FH163" s="153"/>
    </row>
    <row r="164" spans="2:164" ht="26.1" customHeight="1" outlineLevel="1" thickBot="1" x14ac:dyDescent="0.3">
      <c r="B164" s="1018"/>
      <c r="C164" s="1020"/>
      <c r="D164" s="1033" t="s">
        <v>112</v>
      </c>
      <c r="E164" s="1042" t="s">
        <v>113</v>
      </c>
      <c r="F164" s="837" t="s">
        <v>112</v>
      </c>
      <c r="G164" s="803" t="str">
        <f>VLOOKUP(H164,инфо!AD:AE,2,FALSE)</f>
        <v>Холодные закуски</v>
      </c>
      <c r="H164" s="577" t="s">
        <v>1200</v>
      </c>
      <c r="I164" s="588" t="s">
        <v>1077</v>
      </c>
      <c r="J164" s="421"/>
      <c r="K164" s="422"/>
      <c r="L164" s="422"/>
      <c r="M164" s="422"/>
      <c r="N164" s="422"/>
      <c r="O164" s="422"/>
      <c r="P164" s="422"/>
      <c r="Q164" s="422"/>
      <c r="R164" s="422"/>
      <c r="S164" s="422"/>
      <c r="T164" s="422"/>
      <c r="U164" s="422"/>
      <c r="V164" s="422"/>
      <c r="W164" s="423"/>
      <c r="X164" s="423"/>
      <c r="Y164" s="423"/>
      <c r="Z164" s="423"/>
      <c r="AA164" s="423"/>
      <c r="AB164" s="423"/>
      <c r="AC164" s="423"/>
      <c r="AD164" s="423"/>
      <c r="AE164" s="423">
        <v>140</v>
      </c>
      <c r="AF164" s="423">
        <v>25</v>
      </c>
      <c r="AG164" s="423">
        <v>10</v>
      </c>
      <c r="AH164" s="423"/>
      <c r="AI164" s="423"/>
      <c r="AJ164" s="423"/>
      <c r="AK164" s="423"/>
      <c r="AL164" s="423"/>
      <c r="AM164" s="423"/>
      <c r="AN164" s="423"/>
      <c r="AO164" s="423"/>
      <c r="AP164" s="423"/>
      <c r="AQ164" s="423"/>
      <c r="AR164" s="423"/>
      <c r="AS164" s="423"/>
      <c r="AT164" s="423"/>
      <c r="AU164" s="423"/>
      <c r="AV164" s="423"/>
      <c r="AW164" s="423"/>
      <c r="AX164" s="423"/>
      <c r="AY164" s="423"/>
      <c r="AZ164" s="423"/>
      <c r="BA164" s="423"/>
      <c r="BB164" s="423"/>
      <c r="BC164" s="423"/>
      <c r="BD164" s="423"/>
      <c r="BE164" s="424"/>
      <c r="BF164" s="424"/>
      <c r="BG164" s="424"/>
      <c r="BH164" s="424"/>
      <c r="BI164" s="424"/>
      <c r="BJ164" s="424"/>
      <c r="BK164" s="424"/>
      <c r="BL164" s="424"/>
      <c r="BM164" s="424"/>
      <c r="BN164" s="425"/>
      <c r="BO164" s="425">
        <v>8</v>
      </c>
      <c r="BP164" s="425"/>
      <c r="BQ164" s="425"/>
      <c r="BR164" s="425"/>
      <c r="BS164" s="425"/>
      <c r="BT164" s="425"/>
      <c r="BU164" s="425"/>
      <c r="BV164" s="422"/>
      <c r="BW164" s="422"/>
      <c r="BX164" s="422"/>
      <c r="BY164" s="422"/>
      <c r="BZ164" s="422"/>
      <c r="CA164" s="422"/>
      <c r="CB164" s="422"/>
      <c r="CC164" s="426"/>
      <c r="CD164" s="426"/>
      <c r="CE164" s="426"/>
      <c r="CF164" s="426"/>
      <c r="CG164" s="426"/>
      <c r="CH164" s="426"/>
      <c r="CI164" s="426"/>
      <c r="CJ164" s="426"/>
      <c r="CK164" s="426"/>
      <c r="CL164" s="426"/>
      <c r="CM164" s="426"/>
      <c r="CN164" s="426"/>
      <c r="CO164" s="426"/>
      <c r="CP164" s="426"/>
      <c r="CQ164" s="426"/>
      <c r="CR164" s="426"/>
      <c r="CS164" s="427"/>
      <c r="CT164" s="427"/>
      <c r="CU164" s="427"/>
      <c r="CV164" s="427"/>
      <c r="CW164" s="427"/>
      <c r="CX164" s="427"/>
      <c r="CY164" s="427"/>
      <c r="CZ164" s="427"/>
      <c r="DA164" s="427"/>
      <c r="DB164" s="427"/>
      <c r="DC164" s="427"/>
      <c r="DD164" s="427"/>
      <c r="DE164" s="427"/>
      <c r="DF164" s="427"/>
      <c r="DG164" s="427"/>
      <c r="DH164" s="427"/>
      <c r="DI164" s="427"/>
      <c r="DJ164" s="427"/>
      <c r="DK164" s="427"/>
      <c r="DL164" s="427"/>
      <c r="DM164" s="427"/>
      <c r="DN164" s="937"/>
      <c r="DO164" s="428"/>
      <c r="DP164" s="428">
        <v>2</v>
      </c>
      <c r="DQ164" s="429"/>
      <c r="DR164" s="429"/>
      <c r="DS164" s="424"/>
      <c r="DT164" s="424"/>
      <c r="DU164" s="424"/>
      <c r="DV164" s="424"/>
      <c r="DW164" s="424">
        <v>1</v>
      </c>
      <c r="DX164" s="424"/>
      <c r="DY164" s="424"/>
      <c r="DZ164" s="424"/>
      <c r="EA164" s="424"/>
      <c r="EB164" s="424"/>
      <c r="EC164" s="424"/>
      <c r="ED164" s="424"/>
      <c r="EE164" s="424"/>
      <c r="EF164" s="424"/>
      <c r="EG164" s="424"/>
      <c r="EH164" s="424"/>
      <c r="EI164" s="424"/>
      <c r="EJ164" s="424"/>
      <c r="EK164" s="424"/>
      <c r="EL164" s="424"/>
      <c r="EM164" s="424"/>
      <c r="EN164" s="424"/>
      <c r="EO164" s="424"/>
      <c r="EP164" s="424"/>
      <c r="EQ164" s="424"/>
      <c r="ER164" s="424"/>
      <c r="ES164" s="424"/>
      <c r="ET164" s="424"/>
      <c r="EU164" s="424"/>
      <c r="EV164" s="424"/>
      <c r="EW164" s="424"/>
      <c r="EX164" s="424"/>
      <c r="EY164" s="424"/>
      <c r="EZ164" s="424"/>
      <c r="FA164" s="377">
        <v>175</v>
      </c>
      <c r="FB164" s="378">
        <v>136</v>
      </c>
      <c r="FC164" s="378"/>
      <c r="FD164" s="379">
        <f t="shared" ref="FD164:FD177" si="384">SUM(BE164:BG164,BI164,BL164:BM164)+SUM(BH164,BJ164,BK164)*5</f>
        <v>0</v>
      </c>
      <c r="FE164" s="790"/>
    </row>
    <row r="165" spans="2:164" ht="26.1" customHeight="1" outlineLevel="1" thickBot="1" x14ac:dyDescent="0.3">
      <c r="B165" s="1018"/>
      <c r="C165" s="1020"/>
      <c r="D165" s="1033"/>
      <c r="E165" s="1038"/>
      <c r="F165" s="838" t="s">
        <v>112</v>
      </c>
      <c r="G165" s="804" t="str">
        <f>VLOOKUP(H165,инфо!AD:AE,2,FALSE)</f>
        <v>Прочее</v>
      </c>
      <c r="H165" s="577" t="s">
        <v>1197</v>
      </c>
      <c r="I165" s="574"/>
      <c r="J165" s="430"/>
      <c r="K165" s="431"/>
      <c r="L165" s="431"/>
      <c r="M165" s="431"/>
      <c r="N165" s="431"/>
      <c r="O165" s="431"/>
      <c r="P165" s="431"/>
      <c r="Q165" s="431"/>
      <c r="R165" s="431"/>
      <c r="S165" s="431"/>
      <c r="T165" s="431"/>
      <c r="U165" s="431"/>
      <c r="V165" s="431"/>
      <c r="W165" s="432"/>
      <c r="X165" s="432"/>
      <c r="Y165" s="432"/>
      <c r="Z165" s="432"/>
      <c r="AA165" s="432"/>
      <c r="AB165" s="432"/>
      <c r="AC165" s="432"/>
      <c r="AD165" s="432"/>
      <c r="AE165" s="432"/>
      <c r="AF165" s="432"/>
      <c r="AG165" s="432"/>
      <c r="AH165" s="432"/>
      <c r="AI165" s="432"/>
      <c r="AJ165" s="432"/>
      <c r="AK165" s="432"/>
      <c r="AL165" s="432"/>
      <c r="AM165" s="432"/>
      <c r="AN165" s="432"/>
      <c r="AO165" s="432"/>
      <c r="AP165" s="432"/>
      <c r="AQ165" s="432"/>
      <c r="AR165" s="432"/>
      <c r="AS165" s="432"/>
      <c r="AT165" s="432"/>
      <c r="AU165" s="432"/>
      <c r="AV165" s="432"/>
      <c r="AW165" s="432"/>
      <c r="AX165" s="432"/>
      <c r="AY165" s="432"/>
      <c r="AZ165" s="432"/>
      <c r="BA165" s="432"/>
      <c r="BB165" s="432"/>
      <c r="BC165" s="432"/>
      <c r="BD165" s="432"/>
      <c r="BE165" s="433"/>
      <c r="BF165" s="433"/>
      <c r="BG165" s="433"/>
      <c r="BH165" s="433"/>
      <c r="BI165" s="433"/>
      <c r="BJ165" s="433"/>
      <c r="BK165" s="433"/>
      <c r="BL165" s="433"/>
      <c r="BM165" s="433"/>
      <c r="BN165" s="434"/>
      <c r="BO165" s="434"/>
      <c r="BP165" s="434"/>
      <c r="BQ165" s="434"/>
      <c r="BR165" s="434"/>
      <c r="BS165" s="434"/>
      <c r="BT165" s="434"/>
      <c r="BU165" s="434"/>
      <c r="BV165" s="431"/>
      <c r="BW165" s="431"/>
      <c r="BX165" s="431"/>
      <c r="BY165" s="431"/>
      <c r="BZ165" s="431"/>
      <c r="CA165" s="431"/>
      <c r="CB165" s="431"/>
      <c r="CC165" s="435"/>
      <c r="CD165" s="435"/>
      <c r="CE165" s="435"/>
      <c r="CF165" s="435"/>
      <c r="CG165" s="435"/>
      <c r="CH165" s="435"/>
      <c r="CI165" s="435"/>
      <c r="CJ165" s="435"/>
      <c r="CK165" s="435"/>
      <c r="CL165" s="435"/>
      <c r="CM165" s="435"/>
      <c r="CN165" s="435"/>
      <c r="CO165" s="435"/>
      <c r="CP165" s="435"/>
      <c r="CQ165" s="435"/>
      <c r="CR165" s="435"/>
      <c r="CS165" s="436"/>
      <c r="CT165" s="436"/>
      <c r="CU165" s="436"/>
      <c r="CV165" s="436"/>
      <c r="CW165" s="436"/>
      <c r="CX165" s="436"/>
      <c r="CY165" s="436"/>
      <c r="CZ165" s="436"/>
      <c r="DA165" s="436"/>
      <c r="DB165" s="436"/>
      <c r="DC165" s="436"/>
      <c r="DD165" s="436"/>
      <c r="DE165" s="436"/>
      <c r="DF165" s="436"/>
      <c r="DG165" s="436"/>
      <c r="DH165" s="436"/>
      <c r="DI165" s="436"/>
      <c r="DJ165" s="436"/>
      <c r="DK165" s="436"/>
      <c r="DL165" s="436"/>
      <c r="DM165" s="436"/>
      <c r="DN165" s="938"/>
      <c r="DO165" s="437"/>
      <c r="DP165" s="437"/>
      <c r="DQ165" s="438"/>
      <c r="DR165" s="438"/>
      <c r="DS165" s="433"/>
      <c r="DT165" s="433"/>
      <c r="DU165" s="433"/>
      <c r="DV165" s="433"/>
      <c r="DW165" s="433"/>
      <c r="DX165" s="433"/>
      <c r="DY165" s="433"/>
      <c r="DZ165" s="433"/>
      <c r="EA165" s="433"/>
      <c r="EB165" s="433"/>
      <c r="EC165" s="433"/>
      <c r="ED165" s="433"/>
      <c r="EE165" s="433"/>
      <c r="EF165" s="433"/>
      <c r="EG165" s="433"/>
      <c r="EH165" s="433"/>
      <c r="EI165" s="433"/>
      <c r="EJ165" s="433"/>
      <c r="EK165" s="433"/>
      <c r="EL165" s="433"/>
      <c r="EM165" s="433"/>
      <c r="EN165" s="433"/>
      <c r="EO165" s="433"/>
      <c r="EP165" s="433"/>
      <c r="EQ165" s="433"/>
      <c r="ER165" s="433"/>
      <c r="ES165" s="433"/>
      <c r="ET165" s="433"/>
      <c r="EU165" s="433"/>
      <c r="EV165" s="433"/>
      <c r="EW165" s="433"/>
      <c r="EX165" s="433"/>
      <c r="EY165" s="433"/>
      <c r="EZ165" s="433"/>
      <c r="FA165" s="377"/>
      <c r="FB165" s="378"/>
      <c r="FC165" s="378"/>
      <c r="FD165" s="379">
        <f t="shared" si="384"/>
        <v>0</v>
      </c>
      <c r="FE165" s="790"/>
    </row>
    <row r="166" spans="2:164" ht="26.1" customHeight="1" outlineLevel="1" thickBot="1" x14ac:dyDescent="0.3">
      <c r="B166" s="1018"/>
      <c r="C166" s="1020"/>
      <c r="D166" s="1034"/>
      <c r="E166" s="1043"/>
      <c r="F166" s="839" t="s">
        <v>112</v>
      </c>
      <c r="G166" s="805" t="str">
        <f>VLOOKUP(H166,инфо!AD:AE,2,FALSE)</f>
        <v>Прочее</v>
      </c>
      <c r="H166" s="578" t="s">
        <v>1197</v>
      </c>
      <c r="I166" s="606" t="s">
        <v>50</v>
      </c>
      <c r="J166" s="439"/>
      <c r="K166" s="440"/>
      <c r="L166" s="440"/>
      <c r="M166" s="440"/>
      <c r="N166" s="440"/>
      <c r="O166" s="440"/>
      <c r="P166" s="440"/>
      <c r="Q166" s="440"/>
      <c r="R166" s="440"/>
      <c r="S166" s="440"/>
      <c r="T166" s="440"/>
      <c r="U166" s="440"/>
      <c r="V166" s="440"/>
      <c r="W166" s="441"/>
      <c r="X166" s="441"/>
      <c r="Y166" s="441"/>
      <c r="Z166" s="441">
        <v>50</v>
      </c>
      <c r="AA166" s="441">
        <v>100</v>
      </c>
      <c r="AB166" s="441"/>
      <c r="AC166" s="441"/>
      <c r="AD166" s="441"/>
      <c r="AE166" s="441"/>
      <c r="AF166" s="441"/>
      <c r="AG166" s="441"/>
      <c r="AH166" s="441"/>
      <c r="AI166" s="441"/>
      <c r="AJ166" s="441"/>
      <c r="AK166" s="441"/>
      <c r="AL166" s="441"/>
      <c r="AM166" s="441"/>
      <c r="AN166" s="441"/>
      <c r="AO166" s="441"/>
      <c r="AP166" s="441"/>
      <c r="AQ166" s="441"/>
      <c r="AR166" s="441"/>
      <c r="AS166" s="441"/>
      <c r="AT166" s="441"/>
      <c r="AU166" s="441"/>
      <c r="AV166" s="441"/>
      <c r="AW166" s="441"/>
      <c r="AX166" s="441"/>
      <c r="AY166" s="441"/>
      <c r="AZ166" s="441"/>
      <c r="BA166" s="441"/>
      <c r="BB166" s="441"/>
      <c r="BC166" s="441"/>
      <c r="BD166" s="441"/>
      <c r="BE166" s="442"/>
      <c r="BF166" s="442"/>
      <c r="BG166" s="442"/>
      <c r="BH166" s="442"/>
      <c r="BI166" s="442"/>
      <c r="BJ166" s="442"/>
      <c r="BK166" s="442"/>
      <c r="BL166" s="442"/>
      <c r="BM166" s="442"/>
      <c r="BN166" s="443"/>
      <c r="BO166" s="443"/>
      <c r="BP166" s="443"/>
      <c r="BQ166" s="443"/>
      <c r="BR166" s="443"/>
      <c r="BS166" s="443"/>
      <c r="BT166" s="443"/>
      <c r="BU166" s="443"/>
      <c r="BV166" s="440"/>
      <c r="BW166" s="440"/>
      <c r="BX166" s="440"/>
      <c r="BY166" s="440"/>
      <c r="BZ166" s="440"/>
      <c r="CA166" s="440"/>
      <c r="CB166" s="440"/>
      <c r="CC166" s="444"/>
      <c r="CD166" s="444"/>
      <c r="CE166" s="444"/>
      <c r="CF166" s="444"/>
      <c r="CG166" s="444"/>
      <c r="CH166" s="444"/>
      <c r="CI166" s="444"/>
      <c r="CJ166" s="444"/>
      <c r="CK166" s="444"/>
      <c r="CL166" s="444"/>
      <c r="CM166" s="444"/>
      <c r="CN166" s="444"/>
      <c r="CO166" s="444"/>
      <c r="CP166" s="444"/>
      <c r="CQ166" s="444"/>
      <c r="CR166" s="444"/>
      <c r="CS166" s="445"/>
      <c r="CT166" s="445"/>
      <c r="CU166" s="445"/>
      <c r="CV166" s="445"/>
      <c r="CW166" s="445"/>
      <c r="CX166" s="445"/>
      <c r="CY166" s="445"/>
      <c r="CZ166" s="445"/>
      <c r="DA166" s="445"/>
      <c r="DB166" s="445"/>
      <c r="DC166" s="445"/>
      <c r="DD166" s="445"/>
      <c r="DE166" s="445"/>
      <c r="DF166" s="445"/>
      <c r="DG166" s="445"/>
      <c r="DH166" s="445"/>
      <c r="DI166" s="445"/>
      <c r="DJ166" s="445"/>
      <c r="DK166" s="445"/>
      <c r="DL166" s="445"/>
      <c r="DM166" s="445"/>
      <c r="DN166" s="939"/>
      <c r="DO166" s="446"/>
      <c r="DP166" s="446"/>
      <c r="DQ166" s="447"/>
      <c r="DR166" s="447"/>
      <c r="DS166" s="442"/>
      <c r="DT166" s="442"/>
      <c r="DU166" s="442"/>
      <c r="DV166" s="442"/>
      <c r="DW166" s="442"/>
      <c r="DX166" s="442"/>
      <c r="DY166" s="442"/>
      <c r="DZ166" s="442"/>
      <c r="EA166" s="442"/>
      <c r="EB166" s="442"/>
      <c r="EC166" s="442"/>
      <c r="ED166" s="442"/>
      <c r="EE166" s="442"/>
      <c r="EF166" s="442"/>
      <c r="EG166" s="442"/>
      <c r="EH166" s="442"/>
      <c r="EI166" s="442"/>
      <c r="EJ166" s="442"/>
      <c r="EK166" s="442"/>
      <c r="EL166" s="442"/>
      <c r="EM166" s="442"/>
      <c r="EN166" s="442"/>
      <c r="EO166" s="442"/>
      <c r="EP166" s="442"/>
      <c r="EQ166" s="442"/>
      <c r="ER166" s="442"/>
      <c r="ES166" s="442"/>
      <c r="ET166" s="442"/>
      <c r="EU166" s="442"/>
      <c r="EV166" s="442"/>
      <c r="EW166" s="442"/>
      <c r="EX166" s="442"/>
      <c r="EY166" s="442"/>
      <c r="EZ166" s="442"/>
      <c r="FA166" s="389"/>
      <c r="FB166" s="390">
        <v>150</v>
      </c>
      <c r="FC166" s="390"/>
      <c r="FD166" s="391">
        <f t="shared" si="384"/>
        <v>0</v>
      </c>
      <c r="FE166" s="790"/>
    </row>
    <row r="167" spans="2:164" ht="26.1" customHeight="1" outlineLevel="1" thickBot="1" x14ac:dyDescent="0.3">
      <c r="B167" s="1018"/>
      <c r="C167" s="1020"/>
      <c r="D167" s="1034"/>
      <c r="E167" s="1038" t="s">
        <v>114</v>
      </c>
      <c r="F167" s="837" t="s">
        <v>112</v>
      </c>
      <c r="G167" s="803" t="str">
        <f>VLOOKUP(H167,инфо!AD:AE,2,FALSE)</f>
        <v>Первые блюда</v>
      </c>
      <c r="H167" s="579" t="s">
        <v>1204</v>
      </c>
      <c r="I167" s="588" t="s">
        <v>167</v>
      </c>
      <c r="J167" s="448"/>
      <c r="K167" s="449"/>
      <c r="L167" s="449"/>
      <c r="M167" s="449"/>
      <c r="N167" s="449"/>
      <c r="O167" s="449"/>
      <c r="P167" s="449"/>
      <c r="Q167" s="449"/>
      <c r="R167" s="449"/>
      <c r="S167" s="449"/>
      <c r="T167" s="449"/>
      <c r="U167" s="449"/>
      <c r="V167" s="449"/>
      <c r="W167" s="450"/>
      <c r="X167" s="450"/>
      <c r="Y167" s="450"/>
      <c r="Z167" s="450"/>
      <c r="AA167" s="450"/>
      <c r="AB167" s="450"/>
      <c r="AC167" s="450"/>
      <c r="AD167" s="450">
        <v>250</v>
      </c>
      <c r="AE167" s="450"/>
      <c r="AF167" s="450">
        <v>10</v>
      </c>
      <c r="AG167" s="450">
        <v>10</v>
      </c>
      <c r="AH167" s="450"/>
      <c r="AI167" s="450"/>
      <c r="AJ167" s="450"/>
      <c r="AK167" s="450"/>
      <c r="AL167" s="450"/>
      <c r="AM167" s="450"/>
      <c r="AN167" s="450"/>
      <c r="AO167" s="450">
        <v>5</v>
      </c>
      <c r="AP167" s="450"/>
      <c r="AQ167" s="450"/>
      <c r="AR167" s="450"/>
      <c r="AS167" s="450"/>
      <c r="AT167" s="450"/>
      <c r="AU167" s="450"/>
      <c r="AV167" s="450"/>
      <c r="AW167" s="450"/>
      <c r="AX167" s="450"/>
      <c r="AY167" s="450"/>
      <c r="AZ167" s="450"/>
      <c r="BA167" s="450"/>
      <c r="BB167" s="450"/>
      <c r="BC167" s="450"/>
      <c r="BD167" s="450"/>
      <c r="BE167" s="451"/>
      <c r="BF167" s="451"/>
      <c r="BG167" s="451"/>
      <c r="BH167" s="451"/>
      <c r="BI167" s="451"/>
      <c r="BJ167" s="451"/>
      <c r="BK167" s="451"/>
      <c r="BL167" s="451"/>
      <c r="BM167" s="451"/>
      <c r="BN167" s="452"/>
      <c r="BO167" s="452">
        <v>4</v>
      </c>
      <c r="BP167" s="452"/>
      <c r="BQ167" s="452"/>
      <c r="BR167" s="452"/>
      <c r="BS167" s="452"/>
      <c r="BT167" s="452"/>
      <c r="BU167" s="452">
        <v>50</v>
      </c>
      <c r="BV167" s="449"/>
      <c r="BW167" s="449"/>
      <c r="BX167" s="449"/>
      <c r="BY167" s="449"/>
      <c r="BZ167" s="449"/>
      <c r="CA167" s="449"/>
      <c r="CB167" s="449"/>
      <c r="CC167" s="453"/>
      <c r="CD167" s="453"/>
      <c r="CE167" s="453"/>
      <c r="CF167" s="453"/>
      <c r="CG167" s="453"/>
      <c r="CH167" s="453"/>
      <c r="CI167" s="453"/>
      <c r="CJ167" s="453"/>
      <c r="CK167" s="453"/>
      <c r="CL167" s="453"/>
      <c r="CM167" s="453"/>
      <c r="CN167" s="453"/>
      <c r="CO167" s="453"/>
      <c r="CP167" s="453"/>
      <c r="CQ167" s="453"/>
      <c r="CR167" s="453"/>
      <c r="CS167" s="454"/>
      <c r="CT167" s="454"/>
      <c r="CU167" s="454"/>
      <c r="CV167" s="454"/>
      <c r="CW167" s="454"/>
      <c r="CX167" s="454"/>
      <c r="CY167" s="454"/>
      <c r="CZ167" s="454"/>
      <c r="DA167" s="454"/>
      <c r="DB167" s="454"/>
      <c r="DC167" s="454"/>
      <c r="DD167" s="454"/>
      <c r="DE167" s="454"/>
      <c r="DF167" s="454"/>
      <c r="DG167" s="454"/>
      <c r="DH167" s="454"/>
      <c r="DI167" s="454"/>
      <c r="DJ167" s="454"/>
      <c r="DK167" s="454"/>
      <c r="DL167" s="454"/>
      <c r="DM167" s="454"/>
      <c r="DN167" s="940"/>
      <c r="DO167" s="455"/>
      <c r="DP167" s="455">
        <v>4</v>
      </c>
      <c r="DQ167" s="456">
        <v>0.02</v>
      </c>
      <c r="DR167" s="456">
        <v>0.05</v>
      </c>
      <c r="DS167" s="451"/>
      <c r="DT167" s="451"/>
      <c r="DU167" s="451"/>
      <c r="DV167" s="451"/>
      <c r="DW167" s="451"/>
      <c r="DX167" s="451"/>
      <c r="DY167" s="451"/>
      <c r="DZ167" s="451"/>
      <c r="EA167" s="451"/>
      <c r="EB167" s="451">
        <v>400</v>
      </c>
      <c r="EC167" s="451"/>
      <c r="ED167" s="451"/>
      <c r="EE167" s="451"/>
      <c r="EF167" s="451"/>
      <c r="EG167" s="451"/>
      <c r="EH167" s="451"/>
      <c r="EI167" s="451"/>
      <c r="EJ167" s="451"/>
      <c r="EK167" s="451"/>
      <c r="EL167" s="451"/>
      <c r="EM167" s="451"/>
      <c r="EN167" s="451"/>
      <c r="EO167" s="451"/>
      <c r="EP167" s="451"/>
      <c r="EQ167" s="451"/>
      <c r="ER167" s="451"/>
      <c r="ES167" s="451"/>
      <c r="ET167" s="451"/>
      <c r="EU167" s="451"/>
      <c r="EV167" s="451"/>
      <c r="EW167" s="451"/>
      <c r="EX167" s="451"/>
      <c r="EY167" s="451"/>
      <c r="EZ167" s="451"/>
      <c r="FA167" s="364">
        <v>250</v>
      </c>
      <c r="FB167" s="365">
        <v>500</v>
      </c>
      <c r="FC167" s="365">
        <v>23</v>
      </c>
      <c r="FD167" s="367">
        <f t="shared" si="384"/>
        <v>0</v>
      </c>
      <c r="FE167" s="790"/>
    </row>
    <row r="168" spans="2:164" ht="26.1" customHeight="1" outlineLevel="1" thickBot="1" x14ac:dyDescent="0.3">
      <c r="B168" s="1018"/>
      <c r="C168" s="1020"/>
      <c r="D168" s="1034"/>
      <c r="E168" s="1038"/>
      <c r="F168" s="838" t="s">
        <v>112</v>
      </c>
      <c r="G168" s="804" t="str">
        <f>VLOOKUP(H168,инфо!AD:AE,2,FALSE)</f>
        <v>Мясные (рыбные) блюда с соусом</v>
      </c>
      <c r="H168" s="580" t="s">
        <v>1207</v>
      </c>
      <c r="I168" s="574"/>
      <c r="J168" s="430"/>
      <c r="K168" s="431"/>
      <c r="L168" s="431"/>
      <c r="M168" s="431"/>
      <c r="N168" s="431"/>
      <c r="O168" s="431"/>
      <c r="P168" s="431"/>
      <c r="Q168" s="431"/>
      <c r="R168" s="431"/>
      <c r="S168" s="431"/>
      <c r="T168" s="431"/>
      <c r="U168" s="431"/>
      <c r="V168" s="431"/>
      <c r="W168" s="432"/>
      <c r="X168" s="432"/>
      <c r="Y168" s="432"/>
      <c r="Z168" s="432"/>
      <c r="AA168" s="432"/>
      <c r="AB168" s="432"/>
      <c r="AC168" s="432"/>
      <c r="AD168" s="432"/>
      <c r="AE168" s="432"/>
      <c r="AF168" s="432"/>
      <c r="AG168" s="432"/>
      <c r="AH168" s="432"/>
      <c r="AI168" s="432"/>
      <c r="AJ168" s="432"/>
      <c r="AK168" s="432"/>
      <c r="AL168" s="432"/>
      <c r="AM168" s="432"/>
      <c r="AN168" s="432"/>
      <c r="AO168" s="432"/>
      <c r="AP168" s="432"/>
      <c r="AQ168" s="432"/>
      <c r="AR168" s="432"/>
      <c r="AS168" s="432"/>
      <c r="AT168" s="432"/>
      <c r="AU168" s="432"/>
      <c r="AV168" s="432"/>
      <c r="AW168" s="432"/>
      <c r="AX168" s="432"/>
      <c r="AY168" s="432"/>
      <c r="AZ168" s="432"/>
      <c r="BA168" s="432"/>
      <c r="BB168" s="432"/>
      <c r="BC168" s="432"/>
      <c r="BD168" s="432"/>
      <c r="BE168" s="433"/>
      <c r="BF168" s="433"/>
      <c r="BG168" s="433"/>
      <c r="BH168" s="433"/>
      <c r="BI168" s="433"/>
      <c r="BJ168" s="433"/>
      <c r="BK168" s="433"/>
      <c r="BL168" s="433"/>
      <c r="BM168" s="433"/>
      <c r="BN168" s="434"/>
      <c r="BO168" s="434"/>
      <c r="BP168" s="434"/>
      <c r="BQ168" s="434"/>
      <c r="BR168" s="434"/>
      <c r="BS168" s="434"/>
      <c r="BT168" s="434"/>
      <c r="BU168" s="434"/>
      <c r="BV168" s="431"/>
      <c r="BW168" s="431"/>
      <c r="BX168" s="431"/>
      <c r="BY168" s="431"/>
      <c r="BZ168" s="431"/>
      <c r="CA168" s="431"/>
      <c r="CB168" s="431"/>
      <c r="CC168" s="435"/>
      <c r="CD168" s="435"/>
      <c r="CE168" s="435"/>
      <c r="CF168" s="435"/>
      <c r="CG168" s="435"/>
      <c r="CH168" s="435"/>
      <c r="CI168" s="435"/>
      <c r="CJ168" s="435"/>
      <c r="CK168" s="435"/>
      <c r="CL168" s="435"/>
      <c r="CM168" s="435"/>
      <c r="CN168" s="435"/>
      <c r="CO168" s="435"/>
      <c r="CP168" s="435"/>
      <c r="CQ168" s="435"/>
      <c r="CR168" s="435"/>
      <c r="CS168" s="436"/>
      <c r="CT168" s="436"/>
      <c r="CU168" s="436"/>
      <c r="CV168" s="436"/>
      <c r="CW168" s="436"/>
      <c r="CX168" s="436"/>
      <c r="CY168" s="436"/>
      <c r="CZ168" s="436"/>
      <c r="DA168" s="436"/>
      <c r="DB168" s="436"/>
      <c r="DC168" s="436"/>
      <c r="DD168" s="436"/>
      <c r="DE168" s="436"/>
      <c r="DF168" s="436"/>
      <c r="DG168" s="436"/>
      <c r="DH168" s="436"/>
      <c r="DI168" s="436"/>
      <c r="DJ168" s="436"/>
      <c r="DK168" s="436"/>
      <c r="DL168" s="436"/>
      <c r="DM168" s="436"/>
      <c r="DN168" s="938"/>
      <c r="DO168" s="437"/>
      <c r="DP168" s="437"/>
      <c r="DQ168" s="438"/>
      <c r="DR168" s="438"/>
      <c r="DS168" s="433"/>
      <c r="DT168" s="433"/>
      <c r="DU168" s="433"/>
      <c r="DV168" s="433"/>
      <c r="DW168" s="433"/>
      <c r="DX168" s="433"/>
      <c r="DY168" s="433"/>
      <c r="DZ168" s="433"/>
      <c r="EA168" s="433"/>
      <c r="EB168" s="433"/>
      <c r="EC168" s="433"/>
      <c r="ED168" s="433"/>
      <c r="EE168" s="433"/>
      <c r="EF168" s="433"/>
      <c r="EG168" s="433"/>
      <c r="EH168" s="433"/>
      <c r="EI168" s="433"/>
      <c r="EJ168" s="433"/>
      <c r="EK168" s="433"/>
      <c r="EL168" s="433"/>
      <c r="EM168" s="433"/>
      <c r="EN168" s="433"/>
      <c r="EO168" s="433"/>
      <c r="EP168" s="433"/>
      <c r="EQ168" s="433"/>
      <c r="ER168" s="433"/>
      <c r="ES168" s="433"/>
      <c r="ET168" s="433"/>
      <c r="EU168" s="433"/>
      <c r="EV168" s="433"/>
      <c r="EW168" s="433"/>
      <c r="EX168" s="433"/>
      <c r="EY168" s="433"/>
      <c r="EZ168" s="433"/>
      <c r="FA168" s="377"/>
      <c r="FB168" s="378"/>
      <c r="FC168" s="378"/>
      <c r="FD168" s="379">
        <f t="shared" si="384"/>
        <v>0</v>
      </c>
      <c r="FE168" s="790"/>
    </row>
    <row r="169" spans="2:164" ht="26.1" customHeight="1" outlineLevel="1" thickBot="1" x14ac:dyDescent="0.3">
      <c r="B169" s="1018"/>
      <c r="C169" s="1020"/>
      <c r="D169" s="1034"/>
      <c r="E169" s="1038"/>
      <c r="F169" s="840" t="s">
        <v>112</v>
      </c>
      <c r="G169" s="806" t="str">
        <f>VLOOKUP(H169,инфо!AD:AE,2,FALSE)</f>
        <v>Гарниры</v>
      </c>
      <c r="H169" s="581" t="s">
        <v>1198</v>
      </c>
      <c r="I169" s="573"/>
      <c r="J169" s="457"/>
      <c r="K169" s="458"/>
      <c r="L169" s="458"/>
      <c r="M169" s="458"/>
      <c r="N169" s="458"/>
      <c r="O169" s="458"/>
      <c r="P169" s="458"/>
      <c r="Q169" s="458"/>
      <c r="R169" s="458"/>
      <c r="S169" s="458"/>
      <c r="T169" s="458"/>
      <c r="U169" s="458"/>
      <c r="V169" s="458"/>
      <c r="W169" s="459"/>
      <c r="X169" s="459"/>
      <c r="Y169" s="459"/>
      <c r="Z169" s="459"/>
      <c r="AA169" s="459"/>
      <c r="AB169" s="459"/>
      <c r="AC169" s="459"/>
      <c r="AD169" s="459"/>
      <c r="AE169" s="459"/>
      <c r="AF169" s="459"/>
      <c r="AG169" s="459"/>
      <c r="AH169" s="459"/>
      <c r="AI169" s="459"/>
      <c r="AJ169" s="459"/>
      <c r="AK169" s="459"/>
      <c r="AL169" s="459"/>
      <c r="AM169" s="459"/>
      <c r="AN169" s="459"/>
      <c r="AO169" s="459"/>
      <c r="AP169" s="459"/>
      <c r="AQ169" s="459"/>
      <c r="AR169" s="459"/>
      <c r="AS169" s="459"/>
      <c r="AT169" s="459"/>
      <c r="AU169" s="459"/>
      <c r="AV169" s="459"/>
      <c r="AW169" s="459"/>
      <c r="AX169" s="459"/>
      <c r="AY169" s="459"/>
      <c r="AZ169" s="459"/>
      <c r="BA169" s="459"/>
      <c r="BB169" s="459"/>
      <c r="BC169" s="459"/>
      <c r="BD169" s="459"/>
      <c r="BE169" s="460"/>
      <c r="BF169" s="460"/>
      <c r="BG169" s="460"/>
      <c r="BH169" s="460"/>
      <c r="BI169" s="460"/>
      <c r="BJ169" s="460"/>
      <c r="BK169" s="460"/>
      <c r="BL169" s="460"/>
      <c r="BM169" s="460"/>
      <c r="BN169" s="461"/>
      <c r="BO169" s="461"/>
      <c r="BP169" s="461"/>
      <c r="BQ169" s="461"/>
      <c r="BR169" s="461"/>
      <c r="BS169" s="461"/>
      <c r="BT169" s="461"/>
      <c r="BU169" s="461"/>
      <c r="BV169" s="458"/>
      <c r="BW169" s="458"/>
      <c r="BX169" s="458"/>
      <c r="BY169" s="458"/>
      <c r="BZ169" s="458"/>
      <c r="CA169" s="458"/>
      <c r="CB169" s="458"/>
      <c r="CC169" s="462"/>
      <c r="CD169" s="462"/>
      <c r="CE169" s="462"/>
      <c r="CF169" s="462"/>
      <c r="CG169" s="462"/>
      <c r="CH169" s="462"/>
      <c r="CI169" s="462"/>
      <c r="CJ169" s="462"/>
      <c r="CK169" s="462"/>
      <c r="CL169" s="462"/>
      <c r="CM169" s="462"/>
      <c r="CN169" s="462"/>
      <c r="CO169" s="462"/>
      <c r="CP169" s="462"/>
      <c r="CQ169" s="462"/>
      <c r="CR169" s="462"/>
      <c r="CS169" s="463"/>
      <c r="CT169" s="463"/>
      <c r="CU169" s="463"/>
      <c r="CV169" s="463"/>
      <c r="CW169" s="463"/>
      <c r="CX169" s="463"/>
      <c r="CY169" s="463"/>
      <c r="CZ169" s="463"/>
      <c r="DA169" s="463"/>
      <c r="DB169" s="463"/>
      <c r="DC169" s="463"/>
      <c r="DD169" s="463"/>
      <c r="DE169" s="463"/>
      <c r="DF169" s="463"/>
      <c r="DG169" s="463"/>
      <c r="DH169" s="463"/>
      <c r="DI169" s="463"/>
      <c r="DJ169" s="463"/>
      <c r="DK169" s="463"/>
      <c r="DL169" s="463"/>
      <c r="DM169" s="463"/>
      <c r="DN169" s="941"/>
      <c r="DO169" s="464"/>
      <c r="DP169" s="464"/>
      <c r="DQ169" s="465"/>
      <c r="DR169" s="465"/>
      <c r="DS169" s="460"/>
      <c r="DT169" s="460"/>
      <c r="DU169" s="460"/>
      <c r="DV169" s="460"/>
      <c r="DW169" s="460"/>
      <c r="DX169" s="460"/>
      <c r="DY169" s="460"/>
      <c r="DZ169" s="460"/>
      <c r="EA169" s="460"/>
      <c r="EB169" s="460"/>
      <c r="EC169" s="460"/>
      <c r="ED169" s="460"/>
      <c r="EE169" s="460"/>
      <c r="EF169" s="460"/>
      <c r="EG169" s="460"/>
      <c r="EH169" s="460"/>
      <c r="EI169" s="460"/>
      <c r="EJ169" s="460"/>
      <c r="EK169" s="460"/>
      <c r="EL169" s="460"/>
      <c r="EM169" s="460"/>
      <c r="EN169" s="460"/>
      <c r="EO169" s="460"/>
      <c r="EP169" s="460"/>
      <c r="EQ169" s="460"/>
      <c r="ER169" s="460"/>
      <c r="ES169" s="460"/>
      <c r="ET169" s="460"/>
      <c r="EU169" s="460"/>
      <c r="EV169" s="460"/>
      <c r="EW169" s="460"/>
      <c r="EX169" s="460"/>
      <c r="EY169" s="460"/>
      <c r="EZ169" s="460"/>
      <c r="FA169" s="402"/>
      <c r="FB169" s="403"/>
      <c r="FC169" s="403"/>
      <c r="FD169" s="404">
        <f t="shared" si="384"/>
        <v>0</v>
      </c>
      <c r="FE169" s="790"/>
    </row>
    <row r="170" spans="2:164" ht="26.1" customHeight="1" outlineLevel="1" thickBot="1" x14ac:dyDescent="0.3">
      <c r="B170" s="1018"/>
      <c r="C170" s="1020"/>
      <c r="D170" s="1034"/>
      <c r="E170" s="1038" t="s">
        <v>115</v>
      </c>
      <c r="F170" s="837" t="s">
        <v>112</v>
      </c>
      <c r="G170" s="803" t="str">
        <f>VLOOKUP(H170,инфо!AD:AE,2,FALSE)</f>
        <v>Мясные (рыбные) блюда с соусом</v>
      </c>
      <c r="H170" s="579" t="s">
        <v>1196</v>
      </c>
      <c r="I170" s="588" t="s">
        <v>1171</v>
      </c>
      <c r="J170" s="448"/>
      <c r="K170" s="449"/>
      <c r="L170" s="449"/>
      <c r="M170" s="449"/>
      <c r="N170" s="449"/>
      <c r="O170" s="449"/>
      <c r="P170" s="449"/>
      <c r="Q170" s="449"/>
      <c r="R170" s="449"/>
      <c r="S170" s="449"/>
      <c r="T170" s="449"/>
      <c r="U170" s="449"/>
      <c r="V170" s="449"/>
      <c r="W170" s="450"/>
      <c r="X170" s="423">
        <v>0.8</v>
      </c>
      <c r="Y170" s="450"/>
      <c r="Z170" s="450"/>
      <c r="AA170" s="450"/>
      <c r="AB170" s="450"/>
      <c r="AC170" s="450"/>
      <c r="AD170" s="450"/>
      <c r="AE170" s="450"/>
      <c r="AF170" s="450">
        <v>4</v>
      </c>
      <c r="AG170" s="450">
        <v>4</v>
      </c>
      <c r="AH170" s="450"/>
      <c r="AI170" s="450"/>
      <c r="AJ170" s="450"/>
      <c r="AK170" s="450"/>
      <c r="AL170" s="450"/>
      <c r="AM170" s="450"/>
      <c r="AN170" s="450"/>
      <c r="AO170" s="450"/>
      <c r="AP170" s="450"/>
      <c r="AQ170" s="450"/>
      <c r="AR170" s="450"/>
      <c r="AS170" s="450"/>
      <c r="AT170" s="450"/>
      <c r="AU170" s="450"/>
      <c r="AV170" s="450"/>
      <c r="AW170" s="450"/>
      <c r="AX170" s="450"/>
      <c r="AY170" s="450"/>
      <c r="AZ170" s="450"/>
      <c r="BA170" s="450"/>
      <c r="BB170" s="450"/>
      <c r="BC170" s="450"/>
      <c r="BD170" s="450"/>
      <c r="BE170" s="451"/>
      <c r="BF170" s="451"/>
      <c r="BG170" s="451"/>
      <c r="BH170" s="451"/>
      <c r="BI170" s="451"/>
      <c r="BJ170" s="451"/>
      <c r="BK170" s="451"/>
      <c r="BL170" s="451"/>
      <c r="BM170" s="451"/>
      <c r="BN170" s="452"/>
      <c r="BO170" s="452">
        <v>0.8</v>
      </c>
      <c r="BP170" s="452"/>
      <c r="BQ170" s="452"/>
      <c r="BR170" s="452"/>
      <c r="BS170" s="452"/>
      <c r="BT170" s="452"/>
      <c r="BU170" s="452"/>
      <c r="BV170" s="449"/>
      <c r="BW170" s="449"/>
      <c r="BX170" s="449"/>
      <c r="BY170" s="449"/>
      <c r="BZ170" s="449"/>
      <c r="CA170" s="449"/>
      <c r="CB170" s="449"/>
      <c r="CC170" s="453"/>
      <c r="CD170" s="453"/>
      <c r="CE170" s="453"/>
      <c r="CF170" s="453"/>
      <c r="CG170" s="453"/>
      <c r="CH170" s="453"/>
      <c r="CI170" s="453"/>
      <c r="CJ170" s="453"/>
      <c r="CK170" s="453"/>
      <c r="CL170" s="453"/>
      <c r="CM170" s="453"/>
      <c r="CN170" s="453"/>
      <c r="CO170" s="453"/>
      <c r="CP170" s="453"/>
      <c r="CQ170" s="453"/>
      <c r="CR170" s="453"/>
      <c r="CS170" s="454"/>
      <c r="CT170" s="454"/>
      <c r="CU170" s="454"/>
      <c r="CV170" s="454"/>
      <c r="CW170" s="454"/>
      <c r="CX170" s="454"/>
      <c r="CY170" s="454"/>
      <c r="CZ170" s="454"/>
      <c r="DA170" s="454"/>
      <c r="DB170" s="454"/>
      <c r="DC170" s="454"/>
      <c r="DD170" s="454"/>
      <c r="DE170" s="454"/>
      <c r="DF170" s="454"/>
      <c r="DG170" s="454"/>
      <c r="DH170" s="454"/>
      <c r="DI170" s="454"/>
      <c r="DJ170" s="454"/>
      <c r="DK170" s="454"/>
      <c r="DL170" s="454"/>
      <c r="DM170" s="454"/>
      <c r="DN170" s="940"/>
      <c r="DO170" s="455"/>
      <c r="DP170" s="455">
        <v>0.2</v>
      </c>
      <c r="DQ170" s="456">
        <v>4.0000000000000001E-3</v>
      </c>
      <c r="DR170" s="456">
        <v>0.01</v>
      </c>
      <c r="DS170" s="451">
        <v>0.8</v>
      </c>
      <c r="DT170" s="451"/>
      <c r="DU170" s="451"/>
      <c r="DV170" s="451"/>
      <c r="DW170" s="451"/>
      <c r="DX170" s="451"/>
      <c r="DY170" s="451"/>
      <c r="DZ170" s="451"/>
      <c r="EA170" s="451"/>
      <c r="EB170" s="451">
        <v>16</v>
      </c>
      <c r="EC170" s="451"/>
      <c r="ED170" s="451"/>
      <c r="EE170" s="451"/>
      <c r="EF170" s="451"/>
      <c r="EG170" s="451"/>
      <c r="EH170" s="451"/>
      <c r="EI170" s="451"/>
      <c r="EJ170" s="451"/>
      <c r="EK170" s="451"/>
      <c r="EL170" s="451"/>
      <c r="EM170" s="451"/>
      <c r="EN170" s="451"/>
      <c r="EO170" s="451"/>
      <c r="EP170" s="451"/>
      <c r="EQ170" s="451"/>
      <c r="ER170" s="451"/>
      <c r="ES170" s="451"/>
      <c r="ET170" s="451"/>
      <c r="EU170" s="451"/>
      <c r="EV170" s="451"/>
      <c r="EW170" s="451"/>
      <c r="EX170" s="451"/>
      <c r="EY170" s="451"/>
      <c r="EZ170" s="451"/>
      <c r="FA170" s="364"/>
      <c r="FB170" s="365">
        <v>20</v>
      </c>
      <c r="FC170" s="365"/>
      <c r="FD170" s="367">
        <f t="shared" si="384"/>
        <v>0</v>
      </c>
      <c r="FE170" s="790"/>
    </row>
    <row r="171" spans="2:164" ht="26.1" customHeight="1" outlineLevel="1" thickBot="1" x14ac:dyDescent="0.3">
      <c r="B171" s="1018"/>
      <c r="C171" s="1020"/>
      <c r="D171" s="1034"/>
      <c r="E171" s="1038"/>
      <c r="F171" s="838" t="s">
        <v>112</v>
      </c>
      <c r="G171" s="804" t="str">
        <f>VLOOKUP(H171,инфо!AD:AE,2,FALSE)</f>
        <v>Мясные (рыбные) блюда с соусом</v>
      </c>
      <c r="H171" s="580" t="s">
        <v>1207</v>
      </c>
      <c r="I171" s="588" t="s">
        <v>960</v>
      </c>
      <c r="J171" s="430"/>
      <c r="K171" s="431"/>
      <c r="L171" s="431"/>
      <c r="M171" s="431"/>
      <c r="N171" s="431"/>
      <c r="O171" s="431"/>
      <c r="P171" s="431"/>
      <c r="Q171" s="431"/>
      <c r="R171" s="431"/>
      <c r="S171" s="431"/>
      <c r="T171" s="431"/>
      <c r="U171" s="431"/>
      <c r="V171" s="431"/>
      <c r="W171" s="432"/>
      <c r="X171" s="432">
        <v>4</v>
      </c>
      <c r="Y171" s="432"/>
      <c r="Z171" s="432"/>
      <c r="AA171" s="432"/>
      <c r="AB171" s="432"/>
      <c r="AC171" s="432"/>
      <c r="AD171" s="432"/>
      <c r="AE171" s="432"/>
      <c r="AF171" s="432"/>
      <c r="AG171" s="432">
        <v>20</v>
      </c>
      <c r="AH171" s="432"/>
      <c r="AI171" s="432"/>
      <c r="AJ171" s="432"/>
      <c r="AK171" s="432"/>
      <c r="AL171" s="432"/>
      <c r="AM171" s="432"/>
      <c r="AN171" s="432"/>
      <c r="AO171" s="432"/>
      <c r="AP171" s="432"/>
      <c r="AQ171" s="432"/>
      <c r="AR171" s="432"/>
      <c r="AS171" s="432"/>
      <c r="AT171" s="432"/>
      <c r="AU171" s="432"/>
      <c r="AV171" s="432"/>
      <c r="AW171" s="432"/>
      <c r="AX171" s="432"/>
      <c r="AY171" s="432"/>
      <c r="AZ171" s="432"/>
      <c r="BA171" s="432"/>
      <c r="BB171" s="432"/>
      <c r="BC171" s="432"/>
      <c r="BD171" s="432"/>
      <c r="BE171" s="433"/>
      <c r="BF171" s="433"/>
      <c r="BG171" s="433"/>
      <c r="BH171" s="433"/>
      <c r="BI171" s="433"/>
      <c r="BJ171" s="433">
        <v>20</v>
      </c>
      <c r="BK171" s="433"/>
      <c r="BL171" s="433"/>
      <c r="BM171" s="433"/>
      <c r="BN171" s="434"/>
      <c r="BO171" s="434">
        <v>4</v>
      </c>
      <c r="BP171" s="434"/>
      <c r="BQ171" s="434"/>
      <c r="BR171" s="434"/>
      <c r="BS171" s="434"/>
      <c r="BT171" s="434"/>
      <c r="BU171" s="434"/>
      <c r="BV171" s="431"/>
      <c r="BW171" s="431">
        <v>100</v>
      </c>
      <c r="BX171" s="431"/>
      <c r="BY171" s="431"/>
      <c r="BZ171" s="431"/>
      <c r="CA171" s="431"/>
      <c r="CB171" s="431"/>
      <c r="CC171" s="435"/>
      <c r="CD171" s="435"/>
      <c r="CE171" s="435"/>
      <c r="CF171" s="435"/>
      <c r="CG171" s="435"/>
      <c r="CH171" s="435"/>
      <c r="CI171" s="435"/>
      <c r="CJ171" s="435"/>
      <c r="CK171" s="435"/>
      <c r="CL171" s="435"/>
      <c r="CM171" s="435"/>
      <c r="CN171" s="435"/>
      <c r="CO171" s="435"/>
      <c r="CP171" s="435"/>
      <c r="CQ171" s="435"/>
      <c r="CR171" s="435"/>
      <c r="CS171" s="436"/>
      <c r="CT171" s="436"/>
      <c r="CU171" s="436"/>
      <c r="CV171" s="436"/>
      <c r="CW171" s="436"/>
      <c r="CX171" s="436"/>
      <c r="CY171" s="436"/>
      <c r="CZ171" s="436"/>
      <c r="DA171" s="436"/>
      <c r="DB171" s="436"/>
      <c r="DC171" s="436"/>
      <c r="DD171" s="436"/>
      <c r="DE171" s="436"/>
      <c r="DF171" s="436"/>
      <c r="DG171" s="436"/>
      <c r="DH171" s="436"/>
      <c r="DI171" s="436"/>
      <c r="DJ171" s="436"/>
      <c r="DK171" s="436"/>
      <c r="DL171" s="436"/>
      <c r="DM171" s="436"/>
      <c r="DN171" s="938"/>
      <c r="DO171" s="437"/>
      <c r="DP171" s="437">
        <v>3</v>
      </c>
      <c r="DQ171" s="438"/>
      <c r="DR171" s="438">
        <v>0.5</v>
      </c>
      <c r="DS171" s="433">
        <v>2</v>
      </c>
      <c r="DT171" s="433"/>
      <c r="DU171" s="433"/>
      <c r="DV171" s="433"/>
      <c r="DW171" s="433"/>
      <c r="DX171" s="433"/>
      <c r="DY171" s="433"/>
      <c r="DZ171" s="433"/>
      <c r="EA171" s="433"/>
      <c r="EB171" s="433"/>
      <c r="EC171" s="433"/>
      <c r="ED171" s="433"/>
      <c r="EE171" s="433"/>
      <c r="EF171" s="433"/>
      <c r="EG171" s="433"/>
      <c r="EH171" s="433"/>
      <c r="EI171" s="433"/>
      <c r="EJ171" s="433"/>
      <c r="EK171" s="433"/>
      <c r="EL171" s="433"/>
      <c r="EM171" s="433"/>
      <c r="EN171" s="433"/>
      <c r="EO171" s="433"/>
      <c r="EP171" s="433"/>
      <c r="EQ171" s="433"/>
      <c r="ER171" s="433"/>
      <c r="ES171" s="433"/>
      <c r="ET171" s="433"/>
      <c r="EU171" s="433"/>
      <c r="EV171" s="433"/>
      <c r="EW171" s="433"/>
      <c r="EX171" s="433"/>
      <c r="EY171" s="433"/>
      <c r="EZ171" s="433"/>
      <c r="FA171" s="377"/>
      <c r="FB171" s="378">
        <v>91</v>
      </c>
      <c r="FC171" s="378">
        <v>41</v>
      </c>
      <c r="FD171" s="379">
        <f t="shared" si="384"/>
        <v>100</v>
      </c>
      <c r="FE171" s="790"/>
    </row>
    <row r="172" spans="2:164" ht="26.1" customHeight="1" outlineLevel="1" thickBot="1" x14ac:dyDescent="0.3">
      <c r="B172" s="1018"/>
      <c r="C172" s="1020"/>
      <c r="D172" s="1034"/>
      <c r="E172" s="1038"/>
      <c r="F172" s="838" t="s">
        <v>112</v>
      </c>
      <c r="G172" s="804" t="str">
        <f>VLOOKUP(H172,инфо!AD:AE,2,FALSE)</f>
        <v>Гарниры</v>
      </c>
      <c r="H172" s="580" t="s">
        <v>1198</v>
      </c>
      <c r="I172" s="590" t="s">
        <v>1010</v>
      </c>
      <c r="J172" s="430"/>
      <c r="K172" s="431"/>
      <c r="L172" s="431"/>
      <c r="M172" s="431"/>
      <c r="N172" s="431"/>
      <c r="O172" s="431"/>
      <c r="P172" s="431">
        <v>83</v>
      </c>
      <c r="Q172" s="431"/>
      <c r="R172" s="431"/>
      <c r="S172" s="431"/>
      <c r="T172" s="431"/>
      <c r="U172" s="431"/>
      <c r="V172" s="431"/>
      <c r="W172" s="432"/>
      <c r="X172" s="432"/>
      <c r="Y172" s="432"/>
      <c r="Z172" s="432"/>
      <c r="AA172" s="432"/>
      <c r="AB172" s="432"/>
      <c r="AC172" s="432"/>
      <c r="AD172" s="432"/>
      <c r="AE172" s="432"/>
      <c r="AF172" s="432"/>
      <c r="AG172" s="432"/>
      <c r="AH172" s="432"/>
      <c r="AI172" s="432"/>
      <c r="AJ172" s="432"/>
      <c r="AK172" s="432"/>
      <c r="AL172" s="432"/>
      <c r="AM172" s="432"/>
      <c r="AN172" s="432"/>
      <c r="AO172" s="432"/>
      <c r="AP172" s="432"/>
      <c r="AQ172" s="432"/>
      <c r="AR172" s="432"/>
      <c r="AS172" s="432"/>
      <c r="AT172" s="432"/>
      <c r="AU172" s="432"/>
      <c r="AV172" s="432"/>
      <c r="AW172" s="432"/>
      <c r="AX172" s="432"/>
      <c r="AY172" s="432"/>
      <c r="AZ172" s="432"/>
      <c r="BA172" s="432"/>
      <c r="BB172" s="432"/>
      <c r="BC172" s="432"/>
      <c r="BD172" s="432"/>
      <c r="BE172" s="433"/>
      <c r="BF172" s="433"/>
      <c r="BG172" s="433"/>
      <c r="BH172" s="433"/>
      <c r="BI172" s="433"/>
      <c r="BJ172" s="433"/>
      <c r="BK172" s="433"/>
      <c r="BL172" s="433"/>
      <c r="BM172" s="433"/>
      <c r="BN172" s="434"/>
      <c r="BO172" s="434"/>
      <c r="BP172" s="434"/>
      <c r="BQ172" s="434"/>
      <c r="BR172" s="434"/>
      <c r="BS172" s="434"/>
      <c r="BT172" s="434"/>
      <c r="BU172" s="434"/>
      <c r="BV172" s="431"/>
      <c r="BW172" s="431"/>
      <c r="BX172" s="431"/>
      <c r="BY172" s="431"/>
      <c r="BZ172" s="431"/>
      <c r="CA172" s="431"/>
      <c r="CB172" s="431"/>
      <c r="CC172" s="435"/>
      <c r="CD172" s="435"/>
      <c r="CE172" s="435"/>
      <c r="CF172" s="435"/>
      <c r="CG172" s="435"/>
      <c r="CH172" s="435"/>
      <c r="CI172" s="435"/>
      <c r="CJ172" s="435"/>
      <c r="CK172" s="435"/>
      <c r="CL172" s="435"/>
      <c r="CM172" s="435"/>
      <c r="CN172" s="435"/>
      <c r="CO172" s="435"/>
      <c r="CP172" s="435"/>
      <c r="CQ172" s="435"/>
      <c r="CR172" s="435"/>
      <c r="CS172" s="436"/>
      <c r="CT172" s="436"/>
      <c r="CU172" s="436"/>
      <c r="CV172" s="436"/>
      <c r="CW172" s="436"/>
      <c r="CX172" s="436"/>
      <c r="CY172" s="436"/>
      <c r="CZ172" s="436"/>
      <c r="DA172" s="436"/>
      <c r="DB172" s="436"/>
      <c r="DC172" s="436"/>
      <c r="DD172" s="436"/>
      <c r="DE172" s="436"/>
      <c r="DF172" s="436"/>
      <c r="DG172" s="436"/>
      <c r="DH172" s="436"/>
      <c r="DI172" s="436"/>
      <c r="DJ172" s="436"/>
      <c r="DK172" s="436"/>
      <c r="DL172" s="436"/>
      <c r="DM172" s="436"/>
      <c r="DN172" s="938"/>
      <c r="DO172" s="437"/>
      <c r="DP172" s="437">
        <v>3</v>
      </c>
      <c r="DQ172" s="438"/>
      <c r="DR172" s="438"/>
      <c r="DS172" s="433"/>
      <c r="DT172" s="433"/>
      <c r="DU172" s="433"/>
      <c r="DV172" s="433"/>
      <c r="DW172" s="433"/>
      <c r="DX172" s="433"/>
      <c r="DY172" s="433"/>
      <c r="DZ172" s="433"/>
      <c r="EA172" s="433">
        <v>265.60000000000002</v>
      </c>
      <c r="EB172" s="433"/>
      <c r="EC172" s="433"/>
      <c r="ED172" s="433"/>
      <c r="EE172" s="433"/>
      <c r="EF172" s="433"/>
      <c r="EG172" s="433"/>
      <c r="EH172" s="433"/>
      <c r="EI172" s="433"/>
      <c r="EJ172" s="433"/>
      <c r="EK172" s="433"/>
      <c r="EL172" s="433"/>
      <c r="EM172" s="433"/>
      <c r="EN172" s="433"/>
      <c r="EO172" s="433"/>
      <c r="EP172" s="433"/>
      <c r="EQ172" s="433"/>
      <c r="ER172" s="433"/>
      <c r="ES172" s="433"/>
      <c r="ET172" s="433"/>
      <c r="EU172" s="433"/>
      <c r="EV172" s="433"/>
      <c r="EW172" s="433"/>
      <c r="EX172" s="433"/>
      <c r="EY172" s="433"/>
      <c r="EZ172" s="433"/>
      <c r="FA172" s="377">
        <v>415</v>
      </c>
      <c r="FB172" s="378">
        <v>332</v>
      </c>
      <c r="FC172" s="378"/>
      <c r="FD172" s="379">
        <f t="shared" si="384"/>
        <v>0</v>
      </c>
      <c r="FE172" s="790"/>
    </row>
    <row r="173" spans="2:164" ht="26.1" customHeight="1" outlineLevel="1" thickBot="1" x14ac:dyDescent="0.35">
      <c r="B173" s="1018"/>
      <c r="C173" s="1020"/>
      <c r="D173" s="1034"/>
      <c r="E173" s="1038"/>
      <c r="F173" s="840" t="s">
        <v>112</v>
      </c>
      <c r="G173" s="806" t="str">
        <f>VLOOKUP(H173,инфо!AD:AE,2,FALSE)</f>
        <v>Прочее</v>
      </c>
      <c r="H173" s="581" t="s">
        <v>1197</v>
      </c>
      <c r="I173" s="606" t="s">
        <v>60</v>
      </c>
      <c r="J173" s="457"/>
      <c r="K173" s="458"/>
      <c r="L173" s="458"/>
      <c r="M173" s="458"/>
      <c r="N173" s="458"/>
      <c r="O173" s="458"/>
      <c r="P173" s="458"/>
      <c r="Q173" s="458"/>
      <c r="R173" s="458"/>
      <c r="S173" s="458"/>
      <c r="T173" s="458"/>
      <c r="U173" s="458"/>
      <c r="V173" s="458"/>
      <c r="W173" s="459"/>
      <c r="X173" s="459"/>
      <c r="Y173" s="459"/>
      <c r="Z173" s="459"/>
      <c r="AA173" s="459"/>
      <c r="AB173" s="459"/>
      <c r="AC173" s="459"/>
      <c r="AD173" s="459"/>
      <c r="AE173" s="459"/>
      <c r="AF173" s="459"/>
      <c r="AG173" s="459"/>
      <c r="AH173" s="459"/>
      <c r="AI173" s="459"/>
      <c r="AJ173" s="459"/>
      <c r="AK173" s="459"/>
      <c r="AL173" s="459"/>
      <c r="AM173" s="459"/>
      <c r="AN173" s="459"/>
      <c r="AO173" s="459"/>
      <c r="AP173" s="459"/>
      <c r="AQ173" s="459"/>
      <c r="AR173" s="459"/>
      <c r="AS173" s="459"/>
      <c r="AT173" s="459"/>
      <c r="AU173" s="459"/>
      <c r="AV173" s="459"/>
      <c r="AW173" s="459"/>
      <c r="AX173" s="459"/>
      <c r="AY173" s="459"/>
      <c r="AZ173" s="459"/>
      <c r="BA173" s="459"/>
      <c r="BB173" s="459"/>
      <c r="BC173" s="459"/>
      <c r="BD173" s="459"/>
      <c r="BE173" s="460"/>
      <c r="BF173" s="460"/>
      <c r="BG173" s="460"/>
      <c r="BH173" s="460"/>
      <c r="BI173" s="460"/>
      <c r="BJ173" s="460"/>
      <c r="BK173" s="460"/>
      <c r="BL173" s="460"/>
      <c r="BM173" s="460"/>
      <c r="BN173" s="461">
        <v>15</v>
      </c>
      <c r="BO173" s="461"/>
      <c r="BP173" s="461"/>
      <c r="BQ173" s="461"/>
      <c r="BR173" s="461"/>
      <c r="BS173" s="461"/>
      <c r="BT173" s="461"/>
      <c r="BU173" s="461"/>
      <c r="BV173" s="458"/>
      <c r="BW173" s="458"/>
      <c r="BX173" s="458"/>
      <c r="BY173" s="458"/>
      <c r="BZ173" s="458"/>
      <c r="CA173" s="458"/>
      <c r="CB173" s="458"/>
      <c r="CC173" s="462"/>
      <c r="CD173" s="462"/>
      <c r="CE173" s="462"/>
      <c r="CF173" s="462"/>
      <c r="CG173" s="462"/>
      <c r="CH173" s="462"/>
      <c r="CI173" s="462"/>
      <c r="CJ173" s="462"/>
      <c r="CK173" s="462"/>
      <c r="CL173" s="462"/>
      <c r="CM173" s="462"/>
      <c r="CN173" s="462"/>
      <c r="CO173" s="462"/>
      <c r="CP173" s="462"/>
      <c r="CQ173" s="462"/>
      <c r="CR173" s="462"/>
      <c r="CS173" s="463"/>
      <c r="CT173" s="463"/>
      <c r="CU173" s="463"/>
      <c r="CV173" s="463"/>
      <c r="CW173" s="463"/>
      <c r="CX173" s="463"/>
      <c r="CY173" s="463"/>
      <c r="CZ173" s="463"/>
      <c r="DA173" s="463"/>
      <c r="DB173" s="463"/>
      <c r="DC173" s="463"/>
      <c r="DD173" s="463"/>
      <c r="DE173" s="463"/>
      <c r="DF173" s="463"/>
      <c r="DG173" s="463"/>
      <c r="DH173" s="463"/>
      <c r="DI173" s="463"/>
      <c r="DJ173" s="463"/>
      <c r="DK173" s="463"/>
      <c r="DL173" s="463"/>
      <c r="DM173" s="463"/>
      <c r="DN173" s="941"/>
      <c r="DO173" s="464"/>
      <c r="DP173" s="464"/>
      <c r="DQ173" s="465"/>
      <c r="DR173" s="465"/>
      <c r="DS173" s="460"/>
      <c r="DT173" s="467"/>
      <c r="DU173" s="467"/>
      <c r="DV173" s="467"/>
      <c r="DW173" s="467"/>
      <c r="DX173" s="467"/>
      <c r="DY173" s="467"/>
      <c r="DZ173" s="467"/>
      <c r="EA173" s="467"/>
      <c r="EB173" s="467"/>
      <c r="EC173" s="467"/>
      <c r="ED173" s="467"/>
      <c r="EE173" s="467"/>
      <c r="EF173" s="467"/>
      <c r="EG173" s="467"/>
      <c r="EH173" s="467"/>
      <c r="EI173" s="467"/>
      <c r="EJ173" s="467"/>
      <c r="EK173" s="467"/>
      <c r="EL173" s="467"/>
      <c r="EM173" s="467"/>
      <c r="EN173" s="467"/>
      <c r="EO173" s="467"/>
      <c r="EP173" s="467"/>
      <c r="EQ173" s="467"/>
      <c r="ER173" s="467"/>
      <c r="ES173" s="467"/>
      <c r="ET173" s="467"/>
      <c r="EU173" s="467"/>
      <c r="EV173" s="467"/>
      <c r="EW173" s="467"/>
      <c r="EX173" s="467"/>
      <c r="EY173" s="467"/>
      <c r="EZ173" s="467"/>
      <c r="FA173" s="402"/>
      <c r="FB173" s="403">
        <v>15</v>
      </c>
      <c r="FC173" s="403"/>
      <c r="FD173" s="404">
        <f t="shared" si="384"/>
        <v>0</v>
      </c>
      <c r="FE173" s="790"/>
    </row>
    <row r="174" spans="2:164" ht="26.1" customHeight="1" outlineLevel="1" thickBot="1" x14ac:dyDescent="0.35">
      <c r="B174" s="1018"/>
      <c r="C174" s="1020"/>
      <c r="D174" s="1034"/>
      <c r="E174" s="1042" t="s">
        <v>116</v>
      </c>
      <c r="F174" s="841" t="s">
        <v>112</v>
      </c>
      <c r="G174" s="807" t="str">
        <f>VLOOKUP(H174,инфо!AD:AE,2,FALSE)</f>
        <v>Напитки</v>
      </c>
      <c r="H174" s="577" t="s">
        <v>1195</v>
      </c>
      <c r="I174" s="588" t="s">
        <v>75</v>
      </c>
      <c r="J174" s="421"/>
      <c r="K174" s="422"/>
      <c r="L174" s="422"/>
      <c r="M174" s="422"/>
      <c r="N174" s="422"/>
      <c r="O174" s="422"/>
      <c r="P174" s="422"/>
      <c r="Q174" s="422"/>
      <c r="R174" s="422"/>
      <c r="S174" s="422"/>
      <c r="T174" s="422"/>
      <c r="U174" s="422"/>
      <c r="V174" s="422"/>
      <c r="W174" s="423"/>
      <c r="X174" s="423"/>
      <c r="Y174" s="423"/>
      <c r="Z174" s="423"/>
      <c r="AA174" s="423"/>
      <c r="AB174" s="423"/>
      <c r="AC174" s="423"/>
      <c r="AD174" s="423"/>
      <c r="AE174" s="423"/>
      <c r="AF174" s="423"/>
      <c r="AG174" s="423"/>
      <c r="AH174" s="423"/>
      <c r="AI174" s="423"/>
      <c r="AJ174" s="423"/>
      <c r="AK174" s="423"/>
      <c r="AL174" s="423"/>
      <c r="AM174" s="423"/>
      <c r="AN174" s="423"/>
      <c r="AO174" s="423"/>
      <c r="AP174" s="423"/>
      <c r="AQ174" s="423"/>
      <c r="AR174" s="423"/>
      <c r="AS174" s="423"/>
      <c r="AT174" s="423"/>
      <c r="AU174" s="423"/>
      <c r="AV174" s="423"/>
      <c r="AW174" s="423"/>
      <c r="AX174" s="423"/>
      <c r="AY174" s="423"/>
      <c r="AZ174" s="423"/>
      <c r="BA174" s="423"/>
      <c r="BB174" s="423"/>
      <c r="BC174" s="423"/>
      <c r="BD174" s="423"/>
      <c r="BE174" s="424"/>
      <c r="BF174" s="424"/>
      <c r="BG174" s="424"/>
      <c r="BH174" s="424"/>
      <c r="BI174" s="424"/>
      <c r="BJ174" s="424"/>
      <c r="BK174" s="424"/>
      <c r="BL174" s="424"/>
      <c r="BM174" s="424"/>
      <c r="BN174" s="425"/>
      <c r="BO174" s="425"/>
      <c r="BP174" s="425"/>
      <c r="BQ174" s="425"/>
      <c r="BR174" s="425"/>
      <c r="BS174" s="425"/>
      <c r="BT174" s="425"/>
      <c r="BU174" s="425"/>
      <c r="BV174" s="422"/>
      <c r="BW174" s="422"/>
      <c r="BX174" s="422"/>
      <c r="BY174" s="422"/>
      <c r="BZ174" s="422"/>
      <c r="CA174" s="422"/>
      <c r="CB174" s="422"/>
      <c r="CC174" s="426"/>
      <c r="CD174" s="426"/>
      <c r="CE174" s="426"/>
      <c r="CF174" s="426"/>
      <c r="CG174" s="426"/>
      <c r="CH174" s="426"/>
      <c r="CI174" s="426"/>
      <c r="CJ174" s="426"/>
      <c r="CK174" s="426"/>
      <c r="CL174" s="426"/>
      <c r="CM174" s="426"/>
      <c r="CN174" s="426"/>
      <c r="CO174" s="426"/>
      <c r="CP174" s="426"/>
      <c r="CQ174" s="426"/>
      <c r="CR174" s="426"/>
      <c r="CS174" s="427"/>
      <c r="CT174" s="427"/>
      <c r="CU174" s="427"/>
      <c r="CV174" s="427"/>
      <c r="CW174" s="427"/>
      <c r="CX174" s="427"/>
      <c r="CY174" s="427"/>
      <c r="CZ174" s="427"/>
      <c r="DA174" s="427"/>
      <c r="DB174" s="427"/>
      <c r="DC174" s="427"/>
      <c r="DD174" s="427"/>
      <c r="DE174" s="427"/>
      <c r="DF174" s="427"/>
      <c r="DG174" s="427"/>
      <c r="DH174" s="427"/>
      <c r="DI174" s="427"/>
      <c r="DJ174" s="427"/>
      <c r="DK174" s="427"/>
      <c r="DL174" s="427"/>
      <c r="DM174" s="427"/>
      <c r="DN174" s="937"/>
      <c r="DO174" s="428"/>
      <c r="DP174" s="428"/>
      <c r="DQ174" s="429"/>
      <c r="DR174" s="429"/>
      <c r="DS174" s="424"/>
      <c r="DT174" s="468"/>
      <c r="DU174" s="468"/>
      <c r="DV174" s="468"/>
      <c r="DW174" s="468"/>
      <c r="DX174" s="468"/>
      <c r="DY174" s="468"/>
      <c r="DZ174" s="468"/>
      <c r="EA174" s="468"/>
      <c r="EB174" s="468"/>
      <c r="EC174" s="468">
        <v>200</v>
      </c>
      <c r="ED174" s="468"/>
      <c r="EE174" s="468"/>
      <c r="EF174" s="468"/>
      <c r="EG174" s="468"/>
      <c r="EH174" s="468"/>
      <c r="EI174" s="468"/>
      <c r="EJ174" s="468"/>
      <c r="EK174" s="468"/>
      <c r="EL174" s="468"/>
      <c r="EM174" s="468"/>
      <c r="EN174" s="468"/>
      <c r="EO174" s="468"/>
      <c r="EP174" s="468"/>
      <c r="EQ174" s="468"/>
      <c r="ER174" s="468"/>
      <c r="ES174" s="468"/>
      <c r="ET174" s="468"/>
      <c r="EU174" s="468"/>
      <c r="EV174" s="468"/>
      <c r="EW174" s="468"/>
      <c r="EX174" s="468"/>
      <c r="EY174" s="468"/>
      <c r="EZ174" s="468"/>
      <c r="FA174" s="415"/>
      <c r="FB174" s="416">
        <v>200</v>
      </c>
      <c r="FC174" s="416"/>
      <c r="FD174" s="417">
        <f t="shared" si="384"/>
        <v>0</v>
      </c>
      <c r="FE174" s="790"/>
    </row>
    <row r="175" spans="2:164" ht="26.1" customHeight="1" outlineLevel="1" thickBot="1" x14ac:dyDescent="0.35">
      <c r="B175" s="1018"/>
      <c r="C175" s="1020"/>
      <c r="D175" s="1034"/>
      <c r="E175" s="1038"/>
      <c r="F175" s="838" t="s">
        <v>112</v>
      </c>
      <c r="G175" s="804" t="str">
        <f>VLOOKUP(H175,инфо!AD:AE,2,FALSE)</f>
        <v>Прочее</v>
      </c>
      <c r="H175" s="580" t="s">
        <v>1197</v>
      </c>
      <c r="I175" s="588" t="s">
        <v>82</v>
      </c>
      <c r="J175" s="430"/>
      <c r="K175" s="431"/>
      <c r="L175" s="431"/>
      <c r="M175" s="431"/>
      <c r="N175" s="431"/>
      <c r="O175" s="431"/>
      <c r="P175" s="431"/>
      <c r="Q175" s="431"/>
      <c r="R175" s="431"/>
      <c r="S175" s="431"/>
      <c r="T175" s="431"/>
      <c r="U175" s="431"/>
      <c r="V175" s="431"/>
      <c r="W175" s="432"/>
      <c r="X175" s="432"/>
      <c r="Y175" s="432"/>
      <c r="Z175" s="432"/>
      <c r="AA175" s="432"/>
      <c r="AB175" s="432"/>
      <c r="AC175" s="432"/>
      <c r="AD175" s="432"/>
      <c r="AE175" s="432"/>
      <c r="AF175" s="432"/>
      <c r="AG175" s="432"/>
      <c r="AH175" s="432"/>
      <c r="AI175" s="432"/>
      <c r="AJ175" s="432"/>
      <c r="AK175" s="432"/>
      <c r="AL175" s="432"/>
      <c r="AM175" s="432"/>
      <c r="AN175" s="432"/>
      <c r="AO175" s="432"/>
      <c r="AP175" s="432"/>
      <c r="AQ175" s="432"/>
      <c r="AR175" s="432"/>
      <c r="AS175" s="432"/>
      <c r="AT175" s="432"/>
      <c r="AU175" s="432"/>
      <c r="AV175" s="432"/>
      <c r="AW175" s="432"/>
      <c r="AX175" s="432"/>
      <c r="AY175" s="432"/>
      <c r="AZ175" s="432"/>
      <c r="BA175" s="432"/>
      <c r="BB175" s="432"/>
      <c r="BC175" s="432"/>
      <c r="BD175" s="432"/>
      <c r="BE175" s="433"/>
      <c r="BF175" s="433"/>
      <c r="BG175" s="433"/>
      <c r="BH175" s="433"/>
      <c r="BI175" s="433"/>
      <c r="BJ175" s="433"/>
      <c r="BK175" s="433"/>
      <c r="BL175" s="433"/>
      <c r="BM175" s="433"/>
      <c r="BN175" s="434"/>
      <c r="BO175" s="434"/>
      <c r="BP175" s="434"/>
      <c r="BQ175" s="434"/>
      <c r="BR175" s="434"/>
      <c r="BS175" s="434"/>
      <c r="BT175" s="434"/>
      <c r="BU175" s="434"/>
      <c r="BV175" s="431"/>
      <c r="BW175" s="431"/>
      <c r="BX175" s="431"/>
      <c r="BY175" s="431"/>
      <c r="BZ175" s="431"/>
      <c r="CA175" s="431"/>
      <c r="CB175" s="431"/>
      <c r="CC175" s="435"/>
      <c r="CD175" s="435"/>
      <c r="CE175" s="435"/>
      <c r="CF175" s="435"/>
      <c r="CG175" s="435"/>
      <c r="CH175" s="435"/>
      <c r="CI175" s="435"/>
      <c r="CJ175" s="435"/>
      <c r="CK175" s="435"/>
      <c r="CL175" s="435"/>
      <c r="CM175" s="435"/>
      <c r="CN175" s="435"/>
      <c r="CO175" s="435"/>
      <c r="CP175" s="435"/>
      <c r="CQ175" s="435"/>
      <c r="CR175" s="435"/>
      <c r="CS175" s="436"/>
      <c r="CT175" s="436"/>
      <c r="CU175" s="436"/>
      <c r="CV175" s="436"/>
      <c r="CW175" s="436"/>
      <c r="CX175" s="436"/>
      <c r="CY175" s="436"/>
      <c r="CZ175" s="436"/>
      <c r="DA175" s="436"/>
      <c r="DB175" s="436"/>
      <c r="DC175" s="436"/>
      <c r="DD175" s="436"/>
      <c r="DE175" s="436"/>
      <c r="DF175" s="436"/>
      <c r="DG175" s="436"/>
      <c r="DH175" s="436"/>
      <c r="DI175" s="436"/>
      <c r="DJ175" s="436"/>
      <c r="DK175" s="436"/>
      <c r="DL175" s="436"/>
      <c r="DM175" s="436"/>
      <c r="DN175" s="938"/>
      <c r="DO175" s="437"/>
      <c r="DP175" s="437"/>
      <c r="DQ175" s="438"/>
      <c r="DR175" s="438"/>
      <c r="DS175" s="433"/>
      <c r="DT175" s="469"/>
      <c r="DU175" s="469"/>
      <c r="DV175" s="469"/>
      <c r="DW175" s="469"/>
      <c r="DX175" s="469"/>
      <c r="DY175" s="469"/>
      <c r="DZ175" s="469"/>
      <c r="EA175" s="469"/>
      <c r="EB175" s="469"/>
      <c r="EC175" s="469"/>
      <c r="ED175" s="469"/>
      <c r="EE175" s="469"/>
      <c r="EF175" s="469"/>
      <c r="EG175" s="469"/>
      <c r="EH175" s="469"/>
      <c r="EI175" s="469"/>
      <c r="EJ175" s="469"/>
      <c r="EK175" s="469"/>
      <c r="EL175" s="469"/>
      <c r="EM175" s="469"/>
      <c r="EN175" s="469"/>
      <c r="EO175" s="469">
        <v>20</v>
      </c>
      <c r="EP175" s="469"/>
      <c r="EQ175" s="469"/>
      <c r="ER175" s="469"/>
      <c r="ES175" s="469"/>
      <c r="ET175" s="469"/>
      <c r="EU175" s="469"/>
      <c r="EV175" s="469"/>
      <c r="EW175" s="469"/>
      <c r="EX175" s="469"/>
      <c r="EY175" s="469"/>
      <c r="EZ175" s="469"/>
      <c r="FA175" s="377"/>
      <c r="FB175" s="378">
        <v>20</v>
      </c>
      <c r="FC175" s="378"/>
      <c r="FD175" s="379">
        <f t="shared" si="384"/>
        <v>0</v>
      </c>
      <c r="FE175" s="790"/>
    </row>
    <row r="176" spans="2:164" ht="26.1" customHeight="1" outlineLevel="1" thickBot="1" x14ac:dyDescent="0.35">
      <c r="B176" s="1018"/>
      <c r="C176" s="1020"/>
      <c r="D176" s="1034"/>
      <c r="E176" s="1038"/>
      <c r="F176" s="838" t="s">
        <v>112</v>
      </c>
      <c r="G176" s="804" t="str">
        <f>VLOOKUP(H176,инфо!AD:AE,2,FALSE)</f>
        <v>Гарниры</v>
      </c>
      <c r="H176" s="580" t="s">
        <v>1198</v>
      </c>
      <c r="I176" s="575"/>
      <c r="J176" s="430"/>
      <c r="K176" s="431"/>
      <c r="L176" s="431"/>
      <c r="M176" s="431"/>
      <c r="N176" s="431"/>
      <c r="O176" s="431"/>
      <c r="P176" s="431"/>
      <c r="Q176" s="431"/>
      <c r="R176" s="431"/>
      <c r="S176" s="431"/>
      <c r="T176" s="431"/>
      <c r="U176" s="431"/>
      <c r="V176" s="431"/>
      <c r="W176" s="432"/>
      <c r="X176" s="432"/>
      <c r="Y176" s="432"/>
      <c r="Z176" s="432"/>
      <c r="AA176" s="432"/>
      <c r="AB176" s="432"/>
      <c r="AC176" s="432"/>
      <c r="AD176" s="432"/>
      <c r="AE176" s="432"/>
      <c r="AF176" s="432"/>
      <c r="AG176" s="432"/>
      <c r="AH176" s="432"/>
      <c r="AI176" s="432"/>
      <c r="AJ176" s="432"/>
      <c r="AK176" s="432"/>
      <c r="AL176" s="432"/>
      <c r="AM176" s="432"/>
      <c r="AN176" s="432"/>
      <c r="AO176" s="432"/>
      <c r="AP176" s="432"/>
      <c r="AQ176" s="432"/>
      <c r="AR176" s="432"/>
      <c r="AS176" s="432"/>
      <c r="AT176" s="432"/>
      <c r="AU176" s="432"/>
      <c r="AV176" s="432"/>
      <c r="AW176" s="432"/>
      <c r="AX176" s="432"/>
      <c r="AY176" s="432"/>
      <c r="AZ176" s="432"/>
      <c r="BA176" s="432"/>
      <c r="BB176" s="432"/>
      <c r="BC176" s="432"/>
      <c r="BD176" s="432"/>
      <c r="BE176" s="433"/>
      <c r="BF176" s="433"/>
      <c r="BG176" s="433"/>
      <c r="BH176" s="433"/>
      <c r="BI176" s="433"/>
      <c r="BJ176" s="433"/>
      <c r="BK176" s="433"/>
      <c r="BL176" s="433"/>
      <c r="BM176" s="433"/>
      <c r="BN176" s="434"/>
      <c r="BO176" s="434"/>
      <c r="BP176" s="434"/>
      <c r="BQ176" s="434"/>
      <c r="BR176" s="434"/>
      <c r="BS176" s="434"/>
      <c r="BT176" s="434"/>
      <c r="BU176" s="434"/>
      <c r="BV176" s="431"/>
      <c r="BW176" s="431"/>
      <c r="BX176" s="431"/>
      <c r="BY176" s="431"/>
      <c r="BZ176" s="431"/>
      <c r="CA176" s="431"/>
      <c r="CB176" s="431"/>
      <c r="CC176" s="435"/>
      <c r="CD176" s="435"/>
      <c r="CE176" s="435"/>
      <c r="CF176" s="435"/>
      <c r="CG176" s="435"/>
      <c r="CH176" s="435"/>
      <c r="CI176" s="435"/>
      <c r="CJ176" s="435"/>
      <c r="CK176" s="435"/>
      <c r="CL176" s="435"/>
      <c r="CM176" s="435"/>
      <c r="CN176" s="435"/>
      <c r="CO176" s="435"/>
      <c r="CP176" s="435"/>
      <c r="CQ176" s="435"/>
      <c r="CR176" s="435"/>
      <c r="CS176" s="436"/>
      <c r="CT176" s="436"/>
      <c r="CU176" s="436"/>
      <c r="CV176" s="436"/>
      <c r="CW176" s="436"/>
      <c r="CX176" s="436"/>
      <c r="CY176" s="436"/>
      <c r="CZ176" s="436"/>
      <c r="DA176" s="436"/>
      <c r="DB176" s="436"/>
      <c r="DC176" s="436"/>
      <c r="DD176" s="436"/>
      <c r="DE176" s="436"/>
      <c r="DF176" s="436"/>
      <c r="DG176" s="436"/>
      <c r="DH176" s="436"/>
      <c r="DI176" s="436"/>
      <c r="DJ176" s="436"/>
      <c r="DK176" s="436"/>
      <c r="DL176" s="436"/>
      <c r="DM176" s="436"/>
      <c r="DN176" s="938"/>
      <c r="DO176" s="437"/>
      <c r="DP176" s="437"/>
      <c r="DQ176" s="438"/>
      <c r="DR176" s="438"/>
      <c r="DS176" s="433"/>
      <c r="DT176" s="469"/>
      <c r="DU176" s="469"/>
      <c r="DV176" s="469"/>
      <c r="DW176" s="469"/>
      <c r="DX176" s="469"/>
      <c r="DY176" s="469"/>
      <c r="DZ176" s="469"/>
      <c r="EA176" s="469"/>
      <c r="EB176" s="469"/>
      <c r="EC176" s="469"/>
      <c r="ED176" s="469"/>
      <c r="EE176" s="469"/>
      <c r="EF176" s="469"/>
      <c r="EG176" s="469"/>
      <c r="EH176" s="469"/>
      <c r="EI176" s="469"/>
      <c r="EJ176" s="469"/>
      <c r="EK176" s="469"/>
      <c r="EL176" s="469"/>
      <c r="EM176" s="469"/>
      <c r="EN176" s="469"/>
      <c r="EO176" s="469"/>
      <c r="EP176" s="469"/>
      <c r="EQ176" s="469"/>
      <c r="ER176" s="469"/>
      <c r="ES176" s="469"/>
      <c r="ET176" s="469"/>
      <c r="EU176" s="469"/>
      <c r="EV176" s="469"/>
      <c r="EW176" s="469"/>
      <c r="EX176" s="469"/>
      <c r="EY176" s="469"/>
      <c r="EZ176" s="469"/>
      <c r="FA176" s="377"/>
      <c r="FB176" s="378"/>
      <c r="FC176" s="378"/>
      <c r="FD176" s="379">
        <f t="shared" si="384"/>
        <v>0</v>
      </c>
      <c r="FE176" s="790"/>
    </row>
    <row r="177" spans="2:164" ht="26.1" customHeight="1" outlineLevel="1" thickBot="1" x14ac:dyDescent="0.3">
      <c r="B177" s="1018"/>
      <c r="C177" s="1020"/>
      <c r="D177" s="1035"/>
      <c r="E177" s="1043"/>
      <c r="F177" s="840" t="s">
        <v>112</v>
      </c>
      <c r="G177" s="806" t="str">
        <f>VLOOKUP(H177,инфо!AD:AE,2,FALSE)</f>
        <v>Прочее</v>
      </c>
      <c r="H177" s="582" t="s">
        <v>1197</v>
      </c>
      <c r="I177" s="573"/>
      <c r="J177" s="439"/>
      <c r="K177" s="440"/>
      <c r="L177" s="440"/>
      <c r="M177" s="440"/>
      <c r="N177" s="440"/>
      <c r="O177" s="440"/>
      <c r="P177" s="440"/>
      <c r="Q177" s="440"/>
      <c r="R177" s="440"/>
      <c r="S177" s="440"/>
      <c r="T177" s="440"/>
      <c r="U177" s="440"/>
      <c r="V177" s="440"/>
      <c r="W177" s="441"/>
      <c r="X177" s="441"/>
      <c r="Y177" s="441"/>
      <c r="Z177" s="441"/>
      <c r="AA177" s="441"/>
      <c r="AB177" s="441"/>
      <c r="AC177" s="441"/>
      <c r="AD177" s="441"/>
      <c r="AE177" s="441"/>
      <c r="AF177" s="441"/>
      <c r="AG177" s="441"/>
      <c r="AH177" s="441"/>
      <c r="AI177" s="441"/>
      <c r="AJ177" s="441"/>
      <c r="AK177" s="441"/>
      <c r="AL177" s="441"/>
      <c r="AM177" s="441"/>
      <c r="AN177" s="441"/>
      <c r="AO177" s="441"/>
      <c r="AP177" s="441"/>
      <c r="AQ177" s="441"/>
      <c r="AR177" s="441"/>
      <c r="AS177" s="441"/>
      <c r="AT177" s="441"/>
      <c r="AU177" s="441"/>
      <c r="AV177" s="441"/>
      <c r="AW177" s="441"/>
      <c r="AX177" s="441"/>
      <c r="AY177" s="441"/>
      <c r="AZ177" s="441"/>
      <c r="BA177" s="441"/>
      <c r="BB177" s="441"/>
      <c r="BC177" s="441"/>
      <c r="BD177" s="441"/>
      <c r="BE177" s="442"/>
      <c r="BF177" s="442"/>
      <c r="BG177" s="442"/>
      <c r="BH177" s="442"/>
      <c r="BI177" s="442"/>
      <c r="BJ177" s="442"/>
      <c r="BK177" s="442"/>
      <c r="BL177" s="442"/>
      <c r="BM177" s="442"/>
      <c r="BN177" s="443"/>
      <c r="BO177" s="443"/>
      <c r="BP177" s="443"/>
      <c r="BQ177" s="443"/>
      <c r="BR177" s="443"/>
      <c r="BS177" s="443"/>
      <c r="BT177" s="443"/>
      <c r="BU177" s="443"/>
      <c r="BV177" s="440"/>
      <c r="BW177" s="440"/>
      <c r="BX177" s="440"/>
      <c r="BY177" s="440"/>
      <c r="BZ177" s="440"/>
      <c r="CA177" s="440"/>
      <c r="CB177" s="440"/>
      <c r="CC177" s="444"/>
      <c r="CD177" s="444"/>
      <c r="CE177" s="444"/>
      <c r="CF177" s="444"/>
      <c r="CG177" s="444"/>
      <c r="CH177" s="444"/>
      <c r="CI177" s="444"/>
      <c r="CJ177" s="444"/>
      <c r="CK177" s="444"/>
      <c r="CL177" s="444"/>
      <c r="CM177" s="444"/>
      <c r="CN177" s="444"/>
      <c r="CO177" s="444"/>
      <c r="CP177" s="444"/>
      <c r="CQ177" s="444"/>
      <c r="CR177" s="444"/>
      <c r="CS177" s="445"/>
      <c r="CT177" s="445"/>
      <c r="CU177" s="445"/>
      <c r="CV177" s="445"/>
      <c r="CW177" s="445"/>
      <c r="CX177" s="445"/>
      <c r="CY177" s="445"/>
      <c r="CZ177" s="445"/>
      <c r="DA177" s="445"/>
      <c r="DB177" s="445"/>
      <c r="DC177" s="445"/>
      <c r="DD177" s="445"/>
      <c r="DE177" s="445"/>
      <c r="DF177" s="445"/>
      <c r="DG177" s="445"/>
      <c r="DH177" s="445"/>
      <c r="DI177" s="445"/>
      <c r="DJ177" s="445"/>
      <c r="DK177" s="445"/>
      <c r="DL177" s="445"/>
      <c r="DM177" s="445"/>
      <c r="DN177" s="939"/>
      <c r="DO177" s="446"/>
      <c r="DP177" s="446"/>
      <c r="DQ177" s="447"/>
      <c r="DR177" s="447"/>
      <c r="DS177" s="442"/>
      <c r="DT177" s="442"/>
      <c r="DU177" s="442"/>
      <c r="DV177" s="442"/>
      <c r="DW177" s="442"/>
      <c r="DX177" s="442"/>
      <c r="DY177" s="442"/>
      <c r="DZ177" s="442"/>
      <c r="EA177" s="442"/>
      <c r="EB177" s="442"/>
      <c r="EC177" s="442"/>
      <c r="ED177" s="442"/>
      <c r="EE177" s="442"/>
      <c r="EF177" s="442"/>
      <c r="EG177" s="442"/>
      <c r="EH177" s="442"/>
      <c r="EI177" s="442"/>
      <c r="EJ177" s="442"/>
      <c r="EK177" s="442"/>
      <c r="EL177" s="442"/>
      <c r="EM177" s="442"/>
      <c r="EN177" s="442"/>
      <c r="EO177" s="442"/>
      <c r="EP177" s="442"/>
      <c r="EQ177" s="442"/>
      <c r="ER177" s="442"/>
      <c r="ES177" s="442"/>
      <c r="ET177" s="442"/>
      <c r="EU177" s="442"/>
      <c r="EV177" s="442"/>
      <c r="EW177" s="442"/>
      <c r="EX177" s="442"/>
      <c r="EY177" s="442"/>
      <c r="EZ177" s="442"/>
      <c r="FA177" s="377"/>
      <c r="FB177" s="378"/>
      <c r="FC177" s="378"/>
      <c r="FD177" s="379">
        <f t="shared" si="384"/>
        <v>0</v>
      </c>
      <c r="FE177" s="790"/>
    </row>
    <row r="178" spans="2:164" s="154" customFormat="1" ht="16.5" customHeight="1" outlineLevel="1" thickBot="1" x14ac:dyDescent="0.4">
      <c r="B178" s="1018"/>
      <c r="C178" s="1020"/>
      <c r="D178" s="145"/>
      <c r="E178" s="317" t="s">
        <v>174</v>
      </c>
      <c r="F178" s="836"/>
      <c r="G178" s="818"/>
      <c r="H178" s="576"/>
      <c r="I178" s="594"/>
      <c r="J178" s="305">
        <f>SUM(J164:J177)</f>
        <v>0</v>
      </c>
      <c r="K178" s="146">
        <f t="shared" ref="K178:CU178" si="385">SUM(K164:K177)</f>
        <v>0</v>
      </c>
      <c r="L178" s="146">
        <f t="shared" si="385"/>
        <v>0</v>
      </c>
      <c r="M178" s="146">
        <f t="shared" si="385"/>
        <v>0</v>
      </c>
      <c r="N178" s="146">
        <f t="shared" si="385"/>
        <v>0</v>
      </c>
      <c r="O178" s="146">
        <f t="shared" si="385"/>
        <v>0</v>
      </c>
      <c r="P178" s="146">
        <f t="shared" si="385"/>
        <v>83</v>
      </c>
      <c r="Q178" s="146">
        <f t="shared" si="385"/>
        <v>0</v>
      </c>
      <c r="R178" s="146">
        <f t="shared" si="385"/>
        <v>0</v>
      </c>
      <c r="S178" s="146">
        <f t="shared" si="385"/>
        <v>0</v>
      </c>
      <c r="T178" s="146">
        <f t="shared" ref="T178:V178" si="386">SUM(T164:T177)</f>
        <v>0</v>
      </c>
      <c r="U178" s="146">
        <f t="shared" si="386"/>
        <v>0</v>
      </c>
      <c r="V178" s="146">
        <f t="shared" si="386"/>
        <v>0</v>
      </c>
      <c r="W178" s="147">
        <f t="shared" si="385"/>
        <v>0</v>
      </c>
      <c r="X178" s="147">
        <f t="shared" si="385"/>
        <v>4.8</v>
      </c>
      <c r="Y178" s="147">
        <f t="shared" ref="Y178" si="387">SUM(Y164:Y177)</f>
        <v>0</v>
      </c>
      <c r="Z178" s="147">
        <f t="shared" si="385"/>
        <v>50</v>
      </c>
      <c r="AA178" s="147">
        <f t="shared" si="385"/>
        <v>100</v>
      </c>
      <c r="AB178" s="147">
        <f t="shared" ref="AB178:AC178" si="388">SUM(AB164:AB177)</f>
        <v>0</v>
      </c>
      <c r="AC178" s="147">
        <f t="shared" si="388"/>
        <v>0</v>
      </c>
      <c r="AD178" s="147">
        <f t="shared" si="385"/>
        <v>250</v>
      </c>
      <c r="AE178" s="147">
        <f t="shared" si="385"/>
        <v>140</v>
      </c>
      <c r="AF178" s="147">
        <f t="shared" ref="AF178:AH178" si="389">SUM(AF164:AF177)</f>
        <v>39</v>
      </c>
      <c r="AG178" s="147">
        <f t="shared" si="389"/>
        <v>44</v>
      </c>
      <c r="AH178" s="147">
        <f t="shared" si="389"/>
        <v>0</v>
      </c>
      <c r="AI178" s="147">
        <f t="shared" si="385"/>
        <v>0</v>
      </c>
      <c r="AJ178" s="147">
        <f t="shared" si="385"/>
        <v>0</v>
      </c>
      <c r="AK178" s="147">
        <f t="shared" si="385"/>
        <v>0</v>
      </c>
      <c r="AL178" s="147">
        <f t="shared" si="385"/>
        <v>0</v>
      </c>
      <c r="AM178" s="147">
        <f t="shared" ref="AM178:AS178" si="390">SUM(AM164:AM177)</f>
        <v>0</v>
      </c>
      <c r="AN178" s="147">
        <f t="shared" si="390"/>
        <v>0</v>
      </c>
      <c r="AO178" s="147">
        <f t="shared" si="390"/>
        <v>5</v>
      </c>
      <c r="AP178" s="147">
        <f t="shared" si="390"/>
        <v>0</v>
      </c>
      <c r="AQ178" s="147">
        <f t="shared" si="390"/>
        <v>0</v>
      </c>
      <c r="AR178" s="147">
        <f t="shared" si="390"/>
        <v>0</v>
      </c>
      <c r="AS178" s="147">
        <f t="shared" si="390"/>
        <v>0</v>
      </c>
      <c r="AT178" s="147">
        <f t="shared" si="385"/>
        <v>0</v>
      </c>
      <c r="AU178" s="147">
        <f t="shared" ref="AU178:BD178" si="391">SUM(AU164:AU177)</f>
        <v>0</v>
      </c>
      <c r="AV178" s="147">
        <f t="shared" si="391"/>
        <v>0</v>
      </c>
      <c r="AW178" s="147">
        <f t="shared" si="391"/>
        <v>0</v>
      </c>
      <c r="AX178" s="147">
        <f t="shared" si="391"/>
        <v>0</v>
      </c>
      <c r="AY178" s="147">
        <f t="shared" si="391"/>
        <v>0</v>
      </c>
      <c r="AZ178" s="147">
        <f t="shared" si="391"/>
        <v>0</v>
      </c>
      <c r="BA178" s="147">
        <f t="shared" si="391"/>
        <v>0</v>
      </c>
      <c r="BB178" s="147">
        <f t="shared" si="391"/>
        <v>0</v>
      </c>
      <c r="BC178" s="147">
        <f t="shared" si="391"/>
        <v>0</v>
      </c>
      <c r="BD178" s="147">
        <f t="shared" si="391"/>
        <v>0</v>
      </c>
      <c r="BE178" s="148">
        <f t="shared" ref="BE178:BP178" si="392">SUM(BE164:BE177)</f>
        <v>0</v>
      </c>
      <c r="BF178" s="148">
        <f t="shared" si="392"/>
        <v>0</v>
      </c>
      <c r="BG178" s="148">
        <f t="shared" si="392"/>
        <v>0</v>
      </c>
      <c r="BH178" s="148">
        <f t="shared" si="392"/>
        <v>0</v>
      </c>
      <c r="BI178" s="148">
        <f t="shared" ref="BI178:BL178" si="393">SUM(BI164:BI177)</f>
        <v>0</v>
      </c>
      <c r="BJ178" s="148">
        <f t="shared" si="393"/>
        <v>20</v>
      </c>
      <c r="BK178" s="148">
        <f t="shared" si="393"/>
        <v>0</v>
      </c>
      <c r="BL178" s="148">
        <f t="shared" si="393"/>
        <v>0</v>
      </c>
      <c r="BM178" s="148">
        <f t="shared" si="392"/>
        <v>0</v>
      </c>
      <c r="BN178" s="149">
        <f t="shared" si="392"/>
        <v>15</v>
      </c>
      <c r="BO178" s="149">
        <f t="shared" si="392"/>
        <v>16.8</v>
      </c>
      <c r="BP178" s="149">
        <f t="shared" si="392"/>
        <v>0</v>
      </c>
      <c r="BQ178" s="149">
        <f t="shared" ref="BQ178" si="394">SUM(BQ164:BQ177)</f>
        <v>0</v>
      </c>
      <c r="BR178" s="149">
        <f t="shared" ref="BR178:BU178" si="395">SUM(BR164:BR177)</f>
        <v>0</v>
      </c>
      <c r="BS178" s="149">
        <f t="shared" si="395"/>
        <v>0</v>
      </c>
      <c r="BT178" s="149">
        <f t="shared" si="395"/>
        <v>0</v>
      </c>
      <c r="BU178" s="149">
        <f t="shared" si="395"/>
        <v>50</v>
      </c>
      <c r="BV178" s="146">
        <f t="shared" ref="BV178:BX178" si="396">SUM(BV164:BV177)</f>
        <v>0</v>
      </c>
      <c r="BW178" s="146">
        <f t="shared" si="396"/>
        <v>100</v>
      </c>
      <c r="BX178" s="146">
        <f t="shared" si="396"/>
        <v>0</v>
      </c>
      <c r="BY178" s="146">
        <f t="shared" ref="BY178:BZ178" si="397">SUM(BY164:BY177)</f>
        <v>0</v>
      </c>
      <c r="BZ178" s="146">
        <f t="shared" si="397"/>
        <v>0</v>
      </c>
      <c r="CA178" s="146">
        <f t="shared" si="385"/>
        <v>0</v>
      </c>
      <c r="CB178" s="146">
        <f t="shared" si="385"/>
        <v>0</v>
      </c>
      <c r="CC178" s="265">
        <f t="shared" si="385"/>
        <v>0</v>
      </c>
      <c r="CD178" s="265">
        <f t="shared" si="385"/>
        <v>0</v>
      </c>
      <c r="CE178" s="265">
        <f t="shared" si="385"/>
        <v>0</v>
      </c>
      <c r="CF178" s="265">
        <f t="shared" si="385"/>
        <v>0</v>
      </c>
      <c r="CG178" s="265">
        <f t="shared" si="385"/>
        <v>0</v>
      </c>
      <c r="CH178" s="265">
        <f t="shared" si="385"/>
        <v>0</v>
      </c>
      <c r="CI178" s="265">
        <f t="shared" si="385"/>
        <v>0</v>
      </c>
      <c r="CJ178" s="265">
        <f t="shared" ref="CJ178" si="398">SUM(CJ164:CJ177)</f>
        <v>0</v>
      </c>
      <c r="CK178" s="265">
        <f t="shared" ref="CK178" si="399">SUM(CK164:CK177)</f>
        <v>0</v>
      </c>
      <c r="CL178" s="265">
        <f t="shared" si="385"/>
        <v>0</v>
      </c>
      <c r="CM178" s="265">
        <f t="shared" si="385"/>
        <v>0</v>
      </c>
      <c r="CN178" s="265">
        <f t="shared" ref="CN178:CQ178" si="400">SUM(CN164:CN177)</f>
        <v>0</v>
      </c>
      <c r="CO178" s="265">
        <f t="shared" si="400"/>
        <v>0</v>
      </c>
      <c r="CP178" s="265">
        <f t="shared" si="400"/>
        <v>0</v>
      </c>
      <c r="CQ178" s="265">
        <f t="shared" si="400"/>
        <v>0</v>
      </c>
      <c r="CR178" s="265">
        <f t="shared" si="385"/>
        <v>0</v>
      </c>
      <c r="CS178" s="281">
        <f t="shared" si="385"/>
        <v>0</v>
      </c>
      <c r="CT178" s="281">
        <f t="shared" ref="CT178" si="401">SUM(CT164:CT177)</f>
        <v>0</v>
      </c>
      <c r="CU178" s="281">
        <f t="shared" si="385"/>
        <v>0</v>
      </c>
      <c r="CV178" s="281">
        <f t="shared" ref="CV178:DE178" si="402">SUM(CV164:CV177)</f>
        <v>0</v>
      </c>
      <c r="CW178" s="281">
        <f t="shared" si="402"/>
        <v>0</v>
      </c>
      <c r="CX178" s="281">
        <f t="shared" si="402"/>
        <v>0</v>
      </c>
      <c r="CY178" s="281">
        <f t="shared" si="402"/>
        <v>0</v>
      </c>
      <c r="CZ178" s="281">
        <f t="shared" ref="CZ178" si="403">SUM(CZ164:CZ177)</f>
        <v>0</v>
      </c>
      <c r="DA178" s="281">
        <f t="shared" si="402"/>
        <v>0</v>
      </c>
      <c r="DB178" s="281">
        <f t="shared" si="402"/>
        <v>0</v>
      </c>
      <c r="DC178" s="281">
        <f t="shared" si="402"/>
        <v>0</v>
      </c>
      <c r="DD178" s="281">
        <f t="shared" ref="DD178" si="404">SUM(DD164:DD177)</f>
        <v>0</v>
      </c>
      <c r="DE178" s="281">
        <f t="shared" si="402"/>
        <v>0</v>
      </c>
      <c r="DF178" s="281">
        <f t="shared" ref="DF178:FD178" si="405">SUM(DF164:DF177)</f>
        <v>0</v>
      </c>
      <c r="DG178" s="281">
        <f t="shared" si="405"/>
        <v>0</v>
      </c>
      <c r="DH178" s="281">
        <f t="shared" si="405"/>
        <v>0</v>
      </c>
      <c r="DI178" s="281">
        <f t="shared" ref="DI178:DQ178" si="406">SUM(DI164:DI177)</f>
        <v>0</v>
      </c>
      <c r="DJ178" s="281">
        <f t="shared" si="406"/>
        <v>0</v>
      </c>
      <c r="DK178" s="281">
        <f t="shared" si="406"/>
        <v>0</v>
      </c>
      <c r="DL178" s="281">
        <f t="shared" si="406"/>
        <v>0</v>
      </c>
      <c r="DM178" s="281">
        <f t="shared" si="406"/>
        <v>0</v>
      </c>
      <c r="DN178" s="936">
        <f t="shared" si="406"/>
        <v>0</v>
      </c>
      <c r="DO178" s="148">
        <f t="shared" si="406"/>
        <v>0</v>
      </c>
      <c r="DP178" s="148">
        <f t="shared" si="406"/>
        <v>12.2</v>
      </c>
      <c r="DQ178" s="148">
        <f t="shared" si="406"/>
        <v>2.4E-2</v>
      </c>
      <c r="DR178" s="148">
        <f t="shared" si="405"/>
        <v>0.56000000000000005</v>
      </c>
      <c r="DS178" s="148">
        <f t="shared" si="405"/>
        <v>2.8</v>
      </c>
      <c r="DT178" s="148">
        <f t="shared" si="405"/>
        <v>0</v>
      </c>
      <c r="DU178" s="148">
        <f t="shared" si="405"/>
        <v>0</v>
      </c>
      <c r="DV178" s="148">
        <f t="shared" si="405"/>
        <v>0</v>
      </c>
      <c r="DW178" s="148">
        <f t="shared" si="405"/>
        <v>1</v>
      </c>
      <c r="DX178" s="148">
        <f t="shared" si="405"/>
        <v>0</v>
      </c>
      <c r="DY178" s="148">
        <f t="shared" ref="DY178:EO178" si="407">SUM(DY164:DY177)</f>
        <v>0</v>
      </c>
      <c r="DZ178" s="148">
        <f t="shared" si="407"/>
        <v>0</v>
      </c>
      <c r="EA178" s="148">
        <f t="shared" si="407"/>
        <v>265.60000000000002</v>
      </c>
      <c r="EB178" s="148">
        <f t="shared" si="407"/>
        <v>416</v>
      </c>
      <c r="EC178" s="148">
        <f t="shared" si="407"/>
        <v>200</v>
      </c>
      <c r="ED178" s="148">
        <f t="shared" si="407"/>
        <v>0</v>
      </c>
      <c r="EE178" s="148">
        <f t="shared" si="407"/>
        <v>0</v>
      </c>
      <c r="EF178" s="148">
        <f t="shared" si="407"/>
        <v>0</v>
      </c>
      <c r="EG178" s="148">
        <f t="shared" si="407"/>
        <v>0</v>
      </c>
      <c r="EH178" s="148">
        <f t="shared" si="407"/>
        <v>0</v>
      </c>
      <c r="EI178" s="148">
        <f t="shared" si="407"/>
        <v>0</v>
      </c>
      <c r="EJ178" s="148">
        <f t="shared" si="407"/>
        <v>0</v>
      </c>
      <c r="EK178" s="148">
        <f t="shared" si="407"/>
        <v>0</v>
      </c>
      <c r="EL178" s="148">
        <f t="shared" si="407"/>
        <v>0</v>
      </c>
      <c r="EM178" s="148">
        <f t="shared" si="407"/>
        <v>0</v>
      </c>
      <c r="EN178" s="148">
        <f t="shared" si="407"/>
        <v>0</v>
      </c>
      <c r="EO178" s="148">
        <f t="shared" si="407"/>
        <v>20</v>
      </c>
      <c r="EP178" s="148">
        <f t="shared" ref="EP178:EZ178" si="408">SUM(EP164:EP177)</f>
        <v>0</v>
      </c>
      <c r="EQ178" s="148">
        <f t="shared" si="408"/>
        <v>0</v>
      </c>
      <c r="ER178" s="148">
        <f t="shared" si="408"/>
        <v>0</v>
      </c>
      <c r="ES178" s="148">
        <f t="shared" si="408"/>
        <v>0</v>
      </c>
      <c r="ET178" s="148">
        <f t="shared" si="408"/>
        <v>0</v>
      </c>
      <c r="EU178" s="148">
        <f t="shared" si="408"/>
        <v>0</v>
      </c>
      <c r="EV178" s="148">
        <f t="shared" si="408"/>
        <v>0</v>
      </c>
      <c r="EW178" s="148">
        <f t="shared" si="408"/>
        <v>0</v>
      </c>
      <c r="EX178" s="148">
        <f t="shared" si="408"/>
        <v>0</v>
      </c>
      <c r="EY178" s="148">
        <f t="shared" si="408"/>
        <v>0</v>
      </c>
      <c r="EZ178" s="148">
        <f t="shared" si="408"/>
        <v>0</v>
      </c>
      <c r="FA178" s="150">
        <f t="shared" si="405"/>
        <v>840</v>
      </c>
      <c r="FB178" s="151">
        <f t="shared" si="405"/>
        <v>1464</v>
      </c>
      <c r="FC178" s="151">
        <f t="shared" si="405"/>
        <v>64</v>
      </c>
      <c r="FD178" s="152">
        <f t="shared" si="405"/>
        <v>100</v>
      </c>
      <c r="FE178" s="792" t="str">
        <f>IF(FB178&lt;инфо!$AN$75,FB178-инфо!$AN$75,"")</f>
        <v/>
      </c>
      <c r="FF178" s="153"/>
      <c r="FG178" s="153"/>
      <c r="FH178" s="153"/>
    </row>
    <row r="179" spans="2:164" ht="26.1" customHeight="1" outlineLevel="1" thickBot="1" x14ac:dyDescent="0.3">
      <c r="B179" s="1018"/>
      <c r="C179" s="1020"/>
      <c r="D179" s="1057" t="s">
        <v>117</v>
      </c>
      <c r="E179" s="1063" t="s">
        <v>114</v>
      </c>
      <c r="F179" s="842" t="s">
        <v>117</v>
      </c>
      <c r="G179" s="808" t="str">
        <f>VLOOKUP(H179,инфо!AD:AE,2,FALSE)</f>
        <v>Первые блюда</v>
      </c>
      <c r="H179" s="583" t="s">
        <v>1204</v>
      </c>
      <c r="I179" s="588" t="s">
        <v>586</v>
      </c>
      <c r="J179" s="470">
        <v>20</v>
      </c>
      <c r="K179" s="471"/>
      <c r="L179" s="471"/>
      <c r="M179" s="471"/>
      <c r="N179" s="471"/>
      <c r="O179" s="471"/>
      <c r="P179" s="471"/>
      <c r="Q179" s="471"/>
      <c r="R179" s="471"/>
      <c r="S179" s="471"/>
      <c r="T179" s="471"/>
      <c r="U179" s="471"/>
      <c r="V179" s="471"/>
      <c r="W179" s="472"/>
      <c r="X179" s="472"/>
      <c r="Y179" s="472"/>
      <c r="Z179" s="472"/>
      <c r="AA179" s="472"/>
      <c r="AB179" s="472"/>
      <c r="AC179" s="472"/>
      <c r="AD179" s="472">
        <v>150</v>
      </c>
      <c r="AE179" s="472"/>
      <c r="AF179" s="472">
        <v>10</v>
      </c>
      <c r="AG179" s="472">
        <v>10</v>
      </c>
      <c r="AH179" s="472"/>
      <c r="AI179" s="472"/>
      <c r="AJ179" s="472"/>
      <c r="AK179" s="472"/>
      <c r="AL179" s="472"/>
      <c r="AM179" s="472"/>
      <c r="AN179" s="472"/>
      <c r="AO179" s="472">
        <v>5</v>
      </c>
      <c r="AP179" s="472"/>
      <c r="AQ179" s="472"/>
      <c r="AR179" s="472"/>
      <c r="AS179" s="472"/>
      <c r="AT179" s="472"/>
      <c r="AU179" s="472"/>
      <c r="AV179" s="472"/>
      <c r="AW179" s="472"/>
      <c r="AX179" s="472"/>
      <c r="AY179" s="472"/>
      <c r="AZ179" s="472"/>
      <c r="BA179" s="472"/>
      <c r="BB179" s="472"/>
      <c r="BC179" s="472"/>
      <c r="BD179" s="472"/>
      <c r="BE179" s="473"/>
      <c r="BF179" s="473"/>
      <c r="BG179" s="473"/>
      <c r="BH179" s="473"/>
      <c r="BI179" s="473"/>
      <c r="BJ179" s="473"/>
      <c r="BK179" s="473"/>
      <c r="BL179" s="473"/>
      <c r="BM179" s="473"/>
      <c r="BN179" s="474"/>
      <c r="BO179" s="474">
        <v>4</v>
      </c>
      <c r="BP179" s="474"/>
      <c r="BQ179" s="474"/>
      <c r="BR179" s="474"/>
      <c r="BS179" s="474"/>
      <c r="BT179" s="474"/>
      <c r="BU179" s="474"/>
      <c r="BV179" s="471"/>
      <c r="BW179" s="471"/>
      <c r="BX179" s="471"/>
      <c r="BY179" s="471"/>
      <c r="BZ179" s="471"/>
      <c r="CA179" s="471"/>
      <c r="CB179" s="471"/>
      <c r="CC179" s="475"/>
      <c r="CD179" s="475"/>
      <c r="CE179" s="475"/>
      <c r="CF179" s="475"/>
      <c r="CG179" s="475"/>
      <c r="CH179" s="475"/>
      <c r="CI179" s="475"/>
      <c r="CJ179" s="475"/>
      <c r="CK179" s="475"/>
      <c r="CL179" s="475"/>
      <c r="CM179" s="475"/>
      <c r="CN179" s="475"/>
      <c r="CO179" s="475"/>
      <c r="CP179" s="475"/>
      <c r="CQ179" s="475"/>
      <c r="CR179" s="475"/>
      <c r="CS179" s="476"/>
      <c r="CT179" s="476"/>
      <c r="CU179" s="476"/>
      <c r="CV179" s="476"/>
      <c r="CW179" s="476"/>
      <c r="CX179" s="476"/>
      <c r="CY179" s="476"/>
      <c r="CZ179" s="476"/>
      <c r="DA179" s="476"/>
      <c r="DB179" s="476"/>
      <c r="DC179" s="476"/>
      <c r="DD179" s="476"/>
      <c r="DE179" s="476"/>
      <c r="DF179" s="476"/>
      <c r="DG179" s="476"/>
      <c r="DH179" s="476"/>
      <c r="DI179" s="476"/>
      <c r="DJ179" s="476"/>
      <c r="DK179" s="476"/>
      <c r="DL179" s="476"/>
      <c r="DM179" s="476"/>
      <c r="DN179" s="942"/>
      <c r="DO179" s="477"/>
      <c r="DP179" s="477">
        <v>4</v>
      </c>
      <c r="DQ179" s="478"/>
      <c r="DR179" s="478"/>
      <c r="DS179" s="473"/>
      <c r="DT179" s="473"/>
      <c r="DU179" s="473"/>
      <c r="DV179" s="473"/>
      <c r="DW179" s="473"/>
      <c r="DX179" s="473"/>
      <c r="DY179" s="473"/>
      <c r="DZ179" s="473"/>
      <c r="EA179" s="473"/>
      <c r="EB179" s="473">
        <v>400</v>
      </c>
      <c r="EC179" s="473"/>
      <c r="ED179" s="473"/>
      <c r="EE179" s="473"/>
      <c r="EF179" s="473"/>
      <c r="EG179" s="473"/>
      <c r="EH179" s="473"/>
      <c r="EI179" s="473"/>
      <c r="EJ179" s="473"/>
      <c r="EK179" s="473"/>
      <c r="EL179" s="473"/>
      <c r="EM179" s="473"/>
      <c r="EN179" s="473"/>
      <c r="EO179" s="473"/>
      <c r="EP179" s="473"/>
      <c r="EQ179" s="473"/>
      <c r="ER179" s="473"/>
      <c r="ES179" s="473"/>
      <c r="ET179" s="473"/>
      <c r="EU179" s="473"/>
      <c r="EV179" s="473"/>
      <c r="EW179" s="473"/>
      <c r="EX179" s="473"/>
      <c r="EY179" s="473"/>
      <c r="EZ179" s="473"/>
      <c r="FA179" s="377">
        <v>250</v>
      </c>
      <c r="FB179" s="378">
        <v>500</v>
      </c>
      <c r="FC179" s="378"/>
      <c r="FD179" s="379">
        <f t="shared" ref="FD179:FD190" si="409">SUM(BE179:BG179,BI179,BL179:BM179)+SUM(BH179,BJ179,BK179)*5</f>
        <v>0</v>
      </c>
      <c r="FE179" s="790"/>
    </row>
    <row r="180" spans="2:164" ht="26.1" customHeight="1" outlineLevel="1" thickBot="1" x14ac:dyDescent="0.3">
      <c r="B180" s="1018"/>
      <c r="C180" s="1020"/>
      <c r="D180" s="1058"/>
      <c r="E180" s="1064"/>
      <c r="F180" s="843" t="s">
        <v>117</v>
      </c>
      <c r="G180" s="809" t="str">
        <f>VLOOKUP(H180,инфо!AD:AE,2,FALSE)</f>
        <v>Гарниры</v>
      </c>
      <c r="H180" s="584" t="s">
        <v>1199</v>
      </c>
      <c r="I180" s="572"/>
      <c r="J180" s="479"/>
      <c r="K180" s="480"/>
      <c r="L180" s="480"/>
      <c r="M180" s="480"/>
      <c r="N180" s="480"/>
      <c r="O180" s="480"/>
      <c r="P180" s="480"/>
      <c r="Q180" s="480"/>
      <c r="R180" s="480"/>
      <c r="S180" s="480"/>
      <c r="T180" s="480"/>
      <c r="U180" s="480"/>
      <c r="V180" s="480"/>
      <c r="W180" s="481"/>
      <c r="X180" s="481"/>
      <c r="Y180" s="481"/>
      <c r="Z180" s="481"/>
      <c r="AA180" s="481"/>
      <c r="AB180" s="481"/>
      <c r="AC180" s="481"/>
      <c r="AD180" s="481"/>
      <c r="AE180" s="481"/>
      <c r="AF180" s="481"/>
      <c r="AG180" s="481"/>
      <c r="AH180" s="481"/>
      <c r="AI180" s="481"/>
      <c r="AJ180" s="481"/>
      <c r="AK180" s="481"/>
      <c r="AL180" s="481"/>
      <c r="AM180" s="481"/>
      <c r="AN180" s="481"/>
      <c r="AO180" s="481"/>
      <c r="AP180" s="481"/>
      <c r="AQ180" s="481"/>
      <c r="AR180" s="481"/>
      <c r="AS180" s="481"/>
      <c r="AT180" s="481"/>
      <c r="AU180" s="481"/>
      <c r="AV180" s="481"/>
      <c r="AW180" s="481"/>
      <c r="AX180" s="481"/>
      <c r="AY180" s="481"/>
      <c r="AZ180" s="481"/>
      <c r="BA180" s="481"/>
      <c r="BB180" s="481"/>
      <c r="BC180" s="481"/>
      <c r="BD180" s="481"/>
      <c r="BE180" s="482"/>
      <c r="BF180" s="482"/>
      <c r="BG180" s="482"/>
      <c r="BH180" s="482"/>
      <c r="BI180" s="482"/>
      <c r="BJ180" s="482"/>
      <c r="BK180" s="482"/>
      <c r="BL180" s="482"/>
      <c r="BM180" s="482"/>
      <c r="BN180" s="483"/>
      <c r="BO180" s="483"/>
      <c r="BP180" s="483"/>
      <c r="BQ180" s="483"/>
      <c r="BR180" s="483"/>
      <c r="BS180" s="483"/>
      <c r="BT180" s="483"/>
      <c r="BU180" s="483"/>
      <c r="BV180" s="480"/>
      <c r="BW180" s="480"/>
      <c r="BX180" s="480"/>
      <c r="BY180" s="480"/>
      <c r="BZ180" s="480"/>
      <c r="CA180" s="480"/>
      <c r="CB180" s="480"/>
      <c r="CC180" s="484"/>
      <c r="CD180" s="484"/>
      <c r="CE180" s="484"/>
      <c r="CF180" s="484"/>
      <c r="CG180" s="484"/>
      <c r="CH180" s="484"/>
      <c r="CI180" s="484"/>
      <c r="CJ180" s="484"/>
      <c r="CK180" s="484"/>
      <c r="CL180" s="484"/>
      <c r="CM180" s="484"/>
      <c r="CN180" s="484"/>
      <c r="CO180" s="484"/>
      <c r="CP180" s="484"/>
      <c r="CQ180" s="484"/>
      <c r="CR180" s="484"/>
      <c r="CS180" s="485"/>
      <c r="CT180" s="485"/>
      <c r="CU180" s="485"/>
      <c r="CV180" s="485"/>
      <c r="CW180" s="485"/>
      <c r="CX180" s="485"/>
      <c r="CY180" s="485"/>
      <c r="CZ180" s="485"/>
      <c r="DA180" s="485"/>
      <c r="DB180" s="485"/>
      <c r="DC180" s="485"/>
      <c r="DD180" s="485"/>
      <c r="DE180" s="485"/>
      <c r="DF180" s="485"/>
      <c r="DG180" s="485"/>
      <c r="DH180" s="485"/>
      <c r="DI180" s="485"/>
      <c r="DJ180" s="485"/>
      <c r="DK180" s="485"/>
      <c r="DL180" s="485"/>
      <c r="DM180" s="485"/>
      <c r="DN180" s="943"/>
      <c r="DO180" s="486"/>
      <c r="DP180" s="486"/>
      <c r="DQ180" s="487"/>
      <c r="DR180" s="487"/>
      <c r="DS180" s="482"/>
      <c r="DT180" s="482"/>
      <c r="DU180" s="482"/>
      <c r="DV180" s="482"/>
      <c r="DW180" s="482"/>
      <c r="DX180" s="482"/>
      <c r="DY180" s="482"/>
      <c r="DZ180" s="482"/>
      <c r="EA180" s="482"/>
      <c r="EB180" s="482"/>
      <c r="EC180" s="482"/>
      <c r="ED180" s="482"/>
      <c r="EE180" s="482"/>
      <c r="EF180" s="482"/>
      <c r="EG180" s="482"/>
      <c r="EH180" s="482"/>
      <c r="EI180" s="482"/>
      <c r="EJ180" s="482"/>
      <c r="EK180" s="482"/>
      <c r="EL180" s="482"/>
      <c r="EM180" s="482"/>
      <c r="EN180" s="482"/>
      <c r="EO180" s="482"/>
      <c r="EP180" s="482"/>
      <c r="EQ180" s="482"/>
      <c r="ER180" s="482"/>
      <c r="ES180" s="482"/>
      <c r="ET180" s="482"/>
      <c r="EU180" s="482"/>
      <c r="EV180" s="482"/>
      <c r="EW180" s="482"/>
      <c r="EX180" s="482"/>
      <c r="EY180" s="482"/>
      <c r="EZ180" s="482"/>
      <c r="FA180" s="377"/>
      <c r="FB180" s="378"/>
      <c r="FC180" s="378"/>
      <c r="FD180" s="379">
        <f t="shared" si="409"/>
        <v>0</v>
      </c>
      <c r="FE180" s="790"/>
    </row>
    <row r="181" spans="2:164" ht="26.1" customHeight="1" outlineLevel="1" thickBot="1" x14ac:dyDescent="0.3">
      <c r="B181" s="1018"/>
      <c r="C181" s="1020"/>
      <c r="D181" s="1058"/>
      <c r="E181" s="1064"/>
      <c r="F181" s="843" t="s">
        <v>117</v>
      </c>
      <c r="G181" s="809" t="str">
        <f>VLOOKUP(H181,инфо!AD:AE,2,FALSE)</f>
        <v>Мясные (рыбные) блюда с соусом</v>
      </c>
      <c r="H181" s="584" t="s">
        <v>1208</v>
      </c>
      <c r="I181" s="572"/>
      <c r="J181" s="479"/>
      <c r="K181" s="480"/>
      <c r="L181" s="480"/>
      <c r="M181" s="480"/>
      <c r="N181" s="480"/>
      <c r="O181" s="480"/>
      <c r="P181" s="480"/>
      <c r="Q181" s="480"/>
      <c r="R181" s="480"/>
      <c r="S181" s="480"/>
      <c r="T181" s="480"/>
      <c r="U181" s="480"/>
      <c r="V181" s="480"/>
      <c r="W181" s="481"/>
      <c r="X181" s="481"/>
      <c r="Y181" s="481"/>
      <c r="Z181" s="481"/>
      <c r="AA181" s="481"/>
      <c r="AB181" s="481"/>
      <c r="AC181" s="481"/>
      <c r="AD181" s="481"/>
      <c r="AE181" s="481"/>
      <c r="AF181" s="481"/>
      <c r="AG181" s="481"/>
      <c r="AH181" s="481"/>
      <c r="AI181" s="481"/>
      <c r="AJ181" s="481"/>
      <c r="AK181" s="481"/>
      <c r="AL181" s="481"/>
      <c r="AM181" s="481"/>
      <c r="AN181" s="481"/>
      <c r="AO181" s="481"/>
      <c r="AP181" s="481"/>
      <c r="AQ181" s="481"/>
      <c r="AR181" s="481"/>
      <c r="AS181" s="481"/>
      <c r="AT181" s="481"/>
      <c r="AU181" s="481"/>
      <c r="AV181" s="481"/>
      <c r="AW181" s="481"/>
      <c r="AX181" s="481"/>
      <c r="AY181" s="481"/>
      <c r="AZ181" s="481"/>
      <c r="BA181" s="481"/>
      <c r="BB181" s="481"/>
      <c r="BC181" s="481"/>
      <c r="BD181" s="481"/>
      <c r="BE181" s="482"/>
      <c r="BF181" s="482"/>
      <c r="BG181" s="482"/>
      <c r="BH181" s="482"/>
      <c r="BI181" s="482"/>
      <c r="BJ181" s="482"/>
      <c r="BK181" s="482"/>
      <c r="BL181" s="482"/>
      <c r="BM181" s="482"/>
      <c r="BN181" s="483"/>
      <c r="BO181" s="483"/>
      <c r="BP181" s="483"/>
      <c r="BQ181" s="483"/>
      <c r="BR181" s="483"/>
      <c r="BS181" s="483"/>
      <c r="BT181" s="483"/>
      <c r="BU181" s="483"/>
      <c r="BV181" s="480"/>
      <c r="BW181" s="480"/>
      <c r="BX181" s="480"/>
      <c r="BY181" s="480"/>
      <c r="BZ181" s="480"/>
      <c r="CA181" s="480"/>
      <c r="CB181" s="480"/>
      <c r="CC181" s="484"/>
      <c r="CD181" s="484"/>
      <c r="CE181" s="484"/>
      <c r="CF181" s="484"/>
      <c r="CG181" s="484"/>
      <c r="CH181" s="484"/>
      <c r="CI181" s="484"/>
      <c r="CJ181" s="484"/>
      <c r="CK181" s="484"/>
      <c r="CL181" s="484"/>
      <c r="CM181" s="484"/>
      <c r="CN181" s="484"/>
      <c r="CO181" s="484"/>
      <c r="CP181" s="484"/>
      <c r="CQ181" s="484"/>
      <c r="CR181" s="484"/>
      <c r="CS181" s="485"/>
      <c r="CT181" s="485"/>
      <c r="CU181" s="485"/>
      <c r="CV181" s="485"/>
      <c r="CW181" s="485"/>
      <c r="CX181" s="485"/>
      <c r="CY181" s="485"/>
      <c r="CZ181" s="485"/>
      <c r="DA181" s="485"/>
      <c r="DB181" s="485"/>
      <c r="DC181" s="485"/>
      <c r="DD181" s="485"/>
      <c r="DE181" s="485"/>
      <c r="DF181" s="485"/>
      <c r="DG181" s="485"/>
      <c r="DH181" s="485"/>
      <c r="DI181" s="485"/>
      <c r="DJ181" s="485"/>
      <c r="DK181" s="485"/>
      <c r="DL181" s="485"/>
      <c r="DM181" s="485"/>
      <c r="DN181" s="943"/>
      <c r="DO181" s="486"/>
      <c r="DP181" s="486"/>
      <c r="DQ181" s="487"/>
      <c r="DR181" s="487"/>
      <c r="DS181" s="482"/>
      <c r="DT181" s="482"/>
      <c r="DU181" s="482"/>
      <c r="DV181" s="482"/>
      <c r="DW181" s="482"/>
      <c r="DX181" s="482"/>
      <c r="DY181" s="482"/>
      <c r="DZ181" s="482"/>
      <c r="EA181" s="482"/>
      <c r="EB181" s="482"/>
      <c r="EC181" s="482"/>
      <c r="ED181" s="482"/>
      <c r="EE181" s="482"/>
      <c r="EF181" s="482"/>
      <c r="EG181" s="482"/>
      <c r="EH181" s="482"/>
      <c r="EI181" s="482"/>
      <c r="EJ181" s="482"/>
      <c r="EK181" s="482"/>
      <c r="EL181" s="482"/>
      <c r="EM181" s="482"/>
      <c r="EN181" s="482"/>
      <c r="EO181" s="482"/>
      <c r="EP181" s="482"/>
      <c r="EQ181" s="482"/>
      <c r="ER181" s="482"/>
      <c r="ES181" s="482"/>
      <c r="ET181" s="482"/>
      <c r="EU181" s="482"/>
      <c r="EV181" s="482"/>
      <c r="EW181" s="482"/>
      <c r="EX181" s="482"/>
      <c r="EY181" s="482"/>
      <c r="EZ181" s="482"/>
      <c r="FA181" s="377"/>
      <c r="FB181" s="378"/>
      <c r="FC181" s="378"/>
      <c r="FD181" s="379">
        <f t="shared" si="409"/>
        <v>0</v>
      </c>
      <c r="FE181" s="790"/>
    </row>
    <row r="182" spans="2:164" ht="26.1" customHeight="1" outlineLevel="1" thickBot="1" x14ac:dyDescent="0.3">
      <c r="B182" s="1018"/>
      <c r="C182" s="1020"/>
      <c r="D182" s="1058"/>
      <c r="E182" s="1065"/>
      <c r="F182" s="844" t="s">
        <v>117</v>
      </c>
      <c r="G182" s="810" t="str">
        <f>VLOOKUP(H182,инфо!AD:AE,2,FALSE)</f>
        <v>Прочее</v>
      </c>
      <c r="H182" s="585" t="s">
        <v>1197</v>
      </c>
      <c r="I182" s="573"/>
      <c r="J182" s="488"/>
      <c r="K182" s="489"/>
      <c r="L182" s="489"/>
      <c r="M182" s="489"/>
      <c r="N182" s="489"/>
      <c r="O182" s="489"/>
      <c r="P182" s="489"/>
      <c r="Q182" s="489"/>
      <c r="R182" s="489"/>
      <c r="S182" s="489"/>
      <c r="T182" s="489"/>
      <c r="U182" s="489"/>
      <c r="V182" s="489"/>
      <c r="W182" s="490"/>
      <c r="X182" s="490"/>
      <c r="Y182" s="490"/>
      <c r="Z182" s="490"/>
      <c r="AA182" s="490"/>
      <c r="AB182" s="490"/>
      <c r="AC182" s="490"/>
      <c r="AD182" s="490"/>
      <c r="AE182" s="490"/>
      <c r="AF182" s="490"/>
      <c r="AG182" s="490"/>
      <c r="AH182" s="490"/>
      <c r="AI182" s="490"/>
      <c r="AJ182" s="490"/>
      <c r="AK182" s="490"/>
      <c r="AL182" s="490"/>
      <c r="AM182" s="490"/>
      <c r="AN182" s="490"/>
      <c r="AO182" s="490"/>
      <c r="AP182" s="490"/>
      <c r="AQ182" s="490"/>
      <c r="AR182" s="490"/>
      <c r="AS182" s="490"/>
      <c r="AT182" s="490"/>
      <c r="AU182" s="490"/>
      <c r="AV182" s="490"/>
      <c r="AW182" s="490"/>
      <c r="AX182" s="490"/>
      <c r="AY182" s="490"/>
      <c r="AZ182" s="490"/>
      <c r="BA182" s="490"/>
      <c r="BB182" s="490"/>
      <c r="BC182" s="490"/>
      <c r="BD182" s="490"/>
      <c r="BE182" s="491"/>
      <c r="BF182" s="491"/>
      <c r="BG182" s="491"/>
      <c r="BH182" s="491"/>
      <c r="BI182" s="491"/>
      <c r="BJ182" s="491"/>
      <c r="BK182" s="491"/>
      <c r="BL182" s="491"/>
      <c r="BM182" s="491"/>
      <c r="BN182" s="492"/>
      <c r="BO182" s="492"/>
      <c r="BP182" s="492"/>
      <c r="BQ182" s="492"/>
      <c r="BR182" s="492"/>
      <c r="BS182" s="492"/>
      <c r="BT182" s="492"/>
      <c r="BU182" s="492"/>
      <c r="BV182" s="489"/>
      <c r="BW182" s="489"/>
      <c r="BX182" s="489"/>
      <c r="BY182" s="489"/>
      <c r="BZ182" s="489"/>
      <c r="CA182" s="489"/>
      <c r="CB182" s="489"/>
      <c r="CC182" s="493"/>
      <c r="CD182" s="493"/>
      <c r="CE182" s="493"/>
      <c r="CF182" s="493"/>
      <c r="CG182" s="493"/>
      <c r="CH182" s="493"/>
      <c r="CI182" s="493"/>
      <c r="CJ182" s="493"/>
      <c r="CK182" s="493"/>
      <c r="CL182" s="493"/>
      <c r="CM182" s="493"/>
      <c r="CN182" s="493"/>
      <c r="CO182" s="493"/>
      <c r="CP182" s="493"/>
      <c r="CQ182" s="493"/>
      <c r="CR182" s="493"/>
      <c r="CS182" s="494"/>
      <c r="CT182" s="494"/>
      <c r="CU182" s="494"/>
      <c r="CV182" s="494"/>
      <c r="CW182" s="494"/>
      <c r="CX182" s="494"/>
      <c r="CY182" s="494"/>
      <c r="CZ182" s="494"/>
      <c r="DA182" s="494"/>
      <c r="DB182" s="494"/>
      <c r="DC182" s="494"/>
      <c r="DD182" s="494"/>
      <c r="DE182" s="494"/>
      <c r="DF182" s="494"/>
      <c r="DG182" s="494"/>
      <c r="DH182" s="494"/>
      <c r="DI182" s="494"/>
      <c r="DJ182" s="494"/>
      <c r="DK182" s="494"/>
      <c r="DL182" s="494"/>
      <c r="DM182" s="494"/>
      <c r="DN182" s="944"/>
      <c r="DO182" s="495"/>
      <c r="DP182" s="495"/>
      <c r="DQ182" s="496"/>
      <c r="DR182" s="496"/>
      <c r="DS182" s="491"/>
      <c r="DT182" s="491"/>
      <c r="DU182" s="491"/>
      <c r="DV182" s="491"/>
      <c r="DW182" s="491"/>
      <c r="DX182" s="491"/>
      <c r="DY182" s="491"/>
      <c r="DZ182" s="491"/>
      <c r="EA182" s="491"/>
      <c r="EB182" s="491"/>
      <c r="EC182" s="491"/>
      <c r="ED182" s="491"/>
      <c r="EE182" s="491"/>
      <c r="EF182" s="491"/>
      <c r="EG182" s="491"/>
      <c r="EH182" s="491"/>
      <c r="EI182" s="491"/>
      <c r="EJ182" s="491"/>
      <c r="EK182" s="491"/>
      <c r="EL182" s="491"/>
      <c r="EM182" s="491"/>
      <c r="EN182" s="491"/>
      <c r="EO182" s="491"/>
      <c r="EP182" s="491"/>
      <c r="EQ182" s="491"/>
      <c r="ER182" s="491"/>
      <c r="ES182" s="491"/>
      <c r="ET182" s="491"/>
      <c r="EU182" s="491"/>
      <c r="EV182" s="491"/>
      <c r="EW182" s="491"/>
      <c r="EX182" s="491"/>
      <c r="EY182" s="491"/>
      <c r="EZ182" s="491"/>
      <c r="FA182" s="389"/>
      <c r="FB182" s="390"/>
      <c r="FC182" s="390"/>
      <c r="FD182" s="391">
        <f t="shared" si="409"/>
        <v>0</v>
      </c>
      <c r="FE182" s="790"/>
    </row>
    <row r="183" spans="2:164" ht="26.1" customHeight="1" outlineLevel="1" thickBot="1" x14ac:dyDescent="0.3">
      <c r="B183" s="1018"/>
      <c r="C183" s="1020"/>
      <c r="D183" s="1058"/>
      <c r="E183" s="1064" t="s">
        <v>115</v>
      </c>
      <c r="F183" s="842" t="s">
        <v>117</v>
      </c>
      <c r="G183" s="808" t="str">
        <f>VLOOKUP(H183,инфо!AD:AE,2,FALSE)</f>
        <v>Гарниры</v>
      </c>
      <c r="H183" s="586" t="s">
        <v>1199</v>
      </c>
      <c r="I183" s="588" t="s">
        <v>990</v>
      </c>
      <c r="J183" s="497"/>
      <c r="K183" s="498">
        <v>83</v>
      </c>
      <c r="L183" s="498"/>
      <c r="M183" s="498"/>
      <c r="N183" s="498"/>
      <c r="O183" s="498"/>
      <c r="P183" s="498"/>
      <c r="Q183" s="498"/>
      <c r="R183" s="498"/>
      <c r="S183" s="498"/>
      <c r="T183" s="498"/>
      <c r="U183" s="498"/>
      <c r="V183" s="498"/>
      <c r="W183" s="499"/>
      <c r="X183" s="499"/>
      <c r="Y183" s="499"/>
      <c r="Z183" s="499"/>
      <c r="AA183" s="499"/>
      <c r="AB183" s="499"/>
      <c r="AC183" s="499"/>
      <c r="AD183" s="499"/>
      <c r="AE183" s="499"/>
      <c r="AF183" s="499"/>
      <c r="AG183" s="499"/>
      <c r="AH183" s="499"/>
      <c r="AI183" s="499"/>
      <c r="AJ183" s="499"/>
      <c r="AK183" s="499"/>
      <c r="AL183" s="499"/>
      <c r="AM183" s="499"/>
      <c r="AN183" s="499"/>
      <c r="AO183" s="499"/>
      <c r="AP183" s="499"/>
      <c r="AQ183" s="499"/>
      <c r="AR183" s="499"/>
      <c r="AS183" s="499"/>
      <c r="AT183" s="499"/>
      <c r="AU183" s="499"/>
      <c r="AV183" s="499"/>
      <c r="AW183" s="499"/>
      <c r="AX183" s="499"/>
      <c r="AY183" s="499"/>
      <c r="AZ183" s="499"/>
      <c r="BA183" s="499"/>
      <c r="BB183" s="499"/>
      <c r="BC183" s="499"/>
      <c r="BD183" s="499"/>
      <c r="BE183" s="500"/>
      <c r="BF183" s="500"/>
      <c r="BG183" s="500"/>
      <c r="BH183" s="500"/>
      <c r="BI183" s="500"/>
      <c r="BJ183" s="500"/>
      <c r="BK183" s="500"/>
      <c r="BL183" s="500"/>
      <c r="BM183" s="500"/>
      <c r="BN183" s="501"/>
      <c r="BO183" s="501"/>
      <c r="BP183" s="501"/>
      <c r="BQ183" s="501"/>
      <c r="BR183" s="501"/>
      <c r="BS183" s="501"/>
      <c r="BT183" s="501"/>
      <c r="BU183" s="501"/>
      <c r="BV183" s="498"/>
      <c r="BW183" s="498"/>
      <c r="BX183" s="498"/>
      <c r="BY183" s="498"/>
      <c r="BZ183" s="498"/>
      <c r="CA183" s="498"/>
      <c r="CB183" s="498"/>
      <c r="CC183" s="502"/>
      <c r="CD183" s="502"/>
      <c r="CE183" s="502"/>
      <c r="CF183" s="502"/>
      <c r="CG183" s="502"/>
      <c r="CH183" s="502"/>
      <c r="CI183" s="502"/>
      <c r="CJ183" s="502"/>
      <c r="CK183" s="502"/>
      <c r="CL183" s="502"/>
      <c r="CM183" s="502"/>
      <c r="CN183" s="502"/>
      <c r="CO183" s="502"/>
      <c r="CP183" s="502"/>
      <c r="CQ183" s="502"/>
      <c r="CR183" s="502"/>
      <c r="CS183" s="503"/>
      <c r="CT183" s="503"/>
      <c r="CU183" s="503"/>
      <c r="CV183" s="503"/>
      <c r="CW183" s="503"/>
      <c r="CX183" s="503"/>
      <c r="CY183" s="503"/>
      <c r="CZ183" s="503"/>
      <c r="DA183" s="503"/>
      <c r="DB183" s="503"/>
      <c r="DC183" s="503"/>
      <c r="DD183" s="503"/>
      <c r="DE183" s="503"/>
      <c r="DF183" s="503"/>
      <c r="DG183" s="503"/>
      <c r="DH183" s="503"/>
      <c r="DI183" s="503"/>
      <c r="DJ183" s="503"/>
      <c r="DK183" s="503"/>
      <c r="DL183" s="503"/>
      <c r="DM183" s="503"/>
      <c r="DN183" s="945"/>
      <c r="DO183" s="504"/>
      <c r="DP183" s="504">
        <v>1.5</v>
      </c>
      <c r="DQ183" s="505"/>
      <c r="DR183" s="505"/>
      <c r="DS183" s="500"/>
      <c r="DT183" s="500"/>
      <c r="DU183" s="500"/>
      <c r="DV183" s="500"/>
      <c r="DW183" s="500"/>
      <c r="DX183" s="500"/>
      <c r="DY183" s="500"/>
      <c r="DZ183" s="500"/>
      <c r="EA183" s="500">
        <v>124.5</v>
      </c>
      <c r="EB183" s="500"/>
      <c r="EC183" s="500"/>
      <c r="ED183" s="500"/>
      <c r="EE183" s="500"/>
      <c r="EF183" s="500"/>
      <c r="EG183" s="500"/>
      <c r="EH183" s="500"/>
      <c r="EI183" s="500"/>
      <c r="EJ183" s="500"/>
      <c r="EK183" s="500"/>
      <c r="EL183" s="500"/>
      <c r="EM183" s="500"/>
      <c r="EN183" s="500"/>
      <c r="EO183" s="500"/>
      <c r="EP183" s="500"/>
      <c r="EQ183" s="500"/>
      <c r="ER183" s="500"/>
      <c r="ES183" s="500"/>
      <c r="ET183" s="500"/>
      <c r="EU183" s="500"/>
      <c r="EV183" s="500"/>
      <c r="EW183" s="500"/>
      <c r="EX183" s="500"/>
      <c r="EY183" s="500"/>
      <c r="EZ183" s="500"/>
      <c r="FA183" s="364">
        <v>415</v>
      </c>
      <c r="FB183" s="365">
        <v>174</v>
      </c>
      <c r="FC183" s="365"/>
      <c r="FD183" s="367">
        <f t="shared" si="409"/>
        <v>0</v>
      </c>
      <c r="FE183" s="790"/>
    </row>
    <row r="184" spans="2:164" ht="26.1" customHeight="1" outlineLevel="1" thickBot="1" x14ac:dyDescent="0.3">
      <c r="B184" s="1018"/>
      <c r="C184" s="1020"/>
      <c r="D184" s="1058"/>
      <c r="E184" s="1064"/>
      <c r="F184" s="843" t="s">
        <v>117</v>
      </c>
      <c r="G184" s="809" t="str">
        <f>VLOOKUP(H184,инфо!AD:AE,2,FALSE)</f>
        <v>Мясные (рыбные) блюда с соусом</v>
      </c>
      <c r="H184" s="584" t="s">
        <v>1208</v>
      </c>
      <c r="I184" s="589" t="s">
        <v>771</v>
      </c>
      <c r="J184" s="479"/>
      <c r="K184" s="480"/>
      <c r="L184" s="480"/>
      <c r="M184" s="480"/>
      <c r="N184" s="480"/>
      <c r="O184" s="480"/>
      <c r="P184" s="480"/>
      <c r="Q184" s="480"/>
      <c r="R184" s="480"/>
      <c r="S184" s="480"/>
      <c r="T184" s="480"/>
      <c r="U184" s="480"/>
      <c r="V184" s="480"/>
      <c r="W184" s="481"/>
      <c r="X184" s="481">
        <v>7</v>
      </c>
      <c r="Y184" s="481"/>
      <c r="Z184" s="481"/>
      <c r="AA184" s="481"/>
      <c r="AB184" s="481"/>
      <c r="AC184" s="481"/>
      <c r="AD184" s="481"/>
      <c r="AE184" s="481"/>
      <c r="AF184" s="481"/>
      <c r="AG184" s="481"/>
      <c r="AH184" s="481"/>
      <c r="AI184" s="481"/>
      <c r="AJ184" s="481"/>
      <c r="AK184" s="481"/>
      <c r="AL184" s="481"/>
      <c r="AM184" s="481"/>
      <c r="AN184" s="481"/>
      <c r="AO184" s="481"/>
      <c r="AP184" s="481"/>
      <c r="AQ184" s="481"/>
      <c r="AR184" s="481"/>
      <c r="AS184" s="481"/>
      <c r="AT184" s="481"/>
      <c r="AU184" s="481"/>
      <c r="AV184" s="481"/>
      <c r="AW184" s="481"/>
      <c r="AX184" s="481"/>
      <c r="AY184" s="481"/>
      <c r="AZ184" s="481"/>
      <c r="BA184" s="481"/>
      <c r="BB184" s="481"/>
      <c r="BC184" s="481"/>
      <c r="BD184" s="481"/>
      <c r="BE184" s="482"/>
      <c r="BF184" s="482"/>
      <c r="BG184" s="482"/>
      <c r="BH184" s="482"/>
      <c r="BI184" s="482"/>
      <c r="BJ184" s="482"/>
      <c r="BK184" s="482"/>
      <c r="BL184" s="482"/>
      <c r="BM184" s="482"/>
      <c r="BN184" s="483"/>
      <c r="BO184" s="483">
        <v>5</v>
      </c>
      <c r="BP184" s="483"/>
      <c r="BQ184" s="483"/>
      <c r="BR184" s="483"/>
      <c r="BS184" s="483"/>
      <c r="BT184" s="483"/>
      <c r="BU184" s="483"/>
      <c r="BV184" s="480"/>
      <c r="BW184" s="480"/>
      <c r="BX184" s="480"/>
      <c r="BY184" s="480"/>
      <c r="BZ184" s="480"/>
      <c r="CA184" s="480"/>
      <c r="CB184" s="480"/>
      <c r="CC184" s="484"/>
      <c r="CD184" s="484"/>
      <c r="CE184" s="484"/>
      <c r="CF184" s="484"/>
      <c r="CG184" s="484"/>
      <c r="CH184" s="484"/>
      <c r="CI184" s="484"/>
      <c r="CJ184" s="484"/>
      <c r="CK184" s="484"/>
      <c r="CL184" s="484"/>
      <c r="CM184" s="484"/>
      <c r="CN184" s="484"/>
      <c r="CO184" s="484"/>
      <c r="CP184" s="484"/>
      <c r="CQ184" s="484"/>
      <c r="CR184" s="484"/>
      <c r="CS184" s="485"/>
      <c r="CT184" s="485"/>
      <c r="CU184" s="485"/>
      <c r="CV184" s="485"/>
      <c r="CW184" s="485"/>
      <c r="CX184" s="485"/>
      <c r="CY184" s="485">
        <v>120</v>
      </c>
      <c r="CZ184" s="485"/>
      <c r="DA184" s="485"/>
      <c r="DB184" s="485"/>
      <c r="DC184" s="485"/>
      <c r="DD184" s="485"/>
      <c r="DE184" s="485"/>
      <c r="DF184" s="485"/>
      <c r="DG184" s="485"/>
      <c r="DH184" s="485"/>
      <c r="DI184" s="485"/>
      <c r="DJ184" s="485"/>
      <c r="DK184" s="485"/>
      <c r="DL184" s="485"/>
      <c r="DM184" s="485"/>
      <c r="DN184" s="943"/>
      <c r="DO184" s="486"/>
      <c r="DP184" s="486">
        <v>2</v>
      </c>
      <c r="DQ184" s="487"/>
      <c r="DR184" s="487">
        <v>0.01</v>
      </c>
      <c r="DS184" s="482"/>
      <c r="DT184" s="482"/>
      <c r="DU184" s="482"/>
      <c r="DV184" s="482"/>
      <c r="DW184" s="482"/>
      <c r="DX184" s="482"/>
      <c r="DY184" s="482"/>
      <c r="DZ184" s="482"/>
      <c r="EA184" s="482"/>
      <c r="EB184" s="482"/>
      <c r="EC184" s="482"/>
      <c r="ED184" s="482"/>
      <c r="EE184" s="482"/>
      <c r="EF184" s="482"/>
      <c r="EG184" s="482"/>
      <c r="EH184" s="482"/>
      <c r="EI184" s="482"/>
      <c r="EJ184" s="482"/>
      <c r="EK184" s="482"/>
      <c r="EL184" s="482"/>
      <c r="EM184" s="482"/>
      <c r="EN184" s="482"/>
      <c r="EO184" s="482"/>
      <c r="EP184" s="482"/>
      <c r="EQ184" s="482"/>
      <c r="ER184" s="482"/>
      <c r="ES184" s="482"/>
      <c r="ET184" s="482"/>
      <c r="EU184" s="482"/>
      <c r="EV184" s="482"/>
      <c r="EW184" s="482"/>
      <c r="EX184" s="482"/>
      <c r="EY184" s="482"/>
      <c r="EZ184" s="482"/>
      <c r="FA184" s="377"/>
      <c r="FB184" s="378">
        <v>92</v>
      </c>
      <c r="FC184" s="378">
        <v>92.4</v>
      </c>
      <c r="FD184" s="379">
        <f t="shared" si="409"/>
        <v>0</v>
      </c>
      <c r="FE184" s="790"/>
    </row>
    <row r="185" spans="2:164" ht="26.1" customHeight="1" outlineLevel="1" thickBot="1" x14ac:dyDescent="0.3">
      <c r="B185" s="1018"/>
      <c r="C185" s="1020"/>
      <c r="D185" s="1058"/>
      <c r="E185" s="1064"/>
      <c r="F185" s="843" t="s">
        <v>117</v>
      </c>
      <c r="G185" s="809" t="str">
        <f>VLOOKUP(H185,инфо!AD:AE,2,FALSE)</f>
        <v>Прочее</v>
      </c>
      <c r="H185" s="584" t="s">
        <v>1197</v>
      </c>
      <c r="I185" s="589" t="s">
        <v>50</v>
      </c>
      <c r="J185" s="479"/>
      <c r="K185" s="480"/>
      <c r="L185" s="480"/>
      <c r="M185" s="480"/>
      <c r="N185" s="480"/>
      <c r="O185" s="480"/>
      <c r="P185" s="480"/>
      <c r="Q185" s="480"/>
      <c r="R185" s="480"/>
      <c r="S185" s="480"/>
      <c r="T185" s="480"/>
      <c r="U185" s="480"/>
      <c r="V185" s="480"/>
      <c r="W185" s="481"/>
      <c r="X185" s="481"/>
      <c r="Y185" s="481"/>
      <c r="Z185" s="481">
        <v>50</v>
      </c>
      <c r="AA185" s="481">
        <v>100</v>
      </c>
      <c r="AB185" s="481"/>
      <c r="AC185" s="481"/>
      <c r="AD185" s="481"/>
      <c r="AE185" s="481"/>
      <c r="AF185" s="481"/>
      <c r="AG185" s="481"/>
      <c r="AH185" s="481"/>
      <c r="AI185" s="481"/>
      <c r="AJ185" s="481"/>
      <c r="AK185" s="481"/>
      <c r="AL185" s="481"/>
      <c r="AM185" s="481"/>
      <c r="AN185" s="481"/>
      <c r="AO185" s="481"/>
      <c r="AP185" s="481"/>
      <c r="AQ185" s="481"/>
      <c r="AR185" s="481"/>
      <c r="AS185" s="481"/>
      <c r="AT185" s="481"/>
      <c r="AU185" s="481"/>
      <c r="AV185" s="481"/>
      <c r="AW185" s="481"/>
      <c r="AX185" s="481"/>
      <c r="AY185" s="481"/>
      <c r="AZ185" s="481"/>
      <c r="BA185" s="481"/>
      <c r="BB185" s="481"/>
      <c r="BC185" s="481"/>
      <c r="BD185" s="481"/>
      <c r="BE185" s="482"/>
      <c r="BF185" s="482"/>
      <c r="BG185" s="482"/>
      <c r="BH185" s="482"/>
      <c r="BI185" s="482"/>
      <c r="BJ185" s="482"/>
      <c r="BK185" s="482"/>
      <c r="BL185" s="482"/>
      <c r="BM185" s="482"/>
      <c r="BN185" s="483"/>
      <c r="BO185" s="483"/>
      <c r="BP185" s="483"/>
      <c r="BQ185" s="483"/>
      <c r="BR185" s="483"/>
      <c r="BS185" s="483"/>
      <c r="BT185" s="483"/>
      <c r="BU185" s="483"/>
      <c r="BV185" s="480"/>
      <c r="BW185" s="480"/>
      <c r="BX185" s="480"/>
      <c r="BY185" s="480"/>
      <c r="BZ185" s="480"/>
      <c r="CA185" s="480"/>
      <c r="CB185" s="480"/>
      <c r="CC185" s="484"/>
      <c r="CD185" s="484"/>
      <c r="CE185" s="484"/>
      <c r="CF185" s="484"/>
      <c r="CG185" s="484"/>
      <c r="CH185" s="484"/>
      <c r="CI185" s="484"/>
      <c r="CJ185" s="484"/>
      <c r="CK185" s="484"/>
      <c r="CL185" s="484"/>
      <c r="CM185" s="484"/>
      <c r="CN185" s="484"/>
      <c r="CO185" s="484"/>
      <c r="CP185" s="484"/>
      <c r="CQ185" s="484"/>
      <c r="CR185" s="484"/>
      <c r="CS185" s="485"/>
      <c r="CT185" s="485"/>
      <c r="CU185" s="485"/>
      <c r="CV185" s="485"/>
      <c r="CW185" s="485"/>
      <c r="CX185" s="485"/>
      <c r="CY185" s="485"/>
      <c r="CZ185" s="485"/>
      <c r="DA185" s="485"/>
      <c r="DB185" s="485"/>
      <c r="DC185" s="485"/>
      <c r="DD185" s="485"/>
      <c r="DE185" s="485"/>
      <c r="DF185" s="485"/>
      <c r="DG185" s="485"/>
      <c r="DH185" s="485"/>
      <c r="DI185" s="485"/>
      <c r="DJ185" s="485"/>
      <c r="DK185" s="485"/>
      <c r="DL185" s="485"/>
      <c r="DM185" s="485"/>
      <c r="DN185" s="943"/>
      <c r="DO185" s="486"/>
      <c r="DP185" s="486"/>
      <c r="DQ185" s="487"/>
      <c r="DR185" s="487"/>
      <c r="DS185" s="482"/>
      <c r="DT185" s="482"/>
      <c r="DU185" s="482"/>
      <c r="DV185" s="482"/>
      <c r="DW185" s="482"/>
      <c r="DX185" s="482"/>
      <c r="DY185" s="482"/>
      <c r="DZ185" s="482"/>
      <c r="EA185" s="482"/>
      <c r="EB185" s="482"/>
      <c r="EC185" s="482"/>
      <c r="ED185" s="482"/>
      <c r="EE185" s="482"/>
      <c r="EF185" s="482"/>
      <c r="EG185" s="482"/>
      <c r="EH185" s="482"/>
      <c r="EI185" s="482"/>
      <c r="EJ185" s="482"/>
      <c r="EK185" s="482"/>
      <c r="EL185" s="482"/>
      <c r="EM185" s="482"/>
      <c r="EN185" s="482"/>
      <c r="EO185" s="482"/>
      <c r="EP185" s="482"/>
      <c r="EQ185" s="482"/>
      <c r="ER185" s="482"/>
      <c r="ES185" s="482"/>
      <c r="ET185" s="482"/>
      <c r="EU185" s="482"/>
      <c r="EV185" s="482"/>
      <c r="EW185" s="482"/>
      <c r="EX185" s="482"/>
      <c r="EY185" s="482"/>
      <c r="EZ185" s="482"/>
      <c r="FA185" s="377"/>
      <c r="FB185" s="378">
        <v>150</v>
      </c>
      <c r="FC185" s="378"/>
      <c r="FD185" s="379">
        <f t="shared" si="409"/>
        <v>0</v>
      </c>
      <c r="FE185" s="790"/>
    </row>
    <row r="186" spans="2:164" ht="26.1" customHeight="1" outlineLevel="1" thickBot="1" x14ac:dyDescent="0.3">
      <c r="B186" s="1018"/>
      <c r="C186" s="1020"/>
      <c r="D186" s="1058"/>
      <c r="E186" s="1064"/>
      <c r="F186" s="845" t="s">
        <v>117</v>
      </c>
      <c r="G186" s="811" t="str">
        <f>VLOOKUP(H186,инфо!AD:AE,2,FALSE)</f>
        <v>Прочее</v>
      </c>
      <c r="H186" s="587" t="s">
        <v>1197</v>
      </c>
      <c r="I186" s="573"/>
      <c r="J186" s="506"/>
      <c r="K186" s="507"/>
      <c r="L186" s="507"/>
      <c r="M186" s="507"/>
      <c r="N186" s="507"/>
      <c r="O186" s="507"/>
      <c r="P186" s="507"/>
      <c r="Q186" s="507"/>
      <c r="R186" s="507"/>
      <c r="S186" s="507"/>
      <c r="T186" s="507"/>
      <c r="U186" s="507"/>
      <c r="V186" s="507"/>
      <c r="W186" s="508"/>
      <c r="X186" s="508"/>
      <c r="Y186" s="508"/>
      <c r="Z186" s="508"/>
      <c r="AA186" s="508"/>
      <c r="AB186" s="508"/>
      <c r="AC186" s="508"/>
      <c r="AD186" s="508"/>
      <c r="AE186" s="508"/>
      <c r="AF186" s="508"/>
      <c r="AG186" s="508"/>
      <c r="AH186" s="508"/>
      <c r="AI186" s="508"/>
      <c r="AJ186" s="508"/>
      <c r="AK186" s="508"/>
      <c r="AL186" s="508"/>
      <c r="AM186" s="508"/>
      <c r="AN186" s="508"/>
      <c r="AO186" s="508"/>
      <c r="AP186" s="508"/>
      <c r="AQ186" s="508"/>
      <c r="AR186" s="508"/>
      <c r="AS186" s="508"/>
      <c r="AT186" s="508"/>
      <c r="AU186" s="508"/>
      <c r="AV186" s="508"/>
      <c r="AW186" s="508"/>
      <c r="AX186" s="508"/>
      <c r="AY186" s="508"/>
      <c r="AZ186" s="508"/>
      <c r="BA186" s="508"/>
      <c r="BB186" s="508"/>
      <c r="BC186" s="508"/>
      <c r="BD186" s="508"/>
      <c r="BE186" s="509"/>
      <c r="BF186" s="509"/>
      <c r="BG186" s="509"/>
      <c r="BH186" s="509"/>
      <c r="BI186" s="509"/>
      <c r="BJ186" s="509"/>
      <c r="BK186" s="509"/>
      <c r="BL186" s="509"/>
      <c r="BM186" s="509"/>
      <c r="BN186" s="510"/>
      <c r="BO186" s="510"/>
      <c r="BP186" s="510"/>
      <c r="BQ186" s="510"/>
      <c r="BR186" s="510"/>
      <c r="BS186" s="510"/>
      <c r="BT186" s="510"/>
      <c r="BU186" s="510"/>
      <c r="BV186" s="507"/>
      <c r="BW186" s="507"/>
      <c r="BX186" s="507"/>
      <c r="BY186" s="507"/>
      <c r="BZ186" s="507"/>
      <c r="CA186" s="507"/>
      <c r="CB186" s="507"/>
      <c r="CC186" s="511"/>
      <c r="CD186" s="511"/>
      <c r="CE186" s="511"/>
      <c r="CF186" s="511"/>
      <c r="CG186" s="511"/>
      <c r="CH186" s="511"/>
      <c r="CI186" s="511"/>
      <c r="CJ186" s="511"/>
      <c r="CK186" s="511"/>
      <c r="CL186" s="511"/>
      <c r="CM186" s="511"/>
      <c r="CN186" s="511"/>
      <c r="CO186" s="511"/>
      <c r="CP186" s="511"/>
      <c r="CQ186" s="511"/>
      <c r="CR186" s="511"/>
      <c r="CS186" s="512"/>
      <c r="CT186" s="512"/>
      <c r="CU186" s="512"/>
      <c r="CV186" s="512"/>
      <c r="CW186" s="512"/>
      <c r="CX186" s="512"/>
      <c r="CY186" s="512"/>
      <c r="CZ186" s="512"/>
      <c r="DA186" s="512"/>
      <c r="DB186" s="512"/>
      <c r="DC186" s="512"/>
      <c r="DD186" s="512"/>
      <c r="DE186" s="512"/>
      <c r="DF186" s="512"/>
      <c r="DG186" s="512"/>
      <c r="DH186" s="512"/>
      <c r="DI186" s="512"/>
      <c r="DJ186" s="512"/>
      <c r="DK186" s="512"/>
      <c r="DL186" s="512"/>
      <c r="DM186" s="512"/>
      <c r="DN186" s="946"/>
      <c r="DO186" s="513"/>
      <c r="DP186" s="513"/>
      <c r="DQ186" s="514"/>
      <c r="DR186" s="514"/>
      <c r="DS186" s="509"/>
      <c r="DT186" s="509"/>
      <c r="DU186" s="509"/>
      <c r="DV186" s="509"/>
      <c r="DW186" s="509"/>
      <c r="DX186" s="509"/>
      <c r="DY186" s="509"/>
      <c r="DZ186" s="509"/>
      <c r="EA186" s="509"/>
      <c r="EB186" s="509"/>
      <c r="EC186" s="509"/>
      <c r="ED186" s="509"/>
      <c r="EE186" s="509"/>
      <c r="EF186" s="509"/>
      <c r="EG186" s="509"/>
      <c r="EH186" s="509"/>
      <c r="EI186" s="509"/>
      <c r="EJ186" s="509"/>
      <c r="EK186" s="509"/>
      <c r="EL186" s="509"/>
      <c r="EM186" s="509"/>
      <c r="EN186" s="509"/>
      <c r="EO186" s="509"/>
      <c r="EP186" s="509"/>
      <c r="EQ186" s="509"/>
      <c r="ER186" s="509"/>
      <c r="ES186" s="509"/>
      <c r="ET186" s="509"/>
      <c r="EU186" s="509"/>
      <c r="EV186" s="509"/>
      <c r="EW186" s="509"/>
      <c r="EX186" s="509"/>
      <c r="EY186" s="509"/>
      <c r="EZ186" s="509"/>
      <c r="FA186" s="402"/>
      <c r="FB186" s="403"/>
      <c r="FC186" s="403"/>
      <c r="FD186" s="404">
        <f t="shared" si="409"/>
        <v>0</v>
      </c>
      <c r="FE186" s="790"/>
    </row>
    <row r="187" spans="2:164" ht="26.1" customHeight="1" outlineLevel="1" thickBot="1" x14ac:dyDescent="0.3">
      <c r="B187" s="1018"/>
      <c r="C187" s="1020"/>
      <c r="D187" s="1058"/>
      <c r="E187" s="1063" t="s">
        <v>116</v>
      </c>
      <c r="F187" s="846" t="s">
        <v>117</v>
      </c>
      <c r="G187" s="812" t="str">
        <f>VLOOKUP(H187,инфо!AD:AE,2,FALSE)</f>
        <v>Прочее</v>
      </c>
      <c r="H187" s="583" t="s">
        <v>1197</v>
      </c>
      <c r="I187" s="588" t="s">
        <v>60</v>
      </c>
      <c r="J187" s="470"/>
      <c r="K187" s="471"/>
      <c r="L187" s="471"/>
      <c r="M187" s="471"/>
      <c r="N187" s="471"/>
      <c r="O187" s="471"/>
      <c r="P187" s="471"/>
      <c r="Q187" s="471"/>
      <c r="R187" s="471"/>
      <c r="S187" s="471"/>
      <c r="T187" s="471"/>
      <c r="U187" s="471"/>
      <c r="V187" s="471"/>
      <c r="W187" s="472"/>
      <c r="X187" s="472"/>
      <c r="Y187" s="472"/>
      <c r="Z187" s="472"/>
      <c r="AA187" s="472"/>
      <c r="AB187" s="472"/>
      <c r="AC187" s="472"/>
      <c r="AD187" s="472"/>
      <c r="AE187" s="472"/>
      <c r="AF187" s="472"/>
      <c r="AG187" s="472"/>
      <c r="AH187" s="472"/>
      <c r="AI187" s="472"/>
      <c r="AJ187" s="472"/>
      <c r="AK187" s="472"/>
      <c r="AL187" s="472"/>
      <c r="AM187" s="472"/>
      <c r="AN187" s="472"/>
      <c r="AO187" s="472"/>
      <c r="AP187" s="472"/>
      <c r="AQ187" s="472"/>
      <c r="AR187" s="472"/>
      <c r="AS187" s="472"/>
      <c r="AT187" s="472"/>
      <c r="AU187" s="472"/>
      <c r="AV187" s="472"/>
      <c r="AW187" s="472"/>
      <c r="AX187" s="472"/>
      <c r="AY187" s="472"/>
      <c r="AZ187" s="472"/>
      <c r="BA187" s="472"/>
      <c r="BB187" s="472"/>
      <c r="BC187" s="472"/>
      <c r="BD187" s="472"/>
      <c r="BE187" s="473"/>
      <c r="BF187" s="473"/>
      <c r="BG187" s="473"/>
      <c r="BH187" s="473"/>
      <c r="BI187" s="473"/>
      <c r="BJ187" s="473"/>
      <c r="BK187" s="473"/>
      <c r="BL187" s="473"/>
      <c r="BM187" s="473"/>
      <c r="BN187" s="474">
        <v>15</v>
      </c>
      <c r="BO187" s="474"/>
      <c r="BP187" s="474"/>
      <c r="BQ187" s="474"/>
      <c r="BR187" s="474"/>
      <c r="BS187" s="474"/>
      <c r="BT187" s="474"/>
      <c r="BU187" s="474"/>
      <c r="BV187" s="471"/>
      <c r="BW187" s="471"/>
      <c r="BX187" s="471"/>
      <c r="BY187" s="471"/>
      <c r="BZ187" s="471"/>
      <c r="CA187" s="471"/>
      <c r="CB187" s="471"/>
      <c r="CC187" s="475"/>
      <c r="CD187" s="475"/>
      <c r="CE187" s="475"/>
      <c r="CF187" s="475"/>
      <c r="CG187" s="475"/>
      <c r="CH187" s="475"/>
      <c r="CI187" s="475"/>
      <c r="CJ187" s="475"/>
      <c r="CK187" s="475"/>
      <c r="CL187" s="475"/>
      <c r="CM187" s="475"/>
      <c r="CN187" s="475"/>
      <c r="CO187" s="475"/>
      <c r="CP187" s="475"/>
      <c r="CQ187" s="475"/>
      <c r="CR187" s="475"/>
      <c r="CS187" s="476"/>
      <c r="CT187" s="476"/>
      <c r="CU187" s="476"/>
      <c r="CV187" s="476"/>
      <c r="CW187" s="476"/>
      <c r="CX187" s="476"/>
      <c r="CY187" s="476"/>
      <c r="CZ187" s="476"/>
      <c r="DA187" s="476"/>
      <c r="DB187" s="476"/>
      <c r="DC187" s="476"/>
      <c r="DD187" s="476"/>
      <c r="DE187" s="476"/>
      <c r="DF187" s="476"/>
      <c r="DG187" s="476"/>
      <c r="DH187" s="476"/>
      <c r="DI187" s="476"/>
      <c r="DJ187" s="476"/>
      <c r="DK187" s="476"/>
      <c r="DL187" s="476"/>
      <c r="DM187" s="476"/>
      <c r="DN187" s="942"/>
      <c r="DO187" s="477"/>
      <c r="DP187" s="477"/>
      <c r="DQ187" s="478"/>
      <c r="DR187" s="478"/>
      <c r="DS187" s="473"/>
      <c r="DT187" s="473"/>
      <c r="DU187" s="473"/>
      <c r="DV187" s="473"/>
      <c r="DW187" s="473"/>
      <c r="DX187" s="473"/>
      <c r="DY187" s="473"/>
      <c r="DZ187" s="473"/>
      <c r="EA187" s="473"/>
      <c r="EB187" s="473"/>
      <c r="EC187" s="473"/>
      <c r="ED187" s="473"/>
      <c r="EE187" s="473"/>
      <c r="EF187" s="473"/>
      <c r="EG187" s="473"/>
      <c r="EH187" s="473"/>
      <c r="EI187" s="473"/>
      <c r="EJ187" s="473"/>
      <c r="EK187" s="473"/>
      <c r="EL187" s="473"/>
      <c r="EM187" s="473"/>
      <c r="EN187" s="473"/>
      <c r="EO187" s="473"/>
      <c r="EP187" s="473"/>
      <c r="EQ187" s="473"/>
      <c r="ER187" s="473"/>
      <c r="ES187" s="473"/>
      <c r="ET187" s="473"/>
      <c r="EU187" s="473"/>
      <c r="EV187" s="473"/>
      <c r="EW187" s="473"/>
      <c r="EX187" s="473"/>
      <c r="EY187" s="473"/>
      <c r="EZ187" s="473"/>
      <c r="FA187" s="415"/>
      <c r="FB187" s="416">
        <v>15</v>
      </c>
      <c r="FC187" s="416"/>
      <c r="FD187" s="417">
        <f t="shared" si="409"/>
        <v>0</v>
      </c>
      <c r="FE187" s="790"/>
    </row>
    <row r="188" spans="2:164" ht="26.1" customHeight="1" outlineLevel="1" thickBot="1" x14ac:dyDescent="0.3">
      <c r="B188" s="1018"/>
      <c r="C188" s="1020"/>
      <c r="D188" s="1058"/>
      <c r="E188" s="1064"/>
      <c r="F188" s="843" t="s">
        <v>117</v>
      </c>
      <c r="G188" s="809" t="str">
        <f>VLOOKUP(H188,инфо!AD:AE,2,FALSE)</f>
        <v>Напитки</v>
      </c>
      <c r="H188" s="584" t="s">
        <v>1195</v>
      </c>
      <c r="I188" s="589" t="s">
        <v>75</v>
      </c>
      <c r="J188" s="479"/>
      <c r="K188" s="480"/>
      <c r="L188" s="480"/>
      <c r="M188" s="480"/>
      <c r="N188" s="480"/>
      <c r="O188" s="480"/>
      <c r="P188" s="480"/>
      <c r="Q188" s="480"/>
      <c r="R188" s="480"/>
      <c r="S188" s="480"/>
      <c r="T188" s="480"/>
      <c r="U188" s="480"/>
      <c r="V188" s="480"/>
      <c r="W188" s="481"/>
      <c r="X188" s="481"/>
      <c r="Y188" s="481"/>
      <c r="Z188" s="481"/>
      <c r="AA188" s="481"/>
      <c r="AB188" s="481"/>
      <c r="AC188" s="481"/>
      <c r="AD188" s="481"/>
      <c r="AE188" s="481"/>
      <c r="AF188" s="481"/>
      <c r="AG188" s="481"/>
      <c r="AH188" s="481"/>
      <c r="AI188" s="481"/>
      <c r="AJ188" s="481"/>
      <c r="AK188" s="481"/>
      <c r="AL188" s="481"/>
      <c r="AM188" s="481"/>
      <c r="AN188" s="481"/>
      <c r="AO188" s="481"/>
      <c r="AP188" s="481"/>
      <c r="AQ188" s="481"/>
      <c r="AR188" s="481"/>
      <c r="AS188" s="481"/>
      <c r="AT188" s="481"/>
      <c r="AU188" s="481"/>
      <c r="AV188" s="481"/>
      <c r="AW188" s="481"/>
      <c r="AX188" s="481"/>
      <c r="AY188" s="481"/>
      <c r="AZ188" s="481"/>
      <c r="BA188" s="481"/>
      <c r="BB188" s="481"/>
      <c r="BC188" s="481"/>
      <c r="BD188" s="481"/>
      <c r="BE188" s="482"/>
      <c r="BF188" s="482"/>
      <c r="BG188" s="482"/>
      <c r="BH188" s="482"/>
      <c r="BI188" s="482"/>
      <c r="BJ188" s="482"/>
      <c r="BK188" s="482"/>
      <c r="BL188" s="482"/>
      <c r="BM188" s="482"/>
      <c r="BN188" s="483"/>
      <c r="BO188" s="483"/>
      <c r="BP188" s="483"/>
      <c r="BQ188" s="483"/>
      <c r="BR188" s="483"/>
      <c r="BS188" s="483"/>
      <c r="BT188" s="483"/>
      <c r="BU188" s="483"/>
      <c r="BV188" s="480"/>
      <c r="BW188" s="480"/>
      <c r="BX188" s="480"/>
      <c r="BY188" s="480"/>
      <c r="BZ188" s="480"/>
      <c r="CA188" s="480"/>
      <c r="CB188" s="480"/>
      <c r="CC188" s="484"/>
      <c r="CD188" s="484"/>
      <c r="CE188" s="484"/>
      <c r="CF188" s="484"/>
      <c r="CG188" s="484"/>
      <c r="CH188" s="484"/>
      <c r="CI188" s="484"/>
      <c r="CJ188" s="484"/>
      <c r="CK188" s="484"/>
      <c r="CL188" s="484"/>
      <c r="CM188" s="484"/>
      <c r="CN188" s="484"/>
      <c r="CO188" s="484"/>
      <c r="CP188" s="484"/>
      <c r="CQ188" s="484"/>
      <c r="CR188" s="484"/>
      <c r="CS188" s="485"/>
      <c r="CT188" s="485"/>
      <c r="CU188" s="485"/>
      <c r="CV188" s="485"/>
      <c r="CW188" s="485"/>
      <c r="CX188" s="485"/>
      <c r="CY188" s="485"/>
      <c r="CZ188" s="485"/>
      <c r="DA188" s="485"/>
      <c r="DB188" s="485"/>
      <c r="DC188" s="485"/>
      <c r="DD188" s="485"/>
      <c r="DE188" s="485"/>
      <c r="DF188" s="485"/>
      <c r="DG188" s="485"/>
      <c r="DH188" s="485"/>
      <c r="DI188" s="485"/>
      <c r="DJ188" s="485"/>
      <c r="DK188" s="485"/>
      <c r="DL188" s="485"/>
      <c r="DM188" s="485"/>
      <c r="DN188" s="943"/>
      <c r="DO188" s="486"/>
      <c r="DP188" s="486"/>
      <c r="DQ188" s="487"/>
      <c r="DR188" s="487"/>
      <c r="DS188" s="482"/>
      <c r="DT188" s="482"/>
      <c r="DU188" s="482"/>
      <c r="DV188" s="482"/>
      <c r="DW188" s="482"/>
      <c r="DX188" s="482"/>
      <c r="DY188" s="482"/>
      <c r="DZ188" s="482"/>
      <c r="EA188" s="482"/>
      <c r="EB188" s="482"/>
      <c r="EC188" s="482">
        <v>200</v>
      </c>
      <c r="ED188" s="482"/>
      <c r="EE188" s="482"/>
      <c r="EF188" s="482"/>
      <c r="EG188" s="482"/>
      <c r="EH188" s="482"/>
      <c r="EI188" s="482"/>
      <c r="EJ188" s="482"/>
      <c r="EK188" s="482"/>
      <c r="EL188" s="482"/>
      <c r="EM188" s="482"/>
      <c r="EN188" s="482"/>
      <c r="EO188" s="482"/>
      <c r="EP188" s="482"/>
      <c r="EQ188" s="482"/>
      <c r="ER188" s="482"/>
      <c r="ES188" s="482"/>
      <c r="ET188" s="482"/>
      <c r="EU188" s="482"/>
      <c r="EV188" s="482"/>
      <c r="EW188" s="482"/>
      <c r="EX188" s="482"/>
      <c r="EY188" s="482"/>
      <c r="EZ188" s="482"/>
      <c r="FA188" s="377"/>
      <c r="FB188" s="378">
        <v>200</v>
      </c>
      <c r="FC188" s="378"/>
      <c r="FD188" s="379">
        <f t="shared" si="409"/>
        <v>0</v>
      </c>
      <c r="FE188" s="790"/>
    </row>
    <row r="189" spans="2:164" ht="26.1" customHeight="1" outlineLevel="1" thickBot="1" x14ac:dyDescent="0.3">
      <c r="B189" s="1018"/>
      <c r="C189" s="1020"/>
      <c r="D189" s="1058"/>
      <c r="E189" s="1064"/>
      <c r="F189" s="843" t="s">
        <v>117</v>
      </c>
      <c r="G189" s="809" t="str">
        <f>VLOOKUP(H189,инфо!AD:AE,2,FALSE)</f>
        <v>Прочее</v>
      </c>
      <c r="H189" s="584" t="s">
        <v>1197</v>
      </c>
      <c r="I189" s="572"/>
      <c r="J189" s="479"/>
      <c r="K189" s="480"/>
      <c r="L189" s="480"/>
      <c r="M189" s="480"/>
      <c r="N189" s="480"/>
      <c r="O189" s="480"/>
      <c r="P189" s="480"/>
      <c r="Q189" s="480"/>
      <c r="R189" s="480"/>
      <c r="S189" s="480"/>
      <c r="T189" s="480"/>
      <c r="U189" s="480"/>
      <c r="V189" s="480"/>
      <c r="W189" s="481"/>
      <c r="X189" s="481"/>
      <c r="Y189" s="481"/>
      <c r="Z189" s="481"/>
      <c r="AA189" s="481"/>
      <c r="AB189" s="481"/>
      <c r="AC189" s="481"/>
      <c r="AD189" s="481"/>
      <c r="AE189" s="481"/>
      <c r="AF189" s="481"/>
      <c r="AG189" s="481"/>
      <c r="AH189" s="481"/>
      <c r="AI189" s="481"/>
      <c r="AJ189" s="481"/>
      <c r="AK189" s="481"/>
      <c r="AL189" s="481"/>
      <c r="AM189" s="481"/>
      <c r="AN189" s="481"/>
      <c r="AO189" s="481"/>
      <c r="AP189" s="481"/>
      <c r="AQ189" s="481"/>
      <c r="AR189" s="481"/>
      <c r="AS189" s="481"/>
      <c r="AT189" s="481"/>
      <c r="AU189" s="481"/>
      <c r="AV189" s="481"/>
      <c r="AW189" s="481"/>
      <c r="AX189" s="481"/>
      <c r="AY189" s="481"/>
      <c r="AZ189" s="481"/>
      <c r="BA189" s="481"/>
      <c r="BB189" s="481"/>
      <c r="BC189" s="481"/>
      <c r="BD189" s="481"/>
      <c r="BE189" s="482"/>
      <c r="BF189" s="482"/>
      <c r="BG189" s="482"/>
      <c r="BH189" s="482"/>
      <c r="BI189" s="482"/>
      <c r="BJ189" s="482"/>
      <c r="BK189" s="482"/>
      <c r="BL189" s="482"/>
      <c r="BM189" s="482"/>
      <c r="BN189" s="483"/>
      <c r="BO189" s="483"/>
      <c r="BP189" s="483"/>
      <c r="BQ189" s="483"/>
      <c r="BR189" s="483"/>
      <c r="BS189" s="483"/>
      <c r="BT189" s="483"/>
      <c r="BU189" s="483"/>
      <c r="BV189" s="480"/>
      <c r="BW189" s="480"/>
      <c r="BX189" s="480"/>
      <c r="BY189" s="480"/>
      <c r="BZ189" s="480"/>
      <c r="CA189" s="480"/>
      <c r="CB189" s="480"/>
      <c r="CC189" s="484"/>
      <c r="CD189" s="484"/>
      <c r="CE189" s="484"/>
      <c r="CF189" s="484"/>
      <c r="CG189" s="484"/>
      <c r="CH189" s="484"/>
      <c r="CI189" s="484"/>
      <c r="CJ189" s="484"/>
      <c r="CK189" s="484"/>
      <c r="CL189" s="484"/>
      <c r="CM189" s="484"/>
      <c r="CN189" s="484"/>
      <c r="CO189" s="484"/>
      <c r="CP189" s="484"/>
      <c r="CQ189" s="484"/>
      <c r="CR189" s="484"/>
      <c r="CS189" s="485"/>
      <c r="CT189" s="485"/>
      <c r="CU189" s="485"/>
      <c r="CV189" s="485"/>
      <c r="CW189" s="485"/>
      <c r="CX189" s="485"/>
      <c r="CY189" s="485"/>
      <c r="CZ189" s="485"/>
      <c r="DA189" s="485"/>
      <c r="DB189" s="485"/>
      <c r="DC189" s="485"/>
      <c r="DD189" s="485"/>
      <c r="DE189" s="485"/>
      <c r="DF189" s="485"/>
      <c r="DG189" s="485"/>
      <c r="DH189" s="485"/>
      <c r="DI189" s="485"/>
      <c r="DJ189" s="485"/>
      <c r="DK189" s="485"/>
      <c r="DL189" s="485"/>
      <c r="DM189" s="485"/>
      <c r="DN189" s="943"/>
      <c r="DO189" s="486"/>
      <c r="DP189" s="486"/>
      <c r="DQ189" s="487"/>
      <c r="DR189" s="487"/>
      <c r="DS189" s="482"/>
      <c r="DT189" s="482"/>
      <c r="DU189" s="482"/>
      <c r="DV189" s="482"/>
      <c r="DW189" s="482"/>
      <c r="DX189" s="482"/>
      <c r="DY189" s="482"/>
      <c r="DZ189" s="482"/>
      <c r="EA189" s="482"/>
      <c r="EB189" s="482"/>
      <c r="EC189" s="482"/>
      <c r="ED189" s="482"/>
      <c r="EE189" s="482"/>
      <c r="EF189" s="482"/>
      <c r="EG189" s="482"/>
      <c r="EH189" s="482"/>
      <c r="EI189" s="482"/>
      <c r="EJ189" s="482"/>
      <c r="EK189" s="482"/>
      <c r="EL189" s="482"/>
      <c r="EM189" s="482"/>
      <c r="EN189" s="482"/>
      <c r="EO189" s="482"/>
      <c r="EP189" s="482"/>
      <c r="EQ189" s="482"/>
      <c r="ER189" s="482"/>
      <c r="ES189" s="482"/>
      <c r="ET189" s="482"/>
      <c r="EU189" s="482"/>
      <c r="EV189" s="482"/>
      <c r="EW189" s="482"/>
      <c r="EX189" s="482"/>
      <c r="EY189" s="482"/>
      <c r="EZ189" s="482"/>
      <c r="FA189" s="377"/>
      <c r="FB189" s="378"/>
      <c r="FC189" s="378"/>
      <c r="FD189" s="379">
        <f t="shared" si="409"/>
        <v>0</v>
      </c>
      <c r="FE189" s="790"/>
    </row>
    <row r="190" spans="2:164" ht="26.1" customHeight="1" outlineLevel="1" thickBot="1" x14ac:dyDescent="0.3">
      <c r="B190" s="1018"/>
      <c r="C190" s="1020"/>
      <c r="D190" s="1059"/>
      <c r="E190" s="1065"/>
      <c r="F190" s="845" t="s">
        <v>117</v>
      </c>
      <c r="G190" s="811" t="str">
        <f>VLOOKUP(H190,инфо!AD:AE,2,FALSE)</f>
        <v>Прочее</v>
      </c>
      <c r="H190" s="585" t="s">
        <v>1197</v>
      </c>
      <c r="I190" s="593"/>
      <c r="J190" s="488"/>
      <c r="K190" s="489"/>
      <c r="L190" s="489"/>
      <c r="M190" s="489"/>
      <c r="N190" s="489"/>
      <c r="O190" s="489"/>
      <c r="P190" s="489"/>
      <c r="Q190" s="489"/>
      <c r="R190" s="489"/>
      <c r="S190" s="489"/>
      <c r="T190" s="489"/>
      <c r="U190" s="489"/>
      <c r="V190" s="489"/>
      <c r="W190" s="490"/>
      <c r="X190" s="490"/>
      <c r="Y190" s="490"/>
      <c r="Z190" s="490"/>
      <c r="AA190" s="490"/>
      <c r="AB190" s="490"/>
      <c r="AC190" s="490"/>
      <c r="AD190" s="490"/>
      <c r="AE190" s="490"/>
      <c r="AF190" s="490"/>
      <c r="AG190" s="490"/>
      <c r="AH190" s="490"/>
      <c r="AI190" s="490"/>
      <c r="AJ190" s="490"/>
      <c r="AK190" s="490"/>
      <c r="AL190" s="490"/>
      <c r="AM190" s="490"/>
      <c r="AN190" s="490"/>
      <c r="AO190" s="490"/>
      <c r="AP190" s="490"/>
      <c r="AQ190" s="490"/>
      <c r="AR190" s="490"/>
      <c r="AS190" s="490"/>
      <c r="AT190" s="490"/>
      <c r="AU190" s="490"/>
      <c r="AV190" s="490"/>
      <c r="AW190" s="490"/>
      <c r="AX190" s="490"/>
      <c r="AY190" s="490"/>
      <c r="AZ190" s="490"/>
      <c r="BA190" s="490"/>
      <c r="BB190" s="490"/>
      <c r="BC190" s="490"/>
      <c r="BD190" s="490"/>
      <c r="BE190" s="491"/>
      <c r="BF190" s="491"/>
      <c r="BG190" s="491"/>
      <c r="BH190" s="491"/>
      <c r="BI190" s="491"/>
      <c r="BJ190" s="491"/>
      <c r="BK190" s="491"/>
      <c r="BL190" s="491"/>
      <c r="BM190" s="491"/>
      <c r="BN190" s="492"/>
      <c r="BO190" s="492"/>
      <c r="BP190" s="492"/>
      <c r="BQ190" s="492"/>
      <c r="BR190" s="492"/>
      <c r="BS190" s="492"/>
      <c r="BT190" s="492"/>
      <c r="BU190" s="492"/>
      <c r="BV190" s="489"/>
      <c r="BW190" s="489"/>
      <c r="BX190" s="489"/>
      <c r="BY190" s="489"/>
      <c r="BZ190" s="489"/>
      <c r="CA190" s="489"/>
      <c r="CB190" s="489"/>
      <c r="CC190" s="493"/>
      <c r="CD190" s="493"/>
      <c r="CE190" s="493"/>
      <c r="CF190" s="493"/>
      <c r="CG190" s="493"/>
      <c r="CH190" s="493"/>
      <c r="CI190" s="493"/>
      <c r="CJ190" s="493"/>
      <c r="CK190" s="493"/>
      <c r="CL190" s="493"/>
      <c r="CM190" s="493"/>
      <c r="CN190" s="493"/>
      <c r="CO190" s="493"/>
      <c r="CP190" s="493"/>
      <c r="CQ190" s="493"/>
      <c r="CR190" s="493"/>
      <c r="CS190" s="494"/>
      <c r="CT190" s="494"/>
      <c r="CU190" s="494"/>
      <c r="CV190" s="494"/>
      <c r="CW190" s="494"/>
      <c r="CX190" s="494"/>
      <c r="CY190" s="494"/>
      <c r="CZ190" s="494"/>
      <c r="DA190" s="494"/>
      <c r="DB190" s="494"/>
      <c r="DC190" s="494"/>
      <c r="DD190" s="494"/>
      <c r="DE190" s="494"/>
      <c r="DF190" s="494"/>
      <c r="DG190" s="494"/>
      <c r="DH190" s="494"/>
      <c r="DI190" s="494"/>
      <c r="DJ190" s="494"/>
      <c r="DK190" s="494"/>
      <c r="DL190" s="494"/>
      <c r="DM190" s="494"/>
      <c r="DN190" s="944"/>
      <c r="DO190" s="495"/>
      <c r="DP190" s="495"/>
      <c r="DQ190" s="496"/>
      <c r="DR190" s="496"/>
      <c r="DS190" s="491"/>
      <c r="DT190" s="491"/>
      <c r="DU190" s="491"/>
      <c r="DV190" s="491"/>
      <c r="DW190" s="491"/>
      <c r="DX190" s="491"/>
      <c r="DY190" s="491"/>
      <c r="DZ190" s="491"/>
      <c r="EA190" s="491"/>
      <c r="EB190" s="491"/>
      <c r="EC190" s="491"/>
      <c r="ED190" s="491"/>
      <c r="EE190" s="491"/>
      <c r="EF190" s="491"/>
      <c r="EG190" s="491"/>
      <c r="EH190" s="491"/>
      <c r="EI190" s="491"/>
      <c r="EJ190" s="491"/>
      <c r="EK190" s="491"/>
      <c r="EL190" s="491"/>
      <c r="EM190" s="491"/>
      <c r="EN190" s="491"/>
      <c r="EO190" s="491"/>
      <c r="EP190" s="491"/>
      <c r="EQ190" s="491"/>
      <c r="ER190" s="491"/>
      <c r="ES190" s="491"/>
      <c r="ET190" s="491"/>
      <c r="EU190" s="491"/>
      <c r="EV190" s="491"/>
      <c r="EW190" s="491"/>
      <c r="EX190" s="491"/>
      <c r="EY190" s="491"/>
      <c r="EZ190" s="491"/>
      <c r="FA190" s="377"/>
      <c r="FB190" s="378"/>
      <c r="FC190" s="378"/>
      <c r="FD190" s="379">
        <f t="shared" si="409"/>
        <v>0</v>
      </c>
      <c r="FE190" s="790"/>
    </row>
    <row r="191" spans="2:164" s="154" customFormat="1" ht="16.5" customHeight="1" outlineLevel="1" thickBot="1" x14ac:dyDescent="0.4">
      <c r="B191" s="1018"/>
      <c r="C191" s="1020"/>
      <c r="D191" s="145"/>
      <c r="E191" s="317" t="s">
        <v>174</v>
      </c>
      <c r="F191" s="836"/>
      <c r="G191" s="818"/>
      <c r="H191" s="576"/>
      <c r="I191" s="594"/>
      <c r="J191" s="305">
        <f>SUM(J179:J190)</f>
        <v>20</v>
      </c>
      <c r="K191" s="146">
        <f t="shared" ref="K191:CU191" si="410">SUM(K179:K190)</f>
        <v>83</v>
      </c>
      <c r="L191" s="146">
        <f t="shared" si="410"/>
        <v>0</v>
      </c>
      <c r="M191" s="146">
        <f t="shared" si="410"/>
        <v>0</v>
      </c>
      <c r="N191" s="146">
        <f t="shared" si="410"/>
        <v>0</v>
      </c>
      <c r="O191" s="146">
        <f t="shared" si="410"/>
        <v>0</v>
      </c>
      <c r="P191" s="146">
        <f t="shared" si="410"/>
        <v>0</v>
      </c>
      <c r="Q191" s="146">
        <f t="shared" si="410"/>
        <v>0</v>
      </c>
      <c r="R191" s="146">
        <f t="shared" si="410"/>
        <v>0</v>
      </c>
      <c r="S191" s="146">
        <f t="shared" si="410"/>
        <v>0</v>
      </c>
      <c r="T191" s="146">
        <f t="shared" ref="T191:V191" si="411">SUM(T179:T190)</f>
        <v>0</v>
      </c>
      <c r="U191" s="146">
        <f t="shared" si="411"/>
        <v>0</v>
      </c>
      <c r="V191" s="146">
        <f t="shared" si="411"/>
        <v>0</v>
      </c>
      <c r="W191" s="147">
        <f t="shared" si="410"/>
        <v>0</v>
      </c>
      <c r="X191" s="147">
        <f t="shared" si="410"/>
        <v>7</v>
      </c>
      <c r="Y191" s="147">
        <f t="shared" ref="Y191" si="412">SUM(Y179:Y190)</f>
        <v>0</v>
      </c>
      <c r="Z191" s="147">
        <f t="shared" si="410"/>
        <v>50</v>
      </c>
      <c r="AA191" s="147">
        <f t="shared" si="410"/>
        <v>100</v>
      </c>
      <c r="AB191" s="147">
        <f t="shared" ref="AB191:AC191" si="413">SUM(AB179:AB190)</f>
        <v>0</v>
      </c>
      <c r="AC191" s="147">
        <f t="shared" si="413"/>
        <v>0</v>
      </c>
      <c r="AD191" s="147">
        <f t="shared" si="410"/>
        <v>150</v>
      </c>
      <c r="AE191" s="147">
        <f t="shared" si="410"/>
        <v>0</v>
      </c>
      <c r="AF191" s="147">
        <f t="shared" ref="AF191:AH191" si="414">SUM(AF179:AF190)</f>
        <v>10</v>
      </c>
      <c r="AG191" s="147">
        <f t="shared" si="414"/>
        <v>10</v>
      </c>
      <c r="AH191" s="147">
        <f t="shared" si="414"/>
        <v>0</v>
      </c>
      <c r="AI191" s="147">
        <f t="shared" si="410"/>
        <v>0</v>
      </c>
      <c r="AJ191" s="147">
        <f t="shared" si="410"/>
        <v>0</v>
      </c>
      <c r="AK191" s="147">
        <f t="shared" si="410"/>
        <v>0</v>
      </c>
      <c r="AL191" s="147">
        <f t="shared" si="410"/>
        <v>0</v>
      </c>
      <c r="AM191" s="147">
        <f t="shared" ref="AM191:AS191" si="415">SUM(AM179:AM190)</f>
        <v>0</v>
      </c>
      <c r="AN191" s="147">
        <f t="shared" si="415"/>
        <v>0</v>
      </c>
      <c r="AO191" s="147">
        <f t="shared" si="415"/>
        <v>5</v>
      </c>
      <c r="AP191" s="147">
        <f t="shared" si="415"/>
        <v>0</v>
      </c>
      <c r="AQ191" s="147">
        <f t="shared" si="415"/>
        <v>0</v>
      </c>
      <c r="AR191" s="147">
        <f t="shared" si="415"/>
        <v>0</v>
      </c>
      <c r="AS191" s="147">
        <f t="shared" si="415"/>
        <v>0</v>
      </c>
      <c r="AT191" s="147">
        <f t="shared" si="410"/>
        <v>0</v>
      </c>
      <c r="AU191" s="147">
        <f t="shared" ref="AU191:BD191" si="416">SUM(AU179:AU190)</f>
        <v>0</v>
      </c>
      <c r="AV191" s="147">
        <f t="shared" si="416"/>
        <v>0</v>
      </c>
      <c r="AW191" s="147">
        <f t="shared" si="416"/>
        <v>0</v>
      </c>
      <c r="AX191" s="147">
        <f t="shared" si="416"/>
        <v>0</v>
      </c>
      <c r="AY191" s="147">
        <f t="shared" si="416"/>
        <v>0</v>
      </c>
      <c r="AZ191" s="147">
        <f t="shared" si="416"/>
        <v>0</v>
      </c>
      <c r="BA191" s="147">
        <f t="shared" si="416"/>
        <v>0</v>
      </c>
      <c r="BB191" s="147">
        <f t="shared" si="416"/>
        <v>0</v>
      </c>
      <c r="BC191" s="147">
        <f t="shared" si="416"/>
        <v>0</v>
      </c>
      <c r="BD191" s="147">
        <f t="shared" si="416"/>
        <v>0</v>
      </c>
      <c r="BE191" s="148">
        <f t="shared" ref="BE191:BP191" si="417">SUM(BE179:BE190)</f>
        <v>0</v>
      </c>
      <c r="BF191" s="148">
        <f t="shared" si="417"/>
        <v>0</v>
      </c>
      <c r="BG191" s="148">
        <f t="shared" si="417"/>
        <v>0</v>
      </c>
      <c r="BH191" s="148">
        <f t="shared" si="417"/>
        <v>0</v>
      </c>
      <c r="BI191" s="148">
        <f t="shared" ref="BI191:BL191" si="418">SUM(BI179:BI190)</f>
        <v>0</v>
      </c>
      <c r="BJ191" s="148">
        <f t="shared" si="418"/>
        <v>0</v>
      </c>
      <c r="BK191" s="148">
        <f t="shared" si="418"/>
        <v>0</v>
      </c>
      <c r="BL191" s="148">
        <f t="shared" si="418"/>
        <v>0</v>
      </c>
      <c r="BM191" s="148">
        <f t="shared" si="417"/>
        <v>0</v>
      </c>
      <c r="BN191" s="149">
        <f t="shared" si="417"/>
        <v>15</v>
      </c>
      <c r="BO191" s="149">
        <f t="shared" si="417"/>
        <v>9</v>
      </c>
      <c r="BP191" s="149">
        <f t="shared" si="417"/>
        <v>0</v>
      </c>
      <c r="BQ191" s="149">
        <f t="shared" ref="BQ191" si="419">SUM(BQ179:BQ190)</f>
        <v>0</v>
      </c>
      <c r="BR191" s="149">
        <f t="shared" ref="BR191:BU191" si="420">SUM(BR179:BR190)</f>
        <v>0</v>
      </c>
      <c r="BS191" s="149">
        <f t="shared" si="420"/>
        <v>0</v>
      </c>
      <c r="BT191" s="149">
        <f t="shared" si="420"/>
        <v>0</v>
      </c>
      <c r="BU191" s="149">
        <f t="shared" si="420"/>
        <v>0</v>
      </c>
      <c r="BV191" s="146">
        <f t="shared" ref="BV191:BX191" si="421">SUM(BV179:BV190)</f>
        <v>0</v>
      </c>
      <c r="BW191" s="146">
        <f t="shared" si="421"/>
        <v>0</v>
      </c>
      <c r="BX191" s="146">
        <f t="shared" si="421"/>
        <v>0</v>
      </c>
      <c r="BY191" s="146">
        <f t="shared" ref="BY191:BZ191" si="422">SUM(BY179:BY190)</f>
        <v>0</v>
      </c>
      <c r="BZ191" s="146">
        <f t="shared" si="422"/>
        <v>0</v>
      </c>
      <c r="CA191" s="146">
        <f t="shared" si="410"/>
        <v>0</v>
      </c>
      <c r="CB191" s="146">
        <f t="shared" si="410"/>
        <v>0</v>
      </c>
      <c r="CC191" s="265">
        <f t="shared" si="410"/>
        <v>0</v>
      </c>
      <c r="CD191" s="265">
        <f t="shared" si="410"/>
        <v>0</v>
      </c>
      <c r="CE191" s="265">
        <f t="shared" si="410"/>
        <v>0</v>
      </c>
      <c r="CF191" s="265">
        <f t="shared" si="410"/>
        <v>0</v>
      </c>
      <c r="CG191" s="265">
        <f t="shared" si="410"/>
        <v>0</v>
      </c>
      <c r="CH191" s="265">
        <f t="shared" si="410"/>
        <v>0</v>
      </c>
      <c r="CI191" s="265">
        <f t="shared" si="410"/>
        <v>0</v>
      </c>
      <c r="CJ191" s="265">
        <f t="shared" ref="CJ191" si="423">SUM(CJ179:CJ190)</f>
        <v>0</v>
      </c>
      <c r="CK191" s="265">
        <f t="shared" ref="CK191" si="424">SUM(CK179:CK190)</f>
        <v>0</v>
      </c>
      <c r="CL191" s="265">
        <f t="shared" si="410"/>
        <v>0</v>
      </c>
      <c r="CM191" s="265">
        <f t="shared" si="410"/>
        <v>0</v>
      </c>
      <c r="CN191" s="265">
        <f t="shared" ref="CN191:CQ191" si="425">SUM(CN179:CN190)</f>
        <v>0</v>
      </c>
      <c r="CO191" s="265">
        <f t="shared" si="425"/>
        <v>0</v>
      </c>
      <c r="CP191" s="265">
        <f t="shared" si="425"/>
        <v>0</v>
      </c>
      <c r="CQ191" s="265">
        <f t="shared" si="425"/>
        <v>0</v>
      </c>
      <c r="CR191" s="265">
        <f t="shared" si="410"/>
        <v>0</v>
      </c>
      <c r="CS191" s="281">
        <f t="shared" si="410"/>
        <v>0</v>
      </c>
      <c r="CT191" s="281">
        <f t="shared" ref="CT191" si="426">SUM(CT179:CT190)</f>
        <v>0</v>
      </c>
      <c r="CU191" s="281">
        <f t="shared" si="410"/>
        <v>0</v>
      </c>
      <c r="CV191" s="281">
        <f t="shared" ref="CV191:DE191" si="427">SUM(CV179:CV190)</f>
        <v>0</v>
      </c>
      <c r="CW191" s="281">
        <f t="shared" si="427"/>
        <v>0</v>
      </c>
      <c r="CX191" s="281">
        <f t="shared" si="427"/>
        <v>0</v>
      </c>
      <c r="CY191" s="281">
        <f t="shared" si="427"/>
        <v>120</v>
      </c>
      <c r="CZ191" s="281">
        <f t="shared" ref="CZ191" si="428">SUM(CZ179:CZ190)</f>
        <v>0</v>
      </c>
      <c r="DA191" s="281">
        <f t="shared" si="427"/>
        <v>0</v>
      </c>
      <c r="DB191" s="281">
        <f t="shared" si="427"/>
        <v>0</v>
      </c>
      <c r="DC191" s="281">
        <f t="shared" si="427"/>
        <v>0</v>
      </c>
      <c r="DD191" s="281">
        <f t="shared" ref="DD191" si="429">SUM(DD179:DD190)</f>
        <v>0</v>
      </c>
      <c r="DE191" s="281">
        <f t="shared" si="427"/>
        <v>0</v>
      </c>
      <c r="DF191" s="281">
        <f t="shared" ref="DF191:FD191" si="430">SUM(DF179:DF190)</f>
        <v>0</v>
      </c>
      <c r="DG191" s="281">
        <f t="shared" si="430"/>
        <v>0</v>
      </c>
      <c r="DH191" s="281">
        <f t="shared" si="430"/>
        <v>0</v>
      </c>
      <c r="DI191" s="281">
        <f t="shared" ref="DI191:DQ191" si="431">SUM(DI179:DI190)</f>
        <v>0</v>
      </c>
      <c r="DJ191" s="281">
        <f t="shared" si="431"/>
        <v>0</v>
      </c>
      <c r="DK191" s="281">
        <f t="shared" si="431"/>
        <v>0</v>
      </c>
      <c r="DL191" s="281">
        <f t="shared" si="431"/>
        <v>0</v>
      </c>
      <c r="DM191" s="281">
        <f t="shared" si="431"/>
        <v>0</v>
      </c>
      <c r="DN191" s="936">
        <f t="shared" si="431"/>
        <v>0</v>
      </c>
      <c r="DO191" s="148">
        <f t="shared" si="431"/>
        <v>0</v>
      </c>
      <c r="DP191" s="148">
        <f t="shared" si="431"/>
        <v>7.5</v>
      </c>
      <c r="DQ191" s="148">
        <f t="shared" si="431"/>
        <v>0</v>
      </c>
      <c r="DR191" s="148">
        <f t="shared" si="430"/>
        <v>0.01</v>
      </c>
      <c r="DS191" s="148">
        <f t="shared" si="430"/>
        <v>0</v>
      </c>
      <c r="DT191" s="148">
        <f t="shared" si="430"/>
        <v>0</v>
      </c>
      <c r="DU191" s="148">
        <f t="shared" si="430"/>
        <v>0</v>
      </c>
      <c r="DV191" s="148">
        <f t="shared" si="430"/>
        <v>0</v>
      </c>
      <c r="DW191" s="148">
        <f t="shared" si="430"/>
        <v>0</v>
      </c>
      <c r="DX191" s="148">
        <f t="shared" si="430"/>
        <v>0</v>
      </c>
      <c r="DY191" s="148">
        <f t="shared" ref="DY191:EO191" si="432">SUM(DY179:DY190)</f>
        <v>0</v>
      </c>
      <c r="DZ191" s="148">
        <f t="shared" si="432"/>
        <v>0</v>
      </c>
      <c r="EA191" s="148">
        <f t="shared" si="432"/>
        <v>124.5</v>
      </c>
      <c r="EB191" s="148">
        <f t="shared" si="432"/>
        <v>400</v>
      </c>
      <c r="EC191" s="148">
        <f t="shared" si="432"/>
        <v>200</v>
      </c>
      <c r="ED191" s="148">
        <f t="shared" si="432"/>
        <v>0</v>
      </c>
      <c r="EE191" s="148">
        <f t="shared" si="432"/>
        <v>0</v>
      </c>
      <c r="EF191" s="148">
        <f t="shared" si="432"/>
        <v>0</v>
      </c>
      <c r="EG191" s="148">
        <f t="shared" si="432"/>
        <v>0</v>
      </c>
      <c r="EH191" s="148">
        <f t="shared" si="432"/>
        <v>0</v>
      </c>
      <c r="EI191" s="148">
        <f t="shared" si="432"/>
        <v>0</v>
      </c>
      <c r="EJ191" s="148">
        <f t="shared" si="432"/>
        <v>0</v>
      </c>
      <c r="EK191" s="148">
        <f t="shared" si="432"/>
        <v>0</v>
      </c>
      <c r="EL191" s="148">
        <f t="shared" si="432"/>
        <v>0</v>
      </c>
      <c r="EM191" s="148">
        <f t="shared" si="432"/>
        <v>0</v>
      </c>
      <c r="EN191" s="148">
        <f t="shared" si="432"/>
        <v>0</v>
      </c>
      <c r="EO191" s="148">
        <f t="shared" si="432"/>
        <v>0</v>
      </c>
      <c r="EP191" s="148">
        <f t="shared" ref="EP191:EZ191" si="433">SUM(EP179:EP190)</f>
        <v>0</v>
      </c>
      <c r="EQ191" s="148">
        <f t="shared" si="433"/>
        <v>0</v>
      </c>
      <c r="ER191" s="148">
        <f t="shared" si="433"/>
        <v>0</v>
      </c>
      <c r="ES191" s="148">
        <f t="shared" si="433"/>
        <v>0</v>
      </c>
      <c r="ET191" s="148">
        <f t="shared" si="433"/>
        <v>0</v>
      </c>
      <c r="EU191" s="148">
        <f t="shared" si="433"/>
        <v>0</v>
      </c>
      <c r="EV191" s="148">
        <f t="shared" si="433"/>
        <v>0</v>
      </c>
      <c r="EW191" s="148">
        <f t="shared" si="433"/>
        <v>0</v>
      </c>
      <c r="EX191" s="148">
        <f t="shared" si="433"/>
        <v>0</v>
      </c>
      <c r="EY191" s="148">
        <f t="shared" si="433"/>
        <v>0</v>
      </c>
      <c r="EZ191" s="148">
        <f t="shared" si="433"/>
        <v>0</v>
      </c>
      <c r="FA191" s="150">
        <f t="shared" si="430"/>
        <v>665</v>
      </c>
      <c r="FB191" s="151">
        <f t="shared" si="430"/>
        <v>1131</v>
      </c>
      <c r="FC191" s="151">
        <f t="shared" si="430"/>
        <v>92.4</v>
      </c>
      <c r="FD191" s="152">
        <f t="shared" si="430"/>
        <v>0</v>
      </c>
      <c r="FE191" s="792" t="str">
        <f>IF(FB191&lt;инфо!$AN$76,FB191-инфо!$AN$76,"")</f>
        <v/>
      </c>
      <c r="FF191" s="153"/>
      <c r="FG191" s="153"/>
      <c r="FH191" s="153"/>
    </row>
    <row r="192" spans="2:164" ht="26.1" customHeight="1" outlineLevel="1" thickBot="1" x14ac:dyDescent="0.3">
      <c r="B192" s="1018"/>
      <c r="C192" s="1020"/>
      <c r="D192" s="1054" t="s">
        <v>146</v>
      </c>
      <c r="E192" s="1060"/>
      <c r="F192" s="847" t="s">
        <v>146</v>
      </c>
      <c r="G192" s="813" t="s">
        <v>1492</v>
      </c>
      <c r="H192" s="588" t="s">
        <v>1195</v>
      </c>
      <c r="I192" s="588" t="s">
        <v>1164</v>
      </c>
      <c r="J192" s="515"/>
      <c r="K192" s="516"/>
      <c r="L192" s="516"/>
      <c r="M192" s="516"/>
      <c r="N192" s="516"/>
      <c r="O192" s="516"/>
      <c r="P192" s="516"/>
      <c r="Q192" s="516"/>
      <c r="R192" s="516"/>
      <c r="S192" s="516"/>
      <c r="T192" s="516"/>
      <c r="U192" s="516"/>
      <c r="V192" s="516"/>
      <c r="W192" s="517"/>
      <c r="X192" s="517"/>
      <c r="Y192" s="517"/>
      <c r="Z192" s="517"/>
      <c r="AA192" s="517"/>
      <c r="AB192" s="517"/>
      <c r="AC192" s="517"/>
      <c r="AD192" s="517"/>
      <c r="AE192" s="517"/>
      <c r="AF192" s="517"/>
      <c r="AG192" s="517"/>
      <c r="AH192" s="517"/>
      <c r="AI192" s="517"/>
      <c r="AJ192" s="517"/>
      <c r="AK192" s="517"/>
      <c r="AL192" s="517"/>
      <c r="AM192" s="517"/>
      <c r="AN192" s="517"/>
      <c r="AO192" s="517"/>
      <c r="AP192" s="517"/>
      <c r="AQ192" s="517"/>
      <c r="AR192" s="517"/>
      <c r="AS192" s="517"/>
      <c r="AT192" s="517"/>
      <c r="AU192" s="517"/>
      <c r="AV192" s="517"/>
      <c r="AW192" s="517"/>
      <c r="AX192" s="517"/>
      <c r="AY192" s="517"/>
      <c r="AZ192" s="517"/>
      <c r="BA192" s="517"/>
      <c r="BB192" s="517"/>
      <c r="BC192" s="517"/>
      <c r="BD192" s="517"/>
      <c r="BE192" s="518"/>
      <c r="BF192" s="518"/>
      <c r="BG192" s="518"/>
      <c r="BH192" s="518"/>
      <c r="BI192" s="518"/>
      <c r="BJ192" s="518"/>
      <c r="BK192" s="518"/>
      <c r="BL192" s="518"/>
      <c r="BM192" s="518"/>
      <c r="BN192" s="519"/>
      <c r="BO192" s="519"/>
      <c r="BP192" s="519"/>
      <c r="BQ192" s="519"/>
      <c r="BR192" s="519"/>
      <c r="BS192" s="519"/>
      <c r="BT192" s="519"/>
      <c r="BU192" s="519"/>
      <c r="BV192" s="516"/>
      <c r="BW192" s="516"/>
      <c r="BX192" s="516"/>
      <c r="BY192" s="516"/>
      <c r="BZ192" s="516"/>
      <c r="CA192" s="516"/>
      <c r="CB192" s="516"/>
      <c r="CC192" s="520"/>
      <c r="CD192" s="520"/>
      <c r="CE192" s="520"/>
      <c r="CF192" s="520"/>
      <c r="CG192" s="520"/>
      <c r="CH192" s="520"/>
      <c r="CI192" s="520"/>
      <c r="CJ192" s="520"/>
      <c r="CK192" s="520"/>
      <c r="CL192" s="520"/>
      <c r="CM192" s="520"/>
      <c r="CN192" s="520"/>
      <c r="CO192" s="520"/>
      <c r="CP192" s="520"/>
      <c r="CQ192" s="520"/>
      <c r="CR192" s="520"/>
      <c r="CS192" s="521"/>
      <c r="CT192" s="521"/>
      <c r="CU192" s="521"/>
      <c r="CV192" s="521"/>
      <c r="CW192" s="521"/>
      <c r="CX192" s="521"/>
      <c r="CY192" s="521"/>
      <c r="CZ192" s="521"/>
      <c r="DA192" s="521"/>
      <c r="DB192" s="521"/>
      <c r="DC192" s="521"/>
      <c r="DD192" s="521"/>
      <c r="DE192" s="521"/>
      <c r="DF192" s="521"/>
      <c r="DG192" s="521"/>
      <c r="DH192" s="521"/>
      <c r="DI192" s="521"/>
      <c r="DJ192" s="521"/>
      <c r="DK192" s="521"/>
      <c r="DL192" s="521"/>
      <c r="DM192" s="521"/>
      <c r="DN192" s="947"/>
      <c r="DO192" s="522">
        <v>25</v>
      </c>
      <c r="DP192" s="522"/>
      <c r="DQ192" s="523"/>
      <c r="DR192" s="523"/>
      <c r="DS192" s="518"/>
      <c r="DT192" s="518"/>
      <c r="DU192" s="518"/>
      <c r="DV192" s="518"/>
      <c r="DW192" s="518"/>
      <c r="DX192" s="518"/>
      <c r="DY192" s="518"/>
      <c r="DZ192" s="518"/>
      <c r="EA192" s="518">
        <v>250</v>
      </c>
      <c r="EB192" s="518"/>
      <c r="EC192" s="518"/>
      <c r="ED192" s="518">
        <v>1</v>
      </c>
      <c r="EE192" s="518"/>
      <c r="EF192" s="518"/>
      <c r="EG192" s="518"/>
      <c r="EH192" s="518"/>
      <c r="EI192" s="518"/>
      <c r="EJ192" s="518"/>
      <c r="EK192" s="518"/>
      <c r="EL192" s="518"/>
      <c r="EM192" s="518"/>
      <c r="EN192" s="518"/>
      <c r="EO192" s="518"/>
      <c r="EP192" s="518"/>
      <c r="EQ192" s="518"/>
      <c r="ER192" s="518"/>
      <c r="ES192" s="518"/>
      <c r="ET192" s="518"/>
      <c r="EU192" s="518"/>
      <c r="EV192" s="518"/>
      <c r="EW192" s="518"/>
      <c r="EX192" s="518"/>
      <c r="EY192" s="518"/>
      <c r="EZ192" s="518"/>
      <c r="FA192" s="377"/>
      <c r="FB192" s="378">
        <v>250</v>
      </c>
      <c r="FC192" s="378"/>
      <c r="FD192" s="379">
        <f t="shared" ref="FD192:FD195" si="434">SUM(BE192:BG192,BI192,BL192:BM192)+SUM(BH192,BJ192,BK192)*5</f>
        <v>0</v>
      </c>
      <c r="FE192" s="790"/>
    </row>
    <row r="193" spans="2:164" ht="26.1" customHeight="1" outlineLevel="1" thickBot="1" x14ac:dyDescent="0.3">
      <c r="B193" s="1018"/>
      <c r="C193" s="1020"/>
      <c r="D193" s="1055"/>
      <c r="E193" s="1061"/>
      <c r="F193" s="848" t="s">
        <v>146</v>
      </c>
      <c r="G193" s="814" t="s">
        <v>1492</v>
      </c>
      <c r="H193" s="589" t="s">
        <v>1197</v>
      </c>
      <c r="I193" s="589" t="s">
        <v>53</v>
      </c>
      <c r="J193" s="524"/>
      <c r="K193" s="525"/>
      <c r="L193" s="525"/>
      <c r="M193" s="525"/>
      <c r="N193" s="525"/>
      <c r="O193" s="525"/>
      <c r="P193" s="525"/>
      <c r="Q193" s="525"/>
      <c r="R193" s="525"/>
      <c r="S193" s="525"/>
      <c r="T193" s="525"/>
      <c r="U193" s="525"/>
      <c r="V193" s="525"/>
      <c r="W193" s="526"/>
      <c r="X193" s="526"/>
      <c r="Y193" s="526"/>
      <c r="Z193" s="526"/>
      <c r="AA193" s="526"/>
      <c r="AB193" s="526"/>
      <c r="AC193" s="526"/>
      <c r="AD193" s="526"/>
      <c r="AE193" s="526"/>
      <c r="AF193" s="526"/>
      <c r="AG193" s="526"/>
      <c r="AH193" s="526"/>
      <c r="AI193" s="526"/>
      <c r="AJ193" s="526"/>
      <c r="AK193" s="526"/>
      <c r="AL193" s="526"/>
      <c r="AM193" s="526"/>
      <c r="AN193" s="526"/>
      <c r="AO193" s="526"/>
      <c r="AP193" s="526"/>
      <c r="AQ193" s="526"/>
      <c r="AR193" s="526"/>
      <c r="AS193" s="526"/>
      <c r="AT193" s="526"/>
      <c r="AU193" s="526"/>
      <c r="AV193" s="526"/>
      <c r="AW193" s="526"/>
      <c r="AX193" s="526"/>
      <c r="AY193" s="526"/>
      <c r="AZ193" s="526"/>
      <c r="BA193" s="526"/>
      <c r="BB193" s="526"/>
      <c r="BC193" s="526"/>
      <c r="BD193" s="526"/>
      <c r="BE193" s="527"/>
      <c r="BF193" s="527"/>
      <c r="BG193" s="527"/>
      <c r="BH193" s="527"/>
      <c r="BI193" s="527"/>
      <c r="BJ193" s="527"/>
      <c r="BK193" s="527"/>
      <c r="BL193" s="527"/>
      <c r="BM193" s="527"/>
      <c r="BN193" s="528"/>
      <c r="BO193" s="528"/>
      <c r="BP193" s="528"/>
      <c r="BQ193" s="528"/>
      <c r="BR193" s="528"/>
      <c r="BS193" s="528"/>
      <c r="BT193" s="528"/>
      <c r="BU193" s="528"/>
      <c r="BV193" s="525"/>
      <c r="BW193" s="525"/>
      <c r="BX193" s="525"/>
      <c r="BY193" s="525"/>
      <c r="BZ193" s="525"/>
      <c r="CA193" s="525"/>
      <c r="CB193" s="525"/>
      <c r="CC193" s="529"/>
      <c r="CD193" s="529"/>
      <c r="CE193" s="529"/>
      <c r="CF193" s="529"/>
      <c r="CG193" s="529"/>
      <c r="CH193" s="529"/>
      <c r="CI193" s="529"/>
      <c r="CJ193" s="529"/>
      <c r="CK193" s="529"/>
      <c r="CL193" s="529"/>
      <c r="CM193" s="529"/>
      <c r="CN193" s="529"/>
      <c r="CO193" s="529"/>
      <c r="CP193" s="529"/>
      <c r="CQ193" s="529"/>
      <c r="CR193" s="529"/>
      <c r="CS193" s="530"/>
      <c r="CT193" s="530"/>
      <c r="CU193" s="530"/>
      <c r="CV193" s="530"/>
      <c r="CW193" s="530"/>
      <c r="CX193" s="530"/>
      <c r="CY193" s="530"/>
      <c r="CZ193" s="530"/>
      <c r="DA193" s="530"/>
      <c r="DB193" s="530"/>
      <c r="DC193" s="530"/>
      <c r="DD193" s="530"/>
      <c r="DE193" s="530"/>
      <c r="DF193" s="530"/>
      <c r="DG193" s="530"/>
      <c r="DH193" s="530"/>
      <c r="DI193" s="530"/>
      <c r="DJ193" s="530"/>
      <c r="DK193" s="530"/>
      <c r="DL193" s="530"/>
      <c r="DM193" s="530"/>
      <c r="DN193" s="948"/>
      <c r="DO193" s="531">
        <v>25</v>
      </c>
      <c r="DP193" s="531"/>
      <c r="DQ193" s="532"/>
      <c r="DR193" s="532"/>
      <c r="DS193" s="527"/>
      <c r="DT193" s="527"/>
      <c r="DU193" s="527"/>
      <c r="DV193" s="527"/>
      <c r="DW193" s="527"/>
      <c r="DX193" s="527"/>
      <c r="DY193" s="527"/>
      <c r="DZ193" s="527"/>
      <c r="EA193" s="527"/>
      <c r="EB193" s="527"/>
      <c r="EC193" s="527"/>
      <c r="ED193" s="527"/>
      <c r="EE193" s="527"/>
      <c r="EF193" s="527"/>
      <c r="EG193" s="527"/>
      <c r="EH193" s="527"/>
      <c r="EI193" s="527"/>
      <c r="EJ193" s="527"/>
      <c r="EK193" s="527"/>
      <c r="EL193" s="527"/>
      <c r="EM193" s="527"/>
      <c r="EN193" s="527"/>
      <c r="EO193" s="527"/>
      <c r="EP193" s="527"/>
      <c r="EQ193" s="527"/>
      <c r="ER193" s="527"/>
      <c r="ES193" s="527"/>
      <c r="ET193" s="527"/>
      <c r="EU193" s="527"/>
      <c r="EV193" s="527"/>
      <c r="EW193" s="527"/>
      <c r="EX193" s="527"/>
      <c r="EY193" s="527"/>
      <c r="EZ193" s="527"/>
      <c r="FA193" s="377"/>
      <c r="FB193" s="378">
        <v>25</v>
      </c>
      <c r="FC193" s="378"/>
      <c r="FD193" s="379">
        <f t="shared" si="434"/>
        <v>0</v>
      </c>
      <c r="FE193" s="790"/>
    </row>
    <row r="194" spans="2:164" ht="26.1" customHeight="1" outlineLevel="1" thickBot="1" x14ac:dyDescent="0.3">
      <c r="B194" s="1018"/>
      <c r="C194" s="1020"/>
      <c r="D194" s="1055"/>
      <c r="E194" s="1061"/>
      <c r="F194" s="848" t="s">
        <v>146</v>
      </c>
      <c r="G194" s="814" t="s">
        <v>1492</v>
      </c>
      <c r="H194" s="589" t="s">
        <v>1197</v>
      </c>
      <c r="I194" s="589" t="s">
        <v>161</v>
      </c>
      <c r="J194" s="524"/>
      <c r="K194" s="525"/>
      <c r="L194" s="525"/>
      <c r="M194" s="525"/>
      <c r="N194" s="525"/>
      <c r="O194" s="525"/>
      <c r="P194" s="525"/>
      <c r="Q194" s="525"/>
      <c r="R194" s="525"/>
      <c r="S194" s="525"/>
      <c r="T194" s="525"/>
      <c r="U194" s="525"/>
      <c r="V194" s="525"/>
      <c r="W194" s="526"/>
      <c r="X194" s="526"/>
      <c r="Y194" s="526"/>
      <c r="Z194" s="526"/>
      <c r="AA194" s="526"/>
      <c r="AB194" s="526"/>
      <c r="AC194" s="526"/>
      <c r="AD194" s="526"/>
      <c r="AE194" s="526"/>
      <c r="AF194" s="526"/>
      <c r="AG194" s="526"/>
      <c r="AH194" s="526"/>
      <c r="AI194" s="526"/>
      <c r="AJ194" s="526"/>
      <c r="AK194" s="526"/>
      <c r="AL194" s="526"/>
      <c r="AM194" s="526"/>
      <c r="AN194" s="526"/>
      <c r="AO194" s="526"/>
      <c r="AP194" s="526"/>
      <c r="AQ194" s="526"/>
      <c r="AR194" s="526"/>
      <c r="AS194" s="526"/>
      <c r="AT194" s="526"/>
      <c r="AU194" s="526"/>
      <c r="AV194" s="526"/>
      <c r="AW194" s="526"/>
      <c r="AX194" s="526"/>
      <c r="AY194" s="526"/>
      <c r="AZ194" s="526"/>
      <c r="BA194" s="526"/>
      <c r="BB194" s="526"/>
      <c r="BC194" s="526"/>
      <c r="BD194" s="526"/>
      <c r="BE194" s="527"/>
      <c r="BF194" s="527"/>
      <c r="BG194" s="527"/>
      <c r="BH194" s="527"/>
      <c r="BI194" s="527"/>
      <c r="BJ194" s="527"/>
      <c r="BK194" s="527"/>
      <c r="BL194" s="527"/>
      <c r="BM194" s="527"/>
      <c r="BN194" s="528"/>
      <c r="BO194" s="528"/>
      <c r="BP194" s="528"/>
      <c r="BQ194" s="528"/>
      <c r="BR194" s="528"/>
      <c r="BS194" s="528"/>
      <c r="BT194" s="528"/>
      <c r="BU194" s="528"/>
      <c r="BV194" s="525"/>
      <c r="BW194" s="525"/>
      <c r="BX194" s="525"/>
      <c r="BY194" s="525"/>
      <c r="BZ194" s="525"/>
      <c r="CA194" s="525"/>
      <c r="CB194" s="525"/>
      <c r="CC194" s="529"/>
      <c r="CD194" s="529"/>
      <c r="CE194" s="529"/>
      <c r="CF194" s="529"/>
      <c r="CG194" s="529"/>
      <c r="CH194" s="529"/>
      <c r="CI194" s="529"/>
      <c r="CJ194" s="529"/>
      <c r="CK194" s="529"/>
      <c r="CL194" s="529"/>
      <c r="CM194" s="529"/>
      <c r="CN194" s="529"/>
      <c r="CO194" s="529"/>
      <c r="CP194" s="529"/>
      <c r="CQ194" s="529"/>
      <c r="CR194" s="529"/>
      <c r="CS194" s="530"/>
      <c r="CT194" s="530"/>
      <c r="CU194" s="530"/>
      <c r="CV194" s="530"/>
      <c r="CW194" s="530"/>
      <c r="CX194" s="530"/>
      <c r="CY194" s="530"/>
      <c r="CZ194" s="530"/>
      <c r="DA194" s="530"/>
      <c r="DB194" s="530"/>
      <c r="DC194" s="530"/>
      <c r="DD194" s="530"/>
      <c r="DE194" s="530"/>
      <c r="DF194" s="530"/>
      <c r="DG194" s="530"/>
      <c r="DH194" s="530"/>
      <c r="DI194" s="530"/>
      <c r="DJ194" s="530"/>
      <c r="DK194" s="530"/>
      <c r="DL194" s="530"/>
      <c r="DM194" s="530"/>
      <c r="DN194" s="948"/>
      <c r="DO194" s="531"/>
      <c r="DP194" s="531"/>
      <c r="DQ194" s="532"/>
      <c r="DR194" s="532"/>
      <c r="DS194" s="527"/>
      <c r="DT194" s="527"/>
      <c r="DU194" s="527"/>
      <c r="DV194" s="527"/>
      <c r="DW194" s="527"/>
      <c r="DX194" s="527"/>
      <c r="DY194" s="527"/>
      <c r="DZ194" s="527"/>
      <c r="EA194" s="527"/>
      <c r="EB194" s="527"/>
      <c r="EC194" s="527"/>
      <c r="ED194" s="527"/>
      <c r="EE194" s="527"/>
      <c r="EF194" s="527"/>
      <c r="EG194" s="527"/>
      <c r="EH194" s="527"/>
      <c r="EI194" s="527"/>
      <c r="EJ194" s="527"/>
      <c r="EK194" s="527"/>
      <c r="EL194" s="527"/>
      <c r="EM194" s="527"/>
      <c r="EN194" s="527"/>
      <c r="EO194" s="527"/>
      <c r="EP194" s="527"/>
      <c r="EQ194" s="527">
        <v>60</v>
      </c>
      <c r="ER194" s="527"/>
      <c r="ES194" s="527"/>
      <c r="ET194" s="527"/>
      <c r="EU194" s="527"/>
      <c r="EV194" s="527"/>
      <c r="EW194" s="527"/>
      <c r="EX194" s="527"/>
      <c r="EY194" s="527"/>
      <c r="EZ194" s="527"/>
      <c r="FA194" s="377"/>
      <c r="FB194" s="378">
        <v>60</v>
      </c>
      <c r="FC194" s="378"/>
      <c r="FD194" s="379">
        <f t="shared" si="434"/>
        <v>0</v>
      </c>
      <c r="FE194" s="790"/>
    </row>
    <row r="195" spans="2:164" ht="26.1" customHeight="1" outlineLevel="1" thickBot="1" x14ac:dyDescent="0.3">
      <c r="B195" s="1018"/>
      <c r="C195" s="1020"/>
      <c r="D195" s="1056"/>
      <c r="E195" s="1062"/>
      <c r="F195" s="849" t="s">
        <v>146</v>
      </c>
      <c r="G195" s="815" t="s">
        <v>1492</v>
      </c>
      <c r="H195" s="590" t="s">
        <v>1197</v>
      </c>
      <c r="I195" s="590" t="s">
        <v>60</v>
      </c>
      <c r="J195" s="533"/>
      <c r="K195" s="534"/>
      <c r="L195" s="534"/>
      <c r="M195" s="534"/>
      <c r="N195" s="534"/>
      <c r="O195" s="534"/>
      <c r="P195" s="534"/>
      <c r="Q195" s="534"/>
      <c r="R195" s="534"/>
      <c r="S195" s="534"/>
      <c r="T195" s="534"/>
      <c r="U195" s="534"/>
      <c r="V195" s="534"/>
      <c r="W195" s="535"/>
      <c r="X195" s="535"/>
      <c r="Y195" s="535"/>
      <c r="Z195" s="535"/>
      <c r="AA195" s="535"/>
      <c r="AB195" s="535"/>
      <c r="AC195" s="535"/>
      <c r="AD195" s="535"/>
      <c r="AE195" s="535"/>
      <c r="AF195" s="535"/>
      <c r="AG195" s="535"/>
      <c r="AH195" s="535"/>
      <c r="AI195" s="535"/>
      <c r="AJ195" s="535"/>
      <c r="AK195" s="535"/>
      <c r="AL195" s="535"/>
      <c r="AM195" s="535"/>
      <c r="AN195" s="535"/>
      <c r="AO195" s="535"/>
      <c r="AP195" s="535"/>
      <c r="AQ195" s="535"/>
      <c r="AR195" s="535"/>
      <c r="AS195" s="535"/>
      <c r="AT195" s="535"/>
      <c r="AU195" s="535"/>
      <c r="AV195" s="535"/>
      <c r="AW195" s="535"/>
      <c r="AX195" s="535"/>
      <c r="AY195" s="535"/>
      <c r="AZ195" s="535"/>
      <c r="BA195" s="535"/>
      <c r="BB195" s="535"/>
      <c r="BC195" s="535"/>
      <c r="BD195" s="535"/>
      <c r="BE195" s="536"/>
      <c r="BF195" s="536"/>
      <c r="BG195" s="536"/>
      <c r="BH195" s="536"/>
      <c r="BI195" s="536"/>
      <c r="BJ195" s="536"/>
      <c r="BK195" s="536"/>
      <c r="BL195" s="536"/>
      <c r="BM195" s="536"/>
      <c r="BN195" s="537">
        <v>15</v>
      </c>
      <c r="BO195" s="537"/>
      <c r="BP195" s="537"/>
      <c r="BQ195" s="537"/>
      <c r="BR195" s="537"/>
      <c r="BS195" s="537"/>
      <c r="BT195" s="537"/>
      <c r="BU195" s="537"/>
      <c r="BV195" s="534"/>
      <c r="BW195" s="534"/>
      <c r="BX195" s="534"/>
      <c r="BY195" s="534"/>
      <c r="BZ195" s="534"/>
      <c r="CA195" s="534"/>
      <c r="CB195" s="534"/>
      <c r="CC195" s="538"/>
      <c r="CD195" s="538"/>
      <c r="CE195" s="538"/>
      <c r="CF195" s="538"/>
      <c r="CG195" s="538"/>
      <c r="CH195" s="538"/>
      <c r="CI195" s="538"/>
      <c r="CJ195" s="538"/>
      <c r="CK195" s="538"/>
      <c r="CL195" s="538"/>
      <c r="CM195" s="538"/>
      <c r="CN195" s="538"/>
      <c r="CO195" s="538"/>
      <c r="CP195" s="538"/>
      <c r="CQ195" s="538"/>
      <c r="CR195" s="538"/>
      <c r="CS195" s="539"/>
      <c r="CT195" s="539"/>
      <c r="CU195" s="539"/>
      <c r="CV195" s="539"/>
      <c r="CW195" s="539"/>
      <c r="CX195" s="539"/>
      <c r="CY195" s="539"/>
      <c r="CZ195" s="539"/>
      <c r="DA195" s="539"/>
      <c r="DB195" s="539"/>
      <c r="DC195" s="539"/>
      <c r="DD195" s="539"/>
      <c r="DE195" s="539"/>
      <c r="DF195" s="539"/>
      <c r="DG195" s="539"/>
      <c r="DH195" s="539"/>
      <c r="DI195" s="539"/>
      <c r="DJ195" s="539"/>
      <c r="DK195" s="539"/>
      <c r="DL195" s="539"/>
      <c r="DM195" s="539"/>
      <c r="DN195" s="949"/>
      <c r="DO195" s="540"/>
      <c r="DP195" s="540"/>
      <c r="DQ195" s="541"/>
      <c r="DR195" s="541"/>
      <c r="DS195" s="536"/>
      <c r="DT195" s="536"/>
      <c r="DU195" s="536"/>
      <c r="DV195" s="536"/>
      <c r="DW195" s="536"/>
      <c r="DX195" s="536"/>
      <c r="DY195" s="536"/>
      <c r="DZ195" s="536"/>
      <c r="EA195" s="536"/>
      <c r="EB195" s="536"/>
      <c r="EC195" s="536"/>
      <c r="ED195" s="536"/>
      <c r="EE195" s="536"/>
      <c r="EF195" s="536"/>
      <c r="EG195" s="536"/>
      <c r="EH195" s="536"/>
      <c r="EI195" s="536"/>
      <c r="EJ195" s="536"/>
      <c r="EK195" s="536"/>
      <c r="EL195" s="536"/>
      <c r="EM195" s="536"/>
      <c r="EN195" s="536"/>
      <c r="EO195" s="536"/>
      <c r="EP195" s="536"/>
      <c r="EQ195" s="536"/>
      <c r="ER195" s="536"/>
      <c r="ES195" s="536"/>
      <c r="ET195" s="536"/>
      <c r="EU195" s="536"/>
      <c r="EV195" s="536"/>
      <c r="EW195" s="536"/>
      <c r="EX195" s="536"/>
      <c r="EY195" s="536"/>
      <c r="EZ195" s="536"/>
      <c r="FA195" s="377"/>
      <c r="FB195" s="378">
        <v>15</v>
      </c>
      <c r="FC195" s="378"/>
      <c r="FD195" s="379">
        <f t="shared" si="434"/>
        <v>0</v>
      </c>
      <c r="FE195" s="790"/>
    </row>
    <row r="196" spans="2:164" s="154" customFormat="1" ht="16.5" customHeight="1" outlineLevel="1" thickBot="1" x14ac:dyDescent="0.4">
      <c r="B196" s="1018"/>
      <c r="C196" s="1020"/>
      <c r="D196" s="155"/>
      <c r="E196" s="318" t="s">
        <v>174</v>
      </c>
      <c r="F196" s="850"/>
      <c r="G196" s="819"/>
      <c r="H196" s="591"/>
      <c r="I196" s="604"/>
      <c r="J196" s="305">
        <f>SUM(J192:J195)</f>
        <v>0</v>
      </c>
      <c r="K196" s="146">
        <f t="shared" ref="K196:CU196" si="435">SUM(K192:K195)</f>
        <v>0</v>
      </c>
      <c r="L196" s="146">
        <f t="shared" si="435"/>
        <v>0</v>
      </c>
      <c r="M196" s="146">
        <f t="shared" si="435"/>
        <v>0</v>
      </c>
      <c r="N196" s="146">
        <f t="shared" si="435"/>
        <v>0</v>
      </c>
      <c r="O196" s="146">
        <f t="shared" si="435"/>
        <v>0</v>
      </c>
      <c r="P196" s="146">
        <f t="shared" si="435"/>
        <v>0</v>
      </c>
      <c r="Q196" s="146">
        <f t="shared" si="435"/>
        <v>0</v>
      </c>
      <c r="R196" s="146">
        <f t="shared" si="435"/>
        <v>0</v>
      </c>
      <c r="S196" s="146">
        <f t="shared" si="435"/>
        <v>0</v>
      </c>
      <c r="T196" s="146">
        <f t="shared" ref="T196:V196" si="436">SUM(T192:T195)</f>
        <v>0</v>
      </c>
      <c r="U196" s="146">
        <f t="shared" si="436"/>
        <v>0</v>
      </c>
      <c r="V196" s="146">
        <f t="shared" si="436"/>
        <v>0</v>
      </c>
      <c r="W196" s="147">
        <f t="shared" si="435"/>
        <v>0</v>
      </c>
      <c r="X196" s="147">
        <f t="shared" si="435"/>
        <v>0</v>
      </c>
      <c r="Y196" s="147">
        <f t="shared" ref="Y196" si="437">SUM(Y192:Y195)</f>
        <v>0</v>
      </c>
      <c r="Z196" s="147">
        <f t="shared" si="435"/>
        <v>0</v>
      </c>
      <c r="AA196" s="147">
        <f t="shared" si="435"/>
        <v>0</v>
      </c>
      <c r="AB196" s="147">
        <f t="shared" ref="AB196:AC196" si="438">SUM(AB192:AB195)</f>
        <v>0</v>
      </c>
      <c r="AC196" s="147">
        <f t="shared" si="438"/>
        <v>0</v>
      </c>
      <c r="AD196" s="147">
        <f t="shared" si="435"/>
        <v>0</v>
      </c>
      <c r="AE196" s="147">
        <f t="shared" si="435"/>
        <v>0</v>
      </c>
      <c r="AF196" s="147">
        <f t="shared" ref="AF196:AH196" si="439">SUM(AF192:AF195)</f>
        <v>0</v>
      </c>
      <c r="AG196" s="147">
        <f t="shared" si="439"/>
        <v>0</v>
      </c>
      <c r="AH196" s="147">
        <f t="shared" si="439"/>
        <v>0</v>
      </c>
      <c r="AI196" s="147">
        <f t="shared" si="435"/>
        <v>0</v>
      </c>
      <c r="AJ196" s="147">
        <f t="shared" si="435"/>
        <v>0</v>
      </c>
      <c r="AK196" s="147">
        <f t="shared" si="435"/>
        <v>0</v>
      </c>
      <c r="AL196" s="147">
        <f t="shared" si="435"/>
        <v>0</v>
      </c>
      <c r="AM196" s="147">
        <f t="shared" ref="AM196:AS196" si="440">SUM(AM192:AM195)</f>
        <v>0</v>
      </c>
      <c r="AN196" s="147">
        <f t="shared" si="440"/>
        <v>0</v>
      </c>
      <c r="AO196" s="147">
        <f t="shared" si="440"/>
        <v>0</v>
      </c>
      <c r="AP196" s="147">
        <f t="shared" si="440"/>
        <v>0</v>
      </c>
      <c r="AQ196" s="147">
        <f t="shared" si="440"/>
        <v>0</v>
      </c>
      <c r="AR196" s="147">
        <f t="shared" si="440"/>
        <v>0</v>
      </c>
      <c r="AS196" s="147">
        <f t="shared" si="440"/>
        <v>0</v>
      </c>
      <c r="AT196" s="147">
        <f t="shared" si="435"/>
        <v>0</v>
      </c>
      <c r="AU196" s="147">
        <f t="shared" ref="AU196:BD196" si="441">SUM(AU192:AU195)</f>
        <v>0</v>
      </c>
      <c r="AV196" s="147">
        <f t="shared" si="441"/>
        <v>0</v>
      </c>
      <c r="AW196" s="147">
        <f t="shared" si="441"/>
        <v>0</v>
      </c>
      <c r="AX196" s="147">
        <f t="shared" si="441"/>
        <v>0</v>
      </c>
      <c r="AY196" s="147">
        <f t="shared" si="441"/>
        <v>0</v>
      </c>
      <c r="AZ196" s="147">
        <f t="shared" si="441"/>
        <v>0</v>
      </c>
      <c r="BA196" s="147">
        <f t="shared" si="441"/>
        <v>0</v>
      </c>
      <c r="BB196" s="147">
        <f t="shared" si="441"/>
        <v>0</v>
      </c>
      <c r="BC196" s="147">
        <f t="shared" si="441"/>
        <v>0</v>
      </c>
      <c r="BD196" s="147">
        <f t="shared" si="441"/>
        <v>0</v>
      </c>
      <c r="BE196" s="148">
        <f t="shared" ref="BE196:BP196" si="442">SUM(BE192:BE195)</f>
        <v>0</v>
      </c>
      <c r="BF196" s="148">
        <f t="shared" si="442"/>
        <v>0</v>
      </c>
      <c r="BG196" s="148">
        <f t="shared" si="442"/>
        <v>0</v>
      </c>
      <c r="BH196" s="148">
        <f t="shared" si="442"/>
        <v>0</v>
      </c>
      <c r="BI196" s="148">
        <f t="shared" ref="BI196:BL196" si="443">SUM(BI192:BI195)</f>
        <v>0</v>
      </c>
      <c r="BJ196" s="148">
        <f t="shared" si="443"/>
        <v>0</v>
      </c>
      <c r="BK196" s="148">
        <f t="shared" si="443"/>
        <v>0</v>
      </c>
      <c r="BL196" s="148">
        <f t="shared" si="443"/>
        <v>0</v>
      </c>
      <c r="BM196" s="148">
        <f t="shared" si="442"/>
        <v>0</v>
      </c>
      <c r="BN196" s="149">
        <f t="shared" si="442"/>
        <v>15</v>
      </c>
      <c r="BO196" s="149">
        <f t="shared" si="442"/>
        <v>0</v>
      </c>
      <c r="BP196" s="149">
        <f t="shared" si="442"/>
        <v>0</v>
      </c>
      <c r="BQ196" s="149">
        <f t="shared" ref="BQ196" si="444">SUM(BQ192:BQ195)</f>
        <v>0</v>
      </c>
      <c r="BR196" s="149">
        <f t="shared" ref="BR196:BU196" si="445">SUM(BR192:BR195)</f>
        <v>0</v>
      </c>
      <c r="BS196" s="149">
        <f t="shared" si="445"/>
        <v>0</v>
      </c>
      <c r="BT196" s="149">
        <f t="shared" si="445"/>
        <v>0</v>
      </c>
      <c r="BU196" s="149">
        <f t="shared" si="445"/>
        <v>0</v>
      </c>
      <c r="BV196" s="146">
        <f t="shared" ref="BV196:BX196" si="446">SUM(BV192:BV195)</f>
        <v>0</v>
      </c>
      <c r="BW196" s="146">
        <f t="shared" si="446"/>
        <v>0</v>
      </c>
      <c r="BX196" s="146">
        <f t="shared" si="446"/>
        <v>0</v>
      </c>
      <c r="BY196" s="146">
        <f t="shared" ref="BY196:BZ196" si="447">SUM(BY192:BY195)</f>
        <v>0</v>
      </c>
      <c r="BZ196" s="146">
        <f t="shared" si="447"/>
        <v>0</v>
      </c>
      <c r="CA196" s="146">
        <f t="shared" si="435"/>
        <v>0</v>
      </c>
      <c r="CB196" s="146">
        <f t="shared" si="435"/>
        <v>0</v>
      </c>
      <c r="CC196" s="265">
        <f t="shared" si="435"/>
        <v>0</v>
      </c>
      <c r="CD196" s="265">
        <f t="shared" si="435"/>
        <v>0</v>
      </c>
      <c r="CE196" s="265">
        <f t="shared" si="435"/>
        <v>0</v>
      </c>
      <c r="CF196" s="265">
        <f t="shared" si="435"/>
        <v>0</v>
      </c>
      <c r="CG196" s="265">
        <f t="shared" si="435"/>
        <v>0</v>
      </c>
      <c r="CH196" s="265">
        <f t="shared" si="435"/>
        <v>0</v>
      </c>
      <c r="CI196" s="265">
        <f t="shared" si="435"/>
        <v>0</v>
      </c>
      <c r="CJ196" s="265">
        <f t="shared" ref="CJ196" si="448">SUM(CJ192:CJ195)</f>
        <v>0</v>
      </c>
      <c r="CK196" s="265">
        <f t="shared" ref="CK196" si="449">SUM(CK192:CK195)</f>
        <v>0</v>
      </c>
      <c r="CL196" s="265">
        <f t="shared" si="435"/>
        <v>0</v>
      </c>
      <c r="CM196" s="265">
        <f t="shared" si="435"/>
        <v>0</v>
      </c>
      <c r="CN196" s="265">
        <f t="shared" ref="CN196:CQ196" si="450">SUM(CN192:CN195)</f>
        <v>0</v>
      </c>
      <c r="CO196" s="265">
        <f t="shared" si="450"/>
        <v>0</v>
      </c>
      <c r="CP196" s="265">
        <f t="shared" si="450"/>
        <v>0</v>
      </c>
      <c r="CQ196" s="265">
        <f t="shared" si="450"/>
        <v>0</v>
      </c>
      <c r="CR196" s="265">
        <f t="shared" si="435"/>
        <v>0</v>
      </c>
      <c r="CS196" s="281">
        <f t="shared" si="435"/>
        <v>0</v>
      </c>
      <c r="CT196" s="281">
        <f t="shared" ref="CT196" si="451">SUM(CT192:CT195)</f>
        <v>0</v>
      </c>
      <c r="CU196" s="281">
        <f t="shared" si="435"/>
        <v>0</v>
      </c>
      <c r="CV196" s="281">
        <f t="shared" ref="CV196:DE196" si="452">SUM(CV192:CV195)</f>
        <v>0</v>
      </c>
      <c r="CW196" s="281">
        <f t="shared" si="452"/>
        <v>0</v>
      </c>
      <c r="CX196" s="281">
        <f t="shared" si="452"/>
        <v>0</v>
      </c>
      <c r="CY196" s="281">
        <f t="shared" si="452"/>
        <v>0</v>
      </c>
      <c r="CZ196" s="281">
        <f t="shared" ref="CZ196" si="453">SUM(CZ192:CZ195)</f>
        <v>0</v>
      </c>
      <c r="DA196" s="281">
        <f t="shared" si="452"/>
        <v>0</v>
      </c>
      <c r="DB196" s="281">
        <f t="shared" si="452"/>
        <v>0</v>
      </c>
      <c r="DC196" s="281">
        <f t="shared" si="452"/>
        <v>0</v>
      </c>
      <c r="DD196" s="281">
        <f t="shared" ref="DD196" si="454">SUM(DD192:DD195)</f>
        <v>0</v>
      </c>
      <c r="DE196" s="281">
        <f t="shared" si="452"/>
        <v>0</v>
      </c>
      <c r="DF196" s="281">
        <f t="shared" ref="DF196:FD196" si="455">SUM(DF192:DF195)</f>
        <v>0</v>
      </c>
      <c r="DG196" s="281">
        <f t="shared" si="455"/>
        <v>0</v>
      </c>
      <c r="DH196" s="281">
        <f t="shared" si="455"/>
        <v>0</v>
      </c>
      <c r="DI196" s="281">
        <f t="shared" ref="DI196:DQ196" si="456">SUM(DI192:DI195)</f>
        <v>0</v>
      </c>
      <c r="DJ196" s="281">
        <f t="shared" si="456"/>
        <v>0</v>
      </c>
      <c r="DK196" s="281">
        <f t="shared" si="456"/>
        <v>0</v>
      </c>
      <c r="DL196" s="281">
        <f t="shared" si="456"/>
        <v>0</v>
      </c>
      <c r="DM196" s="281">
        <f t="shared" si="456"/>
        <v>0</v>
      </c>
      <c r="DN196" s="936">
        <f t="shared" si="456"/>
        <v>0</v>
      </c>
      <c r="DO196" s="148">
        <f t="shared" si="456"/>
        <v>50</v>
      </c>
      <c r="DP196" s="148">
        <f t="shared" si="456"/>
        <v>0</v>
      </c>
      <c r="DQ196" s="148">
        <f t="shared" si="456"/>
        <v>0</v>
      </c>
      <c r="DR196" s="148">
        <f t="shared" si="455"/>
        <v>0</v>
      </c>
      <c r="DS196" s="148">
        <f t="shared" si="455"/>
        <v>0</v>
      </c>
      <c r="DT196" s="148">
        <f t="shared" si="455"/>
        <v>0</v>
      </c>
      <c r="DU196" s="148">
        <f t="shared" si="455"/>
        <v>0</v>
      </c>
      <c r="DV196" s="148">
        <f t="shared" si="455"/>
        <v>0</v>
      </c>
      <c r="DW196" s="148">
        <f t="shared" si="455"/>
        <v>0</v>
      </c>
      <c r="DX196" s="148">
        <f t="shared" si="455"/>
        <v>0</v>
      </c>
      <c r="DY196" s="148">
        <f t="shared" ref="DY196:EO196" si="457">SUM(DY192:DY195)</f>
        <v>0</v>
      </c>
      <c r="DZ196" s="148">
        <f t="shared" si="457"/>
        <v>0</v>
      </c>
      <c r="EA196" s="148">
        <f t="shared" si="457"/>
        <v>250</v>
      </c>
      <c r="EB196" s="148">
        <f t="shared" si="457"/>
        <v>0</v>
      </c>
      <c r="EC196" s="148">
        <f t="shared" si="457"/>
        <v>0</v>
      </c>
      <c r="ED196" s="148">
        <f t="shared" si="457"/>
        <v>1</v>
      </c>
      <c r="EE196" s="148">
        <f t="shared" si="457"/>
        <v>0</v>
      </c>
      <c r="EF196" s="148">
        <f t="shared" si="457"/>
        <v>0</v>
      </c>
      <c r="EG196" s="148">
        <f t="shared" si="457"/>
        <v>0</v>
      </c>
      <c r="EH196" s="148">
        <f t="shared" si="457"/>
        <v>0</v>
      </c>
      <c r="EI196" s="148">
        <f t="shared" si="457"/>
        <v>0</v>
      </c>
      <c r="EJ196" s="148">
        <f t="shared" si="457"/>
        <v>0</v>
      </c>
      <c r="EK196" s="148">
        <f t="shared" si="457"/>
        <v>0</v>
      </c>
      <c r="EL196" s="148">
        <f t="shared" si="457"/>
        <v>0</v>
      </c>
      <c r="EM196" s="148">
        <f t="shared" si="457"/>
        <v>0</v>
      </c>
      <c r="EN196" s="148">
        <f t="shared" si="457"/>
        <v>0</v>
      </c>
      <c r="EO196" s="148">
        <f t="shared" si="457"/>
        <v>0</v>
      </c>
      <c r="EP196" s="148">
        <f t="shared" ref="EP196:EZ196" si="458">SUM(EP192:EP195)</f>
        <v>0</v>
      </c>
      <c r="EQ196" s="148">
        <f t="shared" si="458"/>
        <v>60</v>
      </c>
      <c r="ER196" s="148">
        <f t="shared" si="458"/>
        <v>0</v>
      </c>
      <c r="ES196" s="148">
        <f t="shared" si="458"/>
        <v>0</v>
      </c>
      <c r="ET196" s="148">
        <f t="shared" si="458"/>
        <v>0</v>
      </c>
      <c r="EU196" s="148">
        <f t="shared" si="458"/>
        <v>0</v>
      </c>
      <c r="EV196" s="148">
        <f t="shared" si="458"/>
        <v>0</v>
      </c>
      <c r="EW196" s="148">
        <f t="shared" si="458"/>
        <v>0</v>
      </c>
      <c r="EX196" s="148">
        <f t="shared" si="458"/>
        <v>0</v>
      </c>
      <c r="EY196" s="148">
        <f t="shared" si="458"/>
        <v>0</v>
      </c>
      <c r="EZ196" s="148">
        <f t="shared" si="458"/>
        <v>0</v>
      </c>
      <c r="FA196" s="150">
        <f t="shared" si="455"/>
        <v>0</v>
      </c>
      <c r="FB196" s="151">
        <f t="shared" si="455"/>
        <v>350</v>
      </c>
      <c r="FC196" s="151">
        <f t="shared" si="455"/>
        <v>0</v>
      </c>
      <c r="FD196" s="152">
        <f t="shared" si="455"/>
        <v>0</v>
      </c>
      <c r="FE196" s="792" t="str">
        <f>IF(FB196&lt;инфо!$AN$77,FB196-инфо!$AN$77,"")</f>
        <v/>
      </c>
      <c r="FF196" s="153"/>
      <c r="FG196" s="153"/>
      <c r="FH196" s="153"/>
    </row>
    <row r="197" spans="2:164" s="138" customFormat="1" ht="32.1" customHeight="1" thickBot="1" x14ac:dyDescent="0.4">
      <c r="B197" s="174" t="s">
        <v>175</v>
      </c>
      <c r="C197" s="156"/>
      <c r="D197" s="306"/>
      <c r="E197" s="319" t="s">
        <v>176</v>
      </c>
      <c r="F197" s="851"/>
      <c r="G197" s="826"/>
      <c r="H197" s="592" t="s">
        <v>1425</v>
      </c>
      <c r="I197" s="605" t="s">
        <v>195</v>
      </c>
      <c r="J197" s="542">
        <f>SUMIF($E153:$E196,$E197,J153:J196)</f>
        <v>20</v>
      </c>
      <c r="K197" s="543">
        <f t="shared" ref="K197:CU197" si="459">SUMIF($E153:$E196,$E197,K153:K196)</f>
        <v>166</v>
      </c>
      <c r="L197" s="543">
        <f t="shared" si="459"/>
        <v>0</v>
      </c>
      <c r="M197" s="543">
        <f t="shared" si="459"/>
        <v>0</v>
      </c>
      <c r="N197" s="543">
        <f t="shared" si="459"/>
        <v>0</v>
      </c>
      <c r="O197" s="543">
        <f t="shared" si="459"/>
        <v>0</v>
      </c>
      <c r="P197" s="543">
        <f t="shared" si="459"/>
        <v>83</v>
      </c>
      <c r="Q197" s="543">
        <f t="shared" si="459"/>
        <v>0</v>
      </c>
      <c r="R197" s="543">
        <f t="shared" si="459"/>
        <v>0</v>
      </c>
      <c r="S197" s="543">
        <f t="shared" si="459"/>
        <v>0</v>
      </c>
      <c r="T197" s="543">
        <f t="shared" ref="T197:V197" si="460">SUMIF($E153:$E196,$E197,T153:T196)</f>
        <v>0</v>
      </c>
      <c r="U197" s="543">
        <f t="shared" si="460"/>
        <v>0</v>
      </c>
      <c r="V197" s="543">
        <f t="shared" si="460"/>
        <v>0</v>
      </c>
      <c r="W197" s="544">
        <f t="shared" si="459"/>
        <v>0</v>
      </c>
      <c r="X197" s="544">
        <f t="shared" si="459"/>
        <v>11.8</v>
      </c>
      <c r="Y197" s="544">
        <f t="shared" ref="Y197" si="461">SUMIF($E153:$E196,$E197,Y153:Y196)</f>
        <v>0</v>
      </c>
      <c r="Z197" s="544">
        <f t="shared" si="459"/>
        <v>150</v>
      </c>
      <c r="AA197" s="544">
        <f t="shared" si="459"/>
        <v>300</v>
      </c>
      <c r="AB197" s="544">
        <f t="shared" ref="AB197:AC197" si="462">SUMIF($E153:$E196,$E197,AB153:AB196)</f>
        <v>0</v>
      </c>
      <c r="AC197" s="544">
        <f t="shared" si="462"/>
        <v>0</v>
      </c>
      <c r="AD197" s="544">
        <f t="shared" si="459"/>
        <v>400</v>
      </c>
      <c r="AE197" s="544">
        <f t="shared" si="459"/>
        <v>140</v>
      </c>
      <c r="AF197" s="544">
        <f t="shared" ref="AF197:AH197" si="463">SUMIF($E153:$E196,$E197,AF153:AF196)</f>
        <v>49</v>
      </c>
      <c r="AG197" s="544">
        <f t="shared" si="463"/>
        <v>54</v>
      </c>
      <c r="AH197" s="544">
        <f t="shared" si="463"/>
        <v>0</v>
      </c>
      <c r="AI197" s="544">
        <f t="shared" si="459"/>
        <v>0</v>
      </c>
      <c r="AJ197" s="544">
        <f t="shared" si="459"/>
        <v>0</v>
      </c>
      <c r="AK197" s="544">
        <f t="shared" si="459"/>
        <v>0</v>
      </c>
      <c r="AL197" s="544">
        <f t="shared" si="459"/>
        <v>0</v>
      </c>
      <c r="AM197" s="544">
        <f t="shared" ref="AM197:AS197" si="464">SUMIF($E153:$E196,$E197,AM153:AM196)</f>
        <v>0</v>
      </c>
      <c r="AN197" s="544">
        <f t="shared" si="464"/>
        <v>0</v>
      </c>
      <c r="AO197" s="544">
        <f t="shared" si="464"/>
        <v>10</v>
      </c>
      <c r="AP197" s="544">
        <f t="shared" si="464"/>
        <v>0</v>
      </c>
      <c r="AQ197" s="544">
        <f t="shared" si="464"/>
        <v>0</v>
      </c>
      <c r="AR197" s="544">
        <f t="shared" si="464"/>
        <v>0</v>
      </c>
      <c r="AS197" s="544">
        <f t="shared" si="464"/>
        <v>20</v>
      </c>
      <c r="AT197" s="544">
        <f t="shared" si="459"/>
        <v>0</v>
      </c>
      <c r="AU197" s="544">
        <f t="shared" ref="AU197:BD197" si="465">SUMIF($E153:$E196,$E197,AU153:AU196)</f>
        <v>0</v>
      </c>
      <c r="AV197" s="544">
        <f t="shared" si="465"/>
        <v>0</v>
      </c>
      <c r="AW197" s="544">
        <f t="shared" si="465"/>
        <v>0</v>
      </c>
      <c r="AX197" s="544">
        <f t="shared" si="465"/>
        <v>0</v>
      </c>
      <c r="AY197" s="544">
        <f t="shared" si="465"/>
        <v>0</v>
      </c>
      <c r="AZ197" s="544">
        <f t="shared" si="465"/>
        <v>0</v>
      </c>
      <c r="BA197" s="544">
        <f t="shared" si="465"/>
        <v>0</v>
      </c>
      <c r="BB197" s="544">
        <f t="shared" si="465"/>
        <v>0</v>
      </c>
      <c r="BC197" s="544">
        <f t="shared" si="465"/>
        <v>0</v>
      </c>
      <c r="BD197" s="544">
        <f t="shared" si="465"/>
        <v>0</v>
      </c>
      <c r="BE197" s="545">
        <f t="shared" ref="BE197:BP197" si="466">SUMIF($E153:$E196,$E197,BE153:BE196)</f>
        <v>150</v>
      </c>
      <c r="BF197" s="545">
        <f t="shared" si="466"/>
        <v>0</v>
      </c>
      <c r="BG197" s="545">
        <f t="shared" si="466"/>
        <v>0</v>
      </c>
      <c r="BH197" s="545">
        <f t="shared" si="466"/>
        <v>22</v>
      </c>
      <c r="BI197" s="545">
        <f t="shared" ref="BI197:BL197" si="467">SUMIF($E153:$E196,$E197,BI153:BI196)</f>
        <v>0</v>
      </c>
      <c r="BJ197" s="545">
        <f t="shared" si="467"/>
        <v>20</v>
      </c>
      <c r="BK197" s="545">
        <f t="shared" si="467"/>
        <v>0</v>
      </c>
      <c r="BL197" s="545">
        <f t="shared" si="467"/>
        <v>0</v>
      </c>
      <c r="BM197" s="545">
        <f t="shared" si="466"/>
        <v>0</v>
      </c>
      <c r="BN197" s="546">
        <f t="shared" si="466"/>
        <v>60</v>
      </c>
      <c r="BO197" s="546">
        <f t="shared" si="466"/>
        <v>25.8</v>
      </c>
      <c r="BP197" s="546">
        <f t="shared" si="466"/>
        <v>0</v>
      </c>
      <c r="BQ197" s="546">
        <f t="shared" ref="BQ197" si="468">SUMIF($E153:$E196,$E197,BQ153:BQ196)</f>
        <v>0</v>
      </c>
      <c r="BR197" s="546">
        <f t="shared" ref="BR197:BU197" si="469">SUMIF($E153:$E196,$E197,BR153:BR196)</f>
        <v>0</v>
      </c>
      <c r="BS197" s="546">
        <f t="shared" si="469"/>
        <v>0</v>
      </c>
      <c r="BT197" s="546">
        <f t="shared" si="469"/>
        <v>0</v>
      </c>
      <c r="BU197" s="546">
        <f t="shared" si="469"/>
        <v>50</v>
      </c>
      <c r="BV197" s="543">
        <f t="shared" ref="BV197:BX197" si="470">SUMIF($E153:$E196,$E197,BV153:BV196)</f>
        <v>0</v>
      </c>
      <c r="BW197" s="543">
        <f t="shared" si="470"/>
        <v>100</v>
      </c>
      <c r="BX197" s="543">
        <f t="shared" si="470"/>
        <v>0</v>
      </c>
      <c r="BY197" s="543">
        <f t="shared" ref="BY197:BZ197" si="471">SUMIF($E153:$E196,$E197,BY153:BY196)</f>
        <v>0</v>
      </c>
      <c r="BZ197" s="543">
        <f t="shared" si="471"/>
        <v>0</v>
      </c>
      <c r="CA197" s="543">
        <f t="shared" si="459"/>
        <v>0</v>
      </c>
      <c r="CB197" s="543">
        <f t="shared" si="459"/>
        <v>0</v>
      </c>
      <c r="CC197" s="547">
        <f t="shared" si="459"/>
        <v>0</v>
      </c>
      <c r="CD197" s="547">
        <f t="shared" si="459"/>
        <v>25</v>
      </c>
      <c r="CE197" s="547">
        <f t="shared" si="459"/>
        <v>0</v>
      </c>
      <c r="CF197" s="547">
        <f t="shared" si="459"/>
        <v>80</v>
      </c>
      <c r="CG197" s="547">
        <f t="shared" si="459"/>
        <v>0</v>
      </c>
      <c r="CH197" s="547">
        <f t="shared" si="459"/>
        <v>0</v>
      </c>
      <c r="CI197" s="547">
        <f t="shared" si="459"/>
        <v>0</v>
      </c>
      <c r="CJ197" s="547">
        <f t="shared" ref="CJ197" si="472">SUMIF($E153:$E196,$E197,CJ153:CJ196)</f>
        <v>0</v>
      </c>
      <c r="CK197" s="547">
        <f t="shared" ref="CK197" si="473">SUMIF($E153:$E196,$E197,CK153:CK196)</f>
        <v>0</v>
      </c>
      <c r="CL197" s="547">
        <f t="shared" si="459"/>
        <v>0</v>
      </c>
      <c r="CM197" s="547">
        <f t="shared" si="459"/>
        <v>0</v>
      </c>
      <c r="CN197" s="547">
        <f t="shared" ref="CN197:CQ197" si="474">SUMIF($E153:$E196,$E197,CN153:CN196)</f>
        <v>0</v>
      </c>
      <c r="CO197" s="547">
        <f t="shared" si="474"/>
        <v>0</v>
      </c>
      <c r="CP197" s="547">
        <f t="shared" si="474"/>
        <v>0</v>
      </c>
      <c r="CQ197" s="547">
        <f t="shared" si="474"/>
        <v>0</v>
      </c>
      <c r="CR197" s="547">
        <f t="shared" si="459"/>
        <v>0</v>
      </c>
      <c r="CS197" s="548">
        <f t="shared" si="459"/>
        <v>0</v>
      </c>
      <c r="CT197" s="548">
        <f t="shared" ref="CT197" si="475">SUMIF($E153:$E196,$E197,CT153:CT196)</f>
        <v>0</v>
      </c>
      <c r="CU197" s="548">
        <f t="shared" si="459"/>
        <v>0</v>
      </c>
      <c r="CV197" s="548">
        <f t="shared" ref="CV197:DE197" si="476">SUMIF($E153:$E196,$E197,CV153:CV196)</f>
        <v>0</v>
      </c>
      <c r="CW197" s="548">
        <f t="shared" si="476"/>
        <v>0</v>
      </c>
      <c r="CX197" s="548">
        <f t="shared" si="476"/>
        <v>0</v>
      </c>
      <c r="CY197" s="548">
        <f t="shared" si="476"/>
        <v>120</v>
      </c>
      <c r="CZ197" s="548">
        <f t="shared" ref="CZ197" si="477">SUMIF($E153:$E196,$E197,CZ153:CZ196)</f>
        <v>0</v>
      </c>
      <c r="DA197" s="548">
        <f t="shared" si="476"/>
        <v>0</v>
      </c>
      <c r="DB197" s="548">
        <f t="shared" si="476"/>
        <v>0</v>
      </c>
      <c r="DC197" s="548">
        <f t="shared" si="476"/>
        <v>0</v>
      </c>
      <c r="DD197" s="548">
        <f t="shared" ref="DD197" si="478">SUMIF($E153:$E196,$E197,DD153:DD196)</f>
        <v>0</v>
      </c>
      <c r="DE197" s="548">
        <f t="shared" si="476"/>
        <v>0</v>
      </c>
      <c r="DF197" s="548">
        <f t="shared" ref="DF197:FD197" si="479">SUMIF($E153:$E196,$E197,DF153:DF196)</f>
        <v>0</v>
      </c>
      <c r="DG197" s="548">
        <f t="shared" si="479"/>
        <v>0</v>
      </c>
      <c r="DH197" s="548">
        <f t="shared" si="479"/>
        <v>0</v>
      </c>
      <c r="DI197" s="548">
        <f t="shared" ref="DI197:DQ197" si="480">SUMIF($E153:$E196,$E197,DI153:DI196)</f>
        <v>0</v>
      </c>
      <c r="DJ197" s="548">
        <f t="shared" si="480"/>
        <v>0</v>
      </c>
      <c r="DK197" s="548">
        <f t="shared" si="480"/>
        <v>0</v>
      </c>
      <c r="DL197" s="548">
        <f t="shared" si="480"/>
        <v>0</v>
      </c>
      <c r="DM197" s="548">
        <f t="shared" si="480"/>
        <v>0</v>
      </c>
      <c r="DN197" s="950">
        <f t="shared" si="480"/>
        <v>0</v>
      </c>
      <c r="DO197" s="545">
        <f t="shared" si="480"/>
        <v>110</v>
      </c>
      <c r="DP197" s="545">
        <f t="shared" si="480"/>
        <v>22.7</v>
      </c>
      <c r="DQ197" s="545">
        <f t="shared" si="480"/>
        <v>2.4E-2</v>
      </c>
      <c r="DR197" s="545">
        <f t="shared" si="479"/>
        <v>0.57000000000000006</v>
      </c>
      <c r="DS197" s="545">
        <f t="shared" si="479"/>
        <v>2.8</v>
      </c>
      <c r="DT197" s="545">
        <f t="shared" si="479"/>
        <v>0</v>
      </c>
      <c r="DU197" s="545">
        <f t="shared" si="479"/>
        <v>0</v>
      </c>
      <c r="DV197" s="545">
        <f t="shared" si="479"/>
        <v>0</v>
      </c>
      <c r="DW197" s="545">
        <f t="shared" si="479"/>
        <v>1</v>
      </c>
      <c r="DX197" s="545">
        <f t="shared" si="479"/>
        <v>0</v>
      </c>
      <c r="DY197" s="545">
        <f t="shared" ref="DY197:EO197" si="481">SUMIF($E153:$E196,$E197,DY153:DY196)</f>
        <v>0</v>
      </c>
      <c r="DZ197" s="545">
        <f t="shared" si="481"/>
        <v>0</v>
      </c>
      <c r="EA197" s="545">
        <f t="shared" si="481"/>
        <v>1005.7</v>
      </c>
      <c r="EB197" s="545">
        <f t="shared" si="481"/>
        <v>816</v>
      </c>
      <c r="EC197" s="545">
        <f t="shared" si="481"/>
        <v>400</v>
      </c>
      <c r="ED197" s="545">
        <f t="shared" si="481"/>
        <v>1</v>
      </c>
      <c r="EE197" s="545">
        <f t="shared" si="481"/>
        <v>0</v>
      </c>
      <c r="EF197" s="545">
        <f t="shared" si="481"/>
        <v>1.5</v>
      </c>
      <c r="EG197" s="545">
        <f t="shared" si="481"/>
        <v>0</v>
      </c>
      <c r="EH197" s="545">
        <f t="shared" si="481"/>
        <v>0</v>
      </c>
      <c r="EI197" s="545">
        <f t="shared" si="481"/>
        <v>0</v>
      </c>
      <c r="EJ197" s="545">
        <f t="shared" si="481"/>
        <v>0</v>
      </c>
      <c r="EK197" s="545">
        <f t="shared" si="481"/>
        <v>0</v>
      </c>
      <c r="EL197" s="545">
        <f t="shared" si="481"/>
        <v>0</v>
      </c>
      <c r="EM197" s="545">
        <f t="shared" si="481"/>
        <v>0</v>
      </c>
      <c r="EN197" s="545">
        <f t="shared" si="481"/>
        <v>0</v>
      </c>
      <c r="EO197" s="545">
        <f t="shared" si="481"/>
        <v>20</v>
      </c>
      <c r="EP197" s="545">
        <f t="shared" ref="EP197:EZ197" si="482">SUMIF($E153:$E196,$E197,EP153:EP196)</f>
        <v>0</v>
      </c>
      <c r="EQ197" s="545">
        <f t="shared" si="482"/>
        <v>60</v>
      </c>
      <c r="ER197" s="545">
        <f t="shared" si="482"/>
        <v>0</v>
      </c>
      <c r="ES197" s="545">
        <f t="shared" si="482"/>
        <v>0</v>
      </c>
      <c r="ET197" s="545">
        <f t="shared" si="482"/>
        <v>0</v>
      </c>
      <c r="EU197" s="545">
        <f t="shared" si="482"/>
        <v>0</v>
      </c>
      <c r="EV197" s="545">
        <f t="shared" si="482"/>
        <v>0</v>
      </c>
      <c r="EW197" s="545">
        <f t="shared" si="482"/>
        <v>0</v>
      </c>
      <c r="EX197" s="545">
        <f t="shared" si="482"/>
        <v>0</v>
      </c>
      <c r="EY197" s="545">
        <f t="shared" si="482"/>
        <v>0</v>
      </c>
      <c r="EZ197" s="545">
        <f t="shared" si="482"/>
        <v>0</v>
      </c>
      <c r="FA197" s="549">
        <f t="shared" si="479"/>
        <v>1920</v>
      </c>
      <c r="FB197" s="549">
        <f t="shared" si="479"/>
        <v>3862</v>
      </c>
      <c r="FC197" s="549">
        <f t="shared" si="479"/>
        <v>234.4</v>
      </c>
      <c r="FD197" s="550">
        <f t="shared" si="479"/>
        <v>360</v>
      </c>
      <c r="FE197" s="791" t="str">
        <f>IF(FB197&lt;инфо!$AN$73,FB197-инфо!$AN$73,"")</f>
        <v/>
      </c>
      <c r="FF197" s="157"/>
      <c r="FG197" s="157"/>
      <c r="FH197" s="157"/>
    </row>
    <row r="198" spans="2:164" ht="26.1" customHeight="1" outlineLevel="1" thickBot="1" x14ac:dyDescent="0.3">
      <c r="B198" s="1017" t="s">
        <v>122</v>
      </c>
      <c r="C198" s="1019">
        <f>C153+1</f>
        <v>45131</v>
      </c>
      <c r="D198" s="1036" t="s">
        <v>111</v>
      </c>
      <c r="E198" s="1039" t="s">
        <v>114</v>
      </c>
      <c r="F198" s="831" t="s">
        <v>111</v>
      </c>
      <c r="G198" s="798" t="str">
        <f>VLOOKUP(H198,инфо!AD:AE,2,FALSE)</f>
        <v>Прочее</v>
      </c>
      <c r="H198" s="569" t="s">
        <v>1206</v>
      </c>
      <c r="I198" s="609" t="s">
        <v>936</v>
      </c>
      <c r="J198" s="355"/>
      <c r="K198" s="356"/>
      <c r="L198" s="356"/>
      <c r="M198" s="356"/>
      <c r="N198" s="356"/>
      <c r="O198" s="356"/>
      <c r="P198" s="356"/>
      <c r="Q198" s="356"/>
      <c r="R198" s="356"/>
      <c r="S198" s="356"/>
      <c r="T198" s="356"/>
      <c r="U198" s="356"/>
      <c r="V198" s="356"/>
      <c r="W198" s="357"/>
      <c r="X198" s="357"/>
      <c r="Y198" s="357"/>
      <c r="Z198" s="357"/>
      <c r="AA198" s="357"/>
      <c r="AB198" s="357"/>
      <c r="AC198" s="357"/>
      <c r="AD198" s="357"/>
      <c r="AE198" s="357"/>
      <c r="AF198" s="357"/>
      <c r="AG198" s="357"/>
      <c r="AH198" s="357"/>
      <c r="AI198" s="357"/>
      <c r="AJ198" s="357"/>
      <c r="AK198" s="357"/>
      <c r="AL198" s="357"/>
      <c r="AM198" s="357"/>
      <c r="AN198" s="357"/>
      <c r="AO198" s="357"/>
      <c r="AP198" s="357"/>
      <c r="AQ198" s="357"/>
      <c r="AR198" s="357"/>
      <c r="AS198" s="357"/>
      <c r="AT198" s="357"/>
      <c r="AU198" s="357"/>
      <c r="AV198" s="357"/>
      <c r="AW198" s="357"/>
      <c r="AX198" s="357"/>
      <c r="AY198" s="357"/>
      <c r="AZ198" s="357"/>
      <c r="BA198" s="357"/>
      <c r="BB198" s="357"/>
      <c r="BC198" s="357"/>
      <c r="BD198" s="357"/>
      <c r="BE198" s="358"/>
      <c r="BF198" s="358"/>
      <c r="BG198" s="358"/>
      <c r="BH198" s="358"/>
      <c r="BI198" s="358"/>
      <c r="BJ198" s="358"/>
      <c r="BK198" s="358"/>
      <c r="BL198" s="358"/>
      <c r="BM198" s="358"/>
      <c r="BN198" s="359"/>
      <c r="BO198" s="359"/>
      <c r="BP198" s="359"/>
      <c r="BQ198" s="359"/>
      <c r="BR198" s="359"/>
      <c r="BS198" s="359"/>
      <c r="BT198" s="359"/>
      <c r="BU198" s="359"/>
      <c r="BV198" s="356"/>
      <c r="BW198" s="356"/>
      <c r="BX198" s="356"/>
      <c r="BY198" s="356"/>
      <c r="BZ198" s="356"/>
      <c r="CA198" s="356"/>
      <c r="CB198" s="356"/>
      <c r="CC198" s="360"/>
      <c r="CD198" s="360"/>
      <c r="CE198" s="360"/>
      <c r="CF198" s="360">
        <v>80</v>
      </c>
      <c r="CG198" s="360"/>
      <c r="CH198" s="360"/>
      <c r="CI198" s="360"/>
      <c r="CJ198" s="360"/>
      <c r="CK198" s="360"/>
      <c r="CL198" s="360"/>
      <c r="CM198" s="360"/>
      <c r="CN198" s="360"/>
      <c r="CO198" s="360"/>
      <c r="CP198" s="360"/>
      <c r="CQ198" s="360"/>
      <c r="CR198" s="360"/>
      <c r="CS198" s="361"/>
      <c r="CT198" s="361"/>
      <c r="CU198" s="361"/>
      <c r="CV198" s="361"/>
      <c r="CW198" s="361"/>
      <c r="CX198" s="361"/>
      <c r="CY198" s="361"/>
      <c r="CZ198" s="361"/>
      <c r="DA198" s="361"/>
      <c r="DB198" s="361"/>
      <c r="DC198" s="361"/>
      <c r="DD198" s="361"/>
      <c r="DE198" s="361"/>
      <c r="DF198" s="361"/>
      <c r="DG198" s="361"/>
      <c r="DH198" s="361"/>
      <c r="DI198" s="361"/>
      <c r="DJ198" s="361"/>
      <c r="DK198" s="361"/>
      <c r="DL198" s="361"/>
      <c r="DM198" s="361"/>
      <c r="DN198" s="931"/>
      <c r="DO198" s="362"/>
      <c r="DP198" s="362"/>
      <c r="DQ198" s="363"/>
      <c r="DR198" s="363"/>
      <c r="DS198" s="358"/>
      <c r="DT198" s="358"/>
      <c r="DU198" s="358"/>
      <c r="DV198" s="358"/>
      <c r="DW198" s="358"/>
      <c r="DX198" s="358"/>
      <c r="DY198" s="358"/>
      <c r="DZ198" s="358"/>
      <c r="EA198" s="358"/>
      <c r="EB198" s="358"/>
      <c r="EC198" s="358"/>
      <c r="ED198" s="358"/>
      <c r="EE198" s="358"/>
      <c r="EF198" s="358"/>
      <c r="EG198" s="358"/>
      <c r="EH198" s="358"/>
      <c r="EI198" s="358"/>
      <c r="EJ198" s="358"/>
      <c r="EK198" s="358"/>
      <c r="EL198" s="358"/>
      <c r="EM198" s="358"/>
      <c r="EN198" s="358"/>
      <c r="EO198" s="358"/>
      <c r="EP198" s="358"/>
      <c r="EQ198" s="358"/>
      <c r="ER198" s="358"/>
      <c r="ES198" s="358"/>
      <c r="ET198" s="358"/>
      <c r="EU198" s="358"/>
      <c r="EV198" s="358"/>
      <c r="EW198" s="358"/>
      <c r="EX198" s="358"/>
      <c r="EY198" s="358"/>
      <c r="EZ198" s="358"/>
      <c r="FA198" s="364"/>
      <c r="FB198" s="365">
        <v>78</v>
      </c>
      <c r="FC198" s="366">
        <v>78</v>
      </c>
      <c r="FD198" s="367">
        <f>SUM(BE198:BG198,BI198,BL198:BM198)+SUM(BH198,BJ198,BK198)*5</f>
        <v>0</v>
      </c>
      <c r="FE198" s="789"/>
    </row>
    <row r="199" spans="2:164" ht="26.1" customHeight="1" outlineLevel="1" thickBot="1" x14ac:dyDescent="0.3">
      <c r="B199" s="1018"/>
      <c r="C199" s="1020"/>
      <c r="D199" s="1036"/>
      <c r="E199" s="1039"/>
      <c r="F199" s="832" t="s">
        <v>111</v>
      </c>
      <c r="G199" s="799" t="str">
        <f>VLOOKUP(H199,инфо!AD:AE,2,FALSE)</f>
        <v>Гарниры</v>
      </c>
      <c r="H199" s="570" t="s">
        <v>1198</v>
      </c>
      <c r="I199" s="600" t="s">
        <v>1016</v>
      </c>
      <c r="J199" s="368"/>
      <c r="K199" s="369"/>
      <c r="L199" s="369"/>
      <c r="M199" s="369"/>
      <c r="N199" s="369"/>
      <c r="O199" s="369"/>
      <c r="P199" s="369"/>
      <c r="Q199" s="369">
        <v>83</v>
      </c>
      <c r="R199" s="369"/>
      <c r="S199" s="369"/>
      <c r="T199" s="369"/>
      <c r="U199" s="369"/>
      <c r="V199" s="369"/>
      <c r="W199" s="370"/>
      <c r="X199" s="370"/>
      <c r="Y199" s="370"/>
      <c r="Z199" s="370"/>
      <c r="AA199" s="370"/>
      <c r="AB199" s="370"/>
      <c r="AC199" s="370"/>
      <c r="AD199" s="370"/>
      <c r="AE199" s="370"/>
      <c r="AF199" s="370"/>
      <c r="AG199" s="370"/>
      <c r="AH199" s="370"/>
      <c r="AI199" s="370"/>
      <c r="AJ199" s="370"/>
      <c r="AK199" s="370"/>
      <c r="AL199" s="370"/>
      <c r="AM199" s="370"/>
      <c r="AN199" s="370"/>
      <c r="AO199" s="370"/>
      <c r="AP199" s="370"/>
      <c r="AQ199" s="370"/>
      <c r="AR199" s="370"/>
      <c r="AS199" s="370"/>
      <c r="AT199" s="370"/>
      <c r="AU199" s="370"/>
      <c r="AV199" s="370"/>
      <c r="AW199" s="370"/>
      <c r="AX199" s="370"/>
      <c r="AY199" s="370"/>
      <c r="AZ199" s="370"/>
      <c r="BA199" s="370"/>
      <c r="BB199" s="370"/>
      <c r="BC199" s="370"/>
      <c r="BD199" s="370"/>
      <c r="BE199" s="371"/>
      <c r="BF199" s="371"/>
      <c r="BG199" s="371"/>
      <c r="BH199" s="371"/>
      <c r="BI199" s="371"/>
      <c r="BJ199" s="371"/>
      <c r="BK199" s="371"/>
      <c r="BL199" s="371"/>
      <c r="BM199" s="371"/>
      <c r="BN199" s="372"/>
      <c r="BO199" s="372"/>
      <c r="BP199" s="372"/>
      <c r="BQ199" s="372"/>
      <c r="BR199" s="372"/>
      <c r="BS199" s="372"/>
      <c r="BT199" s="372"/>
      <c r="BU199" s="372"/>
      <c r="BV199" s="369"/>
      <c r="BW199" s="369"/>
      <c r="BX199" s="369"/>
      <c r="BY199" s="369"/>
      <c r="BZ199" s="369"/>
      <c r="CA199" s="369"/>
      <c r="CB199" s="369"/>
      <c r="CC199" s="373"/>
      <c r="CD199" s="373"/>
      <c r="CE199" s="373"/>
      <c r="CF199" s="373"/>
      <c r="CG199" s="373"/>
      <c r="CH199" s="373"/>
      <c r="CI199" s="373"/>
      <c r="CJ199" s="373"/>
      <c r="CK199" s="373"/>
      <c r="CL199" s="373"/>
      <c r="CM199" s="373"/>
      <c r="CN199" s="373"/>
      <c r="CO199" s="373"/>
      <c r="CP199" s="373"/>
      <c r="CQ199" s="373"/>
      <c r="CR199" s="373"/>
      <c r="CS199" s="374"/>
      <c r="CT199" s="374"/>
      <c r="CU199" s="374"/>
      <c r="CV199" s="374"/>
      <c r="CW199" s="374"/>
      <c r="CX199" s="374"/>
      <c r="CY199" s="374"/>
      <c r="CZ199" s="374"/>
      <c r="DA199" s="374"/>
      <c r="DB199" s="374"/>
      <c r="DC199" s="374"/>
      <c r="DD199" s="374"/>
      <c r="DE199" s="374"/>
      <c r="DF199" s="374"/>
      <c r="DG199" s="374"/>
      <c r="DH199" s="374"/>
      <c r="DI199" s="374"/>
      <c r="DJ199" s="374"/>
      <c r="DK199" s="374"/>
      <c r="DL199" s="374"/>
      <c r="DM199" s="374"/>
      <c r="DN199" s="932"/>
      <c r="DO199" s="375"/>
      <c r="DP199" s="375">
        <v>3</v>
      </c>
      <c r="DQ199" s="376"/>
      <c r="DR199" s="376"/>
      <c r="DS199" s="371"/>
      <c r="DT199" s="371"/>
      <c r="DU199" s="371"/>
      <c r="DV199" s="371"/>
      <c r="DW199" s="371"/>
      <c r="DX199" s="371"/>
      <c r="DY199" s="371"/>
      <c r="DZ199" s="371"/>
      <c r="EA199" s="371">
        <v>174.3</v>
      </c>
      <c r="EB199" s="371"/>
      <c r="EC199" s="371"/>
      <c r="ED199" s="371"/>
      <c r="EE199" s="371"/>
      <c r="EF199" s="371"/>
      <c r="EG199" s="371"/>
      <c r="EH199" s="371"/>
      <c r="EI199" s="371"/>
      <c r="EJ199" s="371"/>
      <c r="EK199" s="371"/>
      <c r="EL199" s="371"/>
      <c r="EM199" s="371"/>
      <c r="EN199" s="371"/>
      <c r="EO199" s="371"/>
      <c r="EP199" s="371"/>
      <c r="EQ199" s="371"/>
      <c r="ER199" s="371"/>
      <c r="ES199" s="371"/>
      <c r="ET199" s="371"/>
      <c r="EU199" s="371"/>
      <c r="EV199" s="371"/>
      <c r="EW199" s="371"/>
      <c r="EX199" s="371"/>
      <c r="EY199" s="371"/>
      <c r="EZ199" s="371"/>
      <c r="FA199" s="377">
        <v>415</v>
      </c>
      <c r="FB199" s="378">
        <v>232</v>
      </c>
      <c r="FC199" s="378"/>
      <c r="FD199" s="379">
        <f t="shared" ref="FD199:FD207" si="483">SUM(BE199:BG199,BI199,BL199:BM199)+SUM(BH199,BJ199,BK199)*5</f>
        <v>0</v>
      </c>
      <c r="FE199" s="790"/>
    </row>
    <row r="200" spans="2:164" ht="26.1" customHeight="1" outlineLevel="1" thickBot="1" x14ac:dyDescent="0.3">
      <c r="B200" s="1018"/>
      <c r="C200" s="1020"/>
      <c r="D200" s="1036"/>
      <c r="E200" s="1040"/>
      <c r="F200" s="833" t="s">
        <v>111</v>
      </c>
      <c r="G200" s="800" t="e">
        <f>VLOOKUP(H200,инфо!AD:AE,2,FALSE)</f>
        <v>#N/A</v>
      </c>
      <c r="H200" s="571"/>
      <c r="I200" s="571"/>
      <c r="J200" s="380"/>
      <c r="K200" s="381"/>
      <c r="L200" s="381"/>
      <c r="M200" s="381"/>
      <c r="N200" s="381"/>
      <c r="O200" s="381"/>
      <c r="P200" s="381"/>
      <c r="Q200" s="381"/>
      <c r="R200" s="381"/>
      <c r="S200" s="381"/>
      <c r="T200" s="381"/>
      <c r="U200" s="381"/>
      <c r="V200" s="381"/>
      <c r="W200" s="382"/>
      <c r="X200" s="382"/>
      <c r="Y200" s="382"/>
      <c r="Z200" s="382"/>
      <c r="AA200" s="382"/>
      <c r="AB200" s="382"/>
      <c r="AC200" s="382"/>
      <c r="AD200" s="382"/>
      <c r="AE200" s="382"/>
      <c r="AF200" s="382"/>
      <c r="AG200" s="382"/>
      <c r="AH200" s="382"/>
      <c r="AI200" s="382"/>
      <c r="AJ200" s="382"/>
      <c r="AK200" s="382"/>
      <c r="AL200" s="382"/>
      <c r="AM200" s="382"/>
      <c r="AN200" s="382"/>
      <c r="AO200" s="382"/>
      <c r="AP200" s="382"/>
      <c r="AQ200" s="382"/>
      <c r="AR200" s="382"/>
      <c r="AS200" s="382"/>
      <c r="AT200" s="382"/>
      <c r="AU200" s="382"/>
      <c r="AV200" s="382"/>
      <c r="AW200" s="382"/>
      <c r="AX200" s="382"/>
      <c r="AY200" s="382"/>
      <c r="AZ200" s="382"/>
      <c r="BA200" s="382"/>
      <c r="BB200" s="382"/>
      <c r="BC200" s="382"/>
      <c r="BD200" s="382"/>
      <c r="BE200" s="383"/>
      <c r="BF200" s="383"/>
      <c r="BG200" s="383"/>
      <c r="BH200" s="383"/>
      <c r="BI200" s="383"/>
      <c r="BJ200" s="383"/>
      <c r="BK200" s="383"/>
      <c r="BL200" s="383"/>
      <c r="BM200" s="383"/>
      <c r="BN200" s="384"/>
      <c r="BO200" s="384"/>
      <c r="BP200" s="384"/>
      <c r="BQ200" s="384"/>
      <c r="BR200" s="384"/>
      <c r="BS200" s="384"/>
      <c r="BT200" s="384"/>
      <c r="BU200" s="384"/>
      <c r="BV200" s="381"/>
      <c r="BW200" s="381"/>
      <c r="BX200" s="381"/>
      <c r="BY200" s="381"/>
      <c r="BZ200" s="381"/>
      <c r="CA200" s="381"/>
      <c r="CB200" s="381"/>
      <c r="CC200" s="385"/>
      <c r="CD200" s="385"/>
      <c r="CE200" s="385"/>
      <c r="CF200" s="385"/>
      <c r="CG200" s="385"/>
      <c r="CH200" s="385"/>
      <c r="CI200" s="385"/>
      <c r="CJ200" s="385"/>
      <c r="CK200" s="385"/>
      <c r="CL200" s="385"/>
      <c r="CM200" s="385"/>
      <c r="CN200" s="385"/>
      <c r="CO200" s="385"/>
      <c r="CP200" s="385"/>
      <c r="CQ200" s="385"/>
      <c r="CR200" s="385"/>
      <c r="CS200" s="386"/>
      <c r="CT200" s="386"/>
      <c r="CU200" s="386"/>
      <c r="CV200" s="386"/>
      <c r="CW200" s="386"/>
      <c r="CX200" s="386"/>
      <c r="CY200" s="386"/>
      <c r="CZ200" s="386"/>
      <c r="DA200" s="386"/>
      <c r="DB200" s="386"/>
      <c r="DC200" s="386"/>
      <c r="DD200" s="386"/>
      <c r="DE200" s="386"/>
      <c r="DF200" s="386"/>
      <c r="DG200" s="386"/>
      <c r="DH200" s="386"/>
      <c r="DI200" s="386"/>
      <c r="DJ200" s="386"/>
      <c r="DK200" s="386"/>
      <c r="DL200" s="386"/>
      <c r="DM200" s="386"/>
      <c r="DN200" s="933"/>
      <c r="DO200" s="387"/>
      <c r="DP200" s="387"/>
      <c r="DQ200" s="388"/>
      <c r="DR200" s="388"/>
      <c r="DS200" s="383"/>
      <c r="DT200" s="383"/>
      <c r="DU200" s="383"/>
      <c r="DV200" s="383"/>
      <c r="DW200" s="383"/>
      <c r="DX200" s="383"/>
      <c r="DY200" s="383"/>
      <c r="DZ200" s="383"/>
      <c r="EA200" s="383"/>
      <c r="EB200" s="383"/>
      <c r="EC200" s="383"/>
      <c r="ED200" s="383"/>
      <c r="EE200" s="383"/>
      <c r="EF200" s="383"/>
      <c r="EG200" s="383"/>
      <c r="EH200" s="383"/>
      <c r="EI200" s="383"/>
      <c r="EJ200" s="383"/>
      <c r="EK200" s="383"/>
      <c r="EL200" s="383"/>
      <c r="EM200" s="383"/>
      <c r="EN200" s="383"/>
      <c r="EO200" s="383"/>
      <c r="EP200" s="383"/>
      <c r="EQ200" s="383"/>
      <c r="ER200" s="383"/>
      <c r="ES200" s="383"/>
      <c r="ET200" s="383"/>
      <c r="EU200" s="383"/>
      <c r="EV200" s="383"/>
      <c r="EW200" s="383"/>
      <c r="EX200" s="383"/>
      <c r="EY200" s="383"/>
      <c r="EZ200" s="383"/>
      <c r="FA200" s="389"/>
      <c r="FB200" s="390"/>
      <c r="FC200" s="390"/>
      <c r="FD200" s="391">
        <f t="shared" si="483"/>
        <v>0</v>
      </c>
      <c r="FE200" s="790"/>
    </row>
    <row r="201" spans="2:164" ht="26.1" customHeight="1" outlineLevel="1" thickBot="1" x14ac:dyDescent="0.3">
      <c r="B201" s="1018"/>
      <c r="C201" s="1020"/>
      <c r="D201" s="1036"/>
      <c r="E201" s="1039" t="s">
        <v>115</v>
      </c>
      <c r="F201" s="831" t="s">
        <v>111</v>
      </c>
      <c r="G201" s="798" t="str">
        <f>VLOOKUP(H201,инфо!AD:AE,2,FALSE)</f>
        <v>Прочее</v>
      </c>
      <c r="H201" s="569" t="s">
        <v>1197</v>
      </c>
      <c r="I201" s="609" t="s">
        <v>64</v>
      </c>
      <c r="J201" s="355"/>
      <c r="K201" s="356"/>
      <c r="L201" s="356"/>
      <c r="M201" s="356"/>
      <c r="N201" s="356"/>
      <c r="O201" s="356"/>
      <c r="P201" s="356"/>
      <c r="Q201" s="356"/>
      <c r="R201" s="356"/>
      <c r="S201" s="356"/>
      <c r="T201" s="356"/>
      <c r="U201" s="356"/>
      <c r="V201" s="356"/>
      <c r="W201" s="357"/>
      <c r="X201" s="357"/>
      <c r="Y201" s="357"/>
      <c r="Z201" s="357"/>
      <c r="AA201" s="357"/>
      <c r="AB201" s="357"/>
      <c r="AC201" s="357"/>
      <c r="AD201" s="357"/>
      <c r="AE201" s="357"/>
      <c r="AF201" s="357"/>
      <c r="AG201" s="357"/>
      <c r="AH201" s="357"/>
      <c r="AI201" s="357"/>
      <c r="AJ201" s="357"/>
      <c r="AK201" s="357"/>
      <c r="AL201" s="357"/>
      <c r="AM201" s="357"/>
      <c r="AN201" s="357"/>
      <c r="AO201" s="357"/>
      <c r="AP201" s="357"/>
      <c r="AQ201" s="357"/>
      <c r="AR201" s="357"/>
      <c r="AS201" s="357"/>
      <c r="AT201" s="357"/>
      <c r="AU201" s="357"/>
      <c r="AV201" s="357"/>
      <c r="AW201" s="357"/>
      <c r="AX201" s="357"/>
      <c r="AY201" s="357"/>
      <c r="AZ201" s="357"/>
      <c r="BA201" s="357"/>
      <c r="BB201" s="357"/>
      <c r="BC201" s="357"/>
      <c r="BD201" s="357"/>
      <c r="BE201" s="358"/>
      <c r="BF201" s="358"/>
      <c r="BG201" s="358"/>
      <c r="BH201" s="358"/>
      <c r="BI201" s="358"/>
      <c r="BJ201" s="358"/>
      <c r="BK201" s="358"/>
      <c r="BL201" s="358"/>
      <c r="BM201" s="358"/>
      <c r="BN201" s="359"/>
      <c r="BO201" s="359"/>
      <c r="BP201" s="359"/>
      <c r="BQ201" s="359"/>
      <c r="BR201" s="359"/>
      <c r="BS201" s="359"/>
      <c r="BT201" s="359"/>
      <c r="BU201" s="359"/>
      <c r="BV201" s="356"/>
      <c r="BW201" s="356"/>
      <c r="BX201" s="356"/>
      <c r="BY201" s="356"/>
      <c r="BZ201" s="356"/>
      <c r="CA201" s="356"/>
      <c r="CB201" s="356"/>
      <c r="CC201" s="360"/>
      <c r="CD201" s="360">
        <v>25</v>
      </c>
      <c r="CE201" s="360"/>
      <c r="CF201" s="360"/>
      <c r="CG201" s="360"/>
      <c r="CH201" s="360"/>
      <c r="CI201" s="360"/>
      <c r="CJ201" s="360"/>
      <c r="CK201" s="360"/>
      <c r="CL201" s="360"/>
      <c r="CM201" s="360"/>
      <c r="CN201" s="360"/>
      <c r="CO201" s="360"/>
      <c r="CP201" s="360"/>
      <c r="CQ201" s="360"/>
      <c r="CR201" s="360"/>
      <c r="CS201" s="361"/>
      <c r="CT201" s="361"/>
      <c r="CU201" s="361"/>
      <c r="CV201" s="361"/>
      <c r="CW201" s="361"/>
      <c r="CX201" s="361"/>
      <c r="CY201" s="361"/>
      <c r="CZ201" s="361"/>
      <c r="DA201" s="361"/>
      <c r="DB201" s="361"/>
      <c r="DC201" s="361"/>
      <c r="DD201" s="361"/>
      <c r="DE201" s="361"/>
      <c r="DF201" s="361"/>
      <c r="DG201" s="361"/>
      <c r="DH201" s="361"/>
      <c r="DI201" s="361"/>
      <c r="DJ201" s="361"/>
      <c r="DK201" s="361"/>
      <c r="DL201" s="361"/>
      <c r="DM201" s="361"/>
      <c r="DN201" s="931"/>
      <c r="DO201" s="362"/>
      <c r="DP201" s="362"/>
      <c r="DQ201" s="363"/>
      <c r="DR201" s="363"/>
      <c r="DS201" s="358"/>
      <c r="DT201" s="358"/>
      <c r="DU201" s="358"/>
      <c r="DV201" s="358"/>
      <c r="DW201" s="358"/>
      <c r="DX201" s="358"/>
      <c r="DY201" s="358"/>
      <c r="DZ201" s="358"/>
      <c r="EA201" s="358"/>
      <c r="EB201" s="358"/>
      <c r="EC201" s="358"/>
      <c r="ED201" s="358"/>
      <c r="EE201" s="358"/>
      <c r="EF201" s="358"/>
      <c r="EG201" s="358"/>
      <c r="EH201" s="358"/>
      <c r="EI201" s="358"/>
      <c r="EJ201" s="358"/>
      <c r="EK201" s="358"/>
      <c r="EL201" s="358"/>
      <c r="EM201" s="358"/>
      <c r="EN201" s="358"/>
      <c r="EO201" s="358"/>
      <c r="EP201" s="358"/>
      <c r="EQ201" s="358"/>
      <c r="ER201" s="358"/>
      <c r="ES201" s="358"/>
      <c r="ET201" s="358"/>
      <c r="EU201" s="358"/>
      <c r="EV201" s="358"/>
      <c r="EW201" s="358"/>
      <c r="EX201" s="358"/>
      <c r="EY201" s="358"/>
      <c r="EZ201" s="358"/>
      <c r="FA201" s="364"/>
      <c r="FB201" s="365">
        <v>25</v>
      </c>
      <c r="FC201" s="365"/>
      <c r="FD201" s="367">
        <f t="shared" si="483"/>
        <v>0</v>
      </c>
      <c r="FE201" s="790"/>
    </row>
    <row r="202" spans="2:164" ht="26.1" customHeight="1" outlineLevel="1" thickBot="1" x14ac:dyDescent="0.3">
      <c r="B202" s="1018"/>
      <c r="C202" s="1020"/>
      <c r="D202" s="1036"/>
      <c r="E202" s="1039"/>
      <c r="F202" s="832" t="s">
        <v>111</v>
      </c>
      <c r="G202" s="799" t="str">
        <f>VLOOKUP(H202,инфо!AD:AE,2,FALSE)</f>
        <v>Прочее</v>
      </c>
      <c r="H202" s="572" t="s">
        <v>1197</v>
      </c>
      <c r="I202" s="589" t="s">
        <v>1146</v>
      </c>
      <c r="J202" s="368"/>
      <c r="K202" s="369"/>
      <c r="L202" s="369"/>
      <c r="M202" s="369"/>
      <c r="N202" s="369"/>
      <c r="O202" s="369"/>
      <c r="P202" s="369"/>
      <c r="Q202" s="369"/>
      <c r="R202" s="369"/>
      <c r="S202" s="369"/>
      <c r="T202" s="369"/>
      <c r="U202" s="369"/>
      <c r="V202" s="369"/>
      <c r="W202" s="370"/>
      <c r="X202" s="370"/>
      <c r="Y202" s="370"/>
      <c r="Z202" s="370"/>
      <c r="AA202" s="370"/>
      <c r="AB202" s="370"/>
      <c r="AC202" s="370"/>
      <c r="AD202" s="370"/>
      <c r="AE202" s="370"/>
      <c r="AF202" s="370"/>
      <c r="AG202" s="370"/>
      <c r="AH202" s="370"/>
      <c r="AI202" s="370"/>
      <c r="AJ202" s="370"/>
      <c r="AK202" s="370"/>
      <c r="AL202" s="370"/>
      <c r="AM202" s="370"/>
      <c r="AN202" s="370"/>
      <c r="AO202" s="370"/>
      <c r="AP202" s="370"/>
      <c r="AQ202" s="370"/>
      <c r="AR202" s="370"/>
      <c r="AS202" s="370"/>
      <c r="AT202" s="370"/>
      <c r="AU202" s="370"/>
      <c r="AV202" s="370"/>
      <c r="AW202" s="370"/>
      <c r="AX202" s="370"/>
      <c r="AY202" s="370"/>
      <c r="AZ202" s="370"/>
      <c r="BA202" s="370"/>
      <c r="BB202" s="370"/>
      <c r="BC202" s="370"/>
      <c r="BD202" s="370"/>
      <c r="BE202" s="371"/>
      <c r="BF202" s="371"/>
      <c r="BG202" s="371"/>
      <c r="BH202" s="371"/>
      <c r="BI202" s="371"/>
      <c r="BJ202" s="371"/>
      <c r="BK202" s="371"/>
      <c r="BL202" s="371"/>
      <c r="BM202" s="371"/>
      <c r="BN202" s="372"/>
      <c r="BO202" s="372"/>
      <c r="BP202" s="372"/>
      <c r="BQ202" s="372"/>
      <c r="BR202" s="372"/>
      <c r="BS202" s="372"/>
      <c r="BT202" s="372"/>
      <c r="BU202" s="372"/>
      <c r="BV202" s="369"/>
      <c r="BW202" s="369"/>
      <c r="BX202" s="369"/>
      <c r="BY202" s="369"/>
      <c r="BZ202" s="369"/>
      <c r="CA202" s="369"/>
      <c r="CB202" s="369"/>
      <c r="CC202" s="373"/>
      <c r="CD202" s="373"/>
      <c r="CE202" s="373"/>
      <c r="CF202" s="373"/>
      <c r="CG202" s="373"/>
      <c r="CH202" s="373"/>
      <c r="CI202" s="373"/>
      <c r="CJ202" s="373"/>
      <c r="CK202" s="373"/>
      <c r="CL202" s="373"/>
      <c r="CM202" s="373"/>
      <c r="CN202" s="373"/>
      <c r="CO202" s="373"/>
      <c r="CP202" s="373"/>
      <c r="CQ202" s="373"/>
      <c r="CR202" s="373"/>
      <c r="CS202" s="374"/>
      <c r="CT202" s="374"/>
      <c r="CU202" s="374"/>
      <c r="CV202" s="374"/>
      <c r="CW202" s="374"/>
      <c r="CX202" s="374"/>
      <c r="CY202" s="374"/>
      <c r="CZ202" s="374"/>
      <c r="DA202" s="374"/>
      <c r="DB202" s="374"/>
      <c r="DC202" s="374"/>
      <c r="DD202" s="374"/>
      <c r="DE202" s="374"/>
      <c r="DF202" s="374"/>
      <c r="DG202" s="374"/>
      <c r="DH202" s="374"/>
      <c r="DI202" s="374"/>
      <c r="DJ202" s="374"/>
      <c r="DK202" s="374"/>
      <c r="DL202" s="374"/>
      <c r="DM202" s="374"/>
      <c r="DN202" s="932">
        <v>1</v>
      </c>
      <c r="DO202" s="375"/>
      <c r="DP202" s="375">
        <v>2</v>
      </c>
      <c r="DQ202" s="376"/>
      <c r="DR202" s="376"/>
      <c r="DS202" s="371"/>
      <c r="DT202" s="371"/>
      <c r="DU202" s="371"/>
      <c r="DV202" s="371"/>
      <c r="DW202" s="371"/>
      <c r="DX202" s="371"/>
      <c r="DY202" s="371"/>
      <c r="DZ202" s="371"/>
      <c r="EA202" s="371"/>
      <c r="EB202" s="371"/>
      <c r="EC202" s="371"/>
      <c r="ED202" s="371"/>
      <c r="EE202" s="371"/>
      <c r="EF202" s="371"/>
      <c r="EG202" s="371"/>
      <c r="EH202" s="371"/>
      <c r="EI202" s="371"/>
      <c r="EJ202" s="371"/>
      <c r="EK202" s="371"/>
      <c r="EL202" s="371"/>
      <c r="EM202" s="371"/>
      <c r="EN202" s="371"/>
      <c r="EO202" s="371"/>
      <c r="EP202" s="371"/>
      <c r="EQ202" s="371"/>
      <c r="ER202" s="371"/>
      <c r="ES202" s="371"/>
      <c r="ET202" s="371"/>
      <c r="EU202" s="371"/>
      <c r="EV202" s="371"/>
      <c r="EW202" s="371"/>
      <c r="EX202" s="371"/>
      <c r="EY202" s="371"/>
      <c r="EZ202" s="371"/>
      <c r="FA202" s="377"/>
      <c r="FB202" s="378">
        <v>40</v>
      </c>
      <c r="FC202" s="378"/>
      <c r="FD202" s="379">
        <f t="shared" si="483"/>
        <v>0</v>
      </c>
      <c r="FE202" s="790"/>
    </row>
    <row r="203" spans="2:164" ht="26.1" customHeight="1" outlineLevel="1" thickBot="1" x14ac:dyDescent="0.3">
      <c r="B203" s="1018"/>
      <c r="C203" s="1020"/>
      <c r="D203" s="1036"/>
      <c r="E203" s="1039"/>
      <c r="F203" s="834" t="s">
        <v>111</v>
      </c>
      <c r="G203" s="801" t="str">
        <f>VLOOKUP(H203,инфо!AD:AE,2,FALSE)</f>
        <v>Прочее</v>
      </c>
      <c r="H203" s="573" t="s">
        <v>1197</v>
      </c>
      <c r="I203" s="606" t="s">
        <v>141</v>
      </c>
      <c r="J203" s="392"/>
      <c r="K203" s="393"/>
      <c r="L203" s="393"/>
      <c r="M203" s="393"/>
      <c r="N203" s="393"/>
      <c r="O203" s="393"/>
      <c r="P203" s="393"/>
      <c r="Q203" s="393"/>
      <c r="R203" s="393"/>
      <c r="S203" s="393"/>
      <c r="T203" s="393"/>
      <c r="U203" s="393"/>
      <c r="V203" s="393"/>
      <c r="W203" s="394"/>
      <c r="X203" s="394"/>
      <c r="Y203" s="394"/>
      <c r="Z203" s="394"/>
      <c r="AA203" s="394"/>
      <c r="AB203" s="394"/>
      <c r="AC203" s="394"/>
      <c r="AD203" s="394"/>
      <c r="AE203" s="394"/>
      <c r="AF203" s="394"/>
      <c r="AG203" s="394"/>
      <c r="AH203" s="394"/>
      <c r="AI203" s="394"/>
      <c r="AJ203" s="394"/>
      <c r="AK203" s="394"/>
      <c r="AL203" s="394"/>
      <c r="AM203" s="394"/>
      <c r="AN203" s="394"/>
      <c r="AO203" s="394"/>
      <c r="AP203" s="394"/>
      <c r="AQ203" s="394"/>
      <c r="AR203" s="394"/>
      <c r="AS203" s="394"/>
      <c r="AT203" s="394"/>
      <c r="AU203" s="394">
        <v>20</v>
      </c>
      <c r="AV203" s="394"/>
      <c r="AW203" s="394"/>
      <c r="AX203" s="394"/>
      <c r="AY203" s="394"/>
      <c r="AZ203" s="394"/>
      <c r="BA203" s="394"/>
      <c r="BB203" s="394"/>
      <c r="BC203" s="394"/>
      <c r="BD203" s="394"/>
      <c r="BE203" s="395"/>
      <c r="BF203" s="395"/>
      <c r="BG203" s="395"/>
      <c r="BH203" s="395"/>
      <c r="BI203" s="395"/>
      <c r="BJ203" s="395"/>
      <c r="BK203" s="395"/>
      <c r="BL203" s="395"/>
      <c r="BM203" s="395"/>
      <c r="BN203" s="396"/>
      <c r="BO203" s="396"/>
      <c r="BP203" s="396"/>
      <c r="BQ203" s="396"/>
      <c r="BR203" s="396"/>
      <c r="BS203" s="396"/>
      <c r="BT203" s="396"/>
      <c r="BU203" s="396"/>
      <c r="BV203" s="393"/>
      <c r="BW203" s="393"/>
      <c r="BX203" s="393"/>
      <c r="BY203" s="393"/>
      <c r="BZ203" s="393"/>
      <c r="CA203" s="393"/>
      <c r="CB203" s="393"/>
      <c r="CC203" s="397"/>
      <c r="CD203" s="397"/>
      <c r="CE203" s="397"/>
      <c r="CF203" s="397"/>
      <c r="CG203" s="397"/>
      <c r="CH203" s="397"/>
      <c r="CI203" s="397"/>
      <c r="CJ203" s="397"/>
      <c r="CK203" s="397"/>
      <c r="CL203" s="397"/>
      <c r="CM203" s="397"/>
      <c r="CN203" s="397"/>
      <c r="CO203" s="397"/>
      <c r="CP203" s="397"/>
      <c r="CQ203" s="397"/>
      <c r="CR203" s="397"/>
      <c r="CS203" s="398"/>
      <c r="CT203" s="398"/>
      <c r="CU203" s="398"/>
      <c r="CV203" s="398"/>
      <c r="CW203" s="399"/>
      <c r="CX203" s="398"/>
      <c r="CY203" s="398"/>
      <c r="CZ203" s="398"/>
      <c r="DA203" s="398"/>
      <c r="DB203" s="398"/>
      <c r="DC203" s="398"/>
      <c r="DD203" s="398"/>
      <c r="DE203" s="398"/>
      <c r="DF203" s="398"/>
      <c r="DG203" s="398"/>
      <c r="DH203" s="398"/>
      <c r="DI203" s="398"/>
      <c r="DJ203" s="398"/>
      <c r="DK203" s="398"/>
      <c r="DL203" s="398"/>
      <c r="DM203" s="398"/>
      <c r="DN203" s="934"/>
      <c r="DO203" s="400"/>
      <c r="DP203" s="400"/>
      <c r="DQ203" s="401"/>
      <c r="DR203" s="401"/>
      <c r="DS203" s="395"/>
      <c r="DT203" s="395"/>
      <c r="DU203" s="395"/>
      <c r="DV203" s="395"/>
      <c r="DW203" s="395"/>
      <c r="DX203" s="395"/>
      <c r="DY203" s="395"/>
      <c r="DZ203" s="395"/>
      <c r="EA203" s="395"/>
      <c r="EB203" s="395"/>
      <c r="EC203" s="395"/>
      <c r="ED203" s="395"/>
      <c r="EE203" s="395"/>
      <c r="EF203" s="395"/>
      <c r="EG203" s="395"/>
      <c r="EH203" s="395"/>
      <c r="EI203" s="395"/>
      <c r="EJ203" s="395"/>
      <c r="EK203" s="395"/>
      <c r="EL203" s="395"/>
      <c r="EM203" s="395"/>
      <c r="EN203" s="395"/>
      <c r="EO203" s="395"/>
      <c r="EP203" s="395"/>
      <c r="EQ203" s="395"/>
      <c r="ER203" s="395"/>
      <c r="ES203" s="395"/>
      <c r="ET203" s="395"/>
      <c r="EU203" s="395"/>
      <c r="EV203" s="395"/>
      <c r="EW203" s="395"/>
      <c r="EX203" s="395"/>
      <c r="EY203" s="395"/>
      <c r="EZ203" s="395"/>
      <c r="FA203" s="402"/>
      <c r="FB203" s="403">
        <v>20</v>
      </c>
      <c r="FC203" s="403"/>
      <c r="FD203" s="404">
        <f t="shared" si="483"/>
        <v>0</v>
      </c>
      <c r="FE203" s="790"/>
    </row>
    <row r="204" spans="2:164" ht="26.1" customHeight="1" outlineLevel="1" thickBot="1" x14ac:dyDescent="0.3">
      <c r="B204" s="1018"/>
      <c r="C204" s="1020"/>
      <c r="D204" s="1036"/>
      <c r="E204" s="1041" t="s">
        <v>116</v>
      </c>
      <c r="F204" s="835" t="s">
        <v>111</v>
      </c>
      <c r="G204" s="802" t="str">
        <f>VLOOKUP(H204,инфо!AD:AE,2,FALSE)</f>
        <v>Напитки</v>
      </c>
      <c r="H204" s="574" t="s">
        <v>1195</v>
      </c>
      <c r="I204" s="588" t="s">
        <v>1156</v>
      </c>
      <c r="J204" s="405"/>
      <c r="K204" s="406"/>
      <c r="L204" s="406"/>
      <c r="M204" s="406"/>
      <c r="N204" s="406"/>
      <c r="O204" s="406"/>
      <c r="P204" s="406"/>
      <c r="Q204" s="406"/>
      <c r="R204" s="406"/>
      <c r="S204" s="406"/>
      <c r="T204" s="406"/>
      <c r="U204" s="406"/>
      <c r="V204" s="406"/>
      <c r="W204" s="407"/>
      <c r="X204" s="407"/>
      <c r="Y204" s="407"/>
      <c r="Z204" s="407"/>
      <c r="AA204" s="407"/>
      <c r="AB204" s="407"/>
      <c r="AC204" s="407"/>
      <c r="AD204" s="407"/>
      <c r="AE204" s="407"/>
      <c r="AF204" s="407"/>
      <c r="AG204" s="407"/>
      <c r="AH204" s="407"/>
      <c r="AI204" s="407"/>
      <c r="AJ204" s="407"/>
      <c r="AK204" s="407"/>
      <c r="AL204" s="407"/>
      <c r="AM204" s="407"/>
      <c r="AN204" s="407"/>
      <c r="AO204" s="407"/>
      <c r="AP204" s="407"/>
      <c r="AQ204" s="407"/>
      <c r="AR204" s="407"/>
      <c r="AS204" s="407"/>
      <c r="AT204" s="407"/>
      <c r="AU204" s="407"/>
      <c r="AV204" s="407"/>
      <c r="AW204" s="407"/>
      <c r="AX204" s="407"/>
      <c r="AY204" s="407"/>
      <c r="AZ204" s="407"/>
      <c r="BA204" s="407"/>
      <c r="BB204" s="407"/>
      <c r="BC204" s="407"/>
      <c r="BD204" s="407"/>
      <c r="BE204" s="408"/>
      <c r="BF204" s="408"/>
      <c r="BG204" s="408"/>
      <c r="BH204" s="408"/>
      <c r="BI204" s="408"/>
      <c r="BJ204" s="408"/>
      <c r="BK204" s="408"/>
      <c r="BL204" s="408"/>
      <c r="BM204" s="408"/>
      <c r="BN204" s="409"/>
      <c r="BO204" s="409"/>
      <c r="BP204" s="409"/>
      <c r="BQ204" s="409"/>
      <c r="BR204" s="409"/>
      <c r="BS204" s="409"/>
      <c r="BT204" s="409"/>
      <c r="BU204" s="409"/>
      <c r="BV204" s="406"/>
      <c r="BW204" s="406"/>
      <c r="BX204" s="406"/>
      <c r="BY204" s="406"/>
      <c r="BZ204" s="406"/>
      <c r="CA204" s="406"/>
      <c r="CB204" s="406"/>
      <c r="CC204" s="410"/>
      <c r="CD204" s="410"/>
      <c r="CE204" s="410"/>
      <c r="CF204" s="410"/>
      <c r="CG204" s="410"/>
      <c r="CH204" s="410"/>
      <c r="CI204" s="410"/>
      <c r="CJ204" s="410"/>
      <c r="CK204" s="410"/>
      <c r="CL204" s="410"/>
      <c r="CM204" s="410"/>
      <c r="CN204" s="410"/>
      <c r="CO204" s="410"/>
      <c r="CP204" s="410"/>
      <c r="CQ204" s="410"/>
      <c r="CR204" s="410"/>
      <c r="CS204" s="411"/>
      <c r="CT204" s="411"/>
      <c r="CU204" s="411"/>
      <c r="CV204" s="411"/>
      <c r="CW204" s="412"/>
      <c r="CX204" s="411"/>
      <c r="CY204" s="411"/>
      <c r="CZ204" s="411"/>
      <c r="DA204" s="411"/>
      <c r="DB204" s="411"/>
      <c r="DC204" s="411"/>
      <c r="DD204" s="411"/>
      <c r="DE204" s="411"/>
      <c r="DF204" s="411"/>
      <c r="DG204" s="411"/>
      <c r="DH204" s="411"/>
      <c r="DI204" s="411"/>
      <c r="DJ204" s="411"/>
      <c r="DK204" s="411"/>
      <c r="DL204" s="411"/>
      <c r="DM204" s="411"/>
      <c r="DN204" s="935"/>
      <c r="DO204" s="413">
        <v>25</v>
      </c>
      <c r="DP204" s="413"/>
      <c r="DQ204" s="414"/>
      <c r="DR204" s="414"/>
      <c r="DS204" s="408"/>
      <c r="DT204" s="408"/>
      <c r="DU204" s="408"/>
      <c r="DV204" s="408"/>
      <c r="DW204" s="408"/>
      <c r="DX204" s="408"/>
      <c r="DY204" s="408"/>
      <c r="DZ204" s="408"/>
      <c r="EA204" s="408">
        <v>250</v>
      </c>
      <c r="EB204" s="408"/>
      <c r="EC204" s="408"/>
      <c r="ED204" s="408"/>
      <c r="EE204" s="408"/>
      <c r="EF204" s="408">
        <v>1.5</v>
      </c>
      <c r="EG204" s="408"/>
      <c r="EH204" s="408"/>
      <c r="EI204" s="408"/>
      <c r="EJ204" s="408"/>
      <c r="EK204" s="408"/>
      <c r="EL204" s="408"/>
      <c r="EM204" s="408"/>
      <c r="EN204" s="408"/>
      <c r="EO204" s="408"/>
      <c r="EP204" s="408"/>
      <c r="EQ204" s="408"/>
      <c r="ER204" s="408"/>
      <c r="ES204" s="408"/>
      <c r="ET204" s="408"/>
      <c r="EU204" s="408"/>
      <c r="EV204" s="408"/>
      <c r="EW204" s="408"/>
      <c r="EX204" s="408"/>
      <c r="EY204" s="408"/>
      <c r="EZ204" s="408"/>
      <c r="FA204" s="415"/>
      <c r="FB204" s="416">
        <v>250</v>
      </c>
      <c r="FC204" s="416"/>
      <c r="FD204" s="417">
        <f t="shared" si="483"/>
        <v>0</v>
      </c>
      <c r="FE204" s="790"/>
    </row>
    <row r="205" spans="2:164" ht="26.1" customHeight="1" outlineLevel="1" thickBot="1" x14ac:dyDescent="0.3">
      <c r="B205" s="1018"/>
      <c r="C205" s="1020"/>
      <c r="D205" s="1036"/>
      <c r="E205" s="1039"/>
      <c r="F205" s="832" t="s">
        <v>111</v>
      </c>
      <c r="G205" s="799" t="str">
        <f>VLOOKUP(H205,инфо!AD:AE,2,FALSE)</f>
        <v>Прочее</v>
      </c>
      <c r="H205" s="572" t="s">
        <v>1197</v>
      </c>
      <c r="I205" s="589" t="s">
        <v>53</v>
      </c>
      <c r="J205" s="368"/>
      <c r="K205" s="369"/>
      <c r="L205" s="369"/>
      <c r="M205" s="369"/>
      <c r="N205" s="369"/>
      <c r="O205" s="369"/>
      <c r="P205" s="369"/>
      <c r="Q205" s="369"/>
      <c r="R205" s="369"/>
      <c r="S205" s="369"/>
      <c r="T205" s="369"/>
      <c r="U205" s="369"/>
      <c r="V205" s="369"/>
      <c r="W205" s="370"/>
      <c r="X205" s="370"/>
      <c r="Y205" s="370"/>
      <c r="Z205" s="370"/>
      <c r="AA205" s="370"/>
      <c r="AB205" s="370"/>
      <c r="AC205" s="370"/>
      <c r="AD205" s="370"/>
      <c r="AE205" s="370"/>
      <c r="AF205" s="370"/>
      <c r="AG205" s="370"/>
      <c r="AH205" s="370"/>
      <c r="AI205" s="370"/>
      <c r="AJ205" s="370"/>
      <c r="AK205" s="370"/>
      <c r="AL205" s="370"/>
      <c r="AM205" s="370"/>
      <c r="AN205" s="370"/>
      <c r="AO205" s="370"/>
      <c r="AP205" s="370"/>
      <c r="AQ205" s="370"/>
      <c r="AR205" s="370"/>
      <c r="AS205" s="370"/>
      <c r="AT205" s="370"/>
      <c r="AU205" s="370"/>
      <c r="AV205" s="370"/>
      <c r="AW205" s="370"/>
      <c r="AX205" s="370"/>
      <c r="AY205" s="370"/>
      <c r="AZ205" s="370"/>
      <c r="BA205" s="370"/>
      <c r="BB205" s="370"/>
      <c r="BC205" s="370"/>
      <c r="BD205" s="370"/>
      <c r="BE205" s="371"/>
      <c r="BF205" s="371"/>
      <c r="BG205" s="371"/>
      <c r="BH205" s="371"/>
      <c r="BI205" s="371"/>
      <c r="BJ205" s="371"/>
      <c r="BK205" s="371"/>
      <c r="BL205" s="371"/>
      <c r="BM205" s="371"/>
      <c r="BN205" s="372"/>
      <c r="BO205" s="372"/>
      <c r="BP205" s="372"/>
      <c r="BQ205" s="372"/>
      <c r="BR205" s="372"/>
      <c r="BS205" s="372"/>
      <c r="BT205" s="372"/>
      <c r="BU205" s="372"/>
      <c r="BV205" s="369"/>
      <c r="BW205" s="369"/>
      <c r="BX205" s="369"/>
      <c r="BY205" s="369"/>
      <c r="BZ205" s="369"/>
      <c r="CA205" s="369"/>
      <c r="CB205" s="369"/>
      <c r="CC205" s="373"/>
      <c r="CD205" s="373"/>
      <c r="CE205" s="373"/>
      <c r="CF205" s="373"/>
      <c r="CG205" s="373"/>
      <c r="CH205" s="373"/>
      <c r="CI205" s="373"/>
      <c r="CJ205" s="373"/>
      <c r="CK205" s="373"/>
      <c r="CL205" s="373"/>
      <c r="CM205" s="373"/>
      <c r="CN205" s="373"/>
      <c r="CO205" s="373"/>
      <c r="CP205" s="373"/>
      <c r="CQ205" s="373"/>
      <c r="CR205" s="373"/>
      <c r="CS205" s="374"/>
      <c r="CT205" s="374"/>
      <c r="CU205" s="374"/>
      <c r="CV205" s="374"/>
      <c r="CW205" s="418"/>
      <c r="CX205" s="374"/>
      <c r="CY205" s="374"/>
      <c r="CZ205" s="374"/>
      <c r="DA205" s="374"/>
      <c r="DB205" s="374"/>
      <c r="DC205" s="374"/>
      <c r="DD205" s="374"/>
      <c r="DE205" s="374"/>
      <c r="DF205" s="374"/>
      <c r="DG205" s="374"/>
      <c r="DH205" s="374"/>
      <c r="DI205" s="374"/>
      <c r="DJ205" s="374"/>
      <c r="DK205" s="374"/>
      <c r="DL205" s="374"/>
      <c r="DM205" s="374"/>
      <c r="DN205" s="932"/>
      <c r="DO205" s="375">
        <v>25</v>
      </c>
      <c r="DP205" s="375"/>
      <c r="DQ205" s="376"/>
      <c r="DR205" s="376"/>
      <c r="DS205" s="371"/>
      <c r="DT205" s="371"/>
      <c r="DU205" s="371"/>
      <c r="DV205" s="371"/>
      <c r="DW205" s="371"/>
      <c r="DX205" s="371"/>
      <c r="DY205" s="371"/>
      <c r="DZ205" s="371"/>
      <c r="EA205" s="371"/>
      <c r="EB205" s="371"/>
      <c r="EC205" s="371"/>
      <c r="ED205" s="371"/>
      <c r="EE205" s="371"/>
      <c r="EF205" s="371"/>
      <c r="EG205" s="371"/>
      <c r="EH205" s="371"/>
      <c r="EI205" s="371"/>
      <c r="EJ205" s="371"/>
      <c r="EK205" s="371"/>
      <c r="EL205" s="371"/>
      <c r="EM205" s="371"/>
      <c r="EN205" s="371"/>
      <c r="EO205" s="371"/>
      <c r="EP205" s="371"/>
      <c r="EQ205" s="371"/>
      <c r="ER205" s="371"/>
      <c r="ES205" s="371"/>
      <c r="ET205" s="371"/>
      <c r="EU205" s="371"/>
      <c r="EV205" s="371"/>
      <c r="EW205" s="371"/>
      <c r="EX205" s="371"/>
      <c r="EY205" s="371"/>
      <c r="EZ205" s="371"/>
      <c r="FA205" s="377"/>
      <c r="FB205" s="378">
        <v>25</v>
      </c>
      <c r="FC205" s="378"/>
      <c r="FD205" s="379">
        <f t="shared" si="483"/>
        <v>0</v>
      </c>
      <c r="FE205" s="790"/>
    </row>
    <row r="206" spans="2:164" ht="26.1" customHeight="1" outlineLevel="1" thickBot="1" x14ac:dyDescent="0.3">
      <c r="B206" s="1018"/>
      <c r="C206" s="1020"/>
      <c r="D206" s="1036"/>
      <c r="E206" s="1039"/>
      <c r="F206" s="832" t="s">
        <v>111</v>
      </c>
      <c r="G206" s="799" t="str">
        <f>VLOOKUP(H206,инфо!AD:AE,2,FALSE)</f>
        <v>Прочее</v>
      </c>
      <c r="H206" s="575" t="s">
        <v>1197</v>
      </c>
      <c r="I206" s="590" t="s">
        <v>50</v>
      </c>
      <c r="J206" s="368"/>
      <c r="K206" s="369"/>
      <c r="L206" s="369"/>
      <c r="M206" s="369"/>
      <c r="N206" s="369"/>
      <c r="O206" s="369"/>
      <c r="P206" s="369"/>
      <c r="Q206" s="369"/>
      <c r="R206" s="369"/>
      <c r="S206" s="369"/>
      <c r="T206" s="369"/>
      <c r="U206" s="369"/>
      <c r="V206" s="369"/>
      <c r="W206" s="370"/>
      <c r="X206" s="370"/>
      <c r="Y206" s="370"/>
      <c r="Z206" s="370">
        <v>50</v>
      </c>
      <c r="AA206" s="370">
        <v>100</v>
      </c>
      <c r="AB206" s="370"/>
      <c r="AC206" s="370"/>
      <c r="AD206" s="370"/>
      <c r="AE206" s="370"/>
      <c r="AF206" s="370"/>
      <c r="AG206" s="370"/>
      <c r="AH206" s="370"/>
      <c r="AI206" s="370"/>
      <c r="AJ206" s="370"/>
      <c r="AK206" s="370"/>
      <c r="AL206" s="370"/>
      <c r="AM206" s="370"/>
      <c r="AN206" s="370"/>
      <c r="AO206" s="370"/>
      <c r="AP206" s="370"/>
      <c r="AQ206" s="370"/>
      <c r="AR206" s="370"/>
      <c r="AS206" s="370"/>
      <c r="AT206" s="370"/>
      <c r="AU206" s="370"/>
      <c r="AV206" s="370"/>
      <c r="AW206" s="370"/>
      <c r="AX206" s="370"/>
      <c r="AY206" s="370"/>
      <c r="AZ206" s="370"/>
      <c r="BA206" s="370"/>
      <c r="BB206" s="370"/>
      <c r="BC206" s="370"/>
      <c r="BD206" s="370"/>
      <c r="BE206" s="371"/>
      <c r="BF206" s="371"/>
      <c r="BG206" s="371"/>
      <c r="BH206" s="371"/>
      <c r="BI206" s="371"/>
      <c r="BJ206" s="371"/>
      <c r="BK206" s="371"/>
      <c r="BL206" s="371"/>
      <c r="BM206" s="371"/>
      <c r="BN206" s="372"/>
      <c r="BO206" s="372"/>
      <c r="BP206" s="372"/>
      <c r="BQ206" s="372"/>
      <c r="BR206" s="372"/>
      <c r="BS206" s="372"/>
      <c r="BT206" s="372"/>
      <c r="BU206" s="372"/>
      <c r="BV206" s="369"/>
      <c r="BW206" s="369"/>
      <c r="BX206" s="369"/>
      <c r="BY206" s="369"/>
      <c r="BZ206" s="369"/>
      <c r="CA206" s="369"/>
      <c r="CB206" s="369"/>
      <c r="CC206" s="373"/>
      <c r="CD206" s="373"/>
      <c r="CE206" s="373"/>
      <c r="CF206" s="373"/>
      <c r="CG206" s="373"/>
      <c r="CH206" s="373"/>
      <c r="CI206" s="373"/>
      <c r="CJ206" s="373"/>
      <c r="CK206" s="373"/>
      <c r="CL206" s="373"/>
      <c r="CM206" s="373"/>
      <c r="CN206" s="373"/>
      <c r="CO206" s="373"/>
      <c r="CP206" s="373"/>
      <c r="CQ206" s="373"/>
      <c r="CR206" s="373"/>
      <c r="CS206" s="374"/>
      <c r="CT206" s="374"/>
      <c r="CU206" s="374"/>
      <c r="CV206" s="374"/>
      <c r="CW206" s="418"/>
      <c r="CX206" s="374"/>
      <c r="CY206" s="374"/>
      <c r="CZ206" s="374"/>
      <c r="DA206" s="374"/>
      <c r="DB206" s="374"/>
      <c r="DC206" s="374"/>
      <c r="DD206" s="374"/>
      <c r="DE206" s="374"/>
      <c r="DF206" s="374"/>
      <c r="DG206" s="374"/>
      <c r="DH206" s="374"/>
      <c r="DI206" s="374"/>
      <c r="DJ206" s="374"/>
      <c r="DK206" s="374"/>
      <c r="DL206" s="374"/>
      <c r="DM206" s="374"/>
      <c r="DN206" s="932"/>
      <c r="DO206" s="375"/>
      <c r="DP206" s="375"/>
      <c r="DQ206" s="376"/>
      <c r="DR206" s="376"/>
      <c r="DS206" s="371"/>
      <c r="DT206" s="371"/>
      <c r="DU206" s="371"/>
      <c r="DV206" s="371"/>
      <c r="DW206" s="371"/>
      <c r="DX206" s="371"/>
      <c r="DY206" s="371"/>
      <c r="DZ206" s="371"/>
      <c r="EA206" s="371"/>
      <c r="EB206" s="371"/>
      <c r="EC206" s="371"/>
      <c r="ED206" s="371"/>
      <c r="EE206" s="371"/>
      <c r="EF206" s="371"/>
      <c r="EG206" s="371"/>
      <c r="EH206" s="371"/>
      <c r="EI206" s="371"/>
      <c r="EJ206" s="371"/>
      <c r="EK206" s="371"/>
      <c r="EL206" s="371"/>
      <c r="EM206" s="371"/>
      <c r="EN206" s="371"/>
      <c r="EO206" s="371"/>
      <c r="EP206" s="371"/>
      <c r="EQ206" s="371"/>
      <c r="ER206" s="371"/>
      <c r="ES206" s="371"/>
      <c r="ET206" s="371"/>
      <c r="EU206" s="371"/>
      <c r="EV206" s="371"/>
      <c r="EW206" s="371"/>
      <c r="EX206" s="371"/>
      <c r="EY206" s="371"/>
      <c r="EZ206" s="371"/>
      <c r="FA206" s="377"/>
      <c r="FB206" s="378">
        <v>150</v>
      </c>
      <c r="FC206" s="378"/>
      <c r="FD206" s="379">
        <f t="shared" si="483"/>
        <v>0</v>
      </c>
      <c r="FE206" s="790"/>
    </row>
    <row r="207" spans="2:164" ht="26.1" customHeight="1" outlineLevel="1" thickBot="1" x14ac:dyDescent="0.3">
      <c r="B207" s="1018"/>
      <c r="C207" s="1020"/>
      <c r="D207" s="1037"/>
      <c r="E207" s="1040"/>
      <c r="F207" s="834" t="s">
        <v>111</v>
      </c>
      <c r="G207" s="801" t="str">
        <f>VLOOKUP(H207,инфо!AD:AE,2,FALSE)</f>
        <v>Прочее</v>
      </c>
      <c r="H207" s="575" t="s">
        <v>1197</v>
      </c>
      <c r="I207" s="590" t="s">
        <v>56</v>
      </c>
      <c r="J207" s="380"/>
      <c r="K207" s="381"/>
      <c r="L207" s="381"/>
      <c r="M207" s="381"/>
      <c r="N207" s="381"/>
      <c r="O207" s="381"/>
      <c r="P207" s="381"/>
      <c r="Q207" s="381"/>
      <c r="R207" s="381"/>
      <c r="S207" s="381"/>
      <c r="T207" s="381"/>
      <c r="U207" s="381"/>
      <c r="V207" s="381"/>
      <c r="W207" s="382"/>
      <c r="X207" s="382"/>
      <c r="Y207" s="382"/>
      <c r="Z207" s="382"/>
      <c r="AA207" s="382"/>
      <c r="AB207" s="382"/>
      <c r="AC207" s="382"/>
      <c r="AD207" s="382"/>
      <c r="AE207" s="382"/>
      <c r="AF207" s="382"/>
      <c r="AG207" s="382"/>
      <c r="AH207" s="382"/>
      <c r="AI207" s="382"/>
      <c r="AJ207" s="382"/>
      <c r="AK207" s="382"/>
      <c r="AL207" s="382"/>
      <c r="AM207" s="382"/>
      <c r="AN207" s="382"/>
      <c r="AO207" s="382"/>
      <c r="AP207" s="382"/>
      <c r="AQ207" s="382"/>
      <c r="AR207" s="382"/>
      <c r="AS207" s="382"/>
      <c r="AT207" s="382"/>
      <c r="AU207" s="382"/>
      <c r="AV207" s="382"/>
      <c r="AW207" s="382"/>
      <c r="AX207" s="382"/>
      <c r="AY207" s="382"/>
      <c r="AZ207" s="382"/>
      <c r="BA207" s="382"/>
      <c r="BB207" s="382"/>
      <c r="BC207" s="382"/>
      <c r="BD207" s="382"/>
      <c r="BE207" s="383"/>
      <c r="BF207" s="383"/>
      <c r="BG207" s="383"/>
      <c r="BH207" s="383">
        <v>22</v>
      </c>
      <c r="BI207" s="383"/>
      <c r="BJ207" s="383"/>
      <c r="BK207" s="383"/>
      <c r="BL207" s="383"/>
      <c r="BM207" s="383"/>
      <c r="BN207" s="419"/>
      <c r="BO207" s="419"/>
      <c r="BP207" s="419"/>
      <c r="BQ207" s="419"/>
      <c r="BR207" s="419"/>
      <c r="BS207" s="419"/>
      <c r="BT207" s="419"/>
      <c r="BU207" s="384"/>
      <c r="BV207" s="381"/>
      <c r="BW207" s="381"/>
      <c r="BX207" s="381"/>
      <c r="BY207" s="381"/>
      <c r="BZ207" s="381"/>
      <c r="CA207" s="381"/>
      <c r="CB207" s="381"/>
      <c r="CC207" s="420"/>
      <c r="CD207" s="385"/>
      <c r="CE207" s="385"/>
      <c r="CF207" s="385"/>
      <c r="CG207" s="385"/>
      <c r="CH207" s="385"/>
      <c r="CI207" s="385"/>
      <c r="CJ207" s="385"/>
      <c r="CK207" s="385"/>
      <c r="CL207" s="385"/>
      <c r="CM207" s="385"/>
      <c r="CN207" s="385"/>
      <c r="CO207" s="385"/>
      <c r="CP207" s="385"/>
      <c r="CQ207" s="385"/>
      <c r="CR207" s="385"/>
      <c r="CS207" s="386"/>
      <c r="CT207" s="386"/>
      <c r="CU207" s="386"/>
      <c r="CV207" s="386"/>
      <c r="CW207" s="386"/>
      <c r="CX207" s="386"/>
      <c r="CY207" s="386"/>
      <c r="CZ207" s="386"/>
      <c r="DA207" s="386"/>
      <c r="DB207" s="386"/>
      <c r="DC207" s="386"/>
      <c r="DD207" s="386"/>
      <c r="DE207" s="386"/>
      <c r="DF207" s="386"/>
      <c r="DG207" s="386"/>
      <c r="DH207" s="386"/>
      <c r="DI207" s="386"/>
      <c r="DJ207" s="386"/>
      <c r="DK207" s="386"/>
      <c r="DL207" s="386"/>
      <c r="DM207" s="386"/>
      <c r="DN207" s="933"/>
      <c r="DO207" s="387"/>
      <c r="DP207" s="387"/>
      <c r="DQ207" s="388"/>
      <c r="DR207" s="388"/>
      <c r="DS207" s="383"/>
      <c r="DT207" s="383"/>
      <c r="DU207" s="383"/>
      <c r="DV207" s="383"/>
      <c r="DW207" s="383"/>
      <c r="DX207" s="383"/>
      <c r="DY207" s="383"/>
      <c r="DZ207" s="383"/>
      <c r="EA207" s="383"/>
      <c r="EB207" s="383"/>
      <c r="EC207" s="383"/>
      <c r="ED207" s="383"/>
      <c r="EE207" s="383"/>
      <c r="EF207" s="383"/>
      <c r="EG207" s="383"/>
      <c r="EH207" s="383"/>
      <c r="EI207" s="383"/>
      <c r="EJ207" s="383"/>
      <c r="EK207" s="383"/>
      <c r="EL207" s="383"/>
      <c r="EM207" s="383"/>
      <c r="EN207" s="383"/>
      <c r="EO207" s="383"/>
      <c r="EP207" s="383"/>
      <c r="EQ207" s="383"/>
      <c r="ER207" s="383"/>
      <c r="ES207" s="383"/>
      <c r="ET207" s="383"/>
      <c r="EU207" s="383"/>
      <c r="EV207" s="383"/>
      <c r="EW207" s="383"/>
      <c r="EX207" s="383"/>
      <c r="EY207" s="383"/>
      <c r="EZ207" s="383"/>
      <c r="FA207" s="402"/>
      <c r="FB207" s="403">
        <v>22</v>
      </c>
      <c r="FC207" s="403"/>
      <c r="FD207" s="404">
        <f t="shared" si="483"/>
        <v>110</v>
      </c>
      <c r="FE207" s="790"/>
    </row>
    <row r="208" spans="2:164" s="154" customFormat="1" ht="16.5" customHeight="1" outlineLevel="1" thickBot="1" x14ac:dyDescent="0.4">
      <c r="B208" s="1018"/>
      <c r="C208" s="1020"/>
      <c r="D208" s="145"/>
      <c r="E208" s="317" t="s">
        <v>174</v>
      </c>
      <c r="F208" s="836"/>
      <c r="G208" s="818"/>
      <c r="H208" s="576"/>
      <c r="I208" s="594"/>
      <c r="J208" s="305">
        <f>SUM(J198:J207)</f>
        <v>0</v>
      </c>
      <c r="K208" s="146">
        <f t="shared" ref="K208:CU208" si="484">SUM(K198:K207)</f>
        <v>0</v>
      </c>
      <c r="L208" s="146">
        <f t="shared" si="484"/>
        <v>0</v>
      </c>
      <c r="M208" s="146">
        <f t="shared" si="484"/>
        <v>0</v>
      </c>
      <c r="N208" s="146">
        <f t="shared" si="484"/>
        <v>0</v>
      </c>
      <c r="O208" s="146">
        <f t="shared" si="484"/>
        <v>0</v>
      </c>
      <c r="P208" s="146">
        <f t="shared" si="484"/>
        <v>0</v>
      </c>
      <c r="Q208" s="146">
        <f t="shared" si="484"/>
        <v>83</v>
      </c>
      <c r="R208" s="146">
        <f t="shared" si="484"/>
        <v>0</v>
      </c>
      <c r="S208" s="146">
        <f t="shared" si="484"/>
        <v>0</v>
      </c>
      <c r="T208" s="146">
        <f t="shared" si="484"/>
        <v>0</v>
      </c>
      <c r="U208" s="146">
        <f t="shared" si="484"/>
        <v>0</v>
      </c>
      <c r="V208" s="146">
        <f t="shared" si="484"/>
        <v>0</v>
      </c>
      <c r="W208" s="147">
        <f t="shared" si="484"/>
        <v>0</v>
      </c>
      <c r="X208" s="147">
        <f t="shared" si="484"/>
        <v>0</v>
      </c>
      <c r="Y208" s="147">
        <f t="shared" si="484"/>
        <v>0</v>
      </c>
      <c r="Z208" s="147">
        <f t="shared" si="484"/>
        <v>50</v>
      </c>
      <c r="AA208" s="147">
        <f t="shared" si="484"/>
        <v>100</v>
      </c>
      <c r="AB208" s="147">
        <f t="shared" si="484"/>
        <v>0</v>
      </c>
      <c r="AC208" s="147">
        <f t="shared" si="484"/>
        <v>0</v>
      </c>
      <c r="AD208" s="147">
        <f t="shared" si="484"/>
        <v>0</v>
      </c>
      <c r="AE208" s="147">
        <f t="shared" si="484"/>
        <v>0</v>
      </c>
      <c r="AF208" s="147">
        <f t="shared" si="484"/>
        <v>0</v>
      </c>
      <c r="AG208" s="147">
        <f t="shared" si="484"/>
        <v>0</v>
      </c>
      <c r="AH208" s="147">
        <f t="shared" si="484"/>
        <v>0</v>
      </c>
      <c r="AI208" s="147">
        <f t="shared" si="484"/>
        <v>0</v>
      </c>
      <c r="AJ208" s="147">
        <f t="shared" si="484"/>
        <v>0</v>
      </c>
      <c r="AK208" s="147">
        <f t="shared" si="484"/>
        <v>0</v>
      </c>
      <c r="AL208" s="147">
        <f t="shared" si="484"/>
        <v>0</v>
      </c>
      <c r="AM208" s="147">
        <f t="shared" si="484"/>
        <v>0</v>
      </c>
      <c r="AN208" s="147">
        <f t="shared" si="484"/>
        <v>0</v>
      </c>
      <c r="AO208" s="147">
        <f t="shared" si="484"/>
        <v>0</v>
      </c>
      <c r="AP208" s="147">
        <f t="shared" si="484"/>
        <v>0</v>
      </c>
      <c r="AQ208" s="147">
        <f t="shared" si="484"/>
        <v>0</v>
      </c>
      <c r="AR208" s="147">
        <f t="shared" si="484"/>
        <v>0</v>
      </c>
      <c r="AS208" s="147">
        <f t="shared" si="484"/>
        <v>0</v>
      </c>
      <c r="AT208" s="147">
        <f t="shared" si="484"/>
        <v>0</v>
      </c>
      <c r="AU208" s="147">
        <f t="shared" si="484"/>
        <v>20</v>
      </c>
      <c r="AV208" s="147">
        <f t="shared" si="484"/>
        <v>0</v>
      </c>
      <c r="AW208" s="147">
        <f t="shared" si="484"/>
        <v>0</v>
      </c>
      <c r="AX208" s="147">
        <f t="shared" si="484"/>
        <v>0</v>
      </c>
      <c r="AY208" s="147">
        <f t="shared" si="484"/>
        <v>0</v>
      </c>
      <c r="AZ208" s="147">
        <f t="shared" si="484"/>
        <v>0</v>
      </c>
      <c r="BA208" s="147">
        <f t="shared" si="484"/>
        <v>0</v>
      </c>
      <c r="BB208" s="147">
        <f t="shared" si="484"/>
        <v>0</v>
      </c>
      <c r="BC208" s="147">
        <f t="shared" si="484"/>
        <v>0</v>
      </c>
      <c r="BD208" s="147">
        <f t="shared" si="484"/>
        <v>0</v>
      </c>
      <c r="BE208" s="148">
        <f t="shared" si="484"/>
        <v>0</v>
      </c>
      <c r="BF208" s="148">
        <f t="shared" si="484"/>
        <v>0</v>
      </c>
      <c r="BG208" s="148">
        <f t="shared" si="484"/>
        <v>0</v>
      </c>
      <c r="BH208" s="148">
        <f t="shared" si="484"/>
        <v>22</v>
      </c>
      <c r="BI208" s="148">
        <f t="shared" si="484"/>
        <v>0</v>
      </c>
      <c r="BJ208" s="148">
        <f t="shared" si="484"/>
        <v>0</v>
      </c>
      <c r="BK208" s="148">
        <f t="shared" si="484"/>
        <v>0</v>
      </c>
      <c r="BL208" s="148">
        <f t="shared" si="484"/>
        <v>0</v>
      </c>
      <c r="BM208" s="148">
        <f t="shared" si="484"/>
        <v>0</v>
      </c>
      <c r="BN208" s="149">
        <f t="shared" si="484"/>
        <v>0</v>
      </c>
      <c r="BO208" s="149">
        <f t="shared" si="484"/>
        <v>0</v>
      </c>
      <c r="BP208" s="149">
        <f t="shared" si="484"/>
        <v>0</v>
      </c>
      <c r="BQ208" s="149">
        <f t="shared" si="484"/>
        <v>0</v>
      </c>
      <c r="BR208" s="149">
        <f t="shared" si="484"/>
        <v>0</v>
      </c>
      <c r="BS208" s="149">
        <f t="shared" si="484"/>
        <v>0</v>
      </c>
      <c r="BT208" s="149">
        <f t="shared" si="484"/>
        <v>0</v>
      </c>
      <c r="BU208" s="149">
        <f t="shared" si="484"/>
        <v>0</v>
      </c>
      <c r="BV208" s="146">
        <f t="shared" si="484"/>
        <v>0</v>
      </c>
      <c r="BW208" s="146">
        <f t="shared" si="484"/>
        <v>0</v>
      </c>
      <c r="BX208" s="146">
        <f t="shared" si="484"/>
        <v>0</v>
      </c>
      <c r="BY208" s="146">
        <f t="shared" si="484"/>
        <v>0</v>
      </c>
      <c r="BZ208" s="146">
        <f t="shared" si="484"/>
        <v>0</v>
      </c>
      <c r="CA208" s="146">
        <f t="shared" si="484"/>
        <v>0</v>
      </c>
      <c r="CB208" s="146">
        <f t="shared" si="484"/>
        <v>0</v>
      </c>
      <c r="CC208" s="265">
        <f t="shared" si="484"/>
        <v>0</v>
      </c>
      <c r="CD208" s="265">
        <f t="shared" si="484"/>
        <v>25</v>
      </c>
      <c r="CE208" s="265">
        <f t="shared" si="484"/>
        <v>0</v>
      </c>
      <c r="CF208" s="265">
        <f t="shared" si="484"/>
        <v>80</v>
      </c>
      <c r="CG208" s="265">
        <f t="shared" si="484"/>
        <v>0</v>
      </c>
      <c r="CH208" s="265">
        <f t="shared" si="484"/>
        <v>0</v>
      </c>
      <c r="CI208" s="265">
        <f t="shared" si="484"/>
        <v>0</v>
      </c>
      <c r="CJ208" s="265">
        <f t="shared" si="484"/>
        <v>0</v>
      </c>
      <c r="CK208" s="265">
        <f t="shared" si="484"/>
        <v>0</v>
      </c>
      <c r="CL208" s="265">
        <f t="shared" si="484"/>
        <v>0</v>
      </c>
      <c r="CM208" s="265">
        <f t="shared" si="484"/>
        <v>0</v>
      </c>
      <c r="CN208" s="265">
        <f t="shared" si="484"/>
        <v>0</v>
      </c>
      <c r="CO208" s="265">
        <f t="shared" si="484"/>
        <v>0</v>
      </c>
      <c r="CP208" s="265">
        <f t="shared" si="484"/>
        <v>0</v>
      </c>
      <c r="CQ208" s="265">
        <f t="shared" si="484"/>
        <v>0</v>
      </c>
      <c r="CR208" s="265">
        <f t="shared" si="484"/>
        <v>0</v>
      </c>
      <c r="CS208" s="281">
        <f t="shared" si="484"/>
        <v>0</v>
      </c>
      <c r="CT208" s="281">
        <f t="shared" si="484"/>
        <v>0</v>
      </c>
      <c r="CU208" s="281">
        <f t="shared" si="484"/>
        <v>0</v>
      </c>
      <c r="CV208" s="281">
        <f t="shared" ref="CV208:FD208" si="485">SUM(CV198:CV207)</f>
        <v>0</v>
      </c>
      <c r="CW208" s="281">
        <f t="shared" si="485"/>
        <v>0</v>
      </c>
      <c r="CX208" s="281">
        <f t="shared" si="485"/>
        <v>0</v>
      </c>
      <c r="CY208" s="281">
        <f t="shared" si="485"/>
        <v>0</v>
      </c>
      <c r="CZ208" s="281">
        <f t="shared" si="485"/>
        <v>0</v>
      </c>
      <c r="DA208" s="281">
        <f t="shared" si="485"/>
        <v>0</v>
      </c>
      <c r="DB208" s="281">
        <f t="shared" si="485"/>
        <v>0</v>
      </c>
      <c r="DC208" s="281">
        <f t="shared" si="485"/>
        <v>0</v>
      </c>
      <c r="DD208" s="281">
        <f t="shared" si="485"/>
        <v>0</v>
      </c>
      <c r="DE208" s="281">
        <f t="shared" si="485"/>
        <v>0</v>
      </c>
      <c r="DF208" s="281">
        <f t="shared" si="485"/>
        <v>0</v>
      </c>
      <c r="DG208" s="281">
        <f t="shared" si="485"/>
        <v>0</v>
      </c>
      <c r="DH208" s="281">
        <f t="shared" si="485"/>
        <v>0</v>
      </c>
      <c r="DI208" s="281">
        <f t="shared" si="485"/>
        <v>0</v>
      </c>
      <c r="DJ208" s="281">
        <f t="shared" si="485"/>
        <v>0</v>
      </c>
      <c r="DK208" s="281">
        <f t="shared" si="485"/>
        <v>0</v>
      </c>
      <c r="DL208" s="281">
        <f t="shared" si="485"/>
        <v>0</v>
      </c>
      <c r="DM208" s="281">
        <f t="shared" si="485"/>
        <v>0</v>
      </c>
      <c r="DN208" s="936">
        <f t="shared" si="485"/>
        <v>1</v>
      </c>
      <c r="DO208" s="148">
        <f t="shared" si="485"/>
        <v>50</v>
      </c>
      <c r="DP208" s="148">
        <f t="shared" si="485"/>
        <v>5</v>
      </c>
      <c r="DQ208" s="148">
        <f t="shared" si="485"/>
        <v>0</v>
      </c>
      <c r="DR208" s="148">
        <f t="shared" si="485"/>
        <v>0</v>
      </c>
      <c r="DS208" s="148">
        <f t="shared" si="485"/>
        <v>0</v>
      </c>
      <c r="DT208" s="148">
        <f t="shared" si="485"/>
        <v>0</v>
      </c>
      <c r="DU208" s="148">
        <f t="shared" si="485"/>
        <v>0</v>
      </c>
      <c r="DV208" s="148">
        <f t="shared" si="485"/>
        <v>0</v>
      </c>
      <c r="DW208" s="148">
        <f t="shared" si="485"/>
        <v>0</v>
      </c>
      <c r="DX208" s="148">
        <f t="shared" si="485"/>
        <v>0</v>
      </c>
      <c r="DY208" s="148">
        <f t="shared" si="485"/>
        <v>0</v>
      </c>
      <c r="DZ208" s="148">
        <f t="shared" si="485"/>
        <v>0</v>
      </c>
      <c r="EA208" s="148">
        <f t="shared" si="485"/>
        <v>424.3</v>
      </c>
      <c r="EB208" s="148">
        <f t="shared" si="485"/>
        <v>0</v>
      </c>
      <c r="EC208" s="148">
        <f t="shared" si="485"/>
        <v>0</v>
      </c>
      <c r="ED208" s="148">
        <f t="shared" si="485"/>
        <v>0</v>
      </c>
      <c r="EE208" s="148">
        <f t="shared" si="485"/>
        <v>0</v>
      </c>
      <c r="EF208" s="148">
        <f t="shared" si="485"/>
        <v>1.5</v>
      </c>
      <c r="EG208" s="148">
        <f t="shared" si="485"/>
        <v>0</v>
      </c>
      <c r="EH208" s="148">
        <f t="shared" si="485"/>
        <v>0</v>
      </c>
      <c r="EI208" s="148">
        <f t="shared" si="485"/>
        <v>0</v>
      </c>
      <c r="EJ208" s="148">
        <f t="shared" si="485"/>
        <v>0</v>
      </c>
      <c r="EK208" s="148">
        <f t="shared" si="485"/>
        <v>0</v>
      </c>
      <c r="EL208" s="148">
        <f t="shared" si="485"/>
        <v>0</v>
      </c>
      <c r="EM208" s="148">
        <f t="shared" si="485"/>
        <v>0</v>
      </c>
      <c r="EN208" s="148">
        <f t="shared" si="485"/>
        <v>0</v>
      </c>
      <c r="EO208" s="148">
        <f t="shared" si="485"/>
        <v>0</v>
      </c>
      <c r="EP208" s="148">
        <f t="shared" si="485"/>
        <v>0</v>
      </c>
      <c r="EQ208" s="148">
        <f t="shared" si="485"/>
        <v>0</v>
      </c>
      <c r="ER208" s="148">
        <f t="shared" si="485"/>
        <v>0</v>
      </c>
      <c r="ES208" s="148">
        <f t="shared" si="485"/>
        <v>0</v>
      </c>
      <c r="ET208" s="148">
        <f t="shared" si="485"/>
        <v>0</v>
      </c>
      <c r="EU208" s="148">
        <f t="shared" si="485"/>
        <v>0</v>
      </c>
      <c r="EV208" s="148">
        <f t="shared" si="485"/>
        <v>0</v>
      </c>
      <c r="EW208" s="148">
        <f t="shared" si="485"/>
        <v>0</v>
      </c>
      <c r="EX208" s="148">
        <f t="shared" si="485"/>
        <v>0</v>
      </c>
      <c r="EY208" s="148">
        <f t="shared" si="485"/>
        <v>0</v>
      </c>
      <c r="EZ208" s="148">
        <f t="shared" si="485"/>
        <v>0</v>
      </c>
      <c r="FA208" s="150">
        <f t="shared" si="485"/>
        <v>415</v>
      </c>
      <c r="FB208" s="151">
        <f t="shared" si="485"/>
        <v>842</v>
      </c>
      <c r="FC208" s="151">
        <f t="shared" si="485"/>
        <v>78</v>
      </c>
      <c r="FD208" s="152">
        <f t="shared" si="485"/>
        <v>110</v>
      </c>
      <c r="FE208" s="792" t="str">
        <f>IF(FB208&lt;инфо!$AN$74,FB208-инфо!$AN$74,"")</f>
        <v/>
      </c>
      <c r="FF208" s="153"/>
      <c r="FG208" s="153"/>
      <c r="FH208" s="153"/>
    </row>
    <row r="209" spans="2:164" ht="26.1" customHeight="1" outlineLevel="1" thickBot="1" x14ac:dyDescent="0.3">
      <c r="B209" s="1018"/>
      <c r="C209" s="1020"/>
      <c r="D209" s="1033" t="s">
        <v>112</v>
      </c>
      <c r="E209" s="1042" t="s">
        <v>113</v>
      </c>
      <c r="F209" s="837" t="s">
        <v>112</v>
      </c>
      <c r="G209" s="803" t="str">
        <f>VLOOKUP(H209,инфо!AD:AE,2,FALSE)</f>
        <v>Холодные закуски</v>
      </c>
      <c r="H209" s="577" t="s">
        <v>1200</v>
      </c>
      <c r="I209" s="588" t="s">
        <v>163</v>
      </c>
      <c r="J209" s="421"/>
      <c r="K209" s="422"/>
      <c r="L209" s="422"/>
      <c r="M209" s="422"/>
      <c r="N209" s="422"/>
      <c r="O209" s="422"/>
      <c r="P209" s="422"/>
      <c r="Q209" s="422"/>
      <c r="R209" s="422"/>
      <c r="S209" s="422"/>
      <c r="T209" s="422"/>
      <c r="U209" s="422"/>
      <c r="V209" s="422"/>
      <c r="W209" s="423"/>
      <c r="X209" s="423"/>
      <c r="Y209" s="423"/>
      <c r="Z209" s="423"/>
      <c r="AA209" s="423"/>
      <c r="AB209" s="423"/>
      <c r="AC209" s="423"/>
      <c r="AD209" s="423"/>
      <c r="AE209" s="423"/>
      <c r="AF209" s="423">
        <v>140</v>
      </c>
      <c r="AG209" s="423">
        <v>15</v>
      </c>
      <c r="AH209" s="423"/>
      <c r="AI209" s="423"/>
      <c r="AJ209" s="423"/>
      <c r="AK209" s="423"/>
      <c r="AL209" s="423"/>
      <c r="AM209" s="423"/>
      <c r="AN209" s="423"/>
      <c r="AO209" s="423"/>
      <c r="AP209" s="423"/>
      <c r="AQ209" s="423"/>
      <c r="AR209" s="423">
        <v>2.5</v>
      </c>
      <c r="AS209" s="423"/>
      <c r="AT209" s="423"/>
      <c r="AU209" s="423"/>
      <c r="AV209" s="423"/>
      <c r="AW209" s="423"/>
      <c r="AX209" s="423"/>
      <c r="AY209" s="423"/>
      <c r="AZ209" s="423"/>
      <c r="BA209" s="423"/>
      <c r="BB209" s="423"/>
      <c r="BC209" s="423"/>
      <c r="BD209" s="423"/>
      <c r="BE209" s="424"/>
      <c r="BF209" s="424"/>
      <c r="BG209" s="424"/>
      <c r="BH209" s="424"/>
      <c r="BI209" s="424"/>
      <c r="BJ209" s="424"/>
      <c r="BK209" s="424"/>
      <c r="BL209" s="424"/>
      <c r="BM209" s="424"/>
      <c r="BN209" s="425"/>
      <c r="BO209" s="425">
        <v>8</v>
      </c>
      <c r="BP209" s="425"/>
      <c r="BQ209" s="425"/>
      <c r="BR209" s="425"/>
      <c r="BS209" s="425"/>
      <c r="BT209" s="425"/>
      <c r="BU209" s="425"/>
      <c r="BV209" s="422"/>
      <c r="BW209" s="422"/>
      <c r="BX209" s="422"/>
      <c r="BY209" s="422"/>
      <c r="BZ209" s="422"/>
      <c r="CA209" s="422"/>
      <c r="CB209" s="422"/>
      <c r="CC209" s="426"/>
      <c r="CD209" s="426"/>
      <c r="CE209" s="426"/>
      <c r="CF209" s="426"/>
      <c r="CG209" s="426"/>
      <c r="CH209" s="426"/>
      <c r="CI209" s="426"/>
      <c r="CJ209" s="426"/>
      <c r="CK209" s="426"/>
      <c r="CL209" s="426"/>
      <c r="CM209" s="426"/>
      <c r="CN209" s="426"/>
      <c r="CO209" s="426"/>
      <c r="CP209" s="426"/>
      <c r="CQ209" s="426"/>
      <c r="CR209" s="426"/>
      <c r="CS209" s="427"/>
      <c r="CT209" s="427"/>
      <c r="CU209" s="427"/>
      <c r="CV209" s="427"/>
      <c r="CW209" s="427"/>
      <c r="CX209" s="427"/>
      <c r="CY209" s="427"/>
      <c r="CZ209" s="427"/>
      <c r="DA209" s="427"/>
      <c r="DB209" s="427"/>
      <c r="DC209" s="427"/>
      <c r="DD209" s="427"/>
      <c r="DE209" s="427"/>
      <c r="DF209" s="427"/>
      <c r="DG209" s="427"/>
      <c r="DH209" s="427"/>
      <c r="DI209" s="427"/>
      <c r="DJ209" s="427"/>
      <c r="DK209" s="427"/>
      <c r="DL209" s="427"/>
      <c r="DM209" s="427"/>
      <c r="DN209" s="937"/>
      <c r="DO209" s="428"/>
      <c r="DP209" s="428">
        <v>2</v>
      </c>
      <c r="DQ209" s="429"/>
      <c r="DR209" s="429"/>
      <c r="DS209" s="424"/>
      <c r="DT209" s="424"/>
      <c r="DU209" s="424"/>
      <c r="DV209" s="424"/>
      <c r="DW209" s="424">
        <v>1</v>
      </c>
      <c r="DX209" s="424"/>
      <c r="DY209" s="424"/>
      <c r="DZ209" s="424"/>
      <c r="EA209" s="424"/>
      <c r="EB209" s="424"/>
      <c r="EC209" s="424"/>
      <c r="ED209" s="424"/>
      <c r="EE209" s="424"/>
      <c r="EF209" s="424"/>
      <c r="EG209" s="424"/>
      <c r="EH209" s="424"/>
      <c r="EI209" s="424"/>
      <c r="EJ209" s="424"/>
      <c r="EK209" s="424"/>
      <c r="EL209" s="424"/>
      <c r="EM209" s="424"/>
      <c r="EN209" s="424"/>
      <c r="EO209" s="424"/>
      <c r="EP209" s="424"/>
      <c r="EQ209" s="424"/>
      <c r="ER209" s="424"/>
      <c r="ES209" s="424"/>
      <c r="ET209" s="424"/>
      <c r="EU209" s="424"/>
      <c r="EV209" s="424"/>
      <c r="EW209" s="424"/>
      <c r="EX209" s="424"/>
      <c r="EY209" s="424"/>
      <c r="EZ209" s="424"/>
      <c r="FA209" s="377">
        <v>175</v>
      </c>
      <c r="FB209" s="378">
        <v>130</v>
      </c>
      <c r="FC209" s="378"/>
      <c r="FD209" s="379">
        <f t="shared" ref="FD209:FD222" si="486">SUM(BE209:BG209,BI209,BL209:BM209)+SUM(BH209,BJ209,BK209)*5</f>
        <v>0</v>
      </c>
      <c r="FE209" s="790"/>
    </row>
    <row r="210" spans="2:164" ht="26.1" customHeight="1" outlineLevel="1" thickBot="1" x14ac:dyDescent="0.3">
      <c r="B210" s="1018"/>
      <c r="C210" s="1020"/>
      <c r="D210" s="1033"/>
      <c r="E210" s="1038"/>
      <c r="F210" s="838" t="s">
        <v>112</v>
      </c>
      <c r="G210" s="804" t="str">
        <f>VLOOKUP(H210,инфо!AD:AE,2,FALSE)</f>
        <v>Прочее</v>
      </c>
      <c r="H210" s="577" t="s">
        <v>1197</v>
      </c>
      <c r="I210" s="588" t="s">
        <v>142</v>
      </c>
      <c r="J210" s="430"/>
      <c r="K210" s="431"/>
      <c r="L210" s="431"/>
      <c r="M210" s="431"/>
      <c r="N210" s="431"/>
      <c r="O210" s="431"/>
      <c r="P210" s="431"/>
      <c r="Q210" s="431"/>
      <c r="R210" s="431"/>
      <c r="S210" s="431"/>
      <c r="T210" s="431"/>
      <c r="U210" s="431"/>
      <c r="V210" s="431"/>
      <c r="W210" s="432"/>
      <c r="X210" s="432"/>
      <c r="Y210" s="432"/>
      <c r="Z210" s="432"/>
      <c r="AA210" s="432"/>
      <c r="AB210" s="432"/>
      <c r="AC210" s="432"/>
      <c r="AD210" s="432"/>
      <c r="AE210" s="432"/>
      <c r="AF210" s="432"/>
      <c r="AG210" s="432"/>
      <c r="AH210" s="432"/>
      <c r="AI210" s="432"/>
      <c r="AJ210" s="432"/>
      <c r="AK210" s="432"/>
      <c r="AL210" s="432"/>
      <c r="AM210" s="432"/>
      <c r="AN210" s="432"/>
      <c r="AO210" s="432"/>
      <c r="AP210" s="432"/>
      <c r="AQ210" s="432"/>
      <c r="AR210" s="432"/>
      <c r="AS210" s="432"/>
      <c r="AT210" s="432"/>
      <c r="AU210" s="432"/>
      <c r="AV210" s="432"/>
      <c r="AW210" s="432"/>
      <c r="AX210" s="432"/>
      <c r="AY210" s="432"/>
      <c r="AZ210" s="432"/>
      <c r="BA210" s="432"/>
      <c r="BB210" s="432"/>
      <c r="BC210" s="432"/>
      <c r="BD210" s="432"/>
      <c r="BE210" s="433"/>
      <c r="BF210" s="433"/>
      <c r="BG210" s="433"/>
      <c r="BH210" s="433"/>
      <c r="BI210" s="433"/>
      <c r="BJ210" s="433"/>
      <c r="BK210" s="433"/>
      <c r="BL210" s="433"/>
      <c r="BM210" s="433"/>
      <c r="BN210" s="434"/>
      <c r="BO210" s="434"/>
      <c r="BP210" s="434"/>
      <c r="BQ210" s="434"/>
      <c r="BR210" s="434"/>
      <c r="BS210" s="434"/>
      <c r="BT210" s="434"/>
      <c r="BU210" s="434"/>
      <c r="BV210" s="431"/>
      <c r="BW210" s="431"/>
      <c r="BX210" s="431"/>
      <c r="BY210" s="431"/>
      <c r="BZ210" s="431"/>
      <c r="CA210" s="431"/>
      <c r="CB210" s="431"/>
      <c r="CC210" s="435"/>
      <c r="CD210" s="435"/>
      <c r="CE210" s="435"/>
      <c r="CF210" s="435"/>
      <c r="CG210" s="435"/>
      <c r="CH210" s="435"/>
      <c r="CI210" s="435"/>
      <c r="CJ210" s="435"/>
      <c r="CK210" s="435"/>
      <c r="CL210" s="435"/>
      <c r="CM210" s="435"/>
      <c r="CN210" s="435"/>
      <c r="CO210" s="435"/>
      <c r="CP210" s="435"/>
      <c r="CQ210" s="435"/>
      <c r="CR210" s="435"/>
      <c r="CS210" s="436"/>
      <c r="CT210" s="436"/>
      <c r="CU210" s="436"/>
      <c r="CV210" s="436"/>
      <c r="CW210" s="436"/>
      <c r="CX210" s="436"/>
      <c r="CY210" s="436"/>
      <c r="CZ210" s="436"/>
      <c r="DA210" s="436"/>
      <c r="DB210" s="436"/>
      <c r="DC210" s="436"/>
      <c r="DD210" s="436"/>
      <c r="DE210" s="436"/>
      <c r="DF210" s="436"/>
      <c r="DG210" s="436"/>
      <c r="DH210" s="436"/>
      <c r="DI210" s="436"/>
      <c r="DJ210" s="436"/>
      <c r="DK210" s="436"/>
      <c r="DL210" s="436"/>
      <c r="DM210" s="436"/>
      <c r="DN210" s="938"/>
      <c r="DO210" s="437"/>
      <c r="DP210" s="437"/>
      <c r="DQ210" s="438"/>
      <c r="DR210" s="438"/>
      <c r="DS210" s="433"/>
      <c r="DT210" s="433">
        <v>5</v>
      </c>
      <c r="DU210" s="433"/>
      <c r="DV210" s="433"/>
      <c r="DW210" s="433"/>
      <c r="DX210" s="433"/>
      <c r="DY210" s="433"/>
      <c r="DZ210" s="433"/>
      <c r="EA210" s="433"/>
      <c r="EB210" s="433"/>
      <c r="EC210" s="433"/>
      <c r="ED210" s="433"/>
      <c r="EE210" s="433"/>
      <c r="EF210" s="433"/>
      <c r="EG210" s="433"/>
      <c r="EH210" s="433"/>
      <c r="EI210" s="433"/>
      <c r="EJ210" s="433"/>
      <c r="EK210" s="433"/>
      <c r="EL210" s="433"/>
      <c r="EM210" s="433"/>
      <c r="EN210" s="433"/>
      <c r="EO210" s="433"/>
      <c r="EP210" s="433"/>
      <c r="EQ210" s="433"/>
      <c r="ER210" s="433"/>
      <c r="ES210" s="433"/>
      <c r="ET210" s="433"/>
      <c r="EU210" s="433"/>
      <c r="EV210" s="433"/>
      <c r="EW210" s="433"/>
      <c r="EX210" s="433"/>
      <c r="EY210" s="433"/>
      <c r="EZ210" s="433"/>
      <c r="FA210" s="377"/>
      <c r="FB210" s="378">
        <v>5</v>
      </c>
      <c r="FC210" s="378"/>
      <c r="FD210" s="379">
        <f t="shared" si="486"/>
        <v>0</v>
      </c>
      <c r="FE210" s="790"/>
    </row>
    <row r="211" spans="2:164" ht="26.1" customHeight="1" outlineLevel="1" thickBot="1" x14ac:dyDescent="0.3">
      <c r="B211" s="1018"/>
      <c r="C211" s="1020"/>
      <c r="D211" s="1034"/>
      <c r="E211" s="1043"/>
      <c r="F211" s="839" t="s">
        <v>112</v>
      </c>
      <c r="G211" s="805" t="str">
        <f>VLOOKUP(H211,инфо!AD:AE,2,FALSE)</f>
        <v>Прочее</v>
      </c>
      <c r="H211" s="578" t="s">
        <v>1197</v>
      </c>
      <c r="I211" s="606" t="s">
        <v>50</v>
      </c>
      <c r="J211" s="439"/>
      <c r="K211" s="440"/>
      <c r="L211" s="440"/>
      <c r="M211" s="440"/>
      <c r="N211" s="440"/>
      <c r="O211" s="440"/>
      <c r="P211" s="440"/>
      <c r="Q211" s="440"/>
      <c r="R211" s="440"/>
      <c r="S211" s="440"/>
      <c r="T211" s="440"/>
      <c r="U211" s="440"/>
      <c r="V211" s="440"/>
      <c r="W211" s="441"/>
      <c r="X211" s="441"/>
      <c r="Y211" s="441"/>
      <c r="Z211" s="441">
        <v>50</v>
      </c>
      <c r="AA211" s="441">
        <v>100</v>
      </c>
      <c r="AB211" s="441"/>
      <c r="AC211" s="441"/>
      <c r="AD211" s="441"/>
      <c r="AE211" s="441"/>
      <c r="AF211" s="441"/>
      <c r="AG211" s="441"/>
      <c r="AH211" s="441"/>
      <c r="AI211" s="441"/>
      <c r="AJ211" s="441"/>
      <c r="AK211" s="441"/>
      <c r="AL211" s="441"/>
      <c r="AM211" s="441"/>
      <c r="AN211" s="441"/>
      <c r="AO211" s="441"/>
      <c r="AP211" s="441"/>
      <c r="AQ211" s="441"/>
      <c r="AR211" s="441"/>
      <c r="AS211" s="441"/>
      <c r="AT211" s="441"/>
      <c r="AU211" s="441"/>
      <c r="AV211" s="441"/>
      <c r="AW211" s="441"/>
      <c r="AX211" s="441"/>
      <c r="AY211" s="441"/>
      <c r="AZ211" s="441"/>
      <c r="BA211" s="441"/>
      <c r="BB211" s="441"/>
      <c r="BC211" s="441"/>
      <c r="BD211" s="441"/>
      <c r="BE211" s="442"/>
      <c r="BF211" s="442"/>
      <c r="BG211" s="442"/>
      <c r="BH211" s="442"/>
      <c r="BI211" s="442"/>
      <c r="BJ211" s="442"/>
      <c r="BK211" s="442"/>
      <c r="BL211" s="442"/>
      <c r="BM211" s="442"/>
      <c r="BN211" s="443"/>
      <c r="BO211" s="443"/>
      <c r="BP211" s="443"/>
      <c r="BQ211" s="443"/>
      <c r="BR211" s="443"/>
      <c r="BS211" s="443"/>
      <c r="BT211" s="443"/>
      <c r="BU211" s="443"/>
      <c r="BV211" s="440"/>
      <c r="BW211" s="440"/>
      <c r="BX211" s="440"/>
      <c r="BY211" s="440"/>
      <c r="BZ211" s="440"/>
      <c r="CA211" s="440"/>
      <c r="CB211" s="440"/>
      <c r="CC211" s="444"/>
      <c r="CD211" s="444"/>
      <c r="CE211" s="444"/>
      <c r="CF211" s="444"/>
      <c r="CG211" s="444"/>
      <c r="CH211" s="444"/>
      <c r="CI211" s="444"/>
      <c r="CJ211" s="444"/>
      <c r="CK211" s="444"/>
      <c r="CL211" s="444"/>
      <c r="CM211" s="444"/>
      <c r="CN211" s="444"/>
      <c r="CO211" s="444"/>
      <c r="CP211" s="444"/>
      <c r="CQ211" s="444"/>
      <c r="CR211" s="444"/>
      <c r="CS211" s="445"/>
      <c r="CT211" s="445"/>
      <c r="CU211" s="445"/>
      <c r="CV211" s="445"/>
      <c r="CW211" s="445"/>
      <c r="CX211" s="445"/>
      <c r="CY211" s="445"/>
      <c r="CZ211" s="445"/>
      <c r="DA211" s="445"/>
      <c r="DB211" s="445"/>
      <c r="DC211" s="445"/>
      <c r="DD211" s="445"/>
      <c r="DE211" s="445"/>
      <c r="DF211" s="445"/>
      <c r="DG211" s="445"/>
      <c r="DH211" s="445"/>
      <c r="DI211" s="445"/>
      <c r="DJ211" s="445"/>
      <c r="DK211" s="445"/>
      <c r="DL211" s="445"/>
      <c r="DM211" s="445"/>
      <c r="DN211" s="939"/>
      <c r="DO211" s="446"/>
      <c r="DP211" s="446"/>
      <c r="DQ211" s="447"/>
      <c r="DR211" s="447"/>
      <c r="DS211" s="442"/>
      <c r="DT211" s="442"/>
      <c r="DU211" s="442"/>
      <c r="DV211" s="442"/>
      <c r="DW211" s="442"/>
      <c r="DX211" s="442"/>
      <c r="DY211" s="442"/>
      <c r="DZ211" s="442"/>
      <c r="EA211" s="442"/>
      <c r="EB211" s="442"/>
      <c r="EC211" s="442"/>
      <c r="ED211" s="442"/>
      <c r="EE211" s="442"/>
      <c r="EF211" s="442"/>
      <c r="EG211" s="442"/>
      <c r="EH211" s="442"/>
      <c r="EI211" s="442"/>
      <c r="EJ211" s="442"/>
      <c r="EK211" s="442"/>
      <c r="EL211" s="442"/>
      <c r="EM211" s="442"/>
      <c r="EN211" s="442"/>
      <c r="EO211" s="442"/>
      <c r="EP211" s="442"/>
      <c r="EQ211" s="442"/>
      <c r="ER211" s="442"/>
      <c r="ES211" s="442"/>
      <c r="ET211" s="442"/>
      <c r="EU211" s="442"/>
      <c r="EV211" s="442"/>
      <c r="EW211" s="442"/>
      <c r="EX211" s="442"/>
      <c r="EY211" s="442"/>
      <c r="EZ211" s="442"/>
      <c r="FA211" s="389"/>
      <c r="FB211" s="390">
        <v>150</v>
      </c>
      <c r="FC211" s="390"/>
      <c r="FD211" s="391">
        <f t="shared" si="486"/>
        <v>0</v>
      </c>
      <c r="FE211" s="790"/>
    </row>
    <row r="212" spans="2:164" ht="26.1" customHeight="1" outlineLevel="1" thickBot="1" x14ac:dyDescent="0.3">
      <c r="B212" s="1018"/>
      <c r="C212" s="1020"/>
      <c r="D212" s="1034"/>
      <c r="E212" s="1038" t="s">
        <v>114</v>
      </c>
      <c r="F212" s="837" t="s">
        <v>112</v>
      </c>
      <c r="G212" s="803" t="str">
        <f>VLOOKUP(H212,инфо!AD:AE,2,FALSE)</f>
        <v>Первые блюда</v>
      </c>
      <c r="H212" s="579" t="s">
        <v>1204</v>
      </c>
      <c r="I212" s="588" t="s">
        <v>577</v>
      </c>
      <c r="J212" s="448"/>
      <c r="K212" s="449"/>
      <c r="L212" s="449"/>
      <c r="M212" s="449"/>
      <c r="N212" s="449"/>
      <c r="O212" s="449"/>
      <c r="P212" s="449"/>
      <c r="Q212" s="449"/>
      <c r="R212" s="449"/>
      <c r="S212" s="449"/>
      <c r="T212" s="449"/>
      <c r="U212" s="449"/>
      <c r="V212" s="449"/>
      <c r="W212" s="450"/>
      <c r="X212" s="450"/>
      <c r="Y212" s="450"/>
      <c r="Z212" s="450"/>
      <c r="AA212" s="450"/>
      <c r="AB212" s="450"/>
      <c r="AC212" s="450"/>
      <c r="AD212" s="450">
        <v>110</v>
      </c>
      <c r="AE212" s="450">
        <v>90</v>
      </c>
      <c r="AF212" s="450">
        <v>10</v>
      </c>
      <c r="AG212" s="450">
        <v>10</v>
      </c>
      <c r="AH212" s="450"/>
      <c r="AI212" s="450"/>
      <c r="AJ212" s="450"/>
      <c r="AK212" s="450"/>
      <c r="AL212" s="450"/>
      <c r="AM212" s="450"/>
      <c r="AN212" s="450"/>
      <c r="AO212" s="450">
        <v>5</v>
      </c>
      <c r="AP212" s="450"/>
      <c r="AQ212" s="450"/>
      <c r="AR212" s="450"/>
      <c r="AS212" s="450"/>
      <c r="AT212" s="450"/>
      <c r="AU212" s="450"/>
      <c r="AV212" s="450">
        <v>35</v>
      </c>
      <c r="AW212" s="450"/>
      <c r="AX212" s="450"/>
      <c r="AY212" s="450"/>
      <c r="AZ212" s="450"/>
      <c r="BA212" s="450"/>
      <c r="BB212" s="450"/>
      <c r="BC212" s="450"/>
      <c r="BD212" s="450"/>
      <c r="BE212" s="451"/>
      <c r="BF212" s="451"/>
      <c r="BG212" s="451"/>
      <c r="BH212" s="451"/>
      <c r="BI212" s="451"/>
      <c r="BJ212" s="451">
        <v>5</v>
      </c>
      <c r="BK212" s="451"/>
      <c r="BL212" s="451"/>
      <c r="BM212" s="451"/>
      <c r="BN212" s="452"/>
      <c r="BO212" s="452">
        <v>4</v>
      </c>
      <c r="BP212" s="452"/>
      <c r="BQ212" s="452"/>
      <c r="BR212" s="452"/>
      <c r="BS212" s="452"/>
      <c r="BT212" s="452"/>
      <c r="BU212" s="452"/>
      <c r="BV212" s="449"/>
      <c r="BW212" s="449"/>
      <c r="BX212" s="449"/>
      <c r="BY212" s="449"/>
      <c r="BZ212" s="449"/>
      <c r="CA212" s="449"/>
      <c r="CB212" s="449"/>
      <c r="CC212" s="453"/>
      <c r="CD212" s="453"/>
      <c r="CE212" s="453"/>
      <c r="CF212" s="453"/>
      <c r="CG212" s="453"/>
      <c r="CH212" s="453"/>
      <c r="CI212" s="453"/>
      <c r="CJ212" s="453"/>
      <c r="CK212" s="453"/>
      <c r="CL212" s="453"/>
      <c r="CM212" s="453"/>
      <c r="CN212" s="453"/>
      <c r="CO212" s="453"/>
      <c r="CP212" s="453"/>
      <c r="CQ212" s="453"/>
      <c r="CR212" s="453"/>
      <c r="CS212" s="454"/>
      <c r="CT212" s="454"/>
      <c r="CU212" s="454"/>
      <c r="CV212" s="454"/>
      <c r="CW212" s="454"/>
      <c r="CX212" s="454"/>
      <c r="CY212" s="454"/>
      <c r="CZ212" s="454"/>
      <c r="DA212" s="454"/>
      <c r="DB212" s="454"/>
      <c r="DC212" s="454"/>
      <c r="DD212" s="454"/>
      <c r="DE212" s="454"/>
      <c r="DF212" s="454"/>
      <c r="DG212" s="454"/>
      <c r="DH212" s="454"/>
      <c r="DI212" s="454"/>
      <c r="DJ212" s="454"/>
      <c r="DK212" s="454"/>
      <c r="DL212" s="454"/>
      <c r="DM212" s="454"/>
      <c r="DN212" s="940"/>
      <c r="DO212" s="455"/>
      <c r="DP212" s="455"/>
      <c r="DQ212" s="456">
        <v>0.02</v>
      </c>
      <c r="DR212" s="456">
        <v>0.05</v>
      </c>
      <c r="DS212" s="451"/>
      <c r="DT212" s="451"/>
      <c r="DU212" s="451"/>
      <c r="DV212" s="451"/>
      <c r="DW212" s="451"/>
      <c r="DX212" s="451"/>
      <c r="DY212" s="451"/>
      <c r="DZ212" s="451"/>
      <c r="EA212" s="451"/>
      <c r="EB212" s="451">
        <v>400</v>
      </c>
      <c r="EC212" s="451"/>
      <c r="ED212" s="451"/>
      <c r="EE212" s="451"/>
      <c r="EF212" s="451"/>
      <c r="EG212" s="451"/>
      <c r="EH212" s="451"/>
      <c r="EI212" s="451"/>
      <c r="EJ212" s="451"/>
      <c r="EK212" s="451"/>
      <c r="EL212" s="451"/>
      <c r="EM212" s="451"/>
      <c r="EN212" s="451"/>
      <c r="EO212" s="451"/>
      <c r="EP212" s="451"/>
      <c r="EQ212" s="451"/>
      <c r="ER212" s="451"/>
      <c r="ES212" s="451"/>
      <c r="ET212" s="451"/>
      <c r="EU212" s="451"/>
      <c r="EV212" s="451"/>
      <c r="EW212" s="451"/>
      <c r="EX212" s="451"/>
      <c r="EY212" s="451"/>
      <c r="EZ212" s="451"/>
      <c r="FA212" s="364">
        <v>250</v>
      </c>
      <c r="FB212" s="365">
        <v>500</v>
      </c>
      <c r="FC212" s="365"/>
      <c r="FD212" s="367">
        <f t="shared" si="486"/>
        <v>25</v>
      </c>
      <c r="FE212" s="790"/>
    </row>
    <row r="213" spans="2:164" ht="26.1" customHeight="1" outlineLevel="1" thickBot="1" x14ac:dyDescent="0.3">
      <c r="B213" s="1018"/>
      <c r="C213" s="1020"/>
      <c r="D213" s="1034"/>
      <c r="E213" s="1038"/>
      <c r="F213" s="838" t="s">
        <v>112</v>
      </c>
      <c r="G213" s="804" t="str">
        <f>VLOOKUP(H213,инфо!AD:AE,2,FALSE)</f>
        <v>Мясные (рыбные) блюда с соусом</v>
      </c>
      <c r="H213" s="580" t="s">
        <v>1209</v>
      </c>
      <c r="I213" s="574"/>
      <c r="J213" s="430"/>
      <c r="K213" s="431"/>
      <c r="L213" s="431"/>
      <c r="M213" s="431"/>
      <c r="N213" s="431"/>
      <c r="O213" s="431"/>
      <c r="P213" s="431"/>
      <c r="Q213" s="431"/>
      <c r="R213" s="431"/>
      <c r="S213" s="431"/>
      <c r="T213" s="431"/>
      <c r="U213" s="431"/>
      <c r="V213" s="431"/>
      <c r="W213" s="432"/>
      <c r="X213" s="432"/>
      <c r="Y213" s="432"/>
      <c r="Z213" s="432"/>
      <c r="AA213" s="432"/>
      <c r="AB213" s="432"/>
      <c r="AC213" s="432"/>
      <c r="AD213" s="432"/>
      <c r="AE213" s="432"/>
      <c r="AF213" s="432"/>
      <c r="AG213" s="432"/>
      <c r="AH213" s="432"/>
      <c r="AI213" s="432"/>
      <c r="AJ213" s="432"/>
      <c r="AK213" s="432"/>
      <c r="AL213" s="432"/>
      <c r="AM213" s="432"/>
      <c r="AN213" s="432"/>
      <c r="AO213" s="432"/>
      <c r="AP213" s="432"/>
      <c r="AQ213" s="432"/>
      <c r="AR213" s="432"/>
      <c r="AS213" s="432"/>
      <c r="AT213" s="432"/>
      <c r="AU213" s="432"/>
      <c r="AV213" s="432"/>
      <c r="AW213" s="432"/>
      <c r="AX213" s="432"/>
      <c r="AY213" s="432"/>
      <c r="AZ213" s="432"/>
      <c r="BA213" s="432"/>
      <c r="BB213" s="432"/>
      <c r="BC213" s="432"/>
      <c r="BD213" s="432"/>
      <c r="BE213" s="433"/>
      <c r="BF213" s="433"/>
      <c r="BG213" s="433"/>
      <c r="BH213" s="433"/>
      <c r="BI213" s="433"/>
      <c r="BJ213" s="433"/>
      <c r="BK213" s="433"/>
      <c r="BL213" s="433"/>
      <c r="BM213" s="433"/>
      <c r="BN213" s="434"/>
      <c r="BO213" s="434"/>
      <c r="BP213" s="434"/>
      <c r="BQ213" s="434"/>
      <c r="BR213" s="434"/>
      <c r="BS213" s="434"/>
      <c r="BT213" s="434"/>
      <c r="BU213" s="434"/>
      <c r="BV213" s="431"/>
      <c r="BW213" s="431"/>
      <c r="BX213" s="431"/>
      <c r="BY213" s="431"/>
      <c r="BZ213" s="431"/>
      <c r="CA213" s="431"/>
      <c r="CB213" s="431"/>
      <c r="CC213" s="435"/>
      <c r="CD213" s="435"/>
      <c r="CE213" s="435"/>
      <c r="CF213" s="435"/>
      <c r="CG213" s="435"/>
      <c r="CH213" s="435"/>
      <c r="CI213" s="435"/>
      <c r="CJ213" s="435"/>
      <c r="CK213" s="435"/>
      <c r="CL213" s="435"/>
      <c r="CM213" s="435"/>
      <c r="CN213" s="435"/>
      <c r="CO213" s="435"/>
      <c r="CP213" s="435"/>
      <c r="CQ213" s="435"/>
      <c r="CR213" s="435"/>
      <c r="CS213" s="436"/>
      <c r="CT213" s="436"/>
      <c r="CU213" s="436"/>
      <c r="CV213" s="436"/>
      <c r="CW213" s="436"/>
      <c r="CX213" s="436"/>
      <c r="CY213" s="436"/>
      <c r="CZ213" s="436"/>
      <c r="DA213" s="436"/>
      <c r="DB213" s="436"/>
      <c r="DC213" s="436"/>
      <c r="DD213" s="436"/>
      <c r="DE213" s="436"/>
      <c r="DF213" s="436"/>
      <c r="DG213" s="436"/>
      <c r="DH213" s="436"/>
      <c r="DI213" s="436"/>
      <c r="DJ213" s="436"/>
      <c r="DK213" s="436"/>
      <c r="DL213" s="436"/>
      <c r="DM213" s="436"/>
      <c r="DN213" s="938"/>
      <c r="DO213" s="437"/>
      <c r="DP213" s="437"/>
      <c r="DQ213" s="438"/>
      <c r="DR213" s="438"/>
      <c r="DS213" s="433"/>
      <c r="DT213" s="433"/>
      <c r="DU213" s="433"/>
      <c r="DV213" s="433"/>
      <c r="DW213" s="433"/>
      <c r="DX213" s="433"/>
      <c r="DY213" s="433"/>
      <c r="DZ213" s="433"/>
      <c r="EA213" s="433"/>
      <c r="EB213" s="433"/>
      <c r="EC213" s="433"/>
      <c r="ED213" s="433"/>
      <c r="EE213" s="433"/>
      <c r="EF213" s="433"/>
      <c r="EG213" s="433"/>
      <c r="EH213" s="433"/>
      <c r="EI213" s="433"/>
      <c r="EJ213" s="433"/>
      <c r="EK213" s="433"/>
      <c r="EL213" s="433"/>
      <c r="EM213" s="433"/>
      <c r="EN213" s="433"/>
      <c r="EO213" s="433"/>
      <c r="EP213" s="433"/>
      <c r="EQ213" s="433"/>
      <c r="ER213" s="433"/>
      <c r="ES213" s="433"/>
      <c r="ET213" s="433"/>
      <c r="EU213" s="433"/>
      <c r="EV213" s="433"/>
      <c r="EW213" s="433"/>
      <c r="EX213" s="433"/>
      <c r="EY213" s="433"/>
      <c r="EZ213" s="433"/>
      <c r="FA213" s="377"/>
      <c r="FB213" s="378"/>
      <c r="FC213" s="378"/>
      <c r="FD213" s="379">
        <f t="shared" si="486"/>
        <v>0</v>
      </c>
      <c r="FE213" s="790"/>
    </row>
    <row r="214" spans="2:164" ht="26.1" customHeight="1" outlineLevel="1" thickBot="1" x14ac:dyDescent="0.3">
      <c r="B214" s="1018"/>
      <c r="C214" s="1020"/>
      <c r="D214" s="1034"/>
      <c r="E214" s="1038"/>
      <c r="F214" s="840" t="s">
        <v>112</v>
      </c>
      <c r="G214" s="806" t="str">
        <f>VLOOKUP(H214,инфо!AD:AE,2,FALSE)</f>
        <v>Прочее</v>
      </c>
      <c r="H214" s="581" t="s">
        <v>1197</v>
      </c>
      <c r="I214" s="573"/>
      <c r="J214" s="457"/>
      <c r="K214" s="458"/>
      <c r="L214" s="458"/>
      <c r="M214" s="458"/>
      <c r="N214" s="458"/>
      <c r="O214" s="458"/>
      <c r="P214" s="458"/>
      <c r="Q214" s="458"/>
      <c r="R214" s="458"/>
      <c r="S214" s="458"/>
      <c r="T214" s="458"/>
      <c r="U214" s="458"/>
      <c r="V214" s="458"/>
      <c r="W214" s="459"/>
      <c r="X214" s="459"/>
      <c r="Y214" s="459"/>
      <c r="Z214" s="459"/>
      <c r="AA214" s="459"/>
      <c r="AB214" s="459"/>
      <c r="AC214" s="459"/>
      <c r="AD214" s="459"/>
      <c r="AE214" s="459"/>
      <c r="AF214" s="459"/>
      <c r="AG214" s="459"/>
      <c r="AH214" s="459"/>
      <c r="AI214" s="459"/>
      <c r="AJ214" s="459"/>
      <c r="AK214" s="459"/>
      <c r="AL214" s="459"/>
      <c r="AM214" s="459"/>
      <c r="AN214" s="459"/>
      <c r="AO214" s="459"/>
      <c r="AP214" s="459"/>
      <c r="AQ214" s="459"/>
      <c r="AR214" s="459"/>
      <c r="AS214" s="459"/>
      <c r="AT214" s="459"/>
      <c r="AU214" s="459"/>
      <c r="AV214" s="459"/>
      <c r="AW214" s="459"/>
      <c r="AX214" s="459"/>
      <c r="AY214" s="459"/>
      <c r="AZ214" s="459"/>
      <c r="BA214" s="459"/>
      <c r="BB214" s="459"/>
      <c r="BC214" s="459"/>
      <c r="BD214" s="459"/>
      <c r="BE214" s="460"/>
      <c r="BF214" s="460"/>
      <c r="BG214" s="460"/>
      <c r="BH214" s="460"/>
      <c r="BI214" s="460"/>
      <c r="BJ214" s="460"/>
      <c r="BK214" s="460"/>
      <c r="BL214" s="460"/>
      <c r="BM214" s="460"/>
      <c r="BN214" s="461"/>
      <c r="BO214" s="461"/>
      <c r="BP214" s="461"/>
      <c r="BQ214" s="461"/>
      <c r="BR214" s="461"/>
      <c r="BS214" s="461"/>
      <c r="BT214" s="461"/>
      <c r="BU214" s="461"/>
      <c r="BV214" s="458"/>
      <c r="BW214" s="458"/>
      <c r="BX214" s="458"/>
      <c r="BY214" s="458"/>
      <c r="BZ214" s="458"/>
      <c r="CA214" s="458"/>
      <c r="CB214" s="458"/>
      <c r="CC214" s="462"/>
      <c r="CD214" s="462"/>
      <c r="CE214" s="462"/>
      <c r="CF214" s="462"/>
      <c r="CG214" s="462"/>
      <c r="CH214" s="462"/>
      <c r="CI214" s="462"/>
      <c r="CJ214" s="462"/>
      <c r="CK214" s="462"/>
      <c r="CL214" s="462"/>
      <c r="CM214" s="462"/>
      <c r="CN214" s="462"/>
      <c r="CO214" s="462"/>
      <c r="CP214" s="462"/>
      <c r="CQ214" s="462"/>
      <c r="CR214" s="462"/>
      <c r="CS214" s="463"/>
      <c r="CT214" s="463"/>
      <c r="CU214" s="463"/>
      <c r="CV214" s="463"/>
      <c r="CW214" s="463"/>
      <c r="CX214" s="463"/>
      <c r="CY214" s="463"/>
      <c r="CZ214" s="463"/>
      <c r="DA214" s="463"/>
      <c r="DB214" s="463"/>
      <c r="DC214" s="463"/>
      <c r="DD214" s="463"/>
      <c r="DE214" s="463"/>
      <c r="DF214" s="463"/>
      <c r="DG214" s="463"/>
      <c r="DH214" s="463"/>
      <c r="DI214" s="463"/>
      <c r="DJ214" s="463"/>
      <c r="DK214" s="463"/>
      <c r="DL214" s="463"/>
      <c r="DM214" s="463"/>
      <c r="DN214" s="941"/>
      <c r="DO214" s="464"/>
      <c r="DP214" s="464"/>
      <c r="DQ214" s="465"/>
      <c r="DR214" s="465"/>
      <c r="DS214" s="460"/>
      <c r="DT214" s="460"/>
      <c r="DU214" s="460"/>
      <c r="DV214" s="460"/>
      <c r="DW214" s="460"/>
      <c r="DX214" s="460"/>
      <c r="DY214" s="460"/>
      <c r="DZ214" s="460"/>
      <c r="EA214" s="460"/>
      <c r="EB214" s="460"/>
      <c r="EC214" s="460"/>
      <c r="ED214" s="460"/>
      <c r="EE214" s="460"/>
      <c r="EF214" s="460"/>
      <c r="EG214" s="460"/>
      <c r="EH214" s="460"/>
      <c r="EI214" s="460"/>
      <c r="EJ214" s="460"/>
      <c r="EK214" s="460"/>
      <c r="EL214" s="460"/>
      <c r="EM214" s="460"/>
      <c r="EN214" s="460"/>
      <c r="EO214" s="460"/>
      <c r="EP214" s="460"/>
      <c r="EQ214" s="460"/>
      <c r="ER214" s="460"/>
      <c r="ES214" s="460"/>
      <c r="ET214" s="460"/>
      <c r="EU214" s="460"/>
      <c r="EV214" s="460"/>
      <c r="EW214" s="460"/>
      <c r="EX214" s="460"/>
      <c r="EY214" s="460"/>
      <c r="EZ214" s="460"/>
      <c r="FA214" s="402"/>
      <c r="FB214" s="403"/>
      <c r="FC214" s="403"/>
      <c r="FD214" s="404">
        <f t="shared" si="486"/>
        <v>0</v>
      </c>
      <c r="FE214" s="790"/>
    </row>
    <row r="215" spans="2:164" ht="26.1" customHeight="1" outlineLevel="1" thickBot="1" x14ac:dyDescent="0.3">
      <c r="B215" s="1018"/>
      <c r="C215" s="1020"/>
      <c r="D215" s="1034"/>
      <c r="E215" s="1038" t="s">
        <v>115</v>
      </c>
      <c r="F215" s="837" t="s">
        <v>112</v>
      </c>
      <c r="G215" s="803" t="str">
        <f>VLOOKUP(H215,инфо!AD:AE,2,FALSE)</f>
        <v>Прочее</v>
      </c>
      <c r="H215" s="579" t="s">
        <v>1197</v>
      </c>
      <c r="I215" s="588" t="s">
        <v>142</v>
      </c>
      <c r="J215" s="448"/>
      <c r="K215" s="449"/>
      <c r="L215" s="449"/>
      <c r="M215" s="449"/>
      <c r="N215" s="449"/>
      <c r="O215" s="449"/>
      <c r="P215" s="449"/>
      <c r="Q215" s="449"/>
      <c r="R215" s="449"/>
      <c r="S215" s="449"/>
      <c r="T215" s="449"/>
      <c r="U215" s="449"/>
      <c r="V215" s="449"/>
      <c r="W215" s="450"/>
      <c r="X215" s="466"/>
      <c r="Y215" s="450"/>
      <c r="Z215" s="450"/>
      <c r="AA215" s="450"/>
      <c r="AB215" s="450"/>
      <c r="AC215" s="450"/>
      <c r="AD215" s="450"/>
      <c r="AE215" s="450"/>
      <c r="AF215" s="450"/>
      <c r="AG215" s="450"/>
      <c r="AH215" s="450"/>
      <c r="AI215" s="450"/>
      <c r="AJ215" s="450"/>
      <c r="AK215" s="450"/>
      <c r="AL215" s="450"/>
      <c r="AM215" s="450"/>
      <c r="AN215" s="450"/>
      <c r="AO215" s="450"/>
      <c r="AP215" s="450"/>
      <c r="AQ215" s="450"/>
      <c r="AR215" s="450"/>
      <c r="AS215" s="450"/>
      <c r="AT215" s="450"/>
      <c r="AU215" s="450"/>
      <c r="AV215" s="450"/>
      <c r="AW215" s="450"/>
      <c r="AX215" s="450"/>
      <c r="AY215" s="450"/>
      <c r="AZ215" s="450"/>
      <c r="BA215" s="450"/>
      <c r="BB215" s="450"/>
      <c r="BC215" s="450"/>
      <c r="BD215" s="450"/>
      <c r="BE215" s="451"/>
      <c r="BF215" s="451"/>
      <c r="BG215" s="451"/>
      <c r="BH215" s="451"/>
      <c r="BI215" s="451"/>
      <c r="BJ215" s="451"/>
      <c r="BK215" s="451"/>
      <c r="BL215" s="451"/>
      <c r="BM215" s="451"/>
      <c r="BN215" s="452"/>
      <c r="BO215" s="452"/>
      <c r="BP215" s="452"/>
      <c r="BQ215" s="452"/>
      <c r="BR215" s="452"/>
      <c r="BS215" s="452"/>
      <c r="BT215" s="452"/>
      <c r="BU215" s="452"/>
      <c r="BV215" s="449"/>
      <c r="BW215" s="449"/>
      <c r="BX215" s="449"/>
      <c r="BY215" s="449"/>
      <c r="BZ215" s="449"/>
      <c r="CA215" s="449"/>
      <c r="CB215" s="449"/>
      <c r="CC215" s="453"/>
      <c r="CD215" s="453"/>
      <c r="CE215" s="453"/>
      <c r="CF215" s="453"/>
      <c r="CG215" s="453"/>
      <c r="CH215" s="453"/>
      <c r="CI215" s="453"/>
      <c r="CJ215" s="453"/>
      <c r="CK215" s="453"/>
      <c r="CL215" s="453"/>
      <c r="CM215" s="453"/>
      <c r="CN215" s="453"/>
      <c r="CO215" s="453"/>
      <c r="CP215" s="453"/>
      <c r="CQ215" s="453"/>
      <c r="CR215" s="453"/>
      <c r="CS215" s="454"/>
      <c r="CT215" s="454"/>
      <c r="CU215" s="454"/>
      <c r="CV215" s="454"/>
      <c r="CW215" s="454"/>
      <c r="CX215" s="454"/>
      <c r="CY215" s="454"/>
      <c r="CZ215" s="454"/>
      <c r="DA215" s="454"/>
      <c r="DB215" s="454"/>
      <c r="DC215" s="454"/>
      <c r="DD215" s="454"/>
      <c r="DE215" s="454"/>
      <c r="DF215" s="454"/>
      <c r="DG215" s="454"/>
      <c r="DH215" s="454"/>
      <c r="DI215" s="454"/>
      <c r="DJ215" s="454"/>
      <c r="DK215" s="454"/>
      <c r="DL215" s="454"/>
      <c r="DM215" s="454"/>
      <c r="DN215" s="940"/>
      <c r="DO215" s="455"/>
      <c r="DP215" s="455"/>
      <c r="DQ215" s="456"/>
      <c r="DR215" s="456"/>
      <c r="DS215" s="451"/>
      <c r="DT215" s="451">
        <v>5</v>
      </c>
      <c r="DU215" s="451"/>
      <c r="DV215" s="451"/>
      <c r="DW215" s="451"/>
      <c r="DX215" s="451"/>
      <c r="DY215" s="451"/>
      <c r="DZ215" s="451"/>
      <c r="EA215" s="451"/>
      <c r="EB215" s="451"/>
      <c r="EC215" s="451"/>
      <c r="ED215" s="451"/>
      <c r="EE215" s="451"/>
      <c r="EF215" s="451"/>
      <c r="EG215" s="451"/>
      <c r="EH215" s="451"/>
      <c r="EI215" s="451"/>
      <c r="EJ215" s="451"/>
      <c r="EK215" s="451"/>
      <c r="EL215" s="451"/>
      <c r="EM215" s="451"/>
      <c r="EN215" s="451"/>
      <c r="EO215" s="451"/>
      <c r="EP215" s="451"/>
      <c r="EQ215" s="451"/>
      <c r="ER215" s="451"/>
      <c r="ES215" s="451"/>
      <c r="ET215" s="451"/>
      <c r="EU215" s="451"/>
      <c r="EV215" s="451"/>
      <c r="EW215" s="451"/>
      <c r="EX215" s="451"/>
      <c r="EY215" s="451"/>
      <c r="EZ215" s="451"/>
      <c r="FA215" s="364"/>
      <c r="FB215" s="365">
        <v>5</v>
      </c>
      <c r="FC215" s="365"/>
      <c r="FD215" s="367">
        <f t="shared" si="486"/>
        <v>0</v>
      </c>
      <c r="FE215" s="790"/>
    </row>
    <row r="216" spans="2:164" ht="26.1" customHeight="1" outlineLevel="1" thickBot="1" x14ac:dyDescent="0.3">
      <c r="B216" s="1018"/>
      <c r="C216" s="1020"/>
      <c r="D216" s="1034"/>
      <c r="E216" s="1038"/>
      <c r="F216" s="838" t="s">
        <v>112</v>
      </c>
      <c r="G216" s="804" t="str">
        <f>VLOOKUP(H216,инфо!AD:AE,2,FALSE)</f>
        <v>Мясные (рыбные) блюда с соусом</v>
      </c>
      <c r="H216" s="580" t="s">
        <v>1209</v>
      </c>
      <c r="I216" s="588" t="s">
        <v>642</v>
      </c>
      <c r="J216" s="430"/>
      <c r="K216" s="431"/>
      <c r="L216" s="431"/>
      <c r="M216" s="431"/>
      <c r="N216" s="431"/>
      <c r="O216" s="431"/>
      <c r="P216" s="431"/>
      <c r="Q216" s="431"/>
      <c r="R216" s="431"/>
      <c r="S216" s="431"/>
      <c r="T216" s="431"/>
      <c r="U216" s="431"/>
      <c r="V216" s="431"/>
      <c r="W216" s="432"/>
      <c r="X216" s="432">
        <v>2</v>
      </c>
      <c r="Y216" s="432"/>
      <c r="Z216" s="432"/>
      <c r="AA216" s="432"/>
      <c r="AB216" s="432"/>
      <c r="AC216" s="432"/>
      <c r="AD216" s="432"/>
      <c r="AE216" s="432"/>
      <c r="AF216" s="432">
        <v>10</v>
      </c>
      <c r="AG216" s="432">
        <v>10</v>
      </c>
      <c r="AH216" s="432"/>
      <c r="AI216" s="432"/>
      <c r="AJ216" s="432"/>
      <c r="AK216" s="432"/>
      <c r="AL216" s="432"/>
      <c r="AM216" s="432"/>
      <c r="AN216" s="432"/>
      <c r="AO216" s="432"/>
      <c r="AP216" s="432"/>
      <c r="AQ216" s="432"/>
      <c r="AR216" s="432"/>
      <c r="AS216" s="432"/>
      <c r="AT216" s="432"/>
      <c r="AU216" s="432"/>
      <c r="AV216" s="432"/>
      <c r="AW216" s="432"/>
      <c r="AX216" s="432"/>
      <c r="AY216" s="432"/>
      <c r="AZ216" s="432"/>
      <c r="BA216" s="432"/>
      <c r="BB216" s="432"/>
      <c r="BC216" s="432"/>
      <c r="BD216" s="432"/>
      <c r="BE216" s="433"/>
      <c r="BF216" s="433"/>
      <c r="BG216" s="433"/>
      <c r="BH216" s="433"/>
      <c r="BI216" s="433"/>
      <c r="BJ216" s="433"/>
      <c r="BK216" s="433"/>
      <c r="BL216" s="433"/>
      <c r="BM216" s="433"/>
      <c r="BN216" s="434"/>
      <c r="BO216" s="434">
        <v>5</v>
      </c>
      <c r="BP216" s="434"/>
      <c r="BQ216" s="434"/>
      <c r="BR216" s="434"/>
      <c r="BS216" s="434"/>
      <c r="BT216" s="434"/>
      <c r="BU216" s="434"/>
      <c r="BV216" s="431"/>
      <c r="BW216" s="431"/>
      <c r="BX216" s="431"/>
      <c r="BY216" s="431"/>
      <c r="BZ216" s="431">
        <v>112.5</v>
      </c>
      <c r="CA216" s="431"/>
      <c r="CB216" s="431"/>
      <c r="CC216" s="435"/>
      <c r="CD216" s="435"/>
      <c r="CE216" s="435"/>
      <c r="CF216" s="435"/>
      <c r="CG216" s="435"/>
      <c r="CH216" s="435"/>
      <c r="CI216" s="435"/>
      <c r="CJ216" s="435"/>
      <c r="CK216" s="435"/>
      <c r="CL216" s="435"/>
      <c r="CM216" s="435"/>
      <c r="CN216" s="435"/>
      <c r="CO216" s="435"/>
      <c r="CP216" s="435"/>
      <c r="CQ216" s="435"/>
      <c r="CR216" s="435"/>
      <c r="CS216" s="436"/>
      <c r="CT216" s="436"/>
      <c r="CU216" s="436"/>
      <c r="CV216" s="436"/>
      <c r="CW216" s="436"/>
      <c r="CX216" s="436"/>
      <c r="CY216" s="436"/>
      <c r="CZ216" s="436"/>
      <c r="DA216" s="436"/>
      <c r="DB216" s="436"/>
      <c r="DC216" s="436"/>
      <c r="DD216" s="436"/>
      <c r="DE216" s="436"/>
      <c r="DF216" s="436"/>
      <c r="DG216" s="436"/>
      <c r="DH216" s="436"/>
      <c r="DI216" s="436"/>
      <c r="DJ216" s="436"/>
      <c r="DK216" s="436"/>
      <c r="DL216" s="436"/>
      <c r="DM216" s="436"/>
      <c r="DN216" s="938"/>
      <c r="DO216" s="437"/>
      <c r="DP216" s="437">
        <v>2</v>
      </c>
      <c r="DQ216" s="438">
        <v>0.01</v>
      </c>
      <c r="DR216" s="438"/>
      <c r="DS216" s="433">
        <v>2</v>
      </c>
      <c r="DT216" s="433"/>
      <c r="DU216" s="433"/>
      <c r="DV216" s="433"/>
      <c r="DW216" s="433"/>
      <c r="DX216" s="433"/>
      <c r="DY216" s="433"/>
      <c r="DZ216" s="433"/>
      <c r="EA216" s="433"/>
      <c r="EB216" s="433"/>
      <c r="EC216" s="433"/>
      <c r="ED216" s="433"/>
      <c r="EE216" s="433"/>
      <c r="EF216" s="433"/>
      <c r="EG216" s="433"/>
      <c r="EH216" s="433"/>
      <c r="EI216" s="433"/>
      <c r="EJ216" s="433"/>
      <c r="EK216" s="433"/>
      <c r="EL216" s="433"/>
      <c r="EM216" s="433"/>
      <c r="EN216" s="433"/>
      <c r="EO216" s="433"/>
      <c r="EP216" s="433"/>
      <c r="EQ216" s="433"/>
      <c r="ER216" s="433"/>
      <c r="ES216" s="433"/>
      <c r="ET216" s="433"/>
      <c r="EU216" s="433"/>
      <c r="EV216" s="433"/>
      <c r="EW216" s="433"/>
      <c r="EX216" s="433"/>
      <c r="EY216" s="433"/>
      <c r="EZ216" s="433"/>
      <c r="FA216" s="377"/>
      <c r="FB216" s="378">
        <v>115</v>
      </c>
      <c r="FC216" s="378">
        <v>65</v>
      </c>
      <c r="FD216" s="379">
        <f t="shared" si="486"/>
        <v>0</v>
      </c>
      <c r="FE216" s="790"/>
    </row>
    <row r="217" spans="2:164" ht="26.1" customHeight="1" outlineLevel="1" thickBot="1" x14ac:dyDescent="0.3">
      <c r="B217" s="1018"/>
      <c r="C217" s="1020"/>
      <c r="D217" s="1034"/>
      <c r="E217" s="1038"/>
      <c r="F217" s="838" t="s">
        <v>112</v>
      </c>
      <c r="G217" s="804" t="str">
        <f>VLOOKUP(H217,инфо!AD:AE,2,FALSE)</f>
        <v>Гарниры</v>
      </c>
      <c r="H217" s="580" t="s">
        <v>1198</v>
      </c>
      <c r="I217" s="590" t="s">
        <v>990</v>
      </c>
      <c r="J217" s="430"/>
      <c r="K217" s="431">
        <v>83</v>
      </c>
      <c r="L217" s="431"/>
      <c r="M217" s="431"/>
      <c r="N217" s="431"/>
      <c r="O217" s="431"/>
      <c r="P217" s="431"/>
      <c r="Q217" s="431"/>
      <c r="R217" s="431"/>
      <c r="S217" s="431"/>
      <c r="T217" s="431"/>
      <c r="U217" s="431"/>
      <c r="V217" s="431"/>
      <c r="W217" s="432"/>
      <c r="X217" s="432"/>
      <c r="Y217" s="432"/>
      <c r="Z217" s="432"/>
      <c r="AA217" s="432"/>
      <c r="AB217" s="432"/>
      <c r="AC217" s="432"/>
      <c r="AD217" s="432"/>
      <c r="AE217" s="432"/>
      <c r="AF217" s="432"/>
      <c r="AG217" s="432"/>
      <c r="AH217" s="432"/>
      <c r="AI217" s="432"/>
      <c r="AJ217" s="432"/>
      <c r="AK217" s="432"/>
      <c r="AL217" s="432"/>
      <c r="AM217" s="432"/>
      <c r="AN217" s="432"/>
      <c r="AO217" s="432"/>
      <c r="AP217" s="432"/>
      <c r="AQ217" s="432"/>
      <c r="AR217" s="432"/>
      <c r="AS217" s="432"/>
      <c r="AT217" s="432"/>
      <c r="AU217" s="432"/>
      <c r="AV217" s="432"/>
      <c r="AW217" s="432"/>
      <c r="AX217" s="432"/>
      <c r="AY217" s="432"/>
      <c r="AZ217" s="432"/>
      <c r="BA217" s="432"/>
      <c r="BB217" s="432"/>
      <c r="BC217" s="432"/>
      <c r="BD217" s="432"/>
      <c r="BE217" s="433"/>
      <c r="BF217" s="433"/>
      <c r="BG217" s="433"/>
      <c r="BH217" s="433"/>
      <c r="BI217" s="433"/>
      <c r="BJ217" s="433"/>
      <c r="BK217" s="433"/>
      <c r="BL217" s="433"/>
      <c r="BM217" s="433"/>
      <c r="BN217" s="434"/>
      <c r="BO217" s="434"/>
      <c r="BP217" s="434"/>
      <c r="BQ217" s="434"/>
      <c r="BR217" s="434"/>
      <c r="BS217" s="434"/>
      <c r="BT217" s="434"/>
      <c r="BU217" s="434"/>
      <c r="BV217" s="431"/>
      <c r="BW217" s="431"/>
      <c r="BX217" s="431"/>
      <c r="BY217" s="431"/>
      <c r="BZ217" s="431"/>
      <c r="CA217" s="431"/>
      <c r="CB217" s="431"/>
      <c r="CC217" s="435"/>
      <c r="CD217" s="435"/>
      <c r="CE217" s="435"/>
      <c r="CF217" s="435"/>
      <c r="CG217" s="435"/>
      <c r="CH217" s="435"/>
      <c r="CI217" s="435"/>
      <c r="CJ217" s="435"/>
      <c r="CK217" s="435"/>
      <c r="CL217" s="435"/>
      <c r="CM217" s="435"/>
      <c r="CN217" s="435"/>
      <c r="CO217" s="435"/>
      <c r="CP217" s="435"/>
      <c r="CQ217" s="435"/>
      <c r="CR217" s="435"/>
      <c r="CS217" s="436"/>
      <c r="CT217" s="436"/>
      <c r="CU217" s="436"/>
      <c r="CV217" s="436"/>
      <c r="CW217" s="436"/>
      <c r="CX217" s="436"/>
      <c r="CY217" s="436"/>
      <c r="CZ217" s="436"/>
      <c r="DA217" s="436"/>
      <c r="DB217" s="436"/>
      <c r="DC217" s="436"/>
      <c r="DD217" s="436"/>
      <c r="DE217" s="436"/>
      <c r="DF217" s="436"/>
      <c r="DG217" s="436"/>
      <c r="DH217" s="436"/>
      <c r="DI217" s="436"/>
      <c r="DJ217" s="436"/>
      <c r="DK217" s="436"/>
      <c r="DL217" s="436"/>
      <c r="DM217" s="436"/>
      <c r="DN217" s="938"/>
      <c r="DO217" s="437"/>
      <c r="DP217" s="437">
        <v>1.5</v>
      </c>
      <c r="DQ217" s="438"/>
      <c r="DR217" s="438"/>
      <c r="DS217" s="433"/>
      <c r="DT217" s="433"/>
      <c r="DU217" s="433"/>
      <c r="DV217" s="433"/>
      <c r="DW217" s="433"/>
      <c r="DX217" s="433"/>
      <c r="DY217" s="433"/>
      <c r="DZ217" s="433"/>
      <c r="EA217" s="433">
        <v>124.5</v>
      </c>
      <c r="EB217" s="433"/>
      <c r="EC217" s="433"/>
      <c r="ED217" s="433"/>
      <c r="EE217" s="433"/>
      <c r="EF217" s="433"/>
      <c r="EG217" s="433"/>
      <c r="EH217" s="433"/>
      <c r="EI217" s="433"/>
      <c r="EJ217" s="433"/>
      <c r="EK217" s="433"/>
      <c r="EL217" s="433"/>
      <c r="EM217" s="433"/>
      <c r="EN217" s="433"/>
      <c r="EO217" s="433"/>
      <c r="EP217" s="433"/>
      <c r="EQ217" s="433"/>
      <c r="ER217" s="433"/>
      <c r="ES217" s="433"/>
      <c r="ET217" s="433"/>
      <c r="EU217" s="433"/>
      <c r="EV217" s="433"/>
      <c r="EW217" s="433"/>
      <c r="EX217" s="433"/>
      <c r="EY217" s="433"/>
      <c r="EZ217" s="433"/>
      <c r="FA217" s="377">
        <v>415</v>
      </c>
      <c r="FB217" s="378">
        <v>174</v>
      </c>
      <c r="FC217" s="378"/>
      <c r="FD217" s="379">
        <f t="shared" si="486"/>
        <v>0</v>
      </c>
      <c r="FE217" s="790"/>
    </row>
    <row r="218" spans="2:164" ht="26.1" customHeight="1" outlineLevel="1" thickBot="1" x14ac:dyDescent="0.35">
      <c r="B218" s="1018"/>
      <c r="C218" s="1020"/>
      <c r="D218" s="1034"/>
      <c r="E218" s="1038"/>
      <c r="F218" s="840" t="s">
        <v>112</v>
      </c>
      <c r="G218" s="806" t="str">
        <f>VLOOKUP(H218,инфо!AD:AE,2,FALSE)</f>
        <v>Прочее</v>
      </c>
      <c r="H218" s="581" t="s">
        <v>1197</v>
      </c>
      <c r="I218" s="573"/>
      <c r="J218" s="457"/>
      <c r="K218" s="458"/>
      <c r="L218" s="458"/>
      <c r="M218" s="458"/>
      <c r="N218" s="458"/>
      <c r="O218" s="458"/>
      <c r="P218" s="458"/>
      <c r="Q218" s="458"/>
      <c r="R218" s="458"/>
      <c r="S218" s="458"/>
      <c r="T218" s="458"/>
      <c r="U218" s="458"/>
      <c r="V218" s="458"/>
      <c r="W218" s="459"/>
      <c r="X218" s="459"/>
      <c r="Y218" s="459"/>
      <c r="Z218" s="459"/>
      <c r="AA218" s="459"/>
      <c r="AB218" s="459"/>
      <c r="AC218" s="459"/>
      <c r="AD218" s="459"/>
      <c r="AE218" s="459"/>
      <c r="AF218" s="459"/>
      <c r="AG218" s="459"/>
      <c r="AH218" s="459"/>
      <c r="AI218" s="459"/>
      <c r="AJ218" s="459"/>
      <c r="AK218" s="459"/>
      <c r="AL218" s="459"/>
      <c r="AM218" s="459"/>
      <c r="AN218" s="459"/>
      <c r="AO218" s="459"/>
      <c r="AP218" s="459"/>
      <c r="AQ218" s="459"/>
      <c r="AR218" s="459"/>
      <c r="AS218" s="459"/>
      <c r="AT218" s="459"/>
      <c r="AU218" s="459"/>
      <c r="AV218" s="459"/>
      <c r="AW218" s="459"/>
      <c r="AX218" s="459"/>
      <c r="AY218" s="459"/>
      <c r="AZ218" s="459"/>
      <c r="BA218" s="459"/>
      <c r="BB218" s="459"/>
      <c r="BC218" s="459"/>
      <c r="BD218" s="459"/>
      <c r="BE218" s="460"/>
      <c r="BF218" s="460"/>
      <c r="BG218" s="460"/>
      <c r="BH218" s="460"/>
      <c r="BI218" s="460"/>
      <c r="BJ218" s="460"/>
      <c r="BK218" s="460"/>
      <c r="BL218" s="460"/>
      <c r="BM218" s="460"/>
      <c r="BN218" s="461"/>
      <c r="BO218" s="461"/>
      <c r="BP218" s="461"/>
      <c r="BQ218" s="461"/>
      <c r="BR218" s="461"/>
      <c r="BS218" s="461"/>
      <c r="BT218" s="461"/>
      <c r="BU218" s="461"/>
      <c r="BV218" s="458"/>
      <c r="BW218" s="458"/>
      <c r="BX218" s="458"/>
      <c r="BY218" s="458"/>
      <c r="BZ218" s="458"/>
      <c r="CA218" s="458"/>
      <c r="CB218" s="458"/>
      <c r="CC218" s="462"/>
      <c r="CD218" s="462"/>
      <c r="CE218" s="462"/>
      <c r="CF218" s="462"/>
      <c r="CG218" s="462"/>
      <c r="CH218" s="462"/>
      <c r="CI218" s="462"/>
      <c r="CJ218" s="462"/>
      <c r="CK218" s="462"/>
      <c r="CL218" s="462"/>
      <c r="CM218" s="462"/>
      <c r="CN218" s="462"/>
      <c r="CO218" s="462"/>
      <c r="CP218" s="462"/>
      <c r="CQ218" s="462"/>
      <c r="CR218" s="462"/>
      <c r="CS218" s="463"/>
      <c r="CT218" s="463"/>
      <c r="CU218" s="463"/>
      <c r="CV218" s="463"/>
      <c r="CW218" s="463"/>
      <c r="CX218" s="463"/>
      <c r="CY218" s="463"/>
      <c r="CZ218" s="463"/>
      <c r="DA218" s="463"/>
      <c r="DB218" s="463"/>
      <c r="DC218" s="463"/>
      <c r="DD218" s="463"/>
      <c r="DE218" s="463"/>
      <c r="DF218" s="463"/>
      <c r="DG218" s="463"/>
      <c r="DH218" s="463"/>
      <c r="DI218" s="463"/>
      <c r="DJ218" s="463"/>
      <c r="DK218" s="463"/>
      <c r="DL218" s="463"/>
      <c r="DM218" s="463"/>
      <c r="DN218" s="941"/>
      <c r="DO218" s="464"/>
      <c r="DP218" s="464"/>
      <c r="DQ218" s="465"/>
      <c r="DR218" s="465"/>
      <c r="DS218" s="460"/>
      <c r="DT218" s="467"/>
      <c r="DU218" s="467"/>
      <c r="DV218" s="467"/>
      <c r="DW218" s="467"/>
      <c r="DX218" s="467"/>
      <c r="DY218" s="467"/>
      <c r="DZ218" s="467"/>
      <c r="EA218" s="467"/>
      <c r="EB218" s="467"/>
      <c r="EC218" s="467"/>
      <c r="ED218" s="467"/>
      <c r="EE218" s="467"/>
      <c r="EF218" s="467"/>
      <c r="EG218" s="467"/>
      <c r="EH218" s="467"/>
      <c r="EI218" s="467"/>
      <c r="EJ218" s="467"/>
      <c r="EK218" s="467"/>
      <c r="EL218" s="467"/>
      <c r="EM218" s="467"/>
      <c r="EN218" s="467"/>
      <c r="EO218" s="467"/>
      <c r="EP218" s="467"/>
      <c r="EQ218" s="467"/>
      <c r="ER218" s="467"/>
      <c r="ES218" s="467"/>
      <c r="ET218" s="467"/>
      <c r="EU218" s="467"/>
      <c r="EV218" s="467"/>
      <c r="EW218" s="467"/>
      <c r="EX218" s="467"/>
      <c r="EY218" s="467"/>
      <c r="EZ218" s="467"/>
      <c r="FA218" s="402"/>
      <c r="FB218" s="403"/>
      <c r="FC218" s="403"/>
      <c r="FD218" s="404">
        <f t="shared" si="486"/>
        <v>0</v>
      </c>
      <c r="FE218" s="790"/>
    </row>
    <row r="219" spans="2:164" ht="26.1" customHeight="1" outlineLevel="1" thickBot="1" x14ac:dyDescent="0.35">
      <c r="B219" s="1018"/>
      <c r="C219" s="1020"/>
      <c r="D219" s="1034"/>
      <c r="E219" s="1042" t="s">
        <v>116</v>
      </c>
      <c r="F219" s="841" t="s">
        <v>112</v>
      </c>
      <c r="G219" s="807" t="str">
        <f>VLOOKUP(H219,инфо!AD:AE,2,FALSE)</f>
        <v>Прочее</v>
      </c>
      <c r="H219" s="577" t="s">
        <v>1197</v>
      </c>
      <c r="I219" s="588" t="s">
        <v>60</v>
      </c>
      <c r="J219" s="421"/>
      <c r="K219" s="422"/>
      <c r="L219" s="422"/>
      <c r="M219" s="422"/>
      <c r="N219" s="422"/>
      <c r="O219" s="422"/>
      <c r="P219" s="422"/>
      <c r="Q219" s="422"/>
      <c r="R219" s="422"/>
      <c r="S219" s="422"/>
      <c r="T219" s="422"/>
      <c r="U219" s="422"/>
      <c r="V219" s="422"/>
      <c r="W219" s="423"/>
      <c r="X219" s="423"/>
      <c r="Y219" s="423"/>
      <c r="Z219" s="423"/>
      <c r="AA219" s="423"/>
      <c r="AB219" s="423"/>
      <c r="AC219" s="423"/>
      <c r="AD219" s="423"/>
      <c r="AE219" s="423"/>
      <c r="AF219" s="423"/>
      <c r="AG219" s="423"/>
      <c r="AH219" s="423"/>
      <c r="AI219" s="423"/>
      <c r="AJ219" s="423"/>
      <c r="AK219" s="423"/>
      <c r="AL219" s="423"/>
      <c r="AM219" s="423"/>
      <c r="AN219" s="423"/>
      <c r="AO219" s="423"/>
      <c r="AP219" s="423"/>
      <c r="AQ219" s="423"/>
      <c r="AR219" s="423"/>
      <c r="AS219" s="423"/>
      <c r="AT219" s="423"/>
      <c r="AU219" s="423"/>
      <c r="AV219" s="423"/>
      <c r="AW219" s="423"/>
      <c r="AX219" s="423"/>
      <c r="AY219" s="423"/>
      <c r="AZ219" s="423"/>
      <c r="BA219" s="423"/>
      <c r="BB219" s="423"/>
      <c r="BC219" s="423"/>
      <c r="BD219" s="423"/>
      <c r="BE219" s="424"/>
      <c r="BF219" s="424"/>
      <c r="BG219" s="424"/>
      <c r="BH219" s="424"/>
      <c r="BI219" s="424"/>
      <c r="BJ219" s="424"/>
      <c r="BK219" s="424"/>
      <c r="BL219" s="424"/>
      <c r="BM219" s="424"/>
      <c r="BN219" s="425">
        <v>15</v>
      </c>
      <c r="BO219" s="425"/>
      <c r="BP219" s="425"/>
      <c r="BQ219" s="425"/>
      <c r="BR219" s="425"/>
      <c r="BS219" s="425"/>
      <c r="BT219" s="425"/>
      <c r="BU219" s="425"/>
      <c r="BV219" s="422"/>
      <c r="BW219" s="422"/>
      <c r="BX219" s="422"/>
      <c r="BY219" s="422"/>
      <c r="BZ219" s="422"/>
      <c r="CA219" s="422"/>
      <c r="CB219" s="422"/>
      <c r="CC219" s="426"/>
      <c r="CD219" s="426"/>
      <c r="CE219" s="426"/>
      <c r="CF219" s="426"/>
      <c r="CG219" s="426"/>
      <c r="CH219" s="426"/>
      <c r="CI219" s="426"/>
      <c r="CJ219" s="426"/>
      <c r="CK219" s="426"/>
      <c r="CL219" s="426"/>
      <c r="CM219" s="426"/>
      <c r="CN219" s="426"/>
      <c r="CO219" s="426"/>
      <c r="CP219" s="426"/>
      <c r="CQ219" s="426"/>
      <c r="CR219" s="426"/>
      <c r="CS219" s="427"/>
      <c r="CT219" s="427"/>
      <c r="CU219" s="427"/>
      <c r="CV219" s="427"/>
      <c r="CW219" s="427"/>
      <c r="CX219" s="427"/>
      <c r="CY219" s="427"/>
      <c r="CZ219" s="427"/>
      <c r="DA219" s="427"/>
      <c r="DB219" s="427"/>
      <c r="DC219" s="427"/>
      <c r="DD219" s="427"/>
      <c r="DE219" s="427"/>
      <c r="DF219" s="427"/>
      <c r="DG219" s="427"/>
      <c r="DH219" s="427"/>
      <c r="DI219" s="427"/>
      <c r="DJ219" s="427"/>
      <c r="DK219" s="427"/>
      <c r="DL219" s="427"/>
      <c r="DM219" s="427"/>
      <c r="DN219" s="937"/>
      <c r="DO219" s="428"/>
      <c r="DP219" s="428"/>
      <c r="DQ219" s="429"/>
      <c r="DR219" s="429"/>
      <c r="DS219" s="424"/>
      <c r="DT219" s="468"/>
      <c r="DU219" s="468"/>
      <c r="DV219" s="468"/>
      <c r="DW219" s="468"/>
      <c r="DX219" s="468"/>
      <c r="DY219" s="468"/>
      <c r="DZ219" s="468"/>
      <c r="EA219" s="468"/>
      <c r="EB219" s="468"/>
      <c r="EC219" s="468"/>
      <c r="ED219" s="468"/>
      <c r="EE219" s="468"/>
      <c r="EF219" s="468"/>
      <c r="EG219" s="468"/>
      <c r="EH219" s="468"/>
      <c r="EI219" s="468"/>
      <c r="EJ219" s="468"/>
      <c r="EK219" s="468"/>
      <c r="EL219" s="468"/>
      <c r="EM219" s="468"/>
      <c r="EN219" s="468"/>
      <c r="EO219" s="468"/>
      <c r="EP219" s="468"/>
      <c r="EQ219" s="468"/>
      <c r="ER219" s="468"/>
      <c r="ES219" s="468"/>
      <c r="ET219" s="468"/>
      <c r="EU219" s="468"/>
      <c r="EV219" s="468"/>
      <c r="EW219" s="468"/>
      <c r="EX219" s="468"/>
      <c r="EY219" s="468"/>
      <c r="EZ219" s="468"/>
      <c r="FA219" s="415"/>
      <c r="FB219" s="416">
        <v>15</v>
      </c>
      <c r="FC219" s="416"/>
      <c r="FD219" s="417">
        <f t="shared" si="486"/>
        <v>0</v>
      </c>
      <c r="FE219" s="790"/>
    </row>
    <row r="220" spans="2:164" ht="26.1" customHeight="1" outlineLevel="1" thickBot="1" x14ac:dyDescent="0.35">
      <c r="B220" s="1018"/>
      <c r="C220" s="1020"/>
      <c r="D220" s="1034"/>
      <c r="E220" s="1038"/>
      <c r="F220" s="838" t="s">
        <v>112</v>
      </c>
      <c r="G220" s="804" t="str">
        <f>VLOOKUP(H220,инфо!AD:AE,2,FALSE)</f>
        <v>Напитки</v>
      </c>
      <c r="H220" s="580" t="s">
        <v>1195</v>
      </c>
      <c r="I220" s="588" t="s">
        <v>75</v>
      </c>
      <c r="J220" s="430"/>
      <c r="K220" s="431"/>
      <c r="L220" s="431"/>
      <c r="M220" s="431"/>
      <c r="N220" s="431"/>
      <c r="O220" s="431"/>
      <c r="P220" s="431"/>
      <c r="Q220" s="431"/>
      <c r="R220" s="431"/>
      <c r="S220" s="431"/>
      <c r="T220" s="431"/>
      <c r="U220" s="431"/>
      <c r="V220" s="431"/>
      <c r="W220" s="432"/>
      <c r="X220" s="432"/>
      <c r="Y220" s="432"/>
      <c r="Z220" s="432"/>
      <c r="AA220" s="432"/>
      <c r="AB220" s="432"/>
      <c r="AC220" s="432"/>
      <c r="AD220" s="432"/>
      <c r="AE220" s="432"/>
      <c r="AF220" s="432"/>
      <c r="AG220" s="432"/>
      <c r="AH220" s="432"/>
      <c r="AI220" s="432"/>
      <c r="AJ220" s="432"/>
      <c r="AK220" s="432"/>
      <c r="AL220" s="432"/>
      <c r="AM220" s="432"/>
      <c r="AN220" s="432"/>
      <c r="AO220" s="432"/>
      <c r="AP220" s="432"/>
      <c r="AQ220" s="432"/>
      <c r="AR220" s="432"/>
      <c r="AS220" s="432"/>
      <c r="AT220" s="432"/>
      <c r="AU220" s="432"/>
      <c r="AV220" s="432"/>
      <c r="AW220" s="432"/>
      <c r="AX220" s="432"/>
      <c r="AY220" s="432"/>
      <c r="AZ220" s="432"/>
      <c r="BA220" s="432"/>
      <c r="BB220" s="432"/>
      <c r="BC220" s="432"/>
      <c r="BD220" s="432"/>
      <c r="BE220" s="433"/>
      <c r="BF220" s="433"/>
      <c r="BG220" s="433"/>
      <c r="BH220" s="433"/>
      <c r="BI220" s="433"/>
      <c r="BJ220" s="433"/>
      <c r="BK220" s="433"/>
      <c r="BL220" s="433"/>
      <c r="BM220" s="433"/>
      <c r="BN220" s="434"/>
      <c r="BO220" s="434"/>
      <c r="BP220" s="434"/>
      <c r="BQ220" s="434"/>
      <c r="BR220" s="434"/>
      <c r="BS220" s="434"/>
      <c r="BT220" s="434"/>
      <c r="BU220" s="434"/>
      <c r="BV220" s="431"/>
      <c r="BW220" s="431"/>
      <c r="BX220" s="431"/>
      <c r="BY220" s="431"/>
      <c r="BZ220" s="431"/>
      <c r="CA220" s="431"/>
      <c r="CB220" s="431"/>
      <c r="CC220" s="435"/>
      <c r="CD220" s="435"/>
      <c r="CE220" s="435"/>
      <c r="CF220" s="435"/>
      <c r="CG220" s="435"/>
      <c r="CH220" s="435"/>
      <c r="CI220" s="435"/>
      <c r="CJ220" s="435"/>
      <c r="CK220" s="435"/>
      <c r="CL220" s="435"/>
      <c r="CM220" s="435"/>
      <c r="CN220" s="435"/>
      <c r="CO220" s="435"/>
      <c r="CP220" s="435"/>
      <c r="CQ220" s="435"/>
      <c r="CR220" s="435"/>
      <c r="CS220" s="436"/>
      <c r="CT220" s="436"/>
      <c r="CU220" s="436"/>
      <c r="CV220" s="436"/>
      <c r="CW220" s="436"/>
      <c r="CX220" s="436"/>
      <c r="CY220" s="436"/>
      <c r="CZ220" s="436"/>
      <c r="DA220" s="436"/>
      <c r="DB220" s="436"/>
      <c r="DC220" s="436"/>
      <c r="DD220" s="436"/>
      <c r="DE220" s="436"/>
      <c r="DF220" s="436"/>
      <c r="DG220" s="436"/>
      <c r="DH220" s="436"/>
      <c r="DI220" s="436"/>
      <c r="DJ220" s="436"/>
      <c r="DK220" s="436"/>
      <c r="DL220" s="436"/>
      <c r="DM220" s="436"/>
      <c r="DN220" s="938"/>
      <c r="DO220" s="437"/>
      <c r="DP220" s="437"/>
      <c r="DQ220" s="438"/>
      <c r="DR220" s="438"/>
      <c r="DS220" s="433"/>
      <c r="DT220" s="469"/>
      <c r="DU220" s="469"/>
      <c r="DV220" s="469"/>
      <c r="DW220" s="469"/>
      <c r="DX220" s="469"/>
      <c r="DY220" s="469"/>
      <c r="DZ220" s="469"/>
      <c r="EA220" s="469"/>
      <c r="EB220" s="469"/>
      <c r="EC220" s="469">
        <v>200</v>
      </c>
      <c r="ED220" s="469"/>
      <c r="EE220" s="469"/>
      <c r="EF220" s="469"/>
      <c r="EG220" s="469"/>
      <c r="EH220" s="469"/>
      <c r="EI220" s="469"/>
      <c r="EJ220" s="469"/>
      <c r="EK220" s="469"/>
      <c r="EL220" s="469"/>
      <c r="EM220" s="469"/>
      <c r="EN220" s="469"/>
      <c r="EO220" s="469"/>
      <c r="EP220" s="469"/>
      <c r="EQ220" s="469"/>
      <c r="ER220" s="469"/>
      <c r="ES220" s="469"/>
      <c r="ET220" s="469"/>
      <c r="EU220" s="469"/>
      <c r="EV220" s="469"/>
      <c r="EW220" s="469"/>
      <c r="EX220" s="469"/>
      <c r="EY220" s="469"/>
      <c r="EZ220" s="469"/>
      <c r="FA220" s="377"/>
      <c r="FB220" s="378">
        <v>200</v>
      </c>
      <c r="FC220" s="378"/>
      <c r="FD220" s="379">
        <f t="shared" si="486"/>
        <v>0</v>
      </c>
      <c r="FE220" s="790"/>
    </row>
    <row r="221" spans="2:164" ht="26.1" customHeight="1" outlineLevel="1" thickBot="1" x14ac:dyDescent="0.35">
      <c r="B221" s="1018"/>
      <c r="C221" s="1020"/>
      <c r="D221" s="1034"/>
      <c r="E221" s="1038"/>
      <c r="F221" s="838" t="s">
        <v>112</v>
      </c>
      <c r="G221" s="804" t="str">
        <f>VLOOKUP(H221,инфо!AD:AE,2,FALSE)</f>
        <v>Прочее</v>
      </c>
      <c r="H221" s="580" t="s">
        <v>1197</v>
      </c>
      <c r="I221" s="590" t="s">
        <v>82</v>
      </c>
      <c r="J221" s="430"/>
      <c r="K221" s="431"/>
      <c r="L221" s="431"/>
      <c r="M221" s="431"/>
      <c r="N221" s="431"/>
      <c r="O221" s="431"/>
      <c r="P221" s="431"/>
      <c r="Q221" s="431"/>
      <c r="R221" s="431"/>
      <c r="S221" s="431"/>
      <c r="T221" s="431"/>
      <c r="U221" s="431"/>
      <c r="V221" s="431"/>
      <c r="W221" s="432"/>
      <c r="X221" s="432"/>
      <c r="Y221" s="432"/>
      <c r="Z221" s="432"/>
      <c r="AA221" s="432"/>
      <c r="AB221" s="432"/>
      <c r="AC221" s="432"/>
      <c r="AD221" s="432"/>
      <c r="AE221" s="432"/>
      <c r="AF221" s="432"/>
      <c r="AG221" s="432"/>
      <c r="AH221" s="432"/>
      <c r="AI221" s="432"/>
      <c r="AJ221" s="432"/>
      <c r="AK221" s="432"/>
      <c r="AL221" s="432"/>
      <c r="AM221" s="432"/>
      <c r="AN221" s="432"/>
      <c r="AO221" s="432"/>
      <c r="AP221" s="432"/>
      <c r="AQ221" s="432"/>
      <c r="AR221" s="432"/>
      <c r="AS221" s="432"/>
      <c r="AT221" s="432"/>
      <c r="AU221" s="432"/>
      <c r="AV221" s="432"/>
      <c r="AW221" s="432"/>
      <c r="AX221" s="432"/>
      <c r="AY221" s="432"/>
      <c r="AZ221" s="432"/>
      <c r="BA221" s="432"/>
      <c r="BB221" s="432"/>
      <c r="BC221" s="432"/>
      <c r="BD221" s="432"/>
      <c r="BE221" s="433"/>
      <c r="BF221" s="433"/>
      <c r="BG221" s="433"/>
      <c r="BH221" s="433"/>
      <c r="BI221" s="433"/>
      <c r="BJ221" s="433"/>
      <c r="BK221" s="433"/>
      <c r="BL221" s="433"/>
      <c r="BM221" s="433"/>
      <c r="BN221" s="434"/>
      <c r="BO221" s="434"/>
      <c r="BP221" s="434"/>
      <c r="BQ221" s="434"/>
      <c r="BR221" s="434"/>
      <c r="BS221" s="434"/>
      <c r="BT221" s="434"/>
      <c r="BU221" s="434"/>
      <c r="BV221" s="431"/>
      <c r="BW221" s="431"/>
      <c r="BX221" s="431"/>
      <c r="BY221" s="431"/>
      <c r="BZ221" s="431"/>
      <c r="CA221" s="431"/>
      <c r="CB221" s="431"/>
      <c r="CC221" s="435"/>
      <c r="CD221" s="435"/>
      <c r="CE221" s="435"/>
      <c r="CF221" s="435"/>
      <c r="CG221" s="435"/>
      <c r="CH221" s="435"/>
      <c r="CI221" s="435"/>
      <c r="CJ221" s="435"/>
      <c r="CK221" s="435"/>
      <c r="CL221" s="435"/>
      <c r="CM221" s="435"/>
      <c r="CN221" s="435"/>
      <c r="CO221" s="435"/>
      <c r="CP221" s="435"/>
      <c r="CQ221" s="435"/>
      <c r="CR221" s="435"/>
      <c r="CS221" s="436"/>
      <c r="CT221" s="436"/>
      <c r="CU221" s="436"/>
      <c r="CV221" s="436"/>
      <c r="CW221" s="436"/>
      <c r="CX221" s="436"/>
      <c r="CY221" s="436"/>
      <c r="CZ221" s="436"/>
      <c r="DA221" s="436"/>
      <c r="DB221" s="436"/>
      <c r="DC221" s="436"/>
      <c r="DD221" s="436"/>
      <c r="DE221" s="436"/>
      <c r="DF221" s="436"/>
      <c r="DG221" s="436"/>
      <c r="DH221" s="436"/>
      <c r="DI221" s="436"/>
      <c r="DJ221" s="436"/>
      <c r="DK221" s="436"/>
      <c r="DL221" s="436"/>
      <c r="DM221" s="436"/>
      <c r="DN221" s="938"/>
      <c r="DO221" s="437"/>
      <c r="DP221" s="437"/>
      <c r="DQ221" s="438"/>
      <c r="DR221" s="438"/>
      <c r="DS221" s="433"/>
      <c r="DT221" s="469"/>
      <c r="DU221" s="469"/>
      <c r="DV221" s="469"/>
      <c r="DW221" s="469"/>
      <c r="DX221" s="469"/>
      <c r="DY221" s="469"/>
      <c r="DZ221" s="469"/>
      <c r="EA221" s="469"/>
      <c r="EB221" s="469"/>
      <c r="EC221" s="469"/>
      <c r="ED221" s="469"/>
      <c r="EE221" s="469"/>
      <c r="EF221" s="469"/>
      <c r="EG221" s="469"/>
      <c r="EH221" s="469"/>
      <c r="EI221" s="469"/>
      <c r="EJ221" s="469"/>
      <c r="EK221" s="469"/>
      <c r="EL221" s="469"/>
      <c r="EM221" s="469"/>
      <c r="EN221" s="469"/>
      <c r="EO221" s="469">
        <v>20</v>
      </c>
      <c r="EP221" s="469"/>
      <c r="EQ221" s="469"/>
      <c r="ER221" s="469"/>
      <c r="ES221" s="469"/>
      <c r="ET221" s="469"/>
      <c r="EU221" s="469"/>
      <c r="EV221" s="469"/>
      <c r="EW221" s="469"/>
      <c r="EX221" s="469"/>
      <c r="EY221" s="469"/>
      <c r="EZ221" s="469"/>
      <c r="FA221" s="377"/>
      <c r="FB221" s="378">
        <v>20</v>
      </c>
      <c r="FC221" s="378"/>
      <c r="FD221" s="379">
        <f t="shared" si="486"/>
        <v>0</v>
      </c>
      <c r="FE221" s="790"/>
    </row>
    <row r="222" spans="2:164" ht="26.1" customHeight="1" outlineLevel="1" thickBot="1" x14ac:dyDescent="0.3">
      <c r="B222" s="1018"/>
      <c r="C222" s="1020"/>
      <c r="D222" s="1035"/>
      <c r="E222" s="1043"/>
      <c r="F222" s="840" t="s">
        <v>112</v>
      </c>
      <c r="G222" s="806" t="str">
        <f>VLOOKUP(H222,инфо!AD:AE,2,FALSE)</f>
        <v>Прочее</v>
      </c>
      <c r="H222" s="582" t="s">
        <v>1197</v>
      </c>
      <c r="I222" s="573"/>
      <c r="J222" s="439"/>
      <c r="K222" s="440"/>
      <c r="L222" s="440"/>
      <c r="M222" s="440"/>
      <c r="N222" s="440"/>
      <c r="O222" s="440"/>
      <c r="P222" s="440"/>
      <c r="Q222" s="440"/>
      <c r="R222" s="440"/>
      <c r="S222" s="440"/>
      <c r="T222" s="440"/>
      <c r="U222" s="440"/>
      <c r="V222" s="440"/>
      <c r="W222" s="441"/>
      <c r="X222" s="441"/>
      <c r="Y222" s="441"/>
      <c r="Z222" s="441"/>
      <c r="AA222" s="441"/>
      <c r="AB222" s="441"/>
      <c r="AC222" s="441"/>
      <c r="AD222" s="441"/>
      <c r="AE222" s="441"/>
      <c r="AF222" s="441"/>
      <c r="AG222" s="441"/>
      <c r="AH222" s="441"/>
      <c r="AI222" s="441"/>
      <c r="AJ222" s="441"/>
      <c r="AK222" s="441"/>
      <c r="AL222" s="441"/>
      <c r="AM222" s="441"/>
      <c r="AN222" s="441"/>
      <c r="AO222" s="441"/>
      <c r="AP222" s="441"/>
      <c r="AQ222" s="441"/>
      <c r="AR222" s="441"/>
      <c r="AS222" s="441"/>
      <c r="AT222" s="441"/>
      <c r="AU222" s="441"/>
      <c r="AV222" s="441"/>
      <c r="AW222" s="441"/>
      <c r="AX222" s="441"/>
      <c r="AY222" s="441"/>
      <c r="AZ222" s="441"/>
      <c r="BA222" s="441"/>
      <c r="BB222" s="441"/>
      <c r="BC222" s="441"/>
      <c r="BD222" s="441"/>
      <c r="BE222" s="442"/>
      <c r="BF222" s="442"/>
      <c r="BG222" s="442"/>
      <c r="BH222" s="442"/>
      <c r="BI222" s="442"/>
      <c r="BJ222" s="442"/>
      <c r="BK222" s="442"/>
      <c r="BL222" s="442"/>
      <c r="BM222" s="442"/>
      <c r="BN222" s="443"/>
      <c r="BO222" s="443"/>
      <c r="BP222" s="443"/>
      <c r="BQ222" s="443"/>
      <c r="BR222" s="443"/>
      <c r="BS222" s="443"/>
      <c r="BT222" s="443"/>
      <c r="BU222" s="443"/>
      <c r="BV222" s="440"/>
      <c r="BW222" s="440"/>
      <c r="BX222" s="440"/>
      <c r="BY222" s="440"/>
      <c r="BZ222" s="440"/>
      <c r="CA222" s="440"/>
      <c r="CB222" s="440"/>
      <c r="CC222" s="444"/>
      <c r="CD222" s="444"/>
      <c r="CE222" s="444"/>
      <c r="CF222" s="444"/>
      <c r="CG222" s="444"/>
      <c r="CH222" s="444"/>
      <c r="CI222" s="444"/>
      <c r="CJ222" s="444"/>
      <c r="CK222" s="444"/>
      <c r="CL222" s="444"/>
      <c r="CM222" s="444"/>
      <c r="CN222" s="444"/>
      <c r="CO222" s="444"/>
      <c r="CP222" s="444"/>
      <c r="CQ222" s="444"/>
      <c r="CR222" s="444"/>
      <c r="CS222" s="445"/>
      <c r="CT222" s="445"/>
      <c r="CU222" s="445"/>
      <c r="CV222" s="445"/>
      <c r="CW222" s="445"/>
      <c r="CX222" s="445"/>
      <c r="CY222" s="445"/>
      <c r="CZ222" s="445"/>
      <c r="DA222" s="445"/>
      <c r="DB222" s="445"/>
      <c r="DC222" s="445"/>
      <c r="DD222" s="445"/>
      <c r="DE222" s="445"/>
      <c r="DF222" s="445"/>
      <c r="DG222" s="445"/>
      <c r="DH222" s="445"/>
      <c r="DI222" s="445"/>
      <c r="DJ222" s="445"/>
      <c r="DK222" s="445"/>
      <c r="DL222" s="445"/>
      <c r="DM222" s="445"/>
      <c r="DN222" s="939"/>
      <c r="DO222" s="446"/>
      <c r="DP222" s="446"/>
      <c r="DQ222" s="447"/>
      <c r="DR222" s="447"/>
      <c r="DS222" s="442"/>
      <c r="DT222" s="442"/>
      <c r="DU222" s="442"/>
      <c r="DV222" s="442"/>
      <c r="DW222" s="442"/>
      <c r="DX222" s="442"/>
      <c r="DY222" s="442"/>
      <c r="DZ222" s="442"/>
      <c r="EA222" s="442"/>
      <c r="EB222" s="442"/>
      <c r="EC222" s="442"/>
      <c r="ED222" s="442"/>
      <c r="EE222" s="442"/>
      <c r="EF222" s="442"/>
      <c r="EG222" s="442"/>
      <c r="EH222" s="442"/>
      <c r="EI222" s="442"/>
      <c r="EJ222" s="442"/>
      <c r="EK222" s="442"/>
      <c r="EL222" s="442"/>
      <c r="EM222" s="442"/>
      <c r="EN222" s="442"/>
      <c r="EO222" s="442"/>
      <c r="EP222" s="442"/>
      <c r="EQ222" s="442"/>
      <c r="ER222" s="442"/>
      <c r="ES222" s="442"/>
      <c r="ET222" s="442"/>
      <c r="EU222" s="442"/>
      <c r="EV222" s="442"/>
      <c r="EW222" s="442"/>
      <c r="EX222" s="442"/>
      <c r="EY222" s="442"/>
      <c r="EZ222" s="442"/>
      <c r="FA222" s="377"/>
      <c r="FB222" s="378"/>
      <c r="FC222" s="378"/>
      <c r="FD222" s="379">
        <f t="shared" si="486"/>
        <v>0</v>
      </c>
      <c r="FE222" s="790"/>
    </row>
    <row r="223" spans="2:164" s="154" customFormat="1" ht="16.5" customHeight="1" outlineLevel="1" thickBot="1" x14ac:dyDescent="0.4">
      <c r="B223" s="1018"/>
      <c r="C223" s="1020"/>
      <c r="D223" s="145"/>
      <c r="E223" s="317" t="s">
        <v>174</v>
      </c>
      <c r="F223" s="836"/>
      <c r="G223" s="818"/>
      <c r="H223" s="576"/>
      <c r="I223" s="594"/>
      <c r="J223" s="305">
        <f>SUM(J209:J222)</f>
        <v>0</v>
      </c>
      <c r="K223" s="146">
        <f t="shared" ref="K223:CU223" si="487">SUM(K209:K222)</f>
        <v>83</v>
      </c>
      <c r="L223" s="146">
        <f t="shared" si="487"/>
        <v>0</v>
      </c>
      <c r="M223" s="146">
        <f t="shared" si="487"/>
        <v>0</v>
      </c>
      <c r="N223" s="146">
        <f t="shared" si="487"/>
        <v>0</v>
      </c>
      <c r="O223" s="146">
        <f t="shared" si="487"/>
        <v>0</v>
      </c>
      <c r="P223" s="146">
        <f t="shared" si="487"/>
        <v>0</v>
      </c>
      <c r="Q223" s="146">
        <f t="shared" si="487"/>
        <v>0</v>
      </c>
      <c r="R223" s="146">
        <f t="shared" si="487"/>
        <v>0</v>
      </c>
      <c r="S223" s="146">
        <f t="shared" si="487"/>
        <v>0</v>
      </c>
      <c r="T223" s="146">
        <f t="shared" si="487"/>
        <v>0</v>
      </c>
      <c r="U223" s="146">
        <f t="shared" si="487"/>
        <v>0</v>
      </c>
      <c r="V223" s="146">
        <f t="shared" si="487"/>
        <v>0</v>
      </c>
      <c r="W223" s="147">
        <f t="shared" si="487"/>
        <v>0</v>
      </c>
      <c r="X223" s="147">
        <f t="shared" si="487"/>
        <v>2</v>
      </c>
      <c r="Y223" s="147">
        <f t="shared" si="487"/>
        <v>0</v>
      </c>
      <c r="Z223" s="147">
        <f t="shared" si="487"/>
        <v>50</v>
      </c>
      <c r="AA223" s="147">
        <f t="shared" si="487"/>
        <v>100</v>
      </c>
      <c r="AB223" s="147">
        <f t="shared" si="487"/>
        <v>0</v>
      </c>
      <c r="AC223" s="147">
        <f t="shared" si="487"/>
        <v>0</v>
      </c>
      <c r="AD223" s="147">
        <f t="shared" si="487"/>
        <v>110</v>
      </c>
      <c r="AE223" s="147">
        <f t="shared" si="487"/>
        <v>90</v>
      </c>
      <c r="AF223" s="147">
        <f t="shared" si="487"/>
        <v>160</v>
      </c>
      <c r="AG223" s="147">
        <f t="shared" si="487"/>
        <v>35</v>
      </c>
      <c r="AH223" s="147">
        <f t="shared" si="487"/>
        <v>0</v>
      </c>
      <c r="AI223" s="147">
        <f t="shared" si="487"/>
        <v>0</v>
      </c>
      <c r="AJ223" s="147">
        <f t="shared" si="487"/>
        <v>0</v>
      </c>
      <c r="AK223" s="147">
        <f t="shared" si="487"/>
        <v>0</v>
      </c>
      <c r="AL223" s="147">
        <f t="shared" si="487"/>
        <v>0</v>
      </c>
      <c r="AM223" s="147">
        <f t="shared" si="487"/>
        <v>0</v>
      </c>
      <c r="AN223" s="147">
        <f t="shared" si="487"/>
        <v>0</v>
      </c>
      <c r="AO223" s="147">
        <f t="shared" si="487"/>
        <v>5</v>
      </c>
      <c r="AP223" s="147">
        <f t="shared" si="487"/>
        <v>0</v>
      </c>
      <c r="AQ223" s="147">
        <f t="shared" si="487"/>
        <v>0</v>
      </c>
      <c r="AR223" s="147">
        <f t="shared" si="487"/>
        <v>2.5</v>
      </c>
      <c r="AS223" s="147">
        <f t="shared" si="487"/>
        <v>0</v>
      </c>
      <c r="AT223" s="147">
        <f t="shared" si="487"/>
        <v>0</v>
      </c>
      <c r="AU223" s="147">
        <f t="shared" si="487"/>
        <v>0</v>
      </c>
      <c r="AV223" s="147">
        <f t="shared" si="487"/>
        <v>35</v>
      </c>
      <c r="AW223" s="147">
        <f t="shared" si="487"/>
        <v>0</v>
      </c>
      <c r="AX223" s="147">
        <f t="shared" si="487"/>
        <v>0</v>
      </c>
      <c r="AY223" s="147">
        <f t="shared" si="487"/>
        <v>0</v>
      </c>
      <c r="AZ223" s="147">
        <f t="shared" si="487"/>
        <v>0</v>
      </c>
      <c r="BA223" s="147">
        <f t="shared" si="487"/>
        <v>0</v>
      </c>
      <c r="BB223" s="147">
        <f t="shared" si="487"/>
        <v>0</v>
      </c>
      <c r="BC223" s="147">
        <f t="shared" si="487"/>
        <v>0</v>
      </c>
      <c r="BD223" s="147">
        <f t="shared" si="487"/>
        <v>0</v>
      </c>
      <c r="BE223" s="148">
        <f t="shared" si="487"/>
        <v>0</v>
      </c>
      <c r="BF223" s="148">
        <f t="shared" si="487"/>
        <v>0</v>
      </c>
      <c r="BG223" s="148">
        <f t="shared" si="487"/>
        <v>0</v>
      </c>
      <c r="BH223" s="148">
        <f t="shared" si="487"/>
        <v>0</v>
      </c>
      <c r="BI223" s="148">
        <f t="shared" si="487"/>
        <v>0</v>
      </c>
      <c r="BJ223" s="148">
        <f t="shared" si="487"/>
        <v>5</v>
      </c>
      <c r="BK223" s="148">
        <f t="shared" si="487"/>
        <v>0</v>
      </c>
      <c r="BL223" s="148">
        <f t="shared" si="487"/>
        <v>0</v>
      </c>
      <c r="BM223" s="148">
        <f t="shared" si="487"/>
        <v>0</v>
      </c>
      <c r="BN223" s="149">
        <f t="shared" si="487"/>
        <v>15</v>
      </c>
      <c r="BO223" s="149">
        <f t="shared" si="487"/>
        <v>17</v>
      </c>
      <c r="BP223" s="149">
        <f t="shared" si="487"/>
        <v>0</v>
      </c>
      <c r="BQ223" s="149">
        <f t="shared" si="487"/>
        <v>0</v>
      </c>
      <c r="BR223" s="149">
        <f t="shared" si="487"/>
        <v>0</v>
      </c>
      <c r="BS223" s="149">
        <f t="shared" si="487"/>
        <v>0</v>
      </c>
      <c r="BT223" s="149">
        <f t="shared" si="487"/>
        <v>0</v>
      </c>
      <c r="BU223" s="149">
        <f t="shared" si="487"/>
        <v>0</v>
      </c>
      <c r="BV223" s="146">
        <f t="shared" si="487"/>
        <v>0</v>
      </c>
      <c r="BW223" s="146">
        <f t="shared" si="487"/>
        <v>0</v>
      </c>
      <c r="BX223" s="146">
        <f t="shared" si="487"/>
        <v>0</v>
      </c>
      <c r="BY223" s="146">
        <f t="shared" si="487"/>
        <v>0</v>
      </c>
      <c r="BZ223" s="146">
        <f t="shared" si="487"/>
        <v>112.5</v>
      </c>
      <c r="CA223" s="146">
        <f t="shared" si="487"/>
        <v>0</v>
      </c>
      <c r="CB223" s="146">
        <f t="shared" si="487"/>
        <v>0</v>
      </c>
      <c r="CC223" s="265">
        <f t="shared" si="487"/>
        <v>0</v>
      </c>
      <c r="CD223" s="265">
        <f t="shared" si="487"/>
        <v>0</v>
      </c>
      <c r="CE223" s="265">
        <f t="shared" si="487"/>
        <v>0</v>
      </c>
      <c r="CF223" s="265">
        <f t="shared" si="487"/>
        <v>0</v>
      </c>
      <c r="CG223" s="265">
        <f t="shared" si="487"/>
        <v>0</v>
      </c>
      <c r="CH223" s="265">
        <f t="shared" si="487"/>
        <v>0</v>
      </c>
      <c r="CI223" s="265">
        <f t="shared" si="487"/>
        <v>0</v>
      </c>
      <c r="CJ223" s="265">
        <f t="shared" si="487"/>
        <v>0</v>
      </c>
      <c r="CK223" s="265">
        <f t="shared" si="487"/>
        <v>0</v>
      </c>
      <c r="CL223" s="265">
        <f t="shared" si="487"/>
        <v>0</v>
      </c>
      <c r="CM223" s="265">
        <f t="shared" si="487"/>
        <v>0</v>
      </c>
      <c r="CN223" s="265">
        <f t="shared" si="487"/>
        <v>0</v>
      </c>
      <c r="CO223" s="265">
        <f t="shared" si="487"/>
        <v>0</v>
      </c>
      <c r="CP223" s="265">
        <f t="shared" si="487"/>
        <v>0</v>
      </c>
      <c r="CQ223" s="265">
        <f t="shared" si="487"/>
        <v>0</v>
      </c>
      <c r="CR223" s="265">
        <f t="shared" si="487"/>
        <v>0</v>
      </c>
      <c r="CS223" s="281">
        <f t="shared" si="487"/>
        <v>0</v>
      </c>
      <c r="CT223" s="281">
        <f t="shared" si="487"/>
        <v>0</v>
      </c>
      <c r="CU223" s="281">
        <f t="shared" si="487"/>
        <v>0</v>
      </c>
      <c r="CV223" s="281">
        <f t="shared" ref="CV223:FD223" si="488">SUM(CV209:CV222)</f>
        <v>0</v>
      </c>
      <c r="CW223" s="281">
        <f t="shared" si="488"/>
        <v>0</v>
      </c>
      <c r="CX223" s="281">
        <f t="shared" si="488"/>
        <v>0</v>
      </c>
      <c r="CY223" s="281">
        <f t="shared" si="488"/>
        <v>0</v>
      </c>
      <c r="CZ223" s="281">
        <f t="shared" si="488"/>
        <v>0</v>
      </c>
      <c r="DA223" s="281">
        <f t="shared" si="488"/>
        <v>0</v>
      </c>
      <c r="DB223" s="281">
        <f t="shared" si="488"/>
        <v>0</v>
      </c>
      <c r="DC223" s="281">
        <f t="shared" si="488"/>
        <v>0</v>
      </c>
      <c r="DD223" s="281">
        <f t="shared" si="488"/>
        <v>0</v>
      </c>
      <c r="DE223" s="281">
        <f t="shared" si="488"/>
        <v>0</v>
      </c>
      <c r="DF223" s="281">
        <f t="shared" si="488"/>
        <v>0</v>
      </c>
      <c r="DG223" s="281">
        <f t="shared" si="488"/>
        <v>0</v>
      </c>
      <c r="DH223" s="281">
        <f t="shared" si="488"/>
        <v>0</v>
      </c>
      <c r="DI223" s="281">
        <f t="shared" si="488"/>
        <v>0</v>
      </c>
      <c r="DJ223" s="281">
        <f t="shared" si="488"/>
        <v>0</v>
      </c>
      <c r="DK223" s="281">
        <f t="shared" si="488"/>
        <v>0</v>
      </c>
      <c r="DL223" s="281">
        <f t="shared" si="488"/>
        <v>0</v>
      </c>
      <c r="DM223" s="281">
        <f t="shared" si="488"/>
        <v>0</v>
      </c>
      <c r="DN223" s="936">
        <f t="shared" si="488"/>
        <v>0</v>
      </c>
      <c r="DO223" s="148">
        <f t="shared" si="488"/>
        <v>0</v>
      </c>
      <c r="DP223" s="148">
        <f t="shared" si="488"/>
        <v>5.5</v>
      </c>
      <c r="DQ223" s="148">
        <f t="shared" si="488"/>
        <v>0.03</v>
      </c>
      <c r="DR223" s="148">
        <f t="shared" si="488"/>
        <v>0.05</v>
      </c>
      <c r="DS223" s="148">
        <f t="shared" si="488"/>
        <v>2</v>
      </c>
      <c r="DT223" s="148">
        <f t="shared" si="488"/>
        <v>10</v>
      </c>
      <c r="DU223" s="148">
        <f t="shared" si="488"/>
        <v>0</v>
      </c>
      <c r="DV223" s="148">
        <f t="shared" si="488"/>
        <v>0</v>
      </c>
      <c r="DW223" s="148">
        <f t="shared" si="488"/>
        <v>1</v>
      </c>
      <c r="DX223" s="148">
        <f t="shared" si="488"/>
        <v>0</v>
      </c>
      <c r="DY223" s="148">
        <f t="shared" si="488"/>
        <v>0</v>
      </c>
      <c r="DZ223" s="148">
        <f t="shared" si="488"/>
        <v>0</v>
      </c>
      <c r="EA223" s="148">
        <f t="shared" si="488"/>
        <v>124.5</v>
      </c>
      <c r="EB223" s="148">
        <f t="shared" si="488"/>
        <v>400</v>
      </c>
      <c r="EC223" s="148">
        <f t="shared" si="488"/>
        <v>200</v>
      </c>
      <c r="ED223" s="148">
        <f t="shared" si="488"/>
        <v>0</v>
      </c>
      <c r="EE223" s="148">
        <f t="shared" si="488"/>
        <v>0</v>
      </c>
      <c r="EF223" s="148">
        <f t="shared" si="488"/>
        <v>0</v>
      </c>
      <c r="EG223" s="148">
        <f t="shared" si="488"/>
        <v>0</v>
      </c>
      <c r="EH223" s="148">
        <f t="shared" si="488"/>
        <v>0</v>
      </c>
      <c r="EI223" s="148">
        <f t="shared" si="488"/>
        <v>0</v>
      </c>
      <c r="EJ223" s="148">
        <f t="shared" si="488"/>
        <v>0</v>
      </c>
      <c r="EK223" s="148">
        <f t="shared" si="488"/>
        <v>0</v>
      </c>
      <c r="EL223" s="148">
        <f t="shared" si="488"/>
        <v>0</v>
      </c>
      <c r="EM223" s="148">
        <f t="shared" si="488"/>
        <v>0</v>
      </c>
      <c r="EN223" s="148">
        <f t="shared" si="488"/>
        <v>0</v>
      </c>
      <c r="EO223" s="148">
        <f t="shared" si="488"/>
        <v>20</v>
      </c>
      <c r="EP223" s="148">
        <f t="shared" si="488"/>
        <v>0</v>
      </c>
      <c r="EQ223" s="148">
        <f t="shared" si="488"/>
        <v>0</v>
      </c>
      <c r="ER223" s="148">
        <f t="shared" si="488"/>
        <v>0</v>
      </c>
      <c r="ES223" s="148">
        <f t="shared" si="488"/>
        <v>0</v>
      </c>
      <c r="ET223" s="148">
        <f t="shared" si="488"/>
        <v>0</v>
      </c>
      <c r="EU223" s="148">
        <f t="shared" si="488"/>
        <v>0</v>
      </c>
      <c r="EV223" s="148">
        <f t="shared" si="488"/>
        <v>0</v>
      </c>
      <c r="EW223" s="148">
        <f t="shared" si="488"/>
        <v>0</v>
      </c>
      <c r="EX223" s="148">
        <f t="shared" si="488"/>
        <v>0</v>
      </c>
      <c r="EY223" s="148">
        <f t="shared" si="488"/>
        <v>0</v>
      </c>
      <c r="EZ223" s="148">
        <f t="shared" si="488"/>
        <v>0</v>
      </c>
      <c r="FA223" s="150">
        <f t="shared" si="488"/>
        <v>840</v>
      </c>
      <c r="FB223" s="151">
        <f t="shared" si="488"/>
        <v>1314</v>
      </c>
      <c r="FC223" s="151">
        <f t="shared" si="488"/>
        <v>65</v>
      </c>
      <c r="FD223" s="152">
        <f t="shared" si="488"/>
        <v>25</v>
      </c>
      <c r="FE223" s="792" t="str">
        <f>IF(FB223&lt;инфо!$AN$75,FB223-инфо!$AN$75,"")</f>
        <v/>
      </c>
      <c r="FF223" s="153"/>
      <c r="FG223" s="153"/>
      <c r="FH223" s="153"/>
    </row>
    <row r="224" spans="2:164" ht="26.1" customHeight="1" outlineLevel="1" thickBot="1" x14ac:dyDescent="0.3">
      <c r="B224" s="1018"/>
      <c r="C224" s="1020"/>
      <c r="D224" s="1057" t="s">
        <v>117</v>
      </c>
      <c r="E224" s="1063" t="s">
        <v>114</v>
      </c>
      <c r="F224" s="842" t="s">
        <v>117</v>
      </c>
      <c r="G224" s="808" t="str">
        <f>VLOOKUP(H224,инфо!AD:AE,2,FALSE)</f>
        <v>Первые блюда</v>
      </c>
      <c r="H224" s="583" t="s">
        <v>1204</v>
      </c>
      <c r="I224" s="588" t="s">
        <v>1253</v>
      </c>
      <c r="J224" s="470"/>
      <c r="K224" s="471"/>
      <c r="L224" s="471"/>
      <c r="M224" s="471"/>
      <c r="N224" s="471"/>
      <c r="O224" s="471"/>
      <c r="P224" s="471"/>
      <c r="Q224" s="471">
        <v>20</v>
      </c>
      <c r="R224" s="471"/>
      <c r="S224" s="471"/>
      <c r="T224" s="471"/>
      <c r="U224" s="471"/>
      <c r="V224" s="471"/>
      <c r="W224" s="472"/>
      <c r="X224" s="472"/>
      <c r="Y224" s="472"/>
      <c r="Z224" s="472"/>
      <c r="AA224" s="472"/>
      <c r="AB224" s="472"/>
      <c r="AC224" s="472"/>
      <c r="AD224" s="472">
        <v>125</v>
      </c>
      <c r="AE224" s="472"/>
      <c r="AF224" s="472">
        <v>10</v>
      </c>
      <c r="AG224" s="472">
        <v>10</v>
      </c>
      <c r="AH224" s="472"/>
      <c r="AI224" s="472"/>
      <c r="AJ224" s="472"/>
      <c r="AK224" s="472"/>
      <c r="AL224" s="472"/>
      <c r="AM224" s="472"/>
      <c r="AN224" s="472"/>
      <c r="AO224" s="472">
        <v>5</v>
      </c>
      <c r="AP224" s="472"/>
      <c r="AQ224" s="472"/>
      <c r="AR224" s="472"/>
      <c r="AS224" s="472"/>
      <c r="AT224" s="472"/>
      <c r="AU224" s="472"/>
      <c r="AV224" s="472"/>
      <c r="AW224" s="472"/>
      <c r="AX224" s="472"/>
      <c r="AY224" s="472"/>
      <c r="AZ224" s="472"/>
      <c r="BA224" s="472"/>
      <c r="BB224" s="472"/>
      <c r="BC224" s="472"/>
      <c r="BD224" s="472"/>
      <c r="BE224" s="473"/>
      <c r="BF224" s="473"/>
      <c r="BG224" s="473"/>
      <c r="BH224" s="473"/>
      <c r="BI224" s="473"/>
      <c r="BJ224" s="473"/>
      <c r="BK224" s="473"/>
      <c r="BL224" s="473"/>
      <c r="BM224" s="473"/>
      <c r="BN224" s="474"/>
      <c r="BO224" s="474">
        <v>4</v>
      </c>
      <c r="BP224" s="474"/>
      <c r="BQ224" s="474"/>
      <c r="BR224" s="474"/>
      <c r="BS224" s="474"/>
      <c r="BT224" s="474"/>
      <c r="BU224" s="474"/>
      <c r="BV224" s="471"/>
      <c r="BW224" s="471"/>
      <c r="BX224" s="471"/>
      <c r="BY224" s="471"/>
      <c r="BZ224" s="471"/>
      <c r="CA224" s="471"/>
      <c r="CB224" s="471"/>
      <c r="CC224" s="475"/>
      <c r="CD224" s="475"/>
      <c r="CE224" s="475"/>
      <c r="CF224" s="475"/>
      <c r="CG224" s="475"/>
      <c r="CH224" s="475"/>
      <c r="CI224" s="475"/>
      <c r="CJ224" s="475"/>
      <c r="CK224" s="475"/>
      <c r="CL224" s="475"/>
      <c r="CM224" s="475"/>
      <c r="CN224" s="475"/>
      <c r="CO224" s="475"/>
      <c r="CP224" s="475"/>
      <c r="CQ224" s="475"/>
      <c r="CR224" s="475"/>
      <c r="CS224" s="476"/>
      <c r="CT224" s="476"/>
      <c r="CU224" s="476"/>
      <c r="CV224" s="476"/>
      <c r="CW224" s="476"/>
      <c r="CX224" s="476"/>
      <c r="CY224" s="476"/>
      <c r="CZ224" s="476"/>
      <c r="DA224" s="476"/>
      <c r="DB224" s="476"/>
      <c r="DC224" s="476"/>
      <c r="DD224" s="476"/>
      <c r="DE224" s="476"/>
      <c r="DF224" s="476"/>
      <c r="DG224" s="476"/>
      <c r="DH224" s="476"/>
      <c r="DI224" s="476"/>
      <c r="DJ224" s="476"/>
      <c r="DK224" s="476"/>
      <c r="DL224" s="476"/>
      <c r="DM224" s="476"/>
      <c r="DN224" s="942"/>
      <c r="DO224" s="477"/>
      <c r="DP224" s="477">
        <v>4</v>
      </c>
      <c r="DQ224" s="478">
        <v>0.02</v>
      </c>
      <c r="DR224" s="478">
        <v>0.05</v>
      </c>
      <c r="DS224" s="473"/>
      <c r="DT224" s="473"/>
      <c r="DU224" s="473"/>
      <c r="DV224" s="473"/>
      <c r="DW224" s="473"/>
      <c r="DX224" s="473"/>
      <c r="DY224" s="473"/>
      <c r="DZ224" s="473"/>
      <c r="EA224" s="473"/>
      <c r="EB224" s="473">
        <v>400</v>
      </c>
      <c r="EC224" s="473"/>
      <c r="ED224" s="473"/>
      <c r="EE224" s="473"/>
      <c r="EF224" s="473"/>
      <c r="EG224" s="473"/>
      <c r="EH224" s="473"/>
      <c r="EI224" s="473"/>
      <c r="EJ224" s="473"/>
      <c r="EK224" s="473"/>
      <c r="EL224" s="473"/>
      <c r="EM224" s="473"/>
      <c r="EN224" s="473"/>
      <c r="EO224" s="473"/>
      <c r="EP224" s="473"/>
      <c r="EQ224" s="473"/>
      <c r="ER224" s="473"/>
      <c r="ES224" s="473"/>
      <c r="ET224" s="473"/>
      <c r="EU224" s="473"/>
      <c r="EV224" s="473"/>
      <c r="EW224" s="473"/>
      <c r="EX224" s="473"/>
      <c r="EY224" s="473"/>
      <c r="EZ224" s="473"/>
      <c r="FA224" s="377">
        <v>250</v>
      </c>
      <c r="FB224" s="378">
        <v>500</v>
      </c>
      <c r="FC224" s="378"/>
      <c r="FD224" s="379">
        <f t="shared" ref="FD224:FD235" si="489">SUM(BE224:BG224,BI224,BL224:BM224)+SUM(BH224,BJ224,BK224)*5</f>
        <v>0</v>
      </c>
      <c r="FE224" s="790"/>
    </row>
    <row r="225" spans="2:164" ht="26.1" customHeight="1" outlineLevel="1" thickBot="1" x14ac:dyDescent="0.3">
      <c r="B225" s="1018"/>
      <c r="C225" s="1020"/>
      <c r="D225" s="1058"/>
      <c r="E225" s="1064"/>
      <c r="F225" s="843" t="s">
        <v>117</v>
      </c>
      <c r="G225" s="809" t="str">
        <f>VLOOKUP(H225,инфо!AD:AE,2,FALSE)</f>
        <v>Мясные (рыбные) блюда с соусом</v>
      </c>
      <c r="H225" s="584" t="s">
        <v>1208</v>
      </c>
      <c r="I225" s="572"/>
      <c r="J225" s="479"/>
      <c r="K225" s="480"/>
      <c r="L225" s="480"/>
      <c r="M225" s="480"/>
      <c r="N225" s="480"/>
      <c r="O225" s="480"/>
      <c r="P225" s="480"/>
      <c r="Q225" s="480"/>
      <c r="R225" s="480"/>
      <c r="S225" s="480"/>
      <c r="T225" s="480"/>
      <c r="U225" s="480"/>
      <c r="V225" s="480"/>
      <c r="W225" s="481"/>
      <c r="X225" s="481"/>
      <c r="Y225" s="481"/>
      <c r="Z225" s="481"/>
      <c r="AA225" s="481"/>
      <c r="AB225" s="481"/>
      <c r="AC225" s="481"/>
      <c r="AD225" s="481"/>
      <c r="AE225" s="481"/>
      <c r="AF225" s="481"/>
      <c r="AG225" s="481"/>
      <c r="AH225" s="481"/>
      <c r="AI225" s="481"/>
      <c r="AJ225" s="481"/>
      <c r="AK225" s="481"/>
      <c r="AL225" s="481"/>
      <c r="AM225" s="481"/>
      <c r="AN225" s="481"/>
      <c r="AO225" s="481"/>
      <c r="AP225" s="481"/>
      <c r="AQ225" s="481"/>
      <c r="AR225" s="481"/>
      <c r="AS225" s="481"/>
      <c r="AT225" s="481"/>
      <c r="AU225" s="481"/>
      <c r="AV225" s="481"/>
      <c r="AW225" s="481"/>
      <c r="AX225" s="481"/>
      <c r="AY225" s="481"/>
      <c r="AZ225" s="481"/>
      <c r="BA225" s="481"/>
      <c r="BB225" s="481"/>
      <c r="BC225" s="481"/>
      <c r="BD225" s="481"/>
      <c r="BE225" s="482"/>
      <c r="BF225" s="482"/>
      <c r="BG225" s="482"/>
      <c r="BH225" s="482"/>
      <c r="BI225" s="482"/>
      <c r="BJ225" s="482"/>
      <c r="BK225" s="482"/>
      <c r="BL225" s="482"/>
      <c r="BM225" s="482"/>
      <c r="BN225" s="483"/>
      <c r="BO225" s="483"/>
      <c r="BP225" s="483"/>
      <c r="BQ225" s="483"/>
      <c r="BR225" s="483"/>
      <c r="BS225" s="483"/>
      <c r="BT225" s="483"/>
      <c r="BU225" s="483"/>
      <c r="BV225" s="480"/>
      <c r="BW225" s="480"/>
      <c r="BX225" s="480"/>
      <c r="BY225" s="480"/>
      <c r="BZ225" s="480"/>
      <c r="CA225" s="480"/>
      <c r="CB225" s="480"/>
      <c r="CC225" s="484"/>
      <c r="CD225" s="484"/>
      <c r="CE225" s="484"/>
      <c r="CF225" s="484"/>
      <c r="CG225" s="484"/>
      <c r="CH225" s="484"/>
      <c r="CI225" s="484"/>
      <c r="CJ225" s="484"/>
      <c r="CK225" s="484"/>
      <c r="CL225" s="484"/>
      <c r="CM225" s="484"/>
      <c r="CN225" s="484"/>
      <c r="CO225" s="484"/>
      <c r="CP225" s="484"/>
      <c r="CQ225" s="484"/>
      <c r="CR225" s="484"/>
      <c r="CS225" s="485"/>
      <c r="CT225" s="485"/>
      <c r="CU225" s="485"/>
      <c r="CV225" s="485"/>
      <c r="CW225" s="485"/>
      <c r="CX225" s="485"/>
      <c r="CY225" s="485"/>
      <c r="CZ225" s="485"/>
      <c r="DA225" s="485"/>
      <c r="DB225" s="485"/>
      <c r="DC225" s="485"/>
      <c r="DD225" s="485"/>
      <c r="DE225" s="485"/>
      <c r="DF225" s="485"/>
      <c r="DG225" s="485"/>
      <c r="DH225" s="485"/>
      <c r="DI225" s="485"/>
      <c r="DJ225" s="485"/>
      <c r="DK225" s="485"/>
      <c r="DL225" s="485"/>
      <c r="DM225" s="485"/>
      <c r="DN225" s="943"/>
      <c r="DO225" s="486"/>
      <c r="DP225" s="486"/>
      <c r="DQ225" s="487"/>
      <c r="DR225" s="487"/>
      <c r="DS225" s="482"/>
      <c r="DT225" s="482"/>
      <c r="DU225" s="482"/>
      <c r="DV225" s="482"/>
      <c r="DW225" s="482"/>
      <c r="DX225" s="482"/>
      <c r="DY225" s="482"/>
      <c r="DZ225" s="482"/>
      <c r="EA225" s="482"/>
      <c r="EB225" s="482"/>
      <c r="EC225" s="482"/>
      <c r="ED225" s="482"/>
      <c r="EE225" s="482"/>
      <c r="EF225" s="482"/>
      <c r="EG225" s="482"/>
      <c r="EH225" s="482"/>
      <c r="EI225" s="482"/>
      <c r="EJ225" s="482"/>
      <c r="EK225" s="482"/>
      <c r="EL225" s="482"/>
      <c r="EM225" s="482"/>
      <c r="EN225" s="482"/>
      <c r="EO225" s="482"/>
      <c r="EP225" s="482"/>
      <c r="EQ225" s="482"/>
      <c r="ER225" s="482"/>
      <c r="ES225" s="482"/>
      <c r="ET225" s="482"/>
      <c r="EU225" s="482"/>
      <c r="EV225" s="482"/>
      <c r="EW225" s="482"/>
      <c r="EX225" s="482"/>
      <c r="EY225" s="482"/>
      <c r="EZ225" s="482"/>
      <c r="FA225" s="377"/>
      <c r="FB225" s="378"/>
      <c r="FC225" s="378"/>
      <c r="FD225" s="379">
        <f t="shared" si="489"/>
        <v>0</v>
      </c>
      <c r="FE225" s="790"/>
    </row>
    <row r="226" spans="2:164" ht="26.1" customHeight="1" outlineLevel="1" thickBot="1" x14ac:dyDescent="0.3">
      <c r="B226" s="1018"/>
      <c r="C226" s="1020"/>
      <c r="D226" s="1058"/>
      <c r="E226" s="1064"/>
      <c r="F226" s="843" t="s">
        <v>117</v>
      </c>
      <c r="G226" s="809" t="str">
        <f>VLOOKUP(H226,инфо!AD:AE,2,FALSE)</f>
        <v>Гарниры</v>
      </c>
      <c r="H226" s="584" t="s">
        <v>1198</v>
      </c>
      <c r="I226" s="572"/>
      <c r="J226" s="479"/>
      <c r="K226" s="480"/>
      <c r="L226" s="480"/>
      <c r="M226" s="480"/>
      <c r="N226" s="480"/>
      <c r="O226" s="480"/>
      <c r="P226" s="480"/>
      <c r="Q226" s="480"/>
      <c r="R226" s="480"/>
      <c r="S226" s="480"/>
      <c r="T226" s="480"/>
      <c r="U226" s="480"/>
      <c r="V226" s="480"/>
      <c r="W226" s="481"/>
      <c r="X226" s="481"/>
      <c r="Y226" s="481"/>
      <c r="Z226" s="481"/>
      <c r="AA226" s="481"/>
      <c r="AB226" s="481"/>
      <c r="AC226" s="481"/>
      <c r="AD226" s="481"/>
      <c r="AE226" s="481"/>
      <c r="AF226" s="481"/>
      <c r="AG226" s="481"/>
      <c r="AH226" s="481"/>
      <c r="AI226" s="481"/>
      <c r="AJ226" s="481"/>
      <c r="AK226" s="481"/>
      <c r="AL226" s="481"/>
      <c r="AM226" s="481"/>
      <c r="AN226" s="481"/>
      <c r="AO226" s="481"/>
      <c r="AP226" s="481"/>
      <c r="AQ226" s="481"/>
      <c r="AR226" s="481"/>
      <c r="AS226" s="481"/>
      <c r="AT226" s="481"/>
      <c r="AU226" s="481"/>
      <c r="AV226" s="481"/>
      <c r="AW226" s="481"/>
      <c r="AX226" s="481"/>
      <c r="AY226" s="481"/>
      <c r="AZ226" s="481"/>
      <c r="BA226" s="481"/>
      <c r="BB226" s="481"/>
      <c r="BC226" s="481"/>
      <c r="BD226" s="481"/>
      <c r="BE226" s="482"/>
      <c r="BF226" s="482"/>
      <c r="BG226" s="482"/>
      <c r="BH226" s="482"/>
      <c r="BI226" s="482"/>
      <c r="BJ226" s="482"/>
      <c r="BK226" s="482"/>
      <c r="BL226" s="482"/>
      <c r="BM226" s="482"/>
      <c r="BN226" s="483"/>
      <c r="BO226" s="483"/>
      <c r="BP226" s="483"/>
      <c r="BQ226" s="483"/>
      <c r="BR226" s="483"/>
      <c r="BS226" s="483"/>
      <c r="BT226" s="483"/>
      <c r="BU226" s="483"/>
      <c r="BV226" s="480"/>
      <c r="BW226" s="480"/>
      <c r="BX226" s="480"/>
      <c r="BY226" s="480"/>
      <c r="BZ226" s="480"/>
      <c r="CA226" s="480"/>
      <c r="CB226" s="480"/>
      <c r="CC226" s="484"/>
      <c r="CD226" s="484"/>
      <c r="CE226" s="484"/>
      <c r="CF226" s="484"/>
      <c r="CG226" s="484"/>
      <c r="CH226" s="484"/>
      <c r="CI226" s="484"/>
      <c r="CJ226" s="484"/>
      <c r="CK226" s="484"/>
      <c r="CL226" s="484"/>
      <c r="CM226" s="484"/>
      <c r="CN226" s="484"/>
      <c r="CO226" s="484"/>
      <c r="CP226" s="484"/>
      <c r="CQ226" s="484"/>
      <c r="CR226" s="484"/>
      <c r="CS226" s="485"/>
      <c r="CT226" s="485"/>
      <c r="CU226" s="485"/>
      <c r="CV226" s="485"/>
      <c r="CW226" s="485"/>
      <c r="CX226" s="485"/>
      <c r="CY226" s="485"/>
      <c r="CZ226" s="485"/>
      <c r="DA226" s="485"/>
      <c r="DB226" s="485"/>
      <c r="DC226" s="485"/>
      <c r="DD226" s="485"/>
      <c r="DE226" s="485"/>
      <c r="DF226" s="485"/>
      <c r="DG226" s="485"/>
      <c r="DH226" s="485"/>
      <c r="DI226" s="485"/>
      <c r="DJ226" s="485"/>
      <c r="DK226" s="485"/>
      <c r="DL226" s="485"/>
      <c r="DM226" s="485"/>
      <c r="DN226" s="943"/>
      <c r="DO226" s="486"/>
      <c r="DP226" s="486"/>
      <c r="DQ226" s="487"/>
      <c r="DR226" s="487"/>
      <c r="DS226" s="482"/>
      <c r="DT226" s="482"/>
      <c r="DU226" s="482"/>
      <c r="DV226" s="482"/>
      <c r="DW226" s="482"/>
      <c r="DX226" s="482"/>
      <c r="DY226" s="482"/>
      <c r="DZ226" s="482"/>
      <c r="EA226" s="482"/>
      <c r="EB226" s="482"/>
      <c r="EC226" s="482"/>
      <c r="ED226" s="482"/>
      <c r="EE226" s="482"/>
      <c r="EF226" s="482"/>
      <c r="EG226" s="482"/>
      <c r="EH226" s="482"/>
      <c r="EI226" s="482"/>
      <c r="EJ226" s="482"/>
      <c r="EK226" s="482"/>
      <c r="EL226" s="482"/>
      <c r="EM226" s="482"/>
      <c r="EN226" s="482"/>
      <c r="EO226" s="482"/>
      <c r="EP226" s="482"/>
      <c r="EQ226" s="482"/>
      <c r="ER226" s="482"/>
      <c r="ES226" s="482"/>
      <c r="ET226" s="482"/>
      <c r="EU226" s="482"/>
      <c r="EV226" s="482"/>
      <c r="EW226" s="482"/>
      <c r="EX226" s="482"/>
      <c r="EY226" s="482"/>
      <c r="EZ226" s="482"/>
      <c r="FA226" s="377"/>
      <c r="FB226" s="378"/>
      <c r="FC226" s="378"/>
      <c r="FD226" s="379">
        <f t="shared" si="489"/>
        <v>0</v>
      </c>
      <c r="FE226" s="790"/>
    </row>
    <row r="227" spans="2:164" ht="26.1" customHeight="1" outlineLevel="1" thickBot="1" x14ac:dyDescent="0.3">
      <c r="B227" s="1018"/>
      <c r="C227" s="1020"/>
      <c r="D227" s="1058"/>
      <c r="E227" s="1065"/>
      <c r="F227" s="844" t="s">
        <v>117</v>
      </c>
      <c r="G227" s="810" t="str">
        <f>VLOOKUP(H227,инфо!AD:AE,2,FALSE)</f>
        <v>Мясные (рыбные) блюда с соусом</v>
      </c>
      <c r="H227" s="585" t="s">
        <v>1196</v>
      </c>
      <c r="I227" s="606" t="s">
        <v>1175</v>
      </c>
      <c r="J227" s="488"/>
      <c r="K227" s="489"/>
      <c r="L227" s="489"/>
      <c r="M227" s="489"/>
      <c r="N227" s="489"/>
      <c r="O227" s="489"/>
      <c r="P227" s="489"/>
      <c r="Q227" s="489"/>
      <c r="R227" s="489"/>
      <c r="S227" s="489"/>
      <c r="T227" s="489"/>
      <c r="U227" s="489"/>
      <c r="V227" s="489"/>
      <c r="W227" s="490"/>
      <c r="X227" s="490">
        <v>0.72</v>
      </c>
      <c r="Y227" s="490"/>
      <c r="Z227" s="490"/>
      <c r="AA227" s="490"/>
      <c r="AB227" s="490"/>
      <c r="AC227" s="490"/>
      <c r="AD227" s="490"/>
      <c r="AE227" s="490"/>
      <c r="AF227" s="490">
        <v>3.6</v>
      </c>
      <c r="AG227" s="490">
        <v>7.6</v>
      </c>
      <c r="AH227" s="490"/>
      <c r="AI227" s="490"/>
      <c r="AJ227" s="490"/>
      <c r="AK227" s="490"/>
      <c r="AL227" s="490"/>
      <c r="AM227" s="490"/>
      <c r="AN227" s="490"/>
      <c r="AO227" s="490"/>
      <c r="AP227" s="490"/>
      <c r="AQ227" s="490"/>
      <c r="AR227" s="490"/>
      <c r="AS227" s="490"/>
      <c r="AT227" s="490"/>
      <c r="AU227" s="490"/>
      <c r="AV227" s="490"/>
      <c r="AW227" s="490"/>
      <c r="AX227" s="490"/>
      <c r="AY227" s="490"/>
      <c r="AZ227" s="490"/>
      <c r="BA227" s="490"/>
      <c r="BB227" s="490"/>
      <c r="BC227" s="490"/>
      <c r="BD227" s="490"/>
      <c r="BE227" s="491"/>
      <c r="BF227" s="491"/>
      <c r="BG227" s="491"/>
      <c r="BH227" s="491"/>
      <c r="BI227" s="491"/>
      <c r="BJ227" s="491"/>
      <c r="BK227" s="491"/>
      <c r="BL227" s="491"/>
      <c r="BM227" s="491"/>
      <c r="BN227" s="492"/>
      <c r="BO227" s="492">
        <v>1.52</v>
      </c>
      <c r="BP227" s="492"/>
      <c r="BQ227" s="492"/>
      <c r="BR227" s="492"/>
      <c r="BS227" s="492"/>
      <c r="BT227" s="492"/>
      <c r="BU227" s="492"/>
      <c r="BV227" s="489"/>
      <c r="BW227" s="489"/>
      <c r="BX227" s="489"/>
      <c r="BY227" s="489"/>
      <c r="BZ227" s="489"/>
      <c r="CA227" s="489"/>
      <c r="CB227" s="489"/>
      <c r="CC227" s="493"/>
      <c r="CD227" s="493"/>
      <c r="CE227" s="493"/>
      <c r="CF227" s="493"/>
      <c r="CG227" s="493"/>
      <c r="CH227" s="493"/>
      <c r="CI227" s="493"/>
      <c r="CJ227" s="493"/>
      <c r="CK227" s="493"/>
      <c r="CL227" s="493"/>
      <c r="CM227" s="493"/>
      <c r="CN227" s="493"/>
      <c r="CO227" s="493"/>
      <c r="CP227" s="493"/>
      <c r="CQ227" s="493"/>
      <c r="CR227" s="493"/>
      <c r="CS227" s="494"/>
      <c r="CT227" s="494"/>
      <c r="CU227" s="494"/>
      <c r="CV227" s="494"/>
      <c r="CW227" s="494"/>
      <c r="CX227" s="494"/>
      <c r="CY227" s="494"/>
      <c r="CZ227" s="494"/>
      <c r="DA227" s="494"/>
      <c r="DB227" s="494"/>
      <c r="DC227" s="494"/>
      <c r="DD227" s="494"/>
      <c r="DE227" s="494"/>
      <c r="DF227" s="494"/>
      <c r="DG227" s="494"/>
      <c r="DH227" s="494"/>
      <c r="DI227" s="494"/>
      <c r="DJ227" s="494"/>
      <c r="DK227" s="494"/>
      <c r="DL227" s="494"/>
      <c r="DM227" s="494"/>
      <c r="DN227" s="944"/>
      <c r="DO227" s="495"/>
      <c r="DP227" s="495">
        <v>0.18</v>
      </c>
      <c r="DQ227" s="496">
        <v>7.6E-3</v>
      </c>
      <c r="DR227" s="496">
        <v>1.9E-2</v>
      </c>
      <c r="DS227" s="491">
        <v>0.72</v>
      </c>
      <c r="DT227" s="491"/>
      <c r="DU227" s="491"/>
      <c r="DV227" s="491"/>
      <c r="DW227" s="491">
        <v>0.8</v>
      </c>
      <c r="DX227" s="491"/>
      <c r="DY227" s="491"/>
      <c r="DZ227" s="491"/>
      <c r="EA227" s="491"/>
      <c r="EB227" s="491">
        <v>14.4</v>
      </c>
      <c r="EC227" s="491"/>
      <c r="ED227" s="491"/>
      <c r="EE227" s="491"/>
      <c r="EF227" s="491"/>
      <c r="EG227" s="491"/>
      <c r="EH227" s="491"/>
      <c r="EI227" s="491"/>
      <c r="EJ227" s="491"/>
      <c r="EK227" s="491"/>
      <c r="EL227" s="491"/>
      <c r="EM227" s="491"/>
      <c r="EN227" s="491"/>
      <c r="EO227" s="491"/>
      <c r="EP227" s="491"/>
      <c r="EQ227" s="491"/>
      <c r="ER227" s="491"/>
      <c r="ES227" s="491"/>
      <c r="ET227" s="491"/>
      <c r="EU227" s="491"/>
      <c r="EV227" s="491"/>
      <c r="EW227" s="491"/>
      <c r="EX227" s="491"/>
      <c r="EY227" s="491"/>
      <c r="EZ227" s="491"/>
      <c r="FA227" s="389"/>
      <c r="FB227" s="390">
        <v>20</v>
      </c>
      <c r="FC227" s="390"/>
      <c r="FD227" s="391">
        <f t="shared" si="489"/>
        <v>0</v>
      </c>
      <c r="FE227" s="790"/>
    </row>
    <row r="228" spans="2:164" ht="26.1" customHeight="1" outlineLevel="1" thickBot="1" x14ac:dyDescent="0.3">
      <c r="B228" s="1018"/>
      <c r="C228" s="1020"/>
      <c r="D228" s="1058"/>
      <c r="E228" s="1064" t="s">
        <v>115</v>
      </c>
      <c r="F228" s="842" t="s">
        <v>117</v>
      </c>
      <c r="G228" s="808" t="str">
        <f>VLOOKUP(H228,инфо!AD:AE,2,FALSE)</f>
        <v>Мясные (рыбные) блюда с соусом</v>
      </c>
      <c r="H228" s="586" t="s">
        <v>1208</v>
      </c>
      <c r="I228" s="588" t="s">
        <v>775</v>
      </c>
      <c r="J228" s="497"/>
      <c r="K228" s="498"/>
      <c r="L228" s="498"/>
      <c r="M228" s="498"/>
      <c r="N228" s="498"/>
      <c r="O228" s="498"/>
      <c r="P228" s="498"/>
      <c r="Q228" s="498"/>
      <c r="R228" s="498"/>
      <c r="S228" s="498"/>
      <c r="T228" s="498"/>
      <c r="U228" s="498"/>
      <c r="V228" s="498"/>
      <c r="W228" s="499"/>
      <c r="X228" s="499">
        <v>7</v>
      </c>
      <c r="Y228" s="499"/>
      <c r="Z228" s="499"/>
      <c r="AA228" s="499"/>
      <c r="AB228" s="499"/>
      <c r="AC228" s="499"/>
      <c r="AD228" s="499"/>
      <c r="AE228" s="499"/>
      <c r="AF228" s="499"/>
      <c r="AG228" s="499"/>
      <c r="AH228" s="499"/>
      <c r="AI228" s="499"/>
      <c r="AJ228" s="499"/>
      <c r="AK228" s="499"/>
      <c r="AL228" s="499"/>
      <c r="AM228" s="499"/>
      <c r="AN228" s="499"/>
      <c r="AO228" s="499"/>
      <c r="AP228" s="499"/>
      <c r="AQ228" s="499"/>
      <c r="AR228" s="499"/>
      <c r="AS228" s="499"/>
      <c r="AT228" s="499"/>
      <c r="AU228" s="499"/>
      <c r="AV228" s="499"/>
      <c r="AW228" s="499"/>
      <c r="AX228" s="499"/>
      <c r="AY228" s="499"/>
      <c r="AZ228" s="499"/>
      <c r="BA228" s="499"/>
      <c r="BB228" s="499"/>
      <c r="BC228" s="499"/>
      <c r="BD228" s="499"/>
      <c r="BE228" s="500"/>
      <c r="BF228" s="500"/>
      <c r="BG228" s="500"/>
      <c r="BH228" s="500"/>
      <c r="BI228" s="500"/>
      <c r="BJ228" s="500"/>
      <c r="BK228" s="500"/>
      <c r="BL228" s="500"/>
      <c r="BM228" s="500"/>
      <c r="BN228" s="501"/>
      <c r="BO228" s="501">
        <v>5</v>
      </c>
      <c r="BP228" s="501"/>
      <c r="BQ228" s="501"/>
      <c r="BR228" s="501"/>
      <c r="BS228" s="501"/>
      <c r="BT228" s="501"/>
      <c r="BU228" s="501"/>
      <c r="BV228" s="498"/>
      <c r="BW228" s="498"/>
      <c r="BX228" s="498"/>
      <c r="BY228" s="498"/>
      <c r="BZ228" s="498"/>
      <c r="CA228" s="498"/>
      <c r="CB228" s="498"/>
      <c r="CC228" s="502"/>
      <c r="CD228" s="502"/>
      <c r="CE228" s="502"/>
      <c r="CF228" s="502"/>
      <c r="CG228" s="502"/>
      <c r="CH228" s="502"/>
      <c r="CI228" s="502"/>
      <c r="CJ228" s="502"/>
      <c r="CK228" s="502"/>
      <c r="CL228" s="502"/>
      <c r="CM228" s="502"/>
      <c r="CN228" s="502"/>
      <c r="CO228" s="502"/>
      <c r="CP228" s="502"/>
      <c r="CQ228" s="502"/>
      <c r="CR228" s="502"/>
      <c r="CS228" s="503"/>
      <c r="CT228" s="503"/>
      <c r="CU228" s="503"/>
      <c r="CV228" s="503"/>
      <c r="CW228" s="503">
        <v>120</v>
      </c>
      <c r="CX228" s="503"/>
      <c r="CY228" s="503"/>
      <c r="CZ228" s="503"/>
      <c r="DA228" s="503"/>
      <c r="DB228" s="503"/>
      <c r="DC228" s="503"/>
      <c r="DD228" s="503"/>
      <c r="DE228" s="503"/>
      <c r="DF228" s="503"/>
      <c r="DG228" s="503"/>
      <c r="DH228" s="503"/>
      <c r="DI228" s="503"/>
      <c r="DJ228" s="503"/>
      <c r="DK228" s="503"/>
      <c r="DL228" s="503"/>
      <c r="DM228" s="503"/>
      <c r="DN228" s="945"/>
      <c r="DO228" s="504"/>
      <c r="DP228" s="504">
        <v>2</v>
      </c>
      <c r="DQ228" s="505"/>
      <c r="DR228" s="505">
        <v>0.01</v>
      </c>
      <c r="DS228" s="500"/>
      <c r="DT228" s="500"/>
      <c r="DU228" s="500"/>
      <c r="DV228" s="500"/>
      <c r="DW228" s="500"/>
      <c r="DX228" s="500"/>
      <c r="DY228" s="500"/>
      <c r="DZ228" s="500"/>
      <c r="EA228" s="500"/>
      <c r="EB228" s="500"/>
      <c r="EC228" s="500"/>
      <c r="ED228" s="500"/>
      <c r="EE228" s="500"/>
      <c r="EF228" s="500"/>
      <c r="EG228" s="500"/>
      <c r="EH228" s="500"/>
      <c r="EI228" s="500"/>
      <c r="EJ228" s="500"/>
      <c r="EK228" s="500"/>
      <c r="EL228" s="500"/>
      <c r="EM228" s="500"/>
      <c r="EN228" s="500"/>
      <c r="EO228" s="500"/>
      <c r="EP228" s="500"/>
      <c r="EQ228" s="500"/>
      <c r="ER228" s="500"/>
      <c r="ES228" s="500"/>
      <c r="ET228" s="500"/>
      <c r="EU228" s="500"/>
      <c r="EV228" s="500"/>
      <c r="EW228" s="500"/>
      <c r="EX228" s="500"/>
      <c r="EY228" s="500"/>
      <c r="EZ228" s="500"/>
      <c r="FA228" s="364"/>
      <c r="FB228" s="365">
        <v>71.918000000000006</v>
      </c>
      <c r="FC228" s="365">
        <v>71.918000000000006</v>
      </c>
      <c r="FD228" s="367">
        <f t="shared" si="489"/>
        <v>0</v>
      </c>
      <c r="FE228" s="790"/>
    </row>
    <row r="229" spans="2:164" ht="26.1" customHeight="1" outlineLevel="1" thickBot="1" x14ac:dyDescent="0.3">
      <c r="B229" s="1018"/>
      <c r="C229" s="1020"/>
      <c r="D229" s="1058"/>
      <c r="E229" s="1064"/>
      <c r="F229" s="843" t="s">
        <v>117</v>
      </c>
      <c r="G229" s="809" t="str">
        <f>VLOOKUP(H229,инфо!AD:AE,2,FALSE)</f>
        <v>Гарниры</v>
      </c>
      <c r="H229" s="584" t="s">
        <v>1198</v>
      </c>
      <c r="I229" s="589" t="s">
        <v>156</v>
      </c>
      <c r="J229" s="479"/>
      <c r="K229" s="480"/>
      <c r="L229" s="480"/>
      <c r="M229" s="480"/>
      <c r="N229" s="480"/>
      <c r="O229" s="480"/>
      <c r="P229" s="480"/>
      <c r="Q229" s="480"/>
      <c r="R229" s="480"/>
      <c r="S229" s="480"/>
      <c r="T229" s="480"/>
      <c r="U229" s="480"/>
      <c r="V229" s="480">
        <v>83</v>
      </c>
      <c r="W229" s="481"/>
      <c r="X229" s="481"/>
      <c r="Y229" s="481"/>
      <c r="Z229" s="481"/>
      <c r="AA229" s="481"/>
      <c r="AB229" s="481"/>
      <c r="AC229" s="481"/>
      <c r="AD229" s="481"/>
      <c r="AE229" s="481"/>
      <c r="AF229" s="481"/>
      <c r="AG229" s="481"/>
      <c r="AH229" s="481"/>
      <c r="AI229" s="481"/>
      <c r="AJ229" s="481"/>
      <c r="AK229" s="481"/>
      <c r="AL229" s="481"/>
      <c r="AM229" s="481"/>
      <c r="AN229" s="481"/>
      <c r="AO229" s="481"/>
      <c r="AP229" s="481"/>
      <c r="AQ229" s="481"/>
      <c r="AR229" s="481"/>
      <c r="AS229" s="481"/>
      <c r="AT229" s="481"/>
      <c r="AU229" s="481"/>
      <c r="AV229" s="481"/>
      <c r="AW229" s="481"/>
      <c r="AX229" s="481"/>
      <c r="AY229" s="481"/>
      <c r="AZ229" s="481"/>
      <c r="BA229" s="481"/>
      <c r="BB229" s="481"/>
      <c r="BC229" s="481"/>
      <c r="BD229" s="481"/>
      <c r="BE229" s="482"/>
      <c r="BF229" s="482"/>
      <c r="BG229" s="482"/>
      <c r="BH229" s="482"/>
      <c r="BI229" s="482"/>
      <c r="BJ229" s="482"/>
      <c r="BK229" s="482"/>
      <c r="BL229" s="482"/>
      <c r="BM229" s="482"/>
      <c r="BN229" s="483"/>
      <c r="BO229" s="483"/>
      <c r="BP229" s="483"/>
      <c r="BQ229" s="483"/>
      <c r="BR229" s="483"/>
      <c r="BS229" s="483"/>
      <c r="BT229" s="483"/>
      <c r="BU229" s="483"/>
      <c r="BV229" s="480"/>
      <c r="BW229" s="480"/>
      <c r="BX229" s="480"/>
      <c r="BY229" s="480"/>
      <c r="BZ229" s="480"/>
      <c r="CA229" s="480"/>
      <c r="CB229" s="480"/>
      <c r="CC229" s="484"/>
      <c r="CD229" s="484"/>
      <c r="CE229" s="484"/>
      <c r="CF229" s="484"/>
      <c r="CG229" s="484"/>
      <c r="CH229" s="484"/>
      <c r="CI229" s="484"/>
      <c r="CJ229" s="484"/>
      <c r="CK229" s="484"/>
      <c r="CL229" s="484"/>
      <c r="CM229" s="484"/>
      <c r="CN229" s="484"/>
      <c r="CO229" s="484"/>
      <c r="CP229" s="484"/>
      <c r="CQ229" s="484"/>
      <c r="CR229" s="484"/>
      <c r="CS229" s="485"/>
      <c r="CT229" s="485"/>
      <c r="CU229" s="485"/>
      <c r="CV229" s="485"/>
      <c r="CW229" s="485"/>
      <c r="CX229" s="485"/>
      <c r="CY229" s="485"/>
      <c r="CZ229" s="485"/>
      <c r="DA229" s="485"/>
      <c r="DB229" s="485"/>
      <c r="DC229" s="485"/>
      <c r="DD229" s="485"/>
      <c r="DE229" s="485"/>
      <c r="DF229" s="485"/>
      <c r="DG229" s="485"/>
      <c r="DH229" s="485"/>
      <c r="DI229" s="485"/>
      <c r="DJ229" s="485"/>
      <c r="DK229" s="485"/>
      <c r="DL229" s="485"/>
      <c r="DM229" s="485"/>
      <c r="DN229" s="943"/>
      <c r="DO229" s="486"/>
      <c r="DP229" s="486">
        <v>3</v>
      </c>
      <c r="DQ229" s="487"/>
      <c r="DR229" s="487"/>
      <c r="DS229" s="482"/>
      <c r="DT229" s="482"/>
      <c r="DU229" s="482"/>
      <c r="DV229" s="482"/>
      <c r="DW229" s="482"/>
      <c r="DX229" s="482"/>
      <c r="DY229" s="482"/>
      <c r="DZ229" s="482"/>
      <c r="EA229" s="482">
        <v>182.60000000000002</v>
      </c>
      <c r="EB229" s="482"/>
      <c r="EC229" s="482"/>
      <c r="ED229" s="482"/>
      <c r="EE229" s="482"/>
      <c r="EF229" s="482"/>
      <c r="EG229" s="482"/>
      <c r="EH229" s="482"/>
      <c r="EI229" s="482"/>
      <c r="EJ229" s="482"/>
      <c r="EK229" s="482"/>
      <c r="EL229" s="482"/>
      <c r="EM229" s="482"/>
      <c r="EN229" s="482"/>
      <c r="EO229" s="482"/>
      <c r="EP229" s="482"/>
      <c r="EQ229" s="482"/>
      <c r="ER229" s="482"/>
      <c r="ES229" s="482"/>
      <c r="ET229" s="482"/>
      <c r="EU229" s="482"/>
      <c r="EV229" s="482"/>
      <c r="EW229" s="482"/>
      <c r="EX229" s="482"/>
      <c r="EY229" s="482"/>
      <c r="EZ229" s="482"/>
      <c r="FA229" s="377">
        <v>415</v>
      </c>
      <c r="FB229" s="378">
        <v>249</v>
      </c>
      <c r="FC229" s="378"/>
      <c r="FD229" s="379">
        <f t="shared" si="489"/>
        <v>0</v>
      </c>
      <c r="FE229" s="790"/>
    </row>
    <row r="230" spans="2:164" ht="26.1" customHeight="1" outlineLevel="1" thickBot="1" x14ac:dyDescent="0.3">
      <c r="B230" s="1018"/>
      <c r="C230" s="1020"/>
      <c r="D230" s="1058"/>
      <c r="E230" s="1064"/>
      <c r="F230" s="843" t="s">
        <v>117</v>
      </c>
      <c r="G230" s="809" t="str">
        <f>VLOOKUP(H230,инфо!AD:AE,2,FALSE)</f>
        <v>Прочее</v>
      </c>
      <c r="H230" s="584" t="s">
        <v>1197</v>
      </c>
      <c r="I230" s="589" t="s">
        <v>164</v>
      </c>
      <c r="J230" s="479"/>
      <c r="K230" s="480"/>
      <c r="L230" s="480"/>
      <c r="M230" s="480"/>
      <c r="N230" s="480"/>
      <c r="O230" s="480"/>
      <c r="P230" s="480"/>
      <c r="Q230" s="480"/>
      <c r="R230" s="480"/>
      <c r="S230" s="480"/>
      <c r="T230" s="480"/>
      <c r="U230" s="480"/>
      <c r="V230" s="480"/>
      <c r="W230" s="481"/>
      <c r="X230" s="481"/>
      <c r="Y230" s="481"/>
      <c r="Z230" s="481"/>
      <c r="AA230" s="481"/>
      <c r="AB230" s="481"/>
      <c r="AC230" s="481"/>
      <c r="AD230" s="481"/>
      <c r="AE230" s="481"/>
      <c r="AF230" s="481"/>
      <c r="AG230" s="481"/>
      <c r="AH230" s="481"/>
      <c r="AI230" s="481"/>
      <c r="AJ230" s="481"/>
      <c r="AK230" s="481"/>
      <c r="AL230" s="481"/>
      <c r="AM230" s="481"/>
      <c r="AN230" s="481"/>
      <c r="AO230" s="481"/>
      <c r="AP230" s="481"/>
      <c r="AQ230" s="481"/>
      <c r="AR230" s="481"/>
      <c r="AS230" s="481"/>
      <c r="AT230" s="481"/>
      <c r="AU230" s="481"/>
      <c r="AV230" s="481"/>
      <c r="AW230" s="481"/>
      <c r="AX230" s="481"/>
      <c r="AY230" s="481"/>
      <c r="AZ230" s="481"/>
      <c r="BA230" s="481"/>
      <c r="BB230" s="481">
        <v>20</v>
      </c>
      <c r="BC230" s="481"/>
      <c r="BD230" s="481"/>
      <c r="BE230" s="482"/>
      <c r="BF230" s="482"/>
      <c r="BG230" s="482"/>
      <c r="BH230" s="482"/>
      <c r="BI230" s="482"/>
      <c r="BJ230" s="482"/>
      <c r="BK230" s="482"/>
      <c r="BL230" s="482"/>
      <c r="BM230" s="482"/>
      <c r="BN230" s="483"/>
      <c r="BO230" s="483"/>
      <c r="BP230" s="483"/>
      <c r="BQ230" s="483"/>
      <c r="BR230" s="483"/>
      <c r="BS230" s="483"/>
      <c r="BT230" s="483"/>
      <c r="BU230" s="483"/>
      <c r="BV230" s="480"/>
      <c r="BW230" s="480"/>
      <c r="BX230" s="480"/>
      <c r="BY230" s="480"/>
      <c r="BZ230" s="480"/>
      <c r="CA230" s="480"/>
      <c r="CB230" s="480"/>
      <c r="CC230" s="484"/>
      <c r="CD230" s="484"/>
      <c r="CE230" s="484"/>
      <c r="CF230" s="484"/>
      <c r="CG230" s="484"/>
      <c r="CH230" s="484"/>
      <c r="CI230" s="484"/>
      <c r="CJ230" s="484"/>
      <c r="CK230" s="484"/>
      <c r="CL230" s="484"/>
      <c r="CM230" s="484"/>
      <c r="CN230" s="484"/>
      <c r="CO230" s="484"/>
      <c r="CP230" s="484"/>
      <c r="CQ230" s="484"/>
      <c r="CR230" s="484"/>
      <c r="CS230" s="485"/>
      <c r="CT230" s="485"/>
      <c r="CU230" s="485"/>
      <c r="CV230" s="485"/>
      <c r="CW230" s="485"/>
      <c r="CX230" s="485"/>
      <c r="CY230" s="485"/>
      <c r="CZ230" s="485"/>
      <c r="DA230" s="485"/>
      <c r="DB230" s="485"/>
      <c r="DC230" s="485"/>
      <c r="DD230" s="485"/>
      <c r="DE230" s="485"/>
      <c r="DF230" s="485"/>
      <c r="DG230" s="485"/>
      <c r="DH230" s="485"/>
      <c r="DI230" s="485"/>
      <c r="DJ230" s="485"/>
      <c r="DK230" s="485"/>
      <c r="DL230" s="485"/>
      <c r="DM230" s="485"/>
      <c r="DN230" s="943"/>
      <c r="DO230" s="486"/>
      <c r="DP230" s="486"/>
      <c r="DQ230" s="487"/>
      <c r="DR230" s="487"/>
      <c r="DS230" s="482"/>
      <c r="DT230" s="482"/>
      <c r="DU230" s="482"/>
      <c r="DV230" s="482"/>
      <c r="DW230" s="482"/>
      <c r="DX230" s="482"/>
      <c r="DY230" s="482"/>
      <c r="DZ230" s="482"/>
      <c r="EA230" s="482"/>
      <c r="EB230" s="482"/>
      <c r="EC230" s="482"/>
      <c r="ED230" s="482"/>
      <c r="EE230" s="482"/>
      <c r="EF230" s="482"/>
      <c r="EG230" s="482"/>
      <c r="EH230" s="482"/>
      <c r="EI230" s="482"/>
      <c r="EJ230" s="482"/>
      <c r="EK230" s="482"/>
      <c r="EL230" s="482"/>
      <c r="EM230" s="482"/>
      <c r="EN230" s="482"/>
      <c r="EO230" s="482"/>
      <c r="EP230" s="482"/>
      <c r="EQ230" s="482"/>
      <c r="ER230" s="482"/>
      <c r="ES230" s="482"/>
      <c r="ET230" s="482"/>
      <c r="EU230" s="482"/>
      <c r="EV230" s="482"/>
      <c r="EW230" s="482"/>
      <c r="EX230" s="482"/>
      <c r="EY230" s="482"/>
      <c r="EZ230" s="482"/>
      <c r="FA230" s="377"/>
      <c r="FB230" s="378">
        <v>20</v>
      </c>
      <c r="FC230" s="378"/>
      <c r="FD230" s="379">
        <f t="shared" si="489"/>
        <v>0</v>
      </c>
      <c r="FE230" s="790"/>
    </row>
    <row r="231" spans="2:164" ht="26.1" customHeight="1" outlineLevel="1" thickBot="1" x14ac:dyDescent="0.3">
      <c r="B231" s="1018"/>
      <c r="C231" s="1020"/>
      <c r="D231" s="1058"/>
      <c r="E231" s="1064"/>
      <c r="F231" s="845" t="s">
        <v>117</v>
      </c>
      <c r="G231" s="811" t="str">
        <f>VLOOKUP(H231,инфо!AD:AE,2,FALSE)</f>
        <v>Прочее</v>
      </c>
      <c r="H231" s="587" t="s">
        <v>1197</v>
      </c>
      <c r="I231" s="606" t="s">
        <v>141</v>
      </c>
      <c r="J231" s="506"/>
      <c r="K231" s="507"/>
      <c r="L231" s="507"/>
      <c r="M231" s="507"/>
      <c r="N231" s="507"/>
      <c r="O231" s="507"/>
      <c r="P231" s="507"/>
      <c r="Q231" s="507"/>
      <c r="R231" s="507"/>
      <c r="S231" s="507"/>
      <c r="T231" s="507"/>
      <c r="U231" s="507"/>
      <c r="V231" s="507"/>
      <c r="W231" s="508"/>
      <c r="X231" s="508"/>
      <c r="Y231" s="508"/>
      <c r="Z231" s="508"/>
      <c r="AA231" s="508"/>
      <c r="AB231" s="508"/>
      <c r="AC231" s="508"/>
      <c r="AD231" s="508"/>
      <c r="AE231" s="508"/>
      <c r="AF231" s="508"/>
      <c r="AG231" s="508"/>
      <c r="AH231" s="508"/>
      <c r="AI231" s="508"/>
      <c r="AJ231" s="508"/>
      <c r="AK231" s="508"/>
      <c r="AL231" s="508"/>
      <c r="AM231" s="508"/>
      <c r="AN231" s="508"/>
      <c r="AO231" s="508"/>
      <c r="AP231" s="508"/>
      <c r="AQ231" s="508"/>
      <c r="AR231" s="508"/>
      <c r="AS231" s="508"/>
      <c r="AT231" s="508"/>
      <c r="AU231" s="508">
        <v>20</v>
      </c>
      <c r="AV231" s="508"/>
      <c r="AW231" s="508"/>
      <c r="AX231" s="508"/>
      <c r="AY231" s="508"/>
      <c r="AZ231" s="508"/>
      <c r="BA231" s="508"/>
      <c r="BB231" s="508"/>
      <c r="BC231" s="508"/>
      <c r="BD231" s="508"/>
      <c r="BE231" s="509"/>
      <c r="BF231" s="509"/>
      <c r="BG231" s="509"/>
      <c r="BH231" s="509"/>
      <c r="BI231" s="509"/>
      <c r="BJ231" s="509"/>
      <c r="BK231" s="509"/>
      <c r="BL231" s="509"/>
      <c r="BM231" s="509"/>
      <c r="BN231" s="510"/>
      <c r="BO231" s="510"/>
      <c r="BP231" s="510"/>
      <c r="BQ231" s="510"/>
      <c r="BR231" s="510"/>
      <c r="BS231" s="510"/>
      <c r="BT231" s="510"/>
      <c r="BU231" s="510"/>
      <c r="BV231" s="507"/>
      <c r="BW231" s="507"/>
      <c r="BX231" s="507"/>
      <c r="BY231" s="507"/>
      <c r="BZ231" s="507"/>
      <c r="CA231" s="507"/>
      <c r="CB231" s="507"/>
      <c r="CC231" s="511"/>
      <c r="CD231" s="511"/>
      <c r="CE231" s="511"/>
      <c r="CF231" s="511"/>
      <c r="CG231" s="511"/>
      <c r="CH231" s="511"/>
      <c r="CI231" s="511"/>
      <c r="CJ231" s="511"/>
      <c r="CK231" s="511"/>
      <c r="CL231" s="511"/>
      <c r="CM231" s="511"/>
      <c r="CN231" s="511"/>
      <c r="CO231" s="511"/>
      <c r="CP231" s="511"/>
      <c r="CQ231" s="511"/>
      <c r="CR231" s="511"/>
      <c r="CS231" s="512"/>
      <c r="CT231" s="512"/>
      <c r="CU231" s="512"/>
      <c r="CV231" s="512"/>
      <c r="CW231" s="512"/>
      <c r="CX231" s="512"/>
      <c r="CY231" s="512"/>
      <c r="CZ231" s="512"/>
      <c r="DA231" s="512"/>
      <c r="DB231" s="512"/>
      <c r="DC231" s="512"/>
      <c r="DD231" s="512"/>
      <c r="DE231" s="512"/>
      <c r="DF231" s="512"/>
      <c r="DG231" s="512"/>
      <c r="DH231" s="512"/>
      <c r="DI231" s="512"/>
      <c r="DJ231" s="512"/>
      <c r="DK231" s="512"/>
      <c r="DL231" s="512"/>
      <c r="DM231" s="512"/>
      <c r="DN231" s="946"/>
      <c r="DO231" s="513"/>
      <c r="DP231" s="513"/>
      <c r="DQ231" s="514"/>
      <c r="DR231" s="514"/>
      <c r="DS231" s="509"/>
      <c r="DT231" s="509"/>
      <c r="DU231" s="509"/>
      <c r="DV231" s="509"/>
      <c r="DW231" s="509"/>
      <c r="DX231" s="509"/>
      <c r="DY231" s="509"/>
      <c r="DZ231" s="509"/>
      <c r="EA231" s="509"/>
      <c r="EB231" s="509"/>
      <c r="EC231" s="509"/>
      <c r="ED231" s="509"/>
      <c r="EE231" s="509"/>
      <c r="EF231" s="509"/>
      <c r="EG231" s="509"/>
      <c r="EH231" s="509"/>
      <c r="EI231" s="509"/>
      <c r="EJ231" s="509"/>
      <c r="EK231" s="509"/>
      <c r="EL231" s="509"/>
      <c r="EM231" s="509"/>
      <c r="EN231" s="509"/>
      <c r="EO231" s="509"/>
      <c r="EP231" s="509"/>
      <c r="EQ231" s="509"/>
      <c r="ER231" s="509"/>
      <c r="ES231" s="509"/>
      <c r="ET231" s="509"/>
      <c r="EU231" s="509"/>
      <c r="EV231" s="509"/>
      <c r="EW231" s="509"/>
      <c r="EX231" s="509"/>
      <c r="EY231" s="509"/>
      <c r="EZ231" s="509"/>
      <c r="FA231" s="402"/>
      <c r="FB231" s="403">
        <v>20</v>
      </c>
      <c r="FC231" s="403"/>
      <c r="FD231" s="404">
        <f t="shared" si="489"/>
        <v>0</v>
      </c>
      <c r="FE231" s="790"/>
    </row>
    <row r="232" spans="2:164" ht="26.1" customHeight="1" outlineLevel="1" thickBot="1" x14ac:dyDescent="0.3">
      <c r="B232" s="1018"/>
      <c r="C232" s="1020"/>
      <c r="D232" s="1058"/>
      <c r="E232" s="1063" t="s">
        <v>116</v>
      </c>
      <c r="F232" s="846" t="s">
        <v>117</v>
      </c>
      <c r="G232" s="812" t="str">
        <f>VLOOKUP(H232,инфо!AD:AE,2,FALSE)</f>
        <v>Прочее</v>
      </c>
      <c r="H232" s="583" t="s">
        <v>1197</v>
      </c>
      <c r="I232" s="588" t="s">
        <v>50</v>
      </c>
      <c r="J232" s="470"/>
      <c r="K232" s="471"/>
      <c r="L232" s="471"/>
      <c r="M232" s="471"/>
      <c r="N232" s="471"/>
      <c r="O232" s="471"/>
      <c r="P232" s="471"/>
      <c r="Q232" s="471"/>
      <c r="R232" s="471"/>
      <c r="S232" s="471"/>
      <c r="T232" s="471"/>
      <c r="U232" s="471"/>
      <c r="V232" s="471"/>
      <c r="W232" s="472"/>
      <c r="X232" s="472"/>
      <c r="Y232" s="472"/>
      <c r="Z232" s="472">
        <v>50</v>
      </c>
      <c r="AA232" s="472">
        <v>100</v>
      </c>
      <c r="AB232" s="472"/>
      <c r="AC232" s="472"/>
      <c r="AD232" s="472"/>
      <c r="AE232" s="472"/>
      <c r="AF232" s="472"/>
      <c r="AG232" s="472"/>
      <c r="AH232" s="472"/>
      <c r="AI232" s="472"/>
      <c r="AJ232" s="472"/>
      <c r="AK232" s="472"/>
      <c r="AL232" s="472"/>
      <c r="AM232" s="472"/>
      <c r="AN232" s="472"/>
      <c r="AO232" s="472"/>
      <c r="AP232" s="472"/>
      <c r="AQ232" s="472"/>
      <c r="AR232" s="472"/>
      <c r="AS232" s="472"/>
      <c r="AT232" s="472"/>
      <c r="AU232" s="472"/>
      <c r="AV232" s="472"/>
      <c r="AW232" s="472"/>
      <c r="AX232" s="472"/>
      <c r="AY232" s="472"/>
      <c r="AZ232" s="472"/>
      <c r="BA232" s="472"/>
      <c r="BB232" s="472"/>
      <c r="BC232" s="472"/>
      <c r="BD232" s="472"/>
      <c r="BE232" s="473"/>
      <c r="BF232" s="473"/>
      <c r="BG232" s="473"/>
      <c r="BH232" s="473"/>
      <c r="BI232" s="473"/>
      <c r="BJ232" s="473"/>
      <c r="BK232" s="473"/>
      <c r="BL232" s="473"/>
      <c r="BM232" s="473"/>
      <c r="BN232" s="474"/>
      <c r="BO232" s="474"/>
      <c r="BP232" s="474"/>
      <c r="BQ232" s="474"/>
      <c r="BR232" s="474"/>
      <c r="BS232" s="474"/>
      <c r="BT232" s="474"/>
      <c r="BU232" s="474"/>
      <c r="BV232" s="471"/>
      <c r="BW232" s="471"/>
      <c r="BX232" s="471"/>
      <c r="BY232" s="471"/>
      <c r="BZ232" s="471"/>
      <c r="CA232" s="471"/>
      <c r="CB232" s="471"/>
      <c r="CC232" s="475"/>
      <c r="CD232" s="475"/>
      <c r="CE232" s="475"/>
      <c r="CF232" s="475"/>
      <c r="CG232" s="475"/>
      <c r="CH232" s="475"/>
      <c r="CI232" s="475"/>
      <c r="CJ232" s="475"/>
      <c r="CK232" s="475"/>
      <c r="CL232" s="475"/>
      <c r="CM232" s="475"/>
      <c r="CN232" s="475"/>
      <c r="CO232" s="475"/>
      <c r="CP232" s="475"/>
      <c r="CQ232" s="475"/>
      <c r="CR232" s="475"/>
      <c r="CS232" s="476"/>
      <c r="CT232" s="476"/>
      <c r="CU232" s="476"/>
      <c r="CV232" s="476"/>
      <c r="CW232" s="476"/>
      <c r="CX232" s="476"/>
      <c r="CY232" s="476"/>
      <c r="CZ232" s="476"/>
      <c r="DA232" s="476"/>
      <c r="DB232" s="476"/>
      <c r="DC232" s="476"/>
      <c r="DD232" s="476"/>
      <c r="DE232" s="476"/>
      <c r="DF232" s="476"/>
      <c r="DG232" s="476"/>
      <c r="DH232" s="476"/>
      <c r="DI232" s="476"/>
      <c r="DJ232" s="476"/>
      <c r="DK232" s="476"/>
      <c r="DL232" s="476"/>
      <c r="DM232" s="476"/>
      <c r="DN232" s="942"/>
      <c r="DO232" s="477"/>
      <c r="DP232" s="477"/>
      <c r="DQ232" s="478"/>
      <c r="DR232" s="478"/>
      <c r="DS232" s="473"/>
      <c r="DT232" s="473"/>
      <c r="DU232" s="473"/>
      <c r="DV232" s="473"/>
      <c r="DW232" s="473"/>
      <c r="DX232" s="473"/>
      <c r="DY232" s="473"/>
      <c r="DZ232" s="473"/>
      <c r="EA232" s="473"/>
      <c r="EB232" s="473"/>
      <c r="EC232" s="473"/>
      <c r="ED232" s="473"/>
      <c r="EE232" s="473"/>
      <c r="EF232" s="473"/>
      <c r="EG232" s="473"/>
      <c r="EH232" s="473"/>
      <c r="EI232" s="473"/>
      <c r="EJ232" s="473"/>
      <c r="EK232" s="473"/>
      <c r="EL232" s="473"/>
      <c r="EM232" s="473"/>
      <c r="EN232" s="473"/>
      <c r="EO232" s="473"/>
      <c r="EP232" s="473"/>
      <c r="EQ232" s="473"/>
      <c r="ER232" s="473"/>
      <c r="ES232" s="473"/>
      <c r="ET232" s="473"/>
      <c r="EU232" s="473"/>
      <c r="EV232" s="473"/>
      <c r="EW232" s="473"/>
      <c r="EX232" s="473"/>
      <c r="EY232" s="473"/>
      <c r="EZ232" s="473"/>
      <c r="FA232" s="415"/>
      <c r="FB232" s="416">
        <v>150</v>
      </c>
      <c r="FC232" s="416"/>
      <c r="FD232" s="417">
        <f t="shared" si="489"/>
        <v>0</v>
      </c>
      <c r="FE232" s="790"/>
    </row>
    <row r="233" spans="2:164" ht="26.1" customHeight="1" outlineLevel="1" thickBot="1" x14ac:dyDescent="0.3">
      <c r="B233" s="1018"/>
      <c r="C233" s="1020"/>
      <c r="D233" s="1058"/>
      <c r="E233" s="1064"/>
      <c r="F233" s="843" t="s">
        <v>117</v>
      </c>
      <c r="G233" s="809" t="str">
        <f>VLOOKUP(H233,инфо!AD:AE,2,FALSE)</f>
        <v>Напитки</v>
      </c>
      <c r="H233" s="584" t="s">
        <v>1195</v>
      </c>
      <c r="I233" s="589" t="s">
        <v>75</v>
      </c>
      <c r="J233" s="479"/>
      <c r="K233" s="480"/>
      <c r="L233" s="480"/>
      <c r="M233" s="480"/>
      <c r="N233" s="480"/>
      <c r="O233" s="480"/>
      <c r="P233" s="480"/>
      <c r="Q233" s="480"/>
      <c r="R233" s="480"/>
      <c r="S233" s="480"/>
      <c r="T233" s="480"/>
      <c r="U233" s="480"/>
      <c r="V233" s="480"/>
      <c r="W233" s="481"/>
      <c r="X233" s="481"/>
      <c r="Y233" s="481"/>
      <c r="Z233" s="481"/>
      <c r="AA233" s="481"/>
      <c r="AB233" s="481"/>
      <c r="AC233" s="481"/>
      <c r="AD233" s="481"/>
      <c r="AE233" s="481"/>
      <c r="AF233" s="481"/>
      <c r="AG233" s="481"/>
      <c r="AH233" s="481"/>
      <c r="AI233" s="481"/>
      <c r="AJ233" s="481"/>
      <c r="AK233" s="481"/>
      <c r="AL233" s="481"/>
      <c r="AM233" s="481"/>
      <c r="AN233" s="481"/>
      <c r="AO233" s="481"/>
      <c r="AP233" s="481"/>
      <c r="AQ233" s="481"/>
      <c r="AR233" s="481"/>
      <c r="AS233" s="481"/>
      <c r="AT233" s="481"/>
      <c r="AU233" s="481"/>
      <c r="AV233" s="481"/>
      <c r="AW233" s="481"/>
      <c r="AX233" s="481"/>
      <c r="AY233" s="481"/>
      <c r="AZ233" s="481"/>
      <c r="BA233" s="481"/>
      <c r="BB233" s="481"/>
      <c r="BC233" s="481"/>
      <c r="BD233" s="481"/>
      <c r="BE233" s="482"/>
      <c r="BF233" s="482"/>
      <c r="BG233" s="482"/>
      <c r="BH233" s="482"/>
      <c r="BI233" s="482"/>
      <c r="BJ233" s="482"/>
      <c r="BK233" s="482"/>
      <c r="BL233" s="482"/>
      <c r="BM233" s="482"/>
      <c r="BN233" s="483"/>
      <c r="BO233" s="483"/>
      <c r="BP233" s="483"/>
      <c r="BQ233" s="483"/>
      <c r="BR233" s="483"/>
      <c r="BS233" s="483"/>
      <c r="BT233" s="483"/>
      <c r="BU233" s="483"/>
      <c r="BV233" s="480"/>
      <c r="BW233" s="480"/>
      <c r="BX233" s="480"/>
      <c r="BY233" s="480"/>
      <c r="BZ233" s="480"/>
      <c r="CA233" s="480"/>
      <c r="CB233" s="480"/>
      <c r="CC233" s="484"/>
      <c r="CD233" s="484"/>
      <c r="CE233" s="484"/>
      <c r="CF233" s="484"/>
      <c r="CG233" s="484"/>
      <c r="CH233" s="484"/>
      <c r="CI233" s="484"/>
      <c r="CJ233" s="484"/>
      <c r="CK233" s="484"/>
      <c r="CL233" s="484"/>
      <c r="CM233" s="484"/>
      <c r="CN233" s="484"/>
      <c r="CO233" s="484"/>
      <c r="CP233" s="484"/>
      <c r="CQ233" s="484"/>
      <c r="CR233" s="484"/>
      <c r="CS233" s="485"/>
      <c r="CT233" s="485"/>
      <c r="CU233" s="485"/>
      <c r="CV233" s="485"/>
      <c r="CW233" s="485"/>
      <c r="CX233" s="485"/>
      <c r="CY233" s="485"/>
      <c r="CZ233" s="485"/>
      <c r="DA233" s="485"/>
      <c r="DB233" s="485"/>
      <c r="DC233" s="485"/>
      <c r="DD233" s="485"/>
      <c r="DE233" s="485"/>
      <c r="DF233" s="485"/>
      <c r="DG233" s="485"/>
      <c r="DH233" s="485"/>
      <c r="DI233" s="485"/>
      <c r="DJ233" s="485"/>
      <c r="DK233" s="485"/>
      <c r="DL233" s="485"/>
      <c r="DM233" s="485"/>
      <c r="DN233" s="943"/>
      <c r="DO233" s="486"/>
      <c r="DP233" s="486"/>
      <c r="DQ233" s="487"/>
      <c r="DR233" s="487"/>
      <c r="DS233" s="482"/>
      <c r="DT233" s="482"/>
      <c r="DU233" s="482"/>
      <c r="DV233" s="482"/>
      <c r="DW233" s="482"/>
      <c r="DX233" s="482"/>
      <c r="DY233" s="482"/>
      <c r="DZ233" s="482"/>
      <c r="EA233" s="482"/>
      <c r="EB233" s="482"/>
      <c r="EC233" s="482">
        <v>200</v>
      </c>
      <c r="ED233" s="482"/>
      <c r="EE233" s="482"/>
      <c r="EF233" s="482"/>
      <c r="EG233" s="482"/>
      <c r="EH233" s="482"/>
      <c r="EI233" s="482"/>
      <c r="EJ233" s="482"/>
      <c r="EK233" s="482"/>
      <c r="EL233" s="482"/>
      <c r="EM233" s="482"/>
      <c r="EN233" s="482"/>
      <c r="EO233" s="482"/>
      <c r="EP233" s="482"/>
      <c r="EQ233" s="482"/>
      <c r="ER233" s="482"/>
      <c r="ES233" s="482"/>
      <c r="ET233" s="482"/>
      <c r="EU233" s="482"/>
      <c r="EV233" s="482"/>
      <c r="EW233" s="482"/>
      <c r="EX233" s="482"/>
      <c r="EY233" s="482"/>
      <c r="EZ233" s="482"/>
      <c r="FA233" s="377"/>
      <c r="FB233" s="378">
        <v>200</v>
      </c>
      <c r="FC233" s="378"/>
      <c r="FD233" s="379">
        <f t="shared" si="489"/>
        <v>0</v>
      </c>
      <c r="FE233" s="790"/>
    </row>
    <row r="234" spans="2:164" ht="26.1" customHeight="1" outlineLevel="1" thickBot="1" x14ac:dyDescent="0.3">
      <c r="B234" s="1018"/>
      <c r="C234" s="1020"/>
      <c r="D234" s="1058"/>
      <c r="E234" s="1064"/>
      <c r="F234" s="843" t="s">
        <v>117</v>
      </c>
      <c r="G234" s="809" t="str">
        <f>VLOOKUP(H234,инфо!AD:AE,2,FALSE)</f>
        <v>Прочее</v>
      </c>
      <c r="H234" s="584" t="s">
        <v>1197</v>
      </c>
      <c r="I234" s="589" t="s">
        <v>60</v>
      </c>
      <c r="J234" s="479"/>
      <c r="K234" s="480"/>
      <c r="L234" s="480"/>
      <c r="M234" s="480"/>
      <c r="N234" s="480"/>
      <c r="O234" s="480"/>
      <c r="P234" s="480"/>
      <c r="Q234" s="480"/>
      <c r="R234" s="480"/>
      <c r="S234" s="480"/>
      <c r="T234" s="480"/>
      <c r="U234" s="480"/>
      <c r="V234" s="480"/>
      <c r="W234" s="481"/>
      <c r="X234" s="481"/>
      <c r="Y234" s="481"/>
      <c r="Z234" s="481"/>
      <c r="AA234" s="481"/>
      <c r="AB234" s="481"/>
      <c r="AC234" s="481"/>
      <c r="AD234" s="481"/>
      <c r="AE234" s="481"/>
      <c r="AF234" s="481"/>
      <c r="AG234" s="481"/>
      <c r="AH234" s="481"/>
      <c r="AI234" s="481"/>
      <c r="AJ234" s="481"/>
      <c r="AK234" s="481"/>
      <c r="AL234" s="481"/>
      <c r="AM234" s="481"/>
      <c r="AN234" s="481"/>
      <c r="AO234" s="481"/>
      <c r="AP234" s="481"/>
      <c r="AQ234" s="481"/>
      <c r="AR234" s="481"/>
      <c r="AS234" s="481"/>
      <c r="AT234" s="481"/>
      <c r="AU234" s="481"/>
      <c r="AV234" s="481"/>
      <c r="AW234" s="481"/>
      <c r="AX234" s="481"/>
      <c r="AY234" s="481"/>
      <c r="AZ234" s="481"/>
      <c r="BA234" s="481"/>
      <c r="BB234" s="481"/>
      <c r="BC234" s="481"/>
      <c r="BD234" s="481"/>
      <c r="BE234" s="482"/>
      <c r="BF234" s="482"/>
      <c r="BG234" s="482"/>
      <c r="BH234" s="482"/>
      <c r="BI234" s="482"/>
      <c r="BJ234" s="482"/>
      <c r="BK234" s="482"/>
      <c r="BL234" s="482"/>
      <c r="BM234" s="482"/>
      <c r="BN234" s="483">
        <v>15</v>
      </c>
      <c r="BO234" s="483"/>
      <c r="BP234" s="483"/>
      <c r="BQ234" s="483"/>
      <c r="BR234" s="483"/>
      <c r="BS234" s="483"/>
      <c r="BT234" s="483"/>
      <c r="BU234" s="483"/>
      <c r="BV234" s="480"/>
      <c r="BW234" s="480"/>
      <c r="BX234" s="480"/>
      <c r="BY234" s="480"/>
      <c r="BZ234" s="480"/>
      <c r="CA234" s="480"/>
      <c r="CB234" s="480"/>
      <c r="CC234" s="484"/>
      <c r="CD234" s="484"/>
      <c r="CE234" s="484"/>
      <c r="CF234" s="484"/>
      <c r="CG234" s="484"/>
      <c r="CH234" s="484"/>
      <c r="CI234" s="484"/>
      <c r="CJ234" s="484"/>
      <c r="CK234" s="484"/>
      <c r="CL234" s="484"/>
      <c r="CM234" s="484"/>
      <c r="CN234" s="484"/>
      <c r="CO234" s="484"/>
      <c r="CP234" s="484"/>
      <c r="CQ234" s="484"/>
      <c r="CR234" s="484"/>
      <c r="CS234" s="485"/>
      <c r="CT234" s="485"/>
      <c r="CU234" s="485"/>
      <c r="CV234" s="485"/>
      <c r="CW234" s="485"/>
      <c r="CX234" s="485"/>
      <c r="CY234" s="485"/>
      <c r="CZ234" s="485"/>
      <c r="DA234" s="485"/>
      <c r="DB234" s="485"/>
      <c r="DC234" s="485"/>
      <c r="DD234" s="485"/>
      <c r="DE234" s="485"/>
      <c r="DF234" s="485"/>
      <c r="DG234" s="485"/>
      <c r="DH234" s="485"/>
      <c r="DI234" s="485"/>
      <c r="DJ234" s="485"/>
      <c r="DK234" s="485"/>
      <c r="DL234" s="485"/>
      <c r="DM234" s="485"/>
      <c r="DN234" s="943"/>
      <c r="DO234" s="486"/>
      <c r="DP234" s="486"/>
      <c r="DQ234" s="487"/>
      <c r="DR234" s="487"/>
      <c r="DS234" s="482"/>
      <c r="DT234" s="482"/>
      <c r="DU234" s="482"/>
      <c r="DV234" s="482"/>
      <c r="DW234" s="482"/>
      <c r="DX234" s="482"/>
      <c r="DY234" s="482"/>
      <c r="DZ234" s="482"/>
      <c r="EA234" s="482"/>
      <c r="EB234" s="482"/>
      <c r="EC234" s="482"/>
      <c r="ED234" s="482"/>
      <c r="EE234" s="482"/>
      <c r="EF234" s="482"/>
      <c r="EG234" s="482"/>
      <c r="EH234" s="482"/>
      <c r="EI234" s="482"/>
      <c r="EJ234" s="482"/>
      <c r="EK234" s="482"/>
      <c r="EL234" s="482"/>
      <c r="EM234" s="482"/>
      <c r="EN234" s="482"/>
      <c r="EO234" s="482"/>
      <c r="EP234" s="482"/>
      <c r="EQ234" s="482"/>
      <c r="ER234" s="482"/>
      <c r="ES234" s="482"/>
      <c r="ET234" s="482"/>
      <c r="EU234" s="482"/>
      <c r="EV234" s="482"/>
      <c r="EW234" s="482"/>
      <c r="EX234" s="482"/>
      <c r="EY234" s="482"/>
      <c r="EZ234" s="482"/>
      <c r="FA234" s="377"/>
      <c r="FB234" s="378">
        <v>15</v>
      </c>
      <c r="FC234" s="378"/>
      <c r="FD234" s="379">
        <f t="shared" si="489"/>
        <v>0</v>
      </c>
      <c r="FE234" s="790"/>
    </row>
    <row r="235" spans="2:164" ht="26.1" customHeight="1" outlineLevel="1" thickBot="1" x14ac:dyDescent="0.3">
      <c r="B235" s="1018"/>
      <c r="C235" s="1020"/>
      <c r="D235" s="1059"/>
      <c r="E235" s="1065"/>
      <c r="F235" s="845" t="s">
        <v>117</v>
      </c>
      <c r="G235" s="811" t="str">
        <f>VLOOKUP(H235,инфо!AD:AE,2,FALSE)</f>
        <v>Прочее</v>
      </c>
      <c r="H235" s="585" t="s">
        <v>1197</v>
      </c>
      <c r="I235" s="593"/>
      <c r="J235" s="488"/>
      <c r="K235" s="489"/>
      <c r="L235" s="489"/>
      <c r="M235" s="489"/>
      <c r="N235" s="489"/>
      <c r="O235" s="489"/>
      <c r="P235" s="489"/>
      <c r="Q235" s="489"/>
      <c r="R235" s="489"/>
      <c r="S235" s="489"/>
      <c r="T235" s="489"/>
      <c r="U235" s="489"/>
      <c r="V235" s="489"/>
      <c r="W235" s="490"/>
      <c r="X235" s="490"/>
      <c r="Y235" s="490"/>
      <c r="Z235" s="490"/>
      <c r="AA235" s="490"/>
      <c r="AB235" s="490"/>
      <c r="AC235" s="490"/>
      <c r="AD235" s="490"/>
      <c r="AE235" s="490"/>
      <c r="AF235" s="490"/>
      <c r="AG235" s="490"/>
      <c r="AH235" s="490"/>
      <c r="AI235" s="490"/>
      <c r="AJ235" s="490"/>
      <c r="AK235" s="490"/>
      <c r="AL235" s="490"/>
      <c r="AM235" s="490"/>
      <c r="AN235" s="490"/>
      <c r="AO235" s="490"/>
      <c r="AP235" s="490"/>
      <c r="AQ235" s="490"/>
      <c r="AR235" s="490"/>
      <c r="AS235" s="490"/>
      <c r="AT235" s="490"/>
      <c r="AU235" s="490"/>
      <c r="AV235" s="490"/>
      <c r="AW235" s="490"/>
      <c r="AX235" s="490"/>
      <c r="AY235" s="490"/>
      <c r="AZ235" s="490"/>
      <c r="BA235" s="490"/>
      <c r="BB235" s="490"/>
      <c r="BC235" s="490"/>
      <c r="BD235" s="490"/>
      <c r="BE235" s="491"/>
      <c r="BF235" s="491"/>
      <c r="BG235" s="491"/>
      <c r="BH235" s="491"/>
      <c r="BI235" s="491"/>
      <c r="BJ235" s="491"/>
      <c r="BK235" s="491"/>
      <c r="BL235" s="491"/>
      <c r="BM235" s="491"/>
      <c r="BN235" s="492"/>
      <c r="BO235" s="492"/>
      <c r="BP235" s="492"/>
      <c r="BQ235" s="492"/>
      <c r="BR235" s="492"/>
      <c r="BS235" s="492"/>
      <c r="BT235" s="492"/>
      <c r="BU235" s="492"/>
      <c r="BV235" s="489"/>
      <c r="BW235" s="489"/>
      <c r="BX235" s="489"/>
      <c r="BY235" s="489"/>
      <c r="BZ235" s="489"/>
      <c r="CA235" s="489"/>
      <c r="CB235" s="489"/>
      <c r="CC235" s="493"/>
      <c r="CD235" s="493"/>
      <c r="CE235" s="493"/>
      <c r="CF235" s="493"/>
      <c r="CG235" s="493"/>
      <c r="CH235" s="493"/>
      <c r="CI235" s="493"/>
      <c r="CJ235" s="493"/>
      <c r="CK235" s="493"/>
      <c r="CL235" s="493"/>
      <c r="CM235" s="493"/>
      <c r="CN235" s="493"/>
      <c r="CO235" s="493"/>
      <c r="CP235" s="493"/>
      <c r="CQ235" s="493"/>
      <c r="CR235" s="493"/>
      <c r="CS235" s="494"/>
      <c r="CT235" s="494"/>
      <c r="CU235" s="494"/>
      <c r="CV235" s="494"/>
      <c r="CW235" s="494"/>
      <c r="CX235" s="494"/>
      <c r="CY235" s="494"/>
      <c r="CZ235" s="494"/>
      <c r="DA235" s="494"/>
      <c r="DB235" s="494"/>
      <c r="DC235" s="494"/>
      <c r="DD235" s="494"/>
      <c r="DE235" s="494"/>
      <c r="DF235" s="494"/>
      <c r="DG235" s="494"/>
      <c r="DH235" s="494"/>
      <c r="DI235" s="494"/>
      <c r="DJ235" s="494"/>
      <c r="DK235" s="494"/>
      <c r="DL235" s="494"/>
      <c r="DM235" s="494"/>
      <c r="DN235" s="944"/>
      <c r="DO235" s="495"/>
      <c r="DP235" s="495"/>
      <c r="DQ235" s="496"/>
      <c r="DR235" s="496"/>
      <c r="DS235" s="491"/>
      <c r="DT235" s="491"/>
      <c r="DU235" s="491"/>
      <c r="DV235" s="491"/>
      <c r="DW235" s="491"/>
      <c r="DX235" s="491"/>
      <c r="DY235" s="491"/>
      <c r="DZ235" s="491"/>
      <c r="EA235" s="491"/>
      <c r="EB235" s="491"/>
      <c r="EC235" s="491"/>
      <c r="ED235" s="491"/>
      <c r="EE235" s="491"/>
      <c r="EF235" s="491"/>
      <c r="EG235" s="491"/>
      <c r="EH235" s="491"/>
      <c r="EI235" s="491"/>
      <c r="EJ235" s="491"/>
      <c r="EK235" s="491"/>
      <c r="EL235" s="491"/>
      <c r="EM235" s="491"/>
      <c r="EN235" s="491"/>
      <c r="EO235" s="491"/>
      <c r="EP235" s="491"/>
      <c r="EQ235" s="491"/>
      <c r="ER235" s="491"/>
      <c r="ES235" s="491"/>
      <c r="ET235" s="491"/>
      <c r="EU235" s="491"/>
      <c r="EV235" s="491"/>
      <c r="EW235" s="491"/>
      <c r="EX235" s="491"/>
      <c r="EY235" s="491"/>
      <c r="EZ235" s="491"/>
      <c r="FA235" s="377"/>
      <c r="FB235" s="378"/>
      <c r="FC235" s="378"/>
      <c r="FD235" s="379">
        <f t="shared" si="489"/>
        <v>0</v>
      </c>
      <c r="FE235" s="790"/>
    </row>
    <row r="236" spans="2:164" s="154" customFormat="1" ht="16.5" customHeight="1" outlineLevel="1" thickBot="1" x14ac:dyDescent="0.4">
      <c r="B236" s="1018"/>
      <c r="C236" s="1020"/>
      <c r="D236" s="145"/>
      <c r="E236" s="317" t="s">
        <v>174</v>
      </c>
      <c r="F236" s="836"/>
      <c r="G236" s="818"/>
      <c r="H236" s="576"/>
      <c r="I236" s="594"/>
      <c r="J236" s="305">
        <f>SUM(J224:J235)</f>
        <v>0</v>
      </c>
      <c r="K236" s="146">
        <f t="shared" ref="K236:CU236" si="490">SUM(K224:K235)</f>
        <v>0</v>
      </c>
      <c r="L236" s="146">
        <f t="shared" si="490"/>
        <v>0</v>
      </c>
      <c r="M236" s="146">
        <f t="shared" si="490"/>
        <v>0</v>
      </c>
      <c r="N236" s="146">
        <f t="shared" si="490"/>
        <v>0</v>
      </c>
      <c r="O236" s="146">
        <f t="shared" si="490"/>
        <v>0</v>
      </c>
      <c r="P236" s="146">
        <f t="shared" si="490"/>
        <v>0</v>
      </c>
      <c r="Q236" s="146">
        <f t="shared" si="490"/>
        <v>20</v>
      </c>
      <c r="R236" s="146">
        <f t="shared" si="490"/>
        <v>0</v>
      </c>
      <c r="S236" s="146">
        <f t="shared" si="490"/>
        <v>0</v>
      </c>
      <c r="T236" s="146">
        <f t="shared" si="490"/>
        <v>0</v>
      </c>
      <c r="U236" s="146">
        <f t="shared" si="490"/>
        <v>0</v>
      </c>
      <c r="V236" s="146">
        <f t="shared" si="490"/>
        <v>83</v>
      </c>
      <c r="W236" s="147">
        <f t="shared" si="490"/>
        <v>0</v>
      </c>
      <c r="X236" s="147">
        <f t="shared" si="490"/>
        <v>7.72</v>
      </c>
      <c r="Y236" s="147">
        <f t="shared" si="490"/>
        <v>0</v>
      </c>
      <c r="Z236" s="147">
        <f t="shared" si="490"/>
        <v>50</v>
      </c>
      <c r="AA236" s="147">
        <f t="shared" si="490"/>
        <v>100</v>
      </c>
      <c r="AB236" s="147">
        <f t="shared" si="490"/>
        <v>0</v>
      </c>
      <c r="AC236" s="147">
        <f t="shared" si="490"/>
        <v>0</v>
      </c>
      <c r="AD236" s="147">
        <f t="shared" si="490"/>
        <v>125</v>
      </c>
      <c r="AE236" s="147">
        <f t="shared" si="490"/>
        <v>0</v>
      </c>
      <c r="AF236" s="147">
        <f t="shared" si="490"/>
        <v>13.6</v>
      </c>
      <c r="AG236" s="147">
        <f t="shared" si="490"/>
        <v>17.600000000000001</v>
      </c>
      <c r="AH236" s="147">
        <f t="shared" si="490"/>
        <v>0</v>
      </c>
      <c r="AI236" s="147">
        <f t="shared" si="490"/>
        <v>0</v>
      </c>
      <c r="AJ236" s="147">
        <f t="shared" si="490"/>
        <v>0</v>
      </c>
      <c r="AK236" s="147">
        <f t="shared" si="490"/>
        <v>0</v>
      </c>
      <c r="AL236" s="147">
        <f t="shared" si="490"/>
        <v>0</v>
      </c>
      <c r="AM236" s="147">
        <f t="shared" si="490"/>
        <v>0</v>
      </c>
      <c r="AN236" s="147">
        <f t="shared" si="490"/>
        <v>0</v>
      </c>
      <c r="AO236" s="147">
        <f t="shared" si="490"/>
        <v>5</v>
      </c>
      <c r="AP236" s="147">
        <f t="shared" si="490"/>
        <v>0</v>
      </c>
      <c r="AQ236" s="147">
        <f t="shared" si="490"/>
        <v>0</v>
      </c>
      <c r="AR236" s="147">
        <f t="shared" si="490"/>
        <v>0</v>
      </c>
      <c r="AS236" s="147">
        <f t="shared" si="490"/>
        <v>0</v>
      </c>
      <c r="AT236" s="147">
        <f t="shared" si="490"/>
        <v>0</v>
      </c>
      <c r="AU236" s="147">
        <f t="shared" si="490"/>
        <v>20</v>
      </c>
      <c r="AV236" s="147">
        <f t="shared" si="490"/>
        <v>0</v>
      </c>
      <c r="AW236" s="147">
        <f t="shared" si="490"/>
        <v>0</v>
      </c>
      <c r="AX236" s="147">
        <f t="shared" si="490"/>
        <v>0</v>
      </c>
      <c r="AY236" s="147">
        <f t="shared" si="490"/>
        <v>0</v>
      </c>
      <c r="AZ236" s="147">
        <f t="shared" si="490"/>
        <v>0</v>
      </c>
      <c r="BA236" s="147">
        <f t="shared" si="490"/>
        <v>0</v>
      </c>
      <c r="BB236" s="147">
        <f t="shared" si="490"/>
        <v>20</v>
      </c>
      <c r="BC236" s="147">
        <f t="shared" si="490"/>
        <v>0</v>
      </c>
      <c r="BD236" s="147">
        <f t="shared" si="490"/>
        <v>0</v>
      </c>
      <c r="BE236" s="148">
        <f t="shared" si="490"/>
        <v>0</v>
      </c>
      <c r="BF236" s="148">
        <f t="shared" si="490"/>
        <v>0</v>
      </c>
      <c r="BG236" s="148">
        <f t="shared" si="490"/>
        <v>0</v>
      </c>
      <c r="BH236" s="148">
        <f t="shared" si="490"/>
        <v>0</v>
      </c>
      <c r="BI236" s="148">
        <f t="shared" si="490"/>
        <v>0</v>
      </c>
      <c r="BJ236" s="148">
        <f t="shared" si="490"/>
        <v>0</v>
      </c>
      <c r="BK236" s="148">
        <f t="shared" si="490"/>
        <v>0</v>
      </c>
      <c r="BL236" s="148">
        <f t="shared" si="490"/>
        <v>0</v>
      </c>
      <c r="BM236" s="148">
        <f t="shared" si="490"/>
        <v>0</v>
      </c>
      <c r="BN236" s="149">
        <f t="shared" si="490"/>
        <v>15</v>
      </c>
      <c r="BO236" s="149">
        <f t="shared" si="490"/>
        <v>10.52</v>
      </c>
      <c r="BP236" s="149">
        <f t="shared" si="490"/>
        <v>0</v>
      </c>
      <c r="BQ236" s="149">
        <f t="shared" si="490"/>
        <v>0</v>
      </c>
      <c r="BR236" s="149">
        <f t="shared" si="490"/>
        <v>0</v>
      </c>
      <c r="BS236" s="149">
        <f t="shared" si="490"/>
        <v>0</v>
      </c>
      <c r="BT236" s="149">
        <f t="shared" si="490"/>
        <v>0</v>
      </c>
      <c r="BU236" s="149">
        <f t="shared" si="490"/>
        <v>0</v>
      </c>
      <c r="BV236" s="146">
        <f t="shared" si="490"/>
        <v>0</v>
      </c>
      <c r="BW236" s="146">
        <f t="shared" si="490"/>
        <v>0</v>
      </c>
      <c r="BX236" s="146">
        <f t="shared" si="490"/>
        <v>0</v>
      </c>
      <c r="BY236" s="146">
        <f t="shared" si="490"/>
        <v>0</v>
      </c>
      <c r="BZ236" s="146">
        <f t="shared" si="490"/>
        <v>0</v>
      </c>
      <c r="CA236" s="146">
        <f t="shared" si="490"/>
        <v>0</v>
      </c>
      <c r="CB236" s="146">
        <f t="shared" si="490"/>
        <v>0</v>
      </c>
      <c r="CC236" s="265">
        <f t="shared" si="490"/>
        <v>0</v>
      </c>
      <c r="CD236" s="265">
        <f t="shared" si="490"/>
        <v>0</v>
      </c>
      <c r="CE236" s="265">
        <f t="shared" si="490"/>
        <v>0</v>
      </c>
      <c r="CF236" s="265">
        <f t="shared" si="490"/>
        <v>0</v>
      </c>
      <c r="CG236" s="265">
        <f t="shared" si="490"/>
        <v>0</v>
      </c>
      <c r="CH236" s="265">
        <f t="shared" si="490"/>
        <v>0</v>
      </c>
      <c r="CI236" s="265">
        <f t="shared" si="490"/>
        <v>0</v>
      </c>
      <c r="CJ236" s="265">
        <f t="shared" si="490"/>
        <v>0</v>
      </c>
      <c r="CK236" s="265">
        <f t="shared" si="490"/>
        <v>0</v>
      </c>
      <c r="CL236" s="265">
        <f t="shared" si="490"/>
        <v>0</v>
      </c>
      <c r="CM236" s="265">
        <f t="shared" si="490"/>
        <v>0</v>
      </c>
      <c r="CN236" s="265">
        <f t="shared" si="490"/>
        <v>0</v>
      </c>
      <c r="CO236" s="265">
        <f t="shared" si="490"/>
        <v>0</v>
      </c>
      <c r="CP236" s="265">
        <f t="shared" si="490"/>
        <v>0</v>
      </c>
      <c r="CQ236" s="265">
        <f t="shared" si="490"/>
        <v>0</v>
      </c>
      <c r="CR236" s="265">
        <f t="shared" si="490"/>
        <v>0</v>
      </c>
      <c r="CS236" s="281">
        <f t="shared" si="490"/>
        <v>0</v>
      </c>
      <c r="CT236" s="281">
        <f t="shared" si="490"/>
        <v>0</v>
      </c>
      <c r="CU236" s="281">
        <f t="shared" si="490"/>
        <v>0</v>
      </c>
      <c r="CV236" s="281">
        <f t="shared" ref="CV236:FD236" si="491">SUM(CV224:CV235)</f>
        <v>0</v>
      </c>
      <c r="CW236" s="281">
        <f t="shared" si="491"/>
        <v>120</v>
      </c>
      <c r="CX236" s="281">
        <f t="shared" si="491"/>
        <v>0</v>
      </c>
      <c r="CY236" s="281">
        <f t="shared" si="491"/>
        <v>0</v>
      </c>
      <c r="CZ236" s="281">
        <f t="shared" si="491"/>
        <v>0</v>
      </c>
      <c r="DA236" s="281">
        <f t="shared" si="491"/>
        <v>0</v>
      </c>
      <c r="DB236" s="281">
        <f t="shared" si="491"/>
        <v>0</v>
      </c>
      <c r="DC236" s="281">
        <f t="shared" si="491"/>
        <v>0</v>
      </c>
      <c r="DD236" s="281">
        <f t="shared" si="491"/>
        <v>0</v>
      </c>
      <c r="DE236" s="281">
        <f t="shared" si="491"/>
        <v>0</v>
      </c>
      <c r="DF236" s="281">
        <f t="shared" si="491"/>
        <v>0</v>
      </c>
      <c r="DG236" s="281">
        <f t="shared" si="491"/>
        <v>0</v>
      </c>
      <c r="DH236" s="281">
        <f t="shared" si="491"/>
        <v>0</v>
      </c>
      <c r="DI236" s="281">
        <f t="shared" si="491"/>
        <v>0</v>
      </c>
      <c r="DJ236" s="281">
        <f t="shared" si="491"/>
        <v>0</v>
      </c>
      <c r="DK236" s="281">
        <f t="shared" si="491"/>
        <v>0</v>
      </c>
      <c r="DL236" s="281">
        <f t="shared" si="491"/>
        <v>0</v>
      </c>
      <c r="DM236" s="281">
        <f t="shared" si="491"/>
        <v>0</v>
      </c>
      <c r="DN236" s="936">
        <f t="shared" si="491"/>
        <v>0</v>
      </c>
      <c r="DO236" s="148">
        <f t="shared" si="491"/>
        <v>0</v>
      </c>
      <c r="DP236" s="148">
        <f t="shared" si="491"/>
        <v>9.18</v>
      </c>
      <c r="DQ236" s="148">
        <f t="shared" si="491"/>
        <v>2.76E-2</v>
      </c>
      <c r="DR236" s="148">
        <f t="shared" si="491"/>
        <v>7.9000000000000001E-2</v>
      </c>
      <c r="DS236" s="148">
        <f t="shared" si="491"/>
        <v>0.72</v>
      </c>
      <c r="DT236" s="148">
        <f t="shared" si="491"/>
        <v>0</v>
      </c>
      <c r="DU236" s="148">
        <f t="shared" si="491"/>
        <v>0</v>
      </c>
      <c r="DV236" s="148">
        <f t="shared" si="491"/>
        <v>0</v>
      </c>
      <c r="DW236" s="148">
        <f t="shared" si="491"/>
        <v>0.8</v>
      </c>
      <c r="DX236" s="148">
        <f t="shared" si="491"/>
        <v>0</v>
      </c>
      <c r="DY236" s="148">
        <f t="shared" si="491"/>
        <v>0</v>
      </c>
      <c r="DZ236" s="148">
        <f t="shared" si="491"/>
        <v>0</v>
      </c>
      <c r="EA236" s="148">
        <f t="shared" si="491"/>
        <v>182.60000000000002</v>
      </c>
      <c r="EB236" s="148">
        <f t="shared" si="491"/>
        <v>414.4</v>
      </c>
      <c r="EC236" s="148">
        <f t="shared" si="491"/>
        <v>200</v>
      </c>
      <c r="ED236" s="148">
        <f t="shared" si="491"/>
        <v>0</v>
      </c>
      <c r="EE236" s="148">
        <f t="shared" si="491"/>
        <v>0</v>
      </c>
      <c r="EF236" s="148">
        <f t="shared" si="491"/>
        <v>0</v>
      </c>
      <c r="EG236" s="148">
        <f t="shared" si="491"/>
        <v>0</v>
      </c>
      <c r="EH236" s="148">
        <f t="shared" si="491"/>
        <v>0</v>
      </c>
      <c r="EI236" s="148">
        <f t="shared" si="491"/>
        <v>0</v>
      </c>
      <c r="EJ236" s="148">
        <f t="shared" si="491"/>
        <v>0</v>
      </c>
      <c r="EK236" s="148">
        <f t="shared" si="491"/>
        <v>0</v>
      </c>
      <c r="EL236" s="148">
        <f t="shared" si="491"/>
        <v>0</v>
      </c>
      <c r="EM236" s="148">
        <f t="shared" si="491"/>
        <v>0</v>
      </c>
      <c r="EN236" s="148">
        <f t="shared" si="491"/>
        <v>0</v>
      </c>
      <c r="EO236" s="148">
        <f t="shared" si="491"/>
        <v>0</v>
      </c>
      <c r="EP236" s="148">
        <f t="shared" si="491"/>
        <v>0</v>
      </c>
      <c r="EQ236" s="148">
        <f t="shared" si="491"/>
        <v>0</v>
      </c>
      <c r="ER236" s="148">
        <f t="shared" si="491"/>
        <v>0</v>
      </c>
      <c r="ES236" s="148">
        <f t="shared" si="491"/>
        <v>0</v>
      </c>
      <c r="ET236" s="148">
        <f t="shared" si="491"/>
        <v>0</v>
      </c>
      <c r="EU236" s="148">
        <f t="shared" si="491"/>
        <v>0</v>
      </c>
      <c r="EV236" s="148">
        <f t="shared" si="491"/>
        <v>0</v>
      </c>
      <c r="EW236" s="148">
        <f t="shared" si="491"/>
        <v>0</v>
      </c>
      <c r="EX236" s="148">
        <f t="shared" si="491"/>
        <v>0</v>
      </c>
      <c r="EY236" s="148">
        <f t="shared" si="491"/>
        <v>0</v>
      </c>
      <c r="EZ236" s="148">
        <f t="shared" si="491"/>
        <v>0</v>
      </c>
      <c r="FA236" s="150">
        <f t="shared" si="491"/>
        <v>665</v>
      </c>
      <c r="FB236" s="151">
        <f t="shared" si="491"/>
        <v>1245.9180000000001</v>
      </c>
      <c r="FC236" s="151">
        <f t="shared" si="491"/>
        <v>71.918000000000006</v>
      </c>
      <c r="FD236" s="152">
        <f t="shared" si="491"/>
        <v>0</v>
      </c>
      <c r="FE236" s="792" t="str">
        <f>IF(FB236&lt;инфо!$AN$76,FB236-инфо!$AN$76,"")</f>
        <v/>
      </c>
      <c r="FF236" s="153"/>
      <c r="FG236" s="153"/>
      <c r="FH236" s="153"/>
    </row>
    <row r="237" spans="2:164" ht="26.1" customHeight="1" outlineLevel="1" thickBot="1" x14ac:dyDescent="0.3">
      <c r="B237" s="1018"/>
      <c r="C237" s="1020"/>
      <c r="D237" s="1054" t="s">
        <v>146</v>
      </c>
      <c r="E237" s="1060"/>
      <c r="F237" s="847" t="s">
        <v>146</v>
      </c>
      <c r="G237" s="813" t="s">
        <v>1492</v>
      </c>
      <c r="H237" s="588" t="s">
        <v>1195</v>
      </c>
      <c r="I237" s="588" t="s">
        <v>1164</v>
      </c>
      <c r="J237" s="515"/>
      <c r="K237" s="516"/>
      <c r="L237" s="516"/>
      <c r="M237" s="516"/>
      <c r="N237" s="516"/>
      <c r="O237" s="516"/>
      <c r="P237" s="516"/>
      <c r="Q237" s="516"/>
      <c r="R237" s="516"/>
      <c r="S237" s="516"/>
      <c r="T237" s="516"/>
      <c r="U237" s="516"/>
      <c r="V237" s="516"/>
      <c r="W237" s="517"/>
      <c r="X237" s="517"/>
      <c r="Y237" s="517"/>
      <c r="Z237" s="517"/>
      <c r="AA237" s="517"/>
      <c r="AB237" s="517"/>
      <c r="AC237" s="517"/>
      <c r="AD237" s="517"/>
      <c r="AE237" s="517"/>
      <c r="AF237" s="517"/>
      <c r="AG237" s="517"/>
      <c r="AH237" s="517"/>
      <c r="AI237" s="517"/>
      <c r="AJ237" s="517"/>
      <c r="AK237" s="517"/>
      <c r="AL237" s="517"/>
      <c r="AM237" s="517"/>
      <c r="AN237" s="517"/>
      <c r="AO237" s="517"/>
      <c r="AP237" s="517"/>
      <c r="AQ237" s="517"/>
      <c r="AR237" s="517"/>
      <c r="AS237" s="517"/>
      <c r="AT237" s="517"/>
      <c r="AU237" s="517"/>
      <c r="AV237" s="517"/>
      <c r="AW237" s="517"/>
      <c r="AX237" s="517"/>
      <c r="AY237" s="517"/>
      <c r="AZ237" s="517"/>
      <c r="BA237" s="517"/>
      <c r="BB237" s="517"/>
      <c r="BC237" s="517"/>
      <c r="BD237" s="517"/>
      <c r="BE237" s="518"/>
      <c r="BF237" s="518"/>
      <c r="BG237" s="518"/>
      <c r="BH237" s="518"/>
      <c r="BI237" s="518"/>
      <c r="BJ237" s="518"/>
      <c r="BK237" s="518"/>
      <c r="BL237" s="518"/>
      <c r="BM237" s="518"/>
      <c r="BN237" s="519"/>
      <c r="BO237" s="519"/>
      <c r="BP237" s="519"/>
      <c r="BQ237" s="519"/>
      <c r="BR237" s="519"/>
      <c r="BS237" s="519"/>
      <c r="BT237" s="519"/>
      <c r="BU237" s="519"/>
      <c r="BV237" s="516"/>
      <c r="BW237" s="516"/>
      <c r="BX237" s="516"/>
      <c r="BY237" s="516"/>
      <c r="BZ237" s="516"/>
      <c r="CA237" s="516"/>
      <c r="CB237" s="516"/>
      <c r="CC237" s="520"/>
      <c r="CD237" s="520"/>
      <c r="CE237" s="520"/>
      <c r="CF237" s="520"/>
      <c r="CG237" s="520"/>
      <c r="CH237" s="520"/>
      <c r="CI237" s="520"/>
      <c r="CJ237" s="520"/>
      <c r="CK237" s="520"/>
      <c r="CL237" s="520"/>
      <c r="CM237" s="520"/>
      <c r="CN237" s="520"/>
      <c r="CO237" s="520"/>
      <c r="CP237" s="520"/>
      <c r="CQ237" s="520"/>
      <c r="CR237" s="520"/>
      <c r="CS237" s="521"/>
      <c r="CT237" s="521"/>
      <c r="CU237" s="521"/>
      <c r="CV237" s="521"/>
      <c r="CW237" s="521"/>
      <c r="CX237" s="521"/>
      <c r="CY237" s="521"/>
      <c r="CZ237" s="521"/>
      <c r="DA237" s="521"/>
      <c r="DB237" s="521"/>
      <c r="DC237" s="521"/>
      <c r="DD237" s="521"/>
      <c r="DE237" s="521"/>
      <c r="DF237" s="521"/>
      <c r="DG237" s="521"/>
      <c r="DH237" s="521"/>
      <c r="DI237" s="521"/>
      <c r="DJ237" s="521"/>
      <c r="DK237" s="521"/>
      <c r="DL237" s="521"/>
      <c r="DM237" s="521"/>
      <c r="DN237" s="947"/>
      <c r="DO237" s="522">
        <v>25</v>
      </c>
      <c r="DP237" s="522"/>
      <c r="DQ237" s="523"/>
      <c r="DR237" s="523"/>
      <c r="DS237" s="518"/>
      <c r="DT237" s="518"/>
      <c r="DU237" s="518"/>
      <c r="DV237" s="518"/>
      <c r="DW237" s="518"/>
      <c r="DX237" s="518"/>
      <c r="DY237" s="518"/>
      <c r="DZ237" s="518"/>
      <c r="EA237" s="518">
        <v>250</v>
      </c>
      <c r="EB237" s="518"/>
      <c r="EC237" s="518"/>
      <c r="ED237" s="518">
        <v>1</v>
      </c>
      <c r="EE237" s="518"/>
      <c r="EF237" s="518"/>
      <c r="EG237" s="518"/>
      <c r="EH237" s="518"/>
      <c r="EI237" s="518"/>
      <c r="EJ237" s="518"/>
      <c r="EK237" s="518"/>
      <c r="EL237" s="518"/>
      <c r="EM237" s="518"/>
      <c r="EN237" s="518"/>
      <c r="EO237" s="518"/>
      <c r="EP237" s="518"/>
      <c r="EQ237" s="518"/>
      <c r="ER237" s="518"/>
      <c r="ES237" s="518"/>
      <c r="ET237" s="518"/>
      <c r="EU237" s="518"/>
      <c r="EV237" s="518"/>
      <c r="EW237" s="518"/>
      <c r="EX237" s="518"/>
      <c r="EY237" s="518"/>
      <c r="EZ237" s="518"/>
      <c r="FA237" s="377"/>
      <c r="FB237" s="378">
        <v>250</v>
      </c>
      <c r="FC237" s="378"/>
      <c r="FD237" s="379">
        <f t="shared" ref="FD237:FD240" si="492">SUM(BE237:BG237,BI237,BL237:BM237)+SUM(BH237,BJ237,BK237)*5</f>
        <v>0</v>
      </c>
      <c r="FE237" s="790"/>
    </row>
    <row r="238" spans="2:164" ht="26.1" customHeight="1" outlineLevel="1" thickBot="1" x14ac:dyDescent="0.3">
      <c r="B238" s="1018"/>
      <c r="C238" s="1020"/>
      <c r="D238" s="1055"/>
      <c r="E238" s="1061"/>
      <c r="F238" s="848" t="s">
        <v>146</v>
      </c>
      <c r="G238" s="814" t="s">
        <v>1492</v>
      </c>
      <c r="H238" s="589" t="s">
        <v>1197</v>
      </c>
      <c r="I238" s="589" t="s">
        <v>53</v>
      </c>
      <c r="J238" s="524"/>
      <c r="K238" s="525"/>
      <c r="L238" s="525"/>
      <c r="M238" s="525"/>
      <c r="N238" s="525"/>
      <c r="O238" s="525"/>
      <c r="P238" s="525"/>
      <c r="Q238" s="525"/>
      <c r="R238" s="525"/>
      <c r="S238" s="525"/>
      <c r="T238" s="525"/>
      <c r="U238" s="525"/>
      <c r="V238" s="525"/>
      <c r="W238" s="526"/>
      <c r="X238" s="526"/>
      <c r="Y238" s="526"/>
      <c r="Z238" s="526"/>
      <c r="AA238" s="526"/>
      <c r="AB238" s="526"/>
      <c r="AC238" s="526"/>
      <c r="AD238" s="526"/>
      <c r="AE238" s="526"/>
      <c r="AF238" s="526"/>
      <c r="AG238" s="526"/>
      <c r="AH238" s="526"/>
      <c r="AI238" s="526"/>
      <c r="AJ238" s="526"/>
      <c r="AK238" s="526"/>
      <c r="AL238" s="526"/>
      <c r="AM238" s="526"/>
      <c r="AN238" s="526"/>
      <c r="AO238" s="526"/>
      <c r="AP238" s="526"/>
      <c r="AQ238" s="526"/>
      <c r="AR238" s="526"/>
      <c r="AS238" s="526"/>
      <c r="AT238" s="526"/>
      <c r="AU238" s="526"/>
      <c r="AV238" s="526"/>
      <c r="AW238" s="526"/>
      <c r="AX238" s="526"/>
      <c r="AY238" s="526"/>
      <c r="AZ238" s="526"/>
      <c r="BA238" s="526"/>
      <c r="BB238" s="526"/>
      <c r="BC238" s="526"/>
      <c r="BD238" s="526"/>
      <c r="BE238" s="527"/>
      <c r="BF238" s="527"/>
      <c r="BG238" s="527"/>
      <c r="BH238" s="527"/>
      <c r="BI238" s="527"/>
      <c r="BJ238" s="527"/>
      <c r="BK238" s="527"/>
      <c r="BL238" s="527"/>
      <c r="BM238" s="527"/>
      <c r="BN238" s="528"/>
      <c r="BO238" s="528"/>
      <c r="BP238" s="528"/>
      <c r="BQ238" s="528"/>
      <c r="BR238" s="528"/>
      <c r="BS238" s="528"/>
      <c r="BT238" s="528"/>
      <c r="BU238" s="528"/>
      <c r="BV238" s="525"/>
      <c r="BW238" s="525"/>
      <c r="BX238" s="525"/>
      <c r="BY238" s="525"/>
      <c r="BZ238" s="525"/>
      <c r="CA238" s="525"/>
      <c r="CB238" s="525"/>
      <c r="CC238" s="529"/>
      <c r="CD238" s="529"/>
      <c r="CE238" s="529"/>
      <c r="CF238" s="529"/>
      <c r="CG238" s="529"/>
      <c r="CH238" s="529"/>
      <c r="CI238" s="529"/>
      <c r="CJ238" s="529"/>
      <c r="CK238" s="529"/>
      <c r="CL238" s="529"/>
      <c r="CM238" s="529"/>
      <c r="CN238" s="529"/>
      <c r="CO238" s="529"/>
      <c r="CP238" s="529"/>
      <c r="CQ238" s="529"/>
      <c r="CR238" s="529"/>
      <c r="CS238" s="530"/>
      <c r="CT238" s="530"/>
      <c r="CU238" s="530"/>
      <c r="CV238" s="530"/>
      <c r="CW238" s="530"/>
      <c r="CX238" s="530"/>
      <c r="CY238" s="530"/>
      <c r="CZ238" s="530"/>
      <c r="DA238" s="530"/>
      <c r="DB238" s="530"/>
      <c r="DC238" s="530"/>
      <c r="DD238" s="530"/>
      <c r="DE238" s="530"/>
      <c r="DF238" s="530"/>
      <c r="DG238" s="530"/>
      <c r="DH238" s="530"/>
      <c r="DI238" s="530"/>
      <c r="DJ238" s="530"/>
      <c r="DK238" s="530"/>
      <c r="DL238" s="530"/>
      <c r="DM238" s="530"/>
      <c r="DN238" s="948"/>
      <c r="DO238" s="531">
        <v>25</v>
      </c>
      <c r="DP238" s="531"/>
      <c r="DQ238" s="532"/>
      <c r="DR238" s="532"/>
      <c r="DS238" s="527"/>
      <c r="DT238" s="527"/>
      <c r="DU238" s="527"/>
      <c r="DV238" s="527"/>
      <c r="DW238" s="527"/>
      <c r="DX238" s="527"/>
      <c r="DY238" s="527"/>
      <c r="DZ238" s="527"/>
      <c r="EA238" s="527"/>
      <c r="EB238" s="527"/>
      <c r="EC238" s="527"/>
      <c r="ED238" s="527"/>
      <c r="EE238" s="527"/>
      <c r="EF238" s="527"/>
      <c r="EG238" s="527"/>
      <c r="EH238" s="527"/>
      <c r="EI238" s="527"/>
      <c r="EJ238" s="527"/>
      <c r="EK238" s="527"/>
      <c r="EL238" s="527"/>
      <c r="EM238" s="527"/>
      <c r="EN238" s="527"/>
      <c r="EO238" s="527"/>
      <c r="EP238" s="527"/>
      <c r="EQ238" s="527"/>
      <c r="ER238" s="527"/>
      <c r="ES238" s="527"/>
      <c r="ET238" s="527"/>
      <c r="EU238" s="527"/>
      <c r="EV238" s="527"/>
      <c r="EW238" s="527"/>
      <c r="EX238" s="527"/>
      <c r="EY238" s="527"/>
      <c r="EZ238" s="527"/>
      <c r="FA238" s="377"/>
      <c r="FB238" s="378">
        <v>25</v>
      </c>
      <c r="FC238" s="378"/>
      <c r="FD238" s="379">
        <f t="shared" si="492"/>
        <v>0</v>
      </c>
      <c r="FE238" s="790"/>
    </row>
    <row r="239" spans="2:164" ht="26.1" customHeight="1" outlineLevel="1" thickBot="1" x14ac:dyDescent="0.3">
      <c r="B239" s="1018"/>
      <c r="C239" s="1020"/>
      <c r="D239" s="1055"/>
      <c r="E239" s="1061"/>
      <c r="F239" s="848" t="s">
        <v>146</v>
      </c>
      <c r="G239" s="814" t="s">
        <v>1492</v>
      </c>
      <c r="H239" s="589" t="s">
        <v>1197</v>
      </c>
      <c r="I239" s="589" t="s">
        <v>85</v>
      </c>
      <c r="J239" s="524"/>
      <c r="K239" s="525"/>
      <c r="L239" s="525"/>
      <c r="M239" s="525"/>
      <c r="N239" s="525"/>
      <c r="O239" s="525"/>
      <c r="P239" s="525"/>
      <c r="Q239" s="525"/>
      <c r="R239" s="525"/>
      <c r="S239" s="525"/>
      <c r="T239" s="525"/>
      <c r="U239" s="525"/>
      <c r="V239" s="525"/>
      <c r="W239" s="526"/>
      <c r="X239" s="526"/>
      <c r="Y239" s="526"/>
      <c r="Z239" s="526"/>
      <c r="AA239" s="526"/>
      <c r="AB239" s="526"/>
      <c r="AC239" s="526"/>
      <c r="AD239" s="526"/>
      <c r="AE239" s="526"/>
      <c r="AF239" s="526"/>
      <c r="AG239" s="526"/>
      <c r="AH239" s="526"/>
      <c r="AI239" s="526"/>
      <c r="AJ239" s="526"/>
      <c r="AK239" s="526"/>
      <c r="AL239" s="526"/>
      <c r="AM239" s="526"/>
      <c r="AN239" s="526"/>
      <c r="AO239" s="526"/>
      <c r="AP239" s="526"/>
      <c r="AQ239" s="526"/>
      <c r="AR239" s="526"/>
      <c r="AS239" s="526"/>
      <c r="AT239" s="526"/>
      <c r="AU239" s="526"/>
      <c r="AV239" s="526"/>
      <c r="AW239" s="526"/>
      <c r="AX239" s="526"/>
      <c r="AY239" s="526"/>
      <c r="AZ239" s="526"/>
      <c r="BA239" s="526"/>
      <c r="BB239" s="526"/>
      <c r="BC239" s="526"/>
      <c r="BD239" s="526"/>
      <c r="BE239" s="527"/>
      <c r="BF239" s="527"/>
      <c r="BG239" s="527"/>
      <c r="BH239" s="527"/>
      <c r="BI239" s="527"/>
      <c r="BJ239" s="527"/>
      <c r="BK239" s="527"/>
      <c r="BL239" s="527"/>
      <c r="BM239" s="527"/>
      <c r="BN239" s="528"/>
      <c r="BO239" s="528"/>
      <c r="BP239" s="528"/>
      <c r="BQ239" s="528"/>
      <c r="BR239" s="528"/>
      <c r="BS239" s="528"/>
      <c r="BT239" s="528"/>
      <c r="BU239" s="528"/>
      <c r="BV239" s="525"/>
      <c r="BW239" s="525"/>
      <c r="BX239" s="525"/>
      <c r="BY239" s="525"/>
      <c r="BZ239" s="525"/>
      <c r="CA239" s="525"/>
      <c r="CB239" s="525"/>
      <c r="CC239" s="529"/>
      <c r="CD239" s="529"/>
      <c r="CE239" s="529"/>
      <c r="CF239" s="529"/>
      <c r="CG239" s="529"/>
      <c r="CH239" s="529"/>
      <c r="CI239" s="529"/>
      <c r="CJ239" s="529"/>
      <c r="CK239" s="529"/>
      <c r="CL239" s="529"/>
      <c r="CM239" s="529"/>
      <c r="CN239" s="529"/>
      <c r="CO239" s="529"/>
      <c r="CP239" s="529"/>
      <c r="CQ239" s="529"/>
      <c r="CR239" s="529"/>
      <c r="CS239" s="530"/>
      <c r="CT239" s="530"/>
      <c r="CU239" s="530"/>
      <c r="CV239" s="530"/>
      <c r="CW239" s="530"/>
      <c r="CX239" s="530"/>
      <c r="CY239" s="530"/>
      <c r="CZ239" s="530"/>
      <c r="DA239" s="530"/>
      <c r="DB239" s="530"/>
      <c r="DC239" s="530"/>
      <c r="DD239" s="530"/>
      <c r="DE239" s="530"/>
      <c r="DF239" s="530"/>
      <c r="DG239" s="530"/>
      <c r="DH239" s="530"/>
      <c r="DI239" s="530"/>
      <c r="DJ239" s="530"/>
      <c r="DK239" s="530"/>
      <c r="DL239" s="530"/>
      <c r="DM239" s="530"/>
      <c r="DN239" s="948"/>
      <c r="DO239" s="531"/>
      <c r="DP239" s="531"/>
      <c r="DQ239" s="532"/>
      <c r="DR239" s="532"/>
      <c r="DS239" s="527"/>
      <c r="DT239" s="527"/>
      <c r="DU239" s="527"/>
      <c r="DV239" s="527"/>
      <c r="DW239" s="527"/>
      <c r="DX239" s="527"/>
      <c r="DY239" s="527"/>
      <c r="DZ239" s="527"/>
      <c r="EA239" s="527"/>
      <c r="EB239" s="527"/>
      <c r="EC239" s="527"/>
      <c r="ED239" s="527"/>
      <c r="EE239" s="527"/>
      <c r="EF239" s="527"/>
      <c r="EG239" s="527"/>
      <c r="EH239" s="527"/>
      <c r="EI239" s="527"/>
      <c r="EJ239" s="527"/>
      <c r="EK239" s="527"/>
      <c r="EL239" s="527"/>
      <c r="EM239" s="527"/>
      <c r="EN239" s="527"/>
      <c r="EO239" s="527"/>
      <c r="EP239" s="527">
        <v>60</v>
      </c>
      <c r="EQ239" s="527"/>
      <c r="ER239" s="527"/>
      <c r="ES239" s="527"/>
      <c r="ET239" s="527"/>
      <c r="EU239" s="527"/>
      <c r="EV239" s="527"/>
      <c r="EW239" s="527"/>
      <c r="EX239" s="527"/>
      <c r="EY239" s="527"/>
      <c r="EZ239" s="527"/>
      <c r="FA239" s="377"/>
      <c r="FB239" s="378">
        <v>60</v>
      </c>
      <c r="FC239" s="378"/>
      <c r="FD239" s="379">
        <f t="shared" si="492"/>
        <v>0</v>
      </c>
      <c r="FE239" s="790"/>
    </row>
    <row r="240" spans="2:164" ht="26.1" customHeight="1" outlineLevel="1" thickBot="1" x14ac:dyDescent="0.3">
      <c r="B240" s="1018"/>
      <c r="C240" s="1020"/>
      <c r="D240" s="1056"/>
      <c r="E240" s="1062"/>
      <c r="F240" s="849" t="s">
        <v>146</v>
      </c>
      <c r="G240" s="815" t="s">
        <v>1492</v>
      </c>
      <c r="H240" s="590" t="s">
        <v>1197</v>
      </c>
      <c r="I240" s="590" t="s">
        <v>60</v>
      </c>
      <c r="J240" s="533"/>
      <c r="K240" s="534"/>
      <c r="L240" s="534"/>
      <c r="M240" s="534"/>
      <c r="N240" s="534"/>
      <c r="O240" s="534"/>
      <c r="P240" s="534"/>
      <c r="Q240" s="534"/>
      <c r="R240" s="534"/>
      <c r="S240" s="534"/>
      <c r="T240" s="534"/>
      <c r="U240" s="534"/>
      <c r="V240" s="534"/>
      <c r="W240" s="535"/>
      <c r="X240" s="535"/>
      <c r="Y240" s="535"/>
      <c r="Z240" s="535"/>
      <c r="AA240" s="535"/>
      <c r="AB240" s="535"/>
      <c r="AC240" s="535"/>
      <c r="AD240" s="535"/>
      <c r="AE240" s="535"/>
      <c r="AF240" s="535"/>
      <c r="AG240" s="535"/>
      <c r="AH240" s="535"/>
      <c r="AI240" s="535"/>
      <c r="AJ240" s="535"/>
      <c r="AK240" s="535"/>
      <c r="AL240" s="535"/>
      <c r="AM240" s="535"/>
      <c r="AN240" s="535"/>
      <c r="AO240" s="535"/>
      <c r="AP240" s="535"/>
      <c r="AQ240" s="535"/>
      <c r="AR240" s="535"/>
      <c r="AS240" s="535"/>
      <c r="AT240" s="535"/>
      <c r="AU240" s="535"/>
      <c r="AV240" s="535"/>
      <c r="AW240" s="535"/>
      <c r="AX240" s="535"/>
      <c r="AY240" s="535"/>
      <c r="AZ240" s="535"/>
      <c r="BA240" s="535"/>
      <c r="BB240" s="535"/>
      <c r="BC240" s="535"/>
      <c r="BD240" s="535"/>
      <c r="BE240" s="536"/>
      <c r="BF240" s="536"/>
      <c r="BG240" s="536"/>
      <c r="BH240" s="536"/>
      <c r="BI240" s="536"/>
      <c r="BJ240" s="536"/>
      <c r="BK240" s="536"/>
      <c r="BL240" s="536"/>
      <c r="BM240" s="536"/>
      <c r="BN240" s="537">
        <v>15</v>
      </c>
      <c r="BO240" s="537"/>
      <c r="BP240" s="537"/>
      <c r="BQ240" s="537"/>
      <c r="BR240" s="537"/>
      <c r="BS240" s="537"/>
      <c r="BT240" s="537"/>
      <c r="BU240" s="537"/>
      <c r="BV240" s="534"/>
      <c r="BW240" s="534"/>
      <c r="BX240" s="534"/>
      <c r="BY240" s="534"/>
      <c r="BZ240" s="534"/>
      <c r="CA240" s="534"/>
      <c r="CB240" s="534"/>
      <c r="CC240" s="538"/>
      <c r="CD240" s="538"/>
      <c r="CE240" s="538"/>
      <c r="CF240" s="538"/>
      <c r="CG240" s="538"/>
      <c r="CH240" s="538"/>
      <c r="CI240" s="538"/>
      <c r="CJ240" s="538"/>
      <c r="CK240" s="538"/>
      <c r="CL240" s="538"/>
      <c r="CM240" s="538"/>
      <c r="CN240" s="538"/>
      <c r="CO240" s="538"/>
      <c r="CP240" s="538"/>
      <c r="CQ240" s="538"/>
      <c r="CR240" s="538"/>
      <c r="CS240" s="539"/>
      <c r="CT240" s="539"/>
      <c r="CU240" s="539"/>
      <c r="CV240" s="539"/>
      <c r="CW240" s="539"/>
      <c r="CX240" s="539"/>
      <c r="CY240" s="539"/>
      <c r="CZ240" s="539"/>
      <c r="DA240" s="539"/>
      <c r="DB240" s="539"/>
      <c r="DC240" s="539"/>
      <c r="DD240" s="539"/>
      <c r="DE240" s="539"/>
      <c r="DF240" s="539"/>
      <c r="DG240" s="539"/>
      <c r="DH240" s="539"/>
      <c r="DI240" s="539"/>
      <c r="DJ240" s="539"/>
      <c r="DK240" s="539"/>
      <c r="DL240" s="539"/>
      <c r="DM240" s="539"/>
      <c r="DN240" s="949"/>
      <c r="DO240" s="540"/>
      <c r="DP240" s="540"/>
      <c r="DQ240" s="541"/>
      <c r="DR240" s="541"/>
      <c r="DS240" s="536"/>
      <c r="DT240" s="536"/>
      <c r="DU240" s="536"/>
      <c r="DV240" s="536"/>
      <c r="DW240" s="536"/>
      <c r="DX240" s="536"/>
      <c r="DY240" s="536"/>
      <c r="DZ240" s="536"/>
      <c r="EA240" s="536"/>
      <c r="EB240" s="536"/>
      <c r="EC240" s="536"/>
      <c r="ED240" s="536"/>
      <c r="EE240" s="536"/>
      <c r="EF240" s="536"/>
      <c r="EG240" s="536"/>
      <c r="EH240" s="536"/>
      <c r="EI240" s="536"/>
      <c r="EJ240" s="536"/>
      <c r="EK240" s="536"/>
      <c r="EL240" s="536"/>
      <c r="EM240" s="536"/>
      <c r="EN240" s="536"/>
      <c r="EO240" s="536"/>
      <c r="EP240" s="536"/>
      <c r="EQ240" s="536"/>
      <c r="ER240" s="536"/>
      <c r="ES240" s="536"/>
      <c r="ET240" s="536"/>
      <c r="EU240" s="536"/>
      <c r="EV240" s="536"/>
      <c r="EW240" s="536"/>
      <c r="EX240" s="536"/>
      <c r="EY240" s="536"/>
      <c r="EZ240" s="536"/>
      <c r="FA240" s="377"/>
      <c r="FB240" s="378">
        <v>15</v>
      </c>
      <c r="FC240" s="378"/>
      <c r="FD240" s="379">
        <f t="shared" si="492"/>
        <v>0</v>
      </c>
      <c r="FE240" s="790"/>
    </row>
    <row r="241" spans="2:164" s="154" customFormat="1" ht="16.5" customHeight="1" outlineLevel="1" thickBot="1" x14ac:dyDescent="0.4">
      <c r="B241" s="1018"/>
      <c r="C241" s="1020"/>
      <c r="D241" s="155"/>
      <c r="E241" s="318" t="s">
        <v>174</v>
      </c>
      <c r="F241" s="850"/>
      <c r="G241" s="819"/>
      <c r="H241" s="591"/>
      <c r="I241" s="604"/>
      <c r="J241" s="305">
        <f>SUM(J237:J240)</f>
        <v>0</v>
      </c>
      <c r="K241" s="146">
        <f t="shared" ref="K241:CU241" si="493">SUM(K237:K240)</f>
        <v>0</v>
      </c>
      <c r="L241" s="146">
        <f t="shared" si="493"/>
        <v>0</v>
      </c>
      <c r="M241" s="146">
        <f t="shared" si="493"/>
        <v>0</v>
      </c>
      <c r="N241" s="146">
        <f t="shared" si="493"/>
        <v>0</v>
      </c>
      <c r="O241" s="146">
        <f t="shared" si="493"/>
        <v>0</v>
      </c>
      <c r="P241" s="146">
        <f t="shared" si="493"/>
        <v>0</v>
      </c>
      <c r="Q241" s="146">
        <f t="shared" si="493"/>
        <v>0</v>
      </c>
      <c r="R241" s="146">
        <f t="shared" si="493"/>
        <v>0</v>
      </c>
      <c r="S241" s="146">
        <f t="shared" si="493"/>
        <v>0</v>
      </c>
      <c r="T241" s="146">
        <f t="shared" si="493"/>
        <v>0</v>
      </c>
      <c r="U241" s="146">
        <f t="shared" si="493"/>
        <v>0</v>
      </c>
      <c r="V241" s="146">
        <f t="shared" si="493"/>
        <v>0</v>
      </c>
      <c r="W241" s="147">
        <f t="shared" si="493"/>
        <v>0</v>
      </c>
      <c r="X241" s="147">
        <f t="shared" si="493"/>
        <v>0</v>
      </c>
      <c r="Y241" s="147">
        <f t="shared" si="493"/>
        <v>0</v>
      </c>
      <c r="Z241" s="147">
        <f t="shared" si="493"/>
        <v>0</v>
      </c>
      <c r="AA241" s="147">
        <f t="shared" si="493"/>
        <v>0</v>
      </c>
      <c r="AB241" s="147">
        <f t="shared" si="493"/>
        <v>0</v>
      </c>
      <c r="AC241" s="147">
        <f t="shared" si="493"/>
        <v>0</v>
      </c>
      <c r="AD241" s="147">
        <f t="shared" si="493"/>
        <v>0</v>
      </c>
      <c r="AE241" s="147">
        <f t="shared" si="493"/>
        <v>0</v>
      </c>
      <c r="AF241" s="147">
        <f t="shared" si="493"/>
        <v>0</v>
      </c>
      <c r="AG241" s="147">
        <f t="shared" si="493"/>
        <v>0</v>
      </c>
      <c r="AH241" s="147">
        <f t="shared" si="493"/>
        <v>0</v>
      </c>
      <c r="AI241" s="147">
        <f t="shared" si="493"/>
        <v>0</v>
      </c>
      <c r="AJ241" s="147">
        <f t="shared" si="493"/>
        <v>0</v>
      </c>
      <c r="AK241" s="147">
        <f t="shared" si="493"/>
        <v>0</v>
      </c>
      <c r="AL241" s="147">
        <f t="shared" si="493"/>
        <v>0</v>
      </c>
      <c r="AM241" s="147">
        <f t="shared" si="493"/>
        <v>0</v>
      </c>
      <c r="AN241" s="147">
        <f t="shared" si="493"/>
        <v>0</v>
      </c>
      <c r="AO241" s="147">
        <f t="shared" si="493"/>
        <v>0</v>
      </c>
      <c r="AP241" s="147">
        <f t="shared" si="493"/>
        <v>0</v>
      </c>
      <c r="AQ241" s="147">
        <f t="shared" si="493"/>
        <v>0</v>
      </c>
      <c r="AR241" s="147">
        <f t="shared" si="493"/>
        <v>0</v>
      </c>
      <c r="AS241" s="147">
        <f t="shared" si="493"/>
        <v>0</v>
      </c>
      <c r="AT241" s="147">
        <f t="shared" si="493"/>
        <v>0</v>
      </c>
      <c r="AU241" s="147">
        <f t="shared" si="493"/>
        <v>0</v>
      </c>
      <c r="AV241" s="147">
        <f t="shared" si="493"/>
        <v>0</v>
      </c>
      <c r="AW241" s="147">
        <f t="shared" si="493"/>
        <v>0</v>
      </c>
      <c r="AX241" s="147">
        <f t="shared" si="493"/>
        <v>0</v>
      </c>
      <c r="AY241" s="147">
        <f t="shared" si="493"/>
        <v>0</v>
      </c>
      <c r="AZ241" s="147">
        <f t="shared" si="493"/>
        <v>0</v>
      </c>
      <c r="BA241" s="147">
        <f t="shared" si="493"/>
        <v>0</v>
      </c>
      <c r="BB241" s="147">
        <f t="shared" si="493"/>
        <v>0</v>
      </c>
      <c r="BC241" s="147">
        <f t="shared" si="493"/>
        <v>0</v>
      </c>
      <c r="BD241" s="147">
        <f t="shared" si="493"/>
        <v>0</v>
      </c>
      <c r="BE241" s="148">
        <f t="shared" si="493"/>
        <v>0</v>
      </c>
      <c r="BF241" s="148">
        <f t="shared" si="493"/>
        <v>0</v>
      </c>
      <c r="BG241" s="148">
        <f t="shared" si="493"/>
        <v>0</v>
      </c>
      <c r="BH241" s="148">
        <f t="shared" si="493"/>
        <v>0</v>
      </c>
      <c r="BI241" s="148">
        <f t="shared" si="493"/>
        <v>0</v>
      </c>
      <c r="BJ241" s="148">
        <f t="shared" si="493"/>
        <v>0</v>
      </c>
      <c r="BK241" s="148">
        <f t="shared" si="493"/>
        <v>0</v>
      </c>
      <c r="BL241" s="148">
        <f t="shared" si="493"/>
        <v>0</v>
      </c>
      <c r="BM241" s="148">
        <f t="shared" si="493"/>
        <v>0</v>
      </c>
      <c r="BN241" s="149">
        <f t="shared" si="493"/>
        <v>15</v>
      </c>
      <c r="BO241" s="149">
        <f t="shared" si="493"/>
        <v>0</v>
      </c>
      <c r="BP241" s="149">
        <f t="shared" si="493"/>
        <v>0</v>
      </c>
      <c r="BQ241" s="149">
        <f t="shared" si="493"/>
        <v>0</v>
      </c>
      <c r="BR241" s="149">
        <f t="shared" si="493"/>
        <v>0</v>
      </c>
      <c r="BS241" s="149">
        <f t="shared" si="493"/>
        <v>0</v>
      </c>
      <c r="BT241" s="149">
        <f t="shared" si="493"/>
        <v>0</v>
      </c>
      <c r="BU241" s="149">
        <f t="shared" si="493"/>
        <v>0</v>
      </c>
      <c r="BV241" s="146">
        <f t="shared" si="493"/>
        <v>0</v>
      </c>
      <c r="BW241" s="146">
        <f t="shared" si="493"/>
        <v>0</v>
      </c>
      <c r="BX241" s="146">
        <f t="shared" si="493"/>
        <v>0</v>
      </c>
      <c r="BY241" s="146">
        <f t="shared" si="493"/>
        <v>0</v>
      </c>
      <c r="BZ241" s="146">
        <f t="shared" si="493"/>
        <v>0</v>
      </c>
      <c r="CA241" s="146">
        <f t="shared" si="493"/>
        <v>0</v>
      </c>
      <c r="CB241" s="146">
        <f t="shared" si="493"/>
        <v>0</v>
      </c>
      <c r="CC241" s="265">
        <f t="shared" si="493"/>
        <v>0</v>
      </c>
      <c r="CD241" s="265">
        <f t="shared" si="493"/>
        <v>0</v>
      </c>
      <c r="CE241" s="265">
        <f t="shared" si="493"/>
        <v>0</v>
      </c>
      <c r="CF241" s="265">
        <f t="shared" si="493"/>
        <v>0</v>
      </c>
      <c r="CG241" s="265">
        <f t="shared" si="493"/>
        <v>0</v>
      </c>
      <c r="CH241" s="265">
        <f t="shared" si="493"/>
        <v>0</v>
      </c>
      <c r="CI241" s="265">
        <f t="shared" si="493"/>
        <v>0</v>
      </c>
      <c r="CJ241" s="265">
        <f t="shared" si="493"/>
        <v>0</v>
      </c>
      <c r="CK241" s="265">
        <f t="shared" si="493"/>
        <v>0</v>
      </c>
      <c r="CL241" s="265">
        <f t="shared" si="493"/>
        <v>0</v>
      </c>
      <c r="CM241" s="265">
        <f t="shared" si="493"/>
        <v>0</v>
      </c>
      <c r="CN241" s="265">
        <f t="shared" si="493"/>
        <v>0</v>
      </c>
      <c r="CO241" s="265">
        <f t="shared" si="493"/>
        <v>0</v>
      </c>
      <c r="CP241" s="265">
        <f t="shared" si="493"/>
        <v>0</v>
      </c>
      <c r="CQ241" s="265">
        <f t="shared" si="493"/>
        <v>0</v>
      </c>
      <c r="CR241" s="265">
        <f t="shared" si="493"/>
        <v>0</v>
      </c>
      <c r="CS241" s="281">
        <f t="shared" si="493"/>
        <v>0</v>
      </c>
      <c r="CT241" s="281">
        <f t="shared" si="493"/>
        <v>0</v>
      </c>
      <c r="CU241" s="281">
        <f t="shared" si="493"/>
        <v>0</v>
      </c>
      <c r="CV241" s="281">
        <f t="shared" ref="CV241:FD241" si="494">SUM(CV237:CV240)</f>
        <v>0</v>
      </c>
      <c r="CW241" s="281">
        <f t="shared" si="494"/>
        <v>0</v>
      </c>
      <c r="CX241" s="281">
        <f t="shared" si="494"/>
        <v>0</v>
      </c>
      <c r="CY241" s="281">
        <f t="shared" si="494"/>
        <v>0</v>
      </c>
      <c r="CZ241" s="281">
        <f t="shared" si="494"/>
        <v>0</v>
      </c>
      <c r="DA241" s="281">
        <f t="shared" si="494"/>
        <v>0</v>
      </c>
      <c r="DB241" s="281">
        <f t="shared" si="494"/>
        <v>0</v>
      </c>
      <c r="DC241" s="281">
        <f t="shared" si="494"/>
        <v>0</v>
      </c>
      <c r="DD241" s="281">
        <f t="shared" si="494"/>
        <v>0</v>
      </c>
      <c r="DE241" s="281">
        <f t="shared" si="494"/>
        <v>0</v>
      </c>
      <c r="DF241" s="281">
        <f t="shared" si="494"/>
        <v>0</v>
      </c>
      <c r="DG241" s="281">
        <f t="shared" si="494"/>
        <v>0</v>
      </c>
      <c r="DH241" s="281">
        <f t="shared" si="494"/>
        <v>0</v>
      </c>
      <c r="DI241" s="281">
        <f t="shared" si="494"/>
        <v>0</v>
      </c>
      <c r="DJ241" s="281">
        <f t="shared" si="494"/>
        <v>0</v>
      </c>
      <c r="DK241" s="281">
        <f t="shared" si="494"/>
        <v>0</v>
      </c>
      <c r="DL241" s="281">
        <f t="shared" si="494"/>
        <v>0</v>
      </c>
      <c r="DM241" s="281">
        <f t="shared" si="494"/>
        <v>0</v>
      </c>
      <c r="DN241" s="936">
        <f t="shared" si="494"/>
        <v>0</v>
      </c>
      <c r="DO241" s="148">
        <f t="shared" si="494"/>
        <v>50</v>
      </c>
      <c r="DP241" s="148">
        <f t="shared" si="494"/>
        <v>0</v>
      </c>
      <c r="DQ241" s="148">
        <f t="shared" si="494"/>
        <v>0</v>
      </c>
      <c r="DR241" s="148">
        <f t="shared" si="494"/>
        <v>0</v>
      </c>
      <c r="DS241" s="148">
        <f t="shared" si="494"/>
        <v>0</v>
      </c>
      <c r="DT241" s="148">
        <f t="shared" si="494"/>
        <v>0</v>
      </c>
      <c r="DU241" s="148">
        <f t="shared" si="494"/>
        <v>0</v>
      </c>
      <c r="DV241" s="148">
        <f t="shared" si="494"/>
        <v>0</v>
      </c>
      <c r="DW241" s="148">
        <f t="shared" si="494"/>
        <v>0</v>
      </c>
      <c r="DX241" s="148">
        <f t="shared" si="494"/>
        <v>0</v>
      </c>
      <c r="DY241" s="148">
        <f t="shared" si="494"/>
        <v>0</v>
      </c>
      <c r="DZ241" s="148">
        <f t="shared" si="494"/>
        <v>0</v>
      </c>
      <c r="EA241" s="148">
        <f t="shared" si="494"/>
        <v>250</v>
      </c>
      <c r="EB241" s="148">
        <f t="shared" si="494"/>
        <v>0</v>
      </c>
      <c r="EC241" s="148">
        <f t="shared" si="494"/>
        <v>0</v>
      </c>
      <c r="ED241" s="148">
        <f t="shared" si="494"/>
        <v>1</v>
      </c>
      <c r="EE241" s="148">
        <f t="shared" si="494"/>
        <v>0</v>
      </c>
      <c r="EF241" s="148">
        <f t="shared" si="494"/>
        <v>0</v>
      </c>
      <c r="EG241" s="148">
        <f t="shared" si="494"/>
        <v>0</v>
      </c>
      <c r="EH241" s="148">
        <f t="shared" si="494"/>
        <v>0</v>
      </c>
      <c r="EI241" s="148">
        <f t="shared" si="494"/>
        <v>0</v>
      </c>
      <c r="EJ241" s="148">
        <f t="shared" si="494"/>
        <v>0</v>
      </c>
      <c r="EK241" s="148">
        <f t="shared" si="494"/>
        <v>0</v>
      </c>
      <c r="EL241" s="148">
        <f t="shared" si="494"/>
        <v>0</v>
      </c>
      <c r="EM241" s="148">
        <f t="shared" si="494"/>
        <v>0</v>
      </c>
      <c r="EN241" s="148">
        <f t="shared" si="494"/>
        <v>0</v>
      </c>
      <c r="EO241" s="148">
        <f t="shared" si="494"/>
        <v>0</v>
      </c>
      <c r="EP241" s="148">
        <f t="shared" si="494"/>
        <v>60</v>
      </c>
      <c r="EQ241" s="148">
        <f t="shared" si="494"/>
        <v>0</v>
      </c>
      <c r="ER241" s="148">
        <f t="shared" si="494"/>
        <v>0</v>
      </c>
      <c r="ES241" s="148">
        <f t="shared" si="494"/>
        <v>0</v>
      </c>
      <c r="ET241" s="148">
        <f t="shared" si="494"/>
        <v>0</v>
      </c>
      <c r="EU241" s="148">
        <f t="shared" si="494"/>
        <v>0</v>
      </c>
      <c r="EV241" s="148">
        <f t="shared" si="494"/>
        <v>0</v>
      </c>
      <c r="EW241" s="148">
        <f t="shared" si="494"/>
        <v>0</v>
      </c>
      <c r="EX241" s="148">
        <f t="shared" si="494"/>
        <v>0</v>
      </c>
      <c r="EY241" s="148">
        <f t="shared" si="494"/>
        <v>0</v>
      </c>
      <c r="EZ241" s="148">
        <f t="shared" si="494"/>
        <v>0</v>
      </c>
      <c r="FA241" s="150">
        <f t="shared" si="494"/>
        <v>0</v>
      </c>
      <c r="FB241" s="151">
        <f t="shared" si="494"/>
        <v>350</v>
      </c>
      <c r="FC241" s="151">
        <f t="shared" si="494"/>
        <v>0</v>
      </c>
      <c r="FD241" s="152">
        <f t="shared" si="494"/>
        <v>0</v>
      </c>
      <c r="FE241" s="792" t="str">
        <f>IF(FB241&lt;инфо!$AN$77,FB241-инфо!$AN$77,"")</f>
        <v/>
      </c>
      <c r="FF241" s="153"/>
      <c r="FG241" s="153"/>
      <c r="FH241" s="153"/>
    </row>
    <row r="242" spans="2:164" s="138" customFormat="1" ht="32.1" customHeight="1" thickBot="1" x14ac:dyDescent="0.4">
      <c r="B242" s="174" t="s">
        <v>175</v>
      </c>
      <c r="C242" s="156"/>
      <c r="D242" s="306"/>
      <c r="E242" s="319" t="s">
        <v>176</v>
      </c>
      <c r="F242" s="851"/>
      <c r="G242" s="826"/>
      <c r="H242" s="592" t="s">
        <v>1425</v>
      </c>
      <c r="I242" s="605" t="s">
        <v>196</v>
      </c>
      <c r="J242" s="542">
        <f>SUMIF($E198:$E241,$E242,J198:J241)</f>
        <v>0</v>
      </c>
      <c r="K242" s="543">
        <f t="shared" ref="K242:CU242" si="495">SUMIF($E198:$E241,$E242,K198:K241)</f>
        <v>83</v>
      </c>
      <c r="L242" s="543">
        <f t="shared" si="495"/>
        <v>0</v>
      </c>
      <c r="M242" s="543">
        <f t="shared" si="495"/>
        <v>0</v>
      </c>
      <c r="N242" s="543">
        <f t="shared" si="495"/>
        <v>0</v>
      </c>
      <c r="O242" s="543">
        <f t="shared" si="495"/>
        <v>0</v>
      </c>
      <c r="P242" s="543">
        <f t="shared" si="495"/>
        <v>0</v>
      </c>
      <c r="Q242" s="543">
        <f t="shared" si="495"/>
        <v>103</v>
      </c>
      <c r="R242" s="543">
        <f t="shared" si="495"/>
        <v>0</v>
      </c>
      <c r="S242" s="543">
        <f t="shared" si="495"/>
        <v>0</v>
      </c>
      <c r="T242" s="543">
        <f t="shared" si="495"/>
        <v>0</v>
      </c>
      <c r="U242" s="543">
        <f t="shared" si="495"/>
        <v>0</v>
      </c>
      <c r="V242" s="543">
        <f t="shared" si="495"/>
        <v>83</v>
      </c>
      <c r="W242" s="544">
        <f t="shared" si="495"/>
        <v>0</v>
      </c>
      <c r="X242" s="544">
        <f t="shared" si="495"/>
        <v>9.7199999999999989</v>
      </c>
      <c r="Y242" s="544">
        <f t="shared" si="495"/>
        <v>0</v>
      </c>
      <c r="Z242" s="544">
        <f t="shared" si="495"/>
        <v>150</v>
      </c>
      <c r="AA242" s="544">
        <f t="shared" si="495"/>
        <v>300</v>
      </c>
      <c r="AB242" s="544">
        <f t="shared" si="495"/>
        <v>0</v>
      </c>
      <c r="AC242" s="544">
        <f t="shared" si="495"/>
        <v>0</v>
      </c>
      <c r="AD242" s="544">
        <f t="shared" si="495"/>
        <v>235</v>
      </c>
      <c r="AE242" s="544">
        <f t="shared" si="495"/>
        <v>90</v>
      </c>
      <c r="AF242" s="544">
        <f t="shared" si="495"/>
        <v>173.6</v>
      </c>
      <c r="AG242" s="544">
        <f t="shared" si="495"/>
        <v>52.6</v>
      </c>
      <c r="AH242" s="544">
        <f t="shared" si="495"/>
        <v>0</v>
      </c>
      <c r="AI242" s="544">
        <f t="shared" si="495"/>
        <v>0</v>
      </c>
      <c r="AJ242" s="544">
        <f t="shared" si="495"/>
        <v>0</v>
      </c>
      <c r="AK242" s="544">
        <f t="shared" si="495"/>
        <v>0</v>
      </c>
      <c r="AL242" s="544">
        <f t="shared" si="495"/>
        <v>0</v>
      </c>
      <c r="AM242" s="544">
        <f t="shared" si="495"/>
        <v>0</v>
      </c>
      <c r="AN242" s="544">
        <f t="shared" si="495"/>
        <v>0</v>
      </c>
      <c r="AO242" s="544">
        <f t="shared" si="495"/>
        <v>10</v>
      </c>
      <c r="AP242" s="544">
        <f t="shared" si="495"/>
        <v>0</v>
      </c>
      <c r="AQ242" s="544">
        <f t="shared" si="495"/>
        <v>0</v>
      </c>
      <c r="AR242" s="544">
        <f t="shared" si="495"/>
        <v>2.5</v>
      </c>
      <c r="AS242" s="544">
        <f t="shared" si="495"/>
        <v>0</v>
      </c>
      <c r="AT242" s="544">
        <f t="shared" si="495"/>
        <v>0</v>
      </c>
      <c r="AU242" s="544">
        <f t="shared" si="495"/>
        <v>40</v>
      </c>
      <c r="AV242" s="544">
        <f t="shared" si="495"/>
        <v>35</v>
      </c>
      <c r="AW242" s="544">
        <f t="shared" si="495"/>
        <v>0</v>
      </c>
      <c r="AX242" s="544">
        <f t="shared" si="495"/>
        <v>0</v>
      </c>
      <c r="AY242" s="544">
        <f t="shared" si="495"/>
        <v>0</v>
      </c>
      <c r="AZ242" s="544">
        <f t="shared" si="495"/>
        <v>0</v>
      </c>
      <c r="BA242" s="544">
        <f t="shared" si="495"/>
        <v>0</v>
      </c>
      <c r="BB242" s="544">
        <f t="shared" si="495"/>
        <v>20</v>
      </c>
      <c r="BC242" s="544">
        <f t="shared" si="495"/>
        <v>0</v>
      </c>
      <c r="BD242" s="544">
        <f t="shared" si="495"/>
        <v>0</v>
      </c>
      <c r="BE242" s="545">
        <f t="shared" si="495"/>
        <v>0</v>
      </c>
      <c r="BF242" s="545">
        <f t="shared" si="495"/>
        <v>0</v>
      </c>
      <c r="BG242" s="545">
        <f t="shared" si="495"/>
        <v>0</v>
      </c>
      <c r="BH242" s="545">
        <f t="shared" si="495"/>
        <v>22</v>
      </c>
      <c r="BI242" s="545">
        <f t="shared" si="495"/>
        <v>0</v>
      </c>
      <c r="BJ242" s="545">
        <f t="shared" si="495"/>
        <v>5</v>
      </c>
      <c r="BK242" s="545">
        <f t="shared" si="495"/>
        <v>0</v>
      </c>
      <c r="BL242" s="545">
        <f t="shared" si="495"/>
        <v>0</v>
      </c>
      <c r="BM242" s="545">
        <f t="shared" si="495"/>
        <v>0</v>
      </c>
      <c r="BN242" s="546">
        <f t="shared" si="495"/>
        <v>45</v>
      </c>
      <c r="BO242" s="546">
        <f t="shared" si="495"/>
        <v>27.52</v>
      </c>
      <c r="BP242" s="546">
        <f t="shared" si="495"/>
        <v>0</v>
      </c>
      <c r="BQ242" s="546">
        <f t="shared" si="495"/>
        <v>0</v>
      </c>
      <c r="BR242" s="546">
        <f t="shared" si="495"/>
        <v>0</v>
      </c>
      <c r="BS242" s="546">
        <f t="shared" si="495"/>
        <v>0</v>
      </c>
      <c r="BT242" s="546">
        <f t="shared" si="495"/>
        <v>0</v>
      </c>
      <c r="BU242" s="546">
        <f t="shared" si="495"/>
        <v>0</v>
      </c>
      <c r="BV242" s="543">
        <f t="shared" si="495"/>
        <v>0</v>
      </c>
      <c r="BW242" s="543">
        <f t="shared" si="495"/>
        <v>0</v>
      </c>
      <c r="BX242" s="543">
        <f t="shared" si="495"/>
        <v>0</v>
      </c>
      <c r="BY242" s="543">
        <f t="shared" si="495"/>
        <v>0</v>
      </c>
      <c r="BZ242" s="543">
        <f t="shared" si="495"/>
        <v>112.5</v>
      </c>
      <c r="CA242" s="543">
        <f t="shared" si="495"/>
        <v>0</v>
      </c>
      <c r="CB242" s="543">
        <f t="shared" si="495"/>
        <v>0</v>
      </c>
      <c r="CC242" s="547">
        <f t="shared" si="495"/>
        <v>0</v>
      </c>
      <c r="CD242" s="547">
        <f t="shared" si="495"/>
        <v>25</v>
      </c>
      <c r="CE242" s="547">
        <f t="shared" si="495"/>
        <v>0</v>
      </c>
      <c r="CF242" s="547">
        <f t="shared" si="495"/>
        <v>80</v>
      </c>
      <c r="CG242" s="547">
        <f t="shared" si="495"/>
        <v>0</v>
      </c>
      <c r="CH242" s="547">
        <f t="shared" si="495"/>
        <v>0</v>
      </c>
      <c r="CI242" s="547">
        <f t="shared" si="495"/>
        <v>0</v>
      </c>
      <c r="CJ242" s="547">
        <f t="shared" si="495"/>
        <v>0</v>
      </c>
      <c r="CK242" s="547">
        <f t="shared" si="495"/>
        <v>0</v>
      </c>
      <c r="CL242" s="547">
        <f t="shared" si="495"/>
        <v>0</v>
      </c>
      <c r="CM242" s="547">
        <f t="shared" si="495"/>
        <v>0</v>
      </c>
      <c r="CN242" s="547">
        <f t="shared" si="495"/>
        <v>0</v>
      </c>
      <c r="CO242" s="547">
        <f t="shared" si="495"/>
        <v>0</v>
      </c>
      <c r="CP242" s="547">
        <f t="shared" si="495"/>
        <v>0</v>
      </c>
      <c r="CQ242" s="547">
        <f t="shared" si="495"/>
        <v>0</v>
      </c>
      <c r="CR242" s="547">
        <f t="shared" si="495"/>
        <v>0</v>
      </c>
      <c r="CS242" s="548">
        <f t="shared" si="495"/>
        <v>0</v>
      </c>
      <c r="CT242" s="548">
        <f t="shared" si="495"/>
        <v>0</v>
      </c>
      <c r="CU242" s="548">
        <f t="shared" si="495"/>
        <v>0</v>
      </c>
      <c r="CV242" s="548">
        <f t="shared" ref="CV242:FD242" si="496">SUMIF($E198:$E241,$E242,CV198:CV241)</f>
        <v>0</v>
      </c>
      <c r="CW242" s="548">
        <f t="shared" si="496"/>
        <v>120</v>
      </c>
      <c r="CX242" s="548">
        <f t="shared" si="496"/>
        <v>0</v>
      </c>
      <c r="CY242" s="548">
        <f t="shared" si="496"/>
        <v>0</v>
      </c>
      <c r="CZ242" s="548">
        <f t="shared" si="496"/>
        <v>0</v>
      </c>
      <c r="DA242" s="548">
        <f t="shared" si="496"/>
        <v>0</v>
      </c>
      <c r="DB242" s="548">
        <f t="shared" si="496"/>
        <v>0</v>
      </c>
      <c r="DC242" s="548">
        <f t="shared" si="496"/>
        <v>0</v>
      </c>
      <c r="DD242" s="548">
        <f t="shared" si="496"/>
        <v>0</v>
      </c>
      <c r="DE242" s="548">
        <f t="shared" si="496"/>
        <v>0</v>
      </c>
      <c r="DF242" s="548">
        <f t="shared" si="496"/>
        <v>0</v>
      </c>
      <c r="DG242" s="548">
        <f t="shared" si="496"/>
        <v>0</v>
      </c>
      <c r="DH242" s="548">
        <f t="shared" si="496"/>
        <v>0</v>
      </c>
      <c r="DI242" s="548">
        <f t="shared" si="496"/>
        <v>0</v>
      </c>
      <c r="DJ242" s="548">
        <f t="shared" si="496"/>
        <v>0</v>
      </c>
      <c r="DK242" s="548">
        <f t="shared" si="496"/>
        <v>0</v>
      </c>
      <c r="DL242" s="548">
        <f t="shared" si="496"/>
        <v>0</v>
      </c>
      <c r="DM242" s="548">
        <f t="shared" si="496"/>
        <v>0</v>
      </c>
      <c r="DN242" s="950">
        <f t="shared" si="496"/>
        <v>1</v>
      </c>
      <c r="DO242" s="545">
        <f t="shared" si="496"/>
        <v>100</v>
      </c>
      <c r="DP242" s="545">
        <f t="shared" si="496"/>
        <v>19.68</v>
      </c>
      <c r="DQ242" s="545">
        <f t="shared" si="496"/>
        <v>5.7599999999999998E-2</v>
      </c>
      <c r="DR242" s="545">
        <f t="shared" si="496"/>
        <v>0.129</v>
      </c>
      <c r="DS242" s="545">
        <f t="shared" si="496"/>
        <v>2.7199999999999998</v>
      </c>
      <c r="DT242" s="545">
        <f t="shared" si="496"/>
        <v>10</v>
      </c>
      <c r="DU242" s="545">
        <f t="shared" si="496"/>
        <v>0</v>
      </c>
      <c r="DV242" s="545">
        <f t="shared" si="496"/>
        <v>0</v>
      </c>
      <c r="DW242" s="545">
        <f t="shared" si="496"/>
        <v>1.8</v>
      </c>
      <c r="DX242" s="545">
        <f t="shared" si="496"/>
        <v>0</v>
      </c>
      <c r="DY242" s="545">
        <f t="shared" si="496"/>
        <v>0</v>
      </c>
      <c r="DZ242" s="545">
        <f t="shared" si="496"/>
        <v>0</v>
      </c>
      <c r="EA242" s="545">
        <f t="shared" si="496"/>
        <v>981.4</v>
      </c>
      <c r="EB242" s="545">
        <f t="shared" si="496"/>
        <v>814.4</v>
      </c>
      <c r="EC242" s="545">
        <f t="shared" si="496"/>
        <v>400</v>
      </c>
      <c r="ED242" s="545">
        <f t="shared" si="496"/>
        <v>1</v>
      </c>
      <c r="EE242" s="545">
        <f t="shared" si="496"/>
        <v>0</v>
      </c>
      <c r="EF242" s="545">
        <f t="shared" si="496"/>
        <v>1.5</v>
      </c>
      <c r="EG242" s="545">
        <f t="shared" si="496"/>
        <v>0</v>
      </c>
      <c r="EH242" s="545">
        <f t="shared" si="496"/>
        <v>0</v>
      </c>
      <c r="EI242" s="545">
        <f t="shared" si="496"/>
        <v>0</v>
      </c>
      <c r="EJ242" s="545">
        <f t="shared" si="496"/>
        <v>0</v>
      </c>
      <c r="EK242" s="545">
        <f t="shared" si="496"/>
        <v>0</v>
      </c>
      <c r="EL242" s="545">
        <f t="shared" si="496"/>
        <v>0</v>
      </c>
      <c r="EM242" s="545">
        <f t="shared" si="496"/>
        <v>0</v>
      </c>
      <c r="EN242" s="545">
        <f t="shared" si="496"/>
        <v>0</v>
      </c>
      <c r="EO242" s="545">
        <f t="shared" si="496"/>
        <v>20</v>
      </c>
      <c r="EP242" s="545">
        <f t="shared" si="496"/>
        <v>60</v>
      </c>
      <c r="EQ242" s="545">
        <f t="shared" si="496"/>
        <v>0</v>
      </c>
      <c r="ER242" s="545">
        <f t="shared" si="496"/>
        <v>0</v>
      </c>
      <c r="ES242" s="545">
        <f t="shared" si="496"/>
        <v>0</v>
      </c>
      <c r="ET242" s="545">
        <f t="shared" si="496"/>
        <v>0</v>
      </c>
      <c r="EU242" s="545">
        <f t="shared" si="496"/>
        <v>0</v>
      </c>
      <c r="EV242" s="545">
        <f t="shared" si="496"/>
        <v>0</v>
      </c>
      <c r="EW242" s="545">
        <f t="shared" si="496"/>
        <v>0</v>
      </c>
      <c r="EX242" s="545">
        <f t="shared" si="496"/>
        <v>0</v>
      </c>
      <c r="EY242" s="545">
        <f t="shared" si="496"/>
        <v>0</v>
      </c>
      <c r="EZ242" s="545">
        <f t="shared" si="496"/>
        <v>0</v>
      </c>
      <c r="FA242" s="549">
        <f t="shared" si="496"/>
        <v>1920</v>
      </c>
      <c r="FB242" s="549">
        <f t="shared" si="496"/>
        <v>3751.9180000000001</v>
      </c>
      <c r="FC242" s="549">
        <f t="shared" si="496"/>
        <v>214.91800000000001</v>
      </c>
      <c r="FD242" s="550">
        <f t="shared" si="496"/>
        <v>135</v>
      </c>
      <c r="FE242" s="791" t="str">
        <f>IF(FB242&lt;инфо!$AN$73,FB242-инфо!$AN$73,"")</f>
        <v/>
      </c>
      <c r="FF242" s="157"/>
      <c r="FG242" s="157"/>
      <c r="FH242" s="157"/>
    </row>
    <row r="243" spans="2:164" ht="26.1" customHeight="1" outlineLevel="1" thickBot="1" x14ac:dyDescent="0.3">
      <c r="B243" s="1017" t="s">
        <v>123</v>
      </c>
      <c r="C243" s="1019">
        <f>C198+1</f>
        <v>45132</v>
      </c>
      <c r="D243" s="1036" t="s">
        <v>111</v>
      </c>
      <c r="E243" s="1039" t="s">
        <v>114</v>
      </c>
      <c r="F243" s="831" t="s">
        <v>111</v>
      </c>
      <c r="G243" s="798" t="str">
        <f>VLOOKUP(H243,инфо!AD:AE,2,FALSE)</f>
        <v>Прочее</v>
      </c>
      <c r="H243" s="569" t="s">
        <v>1206</v>
      </c>
      <c r="I243" s="609" t="s">
        <v>936</v>
      </c>
      <c r="J243" s="355"/>
      <c r="K243" s="356"/>
      <c r="L243" s="356"/>
      <c r="M243" s="356"/>
      <c r="N243" s="356"/>
      <c r="O243" s="356"/>
      <c r="P243" s="356"/>
      <c r="Q243" s="356"/>
      <c r="R243" s="356"/>
      <c r="S243" s="356"/>
      <c r="T243" s="356"/>
      <c r="U243" s="356"/>
      <c r="V243" s="356"/>
      <c r="W243" s="357"/>
      <c r="X243" s="357"/>
      <c r="Y243" s="357"/>
      <c r="Z243" s="357"/>
      <c r="AA243" s="357"/>
      <c r="AB243" s="357"/>
      <c r="AC243" s="357"/>
      <c r="AD243" s="357"/>
      <c r="AE243" s="357"/>
      <c r="AF243" s="357"/>
      <c r="AG243" s="357"/>
      <c r="AH243" s="357"/>
      <c r="AI243" s="357"/>
      <c r="AJ243" s="357"/>
      <c r="AK243" s="357"/>
      <c r="AL243" s="357"/>
      <c r="AM243" s="357"/>
      <c r="AN243" s="357"/>
      <c r="AO243" s="357"/>
      <c r="AP243" s="357"/>
      <c r="AQ243" s="357"/>
      <c r="AR243" s="357"/>
      <c r="AS243" s="357"/>
      <c r="AT243" s="357"/>
      <c r="AU243" s="357"/>
      <c r="AV243" s="357"/>
      <c r="AW243" s="357"/>
      <c r="AX243" s="357"/>
      <c r="AY243" s="357"/>
      <c r="AZ243" s="357"/>
      <c r="BA243" s="357"/>
      <c r="BB243" s="357"/>
      <c r="BC243" s="357"/>
      <c r="BD243" s="357"/>
      <c r="BE243" s="358"/>
      <c r="BF243" s="358"/>
      <c r="BG243" s="358"/>
      <c r="BH243" s="358"/>
      <c r="BI243" s="358"/>
      <c r="BJ243" s="358"/>
      <c r="BK243" s="358"/>
      <c r="BL243" s="358"/>
      <c r="BM243" s="358"/>
      <c r="BN243" s="359"/>
      <c r="BO243" s="359"/>
      <c r="BP243" s="359"/>
      <c r="BQ243" s="359"/>
      <c r="BR243" s="359"/>
      <c r="BS243" s="359"/>
      <c r="BT243" s="359"/>
      <c r="BU243" s="359"/>
      <c r="BV243" s="356"/>
      <c r="BW243" s="356"/>
      <c r="BX243" s="356"/>
      <c r="BY243" s="356"/>
      <c r="BZ243" s="356"/>
      <c r="CA243" s="356"/>
      <c r="CB243" s="356"/>
      <c r="CC243" s="360"/>
      <c r="CD243" s="360"/>
      <c r="CE243" s="360"/>
      <c r="CF243" s="360">
        <v>80</v>
      </c>
      <c r="CG243" s="360"/>
      <c r="CH243" s="360"/>
      <c r="CI243" s="360"/>
      <c r="CJ243" s="360"/>
      <c r="CK243" s="360"/>
      <c r="CL243" s="360"/>
      <c r="CM243" s="360"/>
      <c r="CN243" s="360"/>
      <c r="CO243" s="360"/>
      <c r="CP243" s="360"/>
      <c r="CQ243" s="360"/>
      <c r="CR243" s="360"/>
      <c r="CS243" s="361"/>
      <c r="CT243" s="361"/>
      <c r="CU243" s="361"/>
      <c r="CV243" s="361"/>
      <c r="CW243" s="361"/>
      <c r="CX243" s="361"/>
      <c r="CY243" s="361"/>
      <c r="CZ243" s="361"/>
      <c r="DA243" s="361"/>
      <c r="DB243" s="361"/>
      <c r="DC243" s="361"/>
      <c r="DD243" s="361"/>
      <c r="DE243" s="361"/>
      <c r="DF243" s="361"/>
      <c r="DG243" s="361"/>
      <c r="DH243" s="361"/>
      <c r="DI243" s="361"/>
      <c r="DJ243" s="361"/>
      <c r="DK243" s="361"/>
      <c r="DL243" s="361"/>
      <c r="DM243" s="361"/>
      <c r="DN243" s="931"/>
      <c r="DO243" s="362"/>
      <c r="DP243" s="362"/>
      <c r="DQ243" s="363"/>
      <c r="DR243" s="363"/>
      <c r="DS243" s="358"/>
      <c r="DT243" s="358"/>
      <c r="DU243" s="358"/>
      <c r="DV243" s="358"/>
      <c r="DW243" s="358"/>
      <c r="DX243" s="358"/>
      <c r="DY243" s="358"/>
      <c r="DZ243" s="358"/>
      <c r="EA243" s="358"/>
      <c r="EB243" s="358"/>
      <c r="EC243" s="358"/>
      <c r="ED243" s="358"/>
      <c r="EE243" s="358"/>
      <c r="EF243" s="358"/>
      <c r="EG243" s="358"/>
      <c r="EH243" s="358"/>
      <c r="EI243" s="358"/>
      <c r="EJ243" s="358"/>
      <c r="EK243" s="358"/>
      <c r="EL243" s="358"/>
      <c r="EM243" s="358"/>
      <c r="EN243" s="358"/>
      <c r="EO243" s="358"/>
      <c r="EP243" s="358"/>
      <c r="EQ243" s="358"/>
      <c r="ER243" s="358"/>
      <c r="ES243" s="358"/>
      <c r="ET243" s="358"/>
      <c r="EU243" s="358"/>
      <c r="EV243" s="358"/>
      <c r="EW243" s="358"/>
      <c r="EX243" s="358"/>
      <c r="EY243" s="358"/>
      <c r="EZ243" s="358"/>
      <c r="FA243" s="364"/>
      <c r="FB243" s="365">
        <v>78</v>
      </c>
      <c r="FC243" s="366">
        <v>78</v>
      </c>
      <c r="FD243" s="367">
        <f>SUM(BE243:BG243,BI243,BL243:BM243)+SUM(BH243,BJ243,BK243)*5</f>
        <v>0</v>
      </c>
      <c r="FE243" s="789"/>
    </row>
    <row r="244" spans="2:164" ht="26.1" customHeight="1" outlineLevel="1" thickBot="1" x14ac:dyDescent="0.3">
      <c r="B244" s="1018"/>
      <c r="C244" s="1020"/>
      <c r="D244" s="1036"/>
      <c r="E244" s="1039"/>
      <c r="F244" s="832" t="s">
        <v>111</v>
      </c>
      <c r="G244" s="799" t="str">
        <f>VLOOKUP(H244,инфо!AD:AE,2,FALSE)</f>
        <v>Гарниры</v>
      </c>
      <c r="H244" s="570" t="s">
        <v>1198</v>
      </c>
      <c r="I244" s="600" t="s">
        <v>1002</v>
      </c>
      <c r="J244" s="368"/>
      <c r="K244" s="369"/>
      <c r="L244" s="369"/>
      <c r="M244" s="369"/>
      <c r="N244" s="369"/>
      <c r="O244" s="369"/>
      <c r="P244" s="369">
        <v>83</v>
      </c>
      <c r="Q244" s="369"/>
      <c r="R244" s="369"/>
      <c r="S244" s="369"/>
      <c r="T244" s="369"/>
      <c r="U244" s="369"/>
      <c r="V244" s="369"/>
      <c r="W244" s="370"/>
      <c r="X244" s="370"/>
      <c r="Y244" s="370"/>
      <c r="Z244" s="370"/>
      <c r="AA244" s="370"/>
      <c r="AB244" s="370"/>
      <c r="AC244" s="370"/>
      <c r="AD244" s="370"/>
      <c r="AE244" s="370"/>
      <c r="AF244" s="370"/>
      <c r="AG244" s="370"/>
      <c r="AH244" s="370"/>
      <c r="AI244" s="370"/>
      <c r="AJ244" s="370"/>
      <c r="AK244" s="370"/>
      <c r="AL244" s="370"/>
      <c r="AM244" s="370"/>
      <c r="AN244" s="370"/>
      <c r="AO244" s="370"/>
      <c r="AP244" s="370"/>
      <c r="AQ244" s="370"/>
      <c r="AR244" s="370"/>
      <c r="AS244" s="370"/>
      <c r="AT244" s="370"/>
      <c r="AU244" s="370"/>
      <c r="AV244" s="370"/>
      <c r="AW244" s="370"/>
      <c r="AX244" s="370"/>
      <c r="AY244" s="370"/>
      <c r="AZ244" s="370"/>
      <c r="BA244" s="370"/>
      <c r="BB244" s="370"/>
      <c r="BC244" s="370"/>
      <c r="BD244" s="370"/>
      <c r="BE244" s="371">
        <v>150</v>
      </c>
      <c r="BF244" s="371"/>
      <c r="BG244" s="371"/>
      <c r="BH244" s="371"/>
      <c r="BI244" s="371"/>
      <c r="BJ244" s="371"/>
      <c r="BK244" s="371"/>
      <c r="BL244" s="371"/>
      <c r="BM244" s="371"/>
      <c r="BN244" s="372"/>
      <c r="BO244" s="372"/>
      <c r="BP244" s="372"/>
      <c r="BQ244" s="372"/>
      <c r="BR244" s="372"/>
      <c r="BS244" s="372"/>
      <c r="BT244" s="372"/>
      <c r="BU244" s="372"/>
      <c r="BV244" s="369"/>
      <c r="BW244" s="369"/>
      <c r="BX244" s="369"/>
      <c r="BY244" s="369"/>
      <c r="BZ244" s="369"/>
      <c r="CA244" s="369"/>
      <c r="CB244" s="369"/>
      <c r="CC244" s="373"/>
      <c r="CD244" s="373"/>
      <c r="CE244" s="373"/>
      <c r="CF244" s="373"/>
      <c r="CG244" s="373"/>
      <c r="CH244" s="373"/>
      <c r="CI244" s="373"/>
      <c r="CJ244" s="373"/>
      <c r="CK244" s="373"/>
      <c r="CL244" s="373"/>
      <c r="CM244" s="373"/>
      <c r="CN244" s="373"/>
      <c r="CO244" s="373"/>
      <c r="CP244" s="373"/>
      <c r="CQ244" s="373"/>
      <c r="CR244" s="373"/>
      <c r="CS244" s="374"/>
      <c r="CT244" s="374"/>
      <c r="CU244" s="374"/>
      <c r="CV244" s="374"/>
      <c r="CW244" s="374"/>
      <c r="CX244" s="374"/>
      <c r="CY244" s="374"/>
      <c r="CZ244" s="374"/>
      <c r="DA244" s="374"/>
      <c r="DB244" s="374"/>
      <c r="DC244" s="374"/>
      <c r="DD244" s="374"/>
      <c r="DE244" s="374"/>
      <c r="DF244" s="374"/>
      <c r="DG244" s="374"/>
      <c r="DH244" s="374"/>
      <c r="DI244" s="374"/>
      <c r="DJ244" s="374"/>
      <c r="DK244" s="374"/>
      <c r="DL244" s="374"/>
      <c r="DM244" s="374"/>
      <c r="DN244" s="932"/>
      <c r="DO244" s="375">
        <v>10</v>
      </c>
      <c r="DP244" s="375">
        <v>3</v>
      </c>
      <c r="DQ244" s="376"/>
      <c r="DR244" s="376"/>
      <c r="DS244" s="371"/>
      <c r="DT244" s="371"/>
      <c r="DU244" s="371"/>
      <c r="DV244" s="371"/>
      <c r="DW244" s="371"/>
      <c r="DX244" s="371"/>
      <c r="DY244" s="371"/>
      <c r="DZ244" s="371"/>
      <c r="EA244" s="371">
        <v>115.6</v>
      </c>
      <c r="EB244" s="371"/>
      <c r="EC244" s="371"/>
      <c r="ED244" s="371"/>
      <c r="EE244" s="371"/>
      <c r="EF244" s="371"/>
      <c r="EG244" s="371"/>
      <c r="EH244" s="371"/>
      <c r="EI244" s="371"/>
      <c r="EJ244" s="371"/>
      <c r="EK244" s="371"/>
      <c r="EL244" s="371"/>
      <c r="EM244" s="371"/>
      <c r="EN244" s="371"/>
      <c r="EO244" s="371"/>
      <c r="EP244" s="371"/>
      <c r="EQ244" s="371"/>
      <c r="ER244" s="371"/>
      <c r="ES244" s="371"/>
      <c r="ET244" s="371"/>
      <c r="EU244" s="371"/>
      <c r="EV244" s="371"/>
      <c r="EW244" s="371"/>
      <c r="EX244" s="371"/>
      <c r="EY244" s="371"/>
      <c r="EZ244" s="371"/>
      <c r="FA244" s="377">
        <v>415</v>
      </c>
      <c r="FB244" s="378">
        <v>332</v>
      </c>
      <c r="FC244" s="378"/>
      <c r="FD244" s="379">
        <f t="shared" ref="FD244:FD252" si="497">SUM(BE244:BG244,BI244,BL244:BM244)+SUM(BH244,BJ244,BK244)*5</f>
        <v>150</v>
      </c>
      <c r="FE244" s="790"/>
    </row>
    <row r="245" spans="2:164" ht="26.1" customHeight="1" outlineLevel="1" thickBot="1" x14ac:dyDescent="0.3">
      <c r="B245" s="1018"/>
      <c r="C245" s="1020"/>
      <c r="D245" s="1036"/>
      <c r="E245" s="1040"/>
      <c r="F245" s="833" t="s">
        <v>111</v>
      </c>
      <c r="G245" s="800" t="str">
        <f>VLOOKUP(H245,инфо!AD:AE,2,FALSE)</f>
        <v>Прочее</v>
      </c>
      <c r="H245" s="571" t="s">
        <v>1197</v>
      </c>
      <c r="I245" s="607" t="s">
        <v>1555</v>
      </c>
      <c r="J245" s="380"/>
      <c r="K245" s="381"/>
      <c r="L245" s="381"/>
      <c r="M245" s="381"/>
      <c r="N245" s="381"/>
      <c r="O245" s="381"/>
      <c r="P245" s="381"/>
      <c r="Q245" s="381"/>
      <c r="R245" s="381"/>
      <c r="S245" s="381"/>
      <c r="T245" s="381"/>
      <c r="U245" s="381"/>
      <c r="V245" s="381"/>
      <c r="W245" s="382"/>
      <c r="X245" s="382"/>
      <c r="Y245" s="382"/>
      <c r="Z245" s="382"/>
      <c r="AA245" s="382"/>
      <c r="AB245" s="382"/>
      <c r="AC245" s="382"/>
      <c r="AD245" s="382"/>
      <c r="AE245" s="382"/>
      <c r="AF245" s="382"/>
      <c r="AG245" s="382"/>
      <c r="AH245" s="382"/>
      <c r="AI245" s="382"/>
      <c r="AJ245" s="382"/>
      <c r="AK245" s="382"/>
      <c r="AL245" s="382"/>
      <c r="AM245" s="382"/>
      <c r="AN245" s="382"/>
      <c r="AO245" s="382"/>
      <c r="AP245" s="382"/>
      <c r="AQ245" s="382"/>
      <c r="AR245" s="382"/>
      <c r="AS245" s="382"/>
      <c r="AT245" s="382"/>
      <c r="AU245" s="382"/>
      <c r="AV245" s="382"/>
      <c r="AW245" s="382"/>
      <c r="AX245" s="382"/>
      <c r="AY245" s="382"/>
      <c r="AZ245" s="382"/>
      <c r="BA245" s="382"/>
      <c r="BB245" s="382">
        <v>20</v>
      </c>
      <c r="BC245" s="382"/>
      <c r="BD245" s="382"/>
      <c r="BE245" s="383"/>
      <c r="BF245" s="383"/>
      <c r="BG245" s="383"/>
      <c r="BH245" s="383"/>
      <c r="BI245" s="383"/>
      <c r="BJ245" s="383"/>
      <c r="BK245" s="383"/>
      <c r="BL245" s="383"/>
      <c r="BM245" s="383"/>
      <c r="BN245" s="384"/>
      <c r="BO245" s="384"/>
      <c r="BP245" s="384"/>
      <c r="BQ245" s="384"/>
      <c r="BR245" s="384"/>
      <c r="BS245" s="384"/>
      <c r="BT245" s="384"/>
      <c r="BU245" s="384"/>
      <c r="BV245" s="381"/>
      <c r="BW245" s="381"/>
      <c r="BX245" s="381"/>
      <c r="BY245" s="381"/>
      <c r="BZ245" s="381"/>
      <c r="CA245" s="381"/>
      <c r="CB245" s="381"/>
      <c r="CC245" s="385"/>
      <c r="CD245" s="385"/>
      <c r="CE245" s="385"/>
      <c r="CF245" s="385"/>
      <c r="CG245" s="385"/>
      <c r="CH245" s="385"/>
      <c r="CI245" s="385"/>
      <c r="CJ245" s="385"/>
      <c r="CK245" s="385"/>
      <c r="CL245" s="385"/>
      <c r="CM245" s="385"/>
      <c r="CN245" s="385"/>
      <c r="CO245" s="385"/>
      <c r="CP245" s="385"/>
      <c r="CQ245" s="385"/>
      <c r="CR245" s="385"/>
      <c r="CS245" s="386"/>
      <c r="CT245" s="386"/>
      <c r="CU245" s="386"/>
      <c r="CV245" s="386"/>
      <c r="CW245" s="386"/>
      <c r="CX245" s="386"/>
      <c r="CY245" s="386"/>
      <c r="CZ245" s="386"/>
      <c r="DA245" s="386"/>
      <c r="DB245" s="386"/>
      <c r="DC245" s="386"/>
      <c r="DD245" s="386"/>
      <c r="DE245" s="386"/>
      <c r="DF245" s="386"/>
      <c r="DG245" s="386"/>
      <c r="DH245" s="386"/>
      <c r="DI245" s="386"/>
      <c r="DJ245" s="386"/>
      <c r="DK245" s="386"/>
      <c r="DL245" s="386"/>
      <c r="DM245" s="386"/>
      <c r="DN245" s="933"/>
      <c r="DO245" s="387"/>
      <c r="DP245" s="387"/>
      <c r="DQ245" s="388"/>
      <c r="DR245" s="388"/>
      <c r="DS245" s="383"/>
      <c r="DT245" s="383"/>
      <c r="DU245" s="383"/>
      <c r="DV245" s="383"/>
      <c r="DW245" s="383"/>
      <c r="DX245" s="383"/>
      <c r="DY245" s="383"/>
      <c r="DZ245" s="383"/>
      <c r="EA245" s="383"/>
      <c r="EB245" s="383"/>
      <c r="EC245" s="383"/>
      <c r="ED245" s="383"/>
      <c r="EE245" s="383"/>
      <c r="EF245" s="383"/>
      <c r="EG245" s="383"/>
      <c r="EH245" s="383"/>
      <c r="EI245" s="383"/>
      <c r="EJ245" s="383"/>
      <c r="EK245" s="383"/>
      <c r="EL245" s="383"/>
      <c r="EM245" s="383"/>
      <c r="EN245" s="383"/>
      <c r="EO245" s="383"/>
      <c r="EP245" s="383"/>
      <c r="EQ245" s="383"/>
      <c r="ER245" s="383"/>
      <c r="ES245" s="383"/>
      <c r="ET245" s="383"/>
      <c r="EU245" s="383"/>
      <c r="EV245" s="383"/>
      <c r="EW245" s="383"/>
      <c r="EX245" s="383"/>
      <c r="EY245" s="383"/>
      <c r="EZ245" s="383"/>
      <c r="FA245" s="389">
        <v>15</v>
      </c>
      <c r="FB245" s="390">
        <v>20</v>
      </c>
      <c r="FC245" s="390"/>
      <c r="FD245" s="391">
        <f t="shared" si="497"/>
        <v>0</v>
      </c>
      <c r="FE245" s="790"/>
    </row>
    <row r="246" spans="2:164" ht="26.1" customHeight="1" outlineLevel="1" thickBot="1" x14ac:dyDescent="0.3">
      <c r="B246" s="1018"/>
      <c r="C246" s="1020"/>
      <c r="D246" s="1036"/>
      <c r="E246" s="1039" t="s">
        <v>115</v>
      </c>
      <c r="F246" s="831" t="s">
        <v>111</v>
      </c>
      <c r="G246" s="798" t="str">
        <f>VLOOKUP(H246,инфо!AD:AE,2,FALSE)</f>
        <v>Прочее</v>
      </c>
      <c r="H246" s="569" t="s">
        <v>1197</v>
      </c>
      <c r="I246" s="609" t="s">
        <v>64</v>
      </c>
      <c r="J246" s="355"/>
      <c r="K246" s="356"/>
      <c r="L246" s="356"/>
      <c r="M246" s="356"/>
      <c r="N246" s="356"/>
      <c r="O246" s="356"/>
      <c r="P246" s="356"/>
      <c r="Q246" s="356"/>
      <c r="R246" s="356"/>
      <c r="S246" s="356"/>
      <c r="T246" s="356"/>
      <c r="U246" s="356"/>
      <c r="V246" s="356"/>
      <c r="W246" s="357"/>
      <c r="X246" s="357"/>
      <c r="Y246" s="357"/>
      <c r="Z246" s="357"/>
      <c r="AA246" s="357"/>
      <c r="AB246" s="357"/>
      <c r="AC246" s="357"/>
      <c r="AD246" s="357"/>
      <c r="AE246" s="357"/>
      <c r="AF246" s="357"/>
      <c r="AG246" s="357"/>
      <c r="AH246" s="357"/>
      <c r="AI246" s="357"/>
      <c r="AJ246" s="357"/>
      <c r="AK246" s="357"/>
      <c r="AL246" s="357"/>
      <c r="AM246" s="357"/>
      <c r="AN246" s="357"/>
      <c r="AO246" s="357"/>
      <c r="AP246" s="357"/>
      <c r="AQ246" s="357"/>
      <c r="AR246" s="357"/>
      <c r="AS246" s="357"/>
      <c r="AT246" s="357"/>
      <c r="AU246" s="357"/>
      <c r="AV246" s="357"/>
      <c r="AW246" s="357"/>
      <c r="AX246" s="357"/>
      <c r="AY246" s="357"/>
      <c r="AZ246" s="357"/>
      <c r="BA246" s="357"/>
      <c r="BB246" s="357"/>
      <c r="BC246" s="357"/>
      <c r="BD246" s="357"/>
      <c r="BE246" s="358"/>
      <c r="BF246" s="358"/>
      <c r="BG246" s="358"/>
      <c r="BH246" s="358"/>
      <c r="BI246" s="358"/>
      <c r="BJ246" s="358"/>
      <c r="BK246" s="358"/>
      <c r="BL246" s="358"/>
      <c r="BM246" s="358"/>
      <c r="BN246" s="359"/>
      <c r="BO246" s="359"/>
      <c r="BP246" s="359"/>
      <c r="BQ246" s="359"/>
      <c r="BR246" s="359"/>
      <c r="BS246" s="359"/>
      <c r="BT246" s="359"/>
      <c r="BU246" s="359"/>
      <c r="BV246" s="356"/>
      <c r="BW246" s="356"/>
      <c r="BX246" s="356"/>
      <c r="BY246" s="356"/>
      <c r="BZ246" s="356"/>
      <c r="CA246" s="356"/>
      <c r="CB246" s="356"/>
      <c r="CC246" s="360"/>
      <c r="CD246" s="360">
        <v>25</v>
      </c>
      <c r="CE246" s="360"/>
      <c r="CF246" s="360"/>
      <c r="CG246" s="360"/>
      <c r="CH246" s="360"/>
      <c r="CI246" s="360"/>
      <c r="CJ246" s="360"/>
      <c r="CK246" s="360"/>
      <c r="CL246" s="360"/>
      <c r="CM246" s="360"/>
      <c r="CN246" s="360"/>
      <c r="CO246" s="360"/>
      <c r="CP246" s="360"/>
      <c r="CQ246" s="360"/>
      <c r="CR246" s="360"/>
      <c r="CS246" s="361"/>
      <c r="CT246" s="361"/>
      <c r="CU246" s="361"/>
      <c r="CV246" s="361"/>
      <c r="CW246" s="361"/>
      <c r="CX246" s="361"/>
      <c r="CY246" s="361"/>
      <c r="CZ246" s="361"/>
      <c r="DA246" s="361"/>
      <c r="DB246" s="361"/>
      <c r="DC246" s="361"/>
      <c r="DD246" s="361"/>
      <c r="DE246" s="361"/>
      <c r="DF246" s="361"/>
      <c r="DG246" s="361"/>
      <c r="DH246" s="361"/>
      <c r="DI246" s="361"/>
      <c r="DJ246" s="361"/>
      <c r="DK246" s="361"/>
      <c r="DL246" s="361"/>
      <c r="DM246" s="361"/>
      <c r="DN246" s="931"/>
      <c r="DO246" s="362"/>
      <c r="DP246" s="362"/>
      <c r="DQ246" s="363"/>
      <c r="DR246" s="363"/>
      <c r="DS246" s="358"/>
      <c r="DT246" s="358"/>
      <c r="DU246" s="358"/>
      <c r="DV246" s="358"/>
      <c r="DW246" s="358"/>
      <c r="DX246" s="358"/>
      <c r="DY246" s="358"/>
      <c r="DZ246" s="358"/>
      <c r="EA246" s="358"/>
      <c r="EB246" s="358"/>
      <c r="EC246" s="358"/>
      <c r="ED246" s="358"/>
      <c r="EE246" s="358"/>
      <c r="EF246" s="358"/>
      <c r="EG246" s="358"/>
      <c r="EH246" s="358"/>
      <c r="EI246" s="358"/>
      <c r="EJ246" s="358"/>
      <c r="EK246" s="358"/>
      <c r="EL246" s="358"/>
      <c r="EM246" s="358"/>
      <c r="EN246" s="358"/>
      <c r="EO246" s="358"/>
      <c r="EP246" s="358"/>
      <c r="EQ246" s="358"/>
      <c r="ER246" s="358"/>
      <c r="ES246" s="358"/>
      <c r="ET246" s="358"/>
      <c r="EU246" s="358"/>
      <c r="EV246" s="358"/>
      <c r="EW246" s="358"/>
      <c r="EX246" s="358"/>
      <c r="EY246" s="358"/>
      <c r="EZ246" s="358"/>
      <c r="FA246" s="364"/>
      <c r="FB246" s="365">
        <v>25</v>
      </c>
      <c r="FC246" s="365"/>
      <c r="FD246" s="367">
        <f t="shared" si="497"/>
        <v>0</v>
      </c>
      <c r="FE246" s="790"/>
    </row>
    <row r="247" spans="2:164" ht="26.1" customHeight="1" outlineLevel="1" thickBot="1" x14ac:dyDescent="0.3">
      <c r="B247" s="1018"/>
      <c r="C247" s="1020"/>
      <c r="D247" s="1036"/>
      <c r="E247" s="1039"/>
      <c r="F247" s="832" t="s">
        <v>111</v>
      </c>
      <c r="G247" s="799" t="str">
        <f>VLOOKUP(H247,инфо!AD:AE,2,FALSE)</f>
        <v>Холодные закуски</v>
      </c>
      <c r="H247" s="572" t="s">
        <v>1200</v>
      </c>
      <c r="I247" s="589" t="s">
        <v>1146</v>
      </c>
      <c r="J247" s="368"/>
      <c r="K247" s="369"/>
      <c r="L247" s="369"/>
      <c r="M247" s="369"/>
      <c r="N247" s="369"/>
      <c r="O247" s="369"/>
      <c r="P247" s="369"/>
      <c r="Q247" s="369"/>
      <c r="R247" s="369"/>
      <c r="S247" s="369"/>
      <c r="T247" s="369"/>
      <c r="U247" s="369"/>
      <c r="V247" s="369"/>
      <c r="W247" s="370"/>
      <c r="X247" s="370"/>
      <c r="Y247" s="370"/>
      <c r="Z247" s="370"/>
      <c r="AA247" s="370"/>
      <c r="AB247" s="370"/>
      <c r="AC247" s="370"/>
      <c r="AD247" s="370"/>
      <c r="AE247" s="370"/>
      <c r="AF247" s="370"/>
      <c r="AG247" s="370"/>
      <c r="AH247" s="370"/>
      <c r="AI247" s="370"/>
      <c r="AJ247" s="370"/>
      <c r="AK247" s="370"/>
      <c r="AL247" s="370"/>
      <c r="AM247" s="370"/>
      <c r="AN247" s="370"/>
      <c r="AO247" s="370"/>
      <c r="AP247" s="370"/>
      <c r="AQ247" s="370"/>
      <c r="AR247" s="370"/>
      <c r="AS247" s="370"/>
      <c r="AT247" s="370"/>
      <c r="AU247" s="370"/>
      <c r="AV247" s="370"/>
      <c r="AW247" s="370"/>
      <c r="AX247" s="370"/>
      <c r="AY247" s="370"/>
      <c r="AZ247" s="370"/>
      <c r="BA247" s="370"/>
      <c r="BB247" s="370"/>
      <c r="BC247" s="370"/>
      <c r="BD247" s="370"/>
      <c r="BE247" s="371"/>
      <c r="BF247" s="371"/>
      <c r="BG247" s="371"/>
      <c r="BH247" s="371"/>
      <c r="BI247" s="371"/>
      <c r="BJ247" s="371"/>
      <c r="BK247" s="371"/>
      <c r="BL247" s="371"/>
      <c r="BM247" s="371"/>
      <c r="BN247" s="372"/>
      <c r="BO247" s="372"/>
      <c r="BP247" s="372"/>
      <c r="BQ247" s="372"/>
      <c r="BR247" s="372"/>
      <c r="BS247" s="372"/>
      <c r="BT247" s="372"/>
      <c r="BU247" s="372"/>
      <c r="BV247" s="369"/>
      <c r="BW247" s="369"/>
      <c r="BX247" s="369"/>
      <c r="BY247" s="369"/>
      <c r="BZ247" s="369"/>
      <c r="CA247" s="369"/>
      <c r="CB247" s="369"/>
      <c r="CC247" s="373"/>
      <c r="CD247" s="373"/>
      <c r="CE247" s="373"/>
      <c r="CF247" s="373"/>
      <c r="CG247" s="373"/>
      <c r="CH247" s="373"/>
      <c r="CI247" s="373"/>
      <c r="CJ247" s="373"/>
      <c r="CK247" s="373"/>
      <c r="CL247" s="373"/>
      <c r="CM247" s="373"/>
      <c r="CN247" s="373"/>
      <c r="CO247" s="373"/>
      <c r="CP247" s="373"/>
      <c r="CQ247" s="373"/>
      <c r="CR247" s="373"/>
      <c r="CS247" s="374"/>
      <c r="CT247" s="374"/>
      <c r="CU247" s="374"/>
      <c r="CV247" s="374"/>
      <c r="CW247" s="374"/>
      <c r="CX247" s="374"/>
      <c r="CY247" s="374"/>
      <c r="CZ247" s="374"/>
      <c r="DA247" s="374"/>
      <c r="DB247" s="374"/>
      <c r="DC247" s="374"/>
      <c r="DD247" s="374"/>
      <c r="DE247" s="374"/>
      <c r="DF247" s="374"/>
      <c r="DG247" s="374"/>
      <c r="DH247" s="374"/>
      <c r="DI247" s="374"/>
      <c r="DJ247" s="374"/>
      <c r="DK247" s="374"/>
      <c r="DL247" s="374"/>
      <c r="DM247" s="374"/>
      <c r="DN247" s="932">
        <v>1</v>
      </c>
      <c r="DO247" s="375"/>
      <c r="DP247" s="375">
        <v>2</v>
      </c>
      <c r="DQ247" s="376"/>
      <c r="DR247" s="376"/>
      <c r="DS247" s="371"/>
      <c r="DT247" s="371"/>
      <c r="DU247" s="371"/>
      <c r="DV247" s="371"/>
      <c r="DW247" s="371"/>
      <c r="DX247" s="371"/>
      <c r="DY247" s="371"/>
      <c r="DZ247" s="371"/>
      <c r="EA247" s="371"/>
      <c r="EB247" s="371"/>
      <c r="EC247" s="371"/>
      <c r="ED247" s="371"/>
      <c r="EE247" s="371"/>
      <c r="EF247" s="371"/>
      <c r="EG247" s="371"/>
      <c r="EH247" s="371"/>
      <c r="EI247" s="371"/>
      <c r="EJ247" s="371"/>
      <c r="EK247" s="371"/>
      <c r="EL247" s="371"/>
      <c r="EM247" s="371"/>
      <c r="EN247" s="371"/>
      <c r="EO247" s="371"/>
      <c r="EP247" s="371"/>
      <c r="EQ247" s="371"/>
      <c r="ER247" s="371"/>
      <c r="ES247" s="371"/>
      <c r="ET247" s="371"/>
      <c r="EU247" s="371"/>
      <c r="EV247" s="371"/>
      <c r="EW247" s="371"/>
      <c r="EX247" s="371"/>
      <c r="EY247" s="371"/>
      <c r="EZ247" s="371"/>
      <c r="FA247" s="377"/>
      <c r="FB247" s="378">
        <v>40</v>
      </c>
      <c r="FC247" s="378"/>
      <c r="FD247" s="379">
        <f t="shared" si="497"/>
        <v>0</v>
      </c>
      <c r="FE247" s="790"/>
    </row>
    <row r="248" spans="2:164" ht="26.1" customHeight="1" outlineLevel="1" thickBot="1" x14ac:dyDescent="0.3">
      <c r="B248" s="1018"/>
      <c r="C248" s="1020"/>
      <c r="D248" s="1036"/>
      <c r="E248" s="1039"/>
      <c r="F248" s="834" t="s">
        <v>111</v>
      </c>
      <c r="G248" s="801" t="str">
        <f>VLOOKUP(H248,инфо!AD:AE,2,FALSE)</f>
        <v>Прочее</v>
      </c>
      <c r="H248" s="573" t="s">
        <v>1197</v>
      </c>
      <c r="I248" s="606" t="s">
        <v>60</v>
      </c>
      <c r="J248" s="392"/>
      <c r="K248" s="393"/>
      <c r="L248" s="393"/>
      <c r="M248" s="393"/>
      <c r="N248" s="393"/>
      <c r="O248" s="393"/>
      <c r="P248" s="393"/>
      <c r="Q248" s="393"/>
      <c r="R248" s="393"/>
      <c r="S248" s="393"/>
      <c r="T248" s="393"/>
      <c r="U248" s="393"/>
      <c r="V248" s="393"/>
      <c r="W248" s="394"/>
      <c r="X248" s="394"/>
      <c r="Y248" s="394"/>
      <c r="Z248" s="394"/>
      <c r="AA248" s="394"/>
      <c r="AB248" s="394"/>
      <c r="AC248" s="394"/>
      <c r="AD248" s="394"/>
      <c r="AE248" s="394"/>
      <c r="AF248" s="394"/>
      <c r="AG248" s="394"/>
      <c r="AH248" s="394"/>
      <c r="AI248" s="394"/>
      <c r="AJ248" s="394"/>
      <c r="AK248" s="394"/>
      <c r="AL248" s="394"/>
      <c r="AM248" s="394"/>
      <c r="AN248" s="394"/>
      <c r="AO248" s="394"/>
      <c r="AP248" s="394"/>
      <c r="AQ248" s="394"/>
      <c r="AR248" s="394"/>
      <c r="AS248" s="394"/>
      <c r="AT248" s="394"/>
      <c r="AU248" s="394"/>
      <c r="AV248" s="394"/>
      <c r="AW248" s="394"/>
      <c r="AX248" s="394"/>
      <c r="AY248" s="394"/>
      <c r="AZ248" s="394"/>
      <c r="BA248" s="394"/>
      <c r="BB248" s="394"/>
      <c r="BC248" s="394"/>
      <c r="BD248" s="394"/>
      <c r="BE248" s="395"/>
      <c r="BF248" s="395"/>
      <c r="BG248" s="395"/>
      <c r="BH248" s="395"/>
      <c r="BI248" s="395"/>
      <c r="BJ248" s="395"/>
      <c r="BK248" s="395"/>
      <c r="BL248" s="395"/>
      <c r="BM248" s="395"/>
      <c r="BN248" s="396">
        <v>15</v>
      </c>
      <c r="BO248" s="396"/>
      <c r="BP248" s="396"/>
      <c r="BQ248" s="396"/>
      <c r="BR248" s="396"/>
      <c r="BS248" s="396"/>
      <c r="BT248" s="396"/>
      <c r="BU248" s="396"/>
      <c r="BV248" s="393"/>
      <c r="BW248" s="393"/>
      <c r="BX248" s="393"/>
      <c r="BY248" s="393"/>
      <c r="BZ248" s="393"/>
      <c r="CA248" s="393"/>
      <c r="CB248" s="393"/>
      <c r="CC248" s="397"/>
      <c r="CD248" s="397"/>
      <c r="CE248" s="397"/>
      <c r="CF248" s="397"/>
      <c r="CG248" s="397"/>
      <c r="CH248" s="397"/>
      <c r="CI248" s="397"/>
      <c r="CJ248" s="397"/>
      <c r="CK248" s="397"/>
      <c r="CL248" s="397"/>
      <c r="CM248" s="397"/>
      <c r="CN248" s="397"/>
      <c r="CO248" s="397"/>
      <c r="CP248" s="397"/>
      <c r="CQ248" s="397"/>
      <c r="CR248" s="397"/>
      <c r="CS248" s="398"/>
      <c r="CT248" s="398"/>
      <c r="CU248" s="398"/>
      <c r="CV248" s="398"/>
      <c r="CW248" s="399"/>
      <c r="CX248" s="398"/>
      <c r="CY248" s="398"/>
      <c r="CZ248" s="398"/>
      <c r="DA248" s="398"/>
      <c r="DB248" s="398"/>
      <c r="DC248" s="398"/>
      <c r="DD248" s="398"/>
      <c r="DE248" s="398"/>
      <c r="DF248" s="398"/>
      <c r="DG248" s="398"/>
      <c r="DH248" s="398"/>
      <c r="DI248" s="398"/>
      <c r="DJ248" s="398"/>
      <c r="DK248" s="398"/>
      <c r="DL248" s="398"/>
      <c r="DM248" s="398"/>
      <c r="DN248" s="934"/>
      <c r="DO248" s="400"/>
      <c r="DP248" s="400"/>
      <c r="DQ248" s="401"/>
      <c r="DR248" s="401"/>
      <c r="DS248" s="395"/>
      <c r="DT248" s="395"/>
      <c r="DU248" s="395"/>
      <c r="DV248" s="395"/>
      <c r="DW248" s="395"/>
      <c r="DX248" s="395"/>
      <c r="DY248" s="395"/>
      <c r="DZ248" s="395"/>
      <c r="EA248" s="395"/>
      <c r="EB248" s="395"/>
      <c r="EC248" s="395"/>
      <c r="ED248" s="395"/>
      <c r="EE248" s="395"/>
      <c r="EF248" s="395"/>
      <c r="EG248" s="395"/>
      <c r="EH248" s="395"/>
      <c r="EI248" s="395"/>
      <c r="EJ248" s="395"/>
      <c r="EK248" s="395"/>
      <c r="EL248" s="395"/>
      <c r="EM248" s="395"/>
      <c r="EN248" s="395"/>
      <c r="EO248" s="395"/>
      <c r="EP248" s="395"/>
      <c r="EQ248" s="395"/>
      <c r="ER248" s="395"/>
      <c r="ES248" s="395"/>
      <c r="ET248" s="395"/>
      <c r="EU248" s="395"/>
      <c r="EV248" s="395"/>
      <c r="EW248" s="395"/>
      <c r="EX248" s="395"/>
      <c r="EY248" s="395"/>
      <c r="EZ248" s="395"/>
      <c r="FA248" s="402"/>
      <c r="FB248" s="403">
        <v>15</v>
      </c>
      <c r="FC248" s="403"/>
      <c r="FD248" s="404">
        <f t="shared" si="497"/>
        <v>0</v>
      </c>
      <c r="FE248" s="790"/>
    </row>
    <row r="249" spans="2:164" ht="26.1" customHeight="1" outlineLevel="1" thickBot="1" x14ac:dyDescent="0.3">
      <c r="B249" s="1018"/>
      <c r="C249" s="1020"/>
      <c r="D249" s="1036"/>
      <c r="E249" s="1041" t="s">
        <v>116</v>
      </c>
      <c r="F249" s="835" t="s">
        <v>111</v>
      </c>
      <c r="G249" s="802" t="str">
        <f>VLOOKUP(H249,инфо!AD:AE,2,FALSE)</f>
        <v>Напитки</v>
      </c>
      <c r="H249" s="574" t="s">
        <v>1195</v>
      </c>
      <c r="I249" s="588" t="s">
        <v>1156</v>
      </c>
      <c r="J249" s="405"/>
      <c r="K249" s="406"/>
      <c r="L249" s="406"/>
      <c r="M249" s="406"/>
      <c r="N249" s="406"/>
      <c r="O249" s="406"/>
      <c r="P249" s="406"/>
      <c r="Q249" s="406"/>
      <c r="R249" s="406"/>
      <c r="S249" s="406"/>
      <c r="T249" s="406"/>
      <c r="U249" s="406"/>
      <c r="V249" s="406"/>
      <c r="W249" s="407"/>
      <c r="X249" s="407"/>
      <c r="Y249" s="407"/>
      <c r="Z249" s="407"/>
      <c r="AA249" s="407"/>
      <c r="AB249" s="407"/>
      <c r="AC249" s="407"/>
      <c r="AD249" s="407"/>
      <c r="AE249" s="407"/>
      <c r="AF249" s="407"/>
      <c r="AG249" s="407"/>
      <c r="AH249" s="407"/>
      <c r="AI249" s="407"/>
      <c r="AJ249" s="407"/>
      <c r="AK249" s="407"/>
      <c r="AL249" s="407"/>
      <c r="AM249" s="407"/>
      <c r="AN249" s="407"/>
      <c r="AO249" s="407"/>
      <c r="AP249" s="407"/>
      <c r="AQ249" s="407"/>
      <c r="AR249" s="407"/>
      <c r="AS249" s="407"/>
      <c r="AT249" s="407"/>
      <c r="AU249" s="407"/>
      <c r="AV249" s="407"/>
      <c r="AW249" s="407"/>
      <c r="AX249" s="407"/>
      <c r="AY249" s="407"/>
      <c r="AZ249" s="407"/>
      <c r="BA249" s="407"/>
      <c r="BB249" s="407"/>
      <c r="BC249" s="407"/>
      <c r="BD249" s="407"/>
      <c r="BE249" s="408"/>
      <c r="BF249" s="408"/>
      <c r="BG249" s="408"/>
      <c r="BH249" s="408"/>
      <c r="BI249" s="408"/>
      <c r="BJ249" s="408"/>
      <c r="BK249" s="408"/>
      <c r="BL249" s="408"/>
      <c r="BM249" s="408"/>
      <c r="BN249" s="409"/>
      <c r="BO249" s="409"/>
      <c r="BP249" s="409"/>
      <c r="BQ249" s="409"/>
      <c r="BR249" s="409"/>
      <c r="BS249" s="409"/>
      <c r="BT249" s="409"/>
      <c r="BU249" s="409"/>
      <c r="BV249" s="406"/>
      <c r="BW249" s="406"/>
      <c r="BX249" s="406"/>
      <c r="BY249" s="406"/>
      <c r="BZ249" s="406"/>
      <c r="CA249" s="406"/>
      <c r="CB249" s="406"/>
      <c r="CC249" s="410"/>
      <c r="CD249" s="410"/>
      <c r="CE249" s="410"/>
      <c r="CF249" s="410"/>
      <c r="CG249" s="410"/>
      <c r="CH249" s="410"/>
      <c r="CI249" s="410"/>
      <c r="CJ249" s="410"/>
      <c r="CK249" s="410"/>
      <c r="CL249" s="410"/>
      <c r="CM249" s="410"/>
      <c r="CN249" s="410"/>
      <c r="CO249" s="410"/>
      <c r="CP249" s="410"/>
      <c r="CQ249" s="410"/>
      <c r="CR249" s="410"/>
      <c r="CS249" s="411"/>
      <c r="CT249" s="411"/>
      <c r="CU249" s="411"/>
      <c r="CV249" s="411"/>
      <c r="CW249" s="412"/>
      <c r="CX249" s="411"/>
      <c r="CY249" s="411"/>
      <c r="CZ249" s="411"/>
      <c r="DA249" s="411"/>
      <c r="DB249" s="411"/>
      <c r="DC249" s="411"/>
      <c r="DD249" s="411"/>
      <c r="DE249" s="411"/>
      <c r="DF249" s="411"/>
      <c r="DG249" s="411"/>
      <c r="DH249" s="411"/>
      <c r="DI249" s="411"/>
      <c r="DJ249" s="411"/>
      <c r="DK249" s="411"/>
      <c r="DL249" s="411"/>
      <c r="DM249" s="411"/>
      <c r="DN249" s="935"/>
      <c r="DO249" s="413">
        <v>25</v>
      </c>
      <c r="DP249" s="413"/>
      <c r="DQ249" s="414"/>
      <c r="DR249" s="414"/>
      <c r="DS249" s="408"/>
      <c r="DT249" s="408"/>
      <c r="DU249" s="408"/>
      <c r="DV249" s="408"/>
      <c r="DW249" s="408"/>
      <c r="DX249" s="408"/>
      <c r="DY249" s="408"/>
      <c r="DZ249" s="408"/>
      <c r="EA249" s="408">
        <v>250</v>
      </c>
      <c r="EB249" s="408"/>
      <c r="EC249" s="408"/>
      <c r="ED249" s="408"/>
      <c r="EE249" s="408"/>
      <c r="EF249" s="408">
        <v>1.5</v>
      </c>
      <c r="EG249" s="408"/>
      <c r="EH249" s="408"/>
      <c r="EI249" s="408"/>
      <c r="EJ249" s="408"/>
      <c r="EK249" s="408"/>
      <c r="EL249" s="408"/>
      <c r="EM249" s="408"/>
      <c r="EN249" s="408"/>
      <c r="EO249" s="408"/>
      <c r="EP249" s="408"/>
      <c r="EQ249" s="408"/>
      <c r="ER249" s="408"/>
      <c r="ES249" s="408"/>
      <c r="ET249" s="408"/>
      <c r="EU249" s="408"/>
      <c r="EV249" s="408"/>
      <c r="EW249" s="408"/>
      <c r="EX249" s="408"/>
      <c r="EY249" s="408"/>
      <c r="EZ249" s="408"/>
      <c r="FA249" s="415"/>
      <c r="FB249" s="416">
        <v>250</v>
      </c>
      <c r="FC249" s="416"/>
      <c r="FD249" s="417">
        <f t="shared" si="497"/>
        <v>0</v>
      </c>
      <c r="FE249" s="790"/>
    </row>
    <row r="250" spans="2:164" ht="26.1" customHeight="1" outlineLevel="1" thickBot="1" x14ac:dyDescent="0.3">
      <c r="B250" s="1018"/>
      <c r="C250" s="1020"/>
      <c r="D250" s="1036"/>
      <c r="E250" s="1039"/>
      <c r="F250" s="832" t="s">
        <v>111</v>
      </c>
      <c r="G250" s="799" t="str">
        <f>VLOOKUP(H250,инфо!AD:AE,2,FALSE)</f>
        <v>Прочее</v>
      </c>
      <c r="H250" s="572" t="s">
        <v>1197</v>
      </c>
      <c r="I250" s="589" t="s">
        <v>53</v>
      </c>
      <c r="J250" s="368"/>
      <c r="K250" s="369"/>
      <c r="L250" s="369"/>
      <c r="M250" s="369"/>
      <c r="N250" s="369"/>
      <c r="O250" s="369"/>
      <c r="P250" s="369"/>
      <c r="Q250" s="369"/>
      <c r="R250" s="369"/>
      <c r="S250" s="369"/>
      <c r="T250" s="369"/>
      <c r="U250" s="369"/>
      <c r="V250" s="369"/>
      <c r="W250" s="370"/>
      <c r="X250" s="370"/>
      <c r="Y250" s="370"/>
      <c r="Z250" s="370"/>
      <c r="AA250" s="370"/>
      <c r="AB250" s="370"/>
      <c r="AC250" s="370"/>
      <c r="AD250" s="370"/>
      <c r="AE250" s="370"/>
      <c r="AF250" s="370"/>
      <c r="AG250" s="370"/>
      <c r="AH250" s="370"/>
      <c r="AI250" s="370"/>
      <c r="AJ250" s="370"/>
      <c r="AK250" s="370"/>
      <c r="AL250" s="370"/>
      <c r="AM250" s="370"/>
      <c r="AN250" s="370"/>
      <c r="AO250" s="370"/>
      <c r="AP250" s="370"/>
      <c r="AQ250" s="370"/>
      <c r="AR250" s="370"/>
      <c r="AS250" s="370"/>
      <c r="AT250" s="370"/>
      <c r="AU250" s="370"/>
      <c r="AV250" s="370"/>
      <c r="AW250" s="370"/>
      <c r="AX250" s="370"/>
      <c r="AY250" s="370"/>
      <c r="AZ250" s="370"/>
      <c r="BA250" s="370"/>
      <c r="BB250" s="370"/>
      <c r="BC250" s="370"/>
      <c r="BD250" s="370"/>
      <c r="BE250" s="371"/>
      <c r="BF250" s="371"/>
      <c r="BG250" s="371"/>
      <c r="BH250" s="371"/>
      <c r="BI250" s="371"/>
      <c r="BJ250" s="371"/>
      <c r="BK250" s="371"/>
      <c r="BL250" s="371"/>
      <c r="BM250" s="371"/>
      <c r="BN250" s="372"/>
      <c r="BO250" s="372"/>
      <c r="BP250" s="372"/>
      <c r="BQ250" s="372"/>
      <c r="BR250" s="372"/>
      <c r="BS250" s="372"/>
      <c r="BT250" s="372"/>
      <c r="BU250" s="372"/>
      <c r="BV250" s="369"/>
      <c r="BW250" s="369"/>
      <c r="BX250" s="369"/>
      <c r="BY250" s="369"/>
      <c r="BZ250" s="369"/>
      <c r="CA250" s="369"/>
      <c r="CB250" s="369"/>
      <c r="CC250" s="373"/>
      <c r="CD250" s="373"/>
      <c r="CE250" s="373"/>
      <c r="CF250" s="373"/>
      <c r="CG250" s="373"/>
      <c r="CH250" s="373"/>
      <c r="CI250" s="373"/>
      <c r="CJ250" s="373"/>
      <c r="CK250" s="373"/>
      <c r="CL250" s="373"/>
      <c r="CM250" s="373"/>
      <c r="CN250" s="373"/>
      <c r="CO250" s="373"/>
      <c r="CP250" s="373"/>
      <c r="CQ250" s="373"/>
      <c r="CR250" s="373"/>
      <c r="CS250" s="374"/>
      <c r="CT250" s="374"/>
      <c r="CU250" s="374"/>
      <c r="CV250" s="374"/>
      <c r="CW250" s="418"/>
      <c r="CX250" s="374"/>
      <c r="CY250" s="374"/>
      <c r="CZ250" s="374"/>
      <c r="DA250" s="374"/>
      <c r="DB250" s="374"/>
      <c r="DC250" s="374"/>
      <c r="DD250" s="374"/>
      <c r="DE250" s="374"/>
      <c r="DF250" s="374"/>
      <c r="DG250" s="374"/>
      <c r="DH250" s="374"/>
      <c r="DI250" s="374"/>
      <c r="DJ250" s="374"/>
      <c r="DK250" s="374"/>
      <c r="DL250" s="374"/>
      <c r="DM250" s="374"/>
      <c r="DN250" s="932"/>
      <c r="DO250" s="375">
        <v>25</v>
      </c>
      <c r="DP250" s="375"/>
      <c r="DQ250" s="376"/>
      <c r="DR250" s="376"/>
      <c r="DS250" s="371"/>
      <c r="DT250" s="371"/>
      <c r="DU250" s="371"/>
      <c r="DV250" s="371"/>
      <c r="DW250" s="371"/>
      <c r="DX250" s="371"/>
      <c r="DY250" s="371"/>
      <c r="DZ250" s="371"/>
      <c r="EA250" s="371"/>
      <c r="EB250" s="371"/>
      <c r="EC250" s="371"/>
      <c r="ED250" s="371"/>
      <c r="EE250" s="371"/>
      <c r="EF250" s="371"/>
      <c r="EG250" s="371"/>
      <c r="EH250" s="371"/>
      <c r="EI250" s="371"/>
      <c r="EJ250" s="371"/>
      <c r="EK250" s="371"/>
      <c r="EL250" s="371"/>
      <c r="EM250" s="371"/>
      <c r="EN250" s="371"/>
      <c r="EO250" s="371"/>
      <c r="EP250" s="371"/>
      <c r="EQ250" s="371"/>
      <c r="ER250" s="371"/>
      <c r="ES250" s="371"/>
      <c r="ET250" s="371"/>
      <c r="EU250" s="371"/>
      <c r="EV250" s="371"/>
      <c r="EW250" s="371"/>
      <c r="EX250" s="371"/>
      <c r="EY250" s="371"/>
      <c r="EZ250" s="371"/>
      <c r="FA250" s="377"/>
      <c r="FB250" s="378">
        <v>25</v>
      </c>
      <c r="FC250" s="378"/>
      <c r="FD250" s="379">
        <f t="shared" si="497"/>
        <v>0</v>
      </c>
      <c r="FE250" s="790"/>
    </row>
    <row r="251" spans="2:164" ht="26.1" customHeight="1" outlineLevel="1" thickBot="1" x14ac:dyDescent="0.3">
      <c r="B251" s="1018"/>
      <c r="C251" s="1020"/>
      <c r="D251" s="1036"/>
      <c r="E251" s="1039"/>
      <c r="F251" s="832" t="s">
        <v>111</v>
      </c>
      <c r="G251" s="799" t="str">
        <f>VLOOKUP(H251,инфо!AD:AE,2,FALSE)</f>
        <v>Прочее</v>
      </c>
      <c r="H251" s="575" t="s">
        <v>1197</v>
      </c>
      <c r="I251" s="590" t="s">
        <v>50</v>
      </c>
      <c r="J251" s="368"/>
      <c r="K251" s="369"/>
      <c r="L251" s="369"/>
      <c r="M251" s="369"/>
      <c r="N251" s="369"/>
      <c r="O251" s="369"/>
      <c r="P251" s="369"/>
      <c r="Q251" s="369"/>
      <c r="R251" s="369"/>
      <c r="S251" s="369"/>
      <c r="T251" s="369"/>
      <c r="U251" s="369"/>
      <c r="V251" s="369"/>
      <c r="W251" s="370"/>
      <c r="X251" s="370"/>
      <c r="Y251" s="370"/>
      <c r="Z251" s="370">
        <v>50</v>
      </c>
      <c r="AA251" s="370">
        <v>100</v>
      </c>
      <c r="AB251" s="370"/>
      <c r="AC251" s="370"/>
      <c r="AD251" s="370"/>
      <c r="AE251" s="370"/>
      <c r="AF251" s="370"/>
      <c r="AG251" s="370"/>
      <c r="AH251" s="370"/>
      <c r="AI251" s="370"/>
      <c r="AJ251" s="370"/>
      <c r="AK251" s="370"/>
      <c r="AL251" s="370"/>
      <c r="AM251" s="370"/>
      <c r="AN251" s="370"/>
      <c r="AO251" s="370"/>
      <c r="AP251" s="370"/>
      <c r="AQ251" s="370"/>
      <c r="AR251" s="370"/>
      <c r="AS251" s="370"/>
      <c r="AT251" s="370"/>
      <c r="AU251" s="370"/>
      <c r="AV251" s="370"/>
      <c r="AW251" s="370"/>
      <c r="AX251" s="370"/>
      <c r="AY251" s="370"/>
      <c r="AZ251" s="370"/>
      <c r="BA251" s="370"/>
      <c r="BB251" s="370"/>
      <c r="BC251" s="370"/>
      <c r="BD251" s="370"/>
      <c r="BE251" s="371"/>
      <c r="BF251" s="371"/>
      <c r="BG251" s="371"/>
      <c r="BH251" s="371"/>
      <c r="BI251" s="371"/>
      <c r="BJ251" s="371"/>
      <c r="BK251" s="371"/>
      <c r="BL251" s="371"/>
      <c r="BM251" s="371"/>
      <c r="BN251" s="372"/>
      <c r="BO251" s="372"/>
      <c r="BP251" s="372"/>
      <c r="BQ251" s="372"/>
      <c r="BR251" s="372"/>
      <c r="BS251" s="372"/>
      <c r="BT251" s="372"/>
      <c r="BU251" s="372"/>
      <c r="BV251" s="369"/>
      <c r="BW251" s="369"/>
      <c r="BX251" s="369"/>
      <c r="BY251" s="369"/>
      <c r="BZ251" s="369"/>
      <c r="CA251" s="369"/>
      <c r="CB251" s="369"/>
      <c r="CC251" s="373"/>
      <c r="CD251" s="373"/>
      <c r="CE251" s="373"/>
      <c r="CF251" s="373"/>
      <c r="CG251" s="373"/>
      <c r="CH251" s="373"/>
      <c r="CI251" s="373"/>
      <c r="CJ251" s="373"/>
      <c r="CK251" s="373"/>
      <c r="CL251" s="373"/>
      <c r="CM251" s="373"/>
      <c r="CN251" s="373"/>
      <c r="CO251" s="373"/>
      <c r="CP251" s="373"/>
      <c r="CQ251" s="373"/>
      <c r="CR251" s="373"/>
      <c r="CS251" s="374"/>
      <c r="CT251" s="374"/>
      <c r="CU251" s="374"/>
      <c r="CV251" s="374"/>
      <c r="CW251" s="418"/>
      <c r="CX251" s="374"/>
      <c r="CY251" s="374"/>
      <c r="CZ251" s="374"/>
      <c r="DA251" s="374"/>
      <c r="DB251" s="374"/>
      <c r="DC251" s="374"/>
      <c r="DD251" s="374"/>
      <c r="DE251" s="374"/>
      <c r="DF251" s="374"/>
      <c r="DG251" s="374"/>
      <c r="DH251" s="374"/>
      <c r="DI251" s="374"/>
      <c r="DJ251" s="374"/>
      <c r="DK251" s="374"/>
      <c r="DL251" s="374"/>
      <c r="DM251" s="374"/>
      <c r="DN251" s="932"/>
      <c r="DO251" s="375"/>
      <c r="DP251" s="375"/>
      <c r="DQ251" s="376"/>
      <c r="DR251" s="376"/>
      <c r="DS251" s="371"/>
      <c r="DT251" s="371"/>
      <c r="DU251" s="371"/>
      <c r="DV251" s="371"/>
      <c r="DW251" s="371"/>
      <c r="DX251" s="371"/>
      <c r="DY251" s="371"/>
      <c r="DZ251" s="371"/>
      <c r="EA251" s="371"/>
      <c r="EB251" s="371"/>
      <c r="EC251" s="371"/>
      <c r="ED251" s="371"/>
      <c r="EE251" s="371"/>
      <c r="EF251" s="371"/>
      <c r="EG251" s="371"/>
      <c r="EH251" s="371"/>
      <c r="EI251" s="371"/>
      <c r="EJ251" s="371"/>
      <c r="EK251" s="371"/>
      <c r="EL251" s="371"/>
      <c r="EM251" s="371"/>
      <c r="EN251" s="371"/>
      <c r="EO251" s="371"/>
      <c r="EP251" s="371"/>
      <c r="EQ251" s="371"/>
      <c r="ER251" s="371"/>
      <c r="ES251" s="371"/>
      <c r="ET251" s="371"/>
      <c r="EU251" s="371"/>
      <c r="EV251" s="371"/>
      <c r="EW251" s="371"/>
      <c r="EX251" s="371"/>
      <c r="EY251" s="371"/>
      <c r="EZ251" s="371"/>
      <c r="FA251" s="377"/>
      <c r="FB251" s="378">
        <v>150</v>
      </c>
      <c r="FC251" s="378"/>
      <c r="FD251" s="379">
        <f t="shared" si="497"/>
        <v>0</v>
      </c>
      <c r="FE251" s="790"/>
    </row>
    <row r="252" spans="2:164" ht="26.1" customHeight="1" outlineLevel="1" thickBot="1" x14ac:dyDescent="0.3">
      <c r="B252" s="1018"/>
      <c r="C252" s="1020"/>
      <c r="D252" s="1037"/>
      <c r="E252" s="1040"/>
      <c r="F252" s="834" t="s">
        <v>111</v>
      </c>
      <c r="G252" s="801" t="str">
        <f>VLOOKUP(H252,инфо!AD:AE,2,FALSE)</f>
        <v>Прочее</v>
      </c>
      <c r="H252" s="575" t="s">
        <v>1197</v>
      </c>
      <c r="I252" s="590" t="s">
        <v>56</v>
      </c>
      <c r="J252" s="380"/>
      <c r="K252" s="381"/>
      <c r="L252" s="381"/>
      <c r="M252" s="381"/>
      <c r="N252" s="381"/>
      <c r="O252" s="381"/>
      <c r="P252" s="381"/>
      <c r="Q252" s="381"/>
      <c r="R252" s="381"/>
      <c r="S252" s="381"/>
      <c r="T252" s="381"/>
      <c r="U252" s="381"/>
      <c r="V252" s="381"/>
      <c r="W252" s="382"/>
      <c r="X252" s="382"/>
      <c r="Y252" s="382"/>
      <c r="Z252" s="382"/>
      <c r="AA252" s="382"/>
      <c r="AB252" s="382"/>
      <c r="AC252" s="382"/>
      <c r="AD252" s="382"/>
      <c r="AE252" s="382"/>
      <c r="AF252" s="382"/>
      <c r="AG252" s="382"/>
      <c r="AH252" s="382"/>
      <c r="AI252" s="382"/>
      <c r="AJ252" s="382"/>
      <c r="AK252" s="382"/>
      <c r="AL252" s="382"/>
      <c r="AM252" s="382"/>
      <c r="AN252" s="382"/>
      <c r="AO252" s="382"/>
      <c r="AP252" s="382"/>
      <c r="AQ252" s="382"/>
      <c r="AR252" s="382"/>
      <c r="AS252" s="382"/>
      <c r="AT252" s="382"/>
      <c r="AU252" s="382"/>
      <c r="AV252" s="382"/>
      <c r="AW252" s="382"/>
      <c r="AX252" s="382"/>
      <c r="AY252" s="382"/>
      <c r="AZ252" s="382"/>
      <c r="BA252" s="382"/>
      <c r="BB252" s="382"/>
      <c r="BC252" s="382"/>
      <c r="BD252" s="382"/>
      <c r="BE252" s="383"/>
      <c r="BF252" s="383"/>
      <c r="BG252" s="383"/>
      <c r="BH252" s="383">
        <v>22</v>
      </c>
      <c r="BI252" s="383"/>
      <c r="BJ252" s="383"/>
      <c r="BK252" s="383"/>
      <c r="BL252" s="383"/>
      <c r="BM252" s="383"/>
      <c r="BN252" s="419"/>
      <c r="BO252" s="419"/>
      <c r="BP252" s="419"/>
      <c r="BQ252" s="419"/>
      <c r="BR252" s="419"/>
      <c r="BS252" s="419"/>
      <c r="BT252" s="419"/>
      <c r="BU252" s="384"/>
      <c r="BV252" s="381"/>
      <c r="BW252" s="381"/>
      <c r="BX252" s="381"/>
      <c r="BY252" s="381"/>
      <c r="BZ252" s="381"/>
      <c r="CA252" s="381"/>
      <c r="CB252" s="381"/>
      <c r="CC252" s="420"/>
      <c r="CD252" s="385"/>
      <c r="CE252" s="385"/>
      <c r="CF252" s="385"/>
      <c r="CG252" s="385"/>
      <c r="CH252" s="385"/>
      <c r="CI252" s="385"/>
      <c r="CJ252" s="385"/>
      <c r="CK252" s="385"/>
      <c r="CL252" s="385"/>
      <c r="CM252" s="385"/>
      <c r="CN252" s="385"/>
      <c r="CO252" s="385"/>
      <c r="CP252" s="385"/>
      <c r="CQ252" s="385"/>
      <c r="CR252" s="385"/>
      <c r="CS252" s="386"/>
      <c r="CT252" s="386"/>
      <c r="CU252" s="386"/>
      <c r="CV252" s="386"/>
      <c r="CW252" s="386"/>
      <c r="CX252" s="386"/>
      <c r="CY252" s="386"/>
      <c r="CZ252" s="386"/>
      <c r="DA252" s="386"/>
      <c r="DB252" s="386"/>
      <c r="DC252" s="386"/>
      <c r="DD252" s="386"/>
      <c r="DE252" s="386"/>
      <c r="DF252" s="386"/>
      <c r="DG252" s="386"/>
      <c r="DH252" s="386"/>
      <c r="DI252" s="386"/>
      <c r="DJ252" s="386"/>
      <c r="DK252" s="386"/>
      <c r="DL252" s="386"/>
      <c r="DM252" s="386"/>
      <c r="DN252" s="933"/>
      <c r="DO252" s="387"/>
      <c r="DP252" s="387"/>
      <c r="DQ252" s="388"/>
      <c r="DR252" s="388"/>
      <c r="DS252" s="383"/>
      <c r="DT252" s="383"/>
      <c r="DU252" s="383"/>
      <c r="DV252" s="383"/>
      <c r="DW252" s="383"/>
      <c r="DX252" s="383"/>
      <c r="DY252" s="383"/>
      <c r="DZ252" s="383"/>
      <c r="EA252" s="383"/>
      <c r="EB252" s="383"/>
      <c r="EC252" s="383"/>
      <c r="ED252" s="383"/>
      <c r="EE252" s="383"/>
      <c r="EF252" s="383"/>
      <c r="EG252" s="383"/>
      <c r="EH252" s="383"/>
      <c r="EI252" s="383"/>
      <c r="EJ252" s="383"/>
      <c r="EK252" s="383"/>
      <c r="EL252" s="383"/>
      <c r="EM252" s="383"/>
      <c r="EN252" s="383"/>
      <c r="EO252" s="383"/>
      <c r="EP252" s="383"/>
      <c r="EQ252" s="383"/>
      <c r="ER252" s="383"/>
      <c r="ES252" s="383"/>
      <c r="ET252" s="383"/>
      <c r="EU252" s="383"/>
      <c r="EV252" s="383"/>
      <c r="EW252" s="383"/>
      <c r="EX252" s="383"/>
      <c r="EY252" s="383"/>
      <c r="EZ252" s="383"/>
      <c r="FA252" s="402"/>
      <c r="FB252" s="403">
        <v>22</v>
      </c>
      <c r="FC252" s="403"/>
      <c r="FD252" s="404">
        <f t="shared" si="497"/>
        <v>110</v>
      </c>
      <c r="FE252" s="790"/>
    </row>
    <row r="253" spans="2:164" s="154" customFormat="1" ht="16.5" customHeight="1" outlineLevel="1" thickBot="1" x14ac:dyDescent="0.4">
      <c r="B253" s="1018"/>
      <c r="C253" s="1020"/>
      <c r="D253" s="145"/>
      <c r="E253" s="317" t="s">
        <v>174</v>
      </c>
      <c r="F253" s="836"/>
      <c r="G253" s="818"/>
      <c r="H253" s="576"/>
      <c r="I253" s="594"/>
      <c r="J253" s="305">
        <f>SUM(J243:J252)</f>
        <v>0</v>
      </c>
      <c r="K253" s="146">
        <f t="shared" ref="K253:CU253" si="498">SUM(K243:K252)</f>
        <v>0</v>
      </c>
      <c r="L253" s="146">
        <f t="shared" si="498"/>
        <v>0</v>
      </c>
      <c r="M253" s="146">
        <f t="shared" si="498"/>
        <v>0</v>
      </c>
      <c r="N253" s="146">
        <f t="shared" si="498"/>
        <v>0</v>
      </c>
      <c r="O253" s="146">
        <f t="shared" si="498"/>
        <v>0</v>
      </c>
      <c r="P253" s="146">
        <f t="shared" si="498"/>
        <v>83</v>
      </c>
      <c r="Q253" s="146">
        <f t="shared" si="498"/>
        <v>0</v>
      </c>
      <c r="R253" s="146">
        <f t="shared" si="498"/>
        <v>0</v>
      </c>
      <c r="S253" s="146">
        <f t="shared" si="498"/>
        <v>0</v>
      </c>
      <c r="T253" s="146">
        <f t="shared" si="498"/>
        <v>0</v>
      </c>
      <c r="U253" s="146">
        <f t="shared" si="498"/>
        <v>0</v>
      </c>
      <c r="V253" s="146">
        <f t="shared" si="498"/>
        <v>0</v>
      </c>
      <c r="W253" s="147">
        <f t="shared" si="498"/>
        <v>0</v>
      </c>
      <c r="X253" s="147">
        <f t="shared" si="498"/>
        <v>0</v>
      </c>
      <c r="Y253" s="147">
        <f t="shared" si="498"/>
        <v>0</v>
      </c>
      <c r="Z253" s="147">
        <f t="shared" si="498"/>
        <v>50</v>
      </c>
      <c r="AA253" s="147">
        <f t="shared" si="498"/>
        <v>100</v>
      </c>
      <c r="AB253" s="147">
        <f t="shared" si="498"/>
        <v>0</v>
      </c>
      <c r="AC253" s="147">
        <f t="shared" si="498"/>
        <v>0</v>
      </c>
      <c r="AD253" s="147">
        <f t="shared" si="498"/>
        <v>0</v>
      </c>
      <c r="AE253" s="147">
        <f t="shared" si="498"/>
        <v>0</v>
      </c>
      <c r="AF253" s="147">
        <f t="shared" si="498"/>
        <v>0</v>
      </c>
      <c r="AG253" s="147">
        <f t="shared" si="498"/>
        <v>0</v>
      </c>
      <c r="AH253" s="147">
        <f t="shared" si="498"/>
        <v>0</v>
      </c>
      <c r="AI253" s="147">
        <f t="shared" si="498"/>
        <v>0</v>
      </c>
      <c r="AJ253" s="147">
        <f t="shared" si="498"/>
        <v>0</v>
      </c>
      <c r="AK253" s="147">
        <f t="shared" si="498"/>
        <v>0</v>
      </c>
      <c r="AL253" s="147">
        <f t="shared" si="498"/>
        <v>0</v>
      </c>
      <c r="AM253" s="147">
        <f t="shared" si="498"/>
        <v>0</v>
      </c>
      <c r="AN253" s="147">
        <f t="shared" si="498"/>
        <v>0</v>
      </c>
      <c r="AO253" s="147">
        <f t="shared" si="498"/>
        <v>0</v>
      </c>
      <c r="AP253" s="147">
        <f t="shared" si="498"/>
        <v>0</v>
      </c>
      <c r="AQ253" s="147">
        <f t="shared" si="498"/>
        <v>0</v>
      </c>
      <c r="AR253" s="147">
        <f t="shared" si="498"/>
        <v>0</v>
      </c>
      <c r="AS253" s="147">
        <f t="shared" si="498"/>
        <v>0</v>
      </c>
      <c r="AT253" s="147">
        <f t="shared" si="498"/>
        <v>0</v>
      </c>
      <c r="AU253" s="147">
        <f t="shared" si="498"/>
        <v>0</v>
      </c>
      <c r="AV253" s="147">
        <f t="shared" si="498"/>
        <v>0</v>
      </c>
      <c r="AW253" s="147">
        <f t="shared" si="498"/>
        <v>0</v>
      </c>
      <c r="AX253" s="147">
        <f t="shared" si="498"/>
        <v>0</v>
      </c>
      <c r="AY253" s="147">
        <f t="shared" si="498"/>
        <v>0</v>
      </c>
      <c r="AZ253" s="147">
        <f t="shared" si="498"/>
        <v>0</v>
      </c>
      <c r="BA253" s="147">
        <f t="shared" si="498"/>
        <v>0</v>
      </c>
      <c r="BB253" s="147">
        <f t="shared" si="498"/>
        <v>20</v>
      </c>
      <c r="BC253" s="147">
        <f t="shared" si="498"/>
        <v>0</v>
      </c>
      <c r="BD253" s="147">
        <f t="shared" si="498"/>
        <v>0</v>
      </c>
      <c r="BE253" s="148">
        <f t="shared" si="498"/>
        <v>150</v>
      </c>
      <c r="BF253" s="148">
        <f t="shared" si="498"/>
        <v>0</v>
      </c>
      <c r="BG253" s="148">
        <f t="shared" si="498"/>
        <v>0</v>
      </c>
      <c r="BH253" s="148">
        <f t="shared" si="498"/>
        <v>22</v>
      </c>
      <c r="BI253" s="148">
        <f t="shared" si="498"/>
        <v>0</v>
      </c>
      <c r="BJ253" s="148">
        <f t="shared" si="498"/>
        <v>0</v>
      </c>
      <c r="BK253" s="148">
        <f t="shared" si="498"/>
        <v>0</v>
      </c>
      <c r="BL253" s="148">
        <f t="shared" si="498"/>
        <v>0</v>
      </c>
      <c r="BM253" s="148">
        <f t="shared" si="498"/>
        <v>0</v>
      </c>
      <c r="BN253" s="149">
        <f t="shared" si="498"/>
        <v>15</v>
      </c>
      <c r="BO253" s="149">
        <f t="shared" si="498"/>
        <v>0</v>
      </c>
      <c r="BP253" s="149">
        <f t="shared" si="498"/>
        <v>0</v>
      </c>
      <c r="BQ253" s="149">
        <f t="shared" si="498"/>
        <v>0</v>
      </c>
      <c r="BR253" s="149">
        <f t="shared" si="498"/>
        <v>0</v>
      </c>
      <c r="BS253" s="149">
        <f t="shared" si="498"/>
        <v>0</v>
      </c>
      <c r="BT253" s="149">
        <f t="shared" si="498"/>
        <v>0</v>
      </c>
      <c r="BU253" s="149">
        <f t="shared" si="498"/>
        <v>0</v>
      </c>
      <c r="BV253" s="146">
        <f t="shared" si="498"/>
        <v>0</v>
      </c>
      <c r="BW253" s="146">
        <f t="shared" si="498"/>
        <v>0</v>
      </c>
      <c r="BX253" s="146">
        <f t="shared" si="498"/>
        <v>0</v>
      </c>
      <c r="BY253" s="146">
        <f t="shared" si="498"/>
        <v>0</v>
      </c>
      <c r="BZ253" s="146">
        <f t="shared" si="498"/>
        <v>0</v>
      </c>
      <c r="CA253" s="146">
        <f t="shared" si="498"/>
        <v>0</v>
      </c>
      <c r="CB253" s="146">
        <f t="shared" si="498"/>
        <v>0</v>
      </c>
      <c r="CC253" s="265">
        <f t="shared" si="498"/>
        <v>0</v>
      </c>
      <c r="CD253" s="265">
        <f t="shared" si="498"/>
        <v>25</v>
      </c>
      <c r="CE253" s="265">
        <f t="shared" si="498"/>
        <v>0</v>
      </c>
      <c r="CF253" s="265">
        <f t="shared" si="498"/>
        <v>80</v>
      </c>
      <c r="CG253" s="265">
        <f t="shared" si="498"/>
        <v>0</v>
      </c>
      <c r="CH253" s="265">
        <f t="shared" si="498"/>
        <v>0</v>
      </c>
      <c r="CI253" s="265">
        <f t="shared" si="498"/>
        <v>0</v>
      </c>
      <c r="CJ253" s="265">
        <f t="shared" si="498"/>
        <v>0</v>
      </c>
      <c r="CK253" s="265">
        <f t="shared" si="498"/>
        <v>0</v>
      </c>
      <c r="CL253" s="265">
        <f t="shared" si="498"/>
        <v>0</v>
      </c>
      <c r="CM253" s="265">
        <f t="shared" si="498"/>
        <v>0</v>
      </c>
      <c r="CN253" s="265">
        <f t="shared" si="498"/>
        <v>0</v>
      </c>
      <c r="CO253" s="265">
        <f t="shared" si="498"/>
        <v>0</v>
      </c>
      <c r="CP253" s="265">
        <f t="shared" si="498"/>
        <v>0</v>
      </c>
      <c r="CQ253" s="265">
        <f t="shared" si="498"/>
        <v>0</v>
      </c>
      <c r="CR253" s="265">
        <f t="shared" si="498"/>
        <v>0</v>
      </c>
      <c r="CS253" s="281">
        <f t="shared" si="498"/>
        <v>0</v>
      </c>
      <c r="CT253" s="281">
        <f t="shared" si="498"/>
        <v>0</v>
      </c>
      <c r="CU253" s="281">
        <f t="shared" si="498"/>
        <v>0</v>
      </c>
      <c r="CV253" s="281">
        <f t="shared" ref="CV253:FD253" si="499">SUM(CV243:CV252)</f>
        <v>0</v>
      </c>
      <c r="CW253" s="281">
        <f t="shared" si="499"/>
        <v>0</v>
      </c>
      <c r="CX253" s="281">
        <f t="shared" si="499"/>
        <v>0</v>
      </c>
      <c r="CY253" s="281">
        <f t="shared" si="499"/>
        <v>0</v>
      </c>
      <c r="CZ253" s="281">
        <f t="shared" si="499"/>
        <v>0</v>
      </c>
      <c r="DA253" s="281">
        <f t="shared" si="499"/>
        <v>0</v>
      </c>
      <c r="DB253" s="281">
        <f t="shared" si="499"/>
        <v>0</v>
      </c>
      <c r="DC253" s="281">
        <f t="shared" si="499"/>
        <v>0</v>
      </c>
      <c r="DD253" s="281">
        <f t="shared" si="499"/>
        <v>0</v>
      </c>
      <c r="DE253" s="281">
        <f t="shared" si="499"/>
        <v>0</v>
      </c>
      <c r="DF253" s="281">
        <f t="shared" si="499"/>
        <v>0</v>
      </c>
      <c r="DG253" s="281">
        <f t="shared" si="499"/>
        <v>0</v>
      </c>
      <c r="DH253" s="281">
        <f t="shared" si="499"/>
        <v>0</v>
      </c>
      <c r="DI253" s="281">
        <f t="shared" si="499"/>
        <v>0</v>
      </c>
      <c r="DJ253" s="281">
        <f t="shared" si="499"/>
        <v>0</v>
      </c>
      <c r="DK253" s="281">
        <f t="shared" si="499"/>
        <v>0</v>
      </c>
      <c r="DL253" s="281">
        <f t="shared" si="499"/>
        <v>0</v>
      </c>
      <c r="DM253" s="281">
        <f t="shared" si="499"/>
        <v>0</v>
      </c>
      <c r="DN253" s="936">
        <f t="shared" si="499"/>
        <v>1</v>
      </c>
      <c r="DO253" s="148">
        <f t="shared" si="499"/>
        <v>60</v>
      </c>
      <c r="DP253" s="148">
        <f t="shared" si="499"/>
        <v>5</v>
      </c>
      <c r="DQ253" s="148">
        <f t="shared" si="499"/>
        <v>0</v>
      </c>
      <c r="DR253" s="148">
        <f t="shared" si="499"/>
        <v>0</v>
      </c>
      <c r="DS253" s="148">
        <f t="shared" si="499"/>
        <v>0</v>
      </c>
      <c r="DT253" s="148">
        <f t="shared" si="499"/>
        <v>0</v>
      </c>
      <c r="DU253" s="148">
        <f t="shared" si="499"/>
        <v>0</v>
      </c>
      <c r="DV253" s="148">
        <f t="shared" si="499"/>
        <v>0</v>
      </c>
      <c r="DW253" s="148">
        <f t="shared" si="499"/>
        <v>0</v>
      </c>
      <c r="DX253" s="148">
        <f t="shared" si="499"/>
        <v>0</v>
      </c>
      <c r="DY253" s="148">
        <f t="shared" si="499"/>
        <v>0</v>
      </c>
      <c r="DZ253" s="148">
        <f t="shared" si="499"/>
        <v>0</v>
      </c>
      <c r="EA253" s="148">
        <f t="shared" si="499"/>
        <v>365.6</v>
      </c>
      <c r="EB253" s="148">
        <f t="shared" si="499"/>
        <v>0</v>
      </c>
      <c r="EC253" s="148">
        <f t="shared" si="499"/>
        <v>0</v>
      </c>
      <c r="ED253" s="148">
        <f t="shared" si="499"/>
        <v>0</v>
      </c>
      <c r="EE253" s="148">
        <f t="shared" si="499"/>
        <v>0</v>
      </c>
      <c r="EF253" s="148">
        <f t="shared" si="499"/>
        <v>1.5</v>
      </c>
      <c r="EG253" s="148">
        <f t="shared" si="499"/>
        <v>0</v>
      </c>
      <c r="EH253" s="148">
        <f t="shared" si="499"/>
        <v>0</v>
      </c>
      <c r="EI253" s="148">
        <f t="shared" si="499"/>
        <v>0</v>
      </c>
      <c r="EJ253" s="148">
        <f t="shared" si="499"/>
        <v>0</v>
      </c>
      <c r="EK253" s="148">
        <f t="shared" si="499"/>
        <v>0</v>
      </c>
      <c r="EL253" s="148">
        <f t="shared" si="499"/>
        <v>0</v>
      </c>
      <c r="EM253" s="148">
        <f t="shared" si="499"/>
        <v>0</v>
      </c>
      <c r="EN253" s="148">
        <f t="shared" si="499"/>
        <v>0</v>
      </c>
      <c r="EO253" s="148">
        <f t="shared" si="499"/>
        <v>0</v>
      </c>
      <c r="EP253" s="148">
        <f t="shared" si="499"/>
        <v>0</v>
      </c>
      <c r="EQ253" s="148">
        <f t="shared" si="499"/>
        <v>0</v>
      </c>
      <c r="ER253" s="148">
        <f t="shared" si="499"/>
        <v>0</v>
      </c>
      <c r="ES253" s="148">
        <f t="shared" si="499"/>
        <v>0</v>
      </c>
      <c r="ET253" s="148">
        <f t="shared" si="499"/>
        <v>0</v>
      </c>
      <c r="EU253" s="148">
        <f t="shared" si="499"/>
        <v>0</v>
      </c>
      <c r="EV253" s="148">
        <f t="shared" si="499"/>
        <v>0</v>
      </c>
      <c r="EW253" s="148">
        <f t="shared" si="499"/>
        <v>0</v>
      </c>
      <c r="EX253" s="148">
        <f t="shared" si="499"/>
        <v>0</v>
      </c>
      <c r="EY253" s="148">
        <f t="shared" si="499"/>
        <v>0</v>
      </c>
      <c r="EZ253" s="148">
        <f t="shared" si="499"/>
        <v>0</v>
      </c>
      <c r="FA253" s="150">
        <f t="shared" si="499"/>
        <v>430</v>
      </c>
      <c r="FB253" s="151">
        <f t="shared" si="499"/>
        <v>957</v>
      </c>
      <c r="FC253" s="151">
        <f t="shared" si="499"/>
        <v>78</v>
      </c>
      <c r="FD253" s="152">
        <f t="shared" si="499"/>
        <v>260</v>
      </c>
      <c r="FE253" s="792" t="str">
        <f>IF(FB253&lt;инфо!$AN$74,FB253-инфо!$AN$74,"")</f>
        <v/>
      </c>
      <c r="FF253" s="153"/>
      <c r="FG253" s="153"/>
      <c r="FH253" s="153"/>
    </row>
    <row r="254" spans="2:164" ht="26.1" customHeight="1" outlineLevel="1" thickBot="1" x14ac:dyDescent="0.3">
      <c r="B254" s="1018"/>
      <c r="C254" s="1020"/>
      <c r="D254" s="1033" t="s">
        <v>112</v>
      </c>
      <c r="E254" s="1042" t="s">
        <v>113</v>
      </c>
      <c r="F254" s="837" t="s">
        <v>112</v>
      </c>
      <c r="G254" s="803" t="str">
        <f>VLOOKUP(H254,инфо!AD:AE,2,FALSE)</f>
        <v>Холодные закуски</v>
      </c>
      <c r="H254" s="577" t="s">
        <v>1200</v>
      </c>
      <c r="I254" s="588" t="s">
        <v>1337</v>
      </c>
      <c r="J254" s="421"/>
      <c r="K254" s="422"/>
      <c r="L254" s="422"/>
      <c r="M254" s="422"/>
      <c r="N254" s="422"/>
      <c r="O254" s="422"/>
      <c r="P254" s="422"/>
      <c r="Q254" s="422"/>
      <c r="R254" s="422"/>
      <c r="S254" s="422"/>
      <c r="T254" s="422"/>
      <c r="U254" s="422"/>
      <c r="V254" s="422"/>
      <c r="W254" s="423"/>
      <c r="X254" s="423"/>
      <c r="Y254" s="423"/>
      <c r="Z254" s="423"/>
      <c r="AA254" s="423"/>
      <c r="AB254" s="423"/>
      <c r="AC254" s="423"/>
      <c r="AD254" s="423">
        <v>10</v>
      </c>
      <c r="AE254" s="423"/>
      <c r="AF254" s="423"/>
      <c r="AG254" s="423">
        <v>10</v>
      </c>
      <c r="AH254" s="423"/>
      <c r="AI254" s="423"/>
      <c r="AJ254" s="423"/>
      <c r="AK254" s="423"/>
      <c r="AL254" s="423"/>
      <c r="AM254" s="423"/>
      <c r="AN254" s="423"/>
      <c r="AO254" s="423"/>
      <c r="AP254" s="423"/>
      <c r="AQ254" s="423"/>
      <c r="AR254" s="423"/>
      <c r="AS254" s="423"/>
      <c r="AT254" s="423"/>
      <c r="AU254" s="423"/>
      <c r="AV254" s="423"/>
      <c r="AW254" s="423"/>
      <c r="AX254" s="423">
        <v>90</v>
      </c>
      <c r="AY254" s="423"/>
      <c r="AZ254" s="423"/>
      <c r="BA254" s="423"/>
      <c r="BB254" s="423"/>
      <c r="BC254" s="423"/>
      <c r="BD254" s="423"/>
      <c r="BE254" s="424"/>
      <c r="BF254" s="424"/>
      <c r="BG254" s="424"/>
      <c r="BH254" s="424"/>
      <c r="BI254" s="424"/>
      <c r="BJ254" s="424"/>
      <c r="BK254" s="424"/>
      <c r="BL254" s="424"/>
      <c r="BM254" s="424"/>
      <c r="BN254" s="425"/>
      <c r="BO254" s="425">
        <v>8</v>
      </c>
      <c r="BP254" s="425"/>
      <c r="BQ254" s="425"/>
      <c r="BR254" s="425"/>
      <c r="BS254" s="425"/>
      <c r="BT254" s="425"/>
      <c r="BU254" s="425"/>
      <c r="BV254" s="422"/>
      <c r="BW254" s="422"/>
      <c r="BX254" s="422"/>
      <c r="BY254" s="422"/>
      <c r="BZ254" s="422"/>
      <c r="CA254" s="422"/>
      <c r="CB254" s="422"/>
      <c r="CC254" s="426"/>
      <c r="CD254" s="426"/>
      <c r="CE254" s="426"/>
      <c r="CF254" s="426"/>
      <c r="CG254" s="426"/>
      <c r="CH254" s="426"/>
      <c r="CI254" s="426"/>
      <c r="CJ254" s="426"/>
      <c r="CK254" s="426"/>
      <c r="CL254" s="426"/>
      <c r="CM254" s="426"/>
      <c r="CN254" s="426"/>
      <c r="CO254" s="426"/>
      <c r="CP254" s="426"/>
      <c r="CQ254" s="426"/>
      <c r="CR254" s="426"/>
      <c r="CS254" s="427"/>
      <c r="CT254" s="427"/>
      <c r="CU254" s="427"/>
      <c r="CV254" s="427"/>
      <c r="CW254" s="427"/>
      <c r="CX254" s="427"/>
      <c r="CY254" s="427"/>
      <c r="CZ254" s="427"/>
      <c r="DA254" s="427"/>
      <c r="DB254" s="427"/>
      <c r="DC254" s="427"/>
      <c r="DD254" s="427"/>
      <c r="DE254" s="427"/>
      <c r="DF254" s="427"/>
      <c r="DG254" s="427"/>
      <c r="DH254" s="427"/>
      <c r="DI254" s="427"/>
      <c r="DJ254" s="427"/>
      <c r="DK254" s="427"/>
      <c r="DL254" s="427"/>
      <c r="DM254" s="427"/>
      <c r="DN254" s="937"/>
      <c r="DO254" s="428"/>
      <c r="DP254" s="428">
        <v>2</v>
      </c>
      <c r="DQ254" s="429"/>
      <c r="DR254" s="429">
        <v>0.02</v>
      </c>
      <c r="DS254" s="424"/>
      <c r="DT254" s="424"/>
      <c r="DU254" s="424"/>
      <c r="DV254" s="424"/>
      <c r="DW254" s="424"/>
      <c r="DX254" s="424"/>
      <c r="DY254" s="424"/>
      <c r="DZ254" s="424"/>
      <c r="EA254" s="424"/>
      <c r="EB254" s="424"/>
      <c r="EC254" s="424"/>
      <c r="ED254" s="424"/>
      <c r="EE254" s="424"/>
      <c r="EF254" s="424"/>
      <c r="EG254" s="424"/>
      <c r="EH254" s="424"/>
      <c r="EI254" s="424"/>
      <c r="EJ254" s="424"/>
      <c r="EK254" s="424"/>
      <c r="EL254" s="424"/>
      <c r="EM254" s="424"/>
      <c r="EN254" s="424"/>
      <c r="EO254" s="424"/>
      <c r="EP254" s="424"/>
      <c r="EQ254" s="424"/>
      <c r="ER254" s="424"/>
      <c r="ES254" s="424"/>
      <c r="ET254" s="424"/>
      <c r="EU254" s="424"/>
      <c r="EV254" s="424"/>
      <c r="EW254" s="424"/>
      <c r="EX254" s="424"/>
      <c r="EY254" s="424"/>
      <c r="EZ254" s="424"/>
      <c r="FA254" s="377">
        <v>109</v>
      </c>
      <c r="FB254" s="378">
        <v>120.02</v>
      </c>
      <c r="FC254" s="378"/>
      <c r="FD254" s="379">
        <f t="shared" ref="FD254:FD267" si="500">SUM(BE254:BG254,BI254,BL254:BM254)+SUM(BH254,BJ254,BK254)*5</f>
        <v>0</v>
      </c>
      <c r="FE254" s="790"/>
    </row>
    <row r="255" spans="2:164" ht="26.1" customHeight="1" outlineLevel="1" thickBot="1" x14ac:dyDescent="0.3">
      <c r="B255" s="1018"/>
      <c r="C255" s="1020"/>
      <c r="D255" s="1033"/>
      <c r="E255" s="1038"/>
      <c r="F255" s="838" t="s">
        <v>112</v>
      </c>
      <c r="G255" s="804" t="str">
        <f>VLOOKUP(H255,инфо!AD:AE,2,FALSE)</f>
        <v>Прочее</v>
      </c>
      <c r="H255" s="577" t="s">
        <v>1197</v>
      </c>
      <c r="I255" s="574"/>
      <c r="J255" s="430"/>
      <c r="K255" s="431"/>
      <c r="L255" s="431"/>
      <c r="M255" s="431"/>
      <c r="N255" s="431"/>
      <c r="O255" s="431"/>
      <c r="P255" s="431"/>
      <c r="Q255" s="431"/>
      <c r="R255" s="431"/>
      <c r="S255" s="431"/>
      <c r="T255" s="431"/>
      <c r="U255" s="431"/>
      <c r="V255" s="431"/>
      <c r="W255" s="432"/>
      <c r="X255" s="432"/>
      <c r="Y255" s="432"/>
      <c r="Z255" s="432"/>
      <c r="AA255" s="432"/>
      <c r="AB255" s="432"/>
      <c r="AC255" s="432"/>
      <c r="AD255" s="432"/>
      <c r="AE255" s="432"/>
      <c r="AF255" s="432"/>
      <c r="AG255" s="432"/>
      <c r="AH255" s="432"/>
      <c r="AI255" s="432"/>
      <c r="AJ255" s="432"/>
      <c r="AK255" s="432"/>
      <c r="AL255" s="432"/>
      <c r="AM255" s="432"/>
      <c r="AN255" s="432"/>
      <c r="AO255" s="432"/>
      <c r="AP255" s="432"/>
      <c r="AQ255" s="432"/>
      <c r="AR255" s="432"/>
      <c r="AS255" s="432"/>
      <c r="AT255" s="432"/>
      <c r="AU255" s="432"/>
      <c r="AV255" s="432"/>
      <c r="AW255" s="432"/>
      <c r="AX255" s="432"/>
      <c r="AY255" s="432"/>
      <c r="AZ255" s="432"/>
      <c r="BA255" s="432"/>
      <c r="BB255" s="432"/>
      <c r="BC255" s="432"/>
      <c r="BD255" s="432"/>
      <c r="BE255" s="433"/>
      <c r="BF255" s="433"/>
      <c r="BG255" s="433"/>
      <c r="BH255" s="433"/>
      <c r="BI255" s="433"/>
      <c r="BJ255" s="433"/>
      <c r="BK255" s="433"/>
      <c r="BL255" s="433"/>
      <c r="BM255" s="433"/>
      <c r="BN255" s="434"/>
      <c r="BO255" s="434"/>
      <c r="BP255" s="434"/>
      <c r="BQ255" s="434"/>
      <c r="BR255" s="434"/>
      <c r="BS255" s="434"/>
      <c r="BT255" s="434"/>
      <c r="BU255" s="434"/>
      <c r="BV255" s="431"/>
      <c r="BW255" s="431"/>
      <c r="BX255" s="431"/>
      <c r="BY255" s="431"/>
      <c r="BZ255" s="431"/>
      <c r="CA255" s="431"/>
      <c r="CB255" s="431"/>
      <c r="CC255" s="435"/>
      <c r="CD255" s="435"/>
      <c r="CE255" s="435"/>
      <c r="CF255" s="435"/>
      <c r="CG255" s="435"/>
      <c r="CH255" s="435"/>
      <c r="CI255" s="435"/>
      <c r="CJ255" s="435"/>
      <c r="CK255" s="435"/>
      <c r="CL255" s="435"/>
      <c r="CM255" s="435"/>
      <c r="CN255" s="435"/>
      <c r="CO255" s="435"/>
      <c r="CP255" s="435"/>
      <c r="CQ255" s="435"/>
      <c r="CR255" s="435"/>
      <c r="CS255" s="436"/>
      <c r="CT255" s="436"/>
      <c r="CU255" s="436"/>
      <c r="CV255" s="436"/>
      <c r="CW255" s="436"/>
      <c r="CX255" s="436"/>
      <c r="CY255" s="436"/>
      <c r="CZ255" s="436"/>
      <c r="DA255" s="436"/>
      <c r="DB255" s="436"/>
      <c r="DC255" s="436"/>
      <c r="DD255" s="436"/>
      <c r="DE255" s="436"/>
      <c r="DF255" s="436"/>
      <c r="DG255" s="436"/>
      <c r="DH255" s="436"/>
      <c r="DI255" s="436"/>
      <c r="DJ255" s="436"/>
      <c r="DK255" s="436"/>
      <c r="DL255" s="436"/>
      <c r="DM255" s="436"/>
      <c r="DN255" s="938"/>
      <c r="DO255" s="437"/>
      <c r="DP255" s="437"/>
      <c r="DQ255" s="438"/>
      <c r="DR255" s="438"/>
      <c r="DS255" s="433"/>
      <c r="DT255" s="433"/>
      <c r="DU255" s="433"/>
      <c r="DV255" s="433"/>
      <c r="DW255" s="433"/>
      <c r="DX255" s="433"/>
      <c r="DY255" s="433"/>
      <c r="DZ255" s="433"/>
      <c r="EA255" s="433"/>
      <c r="EB255" s="433"/>
      <c r="EC255" s="433"/>
      <c r="ED255" s="433"/>
      <c r="EE255" s="433"/>
      <c r="EF255" s="433"/>
      <c r="EG255" s="433"/>
      <c r="EH255" s="433"/>
      <c r="EI255" s="433"/>
      <c r="EJ255" s="433"/>
      <c r="EK255" s="433"/>
      <c r="EL255" s="433"/>
      <c r="EM255" s="433"/>
      <c r="EN255" s="433"/>
      <c r="EO255" s="433"/>
      <c r="EP255" s="433"/>
      <c r="EQ255" s="433"/>
      <c r="ER255" s="433"/>
      <c r="ES255" s="433"/>
      <c r="ET255" s="433"/>
      <c r="EU255" s="433"/>
      <c r="EV255" s="433"/>
      <c r="EW255" s="433"/>
      <c r="EX255" s="433"/>
      <c r="EY255" s="433"/>
      <c r="EZ255" s="433"/>
      <c r="FA255" s="377"/>
      <c r="FB255" s="378"/>
      <c r="FC255" s="378"/>
      <c r="FD255" s="379">
        <f t="shared" si="500"/>
        <v>0</v>
      </c>
      <c r="FE255" s="790"/>
    </row>
    <row r="256" spans="2:164" ht="26.1" customHeight="1" outlineLevel="1" thickBot="1" x14ac:dyDescent="0.3">
      <c r="B256" s="1018"/>
      <c r="C256" s="1020"/>
      <c r="D256" s="1034"/>
      <c r="E256" s="1043"/>
      <c r="F256" s="839" t="s">
        <v>112</v>
      </c>
      <c r="G256" s="805" t="str">
        <f>VLOOKUP(H256,инфо!AD:AE,2,FALSE)</f>
        <v>Прочее</v>
      </c>
      <c r="H256" s="578" t="s">
        <v>1197</v>
      </c>
      <c r="I256" s="606" t="s">
        <v>50</v>
      </c>
      <c r="J256" s="439"/>
      <c r="K256" s="440"/>
      <c r="L256" s="440"/>
      <c r="M256" s="440"/>
      <c r="N256" s="440"/>
      <c r="O256" s="440"/>
      <c r="P256" s="440"/>
      <c r="Q256" s="440"/>
      <c r="R256" s="440"/>
      <c r="S256" s="440"/>
      <c r="T256" s="440"/>
      <c r="U256" s="440"/>
      <c r="V256" s="440"/>
      <c r="W256" s="441"/>
      <c r="X256" s="441"/>
      <c r="Y256" s="441"/>
      <c r="Z256" s="441">
        <v>50</v>
      </c>
      <c r="AA256" s="441">
        <v>100</v>
      </c>
      <c r="AB256" s="441"/>
      <c r="AC256" s="441"/>
      <c r="AD256" s="441"/>
      <c r="AE256" s="441"/>
      <c r="AF256" s="441"/>
      <c r="AG256" s="441"/>
      <c r="AH256" s="441"/>
      <c r="AI256" s="441"/>
      <c r="AJ256" s="441"/>
      <c r="AK256" s="441"/>
      <c r="AL256" s="441"/>
      <c r="AM256" s="441"/>
      <c r="AN256" s="441"/>
      <c r="AO256" s="441"/>
      <c r="AP256" s="441"/>
      <c r="AQ256" s="441"/>
      <c r="AR256" s="441"/>
      <c r="AS256" s="441"/>
      <c r="AT256" s="441"/>
      <c r="AU256" s="441"/>
      <c r="AV256" s="441"/>
      <c r="AW256" s="441"/>
      <c r="AX256" s="441"/>
      <c r="AY256" s="441"/>
      <c r="AZ256" s="441"/>
      <c r="BA256" s="441"/>
      <c r="BB256" s="441"/>
      <c r="BC256" s="441"/>
      <c r="BD256" s="441"/>
      <c r="BE256" s="442"/>
      <c r="BF256" s="442"/>
      <c r="BG256" s="442"/>
      <c r="BH256" s="442"/>
      <c r="BI256" s="442"/>
      <c r="BJ256" s="442"/>
      <c r="BK256" s="442"/>
      <c r="BL256" s="442"/>
      <c r="BM256" s="442"/>
      <c r="BN256" s="443"/>
      <c r="BO256" s="443"/>
      <c r="BP256" s="443"/>
      <c r="BQ256" s="443"/>
      <c r="BR256" s="443"/>
      <c r="BS256" s="443"/>
      <c r="BT256" s="443"/>
      <c r="BU256" s="443"/>
      <c r="BV256" s="440"/>
      <c r="BW256" s="440"/>
      <c r="BX256" s="440"/>
      <c r="BY256" s="440"/>
      <c r="BZ256" s="440"/>
      <c r="CA256" s="440"/>
      <c r="CB256" s="440"/>
      <c r="CC256" s="444"/>
      <c r="CD256" s="444"/>
      <c r="CE256" s="444"/>
      <c r="CF256" s="444"/>
      <c r="CG256" s="444"/>
      <c r="CH256" s="444"/>
      <c r="CI256" s="444"/>
      <c r="CJ256" s="444"/>
      <c r="CK256" s="444"/>
      <c r="CL256" s="444"/>
      <c r="CM256" s="444"/>
      <c r="CN256" s="444"/>
      <c r="CO256" s="444"/>
      <c r="CP256" s="444"/>
      <c r="CQ256" s="444"/>
      <c r="CR256" s="444"/>
      <c r="CS256" s="445"/>
      <c r="CT256" s="445"/>
      <c r="CU256" s="445"/>
      <c r="CV256" s="445"/>
      <c r="CW256" s="445"/>
      <c r="CX256" s="445"/>
      <c r="CY256" s="445"/>
      <c r="CZ256" s="445"/>
      <c r="DA256" s="445"/>
      <c r="DB256" s="445"/>
      <c r="DC256" s="445"/>
      <c r="DD256" s="445"/>
      <c r="DE256" s="445"/>
      <c r="DF256" s="445"/>
      <c r="DG256" s="445"/>
      <c r="DH256" s="445"/>
      <c r="DI256" s="445"/>
      <c r="DJ256" s="445"/>
      <c r="DK256" s="445"/>
      <c r="DL256" s="445"/>
      <c r="DM256" s="445"/>
      <c r="DN256" s="939"/>
      <c r="DO256" s="446"/>
      <c r="DP256" s="446"/>
      <c r="DQ256" s="447"/>
      <c r="DR256" s="447"/>
      <c r="DS256" s="442"/>
      <c r="DT256" s="442"/>
      <c r="DU256" s="442"/>
      <c r="DV256" s="442"/>
      <c r="DW256" s="442"/>
      <c r="DX256" s="442"/>
      <c r="DY256" s="442"/>
      <c r="DZ256" s="442"/>
      <c r="EA256" s="442"/>
      <c r="EB256" s="442"/>
      <c r="EC256" s="442"/>
      <c r="ED256" s="442"/>
      <c r="EE256" s="442"/>
      <c r="EF256" s="442"/>
      <c r="EG256" s="442"/>
      <c r="EH256" s="442"/>
      <c r="EI256" s="442"/>
      <c r="EJ256" s="442"/>
      <c r="EK256" s="442"/>
      <c r="EL256" s="442"/>
      <c r="EM256" s="442"/>
      <c r="EN256" s="442"/>
      <c r="EO256" s="442"/>
      <c r="EP256" s="442"/>
      <c r="EQ256" s="442"/>
      <c r="ER256" s="442"/>
      <c r="ES256" s="442"/>
      <c r="ET256" s="442"/>
      <c r="EU256" s="442"/>
      <c r="EV256" s="442"/>
      <c r="EW256" s="442"/>
      <c r="EX256" s="442"/>
      <c r="EY256" s="442"/>
      <c r="EZ256" s="442"/>
      <c r="FA256" s="389"/>
      <c r="FB256" s="390">
        <v>150</v>
      </c>
      <c r="FC256" s="390"/>
      <c r="FD256" s="391">
        <f t="shared" si="500"/>
        <v>0</v>
      </c>
      <c r="FE256" s="790"/>
    </row>
    <row r="257" spans="2:164" ht="26.1" customHeight="1" outlineLevel="1" thickBot="1" x14ac:dyDescent="0.3">
      <c r="B257" s="1018"/>
      <c r="C257" s="1020"/>
      <c r="D257" s="1034"/>
      <c r="E257" s="1038" t="s">
        <v>114</v>
      </c>
      <c r="F257" s="837" t="s">
        <v>112</v>
      </c>
      <c r="G257" s="803" t="str">
        <f>VLOOKUP(H257,инфо!AD:AE,2,FALSE)</f>
        <v>Первые блюда</v>
      </c>
      <c r="H257" s="579" t="s">
        <v>1204</v>
      </c>
      <c r="I257" s="588" t="s">
        <v>581</v>
      </c>
      <c r="J257" s="448"/>
      <c r="K257" s="449"/>
      <c r="L257" s="449"/>
      <c r="M257" s="449"/>
      <c r="N257" s="449"/>
      <c r="O257" s="449"/>
      <c r="P257" s="449"/>
      <c r="Q257" s="449"/>
      <c r="R257" s="449"/>
      <c r="S257" s="449"/>
      <c r="T257" s="449"/>
      <c r="U257" s="449"/>
      <c r="V257" s="449"/>
      <c r="W257" s="450"/>
      <c r="X257" s="450"/>
      <c r="Y257" s="450"/>
      <c r="Z257" s="450"/>
      <c r="AA257" s="450"/>
      <c r="AB257" s="450"/>
      <c r="AC257" s="450"/>
      <c r="AD257" s="450">
        <v>220</v>
      </c>
      <c r="AE257" s="450"/>
      <c r="AF257" s="450"/>
      <c r="AG257" s="450">
        <v>10</v>
      </c>
      <c r="AH257" s="450"/>
      <c r="AI257" s="450"/>
      <c r="AJ257" s="450"/>
      <c r="AK257" s="450"/>
      <c r="AL257" s="450"/>
      <c r="AM257" s="450"/>
      <c r="AN257" s="450"/>
      <c r="AO257" s="450">
        <v>5</v>
      </c>
      <c r="AP257" s="450"/>
      <c r="AQ257" s="450"/>
      <c r="AR257" s="450"/>
      <c r="AS257" s="450"/>
      <c r="AT257" s="450"/>
      <c r="AU257" s="450"/>
      <c r="AV257" s="450">
        <v>35</v>
      </c>
      <c r="AW257" s="450"/>
      <c r="AX257" s="450"/>
      <c r="AY257" s="450"/>
      <c r="AZ257" s="450"/>
      <c r="BA257" s="450"/>
      <c r="BB257" s="450"/>
      <c r="BC257" s="450"/>
      <c r="BD257" s="450"/>
      <c r="BE257" s="451"/>
      <c r="BF257" s="451"/>
      <c r="BG257" s="451"/>
      <c r="BH257" s="451"/>
      <c r="BI257" s="451"/>
      <c r="BJ257" s="451">
        <v>5</v>
      </c>
      <c r="BK257" s="451"/>
      <c r="BL257" s="451"/>
      <c r="BM257" s="451"/>
      <c r="BN257" s="452"/>
      <c r="BO257" s="452">
        <v>5</v>
      </c>
      <c r="BP257" s="452"/>
      <c r="BQ257" s="452"/>
      <c r="BR257" s="452"/>
      <c r="BS257" s="452"/>
      <c r="BT257" s="452"/>
      <c r="BU257" s="452"/>
      <c r="BV257" s="449"/>
      <c r="BW257" s="449"/>
      <c r="BX257" s="449"/>
      <c r="BY257" s="449"/>
      <c r="BZ257" s="449"/>
      <c r="CA257" s="449"/>
      <c r="CB257" s="449"/>
      <c r="CC257" s="453"/>
      <c r="CD257" s="453">
        <v>18</v>
      </c>
      <c r="CE257" s="453"/>
      <c r="CF257" s="453">
        <v>16</v>
      </c>
      <c r="CG257" s="453"/>
      <c r="CH257" s="453"/>
      <c r="CI257" s="453"/>
      <c r="CJ257" s="453"/>
      <c r="CK257" s="453"/>
      <c r="CL257" s="453"/>
      <c r="CM257" s="453"/>
      <c r="CN257" s="453"/>
      <c r="CO257" s="453"/>
      <c r="CP257" s="453"/>
      <c r="CQ257" s="453"/>
      <c r="CR257" s="453"/>
      <c r="CS257" s="454"/>
      <c r="CT257" s="454"/>
      <c r="CU257" s="454"/>
      <c r="CV257" s="454"/>
      <c r="CW257" s="454"/>
      <c r="CX257" s="454"/>
      <c r="CY257" s="454"/>
      <c r="CZ257" s="454"/>
      <c r="DA257" s="454"/>
      <c r="DB257" s="454"/>
      <c r="DC257" s="454"/>
      <c r="DD257" s="454"/>
      <c r="DE257" s="454"/>
      <c r="DF257" s="454"/>
      <c r="DG257" s="454"/>
      <c r="DH257" s="454"/>
      <c r="DI257" s="454"/>
      <c r="DJ257" s="454"/>
      <c r="DK257" s="454"/>
      <c r="DL257" s="454"/>
      <c r="DM257" s="454"/>
      <c r="DN257" s="940"/>
      <c r="DO257" s="455"/>
      <c r="DP257" s="455">
        <v>4</v>
      </c>
      <c r="DQ257" s="456">
        <v>0.02</v>
      </c>
      <c r="DR257" s="456">
        <v>0.05</v>
      </c>
      <c r="DS257" s="451">
        <v>4</v>
      </c>
      <c r="DT257" s="451"/>
      <c r="DU257" s="451"/>
      <c r="DV257" s="451"/>
      <c r="DW257" s="451"/>
      <c r="DX257" s="451"/>
      <c r="DY257" s="451"/>
      <c r="DZ257" s="451"/>
      <c r="EA257" s="451"/>
      <c r="EB257" s="451">
        <v>400</v>
      </c>
      <c r="EC257" s="451"/>
      <c r="ED257" s="451"/>
      <c r="EE257" s="451"/>
      <c r="EF257" s="451"/>
      <c r="EG257" s="451"/>
      <c r="EH257" s="451"/>
      <c r="EI257" s="451"/>
      <c r="EJ257" s="451"/>
      <c r="EK257" s="451"/>
      <c r="EL257" s="451"/>
      <c r="EM257" s="451"/>
      <c r="EN257" s="451"/>
      <c r="EO257" s="451"/>
      <c r="EP257" s="451"/>
      <c r="EQ257" s="451"/>
      <c r="ER257" s="451"/>
      <c r="ES257" s="451"/>
      <c r="ET257" s="451"/>
      <c r="EU257" s="451"/>
      <c r="EV257" s="451"/>
      <c r="EW257" s="451"/>
      <c r="EX257" s="451"/>
      <c r="EY257" s="451"/>
      <c r="EZ257" s="451"/>
      <c r="FA257" s="364">
        <v>250</v>
      </c>
      <c r="FB257" s="365">
        <v>500</v>
      </c>
      <c r="FC257" s="365">
        <v>33.06</v>
      </c>
      <c r="FD257" s="367">
        <f t="shared" si="500"/>
        <v>25</v>
      </c>
      <c r="FE257" s="790"/>
    </row>
    <row r="258" spans="2:164" ht="26.1" customHeight="1" outlineLevel="1" thickBot="1" x14ac:dyDescent="0.3">
      <c r="B258" s="1018"/>
      <c r="C258" s="1020"/>
      <c r="D258" s="1034"/>
      <c r="E258" s="1038"/>
      <c r="F258" s="838" t="s">
        <v>112</v>
      </c>
      <c r="G258" s="804" t="str">
        <f>VLOOKUP(H258,инфо!AD:AE,2,FALSE)</f>
        <v>Мясные (рыбные) блюда с соусом</v>
      </c>
      <c r="H258" s="580" t="s">
        <v>1207</v>
      </c>
      <c r="I258" s="574"/>
      <c r="J258" s="430"/>
      <c r="K258" s="431"/>
      <c r="L258" s="431"/>
      <c r="M258" s="431"/>
      <c r="N258" s="431"/>
      <c r="O258" s="431"/>
      <c r="P258" s="431"/>
      <c r="Q258" s="431"/>
      <c r="R258" s="431"/>
      <c r="S258" s="431"/>
      <c r="T258" s="431"/>
      <c r="U258" s="431"/>
      <c r="V258" s="431"/>
      <c r="W258" s="432"/>
      <c r="X258" s="432"/>
      <c r="Y258" s="432"/>
      <c r="Z258" s="432"/>
      <c r="AA258" s="432"/>
      <c r="AB258" s="432"/>
      <c r="AC258" s="432"/>
      <c r="AD258" s="432"/>
      <c r="AE258" s="432"/>
      <c r="AF258" s="432"/>
      <c r="AG258" s="432"/>
      <c r="AH258" s="432"/>
      <c r="AI258" s="432"/>
      <c r="AJ258" s="432"/>
      <c r="AK258" s="432"/>
      <c r="AL258" s="432"/>
      <c r="AM258" s="432"/>
      <c r="AN258" s="432"/>
      <c r="AO258" s="432"/>
      <c r="AP258" s="432"/>
      <c r="AQ258" s="432"/>
      <c r="AR258" s="432"/>
      <c r="AS258" s="432"/>
      <c r="AT258" s="432"/>
      <c r="AU258" s="432"/>
      <c r="AV258" s="432"/>
      <c r="AW258" s="432"/>
      <c r="AX258" s="432"/>
      <c r="AY258" s="432"/>
      <c r="AZ258" s="432"/>
      <c r="BA258" s="432"/>
      <c r="BB258" s="432"/>
      <c r="BC258" s="432"/>
      <c r="BD258" s="432"/>
      <c r="BE258" s="433"/>
      <c r="BF258" s="433"/>
      <c r="BG258" s="433"/>
      <c r="BH258" s="433"/>
      <c r="BI258" s="433"/>
      <c r="BJ258" s="433"/>
      <c r="BK258" s="433"/>
      <c r="BL258" s="433"/>
      <c r="BM258" s="433"/>
      <c r="BN258" s="434"/>
      <c r="BO258" s="434"/>
      <c r="BP258" s="434"/>
      <c r="BQ258" s="434"/>
      <c r="BR258" s="434"/>
      <c r="BS258" s="434"/>
      <c r="BT258" s="434"/>
      <c r="BU258" s="434"/>
      <c r="BV258" s="431"/>
      <c r="BW258" s="431"/>
      <c r="BX258" s="431"/>
      <c r="BY258" s="431"/>
      <c r="BZ258" s="431"/>
      <c r="CA258" s="431"/>
      <c r="CB258" s="431"/>
      <c r="CC258" s="435"/>
      <c r="CD258" s="435"/>
      <c r="CE258" s="435"/>
      <c r="CF258" s="435"/>
      <c r="CG258" s="435"/>
      <c r="CH258" s="435"/>
      <c r="CI258" s="435"/>
      <c r="CJ258" s="435"/>
      <c r="CK258" s="435"/>
      <c r="CL258" s="435"/>
      <c r="CM258" s="435"/>
      <c r="CN258" s="435"/>
      <c r="CO258" s="435"/>
      <c r="CP258" s="435"/>
      <c r="CQ258" s="435"/>
      <c r="CR258" s="435"/>
      <c r="CS258" s="436"/>
      <c r="CT258" s="436"/>
      <c r="CU258" s="436"/>
      <c r="CV258" s="436"/>
      <c r="CW258" s="436"/>
      <c r="CX258" s="436"/>
      <c r="CY258" s="436"/>
      <c r="CZ258" s="436"/>
      <c r="DA258" s="436"/>
      <c r="DB258" s="436"/>
      <c r="DC258" s="436"/>
      <c r="DD258" s="436"/>
      <c r="DE258" s="436"/>
      <c r="DF258" s="436"/>
      <c r="DG258" s="436"/>
      <c r="DH258" s="436"/>
      <c r="DI258" s="436"/>
      <c r="DJ258" s="436"/>
      <c r="DK258" s="436"/>
      <c r="DL258" s="436"/>
      <c r="DM258" s="436"/>
      <c r="DN258" s="938"/>
      <c r="DO258" s="437"/>
      <c r="DP258" s="437"/>
      <c r="DQ258" s="438"/>
      <c r="DR258" s="438"/>
      <c r="DS258" s="433"/>
      <c r="DT258" s="433"/>
      <c r="DU258" s="433"/>
      <c r="DV258" s="433"/>
      <c r="DW258" s="433"/>
      <c r="DX258" s="433"/>
      <c r="DY258" s="433"/>
      <c r="DZ258" s="433"/>
      <c r="EA258" s="433"/>
      <c r="EB258" s="433"/>
      <c r="EC258" s="433"/>
      <c r="ED258" s="433"/>
      <c r="EE258" s="433"/>
      <c r="EF258" s="433"/>
      <c r="EG258" s="433"/>
      <c r="EH258" s="433"/>
      <c r="EI258" s="433"/>
      <c r="EJ258" s="433"/>
      <c r="EK258" s="433"/>
      <c r="EL258" s="433"/>
      <c r="EM258" s="433"/>
      <c r="EN258" s="433"/>
      <c r="EO258" s="433"/>
      <c r="EP258" s="433"/>
      <c r="EQ258" s="433"/>
      <c r="ER258" s="433"/>
      <c r="ES258" s="433"/>
      <c r="ET258" s="433"/>
      <c r="EU258" s="433"/>
      <c r="EV258" s="433"/>
      <c r="EW258" s="433"/>
      <c r="EX258" s="433"/>
      <c r="EY258" s="433"/>
      <c r="EZ258" s="433"/>
      <c r="FA258" s="377"/>
      <c r="FB258" s="378"/>
      <c r="FC258" s="378"/>
      <c r="FD258" s="379">
        <f t="shared" si="500"/>
        <v>0</v>
      </c>
      <c r="FE258" s="790"/>
    </row>
    <row r="259" spans="2:164" ht="26.1" customHeight="1" outlineLevel="1" thickBot="1" x14ac:dyDescent="0.3">
      <c r="B259" s="1018"/>
      <c r="C259" s="1020"/>
      <c r="D259" s="1034"/>
      <c r="E259" s="1038"/>
      <c r="F259" s="840" t="s">
        <v>112</v>
      </c>
      <c r="G259" s="806" t="str">
        <f>VLOOKUP(H259,инфо!AD:AE,2,FALSE)</f>
        <v>Гарниры</v>
      </c>
      <c r="H259" s="581" t="s">
        <v>1198</v>
      </c>
      <c r="I259" s="573"/>
      <c r="J259" s="457"/>
      <c r="K259" s="458"/>
      <c r="L259" s="458"/>
      <c r="M259" s="458"/>
      <c r="N259" s="458"/>
      <c r="O259" s="458"/>
      <c r="P259" s="458"/>
      <c r="Q259" s="458"/>
      <c r="R259" s="458"/>
      <c r="S259" s="458"/>
      <c r="T259" s="458"/>
      <c r="U259" s="458"/>
      <c r="V259" s="458"/>
      <c r="W259" s="459"/>
      <c r="X259" s="459"/>
      <c r="Y259" s="459"/>
      <c r="Z259" s="459"/>
      <c r="AA259" s="459"/>
      <c r="AB259" s="459"/>
      <c r="AC259" s="459"/>
      <c r="AD259" s="459"/>
      <c r="AE259" s="459"/>
      <c r="AF259" s="459"/>
      <c r="AG259" s="459"/>
      <c r="AH259" s="459"/>
      <c r="AI259" s="459"/>
      <c r="AJ259" s="459"/>
      <c r="AK259" s="459"/>
      <c r="AL259" s="459"/>
      <c r="AM259" s="459"/>
      <c r="AN259" s="459"/>
      <c r="AO259" s="459"/>
      <c r="AP259" s="459"/>
      <c r="AQ259" s="459"/>
      <c r="AR259" s="459"/>
      <c r="AS259" s="459"/>
      <c r="AT259" s="459"/>
      <c r="AU259" s="459"/>
      <c r="AV259" s="459"/>
      <c r="AW259" s="459"/>
      <c r="AX259" s="459"/>
      <c r="AY259" s="459"/>
      <c r="AZ259" s="459"/>
      <c r="BA259" s="459"/>
      <c r="BB259" s="459"/>
      <c r="BC259" s="459"/>
      <c r="BD259" s="459"/>
      <c r="BE259" s="460"/>
      <c r="BF259" s="460"/>
      <c r="BG259" s="460"/>
      <c r="BH259" s="460"/>
      <c r="BI259" s="460"/>
      <c r="BJ259" s="460"/>
      <c r="BK259" s="460"/>
      <c r="BL259" s="460"/>
      <c r="BM259" s="460"/>
      <c r="BN259" s="461"/>
      <c r="BO259" s="461"/>
      <c r="BP259" s="461"/>
      <c r="BQ259" s="461"/>
      <c r="BR259" s="461"/>
      <c r="BS259" s="461"/>
      <c r="BT259" s="461"/>
      <c r="BU259" s="461"/>
      <c r="BV259" s="458"/>
      <c r="BW259" s="458"/>
      <c r="BX259" s="458"/>
      <c r="BY259" s="458"/>
      <c r="BZ259" s="458"/>
      <c r="CA259" s="458"/>
      <c r="CB259" s="458"/>
      <c r="CC259" s="462"/>
      <c r="CD259" s="462"/>
      <c r="CE259" s="462"/>
      <c r="CF259" s="462"/>
      <c r="CG259" s="462"/>
      <c r="CH259" s="462"/>
      <c r="CI259" s="462"/>
      <c r="CJ259" s="462"/>
      <c r="CK259" s="462"/>
      <c r="CL259" s="462"/>
      <c r="CM259" s="462"/>
      <c r="CN259" s="462"/>
      <c r="CO259" s="462"/>
      <c r="CP259" s="462"/>
      <c r="CQ259" s="462"/>
      <c r="CR259" s="462"/>
      <c r="CS259" s="463"/>
      <c r="CT259" s="463"/>
      <c r="CU259" s="463"/>
      <c r="CV259" s="463"/>
      <c r="CW259" s="463"/>
      <c r="CX259" s="463"/>
      <c r="CY259" s="463"/>
      <c r="CZ259" s="463"/>
      <c r="DA259" s="463"/>
      <c r="DB259" s="463"/>
      <c r="DC259" s="463"/>
      <c r="DD259" s="463"/>
      <c r="DE259" s="463"/>
      <c r="DF259" s="463"/>
      <c r="DG259" s="463"/>
      <c r="DH259" s="463"/>
      <c r="DI259" s="463"/>
      <c r="DJ259" s="463"/>
      <c r="DK259" s="463"/>
      <c r="DL259" s="463"/>
      <c r="DM259" s="463"/>
      <c r="DN259" s="941"/>
      <c r="DO259" s="464"/>
      <c r="DP259" s="464"/>
      <c r="DQ259" s="465"/>
      <c r="DR259" s="465"/>
      <c r="DS259" s="460"/>
      <c r="DT259" s="460"/>
      <c r="DU259" s="460"/>
      <c r="DV259" s="460"/>
      <c r="DW259" s="460"/>
      <c r="DX259" s="460"/>
      <c r="DY259" s="460"/>
      <c r="DZ259" s="460"/>
      <c r="EA259" s="460"/>
      <c r="EB259" s="460"/>
      <c r="EC259" s="460"/>
      <c r="ED259" s="460"/>
      <c r="EE259" s="460"/>
      <c r="EF259" s="460"/>
      <c r="EG259" s="460"/>
      <c r="EH259" s="460"/>
      <c r="EI259" s="460"/>
      <c r="EJ259" s="460"/>
      <c r="EK259" s="460"/>
      <c r="EL259" s="460"/>
      <c r="EM259" s="460"/>
      <c r="EN259" s="460"/>
      <c r="EO259" s="460"/>
      <c r="EP259" s="460"/>
      <c r="EQ259" s="460"/>
      <c r="ER259" s="460"/>
      <c r="ES259" s="460"/>
      <c r="ET259" s="460"/>
      <c r="EU259" s="460"/>
      <c r="EV259" s="460"/>
      <c r="EW259" s="460"/>
      <c r="EX259" s="460"/>
      <c r="EY259" s="460"/>
      <c r="EZ259" s="460"/>
      <c r="FA259" s="402"/>
      <c r="FB259" s="403"/>
      <c r="FC259" s="403"/>
      <c r="FD259" s="404">
        <f t="shared" si="500"/>
        <v>0</v>
      </c>
      <c r="FE259" s="790"/>
    </row>
    <row r="260" spans="2:164" ht="26.1" customHeight="1" outlineLevel="1" thickBot="1" x14ac:dyDescent="0.3">
      <c r="B260" s="1018"/>
      <c r="C260" s="1020"/>
      <c r="D260" s="1034"/>
      <c r="E260" s="1038" t="s">
        <v>115</v>
      </c>
      <c r="F260" s="837" t="s">
        <v>112</v>
      </c>
      <c r="G260" s="803" t="str">
        <f>VLOOKUP(H260,инфо!AD:AE,2,FALSE)</f>
        <v>Мясные (рыбные) блюда с соусом</v>
      </c>
      <c r="H260" s="579" t="s">
        <v>1196</v>
      </c>
      <c r="I260" s="588" t="s">
        <v>1171</v>
      </c>
      <c r="J260" s="448"/>
      <c r="K260" s="449"/>
      <c r="L260" s="449"/>
      <c r="M260" s="449"/>
      <c r="N260" s="449"/>
      <c r="O260" s="449"/>
      <c r="P260" s="449"/>
      <c r="Q260" s="449"/>
      <c r="R260" s="449"/>
      <c r="S260" s="449"/>
      <c r="T260" s="449"/>
      <c r="U260" s="449"/>
      <c r="V260" s="449"/>
      <c r="W260" s="450"/>
      <c r="X260" s="466">
        <v>0.8</v>
      </c>
      <c r="Y260" s="450"/>
      <c r="Z260" s="450"/>
      <c r="AA260" s="450"/>
      <c r="AB260" s="450"/>
      <c r="AC260" s="450"/>
      <c r="AD260" s="450"/>
      <c r="AE260" s="450"/>
      <c r="AF260" s="450">
        <v>4</v>
      </c>
      <c r="AG260" s="450">
        <v>4</v>
      </c>
      <c r="AH260" s="450"/>
      <c r="AI260" s="450"/>
      <c r="AJ260" s="450"/>
      <c r="AK260" s="450"/>
      <c r="AL260" s="450"/>
      <c r="AM260" s="450"/>
      <c r="AN260" s="450"/>
      <c r="AO260" s="450"/>
      <c r="AP260" s="450"/>
      <c r="AQ260" s="450"/>
      <c r="AR260" s="450"/>
      <c r="AS260" s="450"/>
      <c r="AT260" s="450"/>
      <c r="AU260" s="450"/>
      <c r="AV260" s="450"/>
      <c r="AW260" s="450"/>
      <c r="AX260" s="450"/>
      <c r="AY260" s="450"/>
      <c r="AZ260" s="450"/>
      <c r="BA260" s="450"/>
      <c r="BB260" s="450"/>
      <c r="BC260" s="450"/>
      <c r="BD260" s="450"/>
      <c r="BE260" s="451"/>
      <c r="BF260" s="451"/>
      <c r="BG260" s="451"/>
      <c r="BH260" s="451"/>
      <c r="BI260" s="451"/>
      <c r="BJ260" s="451"/>
      <c r="BK260" s="451"/>
      <c r="BL260" s="451"/>
      <c r="BM260" s="451"/>
      <c r="BN260" s="452"/>
      <c r="BO260" s="452">
        <v>0.8</v>
      </c>
      <c r="BP260" s="452"/>
      <c r="BQ260" s="452"/>
      <c r="BR260" s="452"/>
      <c r="BS260" s="452"/>
      <c r="BT260" s="452"/>
      <c r="BU260" s="452"/>
      <c r="BV260" s="449"/>
      <c r="BW260" s="449"/>
      <c r="BX260" s="449"/>
      <c r="BY260" s="449"/>
      <c r="BZ260" s="449"/>
      <c r="CA260" s="449"/>
      <c r="CB260" s="449"/>
      <c r="CC260" s="453"/>
      <c r="CD260" s="453"/>
      <c r="CE260" s="453"/>
      <c r="CF260" s="453"/>
      <c r="CG260" s="453"/>
      <c r="CH260" s="453"/>
      <c r="CI260" s="453"/>
      <c r="CJ260" s="453"/>
      <c r="CK260" s="453"/>
      <c r="CL260" s="453"/>
      <c r="CM260" s="453"/>
      <c r="CN260" s="453"/>
      <c r="CO260" s="453"/>
      <c r="CP260" s="453"/>
      <c r="CQ260" s="453"/>
      <c r="CR260" s="453"/>
      <c r="CS260" s="454"/>
      <c r="CT260" s="454"/>
      <c r="CU260" s="454"/>
      <c r="CV260" s="454"/>
      <c r="CW260" s="454"/>
      <c r="CX260" s="454"/>
      <c r="CY260" s="454"/>
      <c r="CZ260" s="454"/>
      <c r="DA260" s="454"/>
      <c r="DB260" s="454"/>
      <c r="DC260" s="454"/>
      <c r="DD260" s="454"/>
      <c r="DE260" s="454"/>
      <c r="DF260" s="454"/>
      <c r="DG260" s="454"/>
      <c r="DH260" s="454"/>
      <c r="DI260" s="454"/>
      <c r="DJ260" s="454"/>
      <c r="DK260" s="454"/>
      <c r="DL260" s="454"/>
      <c r="DM260" s="454"/>
      <c r="DN260" s="940"/>
      <c r="DO260" s="455"/>
      <c r="DP260" s="455">
        <v>0.2</v>
      </c>
      <c r="DQ260" s="456">
        <v>4.0000000000000001E-3</v>
      </c>
      <c r="DR260" s="456">
        <v>0.01</v>
      </c>
      <c r="DS260" s="451">
        <v>0.8</v>
      </c>
      <c r="DT260" s="451"/>
      <c r="DU260" s="451"/>
      <c r="DV260" s="451"/>
      <c r="DW260" s="451"/>
      <c r="DX260" s="451"/>
      <c r="DY260" s="451"/>
      <c r="DZ260" s="451"/>
      <c r="EA260" s="451"/>
      <c r="EB260" s="451">
        <v>16</v>
      </c>
      <c r="EC260" s="451"/>
      <c r="ED260" s="451"/>
      <c r="EE260" s="451"/>
      <c r="EF260" s="451"/>
      <c r="EG260" s="451"/>
      <c r="EH260" s="451"/>
      <c r="EI260" s="451"/>
      <c r="EJ260" s="451"/>
      <c r="EK260" s="451"/>
      <c r="EL260" s="451"/>
      <c r="EM260" s="451"/>
      <c r="EN260" s="451"/>
      <c r="EO260" s="451"/>
      <c r="EP260" s="451"/>
      <c r="EQ260" s="451"/>
      <c r="ER260" s="451"/>
      <c r="ES260" s="451"/>
      <c r="ET260" s="451"/>
      <c r="EU260" s="451"/>
      <c r="EV260" s="451"/>
      <c r="EW260" s="451"/>
      <c r="EX260" s="451"/>
      <c r="EY260" s="451"/>
      <c r="EZ260" s="451"/>
      <c r="FA260" s="364"/>
      <c r="FB260" s="365">
        <v>20</v>
      </c>
      <c r="FC260" s="365"/>
      <c r="FD260" s="367">
        <f t="shared" si="500"/>
        <v>0</v>
      </c>
      <c r="FE260" s="790"/>
    </row>
    <row r="261" spans="2:164" ht="26.1" customHeight="1" outlineLevel="1" thickBot="1" x14ac:dyDescent="0.3">
      <c r="B261" s="1018"/>
      <c r="C261" s="1020"/>
      <c r="D261" s="1034"/>
      <c r="E261" s="1038"/>
      <c r="F261" s="838" t="s">
        <v>112</v>
      </c>
      <c r="G261" s="804" t="str">
        <f>VLOOKUP(H261,инфо!AD:AE,2,FALSE)</f>
        <v>Гарниры</v>
      </c>
      <c r="H261" s="580" t="s">
        <v>1198</v>
      </c>
      <c r="I261" s="588" t="s">
        <v>156</v>
      </c>
      <c r="J261" s="430"/>
      <c r="K261" s="431"/>
      <c r="L261" s="431"/>
      <c r="M261" s="431"/>
      <c r="N261" s="431"/>
      <c r="O261" s="431"/>
      <c r="P261" s="431"/>
      <c r="Q261" s="431"/>
      <c r="R261" s="431"/>
      <c r="S261" s="431"/>
      <c r="T261" s="431"/>
      <c r="U261" s="431"/>
      <c r="V261" s="431">
        <v>83</v>
      </c>
      <c r="W261" s="432"/>
      <c r="X261" s="432"/>
      <c r="Y261" s="432"/>
      <c r="Z261" s="432"/>
      <c r="AA261" s="432"/>
      <c r="AB261" s="432"/>
      <c r="AC261" s="432"/>
      <c r="AD261" s="432"/>
      <c r="AE261" s="432"/>
      <c r="AF261" s="432"/>
      <c r="AG261" s="432"/>
      <c r="AH261" s="432"/>
      <c r="AI261" s="432"/>
      <c r="AJ261" s="432"/>
      <c r="AK261" s="432"/>
      <c r="AL261" s="432"/>
      <c r="AM261" s="432"/>
      <c r="AN261" s="432"/>
      <c r="AO261" s="432"/>
      <c r="AP261" s="432"/>
      <c r="AQ261" s="432"/>
      <c r="AR261" s="432"/>
      <c r="AS261" s="432"/>
      <c r="AT261" s="432"/>
      <c r="AU261" s="432"/>
      <c r="AV261" s="432"/>
      <c r="AW261" s="432"/>
      <c r="AX261" s="432"/>
      <c r="AY261" s="432"/>
      <c r="AZ261" s="432"/>
      <c r="BA261" s="432"/>
      <c r="BB261" s="432"/>
      <c r="BC261" s="432"/>
      <c r="BD261" s="432"/>
      <c r="BE261" s="433"/>
      <c r="BF261" s="433"/>
      <c r="BG261" s="433"/>
      <c r="BH261" s="433"/>
      <c r="BI261" s="433"/>
      <c r="BJ261" s="433"/>
      <c r="BK261" s="433"/>
      <c r="BL261" s="433"/>
      <c r="BM261" s="433"/>
      <c r="BN261" s="434"/>
      <c r="BO261" s="434"/>
      <c r="BP261" s="434"/>
      <c r="BQ261" s="434"/>
      <c r="BR261" s="434"/>
      <c r="BS261" s="434"/>
      <c r="BT261" s="434"/>
      <c r="BU261" s="434"/>
      <c r="BV261" s="431"/>
      <c r="BW261" s="431"/>
      <c r="BX261" s="431"/>
      <c r="BY261" s="431"/>
      <c r="BZ261" s="431"/>
      <c r="CA261" s="431"/>
      <c r="CB261" s="431"/>
      <c r="CC261" s="435"/>
      <c r="CD261" s="435"/>
      <c r="CE261" s="435"/>
      <c r="CF261" s="435"/>
      <c r="CG261" s="435"/>
      <c r="CH261" s="435"/>
      <c r="CI261" s="435"/>
      <c r="CJ261" s="435"/>
      <c r="CK261" s="435"/>
      <c r="CL261" s="435"/>
      <c r="CM261" s="435"/>
      <c r="CN261" s="435"/>
      <c r="CO261" s="435"/>
      <c r="CP261" s="435"/>
      <c r="CQ261" s="435"/>
      <c r="CR261" s="435"/>
      <c r="CS261" s="436"/>
      <c r="CT261" s="436"/>
      <c r="CU261" s="436"/>
      <c r="CV261" s="436"/>
      <c r="CW261" s="436"/>
      <c r="CX261" s="436"/>
      <c r="CY261" s="436"/>
      <c r="CZ261" s="436"/>
      <c r="DA261" s="436"/>
      <c r="DB261" s="436"/>
      <c r="DC261" s="436"/>
      <c r="DD261" s="436"/>
      <c r="DE261" s="436"/>
      <c r="DF261" s="436"/>
      <c r="DG261" s="436"/>
      <c r="DH261" s="436"/>
      <c r="DI261" s="436"/>
      <c r="DJ261" s="436"/>
      <c r="DK261" s="436"/>
      <c r="DL261" s="436"/>
      <c r="DM261" s="436"/>
      <c r="DN261" s="938"/>
      <c r="DO261" s="437"/>
      <c r="DP261" s="437">
        <v>3</v>
      </c>
      <c r="DQ261" s="438"/>
      <c r="DR261" s="438"/>
      <c r="DS261" s="433"/>
      <c r="DT261" s="433"/>
      <c r="DU261" s="433"/>
      <c r="DV261" s="433"/>
      <c r="DW261" s="433"/>
      <c r="DX261" s="433"/>
      <c r="DY261" s="433"/>
      <c r="DZ261" s="433"/>
      <c r="EA261" s="433">
        <v>182.60000000000002</v>
      </c>
      <c r="EB261" s="433"/>
      <c r="EC261" s="433"/>
      <c r="ED261" s="433"/>
      <c r="EE261" s="433"/>
      <c r="EF261" s="433"/>
      <c r="EG261" s="433"/>
      <c r="EH261" s="433"/>
      <c r="EI261" s="433"/>
      <c r="EJ261" s="433"/>
      <c r="EK261" s="433"/>
      <c r="EL261" s="433"/>
      <c r="EM261" s="433"/>
      <c r="EN261" s="433"/>
      <c r="EO261" s="433"/>
      <c r="EP261" s="433"/>
      <c r="EQ261" s="433"/>
      <c r="ER261" s="433"/>
      <c r="ES261" s="433"/>
      <c r="ET261" s="433"/>
      <c r="EU261" s="433"/>
      <c r="EV261" s="433"/>
      <c r="EW261" s="433"/>
      <c r="EX261" s="433"/>
      <c r="EY261" s="433"/>
      <c r="EZ261" s="433"/>
      <c r="FA261" s="377">
        <v>415</v>
      </c>
      <c r="FB261" s="378">
        <v>249</v>
      </c>
      <c r="FC261" s="378"/>
      <c r="FD261" s="379">
        <f t="shared" si="500"/>
        <v>0</v>
      </c>
      <c r="FE261" s="790"/>
    </row>
    <row r="262" spans="2:164" ht="26.1" customHeight="1" outlineLevel="1" thickBot="1" x14ac:dyDescent="0.3">
      <c r="B262" s="1018"/>
      <c r="C262" s="1020"/>
      <c r="D262" s="1034"/>
      <c r="E262" s="1038"/>
      <c r="F262" s="838" t="s">
        <v>112</v>
      </c>
      <c r="G262" s="804" t="str">
        <f>VLOOKUP(H262,инфо!AD:AE,2,FALSE)</f>
        <v>Гарниры</v>
      </c>
      <c r="H262" s="580" t="s">
        <v>1198</v>
      </c>
      <c r="I262" s="590" t="s">
        <v>1010</v>
      </c>
      <c r="J262" s="430"/>
      <c r="K262" s="431"/>
      <c r="L262" s="431"/>
      <c r="M262" s="431"/>
      <c r="N262" s="431"/>
      <c r="O262" s="431"/>
      <c r="P262" s="431">
        <v>83</v>
      </c>
      <c r="Q262" s="431"/>
      <c r="R262" s="431"/>
      <c r="S262" s="431"/>
      <c r="T262" s="431"/>
      <c r="U262" s="431"/>
      <c r="V262" s="431"/>
      <c r="W262" s="432"/>
      <c r="X262" s="432"/>
      <c r="Y262" s="432"/>
      <c r="Z262" s="432"/>
      <c r="AA262" s="432"/>
      <c r="AB262" s="432"/>
      <c r="AC262" s="432"/>
      <c r="AD262" s="432"/>
      <c r="AE262" s="432"/>
      <c r="AF262" s="432"/>
      <c r="AG262" s="432"/>
      <c r="AH262" s="432"/>
      <c r="AI262" s="432"/>
      <c r="AJ262" s="432"/>
      <c r="AK262" s="432"/>
      <c r="AL262" s="432"/>
      <c r="AM262" s="432"/>
      <c r="AN262" s="432"/>
      <c r="AO262" s="432"/>
      <c r="AP262" s="432"/>
      <c r="AQ262" s="432"/>
      <c r="AR262" s="432"/>
      <c r="AS262" s="432"/>
      <c r="AT262" s="432"/>
      <c r="AU262" s="432"/>
      <c r="AV262" s="432"/>
      <c r="AW262" s="432"/>
      <c r="AX262" s="432"/>
      <c r="AY262" s="432"/>
      <c r="AZ262" s="432"/>
      <c r="BA262" s="432"/>
      <c r="BB262" s="432"/>
      <c r="BC262" s="432"/>
      <c r="BD262" s="432"/>
      <c r="BE262" s="433"/>
      <c r="BF262" s="433"/>
      <c r="BG262" s="433"/>
      <c r="BH262" s="433"/>
      <c r="BI262" s="433"/>
      <c r="BJ262" s="433"/>
      <c r="BK262" s="433"/>
      <c r="BL262" s="433"/>
      <c r="BM262" s="433"/>
      <c r="BN262" s="434"/>
      <c r="BO262" s="434"/>
      <c r="BP262" s="434"/>
      <c r="BQ262" s="434"/>
      <c r="BR262" s="434"/>
      <c r="BS262" s="434"/>
      <c r="BT262" s="434"/>
      <c r="BU262" s="434"/>
      <c r="BV262" s="431"/>
      <c r="BW262" s="431"/>
      <c r="BX262" s="431"/>
      <c r="BY262" s="431"/>
      <c r="BZ262" s="431"/>
      <c r="CA262" s="431"/>
      <c r="CB262" s="431"/>
      <c r="CC262" s="435"/>
      <c r="CD262" s="435"/>
      <c r="CE262" s="435"/>
      <c r="CF262" s="435"/>
      <c r="CG262" s="435"/>
      <c r="CH262" s="435"/>
      <c r="CI262" s="435"/>
      <c r="CJ262" s="435"/>
      <c r="CK262" s="435"/>
      <c r="CL262" s="435"/>
      <c r="CM262" s="435"/>
      <c r="CN262" s="435"/>
      <c r="CO262" s="435"/>
      <c r="CP262" s="435"/>
      <c r="CQ262" s="435"/>
      <c r="CR262" s="435"/>
      <c r="CS262" s="436"/>
      <c r="CT262" s="436"/>
      <c r="CU262" s="436"/>
      <c r="CV262" s="436"/>
      <c r="CW262" s="436"/>
      <c r="CX262" s="436"/>
      <c r="CY262" s="436"/>
      <c r="CZ262" s="436"/>
      <c r="DA262" s="436"/>
      <c r="DB262" s="436"/>
      <c r="DC262" s="436"/>
      <c r="DD262" s="436"/>
      <c r="DE262" s="436"/>
      <c r="DF262" s="436"/>
      <c r="DG262" s="436"/>
      <c r="DH262" s="436"/>
      <c r="DI262" s="436"/>
      <c r="DJ262" s="436"/>
      <c r="DK262" s="436"/>
      <c r="DL262" s="436"/>
      <c r="DM262" s="436"/>
      <c r="DN262" s="938"/>
      <c r="DO262" s="437"/>
      <c r="DP262" s="437">
        <v>3</v>
      </c>
      <c r="DQ262" s="438"/>
      <c r="DR262" s="438"/>
      <c r="DS262" s="433"/>
      <c r="DT262" s="433"/>
      <c r="DU262" s="433"/>
      <c r="DV262" s="433"/>
      <c r="DW262" s="433"/>
      <c r="DX262" s="433"/>
      <c r="DY262" s="433"/>
      <c r="DZ262" s="433"/>
      <c r="EA262" s="433">
        <v>265.60000000000002</v>
      </c>
      <c r="EB262" s="433"/>
      <c r="EC262" s="433"/>
      <c r="ED262" s="433"/>
      <c r="EE262" s="433"/>
      <c r="EF262" s="433"/>
      <c r="EG262" s="433"/>
      <c r="EH262" s="433"/>
      <c r="EI262" s="433"/>
      <c r="EJ262" s="433"/>
      <c r="EK262" s="433"/>
      <c r="EL262" s="433"/>
      <c r="EM262" s="433"/>
      <c r="EN262" s="433"/>
      <c r="EO262" s="433"/>
      <c r="EP262" s="433"/>
      <c r="EQ262" s="433"/>
      <c r="ER262" s="433"/>
      <c r="ES262" s="433"/>
      <c r="ET262" s="433"/>
      <c r="EU262" s="433"/>
      <c r="EV262" s="433"/>
      <c r="EW262" s="433"/>
      <c r="EX262" s="433"/>
      <c r="EY262" s="433"/>
      <c r="EZ262" s="433"/>
      <c r="FA262" s="377">
        <v>415</v>
      </c>
      <c r="FB262" s="378">
        <v>332</v>
      </c>
      <c r="FC262" s="378"/>
      <c r="FD262" s="379">
        <f t="shared" si="500"/>
        <v>0</v>
      </c>
      <c r="FE262" s="790"/>
    </row>
    <row r="263" spans="2:164" ht="26.1" customHeight="1" outlineLevel="1" thickBot="1" x14ac:dyDescent="0.35">
      <c r="B263" s="1018"/>
      <c r="C263" s="1020"/>
      <c r="D263" s="1034"/>
      <c r="E263" s="1038"/>
      <c r="F263" s="840" t="s">
        <v>112</v>
      </c>
      <c r="G263" s="806" t="str">
        <f>VLOOKUP(H263,инфо!AD:AE,2,FALSE)</f>
        <v>Прочее</v>
      </c>
      <c r="H263" s="581" t="s">
        <v>1197</v>
      </c>
      <c r="I263" s="606" t="s">
        <v>165</v>
      </c>
      <c r="J263" s="457"/>
      <c r="K263" s="458"/>
      <c r="L263" s="458"/>
      <c r="M263" s="458"/>
      <c r="N263" s="458"/>
      <c r="O263" s="458"/>
      <c r="P263" s="458"/>
      <c r="Q263" s="458"/>
      <c r="R263" s="458"/>
      <c r="S263" s="458"/>
      <c r="T263" s="458"/>
      <c r="U263" s="458"/>
      <c r="V263" s="458"/>
      <c r="W263" s="459"/>
      <c r="X263" s="459"/>
      <c r="Y263" s="459"/>
      <c r="Z263" s="459"/>
      <c r="AA263" s="459"/>
      <c r="AB263" s="459"/>
      <c r="AC263" s="459"/>
      <c r="AD263" s="459"/>
      <c r="AE263" s="459"/>
      <c r="AF263" s="459"/>
      <c r="AG263" s="459"/>
      <c r="AH263" s="459"/>
      <c r="AI263" s="459"/>
      <c r="AJ263" s="459"/>
      <c r="AK263" s="459"/>
      <c r="AL263" s="459"/>
      <c r="AM263" s="459"/>
      <c r="AN263" s="459"/>
      <c r="AO263" s="459"/>
      <c r="AP263" s="459"/>
      <c r="AQ263" s="459"/>
      <c r="AR263" s="459"/>
      <c r="AS263" s="459"/>
      <c r="AT263" s="459"/>
      <c r="AU263" s="459"/>
      <c r="AV263" s="459"/>
      <c r="AW263" s="459"/>
      <c r="AX263" s="459"/>
      <c r="AY263" s="459"/>
      <c r="AZ263" s="459"/>
      <c r="BA263" s="459"/>
      <c r="BB263" s="459"/>
      <c r="BC263" s="459"/>
      <c r="BD263" s="459"/>
      <c r="BE263" s="460"/>
      <c r="BF263" s="460"/>
      <c r="BG263" s="460"/>
      <c r="BH263" s="460"/>
      <c r="BI263" s="460"/>
      <c r="BJ263" s="460"/>
      <c r="BK263" s="460"/>
      <c r="BL263" s="460"/>
      <c r="BM263" s="460"/>
      <c r="BN263" s="461"/>
      <c r="BO263" s="461"/>
      <c r="BP263" s="461">
        <v>15</v>
      </c>
      <c r="BQ263" s="461"/>
      <c r="BR263" s="461"/>
      <c r="BS263" s="461"/>
      <c r="BT263" s="461"/>
      <c r="BU263" s="461"/>
      <c r="BV263" s="458"/>
      <c r="BW263" s="458"/>
      <c r="BX263" s="458"/>
      <c r="BY263" s="458"/>
      <c r="BZ263" s="458"/>
      <c r="CA263" s="458"/>
      <c r="CB263" s="458"/>
      <c r="CC263" s="462"/>
      <c r="CD263" s="462"/>
      <c r="CE263" s="462"/>
      <c r="CF263" s="462"/>
      <c r="CG263" s="462"/>
      <c r="CH263" s="462"/>
      <c r="CI263" s="462"/>
      <c r="CJ263" s="462"/>
      <c r="CK263" s="462"/>
      <c r="CL263" s="462"/>
      <c r="CM263" s="462"/>
      <c r="CN263" s="462"/>
      <c r="CO263" s="462"/>
      <c r="CP263" s="462"/>
      <c r="CQ263" s="462"/>
      <c r="CR263" s="462"/>
      <c r="CS263" s="463"/>
      <c r="CT263" s="463"/>
      <c r="CU263" s="463"/>
      <c r="CV263" s="463"/>
      <c r="CW263" s="463"/>
      <c r="CX263" s="463"/>
      <c r="CY263" s="463"/>
      <c r="CZ263" s="463"/>
      <c r="DA263" s="463"/>
      <c r="DB263" s="463"/>
      <c r="DC263" s="463"/>
      <c r="DD263" s="463"/>
      <c r="DE263" s="463"/>
      <c r="DF263" s="463"/>
      <c r="DG263" s="463"/>
      <c r="DH263" s="463"/>
      <c r="DI263" s="463"/>
      <c r="DJ263" s="463"/>
      <c r="DK263" s="463"/>
      <c r="DL263" s="463"/>
      <c r="DM263" s="463"/>
      <c r="DN263" s="941"/>
      <c r="DO263" s="464"/>
      <c r="DP263" s="464"/>
      <c r="DQ263" s="465"/>
      <c r="DR263" s="465"/>
      <c r="DS263" s="460"/>
      <c r="DT263" s="467"/>
      <c r="DU263" s="467"/>
      <c r="DV263" s="467"/>
      <c r="DW263" s="467"/>
      <c r="DX263" s="467"/>
      <c r="DY263" s="467"/>
      <c r="DZ263" s="467"/>
      <c r="EA263" s="467"/>
      <c r="EB263" s="467"/>
      <c r="EC263" s="467"/>
      <c r="ED263" s="467"/>
      <c r="EE263" s="467"/>
      <c r="EF263" s="467"/>
      <c r="EG263" s="467"/>
      <c r="EH263" s="467"/>
      <c r="EI263" s="467"/>
      <c r="EJ263" s="467"/>
      <c r="EK263" s="467"/>
      <c r="EL263" s="467"/>
      <c r="EM263" s="467"/>
      <c r="EN263" s="467"/>
      <c r="EO263" s="467"/>
      <c r="EP263" s="467"/>
      <c r="EQ263" s="467"/>
      <c r="ER263" s="467"/>
      <c r="ES263" s="467"/>
      <c r="ET263" s="467"/>
      <c r="EU263" s="467"/>
      <c r="EV263" s="467"/>
      <c r="EW263" s="467"/>
      <c r="EX263" s="467"/>
      <c r="EY263" s="467"/>
      <c r="EZ263" s="467"/>
      <c r="FA263" s="402"/>
      <c r="FB263" s="403">
        <v>15</v>
      </c>
      <c r="FC263" s="403"/>
      <c r="FD263" s="404">
        <f t="shared" si="500"/>
        <v>0</v>
      </c>
      <c r="FE263" s="790"/>
    </row>
    <row r="264" spans="2:164" ht="26.1" customHeight="1" outlineLevel="1" thickBot="1" x14ac:dyDescent="0.35">
      <c r="B264" s="1018"/>
      <c r="C264" s="1020"/>
      <c r="D264" s="1034"/>
      <c r="E264" s="1042" t="s">
        <v>116</v>
      </c>
      <c r="F264" s="841" t="s">
        <v>112</v>
      </c>
      <c r="G264" s="807" t="str">
        <f>VLOOKUP(H264,инфо!AD:AE,2,FALSE)</f>
        <v>Напитки</v>
      </c>
      <c r="H264" s="577" t="s">
        <v>1195</v>
      </c>
      <c r="I264" s="588" t="s">
        <v>75</v>
      </c>
      <c r="J264" s="421"/>
      <c r="K264" s="422"/>
      <c r="L264" s="422"/>
      <c r="M264" s="422"/>
      <c r="N264" s="422"/>
      <c r="O264" s="422"/>
      <c r="P264" s="422"/>
      <c r="Q264" s="422"/>
      <c r="R264" s="422"/>
      <c r="S264" s="422"/>
      <c r="T264" s="422"/>
      <c r="U264" s="422"/>
      <c r="V264" s="422"/>
      <c r="W264" s="423"/>
      <c r="X264" s="423"/>
      <c r="Y264" s="423"/>
      <c r="Z264" s="423"/>
      <c r="AA264" s="423"/>
      <c r="AB264" s="423"/>
      <c r="AC264" s="423"/>
      <c r="AD264" s="423"/>
      <c r="AE264" s="423"/>
      <c r="AF264" s="423"/>
      <c r="AG264" s="423"/>
      <c r="AH264" s="423"/>
      <c r="AI264" s="423"/>
      <c r="AJ264" s="423"/>
      <c r="AK264" s="423"/>
      <c r="AL264" s="423"/>
      <c r="AM264" s="423"/>
      <c r="AN264" s="423"/>
      <c r="AO264" s="423"/>
      <c r="AP264" s="423"/>
      <c r="AQ264" s="423"/>
      <c r="AR264" s="423"/>
      <c r="AS264" s="423"/>
      <c r="AT264" s="423"/>
      <c r="AU264" s="423"/>
      <c r="AV264" s="423"/>
      <c r="AW264" s="423"/>
      <c r="AX264" s="423"/>
      <c r="AY264" s="423"/>
      <c r="AZ264" s="423"/>
      <c r="BA264" s="423"/>
      <c r="BB264" s="423"/>
      <c r="BC264" s="423"/>
      <c r="BD264" s="423"/>
      <c r="BE264" s="424"/>
      <c r="BF264" s="424"/>
      <c r="BG264" s="424"/>
      <c r="BH264" s="424"/>
      <c r="BI264" s="424"/>
      <c r="BJ264" s="424"/>
      <c r="BK264" s="424"/>
      <c r="BL264" s="424"/>
      <c r="BM264" s="424"/>
      <c r="BN264" s="425"/>
      <c r="BO264" s="425"/>
      <c r="BP264" s="425"/>
      <c r="BQ264" s="425"/>
      <c r="BR264" s="425"/>
      <c r="BS264" s="425"/>
      <c r="BT264" s="425"/>
      <c r="BU264" s="425"/>
      <c r="BV264" s="422"/>
      <c r="BW264" s="422"/>
      <c r="BX264" s="422"/>
      <c r="BY264" s="422"/>
      <c r="BZ264" s="422"/>
      <c r="CA264" s="422"/>
      <c r="CB264" s="422"/>
      <c r="CC264" s="426"/>
      <c r="CD264" s="426"/>
      <c r="CE264" s="426"/>
      <c r="CF264" s="426"/>
      <c r="CG264" s="426"/>
      <c r="CH264" s="426"/>
      <c r="CI264" s="426"/>
      <c r="CJ264" s="426"/>
      <c r="CK264" s="426"/>
      <c r="CL264" s="426"/>
      <c r="CM264" s="426"/>
      <c r="CN264" s="426"/>
      <c r="CO264" s="426"/>
      <c r="CP264" s="426"/>
      <c r="CQ264" s="426"/>
      <c r="CR264" s="426"/>
      <c r="CS264" s="427"/>
      <c r="CT264" s="427"/>
      <c r="CU264" s="427"/>
      <c r="CV264" s="427"/>
      <c r="CW264" s="427"/>
      <c r="CX264" s="427"/>
      <c r="CY264" s="427"/>
      <c r="CZ264" s="427"/>
      <c r="DA264" s="427"/>
      <c r="DB264" s="427"/>
      <c r="DC264" s="427"/>
      <c r="DD264" s="427"/>
      <c r="DE264" s="427"/>
      <c r="DF264" s="427"/>
      <c r="DG264" s="427"/>
      <c r="DH264" s="427"/>
      <c r="DI264" s="427"/>
      <c r="DJ264" s="427"/>
      <c r="DK264" s="427"/>
      <c r="DL264" s="427"/>
      <c r="DM264" s="427"/>
      <c r="DN264" s="937"/>
      <c r="DO264" s="428"/>
      <c r="DP264" s="428"/>
      <c r="DQ264" s="429"/>
      <c r="DR264" s="429"/>
      <c r="DS264" s="424"/>
      <c r="DT264" s="468"/>
      <c r="DU264" s="468"/>
      <c r="DV264" s="468"/>
      <c r="DW264" s="468"/>
      <c r="DX264" s="468"/>
      <c r="DY264" s="468"/>
      <c r="DZ264" s="468"/>
      <c r="EA264" s="468"/>
      <c r="EB264" s="468"/>
      <c r="EC264" s="468">
        <v>200</v>
      </c>
      <c r="ED264" s="468"/>
      <c r="EE264" s="468"/>
      <c r="EF264" s="468"/>
      <c r="EG264" s="468"/>
      <c r="EH264" s="468"/>
      <c r="EI264" s="468"/>
      <c r="EJ264" s="468"/>
      <c r="EK264" s="468"/>
      <c r="EL264" s="468"/>
      <c r="EM264" s="468"/>
      <c r="EN264" s="468"/>
      <c r="EO264" s="468"/>
      <c r="EP264" s="468"/>
      <c r="EQ264" s="468"/>
      <c r="ER264" s="468"/>
      <c r="ES264" s="468"/>
      <c r="ET264" s="468"/>
      <c r="EU264" s="468"/>
      <c r="EV264" s="468"/>
      <c r="EW264" s="468"/>
      <c r="EX264" s="468"/>
      <c r="EY264" s="468"/>
      <c r="EZ264" s="468"/>
      <c r="FA264" s="415"/>
      <c r="FB264" s="416">
        <v>200</v>
      </c>
      <c r="FC264" s="416"/>
      <c r="FD264" s="417">
        <f t="shared" si="500"/>
        <v>0</v>
      </c>
      <c r="FE264" s="790"/>
    </row>
    <row r="265" spans="2:164" ht="26.1" customHeight="1" outlineLevel="1" thickBot="1" x14ac:dyDescent="0.35">
      <c r="B265" s="1018"/>
      <c r="C265" s="1020"/>
      <c r="D265" s="1034"/>
      <c r="E265" s="1038"/>
      <c r="F265" s="838" t="s">
        <v>112</v>
      </c>
      <c r="G265" s="804" t="str">
        <f>VLOOKUP(H265,инфо!AD:AE,2,FALSE)</f>
        <v>Прочее</v>
      </c>
      <c r="H265" s="580" t="s">
        <v>1197</v>
      </c>
      <c r="I265" s="588" t="s">
        <v>82</v>
      </c>
      <c r="J265" s="430"/>
      <c r="K265" s="431"/>
      <c r="L265" s="431"/>
      <c r="M265" s="431"/>
      <c r="N265" s="431"/>
      <c r="O265" s="431"/>
      <c r="P265" s="431"/>
      <c r="Q265" s="431"/>
      <c r="R265" s="431"/>
      <c r="S265" s="431"/>
      <c r="T265" s="431"/>
      <c r="U265" s="431"/>
      <c r="V265" s="431"/>
      <c r="W265" s="432"/>
      <c r="X265" s="432"/>
      <c r="Y265" s="432"/>
      <c r="Z265" s="432"/>
      <c r="AA265" s="432"/>
      <c r="AB265" s="432"/>
      <c r="AC265" s="432"/>
      <c r="AD265" s="432"/>
      <c r="AE265" s="432"/>
      <c r="AF265" s="432"/>
      <c r="AG265" s="432"/>
      <c r="AH265" s="432"/>
      <c r="AI265" s="432"/>
      <c r="AJ265" s="432"/>
      <c r="AK265" s="432"/>
      <c r="AL265" s="432"/>
      <c r="AM265" s="432"/>
      <c r="AN265" s="432"/>
      <c r="AO265" s="432"/>
      <c r="AP265" s="432"/>
      <c r="AQ265" s="432"/>
      <c r="AR265" s="432"/>
      <c r="AS265" s="432"/>
      <c r="AT265" s="432"/>
      <c r="AU265" s="432"/>
      <c r="AV265" s="432"/>
      <c r="AW265" s="432"/>
      <c r="AX265" s="432"/>
      <c r="AY265" s="432"/>
      <c r="AZ265" s="432"/>
      <c r="BA265" s="432"/>
      <c r="BB265" s="432"/>
      <c r="BC265" s="432"/>
      <c r="BD265" s="432"/>
      <c r="BE265" s="433"/>
      <c r="BF265" s="433"/>
      <c r="BG265" s="433"/>
      <c r="BH265" s="433"/>
      <c r="BI265" s="433"/>
      <c r="BJ265" s="433"/>
      <c r="BK265" s="433"/>
      <c r="BL265" s="433"/>
      <c r="BM265" s="433"/>
      <c r="BN265" s="434"/>
      <c r="BO265" s="434"/>
      <c r="BP265" s="434"/>
      <c r="BQ265" s="434"/>
      <c r="BR265" s="434"/>
      <c r="BS265" s="434"/>
      <c r="BT265" s="434"/>
      <c r="BU265" s="434"/>
      <c r="BV265" s="431"/>
      <c r="BW265" s="431"/>
      <c r="BX265" s="431"/>
      <c r="BY265" s="431"/>
      <c r="BZ265" s="431"/>
      <c r="CA265" s="431"/>
      <c r="CB265" s="431"/>
      <c r="CC265" s="435"/>
      <c r="CD265" s="435"/>
      <c r="CE265" s="435"/>
      <c r="CF265" s="435"/>
      <c r="CG265" s="435"/>
      <c r="CH265" s="435"/>
      <c r="CI265" s="435"/>
      <c r="CJ265" s="435"/>
      <c r="CK265" s="435"/>
      <c r="CL265" s="435"/>
      <c r="CM265" s="435"/>
      <c r="CN265" s="435"/>
      <c r="CO265" s="435"/>
      <c r="CP265" s="435"/>
      <c r="CQ265" s="435"/>
      <c r="CR265" s="435"/>
      <c r="CS265" s="436"/>
      <c r="CT265" s="436"/>
      <c r="CU265" s="436"/>
      <c r="CV265" s="436"/>
      <c r="CW265" s="436"/>
      <c r="CX265" s="436"/>
      <c r="CY265" s="436"/>
      <c r="CZ265" s="436"/>
      <c r="DA265" s="436"/>
      <c r="DB265" s="436"/>
      <c r="DC265" s="436"/>
      <c r="DD265" s="436"/>
      <c r="DE265" s="436"/>
      <c r="DF265" s="436"/>
      <c r="DG265" s="436"/>
      <c r="DH265" s="436"/>
      <c r="DI265" s="436"/>
      <c r="DJ265" s="436"/>
      <c r="DK265" s="436"/>
      <c r="DL265" s="436"/>
      <c r="DM265" s="436"/>
      <c r="DN265" s="938"/>
      <c r="DO265" s="437"/>
      <c r="DP265" s="437"/>
      <c r="DQ265" s="438"/>
      <c r="DR265" s="438"/>
      <c r="DS265" s="433"/>
      <c r="DT265" s="469"/>
      <c r="DU265" s="469"/>
      <c r="DV265" s="469"/>
      <c r="DW265" s="469"/>
      <c r="DX265" s="469"/>
      <c r="DY265" s="469"/>
      <c r="DZ265" s="469"/>
      <c r="EA265" s="469"/>
      <c r="EB265" s="469"/>
      <c r="EC265" s="469"/>
      <c r="ED265" s="469"/>
      <c r="EE265" s="469"/>
      <c r="EF265" s="469"/>
      <c r="EG265" s="469"/>
      <c r="EH265" s="469"/>
      <c r="EI265" s="469"/>
      <c r="EJ265" s="469"/>
      <c r="EK265" s="469"/>
      <c r="EL265" s="469"/>
      <c r="EM265" s="469"/>
      <c r="EN265" s="469"/>
      <c r="EO265" s="469">
        <v>20</v>
      </c>
      <c r="EP265" s="469"/>
      <c r="EQ265" s="469"/>
      <c r="ER265" s="469"/>
      <c r="ES265" s="469"/>
      <c r="ET265" s="469"/>
      <c r="EU265" s="469"/>
      <c r="EV265" s="469"/>
      <c r="EW265" s="469"/>
      <c r="EX265" s="469"/>
      <c r="EY265" s="469"/>
      <c r="EZ265" s="469"/>
      <c r="FA265" s="377"/>
      <c r="FB265" s="378">
        <v>20</v>
      </c>
      <c r="FC265" s="378"/>
      <c r="FD265" s="379">
        <f t="shared" si="500"/>
        <v>0</v>
      </c>
      <c r="FE265" s="790"/>
    </row>
    <row r="266" spans="2:164" ht="26.1" customHeight="1" outlineLevel="1" thickBot="1" x14ac:dyDescent="0.35">
      <c r="B266" s="1018"/>
      <c r="C266" s="1020"/>
      <c r="D266" s="1034"/>
      <c r="E266" s="1038"/>
      <c r="F266" s="838" t="s">
        <v>112</v>
      </c>
      <c r="G266" s="804" t="str">
        <f>VLOOKUP(H266,инфо!AD:AE,2,FALSE)</f>
        <v>Прочее</v>
      </c>
      <c r="H266" s="580" t="s">
        <v>1197</v>
      </c>
      <c r="I266" s="590" t="s">
        <v>60</v>
      </c>
      <c r="J266" s="430"/>
      <c r="K266" s="431"/>
      <c r="L266" s="431"/>
      <c r="M266" s="431"/>
      <c r="N266" s="431"/>
      <c r="O266" s="431"/>
      <c r="P266" s="431"/>
      <c r="Q266" s="431"/>
      <c r="R266" s="431"/>
      <c r="S266" s="431"/>
      <c r="T266" s="431"/>
      <c r="U266" s="431"/>
      <c r="V266" s="431"/>
      <c r="W266" s="432"/>
      <c r="X266" s="432"/>
      <c r="Y266" s="432"/>
      <c r="Z266" s="432"/>
      <c r="AA266" s="432"/>
      <c r="AB266" s="432"/>
      <c r="AC266" s="432"/>
      <c r="AD266" s="432"/>
      <c r="AE266" s="432"/>
      <c r="AF266" s="432"/>
      <c r="AG266" s="432"/>
      <c r="AH266" s="432"/>
      <c r="AI266" s="432"/>
      <c r="AJ266" s="432"/>
      <c r="AK266" s="432"/>
      <c r="AL266" s="432"/>
      <c r="AM266" s="432"/>
      <c r="AN266" s="432"/>
      <c r="AO266" s="432"/>
      <c r="AP266" s="432"/>
      <c r="AQ266" s="432"/>
      <c r="AR266" s="432"/>
      <c r="AS266" s="432"/>
      <c r="AT266" s="432"/>
      <c r="AU266" s="432"/>
      <c r="AV266" s="432"/>
      <c r="AW266" s="432"/>
      <c r="AX266" s="432"/>
      <c r="AY266" s="432"/>
      <c r="AZ266" s="432"/>
      <c r="BA266" s="432"/>
      <c r="BB266" s="432"/>
      <c r="BC266" s="432"/>
      <c r="BD266" s="432"/>
      <c r="BE266" s="433"/>
      <c r="BF266" s="433"/>
      <c r="BG266" s="433"/>
      <c r="BH266" s="433"/>
      <c r="BI266" s="433"/>
      <c r="BJ266" s="433"/>
      <c r="BK266" s="433"/>
      <c r="BL266" s="433"/>
      <c r="BM266" s="433"/>
      <c r="BN266" s="434">
        <v>15</v>
      </c>
      <c r="BO266" s="434"/>
      <c r="BP266" s="434"/>
      <c r="BQ266" s="434"/>
      <c r="BR266" s="434"/>
      <c r="BS266" s="434"/>
      <c r="BT266" s="434"/>
      <c r="BU266" s="434"/>
      <c r="BV266" s="431"/>
      <c r="BW266" s="431"/>
      <c r="BX266" s="431"/>
      <c r="BY266" s="431"/>
      <c r="BZ266" s="431"/>
      <c r="CA266" s="431"/>
      <c r="CB266" s="431"/>
      <c r="CC266" s="435"/>
      <c r="CD266" s="435"/>
      <c r="CE266" s="435"/>
      <c r="CF266" s="435"/>
      <c r="CG266" s="435"/>
      <c r="CH266" s="435"/>
      <c r="CI266" s="435"/>
      <c r="CJ266" s="435"/>
      <c r="CK266" s="435"/>
      <c r="CL266" s="435"/>
      <c r="CM266" s="435"/>
      <c r="CN266" s="435"/>
      <c r="CO266" s="435"/>
      <c r="CP266" s="435"/>
      <c r="CQ266" s="435"/>
      <c r="CR266" s="435"/>
      <c r="CS266" s="436"/>
      <c r="CT266" s="436"/>
      <c r="CU266" s="436"/>
      <c r="CV266" s="436"/>
      <c r="CW266" s="436"/>
      <c r="CX266" s="436"/>
      <c r="CY266" s="436"/>
      <c r="CZ266" s="436"/>
      <c r="DA266" s="436"/>
      <c r="DB266" s="436"/>
      <c r="DC266" s="436"/>
      <c r="DD266" s="436"/>
      <c r="DE266" s="436"/>
      <c r="DF266" s="436"/>
      <c r="DG266" s="436"/>
      <c r="DH266" s="436"/>
      <c r="DI266" s="436"/>
      <c r="DJ266" s="436"/>
      <c r="DK266" s="436"/>
      <c r="DL266" s="436"/>
      <c r="DM266" s="436"/>
      <c r="DN266" s="938"/>
      <c r="DO266" s="437"/>
      <c r="DP266" s="437"/>
      <c r="DQ266" s="438"/>
      <c r="DR266" s="438"/>
      <c r="DS266" s="433"/>
      <c r="DT266" s="469"/>
      <c r="DU266" s="469"/>
      <c r="DV266" s="469"/>
      <c r="DW266" s="469"/>
      <c r="DX266" s="469"/>
      <c r="DY266" s="469"/>
      <c r="DZ266" s="469"/>
      <c r="EA266" s="469"/>
      <c r="EB266" s="469"/>
      <c r="EC266" s="469"/>
      <c r="ED266" s="469"/>
      <c r="EE266" s="469"/>
      <c r="EF266" s="469"/>
      <c r="EG266" s="469"/>
      <c r="EH266" s="469"/>
      <c r="EI266" s="469"/>
      <c r="EJ266" s="469"/>
      <c r="EK266" s="469"/>
      <c r="EL266" s="469"/>
      <c r="EM266" s="469"/>
      <c r="EN266" s="469"/>
      <c r="EO266" s="469"/>
      <c r="EP266" s="469"/>
      <c r="EQ266" s="469"/>
      <c r="ER266" s="469"/>
      <c r="ES266" s="469"/>
      <c r="ET266" s="469"/>
      <c r="EU266" s="469"/>
      <c r="EV266" s="469"/>
      <c r="EW266" s="469"/>
      <c r="EX266" s="469"/>
      <c r="EY266" s="469"/>
      <c r="EZ266" s="469"/>
      <c r="FA266" s="377"/>
      <c r="FB266" s="378">
        <v>15</v>
      </c>
      <c r="FC266" s="378"/>
      <c r="FD266" s="379">
        <f t="shared" si="500"/>
        <v>0</v>
      </c>
      <c r="FE266" s="790"/>
    </row>
    <row r="267" spans="2:164" ht="26.1" customHeight="1" outlineLevel="1" thickBot="1" x14ac:dyDescent="0.3">
      <c r="B267" s="1018"/>
      <c r="C267" s="1020"/>
      <c r="D267" s="1035"/>
      <c r="E267" s="1043"/>
      <c r="F267" s="840" t="s">
        <v>112</v>
      </c>
      <c r="G267" s="806" t="str">
        <f>VLOOKUP(H267,инфо!AD:AE,2,FALSE)</f>
        <v>Прочее</v>
      </c>
      <c r="H267" s="582" t="s">
        <v>1197</v>
      </c>
      <c r="I267" s="573"/>
      <c r="J267" s="439"/>
      <c r="K267" s="440"/>
      <c r="L267" s="440"/>
      <c r="M267" s="440"/>
      <c r="N267" s="440"/>
      <c r="O267" s="440"/>
      <c r="P267" s="440"/>
      <c r="Q267" s="440"/>
      <c r="R267" s="440"/>
      <c r="S267" s="440"/>
      <c r="T267" s="440"/>
      <c r="U267" s="440"/>
      <c r="V267" s="440"/>
      <c r="W267" s="441"/>
      <c r="X267" s="441"/>
      <c r="Y267" s="441"/>
      <c r="Z267" s="441"/>
      <c r="AA267" s="441"/>
      <c r="AB267" s="441"/>
      <c r="AC267" s="441"/>
      <c r="AD267" s="441"/>
      <c r="AE267" s="441"/>
      <c r="AF267" s="441"/>
      <c r="AG267" s="441"/>
      <c r="AH267" s="441"/>
      <c r="AI267" s="441"/>
      <c r="AJ267" s="441"/>
      <c r="AK267" s="441"/>
      <c r="AL267" s="441"/>
      <c r="AM267" s="441"/>
      <c r="AN267" s="441"/>
      <c r="AO267" s="441"/>
      <c r="AP267" s="441"/>
      <c r="AQ267" s="441"/>
      <c r="AR267" s="441"/>
      <c r="AS267" s="441"/>
      <c r="AT267" s="441"/>
      <c r="AU267" s="441"/>
      <c r="AV267" s="441"/>
      <c r="AW267" s="441"/>
      <c r="AX267" s="441"/>
      <c r="AY267" s="441"/>
      <c r="AZ267" s="441"/>
      <c r="BA267" s="441"/>
      <c r="BB267" s="441"/>
      <c r="BC267" s="441"/>
      <c r="BD267" s="441"/>
      <c r="BE267" s="442"/>
      <c r="BF267" s="442"/>
      <c r="BG267" s="442"/>
      <c r="BH267" s="442"/>
      <c r="BI267" s="442"/>
      <c r="BJ267" s="442"/>
      <c r="BK267" s="442"/>
      <c r="BL267" s="442"/>
      <c r="BM267" s="442"/>
      <c r="BN267" s="443"/>
      <c r="BO267" s="443"/>
      <c r="BP267" s="443"/>
      <c r="BQ267" s="443"/>
      <c r="BR267" s="443"/>
      <c r="BS267" s="443"/>
      <c r="BT267" s="443"/>
      <c r="BU267" s="443"/>
      <c r="BV267" s="440"/>
      <c r="BW267" s="440"/>
      <c r="BX267" s="440"/>
      <c r="BY267" s="440"/>
      <c r="BZ267" s="440"/>
      <c r="CA267" s="440"/>
      <c r="CB267" s="440"/>
      <c r="CC267" s="444"/>
      <c r="CD267" s="444"/>
      <c r="CE267" s="444"/>
      <c r="CF267" s="444"/>
      <c r="CG267" s="444"/>
      <c r="CH267" s="444"/>
      <c r="CI267" s="444"/>
      <c r="CJ267" s="444"/>
      <c r="CK267" s="444"/>
      <c r="CL267" s="444"/>
      <c r="CM267" s="444"/>
      <c r="CN267" s="444"/>
      <c r="CO267" s="444"/>
      <c r="CP267" s="444"/>
      <c r="CQ267" s="444"/>
      <c r="CR267" s="444"/>
      <c r="CS267" s="445"/>
      <c r="CT267" s="445"/>
      <c r="CU267" s="445"/>
      <c r="CV267" s="445"/>
      <c r="CW267" s="445"/>
      <c r="CX267" s="445"/>
      <c r="CY267" s="445"/>
      <c r="CZ267" s="445"/>
      <c r="DA267" s="445"/>
      <c r="DB267" s="445"/>
      <c r="DC267" s="445"/>
      <c r="DD267" s="445"/>
      <c r="DE267" s="445"/>
      <c r="DF267" s="445"/>
      <c r="DG267" s="445"/>
      <c r="DH267" s="445"/>
      <c r="DI267" s="445"/>
      <c r="DJ267" s="445"/>
      <c r="DK267" s="445"/>
      <c r="DL267" s="445"/>
      <c r="DM267" s="445"/>
      <c r="DN267" s="939"/>
      <c r="DO267" s="446"/>
      <c r="DP267" s="446"/>
      <c r="DQ267" s="447"/>
      <c r="DR267" s="447"/>
      <c r="DS267" s="442"/>
      <c r="DT267" s="442"/>
      <c r="DU267" s="442"/>
      <c r="DV267" s="442"/>
      <c r="DW267" s="442"/>
      <c r="DX267" s="442"/>
      <c r="DY267" s="442"/>
      <c r="DZ267" s="442"/>
      <c r="EA267" s="442"/>
      <c r="EB267" s="442"/>
      <c r="EC267" s="442"/>
      <c r="ED267" s="442"/>
      <c r="EE267" s="442"/>
      <c r="EF267" s="442"/>
      <c r="EG267" s="442"/>
      <c r="EH267" s="442"/>
      <c r="EI267" s="442"/>
      <c r="EJ267" s="442"/>
      <c r="EK267" s="442"/>
      <c r="EL267" s="442"/>
      <c r="EM267" s="442"/>
      <c r="EN267" s="442"/>
      <c r="EO267" s="442"/>
      <c r="EP267" s="442"/>
      <c r="EQ267" s="442"/>
      <c r="ER267" s="442"/>
      <c r="ES267" s="442"/>
      <c r="ET267" s="442"/>
      <c r="EU267" s="442"/>
      <c r="EV267" s="442"/>
      <c r="EW267" s="442"/>
      <c r="EX267" s="442"/>
      <c r="EY267" s="442"/>
      <c r="EZ267" s="442"/>
      <c r="FA267" s="377"/>
      <c r="FB267" s="378"/>
      <c r="FC267" s="378"/>
      <c r="FD267" s="379">
        <f t="shared" si="500"/>
        <v>0</v>
      </c>
      <c r="FE267" s="790"/>
    </row>
    <row r="268" spans="2:164" s="154" customFormat="1" ht="16.5" customHeight="1" outlineLevel="1" thickBot="1" x14ac:dyDescent="0.4">
      <c r="B268" s="1018"/>
      <c r="C268" s="1020"/>
      <c r="D268" s="145"/>
      <c r="E268" s="317" t="s">
        <v>174</v>
      </c>
      <c r="F268" s="836"/>
      <c r="G268" s="818"/>
      <c r="H268" s="576"/>
      <c r="I268" s="594"/>
      <c r="J268" s="305">
        <f>SUM(J254:J267)</f>
        <v>0</v>
      </c>
      <c r="K268" s="146">
        <f t="shared" ref="K268:CU268" si="501">SUM(K254:K267)</f>
        <v>0</v>
      </c>
      <c r="L268" s="146">
        <f t="shared" si="501"/>
        <v>0</v>
      </c>
      <c r="M268" s="146">
        <f t="shared" si="501"/>
        <v>0</v>
      </c>
      <c r="N268" s="146">
        <f t="shared" si="501"/>
        <v>0</v>
      </c>
      <c r="O268" s="146">
        <f t="shared" si="501"/>
        <v>0</v>
      </c>
      <c r="P268" s="146">
        <f t="shared" si="501"/>
        <v>83</v>
      </c>
      <c r="Q268" s="146">
        <f t="shared" si="501"/>
        <v>0</v>
      </c>
      <c r="R268" s="146">
        <f t="shared" si="501"/>
        <v>0</v>
      </c>
      <c r="S268" s="146">
        <f t="shared" si="501"/>
        <v>0</v>
      </c>
      <c r="T268" s="146">
        <f t="shared" si="501"/>
        <v>0</v>
      </c>
      <c r="U268" s="146">
        <f t="shared" si="501"/>
        <v>0</v>
      </c>
      <c r="V268" s="146">
        <f t="shared" si="501"/>
        <v>83</v>
      </c>
      <c r="W268" s="147">
        <f t="shared" si="501"/>
        <v>0</v>
      </c>
      <c r="X268" s="147">
        <f t="shared" si="501"/>
        <v>0.8</v>
      </c>
      <c r="Y268" s="147">
        <f t="shared" si="501"/>
        <v>0</v>
      </c>
      <c r="Z268" s="147">
        <f t="shared" si="501"/>
        <v>50</v>
      </c>
      <c r="AA268" s="147">
        <f t="shared" si="501"/>
        <v>100</v>
      </c>
      <c r="AB268" s="147">
        <f t="shared" si="501"/>
        <v>0</v>
      </c>
      <c r="AC268" s="147">
        <f t="shared" si="501"/>
        <v>0</v>
      </c>
      <c r="AD268" s="147">
        <f t="shared" si="501"/>
        <v>230</v>
      </c>
      <c r="AE268" s="147">
        <f t="shared" si="501"/>
        <v>0</v>
      </c>
      <c r="AF268" s="147">
        <f t="shared" si="501"/>
        <v>4</v>
      </c>
      <c r="AG268" s="147">
        <f t="shared" si="501"/>
        <v>24</v>
      </c>
      <c r="AH268" s="147">
        <f t="shared" si="501"/>
        <v>0</v>
      </c>
      <c r="AI268" s="147">
        <f t="shared" si="501"/>
        <v>0</v>
      </c>
      <c r="AJ268" s="147">
        <f t="shared" si="501"/>
        <v>0</v>
      </c>
      <c r="AK268" s="147">
        <f t="shared" si="501"/>
        <v>0</v>
      </c>
      <c r="AL268" s="147">
        <f t="shared" si="501"/>
        <v>0</v>
      </c>
      <c r="AM268" s="147">
        <f t="shared" si="501"/>
        <v>0</v>
      </c>
      <c r="AN268" s="147">
        <f t="shared" si="501"/>
        <v>0</v>
      </c>
      <c r="AO268" s="147">
        <f t="shared" si="501"/>
        <v>5</v>
      </c>
      <c r="AP268" s="147">
        <f t="shared" si="501"/>
        <v>0</v>
      </c>
      <c r="AQ268" s="147">
        <f t="shared" si="501"/>
        <v>0</v>
      </c>
      <c r="AR268" s="147">
        <f t="shared" si="501"/>
        <v>0</v>
      </c>
      <c r="AS268" s="147">
        <f t="shared" si="501"/>
        <v>0</v>
      </c>
      <c r="AT268" s="147">
        <f t="shared" si="501"/>
        <v>0</v>
      </c>
      <c r="AU268" s="147">
        <f t="shared" si="501"/>
        <v>0</v>
      </c>
      <c r="AV268" s="147">
        <f t="shared" si="501"/>
        <v>35</v>
      </c>
      <c r="AW268" s="147">
        <f t="shared" si="501"/>
        <v>0</v>
      </c>
      <c r="AX268" s="147">
        <f t="shared" si="501"/>
        <v>90</v>
      </c>
      <c r="AY268" s="147">
        <f t="shared" si="501"/>
        <v>0</v>
      </c>
      <c r="AZ268" s="147">
        <f t="shared" si="501"/>
        <v>0</v>
      </c>
      <c r="BA268" s="147">
        <f t="shared" si="501"/>
        <v>0</v>
      </c>
      <c r="BB268" s="147">
        <f t="shared" si="501"/>
        <v>0</v>
      </c>
      <c r="BC268" s="147">
        <f t="shared" si="501"/>
        <v>0</v>
      </c>
      <c r="BD268" s="147">
        <f t="shared" si="501"/>
        <v>0</v>
      </c>
      <c r="BE268" s="148">
        <f t="shared" si="501"/>
        <v>0</v>
      </c>
      <c r="BF268" s="148">
        <f t="shared" si="501"/>
        <v>0</v>
      </c>
      <c r="BG268" s="148">
        <f t="shared" si="501"/>
        <v>0</v>
      </c>
      <c r="BH268" s="148">
        <f t="shared" si="501"/>
        <v>0</v>
      </c>
      <c r="BI268" s="148">
        <f t="shared" si="501"/>
        <v>0</v>
      </c>
      <c r="BJ268" s="148">
        <f t="shared" si="501"/>
        <v>5</v>
      </c>
      <c r="BK268" s="148">
        <f t="shared" si="501"/>
        <v>0</v>
      </c>
      <c r="BL268" s="148">
        <f t="shared" si="501"/>
        <v>0</v>
      </c>
      <c r="BM268" s="148">
        <f t="shared" si="501"/>
        <v>0</v>
      </c>
      <c r="BN268" s="149">
        <f t="shared" si="501"/>
        <v>15</v>
      </c>
      <c r="BO268" s="149">
        <f t="shared" si="501"/>
        <v>13.8</v>
      </c>
      <c r="BP268" s="149">
        <f t="shared" si="501"/>
        <v>15</v>
      </c>
      <c r="BQ268" s="149">
        <f t="shared" si="501"/>
        <v>0</v>
      </c>
      <c r="BR268" s="149">
        <f t="shared" si="501"/>
        <v>0</v>
      </c>
      <c r="BS268" s="149">
        <f t="shared" si="501"/>
        <v>0</v>
      </c>
      <c r="BT268" s="149">
        <f t="shared" si="501"/>
        <v>0</v>
      </c>
      <c r="BU268" s="149">
        <f t="shared" si="501"/>
        <v>0</v>
      </c>
      <c r="BV268" s="146">
        <f t="shared" si="501"/>
        <v>0</v>
      </c>
      <c r="BW268" s="146">
        <f t="shared" si="501"/>
        <v>0</v>
      </c>
      <c r="BX268" s="146">
        <f t="shared" si="501"/>
        <v>0</v>
      </c>
      <c r="BY268" s="146">
        <f t="shared" si="501"/>
        <v>0</v>
      </c>
      <c r="BZ268" s="146">
        <f t="shared" si="501"/>
        <v>0</v>
      </c>
      <c r="CA268" s="146">
        <f t="shared" si="501"/>
        <v>0</v>
      </c>
      <c r="CB268" s="146">
        <f t="shared" si="501"/>
        <v>0</v>
      </c>
      <c r="CC268" s="265">
        <f t="shared" si="501"/>
        <v>0</v>
      </c>
      <c r="CD268" s="265">
        <f t="shared" si="501"/>
        <v>18</v>
      </c>
      <c r="CE268" s="265">
        <f t="shared" si="501"/>
        <v>0</v>
      </c>
      <c r="CF268" s="265">
        <f t="shared" si="501"/>
        <v>16</v>
      </c>
      <c r="CG268" s="265">
        <f t="shared" si="501"/>
        <v>0</v>
      </c>
      <c r="CH268" s="265">
        <f t="shared" si="501"/>
        <v>0</v>
      </c>
      <c r="CI268" s="265">
        <f t="shared" si="501"/>
        <v>0</v>
      </c>
      <c r="CJ268" s="265">
        <f t="shared" si="501"/>
        <v>0</v>
      </c>
      <c r="CK268" s="265">
        <f t="shared" si="501"/>
        <v>0</v>
      </c>
      <c r="CL268" s="265">
        <f t="shared" si="501"/>
        <v>0</v>
      </c>
      <c r="CM268" s="265">
        <f t="shared" si="501"/>
        <v>0</v>
      </c>
      <c r="CN268" s="265">
        <f t="shared" si="501"/>
        <v>0</v>
      </c>
      <c r="CO268" s="265">
        <f t="shared" si="501"/>
        <v>0</v>
      </c>
      <c r="CP268" s="265">
        <f t="shared" si="501"/>
        <v>0</v>
      </c>
      <c r="CQ268" s="265">
        <f t="shared" si="501"/>
        <v>0</v>
      </c>
      <c r="CR268" s="265">
        <f t="shared" si="501"/>
        <v>0</v>
      </c>
      <c r="CS268" s="281">
        <f t="shared" si="501"/>
        <v>0</v>
      </c>
      <c r="CT268" s="281">
        <f t="shared" si="501"/>
        <v>0</v>
      </c>
      <c r="CU268" s="281">
        <f t="shared" si="501"/>
        <v>0</v>
      </c>
      <c r="CV268" s="281">
        <f t="shared" ref="CV268:FD268" si="502">SUM(CV254:CV267)</f>
        <v>0</v>
      </c>
      <c r="CW268" s="281">
        <f t="shared" si="502"/>
        <v>0</v>
      </c>
      <c r="CX268" s="281">
        <f t="shared" si="502"/>
        <v>0</v>
      </c>
      <c r="CY268" s="281">
        <f t="shared" si="502"/>
        <v>0</v>
      </c>
      <c r="CZ268" s="281">
        <f t="shared" si="502"/>
        <v>0</v>
      </c>
      <c r="DA268" s="281">
        <f t="shared" si="502"/>
        <v>0</v>
      </c>
      <c r="DB268" s="281">
        <f t="shared" si="502"/>
        <v>0</v>
      </c>
      <c r="DC268" s="281">
        <f t="shared" si="502"/>
        <v>0</v>
      </c>
      <c r="DD268" s="281">
        <f t="shared" si="502"/>
        <v>0</v>
      </c>
      <c r="DE268" s="281">
        <f t="shared" si="502"/>
        <v>0</v>
      </c>
      <c r="DF268" s="281">
        <f t="shared" si="502"/>
        <v>0</v>
      </c>
      <c r="DG268" s="281">
        <f t="shared" si="502"/>
        <v>0</v>
      </c>
      <c r="DH268" s="281">
        <f t="shared" si="502"/>
        <v>0</v>
      </c>
      <c r="DI268" s="281">
        <f t="shared" si="502"/>
        <v>0</v>
      </c>
      <c r="DJ268" s="281">
        <f t="shared" si="502"/>
        <v>0</v>
      </c>
      <c r="DK268" s="281">
        <f t="shared" si="502"/>
        <v>0</v>
      </c>
      <c r="DL268" s="281">
        <f t="shared" si="502"/>
        <v>0</v>
      </c>
      <c r="DM268" s="281">
        <f t="shared" si="502"/>
        <v>0</v>
      </c>
      <c r="DN268" s="936">
        <f t="shared" si="502"/>
        <v>0</v>
      </c>
      <c r="DO268" s="148">
        <f t="shared" si="502"/>
        <v>0</v>
      </c>
      <c r="DP268" s="148">
        <f t="shared" si="502"/>
        <v>12.2</v>
      </c>
      <c r="DQ268" s="148">
        <f t="shared" si="502"/>
        <v>2.4E-2</v>
      </c>
      <c r="DR268" s="148">
        <f t="shared" si="502"/>
        <v>0.08</v>
      </c>
      <c r="DS268" s="148">
        <f t="shared" si="502"/>
        <v>4.8</v>
      </c>
      <c r="DT268" s="148">
        <f t="shared" si="502"/>
        <v>0</v>
      </c>
      <c r="DU268" s="148">
        <f t="shared" si="502"/>
        <v>0</v>
      </c>
      <c r="DV268" s="148">
        <f t="shared" si="502"/>
        <v>0</v>
      </c>
      <c r="DW268" s="148">
        <f t="shared" si="502"/>
        <v>0</v>
      </c>
      <c r="DX268" s="148">
        <f t="shared" si="502"/>
        <v>0</v>
      </c>
      <c r="DY268" s="148">
        <f t="shared" si="502"/>
        <v>0</v>
      </c>
      <c r="DZ268" s="148">
        <f t="shared" si="502"/>
        <v>0</v>
      </c>
      <c r="EA268" s="148">
        <f t="shared" si="502"/>
        <v>448.20000000000005</v>
      </c>
      <c r="EB268" s="148">
        <f t="shared" si="502"/>
        <v>416</v>
      </c>
      <c r="EC268" s="148">
        <f t="shared" si="502"/>
        <v>200</v>
      </c>
      <c r="ED268" s="148">
        <f t="shared" si="502"/>
        <v>0</v>
      </c>
      <c r="EE268" s="148">
        <f t="shared" si="502"/>
        <v>0</v>
      </c>
      <c r="EF268" s="148">
        <f t="shared" si="502"/>
        <v>0</v>
      </c>
      <c r="EG268" s="148">
        <f t="shared" si="502"/>
        <v>0</v>
      </c>
      <c r="EH268" s="148">
        <f t="shared" si="502"/>
        <v>0</v>
      </c>
      <c r="EI268" s="148">
        <f t="shared" si="502"/>
        <v>0</v>
      </c>
      <c r="EJ268" s="148">
        <f t="shared" si="502"/>
        <v>0</v>
      </c>
      <c r="EK268" s="148">
        <f t="shared" si="502"/>
        <v>0</v>
      </c>
      <c r="EL268" s="148">
        <f t="shared" si="502"/>
        <v>0</v>
      </c>
      <c r="EM268" s="148">
        <f t="shared" si="502"/>
        <v>0</v>
      </c>
      <c r="EN268" s="148">
        <f t="shared" si="502"/>
        <v>0</v>
      </c>
      <c r="EO268" s="148">
        <f t="shared" si="502"/>
        <v>20</v>
      </c>
      <c r="EP268" s="148">
        <f t="shared" si="502"/>
        <v>0</v>
      </c>
      <c r="EQ268" s="148">
        <f t="shared" si="502"/>
        <v>0</v>
      </c>
      <c r="ER268" s="148">
        <f t="shared" si="502"/>
        <v>0</v>
      </c>
      <c r="ES268" s="148">
        <f t="shared" si="502"/>
        <v>0</v>
      </c>
      <c r="ET268" s="148">
        <f t="shared" si="502"/>
        <v>0</v>
      </c>
      <c r="EU268" s="148">
        <f t="shared" si="502"/>
        <v>0</v>
      </c>
      <c r="EV268" s="148">
        <f t="shared" si="502"/>
        <v>0</v>
      </c>
      <c r="EW268" s="148">
        <f t="shared" si="502"/>
        <v>0</v>
      </c>
      <c r="EX268" s="148">
        <f t="shared" si="502"/>
        <v>0</v>
      </c>
      <c r="EY268" s="148">
        <f t="shared" si="502"/>
        <v>0</v>
      </c>
      <c r="EZ268" s="148">
        <f t="shared" si="502"/>
        <v>0</v>
      </c>
      <c r="FA268" s="150">
        <f t="shared" si="502"/>
        <v>1189</v>
      </c>
      <c r="FB268" s="151">
        <f t="shared" si="502"/>
        <v>1621.02</v>
      </c>
      <c r="FC268" s="151">
        <f t="shared" si="502"/>
        <v>33.06</v>
      </c>
      <c r="FD268" s="152">
        <f t="shared" si="502"/>
        <v>25</v>
      </c>
      <c r="FE268" s="792" t="str">
        <f>IF(FB268&lt;инфо!$AN$75,FB268-инфо!$AN$75,"")</f>
        <v/>
      </c>
      <c r="FF268" s="153"/>
      <c r="FG268" s="153"/>
      <c r="FH268" s="153"/>
    </row>
    <row r="269" spans="2:164" ht="26.1" customHeight="1" outlineLevel="1" thickBot="1" x14ac:dyDescent="0.3">
      <c r="B269" s="1018"/>
      <c r="C269" s="1020"/>
      <c r="D269" s="1057" t="s">
        <v>117</v>
      </c>
      <c r="E269" s="1063" t="s">
        <v>114</v>
      </c>
      <c r="F269" s="842" t="s">
        <v>117</v>
      </c>
      <c r="G269" s="808" t="str">
        <f>VLOOKUP(H269,инфо!AD:AE,2,FALSE)</f>
        <v>Первые блюда</v>
      </c>
      <c r="H269" s="583" t="s">
        <v>1204</v>
      </c>
      <c r="I269" s="588" t="s">
        <v>1267</v>
      </c>
      <c r="J269" s="470"/>
      <c r="K269" s="471"/>
      <c r="L269" s="471"/>
      <c r="M269" s="471"/>
      <c r="N269" s="471"/>
      <c r="O269" s="471"/>
      <c r="P269" s="471"/>
      <c r="Q269" s="471"/>
      <c r="R269" s="471"/>
      <c r="S269" s="471"/>
      <c r="T269" s="471"/>
      <c r="U269" s="471"/>
      <c r="V269" s="471"/>
      <c r="W269" s="472"/>
      <c r="X269" s="472"/>
      <c r="Y269" s="472"/>
      <c r="Z269" s="472"/>
      <c r="AA269" s="472"/>
      <c r="AB269" s="472"/>
      <c r="AC269" s="472"/>
      <c r="AD269" s="472">
        <v>250</v>
      </c>
      <c r="AE269" s="472"/>
      <c r="AF269" s="472">
        <v>10</v>
      </c>
      <c r="AG269" s="472">
        <v>10</v>
      </c>
      <c r="AH269" s="472"/>
      <c r="AI269" s="472"/>
      <c r="AJ269" s="472"/>
      <c r="AK269" s="472"/>
      <c r="AL269" s="472"/>
      <c r="AM269" s="472"/>
      <c r="AN269" s="472"/>
      <c r="AO269" s="472">
        <v>5</v>
      </c>
      <c r="AP269" s="472"/>
      <c r="AQ269" s="472"/>
      <c r="AR269" s="472"/>
      <c r="AS269" s="472"/>
      <c r="AT269" s="472"/>
      <c r="AU269" s="472"/>
      <c r="AV269" s="472"/>
      <c r="AW269" s="472"/>
      <c r="AX269" s="472"/>
      <c r="AY269" s="472"/>
      <c r="AZ269" s="472"/>
      <c r="BA269" s="472"/>
      <c r="BB269" s="472"/>
      <c r="BC269" s="472"/>
      <c r="BD269" s="472"/>
      <c r="BE269" s="473"/>
      <c r="BF269" s="473"/>
      <c r="BG269" s="473"/>
      <c r="BH269" s="473"/>
      <c r="BI269" s="473"/>
      <c r="BJ269" s="473"/>
      <c r="BK269" s="473"/>
      <c r="BL269" s="473"/>
      <c r="BM269" s="473"/>
      <c r="BN269" s="474"/>
      <c r="BO269" s="474">
        <v>4</v>
      </c>
      <c r="BP269" s="474"/>
      <c r="BQ269" s="474"/>
      <c r="BR269" s="474"/>
      <c r="BS269" s="474"/>
      <c r="BT269" s="474"/>
      <c r="BU269" s="474"/>
      <c r="BV269" s="471"/>
      <c r="BW269" s="471"/>
      <c r="BX269" s="471"/>
      <c r="BY269" s="471"/>
      <c r="BZ269" s="471"/>
      <c r="CA269" s="471"/>
      <c r="CB269" s="471"/>
      <c r="CC269" s="475"/>
      <c r="CD269" s="475"/>
      <c r="CE269" s="475"/>
      <c r="CF269" s="475"/>
      <c r="CG269" s="475"/>
      <c r="CH269" s="475"/>
      <c r="CI269" s="475"/>
      <c r="CJ269" s="475"/>
      <c r="CK269" s="475"/>
      <c r="CL269" s="475"/>
      <c r="CM269" s="475"/>
      <c r="CN269" s="475"/>
      <c r="CO269" s="475"/>
      <c r="CP269" s="475"/>
      <c r="CQ269" s="475"/>
      <c r="CR269" s="475"/>
      <c r="CS269" s="476"/>
      <c r="CT269" s="476"/>
      <c r="CU269" s="476"/>
      <c r="CV269" s="476"/>
      <c r="CW269" s="476"/>
      <c r="CX269" s="476"/>
      <c r="CY269" s="476"/>
      <c r="CZ269" s="476"/>
      <c r="DA269" s="476"/>
      <c r="DB269" s="476">
        <v>50</v>
      </c>
      <c r="DC269" s="476"/>
      <c r="DD269" s="476"/>
      <c r="DE269" s="476"/>
      <c r="DF269" s="476"/>
      <c r="DG269" s="476"/>
      <c r="DH269" s="476"/>
      <c r="DI269" s="476"/>
      <c r="DJ269" s="476"/>
      <c r="DK269" s="476"/>
      <c r="DL269" s="476"/>
      <c r="DM269" s="476"/>
      <c r="DN269" s="942"/>
      <c r="DO269" s="477"/>
      <c r="DP269" s="477">
        <v>4</v>
      </c>
      <c r="DQ269" s="478">
        <v>0.02</v>
      </c>
      <c r="DR269" s="478">
        <v>0.05</v>
      </c>
      <c r="DS269" s="473"/>
      <c r="DT269" s="473"/>
      <c r="DU269" s="473"/>
      <c r="DV269" s="473"/>
      <c r="DW269" s="473"/>
      <c r="DX269" s="473"/>
      <c r="DY269" s="473"/>
      <c r="DZ269" s="473"/>
      <c r="EA269" s="473"/>
      <c r="EB269" s="473">
        <v>400</v>
      </c>
      <c r="EC269" s="473"/>
      <c r="ED269" s="473"/>
      <c r="EE269" s="473"/>
      <c r="EF269" s="473"/>
      <c r="EG269" s="473"/>
      <c r="EH269" s="473"/>
      <c r="EI269" s="473"/>
      <c r="EJ269" s="473"/>
      <c r="EK269" s="473"/>
      <c r="EL269" s="473"/>
      <c r="EM269" s="473"/>
      <c r="EN269" s="473"/>
      <c r="EO269" s="473"/>
      <c r="EP269" s="473"/>
      <c r="EQ269" s="473"/>
      <c r="ER269" s="473"/>
      <c r="ES269" s="473"/>
      <c r="ET269" s="473"/>
      <c r="EU269" s="473"/>
      <c r="EV269" s="473"/>
      <c r="EW269" s="473"/>
      <c r="EX269" s="473"/>
      <c r="EY269" s="473"/>
      <c r="EZ269" s="473"/>
      <c r="FA269" s="377">
        <v>250</v>
      </c>
      <c r="FB269" s="378">
        <v>500</v>
      </c>
      <c r="FC269" s="378">
        <v>42.5</v>
      </c>
      <c r="FD269" s="379">
        <f t="shared" ref="FD269:FD280" si="503">SUM(BE269:BG269,BI269,BL269:BM269)+SUM(BH269,BJ269,BK269)*5</f>
        <v>0</v>
      </c>
      <c r="FE269" s="790"/>
    </row>
    <row r="270" spans="2:164" ht="26.1" customHeight="1" outlineLevel="1" thickBot="1" x14ac:dyDescent="0.3">
      <c r="B270" s="1018"/>
      <c r="C270" s="1020"/>
      <c r="D270" s="1058"/>
      <c r="E270" s="1064"/>
      <c r="F270" s="843" t="s">
        <v>117</v>
      </c>
      <c r="G270" s="809" t="str">
        <f>VLOOKUP(H270,инфо!AD:AE,2,FALSE)</f>
        <v>Гарниры</v>
      </c>
      <c r="H270" s="584" t="s">
        <v>1199</v>
      </c>
      <c r="I270" s="572"/>
      <c r="J270" s="479"/>
      <c r="K270" s="480"/>
      <c r="L270" s="480"/>
      <c r="M270" s="480"/>
      <c r="N270" s="480"/>
      <c r="O270" s="480"/>
      <c r="P270" s="480"/>
      <c r="Q270" s="480"/>
      <c r="R270" s="480"/>
      <c r="S270" s="480"/>
      <c r="T270" s="480"/>
      <c r="U270" s="480"/>
      <c r="V270" s="480"/>
      <c r="W270" s="481"/>
      <c r="X270" s="481"/>
      <c r="Y270" s="481"/>
      <c r="Z270" s="481"/>
      <c r="AA270" s="481"/>
      <c r="AB270" s="481"/>
      <c r="AC270" s="481"/>
      <c r="AD270" s="481"/>
      <c r="AE270" s="481"/>
      <c r="AF270" s="481"/>
      <c r="AG270" s="481"/>
      <c r="AH270" s="481"/>
      <c r="AI270" s="481"/>
      <c r="AJ270" s="481"/>
      <c r="AK270" s="481"/>
      <c r="AL270" s="481"/>
      <c r="AM270" s="481"/>
      <c r="AN270" s="481"/>
      <c r="AO270" s="481"/>
      <c r="AP270" s="481"/>
      <c r="AQ270" s="481"/>
      <c r="AR270" s="481"/>
      <c r="AS270" s="481"/>
      <c r="AT270" s="481"/>
      <c r="AU270" s="481"/>
      <c r="AV270" s="481"/>
      <c r="AW270" s="481"/>
      <c r="AX270" s="481"/>
      <c r="AY270" s="481"/>
      <c r="AZ270" s="481"/>
      <c r="BA270" s="481"/>
      <c r="BB270" s="481"/>
      <c r="BC270" s="481"/>
      <c r="BD270" s="481"/>
      <c r="BE270" s="482"/>
      <c r="BF270" s="482"/>
      <c r="BG270" s="482"/>
      <c r="BH270" s="482"/>
      <c r="BI270" s="482"/>
      <c r="BJ270" s="482"/>
      <c r="BK270" s="482"/>
      <c r="BL270" s="482"/>
      <c r="BM270" s="482"/>
      <c r="BN270" s="483"/>
      <c r="BO270" s="483"/>
      <c r="BP270" s="483"/>
      <c r="BQ270" s="483"/>
      <c r="BR270" s="483"/>
      <c r="BS270" s="483"/>
      <c r="BT270" s="483"/>
      <c r="BU270" s="483"/>
      <c r="BV270" s="480"/>
      <c r="BW270" s="480"/>
      <c r="BX270" s="480"/>
      <c r="BY270" s="480"/>
      <c r="BZ270" s="480"/>
      <c r="CA270" s="480"/>
      <c r="CB270" s="480"/>
      <c r="CC270" s="484"/>
      <c r="CD270" s="484"/>
      <c r="CE270" s="484"/>
      <c r="CF270" s="484"/>
      <c r="CG270" s="484"/>
      <c r="CH270" s="484"/>
      <c r="CI270" s="484"/>
      <c r="CJ270" s="484"/>
      <c r="CK270" s="484"/>
      <c r="CL270" s="484"/>
      <c r="CM270" s="484"/>
      <c r="CN270" s="484"/>
      <c r="CO270" s="484"/>
      <c r="CP270" s="484"/>
      <c r="CQ270" s="484"/>
      <c r="CR270" s="484"/>
      <c r="CS270" s="485"/>
      <c r="CT270" s="485"/>
      <c r="CU270" s="485"/>
      <c r="CV270" s="485"/>
      <c r="CW270" s="485"/>
      <c r="CX270" s="485"/>
      <c r="CY270" s="485"/>
      <c r="CZ270" s="485"/>
      <c r="DA270" s="485"/>
      <c r="DB270" s="485"/>
      <c r="DC270" s="485"/>
      <c r="DD270" s="485"/>
      <c r="DE270" s="485"/>
      <c r="DF270" s="485"/>
      <c r="DG270" s="485"/>
      <c r="DH270" s="485"/>
      <c r="DI270" s="485"/>
      <c r="DJ270" s="485"/>
      <c r="DK270" s="485"/>
      <c r="DL270" s="485"/>
      <c r="DM270" s="485"/>
      <c r="DN270" s="943"/>
      <c r="DO270" s="486"/>
      <c r="DP270" s="486"/>
      <c r="DQ270" s="487"/>
      <c r="DR270" s="487"/>
      <c r="DS270" s="482"/>
      <c r="DT270" s="482"/>
      <c r="DU270" s="482"/>
      <c r="DV270" s="482"/>
      <c r="DW270" s="482"/>
      <c r="DX270" s="482"/>
      <c r="DY270" s="482"/>
      <c r="DZ270" s="482"/>
      <c r="EA270" s="482"/>
      <c r="EB270" s="482"/>
      <c r="EC270" s="482"/>
      <c r="ED270" s="482"/>
      <c r="EE270" s="482"/>
      <c r="EF270" s="482"/>
      <c r="EG270" s="482"/>
      <c r="EH270" s="482"/>
      <c r="EI270" s="482"/>
      <c r="EJ270" s="482"/>
      <c r="EK270" s="482"/>
      <c r="EL270" s="482"/>
      <c r="EM270" s="482"/>
      <c r="EN270" s="482"/>
      <c r="EO270" s="482"/>
      <c r="EP270" s="482"/>
      <c r="EQ270" s="482"/>
      <c r="ER270" s="482"/>
      <c r="ES270" s="482"/>
      <c r="ET270" s="482"/>
      <c r="EU270" s="482"/>
      <c r="EV270" s="482"/>
      <c r="EW270" s="482"/>
      <c r="EX270" s="482"/>
      <c r="EY270" s="482"/>
      <c r="EZ270" s="482"/>
      <c r="FA270" s="377"/>
      <c r="FB270" s="378"/>
      <c r="FC270" s="378"/>
      <c r="FD270" s="379">
        <f t="shared" si="503"/>
        <v>0</v>
      </c>
      <c r="FE270" s="790"/>
    </row>
    <row r="271" spans="2:164" ht="26.1" customHeight="1" outlineLevel="1" thickBot="1" x14ac:dyDescent="0.3">
      <c r="B271" s="1018"/>
      <c r="C271" s="1020"/>
      <c r="D271" s="1058"/>
      <c r="E271" s="1064"/>
      <c r="F271" s="843" t="s">
        <v>117</v>
      </c>
      <c r="G271" s="809" t="str">
        <f>VLOOKUP(H271,инфо!AD:AE,2,FALSE)</f>
        <v>Мясные (рыбные) блюда с соусом</v>
      </c>
      <c r="H271" s="584" t="s">
        <v>1208</v>
      </c>
      <c r="I271" s="572"/>
      <c r="J271" s="479"/>
      <c r="K271" s="480"/>
      <c r="L271" s="480"/>
      <c r="M271" s="480"/>
      <c r="N271" s="480"/>
      <c r="O271" s="480"/>
      <c r="P271" s="480"/>
      <c r="Q271" s="480"/>
      <c r="R271" s="480"/>
      <c r="S271" s="480"/>
      <c r="T271" s="480"/>
      <c r="U271" s="480"/>
      <c r="V271" s="480"/>
      <c r="W271" s="481"/>
      <c r="X271" s="481"/>
      <c r="Y271" s="481"/>
      <c r="Z271" s="481"/>
      <c r="AA271" s="481"/>
      <c r="AB271" s="481"/>
      <c r="AC271" s="481"/>
      <c r="AD271" s="481"/>
      <c r="AE271" s="481"/>
      <c r="AF271" s="481"/>
      <c r="AG271" s="481"/>
      <c r="AH271" s="481"/>
      <c r="AI271" s="481"/>
      <c r="AJ271" s="481"/>
      <c r="AK271" s="481"/>
      <c r="AL271" s="481"/>
      <c r="AM271" s="481"/>
      <c r="AN271" s="481"/>
      <c r="AO271" s="481"/>
      <c r="AP271" s="481"/>
      <c r="AQ271" s="481"/>
      <c r="AR271" s="481"/>
      <c r="AS271" s="481"/>
      <c r="AT271" s="481"/>
      <c r="AU271" s="481"/>
      <c r="AV271" s="481"/>
      <c r="AW271" s="481"/>
      <c r="AX271" s="481"/>
      <c r="AY271" s="481"/>
      <c r="AZ271" s="481"/>
      <c r="BA271" s="481"/>
      <c r="BB271" s="481"/>
      <c r="BC271" s="481"/>
      <c r="BD271" s="481"/>
      <c r="BE271" s="482"/>
      <c r="BF271" s="482"/>
      <c r="BG271" s="482"/>
      <c r="BH271" s="482"/>
      <c r="BI271" s="482"/>
      <c r="BJ271" s="482"/>
      <c r="BK271" s="482"/>
      <c r="BL271" s="482"/>
      <c r="BM271" s="482"/>
      <c r="BN271" s="483"/>
      <c r="BO271" s="483"/>
      <c r="BP271" s="483"/>
      <c r="BQ271" s="483"/>
      <c r="BR271" s="483"/>
      <c r="BS271" s="483"/>
      <c r="BT271" s="483"/>
      <c r="BU271" s="483"/>
      <c r="BV271" s="480"/>
      <c r="BW271" s="480"/>
      <c r="BX271" s="480"/>
      <c r="BY271" s="480"/>
      <c r="BZ271" s="480"/>
      <c r="CA271" s="480"/>
      <c r="CB271" s="480"/>
      <c r="CC271" s="484"/>
      <c r="CD271" s="484"/>
      <c r="CE271" s="484"/>
      <c r="CF271" s="484"/>
      <c r="CG271" s="484"/>
      <c r="CH271" s="484"/>
      <c r="CI271" s="484"/>
      <c r="CJ271" s="484"/>
      <c r="CK271" s="484"/>
      <c r="CL271" s="484"/>
      <c r="CM271" s="484"/>
      <c r="CN271" s="484"/>
      <c r="CO271" s="484"/>
      <c r="CP271" s="484"/>
      <c r="CQ271" s="484"/>
      <c r="CR271" s="484"/>
      <c r="CS271" s="485"/>
      <c r="CT271" s="485"/>
      <c r="CU271" s="485"/>
      <c r="CV271" s="485"/>
      <c r="CW271" s="485"/>
      <c r="CX271" s="485"/>
      <c r="CY271" s="485"/>
      <c r="CZ271" s="485"/>
      <c r="DA271" s="485"/>
      <c r="DB271" s="485"/>
      <c r="DC271" s="485"/>
      <c r="DD271" s="485"/>
      <c r="DE271" s="485"/>
      <c r="DF271" s="485"/>
      <c r="DG271" s="485"/>
      <c r="DH271" s="485"/>
      <c r="DI271" s="485"/>
      <c r="DJ271" s="485"/>
      <c r="DK271" s="485"/>
      <c r="DL271" s="485"/>
      <c r="DM271" s="485"/>
      <c r="DN271" s="943"/>
      <c r="DO271" s="486"/>
      <c r="DP271" s="486"/>
      <c r="DQ271" s="487"/>
      <c r="DR271" s="487"/>
      <c r="DS271" s="482"/>
      <c r="DT271" s="482"/>
      <c r="DU271" s="482"/>
      <c r="DV271" s="482"/>
      <c r="DW271" s="482"/>
      <c r="DX271" s="482"/>
      <c r="DY271" s="482"/>
      <c r="DZ271" s="482"/>
      <c r="EA271" s="482"/>
      <c r="EB271" s="482"/>
      <c r="EC271" s="482"/>
      <c r="ED271" s="482"/>
      <c r="EE271" s="482"/>
      <c r="EF271" s="482"/>
      <c r="EG271" s="482"/>
      <c r="EH271" s="482"/>
      <c r="EI271" s="482"/>
      <c r="EJ271" s="482"/>
      <c r="EK271" s="482"/>
      <c r="EL271" s="482"/>
      <c r="EM271" s="482"/>
      <c r="EN271" s="482"/>
      <c r="EO271" s="482"/>
      <c r="EP271" s="482"/>
      <c r="EQ271" s="482"/>
      <c r="ER271" s="482"/>
      <c r="ES271" s="482"/>
      <c r="ET271" s="482"/>
      <c r="EU271" s="482"/>
      <c r="EV271" s="482"/>
      <c r="EW271" s="482"/>
      <c r="EX271" s="482"/>
      <c r="EY271" s="482"/>
      <c r="EZ271" s="482"/>
      <c r="FA271" s="377"/>
      <c r="FB271" s="378"/>
      <c r="FC271" s="378"/>
      <c r="FD271" s="379">
        <f t="shared" si="503"/>
        <v>0</v>
      </c>
      <c r="FE271" s="790"/>
    </row>
    <row r="272" spans="2:164" ht="26.1" customHeight="1" outlineLevel="1" thickBot="1" x14ac:dyDescent="0.3">
      <c r="B272" s="1018"/>
      <c r="C272" s="1020"/>
      <c r="D272" s="1058"/>
      <c r="E272" s="1065"/>
      <c r="F272" s="844" t="s">
        <v>117</v>
      </c>
      <c r="G272" s="810" t="str">
        <f>VLOOKUP(H272,инфо!AD:AE,2,FALSE)</f>
        <v>Прочее</v>
      </c>
      <c r="H272" s="585" t="s">
        <v>1197</v>
      </c>
      <c r="I272" s="573"/>
      <c r="J272" s="488"/>
      <c r="K272" s="489"/>
      <c r="L272" s="489"/>
      <c r="M272" s="489"/>
      <c r="N272" s="489"/>
      <c r="O272" s="489"/>
      <c r="P272" s="489"/>
      <c r="Q272" s="489"/>
      <c r="R272" s="489"/>
      <c r="S272" s="489"/>
      <c r="T272" s="489"/>
      <c r="U272" s="489"/>
      <c r="V272" s="489"/>
      <c r="W272" s="490"/>
      <c r="X272" s="490"/>
      <c r="Y272" s="490"/>
      <c r="Z272" s="490"/>
      <c r="AA272" s="490"/>
      <c r="AB272" s="490"/>
      <c r="AC272" s="490"/>
      <c r="AD272" s="490"/>
      <c r="AE272" s="490"/>
      <c r="AF272" s="490"/>
      <c r="AG272" s="490"/>
      <c r="AH272" s="490"/>
      <c r="AI272" s="490"/>
      <c r="AJ272" s="490"/>
      <c r="AK272" s="490"/>
      <c r="AL272" s="490"/>
      <c r="AM272" s="490"/>
      <c r="AN272" s="490"/>
      <c r="AO272" s="490"/>
      <c r="AP272" s="490"/>
      <c r="AQ272" s="490"/>
      <c r="AR272" s="490"/>
      <c r="AS272" s="490"/>
      <c r="AT272" s="490"/>
      <c r="AU272" s="490"/>
      <c r="AV272" s="490"/>
      <c r="AW272" s="490"/>
      <c r="AX272" s="490"/>
      <c r="AY272" s="490"/>
      <c r="AZ272" s="490"/>
      <c r="BA272" s="490"/>
      <c r="BB272" s="490"/>
      <c r="BC272" s="490"/>
      <c r="BD272" s="490"/>
      <c r="BE272" s="491"/>
      <c r="BF272" s="491"/>
      <c r="BG272" s="491"/>
      <c r="BH272" s="491"/>
      <c r="BI272" s="491"/>
      <c r="BJ272" s="491"/>
      <c r="BK272" s="491"/>
      <c r="BL272" s="491"/>
      <c r="BM272" s="491"/>
      <c r="BN272" s="492"/>
      <c r="BO272" s="492"/>
      <c r="BP272" s="492"/>
      <c r="BQ272" s="492"/>
      <c r="BR272" s="492"/>
      <c r="BS272" s="492"/>
      <c r="BT272" s="492"/>
      <c r="BU272" s="492"/>
      <c r="BV272" s="489"/>
      <c r="BW272" s="489"/>
      <c r="BX272" s="489"/>
      <c r="BY272" s="489"/>
      <c r="BZ272" s="489"/>
      <c r="CA272" s="489"/>
      <c r="CB272" s="489"/>
      <c r="CC272" s="493"/>
      <c r="CD272" s="493"/>
      <c r="CE272" s="493"/>
      <c r="CF272" s="493"/>
      <c r="CG272" s="493"/>
      <c r="CH272" s="493"/>
      <c r="CI272" s="493"/>
      <c r="CJ272" s="493"/>
      <c r="CK272" s="493"/>
      <c r="CL272" s="493"/>
      <c r="CM272" s="493"/>
      <c r="CN272" s="493"/>
      <c r="CO272" s="493"/>
      <c r="CP272" s="493"/>
      <c r="CQ272" s="493"/>
      <c r="CR272" s="493"/>
      <c r="CS272" s="494"/>
      <c r="CT272" s="494"/>
      <c r="CU272" s="494"/>
      <c r="CV272" s="494"/>
      <c r="CW272" s="494"/>
      <c r="CX272" s="494"/>
      <c r="CY272" s="494"/>
      <c r="CZ272" s="494"/>
      <c r="DA272" s="494"/>
      <c r="DB272" s="494"/>
      <c r="DC272" s="494"/>
      <c r="DD272" s="494"/>
      <c r="DE272" s="494"/>
      <c r="DF272" s="494"/>
      <c r="DG272" s="494"/>
      <c r="DH272" s="494"/>
      <c r="DI272" s="494"/>
      <c r="DJ272" s="494"/>
      <c r="DK272" s="494"/>
      <c r="DL272" s="494"/>
      <c r="DM272" s="494"/>
      <c r="DN272" s="944"/>
      <c r="DO272" s="495"/>
      <c r="DP272" s="495"/>
      <c r="DQ272" s="496"/>
      <c r="DR272" s="496"/>
      <c r="DS272" s="491"/>
      <c r="DT272" s="491"/>
      <c r="DU272" s="491"/>
      <c r="DV272" s="491"/>
      <c r="DW272" s="491"/>
      <c r="DX272" s="491"/>
      <c r="DY272" s="491"/>
      <c r="DZ272" s="491"/>
      <c r="EA272" s="491"/>
      <c r="EB272" s="491"/>
      <c r="EC272" s="491"/>
      <c r="ED272" s="491"/>
      <c r="EE272" s="491"/>
      <c r="EF272" s="491"/>
      <c r="EG272" s="491"/>
      <c r="EH272" s="491"/>
      <c r="EI272" s="491"/>
      <c r="EJ272" s="491"/>
      <c r="EK272" s="491"/>
      <c r="EL272" s="491"/>
      <c r="EM272" s="491"/>
      <c r="EN272" s="491"/>
      <c r="EO272" s="491"/>
      <c r="EP272" s="491"/>
      <c r="EQ272" s="491"/>
      <c r="ER272" s="491"/>
      <c r="ES272" s="491"/>
      <c r="ET272" s="491"/>
      <c r="EU272" s="491"/>
      <c r="EV272" s="491"/>
      <c r="EW272" s="491"/>
      <c r="EX272" s="491"/>
      <c r="EY272" s="491"/>
      <c r="EZ272" s="491"/>
      <c r="FA272" s="389"/>
      <c r="FB272" s="390"/>
      <c r="FC272" s="390"/>
      <c r="FD272" s="391">
        <f t="shared" si="503"/>
        <v>0</v>
      </c>
      <c r="FE272" s="790"/>
    </row>
    <row r="273" spans="2:164" ht="26.1" customHeight="1" outlineLevel="1" thickBot="1" x14ac:dyDescent="0.3">
      <c r="B273" s="1018"/>
      <c r="C273" s="1020"/>
      <c r="D273" s="1058"/>
      <c r="E273" s="1064" t="s">
        <v>115</v>
      </c>
      <c r="F273" s="842" t="s">
        <v>117</v>
      </c>
      <c r="G273" s="808" t="str">
        <f>VLOOKUP(H273,инфо!AD:AE,2,FALSE)</f>
        <v>Гарниры</v>
      </c>
      <c r="H273" s="586" t="s">
        <v>1198</v>
      </c>
      <c r="I273" s="588" t="s">
        <v>1553</v>
      </c>
      <c r="J273" s="497"/>
      <c r="K273" s="498"/>
      <c r="L273" s="498"/>
      <c r="M273" s="498"/>
      <c r="N273" s="498"/>
      <c r="O273" s="498">
        <v>83</v>
      </c>
      <c r="P273" s="498"/>
      <c r="Q273" s="498"/>
      <c r="R273" s="498"/>
      <c r="S273" s="498"/>
      <c r="T273" s="498"/>
      <c r="U273" s="498"/>
      <c r="V273" s="498"/>
      <c r="W273" s="499"/>
      <c r="X273" s="499"/>
      <c r="Y273" s="499"/>
      <c r="Z273" s="499"/>
      <c r="AA273" s="499"/>
      <c r="AB273" s="499"/>
      <c r="AC273" s="499"/>
      <c r="AD273" s="499"/>
      <c r="AE273" s="499"/>
      <c r="AF273" s="499"/>
      <c r="AG273" s="499"/>
      <c r="AH273" s="499"/>
      <c r="AI273" s="499"/>
      <c r="AJ273" s="499"/>
      <c r="AK273" s="499"/>
      <c r="AL273" s="499"/>
      <c r="AM273" s="499"/>
      <c r="AN273" s="499"/>
      <c r="AO273" s="499"/>
      <c r="AP273" s="499"/>
      <c r="AQ273" s="499"/>
      <c r="AR273" s="499"/>
      <c r="AS273" s="499"/>
      <c r="AT273" s="499"/>
      <c r="AU273" s="499"/>
      <c r="AV273" s="499"/>
      <c r="AW273" s="499"/>
      <c r="AX273" s="499"/>
      <c r="AY273" s="499"/>
      <c r="AZ273" s="499"/>
      <c r="BA273" s="499"/>
      <c r="BB273" s="499"/>
      <c r="BC273" s="499"/>
      <c r="BD273" s="499"/>
      <c r="BE273" s="500"/>
      <c r="BF273" s="500"/>
      <c r="BG273" s="500"/>
      <c r="BH273" s="500"/>
      <c r="BI273" s="500"/>
      <c r="BJ273" s="500"/>
      <c r="BK273" s="500"/>
      <c r="BL273" s="500"/>
      <c r="BM273" s="500"/>
      <c r="BN273" s="501"/>
      <c r="BO273" s="501"/>
      <c r="BP273" s="501"/>
      <c r="BQ273" s="501"/>
      <c r="BR273" s="501"/>
      <c r="BS273" s="501"/>
      <c r="BT273" s="501"/>
      <c r="BU273" s="501"/>
      <c r="BV273" s="498"/>
      <c r="BW273" s="498"/>
      <c r="BX273" s="498"/>
      <c r="BY273" s="498"/>
      <c r="BZ273" s="498"/>
      <c r="CA273" s="498"/>
      <c r="CB273" s="498"/>
      <c r="CC273" s="502"/>
      <c r="CD273" s="502"/>
      <c r="CE273" s="502"/>
      <c r="CF273" s="502"/>
      <c r="CG273" s="502"/>
      <c r="CH273" s="502"/>
      <c r="CI273" s="502"/>
      <c r="CJ273" s="502"/>
      <c r="CK273" s="502"/>
      <c r="CL273" s="502"/>
      <c r="CM273" s="502"/>
      <c r="CN273" s="502"/>
      <c r="CO273" s="502"/>
      <c r="CP273" s="502"/>
      <c r="CQ273" s="502"/>
      <c r="CR273" s="502"/>
      <c r="CS273" s="503"/>
      <c r="CT273" s="503"/>
      <c r="CU273" s="503"/>
      <c r="CV273" s="503"/>
      <c r="CW273" s="503"/>
      <c r="CX273" s="503"/>
      <c r="CY273" s="503"/>
      <c r="CZ273" s="503"/>
      <c r="DA273" s="503"/>
      <c r="DB273" s="503"/>
      <c r="DC273" s="503"/>
      <c r="DD273" s="503"/>
      <c r="DE273" s="503"/>
      <c r="DF273" s="503"/>
      <c r="DG273" s="503"/>
      <c r="DH273" s="503"/>
      <c r="DI273" s="503"/>
      <c r="DJ273" s="503"/>
      <c r="DK273" s="503"/>
      <c r="DL273" s="503"/>
      <c r="DM273" s="503"/>
      <c r="DN273" s="945"/>
      <c r="DO273" s="504"/>
      <c r="DP273" s="504">
        <v>3</v>
      </c>
      <c r="DQ273" s="505"/>
      <c r="DR273" s="505"/>
      <c r="DS273" s="500"/>
      <c r="DT273" s="500"/>
      <c r="DU273" s="500"/>
      <c r="DV273" s="500"/>
      <c r="DW273" s="500"/>
      <c r="DX273" s="500"/>
      <c r="DY273" s="500"/>
      <c r="DZ273" s="500"/>
      <c r="EA273" s="500">
        <v>265.60000000000002</v>
      </c>
      <c r="EB273" s="500"/>
      <c r="EC273" s="500"/>
      <c r="ED273" s="500"/>
      <c r="EE273" s="500"/>
      <c r="EF273" s="500"/>
      <c r="EG273" s="500"/>
      <c r="EH273" s="500"/>
      <c r="EI273" s="500"/>
      <c r="EJ273" s="500"/>
      <c r="EK273" s="500"/>
      <c r="EL273" s="500"/>
      <c r="EM273" s="500"/>
      <c r="EN273" s="500"/>
      <c r="EO273" s="500"/>
      <c r="EP273" s="500"/>
      <c r="EQ273" s="500"/>
      <c r="ER273" s="500"/>
      <c r="ES273" s="500"/>
      <c r="ET273" s="500"/>
      <c r="EU273" s="500"/>
      <c r="EV273" s="500"/>
      <c r="EW273" s="500"/>
      <c r="EX273" s="500"/>
      <c r="EY273" s="500"/>
      <c r="EZ273" s="500"/>
      <c r="FA273" s="364">
        <v>415</v>
      </c>
      <c r="FB273" s="365">
        <v>332</v>
      </c>
      <c r="FC273" s="365"/>
      <c r="FD273" s="367">
        <f t="shared" si="503"/>
        <v>0</v>
      </c>
      <c r="FE273" s="790"/>
    </row>
    <row r="274" spans="2:164" ht="26.1" customHeight="1" outlineLevel="1" thickBot="1" x14ac:dyDescent="0.3">
      <c r="B274" s="1018"/>
      <c r="C274" s="1020"/>
      <c r="D274" s="1058"/>
      <c r="E274" s="1064"/>
      <c r="F274" s="843" t="s">
        <v>117</v>
      </c>
      <c r="G274" s="809" t="str">
        <f>VLOOKUP(H274,инфо!AD:AE,2,FALSE)</f>
        <v>Мясные (рыбные) блюда с соусом</v>
      </c>
      <c r="H274" s="584" t="s">
        <v>1208</v>
      </c>
      <c r="I274" s="589" t="s">
        <v>789</v>
      </c>
      <c r="J274" s="479"/>
      <c r="K274" s="480"/>
      <c r="L274" s="480"/>
      <c r="M274" s="480"/>
      <c r="N274" s="480"/>
      <c r="O274" s="480"/>
      <c r="P274" s="480"/>
      <c r="Q274" s="480"/>
      <c r="R274" s="480"/>
      <c r="S274" s="480"/>
      <c r="T274" s="480"/>
      <c r="U274" s="480"/>
      <c r="V274" s="480"/>
      <c r="W274" s="481"/>
      <c r="X274" s="481">
        <v>7</v>
      </c>
      <c r="Y274" s="481"/>
      <c r="Z274" s="481"/>
      <c r="AA274" s="481"/>
      <c r="AB274" s="481"/>
      <c r="AC274" s="481"/>
      <c r="AD274" s="481"/>
      <c r="AE274" s="481"/>
      <c r="AF274" s="481"/>
      <c r="AG274" s="481"/>
      <c r="AH274" s="481"/>
      <c r="AI274" s="481"/>
      <c r="AJ274" s="481"/>
      <c r="AK274" s="481"/>
      <c r="AL274" s="481"/>
      <c r="AM274" s="481"/>
      <c r="AN274" s="481"/>
      <c r="AO274" s="481"/>
      <c r="AP274" s="481"/>
      <c r="AQ274" s="481"/>
      <c r="AR274" s="481"/>
      <c r="AS274" s="481"/>
      <c r="AT274" s="481"/>
      <c r="AU274" s="481"/>
      <c r="AV274" s="481"/>
      <c r="AW274" s="481"/>
      <c r="AX274" s="481"/>
      <c r="AY274" s="481"/>
      <c r="AZ274" s="481"/>
      <c r="BA274" s="481"/>
      <c r="BB274" s="481"/>
      <c r="BC274" s="481"/>
      <c r="BD274" s="481"/>
      <c r="BE274" s="482"/>
      <c r="BF274" s="482"/>
      <c r="BG274" s="482"/>
      <c r="BH274" s="482"/>
      <c r="BI274" s="482"/>
      <c r="BJ274" s="482"/>
      <c r="BK274" s="482"/>
      <c r="BL274" s="482"/>
      <c r="BM274" s="482"/>
      <c r="BN274" s="483"/>
      <c r="BO274" s="483">
        <v>5</v>
      </c>
      <c r="BP274" s="483"/>
      <c r="BQ274" s="483"/>
      <c r="BR274" s="483"/>
      <c r="BS274" s="483"/>
      <c r="BT274" s="483"/>
      <c r="BU274" s="483"/>
      <c r="BV274" s="480"/>
      <c r="BW274" s="480"/>
      <c r="BX274" s="480"/>
      <c r="BY274" s="480"/>
      <c r="BZ274" s="480"/>
      <c r="CA274" s="480"/>
      <c r="CB274" s="480"/>
      <c r="CC274" s="484"/>
      <c r="CD274" s="484"/>
      <c r="CE274" s="484"/>
      <c r="CF274" s="484"/>
      <c r="CG274" s="484"/>
      <c r="CH274" s="484"/>
      <c r="CI274" s="484"/>
      <c r="CJ274" s="484"/>
      <c r="CK274" s="484"/>
      <c r="CL274" s="484"/>
      <c r="CM274" s="484"/>
      <c r="CN274" s="484"/>
      <c r="CO274" s="484"/>
      <c r="CP274" s="484"/>
      <c r="CQ274" s="484"/>
      <c r="CR274" s="484"/>
      <c r="CS274" s="485"/>
      <c r="CT274" s="485"/>
      <c r="CU274" s="485"/>
      <c r="CV274" s="485"/>
      <c r="CW274" s="485"/>
      <c r="CX274" s="485"/>
      <c r="CY274" s="485"/>
      <c r="CZ274" s="485"/>
      <c r="DA274" s="485"/>
      <c r="DB274" s="485"/>
      <c r="DC274" s="485"/>
      <c r="DD274" s="485"/>
      <c r="DE274" s="485"/>
      <c r="DF274" s="485"/>
      <c r="DG274" s="485"/>
      <c r="DH274" s="485"/>
      <c r="DI274" s="485"/>
      <c r="DJ274" s="485">
        <v>120</v>
      </c>
      <c r="DK274" s="485"/>
      <c r="DL274" s="485"/>
      <c r="DM274" s="485"/>
      <c r="DN274" s="943"/>
      <c r="DO274" s="486"/>
      <c r="DP274" s="486">
        <v>2</v>
      </c>
      <c r="DQ274" s="487"/>
      <c r="DR274" s="487">
        <v>0.01</v>
      </c>
      <c r="DS274" s="482"/>
      <c r="DT274" s="482"/>
      <c r="DU274" s="482"/>
      <c r="DV274" s="482"/>
      <c r="DW274" s="482"/>
      <c r="DX274" s="482"/>
      <c r="DY274" s="482"/>
      <c r="DZ274" s="482"/>
      <c r="EA274" s="482"/>
      <c r="EB274" s="482"/>
      <c r="EC274" s="482"/>
      <c r="ED274" s="482"/>
      <c r="EE274" s="482"/>
      <c r="EF274" s="482"/>
      <c r="EG274" s="482"/>
      <c r="EH274" s="482"/>
      <c r="EI274" s="482"/>
      <c r="EJ274" s="482"/>
      <c r="EK274" s="482"/>
      <c r="EL274" s="482"/>
      <c r="EM274" s="482"/>
      <c r="EN274" s="482"/>
      <c r="EO274" s="482"/>
      <c r="EP274" s="482"/>
      <c r="EQ274" s="482"/>
      <c r="ER274" s="482"/>
      <c r="ES274" s="482"/>
      <c r="ET274" s="482"/>
      <c r="EU274" s="482"/>
      <c r="EV274" s="482"/>
      <c r="EW274" s="482"/>
      <c r="EX274" s="482"/>
      <c r="EY274" s="482"/>
      <c r="EZ274" s="482"/>
      <c r="FA274" s="377"/>
      <c r="FB274" s="378">
        <v>87.412000000000006</v>
      </c>
      <c r="FC274" s="378">
        <v>87</v>
      </c>
      <c r="FD274" s="379">
        <f t="shared" si="503"/>
        <v>0</v>
      </c>
      <c r="FE274" s="790"/>
    </row>
    <row r="275" spans="2:164" ht="26.1" customHeight="1" outlineLevel="1" thickBot="1" x14ac:dyDescent="0.3">
      <c r="B275" s="1018"/>
      <c r="C275" s="1020"/>
      <c r="D275" s="1058"/>
      <c r="E275" s="1064"/>
      <c r="F275" s="843" t="s">
        <v>117</v>
      </c>
      <c r="G275" s="809" t="str">
        <f>VLOOKUP(H275,инфо!AD:AE,2,FALSE)</f>
        <v>Прочее</v>
      </c>
      <c r="H275" s="584" t="s">
        <v>1197</v>
      </c>
      <c r="I275" s="589" t="s">
        <v>50</v>
      </c>
      <c r="J275" s="479"/>
      <c r="K275" s="480"/>
      <c r="L275" s="480"/>
      <c r="M275" s="480"/>
      <c r="N275" s="480"/>
      <c r="O275" s="480"/>
      <c r="P275" s="480"/>
      <c r="Q275" s="480"/>
      <c r="R275" s="480"/>
      <c r="S275" s="480"/>
      <c r="T275" s="480"/>
      <c r="U275" s="480"/>
      <c r="V275" s="480"/>
      <c r="W275" s="481"/>
      <c r="X275" s="481"/>
      <c r="Y275" s="481"/>
      <c r="Z275" s="481">
        <v>50</v>
      </c>
      <c r="AA275" s="481">
        <v>100</v>
      </c>
      <c r="AB275" s="481"/>
      <c r="AC275" s="481"/>
      <c r="AD275" s="481"/>
      <c r="AE275" s="481"/>
      <c r="AF275" s="481"/>
      <c r="AG275" s="481"/>
      <c r="AH275" s="481"/>
      <c r="AI275" s="481"/>
      <c r="AJ275" s="481"/>
      <c r="AK275" s="481"/>
      <c r="AL275" s="481"/>
      <c r="AM275" s="481"/>
      <c r="AN275" s="481"/>
      <c r="AO275" s="481"/>
      <c r="AP275" s="481"/>
      <c r="AQ275" s="481"/>
      <c r="AR275" s="481"/>
      <c r="AS275" s="481"/>
      <c r="AT275" s="481"/>
      <c r="AU275" s="481"/>
      <c r="AV275" s="481"/>
      <c r="AW275" s="481"/>
      <c r="AX275" s="481"/>
      <c r="AY275" s="481"/>
      <c r="AZ275" s="481"/>
      <c r="BA275" s="481"/>
      <c r="BB275" s="481"/>
      <c r="BC275" s="481"/>
      <c r="BD275" s="481"/>
      <c r="BE275" s="482"/>
      <c r="BF275" s="482"/>
      <c r="BG275" s="482"/>
      <c r="BH275" s="482"/>
      <c r="BI275" s="482"/>
      <c r="BJ275" s="482"/>
      <c r="BK275" s="482"/>
      <c r="BL275" s="482"/>
      <c r="BM275" s="482"/>
      <c r="BN275" s="483"/>
      <c r="BO275" s="483"/>
      <c r="BP275" s="483"/>
      <c r="BQ275" s="483"/>
      <c r="BR275" s="483"/>
      <c r="BS275" s="483"/>
      <c r="BT275" s="483"/>
      <c r="BU275" s="483"/>
      <c r="BV275" s="480"/>
      <c r="BW275" s="480"/>
      <c r="BX275" s="480"/>
      <c r="BY275" s="480"/>
      <c r="BZ275" s="480"/>
      <c r="CA275" s="480"/>
      <c r="CB275" s="480"/>
      <c r="CC275" s="484"/>
      <c r="CD275" s="484"/>
      <c r="CE275" s="484"/>
      <c r="CF275" s="484"/>
      <c r="CG275" s="484"/>
      <c r="CH275" s="484"/>
      <c r="CI275" s="484"/>
      <c r="CJ275" s="484"/>
      <c r="CK275" s="484"/>
      <c r="CL275" s="484"/>
      <c r="CM275" s="484"/>
      <c r="CN275" s="484"/>
      <c r="CO275" s="484"/>
      <c r="CP275" s="484"/>
      <c r="CQ275" s="484"/>
      <c r="CR275" s="484"/>
      <c r="CS275" s="485"/>
      <c r="CT275" s="485"/>
      <c r="CU275" s="485"/>
      <c r="CV275" s="485"/>
      <c r="CW275" s="485"/>
      <c r="CX275" s="485"/>
      <c r="CY275" s="485"/>
      <c r="CZ275" s="485"/>
      <c r="DA275" s="485"/>
      <c r="DB275" s="485"/>
      <c r="DC275" s="485"/>
      <c r="DD275" s="485"/>
      <c r="DE275" s="485"/>
      <c r="DF275" s="485"/>
      <c r="DG275" s="485"/>
      <c r="DH275" s="485"/>
      <c r="DI275" s="485"/>
      <c r="DJ275" s="485"/>
      <c r="DK275" s="485"/>
      <c r="DL275" s="485"/>
      <c r="DM275" s="485"/>
      <c r="DN275" s="943"/>
      <c r="DO275" s="486"/>
      <c r="DP275" s="486"/>
      <c r="DQ275" s="487"/>
      <c r="DR275" s="487"/>
      <c r="DS275" s="482"/>
      <c r="DT275" s="482"/>
      <c r="DU275" s="482"/>
      <c r="DV275" s="482"/>
      <c r="DW275" s="482"/>
      <c r="DX275" s="482"/>
      <c r="DY275" s="482"/>
      <c r="DZ275" s="482"/>
      <c r="EA275" s="482"/>
      <c r="EB275" s="482"/>
      <c r="EC275" s="482"/>
      <c r="ED275" s="482"/>
      <c r="EE275" s="482"/>
      <c r="EF275" s="482"/>
      <c r="EG275" s="482"/>
      <c r="EH275" s="482"/>
      <c r="EI275" s="482"/>
      <c r="EJ275" s="482"/>
      <c r="EK275" s="482"/>
      <c r="EL275" s="482"/>
      <c r="EM275" s="482"/>
      <c r="EN275" s="482"/>
      <c r="EO275" s="482"/>
      <c r="EP275" s="482"/>
      <c r="EQ275" s="482"/>
      <c r="ER275" s="482"/>
      <c r="ES275" s="482"/>
      <c r="ET275" s="482"/>
      <c r="EU275" s="482"/>
      <c r="EV275" s="482"/>
      <c r="EW275" s="482"/>
      <c r="EX275" s="482"/>
      <c r="EY275" s="482"/>
      <c r="EZ275" s="482"/>
      <c r="FA275" s="377"/>
      <c r="FB275" s="378">
        <v>150</v>
      </c>
      <c r="FC275" s="378"/>
      <c r="FD275" s="379">
        <f t="shared" si="503"/>
        <v>0</v>
      </c>
      <c r="FE275" s="790"/>
    </row>
    <row r="276" spans="2:164" ht="26.1" customHeight="1" outlineLevel="1" thickBot="1" x14ac:dyDescent="0.3">
      <c r="B276" s="1018"/>
      <c r="C276" s="1020"/>
      <c r="D276" s="1058"/>
      <c r="E276" s="1064"/>
      <c r="F276" s="845" t="s">
        <v>117</v>
      </c>
      <c r="G276" s="811" t="str">
        <f>VLOOKUP(H276,инфо!AD:AE,2,FALSE)</f>
        <v>Прочее</v>
      </c>
      <c r="H276" s="587" t="s">
        <v>1197</v>
      </c>
      <c r="I276" s="606" t="s">
        <v>141</v>
      </c>
      <c r="J276" s="506"/>
      <c r="K276" s="507"/>
      <c r="L276" s="507"/>
      <c r="M276" s="507"/>
      <c r="N276" s="507"/>
      <c r="O276" s="507"/>
      <c r="P276" s="507"/>
      <c r="Q276" s="507"/>
      <c r="R276" s="507"/>
      <c r="S276" s="507"/>
      <c r="T276" s="507"/>
      <c r="U276" s="507"/>
      <c r="V276" s="507"/>
      <c r="W276" s="508"/>
      <c r="X276" s="508"/>
      <c r="Y276" s="508"/>
      <c r="Z276" s="508"/>
      <c r="AA276" s="508"/>
      <c r="AB276" s="508"/>
      <c r="AC276" s="508"/>
      <c r="AD276" s="508"/>
      <c r="AE276" s="508"/>
      <c r="AF276" s="508"/>
      <c r="AG276" s="508"/>
      <c r="AH276" s="508"/>
      <c r="AI276" s="508"/>
      <c r="AJ276" s="508"/>
      <c r="AK276" s="508"/>
      <c r="AL276" s="508"/>
      <c r="AM276" s="508"/>
      <c r="AN276" s="508"/>
      <c r="AO276" s="508"/>
      <c r="AP276" s="508"/>
      <c r="AQ276" s="508"/>
      <c r="AR276" s="508"/>
      <c r="AS276" s="508"/>
      <c r="AT276" s="508"/>
      <c r="AU276" s="508">
        <v>20</v>
      </c>
      <c r="AV276" s="508"/>
      <c r="AW276" s="508"/>
      <c r="AX276" s="508"/>
      <c r="AY276" s="508"/>
      <c r="AZ276" s="508"/>
      <c r="BA276" s="508"/>
      <c r="BB276" s="508"/>
      <c r="BC276" s="508"/>
      <c r="BD276" s="508"/>
      <c r="BE276" s="509"/>
      <c r="BF276" s="509"/>
      <c r="BG276" s="509"/>
      <c r="BH276" s="509"/>
      <c r="BI276" s="509"/>
      <c r="BJ276" s="509"/>
      <c r="BK276" s="509"/>
      <c r="BL276" s="509"/>
      <c r="BM276" s="509"/>
      <c r="BN276" s="510"/>
      <c r="BO276" s="510"/>
      <c r="BP276" s="510"/>
      <c r="BQ276" s="510"/>
      <c r="BR276" s="510"/>
      <c r="BS276" s="510"/>
      <c r="BT276" s="510"/>
      <c r="BU276" s="510"/>
      <c r="BV276" s="507"/>
      <c r="BW276" s="507"/>
      <c r="BX276" s="507"/>
      <c r="BY276" s="507"/>
      <c r="BZ276" s="507"/>
      <c r="CA276" s="507"/>
      <c r="CB276" s="507"/>
      <c r="CC276" s="511"/>
      <c r="CD276" s="511"/>
      <c r="CE276" s="511"/>
      <c r="CF276" s="511"/>
      <c r="CG276" s="511"/>
      <c r="CH276" s="511"/>
      <c r="CI276" s="511"/>
      <c r="CJ276" s="511"/>
      <c r="CK276" s="511"/>
      <c r="CL276" s="511"/>
      <c r="CM276" s="511"/>
      <c r="CN276" s="511"/>
      <c r="CO276" s="511"/>
      <c r="CP276" s="511"/>
      <c r="CQ276" s="511"/>
      <c r="CR276" s="511"/>
      <c r="CS276" s="512"/>
      <c r="CT276" s="512"/>
      <c r="CU276" s="512"/>
      <c r="CV276" s="512"/>
      <c r="CW276" s="512"/>
      <c r="CX276" s="512"/>
      <c r="CY276" s="512"/>
      <c r="CZ276" s="512"/>
      <c r="DA276" s="512"/>
      <c r="DB276" s="512"/>
      <c r="DC276" s="512"/>
      <c r="DD276" s="512"/>
      <c r="DE276" s="512"/>
      <c r="DF276" s="512"/>
      <c r="DG276" s="512"/>
      <c r="DH276" s="512"/>
      <c r="DI276" s="512"/>
      <c r="DJ276" s="512"/>
      <c r="DK276" s="512"/>
      <c r="DL276" s="512"/>
      <c r="DM276" s="512"/>
      <c r="DN276" s="946"/>
      <c r="DO276" s="513"/>
      <c r="DP276" s="513"/>
      <c r="DQ276" s="514"/>
      <c r="DR276" s="514"/>
      <c r="DS276" s="509"/>
      <c r="DT276" s="509"/>
      <c r="DU276" s="509"/>
      <c r="DV276" s="509"/>
      <c r="DW276" s="509"/>
      <c r="DX276" s="509"/>
      <c r="DY276" s="509"/>
      <c r="DZ276" s="509"/>
      <c r="EA276" s="509"/>
      <c r="EB276" s="509"/>
      <c r="EC276" s="509"/>
      <c r="ED276" s="509"/>
      <c r="EE276" s="509"/>
      <c r="EF276" s="509"/>
      <c r="EG276" s="509"/>
      <c r="EH276" s="509"/>
      <c r="EI276" s="509"/>
      <c r="EJ276" s="509"/>
      <c r="EK276" s="509"/>
      <c r="EL276" s="509"/>
      <c r="EM276" s="509"/>
      <c r="EN276" s="509"/>
      <c r="EO276" s="509"/>
      <c r="EP276" s="509"/>
      <c r="EQ276" s="509"/>
      <c r="ER276" s="509"/>
      <c r="ES276" s="509"/>
      <c r="ET276" s="509"/>
      <c r="EU276" s="509"/>
      <c r="EV276" s="509"/>
      <c r="EW276" s="509"/>
      <c r="EX276" s="509"/>
      <c r="EY276" s="509"/>
      <c r="EZ276" s="509"/>
      <c r="FA276" s="402"/>
      <c r="FB276" s="403">
        <v>20</v>
      </c>
      <c r="FC276" s="403"/>
      <c r="FD276" s="404">
        <f t="shared" si="503"/>
        <v>0</v>
      </c>
      <c r="FE276" s="790"/>
    </row>
    <row r="277" spans="2:164" ht="26.1" customHeight="1" outlineLevel="1" thickBot="1" x14ac:dyDescent="0.3">
      <c r="B277" s="1018"/>
      <c r="C277" s="1020"/>
      <c r="D277" s="1058"/>
      <c r="E277" s="1063" t="s">
        <v>116</v>
      </c>
      <c r="F277" s="846" t="s">
        <v>117</v>
      </c>
      <c r="G277" s="812" t="str">
        <f>VLOOKUP(H277,инфо!AD:AE,2,FALSE)</f>
        <v>Прочее</v>
      </c>
      <c r="H277" s="583" t="s">
        <v>1197</v>
      </c>
      <c r="I277" s="588" t="s">
        <v>60</v>
      </c>
      <c r="J277" s="470"/>
      <c r="K277" s="471"/>
      <c r="L277" s="471"/>
      <c r="M277" s="471"/>
      <c r="N277" s="471"/>
      <c r="O277" s="471"/>
      <c r="P277" s="471"/>
      <c r="Q277" s="471"/>
      <c r="R277" s="471"/>
      <c r="S277" s="471"/>
      <c r="T277" s="471"/>
      <c r="U277" s="471"/>
      <c r="V277" s="471"/>
      <c r="W277" s="472"/>
      <c r="X277" s="472"/>
      <c r="Y277" s="472"/>
      <c r="Z277" s="472"/>
      <c r="AA277" s="472"/>
      <c r="AB277" s="472"/>
      <c r="AC277" s="472"/>
      <c r="AD277" s="472"/>
      <c r="AE277" s="472"/>
      <c r="AF277" s="472"/>
      <c r="AG277" s="472"/>
      <c r="AH277" s="472"/>
      <c r="AI277" s="472"/>
      <c r="AJ277" s="472"/>
      <c r="AK277" s="472"/>
      <c r="AL277" s="472"/>
      <c r="AM277" s="472"/>
      <c r="AN277" s="472"/>
      <c r="AO277" s="472"/>
      <c r="AP277" s="472"/>
      <c r="AQ277" s="472"/>
      <c r="AR277" s="472"/>
      <c r="AS277" s="472"/>
      <c r="AT277" s="472"/>
      <c r="AU277" s="472"/>
      <c r="AV277" s="472"/>
      <c r="AW277" s="472"/>
      <c r="AX277" s="472"/>
      <c r="AY277" s="472"/>
      <c r="AZ277" s="472"/>
      <c r="BA277" s="472"/>
      <c r="BB277" s="472"/>
      <c r="BC277" s="472"/>
      <c r="BD277" s="472"/>
      <c r="BE277" s="473"/>
      <c r="BF277" s="473"/>
      <c r="BG277" s="473"/>
      <c r="BH277" s="473"/>
      <c r="BI277" s="473"/>
      <c r="BJ277" s="473"/>
      <c r="BK277" s="473"/>
      <c r="BL277" s="473"/>
      <c r="BM277" s="473"/>
      <c r="BN277" s="474">
        <v>15</v>
      </c>
      <c r="BO277" s="474"/>
      <c r="BP277" s="474"/>
      <c r="BQ277" s="474"/>
      <c r="BR277" s="474"/>
      <c r="BS277" s="474"/>
      <c r="BT277" s="474"/>
      <c r="BU277" s="474"/>
      <c r="BV277" s="471"/>
      <c r="BW277" s="471"/>
      <c r="BX277" s="471"/>
      <c r="BY277" s="471"/>
      <c r="BZ277" s="471"/>
      <c r="CA277" s="471"/>
      <c r="CB277" s="471"/>
      <c r="CC277" s="475"/>
      <c r="CD277" s="475"/>
      <c r="CE277" s="475"/>
      <c r="CF277" s="475"/>
      <c r="CG277" s="475"/>
      <c r="CH277" s="475"/>
      <c r="CI277" s="475"/>
      <c r="CJ277" s="475"/>
      <c r="CK277" s="475"/>
      <c r="CL277" s="475"/>
      <c r="CM277" s="475"/>
      <c r="CN277" s="475"/>
      <c r="CO277" s="475"/>
      <c r="CP277" s="475"/>
      <c r="CQ277" s="475"/>
      <c r="CR277" s="475"/>
      <c r="CS277" s="476"/>
      <c r="CT277" s="476"/>
      <c r="CU277" s="476"/>
      <c r="CV277" s="476"/>
      <c r="CW277" s="476"/>
      <c r="CX277" s="476"/>
      <c r="CY277" s="476"/>
      <c r="CZ277" s="476"/>
      <c r="DA277" s="476"/>
      <c r="DB277" s="476"/>
      <c r="DC277" s="476"/>
      <c r="DD277" s="476"/>
      <c r="DE277" s="476"/>
      <c r="DF277" s="476"/>
      <c r="DG277" s="476"/>
      <c r="DH277" s="476"/>
      <c r="DI277" s="476"/>
      <c r="DJ277" s="476"/>
      <c r="DK277" s="476"/>
      <c r="DL277" s="476"/>
      <c r="DM277" s="476"/>
      <c r="DN277" s="942"/>
      <c r="DO277" s="477"/>
      <c r="DP277" s="477"/>
      <c r="DQ277" s="478"/>
      <c r="DR277" s="478"/>
      <c r="DS277" s="473"/>
      <c r="DT277" s="473"/>
      <c r="DU277" s="473"/>
      <c r="DV277" s="473"/>
      <c r="DW277" s="473"/>
      <c r="DX277" s="473"/>
      <c r="DY277" s="473"/>
      <c r="DZ277" s="473"/>
      <c r="EA277" s="473"/>
      <c r="EB277" s="473"/>
      <c r="EC277" s="473"/>
      <c r="ED277" s="473"/>
      <c r="EE277" s="473"/>
      <c r="EF277" s="473"/>
      <c r="EG277" s="473"/>
      <c r="EH277" s="473"/>
      <c r="EI277" s="473"/>
      <c r="EJ277" s="473"/>
      <c r="EK277" s="473"/>
      <c r="EL277" s="473"/>
      <c r="EM277" s="473"/>
      <c r="EN277" s="473"/>
      <c r="EO277" s="473"/>
      <c r="EP277" s="473"/>
      <c r="EQ277" s="473"/>
      <c r="ER277" s="473"/>
      <c r="ES277" s="473"/>
      <c r="ET277" s="473"/>
      <c r="EU277" s="473"/>
      <c r="EV277" s="473"/>
      <c r="EW277" s="473"/>
      <c r="EX277" s="473"/>
      <c r="EY277" s="473"/>
      <c r="EZ277" s="473"/>
      <c r="FA277" s="415"/>
      <c r="FB277" s="416">
        <v>15</v>
      </c>
      <c r="FC277" s="416"/>
      <c r="FD277" s="417">
        <f t="shared" si="503"/>
        <v>0</v>
      </c>
      <c r="FE277" s="790"/>
    </row>
    <row r="278" spans="2:164" ht="26.1" customHeight="1" outlineLevel="1" thickBot="1" x14ac:dyDescent="0.3">
      <c r="B278" s="1018"/>
      <c r="C278" s="1020"/>
      <c r="D278" s="1058"/>
      <c r="E278" s="1064"/>
      <c r="F278" s="843" t="s">
        <v>117</v>
      </c>
      <c r="G278" s="809" t="str">
        <f>VLOOKUP(H278,инфо!AD:AE,2,FALSE)</f>
        <v>Напитки</v>
      </c>
      <c r="H278" s="584" t="s">
        <v>1195</v>
      </c>
      <c r="I278" s="589" t="s">
        <v>75</v>
      </c>
      <c r="J278" s="479"/>
      <c r="K278" s="480"/>
      <c r="L278" s="480"/>
      <c r="M278" s="480"/>
      <c r="N278" s="480"/>
      <c r="O278" s="480"/>
      <c r="P278" s="480"/>
      <c r="Q278" s="480"/>
      <c r="R278" s="480"/>
      <c r="S278" s="480"/>
      <c r="T278" s="480"/>
      <c r="U278" s="480"/>
      <c r="V278" s="480"/>
      <c r="W278" s="481"/>
      <c r="X278" s="481"/>
      <c r="Y278" s="481"/>
      <c r="Z278" s="481"/>
      <c r="AA278" s="481"/>
      <c r="AB278" s="481"/>
      <c r="AC278" s="481"/>
      <c r="AD278" s="481"/>
      <c r="AE278" s="481"/>
      <c r="AF278" s="481"/>
      <c r="AG278" s="481"/>
      <c r="AH278" s="481"/>
      <c r="AI278" s="481"/>
      <c r="AJ278" s="481"/>
      <c r="AK278" s="481"/>
      <c r="AL278" s="481"/>
      <c r="AM278" s="481"/>
      <c r="AN278" s="481"/>
      <c r="AO278" s="481"/>
      <c r="AP278" s="481"/>
      <c r="AQ278" s="481"/>
      <c r="AR278" s="481"/>
      <c r="AS278" s="481"/>
      <c r="AT278" s="481"/>
      <c r="AU278" s="481"/>
      <c r="AV278" s="481"/>
      <c r="AW278" s="481"/>
      <c r="AX278" s="481"/>
      <c r="AY278" s="481"/>
      <c r="AZ278" s="481"/>
      <c r="BA278" s="481"/>
      <c r="BB278" s="481"/>
      <c r="BC278" s="481"/>
      <c r="BD278" s="481"/>
      <c r="BE278" s="482"/>
      <c r="BF278" s="482"/>
      <c r="BG278" s="482"/>
      <c r="BH278" s="482"/>
      <c r="BI278" s="482"/>
      <c r="BJ278" s="482"/>
      <c r="BK278" s="482"/>
      <c r="BL278" s="482"/>
      <c r="BM278" s="482"/>
      <c r="BN278" s="483"/>
      <c r="BO278" s="483"/>
      <c r="BP278" s="483"/>
      <c r="BQ278" s="483"/>
      <c r="BR278" s="483"/>
      <c r="BS278" s="483"/>
      <c r="BT278" s="483"/>
      <c r="BU278" s="483"/>
      <c r="BV278" s="480"/>
      <c r="BW278" s="480"/>
      <c r="BX278" s="480"/>
      <c r="BY278" s="480"/>
      <c r="BZ278" s="480"/>
      <c r="CA278" s="480"/>
      <c r="CB278" s="480"/>
      <c r="CC278" s="484"/>
      <c r="CD278" s="484"/>
      <c r="CE278" s="484"/>
      <c r="CF278" s="484"/>
      <c r="CG278" s="484"/>
      <c r="CH278" s="484"/>
      <c r="CI278" s="484"/>
      <c r="CJ278" s="484"/>
      <c r="CK278" s="484"/>
      <c r="CL278" s="484"/>
      <c r="CM278" s="484"/>
      <c r="CN278" s="484"/>
      <c r="CO278" s="484"/>
      <c r="CP278" s="484"/>
      <c r="CQ278" s="484"/>
      <c r="CR278" s="484"/>
      <c r="CS278" s="485"/>
      <c r="CT278" s="485"/>
      <c r="CU278" s="485"/>
      <c r="CV278" s="485"/>
      <c r="CW278" s="485"/>
      <c r="CX278" s="485"/>
      <c r="CY278" s="485"/>
      <c r="CZ278" s="485"/>
      <c r="DA278" s="485"/>
      <c r="DB278" s="485"/>
      <c r="DC278" s="485"/>
      <c r="DD278" s="485"/>
      <c r="DE278" s="485"/>
      <c r="DF278" s="485"/>
      <c r="DG278" s="485"/>
      <c r="DH278" s="485"/>
      <c r="DI278" s="485"/>
      <c r="DJ278" s="485"/>
      <c r="DK278" s="485"/>
      <c r="DL278" s="485"/>
      <c r="DM278" s="485"/>
      <c r="DN278" s="943"/>
      <c r="DO278" s="486"/>
      <c r="DP278" s="486"/>
      <c r="DQ278" s="487"/>
      <c r="DR278" s="487"/>
      <c r="DS278" s="482"/>
      <c r="DT278" s="482"/>
      <c r="DU278" s="482"/>
      <c r="DV278" s="482"/>
      <c r="DW278" s="482"/>
      <c r="DX278" s="482"/>
      <c r="DY278" s="482"/>
      <c r="DZ278" s="482"/>
      <c r="EA278" s="482"/>
      <c r="EB278" s="482"/>
      <c r="EC278" s="482">
        <v>200</v>
      </c>
      <c r="ED278" s="482"/>
      <c r="EE278" s="482"/>
      <c r="EF278" s="482"/>
      <c r="EG278" s="482"/>
      <c r="EH278" s="482"/>
      <c r="EI278" s="482"/>
      <c r="EJ278" s="482"/>
      <c r="EK278" s="482"/>
      <c r="EL278" s="482"/>
      <c r="EM278" s="482"/>
      <c r="EN278" s="482"/>
      <c r="EO278" s="482"/>
      <c r="EP278" s="482"/>
      <c r="EQ278" s="482"/>
      <c r="ER278" s="482"/>
      <c r="ES278" s="482"/>
      <c r="ET278" s="482"/>
      <c r="EU278" s="482"/>
      <c r="EV278" s="482"/>
      <c r="EW278" s="482"/>
      <c r="EX278" s="482"/>
      <c r="EY278" s="482"/>
      <c r="EZ278" s="482"/>
      <c r="FA278" s="377"/>
      <c r="FB278" s="378">
        <v>200</v>
      </c>
      <c r="FC278" s="378"/>
      <c r="FD278" s="379">
        <f t="shared" si="503"/>
        <v>0</v>
      </c>
      <c r="FE278" s="790"/>
    </row>
    <row r="279" spans="2:164" ht="26.1" customHeight="1" outlineLevel="1" thickBot="1" x14ac:dyDescent="0.3">
      <c r="B279" s="1018"/>
      <c r="C279" s="1020"/>
      <c r="D279" s="1058"/>
      <c r="E279" s="1064"/>
      <c r="F279" s="843" t="s">
        <v>117</v>
      </c>
      <c r="G279" s="809" t="str">
        <f>VLOOKUP(H279,инфо!AD:AE,2,FALSE)</f>
        <v>Прочее</v>
      </c>
      <c r="H279" s="584" t="s">
        <v>1197</v>
      </c>
      <c r="I279" s="589" t="s">
        <v>82</v>
      </c>
      <c r="J279" s="479"/>
      <c r="K279" s="480"/>
      <c r="L279" s="480"/>
      <c r="M279" s="480"/>
      <c r="N279" s="480"/>
      <c r="O279" s="480"/>
      <c r="P279" s="480"/>
      <c r="Q279" s="480"/>
      <c r="R279" s="480"/>
      <c r="S279" s="480"/>
      <c r="T279" s="480"/>
      <c r="U279" s="480"/>
      <c r="V279" s="480"/>
      <c r="W279" s="481"/>
      <c r="X279" s="481"/>
      <c r="Y279" s="481"/>
      <c r="Z279" s="481"/>
      <c r="AA279" s="481"/>
      <c r="AB279" s="481"/>
      <c r="AC279" s="481"/>
      <c r="AD279" s="481"/>
      <c r="AE279" s="481"/>
      <c r="AF279" s="481"/>
      <c r="AG279" s="481"/>
      <c r="AH279" s="481"/>
      <c r="AI279" s="481"/>
      <c r="AJ279" s="481"/>
      <c r="AK279" s="481"/>
      <c r="AL279" s="481"/>
      <c r="AM279" s="481"/>
      <c r="AN279" s="481"/>
      <c r="AO279" s="481"/>
      <c r="AP279" s="481"/>
      <c r="AQ279" s="481"/>
      <c r="AR279" s="481"/>
      <c r="AS279" s="481"/>
      <c r="AT279" s="481"/>
      <c r="AU279" s="481"/>
      <c r="AV279" s="481"/>
      <c r="AW279" s="481"/>
      <c r="AX279" s="481"/>
      <c r="AY279" s="481"/>
      <c r="AZ279" s="481"/>
      <c r="BA279" s="481"/>
      <c r="BB279" s="481"/>
      <c r="BC279" s="481"/>
      <c r="BD279" s="481"/>
      <c r="BE279" s="482"/>
      <c r="BF279" s="482"/>
      <c r="BG279" s="482"/>
      <c r="BH279" s="482"/>
      <c r="BI279" s="482"/>
      <c r="BJ279" s="482"/>
      <c r="BK279" s="482"/>
      <c r="BL279" s="482"/>
      <c r="BM279" s="482"/>
      <c r="BN279" s="483"/>
      <c r="BO279" s="483"/>
      <c r="BP279" s="483"/>
      <c r="BQ279" s="483"/>
      <c r="BR279" s="483"/>
      <c r="BS279" s="483"/>
      <c r="BT279" s="483"/>
      <c r="BU279" s="483"/>
      <c r="BV279" s="480"/>
      <c r="BW279" s="480"/>
      <c r="BX279" s="480"/>
      <c r="BY279" s="480"/>
      <c r="BZ279" s="480"/>
      <c r="CA279" s="480"/>
      <c r="CB279" s="480"/>
      <c r="CC279" s="484"/>
      <c r="CD279" s="484"/>
      <c r="CE279" s="484"/>
      <c r="CF279" s="484"/>
      <c r="CG279" s="484"/>
      <c r="CH279" s="484"/>
      <c r="CI279" s="484"/>
      <c r="CJ279" s="484"/>
      <c r="CK279" s="484"/>
      <c r="CL279" s="484"/>
      <c r="CM279" s="484"/>
      <c r="CN279" s="484"/>
      <c r="CO279" s="484"/>
      <c r="CP279" s="484"/>
      <c r="CQ279" s="484"/>
      <c r="CR279" s="484"/>
      <c r="CS279" s="485"/>
      <c r="CT279" s="485"/>
      <c r="CU279" s="485"/>
      <c r="CV279" s="485"/>
      <c r="CW279" s="485"/>
      <c r="CX279" s="485"/>
      <c r="CY279" s="485"/>
      <c r="CZ279" s="485"/>
      <c r="DA279" s="485"/>
      <c r="DB279" s="485"/>
      <c r="DC279" s="485"/>
      <c r="DD279" s="485"/>
      <c r="DE279" s="485"/>
      <c r="DF279" s="485"/>
      <c r="DG279" s="485"/>
      <c r="DH279" s="485"/>
      <c r="DI279" s="485"/>
      <c r="DJ279" s="485"/>
      <c r="DK279" s="485"/>
      <c r="DL279" s="485"/>
      <c r="DM279" s="485"/>
      <c r="DN279" s="943"/>
      <c r="DO279" s="486"/>
      <c r="DP279" s="486"/>
      <c r="DQ279" s="487"/>
      <c r="DR279" s="487"/>
      <c r="DS279" s="482"/>
      <c r="DT279" s="482"/>
      <c r="DU279" s="482"/>
      <c r="DV279" s="482"/>
      <c r="DW279" s="482"/>
      <c r="DX279" s="482"/>
      <c r="DY279" s="482"/>
      <c r="DZ279" s="482"/>
      <c r="EA279" s="482"/>
      <c r="EB279" s="482"/>
      <c r="EC279" s="482"/>
      <c r="ED279" s="482"/>
      <c r="EE279" s="482"/>
      <c r="EF279" s="482"/>
      <c r="EG279" s="482"/>
      <c r="EH279" s="482"/>
      <c r="EI279" s="482"/>
      <c r="EJ279" s="482"/>
      <c r="EK279" s="482"/>
      <c r="EL279" s="482"/>
      <c r="EM279" s="482"/>
      <c r="EN279" s="482"/>
      <c r="EO279" s="482">
        <v>20</v>
      </c>
      <c r="EP279" s="482"/>
      <c r="EQ279" s="482"/>
      <c r="ER279" s="482"/>
      <c r="ES279" s="482"/>
      <c r="ET279" s="482"/>
      <c r="EU279" s="482"/>
      <c r="EV279" s="482"/>
      <c r="EW279" s="482"/>
      <c r="EX279" s="482"/>
      <c r="EY279" s="482"/>
      <c r="EZ279" s="482"/>
      <c r="FA279" s="377"/>
      <c r="FB279" s="378">
        <v>20</v>
      </c>
      <c r="FC279" s="378"/>
      <c r="FD279" s="379">
        <f t="shared" si="503"/>
        <v>0</v>
      </c>
      <c r="FE279" s="790"/>
    </row>
    <row r="280" spans="2:164" ht="26.1" customHeight="1" outlineLevel="1" thickBot="1" x14ac:dyDescent="0.3">
      <c r="B280" s="1018"/>
      <c r="C280" s="1020"/>
      <c r="D280" s="1059"/>
      <c r="E280" s="1065"/>
      <c r="F280" s="845" t="s">
        <v>117</v>
      </c>
      <c r="G280" s="811" t="str">
        <f>VLOOKUP(H280,инфо!AD:AE,2,FALSE)</f>
        <v>Прочее</v>
      </c>
      <c r="H280" s="585" t="s">
        <v>1197</v>
      </c>
      <c r="I280" s="593"/>
      <c r="J280" s="488"/>
      <c r="K280" s="489"/>
      <c r="L280" s="489"/>
      <c r="M280" s="489"/>
      <c r="N280" s="489"/>
      <c r="O280" s="489"/>
      <c r="P280" s="489"/>
      <c r="Q280" s="489"/>
      <c r="R280" s="489"/>
      <c r="S280" s="489"/>
      <c r="T280" s="489"/>
      <c r="U280" s="489"/>
      <c r="V280" s="489"/>
      <c r="W280" s="490"/>
      <c r="X280" s="490"/>
      <c r="Y280" s="490"/>
      <c r="Z280" s="490"/>
      <c r="AA280" s="490"/>
      <c r="AB280" s="490"/>
      <c r="AC280" s="490"/>
      <c r="AD280" s="490"/>
      <c r="AE280" s="490"/>
      <c r="AF280" s="490"/>
      <c r="AG280" s="490"/>
      <c r="AH280" s="490"/>
      <c r="AI280" s="490"/>
      <c r="AJ280" s="490"/>
      <c r="AK280" s="490"/>
      <c r="AL280" s="490"/>
      <c r="AM280" s="490"/>
      <c r="AN280" s="490"/>
      <c r="AO280" s="490"/>
      <c r="AP280" s="490"/>
      <c r="AQ280" s="490"/>
      <c r="AR280" s="490"/>
      <c r="AS280" s="490"/>
      <c r="AT280" s="490"/>
      <c r="AU280" s="490"/>
      <c r="AV280" s="490"/>
      <c r="AW280" s="490"/>
      <c r="AX280" s="490"/>
      <c r="AY280" s="490"/>
      <c r="AZ280" s="490"/>
      <c r="BA280" s="490"/>
      <c r="BB280" s="490"/>
      <c r="BC280" s="490"/>
      <c r="BD280" s="490"/>
      <c r="BE280" s="491"/>
      <c r="BF280" s="491"/>
      <c r="BG280" s="491"/>
      <c r="BH280" s="491"/>
      <c r="BI280" s="491"/>
      <c r="BJ280" s="491"/>
      <c r="BK280" s="491"/>
      <c r="BL280" s="491"/>
      <c r="BM280" s="491"/>
      <c r="BN280" s="492"/>
      <c r="BO280" s="492"/>
      <c r="BP280" s="492"/>
      <c r="BQ280" s="492"/>
      <c r="BR280" s="492"/>
      <c r="BS280" s="492"/>
      <c r="BT280" s="492"/>
      <c r="BU280" s="492"/>
      <c r="BV280" s="489"/>
      <c r="BW280" s="489"/>
      <c r="BX280" s="489"/>
      <c r="BY280" s="489"/>
      <c r="BZ280" s="489"/>
      <c r="CA280" s="489"/>
      <c r="CB280" s="489"/>
      <c r="CC280" s="493"/>
      <c r="CD280" s="493"/>
      <c r="CE280" s="493"/>
      <c r="CF280" s="493"/>
      <c r="CG280" s="493"/>
      <c r="CH280" s="493"/>
      <c r="CI280" s="493"/>
      <c r="CJ280" s="493"/>
      <c r="CK280" s="493"/>
      <c r="CL280" s="493"/>
      <c r="CM280" s="493"/>
      <c r="CN280" s="493"/>
      <c r="CO280" s="493"/>
      <c r="CP280" s="493"/>
      <c r="CQ280" s="493"/>
      <c r="CR280" s="493"/>
      <c r="CS280" s="494"/>
      <c r="CT280" s="494"/>
      <c r="CU280" s="494"/>
      <c r="CV280" s="494"/>
      <c r="CW280" s="494"/>
      <c r="CX280" s="494"/>
      <c r="CY280" s="494"/>
      <c r="CZ280" s="494"/>
      <c r="DA280" s="494"/>
      <c r="DB280" s="494"/>
      <c r="DC280" s="494"/>
      <c r="DD280" s="494"/>
      <c r="DE280" s="494"/>
      <c r="DF280" s="494"/>
      <c r="DG280" s="494"/>
      <c r="DH280" s="494"/>
      <c r="DI280" s="494"/>
      <c r="DJ280" s="494"/>
      <c r="DK280" s="494"/>
      <c r="DL280" s="494"/>
      <c r="DM280" s="494"/>
      <c r="DN280" s="944"/>
      <c r="DO280" s="495"/>
      <c r="DP280" s="495"/>
      <c r="DQ280" s="496"/>
      <c r="DR280" s="496"/>
      <c r="DS280" s="491"/>
      <c r="DT280" s="491"/>
      <c r="DU280" s="491"/>
      <c r="DV280" s="491"/>
      <c r="DW280" s="491"/>
      <c r="DX280" s="491"/>
      <c r="DY280" s="491"/>
      <c r="DZ280" s="491"/>
      <c r="EA280" s="491"/>
      <c r="EB280" s="491"/>
      <c r="EC280" s="491"/>
      <c r="ED280" s="491"/>
      <c r="EE280" s="491"/>
      <c r="EF280" s="491"/>
      <c r="EG280" s="491"/>
      <c r="EH280" s="491"/>
      <c r="EI280" s="491"/>
      <c r="EJ280" s="491"/>
      <c r="EK280" s="491"/>
      <c r="EL280" s="491"/>
      <c r="EM280" s="491"/>
      <c r="EN280" s="491"/>
      <c r="EO280" s="491"/>
      <c r="EP280" s="491"/>
      <c r="EQ280" s="491"/>
      <c r="ER280" s="491"/>
      <c r="ES280" s="491"/>
      <c r="ET280" s="491"/>
      <c r="EU280" s="491"/>
      <c r="EV280" s="491"/>
      <c r="EW280" s="491"/>
      <c r="EX280" s="491"/>
      <c r="EY280" s="491"/>
      <c r="EZ280" s="491"/>
      <c r="FA280" s="377"/>
      <c r="FB280" s="378"/>
      <c r="FC280" s="378"/>
      <c r="FD280" s="379">
        <f t="shared" si="503"/>
        <v>0</v>
      </c>
      <c r="FE280" s="790"/>
    </row>
    <row r="281" spans="2:164" s="154" customFormat="1" ht="16.5" customHeight="1" outlineLevel="1" thickBot="1" x14ac:dyDescent="0.4">
      <c r="B281" s="1018"/>
      <c r="C281" s="1020"/>
      <c r="D281" s="145"/>
      <c r="E281" s="317" t="s">
        <v>174</v>
      </c>
      <c r="F281" s="836"/>
      <c r="G281" s="818"/>
      <c r="H281" s="576"/>
      <c r="I281" s="594"/>
      <c r="J281" s="305">
        <f>SUM(J269:J280)</f>
        <v>0</v>
      </c>
      <c r="K281" s="146">
        <f t="shared" ref="K281:CU281" si="504">SUM(K269:K280)</f>
        <v>0</v>
      </c>
      <c r="L281" s="146">
        <f t="shared" si="504"/>
        <v>0</v>
      </c>
      <c r="M281" s="146">
        <f t="shared" si="504"/>
        <v>0</v>
      </c>
      <c r="N281" s="146">
        <f t="shared" si="504"/>
        <v>0</v>
      </c>
      <c r="O281" s="146">
        <f t="shared" si="504"/>
        <v>83</v>
      </c>
      <c r="P281" s="146">
        <f t="shared" si="504"/>
        <v>0</v>
      </c>
      <c r="Q281" s="146">
        <f t="shared" si="504"/>
        <v>0</v>
      </c>
      <c r="R281" s="146">
        <f t="shared" si="504"/>
        <v>0</v>
      </c>
      <c r="S281" s="146">
        <f t="shared" si="504"/>
        <v>0</v>
      </c>
      <c r="T281" s="146">
        <f t="shared" si="504"/>
        <v>0</v>
      </c>
      <c r="U281" s="146">
        <f t="shared" si="504"/>
        <v>0</v>
      </c>
      <c r="V281" s="146">
        <f t="shared" si="504"/>
        <v>0</v>
      </c>
      <c r="W281" s="147">
        <f t="shared" si="504"/>
        <v>0</v>
      </c>
      <c r="X281" s="147">
        <f t="shared" si="504"/>
        <v>7</v>
      </c>
      <c r="Y281" s="147">
        <f t="shared" si="504"/>
        <v>0</v>
      </c>
      <c r="Z281" s="147">
        <f t="shared" si="504"/>
        <v>50</v>
      </c>
      <c r="AA281" s="147">
        <f t="shared" si="504"/>
        <v>100</v>
      </c>
      <c r="AB281" s="147">
        <f t="shared" si="504"/>
        <v>0</v>
      </c>
      <c r="AC281" s="147">
        <f t="shared" si="504"/>
        <v>0</v>
      </c>
      <c r="AD281" s="147">
        <f t="shared" si="504"/>
        <v>250</v>
      </c>
      <c r="AE281" s="147">
        <f t="shared" si="504"/>
        <v>0</v>
      </c>
      <c r="AF281" s="147">
        <f t="shared" si="504"/>
        <v>10</v>
      </c>
      <c r="AG281" s="147">
        <f t="shared" si="504"/>
        <v>10</v>
      </c>
      <c r="AH281" s="147">
        <f t="shared" si="504"/>
        <v>0</v>
      </c>
      <c r="AI281" s="147">
        <f t="shared" si="504"/>
        <v>0</v>
      </c>
      <c r="AJ281" s="147">
        <f t="shared" si="504"/>
        <v>0</v>
      </c>
      <c r="AK281" s="147">
        <f t="shared" si="504"/>
        <v>0</v>
      </c>
      <c r="AL281" s="147">
        <f t="shared" si="504"/>
        <v>0</v>
      </c>
      <c r="AM281" s="147">
        <f t="shared" si="504"/>
        <v>0</v>
      </c>
      <c r="AN281" s="147">
        <f t="shared" si="504"/>
        <v>0</v>
      </c>
      <c r="AO281" s="147">
        <f t="shared" si="504"/>
        <v>5</v>
      </c>
      <c r="AP281" s="147">
        <f t="shared" si="504"/>
        <v>0</v>
      </c>
      <c r="AQ281" s="147">
        <f t="shared" si="504"/>
        <v>0</v>
      </c>
      <c r="AR281" s="147">
        <f t="shared" si="504"/>
        <v>0</v>
      </c>
      <c r="AS281" s="147">
        <f t="shared" si="504"/>
        <v>0</v>
      </c>
      <c r="AT281" s="147">
        <f t="shared" si="504"/>
        <v>0</v>
      </c>
      <c r="AU281" s="147">
        <f t="shared" si="504"/>
        <v>20</v>
      </c>
      <c r="AV281" s="147">
        <f t="shared" si="504"/>
        <v>0</v>
      </c>
      <c r="AW281" s="147">
        <f t="shared" si="504"/>
        <v>0</v>
      </c>
      <c r="AX281" s="147">
        <f t="shared" si="504"/>
        <v>0</v>
      </c>
      <c r="AY281" s="147">
        <f t="shared" si="504"/>
        <v>0</v>
      </c>
      <c r="AZ281" s="147">
        <f t="shared" si="504"/>
        <v>0</v>
      </c>
      <c r="BA281" s="147">
        <f t="shared" si="504"/>
        <v>0</v>
      </c>
      <c r="BB281" s="147">
        <f t="shared" si="504"/>
        <v>0</v>
      </c>
      <c r="BC281" s="147">
        <f t="shared" si="504"/>
        <v>0</v>
      </c>
      <c r="BD281" s="147">
        <f t="shared" si="504"/>
        <v>0</v>
      </c>
      <c r="BE281" s="148">
        <f t="shared" si="504"/>
        <v>0</v>
      </c>
      <c r="BF281" s="148">
        <f t="shared" si="504"/>
        <v>0</v>
      </c>
      <c r="BG281" s="148">
        <f t="shared" si="504"/>
        <v>0</v>
      </c>
      <c r="BH281" s="148">
        <f t="shared" si="504"/>
        <v>0</v>
      </c>
      <c r="BI281" s="148">
        <f t="shared" si="504"/>
        <v>0</v>
      </c>
      <c r="BJ281" s="148">
        <f t="shared" si="504"/>
        <v>0</v>
      </c>
      <c r="BK281" s="148">
        <f t="shared" si="504"/>
        <v>0</v>
      </c>
      <c r="BL281" s="148">
        <f t="shared" si="504"/>
        <v>0</v>
      </c>
      <c r="BM281" s="148">
        <f t="shared" si="504"/>
        <v>0</v>
      </c>
      <c r="BN281" s="149">
        <f t="shared" si="504"/>
        <v>15</v>
      </c>
      <c r="BO281" s="149">
        <f t="shared" si="504"/>
        <v>9</v>
      </c>
      <c r="BP281" s="149">
        <f t="shared" si="504"/>
        <v>0</v>
      </c>
      <c r="BQ281" s="149">
        <f t="shared" si="504"/>
        <v>0</v>
      </c>
      <c r="BR281" s="149">
        <f t="shared" si="504"/>
        <v>0</v>
      </c>
      <c r="BS281" s="149">
        <f t="shared" si="504"/>
        <v>0</v>
      </c>
      <c r="BT281" s="149">
        <f t="shared" si="504"/>
        <v>0</v>
      </c>
      <c r="BU281" s="149">
        <f t="shared" si="504"/>
        <v>0</v>
      </c>
      <c r="BV281" s="146">
        <f t="shared" si="504"/>
        <v>0</v>
      </c>
      <c r="BW281" s="146">
        <f t="shared" si="504"/>
        <v>0</v>
      </c>
      <c r="BX281" s="146">
        <f t="shared" si="504"/>
        <v>0</v>
      </c>
      <c r="BY281" s="146">
        <f t="shared" si="504"/>
        <v>0</v>
      </c>
      <c r="BZ281" s="146">
        <f t="shared" si="504"/>
        <v>0</v>
      </c>
      <c r="CA281" s="146">
        <f t="shared" si="504"/>
        <v>0</v>
      </c>
      <c r="CB281" s="146">
        <f t="shared" si="504"/>
        <v>0</v>
      </c>
      <c r="CC281" s="265">
        <f t="shared" si="504"/>
        <v>0</v>
      </c>
      <c r="CD281" s="265">
        <f t="shared" si="504"/>
        <v>0</v>
      </c>
      <c r="CE281" s="265">
        <f t="shared" si="504"/>
        <v>0</v>
      </c>
      <c r="CF281" s="265">
        <f t="shared" si="504"/>
        <v>0</v>
      </c>
      <c r="CG281" s="265">
        <f t="shared" si="504"/>
        <v>0</v>
      </c>
      <c r="CH281" s="265">
        <f t="shared" si="504"/>
        <v>0</v>
      </c>
      <c r="CI281" s="265">
        <f t="shared" si="504"/>
        <v>0</v>
      </c>
      <c r="CJ281" s="265">
        <f t="shared" si="504"/>
        <v>0</v>
      </c>
      <c r="CK281" s="265">
        <f t="shared" si="504"/>
        <v>0</v>
      </c>
      <c r="CL281" s="265">
        <f t="shared" si="504"/>
        <v>0</v>
      </c>
      <c r="CM281" s="265">
        <f t="shared" si="504"/>
        <v>0</v>
      </c>
      <c r="CN281" s="265">
        <f t="shared" si="504"/>
        <v>0</v>
      </c>
      <c r="CO281" s="265">
        <f t="shared" si="504"/>
        <v>0</v>
      </c>
      <c r="CP281" s="265">
        <f t="shared" si="504"/>
        <v>0</v>
      </c>
      <c r="CQ281" s="265">
        <f t="shared" si="504"/>
        <v>0</v>
      </c>
      <c r="CR281" s="265">
        <f t="shared" si="504"/>
        <v>0</v>
      </c>
      <c r="CS281" s="281">
        <f t="shared" si="504"/>
        <v>0</v>
      </c>
      <c r="CT281" s="281">
        <f t="shared" si="504"/>
        <v>0</v>
      </c>
      <c r="CU281" s="281">
        <f t="shared" si="504"/>
        <v>0</v>
      </c>
      <c r="CV281" s="281">
        <f t="shared" ref="CV281:FD281" si="505">SUM(CV269:CV280)</f>
        <v>0</v>
      </c>
      <c r="CW281" s="281">
        <f t="shared" si="505"/>
        <v>0</v>
      </c>
      <c r="CX281" s="281">
        <f t="shared" si="505"/>
        <v>0</v>
      </c>
      <c r="CY281" s="281">
        <f t="shared" si="505"/>
        <v>0</v>
      </c>
      <c r="CZ281" s="281">
        <f t="shared" si="505"/>
        <v>0</v>
      </c>
      <c r="DA281" s="281">
        <f t="shared" si="505"/>
        <v>0</v>
      </c>
      <c r="DB281" s="281">
        <f t="shared" si="505"/>
        <v>50</v>
      </c>
      <c r="DC281" s="281">
        <f t="shared" si="505"/>
        <v>0</v>
      </c>
      <c r="DD281" s="281">
        <f t="shared" si="505"/>
        <v>0</v>
      </c>
      <c r="DE281" s="281">
        <f t="shared" si="505"/>
        <v>0</v>
      </c>
      <c r="DF281" s="281">
        <f t="shared" si="505"/>
        <v>0</v>
      </c>
      <c r="DG281" s="281">
        <f t="shared" si="505"/>
        <v>0</v>
      </c>
      <c r="DH281" s="281">
        <f t="shared" si="505"/>
        <v>0</v>
      </c>
      <c r="DI281" s="281">
        <f t="shared" si="505"/>
        <v>0</v>
      </c>
      <c r="DJ281" s="281">
        <f t="shared" si="505"/>
        <v>120</v>
      </c>
      <c r="DK281" s="281">
        <f t="shared" si="505"/>
        <v>0</v>
      </c>
      <c r="DL281" s="281">
        <f t="shared" si="505"/>
        <v>0</v>
      </c>
      <c r="DM281" s="281">
        <f t="shared" si="505"/>
        <v>0</v>
      </c>
      <c r="DN281" s="936">
        <f t="shared" si="505"/>
        <v>0</v>
      </c>
      <c r="DO281" s="148">
        <f t="shared" si="505"/>
        <v>0</v>
      </c>
      <c r="DP281" s="148">
        <f t="shared" si="505"/>
        <v>9</v>
      </c>
      <c r="DQ281" s="148">
        <f t="shared" si="505"/>
        <v>0.02</v>
      </c>
      <c r="DR281" s="148">
        <f t="shared" si="505"/>
        <v>6.0000000000000005E-2</v>
      </c>
      <c r="DS281" s="148">
        <f t="shared" si="505"/>
        <v>0</v>
      </c>
      <c r="DT281" s="148">
        <f t="shared" si="505"/>
        <v>0</v>
      </c>
      <c r="DU281" s="148">
        <f t="shared" si="505"/>
        <v>0</v>
      </c>
      <c r="DV281" s="148">
        <f t="shared" si="505"/>
        <v>0</v>
      </c>
      <c r="DW281" s="148">
        <f t="shared" si="505"/>
        <v>0</v>
      </c>
      <c r="DX281" s="148">
        <f t="shared" si="505"/>
        <v>0</v>
      </c>
      <c r="DY281" s="148">
        <f t="shared" si="505"/>
        <v>0</v>
      </c>
      <c r="DZ281" s="148">
        <f t="shared" si="505"/>
        <v>0</v>
      </c>
      <c r="EA281" s="148">
        <f t="shared" si="505"/>
        <v>265.60000000000002</v>
      </c>
      <c r="EB281" s="148">
        <f t="shared" si="505"/>
        <v>400</v>
      </c>
      <c r="EC281" s="148">
        <f t="shared" si="505"/>
        <v>200</v>
      </c>
      <c r="ED281" s="148">
        <f t="shared" si="505"/>
        <v>0</v>
      </c>
      <c r="EE281" s="148">
        <f t="shared" si="505"/>
        <v>0</v>
      </c>
      <c r="EF281" s="148">
        <f t="shared" si="505"/>
        <v>0</v>
      </c>
      <c r="EG281" s="148">
        <f t="shared" si="505"/>
        <v>0</v>
      </c>
      <c r="EH281" s="148">
        <f t="shared" si="505"/>
        <v>0</v>
      </c>
      <c r="EI281" s="148">
        <f t="shared" si="505"/>
        <v>0</v>
      </c>
      <c r="EJ281" s="148">
        <f t="shared" si="505"/>
        <v>0</v>
      </c>
      <c r="EK281" s="148">
        <f t="shared" si="505"/>
        <v>0</v>
      </c>
      <c r="EL281" s="148">
        <f t="shared" si="505"/>
        <v>0</v>
      </c>
      <c r="EM281" s="148">
        <f t="shared" si="505"/>
        <v>0</v>
      </c>
      <c r="EN281" s="148">
        <f t="shared" si="505"/>
        <v>0</v>
      </c>
      <c r="EO281" s="148">
        <f t="shared" si="505"/>
        <v>20</v>
      </c>
      <c r="EP281" s="148">
        <f t="shared" si="505"/>
        <v>0</v>
      </c>
      <c r="EQ281" s="148">
        <f t="shared" si="505"/>
        <v>0</v>
      </c>
      <c r="ER281" s="148">
        <f t="shared" si="505"/>
        <v>0</v>
      </c>
      <c r="ES281" s="148">
        <f t="shared" si="505"/>
        <v>0</v>
      </c>
      <c r="ET281" s="148">
        <f t="shared" si="505"/>
        <v>0</v>
      </c>
      <c r="EU281" s="148">
        <f t="shared" si="505"/>
        <v>0</v>
      </c>
      <c r="EV281" s="148">
        <f t="shared" si="505"/>
        <v>0</v>
      </c>
      <c r="EW281" s="148">
        <f t="shared" si="505"/>
        <v>0</v>
      </c>
      <c r="EX281" s="148">
        <f t="shared" si="505"/>
        <v>0</v>
      </c>
      <c r="EY281" s="148">
        <f t="shared" si="505"/>
        <v>0</v>
      </c>
      <c r="EZ281" s="148">
        <f t="shared" si="505"/>
        <v>0</v>
      </c>
      <c r="FA281" s="150">
        <f t="shared" si="505"/>
        <v>665</v>
      </c>
      <c r="FB281" s="151">
        <f t="shared" si="505"/>
        <v>1324.412</v>
      </c>
      <c r="FC281" s="151">
        <f t="shared" si="505"/>
        <v>129.5</v>
      </c>
      <c r="FD281" s="152">
        <f t="shared" si="505"/>
        <v>0</v>
      </c>
      <c r="FE281" s="792" t="str">
        <f>IF(FB281&lt;инфо!$AN$76,FB281-инфо!$AN$76,"")</f>
        <v/>
      </c>
      <c r="FF281" s="153"/>
      <c r="FG281" s="153"/>
      <c r="FH281" s="153"/>
    </row>
    <row r="282" spans="2:164" ht="26.1" customHeight="1" outlineLevel="1" thickBot="1" x14ac:dyDescent="0.3">
      <c r="B282" s="1018"/>
      <c r="C282" s="1020"/>
      <c r="D282" s="1054" t="s">
        <v>146</v>
      </c>
      <c r="E282" s="1060"/>
      <c r="F282" s="847" t="s">
        <v>146</v>
      </c>
      <c r="G282" s="813" t="s">
        <v>1492</v>
      </c>
      <c r="H282" s="588" t="s">
        <v>1195</v>
      </c>
      <c r="I282" s="588" t="s">
        <v>1164</v>
      </c>
      <c r="J282" s="515"/>
      <c r="K282" s="516"/>
      <c r="L282" s="516"/>
      <c r="M282" s="516"/>
      <c r="N282" s="516"/>
      <c r="O282" s="516"/>
      <c r="P282" s="516"/>
      <c r="Q282" s="516"/>
      <c r="R282" s="516"/>
      <c r="S282" s="516"/>
      <c r="T282" s="516"/>
      <c r="U282" s="516"/>
      <c r="V282" s="516"/>
      <c r="W282" s="517"/>
      <c r="X282" s="517"/>
      <c r="Y282" s="517"/>
      <c r="Z282" s="517"/>
      <c r="AA282" s="517"/>
      <c r="AB282" s="517"/>
      <c r="AC282" s="517"/>
      <c r="AD282" s="517"/>
      <c r="AE282" s="517"/>
      <c r="AF282" s="517"/>
      <c r="AG282" s="517"/>
      <c r="AH282" s="517"/>
      <c r="AI282" s="517"/>
      <c r="AJ282" s="517"/>
      <c r="AK282" s="517"/>
      <c r="AL282" s="517"/>
      <c r="AM282" s="517"/>
      <c r="AN282" s="517"/>
      <c r="AO282" s="517"/>
      <c r="AP282" s="517"/>
      <c r="AQ282" s="517"/>
      <c r="AR282" s="517"/>
      <c r="AS282" s="517"/>
      <c r="AT282" s="517"/>
      <c r="AU282" s="517"/>
      <c r="AV282" s="517"/>
      <c r="AW282" s="517"/>
      <c r="AX282" s="517"/>
      <c r="AY282" s="517"/>
      <c r="AZ282" s="517"/>
      <c r="BA282" s="517"/>
      <c r="BB282" s="517"/>
      <c r="BC282" s="517"/>
      <c r="BD282" s="517"/>
      <c r="BE282" s="518"/>
      <c r="BF282" s="518"/>
      <c r="BG282" s="518"/>
      <c r="BH282" s="518"/>
      <c r="BI282" s="518"/>
      <c r="BJ282" s="518"/>
      <c r="BK282" s="518"/>
      <c r="BL282" s="518"/>
      <c r="BM282" s="518"/>
      <c r="BN282" s="519"/>
      <c r="BO282" s="519"/>
      <c r="BP282" s="519"/>
      <c r="BQ282" s="519"/>
      <c r="BR282" s="519"/>
      <c r="BS282" s="519"/>
      <c r="BT282" s="519"/>
      <c r="BU282" s="519"/>
      <c r="BV282" s="516"/>
      <c r="BW282" s="516"/>
      <c r="BX282" s="516"/>
      <c r="BY282" s="516"/>
      <c r="BZ282" s="516"/>
      <c r="CA282" s="516"/>
      <c r="CB282" s="516"/>
      <c r="CC282" s="520"/>
      <c r="CD282" s="520"/>
      <c r="CE282" s="520"/>
      <c r="CF282" s="520"/>
      <c r="CG282" s="520"/>
      <c r="CH282" s="520"/>
      <c r="CI282" s="520"/>
      <c r="CJ282" s="520"/>
      <c r="CK282" s="520"/>
      <c r="CL282" s="520"/>
      <c r="CM282" s="520"/>
      <c r="CN282" s="520"/>
      <c r="CO282" s="520"/>
      <c r="CP282" s="520"/>
      <c r="CQ282" s="520"/>
      <c r="CR282" s="520"/>
      <c r="CS282" s="521"/>
      <c r="CT282" s="521"/>
      <c r="CU282" s="521"/>
      <c r="CV282" s="521"/>
      <c r="CW282" s="521"/>
      <c r="CX282" s="521"/>
      <c r="CY282" s="521"/>
      <c r="CZ282" s="521"/>
      <c r="DA282" s="521"/>
      <c r="DB282" s="521"/>
      <c r="DC282" s="521"/>
      <c r="DD282" s="521"/>
      <c r="DE282" s="521"/>
      <c r="DF282" s="521"/>
      <c r="DG282" s="521"/>
      <c r="DH282" s="521"/>
      <c r="DI282" s="521"/>
      <c r="DJ282" s="521"/>
      <c r="DK282" s="521"/>
      <c r="DL282" s="521"/>
      <c r="DM282" s="521"/>
      <c r="DN282" s="947"/>
      <c r="DO282" s="522">
        <v>25</v>
      </c>
      <c r="DP282" s="522"/>
      <c r="DQ282" s="523"/>
      <c r="DR282" s="523"/>
      <c r="DS282" s="518"/>
      <c r="DT282" s="518"/>
      <c r="DU282" s="518"/>
      <c r="DV282" s="518"/>
      <c r="DW282" s="518"/>
      <c r="DX282" s="518"/>
      <c r="DY282" s="518"/>
      <c r="DZ282" s="518"/>
      <c r="EA282" s="518">
        <v>250</v>
      </c>
      <c r="EB282" s="518"/>
      <c r="EC282" s="518"/>
      <c r="ED282" s="518">
        <v>1</v>
      </c>
      <c r="EE282" s="518"/>
      <c r="EF282" s="518"/>
      <c r="EG282" s="518"/>
      <c r="EH282" s="518"/>
      <c r="EI282" s="518"/>
      <c r="EJ282" s="518"/>
      <c r="EK282" s="518"/>
      <c r="EL282" s="518"/>
      <c r="EM282" s="518"/>
      <c r="EN282" s="518"/>
      <c r="EO282" s="518"/>
      <c r="EP282" s="518"/>
      <c r="EQ282" s="518"/>
      <c r="ER282" s="518"/>
      <c r="ES282" s="518"/>
      <c r="ET282" s="518"/>
      <c r="EU282" s="518"/>
      <c r="EV282" s="518"/>
      <c r="EW282" s="518"/>
      <c r="EX282" s="518"/>
      <c r="EY282" s="518"/>
      <c r="EZ282" s="518"/>
      <c r="FA282" s="377"/>
      <c r="FB282" s="378">
        <v>250</v>
      </c>
      <c r="FC282" s="378"/>
      <c r="FD282" s="379">
        <f t="shared" ref="FD282:FD285" si="506">SUM(BE282:BG282,BI282,BL282:BM282)+SUM(BH282,BJ282,BK282)*5</f>
        <v>0</v>
      </c>
      <c r="FE282" s="790"/>
    </row>
    <row r="283" spans="2:164" ht="26.1" customHeight="1" outlineLevel="1" thickBot="1" x14ac:dyDescent="0.3">
      <c r="B283" s="1018"/>
      <c r="C283" s="1020"/>
      <c r="D283" s="1055"/>
      <c r="E283" s="1061"/>
      <c r="F283" s="848" t="s">
        <v>146</v>
      </c>
      <c r="G283" s="814" t="s">
        <v>1492</v>
      </c>
      <c r="H283" s="589" t="s">
        <v>1197</v>
      </c>
      <c r="I283" s="589" t="s">
        <v>53</v>
      </c>
      <c r="J283" s="524"/>
      <c r="K283" s="525"/>
      <c r="L283" s="525"/>
      <c r="M283" s="525"/>
      <c r="N283" s="525"/>
      <c r="O283" s="525"/>
      <c r="P283" s="525"/>
      <c r="Q283" s="525"/>
      <c r="R283" s="525"/>
      <c r="S283" s="525"/>
      <c r="T283" s="525"/>
      <c r="U283" s="525"/>
      <c r="V283" s="525"/>
      <c r="W283" s="526"/>
      <c r="X283" s="526"/>
      <c r="Y283" s="526"/>
      <c r="Z283" s="526"/>
      <c r="AA283" s="526"/>
      <c r="AB283" s="526"/>
      <c r="AC283" s="526"/>
      <c r="AD283" s="526"/>
      <c r="AE283" s="526"/>
      <c r="AF283" s="526"/>
      <c r="AG283" s="526"/>
      <c r="AH283" s="526"/>
      <c r="AI283" s="526"/>
      <c r="AJ283" s="526"/>
      <c r="AK283" s="526"/>
      <c r="AL283" s="526"/>
      <c r="AM283" s="526"/>
      <c r="AN283" s="526"/>
      <c r="AO283" s="526"/>
      <c r="AP283" s="526"/>
      <c r="AQ283" s="526"/>
      <c r="AR283" s="526"/>
      <c r="AS283" s="526"/>
      <c r="AT283" s="526"/>
      <c r="AU283" s="526"/>
      <c r="AV283" s="526"/>
      <c r="AW283" s="526"/>
      <c r="AX283" s="526"/>
      <c r="AY283" s="526"/>
      <c r="AZ283" s="526"/>
      <c r="BA283" s="526"/>
      <c r="BB283" s="526"/>
      <c r="BC283" s="526"/>
      <c r="BD283" s="526"/>
      <c r="BE283" s="527"/>
      <c r="BF283" s="527"/>
      <c r="BG283" s="527"/>
      <c r="BH283" s="527"/>
      <c r="BI283" s="527"/>
      <c r="BJ283" s="527"/>
      <c r="BK283" s="527"/>
      <c r="BL283" s="527"/>
      <c r="BM283" s="527"/>
      <c r="BN283" s="528"/>
      <c r="BO283" s="528"/>
      <c r="BP283" s="528"/>
      <c r="BQ283" s="528"/>
      <c r="BR283" s="528"/>
      <c r="BS283" s="528"/>
      <c r="BT283" s="528"/>
      <c r="BU283" s="528"/>
      <c r="BV283" s="525"/>
      <c r="BW283" s="525"/>
      <c r="BX283" s="525"/>
      <c r="BY283" s="525"/>
      <c r="BZ283" s="525"/>
      <c r="CA283" s="525"/>
      <c r="CB283" s="525"/>
      <c r="CC283" s="529"/>
      <c r="CD283" s="529"/>
      <c r="CE283" s="529"/>
      <c r="CF283" s="529"/>
      <c r="CG283" s="529"/>
      <c r="CH283" s="529"/>
      <c r="CI283" s="529"/>
      <c r="CJ283" s="529"/>
      <c r="CK283" s="529"/>
      <c r="CL283" s="529"/>
      <c r="CM283" s="529"/>
      <c r="CN283" s="529"/>
      <c r="CO283" s="529"/>
      <c r="CP283" s="529"/>
      <c r="CQ283" s="529"/>
      <c r="CR283" s="529"/>
      <c r="CS283" s="530"/>
      <c r="CT283" s="530"/>
      <c r="CU283" s="530"/>
      <c r="CV283" s="530"/>
      <c r="CW283" s="530"/>
      <c r="CX283" s="530"/>
      <c r="CY283" s="530"/>
      <c r="CZ283" s="530"/>
      <c r="DA283" s="530"/>
      <c r="DB283" s="530"/>
      <c r="DC283" s="530"/>
      <c r="DD283" s="530"/>
      <c r="DE283" s="530"/>
      <c r="DF283" s="530"/>
      <c r="DG283" s="530"/>
      <c r="DH283" s="530"/>
      <c r="DI283" s="530"/>
      <c r="DJ283" s="530"/>
      <c r="DK283" s="530"/>
      <c r="DL283" s="530"/>
      <c r="DM283" s="530"/>
      <c r="DN283" s="948"/>
      <c r="DO283" s="531">
        <v>25</v>
      </c>
      <c r="DP283" s="531"/>
      <c r="DQ283" s="532"/>
      <c r="DR283" s="532"/>
      <c r="DS283" s="527"/>
      <c r="DT283" s="527"/>
      <c r="DU283" s="527"/>
      <c r="DV283" s="527"/>
      <c r="DW283" s="527"/>
      <c r="DX283" s="527"/>
      <c r="DY283" s="527"/>
      <c r="DZ283" s="527"/>
      <c r="EA283" s="527"/>
      <c r="EB283" s="527"/>
      <c r="EC283" s="527"/>
      <c r="ED283" s="527"/>
      <c r="EE283" s="527"/>
      <c r="EF283" s="527"/>
      <c r="EG283" s="527"/>
      <c r="EH283" s="527"/>
      <c r="EI283" s="527"/>
      <c r="EJ283" s="527"/>
      <c r="EK283" s="527"/>
      <c r="EL283" s="527"/>
      <c r="EM283" s="527"/>
      <c r="EN283" s="527"/>
      <c r="EO283" s="527"/>
      <c r="EP283" s="527"/>
      <c r="EQ283" s="527"/>
      <c r="ER283" s="527"/>
      <c r="ES283" s="527"/>
      <c r="ET283" s="527"/>
      <c r="EU283" s="527"/>
      <c r="EV283" s="527"/>
      <c r="EW283" s="527"/>
      <c r="EX283" s="527"/>
      <c r="EY283" s="527"/>
      <c r="EZ283" s="527"/>
      <c r="FA283" s="377"/>
      <c r="FB283" s="378">
        <v>25</v>
      </c>
      <c r="FC283" s="378"/>
      <c r="FD283" s="379">
        <f t="shared" si="506"/>
        <v>0</v>
      </c>
      <c r="FE283" s="790"/>
    </row>
    <row r="284" spans="2:164" ht="26.1" customHeight="1" outlineLevel="1" thickBot="1" x14ac:dyDescent="0.3">
      <c r="B284" s="1018"/>
      <c r="C284" s="1020"/>
      <c r="D284" s="1055"/>
      <c r="E284" s="1061"/>
      <c r="F284" s="848" t="s">
        <v>146</v>
      </c>
      <c r="G284" s="814" t="s">
        <v>1492</v>
      </c>
      <c r="H284" s="589" t="s">
        <v>1197</v>
      </c>
      <c r="I284" s="589" t="s">
        <v>161</v>
      </c>
      <c r="J284" s="524"/>
      <c r="K284" s="525"/>
      <c r="L284" s="525"/>
      <c r="M284" s="525"/>
      <c r="N284" s="525"/>
      <c r="O284" s="525"/>
      <c r="P284" s="525"/>
      <c r="Q284" s="525"/>
      <c r="R284" s="525"/>
      <c r="S284" s="525"/>
      <c r="T284" s="525"/>
      <c r="U284" s="525"/>
      <c r="V284" s="525"/>
      <c r="W284" s="526"/>
      <c r="X284" s="526"/>
      <c r="Y284" s="526"/>
      <c r="Z284" s="526"/>
      <c r="AA284" s="526"/>
      <c r="AB284" s="526"/>
      <c r="AC284" s="526"/>
      <c r="AD284" s="526"/>
      <c r="AE284" s="526"/>
      <c r="AF284" s="526"/>
      <c r="AG284" s="526"/>
      <c r="AH284" s="526"/>
      <c r="AI284" s="526"/>
      <c r="AJ284" s="526"/>
      <c r="AK284" s="526"/>
      <c r="AL284" s="526"/>
      <c r="AM284" s="526"/>
      <c r="AN284" s="526"/>
      <c r="AO284" s="526"/>
      <c r="AP284" s="526"/>
      <c r="AQ284" s="526"/>
      <c r="AR284" s="526"/>
      <c r="AS284" s="526"/>
      <c r="AT284" s="526"/>
      <c r="AU284" s="526"/>
      <c r="AV284" s="526"/>
      <c r="AW284" s="526"/>
      <c r="AX284" s="526"/>
      <c r="AY284" s="526"/>
      <c r="AZ284" s="526"/>
      <c r="BA284" s="526"/>
      <c r="BB284" s="526"/>
      <c r="BC284" s="526"/>
      <c r="BD284" s="526"/>
      <c r="BE284" s="527"/>
      <c r="BF284" s="527"/>
      <c r="BG284" s="527"/>
      <c r="BH284" s="527"/>
      <c r="BI284" s="527"/>
      <c r="BJ284" s="527"/>
      <c r="BK284" s="527"/>
      <c r="BL284" s="527"/>
      <c r="BM284" s="527"/>
      <c r="BN284" s="528"/>
      <c r="BO284" s="528"/>
      <c r="BP284" s="528"/>
      <c r="BQ284" s="528"/>
      <c r="BR284" s="528"/>
      <c r="BS284" s="528"/>
      <c r="BT284" s="528"/>
      <c r="BU284" s="528"/>
      <c r="BV284" s="525"/>
      <c r="BW284" s="525"/>
      <c r="BX284" s="525"/>
      <c r="BY284" s="525"/>
      <c r="BZ284" s="525"/>
      <c r="CA284" s="525"/>
      <c r="CB284" s="525"/>
      <c r="CC284" s="529"/>
      <c r="CD284" s="529"/>
      <c r="CE284" s="529"/>
      <c r="CF284" s="529"/>
      <c r="CG284" s="529"/>
      <c r="CH284" s="529"/>
      <c r="CI284" s="529"/>
      <c r="CJ284" s="529"/>
      <c r="CK284" s="529"/>
      <c r="CL284" s="529"/>
      <c r="CM284" s="529"/>
      <c r="CN284" s="529"/>
      <c r="CO284" s="529"/>
      <c r="CP284" s="529"/>
      <c r="CQ284" s="529"/>
      <c r="CR284" s="529"/>
      <c r="CS284" s="530"/>
      <c r="CT284" s="530"/>
      <c r="CU284" s="530"/>
      <c r="CV284" s="530"/>
      <c r="CW284" s="530"/>
      <c r="CX284" s="530"/>
      <c r="CY284" s="530"/>
      <c r="CZ284" s="530"/>
      <c r="DA284" s="530"/>
      <c r="DB284" s="530"/>
      <c r="DC284" s="530"/>
      <c r="DD284" s="530"/>
      <c r="DE284" s="530"/>
      <c r="DF284" s="530"/>
      <c r="DG284" s="530"/>
      <c r="DH284" s="530"/>
      <c r="DI284" s="530"/>
      <c r="DJ284" s="530"/>
      <c r="DK284" s="530"/>
      <c r="DL284" s="530"/>
      <c r="DM284" s="530"/>
      <c r="DN284" s="948"/>
      <c r="DO284" s="531"/>
      <c r="DP284" s="531"/>
      <c r="DQ284" s="532"/>
      <c r="DR284" s="532"/>
      <c r="DS284" s="527"/>
      <c r="DT284" s="527"/>
      <c r="DU284" s="527"/>
      <c r="DV284" s="527"/>
      <c r="DW284" s="527"/>
      <c r="DX284" s="527"/>
      <c r="DY284" s="527"/>
      <c r="DZ284" s="527"/>
      <c r="EA284" s="527"/>
      <c r="EB284" s="527"/>
      <c r="EC284" s="527"/>
      <c r="ED284" s="527"/>
      <c r="EE284" s="527"/>
      <c r="EF284" s="527"/>
      <c r="EG284" s="527"/>
      <c r="EH284" s="527"/>
      <c r="EI284" s="527"/>
      <c r="EJ284" s="527"/>
      <c r="EK284" s="527"/>
      <c r="EL284" s="527"/>
      <c r="EM284" s="527"/>
      <c r="EN284" s="527"/>
      <c r="EO284" s="527"/>
      <c r="EP284" s="527"/>
      <c r="EQ284" s="527">
        <v>60</v>
      </c>
      <c r="ER284" s="527"/>
      <c r="ES284" s="527"/>
      <c r="ET284" s="527"/>
      <c r="EU284" s="527"/>
      <c r="EV284" s="527"/>
      <c r="EW284" s="527"/>
      <c r="EX284" s="527"/>
      <c r="EY284" s="527"/>
      <c r="EZ284" s="527"/>
      <c r="FA284" s="377"/>
      <c r="FB284" s="378">
        <v>60</v>
      </c>
      <c r="FC284" s="378"/>
      <c r="FD284" s="379">
        <f t="shared" si="506"/>
        <v>0</v>
      </c>
      <c r="FE284" s="790"/>
    </row>
    <row r="285" spans="2:164" ht="26.1" customHeight="1" outlineLevel="1" thickBot="1" x14ac:dyDescent="0.3">
      <c r="B285" s="1018"/>
      <c r="C285" s="1020"/>
      <c r="D285" s="1056"/>
      <c r="E285" s="1062"/>
      <c r="F285" s="849" t="s">
        <v>146</v>
      </c>
      <c r="G285" s="815" t="s">
        <v>1492</v>
      </c>
      <c r="H285" s="590" t="s">
        <v>1197</v>
      </c>
      <c r="I285" s="590" t="s">
        <v>60</v>
      </c>
      <c r="J285" s="533"/>
      <c r="K285" s="534"/>
      <c r="L285" s="534"/>
      <c r="M285" s="534"/>
      <c r="N285" s="534"/>
      <c r="O285" s="534"/>
      <c r="P285" s="534"/>
      <c r="Q285" s="534"/>
      <c r="R285" s="534"/>
      <c r="S285" s="534"/>
      <c r="T285" s="534"/>
      <c r="U285" s="534"/>
      <c r="V285" s="534"/>
      <c r="W285" s="535"/>
      <c r="X285" s="535"/>
      <c r="Y285" s="535"/>
      <c r="Z285" s="535"/>
      <c r="AA285" s="535"/>
      <c r="AB285" s="535"/>
      <c r="AC285" s="535"/>
      <c r="AD285" s="535"/>
      <c r="AE285" s="535"/>
      <c r="AF285" s="535"/>
      <c r="AG285" s="535"/>
      <c r="AH285" s="535"/>
      <c r="AI285" s="535"/>
      <c r="AJ285" s="535"/>
      <c r="AK285" s="535"/>
      <c r="AL285" s="535"/>
      <c r="AM285" s="535"/>
      <c r="AN285" s="535"/>
      <c r="AO285" s="535"/>
      <c r="AP285" s="535"/>
      <c r="AQ285" s="535"/>
      <c r="AR285" s="535"/>
      <c r="AS285" s="535"/>
      <c r="AT285" s="535"/>
      <c r="AU285" s="535"/>
      <c r="AV285" s="535"/>
      <c r="AW285" s="535"/>
      <c r="AX285" s="535"/>
      <c r="AY285" s="535"/>
      <c r="AZ285" s="535"/>
      <c r="BA285" s="535"/>
      <c r="BB285" s="535"/>
      <c r="BC285" s="535"/>
      <c r="BD285" s="535"/>
      <c r="BE285" s="536"/>
      <c r="BF285" s="536"/>
      <c r="BG285" s="536"/>
      <c r="BH285" s="536"/>
      <c r="BI285" s="536"/>
      <c r="BJ285" s="536"/>
      <c r="BK285" s="536"/>
      <c r="BL285" s="536"/>
      <c r="BM285" s="536"/>
      <c r="BN285" s="537">
        <v>15</v>
      </c>
      <c r="BO285" s="537"/>
      <c r="BP285" s="537"/>
      <c r="BQ285" s="537"/>
      <c r="BR285" s="537"/>
      <c r="BS285" s="537"/>
      <c r="BT285" s="537"/>
      <c r="BU285" s="537"/>
      <c r="BV285" s="534"/>
      <c r="BW285" s="534"/>
      <c r="BX285" s="534"/>
      <c r="BY285" s="534"/>
      <c r="BZ285" s="534"/>
      <c r="CA285" s="534"/>
      <c r="CB285" s="534"/>
      <c r="CC285" s="538"/>
      <c r="CD285" s="538"/>
      <c r="CE285" s="538"/>
      <c r="CF285" s="538"/>
      <c r="CG285" s="538"/>
      <c r="CH285" s="538"/>
      <c r="CI285" s="538"/>
      <c r="CJ285" s="538"/>
      <c r="CK285" s="538"/>
      <c r="CL285" s="538"/>
      <c r="CM285" s="538"/>
      <c r="CN285" s="538"/>
      <c r="CO285" s="538"/>
      <c r="CP285" s="538"/>
      <c r="CQ285" s="538"/>
      <c r="CR285" s="538"/>
      <c r="CS285" s="539"/>
      <c r="CT285" s="539"/>
      <c r="CU285" s="539"/>
      <c r="CV285" s="539"/>
      <c r="CW285" s="539"/>
      <c r="CX285" s="539"/>
      <c r="CY285" s="539"/>
      <c r="CZ285" s="539"/>
      <c r="DA285" s="539"/>
      <c r="DB285" s="539"/>
      <c r="DC285" s="539"/>
      <c r="DD285" s="539"/>
      <c r="DE285" s="539"/>
      <c r="DF285" s="539"/>
      <c r="DG285" s="539"/>
      <c r="DH285" s="539"/>
      <c r="DI285" s="539"/>
      <c r="DJ285" s="539"/>
      <c r="DK285" s="539"/>
      <c r="DL285" s="539"/>
      <c r="DM285" s="539"/>
      <c r="DN285" s="949"/>
      <c r="DO285" s="540"/>
      <c r="DP285" s="540"/>
      <c r="DQ285" s="541"/>
      <c r="DR285" s="541"/>
      <c r="DS285" s="536"/>
      <c r="DT285" s="536"/>
      <c r="DU285" s="536"/>
      <c r="DV285" s="536"/>
      <c r="DW285" s="536"/>
      <c r="DX285" s="536"/>
      <c r="DY285" s="536"/>
      <c r="DZ285" s="536"/>
      <c r="EA285" s="536"/>
      <c r="EB285" s="536"/>
      <c r="EC285" s="536"/>
      <c r="ED285" s="536"/>
      <c r="EE285" s="536"/>
      <c r="EF285" s="536"/>
      <c r="EG285" s="536"/>
      <c r="EH285" s="536"/>
      <c r="EI285" s="536"/>
      <c r="EJ285" s="536"/>
      <c r="EK285" s="536"/>
      <c r="EL285" s="536"/>
      <c r="EM285" s="536"/>
      <c r="EN285" s="536"/>
      <c r="EO285" s="536"/>
      <c r="EP285" s="536"/>
      <c r="EQ285" s="536"/>
      <c r="ER285" s="536"/>
      <c r="ES285" s="536"/>
      <c r="ET285" s="536"/>
      <c r="EU285" s="536"/>
      <c r="EV285" s="536"/>
      <c r="EW285" s="536"/>
      <c r="EX285" s="536"/>
      <c r="EY285" s="536"/>
      <c r="EZ285" s="536"/>
      <c r="FA285" s="377"/>
      <c r="FB285" s="378">
        <v>15</v>
      </c>
      <c r="FC285" s="378"/>
      <c r="FD285" s="379">
        <f t="shared" si="506"/>
        <v>0</v>
      </c>
      <c r="FE285" s="790"/>
    </row>
    <row r="286" spans="2:164" s="154" customFormat="1" ht="16.5" customHeight="1" outlineLevel="1" thickBot="1" x14ac:dyDescent="0.4">
      <c r="B286" s="1018"/>
      <c r="C286" s="1020"/>
      <c r="D286" s="155"/>
      <c r="E286" s="318" t="s">
        <v>174</v>
      </c>
      <c r="F286" s="850"/>
      <c r="G286" s="819"/>
      <c r="H286" s="591"/>
      <c r="I286" s="604"/>
      <c r="J286" s="305">
        <f>SUM(J282:J285)</f>
        <v>0</v>
      </c>
      <c r="K286" s="146">
        <f t="shared" ref="K286:CU286" si="507">SUM(K282:K285)</f>
        <v>0</v>
      </c>
      <c r="L286" s="146">
        <f t="shared" si="507"/>
        <v>0</v>
      </c>
      <c r="M286" s="146">
        <f t="shared" si="507"/>
        <v>0</v>
      </c>
      <c r="N286" s="146">
        <f t="shared" si="507"/>
        <v>0</v>
      </c>
      <c r="O286" s="146">
        <f t="shared" si="507"/>
        <v>0</v>
      </c>
      <c r="P286" s="146">
        <f t="shared" si="507"/>
        <v>0</v>
      </c>
      <c r="Q286" s="146">
        <f t="shared" si="507"/>
        <v>0</v>
      </c>
      <c r="R286" s="146">
        <f t="shared" si="507"/>
        <v>0</v>
      </c>
      <c r="S286" s="146">
        <f t="shared" si="507"/>
        <v>0</v>
      </c>
      <c r="T286" s="146">
        <f t="shared" si="507"/>
        <v>0</v>
      </c>
      <c r="U286" s="146">
        <f t="shared" si="507"/>
        <v>0</v>
      </c>
      <c r="V286" s="146">
        <f t="shared" si="507"/>
        <v>0</v>
      </c>
      <c r="W286" s="147">
        <f t="shared" si="507"/>
        <v>0</v>
      </c>
      <c r="X286" s="147">
        <f t="shared" si="507"/>
        <v>0</v>
      </c>
      <c r="Y286" s="147">
        <f t="shared" si="507"/>
        <v>0</v>
      </c>
      <c r="Z286" s="147">
        <f t="shared" si="507"/>
        <v>0</v>
      </c>
      <c r="AA286" s="147">
        <f t="shared" si="507"/>
        <v>0</v>
      </c>
      <c r="AB286" s="147">
        <f t="shared" si="507"/>
        <v>0</v>
      </c>
      <c r="AC286" s="147">
        <f t="shared" si="507"/>
        <v>0</v>
      </c>
      <c r="AD286" s="147">
        <f t="shared" si="507"/>
        <v>0</v>
      </c>
      <c r="AE286" s="147">
        <f t="shared" si="507"/>
        <v>0</v>
      </c>
      <c r="AF286" s="147">
        <f t="shared" si="507"/>
        <v>0</v>
      </c>
      <c r="AG286" s="147">
        <f t="shared" si="507"/>
        <v>0</v>
      </c>
      <c r="AH286" s="147">
        <f t="shared" si="507"/>
        <v>0</v>
      </c>
      <c r="AI286" s="147">
        <f t="shared" si="507"/>
        <v>0</v>
      </c>
      <c r="AJ286" s="147">
        <f t="shared" si="507"/>
        <v>0</v>
      </c>
      <c r="AK286" s="147">
        <f t="shared" si="507"/>
        <v>0</v>
      </c>
      <c r="AL286" s="147">
        <f t="shared" si="507"/>
        <v>0</v>
      </c>
      <c r="AM286" s="147">
        <f t="shared" si="507"/>
        <v>0</v>
      </c>
      <c r="AN286" s="147">
        <f t="shared" si="507"/>
        <v>0</v>
      </c>
      <c r="AO286" s="147">
        <f t="shared" si="507"/>
        <v>0</v>
      </c>
      <c r="AP286" s="147">
        <f t="shared" si="507"/>
        <v>0</v>
      </c>
      <c r="AQ286" s="147">
        <f t="shared" si="507"/>
        <v>0</v>
      </c>
      <c r="AR286" s="147">
        <f t="shared" si="507"/>
        <v>0</v>
      </c>
      <c r="AS286" s="147">
        <f t="shared" si="507"/>
        <v>0</v>
      </c>
      <c r="AT286" s="147">
        <f t="shared" si="507"/>
        <v>0</v>
      </c>
      <c r="AU286" s="147">
        <f t="shared" si="507"/>
        <v>0</v>
      </c>
      <c r="AV286" s="147">
        <f t="shared" si="507"/>
        <v>0</v>
      </c>
      <c r="AW286" s="147">
        <f t="shared" si="507"/>
        <v>0</v>
      </c>
      <c r="AX286" s="147">
        <f t="shared" si="507"/>
        <v>0</v>
      </c>
      <c r="AY286" s="147">
        <f t="shared" si="507"/>
        <v>0</v>
      </c>
      <c r="AZ286" s="147">
        <f t="shared" si="507"/>
        <v>0</v>
      </c>
      <c r="BA286" s="147">
        <f t="shared" si="507"/>
        <v>0</v>
      </c>
      <c r="BB286" s="147">
        <f t="shared" si="507"/>
        <v>0</v>
      </c>
      <c r="BC286" s="147">
        <f t="shared" si="507"/>
        <v>0</v>
      </c>
      <c r="BD286" s="147">
        <f t="shared" si="507"/>
        <v>0</v>
      </c>
      <c r="BE286" s="148">
        <f t="shared" si="507"/>
        <v>0</v>
      </c>
      <c r="BF286" s="148">
        <f t="shared" si="507"/>
        <v>0</v>
      </c>
      <c r="BG286" s="148">
        <f t="shared" si="507"/>
        <v>0</v>
      </c>
      <c r="BH286" s="148">
        <f t="shared" si="507"/>
        <v>0</v>
      </c>
      <c r="BI286" s="148">
        <f t="shared" si="507"/>
        <v>0</v>
      </c>
      <c r="BJ286" s="148">
        <f t="shared" si="507"/>
        <v>0</v>
      </c>
      <c r="BK286" s="148">
        <f t="shared" si="507"/>
        <v>0</v>
      </c>
      <c r="BL286" s="148">
        <f t="shared" si="507"/>
        <v>0</v>
      </c>
      <c r="BM286" s="148">
        <f t="shared" si="507"/>
        <v>0</v>
      </c>
      <c r="BN286" s="149">
        <f t="shared" si="507"/>
        <v>15</v>
      </c>
      <c r="BO286" s="149">
        <f t="shared" si="507"/>
        <v>0</v>
      </c>
      <c r="BP286" s="149">
        <f t="shared" si="507"/>
        <v>0</v>
      </c>
      <c r="BQ286" s="149">
        <f t="shared" si="507"/>
        <v>0</v>
      </c>
      <c r="BR286" s="149">
        <f t="shared" si="507"/>
        <v>0</v>
      </c>
      <c r="BS286" s="149">
        <f t="shared" si="507"/>
        <v>0</v>
      </c>
      <c r="BT286" s="149">
        <f t="shared" si="507"/>
        <v>0</v>
      </c>
      <c r="BU286" s="149">
        <f t="shared" si="507"/>
        <v>0</v>
      </c>
      <c r="BV286" s="146">
        <f t="shared" si="507"/>
        <v>0</v>
      </c>
      <c r="BW286" s="146">
        <f t="shared" si="507"/>
        <v>0</v>
      </c>
      <c r="BX286" s="146">
        <f t="shared" si="507"/>
        <v>0</v>
      </c>
      <c r="BY286" s="146">
        <f t="shared" si="507"/>
        <v>0</v>
      </c>
      <c r="BZ286" s="146">
        <f t="shared" si="507"/>
        <v>0</v>
      </c>
      <c r="CA286" s="146">
        <f t="shared" si="507"/>
        <v>0</v>
      </c>
      <c r="CB286" s="146">
        <f t="shared" si="507"/>
        <v>0</v>
      </c>
      <c r="CC286" s="265">
        <f t="shared" si="507"/>
        <v>0</v>
      </c>
      <c r="CD286" s="265">
        <f t="shared" si="507"/>
        <v>0</v>
      </c>
      <c r="CE286" s="265">
        <f t="shared" si="507"/>
        <v>0</v>
      </c>
      <c r="CF286" s="265">
        <f t="shared" si="507"/>
        <v>0</v>
      </c>
      <c r="CG286" s="265">
        <f t="shared" si="507"/>
        <v>0</v>
      </c>
      <c r="CH286" s="265">
        <f t="shared" si="507"/>
        <v>0</v>
      </c>
      <c r="CI286" s="265">
        <f t="shared" si="507"/>
        <v>0</v>
      </c>
      <c r="CJ286" s="265">
        <f t="shared" si="507"/>
        <v>0</v>
      </c>
      <c r="CK286" s="265">
        <f t="shared" si="507"/>
        <v>0</v>
      </c>
      <c r="CL286" s="265">
        <f t="shared" si="507"/>
        <v>0</v>
      </c>
      <c r="CM286" s="265">
        <f t="shared" si="507"/>
        <v>0</v>
      </c>
      <c r="CN286" s="265">
        <f t="shared" si="507"/>
        <v>0</v>
      </c>
      <c r="CO286" s="265">
        <f t="shared" si="507"/>
        <v>0</v>
      </c>
      <c r="CP286" s="265">
        <f t="shared" si="507"/>
        <v>0</v>
      </c>
      <c r="CQ286" s="265">
        <f t="shared" si="507"/>
        <v>0</v>
      </c>
      <c r="CR286" s="265">
        <f t="shared" si="507"/>
        <v>0</v>
      </c>
      <c r="CS286" s="281">
        <f t="shared" si="507"/>
        <v>0</v>
      </c>
      <c r="CT286" s="281">
        <f t="shared" si="507"/>
        <v>0</v>
      </c>
      <c r="CU286" s="281">
        <f t="shared" si="507"/>
        <v>0</v>
      </c>
      <c r="CV286" s="281">
        <f t="shared" ref="CV286:FD286" si="508">SUM(CV282:CV285)</f>
        <v>0</v>
      </c>
      <c r="CW286" s="281">
        <f t="shared" si="508"/>
        <v>0</v>
      </c>
      <c r="CX286" s="281">
        <f t="shared" si="508"/>
        <v>0</v>
      </c>
      <c r="CY286" s="281">
        <f t="shared" si="508"/>
        <v>0</v>
      </c>
      <c r="CZ286" s="281">
        <f t="shared" si="508"/>
        <v>0</v>
      </c>
      <c r="DA286" s="281">
        <f t="shared" si="508"/>
        <v>0</v>
      </c>
      <c r="DB286" s="281">
        <f t="shared" si="508"/>
        <v>0</v>
      </c>
      <c r="DC286" s="281">
        <f t="shared" si="508"/>
        <v>0</v>
      </c>
      <c r="DD286" s="281">
        <f t="shared" si="508"/>
        <v>0</v>
      </c>
      <c r="DE286" s="281">
        <f t="shared" si="508"/>
        <v>0</v>
      </c>
      <c r="DF286" s="281">
        <f t="shared" si="508"/>
        <v>0</v>
      </c>
      <c r="DG286" s="281">
        <f t="shared" si="508"/>
        <v>0</v>
      </c>
      <c r="DH286" s="281">
        <f t="shared" si="508"/>
        <v>0</v>
      </c>
      <c r="DI286" s="281">
        <f t="shared" si="508"/>
        <v>0</v>
      </c>
      <c r="DJ286" s="281">
        <f t="shared" si="508"/>
        <v>0</v>
      </c>
      <c r="DK286" s="281">
        <f t="shared" si="508"/>
        <v>0</v>
      </c>
      <c r="DL286" s="281">
        <f t="shared" si="508"/>
        <v>0</v>
      </c>
      <c r="DM286" s="281">
        <f t="shared" si="508"/>
        <v>0</v>
      </c>
      <c r="DN286" s="936">
        <f t="shared" si="508"/>
        <v>0</v>
      </c>
      <c r="DO286" s="148">
        <f t="shared" si="508"/>
        <v>50</v>
      </c>
      <c r="DP286" s="148">
        <f t="shared" si="508"/>
        <v>0</v>
      </c>
      <c r="DQ286" s="148">
        <f t="shared" si="508"/>
        <v>0</v>
      </c>
      <c r="DR286" s="148">
        <f t="shared" si="508"/>
        <v>0</v>
      </c>
      <c r="DS286" s="148">
        <f t="shared" si="508"/>
        <v>0</v>
      </c>
      <c r="DT286" s="148">
        <f t="shared" si="508"/>
        <v>0</v>
      </c>
      <c r="DU286" s="148">
        <f t="shared" si="508"/>
        <v>0</v>
      </c>
      <c r="DV286" s="148">
        <f t="shared" si="508"/>
        <v>0</v>
      </c>
      <c r="DW286" s="148">
        <f t="shared" si="508"/>
        <v>0</v>
      </c>
      <c r="DX286" s="148">
        <f t="shared" si="508"/>
        <v>0</v>
      </c>
      <c r="DY286" s="148">
        <f t="shared" si="508"/>
        <v>0</v>
      </c>
      <c r="DZ286" s="148">
        <f t="shared" si="508"/>
        <v>0</v>
      </c>
      <c r="EA286" s="148">
        <f t="shared" si="508"/>
        <v>250</v>
      </c>
      <c r="EB286" s="148">
        <f t="shared" si="508"/>
        <v>0</v>
      </c>
      <c r="EC286" s="148">
        <f t="shared" si="508"/>
        <v>0</v>
      </c>
      <c r="ED286" s="148">
        <f t="shared" si="508"/>
        <v>1</v>
      </c>
      <c r="EE286" s="148">
        <f t="shared" si="508"/>
        <v>0</v>
      </c>
      <c r="EF286" s="148">
        <f t="shared" si="508"/>
        <v>0</v>
      </c>
      <c r="EG286" s="148">
        <f t="shared" si="508"/>
        <v>0</v>
      </c>
      <c r="EH286" s="148">
        <f t="shared" si="508"/>
        <v>0</v>
      </c>
      <c r="EI286" s="148">
        <f t="shared" si="508"/>
        <v>0</v>
      </c>
      <c r="EJ286" s="148">
        <f t="shared" si="508"/>
        <v>0</v>
      </c>
      <c r="EK286" s="148">
        <f t="shared" si="508"/>
        <v>0</v>
      </c>
      <c r="EL286" s="148">
        <f t="shared" si="508"/>
        <v>0</v>
      </c>
      <c r="EM286" s="148">
        <f t="shared" si="508"/>
        <v>0</v>
      </c>
      <c r="EN286" s="148">
        <f t="shared" si="508"/>
        <v>0</v>
      </c>
      <c r="EO286" s="148">
        <f t="shared" si="508"/>
        <v>0</v>
      </c>
      <c r="EP286" s="148">
        <f t="shared" si="508"/>
        <v>0</v>
      </c>
      <c r="EQ286" s="148">
        <f t="shared" si="508"/>
        <v>60</v>
      </c>
      <c r="ER286" s="148">
        <f t="shared" si="508"/>
        <v>0</v>
      </c>
      <c r="ES286" s="148">
        <f t="shared" si="508"/>
        <v>0</v>
      </c>
      <c r="ET286" s="148">
        <f t="shared" si="508"/>
        <v>0</v>
      </c>
      <c r="EU286" s="148">
        <f t="shared" si="508"/>
        <v>0</v>
      </c>
      <c r="EV286" s="148">
        <f t="shared" si="508"/>
        <v>0</v>
      </c>
      <c r="EW286" s="148">
        <f t="shared" si="508"/>
        <v>0</v>
      </c>
      <c r="EX286" s="148">
        <f t="shared" si="508"/>
        <v>0</v>
      </c>
      <c r="EY286" s="148">
        <f t="shared" si="508"/>
        <v>0</v>
      </c>
      <c r="EZ286" s="148">
        <f t="shared" si="508"/>
        <v>0</v>
      </c>
      <c r="FA286" s="150">
        <f t="shared" si="508"/>
        <v>0</v>
      </c>
      <c r="FB286" s="151">
        <f t="shared" si="508"/>
        <v>350</v>
      </c>
      <c r="FC286" s="151">
        <f t="shared" si="508"/>
        <v>0</v>
      </c>
      <c r="FD286" s="152">
        <f t="shared" si="508"/>
        <v>0</v>
      </c>
      <c r="FE286" s="792" t="str">
        <f>IF(FB286&lt;инфо!$AN$77,FB286-инфо!$AN$77,"")</f>
        <v/>
      </c>
      <c r="FF286" s="153"/>
      <c r="FG286" s="153"/>
      <c r="FH286" s="153"/>
    </row>
    <row r="287" spans="2:164" s="138" customFormat="1" ht="32.1" customHeight="1" thickBot="1" x14ac:dyDescent="0.4">
      <c r="B287" s="174" t="s">
        <v>175</v>
      </c>
      <c r="C287" s="156"/>
      <c r="D287" s="306"/>
      <c r="E287" s="319" t="s">
        <v>176</v>
      </c>
      <c r="F287" s="851"/>
      <c r="G287" s="826"/>
      <c r="H287" s="592" t="s">
        <v>1425</v>
      </c>
      <c r="I287" s="605" t="s">
        <v>197</v>
      </c>
      <c r="J287" s="542">
        <f>SUMIF($E243:$E286,$E287,J243:J286)</f>
        <v>0</v>
      </c>
      <c r="K287" s="543">
        <f t="shared" ref="K287:CU287" si="509">SUMIF($E243:$E286,$E287,K243:K286)</f>
        <v>0</v>
      </c>
      <c r="L287" s="543">
        <f t="shared" si="509"/>
        <v>0</v>
      </c>
      <c r="M287" s="543">
        <f t="shared" si="509"/>
        <v>0</v>
      </c>
      <c r="N287" s="543">
        <f t="shared" si="509"/>
        <v>0</v>
      </c>
      <c r="O287" s="543">
        <f t="shared" si="509"/>
        <v>83</v>
      </c>
      <c r="P287" s="543">
        <f t="shared" si="509"/>
        <v>166</v>
      </c>
      <c r="Q287" s="543">
        <f t="shared" si="509"/>
        <v>0</v>
      </c>
      <c r="R287" s="543">
        <f t="shared" si="509"/>
        <v>0</v>
      </c>
      <c r="S287" s="543">
        <f t="shared" si="509"/>
        <v>0</v>
      </c>
      <c r="T287" s="543">
        <f t="shared" si="509"/>
        <v>0</v>
      </c>
      <c r="U287" s="543">
        <f t="shared" si="509"/>
        <v>0</v>
      </c>
      <c r="V287" s="543">
        <f t="shared" si="509"/>
        <v>83</v>
      </c>
      <c r="W287" s="544">
        <f t="shared" si="509"/>
        <v>0</v>
      </c>
      <c r="X287" s="544">
        <f t="shared" si="509"/>
        <v>7.8</v>
      </c>
      <c r="Y287" s="544">
        <f t="shared" si="509"/>
        <v>0</v>
      </c>
      <c r="Z287" s="544">
        <f t="shared" si="509"/>
        <v>150</v>
      </c>
      <c r="AA287" s="544">
        <f t="shared" si="509"/>
        <v>300</v>
      </c>
      <c r="AB287" s="544">
        <f t="shared" si="509"/>
        <v>0</v>
      </c>
      <c r="AC287" s="544">
        <f t="shared" si="509"/>
        <v>0</v>
      </c>
      <c r="AD287" s="544">
        <f t="shared" si="509"/>
        <v>480</v>
      </c>
      <c r="AE287" s="544">
        <f t="shared" si="509"/>
        <v>0</v>
      </c>
      <c r="AF287" s="544">
        <f t="shared" si="509"/>
        <v>14</v>
      </c>
      <c r="AG287" s="544">
        <f t="shared" si="509"/>
        <v>34</v>
      </c>
      <c r="AH287" s="544">
        <f t="shared" si="509"/>
        <v>0</v>
      </c>
      <c r="AI287" s="544">
        <f t="shared" si="509"/>
        <v>0</v>
      </c>
      <c r="AJ287" s="544">
        <f t="shared" si="509"/>
        <v>0</v>
      </c>
      <c r="AK287" s="544">
        <f t="shared" si="509"/>
        <v>0</v>
      </c>
      <c r="AL287" s="544">
        <f t="shared" si="509"/>
        <v>0</v>
      </c>
      <c r="AM287" s="544">
        <f t="shared" si="509"/>
        <v>0</v>
      </c>
      <c r="AN287" s="544">
        <f t="shared" si="509"/>
        <v>0</v>
      </c>
      <c r="AO287" s="544">
        <f t="shared" si="509"/>
        <v>10</v>
      </c>
      <c r="AP287" s="544">
        <f t="shared" si="509"/>
        <v>0</v>
      </c>
      <c r="AQ287" s="544">
        <f t="shared" si="509"/>
        <v>0</v>
      </c>
      <c r="AR287" s="544">
        <f t="shared" si="509"/>
        <v>0</v>
      </c>
      <c r="AS287" s="544">
        <f t="shared" si="509"/>
        <v>0</v>
      </c>
      <c r="AT287" s="544">
        <f t="shared" si="509"/>
        <v>0</v>
      </c>
      <c r="AU287" s="544">
        <f t="shared" si="509"/>
        <v>20</v>
      </c>
      <c r="AV287" s="544">
        <f t="shared" si="509"/>
        <v>35</v>
      </c>
      <c r="AW287" s="544">
        <f t="shared" si="509"/>
        <v>0</v>
      </c>
      <c r="AX287" s="544">
        <f t="shared" si="509"/>
        <v>90</v>
      </c>
      <c r="AY287" s="544">
        <f t="shared" si="509"/>
        <v>0</v>
      </c>
      <c r="AZ287" s="544">
        <f t="shared" si="509"/>
        <v>0</v>
      </c>
      <c r="BA287" s="544">
        <f t="shared" si="509"/>
        <v>0</v>
      </c>
      <c r="BB287" s="544">
        <f t="shared" si="509"/>
        <v>20</v>
      </c>
      <c r="BC287" s="544">
        <f t="shared" si="509"/>
        <v>0</v>
      </c>
      <c r="BD287" s="544">
        <f t="shared" si="509"/>
        <v>0</v>
      </c>
      <c r="BE287" s="545">
        <f t="shared" si="509"/>
        <v>150</v>
      </c>
      <c r="BF287" s="545">
        <f t="shared" si="509"/>
        <v>0</v>
      </c>
      <c r="BG287" s="545">
        <f t="shared" si="509"/>
        <v>0</v>
      </c>
      <c r="BH287" s="545">
        <f t="shared" si="509"/>
        <v>22</v>
      </c>
      <c r="BI287" s="545">
        <f t="shared" si="509"/>
        <v>0</v>
      </c>
      <c r="BJ287" s="545">
        <f t="shared" si="509"/>
        <v>5</v>
      </c>
      <c r="BK287" s="545">
        <f t="shared" si="509"/>
        <v>0</v>
      </c>
      <c r="BL287" s="545">
        <f t="shared" si="509"/>
        <v>0</v>
      </c>
      <c r="BM287" s="545">
        <f t="shared" si="509"/>
        <v>0</v>
      </c>
      <c r="BN287" s="546">
        <f t="shared" si="509"/>
        <v>60</v>
      </c>
      <c r="BO287" s="546">
        <f t="shared" si="509"/>
        <v>22.8</v>
      </c>
      <c r="BP287" s="546">
        <f t="shared" si="509"/>
        <v>15</v>
      </c>
      <c r="BQ287" s="546">
        <f t="shared" si="509"/>
        <v>0</v>
      </c>
      <c r="BR287" s="546">
        <f t="shared" si="509"/>
        <v>0</v>
      </c>
      <c r="BS287" s="546">
        <f t="shared" si="509"/>
        <v>0</v>
      </c>
      <c r="BT287" s="546">
        <f t="shared" si="509"/>
        <v>0</v>
      </c>
      <c r="BU287" s="546">
        <f t="shared" si="509"/>
        <v>0</v>
      </c>
      <c r="BV287" s="543">
        <f t="shared" si="509"/>
        <v>0</v>
      </c>
      <c r="BW287" s="543">
        <f t="shared" si="509"/>
        <v>0</v>
      </c>
      <c r="BX287" s="543">
        <f t="shared" si="509"/>
        <v>0</v>
      </c>
      <c r="BY287" s="543">
        <f t="shared" si="509"/>
        <v>0</v>
      </c>
      <c r="BZ287" s="543">
        <f t="shared" si="509"/>
        <v>0</v>
      </c>
      <c r="CA287" s="543">
        <f t="shared" si="509"/>
        <v>0</v>
      </c>
      <c r="CB287" s="543">
        <f t="shared" si="509"/>
        <v>0</v>
      </c>
      <c r="CC287" s="547">
        <f t="shared" si="509"/>
        <v>0</v>
      </c>
      <c r="CD287" s="547">
        <f t="shared" si="509"/>
        <v>43</v>
      </c>
      <c r="CE287" s="547">
        <f t="shared" si="509"/>
        <v>0</v>
      </c>
      <c r="CF287" s="547">
        <f t="shared" si="509"/>
        <v>96</v>
      </c>
      <c r="CG287" s="547">
        <f t="shared" si="509"/>
        <v>0</v>
      </c>
      <c r="CH287" s="547">
        <f t="shared" si="509"/>
        <v>0</v>
      </c>
      <c r="CI287" s="547">
        <f t="shared" si="509"/>
        <v>0</v>
      </c>
      <c r="CJ287" s="547">
        <f t="shared" si="509"/>
        <v>0</v>
      </c>
      <c r="CK287" s="547">
        <f t="shared" si="509"/>
        <v>0</v>
      </c>
      <c r="CL287" s="547">
        <f t="shared" si="509"/>
        <v>0</v>
      </c>
      <c r="CM287" s="547">
        <f t="shared" si="509"/>
        <v>0</v>
      </c>
      <c r="CN287" s="547">
        <f t="shared" si="509"/>
        <v>0</v>
      </c>
      <c r="CO287" s="547">
        <f t="shared" si="509"/>
        <v>0</v>
      </c>
      <c r="CP287" s="547">
        <f t="shared" si="509"/>
        <v>0</v>
      </c>
      <c r="CQ287" s="547">
        <f t="shared" si="509"/>
        <v>0</v>
      </c>
      <c r="CR287" s="547">
        <f t="shared" si="509"/>
        <v>0</v>
      </c>
      <c r="CS287" s="548">
        <f t="shared" si="509"/>
        <v>0</v>
      </c>
      <c r="CT287" s="548">
        <f t="shared" si="509"/>
        <v>0</v>
      </c>
      <c r="CU287" s="548">
        <f t="shared" si="509"/>
        <v>0</v>
      </c>
      <c r="CV287" s="548">
        <f t="shared" ref="CV287:FD287" si="510">SUMIF($E243:$E286,$E287,CV243:CV286)</f>
        <v>0</v>
      </c>
      <c r="CW287" s="548">
        <f t="shared" si="510"/>
        <v>0</v>
      </c>
      <c r="CX287" s="548">
        <f t="shared" si="510"/>
        <v>0</v>
      </c>
      <c r="CY287" s="548">
        <f t="shared" si="510"/>
        <v>0</v>
      </c>
      <c r="CZ287" s="548">
        <f t="shared" si="510"/>
        <v>0</v>
      </c>
      <c r="DA287" s="548">
        <f t="shared" si="510"/>
        <v>0</v>
      </c>
      <c r="DB287" s="548">
        <f t="shared" si="510"/>
        <v>50</v>
      </c>
      <c r="DC287" s="548">
        <f t="shared" si="510"/>
        <v>0</v>
      </c>
      <c r="DD287" s="548">
        <f t="shared" si="510"/>
        <v>0</v>
      </c>
      <c r="DE287" s="548">
        <f t="shared" si="510"/>
        <v>0</v>
      </c>
      <c r="DF287" s="548">
        <f t="shared" si="510"/>
        <v>0</v>
      </c>
      <c r="DG287" s="548">
        <f t="shared" si="510"/>
        <v>0</v>
      </c>
      <c r="DH287" s="548">
        <f t="shared" si="510"/>
        <v>0</v>
      </c>
      <c r="DI287" s="548">
        <f t="shared" si="510"/>
        <v>0</v>
      </c>
      <c r="DJ287" s="548">
        <f t="shared" si="510"/>
        <v>120</v>
      </c>
      <c r="DK287" s="548">
        <f t="shared" si="510"/>
        <v>0</v>
      </c>
      <c r="DL287" s="548">
        <f t="shared" si="510"/>
        <v>0</v>
      </c>
      <c r="DM287" s="548">
        <f t="shared" si="510"/>
        <v>0</v>
      </c>
      <c r="DN287" s="950">
        <f t="shared" si="510"/>
        <v>1</v>
      </c>
      <c r="DO287" s="545">
        <f t="shared" si="510"/>
        <v>110</v>
      </c>
      <c r="DP287" s="545">
        <f t="shared" si="510"/>
        <v>26.2</v>
      </c>
      <c r="DQ287" s="545">
        <f t="shared" si="510"/>
        <v>4.3999999999999997E-2</v>
      </c>
      <c r="DR287" s="545">
        <f t="shared" si="510"/>
        <v>0.14000000000000001</v>
      </c>
      <c r="DS287" s="545">
        <f t="shared" si="510"/>
        <v>4.8</v>
      </c>
      <c r="DT287" s="545">
        <f t="shared" si="510"/>
        <v>0</v>
      </c>
      <c r="DU287" s="545">
        <f t="shared" si="510"/>
        <v>0</v>
      </c>
      <c r="DV287" s="545">
        <f t="shared" si="510"/>
        <v>0</v>
      </c>
      <c r="DW287" s="545">
        <f t="shared" si="510"/>
        <v>0</v>
      </c>
      <c r="DX287" s="545">
        <f t="shared" si="510"/>
        <v>0</v>
      </c>
      <c r="DY287" s="545">
        <f t="shared" si="510"/>
        <v>0</v>
      </c>
      <c r="DZ287" s="545">
        <f t="shared" si="510"/>
        <v>0</v>
      </c>
      <c r="EA287" s="545">
        <f t="shared" si="510"/>
        <v>1329.4</v>
      </c>
      <c r="EB287" s="545">
        <f t="shared" si="510"/>
        <v>816</v>
      </c>
      <c r="EC287" s="545">
        <f t="shared" si="510"/>
        <v>400</v>
      </c>
      <c r="ED287" s="545">
        <f t="shared" si="510"/>
        <v>1</v>
      </c>
      <c r="EE287" s="545">
        <f t="shared" si="510"/>
        <v>0</v>
      </c>
      <c r="EF287" s="545">
        <f t="shared" si="510"/>
        <v>1.5</v>
      </c>
      <c r="EG287" s="545">
        <f t="shared" si="510"/>
        <v>0</v>
      </c>
      <c r="EH287" s="545">
        <f t="shared" si="510"/>
        <v>0</v>
      </c>
      <c r="EI287" s="545">
        <f t="shared" si="510"/>
        <v>0</v>
      </c>
      <c r="EJ287" s="545">
        <f t="shared" si="510"/>
        <v>0</v>
      </c>
      <c r="EK287" s="545">
        <f t="shared" si="510"/>
        <v>0</v>
      </c>
      <c r="EL287" s="545">
        <f t="shared" si="510"/>
        <v>0</v>
      </c>
      <c r="EM287" s="545">
        <f t="shared" si="510"/>
        <v>0</v>
      </c>
      <c r="EN287" s="545">
        <f t="shared" si="510"/>
        <v>0</v>
      </c>
      <c r="EO287" s="545">
        <f t="shared" si="510"/>
        <v>40</v>
      </c>
      <c r="EP287" s="545">
        <f t="shared" si="510"/>
        <v>0</v>
      </c>
      <c r="EQ287" s="545">
        <f t="shared" si="510"/>
        <v>60</v>
      </c>
      <c r="ER287" s="545">
        <f t="shared" si="510"/>
        <v>0</v>
      </c>
      <c r="ES287" s="545">
        <f t="shared" si="510"/>
        <v>0</v>
      </c>
      <c r="ET287" s="545">
        <f t="shared" si="510"/>
        <v>0</v>
      </c>
      <c r="EU287" s="545">
        <f t="shared" si="510"/>
        <v>0</v>
      </c>
      <c r="EV287" s="545">
        <f t="shared" si="510"/>
        <v>0</v>
      </c>
      <c r="EW287" s="545">
        <f t="shared" si="510"/>
        <v>0</v>
      </c>
      <c r="EX287" s="545">
        <f t="shared" si="510"/>
        <v>0</v>
      </c>
      <c r="EY287" s="545">
        <f t="shared" si="510"/>
        <v>0</v>
      </c>
      <c r="EZ287" s="545">
        <f t="shared" si="510"/>
        <v>0</v>
      </c>
      <c r="FA287" s="549">
        <f t="shared" si="510"/>
        <v>2284</v>
      </c>
      <c r="FB287" s="549">
        <f t="shared" si="510"/>
        <v>4252.4319999999998</v>
      </c>
      <c r="FC287" s="549">
        <f t="shared" si="510"/>
        <v>240.56</v>
      </c>
      <c r="FD287" s="550">
        <f t="shared" si="510"/>
        <v>285</v>
      </c>
      <c r="FE287" s="791" t="str">
        <f>IF(FB287&lt;инфо!$AN$73,FB287-инфо!$AN$73,"")</f>
        <v/>
      </c>
      <c r="FF287" s="157"/>
      <c r="FG287" s="157"/>
      <c r="FH287" s="157"/>
    </row>
    <row r="288" spans="2:164" ht="26.1" customHeight="1" outlineLevel="1" thickBot="1" x14ac:dyDescent="0.3">
      <c r="B288" s="1017" t="s">
        <v>124</v>
      </c>
      <c r="C288" s="1019">
        <f>C243+1</f>
        <v>45133</v>
      </c>
      <c r="D288" s="1036" t="s">
        <v>111</v>
      </c>
      <c r="E288" s="1039" t="s">
        <v>114</v>
      </c>
      <c r="F288" s="831" t="s">
        <v>111</v>
      </c>
      <c r="G288" s="798" t="str">
        <f>VLOOKUP(H288,инфо!AD:AE,2,FALSE)</f>
        <v>Прочее</v>
      </c>
      <c r="H288" s="569" t="s">
        <v>1206</v>
      </c>
      <c r="I288" s="609" t="s">
        <v>936</v>
      </c>
      <c r="J288" s="355"/>
      <c r="K288" s="356"/>
      <c r="L288" s="356"/>
      <c r="M288" s="356"/>
      <c r="N288" s="356"/>
      <c r="O288" s="356"/>
      <c r="P288" s="356"/>
      <c r="Q288" s="356"/>
      <c r="R288" s="356"/>
      <c r="S288" s="356"/>
      <c r="T288" s="356"/>
      <c r="U288" s="356"/>
      <c r="V288" s="356"/>
      <c r="W288" s="357"/>
      <c r="X288" s="357"/>
      <c r="Y288" s="357"/>
      <c r="Z288" s="357"/>
      <c r="AA288" s="357"/>
      <c r="AB288" s="357"/>
      <c r="AC288" s="357"/>
      <c r="AD288" s="357"/>
      <c r="AE288" s="357"/>
      <c r="AF288" s="357"/>
      <c r="AG288" s="357"/>
      <c r="AH288" s="357"/>
      <c r="AI288" s="357"/>
      <c r="AJ288" s="357"/>
      <c r="AK288" s="357"/>
      <c r="AL288" s="357"/>
      <c r="AM288" s="357"/>
      <c r="AN288" s="357"/>
      <c r="AO288" s="357"/>
      <c r="AP288" s="357"/>
      <c r="AQ288" s="357"/>
      <c r="AR288" s="357"/>
      <c r="AS288" s="357"/>
      <c r="AT288" s="357"/>
      <c r="AU288" s="357"/>
      <c r="AV288" s="357"/>
      <c r="AW288" s="357"/>
      <c r="AX288" s="357"/>
      <c r="AY288" s="357"/>
      <c r="AZ288" s="357"/>
      <c r="BA288" s="357"/>
      <c r="BB288" s="357"/>
      <c r="BC288" s="357"/>
      <c r="BD288" s="357"/>
      <c r="BE288" s="358"/>
      <c r="BF288" s="358"/>
      <c r="BG288" s="358"/>
      <c r="BH288" s="358"/>
      <c r="BI288" s="358"/>
      <c r="BJ288" s="358"/>
      <c r="BK288" s="358"/>
      <c r="BL288" s="358"/>
      <c r="BM288" s="358"/>
      <c r="BN288" s="359"/>
      <c r="BO288" s="359"/>
      <c r="BP288" s="359"/>
      <c r="BQ288" s="359"/>
      <c r="BR288" s="359"/>
      <c r="BS288" s="359"/>
      <c r="BT288" s="359"/>
      <c r="BU288" s="359"/>
      <c r="BV288" s="356"/>
      <c r="BW288" s="356"/>
      <c r="BX288" s="356"/>
      <c r="BY288" s="356"/>
      <c r="BZ288" s="356"/>
      <c r="CA288" s="356"/>
      <c r="CB288" s="356"/>
      <c r="CC288" s="360"/>
      <c r="CD288" s="360"/>
      <c r="CE288" s="360"/>
      <c r="CF288" s="360">
        <v>80</v>
      </c>
      <c r="CG288" s="360"/>
      <c r="CH288" s="360"/>
      <c r="CI288" s="360"/>
      <c r="CJ288" s="360"/>
      <c r="CK288" s="360"/>
      <c r="CL288" s="360"/>
      <c r="CM288" s="360"/>
      <c r="CN288" s="360"/>
      <c r="CO288" s="360"/>
      <c r="CP288" s="360"/>
      <c r="CQ288" s="360"/>
      <c r="CR288" s="360"/>
      <c r="CS288" s="361"/>
      <c r="CT288" s="361"/>
      <c r="CU288" s="361"/>
      <c r="CV288" s="361"/>
      <c r="CW288" s="361"/>
      <c r="CX288" s="361"/>
      <c r="CY288" s="361"/>
      <c r="CZ288" s="361"/>
      <c r="DA288" s="361"/>
      <c r="DB288" s="361"/>
      <c r="DC288" s="361"/>
      <c r="DD288" s="361"/>
      <c r="DE288" s="361"/>
      <c r="DF288" s="361"/>
      <c r="DG288" s="361"/>
      <c r="DH288" s="361"/>
      <c r="DI288" s="361"/>
      <c r="DJ288" s="361"/>
      <c r="DK288" s="361"/>
      <c r="DL288" s="361"/>
      <c r="DM288" s="361"/>
      <c r="DN288" s="931"/>
      <c r="DO288" s="362"/>
      <c r="DP288" s="362"/>
      <c r="DQ288" s="363"/>
      <c r="DR288" s="363"/>
      <c r="DS288" s="358"/>
      <c r="DT288" s="358"/>
      <c r="DU288" s="358"/>
      <c r="DV288" s="358"/>
      <c r="DW288" s="358"/>
      <c r="DX288" s="358"/>
      <c r="DY288" s="358"/>
      <c r="DZ288" s="358"/>
      <c r="EA288" s="358"/>
      <c r="EB288" s="358"/>
      <c r="EC288" s="358"/>
      <c r="ED288" s="358"/>
      <c r="EE288" s="358"/>
      <c r="EF288" s="358"/>
      <c r="EG288" s="358"/>
      <c r="EH288" s="358"/>
      <c r="EI288" s="358"/>
      <c r="EJ288" s="358"/>
      <c r="EK288" s="358"/>
      <c r="EL288" s="358"/>
      <c r="EM288" s="358"/>
      <c r="EN288" s="358"/>
      <c r="EO288" s="358"/>
      <c r="EP288" s="358"/>
      <c r="EQ288" s="358"/>
      <c r="ER288" s="358"/>
      <c r="ES288" s="358"/>
      <c r="ET288" s="358"/>
      <c r="EU288" s="358"/>
      <c r="EV288" s="358"/>
      <c r="EW288" s="358"/>
      <c r="EX288" s="358"/>
      <c r="EY288" s="358"/>
      <c r="EZ288" s="358"/>
      <c r="FA288" s="364"/>
      <c r="FB288" s="365">
        <v>78</v>
      </c>
      <c r="FC288" s="366">
        <v>78</v>
      </c>
      <c r="FD288" s="367">
        <f>SUM(BE288:BG288,BI288,BL288:BM288)+SUM(BH288,BJ288,BK288)*5</f>
        <v>0</v>
      </c>
      <c r="FE288" s="789"/>
    </row>
    <row r="289" spans="2:164" ht="26.1" customHeight="1" outlineLevel="1" thickBot="1" x14ac:dyDescent="0.3">
      <c r="B289" s="1018"/>
      <c r="C289" s="1020"/>
      <c r="D289" s="1036"/>
      <c r="E289" s="1039"/>
      <c r="F289" s="832" t="s">
        <v>111</v>
      </c>
      <c r="G289" s="799" t="str">
        <f>VLOOKUP(H289,инфо!AD:AE,2,FALSE)</f>
        <v>Гарниры</v>
      </c>
      <c r="H289" s="570" t="s">
        <v>1198</v>
      </c>
      <c r="I289" s="600" t="s">
        <v>1006</v>
      </c>
      <c r="J289" s="368"/>
      <c r="K289" s="369"/>
      <c r="L289" s="369"/>
      <c r="M289" s="369">
        <v>83</v>
      </c>
      <c r="N289" s="369"/>
      <c r="O289" s="369"/>
      <c r="P289" s="369"/>
      <c r="Q289" s="369"/>
      <c r="R289" s="369"/>
      <c r="S289" s="369"/>
      <c r="T289" s="369"/>
      <c r="U289" s="369"/>
      <c r="V289" s="369"/>
      <c r="W289" s="370"/>
      <c r="X289" s="370"/>
      <c r="Y289" s="370"/>
      <c r="Z289" s="370"/>
      <c r="AA289" s="370"/>
      <c r="AB289" s="370"/>
      <c r="AC289" s="370"/>
      <c r="AD289" s="370"/>
      <c r="AE289" s="370"/>
      <c r="AF289" s="370"/>
      <c r="AG289" s="370"/>
      <c r="AH289" s="370"/>
      <c r="AI289" s="370"/>
      <c r="AJ289" s="370"/>
      <c r="AK289" s="370"/>
      <c r="AL289" s="370"/>
      <c r="AM289" s="370"/>
      <c r="AN289" s="370"/>
      <c r="AO289" s="370"/>
      <c r="AP289" s="370"/>
      <c r="AQ289" s="370"/>
      <c r="AR289" s="370"/>
      <c r="AS289" s="370"/>
      <c r="AT289" s="370"/>
      <c r="AU289" s="370"/>
      <c r="AV289" s="370"/>
      <c r="AW289" s="370"/>
      <c r="AX289" s="370"/>
      <c r="AY289" s="370"/>
      <c r="AZ289" s="370"/>
      <c r="BA289" s="370"/>
      <c r="BB289" s="370"/>
      <c r="BC289" s="370"/>
      <c r="BD289" s="370"/>
      <c r="BE289" s="371"/>
      <c r="BF289" s="371"/>
      <c r="BG289" s="371"/>
      <c r="BH289" s="371"/>
      <c r="BI289" s="371"/>
      <c r="BJ289" s="371"/>
      <c r="BK289" s="371"/>
      <c r="BL289" s="371"/>
      <c r="BM289" s="371"/>
      <c r="BN289" s="372"/>
      <c r="BO289" s="372"/>
      <c r="BP289" s="372"/>
      <c r="BQ289" s="372"/>
      <c r="BR289" s="372"/>
      <c r="BS289" s="372"/>
      <c r="BT289" s="372"/>
      <c r="BU289" s="372"/>
      <c r="BV289" s="369"/>
      <c r="BW289" s="369"/>
      <c r="BX289" s="369"/>
      <c r="BY289" s="369"/>
      <c r="BZ289" s="369"/>
      <c r="CA289" s="369"/>
      <c r="CB289" s="369"/>
      <c r="CC289" s="373"/>
      <c r="CD289" s="373"/>
      <c r="CE289" s="373"/>
      <c r="CF289" s="373"/>
      <c r="CG289" s="373"/>
      <c r="CH289" s="373"/>
      <c r="CI289" s="373"/>
      <c r="CJ289" s="373"/>
      <c r="CK289" s="373"/>
      <c r="CL289" s="373"/>
      <c r="CM289" s="373"/>
      <c r="CN289" s="373"/>
      <c r="CO289" s="373"/>
      <c r="CP289" s="373"/>
      <c r="CQ289" s="373"/>
      <c r="CR289" s="373"/>
      <c r="CS289" s="374"/>
      <c r="CT289" s="374"/>
      <c r="CU289" s="374"/>
      <c r="CV289" s="374"/>
      <c r="CW289" s="374"/>
      <c r="CX289" s="374"/>
      <c r="CY289" s="374"/>
      <c r="CZ289" s="374"/>
      <c r="DA289" s="374"/>
      <c r="DB289" s="374"/>
      <c r="DC289" s="374"/>
      <c r="DD289" s="374"/>
      <c r="DE289" s="374"/>
      <c r="DF289" s="374"/>
      <c r="DG289" s="374"/>
      <c r="DH289" s="374"/>
      <c r="DI289" s="374"/>
      <c r="DJ289" s="374"/>
      <c r="DK289" s="374"/>
      <c r="DL289" s="374"/>
      <c r="DM289" s="374"/>
      <c r="DN289" s="932"/>
      <c r="DO289" s="375"/>
      <c r="DP289" s="375">
        <v>3</v>
      </c>
      <c r="DQ289" s="376"/>
      <c r="DR289" s="376"/>
      <c r="DS289" s="371"/>
      <c r="DT289" s="371"/>
      <c r="DU289" s="371"/>
      <c r="DV289" s="371"/>
      <c r="DW289" s="371"/>
      <c r="DX289" s="371"/>
      <c r="DY289" s="371"/>
      <c r="DZ289" s="371"/>
      <c r="EA289" s="371">
        <v>265.60000000000002</v>
      </c>
      <c r="EB289" s="371"/>
      <c r="EC289" s="371"/>
      <c r="ED289" s="371"/>
      <c r="EE289" s="371"/>
      <c r="EF289" s="371"/>
      <c r="EG289" s="371"/>
      <c r="EH289" s="371"/>
      <c r="EI289" s="371"/>
      <c r="EJ289" s="371"/>
      <c r="EK289" s="371"/>
      <c r="EL289" s="371"/>
      <c r="EM289" s="371"/>
      <c r="EN289" s="371"/>
      <c r="EO289" s="371"/>
      <c r="EP289" s="371"/>
      <c r="EQ289" s="371"/>
      <c r="ER289" s="371"/>
      <c r="ES289" s="371"/>
      <c r="ET289" s="371"/>
      <c r="EU289" s="371"/>
      <c r="EV289" s="371"/>
      <c r="EW289" s="371"/>
      <c r="EX289" s="371"/>
      <c r="EY289" s="371"/>
      <c r="EZ289" s="371"/>
      <c r="FA289" s="377">
        <v>415</v>
      </c>
      <c r="FB289" s="378">
        <v>332</v>
      </c>
      <c r="FC289" s="378"/>
      <c r="FD289" s="379">
        <f t="shared" ref="FD289:FD297" si="511">SUM(BE289:BG289,BI289,BL289:BM289)+SUM(BH289,BJ289,BK289)*5</f>
        <v>0</v>
      </c>
      <c r="FE289" s="790"/>
    </row>
    <row r="290" spans="2:164" ht="26.1" customHeight="1" outlineLevel="1" thickBot="1" x14ac:dyDescent="0.3">
      <c r="B290" s="1018"/>
      <c r="C290" s="1020"/>
      <c r="D290" s="1036"/>
      <c r="E290" s="1040"/>
      <c r="F290" s="833" t="s">
        <v>111</v>
      </c>
      <c r="G290" s="800" t="str">
        <f>VLOOKUP(H290,инфо!AD:AE,2,FALSE)</f>
        <v>Прочее</v>
      </c>
      <c r="H290" s="571" t="s">
        <v>1197</v>
      </c>
      <c r="I290" s="607" t="s">
        <v>34</v>
      </c>
      <c r="J290" s="380"/>
      <c r="K290" s="381"/>
      <c r="L290" s="381"/>
      <c r="M290" s="381"/>
      <c r="N290" s="381"/>
      <c r="O290" s="381"/>
      <c r="P290" s="381"/>
      <c r="Q290" s="381"/>
      <c r="R290" s="381"/>
      <c r="S290" s="381"/>
      <c r="T290" s="381"/>
      <c r="U290" s="381"/>
      <c r="V290" s="381"/>
      <c r="W290" s="382"/>
      <c r="X290" s="382"/>
      <c r="Y290" s="382"/>
      <c r="Z290" s="382"/>
      <c r="AA290" s="382"/>
      <c r="AB290" s="382"/>
      <c r="AC290" s="382"/>
      <c r="AD290" s="382"/>
      <c r="AE290" s="382"/>
      <c r="AF290" s="382"/>
      <c r="AG290" s="382"/>
      <c r="AH290" s="382"/>
      <c r="AI290" s="382"/>
      <c r="AJ290" s="382"/>
      <c r="AK290" s="382"/>
      <c r="AL290" s="382"/>
      <c r="AM290" s="382"/>
      <c r="AN290" s="382"/>
      <c r="AO290" s="382"/>
      <c r="AP290" s="382"/>
      <c r="AQ290" s="382"/>
      <c r="AR290" s="382"/>
      <c r="AS290" s="382"/>
      <c r="AT290" s="382"/>
      <c r="AU290" s="382"/>
      <c r="AV290" s="382"/>
      <c r="AW290" s="382"/>
      <c r="AX290" s="382"/>
      <c r="AY290" s="382"/>
      <c r="AZ290" s="382"/>
      <c r="BA290" s="382"/>
      <c r="BB290" s="382"/>
      <c r="BC290" s="382"/>
      <c r="BD290" s="382"/>
      <c r="BE290" s="383">
        <v>200</v>
      </c>
      <c r="BF290" s="383"/>
      <c r="BG290" s="383"/>
      <c r="BH290" s="383"/>
      <c r="BI290" s="383"/>
      <c r="BJ290" s="383"/>
      <c r="BK290" s="383"/>
      <c r="BL290" s="383"/>
      <c r="BM290" s="383"/>
      <c r="BN290" s="384"/>
      <c r="BO290" s="384"/>
      <c r="BP290" s="384"/>
      <c r="BQ290" s="384"/>
      <c r="BR290" s="384"/>
      <c r="BS290" s="384"/>
      <c r="BT290" s="384"/>
      <c r="BU290" s="384"/>
      <c r="BV290" s="381"/>
      <c r="BW290" s="381"/>
      <c r="BX290" s="381"/>
      <c r="BY290" s="381"/>
      <c r="BZ290" s="381"/>
      <c r="CA290" s="381"/>
      <c r="CB290" s="381"/>
      <c r="CC290" s="385"/>
      <c r="CD290" s="385"/>
      <c r="CE290" s="385"/>
      <c r="CF290" s="385"/>
      <c r="CG290" s="385"/>
      <c r="CH290" s="385"/>
      <c r="CI290" s="385"/>
      <c r="CJ290" s="385"/>
      <c r="CK290" s="385"/>
      <c r="CL290" s="385"/>
      <c r="CM290" s="385"/>
      <c r="CN290" s="385"/>
      <c r="CO290" s="385"/>
      <c r="CP290" s="385"/>
      <c r="CQ290" s="385"/>
      <c r="CR290" s="385"/>
      <c r="CS290" s="386"/>
      <c r="CT290" s="386"/>
      <c r="CU290" s="386"/>
      <c r="CV290" s="386"/>
      <c r="CW290" s="386"/>
      <c r="CX290" s="386"/>
      <c r="CY290" s="386"/>
      <c r="CZ290" s="386"/>
      <c r="DA290" s="386"/>
      <c r="DB290" s="386"/>
      <c r="DC290" s="386"/>
      <c r="DD290" s="386"/>
      <c r="DE290" s="386"/>
      <c r="DF290" s="386"/>
      <c r="DG290" s="386"/>
      <c r="DH290" s="386"/>
      <c r="DI290" s="386"/>
      <c r="DJ290" s="386"/>
      <c r="DK290" s="386"/>
      <c r="DL290" s="386"/>
      <c r="DM290" s="386"/>
      <c r="DN290" s="933"/>
      <c r="DO290" s="387"/>
      <c r="DP290" s="387"/>
      <c r="DQ290" s="388"/>
      <c r="DR290" s="388"/>
      <c r="DS290" s="383"/>
      <c r="DT290" s="383"/>
      <c r="DU290" s="383"/>
      <c r="DV290" s="383"/>
      <c r="DW290" s="383"/>
      <c r="DX290" s="383"/>
      <c r="DY290" s="383"/>
      <c r="DZ290" s="383"/>
      <c r="EA290" s="383"/>
      <c r="EB290" s="383"/>
      <c r="EC290" s="383"/>
      <c r="ED290" s="383"/>
      <c r="EE290" s="383"/>
      <c r="EF290" s="383"/>
      <c r="EG290" s="383"/>
      <c r="EH290" s="383"/>
      <c r="EI290" s="383"/>
      <c r="EJ290" s="383"/>
      <c r="EK290" s="383"/>
      <c r="EL290" s="383"/>
      <c r="EM290" s="383"/>
      <c r="EN290" s="383"/>
      <c r="EO290" s="383"/>
      <c r="EP290" s="383"/>
      <c r="EQ290" s="383"/>
      <c r="ER290" s="383"/>
      <c r="ES290" s="383"/>
      <c r="ET290" s="383"/>
      <c r="EU290" s="383"/>
      <c r="EV290" s="383"/>
      <c r="EW290" s="383"/>
      <c r="EX290" s="383"/>
      <c r="EY290" s="383"/>
      <c r="EZ290" s="383"/>
      <c r="FA290" s="389"/>
      <c r="FB290" s="390">
        <v>200</v>
      </c>
      <c r="FC290" s="390"/>
      <c r="FD290" s="391">
        <f t="shared" si="511"/>
        <v>200</v>
      </c>
      <c r="FE290" s="790"/>
    </row>
    <row r="291" spans="2:164" ht="26.1" customHeight="1" outlineLevel="1" thickBot="1" x14ac:dyDescent="0.3">
      <c r="B291" s="1018"/>
      <c r="C291" s="1020"/>
      <c r="D291" s="1036"/>
      <c r="E291" s="1039" t="s">
        <v>115</v>
      </c>
      <c r="F291" s="831" t="s">
        <v>111</v>
      </c>
      <c r="G291" s="798" t="str">
        <f>VLOOKUP(H291,инфо!AD:AE,2,FALSE)</f>
        <v>Прочее</v>
      </c>
      <c r="H291" s="569" t="s">
        <v>1197</v>
      </c>
      <c r="I291" s="609" t="s">
        <v>64</v>
      </c>
      <c r="J291" s="355"/>
      <c r="K291" s="356"/>
      <c r="L291" s="356"/>
      <c r="M291" s="356"/>
      <c r="N291" s="356"/>
      <c r="O291" s="356"/>
      <c r="P291" s="356"/>
      <c r="Q291" s="356"/>
      <c r="R291" s="356"/>
      <c r="S291" s="356"/>
      <c r="T291" s="356"/>
      <c r="U291" s="356"/>
      <c r="V291" s="356"/>
      <c r="W291" s="357"/>
      <c r="X291" s="357"/>
      <c r="Y291" s="357"/>
      <c r="Z291" s="357"/>
      <c r="AA291" s="357"/>
      <c r="AB291" s="357"/>
      <c r="AC291" s="357"/>
      <c r="AD291" s="357"/>
      <c r="AE291" s="357"/>
      <c r="AF291" s="357"/>
      <c r="AG291" s="357"/>
      <c r="AH291" s="357"/>
      <c r="AI291" s="357"/>
      <c r="AJ291" s="357"/>
      <c r="AK291" s="357"/>
      <c r="AL291" s="357"/>
      <c r="AM291" s="357"/>
      <c r="AN291" s="357"/>
      <c r="AO291" s="357"/>
      <c r="AP291" s="357"/>
      <c r="AQ291" s="357"/>
      <c r="AR291" s="357"/>
      <c r="AS291" s="357"/>
      <c r="AT291" s="357"/>
      <c r="AU291" s="357"/>
      <c r="AV291" s="357"/>
      <c r="AW291" s="357"/>
      <c r="AX291" s="357"/>
      <c r="AY291" s="357"/>
      <c r="AZ291" s="357"/>
      <c r="BA291" s="357"/>
      <c r="BB291" s="357"/>
      <c r="BC291" s="357"/>
      <c r="BD291" s="357"/>
      <c r="BE291" s="358"/>
      <c r="BF291" s="358"/>
      <c r="BG291" s="358"/>
      <c r="BH291" s="358"/>
      <c r="BI291" s="358"/>
      <c r="BJ291" s="358"/>
      <c r="BK291" s="358"/>
      <c r="BL291" s="358"/>
      <c r="BM291" s="358"/>
      <c r="BN291" s="359"/>
      <c r="BO291" s="359"/>
      <c r="BP291" s="359"/>
      <c r="BQ291" s="359"/>
      <c r="BR291" s="359"/>
      <c r="BS291" s="359"/>
      <c r="BT291" s="359"/>
      <c r="BU291" s="359"/>
      <c r="BV291" s="356"/>
      <c r="BW291" s="356"/>
      <c r="BX291" s="356"/>
      <c r="BY291" s="356"/>
      <c r="BZ291" s="356"/>
      <c r="CA291" s="356"/>
      <c r="CB291" s="356"/>
      <c r="CC291" s="360"/>
      <c r="CD291" s="360">
        <v>25</v>
      </c>
      <c r="CE291" s="360"/>
      <c r="CF291" s="360"/>
      <c r="CG291" s="360"/>
      <c r="CH291" s="360"/>
      <c r="CI291" s="360"/>
      <c r="CJ291" s="360"/>
      <c r="CK291" s="360"/>
      <c r="CL291" s="360"/>
      <c r="CM291" s="360"/>
      <c r="CN291" s="360"/>
      <c r="CO291" s="360"/>
      <c r="CP291" s="360"/>
      <c r="CQ291" s="360"/>
      <c r="CR291" s="360"/>
      <c r="CS291" s="361"/>
      <c r="CT291" s="361"/>
      <c r="CU291" s="361"/>
      <c r="CV291" s="361"/>
      <c r="CW291" s="361"/>
      <c r="CX291" s="361"/>
      <c r="CY291" s="361"/>
      <c r="CZ291" s="361"/>
      <c r="DA291" s="361"/>
      <c r="DB291" s="361"/>
      <c r="DC291" s="361"/>
      <c r="DD291" s="361"/>
      <c r="DE291" s="361"/>
      <c r="DF291" s="361"/>
      <c r="DG291" s="361"/>
      <c r="DH291" s="361"/>
      <c r="DI291" s="361"/>
      <c r="DJ291" s="361"/>
      <c r="DK291" s="361"/>
      <c r="DL291" s="361"/>
      <c r="DM291" s="361"/>
      <c r="DN291" s="931"/>
      <c r="DO291" s="362"/>
      <c r="DP291" s="362"/>
      <c r="DQ291" s="363"/>
      <c r="DR291" s="363"/>
      <c r="DS291" s="358"/>
      <c r="DT291" s="358"/>
      <c r="DU291" s="358"/>
      <c r="DV291" s="358"/>
      <c r="DW291" s="358"/>
      <c r="DX291" s="358"/>
      <c r="DY291" s="358"/>
      <c r="DZ291" s="358"/>
      <c r="EA291" s="358"/>
      <c r="EB291" s="358"/>
      <c r="EC291" s="358"/>
      <c r="ED291" s="358"/>
      <c r="EE291" s="358"/>
      <c r="EF291" s="358"/>
      <c r="EG291" s="358"/>
      <c r="EH291" s="358"/>
      <c r="EI291" s="358"/>
      <c r="EJ291" s="358"/>
      <c r="EK291" s="358"/>
      <c r="EL291" s="358"/>
      <c r="EM291" s="358"/>
      <c r="EN291" s="358"/>
      <c r="EO291" s="358"/>
      <c r="EP291" s="358"/>
      <c r="EQ291" s="358"/>
      <c r="ER291" s="358"/>
      <c r="ES291" s="358"/>
      <c r="ET291" s="358"/>
      <c r="EU291" s="358"/>
      <c r="EV291" s="358"/>
      <c r="EW291" s="358"/>
      <c r="EX291" s="358"/>
      <c r="EY291" s="358"/>
      <c r="EZ291" s="358"/>
      <c r="FA291" s="364"/>
      <c r="FB291" s="365">
        <v>25</v>
      </c>
      <c r="FC291" s="365"/>
      <c r="FD291" s="367">
        <f t="shared" si="511"/>
        <v>0</v>
      </c>
      <c r="FE291" s="790"/>
    </row>
    <row r="292" spans="2:164" ht="26.1" customHeight="1" outlineLevel="1" thickBot="1" x14ac:dyDescent="0.3">
      <c r="B292" s="1018"/>
      <c r="C292" s="1020"/>
      <c r="D292" s="1036"/>
      <c r="E292" s="1039"/>
      <c r="F292" s="832" t="s">
        <v>111</v>
      </c>
      <c r="G292" s="799" t="str">
        <f>VLOOKUP(H292,инфо!AD:AE,2,FALSE)</f>
        <v>Мясные (рыбные) блюда с соусом</v>
      </c>
      <c r="H292" s="572" t="s">
        <v>1208</v>
      </c>
      <c r="I292" s="589" t="s">
        <v>777</v>
      </c>
      <c r="J292" s="368"/>
      <c r="K292" s="369"/>
      <c r="L292" s="369"/>
      <c r="M292" s="369"/>
      <c r="N292" s="369"/>
      <c r="O292" s="369"/>
      <c r="P292" s="369"/>
      <c r="Q292" s="369"/>
      <c r="R292" s="369"/>
      <c r="S292" s="369"/>
      <c r="T292" s="369"/>
      <c r="U292" s="369"/>
      <c r="V292" s="369"/>
      <c r="W292" s="370"/>
      <c r="X292" s="370">
        <v>7</v>
      </c>
      <c r="Y292" s="370"/>
      <c r="Z292" s="370"/>
      <c r="AA292" s="370"/>
      <c r="AB292" s="370"/>
      <c r="AC292" s="370"/>
      <c r="AD292" s="370"/>
      <c r="AE292" s="370"/>
      <c r="AF292" s="370"/>
      <c r="AG292" s="370"/>
      <c r="AH292" s="370"/>
      <c r="AI292" s="370"/>
      <c r="AJ292" s="370"/>
      <c r="AK292" s="370"/>
      <c r="AL292" s="370"/>
      <c r="AM292" s="370"/>
      <c r="AN292" s="370"/>
      <c r="AO292" s="370"/>
      <c r="AP292" s="370"/>
      <c r="AQ292" s="370"/>
      <c r="AR292" s="370"/>
      <c r="AS292" s="370"/>
      <c r="AT292" s="370"/>
      <c r="AU292" s="370"/>
      <c r="AV292" s="370"/>
      <c r="AW292" s="370"/>
      <c r="AX292" s="370"/>
      <c r="AY292" s="370"/>
      <c r="AZ292" s="370"/>
      <c r="BA292" s="370"/>
      <c r="BB292" s="370"/>
      <c r="BC292" s="370"/>
      <c r="BD292" s="370"/>
      <c r="BE292" s="371"/>
      <c r="BF292" s="371"/>
      <c r="BG292" s="371"/>
      <c r="BH292" s="371"/>
      <c r="BI292" s="371"/>
      <c r="BJ292" s="371"/>
      <c r="BK292" s="371"/>
      <c r="BL292" s="371"/>
      <c r="BM292" s="371"/>
      <c r="BN292" s="372"/>
      <c r="BO292" s="372">
        <v>5</v>
      </c>
      <c r="BP292" s="372"/>
      <c r="BQ292" s="372"/>
      <c r="BR292" s="372"/>
      <c r="BS292" s="372"/>
      <c r="BT292" s="372"/>
      <c r="BU292" s="372"/>
      <c r="BV292" s="369"/>
      <c r="BW292" s="369"/>
      <c r="BX292" s="369"/>
      <c r="BY292" s="369"/>
      <c r="BZ292" s="369"/>
      <c r="CA292" s="369"/>
      <c r="CB292" s="369"/>
      <c r="CC292" s="373"/>
      <c r="CD292" s="373"/>
      <c r="CE292" s="373"/>
      <c r="CF292" s="373"/>
      <c r="CG292" s="373"/>
      <c r="CH292" s="373"/>
      <c r="CI292" s="373"/>
      <c r="CJ292" s="373"/>
      <c r="CK292" s="373"/>
      <c r="CL292" s="373"/>
      <c r="CM292" s="373"/>
      <c r="CN292" s="373"/>
      <c r="CO292" s="373"/>
      <c r="CP292" s="373"/>
      <c r="CQ292" s="373"/>
      <c r="CR292" s="373"/>
      <c r="CS292" s="374"/>
      <c r="CT292" s="374"/>
      <c r="CU292" s="374">
        <v>120</v>
      </c>
      <c r="CV292" s="374"/>
      <c r="CW292" s="374"/>
      <c r="CX292" s="374"/>
      <c r="CY292" s="374"/>
      <c r="CZ292" s="374"/>
      <c r="DA292" s="374"/>
      <c r="DB292" s="374"/>
      <c r="DC292" s="374"/>
      <c r="DD292" s="374"/>
      <c r="DE292" s="374"/>
      <c r="DF292" s="374"/>
      <c r="DG292" s="374"/>
      <c r="DH292" s="374"/>
      <c r="DI292" s="374"/>
      <c r="DJ292" s="374"/>
      <c r="DK292" s="374"/>
      <c r="DL292" s="374"/>
      <c r="DM292" s="374"/>
      <c r="DN292" s="932"/>
      <c r="DO292" s="375"/>
      <c r="DP292" s="375">
        <v>2</v>
      </c>
      <c r="DQ292" s="376"/>
      <c r="DR292" s="376">
        <v>0.01</v>
      </c>
      <c r="DS292" s="371"/>
      <c r="DT292" s="371"/>
      <c r="DU292" s="371"/>
      <c r="DV292" s="371"/>
      <c r="DW292" s="371"/>
      <c r="DX292" s="371"/>
      <c r="DY292" s="371"/>
      <c r="DZ292" s="371"/>
      <c r="EA292" s="371"/>
      <c r="EB292" s="371"/>
      <c r="EC292" s="371"/>
      <c r="ED292" s="371"/>
      <c r="EE292" s="371"/>
      <c r="EF292" s="371"/>
      <c r="EG292" s="371"/>
      <c r="EH292" s="371"/>
      <c r="EI292" s="371"/>
      <c r="EJ292" s="371"/>
      <c r="EK292" s="371"/>
      <c r="EL292" s="371"/>
      <c r="EM292" s="371"/>
      <c r="EN292" s="371"/>
      <c r="EO292" s="371"/>
      <c r="EP292" s="371"/>
      <c r="EQ292" s="371"/>
      <c r="ER292" s="371"/>
      <c r="ES292" s="371"/>
      <c r="ET292" s="371"/>
      <c r="EU292" s="371"/>
      <c r="EV292" s="371"/>
      <c r="EW292" s="371"/>
      <c r="EX292" s="371"/>
      <c r="EY292" s="371"/>
      <c r="EZ292" s="371"/>
      <c r="FA292" s="377"/>
      <c r="FB292" s="378">
        <v>70.751999999999995</v>
      </c>
      <c r="FC292" s="378">
        <v>70.751999999999995</v>
      </c>
      <c r="FD292" s="379">
        <f t="shared" si="511"/>
        <v>0</v>
      </c>
      <c r="FE292" s="790"/>
    </row>
    <row r="293" spans="2:164" ht="26.1" customHeight="1" outlineLevel="1" thickBot="1" x14ac:dyDescent="0.3">
      <c r="B293" s="1018"/>
      <c r="C293" s="1020"/>
      <c r="D293" s="1036"/>
      <c r="E293" s="1039"/>
      <c r="F293" s="834" t="s">
        <v>111</v>
      </c>
      <c r="G293" s="801" t="str">
        <f>VLOOKUP(H293,инфо!AD:AE,2,FALSE)</f>
        <v>Прочее</v>
      </c>
      <c r="H293" s="573" t="s">
        <v>1197</v>
      </c>
      <c r="I293" s="606" t="s">
        <v>141</v>
      </c>
      <c r="J293" s="392"/>
      <c r="K293" s="393"/>
      <c r="L293" s="393"/>
      <c r="M293" s="393"/>
      <c r="N293" s="393"/>
      <c r="O293" s="393"/>
      <c r="P293" s="393"/>
      <c r="Q293" s="393"/>
      <c r="R293" s="393"/>
      <c r="S293" s="393"/>
      <c r="T293" s="393"/>
      <c r="U293" s="393"/>
      <c r="V293" s="393"/>
      <c r="W293" s="394"/>
      <c r="X293" s="394"/>
      <c r="Y293" s="394"/>
      <c r="Z293" s="394"/>
      <c r="AA293" s="394"/>
      <c r="AB293" s="394"/>
      <c r="AC293" s="394"/>
      <c r="AD293" s="394"/>
      <c r="AE293" s="394"/>
      <c r="AF293" s="394"/>
      <c r="AG293" s="394"/>
      <c r="AH293" s="394"/>
      <c r="AI293" s="394"/>
      <c r="AJ293" s="394"/>
      <c r="AK293" s="394"/>
      <c r="AL293" s="394"/>
      <c r="AM293" s="394"/>
      <c r="AN293" s="394"/>
      <c r="AO293" s="394"/>
      <c r="AP293" s="394"/>
      <c r="AQ293" s="394"/>
      <c r="AR293" s="394"/>
      <c r="AS293" s="394"/>
      <c r="AT293" s="394"/>
      <c r="AU293" s="394">
        <v>20</v>
      </c>
      <c r="AV293" s="394"/>
      <c r="AW293" s="394"/>
      <c r="AX293" s="394"/>
      <c r="AY293" s="394"/>
      <c r="AZ293" s="394"/>
      <c r="BA293" s="394"/>
      <c r="BB293" s="394"/>
      <c r="BC293" s="394"/>
      <c r="BD293" s="394"/>
      <c r="BE293" s="395"/>
      <c r="BF293" s="395"/>
      <c r="BG293" s="395"/>
      <c r="BH293" s="395"/>
      <c r="BI293" s="395"/>
      <c r="BJ293" s="395"/>
      <c r="BK293" s="395"/>
      <c r="BL293" s="395"/>
      <c r="BM293" s="395"/>
      <c r="BN293" s="396"/>
      <c r="BO293" s="396"/>
      <c r="BP293" s="396"/>
      <c r="BQ293" s="396"/>
      <c r="BR293" s="396"/>
      <c r="BS293" s="396"/>
      <c r="BT293" s="396"/>
      <c r="BU293" s="396"/>
      <c r="BV293" s="393"/>
      <c r="BW293" s="393"/>
      <c r="BX293" s="393"/>
      <c r="BY293" s="393"/>
      <c r="BZ293" s="393"/>
      <c r="CA293" s="393"/>
      <c r="CB293" s="393"/>
      <c r="CC293" s="397"/>
      <c r="CD293" s="397"/>
      <c r="CE293" s="397"/>
      <c r="CF293" s="397"/>
      <c r="CG293" s="397"/>
      <c r="CH293" s="397"/>
      <c r="CI293" s="397"/>
      <c r="CJ293" s="397"/>
      <c r="CK293" s="397"/>
      <c r="CL293" s="397"/>
      <c r="CM293" s="397"/>
      <c r="CN293" s="397"/>
      <c r="CO293" s="397"/>
      <c r="CP293" s="397"/>
      <c r="CQ293" s="397"/>
      <c r="CR293" s="397"/>
      <c r="CS293" s="398"/>
      <c r="CT293" s="398"/>
      <c r="CU293" s="398"/>
      <c r="CV293" s="398"/>
      <c r="CW293" s="399"/>
      <c r="CX293" s="398"/>
      <c r="CY293" s="398"/>
      <c r="CZ293" s="398"/>
      <c r="DA293" s="398"/>
      <c r="DB293" s="398"/>
      <c r="DC293" s="398"/>
      <c r="DD293" s="398"/>
      <c r="DE293" s="398"/>
      <c r="DF293" s="398"/>
      <c r="DG293" s="398"/>
      <c r="DH293" s="398"/>
      <c r="DI293" s="398"/>
      <c r="DJ293" s="398"/>
      <c r="DK293" s="398"/>
      <c r="DL293" s="398"/>
      <c r="DM293" s="398"/>
      <c r="DN293" s="934"/>
      <c r="DO293" s="400"/>
      <c r="DP293" s="400"/>
      <c r="DQ293" s="401"/>
      <c r="DR293" s="401"/>
      <c r="DS293" s="395"/>
      <c r="DT293" s="395"/>
      <c r="DU293" s="395"/>
      <c r="DV293" s="395"/>
      <c r="DW293" s="395"/>
      <c r="DX293" s="395"/>
      <c r="DY293" s="395"/>
      <c r="DZ293" s="395"/>
      <c r="EA293" s="395"/>
      <c r="EB293" s="395"/>
      <c r="EC293" s="395"/>
      <c r="ED293" s="395"/>
      <c r="EE293" s="395"/>
      <c r="EF293" s="395"/>
      <c r="EG293" s="395"/>
      <c r="EH293" s="395"/>
      <c r="EI293" s="395"/>
      <c r="EJ293" s="395"/>
      <c r="EK293" s="395"/>
      <c r="EL293" s="395"/>
      <c r="EM293" s="395"/>
      <c r="EN293" s="395"/>
      <c r="EO293" s="395"/>
      <c r="EP293" s="395"/>
      <c r="EQ293" s="395"/>
      <c r="ER293" s="395"/>
      <c r="ES293" s="395"/>
      <c r="ET293" s="395"/>
      <c r="EU293" s="395"/>
      <c r="EV293" s="395"/>
      <c r="EW293" s="395"/>
      <c r="EX293" s="395"/>
      <c r="EY293" s="395"/>
      <c r="EZ293" s="395"/>
      <c r="FA293" s="402"/>
      <c r="FB293" s="403">
        <v>20</v>
      </c>
      <c r="FC293" s="403"/>
      <c r="FD293" s="404">
        <f t="shared" si="511"/>
        <v>0</v>
      </c>
      <c r="FE293" s="790"/>
    </row>
    <row r="294" spans="2:164" ht="26.1" customHeight="1" outlineLevel="1" thickBot="1" x14ac:dyDescent="0.3">
      <c r="B294" s="1018"/>
      <c r="C294" s="1020"/>
      <c r="D294" s="1036"/>
      <c r="E294" s="1041" t="s">
        <v>116</v>
      </c>
      <c r="F294" s="835" t="s">
        <v>111</v>
      </c>
      <c r="G294" s="802" t="str">
        <f>VLOOKUP(H294,инфо!AD:AE,2,FALSE)</f>
        <v>Напитки</v>
      </c>
      <c r="H294" s="574" t="s">
        <v>1195</v>
      </c>
      <c r="I294" s="588" t="s">
        <v>1160</v>
      </c>
      <c r="J294" s="405"/>
      <c r="K294" s="406"/>
      <c r="L294" s="406"/>
      <c r="M294" s="406"/>
      <c r="N294" s="406"/>
      <c r="O294" s="406"/>
      <c r="P294" s="406"/>
      <c r="Q294" s="406"/>
      <c r="R294" s="406"/>
      <c r="S294" s="406"/>
      <c r="T294" s="406"/>
      <c r="U294" s="406"/>
      <c r="V294" s="406"/>
      <c r="W294" s="407"/>
      <c r="X294" s="407"/>
      <c r="Y294" s="407"/>
      <c r="Z294" s="407"/>
      <c r="AA294" s="407"/>
      <c r="AB294" s="407"/>
      <c r="AC294" s="407"/>
      <c r="AD294" s="407"/>
      <c r="AE294" s="407"/>
      <c r="AF294" s="407"/>
      <c r="AG294" s="407"/>
      <c r="AH294" s="407"/>
      <c r="AI294" s="407"/>
      <c r="AJ294" s="407"/>
      <c r="AK294" s="407"/>
      <c r="AL294" s="407"/>
      <c r="AM294" s="407"/>
      <c r="AN294" s="407"/>
      <c r="AO294" s="407"/>
      <c r="AP294" s="407"/>
      <c r="AQ294" s="407"/>
      <c r="AR294" s="407"/>
      <c r="AS294" s="407"/>
      <c r="AT294" s="407"/>
      <c r="AU294" s="407"/>
      <c r="AV294" s="407"/>
      <c r="AW294" s="407"/>
      <c r="AX294" s="407"/>
      <c r="AY294" s="407"/>
      <c r="AZ294" s="407"/>
      <c r="BA294" s="407"/>
      <c r="BB294" s="407"/>
      <c r="BC294" s="407"/>
      <c r="BD294" s="407"/>
      <c r="BE294" s="408"/>
      <c r="BF294" s="408"/>
      <c r="BG294" s="408"/>
      <c r="BH294" s="408"/>
      <c r="BI294" s="408">
        <v>20</v>
      </c>
      <c r="BJ294" s="408"/>
      <c r="BK294" s="408"/>
      <c r="BL294" s="408"/>
      <c r="BM294" s="408"/>
      <c r="BN294" s="409"/>
      <c r="BO294" s="409"/>
      <c r="BP294" s="409"/>
      <c r="BQ294" s="409"/>
      <c r="BR294" s="409"/>
      <c r="BS294" s="409"/>
      <c r="BT294" s="409"/>
      <c r="BU294" s="409"/>
      <c r="BV294" s="406"/>
      <c r="BW294" s="406"/>
      <c r="BX294" s="406"/>
      <c r="BY294" s="406"/>
      <c r="BZ294" s="406"/>
      <c r="CA294" s="406"/>
      <c r="CB294" s="406"/>
      <c r="CC294" s="410"/>
      <c r="CD294" s="410"/>
      <c r="CE294" s="410"/>
      <c r="CF294" s="410"/>
      <c r="CG294" s="410"/>
      <c r="CH294" s="410"/>
      <c r="CI294" s="410"/>
      <c r="CJ294" s="410"/>
      <c r="CK294" s="410"/>
      <c r="CL294" s="410"/>
      <c r="CM294" s="410"/>
      <c r="CN294" s="410"/>
      <c r="CO294" s="410"/>
      <c r="CP294" s="410"/>
      <c r="CQ294" s="410"/>
      <c r="CR294" s="410"/>
      <c r="CS294" s="411"/>
      <c r="CT294" s="411"/>
      <c r="CU294" s="411"/>
      <c r="CV294" s="411"/>
      <c r="CW294" s="412"/>
      <c r="CX294" s="411"/>
      <c r="CY294" s="411"/>
      <c r="CZ294" s="411"/>
      <c r="DA294" s="411"/>
      <c r="DB294" s="411"/>
      <c r="DC294" s="411"/>
      <c r="DD294" s="411"/>
      <c r="DE294" s="411"/>
      <c r="DF294" s="411"/>
      <c r="DG294" s="411"/>
      <c r="DH294" s="411"/>
      <c r="DI294" s="411"/>
      <c r="DJ294" s="411"/>
      <c r="DK294" s="411"/>
      <c r="DL294" s="411"/>
      <c r="DM294" s="411"/>
      <c r="DN294" s="935"/>
      <c r="DO294" s="413"/>
      <c r="DP294" s="413"/>
      <c r="DQ294" s="414"/>
      <c r="DR294" s="414"/>
      <c r="DS294" s="408"/>
      <c r="DT294" s="408"/>
      <c r="DU294" s="408"/>
      <c r="DV294" s="408"/>
      <c r="DW294" s="408"/>
      <c r="DX294" s="408"/>
      <c r="DY294" s="408"/>
      <c r="DZ294" s="408"/>
      <c r="EA294" s="408">
        <v>250</v>
      </c>
      <c r="EB294" s="408"/>
      <c r="EC294" s="408"/>
      <c r="ED294" s="408"/>
      <c r="EE294" s="408"/>
      <c r="EF294" s="408">
        <v>1.5</v>
      </c>
      <c r="EG294" s="408"/>
      <c r="EH294" s="408"/>
      <c r="EI294" s="408"/>
      <c r="EJ294" s="408"/>
      <c r="EK294" s="408"/>
      <c r="EL294" s="408"/>
      <c r="EM294" s="408"/>
      <c r="EN294" s="408"/>
      <c r="EO294" s="408"/>
      <c r="EP294" s="408"/>
      <c r="EQ294" s="408"/>
      <c r="ER294" s="408"/>
      <c r="ES294" s="408"/>
      <c r="ET294" s="408"/>
      <c r="EU294" s="408"/>
      <c r="EV294" s="408"/>
      <c r="EW294" s="408"/>
      <c r="EX294" s="408"/>
      <c r="EY294" s="408"/>
      <c r="EZ294" s="408"/>
      <c r="FA294" s="415"/>
      <c r="FB294" s="416">
        <v>250</v>
      </c>
      <c r="FC294" s="416"/>
      <c r="FD294" s="417">
        <f t="shared" si="511"/>
        <v>20</v>
      </c>
      <c r="FE294" s="790"/>
    </row>
    <row r="295" spans="2:164" ht="26.1" customHeight="1" outlineLevel="1" thickBot="1" x14ac:dyDescent="0.3">
      <c r="B295" s="1018"/>
      <c r="C295" s="1020"/>
      <c r="D295" s="1036"/>
      <c r="E295" s="1039"/>
      <c r="F295" s="832" t="s">
        <v>111</v>
      </c>
      <c r="G295" s="799" t="str">
        <f>VLOOKUP(H295,инфо!AD:AE,2,FALSE)</f>
        <v>Прочее</v>
      </c>
      <c r="H295" s="572" t="s">
        <v>1197</v>
      </c>
      <c r="I295" s="589" t="s">
        <v>53</v>
      </c>
      <c r="J295" s="368"/>
      <c r="K295" s="369"/>
      <c r="L295" s="369"/>
      <c r="M295" s="369"/>
      <c r="N295" s="369"/>
      <c r="O295" s="369"/>
      <c r="P295" s="369"/>
      <c r="Q295" s="369"/>
      <c r="R295" s="369"/>
      <c r="S295" s="369"/>
      <c r="T295" s="369"/>
      <c r="U295" s="369"/>
      <c r="V295" s="369"/>
      <c r="W295" s="370"/>
      <c r="X295" s="370"/>
      <c r="Y295" s="370"/>
      <c r="Z295" s="370"/>
      <c r="AA295" s="370"/>
      <c r="AB295" s="370"/>
      <c r="AC295" s="370"/>
      <c r="AD295" s="370"/>
      <c r="AE295" s="370"/>
      <c r="AF295" s="370"/>
      <c r="AG295" s="370"/>
      <c r="AH295" s="370"/>
      <c r="AI295" s="370"/>
      <c r="AJ295" s="370"/>
      <c r="AK295" s="370"/>
      <c r="AL295" s="370"/>
      <c r="AM295" s="370"/>
      <c r="AN295" s="370"/>
      <c r="AO295" s="370"/>
      <c r="AP295" s="370"/>
      <c r="AQ295" s="370"/>
      <c r="AR295" s="370"/>
      <c r="AS295" s="370"/>
      <c r="AT295" s="370"/>
      <c r="AU295" s="370"/>
      <c r="AV295" s="370"/>
      <c r="AW295" s="370"/>
      <c r="AX295" s="370"/>
      <c r="AY295" s="370"/>
      <c r="AZ295" s="370"/>
      <c r="BA295" s="370"/>
      <c r="BB295" s="370"/>
      <c r="BC295" s="370"/>
      <c r="BD295" s="370"/>
      <c r="BE295" s="371"/>
      <c r="BF295" s="371"/>
      <c r="BG295" s="371"/>
      <c r="BH295" s="371"/>
      <c r="BI295" s="371"/>
      <c r="BJ295" s="371"/>
      <c r="BK295" s="371"/>
      <c r="BL295" s="371"/>
      <c r="BM295" s="371"/>
      <c r="BN295" s="372"/>
      <c r="BO295" s="372"/>
      <c r="BP295" s="372"/>
      <c r="BQ295" s="372"/>
      <c r="BR295" s="372"/>
      <c r="BS295" s="372"/>
      <c r="BT295" s="372"/>
      <c r="BU295" s="372"/>
      <c r="BV295" s="369"/>
      <c r="BW295" s="369"/>
      <c r="BX295" s="369"/>
      <c r="BY295" s="369"/>
      <c r="BZ295" s="369"/>
      <c r="CA295" s="369"/>
      <c r="CB295" s="369"/>
      <c r="CC295" s="373"/>
      <c r="CD295" s="373"/>
      <c r="CE295" s="373"/>
      <c r="CF295" s="373"/>
      <c r="CG295" s="373"/>
      <c r="CH295" s="373"/>
      <c r="CI295" s="373"/>
      <c r="CJ295" s="373"/>
      <c r="CK295" s="373"/>
      <c r="CL295" s="373"/>
      <c r="CM295" s="373"/>
      <c r="CN295" s="373"/>
      <c r="CO295" s="373"/>
      <c r="CP295" s="373"/>
      <c r="CQ295" s="373"/>
      <c r="CR295" s="373"/>
      <c r="CS295" s="374"/>
      <c r="CT295" s="374"/>
      <c r="CU295" s="374"/>
      <c r="CV295" s="374"/>
      <c r="CW295" s="418"/>
      <c r="CX295" s="374"/>
      <c r="CY295" s="374"/>
      <c r="CZ295" s="374"/>
      <c r="DA295" s="374"/>
      <c r="DB295" s="374"/>
      <c r="DC295" s="374"/>
      <c r="DD295" s="374"/>
      <c r="DE295" s="374"/>
      <c r="DF295" s="374"/>
      <c r="DG295" s="374"/>
      <c r="DH295" s="374"/>
      <c r="DI295" s="374"/>
      <c r="DJ295" s="374"/>
      <c r="DK295" s="374"/>
      <c r="DL295" s="374"/>
      <c r="DM295" s="374"/>
      <c r="DN295" s="932"/>
      <c r="DO295" s="375">
        <v>25</v>
      </c>
      <c r="DP295" s="375"/>
      <c r="DQ295" s="376"/>
      <c r="DR295" s="376"/>
      <c r="DS295" s="371"/>
      <c r="DT295" s="371"/>
      <c r="DU295" s="371"/>
      <c r="DV295" s="371"/>
      <c r="DW295" s="371"/>
      <c r="DX295" s="371"/>
      <c r="DY295" s="371"/>
      <c r="DZ295" s="371"/>
      <c r="EA295" s="371"/>
      <c r="EB295" s="371"/>
      <c r="EC295" s="371"/>
      <c r="ED295" s="371"/>
      <c r="EE295" s="371"/>
      <c r="EF295" s="371"/>
      <c r="EG295" s="371"/>
      <c r="EH295" s="371"/>
      <c r="EI295" s="371"/>
      <c r="EJ295" s="371"/>
      <c r="EK295" s="371"/>
      <c r="EL295" s="371"/>
      <c r="EM295" s="371"/>
      <c r="EN295" s="371"/>
      <c r="EO295" s="371"/>
      <c r="EP295" s="371"/>
      <c r="EQ295" s="371"/>
      <c r="ER295" s="371"/>
      <c r="ES295" s="371"/>
      <c r="ET295" s="371"/>
      <c r="EU295" s="371"/>
      <c r="EV295" s="371"/>
      <c r="EW295" s="371"/>
      <c r="EX295" s="371"/>
      <c r="EY295" s="371"/>
      <c r="EZ295" s="371"/>
      <c r="FA295" s="377"/>
      <c r="FB295" s="378">
        <v>25</v>
      </c>
      <c r="FC295" s="378"/>
      <c r="FD295" s="379">
        <f t="shared" si="511"/>
        <v>0</v>
      </c>
      <c r="FE295" s="790"/>
    </row>
    <row r="296" spans="2:164" ht="26.1" customHeight="1" outlineLevel="1" thickBot="1" x14ac:dyDescent="0.3">
      <c r="B296" s="1018"/>
      <c r="C296" s="1020"/>
      <c r="D296" s="1036"/>
      <c r="E296" s="1039"/>
      <c r="F296" s="832" t="s">
        <v>111</v>
      </c>
      <c r="G296" s="799" t="str">
        <f>VLOOKUP(H296,инфо!AD:AE,2,FALSE)</f>
        <v>Прочее</v>
      </c>
      <c r="H296" s="575" t="s">
        <v>1197</v>
      </c>
      <c r="I296" s="590" t="s">
        <v>50</v>
      </c>
      <c r="J296" s="368"/>
      <c r="K296" s="369"/>
      <c r="L296" s="369"/>
      <c r="M296" s="369"/>
      <c r="N296" s="369"/>
      <c r="O296" s="369"/>
      <c r="P296" s="369"/>
      <c r="Q296" s="369"/>
      <c r="R296" s="369"/>
      <c r="S296" s="369"/>
      <c r="T296" s="369"/>
      <c r="U296" s="369"/>
      <c r="V296" s="369"/>
      <c r="W296" s="370"/>
      <c r="X296" s="370"/>
      <c r="Y296" s="370"/>
      <c r="Z296" s="370">
        <v>50</v>
      </c>
      <c r="AA296" s="370">
        <v>100</v>
      </c>
      <c r="AB296" s="370"/>
      <c r="AC296" s="370"/>
      <c r="AD296" s="370"/>
      <c r="AE296" s="370"/>
      <c r="AF296" s="370"/>
      <c r="AG296" s="370"/>
      <c r="AH296" s="370"/>
      <c r="AI296" s="370"/>
      <c r="AJ296" s="370"/>
      <c r="AK296" s="370"/>
      <c r="AL296" s="370"/>
      <c r="AM296" s="370"/>
      <c r="AN296" s="370"/>
      <c r="AO296" s="370"/>
      <c r="AP296" s="370"/>
      <c r="AQ296" s="370"/>
      <c r="AR296" s="370"/>
      <c r="AS296" s="370"/>
      <c r="AT296" s="370"/>
      <c r="AU296" s="370"/>
      <c r="AV296" s="370"/>
      <c r="AW296" s="370"/>
      <c r="AX296" s="370"/>
      <c r="AY296" s="370"/>
      <c r="AZ296" s="370"/>
      <c r="BA296" s="370"/>
      <c r="BB296" s="370"/>
      <c r="BC296" s="370"/>
      <c r="BD296" s="370"/>
      <c r="BE296" s="371"/>
      <c r="BF296" s="371"/>
      <c r="BG296" s="371"/>
      <c r="BH296" s="371"/>
      <c r="BI296" s="371"/>
      <c r="BJ296" s="371"/>
      <c r="BK296" s="371"/>
      <c r="BL296" s="371"/>
      <c r="BM296" s="371"/>
      <c r="BN296" s="372"/>
      <c r="BO296" s="372"/>
      <c r="BP296" s="372"/>
      <c r="BQ296" s="372"/>
      <c r="BR296" s="372"/>
      <c r="BS296" s="372"/>
      <c r="BT296" s="372"/>
      <c r="BU296" s="372"/>
      <c r="BV296" s="369"/>
      <c r="BW296" s="369"/>
      <c r="BX296" s="369"/>
      <c r="BY296" s="369"/>
      <c r="BZ296" s="369"/>
      <c r="CA296" s="369"/>
      <c r="CB296" s="369"/>
      <c r="CC296" s="373"/>
      <c r="CD296" s="373"/>
      <c r="CE296" s="373"/>
      <c r="CF296" s="373"/>
      <c r="CG296" s="373"/>
      <c r="CH296" s="373"/>
      <c r="CI296" s="373"/>
      <c r="CJ296" s="373"/>
      <c r="CK296" s="373"/>
      <c r="CL296" s="373"/>
      <c r="CM296" s="373"/>
      <c r="CN296" s="373"/>
      <c r="CO296" s="373"/>
      <c r="CP296" s="373"/>
      <c r="CQ296" s="373"/>
      <c r="CR296" s="373"/>
      <c r="CS296" s="374"/>
      <c r="CT296" s="374"/>
      <c r="CU296" s="374"/>
      <c r="CV296" s="374"/>
      <c r="CW296" s="418"/>
      <c r="CX296" s="374"/>
      <c r="CY296" s="374"/>
      <c r="CZ296" s="374"/>
      <c r="DA296" s="374"/>
      <c r="DB296" s="374"/>
      <c r="DC296" s="374"/>
      <c r="DD296" s="374"/>
      <c r="DE296" s="374"/>
      <c r="DF296" s="374"/>
      <c r="DG296" s="374"/>
      <c r="DH296" s="374"/>
      <c r="DI296" s="374"/>
      <c r="DJ296" s="374"/>
      <c r="DK296" s="374"/>
      <c r="DL296" s="374"/>
      <c r="DM296" s="374"/>
      <c r="DN296" s="932"/>
      <c r="DO296" s="375"/>
      <c r="DP296" s="375"/>
      <c r="DQ296" s="376"/>
      <c r="DR296" s="376"/>
      <c r="DS296" s="371"/>
      <c r="DT296" s="371"/>
      <c r="DU296" s="371"/>
      <c r="DV296" s="371"/>
      <c r="DW296" s="371"/>
      <c r="DX296" s="371"/>
      <c r="DY296" s="371"/>
      <c r="DZ296" s="371"/>
      <c r="EA296" s="371"/>
      <c r="EB296" s="371"/>
      <c r="EC296" s="371"/>
      <c r="ED296" s="371"/>
      <c r="EE296" s="371"/>
      <c r="EF296" s="371"/>
      <c r="EG296" s="371"/>
      <c r="EH296" s="371"/>
      <c r="EI296" s="371"/>
      <c r="EJ296" s="371"/>
      <c r="EK296" s="371"/>
      <c r="EL296" s="371"/>
      <c r="EM296" s="371"/>
      <c r="EN296" s="371"/>
      <c r="EO296" s="371"/>
      <c r="EP296" s="371"/>
      <c r="EQ296" s="371"/>
      <c r="ER296" s="371"/>
      <c r="ES296" s="371"/>
      <c r="ET296" s="371"/>
      <c r="EU296" s="371"/>
      <c r="EV296" s="371"/>
      <c r="EW296" s="371"/>
      <c r="EX296" s="371"/>
      <c r="EY296" s="371"/>
      <c r="EZ296" s="371"/>
      <c r="FA296" s="377"/>
      <c r="FB296" s="378">
        <v>150</v>
      </c>
      <c r="FC296" s="378"/>
      <c r="FD296" s="379">
        <f t="shared" si="511"/>
        <v>0</v>
      </c>
      <c r="FE296" s="790"/>
    </row>
    <row r="297" spans="2:164" ht="26.1" customHeight="1" outlineLevel="1" thickBot="1" x14ac:dyDescent="0.3">
      <c r="B297" s="1018"/>
      <c r="C297" s="1020"/>
      <c r="D297" s="1037"/>
      <c r="E297" s="1040"/>
      <c r="F297" s="834" t="s">
        <v>111</v>
      </c>
      <c r="G297" s="801" t="str">
        <f>VLOOKUP(H297,инфо!AD:AE,2,FALSE)</f>
        <v>Прочее</v>
      </c>
      <c r="H297" s="575" t="s">
        <v>1197</v>
      </c>
      <c r="I297" s="590" t="s">
        <v>56</v>
      </c>
      <c r="J297" s="380"/>
      <c r="K297" s="381"/>
      <c r="L297" s="381"/>
      <c r="M297" s="381"/>
      <c r="N297" s="381"/>
      <c r="O297" s="381"/>
      <c r="P297" s="381"/>
      <c r="Q297" s="381"/>
      <c r="R297" s="381"/>
      <c r="S297" s="381"/>
      <c r="T297" s="381"/>
      <c r="U297" s="381"/>
      <c r="V297" s="381"/>
      <c r="W297" s="382"/>
      <c r="X297" s="382"/>
      <c r="Y297" s="382"/>
      <c r="Z297" s="382"/>
      <c r="AA297" s="382"/>
      <c r="AB297" s="382"/>
      <c r="AC297" s="382"/>
      <c r="AD297" s="382"/>
      <c r="AE297" s="382"/>
      <c r="AF297" s="382"/>
      <c r="AG297" s="382"/>
      <c r="AH297" s="382"/>
      <c r="AI297" s="382"/>
      <c r="AJ297" s="382"/>
      <c r="AK297" s="382"/>
      <c r="AL297" s="382"/>
      <c r="AM297" s="382"/>
      <c r="AN297" s="382"/>
      <c r="AO297" s="382"/>
      <c r="AP297" s="382"/>
      <c r="AQ297" s="382"/>
      <c r="AR297" s="382"/>
      <c r="AS297" s="382"/>
      <c r="AT297" s="382"/>
      <c r="AU297" s="382"/>
      <c r="AV297" s="382"/>
      <c r="AW297" s="382"/>
      <c r="AX297" s="382"/>
      <c r="AY297" s="382"/>
      <c r="AZ297" s="382"/>
      <c r="BA297" s="382"/>
      <c r="BB297" s="382"/>
      <c r="BC297" s="382"/>
      <c r="BD297" s="382"/>
      <c r="BE297" s="383"/>
      <c r="BF297" s="383"/>
      <c r="BG297" s="383"/>
      <c r="BH297" s="383">
        <v>22</v>
      </c>
      <c r="BI297" s="383"/>
      <c r="BJ297" s="383"/>
      <c r="BK297" s="383"/>
      <c r="BL297" s="383"/>
      <c r="BM297" s="383"/>
      <c r="BN297" s="419"/>
      <c r="BO297" s="419"/>
      <c r="BP297" s="419"/>
      <c r="BQ297" s="419"/>
      <c r="BR297" s="419"/>
      <c r="BS297" s="419"/>
      <c r="BT297" s="419"/>
      <c r="BU297" s="384"/>
      <c r="BV297" s="381"/>
      <c r="BW297" s="381"/>
      <c r="BX297" s="381"/>
      <c r="BY297" s="381"/>
      <c r="BZ297" s="381"/>
      <c r="CA297" s="381"/>
      <c r="CB297" s="381"/>
      <c r="CC297" s="420"/>
      <c r="CD297" s="385"/>
      <c r="CE297" s="385"/>
      <c r="CF297" s="385"/>
      <c r="CG297" s="385"/>
      <c r="CH297" s="385"/>
      <c r="CI297" s="385"/>
      <c r="CJ297" s="385"/>
      <c r="CK297" s="385"/>
      <c r="CL297" s="385"/>
      <c r="CM297" s="385"/>
      <c r="CN297" s="385"/>
      <c r="CO297" s="385"/>
      <c r="CP297" s="385"/>
      <c r="CQ297" s="385"/>
      <c r="CR297" s="385"/>
      <c r="CS297" s="386"/>
      <c r="CT297" s="386"/>
      <c r="CU297" s="386"/>
      <c r="CV297" s="386"/>
      <c r="CW297" s="386"/>
      <c r="CX297" s="386"/>
      <c r="CY297" s="386"/>
      <c r="CZ297" s="386"/>
      <c r="DA297" s="386"/>
      <c r="DB297" s="386"/>
      <c r="DC297" s="386"/>
      <c r="DD297" s="386"/>
      <c r="DE297" s="386"/>
      <c r="DF297" s="386"/>
      <c r="DG297" s="386"/>
      <c r="DH297" s="386"/>
      <c r="DI297" s="386"/>
      <c r="DJ297" s="386"/>
      <c r="DK297" s="386"/>
      <c r="DL297" s="386"/>
      <c r="DM297" s="386"/>
      <c r="DN297" s="933"/>
      <c r="DO297" s="387"/>
      <c r="DP297" s="387"/>
      <c r="DQ297" s="388"/>
      <c r="DR297" s="388"/>
      <c r="DS297" s="383"/>
      <c r="DT297" s="383"/>
      <c r="DU297" s="383"/>
      <c r="DV297" s="383"/>
      <c r="DW297" s="383"/>
      <c r="DX297" s="383"/>
      <c r="DY297" s="383"/>
      <c r="DZ297" s="383"/>
      <c r="EA297" s="383"/>
      <c r="EB297" s="383"/>
      <c r="EC297" s="383"/>
      <c r="ED297" s="383"/>
      <c r="EE297" s="383"/>
      <c r="EF297" s="383"/>
      <c r="EG297" s="383"/>
      <c r="EH297" s="383"/>
      <c r="EI297" s="383"/>
      <c r="EJ297" s="383"/>
      <c r="EK297" s="383"/>
      <c r="EL297" s="383"/>
      <c r="EM297" s="383"/>
      <c r="EN297" s="383"/>
      <c r="EO297" s="383"/>
      <c r="EP297" s="383"/>
      <c r="EQ297" s="383"/>
      <c r="ER297" s="383"/>
      <c r="ES297" s="383"/>
      <c r="ET297" s="383"/>
      <c r="EU297" s="383"/>
      <c r="EV297" s="383"/>
      <c r="EW297" s="383"/>
      <c r="EX297" s="383"/>
      <c r="EY297" s="383"/>
      <c r="EZ297" s="383"/>
      <c r="FA297" s="402"/>
      <c r="FB297" s="403">
        <v>22</v>
      </c>
      <c r="FC297" s="403"/>
      <c r="FD297" s="404">
        <f t="shared" si="511"/>
        <v>110</v>
      </c>
      <c r="FE297" s="790"/>
    </row>
    <row r="298" spans="2:164" s="154" customFormat="1" ht="16.5" customHeight="1" outlineLevel="1" thickBot="1" x14ac:dyDescent="0.4">
      <c r="B298" s="1018"/>
      <c r="C298" s="1020"/>
      <c r="D298" s="145"/>
      <c r="E298" s="317" t="s">
        <v>174</v>
      </c>
      <c r="F298" s="836"/>
      <c r="G298" s="818"/>
      <c r="H298" s="576"/>
      <c r="I298" s="594"/>
      <c r="J298" s="305">
        <f>SUM(J288:J297)</f>
        <v>0</v>
      </c>
      <c r="K298" s="146">
        <f t="shared" ref="K298:CU298" si="512">SUM(K288:K297)</f>
        <v>0</v>
      </c>
      <c r="L298" s="146">
        <f t="shared" si="512"/>
        <v>0</v>
      </c>
      <c r="M298" s="146">
        <f t="shared" si="512"/>
        <v>83</v>
      </c>
      <c r="N298" s="146">
        <f t="shared" si="512"/>
        <v>0</v>
      </c>
      <c r="O298" s="146">
        <f t="shared" si="512"/>
        <v>0</v>
      </c>
      <c r="P298" s="146">
        <f t="shared" si="512"/>
        <v>0</v>
      </c>
      <c r="Q298" s="146">
        <f t="shared" si="512"/>
        <v>0</v>
      </c>
      <c r="R298" s="146">
        <f t="shared" si="512"/>
        <v>0</v>
      </c>
      <c r="S298" s="146">
        <f t="shared" si="512"/>
        <v>0</v>
      </c>
      <c r="T298" s="146">
        <f t="shared" ref="T298:V298" si="513">SUM(T288:T297)</f>
        <v>0</v>
      </c>
      <c r="U298" s="146">
        <f t="shared" si="513"/>
        <v>0</v>
      </c>
      <c r="V298" s="146">
        <f t="shared" si="513"/>
        <v>0</v>
      </c>
      <c r="W298" s="147">
        <f t="shared" si="512"/>
        <v>0</v>
      </c>
      <c r="X298" s="147">
        <f t="shared" si="512"/>
        <v>7</v>
      </c>
      <c r="Y298" s="147">
        <f t="shared" ref="Y298" si="514">SUM(Y288:Y297)</f>
        <v>0</v>
      </c>
      <c r="Z298" s="147">
        <f t="shared" si="512"/>
        <v>50</v>
      </c>
      <c r="AA298" s="147">
        <f t="shared" si="512"/>
        <v>100</v>
      </c>
      <c r="AB298" s="147">
        <f t="shared" ref="AB298:AC298" si="515">SUM(AB288:AB297)</f>
        <v>0</v>
      </c>
      <c r="AC298" s="147">
        <f t="shared" si="515"/>
        <v>0</v>
      </c>
      <c r="AD298" s="147">
        <f t="shared" si="512"/>
        <v>0</v>
      </c>
      <c r="AE298" s="147">
        <f t="shared" si="512"/>
        <v>0</v>
      </c>
      <c r="AF298" s="147">
        <f t="shared" ref="AF298:AH298" si="516">SUM(AF288:AF297)</f>
        <v>0</v>
      </c>
      <c r="AG298" s="147">
        <f t="shared" si="516"/>
        <v>0</v>
      </c>
      <c r="AH298" s="147">
        <f t="shared" si="516"/>
        <v>0</v>
      </c>
      <c r="AI298" s="147">
        <f t="shared" si="512"/>
        <v>0</v>
      </c>
      <c r="AJ298" s="147">
        <f t="shared" si="512"/>
        <v>0</v>
      </c>
      <c r="AK298" s="147">
        <f t="shared" si="512"/>
        <v>0</v>
      </c>
      <c r="AL298" s="147">
        <f t="shared" si="512"/>
        <v>0</v>
      </c>
      <c r="AM298" s="147">
        <f t="shared" ref="AM298:AS298" si="517">SUM(AM288:AM297)</f>
        <v>0</v>
      </c>
      <c r="AN298" s="147">
        <f t="shared" si="517"/>
        <v>0</v>
      </c>
      <c r="AO298" s="147">
        <f t="shared" si="517"/>
        <v>0</v>
      </c>
      <c r="AP298" s="147">
        <f t="shared" si="517"/>
        <v>0</v>
      </c>
      <c r="AQ298" s="147">
        <f t="shared" si="517"/>
        <v>0</v>
      </c>
      <c r="AR298" s="147">
        <f t="shared" si="517"/>
        <v>0</v>
      </c>
      <c r="AS298" s="147">
        <f t="shared" si="517"/>
        <v>0</v>
      </c>
      <c r="AT298" s="147">
        <f t="shared" si="512"/>
        <v>0</v>
      </c>
      <c r="AU298" s="147">
        <f t="shared" ref="AU298:BD298" si="518">SUM(AU288:AU297)</f>
        <v>20</v>
      </c>
      <c r="AV298" s="147">
        <f t="shared" si="518"/>
        <v>0</v>
      </c>
      <c r="AW298" s="147">
        <f t="shared" si="518"/>
        <v>0</v>
      </c>
      <c r="AX298" s="147">
        <f t="shared" si="518"/>
        <v>0</v>
      </c>
      <c r="AY298" s="147">
        <f t="shared" si="518"/>
        <v>0</v>
      </c>
      <c r="AZ298" s="147">
        <f t="shared" si="518"/>
        <v>0</v>
      </c>
      <c r="BA298" s="147">
        <f t="shared" si="518"/>
        <v>0</v>
      </c>
      <c r="BB298" s="147">
        <f t="shared" si="518"/>
        <v>0</v>
      </c>
      <c r="BC298" s="147">
        <f t="shared" si="518"/>
        <v>0</v>
      </c>
      <c r="BD298" s="147">
        <f t="shared" si="518"/>
        <v>0</v>
      </c>
      <c r="BE298" s="148">
        <f t="shared" ref="BE298:BP298" si="519">SUM(BE288:BE297)</f>
        <v>200</v>
      </c>
      <c r="BF298" s="148">
        <f t="shared" si="519"/>
        <v>0</v>
      </c>
      <c r="BG298" s="148">
        <f t="shared" si="519"/>
        <v>0</v>
      </c>
      <c r="BH298" s="148">
        <f t="shared" si="519"/>
        <v>22</v>
      </c>
      <c r="BI298" s="148">
        <f t="shared" ref="BI298:BL298" si="520">SUM(BI288:BI297)</f>
        <v>20</v>
      </c>
      <c r="BJ298" s="148">
        <f t="shared" si="520"/>
        <v>0</v>
      </c>
      <c r="BK298" s="148">
        <f t="shared" si="520"/>
        <v>0</v>
      </c>
      <c r="BL298" s="148">
        <f t="shared" si="520"/>
        <v>0</v>
      </c>
      <c r="BM298" s="148">
        <f t="shared" si="519"/>
        <v>0</v>
      </c>
      <c r="BN298" s="149">
        <f t="shared" si="519"/>
        <v>0</v>
      </c>
      <c r="BO298" s="149">
        <f t="shared" si="519"/>
        <v>5</v>
      </c>
      <c r="BP298" s="149">
        <f t="shared" si="519"/>
        <v>0</v>
      </c>
      <c r="BQ298" s="149">
        <f t="shared" ref="BQ298" si="521">SUM(BQ288:BQ297)</f>
        <v>0</v>
      </c>
      <c r="BR298" s="149">
        <f t="shared" ref="BR298:BU298" si="522">SUM(BR288:BR297)</f>
        <v>0</v>
      </c>
      <c r="BS298" s="149">
        <f t="shared" si="522"/>
        <v>0</v>
      </c>
      <c r="BT298" s="149">
        <f t="shared" si="522"/>
        <v>0</v>
      </c>
      <c r="BU298" s="149">
        <f t="shared" si="522"/>
        <v>0</v>
      </c>
      <c r="BV298" s="146">
        <f t="shared" ref="BV298:BX298" si="523">SUM(BV288:BV297)</f>
        <v>0</v>
      </c>
      <c r="BW298" s="146">
        <f t="shared" si="523"/>
        <v>0</v>
      </c>
      <c r="BX298" s="146">
        <f t="shared" si="523"/>
        <v>0</v>
      </c>
      <c r="BY298" s="146">
        <f t="shared" ref="BY298:BZ298" si="524">SUM(BY288:BY297)</f>
        <v>0</v>
      </c>
      <c r="BZ298" s="146">
        <f t="shared" si="524"/>
        <v>0</v>
      </c>
      <c r="CA298" s="146">
        <f t="shared" si="512"/>
        <v>0</v>
      </c>
      <c r="CB298" s="146">
        <f t="shared" si="512"/>
        <v>0</v>
      </c>
      <c r="CC298" s="265">
        <f t="shared" si="512"/>
        <v>0</v>
      </c>
      <c r="CD298" s="265">
        <f t="shared" si="512"/>
        <v>25</v>
      </c>
      <c r="CE298" s="265">
        <f t="shared" si="512"/>
        <v>0</v>
      </c>
      <c r="CF298" s="265">
        <f t="shared" si="512"/>
        <v>80</v>
      </c>
      <c r="CG298" s="265">
        <f t="shared" si="512"/>
        <v>0</v>
      </c>
      <c r="CH298" s="265">
        <f t="shared" si="512"/>
        <v>0</v>
      </c>
      <c r="CI298" s="265">
        <f t="shared" si="512"/>
        <v>0</v>
      </c>
      <c r="CJ298" s="265">
        <f t="shared" ref="CJ298" si="525">SUM(CJ288:CJ297)</f>
        <v>0</v>
      </c>
      <c r="CK298" s="265">
        <f t="shared" ref="CK298" si="526">SUM(CK288:CK297)</f>
        <v>0</v>
      </c>
      <c r="CL298" s="265">
        <f t="shared" si="512"/>
        <v>0</v>
      </c>
      <c r="CM298" s="265">
        <f t="shared" si="512"/>
        <v>0</v>
      </c>
      <c r="CN298" s="265">
        <f t="shared" ref="CN298:CQ298" si="527">SUM(CN288:CN297)</f>
        <v>0</v>
      </c>
      <c r="CO298" s="265">
        <f t="shared" si="527"/>
        <v>0</v>
      </c>
      <c r="CP298" s="265">
        <f t="shared" si="527"/>
        <v>0</v>
      </c>
      <c r="CQ298" s="265">
        <f t="shared" si="527"/>
        <v>0</v>
      </c>
      <c r="CR298" s="265">
        <f t="shared" si="512"/>
        <v>0</v>
      </c>
      <c r="CS298" s="281">
        <f t="shared" si="512"/>
        <v>0</v>
      </c>
      <c r="CT298" s="281">
        <f t="shared" ref="CT298" si="528">SUM(CT288:CT297)</f>
        <v>0</v>
      </c>
      <c r="CU298" s="281">
        <f t="shared" si="512"/>
        <v>120</v>
      </c>
      <c r="CV298" s="281">
        <f t="shared" ref="CV298:DE298" si="529">SUM(CV288:CV297)</f>
        <v>0</v>
      </c>
      <c r="CW298" s="281">
        <f t="shared" si="529"/>
        <v>0</v>
      </c>
      <c r="CX298" s="281">
        <f t="shared" si="529"/>
        <v>0</v>
      </c>
      <c r="CY298" s="281">
        <f t="shared" si="529"/>
        <v>0</v>
      </c>
      <c r="CZ298" s="281">
        <f t="shared" ref="CZ298" si="530">SUM(CZ288:CZ297)</f>
        <v>0</v>
      </c>
      <c r="DA298" s="281">
        <f t="shared" si="529"/>
        <v>0</v>
      </c>
      <c r="DB298" s="281">
        <f t="shared" si="529"/>
        <v>0</v>
      </c>
      <c r="DC298" s="281">
        <f t="shared" si="529"/>
        <v>0</v>
      </c>
      <c r="DD298" s="281">
        <f t="shared" ref="DD298" si="531">SUM(DD288:DD297)</f>
        <v>0</v>
      </c>
      <c r="DE298" s="281">
        <f t="shared" si="529"/>
        <v>0</v>
      </c>
      <c r="DF298" s="281">
        <f t="shared" ref="DF298:FD298" si="532">SUM(DF288:DF297)</f>
        <v>0</v>
      </c>
      <c r="DG298" s="281">
        <f t="shared" si="532"/>
        <v>0</v>
      </c>
      <c r="DH298" s="281">
        <f t="shared" si="532"/>
        <v>0</v>
      </c>
      <c r="DI298" s="281">
        <f t="shared" ref="DI298:DQ298" si="533">SUM(DI288:DI297)</f>
        <v>0</v>
      </c>
      <c r="DJ298" s="281">
        <f t="shared" si="533"/>
        <v>0</v>
      </c>
      <c r="DK298" s="281">
        <f t="shared" si="533"/>
        <v>0</v>
      </c>
      <c r="DL298" s="281">
        <f t="shared" si="533"/>
        <v>0</v>
      </c>
      <c r="DM298" s="281">
        <f t="shared" si="533"/>
        <v>0</v>
      </c>
      <c r="DN298" s="936">
        <f t="shared" si="533"/>
        <v>0</v>
      </c>
      <c r="DO298" s="148">
        <f t="shared" si="533"/>
        <v>25</v>
      </c>
      <c r="DP298" s="148">
        <f t="shared" si="533"/>
        <v>5</v>
      </c>
      <c r="DQ298" s="148">
        <f t="shared" si="533"/>
        <v>0</v>
      </c>
      <c r="DR298" s="148">
        <f t="shared" si="532"/>
        <v>0.01</v>
      </c>
      <c r="DS298" s="148">
        <f t="shared" si="532"/>
        <v>0</v>
      </c>
      <c r="DT298" s="148">
        <f t="shared" si="532"/>
        <v>0</v>
      </c>
      <c r="DU298" s="148">
        <f t="shared" si="532"/>
        <v>0</v>
      </c>
      <c r="DV298" s="148">
        <f t="shared" si="532"/>
        <v>0</v>
      </c>
      <c r="DW298" s="148">
        <f t="shared" si="532"/>
        <v>0</v>
      </c>
      <c r="DX298" s="148">
        <f t="shared" si="532"/>
        <v>0</v>
      </c>
      <c r="DY298" s="148">
        <f t="shared" ref="DY298:EO298" si="534">SUM(DY288:DY297)</f>
        <v>0</v>
      </c>
      <c r="DZ298" s="148">
        <f t="shared" si="534"/>
        <v>0</v>
      </c>
      <c r="EA298" s="148">
        <f t="shared" si="534"/>
        <v>515.6</v>
      </c>
      <c r="EB298" s="148">
        <f t="shared" si="534"/>
        <v>0</v>
      </c>
      <c r="EC298" s="148">
        <f t="shared" si="534"/>
        <v>0</v>
      </c>
      <c r="ED298" s="148">
        <f t="shared" si="534"/>
        <v>0</v>
      </c>
      <c r="EE298" s="148">
        <f t="shared" si="534"/>
        <v>0</v>
      </c>
      <c r="EF298" s="148">
        <f t="shared" si="534"/>
        <v>1.5</v>
      </c>
      <c r="EG298" s="148">
        <f t="shared" si="534"/>
        <v>0</v>
      </c>
      <c r="EH298" s="148">
        <f t="shared" si="534"/>
        <v>0</v>
      </c>
      <c r="EI298" s="148">
        <f t="shared" si="534"/>
        <v>0</v>
      </c>
      <c r="EJ298" s="148">
        <f t="shared" si="534"/>
        <v>0</v>
      </c>
      <c r="EK298" s="148">
        <f t="shared" si="534"/>
        <v>0</v>
      </c>
      <c r="EL298" s="148">
        <f t="shared" si="534"/>
        <v>0</v>
      </c>
      <c r="EM298" s="148">
        <f t="shared" si="534"/>
        <v>0</v>
      </c>
      <c r="EN298" s="148">
        <f t="shared" si="534"/>
        <v>0</v>
      </c>
      <c r="EO298" s="148">
        <f t="shared" si="534"/>
        <v>0</v>
      </c>
      <c r="EP298" s="148">
        <f t="shared" ref="EP298:EZ298" si="535">SUM(EP288:EP297)</f>
        <v>0</v>
      </c>
      <c r="EQ298" s="148">
        <f t="shared" si="535"/>
        <v>0</v>
      </c>
      <c r="ER298" s="148">
        <f t="shared" si="535"/>
        <v>0</v>
      </c>
      <c r="ES298" s="148">
        <f t="shared" si="535"/>
        <v>0</v>
      </c>
      <c r="ET298" s="148">
        <f t="shared" si="535"/>
        <v>0</v>
      </c>
      <c r="EU298" s="148">
        <f t="shared" si="535"/>
        <v>0</v>
      </c>
      <c r="EV298" s="148">
        <f t="shared" si="535"/>
        <v>0</v>
      </c>
      <c r="EW298" s="148">
        <f t="shared" si="535"/>
        <v>0</v>
      </c>
      <c r="EX298" s="148">
        <f t="shared" si="535"/>
        <v>0</v>
      </c>
      <c r="EY298" s="148">
        <f t="shared" si="535"/>
        <v>0</v>
      </c>
      <c r="EZ298" s="148">
        <f t="shared" si="535"/>
        <v>0</v>
      </c>
      <c r="FA298" s="150">
        <f t="shared" si="532"/>
        <v>415</v>
      </c>
      <c r="FB298" s="151">
        <f t="shared" si="532"/>
        <v>1172.752</v>
      </c>
      <c r="FC298" s="151">
        <f t="shared" si="532"/>
        <v>148.75200000000001</v>
      </c>
      <c r="FD298" s="152">
        <f t="shared" si="532"/>
        <v>330</v>
      </c>
      <c r="FE298" s="792" t="str">
        <f>IF(FB298&lt;инфо!$AN$74,FB298-инфо!$AN$74,"")</f>
        <v/>
      </c>
      <c r="FF298" s="153"/>
      <c r="FG298" s="153"/>
      <c r="FH298" s="153"/>
    </row>
    <row r="299" spans="2:164" ht="26.1" customHeight="1" outlineLevel="1" thickBot="1" x14ac:dyDescent="0.3">
      <c r="B299" s="1018"/>
      <c r="C299" s="1020"/>
      <c r="D299" s="1033" t="s">
        <v>112</v>
      </c>
      <c r="E299" s="1042" t="s">
        <v>113</v>
      </c>
      <c r="F299" s="837" t="s">
        <v>112</v>
      </c>
      <c r="G299" s="803" t="str">
        <f>VLOOKUP(H299,инфо!AD:AE,2,FALSE)</f>
        <v>Холодные закуски</v>
      </c>
      <c r="H299" s="577" t="s">
        <v>1200</v>
      </c>
      <c r="I299" s="588" t="s">
        <v>1357</v>
      </c>
      <c r="J299" s="421"/>
      <c r="K299" s="422"/>
      <c r="L299" s="422"/>
      <c r="M299" s="422"/>
      <c r="N299" s="422"/>
      <c r="O299" s="422"/>
      <c r="P299" s="422"/>
      <c r="Q299" s="422"/>
      <c r="R299" s="422"/>
      <c r="S299" s="422"/>
      <c r="T299" s="422"/>
      <c r="U299" s="422"/>
      <c r="V299" s="422"/>
      <c r="W299" s="423"/>
      <c r="X299" s="423"/>
      <c r="Y299" s="423"/>
      <c r="Z299" s="423"/>
      <c r="AA299" s="423"/>
      <c r="AB299" s="423"/>
      <c r="AC299" s="423"/>
      <c r="AD299" s="423"/>
      <c r="AE299" s="423"/>
      <c r="AF299" s="423"/>
      <c r="AG299" s="423">
        <v>5</v>
      </c>
      <c r="AH299" s="423"/>
      <c r="AI299" s="423"/>
      <c r="AJ299" s="423"/>
      <c r="AK299" s="423"/>
      <c r="AL299" s="423"/>
      <c r="AM299" s="423"/>
      <c r="AN299" s="423"/>
      <c r="AO299" s="423"/>
      <c r="AP299" s="423"/>
      <c r="AQ299" s="423"/>
      <c r="AR299" s="423"/>
      <c r="AS299" s="423"/>
      <c r="AT299" s="423"/>
      <c r="AU299" s="423"/>
      <c r="AV299" s="423"/>
      <c r="AW299" s="423"/>
      <c r="AX299" s="423">
        <v>105</v>
      </c>
      <c r="AY299" s="423"/>
      <c r="AZ299" s="423"/>
      <c r="BA299" s="423"/>
      <c r="BB299" s="423"/>
      <c r="BC299" s="423"/>
      <c r="BD299" s="423"/>
      <c r="BE299" s="424"/>
      <c r="BF299" s="424"/>
      <c r="BG299" s="424"/>
      <c r="BH299" s="424"/>
      <c r="BI299" s="424"/>
      <c r="BJ299" s="424"/>
      <c r="BK299" s="424"/>
      <c r="BL299" s="424"/>
      <c r="BM299" s="424"/>
      <c r="BN299" s="425"/>
      <c r="BO299" s="425">
        <v>8</v>
      </c>
      <c r="BP299" s="425"/>
      <c r="BQ299" s="425"/>
      <c r="BR299" s="425"/>
      <c r="BS299" s="425"/>
      <c r="BT299" s="425"/>
      <c r="BU299" s="425"/>
      <c r="BV299" s="422"/>
      <c r="BW299" s="422"/>
      <c r="BX299" s="422"/>
      <c r="BY299" s="422"/>
      <c r="BZ299" s="422"/>
      <c r="CA299" s="422"/>
      <c r="CB299" s="422"/>
      <c r="CC299" s="426"/>
      <c r="CD299" s="426"/>
      <c r="CE299" s="426"/>
      <c r="CF299" s="426"/>
      <c r="CG299" s="426"/>
      <c r="CH299" s="426"/>
      <c r="CI299" s="426"/>
      <c r="CJ299" s="426"/>
      <c r="CK299" s="426"/>
      <c r="CL299" s="426"/>
      <c r="CM299" s="426"/>
      <c r="CN299" s="426"/>
      <c r="CO299" s="426"/>
      <c r="CP299" s="426"/>
      <c r="CQ299" s="426"/>
      <c r="CR299" s="426"/>
      <c r="CS299" s="427"/>
      <c r="CT299" s="427"/>
      <c r="CU299" s="427"/>
      <c r="CV299" s="427"/>
      <c r="CW299" s="427"/>
      <c r="CX299" s="427"/>
      <c r="CY299" s="427"/>
      <c r="CZ299" s="427"/>
      <c r="DA299" s="427"/>
      <c r="DB299" s="427"/>
      <c r="DC299" s="427"/>
      <c r="DD299" s="427"/>
      <c r="DE299" s="427"/>
      <c r="DF299" s="427"/>
      <c r="DG299" s="427"/>
      <c r="DH299" s="427"/>
      <c r="DI299" s="427"/>
      <c r="DJ299" s="427"/>
      <c r="DK299" s="427"/>
      <c r="DL299" s="427"/>
      <c r="DM299" s="427"/>
      <c r="DN299" s="937"/>
      <c r="DO299" s="428"/>
      <c r="DP299" s="428"/>
      <c r="DQ299" s="429"/>
      <c r="DR299" s="429"/>
      <c r="DS299" s="424"/>
      <c r="DT299" s="424"/>
      <c r="DU299" s="424"/>
      <c r="DV299" s="424"/>
      <c r="DW299" s="424"/>
      <c r="DX299" s="424"/>
      <c r="DY299" s="424"/>
      <c r="DZ299" s="424"/>
      <c r="EA299" s="424"/>
      <c r="EB299" s="424"/>
      <c r="EC299" s="424"/>
      <c r="ED299" s="424"/>
      <c r="EE299" s="424"/>
      <c r="EF299" s="424"/>
      <c r="EG299" s="424"/>
      <c r="EH299" s="424"/>
      <c r="EI299" s="424"/>
      <c r="EJ299" s="424"/>
      <c r="EK299" s="424"/>
      <c r="EL299" s="424"/>
      <c r="EM299" s="424"/>
      <c r="EN299" s="424"/>
      <c r="EO299" s="424"/>
      <c r="EP299" s="424"/>
      <c r="EQ299" s="424"/>
      <c r="ER299" s="424"/>
      <c r="ES299" s="424"/>
      <c r="ET299" s="424"/>
      <c r="EU299" s="424"/>
      <c r="EV299" s="424"/>
      <c r="EW299" s="424"/>
      <c r="EX299" s="424"/>
      <c r="EY299" s="424"/>
      <c r="EZ299" s="424"/>
      <c r="FA299" s="377">
        <v>62</v>
      </c>
      <c r="FB299" s="378">
        <v>110</v>
      </c>
      <c r="FC299" s="378"/>
      <c r="FD299" s="379">
        <f t="shared" ref="FD299:FD312" si="536">SUM(BE299:BG299,BI299,BL299:BM299)+SUM(BH299,BJ299,BK299)*5</f>
        <v>0</v>
      </c>
      <c r="FE299" s="790"/>
    </row>
    <row r="300" spans="2:164" ht="26.1" customHeight="1" outlineLevel="1" thickBot="1" x14ac:dyDescent="0.3">
      <c r="B300" s="1018"/>
      <c r="C300" s="1020"/>
      <c r="D300" s="1033"/>
      <c r="E300" s="1038"/>
      <c r="F300" s="838" t="s">
        <v>112</v>
      </c>
      <c r="G300" s="804" t="str">
        <f>VLOOKUP(H300,инфо!AD:AE,2,FALSE)</f>
        <v>Прочее</v>
      </c>
      <c r="H300" s="577" t="s">
        <v>1197</v>
      </c>
      <c r="I300" s="574"/>
      <c r="J300" s="430"/>
      <c r="K300" s="431"/>
      <c r="L300" s="431"/>
      <c r="M300" s="431"/>
      <c r="N300" s="431"/>
      <c r="O300" s="431"/>
      <c r="P300" s="431"/>
      <c r="Q300" s="431"/>
      <c r="R300" s="431"/>
      <c r="S300" s="431"/>
      <c r="T300" s="431"/>
      <c r="U300" s="431"/>
      <c r="V300" s="431"/>
      <c r="W300" s="432"/>
      <c r="X300" s="432"/>
      <c r="Y300" s="432"/>
      <c r="Z300" s="432"/>
      <c r="AA300" s="432"/>
      <c r="AB300" s="432"/>
      <c r="AC300" s="432"/>
      <c r="AD300" s="432"/>
      <c r="AE300" s="432"/>
      <c r="AF300" s="432"/>
      <c r="AG300" s="432"/>
      <c r="AH300" s="432"/>
      <c r="AI300" s="432"/>
      <c r="AJ300" s="432"/>
      <c r="AK300" s="432"/>
      <c r="AL300" s="432"/>
      <c r="AM300" s="432"/>
      <c r="AN300" s="432"/>
      <c r="AO300" s="432"/>
      <c r="AP300" s="432"/>
      <c r="AQ300" s="432"/>
      <c r="AR300" s="432"/>
      <c r="AS300" s="432"/>
      <c r="AT300" s="432"/>
      <c r="AU300" s="432"/>
      <c r="AV300" s="432"/>
      <c r="AW300" s="432"/>
      <c r="AX300" s="432"/>
      <c r="AY300" s="432"/>
      <c r="AZ300" s="432"/>
      <c r="BA300" s="432"/>
      <c r="BB300" s="432"/>
      <c r="BC300" s="432"/>
      <c r="BD300" s="432"/>
      <c r="BE300" s="433"/>
      <c r="BF300" s="433"/>
      <c r="BG300" s="433"/>
      <c r="BH300" s="433"/>
      <c r="BI300" s="433"/>
      <c r="BJ300" s="433"/>
      <c r="BK300" s="433"/>
      <c r="BL300" s="433"/>
      <c r="BM300" s="433"/>
      <c r="BN300" s="434"/>
      <c r="BO300" s="434"/>
      <c r="BP300" s="434"/>
      <c r="BQ300" s="434"/>
      <c r="BR300" s="434"/>
      <c r="BS300" s="434"/>
      <c r="BT300" s="434"/>
      <c r="BU300" s="434"/>
      <c r="BV300" s="431"/>
      <c r="BW300" s="431"/>
      <c r="BX300" s="431"/>
      <c r="BY300" s="431"/>
      <c r="BZ300" s="431"/>
      <c r="CA300" s="431"/>
      <c r="CB300" s="431"/>
      <c r="CC300" s="435"/>
      <c r="CD300" s="435"/>
      <c r="CE300" s="435"/>
      <c r="CF300" s="435"/>
      <c r="CG300" s="435"/>
      <c r="CH300" s="435"/>
      <c r="CI300" s="435"/>
      <c r="CJ300" s="435"/>
      <c r="CK300" s="435"/>
      <c r="CL300" s="435"/>
      <c r="CM300" s="435"/>
      <c r="CN300" s="435"/>
      <c r="CO300" s="435"/>
      <c r="CP300" s="435"/>
      <c r="CQ300" s="435"/>
      <c r="CR300" s="435"/>
      <c r="CS300" s="436"/>
      <c r="CT300" s="436"/>
      <c r="CU300" s="436"/>
      <c r="CV300" s="436"/>
      <c r="CW300" s="436"/>
      <c r="CX300" s="436"/>
      <c r="CY300" s="436"/>
      <c r="CZ300" s="436"/>
      <c r="DA300" s="436"/>
      <c r="DB300" s="436"/>
      <c r="DC300" s="436"/>
      <c r="DD300" s="436"/>
      <c r="DE300" s="436"/>
      <c r="DF300" s="436"/>
      <c r="DG300" s="436"/>
      <c r="DH300" s="436"/>
      <c r="DI300" s="436"/>
      <c r="DJ300" s="436"/>
      <c r="DK300" s="436"/>
      <c r="DL300" s="436"/>
      <c r="DM300" s="436"/>
      <c r="DN300" s="938"/>
      <c r="DO300" s="437"/>
      <c r="DP300" s="437"/>
      <c r="DQ300" s="438"/>
      <c r="DR300" s="438"/>
      <c r="DS300" s="433"/>
      <c r="DT300" s="433"/>
      <c r="DU300" s="433"/>
      <c r="DV300" s="433"/>
      <c r="DW300" s="433"/>
      <c r="DX300" s="433"/>
      <c r="DY300" s="433"/>
      <c r="DZ300" s="433"/>
      <c r="EA300" s="433"/>
      <c r="EB300" s="433"/>
      <c r="EC300" s="433"/>
      <c r="ED300" s="433"/>
      <c r="EE300" s="433"/>
      <c r="EF300" s="433"/>
      <c r="EG300" s="433"/>
      <c r="EH300" s="433"/>
      <c r="EI300" s="433"/>
      <c r="EJ300" s="433"/>
      <c r="EK300" s="433"/>
      <c r="EL300" s="433"/>
      <c r="EM300" s="433"/>
      <c r="EN300" s="433"/>
      <c r="EO300" s="433"/>
      <c r="EP300" s="433"/>
      <c r="EQ300" s="433"/>
      <c r="ER300" s="433"/>
      <c r="ES300" s="433"/>
      <c r="ET300" s="433"/>
      <c r="EU300" s="433"/>
      <c r="EV300" s="433"/>
      <c r="EW300" s="433"/>
      <c r="EX300" s="433"/>
      <c r="EY300" s="433"/>
      <c r="EZ300" s="433"/>
      <c r="FA300" s="377"/>
      <c r="FB300" s="378"/>
      <c r="FC300" s="378"/>
      <c r="FD300" s="379">
        <f t="shared" si="536"/>
        <v>0</v>
      </c>
      <c r="FE300" s="790"/>
    </row>
    <row r="301" spans="2:164" ht="26.1" customHeight="1" outlineLevel="1" thickBot="1" x14ac:dyDescent="0.3">
      <c r="B301" s="1018"/>
      <c r="C301" s="1020"/>
      <c r="D301" s="1034"/>
      <c r="E301" s="1043"/>
      <c r="F301" s="839" t="s">
        <v>112</v>
      </c>
      <c r="G301" s="805" t="str">
        <f>VLOOKUP(H301,инфо!AD:AE,2,FALSE)</f>
        <v>Прочее</v>
      </c>
      <c r="H301" s="578" t="s">
        <v>1197</v>
      </c>
      <c r="I301" s="606" t="s">
        <v>50</v>
      </c>
      <c r="J301" s="439"/>
      <c r="K301" s="440"/>
      <c r="L301" s="440"/>
      <c r="M301" s="440"/>
      <c r="N301" s="440"/>
      <c r="O301" s="440"/>
      <c r="P301" s="440"/>
      <c r="Q301" s="440"/>
      <c r="R301" s="440"/>
      <c r="S301" s="440"/>
      <c r="T301" s="440"/>
      <c r="U301" s="440"/>
      <c r="V301" s="440"/>
      <c r="W301" s="441"/>
      <c r="X301" s="441"/>
      <c r="Y301" s="441"/>
      <c r="Z301" s="441">
        <v>50</v>
      </c>
      <c r="AA301" s="441">
        <v>100</v>
      </c>
      <c r="AB301" s="441"/>
      <c r="AC301" s="441"/>
      <c r="AD301" s="441"/>
      <c r="AE301" s="441"/>
      <c r="AF301" s="441"/>
      <c r="AG301" s="441"/>
      <c r="AH301" s="441"/>
      <c r="AI301" s="441"/>
      <c r="AJ301" s="441"/>
      <c r="AK301" s="441"/>
      <c r="AL301" s="441"/>
      <c r="AM301" s="441"/>
      <c r="AN301" s="441"/>
      <c r="AO301" s="441"/>
      <c r="AP301" s="441"/>
      <c r="AQ301" s="441"/>
      <c r="AR301" s="441"/>
      <c r="AS301" s="441"/>
      <c r="AT301" s="441"/>
      <c r="AU301" s="441"/>
      <c r="AV301" s="441"/>
      <c r="AW301" s="441"/>
      <c r="AX301" s="441"/>
      <c r="AY301" s="441"/>
      <c r="AZ301" s="441"/>
      <c r="BA301" s="441"/>
      <c r="BB301" s="441"/>
      <c r="BC301" s="441"/>
      <c r="BD301" s="441"/>
      <c r="BE301" s="442"/>
      <c r="BF301" s="442"/>
      <c r="BG301" s="442"/>
      <c r="BH301" s="442"/>
      <c r="BI301" s="442"/>
      <c r="BJ301" s="442"/>
      <c r="BK301" s="442"/>
      <c r="BL301" s="442"/>
      <c r="BM301" s="442"/>
      <c r="BN301" s="443"/>
      <c r="BO301" s="443"/>
      <c r="BP301" s="443"/>
      <c r="BQ301" s="443"/>
      <c r="BR301" s="443"/>
      <c r="BS301" s="443"/>
      <c r="BT301" s="443"/>
      <c r="BU301" s="443"/>
      <c r="BV301" s="440"/>
      <c r="BW301" s="440"/>
      <c r="BX301" s="440"/>
      <c r="BY301" s="440"/>
      <c r="BZ301" s="440"/>
      <c r="CA301" s="440"/>
      <c r="CB301" s="440"/>
      <c r="CC301" s="444"/>
      <c r="CD301" s="444"/>
      <c r="CE301" s="444"/>
      <c r="CF301" s="444"/>
      <c r="CG301" s="444"/>
      <c r="CH301" s="444"/>
      <c r="CI301" s="444"/>
      <c r="CJ301" s="444"/>
      <c r="CK301" s="444"/>
      <c r="CL301" s="444"/>
      <c r="CM301" s="444"/>
      <c r="CN301" s="444"/>
      <c r="CO301" s="444"/>
      <c r="CP301" s="444"/>
      <c r="CQ301" s="444"/>
      <c r="CR301" s="444"/>
      <c r="CS301" s="445"/>
      <c r="CT301" s="445"/>
      <c r="CU301" s="445"/>
      <c r="CV301" s="445"/>
      <c r="CW301" s="445"/>
      <c r="CX301" s="445"/>
      <c r="CY301" s="445"/>
      <c r="CZ301" s="445"/>
      <c r="DA301" s="445"/>
      <c r="DB301" s="445"/>
      <c r="DC301" s="445"/>
      <c r="DD301" s="445"/>
      <c r="DE301" s="445"/>
      <c r="DF301" s="445"/>
      <c r="DG301" s="445"/>
      <c r="DH301" s="445"/>
      <c r="DI301" s="445"/>
      <c r="DJ301" s="445"/>
      <c r="DK301" s="445"/>
      <c r="DL301" s="445"/>
      <c r="DM301" s="445"/>
      <c r="DN301" s="939"/>
      <c r="DO301" s="446"/>
      <c r="DP301" s="446"/>
      <c r="DQ301" s="447"/>
      <c r="DR301" s="447"/>
      <c r="DS301" s="442"/>
      <c r="DT301" s="442"/>
      <c r="DU301" s="442"/>
      <c r="DV301" s="442"/>
      <c r="DW301" s="442"/>
      <c r="DX301" s="442"/>
      <c r="DY301" s="442"/>
      <c r="DZ301" s="442"/>
      <c r="EA301" s="442"/>
      <c r="EB301" s="442"/>
      <c r="EC301" s="442"/>
      <c r="ED301" s="442"/>
      <c r="EE301" s="442"/>
      <c r="EF301" s="442"/>
      <c r="EG301" s="442"/>
      <c r="EH301" s="442"/>
      <c r="EI301" s="442"/>
      <c r="EJ301" s="442"/>
      <c r="EK301" s="442"/>
      <c r="EL301" s="442"/>
      <c r="EM301" s="442"/>
      <c r="EN301" s="442"/>
      <c r="EO301" s="442"/>
      <c r="EP301" s="442"/>
      <c r="EQ301" s="442"/>
      <c r="ER301" s="442"/>
      <c r="ES301" s="442"/>
      <c r="ET301" s="442"/>
      <c r="EU301" s="442"/>
      <c r="EV301" s="442"/>
      <c r="EW301" s="442"/>
      <c r="EX301" s="442"/>
      <c r="EY301" s="442"/>
      <c r="EZ301" s="442"/>
      <c r="FA301" s="389"/>
      <c r="FB301" s="390">
        <v>150</v>
      </c>
      <c r="FC301" s="390"/>
      <c r="FD301" s="391">
        <f t="shared" si="536"/>
        <v>0</v>
      </c>
      <c r="FE301" s="790"/>
    </row>
    <row r="302" spans="2:164" ht="26.1" customHeight="1" outlineLevel="1" thickBot="1" x14ac:dyDescent="0.3">
      <c r="B302" s="1018"/>
      <c r="C302" s="1020"/>
      <c r="D302" s="1034"/>
      <c r="E302" s="1038" t="s">
        <v>114</v>
      </c>
      <c r="F302" s="837" t="s">
        <v>112</v>
      </c>
      <c r="G302" s="803" t="str">
        <f>VLOOKUP(H302,инфо!AD:AE,2,FALSE)</f>
        <v>Первые блюда</v>
      </c>
      <c r="H302" s="579" t="s">
        <v>1203</v>
      </c>
      <c r="I302" s="588" t="s">
        <v>120</v>
      </c>
      <c r="J302" s="448"/>
      <c r="K302" s="449"/>
      <c r="L302" s="449"/>
      <c r="M302" s="449"/>
      <c r="N302" s="449"/>
      <c r="O302" s="449"/>
      <c r="P302" s="449"/>
      <c r="Q302" s="449"/>
      <c r="R302" s="449"/>
      <c r="S302" s="449"/>
      <c r="T302" s="449"/>
      <c r="U302" s="449"/>
      <c r="V302" s="449"/>
      <c r="W302" s="450"/>
      <c r="X302" s="450"/>
      <c r="Y302" s="450"/>
      <c r="Z302" s="450"/>
      <c r="AA302" s="450"/>
      <c r="AB302" s="450"/>
      <c r="AC302" s="450"/>
      <c r="AD302" s="450">
        <v>90</v>
      </c>
      <c r="AE302" s="450">
        <v>75</v>
      </c>
      <c r="AF302" s="450">
        <v>10</v>
      </c>
      <c r="AG302" s="450">
        <v>10</v>
      </c>
      <c r="AH302" s="450"/>
      <c r="AI302" s="450"/>
      <c r="AJ302" s="450">
        <v>70</v>
      </c>
      <c r="AK302" s="450"/>
      <c r="AL302" s="450"/>
      <c r="AM302" s="450"/>
      <c r="AN302" s="450"/>
      <c r="AO302" s="450">
        <v>5</v>
      </c>
      <c r="AP302" s="450"/>
      <c r="AQ302" s="450"/>
      <c r="AR302" s="450"/>
      <c r="AS302" s="450"/>
      <c r="AT302" s="450"/>
      <c r="AU302" s="450"/>
      <c r="AV302" s="450"/>
      <c r="AW302" s="450"/>
      <c r="AX302" s="450"/>
      <c r="AY302" s="450"/>
      <c r="AZ302" s="450"/>
      <c r="BA302" s="450"/>
      <c r="BB302" s="450"/>
      <c r="BC302" s="450"/>
      <c r="BD302" s="450"/>
      <c r="BE302" s="451"/>
      <c r="BF302" s="451"/>
      <c r="BG302" s="451"/>
      <c r="BH302" s="451"/>
      <c r="BI302" s="451"/>
      <c r="BJ302" s="451">
        <v>5</v>
      </c>
      <c r="BK302" s="451"/>
      <c r="BL302" s="451"/>
      <c r="BM302" s="451"/>
      <c r="BN302" s="452"/>
      <c r="BO302" s="452">
        <v>5</v>
      </c>
      <c r="BP302" s="452"/>
      <c r="BQ302" s="452"/>
      <c r="BR302" s="452"/>
      <c r="BS302" s="452"/>
      <c r="BT302" s="452"/>
      <c r="BU302" s="452"/>
      <c r="BV302" s="449"/>
      <c r="BW302" s="449"/>
      <c r="BX302" s="449"/>
      <c r="BY302" s="449"/>
      <c r="BZ302" s="449"/>
      <c r="CA302" s="449"/>
      <c r="CB302" s="449"/>
      <c r="CC302" s="453"/>
      <c r="CD302" s="453"/>
      <c r="CE302" s="453"/>
      <c r="CF302" s="453"/>
      <c r="CG302" s="453"/>
      <c r="CH302" s="453"/>
      <c r="CI302" s="453"/>
      <c r="CJ302" s="453"/>
      <c r="CK302" s="453"/>
      <c r="CL302" s="453"/>
      <c r="CM302" s="453"/>
      <c r="CN302" s="453"/>
      <c r="CO302" s="453"/>
      <c r="CP302" s="453"/>
      <c r="CQ302" s="453"/>
      <c r="CR302" s="453"/>
      <c r="CS302" s="454"/>
      <c r="CT302" s="454"/>
      <c r="CU302" s="454"/>
      <c r="CV302" s="454"/>
      <c r="CW302" s="454"/>
      <c r="CX302" s="454"/>
      <c r="CY302" s="454"/>
      <c r="CZ302" s="454"/>
      <c r="DA302" s="454"/>
      <c r="DB302" s="454"/>
      <c r="DC302" s="454"/>
      <c r="DD302" s="454"/>
      <c r="DE302" s="454"/>
      <c r="DF302" s="454"/>
      <c r="DG302" s="454"/>
      <c r="DH302" s="454"/>
      <c r="DI302" s="454"/>
      <c r="DJ302" s="454"/>
      <c r="DK302" s="454"/>
      <c r="DL302" s="454"/>
      <c r="DM302" s="454"/>
      <c r="DN302" s="940"/>
      <c r="DO302" s="455"/>
      <c r="DP302" s="455">
        <v>4</v>
      </c>
      <c r="DQ302" s="456">
        <v>0.02</v>
      </c>
      <c r="DR302" s="456">
        <v>0.05</v>
      </c>
      <c r="DS302" s="451">
        <v>2</v>
      </c>
      <c r="DT302" s="451"/>
      <c r="DU302" s="451"/>
      <c r="DV302" s="451"/>
      <c r="DW302" s="451">
        <v>2</v>
      </c>
      <c r="DX302" s="451"/>
      <c r="DY302" s="451"/>
      <c r="DZ302" s="451"/>
      <c r="EA302" s="451"/>
      <c r="EB302" s="451">
        <v>400</v>
      </c>
      <c r="EC302" s="451"/>
      <c r="ED302" s="451"/>
      <c r="EE302" s="451"/>
      <c r="EF302" s="451"/>
      <c r="EG302" s="451"/>
      <c r="EH302" s="451"/>
      <c r="EI302" s="451"/>
      <c r="EJ302" s="451"/>
      <c r="EK302" s="451"/>
      <c r="EL302" s="451"/>
      <c r="EM302" s="451"/>
      <c r="EN302" s="451"/>
      <c r="EO302" s="451"/>
      <c r="EP302" s="451"/>
      <c r="EQ302" s="451"/>
      <c r="ER302" s="451"/>
      <c r="ES302" s="451"/>
      <c r="ET302" s="451"/>
      <c r="EU302" s="451"/>
      <c r="EV302" s="451"/>
      <c r="EW302" s="451"/>
      <c r="EX302" s="451"/>
      <c r="EY302" s="451"/>
      <c r="EZ302" s="451"/>
      <c r="FA302" s="364">
        <v>250</v>
      </c>
      <c r="FB302" s="365">
        <v>500</v>
      </c>
      <c r="FC302" s="365"/>
      <c r="FD302" s="367">
        <f t="shared" si="536"/>
        <v>25</v>
      </c>
      <c r="FE302" s="790"/>
    </row>
    <row r="303" spans="2:164" ht="26.1" customHeight="1" outlineLevel="1" thickBot="1" x14ac:dyDescent="0.3">
      <c r="B303" s="1018"/>
      <c r="C303" s="1020"/>
      <c r="D303" s="1034"/>
      <c r="E303" s="1038"/>
      <c r="F303" s="838" t="s">
        <v>112</v>
      </c>
      <c r="G303" s="804" t="str">
        <f>VLOOKUP(H303,инфо!AD:AE,2,FALSE)</f>
        <v>Мясные (рыбные) блюда с соусом</v>
      </c>
      <c r="H303" s="580" t="s">
        <v>1209</v>
      </c>
      <c r="I303" s="574"/>
      <c r="J303" s="430"/>
      <c r="K303" s="431"/>
      <c r="L303" s="431"/>
      <c r="M303" s="431"/>
      <c r="N303" s="431"/>
      <c r="O303" s="431"/>
      <c r="P303" s="431"/>
      <c r="Q303" s="431"/>
      <c r="R303" s="431"/>
      <c r="S303" s="431"/>
      <c r="T303" s="431"/>
      <c r="U303" s="431"/>
      <c r="V303" s="431"/>
      <c r="W303" s="432"/>
      <c r="X303" s="432"/>
      <c r="Y303" s="432"/>
      <c r="Z303" s="432"/>
      <c r="AA303" s="432"/>
      <c r="AB303" s="432"/>
      <c r="AC303" s="432"/>
      <c r="AD303" s="432"/>
      <c r="AE303" s="432"/>
      <c r="AF303" s="432"/>
      <c r="AG303" s="432"/>
      <c r="AH303" s="432"/>
      <c r="AI303" s="432"/>
      <c r="AJ303" s="432"/>
      <c r="AK303" s="432"/>
      <c r="AL303" s="432"/>
      <c r="AM303" s="432"/>
      <c r="AN303" s="432"/>
      <c r="AO303" s="432"/>
      <c r="AP303" s="432"/>
      <c r="AQ303" s="432"/>
      <c r="AR303" s="432"/>
      <c r="AS303" s="432"/>
      <c r="AT303" s="432"/>
      <c r="AU303" s="432"/>
      <c r="AV303" s="432"/>
      <c r="AW303" s="432"/>
      <c r="AX303" s="432"/>
      <c r="AY303" s="432"/>
      <c r="AZ303" s="432"/>
      <c r="BA303" s="432"/>
      <c r="BB303" s="432"/>
      <c r="BC303" s="432"/>
      <c r="BD303" s="432"/>
      <c r="BE303" s="433"/>
      <c r="BF303" s="433"/>
      <c r="BG303" s="433"/>
      <c r="BH303" s="433"/>
      <c r="BI303" s="433"/>
      <c r="BJ303" s="433"/>
      <c r="BK303" s="433"/>
      <c r="BL303" s="433"/>
      <c r="BM303" s="433"/>
      <c r="BN303" s="434"/>
      <c r="BO303" s="434"/>
      <c r="BP303" s="434"/>
      <c r="BQ303" s="434"/>
      <c r="BR303" s="434"/>
      <c r="BS303" s="434"/>
      <c r="BT303" s="434"/>
      <c r="BU303" s="434"/>
      <c r="BV303" s="431"/>
      <c r="BW303" s="431"/>
      <c r="BX303" s="431"/>
      <c r="BY303" s="431"/>
      <c r="BZ303" s="431"/>
      <c r="CA303" s="431"/>
      <c r="CB303" s="431"/>
      <c r="CC303" s="435"/>
      <c r="CD303" s="435"/>
      <c r="CE303" s="435"/>
      <c r="CF303" s="435"/>
      <c r="CG303" s="435"/>
      <c r="CH303" s="435"/>
      <c r="CI303" s="435"/>
      <c r="CJ303" s="435"/>
      <c r="CK303" s="435"/>
      <c r="CL303" s="435"/>
      <c r="CM303" s="435"/>
      <c r="CN303" s="435"/>
      <c r="CO303" s="435"/>
      <c r="CP303" s="435"/>
      <c r="CQ303" s="435"/>
      <c r="CR303" s="435"/>
      <c r="CS303" s="436"/>
      <c r="CT303" s="436"/>
      <c r="CU303" s="436"/>
      <c r="CV303" s="436"/>
      <c r="CW303" s="436"/>
      <c r="CX303" s="436"/>
      <c r="CY303" s="436"/>
      <c r="CZ303" s="436"/>
      <c r="DA303" s="436"/>
      <c r="DB303" s="436"/>
      <c r="DC303" s="436"/>
      <c r="DD303" s="436"/>
      <c r="DE303" s="436"/>
      <c r="DF303" s="436"/>
      <c r="DG303" s="436"/>
      <c r="DH303" s="436"/>
      <c r="DI303" s="436"/>
      <c r="DJ303" s="436"/>
      <c r="DK303" s="436"/>
      <c r="DL303" s="436"/>
      <c r="DM303" s="436"/>
      <c r="DN303" s="938"/>
      <c r="DO303" s="437"/>
      <c r="DP303" s="437"/>
      <c r="DQ303" s="438"/>
      <c r="DR303" s="438"/>
      <c r="DS303" s="433"/>
      <c r="DT303" s="433"/>
      <c r="DU303" s="433"/>
      <c r="DV303" s="433"/>
      <c r="DW303" s="433"/>
      <c r="DX303" s="433"/>
      <c r="DY303" s="433"/>
      <c r="DZ303" s="433"/>
      <c r="EA303" s="433"/>
      <c r="EB303" s="433"/>
      <c r="EC303" s="433"/>
      <c r="ED303" s="433"/>
      <c r="EE303" s="433"/>
      <c r="EF303" s="433"/>
      <c r="EG303" s="433"/>
      <c r="EH303" s="433"/>
      <c r="EI303" s="433"/>
      <c r="EJ303" s="433"/>
      <c r="EK303" s="433"/>
      <c r="EL303" s="433"/>
      <c r="EM303" s="433"/>
      <c r="EN303" s="433"/>
      <c r="EO303" s="433"/>
      <c r="EP303" s="433"/>
      <c r="EQ303" s="433"/>
      <c r="ER303" s="433"/>
      <c r="ES303" s="433"/>
      <c r="ET303" s="433"/>
      <c r="EU303" s="433"/>
      <c r="EV303" s="433"/>
      <c r="EW303" s="433"/>
      <c r="EX303" s="433"/>
      <c r="EY303" s="433"/>
      <c r="EZ303" s="433"/>
      <c r="FA303" s="377"/>
      <c r="FB303" s="378"/>
      <c r="FC303" s="378"/>
      <c r="FD303" s="379">
        <f t="shared" si="536"/>
        <v>0</v>
      </c>
      <c r="FE303" s="790"/>
    </row>
    <row r="304" spans="2:164" ht="26.1" customHeight="1" outlineLevel="1" thickBot="1" x14ac:dyDescent="0.3">
      <c r="B304" s="1018"/>
      <c r="C304" s="1020"/>
      <c r="D304" s="1034"/>
      <c r="E304" s="1038"/>
      <c r="F304" s="840" t="s">
        <v>112</v>
      </c>
      <c r="G304" s="806" t="str">
        <f>VLOOKUP(H304,инфо!AD:AE,2,FALSE)</f>
        <v>Прочее</v>
      </c>
      <c r="H304" s="581" t="s">
        <v>1197</v>
      </c>
      <c r="I304" s="573"/>
      <c r="J304" s="457"/>
      <c r="K304" s="458"/>
      <c r="L304" s="458"/>
      <c r="M304" s="458"/>
      <c r="N304" s="458"/>
      <c r="O304" s="458"/>
      <c r="P304" s="458"/>
      <c r="Q304" s="458"/>
      <c r="R304" s="458"/>
      <c r="S304" s="458"/>
      <c r="T304" s="458"/>
      <c r="U304" s="458"/>
      <c r="V304" s="458"/>
      <c r="W304" s="459"/>
      <c r="X304" s="459"/>
      <c r="Y304" s="459"/>
      <c r="Z304" s="459"/>
      <c r="AA304" s="459"/>
      <c r="AB304" s="459"/>
      <c r="AC304" s="459"/>
      <c r="AD304" s="459"/>
      <c r="AE304" s="459"/>
      <c r="AF304" s="459"/>
      <c r="AG304" s="459"/>
      <c r="AH304" s="459"/>
      <c r="AI304" s="459"/>
      <c r="AJ304" s="459"/>
      <c r="AK304" s="459"/>
      <c r="AL304" s="459"/>
      <c r="AM304" s="459"/>
      <c r="AN304" s="459"/>
      <c r="AO304" s="459"/>
      <c r="AP304" s="459"/>
      <c r="AQ304" s="459"/>
      <c r="AR304" s="459"/>
      <c r="AS304" s="459"/>
      <c r="AT304" s="459"/>
      <c r="AU304" s="459"/>
      <c r="AV304" s="459"/>
      <c r="AW304" s="459"/>
      <c r="AX304" s="459"/>
      <c r="AY304" s="459"/>
      <c r="AZ304" s="459"/>
      <c r="BA304" s="459"/>
      <c r="BB304" s="459"/>
      <c r="BC304" s="459"/>
      <c r="BD304" s="459"/>
      <c r="BE304" s="460"/>
      <c r="BF304" s="460"/>
      <c r="BG304" s="460"/>
      <c r="BH304" s="460"/>
      <c r="BI304" s="460"/>
      <c r="BJ304" s="460"/>
      <c r="BK304" s="460"/>
      <c r="BL304" s="460"/>
      <c r="BM304" s="460"/>
      <c r="BN304" s="461"/>
      <c r="BO304" s="461"/>
      <c r="BP304" s="461"/>
      <c r="BQ304" s="461"/>
      <c r="BR304" s="461"/>
      <c r="BS304" s="461"/>
      <c r="BT304" s="461"/>
      <c r="BU304" s="461"/>
      <c r="BV304" s="458"/>
      <c r="BW304" s="458"/>
      <c r="BX304" s="458"/>
      <c r="BY304" s="458"/>
      <c r="BZ304" s="458"/>
      <c r="CA304" s="458"/>
      <c r="CB304" s="458"/>
      <c r="CC304" s="462"/>
      <c r="CD304" s="462"/>
      <c r="CE304" s="462"/>
      <c r="CF304" s="462"/>
      <c r="CG304" s="462"/>
      <c r="CH304" s="462"/>
      <c r="CI304" s="462"/>
      <c r="CJ304" s="462"/>
      <c r="CK304" s="462"/>
      <c r="CL304" s="462"/>
      <c r="CM304" s="462"/>
      <c r="CN304" s="462"/>
      <c r="CO304" s="462"/>
      <c r="CP304" s="462"/>
      <c r="CQ304" s="462"/>
      <c r="CR304" s="462"/>
      <c r="CS304" s="463"/>
      <c r="CT304" s="463"/>
      <c r="CU304" s="463"/>
      <c r="CV304" s="463"/>
      <c r="CW304" s="463"/>
      <c r="CX304" s="463"/>
      <c r="CY304" s="463"/>
      <c r="CZ304" s="463"/>
      <c r="DA304" s="463"/>
      <c r="DB304" s="463"/>
      <c r="DC304" s="463"/>
      <c r="DD304" s="463"/>
      <c r="DE304" s="463"/>
      <c r="DF304" s="463"/>
      <c r="DG304" s="463"/>
      <c r="DH304" s="463"/>
      <c r="DI304" s="463"/>
      <c r="DJ304" s="463"/>
      <c r="DK304" s="463"/>
      <c r="DL304" s="463"/>
      <c r="DM304" s="463"/>
      <c r="DN304" s="941"/>
      <c r="DO304" s="464"/>
      <c r="DP304" s="464"/>
      <c r="DQ304" s="465"/>
      <c r="DR304" s="465"/>
      <c r="DS304" s="460"/>
      <c r="DT304" s="460"/>
      <c r="DU304" s="460"/>
      <c r="DV304" s="460"/>
      <c r="DW304" s="460"/>
      <c r="DX304" s="460"/>
      <c r="DY304" s="460"/>
      <c r="DZ304" s="460"/>
      <c r="EA304" s="460"/>
      <c r="EB304" s="460"/>
      <c r="EC304" s="460"/>
      <c r="ED304" s="460"/>
      <c r="EE304" s="460"/>
      <c r="EF304" s="460"/>
      <c r="EG304" s="460"/>
      <c r="EH304" s="460"/>
      <c r="EI304" s="460"/>
      <c r="EJ304" s="460"/>
      <c r="EK304" s="460"/>
      <c r="EL304" s="460"/>
      <c r="EM304" s="460"/>
      <c r="EN304" s="460"/>
      <c r="EO304" s="460"/>
      <c r="EP304" s="460"/>
      <c r="EQ304" s="460"/>
      <c r="ER304" s="460"/>
      <c r="ES304" s="460"/>
      <c r="ET304" s="460"/>
      <c r="EU304" s="460"/>
      <c r="EV304" s="460"/>
      <c r="EW304" s="460"/>
      <c r="EX304" s="460"/>
      <c r="EY304" s="460"/>
      <c r="EZ304" s="460"/>
      <c r="FA304" s="402"/>
      <c r="FB304" s="403"/>
      <c r="FC304" s="403"/>
      <c r="FD304" s="404">
        <f t="shared" si="536"/>
        <v>0</v>
      </c>
      <c r="FE304" s="790"/>
    </row>
    <row r="305" spans="2:164" ht="26.1" customHeight="1" outlineLevel="1" thickBot="1" x14ac:dyDescent="0.3">
      <c r="B305" s="1018"/>
      <c r="C305" s="1020"/>
      <c r="D305" s="1034"/>
      <c r="E305" s="1038" t="s">
        <v>115</v>
      </c>
      <c r="F305" s="837" t="s">
        <v>112</v>
      </c>
      <c r="G305" s="803" t="str">
        <f>VLOOKUP(H305,инфо!AD:AE,2,FALSE)</f>
        <v>Прочее</v>
      </c>
      <c r="H305" s="579" t="s">
        <v>1197</v>
      </c>
      <c r="I305" s="588" t="s">
        <v>142</v>
      </c>
      <c r="J305" s="448"/>
      <c r="K305" s="449"/>
      <c r="L305" s="449"/>
      <c r="M305" s="449"/>
      <c r="N305" s="449"/>
      <c r="O305" s="449"/>
      <c r="P305" s="449"/>
      <c r="Q305" s="449"/>
      <c r="R305" s="449"/>
      <c r="S305" s="449"/>
      <c r="T305" s="449"/>
      <c r="U305" s="449"/>
      <c r="V305" s="449"/>
      <c r="W305" s="450"/>
      <c r="X305" s="466"/>
      <c r="Y305" s="450"/>
      <c r="Z305" s="450"/>
      <c r="AA305" s="450"/>
      <c r="AB305" s="450"/>
      <c r="AC305" s="450"/>
      <c r="AD305" s="450"/>
      <c r="AE305" s="450"/>
      <c r="AF305" s="450"/>
      <c r="AG305" s="450"/>
      <c r="AH305" s="450"/>
      <c r="AI305" s="450"/>
      <c r="AJ305" s="450"/>
      <c r="AK305" s="450"/>
      <c r="AL305" s="450"/>
      <c r="AM305" s="450"/>
      <c r="AN305" s="450"/>
      <c r="AO305" s="450"/>
      <c r="AP305" s="450"/>
      <c r="AQ305" s="450"/>
      <c r="AR305" s="450"/>
      <c r="AS305" s="450"/>
      <c r="AT305" s="450"/>
      <c r="AU305" s="450"/>
      <c r="AV305" s="450"/>
      <c r="AW305" s="450"/>
      <c r="AX305" s="450"/>
      <c r="AY305" s="450"/>
      <c r="AZ305" s="450"/>
      <c r="BA305" s="450"/>
      <c r="BB305" s="450"/>
      <c r="BC305" s="450"/>
      <c r="BD305" s="450"/>
      <c r="BE305" s="451"/>
      <c r="BF305" s="451"/>
      <c r="BG305" s="451"/>
      <c r="BH305" s="451"/>
      <c r="BI305" s="451"/>
      <c r="BJ305" s="451"/>
      <c r="BK305" s="451"/>
      <c r="BL305" s="451"/>
      <c r="BM305" s="451"/>
      <c r="BN305" s="452"/>
      <c r="BO305" s="452"/>
      <c r="BP305" s="452"/>
      <c r="BQ305" s="452"/>
      <c r="BR305" s="452"/>
      <c r="BS305" s="452"/>
      <c r="BT305" s="452"/>
      <c r="BU305" s="452"/>
      <c r="BV305" s="449"/>
      <c r="BW305" s="449"/>
      <c r="BX305" s="449"/>
      <c r="BY305" s="449"/>
      <c r="BZ305" s="449"/>
      <c r="CA305" s="449"/>
      <c r="CB305" s="449"/>
      <c r="CC305" s="453"/>
      <c r="CD305" s="453"/>
      <c r="CE305" s="453"/>
      <c r="CF305" s="453"/>
      <c r="CG305" s="453"/>
      <c r="CH305" s="453"/>
      <c r="CI305" s="453"/>
      <c r="CJ305" s="453"/>
      <c r="CK305" s="453"/>
      <c r="CL305" s="453"/>
      <c r="CM305" s="453"/>
      <c r="CN305" s="453"/>
      <c r="CO305" s="453"/>
      <c r="CP305" s="453"/>
      <c r="CQ305" s="453"/>
      <c r="CR305" s="453"/>
      <c r="CS305" s="454"/>
      <c r="CT305" s="454"/>
      <c r="CU305" s="454"/>
      <c r="CV305" s="454"/>
      <c r="CW305" s="454"/>
      <c r="CX305" s="454"/>
      <c r="CY305" s="454"/>
      <c r="CZ305" s="454"/>
      <c r="DA305" s="454"/>
      <c r="DB305" s="454"/>
      <c r="DC305" s="454"/>
      <c r="DD305" s="454"/>
      <c r="DE305" s="454"/>
      <c r="DF305" s="454"/>
      <c r="DG305" s="454"/>
      <c r="DH305" s="454"/>
      <c r="DI305" s="454"/>
      <c r="DJ305" s="454"/>
      <c r="DK305" s="454"/>
      <c r="DL305" s="454"/>
      <c r="DM305" s="454"/>
      <c r="DN305" s="940"/>
      <c r="DO305" s="455"/>
      <c r="DP305" s="455"/>
      <c r="DQ305" s="456"/>
      <c r="DR305" s="456"/>
      <c r="DS305" s="451"/>
      <c r="DT305" s="451">
        <v>5</v>
      </c>
      <c r="DU305" s="451"/>
      <c r="DV305" s="451"/>
      <c r="DW305" s="451"/>
      <c r="DX305" s="451"/>
      <c r="DY305" s="451"/>
      <c r="DZ305" s="451"/>
      <c r="EA305" s="451"/>
      <c r="EB305" s="451"/>
      <c r="EC305" s="451"/>
      <c r="ED305" s="451"/>
      <c r="EE305" s="451"/>
      <c r="EF305" s="451"/>
      <c r="EG305" s="451"/>
      <c r="EH305" s="451"/>
      <c r="EI305" s="451"/>
      <c r="EJ305" s="451"/>
      <c r="EK305" s="451"/>
      <c r="EL305" s="451"/>
      <c r="EM305" s="451"/>
      <c r="EN305" s="451"/>
      <c r="EO305" s="451"/>
      <c r="EP305" s="451"/>
      <c r="EQ305" s="451"/>
      <c r="ER305" s="451"/>
      <c r="ES305" s="451"/>
      <c r="ET305" s="451"/>
      <c r="EU305" s="451"/>
      <c r="EV305" s="451"/>
      <c r="EW305" s="451"/>
      <c r="EX305" s="451"/>
      <c r="EY305" s="451"/>
      <c r="EZ305" s="451"/>
      <c r="FA305" s="364"/>
      <c r="FB305" s="365">
        <v>5</v>
      </c>
      <c r="FC305" s="365"/>
      <c r="FD305" s="367">
        <f t="shared" si="536"/>
        <v>0</v>
      </c>
      <c r="FE305" s="790"/>
    </row>
    <row r="306" spans="2:164" ht="26.1" customHeight="1" outlineLevel="1" thickBot="1" x14ac:dyDescent="0.3">
      <c r="B306" s="1018"/>
      <c r="C306" s="1020"/>
      <c r="D306" s="1034"/>
      <c r="E306" s="1038"/>
      <c r="F306" s="838" t="s">
        <v>112</v>
      </c>
      <c r="G306" s="804" t="str">
        <f>VLOOKUP(H306,инфо!AD:AE,2,FALSE)</f>
        <v>Мясные (рыбные) блюда с соусом</v>
      </c>
      <c r="H306" s="580" t="s">
        <v>1209</v>
      </c>
      <c r="I306" s="588" t="s">
        <v>654</v>
      </c>
      <c r="J306" s="430"/>
      <c r="K306" s="431"/>
      <c r="L306" s="431"/>
      <c r="M306" s="431"/>
      <c r="N306" s="431"/>
      <c r="O306" s="431"/>
      <c r="P306" s="431"/>
      <c r="Q306" s="431"/>
      <c r="R306" s="431"/>
      <c r="S306" s="431"/>
      <c r="T306" s="431"/>
      <c r="U306" s="431"/>
      <c r="V306" s="431"/>
      <c r="W306" s="432"/>
      <c r="X306" s="432">
        <v>2</v>
      </c>
      <c r="Y306" s="432"/>
      <c r="Z306" s="432"/>
      <c r="AA306" s="432"/>
      <c r="AB306" s="432"/>
      <c r="AC306" s="432"/>
      <c r="AD306" s="432">
        <v>405</v>
      </c>
      <c r="AE306" s="432"/>
      <c r="AF306" s="432">
        <v>10</v>
      </c>
      <c r="AG306" s="432">
        <v>10</v>
      </c>
      <c r="AH306" s="432"/>
      <c r="AI306" s="432"/>
      <c r="AJ306" s="432"/>
      <c r="AK306" s="432"/>
      <c r="AL306" s="432"/>
      <c r="AM306" s="432"/>
      <c r="AN306" s="432"/>
      <c r="AO306" s="432"/>
      <c r="AP306" s="432"/>
      <c r="AQ306" s="432"/>
      <c r="AR306" s="432"/>
      <c r="AS306" s="432"/>
      <c r="AT306" s="432"/>
      <c r="AU306" s="432"/>
      <c r="AV306" s="432"/>
      <c r="AW306" s="432"/>
      <c r="AX306" s="432"/>
      <c r="AY306" s="432"/>
      <c r="AZ306" s="432"/>
      <c r="BA306" s="432"/>
      <c r="BB306" s="432"/>
      <c r="BC306" s="432"/>
      <c r="BD306" s="432"/>
      <c r="BE306" s="433"/>
      <c r="BF306" s="433"/>
      <c r="BG306" s="433"/>
      <c r="BH306" s="433"/>
      <c r="BI306" s="433"/>
      <c r="BJ306" s="433"/>
      <c r="BK306" s="433"/>
      <c r="BL306" s="433"/>
      <c r="BM306" s="433"/>
      <c r="BN306" s="434"/>
      <c r="BO306" s="434">
        <v>5</v>
      </c>
      <c r="BP306" s="434"/>
      <c r="BQ306" s="434"/>
      <c r="BR306" s="434"/>
      <c r="BS306" s="434"/>
      <c r="BT306" s="434"/>
      <c r="BU306" s="434"/>
      <c r="BV306" s="431"/>
      <c r="BW306" s="431"/>
      <c r="BX306" s="431"/>
      <c r="BY306" s="431"/>
      <c r="BZ306" s="431">
        <v>100</v>
      </c>
      <c r="CA306" s="431"/>
      <c r="CB306" s="431"/>
      <c r="CC306" s="435"/>
      <c r="CD306" s="435"/>
      <c r="CE306" s="435"/>
      <c r="CF306" s="435"/>
      <c r="CG306" s="435"/>
      <c r="CH306" s="435"/>
      <c r="CI306" s="435"/>
      <c r="CJ306" s="435"/>
      <c r="CK306" s="435"/>
      <c r="CL306" s="435"/>
      <c r="CM306" s="435"/>
      <c r="CN306" s="435"/>
      <c r="CO306" s="435"/>
      <c r="CP306" s="435"/>
      <c r="CQ306" s="435"/>
      <c r="CR306" s="435"/>
      <c r="CS306" s="436"/>
      <c r="CT306" s="436"/>
      <c r="CU306" s="436"/>
      <c r="CV306" s="436"/>
      <c r="CW306" s="436"/>
      <c r="CX306" s="436"/>
      <c r="CY306" s="436"/>
      <c r="CZ306" s="436"/>
      <c r="DA306" s="436"/>
      <c r="DB306" s="436"/>
      <c r="DC306" s="436"/>
      <c r="DD306" s="436"/>
      <c r="DE306" s="436"/>
      <c r="DF306" s="436"/>
      <c r="DG306" s="436"/>
      <c r="DH306" s="436"/>
      <c r="DI306" s="436"/>
      <c r="DJ306" s="436"/>
      <c r="DK306" s="436"/>
      <c r="DL306" s="436"/>
      <c r="DM306" s="436"/>
      <c r="DN306" s="938"/>
      <c r="DO306" s="437"/>
      <c r="DP306" s="437">
        <v>2</v>
      </c>
      <c r="DQ306" s="438">
        <v>0.01</v>
      </c>
      <c r="DR306" s="438">
        <v>0.01</v>
      </c>
      <c r="DS306" s="433">
        <v>2</v>
      </c>
      <c r="DT306" s="433"/>
      <c r="DU306" s="433"/>
      <c r="DV306" s="433"/>
      <c r="DW306" s="433"/>
      <c r="DX306" s="433"/>
      <c r="DY306" s="433"/>
      <c r="DZ306" s="433"/>
      <c r="EA306" s="433"/>
      <c r="EB306" s="433"/>
      <c r="EC306" s="433"/>
      <c r="ED306" s="433"/>
      <c r="EE306" s="433"/>
      <c r="EF306" s="433"/>
      <c r="EG306" s="433"/>
      <c r="EH306" s="433"/>
      <c r="EI306" s="433"/>
      <c r="EJ306" s="433"/>
      <c r="EK306" s="433"/>
      <c r="EL306" s="433"/>
      <c r="EM306" s="433"/>
      <c r="EN306" s="433"/>
      <c r="EO306" s="433"/>
      <c r="EP306" s="433"/>
      <c r="EQ306" s="433"/>
      <c r="ER306" s="433"/>
      <c r="ES306" s="433"/>
      <c r="ET306" s="433"/>
      <c r="EU306" s="433"/>
      <c r="EV306" s="433"/>
      <c r="EW306" s="433"/>
      <c r="EX306" s="433"/>
      <c r="EY306" s="433"/>
      <c r="EZ306" s="433"/>
      <c r="FA306" s="377">
        <v>375</v>
      </c>
      <c r="FB306" s="378">
        <v>339</v>
      </c>
      <c r="FC306" s="378">
        <v>58</v>
      </c>
      <c r="FD306" s="379">
        <f t="shared" si="536"/>
        <v>0</v>
      </c>
      <c r="FE306" s="790"/>
    </row>
    <row r="307" spans="2:164" ht="26.1" customHeight="1" outlineLevel="1" thickBot="1" x14ac:dyDescent="0.3">
      <c r="B307" s="1018"/>
      <c r="C307" s="1020"/>
      <c r="D307" s="1034"/>
      <c r="E307" s="1038"/>
      <c r="F307" s="838" t="s">
        <v>112</v>
      </c>
      <c r="G307" s="804" t="str">
        <f>VLOOKUP(H307,инфо!AD:AE,2,FALSE)</f>
        <v>Прочее</v>
      </c>
      <c r="H307" s="580" t="s">
        <v>1197</v>
      </c>
      <c r="I307" s="590" t="s">
        <v>165</v>
      </c>
      <c r="J307" s="430"/>
      <c r="K307" s="431"/>
      <c r="L307" s="431"/>
      <c r="M307" s="431"/>
      <c r="N307" s="431"/>
      <c r="O307" s="431"/>
      <c r="P307" s="431"/>
      <c r="Q307" s="431"/>
      <c r="R307" s="431"/>
      <c r="S307" s="431"/>
      <c r="T307" s="431"/>
      <c r="U307" s="431"/>
      <c r="V307" s="431"/>
      <c r="W307" s="432"/>
      <c r="X307" s="432"/>
      <c r="Y307" s="432"/>
      <c r="Z307" s="432"/>
      <c r="AA307" s="432"/>
      <c r="AB307" s="432"/>
      <c r="AC307" s="432"/>
      <c r="AD307" s="432"/>
      <c r="AE307" s="432"/>
      <c r="AF307" s="432"/>
      <c r="AG307" s="432"/>
      <c r="AH307" s="432"/>
      <c r="AI307" s="432"/>
      <c r="AJ307" s="432"/>
      <c r="AK307" s="432"/>
      <c r="AL307" s="432"/>
      <c r="AM307" s="432"/>
      <c r="AN307" s="432"/>
      <c r="AO307" s="432"/>
      <c r="AP307" s="432"/>
      <c r="AQ307" s="432"/>
      <c r="AR307" s="432"/>
      <c r="AS307" s="432"/>
      <c r="AT307" s="432"/>
      <c r="AU307" s="432"/>
      <c r="AV307" s="432"/>
      <c r="AW307" s="432"/>
      <c r="AX307" s="432"/>
      <c r="AY307" s="432"/>
      <c r="AZ307" s="432"/>
      <c r="BA307" s="432"/>
      <c r="BB307" s="432"/>
      <c r="BC307" s="432"/>
      <c r="BD307" s="432"/>
      <c r="BE307" s="433"/>
      <c r="BF307" s="433"/>
      <c r="BG307" s="433"/>
      <c r="BH307" s="433"/>
      <c r="BI307" s="433"/>
      <c r="BJ307" s="433"/>
      <c r="BK307" s="433"/>
      <c r="BL307" s="433"/>
      <c r="BM307" s="433"/>
      <c r="BN307" s="434"/>
      <c r="BO307" s="434"/>
      <c r="BP307" s="434">
        <v>15</v>
      </c>
      <c r="BQ307" s="434"/>
      <c r="BR307" s="434"/>
      <c r="BS307" s="434"/>
      <c r="BT307" s="434"/>
      <c r="BU307" s="434"/>
      <c r="BV307" s="431"/>
      <c r="BW307" s="431"/>
      <c r="BX307" s="431"/>
      <c r="BY307" s="431"/>
      <c r="BZ307" s="431"/>
      <c r="CA307" s="431"/>
      <c r="CB307" s="431"/>
      <c r="CC307" s="435"/>
      <c r="CD307" s="435"/>
      <c r="CE307" s="435"/>
      <c r="CF307" s="435"/>
      <c r="CG307" s="435"/>
      <c r="CH307" s="435"/>
      <c r="CI307" s="435"/>
      <c r="CJ307" s="435"/>
      <c r="CK307" s="435"/>
      <c r="CL307" s="435"/>
      <c r="CM307" s="435"/>
      <c r="CN307" s="435"/>
      <c r="CO307" s="435"/>
      <c r="CP307" s="435"/>
      <c r="CQ307" s="435"/>
      <c r="CR307" s="435"/>
      <c r="CS307" s="436"/>
      <c r="CT307" s="436"/>
      <c r="CU307" s="436"/>
      <c r="CV307" s="436"/>
      <c r="CW307" s="436"/>
      <c r="CX307" s="436"/>
      <c r="CY307" s="436"/>
      <c r="CZ307" s="436"/>
      <c r="DA307" s="436"/>
      <c r="DB307" s="436"/>
      <c r="DC307" s="436"/>
      <c r="DD307" s="436"/>
      <c r="DE307" s="436"/>
      <c r="DF307" s="436"/>
      <c r="DG307" s="436"/>
      <c r="DH307" s="436"/>
      <c r="DI307" s="436"/>
      <c r="DJ307" s="436"/>
      <c r="DK307" s="436"/>
      <c r="DL307" s="436"/>
      <c r="DM307" s="436"/>
      <c r="DN307" s="938"/>
      <c r="DO307" s="437"/>
      <c r="DP307" s="437"/>
      <c r="DQ307" s="438"/>
      <c r="DR307" s="438"/>
      <c r="DS307" s="433"/>
      <c r="DT307" s="433"/>
      <c r="DU307" s="433"/>
      <c r="DV307" s="433"/>
      <c r="DW307" s="433"/>
      <c r="DX307" s="433"/>
      <c r="DY307" s="433"/>
      <c r="DZ307" s="433"/>
      <c r="EA307" s="433"/>
      <c r="EB307" s="433"/>
      <c r="EC307" s="433"/>
      <c r="ED307" s="433"/>
      <c r="EE307" s="433"/>
      <c r="EF307" s="433"/>
      <c r="EG307" s="433"/>
      <c r="EH307" s="433"/>
      <c r="EI307" s="433"/>
      <c r="EJ307" s="433"/>
      <c r="EK307" s="433"/>
      <c r="EL307" s="433"/>
      <c r="EM307" s="433"/>
      <c r="EN307" s="433"/>
      <c r="EO307" s="433"/>
      <c r="EP307" s="433"/>
      <c r="EQ307" s="433"/>
      <c r="ER307" s="433"/>
      <c r="ES307" s="433"/>
      <c r="ET307" s="433"/>
      <c r="EU307" s="433"/>
      <c r="EV307" s="433"/>
      <c r="EW307" s="433"/>
      <c r="EX307" s="433"/>
      <c r="EY307" s="433"/>
      <c r="EZ307" s="433"/>
      <c r="FA307" s="377"/>
      <c r="FB307" s="378">
        <v>15</v>
      </c>
      <c r="FC307" s="378"/>
      <c r="FD307" s="379">
        <f t="shared" si="536"/>
        <v>0</v>
      </c>
      <c r="FE307" s="790"/>
    </row>
    <row r="308" spans="2:164" ht="26.1" customHeight="1" outlineLevel="1" thickBot="1" x14ac:dyDescent="0.35">
      <c r="B308" s="1018"/>
      <c r="C308" s="1020"/>
      <c r="D308" s="1034"/>
      <c r="E308" s="1038"/>
      <c r="F308" s="840" t="s">
        <v>112</v>
      </c>
      <c r="G308" s="806" t="str">
        <f>VLOOKUP(H308,инфо!AD:AE,2,FALSE)</f>
        <v>Прочее</v>
      </c>
      <c r="H308" s="581" t="s">
        <v>1197</v>
      </c>
      <c r="I308" s="573"/>
      <c r="J308" s="457"/>
      <c r="K308" s="458"/>
      <c r="L308" s="458"/>
      <c r="M308" s="458"/>
      <c r="N308" s="458"/>
      <c r="O308" s="458"/>
      <c r="P308" s="458"/>
      <c r="Q308" s="458"/>
      <c r="R308" s="458"/>
      <c r="S308" s="458"/>
      <c r="T308" s="458"/>
      <c r="U308" s="458"/>
      <c r="V308" s="458"/>
      <c r="W308" s="459"/>
      <c r="X308" s="459"/>
      <c r="Y308" s="459"/>
      <c r="Z308" s="459"/>
      <c r="AA308" s="459"/>
      <c r="AB308" s="459"/>
      <c r="AC308" s="459"/>
      <c r="AD308" s="459"/>
      <c r="AE308" s="459"/>
      <c r="AF308" s="459"/>
      <c r="AG308" s="459"/>
      <c r="AH308" s="459"/>
      <c r="AI308" s="459"/>
      <c r="AJ308" s="459"/>
      <c r="AK308" s="459"/>
      <c r="AL308" s="459"/>
      <c r="AM308" s="459"/>
      <c r="AN308" s="459"/>
      <c r="AO308" s="459"/>
      <c r="AP308" s="459"/>
      <c r="AQ308" s="459"/>
      <c r="AR308" s="459"/>
      <c r="AS308" s="459"/>
      <c r="AT308" s="459"/>
      <c r="AU308" s="459"/>
      <c r="AV308" s="459"/>
      <c r="AW308" s="459"/>
      <c r="AX308" s="459"/>
      <c r="AY308" s="459"/>
      <c r="AZ308" s="459"/>
      <c r="BA308" s="459"/>
      <c r="BB308" s="459"/>
      <c r="BC308" s="459"/>
      <c r="BD308" s="459"/>
      <c r="BE308" s="460"/>
      <c r="BF308" s="460"/>
      <c r="BG308" s="460"/>
      <c r="BH308" s="460"/>
      <c r="BI308" s="460"/>
      <c r="BJ308" s="460"/>
      <c r="BK308" s="460"/>
      <c r="BL308" s="460"/>
      <c r="BM308" s="460"/>
      <c r="BN308" s="461"/>
      <c r="BO308" s="461"/>
      <c r="BP308" s="461"/>
      <c r="BQ308" s="461"/>
      <c r="BR308" s="461"/>
      <c r="BS308" s="461"/>
      <c r="BT308" s="461"/>
      <c r="BU308" s="461"/>
      <c r="BV308" s="458"/>
      <c r="BW308" s="458"/>
      <c r="BX308" s="458"/>
      <c r="BY308" s="458"/>
      <c r="BZ308" s="458"/>
      <c r="CA308" s="458"/>
      <c r="CB308" s="458"/>
      <c r="CC308" s="462"/>
      <c r="CD308" s="462"/>
      <c r="CE308" s="462"/>
      <c r="CF308" s="462"/>
      <c r="CG308" s="462"/>
      <c r="CH308" s="462"/>
      <c r="CI308" s="462"/>
      <c r="CJ308" s="462"/>
      <c r="CK308" s="462"/>
      <c r="CL308" s="462"/>
      <c r="CM308" s="462"/>
      <c r="CN308" s="462"/>
      <c r="CO308" s="462"/>
      <c r="CP308" s="462"/>
      <c r="CQ308" s="462"/>
      <c r="CR308" s="462"/>
      <c r="CS308" s="463"/>
      <c r="CT308" s="463"/>
      <c r="CU308" s="463"/>
      <c r="CV308" s="463"/>
      <c r="CW308" s="463"/>
      <c r="CX308" s="463"/>
      <c r="CY308" s="463"/>
      <c r="CZ308" s="463"/>
      <c r="DA308" s="463"/>
      <c r="DB308" s="463"/>
      <c r="DC308" s="463"/>
      <c r="DD308" s="463"/>
      <c r="DE308" s="463"/>
      <c r="DF308" s="463"/>
      <c r="DG308" s="463"/>
      <c r="DH308" s="463"/>
      <c r="DI308" s="463"/>
      <c r="DJ308" s="463"/>
      <c r="DK308" s="463"/>
      <c r="DL308" s="463"/>
      <c r="DM308" s="463"/>
      <c r="DN308" s="941"/>
      <c r="DO308" s="464"/>
      <c r="DP308" s="464"/>
      <c r="DQ308" s="465"/>
      <c r="DR308" s="465"/>
      <c r="DS308" s="460"/>
      <c r="DT308" s="467"/>
      <c r="DU308" s="467"/>
      <c r="DV308" s="467"/>
      <c r="DW308" s="467"/>
      <c r="DX308" s="467"/>
      <c r="DY308" s="467"/>
      <c r="DZ308" s="467"/>
      <c r="EA308" s="467"/>
      <c r="EB308" s="467"/>
      <c r="EC308" s="467"/>
      <c r="ED308" s="467"/>
      <c r="EE308" s="467"/>
      <c r="EF308" s="467"/>
      <c r="EG308" s="467"/>
      <c r="EH308" s="467"/>
      <c r="EI308" s="467"/>
      <c r="EJ308" s="467"/>
      <c r="EK308" s="467"/>
      <c r="EL308" s="467"/>
      <c r="EM308" s="467"/>
      <c r="EN308" s="467"/>
      <c r="EO308" s="467"/>
      <c r="EP308" s="467"/>
      <c r="EQ308" s="467"/>
      <c r="ER308" s="467"/>
      <c r="ES308" s="467"/>
      <c r="ET308" s="467"/>
      <c r="EU308" s="467"/>
      <c r="EV308" s="467"/>
      <c r="EW308" s="467"/>
      <c r="EX308" s="467"/>
      <c r="EY308" s="467"/>
      <c r="EZ308" s="467"/>
      <c r="FA308" s="402"/>
      <c r="FB308" s="403"/>
      <c r="FC308" s="403"/>
      <c r="FD308" s="404">
        <f t="shared" si="536"/>
        <v>0</v>
      </c>
      <c r="FE308" s="790"/>
    </row>
    <row r="309" spans="2:164" ht="26.1" customHeight="1" outlineLevel="1" thickBot="1" x14ac:dyDescent="0.35">
      <c r="B309" s="1018"/>
      <c r="C309" s="1020"/>
      <c r="D309" s="1034"/>
      <c r="E309" s="1042" t="s">
        <v>116</v>
      </c>
      <c r="F309" s="841" t="s">
        <v>112</v>
      </c>
      <c r="G309" s="807" t="str">
        <f>VLOOKUP(H309,инфо!AD:AE,2,FALSE)</f>
        <v>Прочее</v>
      </c>
      <c r="H309" s="577" t="s">
        <v>1197</v>
      </c>
      <c r="I309" s="588" t="s">
        <v>60</v>
      </c>
      <c r="J309" s="421"/>
      <c r="K309" s="422"/>
      <c r="L309" s="422"/>
      <c r="M309" s="422"/>
      <c r="N309" s="422"/>
      <c r="O309" s="422"/>
      <c r="P309" s="422"/>
      <c r="Q309" s="422"/>
      <c r="R309" s="422"/>
      <c r="S309" s="422"/>
      <c r="T309" s="422"/>
      <c r="U309" s="422"/>
      <c r="V309" s="422"/>
      <c r="W309" s="423"/>
      <c r="X309" s="423"/>
      <c r="Y309" s="423"/>
      <c r="Z309" s="423"/>
      <c r="AA309" s="423"/>
      <c r="AB309" s="423"/>
      <c r="AC309" s="423"/>
      <c r="AD309" s="423"/>
      <c r="AE309" s="423"/>
      <c r="AF309" s="423"/>
      <c r="AG309" s="423"/>
      <c r="AH309" s="423"/>
      <c r="AI309" s="423"/>
      <c r="AJ309" s="423"/>
      <c r="AK309" s="423"/>
      <c r="AL309" s="423"/>
      <c r="AM309" s="423"/>
      <c r="AN309" s="423"/>
      <c r="AO309" s="423"/>
      <c r="AP309" s="423"/>
      <c r="AQ309" s="423"/>
      <c r="AR309" s="423"/>
      <c r="AS309" s="423"/>
      <c r="AT309" s="423"/>
      <c r="AU309" s="423"/>
      <c r="AV309" s="423"/>
      <c r="AW309" s="423"/>
      <c r="AX309" s="423"/>
      <c r="AY309" s="423"/>
      <c r="AZ309" s="423"/>
      <c r="BA309" s="423"/>
      <c r="BB309" s="423"/>
      <c r="BC309" s="423"/>
      <c r="BD309" s="423"/>
      <c r="BE309" s="424"/>
      <c r="BF309" s="424"/>
      <c r="BG309" s="424"/>
      <c r="BH309" s="424"/>
      <c r="BI309" s="424"/>
      <c r="BJ309" s="424"/>
      <c r="BK309" s="424"/>
      <c r="BL309" s="424"/>
      <c r="BM309" s="424"/>
      <c r="BN309" s="425">
        <v>15</v>
      </c>
      <c r="BO309" s="425"/>
      <c r="BP309" s="425"/>
      <c r="BQ309" s="425"/>
      <c r="BR309" s="425"/>
      <c r="BS309" s="425"/>
      <c r="BT309" s="425"/>
      <c r="BU309" s="425"/>
      <c r="BV309" s="422"/>
      <c r="BW309" s="422"/>
      <c r="BX309" s="422"/>
      <c r="BY309" s="422"/>
      <c r="BZ309" s="422"/>
      <c r="CA309" s="422"/>
      <c r="CB309" s="422"/>
      <c r="CC309" s="426"/>
      <c r="CD309" s="426"/>
      <c r="CE309" s="426"/>
      <c r="CF309" s="426"/>
      <c r="CG309" s="426"/>
      <c r="CH309" s="426"/>
      <c r="CI309" s="426"/>
      <c r="CJ309" s="426"/>
      <c r="CK309" s="426"/>
      <c r="CL309" s="426"/>
      <c r="CM309" s="426"/>
      <c r="CN309" s="426"/>
      <c r="CO309" s="426"/>
      <c r="CP309" s="426"/>
      <c r="CQ309" s="426"/>
      <c r="CR309" s="426"/>
      <c r="CS309" s="427"/>
      <c r="CT309" s="427"/>
      <c r="CU309" s="427"/>
      <c r="CV309" s="427"/>
      <c r="CW309" s="427"/>
      <c r="CX309" s="427"/>
      <c r="CY309" s="427"/>
      <c r="CZ309" s="427"/>
      <c r="DA309" s="427"/>
      <c r="DB309" s="427"/>
      <c r="DC309" s="427"/>
      <c r="DD309" s="427"/>
      <c r="DE309" s="427"/>
      <c r="DF309" s="427"/>
      <c r="DG309" s="427"/>
      <c r="DH309" s="427"/>
      <c r="DI309" s="427"/>
      <c r="DJ309" s="427"/>
      <c r="DK309" s="427"/>
      <c r="DL309" s="427"/>
      <c r="DM309" s="427"/>
      <c r="DN309" s="937"/>
      <c r="DO309" s="428"/>
      <c r="DP309" s="428"/>
      <c r="DQ309" s="429"/>
      <c r="DR309" s="429"/>
      <c r="DS309" s="424"/>
      <c r="DT309" s="468"/>
      <c r="DU309" s="468"/>
      <c r="DV309" s="468"/>
      <c r="DW309" s="468"/>
      <c r="DX309" s="468"/>
      <c r="DY309" s="468"/>
      <c r="DZ309" s="468"/>
      <c r="EA309" s="468"/>
      <c r="EB309" s="468"/>
      <c r="EC309" s="468"/>
      <c r="ED309" s="468"/>
      <c r="EE309" s="468"/>
      <c r="EF309" s="468"/>
      <c r="EG309" s="468"/>
      <c r="EH309" s="468"/>
      <c r="EI309" s="468"/>
      <c r="EJ309" s="468"/>
      <c r="EK309" s="468"/>
      <c r="EL309" s="468"/>
      <c r="EM309" s="468"/>
      <c r="EN309" s="468"/>
      <c r="EO309" s="468"/>
      <c r="EP309" s="468"/>
      <c r="EQ309" s="468"/>
      <c r="ER309" s="468"/>
      <c r="ES309" s="468"/>
      <c r="ET309" s="468"/>
      <c r="EU309" s="468"/>
      <c r="EV309" s="468"/>
      <c r="EW309" s="468"/>
      <c r="EX309" s="468"/>
      <c r="EY309" s="468"/>
      <c r="EZ309" s="468"/>
      <c r="FA309" s="415"/>
      <c r="FB309" s="416">
        <v>15</v>
      </c>
      <c r="FC309" s="416"/>
      <c r="FD309" s="417">
        <f t="shared" si="536"/>
        <v>0</v>
      </c>
      <c r="FE309" s="790"/>
    </row>
    <row r="310" spans="2:164" ht="26.1" customHeight="1" outlineLevel="1" thickBot="1" x14ac:dyDescent="0.35">
      <c r="B310" s="1018"/>
      <c r="C310" s="1020"/>
      <c r="D310" s="1034"/>
      <c r="E310" s="1038"/>
      <c r="F310" s="838" t="s">
        <v>112</v>
      </c>
      <c r="G310" s="804" t="str">
        <f>VLOOKUP(H310,инфо!AD:AE,2,FALSE)</f>
        <v>Напитки</v>
      </c>
      <c r="H310" s="580" t="s">
        <v>1195</v>
      </c>
      <c r="I310" s="588" t="s">
        <v>75</v>
      </c>
      <c r="J310" s="430"/>
      <c r="K310" s="431"/>
      <c r="L310" s="431"/>
      <c r="M310" s="431"/>
      <c r="N310" s="431"/>
      <c r="O310" s="431"/>
      <c r="P310" s="431"/>
      <c r="Q310" s="431"/>
      <c r="R310" s="431"/>
      <c r="S310" s="431"/>
      <c r="T310" s="431"/>
      <c r="U310" s="431"/>
      <c r="V310" s="431"/>
      <c r="W310" s="432"/>
      <c r="X310" s="432"/>
      <c r="Y310" s="432"/>
      <c r="Z310" s="432"/>
      <c r="AA310" s="432"/>
      <c r="AB310" s="432"/>
      <c r="AC310" s="432"/>
      <c r="AD310" s="432"/>
      <c r="AE310" s="432"/>
      <c r="AF310" s="432"/>
      <c r="AG310" s="432"/>
      <c r="AH310" s="432"/>
      <c r="AI310" s="432"/>
      <c r="AJ310" s="432"/>
      <c r="AK310" s="432"/>
      <c r="AL310" s="432"/>
      <c r="AM310" s="432"/>
      <c r="AN310" s="432"/>
      <c r="AO310" s="432"/>
      <c r="AP310" s="432"/>
      <c r="AQ310" s="432"/>
      <c r="AR310" s="432"/>
      <c r="AS310" s="432"/>
      <c r="AT310" s="432"/>
      <c r="AU310" s="432"/>
      <c r="AV310" s="432"/>
      <c r="AW310" s="432"/>
      <c r="AX310" s="432"/>
      <c r="AY310" s="432"/>
      <c r="AZ310" s="432"/>
      <c r="BA310" s="432"/>
      <c r="BB310" s="432"/>
      <c r="BC310" s="432"/>
      <c r="BD310" s="432"/>
      <c r="BE310" s="433"/>
      <c r="BF310" s="433"/>
      <c r="BG310" s="433"/>
      <c r="BH310" s="433"/>
      <c r="BI310" s="433"/>
      <c r="BJ310" s="433"/>
      <c r="BK310" s="433"/>
      <c r="BL310" s="433"/>
      <c r="BM310" s="433"/>
      <c r="BN310" s="434"/>
      <c r="BO310" s="434"/>
      <c r="BP310" s="434"/>
      <c r="BQ310" s="434"/>
      <c r="BR310" s="434"/>
      <c r="BS310" s="434"/>
      <c r="BT310" s="434"/>
      <c r="BU310" s="434"/>
      <c r="BV310" s="431"/>
      <c r="BW310" s="431"/>
      <c r="BX310" s="431"/>
      <c r="BY310" s="431"/>
      <c r="BZ310" s="431"/>
      <c r="CA310" s="431"/>
      <c r="CB310" s="431"/>
      <c r="CC310" s="435"/>
      <c r="CD310" s="435"/>
      <c r="CE310" s="435"/>
      <c r="CF310" s="435"/>
      <c r="CG310" s="435"/>
      <c r="CH310" s="435"/>
      <c r="CI310" s="435"/>
      <c r="CJ310" s="435"/>
      <c r="CK310" s="435"/>
      <c r="CL310" s="435"/>
      <c r="CM310" s="435"/>
      <c r="CN310" s="435"/>
      <c r="CO310" s="435"/>
      <c r="CP310" s="435"/>
      <c r="CQ310" s="435"/>
      <c r="CR310" s="435"/>
      <c r="CS310" s="436"/>
      <c r="CT310" s="436"/>
      <c r="CU310" s="436"/>
      <c r="CV310" s="436"/>
      <c r="CW310" s="436"/>
      <c r="CX310" s="436"/>
      <c r="CY310" s="436"/>
      <c r="CZ310" s="436"/>
      <c r="DA310" s="436"/>
      <c r="DB310" s="436"/>
      <c r="DC310" s="436"/>
      <c r="DD310" s="436"/>
      <c r="DE310" s="436"/>
      <c r="DF310" s="436"/>
      <c r="DG310" s="436"/>
      <c r="DH310" s="436"/>
      <c r="DI310" s="436"/>
      <c r="DJ310" s="436"/>
      <c r="DK310" s="436"/>
      <c r="DL310" s="436"/>
      <c r="DM310" s="436"/>
      <c r="DN310" s="938"/>
      <c r="DO310" s="437"/>
      <c r="DP310" s="437"/>
      <c r="DQ310" s="438"/>
      <c r="DR310" s="438"/>
      <c r="DS310" s="433"/>
      <c r="DT310" s="469"/>
      <c r="DU310" s="469"/>
      <c r="DV310" s="469"/>
      <c r="DW310" s="469"/>
      <c r="DX310" s="469"/>
      <c r="DY310" s="469"/>
      <c r="DZ310" s="469"/>
      <c r="EA310" s="469"/>
      <c r="EB310" s="469"/>
      <c r="EC310" s="469">
        <v>200</v>
      </c>
      <c r="ED310" s="469"/>
      <c r="EE310" s="469"/>
      <c r="EF310" s="469"/>
      <c r="EG310" s="469"/>
      <c r="EH310" s="469"/>
      <c r="EI310" s="469"/>
      <c r="EJ310" s="469"/>
      <c r="EK310" s="469"/>
      <c r="EL310" s="469"/>
      <c r="EM310" s="469"/>
      <c r="EN310" s="469"/>
      <c r="EO310" s="469"/>
      <c r="EP310" s="469"/>
      <c r="EQ310" s="469"/>
      <c r="ER310" s="469"/>
      <c r="ES310" s="469"/>
      <c r="ET310" s="469"/>
      <c r="EU310" s="469"/>
      <c r="EV310" s="469"/>
      <c r="EW310" s="469"/>
      <c r="EX310" s="469"/>
      <c r="EY310" s="469"/>
      <c r="EZ310" s="469"/>
      <c r="FA310" s="377"/>
      <c r="FB310" s="378">
        <v>200</v>
      </c>
      <c r="FC310" s="378"/>
      <c r="FD310" s="379">
        <f t="shared" si="536"/>
        <v>0</v>
      </c>
      <c r="FE310" s="790"/>
    </row>
    <row r="311" spans="2:164" ht="26.1" customHeight="1" outlineLevel="1" thickBot="1" x14ac:dyDescent="0.35">
      <c r="B311" s="1018"/>
      <c r="C311" s="1020"/>
      <c r="D311" s="1034"/>
      <c r="E311" s="1038"/>
      <c r="F311" s="838" t="s">
        <v>112</v>
      </c>
      <c r="G311" s="804" t="str">
        <f>VLOOKUP(H311,инфо!AD:AE,2,FALSE)</f>
        <v>Прочее</v>
      </c>
      <c r="H311" s="580" t="s">
        <v>1197</v>
      </c>
      <c r="I311" s="590" t="s">
        <v>82</v>
      </c>
      <c r="J311" s="430"/>
      <c r="K311" s="431"/>
      <c r="L311" s="431"/>
      <c r="M311" s="431"/>
      <c r="N311" s="431"/>
      <c r="O311" s="431"/>
      <c r="P311" s="431"/>
      <c r="Q311" s="431"/>
      <c r="R311" s="431"/>
      <c r="S311" s="431"/>
      <c r="T311" s="431"/>
      <c r="U311" s="431"/>
      <c r="V311" s="431"/>
      <c r="W311" s="432"/>
      <c r="X311" s="432"/>
      <c r="Y311" s="432"/>
      <c r="Z311" s="432"/>
      <c r="AA311" s="432"/>
      <c r="AB311" s="432"/>
      <c r="AC311" s="432"/>
      <c r="AD311" s="432"/>
      <c r="AE311" s="432"/>
      <c r="AF311" s="432"/>
      <c r="AG311" s="432"/>
      <c r="AH311" s="432"/>
      <c r="AI311" s="432"/>
      <c r="AJ311" s="432"/>
      <c r="AK311" s="432"/>
      <c r="AL311" s="432"/>
      <c r="AM311" s="432"/>
      <c r="AN311" s="432"/>
      <c r="AO311" s="432"/>
      <c r="AP311" s="432"/>
      <c r="AQ311" s="432"/>
      <c r="AR311" s="432"/>
      <c r="AS311" s="432"/>
      <c r="AT311" s="432"/>
      <c r="AU311" s="432"/>
      <c r="AV311" s="432"/>
      <c r="AW311" s="432"/>
      <c r="AX311" s="432"/>
      <c r="AY311" s="432"/>
      <c r="AZ311" s="432"/>
      <c r="BA311" s="432"/>
      <c r="BB311" s="432"/>
      <c r="BC311" s="432"/>
      <c r="BD311" s="432"/>
      <c r="BE311" s="433"/>
      <c r="BF311" s="433"/>
      <c r="BG311" s="433"/>
      <c r="BH311" s="433"/>
      <c r="BI311" s="433"/>
      <c r="BJ311" s="433"/>
      <c r="BK311" s="433"/>
      <c r="BL311" s="433"/>
      <c r="BM311" s="433"/>
      <c r="BN311" s="434"/>
      <c r="BO311" s="434"/>
      <c r="BP311" s="434"/>
      <c r="BQ311" s="434"/>
      <c r="BR311" s="434"/>
      <c r="BS311" s="434"/>
      <c r="BT311" s="434"/>
      <c r="BU311" s="434"/>
      <c r="BV311" s="431"/>
      <c r="BW311" s="431"/>
      <c r="BX311" s="431"/>
      <c r="BY311" s="431"/>
      <c r="BZ311" s="431"/>
      <c r="CA311" s="431"/>
      <c r="CB311" s="431"/>
      <c r="CC311" s="435"/>
      <c r="CD311" s="435"/>
      <c r="CE311" s="435"/>
      <c r="CF311" s="435"/>
      <c r="CG311" s="435"/>
      <c r="CH311" s="435"/>
      <c r="CI311" s="435"/>
      <c r="CJ311" s="435"/>
      <c r="CK311" s="435"/>
      <c r="CL311" s="435"/>
      <c r="CM311" s="435"/>
      <c r="CN311" s="435"/>
      <c r="CO311" s="435"/>
      <c r="CP311" s="435"/>
      <c r="CQ311" s="435"/>
      <c r="CR311" s="435"/>
      <c r="CS311" s="436"/>
      <c r="CT311" s="436"/>
      <c r="CU311" s="436"/>
      <c r="CV311" s="436"/>
      <c r="CW311" s="436"/>
      <c r="CX311" s="436"/>
      <c r="CY311" s="436"/>
      <c r="CZ311" s="436"/>
      <c r="DA311" s="436"/>
      <c r="DB311" s="436"/>
      <c r="DC311" s="436"/>
      <c r="DD311" s="436"/>
      <c r="DE311" s="436"/>
      <c r="DF311" s="436"/>
      <c r="DG311" s="436"/>
      <c r="DH311" s="436"/>
      <c r="DI311" s="436"/>
      <c r="DJ311" s="436"/>
      <c r="DK311" s="436"/>
      <c r="DL311" s="436"/>
      <c r="DM311" s="436"/>
      <c r="DN311" s="938"/>
      <c r="DO311" s="437"/>
      <c r="DP311" s="437"/>
      <c r="DQ311" s="438"/>
      <c r="DR311" s="438"/>
      <c r="DS311" s="433"/>
      <c r="DT311" s="469"/>
      <c r="DU311" s="469"/>
      <c r="DV311" s="469"/>
      <c r="DW311" s="469"/>
      <c r="DX311" s="469"/>
      <c r="DY311" s="469"/>
      <c r="DZ311" s="469"/>
      <c r="EA311" s="469"/>
      <c r="EB311" s="469"/>
      <c r="EC311" s="469"/>
      <c r="ED311" s="469"/>
      <c r="EE311" s="469"/>
      <c r="EF311" s="469"/>
      <c r="EG311" s="469"/>
      <c r="EH311" s="469"/>
      <c r="EI311" s="469"/>
      <c r="EJ311" s="469"/>
      <c r="EK311" s="469"/>
      <c r="EL311" s="469"/>
      <c r="EM311" s="469"/>
      <c r="EN311" s="469"/>
      <c r="EO311" s="469">
        <v>20</v>
      </c>
      <c r="EP311" s="469"/>
      <c r="EQ311" s="469"/>
      <c r="ER311" s="469"/>
      <c r="ES311" s="469"/>
      <c r="ET311" s="469"/>
      <c r="EU311" s="469"/>
      <c r="EV311" s="469"/>
      <c r="EW311" s="469"/>
      <c r="EX311" s="469"/>
      <c r="EY311" s="469"/>
      <c r="EZ311" s="469"/>
      <c r="FA311" s="377"/>
      <c r="FB311" s="378">
        <v>20</v>
      </c>
      <c r="FC311" s="378"/>
      <c r="FD311" s="379">
        <f t="shared" si="536"/>
        <v>0</v>
      </c>
      <c r="FE311" s="790"/>
    </row>
    <row r="312" spans="2:164" ht="26.1" customHeight="1" outlineLevel="1" thickBot="1" x14ac:dyDescent="0.3">
      <c r="B312" s="1018"/>
      <c r="C312" s="1020"/>
      <c r="D312" s="1035"/>
      <c r="E312" s="1043"/>
      <c r="F312" s="840" t="s">
        <v>112</v>
      </c>
      <c r="G312" s="806" t="str">
        <f>VLOOKUP(H312,инфо!AD:AE,2,FALSE)</f>
        <v>Прочее</v>
      </c>
      <c r="H312" s="582" t="s">
        <v>1197</v>
      </c>
      <c r="I312" s="573"/>
      <c r="J312" s="439"/>
      <c r="K312" s="440"/>
      <c r="L312" s="440"/>
      <c r="M312" s="440"/>
      <c r="N312" s="440"/>
      <c r="O312" s="440"/>
      <c r="P312" s="440"/>
      <c r="Q312" s="440"/>
      <c r="R312" s="440"/>
      <c r="S312" s="440"/>
      <c r="T312" s="440"/>
      <c r="U312" s="440"/>
      <c r="V312" s="440"/>
      <c r="W312" s="441"/>
      <c r="X312" s="441"/>
      <c r="Y312" s="441"/>
      <c r="Z312" s="441"/>
      <c r="AA312" s="441"/>
      <c r="AB312" s="441"/>
      <c r="AC312" s="441"/>
      <c r="AD312" s="441"/>
      <c r="AE312" s="441"/>
      <c r="AF312" s="441"/>
      <c r="AG312" s="441"/>
      <c r="AH312" s="441"/>
      <c r="AI312" s="441"/>
      <c r="AJ312" s="441"/>
      <c r="AK312" s="441"/>
      <c r="AL312" s="441"/>
      <c r="AM312" s="441"/>
      <c r="AN312" s="441"/>
      <c r="AO312" s="441"/>
      <c r="AP312" s="441"/>
      <c r="AQ312" s="441"/>
      <c r="AR312" s="441"/>
      <c r="AS312" s="441"/>
      <c r="AT312" s="441"/>
      <c r="AU312" s="441"/>
      <c r="AV312" s="441"/>
      <c r="AW312" s="441"/>
      <c r="AX312" s="441"/>
      <c r="AY312" s="441"/>
      <c r="AZ312" s="441"/>
      <c r="BA312" s="441"/>
      <c r="BB312" s="441"/>
      <c r="BC312" s="441"/>
      <c r="BD312" s="441"/>
      <c r="BE312" s="442"/>
      <c r="BF312" s="442"/>
      <c r="BG312" s="442"/>
      <c r="BH312" s="442"/>
      <c r="BI312" s="442"/>
      <c r="BJ312" s="442"/>
      <c r="BK312" s="442"/>
      <c r="BL312" s="442"/>
      <c r="BM312" s="442"/>
      <c r="BN312" s="443"/>
      <c r="BO312" s="443"/>
      <c r="BP312" s="443"/>
      <c r="BQ312" s="443"/>
      <c r="BR312" s="443"/>
      <c r="BS312" s="443"/>
      <c r="BT312" s="443"/>
      <c r="BU312" s="443"/>
      <c r="BV312" s="440"/>
      <c r="BW312" s="440"/>
      <c r="BX312" s="440"/>
      <c r="BY312" s="440"/>
      <c r="BZ312" s="440"/>
      <c r="CA312" s="440"/>
      <c r="CB312" s="440"/>
      <c r="CC312" s="444"/>
      <c r="CD312" s="444"/>
      <c r="CE312" s="444"/>
      <c r="CF312" s="444"/>
      <c r="CG312" s="444"/>
      <c r="CH312" s="444"/>
      <c r="CI312" s="444"/>
      <c r="CJ312" s="444"/>
      <c r="CK312" s="444"/>
      <c r="CL312" s="444"/>
      <c r="CM312" s="444"/>
      <c r="CN312" s="444"/>
      <c r="CO312" s="444"/>
      <c r="CP312" s="444"/>
      <c r="CQ312" s="444"/>
      <c r="CR312" s="444"/>
      <c r="CS312" s="445"/>
      <c r="CT312" s="445"/>
      <c r="CU312" s="445"/>
      <c r="CV312" s="445"/>
      <c r="CW312" s="445"/>
      <c r="CX312" s="445"/>
      <c r="CY312" s="445"/>
      <c r="CZ312" s="445"/>
      <c r="DA312" s="445"/>
      <c r="DB312" s="445"/>
      <c r="DC312" s="445"/>
      <c r="DD312" s="445"/>
      <c r="DE312" s="445"/>
      <c r="DF312" s="445"/>
      <c r="DG312" s="445"/>
      <c r="DH312" s="445"/>
      <c r="DI312" s="445"/>
      <c r="DJ312" s="445"/>
      <c r="DK312" s="445"/>
      <c r="DL312" s="445"/>
      <c r="DM312" s="445"/>
      <c r="DN312" s="939"/>
      <c r="DO312" s="446"/>
      <c r="DP312" s="446"/>
      <c r="DQ312" s="447"/>
      <c r="DR312" s="447"/>
      <c r="DS312" s="442"/>
      <c r="DT312" s="442"/>
      <c r="DU312" s="442"/>
      <c r="DV312" s="442"/>
      <c r="DW312" s="442"/>
      <c r="DX312" s="442"/>
      <c r="DY312" s="442"/>
      <c r="DZ312" s="442"/>
      <c r="EA312" s="442"/>
      <c r="EB312" s="442"/>
      <c r="EC312" s="442"/>
      <c r="ED312" s="442"/>
      <c r="EE312" s="442"/>
      <c r="EF312" s="442"/>
      <c r="EG312" s="442"/>
      <c r="EH312" s="442"/>
      <c r="EI312" s="442"/>
      <c r="EJ312" s="442"/>
      <c r="EK312" s="442"/>
      <c r="EL312" s="442"/>
      <c r="EM312" s="442"/>
      <c r="EN312" s="442"/>
      <c r="EO312" s="442"/>
      <c r="EP312" s="442"/>
      <c r="EQ312" s="442"/>
      <c r="ER312" s="442"/>
      <c r="ES312" s="442"/>
      <c r="ET312" s="442"/>
      <c r="EU312" s="442"/>
      <c r="EV312" s="442"/>
      <c r="EW312" s="442"/>
      <c r="EX312" s="442"/>
      <c r="EY312" s="442"/>
      <c r="EZ312" s="442"/>
      <c r="FA312" s="377"/>
      <c r="FB312" s="378"/>
      <c r="FC312" s="378"/>
      <c r="FD312" s="379">
        <f t="shared" si="536"/>
        <v>0</v>
      </c>
      <c r="FE312" s="790"/>
    </row>
    <row r="313" spans="2:164" s="154" customFormat="1" ht="16.5" customHeight="1" outlineLevel="1" thickBot="1" x14ac:dyDescent="0.4">
      <c r="B313" s="1018"/>
      <c r="C313" s="1020"/>
      <c r="D313" s="145"/>
      <c r="E313" s="317" t="s">
        <v>174</v>
      </c>
      <c r="F313" s="836"/>
      <c r="G313" s="818"/>
      <c r="H313" s="576"/>
      <c r="I313" s="594"/>
      <c r="J313" s="305">
        <f>SUM(J299:J312)</f>
        <v>0</v>
      </c>
      <c r="K313" s="146">
        <f t="shared" ref="K313:CU313" si="537">SUM(K299:K312)</f>
        <v>0</v>
      </c>
      <c r="L313" s="146">
        <f t="shared" si="537"/>
        <v>0</v>
      </c>
      <c r="M313" s="146">
        <f t="shared" si="537"/>
        <v>0</v>
      </c>
      <c r="N313" s="146">
        <f t="shared" si="537"/>
        <v>0</v>
      </c>
      <c r="O313" s="146">
        <f t="shared" si="537"/>
        <v>0</v>
      </c>
      <c r="P313" s="146">
        <f t="shared" si="537"/>
        <v>0</v>
      </c>
      <c r="Q313" s="146">
        <f t="shared" si="537"/>
        <v>0</v>
      </c>
      <c r="R313" s="146">
        <f t="shared" si="537"/>
        <v>0</v>
      </c>
      <c r="S313" s="146">
        <f t="shared" si="537"/>
        <v>0</v>
      </c>
      <c r="T313" s="146">
        <f t="shared" ref="T313:V313" si="538">SUM(T299:T312)</f>
        <v>0</v>
      </c>
      <c r="U313" s="146">
        <f t="shared" si="538"/>
        <v>0</v>
      </c>
      <c r="V313" s="146">
        <f t="shared" si="538"/>
        <v>0</v>
      </c>
      <c r="W313" s="147">
        <f t="shared" si="537"/>
        <v>0</v>
      </c>
      <c r="X313" s="147">
        <f t="shared" si="537"/>
        <v>2</v>
      </c>
      <c r="Y313" s="147">
        <f t="shared" ref="Y313" si="539">SUM(Y299:Y312)</f>
        <v>0</v>
      </c>
      <c r="Z313" s="147">
        <f t="shared" si="537"/>
        <v>50</v>
      </c>
      <c r="AA313" s="147">
        <f t="shared" si="537"/>
        <v>100</v>
      </c>
      <c r="AB313" s="147">
        <f t="shared" ref="AB313:AC313" si="540">SUM(AB299:AB312)</f>
        <v>0</v>
      </c>
      <c r="AC313" s="147">
        <f t="shared" si="540"/>
        <v>0</v>
      </c>
      <c r="AD313" s="147">
        <f t="shared" si="537"/>
        <v>495</v>
      </c>
      <c r="AE313" s="147">
        <f t="shared" si="537"/>
        <v>75</v>
      </c>
      <c r="AF313" s="147">
        <f t="shared" ref="AF313:AH313" si="541">SUM(AF299:AF312)</f>
        <v>20</v>
      </c>
      <c r="AG313" s="147">
        <f t="shared" si="541"/>
        <v>25</v>
      </c>
      <c r="AH313" s="147">
        <f t="shared" si="541"/>
        <v>0</v>
      </c>
      <c r="AI313" s="147">
        <f t="shared" si="537"/>
        <v>0</v>
      </c>
      <c r="AJ313" s="147">
        <f t="shared" si="537"/>
        <v>70</v>
      </c>
      <c r="AK313" s="147">
        <f t="shared" si="537"/>
        <v>0</v>
      </c>
      <c r="AL313" s="147">
        <f t="shared" si="537"/>
        <v>0</v>
      </c>
      <c r="AM313" s="147">
        <f t="shared" ref="AM313:AS313" si="542">SUM(AM299:AM312)</f>
        <v>0</v>
      </c>
      <c r="AN313" s="147">
        <f t="shared" si="542"/>
        <v>0</v>
      </c>
      <c r="AO313" s="147">
        <f t="shared" si="542"/>
        <v>5</v>
      </c>
      <c r="AP313" s="147">
        <f t="shared" si="542"/>
        <v>0</v>
      </c>
      <c r="AQ313" s="147">
        <f t="shared" si="542"/>
        <v>0</v>
      </c>
      <c r="AR313" s="147">
        <f t="shared" si="542"/>
        <v>0</v>
      </c>
      <c r="AS313" s="147">
        <f t="shared" si="542"/>
        <v>0</v>
      </c>
      <c r="AT313" s="147">
        <f t="shared" si="537"/>
        <v>0</v>
      </c>
      <c r="AU313" s="147">
        <f t="shared" ref="AU313:BD313" si="543">SUM(AU299:AU312)</f>
        <v>0</v>
      </c>
      <c r="AV313" s="147">
        <f t="shared" si="543"/>
        <v>0</v>
      </c>
      <c r="AW313" s="147">
        <f t="shared" si="543"/>
        <v>0</v>
      </c>
      <c r="AX313" s="147">
        <f t="shared" si="543"/>
        <v>105</v>
      </c>
      <c r="AY313" s="147">
        <f t="shared" si="543"/>
        <v>0</v>
      </c>
      <c r="AZ313" s="147">
        <f t="shared" si="543"/>
        <v>0</v>
      </c>
      <c r="BA313" s="147">
        <f t="shared" si="543"/>
        <v>0</v>
      </c>
      <c r="BB313" s="147">
        <f t="shared" si="543"/>
        <v>0</v>
      </c>
      <c r="BC313" s="147">
        <f t="shared" si="543"/>
        <v>0</v>
      </c>
      <c r="BD313" s="147">
        <f t="shared" si="543"/>
        <v>0</v>
      </c>
      <c r="BE313" s="148">
        <f t="shared" ref="BE313:BP313" si="544">SUM(BE299:BE312)</f>
        <v>0</v>
      </c>
      <c r="BF313" s="148">
        <f t="shared" si="544"/>
        <v>0</v>
      </c>
      <c r="BG313" s="148">
        <f t="shared" si="544"/>
        <v>0</v>
      </c>
      <c r="BH313" s="148">
        <f t="shared" si="544"/>
        <v>0</v>
      </c>
      <c r="BI313" s="148">
        <f t="shared" ref="BI313:BL313" si="545">SUM(BI299:BI312)</f>
        <v>0</v>
      </c>
      <c r="BJ313" s="148">
        <f t="shared" si="545"/>
        <v>5</v>
      </c>
      <c r="BK313" s="148">
        <f t="shared" si="545"/>
        <v>0</v>
      </c>
      <c r="BL313" s="148">
        <f t="shared" si="545"/>
        <v>0</v>
      </c>
      <c r="BM313" s="148">
        <f t="shared" si="544"/>
        <v>0</v>
      </c>
      <c r="BN313" s="149">
        <f t="shared" si="544"/>
        <v>15</v>
      </c>
      <c r="BO313" s="149">
        <f t="shared" si="544"/>
        <v>18</v>
      </c>
      <c r="BP313" s="149">
        <f t="shared" si="544"/>
        <v>15</v>
      </c>
      <c r="BQ313" s="149">
        <f t="shared" ref="BQ313" si="546">SUM(BQ299:BQ312)</f>
        <v>0</v>
      </c>
      <c r="BR313" s="149">
        <f t="shared" ref="BR313:BU313" si="547">SUM(BR299:BR312)</f>
        <v>0</v>
      </c>
      <c r="BS313" s="149">
        <f t="shared" si="547"/>
        <v>0</v>
      </c>
      <c r="BT313" s="149">
        <f t="shared" si="547"/>
        <v>0</v>
      </c>
      <c r="BU313" s="149">
        <f t="shared" si="547"/>
        <v>0</v>
      </c>
      <c r="BV313" s="146">
        <f t="shared" ref="BV313:BX313" si="548">SUM(BV299:BV312)</f>
        <v>0</v>
      </c>
      <c r="BW313" s="146">
        <f t="shared" si="548"/>
        <v>0</v>
      </c>
      <c r="BX313" s="146">
        <f t="shared" si="548"/>
        <v>0</v>
      </c>
      <c r="BY313" s="146">
        <f t="shared" ref="BY313:BZ313" si="549">SUM(BY299:BY312)</f>
        <v>0</v>
      </c>
      <c r="BZ313" s="146">
        <f t="shared" si="549"/>
        <v>100</v>
      </c>
      <c r="CA313" s="146">
        <f t="shared" si="537"/>
        <v>0</v>
      </c>
      <c r="CB313" s="146">
        <f t="shared" si="537"/>
        <v>0</v>
      </c>
      <c r="CC313" s="265">
        <f t="shared" si="537"/>
        <v>0</v>
      </c>
      <c r="CD313" s="265">
        <f t="shared" si="537"/>
        <v>0</v>
      </c>
      <c r="CE313" s="265">
        <f t="shared" si="537"/>
        <v>0</v>
      </c>
      <c r="CF313" s="265">
        <f t="shared" si="537"/>
        <v>0</v>
      </c>
      <c r="CG313" s="265">
        <f t="shared" si="537"/>
        <v>0</v>
      </c>
      <c r="CH313" s="265">
        <f t="shared" si="537"/>
        <v>0</v>
      </c>
      <c r="CI313" s="265">
        <f t="shared" si="537"/>
        <v>0</v>
      </c>
      <c r="CJ313" s="265">
        <f t="shared" ref="CJ313" si="550">SUM(CJ299:CJ312)</f>
        <v>0</v>
      </c>
      <c r="CK313" s="265">
        <f t="shared" ref="CK313" si="551">SUM(CK299:CK312)</f>
        <v>0</v>
      </c>
      <c r="CL313" s="265">
        <f t="shared" si="537"/>
        <v>0</v>
      </c>
      <c r="CM313" s="265">
        <f t="shared" si="537"/>
        <v>0</v>
      </c>
      <c r="CN313" s="265">
        <f t="shared" ref="CN313:CQ313" si="552">SUM(CN299:CN312)</f>
        <v>0</v>
      </c>
      <c r="CO313" s="265">
        <f t="shared" si="552"/>
        <v>0</v>
      </c>
      <c r="CP313" s="265">
        <f t="shared" si="552"/>
        <v>0</v>
      </c>
      <c r="CQ313" s="265">
        <f t="shared" si="552"/>
        <v>0</v>
      </c>
      <c r="CR313" s="265">
        <f t="shared" si="537"/>
        <v>0</v>
      </c>
      <c r="CS313" s="281">
        <f t="shared" si="537"/>
        <v>0</v>
      </c>
      <c r="CT313" s="281">
        <f t="shared" ref="CT313" si="553">SUM(CT299:CT312)</f>
        <v>0</v>
      </c>
      <c r="CU313" s="281">
        <f t="shared" si="537"/>
        <v>0</v>
      </c>
      <c r="CV313" s="281">
        <f t="shared" ref="CV313:DE313" si="554">SUM(CV299:CV312)</f>
        <v>0</v>
      </c>
      <c r="CW313" s="281">
        <f t="shared" si="554"/>
        <v>0</v>
      </c>
      <c r="CX313" s="281">
        <f t="shared" si="554"/>
        <v>0</v>
      </c>
      <c r="CY313" s="281">
        <f t="shared" si="554"/>
        <v>0</v>
      </c>
      <c r="CZ313" s="281">
        <f t="shared" ref="CZ313" si="555">SUM(CZ299:CZ312)</f>
        <v>0</v>
      </c>
      <c r="DA313" s="281">
        <f t="shared" si="554"/>
        <v>0</v>
      </c>
      <c r="DB313" s="281">
        <f t="shared" si="554"/>
        <v>0</v>
      </c>
      <c r="DC313" s="281">
        <f t="shared" si="554"/>
        <v>0</v>
      </c>
      <c r="DD313" s="281">
        <f t="shared" ref="DD313" si="556">SUM(DD299:DD312)</f>
        <v>0</v>
      </c>
      <c r="DE313" s="281">
        <f t="shared" si="554"/>
        <v>0</v>
      </c>
      <c r="DF313" s="281">
        <f t="shared" ref="DF313:FD313" si="557">SUM(DF299:DF312)</f>
        <v>0</v>
      </c>
      <c r="DG313" s="281">
        <f t="shared" si="557"/>
        <v>0</v>
      </c>
      <c r="DH313" s="281">
        <f t="shared" si="557"/>
        <v>0</v>
      </c>
      <c r="DI313" s="281">
        <f t="shared" ref="DI313:DQ313" si="558">SUM(DI299:DI312)</f>
        <v>0</v>
      </c>
      <c r="DJ313" s="281">
        <f t="shared" si="558"/>
        <v>0</v>
      </c>
      <c r="DK313" s="281">
        <f t="shared" si="558"/>
        <v>0</v>
      </c>
      <c r="DL313" s="281">
        <f t="shared" si="558"/>
        <v>0</v>
      </c>
      <c r="DM313" s="281">
        <f t="shared" si="558"/>
        <v>0</v>
      </c>
      <c r="DN313" s="936">
        <f t="shared" si="558"/>
        <v>0</v>
      </c>
      <c r="DO313" s="148">
        <f t="shared" si="558"/>
        <v>0</v>
      </c>
      <c r="DP313" s="148">
        <f t="shared" si="558"/>
        <v>6</v>
      </c>
      <c r="DQ313" s="148">
        <f t="shared" si="558"/>
        <v>0.03</v>
      </c>
      <c r="DR313" s="148">
        <f t="shared" si="557"/>
        <v>6.0000000000000005E-2</v>
      </c>
      <c r="DS313" s="148">
        <f t="shared" si="557"/>
        <v>4</v>
      </c>
      <c r="DT313" s="148">
        <f t="shared" si="557"/>
        <v>5</v>
      </c>
      <c r="DU313" s="148">
        <f t="shared" si="557"/>
        <v>0</v>
      </c>
      <c r="DV313" s="148">
        <f t="shared" si="557"/>
        <v>0</v>
      </c>
      <c r="DW313" s="148">
        <f t="shared" si="557"/>
        <v>2</v>
      </c>
      <c r="DX313" s="148">
        <f t="shared" si="557"/>
        <v>0</v>
      </c>
      <c r="DY313" s="148">
        <f t="shared" ref="DY313:EO313" si="559">SUM(DY299:DY312)</f>
        <v>0</v>
      </c>
      <c r="DZ313" s="148">
        <f t="shared" si="559"/>
        <v>0</v>
      </c>
      <c r="EA313" s="148">
        <f t="shared" si="559"/>
        <v>0</v>
      </c>
      <c r="EB313" s="148">
        <f t="shared" si="559"/>
        <v>400</v>
      </c>
      <c r="EC313" s="148">
        <f t="shared" si="559"/>
        <v>200</v>
      </c>
      <c r="ED313" s="148">
        <f t="shared" si="559"/>
        <v>0</v>
      </c>
      <c r="EE313" s="148">
        <f t="shared" si="559"/>
        <v>0</v>
      </c>
      <c r="EF313" s="148">
        <f t="shared" si="559"/>
        <v>0</v>
      </c>
      <c r="EG313" s="148">
        <f t="shared" si="559"/>
        <v>0</v>
      </c>
      <c r="EH313" s="148">
        <f t="shared" si="559"/>
        <v>0</v>
      </c>
      <c r="EI313" s="148">
        <f t="shared" si="559"/>
        <v>0</v>
      </c>
      <c r="EJ313" s="148">
        <f t="shared" si="559"/>
        <v>0</v>
      </c>
      <c r="EK313" s="148">
        <f t="shared" si="559"/>
        <v>0</v>
      </c>
      <c r="EL313" s="148">
        <f t="shared" si="559"/>
        <v>0</v>
      </c>
      <c r="EM313" s="148">
        <f t="shared" si="559"/>
        <v>0</v>
      </c>
      <c r="EN313" s="148">
        <f t="shared" si="559"/>
        <v>0</v>
      </c>
      <c r="EO313" s="148">
        <f t="shared" si="559"/>
        <v>20</v>
      </c>
      <c r="EP313" s="148">
        <f t="shared" ref="EP313:EZ313" si="560">SUM(EP299:EP312)</f>
        <v>0</v>
      </c>
      <c r="EQ313" s="148">
        <f t="shared" si="560"/>
        <v>0</v>
      </c>
      <c r="ER313" s="148">
        <f t="shared" si="560"/>
        <v>0</v>
      </c>
      <c r="ES313" s="148">
        <f t="shared" si="560"/>
        <v>0</v>
      </c>
      <c r="ET313" s="148">
        <f t="shared" si="560"/>
        <v>0</v>
      </c>
      <c r="EU313" s="148">
        <f t="shared" si="560"/>
        <v>0</v>
      </c>
      <c r="EV313" s="148">
        <f t="shared" si="560"/>
        <v>0</v>
      </c>
      <c r="EW313" s="148">
        <f t="shared" si="560"/>
        <v>0</v>
      </c>
      <c r="EX313" s="148">
        <f t="shared" si="560"/>
        <v>0</v>
      </c>
      <c r="EY313" s="148">
        <f t="shared" si="560"/>
        <v>0</v>
      </c>
      <c r="EZ313" s="148">
        <f t="shared" si="560"/>
        <v>0</v>
      </c>
      <c r="FA313" s="150">
        <f t="shared" si="557"/>
        <v>687</v>
      </c>
      <c r="FB313" s="151">
        <f t="shared" si="557"/>
        <v>1354</v>
      </c>
      <c r="FC313" s="151">
        <f t="shared" si="557"/>
        <v>58</v>
      </c>
      <c r="FD313" s="152">
        <f t="shared" si="557"/>
        <v>25</v>
      </c>
      <c r="FE313" s="792" t="str">
        <f>IF(FB313&lt;инфо!$AN$75,FB313-инфо!$AN$75,"")</f>
        <v/>
      </c>
      <c r="FF313" s="153"/>
      <c r="FG313" s="153"/>
      <c r="FH313" s="153"/>
    </row>
    <row r="314" spans="2:164" ht="26.1" customHeight="1" outlineLevel="1" thickBot="1" x14ac:dyDescent="0.3">
      <c r="B314" s="1018"/>
      <c r="C314" s="1020"/>
      <c r="D314" s="1057" t="s">
        <v>117</v>
      </c>
      <c r="E314" s="1063" t="s">
        <v>114</v>
      </c>
      <c r="F314" s="842" t="s">
        <v>117</v>
      </c>
      <c r="G314" s="808" t="str">
        <f>VLOOKUP(H314,инфо!AD:AE,2,FALSE)</f>
        <v>Первые блюда</v>
      </c>
      <c r="H314" s="583" t="s">
        <v>1204</v>
      </c>
      <c r="I314" s="588" t="s">
        <v>590</v>
      </c>
      <c r="J314" s="470"/>
      <c r="K314" s="471"/>
      <c r="L314" s="471"/>
      <c r="M314" s="471"/>
      <c r="N314" s="471"/>
      <c r="O314" s="471"/>
      <c r="P314" s="471"/>
      <c r="Q314" s="471"/>
      <c r="R314" s="471">
        <v>20</v>
      </c>
      <c r="S314" s="471"/>
      <c r="T314" s="471"/>
      <c r="U314" s="471"/>
      <c r="V314" s="471"/>
      <c r="W314" s="472"/>
      <c r="X314" s="472"/>
      <c r="Y314" s="472"/>
      <c r="Z314" s="472"/>
      <c r="AA314" s="472"/>
      <c r="AB314" s="472"/>
      <c r="AC314" s="472"/>
      <c r="AD314" s="472">
        <v>150</v>
      </c>
      <c r="AE314" s="472"/>
      <c r="AF314" s="472">
        <v>10</v>
      </c>
      <c r="AG314" s="472">
        <v>10</v>
      </c>
      <c r="AH314" s="472"/>
      <c r="AI314" s="472"/>
      <c r="AJ314" s="472"/>
      <c r="AK314" s="472"/>
      <c r="AL314" s="472"/>
      <c r="AM314" s="472"/>
      <c r="AN314" s="472"/>
      <c r="AO314" s="472">
        <v>5</v>
      </c>
      <c r="AP314" s="472"/>
      <c r="AQ314" s="472"/>
      <c r="AR314" s="472"/>
      <c r="AS314" s="472"/>
      <c r="AT314" s="472"/>
      <c r="AU314" s="472"/>
      <c r="AV314" s="472"/>
      <c r="AW314" s="472"/>
      <c r="AX314" s="472"/>
      <c r="AY314" s="472"/>
      <c r="AZ314" s="472"/>
      <c r="BA314" s="472"/>
      <c r="BB314" s="472"/>
      <c r="BC314" s="472"/>
      <c r="BD314" s="472"/>
      <c r="BE314" s="473"/>
      <c r="BF314" s="473"/>
      <c r="BG314" s="473"/>
      <c r="BH314" s="473"/>
      <c r="BI314" s="473"/>
      <c r="BJ314" s="473"/>
      <c r="BK314" s="473"/>
      <c r="BL314" s="473"/>
      <c r="BM314" s="473"/>
      <c r="BN314" s="474"/>
      <c r="BO314" s="474">
        <v>4</v>
      </c>
      <c r="BP314" s="474"/>
      <c r="BQ314" s="474"/>
      <c r="BR314" s="474"/>
      <c r="BS314" s="474"/>
      <c r="BT314" s="474"/>
      <c r="BU314" s="474"/>
      <c r="BV314" s="471"/>
      <c r="BW314" s="471"/>
      <c r="BX314" s="471"/>
      <c r="BY314" s="471"/>
      <c r="BZ314" s="471"/>
      <c r="CA314" s="471"/>
      <c r="CB314" s="471"/>
      <c r="CC314" s="475"/>
      <c r="CD314" s="475"/>
      <c r="CE314" s="475"/>
      <c r="CF314" s="475"/>
      <c r="CG314" s="475"/>
      <c r="CH314" s="475"/>
      <c r="CI314" s="475"/>
      <c r="CJ314" s="475"/>
      <c r="CK314" s="475"/>
      <c r="CL314" s="475"/>
      <c r="CM314" s="475"/>
      <c r="CN314" s="475"/>
      <c r="CO314" s="475"/>
      <c r="CP314" s="475"/>
      <c r="CQ314" s="475"/>
      <c r="CR314" s="475"/>
      <c r="CS314" s="476"/>
      <c r="CT314" s="476"/>
      <c r="CU314" s="476"/>
      <c r="CV314" s="476"/>
      <c r="CW314" s="476"/>
      <c r="CX314" s="476"/>
      <c r="CY314" s="476"/>
      <c r="CZ314" s="476"/>
      <c r="DA314" s="476"/>
      <c r="DB314" s="476"/>
      <c r="DC314" s="476"/>
      <c r="DD314" s="476"/>
      <c r="DE314" s="476"/>
      <c r="DF314" s="476"/>
      <c r="DG314" s="476"/>
      <c r="DH314" s="476"/>
      <c r="DI314" s="476"/>
      <c r="DJ314" s="476"/>
      <c r="DK314" s="476"/>
      <c r="DL314" s="476"/>
      <c r="DM314" s="476"/>
      <c r="DN314" s="942"/>
      <c r="DO314" s="477"/>
      <c r="DP314" s="477">
        <v>4</v>
      </c>
      <c r="DQ314" s="478">
        <v>0.02</v>
      </c>
      <c r="DR314" s="478">
        <v>0.05</v>
      </c>
      <c r="DS314" s="473"/>
      <c r="DT314" s="473"/>
      <c r="DU314" s="473"/>
      <c r="DV314" s="473"/>
      <c r="DW314" s="473"/>
      <c r="DX314" s="473"/>
      <c r="DY314" s="473"/>
      <c r="DZ314" s="473"/>
      <c r="EA314" s="473"/>
      <c r="EB314" s="473">
        <v>400</v>
      </c>
      <c r="EC314" s="473"/>
      <c r="ED314" s="473"/>
      <c r="EE314" s="473"/>
      <c r="EF314" s="473"/>
      <c r="EG314" s="473"/>
      <c r="EH314" s="473"/>
      <c r="EI314" s="473"/>
      <c r="EJ314" s="473"/>
      <c r="EK314" s="473"/>
      <c r="EL314" s="473"/>
      <c r="EM314" s="473"/>
      <c r="EN314" s="473"/>
      <c r="EO314" s="473"/>
      <c r="EP314" s="473"/>
      <c r="EQ314" s="473"/>
      <c r="ER314" s="473"/>
      <c r="ES314" s="473"/>
      <c r="ET314" s="473"/>
      <c r="EU314" s="473"/>
      <c r="EV314" s="473"/>
      <c r="EW314" s="473"/>
      <c r="EX314" s="473"/>
      <c r="EY314" s="473"/>
      <c r="EZ314" s="473"/>
      <c r="FA314" s="377">
        <v>250</v>
      </c>
      <c r="FB314" s="378">
        <v>500</v>
      </c>
      <c r="FC314" s="378"/>
      <c r="FD314" s="379">
        <f t="shared" ref="FD314:FD325" si="561">SUM(BE314:BG314,BI314,BL314:BM314)+SUM(BH314,BJ314,BK314)*5</f>
        <v>0</v>
      </c>
      <c r="FE314" s="790"/>
    </row>
    <row r="315" spans="2:164" ht="26.1" customHeight="1" outlineLevel="1" thickBot="1" x14ac:dyDescent="0.3">
      <c r="B315" s="1018"/>
      <c r="C315" s="1020"/>
      <c r="D315" s="1058"/>
      <c r="E315" s="1064"/>
      <c r="F315" s="843" t="s">
        <v>117</v>
      </c>
      <c r="G315" s="809" t="str">
        <f>VLOOKUP(H315,инфо!AD:AE,2,FALSE)</f>
        <v>Мясные (рыбные) блюда с соусом</v>
      </c>
      <c r="H315" s="584" t="s">
        <v>1208</v>
      </c>
      <c r="I315" s="572"/>
      <c r="J315" s="479"/>
      <c r="K315" s="480"/>
      <c r="L315" s="480"/>
      <c r="M315" s="480"/>
      <c r="N315" s="480"/>
      <c r="O315" s="480"/>
      <c r="P315" s="480"/>
      <c r="Q315" s="480"/>
      <c r="R315" s="480"/>
      <c r="S315" s="480"/>
      <c r="T315" s="480"/>
      <c r="U315" s="480"/>
      <c r="V315" s="480"/>
      <c r="W315" s="481"/>
      <c r="X315" s="481"/>
      <c r="Y315" s="481"/>
      <c r="Z315" s="481"/>
      <c r="AA315" s="481"/>
      <c r="AB315" s="481"/>
      <c r="AC315" s="481"/>
      <c r="AD315" s="481"/>
      <c r="AE315" s="481"/>
      <c r="AF315" s="481"/>
      <c r="AG315" s="481"/>
      <c r="AH315" s="481"/>
      <c r="AI315" s="481"/>
      <c r="AJ315" s="481"/>
      <c r="AK315" s="481"/>
      <c r="AL315" s="481"/>
      <c r="AM315" s="481"/>
      <c r="AN315" s="481"/>
      <c r="AO315" s="481"/>
      <c r="AP315" s="481"/>
      <c r="AQ315" s="481"/>
      <c r="AR315" s="481"/>
      <c r="AS315" s="481"/>
      <c r="AT315" s="481"/>
      <c r="AU315" s="481"/>
      <c r="AV315" s="481"/>
      <c r="AW315" s="481"/>
      <c r="AX315" s="481"/>
      <c r="AY315" s="481"/>
      <c r="AZ315" s="481"/>
      <c r="BA315" s="481"/>
      <c r="BB315" s="481"/>
      <c r="BC315" s="481"/>
      <c r="BD315" s="481"/>
      <c r="BE315" s="482"/>
      <c r="BF315" s="482"/>
      <c r="BG315" s="482"/>
      <c r="BH315" s="482"/>
      <c r="BI315" s="482"/>
      <c r="BJ315" s="482"/>
      <c r="BK315" s="482"/>
      <c r="BL315" s="482"/>
      <c r="BM315" s="482"/>
      <c r="BN315" s="483"/>
      <c r="BO315" s="483"/>
      <c r="BP315" s="483"/>
      <c r="BQ315" s="483"/>
      <c r="BR315" s="483"/>
      <c r="BS315" s="483"/>
      <c r="BT315" s="483"/>
      <c r="BU315" s="483"/>
      <c r="BV315" s="480"/>
      <c r="BW315" s="480"/>
      <c r="BX315" s="480"/>
      <c r="BY315" s="480"/>
      <c r="BZ315" s="480"/>
      <c r="CA315" s="480"/>
      <c r="CB315" s="480"/>
      <c r="CC315" s="484"/>
      <c r="CD315" s="484"/>
      <c r="CE315" s="484"/>
      <c r="CF315" s="484"/>
      <c r="CG315" s="484"/>
      <c r="CH315" s="484"/>
      <c r="CI315" s="484"/>
      <c r="CJ315" s="484"/>
      <c r="CK315" s="484"/>
      <c r="CL315" s="484"/>
      <c r="CM315" s="484"/>
      <c r="CN315" s="484"/>
      <c r="CO315" s="484"/>
      <c r="CP315" s="484"/>
      <c r="CQ315" s="484"/>
      <c r="CR315" s="484"/>
      <c r="CS315" s="485"/>
      <c r="CT315" s="485"/>
      <c r="CU315" s="485"/>
      <c r="CV315" s="485"/>
      <c r="CW315" s="485"/>
      <c r="CX315" s="485"/>
      <c r="CY315" s="485"/>
      <c r="CZ315" s="485"/>
      <c r="DA315" s="485"/>
      <c r="DB315" s="485"/>
      <c r="DC315" s="485"/>
      <c r="DD315" s="485"/>
      <c r="DE315" s="485"/>
      <c r="DF315" s="485"/>
      <c r="DG315" s="485"/>
      <c r="DH315" s="485"/>
      <c r="DI315" s="485"/>
      <c r="DJ315" s="485"/>
      <c r="DK315" s="485"/>
      <c r="DL315" s="485"/>
      <c r="DM315" s="485"/>
      <c r="DN315" s="943"/>
      <c r="DO315" s="486"/>
      <c r="DP315" s="486"/>
      <c r="DQ315" s="487"/>
      <c r="DR315" s="487"/>
      <c r="DS315" s="482"/>
      <c r="DT315" s="482"/>
      <c r="DU315" s="482"/>
      <c r="DV315" s="482"/>
      <c r="DW315" s="482"/>
      <c r="DX315" s="482"/>
      <c r="DY315" s="482"/>
      <c r="DZ315" s="482"/>
      <c r="EA315" s="482"/>
      <c r="EB315" s="482"/>
      <c r="EC315" s="482"/>
      <c r="ED315" s="482"/>
      <c r="EE315" s="482"/>
      <c r="EF315" s="482"/>
      <c r="EG315" s="482"/>
      <c r="EH315" s="482"/>
      <c r="EI315" s="482"/>
      <c r="EJ315" s="482"/>
      <c r="EK315" s="482"/>
      <c r="EL315" s="482"/>
      <c r="EM315" s="482"/>
      <c r="EN315" s="482"/>
      <c r="EO315" s="482"/>
      <c r="EP315" s="482"/>
      <c r="EQ315" s="482"/>
      <c r="ER315" s="482"/>
      <c r="ES315" s="482"/>
      <c r="ET315" s="482"/>
      <c r="EU315" s="482"/>
      <c r="EV315" s="482"/>
      <c r="EW315" s="482"/>
      <c r="EX315" s="482"/>
      <c r="EY315" s="482"/>
      <c r="EZ315" s="482"/>
      <c r="FA315" s="377"/>
      <c r="FB315" s="378"/>
      <c r="FC315" s="378"/>
      <c r="FD315" s="379">
        <f t="shared" si="561"/>
        <v>0</v>
      </c>
      <c r="FE315" s="790"/>
    </row>
    <row r="316" spans="2:164" ht="26.1" customHeight="1" outlineLevel="1" thickBot="1" x14ac:dyDescent="0.3">
      <c r="B316" s="1018"/>
      <c r="C316" s="1020"/>
      <c r="D316" s="1058"/>
      <c r="E316" s="1064"/>
      <c r="F316" s="843" t="s">
        <v>117</v>
      </c>
      <c r="G316" s="809" t="str">
        <f>VLOOKUP(H316,инфо!AD:AE,2,FALSE)</f>
        <v>Гарниры</v>
      </c>
      <c r="H316" s="584" t="s">
        <v>1198</v>
      </c>
      <c r="I316" s="572"/>
      <c r="J316" s="479"/>
      <c r="K316" s="480"/>
      <c r="L316" s="480"/>
      <c r="M316" s="480"/>
      <c r="N316" s="480"/>
      <c r="O316" s="480"/>
      <c r="P316" s="480"/>
      <c r="Q316" s="480"/>
      <c r="R316" s="480"/>
      <c r="S316" s="480"/>
      <c r="T316" s="480"/>
      <c r="U316" s="480"/>
      <c r="V316" s="480"/>
      <c r="W316" s="481"/>
      <c r="X316" s="481"/>
      <c r="Y316" s="481"/>
      <c r="Z316" s="481"/>
      <c r="AA316" s="481"/>
      <c r="AB316" s="481"/>
      <c r="AC316" s="481"/>
      <c r="AD316" s="481"/>
      <c r="AE316" s="481"/>
      <c r="AF316" s="481"/>
      <c r="AG316" s="481"/>
      <c r="AH316" s="481"/>
      <c r="AI316" s="481"/>
      <c r="AJ316" s="481"/>
      <c r="AK316" s="481"/>
      <c r="AL316" s="481"/>
      <c r="AM316" s="481"/>
      <c r="AN316" s="481"/>
      <c r="AO316" s="481"/>
      <c r="AP316" s="481"/>
      <c r="AQ316" s="481"/>
      <c r="AR316" s="481"/>
      <c r="AS316" s="481"/>
      <c r="AT316" s="481"/>
      <c r="AU316" s="481"/>
      <c r="AV316" s="481"/>
      <c r="AW316" s="481"/>
      <c r="AX316" s="481"/>
      <c r="AY316" s="481"/>
      <c r="AZ316" s="481"/>
      <c r="BA316" s="481"/>
      <c r="BB316" s="481"/>
      <c r="BC316" s="481"/>
      <c r="BD316" s="481"/>
      <c r="BE316" s="482"/>
      <c r="BF316" s="482"/>
      <c r="BG316" s="482"/>
      <c r="BH316" s="482"/>
      <c r="BI316" s="482"/>
      <c r="BJ316" s="482"/>
      <c r="BK316" s="482"/>
      <c r="BL316" s="482"/>
      <c r="BM316" s="482"/>
      <c r="BN316" s="483"/>
      <c r="BO316" s="483"/>
      <c r="BP316" s="483"/>
      <c r="BQ316" s="483"/>
      <c r="BR316" s="483"/>
      <c r="BS316" s="483"/>
      <c r="BT316" s="483"/>
      <c r="BU316" s="483"/>
      <c r="BV316" s="480"/>
      <c r="BW316" s="480"/>
      <c r="BX316" s="480"/>
      <c r="BY316" s="480"/>
      <c r="BZ316" s="480"/>
      <c r="CA316" s="480"/>
      <c r="CB316" s="480"/>
      <c r="CC316" s="484"/>
      <c r="CD316" s="484"/>
      <c r="CE316" s="484"/>
      <c r="CF316" s="484"/>
      <c r="CG316" s="484"/>
      <c r="CH316" s="484"/>
      <c r="CI316" s="484"/>
      <c r="CJ316" s="484"/>
      <c r="CK316" s="484"/>
      <c r="CL316" s="484"/>
      <c r="CM316" s="484"/>
      <c r="CN316" s="484"/>
      <c r="CO316" s="484"/>
      <c r="CP316" s="484"/>
      <c r="CQ316" s="484"/>
      <c r="CR316" s="484"/>
      <c r="CS316" s="485"/>
      <c r="CT316" s="485"/>
      <c r="CU316" s="485"/>
      <c r="CV316" s="485"/>
      <c r="CW316" s="485"/>
      <c r="CX316" s="485"/>
      <c r="CY316" s="485"/>
      <c r="CZ316" s="485"/>
      <c r="DA316" s="485"/>
      <c r="DB316" s="485"/>
      <c r="DC316" s="485"/>
      <c r="DD316" s="485"/>
      <c r="DE316" s="485"/>
      <c r="DF316" s="485"/>
      <c r="DG316" s="485"/>
      <c r="DH316" s="485"/>
      <c r="DI316" s="485"/>
      <c r="DJ316" s="485"/>
      <c r="DK316" s="485"/>
      <c r="DL316" s="485"/>
      <c r="DM316" s="485"/>
      <c r="DN316" s="943"/>
      <c r="DO316" s="486"/>
      <c r="DP316" s="486"/>
      <c r="DQ316" s="487"/>
      <c r="DR316" s="487"/>
      <c r="DS316" s="482"/>
      <c r="DT316" s="482"/>
      <c r="DU316" s="482"/>
      <c r="DV316" s="482"/>
      <c r="DW316" s="482"/>
      <c r="DX316" s="482"/>
      <c r="DY316" s="482"/>
      <c r="DZ316" s="482"/>
      <c r="EA316" s="482"/>
      <c r="EB316" s="482"/>
      <c r="EC316" s="482"/>
      <c r="ED316" s="482"/>
      <c r="EE316" s="482"/>
      <c r="EF316" s="482"/>
      <c r="EG316" s="482"/>
      <c r="EH316" s="482"/>
      <c r="EI316" s="482"/>
      <c r="EJ316" s="482"/>
      <c r="EK316" s="482"/>
      <c r="EL316" s="482"/>
      <c r="EM316" s="482"/>
      <c r="EN316" s="482"/>
      <c r="EO316" s="482"/>
      <c r="EP316" s="482"/>
      <c r="EQ316" s="482"/>
      <c r="ER316" s="482"/>
      <c r="ES316" s="482"/>
      <c r="ET316" s="482"/>
      <c r="EU316" s="482"/>
      <c r="EV316" s="482"/>
      <c r="EW316" s="482"/>
      <c r="EX316" s="482"/>
      <c r="EY316" s="482"/>
      <c r="EZ316" s="482"/>
      <c r="FA316" s="377"/>
      <c r="FB316" s="378"/>
      <c r="FC316" s="378"/>
      <c r="FD316" s="379">
        <f t="shared" si="561"/>
        <v>0</v>
      </c>
      <c r="FE316" s="790"/>
    </row>
    <row r="317" spans="2:164" ht="26.1" customHeight="1" outlineLevel="1" thickBot="1" x14ac:dyDescent="0.3">
      <c r="B317" s="1018"/>
      <c r="C317" s="1020"/>
      <c r="D317" s="1058"/>
      <c r="E317" s="1065"/>
      <c r="F317" s="844" t="s">
        <v>117</v>
      </c>
      <c r="G317" s="810" t="str">
        <f>VLOOKUP(H317,инфо!AD:AE,2,FALSE)</f>
        <v>Мясные (рыбные) блюда с соусом</v>
      </c>
      <c r="H317" s="585" t="s">
        <v>1196</v>
      </c>
      <c r="I317" s="573"/>
      <c r="J317" s="488"/>
      <c r="K317" s="489"/>
      <c r="L317" s="489"/>
      <c r="M317" s="489"/>
      <c r="N317" s="489"/>
      <c r="O317" s="489"/>
      <c r="P317" s="489"/>
      <c r="Q317" s="489"/>
      <c r="R317" s="489"/>
      <c r="S317" s="489"/>
      <c r="T317" s="489"/>
      <c r="U317" s="489"/>
      <c r="V317" s="489"/>
      <c r="W317" s="490"/>
      <c r="X317" s="490"/>
      <c r="Y317" s="490"/>
      <c r="Z317" s="490"/>
      <c r="AA317" s="490"/>
      <c r="AB317" s="490"/>
      <c r="AC317" s="490"/>
      <c r="AD317" s="490"/>
      <c r="AE317" s="490"/>
      <c r="AF317" s="490"/>
      <c r="AG317" s="490"/>
      <c r="AH317" s="490"/>
      <c r="AI317" s="490"/>
      <c r="AJ317" s="490"/>
      <c r="AK317" s="490"/>
      <c r="AL317" s="490"/>
      <c r="AM317" s="490"/>
      <c r="AN317" s="490"/>
      <c r="AO317" s="490"/>
      <c r="AP317" s="490"/>
      <c r="AQ317" s="490"/>
      <c r="AR317" s="490"/>
      <c r="AS317" s="490"/>
      <c r="AT317" s="490"/>
      <c r="AU317" s="490"/>
      <c r="AV317" s="490"/>
      <c r="AW317" s="490"/>
      <c r="AX317" s="490"/>
      <c r="AY317" s="490"/>
      <c r="AZ317" s="490"/>
      <c r="BA317" s="490"/>
      <c r="BB317" s="490"/>
      <c r="BC317" s="490"/>
      <c r="BD317" s="490"/>
      <c r="BE317" s="491"/>
      <c r="BF317" s="491"/>
      <c r="BG317" s="491"/>
      <c r="BH317" s="491"/>
      <c r="BI317" s="491"/>
      <c r="BJ317" s="491"/>
      <c r="BK317" s="491"/>
      <c r="BL317" s="491"/>
      <c r="BM317" s="491"/>
      <c r="BN317" s="492"/>
      <c r="BO317" s="492"/>
      <c r="BP317" s="492"/>
      <c r="BQ317" s="492"/>
      <c r="BR317" s="492"/>
      <c r="BS317" s="492"/>
      <c r="BT317" s="492"/>
      <c r="BU317" s="492"/>
      <c r="BV317" s="489"/>
      <c r="BW317" s="489"/>
      <c r="BX317" s="489"/>
      <c r="BY317" s="489"/>
      <c r="BZ317" s="489"/>
      <c r="CA317" s="489"/>
      <c r="CB317" s="489"/>
      <c r="CC317" s="493"/>
      <c r="CD317" s="493"/>
      <c r="CE317" s="493"/>
      <c r="CF317" s="493"/>
      <c r="CG317" s="493"/>
      <c r="CH317" s="493"/>
      <c r="CI317" s="493"/>
      <c r="CJ317" s="493"/>
      <c r="CK317" s="493"/>
      <c r="CL317" s="493"/>
      <c r="CM317" s="493"/>
      <c r="CN317" s="493"/>
      <c r="CO317" s="493"/>
      <c r="CP317" s="493"/>
      <c r="CQ317" s="493"/>
      <c r="CR317" s="493"/>
      <c r="CS317" s="494"/>
      <c r="CT317" s="494"/>
      <c r="CU317" s="494"/>
      <c r="CV317" s="494"/>
      <c r="CW317" s="494"/>
      <c r="CX317" s="494"/>
      <c r="CY317" s="494"/>
      <c r="CZ317" s="494"/>
      <c r="DA317" s="494"/>
      <c r="DB317" s="494"/>
      <c r="DC317" s="494"/>
      <c r="DD317" s="494"/>
      <c r="DE317" s="494"/>
      <c r="DF317" s="494"/>
      <c r="DG317" s="494"/>
      <c r="DH317" s="494"/>
      <c r="DI317" s="494"/>
      <c r="DJ317" s="494"/>
      <c r="DK317" s="494"/>
      <c r="DL317" s="494"/>
      <c r="DM317" s="494"/>
      <c r="DN317" s="944"/>
      <c r="DO317" s="495"/>
      <c r="DP317" s="495"/>
      <c r="DQ317" s="496"/>
      <c r="DR317" s="496"/>
      <c r="DS317" s="491"/>
      <c r="DT317" s="491"/>
      <c r="DU317" s="491"/>
      <c r="DV317" s="491"/>
      <c r="DW317" s="491"/>
      <c r="DX317" s="491"/>
      <c r="DY317" s="491"/>
      <c r="DZ317" s="491"/>
      <c r="EA317" s="491"/>
      <c r="EB317" s="491"/>
      <c r="EC317" s="491"/>
      <c r="ED317" s="491"/>
      <c r="EE317" s="491"/>
      <c r="EF317" s="491"/>
      <c r="EG317" s="491"/>
      <c r="EH317" s="491"/>
      <c r="EI317" s="491"/>
      <c r="EJ317" s="491"/>
      <c r="EK317" s="491"/>
      <c r="EL317" s="491"/>
      <c r="EM317" s="491"/>
      <c r="EN317" s="491"/>
      <c r="EO317" s="491"/>
      <c r="EP317" s="491"/>
      <c r="EQ317" s="491"/>
      <c r="ER317" s="491"/>
      <c r="ES317" s="491"/>
      <c r="ET317" s="491"/>
      <c r="EU317" s="491"/>
      <c r="EV317" s="491"/>
      <c r="EW317" s="491"/>
      <c r="EX317" s="491"/>
      <c r="EY317" s="491"/>
      <c r="EZ317" s="491"/>
      <c r="FA317" s="389"/>
      <c r="FB317" s="390"/>
      <c r="FC317" s="390"/>
      <c r="FD317" s="391">
        <f t="shared" si="561"/>
        <v>0</v>
      </c>
      <c r="FE317" s="790"/>
    </row>
    <row r="318" spans="2:164" ht="26.1" customHeight="1" outlineLevel="1" thickBot="1" x14ac:dyDescent="0.3">
      <c r="B318" s="1018"/>
      <c r="C318" s="1020"/>
      <c r="D318" s="1058"/>
      <c r="E318" s="1064" t="s">
        <v>115</v>
      </c>
      <c r="F318" s="842" t="s">
        <v>117</v>
      </c>
      <c r="G318" s="808" t="str">
        <f>VLOOKUP(H318,инфо!AD:AE,2,FALSE)</f>
        <v>Мясные (рыбные) блюда с соусом</v>
      </c>
      <c r="H318" s="586" t="s">
        <v>1205</v>
      </c>
      <c r="I318" s="588" t="s">
        <v>748</v>
      </c>
      <c r="J318" s="497"/>
      <c r="K318" s="498"/>
      <c r="L318" s="498"/>
      <c r="M318" s="498"/>
      <c r="N318" s="498"/>
      <c r="O318" s="498"/>
      <c r="P318" s="498"/>
      <c r="Q318" s="498">
        <v>81</v>
      </c>
      <c r="R318" s="498"/>
      <c r="S318" s="498"/>
      <c r="T318" s="498"/>
      <c r="U318" s="498"/>
      <c r="V318" s="498"/>
      <c r="W318" s="499"/>
      <c r="X318" s="499"/>
      <c r="Y318" s="499"/>
      <c r="Z318" s="499"/>
      <c r="AA318" s="499"/>
      <c r="AB318" s="499"/>
      <c r="AC318" s="499"/>
      <c r="AD318" s="499"/>
      <c r="AE318" s="499"/>
      <c r="AF318" s="499">
        <v>10</v>
      </c>
      <c r="AG318" s="499">
        <v>10</v>
      </c>
      <c r="AH318" s="499"/>
      <c r="AI318" s="499"/>
      <c r="AJ318" s="499"/>
      <c r="AK318" s="499"/>
      <c r="AL318" s="499"/>
      <c r="AM318" s="499"/>
      <c r="AN318" s="499"/>
      <c r="AO318" s="499"/>
      <c r="AP318" s="499"/>
      <c r="AQ318" s="499"/>
      <c r="AR318" s="499"/>
      <c r="AS318" s="499"/>
      <c r="AT318" s="499"/>
      <c r="AU318" s="499"/>
      <c r="AV318" s="499"/>
      <c r="AW318" s="499"/>
      <c r="AX318" s="499"/>
      <c r="AY318" s="499"/>
      <c r="AZ318" s="499"/>
      <c r="BA318" s="499"/>
      <c r="BB318" s="499"/>
      <c r="BC318" s="499"/>
      <c r="BD318" s="499"/>
      <c r="BE318" s="500"/>
      <c r="BF318" s="500"/>
      <c r="BG318" s="500"/>
      <c r="BH318" s="500"/>
      <c r="BI318" s="500"/>
      <c r="BJ318" s="500"/>
      <c r="BK318" s="500"/>
      <c r="BL318" s="500"/>
      <c r="BM318" s="500"/>
      <c r="BN318" s="501"/>
      <c r="BO318" s="501">
        <v>5</v>
      </c>
      <c r="BP318" s="501"/>
      <c r="BQ318" s="501"/>
      <c r="BR318" s="501"/>
      <c r="BS318" s="501">
        <v>0.75</v>
      </c>
      <c r="BT318" s="501"/>
      <c r="BU318" s="501"/>
      <c r="BV318" s="498"/>
      <c r="BW318" s="498"/>
      <c r="BX318" s="498"/>
      <c r="BY318" s="498"/>
      <c r="BZ318" s="498"/>
      <c r="CA318" s="498"/>
      <c r="CB318" s="498"/>
      <c r="CC318" s="502"/>
      <c r="CD318" s="502"/>
      <c r="CE318" s="502"/>
      <c r="CF318" s="502"/>
      <c r="CG318" s="502"/>
      <c r="CH318" s="502"/>
      <c r="CI318" s="502"/>
      <c r="CJ318" s="502"/>
      <c r="CK318" s="502"/>
      <c r="CL318" s="502"/>
      <c r="CM318" s="502"/>
      <c r="CN318" s="502"/>
      <c r="CO318" s="502"/>
      <c r="CP318" s="502"/>
      <c r="CQ318" s="502"/>
      <c r="CR318" s="502"/>
      <c r="CS318" s="503"/>
      <c r="CT318" s="503"/>
      <c r="CU318" s="503"/>
      <c r="CV318" s="503"/>
      <c r="CW318" s="503"/>
      <c r="CX318" s="503"/>
      <c r="CY318" s="503"/>
      <c r="CZ318" s="503"/>
      <c r="DA318" s="503"/>
      <c r="DB318" s="503"/>
      <c r="DC318" s="503"/>
      <c r="DD318" s="503"/>
      <c r="DE318" s="503"/>
      <c r="DF318" s="503"/>
      <c r="DG318" s="503"/>
      <c r="DH318" s="503"/>
      <c r="DI318" s="503"/>
      <c r="DJ318" s="503"/>
      <c r="DK318" s="503"/>
      <c r="DL318" s="503"/>
      <c r="DM318" s="503"/>
      <c r="DN318" s="945"/>
      <c r="DO318" s="504"/>
      <c r="DP318" s="504">
        <v>2</v>
      </c>
      <c r="DQ318" s="505">
        <v>0.02</v>
      </c>
      <c r="DR318" s="505">
        <v>0.01</v>
      </c>
      <c r="DS318" s="500">
        <v>2</v>
      </c>
      <c r="DT318" s="500"/>
      <c r="DU318" s="500"/>
      <c r="DV318" s="500"/>
      <c r="DW318" s="500"/>
      <c r="DX318" s="500"/>
      <c r="DY318" s="500"/>
      <c r="DZ318" s="500"/>
      <c r="EA318" s="500"/>
      <c r="EB318" s="500"/>
      <c r="EC318" s="500"/>
      <c r="ED318" s="500"/>
      <c r="EE318" s="500"/>
      <c r="EF318" s="500"/>
      <c r="EG318" s="500"/>
      <c r="EH318" s="500"/>
      <c r="EI318" s="500"/>
      <c r="EJ318" s="500"/>
      <c r="EK318" s="500"/>
      <c r="EL318" s="500"/>
      <c r="EM318" s="500"/>
      <c r="EN318" s="500"/>
      <c r="EO318" s="500"/>
      <c r="EP318" s="500"/>
      <c r="EQ318" s="500"/>
      <c r="ER318" s="500"/>
      <c r="ES318" s="500"/>
      <c r="ET318" s="500"/>
      <c r="EU318" s="500"/>
      <c r="EV318" s="500"/>
      <c r="EW318" s="500"/>
      <c r="EX318" s="500"/>
      <c r="EY318" s="500"/>
      <c r="EZ318" s="500"/>
      <c r="FA318" s="364">
        <v>375</v>
      </c>
      <c r="FB318" s="365">
        <v>256</v>
      </c>
      <c r="FC318" s="365">
        <v>47</v>
      </c>
      <c r="FD318" s="367">
        <f t="shared" si="561"/>
        <v>0</v>
      </c>
      <c r="FE318" s="790"/>
    </row>
    <row r="319" spans="2:164" ht="26.1" customHeight="1" outlineLevel="1" thickBot="1" x14ac:dyDescent="0.3">
      <c r="B319" s="1018"/>
      <c r="C319" s="1020"/>
      <c r="D319" s="1058"/>
      <c r="E319" s="1064"/>
      <c r="F319" s="843" t="s">
        <v>117</v>
      </c>
      <c r="G319" s="809" t="str">
        <f>VLOOKUP(H319,инфо!AD:AE,2,FALSE)</f>
        <v>Мясные (рыбные) блюда с соусом</v>
      </c>
      <c r="H319" s="584" t="s">
        <v>1196</v>
      </c>
      <c r="I319" s="589" t="s">
        <v>1181</v>
      </c>
      <c r="J319" s="479"/>
      <c r="K319" s="480"/>
      <c r="L319" s="480"/>
      <c r="M319" s="480"/>
      <c r="N319" s="480"/>
      <c r="O319" s="480"/>
      <c r="P319" s="480"/>
      <c r="Q319" s="480"/>
      <c r="R319" s="480"/>
      <c r="S319" s="480"/>
      <c r="T319" s="480"/>
      <c r="U319" s="480"/>
      <c r="V319" s="480"/>
      <c r="W319" s="481"/>
      <c r="X319" s="481">
        <v>1</v>
      </c>
      <c r="Y319" s="481"/>
      <c r="Z319" s="481"/>
      <c r="AA319" s="481"/>
      <c r="AB319" s="481"/>
      <c r="AC319" s="481"/>
      <c r="AD319" s="481"/>
      <c r="AE319" s="481"/>
      <c r="AF319" s="481"/>
      <c r="AG319" s="481">
        <v>2</v>
      </c>
      <c r="AH319" s="481"/>
      <c r="AI319" s="481"/>
      <c r="AJ319" s="481"/>
      <c r="AK319" s="481"/>
      <c r="AL319" s="481"/>
      <c r="AM319" s="481"/>
      <c r="AN319" s="481"/>
      <c r="AO319" s="481">
        <v>0.8</v>
      </c>
      <c r="AP319" s="481"/>
      <c r="AQ319" s="481"/>
      <c r="AR319" s="481"/>
      <c r="AS319" s="481"/>
      <c r="AT319" s="481"/>
      <c r="AU319" s="481"/>
      <c r="AV319" s="481"/>
      <c r="AW319" s="481"/>
      <c r="AX319" s="481"/>
      <c r="AY319" s="481"/>
      <c r="AZ319" s="481"/>
      <c r="BA319" s="481"/>
      <c r="BB319" s="481"/>
      <c r="BC319" s="481"/>
      <c r="BD319" s="481"/>
      <c r="BE319" s="482"/>
      <c r="BF319" s="482"/>
      <c r="BG319" s="482"/>
      <c r="BH319" s="482"/>
      <c r="BI319" s="482"/>
      <c r="BJ319" s="482"/>
      <c r="BK319" s="482"/>
      <c r="BL319" s="482"/>
      <c r="BM319" s="482"/>
      <c r="BN319" s="483">
        <v>2</v>
      </c>
      <c r="BO319" s="483">
        <v>1</v>
      </c>
      <c r="BP319" s="483"/>
      <c r="BQ319" s="483"/>
      <c r="BR319" s="483"/>
      <c r="BS319" s="483"/>
      <c r="BT319" s="483"/>
      <c r="BU319" s="483"/>
      <c r="BV319" s="480"/>
      <c r="BW319" s="480"/>
      <c r="BX319" s="480"/>
      <c r="BY319" s="480"/>
      <c r="BZ319" s="480"/>
      <c r="CA319" s="480"/>
      <c r="CB319" s="480"/>
      <c r="CC319" s="484"/>
      <c r="CD319" s="484"/>
      <c r="CE319" s="484"/>
      <c r="CF319" s="484"/>
      <c r="CG319" s="484"/>
      <c r="CH319" s="484"/>
      <c r="CI319" s="484"/>
      <c r="CJ319" s="484"/>
      <c r="CK319" s="484"/>
      <c r="CL319" s="484"/>
      <c r="CM319" s="484"/>
      <c r="CN319" s="484"/>
      <c r="CO319" s="484"/>
      <c r="CP319" s="484"/>
      <c r="CQ319" s="484"/>
      <c r="CR319" s="484"/>
      <c r="CS319" s="485"/>
      <c r="CT319" s="485"/>
      <c r="CU319" s="485"/>
      <c r="CV319" s="485"/>
      <c r="CW319" s="485"/>
      <c r="CX319" s="485"/>
      <c r="CY319" s="485"/>
      <c r="CZ319" s="485"/>
      <c r="DA319" s="485"/>
      <c r="DB319" s="485"/>
      <c r="DC319" s="485"/>
      <c r="DD319" s="485"/>
      <c r="DE319" s="485"/>
      <c r="DF319" s="485"/>
      <c r="DG319" s="485"/>
      <c r="DH319" s="485"/>
      <c r="DI319" s="485"/>
      <c r="DJ319" s="485"/>
      <c r="DK319" s="485"/>
      <c r="DL319" s="485"/>
      <c r="DM319" s="485"/>
      <c r="DN319" s="943">
        <v>0.08</v>
      </c>
      <c r="DO319" s="486"/>
      <c r="DP319" s="486">
        <v>0.2</v>
      </c>
      <c r="DQ319" s="487">
        <v>2E-3</v>
      </c>
      <c r="DR319" s="487">
        <v>5.0000000000000001E-3</v>
      </c>
      <c r="DS319" s="482"/>
      <c r="DT319" s="482"/>
      <c r="DU319" s="482"/>
      <c r="DV319" s="482"/>
      <c r="DW319" s="482"/>
      <c r="DX319" s="482"/>
      <c r="DY319" s="482"/>
      <c r="DZ319" s="482"/>
      <c r="EA319" s="482"/>
      <c r="EB319" s="482">
        <v>12</v>
      </c>
      <c r="EC319" s="482"/>
      <c r="ED319" s="482"/>
      <c r="EE319" s="482"/>
      <c r="EF319" s="482"/>
      <c r="EG319" s="482"/>
      <c r="EH319" s="482"/>
      <c r="EI319" s="482"/>
      <c r="EJ319" s="482"/>
      <c r="EK319" s="482"/>
      <c r="EL319" s="482"/>
      <c r="EM319" s="482"/>
      <c r="EN319" s="482"/>
      <c r="EO319" s="482"/>
      <c r="EP319" s="482"/>
      <c r="EQ319" s="482"/>
      <c r="ER319" s="482"/>
      <c r="ES319" s="482"/>
      <c r="ET319" s="482"/>
      <c r="EU319" s="482"/>
      <c r="EV319" s="482"/>
      <c r="EW319" s="482"/>
      <c r="EX319" s="482"/>
      <c r="EY319" s="482"/>
      <c r="EZ319" s="482"/>
      <c r="FA319" s="377"/>
      <c r="FB319" s="378">
        <v>20</v>
      </c>
      <c r="FC319" s="378"/>
      <c r="FD319" s="379">
        <f t="shared" si="561"/>
        <v>0</v>
      </c>
      <c r="FE319" s="790"/>
    </row>
    <row r="320" spans="2:164" ht="26.1" customHeight="1" outlineLevel="1" thickBot="1" x14ac:dyDescent="0.3">
      <c r="B320" s="1018"/>
      <c r="C320" s="1020"/>
      <c r="D320" s="1058"/>
      <c r="E320" s="1064"/>
      <c r="F320" s="843" t="s">
        <v>117</v>
      </c>
      <c r="G320" s="809" t="str">
        <f>VLOOKUP(H320,инфо!AD:AE,2,FALSE)</f>
        <v>Прочее</v>
      </c>
      <c r="H320" s="584" t="s">
        <v>1197</v>
      </c>
      <c r="I320" s="589" t="s">
        <v>164</v>
      </c>
      <c r="J320" s="479"/>
      <c r="K320" s="480"/>
      <c r="L320" s="480"/>
      <c r="M320" s="480"/>
      <c r="N320" s="480"/>
      <c r="O320" s="480"/>
      <c r="P320" s="480"/>
      <c r="Q320" s="480"/>
      <c r="R320" s="480"/>
      <c r="S320" s="480"/>
      <c r="T320" s="480"/>
      <c r="U320" s="480"/>
      <c r="V320" s="480"/>
      <c r="W320" s="481"/>
      <c r="X320" s="481"/>
      <c r="Y320" s="481"/>
      <c r="Z320" s="481"/>
      <c r="AA320" s="481"/>
      <c r="AB320" s="481"/>
      <c r="AC320" s="481"/>
      <c r="AD320" s="481"/>
      <c r="AE320" s="481"/>
      <c r="AF320" s="481"/>
      <c r="AG320" s="481"/>
      <c r="AH320" s="481"/>
      <c r="AI320" s="481"/>
      <c r="AJ320" s="481"/>
      <c r="AK320" s="481"/>
      <c r="AL320" s="481"/>
      <c r="AM320" s="481"/>
      <c r="AN320" s="481"/>
      <c r="AO320" s="481"/>
      <c r="AP320" s="481"/>
      <c r="AQ320" s="481"/>
      <c r="AR320" s="481"/>
      <c r="AS320" s="481"/>
      <c r="AT320" s="481"/>
      <c r="AU320" s="481"/>
      <c r="AV320" s="481"/>
      <c r="AW320" s="481"/>
      <c r="AX320" s="481"/>
      <c r="AY320" s="481"/>
      <c r="AZ320" s="481"/>
      <c r="BA320" s="481"/>
      <c r="BB320" s="481">
        <v>20</v>
      </c>
      <c r="BC320" s="481"/>
      <c r="BD320" s="481"/>
      <c r="BE320" s="482"/>
      <c r="BF320" s="482"/>
      <c r="BG320" s="482"/>
      <c r="BH320" s="482"/>
      <c r="BI320" s="482"/>
      <c r="BJ320" s="482"/>
      <c r="BK320" s="482"/>
      <c r="BL320" s="482"/>
      <c r="BM320" s="482"/>
      <c r="BN320" s="483"/>
      <c r="BO320" s="483"/>
      <c r="BP320" s="483"/>
      <c r="BQ320" s="483"/>
      <c r="BR320" s="483"/>
      <c r="BS320" s="483"/>
      <c r="BT320" s="483"/>
      <c r="BU320" s="483"/>
      <c r="BV320" s="480"/>
      <c r="BW320" s="480"/>
      <c r="BX320" s="480"/>
      <c r="BY320" s="480"/>
      <c r="BZ320" s="480"/>
      <c r="CA320" s="480"/>
      <c r="CB320" s="480"/>
      <c r="CC320" s="484"/>
      <c r="CD320" s="484"/>
      <c r="CE320" s="484"/>
      <c r="CF320" s="484"/>
      <c r="CG320" s="484"/>
      <c r="CH320" s="484"/>
      <c r="CI320" s="484"/>
      <c r="CJ320" s="484"/>
      <c r="CK320" s="484"/>
      <c r="CL320" s="484"/>
      <c r="CM320" s="484"/>
      <c r="CN320" s="484"/>
      <c r="CO320" s="484"/>
      <c r="CP320" s="484"/>
      <c r="CQ320" s="484"/>
      <c r="CR320" s="484"/>
      <c r="CS320" s="485"/>
      <c r="CT320" s="485"/>
      <c r="CU320" s="485"/>
      <c r="CV320" s="485"/>
      <c r="CW320" s="485"/>
      <c r="CX320" s="485"/>
      <c r="CY320" s="485"/>
      <c r="CZ320" s="485"/>
      <c r="DA320" s="485"/>
      <c r="DB320" s="485"/>
      <c r="DC320" s="485"/>
      <c r="DD320" s="485"/>
      <c r="DE320" s="485"/>
      <c r="DF320" s="485"/>
      <c r="DG320" s="485"/>
      <c r="DH320" s="485"/>
      <c r="DI320" s="485"/>
      <c r="DJ320" s="485"/>
      <c r="DK320" s="485"/>
      <c r="DL320" s="485"/>
      <c r="DM320" s="485"/>
      <c r="DN320" s="943"/>
      <c r="DO320" s="486"/>
      <c r="DP320" s="486"/>
      <c r="DQ320" s="487"/>
      <c r="DR320" s="487"/>
      <c r="DS320" s="482"/>
      <c r="DT320" s="482"/>
      <c r="DU320" s="482"/>
      <c r="DV320" s="482"/>
      <c r="DW320" s="482"/>
      <c r="DX320" s="482"/>
      <c r="DY320" s="482"/>
      <c r="DZ320" s="482"/>
      <c r="EA320" s="482"/>
      <c r="EB320" s="482"/>
      <c r="EC320" s="482"/>
      <c r="ED320" s="482"/>
      <c r="EE320" s="482"/>
      <c r="EF320" s="482"/>
      <c r="EG320" s="482"/>
      <c r="EH320" s="482"/>
      <c r="EI320" s="482"/>
      <c r="EJ320" s="482"/>
      <c r="EK320" s="482"/>
      <c r="EL320" s="482"/>
      <c r="EM320" s="482"/>
      <c r="EN320" s="482"/>
      <c r="EO320" s="482"/>
      <c r="EP320" s="482"/>
      <c r="EQ320" s="482"/>
      <c r="ER320" s="482"/>
      <c r="ES320" s="482"/>
      <c r="ET320" s="482"/>
      <c r="EU320" s="482"/>
      <c r="EV320" s="482"/>
      <c r="EW320" s="482"/>
      <c r="EX320" s="482"/>
      <c r="EY320" s="482"/>
      <c r="EZ320" s="482"/>
      <c r="FA320" s="377"/>
      <c r="FB320" s="378">
        <v>20</v>
      </c>
      <c r="FC320" s="378"/>
      <c r="FD320" s="379">
        <f t="shared" si="561"/>
        <v>0</v>
      </c>
      <c r="FE320" s="790"/>
    </row>
    <row r="321" spans="2:168" ht="26.1" customHeight="1" outlineLevel="1" thickBot="1" x14ac:dyDescent="0.3">
      <c r="B321" s="1018"/>
      <c r="C321" s="1020"/>
      <c r="D321" s="1058"/>
      <c r="E321" s="1064"/>
      <c r="F321" s="845" t="s">
        <v>117</v>
      </c>
      <c r="G321" s="811" t="str">
        <f>VLOOKUP(H321,инфо!AD:AE,2,FALSE)</f>
        <v>Прочее</v>
      </c>
      <c r="H321" s="587" t="s">
        <v>1197</v>
      </c>
      <c r="I321" s="573"/>
      <c r="J321" s="506"/>
      <c r="K321" s="507"/>
      <c r="L321" s="507"/>
      <c r="M321" s="507"/>
      <c r="N321" s="507"/>
      <c r="O321" s="507"/>
      <c r="P321" s="507"/>
      <c r="Q321" s="507"/>
      <c r="R321" s="507"/>
      <c r="S321" s="507"/>
      <c r="T321" s="507"/>
      <c r="U321" s="507"/>
      <c r="V321" s="507"/>
      <c r="W321" s="508"/>
      <c r="X321" s="508"/>
      <c r="Y321" s="508"/>
      <c r="Z321" s="508"/>
      <c r="AA321" s="508"/>
      <c r="AB321" s="508"/>
      <c r="AC321" s="508"/>
      <c r="AD321" s="508"/>
      <c r="AE321" s="508"/>
      <c r="AF321" s="508"/>
      <c r="AG321" s="508"/>
      <c r="AH321" s="508"/>
      <c r="AI321" s="508"/>
      <c r="AJ321" s="508"/>
      <c r="AK321" s="508"/>
      <c r="AL321" s="508"/>
      <c r="AM321" s="508"/>
      <c r="AN321" s="508"/>
      <c r="AO321" s="508"/>
      <c r="AP321" s="508"/>
      <c r="AQ321" s="508"/>
      <c r="AR321" s="508"/>
      <c r="AS321" s="508"/>
      <c r="AT321" s="508"/>
      <c r="AU321" s="508"/>
      <c r="AV321" s="508"/>
      <c r="AW321" s="508"/>
      <c r="AX321" s="508"/>
      <c r="AY321" s="508"/>
      <c r="AZ321" s="508"/>
      <c r="BA321" s="508"/>
      <c r="BB321" s="508"/>
      <c r="BC321" s="508"/>
      <c r="BD321" s="508"/>
      <c r="BE321" s="509"/>
      <c r="BF321" s="509"/>
      <c r="BG321" s="509"/>
      <c r="BH321" s="509"/>
      <c r="BI321" s="509"/>
      <c r="BJ321" s="509"/>
      <c r="BK321" s="509"/>
      <c r="BL321" s="509"/>
      <c r="BM321" s="509"/>
      <c r="BN321" s="510"/>
      <c r="BO321" s="510"/>
      <c r="BP321" s="510"/>
      <c r="BQ321" s="510"/>
      <c r="BR321" s="510"/>
      <c r="BS321" s="510"/>
      <c r="BT321" s="510"/>
      <c r="BU321" s="510"/>
      <c r="BV321" s="507"/>
      <c r="BW321" s="507"/>
      <c r="BX321" s="507"/>
      <c r="BY321" s="507"/>
      <c r="BZ321" s="507"/>
      <c r="CA321" s="507"/>
      <c r="CB321" s="507"/>
      <c r="CC321" s="511"/>
      <c r="CD321" s="511"/>
      <c r="CE321" s="511"/>
      <c r="CF321" s="511"/>
      <c r="CG321" s="511"/>
      <c r="CH321" s="511"/>
      <c r="CI321" s="511"/>
      <c r="CJ321" s="511"/>
      <c r="CK321" s="511"/>
      <c r="CL321" s="511"/>
      <c r="CM321" s="511"/>
      <c r="CN321" s="511"/>
      <c r="CO321" s="511"/>
      <c r="CP321" s="511"/>
      <c r="CQ321" s="511"/>
      <c r="CR321" s="511"/>
      <c r="CS321" s="512"/>
      <c r="CT321" s="512"/>
      <c r="CU321" s="512"/>
      <c r="CV321" s="512"/>
      <c r="CW321" s="512"/>
      <c r="CX321" s="512"/>
      <c r="CY321" s="512"/>
      <c r="CZ321" s="512"/>
      <c r="DA321" s="512"/>
      <c r="DB321" s="512"/>
      <c r="DC321" s="512"/>
      <c r="DD321" s="512"/>
      <c r="DE321" s="512"/>
      <c r="DF321" s="512"/>
      <c r="DG321" s="512"/>
      <c r="DH321" s="512"/>
      <c r="DI321" s="512"/>
      <c r="DJ321" s="512"/>
      <c r="DK321" s="512"/>
      <c r="DL321" s="512"/>
      <c r="DM321" s="512"/>
      <c r="DN321" s="946"/>
      <c r="DO321" s="513"/>
      <c r="DP321" s="513"/>
      <c r="DQ321" s="514"/>
      <c r="DR321" s="514"/>
      <c r="DS321" s="509"/>
      <c r="DT321" s="509"/>
      <c r="DU321" s="509"/>
      <c r="DV321" s="509"/>
      <c r="DW321" s="509"/>
      <c r="DX321" s="509"/>
      <c r="DY321" s="509"/>
      <c r="DZ321" s="509"/>
      <c r="EA321" s="509"/>
      <c r="EB321" s="509"/>
      <c r="EC321" s="509"/>
      <c r="ED321" s="509"/>
      <c r="EE321" s="509"/>
      <c r="EF321" s="509"/>
      <c r="EG321" s="509"/>
      <c r="EH321" s="509"/>
      <c r="EI321" s="509"/>
      <c r="EJ321" s="509"/>
      <c r="EK321" s="509"/>
      <c r="EL321" s="509"/>
      <c r="EM321" s="509"/>
      <c r="EN321" s="509"/>
      <c r="EO321" s="509"/>
      <c r="EP321" s="509"/>
      <c r="EQ321" s="509"/>
      <c r="ER321" s="509"/>
      <c r="ES321" s="509"/>
      <c r="ET321" s="509"/>
      <c r="EU321" s="509"/>
      <c r="EV321" s="509"/>
      <c r="EW321" s="509"/>
      <c r="EX321" s="509"/>
      <c r="EY321" s="509"/>
      <c r="EZ321" s="509"/>
      <c r="FA321" s="402"/>
      <c r="FB321" s="403"/>
      <c r="FC321" s="403"/>
      <c r="FD321" s="404">
        <f t="shared" si="561"/>
        <v>0</v>
      </c>
      <c r="FE321" s="790"/>
    </row>
    <row r="322" spans="2:168" ht="26.1" customHeight="1" outlineLevel="1" thickBot="1" x14ac:dyDescent="0.3">
      <c r="B322" s="1018"/>
      <c r="C322" s="1020"/>
      <c r="D322" s="1058"/>
      <c r="E322" s="1063" t="s">
        <v>116</v>
      </c>
      <c r="F322" s="846" t="s">
        <v>117</v>
      </c>
      <c r="G322" s="812" t="str">
        <f>VLOOKUP(H322,инфо!AD:AE,2,FALSE)</f>
        <v>Прочее</v>
      </c>
      <c r="H322" s="583" t="s">
        <v>1197</v>
      </c>
      <c r="I322" s="588" t="s">
        <v>50</v>
      </c>
      <c r="J322" s="470"/>
      <c r="K322" s="471"/>
      <c r="L322" s="471"/>
      <c r="M322" s="471"/>
      <c r="N322" s="471"/>
      <c r="O322" s="471"/>
      <c r="P322" s="471"/>
      <c r="Q322" s="471"/>
      <c r="R322" s="471"/>
      <c r="S322" s="471"/>
      <c r="T322" s="471"/>
      <c r="U322" s="471"/>
      <c r="V322" s="471"/>
      <c r="W322" s="472"/>
      <c r="X322" s="472"/>
      <c r="Y322" s="472"/>
      <c r="Z322" s="472">
        <v>50</v>
      </c>
      <c r="AA322" s="472">
        <v>100</v>
      </c>
      <c r="AB322" s="472"/>
      <c r="AC322" s="472"/>
      <c r="AD322" s="472"/>
      <c r="AE322" s="472"/>
      <c r="AF322" s="472"/>
      <c r="AG322" s="472"/>
      <c r="AH322" s="472"/>
      <c r="AI322" s="472"/>
      <c r="AJ322" s="472"/>
      <c r="AK322" s="472"/>
      <c r="AL322" s="472"/>
      <c r="AM322" s="472"/>
      <c r="AN322" s="472"/>
      <c r="AO322" s="472"/>
      <c r="AP322" s="472"/>
      <c r="AQ322" s="472"/>
      <c r="AR322" s="472"/>
      <c r="AS322" s="472"/>
      <c r="AT322" s="472"/>
      <c r="AU322" s="472"/>
      <c r="AV322" s="472"/>
      <c r="AW322" s="472"/>
      <c r="AX322" s="472"/>
      <c r="AY322" s="472"/>
      <c r="AZ322" s="472"/>
      <c r="BA322" s="472"/>
      <c r="BB322" s="472"/>
      <c r="BC322" s="472"/>
      <c r="BD322" s="472"/>
      <c r="BE322" s="473"/>
      <c r="BF322" s="473"/>
      <c r="BG322" s="473"/>
      <c r="BH322" s="473"/>
      <c r="BI322" s="473"/>
      <c r="BJ322" s="473"/>
      <c r="BK322" s="473"/>
      <c r="BL322" s="473"/>
      <c r="BM322" s="473"/>
      <c r="BN322" s="474"/>
      <c r="BO322" s="474"/>
      <c r="BP322" s="474"/>
      <c r="BQ322" s="474"/>
      <c r="BR322" s="474"/>
      <c r="BS322" s="474"/>
      <c r="BT322" s="474"/>
      <c r="BU322" s="474"/>
      <c r="BV322" s="471"/>
      <c r="BW322" s="471"/>
      <c r="BX322" s="471"/>
      <c r="BY322" s="471"/>
      <c r="BZ322" s="471"/>
      <c r="CA322" s="471"/>
      <c r="CB322" s="471"/>
      <c r="CC322" s="475"/>
      <c r="CD322" s="475"/>
      <c r="CE322" s="475"/>
      <c r="CF322" s="475"/>
      <c r="CG322" s="475"/>
      <c r="CH322" s="475"/>
      <c r="CI322" s="475"/>
      <c r="CJ322" s="475"/>
      <c r="CK322" s="475"/>
      <c r="CL322" s="475"/>
      <c r="CM322" s="475"/>
      <c r="CN322" s="475"/>
      <c r="CO322" s="475"/>
      <c r="CP322" s="475"/>
      <c r="CQ322" s="475"/>
      <c r="CR322" s="475"/>
      <c r="CS322" s="476"/>
      <c r="CT322" s="476"/>
      <c r="CU322" s="476"/>
      <c r="CV322" s="476"/>
      <c r="CW322" s="476"/>
      <c r="CX322" s="476"/>
      <c r="CY322" s="476"/>
      <c r="CZ322" s="476"/>
      <c r="DA322" s="476"/>
      <c r="DB322" s="476"/>
      <c r="DC322" s="476"/>
      <c r="DD322" s="476"/>
      <c r="DE322" s="476"/>
      <c r="DF322" s="476"/>
      <c r="DG322" s="476"/>
      <c r="DH322" s="476"/>
      <c r="DI322" s="476"/>
      <c r="DJ322" s="476"/>
      <c r="DK322" s="476"/>
      <c r="DL322" s="476"/>
      <c r="DM322" s="476"/>
      <c r="DN322" s="942"/>
      <c r="DO322" s="477"/>
      <c r="DP322" s="477"/>
      <c r="DQ322" s="478"/>
      <c r="DR322" s="478"/>
      <c r="DS322" s="473"/>
      <c r="DT322" s="473"/>
      <c r="DU322" s="473"/>
      <c r="DV322" s="473"/>
      <c r="DW322" s="473"/>
      <c r="DX322" s="473"/>
      <c r="DY322" s="473"/>
      <c r="DZ322" s="473"/>
      <c r="EA322" s="473"/>
      <c r="EB322" s="473"/>
      <c r="EC322" s="473"/>
      <c r="ED322" s="473"/>
      <c r="EE322" s="473"/>
      <c r="EF322" s="473"/>
      <c r="EG322" s="473"/>
      <c r="EH322" s="473"/>
      <c r="EI322" s="473"/>
      <c r="EJ322" s="473"/>
      <c r="EK322" s="473"/>
      <c r="EL322" s="473"/>
      <c r="EM322" s="473"/>
      <c r="EN322" s="473"/>
      <c r="EO322" s="473"/>
      <c r="EP322" s="473"/>
      <c r="EQ322" s="473"/>
      <c r="ER322" s="473"/>
      <c r="ES322" s="473"/>
      <c r="ET322" s="473"/>
      <c r="EU322" s="473"/>
      <c r="EV322" s="473"/>
      <c r="EW322" s="473"/>
      <c r="EX322" s="473"/>
      <c r="EY322" s="473"/>
      <c r="EZ322" s="473"/>
      <c r="FA322" s="415"/>
      <c r="FB322" s="416">
        <v>150</v>
      </c>
      <c r="FC322" s="416"/>
      <c r="FD322" s="417">
        <f t="shared" si="561"/>
        <v>0</v>
      </c>
      <c r="FE322" s="790"/>
    </row>
    <row r="323" spans="2:168" ht="26.1" customHeight="1" outlineLevel="1" thickBot="1" x14ac:dyDescent="0.3">
      <c r="B323" s="1018"/>
      <c r="C323" s="1020"/>
      <c r="D323" s="1058"/>
      <c r="E323" s="1064"/>
      <c r="F323" s="843" t="s">
        <v>117</v>
      </c>
      <c r="G323" s="809" t="str">
        <f>VLOOKUP(H323,инфо!AD:AE,2,FALSE)</f>
        <v>Напитки</v>
      </c>
      <c r="H323" s="584" t="s">
        <v>1195</v>
      </c>
      <c r="I323" s="589" t="s">
        <v>1152</v>
      </c>
      <c r="J323" s="479"/>
      <c r="K323" s="480"/>
      <c r="L323" s="480"/>
      <c r="M323" s="480"/>
      <c r="N323" s="480"/>
      <c r="O323" s="480"/>
      <c r="P323" s="480"/>
      <c r="Q323" s="480"/>
      <c r="R323" s="480"/>
      <c r="S323" s="480"/>
      <c r="T323" s="480"/>
      <c r="U323" s="480"/>
      <c r="V323" s="480"/>
      <c r="W323" s="481"/>
      <c r="X323" s="481"/>
      <c r="Y323" s="481"/>
      <c r="Z323" s="481"/>
      <c r="AA323" s="481"/>
      <c r="AB323" s="481"/>
      <c r="AC323" s="481"/>
      <c r="AD323" s="481"/>
      <c r="AE323" s="481"/>
      <c r="AF323" s="481"/>
      <c r="AG323" s="481"/>
      <c r="AH323" s="481"/>
      <c r="AI323" s="481"/>
      <c r="AJ323" s="481"/>
      <c r="AK323" s="481"/>
      <c r="AL323" s="481"/>
      <c r="AM323" s="481"/>
      <c r="AN323" s="481"/>
      <c r="AO323" s="481"/>
      <c r="AP323" s="481"/>
      <c r="AQ323" s="481"/>
      <c r="AR323" s="481"/>
      <c r="AS323" s="481"/>
      <c r="AT323" s="481"/>
      <c r="AU323" s="481"/>
      <c r="AV323" s="481"/>
      <c r="AW323" s="481"/>
      <c r="AX323" s="481"/>
      <c r="AY323" s="481"/>
      <c r="AZ323" s="481"/>
      <c r="BA323" s="481"/>
      <c r="BB323" s="481"/>
      <c r="BC323" s="481"/>
      <c r="BD323" s="481"/>
      <c r="BE323" s="482"/>
      <c r="BF323" s="482"/>
      <c r="BG323" s="482"/>
      <c r="BH323" s="482"/>
      <c r="BI323" s="482"/>
      <c r="BJ323" s="482"/>
      <c r="BK323" s="482"/>
      <c r="BL323" s="482"/>
      <c r="BM323" s="482"/>
      <c r="BN323" s="483"/>
      <c r="BO323" s="483"/>
      <c r="BP323" s="483"/>
      <c r="BQ323" s="483"/>
      <c r="BR323" s="483"/>
      <c r="BS323" s="483"/>
      <c r="BT323" s="483"/>
      <c r="BU323" s="483"/>
      <c r="BV323" s="480"/>
      <c r="BW323" s="480"/>
      <c r="BX323" s="480"/>
      <c r="BY323" s="480"/>
      <c r="BZ323" s="480"/>
      <c r="CA323" s="480"/>
      <c r="CB323" s="480"/>
      <c r="CC323" s="484"/>
      <c r="CD323" s="484"/>
      <c r="CE323" s="484"/>
      <c r="CF323" s="484"/>
      <c r="CG323" s="484"/>
      <c r="CH323" s="484"/>
      <c r="CI323" s="484"/>
      <c r="CJ323" s="484"/>
      <c r="CK323" s="484"/>
      <c r="CL323" s="484"/>
      <c r="CM323" s="484"/>
      <c r="CN323" s="484"/>
      <c r="CO323" s="484"/>
      <c r="CP323" s="484"/>
      <c r="CQ323" s="484"/>
      <c r="CR323" s="484"/>
      <c r="CS323" s="485"/>
      <c r="CT323" s="485"/>
      <c r="CU323" s="485"/>
      <c r="CV323" s="485"/>
      <c r="CW323" s="485"/>
      <c r="CX323" s="485"/>
      <c r="CY323" s="485"/>
      <c r="CZ323" s="485"/>
      <c r="DA323" s="485"/>
      <c r="DB323" s="485"/>
      <c r="DC323" s="485"/>
      <c r="DD323" s="485"/>
      <c r="DE323" s="485"/>
      <c r="DF323" s="485"/>
      <c r="DG323" s="485"/>
      <c r="DH323" s="485"/>
      <c r="DI323" s="485"/>
      <c r="DJ323" s="485"/>
      <c r="DK323" s="485"/>
      <c r="DL323" s="485"/>
      <c r="DM323" s="485"/>
      <c r="DN323" s="943"/>
      <c r="DO323" s="486">
        <v>20</v>
      </c>
      <c r="DP323" s="486"/>
      <c r="DQ323" s="487"/>
      <c r="DR323" s="487"/>
      <c r="DS323" s="482"/>
      <c r="DT323" s="482"/>
      <c r="DU323" s="482"/>
      <c r="DV323" s="482"/>
      <c r="DW323" s="482"/>
      <c r="DX323" s="482"/>
      <c r="DY323" s="482"/>
      <c r="DZ323" s="482"/>
      <c r="EA323" s="482">
        <v>250</v>
      </c>
      <c r="EB323" s="482"/>
      <c r="EC323" s="482"/>
      <c r="ED323" s="482"/>
      <c r="EE323" s="482"/>
      <c r="EF323" s="482"/>
      <c r="EG323" s="482"/>
      <c r="EH323" s="482"/>
      <c r="EI323" s="482"/>
      <c r="EJ323" s="482"/>
      <c r="EK323" s="482"/>
      <c r="EL323" s="482"/>
      <c r="EM323" s="482"/>
      <c r="EN323" s="482"/>
      <c r="EO323" s="482"/>
      <c r="EP323" s="482"/>
      <c r="EQ323" s="482"/>
      <c r="ER323" s="482"/>
      <c r="ES323" s="482"/>
      <c r="ET323" s="482">
        <v>25</v>
      </c>
      <c r="EU323" s="482"/>
      <c r="EV323" s="482"/>
      <c r="EW323" s="482"/>
      <c r="EX323" s="482"/>
      <c r="EY323" s="482"/>
      <c r="EZ323" s="482"/>
      <c r="FA323" s="377"/>
      <c r="FB323" s="378">
        <v>250</v>
      </c>
      <c r="FC323" s="378"/>
      <c r="FD323" s="379">
        <f t="shared" si="561"/>
        <v>0</v>
      </c>
      <c r="FE323" s="790"/>
    </row>
    <row r="324" spans="2:168" ht="26.1" customHeight="1" outlineLevel="1" thickBot="1" x14ac:dyDescent="0.3">
      <c r="B324" s="1018"/>
      <c r="C324" s="1020"/>
      <c r="D324" s="1058"/>
      <c r="E324" s="1064"/>
      <c r="F324" s="843" t="s">
        <v>117</v>
      </c>
      <c r="G324" s="809" t="str">
        <f>VLOOKUP(H324,инфо!AD:AE,2,FALSE)</f>
        <v>Прочее</v>
      </c>
      <c r="H324" s="584" t="s">
        <v>1197</v>
      </c>
      <c r="I324" s="589" t="s">
        <v>60</v>
      </c>
      <c r="J324" s="479"/>
      <c r="K324" s="480"/>
      <c r="L324" s="480"/>
      <c r="M324" s="480"/>
      <c r="N324" s="480"/>
      <c r="O324" s="480"/>
      <c r="P324" s="480"/>
      <c r="Q324" s="480"/>
      <c r="R324" s="480"/>
      <c r="S324" s="480"/>
      <c r="T324" s="480"/>
      <c r="U324" s="480"/>
      <c r="V324" s="480"/>
      <c r="W324" s="481"/>
      <c r="X324" s="481"/>
      <c r="Y324" s="481"/>
      <c r="Z324" s="481"/>
      <c r="AA324" s="481"/>
      <c r="AB324" s="481"/>
      <c r="AC324" s="481"/>
      <c r="AD324" s="481"/>
      <c r="AE324" s="481"/>
      <c r="AF324" s="481"/>
      <c r="AG324" s="481"/>
      <c r="AH324" s="481"/>
      <c r="AI324" s="481"/>
      <c r="AJ324" s="481"/>
      <c r="AK324" s="481"/>
      <c r="AL324" s="481"/>
      <c r="AM324" s="481"/>
      <c r="AN324" s="481"/>
      <c r="AO324" s="481"/>
      <c r="AP324" s="481"/>
      <c r="AQ324" s="481"/>
      <c r="AR324" s="481"/>
      <c r="AS324" s="481"/>
      <c r="AT324" s="481"/>
      <c r="AU324" s="481"/>
      <c r="AV324" s="481"/>
      <c r="AW324" s="481"/>
      <c r="AX324" s="481"/>
      <c r="AY324" s="481"/>
      <c r="AZ324" s="481"/>
      <c r="BA324" s="481"/>
      <c r="BB324" s="481"/>
      <c r="BC324" s="481"/>
      <c r="BD324" s="481"/>
      <c r="BE324" s="482"/>
      <c r="BF324" s="482"/>
      <c r="BG324" s="482"/>
      <c r="BH324" s="482"/>
      <c r="BI324" s="482"/>
      <c r="BJ324" s="482"/>
      <c r="BK324" s="482"/>
      <c r="BL324" s="482"/>
      <c r="BM324" s="482"/>
      <c r="BN324" s="483">
        <v>15</v>
      </c>
      <c r="BO324" s="483"/>
      <c r="BP324" s="483"/>
      <c r="BQ324" s="483"/>
      <c r="BR324" s="483"/>
      <c r="BS324" s="483"/>
      <c r="BT324" s="483"/>
      <c r="BU324" s="483"/>
      <c r="BV324" s="480"/>
      <c r="BW324" s="480"/>
      <c r="BX324" s="480"/>
      <c r="BY324" s="480"/>
      <c r="BZ324" s="480"/>
      <c r="CA324" s="480"/>
      <c r="CB324" s="480"/>
      <c r="CC324" s="484"/>
      <c r="CD324" s="484"/>
      <c r="CE324" s="484"/>
      <c r="CF324" s="484"/>
      <c r="CG324" s="484"/>
      <c r="CH324" s="484"/>
      <c r="CI324" s="484"/>
      <c r="CJ324" s="484"/>
      <c r="CK324" s="484"/>
      <c r="CL324" s="484"/>
      <c r="CM324" s="484"/>
      <c r="CN324" s="484"/>
      <c r="CO324" s="484"/>
      <c r="CP324" s="484"/>
      <c r="CQ324" s="484"/>
      <c r="CR324" s="484"/>
      <c r="CS324" s="485"/>
      <c r="CT324" s="485"/>
      <c r="CU324" s="485"/>
      <c r="CV324" s="485"/>
      <c r="CW324" s="485"/>
      <c r="CX324" s="485"/>
      <c r="CY324" s="485"/>
      <c r="CZ324" s="485"/>
      <c r="DA324" s="485"/>
      <c r="DB324" s="485"/>
      <c r="DC324" s="485"/>
      <c r="DD324" s="485"/>
      <c r="DE324" s="485"/>
      <c r="DF324" s="485"/>
      <c r="DG324" s="485"/>
      <c r="DH324" s="485"/>
      <c r="DI324" s="485"/>
      <c r="DJ324" s="485"/>
      <c r="DK324" s="485"/>
      <c r="DL324" s="485"/>
      <c r="DM324" s="485"/>
      <c r="DN324" s="943"/>
      <c r="DO324" s="486"/>
      <c r="DP324" s="486"/>
      <c r="DQ324" s="487"/>
      <c r="DR324" s="487"/>
      <c r="DS324" s="482"/>
      <c r="DT324" s="482"/>
      <c r="DU324" s="482"/>
      <c r="DV324" s="482"/>
      <c r="DW324" s="482"/>
      <c r="DX324" s="482"/>
      <c r="DY324" s="482"/>
      <c r="DZ324" s="482"/>
      <c r="EA324" s="482"/>
      <c r="EB324" s="482"/>
      <c r="EC324" s="482"/>
      <c r="ED324" s="482"/>
      <c r="EE324" s="482"/>
      <c r="EF324" s="482"/>
      <c r="EG324" s="482"/>
      <c r="EH324" s="482"/>
      <c r="EI324" s="482"/>
      <c r="EJ324" s="482"/>
      <c r="EK324" s="482"/>
      <c r="EL324" s="482"/>
      <c r="EM324" s="482"/>
      <c r="EN324" s="482"/>
      <c r="EO324" s="482"/>
      <c r="EP324" s="482"/>
      <c r="EQ324" s="482"/>
      <c r="ER324" s="482"/>
      <c r="ES324" s="482"/>
      <c r="ET324" s="482"/>
      <c r="EU324" s="482"/>
      <c r="EV324" s="482"/>
      <c r="EW324" s="482"/>
      <c r="EX324" s="482"/>
      <c r="EY324" s="482"/>
      <c r="EZ324" s="482"/>
      <c r="FA324" s="377"/>
      <c r="FB324" s="378">
        <v>15</v>
      </c>
      <c r="FC324" s="378"/>
      <c r="FD324" s="379">
        <f t="shared" si="561"/>
        <v>0</v>
      </c>
      <c r="FE324" s="790"/>
    </row>
    <row r="325" spans="2:168" ht="26.1" customHeight="1" outlineLevel="1" thickBot="1" x14ac:dyDescent="0.3">
      <c r="B325" s="1018"/>
      <c r="C325" s="1020"/>
      <c r="D325" s="1059"/>
      <c r="E325" s="1065"/>
      <c r="F325" s="845" t="s">
        <v>117</v>
      </c>
      <c r="G325" s="811" t="str">
        <f>VLOOKUP(H325,инфо!AD:AE,2,FALSE)</f>
        <v>Прочее</v>
      </c>
      <c r="H325" s="585" t="s">
        <v>1197</v>
      </c>
      <c r="I325" s="593"/>
      <c r="J325" s="488"/>
      <c r="K325" s="489"/>
      <c r="L325" s="489"/>
      <c r="M325" s="489"/>
      <c r="N325" s="489"/>
      <c r="O325" s="489"/>
      <c r="P325" s="489"/>
      <c r="Q325" s="489"/>
      <c r="R325" s="489"/>
      <c r="S325" s="489"/>
      <c r="T325" s="489"/>
      <c r="U325" s="489"/>
      <c r="V325" s="489"/>
      <c r="W325" s="490"/>
      <c r="X325" s="490"/>
      <c r="Y325" s="490"/>
      <c r="Z325" s="490"/>
      <c r="AA325" s="490"/>
      <c r="AB325" s="490"/>
      <c r="AC325" s="490"/>
      <c r="AD325" s="490"/>
      <c r="AE325" s="490"/>
      <c r="AF325" s="490"/>
      <c r="AG325" s="490"/>
      <c r="AH325" s="490"/>
      <c r="AI325" s="490"/>
      <c r="AJ325" s="490"/>
      <c r="AK325" s="490"/>
      <c r="AL325" s="490"/>
      <c r="AM325" s="490"/>
      <c r="AN325" s="490"/>
      <c r="AO325" s="490"/>
      <c r="AP325" s="490"/>
      <c r="AQ325" s="490"/>
      <c r="AR325" s="490"/>
      <c r="AS325" s="490"/>
      <c r="AT325" s="490"/>
      <c r="AU325" s="490"/>
      <c r="AV325" s="490"/>
      <c r="AW325" s="490"/>
      <c r="AX325" s="490"/>
      <c r="AY325" s="490"/>
      <c r="AZ325" s="490"/>
      <c r="BA325" s="490"/>
      <c r="BB325" s="490"/>
      <c r="BC325" s="490"/>
      <c r="BD325" s="490"/>
      <c r="BE325" s="491"/>
      <c r="BF325" s="491"/>
      <c r="BG325" s="491"/>
      <c r="BH325" s="491"/>
      <c r="BI325" s="491"/>
      <c r="BJ325" s="491"/>
      <c r="BK325" s="491"/>
      <c r="BL325" s="491"/>
      <c r="BM325" s="491"/>
      <c r="BN325" s="492"/>
      <c r="BO325" s="492"/>
      <c r="BP325" s="492"/>
      <c r="BQ325" s="492"/>
      <c r="BR325" s="492"/>
      <c r="BS325" s="492"/>
      <c r="BT325" s="492"/>
      <c r="BU325" s="492"/>
      <c r="BV325" s="489"/>
      <c r="BW325" s="489"/>
      <c r="BX325" s="489"/>
      <c r="BY325" s="489"/>
      <c r="BZ325" s="489"/>
      <c r="CA325" s="489"/>
      <c r="CB325" s="489"/>
      <c r="CC325" s="493"/>
      <c r="CD325" s="493"/>
      <c r="CE325" s="493"/>
      <c r="CF325" s="493"/>
      <c r="CG325" s="493"/>
      <c r="CH325" s="493"/>
      <c r="CI325" s="493"/>
      <c r="CJ325" s="493"/>
      <c r="CK325" s="493"/>
      <c r="CL325" s="493"/>
      <c r="CM325" s="493"/>
      <c r="CN325" s="493"/>
      <c r="CO325" s="493"/>
      <c r="CP325" s="493"/>
      <c r="CQ325" s="493"/>
      <c r="CR325" s="493"/>
      <c r="CS325" s="494"/>
      <c r="CT325" s="494"/>
      <c r="CU325" s="494"/>
      <c r="CV325" s="494"/>
      <c r="CW325" s="494"/>
      <c r="CX325" s="494"/>
      <c r="CY325" s="494"/>
      <c r="CZ325" s="494"/>
      <c r="DA325" s="494"/>
      <c r="DB325" s="494"/>
      <c r="DC325" s="494"/>
      <c r="DD325" s="494"/>
      <c r="DE325" s="494"/>
      <c r="DF325" s="494"/>
      <c r="DG325" s="494"/>
      <c r="DH325" s="494"/>
      <c r="DI325" s="494"/>
      <c r="DJ325" s="494"/>
      <c r="DK325" s="494"/>
      <c r="DL325" s="494"/>
      <c r="DM325" s="494"/>
      <c r="DN325" s="944"/>
      <c r="DO325" s="495"/>
      <c r="DP325" s="495"/>
      <c r="DQ325" s="496"/>
      <c r="DR325" s="496"/>
      <c r="DS325" s="491"/>
      <c r="DT325" s="491"/>
      <c r="DU325" s="491"/>
      <c r="DV325" s="491"/>
      <c r="DW325" s="491"/>
      <c r="DX325" s="491"/>
      <c r="DY325" s="491"/>
      <c r="DZ325" s="491"/>
      <c r="EA325" s="491"/>
      <c r="EB325" s="491"/>
      <c r="EC325" s="491"/>
      <c r="ED325" s="491"/>
      <c r="EE325" s="491"/>
      <c r="EF325" s="491"/>
      <c r="EG325" s="491"/>
      <c r="EH325" s="491"/>
      <c r="EI325" s="491"/>
      <c r="EJ325" s="491"/>
      <c r="EK325" s="491"/>
      <c r="EL325" s="491"/>
      <c r="EM325" s="491"/>
      <c r="EN325" s="491"/>
      <c r="EO325" s="491"/>
      <c r="EP325" s="491"/>
      <c r="EQ325" s="491"/>
      <c r="ER325" s="491"/>
      <c r="ES325" s="491"/>
      <c r="ET325" s="491"/>
      <c r="EU325" s="491"/>
      <c r="EV325" s="491"/>
      <c r="EW325" s="491"/>
      <c r="EX325" s="491"/>
      <c r="EY325" s="491"/>
      <c r="EZ325" s="491"/>
      <c r="FA325" s="377"/>
      <c r="FB325" s="378"/>
      <c r="FC325" s="378"/>
      <c r="FD325" s="379">
        <f t="shared" si="561"/>
        <v>0</v>
      </c>
      <c r="FE325" s="790"/>
    </row>
    <row r="326" spans="2:168" s="154" customFormat="1" ht="16.5" customHeight="1" outlineLevel="1" thickBot="1" x14ac:dyDescent="0.4">
      <c r="B326" s="1018"/>
      <c r="C326" s="1020"/>
      <c r="D326" s="145"/>
      <c r="E326" s="317" t="s">
        <v>174</v>
      </c>
      <c r="F326" s="836"/>
      <c r="G326" s="818"/>
      <c r="H326" s="576"/>
      <c r="I326" s="594"/>
      <c r="J326" s="305">
        <f>SUM(J314:J325)</f>
        <v>0</v>
      </c>
      <c r="K326" s="146">
        <f t="shared" ref="K326:CU326" si="562">SUM(K314:K325)</f>
        <v>0</v>
      </c>
      <c r="L326" s="146">
        <f t="shared" si="562"/>
        <v>0</v>
      </c>
      <c r="M326" s="146">
        <f t="shared" si="562"/>
        <v>0</v>
      </c>
      <c r="N326" s="146">
        <f t="shared" si="562"/>
        <v>0</v>
      </c>
      <c r="O326" s="146">
        <f t="shared" si="562"/>
        <v>0</v>
      </c>
      <c r="P326" s="146">
        <f t="shared" si="562"/>
        <v>0</v>
      </c>
      <c r="Q326" s="146">
        <f t="shared" si="562"/>
        <v>81</v>
      </c>
      <c r="R326" s="146">
        <f t="shared" si="562"/>
        <v>20</v>
      </c>
      <c r="S326" s="146">
        <f t="shared" si="562"/>
        <v>0</v>
      </c>
      <c r="T326" s="146">
        <f t="shared" ref="T326:V326" si="563">SUM(T314:T325)</f>
        <v>0</v>
      </c>
      <c r="U326" s="146">
        <f t="shared" si="563"/>
        <v>0</v>
      </c>
      <c r="V326" s="146">
        <f t="shared" si="563"/>
        <v>0</v>
      </c>
      <c r="W326" s="147">
        <f t="shared" si="562"/>
        <v>0</v>
      </c>
      <c r="X326" s="147">
        <f t="shared" si="562"/>
        <v>1</v>
      </c>
      <c r="Y326" s="147">
        <f t="shared" ref="Y326" si="564">SUM(Y314:Y325)</f>
        <v>0</v>
      </c>
      <c r="Z326" s="147">
        <f t="shared" si="562"/>
        <v>50</v>
      </c>
      <c r="AA326" s="147">
        <f t="shared" si="562"/>
        <v>100</v>
      </c>
      <c r="AB326" s="147">
        <f t="shared" ref="AB326:AC326" si="565">SUM(AB314:AB325)</f>
        <v>0</v>
      </c>
      <c r="AC326" s="147">
        <f t="shared" si="565"/>
        <v>0</v>
      </c>
      <c r="AD326" s="147">
        <f t="shared" si="562"/>
        <v>150</v>
      </c>
      <c r="AE326" s="147">
        <f t="shared" si="562"/>
        <v>0</v>
      </c>
      <c r="AF326" s="147">
        <f t="shared" ref="AF326:AH326" si="566">SUM(AF314:AF325)</f>
        <v>20</v>
      </c>
      <c r="AG326" s="147">
        <f t="shared" si="566"/>
        <v>22</v>
      </c>
      <c r="AH326" s="147">
        <f t="shared" si="566"/>
        <v>0</v>
      </c>
      <c r="AI326" s="147">
        <f t="shared" si="562"/>
        <v>0</v>
      </c>
      <c r="AJ326" s="147">
        <f t="shared" si="562"/>
        <v>0</v>
      </c>
      <c r="AK326" s="147">
        <f t="shared" si="562"/>
        <v>0</v>
      </c>
      <c r="AL326" s="147">
        <f t="shared" si="562"/>
        <v>0</v>
      </c>
      <c r="AM326" s="147">
        <f t="shared" ref="AM326:AS326" si="567">SUM(AM314:AM325)</f>
        <v>0</v>
      </c>
      <c r="AN326" s="147">
        <f t="shared" si="567"/>
        <v>0</v>
      </c>
      <c r="AO326" s="147">
        <f t="shared" si="567"/>
        <v>5.8</v>
      </c>
      <c r="AP326" s="147">
        <f t="shared" si="567"/>
        <v>0</v>
      </c>
      <c r="AQ326" s="147">
        <f t="shared" si="567"/>
        <v>0</v>
      </c>
      <c r="AR326" s="147">
        <f t="shared" si="567"/>
        <v>0</v>
      </c>
      <c r="AS326" s="147">
        <f t="shared" si="567"/>
        <v>0</v>
      </c>
      <c r="AT326" s="147">
        <f t="shared" si="562"/>
        <v>0</v>
      </c>
      <c r="AU326" s="147">
        <f t="shared" ref="AU326:BD326" si="568">SUM(AU314:AU325)</f>
        <v>0</v>
      </c>
      <c r="AV326" s="147">
        <f t="shared" si="568"/>
        <v>0</v>
      </c>
      <c r="AW326" s="147">
        <f t="shared" si="568"/>
        <v>0</v>
      </c>
      <c r="AX326" s="147">
        <f t="shared" si="568"/>
        <v>0</v>
      </c>
      <c r="AY326" s="147">
        <f t="shared" si="568"/>
        <v>0</v>
      </c>
      <c r="AZ326" s="147">
        <f t="shared" si="568"/>
        <v>0</v>
      </c>
      <c r="BA326" s="147">
        <f t="shared" si="568"/>
        <v>0</v>
      </c>
      <c r="BB326" s="147">
        <f t="shared" si="568"/>
        <v>20</v>
      </c>
      <c r="BC326" s="147">
        <f t="shared" si="568"/>
        <v>0</v>
      </c>
      <c r="BD326" s="147">
        <f t="shared" si="568"/>
        <v>0</v>
      </c>
      <c r="BE326" s="148">
        <f t="shared" ref="BE326:BP326" si="569">SUM(BE314:BE325)</f>
        <v>0</v>
      </c>
      <c r="BF326" s="148">
        <f t="shared" si="569"/>
        <v>0</v>
      </c>
      <c r="BG326" s="148">
        <f t="shared" si="569"/>
        <v>0</v>
      </c>
      <c r="BH326" s="148">
        <f t="shared" si="569"/>
        <v>0</v>
      </c>
      <c r="BI326" s="148">
        <f t="shared" ref="BI326:BL326" si="570">SUM(BI314:BI325)</f>
        <v>0</v>
      </c>
      <c r="BJ326" s="148">
        <f t="shared" si="570"/>
        <v>0</v>
      </c>
      <c r="BK326" s="148">
        <f t="shared" si="570"/>
        <v>0</v>
      </c>
      <c r="BL326" s="148">
        <f t="shared" si="570"/>
        <v>0</v>
      </c>
      <c r="BM326" s="148">
        <f t="shared" si="569"/>
        <v>0</v>
      </c>
      <c r="BN326" s="149">
        <f t="shared" si="569"/>
        <v>17</v>
      </c>
      <c r="BO326" s="149">
        <f t="shared" si="569"/>
        <v>10</v>
      </c>
      <c r="BP326" s="149">
        <f t="shared" si="569"/>
        <v>0</v>
      </c>
      <c r="BQ326" s="149">
        <f t="shared" ref="BQ326" si="571">SUM(BQ314:BQ325)</f>
        <v>0</v>
      </c>
      <c r="BR326" s="149">
        <f t="shared" ref="BR326:BU326" si="572">SUM(BR314:BR325)</f>
        <v>0</v>
      </c>
      <c r="BS326" s="149">
        <f t="shared" si="572"/>
        <v>0.75</v>
      </c>
      <c r="BT326" s="149">
        <f t="shared" si="572"/>
        <v>0</v>
      </c>
      <c r="BU326" s="149">
        <f t="shared" si="572"/>
        <v>0</v>
      </c>
      <c r="BV326" s="146">
        <f t="shared" ref="BV326:BX326" si="573">SUM(BV314:BV325)</f>
        <v>0</v>
      </c>
      <c r="BW326" s="146">
        <f t="shared" si="573"/>
        <v>0</v>
      </c>
      <c r="BX326" s="146">
        <f t="shared" si="573"/>
        <v>0</v>
      </c>
      <c r="BY326" s="146">
        <f t="shared" ref="BY326:BZ326" si="574">SUM(BY314:BY325)</f>
        <v>0</v>
      </c>
      <c r="BZ326" s="146">
        <f t="shared" si="574"/>
        <v>0</v>
      </c>
      <c r="CA326" s="146">
        <f t="shared" si="562"/>
        <v>0</v>
      </c>
      <c r="CB326" s="146">
        <f t="shared" si="562"/>
        <v>0</v>
      </c>
      <c r="CC326" s="265">
        <f t="shared" si="562"/>
        <v>0</v>
      </c>
      <c r="CD326" s="265">
        <f t="shared" si="562"/>
        <v>0</v>
      </c>
      <c r="CE326" s="265">
        <f t="shared" si="562"/>
        <v>0</v>
      </c>
      <c r="CF326" s="265">
        <f t="shared" si="562"/>
        <v>0</v>
      </c>
      <c r="CG326" s="265">
        <f t="shared" si="562"/>
        <v>0</v>
      </c>
      <c r="CH326" s="265">
        <f t="shared" si="562"/>
        <v>0</v>
      </c>
      <c r="CI326" s="265">
        <f t="shared" si="562"/>
        <v>0</v>
      </c>
      <c r="CJ326" s="265">
        <f t="shared" ref="CJ326" si="575">SUM(CJ314:CJ325)</f>
        <v>0</v>
      </c>
      <c r="CK326" s="265">
        <f t="shared" ref="CK326" si="576">SUM(CK314:CK325)</f>
        <v>0</v>
      </c>
      <c r="CL326" s="265">
        <f t="shared" si="562"/>
        <v>0</v>
      </c>
      <c r="CM326" s="265">
        <f t="shared" si="562"/>
        <v>0</v>
      </c>
      <c r="CN326" s="265">
        <f t="shared" ref="CN326:CQ326" si="577">SUM(CN314:CN325)</f>
        <v>0</v>
      </c>
      <c r="CO326" s="265">
        <f t="shared" si="577"/>
        <v>0</v>
      </c>
      <c r="CP326" s="265">
        <f t="shared" si="577"/>
        <v>0</v>
      </c>
      <c r="CQ326" s="265">
        <f t="shared" si="577"/>
        <v>0</v>
      </c>
      <c r="CR326" s="265">
        <f t="shared" si="562"/>
        <v>0</v>
      </c>
      <c r="CS326" s="281">
        <f t="shared" si="562"/>
        <v>0</v>
      </c>
      <c r="CT326" s="281">
        <f t="shared" ref="CT326" si="578">SUM(CT314:CT325)</f>
        <v>0</v>
      </c>
      <c r="CU326" s="281">
        <f t="shared" si="562"/>
        <v>0</v>
      </c>
      <c r="CV326" s="281">
        <f t="shared" ref="CV326:DE326" si="579">SUM(CV314:CV325)</f>
        <v>0</v>
      </c>
      <c r="CW326" s="281">
        <f t="shared" si="579"/>
        <v>0</v>
      </c>
      <c r="CX326" s="281">
        <f t="shared" si="579"/>
        <v>0</v>
      </c>
      <c r="CY326" s="281">
        <f t="shared" si="579"/>
        <v>0</v>
      </c>
      <c r="CZ326" s="281">
        <f t="shared" ref="CZ326" si="580">SUM(CZ314:CZ325)</f>
        <v>0</v>
      </c>
      <c r="DA326" s="281">
        <f t="shared" si="579"/>
        <v>0</v>
      </c>
      <c r="DB326" s="281">
        <f t="shared" si="579"/>
        <v>0</v>
      </c>
      <c r="DC326" s="281">
        <f t="shared" si="579"/>
        <v>0</v>
      </c>
      <c r="DD326" s="281">
        <f t="shared" ref="DD326" si="581">SUM(DD314:DD325)</f>
        <v>0</v>
      </c>
      <c r="DE326" s="281">
        <f t="shared" si="579"/>
        <v>0</v>
      </c>
      <c r="DF326" s="281">
        <f t="shared" ref="DF326:FD326" si="582">SUM(DF314:DF325)</f>
        <v>0</v>
      </c>
      <c r="DG326" s="281">
        <f t="shared" si="582"/>
        <v>0</v>
      </c>
      <c r="DH326" s="281">
        <f t="shared" si="582"/>
        <v>0</v>
      </c>
      <c r="DI326" s="281">
        <f t="shared" ref="DI326:DQ326" si="583">SUM(DI314:DI325)</f>
        <v>0</v>
      </c>
      <c r="DJ326" s="281">
        <f t="shared" si="583"/>
        <v>0</v>
      </c>
      <c r="DK326" s="281">
        <f t="shared" si="583"/>
        <v>0</v>
      </c>
      <c r="DL326" s="281">
        <f t="shared" si="583"/>
        <v>0</v>
      </c>
      <c r="DM326" s="281">
        <f t="shared" si="583"/>
        <v>0</v>
      </c>
      <c r="DN326" s="936">
        <f t="shared" si="583"/>
        <v>0.08</v>
      </c>
      <c r="DO326" s="148">
        <f t="shared" si="583"/>
        <v>20</v>
      </c>
      <c r="DP326" s="148">
        <f t="shared" si="583"/>
        <v>6.2</v>
      </c>
      <c r="DQ326" s="148">
        <f t="shared" si="583"/>
        <v>4.2000000000000003E-2</v>
      </c>
      <c r="DR326" s="148">
        <f t="shared" si="582"/>
        <v>6.5000000000000002E-2</v>
      </c>
      <c r="DS326" s="148">
        <f t="shared" si="582"/>
        <v>2</v>
      </c>
      <c r="DT326" s="148">
        <f t="shared" si="582"/>
        <v>0</v>
      </c>
      <c r="DU326" s="148">
        <f t="shared" si="582"/>
        <v>0</v>
      </c>
      <c r="DV326" s="148">
        <f t="shared" si="582"/>
        <v>0</v>
      </c>
      <c r="DW326" s="148">
        <f t="shared" si="582"/>
        <v>0</v>
      </c>
      <c r="DX326" s="148">
        <f t="shared" si="582"/>
        <v>0</v>
      </c>
      <c r="DY326" s="148">
        <f t="shared" ref="DY326:EO326" si="584">SUM(DY314:DY325)</f>
        <v>0</v>
      </c>
      <c r="DZ326" s="148">
        <f t="shared" si="584"/>
        <v>0</v>
      </c>
      <c r="EA326" s="148">
        <f t="shared" si="584"/>
        <v>250</v>
      </c>
      <c r="EB326" s="148">
        <f t="shared" si="584"/>
        <v>412</v>
      </c>
      <c r="EC326" s="148">
        <f t="shared" si="584"/>
        <v>0</v>
      </c>
      <c r="ED326" s="148">
        <f t="shared" si="584"/>
        <v>0</v>
      </c>
      <c r="EE326" s="148">
        <f t="shared" si="584"/>
        <v>0</v>
      </c>
      <c r="EF326" s="148">
        <f t="shared" si="584"/>
        <v>0</v>
      </c>
      <c r="EG326" s="148">
        <f t="shared" si="584"/>
        <v>0</v>
      </c>
      <c r="EH326" s="148">
        <f t="shared" si="584"/>
        <v>0</v>
      </c>
      <c r="EI326" s="148">
        <f t="shared" si="584"/>
        <v>0</v>
      </c>
      <c r="EJ326" s="148">
        <f t="shared" si="584"/>
        <v>0</v>
      </c>
      <c r="EK326" s="148">
        <f t="shared" si="584"/>
        <v>0</v>
      </c>
      <c r="EL326" s="148">
        <f t="shared" si="584"/>
        <v>0</v>
      </c>
      <c r="EM326" s="148">
        <f t="shared" si="584"/>
        <v>0</v>
      </c>
      <c r="EN326" s="148">
        <f t="shared" si="584"/>
        <v>0</v>
      </c>
      <c r="EO326" s="148">
        <f t="shared" si="584"/>
        <v>0</v>
      </c>
      <c r="EP326" s="148">
        <f t="shared" ref="EP326:EZ326" si="585">SUM(EP314:EP325)</f>
        <v>0</v>
      </c>
      <c r="EQ326" s="148">
        <f t="shared" si="585"/>
        <v>0</v>
      </c>
      <c r="ER326" s="148">
        <f t="shared" si="585"/>
        <v>0</v>
      </c>
      <c r="ES326" s="148">
        <f t="shared" si="585"/>
        <v>0</v>
      </c>
      <c r="ET326" s="148">
        <f t="shared" si="585"/>
        <v>25</v>
      </c>
      <c r="EU326" s="148">
        <f t="shared" si="585"/>
        <v>0</v>
      </c>
      <c r="EV326" s="148">
        <f t="shared" si="585"/>
        <v>0</v>
      </c>
      <c r="EW326" s="148">
        <f t="shared" si="585"/>
        <v>0</v>
      </c>
      <c r="EX326" s="148">
        <f t="shared" si="585"/>
        <v>0</v>
      </c>
      <c r="EY326" s="148">
        <f t="shared" si="585"/>
        <v>0</v>
      </c>
      <c r="EZ326" s="148">
        <f t="shared" si="585"/>
        <v>0</v>
      </c>
      <c r="FA326" s="150">
        <f t="shared" si="582"/>
        <v>625</v>
      </c>
      <c r="FB326" s="151">
        <f t="shared" si="582"/>
        <v>1211</v>
      </c>
      <c r="FC326" s="151">
        <f t="shared" si="582"/>
        <v>47</v>
      </c>
      <c r="FD326" s="152">
        <f t="shared" si="582"/>
        <v>0</v>
      </c>
      <c r="FE326" s="792" t="str">
        <f>IF(FB326&lt;инфо!$AN$76,FB326-инфо!$AN$76,"")</f>
        <v/>
      </c>
      <c r="FF326" s="153"/>
      <c r="FG326" s="153"/>
      <c r="FH326" s="153"/>
    </row>
    <row r="327" spans="2:168" ht="26.1" customHeight="1" outlineLevel="1" thickBot="1" x14ac:dyDescent="0.3">
      <c r="B327" s="1018"/>
      <c r="C327" s="1020"/>
      <c r="D327" s="1054" t="s">
        <v>146</v>
      </c>
      <c r="E327" s="1060"/>
      <c r="F327" s="847" t="s">
        <v>146</v>
      </c>
      <c r="G327" s="813" t="s">
        <v>1492</v>
      </c>
      <c r="H327" s="588" t="s">
        <v>1195</v>
      </c>
      <c r="I327" s="588" t="s">
        <v>1164</v>
      </c>
      <c r="J327" s="515"/>
      <c r="K327" s="516"/>
      <c r="L327" s="516"/>
      <c r="M327" s="516"/>
      <c r="N327" s="516"/>
      <c r="O327" s="516"/>
      <c r="P327" s="516"/>
      <c r="Q327" s="516"/>
      <c r="R327" s="516"/>
      <c r="S327" s="516"/>
      <c r="T327" s="516"/>
      <c r="U327" s="516"/>
      <c r="V327" s="516"/>
      <c r="W327" s="517"/>
      <c r="X327" s="517"/>
      <c r="Y327" s="517"/>
      <c r="Z327" s="517"/>
      <c r="AA327" s="517"/>
      <c r="AB327" s="517"/>
      <c r="AC327" s="517"/>
      <c r="AD327" s="517"/>
      <c r="AE327" s="517"/>
      <c r="AF327" s="517"/>
      <c r="AG327" s="517"/>
      <c r="AH327" s="517"/>
      <c r="AI327" s="517"/>
      <c r="AJ327" s="517"/>
      <c r="AK327" s="517"/>
      <c r="AL327" s="517"/>
      <c r="AM327" s="517"/>
      <c r="AN327" s="517"/>
      <c r="AO327" s="517"/>
      <c r="AP327" s="517"/>
      <c r="AQ327" s="517"/>
      <c r="AR327" s="517"/>
      <c r="AS327" s="517"/>
      <c r="AT327" s="517"/>
      <c r="AU327" s="517"/>
      <c r="AV327" s="517"/>
      <c r="AW327" s="517"/>
      <c r="AX327" s="517"/>
      <c r="AY327" s="517"/>
      <c r="AZ327" s="517"/>
      <c r="BA327" s="517"/>
      <c r="BB327" s="517"/>
      <c r="BC327" s="517"/>
      <c r="BD327" s="517"/>
      <c r="BE327" s="518"/>
      <c r="BF327" s="518"/>
      <c r="BG327" s="518"/>
      <c r="BH327" s="518"/>
      <c r="BI327" s="518"/>
      <c r="BJ327" s="518"/>
      <c r="BK327" s="518"/>
      <c r="BL327" s="518"/>
      <c r="BM327" s="518"/>
      <c r="BN327" s="519"/>
      <c r="BO327" s="519"/>
      <c r="BP327" s="519"/>
      <c r="BQ327" s="519"/>
      <c r="BR327" s="519"/>
      <c r="BS327" s="519"/>
      <c r="BT327" s="519"/>
      <c r="BU327" s="519"/>
      <c r="BV327" s="516"/>
      <c r="BW327" s="516"/>
      <c r="BX327" s="516"/>
      <c r="BY327" s="516"/>
      <c r="BZ327" s="516"/>
      <c r="CA327" s="516"/>
      <c r="CB327" s="516"/>
      <c r="CC327" s="520"/>
      <c r="CD327" s="520"/>
      <c r="CE327" s="520"/>
      <c r="CF327" s="520"/>
      <c r="CG327" s="520"/>
      <c r="CH327" s="520"/>
      <c r="CI327" s="520"/>
      <c r="CJ327" s="520"/>
      <c r="CK327" s="520"/>
      <c r="CL327" s="520"/>
      <c r="CM327" s="520"/>
      <c r="CN327" s="520"/>
      <c r="CO327" s="520"/>
      <c r="CP327" s="520"/>
      <c r="CQ327" s="520"/>
      <c r="CR327" s="520"/>
      <c r="CS327" s="521"/>
      <c r="CT327" s="521"/>
      <c r="CU327" s="521"/>
      <c r="CV327" s="521"/>
      <c r="CW327" s="521"/>
      <c r="CX327" s="521"/>
      <c r="CY327" s="521"/>
      <c r="CZ327" s="521"/>
      <c r="DA327" s="521"/>
      <c r="DB327" s="521"/>
      <c r="DC327" s="521"/>
      <c r="DD327" s="521"/>
      <c r="DE327" s="521"/>
      <c r="DF327" s="521"/>
      <c r="DG327" s="521"/>
      <c r="DH327" s="521"/>
      <c r="DI327" s="521"/>
      <c r="DJ327" s="521"/>
      <c r="DK327" s="521"/>
      <c r="DL327" s="521"/>
      <c r="DM327" s="521"/>
      <c r="DN327" s="947"/>
      <c r="DO327" s="522">
        <v>25</v>
      </c>
      <c r="DP327" s="522"/>
      <c r="DQ327" s="523"/>
      <c r="DR327" s="523"/>
      <c r="DS327" s="518"/>
      <c r="DT327" s="518"/>
      <c r="DU327" s="518"/>
      <c r="DV327" s="518"/>
      <c r="DW327" s="518"/>
      <c r="DX327" s="518"/>
      <c r="DY327" s="518"/>
      <c r="DZ327" s="518"/>
      <c r="EA327" s="518">
        <v>250</v>
      </c>
      <c r="EB327" s="518"/>
      <c r="EC327" s="518"/>
      <c r="ED327" s="518">
        <v>1</v>
      </c>
      <c r="EE327" s="518"/>
      <c r="EF327" s="518"/>
      <c r="EG327" s="518"/>
      <c r="EH327" s="518"/>
      <c r="EI327" s="518"/>
      <c r="EJ327" s="518"/>
      <c r="EK327" s="518"/>
      <c r="EL327" s="518"/>
      <c r="EM327" s="518"/>
      <c r="EN327" s="518"/>
      <c r="EO327" s="518"/>
      <c r="EP327" s="518"/>
      <c r="EQ327" s="518"/>
      <c r="ER327" s="518"/>
      <c r="ES327" s="518"/>
      <c r="ET327" s="518"/>
      <c r="EU327" s="518"/>
      <c r="EV327" s="518"/>
      <c r="EW327" s="518"/>
      <c r="EX327" s="518"/>
      <c r="EY327" s="518"/>
      <c r="EZ327" s="518"/>
      <c r="FA327" s="377"/>
      <c r="FB327" s="378">
        <v>250</v>
      </c>
      <c r="FC327" s="378"/>
      <c r="FD327" s="379">
        <f t="shared" ref="FD327:FD330" si="586">SUM(BE327:BG327,BI327,BL327:BM327)+SUM(BH327,BJ327,BK327)*5</f>
        <v>0</v>
      </c>
      <c r="FE327" s="790"/>
    </row>
    <row r="328" spans="2:168" ht="26.1" customHeight="1" outlineLevel="1" thickBot="1" x14ac:dyDescent="0.3">
      <c r="B328" s="1018"/>
      <c r="C328" s="1020"/>
      <c r="D328" s="1055"/>
      <c r="E328" s="1061"/>
      <c r="F328" s="848" t="s">
        <v>146</v>
      </c>
      <c r="G328" s="814" t="s">
        <v>1492</v>
      </c>
      <c r="H328" s="589" t="s">
        <v>1197</v>
      </c>
      <c r="I328" s="589" t="s">
        <v>53</v>
      </c>
      <c r="J328" s="524"/>
      <c r="K328" s="525"/>
      <c r="L328" s="525"/>
      <c r="M328" s="525"/>
      <c r="N328" s="525"/>
      <c r="O328" s="525"/>
      <c r="P328" s="525"/>
      <c r="Q328" s="525"/>
      <c r="R328" s="525"/>
      <c r="S328" s="525"/>
      <c r="T328" s="525"/>
      <c r="U328" s="525"/>
      <c r="V328" s="525"/>
      <c r="W328" s="526"/>
      <c r="X328" s="526"/>
      <c r="Y328" s="526"/>
      <c r="Z328" s="526"/>
      <c r="AA328" s="526"/>
      <c r="AB328" s="526"/>
      <c r="AC328" s="526"/>
      <c r="AD328" s="526"/>
      <c r="AE328" s="526"/>
      <c r="AF328" s="526"/>
      <c r="AG328" s="526"/>
      <c r="AH328" s="526"/>
      <c r="AI328" s="526"/>
      <c r="AJ328" s="526"/>
      <c r="AK328" s="526"/>
      <c r="AL328" s="526"/>
      <c r="AM328" s="526"/>
      <c r="AN328" s="526"/>
      <c r="AO328" s="526"/>
      <c r="AP328" s="526"/>
      <c r="AQ328" s="526"/>
      <c r="AR328" s="526"/>
      <c r="AS328" s="526"/>
      <c r="AT328" s="526"/>
      <c r="AU328" s="526"/>
      <c r="AV328" s="526"/>
      <c r="AW328" s="526"/>
      <c r="AX328" s="526"/>
      <c r="AY328" s="526"/>
      <c r="AZ328" s="526"/>
      <c r="BA328" s="526"/>
      <c r="BB328" s="526"/>
      <c r="BC328" s="526"/>
      <c r="BD328" s="526"/>
      <c r="BE328" s="527"/>
      <c r="BF328" s="527"/>
      <c r="BG328" s="527"/>
      <c r="BH328" s="527"/>
      <c r="BI328" s="527"/>
      <c r="BJ328" s="527"/>
      <c r="BK328" s="527"/>
      <c r="BL328" s="527"/>
      <c r="BM328" s="527"/>
      <c r="BN328" s="528"/>
      <c r="BO328" s="528"/>
      <c r="BP328" s="528"/>
      <c r="BQ328" s="528"/>
      <c r="BR328" s="528"/>
      <c r="BS328" s="528"/>
      <c r="BT328" s="528"/>
      <c r="BU328" s="528"/>
      <c r="BV328" s="525"/>
      <c r="BW328" s="525"/>
      <c r="BX328" s="525"/>
      <c r="BY328" s="525"/>
      <c r="BZ328" s="525"/>
      <c r="CA328" s="525"/>
      <c r="CB328" s="525"/>
      <c r="CC328" s="529"/>
      <c r="CD328" s="529"/>
      <c r="CE328" s="529"/>
      <c r="CF328" s="529"/>
      <c r="CG328" s="529"/>
      <c r="CH328" s="529"/>
      <c r="CI328" s="529"/>
      <c r="CJ328" s="529"/>
      <c r="CK328" s="529"/>
      <c r="CL328" s="529"/>
      <c r="CM328" s="529"/>
      <c r="CN328" s="529"/>
      <c r="CO328" s="529"/>
      <c r="CP328" s="529"/>
      <c r="CQ328" s="529"/>
      <c r="CR328" s="529"/>
      <c r="CS328" s="530"/>
      <c r="CT328" s="530"/>
      <c r="CU328" s="530"/>
      <c r="CV328" s="530"/>
      <c r="CW328" s="530"/>
      <c r="CX328" s="530"/>
      <c r="CY328" s="530"/>
      <c r="CZ328" s="530"/>
      <c r="DA328" s="530"/>
      <c r="DB328" s="530"/>
      <c r="DC328" s="530"/>
      <c r="DD328" s="530"/>
      <c r="DE328" s="530"/>
      <c r="DF328" s="530"/>
      <c r="DG328" s="530"/>
      <c r="DH328" s="530"/>
      <c r="DI328" s="530"/>
      <c r="DJ328" s="530"/>
      <c r="DK328" s="530"/>
      <c r="DL328" s="530"/>
      <c r="DM328" s="530"/>
      <c r="DN328" s="948"/>
      <c r="DO328" s="531">
        <v>25</v>
      </c>
      <c r="DP328" s="531"/>
      <c r="DQ328" s="532"/>
      <c r="DR328" s="532"/>
      <c r="DS328" s="527"/>
      <c r="DT328" s="527"/>
      <c r="DU328" s="527"/>
      <c r="DV328" s="527"/>
      <c r="DW328" s="527"/>
      <c r="DX328" s="527"/>
      <c r="DY328" s="527"/>
      <c r="DZ328" s="527"/>
      <c r="EA328" s="527"/>
      <c r="EB328" s="527"/>
      <c r="EC328" s="527"/>
      <c r="ED328" s="527"/>
      <c r="EE328" s="527"/>
      <c r="EF328" s="527"/>
      <c r="EG328" s="527"/>
      <c r="EH328" s="527"/>
      <c r="EI328" s="527"/>
      <c r="EJ328" s="527"/>
      <c r="EK328" s="527"/>
      <c r="EL328" s="527"/>
      <c r="EM328" s="527"/>
      <c r="EN328" s="527"/>
      <c r="EO328" s="527"/>
      <c r="EP328" s="527"/>
      <c r="EQ328" s="527"/>
      <c r="ER328" s="527"/>
      <c r="ES328" s="527"/>
      <c r="ET328" s="527"/>
      <c r="EU328" s="527"/>
      <c r="EV328" s="527"/>
      <c r="EW328" s="527"/>
      <c r="EX328" s="527"/>
      <c r="EY328" s="527"/>
      <c r="EZ328" s="527"/>
      <c r="FA328" s="377"/>
      <c r="FB328" s="378">
        <v>25</v>
      </c>
      <c r="FC328" s="378"/>
      <c r="FD328" s="379">
        <f t="shared" si="586"/>
        <v>0</v>
      </c>
      <c r="FE328" s="790"/>
    </row>
    <row r="329" spans="2:168" ht="26.1" customHeight="1" outlineLevel="1" thickBot="1" x14ac:dyDescent="0.3">
      <c r="B329" s="1018"/>
      <c r="C329" s="1020"/>
      <c r="D329" s="1055"/>
      <c r="E329" s="1061"/>
      <c r="F329" s="848" t="s">
        <v>146</v>
      </c>
      <c r="G329" s="814" t="s">
        <v>1492</v>
      </c>
      <c r="H329" s="589" t="s">
        <v>1197</v>
      </c>
      <c r="I329" s="589" t="s">
        <v>85</v>
      </c>
      <c r="J329" s="524"/>
      <c r="K329" s="525"/>
      <c r="L329" s="525"/>
      <c r="M329" s="525"/>
      <c r="N329" s="525"/>
      <c r="O329" s="525"/>
      <c r="P329" s="525"/>
      <c r="Q329" s="525"/>
      <c r="R329" s="525"/>
      <c r="S329" s="525"/>
      <c r="T329" s="525"/>
      <c r="U329" s="525"/>
      <c r="V329" s="525"/>
      <c r="W329" s="526"/>
      <c r="X329" s="526"/>
      <c r="Y329" s="526"/>
      <c r="Z329" s="526"/>
      <c r="AA329" s="526"/>
      <c r="AB329" s="526"/>
      <c r="AC329" s="526"/>
      <c r="AD329" s="526"/>
      <c r="AE329" s="526"/>
      <c r="AF329" s="526"/>
      <c r="AG329" s="526"/>
      <c r="AH329" s="526"/>
      <c r="AI329" s="526"/>
      <c r="AJ329" s="526"/>
      <c r="AK329" s="526"/>
      <c r="AL329" s="526"/>
      <c r="AM329" s="526"/>
      <c r="AN329" s="526"/>
      <c r="AO329" s="526"/>
      <c r="AP329" s="526"/>
      <c r="AQ329" s="526"/>
      <c r="AR329" s="526"/>
      <c r="AS329" s="526"/>
      <c r="AT329" s="526"/>
      <c r="AU329" s="526"/>
      <c r="AV329" s="526"/>
      <c r="AW329" s="526"/>
      <c r="AX329" s="526"/>
      <c r="AY329" s="526"/>
      <c r="AZ329" s="526"/>
      <c r="BA329" s="526"/>
      <c r="BB329" s="526"/>
      <c r="BC329" s="526"/>
      <c r="BD329" s="526"/>
      <c r="BE329" s="527"/>
      <c r="BF329" s="527"/>
      <c r="BG329" s="527"/>
      <c r="BH329" s="527"/>
      <c r="BI329" s="527"/>
      <c r="BJ329" s="527"/>
      <c r="BK329" s="527"/>
      <c r="BL329" s="527"/>
      <c r="BM329" s="527"/>
      <c r="BN329" s="528"/>
      <c r="BO329" s="528"/>
      <c r="BP329" s="528"/>
      <c r="BQ329" s="528"/>
      <c r="BR329" s="528"/>
      <c r="BS329" s="528"/>
      <c r="BT329" s="528"/>
      <c r="BU329" s="528"/>
      <c r="BV329" s="525"/>
      <c r="BW329" s="525"/>
      <c r="BX329" s="525"/>
      <c r="BY329" s="525"/>
      <c r="BZ329" s="525"/>
      <c r="CA329" s="525"/>
      <c r="CB329" s="525"/>
      <c r="CC329" s="529"/>
      <c r="CD329" s="529"/>
      <c r="CE329" s="529"/>
      <c r="CF329" s="529"/>
      <c r="CG329" s="529"/>
      <c r="CH329" s="529"/>
      <c r="CI329" s="529"/>
      <c r="CJ329" s="529"/>
      <c r="CK329" s="529"/>
      <c r="CL329" s="529"/>
      <c r="CM329" s="529"/>
      <c r="CN329" s="529"/>
      <c r="CO329" s="529"/>
      <c r="CP329" s="529"/>
      <c r="CQ329" s="529"/>
      <c r="CR329" s="529"/>
      <c r="CS329" s="530"/>
      <c r="CT329" s="530"/>
      <c r="CU329" s="530"/>
      <c r="CV329" s="530"/>
      <c r="CW329" s="530"/>
      <c r="CX329" s="530"/>
      <c r="CY329" s="530"/>
      <c r="CZ329" s="530"/>
      <c r="DA329" s="530"/>
      <c r="DB329" s="530"/>
      <c r="DC329" s="530"/>
      <c r="DD329" s="530"/>
      <c r="DE329" s="530"/>
      <c r="DF329" s="530"/>
      <c r="DG329" s="530"/>
      <c r="DH329" s="530"/>
      <c r="DI329" s="530"/>
      <c r="DJ329" s="530"/>
      <c r="DK329" s="530"/>
      <c r="DL329" s="530"/>
      <c r="DM329" s="530"/>
      <c r="DN329" s="948"/>
      <c r="DO329" s="531"/>
      <c r="DP329" s="531"/>
      <c r="DQ329" s="532"/>
      <c r="DR329" s="532"/>
      <c r="DS329" s="527"/>
      <c r="DT329" s="527"/>
      <c r="DU329" s="527"/>
      <c r="DV329" s="527"/>
      <c r="DW329" s="527"/>
      <c r="DX329" s="527"/>
      <c r="DY329" s="527"/>
      <c r="DZ329" s="527"/>
      <c r="EA329" s="527"/>
      <c r="EB329" s="527"/>
      <c r="EC329" s="527"/>
      <c r="ED329" s="527"/>
      <c r="EE329" s="527"/>
      <c r="EF329" s="527"/>
      <c r="EG329" s="527"/>
      <c r="EH329" s="527"/>
      <c r="EI329" s="527"/>
      <c r="EJ329" s="527"/>
      <c r="EK329" s="527"/>
      <c r="EL329" s="527"/>
      <c r="EM329" s="527"/>
      <c r="EN329" s="527"/>
      <c r="EO329" s="527"/>
      <c r="EP329" s="527">
        <v>60</v>
      </c>
      <c r="EQ329" s="527"/>
      <c r="ER329" s="527"/>
      <c r="ES329" s="527"/>
      <c r="ET329" s="527"/>
      <c r="EU329" s="527"/>
      <c r="EV329" s="527"/>
      <c r="EW329" s="527"/>
      <c r="EX329" s="527"/>
      <c r="EY329" s="527"/>
      <c r="EZ329" s="527"/>
      <c r="FA329" s="377"/>
      <c r="FB329" s="378">
        <v>60</v>
      </c>
      <c r="FC329" s="378"/>
      <c r="FD329" s="379">
        <f t="shared" si="586"/>
        <v>0</v>
      </c>
      <c r="FE329" s="790"/>
    </row>
    <row r="330" spans="2:168" ht="26.1" customHeight="1" outlineLevel="1" thickBot="1" x14ac:dyDescent="0.3">
      <c r="B330" s="1018"/>
      <c r="C330" s="1020"/>
      <c r="D330" s="1056"/>
      <c r="E330" s="1062"/>
      <c r="F330" s="849" t="s">
        <v>146</v>
      </c>
      <c r="G330" s="815" t="s">
        <v>1492</v>
      </c>
      <c r="H330" s="590" t="s">
        <v>1197</v>
      </c>
      <c r="I330" s="590" t="s">
        <v>60</v>
      </c>
      <c r="J330" s="533"/>
      <c r="K330" s="534"/>
      <c r="L330" s="534"/>
      <c r="M330" s="534"/>
      <c r="N330" s="534"/>
      <c r="O330" s="534"/>
      <c r="P330" s="534"/>
      <c r="Q330" s="534"/>
      <c r="R330" s="534"/>
      <c r="S330" s="534"/>
      <c r="T330" s="534"/>
      <c r="U330" s="534"/>
      <c r="V330" s="534"/>
      <c r="W330" s="535"/>
      <c r="X330" s="535"/>
      <c r="Y330" s="535"/>
      <c r="Z330" s="535"/>
      <c r="AA330" s="535"/>
      <c r="AB330" s="535"/>
      <c r="AC330" s="535"/>
      <c r="AD330" s="535"/>
      <c r="AE330" s="535"/>
      <c r="AF330" s="535"/>
      <c r="AG330" s="535"/>
      <c r="AH330" s="535"/>
      <c r="AI330" s="535"/>
      <c r="AJ330" s="535"/>
      <c r="AK330" s="535"/>
      <c r="AL330" s="535"/>
      <c r="AM330" s="535"/>
      <c r="AN330" s="535"/>
      <c r="AO330" s="535"/>
      <c r="AP330" s="535"/>
      <c r="AQ330" s="535"/>
      <c r="AR330" s="535"/>
      <c r="AS330" s="535"/>
      <c r="AT330" s="535"/>
      <c r="AU330" s="535"/>
      <c r="AV330" s="535"/>
      <c r="AW330" s="535"/>
      <c r="AX330" s="535"/>
      <c r="AY330" s="535"/>
      <c r="AZ330" s="535"/>
      <c r="BA330" s="535"/>
      <c r="BB330" s="535"/>
      <c r="BC330" s="535"/>
      <c r="BD330" s="535"/>
      <c r="BE330" s="536"/>
      <c r="BF330" s="536"/>
      <c r="BG330" s="536"/>
      <c r="BH330" s="536"/>
      <c r="BI330" s="536"/>
      <c r="BJ330" s="536"/>
      <c r="BK330" s="536"/>
      <c r="BL330" s="536"/>
      <c r="BM330" s="536"/>
      <c r="BN330" s="537">
        <v>15</v>
      </c>
      <c r="BO330" s="537"/>
      <c r="BP330" s="537"/>
      <c r="BQ330" s="537"/>
      <c r="BR330" s="537"/>
      <c r="BS330" s="537"/>
      <c r="BT330" s="537"/>
      <c r="BU330" s="537"/>
      <c r="BV330" s="534"/>
      <c r="BW330" s="534"/>
      <c r="BX330" s="534"/>
      <c r="BY330" s="534"/>
      <c r="BZ330" s="534"/>
      <c r="CA330" s="534"/>
      <c r="CB330" s="534"/>
      <c r="CC330" s="538"/>
      <c r="CD330" s="538"/>
      <c r="CE330" s="538"/>
      <c r="CF330" s="538"/>
      <c r="CG330" s="538"/>
      <c r="CH330" s="538"/>
      <c r="CI330" s="538"/>
      <c r="CJ330" s="538"/>
      <c r="CK330" s="538"/>
      <c r="CL330" s="538"/>
      <c r="CM330" s="538"/>
      <c r="CN330" s="538"/>
      <c r="CO330" s="538"/>
      <c r="CP330" s="538"/>
      <c r="CQ330" s="538"/>
      <c r="CR330" s="538"/>
      <c r="CS330" s="539"/>
      <c r="CT330" s="539"/>
      <c r="CU330" s="539"/>
      <c r="CV330" s="539"/>
      <c r="CW330" s="539"/>
      <c r="CX330" s="539"/>
      <c r="CY330" s="539"/>
      <c r="CZ330" s="539"/>
      <c r="DA330" s="539"/>
      <c r="DB330" s="539"/>
      <c r="DC330" s="539"/>
      <c r="DD330" s="539"/>
      <c r="DE330" s="539"/>
      <c r="DF330" s="539"/>
      <c r="DG330" s="539"/>
      <c r="DH330" s="539"/>
      <c r="DI330" s="539"/>
      <c r="DJ330" s="539"/>
      <c r="DK330" s="539"/>
      <c r="DL330" s="539"/>
      <c r="DM330" s="539"/>
      <c r="DN330" s="949"/>
      <c r="DO330" s="540"/>
      <c r="DP330" s="540"/>
      <c r="DQ330" s="541"/>
      <c r="DR330" s="541"/>
      <c r="DS330" s="536"/>
      <c r="DT330" s="536"/>
      <c r="DU330" s="536"/>
      <c r="DV330" s="536"/>
      <c r="DW330" s="536"/>
      <c r="DX330" s="536"/>
      <c r="DY330" s="536"/>
      <c r="DZ330" s="536"/>
      <c r="EA330" s="536"/>
      <c r="EB330" s="536"/>
      <c r="EC330" s="536"/>
      <c r="ED330" s="536"/>
      <c r="EE330" s="536"/>
      <c r="EF330" s="536"/>
      <c r="EG330" s="536"/>
      <c r="EH330" s="536"/>
      <c r="EI330" s="536"/>
      <c r="EJ330" s="536"/>
      <c r="EK330" s="536"/>
      <c r="EL330" s="536"/>
      <c r="EM330" s="536"/>
      <c r="EN330" s="536"/>
      <c r="EO330" s="536"/>
      <c r="EP330" s="536"/>
      <c r="EQ330" s="536"/>
      <c r="ER330" s="536"/>
      <c r="ES330" s="536"/>
      <c r="ET330" s="536"/>
      <c r="EU330" s="536"/>
      <c r="EV330" s="536"/>
      <c r="EW330" s="536"/>
      <c r="EX330" s="536"/>
      <c r="EY330" s="536"/>
      <c r="EZ330" s="536"/>
      <c r="FA330" s="377"/>
      <c r="FB330" s="378">
        <v>15</v>
      </c>
      <c r="FC330" s="378"/>
      <c r="FD330" s="379">
        <f t="shared" si="586"/>
        <v>0</v>
      </c>
      <c r="FE330" s="790"/>
    </row>
    <row r="331" spans="2:168" s="154" customFormat="1" ht="16.5" customHeight="1" outlineLevel="1" thickBot="1" x14ac:dyDescent="0.4">
      <c r="B331" s="1018"/>
      <c r="C331" s="1020"/>
      <c r="D331" s="145"/>
      <c r="E331" s="317" t="s">
        <v>174</v>
      </c>
      <c r="F331" s="850"/>
      <c r="G331" s="819"/>
      <c r="H331" s="323"/>
      <c r="I331" s="323"/>
      <c r="J331" s="305">
        <f>SUM(J327:J330)</f>
        <v>0</v>
      </c>
      <c r="K331" s="146">
        <f t="shared" ref="K331:CU331" si="587">SUM(K327:K330)</f>
        <v>0</v>
      </c>
      <c r="L331" s="146">
        <f t="shared" si="587"/>
        <v>0</v>
      </c>
      <c r="M331" s="146">
        <f t="shared" si="587"/>
        <v>0</v>
      </c>
      <c r="N331" s="146">
        <f t="shared" si="587"/>
        <v>0</v>
      </c>
      <c r="O331" s="146">
        <f t="shared" si="587"/>
        <v>0</v>
      </c>
      <c r="P331" s="146">
        <f t="shared" si="587"/>
        <v>0</v>
      </c>
      <c r="Q331" s="146">
        <f t="shared" si="587"/>
        <v>0</v>
      </c>
      <c r="R331" s="146">
        <f t="shared" si="587"/>
        <v>0</v>
      </c>
      <c r="S331" s="146">
        <f t="shared" si="587"/>
        <v>0</v>
      </c>
      <c r="T331" s="146">
        <f t="shared" ref="T331:V331" si="588">SUM(T327:T330)</f>
        <v>0</v>
      </c>
      <c r="U331" s="146">
        <f t="shared" si="588"/>
        <v>0</v>
      </c>
      <c r="V331" s="146">
        <f t="shared" si="588"/>
        <v>0</v>
      </c>
      <c r="W331" s="147">
        <f t="shared" si="587"/>
        <v>0</v>
      </c>
      <c r="X331" s="147">
        <f t="shared" si="587"/>
        <v>0</v>
      </c>
      <c r="Y331" s="147">
        <f t="shared" ref="Y331" si="589">SUM(Y327:Y330)</f>
        <v>0</v>
      </c>
      <c r="Z331" s="147">
        <f t="shared" si="587"/>
        <v>0</v>
      </c>
      <c r="AA331" s="147">
        <f t="shared" si="587"/>
        <v>0</v>
      </c>
      <c r="AB331" s="147">
        <f t="shared" ref="AB331:AC331" si="590">SUM(AB327:AB330)</f>
        <v>0</v>
      </c>
      <c r="AC331" s="147">
        <f t="shared" si="590"/>
        <v>0</v>
      </c>
      <c r="AD331" s="147">
        <f t="shared" si="587"/>
        <v>0</v>
      </c>
      <c r="AE331" s="147">
        <f t="shared" si="587"/>
        <v>0</v>
      </c>
      <c r="AF331" s="147">
        <f t="shared" ref="AF331:AH331" si="591">SUM(AF327:AF330)</f>
        <v>0</v>
      </c>
      <c r="AG331" s="147">
        <f t="shared" si="591"/>
        <v>0</v>
      </c>
      <c r="AH331" s="147">
        <f t="shared" si="591"/>
        <v>0</v>
      </c>
      <c r="AI331" s="147">
        <f t="shared" si="587"/>
        <v>0</v>
      </c>
      <c r="AJ331" s="147">
        <f t="shared" si="587"/>
        <v>0</v>
      </c>
      <c r="AK331" s="147">
        <f t="shared" si="587"/>
        <v>0</v>
      </c>
      <c r="AL331" s="147">
        <f t="shared" si="587"/>
        <v>0</v>
      </c>
      <c r="AM331" s="147">
        <f t="shared" ref="AM331:AS331" si="592">SUM(AM327:AM330)</f>
        <v>0</v>
      </c>
      <c r="AN331" s="147">
        <f t="shared" si="592"/>
        <v>0</v>
      </c>
      <c r="AO331" s="147">
        <f t="shared" si="592"/>
        <v>0</v>
      </c>
      <c r="AP331" s="147">
        <f t="shared" si="592"/>
        <v>0</v>
      </c>
      <c r="AQ331" s="147">
        <f t="shared" si="592"/>
        <v>0</v>
      </c>
      <c r="AR331" s="147">
        <f t="shared" si="592"/>
        <v>0</v>
      </c>
      <c r="AS331" s="147">
        <f t="shared" si="592"/>
        <v>0</v>
      </c>
      <c r="AT331" s="147">
        <f t="shared" si="587"/>
        <v>0</v>
      </c>
      <c r="AU331" s="147">
        <f t="shared" ref="AU331:BD331" si="593">SUM(AU327:AU330)</f>
        <v>0</v>
      </c>
      <c r="AV331" s="147">
        <f t="shared" si="593"/>
        <v>0</v>
      </c>
      <c r="AW331" s="147">
        <f t="shared" si="593"/>
        <v>0</v>
      </c>
      <c r="AX331" s="147">
        <f t="shared" si="593"/>
        <v>0</v>
      </c>
      <c r="AY331" s="147">
        <f t="shared" si="593"/>
        <v>0</v>
      </c>
      <c r="AZ331" s="147">
        <f t="shared" si="593"/>
        <v>0</v>
      </c>
      <c r="BA331" s="147">
        <f t="shared" si="593"/>
        <v>0</v>
      </c>
      <c r="BB331" s="147">
        <f t="shared" si="593"/>
        <v>0</v>
      </c>
      <c r="BC331" s="147">
        <f t="shared" si="593"/>
        <v>0</v>
      </c>
      <c r="BD331" s="147">
        <f t="shared" si="593"/>
        <v>0</v>
      </c>
      <c r="BE331" s="148">
        <f t="shared" ref="BE331:BP331" si="594">SUM(BE327:BE330)</f>
        <v>0</v>
      </c>
      <c r="BF331" s="148">
        <f t="shared" si="594"/>
        <v>0</v>
      </c>
      <c r="BG331" s="148">
        <f t="shared" si="594"/>
        <v>0</v>
      </c>
      <c r="BH331" s="148">
        <f t="shared" si="594"/>
        <v>0</v>
      </c>
      <c r="BI331" s="148">
        <f t="shared" ref="BI331:BL331" si="595">SUM(BI327:BI330)</f>
        <v>0</v>
      </c>
      <c r="BJ331" s="148">
        <f t="shared" si="595"/>
        <v>0</v>
      </c>
      <c r="BK331" s="148">
        <f t="shared" si="595"/>
        <v>0</v>
      </c>
      <c r="BL331" s="148">
        <f t="shared" si="595"/>
        <v>0</v>
      </c>
      <c r="BM331" s="148">
        <f t="shared" si="594"/>
        <v>0</v>
      </c>
      <c r="BN331" s="149">
        <f t="shared" si="594"/>
        <v>15</v>
      </c>
      <c r="BO331" s="149">
        <f t="shared" si="594"/>
        <v>0</v>
      </c>
      <c r="BP331" s="149">
        <f t="shared" si="594"/>
        <v>0</v>
      </c>
      <c r="BQ331" s="149">
        <f t="shared" ref="BQ331" si="596">SUM(BQ327:BQ330)</f>
        <v>0</v>
      </c>
      <c r="BR331" s="149">
        <f t="shared" ref="BR331:BU331" si="597">SUM(BR327:BR330)</f>
        <v>0</v>
      </c>
      <c r="BS331" s="149">
        <f t="shared" si="597"/>
        <v>0</v>
      </c>
      <c r="BT331" s="149">
        <f t="shared" si="597"/>
        <v>0</v>
      </c>
      <c r="BU331" s="149">
        <f t="shared" si="597"/>
        <v>0</v>
      </c>
      <c r="BV331" s="146">
        <f t="shared" ref="BV331:BX331" si="598">SUM(BV327:BV330)</f>
        <v>0</v>
      </c>
      <c r="BW331" s="146">
        <f t="shared" si="598"/>
        <v>0</v>
      </c>
      <c r="BX331" s="146">
        <f t="shared" si="598"/>
        <v>0</v>
      </c>
      <c r="BY331" s="146">
        <f t="shared" ref="BY331:BZ331" si="599">SUM(BY327:BY330)</f>
        <v>0</v>
      </c>
      <c r="BZ331" s="146">
        <f t="shared" si="599"/>
        <v>0</v>
      </c>
      <c r="CA331" s="146">
        <f t="shared" si="587"/>
        <v>0</v>
      </c>
      <c r="CB331" s="146">
        <f t="shared" si="587"/>
        <v>0</v>
      </c>
      <c r="CC331" s="265">
        <f t="shared" si="587"/>
        <v>0</v>
      </c>
      <c r="CD331" s="265">
        <f t="shared" si="587"/>
        <v>0</v>
      </c>
      <c r="CE331" s="265">
        <f t="shared" si="587"/>
        <v>0</v>
      </c>
      <c r="CF331" s="265">
        <f t="shared" si="587"/>
        <v>0</v>
      </c>
      <c r="CG331" s="265">
        <f t="shared" si="587"/>
        <v>0</v>
      </c>
      <c r="CH331" s="265">
        <f t="shared" si="587"/>
        <v>0</v>
      </c>
      <c r="CI331" s="265">
        <f t="shared" si="587"/>
        <v>0</v>
      </c>
      <c r="CJ331" s="265">
        <f t="shared" ref="CJ331" si="600">SUM(CJ327:CJ330)</f>
        <v>0</v>
      </c>
      <c r="CK331" s="265">
        <f t="shared" ref="CK331" si="601">SUM(CK327:CK330)</f>
        <v>0</v>
      </c>
      <c r="CL331" s="265">
        <f t="shared" si="587"/>
        <v>0</v>
      </c>
      <c r="CM331" s="265">
        <f t="shared" si="587"/>
        <v>0</v>
      </c>
      <c r="CN331" s="265">
        <f t="shared" ref="CN331:CQ331" si="602">SUM(CN327:CN330)</f>
        <v>0</v>
      </c>
      <c r="CO331" s="265">
        <f t="shared" si="602"/>
        <v>0</v>
      </c>
      <c r="CP331" s="265">
        <f t="shared" si="602"/>
        <v>0</v>
      </c>
      <c r="CQ331" s="265">
        <f t="shared" si="602"/>
        <v>0</v>
      </c>
      <c r="CR331" s="265">
        <f t="shared" si="587"/>
        <v>0</v>
      </c>
      <c r="CS331" s="281">
        <f t="shared" si="587"/>
        <v>0</v>
      </c>
      <c r="CT331" s="281">
        <f t="shared" ref="CT331" si="603">SUM(CT327:CT330)</f>
        <v>0</v>
      </c>
      <c r="CU331" s="281">
        <f t="shared" si="587"/>
        <v>0</v>
      </c>
      <c r="CV331" s="281">
        <f t="shared" ref="CV331:DE331" si="604">SUM(CV327:CV330)</f>
        <v>0</v>
      </c>
      <c r="CW331" s="281">
        <f t="shared" si="604"/>
        <v>0</v>
      </c>
      <c r="CX331" s="281">
        <f t="shared" si="604"/>
        <v>0</v>
      </c>
      <c r="CY331" s="281">
        <f t="shared" si="604"/>
        <v>0</v>
      </c>
      <c r="CZ331" s="281">
        <f t="shared" ref="CZ331" si="605">SUM(CZ327:CZ330)</f>
        <v>0</v>
      </c>
      <c r="DA331" s="281">
        <f t="shared" si="604"/>
        <v>0</v>
      </c>
      <c r="DB331" s="281">
        <f t="shared" si="604"/>
        <v>0</v>
      </c>
      <c r="DC331" s="281">
        <f t="shared" si="604"/>
        <v>0</v>
      </c>
      <c r="DD331" s="281">
        <f t="shared" ref="DD331" si="606">SUM(DD327:DD330)</f>
        <v>0</v>
      </c>
      <c r="DE331" s="281">
        <f t="shared" si="604"/>
        <v>0</v>
      </c>
      <c r="DF331" s="281">
        <f t="shared" ref="DF331:FD331" si="607">SUM(DF327:DF330)</f>
        <v>0</v>
      </c>
      <c r="DG331" s="281">
        <f t="shared" si="607"/>
        <v>0</v>
      </c>
      <c r="DH331" s="281">
        <f t="shared" si="607"/>
        <v>0</v>
      </c>
      <c r="DI331" s="281">
        <f t="shared" ref="DI331:DQ331" si="608">SUM(DI327:DI330)</f>
        <v>0</v>
      </c>
      <c r="DJ331" s="281">
        <f t="shared" si="608"/>
        <v>0</v>
      </c>
      <c r="DK331" s="281">
        <f t="shared" si="608"/>
        <v>0</v>
      </c>
      <c r="DL331" s="281">
        <f t="shared" si="608"/>
        <v>0</v>
      </c>
      <c r="DM331" s="281">
        <f t="shared" si="608"/>
        <v>0</v>
      </c>
      <c r="DN331" s="936">
        <f t="shared" si="608"/>
        <v>0</v>
      </c>
      <c r="DO331" s="148">
        <f t="shared" si="608"/>
        <v>50</v>
      </c>
      <c r="DP331" s="148">
        <f t="shared" si="608"/>
        <v>0</v>
      </c>
      <c r="DQ331" s="148">
        <f t="shared" si="608"/>
        <v>0</v>
      </c>
      <c r="DR331" s="148">
        <f t="shared" si="607"/>
        <v>0</v>
      </c>
      <c r="DS331" s="148">
        <f t="shared" si="607"/>
        <v>0</v>
      </c>
      <c r="DT331" s="148">
        <f t="shared" si="607"/>
        <v>0</v>
      </c>
      <c r="DU331" s="148">
        <f t="shared" si="607"/>
        <v>0</v>
      </c>
      <c r="DV331" s="148">
        <f t="shared" si="607"/>
        <v>0</v>
      </c>
      <c r="DW331" s="148">
        <f t="shared" si="607"/>
        <v>0</v>
      </c>
      <c r="DX331" s="148">
        <f t="shared" si="607"/>
        <v>0</v>
      </c>
      <c r="DY331" s="148">
        <f t="shared" ref="DY331:EO331" si="609">SUM(DY327:DY330)</f>
        <v>0</v>
      </c>
      <c r="DZ331" s="148">
        <f t="shared" si="609"/>
        <v>0</v>
      </c>
      <c r="EA331" s="148">
        <f t="shared" si="609"/>
        <v>250</v>
      </c>
      <c r="EB331" s="148">
        <f t="shared" si="609"/>
        <v>0</v>
      </c>
      <c r="EC331" s="148">
        <f t="shared" si="609"/>
        <v>0</v>
      </c>
      <c r="ED331" s="148">
        <f t="shared" si="609"/>
        <v>1</v>
      </c>
      <c r="EE331" s="148">
        <f t="shared" si="609"/>
        <v>0</v>
      </c>
      <c r="EF331" s="148">
        <f t="shared" si="609"/>
        <v>0</v>
      </c>
      <c r="EG331" s="148">
        <f t="shared" si="609"/>
        <v>0</v>
      </c>
      <c r="EH331" s="148">
        <f t="shared" si="609"/>
        <v>0</v>
      </c>
      <c r="EI331" s="148">
        <f t="shared" si="609"/>
        <v>0</v>
      </c>
      <c r="EJ331" s="148">
        <f t="shared" si="609"/>
        <v>0</v>
      </c>
      <c r="EK331" s="148">
        <f t="shared" si="609"/>
        <v>0</v>
      </c>
      <c r="EL331" s="148">
        <f t="shared" si="609"/>
        <v>0</v>
      </c>
      <c r="EM331" s="148">
        <f t="shared" si="609"/>
        <v>0</v>
      </c>
      <c r="EN331" s="148">
        <f t="shared" si="609"/>
        <v>0</v>
      </c>
      <c r="EO331" s="148">
        <f t="shared" si="609"/>
        <v>0</v>
      </c>
      <c r="EP331" s="148">
        <f t="shared" ref="EP331:EZ331" si="610">SUM(EP327:EP330)</f>
        <v>60</v>
      </c>
      <c r="EQ331" s="148">
        <f t="shared" si="610"/>
        <v>0</v>
      </c>
      <c r="ER331" s="148">
        <f t="shared" si="610"/>
        <v>0</v>
      </c>
      <c r="ES331" s="148">
        <f t="shared" si="610"/>
        <v>0</v>
      </c>
      <c r="ET331" s="148">
        <f t="shared" si="610"/>
        <v>0</v>
      </c>
      <c r="EU331" s="148">
        <f t="shared" si="610"/>
        <v>0</v>
      </c>
      <c r="EV331" s="148">
        <f t="shared" si="610"/>
        <v>0</v>
      </c>
      <c r="EW331" s="148">
        <f t="shared" si="610"/>
        <v>0</v>
      </c>
      <c r="EX331" s="148">
        <f t="shared" si="610"/>
        <v>0</v>
      </c>
      <c r="EY331" s="148">
        <f t="shared" si="610"/>
        <v>0</v>
      </c>
      <c r="EZ331" s="148">
        <f t="shared" si="610"/>
        <v>0</v>
      </c>
      <c r="FA331" s="150">
        <f t="shared" si="607"/>
        <v>0</v>
      </c>
      <c r="FB331" s="151">
        <f t="shared" si="607"/>
        <v>350</v>
      </c>
      <c r="FC331" s="151">
        <f t="shared" si="607"/>
        <v>0</v>
      </c>
      <c r="FD331" s="152">
        <f t="shared" si="607"/>
        <v>0</v>
      </c>
      <c r="FE331" s="792" t="str">
        <f>IF(FB331&lt;инфо!$AN$77,FB331-инфо!$AN$77,"")</f>
        <v/>
      </c>
      <c r="FF331" s="153"/>
      <c r="FG331" s="153"/>
      <c r="FH331" s="153"/>
    </row>
    <row r="332" spans="2:168" s="138" customFormat="1" ht="32.1" customHeight="1" thickBot="1" x14ac:dyDescent="0.4">
      <c r="B332" s="174" t="s">
        <v>175</v>
      </c>
      <c r="C332" s="156"/>
      <c r="D332" s="306"/>
      <c r="E332" s="136" t="s">
        <v>176</v>
      </c>
      <c r="F332" s="851"/>
      <c r="G332" s="826"/>
      <c r="H332" s="592" t="s">
        <v>1425</v>
      </c>
      <c r="I332" s="605" t="s">
        <v>198</v>
      </c>
      <c r="J332" s="551">
        <f>SUMIF($E288:$E331,$E332,J288:J331)</f>
        <v>0</v>
      </c>
      <c r="K332" s="552">
        <f t="shared" ref="K332:CU332" si="611">SUMIF($E288:$E331,$E332,K288:K331)</f>
        <v>0</v>
      </c>
      <c r="L332" s="552">
        <f t="shared" si="611"/>
        <v>0</v>
      </c>
      <c r="M332" s="552">
        <f t="shared" si="611"/>
        <v>83</v>
      </c>
      <c r="N332" s="552">
        <f t="shared" si="611"/>
        <v>0</v>
      </c>
      <c r="O332" s="552">
        <f t="shared" si="611"/>
        <v>0</v>
      </c>
      <c r="P332" s="552">
        <f t="shared" si="611"/>
        <v>0</v>
      </c>
      <c r="Q332" s="552">
        <f t="shared" si="611"/>
        <v>81</v>
      </c>
      <c r="R332" s="552">
        <f t="shared" si="611"/>
        <v>20</v>
      </c>
      <c r="S332" s="552">
        <f t="shared" si="611"/>
        <v>0</v>
      </c>
      <c r="T332" s="552">
        <f t="shared" ref="T332:V332" si="612">SUMIF($E288:$E331,$E332,T288:T331)</f>
        <v>0</v>
      </c>
      <c r="U332" s="552">
        <f t="shared" si="612"/>
        <v>0</v>
      </c>
      <c r="V332" s="552">
        <f t="shared" si="612"/>
        <v>0</v>
      </c>
      <c r="W332" s="553">
        <f t="shared" si="611"/>
        <v>0</v>
      </c>
      <c r="X332" s="553">
        <f t="shared" si="611"/>
        <v>10</v>
      </c>
      <c r="Y332" s="553">
        <f t="shared" ref="Y332" si="613">SUMIF($E288:$E331,$E332,Y288:Y331)</f>
        <v>0</v>
      </c>
      <c r="Z332" s="553">
        <f t="shared" si="611"/>
        <v>150</v>
      </c>
      <c r="AA332" s="553">
        <f t="shared" si="611"/>
        <v>300</v>
      </c>
      <c r="AB332" s="553">
        <f t="shared" ref="AB332:AC332" si="614">SUMIF($E288:$E331,$E332,AB288:AB331)</f>
        <v>0</v>
      </c>
      <c r="AC332" s="553">
        <f t="shared" si="614"/>
        <v>0</v>
      </c>
      <c r="AD332" s="553">
        <f t="shared" si="611"/>
        <v>645</v>
      </c>
      <c r="AE332" s="553">
        <f t="shared" si="611"/>
        <v>75</v>
      </c>
      <c r="AF332" s="553">
        <f t="shared" ref="AF332:AH332" si="615">SUMIF($E288:$E331,$E332,AF288:AF331)</f>
        <v>40</v>
      </c>
      <c r="AG332" s="553">
        <f t="shared" si="615"/>
        <v>47</v>
      </c>
      <c r="AH332" s="553">
        <f t="shared" si="615"/>
        <v>0</v>
      </c>
      <c r="AI332" s="553">
        <f t="shared" si="611"/>
        <v>0</v>
      </c>
      <c r="AJ332" s="553">
        <f t="shared" si="611"/>
        <v>70</v>
      </c>
      <c r="AK332" s="553">
        <f t="shared" si="611"/>
        <v>0</v>
      </c>
      <c r="AL332" s="553">
        <f t="shared" si="611"/>
        <v>0</v>
      </c>
      <c r="AM332" s="553">
        <f t="shared" ref="AM332:AS332" si="616">SUMIF($E288:$E331,$E332,AM288:AM331)</f>
        <v>0</v>
      </c>
      <c r="AN332" s="553">
        <f t="shared" si="616"/>
        <v>0</v>
      </c>
      <c r="AO332" s="553">
        <f t="shared" si="616"/>
        <v>10.8</v>
      </c>
      <c r="AP332" s="553">
        <f t="shared" si="616"/>
        <v>0</v>
      </c>
      <c r="AQ332" s="553">
        <f t="shared" si="616"/>
        <v>0</v>
      </c>
      <c r="AR332" s="553">
        <f t="shared" si="616"/>
        <v>0</v>
      </c>
      <c r="AS332" s="553">
        <f t="shared" si="616"/>
        <v>0</v>
      </c>
      <c r="AT332" s="553">
        <f t="shared" si="611"/>
        <v>0</v>
      </c>
      <c r="AU332" s="553">
        <f t="shared" ref="AU332:BD332" si="617">SUMIF($E288:$E331,$E332,AU288:AU331)</f>
        <v>20</v>
      </c>
      <c r="AV332" s="553">
        <f t="shared" si="617"/>
        <v>0</v>
      </c>
      <c r="AW332" s="553">
        <f t="shared" si="617"/>
        <v>0</v>
      </c>
      <c r="AX332" s="553">
        <f t="shared" si="617"/>
        <v>105</v>
      </c>
      <c r="AY332" s="553">
        <f t="shared" si="617"/>
        <v>0</v>
      </c>
      <c r="AZ332" s="553">
        <f t="shared" si="617"/>
        <v>0</v>
      </c>
      <c r="BA332" s="553">
        <f t="shared" si="617"/>
        <v>0</v>
      </c>
      <c r="BB332" s="553">
        <f t="shared" si="617"/>
        <v>20</v>
      </c>
      <c r="BC332" s="553">
        <f t="shared" si="617"/>
        <v>0</v>
      </c>
      <c r="BD332" s="553">
        <f t="shared" si="617"/>
        <v>0</v>
      </c>
      <c r="BE332" s="554">
        <f t="shared" ref="BE332:BP332" si="618">SUMIF($E288:$E331,$E332,BE288:BE331)</f>
        <v>200</v>
      </c>
      <c r="BF332" s="554">
        <f t="shared" si="618"/>
        <v>0</v>
      </c>
      <c r="BG332" s="554">
        <f t="shared" si="618"/>
        <v>0</v>
      </c>
      <c r="BH332" s="554">
        <f t="shared" si="618"/>
        <v>22</v>
      </c>
      <c r="BI332" s="554">
        <f t="shared" ref="BI332:BL332" si="619">SUMIF($E288:$E331,$E332,BI288:BI331)</f>
        <v>20</v>
      </c>
      <c r="BJ332" s="554">
        <f t="shared" si="619"/>
        <v>5</v>
      </c>
      <c r="BK332" s="554">
        <f t="shared" si="619"/>
        <v>0</v>
      </c>
      <c r="BL332" s="554">
        <f t="shared" si="619"/>
        <v>0</v>
      </c>
      <c r="BM332" s="554">
        <f t="shared" si="618"/>
        <v>0</v>
      </c>
      <c r="BN332" s="555">
        <f t="shared" si="618"/>
        <v>47</v>
      </c>
      <c r="BO332" s="555">
        <f t="shared" si="618"/>
        <v>33</v>
      </c>
      <c r="BP332" s="555">
        <f t="shared" si="618"/>
        <v>15</v>
      </c>
      <c r="BQ332" s="555">
        <f t="shared" ref="BQ332" si="620">SUMIF($E288:$E331,$E332,BQ288:BQ331)</f>
        <v>0</v>
      </c>
      <c r="BR332" s="555">
        <f t="shared" ref="BR332:BU332" si="621">SUMIF($E288:$E331,$E332,BR288:BR331)</f>
        <v>0</v>
      </c>
      <c r="BS332" s="555">
        <f t="shared" si="621"/>
        <v>0.75</v>
      </c>
      <c r="BT332" s="555">
        <f t="shared" si="621"/>
        <v>0</v>
      </c>
      <c r="BU332" s="555">
        <f t="shared" si="621"/>
        <v>0</v>
      </c>
      <c r="BV332" s="552">
        <f t="shared" ref="BV332:BX332" si="622">SUMIF($E288:$E331,$E332,BV288:BV331)</f>
        <v>0</v>
      </c>
      <c r="BW332" s="552">
        <f t="shared" si="622"/>
        <v>0</v>
      </c>
      <c r="BX332" s="552">
        <f t="shared" si="622"/>
        <v>0</v>
      </c>
      <c r="BY332" s="552">
        <f t="shared" ref="BY332:BZ332" si="623">SUMIF($E288:$E331,$E332,BY288:BY331)</f>
        <v>0</v>
      </c>
      <c r="BZ332" s="552">
        <f t="shared" si="623"/>
        <v>100</v>
      </c>
      <c r="CA332" s="552">
        <f t="shared" si="611"/>
        <v>0</v>
      </c>
      <c r="CB332" s="552">
        <f t="shared" si="611"/>
        <v>0</v>
      </c>
      <c r="CC332" s="556">
        <f t="shared" si="611"/>
        <v>0</v>
      </c>
      <c r="CD332" s="556">
        <f t="shared" si="611"/>
        <v>25</v>
      </c>
      <c r="CE332" s="556">
        <f t="shared" si="611"/>
        <v>0</v>
      </c>
      <c r="CF332" s="556">
        <f t="shared" si="611"/>
        <v>80</v>
      </c>
      <c r="CG332" s="556">
        <f t="shared" si="611"/>
        <v>0</v>
      </c>
      <c r="CH332" s="556">
        <f t="shared" si="611"/>
        <v>0</v>
      </c>
      <c r="CI332" s="556">
        <f t="shared" si="611"/>
        <v>0</v>
      </c>
      <c r="CJ332" s="556">
        <f t="shared" ref="CJ332" si="624">SUMIF($E288:$E331,$E332,CJ288:CJ331)</f>
        <v>0</v>
      </c>
      <c r="CK332" s="556">
        <f t="shared" ref="CK332" si="625">SUMIF($E288:$E331,$E332,CK288:CK331)</f>
        <v>0</v>
      </c>
      <c r="CL332" s="556">
        <f t="shared" si="611"/>
        <v>0</v>
      </c>
      <c r="CM332" s="556">
        <f t="shared" si="611"/>
        <v>0</v>
      </c>
      <c r="CN332" s="556">
        <f t="shared" ref="CN332:CQ332" si="626">SUMIF($E288:$E331,$E332,CN288:CN331)</f>
        <v>0</v>
      </c>
      <c r="CO332" s="556">
        <f t="shared" si="626"/>
        <v>0</v>
      </c>
      <c r="CP332" s="556">
        <f t="shared" si="626"/>
        <v>0</v>
      </c>
      <c r="CQ332" s="556">
        <f t="shared" si="626"/>
        <v>0</v>
      </c>
      <c r="CR332" s="556">
        <f t="shared" si="611"/>
        <v>0</v>
      </c>
      <c r="CS332" s="557">
        <f t="shared" si="611"/>
        <v>0</v>
      </c>
      <c r="CT332" s="557">
        <f t="shared" ref="CT332" si="627">SUMIF($E288:$E331,$E332,CT288:CT331)</f>
        <v>0</v>
      </c>
      <c r="CU332" s="557">
        <f t="shared" si="611"/>
        <v>120</v>
      </c>
      <c r="CV332" s="557">
        <f t="shared" ref="CV332:DE332" si="628">SUMIF($E288:$E331,$E332,CV288:CV331)</f>
        <v>0</v>
      </c>
      <c r="CW332" s="557">
        <f t="shared" si="628"/>
        <v>0</v>
      </c>
      <c r="CX332" s="557">
        <f t="shared" si="628"/>
        <v>0</v>
      </c>
      <c r="CY332" s="557">
        <f t="shared" si="628"/>
        <v>0</v>
      </c>
      <c r="CZ332" s="557">
        <f t="shared" ref="CZ332" si="629">SUMIF($E288:$E331,$E332,CZ288:CZ331)</f>
        <v>0</v>
      </c>
      <c r="DA332" s="557">
        <f t="shared" si="628"/>
        <v>0</v>
      </c>
      <c r="DB332" s="557">
        <f t="shared" si="628"/>
        <v>0</v>
      </c>
      <c r="DC332" s="557">
        <f t="shared" si="628"/>
        <v>0</v>
      </c>
      <c r="DD332" s="557">
        <f t="shared" ref="DD332" si="630">SUMIF($E288:$E331,$E332,DD288:DD331)</f>
        <v>0</v>
      </c>
      <c r="DE332" s="557">
        <f t="shared" si="628"/>
        <v>0</v>
      </c>
      <c r="DF332" s="557">
        <f t="shared" ref="DF332:FD332" si="631">SUMIF($E288:$E331,$E332,DF288:DF331)</f>
        <v>0</v>
      </c>
      <c r="DG332" s="557">
        <f t="shared" si="631"/>
        <v>0</v>
      </c>
      <c r="DH332" s="557">
        <f t="shared" si="631"/>
        <v>0</v>
      </c>
      <c r="DI332" s="557">
        <f t="shared" ref="DI332:DQ332" si="632">SUMIF($E288:$E331,$E332,DI288:DI331)</f>
        <v>0</v>
      </c>
      <c r="DJ332" s="557">
        <f t="shared" si="632"/>
        <v>0</v>
      </c>
      <c r="DK332" s="557">
        <f t="shared" si="632"/>
        <v>0</v>
      </c>
      <c r="DL332" s="557">
        <f t="shared" si="632"/>
        <v>0</v>
      </c>
      <c r="DM332" s="557">
        <f t="shared" si="632"/>
        <v>0</v>
      </c>
      <c r="DN332" s="951">
        <f t="shared" si="632"/>
        <v>0.08</v>
      </c>
      <c r="DO332" s="554">
        <f t="shared" si="632"/>
        <v>95</v>
      </c>
      <c r="DP332" s="554">
        <f t="shared" si="632"/>
        <v>17.2</v>
      </c>
      <c r="DQ332" s="554">
        <f t="shared" si="632"/>
        <v>7.2000000000000008E-2</v>
      </c>
      <c r="DR332" s="554">
        <f t="shared" si="631"/>
        <v>0.13500000000000001</v>
      </c>
      <c r="DS332" s="554">
        <f t="shared" si="631"/>
        <v>6</v>
      </c>
      <c r="DT332" s="554">
        <f t="shared" si="631"/>
        <v>5</v>
      </c>
      <c r="DU332" s="554">
        <f t="shared" si="631"/>
        <v>0</v>
      </c>
      <c r="DV332" s="554">
        <f t="shared" si="631"/>
        <v>0</v>
      </c>
      <c r="DW332" s="554">
        <f t="shared" si="631"/>
        <v>2</v>
      </c>
      <c r="DX332" s="554">
        <f t="shared" si="631"/>
        <v>0</v>
      </c>
      <c r="DY332" s="554">
        <f t="shared" ref="DY332:EO332" si="633">SUMIF($E288:$E331,$E332,DY288:DY331)</f>
        <v>0</v>
      </c>
      <c r="DZ332" s="554">
        <f t="shared" si="633"/>
        <v>0</v>
      </c>
      <c r="EA332" s="554">
        <f t="shared" si="633"/>
        <v>1015.6</v>
      </c>
      <c r="EB332" s="554">
        <f t="shared" si="633"/>
        <v>812</v>
      </c>
      <c r="EC332" s="554">
        <f t="shared" si="633"/>
        <v>200</v>
      </c>
      <c r="ED332" s="554">
        <f t="shared" si="633"/>
        <v>1</v>
      </c>
      <c r="EE332" s="554">
        <f t="shared" si="633"/>
        <v>0</v>
      </c>
      <c r="EF332" s="554">
        <f t="shared" si="633"/>
        <v>1.5</v>
      </c>
      <c r="EG332" s="554">
        <f t="shared" si="633"/>
        <v>0</v>
      </c>
      <c r="EH332" s="554">
        <f t="shared" si="633"/>
        <v>0</v>
      </c>
      <c r="EI332" s="554">
        <f t="shared" si="633"/>
        <v>0</v>
      </c>
      <c r="EJ332" s="554">
        <f t="shared" si="633"/>
        <v>0</v>
      </c>
      <c r="EK332" s="554">
        <f t="shared" si="633"/>
        <v>0</v>
      </c>
      <c r="EL332" s="554">
        <f t="shared" si="633"/>
        <v>0</v>
      </c>
      <c r="EM332" s="554">
        <f t="shared" si="633"/>
        <v>0</v>
      </c>
      <c r="EN332" s="554">
        <f t="shared" si="633"/>
        <v>0</v>
      </c>
      <c r="EO332" s="554">
        <f t="shared" si="633"/>
        <v>20</v>
      </c>
      <c r="EP332" s="554">
        <f t="shared" ref="EP332:EZ332" si="634">SUMIF($E288:$E331,$E332,EP288:EP331)</f>
        <v>60</v>
      </c>
      <c r="EQ332" s="554">
        <f t="shared" si="634"/>
        <v>0</v>
      </c>
      <c r="ER332" s="554">
        <f t="shared" si="634"/>
        <v>0</v>
      </c>
      <c r="ES332" s="554">
        <f t="shared" si="634"/>
        <v>0</v>
      </c>
      <c r="ET332" s="554">
        <f t="shared" si="634"/>
        <v>25</v>
      </c>
      <c r="EU332" s="554">
        <f t="shared" si="634"/>
        <v>0</v>
      </c>
      <c r="EV332" s="554">
        <f t="shared" si="634"/>
        <v>0</v>
      </c>
      <c r="EW332" s="554">
        <f t="shared" si="634"/>
        <v>0</v>
      </c>
      <c r="EX332" s="554">
        <f t="shared" si="634"/>
        <v>0</v>
      </c>
      <c r="EY332" s="554">
        <f t="shared" si="634"/>
        <v>0</v>
      </c>
      <c r="EZ332" s="554">
        <f t="shared" si="634"/>
        <v>0</v>
      </c>
      <c r="FA332" s="558">
        <f t="shared" si="631"/>
        <v>1727</v>
      </c>
      <c r="FB332" s="558">
        <f t="shared" si="631"/>
        <v>4087.752</v>
      </c>
      <c r="FC332" s="558">
        <f t="shared" si="631"/>
        <v>253.75200000000001</v>
      </c>
      <c r="FD332" s="559">
        <f t="shared" si="631"/>
        <v>355</v>
      </c>
      <c r="FE332" s="791" t="str">
        <f>IF(FB332&lt;инфо!$AN$73,FB332-инфо!$AN$73,"")</f>
        <v/>
      </c>
      <c r="FF332" s="157"/>
      <c r="FG332" s="157"/>
      <c r="FH332" s="157"/>
    </row>
    <row r="333" spans="2:168" s="138" customFormat="1" ht="31.5" customHeight="1" thickBot="1" x14ac:dyDescent="0.4">
      <c r="B333" s="158" t="s">
        <v>125</v>
      </c>
      <c r="C333" s="304"/>
      <c r="D333" s="307"/>
      <c r="E333" s="159"/>
      <c r="F333" s="852"/>
      <c r="G333" s="827"/>
      <c r="H333" s="137"/>
      <c r="I333" s="308" t="s">
        <v>199</v>
      </c>
      <c r="J333" s="560">
        <f>SUMIF($B$18:$B$332,$B332,J$18:J$332)</f>
        <v>103</v>
      </c>
      <c r="K333" s="560">
        <f t="shared" ref="K333:CU333" si="635">SUMIF($B$18:$B$332,$B332,K$18:K$332)</f>
        <v>460</v>
      </c>
      <c r="L333" s="560">
        <f t="shared" si="635"/>
        <v>0</v>
      </c>
      <c r="M333" s="560">
        <f t="shared" si="635"/>
        <v>166</v>
      </c>
      <c r="N333" s="560">
        <f t="shared" si="635"/>
        <v>0</v>
      </c>
      <c r="O333" s="560">
        <f t="shared" si="635"/>
        <v>211</v>
      </c>
      <c r="P333" s="560">
        <f t="shared" si="635"/>
        <v>249</v>
      </c>
      <c r="Q333" s="560">
        <f t="shared" si="635"/>
        <v>433</v>
      </c>
      <c r="R333" s="560">
        <f t="shared" si="635"/>
        <v>20</v>
      </c>
      <c r="S333" s="560">
        <f t="shared" si="635"/>
        <v>0</v>
      </c>
      <c r="T333" s="560">
        <f t="shared" ref="T333:V333" si="636">SUMIF($B$18:$B$332,$B332,T$18:T$332)</f>
        <v>0</v>
      </c>
      <c r="U333" s="560">
        <f t="shared" si="636"/>
        <v>0</v>
      </c>
      <c r="V333" s="560">
        <f t="shared" si="636"/>
        <v>332</v>
      </c>
      <c r="W333" s="561">
        <f t="shared" si="635"/>
        <v>0</v>
      </c>
      <c r="X333" s="561">
        <f t="shared" si="635"/>
        <v>73.56</v>
      </c>
      <c r="Y333" s="561">
        <f t="shared" ref="Y333" si="637">SUMIF($B$18:$B$332,$B332,Y$18:Y$332)</f>
        <v>0</v>
      </c>
      <c r="Z333" s="561">
        <f t="shared" si="635"/>
        <v>1050</v>
      </c>
      <c r="AA333" s="561">
        <f t="shared" si="635"/>
        <v>2126</v>
      </c>
      <c r="AB333" s="561">
        <f t="shared" ref="AB333:AC333" si="638">SUMIF($B$18:$B$332,$B332,AB$18:AB$332)</f>
        <v>0</v>
      </c>
      <c r="AC333" s="561">
        <f t="shared" si="638"/>
        <v>0</v>
      </c>
      <c r="AD333" s="561">
        <f t="shared" si="635"/>
        <v>2755</v>
      </c>
      <c r="AE333" s="561">
        <f t="shared" si="635"/>
        <v>445</v>
      </c>
      <c r="AF333" s="561">
        <f t="shared" ref="AF333:AH333" si="639">SUMIF($B$18:$B$332,$B332,AF$18:AF$332)</f>
        <v>382.79999999999995</v>
      </c>
      <c r="AG333" s="561">
        <f t="shared" si="639"/>
        <v>326</v>
      </c>
      <c r="AH333" s="561">
        <f t="shared" si="639"/>
        <v>0</v>
      </c>
      <c r="AI333" s="561">
        <f t="shared" si="635"/>
        <v>25</v>
      </c>
      <c r="AJ333" s="561">
        <f t="shared" si="635"/>
        <v>210</v>
      </c>
      <c r="AK333" s="561">
        <f t="shared" si="635"/>
        <v>0</v>
      </c>
      <c r="AL333" s="561">
        <f t="shared" ref="AL333:AT333" si="640">SUMIF($B$18:$B$332,$B332,AL$18:AL$332)</f>
        <v>0</v>
      </c>
      <c r="AM333" s="561">
        <f t="shared" ref="AM333:AS333" si="641">SUMIF($B$18:$B$332,$B332,AM$18:AM$332)</f>
        <v>0</v>
      </c>
      <c r="AN333" s="561">
        <f t="shared" si="641"/>
        <v>0</v>
      </c>
      <c r="AO333" s="561">
        <f t="shared" si="641"/>
        <v>70.8</v>
      </c>
      <c r="AP333" s="561">
        <f t="shared" si="641"/>
        <v>0</v>
      </c>
      <c r="AQ333" s="561">
        <f t="shared" si="641"/>
        <v>0</v>
      </c>
      <c r="AR333" s="561">
        <f t="shared" si="641"/>
        <v>2.5</v>
      </c>
      <c r="AS333" s="561">
        <f t="shared" si="641"/>
        <v>40</v>
      </c>
      <c r="AT333" s="561">
        <f t="shared" si="640"/>
        <v>0</v>
      </c>
      <c r="AU333" s="561">
        <f t="shared" ref="AU333:BD333" si="642">SUMIF($B$18:$B$332,$B332,AU$18:AU$332)</f>
        <v>120</v>
      </c>
      <c r="AV333" s="561">
        <f t="shared" si="642"/>
        <v>264</v>
      </c>
      <c r="AW333" s="561">
        <f t="shared" si="642"/>
        <v>115</v>
      </c>
      <c r="AX333" s="561">
        <f t="shared" si="642"/>
        <v>320</v>
      </c>
      <c r="AY333" s="561">
        <f t="shared" si="642"/>
        <v>0</v>
      </c>
      <c r="AZ333" s="561">
        <f t="shared" si="642"/>
        <v>0</v>
      </c>
      <c r="BA333" s="561">
        <f t="shared" si="642"/>
        <v>0</v>
      </c>
      <c r="BB333" s="561">
        <f t="shared" si="642"/>
        <v>137.5</v>
      </c>
      <c r="BC333" s="561">
        <f t="shared" si="642"/>
        <v>0</v>
      </c>
      <c r="BD333" s="561">
        <f t="shared" si="642"/>
        <v>0</v>
      </c>
      <c r="BE333" s="562">
        <f t="shared" ref="BE333:BP333" si="643">SUMIF($B$18:$B$332,$B332,BE$18:BE$332)</f>
        <v>1100</v>
      </c>
      <c r="BF333" s="562">
        <f t="shared" si="643"/>
        <v>0</v>
      </c>
      <c r="BG333" s="562">
        <f t="shared" si="643"/>
        <v>0</v>
      </c>
      <c r="BH333" s="562">
        <f t="shared" si="643"/>
        <v>154</v>
      </c>
      <c r="BI333" s="562">
        <f t="shared" ref="BI333:BL333" si="644">SUMIF($B$18:$B$332,$B332,BI$18:BI$332)</f>
        <v>20</v>
      </c>
      <c r="BJ333" s="562">
        <f t="shared" si="644"/>
        <v>45</v>
      </c>
      <c r="BK333" s="562">
        <f t="shared" si="644"/>
        <v>0</v>
      </c>
      <c r="BL333" s="562">
        <f t="shared" si="644"/>
        <v>0</v>
      </c>
      <c r="BM333" s="562">
        <f t="shared" si="643"/>
        <v>0</v>
      </c>
      <c r="BN333" s="563">
        <f t="shared" si="643"/>
        <v>437</v>
      </c>
      <c r="BO333" s="563">
        <f t="shared" si="643"/>
        <v>206.96</v>
      </c>
      <c r="BP333" s="563">
        <f t="shared" si="643"/>
        <v>45</v>
      </c>
      <c r="BQ333" s="563">
        <f t="shared" ref="BQ333" si="645">SUMIF($B$18:$B$332,$B332,BQ$18:BQ$332)</f>
        <v>0</v>
      </c>
      <c r="BR333" s="563">
        <f t="shared" ref="BR333:BU333" si="646">SUMIF($B$18:$B$332,$B332,BR$18:BR$332)</f>
        <v>0</v>
      </c>
      <c r="BS333" s="563">
        <f t="shared" si="646"/>
        <v>0.75</v>
      </c>
      <c r="BT333" s="563">
        <f t="shared" si="646"/>
        <v>0</v>
      </c>
      <c r="BU333" s="563">
        <f t="shared" si="646"/>
        <v>125</v>
      </c>
      <c r="BV333" s="560">
        <f t="shared" ref="BV333:BX333" si="647">SUMIF($B$18:$B$332,$B332,BV$18:BV$332)</f>
        <v>0</v>
      </c>
      <c r="BW333" s="560">
        <f t="shared" si="647"/>
        <v>200</v>
      </c>
      <c r="BX333" s="560">
        <f t="shared" si="647"/>
        <v>0</v>
      </c>
      <c r="BY333" s="560">
        <f t="shared" ref="BY333:BZ333" si="648">SUMIF($B$18:$B$332,$B332,BY$18:BY$332)</f>
        <v>0</v>
      </c>
      <c r="BZ333" s="560">
        <f t="shared" si="648"/>
        <v>325</v>
      </c>
      <c r="CA333" s="560">
        <f t="shared" si="635"/>
        <v>0</v>
      </c>
      <c r="CB333" s="560">
        <f t="shared" si="635"/>
        <v>0</v>
      </c>
      <c r="CC333" s="564">
        <f t="shared" si="635"/>
        <v>0</v>
      </c>
      <c r="CD333" s="564">
        <f t="shared" si="635"/>
        <v>193</v>
      </c>
      <c r="CE333" s="564">
        <f t="shared" si="635"/>
        <v>0</v>
      </c>
      <c r="CF333" s="564">
        <f t="shared" si="635"/>
        <v>576</v>
      </c>
      <c r="CG333" s="564">
        <f t="shared" si="635"/>
        <v>0</v>
      </c>
      <c r="CH333" s="564">
        <f t="shared" si="635"/>
        <v>0</v>
      </c>
      <c r="CI333" s="564">
        <f t="shared" si="635"/>
        <v>0</v>
      </c>
      <c r="CJ333" s="564">
        <f t="shared" ref="CJ333" si="649">SUMIF($B$18:$B$332,$B332,CJ$18:CJ$332)</f>
        <v>0</v>
      </c>
      <c r="CK333" s="564">
        <f t="shared" ref="CK333" si="650">SUMIF($B$18:$B$332,$B332,CK$18:CK$332)</f>
        <v>0</v>
      </c>
      <c r="CL333" s="564">
        <f t="shared" si="635"/>
        <v>0</v>
      </c>
      <c r="CM333" s="564">
        <f t="shared" si="635"/>
        <v>0</v>
      </c>
      <c r="CN333" s="564">
        <f t="shared" ref="CN333:CQ333" si="651">SUMIF($B$18:$B$332,$B332,CN$18:CN$332)</f>
        <v>0</v>
      </c>
      <c r="CO333" s="564">
        <f t="shared" si="651"/>
        <v>170</v>
      </c>
      <c r="CP333" s="564">
        <f t="shared" si="651"/>
        <v>0</v>
      </c>
      <c r="CQ333" s="564">
        <f t="shared" si="651"/>
        <v>0</v>
      </c>
      <c r="CR333" s="564">
        <f t="shared" si="635"/>
        <v>0</v>
      </c>
      <c r="CS333" s="565">
        <f t="shared" si="635"/>
        <v>0</v>
      </c>
      <c r="CT333" s="565">
        <f t="shared" ref="CT333" si="652">SUMIF($B$18:$B$332,$B332,CT$18:CT$332)</f>
        <v>0</v>
      </c>
      <c r="CU333" s="565">
        <f t="shared" si="635"/>
        <v>120</v>
      </c>
      <c r="CV333" s="565">
        <f t="shared" ref="CV333:DE333" si="653">SUMIF($B$18:$B$332,$B332,CV$18:CV$332)</f>
        <v>0</v>
      </c>
      <c r="CW333" s="565">
        <f t="shared" si="653"/>
        <v>120</v>
      </c>
      <c r="CX333" s="565">
        <f t="shared" si="653"/>
        <v>0</v>
      </c>
      <c r="CY333" s="565">
        <f t="shared" si="653"/>
        <v>120</v>
      </c>
      <c r="CZ333" s="565">
        <f t="shared" ref="CZ333" si="654">SUMIF($B$18:$B$332,$B332,CZ$18:CZ$332)</f>
        <v>0</v>
      </c>
      <c r="DA333" s="565">
        <f t="shared" si="653"/>
        <v>0</v>
      </c>
      <c r="DB333" s="565">
        <f t="shared" si="653"/>
        <v>50</v>
      </c>
      <c r="DC333" s="565">
        <f t="shared" si="653"/>
        <v>0</v>
      </c>
      <c r="DD333" s="565">
        <f t="shared" ref="DD333" si="655">SUMIF($B$18:$B$332,$B332,DD$18:DD$332)</f>
        <v>120</v>
      </c>
      <c r="DE333" s="565">
        <f t="shared" si="653"/>
        <v>0</v>
      </c>
      <c r="DF333" s="565">
        <f t="shared" ref="DF333:FD333" si="656">SUMIF($B$18:$B$332,$B332,DF$18:DF$332)</f>
        <v>0</v>
      </c>
      <c r="DG333" s="565">
        <f t="shared" si="656"/>
        <v>120</v>
      </c>
      <c r="DH333" s="565">
        <f t="shared" si="656"/>
        <v>0</v>
      </c>
      <c r="DI333" s="565">
        <f t="shared" ref="DI333:DQ333" si="657">SUMIF($B$18:$B$332,$B332,DI$18:DI$332)</f>
        <v>0</v>
      </c>
      <c r="DJ333" s="565">
        <f t="shared" si="657"/>
        <v>120</v>
      </c>
      <c r="DK333" s="565">
        <f t="shared" si="657"/>
        <v>0</v>
      </c>
      <c r="DL333" s="565">
        <f t="shared" si="657"/>
        <v>0</v>
      </c>
      <c r="DM333" s="565">
        <f t="shared" si="657"/>
        <v>0</v>
      </c>
      <c r="DN333" s="562">
        <f t="shared" si="657"/>
        <v>4.08</v>
      </c>
      <c r="DO333" s="562">
        <f t="shared" si="657"/>
        <v>795</v>
      </c>
      <c r="DP333" s="562">
        <f t="shared" si="657"/>
        <v>164.83999999999997</v>
      </c>
      <c r="DQ333" s="562">
        <f t="shared" si="657"/>
        <v>0.32600000000000001</v>
      </c>
      <c r="DR333" s="562">
        <f t="shared" si="656"/>
        <v>1.43</v>
      </c>
      <c r="DS333" s="562">
        <f t="shared" si="656"/>
        <v>23.56</v>
      </c>
      <c r="DT333" s="562">
        <f t="shared" si="656"/>
        <v>30</v>
      </c>
      <c r="DU333" s="562">
        <f t="shared" si="656"/>
        <v>0</v>
      </c>
      <c r="DV333" s="562">
        <f t="shared" si="656"/>
        <v>0</v>
      </c>
      <c r="DW333" s="562">
        <f t="shared" si="656"/>
        <v>6.1</v>
      </c>
      <c r="DX333" s="562">
        <f t="shared" si="656"/>
        <v>0</v>
      </c>
      <c r="DY333" s="562">
        <f t="shared" ref="DY333:EO333" si="658">SUMIF($B$18:$B$332,$B332,DY$18:DY$332)</f>
        <v>0</v>
      </c>
      <c r="DZ333" s="562">
        <f t="shared" si="658"/>
        <v>0</v>
      </c>
      <c r="EA333" s="562">
        <f t="shared" si="658"/>
        <v>8837.9</v>
      </c>
      <c r="EB333" s="562">
        <f t="shared" si="658"/>
        <v>5714.4</v>
      </c>
      <c r="EC333" s="562">
        <f t="shared" si="658"/>
        <v>2200</v>
      </c>
      <c r="ED333" s="562">
        <f t="shared" si="658"/>
        <v>8</v>
      </c>
      <c r="EE333" s="562">
        <f t="shared" si="658"/>
        <v>0</v>
      </c>
      <c r="EF333" s="562">
        <f t="shared" si="658"/>
        <v>10.5</v>
      </c>
      <c r="EG333" s="562">
        <f t="shared" si="658"/>
        <v>0</v>
      </c>
      <c r="EH333" s="562">
        <f t="shared" si="658"/>
        <v>0</v>
      </c>
      <c r="EI333" s="562">
        <f t="shared" si="658"/>
        <v>8</v>
      </c>
      <c r="EJ333" s="562">
        <f t="shared" si="658"/>
        <v>8</v>
      </c>
      <c r="EK333" s="562">
        <f t="shared" si="658"/>
        <v>4</v>
      </c>
      <c r="EL333" s="562">
        <f t="shared" si="658"/>
        <v>0</v>
      </c>
      <c r="EM333" s="562">
        <f t="shared" si="658"/>
        <v>0</v>
      </c>
      <c r="EN333" s="562">
        <f t="shared" si="658"/>
        <v>0</v>
      </c>
      <c r="EO333" s="562">
        <f t="shared" si="658"/>
        <v>160</v>
      </c>
      <c r="EP333" s="562">
        <f t="shared" ref="EP333:EZ333" si="659">SUMIF($B$18:$B$332,$B332,EP$18:EP$332)</f>
        <v>240</v>
      </c>
      <c r="EQ333" s="562">
        <f t="shared" si="659"/>
        <v>180</v>
      </c>
      <c r="ER333" s="562">
        <f t="shared" si="659"/>
        <v>0</v>
      </c>
      <c r="ES333" s="562">
        <f t="shared" si="659"/>
        <v>0</v>
      </c>
      <c r="ET333" s="562">
        <f t="shared" si="659"/>
        <v>50</v>
      </c>
      <c r="EU333" s="562">
        <f t="shared" si="659"/>
        <v>0</v>
      </c>
      <c r="EV333" s="562">
        <f t="shared" si="659"/>
        <v>0</v>
      </c>
      <c r="EW333" s="562">
        <f t="shared" si="659"/>
        <v>0</v>
      </c>
      <c r="EX333" s="562">
        <f t="shared" si="659"/>
        <v>0</v>
      </c>
      <c r="EY333" s="562">
        <f t="shared" si="659"/>
        <v>0</v>
      </c>
      <c r="EZ333" s="562">
        <f t="shared" si="659"/>
        <v>0</v>
      </c>
      <c r="FA333" s="566">
        <f t="shared" si="656"/>
        <v>13866.5</v>
      </c>
      <c r="FB333" s="567">
        <f t="shared" si="656"/>
        <v>28884.402000000002</v>
      </c>
      <c r="FC333" s="567">
        <f t="shared" si="656"/>
        <v>1634.1299999999999</v>
      </c>
      <c r="FD333" s="568">
        <f t="shared" si="656"/>
        <v>2115</v>
      </c>
      <c r="FE333" s="791" t="str">
        <f>IF(FB333&lt;инфо!$AN$72,FB333-инфо!$AN$72,"")</f>
        <v/>
      </c>
      <c r="FF333" s="157"/>
      <c r="FG333" s="157"/>
      <c r="FH333" s="157"/>
    </row>
    <row r="334" spans="2:168" ht="15.75" customHeight="1" x14ac:dyDescent="0.45">
      <c r="B334" s="141"/>
      <c r="C334" s="142"/>
      <c r="D334" s="139"/>
      <c r="E334" s="57"/>
      <c r="F334" s="816"/>
      <c r="G334" s="816"/>
      <c r="H334" s="56"/>
      <c r="I334" s="52"/>
      <c r="J334" s="81"/>
      <c r="K334" s="81"/>
      <c r="L334" s="81"/>
      <c r="M334" s="81"/>
      <c r="N334" s="81"/>
      <c r="O334" s="81"/>
      <c r="P334" s="81"/>
      <c r="Q334" s="81"/>
      <c r="R334" s="81"/>
      <c r="S334" s="81"/>
      <c r="T334" s="81"/>
      <c r="U334" s="81"/>
      <c r="V334" s="81"/>
      <c r="W334" s="85"/>
      <c r="X334" s="85"/>
      <c r="Y334" s="85"/>
      <c r="Z334" s="85"/>
      <c r="AA334" s="85"/>
      <c r="AB334" s="85"/>
      <c r="AC334" s="85"/>
      <c r="AD334" s="85"/>
      <c r="AE334" s="85"/>
      <c r="AF334" s="85"/>
      <c r="AG334" s="85"/>
      <c r="AH334" s="85"/>
      <c r="AI334" s="85"/>
      <c r="AJ334" s="85"/>
      <c r="AK334" s="85"/>
      <c r="AL334" s="85"/>
      <c r="AM334" s="85"/>
      <c r="AN334" s="85"/>
      <c r="AO334" s="85"/>
      <c r="AP334" s="85"/>
      <c r="AQ334" s="85"/>
      <c r="AR334" s="85"/>
      <c r="AS334" s="85"/>
      <c r="AT334" s="85"/>
      <c r="AU334" s="85"/>
      <c r="AV334" s="85"/>
      <c r="AW334" s="85"/>
      <c r="AX334" s="85"/>
      <c r="AY334" s="85"/>
      <c r="AZ334" s="85"/>
      <c r="BA334" s="85"/>
      <c r="BB334" s="85"/>
      <c r="BC334" s="85"/>
      <c r="BD334" s="85"/>
      <c r="BE334" s="92"/>
      <c r="BF334" s="92"/>
      <c r="BG334" s="92"/>
      <c r="BH334" s="92"/>
      <c r="BI334" s="92"/>
      <c r="BJ334" s="92"/>
      <c r="BK334" s="92"/>
      <c r="BL334" s="92"/>
      <c r="BM334" s="92"/>
      <c r="BN334" s="89"/>
      <c r="BO334" s="89"/>
      <c r="BP334" s="89"/>
      <c r="BQ334" s="89"/>
      <c r="BR334" s="89"/>
      <c r="BS334" s="89"/>
      <c r="BT334" s="89"/>
      <c r="BU334" s="89"/>
      <c r="BV334" s="81"/>
      <c r="BW334" s="81"/>
      <c r="BX334" s="81"/>
      <c r="BY334" s="81"/>
      <c r="BZ334" s="81"/>
      <c r="CA334" s="81"/>
      <c r="CB334" s="266"/>
      <c r="CC334" s="266"/>
      <c r="CD334" s="266"/>
      <c r="CE334" s="266"/>
      <c r="CF334" s="266"/>
      <c r="CG334" s="266"/>
      <c r="CH334" s="266"/>
      <c r="CI334" s="266"/>
      <c r="CJ334" s="266"/>
      <c r="CK334" s="266"/>
      <c r="CL334" s="266"/>
      <c r="CM334" s="266"/>
      <c r="CN334" s="266"/>
      <c r="CO334" s="266"/>
      <c r="CP334" s="266"/>
      <c r="CQ334" s="266"/>
      <c r="CR334" s="266"/>
      <c r="CS334" s="282"/>
      <c r="CT334" s="282"/>
      <c r="CU334" s="282"/>
      <c r="CV334" s="282"/>
      <c r="CW334" s="282"/>
      <c r="CX334" s="282"/>
      <c r="CY334" s="282"/>
      <c r="CZ334" s="283"/>
      <c r="DA334" s="283"/>
      <c r="DB334" s="282"/>
      <c r="DC334" s="282"/>
      <c r="DD334" s="284"/>
      <c r="DE334" s="284"/>
      <c r="DF334" s="301"/>
      <c r="DG334" s="301"/>
      <c r="DH334" s="301"/>
      <c r="DI334" s="301"/>
      <c r="DJ334" s="301"/>
      <c r="DK334" s="301"/>
      <c r="DL334" s="301"/>
      <c r="DM334" s="301"/>
      <c r="DN334" s="296"/>
      <c r="DO334" s="296"/>
      <c r="DP334" s="295"/>
      <c r="DQ334" s="295"/>
      <c r="DR334" s="297"/>
      <c r="DS334" s="295"/>
      <c r="DT334" s="295"/>
      <c r="DU334" s="295"/>
      <c r="DV334" s="295"/>
      <c r="DW334" s="295"/>
      <c r="DX334" s="295"/>
      <c r="DY334" s="302"/>
      <c r="DZ334" s="302"/>
      <c r="EA334" s="303"/>
      <c r="EB334" s="303"/>
      <c r="EC334" s="303"/>
      <c r="ED334" s="303"/>
      <c r="EE334" s="303"/>
      <c r="EF334" s="303"/>
      <c r="EG334" s="303"/>
      <c r="EH334" s="303"/>
      <c r="EI334" s="303"/>
      <c r="EJ334" s="303"/>
      <c r="EK334" s="303"/>
      <c r="EL334" s="303"/>
      <c r="EM334" s="303"/>
      <c r="EN334" s="303"/>
      <c r="EO334" s="303"/>
      <c r="EP334" s="303"/>
      <c r="EQ334" s="303"/>
      <c r="ER334" s="303"/>
      <c r="ES334" s="303"/>
      <c r="ET334" s="303"/>
      <c r="EU334" s="303"/>
      <c r="EV334" s="303"/>
      <c r="EW334" s="303"/>
      <c r="EX334" s="303"/>
      <c r="EY334" s="303"/>
      <c r="EZ334" s="198"/>
      <c r="FA334" s="198"/>
      <c r="FB334" s="198"/>
      <c r="FC334" s="198"/>
      <c r="FD334" s="198"/>
      <c r="FE334" s="769"/>
      <c r="FF334" s="199"/>
      <c r="FG334" s="199"/>
      <c r="FH334" s="199"/>
      <c r="FI334" s="199"/>
      <c r="FJ334" s="199"/>
      <c r="FK334" s="199"/>
      <c r="FL334" s="199"/>
    </row>
    <row r="335" spans="2:168" s="193" customFormat="1" ht="28.5" customHeight="1" x14ac:dyDescent="0.45">
      <c r="B335" s="191"/>
      <c r="C335" s="191"/>
      <c r="D335" s="194"/>
      <c r="E335" s="195"/>
      <c r="F335" s="816"/>
      <c r="G335" s="816"/>
      <c r="H335" s="195"/>
      <c r="I335" s="172" t="s">
        <v>126</v>
      </c>
      <c r="J335" s="95"/>
      <c r="K335" s="95"/>
      <c r="L335" s="95"/>
      <c r="M335" s="95"/>
      <c r="N335" s="95"/>
      <c r="O335" s="95"/>
      <c r="P335" s="181"/>
      <c r="Q335" s="192"/>
      <c r="R335" s="192"/>
      <c r="S335" s="192"/>
      <c r="T335" s="192"/>
      <c r="U335" s="192"/>
      <c r="V335" s="192"/>
      <c r="W335" s="192"/>
      <c r="X335" s="192"/>
      <c r="Y335" s="192"/>
      <c r="Z335" s="192"/>
      <c r="AA335" s="192"/>
      <c r="AB335" s="192"/>
      <c r="AC335" s="192"/>
      <c r="AD335" s="192"/>
      <c r="AE335" s="192"/>
      <c r="AF335" s="192"/>
      <c r="AG335" s="192"/>
      <c r="AH335" s="192"/>
      <c r="AI335" s="192"/>
      <c r="AJ335" s="192"/>
      <c r="AK335" s="192"/>
      <c r="AL335" s="192"/>
      <c r="AM335" s="192"/>
      <c r="AN335" s="192"/>
      <c r="AO335" s="198"/>
      <c r="AP335" s="198"/>
      <c r="AQ335" s="198"/>
      <c r="AR335" s="198"/>
      <c r="AS335" s="302"/>
      <c r="AT335" s="302"/>
      <c r="AU335" s="303"/>
      <c r="AV335" s="303"/>
      <c r="AW335" s="303"/>
      <c r="AX335" s="303"/>
      <c r="AY335" s="303"/>
      <c r="AZ335" s="303"/>
      <c r="BA335" s="303"/>
      <c r="BB335" s="303"/>
      <c r="BC335" s="303"/>
      <c r="BD335" s="302"/>
      <c r="BE335" s="302"/>
      <c r="BF335" s="302"/>
      <c r="BG335" s="200"/>
      <c r="BH335" s="200"/>
      <c r="BI335" s="303"/>
      <c r="BJ335" s="303"/>
      <c r="BK335" s="303"/>
      <c r="BL335" s="303"/>
      <c r="BM335" s="200"/>
      <c r="BN335" s="302"/>
      <c r="BO335" s="302"/>
      <c r="BP335" s="302"/>
      <c r="BQ335" s="302"/>
      <c r="BR335" s="302"/>
      <c r="BS335" s="200"/>
      <c r="BT335" s="200"/>
      <c r="BU335" s="200"/>
      <c r="BV335" s="200"/>
      <c r="BW335" s="200"/>
      <c r="BX335" s="200"/>
      <c r="BY335" s="200"/>
      <c r="BZ335" s="200"/>
      <c r="CA335" s="198"/>
      <c r="CB335" s="267"/>
      <c r="CC335" s="267"/>
      <c r="CD335" s="267"/>
      <c r="CE335" s="267"/>
      <c r="CF335" s="267"/>
      <c r="CG335" s="267"/>
      <c r="CH335" s="267"/>
      <c r="CI335" s="267"/>
      <c r="CJ335" s="267"/>
      <c r="CK335" s="267"/>
      <c r="CL335" s="267"/>
      <c r="CM335" s="267"/>
      <c r="CN335" s="267"/>
      <c r="CO335" s="267"/>
      <c r="CP335" s="267"/>
      <c r="CQ335" s="267"/>
      <c r="CR335" s="267"/>
      <c r="CS335" s="284"/>
      <c r="CT335" s="284"/>
      <c r="CU335" s="284"/>
      <c r="CV335" s="284"/>
      <c r="CW335" s="284"/>
      <c r="CX335" s="284"/>
      <c r="CY335" s="284"/>
      <c r="CZ335" s="284"/>
      <c r="DA335" s="284" t="s">
        <v>184</v>
      </c>
      <c r="DB335" s="284"/>
      <c r="DC335" s="284"/>
      <c r="DD335" s="284"/>
      <c r="DE335" s="284"/>
      <c r="DF335" s="301"/>
      <c r="DG335" s="301"/>
      <c r="DH335" s="301"/>
      <c r="DI335" s="301"/>
      <c r="DJ335" s="301"/>
      <c r="DK335" s="301"/>
      <c r="DL335" s="301"/>
      <c r="DM335" s="301"/>
      <c r="DN335" s="295"/>
      <c r="DO335" s="295"/>
      <c r="DP335" s="295"/>
      <c r="DQ335" s="295"/>
      <c r="DR335" s="295"/>
      <c r="DS335" s="295"/>
      <c r="DT335" s="295"/>
      <c r="DU335" s="295"/>
      <c r="DV335" s="295"/>
      <c r="DW335" s="295"/>
      <c r="DX335" s="295"/>
      <c r="DY335" s="302"/>
      <c r="DZ335" s="302"/>
      <c r="EA335" s="303"/>
      <c r="EB335" s="303"/>
      <c r="EC335" s="303"/>
      <c r="ED335" s="303"/>
      <c r="EE335" s="303"/>
      <c r="EF335" s="303"/>
      <c r="EG335" s="303"/>
      <c r="EH335" s="303"/>
      <c r="EI335" s="303"/>
      <c r="EJ335" s="303"/>
      <c r="EK335" s="303"/>
      <c r="EL335" s="303"/>
      <c r="EM335" s="303"/>
      <c r="EN335" s="303"/>
      <c r="EO335" s="303"/>
      <c r="EP335" s="303"/>
      <c r="EQ335" s="303"/>
      <c r="ER335" s="303"/>
      <c r="ES335" s="303"/>
      <c r="ET335" s="303"/>
      <c r="EU335" s="303"/>
      <c r="EV335" s="303"/>
      <c r="EW335" s="303"/>
      <c r="EX335" s="303"/>
      <c r="EY335" s="303"/>
      <c r="EZ335" s="198"/>
      <c r="FA335" s="198"/>
      <c r="FB335" s="198"/>
      <c r="FC335" s="198"/>
      <c r="FD335" s="198"/>
      <c r="FE335" s="769"/>
      <c r="FF335" s="199"/>
      <c r="FG335" s="199"/>
      <c r="FH335" s="199"/>
      <c r="FI335" s="199"/>
      <c r="FJ335" s="199"/>
      <c r="FK335" s="199"/>
      <c r="FL335" s="199"/>
    </row>
    <row r="336" spans="2:168" s="193" customFormat="1" ht="13.5" customHeight="1" x14ac:dyDescent="0.45">
      <c r="B336" s="191"/>
      <c r="C336" s="191"/>
      <c r="D336" s="194"/>
      <c r="E336" s="195"/>
      <c r="F336" s="816"/>
      <c r="G336" s="816"/>
      <c r="H336" s="195"/>
      <c r="I336" s="52" t="s">
        <v>101</v>
      </c>
      <c r="J336" s="191"/>
      <c r="K336" s="191"/>
      <c r="L336" s="191"/>
      <c r="M336" s="191"/>
      <c r="N336" s="191"/>
      <c r="O336" s="191"/>
      <c r="P336" s="191"/>
      <c r="Q336" s="191"/>
      <c r="R336" s="191"/>
      <c r="S336" s="191"/>
      <c r="T336" s="191"/>
      <c r="U336" s="191"/>
      <c r="V336" s="191"/>
      <c r="W336" s="191"/>
      <c r="X336" s="191"/>
      <c r="Y336" s="191"/>
      <c r="Z336" s="191"/>
      <c r="AA336" s="191"/>
      <c r="AB336" s="191"/>
      <c r="AC336" s="191"/>
      <c r="AD336" s="191"/>
      <c r="AE336" s="191"/>
      <c r="AF336" s="191"/>
      <c r="AG336" s="191"/>
      <c r="AH336" s="191"/>
      <c r="AI336" s="191"/>
      <c r="AJ336" s="191"/>
      <c r="AK336" s="191"/>
      <c r="AL336" s="191"/>
      <c r="AM336" s="191"/>
      <c r="AN336" s="191"/>
      <c r="AO336" s="198"/>
      <c r="AP336" s="198"/>
      <c r="AQ336" s="198"/>
      <c r="AR336" s="198"/>
      <c r="AS336" s="302"/>
      <c r="AT336" s="302"/>
      <c r="AU336" s="303"/>
      <c r="AV336" s="303"/>
      <c r="AW336" s="303"/>
      <c r="AX336" s="303"/>
      <c r="AY336" s="303"/>
      <c r="AZ336" s="303"/>
      <c r="BA336" s="303"/>
      <c r="BB336" s="303"/>
      <c r="BC336" s="303"/>
      <c r="BD336" s="302"/>
      <c r="BE336" s="302"/>
      <c r="BF336" s="302"/>
      <c r="BG336" s="200"/>
      <c r="BH336" s="200"/>
      <c r="BI336" s="303"/>
      <c r="BJ336" s="303"/>
      <c r="BK336" s="303"/>
      <c r="BL336" s="303"/>
      <c r="BM336" s="200"/>
      <c r="BN336" s="302"/>
      <c r="BO336" s="302"/>
      <c r="BP336" s="302"/>
      <c r="BQ336" s="302"/>
      <c r="BR336" s="302"/>
      <c r="BS336" s="200"/>
      <c r="BT336" s="200"/>
      <c r="BU336" s="200"/>
      <c r="BV336" s="200"/>
      <c r="BW336" s="200"/>
      <c r="BX336" s="200"/>
      <c r="BY336" s="200"/>
      <c r="BZ336" s="200"/>
      <c r="CA336" s="198"/>
      <c r="CB336" s="267"/>
      <c r="CC336" s="267"/>
      <c r="CD336" s="267"/>
      <c r="CE336" s="267"/>
      <c r="CF336" s="267"/>
      <c r="CG336" s="267"/>
      <c r="CH336" s="267"/>
      <c r="CI336" s="267"/>
      <c r="CJ336" s="267"/>
      <c r="CK336" s="267"/>
      <c r="CL336" s="267"/>
      <c r="CM336" s="267"/>
      <c r="CN336" s="267"/>
      <c r="CO336" s="267"/>
      <c r="CP336" s="267"/>
      <c r="CQ336" s="267"/>
      <c r="CR336" s="267"/>
      <c r="CS336" s="284"/>
      <c r="CT336" s="284"/>
      <c r="CU336" s="284" t="s">
        <v>101</v>
      </c>
      <c r="CV336" s="284"/>
      <c r="CW336" s="284"/>
      <c r="CX336" s="284"/>
      <c r="CY336" s="284"/>
      <c r="CZ336" s="284"/>
      <c r="DA336" s="284"/>
      <c r="DB336" s="284"/>
      <c r="DC336" s="284"/>
      <c r="DD336" s="284"/>
      <c r="DE336" s="284"/>
      <c r="DF336" s="301"/>
      <c r="DG336" s="301"/>
      <c r="DH336" s="301"/>
      <c r="DI336" s="301"/>
      <c r="DJ336" s="301"/>
      <c r="DK336" s="301"/>
      <c r="DL336" s="301"/>
      <c r="DM336" s="301"/>
      <c r="DN336" s="295"/>
      <c r="DO336" s="295"/>
      <c r="DP336" s="295"/>
      <c r="DQ336" s="295"/>
      <c r="DR336" s="295"/>
      <c r="DS336" s="295"/>
      <c r="DT336" s="295"/>
      <c r="DU336" s="295"/>
      <c r="DV336" s="295"/>
      <c r="DW336" s="295"/>
      <c r="DX336" s="295"/>
      <c r="DY336" s="302"/>
      <c r="DZ336" s="302"/>
      <c r="EA336" s="303"/>
      <c r="EB336" s="303"/>
      <c r="EC336" s="303"/>
      <c r="ED336" s="303"/>
      <c r="EE336" s="303"/>
      <c r="EF336" s="303"/>
      <c r="EG336" s="303"/>
      <c r="EH336" s="303"/>
      <c r="EI336" s="303"/>
      <c r="EJ336" s="303"/>
      <c r="EK336" s="303"/>
      <c r="EL336" s="303"/>
      <c r="EM336" s="303"/>
      <c r="EN336" s="303"/>
      <c r="EO336" s="303"/>
      <c r="EP336" s="303"/>
      <c r="EQ336" s="303"/>
      <c r="ER336" s="303"/>
      <c r="ES336" s="303"/>
      <c r="ET336" s="303"/>
      <c r="EU336" s="303"/>
      <c r="EV336" s="303"/>
      <c r="EW336" s="303"/>
      <c r="EX336" s="303"/>
      <c r="EY336" s="303"/>
      <c r="EZ336" s="198"/>
      <c r="FA336" s="198"/>
      <c r="FB336" s="198"/>
      <c r="FC336" s="198"/>
      <c r="FD336" s="198"/>
      <c r="FE336" s="769"/>
      <c r="FF336" s="199"/>
      <c r="FG336" s="199"/>
      <c r="FH336" s="199"/>
      <c r="FI336" s="199"/>
      <c r="FJ336" s="199"/>
      <c r="FK336" s="199"/>
      <c r="FL336" s="199"/>
    </row>
    <row r="337" spans="2:168" s="193" customFormat="1" x14ac:dyDescent="0.45">
      <c r="B337" s="191"/>
      <c r="C337" s="191"/>
      <c r="D337" s="194"/>
      <c r="E337" s="195"/>
      <c r="F337" s="816"/>
      <c r="G337" s="816"/>
      <c r="H337" s="195"/>
      <c r="I337" s="201" t="s">
        <v>182</v>
      </c>
      <c r="J337" s="172"/>
      <c r="K337" s="172"/>
      <c r="L337" s="172"/>
      <c r="M337" s="172"/>
      <c r="N337" s="172"/>
      <c r="O337" s="196"/>
      <c r="P337" s="196"/>
      <c r="Q337" s="196"/>
      <c r="R337" s="196"/>
      <c r="S337" s="196"/>
      <c r="T337" s="196"/>
      <c r="U337" s="196"/>
      <c r="V337" s="196"/>
      <c r="W337" s="196"/>
      <c r="X337" s="196"/>
      <c r="Y337" s="196"/>
      <c r="Z337" s="196"/>
      <c r="AA337" s="196"/>
      <c r="AB337" s="196"/>
      <c r="AC337" s="196"/>
      <c r="AD337" s="196"/>
      <c r="AE337" s="196"/>
      <c r="AF337" s="196"/>
      <c r="AG337" s="196"/>
      <c r="AH337" s="196"/>
      <c r="AI337" s="196"/>
      <c r="AJ337" s="196"/>
      <c r="AK337" s="196"/>
      <c r="AL337" s="196"/>
      <c r="AM337" s="196"/>
      <c r="AN337" s="196"/>
      <c r="AO337" s="172"/>
      <c r="AP337" s="172"/>
      <c r="AQ337" s="172"/>
      <c r="AR337" s="172"/>
      <c r="AS337" s="172"/>
      <c r="AT337" s="172"/>
      <c r="AU337" s="172"/>
      <c r="AV337" s="172"/>
      <c r="AW337" s="172"/>
      <c r="AX337" s="172"/>
      <c r="AY337" s="172"/>
      <c r="AZ337" s="172"/>
      <c r="BA337" s="172"/>
      <c r="BB337" s="172"/>
      <c r="BC337" s="172"/>
      <c r="BD337" s="172"/>
      <c r="BE337" s="172"/>
      <c r="BF337" s="172"/>
      <c r="BG337" s="172"/>
      <c r="BH337" s="172"/>
      <c r="BI337" s="172"/>
      <c r="BJ337" s="172"/>
      <c r="BK337" s="172"/>
      <c r="BL337" s="172"/>
      <c r="BM337" s="172"/>
      <c r="BN337" s="172"/>
      <c r="BO337" s="172"/>
      <c r="BP337" s="172"/>
      <c r="BQ337" s="172"/>
      <c r="BR337" s="172"/>
      <c r="BS337" s="172"/>
      <c r="BT337" s="172"/>
      <c r="BU337" s="172"/>
      <c r="BV337" s="172"/>
      <c r="BW337" s="172"/>
      <c r="BX337" s="172"/>
      <c r="BY337" s="172"/>
      <c r="BZ337" s="172"/>
      <c r="CA337" s="172"/>
      <c r="CB337" s="268"/>
      <c r="CC337" s="268"/>
      <c r="CD337" s="268"/>
      <c r="CE337" s="268"/>
      <c r="CF337" s="268"/>
      <c r="CG337" s="268"/>
      <c r="CH337" s="268"/>
      <c r="CI337" s="268"/>
      <c r="CJ337" s="268"/>
      <c r="CK337" s="268"/>
      <c r="CL337" s="268"/>
      <c r="CM337" s="268"/>
      <c r="CN337" s="268"/>
      <c r="CO337" s="268"/>
      <c r="CP337" s="268"/>
      <c r="CQ337" s="268"/>
      <c r="CR337" s="268"/>
      <c r="CS337" s="284"/>
      <c r="CT337" s="284"/>
      <c r="CU337" s="284"/>
      <c r="CV337" s="284"/>
      <c r="CW337" s="284"/>
      <c r="CX337" s="284"/>
      <c r="CY337" s="284"/>
      <c r="CZ337" s="284"/>
      <c r="DA337" s="284" t="s">
        <v>183</v>
      </c>
      <c r="DB337" s="284"/>
      <c r="DC337" s="284"/>
      <c r="DD337" s="284"/>
      <c r="DE337" s="284"/>
      <c r="DF337" s="301"/>
      <c r="DG337" s="301"/>
      <c r="DH337" s="301"/>
      <c r="DI337" s="301"/>
      <c r="DJ337" s="301"/>
      <c r="DK337" s="301"/>
      <c r="DL337" s="301"/>
      <c r="DM337" s="301"/>
      <c r="DN337" s="295"/>
      <c r="DO337" s="295"/>
      <c r="DP337" s="295"/>
      <c r="DQ337" s="295"/>
      <c r="DR337" s="297"/>
      <c r="DS337" s="295"/>
      <c r="DT337" s="295"/>
      <c r="DU337" s="295"/>
      <c r="DV337" s="295"/>
      <c r="DW337" s="295"/>
      <c r="DX337" s="295"/>
      <c r="DY337" s="302"/>
      <c r="DZ337" s="302"/>
      <c r="EA337" s="303"/>
      <c r="EB337" s="303"/>
      <c r="EC337" s="303"/>
      <c r="ED337" s="303"/>
      <c r="EE337" s="303"/>
      <c r="EF337" s="303"/>
      <c r="EG337" s="303"/>
      <c r="EH337" s="303"/>
      <c r="EI337" s="303"/>
      <c r="EJ337" s="303"/>
      <c r="EK337" s="303"/>
      <c r="EL337" s="303"/>
      <c r="EM337" s="303"/>
      <c r="EN337" s="303"/>
      <c r="EO337" s="303"/>
      <c r="EP337" s="303"/>
      <c r="EQ337" s="303"/>
      <c r="ER337" s="303"/>
      <c r="ES337" s="303"/>
      <c r="ET337" s="303"/>
      <c r="EU337" s="303"/>
      <c r="EV337" s="303"/>
      <c r="EW337" s="303"/>
      <c r="EX337" s="303"/>
      <c r="EY337" s="303"/>
      <c r="EZ337" s="198"/>
      <c r="FA337" s="198"/>
      <c r="FB337" s="198"/>
      <c r="FC337" s="198"/>
      <c r="FD337" s="198"/>
      <c r="FE337" s="769"/>
      <c r="FF337" s="199"/>
      <c r="FG337" s="199"/>
      <c r="FH337" s="199"/>
      <c r="FI337" s="199"/>
      <c r="FJ337" s="199"/>
      <c r="FK337" s="199"/>
      <c r="FL337" s="199"/>
    </row>
    <row r="338" spans="2:168" s="193" customFormat="1" x14ac:dyDescent="0.45">
      <c r="B338" s="191"/>
      <c r="C338" s="191"/>
      <c r="D338" s="194"/>
      <c r="E338" s="195"/>
      <c r="F338" s="816"/>
      <c r="G338" s="816"/>
      <c r="H338" s="195"/>
      <c r="I338" s="52"/>
      <c r="J338" s="191"/>
      <c r="K338" s="191"/>
      <c r="L338" s="191"/>
      <c r="M338" s="191"/>
      <c r="N338" s="191"/>
      <c r="O338" s="191"/>
      <c r="P338" s="191"/>
      <c r="Q338" s="191"/>
      <c r="R338" s="191"/>
      <c r="S338" s="191"/>
      <c r="T338" s="191"/>
      <c r="U338" s="191"/>
      <c r="V338" s="191"/>
      <c r="W338" s="191"/>
      <c r="X338" s="191"/>
      <c r="Y338" s="191"/>
      <c r="Z338" s="191"/>
      <c r="AA338" s="191"/>
      <c r="AB338" s="191"/>
      <c r="AC338" s="191"/>
      <c r="AD338" s="191"/>
      <c r="AE338" s="191"/>
      <c r="AF338" s="191"/>
      <c r="AG338" s="191"/>
      <c r="AH338" s="191"/>
      <c r="AI338" s="191"/>
      <c r="AJ338" s="191"/>
      <c r="AK338" s="191"/>
      <c r="AL338" s="191"/>
      <c r="AM338" s="191"/>
      <c r="AN338" s="191"/>
      <c r="AO338" s="198"/>
      <c r="AP338" s="198"/>
      <c r="AQ338" s="198"/>
      <c r="AR338" s="198"/>
      <c r="AS338" s="302"/>
      <c r="AT338" s="302"/>
      <c r="AU338" s="303"/>
      <c r="AV338" s="303"/>
      <c r="AW338" s="303"/>
      <c r="AX338" s="303"/>
      <c r="AY338" s="303"/>
      <c r="AZ338" s="303"/>
      <c r="BA338" s="303"/>
      <c r="BB338" s="303"/>
      <c r="BC338" s="303"/>
      <c r="BD338" s="302"/>
      <c r="BE338" s="302"/>
      <c r="BF338" s="302"/>
      <c r="BG338" s="200"/>
      <c r="BH338" s="200"/>
      <c r="BI338" s="303"/>
      <c r="BJ338" s="303"/>
      <c r="BK338" s="303"/>
      <c r="BL338" s="303"/>
      <c r="BM338" s="200"/>
      <c r="BN338" s="302"/>
      <c r="BO338" s="302"/>
      <c r="BP338" s="302"/>
      <c r="BQ338" s="302"/>
      <c r="BR338" s="302"/>
      <c r="BS338" s="200"/>
      <c r="BT338" s="200"/>
      <c r="BU338" s="200"/>
      <c r="BV338" s="200"/>
      <c r="BW338" s="200"/>
      <c r="BX338" s="200"/>
      <c r="BY338" s="200"/>
      <c r="BZ338" s="200"/>
      <c r="CA338" s="198"/>
      <c r="CB338" s="267"/>
      <c r="CC338" s="267"/>
      <c r="CD338" s="267"/>
      <c r="CE338" s="267"/>
      <c r="CF338" s="267"/>
      <c r="CG338" s="267"/>
      <c r="CH338" s="267"/>
      <c r="CI338" s="267"/>
      <c r="CJ338" s="267"/>
      <c r="CK338" s="267"/>
      <c r="CL338" s="267"/>
      <c r="CM338" s="267"/>
      <c r="CN338" s="267"/>
      <c r="CO338" s="267"/>
      <c r="CP338" s="267"/>
      <c r="CQ338" s="267"/>
      <c r="CR338" s="267"/>
      <c r="CS338" s="284"/>
      <c r="CT338" s="284"/>
      <c r="CU338" s="284"/>
      <c r="CV338" s="284"/>
      <c r="CW338" s="284"/>
      <c r="CX338" s="284"/>
      <c r="CY338" s="284"/>
      <c r="CZ338" s="284"/>
      <c r="DA338" s="284"/>
      <c r="DB338" s="284"/>
      <c r="DC338" s="284"/>
      <c r="DD338" s="284"/>
      <c r="DE338" s="284"/>
      <c r="DF338" s="301"/>
      <c r="DG338" s="301"/>
      <c r="DH338" s="301"/>
      <c r="DI338" s="301"/>
      <c r="DJ338" s="301"/>
      <c r="DK338" s="301"/>
      <c r="DL338" s="301"/>
      <c r="DM338" s="301"/>
      <c r="DN338" s="296"/>
      <c r="DO338" s="296"/>
      <c r="DP338" s="295"/>
      <c r="DQ338" s="295"/>
      <c r="DR338" s="297"/>
      <c r="DS338" s="295"/>
      <c r="DT338" s="295"/>
      <c r="DU338" s="295"/>
      <c r="DV338" s="295"/>
      <c r="DW338" s="295"/>
      <c r="DX338" s="295"/>
      <c r="DY338" s="302"/>
      <c r="DZ338" s="302"/>
      <c r="EA338" s="303"/>
      <c r="EB338" s="303"/>
      <c r="EC338" s="303"/>
      <c r="ED338" s="303"/>
      <c r="EE338" s="303"/>
      <c r="EF338" s="303"/>
      <c r="EG338" s="303"/>
      <c r="EH338" s="303"/>
      <c r="EI338" s="303"/>
      <c r="EJ338" s="303"/>
      <c r="EK338" s="303"/>
      <c r="EL338" s="303"/>
      <c r="EM338" s="303"/>
      <c r="EN338" s="303"/>
      <c r="EO338" s="303"/>
      <c r="EP338" s="303"/>
      <c r="EQ338" s="303"/>
      <c r="ER338" s="303"/>
      <c r="ES338" s="303"/>
      <c r="ET338" s="303"/>
      <c r="EU338" s="303"/>
      <c r="EV338" s="303"/>
      <c r="EW338" s="303"/>
      <c r="EX338" s="303"/>
      <c r="EY338" s="303"/>
      <c r="EZ338" s="198"/>
      <c r="FA338" s="198"/>
      <c r="FB338" s="198"/>
      <c r="FC338" s="198"/>
      <c r="FD338" s="198"/>
      <c r="FE338" s="769"/>
      <c r="FF338" s="199"/>
      <c r="FG338" s="199"/>
      <c r="FH338" s="199"/>
      <c r="FI338" s="199"/>
      <c r="FJ338" s="199"/>
      <c r="FK338" s="199"/>
      <c r="FL338" s="199"/>
    </row>
    <row r="339" spans="2:168" s="634" customFormat="1" ht="23.25" x14ac:dyDescent="0.35">
      <c r="B339" s="619"/>
      <c r="C339" s="619"/>
      <c r="D339" s="139"/>
      <c r="E339" s="620"/>
      <c r="F339" s="820"/>
      <c r="G339" s="820"/>
      <c r="H339" s="620"/>
      <c r="I339" s="621">
        <f>$CB$4-3</f>
        <v>45124</v>
      </c>
      <c r="J339" s="619"/>
      <c r="K339" s="619"/>
      <c r="L339" s="619"/>
      <c r="M339" s="619"/>
      <c r="N339" s="619"/>
      <c r="O339" s="619"/>
      <c r="P339" s="619"/>
      <c r="Q339" s="619"/>
      <c r="R339" s="619"/>
      <c r="S339" s="619"/>
      <c r="T339" s="619"/>
      <c r="U339" s="619"/>
      <c r="V339" s="619"/>
      <c r="W339" s="619"/>
      <c r="X339" s="619"/>
      <c r="Y339" s="619"/>
      <c r="Z339" s="619"/>
      <c r="AA339" s="619"/>
      <c r="AB339" s="619"/>
      <c r="AC339" s="619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3"/>
      <c r="AP339" s="623"/>
      <c r="AQ339" s="623"/>
      <c r="AR339" s="623"/>
      <c r="AS339" s="623"/>
      <c r="AT339" s="623"/>
      <c r="AU339" s="623"/>
      <c r="AV339" s="623"/>
      <c r="AW339" s="623"/>
      <c r="AX339" s="623"/>
      <c r="AY339" s="623"/>
      <c r="AZ339" s="623"/>
      <c r="BA339" s="623"/>
      <c r="BB339" s="623"/>
      <c r="BC339" s="623"/>
      <c r="BD339" s="623"/>
      <c r="BE339" s="623"/>
      <c r="BF339" s="623"/>
      <c r="BG339" s="623"/>
      <c r="BH339" s="623"/>
      <c r="BI339" s="623"/>
      <c r="BJ339" s="623"/>
      <c r="BK339" s="623"/>
      <c r="BL339" s="623"/>
      <c r="BM339" s="623"/>
      <c r="BN339" s="623"/>
      <c r="BO339" s="623"/>
      <c r="BP339" s="623"/>
      <c r="BQ339" s="623"/>
      <c r="BR339" s="623"/>
      <c r="BS339" s="623"/>
      <c r="BT339" s="623"/>
      <c r="BU339" s="623"/>
      <c r="BV339" s="624"/>
      <c r="BW339" s="624"/>
      <c r="BX339" s="624"/>
      <c r="BY339" s="624"/>
      <c r="BZ339" s="624"/>
      <c r="CA339" s="624"/>
      <c r="CB339" s="625"/>
      <c r="CC339" s="625"/>
      <c r="CD339" s="625"/>
      <c r="CE339" s="625"/>
      <c r="CF339" s="625"/>
      <c r="CG339" s="625"/>
      <c r="CH339" s="625"/>
      <c r="CI339" s="625"/>
      <c r="CJ339" s="625"/>
      <c r="CK339" s="625"/>
      <c r="CL339" s="625"/>
      <c r="CM339" s="625"/>
      <c r="CN339" s="625"/>
      <c r="CO339" s="625"/>
      <c r="CP339" s="625"/>
      <c r="CQ339" s="625"/>
      <c r="CR339" s="625"/>
      <c r="CS339" s="626"/>
      <c r="CT339" s="626"/>
      <c r="CU339" s="627"/>
      <c r="CV339" s="628"/>
      <c r="CW339" s="628"/>
      <c r="CX339" s="629"/>
      <c r="CY339" s="629"/>
      <c r="CZ339" s="629"/>
      <c r="DA339" s="1016">
        <f>$CB$4-3</f>
        <v>45124</v>
      </c>
      <c r="DB339" s="1016"/>
      <c r="DC339" s="1016"/>
      <c r="DD339" s="1016"/>
      <c r="DE339" s="626"/>
      <c r="DF339" s="626"/>
      <c r="DG339" s="626"/>
      <c r="DH339" s="626"/>
      <c r="DI339" s="626"/>
      <c r="DJ339" s="626"/>
      <c r="DK339" s="626"/>
      <c r="DL339" s="626"/>
      <c r="DM339" s="626"/>
      <c r="DN339" s="630"/>
      <c r="DO339" s="630"/>
      <c r="DP339" s="631"/>
      <c r="DQ339" s="631"/>
      <c r="DR339" s="632"/>
      <c r="DS339" s="631"/>
      <c r="DT339" s="631"/>
      <c r="DU339" s="631"/>
      <c r="DV339" s="631"/>
      <c r="DW339" s="631"/>
      <c r="DX339" s="631"/>
      <c r="DY339" s="624"/>
      <c r="DZ339" s="624"/>
      <c r="EA339" s="624"/>
      <c r="EB339" s="624"/>
      <c r="EC339" s="624"/>
      <c r="ED339" s="624"/>
      <c r="EE339" s="624"/>
      <c r="EF339" s="624"/>
      <c r="EG339" s="624"/>
      <c r="EH339" s="624"/>
      <c r="EI339" s="624"/>
      <c r="EJ339" s="624"/>
      <c r="EK339" s="624"/>
      <c r="EL339" s="624"/>
      <c r="EM339" s="624"/>
      <c r="EN339" s="624"/>
      <c r="EO339" s="624"/>
      <c r="EP339" s="624"/>
      <c r="EQ339" s="624"/>
      <c r="ER339" s="624"/>
      <c r="ES339" s="624"/>
      <c r="ET339" s="624"/>
      <c r="EU339" s="624"/>
      <c r="EV339" s="624"/>
      <c r="EW339" s="624"/>
      <c r="EX339" s="624"/>
      <c r="EY339" s="624"/>
      <c r="EZ339" s="624"/>
      <c r="FA339" s="624"/>
      <c r="FB339" s="624"/>
      <c r="FC339" s="624"/>
      <c r="FD339" s="624"/>
      <c r="FE339" s="770"/>
      <c r="FF339" s="633"/>
      <c r="FG339" s="633"/>
      <c r="FH339" s="633"/>
      <c r="FI339" s="633"/>
      <c r="FJ339" s="633"/>
      <c r="FK339" s="633"/>
      <c r="FL339" s="633"/>
    </row>
    <row r="340" spans="2:168" s="193" customFormat="1" x14ac:dyDescent="0.45">
      <c r="B340" s="191"/>
      <c r="C340" s="191"/>
      <c r="D340" s="194"/>
      <c r="E340" s="195"/>
      <c r="F340" s="816"/>
      <c r="G340" s="816"/>
      <c r="H340" s="195"/>
      <c r="I340" s="52"/>
      <c r="J340" s="191"/>
      <c r="K340" s="191"/>
      <c r="L340" s="191"/>
      <c r="M340" s="191"/>
      <c r="N340" s="191"/>
      <c r="O340" s="191"/>
      <c r="P340" s="191"/>
      <c r="Q340" s="191"/>
      <c r="R340" s="191"/>
      <c r="S340" s="191"/>
      <c r="T340" s="191"/>
      <c r="U340" s="191"/>
      <c r="V340" s="191"/>
      <c r="W340" s="191"/>
      <c r="X340" s="191"/>
      <c r="Y340" s="191"/>
      <c r="Z340" s="191"/>
      <c r="AA340" s="191"/>
      <c r="AB340" s="191"/>
      <c r="AC340" s="191"/>
      <c r="AD340" s="191"/>
      <c r="AE340" s="191"/>
      <c r="AF340" s="191"/>
      <c r="AG340" s="191"/>
      <c r="AH340" s="191"/>
      <c r="AI340" s="191"/>
      <c r="AJ340" s="191"/>
      <c r="AK340" s="191"/>
      <c r="AL340" s="191"/>
      <c r="AM340" s="191"/>
      <c r="AN340" s="191"/>
      <c r="AO340" s="198"/>
      <c r="AP340" s="198"/>
      <c r="AQ340" s="198"/>
      <c r="AR340" s="198"/>
      <c r="AS340" s="302"/>
      <c r="AT340" s="302"/>
      <c r="AU340" s="303"/>
      <c r="AV340" s="303"/>
      <c r="AW340" s="303"/>
      <c r="AX340" s="303"/>
      <c r="AY340" s="303"/>
      <c r="AZ340" s="303"/>
      <c r="BA340" s="303"/>
      <c r="BB340" s="303"/>
      <c r="BC340" s="303"/>
      <c r="BD340" s="302"/>
      <c r="BE340" s="302"/>
      <c r="BF340" s="302"/>
      <c r="BG340" s="200"/>
      <c r="BH340" s="200"/>
      <c r="BI340" s="303"/>
      <c r="BJ340" s="303"/>
      <c r="BK340" s="303"/>
      <c r="BL340" s="303"/>
      <c r="BM340" s="200"/>
      <c r="BN340" s="302"/>
      <c r="BO340" s="302"/>
      <c r="BP340" s="302"/>
      <c r="BQ340" s="302"/>
      <c r="BR340" s="302"/>
      <c r="BS340" s="200"/>
      <c r="BT340" s="200"/>
      <c r="BU340" s="200"/>
      <c r="BV340" s="200"/>
      <c r="BW340" s="200"/>
      <c r="BX340" s="200"/>
      <c r="BY340" s="200"/>
      <c r="BZ340" s="200"/>
      <c r="CA340" s="198"/>
      <c r="CB340" s="267"/>
      <c r="CC340" s="267"/>
      <c r="CD340" s="267"/>
      <c r="CE340" s="267"/>
      <c r="CF340" s="267"/>
      <c r="CG340" s="267"/>
      <c r="CH340" s="267"/>
      <c r="CI340" s="267"/>
      <c r="CJ340" s="267"/>
      <c r="CK340" s="267"/>
      <c r="CL340" s="267"/>
      <c r="CM340" s="267"/>
      <c r="CN340" s="267"/>
      <c r="CO340" s="267"/>
      <c r="CP340" s="267"/>
      <c r="CQ340" s="267"/>
      <c r="CR340" s="267"/>
      <c r="CS340" s="284"/>
      <c r="CT340" s="284"/>
      <c r="CU340" s="284"/>
      <c r="CV340" s="284"/>
      <c r="CW340" s="284"/>
      <c r="CX340" s="1006"/>
      <c r="CY340" s="1006"/>
      <c r="CZ340" s="1006"/>
      <c r="DA340" s="1006"/>
      <c r="DB340" s="1006"/>
      <c r="DC340" s="284"/>
      <c r="DD340" s="284"/>
      <c r="DE340" s="284"/>
      <c r="DF340" s="301"/>
      <c r="DG340" s="301"/>
      <c r="DH340" s="301"/>
      <c r="DI340" s="301"/>
      <c r="DJ340" s="301"/>
      <c r="DK340" s="301"/>
      <c r="DL340" s="301"/>
      <c r="DM340" s="301"/>
      <c r="DN340" s="296"/>
      <c r="DO340" s="296"/>
      <c r="DP340" s="295"/>
      <c r="DQ340" s="295"/>
      <c r="DR340" s="297"/>
      <c r="DS340" s="295"/>
      <c r="DT340" s="295"/>
      <c r="DU340" s="295"/>
      <c r="DV340" s="295"/>
      <c r="DW340" s="295"/>
      <c r="DX340" s="295"/>
      <c r="DY340" s="302"/>
      <c r="DZ340" s="302"/>
      <c r="EA340" s="303"/>
      <c r="EB340" s="303"/>
      <c r="EC340" s="303"/>
      <c r="ED340" s="303"/>
      <c r="EE340" s="303"/>
      <c r="EF340" s="303"/>
      <c r="EG340" s="303"/>
      <c r="EH340" s="303"/>
      <c r="EI340" s="303"/>
      <c r="EJ340" s="303"/>
      <c r="EK340" s="303"/>
      <c r="EL340" s="303"/>
      <c r="EM340" s="303"/>
      <c r="EN340" s="303"/>
      <c r="EO340" s="303"/>
      <c r="EP340" s="303"/>
      <c r="EQ340" s="303"/>
      <c r="ER340" s="303"/>
      <c r="ES340" s="303"/>
      <c r="ET340" s="303"/>
      <c r="EU340" s="303"/>
      <c r="EV340" s="303"/>
      <c r="EW340" s="303"/>
      <c r="EX340" s="303"/>
      <c r="EY340" s="303"/>
      <c r="EZ340" s="198"/>
      <c r="FA340" s="198"/>
      <c r="FB340" s="198"/>
      <c r="FC340" s="198"/>
      <c r="FD340" s="198"/>
      <c r="FE340" s="769"/>
      <c r="FF340" s="199"/>
      <c r="FG340" s="199"/>
      <c r="FH340" s="199"/>
      <c r="FI340" s="199"/>
      <c r="FJ340" s="199"/>
      <c r="FK340" s="199"/>
      <c r="FL340" s="199"/>
    </row>
    <row r="341" spans="2:168" s="193" customFormat="1" x14ac:dyDescent="0.45">
      <c r="B341" s="191"/>
      <c r="C341" s="191"/>
      <c r="D341" s="194"/>
      <c r="E341" s="195"/>
      <c r="F341" s="816"/>
      <c r="G341" s="816"/>
      <c r="H341" s="195"/>
      <c r="I341" s="52"/>
      <c r="J341" s="191"/>
      <c r="K341" s="191"/>
      <c r="L341" s="191"/>
      <c r="M341" s="191"/>
      <c r="N341" s="191"/>
      <c r="O341" s="191"/>
      <c r="P341" s="191"/>
      <c r="Q341" s="191"/>
      <c r="R341" s="191"/>
      <c r="S341" s="191"/>
      <c r="T341" s="191"/>
      <c r="U341" s="191"/>
      <c r="V341" s="191"/>
      <c r="W341" s="191"/>
      <c r="X341" s="191"/>
      <c r="Y341" s="191"/>
      <c r="Z341" s="191"/>
      <c r="AA341" s="191"/>
      <c r="AB341" s="191"/>
      <c r="AC341" s="191"/>
      <c r="AD341" s="191"/>
      <c r="AE341" s="191"/>
      <c r="AF341" s="191"/>
      <c r="AG341" s="191"/>
      <c r="AH341" s="191"/>
      <c r="AI341" s="191"/>
      <c r="AJ341" s="191"/>
      <c r="AK341" s="191"/>
      <c r="AL341" s="191"/>
      <c r="AM341" s="191"/>
      <c r="AN341" s="191"/>
      <c r="AO341" s="198"/>
      <c r="AP341" s="198"/>
      <c r="AQ341" s="198"/>
      <c r="AR341" s="198"/>
      <c r="AS341" s="302"/>
      <c r="AT341" s="302"/>
      <c r="AU341" s="303"/>
      <c r="AV341" s="303"/>
      <c r="AW341" s="303"/>
      <c r="AX341" s="303"/>
      <c r="AY341" s="303"/>
      <c r="AZ341" s="303"/>
      <c r="BA341" s="303"/>
      <c r="BB341" s="303"/>
      <c r="BC341" s="303"/>
      <c r="BD341" s="302"/>
      <c r="BE341" s="302"/>
      <c r="BF341" s="302"/>
      <c r="BG341" s="200"/>
      <c r="BH341" s="200"/>
      <c r="BI341" s="303"/>
      <c r="BJ341" s="303"/>
      <c r="BK341" s="303"/>
      <c r="BL341" s="303"/>
      <c r="BM341" s="200"/>
      <c r="BN341" s="302"/>
      <c r="BO341" s="302"/>
      <c r="BP341" s="302"/>
      <c r="BQ341" s="302"/>
      <c r="BR341" s="302"/>
      <c r="BS341" s="200"/>
      <c r="BT341" s="200"/>
      <c r="BU341" s="200"/>
      <c r="BV341" s="200"/>
      <c r="BW341" s="200"/>
      <c r="BX341" s="200"/>
      <c r="BY341" s="200"/>
      <c r="BZ341" s="200"/>
      <c r="CA341" s="198"/>
      <c r="CB341" s="267"/>
      <c r="CC341" s="267"/>
      <c r="CD341" s="267"/>
      <c r="CE341" s="267"/>
      <c r="CF341" s="267"/>
      <c r="CG341" s="267"/>
      <c r="CH341" s="267"/>
      <c r="CI341" s="267"/>
      <c r="CJ341" s="267"/>
      <c r="CK341" s="267"/>
      <c r="CL341" s="267"/>
      <c r="CM341" s="267"/>
      <c r="CN341" s="267"/>
      <c r="CO341" s="267"/>
      <c r="CP341" s="267"/>
      <c r="CQ341" s="267"/>
      <c r="CR341" s="267"/>
      <c r="CS341" s="284"/>
      <c r="CT341" s="284"/>
      <c r="CU341" s="284"/>
      <c r="CV341" s="284"/>
      <c r="CW341" s="284"/>
      <c r="CX341" s="284"/>
      <c r="CY341" s="284"/>
      <c r="CZ341" s="284"/>
      <c r="DA341" s="285"/>
      <c r="DB341" s="284"/>
      <c r="DC341" s="284"/>
      <c r="DD341" s="284"/>
      <c r="DE341" s="284"/>
      <c r="DF341" s="301"/>
      <c r="DG341" s="301"/>
      <c r="DH341" s="301"/>
      <c r="DI341" s="301"/>
      <c r="DJ341" s="301"/>
      <c r="DK341" s="301"/>
      <c r="DL341" s="301"/>
      <c r="DM341" s="301"/>
      <c r="DN341" s="296"/>
      <c r="DO341" s="296"/>
      <c r="DP341" s="295"/>
      <c r="DQ341" s="295"/>
      <c r="DR341" s="297"/>
      <c r="DS341" s="295"/>
      <c r="DT341" s="295"/>
      <c r="DU341" s="295"/>
      <c r="DV341" s="295"/>
      <c r="DW341" s="295"/>
      <c r="DX341" s="295"/>
      <c r="DY341" s="302"/>
      <c r="DZ341" s="302"/>
      <c r="EA341" s="303"/>
      <c r="EB341" s="303"/>
      <c r="EC341" s="303"/>
      <c r="ED341" s="303"/>
      <c r="EE341" s="303"/>
      <c r="EF341" s="303"/>
      <c r="EG341" s="303"/>
      <c r="EH341" s="303"/>
      <c r="EI341" s="303"/>
      <c r="EJ341" s="303"/>
      <c r="EK341" s="303"/>
      <c r="EL341" s="303"/>
      <c r="EM341" s="303"/>
      <c r="EN341" s="303"/>
      <c r="EO341" s="303"/>
      <c r="EP341" s="303"/>
      <c r="EQ341" s="303"/>
      <c r="ER341" s="303"/>
      <c r="ES341" s="303"/>
      <c r="ET341" s="303"/>
      <c r="EU341" s="303"/>
      <c r="EV341" s="303"/>
      <c r="EW341" s="303"/>
      <c r="EX341" s="303"/>
      <c r="EY341" s="303"/>
      <c r="EZ341" s="198"/>
      <c r="FA341" s="198"/>
      <c r="FB341" s="198"/>
      <c r="FC341" s="198"/>
      <c r="FD341" s="198"/>
      <c r="FE341" s="769"/>
      <c r="FF341" s="199"/>
      <c r="FG341" s="199"/>
      <c r="FH341" s="199"/>
      <c r="FI341" s="199"/>
      <c r="FJ341" s="199"/>
      <c r="FK341" s="199"/>
      <c r="FL341" s="199"/>
    </row>
    <row r="342" spans="2:168" s="193" customFormat="1" x14ac:dyDescent="0.45">
      <c r="D342" s="197"/>
      <c r="F342" s="821"/>
      <c r="G342" s="821"/>
      <c r="AO342" s="199"/>
      <c r="AP342" s="199"/>
      <c r="AQ342" s="199"/>
      <c r="AR342" s="199"/>
      <c r="AS342" s="199"/>
      <c r="AT342" s="199"/>
      <c r="AU342" s="199"/>
      <c r="AV342" s="199"/>
      <c r="AW342" s="199"/>
      <c r="AX342" s="199"/>
      <c r="AY342" s="199"/>
      <c r="AZ342" s="199"/>
      <c r="BA342" s="199"/>
      <c r="BB342" s="199"/>
      <c r="BC342" s="199"/>
      <c r="BD342" s="199"/>
      <c r="BE342" s="199"/>
      <c r="BF342" s="199"/>
      <c r="BG342" s="199"/>
      <c r="BH342" s="199"/>
      <c r="BI342" s="199"/>
      <c r="BJ342" s="199"/>
      <c r="BK342" s="199"/>
      <c r="BL342" s="199"/>
      <c r="BM342" s="199"/>
      <c r="BN342" s="199"/>
      <c r="BO342" s="199"/>
      <c r="BP342" s="199"/>
      <c r="BQ342" s="199"/>
      <c r="BR342" s="199"/>
      <c r="BS342" s="199"/>
      <c r="BT342" s="199"/>
      <c r="BU342" s="199"/>
      <c r="BV342" s="199"/>
      <c r="BW342" s="199"/>
      <c r="BX342" s="199"/>
      <c r="BY342" s="199"/>
      <c r="BZ342" s="199"/>
      <c r="CA342" s="199"/>
      <c r="CB342" s="269"/>
      <c r="CC342" s="269"/>
      <c r="CD342" s="269"/>
      <c r="CE342" s="269"/>
      <c r="CF342" s="269"/>
      <c r="CG342" s="269"/>
      <c r="CH342" s="269"/>
      <c r="CI342" s="269"/>
      <c r="CJ342" s="269"/>
      <c r="CK342" s="269"/>
      <c r="CL342" s="269"/>
      <c r="CM342" s="269"/>
      <c r="CN342" s="269"/>
      <c r="CO342" s="269"/>
      <c r="CP342" s="269"/>
      <c r="CQ342" s="269"/>
      <c r="CR342" s="269"/>
      <c r="CS342" s="286"/>
      <c r="CT342" s="286"/>
      <c r="CU342" s="286"/>
      <c r="CV342" s="286"/>
      <c r="CW342" s="286"/>
      <c r="CX342" s="286"/>
      <c r="CY342" s="286"/>
      <c r="CZ342" s="286"/>
      <c r="DA342" s="286"/>
      <c r="DB342" s="286"/>
      <c r="DC342" s="286"/>
      <c r="DD342" s="286"/>
      <c r="DE342" s="286"/>
      <c r="DF342" s="286"/>
      <c r="DG342" s="286"/>
      <c r="DH342" s="286"/>
      <c r="DI342" s="286"/>
      <c r="DJ342" s="286"/>
      <c r="DK342" s="286"/>
      <c r="DL342" s="286"/>
      <c r="DM342" s="286"/>
      <c r="DN342" s="298"/>
      <c r="DO342" s="298"/>
      <c r="DP342" s="298"/>
      <c r="DQ342" s="298"/>
      <c r="DR342" s="298"/>
      <c r="DS342" s="298"/>
      <c r="DT342" s="298"/>
      <c r="DU342" s="298"/>
      <c r="DV342" s="298"/>
      <c r="DW342" s="298"/>
      <c r="DX342" s="298"/>
      <c r="DY342" s="199"/>
      <c r="DZ342" s="199"/>
      <c r="EA342" s="199"/>
      <c r="EB342" s="199"/>
      <c r="EC342" s="199"/>
      <c r="ED342" s="199"/>
      <c r="EE342" s="199"/>
      <c r="EF342" s="199"/>
      <c r="EG342" s="199"/>
      <c r="EH342" s="199"/>
      <c r="EI342" s="199"/>
      <c r="EJ342" s="199"/>
      <c r="EK342" s="199"/>
      <c r="EL342" s="199"/>
      <c r="EM342" s="199"/>
      <c r="EN342" s="199"/>
      <c r="EO342" s="199"/>
      <c r="EP342" s="199"/>
      <c r="EQ342" s="199"/>
      <c r="ER342" s="199"/>
      <c r="ES342" s="199"/>
      <c r="ET342" s="199"/>
      <c r="EU342" s="199"/>
      <c r="EV342" s="199"/>
      <c r="EW342" s="199"/>
      <c r="EX342" s="199"/>
      <c r="EY342" s="199"/>
      <c r="EZ342" s="199"/>
      <c r="FA342" s="199"/>
      <c r="FB342" s="199"/>
      <c r="FC342" s="199"/>
      <c r="FD342" s="199"/>
      <c r="FE342" s="771"/>
      <c r="FF342" s="199"/>
      <c r="FG342" s="199"/>
      <c r="FH342" s="199"/>
      <c r="FI342" s="199"/>
      <c r="FJ342" s="199"/>
      <c r="FK342" s="199"/>
      <c r="FL342" s="199"/>
    </row>
    <row r="343" spans="2:168" s="193" customFormat="1" x14ac:dyDescent="0.45">
      <c r="D343" s="197"/>
      <c r="F343" s="821"/>
      <c r="G343" s="821"/>
      <c r="CB343" s="270"/>
      <c r="CC343" s="270"/>
      <c r="CD343" s="270"/>
      <c r="CE343" s="270"/>
      <c r="CF343" s="270"/>
      <c r="CG343" s="270"/>
      <c r="CH343" s="270"/>
      <c r="CI343" s="270"/>
      <c r="CJ343" s="270"/>
      <c r="CK343" s="270"/>
      <c r="CL343" s="270"/>
      <c r="CM343" s="270"/>
      <c r="CN343" s="270"/>
      <c r="CO343" s="270"/>
      <c r="CP343" s="270"/>
      <c r="CQ343" s="270"/>
      <c r="CR343" s="270"/>
      <c r="CS343" s="287"/>
      <c r="CT343" s="287"/>
      <c r="CU343" s="287"/>
      <c r="CV343" s="287"/>
      <c r="CW343" s="287"/>
      <c r="CX343" s="287"/>
      <c r="CY343" s="287"/>
      <c r="CZ343" s="287"/>
      <c r="DA343" s="287"/>
      <c r="DB343" s="287"/>
      <c r="DC343" s="287"/>
      <c r="DD343" s="287"/>
      <c r="DE343" s="287"/>
      <c r="DF343" s="287"/>
      <c r="DG343" s="287"/>
      <c r="DH343" s="287"/>
      <c r="DI343" s="287"/>
      <c r="DJ343" s="287"/>
      <c r="DK343" s="287"/>
      <c r="DL343" s="287"/>
      <c r="DM343" s="287"/>
      <c r="DN343" s="143"/>
      <c r="DO343" s="143"/>
      <c r="DP343" s="143"/>
      <c r="DQ343" s="143"/>
      <c r="DR343" s="143"/>
      <c r="DS343" s="143"/>
      <c r="DT343" s="143"/>
      <c r="DU343" s="143"/>
      <c r="DV343" s="143"/>
      <c r="DW343" s="143"/>
      <c r="DX343" s="143"/>
      <c r="FE343" s="772"/>
    </row>
    <row r="344" spans="2:168" s="193" customFormat="1" x14ac:dyDescent="0.45">
      <c r="D344" s="197"/>
      <c r="F344" s="821"/>
      <c r="G344" s="821"/>
      <c r="CB344" s="270"/>
      <c r="CC344" s="270"/>
      <c r="CD344" s="270"/>
      <c r="CE344" s="270"/>
      <c r="CF344" s="270"/>
      <c r="CG344" s="270"/>
      <c r="CH344" s="270"/>
      <c r="CI344" s="270"/>
      <c r="CJ344" s="270"/>
      <c r="CK344" s="270"/>
      <c r="CL344" s="270"/>
      <c r="CM344" s="270"/>
      <c r="CN344" s="270"/>
      <c r="CO344" s="270"/>
      <c r="CP344" s="270"/>
      <c r="CQ344" s="270"/>
      <c r="CR344" s="270"/>
      <c r="CS344" s="287"/>
      <c r="CT344" s="287"/>
      <c r="CU344" s="287"/>
      <c r="CV344" s="287"/>
      <c r="CW344" s="287"/>
      <c r="CX344" s="287"/>
      <c r="CY344" s="287"/>
      <c r="CZ344" s="287"/>
      <c r="DA344" s="287"/>
      <c r="DB344" s="287"/>
      <c r="DC344" s="287"/>
      <c r="DD344" s="287"/>
      <c r="DE344" s="287"/>
      <c r="DF344" s="287"/>
      <c r="DG344" s="287"/>
      <c r="DH344" s="287"/>
      <c r="DI344" s="287"/>
      <c r="DJ344" s="287"/>
      <c r="DK344" s="287"/>
      <c r="DL344" s="287"/>
      <c r="DM344" s="287"/>
      <c r="DN344" s="143"/>
      <c r="DO344" s="143"/>
      <c r="DP344" s="143"/>
      <c r="DQ344" s="143"/>
      <c r="DR344" s="143"/>
      <c r="DS344" s="143"/>
      <c r="DT344" s="143"/>
      <c r="DU344" s="143"/>
      <c r="DV344" s="143"/>
      <c r="DW344" s="143"/>
      <c r="DX344" s="143"/>
      <c r="FE344" s="772"/>
    </row>
    <row r="345" spans="2:168" s="193" customFormat="1" x14ac:dyDescent="0.45">
      <c r="D345" s="197"/>
      <c r="F345" s="821"/>
      <c r="G345" s="821"/>
      <c r="CB345" s="270"/>
      <c r="CC345" s="270"/>
      <c r="CD345" s="270"/>
      <c r="CE345" s="270"/>
      <c r="CF345" s="270"/>
      <c r="CG345" s="270"/>
      <c r="CH345" s="270"/>
      <c r="CI345" s="270"/>
      <c r="CJ345" s="270"/>
      <c r="CK345" s="270"/>
      <c r="CL345" s="270"/>
      <c r="CM345" s="270"/>
      <c r="CN345" s="270"/>
      <c r="CO345" s="270"/>
      <c r="CP345" s="270"/>
      <c r="CQ345" s="270"/>
      <c r="CR345" s="270"/>
      <c r="CS345" s="287"/>
      <c r="CT345" s="287"/>
      <c r="CU345" s="287"/>
      <c r="CV345" s="287"/>
      <c r="CW345" s="287"/>
      <c r="CX345" s="287"/>
      <c r="CY345" s="287"/>
      <c r="CZ345" s="287"/>
      <c r="DA345" s="287"/>
      <c r="DB345" s="287"/>
      <c r="DC345" s="287"/>
      <c r="DD345" s="287"/>
      <c r="DE345" s="287"/>
      <c r="DF345" s="287"/>
      <c r="DG345" s="287"/>
      <c r="DH345" s="287"/>
      <c r="DI345" s="287"/>
      <c r="DJ345" s="287"/>
      <c r="DK345" s="287"/>
      <c r="DL345" s="287"/>
      <c r="DM345" s="287"/>
      <c r="DN345" s="143"/>
      <c r="DO345" s="143"/>
      <c r="DP345" s="143"/>
      <c r="DQ345" s="143"/>
      <c r="DR345" s="143"/>
      <c r="DS345" s="143"/>
      <c r="DT345" s="143"/>
      <c r="DU345" s="143"/>
      <c r="DV345" s="143"/>
      <c r="DW345" s="143"/>
      <c r="DX345" s="143"/>
      <c r="FE345" s="772"/>
    </row>
    <row r="346" spans="2:168" s="193" customFormat="1" x14ac:dyDescent="0.45">
      <c r="D346" s="197"/>
      <c r="F346" s="821"/>
      <c r="G346" s="821"/>
      <c r="CB346" s="270"/>
      <c r="CC346" s="270"/>
      <c r="CD346" s="270"/>
      <c r="CE346" s="270"/>
      <c r="CF346" s="270"/>
      <c r="CG346" s="270"/>
      <c r="CH346" s="270"/>
      <c r="CI346" s="270"/>
      <c r="CJ346" s="270"/>
      <c r="CK346" s="270"/>
      <c r="CL346" s="270"/>
      <c r="CM346" s="270"/>
      <c r="CN346" s="270"/>
      <c r="CO346" s="270"/>
      <c r="CP346" s="270"/>
      <c r="CQ346" s="270"/>
      <c r="CR346" s="270"/>
      <c r="CS346" s="287"/>
      <c r="CT346" s="287"/>
      <c r="CU346" s="287"/>
      <c r="CV346" s="287"/>
      <c r="CW346" s="287"/>
      <c r="CX346" s="287"/>
      <c r="CY346" s="287"/>
      <c r="CZ346" s="287"/>
      <c r="DA346" s="287"/>
      <c r="DB346" s="287"/>
      <c r="DC346" s="287"/>
      <c r="DD346" s="287"/>
      <c r="DE346" s="287"/>
      <c r="DF346" s="287"/>
      <c r="DG346" s="287"/>
      <c r="DH346" s="287"/>
      <c r="DI346" s="287"/>
      <c r="DJ346" s="287"/>
      <c r="DK346" s="287"/>
      <c r="DL346" s="287"/>
      <c r="DM346" s="287"/>
      <c r="DN346" s="143"/>
      <c r="DO346" s="143"/>
      <c r="DP346" s="143"/>
      <c r="DQ346" s="143"/>
      <c r="DR346" s="143"/>
      <c r="DS346" s="143"/>
      <c r="DT346" s="143"/>
      <c r="DU346" s="143"/>
      <c r="DV346" s="143"/>
      <c r="DW346" s="143"/>
      <c r="DX346" s="143"/>
      <c r="FE346" s="772"/>
    </row>
    <row r="347" spans="2:168" s="193" customFormat="1" x14ac:dyDescent="0.45">
      <c r="D347" s="197"/>
      <c r="F347" s="821"/>
      <c r="G347" s="821"/>
      <c r="CB347" s="270"/>
      <c r="CC347" s="270"/>
      <c r="CD347" s="270"/>
      <c r="CE347" s="270"/>
      <c r="CF347" s="270"/>
      <c r="CG347" s="270"/>
      <c r="CH347" s="270"/>
      <c r="CI347" s="270"/>
      <c r="CJ347" s="270"/>
      <c r="CK347" s="270"/>
      <c r="CL347" s="270"/>
      <c r="CM347" s="270"/>
      <c r="CN347" s="270"/>
      <c r="CO347" s="270"/>
      <c r="CP347" s="270"/>
      <c r="CQ347" s="270"/>
      <c r="CR347" s="270"/>
      <c r="CS347" s="287"/>
      <c r="CT347" s="287"/>
      <c r="CU347" s="287"/>
      <c r="CV347" s="287"/>
      <c r="CW347" s="287"/>
      <c r="CX347" s="287"/>
      <c r="CY347" s="287"/>
      <c r="CZ347" s="287"/>
      <c r="DA347" s="287"/>
      <c r="DB347" s="287"/>
      <c r="DC347" s="287"/>
      <c r="DD347" s="287"/>
      <c r="DE347" s="287"/>
      <c r="DF347" s="287"/>
      <c r="DG347" s="287"/>
      <c r="DH347" s="287"/>
      <c r="DI347" s="287"/>
      <c r="DJ347" s="287"/>
      <c r="DK347" s="287"/>
      <c r="DL347" s="287"/>
      <c r="DM347" s="287"/>
      <c r="DN347" s="143"/>
      <c r="DO347" s="143"/>
      <c r="DP347" s="143"/>
      <c r="DQ347" s="143"/>
      <c r="DR347" s="143"/>
      <c r="DS347" s="143"/>
      <c r="DT347" s="143"/>
      <c r="DU347" s="143"/>
      <c r="DV347" s="143"/>
      <c r="DW347" s="143"/>
      <c r="DX347" s="143"/>
      <c r="FE347" s="772"/>
    </row>
    <row r="348" spans="2:168" s="193" customFormat="1" x14ac:dyDescent="0.45">
      <c r="D348" s="197"/>
      <c r="F348" s="821"/>
      <c r="G348" s="821"/>
      <c r="CB348" s="270"/>
      <c r="CC348" s="270"/>
      <c r="CD348" s="270"/>
      <c r="CE348" s="270"/>
      <c r="CF348" s="270"/>
      <c r="CG348" s="270"/>
      <c r="CH348" s="270"/>
      <c r="CI348" s="270"/>
      <c r="CJ348" s="270"/>
      <c r="CK348" s="270"/>
      <c r="CL348" s="270"/>
      <c r="CM348" s="270"/>
      <c r="CN348" s="270"/>
      <c r="CO348" s="270"/>
      <c r="CP348" s="270"/>
      <c r="CQ348" s="270"/>
      <c r="CR348" s="270"/>
      <c r="CS348" s="287"/>
      <c r="CT348" s="287"/>
      <c r="CU348" s="287"/>
      <c r="CV348" s="287"/>
      <c r="CW348" s="287"/>
      <c r="CX348" s="287"/>
      <c r="CY348" s="287"/>
      <c r="CZ348" s="287"/>
      <c r="DA348" s="287"/>
      <c r="DB348" s="287"/>
      <c r="DC348" s="287"/>
      <c r="DD348" s="287"/>
      <c r="DE348" s="287"/>
      <c r="DF348" s="287"/>
      <c r="DG348" s="287"/>
      <c r="DH348" s="287"/>
      <c r="DI348" s="287"/>
      <c r="DJ348" s="287"/>
      <c r="DK348" s="287"/>
      <c r="DL348" s="287"/>
      <c r="DM348" s="287"/>
      <c r="DN348" s="143"/>
      <c r="DO348" s="143"/>
      <c r="DP348" s="143"/>
      <c r="DQ348" s="143"/>
      <c r="DR348" s="143"/>
      <c r="DS348" s="143"/>
      <c r="DT348" s="143"/>
      <c r="DU348" s="143"/>
      <c r="DV348" s="143"/>
      <c r="DW348" s="143"/>
      <c r="DX348" s="143"/>
      <c r="FE348" s="772"/>
    </row>
    <row r="349" spans="2:168" s="193" customFormat="1" x14ac:dyDescent="0.45">
      <c r="D349" s="197"/>
      <c r="F349" s="821"/>
      <c r="G349" s="821"/>
      <c r="CB349" s="270"/>
      <c r="CC349" s="270"/>
      <c r="CD349" s="270"/>
      <c r="CE349" s="270"/>
      <c r="CF349" s="270"/>
      <c r="CG349" s="270"/>
      <c r="CH349" s="270"/>
      <c r="CI349" s="270"/>
      <c r="CJ349" s="270"/>
      <c r="CK349" s="270"/>
      <c r="CL349" s="270"/>
      <c r="CM349" s="270"/>
      <c r="CN349" s="270"/>
      <c r="CO349" s="270"/>
      <c r="CP349" s="270"/>
      <c r="CQ349" s="270"/>
      <c r="CR349" s="270"/>
      <c r="CS349" s="287"/>
      <c r="CT349" s="287"/>
      <c r="CU349" s="287"/>
      <c r="CV349" s="287"/>
      <c r="CW349" s="287"/>
      <c r="CX349" s="287"/>
      <c r="CY349" s="287"/>
      <c r="CZ349" s="287"/>
      <c r="DA349" s="287"/>
      <c r="DB349" s="287"/>
      <c r="DC349" s="287"/>
      <c r="DD349" s="287"/>
      <c r="DE349" s="287"/>
      <c r="DF349" s="287"/>
      <c r="DG349" s="287"/>
      <c r="DH349" s="287"/>
      <c r="DI349" s="287"/>
      <c r="DJ349" s="287"/>
      <c r="DK349" s="287"/>
      <c r="DL349" s="287"/>
      <c r="DM349" s="287"/>
      <c r="DN349" s="143"/>
      <c r="DO349" s="143"/>
      <c r="DP349" s="143"/>
      <c r="DQ349" s="143"/>
      <c r="DR349" s="143"/>
      <c r="DS349" s="143"/>
      <c r="DT349" s="143"/>
      <c r="DU349" s="143"/>
      <c r="DV349" s="143"/>
      <c r="DW349" s="143"/>
      <c r="DX349" s="143"/>
      <c r="FE349" s="772"/>
    </row>
    <row r="350" spans="2:168" s="193" customFormat="1" x14ac:dyDescent="0.45">
      <c r="D350" s="197"/>
      <c r="F350" s="821"/>
      <c r="G350" s="821"/>
      <c r="CB350" s="270"/>
      <c r="CC350" s="270"/>
      <c r="CD350" s="270"/>
      <c r="CE350" s="270"/>
      <c r="CF350" s="270"/>
      <c r="CG350" s="270"/>
      <c r="CH350" s="270"/>
      <c r="CI350" s="270"/>
      <c r="CJ350" s="270"/>
      <c r="CK350" s="270"/>
      <c r="CL350" s="270"/>
      <c r="CM350" s="270"/>
      <c r="CN350" s="270"/>
      <c r="CO350" s="270"/>
      <c r="CP350" s="270"/>
      <c r="CQ350" s="270"/>
      <c r="CR350" s="270"/>
      <c r="CS350" s="287"/>
      <c r="CT350" s="287"/>
      <c r="CU350" s="287"/>
      <c r="CV350" s="287"/>
      <c r="CW350" s="287"/>
      <c r="CX350" s="287"/>
      <c r="CY350" s="287"/>
      <c r="CZ350" s="287"/>
      <c r="DA350" s="287"/>
      <c r="DB350" s="287"/>
      <c r="DC350" s="287"/>
      <c r="DD350" s="287"/>
      <c r="DE350" s="287"/>
      <c r="DF350" s="287"/>
      <c r="DG350" s="287"/>
      <c r="DH350" s="287"/>
      <c r="DI350" s="287"/>
      <c r="DJ350" s="287"/>
      <c r="DK350" s="287"/>
      <c r="DL350" s="287"/>
      <c r="DM350" s="287"/>
      <c r="DN350" s="143"/>
      <c r="DO350" s="143"/>
      <c r="DP350" s="143"/>
      <c r="DQ350" s="143"/>
      <c r="DR350" s="143"/>
      <c r="DS350" s="143"/>
      <c r="DT350" s="143"/>
      <c r="DU350" s="143"/>
      <c r="DV350" s="143"/>
      <c r="DW350" s="143"/>
      <c r="DX350" s="143"/>
      <c r="FE350" s="772"/>
    </row>
    <row r="351" spans="2:168" s="193" customFormat="1" x14ac:dyDescent="0.45">
      <c r="D351" s="197"/>
      <c r="F351" s="821"/>
      <c r="G351" s="821"/>
      <c r="CB351" s="270"/>
      <c r="CC351" s="270"/>
      <c r="CD351" s="270"/>
      <c r="CE351" s="270"/>
      <c r="CF351" s="270"/>
      <c r="CG351" s="270"/>
      <c r="CH351" s="270"/>
      <c r="CI351" s="270"/>
      <c r="CJ351" s="270"/>
      <c r="CK351" s="270"/>
      <c r="CL351" s="270"/>
      <c r="CM351" s="270"/>
      <c r="CN351" s="270"/>
      <c r="CO351" s="270"/>
      <c r="CP351" s="270"/>
      <c r="CQ351" s="270"/>
      <c r="CR351" s="270"/>
      <c r="CS351" s="287"/>
      <c r="CT351" s="287"/>
      <c r="CU351" s="287"/>
      <c r="CV351" s="287"/>
      <c r="CW351" s="287"/>
      <c r="CX351" s="287"/>
      <c r="CY351" s="287"/>
      <c r="CZ351" s="287"/>
      <c r="DA351" s="287"/>
      <c r="DB351" s="287"/>
      <c r="DC351" s="287"/>
      <c r="DD351" s="287"/>
      <c r="DE351" s="287"/>
      <c r="DF351" s="287"/>
      <c r="DG351" s="287"/>
      <c r="DH351" s="287"/>
      <c r="DI351" s="287"/>
      <c r="DJ351" s="287"/>
      <c r="DK351" s="287"/>
      <c r="DL351" s="287"/>
      <c r="DM351" s="287"/>
      <c r="DN351" s="143"/>
      <c r="DO351" s="143"/>
      <c r="DP351" s="143"/>
      <c r="DQ351" s="143"/>
      <c r="DR351" s="143"/>
      <c r="DS351" s="143"/>
      <c r="DT351" s="143"/>
      <c r="DU351" s="143"/>
      <c r="DV351" s="143"/>
      <c r="DW351" s="143"/>
      <c r="DX351" s="143"/>
      <c r="FE351" s="772"/>
    </row>
    <row r="352" spans="2:168" s="193" customFormat="1" x14ac:dyDescent="0.45">
      <c r="D352" s="197"/>
      <c r="F352" s="821"/>
      <c r="G352" s="821"/>
      <c r="CB352" s="270"/>
      <c r="CC352" s="270"/>
      <c r="CD352" s="270"/>
      <c r="CE352" s="270"/>
      <c r="CF352" s="270"/>
      <c r="CG352" s="270"/>
      <c r="CH352" s="270"/>
      <c r="CI352" s="270"/>
      <c r="CJ352" s="270"/>
      <c r="CK352" s="270"/>
      <c r="CL352" s="270"/>
      <c r="CM352" s="270"/>
      <c r="CN352" s="270"/>
      <c r="CO352" s="270"/>
      <c r="CP352" s="270"/>
      <c r="CQ352" s="270"/>
      <c r="CR352" s="270"/>
      <c r="CS352" s="287"/>
      <c r="CT352" s="287"/>
      <c r="CU352" s="287"/>
      <c r="CV352" s="287"/>
      <c r="CW352" s="287"/>
      <c r="CX352" s="287"/>
      <c r="CY352" s="287"/>
      <c r="CZ352" s="287"/>
      <c r="DA352" s="287"/>
      <c r="DB352" s="287"/>
      <c r="DC352" s="287"/>
      <c r="DD352" s="287"/>
      <c r="DE352" s="287"/>
      <c r="DF352" s="287"/>
      <c r="DG352" s="287"/>
      <c r="DH352" s="287"/>
      <c r="DI352" s="287"/>
      <c r="DJ352" s="287"/>
      <c r="DK352" s="287"/>
      <c r="DL352" s="287"/>
      <c r="DM352" s="287"/>
      <c r="DN352" s="143"/>
      <c r="DO352" s="143"/>
      <c r="DP352" s="143"/>
      <c r="DQ352" s="143"/>
      <c r="DR352" s="143"/>
      <c r="DS352" s="143"/>
      <c r="DT352" s="143"/>
      <c r="DU352" s="143"/>
      <c r="DV352" s="143"/>
      <c r="DW352" s="143"/>
      <c r="DX352" s="143"/>
      <c r="FE352" s="772"/>
    </row>
    <row r="353" spans="4:161" s="193" customFormat="1" x14ac:dyDescent="0.45">
      <c r="D353" s="197"/>
      <c r="F353" s="821"/>
      <c r="G353" s="821"/>
      <c r="CB353" s="270"/>
      <c r="CC353" s="270"/>
      <c r="CD353" s="270"/>
      <c r="CE353" s="270"/>
      <c r="CF353" s="270"/>
      <c r="CG353" s="270"/>
      <c r="CH353" s="270"/>
      <c r="CI353" s="270"/>
      <c r="CJ353" s="270"/>
      <c r="CK353" s="270"/>
      <c r="CL353" s="270"/>
      <c r="CM353" s="270"/>
      <c r="CN353" s="270"/>
      <c r="CO353" s="270"/>
      <c r="CP353" s="270"/>
      <c r="CQ353" s="270"/>
      <c r="CR353" s="270"/>
      <c r="CS353" s="287"/>
      <c r="CT353" s="287"/>
      <c r="CU353" s="287"/>
      <c r="CV353" s="287"/>
      <c r="CW353" s="287"/>
      <c r="CX353" s="287"/>
      <c r="CY353" s="287"/>
      <c r="CZ353" s="287"/>
      <c r="DA353" s="287"/>
      <c r="DB353" s="287"/>
      <c r="DC353" s="287"/>
      <c r="DD353" s="287"/>
      <c r="DE353" s="287"/>
      <c r="DF353" s="287"/>
      <c r="DG353" s="287"/>
      <c r="DH353" s="287"/>
      <c r="DI353" s="287"/>
      <c r="DJ353" s="287"/>
      <c r="DK353" s="287"/>
      <c r="DL353" s="287"/>
      <c r="DM353" s="287"/>
      <c r="DN353" s="143"/>
      <c r="DO353" s="143"/>
      <c r="DP353" s="143"/>
      <c r="DQ353" s="143"/>
      <c r="DR353" s="143"/>
      <c r="DS353" s="143"/>
      <c r="DT353" s="143"/>
      <c r="DU353" s="143"/>
      <c r="DV353" s="143"/>
      <c r="DW353" s="143"/>
      <c r="DX353" s="143"/>
      <c r="FE353" s="772"/>
    </row>
    <row r="354" spans="4:161" s="193" customFormat="1" x14ac:dyDescent="0.45">
      <c r="D354" s="197"/>
      <c r="F354" s="821"/>
      <c r="G354" s="821"/>
      <c r="CB354" s="270"/>
      <c r="CC354" s="270"/>
      <c r="CD354" s="270"/>
      <c r="CE354" s="270"/>
      <c r="CF354" s="270"/>
      <c r="CG354" s="270"/>
      <c r="CH354" s="270"/>
      <c r="CI354" s="270"/>
      <c r="CJ354" s="270"/>
      <c r="CK354" s="270"/>
      <c r="CL354" s="270"/>
      <c r="CM354" s="270"/>
      <c r="CN354" s="270"/>
      <c r="CO354" s="270"/>
      <c r="CP354" s="270"/>
      <c r="CQ354" s="270"/>
      <c r="CR354" s="270"/>
      <c r="CS354" s="287"/>
      <c r="CT354" s="287"/>
      <c r="CU354" s="287"/>
      <c r="CV354" s="287"/>
      <c r="CW354" s="287"/>
      <c r="CX354" s="287"/>
      <c r="CY354" s="287"/>
      <c r="CZ354" s="287"/>
      <c r="DA354" s="287"/>
      <c r="DB354" s="287"/>
      <c r="DC354" s="287"/>
      <c r="DD354" s="287"/>
      <c r="DE354" s="287"/>
      <c r="DF354" s="287"/>
      <c r="DG354" s="287"/>
      <c r="DH354" s="287"/>
      <c r="DI354" s="287"/>
      <c r="DJ354" s="287"/>
      <c r="DK354" s="287"/>
      <c r="DL354" s="287"/>
      <c r="DM354" s="287"/>
      <c r="DN354" s="143"/>
      <c r="DO354" s="143"/>
      <c r="DP354" s="143"/>
      <c r="DQ354" s="143"/>
      <c r="DR354" s="143"/>
      <c r="DS354" s="143"/>
      <c r="DT354" s="143"/>
      <c r="DU354" s="143"/>
      <c r="DV354" s="143"/>
      <c r="DW354" s="143"/>
      <c r="DX354" s="143"/>
      <c r="FE354" s="772"/>
    </row>
    <row r="355" spans="4:161" x14ac:dyDescent="0.45">
      <c r="BV355" s="82"/>
    </row>
    <row r="356" spans="4:161" x14ac:dyDescent="0.45">
      <c r="BV356" s="82"/>
    </row>
    <row r="357" spans="4:161" x14ac:dyDescent="0.45">
      <c r="BV357" s="82"/>
    </row>
    <row r="358" spans="4:161" x14ac:dyDescent="0.45">
      <c r="BV358" s="82"/>
    </row>
    <row r="359" spans="4:161" x14ac:dyDescent="0.45">
      <c r="BV359" s="82"/>
    </row>
    <row r="360" spans="4:161" x14ac:dyDescent="0.45">
      <c r="BV360" s="82"/>
    </row>
    <row r="361" spans="4:161" x14ac:dyDescent="0.45">
      <c r="BV361" s="82"/>
    </row>
    <row r="362" spans="4:161" x14ac:dyDescent="0.45">
      <c r="BV362" s="82"/>
    </row>
    <row r="363" spans="4:161" x14ac:dyDescent="0.45">
      <c r="BV363" s="82"/>
    </row>
    <row r="364" spans="4:161" x14ac:dyDescent="0.45">
      <c r="BV364" s="82"/>
    </row>
    <row r="365" spans="4:161" x14ac:dyDescent="0.45">
      <c r="BV365" s="82"/>
    </row>
    <row r="366" spans="4:161" x14ac:dyDescent="0.45">
      <c r="BV366" s="82"/>
    </row>
    <row r="367" spans="4:161" x14ac:dyDescent="0.45">
      <c r="BV367" s="82"/>
    </row>
    <row r="368" spans="4:161" x14ac:dyDescent="0.45">
      <c r="BV368" s="82"/>
    </row>
    <row r="369" spans="74:74" x14ac:dyDescent="0.45">
      <c r="BV369" s="82"/>
    </row>
    <row r="370" spans="74:74" x14ac:dyDescent="0.45">
      <c r="BV370" s="82"/>
    </row>
    <row r="371" spans="74:74" x14ac:dyDescent="0.45">
      <c r="BV371" s="82"/>
    </row>
    <row r="372" spans="74:74" x14ac:dyDescent="0.45">
      <c r="BV372" s="82"/>
    </row>
    <row r="373" spans="74:74" x14ac:dyDescent="0.45">
      <c r="BV373" s="82"/>
    </row>
    <row r="374" spans="74:74" x14ac:dyDescent="0.45">
      <c r="BV374" s="82"/>
    </row>
    <row r="375" spans="74:74" x14ac:dyDescent="0.45">
      <c r="BV375" s="82"/>
    </row>
    <row r="376" spans="74:74" x14ac:dyDescent="0.45">
      <c r="BV376" s="82"/>
    </row>
    <row r="377" spans="74:74" x14ac:dyDescent="0.45">
      <c r="BV377" s="82"/>
    </row>
    <row r="378" spans="74:74" x14ac:dyDescent="0.45">
      <c r="BV378" s="82"/>
    </row>
    <row r="379" spans="74:74" x14ac:dyDescent="0.45">
      <c r="BV379" s="82"/>
    </row>
    <row r="380" spans="74:74" x14ac:dyDescent="0.45">
      <c r="BV380" s="82"/>
    </row>
    <row r="381" spans="74:74" x14ac:dyDescent="0.45">
      <c r="BV381" s="82"/>
    </row>
    <row r="382" spans="74:74" x14ac:dyDescent="0.45">
      <c r="BV382" s="82"/>
    </row>
    <row r="383" spans="74:74" x14ac:dyDescent="0.45">
      <c r="BV383" s="82"/>
    </row>
  </sheetData>
  <mergeCells count="144">
    <mergeCell ref="E187:E190"/>
    <mergeCell ref="D192:D195"/>
    <mergeCell ref="E192:E195"/>
    <mergeCell ref="D198:D207"/>
    <mergeCell ref="E198:E200"/>
    <mergeCell ref="E201:E203"/>
    <mergeCell ref="E204:E207"/>
    <mergeCell ref="D299:D312"/>
    <mergeCell ref="E299:E301"/>
    <mergeCell ref="E302:E304"/>
    <mergeCell ref="E305:E308"/>
    <mergeCell ref="E309:E312"/>
    <mergeCell ref="D179:D190"/>
    <mergeCell ref="E179:E182"/>
    <mergeCell ref="E183:E186"/>
    <mergeCell ref="D224:D235"/>
    <mergeCell ref="E224:E227"/>
    <mergeCell ref="E228:E231"/>
    <mergeCell ref="E232:E235"/>
    <mergeCell ref="D237:D240"/>
    <mergeCell ref="E237:E240"/>
    <mergeCell ref="D269:D280"/>
    <mergeCell ref="E269:E272"/>
    <mergeCell ref="E273:E276"/>
    <mergeCell ref="E277:E280"/>
    <mergeCell ref="D282:D285"/>
    <mergeCell ref="D327:D330"/>
    <mergeCell ref="E327:E330"/>
    <mergeCell ref="E291:E293"/>
    <mergeCell ref="D288:D297"/>
    <mergeCell ref="E288:E290"/>
    <mergeCell ref="E294:E297"/>
    <mergeCell ref="E282:E285"/>
    <mergeCell ref="D314:D325"/>
    <mergeCell ref="E314:E317"/>
    <mergeCell ref="E318:E321"/>
    <mergeCell ref="E322:E325"/>
    <mergeCell ref="D243:D252"/>
    <mergeCell ref="E243:E245"/>
    <mergeCell ref="E246:E248"/>
    <mergeCell ref="E249:E252"/>
    <mergeCell ref="D254:D267"/>
    <mergeCell ref="E254:E256"/>
    <mergeCell ref="E257:E259"/>
    <mergeCell ref="E260:E263"/>
    <mergeCell ref="E264:E267"/>
    <mergeCell ref="D209:D222"/>
    <mergeCell ref="E209:E211"/>
    <mergeCell ref="E212:E214"/>
    <mergeCell ref="E215:E218"/>
    <mergeCell ref="E219:E222"/>
    <mergeCell ref="D63:D72"/>
    <mergeCell ref="E63:E65"/>
    <mergeCell ref="E66:E68"/>
    <mergeCell ref="E69:E72"/>
    <mergeCell ref="D74:D87"/>
    <mergeCell ref="E89:E92"/>
    <mergeCell ref="E93:E96"/>
    <mergeCell ref="E97:E100"/>
    <mergeCell ref="D102:D105"/>
    <mergeCell ref="E102:E105"/>
    <mergeCell ref="D89:D100"/>
    <mergeCell ref="E74:E76"/>
    <mergeCell ref="E77:E79"/>
    <mergeCell ref="E80:E83"/>
    <mergeCell ref="D108:D117"/>
    <mergeCell ref="E108:E110"/>
    <mergeCell ref="E111:E113"/>
    <mergeCell ref="E114:E117"/>
    <mergeCell ref="E147:E150"/>
    <mergeCell ref="D153:D162"/>
    <mergeCell ref="E153:E155"/>
    <mergeCell ref="E156:E158"/>
    <mergeCell ref="E159:E162"/>
    <mergeCell ref="E170:E173"/>
    <mergeCell ref="E174:E177"/>
    <mergeCell ref="E164:E166"/>
    <mergeCell ref="D119:D132"/>
    <mergeCell ref="E119:E121"/>
    <mergeCell ref="E122:E124"/>
    <mergeCell ref="E125:E128"/>
    <mergeCell ref="E129:E132"/>
    <mergeCell ref="D134:D145"/>
    <mergeCell ref="E134:E137"/>
    <mergeCell ref="E138:E141"/>
    <mergeCell ref="E142:E145"/>
    <mergeCell ref="D147:D150"/>
    <mergeCell ref="D164:D177"/>
    <mergeCell ref="E167:E169"/>
    <mergeCell ref="J7:U7"/>
    <mergeCell ref="W7:AC7"/>
    <mergeCell ref="AD7:BD7"/>
    <mergeCell ref="BE7:BM7"/>
    <mergeCell ref="BN7:BR7"/>
    <mergeCell ref="D57:D60"/>
    <mergeCell ref="D44:D55"/>
    <mergeCell ref="E57:E60"/>
    <mergeCell ref="E84:E87"/>
    <mergeCell ref="E44:E47"/>
    <mergeCell ref="E48:E51"/>
    <mergeCell ref="E52:E55"/>
    <mergeCell ref="G6:G8"/>
    <mergeCell ref="F6:F8"/>
    <mergeCell ref="B6:C8"/>
    <mergeCell ref="D6:E8"/>
    <mergeCell ref="I6:I8"/>
    <mergeCell ref="D29:D42"/>
    <mergeCell ref="D18:D27"/>
    <mergeCell ref="E35:E38"/>
    <mergeCell ref="B18:B61"/>
    <mergeCell ref="C18:C61"/>
    <mergeCell ref="E18:E20"/>
    <mergeCell ref="E21:E23"/>
    <mergeCell ref="E24:E27"/>
    <mergeCell ref="E39:E42"/>
    <mergeCell ref="E29:E31"/>
    <mergeCell ref="E32:E34"/>
    <mergeCell ref="B288:B331"/>
    <mergeCell ref="C288:C331"/>
    <mergeCell ref="B63:B106"/>
    <mergeCell ref="C63:C106"/>
    <mergeCell ref="B108:B151"/>
    <mergeCell ref="C108:C151"/>
    <mergeCell ref="B153:B196"/>
    <mergeCell ref="C153:C196"/>
    <mergeCell ref="B198:B241"/>
    <mergeCell ref="C198:C241"/>
    <mergeCell ref="B243:B286"/>
    <mergeCell ref="C243:C286"/>
    <mergeCell ref="BS7:CB7"/>
    <mergeCell ref="CC7:CK7"/>
    <mergeCell ref="CL7:DM7"/>
    <mergeCell ref="DN7:DZ7"/>
    <mergeCell ref="EA7:EN7"/>
    <mergeCell ref="EO7:EZ7"/>
    <mergeCell ref="CG4:CJ4"/>
    <mergeCell ref="FA4:FD4"/>
    <mergeCell ref="CX340:DB340"/>
    <mergeCell ref="CB4:CE4"/>
    <mergeCell ref="FD6:FD8"/>
    <mergeCell ref="FA6:FA8"/>
    <mergeCell ref="FC6:FC8"/>
    <mergeCell ref="FB6:FB8"/>
    <mergeCell ref="DA339:DD339"/>
  </mergeCells>
  <conditionalFormatting sqref="J9:EZ17">
    <cfRule type="cellIs" dxfId="1" priority="2" operator="lessThan">
      <formula>0</formula>
    </cfRule>
  </conditionalFormatting>
  <conditionalFormatting sqref="H9:H17">
    <cfRule type="cellIs" dxfId="0" priority="1" operator="greaterThan">
      <formula>0</formula>
    </cfRule>
  </conditionalFormatting>
  <dataValidations count="104">
    <dataValidation type="list" allowBlank="1" showInputMessage="1" showErrorMessage="1" sqref="DA337" xr:uid="{00000000-0002-0000-0100-000000000000}">
      <formula1>$L$2:$L$20</formula1>
    </dataValidation>
    <dataValidation type="list" allowBlank="1" showInputMessage="1" showErrorMessage="1" sqref="I19" xr:uid="{00000000-0002-0000-0100-000002000000}">
      <formula1>INDIRECT($H$19)</formula1>
    </dataValidation>
    <dataValidation type="list" allowBlank="1" showInputMessage="1" showErrorMessage="1" sqref="I20" xr:uid="{00000000-0002-0000-0100-000003000000}">
      <formula1>INDIRECT($H$20)</formula1>
    </dataValidation>
    <dataValidation type="list" allowBlank="1" showInputMessage="1" showErrorMessage="1" sqref="I21" xr:uid="{00000000-0002-0000-0100-000004000000}">
      <formula1>INDIRECT($H$21)</formula1>
    </dataValidation>
    <dataValidation type="list" allowBlank="1" showInputMessage="1" showErrorMessage="1" sqref="I22" xr:uid="{00000000-0002-0000-0100-000005000000}">
      <formula1>INDIRECT($H$22)</formula1>
    </dataValidation>
    <dataValidation type="list" allowBlank="1" showInputMessage="1" showErrorMessage="1" sqref="I23" xr:uid="{00000000-0002-0000-0100-000006000000}">
      <formula1>INDIRECT($H$23)</formula1>
    </dataValidation>
    <dataValidation type="list" allowBlank="1" showInputMessage="1" showErrorMessage="1" sqref="I24" xr:uid="{00000000-0002-0000-0100-000007000000}">
      <formula1>INDIRECT($H$24)</formula1>
    </dataValidation>
    <dataValidation type="list" allowBlank="1" showInputMessage="1" showErrorMessage="1" sqref="I25" xr:uid="{00000000-0002-0000-0100-000008000000}">
      <formula1>INDIRECT($H$25)</formula1>
    </dataValidation>
    <dataValidation type="list" allowBlank="1" showInputMessage="1" showErrorMessage="1" sqref="I26" xr:uid="{00000000-0002-0000-0100-000009000000}">
      <formula1>INDIRECT($H$26)</formula1>
    </dataValidation>
    <dataValidation type="list" allowBlank="1" showInputMessage="1" showErrorMessage="1" sqref="I27" xr:uid="{00000000-0002-0000-0100-00000A000000}">
      <formula1>INDIRECT($H$27)</formula1>
    </dataValidation>
    <dataValidation type="list" allowBlank="1" showInputMessage="1" showErrorMessage="1" sqref="I29" xr:uid="{00000000-0002-0000-0100-00000B000000}">
      <formula1>INDIRECT($H$29)</formula1>
    </dataValidation>
    <dataValidation type="list" allowBlank="1" showInputMessage="1" showErrorMessage="1" sqref="I30" xr:uid="{00000000-0002-0000-0100-00000C000000}">
      <formula1>INDIRECT($H$30)</formula1>
    </dataValidation>
    <dataValidation type="list" allowBlank="1" showInputMessage="1" showErrorMessage="1" sqref="I31" xr:uid="{00000000-0002-0000-0100-00000D000000}">
      <formula1>INDIRECT($H$31)</formula1>
    </dataValidation>
    <dataValidation type="list" allowBlank="1" showInputMessage="1" showErrorMessage="1" sqref="I32" xr:uid="{00000000-0002-0000-0100-00000E000000}">
      <formula1>INDIRECT($H$32)</formula1>
    </dataValidation>
    <dataValidation type="list" allowBlank="1" showInputMessage="1" showErrorMessage="1" sqref="I33" xr:uid="{00000000-0002-0000-0100-00000F000000}">
      <formula1>INDIRECT($H$33)</formula1>
    </dataValidation>
    <dataValidation type="list" allowBlank="1" showInputMessage="1" showErrorMessage="1" sqref="I34" xr:uid="{00000000-0002-0000-0100-000010000000}">
      <formula1>INDIRECT($H$34)</formula1>
    </dataValidation>
    <dataValidation type="list" allowBlank="1" showInputMessage="1" showErrorMessage="1" sqref="I35" xr:uid="{00000000-0002-0000-0100-000011000000}">
      <formula1>INDIRECT($H$35)</formula1>
    </dataValidation>
    <dataValidation type="list" allowBlank="1" showInputMessage="1" showErrorMessage="1" sqref="I36" xr:uid="{00000000-0002-0000-0100-000012000000}">
      <formula1>INDIRECT($H$36)</formula1>
    </dataValidation>
    <dataValidation type="list" allowBlank="1" showInputMessage="1" showErrorMessage="1" sqref="I37" xr:uid="{00000000-0002-0000-0100-000013000000}">
      <formula1>INDIRECT($H$37)</formula1>
    </dataValidation>
    <dataValidation type="list" allowBlank="1" showInputMessage="1" showErrorMessage="1" sqref="I38" xr:uid="{00000000-0002-0000-0100-000014000000}">
      <formula1>INDIRECT($H$38)</formula1>
    </dataValidation>
    <dataValidation type="list" allowBlank="1" showInputMessage="1" showErrorMessage="1" sqref="I39" xr:uid="{00000000-0002-0000-0100-000015000000}">
      <formula1>INDIRECT($H$39)</formula1>
    </dataValidation>
    <dataValidation type="list" allowBlank="1" showInputMessage="1" showErrorMessage="1" sqref="I40" xr:uid="{00000000-0002-0000-0100-000016000000}">
      <formula1>INDIRECT($H$40)</formula1>
    </dataValidation>
    <dataValidation type="list" allowBlank="1" showInputMessage="1" showErrorMessage="1" sqref="I41" xr:uid="{00000000-0002-0000-0100-000017000000}">
      <formula1>INDIRECT($H$41)</formula1>
    </dataValidation>
    <dataValidation type="list" allowBlank="1" showInputMessage="1" showErrorMessage="1" sqref="I42" xr:uid="{00000000-0002-0000-0100-000018000000}">
      <formula1>INDIRECT($H$42)</formula1>
    </dataValidation>
    <dataValidation type="list" allowBlank="1" showInputMessage="1" showErrorMessage="1" sqref="I44" xr:uid="{00000000-0002-0000-0100-000019000000}">
      <formula1>INDIRECT($H$44)</formula1>
    </dataValidation>
    <dataValidation type="list" allowBlank="1" showInputMessage="1" showErrorMessage="1" sqref="I45" xr:uid="{00000000-0002-0000-0100-00001A000000}">
      <formula1>INDIRECT($H$45)</formula1>
    </dataValidation>
    <dataValidation type="list" allowBlank="1" showInputMessage="1" showErrorMessage="1" sqref="I46" xr:uid="{00000000-0002-0000-0100-00001B000000}">
      <formula1>INDIRECT($H$46)</formula1>
    </dataValidation>
    <dataValidation type="list" allowBlank="1" showInputMessage="1" showErrorMessage="1" sqref="I47" xr:uid="{00000000-0002-0000-0100-00001C000000}">
      <formula1>INDIRECT($H$47)</formula1>
    </dataValidation>
    <dataValidation type="list" allowBlank="1" showInputMessage="1" showErrorMessage="1" sqref="I48" xr:uid="{00000000-0002-0000-0100-00001D000000}">
      <formula1>INDIRECT($H$48)</formula1>
    </dataValidation>
    <dataValidation type="list" allowBlank="1" showInputMessage="1" showErrorMessage="1" sqref="I49" xr:uid="{00000000-0002-0000-0100-00001E000000}">
      <formula1>INDIRECT($H$49)</formula1>
    </dataValidation>
    <dataValidation type="list" allowBlank="1" showInputMessage="1" showErrorMessage="1" sqref="I50" xr:uid="{00000000-0002-0000-0100-00001F000000}">
      <formula1>INDIRECT($H$50)</formula1>
    </dataValidation>
    <dataValidation type="list" allowBlank="1" showInputMessage="1" showErrorMessage="1" sqref="I55" xr:uid="{00000000-0002-0000-0100-000020000000}">
      <formula1>INDIRECT($H$55)</formula1>
    </dataValidation>
    <dataValidation type="list" allowBlank="1" showInputMessage="1" showErrorMessage="1" sqref="I54" xr:uid="{00000000-0002-0000-0100-000021000000}">
      <formula1>INDIRECT($H$54)</formula1>
    </dataValidation>
    <dataValidation type="list" allowBlank="1" showInputMessage="1" showErrorMessage="1" sqref="I53" xr:uid="{00000000-0002-0000-0100-000022000000}">
      <formula1>INDIRECT($H$53)</formula1>
    </dataValidation>
    <dataValidation type="list" allowBlank="1" showInputMessage="1" showErrorMessage="1" sqref="I52" xr:uid="{00000000-0002-0000-0100-000023000000}">
      <formula1>INDIRECT($H$52)</formula1>
    </dataValidation>
    <dataValidation type="list" allowBlank="1" showInputMessage="1" showErrorMessage="1" sqref="I51" xr:uid="{00000000-0002-0000-0100-000024000000}">
      <formula1>INDIRECT($H$51)</formula1>
    </dataValidation>
    <dataValidation type="list" allowBlank="1" showInputMessage="1" showErrorMessage="1" sqref="I57" xr:uid="{00000000-0002-0000-0100-000025000000}">
      <formula1>INDIRECT($H$57)</formula1>
    </dataValidation>
    <dataValidation type="list" allowBlank="1" showInputMessage="1" showErrorMessage="1" sqref="I58" xr:uid="{00000000-0002-0000-0100-000026000000}">
      <formula1>INDIRECT($H$58)</formula1>
    </dataValidation>
    <dataValidation type="list" allowBlank="1" showInputMessage="1" showErrorMessage="1" sqref="I59" xr:uid="{00000000-0002-0000-0100-000027000000}">
      <formula1>INDIRECT($H$59)</formula1>
    </dataValidation>
    <dataValidation type="list" allowBlank="1" showInputMessage="1" showErrorMessage="1" sqref="I60" xr:uid="{00000000-0002-0000-0100-000028000000}">
      <formula1>INDIRECT($H$60)</formula1>
    </dataValidation>
    <dataValidation type="list" allowBlank="1" showInputMessage="1" showErrorMessage="1" sqref="I63" xr:uid="{00000000-0002-0000-0100-000029000000}">
      <formula1>INDIRECT($H$63)</formula1>
    </dataValidation>
    <dataValidation type="list" allowBlank="1" showInputMessage="1" showErrorMessage="1" sqref="I64" xr:uid="{00000000-0002-0000-0100-00002A000000}">
      <formula1>INDIRECT($H$64)</formula1>
    </dataValidation>
    <dataValidation type="list" allowBlank="1" showInputMessage="1" showErrorMessage="1" sqref="I65" xr:uid="{00000000-0002-0000-0100-00002B000000}">
      <formula1>INDIRECT($H$65)</formula1>
    </dataValidation>
    <dataValidation type="list" allowBlank="1" showInputMessage="1" showErrorMessage="1" sqref="I66" xr:uid="{00000000-0002-0000-0100-00002C000000}">
      <formula1>INDIRECT($H$66)</formula1>
    </dataValidation>
    <dataValidation type="list" allowBlank="1" showInputMessage="1" showErrorMessage="1" sqref="I67" xr:uid="{00000000-0002-0000-0100-00002D000000}">
      <formula1>INDIRECT($H$67)</formula1>
    </dataValidation>
    <dataValidation type="list" allowBlank="1" showInputMessage="1" showErrorMessage="1" sqref="I68" xr:uid="{00000000-0002-0000-0100-00002E000000}">
      <formula1>INDIRECT($H$68)</formula1>
    </dataValidation>
    <dataValidation type="list" allowBlank="1" showInputMessage="1" showErrorMessage="1" sqref="I69" xr:uid="{00000000-0002-0000-0100-00002F000000}">
      <formula1>INDIRECT($H$69)</formula1>
    </dataValidation>
    <dataValidation type="list" allowBlank="1" showInputMessage="1" showErrorMessage="1" sqref="I70" xr:uid="{00000000-0002-0000-0100-000030000000}">
      <formula1>INDIRECT($H$70)</formula1>
    </dataValidation>
    <dataValidation type="list" allowBlank="1" showInputMessage="1" showErrorMessage="1" sqref="I71" xr:uid="{00000000-0002-0000-0100-000031000000}">
      <formula1>INDIRECT($H$71)</formula1>
    </dataValidation>
    <dataValidation type="list" allowBlank="1" showInputMessage="1" showErrorMessage="1" sqref="I72" xr:uid="{00000000-0002-0000-0100-000032000000}">
      <formula1>INDIRECT($H$72)</formula1>
    </dataValidation>
    <dataValidation type="list" allowBlank="1" showInputMessage="1" showErrorMessage="1" sqref="I74" xr:uid="{00000000-0002-0000-0100-000033000000}">
      <formula1>INDIRECT($H$74)</formula1>
    </dataValidation>
    <dataValidation type="list" allowBlank="1" showInputMessage="1" showErrorMessage="1" sqref="I75" xr:uid="{00000000-0002-0000-0100-000034000000}">
      <formula1>INDIRECT($H$75)</formula1>
    </dataValidation>
    <dataValidation type="list" allowBlank="1" showInputMessage="1" showErrorMessage="1" sqref="I76" xr:uid="{00000000-0002-0000-0100-000035000000}">
      <formula1>INDIRECT($H$76)</formula1>
    </dataValidation>
    <dataValidation type="list" allowBlank="1" showInputMessage="1" showErrorMessage="1" sqref="I77" xr:uid="{00000000-0002-0000-0100-000036000000}">
      <formula1>INDIRECT($H$77)</formula1>
    </dataValidation>
    <dataValidation type="list" allowBlank="1" showInputMessage="1" showErrorMessage="1" sqref="I78" xr:uid="{00000000-0002-0000-0100-000037000000}">
      <formula1>INDIRECT($H$78)</formula1>
    </dataValidation>
    <dataValidation type="list" allowBlank="1" showInputMessage="1" showErrorMessage="1" sqref="I79" xr:uid="{00000000-0002-0000-0100-000038000000}">
      <formula1>INDIRECT($H$79)</formula1>
    </dataValidation>
    <dataValidation type="list" allowBlank="1" showInputMessage="1" showErrorMessage="1" sqref="I80" xr:uid="{00000000-0002-0000-0100-000039000000}">
      <formula1>INDIRECT($H$80)</formula1>
    </dataValidation>
    <dataValidation type="list" allowBlank="1" showInputMessage="1" showErrorMessage="1" sqref="I81" xr:uid="{00000000-0002-0000-0100-00003A000000}">
      <formula1>INDIRECT($H$81)</formula1>
    </dataValidation>
    <dataValidation type="list" allowBlank="1" showInputMessage="1" showErrorMessage="1" sqref="I82" xr:uid="{00000000-0002-0000-0100-00003B000000}">
      <formula1>INDIRECT($H$82)</formula1>
    </dataValidation>
    <dataValidation type="list" allowBlank="1" showInputMessage="1" showErrorMessage="1" sqref="I83" xr:uid="{00000000-0002-0000-0100-00003C000000}">
      <formula1>INDIRECT($H$83)</formula1>
    </dataValidation>
    <dataValidation type="list" allowBlank="1" showInputMessage="1" showErrorMessage="1" sqref="I84" xr:uid="{00000000-0002-0000-0100-00003D000000}">
      <formula1>INDIRECT($H$84)</formula1>
    </dataValidation>
    <dataValidation type="list" allowBlank="1" showInputMessage="1" showErrorMessage="1" sqref="I85" xr:uid="{00000000-0002-0000-0100-00003E000000}">
      <formula1>INDIRECT($H$85)</formula1>
    </dataValidation>
    <dataValidation type="list" allowBlank="1" showInputMessage="1" showErrorMessage="1" sqref="I86" xr:uid="{00000000-0002-0000-0100-00003F000000}">
      <formula1>INDIRECT($H$86)</formula1>
    </dataValidation>
    <dataValidation type="list" allowBlank="1" showInputMessage="1" showErrorMessage="1" sqref="I87" xr:uid="{00000000-0002-0000-0100-000040000000}">
      <formula1>INDIRECT($H$87)</formula1>
    </dataValidation>
    <dataValidation type="list" allowBlank="1" showInputMessage="1" showErrorMessage="1" sqref="I89 I134:I145 I147:I150 I179:I190 I192:I195 I288:I297 I224:I235 I237:I240 I198:I207 I269:I280 I282:I285 I243:I252 I314:I325 I327:I330 I153:I162 I209:I222 I254:I267 I299:I312 I164:I177" xr:uid="{00000000-0002-0000-0100-000041000000}">
      <formula1>INDIRECT($H89)</formula1>
    </dataValidation>
    <dataValidation type="list" allowBlank="1" showInputMessage="1" showErrorMessage="1" sqref="I90" xr:uid="{00000000-0002-0000-0100-000042000000}">
      <formula1>INDIRECT($H$90)</formula1>
    </dataValidation>
    <dataValidation type="list" allowBlank="1" showInputMessage="1" showErrorMessage="1" sqref="I91" xr:uid="{00000000-0002-0000-0100-000043000000}">
      <formula1>INDIRECT($H$91)</formula1>
    </dataValidation>
    <dataValidation type="list" allowBlank="1" showInputMessage="1" showErrorMessage="1" sqref="I92" xr:uid="{00000000-0002-0000-0100-000044000000}">
      <formula1>INDIRECT($H$92)</formula1>
    </dataValidation>
    <dataValidation type="list" allowBlank="1" showInputMessage="1" showErrorMessage="1" sqref="I93" xr:uid="{00000000-0002-0000-0100-000045000000}">
      <formula1>INDIRECT($H$93)</formula1>
    </dataValidation>
    <dataValidation type="list" allowBlank="1" showInputMessage="1" showErrorMessage="1" sqref="I94" xr:uid="{00000000-0002-0000-0100-000046000000}">
      <formula1>INDIRECT($H$94)</formula1>
    </dataValidation>
    <dataValidation type="list" allowBlank="1" showInputMessage="1" showErrorMessage="1" sqref="I95" xr:uid="{00000000-0002-0000-0100-000047000000}">
      <formula1>INDIRECT($H$95)</formula1>
    </dataValidation>
    <dataValidation type="list" allowBlank="1" showInputMessage="1" showErrorMessage="1" sqref="I96" xr:uid="{00000000-0002-0000-0100-000048000000}">
      <formula1>INDIRECT($H$96)</formula1>
    </dataValidation>
    <dataValidation type="list" allowBlank="1" showInputMessage="1" showErrorMessage="1" sqref="I97" xr:uid="{00000000-0002-0000-0100-000049000000}">
      <formula1>INDIRECT($H$97)</formula1>
    </dataValidation>
    <dataValidation type="list" allowBlank="1" showInputMessage="1" showErrorMessage="1" sqref="I98" xr:uid="{00000000-0002-0000-0100-00004A000000}">
      <formula1>INDIRECT($H$98)</formula1>
    </dataValidation>
    <dataValidation type="list" allowBlank="1" showInputMessage="1" showErrorMessage="1" sqref="I99" xr:uid="{00000000-0002-0000-0100-00004B000000}">
      <formula1>INDIRECT($H$99)</formula1>
    </dataValidation>
    <dataValidation type="list" allowBlank="1" showInputMessage="1" showErrorMessage="1" sqref="I100" xr:uid="{00000000-0002-0000-0100-00004C000000}">
      <formula1>INDIRECT($H$100)</formula1>
    </dataValidation>
    <dataValidation type="list" allowBlank="1" showInputMessage="1" showErrorMessage="1" sqref="I102" xr:uid="{00000000-0002-0000-0100-00004D000000}">
      <formula1>INDIRECT($H$102)</formula1>
    </dataValidation>
    <dataValidation type="list" allowBlank="1" showInputMessage="1" showErrorMessage="1" sqref="I103" xr:uid="{00000000-0002-0000-0100-00004E000000}">
      <formula1>INDIRECT($H$103)</formula1>
    </dataValidation>
    <dataValidation type="list" allowBlank="1" showInputMessage="1" showErrorMessage="1" sqref="I104" xr:uid="{00000000-0002-0000-0100-00004F000000}">
      <formula1>INDIRECT($H$104)</formula1>
    </dataValidation>
    <dataValidation type="list" allowBlank="1" showInputMessage="1" showErrorMessage="1" sqref="I105" xr:uid="{00000000-0002-0000-0100-000050000000}">
      <formula1>INDIRECT($H$105)</formula1>
    </dataValidation>
    <dataValidation type="list" allowBlank="1" showInputMessage="1" showErrorMessage="1" sqref="I108" xr:uid="{00000000-0002-0000-0100-000051000000}">
      <formula1>INDIRECT($H$108)</formula1>
    </dataValidation>
    <dataValidation type="list" allowBlank="1" showInputMessage="1" showErrorMessage="1" sqref="I109" xr:uid="{00000000-0002-0000-0100-000052000000}">
      <formula1>INDIRECT($H$109)</formula1>
    </dataValidation>
    <dataValidation type="list" allowBlank="1" showInputMessage="1" showErrorMessage="1" sqref="I110" xr:uid="{00000000-0002-0000-0100-000053000000}">
      <formula1>INDIRECT($H$110)</formula1>
    </dataValidation>
    <dataValidation type="list" allowBlank="1" showInputMessage="1" showErrorMessage="1" sqref="I111" xr:uid="{00000000-0002-0000-0100-000054000000}">
      <formula1>INDIRECT($H$111)</formula1>
    </dataValidation>
    <dataValidation type="list" allowBlank="1" showInputMessage="1" showErrorMessage="1" sqref="I112" xr:uid="{00000000-0002-0000-0100-000055000000}">
      <formula1>INDIRECT($H$112)</formula1>
    </dataValidation>
    <dataValidation type="list" allowBlank="1" showInputMessage="1" showErrorMessage="1" sqref="I113" xr:uid="{00000000-0002-0000-0100-000056000000}">
      <formula1>INDIRECT($H$113)</formula1>
    </dataValidation>
    <dataValidation type="list" allowBlank="1" showInputMessage="1" showErrorMessage="1" sqref="I114" xr:uid="{00000000-0002-0000-0100-000057000000}">
      <formula1>INDIRECT($H$114)</formula1>
    </dataValidation>
    <dataValidation type="list" allowBlank="1" showInputMessage="1" showErrorMessage="1" sqref="I115" xr:uid="{00000000-0002-0000-0100-000058000000}">
      <formula1>INDIRECT($H$115)</formula1>
    </dataValidation>
    <dataValidation type="list" allowBlank="1" showInputMessage="1" showErrorMessage="1" sqref="I116" xr:uid="{00000000-0002-0000-0100-000059000000}">
      <formula1>INDIRECT($H$116)</formula1>
    </dataValidation>
    <dataValidation type="list" allowBlank="1" showInputMessage="1" showErrorMessage="1" sqref="I117" xr:uid="{00000000-0002-0000-0100-00005A000000}">
      <formula1>INDIRECT($H$117)</formula1>
    </dataValidation>
    <dataValidation type="list" allowBlank="1" showInputMessage="1" showErrorMessage="1" sqref="I119" xr:uid="{00000000-0002-0000-0100-00005B000000}">
      <formula1>INDIRECT($H$119)</formula1>
    </dataValidation>
    <dataValidation type="list" allowBlank="1" showInputMessage="1" showErrorMessage="1" sqref="I120" xr:uid="{00000000-0002-0000-0100-00005C000000}">
      <formula1>INDIRECT($H$120)</formula1>
    </dataValidation>
    <dataValidation type="list" allowBlank="1" showInputMessage="1" showErrorMessage="1" sqref="I121" xr:uid="{00000000-0002-0000-0100-00005D000000}">
      <formula1>INDIRECT($H$121)</formula1>
    </dataValidation>
    <dataValidation type="list" allowBlank="1" showInputMessage="1" showErrorMessage="1" sqref="I122" xr:uid="{00000000-0002-0000-0100-00005E000000}">
      <formula1>INDIRECT($H$122)</formula1>
    </dataValidation>
    <dataValidation type="list" allowBlank="1" showInputMessage="1" showErrorMessage="1" sqref="I123" xr:uid="{00000000-0002-0000-0100-00005F000000}">
      <formula1>INDIRECT($H$123)</formula1>
    </dataValidation>
    <dataValidation type="list" allowBlank="1" showInputMessage="1" showErrorMessage="1" sqref="I124" xr:uid="{00000000-0002-0000-0100-000060000000}">
      <formula1>INDIRECT($H$124)</formula1>
    </dataValidation>
    <dataValidation type="list" allowBlank="1" showInputMessage="1" showErrorMessage="1" sqref="I125" xr:uid="{00000000-0002-0000-0100-000061000000}">
      <formula1>INDIRECT($H$125)</formula1>
    </dataValidation>
    <dataValidation type="list" allowBlank="1" showInputMessage="1" showErrorMessage="1" sqref="I126" xr:uid="{00000000-0002-0000-0100-000062000000}">
      <formula1>INDIRECT($H$126)</formula1>
    </dataValidation>
    <dataValidation type="list" allowBlank="1" showInputMessage="1" showErrorMessage="1" sqref="I127" xr:uid="{00000000-0002-0000-0100-000063000000}">
      <formula1>INDIRECT($H$127)</formula1>
    </dataValidation>
    <dataValidation type="list" allowBlank="1" showInputMessage="1" showErrorMessage="1" sqref="I128" xr:uid="{00000000-0002-0000-0100-000064000000}">
      <formula1>INDIRECT($H$128)</formula1>
    </dataValidation>
    <dataValidation type="list" allowBlank="1" showInputMessage="1" showErrorMessage="1" sqref="I129" xr:uid="{00000000-0002-0000-0100-000065000000}">
      <formula1>INDIRECT($H$129)</formula1>
    </dataValidation>
    <dataValidation type="list" allowBlank="1" showInputMessage="1" showErrorMessage="1" sqref="I130" xr:uid="{00000000-0002-0000-0100-000066000000}">
      <formula1>INDIRECT($H$130)</formula1>
    </dataValidation>
    <dataValidation type="list" allowBlank="1" showInputMessage="1" showErrorMessage="1" sqref="I131" xr:uid="{00000000-0002-0000-0100-000067000000}">
      <formula1>INDIRECT($H$131)</formula1>
    </dataValidation>
    <dataValidation type="list" allowBlank="1" showInputMessage="1" showErrorMessage="1" sqref="I132" xr:uid="{00000000-0002-0000-0100-000068000000}">
      <formula1>INDIRECT($H$132)</formula1>
    </dataValidation>
  </dataValidations>
  <pageMargins left="0.31496062992125984" right="0.31496062992125984" top="0.35433070866141736" bottom="0.39370078740157483" header="0.31496062992125984" footer="0.31496062992125984"/>
  <pageSetup paperSize="8" scale="40" fitToWidth="10" fitToHeight="10" orientation="landscape" blackAndWhite="1" horizontalDpi="200" verticalDpi="200" r:id="rId1"/>
  <headerFooter>
    <oddFooter>&amp;L&amp;A в/ч 75764&amp;C&amp;D &amp;T&amp;RСтраница &amp;P из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69000000}">
          <x14:formula1>
            <xm:f>инфо!$I$2:$I$20</xm:f>
          </x14:formula1>
          <xm:sqref>I337</xm:sqref>
        </x14:dataValidation>
        <x14:dataValidation type="list" allowBlank="1" showInputMessage="1" showErrorMessage="1" xr:uid="{00000000-0002-0000-0100-000001000000}">
          <x14:formula1>
            <xm:f>OFFSET($AQ$1,1,MATCH($H19,инфо!$AZ$1:$BF$1,0)-1,COUNTA(OFFSET(инфо!$AZ$1,1,MATCH(H19,инфо!$AZ$1:$BF$1,0)-1,10,1)),1)</xm:f>
          </x14:formula1>
          <xm:sqref>I18</xm:sqref>
        </x14:dataValidation>
        <x14:dataValidation type="list" allowBlank="1" showInputMessage="1" showErrorMessage="1" xr:uid="{00000000-0002-0000-0100-00006A000000}">
          <x14:formula1>
            <xm:f>инфо!$AZ$1:$BF$1</xm:f>
          </x14:formula1>
          <xm:sqref>H18:H61 H63:H106 H108:H151 H153:H196 H198:H241 H243:H286 H288:H330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9">
    <pageSetUpPr fitToPage="1"/>
  </sheetPr>
  <dimension ref="A1:S60"/>
  <sheetViews>
    <sheetView showGridLines="0" zoomScaleNormal="10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H26" sqref="H26"/>
    </sheetView>
  </sheetViews>
  <sheetFormatPr defaultRowHeight="15" x14ac:dyDescent="0.25"/>
  <cols>
    <col min="1" max="1" width="3.5703125" style="223" customWidth="1"/>
    <col min="2" max="2" width="26.5703125" customWidth="1"/>
    <col min="3" max="3" width="18" hidden="1" customWidth="1"/>
    <col min="4" max="4" width="9.5703125" customWidth="1"/>
    <col min="5" max="18" width="8.28515625" customWidth="1"/>
    <col min="19" max="19" width="0.42578125" customWidth="1"/>
  </cols>
  <sheetData>
    <row r="1" spans="1:19" x14ac:dyDescent="0.25">
      <c r="A1" s="218"/>
      <c r="B1" s="202"/>
      <c r="C1" s="202"/>
      <c r="F1" s="874" t="s">
        <v>1502</v>
      </c>
      <c r="G1" s="202"/>
      <c r="H1" s="202"/>
      <c r="I1" s="202"/>
      <c r="J1" s="202"/>
      <c r="K1" s="202"/>
      <c r="L1" s="202"/>
      <c r="M1" s="202"/>
      <c r="N1" s="202"/>
      <c r="O1" s="202"/>
      <c r="P1" s="202"/>
      <c r="Q1" s="203"/>
      <c r="R1" s="203"/>
      <c r="S1" s="202"/>
    </row>
    <row r="2" spans="1:19" ht="17.25" customHeight="1" x14ac:dyDescent="0.25">
      <c r="A2" s="218"/>
      <c r="B2" s="202"/>
      <c r="C2" s="202"/>
      <c r="F2" s="202" t="s">
        <v>1503</v>
      </c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3"/>
      <c r="R2" s="203"/>
      <c r="S2" s="202"/>
    </row>
    <row r="3" spans="1:19" x14ac:dyDescent="0.25">
      <c r="A3" s="220"/>
      <c r="B3" s="206" t="s">
        <v>354</v>
      </c>
      <c r="C3" s="875"/>
      <c r="D3" s="1088">
        <f>Обложка!$D$6</f>
        <v>45127</v>
      </c>
      <c r="E3" s="1088"/>
      <c r="F3" s="235" t="s">
        <v>103</v>
      </c>
      <c r="G3" s="1088">
        <f>Обложка!$D$8</f>
        <v>45133</v>
      </c>
      <c r="H3" s="1088"/>
      <c r="I3" s="682"/>
      <c r="J3" s="682"/>
      <c r="K3" s="682"/>
      <c r="L3" s="682"/>
      <c r="M3" s="205"/>
      <c r="N3" s="205"/>
      <c r="O3" s="204"/>
      <c r="P3" s="204"/>
      <c r="Q3" s="205"/>
      <c r="R3" s="205"/>
      <c r="S3" s="205"/>
    </row>
    <row r="4" spans="1:19" ht="15" customHeight="1" thickBot="1" x14ac:dyDescent="0.3">
      <c r="A4" s="220"/>
      <c r="B4" s="206"/>
      <c r="C4" s="206"/>
      <c r="D4" s="207"/>
      <c r="E4" s="208"/>
      <c r="F4" s="208"/>
      <c r="G4" s="208"/>
      <c r="H4" s="208"/>
      <c r="I4" s="682"/>
      <c r="J4" s="682"/>
      <c r="K4" s="682"/>
      <c r="L4" s="682"/>
      <c r="M4" s="205"/>
      <c r="N4" s="205"/>
      <c r="O4" s="204"/>
      <c r="P4" s="204"/>
      <c r="Q4" s="205"/>
      <c r="R4" s="205"/>
      <c r="S4" s="205"/>
    </row>
    <row r="5" spans="1:19" s="90" customFormat="1" ht="24.75" customHeight="1" x14ac:dyDescent="0.25">
      <c r="A5" s="1072" t="s">
        <v>129</v>
      </c>
      <c r="B5" s="1074" t="s">
        <v>130</v>
      </c>
      <c r="C5" s="1074" t="s">
        <v>317</v>
      </c>
      <c r="D5" s="1076" t="s">
        <v>1513</v>
      </c>
      <c r="E5" s="1078" t="s">
        <v>1504</v>
      </c>
      <c r="F5" s="1079"/>
      <c r="G5" s="1079"/>
      <c r="H5" s="1079"/>
      <c r="I5" s="1079"/>
      <c r="J5" s="1079"/>
      <c r="K5" s="1079"/>
      <c r="L5" s="1079"/>
      <c r="M5" s="1079"/>
      <c r="N5" s="1079"/>
      <c r="O5" s="1079"/>
      <c r="P5" s="1079"/>
      <c r="Q5" s="1079"/>
      <c r="R5" s="1079"/>
      <c r="S5" s="1080"/>
    </row>
    <row r="6" spans="1:19" s="90" customFormat="1" ht="15.75" customHeight="1" x14ac:dyDescent="0.25">
      <c r="A6" s="1073"/>
      <c r="B6" s="1075"/>
      <c r="C6" s="1083"/>
      <c r="D6" s="1077"/>
      <c r="E6" s="1081" t="s">
        <v>344</v>
      </c>
      <c r="F6" s="1082"/>
      <c r="G6" s="1081" t="s">
        <v>193</v>
      </c>
      <c r="H6" s="1082"/>
      <c r="I6" s="1081" t="s">
        <v>194</v>
      </c>
      <c r="J6" s="1082"/>
      <c r="K6" s="1081" t="s">
        <v>195</v>
      </c>
      <c r="L6" s="1082"/>
      <c r="M6" s="1081" t="s">
        <v>196</v>
      </c>
      <c r="N6" s="1082"/>
      <c r="O6" s="1081" t="s">
        <v>197</v>
      </c>
      <c r="P6" s="1082"/>
      <c r="Q6" s="1081" t="s">
        <v>345</v>
      </c>
      <c r="R6" s="1082"/>
      <c r="S6" s="913"/>
    </row>
    <row r="7" spans="1:19" s="242" customFormat="1" x14ac:dyDescent="0.25">
      <c r="A7" s="914"/>
      <c r="B7" s="915"/>
      <c r="C7" s="915"/>
      <c r="D7" s="916"/>
      <c r="E7" s="1086">
        <f>Обложка!$D$12</f>
        <v>45127</v>
      </c>
      <c r="F7" s="1087"/>
      <c r="G7" s="1086">
        <f>Обложка!$F$12</f>
        <v>45128</v>
      </c>
      <c r="H7" s="1087"/>
      <c r="I7" s="1086">
        <f>Обложка!$H$12</f>
        <v>45129</v>
      </c>
      <c r="J7" s="1087"/>
      <c r="K7" s="1086">
        <f>Обложка!$J$12</f>
        <v>45130</v>
      </c>
      <c r="L7" s="1087"/>
      <c r="M7" s="1086">
        <f>Обложка!$L$12</f>
        <v>45131</v>
      </c>
      <c r="N7" s="1087"/>
      <c r="O7" s="1086">
        <f>Обложка!$N$12</f>
        <v>45132</v>
      </c>
      <c r="P7" s="1087"/>
      <c r="Q7" s="1086">
        <f>Обложка!$P$12</f>
        <v>45133</v>
      </c>
      <c r="R7" s="1087"/>
      <c r="S7" s="917"/>
    </row>
    <row r="8" spans="1:19" s="242" customFormat="1" x14ac:dyDescent="0.25">
      <c r="A8" s="914"/>
      <c r="B8" s="918"/>
      <c r="C8" s="918"/>
      <c r="D8" s="919"/>
      <c r="E8" s="1084">
        <f>Обложка!$D$13</f>
        <v>311</v>
      </c>
      <c r="F8" s="1085"/>
      <c r="G8" s="1084">
        <f>Обложка!$F$13</f>
        <v>312</v>
      </c>
      <c r="H8" s="1085"/>
      <c r="I8" s="1084">
        <f>Обложка!$H$13</f>
        <v>313</v>
      </c>
      <c r="J8" s="1085"/>
      <c r="K8" s="1084">
        <f>Обложка!J13</f>
        <v>314</v>
      </c>
      <c r="L8" s="1085"/>
      <c r="M8" s="1084">
        <f>Обложка!$L$13</f>
        <v>315</v>
      </c>
      <c r="N8" s="1085"/>
      <c r="O8" s="1084">
        <f>Обложка!$N$13</f>
        <v>316</v>
      </c>
      <c r="P8" s="1085"/>
      <c r="Q8" s="1084">
        <f>Обложка!$P$13</f>
        <v>317</v>
      </c>
      <c r="R8" s="1085"/>
      <c r="S8" s="920"/>
    </row>
    <row r="9" spans="1:19" x14ac:dyDescent="0.25">
      <c r="A9" s="908"/>
      <c r="B9" s="904" t="s">
        <v>1485</v>
      </c>
      <c r="C9" s="909"/>
      <c r="D9" s="905"/>
      <c r="E9" s="1089"/>
      <c r="F9" s="1090"/>
      <c r="G9" s="1089"/>
      <c r="H9" s="1090"/>
      <c r="I9" s="1089"/>
      <c r="J9" s="1090"/>
      <c r="K9" s="1089"/>
      <c r="L9" s="1090"/>
      <c r="M9" s="1089"/>
      <c r="N9" s="1090"/>
      <c r="O9" s="1089"/>
      <c r="P9" s="1090"/>
      <c r="Q9" s="1089"/>
      <c r="R9" s="1090"/>
      <c r="S9" s="878"/>
    </row>
    <row r="10" spans="1:19" x14ac:dyDescent="0.25">
      <c r="A10" s="910"/>
      <c r="B10" s="904" t="s">
        <v>1486</v>
      </c>
      <c r="C10" s="909"/>
      <c r="D10" s="905"/>
      <c r="E10" s="911" t="s">
        <v>1505</v>
      </c>
      <c r="F10" s="912" t="s">
        <v>1506</v>
      </c>
      <c r="G10" s="911" t="s">
        <v>1505</v>
      </c>
      <c r="H10" s="912" t="s">
        <v>1506</v>
      </c>
      <c r="I10" s="911" t="s">
        <v>1505</v>
      </c>
      <c r="J10" s="912" t="s">
        <v>1506</v>
      </c>
      <c r="K10" s="911" t="s">
        <v>1505</v>
      </c>
      <c r="L10" s="912" t="s">
        <v>1506</v>
      </c>
      <c r="M10" s="911" t="s">
        <v>1505</v>
      </c>
      <c r="N10" s="912" t="s">
        <v>1506</v>
      </c>
      <c r="O10" s="911" t="s">
        <v>1505</v>
      </c>
      <c r="P10" s="912" t="s">
        <v>1506</v>
      </c>
      <c r="Q10" s="911" t="s">
        <v>1505</v>
      </c>
      <c r="R10" s="912" t="s">
        <v>1506</v>
      </c>
      <c r="S10" s="878"/>
    </row>
    <row r="11" spans="1:19" x14ac:dyDescent="0.25">
      <c r="A11" s="880">
        <f>A9+1</f>
        <v>1</v>
      </c>
      <c r="B11" s="876" t="s">
        <v>1458</v>
      </c>
      <c r="C11" s="876" t="s">
        <v>51</v>
      </c>
      <c r="D11" s="877">
        <v>300</v>
      </c>
      <c r="E11" s="879">
        <f>SUMIF(Меню!$J$5:$FD$5,$C11,Меню!$J$62:$FD$62)</f>
        <v>150</v>
      </c>
      <c r="F11" s="883">
        <f>IF(E11&lt;$D11,E11-$D11,"")</f>
        <v>-150</v>
      </c>
      <c r="G11" s="879">
        <f>SUMIF(Меню!$J$5:$FD$5,$C11,Меню!$J$107:$FD$107)</f>
        <v>150</v>
      </c>
      <c r="H11" s="883">
        <f>IF(G11&lt;$D11,G11-$D11,"")</f>
        <v>-150</v>
      </c>
      <c r="I11" s="879">
        <f>SUMIF(Меню!$J$5:$FD$5,$C11,Меню!$J$152:$FD$152)</f>
        <v>150</v>
      </c>
      <c r="J11" s="883">
        <f>IF(I11&lt;$D11,I11-$D11,"")</f>
        <v>-150</v>
      </c>
      <c r="K11" s="879">
        <f>SUMIF(Меню!$J$5:$FD$5,$C11,Меню!$J$197:$FD$197)</f>
        <v>150</v>
      </c>
      <c r="L11" s="883">
        <f>IF(K11&lt;$D11,K11-$D11,"")</f>
        <v>-150</v>
      </c>
      <c r="M11" s="879">
        <f>SUMIF(Меню!$J$5:$FD$5,$C11,Меню!$J$242:$FD$242)</f>
        <v>150</v>
      </c>
      <c r="N11" s="883">
        <f>IF(M11&lt;$D11,M11-$D11,"")</f>
        <v>-150</v>
      </c>
      <c r="O11" s="879">
        <f>SUMIF(Меню!$J$5:$FD$5,$C11,Меню!$J$287:$FD$287)</f>
        <v>150</v>
      </c>
      <c r="P11" s="883">
        <f>IF(O11&lt;$D11,O11-$D11,"")</f>
        <v>-150</v>
      </c>
      <c r="Q11" s="879">
        <f>SUMIF(Меню!$J$5:$FD$5,$C11,Меню!$J$332:$FD$332)</f>
        <v>150</v>
      </c>
      <c r="R11" s="883">
        <f>IF(Q11&lt;$D11,Q11-$D11,"")</f>
        <v>-150</v>
      </c>
      <c r="S11" s="878"/>
    </row>
    <row r="12" spans="1:19" x14ac:dyDescent="0.25">
      <c r="A12" s="880">
        <f t="shared" ref="A12:A44" si="0">A11+1</f>
        <v>2</v>
      </c>
      <c r="B12" s="876" t="s">
        <v>1459</v>
      </c>
      <c r="C12" s="876" t="s">
        <v>411</v>
      </c>
      <c r="D12" s="877">
        <v>400</v>
      </c>
      <c r="E12" s="879">
        <f>SUMIF(Меню!$J$5:$FD$5,$C12,Меню!$J$62:$FD$62)</f>
        <v>300</v>
      </c>
      <c r="F12" s="883">
        <f t="shared" ref="F12:P58" si="1">IF(E12&lt;$D12,E12-$D12,"")</f>
        <v>-100</v>
      </c>
      <c r="G12" s="879">
        <f>SUMIF(Меню!$J$5:$FD$5,$C12,Меню!$J$107:$FD$107)</f>
        <v>300</v>
      </c>
      <c r="H12" s="883">
        <f t="shared" si="1"/>
        <v>-100</v>
      </c>
      <c r="I12" s="879">
        <f>SUMIF(Меню!$J$5:$FD$5,$C12,Меню!$J$152:$FD$152)</f>
        <v>326</v>
      </c>
      <c r="J12" s="883">
        <f t="shared" ref="J12" si="2">IF(I12&lt;$D12,I12-$D12,"")</f>
        <v>-74</v>
      </c>
      <c r="K12" s="879">
        <f>SUMIF(Меню!$J$5:$FD$5,$C12,Меню!$J$197:$FD$197)</f>
        <v>300</v>
      </c>
      <c r="L12" s="883">
        <f t="shared" ref="L12" si="3">IF(K12&lt;$D12,K12-$D12,"")</f>
        <v>-100</v>
      </c>
      <c r="M12" s="879">
        <f>SUMIF(Меню!$J$5:$FD$5,$C12,Меню!$J$242:$FD$242)</f>
        <v>300</v>
      </c>
      <c r="N12" s="883">
        <f t="shared" ref="N12" si="4">IF(M12&lt;$D12,M12-$D12,"")</f>
        <v>-100</v>
      </c>
      <c r="O12" s="879">
        <f>SUMIF(Меню!$J$5:$FD$5,$C12,Меню!$J$287:$FD$287)</f>
        <v>300</v>
      </c>
      <c r="P12" s="883">
        <f t="shared" ref="P12" si="5">IF(O12&lt;$D12,O12-$D12,"")</f>
        <v>-100</v>
      </c>
      <c r="Q12" s="879">
        <f>SUMIF(Меню!$J$5:$FD$5,$C12,Меню!$J$332:$FD$332)</f>
        <v>300</v>
      </c>
      <c r="R12" s="883">
        <f t="shared" ref="R12" si="6">IF(Q12&lt;$D12,Q12-$D12,"")</f>
        <v>-100</v>
      </c>
      <c r="S12" s="878"/>
    </row>
    <row r="13" spans="1:19" x14ac:dyDescent="0.25">
      <c r="A13" s="880">
        <f t="shared" si="0"/>
        <v>3</v>
      </c>
      <c r="B13" s="876" t="s">
        <v>1460</v>
      </c>
      <c r="C13" s="876" t="s">
        <v>410</v>
      </c>
      <c r="D13" s="877">
        <v>50</v>
      </c>
      <c r="E13" s="879">
        <f>SUMIF(Меню!$J$5:$FD$5,$C13,Меню!$J$62:$FD$62)</f>
        <v>11</v>
      </c>
      <c r="F13" s="883">
        <f t="shared" si="1"/>
        <v>-39</v>
      </c>
      <c r="G13" s="879">
        <f>SUMIF(Меню!$J$5:$FD$5,$C13,Меню!$J$107:$FD$107)</f>
        <v>7.64</v>
      </c>
      <c r="H13" s="883">
        <f t="shared" si="1"/>
        <v>-42.36</v>
      </c>
      <c r="I13" s="879">
        <f>SUMIF(Меню!$J$5:$FD$5,$C13,Меню!$J$152:$FD$152)</f>
        <v>15.6</v>
      </c>
      <c r="J13" s="883">
        <f t="shared" ref="J13" si="7">IF(I13&lt;$D13,I13-$D13,"")</f>
        <v>-34.4</v>
      </c>
      <c r="K13" s="879">
        <f>SUMIF(Меню!$J$5:$FD$5,$C13,Меню!$J$197:$FD$197)</f>
        <v>11.8</v>
      </c>
      <c r="L13" s="883">
        <f t="shared" ref="L13" si="8">IF(K13&lt;$D13,K13-$D13,"")</f>
        <v>-38.200000000000003</v>
      </c>
      <c r="M13" s="879">
        <f>SUMIF(Меню!$J$5:$FD$5,$C13,Меню!$J$242:$FD$242)</f>
        <v>9.7199999999999989</v>
      </c>
      <c r="N13" s="883">
        <f t="shared" ref="N13" si="9">IF(M13&lt;$D13,M13-$D13,"")</f>
        <v>-40.28</v>
      </c>
      <c r="O13" s="879">
        <f>SUMIF(Меню!$J$5:$FD$5,$C13,Меню!$J$287:$FD$287)</f>
        <v>7.8</v>
      </c>
      <c r="P13" s="883">
        <f t="shared" ref="P13" si="10">IF(O13&lt;$D13,O13-$D13,"")</f>
        <v>-42.2</v>
      </c>
      <c r="Q13" s="879">
        <f>SUMIF(Меню!$J$5:$FD$5,$C13,Меню!$J$332:$FD$332)</f>
        <v>10</v>
      </c>
      <c r="R13" s="883">
        <f t="shared" ref="R13" si="11">IF(Q13&lt;$D13,Q13-$D13,"")</f>
        <v>-40</v>
      </c>
      <c r="S13" s="878"/>
    </row>
    <row r="14" spans="1:19" x14ac:dyDescent="0.25">
      <c r="A14" s="880">
        <f t="shared" si="0"/>
        <v>4</v>
      </c>
      <c r="B14" s="876" t="s">
        <v>1461</v>
      </c>
      <c r="C14" s="876" t="s">
        <v>1461</v>
      </c>
      <c r="D14" s="877">
        <v>120</v>
      </c>
      <c r="E14" s="879">
        <f>SUMIF(Меню!$J$5:$FD$5,$C14,Меню!$J$62:$FD$62)</f>
        <v>279</v>
      </c>
      <c r="F14" s="883" t="str">
        <f t="shared" si="1"/>
        <v/>
      </c>
      <c r="G14" s="879">
        <f>SUMIF(Меню!$J$5:$FD$5,$C14,Меню!$J$107:$FD$107)</f>
        <v>289</v>
      </c>
      <c r="H14" s="883" t="str">
        <f t="shared" si="1"/>
        <v/>
      </c>
      <c r="I14" s="879">
        <f>SUMIF(Меню!$J$5:$FD$5,$C14,Меню!$J$152:$FD$152)</f>
        <v>186</v>
      </c>
      <c r="J14" s="883" t="str">
        <f t="shared" ref="J14" si="12">IF(I14&lt;$D14,I14-$D14,"")</f>
        <v/>
      </c>
      <c r="K14" s="879">
        <f>SUMIF(Меню!$J$5:$FD$5,$C14,Меню!$J$197:$FD$197)</f>
        <v>269</v>
      </c>
      <c r="L14" s="883" t="str">
        <f t="shared" ref="L14" si="13">IF(K14&lt;$D14,K14-$D14,"")</f>
        <v/>
      </c>
      <c r="M14" s="879">
        <f>SUMIF(Меню!$J$5:$FD$5,$C14,Меню!$J$242:$FD$242)</f>
        <v>186</v>
      </c>
      <c r="N14" s="883" t="str">
        <f t="shared" ref="N14" si="14">IF(M14&lt;$D14,M14-$D14,"")</f>
        <v/>
      </c>
      <c r="O14" s="879">
        <f>SUMIF(Меню!$J$5:$FD$5,$C14,Меню!$J$287:$FD$287)</f>
        <v>249</v>
      </c>
      <c r="P14" s="883" t="str">
        <f t="shared" ref="P14" si="15">IF(O14&lt;$D14,O14-$D14,"")</f>
        <v/>
      </c>
      <c r="Q14" s="879">
        <f>SUMIF(Меню!$J$5:$FD$5,$C14,Меню!$J$332:$FD$332)</f>
        <v>184</v>
      </c>
      <c r="R14" s="883" t="str">
        <f t="shared" ref="R14" si="16">IF(Q14&lt;$D14,Q14-$D14,"")</f>
        <v/>
      </c>
      <c r="S14" s="878"/>
    </row>
    <row r="15" spans="1:19" x14ac:dyDescent="0.25">
      <c r="A15" s="880">
        <f t="shared" si="0"/>
        <v>5</v>
      </c>
      <c r="B15" s="876" t="s">
        <v>1462</v>
      </c>
      <c r="C15" s="876" t="s">
        <v>41</v>
      </c>
      <c r="D15" s="877">
        <v>40</v>
      </c>
      <c r="E15" s="879">
        <f>SUMIF(Меню!$J$5:$FD$5,$C15,Меню!$J$62:$FD$62)</f>
        <v>83</v>
      </c>
      <c r="F15" s="883" t="str">
        <f t="shared" si="1"/>
        <v/>
      </c>
      <c r="G15" s="879">
        <f>SUMIF(Меню!$J$5:$FD$5,$C15,Меню!$J$107:$FD$107)</f>
        <v>0</v>
      </c>
      <c r="H15" s="883">
        <f t="shared" si="1"/>
        <v>-40</v>
      </c>
      <c r="I15" s="879">
        <f>SUMIF(Меню!$J$5:$FD$5,$C15,Меню!$J$152:$FD$152)</f>
        <v>83</v>
      </c>
      <c r="J15" s="883" t="str">
        <f t="shared" ref="J15" si="17">IF(I15&lt;$D15,I15-$D15,"")</f>
        <v/>
      </c>
      <c r="K15" s="879">
        <f>SUMIF(Меню!$J$5:$FD$5,$C15,Меню!$J$197:$FD$197)</f>
        <v>0</v>
      </c>
      <c r="L15" s="883">
        <f t="shared" ref="L15" si="18">IF(K15&lt;$D15,K15-$D15,"")</f>
        <v>-40</v>
      </c>
      <c r="M15" s="879">
        <f>SUMIF(Меню!$J$5:$FD$5,$C15,Меню!$J$242:$FD$242)</f>
        <v>83</v>
      </c>
      <c r="N15" s="883" t="str">
        <f t="shared" ref="N15" si="19">IF(M15&lt;$D15,M15-$D15,"")</f>
        <v/>
      </c>
      <c r="O15" s="879">
        <f>SUMIF(Меню!$J$5:$FD$5,$C15,Меню!$J$287:$FD$287)</f>
        <v>83</v>
      </c>
      <c r="P15" s="883" t="str">
        <f t="shared" ref="P15" si="20">IF(O15&lt;$D15,O15-$D15,"")</f>
        <v/>
      </c>
      <c r="Q15" s="879">
        <f>SUMIF(Меню!$J$5:$FD$5,$C15,Меню!$J$332:$FD$332)</f>
        <v>0</v>
      </c>
      <c r="R15" s="883">
        <f t="shared" ref="R15" si="21">IF(Q15&lt;$D15,Q15-$D15,"")</f>
        <v>-40</v>
      </c>
      <c r="S15" s="878"/>
    </row>
    <row r="16" spans="1:19" x14ac:dyDescent="0.25">
      <c r="A16" s="880">
        <f t="shared" si="0"/>
        <v>6</v>
      </c>
      <c r="B16" s="876" t="s">
        <v>527</v>
      </c>
      <c r="C16" s="876" t="s">
        <v>527</v>
      </c>
      <c r="D16" s="877">
        <v>250</v>
      </c>
      <c r="E16" s="879">
        <f>SUMIF(Меню!$J$5:$FD$5,$C16,Меню!$J$62:$FD$62)</f>
        <v>112.5</v>
      </c>
      <c r="F16" s="883">
        <f t="shared" si="1"/>
        <v>-137.5</v>
      </c>
      <c r="G16" s="879">
        <f>SUMIF(Меню!$J$5:$FD$5,$C16,Меню!$J$107:$FD$107)</f>
        <v>100</v>
      </c>
      <c r="H16" s="883">
        <f t="shared" si="1"/>
        <v>-150</v>
      </c>
      <c r="I16" s="879">
        <f>SUMIF(Меню!$J$5:$FD$5,$C16,Меню!$J$152:$FD$152)</f>
        <v>75</v>
      </c>
      <c r="J16" s="883">
        <f t="shared" ref="J16" si="22">IF(I16&lt;$D16,I16-$D16,"")</f>
        <v>-175</v>
      </c>
      <c r="K16" s="879">
        <f>SUMIF(Меню!$J$5:$FD$5,$C16,Меню!$J$197:$FD$197)</f>
        <v>150</v>
      </c>
      <c r="L16" s="883">
        <f t="shared" ref="L16" si="23">IF(K16&lt;$D16,K16-$D16,"")</f>
        <v>-100</v>
      </c>
      <c r="M16" s="879">
        <f>SUMIF(Меню!$J$5:$FD$5,$C16,Меню!$J$242:$FD$242)</f>
        <v>112.5</v>
      </c>
      <c r="N16" s="883">
        <f t="shared" ref="N16" si="24">IF(M16&lt;$D16,M16-$D16,"")</f>
        <v>-137.5</v>
      </c>
      <c r="O16" s="879">
        <f>SUMIF(Меню!$J$5:$FD$5,$C16,Меню!$J$287:$FD$287)</f>
        <v>0</v>
      </c>
      <c r="P16" s="883">
        <f t="shared" ref="P16" si="25">IF(O16&lt;$D16,O16-$D16,"")</f>
        <v>-250</v>
      </c>
      <c r="Q16" s="879">
        <f>SUMIF(Меню!$J$5:$FD$5,$C16,Меню!$J$332:$FD$332)</f>
        <v>100.75</v>
      </c>
      <c r="R16" s="883">
        <f t="shared" ref="R16" si="26">IF(Q16&lt;$D16,Q16-$D16,"")</f>
        <v>-149.25</v>
      </c>
      <c r="S16" s="878"/>
    </row>
    <row r="17" spans="1:19" x14ac:dyDescent="0.25">
      <c r="A17" s="880">
        <f t="shared" si="0"/>
        <v>7</v>
      </c>
      <c r="B17" s="876" t="s">
        <v>1463</v>
      </c>
      <c r="C17" s="876" t="s">
        <v>1499</v>
      </c>
      <c r="D17" s="877">
        <v>25</v>
      </c>
      <c r="E17" s="879">
        <f>SUMIF(Меню!$J$5:$FD$5,$C17,Меню!$J$62:$FD$62)</f>
        <v>25</v>
      </c>
      <c r="F17" s="883" t="str">
        <f t="shared" si="1"/>
        <v/>
      </c>
      <c r="G17" s="879">
        <f>SUMIF(Меню!$J$5:$FD$5,$C17,Меню!$J$107:$FD$107)</f>
        <v>25</v>
      </c>
      <c r="H17" s="883" t="str">
        <f t="shared" si="1"/>
        <v/>
      </c>
      <c r="I17" s="879">
        <f>SUMIF(Меню!$J$5:$FD$5,$C17,Меню!$J$152:$FD$152)</f>
        <v>25</v>
      </c>
      <c r="J17" s="883" t="str">
        <f t="shared" ref="J17" si="27">IF(I17&lt;$D17,I17-$D17,"")</f>
        <v/>
      </c>
      <c r="K17" s="879">
        <f>SUMIF(Меню!$J$5:$FD$5,$C17,Меню!$J$197:$FD$197)</f>
        <v>25</v>
      </c>
      <c r="L17" s="883" t="str">
        <f t="shared" ref="L17" si="28">IF(K17&lt;$D17,K17-$D17,"")</f>
        <v/>
      </c>
      <c r="M17" s="879">
        <f>SUMIF(Меню!$J$5:$FD$5,$C17,Меню!$J$242:$FD$242)</f>
        <v>25</v>
      </c>
      <c r="N17" s="883" t="str">
        <f t="shared" ref="N17" si="29">IF(M17&lt;$D17,M17-$D17,"")</f>
        <v/>
      </c>
      <c r="O17" s="879">
        <f>SUMIF(Меню!$J$5:$FD$5,$C17,Меню!$J$287:$FD$287)</f>
        <v>43</v>
      </c>
      <c r="P17" s="883" t="str">
        <f t="shared" ref="P17" si="30">IF(O17&lt;$D17,O17-$D17,"")</f>
        <v/>
      </c>
      <c r="Q17" s="879">
        <f>SUMIF(Меню!$J$5:$FD$5,$C17,Меню!$J$332:$FD$332)</f>
        <v>25</v>
      </c>
      <c r="R17" s="883" t="str">
        <f t="shared" ref="R17" si="31">IF(Q17&lt;$D17,Q17-$D17,"")</f>
        <v/>
      </c>
      <c r="S17" s="878"/>
    </row>
    <row r="18" spans="1:19" x14ac:dyDescent="0.25">
      <c r="A18" s="880">
        <f t="shared" si="0"/>
        <v>8</v>
      </c>
      <c r="B18" s="876" t="s">
        <v>1464</v>
      </c>
      <c r="C18" s="876" t="s">
        <v>532</v>
      </c>
      <c r="D18" s="877">
        <v>120</v>
      </c>
      <c r="E18" s="879">
        <f>SUMIF(Меню!$J$5:$FD$5,$C18,Меню!$J$62:$FD$62)</f>
        <v>170</v>
      </c>
      <c r="F18" s="883" t="str">
        <f t="shared" si="1"/>
        <v/>
      </c>
      <c r="G18" s="879">
        <f>SUMIF(Меню!$J$5:$FD$5,$C18,Меню!$J$107:$FD$107)</f>
        <v>120</v>
      </c>
      <c r="H18" s="883" t="str">
        <f t="shared" si="1"/>
        <v/>
      </c>
      <c r="I18" s="879">
        <f>SUMIF(Меню!$J$5:$FD$5,$C18,Меню!$J$152:$FD$152)</f>
        <v>120</v>
      </c>
      <c r="J18" s="883" t="str">
        <f t="shared" ref="J18" si="32">IF(I18&lt;$D18,I18-$D18,"")</f>
        <v/>
      </c>
      <c r="K18" s="879">
        <f>SUMIF(Меню!$J$5:$FD$5,$C18,Меню!$J$197:$FD$197)</f>
        <v>120</v>
      </c>
      <c r="L18" s="883" t="str">
        <f t="shared" ref="L18" si="33">IF(K18&lt;$D18,K18-$D18,"")</f>
        <v/>
      </c>
      <c r="M18" s="879">
        <f>SUMIF(Меню!$J$5:$FD$5,$C18,Меню!$J$242:$FD$242)</f>
        <v>120</v>
      </c>
      <c r="N18" s="883" t="str">
        <f t="shared" ref="N18" si="34">IF(M18&lt;$D18,M18-$D18,"")</f>
        <v/>
      </c>
      <c r="O18" s="879">
        <f>SUMIF(Меню!$J$5:$FD$5,$C18,Меню!$J$287:$FD$287)</f>
        <v>170</v>
      </c>
      <c r="P18" s="883" t="str">
        <f t="shared" ref="P18" si="35">IF(O18&lt;$D18,O18-$D18,"")</f>
        <v/>
      </c>
      <c r="Q18" s="879">
        <f>SUMIF(Меню!$J$5:$FD$5,$C18,Меню!$J$332:$FD$332)</f>
        <v>120</v>
      </c>
      <c r="R18" s="883" t="str">
        <f t="shared" ref="R18" si="36">IF(Q18&lt;$D18,Q18-$D18,"")</f>
        <v/>
      </c>
      <c r="S18" s="878"/>
    </row>
    <row r="19" spans="1:19" x14ac:dyDescent="0.25">
      <c r="A19" s="880">
        <f t="shared" si="0"/>
        <v>9</v>
      </c>
      <c r="B19" s="876" t="s">
        <v>61</v>
      </c>
      <c r="C19" s="876" t="s">
        <v>61</v>
      </c>
      <c r="D19" s="877">
        <v>30</v>
      </c>
      <c r="E19" s="879">
        <f>SUMIF(Меню!$J$5:$FD$5,$C19,Меню!$J$62:$FD$62)</f>
        <v>44</v>
      </c>
      <c r="F19" s="883" t="str">
        <f t="shared" si="1"/>
        <v/>
      </c>
      <c r="G19" s="879">
        <f>SUMIF(Меню!$J$5:$FD$5,$C19,Меню!$J$107:$FD$107)</f>
        <v>26.439999999999998</v>
      </c>
      <c r="H19" s="883">
        <f t="shared" si="1"/>
        <v>-3.5600000000000023</v>
      </c>
      <c r="I19" s="879">
        <f>SUMIF(Меню!$J$5:$FD$5,$C19,Меню!$J$152:$FD$152)</f>
        <v>27.4</v>
      </c>
      <c r="J19" s="883">
        <f t="shared" ref="J19" si="37">IF(I19&lt;$D19,I19-$D19,"")</f>
        <v>-2.6000000000000014</v>
      </c>
      <c r="K19" s="879">
        <f>SUMIF(Меню!$J$5:$FD$5,$C19,Меню!$J$197:$FD$197)</f>
        <v>25.8</v>
      </c>
      <c r="L19" s="883">
        <f t="shared" ref="L19" si="38">IF(K19&lt;$D19,K19-$D19,"")</f>
        <v>-4.1999999999999993</v>
      </c>
      <c r="M19" s="879">
        <f>SUMIF(Меню!$J$5:$FD$5,$C19,Меню!$J$242:$FD$242)</f>
        <v>27.52</v>
      </c>
      <c r="N19" s="883">
        <f t="shared" ref="N19" si="39">IF(M19&lt;$D19,M19-$D19,"")</f>
        <v>-2.4800000000000004</v>
      </c>
      <c r="O19" s="879">
        <f>SUMIF(Меню!$J$5:$FD$5,$C19,Меню!$J$287:$FD$287)</f>
        <v>22.8</v>
      </c>
      <c r="P19" s="883">
        <f t="shared" ref="P19" si="40">IF(O19&lt;$D19,O19-$D19,"")</f>
        <v>-7.1999999999999993</v>
      </c>
      <c r="Q19" s="879">
        <f>SUMIF(Меню!$J$5:$FD$5,$C19,Меню!$J$332:$FD$332)</f>
        <v>33</v>
      </c>
      <c r="R19" s="883" t="str">
        <f t="shared" ref="R19" si="41">IF(Q19&lt;$D19,Q19-$D19,"")</f>
        <v/>
      </c>
      <c r="S19" s="878"/>
    </row>
    <row r="20" spans="1:19" x14ac:dyDescent="0.25">
      <c r="A20" s="880">
        <f t="shared" si="0"/>
        <v>10</v>
      </c>
      <c r="B20" s="876" t="s">
        <v>60</v>
      </c>
      <c r="C20" s="876" t="s">
        <v>60</v>
      </c>
      <c r="D20" s="877">
        <v>60</v>
      </c>
      <c r="E20" s="879">
        <f>SUMIF(Меню!$J$5:$FD$5,$C20,Меню!$J$62:$FD$62)</f>
        <v>75</v>
      </c>
      <c r="F20" s="883" t="str">
        <f t="shared" si="1"/>
        <v/>
      </c>
      <c r="G20" s="879">
        <f>SUMIF(Меню!$J$5:$FD$5,$C20,Меню!$J$107:$FD$107)</f>
        <v>75</v>
      </c>
      <c r="H20" s="883" t="str">
        <f t="shared" si="1"/>
        <v/>
      </c>
      <c r="I20" s="879">
        <f>SUMIF(Меню!$J$5:$FD$5,$C20,Меню!$J$152:$FD$152)</f>
        <v>75</v>
      </c>
      <c r="J20" s="883" t="str">
        <f t="shared" ref="J20" si="42">IF(I20&lt;$D20,I20-$D20,"")</f>
        <v/>
      </c>
      <c r="K20" s="879">
        <f>SUMIF(Меню!$J$5:$FD$5,$C20,Меню!$J$197:$FD$197)</f>
        <v>60</v>
      </c>
      <c r="L20" s="883" t="str">
        <f t="shared" ref="L20" si="43">IF(K20&lt;$D20,K20-$D20,"")</f>
        <v/>
      </c>
      <c r="M20" s="879">
        <f>SUMIF(Меню!$J$5:$FD$5,$C20,Меню!$J$242:$FD$242)</f>
        <v>45</v>
      </c>
      <c r="N20" s="883">
        <f t="shared" ref="N20" si="44">IF(M20&lt;$D20,M20-$D20,"")</f>
        <v>-15</v>
      </c>
      <c r="O20" s="879">
        <f>SUMIF(Меню!$J$5:$FD$5,$C20,Меню!$J$287:$FD$287)</f>
        <v>60</v>
      </c>
      <c r="P20" s="883" t="str">
        <f t="shared" ref="P20" si="45">IF(O20&lt;$D20,O20-$D20,"")</f>
        <v/>
      </c>
      <c r="Q20" s="879">
        <f>SUMIF(Меню!$J$5:$FD$5,$C20,Меню!$J$332:$FD$332)</f>
        <v>47</v>
      </c>
      <c r="R20" s="883">
        <f t="shared" ref="R20" si="46">IF(Q20&lt;$D20,Q20-$D20,"")</f>
        <v>-13</v>
      </c>
      <c r="S20" s="878"/>
    </row>
    <row r="21" spans="1:19" x14ac:dyDescent="0.25">
      <c r="A21" s="880">
        <f t="shared" si="0"/>
        <v>11</v>
      </c>
      <c r="B21" s="876" t="s">
        <v>1465</v>
      </c>
      <c r="C21" s="876" t="s">
        <v>34</v>
      </c>
      <c r="D21" s="877">
        <v>150</v>
      </c>
      <c r="E21" s="879">
        <f>SUMIF(Меню!$J$5:$FD$5,$C21,Меню!$J$62:$FD$62)</f>
        <v>200</v>
      </c>
      <c r="F21" s="883" t="str">
        <f t="shared" si="1"/>
        <v/>
      </c>
      <c r="G21" s="879">
        <f>SUMIF(Меню!$J$5:$FD$5,$C21,Меню!$J$107:$FD$107)</f>
        <v>200</v>
      </c>
      <c r="H21" s="883" t="str">
        <f t="shared" si="1"/>
        <v/>
      </c>
      <c r="I21" s="879">
        <f>SUMIF(Меню!$J$5:$FD$5,$C21,Меню!$J$152:$FD$152)</f>
        <v>200</v>
      </c>
      <c r="J21" s="883" t="str">
        <f t="shared" ref="J21" si="47">IF(I21&lt;$D21,I21-$D21,"")</f>
        <v/>
      </c>
      <c r="K21" s="879">
        <f>SUMIF(Меню!$J$5:$FD$5,$C21,Меню!$J$197:$FD$197)</f>
        <v>150</v>
      </c>
      <c r="L21" s="883" t="str">
        <f t="shared" ref="L21" si="48">IF(K21&lt;$D21,K21-$D21,"")</f>
        <v/>
      </c>
      <c r="M21" s="879">
        <f>SUMIF(Меню!$J$5:$FD$5,$C21,Меню!$J$242:$FD$242)</f>
        <v>0</v>
      </c>
      <c r="N21" s="883">
        <f t="shared" ref="N21" si="49">IF(M21&lt;$D21,M21-$D21,"")</f>
        <v>-150</v>
      </c>
      <c r="O21" s="879">
        <f>SUMIF(Меню!$J$5:$FD$5,$C21,Меню!$J$287:$FD$287)</f>
        <v>150</v>
      </c>
      <c r="P21" s="883" t="str">
        <f t="shared" ref="P21" si="50">IF(O21&lt;$D21,O21-$D21,"")</f>
        <v/>
      </c>
      <c r="Q21" s="879">
        <f>SUMIF(Меню!$J$5:$FD$5,$C21,Меню!$J$332:$FD$332)</f>
        <v>200</v>
      </c>
      <c r="R21" s="883" t="str">
        <f t="shared" ref="R21" si="51">IF(Q21&lt;$D21,Q21-$D21,"")</f>
        <v/>
      </c>
      <c r="S21" s="878"/>
    </row>
    <row r="22" spans="1:19" x14ac:dyDescent="0.25">
      <c r="A22" s="880">
        <f t="shared" si="0"/>
        <v>12</v>
      </c>
      <c r="B22" s="876" t="s">
        <v>1466</v>
      </c>
      <c r="C22" s="876" t="s">
        <v>321</v>
      </c>
      <c r="D22" s="877">
        <v>10</v>
      </c>
      <c r="E22" s="879">
        <f>SUMIF(Меню!$J$5:$FD$5,$C22,Меню!$J$62:$FD$62)</f>
        <v>22</v>
      </c>
      <c r="F22" s="883" t="str">
        <f t="shared" si="1"/>
        <v/>
      </c>
      <c r="G22" s="879">
        <f>SUMIF(Меню!$J$5:$FD$5,$C22,Меню!$J$107:$FD$107)</f>
        <v>22</v>
      </c>
      <c r="H22" s="883" t="str">
        <f t="shared" si="1"/>
        <v/>
      </c>
      <c r="I22" s="879">
        <f>SUMIF(Меню!$J$5:$FD$5,$C22,Меню!$J$152:$FD$152)</f>
        <v>22</v>
      </c>
      <c r="J22" s="883" t="str">
        <f t="shared" ref="J22" si="52">IF(I22&lt;$D22,I22-$D22,"")</f>
        <v/>
      </c>
      <c r="K22" s="879">
        <f>SUMIF(Меню!$J$5:$FD$5,$C22,Меню!$J$197:$FD$197)</f>
        <v>22</v>
      </c>
      <c r="L22" s="883" t="str">
        <f t="shared" ref="L22" si="53">IF(K22&lt;$D22,K22-$D22,"")</f>
        <v/>
      </c>
      <c r="M22" s="879">
        <f>SUMIF(Меню!$J$5:$FD$5,$C22,Меню!$J$242:$FD$242)</f>
        <v>22</v>
      </c>
      <c r="N22" s="883" t="str">
        <f t="shared" ref="N22" si="54">IF(M22&lt;$D22,M22-$D22,"")</f>
        <v/>
      </c>
      <c r="O22" s="879">
        <f>SUMIF(Меню!$J$5:$FD$5,$C22,Меню!$J$287:$FD$287)</f>
        <v>22</v>
      </c>
      <c r="P22" s="883" t="str">
        <f t="shared" ref="P22" si="55">IF(O22&lt;$D22,O22-$D22,"")</f>
        <v/>
      </c>
      <c r="Q22" s="879">
        <f>SUMIF(Меню!$J$5:$FD$5,$C22,Меню!$J$332:$FD$332)</f>
        <v>22</v>
      </c>
      <c r="R22" s="883" t="str">
        <f t="shared" ref="R22" si="56">IF(Q22&lt;$D22,Q22-$D22,"")</f>
        <v/>
      </c>
      <c r="S22" s="878"/>
    </row>
    <row r="23" spans="1:19" x14ac:dyDescent="0.25">
      <c r="A23" s="880">
        <f t="shared" si="0"/>
        <v>13</v>
      </c>
      <c r="B23" s="876" t="s">
        <v>1467</v>
      </c>
      <c r="C23" s="876" t="s">
        <v>1245</v>
      </c>
      <c r="D23" s="877">
        <v>1</v>
      </c>
      <c r="E23" s="879">
        <f>SUMIF(Меню!$J$5:$FD$5,$C23,Меню!$J$62:$FD$62)</f>
        <v>1</v>
      </c>
      <c r="F23" s="883" t="str">
        <f t="shared" si="1"/>
        <v/>
      </c>
      <c r="G23" s="879">
        <f>SUMIF(Меню!$J$5:$FD$5,$C23,Меню!$J$107:$FD$107)</f>
        <v>0</v>
      </c>
      <c r="H23" s="883">
        <f t="shared" si="1"/>
        <v>-1</v>
      </c>
      <c r="I23" s="879">
        <f>SUMIF(Меню!$J$5:$FD$5,$C23,Меню!$J$152:$FD$152)</f>
        <v>1</v>
      </c>
      <c r="J23" s="883" t="str">
        <f t="shared" ref="J23" si="57">IF(I23&lt;$D23,I23-$D23,"")</f>
        <v/>
      </c>
      <c r="K23" s="879">
        <f>SUMIF(Меню!$J$5:$FD$5,$C23,Меню!$J$197:$FD$197)</f>
        <v>0</v>
      </c>
      <c r="L23" s="883">
        <f t="shared" ref="L23" si="58">IF(K23&lt;$D23,K23-$D23,"")</f>
        <v>-1</v>
      </c>
      <c r="M23" s="879">
        <f>SUMIF(Меню!$J$5:$FD$5,$C23,Меню!$J$242:$FD$242)</f>
        <v>1</v>
      </c>
      <c r="N23" s="883" t="str">
        <f t="shared" ref="N23" si="59">IF(M23&lt;$D23,M23-$D23,"")</f>
        <v/>
      </c>
      <c r="O23" s="879">
        <f>SUMIF(Меню!$J$5:$FD$5,$C23,Меню!$J$287:$FD$287)</f>
        <v>1</v>
      </c>
      <c r="P23" s="883" t="str">
        <f t="shared" ref="P23" si="60">IF(O23&lt;$D23,O23-$D23,"")</f>
        <v/>
      </c>
      <c r="Q23" s="879">
        <f>SUMIF(Меню!$J$5:$FD$5,$C23,Меню!$J$332:$FD$332)</f>
        <v>0.08</v>
      </c>
      <c r="R23" s="883">
        <f t="shared" ref="R23" si="61">IF(Q23&lt;$D23,Q23-$D23,"")</f>
        <v>-0.92</v>
      </c>
      <c r="S23" s="878"/>
    </row>
    <row r="24" spans="1:19" x14ac:dyDescent="0.25">
      <c r="A24" s="880">
        <f t="shared" si="0"/>
        <v>14</v>
      </c>
      <c r="B24" s="876" t="s">
        <v>53</v>
      </c>
      <c r="C24" s="876" t="s">
        <v>53</v>
      </c>
      <c r="D24" s="877">
        <v>70</v>
      </c>
      <c r="E24" s="879">
        <f>SUMIF(Меню!$J$5:$FD$5,$C24,Меню!$J$62:$FD$62)</f>
        <v>30.2</v>
      </c>
      <c r="F24" s="883">
        <f t="shared" si="1"/>
        <v>-39.799999999999997</v>
      </c>
      <c r="G24" s="879">
        <f>SUMIF(Меню!$J$5:$FD$5,$C24,Меню!$J$107:$FD$107)</f>
        <v>27.16</v>
      </c>
      <c r="H24" s="883">
        <f t="shared" si="1"/>
        <v>-42.84</v>
      </c>
      <c r="I24" s="879">
        <f>SUMIF(Меню!$J$5:$FD$5,$C24,Меню!$J$152:$FD$152)</f>
        <v>21.7</v>
      </c>
      <c r="J24" s="883">
        <f t="shared" ref="J24" si="62">IF(I24&lt;$D24,I24-$D24,"")</f>
        <v>-48.3</v>
      </c>
      <c r="K24" s="879">
        <f>SUMIF(Меню!$J$5:$FD$5,$C24,Меню!$J$197:$FD$197)</f>
        <v>22.7</v>
      </c>
      <c r="L24" s="883">
        <f t="shared" ref="L24" si="63">IF(K24&lt;$D24,K24-$D24,"")</f>
        <v>-47.3</v>
      </c>
      <c r="M24" s="879">
        <f>SUMIF(Меню!$J$5:$FD$5,$C24,Меню!$J$242:$FD$242)</f>
        <v>19.68</v>
      </c>
      <c r="N24" s="883">
        <f t="shared" ref="N24" si="64">IF(M24&lt;$D24,M24-$D24,"")</f>
        <v>-50.32</v>
      </c>
      <c r="O24" s="879">
        <f>SUMIF(Меню!$J$5:$FD$5,$C24,Меню!$J$287:$FD$287)</f>
        <v>26.2</v>
      </c>
      <c r="P24" s="883">
        <f t="shared" ref="P24" si="65">IF(O24&lt;$D24,O24-$D24,"")</f>
        <v>-43.8</v>
      </c>
      <c r="Q24" s="879">
        <f>SUMIF(Меню!$J$5:$FD$5,$C24,Меню!$J$332:$FD$332)</f>
        <v>17.2</v>
      </c>
      <c r="R24" s="883">
        <f t="shared" ref="R24" si="66">IF(Q24&lt;$D24,Q24-$D24,"")</f>
        <v>-52.8</v>
      </c>
      <c r="S24" s="878"/>
    </row>
    <row r="25" spans="1:19" x14ac:dyDescent="0.25">
      <c r="A25" s="880">
        <f t="shared" si="0"/>
        <v>15</v>
      </c>
      <c r="B25" s="876" t="s">
        <v>304</v>
      </c>
      <c r="C25" s="876" t="s">
        <v>326</v>
      </c>
      <c r="D25" s="877">
        <v>20</v>
      </c>
      <c r="E25" s="879">
        <f>SUMIF(Меню!$J$5:$FD$5,$C25,Меню!$J$62:$FD$62)</f>
        <v>5.4000000000000006E-2</v>
      </c>
      <c r="F25" s="883">
        <f t="shared" si="1"/>
        <v>-19.946000000000002</v>
      </c>
      <c r="G25" s="879">
        <f>SUMIF(Меню!$J$5:$FD$5,$C25,Меню!$J$107:$FD$107)</f>
        <v>2.7200000000000002E-2</v>
      </c>
      <c r="H25" s="883">
        <f t="shared" si="1"/>
        <v>-19.972799999999999</v>
      </c>
      <c r="I25" s="879">
        <f>SUMIF(Меню!$J$5:$FD$5,$C25,Меню!$J$152:$FD$152)</f>
        <v>4.7200000000000006E-2</v>
      </c>
      <c r="J25" s="883">
        <f t="shared" ref="J25" si="67">IF(I25&lt;$D25,I25-$D25,"")</f>
        <v>-19.9528</v>
      </c>
      <c r="K25" s="879">
        <f>SUMIF(Меню!$J$5:$FD$5,$C25,Меню!$J$197:$FD$197)</f>
        <v>2.4E-2</v>
      </c>
      <c r="L25" s="883">
        <f t="shared" ref="L25" si="68">IF(K25&lt;$D25,K25-$D25,"")</f>
        <v>-19.975999999999999</v>
      </c>
      <c r="M25" s="879">
        <f>SUMIF(Меню!$J$5:$FD$5,$C25,Меню!$J$242:$FD$242)</f>
        <v>5.7599999999999998E-2</v>
      </c>
      <c r="N25" s="883">
        <f t="shared" ref="N25" si="69">IF(M25&lt;$D25,M25-$D25,"")</f>
        <v>-19.942399999999999</v>
      </c>
      <c r="O25" s="879">
        <f>SUMIF(Меню!$J$5:$FD$5,$C25,Меню!$J$287:$FD$287)</f>
        <v>4.3999999999999997E-2</v>
      </c>
      <c r="P25" s="883">
        <f t="shared" ref="P25" si="70">IF(O25&lt;$D25,O25-$D25,"")</f>
        <v>-19.956</v>
      </c>
      <c r="Q25" s="879">
        <f>SUMIF(Меню!$J$5:$FD$5,$C25,Меню!$J$332:$FD$332)</f>
        <v>7.2000000000000008E-2</v>
      </c>
      <c r="R25" s="883">
        <f t="shared" ref="R25" si="71">IF(Q25&lt;$D25,Q25-$D25,"")</f>
        <v>-19.928000000000001</v>
      </c>
      <c r="S25" s="878"/>
    </row>
    <row r="26" spans="1:19" x14ac:dyDescent="0.25">
      <c r="A26" s="880">
        <f t="shared" si="0"/>
        <v>16</v>
      </c>
      <c r="B26" s="876" t="s">
        <v>57</v>
      </c>
      <c r="C26" s="876" t="s">
        <v>57</v>
      </c>
      <c r="D26" s="877">
        <v>1</v>
      </c>
      <c r="E26" s="879">
        <f>SUMIF(Меню!$J$5:$FD$5,$C26,Меню!$J$62:$FD$62)</f>
        <v>2</v>
      </c>
      <c r="F26" s="883" t="str">
        <f t="shared" si="1"/>
        <v/>
      </c>
      <c r="G26" s="879">
        <f>SUMIF(Меню!$J$5:$FD$5,$C26,Меню!$J$107:$FD$107)</f>
        <v>1</v>
      </c>
      <c r="H26" s="883" t="str">
        <f t="shared" si="1"/>
        <v/>
      </c>
      <c r="I26" s="879">
        <f>SUMIF(Меню!$J$5:$FD$5,$C26,Меню!$J$152:$FD$152)</f>
        <v>1</v>
      </c>
      <c r="J26" s="883" t="str">
        <f t="shared" ref="J26" si="72">IF(I26&lt;$D26,I26-$D26,"")</f>
        <v/>
      </c>
      <c r="K26" s="879">
        <f>SUMIF(Меню!$J$5:$FD$5,$C26,Меню!$J$197:$FD$197)</f>
        <v>1</v>
      </c>
      <c r="L26" s="883" t="str">
        <f t="shared" ref="L26" si="73">IF(K26&lt;$D26,K26-$D26,"")</f>
        <v/>
      </c>
      <c r="M26" s="879">
        <f>SUMIF(Меню!$J$5:$FD$5,$C26,Меню!$J$242:$FD$242)</f>
        <v>1</v>
      </c>
      <c r="N26" s="883" t="str">
        <f t="shared" ref="N26" si="74">IF(M26&lt;$D26,M26-$D26,"")</f>
        <v/>
      </c>
      <c r="O26" s="879">
        <f>SUMIF(Меню!$J$5:$FD$5,$C26,Меню!$J$287:$FD$287)</f>
        <v>1</v>
      </c>
      <c r="P26" s="883" t="str">
        <f t="shared" ref="P26" si="75">IF(O26&lt;$D26,O26-$D26,"")</f>
        <v/>
      </c>
      <c r="Q26" s="879">
        <f>SUMIF(Меню!$J$5:$FD$5,$C26,Меню!$J$332:$FD$332)</f>
        <v>1</v>
      </c>
      <c r="R26" s="883" t="str">
        <f t="shared" ref="R26" si="76">IF(Q26&lt;$D26,Q26-$D26,"")</f>
        <v/>
      </c>
      <c r="S26" s="878"/>
    </row>
    <row r="27" spans="1:19" x14ac:dyDescent="0.25">
      <c r="A27" s="880">
        <f t="shared" si="0"/>
        <v>17</v>
      </c>
      <c r="B27" s="876" t="s">
        <v>1468</v>
      </c>
      <c r="C27" s="876" t="s">
        <v>1508</v>
      </c>
      <c r="D27" s="877">
        <v>1.5</v>
      </c>
      <c r="E27" s="879">
        <f>SUMIF(Меню!$J$5:$FD$5,$C27,Меню!$J$62:$FD$62)</f>
        <v>1.5</v>
      </c>
      <c r="F27" s="883" t="str">
        <f t="shared" si="1"/>
        <v/>
      </c>
      <c r="G27" s="879">
        <f>SUMIF(Меню!$J$5:$FD$5,$C27,Меню!$J$107:$FD$107)</f>
        <v>1.5</v>
      </c>
      <c r="H27" s="883" t="str">
        <f t="shared" si="1"/>
        <v/>
      </c>
      <c r="I27" s="879">
        <f>SUMIF(Меню!$J$5:$FD$5,$C27,Меню!$J$152:$FD$152)</f>
        <v>1.5</v>
      </c>
      <c r="J27" s="883" t="str">
        <f t="shared" ref="J27" si="77">IF(I27&lt;$D27,I27-$D27,"")</f>
        <v/>
      </c>
      <c r="K27" s="879">
        <f>SUMIF(Меню!$J$5:$FD$5,$C27,Меню!$J$197:$FD$197)</f>
        <v>1.5</v>
      </c>
      <c r="L27" s="883" t="str">
        <f t="shared" ref="L27" si="78">IF(K27&lt;$D27,K27-$D27,"")</f>
        <v/>
      </c>
      <c r="M27" s="879">
        <f>SUMIF(Меню!$J$5:$FD$5,$C27,Меню!$J$242:$FD$242)</f>
        <v>1.5</v>
      </c>
      <c r="N27" s="883" t="str">
        <f t="shared" ref="N27" si="79">IF(M27&lt;$D27,M27-$D27,"")</f>
        <v/>
      </c>
      <c r="O27" s="879">
        <f>SUMIF(Меню!$J$5:$FD$5,$C27,Меню!$J$287:$FD$287)</f>
        <v>1.5</v>
      </c>
      <c r="P27" s="883" t="str">
        <f t="shared" ref="P27" si="80">IF(O27&lt;$D27,O27-$D27,"")</f>
        <v/>
      </c>
      <c r="Q27" s="879">
        <f>SUMIF(Меню!$J$5:$FD$5,$C27,Меню!$J$332:$FD$332)</f>
        <v>1.5</v>
      </c>
      <c r="R27" s="883" t="str">
        <f t="shared" ref="R27" si="81">IF(Q27&lt;$D27,Q27-$D27,"")</f>
        <v/>
      </c>
      <c r="S27" s="878"/>
    </row>
    <row r="28" spans="1:19" x14ac:dyDescent="0.25">
      <c r="A28" s="880">
        <f t="shared" si="0"/>
        <v>18</v>
      </c>
      <c r="B28" s="876" t="s">
        <v>74</v>
      </c>
      <c r="C28" s="876" t="s">
        <v>74</v>
      </c>
      <c r="D28" s="877">
        <v>0.2</v>
      </c>
      <c r="E28" s="879">
        <f>SUMIF(Меню!$J$5:$FD$5,$C28,Меню!$J$62:$FD$62)</f>
        <v>0.14000000000000001</v>
      </c>
      <c r="F28" s="883">
        <f t="shared" si="1"/>
        <v>-0.06</v>
      </c>
      <c r="G28" s="879">
        <f>SUMIF(Меню!$J$5:$FD$5,$C28,Меню!$J$107:$FD$107)</f>
        <v>8.7999999999999995E-2</v>
      </c>
      <c r="H28" s="883">
        <f t="shared" si="1"/>
        <v>-0.11200000000000002</v>
      </c>
      <c r="I28" s="879">
        <f>SUMIF(Меню!$J$5:$FD$5,$C28,Меню!$J$152:$FD$152)</f>
        <v>0.22800000000000001</v>
      </c>
      <c r="J28" s="883" t="str">
        <f t="shared" ref="J28" si="82">IF(I28&lt;$D28,I28-$D28,"")</f>
        <v/>
      </c>
      <c r="K28" s="879">
        <f>SUMIF(Меню!$J$5:$FD$5,$C28,Меню!$J$197:$FD$197)</f>
        <v>0.57000000000000006</v>
      </c>
      <c r="L28" s="883" t="str">
        <f t="shared" ref="L28" si="83">IF(K28&lt;$D28,K28-$D28,"")</f>
        <v/>
      </c>
      <c r="M28" s="879">
        <f>SUMIF(Меню!$J$5:$FD$5,$C28,Меню!$J$242:$FD$242)</f>
        <v>0.129</v>
      </c>
      <c r="N28" s="883">
        <f t="shared" ref="N28" si="84">IF(M28&lt;$D28,M28-$D28,"")</f>
        <v>-7.1000000000000008E-2</v>
      </c>
      <c r="O28" s="879">
        <f>SUMIF(Меню!$J$5:$FD$5,$C28,Меню!$J$287:$FD$287)</f>
        <v>0.14000000000000001</v>
      </c>
      <c r="P28" s="883">
        <f t="shared" ref="P28" si="85">IF(O28&lt;$D28,O28-$D28,"")</f>
        <v>-0.06</v>
      </c>
      <c r="Q28" s="879">
        <f>SUMIF(Меню!$J$5:$FD$5,$C28,Меню!$J$332:$FD$332)</f>
        <v>0.13500000000000001</v>
      </c>
      <c r="R28" s="883">
        <f t="shared" ref="R28" si="86">IF(Q28&lt;$D28,Q28-$D28,"")</f>
        <v>-6.5000000000000002E-2</v>
      </c>
      <c r="S28" s="878"/>
    </row>
    <row r="29" spans="1:19" x14ac:dyDescent="0.25">
      <c r="A29" s="880">
        <f t="shared" si="0"/>
        <v>19</v>
      </c>
      <c r="B29" s="876" t="s">
        <v>1469</v>
      </c>
      <c r="C29" s="876" t="s">
        <v>484</v>
      </c>
      <c r="D29" s="877">
        <v>0.3</v>
      </c>
      <c r="E29" s="879">
        <f>SUMIF(Меню!$J$5:$FD$5,$C29,Меню!$J$62:$FD$62)</f>
        <v>2</v>
      </c>
      <c r="F29" s="883" t="str">
        <f t="shared" si="1"/>
        <v/>
      </c>
      <c r="G29" s="879">
        <f>SUMIF(Меню!$J$5:$FD$5,$C29,Меню!$J$107:$FD$107)</f>
        <v>0.64</v>
      </c>
      <c r="H29" s="883" t="str">
        <f t="shared" si="1"/>
        <v/>
      </c>
      <c r="I29" s="879">
        <f>SUMIF(Меню!$J$5:$FD$5,$C29,Меню!$J$152:$FD$152)</f>
        <v>4.5999999999999996</v>
      </c>
      <c r="J29" s="883" t="str">
        <f t="shared" ref="J29" si="87">IF(I29&lt;$D29,I29-$D29,"")</f>
        <v/>
      </c>
      <c r="K29" s="879">
        <f>SUMIF(Меню!$J$5:$FD$5,$C29,Меню!$J$197:$FD$197)</f>
        <v>2.8</v>
      </c>
      <c r="L29" s="883" t="str">
        <f t="shared" ref="L29" si="88">IF(K29&lt;$D29,K29-$D29,"")</f>
        <v/>
      </c>
      <c r="M29" s="879">
        <f>SUMIF(Меню!$J$5:$FD$5,$C29,Меню!$J$242:$FD$242)</f>
        <v>2.7199999999999998</v>
      </c>
      <c r="N29" s="883" t="str">
        <f t="shared" ref="N29" si="89">IF(M29&lt;$D29,M29-$D29,"")</f>
        <v/>
      </c>
      <c r="O29" s="879">
        <f>SUMIF(Меню!$J$5:$FD$5,$C29,Меню!$J$287:$FD$287)</f>
        <v>4.8</v>
      </c>
      <c r="P29" s="883" t="str">
        <f t="shared" ref="P29" si="90">IF(O29&lt;$D29,O29-$D29,"")</f>
        <v/>
      </c>
      <c r="Q29" s="879">
        <f>SUMIF(Меню!$J$5:$FD$5,$C29,Меню!$J$332:$FD$332)</f>
        <v>6</v>
      </c>
      <c r="R29" s="883" t="str">
        <f t="shared" ref="R29" si="91">IF(Q29&lt;$D29,Q29-$D29,"")</f>
        <v/>
      </c>
      <c r="S29" s="878"/>
    </row>
    <row r="30" spans="1:19" x14ac:dyDescent="0.25">
      <c r="A30" s="880">
        <f t="shared" si="0"/>
        <v>20</v>
      </c>
      <c r="B30" s="876" t="s">
        <v>69</v>
      </c>
      <c r="C30" s="876" t="s">
        <v>69</v>
      </c>
      <c r="D30" s="877">
        <v>0.5</v>
      </c>
      <c r="E30" s="879">
        <f>SUMIF(Меню!$J$5:$FD$5,$C30,Меню!$J$62:$FD$62)</f>
        <v>0</v>
      </c>
      <c r="F30" s="883">
        <f t="shared" si="1"/>
        <v>-0.5</v>
      </c>
      <c r="G30" s="879">
        <f>SUMIF(Меню!$J$5:$FD$5,$C30,Меню!$J$107:$FD$107)</f>
        <v>0</v>
      </c>
      <c r="H30" s="883">
        <f t="shared" si="1"/>
        <v>-0.5</v>
      </c>
      <c r="I30" s="879">
        <f>SUMIF(Меню!$J$5:$FD$5,$C30,Меню!$J$152:$FD$152)</f>
        <v>0</v>
      </c>
      <c r="J30" s="883">
        <f t="shared" ref="J30" si="92">IF(I30&lt;$D30,I30-$D30,"")</f>
        <v>-0.5</v>
      </c>
      <c r="K30" s="879">
        <f>SUMIF(Меню!$J$5:$FD$5,$C30,Меню!$J$197:$FD$197)</f>
        <v>0</v>
      </c>
      <c r="L30" s="883">
        <f t="shared" ref="L30" si="93">IF(K30&lt;$D30,K30-$D30,"")</f>
        <v>-0.5</v>
      </c>
      <c r="M30" s="879">
        <f>SUMIF(Меню!$J$5:$FD$5,$C30,Меню!$J$242:$FD$242)</f>
        <v>0</v>
      </c>
      <c r="N30" s="883">
        <f t="shared" ref="N30" si="94">IF(M30&lt;$D30,M30-$D30,"")</f>
        <v>-0.5</v>
      </c>
      <c r="O30" s="879">
        <f>SUMIF(Меню!$J$5:$FD$5,$C30,Меню!$J$287:$FD$287)</f>
        <v>0</v>
      </c>
      <c r="P30" s="883">
        <f t="shared" ref="P30" si="95">IF(O30&lt;$D30,O30-$D30,"")</f>
        <v>-0.5</v>
      </c>
      <c r="Q30" s="879">
        <f>SUMIF(Меню!$J$5:$FD$5,$C30,Меню!$J$332:$FD$332)</f>
        <v>0</v>
      </c>
      <c r="R30" s="883">
        <f t="shared" ref="R30" si="96">IF(Q30&lt;$D30,Q30-$D30,"")</f>
        <v>-0.5</v>
      </c>
      <c r="S30" s="878"/>
    </row>
    <row r="31" spans="1:19" x14ac:dyDescent="0.25">
      <c r="A31" s="880">
        <f t="shared" si="0"/>
        <v>21</v>
      </c>
      <c r="B31" s="876" t="s">
        <v>77</v>
      </c>
      <c r="C31" s="876" t="s">
        <v>77</v>
      </c>
      <c r="D31" s="877">
        <v>2</v>
      </c>
      <c r="E31" s="879">
        <f>SUMIF(Меню!$J$5:$FD$5,$C31,Меню!$J$62:$FD$62)</f>
        <v>0</v>
      </c>
      <c r="F31" s="883">
        <f t="shared" si="1"/>
        <v>-2</v>
      </c>
      <c r="G31" s="879">
        <f>SUMIF(Меню!$J$5:$FD$5,$C31,Меню!$J$107:$FD$107)</f>
        <v>0</v>
      </c>
      <c r="H31" s="883">
        <f t="shared" si="1"/>
        <v>-2</v>
      </c>
      <c r="I31" s="879">
        <f>SUMIF(Меню!$J$5:$FD$5,$C31,Меню!$J$152:$FD$152)</f>
        <v>0</v>
      </c>
      <c r="J31" s="883">
        <f t="shared" ref="J31" si="97">IF(I31&lt;$D31,I31-$D31,"")</f>
        <v>-2</v>
      </c>
      <c r="K31" s="879">
        <f>SUMIF(Меню!$J$5:$FD$5,$C31,Меню!$J$197:$FD$197)</f>
        <v>0</v>
      </c>
      <c r="L31" s="883">
        <f t="shared" ref="L31" si="98">IF(K31&lt;$D31,K31-$D31,"")</f>
        <v>-2</v>
      </c>
      <c r="M31" s="879">
        <f>SUMIF(Меню!$J$5:$FD$5,$C31,Меню!$J$242:$FD$242)</f>
        <v>0</v>
      </c>
      <c r="N31" s="883">
        <f t="shared" ref="N31" si="99">IF(M31&lt;$D31,M31-$D31,"")</f>
        <v>-2</v>
      </c>
      <c r="O31" s="879">
        <f>SUMIF(Меню!$J$5:$FD$5,$C31,Меню!$J$287:$FD$287)</f>
        <v>0</v>
      </c>
      <c r="P31" s="883">
        <f t="shared" ref="P31" si="100">IF(O31&lt;$D31,O31-$D31,"")</f>
        <v>-2</v>
      </c>
      <c r="Q31" s="879">
        <f>SUMIF(Меню!$J$5:$FD$5,$C31,Меню!$J$332:$FD$332)</f>
        <v>0</v>
      </c>
      <c r="R31" s="883">
        <f t="shared" ref="R31" si="101">IF(Q31&lt;$D31,Q31-$D31,"")</f>
        <v>-2</v>
      </c>
      <c r="S31" s="878"/>
    </row>
    <row r="32" spans="1:19" x14ac:dyDescent="0.25">
      <c r="A32" s="880">
        <f t="shared" si="0"/>
        <v>22</v>
      </c>
      <c r="B32" s="876" t="s">
        <v>1470</v>
      </c>
      <c r="C32" s="876" t="s">
        <v>76</v>
      </c>
      <c r="D32" s="877">
        <v>6</v>
      </c>
      <c r="E32" s="879">
        <f>SUMIF(Меню!$J$5:$FD$5,$C32,Меню!$J$62:$FD$62)</f>
        <v>5</v>
      </c>
      <c r="F32" s="883">
        <f t="shared" si="1"/>
        <v>-1</v>
      </c>
      <c r="G32" s="879">
        <f>SUMIF(Меню!$J$5:$FD$5,$C32,Меню!$J$107:$FD$107)</f>
        <v>5</v>
      </c>
      <c r="H32" s="883">
        <f t="shared" si="1"/>
        <v>-1</v>
      </c>
      <c r="I32" s="879">
        <f>SUMIF(Меню!$J$5:$FD$5,$C32,Меню!$J$152:$FD$152)</f>
        <v>5</v>
      </c>
      <c r="J32" s="883">
        <f t="shared" ref="J32" si="102">IF(I32&lt;$D32,I32-$D32,"")</f>
        <v>-1</v>
      </c>
      <c r="K32" s="879">
        <f>SUMIF(Меню!$J$5:$FD$5,$C32,Меню!$J$197:$FD$197)</f>
        <v>0</v>
      </c>
      <c r="L32" s="883">
        <f t="shared" ref="L32" si="103">IF(K32&lt;$D32,K32-$D32,"")</f>
        <v>-6</v>
      </c>
      <c r="M32" s="879">
        <f>SUMIF(Меню!$J$5:$FD$5,$C32,Меню!$J$242:$FD$242)</f>
        <v>10</v>
      </c>
      <c r="N32" s="883" t="str">
        <f t="shared" ref="N32" si="104">IF(M32&lt;$D32,M32-$D32,"")</f>
        <v/>
      </c>
      <c r="O32" s="879">
        <f>SUMIF(Меню!$J$5:$FD$5,$C32,Меню!$J$287:$FD$287)</f>
        <v>0</v>
      </c>
      <c r="P32" s="883">
        <f t="shared" ref="P32" si="105">IF(O32&lt;$D32,O32-$D32,"")</f>
        <v>-6</v>
      </c>
      <c r="Q32" s="879">
        <f>SUMIF(Меню!$J$5:$FD$5,$C32,Меню!$J$332:$FD$332)</f>
        <v>5</v>
      </c>
      <c r="R32" s="883">
        <f t="shared" ref="R32" si="106">IF(Q32&lt;$D32,Q32-$D32,"")</f>
        <v>-1</v>
      </c>
      <c r="S32" s="878"/>
    </row>
    <row r="33" spans="1:19" x14ac:dyDescent="0.25">
      <c r="A33" s="880">
        <f t="shared" si="0"/>
        <v>23</v>
      </c>
      <c r="B33" s="876" t="s">
        <v>1471</v>
      </c>
      <c r="C33" s="876" t="s">
        <v>323</v>
      </c>
      <c r="D33" s="877">
        <v>0.5</v>
      </c>
      <c r="E33" s="879">
        <f>SUMIF(Меню!$J$5:$FD$5,$C33,Меню!$J$62:$FD$62)</f>
        <v>0.5</v>
      </c>
      <c r="F33" s="883" t="str">
        <f t="shared" si="1"/>
        <v/>
      </c>
      <c r="G33" s="879">
        <f>SUMIF(Меню!$J$5:$FD$5,$C33,Меню!$J$107:$FD$107)</f>
        <v>0.8</v>
      </c>
      <c r="H33" s="883" t="str">
        <f t="shared" si="1"/>
        <v/>
      </c>
      <c r="I33" s="879">
        <f>SUMIF(Меню!$J$5:$FD$5,$C33,Меню!$J$152:$FD$152)</f>
        <v>0</v>
      </c>
      <c r="J33" s="883">
        <f t="shared" ref="J33" si="107">IF(I33&lt;$D33,I33-$D33,"")</f>
        <v>-0.5</v>
      </c>
      <c r="K33" s="879">
        <f>SUMIF(Меню!$J$5:$FD$5,$C33,Меню!$J$197:$FD$197)</f>
        <v>1</v>
      </c>
      <c r="L33" s="883" t="str">
        <f t="shared" ref="L33" si="108">IF(K33&lt;$D33,K33-$D33,"")</f>
        <v/>
      </c>
      <c r="M33" s="879">
        <f>SUMIF(Меню!$J$5:$FD$5,$C33,Меню!$J$242:$FD$242)</f>
        <v>1.8</v>
      </c>
      <c r="N33" s="883" t="str">
        <f t="shared" ref="N33" si="109">IF(M33&lt;$D33,M33-$D33,"")</f>
        <v/>
      </c>
      <c r="O33" s="879">
        <f>SUMIF(Меню!$J$5:$FD$5,$C33,Меню!$J$287:$FD$287)</f>
        <v>0</v>
      </c>
      <c r="P33" s="883">
        <f t="shared" ref="P33" si="110">IF(O33&lt;$D33,O33-$D33,"")</f>
        <v>-0.5</v>
      </c>
      <c r="Q33" s="879">
        <f>SUMIF(Меню!$J$5:$FD$5,$C33,Меню!$J$332:$FD$332)</f>
        <v>2</v>
      </c>
      <c r="R33" s="883" t="str">
        <f t="shared" ref="R33" si="111">IF(Q33&lt;$D33,Q33-$D33,"")</f>
        <v/>
      </c>
      <c r="S33" s="878"/>
    </row>
    <row r="34" spans="1:19" x14ac:dyDescent="0.25">
      <c r="A34" s="882">
        <f t="shared" si="0"/>
        <v>24</v>
      </c>
      <c r="B34" s="793" t="s">
        <v>1472</v>
      </c>
      <c r="C34" s="793"/>
      <c r="D34" s="794">
        <v>900</v>
      </c>
      <c r="E34" s="856">
        <f>SUM(Меню!$AD$62:$AR$62)</f>
        <v>763</v>
      </c>
      <c r="F34" s="883">
        <f t="shared" si="1"/>
        <v>-137</v>
      </c>
      <c r="G34" s="856">
        <f>SUM(Меню!$AD$107:$AR$107)</f>
        <v>365.4</v>
      </c>
      <c r="H34" s="883">
        <f t="shared" si="1"/>
        <v>-534.6</v>
      </c>
      <c r="I34" s="856">
        <f>SUM(Меню!$AD$152:$AR$152)</f>
        <v>446.2</v>
      </c>
      <c r="J34" s="883">
        <f t="shared" ref="J34" si="112">IF(I34&lt;$D34,I34-$D34,"")</f>
        <v>-453.8</v>
      </c>
      <c r="K34" s="856">
        <f>SUM(Меню!$AD$197:$AR$197)</f>
        <v>653</v>
      </c>
      <c r="L34" s="883">
        <f t="shared" ref="L34" si="113">IF(K34&lt;$D34,K34-$D34,"")</f>
        <v>-247</v>
      </c>
      <c r="M34" s="856">
        <f>SUM(Меню!$AD$62:$AR$62)</f>
        <v>763</v>
      </c>
      <c r="N34" s="883">
        <f t="shared" ref="N34" si="114">IF(M34&lt;$D34,M34-$D34,"")</f>
        <v>-137</v>
      </c>
      <c r="O34" s="856">
        <f>SUM(Меню!$AD$287:$AR$287)</f>
        <v>538</v>
      </c>
      <c r="P34" s="883">
        <f t="shared" ref="P34" si="115">IF(O34&lt;$D34,O34-$D34,"")</f>
        <v>-362</v>
      </c>
      <c r="Q34" s="856">
        <f>SUM(Меню!$AD$332:$AR$332)</f>
        <v>887.8</v>
      </c>
      <c r="R34" s="883">
        <f t="shared" ref="R34" si="116">IF(Q34&lt;$D34,Q34-$D34,"")</f>
        <v>-12.200000000000045</v>
      </c>
      <c r="S34" s="685"/>
    </row>
    <row r="35" spans="1:19" x14ac:dyDescent="0.25">
      <c r="A35" s="882"/>
      <c r="B35" s="857" t="s">
        <v>1473</v>
      </c>
      <c r="C35" s="793"/>
      <c r="D35" s="871"/>
      <c r="E35" s="872"/>
      <c r="F35" s="883" t="str">
        <f t="shared" si="1"/>
        <v/>
      </c>
      <c r="G35" s="872"/>
      <c r="H35" s="883" t="str">
        <f t="shared" si="1"/>
        <v/>
      </c>
      <c r="I35" s="872"/>
      <c r="J35" s="883" t="str">
        <f t="shared" ref="J35" si="117">IF(I35&lt;$D35,I35-$D35,"")</f>
        <v/>
      </c>
      <c r="K35" s="872"/>
      <c r="L35" s="883" t="str">
        <f t="shared" ref="L35" si="118">IF(K35&lt;$D35,K35-$D35,"")</f>
        <v/>
      </c>
      <c r="M35" s="872"/>
      <c r="N35" s="883" t="str">
        <f t="shared" ref="N35" si="119">IF(M35&lt;$D35,M35-$D35,"")</f>
        <v/>
      </c>
      <c r="O35" s="872"/>
      <c r="P35" s="883" t="str">
        <f t="shared" ref="P35" si="120">IF(O35&lt;$D35,O35-$D35,"")</f>
        <v/>
      </c>
      <c r="Q35" s="872"/>
      <c r="R35" s="883" t="str">
        <f t="shared" ref="R35" si="121">IF(Q35&lt;$D35,Q35-$D35,"")</f>
        <v/>
      </c>
      <c r="S35" s="685"/>
    </row>
    <row r="36" spans="1:19" x14ac:dyDescent="0.25">
      <c r="A36" s="882"/>
      <c r="B36" s="857" t="s">
        <v>1474</v>
      </c>
      <c r="C36" s="793" t="s">
        <v>1474</v>
      </c>
      <c r="D36" s="871">
        <v>600</v>
      </c>
      <c r="E36" s="873">
        <f>SUMIF(Меню!$J$5:$FD$5,$C36,Меню!$J$62:$FD$62)</f>
        <v>440</v>
      </c>
      <c r="F36" s="883">
        <f t="shared" si="1"/>
        <v>-160</v>
      </c>
      <c r="G36" s="873">
        <f>SUMIF(Меню!$J$5:$FD$5,$C36,Меню!$J$107:$FD$107)</f>
        <v>320</v>
      </c>
      <c r="H36" s="883">
        <f t="shared" si="1"/>
        <v>-280</v>
      </c>
      <c r="I36" s="873">
        <f>SUMIF(Меню!$J$5:$FD$5,$C36,Меню!$J$152:$FD$152)</f>
        <v>235</v>
      </c>
      <c r="J36" s="883">
        <f t="shared" ref="J36" si="122">IF(I36&lt;$D36,I36-$D36,"")</f>
        <v>-365</v>
      </c>
      <c r="K36" s="873">
        <f>SUMIF(Меню!$J$5:$FD$5,$C36,Меню!$J$197:$FD$197)</f>
        <v>400</v>
      </c>
      <c r="L36" s="883">
        <f t="shared" ref="L36" si="123">IF(K36&lt;$D36,K36-$D36,"")</f>
        <v>-200</v>
      </c>
      <c r="M36" s="873">
        <f>SUMIF(Меню!$J$5:$FD$5,$C36,Меню!$J$242:$FD$242)</f>
        <v>235</v>
      </c>
      <c r="N36" s="883">
        <f t="shared" ref="N36" si="124">IF(M36&lt;$D36,M36-$D36,"")</f>
        <v>-365</v>
      </c>
      <c r="O36" s="873">
        <f>SUMIF(Меню!$J$5:$FD$5,$C36,Меню!$J$287:$FD$287)</f>
        <v>480</v>
      </c>
      <c r="P36" s="883">
        <f t="shared" ref="P36" si="125">IF(O36&lt;$D36,O36-$D36,"")</f>
        <v>-120</v>
      </c>
      <c r="Q36" s="873">
        <f>SUMIF(Меню!$J$5:$FD$5,$C36,Меню!$J$332:$FD$332)</f>
        <v>645</v>
      </c>
      <c r="R36" s="883" t="str">
        <f t="shared" ref="R36" si="126">IF(Q36&lt;$D36,Q36-$D36,"")</f>
        <v/>
      </c>
      <c r="S36" s="685"/>
    </row>
    <row r="37" spans="1:19" x14ac:dyDescent="0.25">
      <c r="A37" s="882"/>
      <c r="B37" s="857" t="s">
        <v>1475</v>
      </c>
      <c r="C37" s="793" t="s">
        <v>490</v>
      </c>
      <c r="D37" s="871">
        <v>120</v>
      </c>
      <c r="E37" s="873">
        <f>SUMIF(Меню!$J$5:$FD$5,$C37,Меню!$J$62:$FD$62)</f>
        <v>0</v>
      </c>
      <c r="F37" s="883">
        <f t="shared" si="1"/>
        <v>-120</v>
      </c>
      <c r="G37" s="873">
        <f>SUMIF(Меню!$J$5:$FD$5,$C37,Меню!$J$107:$FD$107)</f>
        <v>0</v>
      </c>
      <c r="H37" s="883">
        <f t="shared" si="1"/>
        <v>-120</v>
      </c>
      <c r="I37" s="873">
        <f>SUMIF(Меню!$J$5:$FD$5,$C37,Меню!$J$152:$FD$152)</f>
        <v>140</v>
      </c>
      <c r="J37" s="883" t="str">
        <f t="shared" ref="J37" si="127">IF(I37&lt;$D37,I37-$D37,"")</f>
        <v/>
      </c>
      <c r="K37" s="873">
        <f>SUMIF(Меню!$J$5:$FD$5,$C37,Меню!$J$197:$FD$197)</f>
        <v>140</v>
      </c>
      <c r="L37" s="883" t="str">
        <f t="shared" ref="L37" si="128">IF(K37&lt;$D37,K37-$D37,"")</f>
        <v/>
      </c>
      <c r="M37" s="873">
        <f>SUMIF(Меню!$J$5:$FD$5,$C37,Меню!$J$242:$FD$242)</f>
        <v>90</v>
      </c>
      <c r="N37" s="883">
        <f t="shared" ref="N37" si="129">IF(M37&lt;$D37,M37-$D37,"")</f>
        <v>-30</v>
      </c>
      <c r="O37" s="873">
        <f>SUMIF(Меню!$J$5:$FD$5,$C37,Меню!$J$287:$FD$287)</f>
        <v>0</v>
      </c>
      <c r="P37" s="883">
        <f t="shared" ref="P37" si="130">IF(O37&lt;$D37,O37-$D37,"")</f>
        <v>-120</v>
      </c>
      <c r="Q37" s="873">
        <f>SUMIF(Меню!$J$5:$FD$5,$C37,Меню!$J$332:$FD$332)</f>
        <v>75</v>
      </c>
      <c r="R37" s="883">
        <f t="shared" ref="R37" si="131">IF(Q37&lt;$D37,Q37-$D37,"")</f>
        <v>-45</v>
      </c>
      <c r="S37" s="685"/>
    </row>
    <row r="38" spans="1:19" x14ac:dyDescent="0.25">
      <c r="A38" s="882"/>
      <c r="B38" s="857" t="s">
        <v>1476</v>
      </c>
      <c r="C38" s="793" t="s">
        <v>1476</v>
      </c>
      <c r="D38" s="871">
        <v>30</v>
      </c>
      <c r="E38" s="873">
        <f>SUMIF(Меню!$J$5:$FD$5,$C38,Меню!$J$62:$FD$62)</f>
        <v>0</v>
      </c>
      <c r="F38" s="883">
        <f t="shared" si="1"/>
        <v>-30</v>
      </c>
      <c r="G38" s="873">
        <f>SUMIF(Меню!$J$5:$FD$5,$C38,Меню!$J$107:$FD$107)</f>
        <v>0</v>
      </c>
      <c r="H38" s="883">
        <f t="shared" si="1"/>
        <v>-30</v>
      </c>
      <c r="I38" s="873">
        <f>SUMIF(Меню!$J$5:$FD$5,$C38,Меню!$J$152:$FD$152)</f>
        <v>0</v>
      </c>
      <c r="J38" s="883">
        <f t="shared" ref="J38" si="132">IF(I38&lt;$D38,I38-$D38,"")</f>
        <v>-30</v>
      </c>
      <c r="K38" s="873">
        <f>SUMIF(Меню!$J$5:$FD$5,$C38,Меню!$J$197:$FD$197)</f>
        <v>0</v>
      </c>
      <c r="L38" s="883">
        <f t="shared" ref="L38" si="133">IF(K38&lt;$D38,K38-$D38,"")</f>
        <v>-30</v>
      </c>
      <c r="M38" s="873">
        <f>SUMIF(Меню!$J$5:$FD$5,$C38,Меню!$J$242:$FD$242)</f>
        <v>0</v>
      </c>
      <c r="N38" s="883">
        <f t="shared" ref="N38" si="134">IF(M38&lt;$D38,M38-$D38,"")</f>
        <v>-30</v>
      </c>
      <c r="O38" s="873">
        <f>SUMIF(Меню!$J$5:$FD$5,$C38,Меню!$J$287:$FD$287)</f>
        <v>0</v>
      </c>
      <c r="P38" s="883">
        <f t="shared" ref="P38" si="135">IF(O38&lt;$D38,O38-$D38,"")</f>
        <v>-30</v>
      </c>
      <c r="Q38" s="873">
        <f>SUMIF(Меню!$J$5:$FD$5,$C38,Меню!$J$332:$FD$332)</f>
        <v>0</v>
      </c>
      <c r="R38" s="883">
        <f t="shared" ref="R38" si="136">IF(Q38&lt;$D38,Q38-$D38,"")</f>
        <v>-30</v>
      </c>
      <c r="S38" s="685"/>
    </row>
    <row r="39" spans="1:19" x14ac:dyDescent="0.25">
      <c r="A39" s="882"/>
      <c r="B39" s="857" t="s">
        <v>1477</v>
      </c>
      <c r="C39" s="793" t="s">
        <v>1477</v>
      </c>
      <c r="D39" s="871">
        <v>40</v>
      </c>
      <c r="E39" s="873">
        <f>SUMIF(Меню!$J$5:$FD$5,$C39,Меню!$J$62:$FD$62)</f>
        <v>64</v>
      </c>
      <c r="F39" s="883" t="str">
        <f t="shared" si="1"/>
        <v/>
      </c>
      <c r="G39" s="873">
        <f>SUMIF(Меню!$J$5:$FD$5,$C39,Меню!$J$107:$FD$107)</f>
        <v>13.2</v>
      </c>
      <c r="H39" s="883">
        <f t="shared" si="1"/>
        <v>-26.8</v>
      </c>
      <c r="I39" s="873">
        <f>SUMIF(Меню!$J$5:$FD$5,$C39,Меню!$J$152:$FD$152)</f>
        <v>29</v>
      </c>
      <c r="J39" s="883">
        <f t="shared" ref="J39" si="137">IF(I39&lt;$D39,I39-$D39,"")</f>
        <v>-11</v>
      </c>
      <c r="K39" s="873">
        <f>SUMIF(Меню!$J$5:$FD$5,$C39,Меню!$J$197:$FD$197)</f>
        <v>49</v>
      </c>
      <c r="L39" s="883" t="str">
        <f t="shared" ref="L39" si="138">IF(K39&lt;$D39,K39-$D39,"")</f>
        <v/>
      </c>
      <c r="M39" s="873">
        <f>SUMIF(Меню!$J$5:$FD$5,$C39,Меню!$J$242:$FD$242)</f>
        <v>173.6</v>
      </c>
      <c r="N39" s="883" t="str">
        <f t="shared" ref="N39" si="139">IF(M39&lt;$D39,M39-$D39,"")</f>
        <v/>
      </c>
      <c r="O39" s="873">
        <f>SUMIF(Меню!$J$5:$FD$5,$C39,Меню!$J$287:$FD$287)</f>
        <v>14</v>
      </c>
      <c r="P39" s="883">
        <f t="shared" ref="P39" si="140">IF(O39&lt;$D39,O39-$D39,"")</f>
        <v>-26</v>
      </c>
      <c r="Q39" s="873">
        <f>SUMIF(Меню!$J$5:$FD$5,$C39,Меню!$J$332:$FD$332)</f>
        <v>40</v>
      </c>
      <c r="R39" s="883" t="str">
        <f t="shared" ref="R39" si="141">IF(Q39&lt;$D39,Q39-$D39,"")</f>
        <v/>
      </c>
      <c r="S39" s="685"/>
    </row>
    <row r="40" spans="1:19" x14ac:dyDescent="0.25">
      <c r="A40" s="882"/>
      <c r="B40" s="857" t="s">
        <v>1478</v>
      </c>
      <c r="C40" s="793" t="s">
        <v>32</v>
      </c>
      <c r="D40" s="871">
        <v>50</v>
      </c>
      <c r="E40" s="873">
        <f>SUMIF(Меню!$J$5:$FD$5,$C40,Меню!$J$62:$FD$62)</f>
        <v>84</v>
      </c>
      <c r="F40" s="883" t="str">
        <f t="shared" si="1"/>
        <v/>
      </c>
      <c r="G40" s="873">
        <f>SUMIF(Меню!$J$5:$FD$5,$C40,Меню!$J$107:$FD$107)</f>
        <v>22.2</v>
      </c>
      <c r="H40" s="883">
        <f t="shared" si="1"/>
        <v>-27.8</v>
      </c>
      <c r="I40" s="873">
        <f>SUMIF(Меню!$J$5:$FD$5,$C40,Меню!$J$152:$FD$152)</f>
        <v>32.200000000000003</v>
      </c>
      <c r="J40" s="883">
        <f t="shared" ref="J40" si="142">IF(I40&lt;$D40,I40-$D40,"")</f>
        <v>-17.799999999999997</v>
      </c>
      <c r="K40" s="873">
        <f>SUMIF(Меню!$J$5:$FD$5,$C40,Меню!$J$197:$FD$197)</f>
        <v>54</v>
      </c>
      <c r="L40" s="883" t="str">
        <f t="shared" ref="L40" si="143">IF(K40&lt;$D40,K40-$D40,"")</f>
        <v/>
      </c>
      <c r="M40" s="873">
        <f>SUMIF(Меню!$J$5:$FD$5,$C40,Меню!$J$242:$FD$242)</f>
        <v>52.6</v>
      </c>
      <c r="N40" s="883" t="str">
        <f t="shared" ref="N40" si="144">IF(M40&lt;$D40,M40-$D40,"")</f>
        <v/>
      </c>
      <c r="O40" s="873">
        <f>SUMIF(Меню!$J$5:$FD$5,$C40,Меню!$J$287:$FD$287)</f>
        <v>34</v>
      </c>
      <c r="P40" s="883">
        <f t="shared" ref="P40" si="145">IF(O40&lt;$D40,O40-$D40,"")</f>
        <v>-16</v>
      </c>
      <c r="Q40" s="873">
        <f>SUMIF(Меню!$J$5:$FD$5,$C40,Меню!$J$332:$FD$332)</f>
        <v>47</v>
      </c>
      <c r="R40" s="883">
        <f t="shared" ref="R40" si="146">IF(Q40&lt;$D40,Q40-$D40,"")</f>
        <v>-3</v>
      </c>
      <c r="S40" s="685"/>
    </row>
    <row r="41" spans="1:19" x14ac:dyDescent="0.25">
      <c r="A41" s="882"/>
      <c r="B41" s="857" t="s">
        <v>1479</v>
      </c>
      <c r="C41" s="793" t="s">
        <v>1479</v>
      </c>
      <c r="D41" s="871">
        <v>60</v>
      </c>
      <c r="E41" s="873">
        <f>SUMIF(Меню!$J$5:$FD$5,$C41,Меню!$J$62:$FD$62)</f>
        <v>25</v>
      </c>
      <c r="F41" s="883">
        <f t="shared" si="1"/>
        <v>-35</v>
      </c>
      <c r="G41" s="873">
        <f>SUMIF(Меню!$J$5:$FD$5,$C41,Меню!$J$107:$FD$107)</f>
        <v>0</v>
      </c>
      <c r="H41" s="883">
        <f t="shared" si="1"/>
        <v>-60</v>
      </c>
      <c r="I41" s="873">
        <f>SUMIF(Меню!$J$5:$FD$5,$C41,Меню!$J$152:$FD$152)</f>
        <v>0</v>
      </c>
      <c r="J41" s="883">
        <f t="shared" ref="J41" si="147">IF(I41&lt;$D41,I41-$D41,"")</f>
        <v>-60</v>
      </c>
      <c r="K41" s="873">
        <f>SUMIF(Меню!$J$5:$FD$5,$C41,Меню!$J$197:$FD$197)</f>
        <v>0</v>
      </c>
      <c r="L41" s="883">
        <f t="shared" ref="L41" si="148">IF(K41&lt;$D41,K41-$D41,"")</f>
        <v>-60</v>
      </c>
      <c r="M41" s="873">
        <f>SUMIF(Меню!$J$5:$FD$5,$C41,Меню!$J$242:$FD$242)</f>
        <v>0</v>
      </c>
      <c r="N41" s="883">
        <f t="shared" ref="N41" si="149">IF(M41&lt;$D41,M41-$D41,"")</f>
        <v>-60</v>
      </c>
      <c r="O41" s="873">
        <f>SUMIF(Меню!$J$5:$FD$5,$C41,Меню!$J$287:$FD$287)</f>
        <v>0</v>
      </c>
      <c r="P41" s="883">
        <f t="shared" ref="P41" si="150">IF(O41&lt;$D41,O41-$D41,"")</f>
        <v>-60</v>
      </c>
      <c r="Q41" s="873">
        <f>SUMIF(Меню!$J$5:$FD$5,$C41,Меню!$J$332:$FD$332)</f>
        <v>0</v>
      </c>
      <c r="R41" s="883">
        <f t="shared" ref="R41" si="151">IF(Q41&lt;$D41,Q41-$D41,"")</f>
        <v>-60</v>
      </c>
      <c r="S41" s="685"/>
    </row>
    <row r="42" spans="1:19" x14ac:dyDescent="0.25">
      <c r="A42" s="880">
        <f>A34+1</f>
        <v>25</v>
      </c>
      <c r="B42" s="876" t="s">
        <v>1480</v>
      </c>
      <c r="C42" s="876" t="s">
        <v>1501</v>
      </c>
      <c r="D42" s="877">
        <v>100</v>
      </c>
      <c r="E42" s="879">
        <f>SUMIF(Меню!$J$5:$FD$5,$C42,Меню!$J$62:$FD$62)</f>
        <v>200</v>
      </c>
      <c r="F42" s="883" t="str">
        <f t="shared" si="1"/>
        <v/>
      </c>
      <c r="G42" s="879">
        <f>SUMIF(Меню!$J$5:$FD$5,$C42,Меню!$J$107:$FD$107)</f>
        <v>200</v>
      </c>
      <c r="H42" s="883" t="str">
        <f t="shared" si="1"/>
        <v/>
      </c>
      <c r="I42" s="879">
        <f>SUMIF(Меню!$J$5:$FD$5,$C42,Меню!$J$152:$FD$152)</f>
        <v>400</v>
      </c>
      <c r="J42" s="883" t="str">
        <f t="shared" ref="J42" si="152">IF(I42&lt;$D42,I42-$D42,"")</f>
        <v/>
      </c>
      <c r="K42" s="879">
        <f>SUMIF(Меню!$J$5:$FD$5,$C42,Меню!$J$197:$FD$197)</f>
        <v>400</v>
      </c>
      <c r="L42" s="883" t="str">
        <f t="shared" ref="L42" si="153">IF(K42&lt;$D42,K42-$D42,"")</f>
        <v/>
      </c>
      <c r="M42" s="879">
        <f>SUMIF(Меню!$J$5:$FD$5,$C42,Меню!$J$242:$FD$242)</f>
        <v>400</v>
      </c>
      <c r="N42" s="883" t="str">
        <f t="shared" ref="N42" si="154">IF(M42&lt;$D42,M42-$D42,"")</f>
        <v/>
      </c>
      <c r="O42" s="879">
        <f>SUMIF(Меню!$J$5:$FD$5,$C42,Меню!$J$287:$FD$287)</f>
        <v>400</v>
      </c>
      <c r="P42" s="883" t="str">
        <f t="shared" ref="P42" si="155">IF(O42&lt;$D42,O42-$D42,"")</f>
        <v/>
      </c>
      <c r="Q42" s="879">
        <v>200</v>
      </c>
      <c r="R42" s="883" t="str">
        <f t="shared" ref="R42" si="156">IF(Q42&lt;$D42,Q42-$D42,"")</f>
        <v/>
      </c>
      <c r="S42" s="878"/>
    </row>
    <row r="43" spans="1:19" x14ac:dyDescent="0.25">
      <c r="A43" s="880">
        <f t="shared" si="0"/>
        <v>26</v>
      </c>
      <c r="B43" s="876" t="s">
        <v>1481</v>
      </c>
      <c r="C43" s="876" t="s">
        <v>1500</v>
      </c>
      <c r="D43" s="877">
        <v>30</v>
      </c>
      <c r="E43" s="879">
        <f>SUMIF(Меню!$J$5:$FD$5,$C43,Меню!$J$62:$FD$62)</f>
        <v>20</v>
      </c>
      <c r="F43" s="883">
        <f t="shared" si="1"/>
        <v>-10</v>
      </c>
      <c r="G43" s="879">
        <f>SUMIF(Меню!$J$5:$FD$5,$C43,Меню!$J$107:$FD$107)</f>
        <v>0</v>
      </c>
      <c r="H43" s="883">
        <f t="shared" si="1"/>
        <v>-30</v>
      </c>
      <c r="I43" s="879">
        <f>SUMIF(Меню!$J$5:$FD$5,$C43,Меню!$J$152:$FD$152)</f>
        <v>0</v>
      </c>
      <c r="J43" s="883">
        <f t="shared" ref="J43" si="157">IF(I43&lt;$D43,I43-$D43,"")</f>
        <v>-30</v>
      </c>
      <c r="K43" s="879">
        <f>SUMIF(Меню!$J$5:$FD$5,$C43,Меню!$J$197:$FD$197)</f>
        <v>0</v>
      </c>
      <c r="L43" s="883">
        <f t="shared" ref="L43" si="158">IF(K43&lt;$D43,K43-$D43,"")</f>
        <v>-30</v>
      </c>
      <c r="M43" s="879">
        <f>SUMIF(Меню!$J$5:$FD$5,$C43,Меню!$J$242:$FD$242)</f>
        <v>0</v>
      </c>
      <c r="N43" s="883">
        <f t="shared" ref="N43" si="159">IF(M43&lt;$D43,M43-$D43,"")</f>
        <v>-30</v>
      </c>
      <c r="O43" s="879">
        <f>SUMIF(Меню!$J$5:$FD$5,$C43,Меню!$J$287:$FD$287)</f>
        <v>0</v>
      </c>
      <c r="P43" s="883">
        <f t="shared" ref="P43" si="160">IF(O43&lt;$D43,O43-$D43,"")</f>
        <v>-30</v>
      </c>
      <c r="Q43" s="879">
        <v>200</v>
      </c>
      <c r="R43" s="883" t="str">
        <f t="shared" ref="R43" si="161">IF(Q43&lt;$D43,Q43-$D43,"")</f>
        <v/>
      </c>
      <c r="S43" s="878"/>
    </row>
    <row r="44" spans="1:19" x14ac:dyDescent="0.25">
      <c r="A44" s="880">
        <f t="shared" si="0"/>
        <v>27</v>
      </c>
      <c r="B44" s="876" t="s">
        <v>1482</v>
      </c>
      <c r="C44" s="876" t="s">
        <v>179</v>
      </c>
      <c r="D44" s="877">
        <v>1</v>
      </c>
      <c r="E44" s="879">
        <f>SUMIF(Меню!$J$5:$FD$5,$C44,Меню!$J$62:$FD$62)</f>
        <v>0</v>
      </c>
      <c r="F44" s="883">
        <f t="shared" si="1"/>
        <v>-1</v>
      </c>
      <c r="G44" s="879">
        <f>SUMIF(Меню!$J$5:$FD$5,$C44,Меню!$J$107:$FD$107)</f>
        <v>0</v>
      </c>
      <c r="H44" s="883">
        <f t="shared" si="1"/>
        <v>-1</v>
      </c>
      <c r="I44" s="879">
        <f>SUMIF(Меню!$J$5:$FD$5,$C44,Меню!$J$152:$FD$152)</f>
        <v>0</v>
      </c>
      <c r="J44" s="883">
        <f t="shared" ref="J44" si="162">IF(I44&lt;$D44,I44-$D44,"")</f>
        <v>-1</v>
      </c>
      <c r="K44" s="879">
        <f>SUMIF(Меню!$J$5:$FD$5,$C44,Меню!$J$197:$FD$197)</f>
        <v>0</v>
      </c>
      <c r="L44" s="883">
        <f t="shared" ref="L44" si="163">IF(K44&lt;$D44,K44-$D44,"")</f>
        <v>-1</v>
      </c>
      <c r="M44" s="879">
        <f>SUMIF(Меню!$J$5:$FD$5,$C44,Меню!$J$242:$FD$242)</f>
        <v>0</v>
      </c>
      <c r="N44" s="883">
        <f t="shared" ref="N44" si="164">IF(M44&lt;$D44,M44-$D44,"")</f>
        <v>-1</v>
      </c>
      <c r="O44" s="879">
        <f>SUMIF(Меню!$J$5:$FD$5,$C44,Меню!$J$287:$FD$287)</f>
        <v>0</v>
      </c>
      <c r="P44" s="883">
        <f t="shared" ref="P44" si="165">IF(O44&lt;$D44,O44-$D44,"")</f>
        <v>-1</v>
      </c>
      <c r="Q44" s="879">
        <v>200</v>
      </c>
      <c r="R44" s="883" t="str">
        <f t="shared" ref="R44" si="166">IF(Q44&lt;$D44,Q44-$D44,"")</f>
        <v/>
      </c>
      <c r="S44" s="878"/>
    </row>
    <row r="45" spans="1:19" x14ac:dyDescent="0.25">
      <c r="A45" s="903"/>
      <c r="B45" s="904" t="s">
        <v>1484</v>
      </c>
      <c r="C45" s="904"/>
      <c r="D45" s="905"/>
      <c r="E45" s="906"/>
      <c r="F45" s="907" t="str">
        <f t="shared" si="1"/>
        <v/>
      </c>
      <c r="G45" s="906"/>
      <c r="H45" s="907" t="str">
        <f t="shared" si="1"/>
        <v/>
      </c>
      <c r="I45" s="906"/>
      <c r="J45" s="907" t="str">
        <f t="shared" ref="J45" si="167">IF(I45&lt;$D45,I45-$D45,"")</f>
        <v/>
      </c>
      <c r="K45" s="906"/>
      <c r="L45" s="907" t="str">
        <f t="shared" ref="L45" si="168">IF(K45&lt;$D45,K45-$D45,"")</f>
        <v/>
      </c>
      <c r="M45" s="906"/>
      <c r="N45" s="907" t="str">
        <f t="shared" ref="N45" si="169">IF(M45&lt;$D45,M45-$D45,"")</f>
        <v/>
      </c>
      <c r="O45" s="906"/>
      <c r="P45" s="907" t="str">
        <f t="shared" ref="P45" si="170">IF(O45&lt;$D45,O45-$D45,"")</f>
        <v/>
      </c>
      <c r="Q45" s="906"/>
      <c r="R45" s="907" t="str">
        <f t="shared" ref="R45" si="171">IF(Q45&lt;$D45,Q45-$D45,"")</f>
        <v/>
      </c>
      <c r="S45" s="878"/>
    </row>
    <row r="46" spans="1:19" x14ac:dyDescent="0.25">
      <c r="A46" s="880"/>
      <c r="B46" s="895" t="s">
        <v>111</v>
      </c>
      <c r="C46" s="895"/>
      <c r="D46" s="896">
        <v>375</v>
      </c>
      <c r="E46" s="897">
        <f>Меню!FB28</f>
        <v>957</v>
      </c>
      <c r="F46" s="883" t="str">
        <f t="shared" si="1"/>
        <v/>
      </c>
      <c r="G46" s="897">
        <f>Меню!FB73</f>
        <v>993</v>
      </c>
      <c r="H46" s="883" t="str">
        <f t="shared" si="1"/>
        <v/>
      </c>
      <c r="I46" s="897">
        <f>Меню!FB118</f>
        <v>999</v>
      </c>
      <c r="J46" s="883" t="str">
        <f t="shared" si="1"/>
        <v/>
      </c>
      <c r="K46" s="897">
        <f>Меню!FB163</f>
        <v>917</v>
      </c>
      <c r="L46" s="883" t="str">
        <f t="shared" si="1"/>
        <v/>
      </c>
      <c r="M46" s="897">
        <f>Меню!FB208</f>
        <v>842</v>
      </c>
      <c r="N46" s="883" t="str">
        <f t="shared" si="1"/>
        <v/>
      </c>
      <c r="O46" s="897">
        <f>Меню!FB253</f>
        <v>957</v>
      </c>
      <c r="P46" s="883" t="str">
        <f t="shared" si="1"/>
        <v/>
      </c>
      <c r="Q46" s="897">
        <f>Меню!FB298</f>
        <v>1172.752</v>
      </c>
      <c r="R46" s="898"/>
      <c r="S46" s="878"/>
    </row>
    <row r="47" spans="1:19" x14ac:dyDescent="0.25">
      <c r="A47" s="880"/>
      <c r="B47" s="895" t="s">
        <v>112</v>
      </c>
      <c r="C47" s="895"/>
      <c r="D47" s="896">
        <v>625</v>
      </c>
      <c r="E47" s="897">
        <f>Меню!FB43</f>
        <v>1538</v>
      </c>
      <c r="F47" s="883" t="str">
        <f t="shared" si="1"/>
        <v/>
      </c>
      <c r="G47" s="897">
        <f>Меню!FB88</f>
        <v>1458</v>
      </c>
      <c r="H47" s="883" t="str">
        <f t="shared" si="1"/>
        <v/>
      </c>
      <c r="I47" s="897">
        <f>Меню!FB133</f>
        <v>1384</v>
      </c>
      <c r="J47" s="883" t="str">
        <f t="shared" si="1"/>
        <v/>
      </c>
      <c r="K47" s="897">
        <f>Меню!FB178</f>
        <v>1464</v>
      </c>
      <c r="L47" s="883" t="str">
        <f t="shared" si="1"/>
        <v/>
      </c>
      <c r="M47" s="897">
        <f>Меню!FB223</f>
        <v>1314</v>
      </c>
      <c r="N47" s="883" t="str">
        <f t="shared" si="1"/>
        <v/>
      </c>
      <c r="O47" s="897">
        <f>Меню!FB268</f>
        <v>1621.02</v>
      </c>
      <c r="P47" s="883" t="str">
        <f t="shared" si="1"/>
        <v/>
      </c>
      <c r="Q47" s="897">
        <f>Меню!FB313</f>
        <v>1354</v>
      </c>
      <c r="R47" s="898"/>
      <c r="S47" s="878"/>
    </row>
    <row r="48" spans="1:19" x14ac:dyDescent="0.25">
      <c r="A48" s="880"/>
      <c r="B48" s="895" t="s">
        <v>117</v>
      </c>
      <c r="C48" s="895"/>
      <c r="D48" s="896">
        <v>375</v>
      </c>
      <c r="E48" s="897">
        <f>Меню!FB56</f>
        <v>2018</v>
      </c>
      <c r="F48" s="883" t="str">
        <f t="shared" si="1"/>
        <v/>
      </c>
      <c r="G48" s="897">
        <f>Меню!FB101</f>
        <v>1153</v>
      </c>
      <c r="H48" s="883" t="str">
        <f t="shared" si="1"/>
        <v/>
      </c>
      <c r="I48" s="897">
        <f>Меню!FB146</f>
        <v>1380.3</v>
      </c>
      <c r="J48" s="883" t="str">
        <f t="shared" si="1"/>
        <v/>
      </c>
      <c r="K48" s="897">
        <f>Меню!FB191</f>
        <v>1131</v>
      </c>
      <c r="L48" s="883" t="str">
        <f t="shared" si="1"/>
        <v/>
      </c>
      <c r="M48" s="897">
        <f>Меню!FB236</f>
        <v>1245.9180000000001</v>
      </c>
      <c r="N48" s="883" t="str">
        <f t="shared" si="1"/>
        <v/>
      </c>
      <c r="O48" s="897">
        <f>Меню!FB281</f>
        <v>1324.412</v>
      </c>
      <c r="P48" s="883" t="str">
        <f t="shared" si="1"/>
        <v/>
      </c>
      <c r="Q48" s="897">
        <f>Меню!FB326</f>
        <v>1211</v>
      </c>
      <c r="R48" s="898"/>
      <c r="S48" s="878"/>
    </row>
    <row r="49" spans="1:19" x14ac:dyDescent="0.25">
      <c r="A49" s="880"/>
      <c r="B49" s="895" t="s">
        <v>146</v>
      </c>
      <c r="C49" s="895"/>
      <c r="D49" s="896">
        <v>75</v>
      </c>
      <c r="E49" s="897">
        <f>Меню!FB61</f>
        <v>350</v>
      </c>
      <c r="F49" s="883" t="str">
        <f t="shared" si="1"/>
        <v/>
      </c>
      <c r="G49" s="897">
        <f>Меню!FB106</f>
        <v>350</v>
      </c>
      <c r="H49" s="883" t="str">
        <f t="shared" si="1"/>
        <v/>
      </c>
      <c r="I49" s="897">
        <f>Меню!FB151</f>
        <v>350</v>
      </c>
      <c r="J49" s="883" t="str">
        <f t="shared" si="1"/>
        <v/>
      </c>
      <c r="K49" s="897">
        <f>Меню!FB196</f>
        <v>350</v>
      </c>
      <c r="L49" s="883" t="str">
        <f t="shared" si="1"/>
        <v/>
      </c>
      <c r="M49" s="897">
        <f>Меню!FB241</f>
        <v>350</v>
      </c>
      <c r="N49" s="883" t="str">
        <f t="shared" si="1"/>
        <v/>
      </c>
      <c r="O49" s="897">
        <f>Меню!FB286</f>
        <v>350</v>
      </c>
      <c r="P49" s="883" t="str">
        <f t="shared" si="1"/>
        <v/>
      </c>
      <c r="Q49" s="897">
        <f>Меню!FB331</f>
        <v>350</v>
      </c>
      <c r="R49" s="898"/>
      <c r="S49" s="878"/>
    </row>
    <row r="50" spans="1:19" x14ac:dyDescent="0.25">
      <c r="A50" s="880"/>
      <c r="B50" s="899" t="s">
        <v>1433</v>
      </c>
      <c r="C50" s="899" t="s">
        <v>1495</v>
      </c>
      <c r="D50" s="900">
        <v>150</v>
      </c>
      <c r="E50" s="901">
        <f>SUMIF(Меню!$G$18:$G$61,$C50,Меню!$FB$18:$FB$61)</f>
        <v>385</v>
      </c>
      <c r="F50" s="902" t="str">
        <f t="shared" si="1"/>
        <v/>
      </c>
      <c r="G50" s="901">
        <f>SUMIF(Меню!$G$63:$G$106,$C50,Меню!$FB$63:$FB$106)</f>
        <v>110</v>
      </c>
      <c r="H50" s="902">
        <f t="shared" si="1"/>
        <v>-40</v>
      </c>
      <c r="I50" s="901">
        <f>SUMIF(Меню!$G$108:$G$151,$C50,Меню!$FB$108:$FB$151)</f>
        <v>105</v>
      </c>
      <c r="J50" s="902">
        <f t="shared" ref="J50" si="172">IF(I50&lt;$D50,I50-$D50,"")</f>
        <v>-45</v>
      </c>
      <c r="K50" s="901">
        <f>SUMIF(Меню!$G$153:$G$196,$C50,Меню!$FB$153:$FB$196)</f>
        <v>136</v>
      </c>
      <c r="L50" s="902">
        <f t="shared" ref="L50" si="173">IF(K50&lt;$D50,K50-$D50,"")</f>
        <v>-14</v>
      </c>
      <c r="M50" s="901">
        <f>SUMIF(Меню!$G$198:$G$241,$C50,Меню!$FB$198:$FB$241)</f>
        <v>130</v>
      </c>
      <c r="N50" s="902">
        <f t="shared" ref="N50" si="174">IF(M50&lt;$D50,M50-$D50,"")</f>
        <v>-20</v>
      </c>
      <c r="O50" s="901">
        <f>SUMIF(Меню!$G$243:$G$286,$C50,Меню!$FB$243:$FB$286)</f>
        <v>160.01999999999998</v>
      </c>
      <c r="P50" s="902" t="str">
        <f t="shared" ref="P50" si="175">IF(O50&lt;$D50,O50-$D50,"")</f>
        <v/>
      </c>
      <c r="Q50" s="901">
        <f>SUMIF(Меню!$G$288:$G$331,$C50,Меню!$FB$288:$FB$331)</f>
        <v>110</v>
      </c>
      <c r="R50" s="902">
        <f t="shared" ref="R50" si="176">IF(Q50&lt;$D50,Q50-$D50,"")</f>
        <v>-40</v>
      </c>
      <c r="S50" s="878"/>
    </row>
    <row r="51" spans="1:19" x14ac:dyDescent="0.25">
      <c r="A51" s="880"/>
      <c r="B51" s="899" t="s">
        <v>1434</v>
      </c>
      <c r="C51" s="899" t="s">
        <v>1491</v>
      </c>
      <c r="D51" s="900">
        <v>300</v>
      </c>
      <c r="E51" s="901">
        <f>SUMIF(Меню!$G$18:$G$61,$C51,Меню!$FB$18:$FB$61)</f>
        <v>1000</v>
      </c>
      <c r="F51" s="902" t="str">
        <f t="shared" si="1"/>
        <v/>
      </c>
      <c r="G51" s="901">
        <f>SUMIF(Меню!$G$63:$G$106,$C51,Меню!$FB$63:$FB$106)</f>
        <v>1120</v>
      </c>
      <c r="H51" s="902" t="str">
        <f t="shared" si="1"/>
        <v/>
      </c>
      <c r="I51" s="901">
        <f>SUMIF(Меню!$G$108:$G$151,$C51,Меню!$FB$108:$FB$151)</f>
        <v>1038</v>
      </c>
      <c r="J51" s="902" t="str">
        <f t="shared" ref="J51" si="177">IF(I51&lt;$D51,I51-$D51,"")</f>
        <v/>
      </c>
      <c r="K51" s="901">
        <f>SUMIF(Меню!$G$153:$G$196,$C51,Меню!$FB$153:$FB$196)</f>
        <v>1000</v>
      </c>
      <c r="L51" s="902" t="str">
        <f t="shared" ref="L51" si="178">IF(K51&lt;$D51,K51-$D51,"")</f>
        <v/>
      </c>
      <c r="M51" s="901">
        <f>SUMIF(Меню!$G$198:$G$241,$C51,Меню!$FB$198:$FB$241)</f>
        <v>1000</v>
      </c>
      <c r="N51" s="902" t="str">
        <f t="shared" ref="N51" si="179">IF(M51&lt;$D51,M51-$D51,"")</f>
        <v/>
      </c>
      <c r="O51" s="901">
        <f>SUMIF(Меню!$G$243:$G$286,$C51,Меню!$FB$243:$FB$286)</f>
        <v>1000</v>
      </c>
      <c r="P51" s="902" t="str">
        <f t="shared" ref="P51" si="180">IF(O51&lt;$D51,O51-$D51,"")</f>
        <v/>
      </c>
      <c r="Q51" s="901">
        <f>SUMIF(Меню!$G$288:$G$331,$C51,Меню!$FB$288:$FB$331)</f>
        <v>1000</v>
      </c>
      <c r="R51" s="902" t="str">
        <f t="shared" ref="R51" si="181">IF(Q51&lt;$D51,Q51-$D51,"")</f>
        <v/>
      </c>
      <c r="S51" s="878"/>
    </row>
    <row r="52" spans="1:19" x14ac:dyDescent="0.25">
      <c r="A52" s="880"/>
      <c r="B52" s="899" t="s">
        <v>1435</v>
      </c>
      <c r="C52" s="899" t="s">
        <v>1492</v>
      </c>
      <c r="D52" s="900">
        <v>120</v>
      </c>
      <c r="E52" s="901">
        <f>SUMIF(Меню!$G$18:$G$61,$C52,Меню!$FB$18:$FB$61)</f>
        <v>575</v>
      </c>
      <c r="F52" s="902" t="str">
        <f t="shared" si="1"/>
        <v/>
      </c>
      <c r="G52" s="901">
        <f>SUMIF(Меню!$G$63:$G$106,$C52,Меню!$FB$63:$FB$106)</f>
        <v>485</v>
      </c>
      <c r="H52" s="902" t="str">
        <f t="shared" si="1"/>
        <v/>
      </c>
      <c r="I52" s="901">
        <f>SUMIF(Меню!$G$108:$G$151,$C52,Меню!$FB$108:$FB$151)</f>
        <v>621.79999999999995</v>
      </c>
      <c r="J52" s="902" t="str">
        <f t="shared" ref="J52" si="182">IF(I52&lt;$D52,I52-$D52,"")</f>
        <v/>
      </c>
      <c r="K52" s="901">
        <f>SUMIF(Меню!$G$153:$G$196,$C52,Меню!$FB$153:$FB$196)</f>
        <v>553</v>
      </c>
      <c r="L52" s="902" t="str">
        <f t="shared" ref="L52" si="183">IF(K52&lt;$D52,K52-$D52,"")</f>
        <v/>
      </c>
      <c r="M52" s="901">
        <f>SUMIF(Меню!$G$198:$G$241,$C52,Меню!$FB$198:$FB$241)</f>
        <v>556.91800000000001</v>
      </c>
      <c r="N52" s="902" t="str">
        <f t="shared" ref="N52" si="184">IF(M52&lt;$D52,M52-$D52,"")</f>
        <v/>
      </c>
      <c r="O52" s="901">
        <f>SUMIF(Меню!$G$243:$G$286,$C52,Меню!$FB$243:$FB$286)</f>
        <v>457.41200000000003</v>
      </c>
      <c r="P52" s="902" t="str">
        <f t="shared" ref="P52" si="185">IF(O52&lt;$D52,O52-$D52,"")</f>
        <v/>
      </c>
      <c r="Q52" s="901">
        <f>SUMIF(Меню!$G$288:$G$331,$C52,Меню!$FB$288:$FB$331)</f>
        <v>1035.752</v>
      </c>
      <c r="R52" s="902" t="str">
        <f t="shared" ref="R52" si="186">IF(Q52&lt;$D52,Q52-$D52,"")</f>
        <v/>
      </c>
      <c r="S52" s="878"/>
    </row>
    <row r="53" spans="1:19" x14ac:dyDescent="0.25">
      <c r="A53" s="880"/>
      <c r="B53" s="899" t="s">
        <v>1436</v>
      </c>
      <c r="C53" s="899" t="s">
        <v>1494</v>
      </c>
      <c r="D53" s="900">
        <v>230</v>
      </c>
      <c r="E53" s="901">
        <f>SUMIF(Меню!$G$18:$G$61,$C53,Меню!$FB$18:$FB$61)</f>
        <v>1213</v>
      </c>
      <c r="F53" s="902" t="str">
        <f t="shared" si="1"/>
        <v/>
      </c>
      <c r="G53" s="901">
        <f>SUMIF(Меню!$G$63:$G$106,$C53,Меню!$FB$63:$FB$106)</f>
        <v>614</v>
      </c>
      <c r="H53" s="902" t="str">
        <f t="shared" si="1"/>
        <v/>
      </c>
      <c r="I53" s="901">
        <f>SUMIF(Меню!$G$108:$G$151,$C53,Меню!$FB$108:$FB$151)</f>
        <v>956</v>
      </c>
      <c r="J53" s="902" t="str">
        <f t="shared" ref="J53" si="187">IF(I53&lt;$D53,I53-$D53,"")</f>
        <v/>
      </c>
      <c r="K53" s="901">
        <f>SUMIF(Меню!$G$153:$G$196,$C53,Меню!$FB$153:$FB$196)</f>
        <v>838</v>
      </c>
      <c r="L53" s="902" t="str">
        <f t="shared" ref="L53" si="188">IF(K53&lt;$D53,K53-$D53,"")</f>
        <v/>
      </c>
      <c r="M53" s="901">
        <f>SUMIF(Меню!$G$198:$G$241,$C53,Меню!$FB$198:$FB$241)</f>
        <v>655</v>
      </c>
      <c r="N53" s="902" t="str">
        <f t="shared" ref="N53" si="189">IF(M53&lt;$D53,M53-$D53,"")</f>
        <v/>
      </c>
      <c r="O53" s="901">
        <f>SUMIF(Меню!$G$243:$G$286,$C53,Меню!$FB$243:$FB$286)</f>
        <v>1245</v>
      </c>
      <c r="P53" s="902" t="str">
        <f t="shared" ref="P53" si="190">IF(O53&lt;$D53,O53-$D53,"")</f>
        <v/>
      </c>
      <c r="Q53" s="901">
        <f>SUMIF(Меню!$G$288:$G$331,$C53,Меню!$FB$288:$FB$331)</f>
        <v>332</v>
      </c>
      <c r="R53" s="902" t="str">
        <f t="shared" ref="R53" si="191">IF(Q53&lt;$D53,Q53-$D53,"")</f>
        <v/>
      </c>
      <c r="S53" s="878"/>
    </row>
    <row r="54" spans="1:19" x14ac:dyDescent="0.25">
      <c r="A54" s="880"/>
      <c r="B54" s="899" t="s">
        <v>1437</v>
      </c>
      <c r="C54" s="899" t="s">
        <v>1195</v>
      </c>
      <c r="D54" s="900">
        <v>200</v>
      </c>
      <c r="E54" s="901">
        <f>SUMIF(Меню!$G$18:$G$61,$C54,Меню!$FB$18:$FB$61)</f>
        <v>950</v>
      </c>
      <c r="F54" s="902" t="str">
        <f t="shared" si="1"/>
        <v/>
      </c>
      <c r="G54" s="901">
        <f>SUMIF(Меню!$G$63:$G$106,$C54,Меню!$FB$63:$FB$106)</f>
        <v>700</v>
      </c>
      <c r="H54" s="902" t="str">
        <f t="shared" si="1"/>
        <v/>
      </c>
      <c r="I54" s="901">
        <f>SUMIF(Меню!$G$108:$G$151,$C54,Меню!$FB$108:$FB$151)</f>
        <v>650</v>
      </c>
      <c r="J54" s="902" t="str">
        <f t="shared" ref="J54" si="192">IF(I54&lt;$D54,I54-$D54,"")</f>
        <v/>
      </c>
      <c r="K54" s="901">
        <f>SUMIF(Меню!$G$153:$G$196,$C54,Меню!$FB$153:$FB$196)</f>
        <v>650</v>
      </c>
      <c r="L54" s="902" t="str">
        <f t="shared" ref="L54" si="193">IF(K54&lt;$D54,K54-$D54,"")</f>
        <v/>
      </c>
      <c r="M54" s="901">
        <f>SUMIF(Меню!$G$198:$G$241,$C54,Меню!$FB$198:$FB$241)</f>
        <v>650</v>
      </c>
      <c r="N54" s="902" t="str">
        <f t="shared" ref="N54" si="194">IF(M54&lt;$D54,M54-$D54,"")</f>
        <v/>
      </c>
      <c r="O54" s="901">
        <f>SUMIF(Меню!$G$243:$G$286,$C54,Меню!$FB$243:$FB$286)</f>
        <v>650</v>
      </c>
      <c r="P54" s="902" t="str">
        <f t="shared" ref="P54" si="195">IF(O54&lt;$D54,O54-$D54,"")</f>
        <v/>
      </c>
      <c r="Q54" s="901">
        <f>SUMIF(Меню!$G$288:$G$331,$C54,Меню!$FB$288:$FB$331)</f>
        <v>700</v>
      </c>
      <c r="R54" s="902" t="str">
        <f t="shared" ref="R54" si="196">IF(Q54&lt;$D54,Q54-$D54,"")</f>
        <v/>
      </c>
      <c r="S54" s="878"/>
    </row>
    <row r="55" spans="1:19" x14ac:dyDescent="0.25">
      <c r="A55" s="880"/>
      <c r="B55" s="881" t="s">
        <v>109</v>
      </c>
      <c r="C55" s="881" t="s">
        <v>109</v>
      </c>
      <c r="D55" s="877">
        <v>1900</v>
      </c>
      <c r="E55" s="879">
        <f>SUMIF(Меню!$J$6:$FD$6,$C55,Меню!$J$62:$FD$62)</f>
        <v>2635</v>
      </c>
      <c r="F55" s="883" t="str">
        <f t="shared" si="1"/>
        <v/>
      </c>
      <c r="G55" s="879">
        <f>SUMIF(Меню!$J$6:$FD$6,$C55,Меню!$J$107:$FD$107)</f>
        <v>1468</v>
      </c>
      <c r="H55" s="883">
        <f t="shared" si="1"/>
        <v>-432</v>
      </c>
      <c r="I55" s="879">
        <f>SUMIF(Меню!$J$6:$FD$6,$C55,Меню!$J$152:$FD$152)</f>
        <v>1912.5</v>
      </c>
      <c r="J55" s="883" t="str">
        <f t="shared" ref="J55" si="197">IF(I55&lt;$D55,I55-$D55,"")</f>
        <v/>
      </c>
      <c r="K55" s="879">
        <f>SUMIF(Меню!$J$6:$FD$6,$C55,Меню!$J$197:$FD$197)</f>
        <v>1920</v>
      </c>
      <c r="L55" s="883" t="str">
        <f t="shared" ref="L55" si="198">IF(K55&lt;$D55,K55-$D55,"")</f>
        <v/>
      </c>
      <c r="M55" s="879">
        <f>SUMIF(Меню!$J$6:$FD$6,$C55,Меню!$J$242:$FD$242)</f>
        <v>1920</v>
      </c>
      <c r="N55" s="883" t="str">
        <f t="shared" ref="N55" si="199">IF(M55&lt;$D55,M55-$D55,"")</f>
        <v/>
      </c>
      <c r="O55" s="879">
        <f>SUMIF(Меню!$J$6:$FD$6,$C55,Меню!$J$287:$FD$287)</f>
        <v>2284</v>
      </c>
      <c r="P55" s="883" t="str">
        <f t="shared" ref="P55" si="200">IF(O55&lt;$D55,O55-$D55,"")</f>
        <v/>
      </c>
      <c r="Q55" s="879">
        <f>SUMIF(Меню!$J$6:$FD$6,$C55,Меню!$J$332:$FD$332)</f>
        <v>1727</v>
      </c>
      <c r="R55" s="883">
        <f t="shared" ref="R55" si="201">IF(Q55&lt;$D55,Q55-$D55,"")</f>
        <v>-173</v>
      </c>
      <c r="S55" s="878"/>
    </row>
    <row r="56" spans="1:19" x14ac:dyDescent="0.25">
      <c r="A56" s="880"/>
      <c r="B56" s="930" t="s">
        <v>107</v>
      </c>
      <c r="C56" s="930" t="s">
        <v>107</v>
      </c>
      <c r="D56" s="896">
        <v>2700</v>
      </c>
      <c r="E56" s="897">
        <f>SUMIF(Меню!$J$6:$FD$6,$C56,Меню!$J$62:$FD$62)</f>
        <v>4863</v>
      </c>
      <c r="F56" s="898" t="str">
        <f t="shared" si="1"/>
        <v/>
      </c>
      <c r="G56" s="897">
        <f>SUMIF(Меню!$J$6:$FD$6,$C56,Меню!$J$107:$FD$107)</f>
        <v>3954</v>
      </c>
      <c r="H56" s="898" t="str">
        <f t="shared" si="1"/>
        <v/>
      </c>
      <c r="I56" s="897">
        <f>SUMIF(Меню!$J$6:$FD$6,$C56,Меню!$J$152:$FD$152)</f>
        <v>4113.3</v>
      </c>
      <c r="J56" s="898" t="str">
        <f t="shared" ref="J56" si="202">IF(I56&lt;$D56,I56-$D56,"")</f>
        <v/>
      </c>
      <c r="K56" s="897">
        <f>SUMIF(Меню!$J$6:$FD$6,$C56,Меню!$J$197:$FD$197)</f>
        <v>3862</v>
      </c>
      <c r="L56" s="898" t="str">
        <f t="shared" ref="L56" si="203">IF(K56&lt;$D56,K56-$D56,"")</f>
        <v/>
      </c>
      <c r="M56" s="897">
        <f>SUMIF(Меню!$J$6:$FD$6,$C56,Меню!$J$242:$FD$242)</f>
        <v>3751.9180000000001</v>
      </c>
      <c r="N56" s="898" t="str">
        <f t="shared" ref="N56" si="204">IF(M56&lt;$D56,M56-$D56,"")</f>
        <v/>
      </c>
      <c r="O56" s="897">
        <f>SUMIF(Меню!$J$6:$FD$6,$C56,Меню!$J$287:$FD$287)</f>
        <v>4252.4319999999998</v>
      </c>
      <c r="P56" s="898" t="str">
        <f t="shared" ref="P56" si="205">IF(O56&lt;$D56,O56-$D56,"")</f>
        <v/>
      </c>
      <c r="Q56" s="897">
        <f>SUMIF(Меню!$J$6:$FD$6,$C56,Меню!$J$332:$FD$332)</f>
        <v>4087.752</v>
      </c>
      <c r="R56" s="898" t="str">
        <f t="shared" ref="R56" si="206">IF(Q56&lt;$D56,Q56-$D56,"")</f>
        <v/>
      </c>
      <c r="S56" s="878"/>
    </row>
    <row r="57" spans="1:19" x14ac:dyDescent="0.25">
      <c r="A57" s="880"/>
      <c r="B57" s="881" t="s">
        <v>108</v>
      </c>
      <c r="C57" s="881" t="s">
        <v>108</v>
      </c>
      <c r="D57" s="877">
        <v>370</v>
      </c>
      <c r="E57" s="879">
        <f>SUMIF(Меню!$J$6:$FD$6,$C57,Меню!$J$62:$FD$62)</f>
        <v>275.5</v>
      </c>
      <c r="F57" s="883">
        <f t="shared" si="1"/>
        <v>-94.5</v>
      </c>
      <c r="G57" s="879">
        <f>SUMIF(Меню!$J$6:$FD$6,$C57,Меню!$J$107:$FD$107)</f>
        <v>193</v>
      </c>
      <c r="H57" s="883">
        <f t="shared" si="1"/>
        <v>-177</v>
      </c>
      <c r="I57" s="879">
        <f>SUMIF(Меню!$J$6:$FD$6,$C57,Меню!$J$152:$FD$152)</f>
        <v>222</v>
      </c>
      <c r="J57" s="883">
        <f t="shared" ref="J57" si="207">IF(I57&lt;$D57,I57-$D57,"")</f>
        <v>-148</v>
      </c>
      <c r="K57" s="879">
        <f>SUMIF(Меню!$J$6:$FD$6,$C57,Меню!$J$197:$FD$197)</f>
        <v>234.4</v>
      </c>
      <c r="L57" s="883">
        <f t="shared" ref="L57" si="208">IF(K57&lt;$D57,K57-$D57,"")</f>
        <v>-135.6</v>
      </c>
      <c r="M57" s="879">
        <f>SUMIF(Меню!$J$6:$FD$6,$C57,Меню!$J$242:$FD$242)</f>
        <v>214.91800000000001</v>
      </c>
      <c r="N57" s="883">
        <f t="shared" ref="N57" si="209">IF(M57&lt;$D57,M57-$D57,"")</f>
        <v>-155.08199999999999</v>
      </c>
      <c r="O57" s="879">
        <f>SUMIF(Меню!$J$6:$FD$6,$C57,Меню!$J$287:$FD$287)</f>
        <v>240.56</v>
      </c>
      <c r="P57" s="883">
        <f t="shared" ref="P57" si="210">IF(O57&lt;$D57,O57-$D57,"")</f>
        <v>-129.44</v>
      </c>
      <c r="Q57" s="879">
        <f>SUMIF(Меню!$J$6:$FD$6,$C57,Меню!$J$332:$FD$332)</f>
        <v>253.75200000000001</v>
      </c>
      <c r="R57" s="883">
        <f t="shared" ref="R57" si="211">IF(Q57&lt;$D57,Q57-$D57,"")</f>
        <v>-116.24799999999999</v>
      </c>
      <c r="S57" s="878"/>
    </row>
    <row r="58" spans="1:19" x14ac:dyDescent="0.25">
      <c r="A58" s="880"/>
      <c r="B58" s="881" t="s">
        <v>149</v>
      </c>
      <c r="C58" s="881" t="s">
        <v>149</v>
      </c>
      <c r="D58" s="877">
        <v>250</v>
      </c>
      <c r="E58" s="879">
        <f>SUMIF(Меню!$J$6:$FD$6,$C58,Меню!$J$62:$FD$62)</f>
        <v>310</v>
      </c>
      <c r="F58" s="883" t="str">
        <f t="shared" si="1"/>
        <v/>
      </c>
      <c r="G58" s="879">
        <f>SUMIF(Меню!$J$6:$FD$6,$C58,Меню!$J$107:$FD$107)</f>
        <v>335</v>
      </c>
      <c r="H58" s="883" t="str">
        <f t="shared" si="1"/>
        <v/>
      </c>
      <c r="I58" s="879">
        <f>SUMIF(Меню!$J$6:$FD$6,$C58,Меню!$J$152:$FD$152)</f>
        <v>335</v>
      </c>
      <c r="J58" s="883" t="str">
        <f t="shared" ref="J58" si="212">IF(I58&lt;$D58,I58-$D58,"")</f>
        <v/>
      </c>
      <c r="K58" s="879">
        <f>SUMIF(Меню!$J$6:$FD$6,$C58,Меню!$J$197:$FD$197)</f>
        <v>360</v>
      </c>
      <c r="L58" s="883" t="str">
        <f t="shared" ref="L58" si="213">IF(K58&lt;$D58,K58-$D58,"")</f>
        <v/>
      </c>
      <c r="M58" s="879">
        <f>SUMIF(Меню!$J$6:$FD$6,$C58,Меню!$J$242:$FD$242)</f>
        <v>135</v>
      </c>
      <c r="N58" s="883">
        <f t="shared" ref="N58" si="214">IF(M58&lt;$D58,M58-$D58,"")</f>
        <v>-115</v>
      </c>
      <c r="O58" s="879">
        <f>SUMIF(Меню!$J$6:$FD$6,$C58,Меню!$J$287:$FD$287)</f>
        <v>285</v>
      </c>
      <c r="P58" s="883" t="str">
        <f t="shared" ref="P58" si="215">IF(O58&lt;$D58,O58-$D58,"")</f>
        <v/>
      </c>
      <c r="Q58" s="879">
        <f>SUMIF(Меню!$J$6:$FD$6,$C58,Меню!$J$332:$FD$332)</f>
        <v>355</v>
      </c>
      <c r="R58" s="883" t="str">
        <f t="shared" ref="R58" si="216">IF(Q58&lt;$D58,Q58-$D58,"")</f>
        <v/>
      </c>
      <c r="S58" s="878"/>
    </row>
    <row r="59" spans="1:19" s="891" customFormat="1" ht="18.75" customHeight="1" x14ac:dyDescent="0.25">
      <c r="A59" s="886"/>
      <c r="B59" s="885" t="s">
        <v>1507</v>
      </c>
      <c r="C59" s="884"/>
      <c r="D59" s="887"/>
      <c r="E59" s="888" t="str">
        <f>IF(SUM(F11:F58)&gt;=0,"соответствует норме","есть отклонения")</f>
        <v>есть отклонения</v>
      </c>
      <c r="F59" s="889"/>
      <c r="G59" s="888" t="str">
        <f>IF(SUM(H11:H58)&gt;=0,"соответствует норме","есть отклонения")</f>
        <v>есть отклонения</v>
      </c>
      <c r="H59" s="889"/>
      <c r="I59" s="888" t="str">
        <f>IF(SUM(J11:J58)&gt;=0,"соответствует норме","есть отклонения")</f>
        <v>есть отклонения</v>
      </c>
      <c r="J59" s="889"/>
      <c r="K59" s="888" t="str">
        <f>IF(SUM(L11:L58)&gt;=0,"соответствует норме","есть отклонения")</f>
        <v>есть отклонения</v>
      </c>
      <c r="L59" s="889"/>
      <c r="M59" s="888" t="str">
        <f>IF(SUM(N11:N58)&gt;=0,"соответствует норме","есть отклонения")</f>
        <v>есть отклонения</v>
      </c>
      <c r="N59" s="889"/>
      <c r="O59" s="888" t="str">
        <f>IF(SUM(P11:P58)&gt;=0,"соответствует норме","есть отклонения")</f>
        <v>есть отклонения</v>
      </c>
      <c r="P59" s="889"/>
      <c r="Q59" s="888" t="str">
        <f>IF(SUM(R11:R58)&gt;=0,"соответствует норме","есть отклонения")</f>
        <v>есть отклонения</v>
      </c>
      <c r="R59" s="889"/>
      <c r="S59" s="890"/>
    </row>
    <row r="60" spans="1:19" x14ac:dyDescent="0.25">
      <c r="A60" s="219"/>
      <c r="B60" s="205"/>
      <c r="C60" s="205"/>
      <c r="D60" s="205"/>
      <c r="E60" s="205"/>
      <c r="F60" s="205"/>
      <c r="G60" s="205"/>
      <c r="H60" s="205"/>
      <c r="I60" s="205"/>
      <c r="J60" s="205"/>
      <c r="K60" s="205"/>
      <c r="L60" s="205"/>
      <c r="M60" s="213"/>
      <c r="N60" s="204"/>
      <c r="O60" s="204"/>
      <c r="P60" s="204"/>
      <c r="Q60" s="205"/>
      <c r="R60" s="205"/>
      <c r="S60" s="205"/>
    </row>
  </sheetData>
  <mergeCells count="35">
    <mergeCell ref="D3:E3"/>
    <mergeCell ref="G3:H3"/>
    <mergeCell ref="O9:P9"/>
    <mergeCell ref="Q9:R9"/>
    <mergeCell ref="E9:F9"/>
    <mergeCell ref="G9:H9"/>
    <mergeCell ref="I9:J9"/>
    <mergeCell ref="K9:L9"/>
    <mergeCell ref="M9:N9"/>
    <mergeCell ref="M7:N7"/>
    <mergeCell ref="O7:P7"/>
    <mergeCell ref="Q7:R7"/>
    <mergeCell ref="G8:H8"/>
    <mergeCell ref="I8:J8"/>
    <mergeCell ref="K8:L8"/>
    <mergeCell ref="M8:N8"/>
    <mergeCell ref="O8:P8"/>
    <mergeCell ref="Q8:R8"/>
    <mergeCell ref="E7:F7"/>
    <mergeCell ref="E8:F8"/>
    <mergeCell ref="G6:H6"/>
    <mergeCell ref="I6:J6"/>
    <mergeCell ref="K6:L6"/>
    <mergeCell ref="G7:H7"/>
    <mergeCell ref="I7:J7"/>
    <mergeCell ref="K7:L7"/>
    <mergeCell ref="A5:A6"/>
    <mergeCell ref="B5:B6"/>
    <mergeCell ref="D5:D6"/>
    <mergeCell ref="E5:S5"/>
    <mergeCell ref="E6:F6"/>
    <mergeCell ref="M6:N6"/>
    <mergeCell ref="O6:P6"/>
    <mergeCell ref="Q6:R6"/>
    <mergeCell ref="C5:C6"/>
  </mergeCells>
  <printOptions horizontalCentered="1"/>
  <pageMargins left="0.51181102362204722" right="0.51181102362204722" top="0.55118110236220474" bottom="0.55118110236220474" header="0.31496062992125984" footer="0.31496062992125984"/>
  <pageSetup paperSize="9" scale="64" fitToHeight="10" orientation="portrait" blackAndWhite="1" horizontalDpi="200" verticalDpi="200" r:id="rId1"/>
  <headerFooter>
    <oddFooter>&amp;L&amp;A&amp;C &amp;D&amp;RПодготовил: А. Матяш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>
    <pageSetUpPr fitToPage="1"/>
  </sheetPr>
  <dimension ref="A1:Z1056"/>
  <sheetViews>
    <sheetView showGridLines="0" zoomScale="80" zoomScaleNormal="8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H335" sqref="H335"/>
    </sheetView>
  </sheetViews>
  <sheetFormatPr defaultRowHeight="15" outlineLevelRow="1" x14ac:dyDescent="0.25"/>
  <cols>
    <col min="1" max="1" width="4.28515625" customWidth="1"/>
    <col min="2" max="2" width="14.7109375" style="259" customWidth="1"/>
    <col min="3" max="3" width="9.140625" customWidth="1"/>
    <col min="4" max="4" width="12.42578125" customWidth="1"/>
    <col min="5" max="5" width="13.140625" style="259" customWidth="1"/>
    <col min="6" max="6" width="12.28515625" style="257" customWidth="1"/>
    <col min="7" max="7" width="9.140625" customWidth="1"/>
    <col min="8" max="8" width="28.28515625" style="254" customWidth="1"/>
    <col min="9" max="9" width="31.5703125" style="764" customWidth="1"/>
    <col min="10" max="10" width="6.140625" style="160" customWidth="1"/>
    <col min="11" max="11" width="14.42578125" style="7" customWidth="1"/>
    <col min="12" max="12" width="16.5703125" style="663" customWidth="1"/>
    <col min="13" max="13" width="11.140625" style="963" customWidth="1"/>
    <col min="14" max="14" width="11.140625" style="964" customWidth="1"/>
    <col min="15" max="15" width="11.140625" style="962" customWidth="1"/>
    <col min="16" max="17" width="9.140625" customWidth="1"/>
    <col min="20" max="21" width="9.140625" customWidth="1"/>
    <col min="22" max="22" width="13" customWidth="1"/>
    <col min="23" max="24" width="9.28515625" customWidth="1"/>
    <col min="25" max="25" width="9.140625" customWidth="1"/>
    <col min="26" max="26" width="16.42578125" customWidth="1"/>
  </cols>
  <sheetData>
    <row r="1" spans="1:26" ht="47.25" x14ac:dyDescent="0.25">
      <c r="A1" s="664" t="s">
        <v>14</v>
      </c>
      <c r="B1" s="665" t="s">
        <v>1307</v>
      </c>
      <c r="C1" s="664" t="s">
        <v>16</v>
      </c>
      <c r="D1" s="666" t="s">
        <v>17</v>
      </c>
      <c r="E1" s="665" t="s">
        <v>18</v>
      </c>
      <c r="F1" s="666" t="s">
        <v>19</v>
      </c>
      <c r="G1" s="666" t="s">
        <v>20</v>
      </c>
      <c r="H1" s="664" t="s">
        <v>1306</v>
      </c>
      <c r="I1" s="762" t="s">
        <v>340</v>
      </c>
      <c r="J1" s="664" t="s">
        <v>1305</v>
      </c>
      <c r="K1" s="667" t="s">
        <v>1249</v>
      </c>
      <c r="L1" s="956" t="s">
        <v>1303</v>
      </c>
      <c r="M1" s="957" t="s">
        <v>1250</v>
      </c>
      <c r="N1" s="956" t="s">
        <v>28</v>
      </c>
      <c r="O1" s="958" t="s">
        <v>90</v>
      </c>
      <c r="P1" t="s">
        <v>154</v>
      </c>
      <c r="Q1" t="s">
        <v>155</v>
      </c>
      <c r="S1" s="660" t="s">
        <v>1422</v>
      </c>
      <c r="T1" s="744" t="s">
        <v>1286</v>
      </c>
      <c r="U1" s="744" t="s">
        <v>1421</v>
      </c>
      <c r="V1" s="745" t="s">
        <v>1289</v>
      </c>
      <c r="W1" s="745" t="s">
        <v>1287</v>
      </c>
      <c r="X1" s="744" t="s">
        <v>1288</v>
      </c>
      <c r="Y1" s="744"/>
      <c r="Z1" s="660"/>
    </row>
    <row r="2" spans="1:26" ht="6" hidden="1" customHeight="1" outlineLevel="1" x14ac:dyDescent="0.25">
      <c r="A2" s="661">
        <v>45136.869212962964</v>
      </c>
      <c r="B2" s="258" t="s">
        <v>23</v>
      </c>
      <c r="C2" s="2"/>
      <c r="D2" s="3"/>
      <c r="E2" s="258" t="s">
        <v>23</v>
      </c>
      <c r="F2" s="256"/>
      <c r="G2" s="3"/>
      <c r="H2" s="299" t="s">
        <v>80</v>
      </c>
      <c r="I2" s="763" t="s">
        <v>80</v>
      </c>
      <c r="J2" s="765"/>
      <c r="K2" s="4"/>
      <c r="L2" s="959"/>
      <c r="M2" s="960"/>
      <c r="N2" s="961"/>
      <c r="S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T2" s="746" t="str">
        <f>VLOOKUP($H2,инфо!$O:$P,2,FALSE)</f>
        <v>Апельсины</v>
      </c>
      <c r="U2" s="747" t="str">
        <f>VLOOKUP($I2,инфо!$D:$G,3,FALSE)</f>
        <v>кг</v>
      </c>
      <c r="V2" s="747">
        <f>VLOOKUP($I2,инфо!$D:$G,4,FALSE)</f>
        <v>143</v>
      </c>
      <c r="W2" s="748">
        <f>SUMIF($H$1:$H2,$H2,$L$1:$L2)-SUMIF($H$1:$H1,$H2,$N$1:$N1)</f>
        <v>0</v>
      </c>
      <c r="X2" s="748">
        <f>$M2-$N2</f>
        <v>0</v>
      </c>
      <c r="Y2" s="660"/>
      <c r="Z2" s="660"/>
    </row>
    <row r="3" spans="1:26" ht="6" hidden="1" customHeight="1" outlineLevel="1" x14ac:dyDescent="0.25">
      <c r="A3" s="2"/>
      <c r="B3" s="258" t="s">
        <v>23</v>
      </c>
      <c r="C3" s="2"/>
      <c r="D3" s="3"/>
      <c r="E3" s="258" t="s">
        <v>23</v>
      </c>
      <c r="F3" s="256"/>
      <c r="G3" s="3"/>
      <c r="H3" s="299" t="s">
        <v>284</v>
      </c>
      <c r="I3" s="763" t="s">
        <v>329</v>
      </c>
      <c r="J3" s="765"/>
      <c r="K3" s="4"/>
      <c r="L3" s="959"/>
      <c r="M3" s="960"/>
      <c r="N3" s="961"/>
      <c r="S3" s="660"/>
      <c r="T3" s="660"/>
      <c r="U3" s="747"/>
      <c r="V3" s="747"/>
      <c r="W3" s="660"/>
      <c r="X3" s="660"/>
      <c r="Y3" s="660"/>
      <c r="Z3" s="749">
        <v>45136.869212962964</v>
      </c>
    </row>
    <row r="4" spans="1:26" ht="6" hidden="1" customHeight="1" outlineLevel="1" x14ac:dyDescent="0.25">
      <c r="A4" s="2"/>
      <c r="B4" s="258" t="s">
        <v>23</v>
      </c>
      <c r="C4" s="2"/>
      <c r="D4" s="3"/>
      <c r="E4" s="258" t="s">
        <v>23</v>
      </c>
      <c r="F4" s="256"/>
      <c r="G4" s="3"/>
      <c r="H4" s="299" t="s">
        <v>81</v>
      </c>
      <c r="I4" s="763" t="s">
        <v>81</v>
      </c>
      <c r="J4" s="765"/>
      <c r="K4" s="4"/>
      <c r="L4" s="959"/>
      <c r="M4" s="960"/>
      <c r="N4" s="961"/>
      <c r="U4" s="7"/>
      <c r="V4" s="7"/>
    </row>
    <row r="5" spans="1:26" ht="6" hidden="1" customHeight="1" outlineLevel="1" x14ac:dyDescent="0.25">
      <c r="A5" s="2"/>
      <c r="B5" s="258" t="s">
        <v>23</v>
      </c>
      <c r="C5" s="2"/>
      <c r="D5" s="3"/>
      <c r="E5" s="258" t="s">
        <v>23</v>
      </c>
      <c r="F5" s="256"/>
      <c r="G5" s="3"/>
      <c r="H5" s="299" t="s">
        <v>205</v>
      </c>
      <c r="I5" s="763" t="s">
        <v>81</v>
      </c>
      <c r="J5" s="765"/>
      <c r="K5" s="4"/>
      <c r="L5" s="959"/>
      <c r="M5" s="960"/>
      <c r="N5" s="961"/>
      <c r="U5" s="7"/>
      <c r="V5" s="7"/>
    </row>
    <row r="6" spans="1:26" ht="6" hidden="1" customHeight="1" outlineLevel="1" x14ac:dyDescent="0.25">
      <c r="A6" s="2"/>
      <c r="B6" s="258" t="s">
        <v>23</v>
      </c>
      <c r="C6" s="2"/>
      <c r="D6" s="3"/>
      <c r="E6" s="258" t="s">
        <v>23</v>
      </c>
      <c r="F6" s="256"/>
      <c r="G6" s="3"/>
      <c r="H6" s="299" t="s">
        <v>315</v>
      </c>
      <c r="I6" s="763" t="s">
        <v>330</v>
      </c>
      <c r="J6" s="765"/>
      <c r="K6" s="4"/>
      <c r="L6" s="959"/>
      <c r="M6" s="960"/>
      <c r="N6" s="961"/>
      <c r="V6" s="7"/>
    </row>
    <row r="7" spans="1:26" ht="6" hidden="1" customHeight="1" outlineLevel="1" x14ac:dyDescent="0.25">
      <c r="A7" s="2"/>
      <c r="B7" s="258" t="s">
        <v>23</v>
      </c>
      <c r="C7" s="2"/>
      <c r="D7" s="3"/>
      <c r="E7" s="258" t="s">
        <v>23</v>
      </c>
      <c r="F7" s="256"/>
      <c r="G7" s="3"/>
      <c r="H7" s="299" t="s">
        <v>179</v>
      </c>
      <c r="I7" s="763" t="s">
        <v>179</v>
      </c>
      <c r="J7" s="765"/>
      <c r="K7" s="4"/>
      <c r="L7" s="959"/>
      <c r="M7" s="960"/>
      <c r="N7" s="961"/>
    </row>
    <row r="8" spans="1:26" ht="6" hidden="1" customHeight="1" outlineLevel="1" x14ac:dyDescent="0.25">
      <c r="A8" s="2"/>
      <c r="B8" s="258" t="s">
        <v>23</v>
      </c>
      <c r="C8" s="2"/>
      <c r="D8" s="3"/>
      <c r="E8" s="258" t="s">
        <v>23</v>
      </c>
      <c r="F8" s="256"/>
      <c r="G8" s="3"/>
      <c r="H8" s="299" t="s">
        <v>454</v>
      </c>
      <c r="I8" s="763" t="s">
        <v>454</v>
      </c>
      <c r="J8" s="765"/>
      <c r="K8" s="4"/>
      <c r="L8" s="959"/>
      <c r="M8" s="960"/>
      <c r="N8" s="961"/>
    </row>
    <row r="9" spans="1:26" ht="6" hidden="1" customHeight="1" outlineLevel="1" x14ac:dyDescent="0.25">
      <c r="A9" s="2"/>
      <c r="B9" s="258" t="s">
        <v>23</v>
      </c>
      <c r="C9" s="2"/>
      <c r="D9" s="3"/>
      <c r="E9" s="258" t="s">
        <v>23</v>
      </c>
      <c r="F9" s="256"/>
      <c r="G9" s="3"/>
      <c r="H9" s="299" t="s">
        <v>226</v>
      </c>
      <c r="I9" s="763" t="s">
        <v>454</v>
      </c>
      <c r="J9" s="765"/>
      <c r="K9" s="4"/>
      <c r="L9" s="959"/>
      <c r="M9" s="960"/>
      <c r="N9" s="961"/>
    </row>
    <row r="10" spans="1:26" ht="6" hidden="1" customHeight="1" outlineLevel="1" x14ac:dyDescent="0.25">
      <c r="A10" s="2"/>
      <c r="B10" s="258" t="s">
        <v>23</v>
      </c>
      <c r="C10" s="2"/>
      <c r="D10" s="3"/>
      <c r="E10" s="258" t="s">
        <v>23</v>
      </c>
      <c r="F10" s="256"/>
      <c r="G10" s="3"/>
      <c r="H10" s="299" t="s">
        <v>457</v>
      </c>
      <c r="I10" s="763" t="s">
        <v>454</v>
      </c>
      <c r="J10" s="765"/>
      <c r="K10" s="4"/>
      <c r="L10" s="959"/>
      <c r="M10" s="960"/>
      <c r="N10" s="961"/>
    </row>
    <row r="11" spans="1:26" ht="6" hidden="1" customHeight="1" outlineLevel="1" x14ac:dyDescent="0.25">
      <c r="A11" s="2"/>
      <c r="B11" s="258" t="s">
        <v>23</v>
      </c>
      <c r="C11" s="2"/>
      <c r="D11" s="3"/>
      <c r="E11" s="258" t="s">
        <v>23</v>
      </c>
      <c r="F11" s="256"/>
      <c r="G11" s="3"/>
      <c r="H11" s="299" t="s">
        <v>502</v>
      </c>
      <c r="I11" s="763" t="s">
        <v>502</v>
      </c>
      <c r="J11" s="765"/>
      <c r="K11" s="4"/>
      <c r="L11" s="959"/>
      <c r="M11" s="960"/>
      <c r="N11" s="961"/>
    </row>
    <row r="12" spans="1:26" ht="6" hidden="1" customHeight="1" outlineLevel="1" x14ac:dyDescent="0.25">
      <c r="A12" s="2"/>
      <c r="B12" s="258" t="s">
        <v>23</v>
      </c>
      <c r="C12" s="2"/>
      <c r="D12" s="3"/>
      <c r="E12" s="258" t="s">
        <v>23</v>
      </c>
      <c r="F12" s="256"/>
      <c r="G12" s="3"/>
      <c r="H12" s="299" t="s">
        <v>456</v>
      </c>
      <c r="I12" s="763" t="s">
        <v>502</v>
      </c>
      <c r="J12" s="765"/>
      <c r="K12" s="4"/>
      <c r="L12" s="959"/>
      <c r="M12" s="960"/>
      <c r="N12" s="961"/>
    </row>
    <row r="13" spans="1:26" ht="6" hidden="1" customHeight="1" outlineLevel="1" x14ac:dyDescent="0.25">
      <c r="A13" s="2"/>
      <c r="B13" s="258" t="s">
        <v>23</v>
      </c>
      <c r="C13" s="2"/>
      <c r="D13" s="3"/>
      <c r="E13" s="258" t="s">
        <v>23</v>
      </c>
      <c r="F13" s="256"/>
      <c r="G13" s="3"/>
      <c r="H13" s="299" t="s">
        <v>232</v>
      </c>
      <c r="I13" s="763" t="s">
        <v>502</v>
      </c>
      <c r="J13" s="765"/>
      <c r="K13" s="4"/>
      <c r="L13" s="959"/>
      <c r="M13" s="960"/>
      <c r="N13" s="961"/>
    </row>
    <row r="14" spans="1:26" ht="6" hidden="1" customHeight="1" outlineLevel="1" x14ac:dyDescent="0.25">
      <c r="A14" s="2"/>
      <c r="B14" s="258" t="s">
        <v>23</v>
      </c>
      <c r="C14" s="2"/>
      <c r="D14" s="3"/>
      <c r="E14" s="258" t="s">
        <v>23</v>
      </c>
      <c r="F14" s="256"/>
      <c r="G14" s="3"/>
      <c r="H14" s="299" t="s">
        <v>230</v>
      </c>
      <c r="I14" s="763" t="s">
        <v>502</v>
      </c>
      <c r="J14" s="765"/>
      <c r="K14" s="4"/>
      <c r="L14" s="959"/>
      <c r="M14" s="960"/>
      <c r="N14" s="961"/>
    </row>
    <row r="15" spans="1:26" ht="6" hidden="1" customHeight="1" outlineLevel="1" x14ac:dyDescent="0.25">
      <c r="A15" s="2"/>
      <c r="B15" s="258" t="s">
        <v>23</v>
      </c>
      <c r="C15" s="2"/>
      <c r="D15" s="3"/>
      <c r="E15" s="258" t="s">
        <v>23</v>
      </c>
      <c r="F15" s="256"/>
      <c r="G15" s="3"/>
      <c r="H15" s="299" t="s">
        <v>231</v>
      </c>
      <c r="I15" s="763" t="s">
        <v>502</v>
      </c>
      <c r="J15" s="765"/>
      <c r="K15" s="4"/>
      <c r="L15" s="959"/>
      <c r="M15" s="960"/>
      <c r="N15" s="961"/>
    </row>
    <row r="16" spans="1:26" ht="6" hidden="1" customHeight="1" outlineLevel="1" x14ac:dyDescent="0.25">
      <c r="A16" s="2"/>
      <c r="B16" s="258" t="s">
        <v>23</v>
      </c>
      <c r="C16" s="2"/>
      <c r="D16" s="3"/>
      <c r="E16" s="258" t="s">
        <v>23</v>
      </c>
      <c r="F16" s="256"/>
      <c r="G16" s="3"/>
      <c r="H16" s="299" t="s">
        <v>503</v>
      </c>
      <c r="I16" s="763" t="s">
        <v>503</v>
      </c>
      <c r="J16" s="765"/>
      <c r="K16" s="4"/>
      <c r="L16" s="959"/>
      <c r="M16" s="960"/>
      <c r="N16" s="961"/>
    </row>
    <row r="17" spans="1:14" ht="6" hidden="1" customHeight="1" outlineLevel="1" x14ac:dyDescent="0.25">
      <c r="A17" s="2"/>
      <c r="B17" s="258" t="s">
        <v>23</v>
      </c>
      <c r="C17" s="2"/>
      <c r="D17" s="3"/>
      <c r="E17" s="258" t="s">
        <v>23</v>
      </c>
      <c r="F17" s="256"/>
      <c r="G17" s="3"/>
      <c r="H17" s="299" t="s">
        <v>455</v>
      </c>
      <c r="I17" s="763" t="s">
        <v>503</v>
      </c>
      <c r="J17" s="765"/>
      <c r="K17" s="4"/>
      <c r="L17" s="959"/>
      <c r="M17" s="960"/>
      <c r="N17" s="961"/>
    </row>
    <row r="18" spans="1:14" ht="6" hidden="1" customHeight="1" outlineLevel="1" x14ac:dyDescent="0.25">
      <c r="A18" s="2"/>
      <c r="B18" s="258" t="s">
        <v>23</v>
      </c>
      <c r="C18" s="2"/>
      <c r="D18" s="3"/>
      <c r="E18" s="258" t="s">
        <v>23</v>
      </c>
      <c r="F18" s="256"/>
      <c r="G18" s="3"/>
      <c r="H18" s="299" t="s">
        <v>336</v>
      </c>
      <c r="I18" s="763" t="s">
        <v>336</v>
      </c>
      <c r="J18" s="765"/>
      <c r="K18" s="4"/>
      <c r="L18" s="959"/>
      <c r="M18" s="960"/>
      <c r="N18" s="961"/>
    </row>
    <row r="19" spans="1:14" ht="6" hidden="1" customHeight="1" outlineLevel="1" x14ac:dyDescent="0.25">
      <c r="A19" s="2"/>
      <c r="B19" s="258" t="s">
        <v>23</v>
      </c>
      <c r="C19" s="2"/>
      <c r="D19" s="3"/>
      <c r="E19" s="258" t="s">
        <v>23</v>
      </c>
      <c r="F19" s="256"/>
      <c r="G19" s="3"/>
      <c r="H19" s="299" t="s">
        <v>327</v>
      </c>
      <c r="I19" s="763" t="s">
        <v>336</v>
      </c>
      <c r="J19" s="765"/>
      <c r="K19" s="4"/>
      <c r="L19" s="959"/>
      <c r="M19" s="960"/>
      <c r="N19" s="961"/>
    </row>
    <row r="20" spans="1:14" ht="6" hidden="1" customHeight="1" outlineLevel="1" x14ac:dyDescent="0.25">
      <c r="A20" s="2"/>
      <c r="B20" s="258" t="s">
        <v>23</v>
      </c>
      <c r="C20" s="2"/>
      <c r="D20" s="3"/>
      <c r="E20" s="258" t="s">
        <v>23</v>
      </c>
      <c r="F20" s="256"/>
      <c r="G20" s="3"/>
      <c r="H20" s="299" t="s">
        <v>223</v>
      </c>
      <c r="I20" s="763" t="s">
        <v>336</v>
      </c>
      <c r="J20" s="765"/>
      <c r="K20" s="4"/>
      <c r="L20" s="959"/>
      <c r="M20" s="960"/>
      <c r="N20" s="961"/>
    </row>
    <row r="21" spans="1:14" ht="6" hidden="1" customHeight="1" outlineLevel="1" x14ac:dyDescent="0.25">
      <c r="A21" s="2"/>
      <c r="B21" s="258" t="s">
        <v>23</v>
      </c>
      <c r="C21" s="2"/>
      <c r="D21" s="3"/>
      <c r="E21" s="258" t="s">
        <v>23</v>
      </c>
      <c r="F21" s="256"/>
      <c r="G21" s="3"/>
      <c r="H21" s="299" t="s">
        <v>464</v>
      </c>
      <c r="I21" s="763" t="s">
        <v>504</v>
      </c>
      <c r="J21" s="765"/>
      <c r="K21" s="4"/>
      <c r="L21" s="959"/>
      <c r="M21" s="960"/>
      <c r="N21" s="961"/>
    </row>
    <row r="22" spans="1:14" ht="6" hidden="1" customHeight="1" outlineLevel="1" x14ac:dyDescent="0.25">
      <c r="A22" s="2"/>
      <c r="B22" s="258" t="s">
        <v>23</v>
      </c>
      <c r="C22" s="2"/>
      <c r="D22" s="3"/>
      <c r="E22" s="258" t="s">
        <v>23</v>
      </c>
      <c r="F22" s="256"/>
      <c r="G22" s="3"/>
      <c r="H22" s="299" t="s">
        <v>465</v>
      </c>
      <c r="I22" s="763" t="s">
        <v>465</v>
      </c>
      <c r="J22" s="765"/>
      <c r="K22" s="4"/>
      <c r="L22" s="959"/>
      <c r="M22" s="960"/>
      <c r="N22" s="961"/>
    </row>
    <row r="23" spans="1:14" ht="6" hidden="1" customHeight="1" outlineLevel="1" x14ac:dyDescent="0.25">
      <c r="A23" s="2"/>
      <c r="B23" s="258" t="s">
        <v>23</v>
      </c>
      <c r="C23" s="2"/>
      <c r="D23" s="3"/>
      <c r="E23" s="258" t="s">
        <v>23</v>
      </c>
      <c r="F23" s="256"/>
      <c r="G23" s="3"/>
      <c r="H23" s="299" t="s">
        <v>216</v>
      </c>
      <c r="I23" s="763" t="s">
        <v>25</v>
      </c>
      <c r="J23" s="765"/>
      <c r="K23" s="4"/>
      <c r="L23" s="959"/>
      <c r="M23" s="960"/>
      <c r="N23" s="961"/>
    </row>
    <row r="24" spans="1:14" ht="6" hidden="1" customHeight="1" outlineLevel="1" x14ac:dyDescent="0.25">
      <c r="A24" s="2"/>
      <c r="B24" s="258" t="s">
        <v>23</v>
      </c>
      <c r="C24" s="2"/>
      <c r="D24" s="3"/>
      <c r="E24" s="258" t="s">
        <v>23</v>
      </c>
      <c r="F24" s="256"/>
      <c r="G24" s="3"/>
      <c r="H24" s="299" t="s">
        <v>25</v>
      </c>
      <c r="I24" s="763" t="s">
        <v>25</v>
      </c>
      <c r="J24" s="765"/>
      <c r="K24" s="4"/>
      <c r="L24" s="959"/>
      <c r="M24" s="960"/>
      <c r="N24" s="961"/>
    </row>
    <row r="25" spans="1:14" ht="6" hidden="1" customHeight="1" outlineLevel="1" x14ac:dyDescent="0.25">
      <c r="A25" s="2"/>
      <c r="B25" s="258" t="s">
        <v>23</v>
      </c>
      <c r="C25" s="2"/>
      <c r="D25" s="3"/>
      <c r="E25" s="258" t="s">
        <v>23</v>
      </c>
      <c r="F25" s="256"/>
      <c r="G25" s="3"/>
      <c r="H25" s="299" t="s">
        <v>439</v>
      </c>
      <c r="I25" s="763" t="s">
        <v>495</v>
      </c>
      <c r="J25" s="765"/>
      <c r="K25" s="4"/>
      <c r="L25" s="959"/>
      <c r="M25" s="960"/>
      <c r="N25" s="961"/>
    </row>
    <row r="26" spans="1:14" ht="6" hidden="1" customHeight="1" outlineLevel="1" x14ac:dyDescent="0.25">
      <c r="A26" s="2"/>
      <c r="B26" s="258" t="s">
        <v>23</v>
      </c>
      <c r="C26" s="2"/>
      <c r="D26" s="3"/>
      <c r="E26" s="258" t="s">
        <v>23</v>
      </c>
      <c r="F26" s="256"/>
      <c r="G26" s="3"/>
      <c r="H26" s="299" t="s">
        <v>495</v>
      </c>
      <c r="I26" s="763" t="s">
        <v>495</v>
      </c>
      <c r="J26" s="765"/>
      <c r="K26" s="4"/>
      <c r="L26" s="959"/>
      <c r="M26" s="960"/>
      <c r="N26" s="961"/>
    </row>
    <row r="27" spans="1:14" ht="6" hidden="1" customHeight="1" outlineLevel="1" x14ac:dyDescent="0.25">
      <c r="A27" s="2"/>
      <c r="B27" s="258" t="s">
        <v>23</v>
      </c>
      <c r="C27" s="2"/>
      <c r="D27" s="3"/>
      <c r="E27" s="258" t="s">
        <v>23</v>
      </c>
      <c r="F27" s="256"/>
      <c r="G27" s="3"/>
      <c r="H27" s="299" t="s">
        <v>43</v>
      </c>
      <c r="I27" s="763" t="s">
        <v>495</v>
      </c>
      <c r="J27" s="765"/>
      <c r="K27" s="4"/>
      <c r="L27" s="959"/>
      <c r="M27" s="960"/>
      <c r="N27" s="961"/>
    </row>
    <row r="28" spans="1:14" ht="6" hidden="1" customHeight="1" outlineLevel="1" x14ac:dyDescent="0.25">
      <c r="A28" s="2"/>
      <c r="B28" s="258" t="s">
        <v>23</v>
      </c>
      <c r="C28" s="2"/>
      <c r="D28" s="3"/>
      <c r="E28" s="258" t="s">
        <v>23</v>
      </c>
      <c r="F28" s="256"/>
      <c r="G28" s="3"/>
      <c r="H28" s="299" t="s">
        <v>440</v>
      </c>
      <c r="I28" s="763" t="s">
        <v>495</v>
      </c>
      <c r="J28" s="765"/>
      <c r="K28" s="4"/>
      <c r="L28" s="959"/>
      <c r="M28" s="960"/>
      <c r="N28" s="961"/>
    </row>
    <row r="29" spans="1:14" ht="6" hidden="1" customHeight="1" outlineLevel="1" x14ac:dyDescent="0.25">
      <c r="A29" s="2"/>
      <c r="B29" s="258" t="s">
        <v>23</v>
      </c>
      <c r="C29" s="2"/>
      <c r="D29" s="3"/>
      <c r="E29" s="258" t="s">
        <v>23</v>
      </c>
      <c r="F29" s="256"/>
      <c r="G29" s="3"/>
      <c r="H29" s="299" t="s">
        <v>289</v>
      </c>
      <c r="I29" s="763" t="s">
        <v>495</v>
      </c>
      <c r="J29" s="765"/>
      <c r="K29" s="4"/>
      <c r="L29" s="959"/>
      <c r="M29" s="960"/>
      <c r="N29" s="961"/>
    </row>
    <row r="30" spans="1:14" ht="6" hidden="1" customHeight="1" outlineLevel="1" x14ac:dyDescent="0.25">
      <c r="A30" s="2"/>
      <c r="B30" s="258" t="s">
        <v>23</v>
      </c>
      <c r="C30" s="2"/>
      <c r="D30" s="3"/>
      <c r="E30" s="258" t="s">
        <v>23</v>
      </c>
      <c r="F30" s="256"/>
      <c r="G30" s="3"/>
      <c r="H30" s="299" t="s">
        <v>142</v>
      </c>
      <c r="I30" s="763" t="s">
        <v>142</v>
      </c>
      <c r="J30" s="765"/>
      <c r="K30" s="4"/>
      <c r="L30" s="959"/>
      <c r="M30" s="960"/>
      <c r="N30" s="961"/>
    </row>
    <row r="31" spans="1:14" ht="6" hidden="1" customHeight="1" outlineLevel="1" x14ac:dyDescent="0.25">
      <c r="A31" s="2"/>
      <c r="B31" s="258" t="s">
        <v>23</v>
      </c>
      <c r="C31" s="2"/>
      <c r="D31" s="3"/>
      <c r="E31" s="258" t="s">
        <v>23</v>
      </c>
      <c r="F31" s="256"/>
      <c r="G31" s="3"/>
      <c r="H31" s="299" t="s">
        <v>481</v>
      </c>
      <c r="I31" s="763" t="s">
        <v>142</v>
      </c>
      <c r="J31" s="765"/>
      <c r="K31" s="4"/>
      <c r="L31" s="959"/>
      <c r="M31" s="960"/>
      <c r="N31" s="961"/>
    </row>
    <row r="32" spans="1:14" ht="6" hidden="1" customHeight="1" outlineLevel="1" x14ac:dyDescent="0.25">
      <c r="A32" s="2"/>
      <c r="B32" s="258" t="s">
        <v>23</v>
      </c>
      <c r="C32" s="2"/>
      <c r="D32" s="3"/>
      <c r="E32" s="258" t="s">
        <v>23</v>
      </c>
      <c r="F32" s="256"/>
      <c r="G32" s="3"/>
      <c r="H32" s="299" t="s">
        <v>69</v>
      </c>
      <c r="I32" s="763" t="s">
        <v>69</v>
      </c>
      <c r="J32" s="765"/>
      <c r="K32" s="4"/>
      <c r="L32" s="959"/>
      <c r="M32" s="960"/>
      <c r="N32" s="961"/>
    </row>
    <row r="33" spans="1:14" ht="6" hidden="1" customHeight="1" outlineLevel="1" x14ac:dyDescent="0.25">
      <c r="A33" s="2"/>
      <c r="B33" s="258" t="s">
        <v>23</v>
      </c>
      <c r="C33" s="2"/>
      <c r="D33" s="3"/>
      <c r="E33" s="258" t="s">
        <v>23</v>
      </c>
      <c r="F33" s="256"/>
      <c r="G33" s="3"/>
      <c r="H33" s="299" t="s">
        <v>310</v>
      </c>
      <c r="I33" s="763" t="s">
        <v>69</v>
      </c>
      <c r="J33" s="765"/>
      <c r="K33" s="4"/>
      <c r="L33" s="959"/>
      <c r="M33" s="960"/>
      <c r="N33" s="961"/>
    </row>
    <row r="34" spans="1:14" ht="6" hidden="1" customHeight="1" outlineLevel="1" x14ac:dyDescent="0.25">
      <c r="A34" s="2"/>
      <c r="B34" s="258" t="s">
        <v>23</v>
      </c>
      <c r="C34" s="2"/>
      <c r="D34" s="3"/>
      <c r="E34" s="258" t="s">
        <v>23</v>
      </c>
      <c r="F34" s="256"/>
      <c r="G34" s="3"/>
      <c r="H34" s="299" t="s">
        <v>425</v>
      </c>
      <c r="I34" s="763" t="s">
        <v>38</v>
      </c>
      <c r="J34" s="765"/>
      <c r="K34" s="4"/>
      <c r="L34" s="959"/>
      <c r="M34" s="960"/>
      <c r="N34" s="961"/>
    </row>
    <row r="35" spans="1:14" ht="6" hidden="1" customHeight="1" outlineLevel="1" x14ac:dyDescent="0.25">
      <c r="A35" s="2"/>
      <c r="B35" s="258" t="s">
        <v>23</v>
      </c>
      <c r="C35" s="2"/>
      <c r="D35" s="3"/>
      <c r="E35" s="258" t="s">
        <v>23</v>
      </c>
      <c r="F35" s="256"/>
      <c r="G35" s="3"/>
      <c r="H35" s="299" t="s">
        <v>38</v>
      </c>
      <c r="I35" s="763" t="s">
        <v>38</v>
      </c>
      <c r="J35" s="765"/>
      <c r="K35" s="4"/>
      <c r="L35" s="959"/>
      <c r="M35" s="960"/>
      <c r="N35" s="961"/>
    </row>
    <row r="36" spans="1:14" ht="6" hidden="1" customHeight="1" outlineLevel="1" x14ac:dyDescent="0.25">
      <c r="A36" s="2"/>
      <c r="B36" s="258" t="s">
        <v>23</v>
      </c>
      <c r="C36" s="2"/>
      <c r="D36" s="3"/>
      <c r="E36" s="258" t="s">
        <v>23</v>
      </c>
      <c r="F36" s="256"/>
      <c r="G36" s="3"/>
      <c r="H36" s="299" t="s">
        <v>212</v>
      </c>
      <c r="I36" s="763" t="s">
        <v>38</v>
      </c>
      <c r="J36" s="765"/>
      <c r="K36" s="4"/>
      <c r="L36" s="959"/>
      <c r="M36" s="960"/>
      <c r="N36" s="961"/>
    </row>
    <row r="37" spans="1:14" ht="6" hidden="1" customHeight="1" outlineLevel="1" x14ac:dyDescent="0.25">
      <c r="A37" s="2"/>
      <c r="B37" s="258" t="s">
        <v>23</v>
      </c>
      <c r="C37" s="2"/>
      <c r="D37" s="3"/>
      <c r="E37" s="258" t="s">
        <v>23</v>
      </c>
      <c r="F37" s="256"/>
      <c r="G37" s="3"/>
      <c r="H37" s="299" t="s">
        <v>426</v>
      </c>
      <c r="I37" s="763" t="s">
        <v>38</v>
      </c>
      <c r="J37" s="765"/>
      <c r="K37" s="4"/>
      <c r="L37" s="959"/>
      <c r="M37" s="960"/>
      <c r="N37" s="961"/>
    </row>
    <row r="38" spans="1:14" ht="6" hidden="1" customHeight="1" outlineLevel="1" x14ac:dyDescent="0.25">
      <c r="A38" s="2"/>
      <c r="B38" s="258" t="s">
        <v>23</v>
      </c>
      <c r="C38" s="2"/>
      <c r="D38" s="3"/>
      <c r="E38" s="258" t="s">
        <v>23</v>
      </c>
      <c r="F38" s="256"/>
      <c r="G38" s="3"/>
      <c r="H38" s="299" t="s">
        <v>548</v>
      </c>
      <c r="I38" s="763" t="s">
        <v>521</v>
      </c>
      <c r="J38" s="765"/>
      <c r="K38" s="4"/>
      <c r="L38" s="959"/>
      <c r="M38" s="960"/>
      <c r="N38" s="961"/>
    </row>
    <row r="39" spans="1:14" ht="6" hidden="1" customHeight="1" outlineLevel="1" x14ac:dyDescent="0.25">
      <c r="A39" s="2"/>
      <c r="B39" s="258" t="s">
        <v>23</v>
      </c>
      <c r="C39" s="2"/>
      <c r="D39" s="3"/>
      <c r="E39" s="258" t="s">
        <v>23</v>
      </c>
      <c r="F39" s="256"/>
      <c r="G39" s="3"/>
      <c r="H39" s="299" t="s">
        <v>521</v>
      </c>
      <c r="I39" s="763" t="s">
        <v>521</v>
      </c>
      <c r="J39" s="765"/>
      <c r="K39" s="4"/>
      <c r="L39" s="959"/>
      <c r="M39" s="960"/>
      <c r="N39" s="961"/>
    </row>
    <row r="40" spans="1:14" ht="6" hidden="1" customHeight="1" outlineLevel="1" x14ac:dyDescent="0.25">
      <c r="A40" s="2"/>
      <c r="B40" s="258" t="s">
        <v>23</v>
      </c>
      <c r="C40" s="2"/>
      <c r="D40" s="3"/>
      <c r="E40" s="258" t="s">
        <v>23</v>
      </c>
      <c r="F40" s="256"/>
      <c r="G40" s="3"/>
      <c r="H40" s="299" t="s">
        <v>323</v>
      </c>
      <c r="I40" s="763" t="s">
        <v>323</v>
      </c>
      <c r="J40" s="765"/>
      <c r="K40" s="4"/>
      <c r="L40" s="959"/>
      <c r="M40" s="960"/>
      <c r="N40" s="961"/>
    </row>
    <row r="41" spans="1:14" ht="6" hidden="1" customHeight="1" outlineLevel="1" x14ac:dyDescent="0.25">
      <c r="A41" s="2"/>
      <c r="B41" s="258" t="s">
        <v>23</v>
      </c>
      <c r="C41" s="2"/>
      <c r="D41" s="3"/>
      <c r="E41" s="258" t="s">
        <v>23</v>
      </c>
      <c r="F41" s="256"/>
      <c r="G41" s="3"/>
      <c r="H41" s="299" t="s">
        <v>420</v>
      </c>
      <c r="I41" s="763" t="s">
        <v>323</v>
      </c>
      <c r="J41" s="765"/>
      <c r="K41" s="4"/>
      <c r="L41" s="959"/>
      <c r="M41" s="960"/>
      <c r="N41" s="961"/>
    </row>
    <row r="42" spans="1:14" ht="6" hidden="1" customHeight="1" outlineLevel="1" x14ac:dyDescent="0.25">
      <c r="A42" s="2"/>
      <c r="B42" s="258" t="s">
        <v>23</v>
      </c>
      <c r="C42" s="2"/>
      <c r="D42" s="3"/>
      <c r="E42" s="258" t="s">
        <v>23</v>
      </c>
      <c r="F42" s="256"/>
      <c r="G42" s="3"/>
      <c r="H42" s="299" t="s">
        <v>70</v>
      </c>
      <c r="I42" s="763" t="s">
        <v>70</v>
      </c>
      <c r="J42" s="765"/>
      <c r="K42" s="4"/>
      <c r="L42" s="959"/>
      <c r="M42" s="960"/>
      <c r="N42" s="961"/>
    </row>
    <row r="43" spans="1:14" ht="6" hidden="1" customHeight="1" outlineLevel="1" x14ac:dyDescent="0.25">
      <c r="A43" s="2"/>
      <c r="B43" s="258" t="s">
        <v>23</v>
      </c>
      <c r="C43" s="2"/>
      <c r="D43" s="3"/>
      <c r="E43" s="258" t="s">
        <v>23</v>
      </c>
      <c r="F43" s="256"/>
      <c r="G43" s="3"/>
      <c r="H43" s="299" t="s">
        <v>279</v>
      </c>
      <c r="I43" s="763" t="s">
        <v>70</v>
      </c>
      <c r="J43" s="765"/>
      <c r="K43" s="4"/>
      <c r="L43" s="959"/>
      <c r="M43" s="960"/>
      <c r="N43" s="961"/>
    </row>
    <row r="44" spans="1:14" ht="6" hidden="1" customHeight="1" outlineLevel="1" x14ac:dyDescent="0.25">
      <c r="A44" s="2"/>
      <c r="B44" s="258" t="s">
        <v>23</v>
      </c>
      <c r="C44" s="2"/>
      <c r="D44" s="3"/>
      <c r="E44" s="258" t="s">
        <v>23</v>
      </c>
      <c r="F44" s="256"/>
      <c r="G44" s="3"/>
      <c r="H44" s="299" t="s">
        <v>324</v>
      </c>
      <c r="I44" s="763" t="s">
        <v>324</v>
      </c>
      <c r="J44" s="765"/>
      <c r="K44" s="4"/>
      <c r="L44" s="959"/>
      <c r="M44" s="960"/>
      <c r="N44" s="961"/>
    </row>
    <row r="45" spans="1:14" ht="6" hidden="1" customHeight="1" outlineLevel="1" x14ac:dyDescent="0.25">
      <c r="A45" s="2"/>
      <c r="B45" s="258" t="s">
        <v>23</v>
      </c>
      <c r="C45" s="2"/>
      <c r="D45" s="3"/>
      <c r="E45" s="258" t="s">
        <v>23</v>
      </c>
      <c r="F45" s="256"/>
      <c r="G45" s="3"/>
      <c r="H45" s="299" t="s">
        <v>300</v>
      </c>
      <c r="I45" s="763" t="s">
        <v>324</v>
      </c>
      <c r="J45" s="765"/>
      <c r="K45" s="4"/>
      <c r="L45" s="959"/>
      <c r="M45" s="960"/>
      <c r="N45" s="961"/>
    </row>
    <row r="46" spans="1:14" ht="6" hidden="1" customHeight="1" outlineLevel="1" x14ac:dyDescent="0.25">
      <c r="A46" s="2"/>
      <c r="B46" s="258" t="s">
        <v>23</v>
      </c>
      <c r="C46" s="2"/>
      <c r="D46" s="3"/>
      <c r="E46" s="258" t="s">
        <v>23</v>
      </c>
      <c r="F46" s="256"/>
      <c r="G46" s="3"/>
      <c r="H46" s="299" t="s">
        <v>322</v>
      </c>
      <c r="I46" s="763" t="s">
        <v>322</v>
      </c>
      <c r="J46" s="765"/>
      <c r="K46" s="4"/>
      <c r="L46" s="959"/>
      <c r="M46" s="960"/>
      <c r="N46" s="961"/>
    </row>
    <row r="47" spans="1:14" ht="6" hidden="1" customHeight="1" outlineLevel="1" x14ac:dyDescent="0.25">
      <c r="A47" s="2"/>
      <c r="B47" s="258" t="s">
        <v>23</v>
      </c>
      <c r="C47" s="2"/>
      <c r="D47" s="3"/>
      <c r="E47" s="258" t="s">
        <v>23</v>
      </c>
      <c r="F47" s="256"/>
      <c r="G47" s="3"/>
      <c r="H47" s="299" t="s">
        <v>283</v>
      </c>
      <c r="I47" s="763" t="s">
        <v>322</v>
      </c>
      <c r="J47" s="765"/>
      <c r="K47" s="4"/>
      <c r="L47" s="959"/>
      <c r="M47" s="960"/>
      <c r="N47" s="961"/>
    </row>
    <row r="48" spans="1:14" ht="6" hidden="1" customHeight="1" outlineLevel="1" x14ac:dyDescent="0.25">
      <c r="A48" s="2"/>
      <c r="B48" s="258" t="s">
        <v>23</v>
      </c>
      <c r="C48" s="2"/>
      <c r="D48" s="3"/>
      <c r="E48" s="258" t="s">
        <v>23</v>
      </c>
      <c r="F48" s="256"/>
      <c r="G48" s="3"/>
      <c r="H48" s="299" t="s">
        <v>333</v>
      </c>
      <c r="I48" s="763" t="s">
        <v>333</v>
      </c>
      <c r="J48" s="765"/>
      <c r="K48" s="4"/>
      <c r="L48" s="959"/>
      <c r="M48" s="960"/>
      <c r="N48" s="961"/>
    </row>
    <row r="49" spans="1:14" ht="6" hidden="1" customHeight="1" outlineLevel="1" x14ac:dyDescent="0.25">
      <c r="A49" s="2"/>
      <c r="B49" s="258" t="s">
        <v>23</v>
      </c>
      <c r="C49" s="2"/>
      <c r="D49" s="3"/>
      <c r="E49" s="258" t="s">
        <v>23</v>
      </c>
      <c r="F49" s="256"/>
      <c r="G49" s="3"/>
      <c r="H49" s="299" t="s">
        <v>275</v>
      </c>
      <c r="I49" s="763" t="s">
        <v>333</v>
      </c>
      <c r="J49" s="765"/>
      <c r="K49" s="4"/>
      <c r="L49" s="959"/>
      <c r="M49" s="960"/>
      <c r="N49" s="961"/>
    </row>
    <row r="50" spans="1:14" ht="6" hidden="1" customHeight="1" outlineLevel="1" x14ac:dyDescent="0.25">
      <c r="A50" s="2"/>
      <c r="B50" s="258" t="s">
        <v>23</v>
      </c>
      <c r="C50" s="2"/>
      <c r="D50" s="3"/>
      <c r="E50" s="258" t="s">
        <v>23</v>
      </c>
      <c r="F50" s="256"/>
      <c r="G50" s="3"/>
      <c r="H50" s="299" t="s">
        <v>423</v>
      </c>
      <c r="I50" s="763" t="s">
        <v>423</v>
      </c>
      <c r="J50" s="765"/>
      <c r="K50" s="4"/>
      <c r="L50" s="959"/>
      <c r="M50" s="960"/>
      <c r="N50" s="961"/>
    </row>
    <row r="51" spans="1:14" ht="6" hidden="1" customHeight="1" outlineLevel="1" x14ac:dyDescent="0.25">
      <c r="A51" s="2"/>
      <c r="B51" s="258" t="s">
        <v>23</v>
      </c>
      <c r="C51" s="2"/>
      <c r="D51" s="3"/>
      <c r="E51" s="258" t="s">
        <v>23</v>
      </c>
      <c r="F51" s="256"/>
      <c r="G51" s="3"/>
      <c r="H51" s="299" t="s">
        <v>482</v>
      </c>
      <c r="I51" s="763" t="s">
        <v>423</v>
      </c>
      <c r="J51" s="765"/>
      <c r="K51" s="4"/>
      <c r="L51" s="959"/>
      <c r="M51" s="960"/>
      <c r="N51" s="961"/>
    </row>
    <row r="52" spans="1:14" ht="6" hidden="1" customHeight="1" outlineLevel="1" x14ac:dyDescent="0.25">
      <c r="A52" s="2"/>
      <c r="B52" s="258" t="s">
        <v>23</v>
      </c>
      <c r="C52" s="2"/>
      <c r="D52" s="3"/>
      <c r="E52" s="258" t="s">
        <v>23</v>
      </c>
      <c r="F52" s="256"/>
      <c r="G52" s="3"/>
      <c r="H52" s="299" t="s">
        <v>1235</v>
      </c>
      <c r="I52" s="763" t="s">
        <v>505</v>
      </c>
      <c r="J52" s="765"/>
      <c r="K52" s="4"/>
      <c r="L52" s="959"/>
      <c r="M52" s="960"/>
      <c r="N52" s="961"/>
    </row>
    <row r="53" spans="1:14" ht="6" hidden="1" customHeight="1" outlineLevel="1" x14ac:dyDescent="0.25">
      <c r="A53" s="2"/>
      <c r="B53" s="258" t="s">
        <v>23</v>
      </c>
      <c r="C53" s="2"/>
      <c r="D53" s="3"/>
      <c r="E53" s="258" t="s">
        <v>23</v>
      </c>
      <c r="F53" s="256"/>
      <c r="G53" s="3"/>
      <c r="H53" s="299" t="s">
        <v>1218</v>
      </c>
      <c r="I53" s="763" t="s">
        <v>1218</v>
      </c>
      <c r="J53" s="765"/>
      <c r="K53" s="4"/>
      <c r="L53" s="959"/>
      <c r="M53" s="960"/>
      <c r="N53" s="961"/>
    </row>
    <row r="54" spans="1:14" ht="6" hidden="1" customHeight="1" outlineLevel="1" x14ac:dyDescent="0.25">
      <c r="A54" s="2"/>
      <c r="B54" s="258" t="s">
        <v>23</v>
      </c>
      <c r="C54" s="2"/>
      <c r="D54" s="3"/>
      <c r="E54" s="258" t="s">
        <v>23</v>
      </c>
      <c r="F54" s="256"/>
      <c r="G54" s="3"/>
      <c r="H54" s="299" t="s">
        <v>44</v>
      </c>
      <c r="I54" s="763" t="s">
        <v>496</v>
      </c>
      <c r="J54" s="765"/>
      <c r="K54" s="4"/>
      <c r="L54" s="959"/>
      <c r="M54" s="960"/>
      <c r="N54" s="961"/>
    </row>
    <row r="55" spans="1:14" ht="6" hidden="1" customHeight="1" outlineLevel="1" x14ac:dyDescent="0.25">
      <c r="A55" s="2"/>
      <c r="B55" s="258" t="s">
        <v>23</v>
      </c>
      <c r="C55" s="2"/>
      <c r="D55" s="3"/>
      <c r="E55" s="258" t="s">
        <v>23</v>
      </c>
      <c r="F55" s="256"/>
      <c r="G55" s="3"/>
      <c r="H55" s="299" t="s">
        <v>489</v>
      </c>
      <c r="I55" s="763" t="s">
        <v>496</v>
      </c>
      <c r="J55" s="765"/>
      <c r="K55" s="4"/>
      <c r="L55" s="959"/>
      <c r="M55" s="960"/>
      <c r="N55" s="961"/>
    </row>
    <row r="56" spans="1:14" ht="6" hidden="1" customHeight="1" outlineLevel="1" x14ac:dyDescent="0.25">
      <c r="A56" s="2"/>
      <c r="B56" s="258" t="s">
        <v>23</v>
      </c>
      <c r="C56" s="2"/>
      <c r="D56" s="3"/>
      <c r="E56" s="258" t="s">
        <v>23</v>
      </c>
      <c r="F56" s="256"/>
      <c r="G56" s="3"/>
      <c r="H56" s="299" t="s">
        <v>496</v>
      </c>
      <c r="I56" s="763" t="s">
        <v>496</v>
      </c>
      <c r="J56" s="765"/>
      <c r="K56" s="4"/>
      <c r="L56" s="959"/>
      <c r="M56" s="960"/>
      <c r="N56" s="961"/>
    </row>
    <row r="57" spans="1:14" ht="6" hidden="1" customHeight="1" outlineLevel="1" x14ac:dyDescent="0.25">
      <c r="A57" s="2"/>
      <c r="B57" s="258" t="s">
        <v>23</v>
      </c>
      <c r="C57" s="2"/>
      <c r="D57" s="3"/>
      <c r="E57" s="258" t="s">
        <v>23</v>
      </c>
      <c r="F57" s="256"/>
      <c r="G57" s="3"/>
      <c r="H57" s="299" t="s">
        <v>443</v>
      </c>
      <c r="I57" s="763" t="s">
        <v>496</v>
      </c>
      <c r="J57" s="765"/>
      <c r="K57" s="4"/>
      <c r="L57" s="959"/>
      <c r="M57" s="960"/>
      <c r="N57" s="961"/>
    </row>
    <row r="58" spans="1:14" ht="6" hidden="1" customHeight="1" outlineLevel="1" x14ac:dyDescent="0.25">
      <c r="A58" s="2"/>
      <c r="B58" s="258" t="s">
        <v>23</v>
      </c>
      <c r="C58" s="2"/>
      <c r="D58" s="3"/>
      <c r="E58" s="258" t="s">
        <v>23</v>
      </c>
      <c r="F58" s="256"/>
      <c r="G58" s="3"/>
      <c r="H58" s="299" t="s">
        <v>337</v>
      </c>
      <c r="I58" s="763" t="s">
        <v>496</v>
      </c>
      <c r="J58" s="765"/>
      <c r="K58" s="4"/>
      <c r="L58" s="959"/>
      <c r="M58" s="960"/>
      <c r="N58" s="961"/>
    </row>
    <row r="59" spans="1:14" ht="6" hidden="1" customHeight="1" outlineLevel="1" x14ac:dyDescent="0.25">
      <c r="A59" s="2"/>
      <c r="B59" s="258" t="s">
        <v>23</v>
      </c>
      <c r="C59" s="2"/>
      <c r="D59" s="3"/>
      <c r="E59" s="258" t="s">
        <v>23</v>
      </c>
      <c r="F59" s="256"/>
      <c r="G59" s="3"/>
      <c r="H59" s="299" t="s">
        <v>268</v>
      </c>
      <c r="I59" s="763" t="s">
        <v>496</v>
      </c>
      <c r="J59" s="765"/>
      <c r="K59" s="4"/>
      <c r="L59" s="959"/>
      <c r="M59" s="960"/>
      <c r="N59" s="961"/>
    </row>
    <row r="60" spans="1:14" ht="6" hidden="1" customHeight="1" outlineLevel="1" x14ac:dyDescent="0.25">
      <c r="A60" s="2"/>
      <c r="B60" s="258" t="s">
        <v>23</v>
      </c>
      <c r="C60" s="2"/>
      <c r="D60" s="3"/>
      <c r="E60" s="258" t="s">
        <v>23</v>
      </c>
      <c r="F60" s="256"/>
      <c r="G60" s="3"/>
      <c r="H60" s="299" t="s">
        <v>269</v>
      </c>
      <c r="I60" s="763" t="s">
        <v>496</v>
      </c>
      <c r="J60" s="765"/>
      <c r="K60" s="4"/>
      <c r="L60" s="959"/>
      <c r="M60" s="960"/>
      <c r="N60" s="961"/>
    </row>
    <row r="61" spans="1:14" ht="6" hidden="1" customHeight="1" outlineLevel="1" x14ac:dyDescent="0.25">
      <c r="A61" s="2"/>
      <c r="B61" s="258" t="s">
        <v>23</v>
      </c>
      <c r="C61" s="2"/>
      <c r="D61" s="3"/>
      <c r="E61" s="258" t="s">
        <v>23</v>
      </c>
      <c r="F61" s="256"/>
      <c r="G61" s="3"/>
      <c r="H61" s="299" t="s">
        <v>490</v>
      </c>
      <c r="I61" s="763" t="s">
        <v>490</v>
      </c>
      <c r="J61" s="765"/>
      <c r="K61" s="4"/>
      <c r="L61" s="959"/>
      <c r="M61" s="960"/>
      <c r="N61" s="961"/>
    </row>
    <row r="62" spans="1:14" ht="6" hidden="1" customHeight="1" outlineLevel="1" x14ac:dyDescent="0.25">
      <c r="A62" s="2"/>
      <c r="B62" s="258" t="s">
        <v>23</v>
      </c>
      <c r="C62" s="2"/>
      <c r="D62" s="3"/>
      <c r="E62" s="258" t="s">
        <v>23</v>
      </c>
      <c r="F62" s="256"/>
      <c r="G62" s="3"/>
      <c r="H62" s="299" t="s">
        <v>267</v>
      </c>
      <c r="I62" s="763" t="s">
        <v>490</v>
      </c>
      <c r="J62" s="765"/>
      <c r="K62" s="4"/>
      <c r="L62" s="959"/>
      <c r="M62" s="960"/>
      <c r="N62" s="961"/>
    </row>
    <row r="63" spans="1:14" ht="6" hidden="1" customHeight="1" outlineLevel="1" x14ac:dyDescent="0.25">
      <c r="A63" s="2"/>
      <c r="B63" s="258" t="s">
        <v>23</v>
      </c>
      <c r="C63" s="2"/>
      <c r="D63" s="3"/>
      <c r="E63" s="258" t="s">
        <v>23</v>
      </c>
      <c r="F63" s="256"/>
      <c r="G63" s="3"/>
      <c r="H63" s="299" t="s">
        <v>82</v>
      </c>
      <c r="I63" s="763" t="s">
        <v>82</v>
      </c>
      <c r="J63" s="765"/>
      <c r="K63" s="4"/>
      <c r="L63" s="959"/>
      <c r="M63" s="960"/>
      <c r="N63" s="961"/>
    </row>
    <row r="64" spans="1:14" ht="6" hidden="1" customHeight="1" outlineLevel="1" x14ac:dyDescent="0.25">
      <c r="A64" s="2"/>
      <c r="B64" s="258" t="s">
        <v>23</v>
      </c>
      <c r="C64" s="2"/>
      <c r="D64" s="3"/>
      <c r="E64" s="258" t="s">
        <v>23</v>
      </c>
      <c r="F64" s="256"/>
      <c r="G64" s="3"/>
      <c r="H64" s="299" t="s">
        <v>314</v>
      </c>
      <c r="I64" s="763" t="s">
        <v>82</v>
      </c>
      <c r="J64" s="765"/>
      <c r="K64" s="4"/>
      <c r="L64" s="959"/>
      <c r="M64" s="960"/>
      <c r="N64" s="961"/>
    </row>
    <row r="65" spans="1:14" ht="6" hidden="1" customHeight="1" outlineLevel="1" x14ac:dyDescent="0.25">
      <c r="A65" s="2"/>
      <c r="B65" s="258" t="s">
        <v>23</v>
      </c>
      <c r="C65" s="2"/>
      <c r="D65" s="3"/>
      <c r="E65" s="258" t="s">
        <v>23</v>
      </c>
      <c r="F65" s="256"/>
      <c r="G65" s="3"/>
      <c r="H65" s="299" t="s">
        <v>45</v>
      </c>
      <c r="I65" s="763" t="s">
        <v>45</v>
      </c>
      <c r="J65" s="765"/>
      <c r="K65" s="4"/>
      <c r="L65" s="959"/>
      <c r="M65" s="960"/>
      <c r="N65" s="961"/>
    </row>
    <row r="66" spans="1:14" ht="6" hidden="1" customHeight="1" outlineLevel="1" x14ac:dyDescent="0.25">
      <c r="A66" s="2"/>
      <c r="B66" s="258" t="s">
        <v>23</v>
      </c>
      <c r="C66" s="2"/>
      <c r="D66" s="3"/>
      <c r="E66" s="258" t="s">
        <v>23</v>
      </c>
      <c r="F66" s="256"/>
      <c r="G66" s="3"/>
      <c r="H66" s="299" t="s">
        <v>266</v>
      </c>
      <c r="I66" s="763" t="s">
        <v>45</v>
      </c>
      <c r="J66" s="765"/>
      <c r="K66" s="4"/>
      <c r="L66" s="959"/>
      <c r="M66" s="960"/>
      <c r="N66" s="961"/>
    </row>
    <row r="67" spans="1:14" ht="6" hidden="1" customHeight="1" outlineLevel="1" x14ac:dyDescent="0.25">
      <c r="A67" s="2"/>
      <c r="B67" s="258" t="s">
        <v>23</v>
      </c>
      <c r="C67" s="2"/>
      <c r="D67" s="3"/>
      <c r="E67" s="258" t="s">
        <v>23</v>
      </c>
      <c r="F67" s="256"/>
      <c r="G67" s="3"/>
      <c r="H67" s="299" t="s">
        <v>71</v>
      </c>
      <c r="I67" s="763" t="s">
        <v>71</v>
      </c>
      <c r="J67" s="765"/>
      <c r="K67" s="4"/>
      <c r="L67" s="959"/>
      <c r="M67" s="960"/>
      <c r="N67" s="961"/>
    </row>
    <row r="68" spans="1:14" ht="6" hidden="1" customHeight="1" outlineLevel="1" x14ac:dyDescent="0.25">
      <c r="A68" s="2"/>
      <c r="B68" s="258" t="s">
        <v>23</v>
      </c>
      <c r="C68" s="2"/>
      <c r="D68" s="3"/>
      <c r="E68" s="258" t="s">
        <v>23</v>
      </c>
      <c r="F68" s="256"/>
      <c r="G68" s="3"/>
      <c r="H68" s="299" t="s">
        <v>474</v>
      </c>
      <c r="I68" s="763" t="s">
        <v>474</v>
      </c>
      <c r="J68" s="765"/>
      <c r="K68" s="4"/>
      <c r="L68" s="959"/>
      <c r="M68" s="960"/>
      <c r="N68" s="961"/>
    </row>
    <row r="69" spans="1:14" ht="6" hidden="1" customHeight="1" outlineLevel="1" x14ac:dyDescent="0.25">
      <c r="A69" s="2"/>
      <c r="B69" s="258" t="s">
        <v>23</v>
      </c>
      <c r="C69" s="2"/>
      <c r="D69" s="3"/>
      <c r="E69" s="258" t="s">
        <v>23</v>
      </c>
      <c r="F69" s="256"/>
      <c r="G69" s="3"/>
      <c r="H69" s="299" t="s">
        <v>235</v>
      </c>
      <c r="I69" s="763" t="s">
        <v>64</v>
      </c>
      <c r="J69" s="765"/>
      <c r="K69" s="4"/>
      <c r="L69" s="959"/>
      <c r="M69" s="960"/>
      <c r="N69" s="961"/>
    </row>
    <row r="70" spans="1:14" ht="6" hidden="1" customHeight="1" outlineLevel="1" x14ac:dyDescent="0.25">
      <c r="A70" s="2"/>
      <c r="B70" s="258" t="s">
        <v>23</v>
      </c>
      <c r="C70" s="2"/>
      <c r="D70" s="3"/>
      <c r="E70" s="258" t="s">
        <v>23</v>
      </c>
      <c r="F70" s="256"/>
      <c r="G70" s="3"/>
      <c r="H70" s="299" t="s">
        <v>236</v>
      </c>
      <c r="I70" s="763" t="s">
        <v>64</v>
      </c>
      <c r="J70" s="765"/>
      <c r="K70" s="4"/>
      <c r="L70" s="959"/>
      <c r="M70" s="960"/>
      <c r="N70" s="961"/>
    </row>
    <row r="71" spans="1:14" ht="6" hidden="1" customHeight="1" outlineLevel="1" x14ac:dyDescent="0.25">
      <c r="A71" s="2"/>
      <c r="B71" s="258" t="s">
        <v>23</v>
      </c>
      <c r="C71" s="2"/>
      <c r="D71" s="3"/>
      <c r="E71" s="258" t="s">
        <v>23</v>
      </c>
      <c r="F71" s="256"/>
      <c r="G71" s="3"/>
      <c r="H71" s="299" t="s">
        <v>64</v>
      </c>
      <c r="I71" s="763" t="s">
        <v>64</v>
      </c>
      <c r="J71" s="765"/>
      <c r="K71" s="4"/>
      <c r="L71" s="959"/>
      <c r="M71" s="960"/>
      <c r="N71" s="961"/>
    </row>
    <row r="72" spans="1:14" ht="6" hidden="1" customHeight="1" outlineLevel="1" x14ac:dyDescent="0.25">
      <c r="A72" s="2"/>
      <c r="B72" s="258" t="s">
        <v>23</v>
      </c>
      <c r="C72" s="2"/>
      <c r="D72" s="3"/>
      <c r="E72" s="258" t="s">
        <v>23</v>
      </c>
      <c r="F72" s="256"/>
      <c r="G72" s="3"/>
      <c r="H72" s="299" t="s">
        <v>237</v>
      </c>
      <c r="I72" s="763" t="s">
        <v>59</v>
      </c>
      <c r="J72" s="765"/>
      <c r="K72" s="4"/>
      <c r="L72" s="959"/>
      <c r="M72" s="960"/>
      <c r="N72" s="961"/>
    </row>
    <row r="73" spans="1:14" ht="6" hidden="1" customHeight="1" outlineLevel="1" x14ac:dyDescent="0.25">
      <c r="A73" s="2"/>
      <c r="B73" s="258" t="s">
        <v>23</v>
      </c>
      <c r="C73" s="2"/>
      <c r="D73" s="3"/>
      <c r="E73" s="258" t="s">
        <v>23</v>
      </c>
      <c r="F73" s="256"/>
      <c r="G73" s="3"/>
      <c r="H73" s="299" t="s">
        <v>238</v>
      </c>
      <c r="I73" s="763" t="s">
        <v>59</v>
      </c>
      <c r="J73" s="765"/>
      <c r="K73" s="4"/>
      <c r="L73" s="959"/>
      <c r="M73" s="960"/>
      <c r="N73" s="961"/>
    </row>
    <row r="74" spans="1:14" ht="6" hidden="1" customHeight="1" outlineLevel="1" x14ac:dyDescent="0.25">
      <c r="A74" s="2"/>
      <c r="B74" s="258" t="s">
        <v>23</v>
      </c>
      <c r="C74" s="2"/>
      <c r="D74" s="3"/>
      <c r="E74" s="258" t="s">
        <v>23</v>
      </c>
      <c r="F74" s="256"/>
      <c r="G74" s="3"/>
      <c r="H74" s="299" t="s">
        <v>59</v>
      </c>
      <c r="I74" s="763" t="s">
        <v>59</v>
      </c>
      <c r="J74" s="765"/>
      <c r="K74" s="4"/>
      <c r="L74" s="959"/>
      <c r="M74" s="960"/>
      <c r="N74" s="961"/>
    </row>
    <row r="75" spans="1:14" ht="6" hidden="1" customHeight="1" outlineLevel="1" x14ac:dyDescent="0.25">
      <c r="A75" s="2"/>
      <c r="B75" s="258" t="s">
        <v>23</v>
      </c>
      <c r="C75" s="2"/>
      <c r="D75" s="3"/>
      <c r="E75" s="258" t="s">
        <v>23</v>
      </c>
      <c r="F75" s="256"/>
      <c r="G75" s="3"/>
      <c r="H75" s="299" t="s">
        <v>293</v>
      </c>
      <c r="I75" s="763" t="s">
        <v>409</v>
      </c>
      <c r="J75" s="765"/>
      <c r="K75" s="4"/>
      <c r="L75" s="959"/>
      <c r="M75" s="960"/>
      <c r="N75" s="961"/>
    </row>
    <row r="76" spans="1:14" ht="6" hidden="1" customHeight="1" outlineLevel="1" x14ac:dyDescent="0.25">
      <c r="A76" s="2"/>
      <c r="B76" s="258" t="s">
        <v>23</v>
      </c>
      <c r="C76" s="2"/>
      <c r="D76" s="3"/>
      <c r="E76" s="258" t="s">
        <v>23</v>
      </c>
      <c r="F76" s="256"/>
      <c r="G76" s="3"/>
      <c r="H76" s="299" t="s">
        <v>292</v>
      </c>
      <c r="I76" s="763" t="s">
        <v>409</v>
      </c>
      <c r="J76" s="765"/>
      <c r="K76" s="4"/>
      <c r="L76" s="959"/>
      <c r="M76" s="960"/>
      <c r="N76" s="961"/>
    </row>
    <row r="77" spans="1:14" ht="6" hidden="1" customHeight="1" outlineLevel="1" x14ac:dyDescent="0.25">
      <c r="A77" s="2"/>
      <c r="B77" s="258" t="s">
        <v>23</v>
      </c>
      <c r="C77" s="2"/>
      <c r="D77" s="3"/>
      <c r="E77" s="258" t="s">
        <v>23</v>
      </c>
      <c r="F77" s="256"/>
      <c r="G77" s="3"/>
      <c r="H77" s="299" t="s">
        <v>291</v>
      </c>
      <c r="I77" s="763" t="s">
        <v>409</v>
      </c>
      <c r="J77" s="765"/>
      <c r="K77" s="4"/>
      <c r="L77" s="959"/>
      <c r="M77" s="960"/>
      <c r="N77" s="961"/>
    </row>
    <row r="78" spans="1:14" ht="6" hidden="1" customHeight="1" outlineLevel="1" x14ac:dyDescent="0.25">
      <c r="A78" s="2"/>
      <c r="B78" s="258" t="s">
        <v>23</v>
      </c>
      <c r="C78" s="2"/>
      <c r="D78" s="3"/>
      <c r="E78" s="258" t="s">
        <v>23</v>
      </c>
      <c r="F78" s="256"/>
      <c r="G78" s="3"/>
      <c r="H78" s="299" t="s">
        <v>290</v>
      </c>
      <c r="I78" s="763" t="s">
        <v>409</v>
      </c>
      <c r="J78" s="765"/>
      <c r="K78" s="4"/>
      <c r="L78" s="959"/>
      <c r="M78" s="960"/>
      <c r="N78" s="961"/>
    </row>
    <row r="79" spans="1:14" ht="6" hidden="1" customHeight="1" outlineLevel="1" x14ac:dyDescent="0.25">
      <c r="A79" s="2"/>
      <c r="B79" s="258" t="s">
        <v>23</v>
      </c>
      <c r="C79" s="2"/>
      <c r="D79" s="3"/>
      <c r="E79" s="258" t="s">
        <v>23</v>
      </c>
      <c r="F79" s="256"/>
      <c r="G79" s="3"/>
      <c r="H79" s="299" t="s">
        <v>409</v>
      </c>
      <c r="I79" s="763" t="s">
        <v>409</v>
      </c>
      <c r="J79" s="765"/>
      <c r="K79" s="4"/>
      <c r="L79" s="959"/>
      <c r="M79" s="960"/>
      <c r="N79" s="961"/>
    </row>
    <row r="80" spans="1:14" ht="6" hidden="1" customHeight="1" outlineLevel="1" x14ac:dyDescent="0.25">
      <c r="A80" s="2"/>
      <c r="B80" s="258" t="s">
        <v>23</v>
      </c>
      <c r="C80" s="2"/>
      <c r="D80" s="3"/>
      <c r="E80" s="258" t="s">
        <v>23</v>
      </c>
      <c r="F80" s="256"/>
      <c r="G80" s="3"/>
      <c r="H80" s="299" t="s">
        <v>29</v>
      </c>
      <c r="I80" s="763" t="s">
        <v>29</v>
      </c>
      <c r="J80" s="765"/>
      <c r="K80" s="4"/>
      <c r="L80" s="959"/>
      <c r="M80" s="960"/>
      <c r="N80" s="961"/>
    </row>
    <row r="81" spans="1:14" ht="6" hidden="1" customHeight="1" outlineLevel="1" x14ac:dyDescent="0.25">
      <c r="A81" s="2"/>
      <c r="B81" s="258" t="s">
        <v>23</v>
      </c>
      <c r="C81" s="2"/>
      <c r="D81" s="3"/>
      <c r="E81" s="258" t="s">
        <v>23</v>
      </c>
      <c r="F81" s="256"/>
      <c r="G81" s="3"/>
      <c r="H81" s="299" t="s">
        <v>460</v>
      </c>
      <c r="I81" s="763" t="s">
        <v>29</v>
      </c>
      <c r="J81" s="765"/>
      <c r="K81" s="4"/>
      <c r="L81" s="959"/>
      <c r="M81" s="960"/>
      <c r="N81" s="961"/>
    </row>
    <row r="82" spans="1:14" ht="6" hidden="1" customHeight="1" outlineLevel="1" x14ac:dyDescent="0.25">
      <c r="A82" s="2"/>
      <c r="B82" s="258" t="s">
        <v>23</v>
      </c>
      <c r="C82" s="2"/>
      <c r="D82" s="3"/>
      <c r="E82" s="258" t="s">
        <v>23</v>
      </c>
      <c r="F82" s="256"/>
      <c r="G82" s="3"/>
      <c r="H82" s="299" t="s">
        <v>249</v>
      </c>
      <c r="I82" s="763" t="s">
        <v>29</v>
      </c>
      <c r="J82" s="765"/>
      <c r="K82" s="4"/>
      <c r="L82" s="959"/>
      <c r="M82" s="960"/>
      <c r="N82" s="961"/>
    </row>
    <row r="83" spans="1:14" ht="6" hidden="1" customHeight="1" outlineLevel="1" x14ac:dyDescent="0.25">
      <c r="A83" s="2"/>
      <c r="B83" s="258" t="s">
        <v>23</v>
      </c>
      <c r="C83" s="2"/>
      <c r="D83" s="3"/>
      <c r="E83" s="258" t="s">
        <v>23</v>
      </c>
      <c r="F83" s="256"/>
      <c r="G83" s="3"/>
      <c r="H83" s="299" t="s">
        <v>250</v>
      </c>
      <c r="I83" s="763" t="s">
        <v>29</v>
      </c>
      <c r="J83" s="765"/>
      <c r="K83" s="4"/>
      <c r="L83" s="959"/>
      <c r="M83" s="960"/>
      <c r="N83" s="961"/>
    </row>
    <row r="84" spans="1:14" ht="6" hidden="1" customHeight="1" outlineLevel="1" x14ac:dyDescent="0.25">
      <c r="A84" s="2"/>
      <c r="B84" s="258" t="s">
        <v>23</v>
      </c>
      <c r="C84" s="2"/>
      <c r="D84" s="3"/>
      <c r="E84" s="258" t="s">
        <v>23</v>
      </c>
      <c r="F84" s="256"/>
      <c r="G84" s="3"/>
      <c r="H84" s="299" t="s">
        <v>251</v>
      </c>
      <c r="I84" s="763" t="s">
        <v>29</v>
      </c>
      <c r="J84" s="765"/>
      <c r="K84" s="4"/>
      <c r="L84" s="959"/>
      <c r="M84" s="960"/>
      <c r="N84" s="961"/>
    </row>
    <row r="85" spans="1:14" ht="6" hidden="1" customHeight="1" outlineLevel="1" x14ac:dyDescent="0.25">
      <c r="A85" s="2"/>
      <c r="B85" s="258" t="s">
        <v>23</v>
      </c>
      <c r="C85" s="2"/>
      <c r="D85" s="3"/>
      <c r="E85" s="258" t="s">
        <v>23</v>
      </c>
      <c r="F85" s="256"/>
      <c r="G85" s="3"/>
      <c r="H85" s="299" t="s">
        <v>418</v>
      </c>
      <c r="I85" s="763" t="s">
        <v>29</v>
      </c>
      <c r="J85" s="765"/>
      <c r="K85" s="4"/>
      <c r="L85" s="959"/>
      <c r="M85" s="960"/>
      <c r="N85" s="961"/>
    </row>
    <row r="86" spans="1:14" ht="6" hidden="1" customHeight="1" outlineLevel="1" x14ac:dyDescent="0.25">
      <c r="A86" s="2"/>
      <c r="B86" s="258" t="s">
        <v>23</v>
      </c>
      <c r="C86" s="2"/>
      <c r="D86" s="3"/>
      <c r="E86" s="258" t="s">
        <v>23</v>
      </c>
      <c r="F86" s="256"/>
      <c r="G86" s="3"/>
      <c r="H86" s="299" t="s">
        <v>252</v>
      </c>
      <c r="I86" s="763" t="s">
        <v>29</v>
      </c>
      <c r="J86" s="765"/>
      <c r="K86" s="4"/>
      <c r="L86" s="959"/>
      <c r="M86" s="960"/>
      <c r="N86" s="961"/>
    </row>
    <row r="87" spans="1:14" ht="6" hidden="1" customHeight="1" outlineLevel="1" x14ac:dyDescent="0.25">
      <c r="A87" s="2"/>
      <c r="B87" s="258" t="s">
        <v>23</v>
      </c>
      <c r="C87" s="2"/>
      <c r="D87" s="3"/>
      <c r="E87" s="258" t="s">
        <v>23</v>
      </c>
      <c r="F87" s="256"/>
      <c r="G87" s="3"/>
      <c r="H87" s="299" t="s">
        <v>83</v>
      </c>
      <c r="I87" s="763" t="s">
        <v>83</v>
      </c>
      <c r="J87" s="765"/>
      <c r="K87" s="4"/>
      <c r="L87" s="959"/>
      <c r="M87" s="960"/>
      <c r="N87" s="961"/>
    </row>
    <row r="88" spans="1:14" ht="6" hidden="1" customHeight="1" outlineLevel="1" x14ac:dyDescent="0.25">
      <c r="A88" s="2"/>
      <c r="B88" s="258" t="s">
        <v>23</v>
      </c>
      <c r="C88" s="2"/>
      <c r="D88" s="3"/>
      <c r="E88" s="258" t="s">
        <v>23</v>
      </c>
      <c r="F88" s="256"/>
      <c r="G88" s="3"/>
      <c r="H88" s="299" t="s">
        <v>84</v>
      </c>
      <c r="I88" s="763" t="s">
        <v>84</v>
      </c>
      <c r="J88" s="765"/>
      <c r="K88" s="4"/>
      <c r="L88" s="959"/>
      <c r="M88" s="960"/>
      <c r="N88" s="961"/>
    </row>
    <row r="89" spans="1:14" ht="6" hidden="1" customHeight="1" outlineLevel="1" x14ac:dyDescent="0.25">
      <c r="A89" s="2"/>
      <c r="B89" s="258" t="s">
        <v>23</v>
      </c>
      <c r="C89" s="2"/>
      <c r="D89" s="3"/>
      <c r="E89" s="258" t="s">
        <v>23</v>
      </c>
      <c r="F89" s="256"/>
      <c r="G89" s="3"/>
      <c r="H89" s="299" t="s">
        <v>307</v>
      </c>
      <c r="I89" s="763" t="s">
        <v>72</v>
      </c>
      <c r="J89" s="765"/>
      <c r="K89" s="4"/>
      <c r="L89" s="959"/>
      <c r="M89" s="960"/>
      <c r="N89" s="961"/>
    </row>
    <row r="90" spans="1:14" ht="6" hidden="1" customHeight="1" outlineLevel="1" x14ac:dyDescent="0.25">
      <c r="A90" s="2"/>
      <c r="B90" s="258" t="s">
        <v>23</v>
      </c>
      <c r="C90" s="2"/>
      <c r="D90" s="3"/>
      <c r="E90" s="258" t="s">
        <v>23</v>
      </c>
      <c r="F90" s="256"/>
      <c r="G90" s="3"/>
      <c r="H90" s="299" t="s">
        <v>72</v>
      </c>
      <c r="I90" s="763" t="s">
        <v>72</v>
      </c>
      <c r="J90" s="765"/>
      <c r="K90" s="4"/>
      <c r="L90" s="959"/>
      <c r="M90" s="960"/>
      <c r="N90" s="961"/>
    </row>
    <row r="91" spans="1:14" ht="6" hidden="1" customHeight="1" outlineLevel="1" x14ac:dyDescent="0.25">
      <c r="A91" s="2"/>
      <c r="B91" s="258" t="s">
        <v>23</v>
      </c>
      <c r="C91" s="2"/>
      <c r="D91" s="3"/>
      <c r="E91" s="258" t="s">
        <v>23</v>
      </c>
      <c r="F91" s="256"/>
      <c r="G91" s="3"/>
      <c r="H91" s="299" t="s">
        <v>483</v>
      </c>
      <c r="I91" s="763" t="s">
        <v>72</v>
      </c>
      <c r="J91" s="765"/>
      <c r="K91" s="4"/>
      <c r="L91" s="959"/>
      <c r="M91" s="960"/>
      <c r="N91" s="961"/>
    </row>
    <row r="92" spans="1:14" ht="6" hidden="1" customHeight="1" outlineLevel="1" x14ac:dyDescent="0.25">
      <c r="A92" s="2"/>
      <c r="B92" s="258" t="s">
        <v>23</v>
      </c>
      <c r="C92" s="2"/>
      <c r="D92" s="3"/>
      <c r="E92" s="258" t="s">
        <v>23</v>
      </c>
      <c r="F92" s="256"/>
      <c r="G92" s="3"/>
      <c r="H92" s="299" t="s">
        <v>288</v>
      </c>
      <c r="I92" s="763" t="s">
        <v>497</v>
      </c>
      <c r="J92" s="765"/>
      <c r="K92" s="4"/>
      <c r="L92" s="959"/>
      <c r="M92" s="960"/>
      <c r="N92" s="961"/>
    </row>
    <row r="93" spans="1:14" ht="6" hidden="1" customHeight="1" outlineLevel="1" x14ac:dyDescent="0.25">
      <c r="A93" s="2"/>
      <c r="B93" s="258" t="s">
        <v>23</v>
      </c>
      <c r="C93" s="2"/>
      <c r="D93" s="3"/>
      <c r="E93" s="258" t="s">
        <v>23</v>
      </c>
      <c r="F93" s="256"/>
      <c r="G93" s="3"/>
      <c r="H93" s="299" t="s">
        <v>497</v>
      </c>
      <c r="I93" s="763" t="s">
        <v>497</v>
      </c>
      <c r="J93" s="765"/>
      <c r="K93" s="4"/>
      <c r="L93" s="959"/>
      <c r="M93" s="960"/>
      <c r="N93" s="961"/>
    </row>
    <row r="94" spans="1:14" ht="6" hidden="1" customHeight="1" outlineLevel="1" x14ac:dyDescent="0.25">
      <c r="A94" s="2"/>
      <c r="B94" s="258" t="s">
        <v>23</v>
      </c>
      <c r="C94" s="2"/>
      <c r="D94" s="3"/>
      <c r="E94" s="258" t="s">
        <v>23</v>
      </c>
      <c r="F94" s="256"/>
      <c r="G94" s="3"/>
      <c r="H94" s="299" t="s">
        <v>441</v>
      </c>
      <c r="I94" s="763" t="s">
        <v>497</v>
      </c>
      <c r="J94" s="765"/>
      <c r="K94" s="4"/>
      <c r="L94" s="959"/>
      <c r="M94" s="960"/>
      <c r="N94" s="961"/>
    </row>
    <row r="95" spans="1:14" ht="6" hidden="1" customHeight="1" outlineLevel="1" x14ac:dyDescent="0.25">
      <c r="A95" s="2"/>
      <c r="B95" s="258" t="s">
        <v>23</v>
      </c>
      <c r="C95" s="2"/>
      <c r="D95" s="3"/>
      <c r="E95" s="258" t="s">
        <v>23</v>
      </c>
      <c r="F95" s="256"/>
      <c r="G95" s="3"/>
      <c r="H95" s="299" t="s">
        <v>73</v>
      </c>
      <c r="I95" s="763" t="s">
        <v>73</v>
      </c>
      <c r="J95" s="765"/>
      <c r="K95" s="4"/>
      <c r="L95" s="959"/>
      <c r="M95" s="960"/>
      <c r="N95" s="961"/>
    </row>
    <row r="96" spans="1:14" ht="6" hidden="1" customHeight="1" outlineLevel="1" x14ac:dyDescent="0.25">
      <c r="A96" s="2"/>
      <c r="B96" s="258" t="s">
        <v>23</v>
      </c>
      <c r="C96" s="2"/>
      <c r="D96" s="3"/>
      <c r="E96" s="258" t="s">
        <v>23</v>
      </c>
      <c r="F96" s="256"/>
      <c r="G96" s="3"/>
      <c r="H96" s="299" t="s">
        <v>301</v>
      </c>
      <c r="I96" s="763" t="s">
        <v>73</v>
      </c>
      <c r="J96" s="765"/>
      <c r="K96" s="4"/>
      <c r="L96" s="959"/>
      <c r="M96" s="960"/>
      <c r="N96" s="961"/>
    </row>
    <row r="97" spans="1:14" ht="6" hidden="1" customHeight="1" outlineLevel="1" x14ac:dyDescent="0.25">
      <c r="A97" s="2"/>
      <c r="B97" s="258" t="s">
        <v>23</v>
      </c>
      <c r="C97" s="2"/>
      <c r="D97" s="3"/>
      <c r="E97" s="258" t="s">
        <v>23</v>
      </c>
      <c r="F97" s="256"/>
      <c r="G97" s="3"/>
      <c r="H97" s="299" t="s">
        <v>74</v>
      </c>
      <c r="I97" s="763" t="s">
        <v>74</v>
      </c>
      <c r="J97" s="765"/>
      <c r="K97" s="4"/>
      <c r="L97" s="959"/>
      <c r="M97" s="960"/>
      <c r="N97" s="961"/>
    </row>
    <row r="98" spans="1:14" ht="6" hidden="1" customHeight="1" outlineLevel="1" x14ac:dyDescent="0.25">
      <c r="A98" s="2"/>
      <c r="B98" s="258" t="s">
        <v>23</v>
      </c>
      <c r="C98" s="2"/>
      <c r="D98" s="3"/>
      <c r="E98" s="258" t="s">
        <v>23</v>
      </c>
      <c r="F98" s="256"/>
      <c r="G98" s="3"/>
      <c r="H98" s="299" t="s">
        <v>308</v>
      </c>
      <c r="I98" s="763" t="s">
        <v>74</v>
      </c>
      <c r="J98" s="765"/>
      <c r="K98" s="4"/>
      <c r="L98" s="959"/>
      <c r="M98" s="960"/>
      <c r="N98" s="961"/>
    </row>
    <row r="99" spans="1:14" ht="6" hidden="1" customHeight="1" outlineLevel="1" x14ac:dyDescent="0.25">
      <c r="A99" s="2"/>
      <c r="B99" s="258" t="s">
        <v>23</v>
      </c>
      <c r="C99" s="2"/>
      <c r="D99" s="3"/>
      <c r="E99" s="258" t="s">
        <v>23</v>
      </c>
      <c r="F99" s="256"/>
      <c r="G99" s="3"/>
      <c r="H99" s="299" t="s">
        <v>442</v>
      </c>
      <c r="I99" s="763" t="s">
        <v>442</v>
      </c>
      <c r="J99" s="765"/>
      <c r="K99" s="4"/>
      <c r="L99" s="959"/>
      <c r="M99" s="960"/>
      <c r="N99" s="961"/>
    </row>
    <row r="100" spans="1:14" ht="6" hidden="1" customHeight="1" outlineLevel="1" x14ac:dyDescent="0.25">
      <c r="A100" s="2"/>
      <c r="B100" s="258" t="s">
        <v>23</v>
      </c>
      <c r="C100" s="2"/>
      <c r="D100" s="3"/>
      <c r="E100" s="258" t="s">
        <v>23</v>
      </c>
      <c r="F100" s="256"/>
      <c r="G100" s="3"/>
      <c r="H100" s="299" t="s">
        <v>444</v>
      </c>
      <c r="I100" s="763" t="s">
        <v>32</v>
      </c>
      <c r="J100" s="765"/>
      <c r="K100" s="4"/>
      <c r="L100" s="959"/>
      <c r="M100" s="960"/>
      <c r="N100" s="961"/>
    </row>
    <row r="101" spans="1:14" ht="6" hidden="1" customHeight="1" outlineLevel="1" x14ac:dyDescent="0.25">
      <c r="A101" s="2"/>
      <c r="B101" s="258" t="s">
        <v>23</v>
      </c>
      <c r="C101" s="2"/>
      <c r="D101" s="3"/>
      <c r="E101" s="258" t="s">
        <v>23</v>
      </c>
      <c r="F101" s="256"/>
      <c r="G101" s="3"/>
      <c r="H101" s="299" t="s">
        <v>32</v>
      </c>
      <c r="I101" s="763" t="s">
        <v>32</v>
      </c>
      <c r="J101" s="765"/>
      <c r="K101" s="4"/>
      <c r="L101" s="959"/>
      <c r="M101" s="960"/>
      <c r="N101" s="961"/>
    </row>
    <row r="102" spans="1:14" ht="6" hidden="1" customHeight="1" outlineLevel="1" x14ac:dyDescent="0.25">
      <c r="A102" s="2"/>
      <c r="B102" s="258" t="s">
        <v>23</v>
      </c>
      <c r="C102" s="2"/>
      <c r="D102" s="3"/>
      <c r="E102" s="258" t="s">
        <v>23</v>
      </c>
      <c r="F102" s="256"/>
      <c r="G102" s="3"/>
      <c r="H102" s="299" t="s">
        <v>274</v>
      </c>
      <c r="I102" s="763" t="s">
        <v>32</v>
      </c>
      <c r="J102" s="765"/>
      <c r="K102" s="4"/>
      <c r="L102" s="959"/>
      <c r="M102" s="960"/>
      <c r="N102" s="961"/>
    </row>
    <row r="103" spans="1:14" ht="6" hidden="1" customHeight="1" outlineLevel="1" x14ac:dyDescent="0.25">
      <c r="A103" s="2"/>
      <c r="B103" s="258" t="s">
        <v>23</v>
      </c>
      <c r="C103" s="2"/>
      <c r="D103" s="3"/>
      <c r="E103" s="258" t="s">
        <v>23</v>
      </c>
      <c r="F103" s="256"/>
      <c r="G103" s="3"/>
      <c r="H103" s="299" t="s">
        <v>218</v>
      </c>
      <c r="I103" s="763" t="s">
        <v>41</v>
      </c>
      <c r="J103" s="765"/>
      <c r="K103" s="4"/>
      <c r="L103" s="959"/>
      <c r="M103" s="960"/>
      <c r="N103" s="961"/>
    </row>
    <row r="104" spans="1:14" ht="6" hidden="1" customHeight="1" outlineLevel="1" x14ac:dyDescent="0.25">
      <c r="A104" s="2"/>
      <c r="B104" s="258" t="s">
        <v>23</v>
      </c>
      <c r="C104" s="2"/>
      <c r="D104" s="3"/>
      <c r="E104" s="258" t="s">
        <v>23</v>
      </c>
      <c r="F104" s="256"/>
      <c r="G104" s="3"/>
      <c r="H104" s="299" t="s">
        <v>41</v>
      </c>
      <c r="I104" s="763" t="s">
        <v>41</v>
      </c>
      <c r="J104" s="765"/>
      <c r="K104" s="4"/>
      <c r="L104" s="959"/>
      <c r="M104" s="960"/>
      <c r="N104" s="961"/>
    </row>
    <row r="105" spans="1:14" ht="6" hidden="1" customHeight="1" outlineLevel="1" x14ac:dyDescent="0.25">
      <c r="A105" s="2"/>
      <c r="B105" s="258" t="s">
        <v>23</v>
      </c>
      <c r="C105" s="2"/>
      <c r="D105" s="3"/>
      <c r="E105" s="258" t="s">
        <v>23</v>
      </c>
      <c r="F105" s="256"/>
      <c r="G105" s="3"/>
      <c r="H105" s="299" t="s">
        <v>219</v>
      </c>
      <c r="I105" s="763" t="s">
        <v>39</v>
      </c>
      <c r="J105" s="765"/>
      <c r="K105" s="4"/>
      <c r="L105" s="959"/>
      <c r="M105" s="960"/>
      <c r="N105" s="961"/>
    </row>
    <row r="106" spans="1:14" ht="6" hidden="1" customHeight="1" outlineLevel="1" x14ac:dyDescent="0.25">
      <c r="A106" s="2"/>
      <c r="B106" s="258" t="s">
        <v>23</v>
      </c>
      <c r="C106" s="2"/>
      <c r="D106" s="3"/>
      <c r="E106" s="258" t="s">
        <v>23</v>
      </c>
      <c r="F106" s="256"/>
      <c r="G106" s="3"/>
      <c r="H106" s="299" t="s">
        <v>39</v>
      </c>
      <c r="I106" s="763" t="s">
        <v>39</v>
      </c>
      <c r="J106" s="765"/>
      <c r="K106" s="4"/>
      <c r="L106" s="959"/>
      <c r="M106" s="960"/>
      <c r="N106" s="961"/>
    </row>
    <row r="107" spans="1:14" ht="6" hidden="1" customHeight="1" outlineLevel="1" x14ac:dyDescent="0.25">
      <c r="A107" s="2"/>
      <c r="B107" s="258" t="s">
        <v>23</v>
      </c>
      <c r="C107" s="2"/>
      <c r="D107" s="3"/>
      <c r="E107" s="258" t="s">
        <v>23</v>
      </c>
      <c r="F107" s="256"/>
      <c r="G107" s="3"/>
      <c r="H107" s="299" t="s">
        <v>60</v>
      </c>
      <c r="I107" s="763" t="s">
        <v>60</v>
      </c>
      <c r="J107" s="765"/>
      <c r="K107" s="4"/>
      <c r="L107" s="959"/>
      <c r="M107" s="960"/>
      <c r="N107" s="961"/>
    </row>
    <row r="108" spans="1:14" ht="6" hidden="1" customHeight="1" outlineLevel="1" x14ac:dyDescent="0.25">
      <c r="A108" s="2"/>
      <c r="B108" s="258" t="s">
        <v>23</v>
      </c>
      <c r="C108" s="2"/>
      <c r="D108" s="3"/>
      <c r="E108" s="258" t="s">
        <v>23</v>
      </c>
      <c r="F108" s="256"/>
      <c r="G108" s="3"/>
      <c r="H108" s="299" t="s">
        <v>257</v>
      </c>
      <c r="I108" s="763" t="s">
        <v>60</v>
      </c>
      <c r="J108" s="765"/>
      <c r="K108" s="4"/>
      <c r="L108" s="959"/>
      <c r="M108" s="960"/>
      <c r="N108" s="961"/>
    </row>
    <row r="109" spans="1:14" ht="6" hidden="1" customHeight="1" outlineLevel="1" x14ac:dyDescent="0.25">
      <c r="A109" s="2"/>
      <c r="B109" s="258" t="s">
        <v>23</v>
      </c>
      <c r="C109" s="2"/>
      <c r="D109" s="3"/>
      <c r="E109" s="258" t="s">
        <v>23</v>
      </c>
      <c r="F109" s="256"/>
      <c r="G109" s="3"/>
      <c r="H109" s="299" t="s">
        <v>256</v>
      </c>
      <c r="I109" s="763" t="s">
        <v>60</v>
      </c>
      <c r="J109" s="765"/>
      <c r="K109" s="4"/>
      <c r="L109" s="959"/>
      <c r="M109" s="960"/>
      <c r="N109" s="961"/>
    </row>
    <row r="110" spans="1:14" ht="6" hidden="1" customHeight="1" outlineLevel="1" x14ac:dyDescent="0.25">
      <c r="A110" s="2"/>
      <c r="B110" s="258" t="s">
        <v>23</v>
      </c>
      <c r="C110" s="2"/>
      <c r="D110" s="3"/>
      <c r="E110" s="258" t="s">
        <v>23</v>
      </c>
      <c r="F110" s="256"/>
      <c r="G110" s="3"/>
      <c r="H110" s="299" t="s">
        <v>255</v>
      </c>
      <c r="I110" s="763" t="s">
        <v>60</v>
      </c>
      <c r="J110" s="765"/>
      <c r="K110" s="4"/>
      <c r="L110" s="959"/>
      <c r="M110" s="960"/>
      <c r="N110" s="961"/>
    </row>
    <row r="111" spans="1:14" ht="6" hidden="1" customHeight="1" outlineLevel="1" x14ac:dyDescent="0.25">
      <c r="A111" s="2"/>
      <c r="B111" s="258" t="s">
        <v>23</v>
      </c>
      <c r="C111" s="2"/>
      <c r="D111" s="3"/>
      <c r="E111" s="258" t="s">
        <v>23</v>
      </c>
      <c r="F111" s="256"/>
      <c r="G111" s="3"/>
      <c r="H111" s="299" t="s">
        <v>452</v>
      </c>
      <c r="I111" s="763" t="s">
        <v>60</v>
      </c>
      <c r="J111" s="765"/>
      <c r="K111" s="4"/>
      <c r="L111" s="959"/>
      <c r="M111" s="960"/>
      <c r="N111" s="961"/>
    </row>
    <row r="112" spans="1:14" ht="6" hidden="1" customHeight="1" outlineLevel="1" x14ac:dyDescent="0.25">
      <c r="A112" s="2"/>
      <c r="B112" s="258" t="s">
        <v>23</v>
      </c>
      <c r="C112" s="2"/>
      <c r="D112" s="3"/>
      <c r="E112" s="258" t="s">
        <v>23</v>
      </c>
      <c r="F112" s="256"/>
      <c r="G112" s="3"/>
      <c r="H112" s="299" t="s">
        <v>453</v>
      </c>
      <c r="I112" s="763" t="s">
        <v>60</v>
      </c>
      <c r="J112" s="765"/>
      <c r="K112" s="4"/>
      <c r="L112" s="959"/>
      <c r="M112" s="960"/>
      <c r="N112" s="961"/>
    </row>
    <row r="113" spans="1:14" ht="6" hidden="1" customHeight="1" outlineLevel="1" x14ac:dyDescent="0.25">
      <c r="A113" s="2"/>
      <c r="B113" s="258" t="s">
        <v>23</v>
      </c>
      <c r="C113" s="2"/>
      <c r="D113" s="3"/>
      <c r="E113" s="258" t="s">
        <v>23</v>
      </c>
      <c r="F113" s="256"/>
      <c r="G113" s="3"/>
      <c r="H113" s="299" t="s">
        <v>254</v>
      </c>
      <c r="I113" s="763" t="s">
        <v>61</v>
      </c>
      <c r="J113" s="765"/>
      <c r="K113" s="4"/>
      <c r="L113" s="959"/>
      <c r="M113" s="960"/>
      <c r="N113" s="961"/>
    </row>
    <row r="114" spans="1:14" ht="6" hidden="1" customHeight="1" outlineLevel="1" x14ac:dyDescent="0.25">
      <c r="A114" s="2"/>
      <c r="B114" s="258" t="s">
        <v>23</v>
      </c>
      <c r="C114" s="2"/>
      <c r="D114" s="3"/>
      <c r="E114" s="258" t="s">
        <v>23</v>
      </c>
      <c r="F114" s="256"/>
      <c r="G114" s="3"/>
      <c r="H114" s="299" t="s">
        <v>253</v>
      </c>
      <c r="I114" s="763" t="s">
        <v>61</v>
      </c>
      <c r="J114" s="765"/>
      <c r="K114" s="4"/>
      <c r="L114" s="959"/>
      <c r="M114" s="960"/>
      <c r="N114" s="961"/>
    </row>
    <row r="115" spans="1:14" ht="6" hidden="1" customHeight="1" outlineLevel="1" x14ac:dyDescent="0.25">
      <c r="A115" s="2"/>
      <c r="B115" s="258" t="s">
        <v>23</v>
      </c>
      <c r="C115" s="2"/>
      <c r="D115" s="3"/>
      <c r="E115" s="258" t="s">
        <v>23</v>
      </c>
      <c r="F115" s="256"/>
      <c r="G115" s="3"/>
      <c r="H115" s="299" t="s">
        <v>61</v>
      </c>
      <c r="I115" s="763" t="s">
        <v>61</v>
      </c>
      <c r="J115" s="765"/>
      <c r="K115" s="4"/>
      <c r="L115" s="959"/>
      <c r="M115" s="960"/>
      <c r="N115" s="961"/>
    </row>
    <row r="116" spans="1:14" ht="6" hidden="1" customHeight="1" outlineLevel="1" x14ac:dyDescent="0.25">
      <c r="A116" s="2"/>
      <c r="B116" s="258" t="s">
        <v>23</v>
      </c>
      <c r="C116" s="2"/>
      <c r="D116" s="3"/>
      <c r="E116" s="258" t="s">
        <v>23</v>
      </c>
      <c r="F116" s="256"/>
      <c r="G116" s="3"/>
      <c r="H116" s="299" t="s">
        <v>1219</v>
      </c>
      <c r="I116" s="763" t="s">
        <v>1219</v>
      </c>
      <c r="J116" s="765"/>
      <c r="K116" s="4"/>
      <c r="L116" s="959"/>
      <c r="M116" s="960"/>
      <c r="N116" s="961"/>
    </row>
    <row r="117" spans="1:14" ht="6" hidden="1" customHeight="1" outlineLevel="1" x14ac:dyDescent="0.25">
      <c r="A117" s="2"/>
      <c r="B117" s="258" t="s">
        <v>23</v>
      </c>
      <c r="C117" s="2"/>
      <c r="D117" s="3"/>
      <c r="E117" s="258" t="s">
        <v>23</v>
      </c>
      <c r="F117" s="256"/>
      <c r="G117" s="3"/>
      <c r="H117" s="299" t="s">
        <v>1234</v>
      </c>
      <c r="I117" s="763" t="s">
        <v>1234</v>
      </c>
      <c r="J117" s="765"/>
      <c r="K117" s="4"/>
      <c r="L117" s="959"/>
      <c r="M117" s="960"/>
      <c r="N117" s="961"/>
    </row>
    <row r="118" spans="1:14" ht="6" hidden="1" customHeight="1" outlineLevel="1" x14ac:dyDescent="0.25">
      <c r="A118" s="2"/>
      <c r="B118" s="258" t="s">
        <v>23</v>
      </c>
      <c r="C118" s="2"/>
      <c r="D118" s="3"/>
      <c r="E118" s="258" t="s">
        <v>23</v>
      </c>
      <c r="F118" s="256"/>
      <c r="G118" s="3"/>
      <c r="H118" s="299" t="s">
        <v>258</v>
      </c>
      <c r="I118" s="763" t="s">
        <v>52</v>
      </c>
      <c r="J118" s="765"/>
      <c r="K118" s="4"/>
      <c r="L118" s="959"/>
      <c r="M118" s="960"/>
      <c r="N118" s="961"/>
    </row>
    <row r="119" spans="1:14" ht="6" hidden="1" customHeight="1" outlineLevel="1" x14ac:dyDescent="0.25">
      <c r="A119" s="2"/>
      <c r="B119" s="258" t="s">
        <v>23</v>
      </c>
      <c r="C119" s="2"/>
      <c r="D119" s="3"/>
      <c r="E119" s="258" t="s">
        <v>23</v>
      </c>
      <c r="F119" s="256"/>
      <c r="G119" s="3"/>
      <c r="H119" s="299" t="s">
        <v>260</v>
      </c>
      <c r="I119" s="763" t="s">
        <v>52</v>
      </c>
      <c r="J119" s="765"/>
      <c r="K119" s="4"/>
      <c r="L119" s="959"/>
      <c r="M119" s="960"/>
      <c r="N119" s="961"/>
    </row>
    <row r="120" spans="1:14" ht="6" hidden="1" customHeight="1" outlineLevel="1" x14ac:dyDescent="0.25">
      <c r="A120" s="2"/>
      <c r="B120" s="258" t="s">
        <v>23</v>
      </c>
      <c r="C120" s="2"/>
      <c r="D120" s="3"/>
      <c r="E120" s="258" t="s">
        <v>23</v>
      </c>
      <c r="F120" s="256"/>
      <c r="G120" s="3"/>
      <c r="H120" s="299" t="s">
        <v>259</v>
      </c>
      <c r="I120" s="763" t="s">
        <v>52</v>
      </c>
      <c r="J120" s="765"/>
      <c r="K120" s="4"/>
      <c r="L120" s="959"/>
      <c r="M120" s="960"/>
      <c r="N120" s="961"/>
    </row>
    <row r="121" spans="1:14" ht="6" hidden="1" customHeight="1" outlineLevel="1" x14ac:dyDescent="0.25">
      <c r="A121" s="2"/>
      <c r="B121" s="258" t="s">
        <v>23</v>
      </c>
      <c r="C121" s="2"/>
      <c r="D121" s="3"/>
      <c r="E121" s="258" t="s">
        <v>23</v>
      </c>
      <c r="F121" s="256"/>
      <c r="G121" s="3"/>
      <c r="H121" s="299" t="s">
        <v>52</v>
      </c>
      <c r="I121" s="763" t="s">
        <v>52</v>
      </c>
      <c r="J121" s="765"/>
      <c r="K121" s="4"/>
      <c r="L121" s="959"/>
      <c r="M121" s="960"/>
      <c r="N121" s="961"/>
    </row>
    <row r="122" spans="1:14" ht="6" hidden="1" customHeight="1" outlineLevel="1" x14ac:dyDescent="0.25">
      <c r="A122" s="2"/>
      <c r="B122" s="258" t="s">
        <v>23</v>
      </c>
      <c r="C122" s="2"/>
      <c r="D122" s="3"/>
      <c r="E122" s="258" t="s">
        <v>23</v>
      </c>
      <c r="F122" s="256"/>
      <c r="G122" s="3"/>
      <c r="H122" s="299" t="s">
        <v>412</v>
      </c>
      <c r="I122" s="763" t="s">
        <v>412</v>
      </c>
      <c r="J122" s="765"/>
      <c r="K122" s="4"/>
      <c r="L122" s="959"/>
      <c r="M122" s="960"/>
      <c r="N122" s="961"/>
    </row>
    <row r="123" spans="1:14" ht="6" hidden="1" customHeight="1" outlineLevel="1" x14ac:dyDescent="0.25">
      <c r="A123" s="2"/>
      <c r="B123" s="258" t="s">
        <v>23</v>
      </c>
      <c r="C123" s="2"/>
      <c r="D123" s="3"/>
      <c r="E123" s="258" t="s">
        <v>23</v>
      </c>
      <c r="F123" s="256"/>
      <c r="G123" s="3"/>
      <c r="H123" s="299" t="s">
        <v>262</v>
      </c>
      <c r="I123" s="763" t="s">
        <v>412</v>
      </c>
      <c r="J123" s="765"/>
      <c r="K123" s="4"/>
      <c r="L123" s="959"/>
      <c r="M123" s="960"/>
      <c r="N123" s="961"/>
    </row>
    <row r="124" spans="1:14" ht="6" hidden="1" customHeight="1" outlineLevel="1" x14ac:dyDescent="0.25">
      <c r="A124" s="2"/>
      <c r="B124" s="258" t="s">
        <v>23</v>
      </c>
      <c r="C124" s="2"/>
      <c r="D124" s="3"/>
      <c r="E124" s="258" t="s">
        <v>23</v>
      </c>
      <c r="F124" s="256"/>
      <c r="G124" s="3"/>
      <c r="H124" s="299" t="s">
        <v>316</v>
      </c>
      <c r="I124" s="763" t="s">
        <v>412</v>
      </c>
      <c r="J124" s="765"/>
      <c r="K124" s="4"/>
      <c r="L124" s="959"/>
      <c r="M124" s="960"/>
      <c r="N124" s="961"/>
    </row>
    <row r="125" spans="1:14" ht="6" hidden="1" customHeight="1" outlineLevel="1" x14ac:dyDescent="0.25">
      <c r="A125" s="2"/>
      <c r="B125" s="258" t="s">
        <v>23</v>
      </c>
      <c r="C125" s="2"/>
      <c r="D125" s="3"/>
      <c r="E125" s="258" t="s">
        <v>23</v>
      </c>
      <c r="F125" s="256"/>
      <c r="G125" s="3"/>
      <c r="H125" s="299" t="s">
        <v>261</v>
      </c>
      <c r="I125" s="763" t="s">
        <v>412</v>
      </c>
      <c r="J125" s="765"/>
      <c r="K125" s="4"/>
      <c r="L125" s="959"/>
      <c r="M125" s="960"/>
      <c r="N125" s="961"/>
    </row>
    <row r="126" spans="1:14" ht="6" hidden="1" customHeight="1" outlineLevel="1" x14ac:dyDescent="0.25">
      <c r="A126" s="2"/>
      <c r="B126" s="258" t="s">
        <v>23</v>
      </c>
      <c r="C126" s="2"/>
      <c r="D126" s="3"/>
      <c r="E126" s="258" t="s">
        <v>23</v>
      </c>
      <c r="F126" s="256"/>
      <c r="G126" s="3"/>
      <c r="H126" s="299" t="s">
        <v>450</v>
      </c>
      <c r="I126" s="763" t="s">
        <v>412</v>
      </c>
      <c r="J126" s="765"/>
      <c r="K126" s="4"/>
      <c r="L126" s="959"/>
      <c r="M126" s="960"/>
      <c r="N126" s="961"/>
    </row>
    <row r="127" spans="1:14" ht="6" hidden="1" customHeight="1" outlineLevel="1" x14ac:dyDescent="0.25">
      <c r="A127" s="2"/>
      <c r="B127" s="258" t="s">
        <v>23</v>
      </c>
      <c r="C127" s="2"/>
      <c r="D127" s="3"/>
      <c r="E127" s="258" t="s">
        <v>23</v>
      </c>
      <c r="F127" s="256"/>
      <c r="G127" s="3"/>
      <c r="H127" s="299" t="s">
        <v>46</v>
      </c>
      <c r="I127" s="763" t="s">
        <v>46</v>
      </c>
      <c r="J127" s="765"/>
      <c r="K127" s="4"/>
      <c r="L127" s="959"/>
      <c r="M127" s="960"/>
      <c r="N127" s="961"/>
    </row>
    <row r="128" spans="1:14" ht="6" hidden="1" customHeight="1" outlineLevel="1" x14ac:dyDescent="0.25">
      <c r="A128" s="2"/>
      <c r="B128" s="258" t="s">
        <v>23</v>
      </c>
      <c r="C128" s="2"/>
      <c r="D128" s="3"/>
      <c r="E128" s="258" t="s">
        <v>23</v>
      </c>
      <c r="F128" s="256"/>
      <c r="G128" s="3"/>
      <c r="H128" s="299" t="s">
        <v>272</v>
      </c>
      <c r="I128" s="763" t="s">
        <v>46</v>
      </c>
      <c r="J128" s="765"/>
      <c r="K128" s="4"/>
      <c r="L128" s="959"/>
      <c r="M128" s="960"/>
      <c r="N128" s="961"/>
    </row>
    <row r="129" spans="1:14" ht="6" hidden="1" customHeight="1" outlineLevel="1" x14ac:dyDescent="0.25">
      <c r="A129" s="2"/>
      <c r="B129" s="258" t="s">
        <v>23</v>
      </c>
      <c r="C129" s="2"/>
      <c r="D129" s="3"/>
      <c r="E129" s="258" t="s">
        <v>23</v>
      </c>
      <c r="F129" s="256"/>
      <c r="G129" s="3"/>
      <c r="H129" s="299" t="s">
        <v>273</v>
      </c>
      <c r="I129" s="763" t="s">
        <v>332</v>
      </c>
      <c r="J129" s="765"/>
      <c r="K129" s="4"/>
      <c r="L129" s="959"/>
      <c r="M129" s="960"/>
      <c r="N129" s="961"/>
    </row>
    <row r="130" spans="1:14" ht="6" hidden="1" customHeight="1" outlineLevel="1" x14ac:dyDescent="0.25">
      <c r="A130" s="2"/>
      <c r="B130" s="258" t="s">
        <v>23</v>
      </c>
      <c r="C130" s="2"/>
      <c r="D130" s="3"/>
      <c r="E130" s="258" t="s">
        <v>23</v>
      </c>
      <c r="F130" s="256"/>
      <c r="G130" s="3"/>
      <c r="H130" s="299" t="s">
        <v>332</v>
      </c>
      <c r="I130" s="763" t="s">
        <v>332</v>
      </c>
      <c r="J130" s="765"/>
      <c r="K130" s="4"/>
      <c r="L130" s="959"/>
      <c r="M130" s="960"/>
      <c r="N130" s="961"/>
    </row>
    <row r="131" spans="1:14" ht="6" hidden="1" customHeight="1" outlineLevel="1" x14ac:dyDescent="0.25">
      <c r="A131" s="2"/>
      <c r="B131" s="258" t="s">
        <v>23</v>
      </c>
      <c r="C131" s="2"/>
      <c r="D131" s="3"/>
      <c r="E131" s="258" t="s">
        <v>23</v>
      </c>
      <c r="F131" s="256"/>
      <c r="G131" s="3"/>
      <c r="H131" s="299" t="s">
        <v>206</v>
      </c>
      <c r="I131" s="763" t="s">
        <v>206</v>
      </c>
      <c r="J131" s="765"/>
      <c r="K131" s="4"/>
      <c r="L131" s="959"/>
      <c r="M131" s="960"/>
      <c r="N131" s="961"/>
    </row>
    <row r="132" spans="1:14" ht="6" hidden="1" customHeight="1" outlineLevel="1" x14ac:dyDescent="0.25">
      <c r="A132" s="2"/>
      <c r="B132" s="258" t="s">
        <v>23</v>
      </c>
      <c r="C132" s="2"/>
      <c r="D132" s="3"/>
      <c r="E132" s="258" t="s">
        <v>23</v>
      </c>
      <c r="F132" s="256"/>
      <c r="G132" s="3"/>
      <c r="H132" s="299" t="s">
        <v>207</v>
      </c>
      <c r="I132" s="763" t="s">
        <v>206</v>
      </c>
      <c r="J132" s="765"/>
      <c r="K132" s="4"/>
      <c r="L132" s="959"/>
      <c r="M132" s="960"/>
      <c r="N132" s="961"/>
    </row>
    <row r="133" spans="1:14" ht="6" hidden="1" customHeight="1" outlineLevel="1" x14ac:dyDescent="0.25">
      <c r="A133" s="2"/>
      <c r="B133" s="258" t="s">
        <v>23</v>
      </c>
      <c r="C133" s="2"/>
      <c r="D133" s="3"/>
      <c r="E133" s="258" t="s">
        <v>23</v>
      </c>
      <c r="F133" s="256"/>
      <c r="G133" s="3"/>
      <c r="H133" s="299" t="s">
        <v>414</v>
      </c>
      <c r="I133" s="763" t="s">
        <v>410</v>
      </c>
      <c r="J133" s="765"/>
      <c r="K133" s="4"/>
      <c r="L133" s="959"/>
      <c r="M133" s="960"/>
      <c r="N133" s="961"/>
    </row>
    <row r="134" spans="1:14" ht="6" hidden="1" customHeight="1" outlineLevel="1" x14ac:dyDescent="0.25">
      <c r="A134" s="2"/>
      <c r="B134" s="258" t="s">
        <v>23</v>
      </c>
      <c r="C134" s="2"/>
      <c r="D134" s="3"/>
      <c r="E134" s="258" t="s">
        <v>23</v>
      </c>
      <c r="F134" s="256"/>
      <c r="G134" s="3"/>
      <c r="H134" s="299" t="s">
        <v>434</v>
      </c>
      <c r="I134" s="763" t="s">
        <v>410</v>
      </c>
      <c r="J134" s="765"/>
      <c r="K134" s="4"/>
      <c r="L134" s="959"/>
      <c r="M134" s="960"/>
      <c r="N134" s="961"/>
    </row>
    <row r="135" spans="1:14" ht="6" hidden="1" customHeight="1" outlineLevel="1" x14ac:dyDescent="0.25">
      <c r="A135" s="2"/>
      <c r="B135" s="258" t="s">
        <v>23</v>
      </c>
      <c r="C135" s="2"/>
      <c r="D135" s="3"/>
      <c r="E135" s="258" t="s">
        <v>23</v>
      </c>
      <c r="F135" s="256"/>
      <c r="G135" s="3"/>
      <c r="H135" s="299" t="s">
        <v>410</v>
      </c>
      <c r="I135" s="763" t="s">
        <v>410</v>
      </c>
      <c r="J135" s="765"/>
      <c r="K135" s="4"/>
      <c r="L135" s="959"/>
      <c r="M135" s="960"/>
      <c r="N135" s="961"/>
    </row>
    <row r="136" spans="1:14" ht="6" hidden="1" customHeight="1" outlineLevel="1" x14ac:dyDescent="0.25">
      <c r="A136" s="2"/>
      <c r="B136" s="258" t="s">
        <v>23</v>
      </c>
      <c r="C136" s="2"/>
      <c r="D136" s="3"/>
      <c r="E136" s="258" t="s">
        <v>23</v>
      </c>
      <c r="F136" s="256"/>
      <c r="G136" s="3"/>
      <c r="H136" s="299" t="s">
        <v>437</v>
      </c>
      <c r="I136" s="763" t="s">
        <v>410</v>
      </c>
      <c r="J136" s="765"/>
      <c r="K136" s="4"/>
      <c r="L136" s="959"/>
      <c r="M136" s="960"/>
      <c r="N136" s="961"/>
    </row>
    <row r="137" spans="1:14" ht="6" hidden="1" customHeight="1" outlineLevel="1" x14ac:dyDescent="0.25">
      <c r="A137" s="2"/>
      <c r="B137" s="258" t="s">
        <v>23</v>
      </c>
      <c r="C137" s="2"/>
      <c r="D137" s="3"/>
      <c r="E137" s="258" t="s">
        <v>23</v>
      </c>
      <c r="F137" s="256"/>
      <c r="G137" s="3"/>
      <c r="H137" s="299" t="s">
        <v>461</v>
      </c>
      <c r="I137" s="763" t="s">
        <v>65</v>
      </c>
      <c r="J137" s="765"/>
      <c r="K137" s="4"/>
      <c r="L137" s="959"/>
      <c r="M137" s="960"/>
      <c r="N137" s="961"/>
    </row>
    <row r="138" spans="1:14" ht="6" hidden="1" customHeight="1" outlineLevel="1" x14ac:dyDescent="0.25">
      <c r="A138" s="2"/>
      <c r="B138" s="258" t="s">
        <v>23</v>
      </c>
      <c r="C138" s="2"/>
      <c r="D138" s="3"/>
      <c r="E138" s="258" t="s">
        <v>23</v>
      </c>
      <c r="F138" s="256"/>
      <c r="G138" s="3"/>
      <c r="H138" s="299" t="s">
        <v>221</v>
      </c>
      <c r="I138" s="763" t="s">
        <v>65</v>
      </c>
      <c r="J138" s="765"/>
      <c r="K138" s="4"/>
      <c r="L138" s="959"/>
      <c r="M138" s="960"/>
      <c r="N138" s="961"/>
    </row>
    <row r="139" spans="1:14" ht="6" hidden="1" customHeight="1" outlineLevel="1" x14ac:dyDescent="0.25">
      <c r="A139" s="2"/>
      <c r="B139" s="258" t="s">
        <v>23</v>
      </c>
      <c r="C139" s="2"/>
      <c r="D139" s="3"/>
      <c r="E139" s="258" t="s">
        <v>23</v>
      </c>
      <c r="F139" s="256"/>
      <c r="G139" s="3"/>
      <c r="H139" s="299" t="s">
        <v>65</v>
      </c>
      <c r="I139" s="763" t="s">
        <v>65</v>
      </c>
      <c r="J139" s="765"/>
      <c r="K139" s="4"/>
      <c r="L139" s="959"/>
      <c r="M139" s="960"/>
      <c r="N139" s="961"/>
    </row>
    <row r="140" spans="1:14" ht="6" hidden="1" customHeight="1" outlineLevel="1" x14ac:dyDescent="0.25">
      <c r="A140" s="2"/>
      <c r="B140" s="258" t="s">
        <v>23</v>
      </c>
      <c r="C140" s="2"/>
      <c r="D140" s="3"/>
      <c r="E140" s="258" t="s">
        <v>23</v>
      </c>
      <c r="F140" s="256"/>
      <c r="G140" s="3"/>
      <c r="H140" s="299" t="s">
        <v>220</v>
      </c>
      <c r="I140" s="763" t="s">
        <v>65</v>
      </c>
      <c r="J140" s="765"/>
      <c r="K140" s="4"/>
      <c r="L140" s="959"/>
      <c r="M140" s="960"/>
      <c r="N140" s="961"/>
    </row>
    <row r="141" spans="1:14" ht="6" hidden="1" customHeight="1" outlineLevel="1" x14ac:dyDescent="0.25">
      <c r="A141" s="2"/>
      <c r="B141" s="258" t="s">
        <v>23</v>
      </c>
      <c r="C141" s="2"/>
      <c r="D141" s="3"/>
      <c r="E141" s="258" t="s">
        <v>23</v>
      </c>
      <c r="F141" s="256"/>
      <c r="G141" s="3"/>
      <c r="H141" s="299" t="s">
        <v>1220</v>
      </c>
      <c r="I141" s="763" t="s">
        <v>506</v>
      </c>
      <c r="J141" s="765"/>
      <c r="K141" s="4"/>
      <c r="L141" s="959"/>
      <c r="M141" s="960"/>
      <c r="N141" s="961"/>
    </row>
    <row r="142" spans="1:14" ht="6" hidden="1" customHeight="1" outlineLevel="1" x14ac:dyDescent="0.25">
      <c r="A142" s="2"/>
      <c r="B142" s="258" t="s">
        <v>23</v>
      </c>
      <c r="C142" s="2"/>
      <c r="D142" s="3"/>
      <c r="E142" s="258" t="s">
        <v>23</v>
      </c>
      <c r="F142" s="256"/>
      <c r="G142" s="3"/>
      <c r="H142" s="299" t="s">
        <v>1220</v>
      </c>
      <c r="I142" s="763" t="s">
        <v>1220</v>
      </c>
      <c r="J142" s="765"/>
      <c r="K142" s="4"/>
      <c r="L142" s="959"/>
      <c r="M142" s="960"/>
      <c r="N142" s="961"/>
    </row>
    <row r="143" spans="1:14" ht="6" hidden="1" customHeight="1" outlineLevel="1" x14ac:dyDescent="0.25">
      <c r="A143" s="2"/>
      <c r="B143" s="258" t="s">
        <v>23</v>
      </c>
      <c r="C143" s="2"/>
      <c r="D143" s="3"/>
      <c r="E143" s="258" t="s">
        <v>23</v>
      </c>
      <c r="F143" s="256"/>
      <c r="G143" s="3"/>
      <c r="H143" s="299" t="s">
        <v>1227</v>
      </c>
      <c r="I143" s="763" t="s">
        <v>1227</v>
      </c>
      <c r="J143" s="765"/>
      <c r="K143" s="4"/>
      <c r="L143" s="959"/>
      <c r="M143" s="960"/>
      <c r="N143" s="961"/>
    </row>
    <row r="144" spans="1:14" ht="6" hidden="1" customHeight="1" outlineLevel="1" x14ac:dyDescent="0.25">
      <c r="A144" s="2"/>
      <c r="B144" s="258" t="s">
        <v>23</v>
      </c>
      <c r="C144" s="2"/>
      <c r="D144" s="3"/>
      <c r="E144" s="258" t="s">
        <v>23</v>
      </c>
      <c r="F144" s="256"/>
      <c r="G144" s="3"/>
      <c r="H144" s="299" t="s">
        <v>1221</v>
      </c>
      <c r="I144" s="763" t="s">
        <v>1221</v>
      </c>
      <c r="J144" s="765"/>
      <c r="K144" s="4"/>
      <c r="L144" s="959"/>
      <c r="M144" s="960"/>
      <c r="N144" s="961"/>
    </row>
    <row r="145" spans="1:14" ht="6" hidden="1" customHeight="1" outlineLevel="1" x14ac:dyDescent="0.25">
      <c r="A145" s="2"/>
      <c r="B145" s="258" t="s">
        <v>23</v>
      </c>
      <c r="C145" s="2"/>
      <c r="D145" s="3"/>
      <c r="E145" s="258" t="s">
        <v>23</v>
      </c>
      <c r="F145" s="256"/>
      <c r="G145" s="3"/>
      <c r="H145" s="299" t="s">
        <v>427</v>
      </c>
      <c r="I145" s="763" t="s">
        <v>26</v>
      </c>
      <c r="J145" s="765"/>
      <c r="K145" s="4"/>
      <c r="L145" s="959"/>
      <c r="M145" s="960"/>
      <c r="N145" s="961"/>
    </row>
    <row r="146" spans="1:14" ht="6" hidden="1" customHeight="1" outlineLevel="1" x14ac:dyDescent="0.25">
      <c r="A146" s="2"/>
      <c r="B146" s="258" t="s">
        <v>23</v>
      </c>
      <c r="C146" s="2"/>
      <c r="D146" s="3"/>
      <c r="E146" s="258" t="s">
        <v>23</v>
      </c>
      <c r="F146" s="256"/>
      <c r="G146" s="3"/>
      <c r="H146" s="299" t="s">
        <v>210</v>
      </c>
      <c r="I146" s="763" t="s">
        <v>26</v>
      </c>
      <c r="J146" s="765"/>
      <c r="K146" s="4"/>
      <c r="L146" s="959"/>
      <c r="M146" s="960"/>
      <c r="N146" s="961"/>
    </row>
    <row r="147" spans="1:14" ht="6" hidden="1" customHeight="1" outlineLevel="1" x14ac:dyDescent="0.25">
      <c r="A147" s="2"/>
      <c r="B147" s="258" t="s">
        <v>23</v>
      </c>
      <c r="C147" s="2"/>
      <c r="D147" s="3"/>
      <c r="E147" s="258" t="s">
        <v>23</v>
      </c>
      <c r="F147" s="256"/>
      <c r="G147" s="3"/>
      <c r="H147" s="299" t="s">
        <v>211</v>
      </c>
      <c r="I147" s="763" t="s">
        <v>26</v>
      </c>
      <c r="J147" s="765"/>
      <c r="K147" s="4"/>
      <c r="L147" s="959"/>
      <c r="M147" s="960"/>
      <c r="N147" s="961"/>
    </row>
    <row r="148" spans="1:14" ht="6" hidden="1" customHeight="1" outlineLevel="1" x14ac:dyDescent="0.25">
      <c r="A148" s="2"/>
      <c r="B148" s="258" t="s">
        <v>23</v>
      </c>
      <c r="C148" s="2"/>
      <c r="D148" s="3"/>
      <c r="E148" s="258" t="s">
        <v>23</v>
      </c>
      <c r="F148" s="256"/>
      <c r="G148" s="3"/>
      <c r="H148" s="299" t="s">
        <v>26</v>
      </c>
      <c r="I148" s="763" t="s">
        <v>26</v>
      </c>
      <c r="J148" s="765"/>
      <c r="K148" s="4"/>
      <c r="L148" s="959"/>
      <c r="M148" s="960"/>
      <c r="N148" s="961"/>
    </row>
    <row r="149" spans="1:14" ht="6" hidden="1" customHeight="1" outlineLevel="1" x14ac:dyDescent="0.25">
      <c r="A149" s="2"/>
      <c r="B149" s="258" t="s">
        <v>23</v>
      </c>
      <c r="C149" s="2"/>
      <c r="D149" s="3"/>
      <c r="E149" s="258" t="s">
        <v>23</v>
      </c>
      <c r="F149" s="256"/>
      <c r="G149" s="3"/>
      <c r="H149" s="299" t="s">
        <v>445</v>
      </c>
      <c r="I149" s="763" t="s">
        <v>498</v>
      </c>
      <c r="J149" s="765"/>
      <c r="K149" s="4"/>
      <c r="L149" s="959"/>
      <c r="M149" s="960"/>
      <c r="N149" s="961"/>
    </row>
    <row r="150" spans="1:14" ht="6" hidden="1" customHeight="1" outlineLevel="1" x14ac:dyDescent="0.25">
      <c r="A150" s="2"/>
      <c r="B150" s="258" t="s">
        <v>23</v>
      </c>
      <c r="C150" s="2"/>
      <c r="D150" s="3"/>
      <c r="E150" s="258" t="s">
        <v>23</v>
      </c>
      <c r="F150" s="256"/>
      <c r="G150" s="3"/>
      <c r="H150" s="299" t="s">
        <v>498</v>
      </c>
      <c r="I150" s="763" t="s">
        <v>498</v>
      </c>
      <c r="J150" s="765"/>
      <c r="K150" s="4"/>
      <c r="L150" s="959"/>
      <c r="M150" s="960"/>
      <c r="N150" s="961"/>
    </row>
    <row r="151" spans="1:14" ht="6" hidden="1" customHeight="1" outlineLevel="1" x14ac:dyDescent="0.25">
      <c r="A151" s="2"/>
      <c r="B151" s="258" t="s">
        <v>23</v>
      </c>
      <c r="C151" s="2"/>
      <c r="D151" s="3"/>
      <c r="E151" s="258" t="s">
        <v>23</v>
      </c>
      <c r="F151" s="256"/>
      <c r="G151" s="3"/>
      <c r="H151" s="299" t="s">
        <v>177</v>
      </c>
      <c r="I151" s="763" t="s">
        <v>498</v>
      </c>
      <c r="J151" s="765"/>
      <c r="K151" s="4"/>
      <c r="L151" s="959"/>
      <c r="M151" s="960"/>
      <c r="N151" s="961"/>
    </row>
    <row r="152" spans="1:14" ht="6" hidden="1" customHeight="1" outlineLevel="1" x14ac:dyDescent="0.25">
      <c r="A152" s="2"/>
      <c r="B152" s="258" t="s">
        <v>23</v>
      </c>
      <c r="C152" s="2"/>
      <c r="D152" s="3"/>
      <c r="E152" s="258" t="s">
        <v>23</v>
      </c>
      <c r="F152" s="256"/>
      <c r="G152" s="3"/>
      <c r="H152" s="299" t="s">
        <v>338</v>
      </c>
      <c r="I152" s="763" t="s">
        <v>498</v>
      </c>
      <c r="J152" s="765"/>
      <c r="K152" s="4"/>
      <c r="L152" s="959"/>
      <c r="M152" s="960"/>
      <c r="N152" s="961"/>
    </row>
    <row r="153" spans="1:14" ht="6" hidden="1" customHeight="1" outlineLevel="1" x14ac:dyDescent="0.25">
      <c r="A153" s="2"/>
      <c r="B153" s="258" t="s">
        <v>23</v>
      </c>
      <c r="C153" s="2"/>
      <c r="D153" s="3"/>
      <c r="E153" s="258" t="s">
        <v>23</v>
      </c>
      <c r="F153" s="256"/>
      <c r="G153" s="3"/>
      <c r="H153" s="299" t="s">
        <v>276</v>
      </c>
      <c r="I153" s="763" t="s">
        <v>498</v>
      </c>
      <c r="J153" s="765"/>
      <c r="K153" s="4"/>
      <c r="L153" s="959"/>
      <c r="M153" s="960"/>
      <c r="N153" s="961"/>
    </row>
    <row r="154" spans="1:14" ht="6" hidden="1" customHeight="1" outlineLevel="1" x14ac:dyDescent="0.25">
      <c r="A154" s="2"/>
      <c r="B154" s="258" t="s">
        <v>23</v>
      </c>
      <c r="C154" s="2"/>
      <c r="D154" s="3"/>
      <c r="E154" s="258" t="s">
        <v>23</v>
      </c>
      <c r="F154" s="256"/>
      <c r="G154" s="3"/>
      <c r="H154" s="299" t="s">
        <v>281</v>
      </c>
      <c r="I154" s="763" t="s">
        <v>446</v>
      </c>
      <c r="J154" s="765"/>
      <c r="K154" s="4"/>
      <c r="L154" s="959"/>
      <c r="M154" s="960"/>
      <c r="N154" s="961"/>
    </row>
    <row r="155" spans="1:14" ht="6" hidden="1" customHeight="1" outlineLevel="1" x14ac:dyDescent="0.25">
      <c r="A155" s="2"/>
      <c r="B155" s="258" t="s">
        <v>23</v>
      </c>
      <c r="C155" s="2"/>
      <c r="D155" s="3"/>
      <c r="E155" s="258" t="s">
        <v>23</v>
      </c>
      <c r="F155" s="256"/>
      <c r="G155" s="3"/>
      <c r="H155" s="299" t="s">
        <v>446</v>
      </c>
      <c r="I155" s="763" t="s">
        <v>446</v>
      </c>
      <c r="J155" s="765"/>
      <c r="K155" s="4"/>
      <c r="L155" s="959"/>
      <c r="M155" s="960"/>
      <c r="N155" s="961"/>
    </row>
    <row r="156" spans="1:14" ht="6" hidden="1" customHeight="1" outlineLevel="1" x14ac:dyDescent="0.25">
      <c r="A156" s="2"/>
      <c r="B156" s="258" t="s">
        <v>23</v>
      </c>
      <c r="C156" s="2"/>
      <c r="D156" s="3"/>
      <c r="E156" s="258" t="s">
        <v>23</v>
      </c>
      <c r="F156" s="256"/>
      <c r="G156" s="3"/>
      <c r="H156" s="299" t="s">
        <v>421</v>
      </c>
      <c r="I156" s="763" t="s">
        <v>421</v>
      </c>
      <c r="J156" s="765"/>
      <c r="K156" s="4"/>
      <c r="L156" s="959"/>
      <c r="M156" s="960"/>
      <c r="N156" s="961"/>
    </row>
    <row r="157" spans="1:14" ht="6" hidden="1" customHeight="1" outlineLevel="1" x14ac:dyDescent="0.25">
      <c r="A157" s="2"/>
      <c r="B157" s="258" t="s">
        <v>23</v>
      </c>
      <c r="C157" s="2"/>
      <c r="D157" s="3"/>
      <c r="E157" s="258" t="s">
        <v>23</v>
      </c>
      <c r="F157" s="256"/>
      <c r="G157" s="3"/>
      <c r="H157" s="299" t="s">
        <v>463</v>
      </c>
      <c r="I157" s="763" t="s">
        <v>421</v>
      </c>
      <c r="J157" s="765"/>
      <c r="K157" s="4"/>
      <c r="L157" s="959"/>
      <c r="M157" s="960"/>
      <c r="N157" s="961"/>
    </row>
    <row r="158" spans="1:14" ht="6" hidden="1" customHeight="1" outlineLevel="1" x14ac:dyDescent="0.25">
      <c r="A158" s="2"/>
      <c r="B158" s="258" t="s">
        <v>23</v>
      </c>
      <c r="C158" s="2"/>
      <c r="D158" s="3"/>
      <c r="E158" s="258" t="s">
        <v>23</v>
      </c>
      <c r="F158" s="256"/>
      <c r="G158" s="3"/>
      <c r="H158" s="299" t="s">
        <v>429</v>
      </c>
      <c r="I158" s="763" t="s">
        <v>494</v>
      </c>
      <c r="J158" s="765"/>
      <c r="K158" s="4"/>
      <c r="L158" s="959"/>
      <c r="M158" s="960"/>
      <c r="N158" s="961"/>
    </row>
    <row r="159" spans="1:14" ht="6" hidden="1" customHeight="1" outlineLevel="1" x14ac:dyDescent="0.25">
      <c r="A159" s="2"/>
      <c r="B159" s="258" t="s">
        <v>23</v>
      </c>
      <c r="C159" s="2"/>
      <c r="D159" s="3"/>
      <c r="E159" s="258" t="s">
        <v>23</v>
      </c>
      <c r="F159" s="256"/>
      <c r="G159" s="3"/>
      <c r="H159" s="299" t="s">
        <v>278</v>
      </c>
      <c r="I159" s="763" t="s">
        <v>328</v>
      </c>
      <c r="J159" s="765"/>
      <c r="K159" s="4"/>
      <c r="L159" s="959"/>
      <c r="M159" s="960"/>
      <c r="N159" s="961"/>
    </row>
    <row r="160" spans="1:14" ht="6" hidden="1" customHeight="1" outlineLevel="1" x14ac:dyDescent="0.25">
      <c r="A160" s="2"/>
      <c r="B160" s="258" t="s">
        <v>23</v>
      </c>
      <c r="C160" s="2"/>
      <c r="D160" s="3"/>
      <c r="E160" s="258" t="s">
        <v>23</v>
      </c>
      <c r="F160" s="256"/>
      <c r="G160" s="3"/>
      <c r="H160" s="299" t="s">
        <v>447</v>
      </c>
      <c r="I160" s="763" t="s">
        <v>328</v>
      </c>
      <c r="J160" s="765"/>
      <c r="K160" s="4"/>
      <c r="L160" s="959"/>
      <c r="M160" s="960"/>
      <c r="N160" s="961"/>
    </row>
    <row r="161" spans="1:14" ht="6" hidden="1" customHeight="1" outlineLevel="1" x14ac:dyDescent="0.25">
      <c r="A161" s="2"/>
      <c r="B161" s="258" t="s">
        <v>23</v>
      </c>
      <c r="C161" s="2"/>
      <c r="D161" s="3"/>
      <c r="E161" s="258" t="s">
        <v>23</v>
      </c>
      <c r="F161" s="256"/>
      <c r="G161" s="3"/>
      <c r="H161" s="299" t="s">
        <v>328</v>
      </c>
      <c r="I161" s="763" t="s">
        <v>328</v>
      </c>
      <c r="J161" s="765"/>
      <c r="K161" s="4"/>
      <c r="L161" s="959"/>
      <c r="M161" s="960"/>
      <c r="N161" s="961"/>
    </row>
    <row r="162" spans="1:14" ht="6" hidden="1" customHeight="1" outlineLevel="1" x14ac:dyDescent="0.25">
      <c r="A162" s="2"/>
      <c r="B162" s="258" t="s">
        <v>23</v>
      </c>
      <c r="C162" s="2"/>
      <c r="D162" s="3"/>
      <c r="E162" s="258" t="s">
        <v>23</v>
      </c>
      <c r="F162" s="256"/>
      <c r="G162" s="3"/>
      <c r="H162" s="299" t="s">
        <v>484</v>
      </c>
      <c r="I162" s="763" t="s">
        <v>484</v>
      </c>
      <c r="J162" s="765"/>
      <c r="K162" s="4"/>
      <c r="L162" s="959"/>
      <c r="M162" s="960"/>
      <c r="N162" s="961"/>
    </row>
    <row r="163" spans="1:14" ht="6" hidden="1" customHeight="1" outlineLevel="1" x14ac:dyDescent="0.25">
      <c r="A163" s="2"/>
      <c r="B163" s="258" t="s">
        <v>23</v>
      </c>
      <c r="C163" s="2"/>
      <c r="D163" s="3"/>
      <c r="E163" s="258" t="s">
        <v>23</v>
      </c>
      <c r="F163" s="256"/>
      <c r="G163" s="3"/>
      <c r="H163" s="299" t="s">
        <v>484</v>
      </c>
      <c r="I163" s="763" t="s">
        <v>484</v>
      </c>
      <c r="J163" s="765"/>
      <c r="K163" s="4"/>
      <c r="L163" s="959"/>
      <c r="M163" s="960"/>
      <c r="N163" s="961"/>
    </row>
    <row r="164" spans="1:14" ht="6" hidden="1" customHeight="1" outlineLevel="1" x14ac:dyDescent="0.25">
      <c r="A164" s="2"/>
      <c r="B164" s="258" t="s">
        <v>23</v>
      </c>
      <c r="C164" s="2"/>
      <c r="D164" s="3"/>
      <c r="E164" s="258" t="s">
        <v>23</v>
      </c>
      <c r="F164" s="256"/>
      <c r="G164" s="3"/>
      <c r="H164" s="299" t="s">
        <v>309</v>
      </c>
      <c r="I164" s="763" t="s">
        <v>484</v>
      </c>
      <c r="J164" s="765"/>
      <c r="K164" s="4"/>
      <c r="L164" s="959"/>
      <c r="M164" s="960"/>
      <c r="N164" s="961"/>
    </row>
    <row r="165" spans="1:14" ht="6" hidden="1" customHeight="1" outlineLevel="1" x14ac:dyDescent="0.25">
      <c r="A165" s="2"/>
      <c r="B165" s="258" t="s">
        <v>23</v>
      </c>
      <c r="C165" s="2"/>
      <c r="D165" s="3"/>
      <c r="E165" s="258" t="s">
        <v>23</v>
      </c>
      <c r="F165" s="256"/>
      <c r="G165" s="3"/>
      <c r="H165" s="299" t="s">
        <v>208</v>
      </c>
      <c r="I165" s="763" t="s">
        <v>31</v>
      </c>
      <c r="J165" s="765"/>
      <c r="K165" s="4"/>
      <c r="L165" s="959"/>
      <c r="M165" s="960"/>
      <c r="N165" s="961"/>
    </row>
    <row r="166" spans="1:14" ht="6" hidden="1" customHeight="1" outlineLevel="1" x14ac:dyDescent="0.25">
      <c r="A166" s="2"/>
      <c r="B166" s="258" t="s">
        <v>23</v>
      </c>
      <c r="C166" s="2"/>
      <c r="D166" s="3"/>
      <c r="E166" s="258" t="s">
        <v>23</v>
      </c>
      <c r="F166" s="256"/>
      <c r="G166" s="3"/>
      <c r="H166" s="299" t="s">
        <v>31</v>
      </c>
      <c r="I166" s="763" t="s">
        <v>31</v>
      </c>
      <c r="J166" s="765"/>
      <c r="K166" s="4"/>
      <c r="L166" s="959"/>
      <c r="M166" s="960"/>
      <c r="N166" s="961"/>
    </row>
    <row r="167" spans="1:14" ht="6" hidden="1" customHeight="1" outlineLevel="1" x14ac:dyDescent="0.25">
      <c r="A167" s="2"/>
      <c r="B167" s="258" t="s">
        <v>23</v>
      </c>
      <c r="C167" s="2"/>
      <c r="D167" s="3"/>
      <c r="E167" s="258" t="s">
        <v>23</v>
      </c>
      <c r="F167" s="256"/>
      <c r="G167" s="3"/>
      <c r="H167" s="299" t="s">
        <v>63</v>
      </c>
      <c r="I167" s="763" t="s">
        <v>507</v>
      </c>
      <c r="J167" s="765"/>
      <c r="K167" s="4"/>
      <c r="L167" s="959"/>
      <c r="M167" s="960"/>
      <c r="N167" s="961"/>
    </row>
    <row r="168" spans="1:14" ht="6" hidden="1" customHeight="1" outlineLevel="1" x14ac:dyDescent="0.25">
      <c r="A168" s="2"/>
      <c r="B168" s="258" t="s">
        <v>23</v>
      </c>
      <c r="C168" s="2"/>
      <c r="D168" s="3"/>
      <c r="E168" s="258" t="s">
        <v>23</v>
      </c>
      <c r="F168" s="256"/>
      <c r="G168" s="3"/>
      <c r="H168" s="299" t="s">
        <v>507</v>
      </c>
      <c r="I168" s="763" t="s">
        <v>507</v>
      </c>
      <c r="J168" s="765"/>
      <c r="K168" s="4"/>
      <c r="L168" s="959"/>
      <c r="M168" s="960"/>
      <c r="N168" s="961"/>
    </row>
    <row r="169" spans="1:14" ht="6" hidden="1" customHeight="1" outlineLevel="1" x14ac:dyDescent="0.25">
      <c r="A169" s="2"/>
      <c r="B169" s="258" t="s">
        <v>23</v>
      </c>
      <c r="C169" s="2"/>
      <c r="D169" s="3"/>
      <c r="E169" s="258" t="s">
        <v>23</v>
      </c>
      <c r="F169" s="256"/>
      <c r="G169" s="3"/>
      <c r="H169" s="299" t="s">
        <v>458</v>
      </c>
      <c r="I169" s="763" t="s">
        <v>507</v>
      </c>
      <c r="J169" s="765"/>
      <c r="K169" s="4"/>
      <c r="L169" s="959"/>
      <c r="M169" s="960"/>
      <c r="N169" s="961"/>
    </row>
    <row r="170" spans="1:14" ht="6" hidden="1" customHeight="1" outlineLevel="1" x14ac:dyDescent="0.25">
      <c r="A170" s="2"/>
      <c r="B170" s="258" t="s">
        <v>23</v>
      </c>
      <c r="C170" s="2"/>
      <c r="D170" s="3"/>
      <c r="E170" s="258" t="s">
        <v>23</v>
      </c>
      <c r="F170" s="256"/>
      <c r="G170" s="3"/>
      <c r="H170" s="299" t="s">
        <v>224</v>
      </c>
      <c r="I170" s="763" t="s">
        <v>507</v>
      </c>
      <c r="J170" s="765"/>
      <c r="K170" s="4"/>
      <c r="L170" s="959"/>
      <c r="M170" s="960"/>
      <c r="N170" s="961"/>
    </row>
    <row r="171" spans="1:14" ht="6" hidden="1" customHeight="1" outlineLevel="1" x14ac:dyDescent="0.25">
      <c r="A171" s="2"/>
      <c r="B171" s="258" t="s">
        <v>23</v>
      </c>
      <c r="C171" s="2"/>
      <c r="D171" s="3"/>
      <c r="E171" s="258" t="s">
        <v>23</v>
      </c>
      <c r="F171" s="256"/>
      <c r="G171" s="3"/>
      <c r="H171" s="299" t="s">
        <v>204</v>
      </c>
      <c r="I171" s="763" t="s">
        <v>85</v>
      </c>
      <c r="J171" s="765"/>
      <c r="K171" s="4"/>
      <c r="L171" s="959"/>
      <c r="M171" s="960"/>
      <c r="N171" s="961"/>
    </row>
    <row r="172" spans="1:14" ht="6" hidden="1" customHeight="1" outlineLevel="1" x14ac:dyDescent="0.25">
      <c r="A172" s="2"/>
      <c r="B172" s="258" t="s">
        <v>23</v>
      </c>
      <c r="C172" s="2"/>
      <c r="D172" s="3"/>
      <c r="E172" s="258" t="s">
        <v>23</v>
      </c>
      <c r="F172" s="256"/>
      <c r="G172" s="3"/>
      <c r="H172" s="299" t="s">
        <v>85</v>
      </c>
      <c r="I172" s="763" t="s">
        <v>85</v>
      </c>
      <c r="J172" s="765"/>
      <c r="K172" s="4"/>
      <c r="L172" s="959"/>
      <c r="M172" s="960"/>
      <c r="N172" s="961"/>
    </row>
    <row r="173" spans="1:14" ht="6" hidden="1" customHeight="1" outlineLevel="1" x14ac:dyDescent="0.25">
      <c r="A173" s="2"/>
      <c r="B173" s="258" t="s">
        <v>23</v>
      </c>
      <c r="C173" s="2"/>
      <c r="D173" s="3"/>
      <c r="E173" s="258" t="s">
        <v>23</v>
      </c>
      <c r="F173" s="256"/>
      <c r="G173" s="3"/>
      <c r="H173" s="299" t="s">
        <v>319</v>
      </c>
      <c r="I173" s="763" t="s">
        <v>85</v>
      </c>
      <c r="J173" s="765"/>
      <c r="K173" s="4"/>
      <c r="L173" s="959"/>
      <c r="M173" s="960"/>
      <c r="N173" s="961"/>
    </row>
    <row r="174" spans="1:14" ht="6" hidden="1" customHeight="1" outlineLevel="1" x14ac:dyDescent="0.25">
      <c r="A174" s="2"/>
      <c r="B174" s="258" t="s">
        <v>23</v>
      </c>
      <c r="C174" s="2"/>
      <c r="D174" s="3"/>
      <c r="E174" s="258" t="s">
        <v>23</v>
      </c>
      <c r="F174" s="256"/>
      <c r="G174" s="3"/>
      <c r="H174" s="299" t="s">
        <v>86</v>
      </c>
      <c r="I174" s="763" t="s">
        <v>86</v>
      </c>
      <c r="J174" s="765"/>
      <c r="K174" s="4"/>
      <c r="L174" s="959"/>
      <c r="M174" s="960"/>
      <c r="N174" s="961"/>
    </row>
    <row r="175" spans="1:14" ht="6" hidden="1" customHeight="1" outlineLevel="1" x14ac:dyDescent="0.25">
      <c r="A175" s="2"/>
      <c r="B175" s="258" t="s">
        <v>23</v>
      </c>
      <c r="C175" s="2"/>
      <c r="D175" s="3"/>
      <c r="E175" s="258" t="s">
        <v>23</v>
      </c>
      <c r="F175" s="256"/>
      <c r="G175" s="3"/>
      <c r="H175" s="299" t="s">
        <v>1232</v>
      </c>
      <c r="I175" s="763" t="s">
        <v>508</v>
      </c>
      <c r="J175" s="765"/>
      <c r="K175" s="4"/>
      <c r="L175" s="959"/>
      <c r="M175" s="960"/>
      <c r="N175" s="961"/>
    </row>
    <row r="176" spans="1:14" ht="6" hidden="1" customHeight="1" outlineLevel="1" x14ac:dyDescent="0.25">
      <c r="A176" s="2"/>
      <c r="B176" s="258" t="s">
        <v>23</v>
      </c>
      <c r="C176" s="2"/>
      <c r="D176" s="3"/>
      <c r="E176" s="258" t="s">
        <v>23</v>
      </c>
      <c r="F176" s="256"/>
      <c r="G176" s="3"/>
      <c r="H176" s="299" t="s">
        <v>1222</v>
      </c>
      <c r="I176" s="763" t="s">
        <v>1222</v>
      </c>
      <c r="J176" s="765"/>
      <c r="K176" s="4"/>
      <c r="L176" s="959"/>
      <c r="M176" s="960"/>
      <c r="N176" s="961"/>
    </row>
    <row r="177" spans="1:14" ht="6" hidden="1" customHeight="1" outlineLevel="1" x14ac:dyDescent="0.25">
      <c r="A177" s="2"/>
      <c r="B177" s="258" t="s">
        <v>23</v>
      </c>
      <c r="C177" s="2"/>
      <c r="D177" s="3"/>
      <c r="E177" s="258" t="s">
        <v>23</v>
      </c>
      <c r="F177" s="256"/>
      <c r="G177" s="3"/>
      <c r="H177" s="299" t="s">
        <v>499</v>
      </c>
      <c r="I177" s="763" t="s">
        <v>499</v>
      </c>
      <c r="J177" s="765"/>
      <c r="K177" s="4"/>
      <c r="L177" s="959"/>
      <c r="M177" s="960"/>
      <c r="N177" s="961"/>
    </row>
    <row r="178" spans="1:14" ht="6" hidden="1" customHeight="1" outlineLevel="1" x14ac:dyDescent="0.25">
      <c r="A178" s="2"/>
      <c r="B178" s="258" t="s">
        <v>23</v>
      </c>
      <c r="C178" s="2"/>
      <c r="D178" s="3"/>
      <c r="E178" s="258" t="s">
        <v>23</v>
      </c>
      <c r="F178" s="256"/>
      <c r="G178" s="3"/>
      <c r="H178" s="299" t="s">
        <v>47</v>
      </c>
      <c r="I178" s="763" t="s">
        <v>499</v>
      </c>
      <c r="J178" s="765"/>
      <c r="K178" s="4"/>
      <c r="L178" s="959"/>
      <c r="M178" s="960"/>
      <c r="N178" s="961"/>
    </row>
    <row r="179" spans="1:14" ht="6" hidden="1" customHeight="1" outlineLevel="1" x14ac:dyDescent="0.25">
      <c r="A179" s="2"/>
      <c r="B179" s="258" t="s">
        <v>23</v>
      </c>
      <c r="C179" s="2"/>
      <c r="D179" s="3"/>
      <c r="E179" s="258" t="s">
        <v>23</v>
      </c>
      <c r="F179" s="256"/>
      <c r="G179" s="3"/>
      <c r="H179" s="299" t="s">
        <v>339</v>
      </c>
      <c r="I179" s="763" t="s">
        <v>499</v>
      </c>
      <c r="J179" s="765"/>
      <c r="K179" s="4"/>
      <c r="L179" s="959"/>
      <c r="M179" s="960"/>
      <c r="N179" s="961"/>
    </row>
    <row r="180" spans="1:14" ht="6" hidden="1" customHeight="1" outlineLevel="1" x14ac:dyDescent="0.25">
      <c r="A180" s="2"/>
      <c r="B180" s="258" t="s">
        <v>23</v>
      </c>
      <c r="C180" s="2"/>
      <c r="D180" s="3"/>
      <c r="E180" s="258" t="s">
        <v>23</v>
      </c>
      <c r="F180" s="256"/>
      <c r="G180" s="3"/>
      <c r="H180" s="299" t="s">
        <v>449</v>
      </c>
      <c r="I180" s="763" t="s">
        <v>499</v>
      </c>
      <c r="J180" s="765"/>
      <c r="K180" s="4"/>
      <c r="L180" s="959"/>
      <c r="M180" s="960"/>
      <c r="N180" s="961"/>
    </row>
    <row r="181" spans="1:14" ht="6" hidden="1" customHeight="1" outlineLevel="1" x14ac:dyDescent="0.25">
      <c r="A181" s="2"/>
      <c r="B181" s="258" t="s">
        <v>23</v>
      </c>
      <c r="C181" s="2"/>
      <c r="D181" s="3"/>
      <c r="E181" s="258" t="s">
        <v>23</v>
      </c>
      <c r="F181" s="256"/>
      <c r="G181" s="3"/>
      <c r="H181" s="299" t="s">
        <v>277</v>
      </c>
      <c r="I181" s="763" t="s">
        <v>499</v>
      </c>
      <c r="J181" s="765"/>
      <c r="K181" s="4"/>
      <c r="L181" s="959"/>
      <c r="M181" s="960"/>
      <c r="N181" s="961"/>
    </row>
    <row r="182" spans="1:14" ht="6" hidden="1" customHeight="1" outlineLevel="1" x14ac:dyDescent="0.25">
      <c r="A182" s="2"/>
      <c r="B182" s="258" t="s">
        <v>23</v>
      </c>
      <c r="C182" s="2"/>
      <c r="D182" s="3"/>
      <c r="E182" s="258" t="s">
        <v>23</v>
      </c>
      <c r="F182" s="256"/>
      <c r="G182" s="3"/>
      <c r="H182" s="299" t="s">
        <v>282</v>
      </c>
      <c r="I182" s="763" t="s">
        <v>448</v>
      </c>
      <c r="J182" s="765"/>
      <c r="K182" s="4"/>
      <c r="L182" s="959"/>
      <c r="M182" s="960"/>
      <c r="N182" s="961"/>
    </row>
    <row r="183" spans="1:14" ht="6" hidden="1" customHeight="1" outlineLevel="1" x14ac:dyDescent="0.25">
      <c r="A183" s="2"/>
      <c r="B183" s="258" t="s">
        <v>23</v>
      </c>
      <c r="C183" s="2"/>
      <c r="D183" s="3"/>
      <c r="E183" s="258" t="s">
        <v>23</v>
      </c>
      <c r="F183" s="256"/>
      <c r="G183" s="3"/>
      <c r="H183" s="299" t="s">
        <v>448</v>
      </c>
      <c r="I183" s="763" t="s">
        <v>448</v>
      </c>
      <c r="J183" s="765"/>
      <c r="K183" s="4"/>
      <c r="L183" s="959"/>
      <c r="M183" s="960"/>
      <c r="N183" s="961"/>
    </row>
    <row r="184" spans="1:14" ht="6" hidden="1" customHeight="1" outlineLevel="1" x14ac:dyDescent="0.25">
      <c r="A184" s="2"/>
      <c r="B184" s="258" t="s">
        <v>23</v>
      </c>
      <c r="C184" s="2"/>
      <c r="D184" s="3"/>
      <c r="E184" s="258" t="s">
        <v>23</v>
      </c>
      <c r="F184" s="256"/>
      <c r="G184" s="3"/>
      <c r="H184" s="299" t="s">
        <v>203</v>
      </c>
      <c r="I184" s="763" t="s">
        <v>161</v>
      </c>
      <c r="J184" s="765"/>
      <c r="K184" s="4"/>
      <c r="L184" s="959"/>
      <c r="M184" s="960"/>
      <c r="N184" s="961"/>
    </row>
    <row r="185" spans="1:14" ht="6" hidden="1" customHeight="1" outlineLevel="1" x14ac:dyDescent="0.25">
      <c r="A185" s="2"/>
      <c r="B185" s="258" t="s">
        <v>23</v>
      </c>
      <c r="C185" s="2"/>
      <c r="D185" s="3"/>
      <c r="E185" s="258" t="s">
        <v>23</v>
      </c>
      <c r="F185" s="256"/>
      <c r="G185" s="3"/>
      <c r="H185" s="299" t="s">
        <v>161</v>
      </c>
      <c r="I185" s="763" t="s">
        <v>161</v>
      </c>
      <c r="J185" s="765"/>
      <c r="K185" s="4"/>
      <c r="L185" s="959"/>
      <c r="M185" s="960"/>
      <c r="N185" s="961"/>
    </row>
    <row r="186" spans="1:14" ht="6" hidden="1" customHeight="1" outlineLevel="1" x14ac:dyDescent="0.25">
      <c r="A186" s="2"/>
      <c r="B186" s="258" t="s">
        <v>23</v>
      </c>
      <c r="C186" s="2"/>
      <c r="D186" s="3"/>
      <c r="E186" s="258" t="s">
        <v>23</v>
      </c>
      <c r="F186" s="256"/>
      <c r="G186" s="3"/>
      <c r="H186" s="299" t="s">
        <v>87</v>
      </c>
      <c r="I186" s="763" t="s">
        <v>161</v>
      </c>
      <c r="J186" s="765"/>
      <c r="K186" s="4"/>
      <c r="L186" s="959"/>
      <c r="M186" s="960"/>
      <c r="N186" s="961"/>
    </row>
    <row r="187" spans="1:14" ht="6" hidden="1" customHeight="1" outlineLevel="1" x14ac:dyDescent="0.25">
      <c r="A187" s="2"/>
      <c r="B187" s="258" t="s">
        <v>23</v>
      </c>
      <c r="C187" s="2"/>
      <c r="D187" s="3"/>
      <c r="E187" s="258" t="s">
        <v>23</v>
      </c>
      <c r="F187" s="256"/>
      <c r="G187" s="3"/>
      <c r="H187" s="299" t="s">
        <v>1247</v>
      </c>
      <c r="I187" s="763" t="s">
        <v>1247</v>
      </c>
      <c r="J187" s="765"/>
      <c r="K187" s="4"/>
      <c r="L187" s="959"/>
      <c r="M187" s="960"/>
      <c r="N187" s="961"/>
    </row>
    <row r="188" spans="1:14" ht="6" hidden="1" customHeight="1" outlineLevel="1" x14ac:dyDescent="0.25">
      <c r="A188" s="2"/>
      <c r="B188" s="258" t="s">
        <v>23</v>
      </c>
      <c r="C188" s="2"/>
      <c r="D188" s="3"/>
      <c r="E188" s="258" t="s">
        <v>23</v>
      </c>
      <c r="F188" s="256"/>
      <c r="G188" s="3"/>
      <c r="H188" s="299" t="s">
        <v>430</v>
      </c>
      <c r="I188" s="763" t="s">
        <v>33</v>
      </c>
      <c r="J188" s="765"/>
      <c r="K188" s="4"/>
      <c r="L188" s="959"/>
      <c r="M188" s="960"/>
      <c r="N188" s="961"/>
    </row>
    <row r="189" spans="1:14" ht="6" hidden="1" customHeight="1" outlineLevel="1" x14ac:dyDescent="0.25">
      <c r="A189" s="2"/>
      <c r="B189" s="258" t="s">
        <v>23</v>
      </c>
      <c r="C189" s="2"/>
      <c r="D189" s="3"/>
      <c r="E189" s="258" t="s">
        <v>23</v>
      </c>
      <c r="F189" s="256"/>
      <c r="G189" s="3"/>
      <c r="H189" s="299" t="s">
        <v>214</v>
      </c>
      <c r="I189" s="763" t="s">
        <v>33</v>
      </c>
      <c r="J189" s="765"/>
      <c r="K189" s="4"/>
      <c r="L189" s="959"/>
      <c r="M189" s="960"/>
      <c r="N189" s="961"/>
    </row>
    <row r="190" spans="1:14" ht="6" hidden="1" customHeight="1" outlineLevel="1" x14ac:dyDescent="0.25">
      <c r="A190" s="2"/>
      <c r="B190" s="258" t="s">
        <v>23</v>
      </c>
      <c r="C190" s="2"/>
      <c r="D190" s="3"/>
      <c r="E190" s="258" t="s">
        <v>23</v>
      </c>
      <c r="F190" s="256"/>
      <c r="G190" s="3"/>
      <c r="H190" s="299" t="s">
        <v>213</v>
      </c>
      <c r="I190" s="763" t="s">
        <v>33</v>
      </c>
      <c r="J190" s="765"/>
      <c r="K190" s="4"/>
      <c r="L190" s="959"/>
      <c r="M190" s="960"/>
      <c r="N190" s="961"/>
    </row>
    <row r="191" spans="1:14" ht="6" hidden="1" customHeight="1" outlineLevel="1" x14ac:dyDescent="0.25">
      <c r="A191" s="2"/>
      <c r="B191" s="258" t="s">
        <v>23</v>
      </c>
      <c r="C191" s="2"/>
      <c r="D191" s="3"/>
      <c r="E191" s="258" t="s">
        <v>23</v>
      </c>
      <c r="F191" s="256"/>
      <c r="G191" s="3"/>
      <c r="H191" s="299" t="s">
        <v>33</v>
      </c>
      <c r="I191" s="763" t="s">
        <v>33</v>
      </c>
      <c r="J191" s="765"/>
      <c r="K191" s="4"/>
      <c r="L191" s="959"/>
      <c r="M191" s="960"/>
      <c r="N191" s="961"/>
    </row>
    <row r="192" spans="1:14" ht="6" hidden="1" customHeight="1" outlineLevel="1" x14ac:dyDescent="0.25">
      <c r="A192" s="2"/>
      <c r="B192" s="258" t="s">
        <v>23</v>
      </c>
      <c r="C192" s="2"/>
      <c r="D192" s="3"/>
      <c r="E192" s="258" t="s">
        <v>23</v>
      </c>
      <c r="F192" s="256"/>
      <c r="G192" s="3"/>
      <c r="H192" s="299" t="s">
        <v>325</v>
      </c>
      <c r="I192" s="763" t="s">
        <v>325</v>
      </c>
      <c r="J192" s="765"/>
      <c r="K192" s="4"/>
      <c r="L192" s="959"/>
      <c r="M192" s="960"/>
      <c r="N192" s="961"/>
    </row>
    <row r="193" spans="1:14" ht="6" hidden="1" customHeight="1" outlineLevel="1" x14ac:dyDescent="0.25">
      <c r="A193" s="2"/>
      <c r="B193" s="258" t="s">
        <v>23</v>
      </c>
      <c r="C193" s="2"/>
      <c r="D193" s="3"/>
      <c r="E193" s="258" t="s">
        <v>23</v>
      </c>
      <c r="F193" s="256"/>
      <c r="G193" s="3"/>
      <c r="H193" s="299" t="s">
        <v>428</v>
      </c>
      <c r="I193" s="763" t="s">
        <v>27</v>
      </c>
      <c r="J193" s="765"/>
      <c r="K193" s="4"/>
      <c r="L193" s="959"/>
      <c r="M193" s="960"/>
      <c r="N193" s="961"/>
    </row>
    <row r="194" spans="1:14" ht="6" hidden="1" customHeight="1" outlineLevel="1" x14ac:dyDescent="0.25">
      <c r="A194" s="2"/>
      <c r="B194" s="258" t="s">
        <v>23</v>
      </c>
      <c r="C194" s="2"/>
      <c r="D194" s="3"/>
      <c r="E194" s="258" t="s">
        <v>23</v>
      </c>
      <c r="F194" s="256"/>
      <c r="G194" s="3"/>
      <c r="H194" s="299" t="s">
        <v>431</v>
      </c>
      <c r="I194" s="763" t="s">
        <v>27</v>
      </c>
      <c r="J194" s="765"/>
      <c r="K194" s="4"/>
      <c r="L194" s="959"/>
      <c r="M194" s="960"/>
      <c r="N194" s="961"/>
    </row>
    <row r="195" spans="1:14" ht="6" hidden="1" customHeight="1" outlineLevel="1" x14ac:dyDescent="0.25">
      <c r="A195" s="2"/>
      <c r="B195" s="258" t="s">
        <v>23</v>
      </c>
      <c r="C195" s="2"/>
      <c r="D195" s="3"/>
      <c r="E195" s="258" t="s">
        <v>23</v>
      </c>
      <c r="F195" s="256"/>
      <c r="G195" s="3"/>
      <c r="H195" s="299" t="s">
        <v>209</v>
      </c>
      <c r="I195" s="763" t="s">
        <v>27</v>
      </c>
      <c r="J195" s="765"/>
      <c r="K195" s="4"/>
      <c r="L195" s="959"/>
      <c r="M195" s="960"/>
      <c r="N195" s="961"/>
    </row>
    <row r="196" spans="1:14" ht="6" hidden="1" customHeight="1" outlineLevel="1" x14ac:dyDescent="0.25">
      <c r="A196" s="2"/>
      <c r="B196" s="258" t="s">
        <v>23</v>
      </c>
      <c r="C196" s="2"/>
      <c r="D196" s="3"/>
      <c r="E196" s="258" t="s">
        <v>23</v>
      </c>
      <c r="F196" s="256"/>
      <c r="G196" s="3"/>
      <c r="H196" s="299" t="s">
        <v>432</v>
      </c>
      <c r="I196" s="763" t="s">
        <v>27</v>
      </c>
      <c r="J196" s="765"/>
      <c r="K196" s="4"/>
      <c r="L196" s="959"/>
      <c r="M196" s="960"/>
      <c r="N196" s="961"/>
    </row>
    <row r="197" spans="1:14" ht="6" hidden="1" customHeight="1" outlineLevel="1" x14ac:dyDescent="0.25">
      <c r="A197" s="2"/>
      <c r="B197" s="258" t="s">
        <v>23</v>
      </c>
      <c r="C197" s="2"/>
      <c r="D197" s="3"/>
      <c r="E197" s="258" t="s">
        <v>23</v>
      </c>
      <c r="F197" s="256"/>
      <c r="G197" s="3"/>
      <c r="H197" s="299" t="s">
        <v>27</v>
      </c>
      <c r="I197" s="763" t="s">
        <v>27</v>
      </c>
      <c r="J197" s="765"/>
      <c r="K197" s="4"/>
      <c r="L197" s="959"/>
      <c r="M197" s="960"/>
      <c r="N197" s="961"/>
    </row>
    <row r="198" spans="1:14" ht="6" hidden="1" customHeight="1" outlineLevel="1" x14ac:dyDescent="0.25">
      <c r="A198" s="2"/>
      <c r="B198" s="258" t="s">
        <v>23</v>
      </c>
      <c r="C198" s="2"/>
      <c r="D198" s="3"/>
      <c r="E198" s="258" t="s">
        <v>23</v>
      </c>
      <c r="F198" s="256"/>
      <c r="G198" s="3"/>
      <c r="H198" s="299" t="s">
        <v>413</v>
      </c>
      <c r="I198" s="763" t="s">
        <v>413</v>
      </c>
      <c r="J198" s="765"/>
      <c r="K198" s="4"/>
      <c r="L198" s="959"/>
      <c r="M198" s="960"/>
      <c r="N198" s="961"/>
    </row>
    <row r="199" spans="1:14" ht="6" hidden="1" customHeight="1" outlineLevel="1" x14ac:dyDescent="0.25">
      <c r="A199" s="2"/>
      <c r="B199" s="258" t="s">
        <v>23</v>
      </c>
      <c r="C199" s="2"/>
      <c r="D199" s="3"/>
      <c r="E199" s="258" t="s">
        <v>23</v>
      </c>
      <c r="F199" s="256"/>
      <c r="G199" s="3"/>
      <c r="H199" s="299" t="s">
        <v>419</v>
      </c>
      <c r="I199" s="763" t="s">
        <v>419</v>
      </c>
      <c r="J199" s="765"/>
      <c r="K199" s="4"/>
      <c r="L199" s="959"/>
      <c r="M199" s="960"/>
      <c r="N199" s="961"/>
    </row>
    <row r="200" spans="1:14" ht="6" hidden="1" customHeight="1" outlineLevel="1" x14ac:dyDescent="0.25">
      <c r="A200" s="2"/>
      <c r="B200" s="258" t="s">
        <v>23</v>
      </c>
      <c r="C200" s="2"/>
      <c r="D200" s="3"/>
      <c r="E200" s="258" t="s">
        <v>23</v>
      </c>
      <c r="F200" s="256"/>
      <c r="G200" s="3"/>
      <c r="H200" s="299" t="s">
        <v>240</v>
      </c>
      <c r="I200" s="763" t="s">
        <v>240</v>
      </c>
      <c r="J200" s="765"/>
      <c r="K200" s="4"/>
      <c r="L200" s="959"/>
      <c r="M200" s="960"/>
      <c r="N200" s="961"/>
    </row>
    <row r="201" spans="1:14" ht="6" hidden="1" customHeight="1" outlineLevel="1" x14ac:dyDescent="0.25">
      <c r="A201" s="2"/>
      <c r="B201" s="258" t="s">
        <v>23</v>
      </c>
      <c r="C201" s="2"/>
      <c r="D201" s="3"/>
      <c r="E201" s="258" t="s">
        <v>23</v>
      </c>
      <c r="F201" s="256"/>
      <c r="G201" s="3"/>
      <c r="H201" s="299" t="s">
        <v>541</v>
      </c>
      <c r="I201" s="763" t="s">
        <v>244</v>
      </c>
      <c r="J201" s="765"/>
      <c r="K201" s="4"/>
      <c r="L201" s="959"/>
      <c r="M201" s="960"/>
      <c r="N201" s="961"/>
    </row>
    <row r="202" spans="1:14" ht="6" hidden="1" customHeight="1" outlineLevel="1" x14ac:dyDescent="0.25">
      <c r="A202" s="2"/>
      <c r="B202" s="258" t="s">
        <v>23</v>
      </c>
      <c r="C202" s="2"/>
      <c r="D202" s="3"/>
      <c r="E202" s="258" t="s">
        <v>23</v>
      </c>
      <c r="F202" s="256"/>
      <c r="G202" s="3"/>
      <c r="H202" s="299" t="s">
        <v>244</v>
      </c>
      <c r="I202" s="763" t="s">
        <v>244</v>
      </c>
      <c r="J202" s="765"/>
      <c r="K202" s="4"/>
      <c r="L202" s="959"/>
      <c r="M202" s="960"/>
      <c r="N202" s="961"/>
    </row>
    <row r="203" spans="1:14" ht="6" hidden="1" customHeight="1" outlineLevel="1" x14ac:dyDescent="0.25">
      <c r="A203" s="2"/>
      <c r="B203" s="258" t="s">
        <v>23</v>
      </c>
      <c r="C203" s="2"/>
      <c r="D203" s="3"/>
      <c r="E203" s="258" t="s">
        <v>23</v>
      </c>
      <c r="F203" s="256"/>
      <c r="G203" s="3"/>
      <c r="H203" s="299" t="s">
        <v>239</v>
      </c>
      <c r="I203" s="763" t="s">
        <v>239</v>
      </c>
      <c r="J203" s="765"/>
      <c r="K203" s="4"/>
      <c r="L203" s="959"/>
      <c r="M203" s="960"/>
      <c r="N203" s="961"/>
    </row>
    <row r="204" spans="1:14" ht="6" hidden="1" customHeight="1" outlineLevel="1" x14ac:dyDescent="0.25">
      <c r="A204" s="2"/>
      <c r="B204" s="258" t="s">
        <v>23</v>
      </c>
      <c r="C204" s="2"/>
      <c r="D204" s="3"/>
      <c r="E204" s="258" t="s">
        <v>23</v>
      </c>
      <c r="F204" s="256"/>
      <c r="G204" s="3"/>
      <c r="H204" s="299" t="s">
        <v>241</v>
      </c>
      <c r="I204" s="763" t="s">
        <v>241</v>
      </c>
      <c r="J204" s="765"/>
      <c r="K204" s="4"/>
      <c r="L204" s="959"/>
      <c r="M204" s="960"/>
      <c r="N204" s="961"/>
    </row>
    <row r="205" spans="1:14" ht="6" hidden="1" customHeight="1" outlineLevel="1" x14ac:dyDescent="0.25">
      <c r="A205" s="2"/>
      <c r="B205" s="258" t="s">
        <v>23</v>
      </c>
      <c r="C205" s="2"/>
      <c r="D205" s="3"/>
      <c r="E205" s="258" t="s">
        <v>23</v>
      </c>
      <c r="F205" s="256"/>
      <c r="G205" s="3"/>
      <c r="H205" s="299" t="s">
        <v>242</v>
      </c>
      <c r="I205" s="763" t="s">
        <v>242</v>
      </c>
      <c r="J205" s="765"/>
      <c r="K205" s="4"/>
      <c r="L205" s="959"/>
      <c r="M205" s="960"/>
      <c r="N205" s="961"/>
    </row>
    <row r="206" spans="1:14" ht="6" hidden="1" customHeight="1" outlineLevel="1" x14ac:dyDescent="0.25">
      <c r="A206" s="2"/>
      <c r="B206" s="258" t="s">
        <v>23</v>
      </c>
      <c r="C206" s="2"/>
      <c r="D206" s="3"/>
      <c r="E206" s="258" t="s">
        <v>23</v>
      </c>
      <c r="F206" s="256"/>
      <c r="G206" s="3"/>
      <c r="H206" s="299" t="s">
        <v>243</v>
      </c>
      <c r="I206" s="763" t="s">
        <v>243</v>
      </c>
      <c r="J206" s="765"/>
      <c r="K206" s="4"/>
      <c r="L206" s="959"/>
      <c r="M206" s="960"/>
      <c r="N206" s="961"/>
    </row>
    <row r="207" spans="1:14" ht="6" hidden="1" customHeight="1" outlineLevel="1" x14ac:dyDescent="0.25">
      <c r="A207" s="2"/>
      <c r="B207" s="258" t="s">
        <v>23</v>
      </c>
      <c r="C207" s="2"/>
      <c r="D207" s="3"/>
      <c r="E207" s="258" t="s">
        <v>23</v>
      </c>
      <c r="F207" s="256"/>
      <c r="G207" s="3"/>
      <c r="H207" s="299" t="s">
        <v>542</v>
      </c>
      <c r="I207" s="763" t="s">
        <v>243</v>
      </c>
      <c r="J207" s="765"/>
      <c r="K207" s="4"/>
      <c r="L207" s="959"/>
      <c r="M207" s="960"/>
      <c r="N207" s="961"/>
    </row>
    <row r="208" spans="1:14" ht="6" hidden="1" customHeight="1" outlineLevel="1" x14ac:dyDescent="0.25">
      <c r="A208" s="2"/>
      <c r="B208" s="258" t="s">
        <v>23</v>
      </c>
      <c r="C208" s="2"/>
      <c r="D208" s="3"/>
      <c r="E208" s="258" t="s">
        <v>23</v>
      </c>
      <c r="F208" s="256"/>
      <c r="G208" s="3"/>
      <c r="H208" s="299" t="s">
        <v>509</v>
      </c>
      <c r="I208" s="763" t="s">
        <v>509</v>
      </c>
      <c r="J208" s="765"/>
      <c r="K208" s="4"/>
      <c r="L208" s="959"/>
      <c r="M208" s="960"/>
      <c r="N208" s="961"/>
    </row>
    <row r="209" spans="1:14" ht="6" hidden="1" customHeight="1" outlineLevel="1" x14ac:dyDescent="0.25">
      <c r="A209" s="2"/>
      <c r="B209" s="258" t="s">
        <v>23</v>
      </c>
      <c r="C209" s="2"/>
      <c r="D209" s="3"/>
      <c r="E209" s="258" t="s">
        <v>23</v>
      </c>
      <c r="F209" s="256"/>
      <c r="G209" s="3"/>
      <c r="H209" s="299" t="s">
        <v>543</v>
      </c>
      <c r="I209" s="763" t="s">
        <v>509</v>
      </c>
      <c r="J209" s="765"/>
      <c r="K209" s="4"/>
      <c r="L209" s="959"/>
      <c r="M209" s="960"/>
      <c r="N209" s="961"/>
    </row>
    <row r="210" spans="1:14" ht="6" hidden="1" customHeight="1" outlineLevel="1" x14ac:dyDescent="0.25">
      <c r="A210" s="2"/>
      <c r="B210" s="258" t="s">
        <v>23</v>
      </c>
      <c r="C210" s="2"/>
      <c r="D210" s="3"/>
      <c r="E210" s="258" t="s">
        <v>23</v>
      </c>
      <c r="F210" s="256"/>
      <c r="G210" s="3"/>
      <c r="H210" s="299" t="s">
        <v>1240</v>
      </c>
      <c r="I210" s="763" t="s">
        <v>510</v>
      </c>
      <c r="J210" s="765"/>
      <c r="K210" s="4"/>
      <c r="L210" s="959"/>
      <c r="M210" s="960"/>
      <c r="N210" s="961"/>
    </row>
    <row r="211" spans="1:14" ht="6" hidden="1" customHeight="1" outlineLevel="1" x14ac:dyDescent="0.25">
      <c r="A211" s="2"/>
      <c r="B211" s="258" t="s">
        <v>23</v>
      </c>
      <c r="C211" s="2"/>
      <c r="D211" s="3"/>
      <c r="E211" s="258" t="s">
        <v>23</v>
      </c>
      <c r="F211" s="256"/>
      <c r="G211" s="3"/>
      <c r="H211" s="299" t="s">
        <v>544</v>
      </c>
      <c r="I211" s="763" t="s">
        <v>510</v>
      </c>
      <c r="J211" s="765"/>
      <c r="K211" s="4"/>
      <c r="L211" s="959"/>
      <c r="M211" s="960"/>
      <c r="N211" s="961"/>
    </row>
    <row r="212" spans="1:14" ht="6" hidden="1" customHeight="1" outlineLevel="1" x14ac:dyDescent="0.25">
      <c r="A212" s="2"/>
      <c r="B212" s="258" t="s">
        <v>23</v>
      </c>
      <c r="C212" s="2"/>
      <c r="D212" s="3"/>
      <c r="E212" s="258" t="s">
        <v>23</v>
      </c>
      <c r="F212" s="256"/>
      <c r="G212" s="3"/>
      <c r="H212" s="299" t="s">
        <v>1237</v>
      </c>
      <c r="I212" s="763" t="s">
        <v>510</v>
      </c>
      <c r="J212" s="765"/>
      <c r="K212" s="4"/>
      <c r="L212" s="959"/>
      <c r="M212" s="960"/>
      <c r="N212" s="961"/>
    </row>
    <row r="213" spans="1:14" ht="6" hidden="1" customHeight="1" outlineLevel="1" x14ac:dyDescent="0.25">
      <c r="A213" s="2"/>
      <c r="B213" s="258" t="s">
        <v>23</v>
      </c>
      <c r="C213" s="2"/>
      <c r="D213" s="3"/>
      <c r="E213" s="258" t="s">
        <v>23</v>
      </c>
      <c r="F213" s="256"/>
      <c r="G213" s="3"/>
      <c r="H213" s="299" t="s">
        <v>245</v>
      </c>
      <c r="I213" s="763" t="s">
        <v>245</v>
      </c>
      <c r="J213" s="765"/>
      <c r="K213" s="4"/>
      <c r="L213" s="959"/>
      <c r="M213" s="960"/>
      <c r="N213" s="961"/>
    </row>
    <row r="214" spans="1:14" ht="6" hidden="1" customHeight="1" outlineLevel="1" x14ac:dyDescent="0.25">
      <c r="A214" s="2"/>
      <c r="B214" s="258" t="s">
        <v>23</v>
      </c>
      <c r="C214" s="2"/>
      <c r="D214" s="3"/>
      <c r="E214" s="258" t="s">
        <v>23</v>
      </c>
      <c r="F214" s="256"/>
      <c r="G214" s="3"/>
      <c r="H214" s="299" t="s">
        <v>246</v>
      </c>
      <c r="I214" s="763" t="s">
        <v>246</v>
      </c>
      <c r="J214" s="765"/>
      <c r="K214" s="4"/>
      <c r="L214" s="959"/>
      <c r="M214" s="960"/>
      <c r="N214" s="961"/>
    </row>
    <row r="215" spans="1:14" ht="6" hidden="1" customHeight="1" outlineLevel="1" x14ac:dyDescent="0.25">
      <c r="A215" s="2"/>
      <c r="B215" s="258" t="s">
        <v>23</v>
      </c>
      <c r="C215" s="2"/>
      <c r="D215" s="3"/>
      <c r="E215" s="258" t="s">
        <v>23</v>
      </c>
      <c r="F215" s="256"/>
      <c r="G215" s="3"/>
      <c r="H215" s="299" t="s">
        <v>469</v>
      </c>
      <c r="I215" s="763" t="s">
        <v>511</v>
      </c>
      <c r="J215" s="765"/>
      <c r="K215" s="4"/>
      <c r="L215" s="959"/>
      <c r="M215" s="960"/>
      <c r="N215" s="961"/>
    </row>
    <row r="216" spans="1:14" ht="6" hidden="1" customHeight="1" outlineLevel="1" x14ac:dyDescent="0.25">
      <c r="A216" s="2"/>
      <c r="B216" s="258" t="s">
        <v>23</v>
      </c>
      <c r="C216" s="2"/>
      <c r="D216" s="3"/>
      <c r="E216" s="258" t="s">
        <v>23</v>
      </c>
      <c r="F216" s="256"/>
      <c r="G216" s="3"/>
      <c r="H216" s="299" t="s">
        <v>1224</v>
      </c>
      <c r="I216" s="763" t="s">
        <v>511</v>
      </c>
      <c r="J216" s="765"/>
      <c r="K216" s="4"/>
      <c r="L216" s="959"/>
      <c r="M216" s="960"/>
      <c r="N216" s="961"/>
    </row>
    <row r="217" spans="1:14" ht="6" hidden="1" customHeight="1" outlineLevel="1" x14ac:dyDescent="0.25">
      <c r="A217" s="2"/>
      <c r="B217" s="258" t="s">
        <v>23</v>
      </c>
      <c r="C217" s="2"/>
      <c r="D217" s="3"/>
      <c r="E217" s="258" t="s">
        <v>23</v>
      </c>
      <c r="F217" s="256"/>
      <c r="G217" s="3"/>
      <c r="H217" s="299" t="s">
        <v>1223</v>
      </c>
      <c r="I217" s="763" t="s">
        <v>1223</v>
      </c>
      <c r="J217" s="765"/>
      <c r="K217" s="4"/>
      <c r="L217" s="959"/>
      <c r="M217" s="960"/>
      <c r="N217" s="961"/>
    </row>
    <row r="218" spans="1:14" ht="6" hidden="1" customHeight="1" outlineLevel="1" x14ac:dyDescent="0.25">
      <c r="A218" s="2"/>
      <c r="B218" s="258" t="s">
        <v>23</v>
      </c>
      <c r="C218" s="2"/>
      <c r="D218" s="3"/>
      <c r="E218" s="258" t="s">
        <v>23</v>
      </c>
      <c r="F218" s="256"/>
      <c r="G218" s="3"/>
      <c r="H218" s="299" t="s">
        <v>1224</v>
      </c>
      <c r="I218" s="763" t="s">
        <v>1224</v>
      </c>
      <c r="J218" s="765"/>
      <c r="K218" s="4"/>
      <c r="L218" s="959"/>
      <c r="M218" s="960"/>
      <c r="N218" s="961"/>
    </row>
    <row r="219" spans="1:14" ht="6" hidden="1" customHeight="1" outlineLevel="1" x14ac:dyDescent="0.25">
      <c r="A219" s="2"/>
      <c r="B219" s="258" t="s">
        <v>23</v>
      </c>
      <c r="C219" s="2"/>
      <c r="D219" s="3"/>
      <c r="E219" s="258" t="s">
        <v>23</v>
      </c>
      <c r="F219" s="256"/>
      <c r="G219" s="3"/>
      <c r="H219" s="299" t="s">
        <v>62</v>
      </c>
      <c r="I219" s="763" t="s">
        <v>62</v>
      </c>
      <c r="J219" s="765"/>
      <c r="K219" s="4"/>
      <c r="L219" s="959"/>
      <c r="M219" s="960"/>
      <c r="N219" s="961"/>
    </row>
    <row r="220" spans="1:14" ht="6" hidden="1" customHeight="1" outlineLevel="1" x14ac:dyDescent="0.25">
      <c r="A220" s="2"/>
      <c r="B220" s="258" t="s">
        <v>23</v>
      </c>
      <c r="C220" s="2"/>
      <c r="D220" s="3"/>
      <c r="E220" s="258" t="s">
        <v>23</v>
      </c>
      <c r="F220" s="256"/>
      <c r="G220" s="3"/>
      <c r="H220" s="299" t="s">
        <v>143</v>
      </c>
      <c r="I220" s="763" t="s">
        <v>62</v>
      </c>
      <c r="J220" s="765"/>
      <c r="K220" s="4"/>
      <c r="L220" s="959"/>
      <c r="M220" s="960"/>
      <c r="N220" s="961"/>
    </row>
    <row r="221" spans="1:14" ht="6" hidden="1" customHeight="1" outlineLevel="1" x14ac:dyDescent="0.25">
      <c r="A221" s="2"/>
      <c r="B221" s="258" t="s">
        <v>23</v>
      </c>
      <c r="C221" s="2"/>
      <c r="D221" s="3"/>
      <c r="E221" s="258" t="s">
        <v>23</v>
      </c>
      <c r="F221" s="256"/>
      <c r="G221" s="3"/>
      <c r="H221" s="299" t="s">
        <v>234</v>
      </c>
      <c r="I221" s="763" t="s">
        <v>475</v>
      </c>
      <c r="J221" s="765"/>
      <c r="K221" s="4"/>
      <c r="L221" s="959"/>
      <c r="M221" s="960"/>
      <c r="N221" s="961"/>
    </row>
    <row r="222" spans="1:14" ht="6" hidden="1" customHeight="1" outlineLevel="1" x14ac:dyDescent="0.25">
      <c r="A222" s="2"/>
      <c r="B222" s="258" t="s">
        <v>23</v>
      </c>
      <c r="C222" s="2"/>
      <c r="D222" s="3"/>
      <c r="E222" s="258" t="s">
        <v>23</v>
      </c>
      <c r="F222" s="256"/>
      <c r="G222" s="3"/>
      <c r="H222" s="299" t="s">
        <v>475</v>
      </c>
      <c r="I222" s="763" t="s">
        <v>475</v>
      </c>
      <c r="J222" s="765"/>
      <c r="K222" s="4"/>
      <c r="L222" s="959"/>
      <c r="M222" s="960"/>
      <c r="N222" s="961"/>
    </row>
    <row r="223" spans="1:14" ht="6" hidden="1" customHeight="1" outlineLevel="1" x14ac:dyDescent="0.25">
      <c r="A223" s="2"/>
      <c r="B223" s="258" t="s">
        <v>23</v>
      </c>
      <c r="C223" s="2"/>
      <c r="D223" s="3"/>
      <c r="E223" s="258" t="s">
        <v>23</v>
      </c>
      <c r="F223" s="256"/>
      <c r="G223" s="3"/>
      <c r="H223" s="299" t="s">
        <v>53</v>
      </c>
      <c r="I223" s="763" t="s">
        <v>53</v>
      </c>
      <c r="J223" s="765"/>
      <c r="K223" s="4"/>
      <c r="L223" s="959"/>
      <c r="M223" s="960"/>
      <c r="N223" s="961"/>
    </row>
    <row r="224" spans="1:14" ht="6" hidden="1" customHeight="1" outlineLevel="1" x14ac:dyDescent="0.25">
      <c r="A224" s="2"/>
      <c r="B224" s="258" t="s">
        <v>23</v>
      </c>
      <c r="C224" s="2"/>
      <c r="D224" s="3"/>
      <c r="E224" s="258" t="s">
        <v>23</v>
      </c>
      <c r="F224" s="256"/>
      <c r="G224" s="3"/>
      <c r="H224" s="299" t="s">
        <v>303</v>
      </c>
      <c r="I224" s="763" t="s">
        <v>53</v>
      </c>
      <c r="J224" s="765"/>
      <c r="K224" s="4"/>
      <c r="L224" s="959"/>
      <c r="M224" s="960"/>
      <c r="N224" s="961"/>
    </row>
    <row r="225" spans="1:14" ht="6" hidden="1" customHeight="1" outlineLevel="1" x14ac:dyDescent="0.25">
      <c r="A225" s="2"/>
      <c r="B225" s="258" t="s">
        <v>23</v>
      </c>
      <c r="C225" s="2"/>
      <c r="D225" s="3"/>
      <c r="E225" s="258" t="s">
        <v>23</v>
      </c>
      <c r="F225" s="256"/>
      <c r="G225" s="3"/>
      <c r="H225" s="299" t="s">
        <v>270</v>
      </c>
      <c r="I225" s="763" t="s">
        <v>48</v>
      </c>
      <c r="J225" s="765"/>
      <c r="K225" s="4"/>
      <c r="L225" s="959"/>
      <c r="M225" s="960"/>
      <c r="N225" s="961"/>
    </row>
    <row r="226" spans="1:14" ht="6" hidden="1" customHeight="1" outlineLevel="1" x14ac:dyDescent="0.25">
      <c r="A226" s="2"/>
      <c r="B226" s="258" t="s">
        <v>23</v>
      </c>
      <c r="C226" s="2"/>
      <c r="D226" s="3"/>
      <c r="E226" s="258" t="s">
        <v>23</v>
      </c>
      <c r="F226" s="256"/>
      <c r="G226" s="3"/>
      <c r="H226" s="299" t="s">
        <v>48</v>
      </c>
      <c r="I226" s="763" t="s">
        <v>48</v>
      </c>
      <c r="J226" s="765"/>
      <c r="K226" s="4"/>
      <c r="L226" s="959"/>
      <c r="M226" s="960"/>
      <c r="N226" s="961"/>
    </row>
    <row r="227" spans="1:14" ht="6" hidden="1" customHeight="1" outlineLevel="1" x14ac:dyDescent="0.25">
      <c r="A227" s="2"/>
      <c r="B227" s="258" t="s">
        <v>23</v>
      </c>
      <c r="C227" s="2"/>
      <c r="D227" s="3"/>
      <c r="E227" s="258" t="s">
        <v>23</v>
      </c>
      <c r="F227" s="256"/>
      <c r="G227" s="3"/>
      <c r="H227" s="299" t="s">
        <v>271</v>
      </c>
      <c r="I227" s="763" t="s">
        <v>331</v>
      </c>
      <c r="J227" s="765"/>
      <c r="K227" s="4"/>
      <c r="L227" s="959"/>
      <c r="M227" s="960"/>
      <c r="N227" s="961"/>
    </row>
    <row r="228" spans="1:14" ht="6" hidden="1" customHeight="1" outlineLevel="1" x14ac:dyDescent="0.25">
      <c r="A228" s="2"/>
      <c r="B228" s="258" t="s">
        <v>23</v>
      </c>
      <c r="C228" s="2"/>
      <c r="D228" s="3"/>
      <c r="E228" s="258" t="s">
        <v>23</v>
      </c>
      <c r="F228" s="256"/>
      <c r="G228" s="3"/>
      <c r="H228" s="299" t="s">
        <v>331</v>
      </c>
      <c r="I228" s="763" t="s">
        <v>331</v>
      </c>
      <c r="J228" s="765"/>
      <c r="K228" s="4"/>
      <c r="L228" s="959"/>
      <c r="M228" s="960"/>
      <c r="N228" s="961"/>
    </row>
    <row r="229" spans="1:14" ht="6" hidden="1" customHeight="1" outlineLevel="1" x14ac:dyDescent="0.25">
      <c r="A229" s="2"/>
      <c r="B229" s="258" t="s">
        <v>23</v>
      </c>
      <c r="C229" s="2"/>
      <c r="D229" s="3"/>
      <c r="E229" s="258" t="s">
        <v>23</v>
      </c>
      <c r="F229" s="256"/>
      <c r="G229" s="3"/>
      <c r="H229" s="299" t="s">
        <v>227</v>
      </c>
      <c r="I229" s="763" t="s">
        <v>66</v>
      </c>
      <c r="J229" s="765"/>
      <c r="K229" s="4"/>
      <c r="L229" s="959"/>
      <c r="M229" s="960"/>
      <c r="N229" s="961"/>
    </row>
    <row r="230" spans="1:14" ht="6" hidden="1" customHeight="1" outlineLevel="1" x14ac:dyDescent="0.25">
      <c r="A230" s="2"/>
      <c r="B230" s="258" t="s">
        <v>23</v>
      </c>
      <c r="C230" s="2"/>
      <c r="D230" s="3"/>
      <c r="E230" s="258" t="s">
        <v>23</v>
      </c>
      <c r="F230" s="256"/>
      <c r="G230" s="3"/>
      <c r="H230" s="299" t="s">
        <v>228</v>
      </c>
      <c r="I230" s="763" t="s">
        <v>66</v>
      </c>
      <c r="J230" s="765"/>
      <c r="K230" s="4"/>
      <c r="L230" s="959"/>
      <c r="M230" s="960"/>
      <c r="N230" s="961"/>
    </row>
    <row r="231" spans="1:14" ht="6" hidden="1" customHeight="1" outlineLevel="1" x14ac:dyDescent="0.25">
      <c r="A231" s="2"/>
      <c r="B231" s="258" t="s">
        <v>23</v>
      </c>
      <c r="C231" s="2"/>
      <c r="D231" s="3"/>
      <c r="E231" s="258" t="s">
        <v>23</v>
      </c>
      <c r="F231" s="256"/>
      <c r="G231" s="3"/>
      <c r="H231" s="299" t="s">
        <v>66</v>
      </c>
      <c r="I231" s="763" t="s">
        <v>66</v>
      </c>
      <c r="J231" s="765"/>
      <c r="K231" s="4"/>
      <c r="L231" s="959"/>
      <c r="M231" s="960"/>
      <c r="N231" s="961"/>
    </row>
    <row r="232" spans="1:14" ht="6" hidden="1" customHeight="1" outlineLevel="1" x14ac:dyDescent="0.25">
      <c r="A232" s="2"/>
      <c r="B232" s="258" t="s">
        <v>23</v>
      </c>
      <c r="C232" s="2"/>
      <c r="D232" s="3"/>
      <c r="E232" s="258" t="s">
        <v>23</v>
      </c>
      <c r="F232" s="256"/>
      <c r="G232" s="3"/>
      <c r="H232" s="299" t="s">
        <v>477</v>
      </c>
      <c r="I232" s="763" t="s">
        <v>512</v>
      </c>
      <c r="J232" s="765"/>
      <c r="K232" s="4"/>
      <c r="L232" s="959"/>
      <c r="M232" s="960"/>
      <c r="N232" s="961"/>
    </row>
    <row r="233" spans="1:14" ht="6" hidden="1" customHeight="1" outlineLevel="1" x14ac:dyDescent="0.25">
      <c r="A233" s="2"/>
      <c r="B233" s="258" t="s">
        <v>23</v>
      </c>
      <c r="C233" s="2"/>
      <c r="D233" s="3"/>
      <c r="E233" s="258" t="s">
        <v>23</v>
      </c>
      <c r="F233" s="256"/>
      <c r="G233" s="3"/>
      <c r="H233" s="299" t="s">
        <v>229</v>
      </c>
      <c r="I233" s="763" t="s">
        <v>512</v>
      </c>
      <c r="J233" s="765"/>
      <c r="K233" s="4"/>
      <c r="L233" s="959"/>
      <c r="M233" s="960"/>
      <c r="N233" s="961"/>
    </row>
    <row r="234" spans="1:14" ht="6" hidden="1" customHeight="1" outlineLevel="1" x14ac:dyDescent="0.25">
      <c r="A234" s="2"/>
      <c r="B234" s="258" t="s">
        <v>23</v>
      </c>
      <c r="C234" s="2"/>
      <c r="D234" s="3"/>
      <c r="E234" s="258" t="s">
        <v>23</v>
      </c>
      <c r="F234" s="256"/>
      <c r="G234" s="3"/>
      <c r="H234" s="299" t="s">
        <v>512</v>
      </c>
      <c r="I234" s="763" t="s">
        <v>512</v>
      </c>
      <c r="J234" s="765"/>
      <c r="K234" s="4"/>
      <c r="L234" s="959"/>
      <c r="M234" s="960"/>
      <c r="N234" s="961"/>
    </row>
    <row r="235" spans="1:14" ht="6" hidden="1" customHeight="1" outlineLevel="1" x14ac:dyDescent="0.25">
      <c r="A235" s="2"/>
      <c r="B235" s="258" t="s">
        <v>23</v>
      </c>
      <c r="C235" s="2"/>
      <c r="D235" s="3"/>
      <c r="E235" s="258" t="s">
        <v>23</v>
      </c>
      <c r="F235" s="256"/>
      <c r="G235" s="3"/>
      <c r="H235" s="299" t="s">
        <v>222</v>
      </c>
      <c r="I235" s="763" t="s">
        <v>335</v>
      </c>
      <c r="J235" s="765"/>
      <c r="K235" s="4"/>
      <c r="L235" s="959"/>
      <c r="M235" s="960"/>
      <c r="N235" s="961"/>
    </row>
    <row r="236" spans="1:14" ht="6" hidden="1" customHeight="1" outlineLevel="1" x14ac:dyDescent="0.25">
      <c r="A236" s="2"/>
      <c r="B236" s="258" t="s">
        <v>23</v>
      </c>
      <c r="C236" s="2"/>
      <c r="D236" s="3"/>
      <c r="E236" s="258" t="s">
        <v>23</v>
      </c>
      <c r="F236" s="256"/>
      <c r="G236" s="3"/>
      <c r="H236" s="299" t="s">
        <v>462</v>
      </c>
      <c r="I236" s="763" t="s">
        <v>335</v>
      </c>
      <c r="J236" s="765"/>
      <c r="K236" s="4"/>
      <c r="L236" s="959"/>
      <c r="M236" s="960"/>
      <c r="N236" s="961"/>
    </row>
    <row r="237" spans="1:14" ht="6" hidden="1" customHeight="1" outlineLevel="1" x14ac:dyDescent="0.25">
      <c r="A237" s="2"/>
      <c r="B237" s="258" t="s">
        <v>23</v>
      </c>
      <c r="C237" s="2"/>
      <c r="D237" s="3"/>
      <c r="E237" s="258" t="s">
        <v>23</v>
      </c>
      <c r="F237" s="256"/>
      <c r="G237" s="3"/>
      <c r="H237" s="299" t="s">
        <v>335</v>
      </c>
      <c r="I237" s="763" t="s">
        <v>335</v>
      </c>
      <c r="J237" s="765"/>
      <c r="K237" s="4"/>
      <c r="L237" s="959"/>
      <c r="M237" s="960"/>
      <c r="N237" s="961"/>
    </row>
    <row r="238" spans="1:14" ht="6" hidden="1" customHeight="1" outlineLevel="1" x14ac:dyDescent="0.25">
      <c r="A238" s="2"/>
      <c r="B238" s="258" t="s">
        <v>23</v>
      </c>
      <c r="C238" s="2"/>
      <c r="D238" s="3"/>
      <c r="E238" s="258" t="s">
        <v>23</v>
      </c>
      <c r="F238" s="256"/>
      <c r="G238" s="3"/>
      <c r="H238" s="299" t="s">
        <v>248</v>
      </c>
      <c r="I238" s="763" t="s">
        <v>67</v>
      </c>
      <c r="J238" s="765"/>
      <c r="K238" s="4"/>
      <c r="L238" s="959"/>
      <c r="M238" s="960"/>
      <c r="N238" s="961"/>
    </row>
    <row r="239" spans="1:14" ht="6" hidden="1" customHeight="1" outlineLevel="1" x14ac:dyDescent="0.25">
      <c r="A239" s="2"/>
      <c r="B239" s="258" t="s">
        <v>23</v>
      </c>
      <c r="C239" s="2"/>
      <c r="D239" s="3"/>
      <c r="E239" s="258" t="s">
        <v>23</v>
      </c>
      <c r="F239" s="256"/>
      <c r="G239" s="3"/>
      <c r="H239" s="299" t="s">
        <v>247</v>
      </c>
      <c r="I239" s="763" t="s">
        <v>67</v>
      </c>
      <c r="J239" s="765"/>
      <c r="K239" s="4"/>
      <c r="L239" s="959"/>
      <c r="M239" s="960"/>
      <c r="N239" s="961"/>
    </row>
    <row r="240" spans="1:14" ht="6" hidden="1" customHeight="1" outlineLevel="1" x14ac:dyDescent="0.25">
      <c r="A240" s="2"/>
      <c r="B240" s="258" t="s">
        <v>23</v>
      </c>
      <c r="C240" s="2"/>
      <c r="D240" s="3"/>
      <c r="E240" s="258" t="s">
        <v>23</v>
      </c>
      <c r="F240" s="256"/>
      <c r="G240" s="3"/>
      <c r="H240" s="299" t="s">
        <v>1230</v>
      </c>
      <c r="I240" s="763" t="s">
        <v>67</v>
      </c>
      <c r="J240" s="765"/>
      <c r="K240" s="4"/>
      <c r="L240" s="959"/>
      <c r="M240" s="960"/>
      <c r="N240" s="961"/>
    </row>
    <row r="241" spans="1:14" ht="6" hidden="1" customHeight="1" outlineLevel="1" x14ac:dyDescent="0.25">
      <c r="A241" s="2"/>
      <c r="B241" s="258" t="s">
        <v>23</v>
      </c>
      <c r="C241" s="2"/>
      <c r="D241" s="3"/>
      <c r="E241" s="258" t="s">
        <v>23</v>
      </c>
      <c r="F241" s="256"/>
      <c r="G241" s="3"/>
      <c r="H241" s="299" t="s">
        <v>1239</v>
      </c>
      <c r="I241" s="763" t="s">
        <v>67</v>
      </c>
      <c r="J241" s="765"/>
      <c r="K241" s="4"/>
      <c r="L241" s="959"/>
      <c r="M241" s="960"/>
      <c r="N241" s="961"/>
    </row>
    <row r="242" spans="1:14" ht="6" hidden="1" customHeight="1" outlineLevel="1" x14ac:dyDescent="0.25">
      <c r="A242" s="2"/>
      <c r="B242" s="258" t="s">
        <v>23</v>
      </c>
      <c r="C242" s="2"/>
      <c r="D242" s="3"/>
      <c r="E242" s="258" t="s">
        <v>23</v>
      </c>
      <c r="F242" s="256"/>
      <c r="G242" s="3"/>
      <c r="H242" s="299" t="s">
        <v>1229</v>
      </c>
      <c r="I242" s="763" t="s">
        <v>1229</v>
      </c>
      <c r="J242" s="765"/>
      <c r="K242" s="4"/>
      <c r="L242" s="959"/>
      <c r="M242" s="960"/>
      <c r="N242" s="961"/>
    </row>
    <row r="243" spans="1:14" ht="6" hidden="1" customHeight="1" outlineLevel="1" x14ac:dyDescent="0.25">
      <c r="A243" s="2"/>
      <c r="B243" s="258" t="s">
        <v>23</v>
      </c>
      <c r="C243" s="2"/>
      <c r="D243" s="3"/>
      <c r="E243" s="258" t="s">
        <v>23</v>
      </c>
      <c r="F243" s="256"/>
      <c r="G243" s="3"/>
      <c r="H243" s="299" t="s">
        <v>513</v>
      </c>
      <c r="I243" s="763" t="s">
        <v>513</v>
      </c>
      <c r="J243" s="765"/>
      <c r="K243" s="4"/>
      <c r="L243" s="959"/>
      <c r="M243" s="960"/>
      <c r="N243" s="961"/>
    </row>
    <row r="244" spans="1:14" ht="6" hidden="1" customHeight="1" outlineLevel="1" x14ac:dyDescent="0.25">
      <c r="A244" s="2"/>
      <c r="B244" s="258" t="s">
        <v>23</v>
      </c>
      <c r="C244" s="2"/>
      <c r="D244" s="3"/>
      <c r="E244" s="258" t="s">
        <v>23</v>
      </c>
      <c r="F244" s="256"/>
      <c r="G244" s="3"/>
      <c r="H244" s="299" t="s">
        <v>459</v>
      </c>
      <c r="I244" s="763" t="s">
        <v>513</v>
      </c>
      <c r="J244" s="765"/>
      <c r="K244" s="4"/>
      <c r="L244" s="959"/>
      <c r="M244" s="960"/>
      <c r="N244" s="961"/>
    </row>
    <row r="245" spans="1:14" ht="6" hidden="1" customHeight="1" outlineLevel="1" x14ac:dyDescent="0.25">
      <c r="A245" s="2"/>
      <c r="B245" s="258" t="s">
        <v>23</v>
      </c>
      <c r="C245" s="2"/>
      <c r="D245" s="3"/>
      <c r="E245" s="258" t="s">
        <v>23</v>
      </c>
      <c r="F245" s="256"/>
      <c r="G245" s="3"/>
      <c r="H245" s="299" t="s">
        <v>225</v>
      </c>
      <c r="I245" s="763" t="s">
        <v>513</v>
      </c>
      <c r="J245" s="765"/>
      <c r="K245" s="4"/>
      <c r="L245" s="959"/>
      <c r="M245" s="960"/>
      <c r="N245" s="961"/>
    </row>
    <row r="246" spans="1:14" ht="6" hidden="1" customHeight="1" outlineLevel="1" x14ac:dyDescent="0.25">
      <c r="A246" s="2"/>
      <c r="B246" s="258" t="s">
        <v>23</v>
      </c>
      <c r="C246" s="2"/>
      <c r="D246" s="3"/>
      <c r="E246" s="258" t="s">
        <v>23</v>
      </c>
      <c r="F246" s="256"/>
      <c r="G246" s="3"/>
      <c r="H246" s="299" t="s">
        <v>422</v>
      </c>
      <c r="I246" s="763" t="s">
        <v>422</v>
      </c>
      <c r="J246" s="765"/>
      <c r="K246" s="4"/>
      <c r="L246" s="959"/>
      <c r="M246" s="960"/>
      <c r="N246" s="961"/>
    </row>
    <row r="247" spans="1:14" ht="6" hidden="1" customHeight="1" outlineLevel="1" x14ac:dyDescent="0.25">
      <c r="A247" s="2"/>
      <c r="B247" s="258" t="s">
        <v>23</v>
      </c>
      <c r="C247" s="2"/>
      <c r="D247" s="3"/>
      <c r="E247" s="258" t="s">
        <v>23</v>
      </c>
      <c r="F247" s="256"/>
      <c r="G247" s="3"/>
      <c r="H247" s="299" t="s">
        <v>485</v>
      </c>
      <c r="I247" s="763" t="s">
        <v>422</v>
      </c>
      <c r="J247" s="765"/>
      <c r="K247" s="4"/>
      <c r="L247" s="959"/>
      <c r="M247" s="960"/>
      <c r="N247" s="961"/>
    </row>
    <row r="248" spans="1:14" ht="6" hidden="1" customHeight="1" outlineLevel="1" x14ac:dyDescent="0.25">
      <c r="A248" s="2"/>
      <c r="B248" s="258" t="s">
        <v>23</v>
      </c>
      <c r="C248" s="2"/>
      <c r="D248" s="3"/>
      <c r="E248" s="258" t="s">
        <v>23</v>
      </c>
      <c r="F248" s="256"/>
      <c r="G248" s="3"/>
      <c r="H248" s="299" t="s">
        <v>263</v>
      </c>
      <c r="I248" s="763" t="s">
        <v>54</v>
      </c>
      <c r="J248" s="765"/>
      <c r="K248" s="4"/>
      <c r="L248" s="959"/>
      <c r="M248" s="960"/>
      <c r="N248" s="961"/>
    </row>
    <row r="249" spans="1:14" ht="6" hidden="1" customHeight="1" outlineLevel="1" x14ac:dyDescent="0.25">
      <c r="A249" s="2"/>
      <c r="B249" s="258" t="s">
        <v>23</v>
      </c>
      <c r="C249" s="2"/>
      <c r="D249" s="3"/>
      <c r="E249" s="258" t="s">
        <v>23</v>
      </c>
      <c r="F249" s="256"/>
      <c r="G249" s="3"/>
      <c r="H249" s="299" t="s">
        <v>54</v>
      </c>
      <c r="I249" s="763" t="s">
        <v>54</v>
      </c>
      <c r="J249" s="765"/>
      <c r="K249" s="4"/>
      <c r="L249" s="959"/>
      <c r="M249" s="960"/>
      <c r="N249" s="961"/>
    </row>
    <row r="250" spans="1:14" ht="6" hidden="1" customHeight="1" outlineLevel="1" x14ac:dyDescent="0.25">
      <c r="A250" s="2"/>
      <c r="B250" s="258" t="s">
        <v>23</v>
      </c>
      <c r="C250" s="2"/>
      <c r="D250" s="3"/>
      <c r="E250" s="258" t="s">
        <v>23</v>
      </c>
      <c r="F250" s="256"/>
      <c r="G250" s="3"/>
      <c r="H250" s="299" t="s">
        <v>75</v>
      </c>
      <c r="I250" s="763" t="s">
        <v>75</v>
      </c>
      <c r="J250" s="765"/>
      <c r="K250" s="4"/>
      <c r="L250" s="959"/>
      <c r="M250" s="960"/>
      <c r="N250" s="961"/>
    </row>
    <row r="251" spans="1:14" ht="6" hidden="1" customHeight="1" outlineLevel="1" x14ac:dyDescent="0.25">
      <c r="A251" s="2"/>
      <c r="B251" s="258" t="s">
        <v>23</v>
      </c>
      <c r="C251" s="2"/>
      <c r="D251" s="3"/>
      <c r="E251" s="258" t="s">
        <v>23</v>
      </c>
      <c r="F251" s="256"/>
      <c r="G251" s="3"/>
      <c r="H251" s="299" t="s">
        <v>296</v>
      </c>
      <c r="I251" s="763" t="s">
        <v>75</v>
      </c>
      <c r="J251" s="765"/>
      <c r="K251" s="4"/>
      <c r="L251" s="959"/>
      <c r="M251" s="960"/>
      <c r="N251" s="961"/>
    </row>
    <row r="252" spans="1:14" ht="6" hidden="1" customHeight="1" outlineLevel="1" x14ac:dyDescent="0.25">
      <c r="A252" s="2"/>
      <c r="B252" s="258" t="s">
        <v>23</v>
      </c>
      <c r="C252" s="2"/>
      <c r="D252" s="3"/>
      <c r="E252" s="258" t="s">
        <v>23</v>
      </c>
      <c r="F252" s="256"/>
      <c r="G252" s="3"/>
      <c r="H252" s="299" t="s">
        <v>294</v>
      </c>
      <c r="I252" s="763" t="s">
        <v>75</v>
      </c>
      <c r="J252" s="765"/>
      <c r="K252" s="4"/>
      <c r="L252" s="959"/>
      <c r="M252" s="960"/>
      <c r="N252" s="961"/>
    </row>
    <row r="253" spans="1:14" ht="6" hidden="1" customHeight="1" outlineLevel="1" x14ac:dyDescent="0.25">
      <c r="A253" s="2"/>
      <c r="B253" s="258" t="s">
        <v>23</v>
      </c>
      <c r="C253" s="2"/>
      <c r="D253" s="3"/>
      <c r="E253" s="258" t="s">
        <v>23</v>
      </c>
      <c r="F253" s="256"/>
      <c r="G253" s="3"/>
      <c r="H253" s="299" t="s">
        <v>295</v>
      </c>
      <c r="I253" s="763" t="s">
        <v>75</v>
      </c>
      <c r="J253" s="765"/>
      <c r="K253" s="4"/>
      <c r="L253" s="959"/>
      <c r="M253" s="960"/>
      <c r="N253" s="961"/>
    </row>
    <row r="254" spans="1:14" ht="6" hidden="1" customHeight="1" outlineLevel="1" x14ac:dyDescent="0.25">
      <c r="A254" s="2"/>
      <c r="B254" s="258" t="s">
        <v>23</v>
      </c>
      <c r="C254" s="2"/>
      <c r="D254" s="3"/>
      <c r="E254" s="258" t="s">
        <v>23</v>
      </c>
      <c r="F254" s="256"/>
      <c r="G254" s="3"/>
      <c r="H254" s="299" t="s">
        <v>297</v>
      </c>
      <c r="I254" s="763" t="s">
        <v>75</v>
      </c>
      <c r="J254" s="765"/>
      <c r="K254" s="4"/>
      <c r="L254" s="959"/>
      <c r="M254" s="960"/>
      <c r="N254" s="961"/>
    </row>
    <row r="255" spans="1:14" ht="6" hidden="1" customHeight="1" outlineLevel="1" x14ac:dyDescent="0.25">
      <c r="A255" s="2"/>
      <c r="B255" s="258" t="s">
        <v>23</v>
      </c>
      <c r="C255" s="2"/>
      <c r="D255" s="3"/>
      <c r="E255" s="258" t="s">
        <v>23</v>
      </c>
      <c r="F255" s="256"/>
      <c r="G255" s="3"/>
      <c r="H255" s="299" t="s">
        <v>298</v>
      </c>
      <c r="I255" s="763" t="s">
        <v>75</v>
      </c>
      <c r="J255" s="765"/>
      <c r="K255" s="4"/>
      <c r="L255" s="959"/>
      <c r="M255" s="960"/>
      <c r="N255" s="961"/>
    </row>
    <row r="256" spans="1:14" ht="6" hidden="1" customHeight="1" outlineLevel="1" x14ac:dyDescent="0.25">
      <c r="A256" s="2"/>
      <c r="B256" s="258" t="s">
        <v>23</v>
      </c>
      <c r="C256" s="2"/>
      <c r="D256" s="3"/>
      <c r="E256" s="258" t="s">
        <v>23</v>
      </c>
      <c r="F256" s="256"/>
      <c r="G256" s="3"/>
      <c r="H256" s="299" t="s">
        <v>299</v>
      </c>
      <c r="I256" s="763" t="s">
        <v>75</v>
      </c>
      <c r="J256" s="765"/>
      <c r="K256" s="4"/>
      <c r="L256" s="959"/>
      <c r="M256" s="960"/>
      <c r="N256" s="961"/>
    </row>
    <row r="257" spans="1:14" ht="6" hidden="1" customHeight="1" outlineLevel="1" x14ac:dyDescent="0.25">
      <c r="A257" s="2"/>
      <c r="B257" s="258" t="s">
        <v>23</v>
      </c>
      <c r="C257" s="2"/>
      <c r="D257" s="3"/>
      <c r="E257" s="258" t="s">
        <v>23</v>
      </c>
      <c r="F257" s="256"/>
      <c r="G257" s="3"/>
      <c r="H257" s="299" t="s">
        <v>88</v>
      </c>
      <c r="I257" s="763" t="s">
        <v>88</v>
      </c>
      <c r="J257" s="765"/>
      <c r="K257" s="4"/>
      <c r="L257" s="959"/>
      <c r="M257" s="960"/>
      <c r="N257" s="961"/>
    </row>
    <row r="258" spans="1:14" ht="6" hidden="1" customHeight="1" outlineLevel="1" x14ac:dyDescent="0.25">
      <c r="A258" s="2"/>
      <c r="B258" s="258" t="s">
        <v>23</v>
      </c>
      <c r="C258" s="2"/>
      <c r="D258" s="3"/>
      <c r="E258" s="258" t="s">
        <v>23</v>
      </c>
      <c r="F258" s="256"/>
      <c r="G258" s="3"/>
      <c r="H258" s="299" t="s">
        <v>326</v>
      </c>
      <c r="I258" s="763" t="s">
        <v>326</v>
      </c>
      <c r="J258" s="765"/>
      <c r="K258" s="4"/>
      <c r="L258" s="959"/>
      <c r="M258" s="960"/>
      <c r="N258" s="961"/>
    </row>
    <row r="259" spans="1:14" ht="6" hidden="1" customHeight="1" outlineLevel="1" x14ac:dyDescent="0.25">
      <c r="A259" s="2"/>
      <c r="B259" s="258" t="s">
        <v>23</v>
      </c>
      <c r="C259" s="2"/>
      <c r="D259" s="3"/>
      <c r="E259" s="258" t="s">
        <v>23</v>
      </c>
      <c r="F259" s="256"/>
      <c r="G259" s="3"/>
      <c r="H259" s="299" t="s">
        <v>55</v>
      </c>
      <c r="I259" s="763" t="s">
        <v>326</v>
      </c>
      <c r="J259" s="765"/>
      <c r="K259" s="4"/>
      <c r="L259" s="959"/>
      <c r="M259" s="960"/>
      <c r="N259" s="961"/>
    </row>
    <row r="260" spans="1:14" ht="6" hidden="1" customHeight="1" outlineLevel="1" x14ac:dyDescent="0.25">
      <c r="A260" s="2"/>
      <c r="B260" s="258" t="s">
        <v>23</v>
      </c>
      <c r="C260" s="2"/>
      <c r="D260" s="3"/>
      <c r="E260" s="258" t="s">
        <v>23</v>
      </c>
      <c r="F260" s="256"/>
      <c r="G260" s="3"/>
      <c r="H260" s="299" t="s">
        <v>304</v>
      </c>
      <c r="I260" s="763" t="s">
        <v>326</v>
      </c>
      <c r="J260" s="765"/>
      <c r="K260" s="4"/>
      <c r="L260" s="959"/>
      <c r="M260" s="960"/>
      <c r="N260" s="961"/>
    </row>
    <row r="261" spans="1:14" ht="6" hidden="1" customHeight="1" outlineLevel="1" x14ac:dyDescent="0.25">
      <c r="A261" s="2"/>
      <c r="B261" s="258" t="s">
        <v>23</v>
      </c>
      <c r="C261" s="2"/>
      <c r="D261" s="3"/>
      <c r="E261" s="258" t="s">
        <v>23</v>
      </c>
      <c r="F261" s="256"/>
      <c r="G261" s="3"/>
      <c r="H261" s="299" t="s">
        <v>1212</v>
      </c>
      <c r="I261" s="763" t="s">
        <v>1212</v>
      </c>
      <c r="J261" s="765"/>
      <c r="K261" s="4"/>
      <c r="L261" s="959"/>
      <c r="M261" s="960"/>
      <c r="N261" s="961"/>
    </row>
    <row r="262" spans="1:14" ht="6" hidden="1" customHeight="1" outlineLevel="1" x14ac:dyDescent="0.25">
      <c r="A262" s="2"/>
      <c r="B262" s="258" t="s">
        <v>23</v>
      </c>
      <c r="C262" s="2"/>
      <c r="D262" s="3"/>
      <c r="E262" s="258" t="s">
        <v>23</v>
      </c>
      <c r="F262" s="256"/>
      <c r="G262" s="3"/>
      <c r="H262" s="299" t="s">
        <v>470</v>
      </c>
      <c r="I262" s="763" t="s">
        <v>514</v>
      </c>
      <c r="J262" s="765"/>
      <c r="K262" s="4"/>
      <c r="L262" s="959"/>
      <c r="M262" s="960"/>
      <c r="N262" s="961"/>
    </row>
    <row r="263" spans="1:14" ht="6" hidden="1" customHeight="1" outlineLevel="1" x14ac:dyDescent="0.25">
      <c r="A263" s="2"/>
      <c r="B263" s="258" t="s">
        <v>23</v>
      </c>
      <c r="C263" s="2"/>
      <c r="D263" s="3"/>
      <c r="E263" s="258" t="s">
        <v>23</v>
      </c>
      <c r="F263" s="256"/>
      <c r="G263" s="3"/>
      <c r="H263" s="299" t="s">
        <v>233</v>
      </c>
      <c r="I263" s="763" t="s">
        <v>476</v>
      </c>
      <c r="J263" s="765"/>
      <c r="K263" s="4"/>
      <c r="L263" s="959"/>
      <c r="M263" s="960"/>
      <c r="N263" s="961"/>
    </row>
    <row r="264" spans="1:14" ht="6" hidden="1" customHeight="1" outlineLevel="1" x14ac:dyDescent="0.25">
      <c r="A264" s="2"/>
      <c r="B264" s="258" t="s">
        <v>23</v>
      </c>
      <c r="C264" s="2"/>
      <c r="D264" s="3"/>
      <c r="E264" s="258" t="s">
        <v>23</v>
      </c>
      <c r="F264" s="256"/>
      <c r="G264" s="3"/>
      <c r="H264" s="299" t="s">
        <v>476</v>
      </c>
      <c r="I264" s="763" t="s">
        <v>476</v>
      </c>
      <c r="J264" s="765"/>
      <c r="K264" s="4"/>
      <c r="L264" s="959"/>
      <c r="M264" s="960"/>
      <c r="N264" s="961"/>
    </row>
    <row r="265" spans="1:14" ht="6" hidden="1" customHeight="1" outlineLevel="1" x14ac:dyDescent="0.25">
      <c r="A265" s="2"/>
      <c r="B265" s="258" t="s">
        <v>23</v>
      </c>
      <c r="C265" s="2"/>
      <c r="D265" s="3"/>
      <c r="E265" s="258" t="s">
        <v>23</v>
      </c>
      <c r="F265" s="256"/>
      <c r="G265" s="3"/>
      <c r="H265" s="299" t="s">
        <v>1231</v>
      </c>
      <c r="I265" s="763" t="s">
        <v>1231</v>
      </c>
      <c r="J265" s="765"/>
      <c r="K265" s="4"/>
      <c r="L265" s="959"/>
      <c r="M265" s="960"/>
      <c r="N265" s="961"/>
    </row>
    <row r="266" spans="1:14" ht="6" hidden="1" customHeight="1" outlineLevel="1" x14ac:dyDescent="0.25">
      <c r="A266" s="2"/>
      <c r="B266" s="258" t="s">
        <v>23</v>
      </c>
      <c r="C266" s="2"/>
      <c r="D266" s="3"/>
      <c r="E266" s="258" t="s">
        <v>23</v>
      </c>
      <c r="F266" s="256"/>
      <c r="G266" s="3"/>
      <c r="H266" s="299" t="s">
        <v>515</v>
      </c>
      <c r="I266" s="763" t="s">
        <v>515</v>
      </c>
      <c r="J266" s="765"/>
      <c r="K266" s="4"/>
      <c r="L266" s="959"/>
      <c r="M266" s="960"/>
      <c r="N266" s="961"/>
    </row>
    <row r="267" spans="1:14" ht="6" hidden="1" customHeight="1" outlineLevel="1" x14ac:dyDescent="0.25">
      <c r="A267" s="2"/>
      <c r="B267" s="258" t="s">
        <v>23</v>
      </c>
      <c r="C267" s="2"/>
      <c r="D267" s="3"/>
      <c r="E267" s="258" t="s">
        <v>23</v>
      </c>
      <c r="F267" s="256"/>
      <c r="G267" s="3"/>
      <c r="H267" s="299" t="s">
        <v>435</v>
      </c>
      <c r="I267" s="763" t="s">
        <v>436</v>
      </c>
      <c r="J267" s="765"/>
      <c r="K267" s="4"/>
      <c r="L267" s="959"/>
      <c r="M267" s="960"/>
      <c r="N267" s="961"/>
    </row>
    <row r="268" spans="1:14" ht="6" hidden="1" customHeight="1" outlineLevel="1" x14ac:dyDescent="0.25">
      <c r="A268" s="2"/>
      <c r="B268" s="258" t="s">
        <v>23</v>
      </c>
      <c r="C268" s="2"/>
      <c r="D268" s="3"/>
      <c r="E268" s="258" t="s">
        <v>23</v>
      </c>
      <c r="F268" s="256"/>
      <c r="G268" s="3"/>
      <c r="H268" s="299" t="s">
        <v>436</v>
      </c>
      <c r="I268" s="763" t="s">
        <v>436</v>
      </c>
      <c r="J268" s="765"/>
      <c r="K268" s="4"/>
      <c r="L268" s="959"/>
      <c r="M268" s="960"/>
      <c r="N268" s="961"/>
    </row>
    <row r="269" spans="1:14" ht="6" hidden="1" customHeight="1" outlineLevel="1" x14ac:dyDescent="0.25">
      <c r="A269" s="2"/>
      <c r="B269" s="258" t="s">
        <v>23</v>
      </c>
      <c r="C269" s="2"/>
      <c r="D269" s="3"/>
      <c r="E269" s="258" t="s">
        <v>23</v>
      </c>
      <c r="F269" s="256"/>
      <c r="G269" s="3"/>
      <c r="H269" s="299" t="s">
        <v>264</v>
      </c>
      <c r="I269" s="763" t="s">
        <v>321</v>
      </c>
      <c r="J269" s="765"/>
      <c r="K269" s="4"/>
      <c r="L269" s="959"/>
      <c r="M269" s="960"/>
      <c r="N269" s="961"/>
    </row>
    <row r="270" spans="1:14" ht="6" hidden="1" customHeight="1" outlineLevel="1" x14ac:dyDescent="0.25">
      <c r="A270" s="2"/>
      <c r="B270" s="258" t="s">
        <v>23</v>
      </c>
      <c r="C270" s="2"/>
      <c r="D270" s="3"/>
      <c r="E270" s="258" t="s">
        <v>23</v>
      </c>
      <c r="F270" s="256"/>
      <c r="G270" s="3"/>
      <c r="H270" s="299" t="s">
        <v>321</v>
      </c>
      <c r="I270" s="763" t="s">
        <v>321</v>
      </c>
      <c r="J270" s="765"/>
      <c r="K270" s="4"/>
      <c r="L270" s="959"/>
      <c r="M270" s="960"/>
      <c r="N270" s="961"/>
    </row>
    <row r="271" spans="1:14" ht="6" hidden="1" customHeight="1" outlineLevel="1" x14ac:dyDescent="0.25">
      <c r="A271" s="2"/>
      <c r="B271" s="258" t="s">
        <v>23</v>
      </c>
      <c r="C271" s="2"/>
      <c r="D271" s="3"/>
      <c r="E271" s="258" t="s">
        <v>23</v>
      </c>
      <c r="F271" s="256"/>
      <c r="G271" s="3"/>
      <c r="H271" s="299" t="s">
        <v>451</v>
      </c>
      <c r="I271" s="763" t="s">
        <v>321</v>
      </c>
      <c r="J271" s="765"/>
      <c r="K271" s="4"/>
      <c r="L271" s="959"/>
      <c r="M271" s="960"/>
      <c r="N271" s="961"/>
    </row>
    <row r="272" spans="1:14" ht="6" hidden="1" customHeight="1" outlineLevel="1" x14ac:dyDescent="0.25">
      <c r="A272" s="2"/>
      <c r="B272" s="258" t="s">
        <v>23</v>
      </c>
      <c r="C272" s="2"/>
      <c r="D272" s="3"/>
      <c r="E272" s="258" t="s">
        <v>23</v>
      </c>
      <c r="F272" s="256"/>
      <c r="G272" s="3"/>
      <c r="H272" s="299" t="s">
        <v>416</v>
      </c>
      <c r="I272" s="763" t="s">
        <v>56</v>
      </c>
      <c r="J272" s="765"/>
      <c r="K272" s="4"/>
      <c r="L272" s="959"/>
      <c r="M272" s="960"/>
      <c r="N272" s="961"/>
    </row>
    <row r="273" spans="1:14" ht="6" hidden="1" customHeight="1" outlineLevel="1" x14ac:dyDescent="0.25">
      <c r="A273" s="2"/>
      <c r="B273" s="258" t="s">
        <v>23</v>
      </c>
      <c r="C273" s="2"/>
      <c r="D273" s="3"/>
      <c r="E273" s="258" t="s">
        <v>23</v>
      </c>
      <c r="F273" s="256"/>
      <c r="G273" s="3"/>
      <c r="H273" s="299" t="s">
        <v>56</v>
      </c>
      <c r="I273" s="763" t="s">
        <v>56</v>
      </c>
      <c r="J273" s="765"/>
      <c r="K273" s="4"/>
      <c r="L273" s="959"/>
      <c r="M273" s="960"/>
      <c r="N273" s="961"/>
    </row>
    <row r="274" spans="1:14" ht="6" hidden="1" customHeight="1" outlineLevel="1" x14ac:dyDescent="0.25">
      <c r="A274" s="2"/>
      <c r="B274" s="258" t="s">
        <v>23</v>
      </c>
      <c r="C274" s="2"/>
      <c r="D274" s="3"/>
      <c r="E274" s="258" t="s">
        <v>23</v>
      </c>
      <c r="F274" s="256"/>
      <c r="G274" s="3"/>
      <c r="H274" s="299" t="s">
        <v>265</v>
      </c>
      <c r="I274" s="763" t="s">
        <v>56</v>
      </c>
      <c r="J274" s="765"/>
      <c r="K274" s="4"/>
      <c r="L274" s="959"/>
      <c r="M274" s="960"/>
      <c r="N274" s="961"/>
    </row>
    <row r="275" spans="1:14" ht="6" hidden="1" customHeight="1" outlineLevel="1" x14ac:dyDescent="0.25">
      <c r="A275" s="2"/>
      <c r="B275" s="258" t="s">
        <v>23</v>
      </c>
      <c r="C275" s="2"/>
      <c r="D275" s="3"/>
      <c r="E275" s="258" t="s">
        <v>23</v>
      </c>
      <c r="F275" s="256"/>
      <c r="G275" s="3"/>
      <c r="H275" s="299" t="s">
        <v>417</v>
      </c>
      <c r="I275" s="763" t="s">
        <v>320</v>
      </c>
      <c r="J275" s="765"/>
      <c r="K275" s="4"/>
      <c r="L275" s="959"/>
      <c r="M275" s="960"/>
      <c r="N275" s="961"/>
    </row>
    <row r="276" spans="1:14" ht="6" hidden="1" customHeight="1" outlineLevel="1" x14ac:dyDescent="0.25">
      <c r="A276" s="2"/>
      <c r="B276" s="258" t="s">
        <v>23</v>
      </c>
      <c r="C276" s="2"/>
      <c r="D276" s="3"/>
      <c r="E276" s="258" t="s">
        <v>23</v>
      </c>
      <c r="F276" s="256"/>
      <c r="G276" s="3"/>
      <c r="H276" s="299" t="s">
        <v>320</v>
      </c>
      <c r="I276" s="763" t="s">
        <v>320</v>
      </c>
      <c r="J276" s="765"/>
      <c r="K276" s="4"/>
      <c r="L276" s="959"/>
      <c r="M276" s="960"/>
      <c r="N276" s="961"/>
    </row>
    <row r="277" spans="1:14" ht="6" hidden="1" customHeight="1" outlineLevel="1" x14ac:dyDescent="0.25">
      <c r="A277" s="2"/>
      <c r="B277" s="258" t="s">
        <v>23</v>
      </c>
      <c r="C277" s="2"/>
      <c r="D277" s="3"/>
      <c r="E277" s="258" t="s">
        <v>23</v>
      </c>
      <c r="F277" s="256"/>
      <c r="G277" s="3"/>
      <c r="H277" s="299" t="s">
        <v>313</v>
      </c>
      <c r="I277" s="763" t="s">
        <v>76</v>
      </c>
      <c r="J277" s="765"/>
      <c r="K277" s="4"/>
      <c r="L277" s="959"/>
      <c r="M277" s="960"/>
      <c r="N277" s="961"/>
    </row>
    <row r="278" spans="1:14" ht="6" hidden="1" customHeight="1" outlineLevel="1" x14ac:dyDescent="0.25">
      <c r="A278" s="2"/>
      <c r="B278" s="258" t="s">
        <v>23</v>
      </c>
      <c r="C278" s="2"/>
      <c r="D278" s="3"/>
      <c r="E278" s="258" t="s">
        <v>23</v>
      </c>
      <c r="F278" s="256"/>
      <c r="G278" s="3"/>
      <c r="H278" s="299" t="s">
        <v>76</v>
      </c>
      <c r="I278" s="763" t="s">
        <v>76</v>
      </c>
      <c r="J278" s="765"/>
      <c r="K278" s="4"/>
      <c r="L278" s="959"/>
      <c r="M278" s="960"/>
      <c r="N278" s="961"/>
    </row>
    <row r="279" spans="1:14" ht="6" hidden="1" customHeight="1" outlineLevel="1" x14ac:dyDescent="0.25">
      <c r="A279" s="2"/>
      <c r="B279" s="258" t="s">
        <v>23</v>
      </c>
      <c r="C279" s="2"/>
      <c r="D279" s="3"/>
      <c r="E279" s="258" t="s">
        <v>23</v>
      </c>
      <c r="F279" s="256"/>
      <c r="G279" s="3"/>
      <c r="H279" s="299" t="s">
        <v>76</v>
      </c>
      <c r="I279" s="763" t="s">
        <v>76</v>
      </c>
      <c r="J279" s="765"/>
      <c r="K279" s="4"/>
      <c r="L279" s="959"/>
      <c r="M279" s="960"/>
      <c r="N279" s="961"/>
    </row>
    <row r="280" spans="1:14" ht="6" hidden="1" customHeight="1" outlineLevel="1" x14ac:dyDescent="0.25">
      <c r="A280" s="2"/>
      <c r="B280" s="258" t="s">
        <v>23</v>
      </c>
      <c r="C280" s="2"/>
      <c r="D280" s="3"/>
      <c r="E280" s="258" t="s">
        <v>23</v>
      </c>
      <c r="F280" s="256"/>
      <c r="G280" s="3"/>
      <c r="H280" s="299" t="s">
        <v>312</v>
      </c>
      <c r="I280" s="763" t="s">
        <v>76</v>
      </c>
      <c r="J280" s="765"/>
      <c r="K280" s="4"/>
      <c r="L280" s="959"/>
      <c r="M280" s="960"/>
      <c r="N280" s="961"/>
    </row>
    <row r="281" spans="1:14" ht="6" hidden="1" customHeight="1" outlineLevel="1" x14ac:dyDescent="0.25">
      <c r="A281" s="2"/>
      <c r="B281" s="258" t="s">
        <v>23</v>
      </c>
      <c r="C281" s="2"/>
      <c r="D281" s="3"/>
      <c r="E281" s="258" t="s">
        <v>23</v>
      </c>
      <c r="F281" s="256"/>
      <c r="G281" s="3"/>
      <c r="H281" s="299" t="s">
        <v>544</v>
      </c>
      <c r="I281" s="763" t="s">
        <v>516</v>
      </c>
      <c r="J281" s="765"/>
      <c r="K281" s="4"/>
      <c r="L281" s="959"/>
      <c r="M281" s="960"/>
      <c r="N281" s="961"/>
    </row>
    <row r="282" spans="1:14" ht="6" hidden="1" customHeight="1" outlineLevel="1" x14ac:dyDescent="0.25">
      <c r="A282" s="2"/>
      <c r="B282" s="258" t="s">
        <v>23</v>
      </c>
      <c r="C282" s="2"/>
      <c r="D282" s="3"/>
      <c r="E282" s="258" t="s">
        <v>23</v>
      </c>
      <c r="F282" s="256"/>
      <c r="G282" s="3"/>
      <c r="H282" s="299" t="s">
        <v>1237</v>
      </c>
      <c r="I282" s="763" t="s">
        <v>516</v>
      </c>
      <c r="J282" s="765"/>
      <c r="K282" s="4"/>
      <c r="L282" s="959"/>
      <c r="M282" s="960"/>
      <c r="N282" s="961"/>
    </row>
    <row r="283" spans="1:14" ht="6" hidden="1" customHeight="1" outlineLevel="1" x14ac:dyDescent="0.25">
      <c r="A283" s="2"/>
      <c r="B283" s="258" t="s">
        <v>23</v>
      </c>
      <c r="C283" s="2"/>
      <c r="D283" s="3"/>
      <c r="E283" s="258" t="s">
        <v>23</v>
      </c>
      <c r="F283" s="256"/>
      <c r="G283" s="3"/>
      <c r="H283" s="299" t="s">
        <v>544</v>
      </c>
      <c r="I283" s="763" t="s">
        <v>544</v>
      </c>
      <c r="J283" s="765"/>
      <c r="K283" s="4"/>
      <c r="L283" s="959"/>
      <c r="M283" s="960"/>
      <c r="N283" s="961"/>
    </row>
    <row r="284" spans="1:14" ht="6" hidden="1" customHeight="1" outlineLevel="1" x14ac:dyDescent="0.25">
      <c r="A284" s="2"/>
      <c r="B284" s="258" t="s">
        <v>23</v>
      </c>
      <c r="C284" s="2"/>
      <c r="D284" s="3"/>
      <c r="E284" s="258" t="s">
        <v>23</v>
      </c>
      <c r="F284" s="256"/>
      <c r="G284" s="3"/>
      <c r="H284" s="299" t="s">
        <v>1226</v>
      </c>
      <c r="I284" s="763" t="s">
        <v>1226</v>
      </c>
      <c r="J284" s="765"/>
      <c r="K284" s="4"/>
      <c r="L284" s="959"/>
      <c r="M284" s="960"/>
      <c r="N284" s="961"/>
    </row>
    <row r="285" spans="1:14" ht="6" hidden="1" customHeight="1" outlineLevel="1" x14ac:dyDescent="0.25">
      <c r="A285" s="2"/>
      <c r="B285" s="258" t="s">
        <v>23</v>
      </c>
      <c r="C285" s="2"/>
      <c r="D285" s="3"/>
      <c r="E285" s="258" t="s">
        <v>23</v>
      </c>
      <c r="F285" s="256"/>
      <c r="G285" s="3"/>
      <c r="H285" s="299" t="s">
        <v>280</v>
      </c>
      <c r="I285" s="763" t="s">
        <v>500</v>
      </c>
      <c r="J285" s="765"/>
      <c r="K285" s="4"/>
      <c r="L285" s="959"/>
      <c r="M285" s="960"/>
      <c r="N285" s="961"/>
    </row>
    <row r="286" spans="1:14" ht="6" hidden="1" customHeight="1" outlineLevel="1" x14ac:dyDescent="0.25">
      <c r="A286" s="2"/>
      <c r="B286" s="258" t="s">
        <v>23</v>
      </c>
      <c r="C286" s="2"/>
      <c r="D286" s="3"/>
      <c r="E286" s="258" t="s">
        <v>23</v>
      </c>
      <c r="F286" s="256"/>
      <c r="G286" s="3"/>
      <c r="H286" s="299" t="s">
        <v>500</v>
      </c>
      <c r="I286" s="763" t="s">
        <v>500</v>
      </c>
      <c r="J286" s="765"/>
      <c r="K286" s="4"/>
      <c r="L286" s="959"/>
      <c r="M286" s="960"/>
      <c r="N286" s="961"/>
    </row>
    <row r="287" spans="1:14" ht="6" hidden="1" customHeight="1" outlineLevel="1" x14ac:dyDescent="0.25">
      <c r="A287" s="2"/>
      <c r="B287" s="258" t="s">
        <v>23</v>
      </c>
      <c r="C287" s="2"/>
      <c r="D287" s="3"/>
      <c r="E287" s="258" t="s">
        <v>23</v>
      </c>
      <c r="F287" s="256"/>
      <c r="G287" s="3"/>
      <c r="H287" s="299" t="s">
        <v>311</v>
      </c>
      <c r="I287" s="763" t="s">
        <v>77</v>
      </c>
      <c r="J287" s="765"/>
      <c r="K287" s="4"/>
      <c r="L287" s="959"/>
      <c r="M287" s="960"/>
      <c r="N287" s="961"/>
    </row>
    <row r="288" spans="1:14" ht="6" hidden="1" customHeight="1" outlineLevel="1" x14ac:dyDescent="0.25">
      <c r="A288" s="2"/>
      <c r="B288" s="258" t="s">
        <v>23</v>
      </c>
      <c r="C288" s="2"/>
      <c r="D288" s="3"/>
      <c r="E288" s="258" t="s">
        <v>23</v>
      </c>
      <c r="F288" s="256"/>
      <c r="G288" s="3"/>
      <c r="H288" s="299" t="s">
        <v>77</v>
      </c>
      <c r="I288" s="763" t="s">
        <v>77</v>
      </c>
      <c r="J288" s="765"/>
      <c r="K288" s="4"/>
      <c r="L288" s="959"/>
      <c r="M288" s="960"/>
      <c r="N288" s="961"/>
    </row>
    <row r="289" spans="1:14" ht="6" hidden="1" customHeight="1" outlineLevel="1" x14ac:dyDescent="0.25">
      <c r="A289" s="2"/>
      <c r="B289" s="258" t="s">
        <v>23</v>
      </c>
      <c r="C289" s="2"/>
      <c r="D289" s="3"/>
      <c r="E289" s="258" t="s">
        <v>23</v>
      </c>
      <c r="F289" s="256"/>
      <c r="G289" s="3"/>
      <c r="H289" s="299" t="s">
        <v>486</v>
      </c>
      <c r="I289" s="763" t="s">
        <v>77</v>
      </c>
      <c r="J289" s="765"/>
      <c r="K289" s="4"/>
      <c r="L289" s="959"/>
      <c r="M289" s="960"/>
      <c r="N289" s="961"/>
    </row>
    <row r="290" spans="1:14" ht="6" hidden="1" customHeight="1" outlineLevel="1" x14ac:dyDescent="0.25">
      <c r="A290" s="2"/>
      <c r="B290" s="258" t="s">
        <v>23</v>
      </c>
      <c r="C290" s="2"/>
      <c r="D290" s="3"/>
      <c r="E290" s="258" t="s">
        <v>23</v>
      </c>
      <c r="F290" s="256"/>
      <c r="G290" s="3"/>
      <c r="H290" s="299" t="s">
        <v>217</v>
      </c>
      <c r="I290" s="763" t="s">
        <v>318</v>
      </c>
      <c r="J290" s="765"/>
      <c r="K290" s="4"/>
      <c r="L290" s="959"/>
      <c r="M290" s="960"/>
      <c r="N290" s="961"/>
    </row>
    <row r="291" spans="1:14" ht="6" hidden="1" customHeight="1" outlineLevel="1" x14ac:dyDescent="0.25">
      <c r="A291" s="2"/>
      <c r="B291" s="258" t="s">
        <v>23</v>
      </c>
      <c r="C291" s="2"/>
      <c r="D291" s="3"/>
      <c r="E291" s="258" t="s">
        <v>23</v>
      </c>
      <c r="F291" s="256"/>
      <c r="G291" s="3"/>
      <c r="H291" s="299" t="s">
        <v>318</v>
      </c>
      <c r="I291" s="763" t="s">
        <v>318</v>
      </c>
      <c r="J291" s="765"/>
      <c r="K291" s="4"/>
      <c r="L291" s="959"/>
      <c r="M291" s="960"/>
      <c r="N291" s="961"/>
    </row>
    <row r="292" spans="1:14" ht="6" hidden="1" customHeight="1" outlineLevel="1" x14ac:dyDescent="0.25">
      <c r="A292" s="2"/>
      <c r="B292" s="258" t="s">
        <v>23</v>
      </c>
      <c r="C292" s="2"/>
      <c r="D292" s="3"/>
      <c r="E292" s="258" t="s">
        <v>23</v>
      </c>
      <c r="F292" s="256"/>
      <c r="G292" s="3"/>
      <c r="H292" s="299" t="s">
        <v>433</v>
      </c>
      <c r="I292" s="763" t="s">
        <v>318</v>
      </c>
      <c r="J292" s="765"/>
      <c r="K292" s="4"/>
      <c r="L292" s="959"/>
      <c r="M292" s="960"/>
      <c r="N292" s="961"/>
    </row>
    <row r="293" spans="1:14" ht="6" hidden="1" customHeight="1" outlineLevel="1" x14ac:dyDescent="0.25">
      <c r="A293" s="2"/>
      <c r="B293" s="258" t="s">
        <v>23</v>
      </c>
      <c r="C293" s="2"/>
      <c r="D293" s="3"/>
      <c r="E293" s="258" t="s">
        <v>23</v>
      </c>
      <c r="F293" s="256"/>
      <c r="G293" s="3"/>
      <c r="H293" s="299" t="s">
        <v>286</v>
      </c>
      <c r="I293" s="763" t="s">
        <v>501</v>
      </c>
      <c r="J293" s="765"/>
      <c r="K293" s="4"/>
      <c r="L293" s="959"/>
      <c r="M293" s="960"/>
      <c r="N293" s="961"/>
    </row>
    <row r="294" spans="1:14" ht="6" hidden="1" customHeight="1" outlineLevel="1" x14ac:dyDescent="0.25">
      <c r="A294" s="2"/>
      <c r="B294" s="258" t="s">
        <v>23</v>
      </c>
      <c r="C294" s="2"/>
      <c r="D294" s="3"/>
      <c r="E294" s="258" t="s">
        <v>23</v>
      </c>
      <c r="F294" s="256"/>
      <c r="G294" s="3"/>
      <c r="H294" s="299" t="s">
        <v>501</v>
      </c>
      <c r="I294" s="763" t="s">
        <v>501</v>
      </c>
      <c r="J294" s="765"/>
      <c r="K294" s="4"/>
      <c r="L294" s="959"/>
      <c r="M294" s="960"/>
      <c r="N294" s="961"/>
    </row>
    <row r="295" spans="1:14" ht="6" hidden="1" customHeight="1" outlineLevel="1" x14ac:dyDescent="0.25">
      <c r="A295" s="2"/>
      <c r="B295" s="258" t="s">
        <v>23</v>
      </c>
      <c r="C295" s="2"/>
      <c r="D295" s="3"/>
      <c r="E295" s="258" t="s">
        <v>23</v>
      </c>
      <c r="F295" s="256"/>
      <c r="G295" s="3"/>
      <c r="H295" s="299" t="s">
        <v>517</v>
      </c>
      <c r="I295" s="763" t="s">
        <v>517</v>
      </c>
      <c r="J295" s="765"/>
      <c r="K295" s="4"/>
      <c r="L295" s="959"/>
      <c r="M295" s="960"/>
      <c r="N295" s="961"/>
    </row>
    <row r="296" spans="1:14" ht="6" hidden="1" customHeight="1" outlineLevel="1" x14ac:dyDescent="0.25">
      <c r="A296" s="2"/>
      <c r="B296" s="258" t="s">
        <v>23</v>
      </c>
      <c r="C296" s="2"/>
      <c r="D296" s="3"/>
      <c r="E296" s="258" t="s">
        <v>23</v>
      </c>
      <c r="F296" s="256"/>
      <c r="G296" s="3"/>
      <c r="H296" s="299" t="s">
        <v>1238</v>
      </c>
      <c r="I296" s="763" t="s">
        <v>517</v>
      </c>
      <c r="J296" s="765"/>
      <c r="K296" s="4"/>
      <c r="L296" s="959"/>
      <c r="M296" s="960"/>
      <c r="N296" s="961"/>
    </row>
    <row r="297" spans="1:14" ht="6" hidden="1" customHeight="1" outlineLevel="1" x14ac:dyDescent="0.25">
      <c r="A297" s="2"/>
      <c r="B297" s="258" t="s">
        <v>23</v>
      </c>
      <c r="C297" s="2"/>
      <c r="D297" s="3"/>
      <c r="E297" s="258" t="s">
        <v>23</v>
      </c>
      <c r="F297" s="256"/>
      <c r="G297" s="3"/>
      <c r="H297" s="299" t="s">
        <v>1225</v>
      </c>
      <c r="I297" s="763" t="s">
        <v>1225</v>
      </c>
      <c r="J297" s="765"/>
      <c r="K297" s="4"/>
      <c r="L297" s="959"/>
      <c r="M297" s="960"/>
      <c r="N297" s="961"/>
    </row>
    <row r="298" spans="1:14" ht="6" hidden="1" customHeight="1" outlineLevel="1" x14ac:dyDescent="0.25">
      <c r="A298" s="2"/>
      <c r="B298" s="258" t="s">
        <v>23</v>
      </c>
      <c r="C298" s="2"/>
      <c r="D298" s="3"/>
      <c r="E298" s="258" t="s">
        <v>23</v>
      </c>
      <c r="F298" s="256"/>
      <c r="G298" s="3"/>
      <c r="H298" s="299" t="s">
        <v>51</v>
      </c>
      <c r="I298" s="763" t="s">
        <v>51</v>
      </c>
      <c r="J298" s="765"/>
      <c r="K298" s="4"/>
      <c r="L298" s="959"/>
      <c r="M298" s="960"/>
      <c r="N298" s="961"/>
    </row>
    <row r="299" spans="1:14" ht="6" hidden="1" customHeight="1" outlineLevel="1" x14ac:dyDescent="0.25">
      <c r="A299" s="2"/>
      <c r="B299" s="258" t="s">
        <v>23</v>
      </c>
      <c r="C299" s="2"/>
      <c r="D299" s="3"/>
      <c r="E299" s="258" t="s">
        <v>23</v>
      </c>
      <c r="F299" s="256"/>
      <c r="G299" s="3"/>
      <c r="H299" s="299" t="s">
        <v>415</v>
      </c>
      <c r="I299" s="763" t="s">
        <v>51</v>
      </c>
      <c r="J299" s="765"/>
      <c r="K299" s="4"/>
      <c r="L299" s="959"/>
      <c r="M299" s="960"/>
      <c r="N299" s="961"/>
    </row>
    <row r="300" spans="1:14" ht="6" hidden="1" customHeight="1" outlineLevel="1" x14ac:dyDescent="0.25">
      <c r="A300" s="2"/>
      <c r="B300" s="258" t="s">
        <v>23</v>
      </c>
      <c r="C300" s="2"/>
      <c r="D300" s="3"/>
      <c r="E300" s="258" t="s">
        <v>23</v>
      </c>
      <c r="F300" s="256"/>
      <c r="G300" s="3"/>
      <c r="H300" s="299" t="s">
        <v>201</v>
      </c>
      <c r="I300" s="763" t="s">
        <v>411</v>
      </c>
      <c r="J300" s="765"/>
      <c r="K300" s="4"/>
      <c r="L300" s="959"/>
      <c r="M300" s="960"/>
      <c r="N300" s="961"/>
    </row>
    <row r="301" spans="1:14" ht="6" hidden="1" customHeight="1" outlineLevel="1" x14ac:dyDescent="0.25">
      <c r="A301" s="2"/>
      <c r="B301" s="258" t="s">
        <v>23</v>
      </c>
      <c r="C301" s="2"/>
      <c r="D301" s="3"/>
      <c r="E301" s="258" t="s">
        <v>23</v>
      </c>
      <c r="F301" s="256"/>
      <c r="G301" s="3"/>
      <c r="H301" s="299" t="s">
        <v>202</v>
      </c>
      <c r="I301" s="763" t="s">
        <v>411</v>
      </c>
      <c r="J301" s="765"/>
      <c r="K301" s="4"/>
      <c r="L301" s="959"/>
      <c r="M301" s="960"/>
      <c r="N301" s="961"/>
    </row>
    <row r="302" spans="1:14" ht="6" hidden="1" customHeight="1" outlineLevel="1" x14ac:dyDescent="0.25">
      <c r="A302" s="2"/>
      <c r="B302" s="258" t="s">
        <v>23</v>
      </c>
      <c r="C302" s="2"/>
      <c r="D302" s="3"/>
      <c r="E302" s="258" t="s">
        <v>23</v>
      </c>
      <c r="F302" s="256"/>
      <c r="G302" s="3"/>
      <c r="H302" s="299" t="s">
        <v>411</v>
      </c>
      <c r="I302" s="763" t="s">
        <v>411</v>
      </c>
      <c r="J302" s="765"/>
      <c r="K302" s="4"/>
      <c r="L302" s="959"/>
      <c r="M302" s="960"/>
      <c r="N302" s="961"/>
    </row>
    <row r="303" spans="1:14" ht="6" hidden="1" customHeight="1" outlineLevel="1" x14ac:dyDescent="0.25">
      <c r="A303" s="2"/>
      <c r="B303" s="258" t="s">
        <v>23</v>
      </c>
      <c r="C303" s="2"/>
      <c r="D303" s="3"/>
      <c r="E303" s="258" t="s">
        <v>23</v>
      </c>
      <c r="F303" s="256"/>
      <c r="G303" s="3"/>
      <c r="H303" s="299" t="s">
        <v>438</v>
      </c>
      <c r="I303" s="763" t="s">
        <v>411</v>
      </c>
      <c r="J303" s="765"/>
      <c r="K303" s="4"/>
      <c r="L303" s="959"/>
      <c r="M303" s="960"/>
      <c r="N303" s="961"/>
    </row>
    <row r="304" spans="1:14" ht="6" hidden="1" customHeight="1" outlineLevel="1" x14ac:dyDescent="0.25">
      <c r="A304" s="2"/>
      <c r="B304" s="258" t="s">
        <v>23</v>
      </c>
      <c r="C304" s="2"/>
      <c r="D304" s="3"/>
      <c r="E304" s="258" t="s">
        <v>23</v>
      </c>
      <c r="F304" s="256"/>
      <c r="G304" s="3"/>
      <c r="H304" s="299" t="s">
        <v>57</v>
      </c>
      <c r="I304" s="763" t="s">
        <v>57</v>
      </c>
      <c r="J304" s="765"/>
      <c r="K304" s="4"/>
      <c r="L304" s="959"/>
      <c r="M304" s="960"/>
      <c r="N304" s="961"/>
    </row>
    <row r="305" spans="1:14" ht="6" hidden="1" customHeight="1" outlineLevel="1" x14ac:dyDescent="0.25">
      <c r="A305" s="2"/>
      <c r="B305" s="258" t="s">
        <v>23</v>
      </c>
      <c r="C305" s="2"/>
      <c r="D305" s="3"/>
      <c r="E305" s="258" t="s">
        <v>23</v>
      </c>
      <c r="F305" s="256"/>
      <c r="G305" s="3"/>
      <c r="H305" s="299" t="s">
        <v>305</v>
      </c>
      <c r="I305" s="763" t="s">
        <v>57</v>
      </c>
      <c r="J305" s="765"/>
      <c r="K305" s="4"/>
      <c r="L305" s="959"/>
      <c r="M305" s="960"/>
      <c r="N305" s="961"/>
    </row>
    <row r="306" spans="1:14" ht="6" hidden="1" customHeight="1" outlineLevel="1" x14ac:dyDescent="0.25">
      <c r="A306" s="2"/>
      <c r="B306" s="258" t="s">
        <v>23</v>
      </c>
      <c r="C306" s="2"/>
      <c r="D306" s="3"/>
      <c r="E306" s="258" t="s">
        <v>23</v>
      </c>
      <c r="F306" s="256"/>
      <c r="G306" s="3"/>
      <c r="H306" s="299" t="s">
        <v>306</v>
      </c>
      <c r="I306" s="763" t="s">
        <v>57</v>
      </c>
      <c r="J306" s="765"/>
      <c r="K306" s="4"/>
      <c r="L306" s="959"/>
      <c r="M306" s="960"/>
      <c r="N306" s="961"/>
    </row>
    <row r="307" spans="1:14" ht="6" hidden="1" customHeight="1" outlineLevel="1" x14ac:dyDescent="0.25">
      <c r="A307" s="2"/>
      <c r="B307" s="258" t="s">
        <v>23</v>
      </c>
      <c r="C307" s="2"/>
      <c r="D307" s="3"/>
      <c r="E307" s="258" t="s">
        <v>23</v>
      </c>
      <c r="F307" s="256"/>
      <c r="G307" s="3"/>
      <c r="H307" s="299" t="s">
        <v>487</v>
      </c>
      <c r="I307" s="763" t="s">
        <v>57</v>
      </c>
      <c r="J307" s="765"/>
      <c r="K307" s="4"/>
      <c r="L307" s="959"/>
      <c r="M307" s="960"/>
      <c r="N307" s="961"/>
    </row>
    <row r="308" spans="1:14" ht="6" hidden="1" customHeight="1" outlineLevel="1" x14ac:dyDescent="0.25">
      <c r="A308" s="2"/>
      <c r="B308" s="258" t="s">
        <v>23</v>
      </c>
      <c r="C308" s="2"/>
      <c r="D308" s="3"/>
      <c r="E308" s="258" t="s">
        <v>23</v>
      </c>
      <c r="F308" s="256"/>
      <c r="G308" s="3"/>
      <c r="H308" s="299" t="s">
        <v>78</v>
      </c>
      <c r="I308" s="763" t="s">
        <v>78</v>
      </c>
      <c r="J308" s="765"/>
      <c r="K308" s="4"/>
      <c r="L308" s="959"/>
      <c r="M308" s="960"/>
      <c r="N308" s="961"/>
    </row>
    <row r="309" spans="1:14" ht="6" hidden="1" customHeight="1" outlineLevel="1" x14ac:dyDescent="0.25">
      <c r="A309" s="2"/>
      <c r="B309" s="258" t="s">
        <v>23</v>
      </c>
      <c r="C309" s="2"/>
      <c r="D309" s="3"/>
      <c r="E309" s="258" t="s">
        <v>23</v>
      </c>
      <c r="F309" s="256"/>
      <c r="G309" s="3"/>
      <c r="H309" s="299" t="s">
        <v>285</v>
      </c>
      <c r="I309" s="763" t="s">
        <v>49</v>
      </c>
      <c r="J309" s="765"/>
      <c r="K309" s="4"/>
      <c r="L309" s="959"/>
      <c r="M309" s="960"/>
      <c r="N309" s="961"/>
    </row>
    <row r="310" spans="1:14" ht="6" hidden="1" customHeight="1" outlineLevel="1" x14ac:dyDescent="0.25">
      <c r="A310" s="2"/>
      <c r="B310" s="258" t="s">
        <v>23</v>
      </c>
      <c r="C310" s="2"/>
      <c r="D310" s="3"/>
      <c r="E310" s="258" t="s">
        <v>23</v>
      </c>
      <c r="F310" s="256"/>
      <c r="G310" s="3"/>
      <c r="H310" s="299" t="s">
        <v>49</v>
      </c>
      <c r="I310" s="763" t="s">
        <v>49</v>
      </c>
      <c r="J310" s="765"/>
      <c r="K310" s="4"/>
      <c r="L310" s="959"/>
      <c r="M310" s="960"/>
      <c r="N310" s="961"/>
    </row>
    <row r="311" spans="1:14" ht="6" hidden="1" customHeight="1" outlineLevel="1" x14ac:dyDescent="0.25">
      <c r="A311" s="2"/>
      <c r="B311" s="258" t="s">
        <v>23</v>
      </c>
      <c r="C311" s="2"/>
      <c r="D311" s="3"/>
      <c r="E311" s="258" t="s">
        <v>23</v>
      </c>
      <c r="F311" s="256"/>
      <c r="G311" s="3"/>
      <c r="H311" s="299" t="s">
        <v>472</v>
      </c>
      <c r="I311" s="763" t="s">
        <v>518</v>
      </c>
      <c r="J311" s="765"/>
      <c r="K311" s="4"/>
      <c r="L311" s="959"/>
      <c r="M311" s="960"/>
      <c r="N311" s="961"/>
    </row>
    <row r="312" spans="1:14" ht="6" hidden="1" customHeight="1" outlineLevel="1" x14ac:dyDescent="0.25">
      <c r="A312" s="2"/>
      <c r="B312" s="258" t="s">
        <v>23</v>
      </c>
      <c r="C312" s="2"/>
      <c r="D312" s="3"/>
      <c r="E312" s="258" t="s">
        <v>23</v>
      </c>
      <c r="F312" s="256"/>
      <c r="G312" s="3"/>
      <c r="H312" s="299" t="s">
        <v>473</v>
      </c>
      <c r="I312" s="763" t="s">
        <v>519</v>
      </c>
      <c r="J312" s="765"/>
      <c r="K312" s="4"/>
      <c r="L312" s="959"/>
      <c r="M312" s="960"/>
      <c r="N312" s="961"/>
    </row>
    <row r="313" spans="1:14" ht="6" hidden="1" customHeight="1" outlineLevel="1" x14ac:dyDescent="0.25">
      <c r="A313" s="2"/>
      <c r="B313" s="258" t="s">
        <v>23</v>
      </c>
      <c r="C313" s="2"/>
      <c r="D313" s="3"/>
      <c r="E313" s="258" t="s">
        <v>23</v>
      </c>
      <c r="F313" s="256"/>
      <c r="G313" s="3"/>
      <c r="H313" s="299" t="s">
        <v>488</v>
      </c>
      <c r="I313" s="763" t="s">
        <v>89</v>
      </c>
      <c r="J313" s="765"/>
      <c r="K313" s="4"/>
      <c r="L313" s="959"/>
      <c r="M313" s="960"/>
      <c r="N313" s="961"/>
    </row>
    <row r="314" spans="1:14" ht="6" hidden="1" customHeight="1" outlineLevel="1" x14ac:dyDescent="0.25">
      <c r="A314" s="2"/>
      <c r="B314" s="258" t="s">
        <v>23</v>
      </c>
      <c r="C314" s="2"/>
      <c r="D314" s="3"/>
      <c r="E314" s="258" t="s">
        <v>23</v>
      </c>
      <c r="F314" s="256"/>
      <c r="G314" s="3"/>
      <c r="H314" s="299" t="s">
        <v>549</v>
      </c>
      <c r="I314" s="763" t="s">
        <v>89</v>
      </c>
      <c r="J314" s="765"/>
      <c r="K314" s="4"/>
      <c r="L314" s="959"/>
      <c r="M314" s="960"/>
      <c r="N314" s="961"/>
    </row>
    <row r="315" spans="1:14" ht="6" hidden="1" customHeight="1" outlineLevel="1" x14ac:dyDescent="0.25">
      <c r="A315" s="2"/>
      <c r="B315" s="258" t="s">
        <v>23</v>
      </c>
      <c r="C315" s="2"/>
      <c r="D315" s="3"/>
      <c r="E315" s="258" t="s">
        <v>23</v>
      </c>
      <c r="F315" s="256"/>
      <c r="G315" s="3"/>
      <c r="H315" s="299" t="s">
        <v>89</v>
      </c>
      <c r="I315" s="763" t="s">
        <v>89</v>
      </c>
      <c r="J315" s="765"/>
      <c r="K315" s="4"/>
      <c r="L315" s="959"/>
      <c r="M315" s="960"/>
      <c r="N315" s="961"/>
    </row>
    <row r="316" spans="1:14" ht="6" hidden="1" customHeight="1" outlineLevel="1" x14ac:dyDescent="0.25">
      <c r="A316" s="2"/>
      <c r="B316" s="258" t="s">
        <v>23</v>
      </c>
      <c r="C316" s="2"/>
      <c r="D316" s="3"/>
      <c r="E316" s="258" t="s">
        <v>23</v>
      </c>
      <c r="F316" s="256"/>
      <c r="G316" s="3"/>
      <c r="H316" s="299" t="s">
        <v>1245</v>
      </c>
      <c r="I316" s="763" t="s">
        <v>1245</v>
      </c>
      <c r="J316" s="765"/>
      <c r="K316" s="4"/>
      <c r="L316" s="959"/>
      <c r="M316" s="960"/>
      <c r="N316" s="961"/>
    </row>
    <row r="317" spans="1:14" ht="6" hidden="1" customHeight="1" outlineLevel="1" x14ac:dyDescent="0.25">
      <c r="A317" s="2"/>
      <c r="B317" s="258" t="s">
        <v>23</v>
      </c>
      <c r="C317" s="2"/>
      <c r="D317" s="3"/>
      <c r="E317" s="258" t="s">
        <v>23</v>
      </c>
      <c r="F317" s="256"/>
      <c r="G317" s="3"/>
      <c r="H317" s="299" t="s">
        <v>546</v>
      </c>
      <c r="I317" s="763" t="s">
        <v>1245</v>
      </c>
      <c r="J317" s="765"/>
      <c r="K317" s="4"/>
      <c r="L317" s="959"/>
      <c r="M317" s="960"/>
      <c r="N317" s="961"/>
    </row>
    <row r="318" spans="1:14" ht="6" hidden="1" customHeight="1" outlineLevel="1" x14ac:dyDescent="0.25">
      <c r="A318" s="2"/>
      <c r="B318" s="258" t="s">
        <v>23</v>
      </c>
      <c r="C318" s="2"/>
      <c r="D318" s="3"/>
      <c r="E318" s="258" t="s">
        <v>23</v>
      </c>
      <c r="F318" s="256"/>
      <c r="G318" s="3"/>
      <c r="H318" s="299" t="s">
        <v>535</v>
      </c>
      <c r="I318" s="763" t="s">
        <v>535</v>
      </c>
      <c r="J318" s="765"/>
      <c r="K318" s="4"/>
      <c r="L318" s="959"/>
      <c r="M318" s="960"/>
      <c r="N318" s="961"/>
    </row>
    <row r="319" spans="1:14" ht="6" hidden="1" customHeight="1" outlineLevel="1" x14ac:dyDescent="0.25">
      <c r="A319" s="2"/>
      <c r="B319" s="258" t="s">
        <v>23</v>
      </c>
      <c r="C319" s="2"/>
      <c r="D319" s="3"/>
      <c r="E319" s="258" t="s">
        <v>23</v>
      </c>
      <c r="F319" s="256"/>
      <c r="G319" s="3"/>
      <c r="H319" s="299" t="s">
        <v>215</v>
      </c>
      <c r="I319" s="763" t="s">
        <v>40</v>
      </c>
      <c r="J319" s="765"/>
      <c r="K319" s="4"/>
      <c r="L319" s="959"/>
      <c r="M319" s="960"/>
      <c r="N319" s="961"/>
    </row>
    <row r="320" spans="1:14" ht="6" hidden="1" customHeight="1" outlineLevel="1" x14ac:dyDescent="0.25">
      <c r="A320" s="2"/>
      <c r="B320" s="258" t="s">
        <v>23</v>
      </c>
      <c r="C320" s="2"/>
      <c r="D320" s="3"/>
      <c r="E320" s="258" t="s">
        <v>23</v>
      </c>
      <c r="F320" s="256"/>
      <c r="G320" s="3"/>
      <c r="H320" s="299" t="s">
        <v>40</v>
      </c>
      <c r="I320" s="763" t="s">
        <v>40</v>
      </c>
      <c r="J320" s="765"/>
      <c r="K320" s="4"/>
      <c r="L320" s="959"/>
      <c r="M320" s="960"/>
      <c r="N320" s="961"/>
    </row>
    <row r="321" spans="2:17" ht="18" customHeight="1" collapsed="1" x14ac:dyDescent="0.25">
      <c r="B321" s="259">
        <v>45078</v>
      </c>
      <c r="C32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21" s="6" t="s">
        <v>24</v>
      </c>
      <c r="E321" s="259">
        <v>45078</v>
      </c>
      <c r="G321" s="6"/>
      <c r="H321" s="254" t="s">
        <v>25</v>
      </c>
      <c r="I321" s="764" t="str">
        <f>VLOOKUP($H321,инфо!$O:$P,2,FALSE)</f>
        <v>Горох</v>
      </c>
      <c r="J321" s="160" t="str">
        <f>VLOOKUP($I321,инфо!$D:$G,3,FALSE)</f>
        <v>кг</v>
      </c>
      <c r="K321" s="747" t="s">
        <v>1538</v>
      </c>
      <c r="L321" s="663">
        <v>150</v>
      </c>
      <c r="M321" s="963">
        <f>SUMIF($H$1:$H321,$H321,$L$1:$L321)-SUMIF($H$1:$H320,$H321,$N$1:$N320)</f>
        <v>150</v>
      </c>
      <c r="O321" s="962">
        <f t="shared" ref="O321:O384" si="0">$M321-$N321</f>
        <v>150</v>
      </c>
      <c r="Q321" s="658"/>
    </row>
    <row r="322" spans="2:17" ht="18" customHeight="1" x14ac:dyDescent="0.25">
      <c r="B322" s="259">
        <v>45078</v>
      </c>
      <c r="C32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22" s="6" t="s">
        <v>24</v>
      </c>
      <c r="E322" s="259">
        <v>45078</v>
      </c>
      <c r="G322" s="6"/>
      <c r="H322" s="254" t="s">
        <v>445</v>
      </c>
      <c r="I322" s="764" t="str">
        <f>VLOOKUP($H322,инфо!$O:$P,2,FALSE)</f>
        <v>Огурцы консерв.</v>
      </c>
      <c r="J322" s="160" t="str">
        <f>VLOOKUP($I322,инфо!$D:$G,3,FALSE)</f>
        <v>кг</v>
      </c>
      <c r="K322" s="747" t="s">
        <v>1538</v>
      </c>
      <c r="L322" s="663">
        <v>130</v>
      </c>
      <c r="M322" s="963">
        <f>SUMIF($H$1:$H322,$H322,$L$1:$L322)-SUMIF($H$1:$H321,$H322,$N$1:$N321)</f>
        <v>130</v>
      </c>
      <c r="O322" s="962">
        <f t="shared" si="0"/>
        <v>130</v>
      </c>
      <c r="Q322" s="658"/>
    </row>
    <row r="323" spans="2:17" ht="18" customHeight="1" x14ac:dyDescent="0.25">
      <c r="B323" s="259">
        <v>45078</v>
      </c>
      <c r="C32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23" s="6" t="s">
        <v>24</v>
      </c>
      <c r="E323" s="259">
        <v>45078</v>
      </c>
      <c r="G323" s="6"/>
      <c r="H323" s="254" t="s">
        <v>62</v>
      </c>
      <c r="I323" s="764" t="str">
        <f>VLOOKUP($H323,инфо!$O:$P,2,FALSE)</f>
        <v>Сало-шпик</v>
      </c>
      <c r="J323" s="160" t="str">
        <f>VLOOKUP($I323,инфо!$D:$G,3,FALSE)</f>
        <v>кг</v>
      </c>
      <c r="K323" s="747" t="s">
        <v>1538</v>
      </c>
      <c r="L323" s="663">
        <v>116</v>
      </c>
      <c r="M323" s="963">
        <f>SUMIF($H$1:$H323,$H323,$L$1:$L323)-SUMIF($H$1:$H322,$H323,$N$1:$N322)</f>
        <v>116</v>
      </c>
      <c r="O323" s="962">
        <f t="shared" si="0"/>
        <v>116</v>
      </c>
      <c r="Q323" s="658"/>
    </row>
    <row r="324" spans="2:17" ht="18" customHeight="1" x14ac:dyDescent="0.25">
      <c r="B324" s="259">
        <v>45078</v>
      </c>
      <c r="C32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24" s="6" t="s">
        <v>24</v>
      </c>
      <c r="E324" s="259">
        <v>45078</v>
      </c>
      <c r="G324" s="6"/>
      <c r="H324" s="254" t="s">
        <v>65</v>
      </c>
      <c r="I324" s="764" t="str">
        <f>VLOOKUP($H324,инфо!$O:$P,2,FALSE)</f>
        <v>Мясо птицы</v>
      </c>
      <c r="J324" s="160" t="str">
        <f>VLOOKUP($I324,инфо!$D:$G,3,FALSE)</f>
        <v>кг</v>
      </c>
      <c r="K324" s="747" t="s">
        <v>1538</v>
      </c>
      <c r="L324" s="663">
        <v>300</v>
      </c>
      <c r="M324" s="963">
        <f>SUMIF($H$1:$H324,$H324,$L$1:$L324)-SUMIF($H$1:$H323,$H324,$N$1:$N323)</f>
        <v>300</v>
      </c>
      <c r="O324" s="962">
        <f t="shared" si="0"/>
        <v>300</v>
      </c>
      <c r="Q324" s="658"/>
    </row>
    <row r="325" spans="2:17" ht="18" customHeight="1" x14ac:dyDescent="0.25">
      <c r="B325" s="259">
        <v>45078</v>
      </c>
      <c r="C32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25" t="s">
        <v>1290</v>
      </c>
      <c r="E325" s="259">
        <v>45078</v>
      </c>
      <c r="F325" s="257" t="s">
        <v>1515</v>
      </c>
      <c r="H325" s="254" t="s">
        <v>1514</v>
      </c>
      <c r="I325" s="764" t="str">
        <f>VLOOKUP($H325,инфо!$O:$P,2,FALSE)</f>
        <v>Мясо птицы консерв.</v>
      </c>
      <c r="J325" s="160" t="str">
        <f>VLOOKUP($I325,инфо!$D:$G,3,FALSE)</f>
        <v>кг</v>
      </c>
      <c r="K325" s="747" t="s">
        <v>1538</v>
      </c>
      <c r="L325" s="663">
        <v>100</v>
      </c>
      <c r="M325" s="963">
        <f>SUMIF($H$1:$H325,$H325,$L$1:$L325)-SUMIF($H$1:$H324,$H325,$N$1:$N324)</f>
        <v>100</v>
      </c>
      <c r="O325" s="962">
        <f t="shared" si="0"/>
        <v>100</v>
      </c>
    </row>
    <row r="326" spans="2:17" ht="18" customHeight="1" x14ac:dyDescent="0.25">
      <c r="B326" s="259">
        <v>45087</v>
      </c>
      <c r="C32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26" s="6"/>
      <c r="E326" s="259">
        <f t="shared" ref="E326:E351" si="1">B326</f>
        <v>45087</v>
      </c>
      <c r="G326" s="6"/>
      <c r="H326" t="s">
        <v>25</v>
      </c>
      <c r="I326" s="764" t="str">
        <f>VLOOKUP($H326,инфо!$O:$P,2,FALSE)</f>
        <v>Горох</v>
      </c>
      <c r="J326" s="160" t="str">
        <f>VLOOKUP($I326,инфо!$D:$G,3,FALSE)</f>
        <v>кг</v>
      </c>
      <c r="K326" s="747" t="s">
        <v>1538</v>
      </c>
      <c r="L326" s="663">
        <v>150</v>
      </c>
      <c r="M326" s="963">
        <f>SUMIF($H$1:$H326,$H326,$L$1:$L326)-SUMIF($H$1:$H325,$H326,$N$1:$N325)</f>
        <v>300</v>
      </c>
      <c r="O326" s="962">
        <f t="shared" si="0"/>
        <v>300</v>
      </c>
      <c r="Q326" s="658"/>
    </row>
    <row r="327" spans="2:17" ht="18" customHeight="1" x14ac:dyDescent="0.25">
      <c r="B327" s="259">
        <v>45087</v>
      </c>
      <c r="C32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27" s="6"/>
      <c r="E327" s="259">
        <f t="shared" si="1"/>
        <v>45087</v>
      </c>
      <c r="G327" s="6"/>
      <c r="H327" t="s">
        <v>38</v>
      </c>
      <c r="I327" s="764" t="str">
        <f>VLOOKUP($H327,инфо!$O:$P,2,FALSE)</f>
        <v>Гречневая</v>
      </c>
      <c r="J327" s="160" t="str">
        <f>VLOOKUP($I327,инфо!$D:$G,3,FALSE)</f>
        <v>кг</v>
      </c>
      <c r="K327" s="747" t="s">
        <v>1538</v>
      </c>
      <c r="L327" s="663">
        <v>140</v>
      </c>
      <c r="M327" s="963">
        <f>SUMIF($H$1:$H327,$H327,$L$1:$L327)-SUMIF($H$1:$H326,$H327,$N$1:$N326)</f>
        <v>140</v>
      </c>
      <c r="O327" s="962">
        <f t="shared" si="0"/>
        <v>140</v>
      </c>
      <c r="Q327" s="658"/>
    </row>
    <row r="328" spans="2:17" ht="18" customHeight="1" x14ac:dyDescent="0.25">
      <c r="B328" s="259">
        <v>45087</v>
      </c>
      <c r="C32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28" s="6"/>
      <c r="E328" s="259">
        <f t="shared" si="1"/>
        <v>45087</v>
      </c>
      <c r="G328" s="6"/>
      <c r="H328" t="s">
        <v>329</v>
      </c>
      <c r="I328" s="764" t="str">
        <f>VLOOKUP($H328,инфо!$O:$P,2,FALSE)</f>
        <v>Баклажан</v>
      </c>
      <c r="J328" s="160" t="str">
        <f>VLOOKUP($I328,инфо!$D:$G,3,FALSE)</f>
        <v>кг</v>
      </c>
      <c r="K328" s="747" t="s">
        <v>1538</v>
      </c>
      <c r="L328" s="663">
        <v>107</v>
      </c>
      <c r="M328" s="963">
        <f>SUMIF($H$1:$H328,$H328,$L$1:$L328)-SUMIF($H$1:$H327,$H328,$N$1:$N327)</f>
        <v>107</v>
      </c>
      <c r="O328" s="962">
        <f t="shared" si="0"/>
        <v>107</v>
      </c>
      <c r="Q328" s="658"/>
    </row>
    <row r="329" spans="2:17" ht="18" customHeight="1" x14ac:dyDescent="0.25">
      <c r="B329" s="259">
        <v>45087</v>
      </c>
      <c r="C32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29" s="6"/>
      <c r="E329" s="259">
        <f t="shared" si="1"/>
        <v>45087</v>
      </c>
      <c r="G329" s="6"/>
      <c r="H329" t="s">
        <v>322</v>
      </c>
      <c r="I329" s="764" t="str">
        <f>VLOOKUP($H329,инфо!$O:$P,2,FALSE)</f>
        <v>Кабачки</v>
      </c>
      <c r="J329" s="160" t="str">
        <f>VLOOKUP($I329,инфо!$D:$G,3,FALSE)</f>
        <v>кг</v>
      </c>
      <c r="K329" s="747" t="s">
        <v>1538</v>
      </c>
      <c r="L329" s="663">
        <v>108</v>
      </c>
      <c r="M329" s="963">
        <f>SUMIF($H$1:$H329,$H329,$L$1:$L329)-SUMIF($H$1:$H328,$H329,$N$1:$N328)</f>
        <v>108</v>
      </c>
      <c r="O329" s="962">
        <f t="shared" si="0"/>
        <v>108</v>
      </c>
      <c r="Q329" s="658"/>
    </row>
    <row r="330" spans="2:17" ht="18" customHeight="1" x14ac:dyDescent="0.25">
      <c r="B330" s="259">
        <v>45087</v>
      </c>
      <c r="C33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30" s="6"/>
      <c r="E330" s="259">
        <f t="shared" si="1"/>
        <v>45087</v>
      </c>
      <c r="G330" s="6"/>
      <c r="H330" t="s">
        <v>70</v>
      </c>
      <c r="I330" s="764" t="str">
        <f>VLOOKUP($H330,инфо!$O:$P,2,FALSE)</f>
        <v>Зелень</v>
      </c>
      <c r="J330" s="160" t="str">
        <f>VLOOKUP($I330,инфо!$D:$G,3,FALSE)</f>
        <v>кг</v>
      </c>
      <c r="K330" s="747" t="s">
        <v>1538</v>
      </c>
      <c r="L330" s="663">
        <v>104</v>
      </c>
      <c r="M330" s="963">
        <f>SUMIF($H$1:$H330,$H330,$L$1:$L330)-SUMIF($H$1:$H329,$H330,$N$1:$N329)</f>
        <v>104</v>
      </c>
      <c r="O330" s="962">
        <f t="shared" si="0"/>
        <v>104</v>
      </c>
      <c r="Q330" s="658"/>
    </row>
    <row r="331" spans="2:17" ht="18" customHeight="1" x14ac:dyDescent="0.25">
      <c r="B331" s="259">
        <v>45087</v>
      </c>
      <c r="C33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31" s="6"/>
      <c r="E331" s="259">
        <f t="shared" si="1"/>
        <v>45087</v>
      </c>
      <c r="G331" s="6"/>
      <c r="H331" t="s">
        <v>495</v>
      </c>
      <c r="I331" s="764" t="str">
        <f>VLOOKUP($H331,инфо!$O:$P,2,FALSE)</f>
        <v>Горошек консерв.</v>
      </c>
      <c r="J331" s="160" t="str">
        <f>VLOOKUP($I331,инфо!$D:$G,3,FALSE)</f>
        <v>кг</v>
      </c>
      <c r="K331" s="747" t="s">
        <v>1538</v>
      </c>
      <c r="L331" s="663">
        <v>145</v>
      </c>
      <c r="M331" s="963">
        <f>SUMIF($H$1:$H331,$H331,$L$1:$L331)-SUMIF($H$1:$H330,$H331,$N$1:$N330)</f>
        <v>145</v>
      </c>
      <c r="O331" s="962">
        <f t="shared" si="0"/>
        <v>145</v>
      </c>
      <c r="Q331" s="658"/>
    </row>
    <row r="332" spans="2:17" ht="18" customHeight="1" x14ac:dyDescent="0.25">
      <c r="B332" s="259">
        <v>45087</v>
      </c>
      <c r="C33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32" s="6"/>
      <c r="E332" s="259">
        <f t="shared" si="1"/>
        <v>45087</v>
      </c>
      <c r="G332" s="6"/>
      <c r="H332" t="s">
        <v>454</v>
      </c>
      <c r="I332" s="764" t="str">
        <f>VLOOKUP($H332,инфо!$O:$P,2,FALSE)</f>
        <v>Говядина б/к</v>
      </c>
      <c r="J332" s="160" t="str">
        <f>VLOOKUP($I332,инфо!$D:$G,3,FALSE)</f>
        <v>кг</v>
      </c>
      <c r="K332" s="747" t="s">
        <v>1538</v>
      </c>
      <c r="L332" s="663">
        <v>140</v>
      </c>
      <c r="M332" s="963">
        <f>SUMIF($H$1:$H332,$H332,$L$1:$L332)-SUMIF($H$1:$H331,$H332,$N$1:$N331)</f>
        <v>140</v>
      </c>
      <c r="O332" s="962">
        <f t="shared" si="0"/>
        <v>140</v>
      </c>
      <c r="Q332" s="658"/>
    </row>
    <row r="333" spans="2:17" ht="18" customHeight="1" x14ac:dyDescent="0.25">
      <c r="B333" s="259">
        <v>45087</v>
      </c>
      <c r="C33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33" s="6"/>
      <c r="E333" s="259">
        <f t="shared" si="1"/>
        <v>45087</v>
      </c>
      <c r="G333" s="6"/>
      <c r="H333" t="s">
        <v>502</v>
      </c>
      <c r="I333" s="764" t="str">
        <f>VLOOKUP($H333,инфо!$O:$P,2,FALSE)</f>
        <v>Говядина консерв.</v>
      </c>
      <c r="J333" s="160" t="str">
        <f>VLOOKUP($I333,инфо!$D:$G,3,FALSE)</f>
        <v>кг</v>
      </c>
      <c r="K333" s="747" t="s">
        <v>1538</v>
      </c>
      <c r="L333" s="663">
        <v>130</v>
      </c>
      <c r="M333" s="963">
        <f>SUMIF($H$1:$H333,$H333,$L$1:$L333)-SUMIF($H$1:$H332,$H333,$N$1:$N332)</f>
        <v>130</v>
      </c>
      <c r="O333" s="962">
        <f t="shared" si="0"/>
        <v>130</v>
      </c>
      <c r="Q333" s="658"/>
    </row>
    <row r="334" spans="2:17" ht="18" customHeight="1" x14ac:dyDescent="0.25">
      <c r="B334" s="259">
        <v>45087</v>
      </c>
      <c r="C33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34" s="6"/>
      <c r="E334" s="259">
        <f t="shared" si="1"/>
        <v>45087</v>
      </c>
      <c r="G334" s="6"/>
      <c r="H334" t="s">
        <v>1218</v>
      </c>
      <c r="I334" s="764" t="str">
        <f>VLOOKUP($H334,инфо!$O:$P,2,FALSE)</f>
        <v>Камбала б/г</v>
      </c>
      <c r="J334" s="160" t="str">
        <f>VLOOKUP($I334,инфо!$D:$G,3,FALSE)</f>
        <v>кг</v>
      </c>
      <c r="K334" s="747" t="s">
        <v>1538</v>
      </c>
      <c r="L334" s="663">
        <v>140</v>
      </c>
      <c r="M334" s="963">
        <f>SUMIF($H$1:$H334,$H334,$L$1:$L334)-SUMIF($H$1:$H333,$H334,$N$1:$N333)</f>
        <v>140</v>
      </c>
      <c r="O334" s="962">
        <f t="shared" si="0"/>
        <v>140</v>
      </c>
      <c r="Q334" s="658"/>
    </row>
    <row r="335" spans="2:17" ht="18" customHeight="1" x14ac:dyDescent="0.25">
      <c r="B335" s="259">
        <v>45087</v>
      </c>
      <c r="C33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35" s="6"/>
      <c r="E335" s="259">
        <f t="shared" si="1"/>
        <v>45087</v>
      </c>
      <c r="G335" s="6"/>
      <c r="H335" t="s">
        <v>1228</v>
      </c>
      <c r="I335" s="764" t="str">
        <f>VLOOKUP($H335,инфо!$O:$P,2,FALSE)</f>
        <v>Камбала с/г</v>
      </c>
      <c r="J335" s="160" t="str">
        <f>VLOOKUP($I335,инфо!$D:$G,3,FALSE)</f>
        <v>кг</v>
      </c>
      <c r="K335" s="747" t="s">
        <v>1538</v>
      </c>
      <c r="L335" s="663">
        <v>145</v>
      </c>
      <c r="M335" s="963">
        <f>SUMIF($H$1:$H335,$H335,$L$1:$L335)-SUMIF($H$1:$H334,$H335,$N$1:$N334)</f>
        <v>145</v>
      </c>
      <c r="O335" s="962">
        <f t="shared" si="0"/>
        <v>145</v>
      </c>
      <c r="Q335" s="658"/>
    </row>
    <row r="336" spans="2:17" ht="18" customHeight="1" x14ac:dyDescent="0.25">
      <c r="B336" s="259">
        <v>45087</v>
      </c>
      <c r="C33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36" s="6"/>
      <c r="E336" s="259">
        <f t="shared" si="1"/>
        <v>45087</v>
      </c>
      <c r="G336" s="6"/>
      <c r="H336" t="s">
        <v>504</v>
      </c>
      <c r="I336" s="764" t="str">
        <f>VLOOKUP($H336,инфо!$O:$P,2,FALSE)</f>
        <v>Горбуша б/г</v>
      </c>
      <c r="J336" s="160" t="str">
        <f>VLOOKUP($I336,инфо!$D:$G,3,FALSE)</f>
        <v>кг</v>
      </c>
      <c r="K336" s="747" t="s">
        <v>1538</v>
      </c>
      <c r="L336" s="663">
        <v>150</v>
      </c>
      <c r="M336" s="963">
        <f>SUMIF($H$1:$H336,$H336,$L$1:$L336)-SUMIF($H$1:$H335,$H336,$N$1:$N335)</f>
        <v>150</v>
      </c>
      <c r="O336" s="962">
        <f t="shared" si="0"/>
        <v>150</v>
      </c>
      <c r="Q336" s="658"/>
    </row>
    <row r="337" spans="2:17" ht="18" customHeight="1" x14ac:dyDescent="0.25">
      <c r="B337" s="259">
        <v>45087</v>
      </c>
      <c r="C33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37" s="6"/>
      <c r="E337" s="259">
        <f t="shared" si="1"/>
        <v>45087</v>
      </c>
      <c r="G337" s="6"/>
      <c r="H337" t="s">
        <v>465</v>
      </c>
      <c r="I337" s="764" t="str">
        <f>VLOOKUP($H337,инфо!$O:$P,2,FALSE)</f>
        <v>Горбуша с/г</v>
      </c>
      <c r="J337" s="160" t="str">
        <f>VLOOKUP($I337,инфо!$D:$G,3,FALSE)</f>
        <v>кг</v>
      </c>
      <c r="K337" s="747" t="s">
        <v>1538</v>
      </c>
      <c r="L337" s="663">
        <v>140</v>
      </c>
      <c r="M337" s="963">
        <f>SUMIF($H$1:$H337,$H337,$L$1:$L337)-SUMIF($H$1:$H336,$H337,$N$1:$N336)</f>
        <v>140</v>
      </c>
      <c r="O337" s="962">
        <f t="shared" si="0"/>
        <v>140</v>
      </c>
      <c r="Q337" s="658"/>
    </row>
    <row r="338" spans="2:17" ht="18" customHeight="1" x14ac:dyDescent="0.25">
      <c r="B338" s="259">
        <v>45087</v>
      </c>
      <c r="C33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38" s="6"/>
      <c r="E338" s="259">
        <f t="shared" si="1"/>
        <v>45087</v>
      </c>
      <c r="G338" s="6"/>
      <c r="H338" t="s">
        <v>142</v>
      </c>
      <c r="I338" s="764" t="str">
        <f>VLOOKUP($H338,инфо!$O:$P,2,FALSE)</f>
        <v>Горчица</v>
      </c>
      <c r="J338" s="160" t="str">
        <f>VLOOKUP($I338,инфо!$D:$G,3,FALSE)</f>
        <v>кг</v>
      </c>
      <c r="K338" s="747" t="s">
        <v>1538</v>
      </c>
      <c r="L338" s="663">
        <v>110</v>
      </c>
      <c r="M338" s="963">
        <f>SUMIF($H$1:$H338,$H338,$L$1:$L338)-SUMIF($H$1:$H337,$H338,$N$1:$N337)</f>
        <v>110</v>
      </c>
      <c r="O338" s="962">
        <f t="shared" si="0"/>
        <v>110</v>
      </c>
      <c r="Q338" s="658"/>
    </row>
    <row r="339" spans="2:17" ht="18" customHeight="1" x14ac:dyDescent="0.25">
      <c r="B339" s="259">
        <v>45087</v>
      </c>
      <c r="C33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39" s="6"/>
      <c r="E339" s="259">
        <f t="shared" si="1"/>
        <v>45087</v>
      </c>
      <c r="G339" s="6"/>
      <c r="H339" t="s">
        <v>69</v>
      </c>
      <c r="I339" s="764" t="str">
        <f>VLOOKUP($H339,инфо!$O:$P,2,FALSE)</f>
        <v>Горчичный порошок</v>
      </c>
      <c r="J339" s="160" t="str">
        <f>VLOOKUP($I339,инфо!$D:$G,3,FALSE)</f>
        <v>кг</v>
      </c>
      <c r="K339" s="747" t="s">
        <v>1538</v>
      </c>
      <c r="L339" s="663">
        <v>112</v>
      </c>
      <c r="M339" s="963">
        <f>SUMIF($H$1:$H339,$H339,$L$1:$L339)-SUMIF($H$1:$H338,$H339,$N$1:$N338)</f>
        <v>112</v>
      </c>
      <c r="O339" s="962">
        <f t="shared" si="0"/>
        <v>112</v>
      </c>
      <c r="Q339" s="658"/>
    </row>
    <row r="340" spans="2:17" ht="18" customHeight="1" x14ac:dyDescent="0.25">
      <c r="B340" s="259">
        <v>45087</v>
      </c>
      <c r="C34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40" s="6"/>
      <c r="E340" s="259">
        <f t="shared" si="1"/>
        <v>45087</v>
      </c>
      <c r="G340" s="6"/>
      <c r="H340" t="s">
        <v>323</v>
      </c>
      <c r="I340" s="764" t="str">
        <f>VLOOKUP($H340,инфо!$O:$P,2,FALSE)</f>
        <v>Дрожжи</v>
      </c>
      <c r="J340" s="160" t="str">
        <f>VLOOKUP($I340,инфо!$D:$G,3,FALSE)</f>
        <v>кг</v>
      </c>
      <c r="K340" s="747" t="s">
        <v>1538</v>
      </c>
      <c r="L340" s="663">
        <v>108</v>
      </c>
      <c r="M340" s="963">
        <f>SUMIF($H$1:$H340,$H340,$L$1:$L340)-SUMIF($H$1:$H339,$H340,$N$1:$N339)</f>
        <v>108</v>
      </c>
      <c r="O340" s="962">
        <f t="shared" si="0"/>
        <v>108</v>
      </c>
      <c r="Q340" s="658"/>
    </row>
    <row r="341" spans="2:17" ht="18" customHeight="1" x14ac:dyDescent="0.25">
      <c r="B341" s="259">
        <v>45087</v>
      </c>
      <c r="C34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41" s="6"/>
      <c r="E341" s="259">
        <f t="shared" si="1"/>
        <v>45087</v>
      </c>
      <c r="G341" s="6"/>
      <c r="H341" t="s">
        <v>330</v>
      </c>
      <c r="I341" s="764" t="str">
        <f>VLOOKUP($H341,инфо!$O:$P,2,FALSE)</f>
        <v>Вода</v>
      </c>
      <c r="J341" s="160" t="str">
        <f>VLOOKUP($I341,инфо!$D:$G,3,FALSE)</f>
        <v>литр</v>
      </c>
      <c r="K341" s="747" t="s">
        <v>1538</v>
      </c>
      <c r="L341" s="663">
        <v>100000</v>
      </c>
      <c r="M341" s="963">
        <f>SUMIF($H$1:$H341,$H341,$L$1:$L341)-SUMIF($H$1:$H340,$H341,$N$1:$N340)</f>
        <v>100000</v>
      </c>
      <c r="O341" s="962">
        <f t="shared" si="0"/>
        <v>100000</v>
      </c>
      <c r="Q341" s="658"/>
    </row>
    <row r="342" spans="2:17" ht="18" customHeight="1" x14ac:dyDescent="0.25">
      <c r="B342" s="259">
        <v>45087</v>
      </c>
      <c r="C34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42" s="6"/>
      <c r="E342" s="259">
        <f t="shared" si="1"/>
        <v>45087</v>
      </c>
      <c r="G342" s="6"/>
      <c r="H342" t="s">
        <v>479</v>
      </c>
      <c r="I342" s="764" t="str">
        <f>VLOOKUP($H342,инфо!$O:$P,2,FALSE)</f>
        <v>Вода или бульон</v>
      </c>
      <c r="J342" s="160" t="str">
        <f>VLOOKUP($I342,инфо!$D:$G,3,FALSE)</f>
        <v>литр</v>
      </c>
      <c r="K342" s="747" t="s">
        <v>1538</v>
      </c>
      <c r="L342" s="663">
        <v>1000</v>
      </c>
      <c r="M342" s="963">
        <f>SUMIF($H$1:$H342,$H342,$L$1:$L342)-SUMIF($H$1:$H341,$H342,$N$1:$N341)</f>
        <v>1000</v>
      </c>
      <c r="O342" s="962">
        <f t="shared" si="0"/>
        <v>1000</v>
      </c>
      <c r="Q342" s="658"/>
    </row>
    <row r="343" spans="2:17" ht="18" customHeight="1" x14ac:dyDescent="0.25">
      <c r="B343" s="259">
        <v>45087</v>
      </c>
      <c r="C34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43" s="6"/>
      <c r="E343" s="259">
        <f t="shared" si="1"/>
        <v>45087</v>
      </c>
      <c r="G343" s="6"/>
      <c r="H343" t="s">
        <v>423</v>
      </c>
      <c r="I343" s="764" t="str">
        <f>VLOOKUP($H343,инфо!$O:$P,2,FALSE)</f>
        <v>Какао</v>
      </c>
      <c r="J343" s="160" t="str">
        <f>VLOOKUP($I343,инфо!$D:$G,3,FALSE)</f>
        <v>кг</v>
      </c>
      <c r="K343" s="747" t="s">
        <v>1538</v>
      </c>
      <c r="L343" s="663">
        <v>110</v>
      </c>
      <c r="M343" s="963">
        <f>SUMIF($H$1:$H343,$H343,$L$1:$L343)-SUMIF($H$1:$H342,$H343,$N$1:$N342)</f>
        <v>110</v>
      </c>
      <c r="O343" s="962">
        <f t="shared" si="0"/>
        <v>110</v>
      </c>
      <c r="Q343" s="658"/>
    </row>
    <row r="344" spans="2:17" ht="18" customHeight="1" x14ac:dyDescent="0.25">
      <c r="B344" s="259">
        <v>45087</v>
      </c>
      <c r="C34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44" s="6"/>
      <c r="E344" s="259">
        <f t="shared" si="1"/>
        <v>45087</v>
      </c>
      <c r="G344" s="6"/>
      <c r="H344" t="s">
        <v>179</v>
      </c>
      <c r="I344" s="764" t="str">
        <f>VLOOKUP($H344,инфо!$O:$P,2,FALSE)</f>
        <v>Гексавит</v>
      </c>
      <c r="J344" s="160" t="str">
        <f>VLOOKUP($I344,инфо!$D:$G,3,FALSE)</f>
        <v>кг</v>
      </c>
      <c r="K344" s="747" t="s">
        <v>1538</v>
      </c>
      <c r="L344" s="663">
        <v>130</v>
      </c>
      <c r="M344" s="963">
        <f>SUMIF($H$1:$H344,$H344,$L$1:$L344)-SUMIF($H$1:$H343,$H344,$N$1:$N343)</f>
        <v>130</v>
      </c>
      <c r="O344" s="962">
        <f t="shared" si="0"/>
        <v>130</v>
      </c>
      <c r="Q344" s="658"/>
    </row>
    <row r="345" spans="2:17" ht="18" customHeight="1" x14ac:dyDescent="0.25">
      <c r="B345" s="259">
        <v>45087</v>
      </c>
      <c r="C34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45" s="6"/>
      <c r="E345" s="259">
        <f t="shared" si="1"/>
        <v>45087</v>
      </c>
      <c r="G345" s="6"/>
      <c r="H345" t="s">
        <v>324</v>
      </c>
      <c r="I345" s="764" t="str">
        <f>VLOOKUP($H345,инфо!$O:$P,2,FALSE)</f>
        <v>Изюм</v>
      </c>
      <c r="J345" s="160" t="str">
        <f>VLOOKUP($I345,инфо!$D:$G,3,FALSE)</f>
        <v>кг</v>
      </c>
      <c r="K345" s="747" t="s">
        <v>1538</v>
      </c>
      <c r="L345" s="663">
        <v>110</v>
      </c>
      <c r="M345" s="963">
        <f>SUMIF($H$1:$H345,$H345,$L$1:$L345)-SUMIF($H$1:$H344,$H345,$N$1:$N344)</f>
        <v>110</v>
      </c>
      <c r="O345" s="962">
        <f t="shared" si="0"/>
        <v>110</v>
      </c>
      <c r="Q345" s="658"/>
    </row>
    <row r="346" spans="2:17" ht="18" customHeight="1" x14ac:dyDescent="0.25">
      <c r="B346" s="259">
        <v>45087</v>
      </c>
      <c r="C34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46" s="6"/>
      <c r="E346" s="259">
        <f t="shared" si="1"/>
        <v>45087</v>
      </c>
      <c r="G346" s="6"/>
      <c r="H346" t="s">
        <v>81</v>
      </c>
      <c r="I346" s="764" t="str">
        <f>VLOOKUP($H346,инфо!$O:$P,2,FALSE)</f>
        <v>Вафли</v>
      </c>
      <c r="J346" s="160" t="str">
        <f>VLOOKUP($I346,инфо!$D:$G,3,FALSE)</f>
        <v>кг</v>
      </c>
      <c r="K346" s="747" t="s">
        <v>1538</v>
      </c>
      <c r="L346" s="663">
        <v>120</v>
      </c>
      <c r="M346" s="963">
        <f>SUMIF($H$1:$H346,$H346,$L$1:$L346)-SUMIF($H$1:$H345,$H346,$N$1:$N345)</f>
        <v>120</v>
      </c>
      <c r="O346" s="962">
        <f t="shared" si="0"/>
        <v>120</v>
      </c>
      <c r="Q346" s="658"/>
    </row>
    <row r="347" spans="2:17" ht="18" customHeight="1" x14ac:dyDescent="0.25">
      <c r="B347" s="259">
        <v>45089</v>
      </c>
      <c r="C34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47" s="259">
        <f t="shared" si="1"/>
        <v>45089</v>
      </c>
      <c r="H347" t="s">
        <v>318</v>
      </c>
      <c r="I347" s="764" t="str">
        <f>VLOOKUP($H347,инфо!$O:$P,2,FALSE)</f>
        <v>Фасоль</v>
      </c>
      <c r="J347" s="160" t="str">
        <f>VLOOKUP($I347,инфо!$D:$G,3,FALSE)</f>
        <v>кг</v>
      </c>
      <c r="K347" s="747" t="s">
        <v>1538</v>
      </c>
      <c r="L347" s="663">
        <v>155</v>
      </c>
      <c r="M347" s="963">
        <f>SUMIF($H$1:$H347,$H347,$L$1:$L347)-SUMIF($H$1:$H346,$H347,$N$1:$N346)</f>
        <v>155</v>
      </c>
      <c r="O347" s="962">
        <f t="shared" si="0"/>
        <v>155</v>
      </c>
      <c r="Q347" s="658"/>
    </row>
    <row r="348" spans="2:17" ht="18" customHeight="1" x14ac:dyDescent="0.25">
      <c r="B348" s="259">
        <v>45089</v>
      </c>
      <c r="C34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48" s="259">
        <f t="shared" si="1"/>
        <v>45089</v>
      </c>
      <c r="H348" t="s">
        <v>40</v>
      </c>
      <c r="I348" s="764" t="str">
        <f>VLOOKUP($H348,инфо!$O:$P,2,FALSE)</f>
        <v>Ячневая</v>
      </c>
      <c r="J348" s="160" t="str">
        <f>VLOOKUP($I348,инфо!$D:$G,3,FALSE)</f>
        <v>кг</v>
      </c>
      <c r="K348" s="747" t="s">
        <v>1538</v>
      </c>
      <c r="L348" s="663">
        <v>160</v>
      </c>
      <c r="M348" s="963">
        <f>SUMIF($H$1:$H348,$H348,$L$1:$L348)-SUMIF($H$1:$H347,$H348,$N$1:$N347)</f>
        <v>160</v>
      </c>
      <c r="O348" s="962">
        <f t="shared" si="0"/>
        <v>160</v>
      </c>
      <c r="Q348" s="658"/>
    </row>
    <row r="349" spans="2:17" ht="18" customHeight="1" x14ac:dyDescent="0.25">
      <c r="B349" s="259">
        <v>45089</v>
      </c>
      <c r="C34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49" s="259">
        <f t="shared" si="1"/>
        <v>45089</v>
      </c>
      <c r="H349" t="s">
        <v>436</v>
      </c>
      <c r="I349" s="764" t="str">
        <f>VLOOKUP($H349,инфо!$O:$P,2,FALSE)</f>
        <v>Сухари</v>
      </c>
      <c r="J349" s="160" t="str">
        <f>VLOOKUP($I349,инфо!$D:$G,3,FALSE)</f>
        <v>кг</v>
      </c>
      <c r="K349" s="747" t="s">
        <v>1538</v>
      </c>
      <c r="L349" s="663">
        <v>110</v>
      </c>
      <c r="M349" s="963">
        <f>SUMIF($H$1:$H349,$H349,$L$1:$L349)-SUMIF($H$1:$H348,$H349,$N$1:$N348)</f>
        <v>110</v>
      </c>
      <c r="O349" s="962">
        <f t="shared" si="0"/>
        <v>110</v>
      </c>
      <c r="Q349" s="658"/>
    </row>
    <row r="350" spans="2:17" ht="18" customHeight="1" x14ac:dyDescent="0.25">
      <c r="B350" s="259">
        <v>45089</v>
      </c>
      <c r="C35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50" s="259">
        <f t="shared" si="1"/>
        <v>45089</v>
      </c>
      <c r="H350" t="s">
        <v>51</v>
      </c>
      <c r="I350" s="764" t="str">
        <f>VLOOKUP($H350,инфо!$O:$P,2,FALSE)</f>
        <v>Хлеб дарницкий</v>
      </c>
      <c r="J350" s="160" t="str">
        <f>VLOOKUP($I350,инфо!$D:$G,3,FALSE)</f>
        <v>кг</v>
      </c>
      <c r="K350" s="747" t="s">
        <v>1538</v>
      </c>
      <c r="L350" s="663">
        <v>150</v>
      </c>
      <c r="M350" s="963">
        <f>SUMIF($H$1:$H350,$H350,$L$1:$L350)-SUMIF($H$1:$H349,$H350,$N$1:$N349)</f>
        <v>150</v>
      </c>
      <c r="O350" s="962">
        <f t="shared" si="0"/>
        <v>150</v>
      </c>
      <c r="Q350" s="658"/>
    </row>
    <row r="351" spans="2:17" ht="18" customHeight="1" x14ac:dyDescent="0.25">
      <c r="B351" s="259">
        <v>45089</v>
      </c>
      <c r="C35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51" s="259">
        <f t="shared" si="1"/>
        <v>45089</v>
      </c>
      <c r="H351" t="s">
        <v>51</v>
      </c>
      <c r="I351" s="764" t="str">
        <f>VLOOKUP($H351,инфо!$O:$P,2,FALSE)</f>
        <v>Хлеб дарницкий</v>
      </c>
      <c r="J351" s="160" t="str">
        <f>VLOOKUP($I351,инфо!$D:$G,3,FALSE)</f>
        <v>кг</v>
      </c>
      <c r="K351" s="747" t="s">
        <v>1538</v>
      </c>
      <c r="L351" s="663">
        <v>120</v>
      </c>
      <c r="M351" s="963">
        <f>SUMIF($H$1:$H351,$H351,$L$1:$L351)-SUMIF($H$1:$H350,$H351,$N$1:$N350)</f>
        <v>270</v>
      </c>
      <c r="O351" s="962">
        <f t="shared" si="0"/>
        <v>270</v>
      </c>
      <c r="Q351" s="658"/>
    </row>
    <row r="352" spans="2:17" ht="18" customHeight="1" x14ac:dyDescent="0.25">
      <c r="B352" s="259">
        <v>45089</v>
      </c>
      <c r="C35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352" s="259">
        <v>45089</v>
      </c>
      <c r="H352" s="254" t="s">
        <v>51</v>
      </c>
      <c r="I352" s="764" t="str">
        <f>VLOOKUP($H352,инфо!$O:$P,2,FALSE)</f>
        <v>Хлеб дарницкий</v>
      </c>
      <c r="J352" s="160" t="str">
        <f>VLOOKUP($I352,инфо!$D:$G,3,FALSE)</f>
        <v>кг</v>
      </c>
      <c r="K352" s="747" t="s">
        <v>1538</v>
      </c>
      <c r="M352" s="963">
        <f>SUMIF($H$1:$H352,$H352,$L$1:$L352)-SUMIF($H$1:$H351,$H352,$N$1:$N351)</f>
        <v>270</v>
      </c>
      <c r="N352" s="964">
        <v>15</v>
      </c>
      <c r="O352" s="962">
        <f t="shared" si="0"/>
        <v>255</v>
      </c>
    </row>
    <row r="353" spans="2:17" ht="18" customHeight="1" x14ac:dyDescent="0.25">
      <c r="B353" s="259">
        <v>45089</v>
      </c>
      <c r="C35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53" s="259">
        <f>B353</f>
        <v>45089</v>
      </c>
      <c r="H353" t="s">
        <v>411</v>
      </c>
      <c r="I353" s="764" t="str">
        <f>VLOOKUP($H353,инфо!$O:$P,2,FALSE)</f>
        <v>Хлеб из муки пш. 1 сорта</v>
      </c>
      <c r="J353" s="160" t="str">
        <f>VLOOKUP($I353,инфо!$D:$G,3,FALSE)</f>
        <v>кг</v>
      </c>
      <c r="K353" s="747" t="s">
        <v>1538</v>
      </c>
      <c r="L353" s="663">
        <v>160</v>
      </c>
      <c r="M353" s="963">
        <f>SUMIF($H$1:$H353,$H353,$L$1:$L353)-SUMIF($H$1:$H352,$H353,$N$1:$N352)</f>
        <v>160</v>
      </c>
      <c r="O353" s="962">
        <f t="shared" si="0"/>
        <v>160</v>
      </c>
      <c r="Q353" s="658"/>
    </row>
    <row r="354" spans="2:17" ht="18" customHeight="1" x14ac:dyDescent="0.25">
      <c r="B354" s="259">
        <v>45089</v>
      </c>
      <c r="C35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54" s="259">
        <f>B354</f>
        <v>45089</v>
      </c>
      <c r="H354" t="s">
        <v>411</v>
      </c>
      <c r="I354" s="764" t="str">
        <f>VLOOKUP($H354,инфо!$O:$P,2,FALSE)</f>
        <v>Хлеб из муки пш. 1 сорта</v>
      </c>
      <c r="J354" s="160" t="str">
        <f>VLOOKUP($I354,инфо!$D:$G,3,FALSE)</f>
        <v>кг</v>
      </c>
      <c r="K354" s="747" t="s">
        <v>1538</v>
      </c>
      <c r="L354" s="663">
        <v>140</v>
      </c>
      <c r="M354" s="963">
        <f>SUMIF($H$1:$H354,$H354,$L$1:$L354)-SUMIF($H$1:$H353,$H354,$N$1:$N353)</f>
        <v>300</v>
      </c>
      <c r="O354" s="962">
        <f t="shared" si="0"/>
        <v>300</v>
      </c>
      <c r="Q354" s="658"/>
    </row>
    <row r="355" spans="2:17" ht="18" customHeight="1" x14ac:dyDescent="0.25">
      <c r="B355" s="259">
        <v>45089</v>
      </c>
      <c r="C355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355" s="259">
        <v>45089</v>
      </c>
      <c r="H355" s="254" t="s">
        <v>411</v>
      </c>
      <c r="I355" s="764" t="str">
        <f>VLOOKUP($H355,инфо!$O:$P,2,FALSE)</f>
        <v>Хлеб из муки пш. 1 сорта</v>
      </c>
      <c r="J355" s="160" t="str">
        <f>VLOOKUP($I355,инфо!$D:$G,3,FALSE)</f>
        <v>кг</v>
      </c>
      <c r="K355" s="747" t="s">
        <v>1538</v>
      </c>
      <c r="M355" s="963">
        <f>SUMIF($H$1:$H355,$H355,$L$1:$L355)-SUMIF($H$1:$H354,$H355,$N$1:$N354)</f>
        <v>300</v>
      </c>
      <c r="N355" s="964">
        <v>20</v>
      </c>
      <c r="O355" s="962">
        <f t="shared" si="0"/>
        <v>280</v>
      </c>
    </row>
    <row r="356" spans="2:17" ht="18" customHeight="1" x14ac:dyDescent="0.25">
      <c r="B356" s="259">
        <v>45089</v>
      </c>
      <c r="C35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56" s="259">
        <f>B356</f>
        <v>45089</v>
      </c>
      <c r="H356" t="s">
        <v>45</v>
      </c>
      <c r="I356" s="764" t="str">
        <f>VLOOKUP($H356,инфо!$O:$P,2,FALSE)</f>
        <v>Картофель</v>
      </c>
      <c r="J356" s="160" t="str">
        <f>VLOOKUP($I356,инфо!$D:$G,3,FALSE)</f>
        <v>кг</v>
      </c>
      <c r="K356" s="747" t="s">
        <v>1538</v>
      </c>
      <c r="L356" s="663">
        <v>300</v>
      </c>
      <c r="M356" s="963">
        <f>SUMIF($H$1:$H356,$H356,$L$1:$L356)-SUMIF($H$1:$H355,$H356,$N$1:$N355)</f>
        <v>300</v>
      </c>
      <c r="O356" s="962">
        <f t="shared" si="0"/>
        <v>300</v>
      </c>
    </row>
    <row r="357" spans="2:17" ht="18" customHeight="1" x14ac:dyDescent="0.25">
      <c r="B357" s="259">
        <v>45089</v>
      </c>
      <c r="C35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357" s="259">
        <v>45089</v>
      </c>
      <c r="H357" s="254" t="s">
        <v>45</v>
      </c>
      <c r="I357" s="764" t="str">
        <f>VLOOKUP($H357,инфо!$O:$P,2,FALSE)</f>
        <v>Картофель</v>
      </c>
      <c r="J357" s="160" t="str">
        <f>VLOOKUP($I357,инфо!$D:$G,3,FALSE)</f>
        <v>кг</v>
      </c>
      <c r="K357" s="747" t="s">
        <v>1538</v>
      </c>
      <c r="M357" s="963">
        <f>SUMIF($H$1:$H357,$H357,$L$1:$L357)-SUMIF($H$1:$H356,$H357,$N$1:$N356)</f>
        <v>300</v>
      </c>
      <c r="N357" s="964">
        <v>7</v>
      </c>
      <c r="O357" s="962">
        <f t="shared" si="0"/>
        <v>293</v>
      </c>
    </row>
    <row r="358" spans="2:17" ht="18" customHeight="1" x14ac:dyDescent="0.25">
      <c r="B358" s="259">
        <v>45089</v>
      </c>
      <c r="C35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58" s="259">
        <f t="shared" ref="E358:E375" si="2">B358</f>
        <v>45089</v>
      </c>
      <c r="H358" t="s">
        <v>500</v>
      </c>
      <c r="I358" s="764" t="str">
        <f>VLOOKUP($H358,инфо!$O:$P,2,FALSE)</f>
        <v>Укроп</v>
      </c>
      <c r="J358" s="160" t="str">
        <f>VLOOKUP($I358,инфо!$D:$G,3,FALSE)</f>
        <v>кг</v>
      </c>
      <c r="K358" s="747" t="s">
        <v>1538</v>
      </c>
      <c r="L358" s="663">
        <v>130</v>
      </c>
      <c r="M358" s="963">
        <f>SUMIF($H$1:$H358,$H358,$L$1:$L358)-SUMIF($H$1:$H357,$H358,$N$1:$N357)</f>
        <v>130</v>
      </c>
      <c r="O358" s="962">
        <f t="shared" si="0"/>
        <v>130</v>
      </c>
      <c r="Q358" s="658"/>
    </row>
    <row r="359" spans="2:17" ht="18" customHeight="1" x14ac:dyDescent="0.25">
      <c r="B359" s="259">
        <v>45089</v>
      </c>
      <c r="C35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59" s="259">
        <f t="shared" si="2"/>
        <v>45089</v>
      </c>
      <c r="H359" t="s">
        <v>49</v>
      </c>
      <c r="I359" s="764" t="str">
        <f>VLOOKUP($H359,инфо!$O:$P,2,FALSE)</f>
        <v>Чеснок</v>
      </c>
      <c r="J359" s="160" t="str">
        <f>VLOOKUP($I359,инфо!$D:$G,3,FALSE)</f>
        <v>кг</v>
      </c>
      <c r="K359" s="747" t="s">
        <v>1538</v>
      </c>
      <c r="L359" s="663">
        <v>130</v>
      </c>
      <c r="M359" s="963">
        <f>SUMIF($H$1:$H359,$H359,$L$1:$L359)-SUMIF($H$1:$H358,$H359,$N$1:$N358)</f>
        <v>130</v>
      </c>
      <c r="O359" s="962">
        <f t="shared" si="0"/>
        <v>130</v>
      </c>
      <c r="Q359" s="658"/>
    </row>
    <row r="360" spans="2:17" ht="18" customHeight="1" x14ac:dyDescent="0.25">
      <c r="B360" s="259">
        <v>45089</v>
      </c>
      <c r="C36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60" s="259">
        <f t="shared" si="2"/>
        <v>45089</v>
      </c>
      <c r="H360" t="s">
        <v>501</v>
      </c>
      <c r="I360" s="764" t="str">
        <f>VLOOKUP($H360,инфо!$O:$P,2,FALSE)</f>
        <v>Фасоль консерв.</v>
      </c>
      <c r="J360" s="160" t="str">
        <f>VLOOKUP($I360,инфо!$D:$G,3,FALSE)</f>
        <v>кг</v>
      </c>
      <c r="K360" s="747" t="s">
        <v>1538</v>
      </c>
      <c r="L360" s="663">
        <v>144</v>
      </c>
      <c r="M360" s="963">
        <f>SUMIF($H$1:$H360,$H360,$L$1:$L360)-SUMIF($H$1:$H359,$H360,$N$1:$N359)</f>
        <v>144</v>
      </c>
      <c r="O360" s="962">
        <f t="shared" si="0"/>
        <v>144</v>
      </c>
      <c r="Q360" s="658"/>
    </row>
    <row r="361" spans="2:17" ht="18" customHeight="1" x14ac:dyDescent="0.25">
      <c r="B361" s="259">
        <v>45089</v>
      </c>
      <c r="C36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61" s="259">
        <f t="shared" si="2"/>
        <v>45089</v>
      </c>
      <c r="H361" t="s">
        <v>320</v>
      </c>
      <c r="I361" s="764" t="str">
        <f>VLOOKUP($H361,инфо!$O:$P,2,FALSE)</f>
        <v>Творог</v>
      </c>
      <c r="J361" s="160" t="str">
        <f>VLOOKUP($I361,инфо!$D:$G,3,FALSE)</f>
        <v>кг</v>
      </c>
      <c r="K361" s="747" t="s">
        <v>1538</v>
      </c>
      <c r="L361" s="663">
        <v>130</v>
      </c>
      <c r="M361" s="963">
        <f>SUMIF($H$1:$H361,$H361,$L$1:$L361)-SUMIF($H$1:$H360,$H361,$N$1:$N360)</f>
        <v>130</v>
      </c>
      <c r="O361" s="962">
        <f t="shared" si="0"/>
        <v>130</v>
      </c>
      <c r="Q361" s="658"/>
    </row>
    <row r="362" spans="2:17" ht="18" customHeight="1" x14ac:dyDescent="0.25">
      <c r="B362" s="259">
        <v>45089</v>
      </c>
      <c r="C36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62" s="259">
        <f t="shared" si="2"/>
        <v>45089</v>
      </c>
      <c r="H362" t="s">
        <v>56</v>
      </c>
      <c r="I362" s="764" t="str">
        <f>VLOOKUP($H362,инфо!$O:$P,2,FALSE)</f>
        <v>Сыр плавленный</v>
      </c>
      <c r="J362" s="160" t="str">
        <f>VLOOKUP($I362,инфо!$D:$G,3,FALSE)</f>
        <v>кг</v>
      </c>
      <c r="K362" s="747" t="s">
        <v>1538</v>
      </c>
      <c r="L362" s="663">
        <v>150</v>
      </c>
      <c r="M362" s="963">
        <f>SUMIF($H$1:$H362,$H362,$L$1:$L362)-SUMIF($H$1:$H361,$H362,$N$1:$N361)</f>
        <v>150</v>
      </c>
      <c r="O362" s="962">
        <f t="shared" si="0"/>
        <v>150</v>
      </c>
      <c r="Q362" s="658"/>
    </row>
    <row r="363" spans="2:17" ht="18" customHeight="1" x14ac:dyDescent="0.25">
      <c r="B363" s="259">
        <v>45089</v>
      </c>
      <c r="C36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63" s="259">
        <f t="shared" si="2"/>
        <v>45089</v>
      </c>
      <c r="H363" t="s">
        <v>321</v>
      </c>
      <c r="I363" s="764" t="str">
        <f>VLOOKUP($H363,инфо!$O:$P,2,FALSE)</f>
        <v>Сыр</v>
      </c>
      <c r="J363" s="160" t="str">
        <f>VLOOKUP($I363,инфо!$D:$G,3,FALSE)</f>
        <v>кг</v>
      </c>
      <c r="K363" s="747" t="s">
        <v>1538</v>
      </c>
      <c r="L363" s="663">
        <v>140</v>
      </c>
      <c r="M363" s="963">
        <f>SUMIF($H$1:$H363,$H363,$L$1:$L363)-SUMIF($H$1:$H362,$H363,$N$1:$N362)</f>
        <v>140</v>
      </c>
      <c r="O363" s="962">
        <f t="shared" si="0"/>
        <v>140</v>
      </c>
      <c r="Q363" s="658"/>
    </row>
    <row r="364" spans="2:17" ht="18" customHeight="1" x14ac:dyDescent="0.25">
      <c r="B364" s="259">
        <v>45089</v>
      </c>
      <c r="C36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64" s="259">
        <f t="shared" si="2"/>
        <v>45089</v>
      </c>
      <c r="H364" t="s">
        <v>1225</v>
      </c>
      <c r="I364" s="764" t="str">
        <f>VLOOKUP($H364,инфо!$O:$P,2,FALSE)</f>
        <v>Хек б/г</v>
      </c>
      <c r="J364" s="160" t="str">
        <f>VLOOKUP($I364,инфо!$D:$G,3,FALSE)</f>
        <v>кг</v>
      </c>
      <c r="K364" s="747" t="s">
        <v>1538</v>
      </c>
      <c r="L364" s="663">
        <v>150</v>
      </c>
      <c r="M364" s="963">
        <f>SUMIF($H$1:$H364,$H364,$L$1:$L364)-SUMIF($H$1:$H363,$H364,$N$1:$N363)</f>
        <v>150</v>
      </c>
      <c r="O364" s="962">
        <f t="shared" si="0"/>
        <v>150</v>
      </c>
      <c r="Q364" s="658"/>
    </row>
    <row r="365" spans="2:17" ht="18" customHeight="1" x14ac:dyDescent="0.25">
      <c r="B365" s="259">
        <v>45089</v>
      </c>
      <c r="C36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65" s="259">
        <f t="shared" si="2"/>
        <v>45089</v>
      </c>
      <c r="H365" t="s">
        <v>1233</v>
      </c>
      <c r="I365" s="764" t="str">
        <f>VLOOKUP($H365,инфо!$O:$P,2,FALSE)</f>
        <v>Хек с/г</v>
      </c>
      <c r="J365" s="160" t="str">
        <f>VLOOKUP($I365,инфо!$D:$G,3,FALSE)</f>
        <v>кг</v>
      </c>
      <c r="K365" s="747" t="s">
        <v>1538</v>
      </c>
      <c r="L365" s="663">
        <v>140</v>
      </c>
      <c r="M365" s="963">
        <f>SUMIF($H$1:$H365,$H365,$L$1:$L365)-SUMIF($H$1:$H364,$H365,$N$1:$N364)</f>
        <v>140</v>
      </c>
      <c r="O365" s="962">
        <f t="shared" si="0"/>
        <v>140</v>
      </c>
      <c r="Q365" s="658"/>
    </row>
    <row r="366" spans="2:17" ht="18" customHeight="1" x14ac:dyDescent="0.25">
      <c r="B366" s="259">
        <v>45089</v>
      </c>
      <c r="C36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66" s="259">
        <f t="shared" si="2"/>
        <v>45089</v>
      </c>
      <c r="H366" t="s">
        <v>544</v>
      </c>
      <c r="I366" s="764" t="str">
        <f>VLOOKUP($H366,инфо!$O:$P,2,FALSE)</f>
        <v>Треска б/г</v>
      </c>
      <c r="J366" s="160" t="str">
        <f>VLOOKUP($I366,инфо!$D:$G,3,FALSE)</f>
        <v>кг</v>
      </c>
      <c r="K366" s="747" t="s">
        <v>1538</v>
      </c>
      <c r="L366" s="663">
        <v>145</v>
      </c>
      <c r="M366" s="963">
        <f>SUMIF($H$1:$H366,$H366,$L$1:$L366)-SUMIF($H$1:$H365,$H366,$N$1:$N365)</f>
        <v>145</v>
      </c>
      <c r="O366" s="962">
        <f t="shared" si="0"/>
        <v>145</v>
      </c>
      <c r="Q366" s="658"/>
    </row>
    <row r="367" spans="2:17" ht="18" customHeight="1" x14ac:dyDescent="0.25">
      <c r="B367" s="259">
        <v>45089</v>
      </c>
      <c r="C36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67" s="259">
        <f t="shared" si="2"/>
        <v>45089</v>
      </c>
      <c r="H367" t="s">
        <v>1245</v>
      </c>
      <c r="I367" s="764" t="str">
        <f>VLOOKUP($H367,инфо!$O:$P,2,FALSE)</f>
        <v>Яйцо (шт)</v>
      </c>
      <c r="J367" s="160" t="str">
        <f>VLOOKUP($I367,инфо!$D:$G,3,FALSE)</f>
        <v>кг</v>
      </c>
      <c r="K367" s="747" t="s">
        <v>1538</v>
      </c>
      <c r="L367" s="663">
        <v>600</v>
      </c>
      <c r="M367" s="963">
        <f>SUMIF($H$1:$H367,$H367,$L$1:$L367)-SUMIF($H$1:$H366,$H367,$N$1:$N366)</f>
        <v>600</v>
      </c>
      <c r="O367" s="962">
        <f t="shared" si="0"/>
        <v>600</v>
      </c>
      <c r="Q367" s="658"/>
    </row>
    <row r="368" spans="2:17" ht="18" customHeight="1" x14ac:dyDescent="0.25">
      <c r="B368" s="259">
        <v>45089</v>
      </c>
      <c r="C36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68" s="259">
        <f t="shared" si="2"/>
        <v>45089</v>
      </c>
      <c r="H368" t="s">
        <v>1246</v>
      </c>
      <c r="I368" s="764" t="str">
        <f>VLOOKUP($H368,инфо!$O:$P,2,FALSE)</f>
        <v>Яйцо (шт)</v>
      </c>
      <c r="J368" s="160" t="str">
        <f>VLOOKUP($I368,инфо!$D:$G,3,FALSE)</f>
        <v>кг</v>
      </c>
      <c r="K368" s="747" t="s">
        <v>1538</v>
      </c>
      <c r="L368" s="663">
        <v>400</v>
      </c>
      <c r="M368" s="963">
        <f>SUMIF($H$1:$H368,$H368,$L$1:$L368)-SUMIF($H$1:$H367,$H368,$N$1:$N367)</f>
        <v>400</v>
      </c>
      <c r="O368" s="962">
        <f t="shared" si="0"/>
        <v>400</v>
      </c>
      <c r="Q368" s="658"/>
    </row>
    <row r="369" spans="2:17" ht="18" customHeight="1" x14ac:dyDescent="0.25">
      <c r="B369" s="259">
        <v>45089</v>
      </c>
      <c r="C36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69" s="259">
        <f t="shared" si="2"/>
        <v>45089</v>
      </c>
      <c r="H369" s="5" t="s">
        <v>53</v>
      </c>
      <c r="I369" s="764" t="str">
        <f>VLOOKUP($H369,инфо!$O:$P,2,FALSE)</f>
        <v>Сахар</v>
      </c>
      <c r="J369" s="160" t="str">
        <f>VLOOKUP($I369,инфо!$D:$G,3,FALSE)</f>
        <v>кг</v>
      </c>
      <c r="K369" s="747" t="s">
        <v>1538</v>
      </c>
      <c r="L369" s="663">
        <v>105</v>
      </c>
      <c r="M369" s="963">
        <f>SUMIF($H$1:$H369,$H369,$L$1:$L369)-SUMIF($H$1:$H368,$H369,$N$1:$N368)</f>
        <v>105</v>
      </c>
      <c r="O369" s="962">
        <f t="shared" si="0"/>
        <v>105</v>
      </c>
      <c r="Q369" s="658"/>
    </row>
    <row r="370" spans="2:17" ht="18" customHeight="1" x14ac:dyDescent="0.25">
      <c r="B370" s="259">
        <v>45089</v>
      </c>
      <c r="C37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70" s="259">
        <f t="shared" si="2"/>
        <v>45089</v>
      </c>
      <c r="H370" t="s">
        <v>76</v>
      </c>
      <c r="I370" s="764" t="str">
        <f>VLOOKUP($H370,инфо!$O:$P,2,FALSE)</f>
        <v>Томат-паста</v>
      </c>
      <c r="J370" s="160" t="str">
        <f>VLOOKUP($I370,инфо!$D:$G,3,FALSE)</f>
        <v>кг</v>
      </c>
      <c r="K370" s="747" t="s">
        <v>1538</v>
      </c>
      <c r="L370" s="663">
        <v>130</v>
      </c>
      <c r="M370" s="963">
        <f>SUMIF($H$1:$H370,$H370,$L$1:$L370)-SUMIF($H$1:$H369,$H370,$N$1:$N369)</f>
        <v>130</v>
      </c>
      <c r="O370" s="962">
        <f t="shared" si="0"/>
        <v>130</v>
      </c>
      <c r="Q370" s="658"/>
    </row>
    <row r="371" spans="2:17" ht="18" customHeight="1" x14ac:dyDescent="0.25">
      <c r="B371" s="259">
        <v>45089</v>
      </c>
      <c r="C37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71" s="259">
        <f t="shared" si="2"/>
        <v>45089</v>
      </c>
      <c r="H371" t="s">
        <v>77</v>
      </c>
      <c r="I371" s="764" t="str">
        <f>VLOOKUP($H371,инфо!$O:$P,2,FALSE)</f>
        <v>Уксус</v>
      </c>
      <c r="J371" s="160" t="str">
        <f>VLOOKUP($I371,инфо!$D:$G,3,FALSE)</f>
        <v>кг</v>
      </c>
      <c r="K371" s="747" t="s">
        <v>1538</v>
      </c>
      <c r="L371" s="663">
        <v>120</v>
      </c>
      <c r="M371" s="963">
        <f>SUMIF($H$1:$H371,$H371,$L$1:$L371)-SUMIF($H$1:$H370,$H371,$N$1:$N370)</f>
        <v>120</v>
      </c>
      <c r="O371" s="962">
        <f t="shared" si="0"/>
        <v>120</v>
      </c>
      <c r="Q371" s="658"/>
    </row>
    <row r="372" spans="2:17" ht="18" customHeight="1" x14ac:dyDescent="0.25">
      <c r="B372" s="259">
        <v>45089</v>
      </c>
      <c r="C37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72" s="259">
        <f t="shared" si="2"/>
        <v>45089</v>
      </c>
      <c r="H372" t="s">
        <v>57</v>
      </c>
      <c r="I372" s="764" t="str">
        <f>VLOOKUP($H372,инфо!$O:$P,2,FALSE)</f>
        <v>Чай</v>
      </c>
      <c r="J372" s="160" t="str">
        <f>VLOOKUP($I372,инфо!$D:$G,3,FALSE)</f>
        <v>кг</v>
      </c>
      <c r="K372" s="747" t="s">
        <v>1538</v>
      </c>
      <c r="L372" s="663">
        <v>108</v>
      </c>
      <c r="M372" s="963">
        <f>SUMIF($H$1:$H372,$H372,$L$1:$L372)-SUMIF($H$1:$H371,$H372,$N$1:$N371)</f>
        <v>108</v>
      </c>
      <c r="O372" s="962">
        <f t="shared" si="0"/>
        <v>108</v>
      </c>
      <c r="Q372" s="658"/>
    </row>
    <row r="373" spans="2:17" ht="18" customHeight="1" x14ac:dyDescent="0.25">
      <c r="B373" s="259">
        <v>45089</v>
      </c>
      <c r="C37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73" s="259">
        <f t="shared" si="2"/>
        <v>45089</v>
      </c>
      <c r="H373" t="s">
        <v>78</v>
      </c>
      <c r="I373" s="764" t="str">
        <f>VLOOKUP($H373,инфо!$O:$P,2,FALSE)</f>
        <v>Чернослив</v>
      </c>
      <c r="J373" s="160" t="str">
        <f>VLOOKUP($I373,инфо!$D:$G,3,FALSE)</f>
        <v>кг</v>
      </c>
      <c r="K373" s="747" t="s">
        <v>1538</v>
      </c>
      <c r="L373" s="663">
        <v>113</v>
      </c>
      <c r="M373" s="963">
        <f>SUMIF($H$1:$H373,$H373,$L$1:$L373)-SUMIF($H$1:$H372,$H373,$N$1:$N372)</f>
        <v>113</v>
      </c>
      <c r="O373" s="962">
        <f t="shared" si="0"/>
        <v>113</v>
      </c>
      <c r="Q373" s="658"/>
    </row>
    <row r="374" spans="2:17" ht="18" customHeight="1" x14ac:dyDescent="0.25">
      <c r="B374" s="259">
        <v>45089</v>
      </c>
      <c r="C37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74" s="259">
        <f t="shared" si="2"/>
        <v>45089</v>
      </c>
      <c r="H374" t="s">
        <v>89</v>
      </c>
      <c r="I374" s="764" t="str">
        <f>VLOOKUP($H374,инфо!$O:$P,2,FALSE)</f>
        <v>Яблоки свежие</v>
      </c>
      <c r="J374" s="160" t="str">
        <f>VLOOKUP($I374,инфо!$D:$G,3,FALSE)</f>
        <v>кг</v>
      </c>
      <c r="K374" s="747" t="s">
        <v>1538</v>
      </c>
      <c r="L374" s="663">
        <v>150</v>
      </c>
      <c r="M374" s="963">
        <f>SUMIF($H$1:$H374,$H374,$L$1:$L374)-SUMIF($H$1:$H373,$H374,$N$1:$N373)</f>
        <v>150</v>
      </c>
      <c r="O374" s="962">
        <f t="shared" si="0"/>
        <v>150</v>
      </c>
      <c r="Q374" s="658"/>
    </row>
    <row r="375" spans="2:17" ht="18" customHeight="1" x14ac:dyDescent="0.25">
      <c r="B375" s="259">
        <v>45090</v>
      </c>
      <c r="C37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75" s="259">
        <f t="shared" si="2"/>
        <v>45090</v>
      </c>
      <c r="H375" t="s">
        <v>51</v>
      </c>
      <c r="I375" s="764" t="str">
        <f>VLOOKUP($H375,инфо!$O:$P,2,FALSE)</f>
        <v>Хлеб дарницкий</v>
      </c>
      <c r="J375" s="160" t="str">
        <f>VLOOKUP($I375,инфо!$D:$G,3,FALSE)</f>
        <v>кг</v>
      </c>
      <c r="K375" s="747" t="s">
        <v>1538</v>
      </c>
      <c r="L375" s="663">
        <v>120</v>
      </c>
      <c r="M375" s="963">
        <f>SUMIF($H$1:$H375,$H375,$L$1:$L375)-SUMIF($H$1:$H374,$H375,$N$1:$N374)</f>
        <v>375</v>
      </c>
      <c r="O375" s="962">
        <f t="shared" si="0"/>
        <v>375</v>
      </c>
      <c r="Q375" s="658"/>
    </row>
    <row r="376" spans="2:17" ht="18" customHeight="1" x14ac:dyDescent="0.25">
      <c r="B376" s="259">
        <v>45090</v>
      </c>
      <c r="C37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376" s="259">
        <v>45090</v>
      </c>
      <c r="H376" s="254" t="s">
        <v>51</v>
      </c>
      <c r="I376" s="764" t="str">
        <f>VLOOKUP($H376,инфо!$O:$P,2,FALSE)</f>
        <v>Хлеб дарницкий</v>
      </c>
      <c r="J376" s="160" t="str">
        <f>VLOOKUP($I376,инфо!$D:$G,3,FALSE)</f>
        <v>кг</v>
      </c>
      <c r="K376" s="747" t="s">
        <v>1538</v>
      </c>
      <c r="M376" s="963">
        <f>SUMIF($H$1:$H376,$H376,$L$1:$L376)-SUMIF($H$1:$H375,$H376,$N$1:$N375)</f>
        <v>375</v>
      </c>
      <c r="N376" s="964">
        <v>15</v>
      </c>
      <c r="O376" s="962">
        <f t="shared" si="0"/>
        <v>360</v>
      </c>
    </row>
    <row r="377" spans="2:17" ht="18" customHeight="1" x14ac:dyDescent="0.25">
      <c r="B377" s="259">
        <v>45090</v>
      </c>
      <c r="C37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377" s="259">
        <v>45090</v>
      </c>
      <c r="H377" s="254" t="s">
        <v>51</v>
      </c>
      <c r="I377" s="764" t="str">
        <f>VLOOKUP($H377,инфо!$O:$P,2,FALSE)</f>
        <v>Хлеб дарницкий</v>
      </c>
      <c r="J377" s="160" t="str">
        <f>VLOOKUP($I377,инфо!$D:$G,3,FALSE)</f>
        <v>кг</v>
      </c>
      <c r="K377" s="747" t="s">
        <v>1538</v>
      </c>
      <c r="M377" s="963">
        <f>SUMIF($H$1:$H377,$H377,$L$1:$L377)-SUMIF($H$1:$H376,$H377,$N$1:$N376)</f>
        <v>360</v>
      </c>
      <c r="N377" s="964">
        <v>20</v>
      </c>
      <c r="O377" s="962">
        <f t="shared" si="0"/>
        <v>340</v>
      </c>
    </row>
    <row r="378" spans="2:17" ht="18" customHeight="1" x14ac:dyDescent="0.25">
      <c r="B378" s="259">
        <v>45090</v>
      </c>
      <c r="C37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78" s="259">
        <f>B378</f>
        <v>45090</v>
      </c>
      <c r="H378" t="s">
        <v>411</v>
      </c>
      <c r="I378" s="764" t="str">
        <f>VLOOKUP($H378,инфо!$O:$P,2,FALSE)</f>
        <v>Хлеб из муки пш. 1 сорта</v>
      </c>
      <c r="J378" s="160" t="str">
        <f>VLOOKUP($I378,инфо!$D:$G,3,FALSE)</f>
        <v>кг</v>
      </c>
      <c r="K378" s="747" t="s">
        <v>1538</v>
      </c>
      <c r="L378" s="663">
        <v>200</v>
      </c>
      <c r="M378" s="963">
        <f>SUMIF($H$1:$H378,$H378,$L$1:$L378)-SUMIF($H$1:$H377,$H378,$N$1:$N377)</f>
        <v>480</v>
      </c>
      <c r="O378" s="962">
        <f t="shared" si="0"/>
        <v>480</v>
      </c>
    </row>
    <row r="379" spans="2:17" ht="18" customHeight="1" x14ac:dyDescent="0.25">
      <c r="B379" s="259">
        <v>45090</v>
      </c>
      <c r="C379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379" s="259">
        <v>45090</v>
      </c>
      <c r="H379" s="254" t="s">
        <v>411</v>
      </c>
      <c r="I379" s="764" t="str">
        <f>VLOOKUP($H379,инфо!$O:$P,2,FALSE)</f>
        <v>Хлеб из муки пш. 1 сорта</v>
      </c>
      <c r="J379" s="160" t="str">
        <f>VLOOKUP($I379,инфо!$D:$G,3,FALSE)</f>
        <v>кг</v>
      </c>
      <c r="K379" s="747" t="s">
        <v>1538</v>
      </c>
      <c r="M379" s="963">
        <f>SUMIF($H$1:$H379,$H379,$L$1:$L379)-SUMIF($H$1:$H378,$H379,$N$1:$N378)</f>
        <v>480</v>
      </c>
      <c r="N379" s="964">
        <v>7</v>
      </c>
      <c r="O379" s="962">
        <f t="shared" si="0"/>
        <v>473</v>
      </c>
    </row>
    <row r="380" spans="2:17" ht="18" customHeight="1" x14ac:dyDescent="0.25">
      <c r="B380" s="259">
        <v>45090</v>
      </c>
      <c r="C38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80" s="259">
        <f>B380</f>
        <v>45090</v>
      </c>
      <c r="H380" t="s">
        <v>45</v>
      </c>
      <c r="I380" s="764" t="str">
        <f>VLOOKUP($H380,инфо!$O:$P,2,FALSE)</f>
        <v>Картофель</v>
      </c>
      <c r="J380" s="160" t="str">
        <f>VLOOKUP($I380,инфо!$D:$G,3,FALSE)</f>
        <v>кг</v>
      </c>
      <c r="K380" s="747" t="s">
        <v>1538</v>
      </c>
      <c r="L380" s="663">
        <v>100</v>
      </c>
      <c r="M380" s="963">
        <f>SUMIF($H$1:$H380,$H380,$L$1:$L380)-SUMIF($H$1:$H379,$H380,$N$1:$N379)</f>
        <v>393</v>
      </c>
      <c r="O380" s="962">
        <f t="shared" si="0"/>
        <v>393</v>
      </c>
    </row>
    <row r="381" spans="2:17" ht="18" customHeight="1" x14ac:dyDescent="0.25">
      <c r="B381" s="259">
        <v>45090</v>
      </c>
      <c r="C381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381" s="259">
        <v>45090</v>
      </c>
      <c r="H381" s="254" t="s">
        <v>45</v>
      </c>
      <c r="I381" s="764" t="str">
        <f>VLOOKUP($H381,инфо!$O:$P,2,FALSE)</f>
        <v>Картофель</v>
      </c>
      <c r="J381" s="160" t="str">
        <f>VLOOKUP($I381,инфо!$D:$G,3,FALSE)</f>
        <v>кг</v>
      </c>
      <c r="K381" s="747" t="s">
        <v>1538</v>
      </c>
      <c r="M381" s="963">
        <f>SUMIF($H$1:$H381,$H381,$L$1:$L381)-SUMIF($H$1:$H380,$H381,$N$1:$N380)</f>
        <v>393</v>
      </c>
      <c r="N381" s="964">
        <v>3</v>
      </c>
      <c r="O381" s="962">
        <f t="shared" si="0"/>
        <v>390</v>
      </c>
    </row>
    <row r="382" spans="2:17" ht="18" customHeight="1" x14ac:dyDescent="0.25">
      <c r="B382" s="259">
        <v>45090</v>
      </c>
      <c r="C38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82" s="259">
        <f>B382</f>
        <v>45090</v>
      </c>
      <c r="H382" s="5" t="s">
        <v>53</v>
      </c>
      <c r="I382" s="764" t="str">
        <f>VLOOKUP($H382,инфо!$O:$P,2,FALSE)</f>
        <v>Сахар</v>
      </c>
      <c r="J382" s="160" t="str">
        <f>VLOOKUP($I382,инфо!$D:$G,3,FALSE)</f>
        <v>кг</v>
      </c>
      <c r="K382" s="747" t="s">
        <v>1538</v>
      </c>
      <c r="L382" s="663">
        <v>105</v>
      </c>
      <c r="M382" s="963">
        <f>SUMIF($H$1:$H382,$H382,$L$1:$L382)-SUMIF($H$1:$H381,$H382,$N$1:$N381)</f>
        <v>210</v>
      </c>
      <c r="O382" s="962">
        <f t="shared" si="0"/>
        <v>210</v>
      </c>
    </row>
    <row r="383" spans="2:17" ht="18" customHeight="1" x14ac:dyDescent="0.25">
      <c r="B383" s="259">
        <v>45091</v>
      </c>
      <c r="C38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83" s="259">
        <f>B383</f>
        <v>45091</v>
      </c>
      <c r="H383" t="s">
        <v>51</v>
      </c>
      <c r="I383" s="764" t="str">
        <f>VLOOKUP($H383,инфо!$O:$P,2,FALSE)</f>
        <v>Хлеб дарницкий</v>
      </c>
      <c r="J383" s="160" t="str">
        <f>VLOOKUP($I383,инфо!$D:$G,3,FALSE)</f>
        <v>кг</v>
      </c>
      <c r="K383" s="747" t="s">
        <v>1538</v>
      </c>
      <c r="L383" s="663">
        <v>50</v>
      </c>
      <c r="M383" s="963">
        <f>SUMIF($H$1:$H383,$H383,$L$1:$L383)-SUMIF($H$1:$H382,$H383,$N$1:$N382)</f>
        <v>390</v>
      </c>
      <c r="O383" s="962">
        <f t="shared" si="0"/>
        <v>390</v>
      </c>
    </row>
    <row r="384" spans="2:17" ht="18" customHeight="1" x14ac:dyDescent="0.25">
      <c r="B384" s="259">
        <v>45091</v>
      </c>
      <c r="C38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384" s="259">
        <v>45091</v>
      </c>
      <c r="H384" s="254" t="s">
        <v>51</v>
      </c>
      <c r="I384" s="764" t="str">
        <f>VLOOKUP($H384,инфо!$O:$P,2,FALSE)</f>
        <v>Хлеб дарницкий</v>
      </c>
      <c r="J384" s="160" t="str">
        <f>VLOOKUP($I384,инфо!$D:$G,3,FALSE)</f>
        <v>кг</v>
      </c>
      <c r="K384" s="747" t="s">
        <v>1538</v>
      </c>
      <c r="M384" s="963">
        <f>SUMIF($H$1:$H384,$H384,$L$1:$L384)-SUMIF($H$1:$H383,$H384,$N$1:$N383)</f>
        <v>390</v>
      </c>
      <c r="N384" s="964">
        <v>15</v>
      </c>
      <c r="O384" s="962">
        <f t="shared" si="0"/>
        <v>375</v>
      </c>
    </row>
    <row r="385" spans="2:15" ht="18" customHeight="1" x14ac:dyDescent="0.25">
      <c r="B385" s="259">
        <v>45091</v>
      </c>
      <c r="C38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85" s="259">
        <f>B385</f>
        <v>45091</v>
      </c>
      <c r="H385" t="s">
        <v>411</v>
      </c>
      <c r="I385" s="764" t="str">
        <f>VLOOKUP($H385,инфо!$O:$P,2,FALSE)</f>
        <v>Хлеб из муки пш. 1 сорта</v>
      </c>
      <c r="J385" s="160" t="str">
        <f>VLOOKUP($I385,инфо!$D:$G,3,FALSE)</f>
        <v>кг</v>
      </c>
      <c r="K385" s="747" t="s">
        <v>1538</v>
      </c>
      <c r="L385" s="663">
        <v>50</v>
      </c>
      <c r="M385" s="963">
        <f>SUMIF($H$1:$H385,$H385,$L$1:$L385)-SUMIF($H$1:$H384,$H385,$N$1:$N384)</f>
        <v>523</v>
      </c>
      <c r="O385" s="962">
        <f t="shared" ref="O385:O448" si="3">$M385-$N385</f>
        <v>523</v>
      </c>
    </row>
    <row r="386" spans="2:15" ht="18" customHeight="1" x14ac:dyDescent="0.25">
      <c r="B386" s="259">
        <v>45091</v>
      </c>
      <c r="C38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386" s="259">
        <v>45091</v>
      </c>
      <c r="H386" s="254" t="s">
        <v>411</v>
      </c>
      <c r="I386" s="764" t="str">
        <f>VLOOKUP($H386,инфо!$O:$P,2,FALSE)</f>
        <v>Хлеб из муки пш. 1 сорта</v>
      </c>
      <c r="J386" s="160" t="str">
        <f>VLOOKUP($I386,инфо!$D:$G,3,FALSE)</f>
        <v>кг</v>
      </c>
      <c r="K386" s="747" t="s">
        <v>1538</v>
      </c>
      <c r="M386" s="963">
        <f>SUMIF($H$1:$H386,$H386,$L$1:$L386)-SUMIF($H$1:$H385,$H386,$N$1:$N385)</f>
        <v>523</v>
      </c>
      <c r="N386" s="964">
        <v>7</v>
      </c>
      <c r="O386" s="962">
        <f t="shared" si="3"/>
        <v>516</v>
      </c>
    </row>
    <row r="387" spans="2:15" ht="18" customHeight="1" x14ac:dyDescent="0.25">
      <c r="B387" s="259">
        <v>45091</v>
      </c>
      <c r="C38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387" s="259">
        <v>45091</v>
      </c>
      <c r="H387" s="254" t="s">
        <v>411</v>
      </c>
      <c r="I387" s="764" t="str">
        <f>VLOOKUP($H387,инфо!$O:$P,2,FALSE)</f>
        <v>Хлеб из муки пш. 1 сорта</v>
      </c>
      <c r="J387" s="160" t="str">
        <f>VLOOKUP($I387,инфо!$D:$G,3,FALSE)</f>
        <v>кг</v>
      </c>
      <c r="K387" s="747" t="s">
        <v>1538</v>
      </c>
      <c r="M387" s="963">
        <f>SUMIF($H$1:$H387,$H387,$L$1:$L387)-SUMIF($H$1:$H386,$H387,$N$1:$N386)</f>
        <v>516</v>
      </c>
      <c r="N387" s="964">
        <v>3</v>
      </c>
      <c r="O387" s="962">
        <f t="shared" si="3"/>
        <v>513</v>
      </c>
    </row>
    <row r="388" spans="2:15" ht="18" customHeight="1" x14ac:dyDescent="0.25">
      <c r="B388" s="259">
        <v>45091</v>
      </c>
      <c r="C38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88" s="259">
        <f>B388</f>
        <v>45091</v>
      </c>
      <c r="H388" t="s">
        <v>45</v>
      </c>
      <c r="I388" s="764" t="str">
        <f>VLOOKUP($H388,инфо!$O:$P,2,FALSE)</f>
        <v>Картофель</v>
      </c>
      <c r="J388" s="160" t="str">
        <f>VLOOKUP($I388,инфо!$D:$G,3,FALSE)</f>
        <v>кг</v>
      </c>
      <c r="K388" s="747" t="s">
        <v>1538</v>
      </c>
      <c r="L388" s="663">
        <v>140</v>
      </c>
      <c r="M388" s="963">
        <f>SUMIF($H$1:$H388,$H388,$L$1:$L388)-SUMIF($H$1:$H387,$H388,$N$1:$N387)</f>
        <v>530</v>
      </c>
      <c r="O388" s="962">
        <f t="shared" si="3"/>
        <v>530</v>
      </c>
    </row>
    <row r="389" spans="2:15" ht="18" customHeight="1" x14ac:dyDescent="0.25">
      <c r="B389" s="259">
        <v>45091</v>
      </c>
      <c r="C389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389" s="259">
        <v>45091</v>
      </c>
      <c r="H389" s="254" t="s">
        <v>45</v>
      </c>
      <c r="I389" s="764" t="str">
        <f>VLOOKUP($H389,инфо!$O:$P,2,FALSE)</f>
        <v>Картофель</v>
      </c>
      <c r="J389" s="160" t="str">
        <f>VLOOKUP($I389,инфо!$D:$G,3,FALSE)</f>
        <v>кг</v>
      </c>
      <c r="K389" s="747" t="s">
        <v>1538</v>
      </c>
      <c r="M389" s="963">
        <f>SUMIF($H$1:$H389,$H389,$L$1:$L389)-SUMIF($H$1:$H388,$H389,$N$1:$N388)</f>
        <v>530</v>
      </c>
      <c r="N389" s="964">
        <v>20</v>
      </c>
      <c r="O389" s="962">
        <f t="shared" si="3"/>
        <v>510</v>
      </c>
    </row>
    <row r="390" spans="2:15" ht="18" customHeight="1" x14ac:dyDescent="0.25">
      <c r="B390" s="259">
        <v>45091</v>
      </c>
      <c r="C39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90" s="259">
        <f>B390</f>
        <v>45091</v>
      </c>
      <c r="H390" s="5" t="s">
        <v>53</v>
      </c>
      <c r="I390" s="764" t="str">
        <f>VLOOKUP($H390,инфо!$O:$P,2,FALSE)</f>
        <v>Сахар</v>
      </c>
      <c r="J390" s="160" t="str">
        <f>VLOOKUP($I390,инфо!$D:$G,3,FALSE)</f>
        <v>кг</v>
      </c>
      <c r="K390" s="747" t="s">
        <v>1538</v>
      </c>
      <c r="L390" s="663">
        <v>50</v>
      </c>
      <c r="M390" s="963">
        <f>SUMIF($H$1:$H390,$H390,$L$1:$L390)-SUMIF($H$1:$H389,$H390,$N$1:$N389)</f>
        <v>260</v>
      </c>
      <c r="O390" s="962">
        <f t="shared" si="3"/>
        <v>260</v>
      </c>
    </row>
    <row r="391" spans="2:15" ht="18" customHeight="1" x14ac:dyDescent="0.25">
      <c r="B391" s="259">
        <v>45092</v>
      </c>
      <c r="C39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91" s="259">
        <f>B391</f>
        <v>45092</v>
      </c>
      <c r="H391" t="s">
        <v>51</v>
      </c>
      <c r="I391" s="764" t="str">
        <f>VLOOKUP($H391,инфо!$O:$P,2,FALSE)</f>
        <v>Хлеб дарницкий</v>
      </c>
      <c r="J391" s="160" t="str">
        <f>VLOOKUP($I391,инфо!$D:$G,3,FALSE)</f>
        <v>кг</v>
      </c>
      <c r="K391" s="747" t="s">
        <v>1538</v>
      </c>
      <c r="L391" s="663">
        <v>52</v>
      </c>
      <c r="M391" s="963">
        <f>SUMIF($H$1:$H391,$H391,$L$1:$L391)-SUMIF($H$1:$H390,$H391,$N$1:$N390)</f>
        <v>427</v>
      </c>
      <c r="O391" s="962">
        <f t="shared" si="3"/>
        <v>427</v>
      </c>
    </row>
    <row r="392" spans="2:15" ht="18" customHeight="1" x14ac:dyDescent="0.25">
      <c r="B392" s="259">
        <v>45092</v>
      </c>
      <c r="C39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392" s="259">
        <v>45092</v>
      </c>
      <c r="H392" s="254" t="s">
        <v>51</v>
      </c>
      <c r="I392" s="764" t="str">
        <f>VLOOKUP($H392,инфо!$O:$P,2,FALSE)</f>
        <v>Хлеб дарницкий</v>
      </c>
      <c r="J392" s="160" t="str">
        <f>VLOOKUP($I392,инфо!$D:$G,3,FALSE)</f>
        <v>кг</v>
      </c>
      <c r="K392" s="747" t="s">
        <v>1538</v>
      </c>
      <c r="M392" s="963">
        <f>SUMIF($H$1:$H392,$H392,$L$1:$L392)-SUMIF($H$1:$H391,$H392,$N$1:$N391)</f>
        <v>427</v>
      </c>
      <c r="N392" s="964">
        <v>3</v>
      </c>
      <c r="O392" s="962">
        <f t="shared" si="3"/>
        <v>424</v>
      </c>
    </row>
    <row r="393" spans="2:15" ht="18" customHeight="1" x14ac:dyDescent="0.25">
      <c r="B393" s="259">
        <v>45092</v>
      </c>
      <c r="C39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93" s="259">
        <f>B393</f>
        <v>45092</v>
      </c>
      <c r="H393" t="s">
        <v>411</v>
      </c>
      <c r="I393" s="764" t="str">
        <f>VLOOKUP($H393,инфо!$O:$P,2,FALSE)</f>
        <v>Хлеб из муки пш. 1 сорта</v>
      </c>
      <c r="J393" s="160" t="str">
        <f>VLOOKUP($I393,инфо!$D:$G,3,FALSE)</f>
        <v>кг</v>
      </c>
      <c r="K393" s="747" t="s">
        <v>1538</v>
      </c>
      <c r="L393" s="663">
        <v>38</v>
      </c>
      <c r="M393" s="963">
        <f>SUMIF($H$1:$H393,$H393,$L$1:$L393)-SUMIF($H$1:$H392,$H393,$N$1:$N392)</f>
        <v>551</v>
      </c>
      <c r="O393" s="962">
        <f t="shared" si="3"/>
        <v>551</v>
      </c>
    </row>
    <row r="394" spans="2:15" ht="18" customHeight="1" x14ac:dyDescent="0.25">
      <c r="B394" s="259">
        <v>45092</v>
      </c>
      <c r="C39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394" s="259">
        <v>45092</v>
      </c>
      <c r="H394" s="254" t="s">
        <v>411</v>
      </c>
      <c r="I394" s="764" t="str">
        <f>VLOOKUP($H394,инфо!$O:$P,2,FALSE)</f>
        <v>Хлеб из муки пш. 1 сорта</v>
      </c>
      <c r="J394" s="160" t="str">
        <f>VLOOKUP($I394,инфо!$D:$G,3,FALSE)</f>
        <v>кг</v>
      </c>
      <c r="K394" s="747" t="s">
        <v>1538</v>
      </c>
      <c r="M394" s="963">
        <f>SUMIF($H$1:$H394,$H394,$L$1:$L394)-SUMIF($H$1:$H393,$H394,$N$1:$N393)</f>
        <v>551</v>
      </c>
      <c r="N394" s="964">
        <v>7</v>
      </c>
      <c r="O394" s="962">
        <f t="shared" si="3"/>
        <v>544</v>
      </c>
    </row>
    <row r="395" spans="2:15" ht="18" customHeight="1" x14ac:dyDescent="0.25">
      <c r="B395" s="259">
        <v>45092</v>
      </c>
      <c r="C39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95" s="259">
        <f>B395</f>
        <v>45092</v>
      </c>
      <c r="H395" t="s">
        <v>45</v>
      </c>
      <c r="I395" s="764" t="str">
        <f>VLOOKUP($H395,инфо!$O:$P,2,FALSE)</f>
        <v>Картофель</v>
      </c>
      <c r="J395" s="160" t="str">
        <f>VLOOKUP($I395,инфо!$D:$G,3,FALSE)</f>
        <v>кг</v>
      </c>
      <c r="K395" s="747" t="s">
        <v>1538</v>
      </c>
      <c r="L395" s="663">
        <v>179</v>
      </c>
      <c r="M395" s="963">
        <f>SUMIF($H$1:$H395,$H395,$L$1:$L395)-SUMIF($H$1:$H394,$H395,$N$1:$N394)</f>
        <v>689</v>
      </c>
      <c r="O395" s="962">
        <f t="shared" si="3"/>
        <v>689</v>
      </c>
    </row>
    <row r="396" spans="2:15" ht="18" customHeight="1" x14ac:dyDescent="0.25">
      <c r="B396" s="259">
        <v>45092</v>
      </c>
      <c r="C39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396" s="259">
        <v>45092</v>
      </c>
      <c r="H396" s="254" t="s">
        <v>45</v>
      </c>
      <c r="I396" s="764" t="str">
        <f>VLOOKUP($H396,инфо!$O:$P,2,FALSE)</f>
        <v>Картофель</v>
      </c>
      <c r="J396" s="160" t="str">
        <f>VLOOKUP($I396,инфо!$D:$G,3,FALSE)</f>
        <v>кг</v>
      </c>
      <c r="K396" s="747" t="s">
        <v>1538</v>
      </c>
      <c r="M396" s="963">
        <f>SUMIF($H$1:$H396,$H396,$L$1:$L396)-SUMIF($H$1:$H395,$H396,$N$1:$N395)</f>
        <v>689</v>
      </c>
      <c r="N396" s="964">
        <v>20</v>
      </c>
      <c r="O396" s="962">
        <f t="shared" si="3"/>
        <v>669</v>
      </c>
    </row>
    <row r="397" spans="2:15" ht="18" customHeight="1" x14ac:dyDescent="0.25">
      <c r="B397" s="259">
        <v>45092</v>
      </c>
      <c r="C39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397" s="259">
        <v>45092</v>
      </c>
      <c r="H397" s="254" t="s">
        <v>45</v>
      </c>
      <c r="I397" s="764" t="str">
        <f>VLOOKUP($H397,инфо!$O:$P,2,FALSE)</f>
        <v>Картофель</v>
      </c>
      <c r="J397" s="160" t="str">
        <f>VLOOKUP($I397,инфо!$D:$G,3,FALSE)</f>
        <v>кг</v>
      </c>
      <c r="K397" s="747" t="s">
        <v>1538</v>
      </c>
      <c r="M397" s="963">
        <f>SUMIF($H$1:$H397,$H397,$L$1:$L397)-SUMIF($H$1:$H396,$H397,$N$1:$N396)</f>
        <v>669</v>
      </c>
      <c r="N397" s="964">
        <v>15</v>
      </c>
      <c r="O397" s="962">
        <f t="shared" si="3"/>
        <v>654</v>
      </c>
    </row>
    <row r="398" spans="2:15" ht="18" customHeight="1" x14ac:dyDescent="0.25">
      <c r="B398" s="259">
        <v>45092</v>
      </c>
      <c r="C39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398" s="259">
        <f>B398</f>
        <v>45092</v>
      </c>
      <c r="H398" s="5" t="s">
        <v>53</v>
      </c>
      <c r="I398" s="764" t="str">
        <f>VLOOKUP($H398,инфо!$O:$P,2,FALSE)</f>
        <v>Сахар</v>
      </c>
      <c r="J398" s="160" t="str">
        <f>VLOOKUP($I398,инфо!$D:$G,3,FALSE)</f>
        <v>кг</v>
      </c>
      <c r="K398" s="747" t="s">
        <v>1538</v>
      </c>
      <c r="L398" s="663">
        <v>25</v>
      </c>
      <c r="M398" s="963">
        <f>SUMIF($H$1:$H398,$H398,$L$1:$L398)-SUMIF($H$1:$H397,$H398,$N$1:$N397)</f>
        <v>285</v>
      </c>
      <c r="O398" s="962">
        <f t="shared" si="3"/>
        <v>285</v>
      </c>
    </row>
    <row r="399" spans="2:15" ht="18" customHeight="1" x14ac:dyDescent="0.25">
      <c r="B399" s="259">
        <v>45097</v>
      </c>
      <c r="C39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399" s="6" t="s">
        <v>24</v>
      </c>
      <c r="E399" s="259">
        <v>45097</v>
      </c>
      <c r="G399" s="6"/>
      <c r="H399" s="254" t="s">
        <v>45</v>
      </c>
      <c r="I399" s="764" t="str">
        <f>VLOOKUP($H399,инфо!$O:$P,2,FALSE)</f>
        <v>Картофель</v>
      </c>
      <c r="J399" s="160" t="str">
        <f>VLOOKUP($I399,инфо!$D:$G,3,FALSE)</f>
        <v>кг</v>
      </c>
      <c r="K399" s="747" t="s">
        <v>1538</v>
      </c>
      <c r="L399" s="663">
        <v>200</v>
      </c>
      <c r="M399" s="963">
        <f>SUMIF($H$1:$H399,$H399,$L$1:$L399)-SUMIF($H$1:$H398,$H399,$N$1:$N398)</f>
        <v>854</v>
      </c>
      <c r="O399" s="962">
        <f t="shared" si="3"/>
        <v>854</v>
      </c>
    </row>
    <row r="400" spans="2:15" ht="18" customHeight="1" x14ac:dyDescent="0.25">
      <c r="B400" s="259">
        <v>45097</v>
      </c>
      <c r="C40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00" s="6" t="s">
        <v>24</v>
      </c>
      <c r="E400" s="259">
        <v>45097</v>
      </c>
      <c r="G400" s="6"/>
      <c r="H400" s="254" t="s">
        <v>70</v>
      </c>
      <c r="I400" s="764" t="str">
        <f>VLOOKUP($H400,инфо!$O:$P,2,FALSE)</f>
        <v>Зелень</v>
      </c>
      <c r="J400" s="160" t="str">
        <f>VLOOKUP($I400,инфо!$D:$G,3,FALSE)</f>
        <v>кг</v>
      </c>
      <c r="K400" s="747" t="s">
        <v>1538</v>
      </c>
      <c r="L400" s="663">
        <v>16</v>
      </c>
      <c r="M400" s="963">
        <f>SUMIF($H$1:$H400,$H400,$L$1:$L400)-SUMIF($H$1:$H399,$H400,$N$1:$N399)</f>
        <v>120</v>
      </c>
      <c r="O400" s="962">
        <f t="shared" si="3"/>
        <v>120</v>
      </c>
    </row>
    <row r="401" spans="2:15" ht="18" customHeight="1" x14ac:dyDescent="0.25">
      <c r="B401" s="259">
        <v>45097</v>
      </c>
      <c r="C40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01" s="6" t="s">
        <v>24</v>
      </c>
      <c r="E401" s="259">
        <v>45097</v>
      </c>
      <c r="G401" s="6"/>
      <c r="H401" s="254" t="s">
        <v>56</v>
      </c>
      <c r="I401" s="764" t="str">
        <f>VLOOKUP($H401,инфо!$O:$P,2,FALSE)</f>
        <v>Сыр плавленный</v>
      </c>
      <c r="J401" s="160" t="str">
        <f>VLOOKUP($I401,инфо!$D:$G,3,FALSE)</f>
        <v>кг</v>
      </c>
      <c r="K401" s="747" t="s">
        <v>1538</v>
      </c>
      <c r="L401" s="663">
        <v>70</v>
      </c>
      <c r="M401" s="963">
        <f>SUMIF($H$1:$H401,$H401,$L$1:$L401)-SUMIF($H$1:$H400,$H401,$N$1:$N400)</f>
        <v>220</v>
      </c>
      <c r="O401" s="962">
        <f t="shared" si="3"/>
        <v>220</v>
      </c>
    </row>
    <row r="402" spans="2:15" ht="18" customHeight="1" x14ac:dyDescent="0.25">
      <c r="B402" s="259">
        <v>45097</v>
      </c>
      <c r="C40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02" s="6" t="s">
        <v>24</v>
      </c>
      <c r="E402" s="259">
        <v>45097</v>
      </c>
      <c r="G402" s="6"/>
      <c r="H402" s="254" t="s">
        <v>412</v>
      </c>
      <c r="I402" s="764" t="str">
        <f>VLOOKUP($H402,инфо!$O:$P,2,FALSE)</f>
        <v>Молоко сгущ.</v>
      </c>
      <c r="J402" s="160" t="str">
        <f>VLOOKUP($I402,инфо!$D:$G,3,FALSE)</f>
        <v>кг</v>
      </c>
      <c r="K402" s="747" t="s">
        <v>1538</v>
      </c>
      <c r="L402" s="663">
        <v>37</v>
      </c>
      <c r="M402" s="963">
        <f>SUMIF($H$1:$H402,$H402,$L$1:$L402)-SUMIF($H$1:$H401,$H402,$N$1:$N401)</f>
        <v>37</v>
      </c>
      <c r="O402" s="962">
        <f t="shared" si="3"/>
        <v>37</v>
      </c>
    </row>
    <row r="403" spans="2:15" ht="18" customHeight="1" x14ac:dyDescent="0.25">
      <c r="B403" s="259">
        <v>45097</v>
      </c>
      <c r="C40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03" s="6" t="s">
        <v>24</v>
      </c>
      <c r="E403" s="259">
        <v>45097</v>
      </c>
      <c r="G403" s="6"/>
      <c r="H403" s="254" t="s">
        <v>66</v>
      </c>
      <c r="I403" s="764" t="str">
        <f>VLOOKUP($H403,инфо!$O:$P,2,FALSE)</f>
        <v>Свинина б/к</v>
      </c>
      <c r="J403" s="160" t="str">
        <f>VLOOKUP($I403,инфо!$D:$G,3,FALSE)</f>
        <v>кг</v>
      </c>
      <c r="K403" s="747" t="s">
        <v>1538</v>
      </c>
      <c r="L403" s="663">
        <v>162</v>
      </c>
      <c r="M403" s="963">
        <f>SUMIF($H$1:$H403,$H403,$L$1:$L403)-SUMIF($H$1:$H402,$H403,$N$1:$N402)</f>
        <v>162</v>
      </c>
      <c r="O403" s="962">
        <f t="shared" si="3"/>
        <v>162</v>
      </c>
    </row>
    <row r="404" spans="2:15" ht="18" customHeight="1" x14ac:dyDescent="0.25">
      <c r="B404" s="259">
        <v>45097</v>
      </c>
      <c r="C40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04" s="6" t="s">
        <v>24</v>
      </c>
      <c r="E404" s="259">
        <v>45097</v>
      </c>
      <c r="G404" s="6"/>
      <c r="H404" s="254" t="s">
        <v>1230</v>
      </c>
      <c r="I404" s="764" t="str">
        <f>VLOOKUP($H404,инфо!$O:$P,2,FALSE)</f>
        <v>Сельдь с/г</v>
      </c>
      <c r="J404" s="160" t="str">
        <f>VLOOKUP($I404,инфо!$D:$G,3,FALSE)</f>
        <v>кг</v>
      </c>
      <c r="K404" s="747" t="s">
        <v>1538</v>
      </c>
      <c r="L404" s="663">
        <v>104</v>
      </c>
      <c r="M404" s="963">
        <f>SUMIF($H$1:$H404,$H404,$L$1:$L404)-SUMIF($H$1:$H403,$H404,$N$1:$N403)</f>
        <v>104</v>
      </c>
      <c r="O404" s="962">
        <f t="shared" si="3"/>
        <v>104</v>
      </c>
    </row>
    <row r="405" spans="2:15" ht="18" customHeight="1" x14ac:dyDescent="0.25">
      <c r="B405" s="259">
        <v>45097</v>
      </c>
      <c r="C40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05" s="6" t="s">
        <v>24</v>
      </c>
      <c r="E405" s="259">
        <v>45097</v>
      </c>
      <c r="G405" s="6"/>
      <c r="H405" s="254" t="s">
        <v>69</v>
      </c>
      <c r="I405" s="764" t="str">
        <f>VLOOKUP($H405,инфо!$O:$P,2,FALSE)</f>
        <v>Горчичный порошок</v>
      </c>
      <c r="J405" s="160" t="str">
        <f>VLOOKUP($I405,инфо!$D:$G,3,FALSE)</f>
        <v>кг</v>
      </c>
      <c r="K405" s="747" t="s">
        <v>1538</v>
      </c>
      <c r="L405" s="663">
        <v>5</v>
      </c>
      <c r="M405" s="963">
        <f>SUMIF($H$1:$H405,$H405,$L$1:$L405)-SUMIF($H$1:$H404,$H405,$N$1:$N404)</f>
        <v>117</v>
      </c>
      <c r="O405" s="962">
        <f t="shared" si="3"/>
        <v>117</v>
      </c>
    </row>
    <row r="406" spans="2:15" ht="18" customHeight="1" x14ac:dyDescent="0.25">
      <c r="B406" s="259">
        <v>45097</v>
      </c>
      <c r="C40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06" s="6" t="s">
        <v>24</v>
      </c>
      <c r="E406" s="259">
        <v>45097</v>
      </c>
      <c r="G406" s="6"/>
      <c r="H406" s="254" t="s">
        <v>84</v>
      </c>
      <c r="I406" s="764" t="str">
        <f>VLOOKUP($H406,инфо!$O:$P,2,FALSE)</f>
        <v>Кофе БС</v>
      </c>
      <c r="J406" s="160" t="str">
        <f>VLOOKUP($I406,инфо!$D:$G,3,FALSE)</f>
        <v>кг</v>
      </c>
      <c r="K406" s="747" t="s">
        <v>1538</v>
      </c>
      <c r="L406" s="663">
        <v>22</v>
      </c>
      <c r="M406" s="963">
        <f>SUMIF($H$1:$H406,$H406,$L$1:$L406)-SUMIF($H$1:$H405,$H406,$N$1:$N405)</f>
        <v>22</v>
      </c>
      <c r="O406" s="962">
        <f t="shared" si="3"/>
        <v>22</v>
      </c>
    </row>
    <row r="407" spans="2:15" ht="18" customHeight="1" x14ac:dyDescent="0.25">
      <c r="B407" s="259">
        <v>45097</v>
      </c>
      <c r="C40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07" s="6" t="s">
        <v>24</v>
      </c>
      <c r="E407" s="259">
        <v>45097</v>
      </c>
      <c r="G407" s="6"/>
      <c r="H407" s="254" t="s">
        <v>179</v>
      </c>
      <c r="I407" s="764" t="str">
        <f>VLOOKUP($H407,инфо!$O:$P,2,FALSE)</f>
        <v>Гексавит</v>
      </c>
      <c r="J407" s="160" t="str">
        <f>VLOOKUP($I407,инфо!$D:$G,3,FALSE)</f>
        <v>кг</v>
      </c>
      <c r="K407" s="747" t="s">
        <v>1538</v>
      </c>
      <c r="L407" s="663">
        <v>34</v>
      </c>
      <c r="M407" s="963">
        <f>SUMIF($H$1:$H407,$H407,$L$1:$L407)-SUMIF($H$1:$H406,$H407,$N$1:$N406)</f>
        <v>164</v>
      </c>
      <c r="O407" s="962">
        <f t="shared" si="3"/>
        <v>164</v>
      </c>
    </row>
    <row r="408" spans="2:15" ht="18" customHeight="1" x14ac:dyDescent="0.25">
      <c r="B408" s="259">
        <v>45097</v>
      </c>
      <c r="C40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08" s="6" t="s">
        <v>24</v>
      </c>
      <c r="E408" s="259">
        <v>45097</v>
      </c>
      <c r="G408" s="6"/>
      <c r="H408" s="254" t="s">
        <v>82</v>
      </c>
      <c r="I408" s="764" t="str">
        <f>VLOOKUP($H408,инфо!$O:$P,2,FALSE)</f>
        <v>Карамель</v>
      </c>
      <c r="J408" s="160" t="str">
        <f>VLOOKUP($I408,инфо!$D:$G,3,FALSE)</f>
        <v>кг</v>
      </c>
      <c r="K408" s="747" t="s">
        <v>1538</v>
      </c>
      <c r="L408" s="663">
        <v>180</v>
      </c>
      <c r="M408" s="963">
        <f>SUMIF($H$1:$H408,$H408,$L$1:$L408)-SUMIF($H$1:$H407,$H408,$N$1:$N407)</f>
        <v>180</v>
      </c>
      <c r="O408" s="962">
        <f t="shared" si="3"/>
        <v>180</v>
      </c>
    </row>
    <row r="409" spans="2:15" ht="18" customHeight="1" x14ac:dyDescent="0.25">
      <c r="B409" s="259">
        <v>45097</v>
      </c>
      <c r="C40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09" s="6" t="s">
        <v>24</v>
      </c>
      <c r="E409" s="259">
        <v>45097</v>
      </c>
      <c r="G409" s="6"/>
      <c r="H409" s="254" t="s">
        <v>85</v>
      </c>
      <c r="I409" s="764" t="str">
        <f>VLOOKUP($H409,инфо!$O:$P,2,FALSE)</f>
        <v>Печенье</v>
      </c>
      <c r="J409" s="160" t="str">
        <f>VLOOKUP($I409,инфо!$D:$G,3,FALSE)</f>
        <v>кг</v>
      </c>
      <c r="K409" s="747" t="s">
        <v>1538</v>
      </c>
      <c r="L409" s="663">
        <v>240</v>
      </c>
      <c r="M409" s="963">
        <f>SUMIF($H$1:$H409,$H409,$L$1:$L409)-SUMIF($H$1:$H408,$H409,$N$1:$N408)</f>
        <v>240</v>
      </c>
      <c r="O409" s="962">
        <f t="shared" si="3"/>
        <v>240</v>
      </c>
    </row>
    <row r="410" spans="2:15" ht="18" customHeight="1" x14ac:dyDescent="0.25">
      <c r="B410" s="259">
        <v>45097</v>
      </c>
      <c r="C41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10" s="6" t="s">
        <v>24</v>
      </c>
      <c r="E410" s="259">
        <v>45097</v>
      </c>
      <c r="G410" s="6"/>
      <c r="H410" s="254" t="s">
        <v>89</v>
      </c>
      <c r="I410" s="764" t="str">
        <f>VLOOKUP($H410,инфо!$O:$P,2,FALSE)</f>
        <v>Яблоки свежие</v>
      </c>
      <c r="J410" s="160" t="str">
        <f>VLOOKUP($I410,инфо!$D:$G,3,FALSE)</f>
        <v>кг</v>
      </c>
      <c r="K410" s="747" t="s">
        <v>1538</v>
      </c>
      <c r="L410" s="663">
        <v>140</v>
      </c>
      <c r="M410" s="963">
        <f>SUMIF($H$1:$H410,$H410,$L$1:$L410)-SUMIF($H$1:$H409,$H410,$N$1:$N409)</f>
        <v>290</v>
      </c>
      <c r="O410" s="962">
        <f t="shared" si="3"/>
        <v>290</v>
      </c>
    </row>
    <row r="411" spans="2:15" ht="18" customHeight="1" x14ac:dyDescent="0.25">
      <c r="B411" s="259">
        <v>45097</v>
      </c>
      <c r="C41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11" s="6" t="s">
        <v>24</v>
      </c>
      <c r="E411" s="259">
        <v>45097</v>
      </c>
      <c r="G411" s="6"/>
      <c r="H411" s="254" t="s">
        <v>83</v>
      </c>
      <c r="I411" s="764" t="str">
        <f>VLOOKUP($H411,инфо!$O:$P,2,FALSE)</f>
        <v>Конфеты шоколадные</v>
      </c>
      <c r="J411" s="160" t="str">
        <f>VLOOKUP($I411,инфо!$D:$G,3,FALSE)</f>
        <v>кг</v>
      </c>
      <c r="K411" s="747" t="s">
        <v>1538</v>
      </c>
      <c r="L411" s="663">
        <v>89</v>
      </c>
      <c r="M411" s="963">
        <f>SUMIF($H$1:$H411,$H411,$L$1:$L411)-SUMIF($H$1:$H410,$H411,$N$1:$N410)</f>
        <v>89</v>
      </c>
      <c r="O411" s="962">
        <f t="shared" si="3"/>
        <v>89</v>
      </c>
    </row>
    <row r="412" spans="2:15" ht="18" customHeight="1" x14ac:dyDescent="0.25">
      <c r="B412" s="259">
        <v>45099</v>
      </c>
      <c r="C41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12" s="6"/>
      <c r="E412" s="259">
        <f>B412</f>
        <v>45099</v>
      </c>
      <c r="G412" s="6"/>
      <c r="H412" t="s">
        <v>27</v>
      </c>
      <c r="I412" s="764" t="str">
        <f>VLOOKUP($H412,инфо!$O:$P,2,FALSE)</f>
        <v>Рис</v>
      </c>
      <c r="J412" s="160" t="str">
        <f>VLOOKUP($I412,инфо!$D:$G,3,FALSE)</f>
        <v>кг</v>
      </c>
      <c r="K412" s="747" t="s">
        <v>1538</v>
      </c>
      <c r="L412" s="663">
        <v>147</v>
      </c>
      <c r="M412" s="963">
        <f>SUMIF($H$1:$H412,$H412,$L$1:$L412)-SUMIF($H$1:$H411,$H412,$N$1:$N411)</f>
        <v>147</v>
      </c>
      <c r="O412" s="962">
        <f t="shared" si="3"/>
        <v>147</v>
      </c>
    </row>
    <row r="413" spans="2:15" ht="18" customHeight="1" x14ac:dyDescent="0.25">
      <c r="B413" s="259">
        <v>45099</v>
      </c>
      <c r="C41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13" s="259">
        <f>B413</f>
        <v>45099</v>
      </c>
      <c r="H413" t="s">
        <v>51</v>
      </c>
      <c r="I413" s="764" t="str">
        <f>VLOOKUP($H413,инфо!$O:$P,2,FALSE)</f>
        <v>Хлеб дарницкий</v>
      </c>
      <c r="J413" s="160" t="str">
        <f>VLOOKUP($I413,инфо!$D:$G,3,FALSE)</f>
        <v>кг</v>
      </c>
      <c r="K413" s="747" t="s">
        <v>1538</v>
      </c>
      <c r="L413" s="663">
        <v>20</v>
      </c>
      <c r="M413" s="963">
        <f>SUMIF($H$1:$H413,$H413,$L$1:$L413)-SUMIF($H$1:$H412,$H413,$N$1:$N412)</f>
        <v>444</v>
      </c>
      <c r="O413" s="962">
        <f t="shared" si="3"/>
        <v>444</v>
      </c>
    </row>
    <row r="414" spans="2:15" ht="18" customHeight="1" x14ac:dyDescent="0.25">
      <c r="B414" s="259">
        <v>45099</v>
      </c>
      <c r="C41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14" s="259">
        <v>45099</v>
      </c>
      <c r="H414" s="254" t="s">
        <v>51</v>
      </c>
      <c r="I414" s="764" t="str">
        <f>VLOOKUP($H414,инфо!$O:$P,2,FALSE)</f>
        <v>Хлеб дарницкий</v>
      </c>
      <c r="J414" s="160" t="str">
        <f>VLOOKUP($I414,инфо!$D:$G,3,FALSE)</f>
        <v>кг</v>
      </c>
      <c r="K414" s="747" t="s">
        <v>1538</v>
      </c>
      <c r="M414" s="963">
        <f>SUMIF($H$1:$H414,$H414,$L$1:$L414)-SUMIF($H$1:$H413,$H414,$N$1:$N413)</f>
        <v>444</v>
      </c>
      <c r="N414" s="964">
        <v>7</v>
      </c>
      <c r="O414" s="962">
        <f t="shared" si="3"/>
        <v>437</v>
      </c>
    </row>
    <row r="415" spans="2:15" ht="18" customHeight="1" x14ac:dyDescent="0.25">
      <c r="B415" s="259">
        <v>45099</v>
      </c>
      <c r="C41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15" s="259">
        <f>B415</f>
        <v>45099</v>
      </c>
      <c r="H415" t="s">
        <v>411</v>
      </c>
      <c r="I415" s="764" t="str">
        <f>VLOOKUP($H415,инфо!$O:$P,2,FALSE)</f>
        <v>Хлеб из муки пш. 1 сорта</v>
      </c>
      <c r="J415" s="160" t="str">
        <f>VLOOKUP($I415,инфо!$D:$G,3,FALSE)</f>
        <v>кг</v>
      </c>
      <c r="K415" s="747" t="s">
        <v>1538</v>
      </c>
      <c r="L415" s="663">
        <v>10</v>
      </c>
      <c r="M415" s="963">
        <f>SUMIF($H$1:$H415,$H415,$L$1:$L415)-SUMIF($H$1:$H414,$H415,$N$1:$N414)</f>
        <v>554</v>
      </c>
      <c r="O415" s="962">
        <f t="shared" si="3"/>
        <v>554</v>
      </c>
    </row>
    <row r="416" spans="2:15" ht="18" customHeight="1" x14ac:dyDescent="0.25">
      <c r="B416" s="259">
        <v>45099</v>
      </c>
      <c r="C41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16" s="259">
        <v>45099</v>
      </c>
      <c r="H416" s="254" t="s">
        <v>411</v>
      </c>
      <c r="I416" s="764" t="str">
        <f>VLOOKUP($H416,инфо!$O:$P,2,FALSE)</f>
        <v>Хлеб из муки пш. 1 сорта</v>
      </c>
      <c r="J416" s="160" t="str">
        <f>VLOOKUP($I416,инфо!$D:$G,3,FALSE)</f>
        <v>кг</v>
      </c>
      <c r="K416" s="747" t="s">
        <v>1538</v>
      </c>
      <c r="M416" s="963">
        <f>SUMIF($H$1:$H416,$H416,$L$1:$L416)-SUMIF($H$1:$H415,$H416,$N$1:$N415)</f>
        <v>554</v>
      </c>
      <c r="N416" s="964">
        <v>15</v>
      </c>
      <c r="O416" s="962">
        <f t="shared" si="3"/>
        <v>539</v>
      </c>
    </row>
    <row r="417" spans="2:15" ht="18" customHeight="1" x14ac:dyDescent="0.25">
      <c r="B417" s="259">
        <v>45099</v>
      </c>
      <c r="C41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17" s="259">
        <f>B417</f>
        <v>45099</v>
      </c>
      <c r="H417" t="s">
        <v>45</v>
      </c>
      <c r="I417" s="764" t="str">
        <f>VLOOKUP($H417,инфо!$O:$P,2,FALSE)</f>
        <v>Картофель</v>
      </c>
      <c r="J417" s="160" t="str">
        <f>VLOOKUP($I417,инфо!$D:$G,3,FALSE)</f>
        <v>кг</v>
      </c>
      <c r="K417" s="747" t="s">
        <v>1538</v>
      </c>
      <c r="L417" s="663">
        <v>40</v>
      </c>
      <c r="M417" s="963">
        <f>SUMIF($H$1:$H417,$H417,$L$1:$L417)-SUMIF($H$1:$H416,$H417,$N$1:$N416)</f>
        <v>894</v>
      </c>
      <c r="O417" s="962">
        <f t="shared" si="3"/>
        <v>894</v>
      </c>
    </row>
    <row r="418" spans="2:15" ht="18" customHeight="1" x14ac:dyDescent="0.25">
      <c r="B418" s="259">
        <v>45099</v>
      </c>
      <c r="C41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18" s="259">
        <v>45099</v>
      </c>
      <c r="H418" s="254" t="s">
        <v>45</v>
      </c>
      <c r="I418" s="764" t="str">
        <f>VLOOKUP($H418,инфо!$O:$P,2,FALSE)</f>
        <v>Картофель</v>
      </c>
      <c r="J418" s="160" t="str">
        <f>VLOOKUP($I418,инфо!$D:$G,3,FALSE)</f>
        <v>кг</v>
      </c>
      <c r="K418" s="747" t="s">
        <v>1538</v>
      </c>
      <c r="M418" s="963">
        <f>SUMIF($H$1:$H418,$H418,$L$1:$L418)-SUMIF($H$1:$H417,$H418,$N$1:$N417)</f>
        <v>894</v>
      </c>
      <c r="N418" s="964">
        <v>20</v>
      </c>
      <c r="O418" s="962">
        <f t="shared" si="3"/>
        <v>874</v>
      </c>
    </row>
    <row r="419" spans="2:15" ht="18" customHeight="1" x14ac:dyDescent="0.25">
      <c r="B419" s="259">
        <v>45099</v>
      </c>
      <c r="C41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19" s="259">
        <f t="shared" ref="E419:E425" si="4">B419</f>
        <v>45099</v>
      </c>
      <c r="H419" t="s">
        <v>48</v>
      </c>
      <c r="I419" s="764" t="str">
        <f>VLOOKUP($H419,инфо!$O:$P,2,FALSE)</f>
        <v>Свекла</v>
      </c>
      <c r="J419" s="160" t="str">
        <f>VLOOKUP($I419,инфо!$D:$G,3,FALSE)</f>
        <v>кг</v>
      </c>
      <c r="K419" s="747" t="s">
        <v>1538</v>
      </c>
      <c r="L419" s="663">
        <v>120</v>
      </c>
      <c r="M419" s="963">
        <f>SUMIF($H$1:$H419,$H419,$L$1:$L419)-SUMIF($H$1:$H418,$H419,$N$1:$N418)</f>
        <v>120</v>
      </c>
      <c r="O419" s="962">
        <f t="shared" si="3"/>
        <v>120</v>
      </c>
    </row>
    <row r="420" spans="2:15" ht="18" customHeight="1" x14ac:dyDescent="0.25">
      <c r="B420" s="259">
        <v>45099</v>
      </c>
      <c r="C42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20" s="6"/>
      <c r="E420" s="259">
        <f t="shared" si="4"/>
        <v>45099</v>
      </c>
      <c r="G420" s="6"/>
      <c r="H420" t="s">
        <v>325</v>
      </c>
      <c r="I420" s="764" t="str">
        <f>VLOOKUP($H420,инфо!$O:$P,2,FALSE)</f>
        <v>Редис</v>
      </c>
      <c r="J420" s="160" t="str">
        <f>VLOOKUP($I420,инфо!$D:$G,3,FALSE)</f>
        <v>кг</v>
      </c>
      <c r="K420" s="747" t="s">
        <v>1538</v>
      </c>
      <c r="L420" s="663">
        <v>10</v>
      </c>
      <c r="M420" s="963">
        <f>SUMIF($H$1:$H420,$H420,$L$1:$L420)-SUMIF($H$1:$H419,$H420,$N$1:$N419)</f>
        <v>10</v>
      </c>
      <c r="O420" s="962">
        <f t="shared" si="3"/>
        <v>10</v>
      </c>
    </row>
    <row r="421" spans="2:15" ht="18" customHeight="1" x14ac:dyDescent="0.25">
      <c r="B421" s="259">
        <v>45099</v>
      </c>
      <c r="C42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21" s="259">
        <f t="shared" si="4"/>
        <v>45099</v>
      </c>
      <c r="H421" t="s">
        <v>54</v>
      </c>
      <c r="I421" s="764" t="str">
        <f>VLOOKUP($H421,инфо!$O:$P,2,FALSE)</f>
        <v>Сметана</v>
      </c>
      <c r="J421" s="160" t="str">
        <f>VLOOKUP($I421,инфо!$D:$G,3,FALSE)</f>
        <v>кг</v>
      </c>
      <c r="K421" s="747" t="s">
        <v>1538</v>
      </c>
      <c r="L421" s="663">
        <v>10</v>
      </c>
      <c r="M421" s="963">
        <f>SUMIF($H$1:$H421,$H421,$L$1:$L421)-SUMIF($H$1:$H420,$H421,$N$1:$N420)</f>
        <v>10</v>
      </c>
      <c r="O421" s="962">
        <f t="shared" si="3"/>
        <v>10</v>
      </c>
    </row>
    <row r="422" spans="2:15" ht="18" customHeight="1" x14ac:dyDescent="0.25">
      <c r="B422" s="259">
        <v>45099</v>
      </c>
      <c r="C42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22" s="259">
        <f t="shared" si="4"/>
        <v>45099</v>
      </c>
      <c r="H422" t="s">
        <v>62</v>
      </c>
      <c r="I422" s="764" t="str">
        <f>VLOOKUP($H422,инфо!$O:$P,2,FALSE)</f>
        <v>Сало-шпик</v>
      </c>
      <c r="J422" s="160" t="str">
        <f>VLOOKUP($I422,инфо!$D:$G,3,FALSE)</f>
        <v>кг</v>
      </c>
      <c r="K422" s="747" t="s">
        <v>1538</v>
      </c>
      <c r="L422" s="663">
        <v>20</v>
      </c>
      <c r="M422" s="963">
        <f>SUMIF($H$1:$H422,$H422,$L$1:$L422)-SUMIF($H$1:$H421,$H422,$N$1:$N421)</f>
        <v>136</v>
      </c>
      <c r="O422" s="962">
        <f t="shared" si="3"/>
        <v>136</v>
      </c>
    </row>
    <row r="423" spans="2:15" ht="18" customHeight="1" x14ac:dyDescent="0.25">
      <c r="B423" s="259">
        <v>45099</v>
      </c>
      <c r="C42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23" s="259">
        <f t="shared" si="4"/>
        <v>45099</v>
      </c>
      <c r="H423" t="s">
        <v>335</v>
      </c>
      <c r="I423" s="764" t="str">
        <f>VLOOKUP($H423,инфо!$O:$P,2,FALSE)</f>
        <v>Свинина на кости</v>
      </c>
      <c r="J423" s="160" t="str">
        <f>VLOOKUP($I423,инфо!$D:$G,3,FALSE)</f>
        <v>кг</v>
      </c>
      <c r="K423" s="747" t="s">
        <v>1538</v>
      </c>
      <c r="L423" s="663">
        <v>50</v>
      </c>
      <c r="M423" s="963">
        <f>SUMIF($H$1:$H423,$H423,$L$1:$L423)-SUMIF($H$1:$H422,$H423,$N$1:$N422)</f>
        <v>50</v>
      </c>
      <c r="O423" s="962">
        <f t="shared" si="3"/>
        <v>50</v>
      </c>
    </row>
    <row r="424" spans="2:15" ht="18" customHeight="1" x14ac:dyDescent="0.25">
      <c r="B424" s="259">
        <v>45099</v>
      </c>
      <c r="C42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24" s="259">
        <f t="shared" si="4"/>
        <v>45099</v>
      </c>
      <c r="H424" t="s">
        <v>476</v>
      </c>
      <c r="I424" s="764" t="str">
        <f>VLOOKUP($H424,инфо!$O:$P,2,FALSE)</f>
        <v>Сосиски</v>
      </c>
      <c r="J424" s="160" t="str">
        <f>VLOOKUP($I424,инфо!$D:$G,3,FALSE)</f>
        <v>кг</v>
      </c>
      <c r="K424" s="747" t="s">
        <v>1538</v>
      </c>
      <c r="L424" s="663">
        <v>340</v>
      </c>
      <c r="M424" s="963">
        <f>SUMIF($H$1:$H424,$H424,$L$1:$L424)-SUMIF($H$1:$H423,$H424,$N$1:$N423)</f>
        <v>340</v>
      </c>
      <c r="O424" s="962">
        <f t="shared" si="3"/>
        <v>340</v>
      </c>
    </row>
    <row r="425" spans="2:15" ht="18" customHeight="1" x14ac:dyDescent="0.25">
      <c r="B425" s="259">
        <v>45099</v>
      </c>
      <c r="C42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25" s="259">
        <f t="shared" si="4"/>
        <v>45099</v>
      </c>
      <c r="H425" t="s">
        <v>475</v>
      </c>
      <c r="I425" s="764" t="str">
        <f>VLOOKUP($H425,инфо!$O:$P,2,FALSE)</f>
        <v>Сардельки</v>
      </c>
      <c r="J425" s="160" t="str">
        <f>VLOOKUP($I425,инфо!$D:$G,3,FALSE)</f>
        <v>кг</v>
      </c>
      <c r="K425" s="747" t="s">
        <v>1538</v>
      </c>
      <c r="L425" s="663">
        <v>220</v>
      </c>
      <c r="M425" s="963">
        <f>SUMIF($H$1:$H425,$H425,$L$1:$L425)-SUMIF($H$1:$H424,$H425,$N$1:$N424)</f>
        <v>220</v>
      </c>
      <c r="O425" s="962">
        <f t="shared" si="3"/>
        <v>220</v>
      </c>
    </row>
    <row r="426" spans="2:15" ht="18" customHeight="1" x14ac:dyDescent="0.25">
      <c r="B426" s="259">
        <v>45099</v>
      </c>
      <c r="C42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26" s="259">
        <v>45099</v>
      </c>
      <c r="H426" s="254" t="s">
        <v>421</v>
      </c>
      <c r="I426" s="764" t="str">
        <f>VLOOKUP($H426,инфо!$O:$P,2,FALSE)</f>
        <v>Пельмени</v>
      </c>
      <c r="J426" s="160" t="str">
        <f>VLOOKUP($I426,инфо!$D:$G,3,FALSE)</f>
        <v>кг</v>
      </c>
      <c r="K426" s="747" t="s">
        <v>1538</v>
      </c>
      <c r="L426" s="663">
        <v>200</v>
      </c>
      <c r="M426" s="963">
        <f>SUMIF($H$1:$H426,$H426,$L$1:$L426)-SUMIF($H$1:$H425,$H426,$N$1:$N425)</f>
        <v>200</v>
      </c>
      <c r="N426" s="964">
        <v>155.60554999999999</v>
      </c>
      <c r="O426" s="962">
        <f t="shared" si="3"/>
        <v>44.394450000000006</v>
      </c>
    </row>
    <row r="427" spans="2:15" ht="18" customHeight="1" x14ac:dyDescent="0.25">
      <c r="B427" s="259">
        <v>45099</v>
      </c>
      <c r="C42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27" s="259">
        <f>B427</f>
        <v>45099</v>
      </c>
      <c r="H427" t="s">
        <v>513</v>
      </c>
      <c r="I427" s="764" t="str">
        <f>VLOOKUP($H427,инфо!$O:$P,2,FALSE)</f>
        <v>Сердце</v>
      </c>
      <c r="J427" s="160" t="str">
        <f>VLOOKUP($I427,инфо!$D:$G,3,FALSE)</f>
        <v>кг</v>
      </c>
      <c r="K427" s="747" t="s">
        <v>1538</v>
      </c>
      <c r="L427" s="663">
        <v>22</v>
      </c>
      <c r="M427" s="963">
        <f>SUMIF($H$1:$H427,$H427,$L$1:$L427)-SUMIF($H$1:$H426,$H427,$N$1:$N426)</f>
        <v>22</v>
      </c>
      <c r="O427" s="962">
        <f t="shared" si="3"/>
        <v>22</v>
      </c>
    </row>
    <row r="428" spans="2:15" ht="18" customHeight="1" x14ac:dyDescent="0.25">
      <c r="B428" s="259">
        <v>45099</v>
      </c>
      <c r="C42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28" s="259">
        <v>45099</v>
      </c>
      <c r="H428" s="254" t="s">
        <v>1226</v>
      </c>
      <c r="I428" s="764" t="str">
        <f>VLOOKUP($H428,инфо!$O:$P,2,FALSE)</f>
        <v>Треска с/г</v>
      </c>
      <c r="J428" s="160" t="str">
        <f>VLOOKUP($I428,инфо!$D:$G,3,FALSE)</f>
        <v>кг</v>
      </c>
      <c r="K428" s="747" t="s">
        <v>1538</v>
      </c>
      <c r="L428" s="663">
        <v>180</v>
      </c>
      <c r="M428" s="963">
        <f>SUMIF($H$1:$H428,$H428,$L$1:$L428)-SUMIF($H$1:$H427,$H428,$N$1:$N427)</f>
        <v>180</v>
      </c>
      <c r="N428" s="964">
        <v>155.60554999999999</v>
      </c>
      <c r="O428" s="962">
        <f t="shared" si="3"/>
        <v>24.394450000000006</v>
      </c>
    </row>
    <row r="429" spans="2:15" ht="18" customHeight="1" x14ac:dyDescent="0.25">
      <c r="B429" s="259">
        <v>45099</v>
      </c>
      <c r="C42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29" s="259">
        <v>45099</v>
      </c>
      <c r="H429" s="254" t="s">
        <v>1229</v>
      </c>
      <c r="I429" s="764" t="str">
        <f>VLOOKUP($H429,инфо!$O:$P,2,FALSE)</f>
        <v>Сельдь б/г</v>
      </c>
      <c r="J429" s="160" t="str">
        <f>VLOOKUP($I429,инфо!$D:$G,3,FALSE)</f>
        <v>кг</v>
      </c>
      <c r="K429" s="747" t="s">
        <v>1538</v>
      </c>
      <c r="L429" s="663">
        <v>190</v>
      </c>
      <c r="M429" s="963">
        <f>SUMIF($H$1:$H429,$H429,$L$1:$L429)-SUMIF($H$1:$H428,$H429,$N$1:$N428)</f>
        <v>190</v>
      </c>
      <c r="N429" s="964">
        <v>124.48444000000001</v>
      </c>
      <c r="O429" s="962">
        <f t="shared" si="3"/>
        <v>65.515559999999994</v>
      </c>
    </row>
    <row r="430" spans="2:15" ht="18" customHeight="1" x14ac:dyDescent="0.25">
      <c r="B430" s="259">
        <v>45099</v>
      </c>
      <c r="C43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30" s="259">
        <f>B430</f>
        <v>45099</v>
      </c>
      <c r="H430" t="s">
        <v>1230</v>
      </c>
      <c r="I430" s="764" t="str">
        <f>VLOOKUP($H430,инфо!$O:$P,2,FALSE)</f>
        <v>Сельдь с/г</v>
      </c>
      <c r="J430" s="160" t="str">
        <f>VLOOKUP($I430,инфо!$D:$G,3,FALSE)</f>
        <v>кг</v>
      </c>
      <c r="K430" s="747" t="s">
        <v>1538</v>
      </c>
      <c r="L430" s="663">
        <v>45</v>
      </c>
      <c r="M430" s="963">
        <f>SUMIF($H$1:$H430,$H430,$L$1:$L430)-SUMIF($H$1:$H429,$H430,$N$1:$N429)</f>
        <v>149</v>
      </c>
      <c r="O430" s="962">
        <f t="shared" si="3"/>
        <v>149</v>
      </c>
    </row>
    <row r="431" spans="2:15" ht="18" customHeight="1" x14ac:dyDescent="0.25">
      <c r="B431" s="259">
        <v>45099</v>
      </c>
      <c r="C43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31" s="259">
        <f>B431</f>
        <v>45099</v>
      </c>
      <c r="H431" t="s">
        <v>1224</v>
      </c>
      <c r="I431" s="764" t="str">
        <f>VLOOKUP($H431,инфо!$O:$P,2,FALSE)</f>
        <v>Сайда с/г</v>
      </c>
      <c r="J431" s="160" t="str">
        <f>VLOOKUP($I431,инфо!$D:$G,3,FALSE)</f>
        <v>кг</v>
      </c>
      <c r="K431" s="747" t="s">
        <v>1538</v>
      </c>
      <c r="L431" s="663">
        <v>170</v>
      </c>
      <c r="M431" s="963">
        <f>SUMIF($H$1:$H431,$H431,$L$1:$L431)-SUMIF($H$1:$H430,$H431,$N$1:$N430)</f>
        <v>170</v>
      </c>
      <c r="O431" s="962">
        <f t="shared" si="3"/>
        <v>170</v>
      </c>
    </row>
    <row r="432" spans="2:15" ht="18" customHeight="1" x14ac:dyDescent="0.25">
      <c r="B432" s="259">
        <v>45099</v>
      </c>
      <c r="C43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32" s="259">
        <f>B432</f>
        <v>45099</v>
      </c>
      <c r="H432" t="s">
        <v>1212</v>
      </c>
      <c r="I432" s="764" t="str">
        <f>VLOOKUP($H432,инфо!$O:$P,2,FALSE)</f>
        <v>Сом б/г</v>
      </c>
      <c r="J432" s="160" t="str">
        <f>VLOOKUP($I432,инфо!$D:$G,3,FALSE)</f>
        <v>кг</v>
      </c>
      <c r="K432" s="747" t="s">
        <v>1538</v>
      </c>
      <c r="L432" s="663">
        <v>280</v>
      </c>
      <c r="M432" s="963">
        <f>SUMIF($H$1:$H432,$H432,$L$1:$L432)-SUMIF($H$1:$H431,$H432,$N$1:$N431)</f>
        <v>280</v>
      </c>
      <c r="O432" s="962">
        <f t="shared" si="3"/>
        <v>280</v>
      </c>
    </row>
    <row r="433" spans="2:15" ht="18" customHeight="1" x14ac:dyDescent="0.25">
      <c r="B433" s="259">
        <v>45099</v>
      </c>
      <c r="C43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33" s="259">
        <f>B433</f>
        <v>45099</v>
      </c>
      <c r="H433" t="s">
        <v>515</v>
      </c>
      <c r="I433" s="764" t="str">
        <f>VLOOKUP($H433,инфо!$O:$P,2,FALSE)</f>
        <v>Судак с/г</v>
      </c>
      <c r="J433" s="160" t="str">
        <f>VLOOKUP($I433,инфо!$D:$G,3,FALSE)</f>
        <v>кг</v>
      </c>
      <c r="K433" s="747" t="s">
        <v>1538</v>
      </c>
      <c r="L433" s="663">
        <v>210</v>
      </c>
      <c r="M433" s="963">
        <f>SUMIF($H$1:$H433,$H433,$L$1:$L433)-SUMIF($H$1:$H432,$H433,$N$1:$N432)</f>
        <v>210</v>
      </c>
      <c r="O433" s="962">
        <f t="shared" si="3"/>
        <v>210</v>
      </c>
    </row>
    <row r="434" spans="2:15" ht="18" customHeight="1" x14ac:dyDescent="0.25">
      <c r="B434" s="259">
        <v>45099</v>
      </c>
      <c r="C43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34" s="6"/>
      <c r="E434" s="259">
        <f>B434</f>
        <v>45099</v>
      </c>
      <c r="G434" s="6"/>
      <c r="H434" t="s">
        <v>419</v>
      </c>
      <c r="I434" s="764" t="str">
        <f>VLOOKUP($H434,инфо!$O:$P,2,FALSE)</f>
        <v>Рыба с/м б/г</v>
      </c>
      <c r="J434" s="160" t="str">
        <f>VLOOKUP($I434,инфо!$D:$G,3,FALSE)</f>
        <v>кг</v>
      </c>
      <c r="K434" s="747" t="s">
        <v>1538</v>
      </c>
      <c r="L434" s="663">
        <v>150</v>
      </c>
      <c r="M434" s="963">
        <f>SUMIF($H$1:$H434,$H434,$L$1:$L434)-SUMIF($H$1:$H433,$H434,$N$1:$N433)</f>
        <v>150</v>
      </c>
      <c r="O434" s="962">
        <f t="shared" si="3"/>
        <v>150</v>
      </c>
    </row>
    <row r="435" spans="2:15" ht="18" customHeight="1" x14ac:dyDescent="0.25">
      <c r="B435" s="259">
        <v>45099</v>
      </c>
      <c r="C435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35" s="259">
        <v>45099</v>
      </c>
      <c r="H435" s="254" t="s">
        <v>1245</v>
      </c>
      <c r="I435" s="764" t="str">
        <f>VLOOKUP($H435,инфо!$O:$P,2,FALSE)</f>
        <v>Яйцо (шт)</v>
      </c>
      <c r="J435" s="160" t="str">
        <f>VLOOKUP($I435,инфо!$D:$G,3,FALSE)</f>
        <v>кг</v>
      </c>
      <c r="K435" s="747" t="s">
        <v>1538</v>
      </c>
      <c r="M435" s="963">
        <f>SUMIF($H$1:$H435,$H435,$L$1:$L435)-SUMIF($H$1:$H434,$H435,$N$1:$N434)</f>
        <v>600</v>
      </c>
      <c r="N435" s="964">
        <v>150</v>
      </c>
      <c r="O435" s="962">
        <f t="shared" si="3"/>
        <v>450</v>
      </c>
    </row>
    <row r="436" spans="2:15" ht="18" customHeight="1" x14ac:dyDescent="0.25">
      <c r="B436" s="259">
        <v>45099</v>
      </c>
      <c r="C43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36" s="259">
        <f>B436</f>
        <v>45099</v>
      </c>
      <c r="H436" t="s">
        <v>53</v>
      </c>
      <c r="I436" s="764" t="str">
        <f>VLOOKUP($H436,инфо!$O:$P,2,FALSE)</f>
        <v>Сахар</v>
      </c>
      <c r="J436" s="160" t="str">
        <f>VLOOKUP($I436,инфо!$D:$G,3,FALSE)</f>
        <v>кг</v>
      </c>
      <c r="K436" s="747" t="s">
        <v>1538</v>
      </c>
      <c r="L436" s="663">
        <v>100</v>
      </c>
      <c r="M436" s="963">
        <f>SUMIF($H$1:$H436,$H436,$L$1:$L436)-SUMIF($H$1:$H435,$H436,$N$1:$N435)</f>
        <v>385</v>
      </c>
      <c r="O436" s="962">
        <f t="shared" si="3"/>
        <v>385</v>
      </c>
    </row>
    <row r="437" spans="2:15" ht="18" customHeight="1" x14ac:dyDescent="0.25">
      <c r="B437" s="259">
        <v>45099</v>
      </c>
      <c r="C43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37" s="259">
        <f>B437</f>
        <v>45099</v>
      </c>
      <c r="H437" s="5" t="s">
        <v>53</v>
      </c>
      <c r="I437" s="764" t="str">
        <f>VLOOKUP($H437,инфо!$O:$P,2,FALSE)</f>
        <v>Сахар</v>
      </c>
      <c r="J437" s="160" t="str">
        <f>VLOOKUP($I437,инфо!$D:$G,3,FALSE)</f>
        <v>кг</v>
      </c>
      <c r="K437" s="747" t="s">
        <v>1538</v>
      </c>
      <c r="L437" s="663">
        <v>5</v>
      </c>
      <c r="M437" s="963">
        <f>SUMIF($H$1:$H437,$H437,$L$1:$L437)-SUMIF($H$1:$H436,$H437,$N$1:$N436)</f>
        <v>390</v>
      </c>
      <c r="O437" s="962">
        <f t="shared" si="3"/>
        <v>390</v>
      </c>
    </row>
    <row r="438" spans="2:15" ht="18" customHeight="1" x14ac:dyDescent="0.25">
      <c r="B438" s="259">
        <v>45099</v>
      </c>
      <c r="C43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38" s="259">
        <v>45099</v>
      </c>
      <c r="H438" s="254" t="s">
        <v>53</v>
      </c>
      <c r="I438" s="764" t="str">
        <f>VLOOKUP($H438,инфо!$O:$P,2,FALSE)</f>
        <v>Сахар</v>
      </c>
      <c r="J438" s="160" t="str">
        <f>VLOOKUP($I438,инфо!$D:$G,3,FALSE)</f>
        <v>кг</v>
      </c>
      <c r="K438" s="747" t="s">
        <v>1538</v>
      </c>
      <c r="M438" s="963">
        <f>SUMIF($H$1:$H438,$H438,$L$1:$L438)-SUMIF($H$1:$H437,$H438,$N$1:$N437)</f>
        <v>390</v>
      </c>
      <c r="N438" s="964">
        <v>3</v>
      </c>
      <c r="O438" s="962">
        <f t="shared" si="3"/>
        <v>387</v>
      </c>
    </row>
    <row r="439" spans="2:15" ht="18" customHeight="1" x14ac:dyDescent="0.25">
      <c r="B439" s="259">
        <v>45099</v>
      </c>
      <c r="C43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39" s="259">
        <f>B439</f>
        <v>45099</v>
      </c>
      <c r="H439" t="s">
        <v>326</v>
      </c>
      <c r="I439" s="764" t="str">
        <f>VLOOKUP($H439,инфо!$O:$P,2,FALSE)</f>
        <v>Соль</v>
      </c>
      <c r="J439" s="160" t="str">
        <f>VLOOKUP($I439,инфо!$D:$G,3,FALSE)</f>
        <v>кг</v>
      </c>
      <c r="K439" s="747" t="s">
        <v>1538</v>
      </c>
      <c r="L439" s="663">
        <v>20</v>
      </c>
      <c r="M439" s="963">
        <f>SUMIF($H$1:$H439,$H439,$L$1:$L439)-SUMIF($H$1:$H438,$H439,$N$1:$N438)</f>
        <v>20</v>
      </c>
      <c r="O439" s="962">
        <f t="shared" si="3"/>
        <v>20</v>
      </c>
    </row>
    <row r="440" spans="2:15" ht="18" customHeight="1" x14ac:dyDescent="0.25">
      <c r="B440" s="259">
        <v>45099</v>
      </c>
      <c r="C44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40" s="259">
        <v>45099</v>
      </c>
      <c r="H440" s="254" t="s">
        <v>74</v>
      </c>
      <c r="I440" s="764" t="str">
        <f>VLOOKUP($H440,инфо!$O:$P,2,FALSE)</f>
        <v>Лавровый лист</v>
      </c>
      <c r="J440" s="160" t="str">
        <f>VLOOKUP($I440,инфо!$D:$G,3,FALSE)</f>
        <v>кг</v>
      </c>
      <c r="K440" s="747" t="s">
        <v>1538</v>
      </c>
      <c r="L440" s="663">
        <v>1</v>
      </c>
      <c r="M440" s="963">
        <f>SUMIF($H$1:$H440,$H440,$L$1:$L440)-SUMIF($H$1:$H439,$H440,$N$1:$N439)</f>
        <v>1</v>
      </c>
      <c r="N440" s="964">
        <v>1</v>
      </c>
      <c r="O440" s="962">
        <f t="shared" si="3"/>
        <v>0</v>
      </c>
    </row>
    <row r="441" spans="2:15" ht="18" customHeight="1" x14ac:dyDescent="0.25">
      <c r="B441" s="259">
        <v>45099</v>
      </c>
      <c r="C44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41" s="259">
        <v>45099</v>
      </c>
      <c r="H441" s="254" t="s">
        <v>484</v>
      </c>
      <c r="I441" s="764" t="str">
        <f>VLOOKUP($H441,инфо!$O:$P,2,FALSE)</f>
        <v>Перец черный</v>
      </c>
      <c r="J441" s="160" t="str">
        <f>VLOOKUP($I441,инфо!$D:$G,3,FALSE)</f>
        <v>кг</v>
      </c>
      <c r="K441" s="747" t="s">
        <v>1538</v>
      </c>
      <c r="L441" s="663">
        <v>1</v>
      </c>
      <c r="M441" s="963">
        <f>SUMIF($H$1:$H441,$H441,$L$1:$L441)-SUMIF($H$1:$H440,$H441,$N$1:$N440)</f>
        <v>1</v>
      </c>
      <c r="N441" s="964">
        <v>0.1</v>
      </c>
      <c r="O441" s="962">
        <f t="shared" si="3"/>
        <v>0.9</v>
      </c>
    </row>
    <row r="442" spans="2:15" ht="18" customHeight="1" x14ac:dyDescent="0.25">
      <c r="B442" s="259">
        <v>45099</v>
      </c>
      <c r="C44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42" s="259">
        <v>45099</v>
      </c>
      <c r="H442" s="254" t="s">
        <v>142</v>
      </c>
      <c r="I442" s="764" t="str">
        <f>VLOOKUP($H442,инфо!$O:$P,2,FALSE)</f>
        <v>Горчица</v>
      </c>
      <c r="J442" s="160" t="str">
        <f>VLOOKUP($I442,инфо!$D:$G,3,FALSE)</f>
        <v>кг</v>
      </c>
      <c r="K442" s="747" t="s">
        <v>1538</v>
      </c>
      <c r="M442" s="963">
        <f>SUMIF($H$1:$H442,$H442,$L$1:$L442)-SUMIF($H$1:$H441,$H442,$N$1:$N441)</f>
        <v>110</v>
      </c>
      <c r="N442" s="964">
        <v>31.121110000000002</v>
      </c>
      <c r="O442" s="962">
        <f t="shared" si="3"/>
        <v>78.878889999999998</v>
      </c>
    </row>
    <row r="443" spans="2:15" ht="18" customHeight="1" x14ac:dyDescent="0.25">
      <c r="B443" s="259">
        <v>45099</v>
      </c>
      <c r="C443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43" s="259">
        <v>45099</v>
      </c>
      <c r="H443" s="254" t="s">
        <v>69</v>
      </c>
      <c r="I443" s="764" t="str">
        <f>VLOOKUP($H443,инфо!$O:$P,2,FALSE)</f>
        <v>Горчичный порошок</v>
      </c>
      <c r="J443" s="160" t="str">
        <f>VLOOKUP($I443,инфо!$D:$G,3,FALSE)</f>
        <v>кг</v>
      </c>
      <c r="K443" s="747" t="s">
        <v>1538</v>
      </c>
      <c r="M443" s="963">
        <f>SUMIF($H$1:$H443,$H443,$L$1:$L443)-SUMIF($H$1:$H442,$H443,$N$1:$N442)</f>
        <v>117</v>
      </c>
      <c r="N443" s="964">
        <v>37.345331999999999</v>
      </c>
      <c r="O443" s="962">
        <f t="shared" si="3"/>
        <v>79.654668000000001</v>
      </c>
    </row>
    <row r="444" spans="2:15" ht="18" customHeight="1" x14ac:dyDescent="0.25">
      <c r="B444" s="259">
        <v>45099</v>
      </c>
      <c r="C44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44" s="259">
        <f>B444</f>
        <v>45099</v>
      </c>
      <c r="H444" t="s">
        <v>75</v>
      </c>
      <c r="I444" s="764" t="str">
        <f>VLOOKUP($H444,инфо!$O:$P,2,FALSE)</f>
        <v>Сок п/я</v>
      </c>
      <c r="J444" s="160" t="str">
        <f>VLOOKUP($I444,инфо!$D:$G,3,FALSE)</f>
        <v>литр</v>
      </c>
      <c r="K444" s="747" t="s">
        <v>1538</v>
      </c>
      <c r="L444" s="663">
        <v>200</v>
      </c>
      <c r="M444" s="963">
        <f>SUMIF($H$1:$H444,$H444,$L$1:$L444)-SUMIF($H$1:$H443,$H444,$N$1:$N443)</f>
        <v>200</v>
      </c>
      <c r="O444" s="962">
        <f t="shared" si="3"/>
        <v>200</v>
      </c>
    </row>
    <row r="445" spans="2:15" ht="18" customHeight="1" x14ac:dyDescent="0.25">
      <c r="B445" s="259">
        <v>45099</v>
      </c>
      <c r="C445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45" s="259">
        <v>45099</v>
      </c>
      <c r="H445" s="254" t="s">
        <v>324</v>
      </c>
      <c r="I445" s="764" t="str">
        <f>VLOOKUP($H445,инфо!$O:$P,2,FALSE)</f>
        <v>Изюм</v>
      </c>
      <c r="J445" s="160" t="str">
        <f>VLOOKUP($I445,инфо!$D:$G,3,FALSE)</f>
        <v>кг</v>
      </c>
      <c r="K445" s="747" t="s">
        <v>1538</v>
      </c>
      <c r="M445" s="963">
        <f>SUMIF($H$1:$H445,$H445,$L$1:$L445)-SUMIF($H$1:$H444,$H445,$N$1:$N444)</f>
        <v>110</v>
      </c>
      <c r="N445" s="964">
        <v>31.121110000000002</v>
      </c>
      <c r="O445" s="962">
        <f t="shared" si="3"/>
        <v>78.878889999999998</v>
      </c>
    </row>
    <row r="446" spans="2:15" ht="18" customHeight="1" x14ac:dyDescent="0.25">
      <c r="B446" s="259">
        <v>45099</v>
      </c>
      <c r="C44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46" s="259">
        <v>45099</v>
      </c>
      <c r="H446" s="254" t="s">
        <v>73</v>
      </c>
      <c r="I446" s="764" t="str">
        <f>VLOOKUP($H446,инфо!$O:$P,2,FALSE)</f>
        <v>Курага</v>
      </c>
      <c r="J446" s="160" t="str">
        <f>VLOOKUP($I446,инфо!$D:$G,3,FALSE)</f>
        <v>кг</v>
      </c>
      <c r="K446" s="747" t="s">
        <v>1538</v>
      </c>
      <c r="L446" s="663">
        <v>3</v>
      </c>
      <c r="M446" s="963">
        <f>SUMIF($H$1:$H446,$H446,$L$1:$L446)-SUMIF($H$1:$H445,$H446,$N$1:$N445)</f>
        <v>3</v>
      </c>
      <c r="N446" s="964">
        <v>3</v>
      </c>
      <c r="O446" s="962">
        <f t="shared" si="3"/>
        <v>0</v>
      </c>
    </row>
    <row r="447" spans="2:15" ht="18" customHeight="1" x14ac:dyDescent="0.25">
      <c r="B447" s="259">
        <v>45099</v>
      </c>
      <c r="C44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47" s="259">
        <f>B447</f>
        <v>45099</v>
      </c>
      <c r="H447" t="s">
        <v>422</v>
      </c>
      <c r="I447" s="764" t="str">
        <f>VLOOKUP($H447,инфо!$O:$P,2,FALSE)</f>
        <v>Смесь сухофруктов</v>
      </c>
      <c r="J447" s="160" t="str">
        <f>VLOOKUP($I447,инфо!$D:$G,3,FALSE)</f>
        <v>кг</v>
      </c>
      <c r="K447" s="747" t="s">
        <v>1538</v>
      </c>
      <c r="L447" s="663">
        <v>20</v>
      </c>
      <c r="M447" s="963">
        <f>SUMIF($H$1:$H447,$H447,$L$1:$L447)-SUMIF($H$1:$H446,$H447,$N$1:$N446)</f>
        <v>20</v>
      </c>
      <c r="O447" s="962">
        <f t="shared" si="3"/>
        <v>20</v>
      </c>
    </row>
    <row r="448" spans="2:15" ht="18" customHeight="1" x14ac:dyDescent="0.25">
      <c r="B448" s="259">
        <v>45099</v>
      </c>
      <c r="C44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48" s="259">
        <f>B448</f>
        <v>45099</v>
      </c>
      <c r="H448" t="s">
        <v>88</v>
      </c>
      <c r="I448" s="764" t="str">
        <f>VLOOKUP($H448,инфо!$O:$P,2,FALSE)</f>
        <v>Сок яблочный</v>
      </c>
      <c r="J448" s="160" t="str">
        <f>VLOOKUP($I448,инфо!$D:$G,3,FALSE)</f>
        <v>кг</v>
      </c>
      <c r="K448" s="747" t="s">
        <v>1538</v>
      </c>
      <c r="L448" s="663">
        <v>100</v>
      </c>
      <c r="M448" s="963">
        <f>SUMIF($H$1:$H448,$H448,$L$1:$L448)-SUMIF($H$1:$H447,$H448,$N$1:$N447)</f>
        <v>100</v>
      </c>
      <c r="O448" s="962">
        <f t="shared" si="3"/>
        <v>100</v>
      </c>
    </row>
    <row r="449" spans="2:15" ht="18" customHeight="1" x14ac:dyDescent="0.25">
      <c r="B449" s="259">
        <v>45099</v>
      </c>
      <c r="C449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49" s="259">
        <v>45099</v>
      </c>
      <c r="H449" s="254" t="s">
        <v>82</v>
      </c>
      <c r="I449" s="764" t="str">
        <f>VLOOKUP($H449,инфо!$O:$P,2,FALSE)</f>
        <v>Карамель</v>
      </c>
      <c r="J449" s="160" t="str">
        <f>VLOOKUP($I449,инфо!$D:$G,3,FALSE)</f>
        <v>кг</v>
      </c>
      <c r="K449" s="747" t="s">
        <v>1538</v>
      </c>
      <c r="M449" s="963">
        <f>SUMIF($H$1:$H449,$H449,$L$1:$L449)-SUMIF($H$1:$H448,$H449,$N$1:$N448)</f>
        <v>180</v>
      </c>
      <c r="N449" s="964">
        <v>124.48444000000001</v>
      </c>
      <c r="O449" s="962">
        <f t="shared" ref="O449:O512" si="5">$M449-$N449</f>
        <v>55.515559999999994</v>
      </c>
    </row>
    <row r="450" spans="2:15" ht="18" customHeight="1" x14ac:dyDescent="0.25">
      <c r="B450" s="259">
        <v>45099</v>
      </c>
      <c r="C45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50" s="259">
        <v>45099</v>
      </c>
      <c r="H450" s="254" t="s">
        <v>85</v>
      </c>
      <c r="I450" s="764" t="str">
        <f>VLOOKUP($H450,инфо!$O:$P,2,FALSE)</f>
        <v>Печенье</v>
      </c>
      <c r="J450" s="160" t="str">
        <f>VLOOKUP($I450,инфо!$D:$G,3,FALSE)</f>
        <v>кг</v>
      </c>
      <c r="K450" s="747" t="s">
        <v>1538</v>
      </c>
      <c r="M450" s="963">
        <f>SUMIF($H$1:$H450,$H450,$L$1:$L450)-SUMIF($H$1:$H449,$H450,$N$1:$N449)</f>
        <v>240</v>
      </c>
      <c r="N450" s="964">
        <v>6</v>
      </c>
      <c r="O450" s="962">
        <f t="shared" si="5"/>
        <v>234</v>
      </c>
    </row>
    <row r="451" spans="2:15" ht="18" customHeight="1" x14ac:dyDescent="0.25">
      <c r="B451" s="259">
        <v>45099</v>
      </c>
      <c r="C45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51" s="259">
        <v>45099</v>
      </c>
      <c r="H451" s="254" t="s">
        <v>86</v>
      </c>
      <c r="I451" s="764" t="str">
        <f>VLOOKUP($H451,инфо!$O:$P,2,FALSE)</f>
        <v>Печенье БС</v>
      </c>
      <c r="J451" s="160" t="str">
        <f>VLOOKUP($I451,инфо!$D:$G,3,FALSE)</f>
        <v>кг</v>
      </c>
      <c r="K451" s="747" t="s">
        <v>1538</v>
      </c>
      <c r="L451" s="663">
        <v>8</v>
      </c>
      <c r="M451" s="963">
        <f>SUMIF($H$1:$H451,$H451,$L$1:$L451)-SUMIF($H$1:$H450,$H451,$N$1:$N450)</f>
        <v>8</v>
      </c>
      <c r="N451" s="964">
        <v>8</v>
      </c>
      <c r="O451" s="962">
        <f t="shared" si="5"/>
        <v>0</v>
      </c>
    </row>
    <row r="452" spans="2:15" ht="18" customHeight="1" x14ac:dyDescent="0.25">
      <c r="B452" s="259">
        <v>45099</v>
      </c>
      <c r="C45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52" s="259">
        <v>45099</v>
      </c>
      <c r="H452" s="254" t="s">
        <v>89</v>
      </c>
      <c r="I452" s="764" t="str">
        <f>VLOOKUP($H452,инфо!$O:$P,2,FALSE)</f>
        <v>Яблоки свежие</v>
      </c>
      <c r="J452" s="160" t="str">
        <f>VLOOKUP($I452,инфо!$D:$G,3,FALSE)</f>
        <v>кг</v>
      </c>
      <c r="K452" s="747" t="s">
        <v>1538</v>
      </c>
      <c r="M452" s="963">
        <f>SUMIF($H$1:$H452,$H452,$L$1:$L452)-SUMIF($H$1:$H451,$H452,$N$1:$N451)</f>
        <v>290</v>
      </c>
      <c r="N452" s="964">
        <v>155.60554999999999</v>
      </c>
      <c r="O452" s="962">
        <f t="shared" si="5"/>
        <v>134.39445000000001</v>
      </c>
    </row>
    <row r="453" spans="2:15" ht="18" customHeight="1" x14ac:dyDescent="0.25">
      <c r="B453" s="259">
        <v>45099</v>
      </c>
      <c r="C45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53" s="259">
        <v>45099</v>
      </c>
      <c r="H453" s="254" t="s">
        <v>521</v>
      </c>
      <c r="I453" s="764" t="str">
        <f>VLOOKUP($H453,инфо!$O:$P,2,FALSE)</f>
        <v>Груши свежие</v>
      </c>
      <c r="J453" s="160" t="str">
        <f>VLOOKUP($I453,инфо!$D:$G,3,FALSE)</f>
        <v>кг</v>
      </c>
      <c r="K453" s="747" t="s">
        <v>1538</v>
      </c>
      <c r="L453" s="663">
        <v>70</v>
      </c>
      <c r="M453" s="963">
        <f>SUMIF($H$1:$H453,$H453,$L$1:$L453)-SUMIF($H$1:$H452,$H453,$N$1:$N452)</f>
        <v>70</v>
      </c>
      <c r="N453" s="964">
        <v>62.242220000000003</v>
      </c>
      <c r="O453" s="962">
        <f t="shared" si="5"/>
        <v>7.7577799999999968</v>
      </c>
    </row>
    <row r="454" spans="2:15" ht="18" customHeight="1" x14ac:dyDescent="0.25">
      <c r="B454" s="259">
        <v>45105</v>
      </c>
      <c r="C45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54" s="6"/>
      <c r="E454" s="259">
        <f t="shared" ref="E454:E465" si="6">B454</f>
        <v>45105</v>
      </c>
      <c r="G454" s="6"/>
      <c r="H454" t="s">
        <v>45</v>
      </c>
      <c r="I454" s="764" t="str">
        <f>VLOOKUP($H454,инфо!$O:$P,2,FALSE)</f>
        <v>Картофель</v>
      </c>
      <c r="J454" s="160" t="str">
        <f>VLOOKUP($I454,инфо!$D:$G,3,FALSE)</f>
        <v>кг</v>
      </c>
      <c r="K454" s="747" t="s">
        <v>1538</v>
      </c>
      <c r="L454" s="663">
        <v>80</v>
      </c>
      <c r="M454" s="963">
        <f>SUMIF($H$1:$H454,$H454,$L$1:$L454)-SUMIF($H$1:$H453,$H454,$N$1:$N453)</f>
        <v>954</v>
      </c>
      <c r="O454" s="962">
        <f t="shared" si="5"/>
        <v>954</v>
      </c>
    </row>
    <row r="455" spans="2:15" ht="18" customHeight="1" x14ac:dyDescent="0.25">
      <c r="B455" s="259">
        <v>45105</v>
      </c>
      <c r="C45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55" s="6"/>
      <c r="E455" s="259">
        <f t="shared" si="6"/>
        <v>45105</v>
      </c>
      <c r="G455" s="6"/>
      <c r="H455" t="s">
        <v>490</v>
      </c>
      <c r="I455" s="764" t="str">
        <f>VLOOKUP($H455,инфо!$O:$P,2,FALSE)</f>
        <v>Капуста свежая</v>
      </c>
      <c r="J455" s="160" t="str">
        <f>VLOOKUP($I455,инфо!$D:$G,3,FALSE)</f>
        <v>кг</v>
      </c>
      <c r="K455" s="747" t="s">
        <v>1538</v>
      </c>
      <c r="L455" s="663">
        <v>500</v>
      </c>
      <c r="M455" s="963">
        <f>SUMIF($H$1:$H455,$H455,$L$1:$L455)-SUMIF($H$1:$H454,$H455,$N$1:$N454)</f>
        <v>500</v>
      </c>
      <c r="O455" s="962">
        <f t="shared" si="5"/>
        <v>500</v>
      </c>
    </row>
    <row r="456" spans="2:15" ht="18" customHeight="1" x14ac:dyDescent="0.25">
      <c r="B456" s="259">
        <v>45105</v>
      </c>
      <c r="C45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56" s="6"/>
      <c r="E456" s="259">
        <f t="shared" si="6"/>
        <v>45105</v>
      </c>
      <c r="G456" s="6"/>
      <c r="H456" t="s">
        <v>496</v>
      </c>
      <c r="I456" s="764" t="str">
        <f>VLOOKUP($H456,инфо!$O:$P,2,FALSE)</f>
        <v>Капуста консерв.</v>
      </c>
      <c r="J456" s="160" t="str">
        <f>VLOOKUP($I456,инфо!$D:$G,3,FALSE)</f>
        <v>кг</v>
      </c>
      <c r="K456" s="747" t="s">
        <v>1538</v>
      </c>
      <c r="L456" s="663">
        <v>130</v>
      </c>
      <c r="M456" s="963">
        <f>SUMIF($H$1:$H456,$H456,$L$1:$L456)-SUMIF($H$1:$H455,$H456,$N$1:$N455)</f>
        <v>130</v>
      </c>
      <c r="O456" s="962">
        <f t="shared" si="5"/>
        <v>130</v>
      </c>
    </row>
    <row r="457" spans="2:15" ht="18" customHeight="1" x14ac:dyDescent="0.25">
      <c r="B457" s="259">
        <v>45105</v>
      </c>
      <c r="C45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57" s="6"/>
      <c r="E457" s="259">
        <f t="shared" si="6"/>
        <v>45105</v>
      </c>
      <c r="G457" s="6"/>
      <c r="H457" t="s">
        <v>409</v>
      </c>
      <c r="I457" s="764" t="str">
        <f>VLOOKUP($H457,инфо!$O:$P,2,FALSE)</f>
        <v>Консервы овощ. закусочные, лечо</v>
      </c>
      <c r="J457" s="160" t="str">
        <f>VLOOKUP($I457,инфо!$D:$G,3,FALSE)</f>
        <v>кг</v>
      </c>
      <c r="K457" s="747" t="s">
        <v>1538</v>
      </c>
      <c r="L457" s="663">
        <v>200</v>
      </c>
      <c r="M457" s="963">
        <f>SUMIF($H$1:$H457,$H457,$L$1:$L457)-SUMIF($H$1:$H456,$H457,$N$1:$N456)</f>
        <v>200</v>
      </c>
      <c r="O457" s="962">
        <f t="shared" si="5"/>
        <v>200</v>
      </c>
    </row>
    <row r="458" spans="2:15" ht="18" customHeight="1" x14ac:dyDescent="0.25">
      <c r="B458" s="259">
        <v>45105</v>
      </c>
      <c r="C45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58" s="6"/>
      <c r="E458" s="259">
        <f t="shared" si="6"/>
        <v>45105</v>
      </c>
      <c r="G458" s="6"/>
      <c r="H458" t="s">
        <v>71</v>
      </c>
      <c r="I458" s="764" t="str">
        <f>VLOOKUP($H458,инфо!$O:$P,2,FALSE)</f>
        <v>Кефир</v>
      </c>
      <c r="J458" s="160" t="str">
        <f>VLOOKUP($I458,инфо!$D:$G,3,FALSE)</f>
        <v>литр</v>
      </c>
      <c r="K458" s="747" t="s">
        <v>1538</v>
      </c>
      <c r="L458" s="663">
        <v>40</v>
      </c>
      <c r="M458" s="963">
        <f>SUMIF($H$1:$H458,$H458,$L$1:$L458)-SUMIF($H$1:$H457,$H458,$N$1:$N457)</f>
        <v>40</v>
      </c>
      <c r="O458" s="962">
        <f t="shared" si="5"/>
        <v>40</v>
      </c>
    </row>
    <row r="459" spans="2:15" ht="18" customHeight="1" x14ac:dyDescent="0.25">
      <c r="B459" s="259">
        <v>45105</v>
      </c>
      <c r="C45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59" s="6"/>
      <c r="E459" s="259">
        <f t="shared" si="6"/>
        <v>45105</v>
      </c>
      <c r="G459" s="6"/>
      <c r="H459" t="s">
        <v>474</v>
      </c>
      <c r="I459" s="764" t="str">
        <f>VLOOKUP($H459,инфо!$O:$P,2,FALSE)</f>
        <v>Колбаса вареная</v>
      </c>
      <c r="J459" s="160" t="str">
        <f>VLOOKUP($I459,инфо!$D:$G,3,FALSE)</f>
        <v>кг</v>
      </c>
      <c r="K459" s="747" t="s">
        <v>1538</v>
      </c>
      <c r="L459" s="663">
        <v>30</v>
      </c>
      <c r="M459" s="963">
        <f>SUMIF($H$1:$H459,$H459,$L$1:$L459)-SUMIF($H$1:$H458,$H459,$N$1:$N458)</f>
        <v>30</v>
      </c>
      <c r="O459" s="962">
        <f t="shared" si="5"/>
        <v>30</v>
      </c>
    </row>
    <row r="460" spans="2:15" ht="18" customHeight="1" x14ac:dyDescent="0.25">
      <c r="B460" s="259">
        <v>45105</v>
      </c>
      <c r="C46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60" s="6"/>
      <c r="E460" s="259">
        <f t="shared" si="6"/>
        <v>45105</v>
      </c>
      <c r="G460" s="6"/>
      <c r="H460" t="s">
        <v>64</v>
      </c>
      <c r="I460" s="764" t="str">
        <f>VLOOKUP($H460,инфо!$O:$P,2,FALSE)</f>
        <v>Колбаса п/к</v>
      </c>
      <c r="J460" s="160" t="str">
        <f>VLOOKUP($I460,инфо!$D:$G,3,FALSE)</f>
        <v>кг</v>
      </c>
      <c r="K460" s="747" t="s">
        <v>1538</v>
      </c>
      <c r="L460" s="663">
        <v>20</v>
      </c>
      <c r="M460" s="963">
        <f>SUMIF($H$1:$H460,$H460,$L$1:$L460)-SUMIF($H$1:$H459,$H460,$N$1:$N459)</f>
        <v>20</v>
      </c>
      <c r="O460" s="962">
        <f t="shared" si="5"/>
        <v>20</v>
      </c>
    </row>
    <row r="461" spans="2:15" ht="18" customHeight="1" x14ac:dyDescent="0.25">
      <c r="B461" s="259">
        <v>45105</v>
      </c>
      <c r="C46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61" s="6"/>
      <c r="E461" s="259">
        <f t="shared" si="6"/>
        <v>45105</v>
      </c>
      <c r="G461" s="6"/>
      <c r="H461" t="s">
        <v>59</v>
      </c>
      <c r="I461" s="764" t="str">
        <f>VLOOKUP($H461,инфо!$O:$P,2,FALSE)</f>
        <v>Колбаса с/к</v>
      </c>
      <c r="J461" s="160" t="str">
        <f>VLOOKUP($I461,инфо!$D:$G,3,FALSE)</f>
        <v>кг</v>
      </c>
      <c r="K461" s="747" t="s">
        <v>1538</v>
      </c>
      <c r="L461" s="663">
        <v>20</v>
      </c>
      <c r="M461" s="963">
        <f>SUMIF($H$1:$H461,$H461,$L$1:$L461)-SUMIF($H$1:$H460,$H461,$N$1:$N460)</f>
        <v>20</v>
      </c>
      <c r="O461" s="962">
        <f t="shared" si="5"/>
        <v>20</v>
      </c>
    </row>
    <row r="462" spans="2:15" ht="18" customHeight="1" x14ac:dyDescent="0.25">
      <c r="B462" s="259">
        <v>45105</v>
      </c>
      <c r="C46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62" s="6"/>
      <c r="E462" s="259">
        <f t="shared" si="6"/>
        <v>45105</v>
      </c>
      <c r="G462" s="6"/>
      <c r="H462" t="s">
        <v>29</v>
      </c>
      <c r="I462" s="764" t="str">
        <f>VLOOKUP($H462,инфо!$O:$P,2,FALSE)</f>
        <v>Консервы рыбные</v>
      </c>
      <c r="J462" s="160" t="str">
        <f>VLOOKUP($I462,инфо!$D:$G,3,FALSE)</f>
        <v>кг</v>
      </c>
      <c r="K462" s="747" t="s">
        <v>1538</v>
      </c>
      <c r="L462" s="663">
        <v>35</v>
      </c>
      <c r="M462" s="963">
        <f>SUMIF($H$1:$H462,$H462,$L$1:$L462)-SUMIF($H$1:$H461,$H462,$N$1:$N461)</f>
        <v>35</v>
      </c>
      <c r="O462" s="962">
        <f t="shared" si="5"/>
        <v>35</v>
      </c>
    </row>
    <row r="463" spans="2:15" ht="18" customHeight="1" x14ac:dyDescent="0.25">
      <c r="B463" s="259">
        <v>45105</v>
      </c>
      <c r="C46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63" s="6"/>
      <c r="E463" s="259">
        <f t="shared" si="6"/>
        <v>45105</v>
      </c>
      <c r="G463" s="6"/>
      <c r="H463" t="s">
        <v>82</v>
      </c>
      <c r="I463" s="764" t="str">
        <f>VLOOKUP($H463,инфо!$O:$P,2,FALSE)</f>
        <v>Карамель</v>
      </c>
      <c r="J463" s="160" t="str">
        <f>VLOOKUP($I463,инфо!$D:$G,3,FALSE)</f>
        <v>кг</v>
      </c>
      <c r="K463" s="747" t="s">
        <v>1538</v>
      </c>
      <c r="L463" s="663">
        <v>40</v>
      </c>
      <c r="M463" s="963">
        <f>SUMIF($H$1:$H463,$H463,$L$1:$L463)-SUMIF($H$1:$H462,$H463,$N$1:$N462)</f>
        <v>95.515559999999994</v>
      </c>
      <c r="O463" s="962">
        <f t="shared" si="5"/>
        <v>95.515559999999994</v>
      </c>
    </row>
    <row r="464" spans="2:15" ht="18" customHeight="1" x14ac:dyDescent="0.25">
      <c r="B464" s="259">
        <v>45105</v>
      </c>
      <c r="C46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64" s="6"/>
      <c r="E464" s="259">
        <f t="shared" si="6"/>
        <v>45105</v>
      </c>
      <c r="G464" s="6"/>
      <c r="H464" t="s">
        <v>83</v>
      </c>
      <c r="I464" s="764" t="str">
        <f>VLOOKUP($H464,инфо!$O:$P,2,FALSE)</f>
        <v>Конфеты шоколадные</v>
      </c>
      <c r="J464" s="160" t="str">
        <f>VLOOKUP($I464,инфо!$D:$G,3,FALSE)</f>
        <v>кг</v>
      </c>
      <c r="K464" s="747" t="s">
        <v>1538</v>
      </c>
      <c r="L464" s="663">
        <v>20</v>
      </c>
      <c r="M464" s="963">
        <f>SUMIF($H$1:$H464,$H464,$L$1:$L464)-SUMIF($H$1:$H463,$H464,$N$1:$N463)</f>
        <v>109</v>
      </c>
      <c r="O464" s="962">
        <f t="shared" si="5"/>
        <v>109</v>
      </c>
    </row>
    <row r="465" spans="2:15" ht="18" customHeight="1" x14ac:dyDescent="0.25">
      <c r="B465" s="259">
        <v>45108</v>
      </c>
      <c r="C46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65" s="6"/>
      <c r="E465" s="259">
        <f t="shared" si="6"/>
        <v>45108</v>
      </c>
      <c r="G465" s="6"/>
      <c r="H465" t="s">
        <v>39</v>
      </c>
      <c r="I465" s="764" t="str">
        <f>VLOOKUP($H465,инфо!$O:$P,2,FALSE)</f>
        <v>Манная</v>
      </c>
      <c r="J465" s="160" t="str">
        <f>VLOOKUP($I465,инфо!$D:$G,3,FALSE)</f>
        <v>кг</v>
      </c>
      <c r="K465" s="747" t="s">
        <v>1538</v>
      </c>
      <c r="L465" s="663">
        <v>55</v>
      </c>
      <c r="M465" s="963">
        <f>SUMIF($H$1:$H465,$H465,$L$1:$L465)-SUMIF($H$1:$H464,$H465,$N$1:$N464)</f>
        <v>55</v>
      </c>
      <c r="O465" s="962">
        <f t="shared" si="5"/>
        <v>55</v>
      </c>
    </row>
    <row r="466" spans="2:15" ht="18" customHeight="1" x14ac:dyDescent="0.25">
      <c r="B466" s="259">
        <v>45108</v>
      </c>
      <c r="C46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66" s="259">
        <v>45108</v>
      </c>
      <c r="H466" t="s">
        <v>26</v>
      </c>
      <c r="I466" s="764" t="str">
        <f>VLOOKUP($H466,инфо!$O:$P,2,FALSE)</f>
        <v>Овсяная</v>
      </c>
      <c r="J466" s="160" t="str">
        <f>VLOOKUP($I466,инфо!$D:$G,3,FALSE)</f>
        <v>кг</v>
      </c>
      <c r="K466" s="747" t="s">
        <v>1538</v>
      </c>
      <c r="L466" s="663">
        <v>13</v>
      </c>
      <c r="M466" s="963">
        <f>SUMIF($H$1:$H466,$H466,$L$1:$L466)-SUMIF($H$1:$H465,$H466,$N$1:$N465)</f>
        <v>13</v>
      </c>
      <c r="N466" s="964">
        <v>11.256</v>
      </c>
      <c r="O466" s="962">
        <f t="shared" si="5"/>
        <v>1.7439999999999998</v>
      </c>
    </row>
    <row r="467" spans="2:15" ht="18" customHeight="1" x14ac:dyDescent="0.25">
      <c r="B467" s="259">
        <v>45108</v>
      </c>
      <c r="C46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67" s="259">
        <v>45108</v>
      </c>
      <c r="H467" t="s">
        <v>1247</v>
      </c>
      <c r="I467" s="764" t="str">
        <f>VLOOKUP($H467,инфо!$O:$P,2,FALSE)</f>
        <v>Пшеничная</v>
      </c>
      <c r="J467" s="160" t="str">
        <f>VLOOKUP($I467,инфо!$D:$G,3,FALSE)</f>
        <v>кг</v>
      </c>
      <c r="K467" s="747" t="s">
        <v>1538</v>
      </c>
      <c r="L467" s="663">
        <v>250</v>
      </c>
      <c r="M467" s="963">
        <f>SUMIF($H$1:$H467,$H467,$L$1:$L467)-SUMIF($H$1:$H466,$H467,$N$1:$N466)</f>
        <v>250</v>
      </c>
      <c r="N467" s="964">
        <v>13.132</v>
      </c>
      <c r="O467" s="962">
        <f t="shared" si="5"/>
        <v>236.86799999999999</v>
      </c>
    </row>
    <row r="468" spans="2:15" ht="18" customHeight="1" x14ac:dyDescent="0.25">
      <c r="B468" s="259">
        <v>45108</v>
      </c>
      <c r="C46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68" s="259">
        <v>45108</v>
      </c>
      <c r="H468" t="s">
        <v>31</v>
      </c>
      <c r="I468" s="764" t="str">
        <f>VLOOKUP($H468,инфо!$O:$P,2,FALSE)</f>
        <v>Перловая</v>
      </c>
      <c r="J468" s="160" t="str">
        <f>VLOOKUP($I468,инфо!$D:$G,3,FALSE)</f>
        <v>кг</v>
      </c>
      <c r="K468" s="747" t="s">
        <v>1538</v>
      </c>
      <c r="L468" s="663">
        <v>20</v>
      </c>
      <c r="M468" s="963">
        <f>SUMIF($H$1:$H468,$H468,$L$1:$L468)-SUMIF($H$1:$H467,$H468,$N$1:$N467)</f>
        <v>20</v>
      </c>
      <c r="N468" s="964">
        <v>4.6899999999999995</v>
      </c>
      <c r="O468" s="962">
        <f t="shared" si="5"/>
        <v>15.31</v>
      </c>
    </row>
    <row r="469" spans="2:15" ht="18" customHeight="1" x14ac:dyDescent="0.25">
      <c r="B469" s="259">
        <v>45108</v>
      </c>
      <c r="C46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69" s="6"/>
      <c r="E469" s="259">
        <f>B469</f>
        <v>45108</v>
      </c>
      <c r="G469" s="6"/>
      <c r="H469" t="s">
        <v>41</v>
      </c>
      <c r="I469" s="764" t="str">
        <f>VLOOKUP($H469,инфо!$O:$P,2,FALSE)</f>
        <v>Макаронные изделия</v>
      </c>
      <c r="J469" s="160" t="str">
        <f>VLOOKUP($I469,инфо!$D:$G,3,FALSE)</f>
        <v>кг</v>
      </c>
      <c r="K469" s="747" t="s">
        <v>1538</v>
      </c>
      <c r="L469" s="663">
        <v>700</v>
      </c>
      <c r="M469" s="963">
        <f>SUMIF($H$1:$H469,$H469,$L$1:$L469)-SUMIF($H$1:$H468,$H469,$N$1:$N468)</f>
        <v>700</v>
      </c>
      <c r="O469" s="962">
        <f t="shared" si="5"/>
        <v>700</v>
      </c>
    </row>
    <row r="470" spans="2:15" ht="18" customHeight="1" x14ac:dyDescent="0.25">
      <c r="B470" s="259">
        <v>45108</v>
      </c>
      <c r="C47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70" s="259">
        <v>45108</v>
      </c>
      <c r="H470" s="254" t="s">
        <v>41</v>
      </c>
      <c r="I470" s="764" t="str">
        <f>VLOOKUP($H470,инфо!$O:$P,2,FALSE)</f>
        <v>Макаронные изделия</v>
      </c>
      <c r="J470" s="160" t="str">
        <f>VLOOKUP($I470,инфо!$D:$G,3,FALSE)</f>
        <v>кг</v>
      </c>
      <c r="K470" s="747" t="s">
        <v>1538</v>
      </c>
      <c r="M470" s="963">
        <f>SUMIF($H$1:$H470,$H470,$L$1:$L470)-SUMIF($H$1:$H469,$H470,$N$1:$N469)</f>
        <v>700</v>
      </c>
      <c r="N470" s="964">
        <v>217.84777</v>
      </c>
      <c r="O470" s="962">
        <f t="shared" si="5"/>
        <v>482.15223000000003</v>
      </c>
    </row>
    <row r="471" spans="2:15" ht="18" customHeight="1" x14ac:dyDescent="0.25">
      <c r="B471" s="259">
        <v>45108</v>
      </c>
      <c r="C47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71" s="6"/>
      <c r="E471" s="259">
        <f>B471</f>
        <v>45108</v>
      </c>
      <c r="G471" s="6"/>
      <c r="H471" t="s">
        <v>32</v>
      </c>
      <c r="I471" s="764" t="str">
        <f>VLOOKUP($H471,инфо!$O:$P,2,FALSE)</f>
        <v>Лук репчатый</v>
      </c>
      <c r="J471" s="160" t="str">
        <f>VLOOKUP($I471,инфо!$D:$G,3,FALSE)</f>
        <v>кг</v>
      </c>
      <c r="K471" s="747" t="s">
        <v>1538</v>
      </c>
      <c r="L471" s="663">
        <v>50</v>
      </c>
      <c r="M471" s="963">
        <f>SUMIF($H$1:$H471,$H471,$L$1:$L471)-SUMIF($H$1:$H470,$H471,$N$1:$N470)</f>
        <v>50</v>
      </c>
      <c r="O471" s="962">
        <f t="shared" si="5"/>
        <v>50</v>
      </c>
    </row>
    <row r="472" spans="2:15" ht="18" customHeight="1" x14ac:dyDescent="0.25">
      <c r="B472" s="259">
        <v>45108</v>
      </c>
      <c r="C47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72" s="259">
        <v>45108</v>
      </c>
      <c r="H472" t="s">
        <v>448</v>
      </c>
      <c r="I472" s="764" t="str">
        <f>VLOOKUP($H472,инфо!$O:$P,2,FALSE)</f>
        <v>Помидоры свежие</v>
      </c>
      <c r="J472" s="160" t="str">
        <f>VLOOKUP($I472,инфо!$D:$G,3,FALSE)</f>
        <v>кг</v>
      </c>
      <c r="K472" s="747" t="s">
        <v>1538</v>
      </c>
      <c r="L472" s="663">
        <v>22</v>
      </c>
      <c r="M472" s="963">
        <f>SUMIF($H$1:$H472,$H472,$L$1:$L472)-SUMIF($H$1:$H471,$H472,$N$1:$N471)</f>
        <v>22</v>
      </c>
      <c r="N472" s="964">
        <v>9.379999999999999</v>
      </c>
      <c r="O472" s="962">
        <f t="shared" si="5"/>
        <v>12.620000000000001</v>
      </c>
    </row>
    <row r="473" spans="2:15" ht="18" customHeight="1" x14ac:dyDescent="0.25">
      <c r="B473" s="259">
        <v>45108</v>
      </c>
      <c r="C473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73" s="259">
        <v>45108</v>
      </c>
      <c r="H473" t="s">
        <v>48</v>
      </c>
      <c r="I473" s="764" t="str">
        <f>VLOOKUP($H473,инфо!$O:$P,2,FALSE)</f>
        <v>Свекла</v>
      </c>
      <c r="J473" s="160" t="str">
        <f>VLOOKUP($I473,инфо!$D:$G,3,FALSE)</f>
        <v>кг</v>
      </c>
      <c r="K473" s="747" t="s">
        <v>1538</v>
      </c>
      <c r="M473" s="963">
        <f>SUMIF($H$1:$H473,$H473,$L$1:$L473)-SUMIF($H$1:$H472,$H473,$N$1:$N472)</f>
        <v>120</v>
      </c>
      <c r="N473" s="964">
        <v>7.5039999999999996</v>
      </c>
      <c r="O473" s="962">
        <f t="shared" si="5"/>
        <v>112.496</v>
      </c>
    </row>
    <row r="474" spans="2:15" ht="18" customHeight="1" x14ac:dyDescent="0.25">
      <c r="B474" s="259">
        <v>45108</v>
      </c>
      <c r="C47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74" s="259">
        <v>45108</v>
      </c>
      <c r="H474" t="s">
        <v>70</v>
      </c>
      <c r="I474" s="764" t="str">
        <f>VLOOKUP($H474,инфо!$O:$P,2,FALSE)</f>
        <v>Зелень</v>
      </c>
      <c r="J474" s="160" t="str">
        <f>VLOOKUP($I474,инфо!$D:$G,3,FALSE)</f>
        <v>кг</v>
      </c>
      <c r="K474" s="747" t="s">
        <v>1538</v>
      </c>
      <c r="M474" s="963">
        <f>SUMIF($H$1:$H474,$H474,$L$1:$L474)-SUMIF($H$1:$H473,$H474,$N$1:$N473)</f>
        <v>120</v>
      </c>
      <c r="N474" s="964">
        <v>0.75039999999999996</v>
      </c>
      <c r="O474" s="962">
        <f t="shared" si="5"/>
        <v>119.2496</v>
      </c>
    </row>
    <row r="475" spans="2:15" ht="18" customHeight="1" x14ac:dyDescent="0.25">
      <c r="B475" s="259">
        <v>45108</v>
      </c>
      <c r="C47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75" s="6"/>
      <c r="E475" s="259">
        <f>B475</f>
        <v>45108</v>
      </c>
      <c r="G475" s="6"/>
      <c r="H475" t="s">
        <v>442</v>
      </c>
      <c r="I475" s="764" t="str">
        <f>VLOOKUP($H475,инфо!$O:$P,2,FALSE)</f>
        <v>Лук зеленый</v>
      </c>
      <c r="J475" s="160" t="str">
        <f>VLOOKUP($I475,инфо!$D:$G,3,FALSE)</f>
        <v>кг</v>
      </c>
      <c r="K475" s="747" t="s">
        <v>1538</v>
      </c>
      <c r="L475" s="663">
        <v>36</v>
      </c>
      <c r="M475" s="963">
        <f>SUMIF($H$1:$H475,$H475,$L$1:$L475)-SUMIF($H$1:$H474,$H475,$N$1:$N474)</f>
        <v>36</v>
      </c>
      <c r="O475" s="962">
        <f t="shared" si="5"/>
        <v>36</v>
      </c>
    </row>
    <row r="476" spans="2:15" ht="18" customHeight="1" x14ac:dyDescent="0.25">
      <c r="B476" s="259">
        <v>45108</v>
      </c>
      <c r="C47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76" s="259">
        <v>45108</v>
      </c>
      <c r="H476" t="s">
        <v>442</v>
      </c>
      <c r="I476" s="764" t="str">
        <f>VLOOKUP($H476,инфо!$O:$P,2,FALSE)</f>
        <v>Лук зеленый</v>
      </c>
      <c r="J476" s="160" t="str">
        <f>VLOOKUP($I476,инфо!$D:$G,3,FALSE)</f>
        <v>кг</v>
      </c>
      <c r="K476" s="747" t="s">
        <v>1538</v>
      </c>
      <c r="M476" s="963">
        <f>SUMIF($H$1:$H476,$H476,$L$1:$L476)-SUMIF($H$1:$H475,$H476,$N$1:$N475)</f>
        <v>36</v>
      </c>
      <c r="N476" s="964">
        <v>1.1255999999999999</v>
      </c>
      <c r="O476" s="962">
        <f t="shared" si="5"/>
        <v>34.874400000000001</v>
      </c>
    </row>
    <row r="477" spans="2:15" ht="18" customHeight="1" x14ac:dyDescent="0.25">
      <c r="B477" s="259">
        <v>45108</v>
      </c>
      <c r="C47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77" s="6"/>
      <c r="E477" s="259">
        <f>B477</f>
        <v>45108</v>
      </c>
      <c r="G477" s="6"/>
      <c r="H477" t="s">
        <v>497</v>
      </c>
      <c r="I477" s="764" t="str">
        <f>VLOOKUP($H477,инфо!$O:$P,2,FALSE)</f>
        <v>Кукуруза консерв.</v>
      </c>
      <c r="J477" s="160" t="str">
        <f>VLOOKUP($I477,инфо!$D:$G,3,FALSE)</f>
        <v>кг</v>
      </c>
      <c r="K477" s="747" t="s">
        <v>1538</v>
      </c>
      <c r="L477" s="663">
        <v>35</v>
      </c>
      <c r="M477" s="963">
        <f>SUMIF($H$1:$H477,$H477,$L$1:$L477)-SUMIF($H$1:$H476,$H477,$N$1:$N476)</f>
        <v>35</v>
      </c>
      <c r="O477" s="962">
        <f t="shared" si="5"/>
        <v>35</v>
      </c>
    </row>
    <row r="478" spans="2:15" ht="18" customHeight="1" x14ac:dyDescent="0.25">
      <c r="B478" s="259">
        <v>45108</v>
      </c>
      <c r="C47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78" s="259">
        <v>45108</v>
      </c>
      <c r="H478" t="s">
        <v>496</v>
      </c>
      <c r="I478" s="764" t="str">
        <f>VLOOKUP($H478,инфо!$O:$P,2,FALSE)</f>
        <v>Капуста консерв.</v>
      </c>
      <c r="J478" s="160" t="str">
        <f>VLOOKUP($I478,инфо!$D:$G,3,FALSE)</f>
        <v>кг</v>
      </c>
      <c r="K478" s="747" t="s">
        <v>1538</v>
      </c>
      <c r="M478" s="963">
        <f>SUMIF($H$1:$H478,$H478,$L$1:$L478)-SUMIF($H$1:$H477,$H478,$N$1:$N477)</f>
        <v>130</v>
      </c>
      <c r="N478" s="964">
        <v>8.4420000000000002</v>
      </c>
      <c r="O478" s="962">
        <f t="shared" si="5"/>
        <v>121.55799999999999</v>
      </c>
    </row>
    <row r="479" spans="2:15" ht="18" customHeight="1" x14ac:dyDescent="0.25">
      <c r="B479" s="259">
        <v>45108</v>
      </c>
      <c r="C47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79" s="259">
        <v>45108</v>
      </c>
      <c r="H479" t="s">
        <v>499</v>
      </c>
      <c r="I479" s="764" t="str">
        <f>VLOOKUP($H479,инфо!$O:$P,2,FALSE)</f>
        <v>Помидоры консерв.</v>
      </c>
      <c r="J479" s="160" t="str">
        <f>VLOOKUP($I479,инфо!$D:$G,3,FALSE)</f>
        <v>кг</v>
      </c>
      <c r="K479" s="747" t="s">
        <v>1538</v>
      </c>
      <c r="L479" s="663">
        <v>8</v>
      </c>
      <c r="M479" s="963">
        <f>SUMIF($H$1:$H479,$H479,$L$1:$L479)-SUMIF($H$1:$H478,$H479,$N$1:$N478)</f>
        <v>8</v>
      </c>
      <c r="N479" s="964">
        <v>6.5659999999999998</v>
      </c>
      <c r="O479" s="962">
        <f t="shared" si="5"/>
        <v>1.4340000000000002</v>
      </c>
    </row>
    <row r="480" spans="2:15" ht="18" customHeight="1" x14ac:dyDescent="0.25">
      <c r="B480" s="259">
        <v>45108</v>
      </c>
      <c r="C48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80" s="259">
        <v>45108</v>
      </c>
      <c r="H480" s="254" t="s">
        <v>321</v>
      </c>
      <c r="I480" s="764" t="str">
        <f>VLOOKUP($H480,инфо!$O:$P,2,FALSE)</f>
        <v>Сыр</v>
      </c>
      <c r="J480" s="160" t="str">
        <f>VLOOKUP($I480,инфо!$D:$G,3,FALSE)</f>
        <v>кг</v>
      </c>
      <c r="K480" s="747" t="s">
        <v>1538</v>
      </c>
      <c r="M480" s="963">
        <f>SUMIF($H$1:$H480,$H480,$L$1:$L480)-SUMIF($H$1:$H479,$H480,$N$1:$N479)</f>
        <v>140</v>
      </c>
      <c r="N480" s="964">
        <v>7.5039999999999996</v>
      </c>
      <c r="O480" s="962">
        <f t="shared" si="5"/>
        <v>132.49600000000001</v>
      </c>
    </row>
    <row r="481" spans="2:15" ht="18" customHeight="1" x14ac:dyDescent="0.25">
      <c r="B481" s="259">
        <v>45108</v>
      </c>
      <c r="C48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81" s="6"/>
      <c r="E481" s="259">
        <f>B481</f>
        <v>45108</v>
      </c>
      <c r="G481" s="6"/>
      <c r="H481" t="s">
        <v>60</v>
      </c>
      <c r="I481" s="764" t="str">
        <f>VLOOKUP($H481,инфо!$O:$P,2,FALSE)</f>
        <v>Масло коровье</v>
      </c>
      <c r="J481" s="160" t="str">
        <f>VLOOKUP($I481,инфо!$D:$G,3,FALSE)</f>
        <v>кг</v>
      </c>
      <c r="K481" s="747" t="s">
        <v>1538</v>
      </c>
      <c r="L481" s="663">
        <v>250</v>
      </c>
      <c r="M481" s="963">
        <f>SUMIF($H$1:$H481,$H481,$L$1:$L481)-SUMIF($H$1:$H480,$H481,$N$1:$N480)</f>
        <v>250</v>
      </c>
      <c r="O481" s="962">
        <f t="shared" si="5"/>
        <v>250</v>
      </c>
    </row>
    <row r="482" spans="2:15" ht="18" customHeight="1" x14ac:dyDescent="0.25">
      <c r="B482" s="259">
        <v>45108</v>
      </c>
      <c r="C48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82" s="259">
        <v>45108</v>
      </c>
      <c r="H482" s="254" t="s">
        <v>60</v>
      </c>
      <c r="I482" s="764" t="str">
        <f>VLOOKUP($H482,инфо!$O:$P,2,FALSE)</f>
        <v>Масло коровье</v>
      </c>
      <c r="J482" s="160" t="str">
        <f>VLOOKUP($I482,инфо!$D:$G,3,FALSE)</f>
        <v>кг</v>
      </c>
      <c r="K482" s="747" t="s">
        <v>1538</v>
      </c>
      <c r="M482" s="963">
        <f>SUMIF($H$1:$H482,$H482,$L$1:$L482)-SUMIF($H$1:$H481,$H482,$N$1:$N481)</f>
        <v>250</v>
      </c>
      <c r="N482" s="964">
        <v>9.379999999999999</v>
      </c>
      <c r="O482" s="962">
        <f t="shared" si="5"/>
        <v>240.62</v>
      </c>
    </row>
    <row r="483" spans="2:15" ht="18" customHeight="1" x14ac:dyDescent="0.25">
      <c r="B483" s="259">
        <v>45108</v>
      </c>
      <c r="C48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83" s="6"/>
      <c r="E483" s="259">
        <f>B483</f>
        <v>45108</v>
      </c>
      <c r="G483" s="6"/>
      <c r="H483" t="s">
        <v>61</v>
      </c>
      <c r="I483" s="764" t="str">
        <f>VLOOKUP($H483,инфо!$O:$P,2,FALSE)</f>
        <v>Масло растительное</v>
      </c>
      <c r="J483" s="160" t="str">
        <f>VLOOKUP($I483,инфо!$D:$G,3,FALSE)</f>
        <v>литр</v>
      </c>
      <c r="K483" s="747" t="s">
        <v>1538</v>
      </c>
      <c r="L483" s="663">
        <v>370</v>
      </c>
      <c r="M483" s="963">
        <f>SUMIF($H$1:$H483,$H483,$L$1:$L483)-SUMIF($H$1:$H482,$H483,$N$1:$N482)</f>
        <v>370</v>
      </c>
      <c r="O483" s="962">
        <f t="shared" si="5"/>
        <v>370</v>
      </c>
    </row>
    <row r="484" spans="2:15" ht="18" customHeight="1" x14ac:dyDescent="0.25">
      <c r="B484" s="259">
        <v>45108</v>
      </c>
      <c r="C48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84" s="259">
        <v>45108</v>
      </c>
      <c r="H484" s="254" t="s">
        <v>65</v>
      </c>
      <c r="I484" s="764" t="str">
        <f>VLOOKUP($H484,инфо!$O:$P,2,FALSE)</f>
        <v>Мясо птицы</v>
      </c>
      <c r="J484" s="160" t="str">
        <f>VLOOKUP($I484,инфо!$D:$G,3,FALSE)</f>
        <v>кг</v>
      </c>
      <c r="K484" s="747" t="s">
        <v>1538</v>
      </c>
      <c r="M484" s="963">
        <f>SUMIF($H$1:$H484,$H484,$L$1:$L484)-SUMIF($H$1:$H483,$H484,$N$1:$N483)</f>
        <v>300</v>
      </c>
      <c r="N484" s="964">
        <v>11.256</v>
      </c>
      <c r="O484" s="962">
        <f t="shared" si="5"/>
        <v>288.74400000000003</v>
      </c>
    </row>
    <row r="485" spans="2:15" ht="18" customHeight="1" x14ac:dyDescent="0.25">
      <c r="B485" s="259">
        <v>45108</v>
      </c>
      <c r="C485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85" s="259">
        <v>45108</v>
      </c>
      <c r="H485" s="254" t="s">
        <v>66</v>
      </c>
      <c r="I485" s="764" t="str">
        <f>VLOOKUP($H485,инфо!$O:$P,2,FALSE)</f>
        <v>Свинина б/к</v>
      </c>
      <c r="J485" s="160" t="str">
        <f>VLOOKUP($I485,инфо!$D:$G,3,FALSE)</f>
        <v>кг</v>
      </c>
      <c r="K485" s="747" t="s">
        <v>1538</v>
      </c>
      <c r="M485" s="963">
        <f>SUMIF($H$1:$H485,$H485,$L$1:$L485)-SUMIF($H$1:$H484,$H485,$N$1:$N484)</f>
        <v>162</v>
      </c>
      <c r="N485" s="964">
        <v>11.256</v>
      </c>
      <c r="O485" s="962">
        <f t="shared" si="5"/>
        <v>150.744</v>
      </c>
    </row>
    <row r="486" spans="2:15" ht="18" customHeight="1" x14ac:dyDescent="0.25">
      <c r="B486" s="259">
        <v>45108</v>
      </c>
      <c r="C48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86" s="259">
        <v>45108</v>
      </c>
      <c r="H486" s="254" t="s">
        <v>476</v>
      </c>
      <c r="I486" s="764" t="str">
        <f>VLOOKUP($H486,инфо!$O:$P,2,FALSE)</f>
        <v>Сосиски</v>
      </c>
      <c r="J486" s="160" t="str">
        <f>VLOOKUP($I486,инфо!$D:$G,3,FALSE)</f>
        <v>кг</v>
      </c>
      <c r="K486" s="747" t="s">
        <v>1538</v>
      </c>
      <c r="M486" s="963">
        <f>SUMIF($H$1:$H486,$H486,$L$1:$L486)-SUMIF($H$1:$H485,$H486,$N$1:$N485)</f>
        <v>340</v>
      </c>
      <c r="N486" s="964">
        <v>124.48444000000001</v>
      </c>
      <c r="O486" s="962">
        <f t="shared" si="5"/>
        <v>215.51555999999999</v>
      </c>
    </row>
    <row r="487" spans="2:15" ht="18" customHeight="1" x14ac:dyDescent="0.25">
      <c r="B487" s="259">
        <v>45108</v>
      </c>
      <c r="C48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87" s="259">
        <v>45108</v>
      </c>
      <c r="H487" s="254" t="s">
        <v>475</v>
      </c>
      <c r="I487" s="764" t="str">
        <f>VLOOKUP($H487,инфо!$O:$P,2,FALSE)</f>
        <v>Сардельки</v>
      </c>
      <c r="J487" s="160" t="str">
        <f>VLOOKUP($I487,инфо!$D:$G,3,FALSE)</f>
        <v>кг</v>
      </c>
      <c r="K487" s="747" t="s">
        <v>1538</v>
      </c>
      <c r="M487" s="963">
        <f>SUMIF($H$1:$H487,$H487,$L$1:$L487)-SUMIF($H$1:$H486,$H487,$N$1:$N486)</f>
        <v>220</v>
      </c>
      <c r="N487" s="964">
        <v>7.5039999999999996</v>
      </c>
      <c r="O487" s="962">
        <f t="shared" si="5"/>
        <v>212.49600000000001</v>
      </c>
    </row>
    <row r="488" spans="2:15" ht="18" customHeight="1" x14ac:dyDescent="0.25">
      <c r="B488" s="259">
        <v>45108</v>
      </c>
      <c r="C48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88" s="259">
        <v>45108</v>
      </c>
      <c r="H488" s="254" t="s">
        <v>421</v>
      </c>
      <c r="I488" s="764" t="str">
        <f>VLOOKUP($H488,инфо!$O:$P,2,FALSE)</f>
        <v>Пельмени</v>
      </c>
      <c r="J488" s="160" t="str">
        <f>VLOOKUP($I488,инфо!$D:$G,3,FALSE)</f>
        <v>кг</v>
      </c>
      <c r="K488" s="747" t="s">
        <v>1538</v>
      </c>
      <c r="M488" s="963">
        <f>SUMIF($H$1:$H488,$H488,$L$1:$L488)-SUMIF($H$1:$H487,$H488,$N$1:$N487)</f>
        <v>44.394450000000006</v>
      </c>
      <c r="N488" s="964">
        <v>9.379999999999999</v>
      </c>
      <c r="O488" s="962">
        <f t="shared" si="5"/>
        <v>35.014450000000011</v>
      </c>
    </row>
    <row r="489" spans="2:15" ht="18" customHeight="1" x14ac:dyDescent="0.25">
      <c r="B489" s="259">
        <v>45108</v>
      </c>
      <c r="C48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89" s="259">
        <v>45108</v>
      </c>
      <c r="H489" s="254" t="s">
        <v>507</v>
      </c>
      <c r="I489" s="764" t="str">
        <f>VLOOKUP($H489,инфо!$O:$P,2,FALSE)</f>
        <v>Печень</v>
      </c>
      <c r="J489" s="160" t="str">
        <f>VLOOKUP($I489,инфо!$D:$G,3,FALSE)</f>
        <v>кг</v>
      </c>
      <c r="K489" s="747" t="s">
        <v>1538</v>
      </c>
      <c r="L489" s="663">
        <v>5</v>
      </c>
      <c r="M489" s="963">
        <f>SUMIF($H$1:$H489,$H489,$L$1:$L489)-SUMIF($H$1:$H488,$H489,$N$1:$N488)</f>
        <v>5</v>
      </c>
      <c r="N489" s="964">
        <v>1.8759999999999999</v>
      </c>
      <c r="O489" s="962">
        <f t="shared" si="5"/>
        <v>3.1240000000000001</v>
      </c>
    </row>
    <row r="490" spans="2:15" ht="18" customHeight="1" x14ac:dyDescent="0.25">
      <c r="B490" s="259">
        <v>45108</v>
      </c>
      <c r="C49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90" s="259">
        <v>45108</v>
      </c>
      <c r="H490" s="254" t="s">
        <v>1230</v>
      </c>
      <c r="I490" s="764" t="str">
        <f>VLOOKUP($H490,инфо!$O:$P,2,FALSE)</f>
        <v>Сельдь с/г</v>
      </c>
      <c r="J490" s="160" t="str">
        <f>VLOOKUP($I490,инфо!$D:$G,3,FALSE)</f>
        <v>кг</v>
      </c>
      <c r="K490" s="747" t="s">
        <v>1538</v>
      </c>
      <c r="M490" s="963">
        <f>SUMIF($H$1:$H490,$H490,$L$1:$L490)-SUMIF($H$1:$H489,$H490,$N$1:$N489)</f>
        <v>149</v>
      </c>
      <c r="N490" s="964">
        <v>8.4420000000000002</v>
      </c>
      <c r="O490" s="962">
        <f t="shared" si="5"/>
        <v>140.55799999999999</v>
      </c>
    </row>
    <row r="491" spans="2:15" ht="18" customHeight="1" x14ac:dyDescent="0.25">
      <c r="B491" s="259">
        <v>45108</v>
      </c>
      <c r="C49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91" s="6"/>
      <c r="E491" s="259">
        <f>B491</f>
        <v>45108</v>
      </c>
      <c r="G491" s="6"/>
      <c r="H491" t="s">
        <v>1219</v>
      </c>
      <c r="I491" s="764" t="str">
        <f>VLOOKUP($H491,инфо!$O:$P,2,FALSE)</f>
        <v>Минтай б/г</v>
      </c>
      <c r="J491" s="160" t="str">
        <f>VLOOKUP($I491,инфо!$D:$G,3,FALSE)</f>
        <v>кг</v>
      </c>
      <c r="K491" s="747" t="s">
        <v>1538</v>
      </c>
      <c r="L491" s="663">
        <v>110</v>
      </c>
      <c r="M491" s="963">
        <f>SUMIF($H$1:$H491,$H491,$L$1:$L491)-SUMIF($H$1:$H490,$H491,$N$1:$N490)</f>
        <v>110</v>
      </c>
      <c r="O491" s="962">
        <f t="shared" si="5"/>
        <v>110</v>
      </c>
    </row>
    <row r="492" spans="2:15" ht="18" customHeight="1" x14ac:dyDescent="0.25">
      <c r="B492" s="259">
        <v>45108</v>
      </c>
      <c r="C49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92" s="259">
        <v>45108</v>
      </c>
      <c r="H492" s="254" t="s">
        <v>1219</v>
      </c>
      <c r="I492" s="764" t="str">
        <f>VLOOKUP($H492,инфо!$O:$P,2,FALSE)</f>
        <v>Минтай б/г</v>
      </c>
      <c r="J492" s="160" t="str">
        <f>VLOOKUP($I492,инфо!$D:$G,3,FALSE)</f>
        <v>кг</v>
      </c>
      <c r="K492" s="747" t="s">
        <v>1538</v>
      </c>
      <c r="M492" s="963">
        <f>SUMIF($H$1:$H492,$H492,$L$1:$L492)-SUMIF($H$1:$H491,$H492,$N$1:$N491)</f>
        <v>110</v>
      </c>
      <c r="N492" s="964">
        <v>9.379999999999999</v>
      </c>
      <c r="O492" s="962">
        <f t="shared" si="5"/>
        <v>100.62</v>
      </c>
    </row>
    <row r="493" spans="2:15" ht="18" customHeight="1" x14ac:dyDescent="0.25">
      <c r="B493" s="259">
        <v>45108</v>
      </c>
      <c r="C493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93" s="259">
        <v>45108</v>
      </c>
      <c r="H493" s="254" t="s">
        <v>504</v>
      </c>
      <c r="I493" s="764" t="str">
        <f>VLOOKUP($H493,инфо!$O:$P,2,FALSE)</f>
        <v>Горбуша б/г</v>
      </c>
      <c r="J493" s="160" t="str">
        <f>VLOOKUP($I493,инфо!$D:$G,3,FALSE)</f>
        <v>кг</v>
      </c>
      <c r="K493" s="747" t="s">
        <v>1538</v>
      </c>
      <c r="M493" s="963">
        <f>SUMIF($H$1:$H493,$H493,$L$1:$L493)-SUMIF($H$1:$H492,$H493,$N$1:$N492)</f>
        <v>150</v>
      </c>
      <c r="N493" s="964">
        <v>9.379999999999999</v>
      </c>
      <c r="O493" s="962">
        <f t="shared" si="5"/>
        <v>140.62</v>
      </c>
    </row>
    <row r="494" spans="2:15" ht="18" customHeight="1" x14ac:dyDescent="0.25">
      <c r="B494" s="259">
        <v>45108</v>
      </c>
      <c r="C49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94" s="259">
        <v>45108</v>
      </c>
      <c r="H494" s="254" t="s">
        <v>465</v>
      </c>
      <c r="I494" s="764" t="str">
        <f>VLOOKUP($H494,инфо!$O:$P,2,FALSE)</f>
        <v>Горбуша с/г</v>
      </c>
      <c r="J494" s="160" t="str">
        <f>VLOOKUP($I494,инфо!$D:$G,3,FALSE)</f>
        <v>кг</v>
      </c>
      <c r="K494" s="747" t="s">
        <v>1538</v>
      </c>
      <c r="M494" s="963">
        <f>SUMIF($H$1:$H494,$H494,$L$1:$L494)-SUMIF($H$1:$H493,$H494,$N$1:$N493)</f>
        <v>140</v>
      </c>
      <c r="N494" s="964">
        <v>7.5039999999999996</v>
      </c>
      <c r="O494" s="962">
        <f t="shared" si="5"/>
        <v>132.49600000000001</v>
      </c>
    </row>
    <row r="495" spans="2:15" ht="18" customHeight="1" x14ac:dyDescent="0.25">
      <c r="B495" s="259">
        <v>45108</v>
      </c>
      <c r="C49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495" s="259">
        <v>45108</v>
      </c>
      <c r="H495" s="254" t="s">
        <v>1223</v>
      </c>
      <c r="I495" s="764" t="str">
        <f>VLOOKUP($H495,инфо!$O:$P,2,FALSE)</f>
        <v>Сайда б/г</v>
      </c>
      <c r="J495" s="160" t="str">
        <f>VLOOKUP($I495,инфо!$D:$G,3,FALSE)</f>
        <v>кг</v>
      </c>
      <c r="K495" s="747" t="s">
        <v>1538</v>
      </c>
      <c r="L495" s="663">
        <v>190</v>
      </c>
      <c r="M495" s="963">
        <f>SUMIF($H$1:$H495,$H495,$L$1:$L495)-SUMIF($H$1:$H494,$H495,$N$1:$N494)</f>
        <v>190</v>
      </c>
      <c r="N495" s="964">
        <v>8.4420000000000002</v>
      </c>
      <c r="O495" s="962">
        <f t="shared" si="5"/>
        <v>181.55799999999999</v>
      </c>
    </row>
    <row r="496" spans="2:15" ht="18" customHeight="1" x14ac:dyDescent="0.25">
      <c r="B496" s="259">
        <v>45108</v>
      </c>
      <c r="C49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496" s="259">
        <v>45108</v>
      </c>
      <c r="H496" s="254" t="s">
        <v>1224</v>
      </c>
      <c r="I496" s="764" t="str">
        <f>VLOOKUP($H496,инфо!$O:$P,2,FALSE)</f>
        <v>Сайда с/г</v>
      </c>
      <c r="J496" s="160" t="str">
        <f>VLOOKUP($I496,инфо!$D:$G,3,FALSE)</f>
        <v>кг</v>
      </c>
      <c r="K496" s="747" t="s">
        <v>1538</v>
      </c>
      <c r="M496" s="963">
        <f>SUMIF($H$1:$H496,$H496,$L$1:$L496)-SUMIF($H$1:$H495,$H496,$N$1:$N495)</f>
        <v>170</v>
      </c>
      <c r="N496" s="964">
        <v>9.379999999999999</v>
      </c>
      <c r="O496" s="962">
        <f t="shared" si="5"/>
        <v>160.62</v>
      </c>
    </row>
    <row r="497" spans="2:15" ht="18" customHeight="1" x14ac:dyDescent="0.25">
      <c r="B497" s="259">
        <v>45108</v>
      </c>
      <c r="C49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97" s="6"/>
      <c r="E497" s="259">
        <f>B497</f>
        <v>45108</v>
      </c>
      <c r="G497" s="6"/>
      <c r="H497" t="s">
        <v>74</v>
      </c>
      <c r="I497" s="764" t="str">
        <f>VLOOKUP($H497,инфо!$O:$P,2,FALSE)</f>
        <v>Лавровый лист</v>
      </c>
      <c r="J497" s="160" t="str">
        <f>VLOOKUP($I497,инфо!$D:$G,3,FALSE)</f>
        <v>кг</v>
      </c>
      <c r="K497" s="747" t="s">
        <v>1538</v>
      </c>
      <c r="L497" s="663">
        <v>10</v>
      </c>
      <c r="M497" s="963">
        <f>SUMIF($H$1:$H497,$H497,$L$1:$L497)-SUMIF($H$1:$H496,$H497,$N$1:$N496)</f>
        <v>10</v>
      </c>
      <c r="O497" s="962">
        <f t="shared" si="5"/>
        <v>10</v>
      </c>
    </row>
    <row r="498" spans="2:15" ht="18" customHeight="1" x14ac:dyDescent="0.25">
      <c r="B498" s="259">
        <v>45108</v>
      </c>
      <c r="C49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98" s="6"/>
      <c r="E498" s="259">
        <f>B498</f>
        <v>45108</v>
      </c>
      <c r="G498" s="6"/>
      <c r="H498" t="s">
        <v>84</v>
      </c>
      <c r="I498" s="764" t="str">
        <f>VLOOKUP($H498,инфо!$O:$P,2,FALSE)</f>
        <v>Кофе БС</v>
      </c>
      <c r="J498" s="160" t="str">
        <f>VLOOKUP($I498,инфо!$D:$G,3,FALSE)</f>
        <v>кг</v>
      </c>
      <c r="K498" s="747" t="s">
        <v>1538</v>
      </c>
      <c r="L498" s="663">
        <v>8</v>
      </c>
      <c r="M498" s="963">
        <f>SUMIF($H$1:$H498,$H498,$L$1:$L498)-SUMIF($H$1:$H497,$H498,$N$1:$N497)</f>
        <v>30</v>
      </c>
      <c r="O498" s="962">
        <f t="shared" si="5"/>
        <v>30</v>
      </c>
    </row>
    <row r="499" spans="2:15" ht="18" customHeight="1" x14ac:dyDescent="0.25">
      <c r="B499" s="259">
        <v>45108</v>
      </c>
      <c r="C49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499" s="6"/>
      <c r="E499" s="259">
        <f>B499</f>
        <v>45108</v>
      </c>
      <c r="G499" s="6"/>
      <c r="H499" t="s">
        <v>72</v>
      </c>
      <c r="I499" s="764" t="str">
        <f>VLOOKUP($H499,инфо!$O:$P,2,FALSE)</f>
        <v>Кофе растворимый</v>
      </c>
      <c r="J499" s="160" t="str">
        <f>VLOOKUP($I499,инфо!$D:$G,3,FALSE)</f>
        <v>кг</v>
      </c>
      <c r="K499" s="747" t="s">
        <v>1538</v>
      </c>
      <c r="L499" s="663">
        <v>8</v>
      </c>
      <c r="M499" s="963">
        <f>SUMIF($H$1:$H499,$H499,$L$1:$L499)-SUMIF($H$1:$H498,$H499,$N$1:$N498)</f>
        <v>8</v>
      </c>
      <c r="O499" s="962">
        <f t="shared" si="5"/>
        <v>8</v>
      </c>
    </row>
    <row r="500" spans="2:15" ht="18" customHeight="1" x14ac:dyDescent="0.25">
      <c r="B500" s="259">
        <v>45108</v>
      </c>
      <c r="C50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00" s="6"/>
      <c r="E500" s="259">
        <f>B500</f>
        <v>45108</v>
      </c>
      <c r="G500" s="6"/>
      <c r="H500" t="s">
        <v>73</v>
      </c>
      <c r="I500" s="764" t="str">
        <f>VLOOKUP($H500,инфо!$O:$P,2,FALSE)</f>
        <v>Курага</v>
      </c>
      <c r="J500" s="160" t="str">
        <f>VLOOKUP($I500,инфо!$D:$G,3,FALSE)</f>
        <v>кг</v>
      </c>
      <c r="K500" s="747" t="s">
        <v>1538</v>
      </c>
      <c r="L500" s="663">
        <v>35</v>
      </c>
      <c r="M500" s="963">
        <f>SUMIF($H$1:$H500,$H500,$L$1:$L500)-SUMIF($H$1:$H499,$H500,$N$1:$N499)</f>
        <v>35</v>
      </c>
      <c r="O500" s="962">
        <f t="shared" si="5"/>
        <v>35</v>
      </c>
    </row>
    <row r="501" spans="2:15" ht="18" customHeight="1" x14ac:dyDescent="0.25">
      <c r="B501" s="259">
        <v>45109</v>
      </c>
      <c r="C50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501" s="259">
        <v>45109</v>
      </c>
      <c r="H501" s="254" t="s">
        <v>206</v>
      </c>
      <c r="I501" s="764" t="str">
        <f>VLOOKUP($H501,инфо!$O:$P,2,FALSE)</f>
        <v>Мука в/с</v>
      </c>
      <c r="J501" s="160" t="str">
        <f>VLOOKUP($I501,инфо!$D:$G,3,FALSE)</f>
        <v>кг</v>
      </c>
      <c r="K501" s="747" t="s">
        <v>1538</v>
      </c>
      <c r="L501" s="663">
        <v>30</v>
      </c>
      <c r="M501" s="963">
        <f>SUMIF($H$1:$H501,$H501,$L$1:$L501)-SUMIF($H$1:$H500,$H501,$N$1:$N500)</f>
        <v>30</v>
      </c>
      <c r="N501" s="964">
        <v>15.560555000000001</v>
      </c>
      <c r="O501" s="962">
        <f t="shared" si="5"/>
        <v>14.439444999999999</v>
      </c>
    </row>
    <row r="502" spans="2:15" ht="18" customHeight="1" x14ac:dyDescent="0.25">
      <c r="B502" s="259">
        <v>45109</v>
      </c>
      <c r="C50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502" s="259">
        <v>45109</v>
      </c>
      <c r="H502" s="254" t="s">
        <v>336</v>
      </c>
      <c r="I502" s="764" t="str">
        <f>VLOOKUP($H502,инфо!$O:$P,2,FALSE)</f>
        <v>Говядина на кости</v>
      </c>
      <c r="J502" s="160" t="str">
        <f>VLOOKUP($I502,инфо!$D:$G,3,FALSE)</f>
        <v>кг</v>
      </c>
      <c r="K502" s="747" t="s">
        <v>1538</v>
      </c>
      <c r="L502" s="663">
        <v>200</v>
      </c>
      <c r="M502" s="963">
        <f>SUMIF($H$1:$H502,$H502,$L$1:$L502)-SUMIF($H$1:$H501,$H502,$N$1:$N501)</f>
        <v>200</v>
      </c>
      <c r="N502" s="964">
        <v>124.48444000000001</v>
      </c>
      <c r="O502" s="962">
        <f t="shared" si="5"/>
        <v>75.515559999999994</v>
      </c>
    </row>
    <row r="503" spans="2:15" ht="18" customHeight="1" x14ac:dyDescent="0.25">
      <c r="B503" s="259">
        <v>45110</v>
      </c>
      <c r="C50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03" s="6"/>
      <c r="E503" s="259">
        <f>B503</f>
        <v>45110</v>
      </c>
      <c r="G503" s="6"/>
      <c r="H503" t="s">
        <v>26</v>
      </c>
      <c r="I503" s="764" t="str">
        <f>VLOOKUP($H503,инфо!$O:$P,2,FALSE)</f>
        <v>Овсяная</v>
      </c>
      <c r="J503" s="160" t="str">
        <f>VLOOKUP($I503,инфо!$D:$G,3,FALSE)</f>
        <v>кг</v>
      </c>
      <c r="K503" s="747" t="s">
        <v>1538</v>
      </c>
      <c r="L503" s="663">
        <v>200</v>
      </c>
      <c r="M503" s="963">
        <f>SUMIF($H$1:$H503,$H503,$L$1:$L503)-SUMIF($H$1:$H502,$H503,$N$1:$N502)</f>
        <v>201.744</v>
      </c>
      <c r="O503" s="962">
        <f t="shared" si="5"/>
        <v>201.744</v>
      </c>
    </row>
    <row r="504" spans="2:15" ht="18" customHeight="1" x14ac:dyDescent="0.25">
      <c r="B504" s="259">
        <v>45110</v>
      </c>
      <c r="C50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04" s="259">
        <v>45110</v>
      </c>
      <c r="H504" s="254" t="s">
        <v>26</v>
      </c>
      <c r="I504" s="764" t="str">
        <f>VLOOKUP($H504,инфо!$O:$P,2,FALSE)</f>
        <v>Овсяная</v>
      </c>
      <c r="J504" s="160" t="str">
        <f>VLOOKUP($I504,инфо!$D:$G,3,FALSE)</f>
        <v>кг</v>
      </c>
      <c r="K504" s="747" t="s">
        <v>1538</v>
      </c>
      <c r="M504" s="963">
        <f>SUMIF($H$1:$H504,$H504,$L$1:$L504)-SUMIF($H$1:$H503,$H504,$N$1:$N503)</f>
        <v>201.744</v>
      </c>
      <c r="N504" s="964">
        <v>186.72666000000001</v>
      </c>
      <c r="O504" s="962">
        <f t="shared" si="5"/>
        <v>15.01733999999999</v>
      </c>
    </row>
    <row r="505" spans="2:15" ht="18" customHeight="1" x14ac:dyDescent="0.25">
      <c r="B505" s="259">
        <v>45110</v>
      </c>
      <c r="C505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05" s="259">
        <v>45110</v>
      </c>
      <c r="H505" s="254" t="s">
        <v>1247</v>
      </c>
      <c r="I505" s="764" t="str">
        <f>VLOOKUP($H505,инфо!$O:$P,2,FALSE)</f>
        <v>Пшеничная</v>
      </c>
      <c r="J505" s="160" t="str">
        <f>VLOOKUP($I505,инфо!$D:$G,3,FALSE)</f>
        <v>кг</v>
      </c>
      <c r="K505" s="747" t="s">
        <v>1538</v>
      </c>
      <c r="M505" s="963">
        <f>SUMIF($H$1:$H505,$H505,$L$1:$L505)-SUMIF($H$1:$H504,$H505,$N$1:$N504)</f>
        <v>236.86799999999999</v>
      </c>
      <c r="N505" s="964">
        <v>217.84777</v>
      </c>
      <c r="O505" s="962">
        <f t="shared" si="5"/>
        <v>19.020229999999998</v>
      </c>
    </row>
    <row r="506" spans="2:15" ht="18" customHeight="1" x14ac:dyDescent="0.25">
      <c r="B506" s="259">
        <v>45110</v>
      </c>
      <c r="C50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06" s="6" t="s">
        <v>24</v>
      </c>
      <c r="E506" s="259">
        <v>45110</v>
      </c>
      <c r="G506" s="6"/>
      <c r="H506" s="254" t="s">
        <v>31</v>
      </c>
      <c r="I506" s="764" t="str">
        <f>VLOOKUP($H506,инфо!$O:$P,2,FALSE)</f>
        <v>Перловая</v>
      </c>
      <c r="J506" s="160" t="str">
        <f>VLOOKUP($I506,инфо!$D:$G,3,FALSE)</f>
        <v>кг</v>
      </c>
      <c r="K506" s="747" t="s">
        <v>1538</v>
      </c>
      <c r="L506" s="663">
        <v>88</v>
      </c>
      <c r="M506" s="963">
        <f>SUMIF($H$1:$H506,$H506,$L$1:$L506)-SUMIF($H$1:$H505,$H506,$N$1:$N505)</f>
        <v>103.31</v>
      </c>
      <c r="O506" s="962">
        <f t="shared" si="5"/>
        <v>103.31</v>
      </c>
    </row>
    <row r="507" spans="2:15" ht="18" customHeight="1" x14ac:dyDescent="0.25">
      <c r="B507" s="259">
        <v>45110</v>
      </c>
      <c r="C50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07" s="259">
        <v>45110</v>
      </c>
      <c r="H507" s="254" t="s">
        <v>31</v>
      </c>
      <c r="I507" s="764" t="str">
        <f>VLOOKUP($H507,инфо!$O:$P,2,FALSE)</f>
        <v>Перловая</v>
      </c>
      <c r="J507" s="160" t="str">
        <f>VLOOKUP($I507,инфо!$D:$G,3,FALSE)</f>
        <v>кг</v>
      </c>
      <c r="K507" s="747" t="s">
        <v>1538</v>
      </c>
      <c r="M507" s="963">
        <f>SUMIF($H$1:$H507,$H507,$L$1:$L507)-SUMIF($H$1:$H506,$H507,$N$1:$N506)</f>
        <v>103.31</v>
      </c>
      <c r="N507" s="964">
        <v>77.802774999999997</v>
      </c>
      <c r="O507" s="962">
        <f t="shared" si="5"/>
        <v>25.507225000000005</v>
      </c>
    </row>
    <row r="508" spans="2:15" ht="18" customHeight="1" x14ac:dyDescent="0.25">
      <c r="B508" s="259">
        <v>45110</v>
      </c>
      <c r="C50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08" s="6"/>
      <c r="E508" s="259">
        <f>B508</f>
        <v>45110</v>
      </c>
      <c r="G508" s="6"/>
      <c r="H508" t="s">
        <v>33</v>
      </c>
      <c r="I508" s="764" t="str">
        <f>VLOOKUP($H508,инфо!$O:$P,2,FALSE)</f>
        <v>Пшено</v>
      </c>
      <c r="J508" s="160" t="str">
        <f>VLOOKUP($I508,инфо!$D:$G,3,FALSE)</f>
        <v>кг</v>
      </c>
      <c r="K508" s="747" t="s">
        <v>1538</v>
      </c>
      <c r="L508" s="663">
        <v>50</v>
      </c>
      <c r="M508" s="963">
        <f>SUMIF($H$1:$H508,$H508,$L$1:$L508)-SUMIF($H$1:$H507,$H508,$N$1:$N507)</f>
        <v>50</v>
      </c>
      <c r="O508" s="962">
        <f t="shared" si="5"/>
        <v>50</v>
      </c>
    </row>
    <row r="509" spans="2:15" ht="18" customHeight="1" x14ac:dyDescent="0.25">
      <c r="B509" s="259">
        <v>45110</v>
      </c>
      <c r="C50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09" s="6" t="s">
        <v>24</v>
      </c>
      <c r="E509" s="259">
        <v>45110</v>
      </c>
      <c r="G509" s="6"/>
      <c r="H509" s="254" t="s">
        <v>33</v>
      </c>
      <c r="I509" s="764" t="str">
        <f>VLOOKUP($H509,инфо!$O:$P,2,FALSE)</f>
        <v>Пшено</v>
      </c>
      <c r="J509" s="160" t="str">
        <f>VLOOKUP($I509,инфо!$D:$G,3,FALSE)</f>
        <v>кг</v>
      </c>
      <c r="K509" s="747" t="s">
        <v>1538</v>
      </c>
      <c r="L509" s="663">
        <v>56</v>
      </c>
      <c r="M509" s="963">
        <f>SUMIF($H$1:$H509,$H509,$L$1:$L509)-SUMIF($H$1:$H508,$H509,$N$1:$N508)</f>
        <v>106</v>
      </c>
      <c r="O509" s="962">
        <f t="shared" si="5"/>
        <v>106</v>
      </c>
    </row>
    <row r="510" spans="2:15" ht="18" customHeight="1" x14ac:dyDescent="0.25">
      <c r="B510" s="259">
        <v>45110</v>
      </c>
      <c r="C51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10" s="259">
        <v>45110</v>
      </c>
      <c r="H510" t="s">
        <v>33</v>
      </c>
      <c r="I510" s="764" t="str">
        <f>VLOOKUP($H510,инфо!$O:$P,2,FALSE)</f>
        <v>Пшено</v>
      </c>
      <c r="J510" s="160" t="str">
        <f>VLOOKUP($I510,инфо!$D:$G,3,FALSE)</f>
        <v>кг</v>
      </c>
      <c r="K510" s="747" t="s">
        <v>1538</v>
      </c>
      <c r="M510" s="963">
        <f>SUMIF($H$1:$H510,$H510,$L$1:$L510)-SUMIF($H$1:$H509,$H510,$N$1:$N509)</f>
        <v>106</v>
      </c>
      <c r="N510" s="964">
        <v>9.379999999999999</v>
      </c>
      <c r="O510" s="962">
        <f t="shared" si="5"/>
        <v>96.62</v>
      </c>
    </row>
    <row r="511" spans="2:15" ht="18" customHeight="1" x14ac:dyDescent="0.25">
      <c r="B511" s="259">
        <v>45110</v>
      </c>
      <c r="C51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11" s="6" t="s">
        <v>24</v>
      </c>
      <c r="E511" s="259">
        <v>45110</v>
      </c>
      <c r="G511" s="6"/>
      <c r="H511" s="254" t="s">
        <v>41</v>
      </c>
      <c r="I511" s="764" t="str">
        <f>VLOOKUP($H511,инфо!$O:$P,2,FALSE)</f>
        <v>Макаронные изделия</v>
      </c>
      <c r="J511" s="160" t="str">
        <f>VLOOKUP($I511,инфо!$D:$G,3,FALSE)</f>
        <v>кг</v>
      </c>
      <c r="K511" s="747" t="s">
        <v>1538</v>
      </c>
      <c r="L511" s="663">
        <v>100</v>
      </c>
      <c r="M511" s="963">
        <f>SUMIF($H$1:$H511,$H511,$L$1:$L511)-SUMIF($H$1:$H510,$H511,$N$1:$N510)</f>
        <v>582.15223000000003</v>
      </c>
      <c r="O511" s="962">
        <f t="shared" si="5"/>
        <v>582.15223000000003</v>
      </c>
    </row>
    <row r="512" spans="2:15" ht="18" customHeight="1" x14ac:dyDescent="0.25">
      <c r="B512" s="259">
        <v>45110</v>
      </c>
      <c r="C51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12" s="6"/>
      <c r="E512" s="259">
        <f>B512</f>
        <v>45110</v>
      </c>
      <c r="G512" s="6"/>
      <c r="H512" t="s">
        <v>206</v>
      </c>
      <c r="I512" s="764" t="str">
        <f>VLOOKUP($H512,инфо!$O:$P,2,FALSE)</f>
        <v>Мука в/с</v>
      </c>
      <c r="J512" s="160" t="str">
        <f>VLOOKUP($I512,инфо!$D:$G,3,FALSE)</f>
        <v>кг</v>
      </c>
      <c r="K512" s="747" t="s">
        <v>1538</v>
      </c>
      <c r="L512" s="663">
        <v>300</v>
      </c>
      <c r="M512" s="963">
        <f>SUMIF($H$1:$H512,$H512,$L$1:$L512)-SUMIF($H$1:$H511,$H512,$N$1:$N511)</f>
        <v>314.43944499999998</v>
      </c>
      <c r="O512" s="962">
        <f t="shared" si="5"/>
        <v>314.43944499999998</v>
      </c>
    </row>
    <row r="513" spans="2:15" ht="18" customHeight="1" x14ac:dyDescent="0.25">
      <c r="B513" s="259">
        <v>45110</v>
      </c>
      <c r="C51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13" s="6"/>
      <c r="E513" s="259">
        <f>B513</f>
        <v>45110</v>
      </c>
      <c r="G513" s="6"/>
      <c r="H513" t="s">
        <v>410</v>
      </c>
      <c r="I513" s="764" t="str">
        <f>VLOOKUP($H513,инфо!$O:$P,2,FALSE)</f>
        <v>Мука пшеничная 1 с</v>
      </c>
      <c r="J513" s="160" t="str">
        <f>VLOOKUP($I513,инфо!$D:$G,3,FALSE)</f>
        <v>кг</v>
      </c>
      <c r="K513" s="747" t="s">
        <v>1538</v>
      </c>
      <c r="L513" s="663">
        <v>400</v>
      </c>
      <c r="M513" s="963">
        <f>SUMIF($H$1:$H513,$H513,$L$1:$L513)-SUMIF($H$1:$H512,$H513,$N$1:$N512)</f>
        <v>400</v>
      </c>
      <c r="O513" s="962">
        <f t="shared" ref="O513:O576" si="7">$M513-$N513</f>
        <v>400</v>
      </c>
    </row>
    <row r="514" spans="2:15" ht="18" customHeight="1" x14ac:dyDescent="0.25">
      <c r="B514" s="259">
        <v>45110</v>
      </c>
      <c r="C51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14" s="259">
        <v>45110</v>
      </c>
      <c r="H514" s="254" t="s">
        <v>410</v>
      </c>
      <c r="I514" s="764" t="str">
        <f>VLOOKUP($H514,инфо!$O:$P,2,FALSE)</f>
        <v>Мука пшеничная 1 с</v>
      </c>
      <c r="J514" s="160" t="str">
        <f>VLOOKUP($I514,инфо!$D:$G,3,FALSE)</f>
        <v>кг</v>
      </c>
      <c r="K514" s="747" t="s">
        <v>1538</v>
      </c>
      <c r="M514" s="963">
        <f>SUMIF($H$1:$H514,$H514,$L$1:$L514)-SUMIF($H$1:$H513,$H514,$N$1:$N513)</f>
        <v>400</v>
      </c>
      <c r="N514" s="964">
        <v>93.363330000000005</v>
      </c>
      <c r="O514" s="962">
        <f t="shared" si="7"/>
        <v>306.63666999999998</v>
      </c>
    </row>
    <row r="515" spans="2:15" ht="18" customHeight="1" x14ac:dyDescent="0.25">
      <c r="B515" s="259">
        <v>45110</v>
      </c>
      <c r="C51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15" s="6" t="s">
        <v>24</v>
      </c>
      <c r="E515" s="259">
        <v>45110</v>
      </c>
      <c r="G515" s="6"/>
      <c r="H515" s="254" t="s">
        <v>51</v>
      </c>
      <c r="I515" s="764" t="str">
        <f>VLOOKUP($H515,инфо!$O:$P,2,FALSE)</f>
        <v>Хлеб дарницкий</v>
      </c>
      <c r="J515" s="160" t="str">
        <f>VLOOKUP($I515,инфо!$D:$G,3,FALSE)</f>
        <v>кг</v>
      </c>
      <c r="K515" s="747" t="s">
        <v>1538</v>
      </c>
      <c r="L515" s="663">
        <v>70</v>
      </c>
      <c r="M515" s="963">
        <f>SUMIF($H$1:$H515,$H515,$L$1:$L515)-SUMIF($H$1:$H514,$H515,$N$1:$N514)</f>
        <v>507</v>
      </c>
      <c r="O515" s="962">
        <f t="shared" si="7"/>
        <v>507</v>
      </c>
    </row>
    <row r="516" spans="2:15" ht="18" customHeight="1" x14ac:dyDescent="0.25">
      <c r="B516" s="259">
        <v>45110</v>
      </c>
      <c r="C51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16" s="6"/>
      <c r="E516" s="259">
        <f>B516</f>
        <v>45110</v>
      </c>
      <c r="G516" s="6"/>
      <c r="H516" t="s">
        <v>46</v>
      </c>
      <c r="I516" s="764" t="str">
        <f>VLOOKUP($H516,инфо!$O:$P,2,FALSE)</f>
        <v>Морковь</v>
      </c>
      <c r="J516" s="160" t="str">
        <f>VLOOKUP($I516,инфо!$D:$G,3,FALSE)</f>
        <v>кг</v>
      </c>
      <c r="K516" s="747" t="s">
        <v>1538</v>
      </c>
      <c r="L516" s="663">
        <v>60</v>
      </c>
      <c r="M516" s="963">
        <f>SUMIF($H$1:$H516,$H516,$L$1:$L516)-SUMIF($H$1:$H515,$H516,$N$1:$N515)</f>
        <v>60</v>
      </c>
      <c r="O516" s="962">
        <f t="shared" si="7"/>
        <v>60</v>
      </c>
    </row>
    <row r="517" spans="2:15" ht="18" customHeight="1" x14ac:dyDescent="0.25">
      <c r="B517" s="259">
        <v>45110</v>
      </c>
      <c r="C51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17" s="6"/>
      <c r="E517" s="259">
        <f>B517</f>
        <v>45110</v>
      </c>
      <c r="G517" s="6"/>
      <c r="H517" t="s">
        <v>446</v>
      </c>
      <c r="I517" s="764" t="str">
        <f>VLOOKUP($H517,инфо!$O:$P,2,FALSE)</f>
        <v>Огурцы свежие</v>
      </c>
      <c r="J517" s="160" t="str">
        <f>VLOOKUP($I517,инфо!$D:$G,3,FALSE)</f>
        <v>кг</v>
      </c>
      <c r="K517" s="747" t="s">
        <v>1538</v>
      </c>
      <c r="L517" s="663">
        <v>50</v>
      </c>
      <c r="M517" s="963">
        <f>SUMIF($H$1:$H517,$H517,$L$1:$L517)-SUMIF($H$1:$H516,$H517,$N$1:$N516)</f>
        <v>50</v>
      </c>
      <c r="O517" s="962">
        <f t="shared" si="7"/>
        <v>50</v>
      </c>
    </row>
    <row r="518" spans="2:15" ht="18" customHeight="1" x14ac:dyDescent="0.25">
      <c r="B518" s="259">
        <v>45110</v>
      </c>
      <c r="C51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18" s="6"/>
      <c r="E518" s="259">
        <f>B518</f>
        <v>45110</v>
      </c>
      <c r="G518" s="6"/>
      <c r="H518" t="s">
        <v>448</v>
      </c>
      <c r="I518" s="764" t="str">
        <f>VLOOKUP($H518,инфо!$O:$P,2,FALSE)</f>
        <v>Помидоры свежие</v>
      </c>
      <c r="J518" s="160" t="str">
        <f>VLOOKUP($I518,инфо!$D:$G,3,FALSE)</f>
        <v>кг</v>
      </c>
      <c r="K518" s="747" t="s">
        <v>1538</v>
      </c>
      <c r="L518" s="663">
        <v>50</v>
      </c>
      <c r="M518" s="963">
        <f>SUMIF($H$1:$H518,$H518,$L$1:$L518)-SUMIF($H$1:$H517,$H518,$N$1:$N517)</f>
        <v>62.620000000000005</v>
      </c>
      <c r="O518" s="962">
        <f t="shared" si="7"/>
        <v>62.620000000000005</v>
      </c>
    </row>
    <row r="519" spans="2:15" ht="18" customHeight="1" x14ac:dyDescent="0.25">
      <c r="B519" s="259">
        <v>45110</v>
      </c>
      <c r="C51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19" s="6"/>
      <c r="E519" s="259">
        <f>B519</f>
        <v>45110</v>
      </c>
      <c r="G519" s="6"/>
      <c r="H519" t="s">
        <v>328</v>
      </c>
      <c r="I519" s="764" t="str">
        <f>VLOOKUP($H519,инфо!$O:$P,2,FALSE)</f>
        <v>Перец сладкий</v>
      </c>
      <c r="J519" s="160" t="str">
        <f>VLOOKUP($I519,инфо!$D:$G,3,FALSE)</f>
        <v>кг</v>
      </c>
      <c r="K519" s="747" t="s">
        <v>1538</v>
      </c>
      <c r="L519" s="663">
        <v>24</v>
      </c>
      <c r="M519" s="963">
        <f>SUMIF($H$1:$H519,$H519,$L$1:$L519)-SUMIF($H$1:$H518,$H519,$N$1:$N518)</f>
        <v>24</v>
      </c>
      <c r="O519" s="962">
        <f t="shared" si="7"/>
        <v>24</v>
      </c>
    </row>
    <row r="520" spans="2:15" ht="18" customHeight="1" x14ac:dyDescent="0.25">
      <c r="B520" s="259">
        <v>45110</v>
      </c>
      <c r="C52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20" s="259">
        <v>45110</v>
      </c>
      <c r="H520" s="254" t="s">
        <v>442</v>
      </c>
      <c r="I520" s="764" t="str">
        <f>VLOOKUP($H520,инфо!$O:$P,2,FALSE)</f>
        <v>Лук зеленый</v>
      </c>
      <c r="J520" s="160" t="str">
        <f>VLOOKUP($I520,инфо!$D:$G,3,FALSE)</f>
        <v>кг</v>
      </c>
      <c r="K520" s="747" t="s">
        <v>1538</v>
      </c>
      <c r="M520" s="963">
        <f>SUMIF($H$1:$H520,$H520,$L$1:$L520)-SUMIF($H$1:$H519,$H520,$N$1:$N519)</f>
        <v>34.874400000000001</v>
      </c>
      <c r="N520" s="964">
        <v>18.672666</v>
      </c>
      <c r="O520" s="962">
        <f t="shared" si="7"/>
        <v>16.201734000000002</v>
      </c>
    </row>
    <row r="521" spans="2:15" ht="18" customHeight="1" x14ac:dyDescent="0.25">
      <c r="B521" s="259">
        <v>45110</v>
      </c>
      <c r="C521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21" s="259">
        <v>45110</v>
      </c>
      <c r="H521" t="s">
        <v>500</v>
      </c>
      <c r="I521" s="764" t="str">
        <f>VLOOKUP($H521,инфо!$O:$P,2,FALSE)</f>
        <v>Укроп</v>
      </c>
      <c r="J521" s="160" t="str">
        <f>VLOOKUP($I521,инфо!$D:$G,3,FALSE)</f>
        <v>кг</v>
      </c>
      <c r="K521" s="747" t="s">
        <v>1538</v>
      </c>
      <c r="M521" s="963">
        <f>SUMIF($H$1:$H521,$H521,$L$1:$L521)-SUMIF($H$1:$H520,$H521,$N$1:$N520)</f>
        <v>130</v>
      </c>
      <c r="N521" s="964">
        <v>0.56279999999999997</v>
      </c>
      <c r="O521" s="962">
        <f t="shared" si="7"/>
        <v>129.43719999999999</v>
      </c>
    </row>
    <row r="522" spans="2:15" ht="18" customHeight="1" x14ac:dyDescent="0.25">
      <c r="B522" s="259">
        <v>45110</v>
      </c>
      <c r="C52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22" s="259">
        <v>45110</v>
      </c>
      <c r="H522" s="254" t="s">
        <v>500</v>
      </c>
      <c r="I522" s="764" t="str">
        <f>VLOOKUP($H522,инфо!$O:$P,2,FALSE)</f>
        <v>Укроп</v>
      </c>
      <c r="J522" s="160" t="str">
        <f>VLOOKUP($I522,инфо!$D:$G,3,FALSE)</f>
        <v>кг</v>
      </c>
      <c r="K522" s="747" t="s">
        <v>1538</v>
      </c>
      <c r="M522" s="963">
        <f>SUMIF($H$1:$H522,$H522,$L$1:$L522)-SUMIF($H$1:$H521,$H522,$N$1:$N521)</f>
        <v>129.43719999999999</v>
      </c>
      <c r="N522" s="964">
        <v>9.3363329999999998</v>
      </c>
      <c r="O522" s="962">
        <f t="shared" si="7"/>
        <v>120.10086699999999</v>
      </c>
    </row>
    <row r="523" spans="2:15" ht="18" customHeight="1" x14ac:dyDescent="0.25">
      <c r="B523" s="259">
        <v>45110</v>
      </c>
      <c r="C52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23" s="6" t="s">
        <v>24</v>
      </c>
      <c r="E523" s="259">
        <v>45110</v>
      </c>
      <c r="G523" s="6"/>
      <c r="H523" s="254" t="s">
        <v>49</v>
      </c>
      <c r="I523" s="764" t="str">
        <f>VLOOKUP($H523,инфо!$O:$P,2,FALSE)</f>
        <v>Чеснок</v>
      </c>
      <c r="J523" s="160" t="str">
        <f>VLOOKUP($I523,инфо!$D:$G,3,FALSE)</f>
        <v>кг</v>
      </c>
      <c r="K523" s="747" t="s">
        <v>1538</v>
      </c>
      <c r="L523" s="663">
        <v>13</v>
      </c>
      <c r="M523" s="963">
        <f>SUMIF($H$1:$H523,$H523,$L$1:$L523)-SUMIF($H$1:$H522,$H523,$N$1:$N522)</f>
        <v>143</v>
      </c>
      <c r="O523" s="962">
        <f t="shared" si="7"/>
        <v>143</v>
      </c>
    </row>
    <row r="524" spans="2:15" ht="18" customHeight="1" x14ac:dyDescent="0.25">
      <c r="B524" s="259">
        <v>45110</v>
      </c>
      <c r="C52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24" s="6" t="s">
        <v>24</v>
      </c>
      <c r="E524" s="259">
        <v>45110</v>
      </c>
      <c r="G524" s="6"/>
      <c r="H524" s="254" t="s">
        <v>43</v>
      </c>
      <c r="I524" s="764" t="str">
        <f>VLOOKUP($H524,инфо!$O:$P,2,FALSE)</f>
        <v>Горошек консерв.</v>
      </c>
      <c r="J524" s="160" t="str">
        <f>VLOOKUP($I524,инфо!$D:$G,3,FALSE)</f>
        <v>кг</v>
      </c>
      <c r="K524" s="747" t="s">
        <v>1538</v>
      </c>
      <c r="L524" s="663">
        <v>80</v>
      </c>
      <c r="M524" s="963">
        <f>SUMIF($H$1:$H524,$H524,$L$1:$L524)-SUMIF($H$1:$H523,$H524,$N$1:$N523)</f>
        <v>80</v>
      </c>
      <c r="O524" s="962">
        <f t="shared" si="7"/>
        <v>80</v>
      </c>
    </row>
    <row r="525" spans="2:15" ht="18" customHeight="1" x14ac:dyDescent="0.25">
      <c r="B525" s="259">
        <v>45110</v>
      </c>
      <c r="C525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25" s="259">
        <v>45110</v>
      </c>
      <c r="H525" t="s">
        <v>497</v>
      </c>
      <c r="I525" s="764" t="str">
        <f>VLOOKUP($H525,инфо!$O:$P,2,FALSE)</f>
        <v>Кукуруза консерв.</v>
      </c>
      <c r="J525" s="160" t="str">
        <f>VLOOKUP($I525,инфо!$D:$G,3,FALSE)</f>
        <v>кг</v>
      </c>
      <c r="K525" s="747" t="s">
        <v>1538</v>
      </c>
      <c r="M525" s="963">
        <f>SUMIF($H$1:$H525,$H525,$L$1:$L525)-SUMIF($H$1:$H524,$H525,$N$1:$N524)</f>
        <v>35</v>
      </c>
      <c r="N525" s="964">
        <v>6.5659999999999998</v>
      </c>
      <c r="O525" s="962">
        <f t="shared" si="7"/>
        <v>28.434000000000001</v>
      </c>
    </row>
    <row r="526" spans="2:15" ht="18" customHeight="1" x14ac:dyDescent="0.25">
      <c r="B526" s="259">
        <v>45110</v>
      </c>
      <c r="C52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26" s="6"/>
      <c r="E526" s="259">
        <f>B526</f>
        <v>45110</v>
      </c>
      <c r="G526" s="6"/>
      <c r="H526" t="s">
        <v>498</v>
      </c>
      <c r="I526" s="764" t="str">
        <f>VLOOKUP($H526,инфо!$O:$P,2,FALSE)</f>
        <v>Огурцы консерв.</v>
      </c>
      <c r="J526" s="160" t="str">
        <f>VLOOKUP($I526,инфо!$D:$G,3,FALSE)</f>
        <v>кг</v>
      </c>
      <c r="K526" s="747" t="s">
        <v>1538</v>
      </c>
      <c r="L526" s="663">
        <v>80</v>
      </c>
      <c r="M526" s="963">
        <f>SUMIF($H$1:$H526,$H526,$L$1:$L526)-SUMIF($H$1:$H525,$H526,$N$1:$N525)</f>
        <v>80</v>
      </c>
      <c r="O526" s="962">
        <f t="shared" si="7"/>
        <v>80</v>
      </c>
    </row>
    <row r="527" spans="2:15" ht="18" customHeight="1" x14ac:dyDescent="0.25">
      <c r="B527" s="259">
        <v>45110</v>
      </c>
      <c r="C52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27" s="259">
        <v>45110</v>
      </c>
      <c r="H527" s="254" t="s">
        <v>498</v>
      </c>
      <c r="I527" s="764" t="str">
        <f>VLOOKUP($H527,инфо!$O:$P,2,FALSE)</f>
        <v>Огурцы консерв.</v>
      </c>
      <c r="J527" s="160" t="str">
        <f>VLOOKUP($I527,инфо!$D:$G,3,FALSE)</f>
        <v>кг</v>
      </c>
      <c r="K527" s="747" t="s">
        <v>1538</v>
      </c>
      <c r="M527" s="963">
        <f>SUMIF($H$1:$H527,$H527,$L$1:$L527)-SUMIF($H$1:$H526,$H527,$N$1:$N526)</f>
        <v>80</v>
      </c>
      <c r="N527" s="964">
        <v>54</v>
      </c>
      <c r="O527" s="962">
        <f t="shared" si="7"/>
        <v>26</v>
      </c>
    </row>
    <row r="528" spans="2:15" ht="18" customHeight="1" x14ac:dyDescent="0.25">
      <c r="B528" s="259">
        <v>45110</v>
      </c>
      <c r="C52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28" s="6"/>
      <c r="E528" s="259">
        <f>B528</f>
        <v>45110</v>
      </c>
      <c r="G528" s="6"/>
      <c r="H528" t="s">
        <v>499</v>
      </c>
      <c r="I528" s="764" t="str">
        <f>VLOOKUP($H528,инфо!$O:$P,2,FALSE)</f>
        <v>Помидоры консерв.</v>
      </c>
      <c r="J528" s="160" t="str">
        <f>VLOOKUP($I528,инфо!$D:$G,3,FALSE)</f>
        <v>кг</v>
      </c>
      <c r="K528" s="747" t="s">
        <v>1538</v>
      </c>
      <c r="L528" s="663">
        <v>135</v>
      </c>
      <c r="M528" s="963">
        <f>SUMIF($H$1:$H528,$H528,$L$1:$L528)-SUMIF($H$1:$H527,$H528,$N$1:$N527)</f>
        <v>136.434</v>
      </c>
      <c r="O528" s="962">
        <f t="shared" si="7"/>
        <v>136.434</v>
      </c>
    </row>
    <row r="529" spans="2:15" ht="18" customHeight="1" x14ac:dyDescent="0.25">
      <c r="B529" s="259">
        <v>45110</v>
      </c>
      <c r="C529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29" s="259">
        <v>45110</v>
      </c>
      <c r="H529" s="254" t="s">
        <v>499</v>
      </c>
      <c r="I529" s="764" t="str">
        <f>VLOOKUP($H529,инфо!$O:$P,2,FALSE)</f>
        <v>Помидоры консерв.</v>
      </c>
      <c r="J529" s="160" t="str">
        <f>VLOOKUP($I529,инфо!$D:$G,3,FALSE)</f>
        <v>кг</v>
      </c>
      <c r="K529" s="747" t="s">
        <v>1538</v>
      </c>
      <c r="M529" s="963">
        <f>SUMIF($H$1:$H529,$H529,$L$1:$L529)-SUMIF($H$1:$H528,$H529,$N$1:$N528)</f>
        <v>136.434</v>
      </c>
      <c r="N529" s="964">
        <v>108.923885</v>
      </c>
      <c r="O529" s="962">
        <f t="shared" si="7"/>
        <v>27.510114999999999</v>
      </c>
    </row>
    <row r="530" spans="2:15" ht="18" customHeight="1" x14ac:dyDescent="0.25">
      <c r="B530" s="259">
        <v>45110</v>
      </c>
      <c r="C53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530" s="259">
        <v>45110</v>
      </c>
      <c r="H530" s="254" t="s">
        <v>332</v>
      </c>
      <c r="I530" s="764" t="str">
        <f>VLOOKUP($H530,инфо!$O:$P,2,FALSE)</f>
        <v>Морковь консерв.</v>
      </c>
      <c r="J530" s="160" t="str">
        <f>VLOOKUP($I530,инфо!$D:$G,3,FALSE)</f>
        <v>кг</v>
      </c>
      <c r="K530" s="747" t="s">
        <v>1538</v>
      </c>
      <c r="L530" s="663">
        <v>250</v>
      </c>
      <c r="M530" s="963">
        <f>SUMIF($H$1:$H530,$H530,$L$1:$L530)-SUMIF($H$1:$H529,$H530,$N$1:$N529)</f>
        <v>250</v>
      </c>
      <c r="N530" s="964">
        <v>136.932884</v>
      </c>
      <c r="O530" s="962">
        <f t="shared" si="7"/>
        <v>113.067116</v>
      </c>
    </row>
    <row r="531" spans="2:15" ht="18" customHeight="1" x14ac:dyDescent="0.25">
      <c r="B531" s="259">
        <v>45110</v>
      </c>
      <c r="C53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531" s="259">
        <v>45110</v>
      </c>
      <c r="H531" t="s">
        <v>331</v>
      </c>
      <c r="I531" s="764" t="str">
        <f>VLOOKUP($H531,инфо!$O:$P,2,FALSE)</f>
        <v>Свекла консерв.</v>
      </c>
      <c r="J531" s="160" t="str">
        <f>VLOOKUP($I531,инфо!$D:$G,3,FALSE)</f>
        <v>кг</v>
      </c>
      <c r="K531" s="747" t="s">
        <v>1538</v>
      </c>
      <c r="L531" s="663">
        <v>20</v>
      </c>
      <c r="M531" s="963">
        <f>SUMIF($H$1:$H531,$H531,$L$1:$L531)-SUMIF($H$1:$H530,$H531,$N$1:$N530)</f>
        <v>20</v>
      </c>
      <c r="N531" s="964">
        <v>7.5039999999999996</v>
      </c>
      <c r="O531" s="962">
        <f t="shared" si="7"/>
        <v>12.496</v>
      </c>
    </row>
    <row r="532" spans="2:15" ht="18" customHeight="1" x14ac:dyDescent="0.25">
      <c r="B532" s="259">
        <v>45110</v>
      </c>
      <c r="C53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532" s="259">
        <v>45110</v>
      </c>
      <c r="H532" s="254" t="s">
        <v>333</v>
      </c>
      <c r="I532" s="764" t="str">
        <f>VLOOKUP($H532,инфо!$O:$P,2,FALSE)</f>
        <v>Кабачки консерв.</v>
      </c>
      <c r="J532" s="160" t="str">
        <f>VLOOKUP($I532,инфо!$D:$G,3,FALSE)</f>
        <v>кг</v>
      </c>
      <c r="K532" s="747" t="s">
        <v>1538</v>
      </c>
      <c r="L532" s="663">
        <v>204</v>
      </c>
      <c r="M532" s="963">
        <f>SUMIF($H$1:$H532,$H532,$L$1:$L532)-SUMIF($H$1:$H531,$H532,$N$1:$N531)</f>
        <v>204</v>
      </c>
      <c r="N532" s="964">
        <v>140.044995</v>
      </c>
      <c r="O532" s="962">
        <f t="shared" si="7"/>
        <v>63.955005</v>
      </c>
    </row>
    <row r="533" spans="2:15" ht="18" customHeight="1" x14ac:dyDescent="0.25">
      <c r="B533" s="259">
        <v>45110</v>
      </c>
      <c r="C533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33" s="259">
        <v>45110</v>
      </c>
      <c r="H533" s="254" t="s">
        <v>409</v>
      </c>
      <c r="I533" s="764" t="str">
        <f>VLOOKUP($H533,инфо!$O:$P,2,FALSE)</f>
        <v>Консервы овощ. закусочные, лечо</v>
      </c>
      <c r="J533" s="160" t="str">
        <f>VLOOKUP($I533,инфо!$D:$G,3,FALSE)</f>
        <v>кг</v>
      </c>
      <c r="K533" s="747" t="s">
        <v>1538</v>
      </c>
      <c r="M533" s="963">
        <f>SUMIF($H$1:$H533,$H533,$L$1:$L533)-SUMIF($H$1:$H532,$H533,$N$1:$N532)</f>
        <v>200</v>
      </c>
      <c r="N533" s="964">
        <v>108.923885</v>
      </c>
      <c r="O533" s="962">
        <f t="shared" si="7"/>
        <v>91.076115000000001</v>
      </c>
    </row>
    <row r="534" spans="2:15" ht="18" customHeight="1" x14ac:dyDescent="0.25">
      <c r="B534" s="259">
        <v>45110</v>
      </c>
      <c r="C53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34" s="6"/>
      <c r="E534" s="259">
        <f>B534</f>
        <v>45110</v>
      </c>
      <c r="G534" s="6"/>
      <c r="H534" t="s">
        <v>52</v>
      </c>
      <c r="I534" s="764" t="str">
        <f>VLOOKUP($H534,инфо!$O:$P,2,FALSE)</f>
        <v>Молоко коровье</v>
      </c>
      <c r="J534" s="160" t="str">
        <f>VLOOKUP($I534,инфо!$D:$G,3,FALSE)</f>
        <v>литр</v>
      </c>
      <c r="K534" s="747" t="s">
        <v>1538</v>
      </c>
      <c r="L534" s="663">
        <v>44</v>
      </c>
      <c r="M534" s="963">
        <f>SUMIF($H$1:$H534,$H534,$L$1:$L534)-SUMIF($H$1:$H533,$H534,$N$1:$N533)</f>
        <v>44</v>
      </c>
      <c r="O534" s="962">
        <f t="shared" si="7"/>
        <v>44</v>
      </c>
    </row>
    <row r="535" spans="2:15" ht="18" customHeight="1" x14ac:dyDescent="0.25">
      <c r="B535" s="259">
        <v>45110</v>
      </c>
      <c r="C53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35" s="6" t="s">
        <v>24</v>
      </c>
      <c r="E535" s="259">
        <v>45110</v>
      </c>
      <c r="G535" s="6"/>
      <c r="H535" s="254" t="s">
        <v>52</v>
      </c>
      <c r="I535" s="764" t="str">
        <f>VLOOKUP($H535,инфо!$O:$P,2,FALSE)</f>
        <v>Молоко коровье</v>
      </c>
      <c r="J535" s="160" t="str">
        <f>VLOOKUP($I535,инфо!$D:$G,3,FALSE)</f>
        <v>литр</v>
      </c>
      <c r="K535" s="747" t="s">
        <v>1538</v>
      </c>
      <c r="L535" s="663">
        <v>100</v>
      </c>
      <c r="M535" s="963">
        <f>SUMIF($H$1:$H535,$H535,$L$1:$L535)-SUMIF($H$1:$H534,$H535,$N$1:$N534)</f>
        <v>144</v>
      </c>
      <c r="O535" s="962">
        <f t="shared" si="7"/>
        <v>144</v>
      </c>
    </row>
    <row r="536" spans="2:15" ht="18" customHeight="1" x14ac:dyDescent="0.25">
      <c r="B536" s="259">
        <v>45110</v>
      </c>
      <c r="C53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36" s="259">
        <v>45110</v>
      </c>
      <c r="H536" t="s">
        <v>71</v>
      </c>
      <c r="I536" s="764" t="str">
        <f>VLOOKUP($H536,инфо!$O:$P,2,FALSE)</f>
        <v>Кефир</v>
      </c>
      <c r="J536" s="160" t="str">
        <f>VLOOKUP($I536,инфо!$D:$G,3,FALSE)</f>
        <v>литр</v>
      </c>
      <c r="K536" s="747" t="s">
        <v>1538</v>
      </c>
      <c r="M536" s="963">
        <f>SUMIF($H$1:$H536,$H536,$L$1:$L536)-SUMIF($H$1:$H535,$H536,$N$1:$N535)</f>
        <v>40</v>
      </c>
      <c r="N536" s="964">
        <v>7.5039999999999996</v>
      </c>
      <c r="O536" s="962">
        <f t="shared" si="7"/>
        <v>32.496000000000002</v>
      </c>
    </row>
    <row r="537" spans="2:15" ht="18" customHeight="1" x14ac:dyDescent="0.25">
      <c r="B537" s="259">
        <v>45110</v>
      </c>
      <c r="C53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37" s="259">
        <v>45110</v>
      </c>
      <c r="H537" s="254" t="s">
        <v>56</v>
      </c>
      <c r="I537" s="764" t="str">
        <f>VLOOKUP($H537,инфо!$O:$P,2,FALSE)</f>
        <v>Сыр плавленный</v>
      </c>
      <c r="J537" s="160" t="str">
        <f>VLOOKUP($I537,инфо!$D:$G,3,FALSE)</f>
        <v>кг</v>
      </c>
      <c r="K537" s="747" t="s">
        <v>1538</v>
      </c>
      <c r="M537" s="963">
        <f>SUMIF($H$1:$H537,$H537,$L$1:$L537)-SUMIF($H$1:$H536,$H537,$N$1:$N536)</f>
        <v>220</v>
      </c>
      <c r="N537" s="964">
        <v>155.60554999999999</v>
      </c>
      <c r="O537" s="962">
        <f t="shared" si="7"/>
        <v>64.394450000000006</v>
      </c>
    </row>
    <row r="538" spans="2:15" ht="18" customHeight="1" x14ac:dyDescent="0.25">
      <c r="B538" s="259">
        <v>45110</v>
      </c>
      <c r="C53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38" s="6"/>
      <c r="E538" s="259">
        <f>B538</f>
        <v>45110</v>
      </c>
      <c r="G538" s="6"/>
      <c r="H538" t="s">
        <v>412</v>
      </c>
      <c r="I538" s="764" t="str">
        <f>VLOOKUP($H538,инфо!$O:$P,2,FALSE)</f>
        <v>Молоко сгущ.</v>
      </c>
      <c r="J538" s="160" t="str">
        <f>VLOOKUP($I538,инфо!$D:$G,3,FALSE)</f>
        <v>кг</v>
      </c>
      <c r="K538" s="747" t="s">
        <v>1538</v>
      </c>
      <c r="L538" s="663">
        <v>213</v>
      </c>
      <c r="M538" s="963">
        <f>SUMIF($H$1:$H538,$H538,$L$1:$L538)-SUMIF($H$1:$H537,$H538,$N$1:$N537)</f>
        <v>250</v>
      </c>
      <c r="O538" s="962">
        <f t="shared" si="7"/>
        <v>250</v>
      </c>
    </row>
    <row r="539" spans="2:15" ht="18" customHeight="1" x14ac:dyDescent="0.25">
      <c r="B539" s="259">
        <v>45110</v>
      </c>
      <c r="C539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39" s="259">
        <v>45110</v>
      </c>
      <c r="H539" s="254" t="s">
        <v>412</v>
      </c>
      <c r="I539" s="764" t="str">
        <f>VLOOKUP($H539,инфо!$O:$P,2,FALSE)</f>
        <v>Молоко сгущ.</v>
      </c>
      <c r="J539" s="160" t="str">
        <f>VLOOKUP($I539,инфо!$D:$G,3,FALSE)</f>
        <v>кг</v>
      </c>
      <c r="K539" s="747" t="s">
        <v>1538</v>
      </c>
      <c r="M539" s="963">
        <f>SUMIF($H$1:$H539,$H539,$L$1:$L539)-SUMIF($H$1:$H538,$H539,$N$1:$N538)</f>
        <v>250</v>
      </c>
      <c r="N539" s="964">
        <v>93.363330000000005</v>
      </c>
      <c r="O539" s="962">
        <f t="shared" si="7"/>
        <v>156.63666999999998</v>
      </c>
    </row>
    <row r="540" spans="2:15" ht="18" customHeight="1" x14ac:dyDescent="0.25">
      <c r="B540" s="259">
        <v>45110</v>
      </c>
      <c r="C54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40" s="6" t="s">
        <v>24</v>
      </c>
      <c r="E540" s="259">
        <v>45110</v>
      </c>
      <c r="G540" s="6"/>
      <c r="H540" s="254" t="s">
        <v>60</v>
      </c>
      <c r="I540" s="764" t="str">
        <f>VLOOKUP($H540,инфо!$O:$P,2,FALSE)</f>
        <v>Масло коровье</v>
      </c>
      <c r="J540" s="160" t="str">
        <f>VLOOKUP($I540,инфо!$D:$G,3,FALSE)</f>
        <v>кг</v>
      </c>
      <c r="K540" s="747" t="s">
        <v>1538</v>
      </c>
      <c r="L540" s="663">
        <v>22</v>
      </c>
      <c r="M540" s="963">
        <f>SUMIF($H$1:$H540,$H540,$L$1:$L540)-SUMIF($H$1:$H539,$H540,$N$1:$N539)</f>
        <v>262.62</v>
      </c>
      <c r="O540" s="962">
        <f t="shared" si="7"/>
        <v>262.62</v>
      </c>
    </row>
    <row r="541" spans="2:15" ht="18" customHeight="1" x14ac:dyDescent="0.25">
      <c r="B541" s="259">
        <v>45110</v>
      </c>
      <c r="C541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41" s="259">
        <v>45110</v>
      </c>
      <c r="H541" s="254" t="s">
        <v>61</v>
      </c>
      <c r="I541" s="764" t="str">
        <f>VLOOKUP($H541,инфо!$O:$P,2,FALSE)</f>
        <v>Масло растительное</v>
      </c>
      <c r="J541" s="160" t="str">
        <f>VLOOKUP($I541,инфо!$D:$G,3,FALSE)</f>
        <v>литр</v>
      </c>
      <c r="K541" s="747" t="s">
        <v>1538</v>
      </c>
      <c r="M541" s="963">
        <f>SUMIF($H$1:$H541,$H541,$L$1:$L541)-SUMIF($H$1:$H540,$H541,$N$1:$N540)</f>
        <v>370</v>
      </c>
      <c r="N541" s="964">
        <v>13.132</v>
      </c>
      <c r="O541" s="962">
        <f t="shared" si="7"/>
        <v>356.86799999999999</v>
      </c>
    </row>
    <row r="542" spans="2:15" ht="18" customHeight="1" x14ac:dyDescent="0.25">
      <c r="B542" s="259">
        <v>45110</v>
      </c>
      <c r="C54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42" s="259">
        <v>45110</v>
      </c>
      <c r="H542" s="254" t="s">
        <v>502</v>
      </c>
      <c r="I542" s="764" t="str">
        <f>VLOOKUP($H542,инфо!$O:$P,2,FALSE)</f>
        <v>Говядина консерв.</v>
      </c>
      <c r="J542" s="160" t="str">
        <f>VLOOKUP($I542,инфо!$D:$G,3,FALSE)</f>
        <v>кг</v>
      </c>
      <c r="K542" s="747" t="s">
        <v>1538</v>
      </c>
      <c r="M542" s="963">
        <f>SUMIF($H$1:$H542,$H542,$L$1:$L542)-SUMIF($H$1:$H541,$H542,$N$1:$N541)</f>
        <v>130</v>
      </c>
      <c r="N542" s="964">
        <v>5.6280000000000001</v>
      </c>
      <c r="O542" s="962">
        <f t="shared" si="7"/>
        <v>124.372</v>
      </c>
    </row>
    <row r="543" spans="2:15" ht="18" customHeight="1" x14ac:dyDescent="0.25">
      <c r="B543" s="259">
        <v>45110</v>
      </c>
      <c r="C543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43" s="259">
        <v>45110</v>
      </c>
      <c r="H543" s="254" t="s">
        <v>474</v>
      </c>
      <c r="I543" s="764" t="str">
        <f>VLOOKUP($H543,инфо!$O:$P,2,FALSE)</f>
        <v>Колбаса вареная</v>
      </c>
      <c r="J543" s="160" t="str">
        <f>VLOOKUP($I543,инфо!$D:$G,3,FALSE)</f>
        <v>кг</v>
      </c>
      <c r="K543" s="747" t="s">
        <v>1538</v>
      </c>
      <c r="M543" s="963">
        <f>SUMIF($H$1:$H543,$H543,$L$1:$L543)-SUMIF($H$1:$H542,$H543,$N$1:$N542)</f>
        <v>30</v>
      </c>
      <c r="N543" s="964">
        <v>5.6280000000000001</v>
      </c>
      <c r="O543" s="962">
        <f t="shared" si="7"/>
        <v>24.372</v>
      </c>
    </row>
    <row r="544" spans="2:15" ht="18" customHeight="1" x14ac:dyDescent="0.25">
      <c r="B544" s="259">
        <v>45110</v>
      </c>
      <c r="C54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44" s="259">
        <v>45110</v>
      </c>
      <c r="H544" s="254" t="s">
        <v>476</v>
      </c>
      <c r="I544" s="764" t="str">
        <f>VLOOKUP($H544,инфо!$O:$P,2,FALSE)</f>
        <v>Сосиски</v>
      </c>
      <c r="J544" s="160" t="str">
        <f>VLOOKUP($I544,инфо!$D:$G,3,FALSE)</f>
        <v>кг</v>
      </c>
      <c r="K544" s="747" t="s">
        <v>1538</v>
      </c>
      <c r="M544" s="963">
        <f>SUMIF($H$1:$H544,$H544,$L$1:$L544)-SUMIF($H$1:$H543,$H544,$N$1:$N543)</f>
        <v>215.51555999999999</v>
      </c>
      <c r="N544" s="964">
        <v>7.5039999999999996</v>
      </c>
      <c r="O544" s="962">
        <f t="shared" si="7"/>
        <v>208.01156</v>
      </c>
    </row>
    <row r="545" spans="2:15" ht="18" customHeight="1" x14ac:dyDescent="0.25">
      <c r="B545" s="259">
        <v>45110</v>
      </c>
      <c r="C54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45" s="6"/>
      <c r="E545" s="259">
        <f>B545</f>
        <v>45110</v>
      </c>
      <c r="G545" s="6"/>
      <c r="H545" t="s">
        <v>421</v>
      </c>
      <c r="I545" s="764" t="str">
        <f>VLOOKUP($H545,инфо!$O:$P,2,FALSE)</f>
        <v>Пельмени</v>
      </c>
      <c r="J545" s="160" t="str">
        <f>VLOOKUP($I545,инфо!$D:$G,3,FALSE)</f>
        <v>кг</v>
      </c>
      <c r="K545" s="747" t="s">
        <v>1538</v>
      </c>
      <c r="L545" s="663">
        <v>50</v>
      </c>
      <c r="M545" s="963">
        <f>SUMIF($H$1:$H545,$H545,$L$1:$L545)-SUMIF($H$1:$H544,$H545,$N$1:$N544)</f>
        <v>85.014450000000011</v>
      </c>
      <c r="O545" s="962">
        <f t="shared" si="7"/>
        <v>85.014450000000011</v>
      </c>
    </row>
    <row r="546" spans="2:15" ht="18" customHeight="1" x14ac:dyDescent="0.25">
      <c r="B546" s="259">
        <v>45110</v>
      </c>
      <c r="C54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46" s="6"/>
      <c r="E546" s="259">
        <f>B546</f>
        <v>45110</v>
      </c>
      <c r="G546" s="6"/>
      <c r="H546" t="s">
        <v>507</v>
      </c>
      <c r="I546" s="764" t="str">
        <f>VLOOKUP($H546,инфо!$O:$P,2,FALSE)</f>
        <v>Печень</v>
      </c>
      <c r="J546" s="160" t="str">
        <f>VLOOKUP($I546,инфо!$D:$G,3,FALSE)</f>
        <v>кг</v>
      </c>
      <c r="K546" s="747" t="s">
        <v>1538</v>
      </c>
      <c r="L546" s="663">
        <v>120</v>
      </c>
      <c r="M546" s="963">
        <f>SUMIF($H$1:$H546,$H546,$L$1:$L546)-SUMIF($H$1:$H545,$H546,$N$1:$N545)</f>
        <v>123.124</v>
      </c>
      <c r="O546" s="962">
        <f t="shared" si="7"/>
        <v>123.124</v>
      </c>
    </row>
    <row r="547" spans="2:15" ht="18" customHeight="1" x14ac:dyDescent="0.25">
      <c r="B547" s="259">
        <v>45110</v>
      </c>
      <c r="C54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47" s="259">
        <v>45110</v>
      </c>
      <c r="H547" s="254" t="s">
        <v>544</v>
      </c>
      <c r="I547" s="764" t="str">
        <f>VLOOKUP($H547,инфо!$O:$P,2,FALSE)</f>
        <v>Треска б/г</v>
      </c>
      <c r="J547" s="160" t="str">
        <f>VLOOKUP($I547,инфо!$D:$G,3,FALSE)</f>
        <v>кг</v>
      </c>
      <c r="K547" s="747" t="s">
        <v>1538</v>
      </c>
      <c r="M547" s="963">
        <f>SUMIF($H$1:$H547,$H547,$L$1:$L547)-SUMIF($H$1:$H546,$H547,$N$1:$N546)</f>
        <v>145</v>
      </c>
      <c r="N547" s="964">
        <v>8.4420000000000002</v>
      </c>
      <c r="O547" s="962">
        <f t="shared" si="7"/>
        <v>136.55799999999999</v>
      </c>
    </row>
    <row r="548" spans="2:15" ht="18" customHeight="1" x14ac:dyDescent="0.25">
      <c r="B548" s="259">
        <v>45110</v>
      </c>
      <c r="C54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48" s="259">
        <v>45110</v>
      </c>
      <c r="H548" s="254" t="s">
        <v>1226</v>
      </c>
      <c r="I548" s="764" t="str">
        <f>VLOOKUP($H548,инфо!$O:$P,2,FALSE)</f>
        <v>Треска с/г</v>
      </c>
      <c r="J548" s="160" t="str">
        <f>VLOOKUP($I548,инфо!$D:$G,3,FALSE)</f>
        <v>кг</v>
      </c>
      <c r="K548" s="747" t="s">
        <v>1538</v>
      </c>
      <c r="M548" s="963">
        <f>SUMIF($H$1:$H548,$H548,$L$1:$L548)-SUMIF($H$1:$H547,$H548,$N$1:$N547)</f>
        <v>24.394450000000006</v>
      </c>
      <c r="N548" s="964">
        <v>9.379999999999999</v>
      </c>
      <c r="O548" s="962">
        <f t="shared" si="7"/>
        <v>15.014450000000007</v>
      </c>
    </row>
    <row r="549" spans="2:15" ht="18" customHeight="1" x14ac:dyDescent="0.25">
      <c r="B549" s="259">
        <v>45110</v>
      </c>
      <c r="C54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49" s="6"/>
      <c r="E549" s="259">
        <f>B549</f>
        <v>45110</v>
      </c>
      <c r="G549" s="6"/>
      <c r="H549" t="s">
        <v>1227</v>
      </c>
      <c r="I549" s="764" t="str">
        <f>VLOOKUP($H549,инфо!$O:$P,2,FALSE)</f>
        <v>Навага с/г</v>
      </c>
      <c r="J549" s="160" t="str">
        <f>VLOOKUP($I549,инфо!$D:$G,3,FALSE)</f>
        <v>кг</v>
      </c>
      <c r="K549" s="747" t="s">
        <v>1538</v>
      </c>
      <c r="L549" s="663">
        <v>250</v>
      </c>
      <c r="M549" s="963">
        <f>SUMIF($H$1:$H549,$H549,$L$1:$L549)-SUMIF($H$1:$H548,$H549,$N$1:$N548)</f>
        <v>250</v>
      </c>
      <c r="O549" s="962">
        <f t="shared" si="7"/>
        <v>250</v>
      </c>
    </row>
    <row r="550" spans="2:15" ht="18" customHeight="1" x14ac:dyDescent="0.25">
      <c r="B550" s="259">
        <v>45110</v>
      </c>
      <c r="C55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50" s="6"/>
      <c r="E550" s="259">
        <f>B550</f>
        <v>45110</v>
      </c>
      <c r="G550" s="6"/>
      <c r="H550" t="s">
        <v>1221</v>
      </c>
      <c r="I550" s="764" t="str">
        <f>VLOOKUP($H550,инфо!$O:$P,2,FALSE)</f>
        <v>Налим б/г</v>
      </c>
      <c r="J550" s="160" t="str">
        <f>VLOOKUP($I550,инфо!$D:$G,3,FALSE)</f>
        <v>кг</v>
      </c>
      <c r="K550" s="747" t="s">
        <v>1538</v>
      </c>
      <c r="L550" s="663">
        <v>45</v>
      </c>
      <c r="M550" s="963">
        <f>SUMIF($H$1:$H550,$H550,$L$1:$L550)-SUMIF($H$1:$H549,$H550,$N$1:$N549)</f>
        <v>45</v>
      </c>
      <c r="O550" s="962">
        <f t="shared" si="7"/>
        <v>45</v>
      </c>
    </row>
    <row r="551" spans="2:15" ht="18" customHeight="1" x14ac:dyDescent="0.25">
      <c r="B551" s="259">
        <v>45110</v>
      </c>
      <c r="C551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51" s="259">
        <v>45110</v>
      </c>
      <c r="H551" s="254" t="s">
        <v>1221</v>
      </c>
      <c r="I551" s="764" t="str">
        <f>VLOOKUP($H551,инфо!$O:$P,2,FALSE)</f>
        <v>Налим б/г</v>
      </c>
      <c r="J551" s="160" t="str">
        <f>VLOOKUP($I551,инфо!$D:$G,3,FALSE)</f>
        <v>кг</v>
      </c>
      <c r="K551" s="747" t="s">
        <v>1538</v>
      </c>
      <c r="M551" s="963">
        <f>SUMIF($H$1:$H551,$H551,$L$1:$L551)-SUMIF($H$1:$H550,$H551,$N$1:$N550)</f>
        <v>45</v>
      </c>
      <c r="N551" s="964">
        <v>8.4420000000000002</v>
      </c>
      <c r="O551" s="962">
        <f t="shared" si="7"/>
        <v>36.558</v>
      </c>
    </row>
    <row r="552" spans="2:15" ht="18" customHeight="1" x14ac:dyDescent="0.25">
      <c r="B552" s="259">
        <v>45110</v>
      </c>
      <c r="C55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52" s="6"/>
      <c r="E552" s="259">
        <f>B552</f>
        <v>45110</v>
      </c>
      <c r="G552" s="6"/>
      <c r="H552" t="s">
        <v>1222</v>
      </c>
      <c r="I552" s="764" t="str">
        <f>VLOOKUP($H552,инфо!$O:$P,2,FALSE)</f>
        <v>Пикша б/г</v>
      </c>
      <c r="J552" s="160" t="str">
        <f>VLOOKUP($I552,инфо!$D:$G,3,FALSE)</f>
        <v>кг</v>
      </c>
      <c r="K552" s="747" t="s">
        <v>1538</v>
      </c>
      <c r="L552" s="663">
        <v>50</v>
      </c>
      <c r="M552" s="963">
        <f>SUMIF($H$1:$H552,$H552,$L$1:$L552)-SUMIF($H$1:$H551,$H552,$N$1:$N551)</f>
        <v>50</v>
      </c>
      <c r="O552" s="962">
        <f t="shared" si="7"/>
        <v>50</v>
      </c>
    </row>
    <row r="553" spans="2:15" ht="18" customHeight="1" x14ac:dyDescent="0.25">
      <c r="B553" s="259">
        <v>45110</v>
      </c>
      <c r="C55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553" s="259">
        <v>45110</v>
      </c>
      <c r="H553" s="254" t="s">
        <v>1232</v>
      </c>
      <c r="I553" s="764" t="str">
        <f>VLOOKUP($H553,инфо!$O:$P,2,FALSE)</f>
        <v>Пикша с/г</v>
      </c>
      <c r="J553" s="160" t="str">
        <f>VLOOKUP($I553,инфо!$D:$G,3,FALSE)</f>
        <v>кг</v>
      </c>
      <c r="K553" s="747" t="s">
        <v>1538</v>
      </c>
      <c r="L553" s="663">
        <v>72</v>
      </c>
      <c r="M553" s="963">
        <f>SUMIF($H$1:$H553,$H553,$L$1:$L553)-SUMIF($H$1:$H552,$H553,$N$1:$N552)</f>
        <v>72</v>
      </c>
      <c r="N553" s="964">
        <v>7.5039999999999996</v>
      </c>
      <c r="O553" s="962">
        <f t="shared" si="7"/>
        <v>64.495999999999995</v>
      </c>
    </row>
    <row r="554" spans="2:15" ht="18" customHeight="1" x14ac:dyDescent="0.25">
      <c r="B554" s="259">
        <v>45110</v>
      </c>
      <c r="C55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554" s="259">
        <v>45110</v>
      </c>
      <c r="H554" s="254" t="s">
        <v>514</v>
      </c>
      <c r="I554" s="764" t="str">
        <f>VLOOKUP($H554,инфо!$O:$P,2,FALSE)</f>
        <v>Сом с/г</v>
      </c>
      <c r="J554" s="160" t="str">
        <f>VLOOKUP($I554,инфо!$D:$G,3,FALSE)</f>
        <v>кг</v>
      </c>
      <c r="K554" s="747" t="s">
        <v>1538</v>
      </c>
      <c r="L554" s="663">
        <v>166</v>
      </c>
      <c r="M554" s="963">
        <f>SUMIF($H$1:$H554,$H554,$L$1:$L554)-SUMIF($H$1:$H553,$H554,$N$1:$N553)</f>
        <v>166</v>
      </c>
      <c r="N554" s="964">
        <v>8.4420000000000002</v>
      </c>
      <c r="O554" s="962">
        <f t="shared" si="7"/>
        <v>157.55799999999999</v>
      </c>
    </row>
    <row r="555" spans="2:15" ht="18" customHeight="1" x14ac:dyDescent="0.25">
      <c r="B555" s="259">
        <v>45110</v>
      </c>
      <c r="C55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55" s="6" t="s">
        <v>24</v>
      </c>
      <c r="E555" s="259">
        <v>45110</v>
      </c>
      <c r="G555" s="6"/>
      <c r="H555" s="254" t="s">
        <v>79</v>
      </c>
      <c r="I555" s="764" t="str">
        <f>VLOOKUP($H555,инфо!$O:$P,2,FALSE)</f>
        <v>Яйцо (шт)</v>
      </c>
      <c r="J555" s="160" t="str">
        <f>VLOOKUP($I555,инфо!$D:$G,3,FALSE)</f>
        <v>кг</v>
      </c>
      <c r="K555" s="747" t="s">
        <v>1538</v>
      </c>
      <c r="L555" s="663">
        <v>300</v>
      </c>
      <c r="M555" s="963">
        <f>SUMIF($H$1:$H555,$H555,$L$1:$L555)-SUMIF($H$1:$H554,$H555,$N$1:$N554)</f>
        <v>300</v>
      </c>
      <c r="O555" s="962">
        <f t="shared" si="7"/>
        <v>300</v>
      </c>
    </row>
    <row r="556" spans="2:15" ht="18" customHeight="1" x14ac:dyDescent="0.25">
      <c r="B556" s="259">
        <v>45110</v>
      </c>
      <c r="C55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56" s="259">
        <v>45110</v>
      </c>
      <c r="H556" s="254" t="s">
        <v>1246</v>
      </c>
      <c r="I556" s="764" t="str">
        <f>VLOOKUP($H556,инфо!$O:$P,2,FALSE)</f>
        <v>Яйцо (шт)</v>
      </c>
      <c r="J556" s="160" t="str">
        <f>VLOOKUP($I556,инфо!$D:$G,3,FALSE)</f>
        <v>кг</v>
      </c>
      <c r="K556" s="747" t="s">
        <v>1538</v>
      </c>
      <c r="M556" s="963">
        <f>SUMIF($H$1:$H556,$H556,$L$1:$L556)-SUMIF($H$1:$H555,$H556,$N$1:$N555)</f>
        <v>400</v>
      </c>
      <c r="N556" s="964">
        <v>56.279999999999994</v>
      </c>
      <c r="O556" s="962">
        <f t="shared" si="7"/>
        <v>343.72</v>
      </c>
    </row>
    <row r="557" spans="2:15" ht="18" customHeight="1" x14ac:dyDescent="0.25">
      <c r="B557" s="259">
        <v>45110</v>
      </c>
      <c r="C55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57" s="259">
        <v>45110</v>
      </c>
      <c r="H557" s="254" t="s">
        <v>326</v>
      </c>
      <c r="I557" s="764" t="str">
        <f>VLOOKUP($H557,инфо!$O:$P,2,FALSE)</f>
        <v>Соль</v>
      </c>
      <c r="J557" s="160" t="str">
        <f>VLOOKUP($I557,инфо!$D:$G,3,FALSE)</f>
        <v>кг</v>
      </c>
      <c r="K557" s="747" t="s">
        <v>1538</v>
      </c>
      <c r="M557" s="963">
        <f>SUMIF($H$1:$H557,$H557,$L$1:$L557)-SUMIF($H$1:$H556,$H557,$N$1:$N556)</f>
        <v>20</v>
      </c>
      <c r="N557" s="964">
        <v>3.7519999999999998</v>
      </c>
      <c r="O557" s="962">
        <f t="shared" si="7"/>
        <v>16.248000000000001</v>
      </c>
    </row>
    <row r="558" spans="2:15" ht="18" customHeight="1" x14ac:dyDescent="0.25">
      <c r="B558" s="259">
        <v>45110</v>
      </c>
      <c r="C55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58" s="6" t="s">
        <v>24</v>
      </c>
      <c r="E558" s="259">
        <v>45110</v>
      </c>
      <c r="G558" s="6"/>
      <c r="H558" s="254" t="s">
        <v>74</v>
      </c>
      <c r="I558" s="764" t="str">
        <f>VLOOKUP($H558,инфо!$O:$P,2,FALSE)</f>
        <v>Лавровый лист</v>
      </c>
      <c r="J558" s="160" t="str">
        <f>VLOOKUP($I558,инфо!$D:$G,3,FALSE)</f>
        <v>кг</v>
      </c>
      <c r="K558" s="747" t="s">
        <v>1538</v>
      </c>
      <c r="L558" s="663">
        <v>2</v>
      </c>
      <c r="M558" s="963">
        <f>SUMIF($H$1:$H558,$H558,$L$1:$L558)-SUMIF($H$1:$H557,$H558,$N$1:$N557)</f>
        <v>12</v>
      </c>
      <c r="O558" s="962">
        <f t="shared" si="7"/>
        <v>12</v>
      </c>
    </row>
    <row r="559" spans="2:15" ht="18" customHeight="1" x14ac:dyDescent="0.25">
      <c r="B559" s="259">
        <v>45110</v>
      </c>
      <c r="C55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59" s="6"/>
      <c r="E559" s="259">
        <f>B559</f>
        <v>45110</v>
      </c>
      <c r="G559" s="6"/>
      <c r="H559" t="s">
        <v>484</v>
      </c>
      <c r="I559" s="764" t="str">
        <f>VLOOKUP($H559,инфо!$O:$P,2,FALSE)</f>
        <v>Перец черный</v>
      </c>
      <c r="J559" s="160" t="str">
        <f>VLOOKUP($I559,инфо!$D:$G,3,FALSE)</f>
        <v>кг</v>
      </c>
      <c r="K559" s="747" t="s">
        <v>1538</v>
      </c>
      <c r="L559" s="663">
        <v>6</v>
      </c>
      <c r="M559" s="963">
        <f>SUMIF($H$1:$H559,$H559,$L$1:$L559)-SUMIF($H$1:$H558,$H559,$N$1:$N558)</f>
        <v>6.9</v>
      </c>
      <c r="O559" s="962">
        <f t="shared" si="7"/>
        <v>6.9</v>
      </c>
    </row>
    <row r="560" spans="2:15" ht="18" customHeight="1" x14ac:dyDescent="0.25">
      <c r="B560" s="259">
        <v>45110</v>
      </c>
      <c r="C56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60" s="259">
        <v>45110</v>
      </c>
      <c r="H560" s="254" t="s">
        <v>484</v>
      </c>
      <c r="I560" s="764" t="str">
        <f>VLOOKUP($H560,инфо!$O:$P,2,FALSE)</f>
        <v>Перец черный</v>
      </c>
      <c r="J560" s="160" t="str">
        <f>VLOOKUP($I560,инфо!$D:$G,3,FALSE)</f>
        <v>кг</v>
      </c>
      <c r="K560" s="747" t="s">
        <v>1538</v>
      </c>
      <c r="M560" s="963">
        <f>SUMIF($H$1:$H560,$H560,$L$1:$L560)-SUMIF($H$1:$H559,$H560,$N$1:$N559)</f>
        <v>6.9</v>
      </c>
      <c r="N560" s="964">
        <v>1.1255999999999999</v>
      </c>
      <c r="O560" s="962">
        <f t="shared" si="7"/>
        <v>5.7744</v>
      </c>
    </row>
    <row r="561" spans="2:15" ht="18" customHeight="1" x14ac:dyDescent="0.25">
      <c r="B561" s="259">
        <v>45110</v>
      </c>
      <c r="C561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61" s="259">
        <v>45110</v>
      </c>
      <c r="H561" s="254" t="s">
        <v>323</v>
      </c>
      <c r="I561" s="764" t="str">
        <f>VLOOKUP($H561,инфо!$O:$P,2,FALSE)</f>
        <v>Дрожжи</v>
      </c>
      <c r="J561" s="160" t="str">
        <f>VLOOKUP($I561,инфо!$D:$G,3,FALSE)</f>
        <v>кг</v>
      </c>
      <c r="K561" s="747" t="s">
        <v>1538</v>
      </c>
      <c r="M561" s="963">
        <f>SUMIF($H$1:$H561,$H561,$L$1:$L561)-SUMIF($H$1:$H560,$H561,$N$1:$N560)</f>
        <v>108</v>
      </c>
      <c r="N561" s="964">
        <v>1.5007999999999999</v>
      </c>
      <c r="O561" s="962">
        <f t="shared" si="7"/>
        <v>106.4992</v>
      </c>
    </row>
    <row r="562" spans="2:15" ht="18" customHeight="1" x14ac:dyDescent="0.25">
      <c r="B562" s="259">
        <v>45110</v>
      </c>
      <c r="C56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62" s="6" t="s">
        <v>24</v>
      </c>
      <c r="E562" s="259">
        <v>45110</v>
      </c>
      <c r="G562" s="6"/>
      <c r="H562" s="254" t="s">
        <v>72</v>
      </c>
      <c r="I562" s="764" t="str">
        <f>VLOOKUP($H562,инфо!$O:$P,2,FALSE)</f>
        <v>Кофе растворимый</v>
      </c>
      <c r="J562" s="160" t="str">
        <f>VLOOKUP($I562,инфо!$D:$G,3,FALSE)</f>
        <v>кг</v>
      </c>
      <c r="K562" s="747" t="s">
        <v>1538</v>
      </c>
      <c r="L562" s="663">
        <v>8</v>
      </c>
      <c r="M562" s="963">
        <f>SUMIF($H$1:$H562,$H562,$L$1:$L562)-SUMIF($H$1:$H561,$H562,$N$1:$N561)</f>
        <v>16</v>
      </c>
      <c r="O562" s="962">
        <f t="shared" si="7"/>
        <v>16</v>
      </c>
    </row>
    <row r="563" spans="2:15" ht="18" customHeight="1" x14ac:dyDescent="0.25">
      <c r="B563" s="259">
        <v>45110</v>
      </c>
      <c r="C56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63" s="6" t="s">
        <v>24</v>
      </c>
      <c r="E563" s="259">
        <v>45110</v>
      </c>
      <c r="G563" s="6"/>
      <c r="H563" s="254" t="s">
        <v>73</v>
      </c>
      <c r="I563" s="764" t="str">
        <f>VLOOKUP($H563,инфо!$O:$P,2,FALSE)</f>
        <v>Курага</v>
      </c>
      <c r="J563" s="160" t="str">
        <f>VLOOKUP($I563,инфо!$D:$G,3,FALSE)</f>
        <v>кг</v>
      </c>
      <c r="K563" s="747" t="s">
        <v>1538</v>
      </c>
      <c r="L563" s="663">
        <v>4</v>
      </c>
      <c r="M563" s="963">
        <f>SUMIF($H$1:$H563,$H563,$L$1:$L563)-SUMIF($H$1:$H562,$H563,$N$1:$N562)</f>
        <v>39</v>
      </c>
      <c r="O563" s="962">
        <f t="shared" si="7"/>
        <v>39</v>
      </c>
    </row>
    <row r="564" spans="2:15" ht="18" customHeight="1" x14ac:dyDescent="0.25">
      <c r="B564" s="259">
        <v>45110</v>
      </c>
      <c r="C56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64" s="259">
        <v>45110</v>
      </c>
      <c r="H564" s="254" t="s">
        <v>73</v>
      </c>
      <c r="I564" s="764" t="str">
        <f>VLOOKUP($H564,инфо!$O:$P,2,FALSE)</f>
        <v>Курага</v>
      </c>
      <c r="J564" s="160" t="str">
        <f>VLOOKUP($I564,инфо!$D:$G,3,FALSE)</f>
        <v>кг</v>
      </c>
      <c r="K564" s="747" t="s">
        <v>1538</v>
      </c>
      <c r="M564" s="963">
        <f>SUMIF($H$1:$H564,$H564,$L$1:$L564)-SUMIF($H$1:$H563,$H564,$N$1:$N563)</f>
        <v>39</v>
      </c>
      <c r="N564" s="964">
        <v>2.6263999999999998</v>
      </c>
      <c r="O564" s="962">
        <f t="shared" si="7"/>
        <v>36.373600000000003</v>
      </c>
    </row>
    <row r="565" spans="2:15" ht="18" customHeight="1" x14ac:dyDescent="0.25">
      <c r="B565" s="259">
        <v>45110</v>
      </c>
      <c r="C56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65" s="6" t="s">
        <v>24</v>
      </c>
      <c r="E565" s="259">
        <v>45110</v>
      </c>
      <c r="G565" s="6"/>
      <c r="H565" s="254" t="s">
        <v>78</v>
      </c>
      <c r="I565" s="764" t="str">
        <f>VLOOKUP($H565,инфо!$O:$P,2,FALSE)</f>
        <v>Чернослив</v>
      </c>
      <c r="J565" s="160" t="str">
        <f>VLOOKUP($I565,инфо!$D:$G,3,FALSE)</f>
        <v>кг</v>
      </c>
      <c r="K565" s="747" t="s">
        <v>1538</v>
      </c>
      <c r="L565" s="663">
        <v>56</v>
      </c>
      <c r="M565" s="963">
        <f>SUMIF($H$1:$H565,$H565,$L$1:$L565)-SUMIF($H$1:$H564,$H565,$N$1:$N564)</f>
        <v>169</v>
      </c>
      <c r="O565" s="962">
        <f t="shared" si="7"/>
        <v>169</v>
      </c>
    </row>
    <row r="566" spans="2:15" ht="18" customHeight="1" x14ac:dyDescent="0.25">
      <c r="B566" s="259">
        <v>45110</v>
      </c>
      <c r="C56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66" s="259">
        <v>45110</v>
      </c>
      <c r="H566" s="254" t="s">
        <v>422</v>
      </c>
      <c r="I566" s="764" t="str">
        <f>VLOOKUP($H566,инфо!$O:$P,2,FALSE)</f>
        <v>Смесь сухофруктов</v>
      </c>
      <c r="J566" s="160" t="str">
        <f>VLOOKUP($I566,инфо!$D:$G,3,FALSE)</f>
        <v>кг</v>
      </c>
      <c r="K566" s="747" t="s">
        <v>1538</v>
      </c>
      <c r="M566" s="963">
        <f>SUMIF($H$1:$H566,$H566,$L$1:$L566)-SUMIF($H$1:$H565,$H566,$N$1:$N565)</f>
        <v>20</v>
      </c>
      <c r="N566" s="964">
        <v>3.7519999999999998</v>
      </c>
      <c r="O566" s="962">
        <f t="shared" si="7"/>
        <v>16.248000000000001</v>
      </c>
    </row>
    <row r="567" spans="2:15" ht="18" customHeight="1" x14ac:dyDescent="0.25">
      <c r="B567" s="259">
        <v>45110</v>
      </c>
      <c r="C56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67" s="6" t="s">
        <v>24</v>
      </c>
      <c r="E567" s="259">
        <v>45110</v>
      </c>
      <c r="G567" s="6"/>
      <c r="H567" s="254" t="s">
        <v>88</v>
      </c>
      <c r="I567" s="764" t="str">
        <f>VLOOKUP($H567,инфо!$O:$P,2,FALSE)</f>
        <v>Сок яблочный</v>
      </c>
      <c r="J567" s="160" t="str">
        <f>VLOOKUP($I567,инфо!$D:$G,3,FALSE)</f>
        <v>кг</v>
      </c>
      <c r="K567" s="747" t="s">
        <v>1538</v>
      </c>
      <c r="L567" s="663">
        <v>40</v>
      </c>
      <c r="M567" s="963">
        <f>SUMIF($H$1:$H567,$H567,$L$1:$L567)-SUMIF($H$1:$H566,$H567,$N$1:$N566)</f>
        <v>140</v>
      </c>
      <c r="O567" s="962">
        <f t="shared" si="7"/>
        <v>140</v>
      </c>
    </row>
    <row r="568" spans="2:15" ht="18" customHeight="1" x14ac:dyDescent="0.25">
      <c r="B568" s="259">
        <v>45110</v>
      </c>
      <c r="C56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68" s="259">
        <v>45110</v>
      </c>
      <c r="H568" s="254" t="s">
        <v>82</v>
      </c>
      <c r="I568" s="764" t="str">
        <f>VLOOKUP($H568,инфо!$O:$P,2,FALSE)</f>
        <v>Карамель</v>
      </c>
      <c r="J568" s="160" t="str">
        <f>VLOOKUP($I568,инфо!$D:$G,3,FALSE)</f>
        <v>кг</v>
      </c>
      <c r="K568" s="747" t="s">
        <v>1538</v>
      </c>
      <c r="M568" s="963">
        <f>SUMIF($H$1:$H568,$H568,$L$1:$L568)-SUMIF($H$1:$H567,$H568,$N$1:$N567)</f>
        <v>95.515559999999994</v>
      </c>
      <c r="N568" s="964">
        <v>7.5039999999999996</v>
      </c>
      <c r="O568" s="962">
        <f t="shared" si="7"/>
        <v>88.011559999999989</v>
      </c>
    </row>
    <row r="569" spans="2:15" ht="18" customHeight="1" x14ac:dyDescent="0.25">
      <c r="B569" s="259">
        <v>45110</v>
      </c>
      <c r="C56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69" s="6"/>
      <c r="E569" s="259">
        <f>B569</f>
        <v>45110</v>
      </c>
      <c r="G569" s="6"/>
      <c r="H569" t="s">
        <v>85</v>
      </c>
      <c r="I569" s="764" t="str">
        <f>VLOOKUP($H569,инфо!$O:$P,2,FALSE)</f>
        <v>Печенье</v>
      </c>
      <c r="J569" s="160" t="str">
        <f>VLOOKUP($I569,инфо!$D:$G,3,FALSE)</f>
        <v>кг</v>
      </c>
      <c r="K569" s="747" t="s">
        <v>1538</v>
      </c>
      <c r="L569" s="663">
        <v>30</v>
      </c>
      <c r="M569" s="963">
        <f>SUMIF($H$1:$H569,$H569,$L$1:$L569)-SUMIF($H$1:$H568,$H569,$N$1:$N568)</f>
        <v>264</v>
      </c>
      <c r="O569" s="962">
        <f t="shared" si="7"/>
        <v>264</v>
      </c>
    </row>
    <row r="570" spans="2:15" ht="18" customHeight="1" x14ac:dyDescent="0.25">
      <c r="B570" s="259">
        <v>45110</v>
      </c>
      <c r="C57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70" s="6"/>
      <c r="E570" s="259">
        <f>B570</f>
        <v>45110</v>
      </c>
      <c r="G570" s="6"/>
      <c r="H570" t="s">
        <v>161</v>
      </c>
      <c r="I570" s="764" t="str">
        <f>VLOOKUP($H570,инфо!$O:$P,2,FALSE)</f>
        <v>Пряники</v>
      </c>
      <c r="J570" s="160" t="str">
        <f>VLOOKUP($I570,инфо!$D:$G,3,FALSE)</f>
        <v>кг</v>
      </c>
      <c r="K570" s="747" t="s">
        <v>1538</v>
      </c>
      <c r="L570" s="663">
        <v>35</v>
      </c>
      <c r="M570" s="963">
        <f>SUMIF($H$1:$H570,$H570,$L$1:$L570)-SUMIF($H$1:$H569,$H570,$N$1:$N569)</f>
        <v>35</v>
      </c>
      <c r="O570" s="962">
        <f t="shared" si="7"/>
        <v>35</v>
      </c>
    </row>
    <row r="571" spans="2:15" ht="18" customHeight="1" x14ac:dyDescent="0.25">
      <c r="B571" s="259">
        <v>45110</v>
      </c>
      <c r="C57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71" s="6" t="s">
        <v>24</v>
      </c>
      <c r="E571" s="259">
        <v>45110</v>
      </c>
      <c r="G571" s="6"/>
      <c r="H571" s="254" t="s">
        <v>87</v>
      </c>
      <c r="I571" s="764" t="str">
        <f>VLOOKUP($H571,инфо!$O:$P,2,FALSE)</f>
        <v>Пряники</v>
      </c>
      <c r="J571" s="160" t="str">
        <f>VLOOKUP($I571,инфо!$D:$G,3,FALSE)</f>
        <v>кг</v>
      </c>
      <c r="K571" s="747" t="s">
        <v>1538</v>
      </c>
      <c r="L571" s="663">
        <v>20</v>
      </c>
      <c r="M571" s="963">
        <f>SUMIF($H$1:$H571,$H571,$L$1:$L571)-SUMIF($H$1:$H570,$H571,$N$1:$N570)</f>
        <v>20</v>
      </c>
      <c r="O571" s="962">
        <f t="shared" si="7"/>
        <v>20</v>
      </c>
    </row>
    <row r="572" spans="2:15" ht="18" customHeight="1" x14ac:dyDescent="0.25">
      <c r="B572" s="259">
        <v>45110</v>
      </c>
      <c r="C57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72" s="259">
        <v>45110</v>
      </c>
      <c r="H572" s="254" t="s">
        <v>89</v>
      </c>
      <c r="I572" s="764" t="str">
        <f>VLOOKUP($H572,инфо!$O:$P,2,FALSE)</f>
        <v>Яблоки свежие</v>
      </c>
      <c r="J572" s="160" t="str">
        <f>VLOOKUP($I572,инфо!$D:$G,3,FALSE)</f>
        <v>кг</v>
      </c>
      <c r="K572" s="747" t="s">
        <v>1538</v>
      </c>
      <c r="M572" s="963">
        <f>SUMIF($H$1:$H572,$H572,$L$1:$L572)-SUMIF($H$1:$H571,$H572,$N$1:$N571)</f>
        <v>134.39445000000001</v>
      </c>
      <c r="N572" s="964">
        <v>9.379999999999999</v>
      </c>
      <c r="O572" s="962">
        <f t="shared" si="7"/>
        <v>125.01445000000001</v>
      </c>
    </row>
    <row r="573" spans="2:15" ht="18" customHeight="1" x14ac:dyDescent="0.25">
      <c r="B573" s="259">
        <v>45110</v>
      </c>
      <c r="C57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573" s="6" t="s">
        <v>24</v>
      </c>
      <c r="E573" s="259">
        <v>45110</v>
      </c>
      <c r="G573" s="6"/>
      <c r="H573" s="254" t="s">
        <v>80</v>
      </c>
      <c r="I573" s="764" t="str">
        <f>VLOOKUP($H573,инфо!$O:$P,2,FALSE)</f>
        <v>Апельсины</v>
      </c>
      <c r="J573" s="160" t="str">
        <f>VLOOKUP($I573,инфо!$D:$G,3,FALSE)</f>
        <v>кг</v>
      </c>
      <c r="K573" s="747" t="s">
        <v>1538</v>
      </c>
      <c r="L573" s="663">
        <v>6</v>
      </c>
      <c r="M573" s="963">
        <f>SUMIF($H$1:$H573,$H573,$L$1:$L573)-SUMIF($H$1:$H572,$H573,$N$1:$N572)</f>
        <v>6</v>
      </c>
      <c r="O573" s="962">
        <f t="shared" si="7"/>
        <v>6</v>
      </c>
    </row>
    <row r="574" spans="2:15" ht="18" customHeight="1" x14ac:dyDescent="0.25">
      <c r="B574" s="259">
        <v>45110</v>
      </c>
      <c r="C57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74" s="259">
        <v>45110</v>
      </c>
      <c r="H574" s="254" t="s">
        <v>80</v>
      </c>
      <c r="I574" s="764" t="str">
        <f>VLOOKUP($H574,инфо!$O:$P,2,FALSE)</f>
        <v>Апельсины</v>
      </c>
      <c r="J574" s="160" t="str">
        <f>VLOOKUP($I574,инфо!$D:$G,3,FALSE)</f>
        <v>кг</v>
      </c>
      <c r="K574" s="747" t="s">
        <v>1538</v>
      </c>
      <c r="M574" s="963">
        <f>SUMIF($H$1:$H574,$H574,$L$1:$L574)-SUMIF($H$1:$H573,$H574,$N$1:$N573)</f>
        <v>6</v>
      </c>
      <c r="N574" s="964">
        <v>2</v>
      </c>
      <c r="O574" s="962">
        <f t="shared" si="7"/>
        <v>4</v>
      </c>
    </row>
    <row r="575" spans="2:15" ht="18" customHeight="1" x14ac:dyDescent="0.25">
      <c r="B575" s="259">
        <v>45110</v>
      </c>
      <c r="C575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75" s="259">
        <v>45110</v>
      </c>
      <c r="H575" s="254" t="s">
        <v>521</v>
      </c>
      <c r="I575" s="764" t="str">
        <f>VLOOKUP($H575,инфо!$O:$P,2,FALSE)</f>
        <v>Груши свежие</v>
      </c>
      <c r="J575" s="160" t="str">
        <f>VLOOKUP($I575,инфо!$D:$G,3,FALSE)</f>
        <v>кг</v>
      </c>
      <c r="K575" s="747" t="s">
        <v>1538</v>
      </c>
      <c r="M575" s="963">
        <f>SUMIF($H$1:$H575,$H575,$L$1:$L575)-SUMIF($H$1:$H574,$H575,$N$1:$N574)</f>
        <v>7.7577799999999968</v>
      </c>
      <c r="N575" s="964">
        <v>3.7519999999999998</v>
      </c>
      <c r="O575" s="962">
        <f t="shared" si="7"/>
        <v>4.005779999999997</v>
      </c>
    </row>
    <row r="576" spans="2:15" ht="18" customHeight="1" x14ac:dyDescent="0.25">
      <c r="B576" s="259">
        <v>45111</v>
      </c>
      <c r="C57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576" s="259">
        <v>45111</v>
      </c>
      <c r="H576" s="254" t="s">
        <v>503</v>
      </c>
      <c r="I576" s="764" t="str">
        <f>VLOOKUP($H576,инфо!$O:$P,2,FALSE)</f>
        <v>Говядина н/к</v>
      </c>
      <c r="J576" s="160" t="str">
        <f>VLOOKUP($I576,инфо!$D:$G,3,FALSE)</f>
        <v>кг</v>
      </c>
      <c r="K576" s="747" t="s">
        <v>1538</v>
      </c>
      <c r="L576" s="663">
        <v>500</v>
      </c>
      <c r="M576" s="963">
        <f>SUMIF($H$1:$H576,$H576,$L$1:$L576)-SUMIF($H$1:$H575,$H576,$N$1:$N575)</f>
        <v>500</v>
      </c>
      <c r="N576" s="964">
        <v>155.60554999999999</v>
      </c>
      <c r="O576" s="962">
        <f t="shared" si="7"/>
        <v>344.39445000000001</v>
      </c>
    </row>
    <row r="577" spans="2:15" ht="18" customHeight="1" x14ac:dyDescent="0.25">
      <c r="B577" s="259">
        <v>45111</v>
      </c>
      <c r="C57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577" s="259">
        <v>45111</v>
      </c>
      <c r="H577" s="254" t="s">
        <v>1220</v>
      </c>
      <c r="I577" s="764" t="str">
        <f>VLOOKUP($H577,инфо!$O:$P,2,FALSE)</f>
        <v>Навага б/г</v>
      </c>
      <c r="J577" s="160" t="str">
        <f>VLOOKUP($I577,инфо!$D:$G,3,FALSE)</f>
        <v>кг</v>
      </c>
      <c r="K577" s="747" t="s">
        <v>1538</v>
      </c>
      <c r="L577" s="663">
        <v>180</v>
      </c>
      <c r="M577" s="963">
        <f>SUMIF($H$1:$H577,$H577,$L$1:$L577)-SUMIF($H$1:$H576,$H577,$N$1:$N576)</f>
        <v>180</v>
      </c>
      <c r="N577" s="964">
        <v>140.044995</v>
      </c>
      <c r="O577" s="962">
        <f t="shared" ref="O577:O640" si="8">$M577-$N577</f>
        <v>39.955005</v>
      </c>
    </row>
    <row r="578" spans="2:15" ht="18" customHeight="1" x14ac:dyDescent="0.25">
      <c r="B578" s="259">
        <v>45111</v>
      </c>
      <c r="C57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78" s="259">
        <v>45111</v>
      </c>
      <c r="H578" s="254" t="s">
        <v>1227</v>
      </c>
      <c r="I578" s="764" t="str">
        <f>VLOOKUP($H578,инфо!$O:$P,2,FALSE)</f>
        <v>Навага с/г</v>
      </c>
      <c r="J578" s="160" t="str">
        <f>VLOOKUP($I578,инфо!$D:$G,3,FALSE)</f>
        <v>кг</v>
      </c>
      <c r="K578" s="747" t="s">
        <v>1538</v>
      </c>
      <c r="M578" s="963">
        <f>SUMIF($H$1:$H578,$H578,$L$1:$L578)-SUMIF($H$1:$H577,$H578,$N$1:$N577)</f>
        <v>250</v>
      </c>
      <c r="N578" s="964">
        <v>155.60554999999999</v>
      </c>
      <c r="O578" s="962">
        <f t="shared" si="8"/>
        <v>94.394450000000006</v>
      </c>
    </row>
    <row r="579" spans="2:15" ht="18" customHeight="1" x14ac:dyDescent="0.25">
      <c r="B579" s="259">
        <v>45111</v>
      </c>
      <c r="C579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79" s="259">
        <v>45111</v>
      </c>
      <c r="H579" s="254" t="s">
        <v>1228</v>
      </c>
      <c r="I579" s="764" t="str">
        <f>VLOOKUP($H579,инфо!$O:$P,2,FALSE)</f>
        <v>Камбала с/г</v>
      </c>
      <c r="J579" s="160" t="str">
        <f>VLOOKUP($I579,инфо!$D:$G,3,FALSE)</f>
        <v>кг</v>
      </c>
      <c r="K579" s="747" t="s">
        <v>1538</v>
      </c>
      <c r="M579" s="963">
        <f>SUMIF($H$1:$H579,$H579,$L$1:$L579)-SUMIF($H$1:$H578,$H579,$N$1:$N578)</f>
        <v>145</v>
      </c>
      <c r="N579" s="964">
        <v>140.044995</v>
      </c>
      <c r="O579" s="962">
        <f t="shared" si="8"/>
        <v>4.9550049999999999</v>
      </c>
    </row>
    <row r="580" spans="2:15" ht="18" customHeight="1" x14ac:dyDescent="0.25">
      <c r="B580" s="259">
        <v>45111</v>
      </c>
      <c r="C58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580" s="259">
        <v>45111</v>
      </c>
      <c r="H580" s="254" t="s">
        <v>504</v>
      </c>
      <c r="I580" s="764" t="str">
        <f>VLOOKUP($H580,инфо!$O:$P,2,FALSE)</f>
        <v>Горбуша б/г</v>
      </c>
      <c r="J580" s="160" t="str">
        <f>VLOOKUP($I580,инфо!$D:$G,3,FALSE)</f>
        <v>кг</v>
      </c>
      <c r="K580" s="747" t="s">
        <v>1538</v>
      </c>
      <c r="L580" s="663">
        <v>20</v>
      </c>
      <c r="M580" s="963">
        <f>SUMIF($H$1:$H580,$H580,$L$1:$L580)-SUMIF($H$1:$H579,$H580,$N$1:$N579)</f>
        <v>160.62</v>
      </c>
      <c r="N580" s="964">
        <v>155.60554999999999</v>
      </c>
      <c r="O580" s="962">
        <f t="shared" si="8"/>
        <v>5.0144500000000107</v>
      </c>
    </row>
    <row r="581" spans="2:15" ht="18" customHeight="1" x14ac:dyDescent="0.25">
      <c r="B581" s="259">
        <v>45111</v>
      </c>
      <c r="C581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81" s="259">
        <v>45111</v>
      </c>
      <c r="H581" s="254" t="s">
        <v>465</v>
      </c>
      <c r="I581" s="764" t="str">
        <f>VLOOKUP($H581,инфо!$O:$P,2,FALSE)</f>
        <v>Горбуша с/г</v>
      </c>
      <c r="J581" s="160" t="str">
        <f>VLOOKUP($I581,инфо!$D:$G,3,FALSE)</f>
        <v>кг</v>
      </c>
      <c r="K581" s="747" t="s">
        <v>1538</v>
      </c>
      <c r="M581" s="963">
        <f>SUMIF($H$1:$H581,$H581,$L$1:$L581)-SUMIF($H$1:$H580,$H581,$N$1:$N580)</f>
        <v>132.49600000000001</v>
      </c>
      <c r="N581" s="964">
        <v>124.48444000000001</v>
      </c>
      <c r="O581" s="962">
        <f t="shared" si="8"/>
        <v>8.0115600000000029</v>
      </c>
    </row>
    <row r="582" spans="2:15" ht="18" customHeight="1" x14ac:dyDescent="0.25">
      <c r="B582" s="259">
        <v>45111</v>
      </c>
      <c r="C58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82" s="259">
        <v>45111</v>
      </c>
      <c r="H582" s="254" t="s">
        <v>1223</v>
      </c>
      <c r="I582" s="764" t="str">
        <f>VLOOKUP($H582,инфо!$O:$P,2,FALSE)</f>
        <v>Сайда б/г</v>
      </c>
      <c r="J582" s="160" t="str">
        <f>VLOOKUP($I582,инфо!$D:$G,3,FALSE)</f>
        <v>кг</v>
      </c>
      <c r="K582" s="747" t="s">
        <v>1538</v>
      </c>
      <c r="M582" s="963">
        <f>SUMIF($H$1:$H582,$H582,$L$1:$L582)-SUMIF($H$1:$H581,$H582,$N$1:$N581)</f>
        <v>181.55799999999999</v>
      </c>
      <c r="N582" s="964">
        <v>140.044995</v>
      </c>
      <c r="O582" s="962">
        <f t="shared" si="8"/>
        <v>41.513004999999993</v>
      </c>
    </row>
    <row r="583" spans="2:15" ht="18" customHeight="1" x14ac:dyDescent="0.25">
      <c r="B583" s="259">
        <v>45111</v>
      </c>
      <c r="C583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83" s="259">
        <v>45111</v>
      </c>
      <c r="H583" s="254" t="s">
        <v>1224</v>
      </c>
      <c r="I583" s="764" t="str">
        <f>VLOOKUP($H583,инфо!$O:$P,2,FALSE)</f>
        <v>Сайда с/г</v>
      </c>
      <c r="J583" s="160" t="str">
        <f>VLOOKUP($I583,инфо!$D:$G,3,FALSE)</f>
        <v>кг</v>
      </c>
      <c r="K583" s="747" t="s">
        <v>1538</v>
      </c>
      <c r="M583" s="963">
        <f>SUMIF($H$1:$H583,$H583,$L$1:$L583)-SUMIF($H$1:$H582,$H583,$N$1:$N582)</f>
        <v>160.62</v>
      </c>
      <c r="N583" s="964">
        <v>155.60554999999999</v>
      </c>
      <c r="O583" s="962">
        <f t="shared" si="8"/>
        <v>5.0144500000000107</v>
      </c>
    </row>
    <row r="584" spans="2:15" ht="18" customHeight="1" x14ac:dyDescent="0.25">
      <c r="B584" s="259">
        <v>45111</v>
      </c>
      <c r="C58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84" s="259">
        <v>45111</v>
      </c>
      <c r="H584" s="254" t="s">
        <v>1212</v>
      </c>
      <c r="I584" s="764" t="str">
        <f>VLOOKUP($H584,инфо!$O:$P,2,FALSE)</f>
        <v>Сом б/г</v>
      </c>
      <c r="J584" s="160" t="str">
        <f>VLOOKUP($I584,инфо!$D:$G,3,FALSE)</f>
        <v>кг</v>
      </c>
      <c r="K584" s="747" t="s">
        <v>1538</v>
      </c>
      <c r="M584" s="963">
        <f>SUMIF($H$1:$H584,$H584,$L$1:$L584)-SUMIF($H$1:$H583,$H584,$N$1:$N583)</f>
        <v>280</v>
      </c>
      <c r="N584" s="964">
        <v>124.48444000000001</v>
      </c>
      <c r="O584" s="962">
        <f t="shared" si="8"/>
        <v>155.51555999999999</v>
      </c>
    </row>
    <row r="585" spans="2:15" ht="18" customHeight="1" x14ac:dyDescent="0.25">
      <c r="B585" s="259">
        <v>45111</v>
      </c>
      <c r="C585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85" s="259">
        <v>45111</v>
      </c>
      <c r="H585" s="254" t="s">
        <v>514</v>
      </c>
      <c r="I585" s="764" t="str">
        <f>VLOOKUP($H585,инфо!$O:$P,2,FALSE)</f>
        <v>Сом с/г</v>
      </c>
      <c r="J585" s="160" t="str">
        <f>VLOOKUP($I585,инфо!$D:$G,3,FALSE)</f>
        <v>кг</v>
      </c>
      <c r="K585" s="747" t="s">
        <v>1538</v>
      </c>
      <c r="M585" s="963">
        <f>SUMIF($H$1:$H585,$H585,$L$1:$L585)-SUMIF($H$1:$H584,$H585,$N$1:$N584)</f>
        <v>157.55799999999999</v>
      </c>
      <c r="N585" s="964">
        <v>140.044995</v>
      </c>
      <c r="O585" s="962">
        <f t="shared" si="8"/>
        <v>17.513004999999993</v>
      </c>
    </row>
    <row r="586" spans="2:15" ht="18" customHeight="1" x14ac:dyDescent="0.25">
      <c r="B586" s="259">
        <v>45111</v>
      </c>
      <c r="C58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586" s="259">
        <v>45111</v>
      </c>
      <c r="H586" s="254" t="s">
        <v>1231</v>
      </c>
      <c r="I586" s="764" t="str">
        <f>VLOOKUP($H586,инфо!$O:$P,2,FALSE)</f>
        <v>Судак б/г</v>
      </c>
      <c r="J586" s="160" t="str">
        <f>VLOOKUP($I586,инфо!$D:$G,3,FALSE)</f>
        <v>кг</v>
      </c>
      <c r="K586" s="747" t="s">
        <v>1538</v>
      </c>
      <c r="L586" s="663">
        <v>170</v>
      </c>
      <c r="M586" s="963">
        <f>SUMIF($H$1:$H586,$H586,$L$1:$L586)-SUMIF($H$1:$H585,$H586,$N$1:$N585)</f>
        <v>170</v>
      </c>
      <c r="N586" s="964">
        <v>155.60554999999999</v>
      </c>
      <c r="O586" s="962">
        <f t="shared" si="8"/>
        <v>14.394450000000006</v>
      </c>
    </row>
    <row r="587" spans="2:15" ht="18" customHeight="1" x14ac:dyDescent="0.25">
      <c r="B587" s="259">
        <v>45111</v>
      </c>
      <c r="C58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87" s="259">
        <v>45111</v>
      </c>
      <c r="H587" s="254" t="s">
        <v>515</v>
      </c>
      <c r="I587" s="764" t="str">
        <f>VLOOKUP($H587,инфо!$O:$P,2,FALSE)</f>
        <v>Судак с/г</v>
      </c>
      <c r="J587" s="160" t="str">
        <f>VLOOKUP($I587,инфо!$D:$G,3,FALSE)</f>
        <v>кг</v>
      </c>
      <c r="K587" s="747" t="s">
        <v>1538</v>
      </c>
      <c r="M587" s="963">
        <f>SUMIF($H$1:$H587,$H587,$L$1:$L587)-SUMIF($H$1:$H586,$H587,$N$1:$N586)</f>
        <v>210</v>
      </c>
      <c r="N587" s="964">
        <v>124.48444000000001</v>
      </c>
      <c r="O587" s="962">
        <f t="shared" si="8"/>
        <v>85.515559999999994</v>
      </c>
    </row>
    <row r="588" spans="2:15" ht="18" customHeight="1" x14ac:dyDescent="0.25">
      <c r="B588" s="259">
        <v>45111</v>
      </c>
      <c r="C58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588" s="259">
        <v>45111</v>
      </c>
      <c r="H588" s="254" t="s">
        <v>518</v>
      </c>
      <c r="I588" s="764" t="str">
        <f>VLOOKUP($H588,инфо!$O:$P,2,FALSE)</f>
        <v>Щука б/г</v>
      </c>
      <c r="J588" s="160" t="str">
        <f>VLOOKUP($I588,инфо!$D:$G,3,FALSE)</f>
        <v>кг</v>
      </c>
      <c r="K588" s="747" t="s">
        <v>1538</v>
      </c>
      <c r="L588" s="663">
        <v>30</v>
      </c>
      <c r="M588" s="963">
        <f>SUMIF($H$1:$H588,$H588,$L$1:$L588)-SUMIF($H$1:$H587,$H588,$N$1:$N587)</f>
        <v>30</v>
      </c>
      <c r="N588" s="964">
        <v>4</v>
      </c>
      <c r="O588" s="962">
        <f t="shared" si="8"/>
        <v>26</v>
      </c>
    </row>
    <row r="589" spans="2:15" ht="18" customHeight="1" x14ac:dyDescent="0.25">
      <c r="B589" s="259">
        <v>45111</v>
      </c>
      <c r="C58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589" s="259">
        <v>45111</v>
      </c>
      <c r="H589" s="254" t="s">
        <v>519</v>
      </c>
      <c r="I589" s="764" t="str">
        <f>VLOOKUP($H589,инфо!$O:$P,2,FALSE)</f>
        <v>Щука с/г</v>
      </c>
      <c r="J589" s="160" t="str">
        <f>VLOOKUP($I589,инфо!$D:$G,3,FALSE)</f>
        <v>кг</v>
      </c>
      <c r="K589" s="747" t="s">
        <v>1538</v>
      </c>
      <c r="L589" s="663">
        <v>6</v>
      </c>
      <c r="M589" s="963">
        <f>SUMIF($H$1:$H589,$H589,$L$1:$L589)-SUMIF($H$1:$H588,$H589,$N$1:$N588)</f>
        <v>6</v>
      </c>
      <c r="N589" s="964">
        <v>5</v>
      </c>
      <c r="O589" s="962">
        <f t="shared" si="8"/>
        <v>1</v>
      </c>
    </row>
    <row r="590" spans="2:15" ht="18" customHeight="1" x14ac:dyDescent="0.25">
      <c r="B590" s="259">
        <v>45111</v>
      </c>
      <c r="C59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90" s="259">
        <v>45111</v>
      </c>
      <c r="H590" s="254" t="s">
        <v>419</v>
      </c>
      <c r="I590" s="764" t="str">
        <f>VLOOKUP($H590,инфо!$O:$P,2,FALSE)</f>
        <v>Рыба с/м б/г</v>
      </c>
      <c r="J590" s="160" t="str">
        <f>VLOOKUP($I590,инфо!$D:$G,3,FALSE)</f>
        <v>кг</v>
      </c>
      <c r="K590" s="747" t="s">
        <v>1538</v>
      </c>
      <c r="M590" s="963">
        <f>SUMIF($H$1:$H590,$H590,$L$1:$L590)-SUMIF($H$1:$H589,$H590,$N$1:$N589)</f>
        <v>150</v>
      </c>
      <c r="N590" s="964">
        <v>124.48444000000001</v>
      </c>
      <c r="O590" s="962">
        <f t="shared" si="8"/>
        <v>25.515559999999994</v>
      </c>
    </row>
    <row r="591" spans="2:15" ht="18" customHeight="1" x14ac:dyDescent="0.25">
      <c r="B591" s="259">
        <v>45111</v>
      </c>
      <c r="C59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591" s="259">
        <f t="shared" ref="E591:E597" si="9">B591</f>
        <v>45111</v>
      </c>
      <c r="H591" t="s">
        <v>1245</v>
      </c>
      <c r="I591" s="764" t="str">
        <f>VLOOKUP($H591,инфо!$O:$P,2,FALSE)</f>
        <v>Яйцо (шт)</v>
      </c>
      <c r="J591" s="160" t="str">
        <f>VLOOKUP($I591,инфо!$D:$G,3,FALSE)</f>
        <v>кг</v>
      </c>
      <c r="K591" s="747" t="s">
        <v>1538</v>
      </c>
      <c r="L591" s="663">
        <v>900</v>
      </c>
      <c r="M591" s="963">
        <f>SUMIF($H$1:$H591,$H591,$L$1:$L591)-SUMIF($H$1:$H590,$H591,$N$1:$N590)</f>
        <v>1350</v>
      </c>
      <c r="O591" s="962">
        <f t="shared" si="8"/>
        <v>1350</v>
      </c>
    </row>
    <row r="592" spans="2:15" ht="18" customHeight="1" x14ac:dyDescent="0.25">
      <c r="B592" s="259">
        <v>45111</v>
      </c>
      <c r="C59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592" s="259">
        <f t="shared" si="9"/>
        <v>45111</v>
      </c>
      <c r="H592" t="s">
        <v>1246</v>
      </c>
      <c r="I592" s="764" t="str">
        <f>VLOOKUP($H592,инфо!$O:$P,2,FALSE)</f>
        <v>Яйцо (шт)</v>
      </c>
      <c r="J592" s="160" t="str">
        <f>VLOOKUP($I592,инфо!$D:$G,3,FALSE)</f>
        <v>кг</v>
      </c>
      <c r="K592" s="747" t="s">
        <v>1538</v>
      </c>
      <c r="L592" s="663">
        <v>540</v>
      </c>
      <c r="M592" s="963">
        <f>SUMIF($H$1:$H592,$H592,$L$1:$L592)-SUMIF($H$1:$H591,$H592,$N$1:$N591)</f>
        <v>883.72</v>
      </c>
      <c r="O592" s="962">
        <f t="shared" si="8"/>
        <v>883.72</v>
      </c>
    </row>
    <row r="593" spans="2:15" ht="18" customHeight="1" x14ac:dyDescent="0.25">
      <c r="B593" s="259">
        <v>45111</v>
      </c>
      <c r="C59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593" s="259">
        <f t="shared" si="9"/>
        <v>45111</v>
      </c>
      <c r="H593" t="s">
        <v>53</v>
      </c>
      <c r="I593" s="764" t="str">
        <f>VLOOKUP($H593,инфо!$O:$P,2,FALSE)</f>
        <v>Сахар</v>
      </c>
      <c r="J593" s="160" t="str">
        <f>VLOOKUP($I593,инфо!$D:$G,3,FALSE)</f>
        <v>кг</v>
      </c>
      <c r="K593" s="747" t="s">
        <v>1538</v>
      </c>
      <c r="L593" s="663">
        <v>180</v>
      </c>
      <c r="M593" s="963">
        <f>SUMIF($H$1:$H593,$H593,$L$1:$L593)-SUMIF($H$1:$H592,$H593,$N$1:$N592)</f>
        <v>567</v>
      </c>
      <c r="O593" s="962">
        <f t="shared" si="8"/>
        <v>567</v>
      </c>
    </row>
    <row r="594" spans="2:15" ht="18" customHeight="1" x14ac:dyDescent="0.25">
      <c r="B594" s="259">
        <v>45111</v>
      </c>
      <c r="C59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594" s="259">
        <f t="shared" si="9"/>
        <v>45111</v>
      </c>
      <c r="H594" t="s">
        <v>326</v>
      </c>
      <c r="I594" s="764" t="str">
        <f>VLOOKUP($H594,инфо!$O:$P,2,FALSE)</f>
        <v>Соль</v>
      </c>
      <c r="J594" s="160" t="str">
        <f>VLOOKUP($I594,инфо!$D:$G,3,FALSE)</f>
        <v>кг</v>
      </c>
      <c r="K594" s="747" t="s">
        <v>1538</v>
      </c>
      <c r="L594" s="663">
        <v>36</v>
      </c>
      <c r="M594" s="963">
        <f>SUMIF($H$1:$H594,$H594,$L$1:$L594)-SUMIF($H$1:$H593,$H594,$N$1:$N593)</f>
        <v>52.247999999999998</v>
      </c>
      <c r="O594" s="962">
        <f t="shared" si="8"/>
        <v>52.247999999999998</v>
      </c>
    </row>
    <row r="595" spans="2:15" ht="18" customHeight="1" x14ac:dyDescent="0.25">
      <c r="B595" s="259">
        <v>45111</v>
      </c>
      <c r="C59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595" s="259">
        <f t="shared" si="9"/>
        <v>45111</v>
      </c>
      <c r="H595" t="s">
        <v>74</v>
      </c>
      <c r="I595" s="764" t="str">
        <f>VLOOKUP($H595,инфо!$O:$P,2,FALSE)</f>
        <v>Лавровый лист</v>
      </c>
      <c r="J595" s="160" t="str">
        <f>VLOOKUP($I595,инфо!$D:$G,3,FALSE)</f>
        <v>кг</v>
      </c>
      <c r="K595" s="747" t="s">
        <v>1538</v>
      </c>
      <c r="L595" s="663">
        <v>18</v>
      </c>
      <c r="M595" s="963">
        <f>SUMIF($H$1:$H595,$H595,$L$1:$L595)-SUMIF($H$1:$H594,$H595,$N$1:$N594)</f>
        <v>30</v>
      </c>
      <c r="O595" s="962">
        <f t="shared" si="8"/>
        <v>30</v>
      </c>
    </row>
    <row r="596" spans="2:15" ht="18" customHeight="1" x14ac:dyDescent="0.25">
      <c r="B596" s="259">
        <v>45111</v>
      </c>
      <c r="C59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596" s="259">
        <f t="shared" si="9"/>
        <v>45111</v>
      </c>
      <c r="H596" t="s">
        <v>484</v>
      </c>
      <c r="I596" s="764" t="str">
        <f>VLOOKUP($H596,инфо!$O:$P,2,FALSE)</f>
        <v>Перец черный</v>
      </c>
      <c r="J596" s="160" t="str">
        <f>VLOOKUP($I596,инфо!$D:$G,3,FALSE)</f>
        <v>кг</v>
      </c>
      <c r="K596" s="747" t="s">
        <v>1538</v>
      </c>
      <c r="L596" s="663">
        <v>10.8</v>
      </c>
      <c r="M596" s="963">
        <f>SUMIF($H$1:$H596,$H596,$L$1:$L596)-SUMIF($H$1:$H595,$H596,$N$1:$N595)</f>
        <v>16.574400000000001</v>
      </c>
      <c r="O596" s="962">
        <f t="shared" si="8"/>
        <v>16.574400000000001</v>
      </c>
    </row>
    <row r="597" spans="2:15" ht="18" customHeight="1" x14ac:dyDescent="0.25">
      <c r="B597" s="259">
        <v>45111</v>
      </c>
      <c r="C59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597" s="259">
        <f t="shared" si="9"/>
        <v>45111</v>
      </c>
      <c r="H597" t="s">
        <v>76</v>
      </c>
      <c r="I597" s="764" t="str">
        <f>VLOOKUP($H597,инфо!$O:$P,2,FALSE)</f>
        <v>Томат-паста</v>
      </c>
      <c r="J597" s="160" t="str">
        <f>VLOOKUP($I597,инфо!$D:$G,3,FALSE)</f>
        <v>кг</v>
      </c>
      <c r="K597" s="747" t="s">
        <v>1538</v>
      </c>
      <c r="L597" s="663">
        <v>54</v>
      </c>
      <c r="M597" s="963">
        <f>SUMIF($H$1:$H597,$H597,$L$1:$L597)-SUMIF($H$1:$H596,$H597,$N$1:$N596)</f>
        <v>184</v>
      </c>
      <c r="O597" s="962">
        <f t="shared" si="8"/>
        <v>184</v>
      </c>
    </row>
    <row r="598" spans="2:15" ht="18" customHeight="1" x14ac:dyDescent="0.25">
      <c r="B598" s="259">
        <v>45111</v>
      </c>
      <c r="C59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598" s="259">
        <v>45111</v>
      </c>
      <c r="H598" s="254" t="s">
        <v>76</v>
      </c>
      <c r="I598" s="764" t="str">
        <f>VLOOKUP($H598,инфо!$O:$P,2,FALSE)</f>
        <v>Томат-паста</v>
      </c>
      <c r="J598" s="160" t="str">
        <f>VLOOKUP($I598,инфо!$D:$G,3,FALSE)</f>
        <v>кг</v>
      </c>
      <c r="K598" s="747" t="s">
        <v>1538</v>
      </c>
      <c r="M598" s="963">
        <f>SUMIF($H$1:$H598,$H598,$L$1:$L598)-SUMIF($H$1:$H597,$H598,$N$1:$N597)</f>
        <v>184</v>
      </c>
      <c r="N598" s="964">
        <v>93.363330000000005</v>
      </c>
      <c r="O598" s="962">
        <f t="shared" si="8"/>
        <v>90.636669999999995</v>
      </c>
    </row>
    <row r="599" spans="2:15" ht="18" customHeight="1" x14ac:dyDescent="0.25">
      <c r="B599" s="259">
        <v>45111</v>
      </c>
      <c r="C59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599" s="259">
        <f>B599</f>
        <v>45111</v>
      </c>
      <c r="H599" t="s">
        <v>142</v>
      </c>
      <c r="I599" s="764" t="str">
        <f>VLOOKUP($H599,инфо!$O:$P,2,FALSE)</f>
        <v>Горчица</v>
      </c>
      <c r="J599" s="160" t="str">
        <f>VLOOKUP($I599,инфо!$D:$G,3,FALSE)</f>
        <v>кг</v>
      </c>
      <c r="K599" s="747" t="s">
        <v>1538</v>
      </c>
      <c r="L599" s="663">
        <v>18</v>
      </c>
      <c r="M599" s="963">
        <f>SUMIF($H$1:$H599,$H599,$L$1:$L599)-SUMIF($H$1:$H598,$H599,$N$1:$N598)</f>
        <v>96.878889999999998</v>
      </c>
      <c r="O599" s="962">
        <f t="shared" si="8"/>
        <v>96.878889999999998</v>
      </c>
    </row>
    <row r="600" spans="2:15" ht="18" customHeight="1" x14ac:dyDescent="0.25">
      <c r="B600" s="259">
        <v>45111</v>
      </c>
      <c r="C60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00" s="259">
        <f>B600</f>
        <v>45111</v>
      </c>
      <c r="H600" t="s">
        <v>69</v>
      </c>
      <c r="I600" s="764" t="str">
        <f>VLOOKUP($H600,инфо!$O:$P,2,FALSE)</f>
        <v>Горчичный порошок</v>
      </c>
      <c r="J600" s="160" t="str">
        <f>VLOOKUP($I600,инфо!$D:$G,3,FALSE)</f>
        <v>кг</v>
      </c>
      <c r="K600" s="747" t="s">
        <v>1538</v>
      </c>
      <c r="L600" s="663">
        <v>21.6</v>
      </c>
      <c r="M600" s="963">
        <f>SUMIF($H$1:$H600,$H600,$L$1:$L600)-SUMIF($H$1:$H599,$H600,$N$1:$N599)</f>
        <v>101.254668</v>
      </c>
      <c r="O600" s="962">
        <f t="shared" si="8"/>
        <v>101.254668</v>
      </c>
    </row>
    <row r="601" spans="2:15" ht="18" customHeight="1" x14ac:dyDescent="0.25">
      <c r="B601" s="259">
        <v>45111</v>
      </c>
      <c r="C60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01" s="259">
        <f>B601</f>
        <v>45111</v>
      </c>
      <c r="H601" t="s">
        <v>323</v>
      </c>
      <c r="I601" s="764" t="str">
        <f>VLOOKUP($H601,инфо!$O:$P,2,FALSE)</f>
        <v>Дрожжи</v>
      </c>
      <c r="J601" s="160" t="str">
        <f>VLOOKUP($I601,инфо!$D:$G,3,FALSE)</f>
        <v>кг</v>
      </c>
      <c r="K601" s="747" t="s">
        <v>1538</v>
      </c>
      <c r="L601" s="663">
        <v>14.4</v>
      </c>
      <c r="M601" s="963">
        <f>SUMIF($H$1:$H601,$H601,$L$1:$L601)-SUMIF($H$1:$H600,$H601,$N$1:$N600)</f>
        <v>120.89920000000001</v>
      </c>
      <c r="O601" s="962">
        <f t="shared" si="8"/>
        <v>120.89920000000001</v>
      </c>
    </row>
    <row r="602" spans="2:15" ht="18" customHeight="1" x14ac:dyDescent="0.25">
      <c r="B602" s="259">
        <v>45111</v>
      </c>
      <c r="C60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02" s="259">
        <v>45111</v>
      </c>
      <c r="H602" s="254" t="s">
        <v>323</v>
      </c>
      <c r="I602" s="764" t="str">
        <f>VLOOKUP($H602,инфо!$O:$P,2,FALSE)</f>
        <v>Дрожжи</v>
      </c>
      <c r="J602" s="160" t="str">
        <f>VLOOKUP($I602,инфо!$D:$G,3,FALSE)</f>
        <v>кг</v>
      </c>
      <c r="K602" s="747" t="s">
        <v>1538</v>
      </c>
      <c r="M602" s="963">
        <f>SUMIF($H$1:$H602,$H602,$L$1:$L602)-SUMIF($H$1:$H601,$H602,$N$1:$N601)</f>
        <v>120.89920000000001</v>
      </c>
      <c r="N602" s="964">
        <v>24.896888000000001</v>
      </c>
      <c r="O602" s="962">
        <f t="shared" si="8"/>
        <v>96.002312000000003</v>
      </c>
    </row>
    <row r="603" spans="2:15" ht="18" customHeight="1" x14ac:dyDescent="0.25">
      <c r="B603" s="259">
        <v>45111</v>
      </c>
      <c r="C60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03" s="259">
        <f>B603</f>
        <v>45111</v>
      </c>
      <c r="H603" t="s">
        <v>77</v>
      </c>
      <c r="I603" s="764" t="str">
        <f>VLOOKUP($H603,инфо!$O:$P,2,FALSE)</f>
        <v>Уксус</v>
      </c>
      <c r="J603" s="160" t="str">
        <f>VLOOKUP($I603,инфо!$D:$G,3,FALSE)</f>
        <v>кг</v>
      </c>
      <c r="K603" s="747" t="s">
        <v>1538</v>
      </c>
      <c r="L603" s="663">
        <v>36</v>
      </c>
      <c r="M603" s="963">
        <f>SUMIF($H$1:$H603,$H603,$L$1:$L603)-SUMIF($H$1:$H602,$H603,$N$1:$N602)</f>
        <v>156</v>
      </c>
      <c r="O603" s="962">
        <f t="shared" si="8"/>
        <v>156</v>
      </c>
    </row>
    <row r="604" spans="2:15" ht="18" customHeight="1" x14ac:dyDescent="0.25">
      <c r="B604" s="259">
        <v>45111</v>
      </c>
      <c r="C60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04" s="259">
        <v>45111</v>
      </c>
      <c r="H604" s="254" t="s">
        <v>77</v>
      </c>
      <c r="I604" s="764" t="str">
        <f>VLOOKUP($H604,инфо!$O:$P,2,FALSE)</f>
        <v>Уксус</v>
      </c>
      <c r="J604" s="160" t="str">
        <f>VLOOKUP($I604,инфо!$D:$G,3,FALSE)</f>
        <v>кг</v>
      </c>
      <c r="K604" s="747" t="s">
        <v>1538</v>
      </c>
      <c r="M604" s="963">
        <f>SUMIF($H$1:$H604,$H604,$L$1:$L604)-SUMIF($H$1:$H603,$H604,$N$1:$N603)</f>
        <v>156</v>
      </c>
      <c r="N604" s="964">
        <v>62.242220000000003</v>
      </c>
      <c r="O604" s="962">
        <f t="shared" si="8"/>
        <v>93.757779999999997</v>
      </c>
    </row>
    <row r="605" spans="2:15" ht="18" customHeight="1" x14ac:dyDescent="0.25">
      <c r="B605" s="259">
        <v>45111</v>
      </c>
      <c r="C60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05" s="259">
        <f>B605</f>
        <v>45111</v>
      </c>
      <c r="H605" t="s">
        <v>330</v>
      </c>
      <c r="I605" s="764" t="str">
        <f>VLOOKUP($H605,инфо!$O:$P,2,FALSE)</f>
        <v>Вода</v>
      </c>
      <c r="J605" s="160" t="str">
        <f>VLOOKUP($I605,инфо!$D:$G,3,FALSE)</f>
        <v>литр</v>
      </c>
      <c r="K605" s="747" t="s">
        <v>1538</v>
      </c>
      <c r="L605" s="663">
        <v>900</v>
      </c>
      <c r="M605" s="963">
        <f>SUMIF($H$1:$H605,$H605,$L$1:$L605)-SUMIF($H$1:$H604,$H605,$N$1:$N604)</f>
        <v>100900</v>
      </c>
      <c r="O605" s="962">
        <f t="shared" si="8"/>
        <v>100900</v>
      </c>
    </row>
    <row r="606" spans="2:15" ht="18" customHeight="1" x14ac:dyDescent="0.25">
      <c r="B606" s="259">
        <v>45111</v>
      </c>
      <c r="C60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06" s="259">
        <v>45111</v>
      </c>
      <c r="H606" s="254" t="s">
        <v>330</v>
      </c>
      <c r="I606" s="764" t="str">
        <f>VLOOKUP($H606,инфо!$O:$P,2,FALSE)</f>
        <v>Вода</v>
      </c>
      <c r="J606" s="160" t="str">
        <f>VLOOKUP($I606,инфо!$D:$G,3,FALSE)</f>
        <v>литр</v>
      </c>
      <c r="K606" s="747" t="s">
        <v>1538</v>
      </c>
      <c r="M606" s="963">
        <f>SUMIF($H$1:$H606,$H606,$L$1:$L606)-SUMIF($H$1:$H605,$H606,$N$1:$N605)</f>
        <v>100900</v>
      </c>
      <c r="N606" s="964">
        <v>1556.0554999999999</v>
      </c>
      <c r="O606" s="962">
        <f t="shared" si="8"/>
        <v>99343.944499999998</v>
      </c>
    </row>
    <row r="607" spans="2:15" ht="18" customHeight="1" x14ac:dyDescent="0.25">
      <c r="B607" s="259">
        <v>45111</v>
      </c>
      <c r="C60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07" s="259">
        <f>B607</f>
        <v>45111</v>
      </c>
      <c r="H607" t="s">
        <v>479</v>
      </c>
      <c r="I607" s="764" t="str">
        <f>VLOOKUP($H607,инфо!$O:$P,2,FALSE)</f>
        <v>Вода или бульон</v>
      </c>
      <c r="J607" s="160" t="str">
        <f>VLOOKUP($I607,инфо!$D:$G,3,FALSE)</f>
        <v>литр</v>
      </c>
      <c r="K607" s="747" t="s">
        <v>1538</v>
      </c>
      <c r="L607" s="663">
        <v>360</v>
      </c>
      <c r="M607" s="963">
        <f>SUMIF($H$1:$H607,$H607,$L$1:$L607)-SUMIF($H$1:$H606,$H607,$N$1:$N606)</f>
        <v>1360</v>
      </c>
      <c r="O607" s="962">
        <f t="shared" si="8"/>
        <v>1360</v>
      </c>
    </row>
    <row r="608" spans="2:15" ht="18" customHeight="1" x14ac:dyDescent="0.25">
      <c r="B608" s="259">
        <v>45111</v>
      </c>
      <c r="C60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08" s="259">
        <v>45111</v>
      </c>
      <c r="H608" s="254" t="s">
        <v>479</v>
      </c>
      <c r="I608" s="764" t="str">
        <f>VLOOKUP($H608,инфо!$O:$P,2,FALSE)</f>
        <v>Вода или бульон</v>
      </c>
      <c r="J608" s="160" t="str">
        <f>VLOOKUP($I608,инфо!$D:$G,3,FALSE)</f>
        <v>литр</v>
      </c>
      <c r="K608" s="747" t="s">
        <v>1538</v>
      </c>
      <c r="M608" s="963">
        <f>SUMIF($H$1:$H608,$H608,$L$1:$L608)-SUMIF($H$1:$H607,$H608,$N$1:$N607)</f>
        <v>1360</v>
      </c>
      <c r="N608" s="964">
        <v>622.42219999999998</v>
      </c>
      <c r="O608" s="962">
        <f t="shared" si="8"/>
        <v>737.57780000000002</v>
      </c>
    </row>
    <row r="609" spans="2:15" ht="18" customHeight="1" x14ac:dyDescent="0.25">
      <c r="B609" s="259">
        <v>45111</v>
      </c>
      <c r="C60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09" s="259">
        <f>B609</f>
        <v>45111</v>
      </c>
      <c r="H609" t="s">
        <v>75</v>
      </c>
      <c r="I609" s="764" t="str">
        <f>VLOOKUP($H609,инфо!$O:$P,2,FALSE)</f>
        <v>Сок п/я</v>
      </c>
      <c r="J609" s="160" t="str">
        <f>VLOOKUP($I609,инфо!$D:$G,3,FALSE)</f>
        <v>литр</v>
      </c>
      <c r="K609" s="747" t="s">
        <v>1538</v>
      </c>
      <c r="L609" s="663">
        <v>360</v>
      </c>
      <c r="M609" s="963">
        <f>SUMIF($H$1:$H609,$H609,$L$1:$L609)-SUMIF($H$1:$H608,$H609,$N$1:$N608)</f>
        <v>560</v>
      </c>
      <c r="O609" s="962">
        <f t="shared" si="8"/>
        <v>560</v>
      </c>
    </row>
    <row r="610" spans="2:15" ht="18" customHeight="1" x14ac:dyDescent="0.25">
      <c r="B610" s="259">
        <v>45111</v>
      </c>
      <c r="C61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10" s="259">
        <f>B610</f>
        <v>45111</v>
      </c>
      <c r="H610" t="s">
        <v>57</v>
      </c>
      <c r="I610" s="764" t="str">
        <f>VLOOKUP($H610,инфо!$O:$P,2,FALSE)</f>
        <v>Чай</v>
      </c>
      <c r="J610" s="160" t="str">
        <f>VLOOKUP($I610,инфо!$D:$G,3,FALSE)</f>
        <v>кг</v>
      </c>
      <c r="K610" s="747" t="s">
        <v>1538</v>
      </c>
      <c r="L610" s="663">
        <v>14.4</v>
      </c>
      <c r="M610" s="963">
        <f>SUMIF($H$1:$H610,$H610,$L$1:$L610)-SUMIF($H$1:$H609,$H610,$N$1:$N609)</f>
        <v>122.4</v>
      </c>
      <c r="O610" s="962">
        <f t="shared" si="8"/>
        <v>122.4</v>
      </c>
    </row>
    <row r="611" spans="2:15" ht="18" customHeight="1" x14ac:dyDescent="0.25">
      <c r="B611" s="259">
        <v>45111</v>
      </c>
      <c r="C61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11" s="259">
        <f>B611</f>
        <v>45111</v>
      </c>
      <c r="H611" t="s">
        <v>84</v>
      </c>
      <c r="I611" s="764" t="str">
        <f>VLOOKUP($H611,инфо!$O:$P,2,FALSE)</f>
        <v>Кофе БС</v>
      </c>
      <c r="J611" s="160" t="str">
        <f>VLOOKUP($I611,инфо!$D:$G,3,FALSE)</f>
        <v>кг</v>
      </c>
      <c r="K611" s="747" t="s">
        <v>1538</v>
      </c>
      <c r="L611" s="663">
        <v>14.4</v>
      </c>
      <c r="M611" s="963">
        <f>SUMIF($H$1:$H611,$H611,$L$1:$L611)-SUMIF($H$1:$H610,$H611,$N$1:$N610)</f>
        <v>44.4</v>
      </c>
      <c r="O611" s="962">
        <f t="shared" si="8"/>
        <v>44.4</v>
      </c>
    </row>
    <row r="612" spans="2:15" ht="18" customHeight="1" x14ac:dyDescent="0.25">
      <c r="B612" s="259">
        <v>45111</v>
      </c>
      <c r="C61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12" s="259">
        <f>B612</f>
        <v>45111</v>
      </c>
      <c r="H612" t="s">
        <v>72</v>
      </c>
      <c r="I612" s="764" t="str">
        <f>VLOOKUP($H612,инфо!$O:$P,2,FALSE)</f>
        <v>Кофе растворимый</v>
      </c>
      <c r="J612" s="160" t="str">
        <f>VLOOKUP($I612,инфо!$D:$G,3,FALSE)</f>
        <v>кг</v>
      </c>
      <c r="K612" s="747" t="s">
        <v>1538</v>
      </c>
      <c r="L612" s="663">
        <v>14.4</v>
      </c>
      <c r="M612" s="963">
        <f>SUMIF($H$1:$H612,$H612,$L$1:$L612)-SUMIF($H$1:$H611,$H612,$N$1:$N611)</f>
        <v>30.4</v>
      </c>
      <c r="O612" s="962">
        <f t="shared" si="8"/>
        <v>30.4</v>
      </c>
    </row>
    <row r="613" spans="2:15" ht="18" customHeight="1" x14ac:dyDescent="0.25">
      <c r="B613" s="259">
        <v>45111</v>
      </c>
      <c r="C61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13" s="259">
        <f>B613</f>
        <v>45111</v>
      </c>
      <c r="H613" t="s">
        <v>423</v>
      </c>
      <c r="I613" s="764" t="str">
        <f>VLOOKUP($H613,инфо!$O:$P,2,FALSE)</f>
        <v>Какао</v>
      </c>
      <c r="J613" s="160" t="str">
        <f>VLOOKUP($I613,инфо!$D:$G,3,FALSE)</f>
        <v>кг</v>
      </c>
      <c r="K613" s="747" t="s">
        <v>1538</v>
      </c>
      <c r="L613" s="663">
        <v>18</v>
      </c>
      <c r="M613" s="963">
        <f>SUMIF($H$1:$H613,$H613,$L$1:$L613)-SUMIF($H$1:$H612,$H613,$N$1:$N612)</f>
        <v>128</v>
      </c>
      <c r="O613" s="962">
        <f t="shared" si="8"/>
        <v>128</v>
      </c>
    </row>
    <row r="614" spans="2:15" ht="18" customHeight="1" x14ac:dyDescent="0.25">
      <c r="B614" s="259">
        <v>45112</v>
      </c>
      <c r="C61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14" s="259">
        <v>45112</v>
      </c>
      <c r="H614" t="s">
        <v>27</v>
      </c>
      <c r="I614" s="764" t="str">
        <f>VLOOKUP($H614,инфо!$O:$P,2,FALSE)</f>
        <v>Рис</v>
      </c>
      <c r="J614" s="160" t="str">
        <f>VLOOKUP($I614,инфо!$D:$G,3,FALSE)</f>
        <v>кг</v>
      </c>
      <c r="K614" s="747" t="s">
        <v>1538</v>
      </c>
      <c r="M614" s="963">
        <f>SUMIF($H$1:$H614,$H614,$L$1:$L614)-SUMIF($H$1:$H613,$H614,$N$1:$N613)</f>
        <v>147</v>
      </c>
      <c r="N614" s="964">
        <v>7.5039999999999996</v>
      </c>
      <c r="O614" s="962">
        <f t="shared" si="8"/>
        <v>139.49600000000001</v>
      </c>
    </row>
    <row r="615" spans="2:15" ht="18" customHeight="1" x14ac:dyDescent="0.25">
      <c r="B615" s="259">
        <v>45112</v>
      </c>
      <c r="C615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15" s="259">
        <v>45112</v>
      </c>
      <c r="H615" t="s">
        <v>40</v>
      </c>
      <c r="I615" s="764" t="str">
        <f>VLOOKUP($H615,инфо!$O:$P,2,FALSE)</f>
        <v>Ячневая</v>
      </c>
      <c r="J615" s="160" t="str">
        <f>VLOOKUP($I615,инфо!$D:$G,3,FALSE)</f>
        <v>кг</v>
      </c>
      <c r="K615" s="747" t="s">
        <v>1538</v>
      </c>
      <c r="M615" s="963">
        <f>SUMIF($H$1:$H615,$H615,$L$1:$L615)-SUMIF($H$1:$H614,$H615,$N$1:$N614)</f>
        <v>160</v>
      </c>
      <c r="N615" s="964">
        <v>11.256</v>
      </c>
      <c r="O615" s="962">
        <f t="shared" si="8"/>
        <v>148.744</v>
      </c>
    </row>
    <row r="616" spans="2:15" ht="18" customHeight="1" x14ac:dyDescent="0.25">
      <c r="B616" s="259">
        <v>45112</v>
      </c>
      <c r="C61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16" s="259">
        <v>45112</v>
      </c>
      <c r="H616" t="s">
        <v>41</v>
      </c>
      <c r="I616" s="764" t="str">
        <f>VLOOKUP($H616,инфо!$O:$P,2,FALSE)</f>
        <v>Макаронные изделия</v>
      </c>
      <c r="J616" s="160" t="str">
        <f>VLOOKUP($I616,инфо!$D:$G,3,FALSE)</f>
        <v>кг</v>
      </c>
      <c r="K616" s="747" t="s">
        <v>1538</v>
      </c>
      <c r="M616" s="963">
        <f>SUMIF($H$1:$H616,$H616,$L$1:$L616)-SUMIF($H$1:$H615,$H616,$N$1:$N615)</f>
        <v>582.15223000000003</v>
      </c>
      <c r="N616" s="964">
        <v>13.132</v>
      </c>
      <c r="O616" s="962">
        <f t="shared" si="8"/>
        <v>569.02023000000008</v>
      </c>
    </row>
    <row r="617" spans="2:15" ht="18" customHeight="1" x14ac:dyDescent="0.25">
      <c r="B617" s="259">
        <v>45112</v>
      </c>
      <c r="C61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17" s="259">
        <v>45112</v>
      </c>
      <c r="H617" t="s">
        <v>206</v>
      </c>
      <c r="I617" s="764" t="str">
        <f>VLOOKUP($H617,инфо!$O:$P,2,FALSE)</f>
        <v>Мука в/с</v>
      </c>
      <c r="J617" s="160" t="str">
        <f>VLOOKUP($I617,инфо!$D:$G,3,FALSE)</f>
        <v>кг</v>
      </c>
      <c r="K617" s="747" t="s">
        <v>1538</v>
      </c>
      <c r="M617" s="963">
        <f>SUMIF($H$1:$H617,$H617,$L$1:$L617)-SUMIF($H$1:$H616,$H617,$N$1:$N616)</f>
        <v>314.43944499999998</v>
      </c>
      <c r="N617" s="964">
        <v>0.93799999999999994</v>
      </c>
      <c r="O617" s="962">
        <f t="shared" si="8"/>
        <v>313.50144499999999</v>
      </c>
    </row>
    <row r="618" spans="2:15" ht="18" customHeight="1" x14ac:dyDescent="0.25">
      <c r="B618" s="259">
        <v>45112</v>
      </c>
      <c r="C61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18" s="259">
        <v>45112</v>
      </c>
      <c r="H618" t="s">
        <v>410</v>
      </c>
      <c r="I618" s="764" t="str">
        <f>VLOOKUP($H618,инфо!$O:$P,2,FALSE)</f>
        <v>Мука пшеничная 1 с</v>
      </c>
      <c r="J618" s="160" t="str">
        <f>VLOOKUP($I618,инфо!$D:$G,3,FALSE)</f>
        <v>кг</v>
      </c>
      <c r="K618" s="747" t="s">
        <v>1538</v>
      </c>
      <c r="M618" s="963">
        <f>SUMIF($H$1:$H618,$H618,$L$1:$L618)-SUMIF($H$1:$H617,$H618,$N$1:$N617)</f>
        <v>306.63666999999998</v>
      </c>
      <c r="N618" s="964">
        <v>5.6280000000000001</v>
      </c>
      <c r="O618" s="962">
        <f t="shared" si="8"/>
        <v>301.00867</v>
      </c>
    </row>
    <row r="619" spans="2:15" ht="18" customHeight="1" x14ac:dyDescent="0.25">
      <c r="B619" s="259">
        <v>45112</v>
      </c>
      <c r="C619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19" s="259">
        <v>45112</v>
      </c>
      <c r="H619" t="s">
        <v>436</v>
      </c>
      <c r="I619" s="764" t="str">
        <f>VLOOKUP($H619,инфо!$O:$P,2,FALSE)</f>
        <v>Сухари</v>
      </c>
      <c r="J619" s="160" t="str">
        <f>VLOOKUP($I619,инфо!$D:$G,3,FALSE)</f>
        <v>кг</v>
      </c>
      <c r="K619" s="747" t="s">
        <v>1538</v>
      </c>
      <c r="M619" s="963">
        <f>SUMIF($H$1:$H619,$H619,$L$1:$L619)-SUMIF($H$1:$H618,$H619,$N$1:$N618)</f>
        <v>110</v>
      </c>
      <c r="N619" s="964">
        <v>1.8759999999999999</v>
      </c>
      <c r="O619" s="962">
        <f t="shared" si="8"/>
        <v>108.124</v>
      </c>
    </row>
    <row r="620" spans="2:15" ht="18" customHeight="1" x14ac:dyDescent="0.25">
      <c r="B620" s="259">
        <v>45112</v>
      </c>
      <c r="C62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20" s="259">
        <v>45112</v>
      </c>
      <c r="H620" t="s">
        <v>325</v>
      </c>
      <c r="I620" s="764" t="str">
        <f>VLOOKUP($H620,инфо!$O:$P,2,FALSE)</f>
        <v>Редис</v>
      </c>
      <c r="J620" s="160" t="str">
        <f>VLOOKUP($I620,инфо!$D:$G,3,FALSE)</f>
        <v>кг</v>
      </c>
      <c r="K620" s="747" t="s">
        <v>1538</v>
      </c>
      <c r="M620" s="963">
        <f>SUMIF($H$1:$H620,$H620,$L$1:$L620)-SUMIF($H$1:$H619,$H620,$N$1:$N619)</f>
        <v>10</v>
      </c>
      <c r="N620" s="964">
        <v>1.8759999999999999</v>
      </c>
      <c r="O620" s="962">
        <f t="shared" si="8"/>
        <v>8.1240000000000006</v>
      </c>
    </row>
    <row r="621" spans="2:15" ht="18" customHeight="1" x14ac:dyDescent="0.25">
      <c r="B621" s="259">
        <v>45112</v>
      </c>
      <c r="C621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21" s="259">
        <v>45112</v>
      </c>
      <c r="H621" t="s">
        <v>328</v>
      </c>
      <c r="I621" s="764" t="str">
        <f>VLOOKUP($H621,инфо!$O:$P,2,FALSE)</f>
        <v>Перец сладкий</v>
      </c>
      <c r="J621" s="160" t="str">
        <f>VLOOKUP($I621,инфо!$D:$G,3,FALSE)</f>
        <v>кг</v>
      </c>
      <c r="K621" s="747" t="s">
        <v>1538</v>
      </c>
      <c r="M621" s="963">
        <f>SUMIF($H$1:$H621,$H621,$L$1:$L621)-SUMIF($H$1:$H620,$H621,$N$1:$N620)</f>
        <v>24</v>
      </c>
      <c r="N621" s="964">
        <v>0.75039999999999996</v>
      </c>
      <c r="O621" s="962">
        <f t="shared" si="8"/>
        <v>23.249600000000001</v>
      </c>
    </row>
    <row r="622" spans="2:15" ht="18" customHeight="1" x14ac:dyDescent="0.25">
      <c r="B622" s="259">
        <v>45112</v>
      </c>
      <c r="C62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22" s="259">
        <v>45112</v>
      </c>
      <c r="H622" t="s">
        <v>329</v>
      </c>
      <c r="I622" s="764" t="str">
        <f>VLOOKUP($H622,инфо!$O:$P,2,FALSE)</f>
        <v>Баклажан</v>
      </c>
      <c r="J622" s="160" t="str">
        <f>VLOOKUP($I622,инфо!$D:$G,3,FALSE)</f>
        <v>кг</v>
      </c>
      <c r="K622" s="747" t="s">
        <v>1538</v>
      </c>
      <c r="M622" s="963">
        <f>SUMIF($H$1:$H622,$H622,$L$1:$L622)-SUMIF($H$1:$H621,$H622,$N$1:$N621)</f>
        <v>107</v>
      </c>
      <c r="N622" s="964">
        <v>1.3131999999999999</v>
      </c>
      <c r="O622" s="962">
        <f t="shared" si="8"/>
        <v>105.68680000000001</v>
      </c>
    </row>
    <row r="623" spans="2:15" ht="18" customHeight="1" x14ac:dyDescent="0.25">
      <c r="B623" s="259">
        <v>45113</v>
      </c>
      <c r="C623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23" s="259">
        <v>45113</v>
      </c>
      <c r="H623" t="s">
        <v>318</v>
      </c>
      <c r="I623" s="764" t="str">
        <f>VLOOKUP($H623,инфо!$O:$P,2,FALSE)</f>
        <v>Фасоль</v>
      </c>
      <c r="J623" s="160" t="str">
        <f>VLOOKUP($I623,инфо!$D:$G,3,FALSE)</f>
        <v>кг</v>
      </c>
      <c r="K623" s="747" t="s">
        <v>1538</v>
      </c>
      <c r="M623" s="963">
        <f>SUMIF($H$1:$H623,$H623,$L$1:$L623)-SUMIF($H$1:$H622,$H623,$N$1:$N622)</f>
        <v>155</v>
      </c>
      <c r="N623" s="964">
        <v>10.318</v>
      </c>
      <c r="O623" s="962">
        <f t="shared" si="8"/>
        <v>144.68199999999999</v>
      </c>
    </row>
    <row r="624" spans="2:15" ht="18" customHeight="1" x14ac:dyDescent="0.25">
      <c r="B624" s="259">
        <v>45113</v>
      </c>
      <c r="C62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24" s="259">
        <v>45113</v>
      </c>
      <c r="H624" s="254" t="s">
        <v>475</v>
      </c>
      <c r="I624" s="764" t="str">
        <f>VLOOKUP($H624,инфо!$O:$P,2,FALSE)</f>
        <v>Сардельки</v>
      </c>
      <c r="J624" s="160" t="str">
        <f>VLOOKUP($I624,инфо!$D:$G,3,FALSE)</f>
        <v>кг</v>
      </c>
      <c r="K624" s="747" t="s">
        <v>1538</v>
      </c>
      <c r="M624" s="963">
        <f>SUMIF($H$1:$H624,$H624,$L$1:$L624)-SUMIF($H$1:$H623,$H624,$N$1:$N623)</f>
        <v>212.49600000000001</v>
      </c>
      <c r="N624" s="964">
        <v>124.48444000000001</v>
      </c>
      <c r="O624" s="962">
        <f t="shared" si="8"/>
        <v>88.011560000000003</v>
      </c>
    </row>
    <row r="625" spans="2:15" ht="18" customHeight="1" x14ac:dyDescent="0.25">
      <c r="B625" s="259">
        <v>45117</v>
      </c>
      <c r="C62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25" s="6" t="s">
        <v>24</v>
      </c>
      <c r="E625" s="259">
        <v>45117</v>
      </c>
      <c r="G625" s="6"/>
      <c r="H625" s="254" t="s">
        <v>38</v>
      </c>
      <c r="I625" s="764" t="str">
        <f>VLOOKUP($H625,инфо!$O:$P,2,FALSE)</f>
        <v>Гречневая</v>
      </c>
      <c r="J625" s="160" t="str">
        <f>VLOOKUP($I625,инфо!$D:$G,3,FALSE)</f>
        <v>кг</v>
      </c>
      <c r="K625" s="747" t="s">
        <v>1538</v>
      </c>
      <c r="L625" s="663">
        <v>60</v>
      </c>
      <c r="M625" s="963">
        <f>SUMIF($H$1:$H625,$H625,$L$1:$L625)-SUMIF($H$1:$H624,$H625,$N$1:$N624)</f>
        <v>200</v>
      </c>
      <c r="O625" s="962">
        <f t="shared" si="8"/>
        <v>200</v>
      </c>
    </row>
    <row r="626" spans="2:15" ht="18" customHeight="1" x14ac:dyDescent="0.25">
      <c r="B626" s="259">
        <v>45117</v>
      </c>
      <c r="C62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26" s="6" t="s">
        <v>24</v>
      </c>
      <c r="E626" s="259">
        <v>45117</v>
      </c>
      <c r="G626" s="6"/>
      <c r="H626" s="254" t="s">
        <v>39</v>
      </c>
      <c r="I626" s="764" t="str">
        <f>VLOOKUP($H626,инфо!$O:$P,2,FALSE)</f>
        <v>Манная</v>
      </c>
      <c r="J626" s="160" t="str">
        <f>VLOOKUP($I626,инфо!$D:$G,3,FALSE)</f>
        <v>кг</v>
      </c>
      <c r="K626" s="747" t="s">
        <v>1538</v>
      </c>
      <c r="L626" s="663">
        <v>40</v>
      </c>
      <c r="M626" s="963">
        <f>SUMIF($H$1:$H626,$H626,$L$1:$L626)-SUMIF($H$1:$H625,$H626,$N$1:$N625)</f>
        <v>95</v>
      </c>
      <c r="O626" s="962">
        <f t="shared" si="8"/>
        <v>95</v>
      </c>
    </row>
    <row r="627" spans="2:15" ht="18" customHeight="1" x14ac:dyDescent="0.25">
      <c r="B627" s="259">
        <v>45117</v>
      </c>
      <c r="C62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27" s="6" t="s">
        <v>24</v>
      </c>
      <c r="E627" s="259">
        <v>45117</v>
      </c>
      <c r="G627" s="6"/>
      <c r="H627" s="254" t="s">
        <v>26</v>
      </c>
      <c r="I627" s="764" t="str">
        <f>VLOOKUP($H627,инфо!$O:$P,2,FALSE)</f>
        <v>Овсяная</v>
      </c>
      <c r="J627" s="160" t="str">
        <f>VLOOKUP($I627,инфо!$D:$G,3,FALSE)</f>
        <v>кг</v>
      </c>
      <c r="K627" s="747" t="s">
        <v>1538</v>
      </c>
      <c r="L627" s="663">
        <v>67</v>
      </c>
      <c r="M627" s="963">
        <f>SUMIF($H$1:$H627,$H627,$L$1:$L627)-SUMIF($H$1:$H626,$H627,$N$1:$N626)</f>
        <v>82.01733999999999</v>
      </c>
      <c r="O627" s="962">
        <f t="shared" si="8"/>
        <v>82.01733999999999</v>
      </c>
    </row>
    <row r="628" spans="2:15" ht="18" customHeight="1" x14ac:dyDescent="0.25">
      <c r="B628" s="259">
        <v>45117</v>
      </c>
      <c r="C62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28" s="6" t="s">
        <v>24</v>
      </c>
      <c r="E628" s="259">
        <v>45117</v>
      </c>
      <c r="G628" s="6"/>
      <c r="H628" s="254" t="s">
        <v>27</v>
      </c>
      <c r="I628" s="764" t="str">
        <f>VLOOKUP($H628,инфо!$O:$P,2,FALSE)</f>
        <v>Рис</v>
      </c>
      <c r="J628" s="160" t="str">
        <f>VLOOKUP($I628,инфо!$D:$G,3,FALSE)</f>
        <v>кг</v>
      </c>
      <c r="K628" s="747" t="s">
        <v>1538</v>
      </c>
      <c r="L628" s="663">
        <v>77</v>
      </c>
      <c r="M628" s="963">
        <f>SUMIF($H$1:$H628,$H628,$L$1:$L628)-SUMIF($H$1:$H627,$H628,$N$1:$N627)</f>
        <v>216.49600000000001</v>
      </c>
      <c r="O628" s="962">
        <f t="shared" si="8"/>
        <v>216.49600000000001</v>
      </c>
    </row>
    <row r="629" spans="2:15" ht="18" customHeight="1" x14ac:dyDescent="0.25">
      <c r="B629" s="259">
        <v>45117</v>
      </c>
      <c r="C62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29" s="6" t="s">
        <v>24</v>
      </c>
      <c r="E629" s="259">
        <v>45117</v>
      </c>
      <c r="G629" s="6"/>
      <c r="H629" s="254" t="s">
        <v>40</v>
      </c>
      <c r="I629" s="764" t="str">
        <f>VLOOKUP($H629,инфо!$O:$P,2,FALSE)</f>
        <v>Ячневая</v>
      </c>
      <c r="J629" s="160" t="str">
        <f>VLOOKUP($I629,инфо!$D:$G,3,FALSE)</f>
        <v>кг</v>
      </c>
      <c r="K629" s="747" t="s">
        <v>1538</v>
      </c>
      <c r="L629" s="663">
        <v>56</v>
      </c>
      <c r="M629" s="963">
        <f>SUMIF($H$1:$H629,$H629,$L$1:$L629)-SUMIF($H$1:$H628,$H629,$N$1:$N628)</f>
        <v>204.744</v>
      </c>
      <c r="O629" s="962">
        <f t="shared" si="8"/>
        <v>204.744</v>
      </c>
    </row>
    <row r="630" spans="2:15" ht="18" customHeight="1" x14ac:dyDescent="0.25">
      <c r="B630" s="259">
        <v>45117</v>
      </c>
      <c r="C63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30" s="6" t="s">
        <v>24</v>
      </c>
      <c r="E630" s="259">
        <v>45117</v>
      </c>
      <c r="G630" s="6"/>
      <c r="H630" s="254" t="s">
        <v>46</v>
      </c>
      <c r="I630" s="764" t="str">
        <f>VLOOKUP($H630,инфо!$O:$P,2,FALSE)</f>
        <v>Морковь</v>
      </c>
      <c r="J630" s="160" t="str">
        <f>VLOOKUP($I630,инфо!$D:$G,3,FALSE)</f>
        <v>кг</v>
      </c>
      <c r="K630" s="747" t="s">
        <v>1538</v>
      </c>
      <c r="L630" s="663">
        <v>259</v>
      </c>
      <c r="M630" s="963">
        <f>SUMIF($H$1:$H630,$H630,$L$1:$L630)-SUMIF($H$1:$H629,$H630,$N$1:$N629)</f>
        <v>319</v>
      </c>
      <c r="O630" s="962">
        <f t="shared" si="8"/>
        <v>319</v>
      </c>
    </row>
    <row r="631" spans="2:15" ht="18" customHeight="1" x14ac:dyDescent="0.25">
      <c r="B631" s="259">
        <v>45117</v>
      </c>
      <c r="C63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31" s="6" t="s">
        <v>24</v>
      </c>
      <c r="E631" s="259">
        <v>45117</v>
      </c>
      <c r="G631" s="6"/>
      <c r="H631" s="254" t="s">
        <v>32</v>
      </c>
      <c r="I631" s="764" t="str">
        <f>VLOOKUP($H631,инфо!$O:$P,2,FALSE)</f>
        <v>Лук репчатый</v>
      </c>
      <c r="J631" s="160" t="str">
        <f>VLOOKUP($I631,инфо!$D:$G,3,FALSE)</f>
        <v>кг</v>
      </c>
      <c r="K631" s="747" t="s">
        <v>1538</v>
      </c>
      <c r="L631" s="663">
        <v>50</v>
      </c>
      <c r="M631" s="963">
        <f>SUMIF($H$1:$H631,$H631,$L$1:$L631)-SUMIF($H$1:$H630,$H631,$N$1:$N630)</f>
        <v>100</v>
      </c>
      <c r="O631" s="962">
        <f t="shared" si="8"/>
        <v>100</v>
      </c>
    </row>
    <row r="632" spans="2:15" ht="18" customHeight="1" x14ac:dyDescent="0.25">
      <c r="B632" s="259">
        <v>45117</v>
      </c>
      <c r="C63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32" s="6" t="s">
        <v>24</v>
      </c>
      <c r="E632" s="259">
        <v>45117</v>
      </c>
      <c r="G632" s="6"/>
      <c r="H632" s="254" t="s">
        <v>48</v>
      </c>
      <c r="I632" s="764" t="str">
        <f>VLOOKUP($H632,инфо!$O:$P,2,FALSE)</f>
        <v>Свекла</v>
      </c>
      <c r="J632" s="160" t="str">
        <f>VLOOKUP($I632,инфо!$D:$G,3,FALSE)</f>
        <v>кг</v>
      </c>
      <c r="K632" s="747" t="s">
        <v>1538</v>
      </c>
      <c r="L632" s="663">
        <v>77</v>
      </c>
      <c r="M632" s="963">
        <f>SUMIF($H$1:$H632,$H632,$L$1:$L632)-SUMIF($H$1:$H631,$H632,$N$1:$N631)</f>
        <v>189.49600000000001</v>
      </c>
      <c r="O632" s="962">
        <f t="shared" si="8"/>
        <v>189.49600000000001</v>
      </c>
    </row>
    <row r="633" spans="2:15" ht="18" customHeight="1" x14ac:dyDescent="0.25">
      <c r="B633" s="259">
        <v>45117</v>
      </c>
      <c r="C63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33" s="6" t="s">
        <v>24</v>
      </c>
      <c r="E633" s="259">
        <v>45117</v>
      </c>
      <c r="G633" s="6"/>
      <c r="H633" s="254" t="s">
        <v>44</v>
      </c>
      <c r="I633" s="764" t="str">
        <f>VLOOKUP($H633,инфо!$O:$P,2,FALSE)</f>
        <v>Капуста консерв.</v>
      </c>
      <c r="J633" s="160" t="str">
        <f>VLOOKUP($I633,инфо!$D:$G,3,FALSE)</f>
        <v>кг</v>
      </c>
      <c r="K633" s="747" t="s">
        <v>1538</v>
      </c>
      <c r="L633" s="663">
        <v>50</v>
      </c>
      <c r="M633" s="963">
        <f>SUMIF($H$1:$H633,$H633,$L$1:$L633)-SUMIF($H$1:$H632,$H633,$N$1:$N632)</f>
        <v>50</v>
      </c>
      <c r="O633" s="962">
        <f t="shared" si="8"/>
        <v>50</v>
      </c>
    </row>
    <row r="634" spans="2:15" ht="18" customHeight="1" x14ac:dyDescent="0.25">
      <c r="B634" s="259">
        <v>45117</v>
      </c>
      <c r="C63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34" s="6" t="s">
        <v>24</v>
      </c>
      <c r="E634" s="259">
        <v>45117</v>
      </c>
      <c r="G634" s="6"/>
      <c r="H634" s="254" t="s">
        <v>47</v>
      </c>
      <c r="I634" s="764" t="str">
        <f>VLOOKUP($H634,инфо!$O:$P,2,FALSE)</f>
        <v>Помидоры консерв.</v>
      </c>
      <c r="J634" s="160" t="str">
        <f>VLOOKUP($I634,инфо!$D:$G,3,FALSE)</f>
        <v>кг</v>
      </c>
      <c r="K634" s="747" t="s">
        <v>1538</v>
      </c>
      <c r="L634" s="663">
        <v>70</v>
      </c>
      <c r="M634" s="963">
        <f>SUMIF($H$1:$H634,$H634,$L$1:$L634)-SUMIF($H$1:$H633,$H634,$N$1:$N633)</f>
        <v>70</v>
      </c>
      <c r="O634" s="962">
        <f t="shared" si="8"/>
        <v>70</v>
      </c>
    </row>
    <row r="635" spans="2:15" ht="18" customHeight="1" x14ac:dyDescent="0.25">
      <c r="B635" s="259">
        <v>45117</v>
      </c>
      <c r="C63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35" s="6" t="s">
        <v>24</v>
      </c>
      <c r="E635" s="259">
        <v>45117</v>
      </c>
      <c r="G635" s="6"/>
      <c r="H635" s="254" t="s">
        <v>409</v>
      </c>
      <c r="I635" s="764" t="str">
        <f>VLOOKUP($H635,инфо!$O:$P,2,FALSE)</f>
        <v>Консервы овощ. закусочные, лечо</v>
      </c>
      <c r="J635" s="160" t="str">
        <f>VLOOKUP($I635,инфо!$D:$G,3,FALSE)</f>
        <v>кг</v>
      </c>
      <c r="K635" s="747" t="s">
        <v>1538</v>
      </c>
      <c r="L635" s="663">
        <v>51</v>
      </c>
      <c r="M635" s="963">
        <f>SUMIF($H$1:$H635,$H635,$L$1:$L635)-SUMIF($H$1:$H634,$H635,$N$1:$N634)</f>
        <v>142.07611500000002</v>
      </c>
      <c r="O635" s="962">
        <f t="shared" si="8"/>
        <v>142.07611500000002</v>
      </c>
    </row>
    <row r="636" spans="2:15" ht="18" customHeight="1" x14ac:dyDescent="0.25">
      <c r="B636" s="259">
        <v>45117</v>
      </c>
      <c r="C63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36" s="6" t="s">
        <v>24</v>
      </c>
      <c r="E636" s="259">
        <v>45117</v>
      </c>
      <c r="G636" s="6"/>
      <c r="H636" s="254" t="s">
        <v>52</v>
      </c>
      <c r="I636" s="764" t="str">
        <f>VLOOKUP($H636,инфо!$O:$P,2,FALSE)</f>
        <v>Молоко коровье</v>
      </c>
      <c r="J636" s="160" t="str">
        <f>VLOOKUP($I636,инфо!$D:$G,3,FALSE)</f>
        <v>литр</v>
      </c>
      <c r="K636" s="747" t="s">
        <v>1538</v>
      </c>
      <c r="L636" s="663">
        <v>150</v>
      </c>
      <c r="M636" s="963">
        <f>SUMIF($H$1:$H636,$H636,$L$1:$L636)-SUMIF($H$1:$H635,$H636,$N$1:$N635)</f>
        <v>294</v>
      </c>
      <c r="O636" s="962">
        <f t="shared" si="8"/>
        <v>294</v>
      </c>
    </row>
    <row r="637" spans="2:15" ht="18" customHeight="1" x14ac:dyDescent="0.25">
      <c r="B637" s="259">
        <v>45117</v>
      </c>
      <c r="C63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37" s="6" t="s">
        <v>24</v>
      </c>
      <c r="E637" s="259">
        <v>45117</v>
      </c>
      <c r="G637" s="6"/>
      <c r="H637" s="254" t="s">
        <v>71</v>
      </c>
      <c r="I637" s="764" t="str">
        <f>VLOOKUP($H637,инфо!$O:$P,2,FALSE)</f>
        <v>Кефир</v>
      </c>
      <c r="J637" s="160" t="str">
        <f>VLOOKUP($I637,инфо!$D:$G,3,FALSE)</f>
        <v>литр</v>
      </c>
      <c r="K637" s="747" t="s">
        <v>1538</v>
      </c>
      <c r="L637" s="663">
        <v>25</v>
      </c>
      <c r="M637" s="963">
        <f>SUMIF($H$1:$H637,$H637,$L$1:$L637)-SUMIF($H$1:$H636,$H637,$N$1:$N636)</f>
        <v>57.496000000000002</v>
      </c>
      <c r="O637" s="962">
        <f t="shared" si="8"/>
        <v>57.496000000000002</v>
      </c>
    </row>
    <row r="638" spans="2:15" ht="18" customHeight="1" x14ac:dyDescent="0.25">
      <c r="B638" s="259">
        <v>45117</v>
      </c>
      <c r="C63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38" s="6" t="s">
        <v>24</v>
      </c>
      <c r="E638" s="259">
        <v>45117</v>
      </c>
      <c r="G638" s="6"/>
      <c r="H638" s="254" t="s">
        <v>54</v>
      </c>
      <c r="I638" s="764" t="str">
        <f>VLOOKUP($H638,инфо!$O:$P,2,FALSE)</f>
        <v>Сметана</v>
      </c>
      <c r="J638" s="160" t="str">
        <f>VLOOKUP($I638,инфо!$D:$G,3,FALSE)</f>
        <v>кг</v>
      </c>
      <c r="K638" s="747" t="s">
        <v>1538</v>
      </c>
      <c r="L638" s="663">
        <v>22</v>
      </c>
      <c r="M638" s="963">
        <f>SUMIF($H$1:$H638,$H638,$L$1:$L638)-SUMIF($H$1:$H637,$H638,$N$1:$N637)</f>
        <v>32</v>
      </c>
      <c r="O638" s="962">
        <f t="shared" si="8"/>
        <v>32</v>
      </c>
    </row>
    <row r="639" spans="2:15" ht="18" customHeight="1" x14ac:dyDescent="0.25">
      <c r="B639" s="259">
        <v>45117</v>
      </c>
      <c r="C63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39" s="6" t="s">
        <v>24</v>
      </c>
      <c r="E639" s="259">
        <v>45117</v>
      </c>
      <c r="G639" s="6"/>
      <c r="H639" s="254" t="s">
        <v>61</v>
      </c>
      <c r="I639" s="764" t="str">
        <f>VLOOKUP($H639,инфо!$O:$P,2,FALSE)</f>
        <v>Масло растительное</v>
      </c>
      <c r="J639" s="160" t="str">
        <f>VLOOKUP($I639,инфо!$D:$G,3,FALSE)</f>
        <v>литр</v>
      </c>
      <c r="K639" s="747" t="s">
        <v>1538</v>
      </c>
      <c r="L639" s="663">
        <v>41</v>
      </c>
      <c r="M639" s="963">
        <f>SUMIF($H$1:$H639,$H639,$L$1:$L639)-SUMIF($H$1:$H638,$H639,$N$1:$N638)</f>
        <v>397.86799999999999</v>
      </c>
      <c r="O639" s="962">
        <f t="shared" si="8"/>
        <v>397.86799999999999</v>
      </c>
    </row>
    <row r="640" spans="2:15" ht="18" customHeight="1" x14ac:dyDescent="0.25">
      <c r="B640" s="259">
        <v>45117</v>
      </c>
      <c r="C64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40" s="6" t="s">
        <v>24</v>
      </c>
      <c r="E640" s="259">
        <v>45117</v>
      </c>
      <c r="G640" s="6"/>
      <c r="H640" s="254" t="s">
        <v>64</v>
      </c>
      <c r="I640" s="764" t="str">
        <f>VLOOKUP($H640,инфо!$O:$P,2,FALSE)</f>
        <v>Колбаса п/к</v>
      </c>
      <c r="J640" s="160" t="str">
        <f>VLOOKUP($I640,инфо!$D:$G,3,FALSE)</f>
        <v>кг</v>
      </c>
      <c r="K640" s="747" t="s">
        <v>1538</v>
      </c>
      <c r="L640" s="663">
        <v>16</v>
      </c>
      <c r="M640" s="963">
        <f>SUMIF($H$1:$H640,$H640,$L$1:$L640)-SUMIF($H$1:$H639,$H640,$N$1:$N639)</f>
        <v>36</v>
      </c>
      <c r="O640" s="962">
        <f t="shared" si="8"/>
        <v>36</v>
      </c>
    </row>
    <row r="641" spans="2:15" ht="18" customHeight="1" x14ac:dyDescent="0.25">
      <c r="B641" s="259">
        <v>45117</v>
      </c>
      <c r="C64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41" s="6" t="s">
        <v>24</v>
      </c>
      <c r="E641" s="259">
        <v>45117</v>
      </c>
      <c r="G641" s="6"/>
      <c r="H641" s="254" t="s">
        <v>59</v>
      </c>
      <c r="I641" s="764" t="str">
        <f>VLOOKUP($H641,инфо!$O:$P,2,FALSE)</f>
        <v>Колбаса с/к</v>
      </c>
      <c r="J641" s="160" t="str">
        <f>VLOOKUP($I641,инфо!$D:$G,3,FALSE)</f>
        <v>кг</v>
      </c>
      <c r="K641" s="747" t="s">
        <v>1538</v>
      </c>
      <c r="L641" s="663">
        <v>20</v>
      </c>
      <c r="M641" s="963">
        <f>SUMIF($H$1:$H641,$H641,$L$1:$L641)-SUMIF($H$1:$H640,$H641,$N$1:$N640)</f>
        <v>40</v>
      </c>
      <c r="O641" s="962">
        <f t="shared" ref="O641:O704" si="10">$M641-$N641</f>
        <v>40</v>
      </c>
    </row>
    <row r="642" spans="2:15" ht="18" customHeight="1" x14ac:dyDescent="0.25">
      <c r="B642" s="259">
        <v>45117</v>
      </c>
      <c r="C64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42" s="6" t="s">
        <v>24</v>
      </c>
      <c r="E642" s="259">
        <v>45117</v>
      </c>
      <c r="G642" s="6"/>
      <c r="H642" s="254" t="s">
        <v>30</v>
      </c>
      <c r="I642" s="764" t="str">
        <f>VLOOKUP($H642,инфо!$O:$P,2,FALSE)</f>
        <v>Сосиски</v>
      </c>
      <c r="J642" s="160" t="str">
        <f>VLOOKUP($I642,инфо!$D:$G,3,FALSE)</f>
        <v>кг</v>
      </c>
      <c r="K642" s="747" t="s">
        <v>1538</v>
      </c>
      <c r="L642" s="663">
        <v>41</v>
      </c>
      <c r="M642" s="963">
        <f>SUMIF($H$1:$H642,$H642,$L$1:$L642)-SUMIF($H$1:$H641,$H642,$N$1:$N641)</f>
        <v>41</v>
      </c>
      <c r="O642" s="962">
        <f t="shared" si="10"/>
        <v>41</v>
      </c>
    </row>
    <row r="643" spans="2:15" ht="18" customHeight="1" x14ac:dyDescent="0.25">
      <c r="B643" s="259">
        <v>45117</v>
      </c>
      <c r="C64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43" s="6" t="s">
        <v>24</v>
      </c>
      <c r="E643" s="259">
        <v>45117</v>
      </c>
      <c r="G643" s="6"/>
      <c r="H643" s="254" t="s">
        <v>63</v>
      </c>
      <c r="I643" s="764" t="str">
        <f>VLOOKUP($H643,инфо!$O:$P,2,FALSE)</f>
        <v>Печень</v>
      </c>
      <c r="J643" s="160" t="str">
        <f>VLOOKUP($I643,инфо!$D:$G,3,FALSE)</f>
        <v>кг</v>
      </c>
      <c r="K643" s="747" t="s">
        <v>1538</v>
      </c>
      <c r="L643" s="663">
        <v>71</v>
      </c>
      <c r="M643" s="963">
        <f>SUMIF($H$1:$H643,$H643,$L$1:$L643)-SUMIF($H$1:$H642,$H643,$N$1:$N642)</f>
        <v>71</v>
      </c>
      <c r="O643" s="962">
        <f t="shared" si="10"/>
        <v>71</v>
      </c>
    </row>
    <row r="644" spans="2:15" ht="18" customHeight="1" x14ac:dyDescent="0.25">
      <c r="B644" s="259">
        <v>45117</v>
      </c>
      <c r="C64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44" s="6" t="s">
        <v>24</v>
      </c>
      <c r="E644" s="259">
        <v>45117</v>
      </c>
      <c r="G644" s="6"/>
      <c r="H644" s="254" t="s">
        <v>29</v>
      </c>
      <c r="I644" s="764" t="str">
        <f>VLOOKUP($H644,инфо!$O:$P,2,FALSE)</f>
        <v>Консервы рыбные</v>
      </c>
      <c r="J644" s="160" t="str">
        <f>VLOOKUP($I644,инфо!$D:$G,3,FALSE)</f>
        <v>кг</v>
      </c>
      <c r="K644" s="747" t="s">
        <v>1538</v>
      </c>
      <c r="L644" s="663">
        <v>51</v>
      </c>
      <c r="M644" s="963">
        <f>SUMIF($H$1:$H644,$H644,$L$1:$L644)-SUMIF($H$1:$H643,$H644,$N$1:$N643)</f>
        <v>86</v>
      </c>
      <c r="O644" s="962">
        <f t="shared" si="10"/>
        <v>86</v>
      </c>
    </row>
    <row r="645" spans="2:15" ht="18" customHeight="1" x14ac:dyDescent="0.25">
      <c r="B645" s="259">
        <v>45117</v>
      </c>
      <c r="C64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45" s="6" t="s">
        <v>24</v>
      </c>
      <c r="E645" s="259">
        <v>45117</v>
      </c>
      <c r="G645" s="6"/>
      <c r="H645" s="254" t="s">
        <v>413</v>
      </c>
      <c r="I645" s="764" t="str">
        <f>VLOOKUP($H645,инфо!$O:$P,2,FALSE)</f>
        <v>Рыба с/м б/г</v>
      </c>
      <c r="J645" s="160" t="str">
        <f>VLOOKUP($I645,инфо!$D:$G,3,FALSE)</f>
        <v>кг</v>
      </c>
      <c r="K645" s="747" t="s">
        <v>1538</v>
      </c>
      <c r="L645" s="663">
        <v>88</v>
      </c>
      <c r="M645" s="963">
        <f>SUMIF($H$1:$H645,$H645,$L$1:$L645)-SUMIF($H$1:$H644,$H645,$N$1:$N644)</f>
        <v>88</v>
      </c>
      <c r="O645" s="962">
        <f t="shared" si="10"/>
        <v>88</v>
      </c>
    </row>
    <row r="646" spans="2:15" ht="18" customHeight="1" x14ac:dyDescent="0.25">
      <c r="B646" s="259">
        <v>45117</v>
      </c>
      <c r="C64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46" s="6" t="s">
        <v>24</v>
      </c>
      <c r="E646" s="259">
        <v>45117</v>
      </c>
      <c r="G646" s="6"/>
      <c r="H646" s="254" t="s">
        <v>53</v>
      </c>
      <c r="I646" s="764" t="str">
        <f>VLOOKUP($H646,инфо!$O:$P,2,FALSE)</f>
        <v>Сахар</v>
      </c>
      <c r="J646" s="160" t="str">
        <f>VLOOKUP($I646,инфо!$D:$G,3,FALSE)</f>
        <v>кг</v>
      </c>
      <c r="K646" s="747" t="s">
        <v>1538</v>
      </c>
      <c r="L646" s="663">
        <v>90</v>
      </c>
      <c r="M646" s="963">
        <f>SUMIF($H$1:$H646,$H646,$L$1:$L646)-SUMIF($H$1:$H645,$H646,$N$1:$N645)</f>
        <v>657</v>
      </c>
      <c r="O646" s="962">
        <f t="shared" si="10"/>
        <v>657</v>
      </c>
    </row>
    <row r="647" spans="2:15" ht="18" customHeight="1" x14ac:dyDescent="0.25">
      <c r="B647" s="259">
        <v>45117</v>
      </c>
      <c r="C64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47" s="6" t="s">
        <v>24</v>
      </c>
      <c r="E647" s="259">
        <v>45117</v>
      </c>
      <c r="G647" s="6"/>
      <c r="H647" s="254" t="s">
        <v>55</v>
      </c>
      <c r="I647" s="764" t="str">
        <f>VLOOKUP($H647,инфо!$O:$P,2,FALSE)</f>
        <v>Соль</v>
      </c>
      <c r="J647" s="160" t="str">
        <f>VLOOKUP($I647,инфо!$D:$G,3,FALSE)</f>
        <v>кг</v>
      </c>
      <c r="K647" s="747" t="s">
        <v>1538</v>
      </c>
      <c r="L647" s="663">
        <v>5</v>
      </c>
      <c r="M647" s="963">
        <f>SUMIF($H$1:$H647,$H647,$L$1:$L647)-SUMIF($H$1:$H646,$H647,$N$1:$N646)</f>
        <v>5</v>
      </c>
      <c r="O647" s="962">
        <f t="shared" si="10"/>
        <v>5</v>
      </c>
    </row>
    <row r="648" spans="2:15" ht="18" customHeight="1" x14ac:dyDescent="0.25">
      <c r="B648" s="259">
        <v>45117</v>
      </c>
      <c r="C64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48" s="6" t="s">
        <v>24</v>
      </c>
      <c r="E648" s="259">
        <v>45117</v>
      </c>
      <c r="G648" s="6"/>
      <c r="H648" s="254" t="s">
        <v>484</v>
      </c>
      <c r="I648" s="764" t="str">
        <f>VLOOKUP($H648,инфо!$O:$P,2,FALSE)</f>
        <v>Перец черный</v>
      </c>
      <c r="J648" s="160" t="str">
        <f>VLOOKUP($I648,инфо!$D:$G,3,FALSE)</f>
        <v>кг</v>
      </c>
      <c r="K648" s="747" t="s">
        <v>1538</v>
      </c>
      <c r="L648" s="663">
        <v>5</v>
      </c>
      <c r="M648" s="963">
        <f>SUMIF($H$1:$H648,$H648,$L$1:$L648)-SUMIF($H$1:$H647,$H648,$N$1:$N647)</f>
        <v>21.574400000000001</v>
      </c>
      <c r="O648" s="962">
        <f t="shared" si="10"/>
        <v>21.574400000000001</v>
      </c>
    </row>
    <row r="649" spans="2:15" ht="18" customHeight="1" x14ac:dyDescent="0.25">
      <c r="B649" s="259">
        <v>45117</v>
      </c>
      <c r="C64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49" s="6" t="s">
        <v>24</v>
      </c>
      <c r="E649" s="259">
        <v>45117</v>
      </c>
      <c r="G649" s="6"/>
      <c r="H649" s="254" t="s">
        <v>76</v>
      </c>
      <c r="I649" s="764" t="str">
        <f>VLOOKUP($H649,инфо!$O:$P,2,FALSE)</f>
        <v>Томат-паста</v>
      </c>
      <c r="J649" s="160" t="str">
        <f>VLOOKUP($I649,инфо!$D:$G,3,FALSE)</f>
        <v>кг</v>
      </c>
      <c r="K649" s="747" t="s">
        <v>1538</v>
      </c>
      <c r="L649" s="663">
        <v>4</v>
      </c>
      <c r="M649" s="963">
        <f>SUMIF($H$1:$H649,$H649,$L$1:$L649)-SUMIF($H$1:$H648,$H649,$N$1:$N648)</f>
        <v>94.636669999999995</v>
      </c>
      <c r="O649" s="962">
        <f t="shared" si="10"/>
        <v>94.636669999999995</v>
      </c>
    </row>
    <row r="650" spans="2:15" ht="18" customHeight="1" x14ac:dyDescent="0.25">
      <c r="B650" s="259">
        <v>45117</v>
      </c>
      <c r="C65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50" s="6" t="s">
        <v>24</v>
      </c>
      <c r="E650" s="259">
        <v>45117</v>
      </c>
      <c r="G650" s="6"/>
      <c r="H650" s="254" t="s">
        <v>77</v>
      </c>
      <c r="I650" s="764" t="str">
        <f>VLOOKUP($H650,инфо!$O:$P,2,FALSE)</f>
        <v>Уксус</v>
      </c>
      <c r="J650" s="160" t="str">
        <f>VLOOKUP($I650,инфо!$D:$G,3,FALSE)</f>
        <v>кг</v>
      </c>
      <c r="K650" s="747" t="s">
        <v>1538</v>
      </c>
      <c r="L650" s="663">
        <v>7</v>
      </c>
      <c r="M650" s="963">
        <f>SUMIF($H$1:$H650,$H650,$L$1:$L650)-SUMIF($H$1:$H649,$H650,$N$1:$N649)</f>
        <v>100.75778</v>
      </c>
      <c r="O650" s="962">
        <f t="shared" si="10"/>
        <v>100.75778</v>
      </c>
    </row>
    <row r="651" spans="2:15" ht="18" customHeight="1" x14ac:dyDescent="0.25">
      <c r="B651" s="259">
        <v>45117</v>
      </c>
      <c r="C65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51" s="6" t="s">
        <v>24</v>
      </c>
      <c r="E651" s="259">
        <v>45117</v>
      </c>
      <c r="G651" s="6"/>
      <c r="H651" s="254" t="s">
        <v>75</v>
      </c>
      <c r="I651" s="764" t="str">
        <f>VLOOKUP($H651,инфо!$O:$P,2,FALSE)</f>
        <v>Сок п/я</v>
      </c>
      <c r="J651" s="160" t="str">
        <f>VLOOKUP($I651,инфо!$D:$G,3,FALSE)</f>
        <v>литр</v>
      </c>
      <c r="K651" s="747" t="s">
        <v>1538</v>
      </c>
      <c r="L651" s="663">
        <v>70</v>
      </c>
      <c r="M651" s="963">
        <f>SUMIF($H$1:$H651,$H651,$L$1:$L651)-SUMIF($H$1:$H650,$H651,$N$1:$N650)</f>
        <v>630</v>
      </c>
      <c r="O651" s="962">
        <f t="shared" si="10"/>
        <v>630</v>
      </c>
    </row>
    <row r="652" spans="2:15" ht="18" customHeight="1" x14ac:dyDescent="0.25">
      <c r="B652" s="259">
        <v>45117</v>
      </c>
      <c r="C65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52" s="6" t="s">
        <v>24</v>
      </c>
      <c r="E652" s="259">
        <v>45117</v>
      </c>
      <c r="G652" s="6"/>
      <c r="H652" s="254" t="s">
        <v>57</v>
      </c>
      <c r="I652" s="764" t="str">
        <f>VLOOKUP($H652,инфо!$O:$P,2,FALSE)</f>
        <v>Чай</v>
      </c>
      <c r="J652" s="160" t="str">
        <f>VLOOKUP($I652,инфо!$D:$G,3,FALSE)</f>
        <v>кг</v>
      </c>
      <c r="K652" s="747" t="s">
        <v>1538</v>
      </c>
      <c r="L652" s="663">
        <v>15</v>
      </c>
      <c r="M652" s="963">
        <f>SUMIF($H$1:$H652,$H652,$L$1:$L652)-SUMIF($H$1:$H651,$H652,$N$1:$N651)</f>
        <v>137.4</v>
      </c>
      <c r="O652" s="962">
        <f t="shared" si="10"/>
        <v>137.4</v>
      </c>
    </row>
    <row r="653" spans="2:15" ht="18" customHeight="1" x14ac:dyDescent="0.25">
      <c r="B653" s="259">
        <v>45117</v>
      </c>
      <c r="C65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53" s="6" t="s">
        <v>24</v>
      </c>
      <c r="E653" s="259">
        <v>45117</v>
      </c>
      <c r="G653" s="6"/>
      <c r="H653" s="254" t="s">
        <v>324</v>
      </c>
      <c r="I653" s="764" t="str">
        <f>VLOOKUP($H653,инфо!$O:$P,2,FALSE)</f>
        <v>Изюм</v>
      </c>
      <c r="J653" s="160" t="str">
        <f>VLOOKUP($I653,инфо!$D:$G,3,FALSE)</f>
        <v>кг</v>
      </c>
      <c r="K653" s="747" t="s">
        <v>1538</v>
      </c>
      <c r="L653" s="663">
        <v>15</v>
      </c>
      <c r="M653" s="963">
        <f>SUMIF($H$1:$H653,$H653,$L$1:$L653)-SUMIF($H$1:$H652,$H653,$N$1:$N652)</f>
        <v>93.878889999999998</v>
      </c>
      <c r="O653" s="962">
        <f t="shared" si="10"/>
        <v>93.878889999999998</v>
      </c>
    </row>
    <row r="654" spans="2:15" ht="18" customHeight="1" x14ac:dyDescent="0.25">
      <c r="B654" s="259">
        <v>45117</v>
      </c>
      <c r="C65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54" s="6" t="s">
        <v>24</v>
      </c>
      <c r="E654" s="259">
        <v>45117</v>
      </c>
      <c r="G654" s="6"/>
      <c r="H654" s="254" t="s">
        <v>81</v>
      </c>
      <c r="I654" s="764" t="str">
        <f>VLOOKUP($H654,инфо!$O:$P,2,FALSE)</f>
        <v>Вафли</v>
      </c>
      <c r="J654" s="160" t="str">
        <f>VLOOKUP($I654,инфо!$D:$G,3,FALSE)</f>
        <v>кг</v>
      </c>
      <c r="K654" s="747" t="s">
        <v>1538</v>
      </c>
      <c r="L654" s="663">
        <v>27</v>
      </c>
      <c r="M654" s="963">
        <f>SUMIF($H$1:$H654,$H654,$L$1:$L654)-SUMIF($H$1:$H653,$H654,$N$1:$N653)</f>
        <v>147</v>
      </c>
      <c r="O654" s="962">
        <f t="shared" si="10"/>
        <v>147</v>
      </c>
    </row>
    <row r="655" spans="2:15" ht="18" customHeight="1" x14ac:dyDescent="0.25">
      <c r="B655" s="259">
        <v>45117</v>
      </c>
      <c r="C65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655" s="6" t="s">
        <v>24</v>
      </c>
      <c r="E655" s="259">
        <v>45117</v>
      </c>
      <c r="G655" s="6"/>
      <c r="H655" s="254" t="s">
        <v>86</v>
      </c>
      <c r="I655" s="764" t="str">
        <f>VLOOKUP($H655,инфо!$O:$P,2,FALSE)</f>
        <v>Печенье БС</v>
      </c>
      <c r="J655" s="160" t="str">
        <f>VLOOKUP($I655,инфо!$D:$G,3,FALSE)</f>
        <v>кг</v>
      </c>
      <c r="K655" s="747" t="s">
        <v>1538</v>
      </c>
      <c r="L655" s="663">
        <v>13</v>
      </c>
      <c r="M655" s="963">
        <f>SUMIF($H$1:$H655,$H655,$L$1:$L655)-SUMIF($H$1:$H654,$H655,$N$1:$N654)</f>
        <v>13</v>
      </c>
      <c r="O655" s="962">
        <f t="shared" si="10"/>
        <v>13</v>
      </c>
    </row>
    <row r="656" spans="2:15" ht="18" customHeight="1" x14ac:dyDescent="0.25">
      <c r="B656" s="259">
        <v>45121</v>
      </c>
      <c r="C65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56" s="259">
        <v>45121</v>
      </c>
      <c r="H656" s="254" t="s">
        <v>45</v>
      </c>
      <c r="I656" s="764" t="str">
        <f>VLOOKUP($H656,инфо!$O:$P,2,FALSE)</f>
        <v>Картофель</v>
      </c>
      <c r="J656" s="160" t="str">
        <f>VLOOKUP($I656,инфо!$D:$G,3,FALSE)</f>
        <v>кг</v>
      </c>
      <c r="K656" s="747" t="s">
        <v>1538</v>
      </c>
      <c r="M656" s="963">
        <f>SUMIF($H$1:$H656,$H656,$L$1:$L656)-SUMIF($H$1:$H655,$H656,$N$1:$N655)</f>
        <v>954</v>
      </c>
      <c r="N656" s="964">
        <v>248.96888000000001</v>
      </c>
      <c r="O656" s="962">
        <f t="shared" si="10"/>
        <v>705.03111999999999</v>
      </c>
    </row>
    <row r="657" spans="2:15" ht="18" customHeight="1" x14ac:dyDescent="0.25">
      <c r="B657" s="259">
        <v>45121</v>
      </c>
      <c r="C65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57" s="259">
        <v>45121</v>
      </c>
      <c r="H657" s="254" t="s">
        <v>490</v>
      </c>
      <c r="I657" s="764" t="str">
        <f>VLOOKUP($H657,инфо!$O:$P,2,FALSE)</f>
        <v>Капуста свежая</v>
      </c>
      <c r="J657" s="160" t="str">
        <f>VLOOKUP($I657,инфо!$D:$G,3,FALSE)</f>
        <v>кг</v>
      </c>
      <c r="K657" s="747" t="s">
        <v>1538</v>
      </c>
      <c r="L657" s="663">
        <v>20</v>
      </c>
      <c r="M657" s="963">
        <f>SUMIF($H$1:$H657,$H657,$L$1:$L657)-SUMIF($H$1:$H656,$H657,$N$1:$N656)</f>
        <v>520</v>
      </c>
      <c r="N657" s="964">
        <v>217.84777</v>
      </c>
      <c r="O657" s="962">
        <f t="shared" si="10"/>
        <v>302.15223000000003</v>
      </c>
    </row>
    <row r="658" spans="2:15" ht="18" customHeight="1" x14ac:dyDescent="0.25">
      <c r="B658" s="259">
        <v>45121</v>
      </c>
      <c r="C65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58" s="259">
        <v>45121</v>
      </c>
      <c r="H658" s="254" t="s">
        <v>46</v>
      </c>
      <c r="I658" s="764" t="str">
        <f>VLOOKUP($H658,инфо!$O:$P,2,FALSE)</f>
        <v>Морковь</v>
      </c>
      <c r="J658" s="160" t="str">
        <f>VLOOKUP($I658,инфо!$D:$G,3,FALSE)</f>
        <v>кг</v>
      </c>
      <c r="K658" s="747" t="s">
        <v>1538</v>
      </c>
      <c r="M658" s="963">
        <f>SUMIF($H$1:$H658,$H658,$L$1:$L658)-SUMIF($H$1:$H657,$H658,$N$1:$N657)</f>
        <v>319</v>
      </c>
      <c r="N658" s="964">
        <v>186.72666000000001</v>
      </c>
      <c r="O658" s="962">
        <f t="shared" si="10"/>
        <v>132.27333999999999</v>
      </c>
    </row>
    <row r="659" spans="2:15" ht="18" customHeight="1" x14ac:dyDescent="0.25">
      <c r="B659" s="259">
        <v>45121</v>
      </c>
      <c r="C659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59" s="259">
        <v>45121</v>
      </c>
      <c r="H659" s="254" t="s">
        <v>32</v>
      </c>
      <c r="I659" s="764" t="str">
        <f>VLOOKUP($H659,инфо!$O:$P,2,FALSE)</f>
        <v>Лук репчатый</v>
      </c>
      <c r="J659" s="160" t="str">
        <f>VLOOKUP($I659,инфо!$D:$G,3,FALSE)</f>
        <v>кг</v>
      </c>
      <c r="K659" s="747" t="s">
        <v>1538</v>
      </c>
      <c r="M659" s="963">
        <f>SUMIF($H$1:$H659,$H659,$L$1:$L659)-SUMIF($H$1:$H658,$H659,$N$1:$N658)</f>
        <v>100</v>
      </c>
      <c r="N659" s="964">
        <v>20</v>
      </c>
      <c r="O659" s="962">
        <f t="shared" si="10"/>
        <v>80</v>
      </c>
    </row>
    <row r="660" spans="2:15" ht="18" customHeight="1" x14ac:dyDescent="0.25">
      <c r="B660" s="259">
        <v>45121</v>
      </c>
      <c r="C66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60" s="259">
        <v>45121</v>
      </c>
      <c r="H660" t="s">
        <v>49</v>
      </c>
      <c r="I660" s="764" t="str">
        <f>VLOOKUP($H660,инфо!$O:$P,2,FALSE)</f>
        <v>Чеснок</v>
      </c>
      <c r="J660" s="160" t="str">
        <f>VLOOKUP($I660,инфо!$D:$G,3,FALSE)</f>
        <v>кг</v>
      </c>
      <c r="K660" s="747" t="s">
        <v>1538</v>
      </c>
      <c r="M660" s="963">
        <f>SUMIF($H$1:$H660,$H660,$L$1:$L660)-SUMIF($H$1:$H659,$H660,$N$1:$N659)</f>
        <v>143</v>
      </c>
      <c r="N660" s="964">
        <v>0.56279999999999997</v>
      </c>
      <c r="O660" s="962">
        <f t="shared" si="10"/>
        <v>142.43719999999999</v>
      </c>
    </row>
    <row r="661" spans="2:15" ht="18" customHeight="1" x14ac:dyDescent="0.25">
      <c r="B661" s="259">
        <v>45121</v>
      </c>
      <c r="C661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61" s="259">
        <v>45121</v>
      </c>
      <c r="H661" t="s">
        <v>495</v>
      </c>
      <c r="I661" s="764" t="str">
        <f>VLOOKUP($H661,инфо!$O:$P,2,FALSE)</f>
        <v>Горошек консерв.</v>
      </c>
      <c r="J661" s="160" t="str">
        <f>VLOOKUP($I661,инфо!$D:$G,3,FALSE)</f>
        <v>кг</v>
      </c>
      <c r="K661" s="747" t="s">
        <v>1538</v>
      </c>
      <c r="M661" s="963">
        <f>SUMIF($H$1:$H661,$H661,$L$1:$L661)-SUMIF($H$1:$H660,$H661,$N$1:$N660)</f>
        <v>145</v>
      </c>
      <c r="N661" s="964">
        <v>8.4420000000000002</v>
      </c>
      <c r="O661" s="962">
        <f t="shared" si="10"/>
        <v>136.55799999999999</v>
      </c>
    </row>
    <row r="662" spans="2:15" ht="18" customHeight="1" x14ac:dyDescent="0.25">
      <c r="B662" s="259">
        <v>45121</v>
      </c>
      <c r="C66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62" s="259">
        <v>45121</v>
      </c>
      <c r="H662" t="s">
        <v>501</v>
      </c>
      <c r="I662" s="764" t="str">
        <f>VLOOKUP($H662,инфо!$O:$P,2,FALSE)</f>
        <v>Фасоль консерв.</v>
      </c>
      <c r="J662" s="160" t="str">
        <f>VLOOKUP($I662,инфо!$D:$G,3,FALSE)</f>
        <v>кг</v>
      </c>
      <c r="K662" s="747" t="s">
        <v>1538</v>
      </c>
      <c r="M662" s="963">
        <f>SUMIF($H$1:$H662,$H662,$L$1:$L662)-SUMIF($H$1:$H661,$H662,$N$1:$N661)</f>
        <v>144</v>
      </c>
      <c r="N662" s="964">
        <v>8.2544000000000004</v>
      </c>
      <c r="O662" s="962">
        <f t="shared" si="10"/>
        <v>135.7456</v>
      </c>
    </row>
    <row r="663" spans="2:15" ht="18" customHeight="1" x14ac:dyDescent="0.25">
      <c r="B663" s="259">
        <v>45121</v>
      </c>
      <c r="C66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63" s="259">
        <v>45121</v>
      </c>
      <c r="H663" t="s">
        <v>332</v>
      </c>
      <c r="I663" s="764" t="str">
        <f>VLOOKUP($H663,инфо!$O:$P,2,FALSE)</f>
        <v>Морковь консерв.</v>
      </c>
      <c r="J663" s="160" t="str">
        <f>VLOOKUP($I663,инфо!$D:$G,3,FALSE)</f>
        <v>кг</v>
      </c>
      <c r="K663" s="747" t="s">
        <v>1538</v>
      </c>
      <c r="L663" s="663">
        <v>40</v>
      </c>
      <c r="M663" s="963">
        <f>SUMIF($H$1:$H663,$H663,$L$1:$L663)-SUMIF($H$1:$H662,$H663,$N$1:$N662)</f>
        <v>153.067116</v>
      </c>
      <c r="N663" s="964">
        <v>8.2544000000000004</v>
      </c>
      <c r="O663" s="962">
        <f t="shared" si="10"/>
        <v>144.81271599999999</v>
      </c>
    </row>
    <row r="664" spans="2:15" ht="18" customHeight="1" x14ac:dyDescent="0.25">
      <c r="B664" s="259">
        <v>45121</v>
      </c>
      <c r="C66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64" s="259">
        <v>45121</v>
      </c>
      <c r="H664" s="254" t="s">
        <v>62</v>
      </c>
      <c r="I664" s="764" t="str">
        <f>VLOOKUP($H664,инфо!$O:$P,2,FALSE)</f>
        <v>Сало-шпик</v>
      </c>
      <c r="J664" s="160" t="str">
        <f>VLOOKUP($I664,инфо!$D:$G,3,FALSE)</f>
        <v>кг</v>
      </c>
      <c r="K664" s="747" t="s">
        <v>1538</v>
      </c>
      <c r="M664" s="963">
        <f>SUMIF($H$1:$H664,$H664,$L$1:$L664)-SUMIF($H$1:$H663,$H664,$N$1:$N663)</f>
        <v>136</v>
      </c>
      <c r="N664" s="964">
        <v>3.7519999999999998</v>
      </c>
      <c r="O664" s="962">
        <f t="shared" si="10"/>
        <v>132.24799999999999</v>
      </c>
    </row>
    <row r="665" spans="2:15" ht="18" customHeight="1" x14ac:dyDescent="0.25">
      <c r="B665" s="259">
        <v>45121</v>
      </c>
      <c r="C665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65" s="259">
        <v>45121</v>
      </c>
      <c r="H665" s="254" t="s">
        <v>454</v>
      </c>
      <c r="I665" s="764" t="str">
        <f>VLOOKUP($H665,инфо!$O:$P,2,FALSE)</f>
        <v>Говядина б/к</v>
      </c>
      <c r="J665" s="160" t="str">
        <f>VLOOKUP($I665,инфо!$D:$G,3,FALSE)</f>
        <v>кг</v>
      </c>
      <c r="K665" s="747" t="s">
        <v>1538</v>
      </c>
      <c r="M665" s="963">
        <f>SUMIF($H$1:$H665,$H665,$L$1:$L665)-SUMIF($H$1:$H664,$H665,$N$1:$N664)</f>
        <v>140</v>
      </c>
      <c r="N665" s="964">
        <v>7.5039999999999996</v>
      </c>
      <c r="O665" s="962">
        <f t="shared" si="10"/>
        <v>132.49600000000001</v>
      </c>
    </row>
    <row r="666" spans="2:15" ht="18" customHeight="1" x14ac:dyDescent="0.25">
      <c r="B666" s="259">
        <v>45121</v>
      </c>
      <c r="C66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66" s="259">
        <v>45121</v>
      </c>
      <c r="H666" s="254" t="s">
        <v>503</v>
      </c>
      <c r="I666" s="764" t="str">
        <f>VLOOKUP($H666,инфо!$O:$P,2,FALSE)</f>
        <v>Говядина н/к</v>
      </c>
      <c r="J666" s="160" t="str">
        <f>VLOOKUP($I666,инфо!$D:$G,3,FALSE)</f>
        <v>кг</v>
      </c>
      <c r="K666" s="747" t="s">
        <v>1538</v>
      </c>
      <c r="M666" s="963">
        <f>SUMIF($H$1:$H666,$H666,$L$1:$L666)-SUMIF($H$1:$H665,$H666,$N$1:$N665)</f>
        <v>344.39445000000001</v>
      </c>
      <c r="N666" s="964">
        <v>9.379999999999999</v>
      </c>
      <c r="O666" s="962">
        <f t="shared" si="10"/>
        <v>335.01445000000001</v>
      </c>
    </row>
    <row r="667" spans="2:15" ht="18" customHeight="1" x14ac:dyDescent="0.25">
      <c r="B667" s="259">
        <v>45121</v>
      </c>
      <c r="C66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67" s="259">
        <v>45121</v>
      </c>
      <c r="H667" s="254" t="s">
        <v>336</v>
      </c>
      <c r="I667" s="764" t="str">
        <f>VLOOKUP($H667,инфо!$O:$P,2,FALSE)</f>
        <v>Говядина на кости</v>
      </c>
      <c r="J667" s="160" t="str">
        <f>VLOOKUP($I667,инфо!$D:$G,3,FALSE)</f>
        <v>кг</v>
      </c>
      <c r="K667" s="747" t="s">
        <v>1538</v>
      </c>
      <c r="M667" s="963">
        <f>SUMIF($H$1:$H667,$H667,$L$1:$L667)-SUMIF($H$1:$H666,$H667,$N$1:$N666)</f>
        <v>75.515559999999994</v>
      </c>
      <c r="N667" s="964">
        <v>7.5039999999999996</v>
      </c>
      <c r="O667" s="962">
        <f t="shared" si="10"/>
        <v>68.011559999999989</v>
      </c>
    </row>
    <row r="668" spans="2:15" ht="18" customHeight="1" x14ac:dyDescent="0.25">
      <c r="B668" s="259">
        <v>45121</v>
      </c>
      <c r="C66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68" s="259">
        <v>45121</v>
      </c>
      <c r="H668" s="254" t="s">
        <v>512</v>
      </c>
      <c r="I668" s="764" t="str">
        <f>VLOOKUP($H668,инфо!$O:$P,2,FALSE)</f>
        <v>Свинина консерв.</v>
      </c>
      <c r="J668" s="160" t="str">
        <f>VLOOKUP($I668,инфо!$D:$G,3,FALSE)</f>
        <v>кг</v>
      </c>
      <c r="K668" s="747" t="s">
        <v>1538</v>
      </c>
      <c r="L668" s="663">
        <v>70</v>
      </c>
      <c r="M668" s="963">
        <f>SUMIF($H$1:$H668,$H668,$L$1:$L668)-SUMIF($H$1:$H667,$H668,$N$1:$N667)</f>
        <v>70</v>
      </c>
      <c r="N668" s="964">
        <v>7.5039999999999996</v>
      </c>
      <c r="O668" s="962">
        <f t="shared" si="10"/>
        <v>62.496000000000002</v>
      </c>
    </row>
    <row r="669" spans="2:15" ht="18" customHeight="1" x14ac:dyDescent="0.25">
      <c r="B669" s="259">
        <v>45121</v>
      </c>
      <c r="C669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69" s="259">
        <v>45121</v>
      </c>
      <c r="H669" s="254" t="s">
        <v>335</v>
      </c>
      <c r="I669" s="764" t="str">
        <f>VLOOKUP($H669,инфо!$O:$P,2,FALSE)</f>
        <v>Свинина на кости</v>
      </c>
      <c r="J669" s="160" t="str">
        <f>VLOOKUP($I669,инфо!$D:$G,3,FALSE)</f>
        <v>кг</v>
      </c>
      <c r="K669" s="747" t="s">
        <v>1538</v>
      </c>
      <c r="M669" s="963">
        <f>SUMIF($H$1:$H669,$H669,$L$1:$L669)-SUMIF($H$1:$H668,$H669,$N$1:$N668)</f>
        <v>50</v>
      </c>
      <c r="N669" s="964">
        <v>9.379999999999999</v>
      </c>
      <c r="O669" s="962">
        <f t="shared" si="10"/>
        <v>40.620000000000005</v>
      </c>
    </row>
    <row r="670" spans="2:15" ht="18" customHeight="1" x14ac:dyDescent="0.25">
      <c r="B670" s="259">
        <v>45121</v>
      </c>
      <c r="C67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70" s="259">
        <v>45121</v>
      </c>
      <c r="H670" s="254" t="s">
        <v>64</v>
      </c>
      <c r="I670" s="764" t="str">
        <f>VLOOKUP($H670,инфо!$O:$P,2,FALSE)</f>
        <v>Колбаса п/к</v>
      </c>
      <c r="J670" s="160" t="str">
        <f>VLOOKUP($I670,инфо!$D:$G,3,FALSE)</f>
        <v>кг</v>
      </c>
      <c r="K670" s="747" t="s">
        <v>1538</v>
      </c>
      <c r="M670" s="963">
        <f>SUMIF($H$1:$H670,$H670,$L$1:$L670)-SUMIF($H$1:$H669,$H670,$N$1:$N669)</f>
        <v>36</v>
      </c>
      <c r="N670" s="964">
        <v>3.7519999999999998</v>
      </c>
      <c r="O670" s="962">
        <f t="shared" si="10"/>
        <v>32.247999999999998</v>
      </c>
    </row>
    <row r="671" spans="2:15" ht="18" customHeight="1" x14ac:dyDescent="0.25">
      <c r="B671" s="259">
        <v>45121</v>
      </c>
      <c r="C671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71" s="259">
        <v>45121</v>
      </c>
      <c r="H671" s="254" t="s">
        <v>59</v>
      </c>
      <c r="I671" s="764" t="str">
        <f>VLOOKUP($H671,инфо!$O:$P,2,FALSE)</f>
        <v>Колбаса с/к</v>
      </c>
      <c r="J671" s="160" t="str">
        <f>VLOOKUP($I671,инфо!$D:$G,3,FALSE)</f>
        <v>кг</v>
      </c>
      <c r="K671" s="747" t="s">
        <v>1538</v>
      </c>
      <c r="M671" s="963">
        <f>SUMIF($H$1:$H671,$H671,$L$1:$L671)-SUMIF($H$1:$H670,$H671,$N$1:$N670)</f>
        <v>40</v>
      </c>
      <c r="N671" s="964">
        <v>3.7519999999999998</v>
      </c>
      <c r="O671" s="962">
        <f t="shared" si="10"/>
        <v>36.247999999999998</v>
      </c>
    </row>
    <row r="672" spans="2:15" ht="18" customHeight="1" x14ac:dyDescent="0.25">
      <c r="B672" s="259">
        <v>45121</v>
      </c>
      <c r="C67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72" s="259">
        <v>45121</v>
      </c>
      <c r="H672" s="254" t="s">
        <v>513</v>
      </c>
      <c r="I672" s="764" t="str">
        <f>VLOOKUP($H672,инфо!$O:$P,2,FALSE)</f>
        <v>Сердце</v>
      </c>
      <c r="J672" s="160" t="str">
        <f>VLOOKUP($I672,инфо!$D:$G,3,FALSE)</f>
        <v>кг</v>
      </c>
      <c r="K672" s="747" t="s">
        <v>1538</v>
      </c>
      <c r="M672" s="963">
        <f>SUMIF($H$1:$H672,$H672,$L$1:$L672)-SUMIF($H$1:$H671,$H672,$N$1:$N671)</f>
        <v>22</v>
      </c>
      <c r="N672" s="964">
        <v>4.1272000000000002</v>
      </c>
      <c r="O672" s="962">
        <f t="shared" si="10"/>
        <v>17.872799999999998</v>
      </c>
    </row>
    <row r="673" spans="2:15" ht="18" customHeight="1" x14ac:dyDescent="0.25">
      <c r="B673" s="259">
        <v>45121</v>
      </c>
      <c r="C673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73" s="259">
        <v>45121</v>
      </c>
      <c r="H673" s="254" t="s">
        <v>29</v>
      </c>
      <c r="I673" s="764" t="str">
        <f>VLOOKUP($H673,инфо!$O:$P,2,FALSE)</f>
        <v>Консервы рыбные</v>
      </c>
      <c r="J673" s="160" t="str">
        <f>VLOOKUP($I673,инфо!$D:$G,3,FALSE)</f>
        <v>кг</v>
      </c>
      <c r="K673" s="747" t="s">
        <v>1538</v>
      </c>
      <c r="M673" s="963">
        <f>SUMIF($H$1:$H673,$H673,$L$1:$L673)-SUMIF($H$1:$H672,$H673,$N$1:$N672)</f>
        <v>86</v>
      </c>
      <c r="N673" s="964">
        <v>6.5659999999999998</v>
      </c>
      <c r="O673" s="962">
        <f t="shared" si="10"/>
        <v>79.433999999999997</v>
      </c>
    </row>
    <row r="674" spans="2:15" ht="18" customHeight="1" x14ac:dyDescent="0.25">
      <c r="B674" s="259">
        <v>45121</v>
      </c>
      <c r="C67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74" s="259">
        <v>45121</v>
      </c>
      <c r="H674" s="254" t="s">
        <v>1229</v>
      </c>
      <c r="I674" s="764" t="str">
        <f>VLOOKUP($H674,инфо!$O:$P,2,FALSE)</f>
        <v>Сельдь б/г</v>
      </c>
      <c r="J674" s="160" t="str">
        <f>VLOOKUP($I674,инфо!$D:$G,3,FALSE)</f>
        <v>кг</v>
      </c>
      <c r="K674" s="747" t="s">
        <v>1538</v>
      </c>
      <c r="M674" s="963">
        <f>SUMIF($H$1:$H674,$H674,$L$1:$L674)-SUMIF($H$1:$H673,$H674,$N$1:$N673)</f>
        <v>65.515559999999994</v>
      </c>
      <c r="N674" s="964">
        <v>7.5039999999999996</v>
      </c>
      <c r="O674" s="962">
        <f t="shared" si="10"/>
        <v>58.011559999999996</v>
      </c>
    </row>
    <row r="675" spans="2:15" ht="18" customHeight="1" x14ac:dyDescent="0.25">
      <c r="B675" s="259">
        <v>45121</v>
      </c>
      <c r="C67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75" s="259">
        <v>45121</v>
      </c>
      <c r="H675" s="254" t="s">
        <v>1234</v>
      </c>
      <c r="I675" s="764" t="str">
        <f>VLOOKUP($H675,инфо!$O:$P,2,FALSE)</f>
        <v>Минтай с/г</v>
      </c>
      <c r="J675" s="160" t="str">
        <f>VLOOKUP($I675,инфо!$D:$G,3,FALSE)</f>
        <v>кг</v>
      </c>
      <c r="K675" s="747" t="s">
        <v>1538</v>
      </c>
      <c r="L675" s="663">
        <v>70</v>
      </c>
      <c r="M675" s="963">
        <f>SUMIF($H$1:$H675,$H675,$L$1:$L675)-SUMIF($H$1:$H674,$H675,$N$1:$N674)</f>
        <v>70</v>
      </c>
      <c r="N675" s="964">
        <v>7.5039999999999996</v>
      </c>
      <c r="O675" s="962">
        <f t="shared" si="10"/>
        <v>62.496000000000002</v>
      </c>
    </row>
    <row r="676" spans="2:15" ht="18" customHeight="1" x14ac:dyDescent="0.25">
      <c r="B676" s="259">
        <v>45121</v>
      </c>
      <c r="C67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76" s="259">
        <v>45121</v>
      </c>
      <c r="H676" s="254" t="s">
        <v>1228</v>
      </c>
      <c r="I676" s="764" t="str">
        <f>VLOOKUP($H676,инфо!$O:$P,2,FALSE)</f>
        <v>Камбала с/г</v>
      </c>
      <c r="J676" s="160" t="str">
        <f>VLOOKUP($I676,инфо!$D:$G,3,FALSE)</f>
        <v>кг</v>
      </c>
      <c r="K676" s="747" t="s">
        <v>1538</v>
      </c>
      <c r="L676" s="663">
        <v>5</v>
      </c>
      <c r="M676" s="963">
        <f>SUMIF($H$1:$H676,$H676,$L$1:$L676)-SUMIF($H$1:$H675,$H676,$N$1:$N675)</f>
        <v>9.9550049999999999</v>
      </c>
      <c r="N676" s="964">
        <v>8.4420000000000002</v>
      </c>
      <c r="O676" s="962">
        <f t="shared" si="10"/>
        <v>1.5130049999999997</v>
      </c>
    </row>
    <row r="677" spans="2:15" ht="18" customHeight="1" x14ac:dyDescent="0.25">
      <c r="B677" s="259">
        <v>45121</v>
      </c>
      <c r="C67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77" s="259">
        <v>45121</v>
      </c>
      <c r="H677" s="254" t="s">
        <v>1222</v>
      </c>
      <c r="I677" s="764" t="str">
        <f>VLOOKUP($H677,инфо!$O:$P,2,FALSE)</f>
        <v>Пикша б/г</v>
      </c>
      <c r="J677" s="160" t="str">
        <f>VLOOKUP($I677,инфо!$D:$G,3,FALSE)</f>
        <v>кг</v>
      </c>
      <c r="K677" s="747" t="s">
        <v>1538</v>
      </c>
      <c r="M677" s="963">
        <f>SUMIF($H$1:$H677,$H677,$L$1:$L677)-SUMIF($H$1:$H676,$H677,$N$1:$N676)</f>
        <v>50</v>
      </c>
      <c r="N677" s="964">
        <v>9.379999999999999</v>
      </c>
      <c r="O677" s="962">
        <f t="shared" si="10"/>
        <v>40.620000000000005</v>
      </c>
    </row>
    <row r="678" spans="2:15" ht="18" customHeight="1" x14ac:dyDescent="0.25">
      <c r="B678" s="259">
        <v>45121</v>
      </c>
      <c r="C67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78" s="259">
        <v>45121</v>
      </c>
      <c r="H678" s="254" t="s">
        <v>1212</v>
      </c>
      <c r="I678" s="764" t="str">
        <f>VLOOKUP($H678,инфо!$O:$P,2,FALSE)</f>
        <v>Сом б/г</v>
      </c>
      <c r="J678" s="160" t="str">
        <f>VLOOKUP($I678,инфо!$D:$G,3,FALSE)</f>
        <v>кг</v>
      </c>
      <c r="K678" s="747" t="s">
        <v>1538</v>
      </c>
      <c r="M678" s="963">
        <f>SUMIF($H$1:$H678,$H678,$L$1:$L678)-SUMIF($H$1:$H677,$H678,$N$1:$N677)</f>
        <v>155.51555999999999</v>
      </c>
      <c r="N678" s="964">
        <v>7.5039999999999996</v>
      </c>
      <c r="O678" s="962">
        <f t="shared" si="10"/>
        <v>148.01156</v>
      </c>
    </row>
    <row r="679" spans="2:15" ht="18" customHeight="1" x14ac:dyDescent="0.25">
      <c r="B679" s="259">
        <v>45121</v>
      </c>
      <c r="C679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79" s="259">
        <v>45121</v>
      </c>
      <c r="H679" s="254" t="s">
        <v>1231</v>
      </c>
      <c r="I679" s="764" t="str">
        <f>VLOOKUP($H679,инфо!$O:$P,2,FALSE)</f>
        <v>Судак б/г</v>
      </c>
      <c r="J679" s="160" t="str">
        <f>VLOOKUP($I679,инфо!$D:$G,3,FALSE)</f>
        <v>кг</v>
      </c>
      <c r="K679" s="747" t="s">
        <v>1538</v>
      </c>
      <c r="M679" s="963">
        <f>SUMIF($H$1:$H679,$H679,$L$1:$L679)-SUMIF($H$1:$H678,$H679,$N$1:$N678)</f>
        <v>14.394450000000006</v>
      </c>
      <c r="N679" s="964">
        <v>9.379999999999999</v>
      </c>
      <c r="O679" s="962">
        <f t="shared" si="10"/>
        <v>5.0144500000000072</v>
      </c>
    </row>
    <row r="680" spans="2:15" ht="18" customHeight="1" x14ac:dyDescent="0.25">
      <c r="B680" s="259">
        <v>45121</v>
      </c>
      <c r="C68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80" s="259">
        <v>45121</v>
      </c>
      <c r="H680" s="254" t="s">
        <v>515</v>
      </c>
      <c r="I680" s="764" t="str">
        <f>VLOOKUP($H680,инфо!$O:$P,2,FALSE)</f>
        <v>Судак с/г</v>
      </c>
      <c r="J680" s="160" t="str">
        <f>VLOOKUP($I680,инфо!$D:$G,3,FALSE)</f>
        <v>кг</v>
      </c>
      <c r="K680" s="747" t="s">
        <v>1538</v>
      </c>
      <c r="M680" s="963">
        <f>SUMIF($H$1:$H680,$H680,$L$1:$L680)-SUMIF($H$1:$H679,$H680,$N$1:$N679)</f>
        <v>85.515559999999994</v>
      </c>
      <c r="N680" s="964">
        <v>7.5039999999999996</v>
      </c>
      <c r="O680" s="962">
        <f t="shared" si="10"/>
        <v>78.011559999999989</v>
      </c>
    </row>
    <row r="681" spans="2:15" ht="18" customHeight="1" x14ac:dyDescent="0.25">
      <c r="B681" s="259">
        <v>45121</v>
      </c>
      <c r="C681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81" s="259">
        <v>45121</v>
      </c>
      <c r="H681" s="254" t="s">
        <v>518</v>
      </c>
      <c r="I681" s="764" t="str">
        <f>VLOOKUP($H681,инфо!$O:$P,2,FALSE)</f>
        <v>Щука б/г</v>
      </c>
      <c r="J681" s="160" t="str">
        <f>VLOOKUP($I681,инфо!$D:$G,3,FALSE)</f>
        <v>кг</v>
      </c>
      <c r="K681" s="747" t="s">
        <v>1538</v>
      </c>
      <c r="M681" s="963">
        <f>SUMIF($H$1:$H681,$H681,$L$1:$L681)-SUMIF($H$1:$H680,$H681,$N$1:$N680)</f>
        <v>26</v>
      </c>
      <c r="N681" s="964">
        <v>8.4420000000000002</v>
      </c>
      <c r="O681" s="962">
        <f t="shared" si="10"/>
        <v>17.558</v>
      </c>
    </row>
    <row r="682" spans="2:15" ht="18" customHeight="1" x14ac:dyDescent="0.25">
      <c r="B682" s="259">
        <v>45121</v>
      </c>
      <c r="C68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82" s="259">
        <v>45121</v>
      </c>
      <c r="H682" s="254" t="s">
        <v>1245</v>
      </c>
      <c r="I682" s="764" t="str">
        <f>VLOOKUP($H682,инфо!$O:$P,2,FALSE)</f>
        <v>Яйцо (шт)</v>
      </c>
      <c r="J682" s="160" t="str">
        <f>VLOOKUP($I682,инфо!$D:$G,3,FALSE)</f>
        <v>кг</v>
      </c>
      <c r="K682" s="747" t="s">
        <v>1538</v>
      </c>
      <c r="M682" s="963">
        <f>SUMIF($H$1:$H682,$H682,$L$1:$L682)-SUMIF($H$1:$H681,$H682,$N$1:$N681)</f>
        <v>1350</v>
      </c>
      <c r="N682" s="964">
        <v>93.8</v>
      </c>
      <c r="O682" s="962">
        <f t="shared" si="10"/>
        <v>1256.2</v>
      </c>
    </row>
    <row r="683" spans="2:15" ht="18" customHeight="1" x14ac:dyDescent="0.25">
      <c r="B683" s="259">
        <v>45121</v>
      </c>
      <c r="C683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83" s="259">
        <v>45121</v>
      </c>
      <c r="H683" s="254" t="s">
        <v>53</v>
      </c>
      <c r="I683" s="764" t="str">
        <f>VLOOKUP($H683,инфо!$O:$P,2,FALSE)</f>
        <v>Сахар</v>
      </c>
      <c r="J683" s="160" t="str">
        <f>VLOOKUP($I683,инфо!$D:$G,3,FALSE)</f>
        <v>кг</v>
      </c>
      <c r="K683" s="747" t="s">
        <v>1538</v>
      </c>
      <c r="M683" s="963">
        <f>SUMIF($H$1:$H683,$H683,$L$1:$L683)-SUMIF($H$1:$H682,$H683,$N$1:$N682)</f>
        <v>657</v>
      </c>
      <c r="N683" s="964">
        <v>18.759999999999998</v>
      </c>
      <c r="O683" s="962">
        <f t="shared" si="10"/>
        <v>638.24</v>
      </c>
    </row>
    <row r="684" spans="2:15" ht="18" customHeight="1" x14ac:dyDescent="0.25">
      <c r="B684" s="259">
        <v>45121</v>
      </c>
      <c r="C68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84" s="259">
        <v>45121</v>
      </c>
      <c r="H684" s="254" t="s">
        <v>74</v>
      </c>
      <c r="I684" s="764" t="str">
        <f>VLOOKUP($H684,инфо!$O:$P,2,FALSE)</f>
        <v>Лавровый лист</v>
      </c>
      <c r="J684" s="160" t="str">
        <f>VLOOKUP($I684,инфо!$D:$G,3,FALSE)</f>
        <v>кг</v>
      </c>
      <c r="K684" s="747" t="s">
        <v>1538</v>
      </c>
      <c r="M684" s="963">
        <f>SUMIF($H$1:$H684,$H684,$L$1:$L684)-SUMIF($H$1:$H683,$H684,$N$1:$N683)</f>
        <v>30</v>
      </c>
      <c r="N684" s="964">
        <v>1.8759999999999999</v>
      </c>
      <c r="O684" s="962">
        <f t="shared" si="10"/>
        <v>28.123999999999999</v>
      </c>
    </row>
    <row r="685" spans="2:15" ht="18" customHeight="1" x14ac:dyDescent="0.25">
      <c r="B685" s="259">
        <v>45121</v>
      </c>
      <c r="C685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85" s="259">
        <v>45121</v>
      </c>
      <c r="H685" s="254" t="s">
        <v>84</v>
      </c>
      <c r="I685" s="764" t="str">
        <f>VLOOKUP($H685,инфо!$O:$P,2,FALSE)</f>
        <v>Кофе БС</v>
      </c>
      <c r="J685" s="160" t="str">
        <f>VLOOKUP($I685,инфо!$D:$G,3,FALSE)</f>
        <v>кг</v>
      </c>
      <c r="K685" s="747" t="s">
        <v>1538</v>
      </c>
      <c r="M685" s="963">
        <f>SUMIF($H$1:$H685,$H685,$L$1:$L685)-SUMIF($H$1:$H684,$H685,$N$1:$N684)</f>
        <v>44.4</v>
      </c>
      <c r="N685" s="964">
        <v>24.896888000000001</v>
      </c>
      <c r="O685" s="962">
        <f t="shared" si="10"/>
        <v>19.503111999999998</v>
      </c>
    </row>
    <row r="686" spans="2:15" ht="18" customHeight="1" x14ac:dyDescent="0.25">
      <c r="B686" s="259">
        <v>45121</v>
      </c>
      <c r="C68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86" s="259">
        <v>45121</v>
      </c>
      <c r="H686" s="254" t="s">
        <v>72</v>
      </c>
      <c r="I686" s="764" t="str">
        <f>VLOOKUP($H686,инфо!$O:$P,2,FALSE)</f>
        <v>Кофе растворимый</v>
      </c>
      <c r="J686" s="160" t="str">
        <f>VLOOKUP($I686,инфо!$D:$G,3,FALSE)</f>
        <v>кг</v>
      </c>
      <c r="K686" s="747" t="s">
        <v>1538</v>
      </c>
      <c r="M686" s="963">
        <f>SUMIF($H$1:$H686,$H686,$L$1:$L686)-SUMIF($H$1:$H685,$H686,$N$1:$N685)</f>
        <v>30.4</v>
      </c>
      <c r="N686" s="964">
        <v>24.896888000000001</v>
      </c>
      <c r="O686" s="962">
        <f t="shared" si="10"/>
        <v>5.503111999999998</v>
      </c>
    </row>
    <row r="687" spans="2:15" ht="18" customHeight="1" x14ac:dyDescent="0.25">
      <c r="B687" s="259">
        <v>45121</v>
      </c>
      <c r="C68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87" s="259">
        <v>45121</v>
      </c>
      <c r="H687" s="254" t="s">
        <v>423</v>
      </c>
      <c r="I687" s="764" t="str">
        <f>VLOOKUP($H687,инфо!$O:$P,2,FALSE)</f>
        <v>Какао</v>
      </c>
      <c r="J687" s="160" t="str">
        <f>VLOOKUP($I687,инфо!$D:$G,3,FALSE)</f>
        <v>кг</v>
      </c>
      <c r="K687" s="747" t="s">
        <v>1538</v>
      </c>
      <c r="M687" s="963">
        <f>SUMIF($H$1:$H687,$H687,$L$1:$L687)-SUMIF($H$1:$H686,$H687,$N$1:$N686)</f>
        <v>128</v>
      </c>
      <c r="N687" s="964">
        <v>31.121110000000002</v>
      </c>
      <c r="O687" s="962">
        <f t="shared" si="10"/>
        <v>96.878889999999998</v>
      </c>
    </row>
    <row r="688" spans="2:15" ht="18" customHeight="1" x14ac:dyDescent="0.25">
      <c r="B688" s="259">
        <v>45121</v>
      </c>
      <c r="C68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88" s="259">
        <f>B688</f>
        <v>45121</v>
      </c>
      <c r="H688" t="s">
        <v>179</v>
      </c>
      <c r="I688" s="764" t="str">
        <f>VLOOKUP($H688,инфо!$O:$P,2,FALSE)</f>
        <v>Гексавит</v>
      </c>
      <c r="J688" s="160" t="str">
        <f>VLOOKUP($I688,инфо!$D:$G,3,FALSE)</f>
        <v>кг</v>
      </c>
      <c r="K688" s="747" t="s">
        <v>1538</v>
      </c>
      <c r="L688" s="663">
        <v>54</v>
      </c>
      <c r="M688" s="963">
        <f>SUMIF($H$1:$H688,$H688,$L$1:$L688)-SUMIF($H$1:$H687,$H688,$N$1:$N687)</f>
        <v>218</v>
      </c>
      <c r="O688" s="962">
        <f t="shared" si="10"/>
        <v>218</v>
      </c>
    </row>
    <row r="689" spans="2:15" ht="18" customHeight="1" x14ac:dyDescent="0.25">
      <c r="B689" s="259">
        <v>45121</v>
      </c>
      <c r="C689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89" s="259">
        <v>45121</v>
      </c>
      <c r="H689" s="254" t="s">
        <v>179</v>
      </c>
      <c r="I689" s="764" t="str">
        <f>VLOOKUP($H689,инфо!$O:$P,2,FALSE)</f>
        <v>Гексавит</v>
      </c>
      <c r="J689" s="160" t="str">
        <f>VLOOKUP($I689,инфо!$D:$G,3,FALSE)</f>
        <v>кг</v>
      </c>
      <c r="K689" s="747" t="s">
        <v>1538</v>
      </c>
      <c r="M689" s="963">
        <f>SUMIF($H$1:$H689,$H689,$L$1:$L689)-SUMIF($H$1:$H688,$H689,$N$1:$N688)</f>
        <v>218</v>
      </c>
      <c r="N689" s="964">
        <v>93.363330000000005</v>
      </c>
      <c r="O689" s="962">
        <f t="shared" si="10"/>
        <v>124.63667</v>
      </c>
    </row>
    <row r="690" spans="2:15" ht="18" customHeight="1" x14ac:dyDescent="0.25">
      <c r="B690" s="259">
        <v>45121</v>
      </c>
      <c r="C69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90" s="259">
        <f>B690</f>
        <v>45121</v>
      </c>
      <c r="H690" t="s">
        <v>324</v>
      </c>
      <c r="I690" s="764" t="str">
        <f>VLOOKUP($H690,инфо!$O:$P,2,FALSE)</f>
        <v>Изюм</v>
      </c>
      <c r="J690" s="160" t="str">
        <f>VLOOKUP($I690,инфо!$D:$G,3,FALSE)</f>
        <v>кг</v>
      </c>
      <c r="K690" s="747" t="s">
        <v>1538</v>
      </c>
      <c r="L690" s="663">
        <v>18</v>
      </c>
      <c r="M690" s="963">
        <f>SUMIF($H$1:$H690,$H690,$L$1:$L690)-SUMIF($H$1:$H689,$H690,$N$1:$N689)</f>
        <v>111.87889</v>
      </c>
      <c r="O690" s="962">
        <f t="shared" si="10"/>
        <v>111.87889</v>
      </c>
    </row>
    <row r="691" spans="2:15" ht="18" customHeight="1" x14ac:dyDescent="0.25">
      <c r="B691" s="259">
        <v>45121</v>
      </c>
      <c r="C69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91" s="259">
        <f>B691</f>
        <v>45121</v>
      </c>
      <c r="H691" t="s">
        <v>73</v>
      </c>
      <c r="I691" s="764" t="str">
        <f>VLOOKUP($H691,инфо!$O:$P,2,FALSE)</f>
        <v>Курага</v>
      </c>
      <c r="J691" s="160" t="str">
        <f>VLOOKUP($I691,инфо!$D:$G,3,FALSE)</f>
        <v>кг</v>
      </c>
      <c r="K691" s="747" t="s">
        <v>1538</v>
      </c>
      <c r="L691" s="663">
        <v>25.2</v>
      </c>
      <c r="M691" s="963">
        <f>SUMIF($H$1:$H691,$H691,$L$1:$L691)-SUMIF($H$1:$H690,$H691,$N$1:$N690)</f>
        <v>61.573599999999999</v>
      </c>
      <c r="O691" s="962">
        <f t="shared" si="10"/>
        <v>61.573599999999999</v>
      </c>
    </row>
    <row r="692" spans="2:15" ht="18" customHeight="1" x14ac:dyDescent="0.25">
      <c r="B692" s="259">
        <v>45121</v>
      </c>
      <c r="C69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92" s="259">
        <f>B692</f>
        <v>45121</v>
      </c>
      <c r="H692" t="s">
        <v>78</v>
      </c>
      <c r="I692" s="764" t="str">
        <f>VLOOKUP($H692,инфо!$O:$P,2,FALSE)</f>
        <v>Чернослив</v>
      </c>
      <c r="J692" s="160" t="str">
        <f>VLOOKUP($I692,инфо!$D:$G,3,FALSE)</f>
        <v>кг</v>
      </c>
      <c r="K692" s="747" t="s">
        <v>1538</v>
      </c>
      <c r="L692" s="663">
        <v>23.400000000000002</v>
      </c>
      <c r="M692" s="963">
        <f>SUMIF($H$1:$H692,$H692,$L$1:$L692)-SUMIF($H$1:$H691,$H692,$N$1:$N691)</f>
        <v>192.4</v>
      </c>
      <c r="O692" s="962">
        <f t="shared" si="10"/>
        <v>192.4</v>
      </c>
    </row>
    <row r="693" spans="2:15" ht="18" customHeight="1" x14ac:dyDescent="0.25">
      <c r="B693" s="259">
        <v>45121</v>
      </c>
      <c r="C693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93" s="259">
        <v>45121</v>
      </c>
      <c r="H693" s="254" t="s">
        <v>78</v>
      </c>
      <c r="I693" s="764" t="str">
        <f>VLOOKUP($H693,инфо!$O:$P,2,FALSE)</f>
        <v>Чернослив</v>
      </c>
      <c r="J693" s="160" t="str">
        <f>VLOOKUP($I693,инфо!$D:$G,3,FALSE)</f>
        <v>кг</v>
      </c>
      <c r="K693" s="747" t="s">
        <v>1538</v>
      </c>
      <c r="M693" s="963">
        <f>SUMIF($H$1:$H693,$H693,$L$1:$L693)-SUMIF($H$1:$H692,$H693,$N$1:$N692)</f>
        <v>192.4</v>
      </c>
      <c r="N693" s="964">
        <v>40.457442999999998</v>
      </c>
      <c r="O693" s="962">
        <f t="shared" si="10"/>
        <v>151.94255700000002</v>
      </c>
    </row>
    <row r="694" spans="2:15" ht="18" customHeight="1" x14ac:dyDescent="0.25">
      <c r="B694" s="259">
        <v>45121</v>
      </c>
      <c r="C69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94" s="259">
        <f>B694</f>
        <v>45121</v>
      </c>
      <c r="H694" t="s">
        <v>422</v>
      </c>
      <c r="I694" s="764" t="str">
        <f>VLOOKUP($H694,инфо!$O:$P,2,FALSE)</f>
        <v>Смесь сухофруктов</v>
      </c>
      <c r="J694" s="160" t="str">
        <f>VLOOKUP($I694,инфо!$D:$G,3,FALSE)</f>
        <v>кг</v>
      </c>
      <c r="K694" s="747" t="s">
        <v>1538</v>
      </c>
      <c r="L694" s="663">
        <v>50</v>
      </c>
      <c r="M694" s="963">
        <f>SUMIF($H$1:$H694,$H694,$L$1:$L694)-SUMIF($H$1:$H693,$H694,$N$1:$N693)</f>
        <v>66.248000000000005</v>
      </c>
      <c r="O694" s="962">
        <f t="shared" si="10"/>
        <v>66.248000000000005</v>
      </c>
    </row>
    <row r="695" spans="2:15" ht="18" customHeight="1" x14ac:dyDescent="0.25">
      <c r="B695" s="259">
        <v>45121</v>
      </c>
      <c r="C695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695" s="259">
        <v>45121</v>
      </c>
      <c r="H695" s="254" t="s">
        <v>422</v>
      </c>
      <c r="I695" s="764" t="str">
        <f>VLOOKUP($H695,инфо!$O:$P,2,FALSE)</f>
        <v>Смесь сухофруктов</v>
      </c>
      <c r="J695" s="160" t="str">
        <f>VLOOKUP($I695,инфо!$D:$G,3,FALSE)</f>
        <v>кг</v>
      </c>
      <c r="K695" s="747" t="s">
        <v>1538</v>
      </c>
      <c r="M695" s="963">
        <f>SUMIF($H$1:$H695,$H695,$L$1:$L695)-SUMIF($H$1:$H694,$H695,$N$1:$N694)</f>
        <v>66.248000000000005</v>
      </c>
      <c r="N695" s="964">
        <v>62.242220000000003</v>
      </c>
      <c r="O695" s="962">
        <f t="shared" si="10"/>
        <v>4.0057800000000015</v>
      </c>
    </row>
    <row r="696" spans="2:15" ht="18" customHeight="1" x14ac:dyDescent="0.25">
      <c r="B696" s="259">
        <v>45121</v>
      </c>
      <c r="C69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96" s="259">
        <f t="shared" ref="E696:E703" si="11">B696</f>
        <v>45121</v>
      </c>
      <c r="H696" t="s">
        <v>88</v>
      </c>
      <c r="I696" s="764" t="str">
        <f>VLOOKUP($H696,инфо!$O:$P,2,FALSE)</f>
        <v>Сок яблочный</v>
      </c>
      <c r="J696" s="160" t="str">
        <f>VLOOKUP($I696,инфо!$D:$G,3,FALSE)</f>
        <v>кг</v>
      </c>
      <c r="K696" s="747" t="s">
        <v>1538</v>
      </c>
      <c r="L696" s="663">
        <v>180</v>
      </c>
      <c r="M696" s="963">
        <f>SUMIF($H$1:$H696,$H696,$L$1:$L696)-SUMIF($H$1:$H695,$H696,$N$1:$N695)</f>
        <v>320</v>
      </c>
      <c r="O696" s="962">
        <f t="shared" si="10"/>
        <v>320</v>
      </c>
    </row>
    <row r="697" spans="2:15" ht="18" customHeight="1" x14ac:dyDescent="0.25">
      <c r="B697" s="259">
        <v>45121</v>
      </c>
      <c r="C69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97" s="259">
        <f t="shared" si="11"/>
        <v>45121</v>
      </c>
      <c r="H697" t="s">
        <v>82</v>
      </c>
      <c r="I697" s="764" t="str">
        <f>VLOOKUP($H697,инфо!$O:$P,2,FALSE)</f>
        <v>Карамель</v>
      </c>
      <c r="J697" s="160" t="str">
        <f>VLOOKUP($I697,инфо!$D:$G,3,FALSE)</f>
        <v>кг</v>
      </c>
      <c r="K697" s="747" t="s">
        <v>1538</v>
      </c>
      <c r="L697" s="663">
        <v>72</v>
      </c>
      <c r="M697" s="963">
        <f>SUMIF($H$1:$H697,$H697,$L$1:$L697)-SUMIF($H$1:$H696,$H697,$N$1:$N696)</f>
        <v>160.01156</v>
      </c>
      <c r="O697" s="962">
        <f t="shared" si="10"/>
        <v>160.01156</v>
      </c>
    </row>
    <row r="698" spans="2:15" ht="18" customHeight="1" x14ac:dyDescent="0.25">
      <c r="B698" s="259">
        <v>45121</v>
      </c>
      <c r="C69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98" s="259">
        <f t="shared" si="11"/>
        <v>45121</v>
      </c>
      <c r="H698" t="s">
        <v>85</v>
      </c>
      <c r="I698" s="764" t="str">
        <f>VLOOKUP($H698,инфо!$O:$P,2,FALSE)</f>
        <v>Печенье</v>
      </c>
      <c r="J698" s="160" t="str">
        <f>VLOOKUP($I698,инфо!$D:$G,3,FALSE)</f>
        <v>кг</v>
      </c>
      <c r="K698" s="747" t="s">
        <v>1538</v>
      </c>
      <c r="L698" s="663">
        <v>54</v>
      </c>
      <c r="M698" s="963">
        <f>SUMIF($H$1:$H698,$H698,$L$1:$L698)-SUMIF($H$1:$H697,$H698,$N$1:$N697)</f>
        <v>318</v>
      </c>
      <c r="O698" s="962">
        <f t="shared" si="10"/>
        <v>318</v>
      </c>
    </row>
    <row r="699" spans="2:15" ht="18" customHeight="1" x14ac:dyDescent="0.25">
      <c r="B699" s="259">
        <v>45121</v>
      </c>
      <c r="C69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699" s="259">
        <f t="shared" si="11"/>
        <v>45121</v>
      </c>
      <c r="H699" t="s">
        <v>161</v>
      </c>
      <c r="I699" s="764" t="str">
        <f>VLOOKUP($H699,инфо!$O:$P,2,FALSE)</f>
        <v>Пряники</v>
      </c>
      <c r="J699" s="160" t="str">
        <f>VLOOKUP($I699,инфо!$D:$G,3,FALSE)</f>
        <v>кг</v>
      </c>
      <c r="K699" s="747" t="s">
        <v>1538</v>
      </c>
      <c r="L699" s="663">
        <v>63</v>
      </c>
      <c r="M699" s="963">
        <f>SUMIF($H$1:$H699,$H699,$L$1:$L699)-SUMIF($H$1:$H698,$H699,$N$1:$N698)</f>
        <v>98</v>
      </c>
      <c r="O699" s="962">
        <f t="shared" si="10"/>
        <v>98</v>
      </c>
    </row>
    <row r="700" spans="2:15" ht="18" customHeight="1" x14ac:dyDescent="0.25">
      <c r="B700" s="259">
        <v>45121</v>
      </c>
      <c r="C70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00" s="259">
        <f t="shared" si="11"/>
        <v>45121</v>
      </c>
      <c r="H700" t="s">
        <v>81</v>
      </c>
      <c r="I700" s="764" t="str">
        <f>VLOOKUP($H700,инфо!$O:$P,2,FALSE)</f>
        <v>Вафли</v>
      </c>
      <c r="J700" s="160" t="str">
        <f>VLOOKUP($I700,инфо!$D:$G,3,FALSE)</f>
        <v>кг</v>
      </c>
      <c r="K700" s="747" t="s">
        <v>1538</v>
      </c>
      <c r="L700" s="663">
        <v>36</v>
      </c>
      <c r="M700" s="963">
        <f>SUMIF($H$1:$H700,$H700,$L$1:$L700)-SUMIF($H$1:$H699,$H700,$N$1:$N699)</f>
        <v>183</v>
      </c>
      <c r="O700" s="962">
        <f t="shared" si="10"/>
        <v>183</v>
      </c>
    </row>
    <row r="701" spans="2:15" ht="18" customHeight="1" x14ac:dyDescent="0.25">
      <c r="B701" s="259">
        <v>45121</v>
      </c>
      <c r="C70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01" s="259">
        <f t="shared" si="11"/>
        <v>45121</v>
      </c>
      <c r="H701" t="s">
        <v>86</v>
      </c>
      <c r="I701" s="764" t="str">
        <f>VLOOKUP($H701,инфо!$O:$P,2,FALSE)</f>
        <v>Печенье БС</v>
      </c>
      <c r="J701" s="160" t="str">
        <f>VLOOKUP($I701,инфо!$D:$G,3,FALSE)</f>
        <v>кг</v>
      </c>
      <c r="K701" s="747" t="s">
        <v>1538</v>
      </c>
      <c r="L701" s="663">
        <v>48.6</v>
      </c>
      <c r="M701" s="963">
        <f>SUMIF($H$1:$H701,$H701,$L$1:$L701)-SUMIF($H$1:$H700,$H701,$N$1:$N700)</f>
        <v>61.599999999999994</v>
      </c>
      <c r="O701" s="962">
        <f t="shared" si="10"/>
        <v>61.599999999999994</v>
      </c>
    </row>
    <row r="702" spans="2:15" ht="18" customHeight="1" x14ac:dyDescent="0.25">
      <c r="B702" s="259">
        <v>45121</v>
      </c>
      <c r="C70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02" s="259">
        <f t="shared" si="11"/>
        <v>45121</v>
      </c>
      <c r="H702" t="s">
        <v>89</v>
      </c>
      <c r="I702" s="764" t="str">
        <f>VLOOKUP($H702,инфо!$O:$P,2,FALSE)</f>
        <v>Яблоки свежие</v>
      </c>
      <c r="J702" s="160" t="str">
        <f>VLOOKUP($I702,инфо!$D:$G,3,FALSE)</f>
        <v>кг</v>
      </c>
      <c r="K702" s="747" t="s">
        <v>1538</v>
      </c>
      <c r="L702" s="663">
        <v>90</v>
      </c>
      <c r="M702" s="963">
        <f>SUMIF($H$1:$H702,$H702,$L$1:$L702)-SUMIF($H$1:$H701,$H702,$N$1:$N701)</f>
        <v>215.01445000000001</v>
      </c>
      <c r="O702" s="962">
        <f t="shared" si="10"/>
        <v>215.01445000000001</v>
      </c>
    </row>
    <row r="703" spans="2:15" ht="18" customHeight="1" x14ac:dyDescent="0.25">
      <c r="B703" s="259">
        <v>45121</v>
      </c>
      <c r="C70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03" s="259">
        <f t="shared" si="11"/>
        <v>45121</v>
      </c>
      <c r="H703" t="s">
        <v>80</v>
      </c>
      <c r="I703" s="764" t="str">
        <f>VLOOKUP($H703,инфо!$O:$P,2,FALSE)</f>
        <v>Апельсины</v>
      </c>
      <c r="J703" s="160" t="str">
        <f>VLOOKUP($I703,инфо!$D:$G,3,FALSE)</f>
        <v>кг</v>
      </c>
      <c r="K703" s="747" t="s">
        <v>1538</v>
      </c>
      <c r="L703" s="663">
        <v>108</v>
      </c>
      <c r="M703" s="963">
        <f>SUMIF($H$1:$H703,$H703,$L$1:$L703)-SUMIF($H$1:$H702,$H703,$N$1:$N702)</f>
        <v>112</v>
      </c>
      <c r="O703" s="962">
        <f t="shared" si="10"/>
        <v>112</v>
      </c>
    </row>
    <row r="704" spans="2:15" ht="18" customHeight="1" x14ac:dyDescent="0.25">
      <c r="B704" s="259">
        <v>45121</v>
      </c>
      <c r="C70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704" s="259">
        <v>45121</v>
      </c>
      <c r="H704" s="254" t="s">
        <v>80</v>
      </c>
      <c r="I704" s="764" t="str">
        <f>VLOOKUP($H704,инфо!$O:$P,2,FALSE)</f>
        <v>Апельсины</v>
      </c>
      <c r="J704" s="160" t="str">
        <f>VLOOKUP($I704,инфо!$D:$G,3,FALSE)</f>
        <v>кг</v>
      </c>
      <c r="K704" s="747" t="s">
        <v>1538</v>
      </c>
      <c r="M704" s="963">
        <f>SUMIF($H$1:$H704,$H704,$L$1:$L704)-SUMIF($H$1:$H703,$H704,$N$1:$N703)</f>
        <v>112</v>
      </c>
      <c r="N704" s="964">
        <v>15</v>
      </c>
      <c r="O704" s="962">
        <f t="shared" si="10"/>
        <v>97</v>
      </c>
    </row>
    <row r="705" spans="2:15" ht="18" customHeight="1" x14ac:dyDescent="0.25">
      <c r="B705" s="259">
        <v>45121</v>
      </c>
      <c r="C70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05" s="259">
        <f>B705</f>
        <v>45121</v>
      </c>
      <c r="H705" t="s">
        <v>521</v>
      </c>
      <c r="I705" s="764" t="str">
        <f>VLOOKUP($H705,инфо!$O:$P,2,FALSE)</f>
        <v>Груши свежие</v>
      </c>
      <c r="J705" s="160" t="str">
        <f>VLOOKUP($I705,инфо!$D:$G,3,FALSE)</f>
        <v>кг</v>
      </c>
      <c r="K705" s="747" t="s">
        <v>1538</v>
      </c>
      <c r="L705" s="663">
        <v>36</v>
      </c>
      <c r="M705" s="963">
        <f>SUMIF($H$1:$H705,$H705,$L$1:$L705)-SUMIF($H$1:$H704,$H705,$N$1:$N704)</f>
        <v>40.005780000000001</v>
      </c>
      <c r="O705" s="962">
        <f t="shared" ref="O705:O768" si="12">$M705-$N705</f>
        <v>40.005780000000001</v>
      </c>
    </row>
    <row r="706" spans="2:15" ht="18" customHeight="1" x14ac:dyDescent="0.25">
      <c r="B706" s="259">
        <v>45121</v>
      </c>
      <c r="C70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06" s="259">
        <f>B706</f>
        <v>45121</v>
      </c>
      <c r="H706" t="s">
        <v>83</v>
      </c>
      <c r="I706" s="764" t="str">
        <f>VLOOKUP($H706,инфо!$O:$P,2,FALSE)</f>
        <v>Конфеты шоколадные</v>
      </c>
      <c r="J706" s="160" t="str">
        <f>VLOOKUP($I706,инфо!$D:$G,3,FALSE)</f>
        <v>кг</v>
      </c>
      <c r="K706" s="747" t="s">
        <v>1538</v>
      </c>
      <c r="L706" s="663">
        <v>36</v>
      </c>
      <c r="M706" s="963">
        <f>SUMIF($H$1:$H706,$H706,$L$1:$L706)-SUMIF($H$1:$H705,$H706,$N$1:$N705)</f>
        <v>145</v>
      </c>
      <c r="O706" s="962">
        <f t="shared" si="12"/>
        <v>145</v>
      </c>
    </row>
    <row r="707" spans="2:15" ht="18" customHeight="1" x14ac:dyDescent="0.25">
      <c r="B707" s="259">
        <v>45124</v>
      </c>
      <c r="C70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707" s="259">
        <v>45124</v>
      </c>
      <c r="H707" s="254" t="s">
        <v>61</v>
      </c>
      <c r="I707" s="764" t="str">
        <f>VLOOKUP($H707,инфо!$O:$P,2,FALSE)</f>
        <v>Масло растительное</v>
      </c>
      <c r="J707" s="160" t="str">
        <f>VLOOKUP($I707,инфо!$D:$G,3,FALSE)</f>
        <v>литр</v>
      </c>
      <c r="K707" s="747" t="s">
        <v>1538</v>
      </c>
      <c r="M707" s="963">
        <f>SUMIF($H$1:$H707,$H707,$L$1:$L707)-SUMIF($H$1:$H706,$H707,$N$1:$N706)</f>
        <v>397.86799999999999</v>
      </c>
      <c r="N707" s="964">
        <v>217.84777</v>
      </c>
      <c r="O707" s="962">
        <f t="shared" si="12"/>
        <v>180.02023</v>
      </c>
    </row>
    <row r="708" spans="2:15" ht="18" customHeight="1" x14ac:dyDescent="0.25">
      <c r="B708" s="259">
        <v>45124</v>
      </c>
      <c r="C70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708" s="259">
        <v>45124</v>
      </c>
      <c r="H708" s="254" t="s">
        <v>62</v>
      </c>
      <c r="I708" s="764" t="str">
        <f>VLOOKUP($H708,инфо!$O:$P,2,FALSE)</f>
        <v>Сало-шпик</v>
      </c>
      <c r="J708" s="160" t="str">
        <f>VLOOKUP($I708,инфо!$D:$G,3,FALSE)</f>
        <v>кг</v>
      </c>
      <c r="K708" s="747" t="s">
        <v>1538</v>
      </c>
      <c r="M708" s="963">
        <f>SUMIF($H$1:$H708,$H708,$L$1:$L708)-SUMIF($H$1:$H707,$H708,$N$1:$N707)</f>
        <v>132.24799999999999</v>
      </c>
      <c r="N708" s="964">
        <v>62.242220000000003</v>
      </c>
      <c r="O708" s="962">
        <f t="shared" si="12"/>
        <v>70.005779999999987</v>
      </c>
    </row>
    <row r="709" spans="2:15" ht="18" customHeight="1" x14ac:dyDescent="0.25">
      <c r="B709" s="259">
        <v>45124</v>
      </c>
      <c r="C70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09" s="259">
        <f>B709</f>
        <v>45124</v>
      </c>
      <c r="H709" t="s">
        <v>65</v>
      </c>
      <c r="I709" s="764" t="str">
        <f>VLOOKUP($H709,инфо!$O:$P,2,FALSE)</f>
        <v>Мясо птицы</v>
      </c>
      <c r="J709" s="160" t="str">
        <f>VLOOKUP($I709,инфо!$D:$G,3,FALSE)</f>
        <v>кг</v>
      </c>
      <c r="K709" s="747" t="s">
        <v>1538</v>
      </c>
      <c r="L709" s="663">
        <v>108</v>
      </c>
      <c r="M709" s="963">
        <f>SUMIF($H$1:$H709,$H709,$L$1:$L709)-SUMIF($H$1:$H708,$H709,$N$1:$N708)</f>
        <v>396.74400000000003</v>
      </c>
      <c r="O709" s="962">
        <f t="shared" si="12"/>
        <v>396.74400000000003</v>
      </c>
    </row>
    <row r="710" spans="2:15" ht="18" customHeight="1" x14ac:dyDescent="0.25">
      <c r="B710" s="259">
        <v>45124</v>
      </c>
      <c r="C71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710" s="259">
        <v>45124</v>
      </c>
      <c r="H710" s="254" t="s">
        <v>65</v>
      </c>
      <c r="I710" s="764" t="str">
        <f>VLOOKUP($H710,инфо!$O:$P,2,FALSE)</f>
        <v>Мясо птицы</v>
      </c>
      <c r="J710" s="160" t="str">
        <f>VLOOKUP($I710,инфо!$D:$G,3,FALSE)</f>
        <v>кг</v>
      </c>
      <c r="K710" s="747" t="s">
        <v>1538</v>
      </c>
      <c r="M710" s="963">
        <f>SUMIF($H$1:$H710,$H710,$L$1:$L710)-SUMIF($H$1:$H709,$H710,$N$1:$N709)</f>
        <v>396.74400000000003</v>
      </c>
      <c r="N710" s="964">
        <v>186.72666000000001</v>
      </c>
      <c r="O710" s="962">
        <f t="shared" si="12"/>
        <v>210.01734000000002</v>
      </c>
    </row>
    <row r="711" spans="2:15" ht="18" customHeight="1" x14ac:dyDescent="0.25">
      <c r="B711" s="259">
        <v>45124</v>
      </c>
      <c r="C71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11" s="259">
        <f t="shared" ref="E711:E749" si="13">B711</f>
        <v>45124</v>
      </c>
      <c r="H711" t="s">
        <v>66</v>
      </c>
      <c r="I711" s="764" t="str">
        <f>VLOOKUP($H711,инфо!$O:$P,2,FALSE)</f>
        <v>Свинина б/к</v>
      </c>
      <c r="J711" s="160" t="str">
        <f>VLOOKUP($I711,инфо!$D:$G,3,FALSE)</f>
        <v>кг</v>
      </c>
      <c r="K711" s="747" t="s">
        <v>1538</v>
      </c>
      <c r="L711" s="663">
        <v>108</v>
      </c>
      <c r="M711" s="963">
        <f>SUMIF($H$1:$H711,$H711,$L$1:$L711)-SUMIF($H$1:$H710,$H711,$N$1:$N710)</f>
        <v>258.74400000000003</v>
      </c>
      <c r="O711" s="962">
        <f t="shared" si="12"/>
        <v>258.74400000000003</v>
      </c>
    </row>
    <row r="712" spans="2:15" ht="18" customHeight="1" x14ac:dyDescent="0.25">
      <c r="B712" s="259">
        <v>45124</v>
      </c>
      <c r="C71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12" s="259">
        <f t="shared" si="13"/>
        <v>45124</v>
      </c>
      <c r="H712" t="s">
        <v>512</v>
      </c>
      <c r="I712" s="764" t="str">
        <f>VLOOKUP($H712,инфо!$O:$P,2,FALSE)</f>
        <v>Свинина консерв.</v>
      </c>
      <c r="J712" s="160" t="str">
        <f>VLOOKUP($I712,инфо!$D:$G,3,FALSE)</f>
        <v>кг</v>
      </c>
      <c r="K712" s="747" t="s">
        <v>1538</v>
      </c>
      <c r="L712" s="663">
        <v>150</v>
      </c>
      <c r="M712" s="963">
        <f>SUMIF($H$1:$H712,$H712,$L$1:$L712)-SUMIF($H$1:$H711,$H712,$N$1:$N711)</f>
        <v>212.49600000000001</v>
      </c>
      <c r="O712" s="962">
        <f t="shared" si="12"/>
        <v>212.49600000000001</v>
      </c>
    </row>
    <row r="713" spans="2:15" ht="18" customHeight="1" x14ac:dyDescent="0.25">
      <c r="B713" s="259">
        <v>45124</v>
      </c>
      <c r="C71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13" s="259">
        <f t="shared" si="13"/>
        <v>45124</v>
      </c>
      <c r="H713" t="s">
        <v>335</v>
      </c>
      <c r="I713" s="764" t="str">
        <f>VLOOKUP($H713,инфо!$O:$P,2,FALSE)</f>
        <v>Свинина на кости</v>
      </c>
      <c r="J713" s="160" t="str">
        <f>VLOOKUP($I713,инфо!$D:$G,3,FALSE)</f>
        <v>кг</v>
      </c>
      <c r="K713" s="747" t="s">
        <v>1538</v>
      </c>
      <c r="L713" s="663">
        <v>170</v>
      </c>
      <c r="M713" s="963">
        <f>SUMIF($H$1:$H713,$H713,$L$1:$L713)-SUMIF($H$1:$H712,$H713,$N$1:$N712)</f>
        <v>210.62</v>
      </c>
      <c r="O713" s="962">
        <f t="shared" si="12"/>
        <v>210.62</v>
      </c>
    </row>
    <row r="714" spans="2:15" ht="18" customHeight="1" x14ac:dyDescent="0.25">
      <c r="B714" s="259">
        <v>45124</v>
      </c>
      <c r="C71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14" s="259">
        <f t="shared" si="13"/>
        <v>45124</v>
      </c>
      <c r="H714" t="s">
        <v>474</v>
      </c>
      <c r="I714" s="764" t="str">
        <f>VLOOKUP($H714,инфо!$O:$P,2,FALSE)</f>
        <v>Колбаса вареная</v>
      </c>
      <c r="J714" s="160" t="str">
        <f>VLOOKUP($I714,инфо!$D:$G,3,FALSE)</f>
        <v>кг</v>
      </c>
      <c r="K714" s="747" t="s">
        <v>1538</v>
      </c>
      <c r="L714" s="663">
        <v>54</v>
      </c>
      <c r="M714" s="963">
        <f>SUMIF($H$1:$H714,$H714,$L$1:$L714)-SUMIF($H$1:$H713,$H714,$N$1:$N713)</f>
        <v>78.372</v>
      </c>
      <c r="O714" s="962">
        <f t="shared" si="12"/>
        <v>78.372</v>
      </c>
    </row>
    <row r="715" spans="2:15" ht="18" customHeight="1" x14ac:dyDescent="0.25">
      <c r="B715" s="259">
        <v>45124</v>
      </c>
      <c r="C71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15" s="259">
        <f t="shared" si="13"/>
        <v>45124</v>
      </c>
      <c r="H715" t="s">
        <v>64</v>
      </c>
      <c r="I715" s="764" t="str">
        <f>VLOOKUP($H715,инфо!$O:$P,2,FALSE)</f>
        <v>Колбаса п/к</v>
      </c>
      <c r="J715" s="160" t="str">
        <f>VLOOKUP($I715,инфо!$D:$G,3,FALSE)</f>
        <v>кг</v>
      </c>
      <c r="K715" s="747" t="s">
        <v>1538</v>
      </c>
      <c r="L715" s="663">
        <v>36</v>
      </c>
      <c r="M715" s="963">
        <f>SUMIF($H$1:$H715,$H715,$L$1:$L715)-SUMIF($H$1:$H714,$H715,$N$1:$N714)</f>
        <v>68.248000000000005</v>
      </c>
      <c r="O715" s="962">
        <f t="shared" si="12"/>
        <v>68.248000000000005</v>
      </c>
    </row>
    <row r="716" spans="2:15" ht="18" customHeight="1" x14ac:dyDescent="0.25">
      <c r="B716" s="259">
        <v>45124</v>
      </c>
      <c r="C71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16" s="259">
        <f t="shared" si="13"/>
        <v>45124</v>
      </c>
      <c r="H716" t="s">
        <v>59</v>
      </c>
      <c r="I716" s="764" t="str">
        <f>VLOOKUP($H716,инфо!$O:$P,2,FALSE)</f>
        <v>Колбаса с/к</v>
      </c>
      <c r="J716" s="160" t="str">
        <f>VLOOKUP($I716,инфо!$D:$G,3,FALSE)</f>
        <v>кг</v>
      </c>
      <c r="K716" s="747" t="s">
        <v>1538</v>
      </c>
      <c r="L716" s="663">
        <v>36</v>
      </c>
      <c r="M716" s="963">
        <f>SUMIF($H$1:$H716,$H716,$L$1:$L716)-SUMIF($H$1:$H715,$H716,$N$1:$N715)</f>
        <v>72.248000000000005</v>
      </c>
      <c r="O716" s="962">
        <f t="shared" si="12"/>
        <v>72.248000000000005</v>
      </c>
    </row>
    <row r="717" spans="2:15" ht="18" customHeight="1" x14ac:dyDescent="0.25">
      <c r="B717" s="259">
        <v>45124</v>
      </c>
      <c r="C71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17" s="259">
        <f t="shared" si="13"/>
        <v>45124</v>
      </c>
      <c r="H717" t="s">
        <v>476</v>
      </c>
      <c r="I717" s="764" t="str">
        <f>VLOOKUP($H717,инфо!$O:$P,2,FALSE)</f>
        <v>Сосиски</v>
      </c>
      <c r="J717" s="160" t="str">
        <f>VLOOKUP($I717,инфо!$D:$G,3,FALSE)</f>
        <v>кг</v>
      </c>
      <c r="K717" s="747" t="s">
        <v>1538</v>
      </c>
      <c r="L717" s="663">
        <v>72</v>
      </c>
      <c r="M717" s="963">
        <f>SUMIF($H$1:$H717,$H717,$L$1:$L717)-SUMIF($H$1:$H716,$H717,$N$1:$N716)</f>
        <v>280.01156000000003</v>
      </c>
      <c r="O717" s="962">
        <f t="shared" si="12"/>
        <v>280.01156000000003</v>
      </c>
    </row>
    <row r="718" spans="2:15" ht="18" customHeight="1" x14ac:dyDescent="0.25">
      <c r="B718" s="259">
        <v>45124</v>
      </c>
      <c r="C71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18" s="259">
        <f t="shared" si="13"/>
        <v>45124</v>
      </c>
      <c r="H718" t="s">
        <v>475</v>
      </c>
      <c r="I718" s="764" t="str">
        <f>VLOOKUP($H718,инфо!$O:$P,2,FALSE)</f>
        <v>Сардельки</v>
      </c>
      <c r="J718" s="160" t="str">
        <f>VLOOKUP($I718,инфо!$D:$G,3,FALSE)</f>
        <v>кг</v>
      </c>
      <c r="K718" s="747" t="s">
        <v>1538</v>
      </c>
      <c r="L718" s="663">
        <v>72</v>
      </c>
      <c r="M718" s="963">
        <f>SUMIF($H$1:$H718,$H718,$L$1:$L718)-SUMIF($H$1:$H717,$H718,$N$1:$N717)</f>
        <v>160.01156</v>
      </c>
      <c r="O718" s="962">
        <f t="shared" si="12"/>
        <v>160.01156</v>
      </c>
    </row>
    <row r="719" spans="2:15" ht="18" customHeight="1" x14ac:dyDescent="0.25">
      <c r="B719" s="259">
        <v>45124</v>
      </c>
      <c r="C71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19" s="259">
        <f t="shared" si="13"/>
        <v>45124</v>
      </c>
      <c r="H719" t="s">
        <v>421</v>
      </c>
      <c r="I719" s="764" t="str">
        <f>VLOOKUP($H719,инфо!$O:$P,2,FALSE)</f>
        <v>Пельмени</v>
      </c>
      <c r="J719" s="160" t="str">
        <f>VLOOKUP($I719,инфо!$D:$G,3,FALSE)</f>
        <v>кг</v>
      </c>
      <c r="K719" s="747" t="s">
        <v>1538</v>
      </c>
      <c r="L719" s="663">
        <v>90</v>
      </c>
      <c r="M719" s="963">
        <f>SUMIF($H$1:$H719,$H719,$L$1:$L719)-SUMIF($H$1:$H718,$H719,$N$1:$N718)</f>
        <v>175.01445000000001</v>
      </c>
      <c r="O719" s="962">
        <f t="shared" si="12"/>
        <v>175.01445000000001</v>
      </c>
    </row>
    <row r="720" spans="2:15" ht="18" customHeight="1" x14ac:dyDescent="0.25">
      <c r="B720" s="259">
        <v>45124</v>
      </c>
      <c r="C72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20" s="259">
        <f t="shared" si="13"/>
        <v>45124</v>
      </c>
      <c r="H720" t="s">
        <v>507</v>
      </c>
      <c r="I720" s="764" t="str">
        <f>VLOOKUP($H720,инфо!$O:$P,2,FALSE)</f>
        <v>Печень</v>
      </c>
      <c r="J720" s="160" t="str">
        <f>VLOOKUP($I720,инфо!$D:$G,3,FALSE)</f>
        <v>кг</v>
      </c>
      <c r="K720" s="747" t="s">
        <v>1538</v>
      </c>
      <c r="L720" s="663">
        <v>18</v>
      </c>
      <c r="M720" s="963">
        <f>SUMIF($H$1:$H720,$H720,$L$1:$L720)-SUMIF($H$1:$H719,$H720,$N$1:$N719)</f>
        <v>141.124</v>
      </c>
      <c r="O720" s="962">
        <f t="shared" si="12"/>
        <v>141.124</v>
      </c>
    </row>
    <row r="721" spans="2:15" ht="18" customHeight="1" x14ac:dyDescent="0.25">
      <c r="B721" s="259">
        <v>45124</v>
      </c>
      <c r="C72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21" s="259">
        <f t="shared" si="13"/>
        <v>45124</v>
      </c>
      <c r="H721" t="s">
        <v>513</v>
      </c>
      <c r="I721" s="764" t="str">
        <f>VLOOKUP($H721,инфо!$O:$P,2,FALSE)</f>
        <v>Сердце</v>
      </c>
      <c r="J721" s="160" t="str">
        <f>VLOOKUP($I721,инфо!$D:$G,3,FALSE)</f>
        <v>кг</v>
      </c>
      <c r="K721" s="747" t="s">
        <v>1538</v>
      </c>
      <c r="L721" s="663">
        <v>39.6</v>
      </c>
      <c r="M721" s="963">
        <f>SUMIF($H$1:$H721,$H721,$L$1:$L721)-SUMIF($H$1:$H720,$H721,$N$1:$N720)</f>
        <v>57.472799999999999</v>
      </c>
      <c r="O721" s="962">
        <f t="shared" si="12"/>
        <v>57.472799999999999</v>
      </c>
    </row>
    <row r="722" spans="2:15" ht="18" customHeight="1" x14ac:dyDescent="0.25">
      <c r="B722" s="259">
        <v>45124</v>
      </c>
      <c r="C72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22" s="259">
        <f t="shared" si="13"/>
        <v>45124</v>
      </c>
      <c r="H722" t="s">
        <v>29</v>
      </c>
      <c r="I722" s="764" t="str">
        <f>VLOOKUP($H722,инфо!$O:$P,2,FALSE)</f>
        <v>Консервы рыбные</v>
      </c>
      <c r="J722" s="160" t="str">
        <f>VLOOKUP($I722,инфо!$D:$G,3,FALSE)</f>
        <v>кг</v>
      </c>
      <c r="K722" s="747" t="s">
        <v>1538</v>
      </c>
      <c r="L722" s="663">
        <v>63</v>
      </c>
      <c r="M722" s="963">
        <f>SUMIF($H$1:$H722,$H722,$L$1:$L722)-SUMIF($H$1:$H721,$H722,$N$1:$N721)</f>
        <v>142.434</v>
      </c>
      <c r="O722" s="962">
        <f t="shared" si="12"/>
        <v>142.434</v>
      </c>
    </row>
    <row r="723" spans="2:15" ht="18" customHeight="1" x14ac:dyDescent="0.25">
      <c r="B723" s="259">
        <v>45124</v>
      </c>
      <c r="C72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23" s="259">
        <f t="shared" si="13"/>
        <v>45124</v>
      </c>
      <c r="H723" t="s">
        <v>1225</v>
      </c>
      <c r="I723" s="764" t="str">
        <f>VLOOKUP($H723,инфо!$O:$P,2,FALSE)</f>
        <v>Хек б/г</v>
      </c>
      <c r="J723" s="160" t="str">
        <f>VLOOKUP($I723,инфо!$D:$G,3,FALSE)</f>
        <v>кг</v>
      </c>
      <c r="K723" s="747" t="s">
        <v>1538</v>
      </c>
      <c r="L723" s="663">
        <v>90</v>
      </c>
      <c r="M723" s="963">
        <f>SUMIF($H$1:$H723,$H723,$L$1:$L723)-SUMIF($H$1:$H722,$H723,$N$1:$N722)</f>
        <v>240</v>
      </c>
      <c r="O723" s="962">
        <f t="shared" si="12"/>
        <v>240</v>
      </c>
    </row>
    <row r="724" spans="2:15" ht="18" customHeight="1" x14ac:dyDescent="0.25">
      <c r="B724" s="259">
        <v>45124</v>
      </c>
      <c r="C72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24" s="259">
        <f t="shared" si="13"/>
        <v>45124</v>
      </c>
      <c r="H724" t="s">
        <v>1233</v>
      </c>
      <c r="I724" s="764" t="str">
        <f>VLOOKUP($H724,инфо!$O:$P,2,FALSE)</f>
        <v>Хек с/г</v>
      </c>
      <c r="J724" s="160" t="str">
        <f>VLOOKUP($I724,инфо!$D:$G,3,FALSE)</f>
        <v>кг</v>
      </c>
      <c r="K724" s="747" t="s">
        <v>1538</v>
      </c>
      <c r="L724" s="663">
        <v>72</v>
      </c>
      <c r="M724" s="963">
        <f>SUMIF($H$1:$H724,$H724,$L$1:$L724)-SUMIF($H$1:$H723,$H724,$N$1:$N723)</f>
        <v>212</v>
      </c>
      <c r="O724" s="962">
        <f t="shared" si="12"/>
        <v>212</v>
      </c>
    </row>
    <row r="725" spans="2:15" ht="18" customHeight="1" x14ac:dyDescent="0.25">
      <c r="B725" s="259">
        <v>45124</v>
      </c>
      <c r="C72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25" s="259">
        <f t="shared" si="13"/>
        <v>45124</v>
      </c>
      <c r="H725" t="s">
        <v>544</v>
      </c>
      <c r="I725" s="764" t="str">
        <f>VLOOKUP($H725,инфо!$O:$P,2,FALSE)</f>
        <v>Треска б/г</v>
      </c>
      <c r="J725" s="160" t="str">
        <f>VLOOKUP($I725,инфо!$D:$G,3,FALSE)</f>
        <v>кг</v>
      </c>
      <c r="K725" s="747" t="s">
        <v>1538</v>
      </c>
      <c r="L725" s="663">
        <v>81</v>
      </c>
      <c r="M725" s="963">
        <f>SUMIF($H$1:$H725,$H725,$L$1:$L725)-SUMIF($H$1:$H724,$H725,$N$1:$N724)</f>
        <v>217.55799999999999</v>
      </c>
      <c r="O725" s="962">
        <f t="shared" si="12"/>
        <v>217.55799999999999</v>
      </c>
    </row>
    <row r="726" spans="2:15" ht="18" customHeight="1" x14ac:dyDescent="0.25">
      <c r="B726" s="259">
        <v>45124</v>
      </c>
      <c r="C72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26" s="259">
        <f t="shared" si="13"/>
        <v>45124</v>
      </c>
      <c r="H726" t="s">
        <v>1226</v>
      </c>
      <c r="I726" s="764" t="str">
        <f>VLOOKUP($H726,инфо!$O:$P,2,FALSE)</f>
        <v>Треска с/г</v>
      </c>
      <c r="J726" s="160" t="str">
        <f>VLOOKUP($I726,инфо!$D:$G,3,FALSE)</f>
        <v>кг</v>
      </c>
      <c r="K726" s="747" t="s">
        <v>1538</v>
      </c>
      <c r="L726" s="663">
        <v>90</v>
      </c>
      <c r="M726" s="963">
        <f>SUMIF($H$1:$H726,$H726,$L$1:$L726)-SUMIF($H$1:$H725,$H726,$N$1:$N725)</f>
        <v>105.01445000000001</v>
      </c>
      <c r="O726" s="962">
        <f t="shared" si="12"/>
        <v>105.01445000000001</v>
      </c>
    </row>
    <row r="727" spans="2:15" ht="18" customHeight="1" x14ac:dyDescent="0.25">
      <c r="B727" s="259">
        <v>45124</v>
      </c>
      <c r="C72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27" s="259">
        <f t="shared" si="13"/>
        <v>45124</v>
      </c>
      <c r="H727" t="s">
        <v>1229</v>
      </c>
      <c r="I727" s="764" t="str">
        <f>VLOOKUP($H727,инфо!$O:$P,2,FALSE)</f>
        <v>Сельдь б/г</v>
      </c>
      <c r="J727" s="160" t="str">
        <f>VLOOKUP($I727,инфо!$D:$G,3,FALSE)</f>
        <v>кг</v>
      </c>
      <c r="K727" s="747" t="s">
        <v>1538</v>
      </c>
      <c r="L727" s="663">
        <v>72</v>
      </c>
      <c r="M727" s="963">
        <f>SUMIF($H$1:$H727,$H727,$L$1:$L727)-SUMIF($H$1:$H726,$H727,$N$1:$N726)</f>
        <v>130.01156</v>
      </c>
      <c r="O727" s="962">
        <f t="shared" si="12"/>
        <v>130.01156</v>
      </c>
    </row>
    <row r="728" spans="2:15" ht="18" customHeight="1" x14ac:dyDescent="0.25">
      <c r="B728" s="259">
        <v>45124</v>
      </c>
      <c r="C72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28" s="259">
        <f t="shared" si="13"/>
        <v>45124</v>
      </c>
      <c r="H728" t="s">
        <v>1230</v>
      </c>
      <c r="I728" s="764" t="str">
        <f>VLOOKUP($H728,инфо!$O:$P,2,FALSE)</f>
        <v>Сельдь с/г</v>
      </c>
      <c r="J728" s="160" t="str">
        <f>VLOOKUP($I728,инфо!$D:$G,3,FALSE)</f>
        <v>кг</v>
      </c>
      <c r="K728" s="747" t="s">
        <v>1538</v>
      </c>
      <c r="L728" s="663">
        <v>81</v>
      </c>
      <c r="M728" s="963">
        <f>SUMIF($H$1:$H728,$H728,$L$1:$L728)-SUMIF($H$1:$H727,$H728,$N$1:$N727)</f>
        <v>221.55799999999999</v>
      </c>
      <c r="O728" s="962">
        <f t="shared" si="12"/>
        <v>221.55799999999999</v>
      </c>
    </row>
    <row r="729" spans="2:15" ht="18" customHeight="1" x14ac:dyDescent="0.25">
      <c r="B729" s="259">
        <v>45124</v>
      </c>
      <c r="C72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29" s="259">
        <f t="shared" si="13"/>
        <v>45124</v>
      </c>
      <c r="H729" t="s">
        <v>1219</v>
      </c>
      <c r="I729" s="764" t="str">
        <f>VLOOKUP($H729,инфо!$O:$P,2,FALSE)</f>
        <v>Минтай б/г</v>
      </c>
      <c r="J729" s="160" t="str">
        <f>VLOOKUP($I729,инфо!$D:$G,3,FALSE)</f>
        <v>кг</v>
      </c>
      <c r="K729" s="747" t="s">
        <v>1538</v>
      </c>
      <c r="L729" s="663">
        <v>90</v>
      </c>
      <c r="M729" s="963">
        <f>SUMIF($H$1:$H729,$H729,$L$1:$L729)-SUMIF($H$1:$H728,$H729,$N$1:$N728)</f>
        <v>190.62</v>
      </c>
      <c r="O729" s="962">
        <f t="shared" si="12"/>
        <v>190.62</v>
      </c>
    </row>
    <row r="730" spans="2:15" ht="18" customHeight="1" x14ac:dyDescent="0.25">
      <c r="B730" s="259">
        <v>45124</v>
      </c>
      <c r="C73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30" s="259">
        <f t="shared" si="13"/>
        <v>45124</v>
      </c>
      <c r="H730" t="s">
        <v>1234</v>
      </c>
      <c r="I730" s="764" t="str">
        <f>VLOOKUP($H730,инфо!$O:$P,2,FALSE)</f>
        <v>Минтай с/г</v>
      </c>
      <c r="J730" s="160" t="str">
        <f>VLOOKUP($I730,инфо!$D:$G,3,FALSE)</f>
        <v>кг</v>
      </c>
      <c r="K730" s="747" t="s">
        <v>1538</v>
      </c>
      <c r="L730" s="663">
        <v>72</v>
      </c>
      <c r="M730" s="963">
        <f>SUMIF($H$1:$H730,$H730,$L$1:$L730)-SUMIF($H$1:$H729,$H730,$N$1:$N729)</f>
        <v>134.49600000000001</v>
      </c>
      <c r="O730" s="962">
        <f t="shared" si="12"/>
        <v>134.49600000000001</v>
      </c>
    </row>
    <row r="731" spans="2:15" ht="18" customHeight="1" x14ac:dyDescent="0.25">
      <c r="B731" s="259">
        <v>45124</v>
      </c>
      <c r="C73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31" s="259">
        <f t="shared" si="13"/>
        <v>45124</v>
      </c>
      <c r="H731" t="s">
        <v>1220</v>
      </c>
      <c r="I731" s="764" t="str">
        <f>VLOOKUP($H731,инфо!$O:$P,2,FALSE)</f>
        <v>Навага б/г</v>
      </c>
      <c r="J731" s="160" t="str">
        <f>VLOOKUP($I731,инфо!$D:$G,3,FALSE)</f>
        <v>кг</v>
      </c>
      <c r="K731" s="747" t="s">
        <v>1538</v>
      </c>
      <c r="L731" s="663">
        <v>81</v>
      </c>
      <c r="M731" s="963">
        <f>SUMIF($H$1:$H731,$H731,$L$1:$L731)-SUMIF($H$1:$H730,$H731,$N$1:$N730)</f>
        <v>120.955005</v>
      </c>
      <c r="O731" s="962">
        <f t="shared" si="12"/>
        <v>120.955005</v>
      </c>
    </row>
    <row r="732" spans="2:15" ht="18" customHeight="1" x14ac:dyDescent="0.25">
      <c r="B732" s="259">
        <v>45124</v>
      </c>
      <c r="C73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32" s="259">
        <f t="shared" si="13"/>
        <v>45124</v>
      </c>
      <c r="H732" t="s">
        <v>1227</v>
      </c>
      <c r="I732" s="764" t="str">
        <f>VLOOKUP($H732,инфо!$O:$P,2,FALSE)</f>
        <v>Навага с/г</v>
      </c>
      <c r="J732" s="160" t="str">
        <f>VLOOKUP($I732,инфо!$D:$G,3,FALSE)</f>
        <v>кг</v>
      </c>
      <c r="K732" s="747" t="s">
        <v>1538</v>
      </c>
      <c r="L732" s="663">
        <v>90</v>
      </c>
      <c r="M732" s="963">
        <f>SUMIF($H$1:$H732,$H732,$L$1:$L732)-SUMIF($H$1:$H731,$H732,$N$1:$N731)</f>
        <v>184.39445000000001</v>
      </c>
      <c r="O732" s="962">
        <f t="shared" si="12"/>
        <v>184.39445000000001</v>
      </c>
    </row>
    <row r="733" spans="2:15" ht="18" customHeight="1" x14ac:dyDescent="0.25">
      <c r="B733" s="259">
        <v>45124</v>
      </c>
      <c r="C73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33" s="259">
        <f t="shared" si="13"/>
        <v>45124</v>
      </c>
      <c r="H733" t="s">
        <v>1218</v>
      </c>
      <c r="I733" s="764" t="str">
        <f>VLOOKUP($H733,инфо!$O:$P,2,FALSE)</f>
        <v>Камбала б/г</v>
      </c>
      <c r="J733" s="160" t="str">
        <f>VLOOKUP($I733,инфо!$D:$G,3,FALSE)</f>
        <v>кг</v>
      </c>
      <c r="K733" s="747" t="s">
        <v>1538</v>
      </c>
      <c r="L733" s="663">
        <v>72</v>
      </c>
      <c r="M733" s="963">
        <f>SUMIF($H$1:$H733,$H733,$L$1:$L733)-SUMIF($H$1:$H732,$H733,$N$1:$N732)</f>
        <v>212</v>
      </c>
      <c r="O733" s="962">
        <f t="shared" si="12"/>
        <v>212</v>
      </c>
    </row>
    <row r="734" spans="2:15" ht="18" customHeight="1" x14ac:dyDescent="0.25">
      <c r="B734" s="259">
        <v>45124</v>
      </c>
      <c r="C73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34" s="259">
        <f t="shared" si="13"/>
        <v>45124</v>
      </c>
      <c r="H734" t="s">
        <v>1228</v>
      </c>
      <c r="I734" s="764" t="str">
        <f>VLOOKUP($H734,инфо!$O:$P,2,FALSE)</f>
        <v>Камбала с/г</v>
      </c>
      <c r="J734" s="160" t="str">
        <f>VLOOKUP($I734,инфо!$D:$G,3,FALSE)</f>
        <v>кг</v>
      </c>
      <c r="K734" s="747" t="s">
        <v>1538</v>
      </c>
      <c r="L734" s="663">
        <v>81</v>
      </c>
      <c r="M734" s="963">
        <f>SUMIF($H$1:$H734,$H734,$L$1:$L734)-SUMIF($H$1:$H733,$H734,$N$1:$N733)</f>
        <v>82.513004999999993</v>
      </c>
      <c r="O734" s="962">
        <f t="shared" si="12"/>
        <v>82.513004999999993</v>
      </c>
    </row>
    <row r="735" spans="2:15" ht="18" customHeight="1" x14ac:dyDescent="0.25">
      <c r="B735" s="259">
        <v>45124</v>
      </c>
      <c r="C73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35" s="259">
        <f t="shared" si="13"/>
        <v>45124</v>
      </c>
      <c r="H735" t="s">
        <v>504</v>
      </c>
      <c r="I735" s="764" t="str">
        <f>VLOOKUP($H735,инфо!$O:$P,2,FALSE)</f>
        <v>Горбуша б/г</v>
      </c>
      <c r="J735" s="160" t="str">
        <f>VLOOKUP($I735,инфо!$D:$G,3,FALSE)</f>
        <v>кг</v>
      </c>
      <c r="K735" s="747" t="s">
        <v>1538</v>
      </c>
      <c r="L735" s="663">
        <v>90</v>
      </c>
      <c r="M735" s="963">
        <f>SUMIF($H$1:$H735,$H735,$L$1:$L735)-SUMIF($H$1:$H734,$H735,$N$1:$N734)</f>
        <v>95.014450000000011</v>
      </c>
      <c r="O735" s="962">
        <f t="shared" si="12"/>
        <v>95.014450000000011</v>
      </c>
    </row>
    <row r="736" spans="2:15" ht="18" customHeight="1" x14ac:dyDescent="0.25">
      <c r="B736" s="259">
        <v>45124</v>
      </c>
      <c r="C73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36" s="259">
        <f t="shared" si="13"/>
        <v>45124</v>
      </c>
      <c r="H736" t="s">
        <v>465</v>
      </c>
      <c r="I736" s="764" t="str">
        <f>VLOOKUP($H736,инфо!$O:$P,2,FALSE)</f>
        <v>Горбуша с/г</v>
      </c>
      <c r="J736" s="160" t="str">
        <f>VLOOKUP($I736,инфо!$D:$G,3,FALSE)</f>
        <v>кг</v>
      </c>
      <c r="K736" s="747" t="s">
        <v>1538</v>
      </c>
      <c r="L736" s="663">
        <v>72</v>
      </c>
      <c r="M736" s="963">
        <f>SUMIF($H$1:$H736,$H736,$L$1:$L736)-SUMIF($H$1:$H735,$H736,$N$1:$N735)</f>
        <v>80.011560000000003</v>
      </c>
      <c r="O736" s="962">
        <f t="shared" si="12"/>
        <v>80.011560000000003</v>
      </c>
    </row>
    <row r="737" spans="2:15" ht="18" customHeight="1" x14ac:dyDescent="0.25">
      <c r="B737" s="259">
        <v>45124</v>
      </c>
      <c r="C73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37" s="259">
        <f t="shared" si="13"/>
        <v>45124</v>
      </c>
      <c r="H737" t="s">
        <v>1221</v>
      </c>
      <c r="I737" s="764" t="str">
        <f>VLOOKUP($H737,инфо!$O:$P,2,FALSE)</f>
        <v>Налим б/г</v>
      </c>
      <c r="J737" s="160" t="str">
        <f>VLOOKUP($I737,инфо!$D:$G,3,FALSE)</f>
        <v>кг</v>
      </c>
      <c r="K737" s="747" t="s">
        <v>1538</v>
      </c>
      <c r="L737" s="663">
        <v>81</v>
      </c>
      <c r="M737" s="963">
        <f>SUMIF($H$1:$H737,$H737,$L$1:$L737)-SUMIF($H$1:$H736,$H737,$N$1:$N736)</f>
        <v>117.55799999999999</v>
      </c>
      <c r="O737" s="962">
        <f t="shared" si="12"/>
        <v>117.55799999999999</v>
      </c>
    </row>
    <row r="738" spans="2:15" ht="18" customHeight="1" x14ac:dyDescent="0.25">
      <c r="B738" s="259">
        <v>45124</v>
      </c>
      <c r="C73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38" s="259">
        <f t="shared" si="13"/>
        <v>45124</v>
      </c>
      <c r="H738" t="s">
        <v>1222</v>
      </c>
      <c r="I738" s="764" t="str">
        <f>VLOOKUP($H738,инфо!$O:$P,2,FALSE)</f>
        <v>Пикша б/г</v>
      </c>
      <c r="J738" s="160" t="str">
        <f>VLOOKUP($I738,инфо!$D:$G,3,FALSE)</f>
        <v>кг</v>
      </c>
      <c r="K738" s="747" t="s">
        <v>1538</v>
      </c>
      <c r="L738" s="663">
        <v>155</v>
      </c>
      <c r="M738" s="963">
        <f>SUMIF($H$1:$H738,$H738,$L$1:$L738)-SUMIF($H$1:$H737,$H738,$N$1:$N737)</f>
        <v>195.62</v>
      </c>
      <c r="O738" s="962">
        <f t="shared" si="12"/>
        <v>195.62</v>
      </c>
    </row>
    <row r="739" spans="2:15" ht="18" customHeight="1" x14ac:dyDescent="0.25">
      <c r="B739" s="259">
        <v>45124</v>
      </c>
      <c r="C73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39" s="259">
        <f t="shared" si="13"/>
        <v>45124</v>
      </c>
      <c r="H739" t="s">
        <v>1232</v>
      </c>
      <c r="I739" s="764" t="str">
        <f>VLOOKUP($H739,инфо!$O:$P,2,FALSE)</f>
        <v>Пикша с/г</v>
      </c>
      <c r="J739" s="160" t="str">
        <f>VLOOKUP($I739,инфо!$D:$G,3,FALSE)</f>
        <v>кг</v>
      </c>
      <c r="K739" s="747" t="s">
        <v>1538</v>
      </c>
      <c r="L739" s="663">
        <v>72</v>
      </c>
      <c r="M739" s="963">
        <f>SUMIF($H$1:$H739,$H739,$L$1:$L739)-SUMIF($H$1:$H738,$H739,$N$1:$N738)</f>
        <v>136.49600000000001</v>
      </c>
      <c r="O739" s="962">
        <f t="shared" si="12"/>
        <v>136.49600000000001</v>
      </c>
    </row>
    <row r="740" spans="2:15" ht="18" customHeight="1" x14ac:dyDescent="0.25">
      <c r="B740" s="259">
        <v>45124</v>
      </c>
      <c r="C74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40" s="259">
        <f t="shared" si="13"/>
        <v>45124</v>
      </c>
      <c r="H740" t="s">
        <v>1223</v>
      </c>
      <c r="I740" s="764" t="str">
        <f>VLOOKUP($H740,инфо!$O:$P,2,FALSE)</f>
        <v>Сайда б/г</v>
      </c>
      <c r="J740" s="160" t="str">
        <f>VLOOKUP($I740,инфо!$D:$G,3,FALSE)</f>
        <v>кг</v>
      </c>
      <c r="K740" s="747" t="s">
        <v>1538</v>
      </c>
      <c r="L740" s="663">
        <v>81</v>
      </c>
      <c r="M740" s="963">
        <f>SUMIF($H$1:$H740,$H740,$L$1:$L740)-SUMIF($H$1:$H739,$H740,$N$1:$N739)</f>
        <v>122.51300499999999</v>
      </c>
      <c r="O740" s="962">
        <f t="shared" si="12"/>
        <v>122.51300499999999</v>
      </c>
    </row>
    <row r="741" spans="2:15" ht="18" customHeight="1" x14ac:dyDescent="0.25">
      <c r="B741" s="259">
        <v>45124</v>
      </c>
      <c r="C74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41" s="259">
        <f t="shared" si="13"/>
        <v>45124</v>
      </c>
      <c r="H741" t="s">
        <v>1224</v>
      </c>
      <c r="I741" s="764" t="str">
        <f>VLOOKUP($H741,инфо!$O:$P,2,FALSE)</f>
        <v>Сайда с/г</v>
      </c>
      <c r="J741" s="160" t="str">
        <f>VLOOKUP($I741,инфо!$D:$G,3,FALSE)</f>
        <v>кг</v>
      </c>
      <c r="K741" s="747" t="s">
        <v>1538</v>
      </c>
      <c r="L741" s="663">
        <v>90</v>
      </c>
      <c r="M741" s="963">
        <f>SUMIF($H$1:$H741,$H741,$L$1:$L741)-SUMIF($H$1:$H740,$H741,$N$1:$N740)</f>
        <v>95.014450000000011</v>
      </c>
      <c r="O741" s="962">
        <f t="shared" si="12"/>
        <v>95.014450000000011</v>
      </c>
    </row>
    <row r="742" spans="2:15" ht="18" customHeight="1" x14ac:dyDescent="0.25">
      <c r="B742" s="259">
        <v>45124</v>
      </c>
      <c r="C74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42" s="259">
        <f t="shared" si="13"/>
        <v>45124</v>
      </c>
      <c r="H742" t="s">
        <v>1212</v>
      </c>
      <c r="I742" s="764" t="str">
        <f>VLOOKUP($H742,инфо!$O:$P,2,FALSE)</f>
        <v>Сом б/г</v>
      </c>
      <c r="J742" s="160" t="str">
        <f>VLOOKUP($I742,инфо!$D:$G,3,FALSE)</f>
        <v>кг</v>
      </c>
      <c r="K742" s="747" t="s">
        <v>1538</v>
      </c>
      <c r="L742" s="663">
        <v>72</v>
      </c>
      <c r="M742" s="963">
        <f>SUMIF($H$1:$H742,$H742,$L$1:$L742)-SUMIF($H$1:$H741,$H742,$N$1:$N741)</f>
        <v>220.01156</v>
      </c>
      <c r="O742" s="962">
        <f t="shared" si="12"/>
        <v>220.01156</v>
      </c>
    </row>
    <row r="743" spans="2:15" ht="18" customHeight="1" x14ac:dyDescent="0.25">
      <c r="B743" s="259">
        <v>45124</v>
      </c>
      <c r="C74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43" s="259">
        <f t="shared" si="13"/>
        <v>45124</v>
      </c>
      <c r="H743" t="s">
        <v>514</v>
      </c>
      <c r="I743" s="764" t="str">
        <f>VLOOKUP($H743,инфо!$O:$P,2,FALSE)</f>
        <v>Сом с/г</v>
      </c>
      <c r="J743" s="160" t="str">
        <f>VLOOKUP($I743,инфо!$D:$G,3,FALSE)</f>
        <v>кг</v>
      </c>
      <c r="K743" s="747" t="s">
        <v>1538</v>
      </c>
      <c r="L743" s="663">
        <v>81</v>
      </c>
      <c r="M743" s="963">
        <f>SUMIF($H$1:$H743,$H743,$L$1:$L743)-SUMIF($H$1:$H742,$H743,$N$1:$N742)</f>
        <v>98.513004999999993</v>
      </c>
      <c r="O743" s="962">
        <f t="shared" si="12"/>
        <v>98.513004999999993</v>
      </c>
    </row>
    <row r="744" spans="2:15" ht="18" customHeight="1" x14ac:dyDescent="0.25">
      <c r="B744" s="259">
        <v>45124</v>
      </c>
      <c r="C74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44" s="259">
        <f t="shared" si="13"/>
        <v>45124</v>
      </c>
      <c r="H744" t="s">
        <v>1231</v>
      </c>
      <c r="I744" s="764" t="str">
        <f>VLOOKUP($H744,инфо!$O:$P,2,FALSE)</f>
        <v>Судак б/г</v>
      </c>
      <c r="J744" s="160" t="str">
        <f>VLOOKUP($I744,инфо!$D:$G,3,FALSE)</f>
        <v>кг</v>
      </c>
      <c r="K744" s="747" t="s">
        <v>1538</v>
      </c>
      <c r="L744" s="663">
        <v>90</v>
      </c>
      <c r="M744" s="963">
        <f>SUMIF($H$1:$H744,$H744,$L$1:$L744)-SUMIF($H$1:$H743,$H744,$N$1:$N743)</f>
        <v>95.014450000000011</v>
      </c>
      <c r="O744" s="962">
        <f t="shared" si="12"/>
        <v>95.014450000000011</v>
      </c>
    </row>
    <row r="745" spans="2:15" ht="18" customHeight="1" x14ac:dyDescent="0.25">
      <c r="B745" s="259">
        <v>45124</v>
      </c>
      <c r="C74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45" s="259">
        <f t="shared" si="13"/>
        <v>45124</v>
      </c>
      <c r="H745" t="s">
        <v>515</v>
      </c>
      <c r="I745" s="764" t="str">
        <f>VLOOKUP($H745,инфо!$O:$P,2,FALSE)</f>
        <v>Судак с/г</v>
      </c>
      <c r="J745" s="160" t="str">
        <f>VLOOKUP($I745,инфо!$D:$G,3,FALSE)</f>
        <v>кг</v>
      </c>
      <c r="K745" s="747" t="s">
        <v>1538</v>
      </c>
      <c r="L745" s="663">
        <v>72</v>
      </c>
      <c r="M745" s="963">
        <f>SUMIF($H$1:$H745,$H745,$L$1:$L745)-SUMIF($H$1:$H744,$H745,$N$1:$N744)</f>
        <v>150.01156</v>
      </c>
      <c r="O745" s="962">
        <f t="shared" si="12"/>
        <v>150.01156</v>
      </c>
    </row>
    <row r="746" spans="2:15" ht="18" customHeight="1" x14ac:dyDescent="0.25">
      <c r="B746" s="259">
        <v>45124</v>
      </c>
      <c r="C74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46" s="259">
        <f t="shared" si="13"/>
        <v>45124</v>
      </c>
      <c r="H746" t="s">
        <v>518</v>
      </c>
      <c r="I746" s="764" t="str">
        <f>VLOOKUP($H746,инфо!$O:$P,2,FALSE)</f>
        <v>Щука б/г</v>
      </c>
      <c r="J746" s="160" t="str">
        <f>VLOOKUP($I746,инфо!$D:$G,3,FALSE)</f>
        <v>кг</v>
      </c>
      <c r="K746" s="747" t="s">
        <v>1538</v>
      </c>
      <c r="L746" s="663">
        <v>81</v>
      </c>
      <c r="M746" s="963">
        <f>SUMIF($H$1:$H746,$H746,$L$1:$L746)-SUMIF($H$1:$H745,$H746,$N$1:$N745)</f>
        <v>98.557999999999993</v>
      </c>
      <c r="O746" s="962">
        <f t="shared" si="12"/>
        <v>98.557999999999993</v>
      </c>
    </row>
    <row r="747" spans="2:15" ht="18" customHeight="1" x14ac:dyDescent="0.25">
      <c r="B747" s="259">
        <v>45124</v>
      </c>
      <c r="C74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47" s="259">
        <f t="shared" si="13"/>
        <v>45124</v>
      </c>
      <c r="H747" t="s">
        <v>519</v>
      </c>
      <c r="I747" s="764" t="str">
        <f>VLOOKUP($H747,инфо!$O:$P,2,FALSE)</f>
        <v>Щука с/г</v>
      </c>
      <c r="J747" s="160" t="str">
        <f>VLOOKUP($I747,инфо!$D:$G,3,FALSE)</f>
        <v>кг</v>
      </c>
      <c r="K747" s="747" t="s">
        <v>1538</v>
      </c>
      <c r="L747" s="663">
        <v>90</v>
      </c>
      <c r="M747" s="963">
        <f>SUMIF($H$1:$H747,$H747,$L$1:$L747)-SUMIF($H$1:$H746,$H747,$N$1:$N746)</f>
        <v>91</v>
      </c>
      <c r="O747" s="962">
        <f t="shared" si="12"/>
        <v>91</v>
      </c>
    </row>
    <row r="748" spans="2:15" ht="18" customHeight="1" x14ac:dyDescent="0.25">
      <c r="B748" s="259">
        <v>45124</v>
      </c>
      <c r="C74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48" s="259">
        <f t="shared" si="13"/>
        <v>45124</v>
      </c>
      <c r="H748" t="s">
        <v>419</v>
      </c>
      <c r="I748" s="764" t="str">
        <f>VLOOKUP($H748,инфо!$O:$P,2,FALSE)</f>
        <v>Рыба с/м б/г</v>
      </c>
      <c r="J748" s="160" t="str">
        <f>VLOOKUP($I748,инфо!$D:$G,3,FALSE)</f>
        <v>кг</v>
      </c>
      <c r="K748" s="747" t="s">
        <v>1538</v>
      </c>
      <c r="L748" s="663">
        <v>72</v>
      </c>
      <c r="M748" s="963">
        <f>SUMIF($H$1:$H748,$H748,$L$1:$L748)-SUMIF($H$1:$H747,$H748,$N$1:$N747)</f>
        <v>97.515559999999994</v>
      </c>
      <c r="O748" s="962">
        <f t="shared" si="12"/>
        <v>97.515559999999994</v>
      </c>
    </row>
    <row r="749" spans="2:15" ht="18" customHeight="1" x14ac:dyDescent="0.25">
      <c r="B749" s="259">
        <v>45128</v>
      </c>
      <c r="C74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49" s="259">
        <f t="shared" si="13"/>
        <v>45128</v>
      </c>
      <c r="H749" t="s">
        <v>25</v>
      </c>
      <c r="I749" s="764" t="str">
        <f>VLOOKUP($H749,инфо!$O:$P,2,FALSE)</f>
        <v>Горох</v>
      </c>
      <c r="J749" s="160" t="str">
        <f>VLOOKUP($I749,инфо!$D:$G,3,FALSE)</f>
        <v>кг</v>
      </c>
      <c r="K749" s="747" t="s">
        <v>1538</v>
      </c>
      <c r="L749" s="663">
        <v>90</v>
      </c>
      <c r="M749" s="963">
        <f>SUMIF($H$1:$H749,$H749,$L$1:$L749)-SUMIF($H$1:$H748,$H749,$N$1:$N748)</f>
        <v>390</v>
      </c>
      <c r="O749" s="962">
        <f t="shared" si="12"/>
        <v>390</v>
      </c>
    </row>
    <row r="750" spans="2:15" ht="18" customHeight="1" x14ac:dyDescent="0.25">
      <c r="B750" s="259">
        <v>45128</v>
      </c>
      <c r="C75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750" s="259">
        <v>45128</v>
      </c>
      <c r="H750" s="254" t="s">
        <v>25</v>
      </c>
      <c r="I750" s="764" t="str">
        <f>VLOOKUP($H750,инфо!$O:$P,2,FALSE)</f>
        <v>Горох</v>
      </c>
      <c r="J750" s="160" t="str">
        <f>VLOOKUP($I750,инфо!$D:$G,3,FALSE)</f>
        <v>кг</v>
      </c>
      <c r="K750" s="747" t="s">
        <v>1538</v>
      </c>
      <c r="M750" s="963">
        <f>SUMIF($H$1:$H750,$H750,$L$1:$L750)-SUMIF($H$1:$H749,$H750,$N$1:$N749)</f>
        <v>390</v>
      </c>
      <c r="N750" s="964">
        <v>155.60554999999999</v>
      </c>
      <c r="O750" s="962">
        <f t="shared" si="12"/>
        <v>234.39445000000001</v>
      </c>
    </row>
    <row r="751" spans="2:15" ht="18" customHeight="1" x14ac:dyDescent="0.25">
      <c r="B751" s="259">
        <v>45128</v>
      </c>
      <c r="C75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51" s="259">
        <f>B751</f>
        <v>45128</v>
      </c>
      <c r="H751" t="s">
        <v>38</v>
      </c>
      <c r="I751" s="764" t="str">
        <f>VLOOKUP($H751,инфо!$O:$P,2,FALSE)</f>
        <v>Гречневая</v>
      </c>
      <c r="J751" s="160" t="str">
        <f>VLOOKUP($I751,инфо!$D:$G,3,FALSE)</f>
        <v>кг</v>
      </c>
      <c r="K751" s="747" t="s">
        <v>1538</v>
      </c>
      <c r="L751" s="663">
        <v>72</v>
      </c>
      <c r="M751" s="963">
        <f>SUMIF($H$1:$H751,$H751,$L$1:$L751)-SUMIF($H$1:$H750,$H751,$N$1:$N750)</f>
        <v>272</v>
      </c>
      <c r="O751" s="962">
        <f t="shared" si="12"/>
        <v>272</v>
      </c>
    </row>
    <row r="752" spans="2:15" ht="18" customHeight="1" x14ac:dyDescent="0.25">
      <c r="B752" s="259">
        <v>45128</v>
      </c>
      <c r="C75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752" s="259">
        <v>45128</v>
      </c>
      <c r="H752" s="254" t="s">
        <v>38</v>
      </c>
      <c r="I752" s="764" t="str">
        <f>VLOOKUP($H752,инфо!$O:$P,2,FALSE)</f>
        <v>Гречневая</v>
      </c>
      <c r="J752" s="160" t="str">
        <f>VLOOKUP($I752,инфо!$D:$G,3,FALSE)</f>
        <v>кг</v>
      </c>
      <c r="K752" s="747" t="s">
        <v>1538</v>
      </c>
      <c r="M752" s="963">
        <f>SUMIF($H$1:$H752,$H752,$L$1:$L752)-SUMIF($H$1:$H751,$H752,$N$1:$N751)</f>
        <v>272</v>
      </c>
      <c r="N752" s="964">
        <v>124.48444000000001</v>
      </c>
      <c r="O752" s="962">
        <f t="shared" si="12"/>
        <v>147.51555999999999</v>
      </c>
    </row>
    <row r="753" spans="2:15" ht="18" customHeight="1" x14ac:dyDescent="0.25">
      <c r="B753" s="259">
        <v>45128</v>
      </c>
      <c r="C75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53" s="259">
        <f>B753</f>
        <v>45128</v>
      </c>
      <c r="H753" t="s">
        <v>39</v>
      </c>
      <c r="I753" s="764" t="str">
        <f>VLOOKUP($H753,инфо!$O:$P,2,FALSE)</f>
        <v>Манная</v>
      </c>
      <c r="J753" s="160" t="str">
        <f>VLOOKUP($I753,инфо!$D:$G,3,FALSE)</f>
        <v>кг</v>
      </c>
      <c r="K753" s="747" t="s">
        <v>1538</v>
      </c>
      <c r="L753" s="663">
        <v>99</v>
      </c>
      <c r="M753" s="963">
        <f>SUMIF($H$1:$H753,$H753,$L$1:$L753)-SUMIF($H$1:$H752,$H753,$N$1:$N752)</f>
        <v>194</v>
      </c>
      <c r="O753" s="962">
        <f t="shared" si="12"/>
        <v>194</v>
      </c>
    </row>
    <row r="754" spans="2:15" ht="18" customHeight="1" x14ac:dyDescent="0.25">
      <c r="B754" s="259">
        <v>45128</v>
      </c>
      <c r="C75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754" s="259">
        <v>45128</v>
      </c>
      <c r="H754" s="254" t="s">
        <v>39</v>
      </c>
      <c r="I754" s="764" t="str">
        <f>VLOOKUP($H754,инфо!$O:$P,2,FALSE)</f>
        <v>Манная</v>
      </c>
      <c r="J754" s="160" t="str">
        <f>VLOOKUP($I754,инфо!$D:$G,3,FALSE)</f>
        <v>кг</v>
      </c>
      <c r="K754" s="747" t="s">
        <v>1538</v>
      </c>
      <c r="M754" s="963">
        <f>SUMIF($H$1:$H754,$H754,$L$1:$L754)-SUMIF($H$1:$H753,$H754,$N$1:$N753)</f>
        <v>194</v>
      </c>
      <c r="N754" s="964">
        <v>171.16610500000002</v>
      </c>
      <c r="O754" s="962">
        <f t="shared" si="12"/>
        <v>22.833894999999984</v>
      </c>
    </row>
    <row r="755" spans="2:15" ht="18" customHeight="1" x14ac:dyDescent="0.25">
      <c r="B755" s="259">
        <v>45128</v>
      </c>
      <c r="C75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55" s="259">
        <f>B755</f>
        <v>45128</v>
      </c>
      <c r="H755" t="s">
        <v>26</v>
      </c>
      <c r="I755" s="764" t="str">
        <f>VLOOKUP($H755,инфо!$O:$P,2,FALSE)</f>
        <v>Овсяная</v>
      </c>
      <c r="J755" s="160" t="str">
        <f>VLOOKUP($I755,инфо!$D:$G,3,FALSE)</f>
        <v>кг</v>
      </c>
      <c r="K755" s="747" t="s">
        <v>1538</v>
      </c>
      <c r="L755" s="663">
        <v>108</v>
      </c>
      <c r="M755" s="963">
        <f>SUMIF($H$1:$H755,$H755,$L$1:$L755)-SUMIF($H$1:$H754,$H755,$N$1:$N754)</f>
        <v>190.01733999999999</v>
      </c>
      <c r="O755" s="962">
        <f t="shared" si="12"/>
        <v>190.01733999999999</v>
      </c>
    </row>
    <row r="756" spans="2:15" ht="18" customHeight="1" x14ac:dyDescent="0.25">
      <c r="B756" s="259">
        <v>45128</v>
      </c>
      <c r="C75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56" s="259">
        <f>B756</f>
        <v>45128</v>
      </c>
      <c r="H756" t="s">
        <v>1247</v>
      </c>
      <c r="I756" s="764" t="str">
        <f>VLOOKUP($H756,инфо!$O:$P,2,FALSE)</f>
        <v>Пшеничная</v>
      </c>
      <c r="J756" s="160" t="str">
        <f>VLOOKUP($I756,инфо!$D:$G,3,FALSE)</f>
        <v>кг</v>
      </c>
      <c r="K756" s="747" t="s">
        <v>1538</v>
      </c>
      <c r="L756" s="663">
        <v>126</v>
      </c>
      <c r="M756" s="963">
        <f>SUMIF($H$1:$H756,$H756,$L$1:$L756)-SUMIF($H$1:$H755,$H756,$N$1:$N755)</f>
        <v>145.02023</v>
      </c>
      <c r="O756" s="962">
        <f t="shared" si="12"/>
        <v>145.02023</v>
      </c>
    </row>
    <row r="757" spans="2:15" ht="18" customHeight="1" x14ac:dyDescent="0.25">
      <c r="B757" s="259">
        <v>45128</v>
      </c>
      <c r="C75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57" s="259">
        <f>B757</f>
        <v>45128</v>
      </c>
      <c r="H757" t="s">
        <v>31</v>
      </c>
      <c r="I757" s="764" t="str">
        <f>VLOOKUP($H757,инфо!$O:$P,2,FALSE)</f>
        <v>Перловая</v>
      </c>
      <c r="J757" s="160" t="str">
        <f>VLOOKUP($I757,инфо!$D:$G,3,FALSE)</f>
        <v>кг</v>
      </c>
      <c r="K757" s="747" t="s">
        <v>1538</v>
      </c>
      <c r="L757" s="663">
        <v>45</v>
      </c>
      <c r="M757" s="963">
        <f>SUMIF($H$1:$H757,$H757,$L$1:$L757)-SUMIF($H$1:$H756,$H757,$N$1:$N756)</f>
        <v>70.507225000000005</v>
      </c>
      <c r="O757" s="962">
        <f t="shared" si="12"/>
        <v>70.507225000000005</v>
      </c>
    </row>
    <row r="758" spans="2:15" ht="18" customHeight="1" x14ac:dyDescent="0.25">
      <c r="B758" s="259">
        <v>45128</v>
      </c>
      <c r="C75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58" s="259">
        <f>B758</f>
        <v>45128</v>
      </c>
      <c r="H758" t="s">
        <v>33</v>
      </c>
      <c r="I758" s="764" t="str">
        <f>VLOOKUP($H758,инфо!$O:$P,2,FALSE)</f>
        <v>Пшено</v>
      </c>
      <c r="J758" s="160" t="str">
        <f>VLOOKUP($I758,инфо!$D:$G,3,FALSE)</f>
        <v>кг</v>
      </c>
      <c r="K758" s="747" t="s">
        <v>1538</v>
      </c>
      <c r="L758" s="663">
        <v>90</v>
      </c>
      <c r="M758" s="963">
        <f>SUMIF($H$1:$H758,$H758,$L$1:$L758)-SUMIF($H$1:$H757,$H758,$N$1:$N757)</f>
        <v>186.62</v>
      </c>
      <c r="O758" s="962">
        <f t="shared" si="12"/>
        <v>186.62</v>
      </c>
    </row>
    <row r="759" spans="2:15" ht="18" customHeight="1" x14ac:dyDescent="0.25">
      <c r="B759" s="259">
        <v>45128</v>
      </c>
      <c r="C759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759" s="259">
        <v>45128</v>
      </c>
      <c r="H759" s="254" t="s">
        <v>33</v>
      </c>
      <c r="I759" s="764" t="str">
        <f>VLOOKUP($H759,инфо!$O:$P,2,FALSE)</f>
        <v>Пшено</v>
      </c>
      <c r="J759" s="160" t="str">
        <f>VLOOKUP($I759,инфо!$D:$G,3,FALSE)</f>
        <v>кг</v>
      </c>
      <c r="K759" s="747" t="s">
        <v>1538</v>
      </c>
      <c r="M759" s="963">
        <f>SUMIF($H$1:$H759,$H759,$L$1:$L759)-SUMIF($H$1:$H758,$H759,$N$1:$N758)</f>
        <v>186.62</v>
      </c>
      <c r="N759" s="964">
        <v>155.60554999999999</v>
      </c>
      <c r="O759" s="962">
        <f t="shared" si="12"/>
        <v>31.014450000000011</v>
      </c>
    </row>
    <row r="760" spans="2:15" ht="18" customHeight="1" x14ac:dyDescent="0.25">
      <c r="B760" s="259">
        <v>45128</v>
      </c>
      <c r="C76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60" s="259">
        <f t="shared" ref="E760:E766" si="14">B760</f>
        <v>45128</v>
      </c>
      <c r="H760" t="s">
        <v>27</v>
      </c>
      <c r="I760" s="764" t="str">
        <f>VLOOKUP($H760,инфо!$O:$P,2,FALSE)</f>
        <v>Рис</v>
      </c>
      <c r="J760" s="160" t="str">
        <f>VLOOKUP($I760,инфо!$D:$G,3,FALSE)</f>
        <v>кг</v>
      </c>
      <c r="K760" s="747" t="s">
        <v>1538</v>
      </c>
      <c r="L760" s="663">
        <v>72</v>
      </c>
      <c r="M760" s="963">
        <f>SUMIF($H$1:$H760,$H760,$L$1:$L760)-SUMIF($H$1:$H759,$H760,$N$1:$N759)</f>
        <v>288.49599999999998</v>
      </c>
      <c r="O760" s="962">
        <f t="shared" si="12"/>
        <v>288.49599999999998</v>
      </c>
    </row>
    <row r="761" spans="2:15" ht="18" customHeight="1" x14ac:dyDescent="0.25">
      <c r="B761" s="259">
        <v>45128</v>
      </c>
      <c r="C76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61" s="259">
        <f t="shared" si="14"/>
        <v>45128</v>
      </c>
      <c r="H761" t="s">
        <v>318</v>
      </c>
      <c r="I761" s="764" t="str">
        <f>VLOOKUP($H761,инфо!$O:$P,2,FALSE)</f>
        <v>Фасоль</v>
      </c>
      <c r="J761" s="160" t="str">
        <f>VLOOKUP($I761,инфо!$D:$G,3,FALSE)</f>
        <v>кг</v>
      </c>
      <c r="K761" s="747" t="s">
        <v>1538</v>
      </c>
      <c r="L761" s="663">
        <v>99</v>
      </c>
      <c r="M761" s="963">
        <f>SUMIF($H$1:$H761,$H761,$L$1:$L761)-SUMIF($H$1:$H760,$H761,$N$1:$N760)</f>
        <v>243.68199999999999</v>
      </c>
      <c r="O761" s="962">
        <f t="shared" si="12"/>
        <v>243.68199999999999</v>
      </c>
    </row>
    <row r="762" spans="2:15" ht="18" customHeight="1" x14ac:dyDescent="0.25">
      <c r="B762" s="259">
        <v>45128</v>
      </c>
      <c r="C76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62" s="259">
        <f t="shared" si="14"/>
        <v>45128</v>
      </c>
      <c r="H762" t="s">
        <v>40</v>
      </c>
      <c r="I762" s="764" t="str">
        <f>VLOOKUP($H762,инфо!$O:$P,2,FALSE)</f>
        <v>Ячневая</v>
      </c>
      <c r="J762" s="160" t="str">
        <f>VLOOKUP($I762,инфо!$D:$G,3,FALSE)</f>
        <v>кг</v>
      </c>
      <c r="K762" s="747" t="s">
        <v>1538</v>
      </c>
      <c r="L762" s="663">
        <v>108</v>
      </c>
      <c r="M762" s="963">
        <f>SUMIF($H$1:$H762,$H762,$L$1:$L762)-SUMIF($H$1:$H761,$H762,$N$1:$N761)</f>
        <v>312.74400000000003</v>
      </c>
      <c r="O762" s="962">
        <f t="shared" si="12"/>
        <v>312.74400000000003</v>
      </c>
    </row>
    <row r="763" spans="2:15" ht="18" customHeight="1" x14ac:dyDescent="0.25">
      <c r="B763" s="259">
        <v>45128</v>
      </c>
      <c r="C76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63" s="259">
        <f t="shared" si="14"/>
        <v>45128</v>
      </c>
      <c r="H763" t="s">
        <v>41</v>
      </c>
      <c r="I763" s="764" t="str">
        <f>VLOOKUP($H763,инфо!$O:$P,2,FALSE)</f>
        <v>Макаронные изделия</v>
      </c>
      <c r="J763" s="160" t="str">
        <f>VLOOKUP($I763,инфо!$D:$G,3,FALSE)</f>
        <v>кг</v>
      </c>
      <c r="K763" s="747" t="s">
        <v>1538</v>
      </c>
      <c r="L763" s="663">
        <v>126</v>
      </c>
      <c r="M763" s="963">
        <f>SUMIF($H$1:$H763,$H763,$L$1:$L763)-SUMIF($H$1:$H762,$H763,$N$1:$N762)</f>
        <v>695.02022999999997</v>
      </c>
      <c r="O763" s="962">
        <f t="shared" si="12"/>
        <v>695.02022999999997</v>
      </c>
    </row>
    <row r="764" spans="2:15" ht="18" customHeight="1" x14ac:dyDescent="0.25">
      <c r="B764" s="259">
        <v>45128</v>
      </c>
      <c r="C76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64" s="259">
        <f t="shared" si="14"/>
        <v>45128</v>
      </c>
      <c r="H764" t="s">
        <v>206</v>
      </c>
      <c r="I764" s="764" t="str">
        <f>VLOOKUP($H764,инфо!$O:$P,2,FALSE)</f>
        <v>Мука в/с</v>
      </c>
      <c r="J764" s="160" t="str">
        <f>VLOOKUP($I764,инфо!$D:$G,3,FALSE)</f>
        <v>кг</v>
      </c>
      <c r="K764" s="747" t="s">
        <v>1538</v>
      </c>
      <c r="L764" s="663">
        <v>29</v>
      </c>
      <c r="M764" s="963">
        <f>SUMIF($H$1:$H764,$H764,$L$1:$L764)-SUMIF($H$1:$H763,$H764,$N$1:$N763)</f>
        <v>342.50144499999999</v>
      </c>
      <c r="O764" s="962">
        <f t="shared" si="12"/>
        <v>342.50144499999999</v>
      </c>
    </row>
    <row r="765" spans="2:15" ht="18" customHeight="1" x14ac:dyDescent="0.25">
      <c r="B765" s="259">
        <v>45128</v>
      </c>
      <c r="C76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65" s="259">
        <f t="shared" si="14"/>
        <v>45128</v>
      </c>
      <c r="H765" t="s">
        <v>410</v>
      </c>
      <c r="I765" s="764" t="str">
        <f>VLOOKUP($H765,инфо!$O:$P,2,FALSE)</f>
        <v>Мука пшеничная 1 с</v>
      </c>
      <c r="J765" s="160" t="str">
        <f>VLOOKUP($I765,инфо!$D:$G,3,FALSE)</f>
        <v>кг</v>
      </c>
      <c r="K765" s="747" t="s">
        <v>1538</v>
      </c>
      <c r="L765" s="663">
        <v>54</v>
      </c>
      <c r="M765" s="963">
        <f>SUMIF($H$1:$H765,$H765,$L$1:$L765)-SUMIF($H$1:$H764,$H765,$N$1:$N764)</f>
        <v>355.00867</v>
      </c>
      <c r="O765" s="962">
        <f t="shared" si="12"/>
        <v>355.00867</v>
      </c>
    </row>
    <row r="766" spans="2:15" ht="18" customHeight="1" x14ac:dyDescent="0.25">
      <c r="B766" s="259">
        <v>45128</v>
      </c>
      <c r="C76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66" s="259">
        <f t="shared" si="14"/>
        <v>45128</v>
      </c>
      <c r="H766" t="s">
        <v>436</v>
      </c>
      <c r="I766" s="764" t="str">
        <f>VLOOKUP($H766,инфо!$O:$P,2,FALSE)</f>
        <v>Сухари</v>
      </c>
      <c r="J766" s="160" t="str">
        <f>VLOOKUP($I766,инфо!$D:$G,3,FALSE)</f>
        <v>кг</v>
      </c>
      <c r="K766" s="747" t="s">
        <v>1538</v>
      </c>
      <c r="L766" s="663">
        <v>18</v>
      </c>
      <c r="M766" s="963">
        <f>SUMIF($H$1:$H766,$H766,$L$1:$L766)-SUMIF($H$1:$H765,$H766,$N$1:$N765)</f>
        <v>126.124</v>
      </c>
      <c r="O766" s="962">
        <f t="shared" si="12"/>
        <v>126.124</v>
      </c>
    </row>
    <row r="767" spans="2:15" ht="18" customHeight="1" x14ac:dyDescent="0.25">
      <c r="B767" s="259">
        <v>45128</v>
      </c>
      <c r="C76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767" s="259">
        <v>45128</v>
      </c>
      <c r="H767" s="254" t="s">
        <v>436</v>
      </c>
      <c r="I767" s="764" t="str">
        <f>VLOOKUP($H767,инфо!$O:$P,2,FALSE)</f>
        <v>Сухари</v>
      </c>
      <c r="J767" s="160" t="str">
        <f>VLOOKUP($I767,инфо!$D:$G,3,FALSE)</f>
        <v>кг</v>
      </c>
      <c r="K767" s="747" t="s">
        <v>1538</v>
      </c>
      <c r="M767" s="963">
        <f>SUMIF($H$1:$H767,$H767,$L$1:$L767)-SUMIF($H$1:$H766,$H767,$N$1:$N766)</f>
        <v>126.124</v>
      </c>
      <c r="N767" s="964">
        <v>31.121110000000002</v>
      </c>
      <c r="O767" s="962">
        <f t="shared" si="12"/>
        <v>95.002889999999994</v>
      </c>
    </row>
    <row r="768" spans="2:15" ht="18" customHeight="1" x14ac:dyDescent="0.25">
      <c r="B768" s="259">
        <v>45128</v>
      </c>
      <c r="C76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68" s="259">
        <f>B768</f>
        <v>45128</v>
      </c>
      <c r="H768" t="s">
        <v>51</v>
      </c>
      <c r="I768" s="764" t="str">
        <f>VLOOKUP($H768,инфо!$O:$P,2,FALSE)</f>
        <v>Хлеб дарницкий</v>
      </c>
      <c r="J768" s="160" t="str">
        <f>VLOOKUP($I768,инфо!$D:$G,3,FALSE)</f>
        <v>кг</v>
      </c>
      <c r="K768" s="747" t="s">
        <v>1538</v>
      </c>
      <c r="L768" s="663">
        <v>90</v>
      </c>
      <c r="M768" s="963">
        <f>SUMIF($H$1:$H768,$H768,$L$1:$L768)-SUMIF($H$1:$H767,$H768,$N$1:$N767)</f>
        <v>597</v>
      </c>
      <c r="O768" s="962">
        <f t="shared" si="12"/>
        <v>597</v>
      </c>
    </row>
    <row r="769" spans="2:15" ht="18" customHeight="1" x14ac:dyDescent="0.25">
      <c r="B769" s="259">
        <v>45128</v>
      </c>
      <c r="C769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769" s="259">
        <v>45128</v>
      </c>
      <c r="H769" s="254" t="s">
        <v>51</v>
      </c>
      <c r="I769" s="764" t="str">
        <f>VLOOKUP($H769,инфо!$O:$P,2,FALSE)</f>
        <v>Хлеб дарницкий</v>
      </c>
      <c r="J769" s="160" t="str">
        <f>VLOOKUP($I769,инфо!$D:$G,3,FALSE)</f>
        <v>кг</v>
      </c>
      <c r="K769" s="747" t="s">
        <v>1538</v>
      </c>
      <c r="M769" s="963">
        <f>SUMIF($H$1:$H769,$H769,$L$1:$L769)-SUMIF($H$1:$H768,$H769,$N$1:$N768)</f>
        <v>597</v>
      </c>
      <c r="N769" s="964">
        <v>155.60554999999999</v>
      </c>
      <c r="O769" s="962">
        <f t="shared" ref="O769:O832" si="15">$M769-$N769</f>
        <v>441.39445000000001</v>
      </c>
    </row>
    <row r="770" spans="2:15" ht="18" customHeight="1" x14ac:dyDescent="0.25">
      <c r="B770" s="259">
        <v>45128</v>
      </c>
      <c r="C77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70" s="259">
        <f>B770</f>
        <v>45128</v>
      </c>
      <c r="H770" t="s">
        <v>411</v>
      </c>
      <c r="I770" s="764" t="str">
        <f>VLOOKUP($H770,инфо!$O:$P,2,FALSE)</f>
        <v>Хлеб из муки пш. 1 сорта</v>
      </c>
      <c r="J770" s="160" t="str">
        <f>VLOOKUP($I770,инфо!$D:$G,3,FALSE)</f>
        <v>кг</v>
      </c>
      <c r="K770" s="747" t="s">
        <v>1538</v>
      </c>
      <c r="L770" s="663">
        <v>108</v>
      </c>
      <c r="M770" s="963">
        <f>SUMIF($H$1:$H770,$H770,$L$1:$L770)-SUMIF($H$1:$H769,$H770,$N$1:$N769)</f>
        <v>647</v>
      </c>
      <c r="O770" s="962">
        <f t="shared" si="15"/>
        <v>647</v>
      </c>
    </row>
    <row r="771" spans="2:15" ht="18" customHeight="1" x14ac:dyDescent="0.25">
      <c r="B771" s="259">
        <v>45128</v>
      </c>
      <c r="C771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771" s="259">
        <v>45128</v>
      </c>
      <c r="H771" s="254" t="s">
        <v>411</v>
      </c>
      <c r="I771" s="764" t="str">
        <f>VLOOKUP($H771,инфо!$O:$P,2,FALSE)</f>
        <v>Хлеб из муки пш. 1 сорта</v>
      </c>
      <c r="J771" s="160" t="str">
        <f>VLOOKUP($I771,инфо!$D:$G,3,FALSE)</f>
        <v>кг</v>
      </c>
      <c r="K771" s="747" t="s">
        <v>1538</v>
      </c>
      <c r="M771" s="963">
        <f>SUMIF($H$1:$H771,$H771,$L$1:$L771)-SUMIF($H$1:$H770,$H771,$N$1:$N770)</f>
        <v>647</v>
      </c>
      <c r="N771" s="964">
        <v>186.72666000000001</v>
      </c>
      <c r="O771" s="962">
        <f t="shared" si="15"/>
        <v>460.27333999999996</v>
      </c>
    </row>
    <row r="772" spans="2:15" ht="18" customHeight="1" x14ac:dyDescent="0.25">
      <c r="B772" s="259">
        <v>45128</v>
      </c>
      <c r="C77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72" s="259">
        <f t="shared" ref="E772:E779" si="16">B772</f>
        <v>45128</v>
      </c>
      <c r="H772" t="s">
        <v>45</v>
      </c>
      <c r="I772" s="764" t="str">
        <f>VLOOKUP($H772,инфо!$O:$P,2,FALSE)</f>
        <v>Картофель</v>
      </c>
      <c r="J772" s="160" t="str">
        <f>VLOOKUP($I772,инфо!$D:$G,3,FALSE)</f>
        <v>кг</v>
      </c>
      <c r="K772" s="747" t="s">
        <v>1538</v>
      </c>
      <c r="L772" s="663">
        <v>144</v>
      </c>
      <c r="M772" s="963">
        <f>SUMIF($H$1:$H772,$H772,$L$1:$L772)-SUMIF($H$1:$H771,$H772,$N$1:$N771)</f>
        <v>849.03111999999999</v>
      </c>
      <c r="O772" s="962">
        <f t="shared" si="15"/>
        <v>849.03111999999999</v>
      </c>
    </row>
    <row r="773" spans="2:15" ht="18" customHeight="1" x14ac:dyDescent="0.25">
      <c r="B773" s="259">
        <v>45128</v>
      </c>
      <c r="C77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73" s="259">
        <f t="shared" si="16"/>
        <v>45128</v>
      </c>
      <c r="H773" t="s">
        <v>490</v>
      </c>
      <c r="I773" s="764" t="str">
        <f>VLOOKUP($H773,инфо!$O:$P,2,FALSE)</f>
        <v>Капуста свежая</v>
      </c>
      <c r="J773" s="160" t="str">
        <f>VLOOKUP($I773,инфо!$D:$G,3,FALSE)</f>
        <v>кг</v>
      </c>
      <c r="K773" s="747" t="s">
        <v>1538</v>
      </c>
      <c r="L773" s="663">
        <v>126</v>
      </c>
      <c r="M773" s="963">
        <f>SUMIF($H$1:$H773,$H773,$L$1:$L773)-SUMIF($H$1:$H772,$H773,$N$1:$N772)</f>
        <v>428.15223000000003</v>
      </c>
      <c r="O773" s="962">
        <f t="shared" si="15"/>
        <v>428.15223000000003</v>
      </c>
    </row>
    <row r="774" spans="2:15" ht="18" customHeight="1" x14ac:dyDescent="0.25">
      <c r="B774" s="259">
        <v>45128</v>
      </c>
      <c r="C77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74" s="259">
        <f t="shared" si="16"/>
        <v>45128</v>
      </c>
      <c r="H774" t="s">
        <v>46</v>
      </c>
      <c r="I774" s="764" t="str">
        <f>VLOOKUP($H774,инфо!$O:$P,2,FALSE)</f>
        <v>Морковь</v>
      </c>
      <c r="J774" s="160" t="str">
        <f>VLOOKUP($I774,инфо!$D:$G,3,FALSE)</f>
        <v>кг</v>
      </c>
      <c r="K774" s="747" t="s">
        <v>1538</v>
      </c>
      <c r="L774" s="663">
        <v>108</v>
      </c>
      <c r="M774" s="963">
        <f>SUMIF($H$1:$H774,$H774,$L$1:$L774)-SUMIF($H$1:$H773,$H774,$N$1:$N773)</f>
        <v>240.27333999999999</v>
      </c>
      <c r="O774" s="962">
        <f t="shared" si="15"/>
        <v>240.27333999999999</v>
      </c>
    </row>
    <row r="775" spans="2:15" ht="18" customHeight="1" x14ac:dyDescent="0.25">
      <c r="B775" s="259">
        <v>45128</v>
      </c>
      <c r="C77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75" s="259">
        <f t="shared" si="16"/>
        <v>45128</v>
      </c>
      <c r="H775" t="s">
        <v>32</v>
      </c>
      <c r="I775" s="764" t="str">
        <f>VLOOKUP($H775,инфо!$O:$P,2,FALSE)</f>
        <v>Лук репчатый</v>
      </c>
      <c r="J775" s="160" t="str">
        <f>VLOOKUP($I775,инфо!$D:$G,3,FALSE)</f>
        <v>кг</v>
      </c>
      <c r="K775" s="747" t="s">
        <v>1538</v>
      </c>
      <c r="L775" s="663">
        <v>90</v>
      </c>
      <c r="M775" s="963">
        <f>SUMIF($H$1:$H775,$H775,$L$1:$L775)-SUMIF($H$1:$H774,$H775,$N$1:$N774)</f>
        <v>170</v>
      </c>
      <c r="O775" s="962">
        <f t="shared" si="15"/>
        <v>170</v>
      </c>
    </row>
    <row r="776" spans="2:15" ht="18" customHeight="1" x14ac:dyDescent="0.25">
      <c r="B776" s="259">
        <v>45128</v>
      </c>
      <c r="C77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76" s="259">
        <f t="shared" si="16"/>
        <v>45128</v>
      </c>
      <c r="H776" t="s">
        <v>446</v>
      </c>
      <c r="I776" s="764" t="str">
        <f>VLOOKUP($H776,инфо!$O:$P,2,FALSE)</f>
        <v>Огурцы свежие</v>
      </c>
      <c r="J776" s="160" t="str">
        <f>VLOOKUP($I776,инфо!$D:$G,3,FALSE)</f>
        <v>кг</v>
      </c>
      <c r="K776" s="747" t="s">
        <v>1538</v>
      </c>
      <c r="L776" s="663">
        <v>54</v>
      </c>
      <c r="M776" s="963">
        <f>SUMIF($H$1:$H776,$H776,$L$1:$L776)-SUMIF($H$1:$H775,$H776,$N$1:$N775)</f>
        <v>104</v>
      </c>
      <c r="O776" s="962">
        <f t="shared" si="15"/>
        <v>104</v>
      </c>
    </row>
    <row r="777" spans="2:15" ht="18" customHeight="1" x14ac:dyDescent="0.25">
      <c r="B777" s="259">
        <v>45128</v>
      </c>
      <c r="C77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77" s="259">
        <f t="shared" si="16"/>
        <v>45128</v>
      </c>
      <c r="H777" t="s">
        <v>448</v>
      </c>
      <c r="I777" s="764" t="str">
        <f>VLOOKUP($H777,инфо!$O:$P,2,FALSE)</f>
        <v>Помидоры свежие</v>
      </c>
      <c r="J777" s="160" t="str">
        <f>VLOOKUP($I777,инфо!$D:$G,3,FALSE)</f>
        <v>кг</v>
      </c>
      <c r="K777" s="747" t="s">
        <v>1538</v>
      </c>
      <c r="L777" s="663">
        <v>90</v>
      </c>
      <c r="M777" s="963">
        <f>SUMIF($H$1:$H777,$H777,$L$1:$L777)-SUMIF($H$1:$H776,$H777,$N$1:$N776)</f>
        <v>152.62</v>
      </c>
      <c r="O777" s="962">
        <f t="shared" si="15"/>
        <v>152.62</v>
      </c>
    </row>
    <row r="778" spans="2:15" ht="18" customHeight="1" x14ac:dyDescent="0.25">
      <c r="B778" s="259">
        <v>45128</v>
      </c>
      <c r="C77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78" s="259">
        <f t="shared" si="16"/>
        <v>45128</v>
      </c>
      <c r="H778" t="s">
        <v>48</v>
      </c>
      <c r="I778" s="764" t="str">
        <f>VLOOKUP($H778,инфо!$O:$P,2,FALSE)</f>
        <v>Свекла</v>
      </c>
      <c r="J778" s="160" t="str">
        <f>VLOOKUP($I778,инфо!$D:$G,3,FALSE)</f>
        <v>кг</v>
      </c>
      <c r="K778" s="747" t="s">
        <v>1538</v>
      </c>
      <c r="L778" s="663">
        <v>72</v>
      </c>
      <c r="M778" s="963">
        <f>SUMIF($H$1:$H778,$H778,$L$1:$L778)-SUMIF($H$1:$H777,$H778,$N$1:$N777)</f>
        <v>261.49599999999998</v>
      </c>
      <c r="O778" s="962">
        <f t="shared" si="15"/>
        <v>261.49599999999998</v>
      </c>
    </row>
    <row r="779" spans="2:15" ht="18" customHeight="1" x14ac:dyDescent="0.25">
      <c r="B779" s="259">
        <v>45128</v>
      </c>
      <c r="C77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79" s="259">
        <f t="shared" si="16"/>
        <v>45128</v>
      </c>
      <c r="H779" t="s">
        <v>325</v>
      </c>
      <c r="I779" s="764" t="str">
        <f>VLOOKUP($H779,инфо!$O:$P,2,FALSE)</f>
        <v>Редис</v>
      </c>
      <c r="J779" s="160" t="str">
        <f>VLOOKUP($I779,инфо!$D:$G,3,FALSE)</f>
        <v>кг</v>
      </c>
      <c r="K779" s="747" t="s">
        <v>1538</v>
      </c>
      <c r="L779" s="663">
        <v>18</v>
      </c>
      <c r="M779" s="963">
        <f>SUMIF($H$1:$H779,$H779,$L$1:$L779)-SUMIF($H$1:$H778,$H779,$N$1:$N778)</f>
        <v>26.123999999999999</v>
      </c>
      <c r="O779" s="962">
        <f t="shared" si="15"/>
        <v>26.123999999999999</v>
      </c>
    </row>
    <row r="780" spans="2:15" ht="18" customHeight="1" x14ac:dyDescent="0.25">
      <c r="B780" s="259">
        <v>45128</v>
      </c>
      <c r="C78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80" s="259">
        <v>45128</v>
      </c>
      <c r="H780" s="254" t="s">
        <v>325</v>
      </c>
      <c r="I780" s="764" t="str">
        <f>VLOOKUP($H780,инфо!$O:$P,2,FALSE)</f>
        <v>Редис</v>
      </c>
      <c r="J780" s="160" t="str">
        <f>VLOOKUP($I780,инфо!$D:$G,3,FALSE)</f>
        <v>кг</v>
      </c>
      <c r="K780" s="747" t="s">
        <v>1538</v>
      </c>
      <c r="L780" s="663">
        <v>10</v>
      </c>
      <c r="M780" s="963">
        <f>SUMIF($H$1:$H780,$H780,$L$1:$L780)-SUMIF($H$1:$H779,$H780,$N$1:$N779)</f>
        <v>36.124000000000002</v>
      </c>
      <c r="N780" s="964">
        <v>31.121110000000002</v>
      </c>
      <c r="O780" s="962">
        <f t="shared" si="15"/>
        <v>5.0028900000000007</v>
      </c>
    </row>
    <row r="781" spans="2:15" ht="18" customHeight="1" x14ac:dyDescent="0.25">
      <c r="B781" s="259">
        <v>45128</v>
      </c>
      <c r="C78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81" s="259">
        <f>B781</f>
        <v>45128</v>
      </c>
      <c r="H781" t="s">
        <v>328</v>
      </c>
      <c r="I781" s="764" t="str">
        <f>VLOOKUP($H781,инфо!$O:$P,2,FALSE)</f>
        <v>Перец сладкий</v>
      </c>
      <c r="J781" s="160" t="str">
        <f>VLOOKUP($I781,инфо!$D:$G,3,FALSE)</f>
        <v>кг</v>
      </c>
      <c r="K781" s="747" t="s">
        <v>1538</v>
      </c>
      <c r="L781" s="663">
        <v>7.2</v>
      </c>
      <c r="M781" s="963">
        <f>SUMIF($H$1:$H781,$H781,$L$1:$L781)-SUMIF($H$1:$H780,$H781,$N$1:$N780)</f>
        <v>30.4496</v>
      </c>
      <c r="O781" s="962">
        <f t="shared" si="15"/>
        <v>30.4496</v>
      </c>
    </row>
    <row r="782" spans="2:15" ht="18" customHeight="1" x14ac:dyDescent="0.25">
      <c r="B782" s="259">
        <v>45128</v>
      </c>
      <c r="C78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782" s="259">
        <v>45128</v>
      </c>
      <c r="H782" s="254" t="s">
        <v>328</v>
      </c>
      <c r="I782" s="764" t="str">
        <f>VLOOKUP($H782,инфо!$O:$P,2,FALSE)</f>
        <v>Перец сладкий</v>
      </c>
      <c r="J782" s="160" t="str">
        <f>VLOOKUP($I782,инфо!$D:$G,3,FALSE)</f>
        <v>кг</v>
      </c>
      <c r="K782" s="747" t="s">
        <v>1538</v>
      </c>
      <c r="M782" s="963">
        <f>SUMIF($H$1:$H782,$H782,$L$1:$L782)-SUMIF($H$1:$H781,$H782,$N$1:$N781)</f>
        <v>30.4496</v>
      </c>
      <c r="N782" s="964">
        <v>20</v>
      </c>
      <c r="O782" s="962">
        <f t="shared" si="15"/>
        <v>10.4496</v>
      </c>
    </row>
    <row r="783" spans="2:15" ht="18" customHeight="1" x14ac:dyDescent="0.25">
      <c r="B783" s="259">
        <v>45128</v>
      </c>
      <c r="C78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83" s="259">
        <f>B783</f>
        <v>45128</v>
      </c>
      <c r="H783" t="s">
        <v>329</v>
      </c>
      <c r="I783" s="764" t="str">
        <f>VLOOKUP($H783,инфо!$O:$P,2,FALSE)</f>
        <v>Баклажан</v>
      </c>
      <c r="J783" s="160" t="str">
        <f>VLOOKUP($I783,инфо!$D:$G,3,FALSE)</f>
        <v>кг</v>
      </c>
      <c r="K783" s="747" t="s">
        <v>1538</v>
      </c>
      <c r="L783" s="663">
        <v>12.6</v>
      </c>
      <c r="M783" s="963">
        <f>SUMIF($H$1:$H783,$H783,$L$1:$L783)-SUMIF($H$1:$H782,$H783,$N$1:$N782)</f>
        <v>118.2868</v>
      </c>
      <c r="O783" s="962">
        <f t="shared" si="15"/>
        <v>118.2868</v>
      </c>
    </row>
    <row r="784" spans="2:15" ht="18" customHeight="1" x14ac:dyDescent="0.25">
      <c r="B784" s="259">
        <v>45128</v>
      </c>
      <c r="C78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784" s="259">
        <v>45128</v>
      </c>
      <c r="H784" s="254" t="s">
        <v>329</v>
      </c>
      <c r="I784" s="764" t="str">
        <f>VLOOKUP($H784,инфо!$O:$P,2,FALSE)</f>
        <v>Баклажан</v>
      </c>
      <c r="J784" s="160" t="str">
        <f>VLOOKUP($I784,инфо!$D:$G,3,FALSE)</f>
        <v>кг</v>
      </c>
      <c r="K784" s="747" t="s">
        <v>1538</v>
      </c>
      <c r="M784" s="963">
        <f>SUMIF($H$1:$H784,$H784,$L$1:$L784)-SUMIF($H$1:$H783,$H784,$N$1:$N783)</f>
        <v>118.2868</v>
      </c>
      <c r="N784" s="964">
        <v>21.784777000000002</v>
      </c>
      <c r="O784" s="962">
        <f t="shared" si="15"/>
        <v>96.502022999999994</v>
      </c>
    </row>
    <row r="785" spans="2:15" ht="18" customHeight="1" x14ac:dyDescent="0.25">
      <c r="B785" s="259">
        <v>45128</v>
      </c>
      <c r="C78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85" s="259">
        <f>B785</f>
        <v>45128</v>
      </c>
      <c r="H785" t="s">
        <v>322</v>
      </c>
      <c r="I785" s="764" t="str">
        <f>VLOOKUP($H785,инфо!$O:$P,2,FALSE)</f>
        <v>Кабачки</v>
      </c>
      <c r="J785" s="160" t="str">
        <f>VLOOKUP($I785,инфо!$D:$G,3,FALSE)</f>
        <v>кг</v>
      </c>
      <c r="K785" s="747" t="s">
        <v>1538</v>
      </c>
      <c r="L785" s="663">
        <v>14.4</v>
      </c>
      <c r="M785" s="963">
        <f>SUMIF($H$1:$H785,$H785,$L$1:$L785)-SUMIF($H$1:$H784,$H785,$N$1:$N784)</f>
        <v>122.4</v>
      </c>
      <c r="O785" s="962">
        <f t="shared" si="15"/>
        <v>122.4</v>
      </c>
    </row>
    <row r="786" spans="2:15" ht="18" customHeight="1" x14ac:dyDescent="0.25">
      <c r="B786" s="259">
        <v>45128</v>
      </c>
      <c r="C78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786" s="259">
        <v>45128</v>
      </c>
      <c r="H786" s="254" t="s">
        <v>322</v>
      </c>
      <c r="I786" s="764" t="str">
        <f>VLOOKUP($H786,инфо!$O:$P,2,FALSE)</f>
        <v>Кабачки</v>
      </c>
      <c r="J786" s="160" t="str">
        <f>VLOOKUP($I786,инфо!$D:$G,3,FALSE)</f>
        <v>кг</v>
      </c>
      <c r="K786" s="747" t="s">
        <v>1538</v>
      </c>
      <c r="M786" s="963">
        <f>SUMIF($H$1:$H786,$H786,$L$1:$L786)-SUMIF($H$1:$H785,$H786,$N$1:$N785)</f>
        <v>122.4</v>
      </c>
      <c r="N786" s="964">
        <v>24.896888000000001</v>
      </c>
      <c r="O786" s="962">
        <f t="shared" si="15"/>
        <v>97.503112000000002</v>
      </c>
    </row>
    <row r="787" spans="2:15" ht="18" customHeight="1" x14ac:dyDescent="0.25">
      <c r="B787" s="259">
        <v>45128</v>
      </c>
      <c r="C78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87" s="259">
        <f>B787</f>
        <v>45128</v>
      </c>
      <c r="H787" t="s">
        <v>70</v>
      </c>
      <c r="I787" s="764" t="str">
        <f>VLOOKUP($H787,инфо!$O:$P,2,FALSE)</f>
        <v>Зелень</v>
      </c>
      <c r="J787" s="160" t="str">
        <f>VLOOKUP($I787,инфо!$D:$G,3,FALSE)</f>
        <v>кг</v>
      </c>
      <c r="K787" s="747" t="s">
        <v>1538</v>
      </c>
      <c r="L787" s="663">
        <v>7.2</v>
      </c>
      <c r="M787" s="963">
        <f>SUMIF($H$1:$H787,$H787,$L$1:$L787)-SUMIF($H$1:$H786,$H787,$N$1:$N786)</f>
        <v>126.4496</v>
      </c>
      <c r="O787" s="962">
        <f t="shared" si="15"/>
        <v>126.4496</v>
      </c>
    </row>
    <row r="788" spans="2:15" ht="18" customHeight="1" x14ac:dyDescent="0.25">
      <c r="B788" s="259">
        <v>45128</v>
      </c>
      <c r="C78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788" s="259">
        <v>45128</v>
      </c>
      <c r="H788" s="254" t="s">
        <v>70</v>
      </c>
      <c r="I788" s="764" t="str">
        <f>VLOOKUP($H788,инфо!$O:$P,2,FALSE)</f>
        <v>Зелень</v>
      </c>
      <c r="J788" s="160" t="str">
        <f>VLOOKUP($I788,инфо!$D:$G,3,FALSE)</f>
        <v>кг</v>
      </c>
      <c r="K788" s="747" t="s">
        <v>1538</v>
      </c>
      <c r="M788" s="963">
        <f>SUMIF($H$1:$H788,$H788,$L$1:$L788)-SUMIF($H$1:$H787,$H788,$N$1:$N787)</f>
        <v>126.4496</v>
      </c>
      <c r="N788" s="964">
        <v>12.448444</v>
      </c>
      <c r="O788" s="962">
        <f t="shared" si="15"/>
        <v>114.00115600000001</v>
      </c>
    </row>
    <row r="789" spans="2:15" ht="18" customHeight="1" x14ac:dyDescent="0.25">
      <c r="B789" s="259">
        <v>45128</v>
      </c>
      <c r="C78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89" s="259">
        <f>B789</f>
        <v>45128</v>
      </c>
      <c r="H789" t="s">
        <v>442</v>
      </c>
      <c r="I789" s="764" t="str">
        <f>VLOOKUP($H789,инфо!$O:$P,2,FALSE)</f>
        <v>Лук зеленый</v>
      </c>
      <c r="J789" s="160" t="str">
        <f>VLOOKUP($I789,инфо!$D:$G,3,FALSE)</f>
        <v>кг</v>
      </c>
      <c r="K789" s="747" t="s">
        <v>1538</v>
      </c>
      <c r="L789" s="663">
        <v>10.8</v>
      </c>
      <c r="M789" s="963">
        <f>SUMIF($H$1:$H789,$H789,$L$1:$L789)-SUMIF($H$1:$H788,$H789,$N$1:$N788)</f>
        <v>27.001733999999999</v>
      </c>
      <c r="O789" s="962">
        <f t="shared" si="15"/>
        <v>27.001733999999999</v>
      </c>
    </row>
    <row r="790" spans="2:15" ht="18" customHeight="1" x14ac:dyDescent="0.25">
      <c r="B790" s="259">
        <v>45128</v>
      </c>
      <c r="C79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90" s="259">
        <f>B790</f>
        <v>45128</v>
      </c>
      <c r="H790" t="s">
        <v>500</v>
      </c>
      <c r="I790" s="764" t="str">
        <f>VLOOKUP($H790,инфо!$O:$P,2,FALSE)</f>
        <v>Укроп</v>
      </c>
      <c r="J790" s="160" t="str">
        <f>VLOOKUP($I790,инфо!$D:$G,3,FALSE)</f>
        <v>кг</v>
      </c>
      <c r="K790" s="747" t="s">
        <v>1538</v>
      </c>
      <c r="L790" s="663">
        <v>5.4</v>
      </c>
      <c r="M790" s="963">
        <f>SUMIF($H$1:$H790,$H790,$L$1:$L790)-SUMIF($H$1:$H789,$H790,$N$1:$N789)</f>
        <v>125.500867</v>
      </c>
      <c r="O790" s="962">
        <f t="shared" si="15"/>
        <v>125.500867</v>
      </c>
    </row>
    <row r="791" spans="2:15" ht="18" customHeight="1" x14ac:dyDescent="0.25">
      <c r="B791" s="259">
        <v>45128</v>
      </c>
      <c r="C79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91" s="259">
        <f>B791</f>
        <v>45128</v>
      </c>
      <c r="H791" t="s">
        <v>49</v>
      </c>
      <c r="I791" s="764" t="str">
        <f>VLOOKUP($H791,инфо!$O:$P,2,FALSE)</f>
        <v>Чеснок</v>
      </c>
      <c r="J791" s="160" t="str">
        <f>VLOOKUP($I791,инфо!$D:$G,3,FALSE)</f>
        <v>кг</v>
      </c>
      <c r="K791" s="747" t="s">
        <v>1538</v>
      </c>
      <c r="L791" s="663">
        <v>5.4</v>
      </c>
      <c r="M791" s="963">
        <f>SUMIF($H$1:$H791,$H791,$L$1:$L791)-SUMIF($H$1:$H790,$H791,$N$1:$N790)</f>
        <v>147.8372</v>
      </c>
      <c r="O791" s="962">
        <f t="shared" si="15"/>
        <v>147.8372</v>
      </c>
    </row>
    <row r="792" spans="2:15" ht="18" customHeight="1" x14ac:dyDescent="0.25">
      <c r="B792" s="259">
        <v>45128</v>
      </c>
      <c r="C79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792" s="259">
        <v>45128</v>
      </c>
      <c r="H792" s="254" t="s">
        <v>49</v>
      </c>
      <c r="I792" s="764" t="str">
        <f>VLOOKUP($H792,инфо!$O:$P,2,FALSE)</f>
        <v>Чеснок</v>
      </c>
      <c r="J792" s="160" t="str">
        <f>VLOOKUP($I792,инфо!$D:$G,3,FALSE)</f>
        <v>кг</v>
      </c>
      <c r="K792" s="747" t="s">
        <v>1538</v>
      </c>
      <c r="M792" s="963">
        <f>SUMIF($H$1:$H792,$H792,$L$1:$L792)-SUMIF($H$1:$H791,$H792,$N$1:$N791)</f>
        <v>147.8372</v>
      </c>
      <c r="N792" s="964">
        <v>9.3363329999999998</v>
      </c>
      <c r="O792" s="962">
        <f t="shared" si="15"/>
        <v>138.500867</v>
      </c>
    </row>
    <row r="793" spans="2:15" ht="18" customHeight="1" x14ac:dyDescent="0.25">
      <c r="B793" s="259">
        <v>45128</v>
      </c>
      <c r="C79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93" s="259">
        <f>B793</f>
        <v>45128</v>
      </c>
      <c r="H793" t="s">
        <v>495</v>
      </c>
      <c r="I793" s="764" t="str">
        <f>VLOOKUP($H793,инфо!$O:$P,2,FALSE)</f>
        <v>Горошек консерв.</v>
      </c>
      <c r="J793" s="160" t="str">
        <f>VLOOKUP($I793,инфо!$D:$G,3,FALSE)</f>
        <v>кг</v>
      </c>
      <c r="K793" s="747" t="s">
        <v>1538</v>
      </c>
      <c r="L793" s="663">
        <v>81</v>
      </c>
      <c r="M793" s="963">
        <f>SUMIF($H$1:$H793,$H793,$L$1:$L793)-SUMIF($H$1:$H792,$H793,$N$1:$N792)</f>
        <v>217.55799999999999</v>
      </c>
      <c r="O793" s="962">
        <f t="shared" si="15"/>
        <v>217.55799999999999</v>
      </c>
    </row>
    <row r="794" spans="2:15" ht="18" customHeight="1" x14ac:dyDescent="0.25">
      <c r="B794" s="259">
        <v>45128</v>
      </c>
      <c r="C79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94" s="259">
        <f>B794</f>
        <v>45128</v>
      </c>
      <c r="H794" t="s">
        <v>497</v>
      </c>
      <c r="I794" s="764" t="str">
        <f>VLOOKUP($H794,инфо!$O:$P,2,FALSE)</f>
        <v>Кукуруза консерв.</v>
      </c>
      <c r="J794" s="160" t="str">
        <f>VLOOKUP($I794,инфо!$D:$G,3,FALSE)</f>
        <v>кг</v>
      </c>
      <c r="K794" s="747" t="s">
        <v>1538</v>
      </c>
      <c r="L794" s="663">
        <v>63</v>
      </c>
      <c r="M794" s="963">
        <f>SUMIF($H$1:$H794,$H794,$L$1:$L794)-SUMIF($H$1:$H793,$H794,$N$1:$N793)</f>
        <v>91.433999999999997</v>
      </c>
      <c r="O794" s="962">
        <f t="shared" si="15"/>
        <v>91.433999999999997</v>
      </c>
    </row>
    <row r="795" spans="2:15" ht="18" customHeight="1" x14ac:dyDescent="0.25">
      <c r="B795" s="259">
        <v>45128</v>
      </c>
      <c r="C79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95" s="259">
        <f>B795</f>
        <v>45128</v>
      </c>
      <c r="H795" t="s">
        <v>501</v>
      </c>
      <c r="I795" s="764" t="str">
        <f>VLOOKUP($H795,инфо!$O:$P,2,FALSE)</f>
        <v>Фасоль консерв.</v>
      </c>
      <c r="J795" s="160" t="str">
        <f>VLOOKUP($I795,инфо!$D:$G,3,FALSE)</f>
        <v>кг</v>
      </c>
      <c r="K795" s="747" t="s">
        <v>1538</v>
      </c>
      <c r="L795" s="663">
        <v>79.2</v>
      </c>
      <c r="M795" s="963">
        <f>SUMIF($H$1:$H795,$H795,$L$1:$L795)-SUMIF($H$1:$H794,$H795,$N$1:$N794)</f>
        <v>214.94559999999998</v>
      </c>
      <c r="O795" s="962">
        <f t="shared" si="15"/>
        <v>214.94559999999998</v>
      </c>
    </row>
    <row r="796" spans="2:15" ht="18" customHeight="1" x14ac:dyDescent="0.25">
      <c r="B796" s="259">
        <v>45128</v>
      </c>
      <c r="C79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96" s="259">
        <f>B796</f>
        <v>45128</v>
      </c>
      <c r="H796" t="s">
        <v>498</v>
      </c>
      <c r="I796" s="764" t="str">
        <f>VLOOKUP($H796,инфо!$O:$P,2,FALSE)</f>
        <v>Огурцы консерв.</v>
      </c>
      <c r="J796" s="160" t="str">
        <f>VLOOKUP($I796,инфо!$D:$G,3,FALSE)</f>
        <v>кг</v>
      </c>
      <c r="K796" s="747" t="s">
        <v>1538</v>
      </c>
      <c r="L796" s="663">
        <v>72</v>
      </c>
      <c r="M796" s="963">
        <f>SUMIF($H$1:$H796,$H796,$L$1:$L796)-SUMIF($H$1:$H795,$H796,$N$1:$N795)</f>
        <v>98</v>
      </c>
      <c r="O796" s="962">
        <f t="shared" si="15"/>
        <v>98</v>
      </c>
    </row>
    <row r="797" spans="2:15" ht="18" customHeight="1" x14ac:dyDescent="0.25">
      <c r="B797" s="259">
        <v>45128</v>
      </c>
      <c r="C79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97" s="259">
        <f>B797</f>
        <v>45128</v>
      </c>
      <c r="H797" t="s">
        <v>496</v>
      </c>
      <c r="I797" s="764" t="str">
        <f>VLOOKUP($H797,инфо!$O:$P,2,FALSE)</f>
        <v>Капуста консерв.</v>
      </c>
      <c r="J797" s="160" t="str">
        <f>VLOOKUP($I797,инфо!$D:$G,3,FALSE)</f>
        <v>кг</v>
      </c>
      <c r="K797" s="747" t="s">
        <v>1538</v>
      </c>
      <c r="L797" s="663">
        <v>81</v>
      </c>
      <c r="M797" s="963">
        <f>SUMIF($H$1:$H797,$H797,$L$1:$L797)-SUMIF($H$1:$H796,$H797,$N$1:$N796)</f>
        <v>202.55799999999999</v>
      </c>
      <c r="O797" s="962">
        <f t="shared" si="15"/>
        <v>202.55799999999999</v>
      </c>
    </row>
    <row r="798" spans="2:15" ht="18" customHeight="1" x14ac:dyDescent="0.25">
      <c r="B798" s="259">
        <v>45128</v>
      </c>
      <c r="C79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798" s="259">
        <v>45128</v>
      </c>
      <c r="H798" s="254" t="s">
        <v>496</v>
      </c>
      <c r="I798" s="764" t="str">
        <f>VLOOKUP($H798,инфо!$O:$P,2,FALSE)</f>
        <v>Капуста консерв.</v>
      </c>
      <c r="J798" s="160" t="str">
        <f>VLOOKUP($I798,инфо!$D:$G,3,FALSE)</f>
        <v>кг</v>
      </c>
      <c r="K798" s="747" t="s">
        <v>1538</v>
      </c>
      <c r="M798" s="963">
        <f>SUMIF($H$1:$H798,$H798,$L$1:$L798)-SUMIF($H$1:$H797,$H798,$N$1:$N797)</f>
        <v>202.55799999999999</v>
      </c>
      <c r="N798" s="964">
        <v>140.044995</v>
      </c>
      <c r="O798" s="962">
        <f t="shared" si="15"/>
        <v>62.513004999999993</v>
      </c>
    </row>
    <row r="799" spans="2:15" ht="18" customHeight="1" x14ac:dyDescent="0.25">
      <c r="B799" s="259">
        <v>45128</v>
      </c>
      <c r="C79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799" s="259">
        <f>B799</f>
        <v>45128</v>
      </c>
      <c r="H799" t="s">
        <v>499</v>
      </c>
      <c r="I799" s="764" t="str">
        <f>VLOOKUP($H799,инфо!$O:$P,2,FALSE)</f>
        <v>Помидоры консерв.</v>
      </c>
      <c r="J799" s="160" t="str">
        <f>VLOOKUP($I799,инфо!$D:$G,3,FALSE)</f>
        <v>кг</v>
      </c>
      <c r="K799" s="747" t="s">
        <v>1538</v>
      </c>
      <c r="L799" s="663">
        <v>63</v>
      </c>
      <c r="M799" s="963">
        <f>SUMIF($H$1:$H799,$H799,$L$1:$L799)-SUMIF($H$1:$H798,$H799,$N$1:$N798)</f>
        <v>90.510114999999999</v>
      </c>
      <c r="O799" s="962">
        <f t="shared" si="15"/>
        <v>90.510114999999999</v>
      </c>
    </row>
    <row r="800" spans="2:15" ht="18" customHeight="1" x14ac:dyDescent="0.25">
      <c r="B800" s="259">
        <v>45128</v>
      </c>
      <c r="C80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00" s="259">
        <f>B800</f>
        <v>45128</v>
      </c>
      <c r="H800" t="s">
        <v>332</v>
      </c>
      <c r="I800" s="764" t="str">
        <f>VLOOKUP($H800,инфо!$O:$P,2,FALSE)</f>
        <v>Морковь консерв.</v>
      </c>
      <c r="J800" s="160" t="str">
        <f>VLOOKUP($I800,инфо!$D:$G,3,FALSE)</f>
        <v>кг</v>
      </c>
      <c r="K800" s="747" t="s">
        <v>1538</v>
      </c>
      <c r="L800" s="663">
        <v>79.2</v>
      </c>
      <c r="M800" s="963">
        <f>SUMIF($H$1:$H800,$H800,$L$1:$L800)-SUMIF($H$1:$H799,$H800,$N$1:$N799)</f>
        <v>224.01271599999998</v>
      </c>
      <c r="O800" s="962">
        <f t="shared" si="15"/>
        <v>224.01271599999998</v>
      </c>
    </row>
    <row r="801" spans="2:15" ht="18" customHeight="1" x14ac:dyDescent="0.25">
      <c r="B801" s="259">
        <v>45128</v>
      </c>
      <c r="C80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01" s="259">
        <f>B801</f>
        <v>45128</v>
      </c>
      <c r="H801" t="s">
        <v>331</v>
      </c>
      <c r="I801" s="764" t="str">
        <f>VLOOKUP($H801,инфо!$O:$P,2,FALSE)</f>
        <v>Свекла консерв.</v>
      </c>
      <c r="J801" s="160" t="str">
        <f>VLOOKUP($I801,инфо!$D:$G,3,FALSE)</f>
        <v>кг</v>
      </c>
      <c r="K801" s="747" t="s">
        <v>1538</v>
      </c>
      <c r="L801" s="663">
        <v>152</v>
      </c>
      <c r="M801" s="963">
        <f>SUMIF($H$1:$H801,$H801,$L$1:$L801)-SUMIF($H$1:$H800,$H801,$N$1:$N800)</f>
        <v>164.49600000000001</v>
      </c>
      <c r="O801" s="962">
        <f t="shared" si="15"/>
        <v>164.49600000000001</v>
      </c>
    </row>
    <row r="802" spans="2:15" ht="18" customHeight="1" x14ac:dyDescent="0.25">
      <c r="B802" s="259">
        <v>45128</v>
      </c>
      <c r="C80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02" s="259">
        <v>45128</v>
      </c>
      <c r="H802" s="254" t="s">
        <v>331</v>
      </c>
      <c r="I802" s="764" t="str">
        <f>VLOOKUP($H802,инфо!$O:$P,2,FALSE)</f>
        <v>Свекла консерв.</v>
      </c>
      <c r="J802" s="160" t="str">
        <f>VLOOKUP($I802,инфо!$D:$G,3,FALSE)</f>
        <v>кг</v>
      </c>
      <c r="K802" s="747" t="s">
        <v>1538</v>
      </c>
      <c r="M802" s="963">
        <f>SUMIF($H$1:$H802,$H802,$L$1:$L802)-SUMIF($H$1:$H801,$H802,$N$1:$N801)</f>
        <v>164.49600000000001</v>
      </c>
      <c r="N802" s="964">
        <v>124.48444000000001</v>
      </c>
      <c r="O802" s="962">
        <f t="shared" si="15"/>
        <v>40.011560000000003</v>
      </c>
    </row>
    <row r="803" spans="2:15" ht="18" customHeight="1" x14ac:dyDescent="0.25">
      <c r="B803" s="259">
        <v>45128</v>
      </c>
      <c r="C803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03" s="259">
        <v>45128</v>
      </c>
      <c r="H803" s="254" t="s">
        <v>52</v>
      </c>
      <c r="I803" s="764" t="str">
        <f>VLOOKUP($H803,инфо!$O:$P,2,FALSE)</f>
        <v>Молоко коровье</v>
      </c>
      <c r="J803" s="160" t="str">
        <f>VLOOKUP($I803,инфо!$D:$G,3,FALSE)</f>
        <v>литр</v>
      </c>
      <c r="K803" s="747" t="s">
        <v>1538</v>
      </c>
      <c r="M803" s="963">
        <f>SUMIF($H$1:$H803,$H803,$L$1:$L803)-SUMIF($H$1:$H802,$H803,$N$1:$N802)</f>
        <v>294</v>
      </c>
      <c r="N803" s="964">
        <v>136.932884</v>
      </c>
      <c r="O803" s="962">
        <f t="shared" si="15"/>
        <v>157.067116</v>
      </c>
    </row>
    <row r="804" spans="2:15" ht="18" customHeight="1" x14ac:dyDescent="0.25">
      <c r="B804" s="259">
        <v>45128</v>
      </c>
      <c r="C80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04" s="259">
        <v>45128</v>
      </c>
      <c r="H804" s="254" t="s">
        <v>54</v>
      </c>
      <c r="I804" s="764" t="str">
        <f>VLOOKUP($H804,инфо!$O:$P,2,FALSE)</f>
        <v>Сметана</v>
      </c>
      <c r="J804" s="160" t="str">
        <f>VLOOKUP($I804,инфо!$D:$G,3,FALSE)</f>
        <v>кг</v>
      </c>
      <c r="K804" s="747" t="s">
        <v>1538</v>
      </c>
      <c r="L804" s="663">
        <v>25</v>
      </c>
      <c r="M804" s="963">
        <f>SUMIF($H$1:$H804,$H804,$L$1:$L804)-SUMIF($H$1:$H803,$H804,$N$1:$N803)</f>
        <v>57</v>
      </c>
      <c r="N804" s="964">
        <v>31.121110000000002</v>
      </c>
      <c r="O804" s="962">
        <f t="shared" si="15"/>
        <v>25.878889999999998</v>
      </c>
    </row>
    <row r="805" spans="2:15" ht="18" customHeight="1" x14ac:dyDescent="0.25">
      <c r="B805" s="259">
        <v>45128</v>
      </c>
      <c r="C805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05" s="259">
        <v>45128</v>
      </c>
      <c r="H805" s="254" t="s">
        <v>321</v>
      </c>
      <c r="I805" s="764" t="str">
        <f>VLOOKUP($H805,инфо!$O:$P,2,FALSE)</f>
        <v>Сыр</v>
      </c>
      <c r="J805" s="160" t="str">
        <f>VLOOKUP($I805,инфо!$D:$G,3,FALSE)</f>
        <v>кг</v>
      </c>
      <c r="K805" s="747" t="s">
        <v>1538</v>
      </c>
      <c r="M805" s="963">
        <f>SUMIF($H$1:$H805,$H805,$L$1:$L805)-SUMIF($H$1:$H804,$H805,$N$1:$N804)</f>
        <v>132.49600000000001</v>
      </c>
      <c r="N805" s="964">
        <v>124.48444000000001</v>
      </c>
      <c r="O805" s="962">
        <f t="shared" si="15"/>
        <v>8.0115600000000029</v>
      </c>
    </row>
    <row r="806" spans="2:15" ht="18" customHeight="1" x14ac:dyDescent="0.25">
      <c r="B806" s="259">
        <v>45128</v>
      </c>
      <c r="C80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06" s="259">
        <v>45128</v>
      </c>
      <c r="H806" s="254" t="s">
        <v>60</v>
      </c>
      <c r="I806" s="764" t="str">
        <f>VLOOKUP($H806,инфо!$O:$P,2,FALSE)</f>
        <v>Масло коровье</v>
      </c>
      <c r="J806" s="160" t="str">
        <f>VLOOKUP($I806,инфо!$D:$G,3,FALSE)</f>
        <v>кг</v>
      </c>
      <c r="K806" s="747" t="s">
        <v>1538</v>
      </c>
      <c r="L806" s="663">
        <v>110</v>
      </c>
      <c r="M806" s="963">
        <f>SUMIF($H$1:$H806,$H806,$L$1:$L806)-SUMIF($H$1:$H805,$H806,$N$1:$N805)</f>
        <v>372.62</v>
      </c>
      <c r="N806" s="964">
        <v>155.60554999999999</v>
      </c>
      <c r="O806" s="962">
        <f t="shared" si="15"/>
        <v>217.01445000000001</v>
      </c>
    </row>
    <row r="807" spans="2:15" ht="18" customHeight="1" x14ac:dyDescent="0.25">
      <c r="B807" s="259">
        <v>45128</v>
      </c>
      <c r="C80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07" s="259">
        <v>45128</v>
      </c>
      <c r="H807" s="254" t="s">
        <v>454</v>
      </c>
      <c r="I807" s="764" t="str">
        <f>VLOOKUP($H807,инфо!$O:$P,2,FALSE)</f>
        <v>Говядина б/к</v>
      </c>
      <c r="J807" s="160" t="str">
        <f>VLOOKUP($I807,инфо!$D:$G,3,FALSE)</f>
        <v>кг</v>
      </c>
      <c r="K807" s="747" t="s">
        <v>1538</v>
      </c>
      <c r="M807" s="963">
        <f>SUMIF($H$1:$H807,$H807,$L$1:$L807)-SUMIF($H$1:$H806,$H807,$N$1:$N806)</f>
        <v>132.49600000000001</v>
      </c>
      <c r="N807" s="964">
        <v>124.48444000000001</v>
      </c>
      <c r="O807" s="962">
        <f t="shared" si="15"/>
        <v>8.0115600000000029</v>
      </c>
    </row>
    <row r="808" spans="2:15" ht="18" customHeight="1" x14ac:dyDescent="0.25">
      <c r="B808" s="259">
        <v>45128</v>
      </c>
      <c r="C80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08" s="259">
        <v>45128</v>
      </c>
      <c r="H808" s="254" t="s">
        <v>502</v>
      </c>
      <c r="I808" s="764" t="str">
        <f>VLOOKUP($H808,инфо!$O:$P,2,FALSE)</f>
        <v>Говядина консерв.</v>
      </c>
      <c r="J808" s="160" t="str">
        <f>VLOOKUP($I808,инфо!$D:$G,3,FALSE)</f>
        <v>кг</v>
      </c>
      <c r="K808" s="747" t="s">
        <v>1538</v>
      </c>
      <c r="M808" s="963">
        <f>SUMIF($H$1:$H808,$H808,$L$1:$L808)-SUMIF($H$1:$H807,$H808,$N$1:$N807)</f>
        <v>124.372</v>
      </c>
      <c r="N808" s="964">
        <v>93.363330000000005</v>
      </c>
      <c r="O808" s="962">
        <f t="shared" si="15"/>
        <v>31.008669999999995</v>
      </c>
    </row>
    <row r="809" spans="2:15" ht="18" customHeight="1" x14ac:dyDescent="0.25">
      <c r="B809" s="259">
        <v>45128</v>
      </c>
      <c r="C80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09" s="259">
        <v>45128</v>
      </c>
      <c r="H809" s="254" t="s">
        <v>474</v>
      </c>
      <c r="I809" s="764" t="str">
        <f>VLOOKUP($H809,инфо!$O:$P,2,FALSE)</f>
        <v>Колбаса вареная</v>
      </c>
      <c r="J809" s="160" t="str">
        <f>VLOOKUP($I809,инфо!$D:$G,3,FALSE)</f>
        <v>кг</v>
      </c>
      <c r="K809" s="747" t="s">
        <v>1538</v>
      </c>
      <c r="L809" s="663">
        <v>100</v>
      </c>
      <c r="M809" s="963">
        <f>SUMIF($H$1:$H809,$H809,$L$1:$L809)-SUMIF($H$1:$H808,$H809,$N$1:$N808)</f>
        <v>178.37200000000001</v>
      </c>
      <c r="N809" s="964">
        <v>93.363330000000005</v>
      </c>
      <c r="O809" s="962">
        <f t="shared" si="15"/>
        <v>85.008670000000009</v>
      </c>
    </row>
    <row r="810" spans="2:15" ht="18" customHeight="1" x14ac:dyDescent="0.25">
      <c r="B810" s="259">
        <v>45128</v>
      </c>
      <c r="C81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10" s="259">
        <v>45128</v>
      </c>
      <c r="H810" s="254" t="s">
        <v>64</v>
      </c>
      <c r="I810" s="764" t="str">
        <f>VLOOKUP($H810,инфо!$O:$P,2,FALSE)</f>
        <v>Колбаса п/к</v>
      </c>
      <c r="J810" s="160" t="str">
        <f>VLOOKUP($I810,инфо!$D:$G,3,FALSE)</f>
        <v>кг</v>
      </c>
      <c r="K810" s="747" t="s">
        <v>1538</v>
      </c>
      <c r="M810" s="963">
        <f>SUMIF($H$1:$H810,$H810,$L$1:$L810)-SUMIF($H$1:$H809,$H810,$N$1:$N809)</f>
        <v>68.248000000000005</v>
      </c>
      <c r="N810" s="964">
        <v>62.242220000000003</v>
      </c>
      <c r="O810" s="962">
        <f t="shared" si="15"/>
        <v>6.0057800000000015</v>
      </c>
    </row>
    <row r="811" spans="2:15" ht="18" customHeight="1" x14ac:dyDescent="0.25">
      <c r="B811" s="259">
        <v>45128</v>
      </c>
      <c r="C811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11" s="259">
        <v>45128</v>
      </c>
      <c r="H811" s="254" t="s">
        <v>59</v>
      </c>
      <c r="I811" s="764" t="str">
        <f>VLOOKUP($H811,инфо!$O:$P,2,FALSE)</f>
        <v>Колбаса с/к</v>
      </c>
      <c r="J811" s="160" t="str">
        <f>VLOOKUP($I811,инфо!$D:$G,3,FALSE)</f>
        <v>кг</v>
      </c>
      <c r="K811" s="747" t="s">
        <v>1538</v>
      </c>
      <c r="M811" s="963">
        <f>SUMIF($H$1:$H811,$H811,$L$1:$L811)-SUMIF($H$1:$H810,$H811,$N$1:$N810)</f>
        <v>72.248000000000005</v>
      </c>
      <c r="N811" s="964">
        <v>62.242220000000003</v>
      </c>
      <c r="O811" s="962">
        <f t="shared" si="15"/>
        <v>10.005780000000001</v>
      </c>
    </row>
    <row r="812" spans="2:15" ht="18" customHeight="1" x14ac:dyDescent="0.25">
      <c r="B812" s="259">
        <v>45128</v>
      </c>
      <c r="C81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12" s="259">
        <v>45128</v>
      </c>
      <c r="H812" s="254" t="s">
        <v>507</v>
      </c>
      <c r="I812" s="764" t="str">
        <f>VLOOKUP($H812,инфо!$O:$P,2,FALSE)</f>
        <v>Печень</v>
      </c>
      <c r="J812" s="160" t="str">
        <f>VLOOKUP($I812,инфо!$D:$G,3,FALSE)</f>
        <v>кг</v>
      </c>
      <c r="K812" s="747" t="s">
        <v>1538</v>
      </c>
      <c r="M812" s="963">
        <f>SUMIF($H$1:$H812,$H812,$L$1:$L812)-SUMIF($H$1:$H811,$H812,$N$1:$N811)</f>
        <v>141.124</v>
      </c>
      <c r="N812" s="964">
        <v>31.121110000000002</v>
      </c>
      <c r="O812" s="962">
        <f t="shared" si="15"/>
        <v>110.00288999999999</v>
      </c>
    </row>
    <row r="813" spans="2:15" ht="18" customHeight="1" x14ac:dyDescent="0.25">
      <c r="B813" s="259">
        <v>45128</v>
      </c>
      <c r="C81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13" s="259">
        <v>45128</v>
      </c>
      <c r="H813" s="254" t="s">
        <v>513</v>
      </c>
      <c r="I813" s="764" t="str">
        <f>VLOOKUP($H813,инфо!$O:$P,2,FALSE)</f>
        <v>Сердце</v>
      </c>
      <c r="J813" s="160" t="str">
        <f>VLOOKUP($I813,инфо!$D:$G,3,FALSE)</f>
        <v>кг</v>
      </c>
      <c r="K813" s="747" t="s">
        <v>1538</v>
      </c>
      <c r="L813" s="663">
        <v>30</v>
      </c>
      <c r="M813" s="963">
        <f>SUMIF($H$1:$H813,$H813,$L$1:$L813)-SUMIF($H$1:$H812,$H813,$N$1:$N812)</f>
        <v>87.472799999999992</v>
      </c>
      <c r="N813" s="964">
        <v>68.466442000000001</v>
      </c>
      <c r="O813" s="962">
        <f t="shared" si="15"/>
        <v>19.006357999999992</v>
      </c>
    </row>
    <row r="814" spans="2:15" ht="18" customHeight="1" x14ac:dyDescent="0.25">
      <c r="B814" s="259">
        <v>45128</v>
      </c>
      <c r="C81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14" s="259">
        <v>45128</v>
      </c>
      <c r="H814" s="254" t="s">
        <v>544</v>
      </c>
      <c r="I814" s="764" t="str">
        <f>VLOOKUP($H814,инфо!$O:$P,2,FALSE)</f>
        <v>Треска б/г</v>
      </c>
      <c r="J814" s="160" t="str">
        <f>VLOOKUP($I814,инфо!$D:$G,3,FALSE)</f>
        <v>кг</v>
      </c>
      <c r="K814" s="747" t="s">
        <v>1538</v>
      </c>
      <c r="M814" s="963">
        <f>SUMIF($H$1:$H814,$H814,$L$1:$L814)-SUMIF($H$1:$H813,$H814,$N$1:$N813)</f>
        <v>217.55799999999999</v>
      </c>
      <c r="N814" s="964">
        <v>140.044995</v>
      </c>
      <c r="O814" s="962">
        <f t="shared" si="15"/>
        <v>77.513004999999993</v>
      </c>
    </row>
    <row r="815" spans="2:15" ht="18" customHeight="1" x14ac:dyDescent="0.25">
      <c r="B815" s="259">
        <v>45128</v>
      </c>
      <c r="C815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15" s="259">
        <v>45128</v>
      </c>
      <c r="H815" s="254" t="s">
        <v>1230</v>
      </c>
      <c r="I815" s="764" t="str">
        <f>VLOOKUP($H815,инфо!$O:$P,2,FALSE)</f>
        <v>Сельдь с/г</v>
      </c>
      <c r="J815" s="160" t="str">
        <f>VLOOKUP($I815,инфо!$D:$G,3,FALSE)</f>
        <v>кг</v>
      </c>
      <c r="K815" s="747" t="s">
        <v>1538</v>
      </c>
      <c r="M815" s="963">
        <f>SUMIF($H$1:$H815,$H815,$L$1:$L815)-SUMIF($H$1:$H814,$H815,$N$1:$N814)</f>
        <v>221.55799999999999</v>
      </c>
      <c r="N815" s="964">
        <v>140.044995</v>
      </c>
      <c r="O815" s="962">
        <f t="shared" si="15"/>
        <v>81.513004999999993</v>
      </c>
    </row>
    <row r="816" spans="2:15" ht="18" customHeight="1" x14ac:dyDescent="0.25">
      <c r="B816" s="259">
        <v>45128</v>
      </c>
      <c r="C81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16" s="259">
        <v>45128</v>
      </c>
      <c r="H816" s="254" t="s">
        <v>1219</v>
      </c>
      <c r="I816" s="764" t="str">
        <f>VLOOKUP($H816,инфо!$O:$P,2,FALSE)</f>
        <v>Минтай б/г</v>
      </c>
      <c r="J816" s="160" t="str">
        <f>VLOOKUP($I816,инфо!$D:$G,3,FALSE)</f>
        <v>кг</v>
      </c>
      <c r="K816" s="747" t="s">
        <v>1538</v>
      </c>
      <c r="M816" s="963">
        <f>SUMIF($H$1:$H816,$H816,$L$1:$L816)-SUMIF($H$1:$H815,$H816,$N$1:$N815)</f>
        <v>190.62</v>
      </c>
      <c r="N816" s="964">
        <v>155.60554999999999</v>
      </c>
      <c r="O816" s="962">
        <f t="shared" si="15"/>
        <v>35.014450000000011</v>
      </c>
    </row>
    <row r="817" spans="2:15" ht="18" customHeight="1" x14ac:dyDescent="0.25">
      <c r="B817" s="259">
        <v>45128</v>
      </c>
      <c r="C81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17" s="259">
        <v>45128</v>
      </c>
      <c r="H817" s="254" t="s">
        <v>1234</v>
      </c>
      <c r="I817" s="764" t="str">
        <f>VLOOKUP($H817,инфо!$O:$P,2,FALSE)</f>
        <v>Минтай с/г</v>
      </c>
      <c r="J817" s="160" t="str">
        <f>VLOOKUP($I817,инфо!$D:$G,3,FALSE)</f>
        <v>кг</v>
      </c>
      <c r="K817" s="747" t="s">
        <v>1538</v>
      </c>
      <c r="M817" s="963">
        <f>SUMIF($H$1:$H817,$H817,$L$1:$L817)-SUMIF($H$1:$H816,$H817,$N$1:$N816)</f>
        <v>134.49600000000001</v>
      </c>
      <c r="N817" s="964">
        <v>124.48444000000001</v>
      </c>
      <c r="O817" s="962">
        <f t="shared" si="15"/>
        <v>10.011560000000003</v>
      </c>
    </row>
    <row r="818" spans="2:15" ht="18" customHeight="1" x14ac:dyDescent="0.25">
      <c r="B818" s="259">
        <v>45128</v>
      </c>
      <c r="C81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18" s="259">
        <v>45128</v>
      </c>
      <c r="H818" s="254" t="s">
        <v>1218</v>
      </c>
      <c r="I818" s="764" t="str">
        <f>VLOOKUP($H818,инфо!$O:$P,2,FALSE)</f>
        <v>Камбала б/г</v>
      </c>
      <c r="J818" s="160" t="str">
        <f>VLOOKUP($I818,инфо!$D:$G,3,FALSE)</f>
        <v>кг</v>
      </c>
      <c r="K818" s="747" t="s">
        <v>1538</v>
      </c>
      <c r="M818" s="963">
        <f>SUMIF($H$1:$H818,$H818,$L$1:$L818)-SUMIF($H$1:$H817,$H818,$N$1:$N817)</f>
        <v>212</v>
      </c>
      <c r="N818" s="964">
        <v>124.48444000000001</v>
      </c>
      <c r="O818" s="962">
        <f t="shared" si="15"/>
        <v>87.515559999999994</v>
      </c>
    </row>
    <row r="819" spans="2:15" ht="18" customHeight="1" x14ac:dyDescent="0.25">
      <c r="B819" s="259">
        <v>45128</v>
      </c>
      <c r="C819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19" s="259">
        <v>45128</v>
      </c>
      <c r="H819" s="254" t="s">
        <v>53</v>
      </c>
      <c r="I819" s="764" t="str">
        <f>VLOOKUP($H819,инфо!$O:$P,2,FALSE)</f>
        <v>Сахар</v>
      </c>
      <c r="J819" s="160" t="str">
        <f>VLOOKUP($I819,инфо!$D:$G,3,FALSE)</f>
        <v>кг</v>
      </c>
      <c r="K819" s="747" t="s">
        <v>1538</v>
      </c>
      <c r="M819" s="963">
        <f>SUMIF($H$1:$H819,$H819,$L$1:$L819)-SUMIF($H$1:$H818,$H819,$N$1:$N818)</f>
        <v>638.24</v>
      </c>
      <c r="N819" s="964">
        <v>3</v>
      </c>
      <c r="O819" s="962">
        <f t="shared" si="15"/>
        <v>635.24</v>
      </c>
    </row>
    <row r="820" spans="2:15" ht="18" customHeight="1" x14ac:dyDescent="0.25">
      <c r="B820" s="259">
        <v>45128</v>
      </c>
      <c r="C82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20" s="259">
        <v>45128</v>
      </c>
      <c r="H820" s="254" t="s">
        <v>76</v>
      </c>
      <c r="I820" s="764" t="str">
        <f>VLOOKUP($H820,инфо!$O:$P,2,FALSE)</f>
        <v>Томат-паста</v>
      </c>
      <c r="J820" s="160" t="str">
        <f>VLOOKUP($I820,инфо!$D:$G,3,FALSE)</f>
        <v>кг</v>
      </c>
      <c r="K820" s="747" t="s">
        <v>1538</v>
      </c>
      <c r="M820" s="963">
        <f>SUMIF($H$1:$H820,$H820,$L$1:$L820)-SUMIF($H$1:$H819,$H820,$N$1:$N819)</f>
        <v>94.636669999999995</v>
      </c>
      <c r="N820" s="964">
        <v>5.6280000000000001</v>
      </c>
      <c r="O820" s="962">
        <f t="shared" si="15"/>
        <v>89.008669999999995</v>
      </c>
    </row>
    <row r="821" spans="2:15" ht="18" customHeight="1" x14ac:dyDescent="0.25">
      <c r="B821" s="259">
        <v>45128</v>
      </c>
      <c r="C821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21" s="259">
        <v>45128</v>
      </c>
      <c r="H821" s="254" t="s">
        <v>142</v>
      </c>
      <c r="I821" s="764" t="str">
        <f>VLOOKUP($H821,инфо!$O:$P,2,FALSE)</f>
        <v>Горчица</v>
      </c>
      <c r="J821" s="160" t="str">
        <f>VLOOKUP($I821,инфо!$D:$G,3,FALSE)</f>
        <v>кг</v>
      </c>
      <c r="K821" s="747" t="s">
        <v>1538</v>
      </c>
      <c r="M821" s="963">
        <f>SUMIF($H$1:$H821,$H821,$L$1:$L821)-SUMIF($H$1:$H820,$H821,$N$1:$N820)</f>
        <v>96.878889999999998</v>
      </c>
      <c r="N821" s="964">
        <v>1.8759999999999999</v>
      </c>
      <c r="O821" s="962">
        <f t="shared" si="15"/>
        <v>95.002889999999994</v>
      </c>
    </row>
    <row r="822" spans="2:15" ht="18" customHeight="1" x14ac:dyDescent="0.25">
      <c r="B822" s="259">
        <v>45128</v>
      </c>
      <c r="C82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22" s="259">
        <v>45128</v>
      </c>
      <c r="H822" s="254" t="s">
        <v>69</v>
      </c>
      <c r="I822" s="764" t="str">
        <f>VLOOKUP($H822,инфо!$O:$P,2,FALSE)</f>
        <v>Горчичный порошок</v>
      </c>
      <c r="J822" s="160" t="str">
        <f>VLOOKUP($I822,инфо!$D:$G,3,FALSE)</f>
        <v>кг</v>
      </c>
      <c r="K822" s="747" t="s">
        <v>1538</v>
      </c>
      <c r="M822" s="963">
        <f>SUMIF($H$1:$H822,$H822,$L$1:$L822)-SUMIF($H$1:$H821,$H822,$N$1:$N821)</f>
        <v>101.254668</v>
      </c>
      <c r="N822" s="964">
        <v>2.2511999999999999</v>
      </c>
      <c r="O822" s="962">
        <f t="shared" si="15"/>
        <v>99.003467999999998</v>
      </c>
    </row>
    <row r="823" spans="2:15" ht="18" customHeight="1" x14ac:dyDescent="0.25">
      <c r="B823" s="259">
        <v>45128</v>
      </c>
      <c r="C823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23" s="259">
        <v>45128</v>
      </c>
      <c r="H823" s="254" t="s">
        <v>77</v>
      </c>
      <c r="I823" s="764" t="str">
        <f>VLOOKUP($H823,инфо!$O:$P,2,FALSE)</f>
        <v>Уксус</v>
      </c>
      <c r="J823" s="160" t="str">
        <f>VLOOKUP($I823,инфо!$D:$G,3,FALSE)</f>
        <v>кг</v>
      </c>
      <c r="K823" s="747" t="s">
        <v>1538</v>
      </c>
      <c r="M823" s="963">
        <f>SUMIF($H$1:$H823,$H823,$L$1:$L823)-SUMIF($H$1:$H822,$H823,$N$1:$N822)</f>
        <v>100.75778</v>
      </c>
      <c r="N823" s="964">
        <v>3.7519999999999998</v>
      </c>
      <c r="O823" s="962">
        <f t="shared" si="15"/>
        <v>97.005780000000001</v>
      </c>
    </row>
    <row r="824" spans="2:15" ht="18" customHeight="1" x14ac:dyDescent="0.25">
      <c r="B824" s="259">
        <v>45128</v>
      </c>
      <c r="C82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24" s="259">
        <v>45128</v>
      </c>
      <c r="H824" s="254" t="s">
        <v>330</v>
      </c>
      <c r="I824" s="764" t="str">
        <f>VLOOKUP($H824,инфо!$O:$P,2,FALSE)</f>
        <v>Вода</v>
      </c>
      <c r="J824" s="160" t="str">
        <f>VLOOKUP($I824,инфо!$D:$G,3,FALSE)</f>
        <v>литр</v>
      </c>
      <c r="K824" s="747" t="s">
        <v>1538</v>
      </c>
      <c r="M824" s="963">
        <f>SUMIF($H$1:$H824,$H824,$L$1:$L824)-SUMIF($H$1:$H823,$H824,$N$1:$N823)</f>
        <v>99343.944499999998</v>
      </c>
      <c r="N824" s="964">
        <v>93.8</v>
      </c>
      <c r="O824" s="962">
        <f t="shared" si="15"/>
        <v>99250.144499999995</v>
      </c>
    </row>
    <row r="825" spans="2:15" ht="18" customHeight="1" x14ac:dyDescent="0.25">
      <c r="B825" s="259">
        <v>45128</v>
      </c>
      <c r="C825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25" s="259">
        <v>45128</v>
      </c>
      <c r="H825" s="254" t="s">
        <v>479</v>
      </c>
      <c r="I825" s="764" t="str">
        <f>VLOOKUP($H825,инфо!$O:$P,2,FALSE)</f>
        <v>Вода или бульон</v>
      </c>
      <c r="J825" s="160" t="str">
        <f>VLOOKUP($I825,инфо!$D:$G,3,FALSE)</f>
        <v>литр</v>
      </c>
      <c r="K825" s="747" t="s">
        <v>1538</v>
      </c>
      <c r="M825" s="963">
        <f>SUMIF($H$1:$H825,$H825,$L$1:$L825)-SUMIF($H$1:$H824,$H825,$N$1:$N824)</f>
        <v>737.57780000000002</v>
      </c>
      <c r="N825" s="964">
        <v>37.519999999999996</v>
      </c>
      <c r="O825" s="962">
        <f t="shared" si="15"/>
        <v>700.05780000000004</v>
      </c>
    </row>
    <row r="826" spans="2:15" ht="18" customHeight="1" x14ac:dyDescent="0.25">
      <c r="B826" s="259">
        <v>45128</v>
      </c>
      <c r="C82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26" s="259">
        <v>45128</v>
      </c>
      <c r="H826" s="254" t="s">
        <v>72</v>
      </c>
      <c r="I826" s="764" t="str">
        <f>VLOOKUP($H826,инфо!$O:$P,2,FALSE)</f>
        <v>Кофе растворимый</v>
      </c>
      <c r="J826" s="160" t="str">
        <f>VLOOKUP($I826,инфо!$D:$G,3,FALSE)</f>
        <v>кг</v>
      </c>
      <c r="K826" s="747" t="s">
        <v>1538</v>
      </c>
      <c r="M826" s="963">
        <f>SUMIF($H$1:$H826,$H826,$L$1:$L826)-SUMIF($H$1:$H825,$H826,$N$1:$N825)</f>
        <v>5.503111999999998</v>
      </c>
      <c r="N826" s="964">
        <v>1.5007999999999999</v>
      </c>
      <c r="O826" s="962">
        <f t="shared" si="15"/>
        <v>4.0023119999999981</v>
      </c>
    </row>
    <row r="827" spans="2:15" ht="18" customHeight="1" x14ac:dyDescent="0.25">
      <c r="B827" s="259">
        <v>45128</v>
      </c>
      <c r="C82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27" s="259">
        <v>45128</v>
      </c>
      <c r="H827" s="254" t="s">
        <v>423</v>
      </c>
      <c r="I827" s="764" t="str">
        <f>VLOOKUP($H827,инфо!$O:$P,2,FALSE)</f>
        <v>Какао</v>
      </c>
      <c r="J827" s="160" t="str">
        <f>VLOOKUP($I827,инфо!$D:$G,3,FALSE)</f>
        <v>кг</v>
      </c>
      <c r="K827" s="747" t="s">
        <v>1538</v>
      </c>
      <c r="M827" s="963">
        <f>SUMIF($H$1:$H827,$H827,$L$1:$L827)-SUMIF($H$1:$H826,$H827,$N$1:$N826)</f>
        <v>96.878889999999998</v>
      </c>
      <c r="N827" s="964">
        <v>1.8759999999999999</v>
      </c>
      <c r="O827" s="962">
        <f t="shared" si="15"/>
        <v>95.002889999999994</v>
      </c>
    </row>
    <row r="828" spans="2:15" ht="18" customHeight="1" x14ac:dyDescent="0.25">
      <c r="B828" s="259">
        <v>45128</v>
      </c>
      <c r="C82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28" s="259">
        <v>45128</v>
      </c>
      <c r="H828" s="254" t="s">
        <v>179</v>
      </c>
      <c r="I828" s="764" t="str">
        <f>VLOOKUP($H828,инфо!$O:$P,2,FALSE)</f>
        <v>Гексавит</v>
      </c>
      <c r="J828" s="160" t="str">
        <f>VLOOKUP($I828,инфо!$D:$G,3,FALSE)</f>
        <v>кг</v>
      </c>
      <c r="K828" s="747" t="s">
        <v>1538</v>
      </c>
      <c r="M828" s="963">
        <f>SUMIF($H$1:$H828,$H828,$L$1:$L828)-SUMIF($H$1:$H827,$H828,$N$1:$N827)</f>
        <v>124.63667</v>
      </c>
      <c r="N828" s="964">
        <v>5.6280000000000001</v>
      </c>
      <c r="O828" s="962">
        <f t="shared" si="15"/>
        <v>119.00867</v>
      </c>
    </row>
    <row r="829" spans="2:15" ht="18" customHeight="1" x14ac:dyDescent="0.25">
      <c r="B829" s="259">
        <v>45128</v>
      </c>
      <c r="C829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29" s="259">
        <v>45128</v>
      </c>
      <c r="H829" s="254" t="s">
        <v>324</v>
      </c>
      <c r="I829" s="764" t="str">
        <f>VLOOKUP($H829,инфо!$O:$P,2,FALSE)</f>
        <v>Изюм</v>
      </c>
      <c r="J829" s="160" t="str">
        <f>VLOOKUP($I829,инфо!$D:$G,3,FALSE)</f>
        <v>кг</v>
      </c>
      <c r="K829" s="747" t="s">
        <v>1538</v>
      </c>
      <c r="M829" s="963">
        <f>SUMIF($H$1:$H829,$H829,$L$1:$L829)-SUMIF($H$1:$H828,$H829,$N$1:$N828)</f>
        <v>111.87889</v>
      </c>
      <c r="N829" s="964">
        <v>1.8759999999999999</v>
      </c>
      <c r="O829" s="962">
        <f t="shared" si="15"/>
        <v>110.00288999999999</v>
      </c>
    </row>
    <row r="830" spans="2:15" ht="18" customHeight="1" x14ac:dyDescent="0.25">
      <c r="B830" s="259">
        <v>45128</v>
      </c>
      <c r="C83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30" s="259">
        <v>45128</v>
      </c>
      <c r="H830" s="254" t="s">
        <v>78</v>
      </c>
      <c r="I830" s="764" t="str">
        <f>VLOOKUP($H830,инфо!$O:$P,2,FALSE)</f>
        <v>Чернослив</v>
      </c>
      <c r="J830" s="160" t="str">
        <f>VLOOKUP($I830,инфо!$D:$G,3,FALSE)</f>
        <v>кг</v>
      </c>
      <c r="K830" s="747" t="s">
        <v>1538</v>
      </c>
      <c r="M830" s="963">
        <f>SUMIF($H$1:$H830,$H830,$L$1:$L830)-SUMIF($H$1:$H829,$H830,$N$1:$N829)</f>
        <v>151.94255700000002</v>
      </c>
      <c r="N830" s="964">
        <v>2.4387999999999996</v>
      </c>
      <c r="O830" s="962">
        <f t="shared" si="15"/>
        <v>149.50375700000004</v>
      </c>
    </row>
    <row r="831" spans="2:15" ht="18" customHeight="1" x14ac:dyDescent="0.25">
      <c r="B831" s="259">
        <v>45128</v>
      </c>
      <c r="C831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31" s="259">
        <v>45128</v>
      </c>
      <c r="H831" s="254" t="s">
        <v>85</v>
      </c>
      <c r="I831" s="764" t="str">
        <f>VLOOKUP($H831,инфо!$O:$P,2,FALSE)</f>
        <v>Печенье</v>
      </c>
      <c r="J831" s="160" t="str">
        <f>VLOOKUP($I831,инфо!$D:$G,3,FALSE)</f>
        <v>кг</v>
      </c>
      <c r="K831" s="747" t="s">
        <v>1538</v>
      </c>
      <c r="M831" s="963">
        <f>SUMIF($H$1:$H831,$H831,$L$1:$L831)-SUMIF($H$1:$H830,$H831,$N$1:$N830)</f>
        <v>318</v>
      </c>
      <c r="N831" s="964">
        <v>5.6280000000000001</v>
      </c>
      <c r="O831" s="962">
        <f t="shared" si="15"/>
        <v>312.37200000000001</v>
      </c>
    </row>
    <row r="832" spans="2:15" ht="18" customHeight="1" x14ac:dyDescent="0.25">
      <c r="B832" s="259">
        <v>45128</v>
      </c>
      <c r="C83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32" s="259">
        <v>45128</v>
      </c>
      <c r="H832" s="254" t="s">
        <v>161</v>
      </c>
      <c r="I832" s="764" t="str">
        <f>VLOOKUP($H832,инфо!$O:$P,2,FALSE)</f>
        <v>Пряники</v>
      </c>
      <c r="J832" s="160" t="str">
        <f>VLOOKUP($I832,инфо!$D:$G,3,FALSE)</f>
        <v>кг</v>
      </c>
      <c r="K832" s="747" t="s">
        <v>1538</v>
      </c>
      <c r="M832" s="963">
        <f>SUMIF($H$1:$H832,$H832,$L$1:$L832)-SUMIF($H$1:$H831,$H832,$N$1:$N831)</f>
        <v>98</v>
      </c>
      <c r="N832" s="964">
        <v>6.5659999999999998</v>
      </c>
      <c r="O832" s="962">
        <f t="shared" si="15"/>
        <v>91.433999999999997</v>
      </c>
    </row>
    <row r="833" spans="2:15" ht="18" customHeight="1" x14ac:dyDescent="0.25">
      <c r="B833" s="259">
        <v>45128</v>
      </c>
      <c r="C833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33" s="259">
        <v>45128</v>
      </c>
      <c r="H833" s="254" t="s">
        <v>83</v>
      </c>
      <c r="I833" s="764" t="str">
        <f>VLOOKUP($H833,инфо!$O:$P,2,FALSE)</f>
        <v>Конфеты шоколадные</v>
      </c>
      <c r="J833" s="160" t="str">
        <f>VLOOKUP($I833,инфо!$D:$G,3,FALSE)</f>
        <v>кг</v>
      </c>
      <c r="K833" s="747" t="s">
        <v>1538</v>
      </c>
      <c r="M833" s="963">
        <f>SUMIF($H$1:$H833,$H833,$L$1:$L833)-SUMIF($H$1:$H832,$H833,$N$1:$N832)</f>
        <v>145</v>
      </c>
      <c r="N833" s="964">
        <v>3.7519999999999998</v>
      </c>
      <c r="O833" s="962">
        <f t="shared" ref="O833:O896" si="17">$M833-$N833</f>
        <v>141.24799999999999</v>
      </c>
    </row>
    <row r="834" spans="2:15" ht="18" customHeight="1" x14ac:dyDescent="0.25">
      <c r="B834" s="259">
        <v>45136</v>
      </c>
      <c r="C83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834" t="s">
        <v>1290</v>
      </c>
      <c r="E834" s="259">
        <v>45129</v>
      </c>
      <c r="F834" s="257">
        <v>313</v>
      </c>
      <c r="H834" s="254" t="s">
        <v>60</v>
      </c>
      <c r="I834" s="764" t="str">
        <f>VLOOKUP($H834,инфо!$O:$P,2,FALSE)</f>
        <v>Масло коровье</v>
      </c>
      <c r="J834" s="160" t="str">
        <f>VLOOKUP($I834,инфо!$D:$G,3,FALSE)</f>
        <v>кг</v>
      </c>
      <c r="K834" s="747" t="s">
        <v>1538</v>
      </c>
      <c r="L834" s="663">
        <v>50</v>
      </c>
      <c r="M834" s="963">
        <f>SUMIF($H$1:$H834,$H834,$L$1:$L834)-SUMIF($H$1:$H833,$H834,$N$1:$N833)</f>
        <v>267.01445000000001</v>
      </c>
      <c r="N834" s="964">
        <v>28.175000000000004</v>
      </c>
      <c r="O834" s="962">
        <f t="shared" si="17"/>
        <v>238.83945</v>
      </c>
    </row>
    <row r="835" spans="2:15" ht="18" customHeight="1" x14ac:dyDescent="0.25">
      <c r="B835" s="259">
        <v>45136</v>
      </c>
      <c r="C83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835" t="s">
        <v>1290</v>
      </c>
      <c r="E835" s="259">
        <v>45130</v>
      </c>
      <c r="F835" s="257">
        <v>314</v>
      </c>
      <c r="H835" s="254" t="s">
        <v>479</v>
      </c>
      <c r="I835" s="764" t="str">
        <f>VLOOKUP($H835,инфо!$O:$P,2,FALSE)</f>
        <v>Вода или бульон</v>
      </c>
      <c r="J835" s="160" t="str">
        <f>VLOOKUP($I835,инфо!$D:$G,3,FALSE)</f>
        <v>литр</v>
      </c>
      <c r="K835" s="747" t="s">
        <v>1538</v>
      </c>
      <c r="L835" s="663">
        <v>200</v>
      </c>
      <c r="M835" s="963">
        <f>SUMIF($H$1:$H835,$H835,$L$1:$L835)-SUMIF($H$1:$H834,$H835,$N$1:$N834)</f>
        <v>900.05780000000004</v>
      </c>
      <c r="N835" s="964">
        <v>80.768000000000001</v>
      </c>
      <c r="O835" s="962">
        <f t="shared" si="17"/>
        <v>819.28980000000001</v>
      </c>
    </row>
    <row r="836" spans="2:15" ht="18" customHeight="1" x14ac:dyDescent="0.25">
      <c r="B836" s="259">
        <v>45131</v>
      </c>
      <c r="C83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36" s="259">
        <f t="shared" ref="E836:E851" si="18">B836</f>
        <v>45131</v>
      </c>
      <c r="H836" t="s">
        <v>333</v>
      </c>
      <c r="I836" s="764" t="str">
        <f>VLOOKUP($H836,инфо!$O:$P,2,FALSE)</f>
        <v>Кабачки консерв.</v>
      </c>
      <c r="J836" s="160" t="str">
        <f>VLOOKUP($I836,инфо!$D:$G,3,FALSE)</f>
        <v>кг</v>
      </c>
      <c r="K836" s="747" t="s">
        <v>1538</v>
      </c>
      <c r="L836" s="663">
        <v>81</v>
      </c>
      <c r="M836" s="963">
        <f>SUMIF($H$1:$H836,$H836,$L$1:$L836)-SUMIF($H$1:$H835,$H836,$N$1:$N835)</f>
        <v>144.955005</v>
      </c>
      <c r="O836" s="962">
        <f t="shared" si="17"/>
        <v>144.955005</v>
      </c>
    </row>
    <row r="837" spans="2:15" ht="18" customHeight="1" x14ac:dyDescent="0.25">
      <c r="B837" s="259">
        <v>45131</v>
      </c>
      <c r="C83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37" s="259">
        <f t="shared" si="18"/>
        <v>45131</v>
      </c>
      <c r="H837" t="s">
        <v>409</v>
      </c>
      <c r="I837" s="764" t="str">
        <f>VLOOKUP($H837,инфо!$O:$P,2,FALSE)</f>
        <v>Консервы овощ. закусочные, лечо</v>
      </c>
      <c r="J837" s="160" t="str">
        <f>VLOOKUP($I837,инфо!$D:$G,3,FALSE)</f>
        <v>кг</v>
      </c>
      <c r="K837" s="747" t="s">
        <v>1538</v>
      </c>
      <c r="L837" s="663">
        <v>63</v>
      </c>
      <c r="M837" s="963">
        <f>SUMIF($H$1:$H837,$H837,$L$1:$L837)-SUMIF($H$1:$H836,$H837,$N$1:$N836)</f>
        <v>205.07611500000002</v>
      </c>
      <c r="O837" s="962">
        <f t="shared" si="17"/>
        <v>205.07611500000002</v>
      </c>
    </row>
    <row r="838" spans="2:15" ht="18" customHeight="1" x14ac:dyDescent="0.25">
      <c r="B838" s="259">
        <v>45131</v>
      </c>
      <c r="C83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38" s="259">
        <f t="shared" si="18"/>
        <v>45131</v>
      </c>
      <c r="H838" t="s">
        <v>52</v>
      </c>
      <c r="I838" s="764" t="str">
        <f>VLOOKUP($H838,инфо!$O:$P,2,FALSE)</f>
        <v>Молоко коровье</v>
      </c>
      <c r="J838" s="160" t="str">
        <f>VLOOKUP($I838,инфо!$D:$G,3,FALSE)</f>
        <v>литр</v>
      </c>
      <c r="K838" s="747" t="s">
        <v>1538</v>
      </c>
      <c r="L838" s="663">
        <v>79.2</v>
      </c>
      <c r="M838" s="963">
        <f>SUMIF($H$1:$H838,$H838,$L$1:$L838)-SUMIF($H$1:$H837,$H838,$N$1:$N837)</f>
        <v>236.26711599999999</v>
      </c>
      <c r="O838" s="962">
        <f t="shared" si="17"/>
        <v>236.26711599999999</v>
      </c>
    </row>
    <row r="839" spans="2:15" ht="18" customHeight="1" x14ac:dyDescent="0.25">
      <c r="B839" s="259">
        <v>45131</v>
      </c>
      <c r="C83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39" s="259">
        <f t="shared" si="18"/>
        <v>45131</v>
      </c>
      <c r="H839" t="s">
        <v>71</v>
      </c>
      <c r="I839" s="764" t="str">
        <f>VLOOKUP($H839,инфо!$O:$P,2,FALSE)</f>
        <v>Кефир</v>
      </c>
      <c r="J839" s="160" t="str">
        <f>VLOOKUP($I839,инфо!$D:$G,3,FALSE)</f>
        <v>литр</v>
      </c>
      <c r="K839" s="747" t="s">
        <v>1538</v>
      </c>
      <c r="L839" s="663">
        <v>72</v>
      </c>
      <c r="M839" s="963">
        <f>SUMIF($H$1:$H839,$H839,$L$1:$L839)-SUMIF($H$1:$H838,$H839,$N$1:$N838)</f>
        <v>129.49600000000001</v>
      </c>
      <c r="O839" s="962">
        <f t="shared" si="17"/>
        <v>129.49600000000001</v>
      </c>
    </row>
    <row r="840" spans="2:15" ht="18" customHeight="1" x14ac:dyDescent="0.25">
      <c r="B840" s="259">
        <v>45131</v>
      </c>
      <c r="C84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40" s="259">
        <f t="shared" si="18"/>
        <v>45131</v>
      </c>
      <c r="H840" t="s">
        <v>320</v>
      </c>
      <c r="I840" s="764" t="str">
        <f>VLOOKUP($H840,инфо!$O:$P,2,FALSE)</f>
        <v>Творог</v>
      </c>
      <c r="J840" s="160" t="str">
        <f>VLOOKUP($I840,инфо!$D:$G,3,FALSE)</f>
        <v>кг</v>
      </c>
      <c r="K840" s="747" t="s">
        <v>1538</v>
      </c>
      <c r="L840" s="663">
        <v>54</v>
      </c>
      <c r="M840" s="963">
        <f>SUMIF($H$1:$H840,$H840,$L$1:$L840)-SUMIF($H$1:$H839,$H840,$N$1:$N839)</f>
        <v>184</v>
      </c>
      <c r="O840" s="962">
        <f t="shared" si="17"/>
        <v>184</v>
      </c>
    </row>
    <row r="841" spans="2:15" ht="18" customHeight="1" x14ac:dyDescent="0.25">
      <c r="B841" s="259">
        <v>45131</v>
      </c>
      <c r="C84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41" s="259">
        <f t="shared" si="18"/>
        <v>45131</v>
      </c>
      <c r="H841" t="s">
        <v>56</v>
      </c>
      <c r="I841" s="764" t="str">
        <f>VLOOKUP($H841,инфо!$O:$P,2,FALSE)</f>
        <v>Сыр плавленный</v>
      </c>
      <c r="J841" s="160" t="str">
        <f>VLOOKUP($I841,инфо!$D:$G,3,FALSE)</f>
        <v>кг</v>
      </c>
      <c r="K841" s="747" t="s">
        <v>1538</v>
      </c>
      <c r="L841" s="663">
        <v>90</v>
      </c>
      <c r="M841" s="963">
        <f>SUMIF($H$1:$H841,$H841,$L$1:$L841)-SUMIF($H$1:$H840,$H841,$N$1:$N840)</f>
        <v>154.39445000000001</v>
      </c>
      <c r="O841" s="962">
        <f t="shared" si="17"/>
        <v>154.39445000000001</v>
      </c>
    </row>
    <row r="842" spans="2:15" ht="18" customHeight="1" x14ac:dyDescent="0.25">
      <c r="B842" s="259">
        <v>45131</v>
      </c>
      <c r="C84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42" s="259">
        <f t="shared" si="18"/>
        <v>45131</v>
      </c>
      <c r="H842" t="s">
        <v>412</v>
      </c>
      <c r="I842" s="764" t="str">
        <f>VLOOKUP($H842,инфо!$O:$P,2,FALSE)</f>
        <v>Молоко сгущ.</v>
      </c>
      <c r="J842" s="160" t="str">
        <f>VLOOKUP($I842,инфо!$D:$G,3,FALSE)</f>
        <v>кг</v>
      </c>
      <c r="K842" s="747" t="s">
        <v>1538</v>
      </c>
      <c r="L842" s="663">
        <v>54</v>
      </c>
      <c r="M842" s="963">
        <f>SUMIF($H$1:$H842,$H842,$L$1:$L842)-SUMIF($H$1:$H841,$H842,$N$1:$N841)</f>
        <v>210.63666999999998</v>
      </c>
      <c r="O842" s="962">
        <f t="shared" si="17"/>
        <v>210.63666999999998</v>
      </c>
    </row>
    <row r="843" spans="2:15" ht="18" customHeight="1" x14ac:dyDescent="0.25">
      <c r="B843" s="259">
        <v>45131</v>
      </c>
      <c r="C84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43" s="259">
        <f t="shared" si="18"/>
        <v>45131</v>
      </c>
      <c r="H843" t="s">
        <v>54</v>
      </c>
      <c r="I843" s="764" t="str">
        <f>VLOOKUP($H843,инфо!$O:$P,2,FALSE)</f>
        <v>Сметана</v>
      </c>
      <c r="J843" s="160" t="str">
        <f>VLOOKUP($I843,инфо!$D:$G,3,FALSE)</f>
        <v>кг</v>
      </c>
      <c r="K843" s="747" t="s">
        <v>1538</v>
      </c>
      <c r="L843" s="663">
        <v>18</v>
      </c>
      <c r="M843" s="963">
        <f>SUMIF($H$1:$H843,$H843,$L$1:$L843)-SUMIF($H$1:$H842,$H843,$N$1:$N842)</f>
        <v>43.878889999999998</v>
      </c>
      <c r="O843" s="962">
        <f t="shared" si="17"/>
        <v>43.878889999999998</v>
      </c>
    </row>
    <row r="844" spans="2:15" ht="18" customHeight="1" x14ac:dyDescent="0.25">
      <c r="B844" s="259">
        <v>45131</v>
      </c>
      <c r="C84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44" s="259">
        <f t="shared" si="18"/>
        <v>45131</v>
      </c>
      <c r="H844" t="s">
        <v>321</v>
      </c>
      <c r="I844" s="764" t="str">
        <f>VLOOKUP($H844,инфо!$O:$P,2,FALSE)</f>
        <v>Сыр</v>
      </c>
      <c r="J844" s="160" t="str">
        <f>VLOOKUP($I844,инфо!$D:$G,3,FALSE)</f>
        <v>кг</v>
      </c>
      <c r="K844" s="747" t="s">
        <v>1538</v>
      </c>
      <c r="L844" s="663">
        <v>72</v>
      </c>
      <c r="M844" s="963">
        <f>SUMIF($H$1:$H844,$H844,$L$1:$L844)-SUMIF($H$1:$H843,$H844,$N$1:$N843)</f>
        <v>80.011560000000003</v>
      </c>
      <c r="O844" s="962">
        <f t="shared" si="17"/>
        <v>80.011560000000003</v>
      </c>
    </row>
    <row r="845" spans="2:15" ht="18" customHeight="1" x14ac:dyDescent="0.25">
      <c r="B845" s="259">
        <v>45131</v>
      </c>
      <c r="C84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45" s="259">
        <f t="shared" si="18"/>
        <v>45131</v>
      </c>
      <c r="H845" t="s">
        <v>60</v>
      </c>
      <c r="I845" s="764" t="str">
        <f>VLOOKUP($H845,инфо!$O:$P,2,FALSE)</f>
        <v>Масло коровье</v>
      </c>
      <c r="J845" s="160" t="str">
        <f>VLOOKUP($I845,инфо!$D:$G,3,FALSE)</f>
        <v>кг</v>
      </c>
      <c r="K845" s="747" t="s">
        <v>1538</v>
      </c>
      <c r="L845" s="663">
        <v>90</v>
      </c>
      <c r="M845" s="963">
        <f>SUMIF($H$1:$H845,$H845,$L$1:$L845)-SUMIF($H$1:$H844,$H845,$N$1:$N844)</f>
        <v>328.83945</v>
      </c>
      <c r="O845" s="962">
        <f t="shared" si="17"/>
        <v>328.83945</v>
      </c>
    </row>
    <row r="846" spans="2:15" ht="18" customHeight="1" x14ac:dyDescent="0.25">
      <c r="B846" s="259">
        <v>45131</v>
      </c>
      <c r="C84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46" s="259">
        <f t="shared" si="18"/>
        <v>45131</v>
      </c>
      <c r="H846" t="s">
        <v>61</v>
      </c>
      <c r="I846" s="764" t="str">
        <f>VLOOKUP($H846,инфо!$O:$P,2,FALSE)</f>
        <v>Масло растительное</v>
      </c>
      <c r="J846" s="160" t="str">
        <f>VLOOKUP($I846,инфо!$D:$G,3,FALSE)</f>
        <v>литр</v>
      </c>
      <c r="K846" s="747" t="s">
        <v>1538</v>
      </c>
      <c r="L846" s="663">
        <v>126</v>
      </c>
      <c r="M846" s="963">
        <f>SUMIF($H$1:$H846,$H846,$L$1:$L846)-SUMIF($H$1:$H845,$H846,$N$1:$N845)</f>
        <v>306.02022999999997</v>
      </c>
      <c r="O846" s="962">
        <f t="shared" si="17"/>
        <v>306.02022999999997</v>
      </c>
    </row>
    <row r="847" spans="2:15" ht="18" customHeight="1" x14ac:dyDescent="0.25">
      <c r="B847" s="259">
        <v>45131</v>
      </c>
      <c r="C84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47" s="259">
        <f t="shared" si="18"/>
        <v>45131</v>
      </c>
      <c r="H847" t="s">
        <v>62</v>
      </c>
      <c r="I847" s="764" t="str">
        <f>VLOOKUP($H847,инфо!$O:$P,2,FALSE)</f>
        <v>Сало-шпик</v>
      </c>
      <c r="J847" s="160" t="str">
        <f>VLOOKUP($I847,инфо!$D:$G,3,FALSE)</f>
        <v>кг</v>
      </c>
      <c r="K847" s="747" t="s">
        <v>1538</v>
      </c>
      <c r="L847" s="663">
        <v>36</v>
      </c>
      <c r="M847" s="963">
        <f>SUMIF($H$1:$H847,$H847,$L$1:$L847)-SUMIF($H$1:$H846,$H847,$N$1:$N846)</f>
        <v>106.00578</v>
      </c>
      <c r="O847" s="962">
        <f t="shared" si="17"/>
        <v>106.00578</v>
      </c>
    </row>
    <row r="848" spans="2:15" ht="18" customHeight="1" x14ac:dyDescent="0.25">
      <c r="B848" s="259">
        <v>45131</v>
      </c>
      <c r="C848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48" s="259">
        <f t="shared" si="18"/>
        <v>45131</v>
      </c>
      <c r="H848" t="s">
        <v>454</v>
      </c>
      <c r="I848" s="764" t="str">
        <f>VLOOKUP($H848,инфо!$O:$P,2,FALSE)</f>
        <v>Говядина б/к</v>
      </c>
      <c r="J848" s="160" t="str">
        <f>VLOOKUP($I848,инфо!$D:$G,3,FALSE)</f>
        <v>кг</v>
      </c>
      <c r="K848" s="747" t="s">
        <v>1538</v>
      </c>
      <c r="L848" s="663">
        <v>72</v>
      </c>
      <c r="M848" s="963">
        <f>SUMIF($H$1:$H848,$H848,$L$1:$L848)-SUMIF($H$1:$H847,$H848,$N$1:$N847)</f>
        <v>80.011560000000003</v>
      </c>
      <c r="O848" s="962">
        <f t="shared" si="17"/>
        <v>80.011560000000003</v>
      </c>
    </row>
    <row r="849" spans="2:15" ht="18" customHeight="1" x14ac:dyDescent="0.25">
      <c r="B849" s="259">
        <v>45131</v>
      </c>
      <c r="C84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49" s="259">
        <f t="shared" si="18"/>
        <v>45131</v>
      </c>
      <c r="H849" t="s">
        <v>502</v>
      </c>
      <c r="I849" s="764" t="str">
        <f>VLOOKUP($H849,инфо!$O:$P,2,FALSE)</f>
        <v>Говядина консерв.</v>
      </c>
      <c r="J849" s="160" t="str">
        <f>VLOOKUP($I849,инфо!$D:$G,3,FALSE)</f>
        <v>кг</v>
      </c>
      <c r="K849" s="747" t="s">
        <v>1538</v>
      </c>
      <c r="L849" s="663">
        <v>54</v>
      </c>
      <c r="M849" s="963">
        <f>SUMIF($H$1:$H849,$H849,$L$1:$L849)-SUMIF($H$1:$H848,$H849,$N$1:$N848)</f>
        <v>85.008669999999995</v>
      </c>
      <c r="O849" s="962">
        <f t="shared" si="17"/>
        <v>85.008669999999995</v>
      </c>
    </row>
    <row r="850" spans="2:15" ht="18" customHeight="1" x14ac:dyDescent="0.25">
      <c r="B850" s="259">
        <v>45131</v>
      </c>
      <c r="C850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50" s="259">
        <f t="shared" si="18"/>
        <v>45131</v>
      </c>
      <c r="H850" t="s">
        <v>503</v>
      </c>
      <c r="I850" s="764" t="str">
        <f>VLOOKUP($H850,инфо!$O:$P,2,FALSE)</f>
        <v>Говядина н/к</v>
      </c>
      <c r="J850" s="160" t="str">
        <f>VLOOKUP($I850,инфо!$D:$G,3,FALSE)</f>
        <v>кг</v>
      </c>
      <c r="K850" s="747" t="s">
        <v>1538</v>
      </c>
      <c r="L850" s="663">
        <v>90</v>
      </c>
      <c r="M850" s="963">
        <f>SUMIF($H$1:$H850,$H850,$L$1:$L850)-SUMIF($H$1:$H849,$H850,$N$1:$N849)</f>
        <v>425.01445000000001</v>
      </c>
      <c r="O850" s="962">
        <f t="shared" si="17"/>
        <v>425.01445000000001</v>
      </c>
    </row>
    <row r="851" spans="2:15" ht="18" customHeight="1" x14ac:dyDescent="0.25">
      <c r="B851" s="259">
        <v>45131</v>
      </c>
      <c r="C85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51" s="259">
        <f t="shared" si="18"/>
        <v>45131</v>
      </c>
      <c r="H851" t="s">
        <v>336</v>
      </c>
      <c r="I851" s="764" t="str">
        <f>VLOOKUP($H851,инфо!$O:$P,2,FALSE)</f>
        <v>Говядина на кости</v>
      </c>
      <c r="J851" s="160" t="str">
        <f>VLOOKUP($I851,инфо!$D:$G,3,FALSE)</f>
        <v>кг</v>
      </c>
      <c r="K851" s="747" t="s">
        <v>1538</v>
      </c>
      <c r="L851" s="663">
        <v>72</v>
      </c>
      <c r="M851" s="963">
        <f>SUMIF($H$1:$H851,$H851,$L$1:$L851)-SUMIF($H$1:$H850,$H851,$N$1:$N850)</f>
        <v>140.01156</v>
      </c>
      <c r="O851" s="962">
        <f t="shared" si="17"/>
        <v>140.01156</v>
      </c>
    </row>
    <row r="852" spans="2:15" ht="18" customHeight="1" x14ac:dyDescent="0.25">
      <c r="B852" s="259">
        <v>45132</v>
      </c>
      <c r="C85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52" s="259">
        <v>45132</v>
      </c>
      <c r="H852" t="s">
        <v>25</v>
      </c>
      <c r="I852" s="764" t="str">
        <f>VLOOKUP($H852,инфо!$O:$P,2,FALSE)</f>
        <v>Горох</v>
      </c>
      <c r="J852" s="160" t="str">
        <f>VLOOKUP($I852,инфо!$D:$G,3,FALSE)</f>
        <v>кг</v>
      </c>
      <c r="K852" s="747" t="s">
        <v>1538</v>
      </c>
      <c r="M852" s="963">
        <f>SUMIF($H$1:$H852,$H852,$L$1:$L852)-SUMIF($H$1:$H851,$H852,$N$1:$N851)</f>
        <v>234.39445000000001</v>
      </c>
      <c r="N852" s="964">
        <v>9.379999999999999</v>
      </c>
      <c r="O852" s="962">
        <f t="shared" si="17"/>
        <v>225.01445000000001</v>
      </c>
    </row>
    <row r="853" spans="2:15" ht="18" customHeight="1" x14ac:dyDescent="0.25">
      <c r="B853" s="259">
        <v>45132</v>
      </c>
      <c r="C85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53" s="259">
        <v>45132</v>
      </c>
      <c r="H853" t="s">
        <v>39</v>
      </c>
      <c r="I853" s="764" t="str">
        <f>VLOOKUP($H853,инфо!$O:$P,2,FALSE)</f>
        <v>Манная</v>
      </c>
      <c r="J853" s="160" t="str">
        <f>VLOOKUP($I853,инфо!$D:$G,3,FALSE)</f>
        <v>кг</v>
      </c>
      <c r="K853" s="747" t="s">
        <v>1538</v>
      </c>
      <c r="L853" s="663">
        <v>40</v>
      </c>
      <c r="M853" s="963">
        <f>SUMIF($H$1:$H853,$H853,$L$1:$L853)-SUMIF($H$1:$H852,$H853,$N$1:$N852)</f>
        <v>62.833894999999984</v>
      </c>
      <c r="N853" s="964">
        <v>10.318</v>
      </c>
      <c r="O853" s="962">
        <f t="shared" si="17"/>
        <v>52.515894999999986</v>
      </c>
    </row>
    <row r="854" spans="2:15" ht="18" customHeight="1" x14ac:dyDescent="0.25">
      <c r="B854" s="259">
        <v>45132</v>
      </c>
      <c r="C85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54" s="259">
        <v>45132</v>
      </c>
      <c r="H854" t="s">
        <v>51</v>
      </c>
      <c r="I854" s="764" t="str">
        <f>VLOOKUP($H854,инфо!$O:$P,2,FALSE)</f>
        <v>Хлеб дарницкий</v>
      </c>
      <c r="J854" s="160" t="str">
        <f>VLOOKUP($I854,инфо!$D:$G,3,FALSE)</f>
        <v>кг</v>
      </c>
      <c r="K854" s="747" t="s">
        <v>1538</v>
      </c>
      <c r="M854" s="963">
        <f>SUMIF($H$1:$H854,$H854,$L$1:$L854)-SUMIF($H$1:$H853,$H854,$N$1:$N853)</f>
        <v>441.39445000000001</v>
      </c>
      <c r="N854" s="964">
        <v>9.379999999999999</v>
      </c>
      <c r="O854" s="962">
        <f t="shared" si="17"/>
        <v>432.01445000000001</v>
      </c>
    </row>
    <row r="855" spans="2:15" ht="18" customHeight="1" x14ac:dyDescent="0.25">
      <c r="B855" s="259">
        <v>45132</v>
      </c>
      <c r="C855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55" s="259">
        <v>45132</v>
      </c>
      <c r="H855" t="s">
        <v>411</v>
      </c>
      <c r="I855" s="764" t="str">
        <f>VLOOKUP($H855,инфо!$O:$P,2,FALSE)</f>
        <v>Хлеб из муки пш. 1 сорта</v>
      </c>
      <c r="J855" s="160" t="str">
        <f>VLOOKUP($I855,инфо!$D:$G,3,FALSE)</f>
        <v>кг</v>
      </c>
      <c r="K855" s="747" t="s">
        <v>1538</v>
      </c>
      <c r="M855" s="963">
        <f>SUMIF($H$1:$H855,$H855,$L$1:$L855)-SUMIF($H$1:$H854,$H855,$N$1:$N854)</f>
        <v>460.27333999999996</v>
      </c>
      <c r="N855" s="964">
        <v>11.256</v>
      </c>
      <c r="O855" s="962">
        <f t="shared" si="17"/>
        <v>449.01733999999999</v>
      </c>
    </row>
    <row r="856" spans="2:15" ht="18" customHeight="1" x14ac:dyDescent="0.25">
      <c r="B856" s="259">
        <v>45132</v>
      </c>
      <c r="C85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56" s="259">
        <v>45132</v>
      </c>
      <c r="H856" t="s">
        <v>46</v>
      </c>
      <c r="I856" s="764" t="str">
        <f>VLOOKUP($H856,инфо!$O:$P,2,FALSE)</f>
        <v>Морковь</v>
      </c>
      <c r="J856" s="160" t="str">
        <f>VLOOKUP($I856,инфо!$D:$G,3,FALSE)</f>
        <v>кг</v>
      </c>
      <c r="K856" s="747" t="s">
        <v>1538</v>
      </c>
      <c r="M856" s="963">
        <f>SUMIF($H$1:$H856,$H856,$L$1:$L856)-SUMIF($H$1:$H855,$H856,$N$1:$N855)</f>
        <v>240.27333999999999</v>
      </c>
      <c r="N856" s="964">
        <v>11.256</v>
      </c>
      <c r="O856" s="962">
        <f t="shared" si="17"/>
        <v>229.01733999999999</v>
      </c>
    </row>
    <row r="857" spans="2:15" ht="18" customHeight="1" x14ac:dyDescent="0.25">
      <c r="B857" s="259">
        <v>45136</v>
      </c>
      <c r="C85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D857" t="s">
        <v>1290</v>
      </c>
      <c r="E857" s="259">
        <v>45132</v>
      </c>
      <c r="F857" s="257">
        <v>316</v>
      </c>
      <c r="H857" s="254" t="s">
        <v>65</v>
      </c>
      <c r="I857" s="764" t="str">
        <f>VLOOKUP($H857,инфо!$O:$P,2,FALSE)</f>
        <v>Мясо птицы</v>
      </c>
      <c r="J857" s="160" t="str">
        <f>VLOOKUP($I857,инфо!$D:$G,3,FALSE)</f>
        <v>кг</v>
      </c>
      <c r="K857" s="747" t="s">
        <v>1538</v>
      </c>
      <c r="L857" s="663">
        <v>30</v>
      </c>
      <c r="M857" s="963">
        <f>SUMIF($H$1:$H857,$H857,$L$1:$L857)-SUMIF($H$1:$H856,$H857,$N$1:$N856)</f>
        <v>240.01733999999999</v>
      </c>
      <c r="N857" s="964">
        <v>4.5</v>
      </c>
      <c r="O857" s="962">
        <f t="shared" si="17"/>
        <v>235.51733999999999</v>
      </c>
    </row>
    <row r="858" spans="2:15" ht="18" customHeight="1" x14ac:dyDescent="0.25">
      <c r="B858" s="259">
        <v>45133</v>
      </c>
      <c r="C85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58" s="259">
        <v>45133</v>
      </c>
      <c r="H858" t="s">
        <v>38</v>
      </c>
      <c r="I858" s="764" t="str">
        <f>VLOOKUP($H858,инфо!$O:$P,2,FALSE)</f>
        <v>Гречневая</v>
      </c>
      <c r="J858" s="160" t="str">
        <f>VLOOKUP($I858,инфо!$D:$G,3,FALSE)</f>
        <v>кг</v>
      </c>
      <c r="K858" s="747" t="s">
        <v>1538</v>
      </c>
      <c r="M858" s="963">
        <f>SUMIF($H$1:$H858,$H858,$L$1:$L858)-SUMIF($H$1:$H857,$H858,$N$1:$N857)</f>
        <v>147.51555999999999</v>
      </c>
      <c r="N858" s="964">
        <v>7.5039999999999996</v>
      </c>
      <c r="O858" s="962">
        <f t="shared" si="17"/>
        <v>140.01156</v>
      </c>
    </row>
    <row r="859" spans="2:15" ht="18" customHeight="1" x14ac:dyDescent="0.25">
      <c r="B859" s="259">
        <v>45133</v>
      </c>
      <c r="C859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59" s="259">
        <v>45133</v>
      </c>
      <c r="H859" s="254" t="s">
        <v>27</v>
      </c>
      <c r="I859" s="764" t="str">
        <f>VLOOKUP($H859,инфо!$O:$P,2,FALSE)</f>
        <v>Рис</v>
      </c>
      <c r="J859" s="160" t="str">
        <f>VLOOKUP($I859,инфо!$D:$G,3,FALSE)</f>
        <v>кг</v>
      </c>
      <c r="K859" s="747" t="s">
        <v>1538</v>
      </c>
      <c r="M859" s="963">
        <f>SUMIF($H$1:$H859,$H859,$L$1:$L859)-SUMIF($H$1:$H858,$H859,$N$1:$N858)</f>
        <v>288.49599999999998</v>
      </c>
      <c r="N859" s="964">
        <v>124.48444000000001</v>
      </c>
      <c r="O859" s="962">
        <f t="shared" si="17"/>
        <v>164.01155999999997</v>
      </c>
    </row>
    <row r="860" spans="2:15" ht="18" customHeight="1" x14ac:dyDescent="0.25">
      <c r="B860" s="259">
        <v>45133</v>
      </c>
      <c r="C86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60" s="259">
        <v>45133</v>
      </c>
      <c r="H860" s="254" t="s">
        <v>318</v>
      </c>
      <c r="I860" s="764" t="str">
        <f>VLOOKUP($H860,инфо!$O:$P,2,FALSE)</f>
        <v>Фасоль</v>
      </c>
      <c r="J860" s="160" t="str">
        <f>VLOOKUP($I860,инфо!$D:$G,3,FALSE)</f>
        <v>кг</v>
      </c>
      <c r="K860" s="747" t="s">
        <v>1538</v>
      </c>
      <c r="M860" s="963">
        <f>SUMIF($H$1:$H860,$H860,$L$1:$L860)-SUMIF($H$1:$H859,$H860,$N$1:$N859)</f>
        <v>243.68199999999999</v>
      </c>
      <c r="N860" s="964">
        <v>171.16610500000002</v>
      </c>
      <c r="O860" s="962">
        <f t="shared" si="17"/>
        <v>72.515894999999972</v>
      </c>
    </row>
    <row r="861" spans="2:15" ht="18" customHeight="1" x14ac:dyDescent="0.25">
      <c r="B861" s="259">
        <v>45133</v>
      </c>
      <c r="C861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61" s="259">
        <v>45133</v>
      </c>
      <c r="H861" s="254" t="s">
        <v>40</v>
      </c>
      <c r="I861" s="764" t="str">
        <f>VLOOKUP($H861,инфо!$O:$P,2,FALSE)</f>
        <v>Ячневая</v>
      </c>
      <c r="J861" s="160" t="str">
        <f>VLOOKUP($I861,инфо!$D:$G,3,FALSE)</f>
        <v>кг</v>
      </c>
      <c r="K861" s="747" t="s">
        <v>1538</v>
      </c>
      <c r="M861" s="963">
        <f>SUMIF($H$1:$H861,$H861,$L$1:$L861)-SUMIF($H$1:$H860,$H861,$N$1:$N860)</f>
        <v>312.74400000000003</v>
      </c>
      <c r="N861" s="964">
        <v>186.72666000000001</v>
      </c>
      <c r="O861" s="962">
        <f t="shared" si="17"/>
        <v>126.01734000000002</v>
      </c>
    </row>
    <row r="862" spans="2:15" ht="18" customHeight="1" x14ac:dyDescent="0.25">
      <c r="B862" s="259">
        <v>45133</v>
      </c>
      <c r="C86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62" s="259">
        <v>45133</v>
      </c>
      <c r="H862" t="s">
        <v>32</v>
      </c>
      <c r="I862" s="764" t="str">
        <f>VLOOKUP($H862,инфо!$O:$P,2,FALSE)</f>
        <v>Лук репчатый</v>
      </c>
      <c r="J862" s="160" t="str">
        <f>VLOOKUP($I862,инфо!$D:$G,3,FALSE)</f>
        <v>кг</v>
      </c>
      <c r="K862" s="747" t="s">
        <v>1538</v>
      </c>
      <c r="M862" s="963">
        <f>SUMIF($H$1:$H862,$H862,$L$1:$L862)-SUMIF($H$1:$H861,$H862,$N$1:$N861)</f>
        <v>170</v>
      </c>
      <c r="N862" s="964">
        <v>9.379999999999999</v>
      </c>
      <c r="O862" s="962">
        <f t="shared" si="17"/>
        <v>160.62</v>
      </c>
    </row>
    <row r="863" spans="2:15" ht="18" customHeight="1" x14ac:dyDescent="0.25">
      <c r="B863" s="259">
        <v>45133</v>
      </c>
      <c r="C863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63" s="259">
        <v>45133</v>
      </c>
      <c r="H863" t="s">
        <v>446</v>
      </c>
      <c r="I863" s="764" t="str">
        <f>VLOOKUP($H863,инфо!$O:$P,2,FALSE)</f>
        <v>Огурцы свежие</v>
      </c>
      <c r="J863" s="160" t="str">
        <f>VLOOKUP($I863,инфо!$D:$G,3,FALSE)</f>
        <v>кг</v>
      </c>
      <c r="K863" s="747" t="s">
        <v>1538</v>
      </c>
      <c r="M863" s="963">
        <f>SUMIF($H$1:$H863,$H863,$L$1:$L863)-SUMIF($H$1:$H862,$H863,$N$1:$N862)</f>
        <v>104</v>
      </c>
      <c r="N863" s="964">
        <v>5.6280000000000001</v>
      </c>
      <c r="O863" s="962">
        <f t="shared" si="17"/>
        <v>98.372</v>
      </c>
    </row>
    <row r="864" spans="2:15" ht="18" customHeight="1" x14ac:dyDescent="0.25">
      <c r="B864" s="259">
        <v>45133</v>
      </c>
      <c r="C864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64" s="259">
        <v>45133</v>
      </c>
      <c r="H864" s="254" t="s">
        <v>446</v>
      </c>
      <c r="I864" s="764" t="str">
        <f>VLOOKUP($H864,инфо!$O:$P,2,FALSE)</f>
        <v>Огурцы свежие</v>
      </c>
      <c r="J864" s="160" t="str">
        <f>VLOOKUP($I864,инфо!$D:$G,3,FALSE)</f>
        <v>кг</v>
      </c>
      <c r="K864" s="747" t="s">
        <v>1538</v>
      </c>
      <c r="L864" s="663">
        <v>50</v>
      </c>
      <c r="M864" s="963">
        <f>SUMIF($H$1:$H864,$H864,$L$1:$L864)-SUMIF($H$1:$H863,$H864,$N$1:$N863)</f>
        <v>148.37200000000001</v>
      </c>
      <c r="N864" s="964">
        <v>93.363330000000005</v>
      </c>
      <c r="O864" s="962">
        <f t="shared" si="17"/>
        <v>55.008670000000009</v>
      </c>
    </row>
    <row r="865" spans="2:15" ht="18" customHeight="1" x14ac:dyDescent="0.25">
      <c r="B865" s="259">
        <v>45133</v>
      </c>
      <c r="C865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65" s="259">
        <v>45133</v>
      </c>
      <c r="H865" s="254" t="s">
        <v>448</v>
      </c>
      <c r="I865" s="764" t="str">
        <f>VLOOKUP($H865,инфо!$O:$P,2,FALSE)</f>
        <v>Помидоры свежие</v>
      </c>
      <c r="J865" s="160" t="str">
        <f>VLOOKUP($I865,инфо!$D:$G,3,FALSE)</f>
        <v>кг</v>
      </c>
      <c r="K865" s="747" t="s">
        <v>1538</v>
      </c>
      <c r="L865" s="663">
        <v>40</v>
      </c>
      <c r="M865" s="963">
        <f>SUMIF($H$1:$H865,$H865,$L$1:$L865)-SUMIF($H$1:$H864,$H865,$N$1:$N864)</f>
        <v>192.62</v>
      </c>
      <c r="N865" s="964">
        <v>155.60554999999999</v>
      </c>
      <c r="O865" s="962">
        <f t="shared" si="17"/>
        <v>37.014450000000011</v>
      </c>
    </row>
    <row r="866" spans="2:15" ht="18" customHeight="1" x14ac:dyDescent="0.25">
      <c r="B866" s="259">
        <v>45133</v>
      </c>
      <c r="C86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66" s="259">
        <v>45133</v>
      </c>
      <c r="H866" s="254" t="s">
        <v>48</v>
      </c>
      <c r="I866" s="764" t="str">
        <f>VLOOKUP($H866,инфо!$O:$P,2,FALSE)</f>
        <v>Свекла</v>
      </c>
      <c r="J866" s="160" t="str">
        <f>VLOOKUP($I866,инфо!$D:$G,3,FALSE)</f>
        <v>кг</v>
      </c>
      <c r="K866" s="747" t="s">
        <v>1538</v>
      </c>
      <c r="L866" s="663">
        <v>60</v>
      </c>
      <c r="M866" s="963">
        <f>SUMIF($H$1:$H866,$H866,$L$1:$L866)-SUMIF($H$1:$H865,$H866,$N$1:$N865)</f>
        <v>321.49599999999998</v>
      </c>
      <c r="N866" s="964">
        <v>124.48444000000001</v>
      </c>
      <c r="O866" s="962">
        <f t="shared" si="17"/>
        <v>197.01155999999997</v>
      </c>
    </row>
    <row r="867" spans="2:15" ht="18" customHeight="1" x14ac:dyDescent="0.25">
      <c r="B867" s="259">
        <v>45133</v>
      </c>
      <c r="C86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67" s="259">
        <v>45133</v>
      </c>
      <c r="H867" t="s">
        <v>322</v>
      </c>
      <c r="I867" s="764" t="str">
        <f>VLOOKUP($H867,инфо!$O:$P,2,FALSE)</f>
        <v>Кабачки</v>
      </c>
      <c r="J867" s="160" t="str">
        <f>VLOOKUP($I867,инфо!$D:$G,3,FALSE)</f>
        <v>кг</v>
      </c>
      <c r="K867" s="747" t="s">
        <v>1538</v>
      </c>
      <c r="M867" s="963">
        <f>SUMIF($H$1:$H867,$H867,$L$1:$L867)-SUMIF($H$1:$H866,$H867,$N$1:$N866)</f>
        <v>97.503112000000002</v>
      </c>
      <c r="N867" s="964">
        <v>1.5007999999999999</v>
      </c>
      <c r="O867" s="962">
        <f t="shared" si="17"/>
        <v>96.002312000000003</v>
      </c>
    </row>
    <row r="868" spans="2:15" ht="18" customHeight="1" x14ac:dyDescent="0.25">
      <c r="B868" s="259">
        <v>45133</v>
      </c>
      <c r="C86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68" s="259">
        <v>45133</v>
      </c>
      <c r="H868" s="254" t="s">
        <v>495</v>
      </c>
      <c r="I868" s="764" t="str">
        <f>VLOOKUP($H868,инфо!$O:$P,2,FALSE)</f>
        <v>Горошек консерв.</v>
      </c>
      <c r="J868" s="160" t="str">
        <f>VLOOKUP($I868,инфо!$D:$G,3,FALSE)</f>
        <v>кг</v>
      </c>
      <c r="K868" s="747" t="s">
        <v>1538</v>
      </c>
      <c r="M868" s="963">
        <f>SUMIF($H$1:$H868,$H868,$L$1:$L868)-SUMIF($H$1:$H867,$H868,$N$1:$N867)</f>
        <v>217.55799999999999</v>
      </c>
      <c r="N868" s="964">
        <v>140.044995</v>
      </c>
      <c r="O868" s="962">
        <f t="shared" si="17"/>
        <v>77.513004999999993</v>
      </c>
    </row>
    <row r="869" spans="2:15" ht="18" customHeight="1" x14ac:dyDescent="0.25">
      <c r="B869" s="259">
        <v>45133</v>
      </c>
      <c r="C86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69" s="259">
        <v>45133</v>
      </c>
      <c r="H869" s="254" t="s">
        <v>497</v>
      </c>
      <c r="I869" s="764" t="str">
        <f>VLOOKUP($H869,инфо!$O:$P,2,FALSE)</f>
        <v>Кукуруза консерв.</v>
      </c>
      <c r="J869" s="160" t="str">
        <f>VLOOKUP($I869,инфо!$D:$G,3,FALSE)</f>
        <v>кг</v>
      </c>
      <c r="K869" s="747" t="s">
        <v>1538</v>
      </c>
      <c r="L869" s="663">
        <v>40</v>
      </c>
      <c r="M869" s="963">
        <f>SUMIF($H$1:$H869,$H869,$L$1:$L869)-SUMIF($H$1:$H868,$H869,$N$1:$N868)</f>
        <v>131.434</v>
      </c>
      <c r="N869" s="964">
        <v>108.923885</v>
      </c>
      <c r="O869" s="962">
        <f t="shared" si="17"/>
        <v>22.510114999999999</v>
      </c>
    </row>
    <row r="870" spans="2:15" ht="18" customHeight="1" x14ac:dyDescent="0.25">
      <c r="B870" s="259">
        <v>45133</v>
      </c>
      <c r="C87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70" s="259">
        <v>45133</v>
      </c>
      <c r="H870" s="254" t="s">
        <v>501</v>
      </c>
      <c r="I870" s="764" t="str">
        <f>VLOOKUP($H870,инфо!$O:$P,2,FALSE)</f>
        <v>Фасоль консерв.</v>
      </c>
      <c r="J870" s="160" t="str">
        <f>VLOOKUP($I870,инфо!$D:$G,3,FALSE)</f>
        <v>кг</v>
      </c>
      <c r="K870" s="747" t="s">
        <v>1538</v>
      </c>
      <c r="M870" s="963">
        <f>SUMIF($H$1:$H870,$H870,$L$1:$L870)-SUMIF($H$1:$H869,$H870,$N$1:$N869)</f>
        <v>214.94559999999998</v>
      </c>
      <c r="N870" s="964">
        <v>136.932884</v>
      </c>
      <c r="O870" s="962">
        <f t="shared" si="17"/>
        <v>78.012715999999983</v>
      </c>
    </row>
    <row r="871" spans="2:15" ht="18" customHeight="1" x14ac:dyDescent="0.25">
      <c r="B871" s="259">
        <v>45133</v>
      </c>
      <c r="C871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71" s="259">
        <v>45133</v>
      </c>
      <c r="H871" t="s">
        <v>498</v>
      </c>
      <c r="I871" s="764" t="str">
        <f>VLOOKUP($H871,инфо!$O:$P,2,FALSE)</f>
        <v>Огурцы консерв.</v>
      </c>
      <c r="J871" s="160" t="str">
        <f>VLOOKUP($I871,инфо!$D:$G,3,FALSE)</f>
        <v>кг</v>
      </c>
      <c r="K871" s="747" t="s">
        <v>1538</v>
      </c>
      <c r="M871" s="963">
        <f>SUMIF($H$1:$H871,$H871,$L$1:$L871)-SUMIF($H$1:$H870,$H871,$N$1:$N870)</f>
        <v>98</v>
      </c>
      <c r="N871" s="964">
        <v>7.5039999999999996</v>
      </c>
      <c r="O871" s="962">
        <f t="shared" si="17"/>
        <v>90.495999999999995</v>
      </c>
    </row>
    <row r="872" spans="2:15" ht="18" customHeight="1" x14ac:dyDescent="0.25">
      <c r="B872" s="259">
        <v>45133</v>
      </c>
      <c r="C87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72" s="259">
        <v>45133</v>
      </c>
      <c r="H872" t="s">
        <v>333</v>
      </c>
      <c r="I872" s="764" t="str">
        <f>VLOOKUP($H872,инфо!$O:$P,2,FALSE)</f>
        <v>Кабачки консерв.</v>
      </c>
      <c r="J872" s="160" t="str">
        <f>VLOOKUP($I872,инфо!$D:$G,3,FALSE)</f>
        <v>кг</v>
      </c>
      <c r="K872" s="747" t="s">
        <v>1538</v>
      </c>
      <c r="M872" s="963">
        <f>SUMIF($H$1:$H872,$H872,$L$1:$L872)-SUMIF($H$1:$H871,$H872,$N$1:$N871)</f>
        <v>144.955005</v>
      </c>
      <c r="N872" s="964">
        <v>8.4420000000000002</v>
      </c>
      <c r="O872" s="962">
        <f t="shared" si="17"/>
        <v>136.51300499999999</v>
      </c>
    </row>
    <row r="873" spans="2:15" ht="18" customHeight="1" x14ac:dyDescent="0.25">
      <c r="B873" s="259">
        <v>45133</v>
      </c>
      <c r="C873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73" s="259">
        <v>45133</v>
      </c>
      <c r="H873" t="s">
        <v>409</v>
      </c>
      <c r="I873" s="764" t="str">
        <f>VLOOKUP($H873,инфо!$O:$P,2,FALSE)</f>
        <v>Консервы овощ. закусочные, лечо</v>
      </c>
      <c r="J873" s="160" t="str">
        <f>VLOOKUP($I873,инфо!$D:$G,3,FALSE)</f>
        <v>кг</v>
      </c>
      <c r="K873" s="747" t="s">
        <v>1538</v>
      </c>
      <c r="M873" s="963">
        <f>SUMIF($H$1:$H873,$H873,$L$1:$L873)-SUMIF($H$1:$H872,$H873,$N$1:$N872)</f>
        <v>205.07611500000002</v>
      </c>
      <c r="N873" s="964">
        <v>6.5659999999999998</v>
      </c>
      <c r="O873" s="962">
        <f t="shared" si="17"/>
        <v>198.51011500000001</v>
      </c>
    </row>
    <row r="874" spans="2:15" ht="18" customHeight="1" x14ac:dyDescent="0.25">
      <c r="B874" s="259">
        <v>45133</v>
      </c>
      <c r="C87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74" s="259">
        <v>45133</v>
      </c>
      <c r="H874" t="s">
        <v>52</v>
      </c>
      <c r="I874" s="764" t="str">
        <f>VLOOKUP($H874,инфо!$O:$P,2,FALSE)</f>
        <v>Молоко коровье</v>
      </c>
      <c r="J874" s="160" t="str">
        <f>VLOOKUP($I874,инфо!$D:$G,3,FALSE)</f>
        <v>литр</v>
      </c>
      <c r="K874" s="747" t="s">
        <v>1538</v>
      </c>
      <c r="M874" s="963">
        <f>SUMIF($H$1:$H874,$H874,$L$1:$L874)-SUMIF($H$1:$H873,$H874,$N$1:$N873)</f>
        <v>236.26711599999999</v>
      </c>
      <c r="N874" s="964">
        <v>8.2544000000000004</v>
      </c>
      <c r="O874" s="962">
        <f t="shared" si="17"/>
        <v>228.01271599999998</v>
      </c>
    </row>
    <row r="875" spans="2:15" ht="18" customHeight="1" x14ac:dyDescent="0.25">
      <c r="B875" s="259">
        <v>45133</v>
      </c>
      <c r="C875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75" s="259">
        <v>45133</v>
      </c>
      <c r="H875" s="254" t="s">
        <v>71</v>
      </c>
      <c r="I875" s="764" t="str">
        <f>VLOOKUP($H875,инфо!$O:$P,2,FALSE)</f>
        <v>Кефир</v>
      </c>
      <c r="J875" s="160" t="str">
        <f>VLOOKUP($I875,инфо!$D:$G,3,FALSE)</f>
        <v>литр</v>
      </c>
      <c r="K875" s="747" t="s">
        <v>1538</v>
      </c>
      <c r="M875" s="963">
        <f>SUMIF($H$1:$H875,$H875,$L$1:$L875)-SUMIF($H$1:$H874,$H875,$N$1:$N874)</f>
        <v>129.49600000000001</v>
      </c>
      <c r="N875" s="964">
        <v>124.48444000000001</v>
      </c>
      <c r="O875" s="962">
        <f t="shared" si="17"/>
        <v>5.0115600000000029</v>
      </c>
    </row>
    <row r="876" spans="2:15" ht="18" customHeight="1" x14ac:dyDescent="0.25">
      <c r="B876" s="259">
        <v>45133</v>
      </c>
      <c r="C87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76" s="259">
        <v>45133</v>
      </c>
      <c r="H876" t="s">
        <v>320</v>
      </c>
      <c r="I876" s="764" t="str">
        <f>VLOOKUP($H876,инфо!$O:$P,2,FALSE)</f>
        <v>Творог</v>
      </c>
      <c r="J876" s="160" t="str">
        <f>VLOOKUP($I876,инфо!$D:$G,3,FALSE)</f>
        <v>кг</v>
      </c>
      <c r="K876" s="747" t="s">
        <v>1538</v>
      </c>
      <c r="M876" s="963">
        <f>SUMIF($H$1:$H876,$H876,$L$1:$L876)-SUMIF($H$1:$H875,$H876,$N$1:$N875)</f>
        <v>184</v>
      </c>
      <c r="N876" s="964">
        <v>5.6280000000000001</v>
      </c>
      <c r="O876" s="962">
        <f t="shared" si="17"/>
        <v>178.37200000000001</v>
      </c>
    </row>
    <row r="877" spans="2:15" ht="18" customHeight="1" x14ac:dyDescent="0.25">
      <c r="B877" s="259">
        <v>45133</v>
      </c>
      <c r="C87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77" s="259">
        <v>45133</v>
      </c>
      <c r="H877" s="254" t="s">
        <v>320</v>
      </c>
      <c r="I877" s="764" t="str">
        <f>VLOOKUP($H877,инфо!$O:$P,2,FALSE)</f>
        <v>Творог</v>
      </c>
      <c r="J877" s="160" t="str">
        <f>VLOOKUP($I877,инфо!$D:$G,3,FALSE)</f>
        <v>кг</v>
      </c>
      <c r="K877" s="747" t="s">
        <v>1538</v>
      </c>
      <c r="M877" s="963">
        <f>SUMIF($H$1:$H877,$H877,$L$1:$L877)-SUMIF($H$1:$H876,$H877,$N$1:$N876)</f>
        <v>178.37200000000001</v>
      </c>
      <c r="N877" s="964">
        <v>93.363330000000005</v>
      </c>
      <c r="O877" s="962">
        <f t="shared" si="17"/>
        <v>85.008670000000009</v>
      </c>
    </row>
    <row r="878" spans="2:15" ht="18" customHeight="1" x14ac:dyDescent="0.25">
      <c r="B878" s="259">
        <v>45133</v>
      </c>
      <c r="C87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78" s="259">
        <v>45133</v>
      </c>
      <c r="H878" s="254" t="s">
        <v>56</v>
      </c>
      <c r="I878" s="764" t="str">
        <f>VLOOKUP($H878,инфо!$O:$P,2,FALSE)</f>
        <v>Сыр плавленный</v>
      </c>
      <c r="J878" s="160" t="str">
        <f>VLOOKUP($I878,инфо!$D:$G,3,FALSE)</f>
        <v>кг</v>
      </c>
      <c r="K878" s="747" t="s">
        <v>1538</v>
      </c>
      <c r="M878" s="963">
        <f>SUMIF($H$1:$H878,$H878,$L$1:$L878)-SUMIF($H$1:$H877,$H878,$N$1:$N877)</f>
        <v>154.39445000000001</v>
      </c>
      <c r="N878" s="964">
        <v>9.379999999999999</v>
      </c>
      <c r="O878" s="962">
        <f t="shared" si="17"/>
        <v>145.01445000000001</v>
      </c>
    </row>
    <row r="879" spans="2:15" ht="18" customHeight="1" x14ac:dyDescent="0.25">
      <c r="B879" s="259">
        <v>45133</v>
      </c>
      <c r="C879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79" s="259">
        <v>45133</v>
      </c>
      <c r="H879" s="254" t="s">
        <v>412</v>
      </c>
      <c r="I879" s="764" t="str">
        <f>VLOOKUP($H879,инфо!$O:$P,2,FALSE)</f>
        <v>Молоко сгущ.</v>
      </c>
      <c r="J879" s="160" t="str">
        <f>VLOOKUP($I879,инфо!$D:$G,3,FALSE)</f>
        <v>кг</v>
      </c>
      <c r="K879" s="747" t="s">
        <v>1538</v>
      </c>
      <c r="M879" s="963">
        <f>SUMIF($H$1:$H879,$H879,$L$1:$L879)-SUMIF($H$1:$H878,$H879,$N$1:$N878)</f>
        <v>210.63666999999998</v>
      </c>
      <c r="N879" s="964">
        <v>5.6280000000000001</v>
      </c>
      <c r="O879" s="962">
        <f t="shared" si="17"/>
        <v>205.00867</v>
      </c>
    </row>
    <row r="880" spans="2:15" ht="18" customHeight="1" x14ac:dyDescent="0.25">
      <c r="B880" s="259">
        <v>45133</v>
      </c>
      <c r="C88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80" s="259">
        <v>45133</v>
      </c>
      <c r="H880" s="254" t="s">
        <v>54</v>
      </c>
      <c r="I880" s="764" t="str">
        <f>VLOOKUP($H880,инфо!$O:$P,2,FALSE)</f>
        <v>Сметана</v>
      </c>
      <c r="J880" s="160" t="str">
        <f>VLOOKUP($I880,инфо!$D:$G,3,FALSE)</f>
        <v>кг</v>
      </c>
      <c r="K880" s="747" t="s">
        <v>1538</v>
      </c>
      <c r="M880" s="963">
        <f>SUMIF($H$1:$H880,$H880,$L$1:$L880)-SUMIF($H$1:$H879,$H880,$N$1:$N879)</f>
        <v>43.878889999999998</v>
      </c>
      <c r="N880" s="964">
        <v>1.8759999999999999</v>
      </c>
      <c r="O880" s="962">
        <f t="shared" si="17"/>
        <v>42.002890000000001</v>
      </c>
    </row>
    <row r="881" spans="2:15" ht="18" customHeight="1" x14ac:dyDescent="0.25">
      <c r="B881" s="259">
        <v>45133</v>
      </c>
      <c r="C881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81" s="259">
        <v>45133</v>
      </c>
      <c r="H881" s="254" t="s">
        <v>66</v>
      </c>
      <c r="I881" s="764" t="str">
        <f>VLOOKUP($H881,инфо!$O:$P,2,FALSE)</f>
        <v>Свинина б/к</v>
      </c>
      <c r="J881" s="160" t="str">
        <f>VLOOKUP($I881,инфо!$D:$G,3,FALSE)</f>
        <v>кг</v>
      </c>
      <c r="K881" s="747" t="s">
        <v>1538</v>
      </c>
      <c r="M881" s="963">
        <f>SUMIF($H$1:$H881,$H881,$L$1:$L881)-SUMIF($H$1:$H880,$H881,$N$1:$N880)</f>
        <v>258.74400000000003</v>
      </c>
      <c r="N881" s="964">
        <v>186.72666000000001</v>
      </c>
      <c r="O881" s="962">
        <f t="shared" si="17"/>
        <v>72.017340000000019</v>
      </c>
    </row>
    <row r="882" spans="2:15" ht="18" customHeight="1" x14ac:dyDescent="0.25">
      <c r="B882" s="259">
        <v>45133</v>
      </c>
      <c r="C88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82" s="259">
        <v>45133</v>
      </c>
      <c r="H882" s="254" t="s">
        <v>512</v>
      </c>
      <c r="I882" s="764" t="str">
        <f>VLOOKUP($H882,инфо!$O:$P,2,FALSE)</f>
        <v>Свинина консерв.</v>
      </c>
      <c r="J882" s="160" t="str">
        <f>VLOOKUP($I882,инфо!$D:$G,3,FALSE)</f>
        <v>кг</v>
      </c>
      <c r="K882" s="747" t="s">
        <v>1538</v>
      </c>
      <c r="M882" s="963">
        <f>SUMIF($H$1:$H882,$H882,$L$1:$L882)-SUMIF($H$1:$H881,$H882,$N$1:$N881)</f>
        <v>212.49600000000001</v>
      </c>
      <c r="N882" s="964">
        <v>124.48444000000001</v>
      </c>
      <c r="O882" s="962">
        <f t="shared" si="17"/>
        <v>88.011560000000003</v>
      </c>
    </row>
    <row r="883" spans="2:15" ht="18" customHeight="1" x14ac:dyDescent="0.25">
      <c r="B883" s="259">
        <v>45133</v>
      </c>
      <c r="C883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83" s="259">
        <v>45133</v>
      </c>
      <c r="H883" s="254" t="s">
        <v>335</v>
      </c>
      <c r="I883" s="764" t="str">
        <f>VLOOKUP($H883,инфо!$O:$P,2,FALSE)</f>
        <v>Свинина на кости</v>
      </c>
      <c r="J883" s="160" t="str">
        <f>VLOOKUP($I883,инфо!$D:$G,3,FALSE)</f>
        <v>кг</v>
      </c>
      <c r="K883" s="747" t="s">
        <v>1538</v>
      </c>
      <c r="L883" s="663">
        <v>100</v>
      </c>
      <c r="M883" s="963">
        <f>SUMIF($H$1:$H883,$H883,$L$1:$L883)-SUMIF($H$1:$H882,$H883,$N$1:$N882)</f>
        <v>310.62</v>
      </c>
      <c r="N883" s="964">
        <v>155.60554999999999</v>
      </c>
      <c r="O883" s="962">
        <f t="shared" si="17"/>
        <v>155.01445000000001</v>
      </c>
    </row>
    <row r="884" spans="2:15" ht="18" customHeight="1" x14ac:dyDescent="0.25">
      <c r="B884" s="259">
        <v>45133</v>
      </c>
      <c r="C88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84" s="259">
        <v>45133</v>
      </c>
      <c r="H884" s="254" t="s">
        <v>29</v>
      </c>
      <c r="I884" s="764" t="str">
        <f>VLOOKUP($H884,инфо!$O:$P,2,FALSE)</f>
        <v>Консервы рыбные</v>
      </c>
      <c r="J884" s="160" t="str">
        <f>VLOOKUP($I884,инфо!$D:$G,3,FALSE)</f>
        <v>кг</v>
      </c>
      <c r="K884" s="747" t="s">
        <v>1538</v>
      </c>
      <c r="M884" s="963">
        <f>SUMIF($H$1:$H884,$H884,$L$1:$L884)-SUMIF($H$1:$H883,$H884,$N$1:$N883)</f>
        <v>142.434</v>
      </c>
      <c r="N884" s="964">
        <v>108.923885</v>
      </c>
      <c r="O884" s="962">
        <f t="shared" si="17"/>
        <v>33.510114999999999</v>
      </c>
    </row>
    <row r="885" spans="2:15" ht="18" customHeight="1" x14ac:dyDescent="0.25">
      <c r="B885" s="259">
        <v>45133</v>
      </c>
      <c r="C885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85" s="259">
        <v>45133</v>
      </c>
      <c r="H885" s="254" t="s">
        <v>1225</v>
      </c>
      <c r="I885" s="764" t="str">
        <f>VLOOKUP($H885,инфо!$O:$P,2,FALSE)</f>
        <v>Хек б/г</v>
      </c>
      <c r="J885" s="160" t="str">
        <f>VLOOKUP($I885,инфо!$D:$G,3,FALSE)</f>
        <v>кг</v>
      </c>
      <c r="K885" s="747" t="s">
        <v>1538</v>
      </c>
      <c r="M885" s="963">
        <f>SUMIF($H$1:$H885,$H885,$L$1:$L885)-SUMIF($H$1:$H884,$H885,$N$1:$N884)</f>
        <v>240</v>
      </c>
      <c r="N885" s="964">
        <v>9.379999999999999</v>
      </c>
      <c r="O885" s="962">
        <f t="shared" si="17"/>
        <v>230.62</v>
      </c>
    </row>
    <row r="886" spans="2:15" ht="18" customHeight="1" x14ac:dyDescent="0.25">
      <c r="B886" s="259">
        <v>45133</v>
      </c>
      <c r="C88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86" s="259">
        <v>45133</v>
      </c>
      <c r="H886" s="254" t="s">
        <v>1225</v>
      </c>
      <c r="I886" s="764" t="str">
        <f>VLOOKUP($H886,инфо!$O:$P,2,FALSE)</f>
        <v>Хек б/г</v>
      </c>
      <c r="J886" s="160" t="str">
        <f>VLOOKUP($I886,инфо!$D:$G,3,FALSE)</f>
        <v>кг</v>
      </c>
      <c r="K886" s="747" t="s">
        <v>1538</v>
      </c>
      <c r="M886" s="963">
        <f>SUMIF($H$1:$H886,$H886,$L$1:$L886)-SUMIF($H$1:$H885,$H886,$N$1:$N885)</f>
        <v>230.62</v>
      </c>
      <c r="N886" s="964">
        <v>155.60554999999999</v>
      </c>
      <c r="O886" s="962">
        <f t="shared" si="17"/>
        <v>75.014450000000011</v>
      </c>
    </row>
    <row r="887" spans="2:15" ht="18" customHeight="1" x14ac:dyDescent="0.25">
      <c r="B887" s="259">
        <v>45133</v>
      </c>
      <c r="C88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87" s="259">
        <v>45133</v>
      </c>
      <c r="H887" s="254" t="s">
        <v>1233</v>
      </c>
      <c r="I887" s="764" t="str">
        <f>VLOOKUP($H887,инфо!$O:$P,2,FALSE)</f>
        <v>Хек с/г</v>
      </c>
      <c r="J887" s="160" t="str">
        <f>VLOOKUP($I887,инфо!$D:$G,3,FALSE)</f>
        <v>кг</v>
      </c>
      <c r="K887" s="747" t="s">
        <v>1538</v>
      </c>
      <c r="M887" s="963">
        <f>SUMIF($H$1:$H887,$H887,$L$1:$L887)-SUMIF($H$1:$H886,$H887,$N$1:$N886)</f>
        <v>212</v>
      </c>
      <c r="N887" s="964">
        <v>7.5039999999999996</v>
      </c>
      <c r="O887" s="962">
        <f t="shared" si="17"/>
        <v>204.49600000000001</v>
      </c>
    </row>
    <row r="888" spans="2:15" ht="18" customHeight="1" x14ac:dyDescent="0.25">
      <c r="B888" s="259">
        <v>45133</v>
      </c>
      <c r="C88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88" s="259">
        <v>45133</v>
      </c>
      <c r="H888" s="254" t="s">
        <v>1233</v>
      </c>
      <c r="I888" s="764" t="str">
        <f>VLOOKUP($H888,инфо!$O:$P,2,FALSE)</f>
        <v>Хек с/г</v>
      </c>
      <c r="J888" s="160" t="str">
        <f>VLOOKUP($I888,инфо!$D:$G,3,FALSE)</f>
        <v>кг</v>
      </c>
      <c r="K888" s="747" t="s">
        <v>1538</v>
      </c>
      <c r="M888" s="963">
        <f>SUMIF($H$1:$H888,$H888,$L$1:$L888)-SUMIF($H$1:$H887,$H888,$N$1:$N887)</f>
        <v>204.49600000000001</v>
      </c>
      <c r="N888" s="964">
        <v>124.48444000000001</v>
      </c>
      <c r="O888" s="962">
        <f t="shared" si="17"/>
        <v>80.011560000000003</v>
      </c>
    </row>
    <row r="889" spans="2:15" ht="18" customHeight="1" x14ac:dyDescent="0.25">
      <c r="B889" s="259">
        <v>45133</v>
      </c>
      <c r="C889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89" s="259">
        <v>45133</v>
      </c>
      <c r="H889" s="254" t="s">
        <v>1220</v>
      </c>
      <c r="I889" s="764" t="str">
        <f>VLOOKUP($H889,инфо!$O:$P,2,FALSE)</f>
        <v>Навага б/г</v>
      </c>
      <c r="J889" s="160" t="str">
        <f>VLOOKUP($I889,инфо!$D:$G,3,FALSE)</f>
        <v>кг</v>
      </c>
      <c r="K889" s="747" t="s">
        <v>1538</v>
      </c>
      <c r="M889" s="963">
        <f>SUMIF($H$1:$H889,$H889,$L$1:$L889)-SUMIF($H$1:$H888,$H889,$N$1:$N888)</f>
        <v>120.955005</v>
      </c>
      <c r="N889" s="964">
        <v>8.4420000000000002</v>
      </c>
      <c r="O889" s="962">
        <f t="shared" si="17"/>
        <v>112.51300499999999</v>
      </c>
    </row>
    <row r="890" spans="2:15" ht="18" customHeight="1" x14ac:dyDescent="0.25">
      <c r="B890" s="259">
        <v>45133</v>
      </c>
      <c r="C89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90" s="259">
        <v>45133</v>
      </c>
      <c r="H890" s="254" t="s">
        <v>1227</v>
      </c>
      <c r="I890" s="764" t="str">
        <f>VLOOKUP($H890,инфо!$O:$P,2,FALSE)</f>
        <v>Навага с/г</v>
      </c>
      <c r="J890" s="160" t="str">
        <f>VLOOKUP($I890,инфо!$D:$G,3,FALSE)</f>
        <v>кг</v>
      </c>
      <c r="K890" s="747" t="s">
        <v>1538</v>
      </c>
      <c r="M890" s="963">
        <f>SUMIF($H$1:$H890,$H890,$L$1:$L890)-SUMIF($H$1:$H889,$H890,$N$1:$N889)</f>
        <v>184.39445000000001</v>
      </c>
      <c r="N890" s="964">
        <v>9.379999999999999</v>
      </c>
      <c r="O890" s="962">
        <f t="shared" si="17"/>
        <v>175.01445000000001</v>
      </c>
    </row>
    <row r="891" spans="2:15" ht="18" customHeight="1" x14ac:dyDescent="0.25">
      <c r="B891" s="259">
        <v>45133</v>
      </c>
      <c r="C891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91" s="259">
        <v>45133</v>
      </c>
      <c r="H891" s="254" t="s">
        <v>1218</v>
      </c>
      <c r="I891" s="764" t="str">
        <f>VLOOKUP($H891,инфо!$O:$P,2,FALSE)</f>
        <v>Камбала б/г</v>
      </c>
      <c r="J891" s="160" t="str">
        <f>VLOOKUP($I891,инфо!$D:$G,3,FALSE)</f>
        <v>кг</v>
      </c>
      <c r="K891" s="747" t="s">
        <v>1538</v>
      </c>
      <c r="M891" s="963">
        <f>SUMIF($H$1:$H891,$H891,$L$1:$L891)-SUMIF($H$1:$H890,$H891,$N$1:$N890)</f>
        <v>87.515559999999994</v>
      </c>
      <c r="N891" s="964">
        <v>7.5039999999999996</v>
      </c>
      <c r="O891" s="962">
        <f t="shared" si="17"/>
        <v>80.011559999999989</v>
      </c>
    </row>
    <row r="892" spans="2:15" ht="18" customHeight="1" x14ac:dyDescent="0.25">
      <c r="B892" s="259">
        <v>45133</v>
      </c>
      <c r="C892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92" s="259">
        <v>45133</v>
      </c>
      <c r="H892" s="254" t="s">
        <v>1221</v>
      </c>
      <c r="I892" s="764" t="str">
        <f>VLOOKUP($H892,инфо!$O:$P,2,FALSE)</f>
        <v>Налим б/г</v>
      </c>
      <c r="J892" s="160" t="str">
        <f>VLOOKUP($I892,инфо!$D:$G,3,FALSE)</f>
        <v>кг</v>
      </c>
      <c r="K892" s="747" t="s">
        <v>1538</v>
      </c>
      <c r="L892" s="663">
        <v>30</v>
      </c>
      <c r="M892" s="963">
        <f>SUMIF($H$1:$H892,$H892,$L$1:$L892)-SUMIF($H$1:$H891,$H892,$N$1:$N891)</f>
        <v>147.55799999999999</v>
      </c>
      <c r="N892" s="964">
        <v>140.044995</v>
      </c>
      <c r="O892" s="962">
        <f t="shared" si="17"/>
        <v>7.5130049999999926</v>
      </c>
    </row>
    <row r="893" spans="2:15" ht="18" customHeight="1" x14ac:dyDescent="0.25">
      <c r="B893" s="259">
        <v>45133</v>
      </c>
      <c r="C893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93" s="259">
        <v>45133</v>
      </c>
      <c r="H893" s="254" t="s">
        <v>1222</v>
      </c>
      <c r="I893" s="764" t="str">
        <f>VLOOKUP($H893,инфо!$O:$P,2,FALSE)</f>
        <v>Пикша б/г</v>
      </c>
      <c r="J893" s="160" t="str">
        <f>VLOOKUP($I893,инфо!$D:$G,3,FALSE)</f>
        <v>кг</v>
      </c>
      <c r="K893" s="747" t="s">
        <v>1538</v>
      </c>
      <c r="M893" s="963">
        <f>SUMIF($H$1:$H893,$H893,$L$1:$L893)-SUMIF($H$1:$H892,$H893,$N$1:$N892)</f>
        <v>195.62</v>
      </c>
      <c r="N893" s="964">
        <v>155.60554999999999</v>
      </c>
      <c r="O893" s="962">
        <f t="shared" si="17"/>
        <v>40.014450000000011</v>
      </c>
    </row>
    <row r="894" spans="2:15" ht="18" customHeight="1" x14ac:dyDescent="0.25">
      <c r="B894" s="259">
        <v>45133</v>
      </c>
      <c r="C89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94" s="259">
        <v>45133</v>
      </c>
      <c r="H894" s="254" t="s">
        <v>1232</v>
      </c>
      <c r="I894" s="764" t="str">
        <f>VLOOKUP($H894,инфо!$O:$P,2,FALSE)</f>
        <v>Пикша с/г</v>
      </c>
      <c r="J894" s="160" t="str">
        <f>VLOOKUP($I894,инфо!$D:$G,3,FALSE)</f>
        <v>кг</v>
      </c>
      <c r="K894" s="747" t="s">
        <v>1538</v>
      </c>
      <c r="M894" s="963">
        <f>SUMIF($H$1:$H894,$H894,$L$1:$L894)-SUMIF($H$1:$H893,$H894,$N$1:$N893)</f>
        <v>136.49600000000001</v>
      </c>
      <c r="N894" s="964">
        <v>124.48444000000001</v>
      </c>
      <c r="O894" s="962">
        <f t="shared" si="17"/>
        <v>12.011560000000003</v>
      </c>
    </row>
    <row r="895" spans="2:15" ht="18" customHeight="1" x14ac:dyDescent="0.25">
      <c r="B895" s="259">
        <v>45133</v>
      </c>
      <c r="C895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95" s="259">
        <v>45133</v>
      </c>
      <c r="H895" s="254" t="s">
        <v>519</v>
      </c>
      <c r="I895" s="764" t="str">
        <f>VLOOKUP($H895,инфо!$O:$P,2,FALSE)</f>
        <v>Щука с/г</v>
      </c>
      <c r="J895" s="160" t="str">
        <f>VLOOKUP($I895,инфо!$D:$G,3,FALSE)</f>
        <v>кг</v>
      </c>
      <c r="K895" s="747" t="s">
        <v>1538</v>
      </c>
      <c r="M895" s="963">
        <f>SUMIF($H$1:$H895,$H895,$L$1:$L895)-SUMIF($H$1:$H894,$H895,$N$1:$N894)</f>
        <v>91</v>
      </c>
      <c r="N895" s="964">
        <v>9.379999999999999</v>
      </c>
      <c r="O895" s="962">
        <f t="shared" si="17"/>
        <v>81.62</v>
      </c>
    </row>
    <row r="896" spans="2:15" ht="18" customHeight="1" x14ac:dyDescent="0.25">
      <c r="B896" s="259">
        <v>45133</v>
      </c>
      <c r="C896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96" s="259">
        <v>45133</v>
      </c>
      <c r="H896" s="254" t="s">
        <v>419</v>
      </c>
      <c r="I896" s="764" t="str">
        <f>VLOOKUP($H896,инфо!$O:$P,2,FALSE)</f>
        <v>Рыба с/м б/г</v>
      </c>
      <c r="J896" s="160" t="str">
        <f>VLOOKUP($I896,инфо!$D:$G,3,FALSE)</f>
        <v>кг</v>
      </c>
      <c r="K896" s="747" t="s">
        <v>1538</v>
      </c>
      <c r="M896" s="963">
        <f>SUMIF($H$1:$H896,$H896,$L$1:$L896)-SUMIF($H$1:$H895,$H896,$N$1:$N895)</f>
        <v>97.515559999999994</v>
      </c>
      <c r="N896" s="964">
        <v>7.5039999999999996</v>
      </c>
      <c r="O896" s="962">
        <f t="shared" si="17"/>
        <v>90.011559999999989</v>
      </c>
    </row>
    <row r="897" spans="2:15" ht="18" customHeight="1" x14ac:dyDescent="0.25">
      <c r="B897" s="259">
        <v>45133</v>
      </c>
      <c r="C897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97" s="259">
        <v>45133</v>
      </c>
      <c r="H897" s="254" t="s">
        <v>1246</v>
      </c>
      <c r="I897" s="764" t="str">
        <f>VLOOKUP($H897,инфо!$O:$P,2,FALSE)</f>
        <v>Яйцо (шт)</v>
      </c>
      <c r="J897" s="160" t="str">
        <f>VLOOKUP($I897,инфо!$D:$G,3,FALSE)</f>
        <v>кг</v>
      </c>
      <c r="K897" s="747" t="s">
        <v>1538</v>
      </c>
      <c r="M897" s="963">
        <f>SUMIF($H$1:$H897,$H897,$L$1:$L897)-SUMIF($H$1:$H896,$H897,$N$1:$N896)</f>
        <v>883.72</v>
      </c>
      <c r="N897" s="964">
        <v>933.63330000000008</v>
      </c>
      <c r="O897" s="962">
        <f t="shared" ref="O897:O913" si="19">$M897-$N897</f>
        <v>-49.913300000000049</v>
      </c>
    </row>
    <row r="898" spans="2:15" ht="18" customHeight="1" x14ac:dyDescent="0.25">
      <c r="B898" s="259">
        <v>45133</v>
      </c>
      <c r="C89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898" s="259">
        <v>45133</v>
      </c>
      <c r="H898" s="254" t="s">
        <v>53</v>
      </c>
      <c r="I898" s="764" t="str">
        <f>VLOOKUP($H898,инфо!$O:$P,2,FALSE)</f>
        <v>Сахар</v>
      </c>
      <c r="J898" s="160" t="str">
        <f>VLOOKUP($I898,инфо!$D:$G,3,FALSE)</f>
        <v>кг</v>
      </c>
      <c r="K898" s="747" t="s">
        <v>1538</v>
      </c>
      <c r="M898" s="963">
        <f>SUMIF($H$1:$H898,$H898,$L$1:$L898)-SUMIF($H$1:$H897,$H898,$N$1:$N897)</f>
        <v>635.24</v>
      </c>
      <c r="N898" s="964">
        <v>311.21109999999999</v>
      </c>
      <c r="O898" s="962">
        <f t="shared" si="19"/>
        <v>324.02890000000002</v>
      </c>
    </row>
    <row r="899" spans="2:15" ht="18" customHeight="1" x14ac:dyDescent="0.25">
      <c r="B899" s="259">
        <v>45133</v>
      </c>
      <c r="C899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899" s="259">
        <v>45133</v>
      </c>
      <c r="H899" s="254" t="s">
        <v>326</v>
      </c>
      <c r="I899" s="764" t="str">
        <f>VLOOKUP($H899,инфо!$O:$P,2,FALSE)</f>
        <v>Соль</v>
      </c>
      <c r="J899" s="160" t="str">
        <f>VLOOKUP($I899,инфо!$D:$G,3,FALSE)</f>
        <v>кг</v>
      </c>
      <c r="K899" s="747" t="s">
        <v>1538</v>
      </c>
      <c r="L899" s="663">
        <v>80</v>
      </c>
      <c r="M899" s="963">
        <f>SUMIF($H$1:$H899,$H899,$L$1:$L899)-SUMIF($H$1:$H898,$H899,$N$1:$N898)</f>
        <v>132.24799999999999</v>
      </c>
      <c r="N899" s="964">
        <v>62.242220000000003</v>
      </c>
      <c r="O899" s="962">
        <f t="shared" si="19"/>
        <v>70.005779999999987</v>
      </c>
    </row>
    <row r="900" spans="2:15" ht="18" customHeight="1" x14ac:dyDescent="0.25">
      <c r="B900" s="259">
        <v>45133</v>
      </c>
      <c r="C90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900" s="259">
        <v>45133</v>
      </c>
      <c r="H900" s="254" t="s">
        <v>75</v>
      </c>
      <c r="I900" s="764" t="str">
        <f>VLOOKUP($H900,инфо!$O:$P,2,FALSE)</f>
        <v>Сок п/я</v>
      </c>
      <c r="J900" s="160" t="str">
        <f>VLOOKUP($I900,инфо!$D:$G,3,FALSE)</f>
        <v>литр</v>
      </c>
      <c r="K900" s="747" t="s">
        <v>1538</v>
      </c>
      <c r="M900" s="963">
        <f>SUMIF($H$1:$H900,$H900,$L$1:$L900)-SUMIF($H$1:$H899,$H900,$N$1:$N899)</f>
        <v>630</v>
      </c>
      <c r="N900" s="964">
        <v>37.519999999999996</v>
      </c>
      <c r="O900" s="962">
        <f t="shared" si="19"/>
        <v>592.48</v>
      </c>
    </row>
    <row r="901" spans="2:15" ht="18" customHeight="1" x14ac:dyDescent="0.25">
      <c r="B901" s="259">
        <v>45133</v>
      </c>
      <c r="C901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901" s="259">
        <v>45133</v>
      </c>
      <c r="H901" s="254" t="s">
        <v>75</v>
      </c>
      <c r="I901" s="764" t="str">
        <f>VLOOKUP($H901,инфо!$O:$P,2,FALSE)</f>
        <v>Сок п/я</v>
      </c>
      <c r="J901" s="160" t="str">
        <f>VLOOKUP($I901,инфо!$D:$G,3,FALSE)</f>
        <v>литр</v>
      </c>
      <c r="K901" s="747" t="s">
        <v>1538</v>
      </c>
      <c r="L901" s="663">
        <v>400</v>
      </c>
      <c r="M901" s="963">
        <f>SUMIF($H$1:$H901,$H901,$L$1:$L901)-SUMIF($H$1:$H900,$H901,$N$1:$N900)</f>
        <v>992.48</v>
      </c>
      <c r="N901" s="964">
        <v>622.42219999999998</v>
      </c>
      <c r="O901" s="962">
        <f t="shared" si="19"/>
        <v>370.05780000000004</v>
      </c>
    </row>
    <row r="902" spans="2:15" ht="18" customHeight="1" x14ac:dyDescent="0.25">
      <c r="B902" s="259">
        <v>45133</v>
      </c>
      <c r="C90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902" s="259">
        <v>45133</v>
      </c>
      <c r="H902" s="254" t="s">
        <v>57</v>
      </c>
      <c r="I902" s="764" t="str">
        <f>VLOOKUP($H902,инфо!$O:$P,2,FALSE)</f>
        <v>Чай</v>
      </c>
      <c r="J902" s="160" t="str">
        <f>VLOOKUP($I902,инфо!$D:$G,3,FALSE)</f>
        <v>кг</v>
      </c>
      <c r="K902" s="747" t="s">
        <v>1538</v>
      </c>
      <c r="M902" s="963">
        <f>SUMIF($H$1:$H902,$H902,$L$1:$L902)-SUMIF($H$1:$H901,$H902,$N$1:$N901)</f>
        <v>137.4</v>
      </c>
      <c r="N902" s="964">
        <v>1.5007999999999999</v>
      </c>
      <c r="O902" s="962">
        <f t="shared" si="19"/>
        <v>135.89920000000001</v>
      </c>
    </row>
    <row r="903" spans="2:15" ht="18" customHeight="1" x14ac:dyDescent="0.25">
      <c r="B903" s="259">
        <v>45133</v>
      </c>
      <c r="C903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903" s="259">
        <v>45133</v>
      </c>
      <c r="H903" s="254" t="s">
        <v>57</v>
      </c>
      <c r="I903" s="764" t="str">
        <f>VLOOKUP($H903,инфо!$O:$P,2,FALSE)</f>
        <v>Чай</v>
      </c>
      <c r="J903" s="160" t="str">
        <f>VLOOKUP($I903,инфо!$D:$G,3,FALSE)</f>
        <v>кг</v>
      </c>
      <c r="K903" s="747" t="s">
        <v>1538</v>
      </c>
      <c r="M903" s="963">
        <f>SUMIF($H$1:$H903,$H903,$L$1:$L903)-SUMIF($H$1:$H902,$H903,$N$1:$N902)</f>
        <v>135.89920000000001</v>
      </c>
      <c r="N903" s="964">
        <v>24.896888000000001</v>
      </c>
      <c r="O903" s="962">
        <f t="shared" si="19"/>
        <v>111.002312</v>
      </c>
    </row>
    <row r="904" spans="2:15" ht="18" customHeight="1" x14ac:dyDescent="0.25">
      <c r="B904" s="259">
        <v>45133</v>
      </c>
      <c r="C904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904" s="259">
        <v>45133</v>
      </c>
      <c r="H904" s="254" t="s">
        <v>84</v>
      </c>
      <c r="I904" s="764" t="str">
        <f>VLOOKUP($H904,инфо!$O:$P,2,FALSE)</f>
        <v>Кофе БС</v>
      </c>
      <c r="J904" s="160" t="str">
        <f>VLOOKUP($I904,инфо!$D:$G,3,FALSE)</f>
        <v>кг</v>
      </c>
      <c r="K904" s="747" t="s">
        <v>1538</v>
      </c>
      <c r="M904" s="963">
        <f>SUMIF($H$1:$H904,$H904,$L$1:$L904)-SUMIF($H$1:$H903,$H904,$N$1:$N903)</f>
        <v>19.503111999999998</v>
      </c>
      <c r="N904" s="964">
        <v>1.5007999999999999</v>
      </c>
      <c r="O904" s="962">
        <f t="shared" si="19"/>
        <v>18.002311999999996</v>
      </c>
    </row>
    <row r="905" spans="2:15" ht="18" customHeight="1" x14ac:dyDescent="0.25">
      <c r="B905" s="259">
        <v>45133</v>
      </c>
      <c r="C905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905" s="259">
        <v>45133</v>
      </c>
      <c r="H905" s="254" t="s">
        <v>88</v>
      </c>
      <c r="I905" s="764" t="str">
        <f>VLOOKUP($H905,инфо!$O:$P,2,FALSE)</f>
        <v>Сок яблочный</v>
      </c>
      <c r="J905" s="160" t="str">
        <f>VLOOKUP($I905,инфо!$D:$G,3,FALSE)</f>
        <v>кг</v>
      </c>
      <c r="K905" s="747" t="s">
        <v>1538</v>
      </c>
      <c r="M905" s="963">
        <f>SUMIF($H$1:$H905,$H905,$L$1:$L905)-SUMIF($H$1:$H904,$H905,$N$1:$N904)</f>
        <v>320</v>
      </c>
      <c r="N905" s="964">
        <v>18.759999999999998</v>
      </c>
      <c r="O905" s="962">
        <f t="shared" si="19"/>
        <v>301.24</v>
      </c>
    </row>
    <row r="906" spans="2:15" ht="18" customHeight="1" x14ac:dyDescent="0.25">
      <c r="B906" s="259">
        <v>45133</v>
      </c>
      <c r="C906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906" s="259">
        <v>45133</v>
      </c>
      <c r="H906" s="254" t="s">
        <v>88</v>
      </c>
      <c r="I906" s="764" t="str">
        <f>VLOOKUP($H906,инфо!$O:$P,2,FALSE)</f>
        <v>Сок яблочный</v>
      </c>
      <c r="J906" s="160" t="str">
        <f>VLOOKUP($I906,инфо!$D:$G,3,FALSE)</f>
        <v>кг</v>
      </c>
      <c r="K906" s="747" t="s">
        <v>1538</v>
      </c>
      <c r="L906" s="663">
        <v>30</v>
      </c>
      <c r="M906" s="963">
        <f>SUMIF($H$1:$H906,$H906,$L$1:$L906)-SUMIF($H$1:$H905,$H906,$N$1:$N905)</f>
        <v>331.24</v>
      </c>
      <c r="N906" s="964">
        <v>311.21109999999999</v>
      </c>
      <c r="O906" s="962">
        <f t="shared" si="19"/>
        <v>20.028900000000021</v>
      </c>
    </row>
    <row r="907" spans="2:15" ht="18" customHeight="1" x14ac:dyDescent="0.25">
      <c r="B907" s="259">
        <v>45133</v>
      </c>
      <c r="C907" t="str">
        <f>IF(Книга_учета[[#This Row],[Дата записи (здесь вводить)]]&lt;&gt;"",IF(Книга_учета[[#This Row],[Приход
(здесь вводить)]]&lt;&gt;"","Приход","Расход"),"")</f>
        <v>Приход</v>
      </c>
      <c r="E907" s="259">
        <v>45133</v>
      </c>
      <c r="H907" s="254" t="s">
        <v>161</v>
      </c>
      <c r="I907" s="764" t="str">
        <f>VLOOKUP($H907,инфо!$O:$P,2,FALSE)</f>
        <v>Пряники</v>
      </c>
      <c r="J907" s="160" t="str">
        <f>VLOOKUP($I907,инфо!$D:$G,3,FALSE)</f>
        <v>кг</v>
      </c>
      <c r="K907" s="747" t="s">
        <v>1538</v>
      </c>
      <c r="L907" s="663">
        <v>40</v>
      </c>
      <c r="M907" s="963">
        <f>SUMIF($H$1:$H907,$H907,$L$1:$L907)-SUMIF($H$1:$H906,$H907,$N$1:$N906)</f>
        <v>131.434</v>
      </c>
      <c r="N907" s="964">
        <v>108.923885</v>
      </c>
      <c r="O907" s="962">
        <f t="shared" si="19"/>
        <v>22.510114999999999</v>
      </c>
    </row>
    <row r="908" spans="2:15" ht="18" customHeight="1" x14ac:dyDescent="0.25">
      <c r="B908" s="259">
        <v>45140</v>
      </c>
      <c r="C908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908" s="259">
        <v>45140</v>
      </c>
      <c r="H908" t="s">
        <v>45</v>
      </c>
      <c r="I908" s="764" t="str">
        <f>VLOOKUP($H908,инфо!$O:$P,2,FALSE)</f>
        <v>Картофель</v>
      </c>
      <c r="J908" s="160" t="str">
        <f>VLOOKUP($I908,инфо!$D:$G,3,FALSE)</f>
        <v>кг</v>
      </c>
      <c r="K908" s="747" t="s">
        <v>1538</v>
      </c>
      <c r="M908" s="963">
        <f>SUMIF($H$1:$H908,$H908,$L$1:$L908)-SUMIF($H$1:$H907,$H908,$N$1:$N907)</f>
        <v>849.03111999999999</v>
      </c>
      <c r="N908" s="964">
        <v>15.007999999999999</v>
      </c>
      <c r="O908" s="962">
        <f t="shared" si="19"/>
        <v>834.02311999999995</v>
      </c>
    </row>
    <row r="909" spans="2:15" ht="18" customHeight="1" x14ac:dyDescent="0.25">
      <c r="B909" s="259">
        <v>45140</v>
      </c>
      <c r="C909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909" s="259">
        <v>45140</v>
      </c>
      <c r="H909" t="s">
        <v>490</v>
      </c>
      <c r="I909" s="764" t="str">
        <f>VLOOKUP($H909,инфо!$O:$P,2,FALSE)</f>
        <v>Капуста свежая</v>
      </c>
      <c r="J909" s="160" t="str">
        <f>VLOOKUP($I909,инфо!$D:$G,3,FALSE)</f>
        <v>кг</v>
      </c>
      <c r="K909" s="747" t="s">
        <v>1538</v>
      </c>
      <c r="M909" s="963">
        <f>SUMIF($H$1:$H909,$H909,$L$1:$L909)-SUMIF($H$1:$H908,$H909,$N$1:$N908)</f>
        <v>428.15223000000003</v>
      </c>
      <c r="N909" s="964">
        <v>13.132</v>
      </c>
      <c r="O909" s="962">
        <f t="shared" si="19"/>
        <v>415.02023000000003</v>
      </c>
    </row>
    <row r="910" spans="2:15" ht="18" customHeight="1" x14ac:dyDescent="0.25">
      <c r="B910" s="259">
        <v>45140</v>
      </c>
      <c r="C910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910" s="259">
        <v>45140</v>
      </c>
      <c r="H910" s="254" t="s">
        <v>81</v>
      </c>
      <c r="I910" s="764" t="str">
        <f>VLOOKUP($H910,инфо!$O:$P,2,FALSE)</f>
        <v>Вафли</v>
      </c>
      <c r="J910" s="160" t="str">
        <f>VLOOKUP($I910,инфо!$D:$G,3,FALSE)</f>
        <v>кг</v>
      </c>
      <c r="K910" s="747" t="s">
        <v>1538</v>
      </c>
      <c r="M910" s="963">
        <f>SUMIF($H$1:$H910,$H910,$L$1:$L910)-SUMIF($H$1:$H909,$H910,$N$1:$N909)</f>
        <v>183</v>
      </c>
      <c r="N910" s="964">
        <v>3.7519999999999998</v>
      </c>
      <c r="O910" s="962">
        <f t="shared" si="19"/>
        <v>179.24799999999999</v>
      </c>
    </row>
    <row r="911" spans="2:15" ht="18" customHeight="1" x14ac:dyDescent="0.25">
      <c r="B911" s="259">
        <v>45140</v>
      </c>
      <c r="C911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911" s="259">
        <v>45140</v>
      </c>
      <c r="H911" s="254" t="s">
        <v>81</v>
      </c>
      <c r="I911" s="764" t="str">
        <f>VLOOKUP($H911,инфо!$O:$P,2,FALSE)</f>
        <v>Вафли</v>
      </c>
      <c r="J911" s="160" t="str">
        <f>VLOOKUP($I911,инфо!$D:$G,3,FALSE)</f>
        <v>кг</v>
      </c>
      <c r="K911" s="747" t="s">
        <v>1538</v>
      </c>
      <c r="M911" s="963">
        <f>SUMIF($H$1:$H911,$H911,$L$1:$L911)-SUMIF($H$1:$H910,$H911,$N$1:$N910)</f>
        <v>179.24799999999999</v>
      </c>
      <c r="N911" s="964">
        <v>62.242220000000003</v>
      </c>
      <c r="O911" s="962">
        <f t="shared" si="19"/>
        <v>117.00577999999999</v>
      </c>
    </row>
    <row r="912" spans="2:15" ht="18" customHeight="1" x14ac:dyDescent="0.25">
      <c r="B912" s="259">
        <v>45140</v>
      </c>
      <c r="C912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912" s="259">
        <v>45140</v>
      </c>
      <c r="H912" s="254" t="s">
        <v>86</v>
      </c>
      <c r="I912" s="764" t="str">
        <f>VLOOKUP($H912,инфо!$O:$P,2,FALSE)</f>
        <v>Печенье БС</v>
      </c>
      <c r="J912" s="160" t="str">
        <f>VLOOKUP($I912,инфо!$D:$G,3,FALSE)</f>
        <v>кг</v>
      </c>
      <c r="K912" s="747" t="s">
        <v>1538</v>
      </c>
      <c r="M912" s="963">
        <f>SUMIF($H$1:$H912,$H912,$L$1:$L912)-SUMIF($H$1:$H911,$H912,$N$1:$N911)</f>
        <v>61.599999999999994</v>
      </c>
      <c r="N912" s="964">
        <v>5.0651999999999999</v>
      </c>
      <c r="O912" s="962">
        <f t="shared" si="19"/>
        <v>56.534799999999997</v>
      </c>
    </row>
    <row r="913" spans="2:15" ht="18" customHeight="1" x14ac:dyDescent="0.25">
      <c r="B913" s="259">
        <v>45140</v>
      </c>
      <c r="C913" t="str">
        <f>IF(Книга_учета[[#This Row],[Дата записи (здесь вводить)]]&lt;&gt;"",IF(Книга_учета[[#This Row],[Приход
(здесь вводить)]]&lt;&gt;"","Приход","Расход"),"")</f>
        <v>Расход</v>
      </c>
      <c r="E913" s="259">
        <v>45140</v>
      </c>
      <c r="H913" s="254" t="s">
        <v>83</v>
      </c>
      <c r="I913" s="764" t="str">
        <f>VLOOKUP($H913,инфо!$O:$P,2,FALSE)</f>
        <v>Конфеты шоколадные</v>
      </c>
      <c r="J913" s="160" t="str">
        <f>VLOOKUP($I913,инфо!$D:$G,3,FALSE)</f>
        <v>кг</v>
      </c>
      <c r="K913" s="747" t="s">
        <v>1538</v>
      </c>
      <c r="M913" s="963">
        <f>SUMIF($H$1:$H913,$H913,$L$1:$L913)-SUMIF($H$1:$H912,$H913,$N$1:$N912)</f>
        <v>141.24799999999999</v>
      </c>
      <c r="N913" s="964">
        <v>62.242220000000003</v>
      </c>
      <c r="O913" s="962">
        <f t="shared" si="19"/>
        <v>79.005779999999987</v>
      </c>
    </row>
    <row r="914" spans="2:15" ht="18" customHeight="1" x14ac:dyDescent="0.25">
      <c r="K914" s="747"/>
    </row>
    <row r="915" spans="2:15" ht="18" customHeight="1" x14ac:dyDescent="0.25">
      <c r="K915" s="747"/>
    </row>
    <row r="916" spans="2:15" ht="18" customHeight="1" x14ac:dyDescent="0.25">
      <c r="K916" s="747"/>
    </row>
    <row r="917" spans="2:15" ht="18" customHeight="1" x14ac:dyDescent="0.25">
      <c r="K917" s="747"/>
    </row>
    <row r="918" spans="2:15" ht="18" customHeight="1" x14ac:dyDescent="0.25">
      <c r="K918" s="747"/>
    </row>
    <row r="919" spans="2:15" ht="18" customHeight="1" x14ac:dyDescent="0.25">
      <c r="K919" s="747"/>
    </row>
    <row r="920" spans="2:15" ht="18" customHeight="1" x14ac:dyDescent="0.25">
      <c r="K920" s="747"/>
    </row>
    <row r="921" spans="2:15" ht="18" customHeight="1" x14ac:dyDescent="0.25">
      <c r="K921" s="747"/>
    </row>
    <row r="922" spans="2:15" ht="18" customHeight="1" x14ac:dyDescent="0.25">
      <c r="K922" s="747"/>
    </row>
    <row r="923" spans="2:15" ht="18" customHeight="1" x14ac:dyDescent="0.25">
      <c r="K923" s="747"/>
    </row>
    <row r="924" spans="2:15" ht="18" customHeight="1" x14ac:dyDescent="0.25">
      <c r="K924" s="747"/>
    </row>
    <row r="925" spans="2:15" ht="18" customHeight="1" x14ac:dyDescent="0.25">
      <c r="K925" s="747"/>
    </row>
    <row r="926" spans="2:15" ht="18" customHeight="1" x14ac:dyDescent="0.25">
      <c r="K926" s="747"/>
    </row>
    <row r="927" spans="2:15" ht="18" customHeight="1" x14ac:dyDescent="0.25">
      <c r="K927" s="747"/>
    </row>
    <row r="928" spans="2:15" ht="18" customHeight="1" x14ac:dyDescent="0.25">
      <c r="K928" s="747"/>
    </row>
    <row r="929" spans="11:11" ht="18" customHeight="1" x14ac:dyDescent="0.25">
      <c r="K929" s="747"/>
    </row>
    <row r="930" spans="11:11" ht="18" customHeight="1" x14ac:dyDescent="0.25">
      <c r="K930" s="747"/>
    </row>
    <row r="931" spans="11:11" ht="18" customHeight="1" x14ac:dyDescent="0.25">
      <c r="K931" s="747"/>
    </row>
    <row r="932" spans="11:11" ht="18" customHeight="1" x14ac:dyDescent="0.25">
      <c r="K932" s="747"/>
    </row>
    <row r="933" spans="11:11" ht="18" customHeight="1" x14ac:dyDescent="0.25">
      <c r="K933" s="747"/>
    </row>
    <row r="934" spans="11:11" ht="18" customHeight="1" x14ac:dyDescent="0.25">
      <c r="K934" s="747"/>
    </row>
    <row r="935" spans="11:11" ht="18" customHeight="1" x14ac:dyDescent="0.25">
      <c r="K935" s="747"/>
    </row>
    <row r="936" spans="11:11" ht="18" customHeight="1" x14ac:dyDescent="0.25">
      <c r="K936" s="747"/>
    </row>
    <row r="937" spans="11:11" ht="18" customHeight="1" x14ac:dyDescent="0.25">
      <c r="K937" s="747"/>
    </row>
    <row r="938" spans="11:11" ht="18" customHeight="1" x14ac:dyDescent="0.25">
      <c r="K938" s="747"/>
    </row>
    <row r="939" spans="11:11" ht="18" customHeight="1" x14ac:dyDescent="0.25">
      <c r="K939" s="747"/>
    </row>
    <row r="940" spans="11:11" ht="18" customHeight="1" x14ac:dyDescent="0.25">
      <c r="K940" s="747"/>
    </row>
    <row r="941" spans="11:11" ht="18" customHeight="1" x14ac:dyDescent="0.25">
      <c r="K941" s="747"/>
    </row>
    <row r="942" spans="11:11" ht="18" customHeight="1" x14ac:dyDescent="0.25">
      <c r="K942" s="747"/>
    </row>
    <row r="943" spans="11:11" ht="18" customHeight="1" x14ac:dyDescent="0.25">
      <c r="K943" s="747"/>
    </row>
    <row r="944" spans="11:11" ht="18" customHeight="1" x14ac:dyDescent="0.25">
      <c r="K944" s="747"/>
    </row>
    <row r="945" spans="11:11" ht="18" customHeight="1" x14ac:dyDescent="0.25">
      <c r="K945" s="747"/>
    </row>
    <row r="946" spans="11:11" ht="18" customHeight="1" x14ac:dyDescent="0.25">
      <c r="K946" s="747"/>
    </row>
    <row r="947" spans="11:11" ht="18" customHeight="1" x14ac:dyDescent="0.25">
      <c r="K947" s="747"/>
    </row>
    <row r="948" spans="11:11" ht="18" customHeight="1" x14ac:dyDescent="0.25">
      <c r="K948" s="747"/>
    </row>
    <row r="949" spans="11:11" ht="18" customHeight="1" x14ac:dyDescent="0.25">
      <c r="K949" s="747"/>
    </row>
    <row r="950" spans="11:11" ht="18" customHeight="1" x14ac:dyDescent="0.25">
      <c r="K950" s="747"/>
    </row>
    <row r="951" spans="11:11" ht="18" customHeight="1" x14ac:dyDescent="0.25">
      <c r="K951" s="747"/>
    </row>
    <row r="952" spans="11:11" ht="18" customHeight="1" x14ac:dyDescent="0.25">
      <c r="K952" s="747"/>
    </row>
    <row r="953" spans="11:11" ht="18" customHeight="1" x14ac:dyDescent="0.25">
      <c r="K953" s="747"/>
    </row>
    <row r="954" spans="11:11" ht="18" customHeight="1" x14ac:dyDescent="0.25">
      <c r="K954" s="747"/>
    </row>
    <row r="955" spans="11:11" ht="18" customHeight="1" x14ac:dyDescent="0.25">
      <c r="K955" s="747"/>
    </row>
    <row r="956" spans="11:11" ht="18" customHeight="1" x14ac:dyDescent="0.25">
      <c r="K956" s="747"/>
    </row>
    <row r="957" spans="11:11" ht="18" customHeight="1" x14ac:dyDescent="0.25">
      <c r="K957" s="747"/>
    </row>
    <row r="958" spans="11:11" ht="18" customHeight="1" x14ac:dyDescent="0.25">
      <c r="K958" s="747"/>
    </row>
    <row r="959" spans="11:11" ht="18" customHeight="1" x14ac:dyDescent="0.25">
      <c r="K959" s="747"/>
    </row>
    <row r="960" spans="11:11" ht="18" customHeight="1" x14ac:dyDescent="0.25">
      <c r="K960" s="747"/>
    </row>
    <row r="961" spans="11:11" ht="18" customHeight="1" x14ac:dyDescent="0.25">
      <c r="K961" s="747"/>
    </row>
    <row r="962" spans="11:11" ht="18" customHeight="1" x14ac:dyDescent="0.25">
      <c r="K962" s="747"/>
    </row>
    <row r="963" spans="11:11" ht="18" customHeight="1" x14ac:dyDescent="0.25">
      <c r="K963" s="747"/>
    </row>
    <row r="964" spans="11:11" ht="18" customHeight="1" x14ac:dyDescent="0.25">
      <c r="K964" s="747"/>
    </row>
    <row r="965" spans="11:11" ht="18" customHeight="1" x14ac:dyDescent="0.25">
      <c r="K965" s="747"/>
    </row>
    <row r="966" spans="11:11" ht="18" customHeight="1" x14ac:dyDescent="0.25">
      <c r="K966" s="747"/>
    </row>
    <row r="967" spans="11:11" ht="18" customHeight="1" x14ac:dyDescent="0.25">
      <c r="K967" s="747"/>
    </row>
    <row r="968" spans="11:11" ht="18" customHeight="1" x14ac:dyDescent="0.25">
      <c r="K968" s="747"/>
    </row>
    <row r="969" spans="11:11" ht="18" customHeight="1" x14ac:dyDescent="0.25">
      <c r="K969" s="747"/>
    </row>
    <row r="970" spans="11:11" ht="18" customHeight="1" x14ac:dyDescent="0.25">
      <c r="K970" s="747"/>
    </row>
    <row r="971" spans="11:11" ht="18" customHeight="1" x14ac:dyDescent="0.25">
      <c r="K971" s="747"/>
    </row>
    <row r="972" spans="11:11" ht="18" customHeight="1" x14ac:dyDescent="0.25">
      <c r="K972" s="747"/>
    </row>
    <row r="973" spans="11:11" ht="18" customHeight="1" x14ac:dyDescent="0.25">
      <c r="K973" s="747"/>
    </row>
    <row r="974" spans="11:11" ht="18" customHeight="1" x14ac:dyDescent="0.25">
      <c r="K974" s="747"/>
    </row>
    <row r="975" spans="11:11" ht="18" customHeight="1" x14ac:dyDescent="0.25">
      <c r="K975" s="747"/>
    </row>
    <row r="976" spans="11:11" ht="18" customHeight="1" x14ac:dyDescent="0.25">
      <c r="K976" s="747"/>
    </row>
    <row r="977" spans="11:11" ht="18" customHeight="1" x14ac:dyDescent="0.25">
      <c r="K977" s="747"/>
    </row>
    <row r="978" spans="11:11" ht="18" customHeight="1" x14ac:dyDescent="0.25">
      <c r="K978" s="747"/>
    </row>
    <row r="979" spans="11:11" ht="18" customHeight="1" x14ac:dyDescent="0.25">
      <c r="K979" s="747"/>
    </row>
    <row r="980" spans="11:11" ht="18" customHeight="1" x14ac:dyDescent="0.25">
      <c r="K980" s="747"/>
    </row>
    <row r="981" spans="11:11" ht="18" customHeight="1" x14ac:dyDescent="0.25">
      <c r="K981" s="747"/>
    </row>
    <row r="982" spans="11:11" ht="18" customHeight="1" x14ac:dyDescent="0.25">
      <c r="K982" s="747"/>
    </row>
    <row r="983" spans="11:11" ht="18" customHeight="1" x14ac:dyDescent="0.25">
      <c r="K983" s="747"/>
    </row>
    <row r="984" spans="11:11" ht="18" customHeight="1" x14ac:dyDescent="0.25">
      <c r="K984" s="747"/>
    </row>
    <row r="985" spans="11:11" ht="18" customHeight="1" x14ac:dyDescent="0.25">
      <c r="K985" s="747"/>
    </row>
    <row r="986" spans="11:11" ht="18" customHeight="1" x14ac:dyDescent="0.25">
      <c r="K986" s="747"/>
    </row>
    <row r="987" spans="11:11" ht="18" customHeight="1" x14ac:dyDescent="0.25">
      <c r="K987" s="747"/>
    </row>
    <row r="988" spans="11:11" ht="18" customHeight="1" x14ac:dyDescent="0.25">
      <c r="K988" s="747"/>
    </row>
    <row r="989" spans="11:11" ht="18" customHeight="1" x14ac:dyDescent="0.25">
      <c r="K989" s="747"/>
    </row>
    <row r="990" spans="11:11" ht="18" customHeight="1" x14ac:dyDescent="0.25">
      <c r="K990" s="747"/>
    </row>
    <row r="991" spans="11:11" ht="18" customHeight="1" x14ac:dyDescent="0.25">
      <c r="K991" s="747"/>
    </row>
    <row r="992" spans="11:11" ht="18" customHeight="1" x14ac:dyDescent="0.25">
      <c r="K992" s="747"/>
    </row>
    <row r="993" spans="11:11" ht="18" customHeight="1" x14ac:dyDescent="0.25">
      <c r="K993" s="747"/>
    </row>
    <row r="994" spans="11:11" ht="18" customHeight="1" x14ac:dyDescent="0.25">
      <c r="K994" s="747"/>
    </row>
    <row r="995" spans="11:11" ht="18" customHeight="1" x14ac:dyDescent="0.25">
      <c r="K995" s="747"/>
    </row>
    <row r="996" spans="11:11" ht="18" customHeight="1" x14ac:dyDescent="0.25">
      <c r="K996" s="747"/>
    </row>
    <row r="997" spans="11:11" ht="18" customHeight="1" x14ac:dyDescent="0.25">
      <c r="K997" s="747"/>
    </row>
    <row r="998" spans="11:11" ht="18" customHeight="1" x14ac:dyDescent="0.25">
      <c r="K998" s="747"/>
    </row>
    <row r="999" spans="11:11" ht="18" customHeight="1" x14ac:dyDescent="0.25">
      <c r="K999" s="747"/>
    </row>
    <row r="1000" spans="11:11" ht="18" customHeight="1" x14ac:dyDescent="0.25">
      <c r="K1000" s="747"/>
    </row>
    <row r="1001" spans="11:11" ht="18" customHeight="1" x14ac:dyDescent="0.25">
      <c r="K1001" s="747"/>
    </row>
    <row r="1002" spans="11:11" ht="18" customHeight="1" x14ac:dyDescent="0.25">
      <c r="K1002" s="747"/>
    </row>
    <row r="1003" spans="11:11" ht="18" customHeight="1" x14ac:dyDescent="0.25">
      <c r="K1003" s="747"/>
    </row>
    <row r="1004" spans="11:11" ht="18" customHeight="1" x14ac:dyDescent="0.25">
      <c r="K1004" s="747"/>
    </row>
    <row r="1005" spans="11:11" ht="18" customHeight="1" x14ac:dyDescent="0.25">
      <c r="K1005" s="747"/>
    </row>
    <row r="1006" spans="11:11" ht="18" customHeight="1" x14ac:dyDescent="0.25">
      <c r="K1006" s="747"/>
    </row>
    <row r="1007" spans="11:11" ht="18" customHeight="1" x14ac:dyDescent="0.25">
      <c r="K1007" s="747"/>
    </row>
    <row r="1008" spans="11:11" ht="18" customHeight="1" x14ac:dyDescent="0.25">
      <c r="K1008" s="747"/>
    </row>
    <row r="1009" spans="11:11" ht="18" customHeight="1" x14ac:dyDescent="0.25">
      <c r="K1009" s="747"/>
    </row>
    <row r="1010" spans="11:11" ht="18" customHeight="1" x14ac:dyDescent="0.25">
      <c r="K1010" s="747"/>
    </row>
    <row r="1011" spans="11:11" ht="18" customHeight="1" x14ac:dyDescent="0.25">
      <c r="K1011" s="747"/>
    </row>
    <row r="1012" spans="11:11" ht="18" customHeight="1" x14ac:dyDescent="0.25">
      <c r="K1012" s="747"/>
    </row>
    <row r="1013" spans="11:11" ht="18" customHeight="1" x14ac:dyDescent="0.25">
      <c r="K1013" s="747"/>
    </row>
    <row r="1014" spans="11:11" ht="18" customHeight="1" x14ac:dyDescent="0.25">
      <c r="K1014" s="747"/>
    </row>
    <row r="1015" spans="11:11" ht="18" customHeight="1" x14ac:dyDescent="0.25">
      <c r="K1015" s="747"/>
    </row>
    <row r="1016" spans="11:11" ht="18" customHeight="1" x14ac:dyDescent="0.25">
      <c r="K1016" s="747"/>
    </row>
    <row r="1017" spans="11:11" ht="18" customHeight="1" x14ac:dyDescent="0.25">
      <c r="K1017" s="747"/>
    </row>
    <row r="1018" spans="11:11" ht="18" customHeight="1" x14ac:dyDescent="0.25">
      <c r="K1018" s="747"/>
    </row>
    <row r="1019" spans="11:11" ht="18" customHeight="1" x14ac:dyDescent="0.25">
      <c r="K1019" s="747"/>
    </row>
    <row r="1020" spans="11:11" ht="18" customHeight="1" x14ac:dyDescent="0.25">
      <c r="K1020" s="747"/>
    </row>
    <row r="1021" spans="11:11" ht="18" customHeight="1" x14ac:dyDescent="0.25">
      <c r="K1021" s="747"/>
    </row>
    <row r="1022" spans="11:11" ht="18" customHeight="1" x14ac:dyDescent="0.25">
      <c r="K1022" s="747"/>
    </row>
    <row r="1023" spans="11:11" ht="18" customHeight="1" x14ac:dyDescent="0.25">
      <c r="K1023" s="747"/>
    </row>
    <row r="1024" spans="11:11" ht="18" customHeight="1" x14ac:dyDescent="0.25">
      <c r="K1024" s="747"/>
    </row>
    <row r="1025" spans="11:11" ht="18" customHeight="1" x14ac:dyDescent="0.25">
      <c r="K1025" s="747"/>
    </row>
    <row r="1026" spans="11:11" ht="18" customHeight="1" x14ac:dyDescent="0.25">
      <c r="K1026" s="747"/>
    </row>
    <row r="1027" spans="11:11" ht="18" customHeight="1" x14ac:dyDescent="0.25">
      <c r="K1027" s="747"/>
    </row>
    <row r="1028" spans="11:11" ht="18" customHeight="1" x14ac:dyDescent="0.25">
      <c r="K1028" s="747"/>
    </row>
    <row r="1029" spans="11:11" ht="18" customHeight="1" x14ac:dyDescent="0.25">
      <c r="K1029" s="747"/>
    </row>
    <row r="1030" spans="11:11" ht="18" customHeight="1" x14ac:dyDescent="0.25">
      <c r="K1030" s="747"/>
    </row>
    <row r="1031" spans="11:11" ht="18" customHeight="1" x14ac:dyDescent="0.25">
      <c r="K1031" s="747"/>
    </row>
    <row r="1032" spans="11:11" ht="18" customHeight="1" x14ac:dyDescent="0.25">
      <c r="K1032" s="747"/>
    </row>
    <row r="1033" spans="11:11" ht="18" customHeight="1" x14ac:dyDescent="0.25">
      <c r="K1033" s="747"/>
    </row>
    <row r="1034" spans="11:11" ht="18" customHeight="1" x14ac:dyDescent="0.25">
      <c r="K1034" s="747"/>
    </row>
    <row r="1035" spans="11:11" ht="18" customHeight="1" x14ac:dyDescent="0.25">
      <c r="K1035" s="747"/>
    </row>
    <row r="1036" spans="11:11" ht="18" customHeight="1" x14ac:dyDescent="0.25">
      <c r="K1036" s="747"/>
    </row>
    <row r="1037" spans="11:11" ht="18" customHeight="1" x14ac:dyDescent="0.25">
      <c r="K1037" s="747"/>
    </row>
    <row r="1038" spans="11:11" ht="18" customHeight="1" x14ac:dyDescent="0.25">
      <c r="K1038" s="747"/>
    </row>
    <row r="1039" spans="11:11" ht="18" customHeight="1" x14ac:dyDescent="0.25"/>
    <row r="1040" spans="11:11" ht="18" customHeight="1" x14ac:dyDescent="0.25"/>
    <row r="1041" ht="18" customHeight="1" x14ac:dyDescent="0.25"/>
    <row r="1042" ht="18" customHeight="1" x14ac:dyDescent="0.25"/>
    <row r="1043" ht="18" customHeight="1" x14ac:dyDescent="0.25"/>
    <row r="1044" ht="18" customHeight="1" x14ac:dyDescent="0.25"/>
    <row r="1045" ht="18" customHeight="1" x14ac:dyDescent="0.25"/>
    <row r="1046" ht="18" customHeight="1" x14ac:dyDescent="0.25"/>
    <row r="1047" ht="18" customHeight="1" x14ac:dyDescent="0.25"/>
    <row r="1048" ht="18" customHeight="1" x14ac:dyDescent="0.25"/>
    <row r="1049" ht="18" customHeight="1" x14ac:dyDescent="0.25"/>
    <row r="1050" ht="18" customHeight="1" x14ac:dyDescent="0.25"/>
    <row r="1051" ht="18" customHeight="1" x14ac:dyDescent="0.25"/>
    <row r="1052" ht="18" customHeight="1" x14ac:dyDescent="0.25"/>
    <row r="1053" ht="18" customHeight="1" x14ac:dyDescent="0.25"/>
    <row r="1054" ht="18" customHeight="1" x14ac:dyDescent="0.25"/>
    <row r="1055" ht="18" customHeight="1" x14ac:dyDescent="0.25"/>
    <row r="1056" ht="18" customHeight="1" x14ac:dyDescent="0.25"/>
  </sheetData>
  <sortState xmlns:xlrd2="http://schemas.microsoft.com/office/spreadsheetml/2017/richdata2" ref="A321:Q913">
    <sortCondition ref="E321:E913"/>
    <sortCondition ref="K321:K913"/>
  </sortState>
  <dataValidations count="4">
    <dataValidation type="list" allowBlank="1" showInputMessage="1" showErrorMessage="1" sqref="C2:C913" xr:uid="{00000000-0002-0000-0300-000000000000}">
      <formula1>"Приход, Расход"</formula1>
    </dataValidation>
    <dataValidation type="decimal" allowBlank="1" showInputMessage="1" showErrorMessage="1" sqref="M2:M320 O2:O320 L2:L1048576 M1039:M1048576 N2:N1048576 O1039:O1048576" xr:uid="{00000000-0002-0000-0300-000001000000}">
      <formula1>-1000</formula1>
      <formula2>100000000</formula2>
    </dataValidation>
    <dataValidation type="date" allowBlank="1" showInputMessage="1" showErrorMessage="1" sqref="E2:E1048576" xr:uid="{00000000-0002-0000-0300-000002000000}">
      <formula1>44927</formula1>
      <formula2>47848</formula2>
    </dataValidation>
    <dataValidation type="date" allowBlank="1" showInputMessage="1" showErrorMessage="1" sqref="B2:B1048576" xr:uid="{00000000-0002-0000-0300-000003000000}">
      <formula1>44927</formula1>
      <formula2>45291</formula2>
    </dataValidation>
  </dataValidations>
  <pageMargins left="0.31496062992125984" right="0.31496062992125984" top="0.35433070866141736" bottom="0.55118110236220474" header="0.31496062992125984" footer="0.31496062992125984"/>
  <pageSetup paperSize="9" scale="44" fitToHeight="100" orientation="portrait" horizontalDpi="200" verticalDpi="200" r:id="rId1"/>
  <headerFooter>
    <oddFooter>&amp;L&amp;A&amp;C&amp;D&amp;R&amp;P из &amp;N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>
    <pageSetUpPr fitToPage="1"/>
  </sheetPr>
  <dimension ref="A1:AM170"/>
  <sheetViews>
    <sheetView showGridLines="0" zoomScaleNormal="100" workbookViewId="0">
      <pane ySplit="12" topLeftCell="A115" activePane="bottomLeft" state="frozen"/>
      <selection pane="bottomLeft" activeCell="D121" sqref="D121"/>
    </sheetView>
  </sheetViews>
  <sheetFormatPr defaultRowHeight="15" outlineLevelCol="1" x14ac:dyDescent="0.25"/>
  <cols>
    <col min="1" max="1" width="3.5703125" style="223" customWidth="1"/>
    <col min="2" max="2" width="21.85546875" customWidth="1"/>
    <col min="3" max="3" width="11.7109375" customWidth="1"/>
    <col min="4" max="7" width="5.85546875" customWidth="1" outlineLevel="1"/>
    <col min="8" max="8" width="8.7109375" customWidth="1"/>
    <col min="9" max="12" width="5.85546875" customWidth="1" outlineLevel="1"/>
    <col min="13" max="13" width="8.7109375" customWidth="1"/>
    <col min="14" max="17" width="5.85546875" customWidth="1" outlineLevel="1"/>
    <col min="18" max="18" width="8.7109375" customWidth="1"/>
    <col min="19" max="22" width="5.85546875" customWidth="1" outlineLevel="1"/>
    <col min="23" max="23" width="8.7109375" customWidth="1"/>
    <col min="24" max="27" width="5.85546875" customWidth="1" outlineLevel="1"/>
    <col min="28" max="28" width="8.7109375" customWidth="1"/>
    <col min="29" max="32" width="5.85546875" customWidth="1" outlineLevel="1"/>
    <col min="33" max="33" width="8.7109375" customWidth="1"/>
    <col min="34" max="37" width="5.85546875" customWidth="1" outlineLevel="1"/>
    <col min="38" max="38" width="8.7109375" style="702" customWidth="1"/>
    <col min="39" max="39" width="8.7109375" customWidth="1"/>
  </cols>
  <sheetData>
    <row r="1" spans="1:39" x14ac:dyDescent="0.25">
      <c r="A1" s="218"/>
      <c r="B1" s="202"/>
      <c r="C1" s="202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02"/>
      <c r="W1" s="202"/>
      <c r="X1" s="202"/>
      <c r="Y1" s="202"/>
      <c r="Z1" s="202"/>
      <c r="AA1" s="202"/>
      <c r="AB1" s="202"/>
      <c r="AC1" s="202"/>
      <c r="AD1" s="202"/>
      <c r="AE1" s="202"/>
      <c r="AF1" s="202"/>
      <c r="AG1" s="203" t="s">
        <v>127</v>
      </c>
      <c r="AH1" s="203"/>
      <c r="AI1" s="203"/>
      <c r="AJ1" s="203"/>
      <c r="AK1" s="203"/>
      <c r="AL1" s="696"/>
      <c r="AM1" s="202"/>
    </row>
    <row r="2" spans="1:39" ht="4.5" customHeight="1" x14ac:dyDescent="0.25">
      <c r="A2" s="218"/>
      <c r="B2" s="202"/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2"/>
      <c r="U2" s="202"/>
      <c r="V2" s="202"/>
      <c r="W2" s="202"/>
      <c r="X2" s="202"/>
      <c r="Y2" s="202"/>
      <c r="Z2" s="202"/>
      <c r="AA2" s="202"/>
      <c r="AB2" s="202"/>
      <c r="AC2" s="202"/>
      <c r="AD2" s="202"/>
      <c r="AE2" s="202"/>
      <c r="AF2" s="202"/>
      <c r="AG2" s="203"/>
      <c r="AH2" s="203"/>
      <c r="AI2" s="203"/>
      <c r="AJ2" s="203"/>
      <c r="AK2" s="203"/>
      <c r="AL2" s="696"/>
      <c r="AM2" s="202"/>
    </row>
    <row r="3" spans="1:39" s="154" customFormat="1" ht="18.75" x14ac:dyDescent="0.3">
      <c r="A3" s="230"/>
      <c r="B3" s="230"/>
      <c r="C3" s="230"/>
      <c r="D3" s="231"/>
      <c r="E3" s="231"/>
      <c r="F3" s="231"/>
      <c r="G3" s="231"/>
      <c r="H3" s="231" t="s">
        <v>350</v>
      </c>
      <c r="I3" s="231"/>
      <c r="J3" s="231"/>
      <c r="K3" s="231"/>
      <c r="L3" s="231"/>
      <c r="M3" s="253">
        <f>Обложка!$R$13</f>
        <v>103</v>
      </c>
      <c r="N3" s="684"/>
      <c r="O3" s="684"/>
      <c r="P3" s="684"/>
      <c r="Q3" s="684"/>
      <c r="R3" s="232"/>
      <c r="S3" s="232"/>
      <c r="T3" s="232"/>
      <c r="U3" s="232"/>
      <c r="V3" s="232"/>
      <c r="W3" s="230"/>
      <c r="X3" s="230"/>
      <c r="Y3" s="230"/>
      <c r="Z3" s="230"/>
      <c r="AA3" s="230"/>
      <c r="AB3" s="230"/>
      <c r="AC3" s="230"/>
      <c r="AD3" s="230"/>
      <c r="AE3" s="230"/>
      <c r="AF3" s="230"/>
      <c r="AG3" s="233"/>
      <c r="AH3" s="233"/>
      <c r="AI3" s="233"/>
      <c r="AJ3" s="233"/>
      <c r="AK3" s="233"/>
      <c r="AL3" s="697"/>
      <c r="AM3" s="233"/>
    </row>
    <row r="4" spans="1:39" x14ac:dyDescent="0.25">
      <c r="A4" s="220"/>
      <c r="C4" s="224"/>
      <c r="D4" s="234"/>
      <c r="E4" s="234"/>
      <c r="F4" s="234"/>
      <c r="G4" s="234"/>
      <c r="H4" s="766" t="s">
        <v>353</v>
      </c>
      <c r="I4" s="234"/>
      <c r="J4" s="234"/>
      <c r="K4" s="234"/>
      <c r="L4" s="234"/>
      <c r="M4" s="224"/>
      <c r="N4" s="224"/>
      <c r="O4" s="224"/>
      <c r="P4" s="224"/>
      <c r="Q4" s="224"/>
      <c r="R4" s="224"/>
      <c r="S4" s="224"/>
      <c r="T4" s="224"/>
      <c r="U4" s="224"/>
      <c r="V4" s="224"/>
      <c r="W4" s="224"/>
      <c r="X4" s="224"/>
      <c r="Y4" s="224"/>
      <c r="Z4" s="224"/>
      <c r="AA4" s="224"/>
      <c r="AB4" s="224"/>
      <c r="AC4" s="224"/>
      <c r="AD4" s="224"/>
      <c r="AE4" s="224"/>
      <c r="AF4" s="224"/>
      <c r="AG4" s="205"/>
      <c r="AH4" s="205"/>
      <c r="AI4" s="205"/>
      <c r="AJ4" s="205"/>
      <c r="AK4" s="205"/>
      <c r="AL4" s="698"/>
      <c r="AM4" s="205"/>
    </row>
    <row r="5" spans="1:39" x14ac:dyDescent="0.25">
      <c r="A5" s="220"/>
      <c r="B5" s="206" t="s">
        <v>354</v>
      </c>
      <c r="C5" s="703">
        <f>Обложка!$D$6</f>
        <v>45127</v>
      </c>
      <c r="D5" s="235"/>
      <c r="E5" s="235"/>
      <c r="F5" s="235"/>
      <c r="G5" s="235"/>
      <c r="H5" s="235" t="s">
        <v>103</v>
      </c>
      <c r="I5" s="235"/>
      <c r="J5" s="235"/>
      <c r="K5" s="235"/>
      <c r="L5" s="235"/>
      <c r="M5" s="1100">
        <f>Обложка!$D$8</f>
        <v>45133</v>
      </c>
      <c r="N5" s="1100"/>
      <c r="O5" s="1100"/>
      <c r="P5" s="1100"/>
      <c r="Q5" s="1100"/>
      <c r="R5" s="1100"/>
      <c r="S5" s="682"/>
      <c r="T5" s="682"/>
      <c r="U5" s="682"/>
      <c r="V5" s="682"/>
      <c r="W5" s="205" t="s">
        <v>189</v>
      </c>
      <c r="X5" s="205"/>
      <c r="Y5" s="205"/>
      <c r="Z5" s="205"/>
      <c r="AA5" s="205"/>
      <c r="AB5" s="204"/>
      <c r="AC5" s="204"/>
      <c r="AD5" s="204"/>
      <c r="AE5" s="204"/>
      <c r="AF5" s="204"/>
      <c r="AG5" s="205"/>
      <c r="AH5" s="205"/>
      <c r="AI5" s="205"/>
      <c r="AJ5" s="205"/>
      <c r="AK5" s="205"/>
      <c r="AL5" s="698"/>
      <c r="AM5" s="205"/>
    </row>
    <row r="6" spans="1:39" ht="3.75" customHeight="1" x14ac:dyDescent="0.25">
      <c r="A6" s="220"/>
      <c r="B6" s="206"/>
      <c r="C6" s="207"/>
      <c r="D6" s="208"/>
      <c r="E6" s="208"/>
      <c r="F6" s="208"/>
      <c r="G6" s="208"/>
      <c r="H6" s="208"/>
      <c r="I6" s="208"/>
      <c r="J6" s="208"/>
      <c r="K6" s="208"/>
      <c r="L6" s="208"/>
      <c r="M6" s="227"/>
      <c r="N6" s="682"/>
      <c r="O6" s="682"/>
      <c r="P6" s="682"/>
      <c r="Q6" s="682"/>
      <c r="R6" s="227"/>
      <c r="S6" s="682"/>
      <c r="T6" s="682"/>
      <c r="U6" s="682"/>
      <c r="V6" s="682"/>
      <c r="W6" s="205"/>
      <c r="X6" s="205"/>
      <c r="Y6" s="205"/>
      <c r="Z6" s="205"/>
      <c r="AA6" s="205"/>
      <c r="AB6" s="204"/>
      <c r="AC6" s="204"/>
      <c r="AD6" s="204"/>
      <c r="AE6" s="204"/>
      <c r="AF6" s="204"/>
      <c r="AG6" s="205"/>
      <c r="AH6" s="205"/>
      <c r="AI6" s="205"/>
      <c r="AJ6" s="205"/>
      <c r="AK6" s="205"/>
      <c r="AL6" s="698"/>
      <c r="AM6" s="205"/>
    </row>
    <row r="7" spans="1:39" x14ac:dyDescent="0.25">
      <c r="A7" s="220"/>
      <c r="B7" s="205" t="s">
        <v>347</v>
      </c>
      <c r="C7" s="205" t="s">
        <v>348</v>
      </c>
      <c r="D7" s="205"/>
      <c r="E7" s="205"/>
      <c r="F7" s="205"/>
      <c r="G7" s="205"/>
      <c r="H7" s="205"/>
      <c r="I7" s="205"/>
      <c r="J7" s="205"/>
      <c r="K7" s="205"/>
      <c r="L7" s="205"/>
      <c r="M7" s="205"/>
      <c r="N7" s="205"/>
      <c r="O7" s="205"/>
      <c r="P7" s="205"/>
      <c r="Q7" s="205"/>
      <c r="R7" s="205"/>
      <c r="S7" s="205"/>
      <c r="T7" s="205"/>
      <c r="U7" s="205"/>
      <c r="V7" s="205"/>
      <c r="W7" s="205"/>
      <c r="X7" s="205"/>
      <c r="Y7" s="205"/>
      <c r="Z7" s="205"/>
      <c r="AA7" s="205"/>
      <c r="AB7" s="209"/>
      <c r="AC7" s="209"/>
      <c r="AD7" s="209"/>
      <c r="AE7" s="209"/>
      <c r="AF7" s="209"/>
      <c r="AG7" s="205"/>
      <c r="AH7" s="205"/>
      <c r="AI7" s="205"/>
      <c r="AJ7" s="205"/>
      <c r="AK7" s="205"/>
      <c r="AL7" s="698"/>
      <c r="AM7" s="205"/>
    </row>
    <row r="8" spans="1:39" ht="3" customHeight="1" thickBot="1" x14ac:dyDescent="0.3">
      <c r="A8" s="221"/>
      <c r="B8" s="211"/>
      <c r="C8" s="210"/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  <c r="T8" s="204"/>
      <c r="U8" s="204"/>
      <c r="V8" s="204"/>
      <c r="W8" s="204"/>
      <c r="X8" s="204"/>
      <c r="Y8" s="204"/>
      <c r="Z8" s="204"/>
      <c r="AA8" s="204"/>
      <c r="AB8" s="204"/>
      <c r="AC8" s="204"/>
      <c r="AD8" s="204"/>
      <c r="AE8" s="204"/>
      <c r="AF8" s="204"/>
      <c r="AG8" s="205"/>
      <c r="AH8" s="205"/>
      <c r="AI8" s="205"/>
      <c r="AJ8" s="205"/>
      <c r="AK8" s="205"/>
      <c r="AL8" s="698"/>
      <c r="AM8" s="205"/>
    </row>
    <row r="9" spans="1:39" s="90" customFormat="1" ht="33" customHeight="1" x14ac:dyDescent="0.25">
      <c r="A9" s="1101" t="s">
        <v>129</v>
      </c>
      <c r="B9" s="1103" t="s">
        <v>130</v>
      </c>
      <c r="C9" s="1105" t="s">
        <v>1518</v>
      </c>
      <c r="D9" s="1107" t="s">
        <v>1405</v>
      </c>
      <c r="E9" s="1108"/>
      <c r="F9" s="1108"/>
      <c r="G9" s="1108"/>
      <c r="H9" s="1108"/>
      <c r="I9" s="1108"/>
      <c r="J9" s="1108"/>
      <c r="K9" s="1108"/>
      <c r="L9" s="1108"/>
      <c r="M9" s="1108"/>
      <c r="N9" s="1108"/>
      <c r="O9" s="1108"/>
      <c r="P9" s="1108"/>
      <c r="Q9" s="1108"/>
      <c r="R9" s="1108"/>
      <c r="S9" s="1108"/>
      <c r="T9" s="1108"/>
      <c r="U9" s="1108"/>
      <c r="V9" s="1108"/>
      <c r="W9" s="1108"/>
      <c r="X9" s="1108"/>
      <c r="Y9" s="1108"/>
      <c r="Z9" s="1108"/>
      <c r="AA9" s="1108"/>
      <c r="AB9" s="1108"/>
      <c r="AC9" s="1108"/>
      <c r="AD9" s="1108"/>
      <c r="AE9" s="1108"/>
      <c r="AF9" s="1108"/>
      <c r="AG9" s="1108"/>
      <c r="AH9" s="1108"/>
      <c r="AI9" s="1108"/>
      <c r="AJ9" s="1108"/>
      <c r="AK9" s="1108"/>
      <c r="AL9" s="1108"/>
      <c r="AM9" s="1109"/>
    </row>
    <row r="10" spans="1:39" s="90" customFormat="1" ht="15.75" customHeight="1" x14ac:dyDescent="0.25">
      <c r="A10" s="1102"/>
      <c r="B10" s="1104"/>
      <c r="C10" s="1106"/>
      <c r="D10" s="1091" t="s">
        <v>344</v>
      </c>
      <c r="E10" s="1092"/>
      <c r="F10" s="1092"/>
      <c r="G10" s="1092"/>
      <c r="H10" s="1093"/>
      <c r="I10" s="1091" t="s">
        <v>193</v>
      </c>
      <c r="J10" s="1092"/>
      <c r="K10" s="1092"/>
      <c r="L10" s="1092"/>
      <c r="M10" s="1093"/>
      <c r="N10" s="1091" t="s">
        <v>194</v>
      </c>
      <c r="O10" s="1092"/>
      <c r="P10" s="1092"/>
      <c r="Q10" s="1092"/>
      <c r="R10" s="1093"/>
      <c r="S10" s="1091" t="s">
        <v>195</v>
      </c>
      <c r="T10" s="1092"/>
      <c r="U10" s="1092"/>
      <c r="V10" s="1092"/>
      <c r="W10" s="1093"/>
      <c r="X10" s="1091" t="s">
        <v>196</v>
      </c>
      <c r="Y10" s="1092"/>
      <c r="Z10" s="1092"/>
      <c r="AA10" s="1092"/>
      <c r="AB10" s="1093"/>
      <c r="AC10" s="1091" t="s">
        <v>197</v>
      </c>
      <c r="AD10" s="1092"/>
      <c r="AE10" s="1092"/>
      <c r="AF10" s="1092"/>
      <c r="AG10" s="1093"/>
      <c r="AH10" s="1091" t="s">
        <v>345</v>
      </c>
      <c r="AI10" s="1092"/>
      <c r="AJ10" s="1092"/>
      <c r="AK10" s="1092"/>
      <c r="AL10" s="1093"/>
      <c r="AM10" s="239" t="s">
        <v>346</v>
      </c>
    </row>
    <row r="11" spans="1:39" s="242" customFormat="1" x14ac:dyDescent="0.25">
      <c r="A11" s="244"/>
      <c r="B11" s="245"/>
      <c r="C11" s="240"/>
      <c r="D11" s="1094">
        <f>Обложка!$D$12</f>
        <v>45127</v>
      </c>
      <c r="E11" s="1095"/>
      <c r="F11" s="1095"/>
      <c r="G11" s="1095"/>
      <c r="H11" s="1096"/>
      <c r="I11" s="1094">
        <f>Обложка!$F$12</f>
        <v>45128</v>
      </c>
      <c r="J11" s="1095"/>
      <c r="K11" s="1095"/>
      <c r="L11" s="1095"/>
      <c r="M11" s="1096"/>
      <c r="N11" s="1094">
        <f>Обложка!$H$12</f>
        <v>45129</v>
      </c>
      <c r="O11" s="1095"/>
      <c r="P11" s="1095"/>
      <c r="Q11" s="1095"/>
      <c r="R11" s="1096"/>
      <c r="S11" s="1094">
        <f>Обложка!$J$12</f>
        <v>45130</v>
      </c>
      <c r="T11" s="1095"/>
      <c r="U11" s="1095"/>
      <c r="V11" s="1095"/>
      <c r="W11" s="1096"/>
      <c r="X11" s="1094">
        <f>Обложка!$L$12</f>
        <v>45131</v>
      </c>
      <c r="Y11" s="1095"/>
      <c r="Z11" s="1095"/>
      <c r="AA11" s="1095"/>
      <c r="AB11" s="1096"/>
      <c r="AC11" s="1094">
        <f>Обложка!$N$12</f>
        <v>45132</v>
      </c>
      <c r="AD11" s="1095"/>
      <c r="AE11" s="1095"/>
      <c r="AF11" s="1095"/>
      <c r="AG11" s="1096"/>
      <c r="AH11" s="1094">
        <f>Обложка!$P$12</f>
        <v>45133</v>
      </c>
      <c r="AI11" s="1095"/>
      <c r="AJ11" s="1095"/>
      <c r="AK11" s="1095"/>
      <c r="AL11" s="1096"/>
      <c r="AM11" s="683"/>
    </row>
    <row r="12" spans="1:39" s="242" customFormat="1" x14ac:dyDescent="0.25">
      <c r="A12" s="244"/>
      <c r="B12" s="246"/>
      <c r="C12" s="243"/>
      <c r="D12" s="1097">
        <f>Обложка!$D$13</f>
        <v>311</v>
      </c>
      <c r="E12" s="1098"/>
      <c r="F12" s="1098"/>
      <c r="G12" s="1098"/>
      <c r="H12" s="1099"/>
      <c r="I12" s="1097">
        <f>Обложка!$F$13</f>
        <v>312</v>
      </c>
      <c r="J12" s="1098"/>
      <c r="K12" s="1098"/>
      <c r="L12" s="1098"/>
      <c r="M12" s="1099"/>
      <c r="N12" s="1097">
        <f>Обложка!$H$13</f>
        <v>313</v>
      </c>
      <c r="O12" s="1098"/>
      <c r="P12" s="1098"/>
      <c r="Q12" s="1098"/>
      <c r="R12" s="1099"/>
      <c r="S12" s="1097">
        <f>Обложка!J13</f>
        <v>314</v>
      </c>
      <c r="T12" s="1098"/>
      <c r="U12" s="1098"/>
      <c r="V12" s="1098"/>
      <c r="W12" s="1099"/>
      <c r="X12" s="1097">
        <f>Обложка!$L$13</f>
        <v>315</v>
      </c>
      <c r="Y12" s="1098"/>
      <c r="Z12" s="1098"/>
      <c r="AA12" s="1098"/>
      <c r="AB12" s="1099"/>
      <c r="AC12" s="1097">
        <f>Обложка!$N$13</f>
        <v>316</v>
      </c>
      <c r="AD12" s="1098"/>
      <c r="AE12" s="1098"/>
      <c r="AF12" s="1098"/>
      <c r="AG12" s="1099"/>
      <c r="AH12" s="1097">
        <f>Обложка!$P$13</f>
        <v>317</v>
      </c>
      <c r="AI12" s="1098"/>
      <c r="AJ12" s="1098"/>
      <c r="AK12" s="1098"/>
      <c r="AL12" s="1099"/>
      <c r="AM12" s="241"/>
    </row>
    <row r="13" spans="1:39" x14ac:dyDescent="0.25">
      <c r="A13" s="247">
        <v>1</v>
      </c>
      <c r="B13" s="248" t="str">
        <f>инфо!D2</f>
        <v>Горох</v>
      </c>
      <c r="C13" s="694">
        <f>SUMIF(Меню!$J$8:$FD$8,$B13,Меню!$J$333:$FD$333)</f>
        <v>103</v>
      </c>
      <c r="D13" s="212">
        <f>IF($B13="Яйцо (шт)",SUMIF(Меню!$J$8:$FD$8,$B13,Меню!$J$28:$FD$28)*Обложка!$D$15/60,SUMIF(Меню!$J$8:$FD$8,$B13,Меню!$J$28:$FD$28)/1000*Обложка!$D$15)</f>
        <v>0</v>
      </c>
      <c r="E13" s="212">
        <f>IF($B13="Яйцо (шт)",SUMIF(Меню!$J$8:$FD$8,$B13,Меню!$J$43:$FD$43)*Обложка!$D$16/60,SUMIF(Меню!$J$8:$FD$8,$B13,Меню!$J$43:$FD$43)/1000*Обложка!$D$16)</f>
        <v>0</v>
      </c>
      <c r="F13" s="212">
        <f>IF($B13="Яйцо (шт)",SUMIF(Меню!$J$8:$FD$8,$B13,Меню!$J$56:$FD$56)*Обложка!$D$17/60,SUMIF(Меню!$J$8:$FD$8,$B13,Меню!$J$56:$FD$56)/1000*Обложка!$D$17)</f>
        <v>0</v>
      </c>
      <c r="G13" s="212">
        <f>IF($B13="Яйцо (шт)",SUMIF(Меню!$J$8:$FD$8,$B13,Меню!$J$61:$FD$61)*Обложка!$D$18/60,SUMIF(Меню!$J$8:$FD$8,$B13,Меню!$J$61:$FD$61)/1000*Обложка!$D$18)</f>
        <v>0</v>
      </c>
      <c r="H13" s="685">
        <f>SUM(D13:G13)</f>
        <v>0</v>
      </c>
      <c r="I13" s="212">
        <f>IF($B13="Яйцо (шт)",SUMIF(Меню!$J$8:$FD$8,$B13,Меню!$J$73:$FD$73)*Обложка!$F$15/60,SUMIF(Меню!$J$8:$FD$8,$B13,Меню!$J$73:$FD$73)/1000*Обложка!$F$15)</f>
        <v>0</v>
      </c>
      <c r="J13" s="212">
        <f>IF($B13="Яйцо (шт)",SUMIF(Меню!$J$8:$FD$8,$B13,Меню!$J$88:$FD$88)*Обложка!$F$16/60,SUMIF(Меню!$J$8:$FD$8,$B13,Меню!$J$88:$FD$88)/1000*Обложка!$G$16)</f>
        <v>0</v>
      </c>
      <c r="K13" s="212">
        <f>IF($B13="Яйцо (шт)",SUMIF(Меню!$J$8:$FD$8,$B13,Меню!$J$101:$FD$101)*Обложка!$F$17/60,SUMIF(Меню!$J$8:$FD$8,$B13,Меню!$J$101:$FD$101)/1000*Обложка!$F$17)</f>
        <v>10.790000000000001</v>
      </c>
      <c r="L13" s="212">
        <f>IF($B13="Яйцо (шт)",SUMIF(Меню!$J$8:$FD$8,$B13,Меню!$J$106:$FD$106)*Обложка!$F$18/60,SUMIF(Меню!$J$8:$FD$8,$B13,Меню!$J$106:$FD$106)/1000*Обложка!$F$18)</f>
        <v>0</v>
      </c>
      <c r="M13" s="685">
        <f>SUM(I13:L13)</f>
        <v>10.790000000000001</v>
      </c>
      <c r="N13" s="212">
        <f>IF($B13="Яйцо (шт)",SUMIF(Меню!$J$8:$EZ$8,$B13,Меню!$J$118:$EZ$118)*Обложка!$H$15/60,SUMIF(Меню!$J$8:$EZ$8,$B13,Меню!$J$118:$EZ$118)/1000*Обложка!$H$15)</f>
        <v>0</v>
      </c>
      <c r="O13" s="212">
        <f>IF($B13="Яйцо (шт)",SUMIF(Меню!$J$8:$EZ$8,$B13,Меню!$J$133:$EZ$133)*Обложка!$H$16/60,SUMIF(Меню!$J$8:$EZ$8,$B13,Меню!$J$133:$EZ$133)/1000*Обложка!$H$16)</f>
        <v>0</v>
      </c>
      <c r="P13" s="212">
        <f>IF($B13="Яйцо (шт)",SUMIF(Меню!$J$8:$EZ$8,$B13,Меню!$J$146:$EZ$146)*Обложка!$H$17/60,SUMIF(Меню!$J$8:$EZ$8,$B13,Меню!$J$146:$EZ$146)/1000*Обложка!$H$17)</f>
        <v>0</v>
      </c>
      <c r="Q13" s="212">
        <f>IF($B13="Яйцо (шт)",SUMIF(Меню!$J$8:$EZ$8,$B13,Меню!$J$151:$EZ$151)*Обложка!$H$18/60,SUMIF(Меню!$J$8:$EZ$8,$B13,Меню!$J$151:$EZ$151)/1000*Обложка!$H$18)</f>
        <v>0</v>
      </c>
      <c r="R13" s="685">
        <f>SUM(N13:Q13)</f>
        <v>0</v>
      </c>
      <c r="S13" s="212">
        <f>IF($B13="Яйцо (шт)",SUMIF(Меню!$J$8:$EZ$8,$B13,Меню!$J$163:$EZ$163)*Обложка!$J$15/60,SUMIF(Меню!$J$8:$EZ$8,$B13,Меню!$J$163:$EZ$163)/1000*Обложка!$J$15)</f>
        <v>0</v>
      </c>
      <c r="T13" s="212">
        <f>IF($B13="Яйцо (шт)",SUMIF(Меню!$J$8:$EZ$8,$B13,Меню!$J$178:$EZ$178)*Обложка!$J$16/60,SUMIF(Меню!$J$8:$EZ$8,$B13,Меню!$J$178:$EZ$178)/1000*Обложка!$J$16)</f>
        <v>0</v>
      </c>
      <c r="U13" s="212">
        <f>IF($B13="Яйцо (шт)",SUMIF(Меню!$J$8:$EZ$8,$B13,Меню!$J$191:$EZ$191)*Обложка!$J$17/60,SUMIF(Меню!$J$8:$EZ$8,$B13,Меню!$J$191:$EZ$191)/1000*Обложка!$J$17)</f>
        <v>1.96</v>
      </c>
      <c r="V13" s="212">
        <f>IF($B13="Яйцо (шт)",SUMIF(Меню!$J$8:$EZ$8,$B13,Меню!$J$196:$EZ$196)*Обложка!$J$18/60,SUMIF(Меню!$J$8:$EZ$8,$B13,Меню!$J$196:$EZ$196)/1000*Обложка!$J$18)</f>
        <v>0</v>
      </c>
      <c r="W13" s="685">
        <f>SUM(S13:V13)</f>
        <v>1.96</v>
      </c>
      <c r="X13" s="212">
        <f>IF($B13="Яйцо (шт)",SUMIF(Меню!$J$8:$EZ$8,$B13,Меню!$J$208:$EZ$208)*Обложка!$L$15/60,SUMIF(Меню!$J$8:$EZ$8,$B13,Меню!$J$208:$EZ$208)/1000*Обложка!$L$15)</f>
        <v>0</v>
      </c>
      <c r="Y13" s="212">
        <f>IF($B13="Яйцо (шт)",SUMIF(Меню!$J$8:$EZ$8,$B13,Меню!$J$223:$EZ$223)*Обложка!$L$16/60,SUMIF(Меню!$J$8:$EZ$8,$B13,Меню!$J$223:$EZ$223)/1000*Обложка!$J$16)</f>
        <v>0</v>
      </c>
      <c r="Z13" s="212">
        <f>IF($B13="Яйцо (шт)",SUMIF(Меню!$J$8:$EZ$8,$B13,Меню!$J$236:$EZ$236)*Обложка!$L$17/60,SUMIF(Меню!$J$8:$EZ$8,$B13,Меню!$J$236:$EZ$236)/1000*Обложка!$L$17)</f>
        <v>0</v>
      </c>
      <c r="AA13" s="212">
        <f>IF($B13="Яйцо (шт)",SUMIF(Меню!$J$8:$EZ$8,$B13,Меню!$J$241:$EZ$241)*Обложка!$L$18/60,SUMIF(Меню!$J$8:$EZ$8,$B13,Меню!$J$241:$EZ$241)/1000*Обложка!$L$18)</f>
        <v>0</v>
      </c>
      <c r="AB13" s="685">
        <f>SUM(X13:AA13)</f>
        <v>0</v>
      </c>
      <c r="AC13" s="212">
        <f>IF($B13="Яйцо (шт)",SUMIF(Меню!$J$8:$EZ$8,$B13,Меню!$J$253:$EZ$253)*Обложка!$N$15/60,SUMIF(Меню!$J$8:$EZ$8,$B13,Меню!$J$253:$EZ$253)/1000*Обложка!$N$15)</f>
        <v>0</v>
      </c>
      <c r="AD13" s="212">
        <f>IF($B13="Яйцо (шт)",SUMIF(Меню!$J$8:$EZ$8,$B13,Меню!$J$268:$EZ$268)*Обложка!$N$16/60,SUMIF(Меню!$J$8:$EZ$8,$B13,Меню!$J$268:$EZ$268)/1000*Обложка!$N$16)</f>
        <v>0</v>
      </c>
      <c r="AE13" s="212">
        <f>IF($B13="Яйцо (шт)",SUMIF(Меню!$J$8:$EZ$8,$B13,Меню!$J$281:$EZ$281)*Обложка!$N$17/60,SUMIF(Меню!$J$8:$EZ$8,$B13,Меню!$J$281:$EZ$281)/1000*Обложка!$N$17)</f>
        <v>0</v>
      </c>
      <c r="AF13" s="212">
        <f>IF($B13="Яйцо (шт)",SUMIF(Меню!$J$8:$EZ$8,$B13,Меню!$J$286:$EZ$286)*Обложка!$N$18/60,SUMIF(Меню!$J$8:$EZ$8,$B13,Меню!$J$286:$EZ$286)/1000*Обложка!$N$18)</f>
        <v>0</v>
      </c>
      <c r="AG13" s="685">
        <f>SUM(AC13:AF13)</f>
        <v>0</v>
      </c>
      <c r="AH13" s="212">
        <f>IF($B13="Яйцо (шт)",SUMIF(Меню!$J$8:$EZ$8,$B13,Меню!$J$298:$EZ$298)*Обложка!$P$15/60,SUMIF(Меню!$J$8:$EZ$8,$B13,Меню!$J$298:$EZ$298)/1000*Обложка!$P$15)</f>
        <v>0</v>
      </c>
      <c r="AI13" s="212">
        <f>IF($B13="Яйцо (шт)",SUMIF(Меню!$J$8:$EZ$8,$BB13,Меню!$J$313:$EZ$313)*Обложка!$P$16/60,SUMIF(Меню!$J$8:$EZ$8,$B13,Меню!$J$313:$EZ$313)/1000*Обложка!$P$16)</f>
        <v>0</v>
      </c>
      <c r="AJ13" s="212">
        <f>IF($B13="Яйцо (шт)",SUMIF(Меню!$J$8:$EZ$8,$B13,Меню!$J$326:$EZ$326)*Обложка!$P$17/60,SUMIF(Меню!$J$8:$EZ$8,$B13,Меню!$J$326:$EZ$326)/1000*Обложка!$P$17)</f>
        <v>0</v>
      </c>
      <c r="AK13" s="212">
        <f>IF($B13="Яйцо (шт)",SUMIF(Меню!$J$8:$EZ$8,$B13,Меню!$J$331:$EZ$331)*Обложка!$P$18/60,SUMIF(Меню!$J$8:$EZ$8,$B13,Меню!$J$331:$EZ$331)/1000*Обложка!$P$18)</f>
        <v>0</v>
      </c>
      <c r="AL13" s="699">
        <f>SUM(AH13:AK13)</f>
        <v>0</v>
      </c>
      <c r="AM13" s="685">
        <f>SUM(H13,M13,R13,W13,AB13,AG13,AL13)</f>
        <v>12.75</v>
      </c>
    </row>
    <row r="14" spans="1:39" x14ac:dyDescent="0.25">
      <c r="A14" s="249">
        <f>A13+1</f>
        <v>2</v>
      </c>
      <c r="B14" s="248" t="str">
        <f>инфо!D3</f>
        <v>Гречневая</v>
      </c>
      <c r="C14" s="694">
        <f>SUMIF(Меню!$J$8:$FD$8,$B14,Меню!$J$333:$FD$333)</f>
        <v>460</v>
      </c>
      <c r="D14" s="212">
        <f>IF($B14="Яйцо (шт)",SUMIF(Меню!$J$8:$FD$8,$B14,Меню!$J$28:$FD$28)*Обложка!$D$15/60,SUMIF(Меню!$J$8:$FD$8,$B14,Меню!$J$28:$FD$28)/1000*Обложка!$D$15)</f>
        <v>0</v>
      </c>
      <c r="E14" s="212">
        <f>IF($B14="Яйцо (шт)",SUMIF(Меню!$J$8:$FD$8,$B14,Меню!$J$43:$FD$43)*Обложка!$D$16/60,SUMIF(Меню!$J$8:$FD$8,$B14,Меню!$J$43:$FD$43)/1000*Обложка!$D$16)</f>
        <v>13.176</v>
      </c>
      <c r="F14" s="212">
        <f>IF($B14="Яйцо (шт)",SUMIF(Меню!$J$8:$FD$8,$B14,Меню!$J$56:$FD$56)*Обложка!$D$17/60,SUMIF(Меню!$J$8:$FD$8,$B14,Меню!$J$56:$FD$56)/1000*Обложка!$D$17)</f>
        <v>10.126000000000001</v>
      </c>
      <c r="G14" s="212">
        <f>IF($B14="Яйцо (шт)",SUMIF(Меню!$J$8:$FD$8,$B14,Меню!$J$61:$FD$61)*Обложка!$D$18/60,SUMIF(Меню!$J$8:$FD$8,$B14,Меню!$J$61:$FD$61)/1000*Обложка!$D$18)</f>
        <v>0</v>
      </c>
      <c r="H14" s="685">
        <f t="shared" ref="H14:H77" si="0">SUM(D14:G14)</f>
        <v>23.302</v>
      </c>
      <c r="I14" s="212">
        <f>IF($B14="Яйцо (шт)",SUMIF(Меню!$J$8:$FD$8,$B14,Меню!$J$73:$FD$73)*Обложка!$F$15/60,SUMIF(Меню!$J$8:$FD$8,$B14,Меню!$J$73:$FD$73)/1000*Обложка!$F$15)</f>
        <v>0</v>
      </c>
      <c r="J14" s="212">
        <f>IF($B14="Яйцо (шт)",SUMIF(Меню!$J$8:$FD$8,$B14,Меню!$J$88:$FD$88)*Обложка!$F$16/60,SUMIF(Меню!$J$8:$FD$8,$B14,Меню!$J$88:$FD$88)/1000*Обложка!$G$16)</f>
        <v>0</v>
      </c>
      <c r="K14" s="212">
        <f>IF($B14="Яйцо (шт)",SUMIF(Меню!$J$8:$FD$8,$B14,Меню!$J$101:$FD$101)*Обложка!$F$17/60,SUMIF(Меню!$J$8:$FD$8,$B14,Меню!$J$101:$FD$101)/1000*Обложка!$F$17)</f>
        <v>2.6</v>
      </c>
      <c r="L14" s="212">
        <f>IF($B14="Яйцо (шт)",SUMIF(Меню!$J$8:$FD$8,$B14,Меню!$J$106:$FD$106)*Обложка!$F$18/60,SUMIF(Меню!$J$8:$FD$8,$B14,Меню!$J$106:$FD$106)/1000*Обложка!$F$18)</f>
        <v>0</v>
      </c>
      <c r="M14" s="685">
        <f t="shared" ref="M14:M77" si="1">SUM(I14:L14)</f>
        <v>2.6</v>
      </c>
      <c r="N14" s="212">
        <f>IF($B14="Яйцо (шт)",SUMIF(Меню!$J$8:$EZ$8,$B14,Меню!$J$118:$EZ$118)*Обложка!$H$15/60,SUMIF(Меню!$J$8:$EZ$8,$B14,Меню!$J$118:$EZ$118)/1000*Обложка!$H$15)</f>
        <v>0</v>
      </c>
      <c r="O14" s="212">
        <f>IF($B14="Яйцо (шт)",SUMIF(Меню!$J$8:$EZ$8,$B14,Меню!$J$133:$EZ$133)*Обложка!$H$16/60,SUMIF(Меню!$J$8:$EZ$8,$B14,Меню!$J$133:$EZ$133)/1000*Обложка!$H$16)</f>
        <v>0</v>
      </c>
      <c r="P14" s="212">
        <f>IF($B14="Яйцо (шт)",SUMIF(Меню!$J$8:$EZ$8,$B14,Меню!$J$146:$EZ$146)*Обложка!$H$17/60,SUMIF(Меню!$J$8:$EZ$8,$B14,Меню!$J$146:$EZ$146)/1000*Обложка!$H$17)</f>
        <v>0</v>
      </c>
      <c r="Q14" s="212">
        <f>IF($B14="Яйцо (шт)",SUMIF(Меню!$J$8:$EZ$8,$B14,Меню!$J$151:$EZ$151)*Обложка!$H$18/60,SUMIF(Меню!$J$8:$EZ$8,$B14,Меню!$J$151:$EZ$151)/1000*Обложка!$H$18)</f>
        <v>0</v>
      </c>
      <c r="R14" s="685">
        <f t="shared" ref="R14:R77" si="2">SUM(N14:Q14)</f>
        <v>0</v>
      </c>
      <c r="S14" s="212">
        <f>IF($B14="Яйцо (шт)",SUMIF(Меню!$J$8:$EZ$8,$B14,Меню!$J$163:$EZ$163)*Обложка!$J$15/60,SUMIF(Меню!$J$8:$EZ$8,$B14,Меню!$J$163:$EZ$163)/1000*Обложка!$J$15)</f>
        <v>8.7149999999999999</v>
      </c>
      <c r="T14" s="212">
        <f>IF($B14="Яйцо (шт)",SUMIF(Меню!$J$8:$EZ$8,$B14,Меню!$J$178:$EZ$178)*Обложка!$J$16/60,SUMIF(Меню!$J$8:$EZ$8,$B14,Меню!$J$178:$EZ$178)/1000*Обложка!$J$16)</f>
        <v>0</v>
      </c>
      <c r="U14" s="212">
        <f>IF($B14="Яйцо (шт)",SUMIF(Меню!$J$8:$EZ$8,$B14,Меню!$J$191:$EZ$191)*Обложка!$J$17/60,SUMIF(Меню!$J$8:$EZ$8,$B14,Меню!$J$191:$EZ$191)/1000*Обложка!$J$17)</f>
        <v>8.1340000000000003</v>
      </c>
      <c r="V14" s="212">
        <f>IF($B14="Яйцо (шт)",SUMIF(Меню!$J$8:$EZ$8,$B14,Меню!$J$196:$EZ$196)*Обложка!$J$18/60,SUMIF(Меню!$J$8:$EZ$8,$B14,Меню!$J$196:$EZ$196)/1000*Обложка!$J$18)</f>
        <v>0</v>
      </c>
      <c r="W14" s="685">
        <f t="shared" ref="W14:W77" si="3">SUM(S14:V14)</f>
        <v>16.849</v>
      </c>
      <c r="X14" s="212">
        <f>IF($B14="Яйцо (шт)",SUMIF(Меню!$J$8:$EZ$8,$B14,Меню!$J$208:$EZ$208)*Обложка!$L$15/60,SUMIF(Меню!$J$8:$EZ$8,$B14,Меню!$J$208:$EZ$208)/1000*Обложка!$L$15)</f>
        <v>0</v>
      </c>
      <c r="Y14" s="212">
        <f>IF($B14="Яйцо (шт)",SUMIF(Меню!$J$8:$EZ$8,$B14,Меню!$J$223:$EZ$223)*Обложка!$L$16/60,SUMIF(Меню!$J$8:$EZ$8,$B14,Меню!$J$223:$EZ$223)/1000*Обложка!$J$16)</f>
        <v>8.3000000000000007</v>
      </c>
      <c r="Z14" s="212">
        <f>IF($B14="Яйцо (шт)",SUMIF(Меню!$J$8:$EZ$8,$B14,Меню!$J$236:$EZ$236)*Обложка!$L$17/60,SUMIF(Меню!$J$8:$EZ$8,$B14,Меню!$J$236:$EZ$236)/1000*Обложка!$L$17)</f>
        <v>0</v>
      </c>
      <c r="AA14" s="212">
        <f>IF($B14="Яйцо (шт)",SUMIF(Меню!$J$8:$EZ$8,$B14,Меню!$J$241:$EZ$241)*Обложка!$L$18/60,SUMIF(Меню!$J$8:$EZ$8,$B14,Меню!$J$241:$EZ$241)/1000*Обложка!$L$18)</f>
        <v>0</v>
      </c>
      <c r="AB14" s="685">
        <f t="shared" ref="AB14:AB77" si="4">SUM(X14:AA14)</f>
        <v>8.3000000000000007</v>
      </c>
      <c r="AC14" s="212">
        <f>IF($B14="Яйцо (шт)",SUMIF(Меню!$J$8:$EZ$8,$B14,Меню!$J$253:$EZ$253)*Обложка!$N$15/60,SUMIF(Меню!$J$8:$EZ$8,$B14,Меню!$J$253:$EZ$253)/1000*Обложка!$N$15)</f>
        <v>0</v>
      </c>
      <c r="AD14" s="212">
        <f>IF($B14="Яйцо (шт)",SUMIF(Меню!$J$8:$EZ$8,$B14,Меню!$J$268:$EZ$268)*Обложка!$N$16/60,SUMIF(Меню!$J$8:$EZ$8,$B14,Меню!$J$268:$EZ$268)/1000*Обложка!$N$16)</f>
        <v>0</v>
      </c>
      <c r="AE14" s="212">
        <f>IF($B14="Яйцо (шт)",SUMIF(Меню!$J$8:$EZ$8,$B14,Меню!$J$281:$EZ$281)*Обложка!$N$17/60,SUMIF(Меню!$J$8:$EZ$8,$B14,Меню!$J$281:$EZ$281)/1000*Обложка!$N$17)</f>
        <v>0</v>
      </c>
      <c r="AF14" s="212">
        <f>IF($B14="Яйцо (шт)",SUMIF(Меню!$J$8:$EZ$8,$B14,Меню!$J$286:$EZ$286)*Обложка!$N$18/60,SUMIF(Меню!$J$8:$EZ$8,$B14,Меню!$J$286:$EZ$286)/1000*Обложка!$N$18)</f>
        <v>0</v>
      </c>
      <c r="AG14" s="685">
        <f t="shared" ref="AG14:AG77" si="5">SUM(AC14:AF14)</f>
        <v>0</v>
      </c>
      <c r="AH14" s="212">
        <f>IF($B14="Яйцо (шт)",SUMIF(Меню!$J$8:$EZ$8,$B14,Меню!$J$298:$EZ$298)*Обложка!$P$15/60,SUMIF(Меню!$J$8:$EZ$8,$B14,Меню!$J$298:$EZ$298)/1000*Обложка!$P$15)</f>
        <v>0</v>
      </c>
      <c r="AI14" s="212">
        <f>IF($B14="Яйцо (шт)",SUMIF(Меню!$J$8:$EZ$8,$BB14,Меню!$J$313:$EZ$313)*Обложка!$P$16/60,SUMIF(Меню!$J$8:$EZ$8,$B14,Меню!$J$313:$EZ$313)/1000*Обложка!$P$16)</f>
        <v>0</v>
      </c>
      <c r="AJ14" s="212">
        <f>IF($B14="Яйцо (шт)",SUMIF(Меню!$J$8:$EZ$8,$B14,Меню!$J$326:$EZ$326)*Обложка!$P$17/60,SUMIF(Меню!$J$8:$EZ$8,$B14,Меню!$J$326:$EZ$326)/1000*Обложка!$P$17)</f>
        <v>0</v>
      </c>
      <c r="AK14" s="212">
        <f>IF($B14="Яйцо (шт)",SUMIF(Меню!$J$8:$EZ$8,$B14,Меню!$J$331:$EZ$331)*Обложка!$P$18/60,SUMIF(Меню!$J$8:$EZ$8,$B14,Меню!$J$331:$EZ$331)/1000*Обложка!$P$18)</f>
        <v>0</v>
      </c>
      <c r="AL14" s="699">
        <f t="shared" ref="AL14:AL77" si="6">SUM(AH14:AK14)</f>
        <v>0</v>
      </c>
      <c r="AM14" s="685">
        <f t="shared" ref="AM14:AM77" si="7">SUM(H14,M14,R14,W14,AB14,AG14,AL14)</f>
        <v>51.051000000000002</v>
      </c>
    </row>
    <row r="15" spans="1:39" x14ac:dyDescent="0.25">
      <c r="A15" s="249">
        <f t="shared" ref="A15:A78" si="8">A14+1</f>
        <v>3</v>
      </c>
      <c r="B15" s="248" t="str">
        <f>инфо!D4</f>
        <v>Манная</v>
      </c>
      <c r="C15" s="694">
        <f>SUMIF(Меню!$J$8:$FD$8,$B15,Меню!$J$333:$FD$333)</f>
        <v>0</v>
      </c>
      <c r="D15" s="212">
        <f>IF($B15="Яйцо (шт)",SUMIF(Меню!$J$8:$FD$8,$B15,Меню!$J$28:$FD$28)*Обложка!$D$15/60,SUMIF(Меню!$J$8:$FD$8,$B15,Меню!$J$28:$FD$28)/1000*Обложка!$D$15)</f>
        <v>0</v>
      </c>
      <c r="E15" s="212">
        <f>IF($B15="Яйцо (шт)",SUMIF(Меню!$J$8:$FD$8,$B15,Меню!$J$43:$FD$43)*Обложка!$D$16/60,SUMIF(Меню!$J$8:$FD$8,$B15,Меню!$J$43:$FD$43)/1000*Обложка!$D$16)</f>
        <v>0</v>
      </c>
      <c r="F15" s="212">
        <f>IF($B15="Яйцо (шт)",SUMIF(Меню!$J$8:$FD$8,$B15,Меню!$J$56:$FD$56)*Обложка!$D$17/60,SUMIF(Меню!$J$8:$FD$8,$B15,Меню!$J$56:$FD$56)/1000*Обложка!$D$17)</f>
        <v>0</v>
      </c>
      <c r="G15" s="212">
        <f>IF($B15="Яйцо (шт)",SUMIF(Меню!$J$8:$FD$8,$B15,Меню!$J$61:$FD$61)*Обложка!$D$18/60,SUMIF(Меню!$J$8:$FD$8,$B15,Меню!$J$61:$FD$61)/1000*Обложка!$D$18)</f>
        <v>0</v>
      </c>
      <c r="H15" s="685">
        <f t="shared" si="0"/>
        <v>0</v>
      </c>
      <c r="I15" s="212">
        <f>IF($B15="Яйцо (шт)",SUMIF(Меню!$J$8:$FD$8,$B15,Меню!$J$73:$FD$73)*Обложка!$F$15/60,SUMIF(Меню!$J$8:$FD$8,$B15,Меню!$J$73:$FD$73)/1000*Обложка!$F$15)</f>
        <v>0</v>
      </c>
      <c r="J15" s="212">
        <f>IF($B15="Яйцо (шт)",SUMIF(Меню!$J$8:$FD$8,$B15,Меню!$J$88:$FD$88)*Обложка!$F$16/60,SUMIF(Меню!$J$8:$FD$8,$B15,Меню!$J$88:$FD$88)/1000*Обложка!$G$16)</f>
        <v>0</v>
      </c>
      <c r="K15" s="212">
        <f>IF($B15="Яйцо (шт)",SUMIF(Меню!$J$8:$FD$8,$B15,Меню!$J$101:$FD$101)*Обложка!$F$17/60,SUMIF(Меню!$J$8:$FD$8,$B15,Меню!$J$101:$FD$101)/1000*Обложка!$F$17)</f>
        <v>0</v>
      </c>
      <c r="L15" s="212">
        <f>IF($B15="Яйцо (шт)",SUMIF(Меню!$J$8:$FD$8,$B15,Меню!$J$106:$FD$106)*Обложка!$F$18/60,SUMIF(Меню!$J$8:$FD$8,$B15,Меню!$J$106:$FD$106)/1000*Обложка!$F$18)</f>
        <v>0</v>
      </c>
      <c r="M15" s="685">
        <f t="shared" si="1"/>
        <v>0</v>
      </c>
      <c r="N15" s="212">
        <f>IF($B15="Яйцо (шт)",SUMIF(Меню!$J$8:$EZ$8,$B15,Меню!$J$118:$EZ$118)*Обложка!$H$15/60,SUMIF(Меню!$J$8:$EZ$8,$B15,Меню!$J$118:$EZ$118)/1000*Обложка!$H$15)</f>
        <v>0</v>
      </c>
      <c r="O15" s="212">
        <f>IF($B15="Яйцо (шт)",SUMIF(Меню!$J$8:$EZ$8,$B15,Меню!$J$133:$EZ$133)*Обложка!$H$16/60,SUMIF(Меню!$J$8:$EZ$8,$B15,Меню!$J$133:$EZ$133)/1000*Обложка!$H$16)</f>
        <v>0</v>
      </c>
      <c r="P15" s="212">
        <f>IF($B15="Яйцо (шт)",SUMIF(Меню!$J$8:$EZ$8,$B15,Меню!$J$146:$EZ$146)*Обложка!$H$17/60,SUMIF(Меню!$J$8:$EZ$8,$B15,Меню!$J$146:$EZ$146)/1000*Обложка!$H$17)</f>
        <v>0</v>
      </c>
      <c r="Q15" s="212">
        <f>IF($B15="Яйцо (шт)",SUMIF(Меню!$J$8:$EZ$8,$B15,Меню!$J$151:$EZ$151)*Обложка!$H$18/60,SUMIF(Меню!$J$8:$EZ$8,$B15,Меню!$J$151:$EZ$151)/1000*Обложка!$H$18)</f>
        <v>0</v>
      </c>
      <c r="R15" s="685">
        <f t="shared" si="2"/>
        <v>0</v>
      </c>
      <c r="S15" s="212">
        <f>IF($B15="Яйцо (шт)",SUMIF(Меню!$J$8:$EZ$8,$B15,Меню!$J$163:$EZ$163)*Обложка!$J$15/60,SUMIF(Меню!$J$8:$EZ$8,$B15,Меню!$J$163:$EZ$163)/1000*Обложка!$J$15)</f>
        <v>0</v>
      </c>
      <c r="T15" s="212">
        <f>IF($B15="Яйцо (шт)",SUMIF(Меню!$J$8:$EZ$8,$B15,Меню!$J$178:$EZ$178)*Обложка!$J$16/60,SUMIF(Меню!$J$8:$EZ$8,$B15,Меню!$J$178:$EZ$178)/1000*Обложка!$J$16)</f>
        <v>0</v>
      </c>
      <c r="U15" s="212">
        <f>IF($B15="Яйцо (шт)",SUMIF(Меню!$J$8:$EZ$8,$B15,Меню!$J$191:$EZ$191)*Обложка!$J$17/60,SUMIF(Меню!$J$8:$EZ$8,$B15,Меню!$J$191:$EZ$191)/1000*Обложка!$J$17)</f>
        <v>0</v>
      </c>
      <c r="V15" s="212">
        <f>IF($B15="Яйцо (шт)",SUMIF(Меню!$J$8:$EZ$8,$B15,Меню!$J$196:$EZ$196)*Обложка!$J$18/60,SUMIF(Меню!$J$8:$EZ$8,$B15,Меню!$J$196:$EZ$196)/1000*Обложка!$J$18)</f>
        <v>0</v>
      </c>
      <c r="W15" s="685">
        <f t="shared" si="3"/>
        <v>0</v>
      </c>
      <c r="X15" s="212">
        <f>IF($B15="Яйцо (шт)",SUMIF(Меню!$J$8:$EZ$8,$B15,Меню!$J$208:$EZ$208)*Обложка!$L$15/60,SUMIF(Меню!$J$8:$EZ$8,$B15,Меню!$J$208:$EZ$208)/1000*Обложка!$L$15)</f>
        <v>0</v>
      </c>
      <c r="Y15" s="212">
        <f>IF($B15="Яйцо (шт)",SUMIF(Меню!$J$8:$EZ$8,$B15,Меню!$J$223:$EZ$223)*Обложка!$L$16/60,SUMIF(Меню!$J$8:$EZ$8,$B15,Меню!$J$223:$EZ$223)/1000*Обложка!$J$16)</f>
        <v>0</v>
      </c>
      <c r="Z15" s="212">
        <f>IF($B15="Яйцо (шт)",SUMIF(Меню!$J$8:$EZ$8,$B15,Меню!$J$236:$EZ$236)*Обложка!$L$17/60,SUMIF(Меню!$J$8:$EZ$8,$B15,Меню!$J$236:$EZ$236)/1000*Обложка!$L$17)</f>
        <v>0</v>
      </c>
      <c r="AA15" s="212">
        <f>IF($B15="Яйцо (шт)",SUMIF(Меню!$J$8:$EZ$8,$B15,Меню!$J$241:$EZ$241)*Обложка!$L$18/60,SUMIF(Меню!$J$8:$EZ$8,$B15,Меню!$J$241:$EZ$241)/1000*Обложка!$L$18)</f>
        <v>0</v>
      </c>
      <c r="AB15" s="685">
        <f t="shared" si="4"/>
        <v>0</v>
      </c>
      <c r="AC15" s="212">
        <f>IF($B15="Яйцо (шт)",SUMIF(Меню!$J$8:$EZ$8,$B15,Меню!$J$253:$EZ$253)*Обложка!$N$15/60,SUMIF(Меню!$J$8:$EZ$8,$B15,Меню!$J$253:$EZ$253)/1000*Обложка!$N$15)</f>
        <v>0</v>
      </c>
      <c r="AD15" s="212">
        <f>IF($B15="Яйцо (шт)",SUMIF(Меню!$J$8:$EZ$8,$B15,Меню!$J$268:$EZ$268)*Обложка!$N$16/60,SUMIF(Меню!$J$8:$EZ$8,$B15,Меню!$J$268:$EZ$268)/1000*Обложка!$N$16)</f>
        <v>0</v>
      </c>
      <c r="AE15" s="212">
        <f>IF($B15="Яйцо (шт)",SUMIF(Меню!$J$8:$EZ$8,$B15,Меню!$J$281:$EZ$281)*Обложка!$N$17/60,SUMIF(Меню!$J$8:$EZ$8,$B15,Меню!$J$281:$EZ$281)/1000*Обложка!$N$17)</f>
        <v>0</v>
      </c>
      <c r="AF15" s="212">
        <f>IF($B15="Яйцо (шт)",SUMIF(Меню!$J$8:$EZ$8,$B15,Меню!$J$286:$EZ$286)*Обложка!$N$18/60,SUMIF(Меню!$J$8:$EZ$8,$B15,Меню!$J$286:$EZ$286)/1000*Обложка!$N$18)</f>
        <v>0</v>
      </c>
      <c r="AG15" s="685">
        <f t="shared" si="5"/>
        <v>0</v>
      </c>
      <c r="AH15" s="212">
        <f>IF($B15="Яйцо (шт)",SUMIF(Меню!$J$8:$EZ$8,$B15,Меню!$J$298:$EZ$298)*Обложка!$P$15/60,SUMIF(Меню!$J$8:$EZ$8,$B15,Меню!$J$298:$EZ$298)/1000*Обложка!$P$15)</f>
        <v>0</v>
      </c>
      <c r="AI15" s="212">
        <f>IF($B15="Яйцо (шт)",SUMIF(Меню!$J$8:$EZ$8,$BB15,Меню!$J$313:$EZ$313)*Обложка!$P$16/60,SUMIF(Меню!$J$8:$EZ$8,$B15,Меню!$J$313:$EZ$313)/1000*Обложка!$P$16)</f>
        <v>0</v>
      </c>
      <c r="AJ15" s="212">
        <f>IF($B15="Яйцо (шт)",SUMIF(Меню!$J$8:$EZ$8,$B15,Меню!$J$326:$EZ$326)*Обложка!$P$17/60,SUMIF(Меню!$J$8:$EZ$8,$B15,Меню!$J$326:$EZ$326)/1000*Обложка!$P$17)</f>
        <v>0</v>
      </c>
      <c r="AK15" s="212">
        <f>IF($B15="Яйцо (шт)",SUMIF(Меню!$J$8:$EZ$8,$B15,Меню!$J$331:$EZ$331)*Обложка!$P$18/60,SUMIF(Меню!$J$8:$EZ$8,$B15,Меню!$J$331:$EZ$331)/1000*Обложка!$P$18)</f>
        <v>0</v>
      </c>
      <c r="AL15" s="699">
        <f t="shared" si="6"/>
        <v>0</v>
      </c>
      <c r="AM15" s="685">
        <f t="shared" si="7"/>
        <v>0</v>
      </c>
    </row>
    <row r="16" spans="1:39" x14ac:dyDescent="0.25">
      <c r="A16" s="249">
        <f t="shared" si="8"/>
        <v>4</v>
      </c>
      <c r="B16" s="248" t="str">
        <f>инфо!D5</f>
        <v>Овсяная</v>
      </c>
      <c r="C16" s="694">
        <f>SUMIF(Меню!$J$8:$FD$8,$B16,Меню!$J$333:$FD$333)</f>
        <v>166</v>
      </c>
      <c r="D16" s="212">
        <f>IF($B16="Яйцо (шт)",SUMIF(Меню!$J$8:$FD$8,$B16,Меню!$J$28:$FD$28)*Обложка!$D$15/60,SUMIF(Меню!$J$8:$FD$8,$B16,Меню!$J$28:$FD$28)/1000*Обложка!$D$15)</f>
        <v>10.126000000000001</v>
      </c>
      <c r="E16" s="212">
        <f>IF($B16="Яйцо (шт)",SUMIF(Меню!$J$8:$FD$8,$B16,Меню!$J$43:$FD$43)*Обложка!$D$16/60,SUMIF(Меню!$J$8:$FD$8,$B16,Меню!$J$43:$FD$43)/1000*Обложка!$D$16)</f>
        <v>0</v>
      </c>
      <c r="F16" s="212">
        <f>IF($B16="Яйцо (шт)",SUMIF(Меню!$J$8:$FD$8,$B16,Меню!$J$56:$FD$56)*Обложка!$D$17/60,SUMIF(Меню!$J$8:$FD$8,$B16,Меню!$J$56:$FD$56)/1000*Обложка!$D$17)</f>
        <v>0</v>
      </c>
      <c r="G16" s="212">
        <f>IF($B16="Яйцо (шт)",SUMIF(Меню!$J$8:$FD$8,$B16,Меню!$J$61:$FD$61)*Обложка!$D$18/60,SUMIF(Меню!$J$8:$FD$8,$B16,Меню!$J$61:$FD$61)/1000*Обложка!$D$18)</f>
        <v>0</v>
      </c>
      <c r="H16" s="685">
        <f t="shared" si="0"/>
        <v>10.126000000000001</v>
      </c>
      <c r="I16" s="212">
        <f>IF($B16="Яйцо (шт)",SUMIF(Меню!$J$8:$FD$8,$B16,Меню!$J$73:$FD$73)*Обложка!$F$15/60,SUMIF(Меню!$J$8:$FD$8,$B16,Меню!$J$73:$FD$73)/1000*Обложка!$F$15)</f>
        <v>0</v>
      </c>
      <c r="J16" s="212">
        <f>IF($B16="Яйцо (шт)",SUMIF(Меню!$J$8:$FD$8,$B16,Меню!$J$88:$FD$88)*Обложка!$F$16/60,SUMIF(Меню!$J$8:$FD$8,$B16,Меню!$J$88:$FD$88)/1000*Обложка!$G$16)</f>
        <v>0</v>
      </c>
      <c r="K16" s="212">
        <f>IF($B16="Яйцо (шт)",SUMIF(Меню!$J$8:$FD$8,$B16,Меню!$J$101:$FD$101)*Обложка!$F$17/60,SUMIF(Меню!$J$8:$FD$8,$B16,Меню!$J$101:$FD$101)/1000*Обложка!$F$17)</f>
        <v>0</v>
      </c>
      <c r="L16" s="212">
        <f>IF($B16="Яйцо (шт)",SUMIF(Меню!$J$8:$FD$8,$B16,Меню!$J$106:$FD$106)*Обложка!$F$18/60,SUMIF(Меню!$J$8:$FD$8,$B16,Меню!$J$106:$FD$106)/1000*Обложка!$F$18)</f>
        <v>0</v>
      </c>
      <c r="M16" s="685">
        <f t="shared" si="1"/>
        <v>0</v>
      </c>
      <c r="N16" s="212">
        <f>IF($B16="Яйцо (шт)",SUMIF(Меню!$J$8:$EZ$8,$B16,Меню!$J$118:$EZ$118)*Обложка!$H$15/60,SUMIF(Меню!$J$8:$EZ$8,$B16,Меню!$J$118:$EZ$118)/1000*Обложка!$H$15)</f>
        <v>0</v>
      </c>
      <c r="O16" s="212">
        <f>IF($B16="Яйцо (шт)",SUMIF(Меню!$J$8:$EZ$8,$B16,Меню!$J$133:$EZ$133)*Обложка!$H$16/60,SUMIF(Меню!$J$8:$EZ$8,$B16,Меню!$J$133:$EZ$133)/1000*Обложка!$H$16)</f>
        <v>0</v>
      </c>
      <c r="P16" s="212">
        <f>IF($B16="Яйцо (шт)",SUMIF(Меню!$J$8:$EZ$8,$B16,Меню!$J$146:$EZ$146)*Обложка!$H$17/60,SUMIF(Меню!$J$8:$EZ$8,$B16,Меню!$J$146:$EZ$146)/1000*Обложка!$H$17)</f>
        <v>0</v>
      </c>
      <c r="Q16" s="212">
        <f>IF($B16="Яйцо (шт)",SUMIF(Меню!$J$8:$EZ$8,$B16,Меню!$J$151:$EZ$151)*Обложка!$H$18/60,SUMIF(Меню!$J$8:$EZ$8,$B16,Меню!$J$151:$EZ$151)/1000*Обложка!$H$18)</f>
        <v>0</v>
      </c>
      <c r="R16" s="685">
        <f t="shared" si="2"/>
        <v>0</v>
      </c>
      <c r="S16" s="212">
        <f>IF($B16="Яйцо (шт)",SUMIF(Меню!$J$8:$EZ$8,$B16,Меню!$J$163:$EZ$163)*Обложка!$J$15/60,SUMIF(Меню!$J$8:$EZ$8,$B16,Меню!$J$163:$EZ$163)/1000*Обложка!$J$15)</f>
        <v>0</v>
      </c>
      <c r="T16" s="212">
        <f>IF($B16="Яйцо (шт)",SUMIF(Меню!$J$8:$EZ$8,$B16,Меню!$J$178:$EZ$178)*Обложка!$J$16/60,SUMIF(Меню!$J$8:$EZ$8,$B16,Меню!$J$178:$EZ$178)/1000*Обложка!$J$16)</f>
        <v>0</v>
      </c>
      <c r="U16" s="212">
        <f>IF($B16="Яйцо (шт)",SUMIF(Меню!$J$8:$EZ$8,$B16,Меню!$J$191:$EZ$191)*Обложка!$J$17/60,SUMIF(Меню!$J$8:$EZ$8,$B16,Меню!$J$191:$EZ$191)/1000*Обложка!$J$17)</f>
        <v>0</v>
      </c>
      <c r="V16" s="212">
        <f>IF($B16="Яйцо (шт)",SUMIF(Меню!$J$8:$EZ$8,$B16,Меню!$J$196:$EZ$196)*Обложка!$J$18/60,SUMIF(Меню!$J$8:$EZ$8,$B16,Меню!$J$196:$EZ$196)/1000*Обложка!$J$18)</f>
        <v>0</v>
      </c>
      <c r="W16" s="685">
        <f t="shared" si="3"/>
        <v>0</v>
      </c>
      <c r="X16" s="212">
        <f>IF($B16="Яйцо (шт)",SUMIF(Меню!$J$8:$EZ$8,$B16,Меню!$J$208:$EZ$208)*Обложка!$L$15/60,SUMIF(Меню!$J$8:$EZ$8,$B16,Меню!$J$208:$EZ$208)/1000*Обложка!$L$15)</f>
        <v>0</v>
      </c>
      <c r="Y16" s="212">
        <f>IF($B16="Яйцо (шт)",SUMIF(Меню!$J$8:$EZ$8,$B16,Меню!$J$223:$EZ$223)*Обложка!$L$16/60,SUMIF(Меню!$J$8:$EZ$8,$B16,Меню!$J$223:$EZ$223)/1000*Обложка!$J$16)</f>
        <v>0</v>
      </c>
      <c r="Z16" s="212">
        <f>IF($B16="Яйцо (шт)",SUMIF(Меню!$J$8:$EZ$8,$B16,Меню!$J$236:$EZ$236)*Обложка!$L$17/60,SUMIF(Меню!$J$8:$EZ$8,$B16,Меню!$J$236:$EZ$236)/1000*Обложка!$L$17)</f>
        <v>0</v>
      </c>
      <c r="AA16" s="212">
        <f>IF($B16="Яйцо (шт)",SUMIF(Меню!$J$8:$EZ$8,$B16,Меню!$J$241:$EZ$241)*Обложка!$L$18/60,SUMIF(Меню!$J$8:$EZ$8,$B16,Меню!$J$241:$EZ$241)/1000*Обложка!$L$18)</f>
        <v>0</v>
      </c>
      <c r="AB16" s="685">
        <f t="shared" si="4"/>
        <v>0</v>
      </c>
      <c r="AC16" s="212">
        <f>IF($B16="Яйцо (шт)",SUMIF(Меню!$J$8:$EZ$8,$B16,Меню!$J$253:$EZ$253)*Обложка!$N$15/60,SUMIF(Меню!$J$8:$EZ$8,$B16,Меню!$J$253:$EZ$253)/1000*Обложка!$N$15)</f>
        <v>0</v>
      </c>
      <c r="AD16" s="212">
        <f>IF($B16="Яйцо (шт)",SUMIF(Меню!$J$8:$EZ$8,$B16,Меню!$J$268:$EZ$268)*Обложка!$N$16/60,SUMIF(Меню!$J$8:$EZ$8,$B16,Меню!$J$268:$EZ$268)/1000*Обложка!$N$16)</f>
        <v>0</v>
      </c>
      <c r="AE16" s="212">
        <f>IF($B16="Яйцо (шт)",SUMIF(Меню!$J$8:$EZ$8,$B16,Меню!$J$281:$EZ$281)*Обложка!$N$17/60,SUMIF(Меню!$J$8:$EZ$8,$B16,Меню!$J$281:$EZ$281)/1000*Обложка!$N$17)</f>
        <v>0</v>
      </c>
      <c r="AF16" s="212">
        <f>IF($B16="Яйцо (шт)",SUMIF(Меню!$J$8:$EZ$8,$B16,Меню!$J$286:$EZ$286)*Обложка!$N$18/60,SUMIF(Меню!$J$8:$EZ$8,$B16,Меню!$J$286:$EZ$286)/1000*Обложка!$N$18)</f>
        <v>0</v>
      </c>
      <c r="AG16" s="685">
        <f t="shared" si="5"/>
        <v>0</v>
      </c>
      <c r="AH16" s="212">
        <f>IF($B16="Яйцо (шт)",SUMIF(Меню!$J$8:$EZ$8,$B16,Меню!$J$298:$EZ$298)*Обложка!$P$15/60,SUMIF(Меню!$J$8:$EZ$8,$B16,Меню!$J$298:$EZ$298)/1000*Обложка!$P$15)</f>
        <v>1.6600000000000001</v>
      </c>
      <c r="AI16" s="212">
        <f>IF($B16="Яйцо (шт)",SUMIF(Меню!$J$8:$EZ$8,$BB16,Меню!$J$313:$EZ$313)*Обложка!$P$16/60,SUMIF(Меню!$J$8:$EZ$8,$B16,Меню!$J$313:$EZ$313)/1000*Обложка!$P$16)</f>
        <v>0</v>
      </c>
      <c r="AJ16" s="212">
        <f>IF($B16="Яйцо (шт)",SUMIF(Меню!$J$8:$EZ$8,$B16,Меню!$J$326:$EZ$326)*Обложка!$P$17/60,SUMIF(Меню!$J$8:$EZ$8,$B16,Меню!$J$326:$EZ$326)/1000*Обложка!$P$17)</f>
        <v>0</v>
      </c>
      <c r="AK16" s="212">
        <f>IF($B16="Яйцо (шт)",SUMIF(Меню!$J$8:$EZ$8,$B16,Меню!$J$331:$EZ$331)*Обложка!$P$18/60,SUMIF(Меню!$J$8:$EZ$8,$B16,Меню!$J$331:$EZ$331)/1000*Обложка!$P$18)</f>
        <v>0</v>
      </c>
      <c r="AL16" s="699">
        <f t="shared" si="6"/>
        <v>1.6600000000000001</v>
      </c>
      <c r="AM16" s="685">
        <f t="shared" si="7"/>
        <v>11.786000000000001</v>
      </c>
    </row>
    <row r="17" spans="1:39" x14ac:dyDescent="0.25">
      <c r="A17" s="249">
        <f t="shared" si="8"/>
        <v>5</v>
      </c>
      <c r="B17" s="248" t="str">
        <f>инфо!D6</f>
        <v>Пшеничная</v>
      </c>
      <c r="C17" s="694">
        <f>SUMIF(Меню!$J$8:$FD$8,$B17,Меню!$J$333:$FD$333)</f>
        <v>0</v>
      </c>
      <c r="D17" s="212">
        <f>IF($B17="Яйцо (шт)",SUMIF(Меню!$J$8:$FD$8,$B17,Меню!$J$28:$FD$28)*Обложка!$D$15/60,SUMIF(Меню!$J$8:$FD$8,$B17,Меню!$J$28:$FD$28)/1000*Обложка!$D$15)</f>
        <v>0</v>
      </c>
      <c r="E17" s="212">
        <f>IF($B17="Яйцо (шт)",SUMIF(Меню!$J$8:$FD$8,$B17,Меню!$J$43:$FD$43)*Обложка!$D$16/60,SUMIF(Меню!$J$8:$FD$8,$B17,Меню!$J$43:$FD$43)/1000*Обложка!$D$16)</f>
        <v>0</v>
      </c>
      <c r="F17" s="212">
        <f>IF($B17="Яйцо (шт)",SUMIF(Меню!$J$8:$FD$8,$B17,Меню!$J$56:$FD$56)*Обложка!$D$17/60,SUMIF(Меню!$J$8:$FD$8,$B17,Меню!$J$56:$FD$56)/1000*Обложка!$D$17)</f>
        <v>0</v>
      </c>
      <c r="G17" s="212">
        <f>IF($B17="Яйцо (шт)",SUMIF(Меню!$J$8:$FD$8,$B17,Меню!$J$61:$FD$61)*Обложка!$D$18/60,SUMIF(Меню!$J$8:$FD$8,$B17,Меню!$J$61:$FD$61)/1000*Обложка!$D$18)</f>
        <v>0</v>
      </c>
      <c r="H17" s="685">
        <f t="shared" si="0"/>
        <v>0</v>
      </c>
      <c r="I17" s="212">
        <f>IF($B17="Яйцо (шт)",SUMIF(Меню!$J$8:$FD$8,$B17,Меню!$J$73:$FD$73)*Обложка!$F$15/60,SUMIF(Меню!$J$8:$FD$8,$B17,Меню!$J$73:$FD$73)/1000*Обложка!$F$15)</f>
        <v>0</v>
      </c>
      <c r="J17" s="212">
        <f>IF($B17="Яйцо (шт)",SUMIF(Меню!$J$8:$FD$8,$B17,Меню!$J$88:$FD$88)*Обложка!$F$16/60,SUMIF(Меню!$J$8:$FD$8,$B17,Меню!$J$88:$FD$88)/1000*Обложка!$G$16)</f>
        <v>0</v>
      </c>
      <c r="K17" s="212">
        <f>IF($B17="Яйцо (шт)",SUMIF(Меню!$J$8:$FD$8,$B17,Меню!$J$101:$FD$101)*Обложка!$F$17/60,SUMIF(Меню!$J$8:$FD$8,$B17,Меню!$J$101:$FD$101)/1000*Обложка!$F$17)</f>
        <v>0</v>
      </c>
      <c r="L17" s="212">
        <f>IF($B17="Яйцо (шт)",SUMIF(Меню!$J$8:$FD$8,$B17,Меню!$J$106:$FD$106)*Обложка!$F$18/60,SUMIF(Меню!$J$8:$FD$8,$B17,Меню!$J$106:$FD$106)/1000*Обложка!$F$18)</f>
        <v>0</v>
      </c>
      <c r="M17" s="685">
        <f t="shared" si="1"/>
        <v>0</v>
      </c>
      <c r="N17" s="212">
        <f>IF($B17="Яйцо (шт)",SUMIF(Меню!$J$8:$EZ$8,$B17,Меню!$J$118:$EZ$118)*Обложка!$H$15/60,SUMIF(Меню!$J$8:$EZ$8,$B17,Меню!$J$118:$EZ$118)/1000*Обложка!$H$15)</f>
        <v>0</v>
      </c>
      <c r="O17" s="212">
        <f>IF($B17="Яйцо (шт)",SUMIF(Меню!$J$8:$EZ$8,$B17,Меню!$J$133:$EZ$133)*Обложка!$H$16/60,SUMIF(Меню!$J$8:$EZ$8,$B17,Меню!$J$133:$EZ$133)/1000*Обложка!$H$16)</f>
        <v>0</v>
      </c>
      <c r="P17" s="212">
        <f>IF($B17="Яйцо (шт)",SUMIF(Меню!$J$8:$EZ$8,$B17,Меню!$J$146:$EZ$146)*Обложка!$H$17/60,SUMIF(Меню!$J$8:$EZ$8,$B17,Меню!$J$146:$EZ$146)/1000*Обложка!$H$17)</f>
        <v>0</v>
      </c>
      <c r="Q17" s="212">
        <f>IF($B17="Яйцо (шт)",SUMIF(Меню!$J$8:$EZ$8,$B17,Меню!$J$151:$EZ$151)*Обложка!$H$18/60,SUMIF(Меню!$J$8:$EZ$8,$B17,Меню!$J$151:$EZ$151)/1000*Обложка!$H$18)</f>
        <v>0</v>
      </c>
      <c r="R17" s="685">
        <f t="shared" si="2"/>
        <v>0</v>
      </c>
      <c r="S17" s="212">
        <f>IF($B17="Яйцо (шт)",SUMIF(Меню!$J$8:$EZ$8,$B17,Меню!$J$163:$EZ$163)*Обложка!$J$15/60,SUMIF(Меню!$J$8:$EZ$8,$B17,Меню!$J$163:$EZ$163)/1000*Обложка!$J$15)</f>
        <v>0</v>
      </c>
      <c r="T17" s="212">
        <f>IF($B17="Яйцо (шт)",SUMIF(Меню!$J$8:$EZ$8,$B17,Меню!$J$178:$EZ$178)*Обложка!$J$16/60,SUMIF(Меню!$J$8:$EZ$8,$B17,Меню!$J$178:$EZ$178)/1000*Обложка!$J$16)</f>
        <v>0</v>
      </c>
      <c r="U17" s="212">
        <f>IF($B17="Яйцо (шт)",SUMIF(Меню!$J$8:$EZ$8,$B17,Меню!$J$191:$EZ$191)*Обложка!$J$17/60,SUMIF(Меню!$J$8:$EZ$8,$B17,Меню!$J$191:$EZ$191)/1000*Обложка!$J$17)</f>
        <v>0</v>
      </c>
      <c r="V17" s="212">
        <f>IF($B17="Яйцо (шт)",SUMIF(Меню!$J$8:$EZ$8,$B17,Меню!$J$196:$EZ$196)*Обложка!$J$18/60,SUMIF(Меню!$J$8:$EZ$8,$B17,Меню!$J$196:$EZ$196)/1000*Обложка!$J$18)</f>
        <v>0</v>
      </c>
      <c r="W17" s="685">
        <f t="shared" si="3"/>
        <v>0</v>
      </c>
      <c r="X17" s="212">
        <f>IF($B17="Яйцо (шт)",SUMIF(Меню!$J$8:$EZ$8,$B17,Меню!$J$208:$EZ$208)*Обложка!$L$15/60,SUMIF(Меню!$J$8:$EZ$8,$B17,Меню!$J$208:$EZ$208)/1000*Обложка!$L$15)</f>
        <v>0</v>
      </c>
      <c r="Y17" s="212">
        <f>IF($B17="Яйцо (шт)",SUMIF(Меню!$J$8:$EZ$8,$B17,Меню!$J$223:$EZ$223)*Обложка!$L$16/60,SUMIF(Меню!$J$8:$EZ$8,$B17,Меню!$J$223:$EZ$223)/1000*Обложка!$J$16)</f>
        <v>0</v>
      </c>
      <c r="Z17" s="212">
        <f>IF($B17="Яйцо (шт)",SUMIF(Меню!$J$8:$EZ$8,$B17,Меню!$J$236:$EZ$236)*Обложка!$L$17/60,SUMIF(Меню!$J$8:$EZ$8,$B17,Меню!$J$236:$EZ$236)/1000*Обложка!$L$17)</f>
        <v>0</v>
      </c>
      <c r="AA17" s="212">
        <f>IF($B17="Яйцо (шт)",SUMIF(Меню!$J$8:$EZ$8,$B17,Меню!$J$241:$EZ$241)*Обложка!$L$18/60,SUMIF(Меню!$J$8:$EZ$8,$B17,Меню!$J$241:$EZ$241)/1000*Обложка!$L$18)</f>
        <v>0</v>
      </c>
      <c r="AB17" s="685">
        <f t="shared" si="4"/>
        <v>0</v>
      </c>
      <c r="AC17" s="212">
        <f>IF($B17="Яйцо (шт)",SUMIF(Меню!$J$8:$EZ$8,$B17,Меню!$J$253:$EZ$253)*Обложка!$N$15/60,SUMIF(Меню!$J$8:$EZ$8,$B17,Меню!$J$253:$EZ$253)/1000*Обложка!$N$15)</f>
        <v>0</v>
      </c>
      <c r="AD17" s="212">
        <f>IF($B17="Яйцо (шт)",SUMIF(Меню!$J$8:$EZ$8,$B17,Меню!$J$268:$EZ$268)*Обложка!$N$16/60,SUMIF(Меню!$J$8:$EZ$8,$B17,Меню!$J$268:$EZ$268)/1000*Обложка!$N$16)</f>
        <v>0</v>
      </c>
      <c r="AE17" s="212">
        <f>IF($B17="Яйцо (шт)",SUMIF(Меню!$J$8:$EZ$8,$B17,Меню!$J$281:$EZ$281)*Обложка!$N$17/60,SUMIF(Меню!$J$8:$EZ$8,$B17,Меню!$J$281:$EZ$281)/1000*Обложка!$N$17)</f>
        <v>0</v>
      </c>
      <c r="AF17" s="212">
        <f>IF($B17="Яйцо (шт)",SUMIF(Меню!$J$8:$EZ$8,$B17,Меню!$J$286:$EZ$286)*Обложка!$N$18/60,SUMIF(Меню!$J$8:$EZ$8,$B17,Меню!$J$286:$EZ$286)/1000*Обложка!$N$18)</f>
        <v>0</v>
      </c>
      <c r="AG17" s="685">
        <f t="shared" si="5"/>
        <v>0</v>
      </c>
      <c r="AH17" s="212">
        <f>IF($B17="Яйцо (шт)",SUMIF(Меню!$J$8:$EZ$8,$B17,Меню!$J$298:$EZ$298)*Обложка!$P$15/60,SUMIF(Меню!$J$8:$EZ$8,$B17,Меню!$J$298:$EZ$298)/1000*Обложка!$P$15)</f>
        <v>0</v>
      </c>
      <c r="AI17" s="212">
        <f>IF($B17="Яйцо (шт)",SUMIF(Меню!$J$8:$EZ$8,$BB17,Меню!$J$313:$EZ$313)*Обложка!$P$16/60,SUMIF(Меню!$J$8:$EZ$8,$B17,Меню!$J$313:$EZ$313)/1000*Обложка!$P$16)</f>
        <v>0</v>
      </c>
      <c r="AJ17" s="212">
        <f>IF($B17="Яйцо (шт)",SUMIF(Меню!$J$8:$EZ$8,$B17,Меню!$J$326:$EZ$326)*Обложка!$P$17/60,SUMIF(Меню!$J$8:$EZ$8,$B17,Меню!$J$326:$EZ$326)/1000*Обложка!$P$17)</f>
        <v>0</v>
      </c>
      <c r="AK17" s="212">
        <f>IF($B17="Яйцо (шт)",SUMIF(Меню!$J$8:$EZ$8,$B17,Меню!$J$331:$EZ$331)*Обложка!$P$18/60,SUMIF(Меню!$J$8:$EZ$8,$B17,Меню!$J$331:$EZ$331)/1000*Обложка!$P$18)</f>
        <v>0</v>
      </c>
      <c r="AL17" s="699">
        <f t="shared" si="6"/>
        <v>0</v>
      </c>
      <c r="AM17" s="685">
        <f t="shared" si="7"/>
        <v>0</v>
      </c>
    </row>
    <row r="18" spans="1:39" x14ac:dyDescent="0.25">
      <c r="A18" s="249">
        <f t="shared" si="8"/>
        <v>6</v>
      </c>
      <c r="B18" s="248" t="str">
        <f>инфо!D7</f>
        <v>Перловая</v>
      </c>
      <c r="C18" s="694">
        <f>SUMIF(Меню!$J$8:$FD$8,$B18,Меню!$J$333:$FD$333)</f>
        <v>211</v>
      </c>
      <c r="D18" s="212">
        <f>IF($B18="Яйцо (шт)",SUMIF(Меню!$J$8:$FD$8,$B18,Меню!$J$28:$FD$28)*Обложка!$D$15/60,SUMIF(Меню!$J$8:$FD$8,$B18,Меню!$J$28:$FD$28)/1000*Обложка!$D$15)</f>
        <v>0</v>
      </c>
      <c r="E18" s="212">
        <f>IF($B18="Яйцо (шт)",SUMIF(Меню!$J$8:$FD$8,$B18,Меню!$J$43:$FD$43)*Обложка!$D$16/60,SUMIF(Меню!$J$8:$FD$8,$B18,Меню!$J$43:$FD$43)/1000*Обложка!$D$16)</f>
        <v>0</v>
      </c>
      <c r="F18" s="212">
        <f>IF($B18="Яйцо (шт)",SUMIF(Меню!$J$8:$FD$8,$B18,Меню!$J$56:$FD$56)*Обложка!$D$17/60,SUMIF(Меню!$J$8:$FD$8,$B18,Меню!$J$56:$FD$56)/1000*Обложка!$D$17)</f>
        <v>0.61</v>
      </c>
      <c r="G18" s="212">
        <f>IF($B18="Яйцо (шт)",SUMIF(Меню!$J$8:$FD$8,$B18,Меню!$J$61:$FD$61)*Обложка!$D$18/60,SUMIF(Меню!$J$8:$FD$8,$B18,Меню!$J$61:$FD$61)/1000*Обложка!$D$18)</f>
        <v>0</v>
      </c>
      <c r="H18" s="685">
        <f t="shared" si="0"/>
        <v>0.61</v>
      </c>
      <c r="I18" s="212">
        <f>IF($B18="Яйцо (шт)",SUMIF(Меню!$J$8:$FD$8,$B18,Меню!$J$73:$FD$73)*Обложка!$F$15/60,SUMIF(Меню!$J$8:$FD$8,$B18,Меню!$J$73:$FD$73)/1000*Обложка!$F$15)</f>
        <v>10.624000000000001</v>
      </c>
      <c r="J18" s="212">
        <f>IF($B18="Яйцо (шт)",SUMIF(Меню!$J$8:$FD$8,$B18,Меню!$J$88:$FD$88)*Обложка!$F$16/60,SUMIF(Меню!$J$8:$FD$8,$B18,Меню!$J$88:$FD$88)/1000*Обложка!$G$16)</f>
        <v>0.44</v>
      </c>
      <c r="K18" s="212">
        <f>IF($B18="Яйцо (шт)",SUMIF(Меню!$J$8:$FD$8,$B18,Меню!$J$101:$FD$101)*Обложка!$F$17/60,SUMIF(Меню!$J$8:$FD$8,$B18,Меню!$J$101:$FD$101)/1000*Обложка!$F$17)</f>
        <v>0</v>
      </c>
      <c r="L18" s="212">
        <f>IF($B18="Яйцо (шт)",SUMIF(Меню!$J$8:$FD$8,$B18,Меню!$J$106:$FD$106)*Обложка!$F$18/60,SUMIF(Меню!$J$8:$FD$8,$B18,Меню!$J$106:$FD$106)/1000*Обложка!$F$18)</f>
        <v>0</v>
      </c>
      <c r="M18" s="685">
        <f t="shared" si="1"/>
        <v>11.064</v>
      </c>
      <c r="N18" s="212">
        <f>IF($B18="Яйцо (шт)",SUMIF(Меню!$J$8:$EZ$8,$B18,Меню!$J$118:$EZ$118)*Обложка!$H$15/60,SUMIF(Меню!$J$8:$EZ$8,$B18,Меню!$J$118:$EZ$118)/1000*Обложка!$H$15)</f>
        <v>0</v>
      </c>
      <c r="O18" s="212">
        <f>IF($B18="Яйцо (шт)",SUMIF(Меню!$J$8:$EZ$8,$B18,Меню!$J$133:$EZ$133)*Обложка!$H$16/60,SUMIF(Меню!$J$8:$EZ$8,$B18,Меню!$J$133:$EZ$133)/1000*Обложка!$H$16)</f>
        <v>0</v>
      </c>
      <c r="P18" s="212">
        <f>IF($B18="Яйцо (шт)",SUMIF(Меню!$J$8:$EZ$8,$B18,Меню!$J$146:$EZ$146)*Обложка!$H$17/60,SUMIF(Меню!$J$8:$EZ$8,$B18,Меню!$J$146:$EZ$146)/1000*Обложка!$H$17)</f>
        <v>2.3000000000000003</v>
      </c>
      <c r="Q18" s="212">
        <f>IF($B18="Яйцо (шт)",SUMIF(Меню!$J$8:$EZ$8,$B18,Меню!$J$151:$EZ$151)*Обложка!$H$18/60,SUMIF(Меню!$J$8:$EZ$8,$B18,Меню!$J$151:$EZ$151)/1000*Обложка!$H$18)</f>
        <v>0</v>
      </c>
      <c r="R18" s="685">
        <f t="shared" si="2"/>
        <v>2.3000000000000003</v>
      </c>
      <c r="S18" s="212">
        <f>IF($B18="Яйцо (шт)",SUMIF(Меню!$J$8:$EZ$8,$B18,Меню!$J$163:$EZ$163)*Обложка!$J$15/60,SUMIF(Меню!$J$8:$EZ$8,$B18,Меню!$J$163:$EZ$163)/1000*Обложка!$J$15)</f>
        <v>0</v>
      </c>
      <c r="T18" s="212">
        <f>IF($B18="Яйцо (шт)",SUMIF(Меню!$J$8:$EZ$8,$B18,Меню!$J$178:$EZ$178)*Обложка!$J$16/60,SUMIF(Меню!$J$8:$EZ$8,$B18,Меню!$J$178:$EZ$178)/1000*Обложка!$J$16)</f>
        <v>0</v>
      </c>
      <c r="U18" s="212">
        <f>IF($B18="Яйцо (шт)",SUMIF(Меню!$J$8:$EZ$8,$B18,Меню!$J$191:$EZ$191)*Обложка!$J$17/60,SUMIF(Меню!$J$8:$EZ$8,$B18,Меню!$J$191:$EZ$191)/1000*Обложка!$J$17)</f>
        <v>0</v>
      </c>
      <c r="V18" s="212">
        <f>IF($B18="Яйцо (шт)",SUMIF(Меню!$J$8:$EZ$8,$B18,Меню!$J$196:$EZ$196)*Обложка!$J$18/60,SUMIF(Меню!$J$8:$EZ$8,$B18,Меню!$J$196:$EZ$196)/1000*Обложка!$J$18)</f>
        <v>0</v>
      </c>
      <c r="W18" s="685">
        <f t="shared" si="3"/>
        <v>0</v>
      </c>
      <c r="X18" s="212">
        <f>IF($B18="Яйцо (шт)",SUMIF(Меню!$J$8:$EZ$8,$B18,Меню!$J$208:$EZ$208)*Обложка!$L$15/60,SUMIF(Меню!$J$8:$EZ$8,$B18,Меню!$J$208:$EZ$208)/1000*Обложка!$L$15)</f>
        <v>0</v>
      </c>
      <c r="Y18" s="212">
        <f>IF($B18="Яйцо (шт)",SUMIF(Меню!$J$8:$EZ$8,$B18,Меню!$J$223:$EZ$223)*Обложка!$L$16/60,SUMIF(Меню!$J$8:$EZ$8,$B18,Меню!$J$223:$EZ$223)/1000*Обложка!$J$16)</f>
        <v>0</v>
      </c>
      <c r="Z18" s="212">
        <f>IF($B18="Яйцо (шт)",SUMIF(Меню!$J$8:$EZ$8,$B18,Меню!$J$236:$EZ$236)*Обложка!$L$17/60,SUMIF(Меню!$J$8:$EZ$8,$B18,Меню!$J$236:$EZ$236)/1000*Обложка!$L$17)</f>
        <v>0</v>
      </c>
      <c r="AA18" s="212">
        <f>IF($B18="Яйцо (шт)",SUMIF(Меню!$J$8:$EZ$8,$B18,Меню!$J$241:$EZ$241)*Обложка!$L$18/60,SUMIF(Меню!$J$8:$EZ$8,$B18,Меню!$J$241:$EZ$241)/1000*Обложка!$L$18)</f>
        <v>0</v>
      </c>
      <c r="AB18" s="685">
        <f t="shared" si="4"/>
        <v>0</v>
      </c>
      <c r="AC18" s="212">
        <f>IF($B18="Яйцо (шт)",SUMIF(Меню!$J$8:$EZ$8,$B18,Меню!$J$253:$EZ$253)*Обложка!$N$15/60,SUMIF(Меню!$J$8:$EZ$8,$B18,Меню!$J$253:$EZ$253)/1000*Обложка!$N$15)</f>
        <v>0</v>
      </c>
      <c r="AD18" s="212">
        <f>IF($B18="Яйцо (шт)",SUMIF(Меню!$J$8:$EZ$8,$B18,Меню!$J$268:$EZ$268)*Обложка!$N$16/60,SUMIF(Меню!$J$8:$EZ$8,$B18,Меню!$J$268:$EZ$268)/1000*Обложка!$N$16)</f>
        <v>0</v>
      </c>
      <c r="AE18" s="212">
        <f>IF($B18="Яйцо (шт)",SUMIF(Меню!$J$8:$EZ$8,$B18,Меню!$J$281:$EZ$281)*Обложка!$N$17/60,SUMIF(Меню!$J$8:$EZ$8,$B18,Меню!$J$281:$EZ$281)/1000*Обложка!$N$17)</f>
        <v>3.7350000000000003</v>
      </c>
      <c r="AF18" s="212">
        <f>IF($B18="Яйцо (шт)",SUMIF(Меню!$J$8:$EZ$8,$B18,Меню!$J$286:$EZ$286)*Обложка!$N$18/60,SUMIF(Меню!$J$8:$EZ$8,$B18,Меню!$J$286:$EZ$286)/1000*Обложка!$N$18)</f>
        <v>0</v>
      </c>
      <c r="AG18" s="685">
        <f t="shared" si="5"/>
        <v>3.7350000000000003</v>
      </c>
      <c r="AH18" s="212">
        <f>IF($B18="Яйцо (шт)",SUMIF(Меню!$J$8:$EZ$8,$B18,Меню!$J$298:$EZ$298)*Обложка!$P$15/60,SUMIF(Меню!$J$8:$EZ$8,$B18,Меню!$J$298:$EZ$298)/1000*Обложка!$P$15)</f>
        <v>0</v>
      </c>
      <c r="AI18" s="212">
        <f>IF($B18="Яйцо (шт)",SUMIF(Меню!$J$8:$EZ$8,$BB18,Меню!$J$313:$EZ$313)*Обложка!$P$16/60,SUMIF(Меню!$J$8:$EZ$8,$B18,Меню!$J$313:$EZ$313)/1000*Обложка!$P$16)</f>
        <v>0</v>
      </c>
      <c r="AJ18" s="212">
        <f>IF($B18="Яйцо (шт)",SUMIF(Меню!$J$8:$EZ$8,$B18,Меню!$J$326:$EZ$326)*Обложка!$P$17/60,SUMIF(Меню!$J$8:$EZ$8,$B18,Меню!$J$326:$EZ$326)/1000*Обложка!$P$17)</f>
        <v>0</v>
      </c>
      <c r="AK18" s="212">
        <f>IF($B18="Яйцо (шт)",SUMIF(Меню!$J$8:$EZ$8,$B18,Меню!$J$331:$EZ$331)*Обложка!$P$18/60,SUMIF(Меню!$J$8:$EZ$8,$B18,Меню!$J$331:$EZ$331)/1000*Обложка!$P$18)</f>
        <v>0</v>
      </c>
      <c r="AL18" s="699">
        <f t="shared" si="6"/>
        <v>0</v>
      </c>
      <c r="AM18" s="685">
        <f t="shared" si="7"/>
        <v>17.709</v>
      </c>
    </row>
    <row r="19" spans="1:39" x14ac:dyDescent="0.25">
      <c r="A19" s="249">
        <f t="shared" si="8"/>
        <v>7</v>
      </c>
      <c r="B19" s="248" t="str">
        <f>инфо!D8</f>
        <v>Пшено</v>
      </c>
      <c r="C19" s="694">
        <f>SUMIF(Меню!$J$8:$FD$8,$B19,Меню!$J$333:$FD$333)</f>
        <v>249</v>
      </c>
      <c r="D19" s="212">
        <f>IF($B19="Яйцо (шт)",SUMIF(Меню!$J$8:$FD$8,$B19,Меню!$J$28:$FD$28)*Обложка!$D$15/60,SUMIF(Меню!$J$8:$FD$8,$B19,Меню!$J$28:$FD$28)/1000*Обложка!$D$15)</f>
        <v>0</v>
      </c>
      <c r="E19" s="212">
        <f>IF($B19="Яйцо (шт)",SUMIF(Меню!$J$8:$FD$8,$B19,Меню!$J$43:$FD$43)*Обложка!$D$16/60,SUMIF(Меню!$J$8:$FD$8,$B19,Меню!$J$43:$FD$43)/1000*Обложка!$D$16)</f>
        <v>0</v>
      </c>
      <c r="F19" s="212">
        <f>IF($B19="Яйцо (шт)",SUMIF(Меню!$J$8:$FD$8,$B19,Меню!$J$56:$FD$56)*Обложка!$D$17/60,SUMIF(Меню!$J$8:$FD$8,$B19,Меню!$J$56:$FD$56)/1000*Обложка!$D$17)</f>
        <v>0</v>
      </c>
      <c r="G19" s="212">
        <f>IF($B19="Яйцо (шт)",SUMIF(Меню!$J$8:$FD$8,$B19,Меню!$J$61:$FD$61)*Обложка!$D$18/60,SUMIF(Меню!$J$8:$FD$8,$B19,Меню!$J$61:$FD$61)/1000*Обложка!$D$18)</f>
        <v>0</v>
      </c>
      <c r="H19" s="685">
        <f t="shared" si="0"/>
        <v>0</v>
      </c>
      <c r="I19" s="212">
        <f>IF($B19="Яйцо (шт)",SUMIF(Меню!$J$8:$FD$8,$B19,Меню!$J$73:$FD$73)*Обложка!$F$15/60,SUMIF(Меню!$J$8:$FD$8,$B19,Меню!$J$73:$FD$73)/1000*Обложка!$F$15)</f>
        <v>0</v>
      </c>
      <c r="J19" s="212">
        <f>IF($B19="Яйцо (шт)",SUMIF(Меню!$J$8:$FD$8,$B19,Меню!$J$88:$FD$88)*Обложка!$F$16/60,SUMIF(Меню!$J$8:$FD$8,$B19,Меню!$J$88:$FD$88)/1000*Обложка!$G$16)</f>
        <v>0</v>
      </c>
      <c r="K19" s="212">
        <f>IF($B19="Яйцо (шт)",SUMIF(Меню!$J$8:$FD$8,$B19,Меню!$J$101:$FD$101)*Обложка!$F$17/60,SUMIF(Меню!$J$8:$FD$8,$B19,Меню!$J$101:$FD$101)/1000*Обложка!$F$17)</f>
        <v>0</v>
      </c>
      <c r="L19" s="212">
        <f>IF($B19="Яйцо (шт)",SUMIF(Меню!$J$8:$FD$8,$B19,Меню!$J$106:$FD$106)*Обложка!$F$18/60,SUMIF(Меню!$J$8:$FD$8,$B19,Меню!$J$106:$FD$106)/1000*Обложка!$F$18)</f>
        <v>0</v>
      </c>
      <c r="M19" s="685">
        <f t="shared" si="1"/>
        <v>0</v>
      </c>
      <c r="N19" s="212">
        <f>IF($B19="Яйцо (шт)",SUMIF(Меню!$J$8:$EZ$8,$B19,Меню!$J$118:$EZ$118)*Обложка!$H$15/60,SUMIF(Меню!$J$8:$EZ$8,$B19,Меню!$J$118:$EZ$118)/1000*Обложка!$H$15)</f>
        <v>0</v>
      </c>
      <c r="O19" s="212">
        <f>IF($B19="Яйцо (шт)",SUMIF(Меню!$J$8:$EZ$8,$B19,Меню!$J$133:$EZ$133)*Обложка!$H$16/60,SUMIF(Меню!$J$8:$EZ$8,$B19,Меню!$J$133:$EZ$133)/1000*Обложка!$H$16)</f>
        <v>0</v>
      </c>
      <c r="P19" s="212">
        <f>IF($B19="Яйцо (шт)",SUMIF(Меню!$J$8:$EZ$8,$B19,Меню!$J$146:$EZ$146)*Обложка!$H$17/60,SUMIF(Меню!$J$8:$EZ$8,$B19,Меню!$J$146:$EZ$146)/1000*Обложка!$H$17)</f>
        <v>0</v>
      </c>
      <c r="Q19" s="212">
        <f>IF($B19="Яйцо (шт)",SUMIF(Меню!$J$8:$EZ$8,$B19,Меню!$J$151:$EZ$151)*Обложка!$H$18/60,SUMIF(Меню!$J$8:$EZ$8,$B19,Меню!$J$151:$EZ$151)/1000*Обложка!$H$18)</f>
        <v>0</v>
      </c>
      <c r="R19" s="685">
        <f t="shared" si="2"/>
        <v>0</v>
      </c>
      <c r="S19" s="212">
        <f>IF($B19="Яйцо (шт)",SUMIF(Меню!$J$8:$EZ$8,$B19,Меню!$J$163:$EZ$163)*Обложка!$J$15/60,SUMIF(Меню!$J$8:$EZ$8,$B19,Меню!$J$163:$EZ$163)/1000*Обложка!$J$15)</f>
        <v>0</v>
      </c>
      <c r="T19" s="212">
        <f>IF($B19="Яйцо (шт)",SUMIF(Меню!$J$8:$EZ$8,$B19,Меню!$J$178:$EZ$178)*Обложка!$J$16/60,SUMIF(Меню!$J$8:$EZ$8,$B19,Меню!$J$178:$EZ$178)/1000*Обложка!$J$16)</f>
        <v>8.3000000000000007</v>
      </c>
      <c r="U19" s="212">
        <f>IF($B19="Яйцо (шт)",SUMIF(Меню!$J$8:$EZ$8,$B19,Меню!$J$191:$EZ$191)*Обложка!$J$17/60,SUMIF(Меню!$J$8:$EZ$8,$B19,Меню!$J$191:$EZ$191)/1000*Обложка!$J$17)</f>
        <v>0</v>
      </c>
      <c r="V19" s="212">
        <f>IF($B19="Яйцо (шт)",SUMIF(Меню!$J$8:$EZ$8,$B19,Меню!$J$196:$EZ$196)*Обложка!$J$18/60,SUMIF(Меню!$J$8:$EZ$8,$B19,Меню!$J$196:$EZ$196)/1000*Обложка!$J$18)</f>
        <v>0</v>
      </c>
      <c r="W19" s="685">
        <f t="shared" si="3"/>
        <v>8.3000000000000007</v>
      </c>
      <c r="X19" s="212">
        <f>IF($B19="Яйцо (шт)",SUMIF(Меню!$J$8:$EZ$8,$B19,Меню!$J$208:$EZ$208)*Обложка!$L$15/60,SUMIF(Меню!$J$8:$EZ$8,$B19,Меню!$J$208:$EZ$208)/1000*Обложка!$L$15)</f>
        <v>0</v>
      </c>
      <c r="Y19" s="212">
        <f>IF($B19="Яйцо (шт)",SUMIF(Меню!$J$8:$EZ$8,$B19,Меню!$J$223:$EZ$223)*Обложка!$L$16/60,SUMIF(Меню!$J$8:$EZ$8,$B19,Меню!$J$223:$EZ$223)/1000*Обложка!$J$16)</f>
        <v>0</v>
      </c>
      <c r="Z19" s="212">
        <f>IF($B19="Яйцо (шт)",SUMIF(Меню!$J$8:$EZ$8,$B19,Меню!$J$236:$EZ$236)*Обложка!$L$17/60,SUMIF(Меню!$J$8:$EZ$8,$B19,Меню!$J$236:$EZ$236)/1000*Обложка!$L$17)</f>
        <v>0</v>
      </c>
      <c r="AA19" s="212">
        <f>IF($B19="Яйцо (шт)",SUMIF(Меню!$J$8:$EZ$8,$B19,Меню!$J$241:$EZ$241)*Обложка!$L$18/60,SUMIF(Меню!$J$8:$EZ$8,$B19,Меню!$J$241:$EZ$241)/1000*Обложка!$L$18)</f>
        <v>0</v>
      </c>
      <c r="AB19" s="685">
        <f t="shared" si="4"/>
        <v>0</v>
      </c>
      <c r="AC19" s="212">
        <f>IF($B19="Яйцо (шт)",SUMIF(Меню!$J$8:$EZ$8,$B19,Меню!$J$253:$EZ$253)*Обложка!$N$15/60,SUMIF(Меню!$J$8:$EZ$8,$B19,Меню!$J$253:$EZ$253)/1000*Обложка!$N$15)</f>
        <v>3.7350000000000003</v>
      </c>
      <c r="AD19" s="212">
        <f>IF($B19="Яйцо (шт)",SUMIF(Меню!$J$8:$EZ$8,$B19,Меню!$J$268:$EZ$268)*Обложка!$N$16/60,SUMIF(Меню!$J$8:$EZ$8,$B19,Меню!$J$268:$EZ$268)/1000*Обложка!$N$16)</f>
        <v>3.7350000000000003</v>
      </c>
      <c r="AE19" s="212">
        <f>IF($B19="Яйцо (шт)",SUMIF(Меню!$J$8:$EZ$8,$B19,Меню!$J$281:$EZ$281)*Обложка!$N$17/60,SUMIF(Меню!$J$8:$EZ$8,$B19,Меню!$J$281:$EZ$281)/1000*Обложка!$N$17)</f>
        <v>0</v>
      </c>
      <c r="AF19" s="212">
        <f>IF($B19="Яйцо (шт)",SUMIF(Меню!$J$8:$EZ$8,$B19,Меню!$J$286:$EZ$286)*Обложка!$N$18/60,SUMIF(Меню!$J$8:$EZ$8,$B19,Меню!$J$286:$EZ$286)/1000*Обложка!$N$18)</f>
        <v>0</v>
      </c>
      <c r="AG19" s="685">
        <f t="shared" si="5"/>
        <v>7.4700000000000006</v>
      </c>
      <c r="AH19" s="212">
        <f>IF($B19="Яйцо (шт)",SUMIF(Меню!$J$8:$EZ$8,$B19,Меню!$J$298:$EZ$298)*Обложка!$P$15/60,SUMIF(Меню!$J$8:$EZ$8,$B19,Меню!$J$298:$EZ$298)/1000*Обложка!$P$15)</f>
        <v>0</v>
      </c>
      <c r="AI19" s="212">
        <f>IF($B19="Яйцо (шт)",SUMIF(Меню!$J$8:$EZ$8,$BB19,Меню!$J$313:$EZ$313)*Обложка!$P$16/60,SUMIF(Меню!$J$8:$EZ$8,$B19,Меню!$J$313:$EZ$313)/1000*Обложка!$P$16)</f>
        <v>0</v>
      </c>
      <c r="AJ19" s="212">
        <f>IF($B19="Яйцо (шт)",SUMIF(Меню!$J$8:$EZ$8,$B19,Меню!$J$326:$EZ$326)*Обложка!$P$17/60,SUMIF(Меню!$J$8:$EZ$8,$B19,Меню!$J$326:$EZ$326)/1000*Обложка!$P$17)</f>
        <v>0</v>
      </c>
      <c r="AK19" s="212">
        <f>IF($B19="Яйцо (шт)",SUMIF(Меню!$J$8:$EZ$8,$B19,Меню!$J$331:$EZ$331)*Обложка!$P$18/60,SUMIF(Меню!$J$8:$EZ$8,$B19,Меню!$J$331:$EZ$331)/1000*Обложка!$P$18)</f>
        <v>0</v>
      </c>
      <c r="AL19" s="699">
        <f t="shared" si="6"/>
        <v>0</v>
      </c>
      <c r="AM19" s="685">
        <f t="shared" si="7"/>
        <v>15.770000000000001</v>
      </c>
    </row>
    <row r="20" spans="1:39" x14ac:dyDescent="0.25">
      <c r="A20" s="249">
        <f t="shared" si="8"/>
        <v>8</v>
      </c>
      <c r="B20" s="248" t="str">
        <f>инфо!D9</f>
        <v>Рис</v>
      </c>
      <c r="C20" s="694">
        <f>SUMIF(Меню!$J$8:$FD$8,$B20,Меню!$J$333:$FD$333)</f>
        <v>433</v>
      </c>
      <c r="D20" s="212">
        <f>IF($B20="Яйцо (шт)",SUMIF(Меню!$J$8:$FD$8,$B20,Меню!$J$28:$FD$28)*Обложка!$D$15/60,SUMIF(Меню!$J$8:$FD$8,$B20,Меню!$J$28:$FD$28)/1000*Обложка!$D$15)</f>
        <v>0</v>
      </c>
      <c r="E20" s="212">
        <f>IF($B20="Яйцо (шт)",SUMIF(Меню!$J$8:$FD$8,$B20,Меню!$J$43:$FD$43)*Обложка!$D$16/60,SUMIF(Меню!$J$8:$FD$8,$B20,Меню!$J$43:$FD$43)/1000*Обложка!$D$16)</f>
        <v>0</v>
      </c>
      <c r="F20" s="212">
        <f>IF($B20="Яйцо (шт)",SUMIF(Меню!$J$8:$FD$8,$B20,Меню!$J$56:$FD$56)*Обложка!$D$17/60,SUMIF(Меню!$J$8:$FD$8,$B20,Меню!$J$56:$FD$56)/1000*Обложка!$D$17)</f>
        <v>0</v>
      </c>
      <c r="G20" s="212">
        <f>IF($B20="Яйцо (шт)",SUMIF(Меню!$J$8:$FD$8,$B20,Меню!$J$61:$FD$61)*Обложка!$D$18/60,SUMIF(Меню!$J$8:$FD$8,$B20,Меню!$J$61:$FD$61)/1000*Обложка!$D$18)</f>
        <v>0</v>
      </c>
      <c r="H20" s="685">
        <f t="shared" si="0"/>
        <v>0</v>
      </c>
      <c r="I20" s="212">
        <f>IF($B20="Яйцо (шт)",SUMIF(Меню!$J$8:$FD$8,$B20,Меню!$J$73:$FD$73)*Обложка!$F$15/60,SUMIF(Меню!$J$8:$FD$8,$B20,Меню!$J$73:$FD$73)/1000*Обложка!$F$15)</f>
        <v>0</v>
      </c>
      <c r="J20" s="212">
        <f>IF($B20="Яйцо (шт)",SUMIF(Меню!$J$8:$FD$8,$B20,Меню!$J$88:$FD$88)*Обложка!$F$16/60,SUMIF(Меню!$J$8:$FD$8,$B20,Меню!$J$88:$FD$88)/1000*Обложка!$G$16)</f>
        <v>1.8260000000000001</v>
      </c>
      <c r="K20" s="212">
        <f>IF($B20="Яйцо (шт)",SUMIF(Меню!$J$8:$FD$8,$B20,Меню!$J$101:$FD$101)*Обложка!$F$17/60,SUMIF(Меню!$J$8:$FD$8,$B20,Меню!$J$101:$FD$101)/1000*Обложка!$F$17)</f>
        <v>0</v>
      </c>
      <c r="L20" s="212">
        <f>IF($B20="Яйцо (шт)",SUMIF(Меню!$J$8:$FD$8,$B20,Меню!$J$106:$FD$106)*Обложка!$F$18/60,SUMIF(Меню!$J$8:$FD$8,$B20,Меню!$J$106:$FD$106)/1000*Обложка!$F$18)</f>
        <v>0</v>
      </c>
      <c r="M20" s="685">
        <f t="shared" si="1"/>
        <v>1.8260000000000001</v>
      </c>
      <c r="N20" s="212">
        <f>IF($B20="Яйцо (шт)",SUMIF(Меню!$J$8:$EZ$8,$B20,Меню!$J$118:$EZ$118)*Обложка!$H$15/60,SUMIF(Меню!$J$8:$EZ$8,$B20,Меню!$J$118:$EZ$118)/1000*Обложка!$H$15)</f>
        <v>9.5449999999999999</v>
      </c>
      <c r="O20" s="212">
        <f>IF($B20="Яйцо (шт)",SUMIF(Меню!$J$8:$EZ$8,$B20,Меню!$J$133:$EZ$133)*Обложка!$H$16/60,SUMIF(Меню!$J$8:$EZ$8,$B20,Меню!$J$133:$EZ$133)/1000*Обложка!$H$16)</f>
        <v>0</v>
      </c>
      <c r="P20" s="212">
        <f>IF($B20="Яйцо (шт)",SUMIF(Меню!$J$8:$EZ$8,$B20,Меню!$J$146:$EZ$146)*Обложка!$H$17/60,SUMIF(Меню!$J$8:$EZ$8,$B20,Меню!$J$146:$EZ$146)/1000*Обложка!$H$17)</f>
        <v>9.5449999999999999</v>
      </c>
      <c r="Q20" s="212">
        <f>IF($B20="Яйцо (шт)",SUMIF(Меню!$J$8:$EZ$8,$B20,Меню!$J$151:$EZ$151)*Обложка!$H$18/60,SUMIF(Меню!$J$8:$EZ$8,$B20,Меню!$J$151:$EZ$151)/1000*Обложка!$H$18)</f>
        <v>0</v>
      </c>
      <c r="R20" s="685">
        <f t="shared" si="2"/>
        <v>19.09</v>
      </c>
      <c r="S20" s="212">
        <f>IF($B20="Яйцо (шт)",SUMIF(Меню!$J$8:$EZ$8,$B20,Меню!$J$163:$EZ$163)*Обложка!$J$15/60,SUMIF(Меню!$J$8:$EZ$8,$B20,Меню!$J$163:$EZ$163)/1000*Обложка!$J$15)</f>
        <v>0</v>
      </c>
      <c r="T20" s="212">
        <f>IF($B20="Яйцо (шт)",SUMIF(Меню!$J$8:$EZ$8,$B20,Меню!$J$178:$EZ$178)*Обложка!$J$16/60,SUMIF(Меню!$J$8:$EZ$8,$B20,Меню!$J$178:$EZ$178)/1000*Обложка!$J$16)</f>
        <v>0</v>
      </c>
      <c r="U20" s="212">
        <f>IF($B20="Яйцо (шт)",SUMIF(Меню!$J$8:$EZ$8,$B20,Меню!$J$191:$EZ$191)*Обложка!$J$17/60,SUMIF(Меню!$J$8:$EZ$8,$B20,Меню!$J$191:$EZ$191)/1000*Обложка!$J$17)</f>
        <v>0</v>
      </c>
      <c r="V20" s="212">
        <f>IF($B20="Яйцо (шт)",SUMIF(Меню!$J$8:$EZ$8,$B20,Меню!$J$196:$EZ$196)*Обложка!$J$18/60,SUMIF(Меню!$J$8:$EZ$8,$B20,Меню!$J$196:$EZ$196)/1000*Обложка!$J$18)</f>
        <v>0</v>
      </c>
      <c r="W20" s="685">
        <f t="shared" si="3"/>
        <v>0</v>
      </c>
      <c r="X20" s="212">
        <f>IF($B20="Яйцо (шт)",SUMIF(Меню!$J$8:$EZ$8,$B20,Меню!$J$208:$EZ$208)*Обложка!$L$15/60,SUMIF(Меню!$J$8:$EZ$8,$B20,Меню!$J$208:$EZ$208)/1000*Обложка!$L$15)</f>
        <v>11.620000000000001</v>
      </c>
      <c r="Y20" s="212">
        <f>IF($B20="Яйцо (шт)",SUMIF(Меню!$J$8:$EZ$8,$B20,Меню!$J$223:$EZ$223)*Обложка!$L$16/60,SUMIF(Меню!$J$8:$EZ$8,$B20,Меню!$J$223:$EZ$223)/1000*Обложка!$J$16)</f>
        <v>0</v>
      </c>
      <c r="Z20" s="212">
        <f>IF($B20="Яйцо (шт)",SUMIF(Меню!$J$8:$EZ$8,$B20,Меню!$J$236:$EZ$236)*Обложка!$L$17/60,SUMIF(Меню!$J$8:$EZ$8,$B20,Меню!$J$236:$EZ$236)/1000*Обложка!$L$17)</f>
        <v>0.70000000000000007</v>
      </c>
      <c r="AA20" s="212">
        <f>IF($B20="Яйцо (шт)",SUMIF(Меню!$J$8:$EZ$8,$B20,Меню!$J$241:$EZ$241)*Обложка!$L$18/60,SUMIF(Меню!$J$8:$EZ$8,$B20,Меню!$J$241:$EZ$241)/1000*Обложка!$L$18)</f>
        <v>0</v>
      </c>
      <c r="AB20" s="685">
        <f t="shared" si="4"/>
        <v>12.32</v>
      </c>
      <c r="AC20" s="212">
        <f>IF($B20="Яйцо (шт)",SUMIF(Меню!$J$8:$EZ$8,$B20,Меню!$J$253:$EZ$253)*Обложка!$N$15/60,SUMIF(Меню!$J$8:$EZ$8,$B20,Меню!$J$253:$EZ$253)/1000*Обложка!$N$15)</f>
        <v>0</v>
      </c>
      <c r="AD20" s="212">
        <f>IF($B20="Яйцо (шт)",SUMIF(Меню!$J$8:$EZ$8,$B20,Меню!$J$268:$EZ$268)*Обложка!$N$16/60,SUMIF(Меню!$J$8:$EZ$8,$B20,Меню!$J$268:$EZ$268)/1000*Обложка!$N$16)</f>
        <v>0</v>
      </c>
      <c r="AE20" s="212">
        <f>IF($B20="Яйцо (шт)",SUMIF(Меню!$J$8:$EZ$8,$B20,Меню!$J$281:$EZ$281)*Обложка!$N$17/60,SUMIF(Меню!$J$8:$EZ$8,$B20,Меню!$J$281:$EZ$281)/1000*Обложка!$N$17)</f>
        <v>0</v>
      </c>
      <c r="AF20" s="212">
        <f>IF($B20="Яйцо (шт)",SUMIF(Меню!$J$8:$EZ$8,$B20,Меню!$J$286:$EZ$286)*Обложка!$N$18/60,SUMIF(Меню!$J$8:$EZ$8,$B20,Меню!$J$286:$EZ$286)/1000*Обложка!$N$18)</f>
        <v>0</v>
      </c>
      <c r="AG20" s="685">
        <f t="shared" si="5"/>
        <v>0</v>
      </c>
      <c r="AH20" s="212">
        <f>IF($B20="Яйцо (шт)",SUMIF(Меню!$J$8:$EZ$8,$B20,Меню!$J$298:$EZ$298)*Обложка!$P$15/60,SUMIF(Меню!$J$8:$EZ$8,$B20,Меню!$J$298:$EZ$298)/1000*Обложка!$P$15)</f>
        <v>0</v>
      </c>
      <c r="AI20" s="212">
        <f>IF($B20="Яйцо (шт)",SUMIF(Меню!$J$8:$EZ$8,$BB20,Меню!$J$313:$EZ$313)*Обложка!$P$16/60,SUMIF(Меню!$J$8:$EZ$8,$B20,Меню!$J$313:$EZ$313)/1000*Обложка!$P$16)</f>
        <v>0</v>
      </c>
      <c r="AJ20" s="212">
        <f>IF($B20="Яйцо (шт)",SUMIF(Меню!$J$8:$EZ$8,$B20,Меню!$J$326:$EZ$326)*Обложка!$P$17/60,SUMIF(Меню!$J$8:$EZ$8,$B20,Меню!$J$326:$EZ$326)/1000*Обложка!$P$17)</f>
        <v>2.0249999999999999</v>
      </c>
      <c r="AK20" s="212">
        <f>IF($B20="Яйцо (шт)",SUMIF(Меню!$J$8:$EZ$8,$B20,Меню!$J$331:$EZ$331)*Обложка!$P$18/60,SUMIF(Меню!$J$8:$EZ$8,$B20,Меню!$J$331:$EZ$331)/1000*Обложка!$P$18)</f>
        <v>0</v>
      </c>
      <c r="AL20" s="699">
        <f t="shared" si="6"/>
        <v>2.0249999999999999</v>
      </c>
      <c r="AM20" s="685">
        <f t="shared" si="7"/>
        <v>35.261000000000003</v>
      </c>
    </row>
    <row r="21" spans="1:39" x14ac:dyDescent="0.25">
      <c r="A21" s="249">
        <f t="shared" si="8"/>
        <v>9</v>
      </c>
      <c r="B21" s="248" t="str">
        <f>инфо!D10</f>
        <v>Фасоль</v>
      </c>
      <c r="C21" s="694">
        <f>SUMIF(Меню!$J$8:$FD$8,$B21,Меню!$J$333:$FD$333)</f>
        <v>20</v>
      </c>
      <c r="D21" s="212">
        <f>IF($B21="Яйцо (шт)",SUMIF(Меню!$J$8:$FD$8,$B21,Меню!$J$28:$FD$28)*Обложка!$D$15/60,SUMIF(Меню!$J$8:$FD$8,$B21,Меню!$J$28:$FD$28)/1000*Обложка!$D$15)</f>
        <v>0</v>
      </c>
      <c r="E21" s="212">
        <f>IF($B21="Яйцо (шт)",SUMIF(Меню!$J$8:$FD$8,$B21,Меню!$J$43:$FD$43)*Обложка!$D$16/60,SUMIF(Меню!$J$8:$FD$8,$B21,Меню!$J$43:$FD$43)/1000*Обложка!$D$16)</f>
        <v>0</v>
      </c>
      <c r="F21" s="212">
        <f>IF($B21="Яйцо (шт)",SUMIF(Меню!$J$8:$FD$8,$B21,Меню!$J$56:$FD$56)*Обложка!$D$17/60,SUMIF(Меню!$J$8:$FD$8,$B21,Меню!$J$56:$FD$56)/1000*Обложка!$D$17)</f>
        <v>0</v>
      </c>
      <c r="G21" s="212">
        <f>IF($B21="Яйцо (шт)",SUMIF(Меню!$J$8:$FD$8,$B21,Меню!$J$61:$FD$61)*Обложка!$D$18/60,SUMIF(Меню!$J$8:$FD$8,$B21,Меню!$J$61:$FD$61)/1000*Обложка!$D$18)</f>
        <v>0</v>
      </c>
      <c r="H21" s="685">
        <f t="shared" si="0"/>
        <v>0</v>
      </c>
      <c r="I21" s="212">
        <f>IF($B21="Яйцо (шт)",SUMIF(Меню!$J$8:$FD$8,$B21,Меню!$J$73:$FD$73)*Обложка!$F$15/60,SUMIF(Меню!$J$8:$FD$8,$B21,Меню!$J$73:$FD$73)/1000*Обложка!$F$15)</f>
        <v>0</v>
      </c>
      <c r="J21" s="212">
        <f>IF($B21="Яйцо (шт)",SUMIF(Меню!$J$8:$FD$8,$B21,Меню!$J$88:$FD$88)*Обложка!$F$16/60,SUMIF(Меню!$J$8:$FD$8,$B21,Меню!$J$88:$FD$88)/1000*Обложка!$G$16)</f>
        <v>0</v>
      </c>
      <c r="K21" s="212">
        <f>IF($B21="Яйцо (шт)",SUMIF(Меню!$J$8:$FD$8,$B21,Меню!$J$101:$FD$101)*Обложка!$F$17/60,SUMIF(Меню!$J$8:$FD$8,$B21,Меню!$J$101:$FD$101)/1000*Обложка!$F$17)</f>
        <v>0</v>
      </c>
      <c r="L21" s="212">
        <f>IF($B21="Яйцо (шт)",SUMIF(Меню!$J$8:$FD$8,$B21,Меню!$J$106:$FD$106)*Обложка!$F$18/60,SUMIF(Меню!$J$8:$FD$8,$B21,Меню!$J$106:$FD$106)/1000*Обложка!$F$18)</f>
        <v>0</v>
      </c>
      <c r="M21" s="685">
        <f t="shared" si="1"/>
        <v>0</v>
      </c>
      <c r="N21" s="212">
        <f>IF($B21="Яйцо (шт)",SUMIF(Меню!$J$8:$EZ$8,$B21,Меню!$J$118:$EZ$118)*Обложка!$H$15/60,SUMIF(Меню!$J$8:$EZ$8,$B21,Меню!$J$118:$EZ$118)/1000*Обложка!$H$15)</f>
        <v>0</v>
      </c>
      <c r="O21" s="212">
        <f>IF($B21="Яйцо (шт)",SUMIF(Меню!$J$8:$EZ$8,$B21,Меню!$J$133:$EZ$133)*Обложка!$H$16/60,SUMIF(Меню!$J$8:$EZ$8,$B21,Меню!$J$133:$EZ$133)/1000*Обложка!$H$16)</f>
        <v>0</v>
      </c>
      <c r="P21" s="212">
        <f>IF($B21="Яйцо (шт)",SUMIF(Меню!$J$8:$EZ$8,$B21,Меню!$J$146:$EZ$146)*Обложка!$H$17/60,SUMIF(Меню!$J$8:$EZ$8,$B21,Меню!$J$146:$EZ$146)/1000*Обложка!$H$17)</f>
        <v>0</v>
      </c>
      <c r="Q21" s="212">
        <f>IF($B21="Яйцо (шт)",SUMIF(Меню!$J$8:$EZ$8,$B21,Меню!$J$151:$EZ$151)*Обложка!$H$18/60,SUMIF(Меню!$J$8:$EZ$8,$B21,Меню!$J$151:$EZ$151)/1000*Обложка!$H$18)</f>
        <v>0</v>
      </c>
      <c r="R21" s="685">
        <f t="shared" si="2"/>
        <v>0</v>
      </c>
      <c r="S21" s="212">
        <f>IF($B21="Яйцо (шт)",SUMIF(Меню!$J$8:$EZ$8,$B21,Меню!$J$163:$EZ$163)*Обложка!$J$15/60,SUMIF(Меню!$J$8:$EZ$8,$B21,Меню!$J$163:$EZ$163)/1000*Обложка!$J$15)</f>
        <v>0</v>
      </c>
      <c r="T21" s="212">
        <f>IF($B21="Яйцо (шт)",SUMIF(Меню!$J$8:$EZ$8,$B21,Меню!$J$178:$EZ$178)*Обложка!$J$16/60,SUMIF(Меню!$J$8:$EZ$8,$B21,Меню!$J$178:$EZ$178)/1000*Обложка!$J$16)</f>
        <v>0</v>
      </c>
      <c r="U21" s="212">
        <f>IF($B21="Яйцо (шт)",SUMIF(Меню!$J$8:$EZ$8,$B21,Меню!$J$191:$EZ$191)*Обложка!$J$17/60,SUMIF(Меню!$J$8:$EZ$8,$B21,Меню!$J$191:$EZ$191)/1000*Обложка!$J$17)</f>
        <v>0</v>
      </c>
      <c r="V21" s="212">
        <f>IF($B21="Яйцо (шт)",SUMIF(Меню!$J$8:$EZ$8,$B21,Меню!$J$196:$EZ$196)*Обложка!$J$18/60,SUMIF(Меню!$J$8:$EZ$8,$B21,Меню!$J$196:$EZ$196)/1000*Обложка!$J$18)</f>
        <v>0</v>
      </c>
      <c r="W21" s="685">
        <f t="shared" si="3"/>
        <v>0</v>
      </c>
      <c r="X21" s="212">
        <f>IF($B21="Яйцо (шт)",SUMIF(Меню!$J$8:$EZ$8,$B21,Меню!$J$208:$EZ$208)*Обложка!$L$15/60,SUMIF(Меню!$J$8:$EZ$8,$B21,Меню!$J$208:$EZ$208)/1000*Обложка!$L$15)</f>
        <v>0</v>
      </c>
      <c r="Y21" s="212">
        <f>IF($B21="Яйцо (шт)",SUMIF(Меню!$J$8:$EZ$8,$B21,Меню!$J$223:$EZ$223)*Обложка!$L$16/60,SUMIF(Меню!$J$8:$EZ$8,$B21,Меню!$J$223:$EZ$223)/1000*Обложка!$J$16)</f>
        <v>0</v>
      </c>
      <c r="Z21" s="212">
        <f>IF($B21="Яйцо (шт)",SUMIF(Меню!$J$8:$EZ$8,$B21,Меню!$J$236:$EZ$236)*Обложка!$L$17/60,SUMIF(Меню!$J$8:$EZ$8,$B21,Меню!$J$236:$EZ$236)/1000*Обложка!$L$17)</f>
        <v>0</v>
      </c>
      <c r="AA21" s="212">
        <f>IF($B21="Яйцо (шт)",SUMIF(Меню!$J$8:$EZ$8,$B21,Меню!$J$241:$EZ$241)*Обложка!$L$18/60,SUMIF(Меню!$J$8:$EZ$8,$B21,Меню!$J$241:$EZ$241)/1000*Обложка!$L$18)</f>
        <v>0</v>
      </c>
      <c r="AB21" s="685">
        <f t="shared" si="4"/>
        <v>0</v>
      </c>
      <c r="AC21" s="212">
        <f>IF($B21="Яйцо (шт)",SUMIF(Меню!$J$8:$EZ$8,$B21,Меню!$J$253:$EZ$253)*Обложка!$N$15/60,SUMIF(Меню!$J$8:$EZ$8,$B21,Меню!$J$253:$EZ$253)/1000*Обложка!$N$15)</f>
        <v>0</v>
      </c>
      <c r="AD21" s="212">
        <f>IF($B21="Яйцо (шт)",SUMIF(Меню!$J$8:$EZ$8,$B21,Меню!$J$268:$EZ$268)*Обложка!$N$16/60,SUMIF(Меню!$J$8:$EZ$8,$B21,Меню!$J$268:$EZ$268)/1000*Обложка!$N$16)</f>
        <v>0</v>
      </c>
      <c r="AE21" s="212">
        <f>IF($B21="Яйцо (шт)",SUMIF(Меню!$J$8:$EZ$8,$B21,Меню!$J$281:$EZ$281)*Обложка!$N$17/60,SUMIF(Меню!$J$8:$EZ$8,$B21,Меню!$J$281:$EZ$281)/1000*Обложка!$N$17)</f>
        <v>0</v>
      </c>
      <c r="AF21" s="212">
        <f>IF($B21="Яйцо (шт)",SUMIF(Меню!$J$8:$EZ$8,$B21,Меню!$J$286:$EZ$286)*Обложка!$N$18/60,SUMIF(Меню!$J$8:$EZ$8,$B21,Меню!$J$286:$EZ$286)/1000*Обложка!$N$18)</f>
        <v>0</v>
      </c>
      <c r="AG21" s="685">
        <f t="shared" si="5"/>
        <v>0</v>
      </c>
      <c r="AH21" s="212">
        <f>IF($B21="Яйцо (шт)",SUMIF(Меню!$J$8:$EZ$8,$B21,Меню!$J$298:$EZ$298)*Обложка!$P$15/60,SUMIF(Меню!$J$8:$EZ$8,$B21,Меню!$J$298:$EZ$298)/1000*Обложка!$P$15)</f>
        <v>0</v>
      </c>
      <c r="AI21" s="212">
        <f>IF($B21="Яйцо (шт)",SUMIF(Меню!$J$8:$EZ$8,$BB21,Меню!$J$313:$EZ$313)*Обложка!$P$16/60,SUMIF(Меню!$J$8:$EZ$8,$B21,Меню!$J$313:$EZ$313)/1000*Обложка!$P$16)</f>
        <v>0</v>
      </c>
      <c r="AJ21" s="212">
        <f>IF($B21="Яйцо (шт)",SUMIF(Меню!$J$8:$EZ$8,$B21,Меню!$J$326:$EZ$326)*Обложка!$P$17/60,SUMIF(Меню!$J$8:$EZ$8,$B21,Меню!$J$326:$EZ$326)/1000*Обложка!$P$17)</f>
        <v>0.5</v>
      </c>
      <c r="AK21" s="212">
        <f>IF($B21="Яйцо (шт)",SUMIF(Меню!$J$8:$EZ$8,$B21,Меню!$J$331:$EZ$331)*Обложка!$P$18/60,SUMIF(Меню!$J$8:$EZ$8,$B21,Меню!$J$331:$EZ$331)/1000*Обложка!$P$18)</f>
        <v>0</v>
      </c>
      <c r="AL21" s="699">
        <f t="shared" si="6"/>
        <v>0.5</v>
      </c>
      <c r="AM21" s="685">
        <f t="shared" si="7"/>
        <v>0.5</v>
      </c>
    </row>
    <row r="22" spans="1:39" x14ac:dyDescent="0.25">
      <c r="A22" s="249">
        <f t="shared" si="8"/>
        <v>10</v>
      </c>
      <c r="B22" s="248" t="str">
        <f>инфо!D11</f>
        <v>Ячневая</v>
      </c>
      <c r="C22" s="694">
        <f>SUMIF(Меню!$J$8:$FD$8,$B22,Меню!$J$333:$FD$333)</f>
        <v>0</v>
      </c>
      <c r="D22" s="212">
        <f>IF($B22="Яйцо (шт)",SUMIF(Меню!$J$8:$FD$8,$B22,Меню!$J$28:$FD$28)*Обложка!$D$15/60,SUMIF(Меню!$J$8:$FD$8,$B22,Меню!$J$28:$FD$28)/1000*Обложка!$D$15)</f>
        <v>0</v>
      </c>
      <c r="E22" s="212">
        <f>IF($B22="Яйцо (шт)",SUMIF(Меню!$J$8:$FD$8,$B22,Меню!$J$43:$FD$43)*Обложка!$D$16/60,SUMIF(Меню!$J$8:$FD$8,$B22,Меню!$J$43:$FD$43)/1000*Обложка!$D$16)</f>
        <v>0</v>
      </c>
      <c r="F22" s="212">
        <f>IF($B22="Яйцо (шт)",SUMIF(Меню!$J$8:$FD$8,$B22,Меню!$J$56:$FD$56)*Обложка!$D$17/60,SUMIF(Меню!$J$8:$FD$8,$B22,Меню!$J$56:$FD$56)/1000*Обложка!$D$17)</f>
        <v>0</v>
      </c>
      <c r="G22" s="212">
        <f>IF($B22="Яйцо (шт)",SUMIF(Меню!$J$8:$FD$8,$B22,Меню!$J$61:$FD$61)*Обложка!$D$18/60,SUMIF(Меню!$J$8:$FD$8,$B22,Меню!$J$61:$FD$61)/1000*Обложка!$D$18)</f>
        <v>0</v>
      </c>
      <c r="H22" s="685">
        <f t="shared" si="0"/>
        <v>0</v>
      </c>
      <c r="I22" s="212">
        <f>IF($B22="Яйцо (шт)",SUMIF(Меню!$J$8:$FD$8,$B22,Меню!$J$73:$FD$73)*Обложка!$F$15/60,SUMIF(Меню!$J$8:$FD$8,$B22,Меню!$J$73:$FD$73)/1000*Обложка!$F$15)</f>
        <v>0</v>
      </c>
      <c r="J22" s="212">
        <f>IF($B22="Яйцо (шт)",SUMIF(Меню!$J$8:$FD$8,$B22,Меню!$J$88:$FD$88)*Обложка!$F$16/60,SUMIF(Меню!$J$8:$FD$8,$B22,Меню!$J$88:$FD$88)/1000*Обложка!$G$16)</f>
        <v>0</v>
      </c>
      <c r="K22" s="212">
        <f>IF($B22="Яйцо (шт)",SUMIF(Меню!$J$8:$FD$8,$B22,Меню!$J$101:$FD$101)*Обложка!$F$17/60,SUMIF(Меню!$J$8:$FD$8,$B22,Меню!$J$101:$FD$101)/1000*Обложка!$F$17)</f>
        <v>0</v>
      </c>
      <c r="L22" s="212">
        <f>IF($B22="Яйцо (шт)",SUMIF(Меню!$J$8:$FD$8,$B22,Меню!$J$106:$FD$106)*Обложка!$F$18/60,SUMIF(Меню!$J$8:$FD$8,$B22,Меню!$J$106:$FD$106)/1000*Обложка!$F$18)</f>
        <v>0</v>
      </c>
      <c r="M22" s="685">
        <f t="shared" si="1"/>
        <v>0</v>
      </c>
      <c r="N22" s="212">
        <f>IF($B22="Яйцо (шт)",SUMIF(Меню!$J$8:$EZ$8,$B22,Меню!$J$118:$EZ$118)*Обложка!$H$15/60,SUMIF(Меню!$J$8:$EZ$8,$B22,Меню!$J$118:$EZ$118)/1000*Обложка!$H$15)</f>
        <v>0</v>
      </c>
      <c r="O22" s="212">
        <f>IF($B22="Яйцо (шт)",SUMIF(Меню!$J$8:$EZ$8,$B22,Меню!$J$133:$EZ$133)*Обложка!$H$16/60,SUMIF(Меню!$J$8:$EZ$8,$B22,Меню!$J$133:$EZ$133)/1000*Обложка!$H$16)</f>
        <v>0</v>
      </c>
      <c r="P22" s="212">
        <f>IF($B22="Яйцо (шт)",SUMIF(Меню!$J$8:$EZ$8,$B22,Меню!$J$146:$EZ$146)*Обложка!$H$17/60,SUMIF(Меню!$J$8:$EZ$8,$B22,Меню!$J$146:$EZ$146)/1000*Обложка!$H$17)</f>
        <v>0</v>
      </c>
      <c r="Q22" s="212">
        <f>IF($B22="Яйцо (шт)",SUMIF(Меню!$J$8:$EZ$8,$B22,Меню!$J$151:$EZ$151)*Обложка!$H$18/60,SUMIF(Меню!$J$8:$EZ$8,$B22,Меню!$J$151:$EZ$151)/1000*Обложка!$H$18)</f>
        <v>0</v>
      </c>
      <c r="R22" s="685">
        <f t="shared" si="2"/>
        <v>0</v>
      </c>
      <c r="S22" s="212">
        <f>IF($B22="Яйцо (шт)",SUMIF(Меню!$J$8:$EZ$8,$B22,Меню!$J$163:$EZ$163)*Обложка!$J$15/60,SUMIF(Меню!$J$8:$EZ$8,$B22,Меню!$J$163:$EZ$163)/1000*Обложка!$J$15)</f>
        <v>0</v>
      </c>
      <c r="T22" s="212">
        <f>IF($B22="Яйцо (шт)",SUMIF(Меню!$J$8:$EZ$8,$B22,Меню!$J$178:$EZ$178)*Обложка!$J$16/60,SUMIF(Меню!$J$8:$EZ$8,$B22,Меню!$J$178:$EZ$178)/1000*Обложка!$J$16)</f>
        <v>0</v>
      </c>
      <c r="U22" s="212">
        <f>IF($B22="Яйцо (шт)",SUMIF(Меню!$J$8:$EZ$8,$B22,Меню!$J$191:$EZ$191)*Обложка!$J$17/60,SUMIF(Меню!$J$8:$EZ$8,$B22,Меню!$J$191:$EZ$191)/1000*Обложка!$J$17)</f>
        <v>0</v>
      </c>
      <c r="V22" s="212">
        <f>IF($B22="Яйцо (шт)",SUMIF(Меню!$J$8:$EZ$8,$B22,Меню!$J$196:$EZ$196)*Обложка!$J$18/60,SUMIF(Меню!$J$8:$EZ$8,$B22,Меню!$J$196:$EZ$196)/1000*Обложка!$J$18)</f>
        <v>0</v>
      </c>
      <c r="W22" s="685">
        <f t="shared" si="3"/>
        <v>0</v>
      </c>
      <c r="X22" s="212">
        <f>IF($B22="Яйцо (шт)",SUMIF(Меню!$J$8:$EZ$8,$B22,Меню!$J$208:$EZ$208)*Обложка!$L$15/60,SUMIF(Меню!$J$8:$EZ$8,$B22,Меню!$J$208:$EZ$208)/1000*Обложка!$L$15)</f>
        <v>0</v>
      </c>
      <c r="Y22" s="212">
        <f>IF($B22="Яйцо (шт)",SUMIF(Меню!$J$8:$EZ$8,$B22,Меню!$J$223:$EZ$223)*Обложка!$L$16/60,SUMIF(Меню!$J$8:$EZ$8,$B22,Меню!$J$223:$EZ$223)/1000*Обложка!$J$16)</f>
        <v>0</v>
      </c>
      <c r="Z22" s="212">
        <f>IF($B22="Яйцо (шт)",SUMIF(Меню!$J$8:$EZ$8,$B22,Меню!$J$236:$EZ$236)*Обложка!$L$17/60,SUMIF(Меню!$J$8:$EZ$8,$B22,Меню!$J$236:$EZ$236)/1000*Обложка!$L$17)</f>
        <v>0</v>
      </c>
      <c r="AA22" s="212">
        <f>IF($B22="Яйцо (шт)",SUMIF(Меню!$J$8:$EZ$8,$B22,Меню!$J$241:$EZ$241)*Обложка!$L$18/60,SUMIF(Меню!$J$8:$EZ$8,$B22,Меню!$J$241:$EZ$241)/1000*Обложка!$L$18)</f>
        <v>0</v>
      </c>
      <c r="AB22" s="685">
        <f t="shared" si="4"/>
        <v>0</v>
      </c>
      <c r="AC22" s="212">
        <f>IF($B22="Яйцо (шт)",SUMIF(Меню!$J$8:$EZ$8,$B22,Меню!$J$253:$EZ$253)*Обложка!$N$15/60,SUMIF(Меню!$J$8:$EZ$8,$B22,Меню!$J$253:$EZ$253)/1000*Обложка!$N$15)</f>
        <v>0</v>
      </c>
      <c r="AD22" s="212">
        <f>IF($B22="Яйцо (шт)",SUMIF(Меню!$J$8:$EZ$8,$B22,Меню!$J$268:$EZ$268)*Обложка!$N$16/60,SUMIF(Меню!$J$8:$EZ$8,$B22,Меню!$J$268:$EZ$268)/1000*Обложка!$N$16)</f>
        <v>0</v>
      </c>
      <c r="AE22" s="212">
        <f>IF($B22="Яйцо (шт)",SUMIF(Меню!$J$8:$EZ$8,$B22,Меню!$J$281:$EZ$281)*Обложка!$N$17/60,SUMIF(Меню!$J$8:$EZ$8,$B22,Меню!$J$281:$EZ$281)/1000*Обложка!$N$17)</f>
        <v>0</v>
      </c>
      <c r="AF22" s="212">
        <f>IF($B22="Яйцо (шт)",SUMIF(Меню!$J$8:$EZ$8,$B22,Меню!$J$286:$EZ$286)*Обложка!$N$18/60,SUMIF(Меню!$J$8:$EZ$8,$B22,Меню!$J$286:$EZ$286)/1000*Обложка!$N$18)</f>
        <v>0</v>
      </c>
      <c r="AG22" s="685">
        <f t="shared" si="5"/>
        <v>0</v>
      </c>
      <c r="AH22" s="212">
        <f>IF($B22="Яйцо (шт)",SUMIF(Меню!$J$8:$EZ$8,$B22,Меню!$J$298:$EZ$298)*Обложка!$P$15/60,SUMIF(Меню!$J$8:$EZ$8,$B22,Меню!$J$298:$EZ$298)/1000*Обложка!$P$15)</f>
        <v>0</v>
      </c>
      <c r="AI22" s="212">
        <f>IF($B22="Яйцо (шт)",SUMIF(Меню!$J$8:$EZ$8,$BB22,Меню!$J$313:$EZ$313)*Обложка!$P$16/60,SUMIF(Меню!$J$8:$EZ$8,$B22,Меню!$J$313:$EZ$313)/1000*Обложка!$P$16)</f>
        <v>0</v>
      </c>
      <c r="AJ22" s="212">
        <f>IF($B22="Яйцо (шт)",SUMIF(Меню!$J$8:$EZ$8,$B22,Меню!$J$326:$EZ$326)*Обложка!$P$17/60,SUMIF(Меню!$J$8:$EZ$8,$B22,Меню!$J$326:$EZ$326)/1000*Обложка!$P$17)</f>
        <v>0</v>
      </c>
      <c r="AK22" s="212">
        <f>IF($B22="Яйцо (шт)",SUMIF(Меню!$J$8:$EZ$8,$B22,Меню!$J$331:$EZ$331)*Обложка!$P$18/60,SUMIF(Меню!$J$8:$EZ$8,$B22,Меню!$J$331:$EZ$331)/1000*Обложка!$P$18)</f>
        <v>0</v>
      </c>
      <c r="AL22" s="699">
        <f t="shared" si="6"/>
        <v>0</v>
      </c>
      <c r="AM22" s="685">
        <f t="shared" si="7"/>
        <v>0</v>
      </c>
    </row>
    <row r="23" spans="1:39" x14ac:dyDescent="0.25">
      <c r="A23" s="249">
        <f t="shared" si="8"/>
        <v>11</v>
      </c>
      <c r="B23" s="248" t="str">
        <f>инфо!D12</f>
        <v>Крупа 1</v>
      </c>
      <c r="C23" s="694">
        <f>SUMIF(Меню!$J$8:$FD$8,$B23,Меню!$J$333:$FD$333)</f>
        <v>0</v>
      </c>
      <c r="D23" s="212">
        <f>IF($B23="Яйцо (шт)",SUMIF(Меню!$J$8:$FD$8,$B23,Меню!$J$28:$FD$28)*Обложка!$D$15/60,SUMIF(Меню!$J$8:$FD$8,$B23,Меню!$J$28:$FD$28)/1000*Обложка!$D$15)</f>
        <v>0</v>
      </c>
      <c r="E23" s="212">
        <f>IF($B23="Яйцо (шт)",SUMIF(Меню!$J$8:$FD$8,$B23,Меню!$J$43:$FD$43)*Обложка!$D$16/60,SUMIF(Меню!$J$8:$FD$8,$B23,Меню!$J$43:$FD$43)/1000*Обложка!$D$16)</f>
        <v>0</v>
      </c>
      <c r="F23" s="212">
        <f>IF($B23="Яйцо (шт)",SUMIF(Меню!$J$8:$FD$8,$B23,Меню!$J$56:$FD$56)*Обложка!$D$17/60,SUMIF(Меню!$J$8:$FD$8,$B23,Меню!$J$56:$FD$56)/1000*Обложка!$D$17)</f>
        <v>0</v>
      </c>
      <c r="G23" s="212">
        <f>IF($B23="Яйцо (шт)",SUMIF(Меню!$J$8:$FD$8,$B23,Меню!$J$61:$FD$61)*Обложка!$D$18/60,SUMIF(Меню!$J$8:$FD$8,$B23,Меню!$J$61:$FD$61)/1000*Обложка!$D$18)</f>
        <v>0</v>
      </c>
      <c r="H23" s="685">
        <f t="shared" si="0"/>
        <v>0</v>
      </c>
      <c r="I23" s="212">
        <f>IF($B23="Яйцо (шт)",SUMIF(Меню!$J$8:$FD$8,$B23,Меню!$J$73:$FD$73)*Обложка!$F$15/60,SUMIF(Меню!$J$8:$FD$8,$B23,Меню!$J$73:$FD$73)/1000*Обложка!$F$15)</f>
        <v>0</v>
      </c>
      <c r="J23" s="212">
        <f>IF($B23="Яйцо (шт)",SUMIF(Меню!$J$8:$FD$8,$B23,Меню!$J$88:$FD$88)*Обложка!$F$16/60,SUMIF(Меню!$J$8:$FD$8,$B23,Меню!$J$88:$FD$88)/1000*Обложка!$G$16)</f>
        <v>0</v>
      </c>
      <c r="K23" s="212">
        <f>IF($B23="Яйцо (шт)",SUMIF(Меню!$J$8:$FD$8,$B23,Меню!$J$101:$FD$101)*Обложка!$F$17/60,SUMIF(Меню!$J$8:$FD$8,$B23,Меню!$J$101:$FD$101)/1000*Обложка!$F$17)</f>
        <v>0</v>
      </c>
      <c r="L23" s="212">
        <f>IF($B23="Яйцо (шт)",SUMIF(Меню!$J$8:$FD$8,$B23,Меню!$J$106:$FD$106)*Обложка!$F$18/60,SUMIF(Меню!$J$8:$FD$8,$B23,Меню!$J$106:$FD$106)/1000*Обложка!$F$18)</f>
        <v>0</v>
      </c>
      <c r="M23" s="685">
        <f t="shared" si="1"/>
        <v>0</v>
      </c>
      <c r="N23" s="212">
        <f>IF($B23="Яйцо (шт)",SUMIF(Меню!$J$8:$EZ$8,$B23,Меню!$J$118:$EZ$118)*Обложка!$H$15/60,SUMIF(Меню!$J$8:$EZ$8,$B23,Меню!$J$118:$EZ$118)/1000*Обложка!$H$15)</f>
        <v>0</v>
      </c>
      <c r="O23" s="212">
        <f>IF($B23="Яйцо (шт)",SUMIF(Меню!$J$8:$EZ$8,$B23,Меню!$J$133:$EZ$133)*Обложка!$H$16/60,SUMIF(Меню!$J$8:$EZ$8,$B23,Меню!$J$133:$EZ$133)/1000*Обложка!$H$16)</f>
        <v>0</v>
      </c>
      <c r="P23" s="212">
        <f>IF($B23="Яйцо (шт)",SUMIF(Меню!$J$8:$EZ$8,$B23,Меню!$J$146:$EZ$146)*Обложка!$H$17/60,SUMIF(Меню!$J$8:$EZ$8,$B23,Меню!$J$146:$EZ$146)/1000*Обложка!$H$17)</f>
        <v>0</v>
      </c>
      <c r="Q23" s="212">
        <f>IF($B23="Яйцо (шт)",SUMIF(Меню!$J$8:$EZ$8,$B23,Меню!$J$151:$EZ$151)*Обложка!$H$18/60,SUMIF(Меню!$J$8:$EZ$8,$B23,Меню!$J$151:$EZ$151)/1000*Обложка!$H$18)</f>
        <v>0</v>
      </c>
      <c r="R23" s="685">
        <f t="shared" si="2"/>
        <v>0</v>
      </c>
      <c r="S23" s="212">
        <f>IF($B23="Яйцо (шт)",SUMIF(Меню!$J$8:$EZ$8,$B23,Меню!$J$163:$EZ$163)*Обложка!$J$15/60,SUMIF(Меню!$J$8:$EZ$8,$B23,Меню!$J$163:$EZ$163)/1000*Обложка!$J$15)</f>
        <v>0</v>
      </c>
      <c r="T23" s="212">
        <f>IF($B23="Яйцо (шт)",SUMIF(Меню!$J$8:$EZ$8,$B23,Меню!$J$178:$EZ$178)*Обложка!$J$16/60,SUMIF(Меню!$J$8:$EZ$8,$B23,Меню!$J$178:$EZ$178)/1000*Обложка!$J$16)</f>
        <v>0</v>
      </c>
      <c r="U23" s="212">
        <f>IF($B23="Яйцо (шт)",SUMIF(Меню!$J$8:$EZ$8,$B23,Меню!$J$191:$EZ$191)*Обложка!$J$17/60,SUMIF(Меню!$J$8:$EZ$8,$B23,Меню!$J$191:$EZ$191)/1000*Обложка!$J$17)</f>
        <v>0</v>
      </c>
      <c r="V23" s="212">
        <f>IF($B23="Яйцо (шт)",SUMIF(Меню!$J$8:$EZ$8,$B23,Меню!$J$196:$EZ$196)*Обложка!$J$18/60,SUMIF(Меню!$J$8:$EZ$8,$B23,Меню!$J$196:$EZ$196)/1000*Обложка!$J$18)</f>
        <v>0</v>
      </c>
      <c r="W23" s="685">
        <f t="shared" si="3"/>
        <v>0</v>
      </c>
      <c r="X23" s="212">
        <f>IF($B23="Яйцо (шт)",SUMIF(Меню!$J$8:$EZ$8,$B23,Меню!$J$208:$EZ$208)*Обложка!$L$15/60,SUMIF(Меню!$J$8:$EZ$8,$B23,Меню!$J$208:$EZ$208)/1000*Обложка!$L$15)</f>
        <v>0</v>
      </c>
      <c r="Y23" s="212">
        <f>IF($B23="Яйцо (шт)",SUMIF(Меню!$J$8:$EZ$8,$B23,Меню!$J$223:$EZ$223)*Обложка!$L$16/60,SUMIF(Меню!$J$8:$EZ$8,$B23,Меню!$J$223:$EZ$223)/1000*Обложка!$J$16)</f>
        <v>0</v>
      </c>
      <c r="Z23" s="212">
        <f>IF($B23="Яйцо (шт)",SUMIF(Меню!$J$8:$EZ$8,$B23,Меню!$J$236:$EZ$236)*Обложка!$L$17/60,SUMIF(Меню!$J$8:$EZ$8,$B23,Меню!$J$236:$EZ$236)/1000*Обложка!$L$17)</f>
        <v>0</v>
      </c>
      <c r="AA23" s="212">
        <f>IF($B23="Яйцо (шт)",SUMIF(Меню!$J$8:$EZ$8,$B23,Меню!$J$241:$EZ$241)*Обложка!$L$18/60,SUMIF(Меню!$J$8:$EZ$8,$B23,Меню!$J$241:$EZ$241)/1000*Обложка!$L$18)</f>
        <v>0</v>
      </c>
      <c r="AB23" s="685">
        <f t="shared" si="4"/>
        <v>0</v>
      </c>
      <c r="AC23" s="212">
        <f>IF($B23="Яйцо (шт)",SUMIF(Меню!$J$8:$EZ$8,$B23,Меню!$J$253:$EZ$253)*Обложка!$N$15/60,SUMIF(Меню!$J$8:$EZ$8,$B23,Меню!$J$253:$EZ$253)/1000*Обложка!$N$15)</f>
        <v>0</v>
      </c>
      <c r="AD23" s="212">
        <f>IF($B23="Яйцо (шт)",SUMIF(Меню!$J$8:$EZ$8,$B23,Меню!$J$268:$EZ$268)*Обложка!$N$16/60,SUMIF(Меню!$J$8:$EZ$8,$B23,Меню!$J$268:$EZ$268)/1000*Обложка!$N$16)</f>
        <v>0</v>
      </c>
      <c r="AE23" s="212">
        <f>IF($B23="Яйцо (шт)",SUMIF(Меню!$J$8:$EZ$8,$B23,Меню!$J$281:$EZ$281)*Обложка!$N$17/60,SUMIF(Меню!$J$8:$EZ$8,$B23,Меню!$J$281:$EZ$281)/1000*Обложка!$N$17)</f>
        <v>0</v>
      </c>
      <c r="AF23" s="212">
        <f>IF($B23="Яйцо (шт)",SUMIF(Меню!$J$8:$EZ$8,$B23,Меню!$J$286:$EZ$286)*Обложка!$N$18/60,SUMIF(Меню!$J$8:$EZ$8,$B23,Меню!$J$286:$EZ$286)/1000*Обложка!$N$18)</f>
        <v>0</v>
      </c>
      <c r="AG23" s="685">
        <f t="shared" si="5"/>
        <v>0</v>
      </c>
      <c r="AH23" s="212">
        <f>IF($B23="Яйцо (шт)",SUMIF(Меню!$J$8:$EZ$8,$B23,Меню!$J$298:$EZ$298)*Обложка!$P$15/60,SUMIF(Меню!$J$8:$EZ$8,$B23,Меню!$J$298:$EZ$298)/1000*Обложка!$P$15)</f>
        <v>0</v>
      </c>
      <c r="AI23" s="212">
        <f>IF($B23="Яйцо (шт)",SUMIF(Меню!$J$8:$EZ$8,$BB23,Меню!$J$313:$EZ$313)*Обложка!$P$16/60,SUMIF(Меню!$J$8:$EZ$8,$B23,Меню!$J$313:$EZ$313)/1000*Обложка!$P$16)</f>
        <v>0</v>
      </c>
      <c r="AJ23" s="212">
        <f>IF($B23="Яйцо (шт)",SUMIF(Меню!$J$8:$EZ$8,$B23,Меню!$J$326:$EZ$326)*Обложка!$P$17/60,SUMIF(Меню!$J$8:$EZ$8,$B23,Меню!$J$326:$EZ$326)/1000*Обложка!$P$17)</f>
        <v>0</v>
      </c>
      <c r="AK23" s="212">
        <f>IF($B23="Яйцо (шт)",SUMIF(Меню!$J$8:$EZ$8,$B23,Меню!$J$331:$EZ$331)*Обложка!$P$18/60,SUMIF(Меню!$J$8:$EZ$8,$B23,Меню!$J$331:$EZ$331)/1000*Обложка!$P$18)</f>
        <v>0</v>
      </c>
      <c r="AL23" s="699">
        <f t="shared" si="6"/>
        <v>0</v>
      </c>
      <c r="AM23" s="685">
        <f t="shared" si="7"/>
        <v>0</v>
      </c>
    </row>
    <row r="24" spans="1:39" x14ac:dyDescent="0.25">
      <c r="A24" s="249">
        <f t="shared" si="8"/>
        <v>12</v>
      </c>
      <c r="B24" s="248" t="str">
        <f>инфо!D13</f>
        <v>Крупа 2</v>
      </c>
      <c r="C24" s="694">
        <f>SUMIF(Меню!$J$8:$FD$8,$B24,Меню!$J$333:$FD$333)</f>
        <v>0</v>
      </c>
      <c r="D24" s="212">
        <f>IF($B24="Яйцо (шт)",SUMIF(Меню!$J$8:$FD$8,$B24,Меню!$J$28:$FD$28)*Обложка!$D$15/60,SUMIF(Меню!$J$8:$FD$8,$B24,Меню!$J$28:$FD$28)/1000*Обложка!$D$15)</f>
        <v>0</v>
      </c>
      <c r="E24" s="212">
        <f>IF($B24="Яйцо (шт)",SUMIF(Меню!$J$8:$FD$8,$B24,Меню!$J$43:$FD$43)*Обложка!$D$16/60,SUMIF(Меню!$J$8:$FD$8,$B24,Меню!$J$43:$FD$43)/1000*Обложка!$D$16)</f>
        <v>0</v>
      </c>
      <c r="F24" s="212">
        <f>IF($B24="Яйцо (шт)",SUMIF(Меню!$J$8:$FD$8,$B24,Меню!$J$56:$FD$56)*Обложка!$D$17/60,SUMIF(Меню!$J$8:$FD$8,$B24,Меню!$J$56:$FD$56)/1000*Обложка!$D$17)</f>
        <v>0</v>
      </c>
      <c r="G24" s="212">
        <f>IF($B24="Яйцо (шт)",SUMIF(Меню!$J$8:$FD$8,$B24,Меню!$J$61:$FD$61)*Обложка!$D$18/60,SUMIF(Меню!$J$8:$FD$8,$B24,Меню!$J$61:$FD$61)/1000*Обложка!$D$18)</f>
        <v>0</v>
      </c>
      <c r="H24" s="685">
        <f t="shared" si="0"/>
        <v>0</v>
      </c>
      <c r="I24" s="212">
        <f>IF($B24="Яйцо (шт)",SUMIF(Меню!$J$8:$FD$8,$B24,Меню!$J$73:$FD$73)*Обложка!$F$15/60,SUMIF(Меню!$J$8:$FD$8,$B24,Меню!$J$73:$FD$73)/1000*Обложка!$F$15)</f>
        <v>0</v>
      </c>
      <c r="J24" s="212">
        <f>IF($B24="Яйцо (шт)",SUMIF(Меню!$J$8:$FD$8,$B24,Меню!$J$88:$FD$88)*Обложка!$F$16/60,SUMIF(Меню!$J$8:$FD$8,$B24,Меню!$J$88:$FD$88)/1000*Обложка!$G$16)</f>
        <v>0</v>
      </c>
      <c r="K24" s="212">
        <f>IF($B24="Яйцо (шт)",SUMIF(Меню!$J$8:$FD$8,$B24,Меню!$J$101:$FD$101)*Обложка!$F$17/60,SUMIF(Меню!$J$8:$FD$8,$B24,Меню!$J$101:$FD$101)/1000*Обложка!$F$17)</f>
        <v>0</v>
      </c>
      <c r="L24" s="212">
        <f>IF($B24="Яйцо (шт)",SUMIF(Меню!$J$8:$FD$8,$B24,Меню!$J$106:$FD$106)*Обложка!$F$18/60,SUMIF(Меню!$J$8:$FD$8,$B24,Меню!$J$106:$FD$106)/1000*Обложка!$F$18)</f>
        <v>0</v>
      </c>
      <c r="M24" s="685">
        <f t="shared" si="1"/>
        <v>0</v>
      </c>
      <c r="N24" s="212">
        <f>IF($B24="Яйцо (шт)",SUMIF(Меню!$J$8:$EZ$8,$B24,Меню!$J$118:$EZ$118)*Обложка!$H$15/60,SUMIF(Меню!$J$8:$EZ$8,$B24,Меню!$J$118:$EZ$118)/1000*Обложка!$H$15)</f>
        <v>0</v>
      </c>
      <c r="O24" s="212">
        <f>IF($B24="Яйцо (шт)",SUMIF(Меню!$J$8:$EZ$8,$B24,Меню!$J$133:$EZ$133)*Обложка!$H$16/60,SUMIF(Меню!$J$8:$EZ$8,$B24,Меню!$J$133:$EZ$133)/1000*Обложка!$H$16)</f>
        <v>0</v>
      </c>
      <c r="P24" s="212">
        <f>IF($B24="Яйцо (шт)",SUMIF(Меню!$J$8:$EZ$8,$B24,Меню!$J$146:$EZ$146)*Обложка!$H$17/60,SUMIF(Меню!$J$8:$EZ$8,$B24,Меню!$J$146:$EZ$146)/1000*Обложка!$H$17)</f>
        <v>0</v>
      </c>
      <c r="Q24" s="212">
        <f>IF($B24="Яйцо (шт)",SUMIF(Меню!$J$8:$EZ$8,$B24,Меню!$J$151:$EZ$151)*Обложка!$H$18/60,SUMIF(Меню!$J$8:$EZ$8,$B24,Меню!$J$151:$EZ$151)/1000*Обложка!$H$18)</f>
        <v>0</v>
      </c>
      <c r="R24" s="685">
        <f t="shared" si="2"/>
        <v>0</v>
      </c>
      <c r="S24" s="212">
        <f>IF($B24="Яйцо (шт)",SUMIF(Меню!$J$8:$EZ$8,$B24,Меню!$J$163:$EZ$163)*Обложка!$J$15/60,SUMIF(Меню!$J$8:$EZ$8,$B24,Меню!$J$163:$EZ$163)/1000*Обложка!$J$15)</f>
        <v>0</v>
      </c>
      <c r="T24" s="212">
        <f>IF($B24="Яйцо (шт)",SUMIF(Меню!$J$8:$EZ$8,$B24,Меню!$J$178:$EZ$178)*Обложка!$J$16/60,SUMIF(Меню!$J$8:$EZ$8,$B24,Меню!$J$178:$EZ$178)/1000*Обложка!$J$16)</f>
        <v>0</v>
      </c>
      <c r="U24" s="212">
        <f>IF($B24="Яйцо (шт)",SUMIF(Меню!$J$8:$EZ$8,$B24,Меню!$J$191:$EZ$191)*Обложка!$J$17/60,SUMIF(Меню!$J$8:$EZ$8,$B24,Меню!$J$191:$EZ$191)/1000*Обложка!$J$17)</f>
        <v>0</v>
      </c>
      <c r="V24" s="212">
        <f>IF($B24="Яйцо (шт)",SUMIF(Меню!$J$8:$EZ$8,$B24,Меню!$J$196:$EZ$196)*Обложка!$J$18/60,SUMIF(Меню!$J$8:$EZ$8,$B24,Меню!$J$196:$EZ$196)/1000*Обложка!$J$18)</f>
        <v>0</v>
      </c>
      <c r="W24" s="685">
        <f t="shared" si="3"/>
        <v>0</v>
      </c>
      <c r="X24" s="212">
        <f>IF($B24="Яйцо (шт)",SUMIF(Меню!$J$8:$EZ$8,$B24,Меню!$J$208:$EZ$208)*Обложка!$L$15/60,SUMIF(Меню!$J$8:$EZ$8,$B24,Меню!$J$208:$EZ$208)/1000*Обложка!$L$15)</f>
        <v>0</v>
      </c>
      <c r="Y24" s="212">
        <f>IF($B24="Яйцо (шт)",SUMIF(Меню!$J$8:$EZ$8,$B24,Меню!$J$223:$EZ$223)*Обложка!$L$16/60,SUMIF(Меню!$J$8:$EZ$8,$B24,Меню!$J$223:$EZ$223)/1000*Обложка!$J$16)</f>
        <v>0</v>
      </c>
      <c r="Z24" s="212">
        <f>IF($B24="Яйцо (шт)",SUMIF(Меню!$J$8:$EZ$8,$B24,Меню!$J$236:$EZ$236)*Обложка!$L$17/60,SUMIF(Меню!$J$8:$EZ$8,$B24,Меню!$J$236:$EZ$236)/1000*Обложка!$L$17)</f>
        <v>0</v>
      </c>
      <c r="AA24" s="212">
        <f>IF($B24="Яйцо (шт)",SUMIF(Меню!$J$8:$EZ$8,$B24,Меню!$J$241:$EZ$241)*Обложка!$L$18/60,SUMIF(Меню!$J$8:$EZ$8,$B24,Меню!$J$241:$EZ$241)/1000*Обложка!$L$18)</f>
        <v>0</v>
      </c>
      <c r="AB24" s="685">
        <f t="shared" si="4"/>
        <v>0</v>
      </c>
      <c r="AC24" s="212">
        <f>IF($B24="Яйцо (шт)",SUMIF(Меню!$J$8:$EZ$8,$B24,Меню!$J$253:$EZ$253)*Обложка!$N$15/60,SUMIF(Меню!$J$8:$EZ$8,$B24,Меню!$J$253:$EZ$253)/1000*Обложка!$N$15)</f>
        <v>0</v>
      </c>
      <c r="AD24" s="212">
        <f>IF($B24="Яйцо (шт)",SUMIF(Меню!$J$8:$EZ$8,$B24,Меню!$J$268:$EZ$268)*Обложка!$N$16/60,SUMIF(Меню!$J$8:$EZ$8,$B24,Меню!$J$268:$EZ$268)/1000*Обложка!$N$16)</f>
        <v>0</v>
      </c>
      <c r="AE24" s="212">
        <f>IF($B24="Яйцо (шт)",SUMIF(Меню!$J$8:$EZ$8,$B24,Меню!$J$281:$EZ$281)*Обложка!$N$17/60,SUMIF(Меню!$J$8:$EZ$8,$B24,Меню!$J$281:$EZ$281)/1000*Обложка!$N$17)</f>
        <v>0</v>
      </c>
      <c r="AF24" s="212">
        <f>IF($B24="Яйцо (шт)",SUMIF(Меню!$J$8:$EZ$8,$B24,Меню!$J$286:$EZ$286)*Обложка!$N$18/60,SUMIF(Меню!$J$8:$EZ$8,$B24,Меню!$J$286:$EZ$286)/1000*Обложка!$N$18)</f>
        <v>0</v>
      </c>
      <c r="AG24" s="685">
        <f t="shared" si="5"/>
        <v>0</v>
      </c>
      <c r="AH24" s="212">
        <f>IF($B24="Яйцо (шт)",SUMIF(Меню!$J$8:$EZ$8,$B24,Меню!$J$298:$EZ$298)*Обложка!$P$15/60,SUMIF(Меню!$J$8:$EZ$8,$B24,Меню!$J$298:$EZ$298)/1000*Обложка!$P$15)</f>
        <v>0</v>
      </c>
      <c r="AI24" s="212">
        <f>IF($B24="Яйцо (шт)",SUMIF(Меню!$J$8:$EZ$8,$BB24,Меню!$J$313:$EZ$313)*Обложка!$P$16/60,SUMIF(Меню!$J$8:$EZ$8,$B24,Меню!$J$313:$EZ$313)/1000*Обложка!$P$16)</f>
        <v>0</v>
      </c>
      <c r="AJ24" s="212">
        <f>IF($B24="Яйцо (шт)",SUMIF(Меню!$J$8:$EZ$8,$B24,Меню!$J$326:$EZ$326)*Обложка!$P$17/60,SUMIF(Меню!$J$8:$EZ$8,$B24,Меню!$J$326:$EZ$326)/1000*Обложка!$P$17)</f>
        <v>0</v>
      </c>
      <c r="AK24" s="212">
        <f>IF($B24="Яйцо (шт)",SUMIF(Меню!$J$8:$EZ$8,$B24,Меню!$J$331:$EZ$331)*Обложка!$P$18/60,SUMIF(Меню!$J$8:$EZ$8,$B24,Меню!$J$331:$EZ$331)/1000*Обложка!$P$18)</f>
        <v>0</v>
      </c>
      <c r="AL24" s="699">
        <f t="shared" si="6"/>
        <v>0</v>
      </c>
      <c r="AM24" s="685">
        <f t="shared" si="7"/>
        <v>0</v>
      </c>
    </row>
    <row r="25" spans="1:39" x14ac:dyDescent="0.25">
      <c r="A25" s="249">
        <f t="shared" si="8"/>
        <v>13</v>
      </c>
      <c r="B25" s="248" t="str">
        <f>инфо!D14</f>
        <v>Макаронные изделия</v>
      </c>
      <c r="C25" s="694">
        <f>SUMIF(Меню!$J$8:$FD$8,$B25,Меню!$J$333:$FD$333)</f>
        <v>332</v>
      </c>
      <c r="D25" s="212">
        <f>IF($B25="Яйцо (шт)",SUMIF(Меню!$J$8:$FD$8,$B25,Меню!$J$28:$FD$28)*Обложка!$D$15/60,SUMIF(Меню!$J$8:$FD$8,$B25,Меню!$J$28:$FD$28)/1000*Обложка!$D$15)</f>
        <v>0</v>
      </c>
      <c r="E25" s="212">
        <f>IF($B25="Яйцо (шт)",SUMIF(Меню!$J$8:$FD$8,$B25,Меню!$J$43:$FD$43)*Обложка!$D$16/60,SUMIF(Меню!$J$8:$FD$8,$B25,Меню!$J$43:$FD$43)/1000*Обложка!$D$16)</f>
        <v>0</v>
      </c>
      <c r="F25" s="212">
        <f>IF($B25="Яйцо (шт)",SUMIF(Меню!$J$8:$FD$8,$B25,Меню!$J$56:$FD$56)*Обложка!$D$17/60,SUMIF(Меню!$J$8:$FD$8,$B25,Меню!$J$56:$FD$56)/1000*Обложка!$D$17)</f>
        <v>10.126000000000001</v>
      </c>
      <c r="G25" s="212">
        <f>IF($B25="Яйцо (шт)",SUMIF(Меню!$J$8:$FD$8,$B25,Меню!$J$61:$FD$61)*Обложка!$D$18/60,SUMIF(Меню!$J$8:$FD$8,$B25,Меню!$J$61:$FD$61)/1000*Обложка!$D$18)</f>
        <v>0</v>
      </c>
      <c r="H25" s="685">
        <f t="shared" si="0"/>
        <v>10.126000000000001</v>
      </c>
      <c r="I25" s="212">
        <f>IF($B25="Яйцо (шт)",SUMIF(Меню!$J$8:$FD$8,$B25,Меню!$J$73:$FD$73)*Обложка!$F$15/60,SUMIF(Меню!$J$8:$FD$8,$B25,Меню!$J$73:$FD$73)/1000*Обложка!$F$15)</f>
        <v>0</v>
      </c>
      <c r="J25" s="212">
        <f>IF($B25="Яйцо (шт)",SUMIF(Меню!$J$8:$FD$8,$B25,Меню!$J$88:$FD$88)*Обложка!$F$16/60,SUMIF(Меню!$J$8:$FD$8,$B25,Меню!$J$88:$FD$88)/1000*Обложка!$G$16)</f>
        <v>0</v>
      </c>
      <c r="K25" s="212">
        <f>IF($B25="Яйцо (шт)",SUMIF(Меню!$J$8:$FD$8,$B25,Меню!$J$101:$FD$101)*Обложка!$F$17/60,SUMIF(Меню!$J$8:$FD$8,$B25,Меню!$J$101:$FD$101)/1000*Обложка!$F$17)</f>
        <v>0</v>
      </c>
      <c r="L25" s="212">
        <f>IF($B25="Яйцо (шт)",SUMIF(Меню!$J$8:$FD$8,$B25,Меню!$J$106:$FD$106)*Обложка!$F$18/60,SUMIF(Меню!$J$8:$FD$8,$B25,Меню!$J$106:$FD$106)/1000*Обложка!$F$18)</f>
        <v>0</v>
      </c>
      <c r="M25" s="685">
        <f t="shared" si="1"/>
        <v>0</v>
      </c>
      <c r="N25" s="212">
        <f>IF($B25="Яйцо (шт)",SUMIF(Меню!$J$8:$EZ$8,$B25,Меню!$J$118:$EZ$118)*Обложка!$H$15/60,SUMIF(Меню!$J$8:$EZ$8,$B25,Меню!$J$118:$EZ$118)/1000*Обложка!$H$15)</f>
        <v>0</v>
      </c>
      <c r="O25" s="212">
        <f>IF($B25="Яйцо (шт)",SUMIF(Меню!$J$8:$EZ$8,$B25,Меню!$J$133:$EZ$133)*Обложка!$H$16/60,SUMIF(Меню!$J$8:$EZ$8,$B25,Меню!$J$133:$EZ$133)/1000*Обложка!$H$16)</f>
        <v>9.5449999999999999</v>
      </c>
      <c r="P25" s="212">
        <f>IF($B25="Яйцо (шт)",SUMIF(Меню!$J$8:$EZ$8,$B25,Меню!$J$146:$EZ$146)*Обложка!$H$17/60,SUMIF(Меню!$J$8:$EZ$8,$B25,Меню!$J$146:$EZ$146)/1000*Обложка!$H$17)</f>
        <v>0</v>
      </c>
      <c r="Q25" s="212">
        <f>IF($B25="Яйцо (шт)",SUMIF(Меню!$J$8:$EZ$8,$B25,Меню!$J$151:$EZ$151)*Обложка!$H$18/60,SUMIF(Меню!$J$8:$EZ$8,$B25,Меню!$J$151:$EZ$151)/1000*Обложка!$H$18)</f>
        <v>0</v>
      </c>
      <c r="R25" s="685">
        <f t="shared" si="2"/>
        <v>9.5449999999999999</v>
      </c>
      <c r="S25" s="212">
        <f>IF($B25="Яйцо (шт)",SUMIF(Меню!$J$8:$EZ$8,$B25,Меню!$J$163:$EZ$163)*Обложка!$J$15/60,SUMIF(Меню!$J$8:$EZ$8,$B25,Меню!$J$163:$EZ$163)/1000*Обложка!$J$15)</f>
        <v>0</v>
      </c>
      <c r="T25" s="212">
        <f>IF($B25="Яйцо (шт)",SUMIF(Меню!$J$8:$EZ$8,$B25,Меню!$J$178:$EZ$178)*Обложка!$J$16/60,SUMIF(Меню!$J$8:$EZ$8,$B25,Меню!$J$178:$EZ$178)/1000*Обложка!$J$16)</f>
        <v>0</v>
      </c>
      <c r="U25" s="212">
        <f>IF($B25="Яйцо (шт)",SUMIF(Меню!$J$8:$EZ$8,$B25,Меню!$J$191:$EZ$191)*Обложка!$J$17/60,SUMIF(Меню!$J$8:$EZ$8,$B25,Меню!$J$191:$EZ$191)/1000*Обложка!$J$17)</f>
        <v>0</v>
      </c>
      <c r="V25" s="212">
        <f>IF($B25="Яйцо (шт)",SUMIF(Меню!$J$8:$EZ$8,$B25,Меню!$J$196:$EZ$196)*Обложка!$J$18/60,SUMIF(Меню!$J$8:$EZ$8,$B25,Меню!$J$196:$EZ$196)/1000*Обложка!$J$18)</f>
        <v>0</v>
      </c>
      <c r="W25" s="685">
        <f t="shared" si="3"/>
        <v>0</v>
      </c>
      <c r="X25" s="212">
        <f>IF($B25="Яйцо (шт)",SUMIF(Меню!$J$8:$EZ$8,$B25,Меню!$J$208:$EZ$208)*Обложка!$L$15/60,SUMIF(Меню!$J$8:$EZ$8,$B25,Меню!$J$208:$EZ$208)/1000*Обложка!$L$15)</f>
        <v>0</v>
      </c>
      <c r="Y25" s="212">
        <f>IF($B25="Яйцо (шт)",SUMIF(Меню!$J$8:$EZ$8,$B25,Меню!$J$223:$EZ$223)*Обложка!$L$16/60,SUMIF(Меню!$J$8:$EZ$8,$B25,Меню!$J$223:$EZ$223)/1000*Обложка!$J$16)</f>
        <v>0</v>
      </c>
      <c r="Z25" s="212">
        <f>IF($B25="Яйцо (шт)",SUMIF(Меню!$J$8:$EZ$8,$B25,Меню!$J$236:$EZ$236)*Обложка!$L$17/60,SUMIF(Меню!$J$8:$EZ$8,$B25,Меню!$J$236:$EZ$236)/1000*Обложка!$L$17)</f>
        <v>2.9050000000000002</v>
      </c>
      <c r="AA25" s="212">
        <f>IF($B25="Яйцо (шт)",SUMIF(Меню!$J$8:$EZ$8,$B25,Меню!$J$241:$EZ$241)*Обложка!$L$18/60,SUMIF(Меню!$J$8:$EZ$8,$B25,Меню!$J$241:$EZ$241)/1000*Обложка!$L$18)</f>
        <v>0</v>
      </c>
      <c r="AB25" s="685">
        <f t="shared" si="4"/>
        <v>2.9050000000000002</v>
      </c>
      <c r="AC25" s="212">
        <f>IF($B25="Яйцо (шт)",SUMIF(Меню!$J$8:$EZ$8,$B25,Меню!$J$253:$EZ$253)*Обложка!$N$15/60,SUMIF(Меню!$J$8:$EZ$8,$B25,Меню!$J$253:$EZ$253)/1000*Обложка!$N$15)</f>
        <v>0</v>
      </c>
      <c r="AD25" s="212">
        <f>IF($B25="Яйцо (шт)",SUMIF(Меню!$J$8:$EZ$8,$B25,Меню!$J$268:$EZ$268)*Обложка!$N$16/60,SUMIF(Меню!$J$8:$EZ$8,$B25,Меню!$J$268:$EZ$268)/1000*Обложка!$N$16)</f>
        <v>3.7350000000000003</v>
      </c>
      <c r="AE25" s="212">
        <f>IF($B25="Яйцо (шт)",SUMIF(Меню!$J$8:$EZ$8,$B25,Меню!$J$281:$EZ$281)*Обложка!$N$17/60,SUMIF(Меню!$J$8:$EZ$8,$B25,Меню!$J$281:$EZ$281)/1000*Обложка!$N$17)</f>
        <v>0</v>
      </c>
      <c r="AF25" s="212">
        <f>IF($B25="Яйцо (шт)",SUMIF(Меню!$J$8:$EZ$8,$B25,Меню!$J$286:$EZ$286)*Обложка!$N$18/60,SUMIF(Меню!$J$8:$EZ$8,$B25,Меню!$J$286:$EZ$286)/1000*Обложка!$N$18)</f>
        <v>0</v>
      </c>
      <c r="AG25" s="685">
        <f t="shared" si="5"/>
        <v>3.7350000000000003</v>
      </c>
      <c r="AH25" s="212">
        <f>IF($B25="Яйцо (шт)",SUMIF(Меню!$J$8:$EZ$8,$B25,Меню!$J$298:$EZ$298)*Обложка!$P$15/60,SUMIF(Меню!$J$8:$EZ$8,$B25,Меню!$J$298:$EZ$298)/1000*Обложка!$P$15)</f>
        <v>0</v>
      </c>
      <c r="AI25" s="212">
        <f>IF($B25="Яйцо (шт)",SUMIF(Меню!$J$8:$EZ$8,$BB25,Меню!$J$313:$EZ$313)*Обложка!$P$16/60,SUMIF(Меню!$J$8:$EZ$8,$B25,Меню!$J$313:$EZ$313)/1000*Обложка!$P$16)</f>
        <v>0</v>
      </c>
      <c r="AJ25" s="212">
        <f>IF($B25="Яйцо (шт)",SUMIF(Меню!$J$8:$EZ$8,$B25,Меню!$J$326:$EZ$326)*Обложка!$P$17/60,SUMIF(Меню!$J$8:$EZ$8,$B25,Меню!$J$326:$EZ$326)/1000*Обложка!$P$17)</f>
        <v>0</v>
      </c>
      <c r="AK25" s="212">
        <f>IF($B25="Яйцо (шт)",SUMIF(Меню!$J$8:$EZ$8,$B25,Меню!$J$331:$EZ$331)*Обложка!$P$18/60,SUMIF(Меню!$J$8:$EZ$8,$B25,Меню!$J$331:$EZ$331)/1000*Обложка!$P$18)</f>
        <v>0</v>
      </c>
      <c r="AL25" s="699">
        <f t="shared" si="6"/>
        <v>0</v>
      </c>
      <c r="AM25" s="685">
        <f t="shared" si="7"/>
        <v>26.311</v>
      </c>
    </row>
    <row r="26" spans="1:39" x14ac:dyDescent="0.25">
      <c r="A26" s="249">
        <f t="shared" si="8"/>
        <v>14</v>
      </c>
      <c r="B26" s="248" t="str">
        <f>инфо!D15</f>
        <v>Мука в/с</v>
      </c>
      <c r="C26" s="694">
        <f>SUMIF(Меню!$J$8:$FD$8,$B26,Меню!$J$333:$FD$333)</f>
        <v>0</v>
      </c>
      <c r="D26" s="212">
        <f>IF($B26="Яйцо (шт)",SUMIF(Меню!$J$8:$FD$8,$B26,Меню!$J$28:$FD$28)*Обложка!$D$15/60,SUMIF(Меню!$J$8:$FD$8,$B26,Меню!$J$28:$FD$28)/1000*Обложка!$D$15)</f>
        <v>0</v>
      </c>
      <c r="E26" s="212">
        <f>IF($B26="Яйцо (шт)",SUMIF(Меню!$J$8:$FD$8,$B26,Меню!$J$43:$FD$43)*Обложка!$D$16/60,SUMIF(Меню!$J$8:$FD$8,$B26,Меню!$J$43:$FD$43)/1000*Обложка!$D$16)</f>
        <v>0</v>
      </c>
      <c r="F26" s="212">
        <f>IF($B26="Яйцо (шт)",SUMIF(Меню!$J$8:$FD$8,$B26,Меню!$J$56:$FD$56)*Обложка!$D$17/60,SUMIF(Меню!$J$8:$FD$8,$B26,Меню!$J$56:$FD$56)/1000*Обложка!$D$17)</f>
        <v>0</v>
      </c>
      <c r="G26" s="212">
        <f>IF($B26="Яйцо (шт)",SUMIF(Меню!$J$8:$FD$8,$B26,Меню!$J$61:$FD$61)*Обложка!$D$18/60,SUMIF(Меню!$J$8:$FD$8,$B26,Меню!$J$61:$FD$61)/1000*Обложка!$D$18)</f>
        <v>0</v>
      </c>
      <c r="H26" s="685">
        <f t="shared" si="0"/>
        <v>0</v>
      </c>
      <c r="I26" s="212">
        <f>IF($B26="Яйцо (шт)",SUMIF(Меню!$J$8:$FD$8,$B26,Меню!$J$73:$FD$73)*Обложка!$F$15/60,SUMIF(Меню!$J$8:$FD$8,$B26,Меню!$J$73:$FD$73)/1000*Обложка!$F$15)</f>
        <v>0</v>
      </c>
      <c r="J26" s="212">
        <f>IF($B26="Яйцо (шт)",SUMIF(Меню!$J$8:$FD$8,$B26,Меню!$J$88:$FD$88)*Обложка!$F$16/60,SUMIF(Меню!$J$8:$FD$8,$B26,Меню!$J$88:$FD$88)/1000*Обложка!$G$16)</f>
        <v>0</v>
      </c>
      <c r="K26" s="212">
        <f>IF($B26="Яйцо (шт)",SUMIF(Меню!$J$8:$FD$8,$B26,Меню!$J$101:$FD$101)*Обложка!$F$17/60,SUMIF(Меню!$J$8:$FD$8,$B26,Меню!$J$101:$FD$101)/1000*Обложка!$F$17)</f>
        <v>0</v>
      </c>
      <c r="L26" s="212">
        <f>IF($B26="Яйцо (шт)",SUMIF(Меню!$J$8:$FD$8,$B26,Меню!$J$106:$FD$106)*Обложка!$F$18/60,SUMIF(Меню!$J$8:$FD$8,$B26,Меню!$J$106:$FD$106)/1000*Обложка!$F$18)</f>
        <v>0</v>
      </c>
      <c r="M26" s="685">
        <f t="shared" si="1"/>
        <v>0</v>
      </c>
      <c r="N26" s="212">
        <f>IF($B26="Яйцо (шт)",SUMIF(Меню!$J$8:$EZ$8,$B26,Меню!$J$118:$EZ$118)*Обложка!$H$15/60,SUMIF(Меню!$J$8:$EZ$8,$B26,Меню!$J$118:$EZ$118)/1000*Обложка!$H$15)</f>
        <v>0</v>
      </c>
      <c r="O26" s="212">
        <f>IF($B26="Яйцо (шт)",SUMIF(Меню!$J$8:$EZ$8,$B26,Меню!$J$133:$EZ$133)*Обложка!$H$16/60,SUMIF(Меню!$J$8:$EZ$8,$B26,Меню!$J$133:$EZ$133)/1000*Обложка!$H$16)</f>
        <v>0</v>
      </c>
      <c r="P26" s="212">
        <f>IF($B26="Яйцо (шт)",SUMIF(Меню!$J$8:$EZ$8,$B26,Меню!$J$146:$EZ$146)*Обложка!$H$17/60,SUMIF(Меню!$J$8:$EZ$8,$B26,Меню!$J$146:$EZ$146)/1000*Обложка!$H$17)</f>
        <v>0</v>
      </c>
      <c r="Q26" s="212">
        <f>IF($B26="Яйцо (шт)",SUMIF(Меню!$J$8:$EZ$8,$B26,Меню!$J$151:$EZ$151)*Обложка!$H$18/60,SUMIF(Меню!$J$8:$EZ$8,$B26,Меню!$J$151:$EZ$151)/1000*Обложка!$H$18)</f>
        <v>0</v>
      </c>
      <c r="R26" s="685">
        <f t="shared" si="2"/>
        <v>0</v>
      </c>
      <c r="S26" s="212">
        <f>IF($B26="Яйцо (шт)",SUMIF(Меню!$J$8:$EZ$8,$B26,Меню!$J$163:$EZ$163)*Обложка!$J$15/60,SUMIF(Меню!$J$8:$EZ$8,$B26,Меню!$J$163:$EZ$163)/1000*Обложка!$J$15)</f>
        <v>0</v>
      </c>
      <c r="T26" s="212">
        <f>IF($B26="Яйцо (шт)",SUMIF(Меню!$J$8:$EZ$8,$B26,Меню!$J$178:$EZ$178)*Обложка!$J$16/60,SUMIF(Меню!$J$8:$EZ$8,$B26,Меню!$J$178:$EZ$178)/1000*Обложка!$J$16)</f>
        <v>0</v>
      </c>
      <c r="U26" s="212">
        <f>IF($B26="Яйцо (шт)",SUMIF(Меню!$J$8:$EZ$8,$B26,Меню!$J$191:$EZ$191)*Обложка!$J$17/60,SUMIF(Меню!$J$8:$EZ$8,$B26,Меню!$J$191:$EZ$191)/1000*Обложка!$J$17)</f>
        <v>0</v>
      </c>
      <c r="V26" s="212">
        <f>IF($B26="Яйцо (шт)",SUMIF(Меню!$J$8:$EZ$8,$B26,Меню!$J$196:$EZ$196)*Обложка!$J$18/60,SUMIF(Меню!$J$8:$EZ$8,$B26,Меню!$J$196:$EZ$196)/1000*Обложка!$J$18)</f>
        <v>0</v>
      </c>
      <c r="W26" s="685">
        <f t="shared" si="3"/>
        <v>0</v>
      </c>
      <c r="X26" s="212">
        <f>IF($B26="Яйцо (шт)",SUMIF(Меню!$J$8:$EZ$8,$B26,Меню!$J$208:$EZ$208)*Обложка!$L$15/60,SUMIF(Меню!$J$8:$EZ$8,$B26,Меню!$J$208:$EZ$208)/1000*Обложка!$L$15)</f>
        <v>0</v>
      </c>
      <c r="Y26" s="212">
        <f>IF($B26="Яйцо (шт)",SUMIF(Меню!$J$8:$EZ$8,$B26,Меню!$J$223:$EZ$223)*Обложка!$L$16/60,SUMIF(Меню!$J$8:$EZ$8,$B26,Меню!$J$223:$EZ$223)/1000*Обложка!$J$16)</f>
        <v>0</v>
      </c>
      <c r="Z26" s="212">
        <f>IF($B26="Яйцо (шт)",SUMIF(Меню!$J$8:$EZ$8,$B26,Меню!$J$236:$EZ$236)*Обложка!$L$17/60,SUMIF(Меню!$J$8:$EZ$8,$B26,Меню!$J$236:$EZ$236)/1000*Обложка!$L$17)</f>
        <v>0</v>
      </c>
      <c r="AA26" s="212">
        <f>IF($B26="Яйцо (шт)",SUMIF(Меню!$J$8:$EZ$8,$B26,Меню!$J$241:$EZ$241)*Обложка!$L$18/60,SUMIF(Меню!$J$8:$EZ$8,$B26,Меню!$J$241:$EZ$241)/1000*Обложка!$L$18)</f>
        <v>0</v>
      </c>
      <c r="AB26" s="685">
        <f t="shared" si="4"/>
        <v>0</v>
      </c>
      <c r="AC26" s="212">
        <f>IF($B26="Яйцо (шт)",SUMIF(Меню!$J$8:$EZ$8,$B26,Меню!$J$253:$EZ$253)*Обложка!$N$15/60,SUMIF(Меню!$J$8:$EZ$8,$B26,Меню!$J$253:$EZ$253)/1000*Обложка!$N$15)</f>
        <v>0</v>
      </c>
      <c r="AD26" s="212">
        <f>IF($B26="Яйцо (шт)",SUMIF(Меню!$J$8:$EZ$8,$B26,Меню!$J$268:$EZ$268)*Обложка!$N$16/60,SUMIF(Меню!$J$8:$EZ$8,$B26,Меню!$J$268:$EZ$268)/1000*Обложка!$N$16)</f>
        <v>0</v>
      </c>
      <c r="AE26" s="212">
        <f>IF($B26="Яйцо (шт)",SUMIF(Меню!$J$8:$EZ$8,$B26,Меню!$J$281:$EZ$281)*Обложка!$N$17/60,SUMIF(Меню!$J$8:$EZ$8,$B26,Меню!$J$281:$EZ$281)/1000*Обложка!$N$17)</f>
        <v>0</v>
      </c>
      <c r="AF26" s="212">
        <f>IF($B26="Яйцо (шт)",SUMIF(Меню!$J$8:$EZ$8,$B26,Меню!$J$286:$EZ$286)*Обложка!$N$18/60,SUMIF(Меню!$J$8:$EZ$8,$B26,Меню!$J$286:$EZ$286)/1000*Обложка!$N$18)</f>
        <v>0</v>
      </c>
      <c r="AG26" s="685">
        <f t="shared" si="5"/>
        <v>0</v>
      </c>
      <c r="AH26" s="212">
        <f>IF($B26="Яйцо (шт)",SUMIF(Меню!$J$8:$EZ$8,$B26,Меню!$J$298:$EZ$298)*Обложка!$P$15/60,SUMIF(Меню!$J$8:$EZ$8,$B26,Меню!$J$298:$EZ$298)/1000*Обложка!$P$15)</f>
        <v>0</v>
      </c>
      <c r="AI26" s="212">
        <f>IF($B26="Яйцо (шт)",SUMIF(Меню!$J$8:$EZ$8,$BB26,Меню!$J$313:$EZ$313)*Обложка!$P$16/60,SUMIF(Меню!$J$8:$EZ$8,$B26,Меню!$J$313:$EZ$313)/1000*Обложка!$P$16)</f>
        <v>0</v>
      </c>
      <c r="AJ26" s="212">
        <f>IF($B26="Яйцо (шт)",SUMIF(Меню!$J$8:$EZ$8,$B26,Меню!$J$326:$EZ$326)*Обложка!$P$17/60,SUMIF(Меню!$J$8:$EZ$8,$B26,Меню!$J$326:$EZ$326)/1000*Обложка!$P$17)</f>
        <v>0</v>
      </c>
      <c r="AK26" s="212">
        <f>IF($B26="Яйцо (шт)",SUMIF(Меню!$J$8:$EZ$8,$B26,Меню!$J$331:$EZ$331)*Обложка!$P$18/60,SUMIF(Меню!$J$8:$EZ$8,$B26,Меню!$J$331:$EZ$331)/1000*Обложка!$P$18)</f>
        <v>0</v>
      </c>
      <c r="AL26" s="699">
        <f t="shared" si="6"/>
        <v>0</v>
      </c>
      <c r="AM26" s="685">
        <f t="shared" si="7"/>
        <v>0</v>
      </c>
    </row>
    <row r="27" spans="1:39" x14ac:dyDescent="0.25">
      <c r="A27" s="249">
        <f t="shared" si="8"/>
        <v>15</v>
      </c>
      <c r="B27" s="248" t="str">
        <f>инфо!D16</f>
        <v>Мука пшеничная 1 с</v>
      </c>
      <c r="C27" s="694">
        <f>SUMIF(Меню!$J$8:$FD$8,$B27,Меню!$J$333:$FD$333)</f>
        <v>73.56</v>
      </c>
      <c r="D27" s="212">
        <f>IF($B27="Яйцо (шт)",SUMIF(Меню!$J$8:$FD$8,$B27,Меню!$J$28:$FD$28)*Обложка!$D$15/60,SUMIF(Меню!$J$8:$FD$8,$B27,Меню!$J$28:$FD$28)/1000*Обложка!$D$15)</f>
        <v>0</v>
      </c>
      <c r="E27" s="212">
        <f>IF($B27="Яйцо (шт)",SUMIF(Меню!$J$8:$FD$8,$B27,Меню!$J$43:$FD$43)*Обложка!$D$16/60,SUMIF(Меню!$J$8:$FD$8,$B27,Меню!$J$43:$FD$43)/1000*Обложка!$D$16)</f>
        <v>0.48799999999999999</v>
      </c>
      <c r="F27" s="212">
        <f>IF($B27="Яйцо (шт)",SUMIF(Меню!$J$8:$FD$8,$B27,Меню!$J$56:$FD$56)*Обложка!$D$17/60,SUMIF(Меню!$J$8:$FD$8,$B27,Меню!$J$56:$FD$56)/1000*Обложка!$D$17)</f>
        <v>0.85399999999999998</v>
      </c>
      <c r="G27" s="212">
        <f>IF($B27="Яйцо (шт)",SUMIF(Меню!$J$8:$FD$8,$B27,Меню!$J$61:$FD$61)*Обложка!$D$18/60,SUMIF(Меню!$J$8:$FD$8,$B27,Меню!$J$61:$FD$61)/1000*Обложка!$D$18)</f>
        <v>0</v>
      </c>
      <c r="H27" s="685">
        <f t="shared" si="0"/>
        <v>1.3420000000000001</v>
      </c>
      <c r="I27" s="212">
        <f>IF($B27="Яйцо (шт)",SUMIF(Меню!$J$8:$FD$8,$B27,Меню!$J$73:$FD$73)*Обложка!$F$15/60,SUMIF(Меню!$J$8:$FD$8,$B27,Меню!$J$73:$FD$73)/1000*Обложка!$F$15)</f>
        <v>0</v>
      </c>
      <c r="J27" s="212">
        <f>IF($B27="Яйцо (шт)",SUMIF(Меню!$J$8:$FD$8,$B27,Меню!$J$88:$FD$88)*Обложка!$F$16/60,SUMIF(Меню!$J$8:$FD$8,$B27,Меню!$J$88:$FD$88)/1000*Обложка!$G$16)</f>
        <v>1.4080000000000001E-2</v>
      </c>
      <c r="K27" s="212">
        <f>IF($B27="Яйцо (шт)",SUMIF(Меню!$J$8:$FD$8,$B27,Меню!$J$101:$FD$101)*Обложка!$F$17/60,SUMIF(Меню!$J$8:$FD$8,$B27,Меню!$J$101:$FD$101)/1000*Обложка!$F$17)</f>
        <v>0.91</v>
      </c>
      <c r="L27" s="212">
        <f>IF($B27="Яйцо (шт)",SUMIF(Меню!$J$8:$FD$8,$B27,Меню!$J$106:$FD$106)*Обложка!$F$18/60,SUMIF(Меню!$J$8:$FD$8,$B27,Меню!$J$106:$FD$106)/1000*Обложка!$F$18)</f>
        <v>0</v>
      </c>
      <c r="M27" s="685">
        <f t="shared" si="1"/>
        <v>0.92408000000000001</v>
      </c>
      <c r="N27" s="212">
        <f>IF($B27="Яйцо (шт)",SUMIF(Меню!$J$8:$EZ$8,$B27,Меню!$J$118:$EZ$118)*Обложка!$H$15/60,SUMIF(Меню!$J$8:$EZ$8,$B27,Меню!$J$118:$EZ$118)/1000*Обложка!$H$15)</f>
        <v>0</v>
      </c>
      <c r="O27" s="212">
        <f>IF($B27="Яйцо (шт)",SUMIF(Меню!$J$8:$EZ$8,$B27,Меню!$J$133:$EZ$133)*Обложка!$H$16/60,SUMIF(Меню!$J$8:$EZ$8,$B27,Меню!$J$133:$EZ$133)/1000*Обложка!$H$16)</f>
        <v>0.98899999999999999</v>
      </c>
      <c r="P27" s="212">
        <f>IF($B27="Яйцо (шт)",SUMIF(Меню!$J$8:$EZ$8,$B27,Меню!$J$146:$EZ$146)*Обложка!$H$17/60,SUMIF(Меню!$J$8:$EZ$8,$B27,Меню!$J$146:$EZ$146)/1000*Обложка!$H$17)</f>
        <v>0.80500000000000005</v>
      </c>
      <c r="Q27" s="212">
        <f>IF($B27="Яйцо (шт)",SUMIF(Меню!$J$8:$EZ$8,$B27,Меню!$J$151:$EZ$151)*Обложка!$H$18/60,SUMIF(Меню!$J$8:$EZ$8,$B27,Меню!$J$151:$EZ$151)/1000*Обложка!$H$18)</f>
        <v>0</v>
      </c>
      <c r="R27" s="685">
        <f t="shared" si="2"/>
        <v>1.794</v>
      </c>
      <c r="S27" s="212">
        <f>IF($B27="Яйцо (шт)",SUMIF(Меню!$J$8:$EZ$8,$B27,Меню!$J$163:$EZ$163)*Обложка!$J$15/60,SUMIF(Меню!$J$8:$EZ$8,$B27,Меню!$J$163:$EZ$163)/1000*Обложка!$J$15)</f>
        <v>0</v>
      </c>
      <c r="T27" s="212">
        <f>IF($B27="Яйцо (шт)",SUMIF(Меню!$J$8:$EZ$8,$B27,Меню!$J$178:$EZ$178)*Обложка!$J$16/60,SUMIF(Меню!$J$8:$EZ$8,$B27,Меню!$J$178:$EZ$178)/1000*Обложка!$J$16)</f>
        <v>0.48</v>
      </c>
      <c r="U27" s="212">
        <f>IF($B27="Яйцо (шт)",SUMIF(Меню!$J$8:$EZ$8,$B27,Меню!$J$191:$EZ$191)*Обложка!$J$17/60,SUMIF(Меню!$J$8:$EZ$8,$B27,Меню!$J$191:$EZ$191)/1000*Обложка!$J$17)</f>
        <v>0.68600000000000005</v>
      </c>
      <c r="V27" s="212">
        <f>IF($B27="Яйцо (шт)",SUMIF(Меню!$J$8:$EZ$8,$B27,Меню!$J$196:$EZ$196)*Обложка!$J$18/60,SUMIF(Меню!$J$8:$EZ$8,$B27,Меню!$J$196:$EZ$196)/1000*Обложка!$J$18)</f>
        <v>0</v>
      </c>
      <c r="W27" s="685">
        <f t="shared" si="3"/>
        <v>1.1659999999999999</v>
      </c>
      <c r="X27" s="212">
        <f>IF($B27="Яйцо (шт)",SUMIF(Меню!$J$8:$EZ$8,$B27,Меню!$J$208:$EZ$208)*Обложка!$L$15/60,SUMIF(Меню!$J$8:$EZ$8,$B27,Меню!$J$208:$EZ$208)/1000*Обложка!$L$15)</f>
        <v>0</v>
      </c>
      <c r="Y27" s="212">
        <f>IF($B27="Яйцо (шт)",SUMIF(Меню!$J$8:$EZ$8,$B27,Меню!$J$223:$EZ$223)*Обложка!$L$16/60,SUMIF(Меню!$J$8:$EZ$8,$B27,Меню!$J$223:$EZ$223)/1000*Обложка!$J$16)</f>
        <v>0.2</v>
      </c>
      <c r="Z27" s="212">
        <f>IF($B27="Яйцо (шт)",SUMIF(Меню!$J$8:$EZ$8,$B27,Меню!$J$236:$EZ$236)*Обложка!$L$17/60,SUMIF(Меню!$J$8:$EZ$8,$B27,Меню!$J$236:$EZ$236)/1000*Обложка!$L$17)</f>
        <v>0.2702</v>
      </c>
      <c r="AA27" s="212">
        <f>IF($B27="Яйцо (шт)",SUMIF(Меню!$J$8:$EZ$8,$B27,Меню!$J$241:$EZ$241)*Обложка!$L$18/60,SUMIF(Меню!$J$8:$EZ$8,$B27,Меню!$J$241:$EZ$241)/1000*Обложка!$L$18)</f>
        <v>0</v>
      </c>
      <c r="AB27" s="685">
        <f t="shared" si="4"/>
        <v>0.47020000000000001</v>
      </c>
      <c r="AC27" s="212">
        <f>IF($B27="Яйцо (шт)",SUMIF(Меню!$J$8:$EZ$8,$B27,Меню!$J$253:$EZ$253)*Обложка!$N$15/60,SUMIF(Меню!$J$8:$EZ$8,$B27,Меню!$J$253:$EZ$253)/1000*Обложка!$N$15)</f>
        <v>0</v>
      </c>
      <c r="AD27" s="212">
        <f>IF($B27="Яйцо (шт)",SUMIF(Меню!$J$8:$EZ$8,$B27,Меню!$J$268:$EZ$268)*Обложка!$N$16/60,SUMIF(Меню!$J$8:$EZ$8,$B27,Меню!$J$268:$EZ$268)/1000*Обложка!$N$16)</f>
        <v>3.6000000000000004E-2</v>
      </c>
      <c r="AE27" s="212">
        <f>IF($B27="Яйцо (шт)",SUMIF(Меню!$J$8:$EZ$8,$B27,Меню!$J$281:$EZ$281)*Обложка!$N$17/60,SUMIF(Меню!$J$8:$EZ$8,$B27,Меню!$J$281:$EZ$281)/1000*Обложка!$N$17)</f>
        <v>0.315</v>
      </c>
      <c r="AF27" s="212">
        <f>IF($B27="Яйцо (шт)",SUMIF(Меню!$J$8:$EZ$8,$B27,Меню!$J$286:$EZ$286)*Обложка!$N$18/60,SUMIF(Меню!$J$8:$EZ$8,$B27,Меню!$J$286:$EZ$286)/1000*Обложка!$N$18)</f>
        <v>0</v>
      </c>
      <c r="AG27" s="685">
        <f t="shared" si="5"/>
        <v>0.35099999999999998</v>
      </c>
      <c r="AH27" s="212">
        <f>IF($B27="Яйцо (шт)",SUMIF(Меню!$J$8:$EZ$8,$B27,Меню!$J$298:$EZ$298)*Обложка!$P$15/60,SUMIF(Меню!$J$8:$EZ$8,$B27,Меню!$J$298:$EZ$298)/1000*Обложка!$P$15)</f>
        <v>0.14000000000000001</v>
      </c>
      <c r="AI27" s="212">
        <f>IF($B27="Яйцо (шт)",SUMIF(Меню!$J$8:$EZ$8,$BB27,Меню!$J$313:$EZ$313)*Обложка!$P$16/60,SUMIF(Меню!$J$8:$EZ$8,$B27,Меню!$J$313:$EZ$313)/1000*Обложка!$P$16)</f>
        <v>0.05</v>
      </c>
      <c r="AJ27" s="212">
        <f>IF($B27="Яйцо (шт)",SUMIF(Меню!$J$8:$EZ$8,$B27,Меню!$J$326:$EZ$326)*Обложка!$P$17/60,SUMIF(Меню!$J$8:$EZ$8,$B27,Меню!$J$326:$EZ$326)/1000*Обложка!$P$17)</f>
        <v>2.5000000000000001E-2</v>
      </c>
      <c r="AK27" s="212">
        <f>IF($B27="Яйцо (шт)",SUMIF(Меню!$J$8:$EZ$8,$B27,Меню!$J$331:$EZ$331)*Обложка!$P$18/60,SUMIF(Меню!$J$8:$EZ$8,$B27,Меню!$J$331:$EZ$331)/1000*Обложка!$P$18)</f>
        <v>0</v>
      </c>
      <c r="AL27" s="699">
        <f t="shared" si="6"/>
        <v>0.215</v>
      </c>
      <c r="AM27" s="685">
        <f t="shared" si="7"/>
        <v>6.2622799999999996</v>
      </c>
    </row>
    <row r="28" spans="1:39" x14ac:dyDescent="0.25">
      <c r="A28" s="249">
        <f t="shared" si="8"/>
        <v>16</v>
      </c>
      <c r="B28" s="248" t="str">
        <f>инфо!D17</f>
        <v>Сухари</v>
      </c>
      <c r="C28" s="694">
        <f>SUMIF(Меню!$J$8:$FD$8,$B28,Меню!$J$333:$FD$333)</f>
        <v>0</v>
      </c>
      <c r="D28" s="212">
        <f>IF($B28="Яйцо (шт)",SUMIF(Меню!$J$8:$FD$8,$B28,Меню!$J$28:$FD$28)*Обложка!$D$15/60,SUMIF(Меню!$J$8:$FD$8,$B28,Меню!$J$28:$FD$28)/1000*Обложка!$D$15)</f>
        <v>0</v>
      </c>
      <c r="E28" s="212">
        <f>IF($B28="Яйцо (шт)",SUMIF(Меню!$J$8:$FD$8,$B28,Меню!$J$43:$FD$43)*Обложка!$D$16/60,SUMIF(Меню!$J$8:$FD$8,$B28,Меню!$J$43:$FD$43)/1000*Обложка!$D$16)</f>
        <v>0</v>
      </c>
      <c r="F28" s="212">
        <f>IF($B28="Яйцо (шт)",SUMIF(Меню!$J$8:$FD$8,$B28,Меню!$J$56:$FD$56)*Обложка!$D$17/60,SUMIF(Меню!$J$8:$FD$8,$B28,Меню!$J$56:$FD$56)/1000*Обложка!$D$17)</f>
        <v>0</v>
      </c>
      <c r="G28" s="212">
        <f>IF($B28="Яйцо (шт)",SUMIF(Меню!$J$8:$FD$8,$B28,Меню!$J$61:$FD$61)*Обложка!$D$18/60,SUMIF(Меню!$J$8:$FD$8,$B28,Меню!$J$61:$FD$61)/1000*Обложка!$D$18)</f>
        <v>0</v>
      </c>
      <c r="H28" s="685">
        <f t="shared" si="0"/>
        <v>0</v>
      </c>
      <c r="I28" s="212">
        <f>IF($B28="Яйцо (шт)",SUMIF(Меню!$J$8:$FD$8,$B28,Меню!$J$73:$FD$73)*Обложка!$F$15/60,SUMIF(Меню!$J$8:$FD$8,$B28,Меню!$J$73:$FD$73)/1000*Обложка!$F$15)</f>
        <v>0</v>
      </c>
      <c r="J28" s="212">
        <f>IF($B28="Яйцо (шт)",SUMIF(Меню!$J$8:$FD$8,$B28,Меню!$J$88:$FD$88)*Обложка!$F$16/60,SUMIF(Меню!$J$8:$FD$8,$B28,Меню!$J$88:$FD$88)/1000*Обложка!$G$16)</f>
        <v>0</v>
      </c>
      <c r="K28" s="212">
        <f>IF($B28="Яйцо (шт)",SUMIF(Меню!$J$8:$FD$8,$B28,Меню!$J$101:$FD$101)*Обложка!$F$17/60,SUMIF(Меню!$J$8:$FD$8,$B28,Меню!$J$101:$FD$101)/1000*Обложка!$F$17)</f>
        <v>0</v>
      </c>
      <c r="L28" s="212">
        <f>IF($B28="Яйцо (шт)",SUMIF(Меню!$J$8:$FD$8,$B28,Меню!$J$106:$FD$106)*Обложка!$F$18/60,SUMIF(Меню!$J$8:$FD$8,$B28,Меню!$J$106:$FD$106)/1000*Обложка!$F$18)</f>
        <v>0</v>
      </c>
      <c r="M28" s="685">
        <f t="shared" si="1"/>
        <v>0</v>
      </c>
      <c r="N28" s="212">
        <f>IF($B28="Яйцо (шт)",SUMIF(Меню!$J$8:$EZ$8,$B28,Меню!$J$118:$EZ$118)*Обложка!$H$15/60,SUMIF(Меню!$J$8:$EZ$8,$B28,Меню!$J$118:$EZ$118)/1000*Обложка!$H$15)</f>
        <v>0</v>
      </c>
      <c r="O28" s="212">
        <f>IF($B28="Яйцо (шт)",SUMIF(Меню!$J$8:$EZ$8,$B28,Меню!$J$133:$EZ$133)*Обложка!$H$16/60,SUMIF(Меню!$J$8:$EZ$8,$B28,Меню!$J$133:$EZ$133)/1000*Обложка!$H$16)</f>
        <v>0</v>
      </c>
      <c r="P28" s="212">
        <f>IF($B28="Яйцо (шт)",SUMIF(Меню!$J$8:$EZ$8,$B28,Меню!$J$146:$EZ$146)*Обложка!$H$17/60,SUMIF(Меню!$J$8:$EZ$8,$B28,Меню!$J$146:$EZ$146)/1000*Обложка!$H$17)</f>
        <v>0</v>
      </c>
      <c r="Q28" s="212">
        <f>IF($B28="Яйцо (шт)",SUMIF(Меню!$J$8:$EZ$8,$B28,Меню!$J$151:$EZ$151)*Обложка!$H$18/60,SUMIF(Меню!$J$8:$EZ$8,$B28,Меню!$J$151:$EZ$151)/1000*Обложка!$H$18)</f>
        <v>0</v>
      </c>
      <c r="R28" s="685">
        <f t="shared" si="2"/>
        <v>0</v>
      </c>
      <c r="S28" s="212">
        <f>IF($B28="Яйцо (шт)",SUMIF(Меню!$J$8:$EZ$8,$B28,Меню!$J$163:$EZ$163)*Обложка!$J$15/60,SUMIF(Меню!$J$8:$EZ$8,$B28,Меню!$J$163:$EZ$163)/1000*Обложка!$J$15)</f>
        <v>0</v>
      </c>
      <c r="T28" s="212">
        <f>IF($B28="Яйцо (шт)",SUMIF(Меню!$J$8:$EZ$8,$B28,Меню!$J$178:$EZ$178)*Обложка!$J$16/60,SUMIF(Меню!$J$8:$EZ$8,$B28,Меню!$J$178:$EZ$178)/1000*Обложка!$J$16)</f>
        <v>0</v>
      </c>
      <c r="U28" s="212">
        <f>IF($B28="Яйцо (шт)",SUMIF(Меню!$J$8:$EZ$8,$B28,Меню!$J$191:$EZ$191)*Обложка!$J$17/60,SUMIF(Меню!$J$8:$EZ$8,$B28,Меню!$J$191:$EZ$191)/1000*Обложка!$J$17)</f>
        <v>0</v>
      </c>
      <c r="V28" s="212">
        <f>IF($B28="Яйцо (шт)",SUMIF(Меню!$J$8:$EZ$8,$B28,Меню!$J$196:$EZ$196)*Обложка!$J$18/60,SUMIF(Меню!$J$8:$EZ$8,$B28,Меню!$J$196:$EZ$196)/1000*Обложка!$J$18)</f>
        <v>0</v>
      </c>
      <c r="W28" s="685">
        <f t="shared" si="3"/>
        <v>0</v>
      </c>
      <c r="X28" s="212">
        <f>IF($B28="Яйцо (шт)",SUMIF(Меню!$J$8:$EZ$8,$B28,Меню!$J$208:$EZ$208)*Обложка!$L$15/60,SUMIF(Меню!$J$8:$EZ$8,$B28,Меню!$J$208:$EZ$208)/1000*Обложка!$L$15)</f>
        <v>0</v>
      </c>
      <c r="Y28" s="212">
        <f>IF($B28="Яйцо (шт)",SUMIF(Меню!$J$8:$EZ$8,$B28,Меню!$J$223:$EZ$223)*Обложка!$L$16/60,SUMIF(Меню!$J$8:$EZ$8,$B28,Меню!$J$223:$EZ$223)/1000*Обложка!$J$16)</f>
        <v>0</v>
      </c>
      <c r="Z28" s="212">
        <f>IF($B28="Яйцо (шт)",SUMIF(Меню!$J$8:$EZ$8,$B28,Меню!$J$236:$EZ$236)*Обложка!$L$17/60,SUMIF(Меню!$J$8:$EZ$8,$B28,Меню!$J$236:$EZ$236)/1000*Обложка!$L$17)</f>
        <v>0</v>
      </c>
      <c r="AA28" s="212">
        <f>IF($B28="Яйцо (шт)",SUMIF(Меню!$J$8:$EZ$8,$B28,Меню!$J$241:$EZ$241)*Обложка!$L$18/60,SUMIF(Меню!$J$8:$EZ$8,$B28,Меню!$J$241:$EZ$241)/1000*Обложка!$L$18)</f>
        <v>0</v>
      </c>
      <c r="AB28" s="685">
        <f t="shared" si="4"/>
        <v>0</v>
      </c>
      <c r="AC28" s="212">
        <f>IF($B28="Яйцо (шт)",SUMIF(Меню!$J$8:$EZ$8,$B28,Меню!$J$253:$EZ$253)*Обложка!$N$15/60,SUMIF(Меню!$J$8:$EZ$8,$B28,Меню!$J$253:$EZ$253)/1000*Обложка!$N$15)</f>
        <v>0</v>
      </c>
      <c r="AD28" s="212">
        <f>IF($B28="Яйцо (шт)",SUMIF(Меню!$J$8:$EZ$8,$B28,Меню!$J$268:$EZ$268)*Обложка!$N$16/60,SUMIF(Меню!$J$8:$EZ$8,$B28,Меню!$J$268:$EZ$268)/1000*Обложка!$N$16)</f>
        <v>0</v>
      </c>
      <c r="AE28" s="212">
        <f>IF($B28="Яйцо (шт)",SUMIF(Меню!$J$8:$EZ$8,$B28,Меню!$J$281:$EZ$281)*Обложка!$N$17/60,SUMIF(Меню!$J$8:$EZ$8,$B28,Меню!$J$281:$EZ$281)/1000*Обложка!$N$17)</f>
        <v>0</v>
      </c>
      <c r="AF28" s="212">
        <f>IF($B28="Яйцо (шт)",SUMIF(Меню!$J$8:$EZ$8,$B28,Меню!$J$286:$EZ$286)*Обложка!$N$18/60,SUMIF(Меню!$J$8:$EZ$8,$B28,Меню!$J$286:$EZ$286)/1000*Обложка!$N$18)</f>
        <v>0</v>
      </c>
      <c r="AG28" s="685">
        <f t="shared" si="5"/>
        <v>0</v>
      </c>
      <c r="AH28" s="212">
        <f>IF($B28="Яйцо (шт)",SUMIF(Меню!$J$8:$EZ$8,$B28,Меню!$J$298:$EZ$298)*Обложка!$P$15/60,SUMIF(Меню!$J$8:$EZ$8,$B28,Меню!$J$298:$EZ$298)/1000*Обложка!$P$15)</f>
        <v>0</v>
      </c>
      <c r="AI28" s="212">
        <f>IF($B28="Яйцо (шт)",SUMIF(Меню!$J$8:$EZ$8,$BB28,Меню!$J$313:$EZ$313)*Обложка!$P$16/60,SUMIF(Меню!$J$8:$EZ$8,$B28,Меню!$J$313:$EZ$313)/1000*Обложка!$P$16)</f>
        <v>0</v>
      </c>
      <c r="AJ28" s="212">
        <f>IF($B28="Яйцо (шт)",SUMIF(Меню!$J$8:$EZ$8,$B28,Меню!$J$326:$EZ$326)*Обложка!$P$17/60,SUMIF(Меню!$J$8:$EZ$8,$B28,Меню!$J$326:$EZ$326)/1000*Обложка!$P$17)</f>
        <v>0</v>
      </c>
      <c r="AK28" s="212">
        <f>IF($B28="Яйцо (шт)",SUMIF(Меню!$J$8:$EZ$8,$B28,Меню!$J$331:$EZ$331)*Обложка!$P$18/60,SUMIF(Меню!$J$8:$EZ$8,$B28,Меню!$J$331:$EZ$331)/1000*Обложка!$P$18)</f>
        <v>0</v>
      </c>
      <c r="AL28" s="699">
        <f t="shared" si="6"/>
        <v>0</v>
      </c>
      <c r="AM28" s="685">
        <f t="shared" si="7"/>
        <v>0</v>
      </c>
    </row>
    <row r="29" spans="1:39" x14ac:dyDescent="0.25">
      <c r="A29" s="249">
        <f t="shared" si="8"/>
        <v>17</v>
      </c>
      <c r="B29" s="248" t="str">
        <f>инфо!D18</f>
        <v>Хлеб дарницкий</v>
      </c>
      <c r="C29" s="694">
        <f>SUMIF(Меню!$J$8:$FD$8,$B29,Меню!$J$333:$FD$333)</f>
        <v>1050</v>
      </c>
      <c r="D29" s="212">
        <f>IF($B29="Яйцо (шт)",SUMIF(Меню!$J$8:$FD$8,$B29,Меню!$J$28:$FD$28)*Обложка!$D$15/60,SUMIF(Меню!$J$8:$FD$8,$B29,Меню!$J$28:$FD$28)/1000*Обложка!$D$15)</f>
        <v>6.1000000000000005</v>
      </c>
      <c r="E29" s="212">
        <f>IF($B29="Яйцо (шт)",SUMIF(Меню!$J$8:$FD$8,$B29,Меню!$J$43:$FD$43)*Обложка!$D$16/60,SUMIF(Меню!$J$8:$FD$8,$B29,Меню!$J$43:$FD$43)/1000*Обложка!$D$16)</f>
        <v>6.1000000000000005</v>
      </c>
      <c r="F29" s="212">
        <f>IF($B29="Яйцо (шт)",SUMIF(Меню!$J$8:$FD$8,$B29,Меню!$J$56:$FD$56)*Обложка!$D$17/60,SUMIF(Меню!$J$8:$FD$8,$B29,Меню!$J$56:$FD$56)/1000*Обложка!$D$17)</f>
        <v>6.1000000000000005</v>
      </c>
      <c r="G29" s="212">
        <f>IF($B29="Яйцо (шт)",SUMIF(Меню!$J$8:$FD$8,$B29,Меню!$J$61:$FD$61)*Обложка!$D$18/60,SUMIF(Меню!$J$8:$FD$8,$B29,Меню!$J$61:$FD$61)/1000*Обложка!$D$18)</f>
        <v>0</v>
      </c>
      <c r="H29" s="685">
        <f t="shared" si="0"/>
        <v>18.3</v>
      </c>
      <c r="I29" s="212">
        <f>IF($B29="Яйцо (шт)",SUMIF(Меню!$J$8:$FD$8,$B29,Меню!$J$73:$FD$73)*Обложка!$F$15/60,SUMIF(Меню!$J$8:$FD$8,$B29,Меню!$J$73:$FD$73)/1000*Обложка!$F$15)</f>
        <v>6.4</v>
      </c>
      <c r="J29" s="212">
        <f>IF($B29="Яйцо (шт)",SUMIF(Меню!$J$8:$FD$8,$B29,Меню!$J$88:$FD$88)*Обложка!$F$16/60,SUMIF(Меню!$J$8:$FD$8,$B29,Меню!$J$88:$FD$88)/1000*Обложка!$G$16)</f>
        <v>1.1000000000000001</v>
      </c>
      <c r="K29" s="212">
        <f>IF($B29="Яйцо (шт)",SUMIF(Меню!$J$8:$FD$8,$B29,Меню!$J$101:$FD$101)*Обложка!$F$17/60,SUMIF(Меню!$J$8:$FD$8,$B29,Меню!$J$101:$FD$101)/1000*Обложка!$F$17)</f>
        <v>6.5</v>
      </c>
      <c r="L29" s="212">
        <f>IF($B29="Яйцо (шт)",SUMIF(Меню!$J$8:$FD$8,$B29,Меню!$J$106:$FD$106)*Обложка!$F$18/60,SUMIF(Меню!$J$8:$FD$8,$B29,Меню!$J$106:$FD$106)/1000*Обложка!$F$18)</f>
        <v>0</v>
      </c>
      <c r="M29" s="685">
        <f t="shared" si="1"/>
        <v>14</v>
      </c>
      <c r="N29" s="212">
        <f>IF($B29="Яйцо (шт)",SUMIF(Меню!$J$8:$EZ$8,$B29,Меню!$J$118:$EZ$118)*Обложка!$H$15/60,SUMIF(Меню!$J$8:$EZ$8,$B29,Меню!$J$118:$EZ$118)/1000*Обложка!$H$15)</f>
        <v>5.75</v>
      </c>
      <c r="O29" s="212">
        <f>IF($B29="Яйцо (шт)",SUMIF(Меню!$J$8:$EZ$8,$B29,Меню!$J$133:$EZ$133)*Обложка!$H$16/60,SUMIF(Меню!$J$8:$EZ$8,$B29,Меню!$J$133:$EZ$133)/1000*Обложка!$H$16)</f>
        <v>5.75</v>
      </c>
      <c r="P29" s="212">
        <f>IF($B29="Яйцо (шт)",SUMIF(Меню!$J$8:$EZ$8,$B29,Меню!$J$146:$EZ$146)*Обложка!$H$17/60,SUMIF(Меню!$J$8:$EZ$8,$B29,Меню!$J$146:$EZ$146)/1000*Обложка!$H$17)</f>
        <v>5.75</v>
      </c>
      <c r="Q29" s="212">
        <f>IF($B29="Яйцо (шт)",SUMIF(Меню!$J$8:$EZ$8,$B29,Меню!$J$151:$EZ$151)*Обложка!$H$18/60,SUMIF(Меню!$J$8:$EZ$8,$B29,Меню!$J$151:$EZ$151)/1000*Обложка!$H$18)</f>
        <v>0</v>
      </c>
      <c r="R29" s="685">
        <f t="shared" si="2"/>
        <v>17.25</v>
      </c>
      <c r="S29" s="212">
        <f>IF($B29="Яйцо (шт)",SUMIF(Меню!$J$8:$EZ$8,$B29,Меню!$J$163:$EZ$163)*Обложка!$J$15/60,SUMIF(Меню!$J$8:$EZ$8,$B29,Меню!$J$163:$EZ$163)/1000*Обложка!$J$15)</f>
        <v>5.25</v>
      </c>
      <c r="T29" s="212">
        <f>IF($B29="Яйцо (шт)",SUMIF(Меню!$J$8:$EZ$8,$B29,Меню!$J$178:$EZ$178)*Обложка!$J$16/60,SUMIF(Меню!$J$8:$EZ$8,$B29,Меню!$J$178:$EZ$178)/1000*Обложка!$J$16)</f>
        <v>5</v>
      </c>
      <c r="U29" s="212">
        <f>IF($B29="Яйцо (шт)",SUMIF(Меню!$J$8:$EZ$8,$B29,Меню!$J$191:$EZ$191)*Обложка!$J$17/60,SUMIF(Меню!$J$8:$EZ$8,$B29,Меню!$J$191:$EZ$191)/1000*Обложка!$J$17)</f>
        <v>4.9000000000000004</v>
      </c>
      <c r="V29" s="212">
        <f>IF($B29="Яйцо (шт)",SUMIF(Меню!$J$8:$EZ$8,$B29,Меню!$J$196:$EZ$196)*Обложка!$J$18/60,SUMIF(Меню!$J$8:$EZ$8,$B29,Меню!$J$196:$EZ$196)/1000*Обложка!$J$18)</f>
        <v>0</v>
      </c>
      <c r="W29" s="685">
        <f t="shared" si="3"/>
        <v>15.15</v>
      </c>
      <c r="X29" s="212">
        <f>IF($B29="Яйцо (шт)",SUMIF(Меню!$J$8:$EZ$8,$B29,Меню!$J$208:$EZ$208)*Обложка!$L$15/60,SUMIF(Меню!$J$8:$EZ$8,$B29,Меню!$J$208:$EZ$208)/1000*Обложка!$L$15)</f>
        <v>7</v>
      </c>
      <c r="Y29" s="212">
        <f>IF($B29="Яйцо (шт)",SUMIF(Меню!$J$8:$EZ$8,$B29,Меню!$J$223:$EZ$223)*Обложка!$L$16/60,SUMIF(Меню!$J$8:$EZ$8,$B29,Меню!$J$223:$EZ$223)/1000*Обложка!$J$16)</f>
        <v>5</v>
      </c>
      <c r="Z29" s="212">
        <f>IF($B29="Яйцо (шт)",SUMIF(Меню!$J$8:$EZ$8,$B29,Меню!$J$236:$EZ$236)*Обложка!$L$17/60,SUMIF(Меню!$J$8:$EZ$8,$B29,Меню!$J$236:$EZ$236)/1000*Обложка!$L$17)</f>
        <v>1.75</v>
      </c>
      <c r="AA29" s="212">
        <f>IF($B29="Яйцо (шт)",SUMIF(Меню!$J$8:$EZ$8,$B29,Меню!$J$241:$EZ$241)*Обложка!$L$18/60,SUMIF(Меню!$J$8:$EZ$8,$B29,Меню!$J$241:$EZ$241)/1000*Обложка!$L$18)</f>
        <v>0</v>
      </c>
      <c r="AB29" s="685">
        <f t="shared" si="4"/>
        <v>13.75</v>
      </c>
      <c r="AC29" s="212">
        <f>IF($B29="Яйцо (шт)",SUMIF(Меню!$J$8:$EZ$8,$B29,Меню!$J$253:$EZ$253)*Обложка!$N$15/60,SUMIF(Меню!$J$8:$EZ$8,$B29,Меню!$J$253:$EZ$253)/1000*Обложка!$N$15)</f>
        <v>2.25</v>
      </c>
      <c r="AD29" s="212">
        <f>IF($B29="Яйцо (шт)",SUMIF(Меню!$J$8:$EZ$8,$B29,Меню!$J$268:$EZ$268)*Обложка!$N$16/60,SUMIF(Меню!$J$8:$EZ$8,$B29,Меню!$J$268:$EZ$268)/1000*Обложка!$N$16)</f>
        <v>2.25</v>
      </c>
      <c r="AE29" s="212">
        <f>IF($B29="Яйцо (шт)",SUMIF(Меню!$J$8:$EZ$8,$B29,Меню!$J$281:$EZ$281)*Обложка!$N$17/60,SUMIF(Меню!$J$8:$EZ$8,$B29,Меню!$J$281:$EZ$281)/1000*Обложка!$N$17)</f>
        <v>2.25</v>
      </c>
      <c r="AF29" s="212">
        <f>IF($B29="Яйцо (шт)",SUMIF(Меню!$J$8:$EZ$8,$B29,Меню!$J$286:$EZ$286)*Обложка!$N$18/60,SUMIF(Меню!$J$8:$EZ$8,$B29,Меню!$J$286:$EZ$286)/1000*Обложка!$N$18)</f>
        <v>0</v>
      </c>
      <c r="AG29" s="685">
        <f t="shared" si="5"/>
        <v>6.75</v>
      </c>
      <c r="AH29" s="212">
        <f>IF($B29="Яйцо (шт)",SUMIF(Меню!$J$8:$EZ$8,$B29,Меню!$J$298:$EZ$298)*Обложка!$P$15/60,SUMIF(Меню!$J$8:$EZ$8,$B29,Меню!$J$298:$EZ$298)/1000*Обложка!$P$15)</f>
        <v>1</v>
      </c>
      <c r="AI29" s="212">
        <f>IF($B29="Яйцо (шт)",SUMIF(Меню!$J$8:$EZ$8,$BB29,Меню!$J$313:$EZ$313)*Обложка!$P$16/60,SUMIF(Меню!$J$8:$EZ$8,$B29,Меню!$J$313:$EZ$313)/1000*Обложка!$P$16)</f>
        <v>1.25</v>
      </c>
      <c r="AJ29" s="212">
        <f>IF($B29="Яйцо (шт)",SUMIF(Меню!$J$8:$EZ$8,$B29,Меню!$J$326:$EZ$326)*Обложка!$P$17/60,SUMIF(Меню!$J$8:$EZ$8,$B29,Меню!$J$326:$EZ$326)/1000*Обложка!$P$17)</f>
        <v>1.25</v>
      </c>
      <c r="AK29" s="212">
        <f>IF($B29="Яйцо (шт)",SUMIF(Меню!$J$8:$EZ$8,$B29,Меню!$J$331:$EZ$331)*Обложка!$P$18/60,SUMIF(Меню!$J$8:$EZ$8,$B29,Меню!$J$331:$EZ$331)/1000*Обложка!$P$18)</f>
        <v>0</v>
      </c>
      <c r="AL29" s="699">
        <f t="shared" si="6"/>
        <v>3.5</v>
      </c>
      <c r="AM29" s="685">
        <f t="shared" si="7"/>
        <v>88.7</v>
      </c>
    </row>
    <row r="30" spans="1:39" x14ac:dyDescent="0.25">
      <c r="A30" s="249">
        <f t="shared" si="8"/>
        <v>18</v>
      </c>
      <c r="B30" s="248" t="str">
        <f>инфо!D19</f>
        <v>Хлеб из муки пш. 1 сорта</v>
      </c>
      <c r="C30" s="694">
        <f>SUMIF(Меню!$J$8:$FD$8,$B30,Меню!$J$333:$FD$333)</f>
        <v>2126</v>
      </c>
      <c r="D30" s="212">
        <f>IF($B30="Яйцо (шт)",SUMIF(Меню!$J$8:$FD$8,$B30,Меню!$J$28:$FD$28)*Обложка!$D$15/60,SUMIF(Меню!$J$8:$FD$8,$B30,Меню!$J$28:$FD$28)/1000*Обложка!$D$15)</f>
        <v>12.200000000000001</v>
      </c>
      <c r="E30" s="212">
        <f>IF($B30="Яйцо (шт)",SUMIF(Меню!$J$8:$FD$8,$B30,Меню!$J$43:$FD$43)*Обложка!$D$16/60,SUMIF(Меню!$J$8:$FD$8,$B30,Меню!$J$43:$FD$43)/1000*Обложка!$D$16)</f>
        <v>12.200000000000001</v>
      </c>
      <c r="F30" s="212">
        <f>IF($B30="Яйцо (шт)",SUMIF(Меню!$J$8:$FD$8,$B30,Меню!$J$56:$FD$56)*Обложка!$D$17/60,SUMIF(Меню!$J$8:$FD$8,$B30,Меню!$J$56:$FD$56)/1000*Обложка!$D$17)</f>
        <v>12.200000000000001</v>
      </c>
      <c r="G30" s="212">
        <f>IF($B30="Яйцо (шт)",SUMIF(Меню!$J$8:$FD$8,$B30,Меню!$J$61:$FD$61)*Обложка!$D$18/60,SUMIF(Меню!$J$8:$FD$8,$B30,Меню!$J$61:$FD$61)/1000*Обложка!$D$18)</f>
        <v>0</v>
      </c>
      <c r="H30" s="685">
        <f t="shared" si="0"/>
        <v>36.6</v>
      </c>
      <c r="I30" s="212">
        <f>IF($B30="Яйцо (шт)",SUMIF(Меню!$J$8:$FD$8,$B30,Меню!$J$73:$FD$73)*Обложка!$F$15/60,SUMIF(Меню!$J$8:$FD$8,$B30,Меню!$J$73:$FD$73)/1000*Обложка!$F$15)</f>
        <v>12.8</v>
      </c>
      <c r="J30" s="212">
        <f>IF($B30="Яйцо (шт)",SUMIF(Меню!$J$8:$FD$8,$B30,Меню!$J$88:$FD$88)*Обложка!$F$16/60,SUMIF(Меню!$J$8:$FD$8,$B30,Меню!$J$88:$FD$88)/1000*Обложка!$G$16)</f>
        <v>2.2000000000000002</v>
      </c>
      <c r="K30" s="212">
        <f>IF($B30="Яйцо (шт)",SUMIF(Меню!$J$8:$FD$8,$B30,Меню!$J$101:$FD$101)*Обложка!$F$17/60,SUMIF(Меню!$J$8:$FD$8,$B30,Меню!$J$101:$FD$101)/1000*Обложка!$F$17)</f>
        <v>13</v>
      </c>
      <c r="L30" s="212">
        <f>IF($B30="Яйцо (шт)",SUMIF(Меню!$J$8:$FD$8,$B30,Меню!$J$106:$FD$106)*Обложка!$F$18/60,SUMIF(Меню!$J$8:$FD$8,$B30,Меню!$J$106:$FD$106)/1000*Обложка!$F$18)</f>
        <v>0</v>
      </c>
      <c r="M30" s="685">
        <f t="shared" si="1"/>
        <v>28</v>
      </c>
      <c r="N30" s="212">
        <f>IF($B30="Яйцо (шт)",SUMIF(Меню!$J$8:$EZ$8,$B30,Меню!$J$118:$EZ$118)*Обложка!$H$15/60,SUMIF(Меню!$J$8:$EZ$8,$B30,Меню!$J$118:$EZ$118)/1000*Обложка!$H$15)</f>
        <v>11.5</v>
      </c>
      <c r="O30" s="212">
        <f>IF($B30="Яйцо (шт)",SUMIF(Меню!$J$8:$EZ$8,$B30,Меню!$J$133:$EZ$133)*Обложка!$H$16/60,SUMIF(Меню!$J$8:$EZ$8,$B30,Меню!$J$133:$EZ$133)/1000*Обложка!$H$16)</f>
        <v>14.49</v>
      </c>
      <c r="P30" s="212">
        <f>IF($B30="Яйцо (шт)",SUMIF(Меню!$J$8:$EZ$8,$B30,Меню!$J$146:$EZ$146)*Обложка!$H$17/60,SUMIF(Меню!$J$8:$EZ$8,$B30,Меню!$J$146:$EZ$146)/1000*Обложка!$H$17)</f>
        <v>11.5</v>
      </c>
      <c r="Q30" s="212">
        <f>IF($B30="Яйцо (шт)",SUMIF(Меню!$J$8:$EZ$8,$B30,Меню!$J$151:$EZ$151)*Обложка!$H$18/60,SUMIF(Меню!$J$8:$EZ$8,$B30,Меню!$J$151:$EZ$151)/1000*Обложка!$H$18)</f>
        <v>0</v>
      </c>
      <c r="R30" s="685">
        <f t="shared" si="2"/>
        <v>37.49</v>
      </c>
      <c r="S30" s="212">
        <f>IF($B30="Яйцо (шт)",SUMIF(Меню!$J$8:$EZ$8,$B30,Меню!$J$163:$EZ$163)*Обложка!$J$15/60,SUMIF(Меню!$J$8:$EZ$8,$B30,Меню!$J$163:$EZ$163)/1000*Обложка!$J$15)</f>
        <v>10.5</v>
      </c>
      <c r="T30" s="212">
        <f>IF($B30="Яйцо (шт)",SUMIF(Меню!$J$8:$EZ$8,$B30,Меню!$J$178:$EZ$178)*Обложка!$J$16/60,SUMIF(Меню!$J$8:$EZ$8,$B30,Меню!$J$178:$EZ$178)/1000*Обложка!$J$16)</f>
        <v>10</v>
      </c>
      <c r="U30" s="212">
        <f>IF($B30="Яйцо (шт)",SUMIF(Меню!$J$8:$EZ$8,$B30,Меню!$J$191:$EZ$191)*Обложка!$J$17/60,SUMIF(Меню!$J$8:$EZ$8,$B30,Меню!$J$191:$EZ$191)/1000*Обложка!$J$17)</f>
        <v>9.8000000000000007</v>
      </c>
      <c r="V30" s="212">
        <f>IF($B30="Яйцо (шт)",SUMIF(Меню!$J$8:$EZ$8,$B30,Меню!$J$196:$EZ$196)*Обложка!$J$18/60,SUMIF(Меню!$J$8:$EZ$8,$B30,Меню!$J$196:$EZ$196)/1000*Обложка!$J$18)</f>
        <v>0</v>
      </c>
      <c r="W30" s="685">
        <f t="shared" si="3"/>
        <v>30.3</v>
      </c>
      <c r="X30" s="212">
        <f>IF($B30="Яйцо (шт)",SUMIF(Меню!$J$8:$EZ$8,$B30,Меню!$J$208:$EZ$208)*Обложка!$L$15/60,SUMIF(Меню!$J$8:$EZ$8,$B30,Меню!$J$208:$EZ$208)/1000*Обложка!$L$15)</f>
        <v>14</v>
      </c>
      <c r="Y30" s="212">
        <f>IF($B30="Яйцо (шт)",SUMIF(Меню!$J$8:$EZ$8,$B30,Меню!$J$223:$EZ$223)*Обложка!$L$16/60,SUMIF(Меню!$J$8:$EZ$8,$B30,Меню!$J$223:$EZ$223)/1000*Обложка!$J$16)</f>
        <v>10</v>
      </c>
      <c r="Z30" s="212">
        <f>IF($B30="Яйцо (шт)",SUMIF(Меню!$J$8:$EZ$8,$B30,Меню!$J$236:$EZ$236)*Обложка!$L$17/60,SUMIF(Меню!$J$8:$EZ$8,$B30,Меню!$J$236:$EZ$236)/1000*Обложка!$L$17)</f>
        <v>3.5</v>
      </c>
      <c r="AA30" s="212">
        <f>IF($B30="Яйцо (шт)",SUMIF(Меню!$J$8:$EZ$8,$B30,Меню!$J$241:$EZ$241)*Обложка!$L$18/60,SUMIF(Меню!$J$8:$EZ$8,$B30,Меню!$J$241:$EZ$241)/1000*Обложка!$L$18)</f>
        <v>0</v>
      </c>
      <c r="AB30" s="685">
        <f t="shared" si="4"/>
        <v>27.5</v>
      </c>
      <c r="AC30" s="212">
        <f>IF($B30="Яйцо (шт)",SUMIF(Меню!$J$8:$EZ$8,$B30,Меню!$J$253:$EZ$253)*Обложка!$N$15/60,SUMIF(Меню!$J$8:$EZ$8,$B30,Меню!$J$253:$EZ$253)/1000*Обложка!$N$15)</f>
        <v>4.5</v>
      </c>
      <c r="AD30" s="212">
        <f>IF($B30="Яйцо (шт)",SUMIF(Меню!$J$8:$EZ$8,$B30,Меню!$J$268:$EZ$268)*Обложка!$N$16/60,SUMIF(Меню!$J$8:$EZ$8,$B30,Меню!$J$268:$EZ$268)/1000*Обложка!$N$16)</f>
        <v>4.5</v>
      </c>
      <c r="AE30" s="212">
        <f>IF($B30="Яйцо (шт)",SUMIF(Меню!$J$8:$EZ$8,$B30,Меню!$J$281:$EZ$281)*Обложка!$N$17/60,SUMIF(Меню!$J$8:$EZ$8,$B30,Меню!$J$281:$EZ$281)/1000*Обложка!$N$17)</f>
        <v>4.5</v>
      </c>
      <c r="AF30" s="212">
        <f>IF($B30="Яйцо (шт)",SUMIF(Меню!$J$8:$EZ$8,$B30,Меню!$J$286:$EZ$286)*Обложка!$N$18/60,SUMIF(Меню!$J$8:$EZ$8,$B30,Меню!$J$286:$EZ$286)/1000*Обложка!$N$18)</f>
        <v>0</v>
      </c>
      <c r="AG30" s="685">
        <f t="shared" si="5"/>
        <v>13.5</v>
      </c>
      <c r="AH30" s="212">
        <f>IF($B30="Яйцо (шт)",SUMIF(Меню!$J$8:$EZ$8,$B30,Меню!$J$298:$EZ$298)*Обложка!$P$15/60,SUMIF(Меню!$J$8:$EZ$8,$B30,Меню!$J$298:$EZ$298)/1000*Обложка!$P$15)</f>
        <v>2</v>
      </c>
      <c r="AI30" s="212">
        <f>IF($B30="Яйцо (шт)",SUMIF(Меню!$J$8:$EZ$8,$BB30,Меню!$J$313:$EZ$313)*Обложка!$P$16/60,SUMIF(Меню!$J$8:$EZ$8,$B30,Меню!$J$313:$EZ$313)/1000*Обложка!$P$16)</f>
        <v>2.5</v>
      </c>
      <c r="AJ30" s="212">
        <f>IF($B30="Яйцо (шт)",SUMIF(Меню!$J$8:$EZ$8,$B30,Меню!$J$326:$EZ$326)*Обложка!$P$17/60,SUMIF(Меню!$J$8:$EZ$8,$B30,Меню!$J$326:$EZ$326)/1000*Обложка!$P$17)</f>
        <v>2.5</v>
      </c>
      <c r="AK30" s="212">
        <f>IF($B30="Яйцо (шт)",SUMIF(Меню!$J$8:$EZ$8,$B30,Меню!$J$331:$EZ$331)*Обложка!$P$18/60,SUMIF(Меню!$J$8:$EZ$8,$B30,Меню!$J$331:$EZ$331)/1000*Обложка!$P$18)</f>
        <v>0</v>
      </c>
      <c r="AL30" s="699">
        <f t="shared" si="6"/>
        <v>7</v>
      </c>
      <c r="AM30" s="685">
        <f t="shared" si="7"/>
        <v>180.39000000000001</v>
      </c>
    </row>
    <row r="31" spans="1:39" x14ac:dyDescent="0.25">
      <c r="A31" s="249">
        <f t="shared" si="8"/>
        <v>19</v>
      </c>
      <c r="B31" s="248" t="str">
        <f>инфо!D20</f>
        <v>Мучное 1</v>
      </c>
      <c r="C31" s="694">
        <f>SUMIF(Меню!$J$8:$FD$8,$B31,Меню!$J$333:$FD$333)</f>
        <v>0</v>
      </c>
      <c r="D31" s="212">
        <f>IF($B31="Яйцо (шт)",SUMIF(Меню!$J$8:$FD$8,$B31,Меню!$J$28:$FD$28)*Обложка!$D$15/60,SUMIF(Меню!$J$8:$FD$8,$B31,Меню!$J$28:$FD$28)/1000*Обложка!$D$15)</f>
        <v>0</v>
      </c>
      <c r="E31" s="212">
        <f>IF($B31="Яйцо (шт)",SUMIF(Меню!$J$8:$FD$8,$B31,Меню!$J$43:$FD$43)*Обложка!$D$16/60,SUMIF(Меню!$J$8:$FD$8,$B31,Меню!$J$43:$FD$43)/1000*Обложка!$D$16)</f>
        <v>0</v>
      </c>
      <c r="F31" s="212">
        <f>IF($B31="Яйцо (шт)",SUMIF(Меню!$J$8:$FD$8,$B31,Меню!$J$56:$FD$56)*Обложка!$D$17/60,SUMIF(Меню!$J$8:$FD$8,$B31,Меню!$J$56:$FD$56)/1000*Обложка!$D$17)</f>
        <v>0</v>
      </c>
      <c r="G31" s="212">
        <f>IF($B31="Яйцо (шт)",SUMIF(Меню!$J$8:$FD$8,$B31,Меню!$J$61:$FD$61)*Обложка!$D$18/60,SUMIF(Меню!$J$8:$FD$8,$B31,Меню!$J$61:$FD$61)/1000*Обложка!$D$18)</f>
        <v>0</v>
      </c>
      <c r="H31" s="685">
        <f t="shared" si="0"/>
        <v>0</v>
      </c>
      <c r="I31" s="212">
        <f>IF($B31="Яйцо (шт)",SUMIF(Меню!$J$8:$FD$8,$B31,Меню!$J$73:$FD$73)*Обложка!$F$15/60,SUMIF(Меню!$J$8:$FD$8,$B31,Меню!$J$73:$FD$73)/1000*Обложка!$F$15)</f>
        <v>0</v>
      </c>
      <c r="J31" s="212">
        <f>IF($B31="Яйцо (шт)",SUMIF(Меню!$J$8:$FD$8,$B31,Меню!$J$88:$FD$88)*Обложка!$F$16/60,SUMIF(Меню!$J$8:$FD$8,$B31,Меню!$J$88:$FD$88)/1000*Обложка!$G$16)</f>
        <v>0</v>
      </c>
      <c r="K31" s="212">
        <f>IF($B31="Яйцо (шт)",SUMIF(Меню!$J$8:$FD$8,$B31,Меню!$J$101:$FD$101)*Обложка!$F$17/60,SUMIF(Меню!$J$8:$FD$8,$B31,Меню!$J$101:$FD$101)/1000*Обложка!$F$17)</f>
        <v>0</v>
      </c>
      <c r="L31" s="212">
        <f>IF($B31="Яйцо (шт)",SUMIF(Меню!$J$8:$FD$8,$B31,Меню!$J$106:$FD$106)*Обложка!$F$18/60,SUMIF(Меню!$J$8:$FD$8,$B31,Меню!$J$106:$FD$106)/1000*Обложка!$F$18)</f>
        <v>0</v>
      </c>
      <c r="M31" s="685">
        <f t="shared" si="1"/>
        <v>0</v>
      </c>
      <c r="N31" s="212">
        <f>IF($B31="Яйцо (шт)",SUMIF(Меню!$J$8:$EZ$8,$B31,Меню!$J$118:$EZ$118)*Обложка!$H$15/60,SUMIF(Меню!$J$8:$EZ$8,$B31,Меню!$J$118:$EZ$118)/1000*Обложка!$H$15)</f>
        <v>0</v>
      </c>
      <c r="O31" s="212">
        <f>IF($B31="Яйцо (шт)",SUMIF(Меню!$J$8:$EZ$8,$B31,Меню!$J$133:$EZ$133)*Обложка!$H$16/60,SUMIF(Меню!$J$8:$EZ$8,$B31,Меню!$J$133:$EZ$133)/1000*Обложка!$H$16)</f>
        <v>0</v>
      </c>
      <c r="P31" s="212">
        <f>IF($B31="Яйцо (шт)",SUMIF(Меню!$J$8:$EZ$8,$B31,Меню!$J$146:$EZ$146)*Обложка!$H$17/60,SUMIF(Меню!$J$8:$EZ$8,$B31,Меню!$J$146:$EZ$146)/1000*Обложка!$H$17)</f>
        <v>0</v>
      </c>
      <c r="Q31" s="212">
        <f>IF($B31="Яйцо (шт)",SUMIF(Меню!$J$8:$EZ$8,$B31,Меню!$J$151:$EZ$151)*Обложка!$H$18/60,SUMIF(Меню!$J$8:$EZ$8,$B31,Меню!$J$151:$EZ$151)/1000*Обложка!$H$18)</f>
        <v>0</v>
      </c>
      <c r="R31" s="685">
        <f t="shared" si="2"/>
        <v>0</v>
      </c>
      <c r="S31" s="212">
        <f>IF($B31="Яйцо (шт)",SUMIF(Меню!$J$8:$EZ$8,$B31,Меню!$J$163:$EZ$163)*Обложка!$J$15/60,SUMIF(Меню!$J$8:$EZ$8,$B31,Меню!$J$163:$EZ$163)/1000*Обложка!$J$15)</f>
        <v>0</v>
      </c>
      <c r="T31" s="212">
        <f>IF($B31="Яйцо (шт)",SUMIF(Меню!$J$8:$EZ$8,$B31,Меню!$J$178:$EZ$178)*Обложка!$J$16/60,SUMIF(Меню!$J$8:$EZ$8,$B31,Меню!$J$178:$EZ$178)/1000*Обложка!$J$16)</f>
        <v>0</v>
      </c>
      <c r="U31" s="212">
        <f>IF($B31="Яйцо (шт)",SUMIF(Меню!$J$8:$EZ$8,$B31,Меню!$J$191:$EZ$191)*Обложка!$J$17/60,SUMIF(Меню!$J$8:$EZ$8,$B31,Меню!$J$191:$EZ$191)/1000*Обложка!$J$17)</f>
        <v>0</v>
      </c>
      <c r="V31" s="212">
        <f>IF($B31="Яйцо (шт)",SUMIF(Меню!$J$8:$EZ$8,$B31,Меню!$J$196:$EZ$196)*Обложка!$J$18/60,SUMIF(Меню!$J$8:$EZ$8,$B31,Меню!$J$196:$EZ$196)/1000*Обложка!$J$18)</f>
        <v>0</v>
      </c>
      <c r="W31" s="685">
        <f t="shared" si="3"/>
        <v>0</v>
      </c>
      <c r="X31" s="212">
        <f>IF($B31="Яйцо (шт)",SUMIF(Меню!$J$8:$EZ$8,$B31,Меню!$J$208:$EZ$208)*Обложка!$L$15/60,SUMIF(Меню!$J$8:$EZ$8,$B31,Меню!$J$208:$EZ$208)/1000*Обложка!$L$15)</f>
        <v>0</v>
      </c>
      <c r="Y31" s="212">
        <f>IF($B31="Яйцо (шт)",SUMIF(Меню!$J$8:$EZ$8,$B31,Меню!$J$223:$EZ$223)*Обложка!$L$16/60,SUMIF(Меню!$J$8:$EZ$8,$B31,Меню!$J$223:$EZ$223)/1000*Обложка!$J$16)</f>
        <v>0</v>
      </c>
      <c r="Z31" s="212">
        <f>IF($B31="Яйцо (шт)",SUMIF(Меню!$J$8:$EZ$8,$B31,Меню!$J$236:$EZ$236)*Обложка!$L$17/60,SUMIF(Меню!$J$8:$EZ$8,$B31,Меню!$J$236:$EZ$236)/1000*Обложка!$L$17)</f>
        <v>0</v>
      </c>
      <c r="AA31" s="212">
        <f>IF($B31="Яйцо (шт)",SUMIF(Меню!$J$8:$EZ$8,$B31,Меню!$J$241:$EZ$241)*Обложка!$L$18/60,SUMIF(Меню!$J$8:$EZ$8,$B31,Меню!$J$241:$EZ$241)/1000*Обложка!$L$18)</f>
        <v>0</v>
      </c>
      <c r="AB31" s="685">
        <f t="shared" si="4"/>
        <v>0</v>
      </c>
      <c r="AC31" s="212">
        <f>IF($B31="Яйцо (шт)",SUMIF(Меню!$J$8:$EZ$8,$B31,Меню!$J$253:$EZ$253)*Обложка!$N$15/60,SUMIF(Меню!$J$8:$EZ$8,$B31,Меню!$J$253:$EZ$253)/1000*Обложка!$N$15)</f>
        <v>0</v>
      </c>
      <c r="AD31" s="212">
        <f>IF($B31="Яйцо (шт)",SUMIF(Меню!$J$8:$EZ$8,$B31,Меню!$J$268:$EZ$268)*Обложка!$N$16/60,SUMIF(Меню!$J$8:$EZ$8,$B31,Меню!$J$268:$EZ$268)/1000*Обложка!$N$16)</f>
        <v>0</v>
      </c>
      <c r="AE31" s="212">
        <f>IF($B31="Яйцо (шт)",SUMIF(Меню!$J$8:$EZ$8,$B31,Меню!$J$281:$EZ$281)*Обложка!$N$17/60,SUMIF(Меню!$J$8:$EZ$8,$B31,Меню!$J$281:$EZ$281)/1000*Обложка!$N$17)</f>
        <v>0</v>
      </c>
      <c r="AF31" s="212">
        <f>IF($B31="Яйцо (шт)",SUMIF(Меню!$J$8:$EZ$8,$B31,Меню!$J$286:$EZ$286)*Обложка!$N$18/60,SUMIF(Меню!$J$8:$EZ$8,$B31,Меню!$J$286:$EZ$286)/1000*Обложка!$N$18)</f>
        <v>0</v>
      </c>
      <c r="AG31" s="685">
        <f t="shared" si="5"/>
        <v>0</v>
      </c>
      <c r="AH31" s="212">
        <f>IF($B31="Яйцо (шт)",SUMIF(Меню!$J$8:$EZ$8,$B31,Меню!$J$298:$EZ$298)*Обложка!$P$15/60,SUMIF(Меню!$J$8:$EZ$8,$B31,Меню!$J$298:$EZ$298)/1000*Обложка!$P$15)</f>
        <v>0</v>
      </c>
      <c r="AI31" s="212">
        <f>IF($B31="Яйцо (шт)",SUMIF(Меню!$J$8:$EZ$8,$BB31,Меню!$J$313:$EZ$313)*Обложка!$P$16/60,SUMIF(Меню!$J$8:$EZ$8,$B31,Меню!$J$313:$EZ$313)/1000*Обложка!$P$16)</f>
        <v>0</v>
      </c>
      <c r="AJ31" s="212">
        <f>IF($B31="Яйцо (шт)",SUMIF(Меню!$J$8:$EZ$8,$B31,Меню!$J$326:$EZ$326)*Обложка!$P$17/60,SUMIF(Меню!$J$8:$EZ$8,$B31,Меню!$J$326:$EZ$326)/1000*Обложка!$P$17)</f>
        <v>0</v>
      </c>
      <c r="AK31" s="212">
        <f>IF($B31="Яйцо (шт)",SUMIF(Меню!$J$8:$EZ$8,$B31,Меню!$J$331:$EZ$331)*Обложка!$P$18/60,SUMIF(Меню!$J$8:$EZ$8,$B31,Меню!$J$331:$EZ$331)/1000*Обложка!$P$18)</f>
        <v>0</v>
      </c>
      <c r="AL31" s="699">
        <f t="shared" si="6"/>
        <v>0</v>
      </c>
      <c r="AM31" s="685">
        <f t="shared" si="7"/>
        <v>0</v>
      </c>
    </row>
    <row r="32" spans="1:39" x14ac:dyDescent="0.25">
      <c r="A32" s="249">
        <f t="shared" si="8"/>
        <v>20</v>
      </c>
      <c r="B32" s="248" t="str">
        <f>инфо!D21</f>
        <v>Мучное 2</v>
      </c>
      <c r="C32" s="694">
        <f>SUMIF(Меню!$J$8:$FD$8,$B32,Меню!$J$333:$FD$333)</f>
        <v>0</v>
      </c>
      <c r="D32" s="212">
        <f>IF($B32="Яйцо (шт)",SUMIF(Меню!$J$8:$FD$8,$B32,Меню!$J$28:$FD$28)*Обложка!$D$15/60,SUMIF(Меню!$J$8:$FD$8,$B32,Меню!$J$28:$FD$28)/1000*Обложка!$D$15)</f>
        <v>0</v>
      </c>
      <c r="E32" s="212">
        <f>IF($B32="Яйцо (шт)",SUMIF(Меню!$J$8:$FD$8,$B32,Меню!$J$43:$FD$43)*Обложка!$D$16/60,SUMIF(Меню!$J$8:$FD$8,$B32,Меню!$J$43:$FD$43)/1000*Обложка!$D$16)</f>
        <v>0</v>
      </c>
      <c r="F32" s="212">
        <f>IF($B32="Яйцо (шт)",SUMIF(Меню!$J$8:$FD$8,$B32,Меню!$J$56:$FD$56)*Обложка!$D$17/60,SUMIF(Меню!$J$8:$FD$8,$B32,Меню!$J$56:$FD$56)/1000*Обложка!$D$17)</f>
        <v>0</v>
      </c>
      <c r="G32" s="212">
        <f>IF($B32="Яйцо (шт)",SUMIF(Меню!$J$8:$FD$8,$B32,Меню!$J$61:$FD$61)*Обложка!$D$18/60,SUMIF(Меню!$J$8:$FD$8,$B32,Меню!$J$61:$FD$61)/1000*Обложка!$D$18)</f>
        <v>0</v>
      </c>
      <c r="H32" s="685">
        <f t="shared" si="0"/>
        <v>0</v>
      </c>
      <c r="I32" s="212">
        <f>IF($B32="Яйцо (шт)",SUMIF(Меню!$J$8:$FD$8,$B32,Меню!$J$73:$FD$73)*Обложка!$F$15/60,SUMIF(Меню!$J$8:$FD$8,$B32,Меню!$J$73:$FD$73)/1000*Обложка!$F$15)</f>
        <v>0</v>
      </c>
      <c r="J32" s="212">
        <f>IF($B32="Яйцо (шт)",SUMIF(Меню!$J$8:$FD$8,$B32,Меню!$J$88:$FD$88)*Обложка!$F$16/60,SUMIF(Меню!$J$8:$FD$8,$B32,Меню!$J$88:$FD$88)/1000*Обложка!$G$16)</f>
        <v>0</v>
      </c>
      <c r="K32" s="212">
        <f>IF($B32="Яйцо (шт)",SUMIF(Меню!$J$8:$FD$8,$B32,Меню!$J$101:$FD$101)*Обложка!$F$17/60,SUMIF(Меню!$J$8:$FD$8,$B32,Меню!$J$101:$FD$101)/1000*Обложка!$F$17)</f>
        <v>0</v>
      </c>
      <c r="L32" s="212">
        <f>IF($B32="Яйцо (шт)",SUMIF(Меню!$J$8:$FD$8,$B32,Меню!$J$106:$FD$106)*Обложка!$F$18/60,SUMIF(Меню!$J$8:$FD$8,$B32,Меню!$J$106:$FD$106)/1000*Обложка!$F$18)</f>
        <v>0</v>
      </c>
      <c r="M32" s="685">
        <f t="shared" si="1"/>
        <v>0</v>
      </c>
      <c r="N32" s="212">
        <f>IF($B32="Яйцо (шт)",SUMIF(Меню!$J$8:$EZ$8,$B32,Меню!$J$118:$EZ$118)*Обложка!$H$15/60,SUMIF(Меню!$J$8:$EZ$8,$B32,Меню!$J$118:$EZ$118)/1000*Обложка!$H$15)</f>
        <v>0</v>
      </c>
      <c r="O32" s="212">
        <f>IF($B32="Яйцо (шт)",SUMIF(Меню!$J$8:$EZ$8,$B32,Меню!$J$133:$EZ$133)*Обложка!$H$16/60,SUMIF(Меню!$J$8:$EZ$8,$B32,Меню!$J$133:$EZ$133)/1000*Обложка!$H$16)</f>
        <v>0</v>
      </c>
      <c r="P32" s="212">
        <f>IF($B32="Яйцо (шт)",SUMIF(Меню!$J$8:$EZ$8,$B32,Меню!$J$146:$EZ$146)*Обложка!$H$17/60,SUMIF(Меню!$J$8:$EZ$8,$B32,Меню!$J$146:$EZ$146)/1000*Обложка!$H$17)</f>
        <v>0</v>
      </c>
      <c r="Q32" s="212">
        <f>IF($B32="Яйцо (шт)",SUMIF(Меню!$J$8:$EZ$8,$B32,Меню!$J$151:$EZ$151)*Обложка!$H$18/60,SUMIF(Меню!$J$8:$EZ$8,$B32,Меню!$J$151:$EZ$151)/1000*Обложка!$H$18)</f>
        <v>0</v>
      </c>
      <c r="R32" s="685">
        <f t="shared" si="2"/>
        <v>0</v>
      </c>
      <c r="S32" s="212">
        <f>IF($B32="Яйцо (шт)",SUMIF(Меню!$J$8:$EZ$8,$B32,Меню!$J$163:$EZ$163)*Обложка!$J$15/60,SUMIF(Меню!$J$8:$EZ$8,$B32,Меню!$J$163:$EZ$163)/1000*Обложка!$J$15)</f>
        <v>0</v>
      </c>
      <c r="T32" s="212">
        <f>IF($B32="Яйцо (шт)",SUMIF(Меню!$J$8:$EZ$8,$B32,Меню!$J$178:$EZ$178)*Обложка!$J$16/60,SUMIF(Меню!$J$8:$EZ$8,$B32,Меню!$J$178:$EZ$178)/1000*Обложка!$J$16)</f>
        <v>0</v>
      </c>
      <c r="U32" s="212">
        <f>IF($B32="Яйцо (шт)",SUMIF(Меню!$J$8:$EZ$8,$B32,Меню!$J$191:$EZ$191)*Обложка!$J$17/60,SUMIF(Меню!$J$8:$EZ$8,$B32,Меню!$J$191:$EZ$191)/1000*Обложка!$J$17)</f>
        <v>0</v>
      </c>
      <c r="V32" s="212">
        <f>IF($B32="Яйцо (шт)",SUMIF(Меню!$J$8:$EZ$8,$B32,Меню!$J$196:$EZ$196)*Обложка!$J$18/60,SUMIF(Меню!$J$8:$EZ$8,$B32,Меню!$J$196:$EZ$196)/1000*Обложка!$J$18)</f>
        <v>0</v>
      </c>
      <c r="W32" s="685">
        <f t="shared" si="3"/>
        <v>0</v>
      </c>
      <c r="X32" s="212">
        <f>IF($B32="Яйцо (шт)",SUMIF(Меню!$J$8:$EZ$8,$B32,Меню!$J$208:$EZ$208)*Обложка!$L$15/60,SUMIF(Меню!$J$8:$EZ$8,$B32,Меню!$J$208:$EZ$208)/1000*Обложка!$L$15)</f>
        <v>0</v>
      </c>
      <c r="Y32" s="212">
        <f>IF($B32="Яйцо (шт)",SUMIF(Меню!$J$8:$EZ$8,$B32,Меню!$J$223:$EZ$223)*Обложка!$L$16/60,SUMIF(Меню!$J$8:$EZ$8,$B32,Меню!$J$223:$EZ$223)/1000*Обложка!$J$16)</f>
        <v>0</v>
      </c>
      <c r="Z32" s="212">
        <f>IF($B32="Яйцо (шт)",SUMIF(Меню!$J$8:$EZ$8,$B32,Меню!$J$236:$EZ$236)*Обложка!$L$17/60,SUMIF(Меню!$J$8:$EZ$8,$B32,Меню!$J$236:$EZ$236)/1000*Обложка!$L$17)</f>
        <v>0</v>
      </c>
      <c r="AA32" s="212">
        <f>IF($B32="Яйцо (шт)",SUMIF(Меню!$J$8:$EZ$8,$B32,Меню!$J$241:$EZ$241)*Обложка!$L$18/60,SUMIF(Меню!$J$8:$EZ$8,$B32,Меню!$J$241:$EZ$241)/1000*Обложка!$L$18)</f>
        <v>0</v>
      </c>
      <c r="AB32" s="685">
        <f t="shared" si="4"/>
        <v>0</v>
      </c>
      <c r="AC32" s="212">
        <f>IF($B32="Яйцо (шт)",SUMIF(Меню!$J$8:$EZ$8,$B32,Меню!$J$253:$EZ$253)*Обложка!$N$15/60,SUMIF(Меню!$J$8:$EZ$8,$B32,Меню!$J$253:$EZ$253)/1000*Обложка!$N$15)</f>
        <v>0</v>
      </c>
      <c r="AD32" s="212">
        <f>IF($B32="Яйцо (шт)",SUMIF(Меню!$J$8:$EZ$8,$B32,Меню!$J$268:$EZ$268)*Обложка!$N$16/60,SUMIF(Меню!$J$8:$EZ$8,$B32,Меню!$J$268:$EZ$268)/1000*Обложка!$N$16)</f>
        <v>0</v>
      </c>
      <c r="AE32" s="212">
        <f>IF($B32="Яйцо (шт)",SUMIF(Меню!$J$8:$EZ$8,$B32,Меню!$J$281:$EZ$281)*Обложка!$N$17/60,SUMIF(Меню!$J$8:$EZ$8,$B32,Меню!$J$281:$EZ$281)/1000*Обложка!$N$17)</f>
        <v>0</v>
      </c>
      <c r="AF32" s="212">
        <f>IF($B32="Яйцо (шт)",SUMIF(Меню!$J$8:$EZ$8,$B32,Меню!$J$286:$EZ$286)*Обложка!$N$18/60,SUMIF(Меню!$J$8:$EZ$8,$B32,Меню!$J$286:$EZ$286)/1000*Обложка!$N$18)</f>
        <v>0</v>
      </c>
      <c r="AG32" s="685">
        <f t="shared" si="5"/>
        <v>0</v>
      </c>
      <c r="AH32" s="212">
        <f>IF($B32="Яйцо (шт)",SUMIF(Меню!$J$8:$EZ$8,$B32,Меню!$J$298:$EZ$298)*Обложка!$P$15/60,SUMIF(Меню!$J$8:$EZ$8,$B32,Меню!$J$298:$EZ$298)/1000*Обложка!$P$15)</f>
        <v>0</v>
      </c>
      <c r="AI32" s="212">
        <f>IF($B32="Яйцо (шт)",SUMIF(Меню!$J$8:$EZ$8,$BB32,Меню!$J$313:$EZ$313)*Обложка!$P$16/60,SUMIF(Меню!$J$8:$EZ$8,$B32,Меню!$J$313:$EZ$313)/1000*Обложка!$P$16)</f>
        <v>0</v>
      </c>
      <c r="AJ32" s="212">
        <f>IF($B32="Яйцо (шт)",SUMIF(Меню!$J$8:$EZ$8,$B32,Меню!$J$326:$EZ$326)*Обложка!$P$17/60,SUMIF(Меню!$J$8:$EZ$8,$B32,Меню!$J$326:$EZ$326)/1000*Обложка!$P$17)</f>
        <v>0</v>
      </c>
      <c r="AK32" s="212">
        <f>IF($B32="Яйцо (шт)",SUMIF(Меню!$J$8:$EZ$8,$B32,Меню!$J$331:$EZ$331)*Обложка!$P$18/60,SUMIF(Меню!$J$8:$EZ$8,$B32,Меню!$J$331:$EZ$331)/1000*Обложка!$P$18)</f>
        <v>0</v>
      </c>
      <c r="AL32" s="699">
        <f t="shared" si="6"/>
        <v>0</v>
      </c>
      <c r="AM32" s="685">
        <f t="shared" si="7"/>
        <v>0</v>
      </c>
    </row>
    <row r="33" spans="1:39" x14ac:dyDescent="0.25">
      <c r="A33" s="249">
        <f t="shared" si="8"/>
        <v>21</v>
      </c>
      <c r="B33" s="248" t="str">
        <f>инфо!D22</f>
        <v>Картофель</v>
      </c>
      <c r="C33" s="694">
        <f>SUMIF(Меню!$J$8:$FD$8,$B33,Меню!$J$333:$FD$333)</f>
        <v>2755</v>
      </c>
      <c r="D33" s="212">
        <f>IF($B33="Яйцо (шт)",SUMIF(Меню!$J$8:$FD$8,$B33,Меню!$J$28:$FD$28)*Обложка!$D$15/60,SUMIF(Меню!$J$8:$FD$8,$B33,Меню!$J$28:$FD$28)/1000*Обложка!$D$15)</f>
        <v>0</v>
      </c>
      <c r="E33" s="212">
        <f>IF($B33="Яйцо (шт)",SUMIF(Меню!$J$8:$FD$8,$B33,Меню!$J$43:$FD$43)*Обложка!$D$16/60,SUMIF(Меню!$J$8:$FD$8,$B33,Меню!$J$43:$FD$43)/1000*Обложка!$D$16)</f>
        <v>18.3</v>
      </c>
      <c r="F33" s="212">
        <f>IF($B33="Яйцо (шт)",SUMIF(Меню!$J$8:$FD$8,$B33,Меню!$J$56:$FD$56)*Обложка!$D$17/60,SUMIF(Меню!$J$8:$FD$8,$B33,Меню!$J$56:$FD$56)/1000*Обложка!$D$17)</f>
        <v>35.379999999999995</v>
      </c>
      <c r="G33" s="212">
        <f>IF($B33="Яйцо (шт)",SUMIF(Меню!$J$8:$FD$8,$B33,Меню!$J$61:$FD$61)*Обложка!$D$18/60,SUMIF(Меню!$J$8:$FD$8,$B33,Меню!$J$61:$FD$61)/1000*Обложка!$D$18)</f>
        <v>0</v>
      </c>
      <c r="H33" s="685">
        <f t="shared" si="0"/>
        <v>53.679999999999993</v>
      </c>
      <c r="I33" s="212">
        <f>IF($B33="Яйцо (шт)",SUMIF(Меню!$J$8:$FD$8,$B33,Меню!$J$73:$FD$73)*Обложка!$F$15/60,SUMIF(Меню!$J$8:$FD$8,$B33,Меню!$J$73:$FD$73)/1000*Обложка!$F$15)</f>
        <v>0</v>
      </c>
      <c r="J33" s="212">
        <f>IF($B33="Яйцо (шт)",SUMIF(Меню!$J$8:$FD$8,$B33,Меню!$J$88:$FD$88)*Обложка!$F$16/60,SUMIF(Меню!$J$8:$FD$8,$B33,Меню!$J$88:$FD$88)/1000*Обложка!$G$16)</f>
        <v>2.8600000000000003</v>
      </c>
      <c r="K33" s="212">
        <f>IF($B33="Яйцо (шт)",SUMIF(Меню!$J$8:$FD$8,$B33,Меню!$J$101:$FD$101)*Обложка!$F$17/60,SUMIF(Меню!$J$8:$FD$8,$B33,Меню!$J$101:$FD$101)/1000*Обложка!$F$17)</f>
        <v>24.7</v>
      </c>
      <c r="L33" s="212">
        <f>IF($B33="Яйцо (шт)",SUMIF(Меню!$J$8:$FD$8,$B33,Меню!$J$106:$FD$106)*Обложка!$F$18/60,SUMIF(Меню!$J$8:$FD$8,$B33,Меню!$J$106:$FD$106)/1000*Обложка!$F$18)</f>
        <v>0</v>
      </c>
      <c r="M33" s="685">
        <f t="shared" si="1"/>
        <v>27.56</v>
      </c>
      <c r="N33" s="212">
        <f>IF($B33="Яйцо (шт)",SUMIF(Меню!$J$8:$EZ$8,$B33,Меню!$J$118:$EZ$118)*Обложка!$H$15/60,SUMIF(Меню!$J$8:$EZ$8,$B33,Меню!$J$118:$EZ$118)/1000*Обложка!$H$15)</f>
        <v>0</v>
      </c>
      <c r="O33" s="212">
        <f>IF($B33="Яйцо (шт)",SUMIF(Меню!$J$8:$EZ$8,$B33,Меню!$J$133:$EZ$133)*Обложка!$H$16/60,SUMIF(Меню!$J$8:$EZ$8,$B33,Меню!$J$133:$EZ$133)/1000*Обложка!$H$16)</f>
        <v>12.65</v>
      </c>
      <c r="P33" s="212">
        <f>IF($B33="Яйцо (шт)",SUMIF(Меню!$J$8:$EZ$8,$B33,Меню!$J$146:$EZ$146)*Обложка!$H$17/60,SUMIF(Меню!$J$8:$EZ$8,$B33,Меню!$J$146:$EZ$146)/1000*Обложка!$H$17)</f>
        <v>14.375</v>
      </c>
      <c r="Q33" s="212">
        <f>IF($B33="Яйцо (шт)",SUMIF(Меню!$J$8:$EZ$8,$B33,Меню!$J$151:$EZ$151)*Обложка!$H$18/60,SUMIF(Меню!$J$8:$EZ$8,$B33,Меню!$J$151:$EZ$151)/1000*Обложка!$H$18)</f>
        <v>0</v>
      </c>
      <c r="R33" s="685">
        <f t="shared" si="2"/>
        <v>27.024999999999999</v>
      </c>
      <c r="S33" s="212">
        <f>IF($B33="Яйцо (шт)",SUMIF(Меню!$J$8:$EZ$8,$B33,Меню!$J$163:$EZ$163)*Обложка!$J$15/60,SUMIF(Меню!$J$8:$EZ$8,$B33,Меню!$J$163:$EZ$163)/1000*Обложка!$J$15)</f>
        <v>0</v>
      </c>
      <c r="T33" s="212">
        <f>IF($B33="Яйцо (шт)",SUMIF(Меню!$J$8:$EZ$8,$B33,Меню!$J$178:$EZ$178)*Обложка!$J$16/60,SUMIF(Меню!$J$8:$EZ$8,$B33,Меню!$J$178:$EZ$178)/1000*Обложка!$J$16)</f>
        <v>25</v>
      </c>
      <c r="U33" s="212">
        <f>IF($B33="Яйцо (шт)",SUMIF(Меню!$J$8:$EZ$8,$B33,Меню!$J$191:$EZ$191)*Обложка!$J$17/60,SUMIF(Меню!$J$8:$EZ$8,$B33,Меню!$J$191:$EZ$191)/1000*Обложка!$J$17)</f>
        <v>14.7</v>
      </c>
      <c r="V33" s="212">
        <f>IF($B33="Яйцо (шт)",SUMIF(Меню!$J$8:$EZ$8,$B33,Меню!$J$196:$EZ$196)*Обложка!$J$18/60,SUMIF(Меню!$J$8:$EZ$8,$B33,Меню!$J$196:$EZ$196)/1000*Обложка!$J$18)</f>
        <v>0</v>
      </c>
      <c r="W33" s="685">
        <f t="shared" si="3"/>
        <v>39.700000000000003</v>
      </c>
      <c r="X33" s="212">
        <f>IF($B33="Яйцо (шт)",SUMIF(Меню!$J$8:$EZ$8,$B33,Меню!$J$208:$EZ$208)*Обложка!$L$15/60,SUMIF(Меню!$J$8:$EZ$8,$B33,Меню!$J$208:$EZ$208)/1000*Обложка!$L$15)</f>
        <v>0</v>
      </c>
      <c r="Y33" s="212">
        <f>IF($B33="Яйцо (шт)",SUMIF(Меню!$J$8:$EZ$8,$B33,Меню!$J$223:$EZ$223)*Обложка!$L$16/60,SUMIF(Меню!$J$8:$EZ$8,$B33,Меню!$J$223:$EZ$223)/1000*Обложка!$J$16)</f>
        <v>11</v>
      </c>
      <c r="Z33" s="212">
        <f>IF($B33="Яйцо (шт)",SUMIF(Меню!$J$8:$EZ$8,$B33,Меню!$J$236:$EZ$236)*Обложка!$L$17/60,SUMIF(Меню!$J$8:$EZ$8,$B33,Меню!$J$236:$EZ$236)/1000*Обложка!$L$17)</f>
        <v>4.375</v>
      </c>
      <c r="AA33" s="212">
        <f>IF($B33="Яйцо (шт)",SUMIF(Меню!$J$8:$EZ$8,$B33,Меню!$J$241:$EZ$241)*Обложка!$L$18/60,SUMIF(Меню!$J$8:$EZ$8,$B33,Меню!$J$241:$EZ$241)/1000*Обложка!$L$18)</f>
        <v>0</v>
      </c>
      <c r="AB33" s="685">
        <f t="shared" si="4"/>
        <v>15.375</v>
      </c>
      <c r="AC33" s="212">
        <f>IF($B33="Яйцо (шт)",SUMIF(Меню!$J$8:$EZ$8,$B33,Меню!$J$253:$EZ$253)*Обложка!$N$15/60,SUMIF(Меню!$J$8:$EZ$8,$B33,Меню!$J$253:$EZ$253)/1000*Обложка!$N$15)</f>
        <v>0</v>
      </c>
      <c r="AD33" s="212">
        <f>IF($B33="Яйцо (шт)",SUMIF(Меню!$J$8:$EZ$8,$B33,Меню!$J$268:$EZ$268)*Обложка!$N$16/60,SUMIF(Меню!$J$8:$EZ$8,$B33,Меню!$J$268:$EZ$268)/1000*Обложка!$N$16)</f>
        <v>10.35</v>
      </c>
      <c r="AE33" s="212">
        <f>IF($B33="Яйцо (шт)",SUMIF(Меню!$J$8:$EZ$8,$B33,Меню!$J$281:$EZ$281)*Обложка!$N$17/60,SUMIF(Меню!$J$8:$EZ$8,$B33,Меню!$J$281:$EZ$281)/1000*Обложка!$N$17)</f>
        <v>11.25</v>
      </c>
      <c r="AF33" s="212">
        <f>IF($B33="Яйцо (шт)",SUMIF(Меню!$J$8:$EZ$8,$B33,Меню!$J$286:$EZ$286)*Обложка!$N$18/60,SUMIF(Меню!$J$8:$EZ$8,$B33,Меню!$J$286:$EZ$286)/1000*Обложка!$N$18)</f>
        <v>0</v>
      </c>
      <c r="AG33" s="685">
        <f t="shared" si="5"/>
        <v>21.6</v>
      </c>
      <c r="AH33" s="212">
        <f>IF($B33="Яйцо (шт)",SUMIF(Меню!$J$8:$EZ$8,$B33,Меню!$J$298:$EZ$298)*Обложка!$P$15/60,SUMIF(Меню!$J$8:$EZ$8,$B33,Меню!$J$298:$EZ$298)/1000*Обложка!$P$15)</f>
        <v>0</v>
      </c>
      <c r="AI33" s="212">
        <f>IF($B33="Яйцо (шт)",SUMIF(Меню!$J$8:$EZ$8,$BB33,Меню!$J$313:$EZ$313)*Обложка!$P$16/60,SUMIF(Меню!$J$8:$EZ$8,$B33,Меню!$J$313:$EZ$313)/1000*Обложка!$P$16)</f>
        <v>12.375</v>
      </c>
      <c r="AJ33" s="212">
        <f>IF($B33="Яйцо (шт)",SUMIF(Меню!$J$8:$EZ$8,$B33,Меню!$J$326:$EZ$326)*Обложка!$P$17/60,SUMIF(Меню!$J$8:$EZ$8,$B33,Меню!$J$326:$EZ$326)/1000*Обложка!$P$17)</f>
        <v>3.75</v>
      </c>
      <c r="AK33" s="212">
        <f>IF($B33="Яйцо (шт)",SUMIF(Меню!$J$8:$EZ$8,$B33,Меню!$J$331:$EZ$331)*Обложка!$P$18/60,SUMIF(Меню!$J$8:$EZ$8,$B33,Меню!$J$331:$EZ$331)/1000*Обложка!$P$18)</f>
        <v>0</v>
      </c>
      <c r="AL33" s="699">
        <f t="shared" si="6"/>
        <v>16.125</v>
      </c>
      <c r="AM33" s="685">
        <f t="shared" si="7"/>
        <v>201.06499999999997</v>
      </c>
    </row>
    <row r="34" spans="1:39" x14ac:dyDescent="0.25">
      <c r="A34" s="249">
        <f t="shared" si="8"/>
        <v>22</v>
      </c>
      <c r="B34" s="248" t="str">
        <f>инфо!D23</f>
        <v>Капуста свежая</v>
      </c>
      <c r="C34" s="694">
        <f>SUMIF(Меню!$J$8:$FD$8,$B34,Меню!$J$333:$FD$333)</f>
        <v>445</v>
      </c>
      <c r="D34" s="212">
        <f>IF($B34="Яйцо (шт)",SUMIF(Меню!$J$8:$FD$8,$B34,Меню!$J$28:$FD$28)*Обложка!$D$15/60,SUMIF(Меню!$J$8:$FD$8,$B34,Меню!$J$28:$FD$28)/1000*Обложка!$D$15)</f>
        <v>0</v>
      </c>
      <c r="E34" s="212">
        <f>IF($B34="Яйцо (шт)",SUMIF(Меню!$J$8:$FD$8,$B34,Меню!$J$43:$FD$43)*Обложка!$D$16/60,SUMIF(Меню!$J$8:$FD$8,$B34,Меню!$J$43:$FD$43)/1000*Обложка!$D$16)</f>
        <v>0</v>
      </c>
      <c r="F34" s="212">
        <f>IF($B34="Яйцо (шт)",SUMIF(Меню!$J$8:$FD$8,$B34,Меню!$J$56:$FD$56)*Обложка!$D$17/60,SUMIF(Меню!$J$8:$FD$8,$B34,Меню!$J$56:$FD$56)/1000*Обложка!$D$17)</f>
        <v>0</v>
      </c>
      <c r="G34" s="212">
        <f>IF($B34="Яйцо (шт)",SUMIF(Меню!$J$8:$FD$8,$B34,Меню!$J$61:$FD$61)*Обложка!$D$18/60,SUMIF(Меню!$J$8:$FD$8,$B34,Меню!$J$61:$FD$61)/1000*Обложка!$D$18)</f>
        <v>0</v>
      </c>
      <c r="H34" s="685">
        <f t="shared" si="0"/>
        <v>0</v>
      </c>
      <c r="I34" s="212">
        <f>IF($B34="Яйцо (шт)",SUMIF(Меню!$J$8:$FD$8,$B34,Меню!$J$73:$FD$73)*Обложка!$F$15/60,SUMIF(Меню!$J$8:$FD$8,$B34,Меню!$J$73:$FD$73)/1000*Обложка!$F$15)</f>
        <v>0</v>
      </c>
      <c r="J34" s="212">
        <f>IF($B34="Яйцо (шт)",SUMIF(Меню!$J$8:$FD$8,$B34,Меню!$J$88:$FD$88)*Обложка!$F$16/60,SUMIF(Меню!$J$8:$FD$8,$B34,Меню!$J$88:$FD$88)/1000*Обложка!$G$16)</f>
        <v>0</v>
      </c>
      <c r="K34" s="212">
        <f>IF($B34="Яйцо (шт)",SUMIF(Меню!$J$8:$FD$8,$B34,Меню!$J$101:$FD$101)*Обложка!$F$17/60,SUMIF(Меню!$J$8:$FD$8,$B34,Меню!$J$101:$FD$101)/1000*Обложка!$F$17)</f>
        <v>0</v>
      </c>
      <c r="L34" s="212">
        <f>IF($B34="Яйцо (шт)",SUMIF(Меню!$J$8:$FD$8,$B34,Меню!$J$106:$FD$106)*Обложка!$F$18/60,SUMIF(Меню!$J$8:$FD$8,$B34,Меню!$J$106:$FD$106)/1000*Обложка!$F$18)</f>
        <v>0</v>
      </c>
      <c r="M34" s="685">
        <f t="shared" si="1"/>
        <v>0</v>
      </c>
      <c r="N34" s="212">
        <f>IF($B34="Яйцо (шт)",SUMIF(Меню!$J$8:$EZ$8,$B34,Меню!$J$118:$EZ$118)*Обложка!$H$15/60,SUMIF(Меню!$J$8:$EZ$8,$B34,Меню!$J$118:$EZ$118)/1000*Обложка!$H$15)</f>
        <v>0</v>
      </c>
      <c r="O34" s="212">
        <f>IF($B34="Яйцо (шт)",SUMIF(Меню!$J$8:$EZ$8,$B34,Меню!$J$133:$EZ$133)*Обложка!$H$16/60,SUMIF(Меню!$J$8:$EZ$8,$B34,Меню!$J$133:$EZ$133)/1000*Обложка!$H$16)</f>
        <v>16.100000000000001</v>
      </c>
      <c r="P34" s="212">
        <f>IF($B34="Яйцо (шт)",SUMIF(Меню!$J$8:$EZ$8,$B34,Меню!$J$146:$EZ$146)*Обложка!$H$17/60,SUMIF(Меню!$J$8:$EZ$8,$B34,Меню!$J$146:$EZ$146)/1000*Обложка!$H$17)</f>
        <v>0</v>
      </c>
      <c r="Q34" s="212">
        <f>IF($B34="Яйцо (шт)",SUMIF(Меню!$J$8:$EZ$8,$B34,Меню!$J$151:$EZ$151)*Обложка!$H$18/60,SUMIF(Меню!$J$8:$EZ$8,$B34,Меню!$J$151:$EZ$151)/1000*Обложка!$H$18)</f>
        <v>0</v>
      </c>
      <c r="R34" s="685">
        <f t="shared" si="2"/>
        <v>16.100000000000001</v>
      </c>
      <c r="S34" s="212">
        <f>IF($B34="Яйцо (шт)",SUMIF(Меню!$J$8:$EZ$8,$B34,Меню!$J$163:$EZ$163)*Обложка!$J$15/60,SUMIF(Меню!$J$8:$EZ$8,$B34,Меню!$J$163:$EZ$163)/1000*Обложка!$J$15)</f>
        <v>0</v>
      </c>
      <c r="T34" s="212">
        <f>IF($B34="Яйцо (шт)",SUMIF(Меню!$J$8:$EZ$8,$B34,Меню!$J$178:$EZ$178)*Обложка!$J$16/60,SUMIF(Меню!$J$8:$EZ$8,$B34,Меню!$J$178:$EZ$178)/1000*Обложка!$J$16)</f>
        <v>14.000000000000002</v>
      </c>
      <c r="U34" s="212">
        <f>IF($B34="Яйцо (шт)",SUMIF(Меню!$J$8:$EZ$8,$B34,Меню!$J$191:$EZ$191)*Обложка!$J$17/60,SUMIF(Меню!$J$8:$EZ$8,$B34,Меню!$J$191:$EZ$191)/1000*Обложка!$J$17)</f>
        <v>0</v>
      </c>
      <c r="V34" s="212">
        <f>IF($B34="Яйцо (шт)",SUMIF(Меню!$J$8:$EZ$8,$B34,Меню!$J$196:$EZ$196)*Обложка!$J$18/60,SUMIF(Меню!$J$8:$EZ$8,$B34,Меню!$J$196:$EZ$196)/1000*Обложка!$J$18)</f>
        <v>0</v>
      </c>
      <c r="W34" s="685">
        <f t="shared" si="3"/>
        <v>14.000000000000002</v>
      </c>
      <c r="X34" s="212">
        <f>IF($B34="Яйцо (шт)",SUMIF(Меню!$J$8:$EZ$8,$B34,Меню!$J$208:$EZ$208)*Обложка!$L$15/60,SUMIF(Меню!$J$8:$EZ$8,$B34,Меню!$J$208:$EZ$208)/1000*Обложка!$L$15)</f>
        <v>0</v>
      </c>
      <c r="Y34" s="212">
        <f>IF($B34="Яйцо (шт)",SUMIF(Меню!$J$8:$EZ$8,$B34,Меню!$J$223:$EZ$223)*Обложка!$L$16/60,SUMIF(Меню!$J$8:$EZ$8,$B34,Меню!$J$223:$EZ$223)/1000*Обложка!$J$16)</f>
        <v>9</v>
      </c>
      <c r="Z34" s="212">
        <f>IF($B34="Яйцо (шт)",SUMIF(Меню!$J$8:$EZ$8,$B34,Меню!$J$236:$EZ$236)*Обложка!$L$17/60,SUMIF(Меню!$J$8:$EZ$8,$B34,Меню!$J$236:$EZ$236)/1000*Обложка!$L$17)</f>
        <v>0</v>
      </c>
      <c r="AA34" s="212">
        <f>IF($B34="Яйцо (шт)",SUMIF(Меню!$J$8:$EZ$8,$B34,Меню!$J$241:$EZ$241)*Обложка!$L$18/60,SUMIF(Меню!$J$8:$EZ$8,$B34,Меню!$J$241:$EZ$241)/1000*Обложка!$L$18)</f>
        <v>0</v>
      </c>
      <c r="AB34" s="685">
        <f t="shared" si="4"/>
        <v>9</v>
      </c>
      <c r="AC34" s="212">
        <f>IF($B34="Яйцо (шт)",SUMIF(Меню!$J$8:$EZ$8,$B34,Меню!$J$253:$EZ$253)*Обложка!$N$15/60,SUMIF(Меню!$J$8:$EZ$8,$B34,Меню!$J$253:$EZ$253)/1000*Обложка!$N$15)</f>
        <v>0</v>
      </c>
      <c r="AD34" s="212">
        <f>IF($B34="Яйцо (шт)",SUMIF(Меню!$J$8:$EZ$8,$B34,Меню!$J$268:$EZ$268)*Обложка!$N$16/60,SUMIF(Меню!$J$8:$EZ$8,$B34,Меню!$J$268:$EZ$268)/1000*Обложка!$N$16)</f>
        <v>0</v>
      </c>
      <c r="AE34" s="212">
        <f>IF($B34="Яйцо (шт)",SUMIF(Меню!$J$8:$EZ$8,$B34,Меню!$J$281:$EZ$281)*Обложка!$N$17/60,SUMIF(Меню!$J$8:$EZ$8,$B34,Меню!$J$281:$EZ$281)/1000*Обложка!$N$17)</f>
        <v>0</v>
      </c>
      <c r="AF34" s="212">
        <f>IF($B34="Яйцо (шт)",SUMIF(Меню!$J$8:$EZ$8,$B34,Меню!$J$286:$EZ$286)*Обложка!$N$18/60,SUMIF(Меню!$J$8:$EZ$8,$B34,Меню!$J$286:$EZ$286)/1000*Обложка!$N$18)</f>
        <v>0</v>
      </c>
      <c r="AG34" s="685">
        <f t="shared" si="5"/>
        <v>0</v>
      </c>
      <c r="AH34" s="212">
        <f>IF($B34="Яйцо (шт)",SUMIF(Меню!$J$8:$EZ$8,$B34,Меню!$J$298:$EZ$298)*Обложка!$P$15/60,SUMIF(Меню!$J$8:$EZ$8,$B34,Меню!$J$298:$EZ$298)/1000*Обложка!$P$15)</f>
        <v>0</v>
      </c>
      <c r="AI34" s="212">
        <f>IF($B34="Яйцо (шт)",SUMIF(Меню!$J$8:$EZ$8,$BB34,Меню!$J$313:$EZ$313)*Обложка!$P$16/60,SUMIF(Меню!$J$8:$EZ$8,$B34,Меню!$J$313:$EZ$313)/1000*Обложка!$P$16)</f>
        <v>1.875</v>
      </c>
      <c r="AJ34" s="212">
        <f>IF($B34="Яйцо (шт)",SUMIF(Меню!$J$8:$EZ$8,$B34,Меню!$J$326:$EZ$326)*Обложка!$P$17/60,SUMIF(Меню!$J$8:$EZ$8,$B34,Меню!$J$326:$EZ$326)/1000*Обложка!$P$17)</f>
        <v>0</v>
      </c>
      <c r="AK34" s="212">
        <f>IF($B34="Яйцо (шт)",SUMIF(Меню!$J$8:$EZ$8,$B34,Меню!$J$331:$EZ$331)*Обложка!$P$18/60,SUMIF(Меню!$J$8:$EZ$8,$B34,Меню!$J$331:$EZ$331)/1000*Обложка!$P$18)</f>
        <v>0</v>
      </c>
      <c r="AL34" s="699">
        <f t="shared" si="6"/>
        <v>1.875</v>
      </c>
      <c r="AM34" s="685">
        <f t="shared" si="7"/>
        <v>40.975000000000001</v>
      </c>
    </row>
    <row r="35" spans="1:39" x14ac:dyDescent="0.25">
      <c r="A35" s="249">
        <f t="shared" si="8"/>
        <v>23</v>
      </c>
      <c r="B35" s="248" t="str">
        <f>инфо!D24</f>
        <v>Морковь</v>
      </c>
      <c r="C35" s="694">
        <f>SUMIF(Меню!$J$8:$FD$8,$B35,Меню!$J$333:$FD$333)</f>
        <v>382.79999999999995</v>
      </c>
      <c r="D35" s="212">
        <f>IF($B35="Яйцо (шт)",SUMIF(Меню!$J$8:$FD$8,$B35,Меню!$J$28:$FD$28)*Обложка!$D$15/60,SUMIF(Меню!$J$8:$FD$8,$B35,Меню!$J$28:$FD$28)/1000*Обложка!$D$15)</f>
        <v>0</v>
      </c>
      <c r="E35" s="212">
        <f>IF($B35="Яйцо (шт)",SUMIF(Меню!$J$8:$FD$8,$B35,Меню!$J$43:$FD$43)*Обложка!$D$16/60,SUMIF(Меню!$J$8:$FD$8,$B35,Меню!$J$43:$FD$43)/1000*Обложка!$D$16)</f>
        <v>2.44</v>
      </c>
      <c r="F35" s="212">
        <f>IF($B35="Яйцо (шт)",SUMIF(Меню!$J$8:$FD$8,$B35,Меню!$J$56:$FD$56)*Обложка!$D$17/60,SUMIF(Меню!$J$8:$FD$8,$B35,Меню!$J$56:$FD$56)/1000*Обложка!$D$17)</f>
        <v>5.3679999999999994</v>
      </c>
      <c r="G35" s="212">
        <f>IF($B35="Яйцо (шт)",SUMIF(Меню!$J$8:$FD$8,$B35,Меню!$J$61:$FD$61)*Обложка!$D$18/60,SUMIF(Меню!$J$8:$FD$8,$B35,Меню!$J$61:$FD$61)/1000*Обложка!$D$18)</f>
        <v>0</v>
      </c>
      <c r="H35" s="685">
        <f t="shared" si="0"/>
        <v>7.8079999999999998</v>
      </c>
      <c r="I35" s="212">
        <f>IF($B35="Яйцо (шт)",SUMIF(Меню!$J$8:$FD$8,$B35,Меню!$J$73:$FD$73)*Обложка!$F$15/60,SUMIF(Меню!$J$8:$FD$8,$B35,Меню!$J$73:$FD$73)/1000*Обложка!$F$15)</f>
        <v>0</v>
      </c>
      <c r="J35" s="212">
        <f>IF($B35="Яйцо (шт)",SUMIF(Меню!$J$8:$FD$8,$B35,Меню!$J$88:$FD$88)*Обложка!$F$16/60,SUMIF(Меню!$J$8:$FD$8,$B35,Меню!$J$88:$FD$88)/1000*Обложка!$G$16)</f>
        <v>0.18039999999999998</v>
      </c>
      <c r="K35" s="212">
        <f>IF($B35="Яйцо (шт)",SUMIF(Меню!$J$8:$FD$8,$B35,Меню!$J$101:$FD$101)*Обложка!$F$17/60,SUMIF(Меню!$J$8:$FD$8,$B35,Меню!$J$101:$FD$101)/1000*Обложка!$F$17)</f>
        <v>0.65</v>
      </c>
      <c r="L35" s="212">
        <f>IF($B35="Яйцо (шт)",SUMIF(Меню!$J$8:$FD$8,$B35,Меню!$J$106:$FD$106)*Обложка!$F$18/60,SUMIF(Меню!$J$8:$FD$8,$B35,Меню!$J$106:$FD$106)/1000*Обложка!$F$18)</f>
        <v>0</v>
      </c>
      <c r="M35" s="685">
        <f t="shared" si="1"/>
        <v>0.83040000000000003</v>
      </c>
      <c r="N35" s="212">
        <f>IF($B35="Яйцо (шт)",SUMIF(Меню!$J$8:$EZ$8,$B35,Меню!$J$118:$EZ$118)*Обложка!$H$15/60,SUMIF(Меню!$J$8:$EZ$8,$B35,Меню!$J$118:$EZ$118)/1000*Обложка!$H$15)</f>
        <v>0</v>
      </c>
      <c r="O35" s="212">
        <f>IF($B35="Яйцо (шт)",SUMIF(Меню!$J$8:$EZ$8,$B35,Меню!$J$133:$EZ$133)*Обложка!$H$16/60,SUMIF(Меню!$J$8:$EZ$8,$B35,Меню!$J$133:$EZ$133)/1000*Обложка!$H$16)</f>
        <v>2.1850000000000001</v>
      </c>
      <c r="P35" s="212">
        <f>IF($B35="Яйцо (шт)",SUMIF(Меню!$J$8:$EZ$8,$B35,Меню!$J$146:$EZ$146)*Обложка!$H$17/60,SUMIF(Меню!$J$8:$EZ$8,$B35,Меню!$J$146:$EZ$146)/1000*Обложка!$H$17)</f>
        <v>1.1500000000000001</v>
      </c>
      <c r="Q35" s="212">
        <f>IF($B35="Яйцо (шт)",SUMIF(Меню!$J$8:$EZ$8,$B35,Меню!$J$151:$EZ$151)*Обложка!$H$18/60,SUMIF(Меню!$J$8:$EZ$8,$B35,Меню!$J$151:$EZ$151)/1000*Обложка!$H$18)</f>
        <v>0</v>
      </c>
      <c r="R35" s="685">
        <f t="shared" si="2"/>
        <v>3.335</v>
      </c>
      <c r="S35" s="212">
        <f>IF($B35="Яйцо (шт)",SUMIF(Меню!$J$8:$EZ$8,$B35,Меню!$J$163:$EZ$163)*Обложка!$J$15/60,SUMIF(Меню!$J$8:$EZ$8,$B35,Меню!$J$163:$EZ$163)/1000*Обложка!$J$15)</f>
        <v>0</v>
      </c>
      <c r="T35" s="212">
        <f>IF($B35="Яйцо (шт)",SUMIF(Меню!$J$8:$EZ$8,$B35,Меню!$J$178:$EZ$178)*Обложка!$J$16/60,SUMIF(Меню!$J$8:$EZ$8,$B35,Меню!$J$178:$EZ$178)/1000*Обложка!$J$16)</f>
        <v>3.9</v>
      </c>
      <c r="U35" s="212">
        <f>IF($B35="Яйцо (шт)",SUMIF(Меню!$J$8:$EZ$8,$B35,Меню!$J$191:$EZ$191)*Обложка!$J$17/60,SUMIF(Меню!$J$8:$EZ$8,$B35,Меню!$J$191:$EZ$191)/1000*Обложка!$J$17)</f>
        <v>0.98</v>
      </c>
      <c r="V35" s="212">
        <f>IF($B35="Яйцо (шт)",SUMIF(Меню!$J$8:$EZ$8,$B35,Меню!$J$196:$EZ$196)*Обложка!$J$18/60,SUMIF(Меню!$J$8:$EZ$8,$B35,Меню!$J$196:$EZ$196)/1000*Обложка!$J$18)</f>
        <v>0</v>
      </c>
      <c r="W35" s="685">
        <f t="shared" si="3"/>
        <v>4.88</v>
      </c>
      <c r="X35" s="212">
        <f>IF($B35="Яйцо (шт)",SUMIF(Меню!$J$8:$EZ$8,$B35,Меню!$J$208:$EZ$208)*Обложка!$L$15/60,SUMIF(Меню!$J$8:$EZ$8,$B35,Меню!$J$208:$EZ$208)/1000*Обложка!$L$15)</f>
        <v>0</v>
      </c>
      <c r="Y35" s="212">
        <f>IF($B35="Яйцо (шт)",SUMIF(Меню!$J$8:$EZ$8,$B35,Меню!$J$223:$EZ$223)*Обложка!$L$16/60,SUMIF(Меню!$J$8:$EZ$8,$B35,Меню!$J$223:$EZ$223)/1000*Обложка!$J$16)</f>
        <v>16</v>
      </c>
      <c r="Z35" s="212">
        <f>IF($B35="Яйцо (шт)",SUMIF(Меню!$J$8:$EZ$8,$B35,Меню!$J$236:$EZ$236)*Обложка!$L$17/60,SUMIF(Меню!$J$8:$EZ$8,$B35,Меню!$J$236:$EZ$236)/1000*Обложка!$L$17)</f>
        <v>0.47599999999999998</v>
      </c>
      <c r="AA35" s="212">
        <f>IF($B35="Яйцо (шт)",SUMIF(Меню!$J$8:$EZ$8,$B35,Меню!$J$241:$EZ$241)*Обложка!$L$18/60,SUMIF(Меню!$J$8:$EZ$8,$B35,Меню!$J$241:$EZ$241)/1000*Обложка!$L$18)</f>
        <v>0</v>
      </c>
      <c r="AB35" s="685">
        <f t="shared" si="4"/>
        <v>16.475999999999999</v>
      </c>
      <c r="AC35" s="212">
        <f>IF($B35="Яйцо (шт)",SUMIF(Меню!$J$8:$EZ$8,$B35,Меню!$J$253:$EZ$253)*Обложка!$N$15/60,SUMIF(Меню!$J$8:$EZ$8,$B35,Меню!$J$253:$EZ$253)/1000*Обложка!$N$15)</f>
        <v>0</v>
      </c>
      <c r="AD35" s="212">
        <f>IF($B35="Яйцо (шт)",SUMIF(Меню!$J$8:$EZ$8,$B35,Меню!$J$268:$EZ$268)*Обложка!$N$16/60,SUMIF(Меню!$J$8:$EZ$8,$B35,Меню!$J$268:$EZ$268)/1000*Обложка!$N$16)</f>
        <v>0.18</v>
      </c>
      <c r="AE35" s="212">
        <f>IF($B35="Яйцо (шт)",SUMIF(Меню!$J$8:$EZ$8,$B35,Меню!$J$281:$EZ$281)*Обложка!$N$17/60,SUMIF(Меню!$J$8:$EZ$8,$B35,Меню!$J$281:$EZ$281)/1000*Обложка!$N$17)</f>
        <v>0.45</v>
      </c>
      <c r="AF35" s="212">
        <f>IF($B35="Яйцо (шт)",SUMIF(Меню!$J$8:$EZ$8,$B35,Меню!$J$286:$EZ$286)*Обложка!$N$18/60,SUMIF(Меню!$J$8:$EZ$8,$B35,Меню!$J$286:$EZ$286)/1000*Обложка!$N$18)</f>
        <v>0</v>
      </c>
      <c r="AG35" s="685">
        <f t="shared" si="5"/>
        <v>0.63</v>
      </c>
      <c r="AH35" s="212">
        <f>IF($B35="Яйцо (шт)",SUMIF(Меню!$J$8:$EZ$8,$B35,Меню!$J$298:$EZ$298)*Обложка!$P$15/60,SUMIF(Меню!$J$8:$EZ$8,$B35,Меню!$J$298:$EZ$298)/1000*Обложка!$P$15)</f>
        <v>0</v>
      </c>
      <c r="AI35" s="212">
        <f>IF($B35="Яйцо (шт)",SUMIF(Меню!$J$8:$EZ$8,$BB35,Меню!$J$313:$EZ$313)*Обложка!$P$16/60,SUMIF(Меню!$J$8:$EZ$8,$B35,Меню!$J$313:$EZ$313)/1000*Обложка!$P$16)</f>
        <v>0.5</v>
      </c>
      <c r="AJ35" s="212">
        <f>IF($B35="Яйцо (шт)",SUMIF(Меню!$J$8:$EZ$8,$B35,Меню!$J$326:$EZ$326)*Обложка!$P$17/60,SUMIF(Меню!$J$8:$EZ$8,$B35,Меню!$J$326:$EZ$326)/1000*Обложка!$P$17)</f>
        <v>0.5</v>
      </c>
      <c r="AK35" s="212">
        <f>IF($B35="Яйцо (шт)",SUMIF(Меню!$J$8:$EZ$8,$B35,Меню!$J$331:$EZ$331)*Обложка!$P$18/60,SUMIF(Меню!$J$8:$EZ$8,$B35,Меню!$J$331:$EZ$331)/1000*Обложка!$P$18)</f>
        <v>0</v>
      </c>
      <c r="AL35" s="699">
        <f t="shared" si="6"/>
        <v>1</v>
      </c>
      <c r="AM35" s="685">
        <f t="shared" si="7"/>
        <v>34.959400000000002</v>
      </c>
    </row>
    <row r="36" spans="1:39" x14ac:dyDescent="0.25">
      <c r="A36" s="249">
        <f t="shared" si="8"/>
        <v>24</v>
      </c>
      <c r="B36" s="248" t="str">
        <f>инфо!D25</f>
        <v>Лук репчатый</v>
      </c>
      <c r="C36" s="694">
        <f>SUMIF(Меню!$J$8:$FD$8,$B36,Меню!$J$333:$FD$333)</f>
        <v>326</v>
      </c>
      <c r="D36" s="212">
        <f>IF($B36="Яйцо (шт)",SUMIF(Меню!$J$8:$FD$8,$B36,Меню!$J$28:$FD$28)*Обложка!$D$15/60,SUMIF(Меню!$J$8:$FD$8,$B36,Меню!$J$28:$FD$28)/1000*Обложка!$D$15)</f>
        <v>0</v>
      </c>
      <c r="E36" s="212">
        <f>IF($B36="Яйцо (шт)",SUMIF(Меню!$J$8:$FD$8,$B36,Меню!$J$43:$FD$43)*Обложка!$D$16/60,SUMIF(Меню!$J$8:$FD$8,$B36,Меню!$J$43:$FD$43)/1000*Обложка!$D$16)</f>
        <v>4.758</v>
      </c>
      <c r="F36" s="212">
        <f>IF($B36="Яйцо (шт)",SUMIF(Меню!$J$8:$FD$8,$B36,Меню!$J$56:$FD$56)*Обложка!$D$17/60,SUMIF(Меню!$J$8:$FD$8,$B36,Меню!$J$56:$FD$56)/1000*Обложка!$D$17)</f>
        <v>5.49</v>
      </c>
      <c r="G36" s="212">
        <f>IF($B36="Яйцо (шт)",SUMIF(Меню!$J$8:$FD$8,$B36,Меню!$J$61:$FD$61)*Обложка!$D$18/60,SUMIF(Меню!$J$8:$FD$8,$B36,Меню!$J$61:$FD$61)/1000*Обложка!$D$18)</f>
        <v>0</v>
      </c>
      <c r="H36" s="685">
        <f t="shared" si="0"/>
        <v>10.248000000000001</v>
      </c>
      <c r="I36" s="212">
        <f>IF($B36="Яйцо (шт)",SUMIF(Меню!$J$8:$FD$8,$B36,Меню!$J$73:$FD$73)*Обложка!$F$15/60,SUMIF(Меню!$J$8:$FD$8,$B36,Меню!$J$73:$FD$73)/1000*Обложка!$F$15)</f>
        <v>0</v>
      </c>
      <c r="J36" s="212">
        <f>IF($B36="Яйцо (шт)",SUMIF(Меню!$J$8:$FD$8,$B36,Меню!$J$88:$FD$88)*Обложка!$F$16/60,SUMIF(Меню!$J$8:$FD$8,$B36,Меню!$J$88:$FD$88)/1000*Обложка!$G$16)</f>
        <v>0.37840000000000001</v>
      </c>
      <c r="K36" s="212">
        <f>IF($B36="Яйцо (шт)",SUMIF(Меню!$J$8:$FD$8,$B36,Меню!$J$101:$FD$101)*Обложка!$F$17/60,SUMIF(Меню!$J$8:$FD$8,$B36,Меню!$J$101:$FD$101)/1000*Обложка!$F$17)</f>
        <v>0.65</v>
      </c>
      <c r="L36" s="212">
        <f>IF($B36="Яйцо (шт)",SUMIF(Меню!$J$8:$FD$8,$B36,Меню!$J$106:$FD$106)*Обложка!$F$18/60,SUMIF(Меню!$J$8:$FD$8,$B36,Меню!$J$106:$FD$106)/1000*Обложка!$F$18)</f>
        <v>0</v>
      </c>
      <c r="M36" s="685">
        <f t="shared" si="1"/>
        <v>1.0284</v>
      </c>
      <c r="N36" s="212">
        <f>IF($B36="Яйцо (шт)",SUMIF(Меню!$J$8:$EZ$8,$B36,Меню!$J$118:$EZ$118)*Обложка!$H$15/60,SUMIF(Меню!$J$8:$EZ$8,$B36,Меню!$J$118:$EZ$118)/1000*Обложка!$H$15)</f>
        <v>0</v>
      </c>
      <c r="O36" s="212">
        <f>IF($B36="Яйцо (шт)",SUMIF(Меню!$J$8:$EZ$8,$B36,Меню!$J$133:$EZ$133)*Обложка!$H$16/60,SUMIF(Меню!$J$8:$EZ$8,$B36,Меню!$J$133:$EZ$133)/1000*Обложка!$H$16)</f>
        <v>2.5529999999999999</v>
      </c>
      <c r="P36" s="212">
        <f>IF($B36="Яйцо (шт)",SUMIF(Меню!$J$8:$EZ$8,$B36,Меню!$J$146:$EZ$146)*Обложка!$H$17/60,SUMIF(Меню!$J$8:$EZ$8,$B36,Меню!$J$146:$EZ$146)/1000*Обложка!$H$17)</f>
        <v>1.1500000000000001</v>
      </c>
      <c r="Q36" s="212">
        <f>IF($B36="Яйцо (шт)",SUMIF(Меню!$J$8:$EZ$8,$B36,Меню!$J$151:$EZ$151)*Обложка!$H$18/60,SUMIF(Меню!$J$8:$EZ$8,$B36,Меню!$J$151:$EZ$151)/1000*Обложка!$H$18)</f>
        <v>0</v>
      </c>
      <c r="R36" s="685">
        <f t="shared" si="2"/>
        <v>3.7030000000000003</v>
      </c>
      <c r="S36" s="212">
        <f>IF($B36="Яйцо (шт)",SUMIF(Меню!$J$8:$EZ$8,$B36,Меню!$J$163:$EZ$163)*Обложка!$J$15/60,SUMIF(Меню!$J$8:$EZ$8,$B36,Меню!$J$163:$EZ$163)/1000*Обложка!$J$15)</f>
        <v>0</v>
      </c>
      <c r="T36" s="212">
        <f>IF($B36="Яйцо (шт)",SUMIF(Меню!$J$8:$EZ$8,$B36,Меню!$J$178:$EZ$178)*Обложка!$J$16/60,SUMIF(Меню!$J$8:$EZ$8,$B36,Меню!$J$178:$EZ$178)/1000*Обложка!$J$16)</f>
        <v>4.3999999999999995</v>
      </c>
      <c r="U36" s="212">
        <f>IF($B36="Яйцо (шт)",SUMIF(Меню!$J$8:$EZ$8,$B36,Меню!$J$191:$EZ$191)*Обложка!$J$17/60,SUMIF(Меню!$J$8:$EZ$8,$B36,Меню!$J$191:$EZ$191)/1000*Обложка!$J$17)</f>
        <v>0.98</v>
      </c>
      <c r="V36" s="212">
        <f>IF($B36="Яйцо (шт)",SUMIF(Меню!$J$8:$EZ$8,$B36,Меню!$J$196:$EZ$196)*Обложка!$J$18/60,SUMIF(Меню!$J$8:$EZ$8,$B36,Меню!$J$196:$EZ$196)/1000*Обложка!$J$18)</f>
        <v>0</v>
      </c>
      <c r="W36" s="685">
        <f t="shared" si="3"/>
        <v>5.379999999999999</v>
      </c>
      <c r="X36" s="212">
        <f>IF($B36="Яйцо (шт)",SUMIF(Меню!$J$8:$EZ$8,$B36,Меню!$J$208:$EZ$208)*Обложка!$L$15/60,SUMIF(Меню!$J$8:$EZ$8,$B36,Меню!$J$208:$EZ$208)/1000*Обложка!$L$15)</f>
        <v>0</v>
      </c>
      <c r="Y36" s="212">
        <f>IF($B36="Яйцо (шт)",SUMIF(Меню!$J$8:$EZ$8,$B36,Меню!$J$223:$EZ$223)*Обложка!$L$16/60,SUMIF(Меню!$J$8:$EZ$8,$B36,Меню!$J$223:$EZ$223)/1000*Обложка!$J$16)</f>
        <v>3.5000000000000004</v>
      </c>
      <c r="Z36" s="212">
        <f>IF($B36="Яйцо (шт)",SUMIF(Меню!$J$8:$EZ$8,$B36,Меню!$J$236:$EZ$236)*Обложка!$L$17/60,SUMIF(Меню!$J$8:$EZ$8,$B36,Меню!$J$236:$EZ$236)/1000*Обложка!$L$17)</f>
        <v>0.61599999999999999</v>
      </c>
      <c r="AA36" s="212">
        <f>IF($B36="Яйцо (шт)",SUMIF(Меню!$J$8:$EZ$8,$B36,Меню!$J$241:$EZ$241)*Обложка!$L$18/60,SUMIF(Меню!$J$8:$EZ$8,$B36,Меню!$J$241:$EZ$241)/1000*Обложка!$L$18)</f>
        <v>0</v>
      </c>
      <c r="AB36" s="685">
        <f t="shared" si="4"/>
        <v>4.1160000000000005</v>
      </c>
      <c r="AC36" s="212">
        <f>IF($B36="Яйцо (шт)",SUMIF(Меню!$J$8:$EZ$8,$B36,Меню!$J$253:$EZ$253)*Обложка!$N$15/60,SUMIF(Меню!$J$8:$EZ$8,$B36,Меню!$J$253:$EZ$253)/1000*Обложка!$N$15)</f>
        <v>0</v>
      </c>
      <c r="AD36" s="212">
        <f>IF($B36="Яйцо (шт)",SUMIF(Меню!$J$8:$EZ$8,$B36,Меню!$J$268:$EZ$268)*Обложка!$N$16/60,SUMIF(Меню!$J$8:$EZ$8,$B36,Меню!$J$268:$EZ$268)/1000*Обложка!$N$16)</f>
        <v>1.08</v>
      </c>
      <c r="AE36" s="212">
        <f>IF($B36="Яйцо (шт)",SUMIF(Меню!$J$8:$EZ$8,$B36,Меню!$J$281:$EZ$281)*Обложка!$N$17/60,SUMIF(Меню!$J$8:$EZ$8,$B36,Меню!$J$281:$EZ$281)/1000*Обложка!$N$17)</f>
        <v>0.45</v>
      </c>
      <c r="AF36" s="212">
        <f>IF($B36="Яйцо (шт)",SUMIF(Меню!$J$8:$EZ$8,$B36,Меню!$J$286:$EZ$286)*Обложка!$N$18/60,SUMIF(Меню!$J$8:$EZ$8,$B36,Меню!$J$286:$EZ$286)/1000*Обложка!$N$18)</f>
        <v>0</v>
      </c>
      <c r="AG36" s="685">
        <f t="shared" si="5"/>
        <v>1.53</v>
      </c>
      <c r="AH36" s="212">
        <f>IF($B36="Яйцо (шт)",SUMIF(Меню!$J$8:$EZ$8,$B36,Меню!$J$298:$EZ$298)*Обложка!$P$15/60,SUMIF(Меню!$J$8:$EZ$8,$B36,Меню!$J$298:$EZ$298)/1000*Обложка!$P$15)</f>
        <v>0</v>
      </c>
      <c r="AI36" s="212">
        <f>IF($B36="Яйцо (шт)",SUMIF(Меню!$J$8:$EZ$8,$BB36,Меню!$J$313:$EZ$313)*Обложка!$P$16/60,SUMIF(Меню!$J$8:$EZ$8,$B36,Меню!$J$313:$EZ$313)/1000*Обложка!$P$16)</f>
        <v>0.625</v>
      </c>
      <c r="AJ36" s="212">
        <f>IF($B36="Яйцо (шт)",SUMIF(Меню!$J$8:$EZ$8,$B36,Меню!$J$326:$EZ$326)*Обложка!$P$17/60,SUMIF(Меню!$J$8:$EZ$8,$B36,Меню!$J$326:$EZ$326)/1000*Обложка!$P$17)</f>
        <v>0.54999999999999993</v>
      </c>
      <c r="AK36" s="212">
        <f>IF($B36="Яйцо (шт)",SUMIF(Меню!$J$8:$EZ$8,$B36,Меню!$J$331:$EZ$331)*Обложка!$P$18/60,SUMIF(Меню!$J$8:$EZ$8,$B36,Меню!$J$331:$EZ$331)/1000*Обложка!$P$18)</f>
        <v>0</v>
      </c>
      <c r="AL36" s="699">
        <f t="shared" si="6"/>
        <v>1.1749999999999998</v>
      </c>
      <c r="AM36" s="685">
        <f t="shared" si="7"/>
        <v>27.180400000000002</v>
      </c>
    </row>
    <row r="37" spans="1:39" x14ac:dyDescent="0.25">
      <c r="A37" s="249">
        <f t="shared" si="8"/>
        <v>25</v>
      </c>
      <c r="B37" s="248" t="str">
        <f>инфо!D26</f>
        <v>Огурцы свежие</v>
      </c>
      <c r="C37" s="694">
        <f>SUMIF(Меню!$J$8:$FD$8,$B37,Меню!$J$333:$FD$333)</f>
        <v>0</v>
      </c>
      <c r="D37" s="212">
        <f>IF($B37="Яйцо (шт)",SUMIF(Меню!$J$8:$FD$8,$B37,Меню!$J$28:$FD$28)*Обложка!$D$15/60,SUMIF(Меню!$J$8:$FD$8,$B37,Меню!$J$28:$FD$28)/1000*Обложка!$D$15)</f>
        <v>0</v>
      </c>
      <c r="E37" s="212">
        <f>IF($B37="Яйцо (шт)",SUMIF(Меню!$J$8:$FD$8,$B37,Меню!$J$43:$FD$43)*Обложка!$D$16/60,SUMIF(Меню!$J$8:$FD$8,$B37,Меню!$J$43:$FD$43)/1000*Обложка!$D$16)</f>
        <v>0</v>
      </c>
      <c r="F37" s="212">
        <f>IF($B37="Яйцо (шт)",SUMIF(Меню!$J$8:$FD$8,$B37,Меню!$J$56:$FD$56)*Обложка!$D$17/60,SUMIF(Меню!$J$8:$FD$8,$B37,Меню!$J$56:$FD$56)/1000*Обложка!$D$17)</f>
        <v>0</v>
      </c>
      <c r="G37" s="212">
        <f>IF($B37="Яйцо (шт)",SUMIF(Меню!$J$8:$FD$8,$B37,Меню!$J$61:$FD$61)*Обложка!$D$18/60,SUMIF(Меню!$J$8:$FD$8,$B37,Меню!$J$61:$FD$61)/1000*Обложка!$D$18)</f>
        <v>0</v>
      </c>
      <c r="H37" s="685">
        <f t="shared" si="0"/>
        <v>0</v>
      </c>
      <c r="I37" s="212">
        <f>IF($B37="Яйцо (шт)",SUMIF(Меню!$J$8:$FD$8,$B37,Меню!$J$73:$FD$73)*Обложка!$F$15/60,SUMIF(Меню!$J$8:$FD$8,$B37,Меню!$J$73:$FD$73)/1000*Обложка!$F$15)</f>
        <v>0</v>
      </c>
      <c r="J37" s="212">
        <f>IF($B37="Яйцо (шт)",SUMIF(Меню!$J$8:$FD$8,$B37,Меню!$J$88:$FD$88)*Обложка!$F$16/60,SUMIF(Меню!$J$8:$FD$8,$B37,Меню!$J$88:$FD$88)/1000*Обложка!$G$16)</f>
        <v>0</v>
      </c>
      <c r="K37" s="212">
        <f>IF($B37="Яйцо (шт)",SUMIF(Меню!$J$8:$FD$8,$B37,Меню!$J$101:$FD$101)*Обложка!$F$17/60,SUMIF(Меню!$J$8:$FD$8,$B37,Меню!$J$101:$FD$101)/1000*Обложка!$F$17)</f>
        <v>0</v>
      </c>
      <c r="L37" s="212">
        <f>IF($B37="Яйцо (шт)",SUMIF(Меню!$J$8:$FD$8,$B37,Меню!$J$106:$FD$106)*Обложка!$F$18/60,SUMIF(Меню!$J$8:$FD$8,$B37,Меню!$J$106:$FD$106)/1000*Обложка!$F$18)</f>
        <v>0</v>
      </c>
      <c r="M37" s="685">
        <f t="shared" si="1"/>
        <v>0</v>
      </c>
      <c r="N37" s="212">
        <f>IF($B37="Яйцо (шт)",SUMIF(Меню!$J$8:$EZ$8,$B37,Меню!$J$118:$EZ$118)*Обложка!$H$15/60,SUMIF(Меню!$J$8:$EZ$8,$B37,Меню!$J$118:$EZ$118)/1000*Обложка!$H$15)</f>
        <v>0</v>
      </c>
      <c r="O37" s="212">
        <f>IF($B37="Яйцо (шт)",SUMIF(Меню!$J$8:$EZ$8,$B37,Меню!$J$133:$EZ$133)*Обложка!$H$16/60,SUMIF(Меню!$J$8:$EZ$8,$B37,Меню!$J$133:$EZ$133)/1000*Обложка!$H$16)</f>
        <v>0</v>
      </c>
      <c r="P37" s="212">
        <f>IF($B37="Яйцо (шт)",SUMIF(Меню!$J$8:$EZ$8,$B37,Меню!$J$146:$EZ$146)*Обложка!$H$17/60,SUMIF(Меню!$J$8:$EZ$8,$B37,Меню!$J$146:$EZ$146)/1000*Обложка!$H$17)</f>
        <v>0</v>
      </c>
      <c r="Q37" s="212">
        <f>IF($B37="Яйцо (шт)",SUMIF(Меню!$J$8:$EZ$8,$B37,Меню!$J$151:$EZ$151)*Обложка!$H$18/60,SUMIF(Меню!$J$8:$EZ$8,$B37,Меню!$J$151:$EZ$151)/1000*Обложка!$H$18)</f>
        <v>0</v>
      </c>
      <c r="R37" s="685">
        <f t="shared" si="2"/>
        <v>0</v>
      </c>
      <c r="S37" s="212">
        <f>IF($B37="Яйцо (шт)",SUMIF(Меню!$J$8:$EZ$8,$B37,Меню!$J$163:$EZ$163)*Обложка!$J$15/60,SUMIF(Меню!$J$8:$EZ$8,$B37,Меню!$J$163:$EZ$163)/1000*Обложка!$J$15)</f>
        <v>0</v>
      </c>
      <c r="T37" s="212">
        <f>IF($B37="Яйцо (шт)",SUMIF(Меню!$J$8:$EZ$8,$B37,Меню!$J$178:$EZ$178)*Обложка!$J$16/60,SUMIF(Меню!$J$8:$EZ$8,$B37,Меню!$J$178:$EZ$178)/1000*Обложка!$J$16)</f>
        <v>0</v>
      </c>
      <c r="U37" s="212">
        <f>IF($B37="Яйцо (шт)",SUMIF(Меню!$J$8:$EZ$8,$B37,Меню!$J$191:$EZ$191)*Обложка!$J$17/60,SUMIF(Меню!$J$8:$EZ$8,$B37,Меню!$J$191:$EZ$191)/1000*Обложка!$J$17)</f>
        <v>0</v>
      </c>
      <c r="V37" s="212">
        <f>IF($B37="Яйцо (шт)",SUMIF(Меню!$J$8:$EZ$8,$B37,Меню!$J$196:$EZ$196)*Обложка!$J$18/60,SUMIF(Меню!$J$8:$EZ$8,$B37,Меню!$J$196:$EZ$196)/1000*Обложка!$J$18)</f>
        <v>0</v>
      </c>
      <c r="W37" s="685">
        <f t="shared" si="3"/>
        <v>0</v>
      </c>
      <c r="X37" s="212">
        <f>IF($B37="Яйцо (шт)",SUMIF(Меню!$J$8:$EZ$8,$B37,Меню!$J$208:$EZ$208)*Обложка!$L$15/60,SUMIF(Меню!$J$8:$EZ$8,$B37,Меню!$J$208:$EZ$208)/1000*Обложка!$L$15)</f>
        <v>0</v>
      </c>
      <c r="Y37" s="212">
        <f>IF($B37="Яйцо (шт)",SUMIF(Меню!$J$8:$EZ$8,$B37,Меню!$J$223:$EZ$223)*Обложка!$L$16/60,SUMIF(Меню!$J$8:$EZ$8,$B37,Меню!$J$223:$EZ$223)/1000*Обложка!$J$16)</f>
        <v>0</v>
      </c>
      <c r="Z37" s="212">
        <f>IF($B37="Яйцо (шт)",SUMIF(Меню!$J$8:$EZ$8,$B37,Меню!$J$236:$EZ$236)*Обложка!$L$17/60,SUMIF(Меню!$J$8:$EZ$8,$B37,Меню!$J$236:$EZ$236)/1000*Обложка!$L$17)</f>
        <v>0</v>
      </c>
      <c r="AA37" s="212">
        <f>IF($B37="Яйцо (шт)",SUMIF(Меню!$J$8:$EZ$8,$B37,Меню!$J$241:$EZ$241)*Обложка!$L$18/60,SUMIF(Меню!$J$8:$EZ$8,$B37,Меню!$J$241:$EZ$241)/1000*Обложка!$L$18)</f>
        <v>0</v>
      </c>
      <c r="AB37" s="685">
        <f t="shared" si="4"/>
        <v>0</v>
      </c>
      <c r="AC37" s="212">
        <f>IF($B37="Яйцо (шт)",SUMIF(Меню!$J$8:$EZ$8,$B37,Меню!$J$253:$EZ$253)*Обложка!$N$15/60,SUMIF(Меню!$J$8:$EZ$8,$B37,Меню!$J$253:$EZ$253)/1000*Обложка!$N$15)</f>
        <v>0</v>
      </c>
      <c r="AD37" s="212">
        <f>IF($B37="Яйцо (шт)",SUMIF(Меню!$J$8:$EZ$8,$B37,Меню!$J$268:$EZ$268)*Обложка!$N$16/60,SUMIF(Меню!$J$8:$EZ$8,$B37,Меню!$J$268:$EZ$268)/1000*Обложка!$N$16)</f>
        <v>0</v>
      </c>
      <c r="AE37" s="212">
        <f>IF($B37="Яйцо (шт)",SUMIF(Меню!$J$8:$EZ$8,$B37,Меню!$J$281:$EZ$281)*Обложка!$N$17/60,SUMIF(Меню!$J$8:$EZ$8,$B37,Меню!$J$281:$EZ$281)/1000*Обложка!$N$17)</f>
        <v>0</v>
      </c>
      <c r="AF37" s="212">
        <f>IF($B37="Яйцо (шт)",SUMIF(Меню!$J$8:$EZ$8,$B37,Меню!$J$286:$EZ$286)*Обложка!$N$18/60,SUMIF(Меню!$J$8:$EZ$8,$B37,Меню!$J$286:$EZ$286)/1000*Обложка!$N$18)</f>
        <v>0</v>
      </c>
      <c r="AG37" s="685">
        <f t="shared" si="5"/>
        <v>0</v>
      </c>
      <c r="AH37" s="212">
        <f>IF($B37="Яйцо (шт)",SUMIF(Меню!$J$8:$EZ$8,$B37,Меню!$J$298:$EZ$298)*Обложка!$P$15/60,SUMIF(Меню!$J$8:$EZ$8,$B37,Меню!$J$298:$EZ$298)/1000*Обложка!$P$15)</f>
        <v>0</v>
      </c>
      <c r="AI37" s="212">
        <f>IF($B37="Яйцо (шт)",SUMIF(Меню!$J$8:$EZ$8,$BB37,Меню!$J$313:$EZ$313)*Обложка!$P$16/60,SUMIF(Меню!$J$8:$EZ$8,$B37,Меню!$J$313:$EZ$313)/1000*Обложка!$P$16)</f>
        <v>0</v>
      </c>
      <c r="AJ37" s="212">
        <f>IF($B37="Яйцо (шт)",SUMIF(Меню!$J$8:$EZ$8,$B37,Меню!$J$326:$EZ$326)*Обложка!$P$17/60,SUMIF(Меню!$J$8:$EZ$8,$B37,Меню!$J$326:$EZ$326)/1000*Обложка!$P$17)</f>
        <v>0</v>
      </c>
      <c r="AK37" s="212">
        <f>IF($B37="Яйцо (шт)",SUMIF(Меню!$J$8:$EZ$8,$B37,Меню!$J$331:$EZ$331)*Обложка!$P$18/60,SUMIF(Меню!$J$8:$EZ$8,$B37,Меню!$J$331:$EZ$331)/1000*Обложка!$P$18)</f>
        <v>0</v>
      </c>
      <c r="AL37" s="699">
        <f t="shared" si="6"/>
        <v>0</v>
      </c>
      <c r="AM37" s="685">
        <f t="shared" si="7"/>
        <v>0</v>
      </c>
    </row>
    <row r="38" spans="1:39" x14ac:dyDescent="0.25">
      <c r="A38" s="249">
        <f t="shared" si="8"/>
        <v>26</v>
      </c>
      <c r="B38" s="248" t="str">
        <f>инфо!D27</f>
        <v>Помидоры свежие</v>
      </c>
      <c r="C38" s="694">
        <f>SUMIF(Меню!$J$8:$FD$8,$B38,Меню!$J$333:$FD$333)</f>
        <v>25</v>
      </c>
      <c r="D38" s="212">
        <f>IF($B38="Яйцо (шт)",SUMIF(Меню!$J$8:$FD$8,$B38,Меню!$J$28:$FD$28)*Обложка!$D$15/60,SUMIF(Меню!$J$8:$FD$8,$B38,Меню!$J$28:$FD$28)/1000*Обложка!$D$15)</f>
        <v>0</v>
      </c>
      <c r="E38" s="212">
        <f>IF($B38="Яйцо (шт)",SUMIF(Меню!$J$8:$FD$8,$B38,Меню!$J$43:$FD$43)*Обложка!$D$16/60,SUMIF(Меню!$J$8:$FD$8,$B38,Меню!$J$43:$FD$43)/1000*Обложка!$D$16)</f>
        <v>0</v>
      </c>
      <c r="F38" s="212">
        <f>IF($B38="Яйцо (шт)",SUMIF(Меню!$J$8:$FD$8,$B38,Меню!$J$56:$FD$56)*Обложка!$D$17/60,SUMIF(Меню!$J$8:$FD$8,$B38,Меню!$J$56:$FD$56)/1000*Обложка!$D$17)</f>
        <v>3.0500000000000003</v>
      </c>
      <c r="G38" s="212">
        <f>IF($B38="Яйцо (шт)",SUMIF(Меню!$J$8:$FD$8,$B38,Меню!$J$61:$FD$61)*Обложка!$D$18/60,SUMIF(Меню!$J$8:$FD$8,$B38,Меню!$J$61:$FD$61)/1000*Обложка!$D$18)</f>
        <v>0</v>
      </c>
      <c r="H38" s="685">
        <f t="shared" si="0"/>
        <v>3.0500000000000003</v>
      </c>
      <c r="I38" s="212">
        <f>IF($B38="Яйцо (шт)",SUMIF(Меню!$J$8:$FD$8,$B38,Меню!$J$73:$FD$73)*Обложка!$F$15/60,SUMIF(Меню!$J$8:$FD$8,$B38,Меню!$J$73:$FD$73)/1000*Обложка!$F$15)</f>
        <v>0</v>
      </c>
      <c r="J38" s="212">
        <f>IF($B38="Яйцо (шт)",SUMIF(Меню!$J$8:$FD$8,$B38,Меню!$J$88:$FD$88)*Обложка!$F$16/60,SUMIF(Меню!$J$8:$FD$8,$B38,Меню!$J$88:$FD$88)/1000*Обложка!$G$16)</f>
        <v>0</v>
      </c>
      <c r="K38" s="212">
        <f>IF($B38="Яйцо (шт)",SUMIF(Меню!$J$8:$FD$8,$B38,Меню!$J$101:$FD$101)*Обложка!$F$17/60,SUMIF(Меню!$J$8:$FD$8,$B38,Меню!$J$101:$FD$101)/1000*Обложка!$F$17)</f>
        <v>0</v>
      </c>
      <c r="L38" s="212">
        <f>IF($B38="Яйцо (шт)",SUMIF(Меню!$J$8:$FD$8,$B38,Меню!$J$106:$FD$106)*Обложка!$F$18/60,SUMIF(Меню!$J$8:$FD$8,$B38,Меню!$J$106:$FD$106)/1000*Обложка!$F$18)</f>
        <v>0</v>
      </c>
      <c r="M38" s="685">
        <f t="shared" si="1"/>
        <v>0</v>
      </c>
      <c r="N38" s="212">
        <f>IF($B38="Яйцо (шт)",SUMIF(Меню!$J$8:$EZ$8,$B38,Меню!$J$118:$EZ$118)*Обложка!$H$15/60,SUMIF(Меню!$J$8:$EZ$8,$B38,Меню!$J$118:$EZ$118)/1000*Обложка!$H$15)</f>
        <v>0</v>
      </c>
      <c r="O38" s="212">
        <f>IF($B38="Яйцо (шт)",SUMIF(Меню!$J$8:$EZ$8,$B38,Меню!$J$133:$EZ$133)*Обложка!$H$16/60,SUMIF(Меню!$J$8:$EZ$8,$B38,Меню!$J$133:$EZ$133)/1000*Обложка!$H$16)</f>
        <v>0</v>
      </c>
      <c r="P38" s="212">
        <f>IF($B38="Яйцо (шт)",SUMIF(Меню!$J$8:$EZ$8,$B38,Меню!$J$146:$EZ$146)*Обложка!$H$17/60,SUMIF(Меню!$J$8:$EZ$8,$B38,Меню!$J$146:$EZ$146)/1000*Обложка!$H$17)</f>
        <v>0</v>
      </c>
      <c r="Q38" s="212">
        <f>IF($B38="Яйцо (шт)",SUMIF(Меню!$J$8:$EZ$8,$B38,Меню!$J$151:$EZ$151)*Обложка!$H$18/60,SUMIF(Меню!$J$8:$EZ$8,$B38,Меню!$J$151:$EZ$151)/1000*Обложка!$H$18)</f>
        <v>0</v>
      </c>
      <c r="R38" s="685">
        <f t="shared" si="2"/>
        <v>0</v>
      </c>
      <c r="S38" s="212">
        <f>IF($B38="Яйцо (шт)",SUMIF(Меню!$J$8:$EZ$8,$B38,Меню!$J$163:$EZ$163)*Обложка!$J$15/60,SUMIF(Меню!$J$8:$EZ$8,$B38,Меню!$J$163:$EZ$163)/1000*Обложка!$J$15)</f>
        <v>0</v>
      </c>
      <c r="T38" s="212">
        <f>IF($B38="Яйцо (шт)",SUMIF(Меню!$J$8:$EZ$8,$B38,Меню!$J$178:$EZ$178)*Обложка!$J$16/60,SUMIF(Меню!$J$8:$EZ$8,$B38,Меню!$J$178:$EZ$178)/1000*Обложка!$J$16)</f>
        <v>0</v>
      </c>
      <c r="U38" s="212">
        <f>IF($B38="Яйцо (шт)",SUMIF(Меню!$J$8:$EZ$8,$B38,Меню!$J$191:$EZ$191)*Обложка!$J$17/60,SUMIF(Меню!$J$8:$EZ$8,$B38,Меню!$J$191:$EZ$191)/1000*Обложка!$J$17)</f>
        <v>0</v>
      </c>
      <c r="V38" s="212">
        <f>IF($B38="Яйцо (шт)",SUMIF(Меню!$J$8:$EZ$8,$B38,Меню!$J$196:$EZ$196)*Обложка!$J$18/60,SUMIF(Меню!$J$8:$EZ$8,$B38,Меню!$J$196:$EZ$196)/1000*Обложка!$J$18)</f>
        <v>0</v>
      </c>
      <c r="W38" s="685">
        <f t="shared" si="3"/>
        <v>0</v>
      </c>
      <c r="X38" s="212">
        <f>IF($B38="Яйцо (шт)",SUMIF(Меню!$J$8:$EZ$8,$B38,Меню!$J$208:$EZ$208)*Обложка!$L$15/60,SUMIF(Меню!$J$8:$EZ$8,$B38,Меню!$J$208:$EZ$208)/1000*Обложка!$L$15)</f>
        <v>0</v>
      </c>
      <c r="Y38" s="212">
        <f>IF($B38="Яйцо (шт)",SUMIF(Меню!$J$8:$EZ$8,$B38,Меню!$J$223:$EZ$223)*Обложка!$L$16/60,SUMIF(Меню!$J$8:$EZ$8,$B38,Меню!$J$223:$EZ$223)/1000*Обложка!$J$16)</f>
        <v>0</v>
      </c>
      <c r="Z38" s="212">
        <f>IF($B38="Яйцо (шт)",SUMIF(Меню!$J$8:$EZ$8,$B38,Меню!$J$236:$EZ$236)*Обложка!$L$17/60,SUMIF(Меню!$J$8:$EZ$8,$B38,Меню!$J$236:$EZ$236)/1000*Обложка!$L$17)</f>
        <v>0</v>
      </c>
      <c r="AA38" s="212">
        <f>IF($B38="Яйцо (шт)",SUMIF(Меню!$J$8:$EZ$8,$B38,Меню!$J$241:$EZ$241)*Обложка!$L$18/60,SUMIF(Меню!$J$8:$EZ$8,$B38,Меню!$J$241:$EZ$241)/1000*Обложка!$L$18)</f>
        <v>0</v>
      </c>
      <c r="AB38" s="685">
        <f t="shared" si="4"/>
        <v>0</v>
      </c>
      <c r="AC38" s="212">
        <f>IF($B38="Яйцо (шт)",SUMIF(Меню!$J$8:$EZ$8,$B38,Меню!$J$253:$EZ$253)*Обложка!$N$15/60,SUMIF(Меню!$J$8:$EZ$8,$B38,Меню!$J$253:$EZ$253)/1000*Обложка!$N$15)</f>
        <v>0</v>
      </c>
      <c r="AD38" s="212">
        <f>IF($B38="Яйцо (шт)",SUMIF(Меню!$J$8:$EZ$8,$B38,Меню!$J$268:$EZ$268)*Обложка!$N$16/60,SUMIF(Меню!$J$8:$EZ$8,$B38,Меню!$J$268:$EZ$268)/1000*Обложка!$N$16)</f>
        <v>0</v>
      </c>
      <c r="AE38" s="212">
        <f>IF($B38="Яйцо (шт)",SUMIF(Меню!$J$8:$EZ$8,$B38,Меню!$J$281:$EZ$281)*Обложка!$N$17/60,SUMIF(Меню!$J$8:$EZ$8,$B38,Меню!$J$281:$EZ$281)/1000*Обложка!$N$17)</f>
        <v>0</v>
      </c>
      <c r="AF38" s="212">
        <f>IF($B38="Яйцо (шт)",SUMIF(Меню!$J$8:$EZ$8,$B38,Меню!$J$286:$EZ$286)*Обложка!$N$18/60,SUMIF(Меню!$J$8:$EZ$8,$B38,Меню!$J$286:$EZ$286)/1000*Обложка!$N$18)</f>
        <v>0</v>
      </c>
      <c r="AG38" s="685">
        <f t="shared" si="5"/>
        <v>0</v>
      </c>
      <c r="AH38" s="212">
        <f>IF($B38="Яйцо (шт)",SUMIF(Меню!$J$8:$EZ$8,$B38,Меню!$J$298:$EZ$298)*Обложка!$P$15/60,SUMIF(Меню!$J$8:$EZ$8,$B38,Меню!$J$298:$EZ$298)/1000*Обложка!$P$15)</f>
        <v>0</v>
      </c>
      <c r="AI38" s="212">
        <f>IF($B38="Яйцо (шт)",SUMIF(Меню!$J$8:$EZ$8,$BB38,Меню!$J$313:$EZ$313)*Обложка!$P$16/60,SUMIF(Меню!$J$8:$EZ$8,$B38,Меню!$J$313:$EZ$313)/1000*Обложка!$P$16)</f>
        <v>0</v>
      </c>
      <c r="AJ38" s="212">
        <f>IF($B38="Яйцо (шт)",SUMIF(Меню!$J$8:$EZ$8,$B38,Меню!$J$326:$EZ$326)*Обложка!$P$17/60,SUMIF(Меню!$J$8:$EZ$8,$B38,Меню!$J$326:$EZ$326)/1000*Обложка!$P$17)</f>
        <v>0</v>
      </c>
      <c r="AK38" s="212">
        <f>IF($B38="Яйцо (шт)",SUMIF(Меню!$J$8:$EZ$8,$B38,Меню!$J$331:$EZ$331)*Обложка!$P$18/60,SUMIF(Меню!$J$8:$EZ$8,$B38,Меню!$J$331:$EZ$331)/1000*Обложка!$P$18)</f>
        <v>0</v>
      </c>
      <c r="AL38" s="699">
        <f t="shared" si="6"/>
        <v>0</v>
      </c>
      <c r="AM38" s="685">
        <f t="shared" si="7"/>
        <v>3.0500000000000003</v>
      </c>
    </row>
    <row r="39" spans="1:39" x14ac:dyDescent="0.25">
      <c r="A39" s="249">
        <f t="shared" si="8"/>
        <v>27</v>
      </c>
      <c r="B39" s="248" t="str">
        <f>инфо!D28</f>
        <v>Свекла</v>
      </c>
      <c r="C39" s="694">
        <f>SUMIF(Меню!$J$8:$FD$8,$B39,Меню!$J$333:$FD$333)</f>
        <v>210</v>
      </c>
      <c r="D39" s="212">
        <f>IF($B39="Яйцо (шт)",SUMIF(Меню!$J$8:$FD$8,$B39,Меню!$J$28:$FD$28)*Обложка!$D$15/60,SUMIF(Меню!$J$8:$FD$8,$B39,Меню!$J$28:$FD$28)/1000*Обложка!$D$15)</f>
        <v>0</v>
      </c>
      <c r="E39" s="212">
        <f>IF($B39="Яйцо (шт)",SUMIF(Меню!$J$8:$FD$8,$B39,Меню!$J$43:$FD$43)*Обложка!$D$16/60,SUMIF(Меню!$J$8:$FD$8,$B39,Меню!$J$43:$FD$43)/1000*Обложка!$D$16)</f>
        <v>5.49</v>
      </c>
      <c r="F39" s="212">
        <f>IF($B39="Яйцо (шт)",SUMIF(Меню!$J$8:$FD$8,$B39,Меню!$J$56:$FD$56)*Обложка!$D$17/60,SUMIF(Меню!$J$8:$FD$8,$B39,Меню!$J$56:$FD$56)/1000*Обложка!$D$17)</f>
        <v>11.59</v>
      </c>
      <c r="G39" s="212">
        <f>IF($B39="Яйцо (шт)",SUMIF(Меню!$J$8:$FD$8,$B39,Меню!$J$61:$FD$61)*Обложка!$D$18/60,SUMIF(Меню!$J$8:$FD$8,$B39,Меню!$J$61:$FD$61)/1000*Обложка!$D$18)</f>
        <v>0</v>
      </c>
      <c r="H39" s="685">
        <f t="shared" si="0"/>
        <v>17.079999999999998</v>
      </c>
      <c r="I39" s="212">
        <f>IF($B39="Яйцо (шт)",SUMIF(Меню!$J$8:$FD$8,$B39,Меню!$J$73:$FD$73)*Обложка!$F$15/60,SUMIF(Меню!$J$8:$FD$8,$B39,Меню!$J$73:$FD$73)/1000*Обложка!$F$15)</f>
        <v>0</v>
      </c>
      <c r="J39" s="212">
        <f>IF($B39="Яйцо (шт)",SUMIF(Меню!$J$8:$FD$8,$B39,Меню!$J$88:$FD$88)*Обложка!$F$16/60,SUMIF(Меню!$J$8:$FD$8,$B39,Меню!$J$88:$FD$88)/1000*Обложка!$G$16)</f>
        <v>0</v>
      </c>
      <c r="K39" s="212">
        <f>IF($B39="Яйцо (шт)",SUMIF(Меню!$J$8:$FD$8,$B39,Меню!$J$101:$FD$101)*Обложка!$F$17/60,SUMIF(Меню!$J$8:$FD$8,$B39,Меню!$J$101:$FD$101)/1000*Обложка!$F$17)</f>
        <v>0</v>
      </c>
      <c r="L39" s="212">
        <f>IF($B39="Яйцо (шт)",SUMIF(Меню!$J$8:$FD$8,$B39,Меню!$J$106:$FD$106)*Обложка!$F$18/60,SUMIF(Меню!$J$8:$FD$8,$B39,Меню!$J$106:$FD$106)/1000*Обложка!$F$18)</f>
        <v>0</v>
      </c>
      <c r="M39" s="685">
        <f t="shared" si="1"/>
        <v>0</v>
      </c>
      <c r="N39" s="212">
        <f>IF($B39="Яйцо (шт)",SUMIF(Меню!$J$8:$EZ$8,$B39,Меню!$J$118:$EZ$118)*Обложка!$H$15/60,SUMIF(Меню!$J$8:$EZ$8,$B39,Меню!$J$118:$EZ$118)/1000*Обложка!$H$15)</f>
        <v>0</v>
      </c>
      <c r="O39" s="212">
        <f>IF($B39="Яйцо (шт)",SUMIF(Меню!$J$8:$EZ$8,$B39,Меню!$J$133:$EZ$133)*Обложка!$H$16/60,SUMIF(Меню!$J$8:$EZ$8,$B39,Меню!$J$133:$EZ$133)/1000*Обложка!$H$16)</f>
        <v>0</v>
      </c>
      <c r="P39" s="212">
        <f>IF($B39="Яйцо (шт)",SUMIF(Меню!$J$8:$EZ$8,$B39,Меню!$J$146:$EZ$146)*Обложка!$H$17/60,SUMIF(Меню!$J$8:$EZ$8,$B39,Меню!$J$146:$EZ$146)/1000*Обложка!$H$17)</f>
        <v>0</v>
      </c>
      <c r="Q39" s="212">
        <f>IF($B39="Яйцо (шт)",SUMIF(Меню!$J$8:$EZ$8,$B39,Меню!$J$151:$EZ$151)*Обложка!$H$18/60,SUMIF(Меню!$J$8:$EZ$8,$B39,Меню!$J$151:$EZ$151)/1000*Обложка!$H$18)</f>
        <v>0</v>
      </c>
      <c r="R39" s="685">
        <f t="shared" si="2"/>
        <v>0</v>
      </c>
      <c r="S39" s="212">
        <f>IF($B39="Яйцо (шт)",SUMIF(Меню!$J$8:$EZ$8,$B39,Меню!$J$163:$EZ$163)*Обложка!$J$15/60,SUMIF(Меню!$J$8:$EZ$8,$B39,Меню!$J$163:$EZ$163)/1000*Обложка!$J$15)</f>
        <v>0</v>
      </c>
      <c r="T39" s="212">
        <f>IF($B39="Яйцо (шт)",SUMIF(Меню!$J$8:$EZ$8,$B39,Меню!$J$178:$EZ$178)*Обложка!$J$16/60,SUMIF(Меню!$J$8:$EZ$8,$B39,Меню!$J$178:$EZ$178)/1000*Обложка!$J$16)</f>
        <v>0</v>
      </c>
      <c r="U39" s="212">
        <f>IF($B39="Яйцо (шт)",SUMIF(Меню!$J$8:$EZ$8,$B39,Меню!$J$191:$EZ$191)*Обложка!$J$17/60,SUMIF(Меню!$J$8:$EZ$8,$B39,Меню!$J$191:$EZ$191)/1000*Обложка!$J$17)</f>
        <v>0</v>
      </c>
      <c r="V39" s="212">
        <f>IF($B39="Яйцо (шт)",SUMIF(Меню!$J$8:$EZ$8,$B39,Меню!$J$196:$EZ$196)*Обложка!$J$18/60,SUMIF(Меню!$J$8:$EZ$8,$B39,Меню!$J$196:$EZ$196)/1000*Обложка!$J$18)</f>
        <v>0</v>
      </c>
      <c r="W39" s="685">
        <f t="shared" si="3"/>
        <v>0</v>
      </c>
      <c r="X39" s="212">
        <f>IF($B39="Яйцо (шт)",SUMIF(Меню!$J$8:$EZ$8,$B39,Меню!$J$208:$EZ$208)*Обложка!$L$15/60,SUMIF(Меню!$J$8:$EZ$8,$B39,Меню!$J$208:$EZ$208)/1000*Обложка!$L$15)</f>
        <v>0</v>
      </c>
      <c r="Y39" s="212">
        <f>IF($B39="Яйцо (шт)",SUMIF(Меню!$J$8:$EZ$8,$B39,Меню!$J$223:$EZ$223)*Обложка!$L$16/60,SUMIF(Меню!$J$8:$EZ$8,$B39,Меню!$J$223:$EZ$223)/1000*Обложка!$J$16)</f>
        <v>0</v>
      </c>
      <c r="Z39" s="212">
        <f>IF($B39="Яйцо (шт)",SUMIF(Меню!$J$8:$EZ$8,$B39,Меню!$J$236:$EZ$236)*Обложка!$L$17/60,SUMIF(Меню!$J$8:$EZ$8,$B39,Меню!$J$236:$EZ$236)/1000*Обложка!$L$17)</f>
        <v>0</v>
      </c>
      <c r="AA39" s="212">
        <f>IF($B39="Яйцо (шт)",SUMIF(Меню!$J$8:$EZ$8,$B39,Меню!$J$241:$EZ$241)*Обложка!$L$18/60,SUMIF(Меню!$J$8:$EZ$8,$B39,Меню!$J$241:$EZ$241)/1000*Обложка!$L$18)</f>
        <v>0</v>
      </c>
      <c r="AB39" s="685">
        <f t="shared" si="4"/>
        <v>0</v>
      </c>
      <c r="AC39" s="212">
        <f>IF($B39="Яйцо (шт)",SUMIF(Меню!$J$8:$EZ$8,$B39,Меню!$J$253:$EZ$253)*Обложка!$N$15/60,SUMIF(Меню!$J$8:$EZ$8,$B39,Меню!$J$253:$EZ$253)/1000*Обложка!$N$15)</f>
        <v>0</v>
      </c>
      <c r="AD39" s="212">
        <f>IF($B39="Яйцо (шт)",SUMIF(Меню!$J$8:$EZ$8,$B39,Меню!$J$268:$EZ$268)*Обложка!$N$16/60,SUMIF(Меню!$J$8:$EZ$8,$B39,Меню!$J$268:$EZ$268)/1000*Обложка!$N$16)</f>
        <v>0</v>
      </c>
      <c r="AE39" s="212">
        <f>IF($B39="Яйцо (шт)",SUMIF(Меню!$J$8:$EZ$8,$B39,Меню!$J$281:$EZ$281)*Обложка!$N$17/60,SUMIF(Меню!$J$8:$EZ$8,$B39,Меню!$J$281:$EZ$281)/1000*Обложка!$N$17)</f>
        <v>0</v>
      </c>
      <c r="AF39" s="212">
        <f>IF($B39="Яйцо (шт)",SUMIF(Меню!$J$8:$EZ$8,$B39,Меню!$J$286:$EZ$286)*Обложка!$N$18/60,SUMIF(Меню!$J$8:$EZ$8,$B39,Меню!$J$286:$EZ$286)/1000*Обложка!$N$18)</f>
        <v>0</v>
      </c>
      <c r="AG39" s="685">
        <f t="shared" si="5"/>
        <v>0</v>
      </c>
      <c r="AH39" s="212">
        <f>IF($B39="Яйцо (шт)",SUMIF(Меню!$J$8:$EZ$8,$B39,Меню!$J$298:$EZ$298)*Обложка!$P$15/60,SUMIF(Меню!$J$8:$EZ$8,$B39,Меню!$J$298:$EZ$298)/1000*Обложка!$P$15)</f>
        <v>0</v>
      </c>
      <c r="AI39" s="212">
        <f>IF($B39="Яйцо (шт)",SUMIF(Меню!$J$8:$EZ$8,$BB39,Меню!$J$313:$EZ$313)*Обложка!$P$16/60,SUMIF(Меню!$J$8:$EZ$8,$B39,Меню!$J$313:$EZ$313)/1000*Обложка!$P$16)</f>
        <v>1.7500000000000002</v>
      </c>
      <c r="AJ39" s="212">
        <f>IF($B39="Яйцо (шт)",SUMIF(Меню!$J$8:$EZ$8,$B39,Меню!$J$326:$EZ$326)*Обложка!$P$17/60,SUMIF(Меню!$J$8:$EZ$8,$B39,Меню!$J$326:$EZ$326)/1000*Обложка!$P$17)</f>
        <v>0</v>
      </c>
      <c r="AK39" s="212">
        <f>IF($B39="Яйцо (шт)",SUMIF(Меню!$J$8:$EZ$8,$B39,Меню!$J$331:$EZ$331)*Обложка!$P$18/60,SUMIF(Меню!$J$8:$EZ$8,$B39,Меню!$J$331:$EZ$331)/1000*Обложка!$P$18)</f>
        <v>0</v>
      </c>
      <c r="AL39" s="699">
        <f t="shared" si="6"/>
        <v>1.7500000000000002</v>
      </c>
      <c r="AM39" s="685">
        <f t="shared" si="7"/>
        <v>18.829999999999998</v>
      </c>
    </row>
    <row r="40" spans="1:39" x14ac:dyDescent="0.25">
      <c r="A40" s="249">
        <f t="shared" si="8"/>
        <v>28</v>
      </c>
      <c r="B40" s="248" t="str">
        <f>инфо!D29</f>
        <v>Редис</v>
      </c>
      <c r="C40" s="694">
        <f>SUMIF(Меню!$J$8:$FD$8,$B40,Меню!$J$333:$FD$333)</f>
        <v>0</v>
      </c>
      <c r="D40" s="212">
        <f>IF($B40="Яйцо (шт)",SUMIF(Меню!$J$8:$FD$8,$B40,Меню!$J$28:$FD$28)*Обложка!$D$15/60,SUMIF(Меню!$J$8:$FD$8,$B40,Меню!$J$28:$FD$28)/1000*Обложка!$D$15)</f>
        <v>0</v>
      </c>
      <c r="E40" s="212">
        <f>IF($B40="Яйцо (шт)",SUMIF(Меню!$J$8:$FD$8,$B40,Меню!$J$43:$FD$43)*Обложка!$D$16/60,SUMIF(Меню!$J$8:$FD$8,$B40,Меню!$J$43:$FD$43)/1000*Обложка!$D$16)</f>
        <v>0</v>
      </c>
      <c r="F40" s="212">
        <f>IF($B40="Яйцо (шт)",SUMIF(Меню!$J$8:$FD$8,$B40,Меню!$J$56:$FD$56)*Обложка!$D$17/60,SUMIF(Меню!$J$8:$FD$8,$B40,Меню!$J$56:$FD$56)/1000*Обложка!$D$17)</f>
        <v>0</v>
      </c>
      <c r="G40" s="212">
        <f>IF($B40="Яйцо (шт)",SUMIF(Меню!$J$8:$FD$8,$B40,Меню!$J$61:$FD$61)*Обложка!$D$18/60,SUMIF(Меню!$J$8:$FD$8,$B40,Меню!$J$61:$FD$61)/1000*Обложка!$D$18)</f>
        <v>0</v>
      </c>
      <c r="H40" s="685">
        <f t="shared" si="0"/>
        <v>0</v>
      </c>
      <c r="I40" s="212">
        <f>IF($B40="Яйцо (шт)",SUMIF(Меню!$J$8:$FD$8,$B40,Меню!$J$73:$FD$73)*Обложка!$F$15/60,SUMIF(Меню!$J$8:$FD$8,$B40,Меню!$J$73:$FD$73)/1000*Обложка!$F$15)</f>
        <v>0</v>
      </c>
      <c r="J40" s="212">
        <f>IF($B40="Яйцо (шт)",SUMIF(Меню!$J$8:$FD$8,$B40,Меню!$J$88:$FD$88)*Обложка!$F$16/60,SUMIF(Меню!$J$8:$FD$8,$B40,Меню!$J$88:$FD$88)/1000*Обложка!$G$16)</f>
        <v>0</v>
      </c>
      <c r="K40" s="212">
        <f>IF($B40="Яйцо (шт)",SUMIF(Меню!$J$8:$FD$8,$B40,Меню!$J$101:$FD$101)*Обложка!$F$17/60,SUMIF(Меню!$J$8:$FD$8,$B40,Меню!$J$101:$FD$101)/1000*Обложка!$F$17)</f>
        <v>0</v>
      </c>
      <c r="L40" s="212">
        <f>IF($B40="Яйцо (шт)",SUMIF(Меню!$J$8:$FD$8,$B40,Меню!$J$106:$FD$106)*Обложка!$F$18/60,SUMIF(Меню!$J$8:$FD$8,$B40,Меню!$J$106:$FD$106)/1000*Обложка!$F$18)</f>
        <v>0</v>
      </c>
      <c r="M40" s="685">
        <f t="shared" si="1"/>
        <v>0</v>
      </c>
      <c r="N40" s="212">
        <f>IF($B40="Яйцо (шт)",SUMIF(Меню!$J$8:$EZ$8,$B40,Меню!$J$118:$EZ$118)*Обложка!$H$15/60,SUMIF(Меню!$J$8:$EZ$8,$B40,Меню!$J$118:$EZ$118)/1000*Обложка!$H$15)</f>
        <v>0</v>
      </c>
      <c r="O40" s="212">
        <f>IF($B40="Яйцо (шт)",SUMIF(Меню!$J$8:$EZ$8,$B40,Меню!$J$133:$EZ$133)*Обложка!$H$16/60,SUMIF(Меню!$J$8:$EZ$8,$B40,Меню!$J$133:$EZ$133)/1000*Обложка!$H$16)</f>
        <v>0</v>
      </c>
      <c r="P40" s="212">
        <f>IF($B40="Яйцо (шт)",SUMIF(Меню!$J$8:$EZ$8,$B40,Меню!$J$146:$EZ$146)*Обложка!$H$17/60,SUMIF(Меню!$J$8:$EZ$8,$B40,Меню!$J$146:$EZ$146)/1000*Обложка!$H$17)</f>
        <v>0</v>
      </c>
      <c r="Q40" s="212">
        <f>IF($B40="Яйцо (шт)",SUMIF(Меню!$J$8:$EZ$8,$B40,Меню!$J$151:$EZ$151)*Обложка!$H$18/60,SUMIF(Меню!$J$8:$EZ$8,$B40,Меню!$J$151:$EZ$151)/1000*Обложка!$H$18)</f>
        <v>0</v>
      </c>
      <c r="R40" s="685">
        <f t="shared" si="2"/>
        <v>0</v>
      </c>
      <c r="S40" s="212">
        <f>IF($B40="Яйцо (шт)",SUMIF(Меню!$J$8:$EZ$8,$B40,Меню!$J$163:$EZ$163)*Обложка!$J$15/60,SUMIF(Меню!$J$8:$EZ$8,$B40,Меню!$J$163:$EZ$163)/1000*Обложка!$J$15)</f>
        <v>0</v>
      </c>
      <c r="T40" s="212">
        <f>IF($B40="Яйцо (шт)",SUMIF(Меню!$J$8:$EZ$8,$B40,Меню!$J$178:$EZ$178)*Обложка!$J$16/60,SUMIF(Меню!$J$8:$EZ$8,$B40,Меню!$J$178:$EZ$178)/1000*Обложка!$J$16)</f>
        <v>0</v>
      </c>
      <c r="U40" s="212">
        <f>IF($B40="Яйцо (шт)",SUMIF(Меню!$J$8:$EZ$8,$B40,Меню!$J$191:$EZ$191)*Обложка!$J$17/60,SUMIF(Меню!$J$8:$EZ$8,$B40,Меню!$J$191:$EZ$191)/1000*Обложка!$J$17)</f>
        <v>0</v>
      </c>
      <c r="V40" s="212">
        <f>IF($B40="Яйцо (шт)",SUMIF(Меню!$J$8:$EZ$8,$B40,Меню!$J$196:$EZ$196)*Обложка!$J$18/60,SUMIF(Меню!$J$8:$EZ$8,$B40,Меню!$J$196:$EZ$196)/1000*Обложка!$J$18)</f>
        <v>0</v>
      </c>
      <c r="W40" s="685">
        <f t="shared" si="3"/>
        <v>0</v>
      </c>
      <c r="X40" s="212">
        <f>IF($B40="Яйцо (шт)",SUMIF(Меню!$J$8:$EZ$8,$B40,Меню!$J$208:$EZ$208)*Обложка!$L$15/60,SUMIF(Меню!$J$8:$EZ$8,$B40,Меню!$J$208:$EZ$208)/1000*Обложка!$L$15)</f>
        <v>0</v>
      </c>
      <c r="Y40" s="212">
        <f>IF($B40="Яйцо (шт)",SUMIF(Меню!$J$8:$EZ$8,$B40,Меню!$J$223:$EZ$223)*Обложка!$L$16/60,SUMIF(Меню!$J$8:$EZ$8,$B40,Меню!$J$223:$EZ$223)/1000*Обложка!$J$16)</f>
        <v>0</v>
      </c>
      <c r="Z40" s="212">
        <f>IF($B40="Яйцо (шт)",SUMIF(Меню!$J$8:$EZ$8,$B40,Меню!$J$236:$EZ$236)*Обложка!$L$17/60,SUMIF(Меню!$J$8:$EZ$8,$B40,Меню!$J$236:$EZ$236)/1000*Обложка!$L$17)</f>
        <v>0</v>
      </c>
      <c r="AA40" s="212">
        <f>IF($B40="Яйцо (шт)",SUMIF(Меню!$J$8:$EZ$8,$B40,Меню!$J$241:$EZ$241)*Обложка!$L$18/60,SUMIF(Меню!$J$8:$EZ$8,$B40,Меню!$J$241:$EZ$241)/1000*Обложка!$L$18)</f>
        <v>0</v>
      </c>
      <c r="AB40" s="685">
        <f t="shared" si="4"/>
        <v>0</v>
      </c>
      <c r="AC40" s="212">
        <f>IF($B40="Яйцо (шт)",SUMIF(Меню!$J$8:$EZ$8,$B40,Меню!$J$253:$EZ$253)*Обложка!$N$15/60,SUMIF(Меню!$J$8:$EZ$8,$B40,Меню!$J$253:$EZ$253)/1000*Обложка!$N$15)</f>
        <v>0</v>
      </c>
      <c r="AD40" s="212">
        <f>IF($B40="Яйцо (шт)",SUMIF(Меню!$J$8:$EZ$8,$B40,Меню!$J$268:$EZ$268)*Обложка!$N$16/60,SUMIF(Меню!$J$8:$EZ$8,$B40,Меню!$J$268:$EZ$268)/1000*Обложка!$N$16)</f>
        <v>0</v>
      </c>
      <c r="AE40" s="212">
        <f>IF($B40="Яйцо (шт)",SUMIF(Меню!$J$8:$EZ$8,$B40,Меню!$J$281:$EZ$281)*Обложка!$N$17/60,SUMIF(Меню!$J$8:$EZ$8,$B40,Меню!$J$281:$EZ$281)/1000*Обложка!$N$17)</f>
        <v>0</v>
      </c>
      <c r="AF40" s="212">
        <f>IF($B40="Яйцо (шт)",SUMIF(Меню!$J$8:$EZ$8,$B40,Меню!$J$286:$EZ$286)*Обложка!$N$18/60,SUMIF(Меню!$J$8:$EZ$8,$B40,Меню!$J$286:$EZ$286)/1000*Обложка!$N$18)</f>
        <v>0</v>
      </c>
      <c r="AG40" s="685">
        <f t="shared" si="5"/>
        <v>0</v>
      </c>
      <c r="AH40" s="212">
        <f>IF($B40="Яйцо (шт)",SUMIF(Меню!$J$8:$EZ$8,$B40,Меню!$J$298:$EZ$298)*Обложка!$P$15/60,SUMIF(Меню!$J$8:$EZ$8,$B40,Меню!$J$298:$EZ$298)/1000*Обложка!$P$15)</f>
        <v>0</v>
      </c>
      <c r="AI40" s="212">
        <f>IF($B40="Яйцо (шт)",SUMIF(Меню!$J$8:$EZ$8,$BB40,Меню!$J$313:$EZ$313)*Обложка!$P$16/60,SUMIF(Меню!$J$8:$EZ$8,$B40,Меню!$J$313:$EZ$313)/1000*Обложка!$P$16)</f>
        <v>0</v>
      </c>
      <c r="AJ40" s="212">
        <f>IF($B40="Яйцо (шт)",SUMIF(Меню!$J$8:$EZ$8,$B40,Меню!$J$326:$EZ$326)*Обложка!$P$17/60,SUMIF(Меню!$J$8:$EZ$8,$B40,Меню!$J$326:$EZ$326)/1000*Обложка!$P$17)</f>
        <v>0</v>
      </c>
      <c r="AK40" s="212">
        <f>IF($B40="Яйцо (шт)",SUMIF(Меню!$J$8:$EZ$8,$B40,Меню!$J$331:$EZ$331)*Обложка!$P$18/60,SUMIF(Меню!$J$8:$EZ$8,$B40,Меню!$J$331:$EZ$331)/1000*Обложка!$P$18)</f>
        <v>0</v>
      </c>
      <c r="AL40" s="699">
        <f t="shared" si="6"/>
        <v>0</v>
      </c>
      <c r="AM40" s="685">
        <f t="shared" si="7"/>
        <v>0</v>
      </c>
    </row>
    <row r="41" spans="1:39" x14ac:dyDescent="0.25">
      <c r="A41" s="249">
        <f t="shared" si="8"/>
        <v>29</v>
      </c>
      <c r="B41" s="248" t="str">
        <f>инфо!D30</f>
        <v>Перец сладкий</v>
      </c>
      <c r="C41" s="694">
        <f>SUMIF(Меню!$J$8:$FD$8,$B41,Меню!$J$333:$FD$333)</f>
        <v>0</v>
      </c>
      <c r="D41" s="212">
        <f>IF($B41="Яйцо (шт)",SUMIF(Меню!$J$8:$FD$8,$B41,Меню!$J$28:$FD$28)*Обложка!$D$15/60,SUMIF(Меню!$J$8:$FD$8,$B41,Меню!$J$28:$FD$28)/1000*Обложка!$D$15)</f>
        <v>0</v>
      </c>
      <c r="E41" s="212">
        <f>IF($B41="Яйцо (шт)",SUMIF(Меню!$J$8:$FD$8,$B41,Меню!$J$43:$FD$43)*Обложка!$D$16/60,SUMIF(Меню!$J$8:$FD$8,$B41,Меню!$J$43:$FD$43)/1000*Обложка!$D$16)</f>
        <v>0</v>
      </c>
      <c r="F41" s="212">
        <f>IF($B41="Яйцо (шт)",SUMIF(Меню!$J$8:$FD$8,$B41,Меню!$J$56:$FD$56)*Обложка!$D$17/60,SUMIF(Меню!$J$8:$FD$8,$B41,Меню!$J$56:$FD$56)/1000*Обложка!$D$17)</f>
        <v>0</v>
      </c>
      <c r="G41" s="212">
        <f>IF($B41="Яйцо (шт)",SUMIF(Меню!$J$8:$FD$8,$B41,Меню!$J$61:$FD$61)*Обложка!$D$18/60,SUMIF(Меню!$J$8:$FD$8,$B41,Меню!$J$61:$FD$61)/1000*Обложка!$D$18)</f>
        <v>0</v>
      </c>
      <c r="H41" s="685">
        <f t="shared" si="0"/>
        <v>0</v>
      </c>
      <c r="I41" s="212">
        <f>IF($B41="Яйцо (шт)",SUMIF(Меню!$J$8:$FD$8,$B41,Меню!$J$73:$FD$73)*Обложка!$F$15/60,SUMIF(Меню!$J$8:$FD$8,$B41,Меню!$J$73:$FD$73)/1000*Обложка!$F$15)</f>
        <v>0</v>
      </c>
      <c r="J41" s="212">
        <f>IF($B41="Яйцо (шт)",SUMIF(Меню!$J$8:$FD$8,$B41,Меню!$J$88:$FD$88)*Обложка!$F$16/60,SUMIF(Меню!$J$8:$FD$8,$B41,Меню!$J$88:$FD$88)/1000*Обложка!$G$16)</f>
        <v>0</v>
      </c>
      <c r="K41" s="212">
        <f>IF($B41="Яйцо (шт)",SUMIF(Меню!$J$8:$FD$8,$B41,Меню!$J$101:$FD$101)*Обложка!$F$17/60,SUMIF(Меню!$J$8:$FD$8,$B41,Меню!$J$101:$FD$101)/1000*Обложка!$F$17)</f>
        <v>0</v>
      </c>
      <c r="L41" s="212">
        <f>IF($B41="Яйцо (шт)",SUMIF(Меню!$J$8:$FD$8,$B41,Меню!$J$106:$FD$106)*Обложка!$F$18/60,SUMIF(Меню!$J$8:$FD$8,$B41,Меню!$J$106:$FD$106)/1000*Обложка!$F$18)</f>
        <v>0</v>
      </c>
      <c r="M41" s="685">
        <f t="shared" si="1"/>
        <v>0</v>
      </c>
      <c r="N41" s="212">
        <f>IF($B41="Яйцо (шт)",SUMIF(Меню!$J$8:$EZ$8,$B41,Меню!$J$118:$EZ$118)*Обложка!$H$15/60,SUMIF(Меню!$J$8:$EZ$8,$B41,Меню!$J$118:$EZ$118)/1000*Обложка!$H$15)</f>
        <v>0</v>
      </c>
      <c r="O41" s="212">
        <f>IF($B41="Яйцо (шт)",SUMIF(Меню!$J$8:$EZ$8,$B41,Меню!$J$133:$EZ$133)*Обложка!$H$16/60,SUMIF(Меню!$J$8:$EZ$8,$B41,Меню!$J$133:$EZ$133)/1000*Обложка!$H$16)</f>
        <v>0</v>
      </c>
      <c r="P41" s="212">
        <f>IF($B41="Яйцо (шт)",SUMIF(Меню!$J$8:$EZ$8,$B41,Меню!$J$146:$EZ$146)*Обложка!$H$17/60,SUMIF(Меню!$J$8:$EZ$8,$B41,Меню!$J$146:$EZ$146)/1000*Обложка!$H$17)</f>
        <v>0</v>
      </c>
      <c r="Q41" s="212">
        <f>IF($B41="Яйцо (шт)",SUMIF(Меню!$J$8:$EZ$8,$B41,Меню!$J$151:$EZ$151)*Обложка!$H$18/60,SUMIF(Меню!$J$8:$EZ$8,$B41,Меню!$J$151:$EZ$151)/1000*Обложка!$H$18)</f>
        <v>0</v>
      </c>
      <c r="R41" s="685">
        <f t="shared" si="2"/>
        <v>0</v>
      </c>
      <c r="S41" s="212">
        <f>IF($B41="Яйцо (шт)",SUMIF(Меню!$J$8:$EZ$8,$B41,Меню!$J$163:$EZ$163)*Обложка!$J$15/60,SUMIF(Меню!$J$8:$EZ$8,$B41,Меню!$J$163:$EZ$163)/1000*Обложка!$J$15)</f>
        <v>0</v>
      </c>
      <c r="T41" s="212">
        <f>IF($B41="Яйцо (шт)",SUMIF(Меню!$J$8:$EZ$8,$B41,Меню!$J$178:$EZ$178)*Обложка!$J$16/60,SUMIF(Меню!$J$8:$EZ$8,$B41,Меню!$J$178:$EZ$178)/1000*Обложка!$J$16)</f>
        <v>0</v>
      </c>
      <c r="U41" s="212">
        <f>IF($B41="Яйцо (шт)",SUMIF(Меню!$J$8:$EZ$8,$B41,Меню!$J$191:$EZ$191)*Обложка!$J$17/60,SUMIF(Меню!$J$8:$EZ$8,$B41,Меню!$J$191:$EZ$191)/1000*Обложка!$J$17)</f>
        <v>0</v>
      </c>
      <c r="V41" s="212">
        <f>IF($B41="Яйцо (шт)",SUMIF(Меню!$J$8:$EZ$8,$B41,Меню!$J$196:$EZ$196)*Обложка!$J$18/60,SUMIF(Меню!$J$8:$EZ$8,$B41,Меню!$J$196:$EZ$196)/1000*Обложка!$J$18)</f>
        <v>0</v>
      </c>
      <c r="W41" s="685">
        <f t="shared" si="3"/>
        <v>0</v>
      </c>
      <c r="X41" s="212">
        <f>IF($B41="Яйцо (шт)",SUMIF(Меню!$J$8:$EZ$8,$B41,Меню!$J$208:$EZ$208)*Обложка!$L$15/60,SUMIF(Меню!$J$8:$EZ$8,$B41,Меню!$J$208:$EZ$208)/1000*Обложка!$L$15)</f>
        <v>0</v>
      </c>
      <c r="Y41" s="212">
        <f>IF($B41="Яйцо (шт)",SUMIF(Меню!$J$8:$EZ$8,$B41,Меню!$J$223:$EZ$223)*Обложка!$L$16/60,SUMIF(Меню!$J$8:$EZ$8,$B41,Меню!$J$223:$EZ$223)/1000*Обложка!$J$16)</f>
        <v>0</v>
      </c>
      <c r="Z41" s="212">
        <f>IF($B41="Яйцо (шт)",SUMIF(Меню!$J$8:$EZ$8,$B41,Меню!$J$236:$EZ$236)*Обложка!$L$17/60,SUMIF(Меню!$J$8:$EZ$8,$B41,Меню!$J$236:$EZ$236)/1000*Обложка!$L$17)</f>
        <v>0</v>
      </c>
      <c r="AA41" s="212">
        <f>IF($B41="Яйцо (шт)",SUMIF(Меню!$J$8:$EZ$8,$B41,Меню!$J$241:$EZ$241)*Обложка!$L$18/60,SUMIF(Меню!$J$8:$EZ$8,$B41,Меню!$J$241:$EZ$241)/1000*Обложка!$L$18)</f>
        <v>0</v>
      </c>
      <c r="AB41" s="685">
        <f t="shared" si="4"/>
        <v>0</v>
      </c>
      <c r="AC41" s="212">
        <f>IF($B41="Яйцо (шт)",SUMIF(Меню!$J$8:$EZ$8,$B41,Меню!$J$253:$EZ$253)*Обложка!$N$15/60,SUMIF(Меню!$J$8:$EZ$8,$B41,Меню!$J$253:$EZ$253)/1000*Обложка!$N$15)</f>
        <v>0</v>
      </c>
      <c r="AD41" s="212">
        <f>IF($B41="Яйцо (шт)",SUMIF(Меню!$J$8:$EZ$8,$B41,Меню!$J$268:$EZ$268)*Обложка!$N$16/60,SUMIF(Меню!$J$8:$EZ$8,$B41,Меню!$J$268:$EZ$268)/1000*Обложка!$N$16)</f>
        <v>0</v>
      </c>
      <c r="AE41" s="212">
        <f>IF($B41="Яйцо (шт)",SUMIF(Меню!$J$8:$EZ$8,$B41,Меню!$J$281:$EZ$281)*Обложка!$N$17/60,SUMIF(Меню!$J$8:$EZ$8,$B41,Меню!$J$281:$EZ$281)/1000*Обложка!$N$17)</f>
        <v>0</v>
      </c>
      <c r="AF41" s="212">
        <f>IF($B41="Яйцо (шт)",SUMIF(Меню!$J$8:$EZ$8,$B41,Меню!$J$286:$EZ$286)*Обложка!$N$18/60,SUMIF(Меню!$J$8:$EZ$8,$B41,Меню!$J$286:$EZ$286)/1000*Обложка!$N$18)</f>
        <v>0</v>
      </c>
      <c r="AG41" s="685">
        <f t="shared" si="5"/>
        <v>0</v>
      </c>
      <c r="AH41" s="212">
        <f>IF($B41="Яйцо (шт)",SUMIF(Меню!$J$8:$EZ$8,$B41,Меню!$J$298:$EZ$298)*Обложка!$P$15/60,SUMIF(Меню!$J$8:$EZ$8,$B41,Меню!$J$298:$EZ$298)/1000*Обложка!$P$15)</f>
        <v>0</v>
      </c>
      <c r="AI41" s="212">
        <f>IF($B41="Яйцо (шт)",SUMIF(Меню!$J$8:$EZ$8,$BB41,Меню!$J$313:$EZ$313)*Обложка!$P$16/60,SUMIF(Меню!$J$8:$EZ$8,$B41,Меню!$J$313:$EZ$313)/1000*Обложка!$P$16)</f>
        <v>0</v>
      </c>
      <c r="AJ41" s="212">
        <f>IF($B41="Яйцо (шт)",SUMIF(Меню!$J$8:$EZ$8,$B41,Меню!$J$326:$EZ$326)*Обложка!$P$17/60,SUMIF(Меню!$J$8:$EZ$8,$B41,Меню!$J$326:$EZ$326)/1000*Обложка!$P$17)</f>
        <v>0</v>
      </c>
      <c r="AK41" s="212">
        <f>IF($B41="Яйцо (шт)",SUMIF(Меню!$J$8:$EZ$8,$B41,Меню!$J$331:$EZ$331)*Обложка!$P$18/60,SUMIF(Меню!$J$8:$EZ$8,$B41,Меню!$J$331:$EZ$331)/1000*Обложка!$P$18)</f>
        <v>0</v>
      </c>
      <c r="AL41" s="699">
        <f t="shared" si="6"/>
        <v>0</v>
      </c>
      <c r="AM41" s="685">
        <f t="shared" si="7"/>
        <v>0</v>
      </c>
    </row>
    <row r="42" spans="1:39" x14ac:dyDescent="0.25">
      <c r="A42" s="249">
        <f t="shared" si="8"/>
        <v>30</v>
      </c>
      <c r="B42" s="248" t="str">
        <f>инфо!D31</f>
        <v>Баклажан</v>
      </c>
      <c r="C42" s="694">
        <f>SUMIF(Меню!$J$8:$FD$8,$B42,Меню!$J$333:$FD$333)</f>
        <v>0</v>
      </c>
      <c r="D42" s="212">
        <f>IF($B42="Яйцо (шт)",SUMIF(Меню!$J$8:$FD$8,$B42,Меню!$J$28:$FD$28)*Обложка!$D$15/60,SUMIF(Меню!$J$8:$FD$8,$B42,Меню!$J$28:$FD$28)/1000*Обложка!$D$15)</f>
        <v>0</v>
      </c>
      <c r="E42" s="212">
        <f>IF($B42="Яйцо (шт)",SUMIF(Меню!$J$8:$FD$8,$B42,Меню!$J$43:$FD$43)*Обложка!$D$16/60,SUMIF(Меню!$J$8:$FD$8,$B42,Меню!$J$43:$FD$43)/1000*Обложка!$D$16)</f>
        <v>0</v>
      </c>
      <c r="F42" s="212">
        <f>IF($B42="Яйцо (шт)",SUMIF(Меню!$J$8:$FD$8,$B42,Меню!$J$56:$FD$56)*Обложка!$D$17/60,SUMIF(Меню!$J$8:$FD$8,$B42,Меню!$J$56:$FD$56)/1000*Обложка!$D$17)</f>
        <v>0</v>
      </c>
      <c r="G42" s="212">
        <f>IF($B42="Яйцо (шт)",SUMIF(Меню!$J$8:$FD$8,$B42,Меню!$J$61:$FD$61)*Обложка!$D$18/60,SUMIF(Меню!$J$8:$FD$8,$B42,Меню!$J$61:$FD$61)/1000*Обложка!$D$18)</f>
        <v>0</v>
      </c>
      <c r="H42" s="685">
        <f t="shared" si="0"/>
        <v>0</v>
      </c>
      <c r="I42" s="212">
        <f>IF($B42="Яйцо (шт)",SUMIF(Меню!$J$8:$FD$8,$B42,Меню!$J$73:$FD$73)*Обложка!$F$15/60,SUMIF(Меню!$J$8:$FD$8,$B42,Меню!$J$73:$FD$73)/1000*Обложка!$F$15)</f>
        <v>0</v>
      </c>
      <c r="J42" s="212">
        <f>IF($B42="Яйцо (шт)",SUMIF(Меню!$J$8:$FD$8,$B42,Меню!$J$88:$FD$88)*Обложка!$F$16/60,SUMIF(Меню!$J$8:$FD$8,$B42,Меню!$J$88:$FD$88)/1000*Обложка!$G$16)</f>
        <v>0</v>
      </c>
      <c r="K42" s="212">
        <f>IF($B42="Яйцо (шт)",SUMIF(Меню!$J$8:$FD$8,$B42,Меню!$J$101:$FD$101)*Обложка!$F$17/60,SUMIF(Меню!$J$8:$FD$8,$B42,Меню!$J$101:$FD$101)/1000*Обложка!$F$17)</f>
        <v>0</v>
      </c>
      <c r="L42" s="212">
        <f>IF($B42="Яйцо (шт)",SUMIF(Меню!$J$8:$FD$8,$B42,Меню!$J$106:$FD$106)*Обложка!$F$18/60,SUMIF(Меню!$J$8:$FD$8,$B42,Меню!$J$106:$FD$106)/1000*Обложка!$F$18)</f>
        <v>0</v>
      </c>
      <c r="M42" s="685">
        <f t="shared" si="1"/>
        <v>0</v>
      </c>
      <c r="N42" s="212">
        <f>IF($B42="Яйцо (шт)",SUMIF(Меню!$J$8:$EZ$8,$B42,Меню!$J$118:$EZ$118)*Обложка!$H$15/60,SUMIF(Меню!$J$8:$EZ$8,$B42,Меню!$J$118:$EZ$118)/1000*Обложка!$H$15)</f>
        <v>0</v>
      </c>
      <c r="O42" s="212">
        <f>IF($B42="Яйцо (шт)",SUMIF(Меню!$J$8:$EZ$8,$B42,Меню!$J$133:$EZ$133)*Обложка!$H$16/60,SUMIF(Меню!$J$8:$EZ$8,$B42,Меню!$J$133:$EZ$133)/1000*Обложка!$H$16)</f>
        <v>0</v>
      </c>
      <c r="P42" s="212">
        <f>IF($B42="Яйцо (шт)",SUMIF(Меню!$J$8:$EZ$8,$B42,Меню!$J$146:$EZ$146)*Обложка!$H$17/60,SUMIF(Меню!$J$8:$EZ$8,$B42,Меню!$J$146:$EZ$146)/1000*Обложка!$H$17)</f>
        <v>0</v>
      </c>
      <c r="Q42" s="212">
        <f>IF($B42="Яйцо (шт)",SUMIF(Меню!$J$8:$EZ$8,$B42,Меню!$J$151:$EZ$151)*Обложка!$H$18/60,SUMIF(Меню!$J$8:$EZ$8,$B42,Меню!$J$151:$EZ$151)/1000*Обложка!$H$18)</f>
        <v>0</v>
      </c>
      <c r="R42" s="685">
        <f t="shared" si="2"/>
        <v>0</v>
      </c>
      <c r="S42" s="212">
        <f>IF($B42="Яйцо (шт)",SUMIF(Меню!$J$8:$EZ$8,$B42,Меню!$J$163:$EZ$163)*Обложка!$J$15/60,SUMIF(Меню!$J$8:$EZ$8,$B42,Меню!$J$163:$EZ$163)/1000*Обложка!$J$15)</f>
        <v>0</v>
      </c>
      <c r="T42" s="212">
        <f>IF($B42="Яйцо (шт)",SUMIF(Меню!$J$8:$EZ$8,$B42,Меню!$J$178:$EZ$178)*Обложка!$J$16/60,SUMIF(Меню!$J$8:$EZ$8,$B42,Меню!$J$178:$EZ$178)/1000*Обложка!$J$16)</f>
        <v>0</v>
      </c>
      <c r="U42" s="212">
        <f>IF($B42="Яйцо (шт)",SUMIF(Меню!$J$8:$EZ$8,$B42,Меню!$J$191:$EZ$191)*Обложка!$J$17/60,SUMIF(Меню!$J$8:$EZ$8,$B42,Меню!$J$191:$EZ$191)/1000*Обложка!$J$17)</f>
        <v>0</v>
      </c>
      <c r="V42" s="212">
        <f>IF($B42="Яйцо (шт)",SUMIF(Меню!$J$8:$EZ$8,$B42,Меню!$J$196:$EZ$196)*Обложка!$J$18/60,SUMIF(Меню!$J$8:$EZ$8,$B42,Меню!$J$196:$EZ$196)/1000*Обложка!$J$18)</f>
        <v>0</v>
      </c>
      <c r="W42" s="685">
        <f t="shared" si="3"/>
        <v>0</v>
      </c>
      <c r="X42" s="212">
        <f>IF($B42="Яйцо (шт)",SUMIF(Меню!$J$8:$EZ$8,$B42,Меню!$J$208:$EZ$208)*Обложка!$L$15/60,SUMIF(Меню!$J$8:$EZ$8,$B42,Меню!$J$208:$EZ$208)/1000*Обложка!$L$15)</f>
        <v>0</v>
      </c>
      <c r="Y42" s="212">
        <f>IF($B42="Яйцо (шт)",SUMIF(Меню!$J$8:$EZ$8,$B42,Меню!$J$223:$EZ$223)*Обложка!$L$16/60,SUMIF(Меню!$J$8:$EZ$8,$B42,Меню!$J$223:$EZ$223)/1000*Обложка!$J$16)</f>
        <v>0</v>
      </c>
      <c r="Z42" s="212">
        <f>IF($B42="Яйцо (шт)",SUMIF(Меню!$J$8:$EZ$8,$B42,Меню!$J$236:$EZ$236)*Обложка!$L$17/60,SUMIF(Меню!$J$8:$EZ$8,$B42,Меню!$J$236:$EZ$236)/1000*Обложка!$L$17)</f>
        <v>0</v>
      </c>
      <c r="AA42" s="212">
        <f>IF($B42="Яйцо (шт)",SUMIF(Меню!$J$8:$EZ$8,$B42,Меню!$J$241:$EZ$241)*Обложка!$L$18/60,SUMIF(Меню!$J$8:$EZ$8,$B42,Меню!$J$241:$EZ$241)/1000*Обложка!$L$18)</f>
        <v>0</v>
      </c>
      <c r="AB42" s="685">
        <f t="shared" si="4"/>
        <v>0</v>
      </c>
      <c r="AC42" s="212">
        <f>IF($B42="Яйцо (шт)",SUMIF(Меню!$J$8:$EZ$8,$B42,Меню!$J$253:$EZ$253)*Обложка!$N$15/60,SUMIF(Меню!$J$8:$EZ$8,$B42,Меню!$J$253:$EZ$253)/1000*Обложка!$N$15)</f>
        <v>0</v>
      </c>
      <c r="AD42" s="212">
        <f>IF($B42="Яйцо (шт)",SUMIF(Меню!$J$8:$EZ$8,$B42,Меню!$J$268:$EZ$268)*Обложка!$N$16/60,SUMIF(Меню!$J$8:$EZ$8,$B42,Меню!$J$268:$EZ$268)/1000*Обложка!$N$16)</f>
        <v>0</v>
      </c>
      <c r="AE42" s="212">
        <f>IF($B42="Яйцо (шт)",SUMIF(Меню!$J$8:$EZ$8,$B42,Меню!$J$281:$EZ$281)*Обложка!$N$17/60,SUMIF(Меню!$J$8:$EZ$8,$B42,Меню!$J$281:$EZ$281)/1000*Обложка!$N$17)</f>
        <v>0</v>
      </c>
      <c r="AF42" s="212">
        <f>IF($B42="Яйцо (шт)",SUMIF(Меню!$J$8:$EZ$8,$B42,Меню!$J$286:$EZ$286)*Обложка!$N$18/60,SUMIF(Меню!$J$8:$EZ$8,$B42,Меню!$J$286:$EZ$286)/1000*Обложка!$N$18)</f>
        <v>0</v>
      </c>
      <c r="AG42" s="685">
        <f t="shared" si="5"/>
        <v>0</v>
      </c>
      <c r="AH42" s="212">
        <f>IF($B42="Яйцо (шт)",SUMIF(Меню!$J$8:$EZ$8,$B42,Меню!$J$298:$EZ$298)*Обложка!$P$15/60,SUMIF(Меню!$J$8:$EZ$8,$B42,Меню!$J$298:$EZ$298)/1000*Обложка!$P$15)</f>
        <v>0</v>
      </c>
      <c r="AI42" s="212">
        <f>IF($B42="Яйцо (шт)",SUMIF(Меню!$J$8:$EZ$8,$BB42,Меню!$J$313:$EZ$313)*Обложка!$P$16/60,SUMIF(Меню!$J$8:$EZ$8,$B42,Меню!$J$313:$EZ$313)/1000*Обложка!$P$16)</f>
        <v>0</v>
      </c>
      <c r="AJ42" s="212">
        <f>IF($B42="Яйцо (шт)",SUMIF(Меню!$J$8:$EZ$8,$B42,Меню!$J$326:$EZ$326)*Обложка!$P$17/60,SUMIF(Меню!$J$8:$EZ$8,$B42,Меню!$J$326:$EZ$326)/1000*Обложка!$P$17)</f>
        <v>0</v>
      </c>
      <c r="AK42" s="212">
        <f>IF($B42="Яйцо (шт)",SUMIF(Меню!$J$8:$EZ$8,$B42,Меню!$J$331:$EZ$331)*Обложка!$P$18/60,SUMIF(Меню!$J$8:$EZ$8,$B42,Меню!$J$331:$EZ$331)/1000*Обложка!$P$18)</f>
        <v>0</v>
      </c>
      <c r="AL42" s="699">
        <f t="shared" si="6"/>
        <v>0</v>
      </c>
      <c r="AM42" s="685">
        <f t="shared" si="7"/>
        <v>0</v>
      </c>
    </row>
    <row r="43" spans="1:39" x14ac:dyDescent="0.25">
      <c r="A43" s="249">
        <f t="shared" si="8"/>
        <v>31</v>
      </c>
      <c r="B43" s="248" t="str">
        <f>инфо!D32</f>
        <v>Кабачки</v>
      </c>
      <c r="C43" s="694">
        <f>SUMIF(Меню!$J$8:$FD$8,$B43,Меню!$J$333:$FD$333)</f>
        <v>0</v>
      </c>
      <c r="D43" s="212">
        <f>IF($B43="Яйцо (шт)",SUMIF(Меню!$J$8:$FD$8,$B43,Меню!$J$28:$FD$28)*Обложка!$D$15/60,SUMIF(Меню!$J$8:$FD$8,$B43,Меню!$J$28:$FD$28)/1000*Обложка!$D$15)</f>
        <v>0</v>
      </c>
      <c r="E43" s="212">
        <f>IF($B43="Яйцо (шт)",SUMIF(Меню!$J$8:$FD$8,$B43,Меню!$J$43:$FD$43)*Обложка!$D$16/60,SUMIF(Меню!$J$8:$FD$8,$B43,Меню!$J$43:$FD$43)/1000*Обложка!$D$16)</f>
        <v>0</v>
      </c>
      <c r="F43" s="212">
        <f>IF($B43="Яйцо (шт)",SUMIF(Меню!$J$8:$FD$8,$B43,Меню!$J$56:$FD$56)*Обложка!$D$17/60,SUMIF(Меню!$J$8:$FD$8,$B43,Меню!$J$56:$FD$56)/1000*Обложка!$D$17)</f>
        <v>0</v>
      </c>
      <c r="G43" s="212">
        <f>IF($B43="Яйцо (шт)",SUMIF(Меню!$J$8:$FD$8,$B43,Меню!$J$61:$FD$61)*Обложка!$D$18/60,SUMIF(Меню!$J$8:$FD$8,$B43,Меню!$J$61:$FD$61)/1000*Обложка!$D$18)</f>
        <v>0</v>
      </c>
      <c r="H43" s="685">
        <f t="shared" si="0"/>
        <v>0</v>
      </c>
      <c r="I43" s="212">
        <f>IF($B43="Яйцо (шт)",SUMIF(Меню!$J$8:$FD$8,$B43,Меню!$J$73:$FD$73)*Обложка!$F$15/60,SUMIF(Меню!$J$8:$FD$8,$B43,Меню!$J$73:$FD$73)/1000*Обложка!$F$15)</f>
        <v>0</v>
      </c>
      <c r="J43" s="212">
        <f>IF($B43="Яйцо (шт)",SUMIF(Меню!$J$8:$FD$8,$B43,Меню!$J$88:$FD$88)*Обложка!$F$16/60,SUMIF(Меню!$J$8:$FD$8,$B43,Меню!$J$88:$FD$88)/1000*Обложка!$G$16)</f>
        <v>0</v>
      </c>
      <c r="K43" s="212">
        <f>IF($B43="Яйцо (шт)",SUMIF(Меню!$J$8:$FD$8,$B43,Меню!$J$101:$FD$101)*Обложка!$F$17/60,SUMIF(Меню!$J$8:$FD$8,$B43,Меню!$J$101:$FD$101)/1000*Обложка!$F$17)</f>
        <v>0</v>
      </c>
      <c r="L43" s="212">
        <f>IF($B43="Яйцо (шт)",SUMIF(Меню!$J$8:$FD$8,$B43,Меню!$J$106:$FD$106)*Обложка!$F$18/60,SUMIF(Меню!$J$8:$FD$8,$B43,Меню!$J$106:$FD$106)/1000*Обложка!$F$18)</f>
        <v>0</v>
      </c>
      <c r="M43" s="685">
        <f t="shared" si="1"/>
        <v>0</v>
      </c>
      <c r="N43" s="212">
        <f>IF($B43="Яйцо (шт)",SUMIF(Меню!$J$8:$EZ$8,$B43,Меню!$J$118:$EZ$118)*Обложка!$H$15/60,SUMIF(Меню!$J$8:$EZ$8,$B43,Меню!$J$118:$EZ$118)/1000*Обложка!$H$15)</f>
        <v>0</v>
      </c>
      <c r="O43" s="212">
        <f>IF($B43="Яйцо (шт)",SUMIF(Меню!$J$8:$EZ$8,$B43,Меню!$J$133:$EZ$133)*Обложка!$H$16/60,SUMIF(Меню!$J$8:$EZ$8,$B43,Меню!$J$133:$EZ$133)/1000*Обложка!$H$16)</f>
        <v>0</v>
      </c>
      <c r="P43" s="212">
        <f>IF($B43="Яйцо (шт)",SUMIF(Меню!$J$8:$EZ$8,$B43,Меню!$J$146:$EZ$146)*Обложка!$H$17/60,SUMIF(Меню!$J$8:$EZ$8,$B43,Меню!$J$146:$EZ$146)/1000*Обложка!$H$17)</f>
        <v>0</v>
      </c>
      <c r="Q43" s="212">
        <f>IF($B43="Яйцо (шт)",SUMIF(Меню!$J$8:$EZ$8,$B43,Меню!$J$151:$EZ$151)*Обложка!$H$18/60,SUMIF(Меню!$J$8:$EZ$8,$B43,Меню!$J$151:$EZ$151)/1000*Обложка!$H$18)</f>
        <v>0</v>
      </c>
      <c r="R43" s="685">
        <f t="shared" si="2"/>
        <v>0</v>
      </c>
      <c r="S43" s="212">
        <f>IF($B43="Яйцо (шт)",SUMIF(Меню!$J$8:$EZ$8,$B43,Меню!$J$163:$EZ$163)*Обложка!$J$15/60,SUMIF(Меню!$J$8:$EZ$8,$B43,Меню!$J$163:$EZ$163)/1000*Обложка!$J$15)</f>
        <v>0</v>
      </c>
      <c r="T43" s="212">
        <f>IF($B43="Яйцо (шт)",SUMIF(Меню!$J$8:$EZ$8,$B43,Меню!$J$178:$EZ$178)*Обложка!$J$16/60,SUMIF(Меню!$J$8:$EZ$8,$B43,Меню!$J$178:$EZ$178)/1000*Обложка!$J$16)</f>
        <v>0</v>
      </c>
      <c r="U43" s="212">
        <f>IF($B43="Яйцо (шт)",SUMIF(Меню!$J$8:$EZ$8,$B43,Меню!$J$191:$EZ$191)*Обложка!$J$17/60,SUMIF(Меню!$J$8:$EZ$8,$B43,Меню!$J$191:$EZ$191)/1000*Обложка!$J$17)</f>
        <v>0</v>
      </c>
      <c r="V43" s="212">
        <f>IF($B43="Яйцо (шт)",SUMIF(Меню!$J$8:$EZ$8,$B43,Меню!$J$196:$EZ$196)*Обложка!$J$18/60,SUMIF(Меню!$J$8:$EZ$8,$B43,Меню!$J$196:$EZ$196)/1000*Обложка!$J$18)</f>
        <v>0</v>
      </c>
      <c r="W43" s="685">
        <f t="shared" si="3"/>
        <v>0</v>
      </c>
      <c r="X43" s="212">
        <f>IF($B43="Яйцо (шт)",SUMIF(Меню!$J$8:$EZ$8,$B43,Меню!$J$208:$EZ$208)*Обложка!$L$15/60,SUMIF(Меню!$J$8:$EZ$8,$B43,Меню!$J$208:$EZ$208)/1000*Обложка!$L$15)</f>
        <v>0</v>
      </c>
      <c r="Y43" s="212">
        <f>IF($B43="Яйцо (шт)",SUMIF(Меню!$J$8:$EZ$8,$B43,Меню!$J$223:$EZ$223)*Обложка!$L$16/60,SUMIF(Меню!$J$8:$EZ$8,$B43,Меню!$J$223:$EZ$223)/1000*Обложка!$J$16)</f>
        <v>0</v>
      </c>
      <c r="Z43" s="212">
        <f>IF($B43="Яйцо (шт)",SUMIF(Меню!$J$8:$EZ$8,$B43,Меню!$J$236:$EZ$236)*Обложка!$L$17/60,SUMIF(Меню!$J$8:$EZ$8,$B43,Меню!$J$236:$EZ$236)/1000*Обложка!$L$17)</f>
        <v>0</v>
      </c>
      <c r="AA43" s="212">
        <f>IF($B43="Яйцо (шт)",SUMIF(Меню!$J$8:$EZ$8,$B43,Меню!$J$241:$EZ$241)*Обложка!$L$18/60,SUMIF(Меню!$J$8:$EZ$8,$B43,Меню!$J$241:$EZ$241)/1000*Обложка!$L$18)</f>
        <v>0</v>
      </c>
      <c r="AB43" s="685">
        <f t="shared" si="4"/>
        <v>0</v>
      </c>
      <c r="AC43" s="212">
        <f>IF($B43="Яйцо (шт)",SUMIF(Меню!$J$8:$EZ$8,$B43,Меню!$J$253:$EZ$253)*Обложка!$N$15/60,SUMIF(Меню!$J$8:$EZ$8,$B43,Меню!$J$253:$EZ$253)/1000*Обложка!$N$15)</f>
        <v>0</v>
      </c>
      <c r="AD43" s="212">
        <f>IF($B43="Яйцо (шт)",SUMIF(Меню!$J$8:$EZ$8,$B43,Меню!$J$268:$EZ$268)*Обложка!$N$16/60,SUMIF(Меню!$J$8:$EZ$8,$B43,Меню!$J$268:$EZ$268)/1000*Обложка!$N$16)</f>
        <v>0</v>
      </c>
      <c r="AE43" s="212">
        <f>IF($B43="Яйцо (шт)",SUMIF(Меню!$J$8:$EZ$8,$B43,Меню!$J$281:$EZ$281)*Обложка!$N$17/60,SUMIF(Меню!$J$8:$EZ$8,$B43,Меню!$J$281:$EZ$281)/1000*Обложка!$N$17)</f>
        <v>0</v>
      </c>
      <c r="AF43" s="212">
        <f>IF($B43="Яйцо (шт)",SUMIF(Меню!$J$8:$EZ$8,$B43,Меню!$J$286:$EZ$286)*Обложка!$N$18/60,SUMIF(Меню!$J$8:$EZ$8,$B43,Меню!$J$286:$EZ$286)/1000*Обложка!$N$18)</f>
        <v>0</v>
      </c>
      <c r="AG43" s="685">
        <f t="shared" si="5"/>
        <v>0</v>
      </c>
      <c r="AH43" s="212">
        <f>IF($B43="Яйцо (шт)",SUMIF(Меню!$J$8:$EZ$8,$B43,Меню!$J$298:$EZ$298)*Обложка!$P$15/60,SUMIF(Меню!$J$8:$EZ$8,$B43,Меню!$J$298:$EZ$298)/1000*Обложка!$P$15)</f>
        <v>0</v>
      </c>
      <c r="AI43" s="212">
        <f>IF($B43="Яйцо (шт)",SUMIF(Меню!$J$8:$EZ$8,$BB43,Меню!$J$313:$EZ$313)*Обложка!$P$16/60,SUMIF(Меню!$J$8:$EZ$8,$B43,Меню!$J$313:$EZ$313)/1000*Обложка!$P$16)</f>
        <v>0</v>
      </c>
      <c r="AJ43" s="212">
        <f>IF($B43="Яйцо (шт)",SUMIF(Меню!$J$8:$EZ$8,$B43,Меню!$J$326:$EZ$326)*Обложка!$P$17/60,SUMIF(Меню!$J$8:$EZ$8,$B43,Меню!$J$326:$EZ$326)/1000*Обложка!$P$17)</f>
        <v>0</v>
      </c>
      <c r="AK43" s="212">
        <f>IF($B43="Яйцо (шт)",SUMIF(Меню!$J$8:$EZ$8,$B43,Меню!$J$331:$EZ$331)*Обложка!$P$18/60,SUMIF(Меню!$J$8:$EZ$8,$B43,Меню!$J$331:$EZ$331)/1000*Обложка!$P$18)</f>
        <v>0</v>
      </c>
      <c r="AL43" s="699">
        <f t="shared" si="6"/>
        <v>0</v>
      </c>
      <c r="AM43" s="685">
        <f t="shared" si="7"/>
        <v>0</v>
      </c>
    </row>
    <row r="44" spans="1:39" x14ac:dyDescent="0.25">
      <c r="A44" s="249">
        <f t="shared" si="8"/>
        <v>32</v>
      </c>
      <c r="B44" s="248" t="str">
        <f>инфо!D33</f>
        <v>Зелень</v>
      </c>
      <c r="C44" s="694">
        <f>SUMIF(Меню!$J$8:$FD$8,$B44,Меню!$J$333:$FD$333)</f>
        <v>70.8</v>
      </c>
      <c r="D44" s="212">
        <f>IF($B44="Яйцо (шт)",SUMIF(Меню!$J$8:$FD$8,$B44,Меню!$J$28:$FD$28)*Обложка!$D$15/60,SUMIF(Меню!$J$8:$FD$8,$B44,Меню!$J$28:$FD$28)/1000*Обложка!$D$15)</f>
        <v>0</v>
      </c>
      <c r="E44" s="212">
        <f>IF($B44="Яйцо (шт)",SUMIF(Меню!$J$8:$FD$8,$B44,Меню!$J$43:$FD$43)*Обложка!$D$16/60,SUMIF(Меню!$J$8:$FD$8,$B44,Меню!$J$43:$FD$43)/1000*Обложка!$D$16)</f>
        <v>0.61</v>
      </c>
      <c r="F44" s="212">
        <f>IF($B44="Яйцо (шт)",SUMIF(Меню!$J$8:$FD$8,$B44,Меню!$J$56:$FD$56)*Обложка!$D$17/60,SUMIF(Меню!$J$8:$FD$8,$B44,Меню!$J$56:$FD$56)/1000*Обложка!$D$17)</f>
        <v>0.61</v>
      </c>
      <c r="G44" s="212">
        <f>IF($B44="Яйцо (шт)",SUMIF(Меню!$J$8:$FD$8,$B44,Меню!$J$61:$FD$61)*Обложка!$D$18/60,SUMIF(Меню!$J$8:$FD$8,$B44,Меню!$J$61:$FD$61)/1000*Обложка!$D$18)</f>
        <v>0</v>
      </c>
      <c r="H44" s="685">
        <f t="shared" si="0"/>
        <v>1.22</v>
      </c>
      <c r="I44" s="212">
        <f>IF($B44="Яйцо (шт)",SUMIF(Меню!$J$8:$FD$8,$B44,Меню!$J$73:$FD$73)*Обложка!$F$15/60,SUMIF(Меню!$J$8:$FD$8,$B44,Меню!$J$73:$FD$73)/1000*Обложка!$F$15)</f>
        <v>0</v>
      </c>
      <c r="J44" s="212">
        <f>IF($B44="Яйцо (шт)",SUMIF(Меню!$J$8:$FD$8,$B44,Меню!$J$88:$FD$88)*Обложка!$F$16/60,SUMIF(Меню!$J$8:$FD$8,$B44,Меню!$J$88:$FD$88)/1000*Обложка!$G$16)</f>
        <v>0.11</v>
      </c>
      <c r="K44" s="212">
        <f>IF($B44="Яйцо (шт)",SUMIF(Меню!$J$8:$FD$8,$B44,Меню!$J$101:$FD$101)*Обложка!$F$17/60,SUMIF(Меню!$J$8:$FD$8,$B44,Меню!$J$101:$FD$101)/1000*Обложка!$F$17)</f>
        <v>0.65</v>
      </c>
      <c r="L44" s="212">
        <f>IF($B44="Яйцо (шт)",SUMIF(Меню!$J$8:$FD$8,$B44,Меню!$J$106:$FD$106)*Обложка!$F$18/60,SUMIF(Меню!$J$8:$FD$8,$B44,Меню!$J$106:$FD$106)/1000*Обложка!$F$18)</f>
        <v>0</v>
      </c>
      <c r="M44" s="685">
        <f t="shared" si="1"/>
        <v>0.76</v>
      </c>
      <c r="N44" s="212">
        <f>IF($B44="Яйцо (шт)",SUMIF(Меню!$J$8:$EZ$8,$B44,Меню!$J$118:$EZ$118)*Обложка!$H$15/60,SUMIF(Меню!$J$8:$EZ$8,$B44,Меню!$J$118:$EZ$118)/1000*Обложка!$H$15)</f>
        <v>0</v>
      </c>
      <c r="O44" s="212">
        <f>IF($B44="Яйцо (шт)",SUMIF(Меню!$J$8:$EZ$8,$B44,Меню!$J$133:$EZ$133)*Обложка!$H$16/60,SUMIF(Меню!$J$8:$EZ$8,$B44,Меню!$J$133:$EZ$133)/1000*Обложка!$H$16)</f>
        <v>0.57500000000000007</v>
      </c>
      <c r="P44" s="212">
        <f>IF($B44="Яйцо (шт)",SUMIF(Меню!$J$8:$EZ$8,$B44,Меню!$J$146:$EZ$146)*Обложка!$H$17/60,SUMIF(Меню!$J$8:$EZ$8,$B44,Меню!$J$146:$EZ$146)/1000*Обложка!$H$17)</f>
        <v>0.57500000000000007</v>
      </c>
      <c r="Q44" s="212">
        <f>IF($B44="Яйцо (шт)",SUMIF(Меню!$J$8:$EZ$8,$B44,Меню!$J$151:$EZ$151)*Обложка!$H$18/60,SUMIF(Меню!$J$8:$EZ$8,$B44,Меню!$J$151:$EZ$151)/1000*Обложка!$H$18)</f>
        <v>0</v>
      </c>
      <c r="R44" s="685">
        <f t="shared" si="2"/>
        <v>1.1500000000000001</v>
      </c>
      <c r="S44" s="212">
        <f>IF($B44="Яйцо (шт)",SUMIF(Меню!$J$8:$EZ$8,$B44,Меню!$J$163:$EZ$163)*Обложка!$J$15/60,SUMIF(Меню!$J$8:$EZ$8,$B44,Меню!$J$163:$EZ$163)/1000*Обложка!$J$15)</f>
        <v>0</v>
      </c>
      <c r="T44" s="212">
        <f>IF($B44="Яйцо (шт)",SUMIF(Меню!$J$8:$EZ$8,$B44,Меню!$J$178:$EZ$178)*Обложка!$J$16/60,SUMIF(Меню!$J$8:$EZ$8,$B44,Меню!$J$178:$EZ$178)/1000*Обложка!$J$16)</f>
        <v>0.5</v>
      </c>
      <c r="U44" s="212">
        <f>IF($B44="Яйцо (шт)",SUMIF(Меню!$J$8:$EZ$8,$B44,Меню!$J$191:$EZ$191)*Обложка!$J$17/60,SUMIF(Меню!$J$8:$EZ$8,$B44,Меню!$J$191:$EZ$191)/1000*Обложка!$J$17)</f>
        <v>0.49</v>
      </c>
      <c r="V44" s="212">
        <f>IF($B44="Яйцо (шт)",SUMIF(Меню!$J$8:$EZ$8,$B44,Меню!$J$196:$EZ$196)*Обложка!$J$18/60,SUMIF(Меню!$J$8:$EZ$8,$B44,Меню!$J$196:$EZ$196)/1000*Обложка!$J$18)</f>
        <v>0</v>
      </c>
      <c r="W44" s="685">
        <f t="shared" si="3"/>
        <v>0.99</v>
      </c>
      <c r="X44" s="212">
        <f>IF($B44="Яйцо (шт)",SUMIF(Меню!$J$8:$EZ$8,$B44,Меню!$J$208:$EZ$208)*Обложка!$L$15/60,SUMIF(Меню!$J$8:$EZ$8,$B44,Меню!$J$208:$EZ$208)/1000*Обложка!$L$15)</f>
        <v>0</v>
      </c>
      <c r="Y44" s="212">
        <f>IF($B44="Яйцо (шт)",SUMIF(Меню!$J$8:$EZ$8,$B44,Меню!$J$223:$EZ$223)*Обложка!$L$16/60,SUMIF(Меню!$J$8:$EZ$8,$B44,Меню!$J$223:$EZ$223)/1000*Обложка!$J$16)</f>
        <v>0.5</v>
      </c>
      <c r="Z44" s="212">
        <f>IF($B44="Яйцо (шт)",SUMIF(Меню!$J$8:$EZ$8,$B44,Меню!$J$236:$EZ$236)*Обложка!$L$17/60,SUMIF(Меню!$J$8:$EZ$8,$B44,Меню!$J$236:$EZ$236)/1000*Обложка!$L$17)</f>
        <v>0.17500000000000002</v>
      </c>
      <c r="AA44" s="212">
        <f>IF($B44="Яйцо (шт)",SUMIF(Меню!$J$8:$EZ$8,$B44,Меню!$J$241:$EZ$241)*Обложка!$L$18/60,SUMIF(Меню!$J$8:$EZ$8,$B44,Меню!$J$241:$EZ$241)/1000*Обложка!$L$18)</f>
        <v>0</v>
      </c>
      <c r="AB44" s="685">
        <f t="shared" si="4"/>
        <v>0.67500000000000004</v>
      </c>
      <c r="AC44" s="212">
        <f>IF($B44="Яйцо (шт)",SUMIF(Меню!$J$8:$EZ$8,$B44,Меню!$J$253:$EZ$253)*Обложка!$N$15/60,SUMIF(Меню!$J$8:$EZ$8,$B44,Меню!$J$253:$EZ$253)/1000*Обложка!$N$15)</f>
        <v>0</v>
      </c>
      <c r="AD44" s="212">
        <f>IF($B44="Яйцо (шт)",SUMIF(Меню!$J$8:$EZ$8,$B44,Меню!$J$268:$EZ$268)*Обложка!$N$16/60,SUMIF(Меню!$J$8:$EZ$8,$B44,Меню!$J$268:$EZ$268)/1000*Обложка!$N$16)</f>
        <v>0.22500000000000001</v>
      </c>
      <c r="AE44" s="212">
        <f>IF($B44="Яйцо (шт)",SUMIF(Меню!$J$8:$EZ$8,$B44,Меню!$J$281:$EZ$281)*Обложка!$N$17/60,SUMIF(Меню!$J$8:$EZ$8,$B44,Меню!$J$281:$EZ$281)/1000*Обложка!$N$17)</f>
        <v>0.22500000000000001</v>
      </c>
      <c r="AF44" s="212">
        <f>IF($B44="Яйцо (шт)",SUMIF(Меню!$J$8:$EZ$8,$B44,Меню!$J$286:$EZ$286)*Обложка!$N$18/60,SUMIF(Меню!$J$8:$EZ$8,$B44,Меню!$J$286:$EZ$286)/1000*Обложка!$N$18)</f>
        <v>0</v>
      </c>
      <c r="AG44" s="685">
        <f t="shared" si="5"/>
        <v>0.45</v>
      </c>
      <c r="AH44" s="212">
        <f>IF($B44="Яйцо (шт)",SUMIF(Меню!$J$8:$EZ$8,$B44,Меню!$J$298:$EZ$298)*Обложка!$P$15/60,SUMIF(Меню!$J$8:$EZ$8,$B44,Меню!$J$298:$EZ$298)/1000*Обложка!$P$15)</f>
        <v>0</v>
      </c>
      <c r="AI44" s="212">
        <f>IF($B44="Яйцо (шт)",SUMIF(Меню!$J$8:$EZ$8,$BB44,Меню!$J$313:$EZ$313)*Обложка!$P$16/60,SUMIF(Меню!$J$8:$EZ$8,$B44,Меню!$J$313:$EZ$313)/1000*Обложка!$P$16)</f>
        <v>0.125</v>
      </c>
      <c r="AJ44" s="212">
        <f>IF($B44="Яйцо (шт)",SUMIF(Меню!$J$8:$EZ$8,$B44,Меню!$J$326:$EZ$326)*Обложка!$P$17/60,SUMIF(Меню!$J$8:$EZ$8,$B44,Меню!$J$326:$EZ$326)/1000*Обложка!$P$17)</f>
        <v>0.14499999999999999</v>
      </c>
      <c r="AK44" s="212">
        <f>IF($B44="Яйцо (шт)",SUMIF(Меню!$J$8:$EZ$8,$B44,Меню!$J$331:$EZ$331)*Обложка!$P$18/60,SUMIF(Меню!$J$8:$EZ$8,$B44,Меню!$J$331:$EZ$331)/1000*Обложка!$P$18)</f>
        <v>0</v>
      </c>
      <c r="AL44" s="699">
        <f t="shared" si="6"/>
        <v>0.27</v>
      </c>
      <c r="AM44" s="685">
        <f t="shared" si="7"/>
        <v>5.5150000000000006</v>
      </c>
    </row>
    <row r="45" spans="1:39" x14ac:dyDescent="0.25">
      <c r="A45" s="249">
        <f t="shared" si="8"/>
        <v>33</v>
      </c>
      <c r="B45" s="248" t="str">
        <f>инфо!D34</f>
        <v>Лук зеленый</v>
      </c>
      <c r="C45" s="694">
        <f>SUMIF(Меню!$J$8:$FD$8,$B45,Меню!$J$333:$FD$333)</f>
        <v>0</v>
      </c>
      <c r="D45" s="212">
        <f>IF($B45="Яйцо (шт)",SUMIF(Меню!$J$8:$FD$8,$B45,Меню!$J$28:$FD$28)*Обложка!$D$15/60,SUMIF(Меню!$J$8:$FD$8,$B45,Меню!$J$28:$FD$28)/1000*Обложка!$D$15)</f>
        <v>0</v>
      </c>
      <c r="E45" s="212">
        <f>IF($B45="Яйцо (шт)",SUMIF(Меню!$J$8:$FD$8,$B45,Меню!$J$43:$FD$43)*Обложка!$D$16/60,SUMIF(Меню!$J$8:$FD$8,$B45,Меню!$J$43:$FD$43)/1000*Обложка!$D$16)</f>
        <v>0</v>
      </c>
      <c r="F45" s="212">
        <f>IF($B45="Яйцо (шт)",SUMIF(Меню!$J$8:$FD$8,$B45,Меню!$J$56:$FD$56)*Обложка!$D$17/60,SUMIF(Меню!$J$8:$FD$8,$B45,Меню!$J$56:$FD$56)/1000*Обложка!$D$17)</f>
        <v>0</v>
      </c>
      <c r="G45" s="212">
        <f>IF($B45="Яйцо (шт)",SUMIF(Меню!$J$8:$FD$8,$B45,Меню!$J$61:$FD$61)*Обложка!$D$18/60,SUMIF(Меню!$J$8:$FD$8,$B45,Меню!$J$61:$FD$61)/1000*Обложка!$D$18)</f>
        <v>0</v>
      </c>
      <c r="H45" s="685">
        <f t="shared" si="0"/>
        <v>0</v>
      </c>
      <c r="I45" s="212">
        <f>IF($B45="Яйцо (шт)",SUMIF(Меню!$J$8:$FD$8,$B45,Меню!$J$73:$FD$73)*Обложка!$F$15/60,SUMIF(Меню!$J$8:$FD$8,$B45,Меню!$J$73:$FD$73)/1000*Обложка!$F$15)</f>
        <v>0</v>
      </c>
      <c r="J45" s="212">
        <f>IF($B45="Яйцо (шт)",SUMIF(Меню!$J$8:$FD$8,$B45,Меню!$J$88:$FD$88)*Обложка!$F$16/60,SUMIF(Меню!$J$8:$FD$8,$B45,Меню!$J$88:$FD$88)/1000*Обложка!$G$16)</f>
        <v>0</v>
      </c>
      <c r="K45" s="212">
        <f>IF($B45="Яйцо (шт)",SUMIF(Меню!$J$8:$FD$8,$B45,Меню!$J$101:$FD$101)*Обложка!$F$17/60,SUMIF(Меню!$J$8:$FD$8,$B45,Меню!$J$101:$FD$101)/1000*Обложка!$F$17)</f>
        <v>0</v>
      </c>
      <c r="L45" s="212">
        <f>IF($B45="Яйцо (шт)",SUMIF(Меню!$J$8:$FD$8,$B45,Меню!$J$106:$FD$106)*Обложка!$F$18/60,SUMIF(Меню!$J$8:$FD$8,$B45,Меню!$J$106:$FD$106)/1000*Обложка!$F$18)</f>
        <v>0</v>
      </c>
      <c r="M45" s="685">
        <f t="shared" si="1"/>
        <v>0</v>
      </c>
      <c r="N45" s="212">
        <f>IF($B45="Яйцо (шт)",SUMIF(Меню!$J$8:$EZ$8,$B45,Меню!$J$118:$EZ$118)*Обложка!$H$15/60,SUMIF(Меню!$J$8:$EZ$8,$B45,Меню!$J$118:$EZ$118)/1000*Обложка!$H$15)</f>
        <v>0</v>
      </c>
      <c r="O45" s="212">
        <f>IF($B45="Яйцо (шт)",SUMIF(Меню!$J$8:$EZ$8,$B45,Меню!$J$133:$EZ$133)*Обложка!$H$16/60,SUMIF(Меню!$J$8:$EZ$8,$B45,Меню!$J$133:$EZ$133)/1000*Обложка!$H$16)</f>
        <v>0</v>
      </c>
      <c r="P45" s="212">
        <f>IF($B45="Яйцо (шт)",SUMIF(Меню!$J$8:$EZ$8,$B45,Меню!$J$146:$EZ$146)*Обложка!$H$17/60,SUMIF(Меню!$J$8:$EZ$8,$B45,Меню!$J$146:$EZ$146)/1000*Обложка!$H$17)</f>
        <v>0</v>
      </c>
      <c r="Q45" s="212">
        <f>IF($B45="Яйцо (шт)",SUMIF(Меню!$J$8:$EZ$8,$B45,Меню!$J$151:$EZ$151)*Обложка!$H$18/60,SUMIF(Меню!$J$8:$EZ$8,$B45,Меню!$J$151:$EZ$151)/1000*Обложка!$H$18)</f>
        <v>0</v>
      </c>
      <c r="R45" s="685">
        <f t="shared" si="2"/>
        <v>0</v>
      </c>
      <c r="S45" s="212">
        <f>IF($B45="Яйцо (шт)",SUMIF(Меню!$J$8:$EZ$8,$B45,Меню!$J$163:$EZ$163)*Обложка!$J$15/60,SUMIF(Меню!$J$8:$EZ$8,$B45,Меню!$J$163:$EZ$163)/1000*Обложка!$J$15)</f>
        <v>0</v>
      </c>
      <c r="T45" s="212">
        <f>IF($B45="Яйцо (шт)",SUMIF(Меню!$J$8:$EZ$8,$B45,Меню!$J$178:$EZ$178)*Обложка!$J$16/60,SUMIF(Меню!$J$8:$EZ$8,$B45,Меню!$J$178:$EZ$178)/1000*Обложка!$J$16)</f>
        <v>0</v>
      </c>
      <c r="U45" s="212">
        <f>IF($B45="Яйцо (шт)",SUMIF(Меню!$J$8:$EZ$8,$B45,Меню!$J$191:$EZ$191)*Обложка!$J$17/60,SUMIF(Меню!$J$8:$EZ$8,$B45,Меню!$J$191:$EZ$191)/1000*Обложка!$J$17)</f>
        <v>0</v>
      </c>
      <c r="V45" s="212">
        <f>IF($B45="Яйцо (шт)",SUMIF(Меню!$J$8:$EZ$8,$B45,Меню!$J$196:$EZ$196)*Обложка!$J$18/60,SUMIF(Меню!$J$8:$EZ$8,$B45,Меню!$J$196:$EZ$196)/1000*Обложка!$J$18)</f>
        <v>0</v>
      </c>
      <c r="W45" s="685">
        <f t="shared" si="3"/>
        <v>0</v>
      </c>
      <c r="X45" s="212">
        <f>IF($B45="Яйцо (шт)",SUMIF(Меню!$J$8:$EZ$8,$B45,Меню!$J$208:$EZ$208)*Обложка!$L$15/60,SUMIF(Меню!$J$8:$EZ$8,$B45,Меню!$J$208:$EZ$208)/1000*Обложка!$L$15)</f>
        <v>0</v>
      </c>
      <c r="Y45" s="212">
        <f>IF($B45="Яйцо (шт)",SUMIF(Меню!$J$8:$EZ$8,$B45,Меню!$J$223:$EZ$223)*Обложка!$L$16/60,SUMIF(Меню!$J$8:$EZ$8,$B45,Меню!$J$223:$EZ$223)/1000*Обложка!$J$16)</f>
        <v>0</v>
      </c>
      <c r="Z45" s="212">
        <f>IF($B45="Яйцо (шт)",SUMIF(Меню!$J$8:$EZ$8,$B45,Меню!$J$236:$EZ$236)*Обложка!$L$17/60,SUMIF(Меню!$J$8:$EZ$8,$B45,Меню!$J$236:$EZ$236)/1000*Обложка!$L$17)</f>
        <v>0</v>
      </c>
      <c r="AA45" s="212">
        <f>IF($B45="Яйцо (шт)",SUMIF(Меню!$J$8:$EZ$8,$B45,Меню!$J$241:$EZ$241)*Обложка!$L$18/60,SUMIF(Меню!$J$8:$EZ$8,$B45,Меню!$J$241:$EZ$241)/1000*Обложка!$L$18)</f>
        <v>0</v>
      </c>
      <c r="AB45" s="685">
        <f t="shared" si="4"/>
        <v>0</v>
      </c>
      <c r="AC45" s="212">
        <f>IF($B45="Яйцо (шт)",SUMIF(Меню!$J$8:$EZ$8,$B45,Меню!$J$253:$EZ$253)*Обложка!$N$15/60,SUMIF(Меню!$J$8:$EZ$8,$B45,Меню!$J$253:$EZ$253)/1000*Обложка!$N$15)</f>
        <v>0</v>
      </c>
      <c r="AD45" s="212">
        <f>IF($B45="Яйцо (шт)",SUMIF(Меню!$J$8:$EZ$8,$B45,Меню!$J$268:$EZ$268)*Обложка!$N$16/60,SUMIF(Меню!$J$8:$EZ$8,$B45,Меню!$J$268:$EZ$268)/1000*Обложка!$N$16)</f>
        <v>0</v>
      </c>
      <c r="AE45" s="212">
        <f>IF($B45="Яйцо (шт)",SUMIF(Меню!$J$8:$EZ$8,$B45,Меню!$J$281:$EZ$281)*Обложка!$N$17/60,SUMIF(Меню!$J$8:$EZ$8,$B45,Меню!$J$281:$EZ$281)/1000*Обложка!$N$17)</f>
        <v>0</v>
      </c>
      <c r="AF45" s="212">
        <f>IF($B45="Яйцо (шт)",SUMIF(Меню!$J$8:$EZ$8,$B45,Меню!$J$286:$EZ$286)*Обложка!$N$18/60,SUMIF(Меню!$J$8:$EZ$8,$B45,Меню!$J$286:$EZ$286)/1000*Обложка!$N$18)</f>
        <v>0</v>
      </c>
      <c r="AG45" s="685">
        <f t="shared" si="5"/>
        <v>0</v>
      </c>
      <c r="AH45" s="212">
        <f>IF($B45="Яйцо (шт)",SUMIF(Меню!$J$8:$EZ$8,$B45,Меню!$J$298:$EZ$298)*Обложка!$P$15/60,SUMIF(Меню!$J$8:$EZ$8,$B45,Меню!$J$298:$EZ$298)/1000*Обложка!$P$15)</f>
        <v>0</v>
      </c>
      <c r="AI45" s="212">
        <f>IF($B45="Яйцо (шт)",SUMIF(Меню!$J$8:$EZ$8,$BB45,Меню!$J$313:$EZ$313)*Обложка!$P$16/60,SUMIF(Меню!$J$8:$EZ$8,$B45,Меню!$J$313:$EZ$313)/1000*Обложка!$P$16)</f>
        <v>0</v>
      </c>
      <c r="AJ45" s="212">
        <f>IF($B45="Яйцо (шт)",SUMIF(Меню!$J$8:$EZ$8,$B45,Меню!$J$326:$EZ$326)*Обложка!$P$17/60,SUMIF(Меню!$J$8:$EZ$8,$B45,Меню!$J$326:$EZ$326)/1000*Обложка!$P$17)</f>
        <v>0</v>
      </c>
      <c r="AK45" s="212">
        <f>IF($B45="Яйцо (шт)",SUMIF(Меню!$J$8:$EZ$8,$B45,Меню!$J$331:$EZ$331)*Обложка!$P$18/60,SUMIF(Меню!$J$8:$EZ$8,$B45,Меню!$J$331:$EZ$331)/1000*Обложка!$P$18)</f>
        <v>0</v>
      </c>
      <c r="AL45" s="699">
        <f t="shared" si="6"/>
        <v>0</v>
      </c>
      <c r="AM45" s="685">
        <f t="shared" si="7"/>
        <v>0</v>
      </c>
    </row>
    <row r="46" spans="1:39" x14ac:dyDescent="0.25">
      <c r="A46" s="249">
        <f t="shared" si="8"/>
        <v>34</v>
      </c>
      <c r="B46" s="248" t="str">
        <f>инфо!D35</f>
        <v>Укроп</v>
      </c>
      <c r="C46" s="694">
        <f>SUMIF(Меню!$J$8:$FD$8,$B46,Меню!$J$333:$FD$333)</f>
        <v>0</v>
      </c>
      <c r="D46" s="212">
        <f>IF($B46="Яйцо (шт)",SUMIF(Меню!$J$8:$FD$8,$B46,Меню!$J$28:$FD$28)*Обложка!$D$15/60,SUMIF(Меню!$J$8:$FD$8,$B46,Меню!$J$28:$FD$28)/1000*Обложка!$D$15)</f>
        <v>0</v>
      </c>
      <c r="E46" s="212">
        <f>IF($B46="Яйцо (шт)",SUMIF(Меню!$J$8:$FD$8,$B46,Меню!$J$43:$FD$43)*Обложка!$D$16/60,SUMIF(Меню!$J$8:$FD$8,$B46,Меню!$J$43:$FD$43)/1000*Обложка!$D$16)</f>
        <v>0</v>
      </c>
      <c r="F46" s="212">
        <f>IF($B46="Яйцо (шт)",SUMIF(Меню!$J$8:$FD$8,$B46,Меню!$J$56:$FD$56)*Обложка!$D$17/60,SUMIF(Меню!$J$8:$FD$8,$B46,Меню!$J$56:$FD$56)/1000*Обложка!$D$17)</f>
        <v>0</v>
      </c>
      <c r="G46" s="212">
        <f>IF($B46="Яйцо (шт)",SUMIF(Меню!$J$8:$FD$8,$B46,Меню!$J$61:$FD$61)*Обложка!$D$18/60,SUMIF(Меню!$J$8:$FD$8,$B46,Меню!$J$61:$FD$61)/1000*Обложка!$D$18)</f>
        <v>0</v>
      </c>
      <c r="H46" s="685">
        <f t="shared" si="0"/>
        <v>0</v>
      </c>
      <c r="I46" s="212">
        <f>IF($B46="Яйцо (шт)",SUMIF(Меню!$J$8:$FD$8,$B46,Меню!$J$73:$FD$73)*Обложка!$F$15/60,SUMIF(Меню!$J$8:$FD$8,$B46,Меню!$J$73:$FD$73)/1000*Обложка!$F$15)</f>
        <v>0</v>
      </c>
      <c r="J46" s="212">
        <f>IF($B46="Яйцо (шт)",SUMIF(Меню!$J$8:$FD$8,$B46,Меню!$J$88:$FD$88)*Обложка!$F$16/60,SUMIF(Меню!$J$8:$FD$8,$B46,Меню!$J$88:$FD$88)/1000*Обложка!$G$16)</f>
        <v>0</v>
      </c>
      <c r="K46" s="212">
        <f>IF($B46="Яйцо (шт)",SUMIF(Меню!$J$8:$FD$8,$B46,Меню!$J$101:$FD$101)*Обложка!$F$17/60,SUMIF(Меню!$J$8:$FD$8,$B46,Меню!$J$101:$FD$101)/1000*Обложка!$F$17)</f>
        <v>0</v>
      </c>
      <c r="L46" s="212">
        <f>IF($B46="Яйцо (шт)",SUMIF(Меню!$J$8:$FD$8,$B46,Меню!$J$106:$FD$106)*Обложка!$F$18/60,SUMIF(Меню!$J$8:$FD$8,$B46,Меню!$J$106:$FD$106)/1000*Обложка!$F$18)</f>
        <v>0</v>
      </c>
      <c r="M46" s="685">
        <f t="shared" si="1"/>
        <v>0</v>
      </c>
      <c r="N46" s="212">
        <f>IF($B46="Яйцо (шт)",SUMIF(Меню!$J$8:$EZ$8,$B46,Меню!$J$118:$EZ$118)*Обложка!$H$15/60,SUMIF(Меню!$J$8:$EZ$8,$B46,Меню!$J$118:$EZ$118)/1000*Обложка!$H$15)</f>
        <v>0</v>
      </c>
      <c r="O46" s="212">
        <f>IF($B46="Яйцо (шт)",SUMIF(Меню!$J$8:$EZ$8,$B46,Меню!$J$133:$EZ$133)*Обложка!$H$16/60,SUMIF(Меню!$J$8:$EZ$8,$B46,Меню!$J$133:$EZ$133)/1000*Обложка!$H$16)</f>
        <v>0</v>
      </c>
      <c r="P46" s="212">
        <f>IF($B46="Яйцо (шт)",SUMIF(Меню!$J$8:$EZ$8,$B46,Меню!$J$146:$EZ$146)*Обложка!$H$17/60,SUMIF(Меню!$J$8:$EZ$8,$B46,Меню!$J$146:$EZ$146)/1000*Обложка!$H$17)</f>
        <v>0</v>
      </c>
      <c r="Q46" s="212">
        <f>IF($B46="Яйцо (шт)",SUMIF(Меню!$J$8:$EZ$8,$B46,Меню!$J$151:$EZ$151)*Обложка!$H$18/60,SUMIF(Меню!$J$8:$EZ$8,$B46,Меню!$J$151:$EZ$151)/1000*Обложка!$H$18)</f>
        <v>0</v>
      </c>
      <c r="R46" s="685">
        <f t="shared" si="2"/>
        <v>0</v>
      </c>
      <c r="S46" s="212">
        <f>IF($B46="Яйцо (шт)",SUMIF(Меню!$J$8:$EZ$8,$B46,Меню!$J$163:$EZ$163)*Обложка!$J$15/60,SUMIF(Меню!$J$8:$EZ$8,$B46,Меню!$J$163:$EZ$163)/1000*Обложка!$J$15)</f>
        <v>0</v>
      </c>
      <c r="T46" s="212">
        <f>IF($B46="Яйцо (шт)",SUMIF(Меню!$J$8:$EZ$8,$B46,Меню!$J$178:$EZ$178)*Обложка!$J$16/60,SUMIF(Меню!$J$8:$EZ$8,$B46,Меню!$J$178:$EZ$178)/1000*Обложка!$J$16)</f>
        <v>0</v>
      </c>
      <c r="U46" s="212">
        <f>IF($B46="Яйцо (шт)",SUMIF(Меню!$J$8:$EZ$8,$B46,Меню!$J$191:$EZ$191)*Обложка!$J$17/60,SUMIF(Меню!$J$8:$EZ$8,$B46,Меню!$J$191:$EZ$191)/1000*Обложка!$J$17)</f>
        <v>0</v>
      </c>
      <c r="V46" s="212">
        <f>IF($B46="Яйцо (шт)",SUMIF(Меню!$J$8:$EZ$8,$B46,Меню!$J$196:$EZ$196)*Обложка!$J$18/60,SUMIF(Меню!$J$8:$EZ$8,$B46,Меню!$J$196:$EZ$196)/1000*Обложка!$J$18)</f>
        <v>0</v>
      </c>
      <c r="W46" s="685">
        <f t="shared" si="3"/>
        <v>0</v>
      </c>
      <c r="X46" s="212">
        <f>IF($B46="Яйцо (шт)",SUMIF(Меню!$J$8:$EZ$8,$B46,Меню!$J$208:$EZ$208)*Обложка!$L$15/60,SUMIF(Меню!$J$8:$EZ$8,$B46,Меню!$J$208:$EZ$208)/1000*Обложка!$L$15)</f>
        <v>0</v>
      </c>
      <c r="Y46" s="212">
        <f>IF($B46="Яйцо (шт)",SUMIF(Меню!$J$8:$EZ$8,$B46,Меню!$J$223:$EZ$223)*Обложка!$L$16/60,SUMIF(Меню!$J$8:$EZ$8,$B46,Меню!$J$223:$EZ$223)/1000*Обложка!$J$16)</f>
        <v>0</v>
      </c>
      <c r="Z46" s="212">
        <f>IF($B46="Яйцо (шт)",SUMIF(Меню!$J$8:$EZ$8,$B46,Меню!$J$236:$EZ$236)*Обложка!$L$17/60,SUMIF(Меню!$J$8:$EZ$8,$B46,Меню!$J$236:$EZ$236)/1000*Обложка!$L$17)</f>
        <v>0</v>
      </c>
      <c r="AA46" s="212">
        <f>IF($B46="Яйцо (шт)",SUMIF(Меню!$J$8:$EZ$8,$B46,Меню!$J$241:$EZ$241)*Обложка!$L$18/60,SUMIF(Меню!$J$8:$EZ$8,$B46,Меню!$J$241:$EZ$241)/1000*Обложка!$L$18)</f>
        <v>0</v>
      </c>
      <c r="AB46" s="685">
        <f t="shared" si="4"/>
        <v>0</v>
      </c>
      <c r="AC46" s="212">
        <f>IF($B46="Яйцо (шт)",SUMIF(Меню!$J$8:$EZ$8,$B46,Меню!$J$253:$EZ$253)*Обложка!$N$15/60,SUMIF(Меню!$J$8:$EZ$8,$B46,Меню!$J$253:$EZ$253)/1000*Обложка!$N$15)</f>
        <v>0</v>
      </c>
      <c r="AD46" s="212">
        <f>IF($B46="Яйцо (шт)",SUMIF(Меню!$J$8:$EZ$8,$B46,Меню!$J$268:$EZ$268)*Обложка!$N$16/60,SUMIF(Меню!$J$8:$EZ$8,$B46,Меню!$J$268:$EZ$268)/1000*Обложка!$N$16)</f>
        <v>0</v>
      </c>
      <c r="AE46" s="212">
        <f>IF($B46="Яйцо (шт)",SUMIF(Меню!$J$8:$EZ$8,$B46,Меню!$J$281:$EZ$281)*Обложка!$N$17/60,SUMIF(Меню!$J$8:$EZ$8,$B46,Меню!$J$281:$EZ$281)/1000*Обложка!$N$17)</f>
        <v>0</v>
      </c>
      <c r="AF46" s="212">
        <f>IF($B46="Яйцо (шт)",SUMIF(Меню!$J$8:$EZ$8,$B46,Меню!$J$286:$EZ$286)*Обложка!$N$18/60,SUMIF(Меню!$J$8:$EZ$8,$B46,Меню!$J$286:$EZ$286)/1000*Обложка!$N$18)</f>
        <v>0</v>
      </c>
      <c r="AG46" s="685">
        <f t="shared" si="5"/>
        <v>0</v>
      </c>
      <c r="AH46" s="212">
        <f>IF($B46="Яйцо (шт)",SUMIF(Меню!$J$8:$EZ$8,$B46,Меню!$J$298:$EZ$298)*Обложка!$P$15/60,SUMIF(Меню!$J$8:$EZ$8,$B46,Меню!$J$298:$EZ$298)/1000*Обложка!$P$15)</f>
        <v>0</v>
      </c>
      <c r="AI46" s="212">
        <f>IF($B46="Яйцо (шт)",SUMIF(Меню!$J$8:$EZ$8,$BB46,Меню!$J$313:$EZ$313)*Обложка!$P$16/60,SUMIF(Меню!$J$8:$EZ$8,$B46,Меню!$J$313:$EZ$313)/1000*Обложка!$P$16)</f>
        <v>0</v>
      </c>
      <c r="AJ46" s="212">
        <f>IF($B46="Яйцо (шт)",SUMIF(Меню!$J$8:$EZ$8,$B46,Меню!$J$326:$EZ$326)*Обложка!$P$17/60,SUMIF(Меню!$J$8:$EZ$8,$B46,Меню!$J$326:$EZ$326)/1000*Обложка!$P$17)</f>
        <v>0</v>
      </c>
      <c r="AK46" s="212">
        <f>IF($B46="Яйцо (шт)",SUMIF(Меню!$J$8:$EZ$8,$B46,Меню!$J$331:$EZ$331)*Обложка!$P$18/60,SUMIF(Меню!$J$8:$EZ$8,$B46,Меню!$J$331:$EZ$331)/1000*Обложка!$P$18)</f>
        <v>0</v>
      </c>
      <c r="AL46" s="699">
        <f t="shared" si="6"/>
        <v>0</v>
      </c>
      <c r="AM46" s="685">
        <f t="shared" si="7"/>
        <v>0</v>
      </c>
    </row>
    <row r="47" spans="1:39" x14ac:dyDescent="0.25">
      <c r="A47" s="249">
        <f t="shared" si="8"/>
        <v>35</v>
      </c>
      <c r="B47" s="248" t="str">
        <f>инфо!D36</f>
        <v>Чеснок</v>
      </c>
      <c r="C47" s="694">
        <f>SUMIF(Меню!$J$8:$FD$8,$B47,Меню!$J$333:$FD$333)</f>
        <v>2.5</v>
      </c>
      <c r="D47" s="212">
        <f>IF($B47="Яйцо (шт)",SUMIF(Меню!$J$8:$FD$8,$B47,Меню!$J$28:$FD$28)*Обложка!$D$15/60,SUMIF(Меню!$J$8:$FD$8,$B47,Меню!$J$28:$FD$28)/1000*Обложка!$D$15)</f>
        <v>0</v>
      </c>
      <c r="E47" s="212">
        <f>IF($B47="Яйцо (шт)",SUMIF(Меню!$J$8:$FD$8,$B47,Меню!$J$43:$FD$43)*Обложка!$D$16/60,SUMIF(Меню!$J$8:$FD$8,$B47,Меню!$J$43:$FD$43)/1000*Обложка!$D$16)</f>
        <v>0</v>
      </c>
      <c r="F47" s="212">
        <f>IF($B47="Яйцо (шт)",SUMIF(Меню!$J$8:$FD$8,$B47,Меню!$J$56:$FD$56)*Обложка!$D$17/60,SUMIF(Меню!$J$8:$FD$8,$B47,Меню!$J$56:$FD$56)/1000*Обложка!$D$17)</f>
        <v>0</v>
      </c>
      <c r="G47" s="212">
        <f>IF($B47="Яйцо (шт)",SUMIF(Меню!$J$8:$FD$8,$B47,Меню!$J$61:$FD$61)*Обложка!$D$18/60,SUMIF(Меню!$J$8:$FD$8,$B47,Меню!$J$61:$FD$61)/1000*Обложка!$D$18)</f>
        <v>0</v>
      </c>
      <c r="H47" s="685">
        <f t="shared" si="0"/>
        <v>0</v>
      </c>
      <c r="I47" s="212">
        <f>IF($B47="Яйцо (шт)",SUMIF(Меню!$J$8:$FD$8,$B47,Меню!$J$73:$FD$73)*Обложка!$F$15/60,SUMIF(Меню!$J$8:$FD$8,$B47,Меню!$J$73:$FD$73)/1000*Обложка!$F$15)</f>
        <v>0</v>
      </c>
      <c r="J47" s="212">
        <f>IF($B47="Яйцо (шт)",SUMIF(Меню!$J$8:$FD$8,$B47,Меню!$J$88:$FD$88)*Обложка!$F$16/60,SUMIF(Меню!$J$8:$FD$8,$B47,Меню!$J$88:$FD$88)/1000*Обложка!$G$16)</f>
        <v>0</v>
      </c>
      <c r="K47" s="212">
        <f>IF($B47="Яйцо (шт)",SUMIF(Меню!$J$8:$FD$8,$B47,Меню!$J$101:$FD$101)*Обложка!$F$17/60,SUMIF(Меню!$J$8:$FD$8,$B47,Меню!$J$101:$FD$101)/1000*Обложка!$F$17)</f>
        <v>0</v>
      </c>
      <c r="L47" s="212">
        <f>IF($B47="Яйцо (шт)",SUMIF(Меню!$J$8:$FD$8,$B47,Меню!$J$106:$FD$106)*Обложка!$F$18/60,SUMIF(Меню!$J$8:$FD$8,$B47,Меню!$J$106:$FD$106)/1000*Обложка!$F$18)</f>
        <v>0</v>
      </c>
      <c r="M47" s="685">
        <f t="shared" si="1"/>
        <v>0</v>
      </c>
      <c r="N47" s="212">
        <f>IF($B47="Яйцо (шт)",SUMIF(Меню!$J$8:$EZ$8,$B47,Меню!$J$118:$EZ$118)*Обложка!$H$15/60,SUMIF(Меню!$J$8:$EZ$8,$B47,Меню!$J$118:$EZ$118)/1000*Обложка!$H$15)</f>
        <v>0</v>
      </c>
      <c r="O47" s="212">
        <f>IF($B47="Яйцо (шт)",SUMIF(Меню!$J$8:$EZ$8,$B47,Меню!$J$133:$EZ$133)*Обложка!$H$16/60,SUMIF(Меню!$J$8:$EZ$8,$B47,Меню!$J$133:$EZ$133)/1000*Обложка!$H$16)</f>
        <v>0</v>
      </c>
      <c r="P47" s="212">
        <f>IF($B47="Яйцо (шт)",SUMIF(Меню!$J$8:$EZ$8,$B47,Меню!$J$146:$EZ$146)*Обложка!$H$17/60,SUMIF(Меню!$J$8:$EZ$8,$B47,Меню!$J$146:$EZ$146)/1000*Обложка!$H$17)</f>
        <v>0</v>
      </c>
      <c r="Q47" s="212">
        <f>IF($B47="Яйцо (шт)",SUMIF(Меню!$J$8:$EZ$8,$B47,Меню!$J$151:$EZ$151)*Обложка!$H$18/60,SUMIF(Меню!$J$8:$EZ$8,$B47,Меню!$J$151:$EZ$151)/1000*Обложка!$H$18)</f>
        <v>0</v>
      </c>
      <c r="R47" s="685">
        <f t="shared" si="2"/>
        <v>0</v>
      </c>
      <c r="S47" s="212">
        <f>IF($B47="Яйцо (шт)",SUMIF(Меню!$J$8:$EZ$8,$B47,Меню!$J$163:$EZ$163)*Обложка!$J$15/60,SUMIF(Меню!$J$8:$EZ$8,$B47,Меню!$J$163:$EZ$163)/1000*Обложка!$J$15)</f>
        <v>0</v>
      </c>
      <c r="T47" s="212">
        <f>IF($B47="Яйцо (шт)",SUMIF(Меню!$J$8:$EZ$8,$B47,Меню!$J$178:$EZ$178)*Обложка!$J$16/60,SUMIF(Меню!$J$8:$EZ$8,$B47,Меню!$J$178:$EZ$178)/1000*Обложка!$J$16)</f>
        <v>0</v>
      </c>
      <c r="U47" s="212">
        <f>IF($B47="Яйцо (шт)",SUMIF(Меню!$J$8:$EZ$8,$B47,Меню!$J$191:$EZ$191)*Обложка!$J$17/60,SUMIF(Меню!$J$8:$EZ$8,$B47,Меню!$J$191:$EZ$191)/1000*Обложка!$J$17)</f>
        <v>0</v>
      </c>
      <c r="V47" s="212">
        <f>IF($B47="Яйцо (шт)",SUMIF(Меню!$J$8:$EZ$8,$B47,Меню!$J$196:$EZ$196)*Обложка!$J$18/60,SUMIF(Меню!$J$8:$EZ$8,$B47,Меню!$J$196:$EZ$196)/1000*Обложка!$J$18)</f>
        <v>0</v>
      </c>
      <c r="W47" s="685">
        <f t="shared" si="3"/>
        <v>0</v>
      </c>
      <c r="X47" s="212">
        <f>IF($B47="Яйцо (шт)",SUMIF(Меню!$J$8:$EZ$8,$B47,Меню!$J$208:$EZ$208)*Обложка!$L$15/60,SUMIF(Меню!$J$8:$EZ$8,$B47,Меню!$J$208:$EZ$208)/1000*Обложка!$L$15)</f>
        <v>0</v>
      </c>
      <c r="Y47" s="212">
        <f>IF($B47="Яйцо (шт)",SUMIF(Меню!$J$8:$EZ$8,$B47,Меню!$J$223:$EZ$223)*Обложка!$L$16/60,SUMIF(Меню!$J$8:$EZ$8,$B47,Меню!$J$223:$EZ$223)/1000*Обложка!$J$16)</f>
        <v>0.25</v>
      </c>
      <c r="Z47" s="212">
        <f>IF($B47="Яйцо (шт)",SUMIF(Меню!$J$8:$EZ$8,$B47,Меню!$J$236:$EZ$236)*Обложка!$L$17/60,SUMIF(Меню!$J$8:$EZ$8,$B47,Меню!$J$236:$EZ$236)/1000*Обложка!$L$17)</f>
        <v>0</v>
      </c>
      <c r="AA47" s="212">
        <f>IF($B47="Яйцо (шт)",SUMIF(Меню!$J$8:$EZ$8,$B47,Меню!$J$241:$EZ$241)*Обложка!$L$18/60,SUMIF(Меню!$J$8:$EZ$8,$B47,Меню!$J$241:$EZ$241)/1000*Обложка!$L$18)</f>
        <v>0</v>
      </c>
      <c r="AB47" s="685">
        <f t="shared" si="4"/>
        <v>0.25</v>
      </c>
      <c r="AC47" s="212">
        <f>IF($B47="Яйцо (шт)",SUMIF(Меню!$J$8:$EZ$8,$B47,Меню!$J$253:$EZ$253)*Обложка!$N$15/60,SUMIF(Меню!$J$8:$EZ$8,$B47,Меню!$J$253:$EZ$253)/1000*Обложка!$N$15)</f>
        <v>0</v>
      </c>
      <c r="AD47" s="212">
        <f>IF($B47="Яйцо (шт)",SUMIF(Меню!$J$8:$EZ$8,$B47,Меню!$J$268:$EZ$268)*Обложка!$N$16/60,SUMIF(Меню!$J$8:$EZ$8,$B47,Меню!$J$268:$EZ$268)/1000*Обложка!$N$16)</f>
        <v>0</v>
      </c>
      <c r="AE47" s="212">
        <f>IF($B47="Яйцо (шт)",SUMIF(Меню!$J$8:$EZ$8,$B47,Меню!$J$281:$EZ$281)*Обложка!$N$17/60,SUMIF(Меню!$J$8:$EZ$8,$B47,Меню!$J$281:$EZ$281)/1000*Обложка!$N$17)</f>
        <v>0</v>
      </c>
      <c r="AF47" s="212">
        <f>IF($B47="Яйцо (шт)",SUMIF(Меню!$J$8:$EZ$8,$B47,Меню!$J$286:$EZ$286)*Обложка!$N$18/60,SUMIF(Меню!$J$8:$EZ$8,$B47,Меню!$J$286:$EZ$286)/1000*Обложка!$N$18)</f>
        <v>0</v>
      </c>
      <c r="AG47" s="685">
        <f t="shared" si="5"/>
        <v>0</v>
      </c>
      <c r="AH47" s="212">
        <f>IF($B47="Яйцо (шт)",SUMIF(Меню!$J$8:$EZ$8,$B47,Меню!$J$298:$EZ$298)*Обложка!$P$15/60,SUMIF(Меню!$J$8:$EZ$8,$B47,Меню!$J$298:$EZ$298)/1000*Обложка!$P$15)</f>
        <v>0</v>
      </c>
      <c r="AI47" s="212">
        <f>IF($B47="Яйцо (шт)",SUMIF(Меню!$J$8:$EZ$8,$BB47,Меню!$J$313:$EZ$313)*Обложка!$P$16/60,SUMIF(Меню!$J$8:$EZ$8,$B47,Меню!$J$313:$EZ$313)/1000*Обложка!$P$16)</f>
        <v>0</v>
      </c>
      <c r="AJ47" s="212">
        <f>IF($B47="Яйцо (шт)",SUMIF(Меню!$J$8:$EZ$8,$B47,Меню!$J$326:$EZ$326)*Обложка!$P$17/60,SUMIF(Меню!$J$8:$EZ$8,$B47,Меню!$J$326:$EZ$326)/1000*Обложка!$P$17)</f>
        <v>0</v>
      </c>
      <c r="AK47" s="212">
        <f>IF($B47="Яйцо (шт)",SUMIF(Меню!$J$8:$EZ$8,$B47,Меню!$J$331:$EZ$331)*Обложка!$P$18/60,SUMIF(Меню!$J$8:$EZ$8,$B47,Меню!$J$331:$EZ$331)/1000*Обложка!$P$18)</f>
        <v>0</v>
      </c>
      <c r="AL47" s="699">
        <f t="shared" si="6"/>
        <v>0</v>
      </c>
      <c r="AM47" s="685">
        <f t="shared" si="7"/>
        <v>0.25</v>
      </c>
    </row>
    <row r="48" spans="1:39" x14ac:dyDescent="0.25">
      <c r="A48" s="249">
        <f t="shared" si="8"/>
        <v>36</v>
      </c>
      <c r="B48" s="248" t="str">
        <f>инфо!D37</f>
        <v>Горошек консерв.</v>
      </c>
      <c r="C48" s="694">
        <f>SUMIF(Меню!$J$8:$FD$8,$B48,Меню!$J$333:$FD$333)</f>
        <v>40</v>
      </c>
      <c r="D48" s="212">
        <f>IF($B48="Яйцо (шт)",SUMIF(Меню!$J$8:$FD$8,$B48,Меню!$J$28:$FD$28)*Обложка!$D$15/60,SUMIF(Меню!$J$8:$FD$8,$B48,Меню!$J$28:$FD$28)/1000*Обложка!$D$15)</f>
        <v>2.44</v>
      </c>
      <c r="E48" s="212">
        <f>IF($B48="Яйцо (шт)",SUMIF(Меню!$J$8:$FD$8,$B48,Меню!$J$43:$FD$43)*Обложка!$D$16/60,SUMIF(Меню!$J$8:$FD$8,$B48,Меню!$J$43:$FD$43)/1000*Обложка!$D$16)</f>
        <v>0</v>
      </c>
      <c r="F48" s="212">
        <f>IF($B48="Яйцо (шт)",SUMIF(Меню!$J$8:$FD$8,$B48,Меню!$J$56:$FD$56)*Обложка!$D$17/60,SUMIF(Меню!$J$8:$FD$8,$B48,Меню!$J$56:$FD$56)/1000*Обложка!$D$17)</f>
        <v>0</v>
      </c>
      <c r="G48" s="212">
        <f>IF($B48="Яйцо (шт)",SUMIF(Меню!$J$8:$FD$8,$B48,Меню!$J$61:$FD$61)*Обложка!$D$18/60,SUMIF(Меню!$J$8:$FD$8,$B48,Меню!$J$61:$FD$61)/1000*Обложка!$D$18)</f>
        <v>0</v>
      </c>
      <c r="H48" s="685">
        <f t="shared" si="0"/>
        <v>2.44</v>
      </c>
      <c r="I48" s="212">
        <f>IF($B48="Яйцо (шт)",SUMIF(Меню!$J$8:$FD$8,$B48,Меню!$J$73:$FD$73)*Обложка!$F$15/60,SUMIF(Меню!$J$8:$FD$8,$B48,Меню!$J$73:$FD$73)/1000*Обложка!$F$15)</f>
        <v>0</v>
      </c>
      <c r="J48" s="212">
        <f>IF($B48="Яйцо (шт)",SUMIF(Меню!$J$8:$FD$8,$B48,Меню!$J$88:$FD$88)*Обложка!$F$16/60,SUMIF(Меню!$J$8:$FD$8,$B48,Меню!$J$88:$FD$88)/1000*Обложка!$G$16)</f>
        <v>0</v>
      </c>
      <c r="K48" s="212">
        <f>IF($B48="Яйцо (шт)",SUMIF(Меню!$J$8:$FD$8,$B48,Меню!$J$101:$FD$101)*Обложка!$F$17/60,SUMIF(Меню!$J$8:$FD$8,$B48,Меню!$J$101:$FD$101)/1000*Обложка!$F$17)</f>
        <v>0</v>
      </c>
      <c r="L48" s="212">
        <f>IF($B48="Яйцо (шт)",SUMIF(Меню!$J$8:$FD$8,$B48,Меню!$J$106:$FD$106)*Обложка!$F$18/60,SUMIF(Меню!$J$8:$FD$8,$B48,Меню!$J$106:$FD$106)/1000*Обложка!$F$18)</f>
        <v>0</v>
      </c>
      <c r="M48" s="685">
        <f t="shared" si="1"/>
        <v>0</v>
      </c>
      <c r="N48" s="212">
        <f>IF($B48="Яйцо (шт)",SUMIF(Меню!$J$8:$EZ$8,$B48,Меню!$J$118:$EZ$118)*Обложка!$H$15/60,SUMIF(Меню!$J$8:$EZ$8,$B48,Меню!$J$118:$EZ$118)/1000*Обложка!$H$15)</f>
        <v>0</v>
      </c>
      <c r="O48" s="212">
        <f>IF($B48="Яйцо (шт)",SUMIF(Меню!$J$8:$EZ$8,$B48,Меню!$J$133:$EZ$133)*Обложка!$H$16/60,SUMIF(Меню!$J$8:$EZ$8,$B48,Меню!$J$133:$EZ$133)/1000*Обложка!$H$16)</f>
        <v>0</v>
      </c>
      <c r="P48" s="212">
        <f>IF($B48="Яйцо (шт)",SUMIF(Меню!$J$8:$EZ$8,$B48,Меню!$J$146:$EZ$146)*Обложка!$H$17/60,SUMIF(Меню!$J$8:$EZ$8,$B48,Меню!$J$146:$EZ$146)/1000*Обложка!$H$17)</f>
        <v>0</v>
      </c>
      <c r="Q48" s="212">
        <f>IF($B48="Яйцо (шт)",SUMIF(Меню!$J$8:$EZ$8,$B48,Меню!$J$151:$EZ$151)*Обложка!$H$18/60,SUMIF(Меню!$J$8:$EZ$8,$B48,Меню!$J$151:$EZ$151)/1000*Обложка!$H$18)</f>
        <v>0</v>
      </c>
      <c r="R48" s="685">
        <f t="shared" si="2"/>
        <v>0</v>
      </c>
      <c r="S48" s="212">
        <f>IF($B48="Яйцо (шт)",SUMIF(Меню!$J$8:$EZ$8,$B48,Меню!$J$163:$EZ$163)*Обложка!$J$15/60,SUMIF(Меню!$J$8:$EZ$8,$B48,Меню!$J$163:$EZ$163)/1000*Обложка!$J$15)</f>
        <v>2.1</v>
      </c>
      <c r="T48" s="212">
        <f>IF($B48="Яйцо (шт)",SUMIF(Меню!$J$8:$EZ$8,$B48,Меню!$J$178:$EZ$178)*Обложка!$J$16/60,SUMIF(Меню!$J$8:$EZ$8,$B48,Меню!$J$178:$EZ$178)/1000*Обложка!$J$16)</f>
        <v>0</v>
      </c>
      <c r="U48" s="212">
        <f>IF($B48="Яйцо (шт)",SUMIF(Меню!$J$8:$EZ$8,$B48,Меню!$J$191:$EZ$191)*Обложка!$J$17/60,SUMIF(Меню!$J$8:$EZ$8,$B48,Меню!$J$191:$EZ$191)/1000*Обложка!$J$17)</f>
        <v>0</v>
      </c>
      <c r="V48" s="212">
        <f>IF($B48="Яйцо (шт)",SUMIF(Меню!$J$8:$EZ$8,$B48,Меню!$J$196:$EZ$196)*Обложка!$J$18/60,SUMIF(Меню!$J$8:$EZ$8,$B48,Меню!$J$196:$EZ$196)/1000*Обложка!$J$18)</f>
        <v>0</v>
      </c>
      <c r="W48" s="685">
        <f t="shared" si="3"/>
        <v>2.1</v>
      </c>
      <c r="X48" s="212">
        <f>IF($B48="Яйцо (шт)",SUMIF(Меню!$J$8:$EZ$8,$B48,Меню!$J$208:$EZ$208)*Обложка!$L$15/60,SUMIF(Меню!$J$8:$EZ$8,$B48,Меню!$J$208:$EZ$208)/1000*Обложка!$L$15)</f>
        <v>0</v>
      </c>
      <c r="Y48" s="212">
        <f>IF($B48="Яйцо (шт)",SUMIF(Меню!$J$8:$EZ$8,$B48,Меню!$J$223:$EZ$223)*Обложка!$L$16/60,SUMIF(Меню!$J$8:$EZ$8,$B48,Меню!$J$223:$EZ$223)/1000*Обложка!$J$16)</f>
        <v>0</v>
      </c>
      <c r="Z48" s="212">
        <f>IF($B48="Яйцо (шт)",SUMIF(Меню!$J$8:$EZ$8,$B48,Меню!$J$236:$EZ$236)*Обложка!$L$17/60,SUMIF(Меню!$J$8:$EZ$8,$B48,Меню!$J$236:$EZ$236)/1000*Обложка!$L$17)</f>
        <v>0</v>
      </c>
      <c r="AA48" s="212">
        <f>IF($B48="Яйцо (шт)",SUMIF(Меню!$J$8:$EZ$8,$B48,Меню!$J$241:$EZ$241)*Обложка!$L$18/60,SUMIF(Меню!$J$8:$EZ$8,$B48,Меню!$J$241:$EZ$241)/1000*Обложка!$L$18)</f>
        <v>0</v>
      </c>
      <c r="AB48" s="685">
        <f t="shared" si="4"/>
        <v>0</v>
      </c>
      <c r="AC48" s="212">
        <f>IF($B48="Яйцо (шт)",SUMIF(Меню!$J$8:$EZ$8,$B48,Меню!$J$253:$EZ$253)*Обложка!$N$15/60,SUMIF(Меню!$J$8:$EZ$8,$B48,Меню!$J$253:$EZ$253)/1000*Обложка!$N$15)</f>
        <v>0</v>
      </c>
      <c r="AD48" s="212">
        <f>IF($B48="Яйцо (шт)",SUMIF(Меню!$J$8:$EZ$8,$B48,Меню!$J$268:$EZ$268)*Обложка!$N$16/60,SUMIF(Меню!$J$8:$EZ$8,$B48,Меню!$J$268:$EZ$268)/1000*Обложка!$N$16)</f>
        <v>0</v>
      </c>
      <c r="AE48" s="212">
        <f>IF($B48="Яйцо (шт)",SUMIF(Меню!$J$8:$EZ$8,$B48,Меню!$J$281:$EZ$281)*Обложка!$N$17/60,SUMIF(Меню!$J$8:$EZ$8,$B48,Меню!$J$281:$EZ$281)/1000*Обложка!$N$17)</f>
        <v>0</v>
      </c>
      <c r="AF48" s="212">
        <f>IF($B48="Яйцо (шт)",SUMIF(Меню!$J$8:$EZ$8,$B48,Меню!$J$286:$EZ$286)*Обложка!$N$18/60,SUMIF(Меню!$J$8:$EZ$8,$B48,Меню!$J$286:$EZ$286)/1000*Обложка!$N$18)</f>
        <v>0</v>
      </c>
      <c r="AG48" s="685">
        <f t="shared" si="5"/>
        <v>0</v>
      </c>
      <c r="AH48" s="212">
        <f>IF($B48="Яйцо (шт)",SUMIF(Меню!$J$8:$EZ$8,$B48,Меню!$J$298:$EZ$298)*Обложка!$P$15/60,SUMIF(Меню!$J$8:$EZ$8,$B48,Меню!$J$298:$EZ$298)/1000*Обложка!$P$15)</f>
        <v>0</v>
      </c>
      <c r="AI48" s="212">
        <f>IF($B48="Яйцо (шт)",SUMIF(Меню!$J$8:$EZ$8,$BB48,Меню!$J$313:$EZ$313)*Обложка!$P$16/60,SUMIF(Меню!$J$8:$EZ$8,$B48,Меню!$J$313:$EZ$313)/1000*Обложка!$P$16)</f>
        <v>0</v>
      </c>
      <c r="AJ48" s="212">
        <f>IF($B48="Яйцо (шт)",SUMIF(Меню!$J$8:$EZ$8,$B48,Меню!$J$326:$EZ$326)*Обложка!$P$17/60,SUMIF(Меню!$J$8:$EZ$8,$B48,Меню!$J$326:$EZ$326)/1000*Обложка!$P$17)</f>
        <v>0</v>
      </c>
      <c r="AK48" s="212">
        <f>IF($B48="Яйцо (шт)",SUMIF(Меню!$J$8:$EZ$8,$B48,Меню!$J$331:$EZ$331)*Обложка!$P$18/60,SUMIF(Меню!$J$8:$EZ$8,$B48,Меню!$J$331:$EZ$331)/1000*Обложка!$P$18)</f>
        <v>0</v>
      </c>
      <c r="AL48" s="699">
        <f t="shared" si="6"/>
        <v>0</v>
      </c>
      <c r="AM48" s="685">
        <f t="shared" si="7"/>
        <v>4.54</v>
      </c>
    </row>
    <row r="49" spans="1:39" x14ac:dyDescent="0.25">
      <c r="A49" s="249">
        <f t="shared" si="8"/>
        <v>37</v>
      </c>
      <c r="B49" s="248" t="str">
        <f>инфо!D38</f>
        <v>Кукуруза консерв.</v>
      </c>
      <c r="C49" s="694">
        <f>SUMIF(Меню!$J$8:$FD$8,$B49,Меню!$J$333:$FD$333)</f>
        <v>0</v>
      </c>
      <c r="D49" s="212">
        <f>IF($B49="Яйцо (шт)",SUMIF(Меню!$J$8:$FD$8,$B49,Меню!$J$28:$FD$28)*Обложка!$D$15/60,SUMIF(Меню!$J$8:$FD$8,$B49,Меню!$J$28:$FD$28)/1000*Обложка!$D$15)</f>
        <v>0</v>
      </c>
      <c r="E49" s="212">
        <f>IF($B49="Яйцо (шт)",SUMIF(Меню!$J$8:$FD$8,$B49,Меню!$J$43:$FD$43)*Обложка!$D$16/60,SUMIF(Меню!$J$8:$FD$8,$B49,Меню!$J$43:$FD$43)/1000*Обложка!$D$16)</f>
        <v>0</v>
      </c>
      <c r="F49" s="212">
        <f>IF($B49="Яйцо (шт)",SUMIF(Меню!$J$8:$FD$8,$B49,Меню!$J$56:$FD$56)*Обложка!$D$17/60,SUMIF(Меню!$J$8:$FD$8,$B49,Меню!$J$56:$FD$56)/1000*Обложка!$D$17)</f>
        <v>0</v>
      </c>
      <c r="G49" s="212">
        <f>IF($B49="Яйцо (шт)",SUMIF(Меню!$J$8:$FD$8,$B49,Меню!$J$61:$FD$61)*Обложка!$D$18/60,SUMIF(Меню!$J$8:$FD$8,$B49,Меню!$J$61:$FD$61)/1000*Обложка!$D$18)</f>
        <v>0</v>
      </c>
      <c r="H49" s="685">
        <f t="shared" si="0"/>
        <v>0</v>
      </c>
      <c r="I49" s="212">
        <f>IF($B49="Яйцо (шт)",SUMIF(Меню!$J$8:$FD$8,$B49,Меню!$J$73:$FD$73)*Обложка!$F$15/60,SUMIF(Меню!$J$8:$FD$8,$B49,Меню!$J$73:$FD$73)/1000*Обложка!$F$15)</f>
        <v>0</v>
      </c>
      <c r="J49" s="212">
        <f>IF($B49="Яйцо (шт)",SUMIF(Меню!$J$8:$FD$8,$B49,Меню!$J$88:$FD$88)*Обложка!$F$16/60,SUMIF(Меню!$J$8:$FD$8,$B49,Меню!$J$88:$FD$88)/1000*Обложка!$G$16)</f>
        <v>0</v>
      </c>
      <c r="K49" s="212">
        <f>IF($B49="Яйцо (шт)",SUMIF(Меню!$J$8:$FD$8,$B49,Меню!$J$101:$FD$101)*Обложка!$F$17/60,SUMIF(Меню!$J$8:$FD$8,$B49,Меню!$J$101:$FD$101)/1000*Обложка!$F$17)</f>
        <v>0</v>
      </c>
      <c r="L49" s="212">
        <f>IF($B49="Яйцо (шт)",SUMIF(Меню!$J$8:$FD$8,$B49,Меню!$J$106:$FD$106)*Обложка!$F$18/60,SUMIF(Меню!$J$8:$FD$8,$B49,Меню!$J$106:$FD$106)/1000*Обложка!$F$18)</f>
        <v>0</v>
      </c>
      <c r="M49" s="685">
        <f t="shared" si="1"/>
        <v>0</v>
      </c>
      <c r="N49" s="212">
        <f>IF($B49="Яйцо (шт)",SUMIF(Меню!$J$8:$EZ$8,$B49,Меню!$J$118:$EZ$118)*Обложка!$H$15/60,SUMIF(Меню!$J$8:$EZ$8,$B49,Меню!$J$118:$EZ$118)/1000*Обложка!$H$15)</f>
        <v>0</v>
      </c>
      <c r="O49" s="212">
        <f>IF($B49="Яйцо (шт)",SUMIF(Меню!$J$8:$EZ$8,$B49,Меню!$J$133:$EZ$133)*Обложка!$H$16/60,SUMIF(Меню!$J$8:$EZ$8,$B49,Меню!$J$133:$EZ$133)/1000*Обложка!$H$16)</f>
        <v>0</v>
      </c>
      <c r="P49" s="212">
        <f>IF($B49="Яйцо (шт)",SUMIF(Меню!$J$8:$EZ$8,$B49,Меню!$J$146:$EZ$146)*Обложка!$H$17/60,SUMIF(Меню!$J$8:$EZ$8,$B49,Меню!$J$146:$EZ$146)/1000*Обложка!$H$17)</f>
        <v>0</v>
      </c>
      <c r="Q49" s="212">
        <f>IF($B49="Яйцо (шт)",SUMIF(Меню!$J$8:$EZ$8,$B49,Меню!$J$151:$EZ$151)*Обложка!$H$18/60,SUMIF(Меню!$J$8:$EZ$8,$B49,Меню!$J$151:$EZ$151)/1000*Обложка!$H$18)</f>
        <v>0</v>
      </c>
      <c r="R49" s="685">
        <f t="shared" si="2"/>
        <v>0</v>
      </c>
      <c r="S49" s="212">
        <f>IF($B49="Яйцо (шт)",SUMIF(Меню!$J$8:$EZ$8,$B49,Меню!$J$163:$EZ$163)*Обложка!$J$15/60,SUMIF(Меню!$J$8:$EZ$8,$B49,Меню!$J$163:$EZ$163)/1000*Обложка!$J$15)</f>
        <v>0</v>
      </c>
      <c r="T49" s="212">
        <f>IF($B49="Яйцо (шт)",SUMIF(Меню!$J$8:$EZ$8,$B49,Меню!$J$178:$EZ$178)*Обложка!$J$16/60,SUMIF(Меню!$J$8:$EZ$8,$B49,Меню!$J$178:$EZ$178)/1000*Обложка!$J$16)</f>
        <v>0</v>
      </c>
      <c r="U49" s="212">
        <f>IF($B49="Яйцо (шт)",SUMIF(Меню!$J$8:$EZ$8,$B49,Меню!$J$191:$EZ$191)*Обложка!$J$17/60,SUMIF(Меню!$J$8:$EZ$8,$B49,Меню!$J$191:$EZ$191)/1000*Обложка!$J$17)</f>
        <v>0</v>
      </c>
      <c r="V49" s="212">
        <f>IF($B49="Яйцо (шт)",SUMIF(Меню!$J$8:$EZ$8,$B49,Меню!$J$196:$EZ$196)*Обложка!$J$18/60,SUMIF(Меню!$J$8:$EZ$8,$B49,Меню!$J$196:$EZ$196)/1000*Обложка!$J$18)</f>
        <v>0</v>
      </c>
      <c r="W49" s="685">
        <f t="shared" si="3"/>
        <v>0</v>
      </c>
      <c r="X49" s="212">
        <f>IF($B49="Яйцо (шт)",SUMIF(Меню!$J$8:$EZ$8,$B49,Меню!$J$208:$EZ$208)*Обложка!$L$15/60,SUMIF(Меню!$J$8:$EZ$8,$B49,Меню!$J$208:$EZ$208)/1000*Обложка!$L$15)</f>
        <v>0</v>
      </c>
      <c r="Y49" s="212">
        <f>IF($B49="Яйцо (шт)",SUMIF(Меню!$J$8:$EZ$8,$B49,Меню!$J$223:$EZ$223)*Обложка!$L$16/60,SUMIF(Меню!$J$8:$EZ$8,$B49,Меню!$J$223:$EZ$223)/1000*Обложка!$J$16)</f>
        <v>0</v>
      </c>
      <c r="Z49" s="212">
        <f>IF($B49="Яйцо (шт)",SUMIF(Меню!$J$8:$EZ$8,$B49,Меню!$J$236:$EZ$236)*Обложка!$L$17/60,SUMIF(Меню!$J$8:$EZ$8,$B49,Меню!$J$236:$EZ$236)/1000*Обложка!$L$17)</f>
        <v>0</v>
      </c>
      <c r="AA49" s="212">
        <f>IF($B49="Яйцо (шт)",SUMIF(Меню!$J$8:$EZ$8,$B49,Меню!$J$241:$EZ$241)*Обложка!$L$18/60,SUMIF(Меню!$J$8:$EZ$8,$B49,Меню!$J$241:$EZ$241)/1000*Обложка!$L$18)</f>
        <v>0</v>
      </c>
      <c r="AB49" s="685">
        <f t="shared" si="4"/>
        <v>0</v>
      </c>
      <c r="AC49" s="212">
        <f>IF($B49="Яйцо (шт)",SUMIF(Меню!$J$8:$EZ$8,$B49,Меню!$J$253:$EZ$253)*Обложка!$N$15/60,SUMIF(Меню!$J$8:$EZ$8,$B49,Меню!$J$253:$EZ$253)/1000*Обложка!$N$15)</f>
        <v>0</v>
      </c>
      <c r="AD49" s="212">
        <f>IF($B49="Яйцо (шт)",SUMIF(Меню!$J$8:$EZ$8,$B49,Меню!$J$268:$EZ$268)*Обложка!$N$16/60,SUMIF(Меню!$J$8:$EZ$8,$B49,Меню!$J$268:$EZ$268)/1000*Обложка!$N$16)</f>
        <v>0</v>
      </c>
      <c r="AE49" s="212">
        <f>IF($B49="Яйцо (шт)",SUMIF(Меню!$J$8:$EZ$8,$B49,Меню!$J$281:$EZ$281)*Обложка!$N$17/60,SUMIF(Меню!$J$8:$EZ$8,$B49,Меню!$J$281:$EZ$281)/1000*Обложка!$N$17)</f>
        <v>0</v>
      </c>
      <c r="AF49" s="212">
        <f>IF($B49="Яйцо (шт)",SUMIF(Меню!$J$8:$EZ$8,$B49,Меню!$J$286:$EZ$286)*Обложка!$N$18/60,SUMIF(Меню!$J$8:$EZ$8,$B49,Меню!$J$286:$EZ$286)/1000*Обложка!$N$18)</f>
        <v>0</v>
      </c>
      <c r="AG49" s="685">
        <f t="shared" si="5"/>
        <v>0</v>
      </c>
      <c r="AH49" s="212">
        <f>IF($B49="Яйцо (шт)",SUMIF(Меню!$J$8:$EZ$8,$B49,Меню!$J$298:$EZ$298)*Обложка!$P$15/60,SUMIF(Меню!$J$8:$EZ$8,$B49,Меню!$J$298:$EZ$298)/1000*Обложка!$P$15)</f>
        <v>0</v>
      </c>
      <c r="AI49" s="212">
        <f>IF($B49="Яйцо (шт)",SUMIF(Меню!$J$8:$EZ$8,$BB49,Меню!$J$313:$EZ$313)*Обложка!$P$16/60,SUMIF(Меню!$J$8:$EZ$8,$B49,Меню!$J$313:$EZ$313)/1000*Обложка!$P$16)</f>
        <v>0</v>
      </c>
      <c r="AJ49" s="212">
        <f>IF($B49="Яйцо (шт)",SUMIF(Меню!$J$8:$EZ$8,$B49,Меню!$J$326:$EZ$326)*Обложка!$P$17/60,SUMIF(Меню!$J$8:$EZ$8,$B49,Меню!$J$326:$EZ$326)/1000*Обложка!$P$17)</f>
        <v>0</v>
      </c>
      <c r="AK49" s="212">
        <f>IF($B49="Яйцо (шт)",SUMIF(Меню!$J$8:$EZ$8,$B49,Меню!$J$331:$EZ$331)*Обложка!$P$18/60,SUMIF(Меню!$J$8:$EZ$8,$B49,Меню!$J$331:$EZ$331)/1000*Обложка!$P$18)</f>
        <v>0</v>
      </c>
      <c r="AL49" s="699">
        <f t="shared" si="6"/>
        <v>0</v>
      </c>
      <c r="AM49" s="685">
        <f t="shared" si="7"/>
        <v>0</v>
      </c>
    </row>
    <row r="50" spans="1:39" x14ac:dyDescent="0.25">
      <c r="A50" s="249">
        <f t="shared" si="8"/>
        <v>38</v>
      </c>
      <c r="B50" s="248" t="str">
        <f>инфо!D39</f>
        <v>Фасоль консерв.</v>
      </c>
      <c r="C50" s="694">
        <f>SUMIF(Меню!$J$8:$FD$8,$B50,Меню!$J$333:$FD$333)</f>
        <v>120</v>
      </c>
      <c r="D50" s="212">
        <f>IF($B50="Яйцо (шт)",SUMIF(Меню!$J$8:$FD$8,$B50,Меню!$J$28:$FD$28)*Обложка!$D$15/60,SUMIF(Меню!$J$8:$FD$8,$B50,Меню!$J$28:$FD$28)/1000*Обложка!$D$15)</f>
        <v>0</v>
      </c>
      <c r="E50" s="212">
        <f>IF($B50="Яйцо (шт)",SUMIF(Меню!$J$8:$FD$8,$B50,Меню!$J$43:$FD$43)*Обложка!$D$16/60,SUMIF(Меню!$J$8:$FD$8,$B50,Меню!$J$43:$FD$43)/1000*Обложка!$D$16)</f>
        <v>0</v>
      </c>
      <c r="F50" s="212">
        <f>IF($B50="Яйцо (шт)",SUMIF(Меню!$J$8:$FD$8,$B50,Меню!$J$56:$FD$56)*Обложка!$D$17/60,SUMIF(Меню!$J$8:$FD$8,$B50,Меню!$J$56:$FD$56)/1000*Обложка!$D$17)</f>
        <v>0</v>
      </c>
      <c r="G50" s="212">
        <f>IF($B50="Яйцо (шт)",SUMIF(Меню!$J$8:$FD$8,$B50,Меню!$J$61:$FD$61)*Обложка!$D$18/60,SUMIF(Меню!$J$8:$FD$8,$B50,Меню!$J$61:$FD$61)/1000*Обложка!$D$18)</f>
        <v>0</v>
      </c>
      <c r="H50" s="685">
        <f t="shared" si="0"/>
        <v>0</v>
      </c>
      <c r="I50" s="212">
        <f>IF($B50="Яйцо (шт)",SUMIF(Меню!$J$8:$FD$8,$B50,Меню!$J$73:$FD$73)*Обложка!$F$15/60,SUMIF(Меню!$J$8:$FD$8,$B50,Меню!$J$73:$FD$73)/1000*Обложка!$F$15)</f>
        <v>0</v>
      </c>
      <c r="J50" s="212">
        <f>IF($B50="Яйцо (шт)",SUMIF(Меню!$J$8:$FD$8,$B50,Меню!$J$88:$FD$88)*Обложка!$F$16/60,SUMIF(Меню!$J$8:$FD$8,$B50,Меню!$J$88:$FD$88)/1000*Обложка!$G$16)</f>
        <v>0</v>
      </c>
      <c r="K50" s="212">
        <f>IF($B50="Яйцо (шт)",SUMIF(Меню!$J$8:$FD$8,$B50,Меню!$J$101:$FD$101)*Обложка!$F$17/60,SUMIF(Меню!$J$8:$FD$8,$B50,Меню!$J$101:$FD$101)/1000*Обложка!$F$17)</f>
        <v>2.6</v>
      </c>
      <c r="L50" s="212">
        <f>IF($B50="Яйцо (шт)",SUMIF(Меню!$J$8:$FD$8,$B50,Меню!$J$106:$FD$106)*Обложка!$F$18/60,SUMIF(Меню!$J$8:$FD$8,$B50,Меню!$J$106:$FD$106)/1000*Обложка!$F$18)</f>
        <v>0</v>
      </c>
      <c r="M50" s="685">
        <f t="shared" si="1"/>
        <v>2.6</v>
      </c>
      <c r="N50" s="212">
        <f>IF($B50="Яйцо (шт)",SUMIF(Меню!$J$8:$EZ$8,$B50,Меню!$J$118:$EZ$118)*Обложка!$H$15/60,SUMIF(Меню!$J$8:$EZ$8,$B50,Меню!$J$118:$EZ$118)/1000*Обложка!$H$15)</f>
        <v>2.3000000000000003</v>
      </c>
      <c r="O50" s="212">
        <f>IF($B50="Яйцо (шт)",SUMIF(Меню!$J$8:$EZ$8,$B50,Меню!$J$133:$EZ$133)*Обложка!$H$16/60,SUMIF(Меню!$J$8:$EZ$8,$B50,Меню!$J$133:$EZ$133)/1000*Обложка!$H$16)</f>
        <v>0</v>
      </c>
      <c r="P50" s="212">
        <f>IF($B50="Яйцо (шт)",SUMIF(Меню!$J$8:$EZ$8,$B50,Меню!$J$146:$EZ$146)*Обложка!$H$17/60,SUMIF(Меню!$J$8:$EZ$8,$B50,Меню!$J$146:$EZ$146)/1000*Обложка!$H$17)</f>
        <v>0</v>
      </c>
      <c r="Q50" s="212">
        <f>IF($B50="Яйцо (шт)",SUMIF(Меню!$J$8:$EZ$8,$B50,Меню!$J$151:$EZ$151)*Обложка!$H$18/60,SUMIF(Меню!$J$8:$EZ$8,$B50,Меню!$J$151:$EZ$151)/1000*Обложка!$H$18)</f>
        <v>0</v>
      </c>
      <c r="R50" s="685">
        <f t="shared" si="2"/>
        <v>2.3000000000000003</v>
      </c>
      <c r="S50" s="212">
        <f>IF($B50="Яйцо (шт)",SUMIF(Меню!$J$8:$EZ$8,$B50,Меню!$J$163:$EZ$163)*Обложка!$J$15/60,SUMIF(Меню!$J$8:$EZ$8,$B50,Меню!$J$163:$EZ$163)/1000*Обложка!$J$15)</f>
        <v>0</v>
      </c>
      <c r="T50" s="212">
        <f>IF($B50="Яйцо (шт)",SUMIF(Меню!$J$8:$EZ$8,$B50,Меню!$J$178:$EZ$178)*Обложка!$J$16/60,SUMIF(Меню!$J$8:$EZ$8,$B50,Меню!$J$178:$EZ$178)/1000*Обложка!$J$16)</f>
        <v>0</v>
      </c>
      <c r="U50" s="212">
        <f>IF($B50="Яйцо (шт)",SUMIF(Меню!$J$8:$EZ$8,$B50,Меню!$J$191:$EZ$191)*Обложка!$J$17/60,SUMIF(Меню!$J$8:$EZ$8,$B50,Меню!$J$191:$EZ$191)/1000*Обложка!$J$17)</f>
        <v>0</v>
      </c>
      <c r="V50" s="212">
        <f>IF($B50="Яйцо (шт)",SUMIF(Меню!$J$8:$EZ$8,$B50,Меню!$J$196:$EZ$196)*Обложка!$J$18/60,SUMIF(Меню!$J$8:$EZ$8,$B50,Меню!$J$196:$EZ$196)/1000*Обложка!$J$18)</f>
        <v>0</v>
      </c>
      <c r="W50" s="685">
        <f t="shared" si="3"/>
        <v>0</v>
      </c>
      <c r="X50" s="212">
        <f>IF($B50="Яйцо (шт)",SUMIF(Меню!$J$8:$EZ$8,$B50,Меню!$J$208:$EZ$208)*Обложка!$L$15/60,SUMIF(Меню!$J$8:$EZ$8,$B50,Меню!$J$208:$EZ$208)/1000*Обложка!$L$15)</f>
        <v>2.8000000000000003</v>
      </c>
      <c r="Y50" s="212">
        <f>IF($B50="Яйцо (шт)",SUMIF(Меню!$J$8:$EZ$8,$B50,Меню!$J$223:$EZ$223)*Обложка!$L$16/60,SUMIF(Меню!$J$8:$EZ$8,$B50,Меню!$J$223:$EZ$223)/1000*Обложка!$J$16)</f>
        <v>0</v>
      </c>
      <c r="Z50" s="212">
        <f>IF($B50="Яйцо (шт)",SUMIF(Меню!$J$8:$EZ$8,$B50,Меню!$J$236:$EZ$236)*Обложка!$L$17/60,SUMIF(Меню!$J$8:$EZ$8,$B50,Меню!$J$236:$EZ$236)/1000*Обложка!$L$17)</f>
        <v>0.70000000000000007</v>
      </c>
      <c r="AA50" s="212">
        <f>IF($B50="Яйцо (шт)",SUMIF(Меню!$J$8:$EZ$8,$B50,Меню!$J$241:$EZ$241)*Обложка!$L$18/60,SUMIF(Меню!$J$8:$EZ$8,$B50,Меню!$J$241:$EZ$241)/1000*Обложка!$L$18)</f>
        <v>0</v>
      </c>
      <c r="AB50" s="685">
        <f t="shared" si="4"/>
        <v>3.5000000000000004</v>
      </c>
      <c r="AC50" s="212">
        <f>IF($B50="Яйцо (шт)",SUMIF(Меню!$J$8:$EZ$8,$B50,Меню!$J$253:$EZ$253)*Обложка!$N$15/60,SUMIF(Меню!$J$8:$EZ$8,$B50,Меню!$J$253:$EZ$253)/1000*Обложка!$N$15)</f>
        <v>0</v>
      </c>
      <c r="AD50" s="212">
        <f>IF($B50="Яйцо (шт)",SUMIF(Меню!$J$8:$EZ$8,$B50,Меню!$J$268:$EZ$268)*Обложка!$N$16/60,SUMIF(Меню!$J$8:$EZ$8,$B50,Меню!$J$268:$EZ$268)/1000*Обложка!$N$16)</f>
        <v>0</v>
      </c>
      <c r="AE50" s="212">
        <f>IF($B50="Яйцо (шт)",SUMIF(Меню!$J$8:$EZ$8,$B50,Меню!$J$281:$EZ$281)*Обложка!$N$17/60,SUMIF(Меню!$J$8:$EZ$8,$B50,Меню!$J$281:$EZ$281)/1000*Обложка!$N$17)</f>
        <v>0.9</v>
      </c>
      <c r="AF50" s="212">
        <f>IF($B50="Яйцо (шт)",SUMIF(Меню!$J$8:$EZ$8,$B50,Меню!$J$286:$EZ$286)*Обложка!$N$18/60,SUMIF(Меню!$J$8:$EZ$8,$B50,Меню!$J$286:$EZ$286)/1000*Обложка!$N$18)</f>
        <v>0</v>
      </c>
      <c r="AG50" s="685">
        <f t="shared" si="5"/>
        <v>0.9</v>
      </c>
      <c r="AH50" s="212">
        <f>IF($B50="Яйцо (шт)",SUMIF(Меню!$J$8:$EZ$8,$B50,Меню!$J$298:$EZ$298)*Обложка!$P$15/60,SUMIF(Меню!$J$8:$EZ$8,$B50,Меню!$J$298:$EZ$298)/1000*Обложка!$P$15)</f>
        <v>0.4</v>
      </c>
      <c r="AI50" s="212">
        <f>IF($B50="Яйцо (шт)",SUMIF(Меню!$J$8:$EZ$8,$BB50,Меню!$J$313:$EZ$313)*Обложка!$P$16/60,SUMIF(Меню!$J$8:$EZ$8,$B50,Меню!$J$313:$EZ$313)/1000*Обложка!$P$16)</f>
        <v>0</v>
      </c>
      <c r="AJ50" s="212">
        <f>IF($B50="Яйцо (шт)",SUMIF(Меню!$J$8:$EZ$8,$B50,Меню!$J$326:$EZ$326)*Обложка!$P$17/60,SUMIF(Меню!$J$8:$EZ$8,$B50,Меню!$J$326:$EZ$326)/1000*Обложка!$P$17)</f>
        <v>0</v>
      </c>
      <c r="AK50" s="212">
        <f>IF($B50="Яйцо (шт)",SUMIF(Меню!$J$8:$EZ$8,$B50,Меню!$J$331:$EZ$331)*Обложка!$P$18/60,SUMIF(Меню!$J$8:$EZ$8,$B50,Меню!$J$331:$EZ$331)/1000*Обложка!$P$18)</f>
        <v>0</v>
      </c>
      <c r="AL50" s="699">
        <f t="shared" si="6"/>
        <v>0.4</v>
      </c>
      <c r="AM50" s="685">
        <f t="shared" si="7"/>
        <v>9.7000000000000011</v>
      </c>
    </row>
    <row r="51" spans="1:39" x14ac:dyDescent="0.25">
      <c r="A51" s="249">
        <f t="shared" si="8"/>
        <v>39</v>
      </c>
      <c r="B51" s="248" t="str">
        <f>инфо!D40</f>
        <v>Огурцы консерв.</v>
      </c>
      <c r="C51" s="694">
        <f>SUMIF(Меню!$J$8:$FD$8,$B51,Меню!$J$333:$FD$333)</f>
        <v>264</v>
      </c>
      <c r="D51" s="212">
        <f>IF($B51="Яйцо (шт)",SUMIF(Меню!$J$8:$FD$8,$B51,Меню!$J$28:$FD$28)*Обложка!$D$15/60,SUMIF(Меню!$J$8:$FD$8,$B51,Меню!$J$28:$FD$28)/1000*Обложка!$D$15)</f>
        <v>0</v>
      </c>
      <c r="E51" s="212">
        <f>IF($B51="Яйцо (шт)",SUMIF(Меню!$J$8:$FD$8,$B51,Меню!$J$43:$FD$43)*Обложка!$D$16/60,SUMIF(Меню!$J$8:$FD$8,$B51,Меню!$J$43:$FD$43)/1000*Обложка!$D$16)</f>
        <v>0</v>
      </c>
      <c r="F51" s="212">
        <f>IF($B51="Яйцо (шт)",SUMIF(Меню!$J$8:$FD$8,$B51,Меню!$J$56:$FD$56)*Обложка!$D$17/60,SUMIF(Меню!$J$8:$FD$8,$B51,Меню!$J$56:$FD$56)/1000*Обложка!$D$17)</f>
        <v>3.0500000000000003</v>
      </c>
      <c r="G51" s="212">
        <f>IF($B51="Яйцо (шт)",SUMIF(Меню!$J$8:$FD$8,$B51,Меню!$J$61:$FD$61)*Обложка!$D$18/60,SUMIF(Меню!$J$8:$FD$8,$B51,Меню!$J$61:$FD$61)/1000*Обложка!$D$18)</f>
        <v>0</v>
      </c>
      <c r="H51" s="685">
        <f t="shared" si="0"/>
        <v>3.0500000000000003</v>
      </c>
      <c r="I51" s="212">
        <f>IF($B51="Яйцо (шт)",SUMIF(Меню!$J$8:$FD$8,$B51,Меню!$J$73:$FD$73)*Обложка!$F$15/60,SUMIF(Меню!$J$8:$FD$8,$B51,Меню!$J$73:$FD$73)/1000*Обложка!$F$15)</f>
        <v>0</v>
      </c>
      <c r="J51" s="212">
        <f>IF($B51="Яйцо (шт)",SUMIF(Меню!$J$8:$FD$8,$B51,Меню!$J$88:$FD$88)*Обложка!$F$16/60,SUMIF(Меню!$J$8:$FD$8,$B51,Меню!$J$88:$FD$88)/1000*Обложка!$G$16)</f>
        <v>1.4079999999999999</v>
      </c>
      <c r="K51" s="212">
        <f>IF($B51="Яйцо (шт)",SUMIF(Меню!$J$8:$FD$8,$B51,Меню!$J$101:$FD$101)*Обложка!$F$17/60,SUMIF(Меню!$J$8:$FD$8,$B51,Меню!$J$101:$FD$101)/1000*Обложка!$F$17)</f>
        <v>0</v>
      </c>
      <c r="L51" s="212">
        <f>IF($B51="Яйцо (шт)",SUMIF(Меню!$J$8:$FD$8,$B51,Меню!$J$106:$FD$106)*Обложка!$F$18/60,SUMIF(Меню!$J$8:$FD$8,$B51,Меню!$J$106:$FD$106)/1000*Обложка!$F$18)</f>
        <v>0</v>
      </c>
      <c r="M51" s="685">
        <f t="shared" si="1"/>
        <v>1.4079999999999999</v>
      </c>
      <c r="N51" s="212">
        <f>IF($B51="Яйцо (шт)",SUMIF(Меню!$J$8:$EZ$8,$B51,Меню!$J$118:$EZ$118)*Обложка!$H$15/60,SUMIF(Меню!$J$8:$EZ$8,$B51,Меню!$J$118:$EZ$118)/1000*Обложка!$H$15)</f>
        <v>0</v>
      </c>
      <c r="O51" s="212">
        <f>IF($B51="Яйцо (шт)",SUMIF(Меню!$J$8:$EZ$8,$B51,Меню!$J$133:$EZ$133)*Обложка!$H$16/60,SUMIF(Меню!$J$8:$EZ$8,$B51,Меню!$J$133:$EZ$133)/1000*Обложка!$H$16)</f>
        <v>12.074999999999999</v>
      </c>
      <c r="P51" s="212">
        <f>IF($B51="Яйцо (шт)",SUMIF(Меню!$J$8:$EZ$8,$B51,Меню!$J$146:$EZ$146)*Обложка!$H$17/60,SUMIF(Меню!$J$8:$EZ$8,$B51,Меню!$J$146:$EZ$146)/1000*Обложка!$H$17)</f>
        <v>0</v>
      </c>
      <c r="Q51" s="212">
        <f>IF($B51="Яйцо (шт)",SUMIF(Меню!$J$8:$EZ$8,$B51,Меню!$J$151:$EZ$151)*Обложка!$H$18/60,SUMIF(Меню!$J$8:$EZ$8,$B51,Меню!$J$151:$EZ$151)/1000*Обложка!$H$18)</f>
        <v>0</v>
      </c>
      <c r="R51" s="685">
        <f t="shared" si="2"/>
        <v>12.074999999999999</v>
      </c>
      <c r="S51" s="212">
        <f>IF($B51="Яйцо (шт)",SUMIF(Меню!$J$8:$EZ$8,$B51,Меню!$J$163:$EZ$163)*Обложка!$J$15/60,SUMIF(Меню!$J$8:$EZ$8,$B51,Меню!$J$163:$EZ$163)/1000*Обложка!$J$15)</f>
        <v>0</v>
      </c>
      <c r="T51" s="212">
        <f>IF($B51="Яйцо (шт)",SUMIF(Меню!$J$8:$EZ$8,$B51,Меню!$J$178:$EZ$178)*Обложка!$J$16/60,SUMIF(Меню!$J$8:$EZ$8,$B51,Меню!$J$178:$EZ$178)/1000*Обложка!$J$16)</f>
        <v>0</v>
      </c>
      <c r="U51" s="212">
        <f>IF($B51="Яйцо (шт)",SUMIF(Меню!$J$8:$EZ$8,$B51,Меню!$J$191:$EZ$191)*Обложка!$J$17/60,SUMIF(Меню!$J$8:$EZ$8,$B51,Меню!$J$191:$EZ$191)/1000*Обложка!$J$17)</f>
        <v>0</v>
      </c>
      <c r="V51" s="212">
        <f>IF($B51="Яйцо (шт)",SUMIF(Меню!$J$8:$EZ$8,$B51,Меню!$J$196:$EZ$196)*Обложка!$J$18/60,SUMIF(Меню!$J$8:$EZ$8,$B51,Меню!$J$196:$EZ$196)/1000*Обложка!$J$18)</f>
        <v>0</v>
      </c>
      <c r="W51" s="685">
        <f t="shared" si="3"/>
        <v>0</v>
      </c>
      <c r="X51" s="212">
        <f>IF($B51="Яйцо (шт)",SUMIF(Меню!$J$8:$EZ$8,$B51,Меню!$J$208:$EZ$208)*Обложка!$L$15/60,SUMIF(Меню!$J$8:$EZ$8,$B51,Меню!$J$208:$EZ$208)/1000*Обложка!$L$15)</f>
        <v>0</v>
      </c>
      <c r="Y51" s="212">
        <f>IF($B51="Яйцо (шт)",SUMIF(Меню!$J$8:$EZ$8,$B51,Меню!$J$223:$EZ$223)*Обложка!$L$16/60,SUMIF(Меню!$J$8:$EZ$8,$B51,Меню!$J$223:$EZ$223)/1000*Обложка!$J$16)</f>
        <v>3.5000000000000004</v>
      </c>
      <c r="Z51" s="212">
        <f>IF($B51="Яйцо (шт)",SUMIF(Меню!$J$8:$EZ$8,$B51,Меню!$J$236:$EZ$236)*Обложка!$L$17/60,SUMIF(Меню!$J$8:$EZ$8,$B51,Меню!$J$236:$EZ$236)/1000*Обложка!$L$17)</f>
        <v>0</v>
      </c>
      <c r="AA51" s="212">
        <f>IF($B51="Яйцо (шт)",SUMIF(Меню!$J$8:$EZ$8,$B51,Меню!$J$241:$EZ$241)*Обложка!$L$18/60,SUMIF(Меню!$J$8:$EZ$8,$B51,Меню!$J$241:$EZ$241)/1000*Обложка!$L$18)</f>
        <v>0</v>
      </c>
      <c r="AB51" s="685">
        <f t="shared" si="4"/>
        <v>3.5000000000000004</v>
      </c>
      <c r="AC51" s="212">
        <f>IF($B51="Яйцо (шт)",SUMIF(Меню!$J$8:$EZ$8,$B51,Меню!$J$253:$EZ$253)*Обложка!$N$15/60,SUMIF(Меню!$J$8:$EZ$8,$B51,Меню!$J$253:$EZ$253)/1000*Обложка!$N$15)</f>
        <v>0</v>
      </c>
      <c r="AD51" s="212">
        <f>IF($B51="Яйцо (шт)",SUMIF(Меню!$J$8:$EZ$8,$B51,Меню!$J$268:$EZ$268)*Обложка!$N$16/60,SUMIF(Меню!$J$8:$EZ$8,$B51,Меню!$J$268:$EZ$268)/1000*Обложка!$N$16)</f>
        <v>1.5750000000000002</v>
      </c>
      <c r="AE51" s="212">
        <f>IF($B51="Яйцо (шт)",SUMIF(Меню!$J$8:$EZ$8,$B51,Меню!$J$281:$EZ$281)*Обложка!$N$17/60,SUMIF(Меню!$J$8:$EZ$8,$B51,Меню!$J$281:$EZ$281)/1000*Обложка!$N$17)</f>
        <v>0</v>
      </c>
      <c r="AF51" s="212">
        <f>IF($B51="Яйцо (шт)",SUMIF(Меню!$J$8:$EZ$8,$B51,Меню!$J$286:$EZ$286)*Обложка!$N$18/60,SUMIF(Меню!$J$8:$EZ$8,$B51,Меню!$J$286:$EZ$286)/1000*Обложка!$N$18)</f>
        <v>0</v>
      </c>
      <c r="AG51" s="685">
        <f t="shared" si="5"/>
        <v>1.5750000000000002</v>
      </c>
      <c r="AH51" s="212">
        <f>IF($B51="Яйцо (шт)",SUMIF(Меню!$J$8:$EZ$8,$B51,Меню!$J$298:$EZ$298)*Обложка!$P$15/60,SUMIF(Меню!$J$8:$EZ$8,$B51,Меню!$J$298:$EZ$298)/1000*Обложка!$P$15)</f>
        <v>0</v>
      </c>
      <c r="AI51" s="212">
        <f>IF($B51="Яйцо (шт)",SUMIF(Меню!$J$8:$EZ$8,$BB51,Меню!$J$313:$EZ$313)*Обложка!$P$16/60,SUMIF(Меню!$J$8:$EZ$8,$B51,Меню!$J$313:$EZ$313)/1000*Обложка!$P$16)</f>
        <v>0</v>
      </c>
      <c r="AJ51" s="212">
        <f>IF($B51="Яйцо (шт)",SUMIF(Меню!$J$8:$EZ$8,$B51,Меню!$J$326:$EZ$326)*Обложка!$P$17/60,SUMIF(Меню!$J$8:$EZ$8,$B51,Меню!$J$326:$EZ$326)/1000*Обложка!$P$17)</f>
        <v>0</v>
      </c>
      <c r="AK51" s="212">
        <f>IF($B51="Яйцо (шт)",SUMIF(Меню!$J$8:$EZ$8,$B51,Меню!$J$331:$EZ$331)*Обложка!$P$18/60,SUMIF(Меню!$J$8:$EZ$8,$B51,Меню!$J$331:$EZ$331)/1000*Обложка!$P$18)</f>
        <v>0</v>
      </c>
      <c r="AL51" s="699">
        <f t="shared" si="6"/>
        <v>0</v>
      </c>
      <c r="AM51" s="685">
        <f t="shared" si="7"/>
        <v>21.608000000000001</v>
      </c>
    </row>
    <row r="52" spans="1:39" x14ac:dyDescent="0.25">
      <c r="A52" s="249">
        <f t="shared" si="8"/>
        <v>40</v>
      </c>
      <c r="B52" s="248" t="str">
        <f>инфо!D41</f>
        <v>Капуста консерв.</v>
      </c>
      <c r="C52" s="694">
        <f>SUMIF(Меню!$J$8:$FD$8,$B52,Меню!$J$333:$FD$333)</f>
        <v>115</v>
      </c>
      <c r="D52" s="212">
        <f>IF($B52="Яйцо (шт)",SUMIF(Меню!$J$8:$FD$8,$B52,Меню!$J$28:$FD$28)*Обложка!$D$15/60,SUMIF(Меню!$J$8:$FD$8,$B52,Меню!$J$28:$FD$28)/1000*Обложка!$D$15)</f>
        <v>0</v>
      </c>
      <c r="E52" s="212">
        <f>IF($B52="Яйцо (шт)",SUMIF(Меню!$J$8:$FD$8,$B52,Меню!$J$43:$FD$43)*Обложка!$D$16/60,SUMIF(Меню!$J$8:$FD$8,$B52,Меню!$J$43:$FD$43)/1000*Обложка!$D$16)</f>
        <v>14.030000000000001</v>
      </c>
      <c r="F52" s="212">
        <f>IF($B52="Яйцо (шт)",SUMIF(Меню!$J$8:$FD$8,$B52,Меню!$J$56:$FD$56)*Обложка!$D$17/60,SUMIF(Меню!$J$8:$FD$8,$B52,Меню!$J$56:$FD$56)/1000*Обложка!$D$17)</f>
        <v>0</v>
      </c>
      <c r="G52" s="212">
        <f>IF($B52="Яйцо (шт)",SUMIF(Меню!$J$8:$FD$8,$B52,Меню!$J$61:$FD$61)*Обложка!$D$18/60,SUMIF(Меню!$J$8:$FD$8,$B52,Меню!$J$61:$FD$61)/1000*Обложка!$D$18)</f>
        <v>0</v>
      </c>
      <c r="H52" s="685">
        <f t="shared" si="0"/>
        <v>14.030000000000001</v>
      </c>
      <c r="I52" s="212">
        <f>IF($B52="Яйцо (шт)",SUMIF(Меню!$J$8:$FD$8,$B52,Меню!$J$73:$FD$73)*Обложка!$F$15/60,SUMIF(Меню!$J$8:$FD$8,$B52,Меню!$J$73:$FD$73)/1000*Обложка!$F$15)</f>
        <v>0</v>
      </c>
      <c r="J52" s="212">
        <f>IF($B52="Яйцо (шт)",SUMIF(Меню!$J$8:$FD$8,$B52,Меню!$J$88:$FD$88)*Обложка!$F$16/60,SUMIF(Меню!$J$8:$FD$8,$B52,Меню!$J$88:$FD$88)/1000*Обложка!$G$16)</f>
        <v>0</v>
      </c>
      <c r="K52" s="212">
        <f>IF($B52="Яйцо (шт)",SUMIF(Меню!$J$8:$FD$8,$B52,Меню!$J$101:$FD$101)*Обложка!$F$17/60,SUMIF(Меню!$J$8:$FD$8,$B52,Меню!$J$101:$FD$101)/1000*Обложка!$F$17)</f>
        <v>0</v>
      </c>
      <c r="L52" s="212">
        <f>IF($B52="Яйцо (шт)",SUMIF(Меню!$J$8:$FD$8,$B52,Меню!$J$106:$FD$106)*Обложка!$F$18/60,SUMIF(Меню!$J$8:$FD$8,$B52,Меню!$J$106:$FD$106)/1000*Обложка!$F$18)</f>
        <v>0</v>
      </c>
      <c r="M52" s="685">
        <f t="shared" si="1"/>
        <v>0</v>
      </c>
      <c r="N52" s="212">
        <f>IF($B52="Яйцо (шт)",SUMIF(Меню!$J$8:$EZ$8,$B52,Меню!$J$118:$EZ$118)*Обложка!$H$15/60,SUMIF(Меню!$J$8:$EZ$8,$B52,Меню!$J$118:$EZ$118)/1000*Обложка!$H$15)</f>
        <v>0</v>
      </c>
      <c r="O52" s="212">
        <f>IF($B52="Яйцо (шт)",SUMIF(Меню!$J$8:$EZ$8,$B52,Меню!$J$133:$EZ$133)*Обложка!$H$16/60,SUMIF(Меню!$J$8:$EZ$8,$B52,Меню!$J$133:$EZ$133)/1000*Обложка!$H$16)</f>
        <v>0</v>
      </c>
      <c r="P52" s="212">
        <f>IF($B52="Яйцо (шт)",SUMIF(Меню!$J$8:$EZ$8,$B52,Меню!$J$146:$EZ$146)*Обложка!$H$17/60,SUMIF(Меню!$J$8:$EZ$8,$B52,Меню!$J$146:$EZ$146)/1000*Обложка!$H$17)</f>
        <v>0</v>
      </c>
      <c r="Q52" s="212">
        <f>IF($B52="Яйцо (шт)",SUMIF(Меню!$J$8:$EZ$8,$B52,Меню!$J$151:$EZ$151)*Обложка!$H$18/60,SUMIF(Меню!$J$8:$EZ$8,$B52,Меню!$J$151:$EZ$151)/1000*Обложка!$H$18)</f>
        <v>0</v>
      </c>
      <c r="R52" s="685">
        <f t="shared" si="2"/>
        <v>0</v>
      </c>
      <c r="S52" s="212">
        <f>IF($B52="Яйцо (шт)",SUMIF(Меню!$J$8:$EZ$8,$B52,Меню!$J$163:$EZ$163)*Обложка!$J$15/60,SUMIF(Меню!$J$8:$EZ$8,$B52,Меню!$J$163:$EZ$163)/1000*Обложка!$J$15)</f>
        <v>0</v>
      </c>
      <c r="T52" s="212">
        <f>IF($B52="Яйцо (шт)",SUMIF(Меню!$J$8:$EZ$8,$B52,Меню!$J$178:$EZ$178)*Обложка!$J$16/60,SUMIF(Меню!$J$8:$EZ$8,$B52,Меню!$J$178:$EZ$178)/1000*Обложка!$J$16)</f>
        <v>0</v>
      </c>
      <c r="U52" s="212">
        <f>IF($B52="Яйцо (шт)",SUMIF(Меню!$J$8:$EZ$8,$B52,Меню!$J$191:$EZ$191)*Обложка!$J$17/60,SUMIF(Меню!$J$8:$EZ$8,$B52,Меню!$J$191:$EZ$191)/1000*Обложка!$J$17)</f>
        <v>0</v>
      </c>
      <c r="V52" s="212">
        <f>IF($B52="Яйцо (шт)",SUMIF(Меню!$J$8:$EZ$8,$B52,Меню!$J$196:$EZ$196)*Обложка!$J$18/60,SUMIF(Меню!$J$8:$EZ$8,$B52,Меню!$J$196:$EZ$196)/1000*Обложка!$J$18)</f>
        <v>0</v>
      </c>
      <c r="W52" s="685">
        <f t="shared" si="3"/>
        <v>0</v>
      </c>
      <c r="X52" s="212">
        <f>IF($B52="Яйцо (шт)",SUMIF(Меню!$J$8:$EZ$8,$B52,Меню!$J$208:$EZ$208)*Обложка!$L$15/60,SUMIF(Меню!$J$8:$EZ$8,$B52,Меню!$J$208:$EZ$208)/1000*Обложка!$L$15)</f>
        <v>0</v>
      </c>
      <c r="Y52" s="212">
        <f>IF($B52="Яйцо (шт)",SUMIF(Меню!$J$8:$EZ$8,$B52,Меню!$J$223:$EZ$223)*Обложка!$L$16/60,SUMIF(Меню!$J$8:$EZ$8,$B52,Меню!$J$223:$EZ$223)/1000*Обложка!$J$16)</f>
        <v>0</v>
      </c>
      <c r="Z52" s="212">
        <f>IF($B52="Яйцо (шт)",SUMIF(Меню!$J$8:$EZ$8,$B52,Меню!$J$236:$EZ$236)*Обложка!$L$17/60,SUMIF(Меню!$J$8:$EZ$8,$B52,Меню!$J$236:$EZ$236)/1000*Обложка!$L$17)</f>
        <v>0</v>
      </c>
      <c r="AA52" s="212">
        <f>IF($B52="Яйцо (шт)",SUMIF(Меню!$J$8:$EZ$8,$B52,Меню!$J$241:$EZ$241)*Обложка!$L$18/60,SUMIF(Меню!$J$8:$EZ$8,$B52,Меню!$J$241:$EZ$241)/1000*Обложка!$L$18)</f>
        <v>0</v>
      </c>
      <c r="AB52" s="685">
        <f t="shared" si="4"/>
        <v>0</v>
      </c>
      <c r="AC52" s="212">
        <f>IF($B52="Яйцо (шт)",SUMIF(Меню!$J$8:$EZ$8,$B52,Меню!$J$253:$EZ$253)*Обложка!$N$15/60,SUMIF(Меню!$J$8:$EZ$8,$B52,Меню!$J$253:$EZ$253)/1000*Обложка!$N$15)</f>
        <v>0</v>
      </c>
      <c r="AD52" s="212">
        <f>IF($B52="Яйцо (шт)",SUMIF(Меню!$J$8:$EZ$8,$B52,Меню!$J$268:$EZ$268)*Обложка!$N$16/60,SUMIF(Меню!$J$8:$EZ$8,$B52,Меню!$J$268:$EZ$268)/1000*Обложка!$N$16)</f>
        <v>0</v>
      </c>
      <c r="AE52" s="212">
        <f>IF($B52="Яйцо (шт)",SUMIF(Меню!$J$8:$EZ$8,$B52,Меню!$J$281:$EZ$281)*Обложка!$N$17/60,SUMIF(Меню!$J$8:$EZ$8,$B52,Меню!$J$281:$EZ$281)/1000*Обложка!$N$17)</f>
        <v>0</v>
      </c>
      <c r="AF52" s="212">
        <f>IF($B52="Яйцо (шт)",SUMIF(Меню!$J$8:$EZ$8,$B52,Меню!$J$286:$EZ$286)*Обложка!$N$18/60,SUMIF(Меню!$J$8:$EZ$8,$B52,Меню!$J$286:$EZ$286)/1000*Обложка!$N$18)</f>
        <v>0</v>
      </c>
      <c r="AG52" s="685">
        <f t="shared" si="5"/>
        <v>0</v>
      </c>
      <c r="AH52" s="212">
        <f>IF($B52="Яйцо (шт)",SUMIF(Меню!$J$8:$EZ$8,$B52,Меню!$J$298:$EZ$298)*Обложка!$P$15/60,SUMIF(Меню!$J$8:$EZ$8,$B52,Меню!$J$298:$EZ$298)/1000*Обложка!$P$15)</f>
        <v>0</v>
      </c>
      <c r="AI52" s="212">
        <f>IF($B52="Яйцо (шт)",SUMIF(Меню!$J$8:$EZ$8,$BB52,Меню!$J$313:$EZ$313)*Обложка!$P$16/60,SUMIF(Меню!$J$8:$EZ$8,$B52,Меню!$J$313:$EZ$313)/1000*Обложка!$P$16)</f>
        <v>0</v>
      </c>
      <c r="AJ52" s="212">
        <f>IF($B52="Яйцо (шт)",SUMIF(Меню!$J$8:$EZ$8,$B52,Меню!$J$326:$EZ$326)*Обложка!$P$17/60,SUMIF(Меню!$J$8:$EZ$8,$B52,Меню!$J$326:$EZ$326)/1000*Обложка!$P$17)</f>
        <v>0</v>
      </c>
      <c r="AK52" s="212">
        <f>IF($B52="Яйцо (шт)",SUMIF(Меню!$J$8:$EZ$8,$B52,Меню!$J$331:$EZ$331)*Обложка!$P$18/60,SUMIF(Меню!$J$8:$EZ$8,$B52,Меню!$J$331:$EZ$331)/1000*Обложка!$P$18)</f>
        <v>0</v>
      </c>
      <c r="AL52" s="699">
        <f t="shared" si="6"/>
        <v>0</v>
      </c>
      <c r="AM52" s="685">
        <f t="shared" si="7"/>
        <v>14.030000000000001</v>
      </c>
    </row>
    <row r="53" spans="1:39" x14ac:dyDescent="0.25">
      <c r="A53" s="249">
        <f t="shared" si="8"/>
        <v>41</v>
      </c>
      <c r="B53" s="248" t="str">
        <f>инфо!D42</f>
        <v>Помидоры консерв.</v>
      </c>
      <c r="C53" s="694">
        <f>SUMIF(Меню!$J$8:$FD$8,$B53,Меню!$J$333:$FD$333)</f>
        <v>320</v>
      </c>
      <c r="D53" s="212">
        <f>IF($B53="Яйцо (шт)",SUMIF(Меню!$J$8:$FD$8,$B53,Меню!$J$28:$FD$28)*Обложка!$D$15/60,SUMIF(Меню!$J$8:$FD$8,$B53,Меню!$J$28:$FD$28)/1000*Обложка!$D$15)</f>
        <v>0</v>
      </c>
      <c r="E53" s="212">
        <f>IF($B53="Яйцо (шт)",SUMIF(Меню!$J$8:$FD$8,$B53,Меню!$J$43:$FD$43)*Обложка!$D$16/60,SUMIF(Меню!$J$8:$FD$8,$B53,Меню!$J$43:$FD$43)/1000*Обложка!$D$16)</f>
        <v>0</v>
      </c>
      <c r="F53" s="212">
        <f>IF($B53="Яйцо (шт)",SUMIF(Меню!$J$8:$FD$8,$B53,Меню!$J$56:$FD$56)*Обложка!$D$17/60,SUMIF(Меню!$J$8:$FD$8,$B53,Меню!$J$56:$FD$56)/1000*Обложка!$D$17)</f>
        <v>2.44</v>
      </c>
      <c r="G53" s="212">
        <f>IF($B53="Яйцо (шт)",SUMIF(Меню!$J$8:$FD$8,$B53,Меню!$J$61:$FD$61)*Обложка!$D$18/60,SUMIF(Меню!$J$8:$FD$8,$B53,Меню!$J$61:$FD$61)/1000*Обложка!$D$18)</f>
        <v>0</v>
      </c>
      <c r="H53" s="685">
        <f t="shared" si="0"/>
        <v>2.44</v>
      </c>
      <c r="I53" s="212">
        <f>IF($B53="Яйцо (шт)",SUMIF(Меню!$J$8:$FD$8,$B53,Меню!$J$73:$FD$73)*Обложка!$F$15/60,SUMIF(Меню!$J$8:$FD$8,$B53,Меню!$J$73:$FD$73)/1000*Обложка!$F$15)</f>
        <v>0</v>
      </c>
      <c r="J53" s="212">
        <f>IF($B53="Яйцо (шт)",SUMIF(Меню!$J$8:$FD$8,$B53,Меню!$J$88:$FD$88)*Обложка!$F$16/60,SUMIF(Меню!$J$8:$FD$8,$B53,Меню!$J$88:$FD$88)/1000*Обложка!$G$16)</f>
        <v>2.31</v>
      </c>
      <c r="K53" s="212">
        <f>IF($B53="Яйцо (шт)",SUMIF(Меню!$J$8:$FD$8,$B53,Меню!$J$101:$FD$101)*Обложка!$F$17/60,SUMIF(Меню!$J$8:$FD$8,$B53,Меню!$J$101:$FD$101)/1000*Обложка!$F$17)</f>
        <v>0</v>
      </c>
      <c r="L53" s="212">
        <f>IF($B53="Яйцо (шт)",SUMIF(Меню!$J$8:$FD$8,$B53,Меню!$J$106:$FD$106)*Обложка!$F$18/60,SUMIF(Меню!$J$8:$FD$8,$B53,Меню!$J$106:$FD$106)/1000*Обложка!$F$18)</f>
        <v>0</v>
      </c>
      <c r="M53" s="685">
        <f t="shared" si="1"/>
        <v>2.31</v>
      </c>
      <c r="N53" s="212">
        <f>IF($B53="Яйцо (шт)",SUMIF(Меню!$J$8:$EZ$8,$B53,Меню!$J$118:$EZ$118)*Обложка!$H$15/60,SUMIF(Меню!$J$8:$EZ$8,$B53,Меню!$J$118:$EZ$118)/1000*Обложка!$H$15)</f>
        <v>0</v>
      </c>
      <c r="O53" s="212">
        <f>IF($B53="Яйцо (шт)",SUMIF(Меню!$J$8:$EZ$8,$B53,Меню!$J$133:$EZ$133)*Обложка!$H$16/60,SUMIF(Меню!$J$8:$EZ$8,$B53,Меню!$J$133:$EZ$133)/1000*Обложка!$H$16)</f>
        <v>0</v>
      </c>
      <c r="P53" s="212">
        <f>IF($B53="Яйцо (шт)",SUMIF(Меню!$J$8:$EZ$8,$B53,Меню!$J$146:$EZ$146)*Обложка!$H$17/60,SUMIF(Меню!$J$8:$EZ$8,$B53,Меню!$J$146:$EZ$146)/1000*Обложка!$H$17)</f>
        <v>0</v>
      </c>
      <c r="Q53" s="212">
        <f>IF($B53="Яйцо (шт)",SUMIF(Меню!$J$8:$EZ$8,$B53,Меню!$J$151:$EZ$151)*Обложка!$H$18/60,SUMIF(Меню!$J$8:$EZ$8,$B53,Меню!$J$151:$EZ$151)/1000*Обложка!$H$18)</f>
        <v>0</v>
      </c>
      <c r="R53" s="685">
        <f t="shared" si="2"/>
        <v>0</v>
      </c>
      <c r="S53" s="212">
        <f>IF($B53="Яйцо (шт)",SUMIF(Меню!$J$8:$EZ$8,$B53,Меню!$J$163:$EZ$163)*Обложка!$J$15/60,SUMIF(Меню!$J$8:$EZ$8,$B53,Меню!$J$163:$EZ$163)/1000*Обложка!$J$15)</f>
        <v>0</v>
      </c>
      <c r="T53" s="212">
        <f>IF($B53="Яйцо (шт)",SUMIF(Меню!$J$8:$EZ$8,$B53,Меню!$J$178:$EZ$178)*Обложка!$J$16/60,SUMIF(Меню!$J$8:$EZ$8,$B53,Меню!$J$178:$EZ$178)/1000*Обложка!$J$16)</f>
        <v>0</v>
      </c>
      <c r="U53" s="212">
        <f>IF($B53="Яйцо (шт)",SUMIF(Меню!$J$8:$EZ$8,$B53,Меню!$J$191:$EZ$191)*Обложка!$J$17/60,SUMIF(Меню!$J$8:$EZ$8,$B53,Меню!$J$191:$EZ$191)/1000*Обложка!$J$17)</f>
        <v>0</v>
      </c>
      <c r="V53" s="212">
        <f>IF($B53="Яйцо (шт)",SUMIF(Меню!$J$8:$EZ$8,$B53,Меню!$J$196:$EZ$196)*Обложка!$J$18/60,SUMIF(Меню!$J$8:$EZ$8,$B53,Меню!$J$196:$EZ$196)/1000*Обложка!$J$18)</f>
        <v>0</v>
      </c>
      <c r="W53" s="685">
        <f t="shared" si="3"/>
        <v>0</v>
      </c>
      <c r="X53" s="212">
        <f>IF($B53="Яйцо (шт)",SUMIF(Меню!$J$8:$EZ$8,$B53,Меню!$J$208:$EZ$208)*Обложка!$L$15/60,SUMIF(Меню!$J$8:$EZ$8,$B53,Меню!$J$208:$EZ$208)/1000*Обложка!$L$15)</f>
        <v>0</v>
      </c>
      <c r="Y53" s="212">
        <f>IF($B53="Яйцо (шт)",SUMIF(Меню!$J$8:$EZ$8,$B53,Меню!$J$223:$EZ$223)*Обложка!$L$16/60,SUMIF(Меню!$J$8:$EZ$8,$B53,Меню!$J$223:$EZ$223)/1000*Обложка!$J$16)</f>
        <v>0</v>
      </c>
      <c r="Z53" s="212">
        <f>IF($B53="Яйцо (шт)",SUMIF(Меню!$J$8:$EZ$8,$B53,Меню!$J$236:$EZ$236)*Обложка!$L$17/60,SUMIF(Меню!$J$8:$EZ$8,$B53,Меню!$J$236:$EZ$236)/1000*Обложка!$L$17)</f>
        <v>0</v>
      </c>
      <c r="AA53" s="212">
        <f>IF($B53="Яйцо (шт)",SUMIF(Меню!$J$8:$EZ$8,$B53,Меню!$J$241:$EZ$241)*Обложка!$L$18/60,SUMIF(Меню!$J$8:$EZ$8,$B53,Меню!$J$241:$EZ$241)/1000*Обложка!$L$18)</f>
        <v>0</v>
      </c>
      <c r="AB53" s="685">
        <f t="shared" si="4"/>
        <v>0</v>
      </c>
      <c r="AC53" s="212">
        <f>IF($B53="Яйцо (шт)",SUMIF(Меню!$J$8:$EZ$8,$B53,Меню!$J$253:$EZ$253)*Обложка!$N$15/60,SUMIF(Меню!$J$8:$EZ$8,$B53,Меню!$J$253:$EZ$253)/1000*Обложка!$N$15)</f>
        <v>0</v>
      </c>
      <c r="AD53" s="212">
        <f>IF($B53="Яйцо (шт)",SUMIF(Меню!$J$8:$EZ$8,$B53,Меню!$J$268:$EZ$268)*Обложка!$N$16/60,SUMIF(Меню!$J$8:$EZ$8,$B53,Меню!$J$268:$EZ$268)/1000*Обложка!$N$16)</f>
        <v>4.05</v>
      </c>
      <c r="AE53" s="212">
        <f>IF($B53="Яйцо (шт)",SUMIF(Меню!$J$8:$EZ$8,$B53,Меню!$J$281:$EZ$281)*Обложка!$N$17/60,SUMIF(Меню!$J$8:$EZ$8,$B53,Меню!$J$281:$EZ$281)/1000*Обложка!$N$17)</f>
        <v>0</v>
      </c>
      <c r="AF53" s="212">
        <f>IF($B53="Яйцо (шт)",SUMIF(Меню!$J$8:$EZ$8,$B53,Меню!$J$286:$EZ$286)*Обложка!$N$18/60,SUMIF(Меню!$J$8:$EZ$8,$B53,Меню!$J$286:$EZ$286)/1000*Обложка!$N$18)</f>
        <v>0</v>
      </c>
      <c r="AG53" s="685">
        <f t="shared" si="5"/>
        <v>4.05</v>
      </c>
      <c r="AH53" s="212">
        <f>IF($B53="Яйцо (шт)",SUMIF(Меню!$J$8:$EZ$8,$B53,Меню!$J$298:$EZ$298)*Обложка!$P$15/60,SUMIF(Меню!$J$8:$EZ$8,$B53,Меню!$J$298:$EZ$298)/1000*Обложка!$P$15)</f>
        <v>0</v>
      </c>
      <c r="AI53" s="212">
        <f>IF($B53="Яйцо (шт)",SUMIF(Меню!$J$8:$EZ$8,$BB53,Меню!$J$313:$EZ$313)*Обложка!$P$16/60,SUMIF(Меню!$J$8:$EZ$8,$B53,Меню!$J$313:$EZ$313)/1000*Обложка!$P$16)</f>
        <v>2.625</v>
      </c>
      <c r="AJ53" s="212">
        <f>IF($B53="Яйцо (шт)",SUMIF(Меню!$J$8:$EZ$8,$B53,Меню!$J$326:$EZ$326)*Обложка!$P$17/60,SUMIF(Меню!$J$8:$EZ$8,$B53,Меню!$J$326:$EZ$326)/1000*Обложка!$P$17)</f>
        <v>0</v>
      </c>
      <c r="AK53" s="212">
        <f>IF($B53="Яйцо (шт)",SUMIF(Меню!$J$8:$EZ$8,$B53,Меню!$J$331:$EZ$331)*Обложка!$P$18/60,SUMIF(Меню!$J$8:$EZ$8,$B53,Меню!$J$331:$EZ$331)/1000*Обложка!$P$18)</f>
        <v>0</v>
      </c>
      <c r="AL53" s="699">
        <f t="shared" si="6"/>
        <v>2.625</v>
      </c>
      <c r="AM53" s="685">
        <f t="shared" si="7"/>
        <v>11.425000000000001</v>
      </c>
    </row>
    <row r="54" spans="1:39" x14ac:dyDescent="0.25">
      <c r="A54" s="249">
        <f t="shared" si="8"/>
        <v>42</v>
      </c>
      <c r="B54" s="248" t="str">
        <f>инфо!D43</f>
        <v>Морковь консерв.</v>
      </c>
      <c r="C54" s="694">
        <f>SUMIF(Меню!$J$8:$FD$8,$B54,Меню!$J$333:$FD$333)</f>
        <v>0</v>
      </c>
      <c r="D54" s="212">
        <f>IF($B54="Яйцо (шт)",SUMIF(Меню!$J$8:$FD$8,$B54,Меню!$J$28:$FD$28)*Обложка!$D$15/60,SUMIF(Меню!$J$8:$FD$8,$B54,Меню!$J$28:$FD$28)/1000*Обложка!$D$15)</f>
        <v>0</v>
      </c>
      <c r="E54" s="212">
        <f>IF($B54="Яйцо (шт)",SUMIF(Меню!$J$8:$FD$8,$B54,Меню!$J$43:$FD$43)*Обложка!$D$16/60,SUMIF(Меню!$J$8:$FD$8,$B54,Меню!$J$43:$FD$43)/1000*Обложка!$D$16)</f>
        <v>0</v>
      </c>
      <c r="F54" s="212">
        <f>IF($B54="Яйцо (шт)",SUMIF(Меню!$J$8:$FD$8,$B54,Меню!$J$56:$FD$56)*Обложка!$D$17/60,SUMIF(Меню!$J$8:$FD$8,$B54,Меню!$J$56:$FD$56)/1000*Обложка!$D$17)</f>
        <v>0</v>
      </c>
      <c r="G54" s="212">
        <f>IF($B54="Яйцо (шт)",SUMIF(Меню!$J$8:$FD$8,$B54,Меню!$J$61:$FD$61)*Обложка!$D$18/60,SUMIF(Меню!$J$8:$FD$8,$B54,Меню!$J$61:$FD$61)/1000*Обложка!$D$18)</f>
        <v>0</v>
      </c>
      <c r="H54" s="685">
        <f t="shared" si="0"/>
        <v>0</v>
      </c>
      <c r="I54" s="212">
        <f>IF($B54="Яйцо (шт)",SUMIF(Меню!$J$8:$FD$8,$B54,Меню!$J$73:$FD$73)*Обложка!$F$15/60,SUMIF(Меню!$J$8:$FD$8,$B54,Меню!$J$73:$FD$73)/1000*Обложка!$F$15)</f>
        <v>0</v>
      </c>
      <c r="J54" s="212">
        <f>IF($B54="Яйцо (шт)",SUMIF(Меню!$J$8:$FD$8,$B54,Меню!$J$88:$FD$88)*Обложка!$F$16/60,SUMIF(Меню!$J$8:$FD$8,$B54,Меню!$J$88:$FD$88)/1000*Обложка!$G$16)</f>
        <v>0</v>
      </c>
      <c r="K54" s="212">
        <f>IF($B54="Яйцо (шт)",SUMIF(Меню!$J$8:$FD$8,$B54,Меню!$J$101:$FD$101)*Обложка!$F$17/60,SUMIF(Меню!$J$8:$FD$8,$B54,Меню!$J$101:$FD$101)/1000*Обложка!$F$17)</f>
        <v>0</v>
      </c>
      <c r="L54" s="212">
        <f>IF($B54="Яйцо (шт)",SUMIF(Меню!$J$8:$FD$8,$B54,Меню!$J$106:$FD$106)*Обложка!$F$18/60,SUMIF(Меню!$J$8:$FD$8,$B54,Меню!$J$106:$FD$106)/1000*Обложка!$F$18)</f>
        <v>0</v>
      </c>
      <c r="M54" s="685">
        <f t="shared" si="1"/>
        <v>0</v>
      </c>
      <c r="N54" s="212">
        <f>IF($B54="Яйцо (шт)",SUMIF(Меню!$J$8:$EZ$8,$B54,Меню!$J$118:$EZ$118)*Обложка!$H$15/60,SUMIF(Меню!$J$8:$EZ$8,$B54,Меню!$J$118:$EZ$118)/1000*Обложка!$H$15)</f>
        <v>0</v>
      </c>
      <c r="O54" s="212">
        <f>IF($B54="Яйцо (шт)",SUMIF(Меню!$J$8:$EZ$8,$B54,Меню!$J$133:$EZ$133)*Обложка!$H$16/60,SUMIF(Меню!$J$8:$EZ$8,$B54,Меню!$J$133:$EZ$133)/1000*Обложка!$H$16)</f>
        <v>0</v>
      </c>
      <c r="P54" s="212">
        <f>IF($B54="Яйцо (шт)",SUMIF(Меню!$J$8:$EZ$8,$B54,Меню!$J$146:$EZ$146)*Обложка!$H$17/60,SUMIF(Меню!$J$8:$EZ$8,$B54,Меню!$J$146:$EZ$146)/1000*Обложка!$H$17)</f>
        <v>0</v>
      </c>
      <c r="Q54" s="212">
        <f>IF($B54="Яйцо (шт)",SUMIF(Меню!$J$8:$EZ$8,$B54,Меню!$J$151:$EZ$151)*Обложка!$H$18/60,SUMIF(Меню!$J$8:$EZ$8,$B54,Меню!$J$151:$EZ$151)/1000*Обложка!$H$18)</f>
        <v>0</v>
      </c>
      <c r="R54" s="685">
        <f t="shared" si="2"/>
        <v>0</v>
      </c>
      <c r="S54" s="212">
        <f>IF($B54="Яйцо (шт)",SUMIF(Меню!$J$8:$EZ$8,$B54,Меню!$J$163:$EZ$163)*Обложка!$J$15/60,SUMIF(Меню!$J$8:$EZ$8,$B54,Меню!$J$163:$EZ$163)/1000*Обложка!$J$15)</f>
        <v>0</v>
      </c>
      <c r="T54" s="212">
        <f>IF($B54="Яйцо (шт)",SUMIF(Меню!$J$8:$EZ$8,$B54,Меню!$J$178:$EZ$178)*Обложка!$J$16/60,SUMIF(Меню!$J$8:$EZ$8,$B54,Меню!$J$178:$EZ$178)/1000*Обложка!$J$16)</f>
        <v>0</v>
      </c>
      <c r="U54" s="212">
        <f>IF($B54="Яйцо (шт)",SUMIF(Меню!$J$8:$EZ$8,$B54,Меню!$J$191:$EZ$191)*Обложка!$J$17/60,SUMIF(Меню!$J$8:$EZ$8,$B54,Меню!$J$191:$EZ$191)/1000*Обложка!$J$17)</f>
        <v>0</v>
      </c>
      <c r="V54" s="212">
        <f>IF($B54="Яйцо (шт)",SUMIF(Меню!$J$8:$EZ$8,$B54,Меню!$J$196:$EZ$196)*Обложка!$J$18/60,SUMIF(Меню!$J$8:$EZ$8,$B54,Меню!$J$196:$EZ$196)/1000*Обложка!$J$18)</f>
        <v>0</v>
      </c>
      <c r="W54" s="685">
        <f t="shared" si="3"/>
        <v>0</v>
      </c>
      <c r="X54" s="212">
        <f>IF($B54="Яйцо (шт)",SUMIF(Меню!$J$8:$EZ$8,$B54,Меню!$J$208:$EZ$208)*Обложка!$L$15/60,SUMIF(Меню!$J$8:$EZ$8,$B54,Меню!$J$208:$EZ$208)/1000*Обложка!$L$15)</f>
        <v>0</v>
      </c>
      <c r="Y54" s="212">
        <f>IF($B54="Яйцо (шт)",SUMIF(Меню!$J$8:$EZ$8,$B54,Меню!$J$223:$EZ$223)*Обложка!$L$16/60,SUMIF(Меню!$J$8:$EZ$8,$B54,Меню!$J$223:$EZ$223)/1000*Обложка!$J$16)</f>
        <v>0</v>
      </c>
      <c r="Z54" s="212">
        <f>IF($B54="Яйцо (шт)",SUMIF(Меню!$J$8:$EZ$8,$B54,Меню!$J$236:$EZ$236)*Обложка!$L$17/60,SUMIF(Меню!$J$8:$EZ$8,$B54,Меню!$J$236:$EZ$236)/1000*Обложка!$L$17)</f>
        <v>0</v>
      </c>
      <c r="AA54" s="212">
        <f>IF($B54="Яйцо (шт)",SUMIF(Меню!$J$8:$EZ$8,$B54,Меню!$J$241:$EZ$241)*Обложка!$L$18/60,SUMIF(Меню!$J$8:$EZ$8,$B54,Меню!$J$241:$EZ$241)/1000*Обложка!$L$18)</f>
        <v>0</v>
      </c>
      <c r="AB54" s="685">
        <f t="shared" si="4"/>
        <v>0</v>
      </c>
      <c r="AC54" s="212">
        <f>IF($B54="Яйцо (шт)",SUMIF(Меню!$J$8:$EZ$8,$B54,Меню!$J$253:$EZ$253)*Обложка!$N$15/60,SUMIF(Меню!$J$8:$EZ$8,$B54,Меню!$J$253:$EZ$253)/1000*Обложка!$N$15)</f>
        <v>0</v>
      </c>
      <c r="AD54" s="212">
        <f>IF($B54="Яйцо (шт)",SUMIF(Меню!$J$8:$EZ$8,$B54,Меню!$J$268:$EZ$268)*Обложка!$N$16/60,SUMIF(Меню!$J$8:$EZ$8,$B54,Меню!$J$268:$EZ$268)/1000*Обложка!$N$16)</f>
        <v>0</v>
      </c>
      <c r="AE54" s="212">
        <f>IF($B54="Яйцо (шт)",SUMIF(Меню!$J$8:$EZ$8,$B54,Меню!$J$281:$EZ$281)*Обложка!$N$17/60,SUMIF(Меню!$J$8:$EZ$8,$B54,Меню!$J$281:$EZ$281)/1000*Обложка!$N$17)</f>
        <v>0</v>
      </c>
      <c r="AF54" s="212">
        <f>IF($B54="Яйцо (шт)",SUMIF(Меню!$J$8:$EZ$8,$B54,Меню!$J$286:$EZ$286)*Обложка!$N$18/60,SUMIF(Меню!$J$8:$EZ$8,$B54,Меню!$J$286:$EZ$286)/1000*Обложка!$N$18)</f>
        <v>0</v>
      </c>
      <c r="AG54" s="685">
        <f t="shared" si="5"/>
        <v>0</v>
      </c>
      <c r="AH54" s="212">
        <f>IF($B54="Яйцо (шт)",SUMIF(Меню!$J$8:$EZ$8,$B54,Меню!$J$298:$EZ$298)*Обложка!$P$15/60,SUMIF(Меню!$J$8:$EZ$8,$B54,Меню!$J$298:$EZ$298)/1000*Обложка!$P$15)</f>
        <v>0</v>
      </c>
      <c r="AI54" s="212">
        <f>IF($B54="Яйцо (шт)",SUMIF(Меню!$J$8:$EZ$8,$BB54,Меню!$J$313:$EZ$313)*Обложка!$P$16/60,SUMIF(Меню!$J$8:$EZ$8,$B54,Меню!$J$313:$EZ$313)/1000*Обложка!$P$16)</f>
        <v>0</v>
      </c>
      <c r="AJ54" s="212">
        <f>IF($B54="Яйцо (шт)",SUMIF(Меню!$J$8:$EZ$8,$B54,Меню!$J$326:$EZ$326)*Обложка!$P$17/60,SUMIF(Меню!$J$8:$EZ$8,$B54,Меню!$J$326:$EZ$326)/1000*Обложка!$P$17)</f>
        <v>0</v>
      </c>
      <c r="AK54" s="212">
        <f>IF($B54="Яйцо (шт)",SUMIF(Меню!$J$8:$EZ$8,$B54,Меню!$J$331:$EZ$331)*Обложка!$P$18/60,SUMIF(Меню!$J$8:$EZ$8,$B54,Меню!$J$331:$EZ$331)/1000*Обложка!$P$18)</f>
        <v>0</v>
      </c>
      <c r="AL54" s="699">
        <f t="shared" si="6"/>
        <v>0</v>
      </c>
      <c r="AM54" s="685">
        <f t="shared" si="7"/>
        <v>0</v>
      </c>
    </row>
    <row r="55" spans="1:39" x14ac:dyDescent="0.25">
      <c r="A55" s="249">
        <f t="shared" si="8"/>
        <v>43</v>
      </c>
      <c r="B55" s="248" t="str">
        <f>инфо!D44</f>
        <v>Свекла консерв.</v>
      </c>
      <c r="C55" s="694">
        <f>SUMIF(Меню!$J$8:$FD$8,$B55,Меню!$J$333:$FD$333)</f>
        <v>0</v>
      </c>
      <c r="D55" s="212">
        <f>IF($B55="Яйцо (шт)",SUMIF(Меню!$J$8:$FD$8,$B55,Меню!$J$28:$FD$28)*Обложка!$D$15/60,SUMIF(Меню!$J$8:$FD$8,$B55,Меню!$J$28:$FD$28)/1000*Обложка!$D$15)</f>
        <v>0</v>
      </c>
      <c r="E55" s="212">
        <f>IF($B55="Яйцо (шт)",SUMIF(Меню!$J$8:$FD$8,$B55,Меню!$J$43:$FD$43)*Обложка!$D$16/60,SUMIF(Меню!$J$8:$FD$8,$B55,Меню!$J$43:$FD$43)/1000*Обложка!$D$16)</f>
        <v>0</v>
      </c>
      <c r="F55" s="212">
        <f>IF($B55="Яйцо (шт)",SUMIF(Меню!$J$8:$FD$8,$B55,Меню!$J$56:$FD$56)*Обложка!$D$17/60,SUMIF(Меню!$J$8:$FD$8,$B55,Меню!$J$56:$FD$56)/1000*Обложка!$D$17)</f>
        <v>0</v>
      </c>
      <c r="G55" s="212">
        <f>IF($B55="Яйцо (шт)",SUMIF(Меню!$J$8:$FD$8,$B55,Меню!$J$61:$FD$61)*Обложка!$D$18/60,SUMIF(Меню!$J$8:$FD$8,$B55,Меню!$J$61:$FD$61)/1000*Обложка!$D$18)</f>
        <v>0</v>
      </c>
      <c r="H55" s="685">
        <f t="shared" si="0"/>
        <v>0</v>
      </c>
      <c r="I55" s="212">
        <f>IF($B55="Яйцо (шт)",SUMIF(Меню!$J$8:$FD$8,$B55,Меню!$J$73:$FD$73)*Обложка!$F$15/60,SUMIF(Меню!$J$8:$FD$8,$B55,Меню!$J$73:$FD$73)/1000*Обложка!$F$15)</f>
        <v>0</v>
      </c>
      <c r="J55" s="212">
        <f>IF($B55="Яйцо (шт)",SUMIF(Меню!$J$8:$FD$8,$B55,Меню!$J$88:$FD$88)*Обложка!$F$16/60,SUMIF(Меню!$J$8:$FD$8,$B55,Меню!$J$88:$FD$88)/1000*Обложка!$G$16)</f>
        <v>0</v>
      </c>
      <c r="K55" s="212">
        <f>IF($B55="Яйцо (шт)",SUMIF(Меню!$J$8:$FD$8,$B55,Меню!$J$101:$FD$101)*Обложка!$F$17/60,SUMIF(Меню!$J$8:$FD$8,$B55,Меню!$J$101:$FD$101)/1000*Обложка!$F$17)</f>
        <v>0</v>
      </c>
      <c r="L55" s="212">
        <f>IF($B55="Яйцо (шт)",SUMIF(Меню!$J$8:$FD$8,$B55,Меню!$J$106:$FD$106)*Обложка!$F$18/60,SUMIF(Меню!$J$8:$FD$8,$B55,Меню!$J$106:$FD$106)/1000*Обложка!$F$18)</f>
        <v>0</v>
      </c>
      <c r="M55" s="685">
        <f t="shared" si="1"/>
        <v>0</v>
      </c>
      <c r="N55" s="212">
        <f>IF($B55="Яйцо (шт)",SUMIF(Меню!$J$8:$EZ$8,$B55,Меню!$J$118:$EZ$118)*Обложка!$H$15/60,SUMIF(Меню!$J$8:$EZ$8,$B55,Меню!$J$118:$EZ$118)/1000*Обложка!$H$15)</f>
        <v>0</v>
      </c>
      <c r="O55" s="212">
        <f>IF($B55="Яйцо (шт)",SUMIF(Меню!$J$8:$EZ$8,$B55,Меню!$J$133:$EZ$133)*Обложка!$H$16/60,SUMIF(Меню!$J$8:$EZ$8,$B55,Меню!$J$133:$EZ$133)/1000*Обложка!$H$16)</f>
        <v>0</v>
      </c>
      <c r="P55" s="212">
        <f>IF($B55="Яйцо (шт)",SUMIF(Меню!$J$8:$EZ$8,$B55,Меню!$J$146:$EZ$146)*Обложка!$H$17/60,SUMIF(Меню!$J$8:$EZ$8,$B55,Меню!$J$146:$EZ$146)/1000*Обложка!$H$17)</f>
        <v>0</v>
      </c>
      <c r="Q55" s="212">
        <f>IF($B55="Яйцо (шт)",SUMIF(Меню!$J$8:$EZ$8,$B55,Меню!$J$151:$EZ$151)*Обложка!$H$18/60,SUMIF(Меню!$J$8:$EZ$8,$B55,Меню!$J$151:$EZ$151)/1000*Обложка!$H$18)</f>
        <v>0</v>
      </c>
      <c r="R55" s="685">
        <f t="shared" si="2"/>
        <v>0</v>
      </c>
      <c r="S55" s="212">
        <f>IF($B55="Яйцо (шт)",SUMIF(Меню!$J$8:$EZ$8,$B55,Меню!$J$163:$EZ$163)*Обложка!$J$15/60,SUMIF(Меню!$J$8:$EZ$8,$B55,Меню!$J$163:$EZ$163)/1000*Обложка!$J$15)</f>
        <v>0</v>
      </c>
      <c r="T55" s="212">
        <f>IF($B55="Яйцо (шт)",SUMIF(Меню!$J$8:$EZ$8,$B55,Меню!$J$178:$EZ$178)*Обложка!$J$16/60,SUMIF(Меню!$J$8:$EZ$8,$B55,Меню!$J$178:$EZ$178)/1000*Обложка!$J$16)</f>
        <v>0</v>
      </c>
      <c r="U55" s="212">
        <f>IF($B55="Яйцо (шт)",SUMIF(Меню!$J$8:$EZ$8,$B55,Меню!$J$191:$EZ$191)*Обложка!$J$17/60,SUMIF(Меню!$J$8:$EZ$8,$B55,Меню!$J$191:$EZ$191)/1000*Обложка!$J$17)</f>
        <v>0</v>
      </c>
      <c r="V55" s="212">
        <f>IF($B55="Яйцо (шт)",SUMIF(Меню!$J$8:$EZ$8,$B55,Меню!$J$196:$EZ$196)*Обложка!$J$18/60,SUMIF(Меню!$J$8:$EZ$8,$B55,Меню!$J$196:$EZ$196)/1000*Обложка!$J$18)</f>
        <v>0</v>
      </c>
      <c r="W55" s="685">
        <f t="shared" si="3"/>
        <v>0</v>
      </c>
      <c r="X55" s="212">
        <f>IF($B55="Яйцо (шт)",SUMIF(Меню!$J$8:$EZ$8,$B55,Меню!$J$208:$EZ$208)*Обложка!$L$15/60,SUMIF(Меню!$J$8:$EZ$8,$B55,Меню!$J$208:$EZ$208)/1000*Обложка!$L$15)</f>
        <v>0</v>
      </c>
      <c r="Y55" s="212">
        <f>IF($B55="Яйцо (шт)",SUMIF(Меню!$J$8:$EZ$8,$B55,Меню!$J$223:$EZ$223)*Обложка!$L$16/60,SUMIF(Меню!$J$8:$EZ$8,$B55,Меню!$J$223:$EZ$223)/1000*Обложка!$J$16)</f>
        <v>0</v>
      </c>
      <c r="Z55" s="212">
        <f>IF($B55="Яйцо (шт)",SUMIF(Меню!$J$8:$EZ$8,$B55,Меню!$J$236:$EZ$236)*Обложка!$L$17/60,SUMIF(Меню!$J$8:$EZ$8,$B55,Меню!$J$236:$EZ$236)/1000*Обложка!$L$17)</f>
        <v>0</v>
      </c>
      <c r="AA55" s="212">
        <f>IF($B55="Яйцо (шт)",SUMIF(Меню!$J$8:$EZ$8,$B55,Меню!$J$241:$EZ$241)*Обложка!$L$18/60,SUMIF(Меню!$J$8:$EZ$8,$B55,Меню!$J$241:$EZ$241)/1000*Обложка!$L$18)</f>
        <v>0</v>
      </c>
      <c r="AB55" s="685">
        <f t="shared" si="4"/>
        <v>0</v>
      </c>
      <c r="AC55" s="212">
        <f>IF($B55="Яйцо (шт)",SUMIF(Меню!$J$8:$EZ$8,$B55,Меню!$J$253:$EZ$253)*Обложка!$N$15/60,SUMIF(Меню!$J$8:$EZ$8,$B55,Меню!$J$253:$EZ$253)/1000*Обложка!$N$15)</f>
        <v>0</v>
      </c>
      <c r="AD55" s="212">
        <f>IF($B55="Яйцо (шт)",SUMIF(Меню!$J$8:$EZ$8,$B55,Меню!$J$268:$EZ$268)*Обложка!$N$16/60,SUMIF(Меню!$J$8:$EZ$8,$B55,Меню!$J$268:$EZ$268)/1000*Обложка!$N$16)</f>
        <v>0</v>
      </c>
      <c r="AE55" s="212">
        <f>IF($B55="Яйцо (шт)",SUMIF(Меню!$J$8:$EZ$8,$B55,Меню!$J$281:$EZ$281)*Обложка!$N$17/60,SUMIF(Меню!$J$8:$EZ$8,$B55,Меню!$J$281:$EZ$281)/1000*Обложка!$N$17)</f>
        <v>0</v>
      </c>
      <c r="AF55" s="212">
        <f>IF($B55="Яйцо (шт)",SUMIF(Меню!$J$8:$EZ$8,$B55,Меню!$J$286:$EZ$286)*Обложка!$N$18/60,SUMIF(Меню!$J$8:$EZ$8,$B55,Меню!$J$286:$EZ$286)/1000*Обложка!$N$18)</f>
        <v>0</v>
      </c>
      <c r="AG55" s="685">
        <f t="shared" si="5"/>
        <v>0</v>
      </c>
      <c r="AH55" s="212">
        <f>IF($B55="Яйцо (шт)",SUMIF(Меню!$J$8:$EZ$8,$B55,Меню!$J$298:$EZ$298)*Обложка!$P$15/60,SUMIF(Меню!$J$8:$EZ$8,$B55,Меню!$J$298:$EZ$298)/1000*Обложка!$P$15)</f>
        <v>0</v>
      </c>
      <c r="AI55" s="212">
        <f>IF($B55="Яйцо (шт)",SUMIF(Меню!$J$8:$EZ$8,$BB55,Меню!$J$313:$EZ$313)*Обложка!$P$16/60,SUMIF(Меню!$J$8:$EZ$8,$B55,Меню!$J$313:$EZ$313)/1000*Обложка!$P$16)</f>
        <v>0</v>
      </c>
      <c r="AJ55" s="212">
        <f>IF($B55="Яйцо (шт)",SUMIF(Меню!$J$8:$EZ$8,$B55,Меню!$J$326:$EZ$326)*Обложка!$P$17/60,SUMIF(Меню!$J$8:$EZ$8,$B55,Меню!$J$326:$EZ$326)/1000*Обложка!$P$17)</f>
        <v>0</v>
      </c>
      <c r="AK55" s="212">
        <f>IF($B55="Яйцо (шт)",SUMIF(Меню!$J$8:$EZ$8,$B55,Меню!$J$331:$EZ$331)*Обложка!$P$18/60,SUMIF(Меню!$J$8:$EZ$8,$B55,Меню!$J$331:$EZ$331)/1000*Обложка!$P$18)</f>
        <v>0</v>
      </c>
      <c r="AL55" s="699">
        <f t="shared" si="6"/>
        <v>0</v>
      </c>
      <c r="AM55" s="685">
        <f t="shared" si="7"/>
        <v>0</v>
      </c>
    </row>
    <row r="56" spans="1:39" x14ac:dyDescent="0.25">
      <c r="A56" s="249">
        <f t="shared" si="8"/>
        <v>44</v>
      </c>
      <c r="B56" s="248" t="str">
        <f>инфо!D45</f>
        <v>Кабачки консерв.</v>
      </c>
      <c r="C56" s="694">
        <f>SUMIF(Меню!$J$8:$FD$8,$B56,Меню!$J$333:$FD$333)</f>
        <v>0</v>
      </c>
      <c r="D56" s="212">
        <f>IF($B56="Яйцо (шт)",SUMIF(Меню!$J$8:$FD$8,$B56,Меню!$J$28:$FD$28)*Обложка!$D$15/60,SUMIF(Меню!$J$8:$FD$8,$B56,Меню!$J$28:$FD$28)/1000*Обложка!$D$15)</f>
        <v>0</v>
      </c>
      <c r="E56" s="212">
        <f>IF($B56="Яйцо (шт)",SUMIF(Меню!$J$8:$FD$8,$B56,Меню!$J$43:$FD$43)*Обложка!$D$16/60,SUMIF(Меню!$J$8:$FD$8,$B56,Меню!$J$43:$FD$43)/1000*Обложка!$D$16)</f>
        <v>0</v>
      </c>
      <c r="F56" s="212">
        <f>IF($B56="Яйцо (шт)",SUMIF(Меню!$J$8:$FD$8,$B56,Меню!$J$56:$FD$56)*Обложка!$D$17/60,SUMIF(Меню!$J$8:$FD$8,$B56,Меню!$J$56:$FD$56)/1000*Обложка!$D$17)</f>
        <v>0</v>
      </c>
      <c r="G56" s="212">
        <f>IF($B56="Яйцо (шт)",SUMIF(Меню!$J$8:$FD$8,$B56,Меню!$J$61:$FD$61)*Обложка!$D$18/60,SUMIF(Меню!$J$8:$FD$8,$B56,Меню!$J$61:$FD$61)/1000*Обложка!$D$18)</f>
        <v>0</v>
      </c>
      <c r="H56" s="685">
        <f t="shared" si="0"/>
        <v>0</v>
      </c>
      <c r="I56" s="212">
        <f>IF($B56="Яйцо (шт)",SUMIF(Меню!$J$8:$FD$8,$B56,Меню!$J$73:$FD$73)*Обложка!$F$15/60,SUMIF(Меню!$J$8:$FD$8,$B56,Меню!$J$73:$FD$73)/1000*Обложка!$F$15)</f>
        <v>0</v>
      </c>
      <c r="J56" s="212">
        <f>IF($B56="Яйцо (шт)",SUMIF(Меню!$J$8:$FD$8,$B56,Меню!$J$88:$FD$88)*Обложка!$F$16/60,SUMIF(Меню!$J$8:$FD$8,$B56,Меню!$J$88:$FD$88)/1000*Обложка!$G$16)</f>
        <v>0</v>
      </c>
      <c r="K56" s="212">
        <f>IF($B56="Яйцо (шт)",SUMIF(Меню!$J$8:$FD$8,$B56,Меню!$J$101:$FD$101)*Обложка!$F$17/60,SUMIF(Меню!$J$8:$FD$8,$B56,Меню!$J$101:$FD$101)/1000*Обложка!$F$17)</f>
        <v>0</v>
      </c>
      <c r="L56" s="212">
        <f>IF($B56="Яйцо (шт)",SUMIF(Меню!$J$8:$FD$8,$B56,Меню!$J$106:$FD$106)*Обложка!$F$18/60,SUMIF(Меню!$J$8:$FD$8,$B56,Меню!$J$106:$FD$106)/1000*Обложка!$F$18)</f>
        <v>0</v>
      </c>
      <c r="M56" s="685">
        <f t="shared" si="1"/>
        <v>0</v>
      </c>
      <c r="N56" s="212">
        <f>IF($B56="Яйцо (шт)",SUMIF(Меню!$J$8:$EZ$8,$B56,Меню!$J$118:$EZ$118)*Обложка!$H$15/60,SUMIF(Меню!$J$8:$EZ$8,$B56,Меню!$J$118:$EZ$118)/1000*Обложка!$H$15)</f>
        <v>0</v>
      </c>
      <c r="O56" s="212">
        <f>IF($B56="Яйцо (шт)",SUMIF(Меню!$J$8:$EZ$8,$B56,Меню!$J$133:$EZ$133)*Обложка!$H$16/60,SUMIF(Меню!$J$8:$EZ$8,$B56,Меню!$J$133:$EZ$133)/1000*Обложка!$H$16)</f>
        <v>0</v>
      </c>
      <c r="P56" s="212">
        <f>IF($B56="Яйцо (шт)",SUMIF(Меню!$J$8:$EZ$8,$B56,Меню!$J$146:$EZ$146)*Обложка!$H$17/60,SUMIF(Меню!$J$8:$EZ$8,$B56,Меню!$J$146:$EZ$146)/1000*Обложка!$H$17)</f>
        <v>0</v>
      </c>
      <c r="Q56" s="212">
        <f>IF($B56="Яйцо (шт)",SUMIF(Меню!$J$8:$EZ$8,$B56,Меню!$J$151:$EZ$151)*Обложка!$H$18/60,SUMIF(Меню!$J$8:$EZ$8,$B56,Меню!$J$151:$EZ$151)/1000*Обложка!$H$18)</f>
        <v>0</v>
      </c>
      <c r="R56" s="685">
        <f t="shared" si="2"/>
        <v>0</v>
      </c>
      <c r="S56" s="212">
        <f>IF($B56="Яйцо (шт)",SUMIF(Меню!$J$8:$EZ$8,$B56,Меню!$J$163:$EZ$163)*Обложка!$J$15/60,SUMIF(Меню!$J$8:$EZ$8,$B56,Меню!$J$163:$EZ$163)/1000*Обложка!$J$15)</f>
        <v>0</v>
      </c>
      <c r="T56" s="212">
        <f>IF($B56="Яйцо (шт)",SUMIF(Меню!$J$8:$EZ$8,$B56,Меню!$J$178:$EZ$178)*Обложка!$J$16/60,SUMIF(Меню!$J$8:$EZ$8,$B56,Меню!$J$178:$EZ$178)/1000*Обложка!$J$16)</f>
        <v>0</v>
      </c>
      <c r="U56" s="212">
        <f>IF($B56="Яйцо (шт)",SUMIF(Меню!$J$8:$EZ$8,$B56,Меню!$J$191:$EZ$191)*Обложка!$J$17/60,SUMIF(Меню!$J$8:$EZ$8,$B56,Меню!$J$191:$EZ$191)/1000*Обложка!$J$17)</f>
        <v>0</v>
      </c>
      <c r="V56" s="212">
        <f>IF($B56="Яйцо (шт)",SUMIF(Меню!$J$8:$EZ$8,$B56,Меню!$J$196:$EZ$196)*Обложка!$J$18/60,SUMIF(Меню!$J$8:$EZ$8,$B56,Меню!$J$196:$EZ$196)/1000*Обложка!$J$18)</f>
        <v>0</v>
      </c>
      <c r="W56" s="685">
        <f t="shared" si="3"/>
        <v>0</v>
      </c>
      <c r="X56" s="212">
        <f>IF($B56="Яйцо (шт)",SUMIF(Меню!$J$8:$EZ$8,$B56,Меню!$J$208:$EZ$208)*Обложка!$L$15/60,SUMIF(Меню!$J$8:$EZ$8,$B56,Меню!$J$208:$EZ$208)/1000*Обложка!$L$15)</f>
        <v>0</v>
      </c>
      <c r="Y56" s="212">
        <f>IF($B56="Яйцо (шт)",SUMIF(Меню!$J$8:$EZ$8,$B56,Меню!$J$223:$EZ$223)*Обложка!$L$16/60,SUMIF(Меню!$J$8:$EZ$8,$B56,Меню!$J$223:$EZ$223)/1000*Обложка!$J$16)</f>
        <v>0</v>
      </c>
      <c r="Z56" s="212">
        <f>IF($B56="Яйцо (шт)",SUMIF(Меню!$J$8:$EZ$8,$B56,Меню!$J$236:$EZ$236)*Обложка!$L$17/60,SUMIF(Меню!$J$8:$EZ$8,$B56,Меню!$J$236:$EZ$236)/1000*Обложка!$L$17)</f>
        <v>0</v>
      </c>
      <c r="AA56" s="212">
        <f>IF($B56="Яйцо (шт)",SUMIF(Меню!$J$8:$EZ$8,$B56,Меню!$J$241:$EZ$241)*Обложка!$L$18/60,SUMIF(Меню!$J$8:$EZ$8,$B56,Меню!$J$241:$EZ$241)/1000*Обложка!$L$18)</f>
        <v>0</v>
      </c>
      <c r="AB56" s="685">
        <f t="shared" si="4"/>
        <v>0</v>
      </c>
      <c r="AC56" s="212">
        <f>IF($B56="Яйцо (шт)",SUMIF(Меню!$J$8:$EZ$8,$B56,Меню!$J$253:$EZ$253)*Обложка!$N$15/60,SUMIF(Меню!$J$8:$EZ$8,$B56,Меню!$J$253:$EZ$253)/1000*Обложка!$N$15)</f>
        <v>0</v>
      </c>
      <c r="AD56" s="212">
        <f>IF($B56="Яйцо (шт)",SUMIF(Меню!$J$8:$EZ$8,$B56,Меню!$J$268:$EZ$268)*Обложка!$N$16/60,SUMIF(Меню!$J$8:$EZ$8,$B56,Меню!$J$268:$EZ$268)/1000*Обложка!$N$16)</f>
        <v>0</v>
      </c>
      <c r="AE56" s="212">
        <f>IF($B56="Яйцо (шт)",SUMIF(Меню!$J$8:$EZ$8,$B56,Меню!$J$281:$EZ$281)*Обложка!$N$17/60,SUMIF(Меню!$J$8:$EZ$8,$B56,Меню!$J$281:$EZ$281)/1000*Обложка!$N$17)</f>
        <v>0</v>
      </c>
      <c r="AF56" s="212">
        <f>IF($B56="Яйцо (шт)",SUMIF(Меню!$J$8:$EZ$8,$B56,Меню!$J$286:$EZ$286)*Обложка!$N$18/60,SUMIF(Меню!$J$8:$EZ$8,$B56,Меню!$J$286:$EZ$286)/1000*Обложка!$N$18)</f>
        <v>0</v>
      </c>
      <c r="AG56" s="685">
        <f t="shared" si="5"/>
        <v>0</v>
      </c>
      <c r="AH56" s="212">
        <f>IF($B56="Яйцо (шт)",SUMIF(Меню!$J$8:$EZ$8,$B56,Меню!$J$298:$EZ$298)*Обложка!$P$15/60,SUMIF(Меню!$J$8:$EZ$8,$B56,Меню!$J$298:$EZ$298)/1000*Обложка!$P$15)</f>
        <v>0</v>
      </c>
      <c r="AI56" s="212">
        <f>IF($B56="Яйцо (шт)",SUMIF(Меню!$J$8:$EZ$8,$BB56,Меню!$J$313:$EZ$313)*Обложка!$P$16/60,SUMIF(Меню!$J$8:$EZ$8,$B56,Меню!$J$313:$EZ$313)/1000*Обложка!$P$16)</f>
        <v>0</v>
      </c>
      <c r="AJ56" s="212">
        <f>IF($B56="Яйцо (шт)",SUMIF(Меню!$J$8:$EZ$8,$B56,Меню!$J$326:$EZ$326)*Обложка!$P$17/60,SUMIF(Меню!$J$8:$EZ$8,$B56,Меню!$J$326:$EZ$326)/1000*Обложка!$P$17)</f>
        <v>0</v>
      </c>
      <c r="AK56" s="212">
        <f>IF($B56="Яйцо (шт)",SUMIF(Меню!$J$8:$EZ$8,$B56,Меню!$J$331:$EZ$331)*Обложка!$P$18/60,SUMIF(Меню!$J$8:$EZ$8,$B56,Меню!$J$331:$EZ$331)/1000*Обложка!$P$18)</f>
        <v>0</v>
      </c>
      <c r="AL56" s="699">
        <f t="shared" si="6"/>
        <v>0</v>
      </c>
      <c r="AM56" s="685">
        <f t="shared" si="7"/>
        <v>0</v>
      </c>
    </row>
    <row r="57" spans="1:39" x14ac:dyDescent="0.25">
      <c r="A57" s="249">
        <f t="shared" si="8"/>
        <v>45</v>
      </c>
      <c r="B57" s="248" t="str">
        <f>инфо!D46</f>
        <v>Консервы овощ. закусочные, лечо</v>
      </c>
      <c r="C57" s="694">
        <f>SUMIF(Меню!$J$8:$FD$8,$B57,Меню!$J$333:$FD$333)</f>
        <v>137.5</v>
      </c>
      <c r="D57" s="212">
        <f>IF($B57="Яйцо (шт)",SUMIF(Меню!$J$8:$FD$8,$B57,Меню!$J$28:$FD$28)*Обложка!$D$15/60,SUMIF(Меню!$J$8:$FD$8,$B57,Меню!$J$28:$FD$28)/1000*Обложка!$D$15)</f>
        <v>0</v>
      </c>
      <c r="E57" s="212">
        <f>IF($B57="Яйцо (шт)",SUMIF(Меню!$J$8:$FD$8,$B57,Меню!$J$43:$FD$43)*Обложка!$D$16/60,SUMIF(Меню!$J$8:$FD$8,$B57,Меню!$J$43:$FD$43)/1000*Обложка!$D$16)</f>
        <v>0</v>
      </c>
      <c r="F57" s="212">
        <f>IF($B57="Яйцо (шт)",SUMIF(Меню!$J$8:$FD$8,$B57,Меню!$J$56:$FD$56)*Обложка!$D$17/60,SUMIF(Меню!$J$8:$FD$8,$B57,Меню!$J$56:$FD$56)/1000*Обложка!$D$17)</f>
        <v>2.44</v>
      </c>
      <c r="G57" s="212">
        <f>IF($B57="Яйцо (шт)",SUMIF(Меню!$J$8:$FD$8,$B57,Меню!$J$61:$FD$61)*Обложка!$D$18/60,SUMIF(Меню!$J$8:$FD$8,$B57,Меню!$J$61:$FD$61)/1000*Обложка!$D$18)</f>
        <v>0</v>
      </c>
      <c r="H57" s="685">
        <f t="shared" si="0"/>
        <v>2.44</v>
      </c>
      <c r="I57" s="212">
        <f>IF($B57="Яйцо (шт)",SUMIF(Меню!$J$8:$FD$8,$B57,Меню!$J$73:$FD$73)*Обложка!$F$15/60,SUMIF(Меню!$J$8:$FD$8,$B57,Меню!$J$73:$FD$73)/1000*Обложка!$F$15)</f>
        <v>2.56</v>
      </c>
      <c r="J57" s="212">
        <f>IF($B57="Яйцо (шт)",SUMIF(Меню!$J$8:$FD$8,$B57,Меню!$J$88:$FD$88)*Обложка!$F$16/60,SUMIF(Меню!$J$8:$FD$8,$B57,Меню!$J$88:$FD$88)/1000*Обложка!$G$16)</f>
        <v>0</v>
      </c>
      <c r="K57" s="212">
        <f>IF($B57="Яйцо (шт)",SUMIF(Меню!$J$8:$FD$8,$B57,Меню!$J$101:$FD$101)*Обложка!$F$17/60,SUMIF(Меню!$J$8:$FD$8,$B57,Меню!$J$101:$FD$101)/1000*Обложка!$F$17)</f>
        <v>0</v>
      </c>
      <c r="L57" s="212">
        <f>IF($B57="Яйцо (шт)",SUMIF(Меню!$J$8:$FD$8,$B57,Меню!$J$106:$FD$106)*Обложка!$F$18/60,SUMIF(Меню!$J$8:$FD$8,$B57,Меню!$J$106:$FD$106)/1000*Обложка!$F$18)</f>
        <v>0</v>
      </c>
      <c r="M57" s="685">
        <f t="shared" si="1"/>
        <v>2.56</v>
      </c>
      <c r="N57" s="212">
        <f>IF($B57="Яйцо (шт)",SUMIF(Меню!$J$8:$EZ$8,$B57,Меню!$J$118:$EZ$118)*Обложка!$H$15/60,SUMIF(Меню!$J$8:$EZ$8,$B57,Меню!$J$118:$EZ$118)/1000*Обложка!$H$15)</f>
        <v>0</v>
      </c>
      <c r="O57" s="212">
        <f>IF($B57="Яйцо (шт)",SUMIF(Меню!$J$8:$EZ$8,$B57,Меню!$J$133:$EZ$133)*Обложка!$H$16/60,SUMIF(Меню!$J$8:$EZ$8,$B57,Меню!$J$133:$EZ$133)/1000*Обложка!$H$16)</f>
        <v>0</v>
      </c>
      <c r="P57" s="212">
        <f>IF($B57="Яйцо (шт)",SUMIF(Меню!$J$8:$EZ$8,$B57,Меню!$J$146:$EZ$146)*Обложка!$H$17/60,SUMIF(Меню!$J$8:$EZ$8,$B57,Меню!$J$146:$EZ$146)/1000*Обложка!$H$17)</f>
        <v>4.3125</v>
      </c>
      <c r="Q57" s="212">
        <f>IF($B57="Яйцо (шт)",SUMIF(Меню!$J$8:$EZ$8,$B57,Меню!$J$151:$EZ$151)*Обложка!$H$18/60,SUMIF(Меню!$J$8:$EZ$8,$B57,Меню!$J$151:$EZ$151)/1000*Обложка!$H$18)</f>
        <v>0</v>
      </c>
      <c r="R57" s="685">
        <f t="shared" si="2"/>
        <v>4.3125</v>
      </c>
      <c r="S57" s="212">
        <f>IF($B57="Яйцо (шт)",SUMIF(Меню!$J$8:$EZ$8,$B57,Меню!$J$163:$EZ$163)*Обложка!$J$15/60,SUMIF(Меню!$J$8:$EZ$8,$B57,Меню!$J$163:$EZ$163)/1000*Обложка!$J$15)</f>
        <v>0</v>
      </c>
      <c r="T57" s="212">
        <f>IF($B57="Яйцо (шт)",SUMIF(Меню!$J$8:$EZ$8,$B57,Меню!$J$178:$EZ$178)*Обложка!$J$16/60,SUMIF(Меню!$J$8:$EZ$8,$B57,Меню!$J$178:$EZ$178)/1000*Обложка!$J$16)</f>
        <v>0</v>
      </c>
      <c r="U57" s="212">
        <f>IF($B57="Яйцо (шт)",SUMIF(Меню!$J$8:$EZ$8,$B57,Меню!$J$191:$EZ$191)*Обложка!$J$17/60,SUMIF(Меню!$J$8:$EZ$8,$B57,Меню!$J$191:$EZ$191)/1000*Обложка!$J$17)</f>
        <v>0</v>
      </c>
      <c r="V57" s="212">
        <f>IF($B57="Яйцо (шт)",SUMIF(Меню!$J$8:$EZ$8,$B57,Меню!$J$196:$EZ$196)*Обложка!$J$18/60,SUMIF(Меню!$J$8:$EZ$8,$B57,Меню!$J$196:$EZ$196)/1000*Обложка!$J$18)</f>
        <v>0</v>
      </c>
      <c r="W57" s="685">
        <f t="shared" si="3"/>
        <v>0</v>
      </c>
      <c r="X57" s="212">
        <f>IF($B57="Яйцо (шт)",SUMIF(Меню!$J$8:$EZ$8,$B57,Меню!$J$208:$EZ$208)*Обложка!$L$15/60,SUMIF(Меню!$J$8:$EZ$8,$B57,Меню!$J$208:$EZ$208)/1000*Обложка!$L$15)</f>
        <v>0</v>
      </c>
      <c r="Y57" s="212">
        <f>IF($B57="Яйцо (шт)",SUMIF(Меню!$J$8:$EZ$8,$B57,Меню!$J$223:$EZ$223)*Обложка!$L$16/60,SUMIF(Меню!$J$8:$EZ$8,$B57,Меню!$J$223:$EZ$223)/1000*Обложка!$J$16)</f>
        <v>0</v>
      </c>
      <c r="Z57" s="212">
        <f>IF($B57="Яйцо (шт)",SUMIF(Меню!$J$8:$EZ$8,$B57,Меню!$J$236:$EZ$236)*Обложка!$L$17/60,SUMIF(Меню!$J$8:$EZ$8,$B57,Меню!$J$236:$EZ$236)/1000*Обложка!$L$17)</f>
        <v>0.70000000000000007</v>
      </c>
      <c r="AA57" s="212">
        <f>IF($B57="Яйцо (шт)",SUMIF(Меню!$J$8:$EZ$8,$B57,Меню!$J$241:$EZ$241)*Обложка!$L$18/60,SUMIF(Меню!$J$8:$EZ$8,$B57,Меню!$J$241:$EZ$241)/1000*Обложка!$L$18)</f>
        <v>0</v>
      </c>
      <c r="AB57" s="685">
        <f t="shared" si="4"/>
        <v>0.70000000000000007</v>
      </c>
      <c r="AC57" s="212">
        <f>IF($B57="Яйцо (шт)",SUMIF(Меню!$J$8:$EZ$8,$B57,Меню!$J$253:$EZ$253)*Обложка!$N$15/60,SUMIF(Меню!$J$8:$EZ$8,$B57,Меню!$J$253:$EZ$253)/1000*Обложка!$N$15)</f>
        <v>0.9</v>
      </c>
      <c r="AD57" s="212">
        <f>IF($B57="Яйцо (шт)",SUMIF(Меню!$J$8:$EZ$8,$B57,Меню!$J$268:$EZ$268)*Обложка!$N$16/60,SUMIF(Меню!$J$8:$EZ$8,$B57,Меню!$J$268:$EZ$268)/1000*Обложка!$N$16)</f>
        <v>0</v>
      </c>
      <c r="AE57" s="212">
        <f>IF($B57="Яйцо (шт)",SUMIF(Меню!$J$8:$EZ$8,$B57,Меню!$J$281:$EZ$281)*Обложка!$N$17/60,SUMIF(Меню!$J$8:$EZ$8,$B57,Меню!$J$281:$EZ$281)/1000*Обложка!$N$17)</f>
        <v>0</v>
      </c>
      <c r="AF57" s="212">
        <f>IF($B57="Яйцо (шт)",SUMIF(Меню!$J$8:$EZ$8,$B57,Меню!$J$286:$EZ$286)*Обложка!$N$18/60,SUMIF(Меню!$J$8:$EZ$8,$B57,Меню!$J$286:$EZ$286)/1000*Обложка!$N$18)</f>
        <v>0</v>
      </c>
      <c r="AG57" s="685">
        <f t="shared" si="5"/>
        <v>0.9</v>
      </c>
      <c r="AH57" s="212">
        <f>IF($B57="Яйцо (шт)",SUMIF(Меню!$J$8:$EZ$8,$B57,Меню!$J$298:$EZ$298)*Обложка!$P$15/60,SUMIF(Меню!$J$8:$EZ$8,$B57,Меню!$J$298:$EZ$298)/1000*Обложка!$P$15)</f>
        <v>0</v>
      </c>
      <c r="AI57" s="212">
        <f>IF($B57="Яйцо (шт)",SUMIF(Меню!$J$8:$EZ$8,$BB57,Меню!$J$313:$EZ$313)*Обложка!$P$16/60,SUMIF(Меню!$J$8:$EZ$8,$B57,Меню!$J$313:$EZ$313)/1000*Обложка!$P$16)</f>
        <v>0</v>
      </c>
      <c r="AJ57" s="212">
        <f>IF($B57="Яйцо (шт)",SUMIF(Меню!$J$8:$EZ$8,$B57,Меню!$J$326:$EZ$326)*Обложка!$P$17/60,SUMIF(Меню!$J$8:$EZ$8,$B57,Меню!$J$326:$EZ$326)/1000*Обложка!$P$17)</f>
        <v>0.5</v>
      </c>
      <c r="AK57" s="212">
        <f>IF($B57="Яйцо (шт)",SUMIF(Меню!$J$8:$EZ$8,$B57,Меню!$J$331:$EZ$331)*Обложка!$P$18/60,SUMIF(Меню!$J$8:$EZ$8,$B57,Меню!$J$331:$EZ$331)/1000*Обложка!$P$18)</f>
        <v>0</v>
      </c>
      <c r="AL57" s="699">
        <f t="shared" si="6"/>
        <v>0.5</v>
      </c>
      <c r="AM57" s="685">
        <f t="shared" si="7"/>
        <v>11.4125</v>
      </c>
    </row>
    <row r="58" spans="1:39" x14ac:dyDescent="0.25">
      <c r="A58" s="249">
        <f t="shared" si="8"/>
        <v>46</v>
      </c>
      <c r="B58" s="248" t="str">
        <f>инфо!D47</f>
        <v>Овощи 1</v>
      </c>
      <c r="C58" s="694">
        <f>SUMIF(Меню!$J$8:$FD$8,$B58,Меню!$J$333:$FD$333)</f>
        <v>0</v>
      </c>
      <c r="D58" s="212">
        <f>IF($B58="Яйцо (шт)",SUMIF(Меню!$J$8:$FD$8,$B58,Меню!$J$28:$FD$28)*Обложка!$D$15/60,SUMIF(Меню!$J$8:$FD$8,$B58,Меню!$J$28:$FD$28)/1000*Обложка!$D$15)</f>
        <v>0</v>
      </c>
      <c r="E58" s="212">
        <f>IF($B58="Яйцо (шт)",SUMIF(Меню!$J$8:$FD$8,$B58,Меню!$J$43:$FD$43)*Обложка!$D$16/60,SUMIF(Меню!$J$8:$FD$8,$B58,Меню!$J$43:$FD$43)/1000*Обложка!$D$16)</f>
        <v>0</v>
      </c>
      <c r="F58" s="212">
        <f>IF($B58="Яйцо (шт)",SUMIF(Меню!$J$8:$FD$8,$B58,Меню!$J$56:$FD$56)*Обложка!$D$17/60,SUMIF(Меню!$J$8:$FD$8,$B58,Меню!$J$56:$FD$56)/1000*Обложка!$D$17)</f>
        <v>0</v>
      </c>
      <c r="G58" s="212">
        <f>IF($B58="Яйцо (шт)",SUMIF(Меню!$J$8:$FD$8,$B58,Меню!$J$61:$FD$61)*Обложка!$D$18/60,SUMIF(Меню!$J$8:$FD$8,$B58,Меню!$J$61:$FD$61)/1000*Обложка!$D$18)</f>
        <v>0</v>
      </c>
      <c r="H58" s="685">
        <f t="shared" si="0"/>
        <v>0</v>
      </c>
      <c r="I58" s="212">
        <f>IF($B58="Яйцо (шт)",SUMIF(Меню!$J$8:$FD$8,$B58,Меню!$J$73:$FD$73)*Обложка!$F$15/60,SUMIF(Меню!$J$8:$FD$8,$B58,Меню!$J$73:$FD$73)/1000*Обложка!$F$15)</f>
        <v>0</v>
      </c>
      <c r="J58" s="212">
        <f>IF($B58="Яйцо (шт)",SUMIF(Меню!$J$8:$FD$8,$B58,Меню!$J$88:$FD$88)*Обложка!$F$16/60,SUMIF(Меню!$J$8:$FD$8,$B58,Меню!$J$88:$FD$88)/1000*Обложка!$G$16)</f>
        <v>0</v>
      </c>
      <c r="K58" s="212">
        <f>IF($B58="Яйцо (шт)",SUMIF(Меню!$J$8:$FD$8,$B58,Меню!$J$101:$FD$101)*Обложка!$F$17/60,SUMIF(Меню!$J$8:$FD$8,$B58,Меню!$J$101:$FD$101)/1000*Обложка!$F$17)</f>
        <v>0</v>
      </c>
      <c r="L58" s="212">
        <f>IF($B58="Яйцо (шт)",SUMIF(Меню!$J$8:$FD$8,$B58,Меню!$J$106:$FD$106)*Обложка!$F$18/60,SUMIF(Меню!$J$8:$FD$8,$B58,Меню!$J$106:$FD$106)/1000*Обложка!$F$18)</f>
        <v>0</v>
      </c>
      <c r="M58" s="685">
        <f t="shared" si="1"/>
        <v>0</v>
      </c>
      <c r="N58" s="212">
        <f>IF($B58="Яйцо (шт)",SUMIF(Меню!$J$8:$EZ$8,$B58,Меню!$J$118:$EZ$118)*Обложка!$H$15/60,SUMIF(Меню!$J$8:$EZ$8,$B58,Меню!$J$118:$EZ$118)/1000*Обложка!$H$15)</f>
        <v>0</v>
      </c>
      <c r="O58" s="212">
        <f>IF($B58="Яйцо (шт)",SUMIF(Меню!$J$8:$EZ$8,$B58,Меню!$J$133:$EZ$133)*Обложка!$H$16/60,SUMIF(Меню!$J$8:$EZ$8,$B58,Меню!$J$133:$EZ$133)/1000*Обложка!$H$16)</f>
        <v>0</v>
      </c>
      <c r="P58" s="212">
        <f>IF($B58="Яйцо (шт)",SUMIF(Меню!$J$8:$EZ$8,$B58,Меню!$J$146:$EZ$146)*Обложка!$H$17/60,SUMIF(Меню!$J$8:$EZ$8,$B58,Меню!$J$146:$EZ$146)/1000*Обложка!$H$17)</f>
        <v>0</v>
      </c>
      <c r="Q58" s="212">
        <f>IF($B58="Яйцо (шт)",SUMIF(Меню!$J$8:$EZ$8,$B58,Меню!$J$151:$EZ$151)*Обложка!$H$18/60,SUMIF(Меню!$J$8:$EZ$8,$B58,Меню!$J$151:$EZ$151)/1000*Обложка!$H$18)</f>
        <v>0</v>
      </c>
      <c r="R58" s="685">
        <f t="shared" si="2"/>
        <v>0</v>
      </c>
      <c r="S58" s="212">
        <f>IF($B58="Яйцо (шт)",SUMIF(Меню!$J$8:$EZ$8,$B58,Меню!$J$163:$EZ$163)*Обложка!$J$15/60,SUMIF(Меню!$J$8:$EZ$8,$B58,Меню!$J$163:$EZ$163)/1000*Обложка!$J$15)</f>
        <v>0</v>
      </c>
      <c r="T58" s="212">
        <f>IF($B58="Яйцо (шт)",SUMIF(Меню!$J$8:$EZ$8,$B58,Меню!$J$178:$EZ$178)*Обложка!$J$16/60,SUMIF(Меню!$J$8:$EZ$8,$B58,Меню!$J$178:$EZ$178)/1000*Обложка!$J$16)</f>
        <v>0</v>
      </c>
      <c r="U58" s="212">
        <f>IF($B58="Яйцо (шт)",SUMIF(Меню!$J$8:$EZ$8,$B58,Меню!$J$191:$EZ$191)*Обложка!$J$17/60,SUMIF(Меню!$J$8:$EZ$8,$B58,Меню!$J$191:$EZ$191)/1000*Обложка!$J$17)</f>
        <v>0</v>
      </c>
      <c r="V58" s="212">
        <f>IF($B58="Яйцо (шт)",SUMIF(Меню!$J$8:$EZ$8,$B58,Меню!$J$196:$EZ$196)*Обложка!$J$18/60,SUMIF(Меню!$J$8:$EZ$8,$B58,Меню!$J$196:$EZ$196)/1000*Обложка!$J$18)</f>
        <v>0</v>
      </c>
      <c r="W58" s="685">
        <f t="shared" si="3"/>
        <v>0</v>
      </c>
      <c r="X58" s="212">
        <f>IF($B58="Яйцо (шт)",SUMIF(Меню!$J$8:$EZ$8,$B58,Меню!$J$208:$EZ$208)*Обложка!$L$15/60,SUMIF(Меню!$J$8:$EZ$8,$B58,Меню!$J$208:$EZ$208)/1000*Обложка!$L$15)</f>
        <v>0</v>
      </c>
      <c r="Y58" s="212">
        <f>IF($B58="Яйцо (шт)",SUMIF(Меню!$J$8:$EZ$8,$B58,Меню!$J$223:$EZ$223)*Обложка!$L$16/60,SUMIF(Меню!$J$8:$EZ$8,$B58,Меню!$J$223:$EZ$223)/1000*Обложка!$J$16)</f>
        <v>0</v>
      </c>
      <c r="Z58" s="212">
        <f>IF($B58="Яйцо (шт)",SUMIF(Меню!$J$8:$EZ$8,$B58,Меню!$J$236:$EZ$236)*Обложка!$L$17/60,SUMIF(Меню!$J$8:$EZ$8,$B58,Меню!$J$236:$EZ$236)/1000*Обложка!$L$17)</f>
        <v>0</v>
      </c>
      <c r="AA58" s="212">
        <f>IF($B58="Яйцо (шт)",SUMIF(Меню!$J$8:$EZ$8,$B58,Меню!$J$241:$EZ$241)*Обложка!$L$18/60,SUMIF(Меню!$J$8:$EZ$8,$B58,Меню!$J$241:$EZ$241)/1000*Обложка!$L$18)</f>
        <v>0</v>
      </c>
      <c r="AB58" s="685">
        <f t="shared" si="4"/>
        <v>0</v>
      </c>
      <c r="AC58" s="212">
        <f>IF($B58="Яйцо (шт)",SUMIF(Меню!$J$8:$EZ$8,$B58,Меню!$J$253:$EZ$253)*Обложка!$N$15/60,SUMIF(Меню!$J$8:$EZ$8,$B58,Меню!$J$253:$EZ$253)/1000*Обложка!$N$15)</f>
        <v>0</v>
      </c>
      <c r="AD58" s="212">
        <f>IF($B58="Яйцо (шт)",SUMIF(Меню!$J$8:$EZ$8,$B58,Меню!$J$268:$EZ$268)*Обложка!$N$16/60,SUMIF(Меню!$J$8:$EZ$8,$B58,Меню!$J$268:$EZ$268)/1000*Обложка!$N$16)</f>
        <v>0</v>
      </c>
      <c r="AE58" s="212">
        <f>IF($B58="Яйцо (шт)",SUMIF(Меню!$J$8:$EZ$8,$B58,Меню!$J$281:$EZ$281)*Обложка!$N$17/60,SUMIF(Меню!$J$8:$EZ$8,$B58,Меню!$J$281:$EZ$281)/1000*Обложка!$N$17)</f>
        <v>0</v>
      </c>
      <c r="AF58" s="212">
        <f>IF($B58="Яйцо (шт)",SUMIF(Меню!$J$8:$EZ$8,$B58,Меню!$J$286:$EZ$286)*Обложка!$N$18/60,SUMIF(Меню!$J$8:$EZ$8,$B58,Меню!$J$286:$EZ$286)/1000*Обложка!$N$18)</f>
        <v>0</v>
      </c>
      <c r="AG58" s="685">
        <f t="shared" si="5"/>
        <v>0</v>
      </c>
      <c r="AH58" s="212">
        <f>IF($B58="Яйцо (шт)",SUMIF(Меню!$J$8:$EZ$8,$B58,Меню!$J$298:$EZ$298)*Обложка!$P$15/60,SUMIF(Меню!$J$8:$EZ$8,$B58,Меню!$J$298:$EZ$298)/1000*Обложка!$P$15)</f>
        <v>0</v>
      </c>
      <c r="AI58" s="212">
        <f>IF($B58="Яйцо (шт)",SUMIF(Меню!$J$8:$EZ$8,$BB58,Меню!$J$313:$EZ$313)*Обложка!$P$16/60,SUMIF(Меню!$J$8:$EZ$8,$B58,Меню!$J$313:$EZ$313)/1000*Обложка!$P$16)</f>
        <v>0</v>
      </c>
      <c r="AJ58" s="212">
        <f>IF($B58="Яйцо (шт)",SUMIF(Меню!$J$8:$EZ$8,$B58,Меню!$J$326:$EZ$326)*Обложка!$P$17/60,SUMIF(Меню!$J$8:$EZ$8,$B58,Меню!$J$326:$EZ$326)/1000*Обложка!$P$17)</f>
        <v>0</v>
      </c>
      <c r="AK58" s="212">
        <f>IF($B58="Яйцо (шт)",SUMIF(Меню!$J$8:$EZ$8,$B58,Меню!$J$331:$EZ$331)*Обложка!$P$18/60,SUMIF(Меню!$J$8:$EZ$8,$B58,Меню!$J$331:$EZ$331)/1000*Обложка!$P$18)</f>
        <v>0</v>
      </c>
      <c r="AL58" s="699">
        <f t="shared" si="6"/>
        <v>0</v>
      </c>
      <c r="AM58" s="685">
        <f t="shared" si="7"/>
        <v>0</v>
      </c>
    </row>
    <row r="59" spans="1:39" x14ac:dyDescent="0.25">
      <c r="A59" s="249">
        <f t="shared" si="8"/>
        <v>47</v>
      </c>
      <c r="B59" s="248" t="str">
        <f>инфо!D48</f>
        <v>Овощи 2</v>
      </c>
      <c r="C59" s="694">
        <f>SUMIF(Меню!$J$8:$FD$8,$B59,Меню!$J$333:$FD$333)</f>
        <v>0</v>
      </c>
      <c r="D59" s="212">
        <f>IF($B59="Яйцо (шт)",SUMIF(Меню!$J$8:$FD$8,$B59,Меню!$J$28:$FD$28)*Обложка!$D$15/60,SUMIF(Меню!$J$8:$FD$8,$B59,Меню!$J$28:$FD$28)/1000*Обложка!$D$15)</f>
        <v>0</v>
      </c>
      <c r="E59" s="212">
        <f>IF($B59="Яйцо (шт)",SUMIF(Меню!$J$8:$FD$8,$B59,Меню!$J$43:$FD$43)*Обложка!$D$16/60,SUMIF(Меню!$J$8:$FD$8,$B59,Меню!$J$43:$FD$43)/1000*Обложка!$D$16)</f>
        <v>0</v>
      </c>
      <c r="F59" s="212">
        <f>IF($B59="Яйцо (шт)",SUMIF(Меню!$J$8:$FD$8,$B59,Меню!$J$56:$FD$56)*Обложка!$D$17/60,SUMIF(Меню!$J$8:$FD$8,$B59,Меню!$J$56:$FD$56)/1000*Обложка!$D$17)</f>
        <v>0</v>
      </c>
      <c r="G59" s="212">
        <f>IF($B59="Яйцо (шт)",SUMIF(Меню!$J$8:$FD$8,$B59,Меню!$J$61:$FD$61)*Обложка!$D$18/60,SUMIF(Меню!$J$8:$FD$8,$B59,Меню!$J$61:$FD$61)/1000*Обложка!$D$18)</f>
        <v>0</v>
      </c>
      <c r="H59" s="685">
        <f t="shared" si="0"/>
        <v>0</v>
      </c>
      <c r="I59" s="212">
        <f>IF($B59="Яйцо (шт)",SUMIF(Меню!$J$8:$FD$8,$B59,Меню!$J$73:$FD$73)*Обложка!$F$15/60,SUMIF(Меню!$J$8:$FD$8,$B59,Меню!$J$73:$FD$73)/1000*Обложка!$F$15)</f>
        <v>0</v>
      </c>
      <c r="J59" s="212">
        <f>IF($B59="Яйцо (шт)",SUMIF(Меню!$J$8:$FD$8,$B59,Меню!$J$88:$FD$88)*Обложка!$F$16/60,SUMIF(Меню!$J$8:$FD$8,$B59,Меню!$J$88:$FD$88)/1000*Обложка!$G$16)</f>
        <v>0</v>
      </c>
      <c r="K59" s="212">
        <f>IF($B59="Яйцо (шт)",SUMIF(Меню!$J$8:$FD$8,$B59,Меню!$J$101:$FD$101)*Обложка!$F$17/60,SUMIF(Меню!$J$8:$FD$8,$B59,Меню!$J$101:$FD$101)/1000*Обложка!$F$17)</f>
        <v>0</v>
      </c>
      <c r="L59" s="212">
        <f>IF($B59="Яйцо (шт)",SUMIF(Меню!$J$8:$FD$8,$B59,Меню!$J$106:$FD$106)*Обложка!$F$18/60,SUMIF(Меню!$J$8:$FD$8,$B59,Меню!$J$106:$FD$106)/1000*Обложка!$F$18)</f>
        <v>0</v>
      </c>
      <c r="M59" s="685">
        <f t="shared" si="1"/>
        <v>0</v>
      </c>
      <c r="N59" s="212">
        <f>IF($B59="Яйцо (шт)",SUMIF(Меню!$J$8:$EZ$8,$B59,Меню!$J$118:$EZ$118)*Обложка!$H$15/60,SUMIF(Меню!$J$8:$EZ$8,$B59,Меню!$J$118:$EZ$118)/1000*Обложка!$H$15)</f>
        <v>0</v>
      </c>
      <c r="O59" s="212">
        <f>IF($B59="Яйцо (шт)",SUMIF(Меню!$J$8:$EZ$8,$B59,Меню!$J$133:$EZ$133)*Обложка!$H$16/60,SUMIF(Меню!$J$8:$EZ$8,$B59,Меню!$J$133:$EZ$133)/1000*Обложка!$H$16)</f>
        <v>0</v>
      </c>
      <c r="P59" s="212">
        <f>IF($B59="Яйцо (шт)",SUMIF(Меню!$J$8:$EZ$8,$B59,Меню!$J$146:$EZ$146)*Обложка!$H$17/60,SUMIF(Меню!$J$8:$EZ$8,$B59,Меню!$J$146:$EZ$146)/1000*Обложка!$H$17)</f>
        <v>0</v>
      </c>
      <c r="Q59" s="212">
        <f>IF($B59="Яйцо (шт)",SUMIF(Меню!$J$8:$EZ$8,$B59,Меню!$J$151:$EZ$151)*Обложка!$H$18/60,SUMIF(Меню!$J$8:$EZ$8,$B59,Меню!$J$151:$EZ$151)/1000*Обложка!$H$18)</f>
        <v>0</v>
      </c>
      <c r="R59" s="685">
        <f t="shared" si="2"/>
        <v>0</v>
      </c>
      <c r="S59" s="212">
        <f>IF($B59="Яйцо (шт)",SUMIF(Меню!$J$8:$EZ$8,$B59,Меню!$J$163:$EZ$163)*Обложка!$J$15/60,SUMIF(Меню!$J$8:$EZ$8,$B59,Меню!$J$163:$EZ$163)/1000*Обложка!$J$15)</f>
        <v>0</v>
      </c>
      <c r="T59" s="212">
        <f>IF($B59="Яйцо (шт)",SUMIF(Меню!$J$8:$EZ$8,$B59,Меню!$J$178:$EZ$178)*Обложка!$J$16/60,SUMIF(Меню!$J$8:$EZ$8,$B59,Меню!$J$178:$EZ$178)/1000*Обложка!$J$16)</f>
        <v>0</v>
      </c>
      <c r="U59" s="212">
        <f>IF($B59="Яйцо (шт)",SUMIF(Меню!$J$8:$EZ$8,$B59,Меню!$J$191:$EZ$191)*Обложка!$J$17/60,SUMIF(Меню!$J$8:$EZ$8,$B59,Меню!$J$191:$EZ$191)/1000*Обложка!$J$17)</f>
        <v>0</v>
      </c>
      <c r="V59" s="212">
        <f>IF($B59="Яйцо (шт)",SUMIF(Меню!$J$8:$EZ$8,$B59,Меню!$J$196:$EZ$196)*Обложка!$J$18/60,SUMIF(Меню!$J$8:$EZ$8,$B59,Меню!$J$196:$EZ$196)/1000*Обложка!$J$18)</f>
        <v>0</v>
      </c>
      <c r="W59" s="685">
        <f t="shared" si="3"/>
        <v>0</v>
      </c>
      <c r="X59" s="212">
        <f>IF($B59="Яйцо (шт)",SUMIF(Меню!$J$8:$EZ$8,$B59,Меню!$J$208:$EZ$208)*Обложка!$L$15/60,SUMIF(Меню!$J$8:$EZ$8,$B59,Меню!$J$208:$EZ$208)/1000*Обложка!$L$15)</f>
        <v>0</v>
      </c>
      <c r="Y59" s="212">
        <f>IF($B59="Яйцо (шт)",SUMIF(Меню!$J$8:$EZ$8,$B59,Меню!$J$223:$EZ$223)*Обложка!$L$16/60,SUMIF(Меню!$J$8:$EZ$8,$B59,Меню!$J$223:$EZ$223)/1000*Обложка!$J$16)</f>
        <v>0</v>
      </c>
      <c r="Z59" s="212">
        <f>IF($B59="Яйцо (шт)",SUMIF(Меню!$J$8:$EZ$8,$B59,Меню!$J$236:$EZ$236)*Обложка!$L$17/60,SUMIF(Меню!$J$8:$EZ$8,$B59,Меню!$J$236:$EZ$236)/1000*Обложка!$L$17)</f>
        <v>0</v>
      </c>
      <c r="AA59" s="212">
        <f>IF($B59="Яйцо (шт)",SUMIF(Меню!$J$8:$EZ$8,$B59,Меню!$J$241:$EZ$241)*Обложка!$L$18/60,SUMIF(Меню!$J$8:$EZ$8,$B59,Меню!$J$241:$EZ$241)/1000*Обложка!$L$18)</f>
        <v>0</v>
      </c>
      <c r="AB59" s="685">
        <f t="shared" si="4"/>
        <v>0</v>
      </c>
      <c r="AC59" s="212">
        <f>IF($B59="Яйцо (шт)",SUMIF(Меню!$J$8:$EZ$8,$B59,Меню!$J$253:$EZ$253)*Обложка!$N$15/60,SUMIF(Меню!$J$8:$EZ$8,$B59,Меню!$J$253:$EZ$253)/1000*Обложка!$N$15)</f>
        <v>0</v>
      </c>
      <c r="AD59" s="212">
        <f>IF($B59="Яйцо (шт)",SUMIF(Меню!$J$8:$EZ$8,$B59,Меню!$J$268:$EZ$268)*Обложка!$N$16/60,SUMIF(Меню!$J$8:$EZ$8,$B59,Меню!$J$268:$EZ$268)/1000*Обложка!$N$16)</f>
        <v>0</v>
      </c>
      <c r="AE59" s="212">
        <f>IF($B59="Яйцо (шт)",SUMIF(Меню!$J$8:$EZ$8,$B59,Меню!$J$281:$EZ$281)*Обложка!$N$17/60,SUMIF(Меню!$J$8:$EZ$8,$B59,Меню!$J$281:$EZ$281)/1000*Обложка!$N$17)</f>
        <v>0</v>
      </c>
      <c r="AF59" s="212">
        <f>IF($B59="Яйцо (шт)",SUMIF(Меню!$J$8:$EZ$8,$B59,Меню!$J$286:$EZ$286)*Обложка!$N$18/60,SUMIF(Меню!$J$8:$EZ$8,$B59,Меню!$J$286:$EZ$286)/1000*Обложка!$N$18)</f>
        <v>0</v>
      </c>
      <c r="AG59" s="685">
        <f t="shared" si="5"/>
        <v>0</v>
      </c>
      <c r="AH59" s="212">
        <f>IF($B59="Яйцо (шт)",SUMIF(Меню!$J$8:$EZ$8,$B59,Меню!$J$298:$EZ$298)*Обложка!$P$15/60,SUMIF(Меню!$J$8:$EZ$8,$B59,Меню!$J$298:$EZ$298)/1000*Обложка!$P$15)</f>
        <v>0</v>
      </c>
      <c r="AI59" s="212">
        <f>IF($B59="Яйцо (шт)",SUMIF(Меню!$J$8:$EZ$8,$BB59,Меню!$J$313:$EZ$313)*Обложка!$P$16/60,SUMIF(Меню!$J$8:$EZ$8,$B59,Меню!$J$313:$EZ$313)/1000*Обложка!$P$16)</f>
        <v>0</v>
      </c>
      <c r="AJ59" s="212">
        <f>IF($B59="Яйцо (шт)",SUMIF(Меню!$J$8:$EZ$8,$B59,Меню!$J$326:$EZ$326)*Обложка!$P$17/60,SUMIF(Меню!$J$8:$EZ$8,$B59,Меню!$J$326:$EZ$326)/1000*Обложка!$P$17)</f>
        <v>0</v>
      </c>
      <c r="AK59" s="212">
        <f>IF($B59="Яйцо (шт)",SUMIF(Меню!$J$8:$EZ$8,$B59,Меню!$J$331:$EZ$331)*Обложка!$P$18/60,SUMIF(Меню!$J$8:$EZ$8,$B59,Меню!$J$331:$EZ$331)/1000*Обложка!$P$18)</f>
        <v>0</v>
      </c>
      <c r="AL59" s="699">
        <f t="shared" si="6"/>
        <v>0</v>
      </c>
      <c r="AM59" s="685">
        <f t="shared" si="7"/>
        <v>0</v>
      </c>
    </row>
    <row r="60" spans="1:39" x14ac:dyDescent="0.25">
      <c r="A60" s="249">
        <f t="shared" si="8"/>
        <v>48</v>
      </c>
      <c r="B60" s="248" t="str">
        <f>инфо!D49</f>
        <v>Молоко коровье</v>
      </c>
      <c r="C60" s="694">
        <f>SUMIF(Меню!$J$8:$FD$8,$B60,Меню!$J$333:$FD$333)</f>
        <v>1100</v>
      </c>
      <c r="D60" s="212">
        <f>IF($B60="Яйцо (шт)",SUMIF(Меню!$J$8:$FD$8,$B60,Меню!$J$28:$FD$28)*Обложка!$D$15/60,SUMIF(Меню!$J$8:$FD$8,$B60,Меню!$J$28:$FD$28)/1000*Обложка!$D$15)</f>
        <v>24.400000000000002</v>
      </c>
      <c r="E60" s="212">
        <f>IF($B60="Яйцо (шт)",SUMIF(Меню!$J$8:$FD$8,$B60,Меню!$J$43:$FD$43)*Обложка!$D$16/60,SUMIF(Меню!$J$8:$FD$8,$B60,Меню!$J$43:$FD$43)/1000*Обложка!$D$16)</f>
        <v>0</v>
      </c>
      <c r="F60" s="212">
        <f>IF($B60="Яйцо (шт)",SUMIF(Меню!$J$8:$FD$8,$B60,Меню!$J$56:$FD$56)*Обложка!$D$17/60,SUMIF(Меню!$J$8:$FD$8,$B60,Меню!$J$56:$FD$56)/1000*Обложка!$D$17)</f>
        <v>0</v>
      </c>
      <c r="G60" s="212">
        <f>IF($B60="Яйцо (шт)",SUMIF(Меню!$J$8:$FD$8,$B60,Меню!$J$61:$FD$61)*Обложка!$D$18/60,SUMIF(Меню!$J$8:$FD$8,$B60,Меню!$J$61:$FD$61)/1000*Обложка!$D$18)</f>
        <v>0</v>
      </c>
      <c r="H60" s="685">
        <f t="shared" si="0"/>
        <v>24.400000000000002</v>
      </c>
      <c r="I60" s="212">
        <f>IF($B60="Яйцо (шт)",SUMIF(Меню!$J$8:$FD$8,$B60,Меню!$J$73:$FD$73)*Обложка!$F$15/60,SUMIF(Меню!$J$8:$FD$8,$B60,Меню!$J$73:$FD$73)/1000*Обложка!$F$15)</f>
        <v>25.6</v>
      </c>
      <c r="J60" s="212">
        <f>IF($B60="Яйцо (шт)",SUMIF(Меню!$J$8:$FD$8,$B60,Меню!$J$88:$FD$88)*Обложка!$F$16/60,SUMIF(Меню!$J$8:$FD$8,$B60,Меню!$J$88:$FD$88)/1000*Обложка!$G$16)</f>
        <v>0</v>
      </c>
      <c r="K60" s="212">
        <f>IF($B60="Яйцо (шт)",SUMIF(Меню!$J$8:$FD$8,$B60,Меню!$J$101:$FD$101)*Обложка!$F$17/60,SUMIF(Меню!$J$8:$FD$8,$B60,Меню!$J$101:$FD$101)/1000*Обложка!$F$17)</f>
        <v>0</v>
      </c>
      <c r="L60" s="212">
        <f>IF($B60="Яйцо (шт)",SUMIF(Меню!$J$8:$FD$8,$B60,Меню!$J$106:$FD$106)*Обложка!$F$18/60,SUMIF(Меню!$J$8:$FD$8,$B60,Меню!$J$106:$FD$106)/1000*Обложка!$F$18)</f>
        <v>0</v>
      </c>
      <c r="M60" s="685">
        <f t="shared" si="1"/>
        <v>25.6</v>
      </c>
      <c r="N60" s="212">
        <f>IF($B60="Яйцо (шт)",SUMIF(Меню!$J$8:$EZ$8,$B60,Меню!$J$118:$EZ$118)*Обложка!$H$15/60,SUMIF(Меню!$J$8:$EZ$8,$B60,Меню!$J$118:$EZ$118)/1000*Обложка!$H$15)</f>
        <v>23</v>
      </c>
      <c r="O60" s="212">
        <f>IF($B60="Яйцо (шт)",SUMIF(Меню!$J$8:$EZ$8,$B60,Меню!$J$133:$EZ$133)*Обложка!$H$16/60,SUMIF(Меню!$J$8:$EZ$8,$B60,Меню!$J$133:$EZ$133)/1000*Обложка!$H$16)</f>
        <v>0</v>
      </c>
      <c r="P60" s="212">
        <f>IF($B60="Яйцо (шт)",SUMIF(Меню!$J$8:$EZ$8,$B60,Меню!$J$146:$EZ$146)*Обложка!$H$17/60,SUMIF(Меню!$J$8:$EZ$8,$B60,Меню!$J$146:$EZ$146)/1000*Обложка!$H$17)</f>
        <v>0</v>
      </c>
      <c r="Q60" s="212">
        <f>IF($B60="Яйцо (шт)",SUMIF(Меню!$J$8:$EZ$8,$B60,Меню!$J$151:$EZ$151)*Обложка!$H$18/60,SUMIF(Меню!$J$8:$EZ$8,$B60,Меню!$J$151:$EZ$151)/1000*Обложка!$H$18)</f>
        <v>0</v>
      </c>
      <c r="R60" s="685">
        <f t="shared" si="2"/>
        <v>23</v>
      </c>
      <c r="S60" s="212">
        <f>IF($B60="Яйцо (шт)",SUMIF(Меню!$J$8:$EZ$8,$B60,Меню!$J$163:$EZ$163)*Обложка!$J$15/60,SUMIF(Меню!$J$8:$EZ$8,$B60,Меню!$J$163:$EZ$163)/1000*Обложка!$J$15)</f>
        <v>15.75</v>
      </c>
      <c r="T60" s="212">
        <f>IF($B60="Яйцо (шт)",SUMIF(Меню!$J$8:$EZ$8,$B60,Меню!$J$178:$EZ$178)*Обложка!$J$16/60,SUMIF(Меню!$J$8:$EZ$8,$B60,Меню!$J$178:$EZ$178)/1000*Обложка!$J$16)</f>
        <v>0</v>
      </c>
      <c r="U60" s="212">
        <f>IF($B60="Яйцо (шт)",SUMIF(Меню!$J$8:$EZ$8,$B60,Меню!$J$191:$EZ$191)*Обложка!$J$17/60,SUMIF(Меню!$J$8:$EZ$8,$B60,Меню!$J$191:$EZ$191)/1000*Обложка!$J$17)</f>
        <v>0</v>
      </c>
      <c r="V60" s="212">
        <f>IF($B60="Яйцо (шт)",SUMIF(Меню!$J$8:$EZ$8,$B60,Меню!$J$196:$EZ$196)*Обложка!$J$18/60,SUMIF(Меню!$J$8:$EZ$8,$B60,Меню!$J$196:$EZ$196)/1000*Обложка!$J$18)</f>
        <v>0</v>
      </c>
      <c r="W60" s="685">
        <f t="shared" si="3"/>
        <v>15.75</v>
      </c>
      <c r="X60" s="212">
        <f>IF($B60="Яйцо (шт)",SUMIF(Меню!$J$8:$EZ$8,$B60,Меню!$J$208:$EZ$208)*Обложка!$L$15/60,SUMIF(Меню!$J$8:$EZ$8,$B60,Меню!$J$208:$EZ$208)/1000*Обложка!$L$15)</f>
        <v>0</v>
      </c>
      <c r="Y60" s="212">
        <f>IF($B60="Яйцо (шт)",SUMIF(Меню!$J$8:$EZ$8,$B60,Меню!$J$223:$EZ$223)*Обложка!$L$16/60,SUMIF(Меню!$J$8:$EZ$8,$B60,Меню!$J$223:$EZ$223)/1000*Обложка!$J$16)</f>
        <v>0</v>
      </c>
      <c r="Z60" s="212">
        <f>IF($B60="Яйцо (шт)",SUMIF(Меню!$J$8:$EZ$8,$B60,Меню!$J$236:$EZ$236)*Обложка!$L$17/60,SUMIF(Меню!$J$8:$EZ$8,$B60,Меню!$J$236:$EZ$236)/1000*Обложка!$L$17)</f>
        <v>0</v>
      </c>
      <c r="AA60" s="212">
        <f>IF($B60="Яйцо (шт)",SUMIF(Меню!$J$8:$EZ$8,$B60,Меню!$J$241:$EZ$241)*Обложка!$L$18/60,SUMIF(Меню!$J$8:$EZ$8,$B60,Меню!$J$241:$EZ$241)/1000*Обложка!$L$18)</f>
        <v>0</v>
      </c>
      <c r="AB60" s="685">
        <f t="shared" si="4"/>
        <v>0</v>
      </c>
      <c r="AC60" s="212">
        <f>IF($B60="Яйцо (шт)",SUMIF(Меню!$J$8:$EZ$8,$B60,Меню!$J$253:$EZ$253)*Обложка!$N$15/60,SUMIF(Меню!$J$8:$EZ$8,$B60,Меню!$J$253:$EZ$253)/1000*Обложка!$N$15)</f>
        <v>6.75</v>
      </c>
      <c r="AD60" s="212">
        <f>IF($B60="Яйцо (шт)",SUMIF(Меню!$J$8:$EZ$8,$B60,Меню!$J$268:$EZ$268)*Обложка!$N$16/60,SUMIF(Меню!$J$8:$EZ$8,$B60,Меню!$J$268:$EZ$268)/1000*Обложка!$N$16)</f>
        <v>0</v>
      </c>
      <c r="AE60" s="212">
        <f>IF($B60="Яйцо (шт)",SUMIF(Меню!$J$8:$EZ$8,$B60,Меню!$J$281:$EZ$281)*Обложка!$N$17/60,SUMIF(Меню!$J$8:$EZ$8,$B60,Меню!$J$281:$EZ$281)/1000*Обложка!$N$17)</f>
        <v>0</v>
      </c>
      <c r="AF60" s="212">
        <f>IF($B60="Яйцо (шт)",SUMIF(Меню!$J$8:$EZ$8,$B60,Меню!$J$286:$EZ$286)*Обложка!$N$18/60,SUMIF(Меню!$J$8:$EZ$8,$B60,Меню!$J$286:$EZ$286)/1000*Обложка!$N$18)</f>
        <v>0</v>
      </c>
      <c r="AG60" s="685">
        <f t="shared" si="5"/>
        <v>6.75</v>
      </c>
      <c r="AH60" s="212">
        <f>IF($B60="Яйцо (шт)",SUMIF(Меню!$J$8:$EZ$8,$B60,Меню!$J$298:$EZ$298)*Обложка!$P$15/60,SUMIF(Меню!$J$8:$EZ$8,$B60,Меню!$J$298:$EZ$298)/1000*Обложка!$P$15)</f>
        <v>4</v>
      </c>
      <c r="AI60" s="212">
        <f>IF($B60="Яйцо (шт)",SUMIF(Меню!$J$8:$EZ$8,$BB60,Меню!$J$313:$EZ$313)*Обложка!$P$16/60,SUMIF(Меню!$J$8:$EZ$8,$B60,Меню!$J$313:$EZ$313)/1000*Обложка!$P$16)</f>
        <v>0</v>
      </c>
      <c r="AJ60" s="212">
        <f>IF($B60="Яйцо (шт)",SUMIF(Меню!$J$8:$EZ$8,$B60,Меню!$J$326:$EZ$326)*Обложка!$P$17/60,SUMIF(Меню!$J$8:$EZ$8,$B60,Меню!$J$326:$EZ$326)/1000*Обложка!$P$17)</f>
        <v>0</v>
      </c>
      <c r="AK60" s="212">
        <f>IF($B60="Яйцо (шт)",SUMIF(Меню!$J$8:$EZ$8,$B60,Меню!$J$331:$EZ$331)*Обложка!$P$18/60,SUMIF(Меню!$J$8:$EZ$8,$B60,Меню!$J$331:$EZ$331)/1000*Обложка!$P$18)</f>
        <v>0</v>
      </c>
      <c r="AL60" s="699">
        <f t="shared" si="6"/>
        <v>4</v>
      </c>
      <c r="AM60" s="685">
        <f t="shared" si="7"/>
        <v>99.5</v>
      </c>
    </row>
    <row r="61" spans="1:39" x14ac:dyDescent="0.25">
      <c r="A61" s="249">
        <f t="shared" si="8"/>
        <v>49</v>
      </c>
      <c r="B61" s="248" t="str">
        <f>инфо!D50</f>
        <v>Кефир</v>
      </c>
      <c r="C61" s="694">
        <f>SUMIF(Меню!$J$8:$FD$8,$B61,Меню!$J$333:$FD$333)</f>
        <v>0</v>
      </c>
      <c r="D61" s="212">
        <f>IF($B61="Яйцо (шт)",SUMIF(Меню!$J$8:$FD$8,$B61,Меню!$J$28:$FD$28)*Обложка!$D$15/60,SUMIF(Меню!$J$8:$FD$8,$B61,Меню!$J$28:$FD$28)/1000*Обложка!$D$15)</f>
        <v>0</v>
      </c>
      <c r="E61" s="212">
        <f>IF($B61="Яйцо (шт)",SUMIF(Меню!$J$8:$FD$8,$B61,Меню!$J$43:$FD$43)*Обложка!$D$16/60,SUMIF(Меню!$J$8:$FD$8,$B61,Меню!$J$43:$FD$43)/1000*Обложка!$D$16)</f>
        <v>0</v>
      </c>
      <c r="F61" s="212">
        <f>IF($B61="Яйцо (шт)",SUMIF(Меню!$J$8:$FD$8,$B61,Меню!$J$56:$FD$56)*Обложка!$D$17/60,SUMIF(Меню!$J$8:$FD$8,$B61,Меню!$J$56:$FD$56)/1000*Обложка!$D$17)</f>
        <v>0</v>
      </c>
      <c r="G61" s="212">
        <f>IF($B61="Яйцо (шт)",SUMIF(Меню!$J$8:$FD$8,$B61,Меню!$J$61:$FD$61)*Обложка!$D$18/60,SUMIF(Меню!$J$8:$FD$8,$B61,Меню!$J$61:$FD$61)/1000*Обложка!$D$18)</f>
        <v>0</v>
      </c>
      <c r="H61" s="685">
        <f t="shared" si="0"/>
        <v>0</v>
      </c>
      <c r="I61" s="212">
        <f>IF($B61="Яйцо (шт)",SUMIF(Меню!$J$8:$FD$8,$B61,Меню!$J$73:$FD$73)*Обложка!$F$15/60,SUMIF(Меню!$J$8:$FD$8,$B61,Меню!$J$73:$FD$73)/1000*Обложка!$F$15)</f>
        <v>0</v>
      </c>
      <c r="J61" s="212">
        <f>IF($B61="Яйцо (шт)",SUMIF(Меню!$J$8:$FD$8,$B61,Меню!$J$88:$FD$88)*Обложка!$F$16/60,SUMIF(Меню!$J$8:$FD$8,$B61,Меню!$J$88:$FD$88)/1000*Обложка!$G$16)</f>
        <v>0</v>
      </c>
      <c r="K61" s="212">
        <f>IF($B61="Яйцо (шт)",SUMIF(Меню!$J$8:$FD$8,$B61,Меню!$J$101:$FD$101)*Обложка!$F$17/60,SUMIF(Меню!$J$8:$FD$8,$B61,Меню!$J$101:$FD$101)/1000*Обложка!$F$17)</f>
        <v>0</v>
      </c>
      <c r="L61" s="212">
        <f>IF($B61="Яйцо (шт)",SUMIF(Меню!$J$8:$FD$8,$B61,Меню!$J$106:$FD$106)*Обложка!$F$18/60,SUMIF(Меню!$J$8:$FD$8,$B61,Меню!$J$106:$FD$106)/1000*Обложка!$F$18)</f>
        <v>0</v>
      </c>
      <c r="M61" s="685">
        <f t="shared" si="1"/>
        <v>0</v>
      </c>
      <c r="N61" s="212">
        <f>IF($B61="Яйцо (шт)",SUMIF(Меню!$J$8:$EZ$8,$B61,Меню!$J$118:$EZ$118)*Обложка!$H$15/60,SUMIF(Меню!$J$8:$EZ$8,$B61,Меню!$J$118:$EZ$118)/1000*Обложка!$H$15)</f>
        <v>0</v>
      </c>
      <c r="O61" s="212">
        <f>IF($B61="Яйцо (шт)",SUMIF(Меню!$J$8:$EZ$8,$B61,Меню!$J$133:$EZ$133)*Обложка!$H$16/60,SUMIF(Меню!$J$8:$EZ$8,$B61,Меню!$J$133:$EZ$133)/1000*Обложка!$H$16)</f>
        <v>0</v>
      </c>
      <c r="P61" s="212">
        <f>IF($B61="Яйцо (шт)",SUMIF(Меню!$J$8:$EZ$8,$B61,Меню!$J$146:$EZ$146)*Обложка!$H$17/60,SUMIF(Меню!$J$8:$EZ$8,$B61,Меню!$J$146:$EZ$146)/1000*Обложка!$H$17)</f>
        <v>0</v>
      </c>
      <c r="Q61" s="212">
        <f>IF($B61="Яйцо (шт)",SUMIF(Меню!$J$8:$EZ$8,$B61,Меню!$J$151:$EZ$151)*Обложка!$H$18/60,SUMIF(Меню!$J$8:$EZ$8,$B61,Меню!$J$151:$EZ$151)/1000*Обложка!$H$18)</f>
        <v>0</v>
      </c>
      <c r="R61" s="685">
        <f t="shared" si="2"/>
        <v>0</v>
      </c>
      <c r="S61" s="212">
        <f>IF($B61="Яйцо (шт)",SUMIF(Меню!$J$8:$EZ$8,$B61,Меню!$J$163:$EZ$163)*Обложка!$J$15/60,SUMIF(Меню!$J$8:$EZ$8,$B61,Меню!$J$163:$EZ$163)/1000*Обложка!$J$15)</f>
        <v>0</v>
      </c>
      <c r="T61" s="212">
        <f>IF($B61="Яйцо (шт)",SUMIF(Меню!$J$8:$EZ$8,$B61,Меню!$J$178:$EZ$178)*Обложка!$J$16/60,SUMIF(Меню!$J$8:$EZ$8,$B61,Меню!$J$178:$EZ$178)/1000*Обложка!$J$16)</f>
        <v>0</v>
      </c>
      <c r="U61" s="212">
        <f>IF($B61="Яйцо (шт)",SUMIF(Меню!$J$8:$EZ$8,$B61,Меню!$J$191:$EZ$191)*Обложка!$J$17/60,SUMIF(Меню!$J$8:$EZ$8,$B61,Меню!$J$191:$EZ$191)/1000*Обложка!$J$17)</f>
        <v>0</v>
      </c>
      <c r="V61" s="212">
        <f>IF($B61="Яйцо (шт)",SUMIF(Меню!$J$8:$EZ$8,$B61,Меню!$J$196:$EZ$196)*Обложка!$J$18/60,SUMIF(Меню!$J$8:$EZ$8,$B61,Меню!$J$196:$EZ$196)/1000*Обложка!$J$18)</f>
        <v>0</v>
      </c>
      <c r="W61" s="685">
        <f t="shared" si="3"/>
        <v>0</v>
      </c>
      <c r="X61" s="212">
        <f>IF($B61="Яйцо (шт)",SUMIF(Меню!$J$8:$EZ$8,$B61,Меню!$J$208:$EZ$208)*Обложка!$L$15/60,SUMIF(Меню!$J$8:$EZ$8,$B61,Меню!$J$208:$EZ$208)/1000*Обложка!$L$15)</f>
        <v>0</v>
      </c>
      <c r="Y61" s="212">
        <f>IF($B61="Яйцо (шт)",SUMIF(Меню!$J$8:$EZ$8,$B61,Меню!$J$223:$EZ$223)*Обложка!$L$16/60,SUMIF(Меню!$J$8:$EZ$8,$B61,Меню!$J$223:$EZ$223)/1000*Обложка!$J$16)</f>
        <v>0</v>
      </c>
      <c r="Z61" s="212">
        <f>IF($B61="Яйцо (шт)",SUMIF(Меню!$J$8:$EZ$8,$B61,Меню!$J$236:$EZ$236)*Обложка!$L$17/60,SUMIF(Меню!$J$8:$EZ$8,$B61,Меню!$J$236:$EZ$236)/1000*Обложка!$L$17)</f>
        <v>0</v>
      </c>
      <c r="AA61" s="212">
        <f>IF($B61="Яйцо (шт)",SUMIF(Меню!$J$8:$EZ$8,$B61,Меню!$J$241:$EZ$241)*Обложка!$L$18/60,SUMIF(Меню!$J$8:$EZ$8,$B61,Меню!$J$241:$EZ$241)/1000*Обложка!$L$18)</f>
        <v>0</v>
      </c>
      <c r="AB61" s="685">
        <f t="shared" si="4"/>
        <v>0</v>
      </c>
      <c r="AC61" s="212">
        <f>IF($B61="Яйцо (шт)",SUMIF(Меню!$J$8:$EZ$8,$B61,Меню!$J$253:$EZ$253)*Обложка!$N$15/60,SUMIF(Меню!$J$8:$EZ$8,$B61,Меню!$J$253:$EZ$253)/1000*Обложка!$N$15)</f>
        <v>0</v>
      </c>
      <c r="AD61" s="212">
        <f>IF($B61="Яйцо (шт)",SUMIF(Меню!$J$8:$EZ$8,$B61,Меню!$J$268:$EZ$268)*Обложка!$N$16/60,SUMIF(Меню!$J$8:$EZ$8,$B61,Меню!$J$268:$EZ$268)/1000*Обложка!$N$16)</f>
        <v>0</v>
      </c>
      <c r="AE61" s="212">
        <f>IF($B61="Яйцо (шт)",SUMIF(Меню!$J$8:$EZ$8,$B61,Меню!$J$281:$EZ$281)*Обложка!$N$17/60,SUMIF(Меню!$J$8:$EZ$8,$B61,Меню!$J$281:$EZ$281)/1000*Обложка!$N$17)</f>
        <v>0</v>
      </c>
      <c r="AF61" s="212">
        <f>IF($B61="Яйцо (шт)",SUMIF(Меню!$J$8:$EZ$8,$B61,Меню!$J$286:$EZ$286)*Обложка!$N$18/60,SUMIF(Меню!$J$8:$EZ$8,$B61,Меню!$J$286:$EZ$286)/1000*Обложка!$N$18)</f>
        <v>0</v>
      </c>
      <c r="AG61" s="685">
        <f t="shared" si="5"/>
        <v>0</v>
      </c>
      <c r="AH61" s="212">
        <f>IF($B61="Яйцо (шт)",SUMIF(Меню!$J$8:$EZ$8,$B61,Меню!$J$298:$EZ$298)*Обложка!$P$15/60,SUMIF(Меню!$J$8:$EZ$8,$B61,Меню!$J$298:$EZ$298)/1000*Обложка!$P$15)</f>
        <v>0</v>
      </c>
      <c r="AI61" s="212">
        <f>IF($B61="Яйцо (шт)",SUMIF(Меню!$J$8:$EZ$8,$BB61,Меню!$J$313:$EZ$313)*Обложка!$P$16/60,SUMIF(Меню!$J$8:$EZ$8,$B61,Меню!$J$313:$EZ$313)/1000*Обложка!$P$16)</f>
        <v>0</v>
      </c>
      <c r="AJ61" s="212">
        <f>IF($B61="Яйцо (шт)",SUMIF(Меню!$J$8:$EZ$8,$B61,Меню!$J$326:$EZ$326)*Обложка!$P$17/60,SUMIF(Меню!$J$8:$EZ$8,$B61,Меню!$J$326:$EZ$326)/1000*Обложка!$P$17)</f>
        <v>0</v>
      </c>
      <c r="AK61" s="212">
        <f>IF($B61="Яйцо (шт)",SUMIF(Меню!$J$8:$EZ$8,$B61,Меню!$J$331:$EZ$331)*Обложка!$P$18/60,SUMIF(Меню!$J$8:$EZ$8,$B61,Меню!$J$331:$EZ$331)/1000*Обложка!$P$18)</f>
        <v>0</v>
      </c>
      <c r="AL61" s="699">
        <f t="shared" si="6"/>
        <v>0</v>
      </c>
      <c r="AM61" s="685">
        <f t="shared" si="7"/>
        <v>0</v>
      </c>
    </row>
    <row r="62" spans="1:39" x14ac:dyDescent="0.25">
      <c r="A62" s="249">
        <f t="shared" si="8"/>
        <v>50</v>
      </c>
      <c r="B62" s="248" t="str">
        <f>инфо!D51</f>
        <v>Творог</v>
      </c>
      <c r="C62" s="694">
        <f>SUMIF(Меню!$J$8:$FD$8,$B62,Меню!$J$333:$FD$333)</f>
        <v>0</v>
      </c>
      <c r="D62" s="212">
        <f>IF($B62="Яйцо (шт)",SUMIF(Меню!$J$8:$FD$8,$B62,Меню!$J$28:$FD$28)*Обложка!$D$15/60,SUMIF(Меню!$J$8:$FD$8,$B62,Меню!$J$28:$FD$28)/1000*Обложка!$D$15)</f>
        <v>0</v>
      </c>
      <c r="E62" s="212">
        <f>IF($B62="Яйцо (шт)",SUMIF(Меню!$J$8:$FD$8,$B62,Меню!$J$43:$FD$43)*Обложка!$D$16/60,SUMIF(Меню!$J$8:$FD$8,$B62,Меню!$J$43:$FD$43)/1000*Обложка!$D$16)</f>
        <v>0</v>
      </c>
      <c r="F62" s="212">
        <f>IF($B62="Яйцо (шт)",SUMIF(Меню!$J$8:$FD$8,$B62,Меню!$J$56:$FD$56)*Обложка!$D$17/60,SUMIF(Меню!$J$8:$FD$8,$B62,Меню!$J$56:$FD$56)/1000*Обложка!$D$17)</f>
        <v>0</v>
      </c>
      <c r="G62" s="212">
        <f>IF($B62="Яйцо (шт)",SUMIF(Меню!$J$8:$FD$8,$B62,Меню!$J$61:$FD$61)*Обложка!$D$18/60,SUMIF(Меню!$J$8:$FD$8,$B62,Меню!$J$61:$FD$61)/1000*Обложка!$D$18)</f>
        <v>0</v>
      </c>
      <c r="H62" s="685">
        <f t="shared" si="0"/>
        <v>0</v>
      </c>
      <c r="I62" s="212">
        <f>IF($B62="Яйцо (шт)",SUMIF(Меню!$J$8:$FD$8,$B62,Меню!$J$73:$FD$73)*Обложка!$F$15/60,SUMIF(Меню!$J$8:$FD$8,$B62,Меню!$J$73:$FD$73)/1000*Обложка!$F$15)</f>
        <v>0</v>
      </c>
      <c r="J62" s="212">
        <f>IF($B62="Яйцо (шт)",SUMIF(Меню!$J$8:$FD$8,$B62,Меню!$J$88:$FD$88)*Обложка!$F$16/60,SUMIF(Меню!$J$8:$FD$8,$B62,Меню!$J$88:$FD$88)/1000*Обложка!$G$16)</f>
        <v>0</v>
      </c>
      <c r="K62" s="212">
        <f>IF($B62="Яйцо (шт)",SUMIF(Меню!$J$8:$FD$8,$B62,Меню!$J$101:$FD$101)*Обложка!$F$17/60,SUMIF(Меню!$J$8:$FD$8,$B62,Меню!$J$101:$FD$101)/1000*Обложка!$F$17)</f>
        <v>0</v>
      </c>
      <c r="L62" s="212">
        <f>IF($B62="Яйцо (шт)",SUMIF(Меню!$J$8:$FD$8,$B62,Меню!$J$106:$FD$106)*Обложка!$F$18/60,SUMIF(Меню!$J$8:$FD$8,$B62,Меню!$J$106:$FD$106)/1000*Обложка!$F$18)</f>
        <v>0</v>
      </c>
      <c r="M62" s="685">
        <f t="shared" si="1"/>
        <v>0</v>
      </c>
      <c r="N62" s="212">
        <f>IF($B62="Яйцо (шт)",SUMIF(Меню!$J$8:$EZ$8,$B62,Меню!$J$118:$EZ$118)*Обложка!$H$15/60,SUMIF(Меню!$J$8:$EZ$8,$B62,Меню!$J$118:$EZ$118)/1000*Обложка!$H$15)</f>
        <v>0</v>
      </c>
      <c r="O62" s="212">
        <f>IF($B62="Яйцо (шт)",SUMIF(Меню!$J$8:$EZ$8,$B62,Меню!$J$133:$EZ$133)*Обложка!$H$16/60,SUMIF(Меню!$J$8:$EZ$8,$B62,Меню!$J$133:$EZ$133)/1000*Обложка!$H$16)</f>
        <v>0</v>
      </c>
      <c r="P62" s="212">
        <f>IF($B62="Яйцо (шт)",SUMIF(Меню!$J$8:$EZ$8,$B62,Меню!$J$146:$EZ$146)*Обложка!$H$17/60,SUMIF(Меню!$J$8:$EZ$8,$B62,Меню!$J$146:$EZ$146)/1000*Обложка!$H$17)</f>
        <v>0</v>
      </c>
      <c r="Q62" s="212">
        <f>IF($B62="Яйцо (шт)",SUMIF(Меню!$J$8:$EZ$8,$B62,Меню!$J$151:$EZ$151)*Обложка!$H$18/60,SUMIF(Меню!$J$8:$EZ$8,$B62,Меню!$J$151:$EZ$151)/1000*Обложка!$H$18)</f>
        <v>0</v>
      </c>
      <c r="R62" s="685">
        <f t="shared" si="2"/>
        <v>0</v>
      </c>
      <c r="S62" s="212">
        <f>IF($B62="Яйцо (шт)",SUMIF(Меню!$J$8:$EZ$8,$B62,Меню!$J$163:$EZ$163)*Обложка!$J$15/60,SUMIF(Меню!$J$8:$EZ$8,$B62,Меню!$J$163:$EZ$163)/1000*Обложка!$J$15)</f>
        <v>0</v>
      </c>
      <c r="T62" s="212">
        <f>IF($B62="Яйцо (шт)",SUMIF(Меню!$J$8:$EZ$8,$B62,Меню!$J$178:$EZ$178)*Обложка!$J$16/60,SUMIF(Меню!$J$8:$EZ$8,$B62,Меню!$J$178:$EZ$178)/1000*Обложка!$J$16)</f>
        <v>0</v>
      </c>
      <c r="U62" s="212">
        <f>IF($B62="Яйцо (шт)",SUMIF(Меню!$J$8:$EZ$8,$B62,Меню!$J$191:$EZ$191)*Обложка!$J$17/60,SUMIF(Меню!$J$8:$EZ$8,$B62,Меню!$J$191:$EZ$191)/1000*Обложка!$J$17)</f>
        <v>0</v>
      </c>
      <c r="V62" s="212">
        <f>IF($B62="Яйцо (шт)",SUMIF(Меню!$J$8:$EZ$8,$B62,Меню!$J$196:$EZ$196)*Обложка!$J$18/60,SUMIF(Меню!$J$8:$EZ$8,$B62,Меню!$J$196:$EZ$196)/1000*Обложка!$J$18)</f>
        <v>0</v>
      </c>
      <c r="W62" s="685">
        <f t="shared" si="3"/>
        <v>0</v>
      </c>
      <c r="X62" s="212">
        <f>IF($B62="Яйцо (шт)",SUMIF(Меню!$J$8:$EZ$8,$B62,Меню!$J$208:$EZ$208)*Обложка!$L$15/60,SUMIF(Меню!$J$8:$EZ$8,$B62,Меню!$J$208:$EZ$208)/1000*Обложка!$L$15)</f>
        <v>0</v>
      </c>
      <c r="Y62" s="212">
        <f>IF($B62="Яйцо (шт)",SUMIF(Меню!$J$8:$EZ$8,$B62,Меню!$J$223:$EZ$223)*Обложка!$L$16/60,SUMIF(Меню!$J$8:$EZ$8,$B62,Меню!$J$223:$EZ$223)/1000*Обложка!$J$16)</f>
        <v>0</v>
      </c>
      <c r="Z62" s="212">
        <f>IF($B62="Яйцо (шт)",SUMIF(Меню!$J$8:$EZ$8,$B62,Меню!$J$236:$EZ$236)*Обложка!$L$17/60,SUMIF(Меню!$J$8:$EZ$8,$B62,Меню!$J$236:$EZ$236)/1000*Обложка!$L$17)</f>
        <v>0</v>
      </c>
      <c r="AA62" s="212">
        <f>IF($B62="Яйцо (шт)",SUMIF(Меню!$J$8:$EZ$8,$B62,Меню!$J$241:$EZ$241)*Обложка!$L$18/60,SUMIF(Меню!$J$8:$EZ$8,$B62,Меню!$J$241:$EZ$241)/1000*Обложка!$L$18)</f>
        <v>0</v>
      </c>
      <c r="AB62" s="685">
        <f t="shared" si="4"/>
        <v>0</v>
      </c>
      <c r="AC62" s="212">
        <f>IF($B62="Яйцо (шт)",SUMIF(Меню!$J$8:$EZ$8,$B62,Меню!$J$253:$EZ$253)*Обложка!$N$15/60,SUMIF(Меню!$J$8:$EZ$8,$B62,Меню!$J$253:$EZ$253)/1000*Обложка!$N$15)</f>
        <v>0</v>
      </c>
      <c r="AD62" s="212">
        <f>IF($B62="Яйцо (шт)",SUMIF(Меню!$J$8:$EZ$8,$B62,Меню!$J$268:$EZ$268)*Обложка!$N$16/60,SUMIF(Меню!$J$8:$EZ$8,$B62,Меню!$J$268:$EZ$268)/1000*Обложка!$N$16)</f>
        <v>0</v>
      </c>
      <c r="AE62" s="212">
        <f>IF($B62="Яйцо (шт)",SUMIF(Меню!$J$8:$EZ$8,$B62,Меню!$J$281:$EZ$281)*Обложка!$N$17/60,SUMIF(Меню!$J$8:$EZ$8,$B62,Меню!$J$281:$EZ$281)/1000*Обложка!$N$17)</f>
        <v>0</v>
      </c>
      <c r="AF62" s="212">
        <f>IF($B62="Яйцо (шт)",SUMIF(Меню!$J$8:$EZ$8,$B62,Меню!$J$286:$EZ$286)*Обложка!$N$18/60,SUMIF(Меню!$J$8:$EZ$8,$B62,Меню!$J$286:$EZ$286)/1000*Обложка!$N$18)</f>
        <v>0</v>
      </c>
      <c r="AG62" s="685">
        <f t="shared" si="5"/>
        <v>0</v>
      </c>
      <c r="AH62" s="212">
        <f>IF($B62="Яйцо (шт)",SUMIF(Меню!$J$8:$EZ$8,$B62,Меню!$J$298:$EZ$298)*Обложка!$P$15/60,SUMIF(Меню!$J$8:$EZ$8,$B62,Меню!$J$298:$EZ$298)/1000*Обложка!$P$15)</f>
        <v>0</v>
      </c>
      <c r="AI62" s="212">
        <f>IF($B62="Яйцо (шт)",SUMIF(Меню!$J$8:$EZ$8,$BB62,Меню!$J$313:$EZ$313)*Обложка!$P$16/60,SUMIF(Меню!$J$8:$EZ$8,$B62,Меню!$J$313:$EZ$313)/1000*Обложка!$P$16)</f>
        <v>0</v>
      </c>
      <c r="AJ62" s="212">
        <f>IF($B62="Яйцо (шт)",SUMIF(Меню!$J$8:$EZ$8,$B62,Меню!$J$326:$EZ$326)*Обложка!$P$17/60,SUMIF(Меню!$J$8:$EZ$8,$B62,Меню!$J$326:$EZ$326)/1000*Обложка!$P$17)</f>
        <v>0</v>
      </c>
      <c r="AK62" s="212">
        <f>IF($B62="Яйцо (шт)",SUMIF(Меню!$J$8:$EZ$8,$B62,Меню!$J$331:$EZ$331)*Обложка!$P$18/60,SUMIF(Меню!$J$8:$EZ$8,$B62,Меню!$J$331:$EZ$331)/1000*Обложка!$P$18)</f>
        <v>0</v>
      </c>
      <c r="AL62" s="699">
        <f t="shared" si="6"/>
        <v>0</v>
      </c>
      <c r="AM62" s="685">
        <f t="shared" si="7"/>
        <v>0</v>
      </c>
    </row>
    <row r="63" spans="1:39" x14ac:dyDescent="0.25">
      <c r="A63" s="249">
        <f t="shared" si="8"/>
        <v>51</v>
      </c>
      <c r="B63" s="248" t="str">
        <f>инфо!D52</f>
        <v>Сыр плавленный</v>
      </c>
      <c r="C63" s="694">
        <f>SUMIF(Меню!$J$8:$FD$8,$B63,Меню!$J$333:$FD$333)</f>
        <v>154</v>
      </c>
      <c r="D63" s="212">
        <f>IF($B63="Яйцо (шт)",SUMIF(Меню!$J$8:$FD$8,$B63,Меню!$J$28:$FD$28)*Обложка!$D$15/60,SUMIF(Меню!$J$8:$FD$8,$B63,Меню!$J$28:$FD$28)/1000*Обложка!$D$15)</f>
        <v>2.6839999999999997</v>
      </c>
      <c r="E63" s="212">
        <f>IF($B63="Яйцо (шт)",SUMIF(Меню!$J$8:$FD$8,$B63,Меню!$J$43:$FD$43)*Обложка!$D$16/60,SUMIF(Меню!$J$8:$FD$8,$B63,Меню!$J$43:$FD$43)/1000*Обложка!$D$16)</f>
        <v>0</v>
      </c>
      <c r="F63" s="212">
        <f>IF($B63="Яйцо (шт)",SUMIF(Меню!$J$8:$FD$8,$B63,Меню!$J$56:$FD$56)*Обложка!$D$17/60,SUMIF(Меню!$J$8:$FD$8,$B63,Меню!$J$56:$FD$56)/1000*Обложка!$D$17)</f>
        <v>0</v>
      </c>
      <c r="G63" s="212">
        <f>IF($B63="Яйцо (шт)",SUMIF(Меню!$J$8:$FD$8,$B63,Меню!$J$61:$FD$61)*Обложка!$D$18/60,SUMIF(Меню!$J$8:$FD$8,$B63,Меню!$J$61:$FD$61)/1000*Обложка!$D$18)</f>
        <v>0</v>
      </c>
      <c r="H63" s="685">
        <f t="shared" si="0"/>
        <v>2.6839999999999997</v>
      </c>
      <c r="I63" s="212">
        <f>IF($B63="Яйцо (шт)",SUMIF(Меню!$J$8:$FD$8,$B63,Меню!$J$73:$FD$73)*Обложка!$F$15/60,SUMIF(Меню!$J$8:$FD$8,$B63,Меню!$J$73:$FD$73)/1000*Обложка!$F$15)</f>
        <v>2.8159999999999998</v>
      </c>
      <c r="J63" s="212">
        <f>IF($B63="Яйцо (шт)",SUMIF(Меню!$J$8:$FD$8,$B63,Меню!$J$88:$FD$88)*Обложка!$F$16/60,SUMIF(Меню!$J$8:$FD$8,$B63,Меню!$J$88:$FD$88)/1000*Обложка!$G$16)</f>
        <v>0</v>
      </c>
      <c r="K63" s="212">
        <f>IF($B63="Яйцо (шт)",SUMIF(Меню!$J$8:$FD$8,$B63,Меню!$J$101:$FD$101)*Обложка!$F$17/60,SUMIF(Меню!$J$8:$FD$8,$B63,Меню!$J$101:$FD$101)/1000*Обложка!$F$17)</f>
        <v>0</v>
      </c>
      <c r="L63" s="212">
        <f>IF($B63="Яйцо (шт)",SUMIF(Меню!$J$8:$FD$8,$B63,Меню!$J$106:$FD$106)*Обложка!$F$18/60,SUMIF(Меню!$J$8:$FD$8,$B63,Меню!$J$106:$FD$106)/1000*Обложка!$F$18)</f>
        <v>0</v>
      </c>
      <c r="M63" s="685">
        <f t="shared" si="1"/>
        <v>2.8159999999999998</v>
      </c>
      <c r="N63" s="212">
        <f>IF($B63="Яйцо (шт)",SUMIF(Меню!$J$8:$EZ$8,$B63,Меню!$J$118:$EZ$118)*Обложка!$H$15/60,SUMIF(Меню!$J$8:$EZ$8,$B63,Меню!$J$118:$EZ$118)/1000*Обложка!$H$15)</f>
        <v>2.5299999999999998</v>
      </c>
      <c r="O63" s="212">
        <f>IF($B63="Яйцо (шт)",SUMIF(Меню!$J$8:$EZ$8,$B63,Меню!$J$133:$EZ$133)*Обложка!$H$16/60,SUMIF(Меню!$J$8:$EZ$8,$B63,Меню!$J$133:$EZ$133)/1000*Обложка!$H$16)</f>
        <v>0</v>
      </c>
      <c r="P63" s="212">
        <f>IF($B63="Яйцо (шт)",SUMIF(Меню!$J$8:$EZ$8,$B63,Меню!$J$146:$EZ$146)*Обложка!$H$17/60,SUMIF(Меню!$J$8:$EZ$8,$B63,Меню!$J$146:$EZ$146)/1000*Обложка!$H$17)</f>
        <v>0</v>
      </c>
      <c r="Q63" s="212">
        <f>IF($B63="Яйцо (шт)",SUMIF(Меню!$J$8:$EZ$8,$B63,Меню!$J$151:$EZ$151)*Обложка!$H$18/60,SUMIF(Меню!$J$8:$EZ$8,$B63,Меню!$J$151:$EZ$151)/1000*Обложка!$H$18)</f>
        <v>0</v>
      </c>
      <c r="R63" s="685">
        <f t="shared" si="2"/>
        <v>2.5299999999999998</v>
      </c>
      <c r="S63" s="212">
        <f>IF($B63="Яйцо (шт)",SUMIF(Меню!$J$8:$EZ$8,$B63,Меню!$J$163:$EZ$163)*Обложка!$J$15/60,SUMIF(Меню!$J$8:$EZ$8,$B63,Меню!$J$163:$EZ$163)/1000*Обложка!$J$15)</f>
        <v>2.31</v>
      </c>
      <c r="T63" s="212">
        <f>IF($B63="Яйцо (шт)",SUMIF(Меню!$J$8:$EZ$8,$B63,Меню!$J$178:$EZ$178)*Обложка!$J$16/60,SUMIF(Меню!$J$8:$EZ$8,$B63,Меню!$J$178:$EZ$178)/1000*Обложка!$J$16)</f>
        <v>0</v>
      </c>
      <c r="U63" s="212">
        <f>IF($B63="Яйцо (шт)",SUMIF(Меню!$J$8:$EZ$8,$B63,Меню!$J$191:$EZ$191)*Обложка!$J$17/60,SUMIF(Меню!$J$8:$EZ$8,$B63,Меню!$J$191:$EZ$191)/1000*Обложка!$J$17)</f>
        <v>0</v>
      </c>
      <c r="V63" s="212">
        <f>IF($B63="Яйцо (шт)",SUMIF(Меню!$J$8:$EZ$8,$B63,Меню!$J$196:$EZ$196)*Обложка!$J$18/60,SUMIF(Меню!$J$8:$EZ$8,$B63,Меню!$J$196:$EZ$196)/1000*Обложка!$J$18)</f>
        <v>0</v>
      </c>
      <c r="W63" s="685">
        <f t="shared" si="3"/>
        <v>2.31</v>
      </c>
      <c r="X63" s="212">
        <f>IF($B63="Яйцо (шт)",SUMIF(Меню!$J$8:$EZ$8,$B63,Меню!$J$208:$EZ$208)*Обложка!$L$15/60,SUMIF(Меню!$J$8:$EZ$8,$B63,Меню!$J$208:$EZ$208)/1000*Обложка!$L$15)</f>
        <v>3.0799999999999996</v>
      </c>
      <c r="Y63" s="212">
        <f>IF($B63="Яйцо (шт)",SUMIF(Меню!$J$8:$EZ$8,$B63,Меню!$J$223:$EZ$223)*Обложка!$L$16/60,SUMIF(Меню!$J$8:$EZ$8,$B63,Меню!$J$223:$EZ$223)/1000*Обложка!$J$16)</f>
        <v>0</v>
      </c>
      <c r="Z63" s="212">
        <f>IF($B63="Яйцо (шт)",SUMIF(Меню!$J$8:$EZ$8,$B63,Меню!$J$236:$EZ$236)*Обложка!$L$17/60,SUMIF(Меню!$J$8:$EZ$8,$B63,Меню!$J$236:$EZ$236)/1000*Обложка!$L$17)</f>
        <v>0</v>
      </c>
      <c r="AA63" s="212">
        <f>IF($B63="Яйцо (шт)",SUMIF(Меню!$J$8:$EZ$8,$B63,Меню!$J$241:$EZ$241)*Обложка!$L$18/60,SUMIF(Меню!$J$8:$EZ$8,$B63,Меню!$J$241:$EZ$241)/1000*Обложка!$L$18)</f>
        <v>0</v>
      </c>
      <c r="AB63" s="685">
        <f t="shared" si="4"/>
        <v>3.0799999999999996</v>
      </c>
      <c r="AC63" s="212">
        <f>IF($B63="Яйцо (шт)",SUMIF(Меню!$J$8:$EZ$8,$B63,Меню!$J$253:$EZ$253)*Обложка!$N$15/60,SUMIF(Меню!$J$8:$EZ$8,$B63,Меню!$J$253:$EZ$253)/1000*Обложка!$N$15)</f>
        <v>0.99</v>
      </c>
      <c r="AD63" s="212">
        <f>IF($B63="Яйцо (шт)",SUMIF(Меню!$J$8:$EZ$8,$B63,Меню!$J$268:$EZ$268)*Обложка!$N$16/60,SUMIF(Меню!$J$8:$EZ$8,$B63,Меню!$J$268:$EZ$268)/1000*Обложка!$N$16)</f>
        <v>0</v>
      </c>
      <c r="AE63" s="212">
        <f>IF($B63="Яйцо (шт)",SUMIF(Меню!$J$8:$EZ$8,$B63,Меню!$J$281:$EZ$281)*Обложка!$N$17/60,SUMIF(Меню!$J$8:$EZ$8,$B63,Меню!$J$281:$EZ$281)/1000*Обложка!$N$17)</f>
        <v>0</v>
      </c>
      <c r="AF63" s="212">
        <f>IF($B63="Яйцо (шт)",SUMIF(Меню!$J$8:$EZ$8,$B63,Меню!$J$286:$EZ$286)*Обложка!$N$18/60,SUMIF(Меню!$J$8:$EZ$8,$B63,Меню!$J$286:$EZ$286)/1000*Обложка!$N$18)</f>
        <v>0</v>
      </c>
      <c r="AG63" s="685">
        <f t="shared" si="5"/>
        <v>0.99</v>
      </c>
      <c r="AH63" s="212">
        <f>IF($B63="Яйцо (шт)",SUMIF(Меню!$J$8:$EZ$8,$B63,Меню!$J$298:$EZ$298)*Обложка!$P$15/60,SUMIF(Меню!$J$8:$EZ$8,$B63,Меню!$J$298:$EZ$298)/1000*Обложка!$P$15)</f>
        <v>0.43999999999999995</v>
      </c>
      <c r="AI63" s="212">
        <f>IF($B63="Яйцо (шт)",SUMIF(Меню!$J$8:$EZ$8,$BB63,Меню!$J$313:$EZ$313)*Обложка!$P$16/60,SUMIF(Меню!$J$8:$EZ$8,$B63,Меню!$J$313:$EZ$313)/1000*Обложка!$P$16)</f>
        <v>0</v>
      </c>
      <c r="AJ63" s="212">
        <f>IF($B63="Яйцо (шт)",SUMIF(Меню!$J$8:$EZ$8,$B63,Меню!$J$326:$EZ$326)*Обложка!$P$17/60,SUMIF(Меню!$J$8:$EZ$8,$B63,Меню!$J$326:$EZ$326)/1000*Обложка!$P$17)</f>
        <v>0</v>
      </c>
      <c r="AK63" s="212">
        <f>IF($B63="Яйцо (шт)",SUMIF(Меню!$J$8:$EZ$8,$B63,Меню!$J$331:$EZ$331)*Обложка!$P$18/60,SUMIF(Меню!$J$8:$EZ$8,$B63,Меню!$J$331:$EZ$331)/1000*Обложка!$P$18)</f>
        <v>0</v>
      </c>
      <c r="AL63" s="699">
        <f t="shared" si="6"/>
        <v>0.43999999999999995</v>
      </c>
      <c r="AM63" s="685">
        <f t="shared" si="7"/>
        <v>14.85</v>
      </c>
    </row>
    <row r="64" spans="1:39" x14ac:dyDescent="0.25">
      <c r="A64" s="249">
        <f t="shared" si="8"/>
        <v>52</v>
      </c>
      <c r="B64" s="248" t="str">
        <f>инфо!D53</f>
        <v>Молоко сгущ.</v>
      </c>
      <c r="C64" s="694">
        <f>SUMIF(Меню!$J$8:$FD$8,$B64,Меню!$J$333:$FD$333)</f>
        <v>20</v>
      </c>
      <c r="D64" s="212">
        <f>IF($B64="Яйцо (шт)",SUMIF(Меню!$J$8:$FD$8,$B64,Меню!$J$28:$FD$28)*Обложка!$D$15/60,SUMIF(Меню!$J$8:$FD$8,$B64,Меню!$J$28:$FD$28)/1000*Обложка!$D$15)</f>
        <v>0</v>
      </c>
      <c r="E64" s="212">
        <f>IF($B64="Яйцо (шт)",SUMIF(Меню!$J$8:$FD$8,$B64,Меню!$J$43:$FD$43)*Обложка!$D$16/60,SUMIF(Меню!$J$8:$FD$8,$B64,Меню!$J$43:$FD$43)/1000*Обложка!$D$16)</f>
        <v>0</v>
      </c>
      <c r="F64" s="212">
        <f>IF($B64="Яйцо (шт)",SUMIF(Меню!$J$8:$FD$8,$B64,Меню!$J$56:$FD$56)*Обложка!$D$17/60,SUMIF(Меню!$J$8:$FD$8,$B64,Меню!$J$56:$FD$56)/1000*Обложка!$D$17)</f>
        <v>0</v>
      </c>
      <c r="G64" s="212">
        <f>IF($B64="Яйцо (шт)",SUMIF(Меню!$J$8:$FD$8,$B64,Меню!$J$61:$FD$61)*Обложка!$D$18/60,SUMIF(Меню!$J$8:$FD$8,$B64,Меню!$J$61:$FD$61)/1000*Обложка!$D$18)</f>
        <v>0</v>
      </c>
      <c r="H64" s="685">
        <f t="shared" si="0"/>
        <v>0</v>
      </c>
      <c r="I64" s="212">
        <f>IF($B64="Яйцо (шт)",SUMIF(Меню!$J$8:$FD$8,$B64,Меню!$J$73:$FD$73)*Обложка!$F$15/60,SUMIF(Меню!$J$8:$FD$8,$B64,Меню!$J$73:$FD$73)/1000*Обложка!$F$15)</f>
        <v>0</v>
      </c>
      <c r="J64" s="212">
        <f>IF($B64="Яйцо (шт)",SUMIF(Меню!$J$8:$FD$8,$B64,Меню!$J$88:$FD$88)*Обложка!$F$16/60,SUMIF(Меню!$J$8:$FD$8,$B64,Меню!$J$88:$FD$88)/1000*Обложка!$G$16)</f>
        <v>0</v>
      </c>
      <c r="K64" s="212">
        <f>IF($B64="Яйцо (шт)",SUMIF(Меню!$J$8:$FD$8,$B64,Меню!$J$101:$FD$101)*Обложка!$F$17/60,SUMIF(Меню!$J$8:$FD$8,$B64,Меню!$J$101:$FD$101)/1000*Обложка!$F$17)</f>
        <v>0</v>
      </c>
      <c r="L64" s="212">
        <f>IF($B64="Яйцо (шт)",SUMIF(Меню!$J$8:$FD$8,$B64,Меню!$J$106:$FD$106)*Обложка!$F$18/60,SUMIF(Меню!$J$8:$FD$8,$B64,Меню!$J$106:$FD$106)/1000*Обложка!$F$18)</f>
        <v>0</v>
      </c>
      <c r="M64" s="685">
        <f t="shared" si="1"/>
        <v>0</v>
      </c>
      <c r="N64" s="212">
        <f>IF($B64="Яйцо (шт)",SUMIF(Меню!$J$8:$EZ$8,$B64,Меню!$J$118:$EZ$118)*Обложка!$H$15/60,SUMIF(Меню!$J$8:$EZ$8,$B64,Меню!$J$118:$EZ$118)/1000*Обложка!$H$15)</f>
        <v>0</v>
      </c>
      <c r="O64" s="212">
        <f>IF($B64="Яйцо (шт)",SUMIF(Меню!$J$8:$EZ$8,$B64,Меню!$J$133:$EZ$133)*Обложка!$H$16/60,SUMIF(Меню!$J$8:$EZ$8,$B64,Меню!$J$133:$EZ$133)/1000*Обложка!$H$16)</f>
        <v>0</v>
      </c>
      <c r="P64" s="212">
        <f>IF($B64="Яйцо (шт)",SUMIF(Меню!$J$8:$EZ$8,$B64,Меню!$J$146:$EZ$146)*Обложка!$H$17/60,SUMIF(Меню!$J$8:$EZ$8,$B64,Меню!$J$146:$EZ$146)/1000*Обложка!$H$17)</f>
        <v>0</v>
      </c>
      <c r="Q64" s="212">
        <f>IF($B64="Яйцо (шт)",SUMIF(Меню!$J$8:$EZ$8,$B64,Меню!$J$151:$EZ$151)*Обложка!$H$18/60,SUMIF(Меню!$J$8:$EZ$8,$B64,Меню!$J$151:$EZ$151)/1000*Обложка!$H$18)</f>
        <v>0</v>
      </c>
      <c r="R64" s="685">
        <f t="shared" si="2"/>
        <v>0</v>
      </c>
      <c r="S64" s="212">
        <f>IF($B64="Яйцо (шт)",SUMIF(Меню!$J$8:$EZ$8,$B64,Меню!$J$163:$EZ$163)*Обложка!$J$15/60,SUMIF(Меню!$J$8:$EZ$8,$B64,Меню!$J$163:$EZ$163)/1000*Обложка!$J$15)</f>
        <v>0</v>
      </c>
      <c r="T64" s="212">
        <f>IF($B64="Яйцо (шт)",SUMIF(Меню!$J$8:$EZ$8,$B64,Меню!$J$178:$EZ$178)*Обложка!$J$16/60,SUMIF(Меню!$J$8:$EZ$8,$B64,Меню!$J$178:$EZ$178)/1000*Обложка!$J$16)</f>
        <v>0</v>
      </c>
      <c r="U64" s="212">
        <f>IF($B64="Яйцо (шт)",SUMIF(Меню!$J$8:$EZ$8,$B64,Меню!$J$191:$EZ$191)*Обложка!$J$17/60,SUMIF(Меню!$J$8:$EZ$8,$B64,Меню!$J$191:$EZ$191)/1000*Обложка!$J$17)</f>
        <v>0</v>
      </c>
      <c r="V64" s="212">
        <f>IF($B64="Яйцо (шт)",SUMIF(Меню!$J$8:$EZ$8,$B64,Меню!$J$196:$EZ$196)*Обложка!$J$18/60,SUMIF(Меню!$J$8:$EZ$8,$B64,Меню!$J$196:$EZ$196)/1000*Обложка!$J$18)</f>
        <v>0</v>
      </c>
      <c r="W64" s="685">
        <f t="shared" si="3"/>
        <v>0</v>
      </c>
      <c r="X64" s="212">
        <f>IF($B64="Яйцо (шт)",SUMIF(Меню!$J$8:$EZ$8,$B64,Меню!$J$208:$EZ$208)*Обложка!$L$15/60,SUMIF(Меню!$J$8:$EZ$8,$B64,Меню!$J$208:$EZ$208)/1000*Обложка!$L$15)</f>
        <v>0</v>
      </c>
      <c r="Y64" s="212">
        <f>IF($B64="Яйцо (шт)",SUMIF(Меню!$J$8:$EZ$8,$B64,Меню!$J$223:$EZ$223)*Обложка!$L$16/60,SUMIF(Меню!$J$8:$EZ$8,$B64,Меню!$J$223:$EZ$223)/1000*Обложка!$J$16)</f>
        <v>0</v>
      </c>
      <c r="Z64" s="212">
        <f>IF($B64="Яйцо (шт)",SUMIF(Меню!$J$8:$EZ$8,$B64,Меню!$J$236:$EZ$236)*Обложка!$L$17/60,SUMIF(Меню!$J$8:$EZ$8,$B64,Меню!$J$236:$EZ$236)/1000*Обложка!$L$17)</f>
        <v>0</v>
      </c>
      <c r="AA64" s="212">
        <f>IF($B64="Яйцо (шт)",SUMIF(Меню!$J$8:$EZ$8,$B64,Меню!$J$241:$EZ$241)*Обложка!$L$18/60,SUMIF(Меню!$J$8:$EZ$8,$B64,Меню!$J$241:$EZ$241)/1000*Обложка!$L$18)</f>
        <v>0</v>
      </c>
      <c r="AB64" s="685">
        <f t="shared" si="4"/>
        <v>0</v>
      </c>
      <c r="AC64" s="212">
        <f>IF($B64="Яйцо (шт)",SUMIF(Меню!$J$8:$EZ$8,$B64,Меню!$J$253:$EZ$253)*Обложка!$N$15/60,SUMIF(Меню!$J$8:$EZ$8,$B64,Меню!$J$253:$EZ$253)/1000*Обложка!$N$15)</f>
        <v>0</v>
      </c>
      <c r="AD64" s="212">
        <f>IF($B64="Яйцо (шт)",SUMIF(Меню!$J$8:$EZ$8,$B64,Меню!$J$268:$EZ$268)*Обложка!$N$16/60,SUMIF(Меню!$J$8:$EZ$8,$B64,Меню!$J$268:$EZ$268)/1000*Обложка!$N$16)</f>
        <v>0</v>
      </c>
      <c r="AE64" s="212">
        <f>IF($B64="Яйцо (шт)",SUMIF(Меню!$J$8:$EZ$8,$B64,Меню!$J$281:$EZ$281)*Обложка!$N$17/60,SUMIF(Меню!$J$8:$EZ$8,$B64,Меню!$J$281:$EZ$281)/1000*Обложка!$N$17)</f>
        <v>0</v>
      </c>
      <c r="AF64" s="212">
        <f>IF($B64="Яйцо (шт)",SUMIF(Меню!$J$8:$EZ$8,$B64,Меню!$J$286:$EZ$286)*Обложка!$N$18/60,SUMIF(Меню!$J$8:$EZ$8,$B64,Меню!$J$286:$EZ$286)/1000*Обложка!$N$18)</f>
        <v>0</v>
      </c>
      <c r="AG64" s="685">
        <f t="shared" si="5"/>
        <v>0</v>
      </c>
      <c r="AH64" s="212">
        <f>IF($B64="Яйцо (шт)",SUMIF(Меню!$J$8:$EZ$8,$B64,Меню!$J$298:$EZ$298)*Обложка!$P$15/60,SUMIF(Меню!$J$8:$EZ$8,$B64,Меню!$J$298:$EZ$298)/1000*Обложка!$P$15)</f>
        <v>0.4</v>
      </c>
      <c r="AI64" s="212">
        <f>IF($B64="Яйцо (шт)",SUMIF(Меню!$J$8:$EZ$8,$BB64,Меню!$J$313:$EZ$313)*Обложка!$P$16/60,SUMIF(Меню!$J$8:$EZ$8,$B64,Меню!$J$313:$EZ$313)/1000*Обложка!$P$16)</f>
        <v>0</v>
      </c>
      <c r="AJ64" s="212">
        <f>IF($B64="Яйцо (шт)",SUMIF(Меню!$J$8:$EZ$8,$B64,Меню!$J$326:$EZ$326)*Обложка!$P$17/60,SUMIF(Меню!$J$8:$EZ$8,$B64,Меню!$J$326:$EZ$326)/1000*Обложка!$P$17)</f>
        <v>0</v>
      </c>
      <c r="AK64" s="212">
        <f>IF($B64="Яйцо (шт)",SUMIF(Меню!$J$8:$EZ$8,$B64,Меню!$J$331:$EZ$331)*Обложка!$P$18/60,SUMIF(Меню!$J$8:$EZ$8,$B64,Меню!$J$331:$EZ$331)/1000*Обложка!$P$18)</f>
        <v>0</v>
      </c>
      <c r="AL64" s="699">
        <f t="shared" si="6"/>
        <v>0.4</v>
      </c>
      <c r="AM64" s="685">
        <f t="shared" si="7"/>
        <v>0.4</v>
      </c>
    </row>
    <row r="65" spans="1:39" x14ac:dyDescent="0.25">
      <c r="A65" s="249">
        <f t="shared" si="8"/>
        <v>53</v>
      </c>
      <c r="B65" s="248" t="str">
        <f>инфо!D54</f>
        <v>Сметана</v>
      </c>
      <c r="C65" s="694">
        <f>SUMIF(Меню!$J$8:$FD$8,$B65,Меню!$J$333:$FD$333)</f>
        <v>45</v>
      </c>
      <c r="D65" s="212">
        <f>IF($B65="Яйцо (шт)",SUMIF(Меню!$J$8:$FD$8,$B65,Меню!$J$28:$FD$28)*Обложка!$D$15/60,SUMIF(Меню!$J$8:$FD$8,$B65,Меню!$J$28:$FD$28)/1000*Обложка!$D$15)</f>
        <v>0</v>
      </c>
      <c r="E65" s="212">
        <f>IF($B65="Яйцо (шт)",SUMIF(Меню!$J$8:$FD$8,$B65,Меню!$J$43:$FD$43)*Обложка!$D$16/60,SUMIF(Меню!$J$8:$FD$8,$B65,Меню!$J$43:$FD$43)/1000*Обложка!$D$16)</f>
        <v>0</v>
      </c>
      <c r="F65" s="212">
        <f>IF($B65="Яйцо (шт)",SUMIF(Меню!$J$8:$FD$8,$B65,Меню!$J$56:$FD$56)*Обложка!$D$17/60,SUMIF(Меню!$J$8:$FD$8,$B65,Меню!$J$56:$FD$56)/1000*Обложка!$D$17)</f>
        <v>0</v>
      </c>
      <c r="G65" s="212">
        <f>IF($B65="Яйцо (шт)",SUMIF(Меню!$J$8:$FD$8,$B65,Меню!$J$61:$FD$61)*Обложка!$D$18/60,SUMIF(Меню!$J$8:$FD$8,$B65,Меню!$J$61:$FD$61)/1000*Обложка!$D$18)</f>
        <v>0</v>
      </c>
      <c r="H65" s="685">
        <f t="shared" si="0"/>
        <v>0</v>
      </c>
      <c r="I65" s="212">
        <f>IF($B65="Яйцо (шт)",SUMIF(Меню!$J$8:$FD$8,$B65,Меню!$J$73:$FD$73)*Обложка!$F$15/60,SUMIF(Меню!$J$8:$FD$8,$B65,Меню!$J$73:$FD$73)/1000*Обложка!$F$15)</f>
        <v>0</v>
      </c>
      <c r="J65" s="212">
        <f>IF($B65="Яйцо (шт)",SUMIF(Меню!$J$8:$FD$8,$B65,Меню!$J$88:$FD$88)*Обложка!$F$16/60,SUMIF(Меню!$J$8:$FD$8,$B65,Меню!$J$88:$FD$88)/1000*Обложка!$G$16)</f>
        <v>0.11</v>
      </c>
      <c r="K65" s="212">
        <f>IF($B65="Яйцо (шт)",SUMIF(Меню!$J$8:$FD$8,$B65,Меню!$J$101:$FD$101)*Обложка!$F$17/60,SUMIF(Меню!$J$8:$FD$8,$B65,Меню!$J$101:$FD$101)/1000*Обложка!$F$17)</f>
        <v>0</v>
      </c>
      <c r="L65" s="212">
        <f>IF($B65="Яйцо (шт)",SUMIF(Меню!$J$8:$FD$8,$B65,Меню!$J$106:$FD$106)*Обложка!$F$18/60,SUMIF(Меню!$J$8:$FD$8,$B65,Меню!$J$106:$FD$106)/1000*Обложка!$F$18)</f>
        <v>0</v>
      </c>
      <c r="M65" s="685">
        <f t="shared" si="1"/>
        <v>0.11</v>
      </c>
      <c r="N65" s="212">
        <f>IF($B65="Яйцо (шт)",SUMIF(Меню!$J$8:$EZ$8,$B65,Меню!$J$118:$EZ$118)*Обложка!$H$15/60,SUMIF(Меню!$J$8:$EZ$8,$B65,Меню!$J$118:$EZ$118)/1000*Обложка!$H$15)</f>
        <v>0</v>
      </c>
      <c r="O65" s="212">
        <f>IF($B65="Яйцо (шт)",SUMIF(Меню!$J$8:$EZ$8,$B65,Меню!$J$133:$EZ$133)*Обложка!$H$16/60,SUMIF(Меню!$J$8:$EZ$8,$B65,Меню!$J$133:$EZ$133)/1000*Обложка!$H$16)</f>
        <v>0.57500000000000007</v>
      </c>
      <c r="P65" s="212">
        <f>IF($B65="Яйцо (шт)",SUMIF(Меню!$J$8:$EZ$8,$B65,Меню!$J$146:$EZ$146)*Обложка!$H$17/60,SUMIF(Меню!$J$8:$EZ$8,$B65,Меню!$J$146:$EZ$146)/1000*Обложка!$H$17)</f>
        <v>0</v>
      </c>
      <c r="Q65" s="212">
        <f>IF($B65="Яйцо (шт)",SUMIF(Меню!$J$8:$EZ$8,$B65,Меню!$J$151:$EZ$151)*Обложка!$H$18/60,SUMIF(Меню!$J$8:$EZ$8,$B65,Меню!$J$151:$EZ$151)/1000*Обложка!$H$18)</f>
        <v>0</v>
      </c>
      <c r="R65" s="685">
        <f t="shared" si="2"/>
        <v>0.57500000000000007</v>
      </c>
      <c r="S65" s="212">
        <f>IF($B65="Яйцо (шт)",SUMIF(Меню!$J$8:$EZ$8,$B65,Меню!$J$163:$EZ$163)*Обложка!$J$15/60,SUMIF(Меню!$J$8:$EZ$8,$B65,Меню!$J$163:$EZ$163)/1000*Обложка!$J$15)</f>
        <v>0</v>
      </c>
      <c r="T65" s="212">
        <f>IF($B65="Яйцо (шт)",SUMIF(Меню!$J$8:$EZ$8,$B65,Меню!$J$178:$EZ$178)*Обложка!$J$16/60,SUMIF(Меню!$J$8:$EZ$8,$B65,Меню!$J$178:$EZ$178)/1000*Обложка!$J$16)</f>
        <v>2</v>
      </c>
      <c r="U65" s="212">
        <f>IF($B65="Яйцо (шт)",SUMIF(Меню!$J$8:$EZ$8,$B65,Меню!$J$191:$EZ$191)*Обложка!$J$17/60,SUMIF(Меню!$J$8:$EZ$8,$B65,Меню!$J$191:$EZ$191)/1000*Обложка!$J$17)</f>
        <v>0</v>
      </c>
      <c r="V65" s="212">
        <f>IF($B65="Яйцо (шт)",SUMIF(Меню!$J$8:$EZ$8,$B65,Меню!$J$196:$EZ$196)*Обложка!$J$18/60,SUMIF(Меню!$J$8:$EZ$8,$B65,Меню!$J$196:$EZ$196)/1000*Обложка!$J$18)</f>
        <v>0</v>
      </c>
      <c r="W65" s="685">
        <f t="shared" si="3"/>
        <v>2</v>
      </c>
      <c r="X65" s="212">
        <f>IF($B65="Яйцо (шт)",SUMIF(Меню!$J$8:$EZ$8,$B65,Меню!$J$208:$EZ$208)*Обложка!$L$15/60,SUMIF(Меню!$J$8:$EZ$8,$B65,Меню!$J$208:$EZ$208)/1000*Обложка!$L$15)</f>
        <v>0</v>
      </c>
      <c r="Y65" s="212">
        <f>IF($B65="Яйцо (шт)",SUMIF(Меню!$J$8:$EZ$8,$B65,Меню!$J$223:$EZ$223)*Обложка!$L$16/60,SUMIF(Меню!$J$8:$EZ$8,$B65,Меню!$J$223:$EZ$223)/1000*Обложка!$J$16)</f>
        <v>0.5</v>
      </c>
      <c r="Z65" s="212">
        <f>IF($B65="Яйцо (шт)",SUMIF(Меню!$J$8:$EZ$8,$B65,Меню!$J$236:$EZ$236)*Обложка!$L$17/60,SUMIF(Меню!$J$8:$EZ$8,$B65,Меню!$J$236:$EZ$236)/1000*Обложка!$L$17)</f>
        <v>0</v>
      </c>
      <c r="AA65" s="212">
        <f>IF($B65="Яйцо (шт)",SUMIF(Меню!$J$8:$EZ$8,$B65,Меню!$J$241:$EZ$241)*Обложка!$L$18/60,SUMIF(Меню!$J$8:$EZ$8,$B65,Меню!$J$241:$EZ$241)/1000*Обложка!$L$18)</f>
        <v>0</v>
      </c>
      <c r="AB65" s="685">
        <f t="shared" si="4"/>
        <v>0.5</v>
      </c>
      <c r="AC65" s="212">
        <f>IF($B65="Яйцо (шт)",SUMIF(Меню!$J$8:$EZ$8,$B65,Меню!$J$253:$EZ$253)*Обложка!$N$15/60,SUMIF(Меню!$J$8:$EZ$8,$B65,Меню!$J$253:$EZ$253)/1000*Обложка!$N$15)</f>
        <v>0</v>
      </c>
      <c r="AD65" s="212">
        <f>IF($B65="Яйцо (шт)",SUMIF(Меню!$J$8:$EZ$8,$B65,Меню!$J$268:$EZ$268)*Обложка!$N$16/60,SUMIF(Меню!$J$8:$EZ$8,$B65,Меню!$J$268:$EZ$268)/1000*Обложка!$N$16)</f>
        <v>0.22500000000000001</v>
      </c>
      <c r="AE65" s="212">
        <f>IF($B65="Яйцо (шт)",SUMIF(Меню!$J$8:$EZ$8,$B65,Меню!$J$281:$EZ$281)*Обложка!$N$17/60,SUMIF(Меню!$J$8:$EZ$8,$B65,Меню!$J$281:$EZ$281)/1000*Обложка!$N$17)</f>
        <v>0</v>
      </c>
      <c r="AF65" s="212">
        <f>IF($B65="Яйцо (шт)",SUMIF(Меню!$J$8:$EZ$8,$B65,Меню!$J$286:$EZ$286)*Обложка!$N$18/60,SUMIF(Меню!$J$8:$EZ$8,$B65,Меню!$J$286:$EZ$286)/1000*Обложка!$N$18)</f>
        <v>0</v>
      </c>
      <c r="AG65" s="685">
        <f t="shared" si="5"/>
        <v>0.22500000000000001</v>
      </c>
      <c r="AH65" s="212">
        <f>IF($B65="Яйцо (шт)",SUMIF(Меню!$J$8:$EZ$8,$B65,Меню!$J$298:$EZ$298)*Обложка!$P$15/60,SUMIF(Меню!$J$8:$EZ$8,$B65,Меню!$J$298:$EZ$298)/1000*Обложка!$P$15)</f>
        <v>0</v>
      </c>
      <c r="AI65" s="212">
        <f>IF($B65="Яйцо (шт)",SUMIF(Меню!$J$8:$EZ$8,$BB65,Меню!$J$313:$EZ$313)*Обложка!$P$16/60,SUMIF(Меню!$J$8:$EZ$8,$B65,Меню!$J$313:$EZ$313)/1000*Обложка!$P$16)</f>
        <v>0.125</v>
      </c>
      <c r="AJ65" s="212">
        <f>IF($B65="Яйцо (шт)",SUMIF(Меню!$J$8:$EZ$8,$B65,Меню!$J$326:$EZ$326)*Обложка!$P$17/60,SUMIF(Меню!$J$8:$EZ$8,$B65,Меню!$J$326:$EZ$326)/1000*Обложка!$P$17)</f>
        <v>0</v>
      </c>
      <c r="AK65" s="212">
        <f>IF($B65="Яйцо (шт)",SUMIF(Меню!$J$8:$EZ$8,$B65,Меню!$J$331:$EZ$331)*Обложка!$P$18/60,SUMIF(Меню!$J$8:$EZ$8,$B65,Меню!$J$331:$EZ$331)/1000*Обложка!$P$18)</f>
        <v>0</v>
      </c>
      <c r="AL65" s="699">
        <f t="shared" si="6"/>
        <v>0.125</v>
      </c>
      <c r="AM65" s="685">
        <f t="shared" si="7"/>
        <v>3.5350000000000001</v>
      </c>
    </row>
    <row r="66" spans="1:39" x14ac:dyDescent="0.25">
      <c r="A66" s="249">
        <f t="shared" si="8"/>
        <v>54</v>
      </c>
      <c r="B66" s="248" t="str">
        <f>инфо!D55</f>
        <v>Сыр</v>
      </c>
      <c r="C66" s="694">
        <f>SUMIF(Меню!$J$8:$FD$8,$B66,Меню!$J$333:$FD$333)</f>
        <v>0</v>
      </c>
      <c r="D66" s="212">
        <f>IF($B66="Яйцо (шт)",SUMIF(Меню!$J$8:$FD$8,$B66,Меню!$J$28:$FD$28)*Обложка!$D$15/60,SUMIF(Меню!$J$8:$FD$8,$B66,Меню!$J$28:$FD$28)/1000*Обложка!$D$15)</f>
        <v>0</v>
      </c>
      <c r="E66" s="212">
        <f>IF($B66="Яйцо (шт)",SUMIF(Меню!$J$8:$FD$8,$B66,Меню!$J$43:$FD$43)*Обложка!$D$16/60,SUMIF(Меню!$J$8:$FD$8,$B66,Меню!$J$43:$FD$43)/1000*Обложка!$D$16)</f>
        <v>0</v>
      </c>
      <c r="F66" s="212">
        <f>IF($B66="Яйцо (шт)",SUMIF(Меню!$J$8:$FD$8,$B66,Меню!$J$56:$FD$56)*Обложка!$D$17/60,SUMIF(Меню!$J$8:$FD$8,$B66,Меню!$J$56:$FD$56)/1000*Обложка!$D$17)</f>
        <v>0</v>
      </c>
      <c r="G66" s="212">
        <f>IF($B66="Яйцо (шт)",SUMIF(Меню!$J$8:$FD$8,$B66,Меню!$J$61:$FD$61)*Обложка!$D$18/60,SUMIF(Меню!$J$8:$FD$8,$B66,Меню!$J$61:$FD$61)/1000*Обложка!$D$18)</f>
        <v>0</v>
      </c>
      <c r="H66" s="685">
        <f t="shared" si="0"/>
        <v>0</v>
      </c>
      <c r="I66" s="212">
        <f>IF($B66="Яйцо (шт)",SUMIF(Меню!$J$8:$FD$8,$B66,Меню!$J$73:$FD$73)*Обложка!$F$15/60,SUMIF(Меню!$J$8:$FD$8,$B66,Меню!$J$73:$FD$73)/1000*Обложка!$F$15)</f>
        <v>0</v>
      </c>
      <c r="J66" s="212">
        <f>IF($B66="Яйцо (шт)",SUMIF(Меню!$J$8:$FD$8,$B66,Меню!$J$88:$FD$88)*Обложка!$F$16/60,SUMIF(Меню!$J$8:$FD$8,$B66,Меню!$J$88:$FD$88)/1000*Обложка!$G$16)</f>
        <v>0</v>
      </c>
      <c r="K66" s="212">
        <f>IF($B66="Яйцо (шт)",SUMIF(Меню!$J$8:$FD$8,$B66,Меню!$J$101:$FD$101)*Обложка!$F$17/60,SUMIF(Меню!$J$8:$FD$8,$B66,Меню!$J$101:$FD$101)/1000*Обложка!$F$17)</f>
        <v>0</v>
      </c>
      <c r="L66" s="212">
        <f>IF($B66="Яйцо (шт)",SUMIF(Меню!$J$8:$FD$8,$B66,Меню!$J$106:$FD$106)*Обложка!$F$18/60,SUMIF(Меню!$J$8:$FD$8,$B66,Меню!$J$106:$FD$106)/1000*Обложка!$F$18)</f>
        <v>0</v>
      </c>
      <c r="M66" s="685">
        <f t="shared" si="1"/>
        <v>0</v>
      </c>
      <c r="N66" s="212">
        <f>IF($B66="Яйцо (шт)",SUMIF(Меню!$J$8:$EZ$8,$B66,Меню!$J$118:$EZ$118)*Обложка!$H$15/60,SUMIF(Меню!$J$8:$EZ$8,$B66,Меню!$J$118:$EZ$118)/1000*Обложка!$H$15)</f>
        <v>0</v>
      </c>
      <c r="O66" s="212">
        <f>IF($B66="Яйцо (шт)",SUMIF(Меню!$J$8:$EZ$8,$B66,Меню!$J$133:$EZ$133)*Обложка!$H$16/60,SUMIF(Меню!$J$8:$EZ$8,$B66,Меню!$J$133:$EZ$133)/1000*Обложка!$H$16)</f>
        <v>0</v>
      </c>
      <c r="P66" s="212">
        <f>IF($B66="Яйцо (шт)",SUMIF(Меню!$J$8:$EZ$8,$B66,Меню!$J$146:$EZ$146)*Обложка!$H$17/60,SUMIF(Меню!$J$8:$EZ$8,$B66,Меню!$J$146:$EZ$146)/1000*Обложка!$H$17)</f>
        <v>0</v>
      </c>
      <c r="Q66" s="212">
        <f>IF($B66="Яйцо (шт)",SUMIF(Меню!$J$8:$EZ$8,$B66,Меню!$J$151:$EZ$151)*Обложка!$H$18/60,SUMIF(Меню!$J$8:$EZ$8,$B66,Меню!$J$151:$EZ$151)/1000*Обложка!$H$18)</f>
        <v>0</v>
      </c>
      <c r="R66" s="685">
        <f t="shared" si="2"/>
        <v>0</v>
      </c>
      <c r="S66" s="212">
        <f>IF($B66="Яйцо (шт)",SUMIF(Меню!$J$8:$EZ$8,$B66,Меню!$J$163:$EZ$163)*Обложка!$J$15/60,SUMIF(Меню!$J$8:$EZ$8,$B66,Меню!$J$163:$EZ$163)/1000*Обложка!$J$15)</f>
        <v>0</v>
      </c>
      <c r="T66" s="212">
        <f>IF($B66="Яйцо (шт)",SUMIF(Меню!$J$8:$EZ$8,$B66,Меню!$J$178:$EZ$178)*Обложка!$J$16/60,SUMIF(Меню!$J$8:$EZ$8,$B66,Меню!$J$178:$EZ$178)/1000*Обложка!$J$16)</f>
        <v>0</v>
      </c>
      <c r="U66" s="212">
        <f>IF($B66="Яйцо (шт)",SUMIF(Меню!$J$8:$EZ$8,$B66,Меню!$J$191:$EZ$191)*Обложка!$J$17/60,SUMIF(Меню!$J$8:$EZ$8,$B66,Меню!$J$191:$EZ$191)/1000*Обложка!$J$17)</f>
        <v>0</v>
      </c>
      <c r="V66" s="212">
        <f>IF($B66="Яйцо (шт)",SUMIF(Меню!$J$8:$EZ$8,$B66,Меню!$J$196:$EZ$196)*Обложка!$J$18/60,SUMIF(Меню!$J$8:$EZ$8,$B66,Меню!$J$196:$EZ$196)/1000*Обложка!$J$18)</f>
        <v>0</v>
      </c>
      <c r="W66" s="685">
        <f t="shared" si="3"/>
        <v>0</v>
      </c>
      <c r="X66" s="212">
        <f>IF($B66="Яйцо (шт)",SUMIF(Меню!$J$8:$EZ$8,$B66,Меню!$J$208:$EZ$208)*Обложка!$L$15/60,SUMIF(Меню!$J$8:$EZ$8,$B66,Меню!$J$208:$EZ$208)/1000*Обложка!$L$15)</f>
        <v>0</v>
      </c>
      <c r="Y66" s="212">
        <f>IF($B66="Яйцо (шт)",SUMIF(Меню!$J$8:$EZ$8,$B66,Меню!$J$223:$EZ$223)*Обложка!$L$16/60,SUMIF(Меню!$J$8:$EZ$8,$B66,Меню!$J$223:$EZ$223)/1000*Обложка!$J$16)</f>
        <v>0</v>
      </c>
      <c r="Z66" s="212">
        <f>IF($B66="Яйцо (шт)",SUMIF(Меню!$J$8:$EZ$8,$B66,Меню!$J$236:$EZ$236)*Обложка!$L$17/60,SUMIF(Меню!$J$8:$EZ$8,$B66,Меню!$J$236:$EZ$236)/1000*Обложка!$L$17)</f>
        <v>0</v>
      </c>
      <c r="AA66" s="212">
        <f>IF($B66="Яйцо (шт)",SUMIF(Меню!$J$8:$EZ$8,$B66,Меню!$J$241:$EZ$241)*Обложка!$L$18/60,SUMIF(Меню!$J$8:$EZ$8,$B66,Меню!$J$241:$EZ$241)/1000*Обложка!$L$18)</f>
        <v>0</v>
      </c>
      <c r="AB66" s="685">
        <f t="shared" si="4"/>
        <v>0</v>
      </c>
      <c r="AC66" s="212">
        <f>IF($B66="Яйцо (шт)",SUMIF(Меню!$J$8:$EZ$8,$B66,Меню!$J$253:$EZ$253)*Обложка!$N$15/60,SUMIF(Меню!$J$8:$EZ$8,$B66,Меню!$J$253:$EZ$253)/1000*Обложка!$N$15)</f>
        <v>0</v>
      </c>
      <c r="AD66" s="212">
        <f>IF($B66="Яйцо (шт)",SUMIF(Меню!$J$8:$EZ$8,$B66,Меню!$J$268:$EZ$268)*Обложка!$N$16/60,SUMIF(Меню!$J$8:$EZ$8,$B66,Меню!$J$268:$EZ$268)/1000*Обложка!$N$16)</f>
        <v>0</v>
      </c>
      <c r="AE66" s="212">
        <f>IF($B66="Яйцо (шт)",SUMIF(Меню!$J$8:$EZ$8,$B66,Меню!$J$281:$EZ$281)*Обложка!$N$17/60,SUMIF(Меню!$J$8:$EZ$8,$B66,Меню!$J$281:$EZ$281)/1000*Обложка!$N$17)</f>
        <v>0</v>
      </c>
      <c r="AF66" s="212">
        <f>IF($B66="Яйцо (шт)",SUMIF(Меню!$J$8:$EZ$8,$B66,Меню!$J$286:$EZ$286)*Обложка!$N$18/60,SUMIF(Меню!$J$8:$EZ$8,$B66,Меню!$J$286:$EZ$286)/1000*Обложка!$N$18)</f>
        <v>0</v>
      </c>
      <c r="AG66" s="685">
        <f t="shared" si="5"/>
        <v>0</v>
      </c>
      <c r="AH66" s="212">
        <f>IF($B66="Яйцо (шт)",SUMIF(Меню!$J$8:$EZ$8,$B66,Меню!$J$298:$EZ$298)*Обложка!$P$15/60,SUMIF(Меню!$J$8:$EZ$8,$B66,Меню!$J$298:$EZ$298)/1000*Обложка!$P$15)</f>
        <v>0</v>
      </c>
      <c r="AI66" s="212">
        <f>IF($B66="Яйцо (шт)",SUMIF(Меню!$J$8:$EZ$8,$BB66,Меню!$J$313:$EZ$313)*Обложка!$P$16/60,SUMIF(Меню!$J$8:$EZ$8,$B66,Меню!$J$313:$EZ$313)/1000*Обложка!$P$16)</f>
        <v>0</v>
      </c>
      <c r="AJ66" s="212">
        <f>IF($B66="Яйцо (шт)",SUMIF(Меню!$J$8:$EZ$8,$B66,Меню!$J$326:$EZ$326)*Обложка!$P$17/60,SUMIF(Меню!$J$8:$EZ$8,$B66,Меню!$J$326:$EZ$326)/1000*Обложка!$P$17)</f>
        <v>0</v>
      </c>
      <c r="AK66" s="212">
        <f>IF($B66="Яйцо (шт)",SUMIF(Меню!$J$8:$EZ$8,$B66,Меню!$J$331:$EZ$331)*Обложка!$P$18/60,SUMIF(Меню!$J$8:$EZ$8,$B66,Меню!$J$331:$EZ$331)/1000*Обложка!$P$18)</f>
        <v>0</v>
      </c>
      <c r="AL66" s="699">
        <f t="shared" si="6"/>
        <v>0</v>
      </c>
      <c r="AM66" s="685">
        <f t="shared" si="7"/>
        <v>0</v>
      </c>
    </row>
    <row r="67" spans="1:39" x14ac:dyDescent="0.25">
      <c r="A67" s="249">
        <f t="shared" si="8"/>
        <v>55</v>
      </c>
      <c r="B67" s="248" t="str">
        <f>инфо!D56</f>
        <v>Молочное 1</v>
      </c>
      <c r="C67" s="694">
        <f>SUMIF(Меню!$J$8:$FD$8,$B67,Меню!$J$333:$FD$333)</f>
        <v>0</v>
      </c>
      <c r="D67" s="212">
        <f>IF($B67="Яйцо (шт)",SUMIF(Меню!$J$8:$FD$8,$B67,Меню!$J$28:$FD$28)*Обложка!$D$15/60,SUMIF(Меню!$J$8:$FD$8,$B67,Меню!$J$28:$FD$28)/1000*Обложка!$D$15)</f>
        <v>0</v>
      </c>
      <c r="E67" s="212">
        <f>IF($B67="Яйцо (шт)",SUMIF(Меню!$J$8:$FD$8,$B67,Меню!$J$43:$FD$43)*Обложка!$D$16/60,SUMIF(Меню!$J$8:$FD$8,$B67,Меню!$J$43:$FD$43)/1000*Обложка!$D$16)</f>
        <v>0</v>
      </c>
      <c r="F67" s="212">
        <f>IF($B67="Яйцо (шт)",SUMIF(Меню!$J$8:$FD$8,$B67,Меню!$J$56:$FD$56)*Обложка!$D$17/60,SUMIF(Меню!$J$8:$FD$8,$B67,Меню!$J$56:$FD$56)/1000*Обложка!$D$17)</f>
        <v>0</v>
      </c>
      <c r="G67" s="212">
        <f>IF($B67="Яйцо (шт)",SUMIF(Меню!$J$8:$FD$8,$B67,Меню!$J$61:$FD$61)*Обложка!$D$18/60,SUMIF(Меню!$J$8:$FD$8,$B67,Меню!$J$61:$FD$61)/1000*Обложка!$D$18)</f>
        <v>0</v>
      </c>
      <c r="H67" s="685">
        <f t="shared" si="0"/>
        <v>0</v>
      </c>
      <c r="I67" s="212">
        <f>IF($B67="Яйцо (шт)",SUMIF(Меню!$J$8:$FD$8,$B67,Меню!$J$73:$FD$73)*Обложка!$F$15/60,SUMIF(Меню!$J$8:$FD$8,$B67,Меню!$J$73:$FD$73)/1000*Обложка!$F$15)</f>
        <v>0</v>
      </c>
      <c r="J67" s="212">
        <f>IF($B67="Яйцо (шт)",SUMIF(Меню!$J$8:$FD$8,$B67,Меню!$J$88:$FD$88)*Обложка!$F$16/60,SUMIF(Меню!$J$8:$FD$8,$B67,Меню!$J$88:$FD$88)/1000*Обложка!$G$16)</f>
        <v>0</v>
      </c>
      <c r="K67" s="212">
        <f>IF($B67="Яйцо (шт)",SUMIF(Меню!$J$8:$FD$8,$B67,Меню!$J$101:$FD$101)*Обложка!$F$17/60,SUMIF(Меню!$J$8:$FD$8,$B67,Меню!$J$101:$FD$101)/1000*Обложка!$F$17)</f>
        <v>0</v>
      </c>
      <c r="L67" s="212">
        <f>IF($B67="Яйцо (шт)",SUMIF(Меню!$J$8:$FD$8,$B67,Меню!$J$106:$FD$106)*Обложка!$F$18/60,SUMIF(Меню!$J$8:$FD$8,$B67,Меню!$J$106:$FD$106)/1000*Обложка!$F$18)</f>
        <v>0</v>
      </c>
      <c r="M67" s="685">
        <f t="shared" si="1"/>
        <v>0</v>
      </c>
      <c r="N67" s="212">
        <f>IF($B67="Яйцо (шт)",SUMIF(Меню!$J$8:$EZ$8,$B67,Меню!$J$118:$EZ$118)*Обложка!$H$15/60,SUMIF(Меню!$J$8:$EZ$8,$B67,Меню!$J$118:$EZ$118)/1000*Обложка!$H$15)</f>
        <v>0</v>
      </c>
      <c r="O67" s="212">
        <f>IF($B67="Яйцо (шт)",SUMIF(Меню!$J$8:$EZ$8,$B67,Меню!$J$133:$EZ$133)*Обложка!$H$16/60,SUMIF(Меню!$J$8:$EZ$8,$B67,Меню!$J$133:$EZ$133)/1000*Обложка!$H$16)</f>
        <v>0</v>
      </c>
      <c r="P67" s="212">
        <f>IF($B67="Яйцо (шт)",SUMIF(Меню!$J$8:$EZ$8,$B67,Меню!$J$146:$EZ$146)*Обложка!$H$17/60,SUMIF(Меню!$J$8:$EZ$8,$B67,Меню!$J$146:$EZ$146)/1000*Обложка!$H$17)</f>
        <v>0</v>
      </c>
      <c r="Q67" s="212">
        <f>IF($B67="Яйцо (шт)",SUMIF(Меню!$J$8:$EZ$8,$B67,Меню!$J$151:$EZ$151)*Обложка!$H$18/60,SUMIF(Меню!$J$8:$EZ$8,$B67,Меню!$J$151:$EZ$151)/1000*Обложка!$H$18)</f>
        <v>0</v>
      </c>
      <c r="R67" s="685">
        <f t="shared" si="2"/>
        <v>0</v>
      </c>
      <c r="S67" s="212">
        <f>IF($B67="Яйцо (шт)",SUMIF(Меню!$J$8:$EZ$8,$B67,Меню!$J$163:$EZ$163)*Обложка!$J$15/60,SUMIF(Меню!$J$8:$EZ$8,$B67,Меню!$J$163:$EZ$163)/1000*Обложка!$J$15)</f>
        <v>0</v>
      </c>
      <c r="T67" s="212">
        <f>IF($B67="Яйцо (шт)",SUMIF(Меню!$J$8:$EZ$8,$B67,Меню!$J$178:$EZ$178)*Обложка!$J$16/60,SUMIF(Меню!$J$8:$EZ$8,$B67,Меню!$J$178:$EZ$178)/1000*Обложка!$J$16)</f>
        <v>0</v>
      </c>
      <c r="U67" s="212">
        <f>IF($B67="Яйцо (шт)",SUMIF(Меню!$J$8:$EZ$8,$B67,Меню!$J$191:$EZ$191)*Обложка!$J$17/60,SUMIF(Меню!$J$8:$EZ$8,$B67,Меню!$J$191:$EZ$191)/1000*Обложка!$J$17)</f>
        <v>0</v>
      </c>
      <c r="V67" s="212">
        <f>IF($B67="Яйцо (шт)",SUMIF(Меню!$J$8:$EZ$8,$B67,Меню!$J$196:$EZ$196)*Обложка!$J$18/60,SUMIF(Меню!$J$8:$EZ$8,$B67,Меню!$J$196:$EZ$196)/1000*Обложка!$J$18)</f>
        <v>0</v>
      </c>
      <c r="W67" s="685">
        <f t="shared" si="3"/>
        <v>0</v>
      </c>
      <c r="X67" s="212">
        <f>IF($B67="Яйцо (шт)",SUMIF(Меню!$J$8:$EZ$8,$B67,Меню!$J$208:$EZ$208)*Обложка!$L$15/60,SUMIF(Меню!$J$8:$EZ$8,$B67,Меню!$J$208:$EZ$208)/1000*Обложка!$L$15)</f>
        <v>0</v>
      </c>
      <c r="Y67" s="212">
        <f>IF($B67="Яйцо (шт)",SUMIF(Меню!$J$8:$EZ$8,$B67,Меню!$J$223:$EZ$223)*Обложка!$L$16/60,SUMIF(Меню!$J$8:$EZ$8,$B67,Меню!$J$223:$EZ$223)/1000*Обложка!$J$16)</f>
        <v>0</v>
      </c>
      <c r="Z67" s="212">
        <f>IF($B67="Яйцо (шт)",SUMIF(Меню!$J$8:$EZ$8,$B67,Меню!$J$236:$EZ$236)*Обложка!$L$17/60,SUMIF(Меню!$J$8:$EZ$8,$B67,Меню!$J$236:$EZ$236)/1000*Обложка!$L$17)</f>
        <v>0</v>
      </c>
      <c r="AA67" s="212">
        <f>IF($B67="Яйцо (шт)",SUMIF(Меню!$J$8:$EZ$8,$B67,Меню!$J$241:$EZ$241)*Обложка!$L$18/60,SUMIF(Меню!$J$8:$EZ$8,$B67,Меню!$J$241:$EZ$241)/1000*Обложка!$L$18)</f>
        <v>0</v>
      </c>
      <c r="AB67" s="685">
        <f t="shared" si="4"/>
        <v>0</v>
      </c>
      <c r="AC67" s="212">
        <f>IF($B67="Яйцо (шт)",SUMIF(Меню!$J$8:$EZ$8,$B67,Меню!$J$253:$EZ$253)*Обложка!$N$15/60,SUMIF(Меню!$J$8:$EZ$8,$B67,Меню!$J$253:$EZ$253)/1000*Обложка!$N$15)</f>
        <v>0</v>
      </c>
      <c r="AD67" s="212">
        <f>IF($B67="Яйцо (шт)",SUMIF(Меню!$J$8:$EZ$8,$B67,Меню!$J$268:$EZ$268)*Обложка!$N$16/60,SUMIF(Меню!$J$8:$EZ$8,$B67,Меню!$J$268:$EZ$268)/1000*Обложка!$N$16)</f>
        <v>0</v>
      </c>
      <c r="AE67" s="212">
        <f>IF($B67="Яйцо (шт)",SUMIF(Меню!$J$8:$EZ$8,$B67,Меню!$J$281:$EZ$281)*Обложка!$N$17/60,SUMIF(Меню!$J$8:$EZ$8,$B67,Меню!$J$281:$EZ$281)/1000*Обложка!$N$17)</f>
        <v>0</v>
      </c>
      <c r="AF67" s="212">
        <f>IF($B67="Яйцо (шт)",SUMIF(Меню!$J$8:$EZ$8,$B67,Меню!$J$286:$EZ$286)*Обложка!$N$18/60,SUMIF(Меню!$J$8:$EZ$8,$B67,Меню!$J$286:$EZ$286)/1000*Обложка!$N$18)</f>
        <v>0</v>
      </c>
      <c r="AG67" s="685">
        <f t="shared" si="5"/>
        <v>0</v>
      </c>
      <c r="AH67" s="212">
        <f>IF($B67="Яйцо (шт)",SUMIF(Меню!$J$8:$EZ$8,$B67,Меню!$J$298:$EZ$298)*Обложка!$P$15/60,SUMIF(Меню!$J$8:$EZ$8,$B67,Меню!$J$298:$EZ$298)/1000*Обложка!$P$15)</f>
        <v>0</v>
      </c>
      <c r="AI67" s="212">
        <f>IF($B67="Яйцо (шт)",SUMIF(Меню!$J$8:$EZ$8,$BB67,Меню!$J$313:$EZ$313)*Обложка!$P$16/60,SUMIF(Меню!$J$8:$EZ$8,$B67,Меню!$J$313:$EZ$313)/1000*Обложка!$P$16)</f>
        <v>0</v>
      </c>
      <c r="AJ67" s="212">
        <f>IF($B67="Яйцо (шт)",SUMIF(Меню!$J$8:$EZ$8,$B67,Меню!$J$326:$EZ$326)*Обложка!$P$17/60,SUMIF(Меню!$J$8:$EZ$8,$B67,Меню!$J$326:$EZ$326)/1000*Обложка!$P$17)</f>
        <v>0</v>
      </c>
      <c r="AK67" s="212">
        <f>IF($B67="Яйцо (шт)",SUMIF(Меню!$J$8:$EZ$8,$B67,Меню!$J$331:$EZ$331)*Обложка!$P$18/60,SUMIF(Меню!$J$8:$EZ$8,$B67,Меню!$J$331:$EZ$331)/1000*Обложка!$P$18)</f>
        <v>0</v>
      </c>
      <c r="AL67" s="699">
        <f t="shared" si="6"/>
        <v>0</v>
      </c>
      <c r="AM67" s="685">
        <f t="shared" si="7"/>
        <v>0</v>
      </c>
    </row>
    <row r="68" spans="1:39" x14ac:dyDescent="0.25">
      <c r="A68" s="249">
        <f t="shared" si="8"/>
        <v>56</v>
      </c>
      <c r="B68" s="248" t="str">
        <f>инфо!D57</f>
        <v>Молочное 2</v>
      </c>
      <c r="C68" s="694">
        <f>SUMIF(Меню!$J$8:$FD$8,$B68,Меню!$J$333:$FD$333)</f>
        <v>0</v>
      </c>
      <c r="D68" s="212">
        <f>IF($B68="Яйцо (шт)",SUMIF(Меню!$J$8:$FD$8,$B68,Меню!$J$28:$FD$28)*Обложка!$D$15/60,SUMIF(Меню!$J$8:$FD$8,$B68,Меню!$J$28:$FD$28)/1000*Обложка!$D$15)</f>
        <v>0</v>
      </c>
      <c r="E68" s="212">
        <f>IF($B68="Яйцо (шт)",SUMIF(Меню!$J$8:$FD$8,$B68,Меню!$J$43:$FD$43)*Обложка!$D$16/60,SUMIF(Меню!$J$8:$FD$8,$B68,Меню!$J$43:$FD$43)/1000*Обложка!$D$16)</f>
        <v>0</v>
      </c>
      <c r="F68" s="212">
        <f>IF($B68="Яйцо (шт)",SUMIF(Меню!$J$8:$FD$8,$B68,Меню!$J$56:$FD$56)*Обложка!$D$17/60,SUMIF(Меню!$J$8:$FD$8,$B68,Меню!$J$56:$FD$56)/1000*Обложка!$D$17)</f>
        <v>0</v>
      </c>
      <c r="G68" s="212">
        <f>IF($B68="Яйцо (шт)",SUMIF(Меню!$J$8:$FD$8,$B68,Меню!$J$61:$FD$61)*Обложка!$D$18/60,SUMIF(Меню!$J$8:$FD$8,$B68,Меню!$J$61:$FD$61)/1000*Обложка!$D$18)</f>
        <v>0</v>
      </c>
      <c r="H68" s="685">
        <f t="shared" si="0"/>
        <v>0</v>
      </c>
      <c r="I68" s="212">
        <f>IF($B68="Яйцо (шт)",SUMIF(Меню!$J$8:$FD$8,$B68,Меню!$J$73:$FD$73)*Обложка!$F$15/60,SUMIF(Меню!$J$8:$FD$8,$B68,Меню!$J$73:$FD$73)/1000*Обложка!$F$15)</f>
        <v>0</v>
      </c>
      <c r="J68" s="212">
        <f>IF($B68="Яйцо (шт)",SUMIF(Меню!$J$8:$FD$8,$B68,Меню!$J$88:$FD$88)*Обложка!$F$16/60,SUMIF(Меню!$J$8:$FD$8,$B68,Меню!$J$88:$FD$88)/1000*Обложка!$G$16)</f>
        <v>0</v>
      </c>
      <c r="K68" s="212">
        <f>IF($B68="Яйцо (шт)",SUMIF(Меню!$J$8:$FD$8,$B68,Меню!$J$101:$FD$101)*Обложка!$F$17/60,SUMIF(Меню!$J$8:$FD$8,$B68,Меню!$J$101:$FD$101)/1000*Обложка!$F$17)</f>
        <v>0</v>
      </c>
      <c r="L68" s="212">
        <f>IF($B68="Яйцо (шт)",SUMIF(Меню!$J$8:$FD$8,$B68,Меню!$J$106:$FD$106)*Обложка!$F$18/60,SUMIF(Меню!$J$8:$FD$8,$B68,Меню!$J$106:$FD$106)/1000*Обложка!$F$18)</f>
        <v>0</v>
      </c>
      <c r="M68" s="685">
        <f t="shared" si="1"/>
        <v>0</v>
      </c>
      <c r="N68" s="212">
        <f>IF($B68="Яйцо (шт)",SUMIF(Меню!$J$8:$EZ$8,$B68,Меню!$J$118:$EZ$118)*Обложка!$H$15/60,SUMIF(Меню!$J$8:$EZ$8,$B68,Меню!$J$118:$EZ$118)/1000*Обложка!$H$15)</f>
        <v>0</v>
      </c>
      <c r="O68" s="212">
        <f>IF($B68="Яйцо (шт)",SUMIF(Меню!$J$8:$EZ$8,$B68,Меню!$J$133:$EZ$133)*Обложка!$H$16/60,SUMIF(Меню!$J$8:$EZ$8,$B68,Меню!$J$133:$EZ$133)/1000*Обложка!$H$16)</f>
        <v>0</v>
      </c>
      <c r="P68" s="212">
        <f>IF($B68="Яйцо (шт)",SUMIF(Меню!$J$8:$EZ$8,$B68,Меню!$J$146:$EZ$146)*Обложка!$H$17/60,SUMIF(Меню!$J$8:$EZ$8,$B68,Меню!$J$146:$EZ$146)/1000*Обложка!$H$17)</f>
        <v>0</v>
      </c>
      <c r="Q68" s="212">
        <f>IF($B68="Яйцо (шт)",SUMIF(Меню!$J$8:$EZ$8,$B68,Меню!$J$151:$EZ$151)*Обложка!$H$18/60,SUMIF(Меню!$J$8:$EZ$8,$B68,Меню!$J$151:$EZ$151)/1000*Обложка!$H$18)</f>
        <v>0</v>
      </c>
      <c r="R68" s="685">
        <f t="shared" si="2"/>
        <v>0</v>
      </c>
      <c r="S68" s="212">
        <f>IF($B68="Яйцо (шт)",SUMIF(Меню!$J$8:$EZ$8,$B68,Меню!$J$163:$EZ$163)*Обложка!$J$15/60,SUMIF(Меню!$J$8:$EZ$8,$B68,Меню!$J$163:$EZ$163)/1000*Обложка!$J$15)</f>
        <v>0</v>
      </c>
      <c r="T68" s="212">
        <f>IF($B68="Яйцо (шт)",SUMIF(Меню!$J$8:$EZ$8,$B68,Меню!$J$178:$EZ$178)*Обложка!$J$16/60,SUMIF(Меню!$J$8:$EZ$8,$B68,Меню!$J$178:$EZ$178)/1000*Обложка!$J$16)</f>
        <v>0</v>
      </c>
      <c r="U68" s="212">
        <f>IF($B68="Яйцо (шт)",SUMIF(Меню!$J$8:$EZ$8,$B68,Меню!$J$191:$EZ$191)*Обложка!$J$17/60,SUMIF(Меню!$J$8:$EZ$8,$B68,Меню!$J$191:$EZ$191)/1000*Обложка!$J$17)</f>
        <v>0</v>
      </c>
      <c r="V68" s="212">
        <f>IF($B68="Яйцо (шт)",SUMIF(Меню!$J$8:$EZ$8,$B68,Меню!$J$196:$EZ$196)*Обложка!$J$18/60,SUMIF(Меню!$J$8:$EZ$8,$B68,Меню!$J$196:$EZ$196)/1000*Обложка!$J$18)</f>
        <v>0</v>
      </c>
      <c r="W68" s="685">
        <f t="shared" si="3"/>
        <v>0</v>
      </c>
      <c r="X68" s="212">
        <f>IF($B68="Яйцо (шт)",SUMIF(Меню!$J$8:$EZ$8,$B68,Меню!$J$208:$EZ$208)*Обложка!$L$15/60,SUMIF(Меню!$J$8:$EZ$8,$B68,Меню!$J$208:$EZ$208)/1000*Обложка!$L$15)</f>
        <v>0</v>
      </c>
      <c r="Y68" s="212">
        <f>IF($B68="Яйцо (шт)",SUMIF(Меню!$J$8:$EZ$8,$B68,Меню!$J$223:$EZ$223)*Обложка!$L$16/60,SUMIF(Меню!$J$8:$EZ$8,$B68,Меню!$J$223:$EZ$223)/1000*Обложка!$J$16)</f>
        <v>0</v>
      </c>
      <c r="Z68" s="212">
        <f>IF($B68="Яйцо (шт)",SUMIF(Меню!$J$8:$EZ$8,$B68,Меню!$J$236:$EZ$236)*Обложка!$L$17/60,SUMIF(Меню!$J$8:$EZ$8,$B68,Меню!$J$236:$EZ$236)/1000*Обложка!$L$17)</f>
        <v>0</v>
      </c>
      <c r="AA68" s="212">
        <f>IF($B68="Яйцо (шт)",SUMIF(Меню!$J$8:$EZ$8,$B68,Меню!$J$241:$EZ$241)*Обложка!$L$18/60,SUMIF(Меню!$J$8:$EZ$8,$B68,Меню!$J$241:$EZ$241)/1000*Обложка!$L$18)</f>
        <v>0</v>
      </c>
      <c r="AB68" s="685">
        <f t="shared" si="4"/>
        <v>0</v>
      </c>
      <c r="AC68" s="212">
        <f>IF($B68="Яйцо (шт)",SUMIF(Меню!$J$8:$EZ$8,$B68,Меню!$J$253:$EZ$253)*Обложка!$N$15/60,SUMIF(Меню!$J$8:$EZ$8,$B68,Меню!$J$253:$EZ$253)/1000*Обложка!$N$15)</f>
        <v>0</v>
      </c>
      <c r="AD68" s="212">
        <f>IF($B68="Яйцо (шт)",SUMIF(Меню!$J$8:$EZ$8,$B68,Меню!$J$268:$EZ$268)*Обложка!$N$16/60,SUMIF(Меню!$J$8:$EZ$8,$B68,Меню!$J$268:$EZ$268)/1000*Обложка!$N$16)</f>
        <v>0</v>
      </c>
      <c r="AE68" s="212">
        <f>IF($B68="Яйцо (шт)",SUMIF(Меню!$J$8:$EZ$8,$B68,Меню!$J$281:$EZ$281)*Обложка!$N$17/60,SUMIF(Меню!$J$8:$EZ$8,$B68,Меню!$J$281:$EZ$281)/1000*Обложка!$N$17)</f>
        <v>0</v>
      </c>
      <c r="AF68" s="212">
        <f>IF($B68="Яйцо (шт)",SUMIF(Меню!$J$8:$EZ$8,$B68,Меню!$J$286:$EZ$286)*Обложка!$N$18/60,SUMIF(Меню!$J$8:$EZ$8,$B68,Меню!$J$286:$EZ$286)/1000*Обложка!$N$18)</f>
        <v>0</v>
      </c>
      <c r="AG68" s="685">
        <f t="shared" si="5"/>
        <v>0</v>
      </c>
      <c r="AH68" s="212">
        <f>IF($B68="Яйцо (шт)",SUMIF(Меню!$J$8:$EZ$8,$B68,Меню!$J$298:$EZ$298)*Обложка!$P$15/60,SUMIF(Меню!$J$8:$EZ$8,$B68,Меню!$J$298:$EZ$298)/1000*Обложка!$P$15)</f>
        <v>0</v>
      </c>
      <c r="AI68" s="212">
        <f>IF($B68="Яйцо (шт)",SUMIF(Меню!$J$8:$EZ$8,$BB68,Меню!$J$313:$EZ$313)*Обложка!$P$16/60,SUMIF(Меню!$J$8:$EZ$8,$B68,Меню!$J$313:$EZ$313)/1000*Обложка!$P$16)</f>
        <v>0</v>
      </c>
      <c r="AJ68" s="212">
        <f>IF($B68="Яйцо (шт)",SUMIF(Меню!$J$8:$EZ$8,$B68,Меню!$J$326:$EZ$326)*Обложка!$P$17/60,SUMIF(Меню!$J$8:$EZ$8,$B68,Меню!$J$326:$EZ$326)/1000*Обложка!$P$17)</f>
        <v>0</v>
      </c>
      <c r="AK68" s="212">
        <f>IF($B68="Яйцо (шт)",SUMIF(Меню!$J$8:$EZ$8,$B68,Меню!$J$331:$EZ$331)*Обложка!$P$18/60,SUMIF(Меню!$J$8:$EZ$8,$B68,Меню!$J$331:$EZ$331)/1000*Обложка!$P$18)</f>
        <v>0</v>
      </c>
      <c r="AL68" s="699">
        <f t="shared" si="6"/>
        <v>0</v>
      </c>
      <c r="AM68" s="685">
        <f t="shared" si="7"/>
        <v>0</v>
      </c>
    </row>
    <row r="69" spans="1:39" x14ac:dyDescent="0.25">
      <c r="A69" s="249">
        <f t="shared" si="8"/>
        <v>57</v>
      </c>
      <c r="B69" s="248" t="str">
        <f>инфо!D58</f>
        <v>Масло коровье</v>
      </c>
      <c r="C69" s="694">
        <f>SUMIF(Меню!$J$8:$FD$8,$B69,Меню!$J$333:$FD$333)</f>
        <v>437</v>
      </c>
      <c r="D69" s="212">
        <f>IF($B69="Яйцо (шт)",SUMIF(Меню!$J$8:$FD$8,$B69,Меню!$J$28:$FD$28)*Обложка!$D$15/60,SUMIF(Меню!$J$8:$FD$8,$B69,Меню!$J$28:$FD$28)/1000*Обложка!$D$15)</f>
        <v>1.8299999999999998</v>
      </c>
      <c r="E69" s="212">
        <f>IF($B69="Яйцо (шт)",SUMIF(Меню!$J$8:$FD$8,$B69,Меню!$J$43:$FD$43)*Обложка!$D$16/60,SUMIF(Меню!$J$8:$FD$8,$B69,Меню!$J$43:$FD$43)/1000*Обложка!$D$16)</f>
        <v>1.8299999999999998</v>
      </c>
      <c r="F69" s="212">
        <f>IF($B69="Яйцо (шт)",SUMIF(Меню!$J$8:$FD$8,$B69,Меню!$J$56:$FD$56)*Обложка!$D$17/60,SUMIF(Меню!$J$8:$FD$8,$B69,Меню!$J$56:$FD$56)/1000*Обложка!$D$17)</f>
        <v>3.6599999999999997</v>
      </c>
      <c r="G69" s="212">
        <f>IF($B69="Яйцо (шт)",SUMIF(Меню!$J$8:$FD$8,$B69,Меню!$J$61:$FD$61)*Обложка!$D$18/60,SUMIF(Меню!$J$8:$FD$8,$B69,Меню!$J$61:$FD$61)/1000*Обложка!$D$18)</f>
        <v>1.8299999999999998</v>
      </c>
      <c r="H69" s="685">
        <f t="shared" si="0"/>
        <v>9.1499999999999986</v>
      </c>
      <c r="I69" s="212">
        <f>IF($B69="Яйцо (шт)",SUMIF(Меню!$J$8:$FD$8,$B69,Меню!$J$73:$FD$73)*Обложка!$F$15/60,SUMIF(Меню!$J$8:$FD$8,$B69,Меню!$J$73:$FD$73)/1000*Обложка!$F$15)</f>
        <v>1.92</v>
      </c>
      <c r="J69" s="212">
        <f>IF($B69="Яйцо (шт)",SUMIF(Меню!$J$8:$FD$8,$B69,Меню!$J$88:$FD$88)*Обложка!$F$16/60,SUMIF(Меню!$J$8:$FD$8,$B69,Меню!$J$88:$FD$88)/1000*Обложка!$G$16)</f>
        <v>0.32999999999999996</v>
      </c>
      <c r="K69" s="212">
        <f>IF($B69="Яйцо (шт)",SUMIF(Меню!$J$8:$FD$8,$B69,Меню!$J$101:$FD$101)*Обложка!$F$17/60,SUMIF(Меню!$J$8:$FD$8,$B69,Меню!$J$101:$FD$101)/1000*Обложка!$F$17)</f>
        <v>3.9</v>
      </c>
      <c r="L69" s="212">
        <f>IF($B69="Яйцо (шт)",SUMIF(Меню!$J$8:$FD$8,$B69,Меню!$J$106:$FD$106)*Обложка!$F$18/60,SUMIF(Меню!$J$8:$FD$8,$B69,Меню!$J$106:$FD$106)/1000*Обложка!$F$18)</f>
        <v>1.95</v>
      </c>
      <c r="M69" s="685">
        <f t="shared" si="1"/>
        <v>8.1</v>
      </c>
      <c r="N69" s="212">
        <f>IF($B69="Яйцо (шт)",SUMIF(Меню!$J$8:$EZ$8,$B69,Меню!$J$118:$EZ$118)*Обложка!$H$15/60,SUMIF(Меню!$J$8:$EZ$8,$B69,Меню!$J$118:$EZ$118)/1000*Обложка!$H$15)</f>
        <v>1.7249999999999999</v>
      </c>
      <c r="O69" s="212">
        <f>IF($B69="Яйцо (шт)",SUMIF(Меню!$J$8:$EZ$8,$B69,Меню!$J$133:$EZ$133)*Обложка!$H$16/60,SUMIF(Меню!$J$8:$EZ$8,$B69,Меню!$J$133:$EZ$133)/1000*Обложка!$H$16)</f>
        <v>1.7249999999999999</v>
      </c>
      <c r="P69" s="212">
        <f>IF($B69="Яйцо (шт)",SUMIF(Меню!$J$8:$EZ$8,$B69,Меню!$J$146:$EZ$146)*Обложка!$H$17/60,SUMIF(Меню!$J$8:$EZ$8,$B69,Меню!$J$146:$EZ$146)/1000*Обложка!$H$17)</f>
        <v>3.4499999999999997</v>
      </c>
      <c r="Q69" s="212">
        <f>IF($B69="Яйцо (шт)",SUMIF(Меню!$J$8:$EZ$8,$B69,Меню!$J$151:$EZ$151)*Обложка!$H$18/60,SUMIF(Меню!$J$8:$EZ$8,$B69,Меню!$J$151:$EZ$151)/1000*Обложка!$H$18)</f>
        <v>1.7249999999999999</v>
      </c>
      <c r="R69" s="685">
        <f t="shared" si="2"/>
        <v>8.625</v>
      </c>
      <c r="S69" s="212">
        <f>IF($B69="Яйцо (шт)",SUMIF(Меню!$J$8:$EZ$8,$B69,Меню!$J$163:$EZ$163)*Обложка!$J$15/60,SUMIF(Меню!$J$8:$EZ$8,$B69,Меню!$J$163:$EZ$163)/1000*Обложка!$J$15)</f>
        <v>1.575</v>
      </c>
      <c r="T69" s="212">
        <f>IF($B69="Яйцо (шт)",SUMIF(Меню!$J$8:$EZ$8,$B69,Меню!$J$178:$EZ$178)*Обложка!$J$16/60,SUMIF(Меню!$J$8:$EZ$8,$B69,Меню!$J$178:$EZ$178)/1000*Обложка!$J$16)</f>
        <v>1.5</v>
      </c>
      <c r="U69" s="212">
        <f>IF($B69="Яйцо (шт)",SUMIF(Меню!$J$8:$EZ$8,$B69,Меню!$J$191:$EZ$191)*Обложка!$J$17/60,SUMIF(Меню!$J$8:$EZ$8,$B69,Меню!$J$191:$EZ$191)/1000*Обложка!$J$17)</f>
        <v>1.47</v>
      </c>
      <c r="V69" s="212">
        <f>IF($B69="Яйцо (шт)",SUMIF(Меню!$J$8:$EZ$8,$B69,Меню!$J$196:$EZ$196)*Обложка!$J$18/60,SUMIF(Меню!$J$8:$EZ$8,$B69,Меню!$J$196:$EZ$196)/1000*Обложка!$J$18)</f>
        <v>1.47</v>
      </c>
      <c r="W69" s="685">
        <f t="shared" si="3"/>
        <v>6.0149999999999997</v>
      </c>
      <c r="X69" s="212">
        <f>IF($B69="Яйцо (шт)",SUMIF(Меню!$J$8:$EZ$8,$B69,Меню!$J$208:$EZ$208)*Обложка!$L$15/60,SUMIF(Меню!$J$8:$EZ$8,$B69,Меню!$J$208:$EZ$208)/1000*Обложка!$L$15)</f>
        <v>0</v>
      </c>
      <c r="Y69" s="212">
        <f>IF($B69="Яйцо (шт)",SUMIF(Меню!$J$8:$EZ$8,$B69,Меню!$J$223:$EZ$223)*Обложка!$L$16/60,SUMIF(Меню!$J$8:$EZ$8,$B69,Меню!$J$223:$EZ$223)/1000*Обложка!$J$16)</f>
        <v>1.5</v>
      </c>
      <c r="Z69" s="212">
        <f>IF($B69="Яйцо (шт)",SUMIF(Меню!$J$8:$EZ$8,$B69,Меню!$J$236:$EZ$236)*Обложка!$L$17/60,SUMIF(Меню!$J$8:$EZ$8,$B69,Меню!$J$236:$EZ$236)/1000*Обложка!$L$17)</f>
        <v>0.52500000000000002</v>
      </c>
      <c r="AA69" s="212">
        <f>IF($B69="Яйцо (шт)",SUMIF(Меню!$J$8:$EZ$8,$B69,Меню!$J$241:$EZ$241)*Обложка!$L$18/60,SUMIF(Меню!$J$8:$EZ$8,$B69,Меню!$J$241:$EZ$241)/1000*Обложка!$L$18)</f>
        <v>0.52500000000000002</v>
      </c>
      <c r="AB69" s="685">
        <f t="shared" si="4"/>
        <v>2.5499999999999998</v>
      </c>
      <c r="AC69" s="212">
        <f>IF($B69="Яйцо (шт)",SUMIF(Меню!$J$8:$EZ$8,$B69,Меню!$J$253:$EZ$253)*Обложка!$N$15/60,SUMIF(Меню!$J$8:$EZ$8,$B69,Меню!$J$253:$EZ$253)/1000*Обложка!$N$15)</f>
        <v>0.67499999999999993</v>
      </c>
      <c r="AD69" s="212">
        <f>IF($B69="Яйцо (шт)",SUMIF(Меню!$J$8:$EZ$8,$B69,Меню!$J$268:$EZ$268)*Обложка!$N$16/60,SUMIF(Меню!$J$8:$EZ$8,$B69,Меню!$J$268:$EZ$268)/1000*Обложка!$N$16)</f>
        <v>0.67499999999999993</v>
      </c>
      <c r="AE69" s="212">
        <f>IF($B69="Яйцо (шт)",SUMIF(Меню!$J$8:$EZ$8,$B69,Меню!$J$281:$EZ$281)*Обложка!$N$17/60,SUMIF(Меню!$J$8:$EZ$8,$B69,Меню!$J$281:$EZ$281)/1000*Обложка!$N$17)</f>
        <v>0.67499999999999993</v>
      </c>
      <c r="AF69" s="212">
        <f>IF($B69="Яйцо (шт)",SUMIF(Меню!$J$8:$EZ$8,$B69,Меню!$J$286:$EZ$286)*Обложка!$N$18/60,SUMIF(Меню!$J$8:$EZ$8,$B69,Меню!$J$286:$EZ$286)/1000*Обложка!$N$18)</f>
        <v>0.67499999999999993</v>
      </c>
      <c r="AG69" s="685">
        <f t="shared" si="5"/>
        <v>2.6999999999999997</v>
      </c>
      <c r="AH69" s="212">
        <f>IF($B69="Яйцо (шт)",SUMIF(Меню!$J$8:$EZ$8,$B69,Меню!$J$298:$EZ$298)*Обложка!$P$15/60,SUMIF(Меню!$J$8:$EZ$8,$B69,Меню!$J$298:$EZ$298)/1000*Обложка!$P$15)</f>
        <v>0</v>
      </c>
      <c r="AI69" s="212">
        <f>IF($B69="Яйцо (шт)",SUMIF(Меню!$J$8:$EZ$8,$BB69,Меню!$J$313:$EZ$313)*Обложка!$P$16/60,SUMIF(Меню!$J$8:$EZ$8,$B69,Меню!$J$313:$EZ$313)/1000*Обложка!$P$16)</f>
        <v>0.375</v>
      </c>
      <c r="AJ69" s="212">
        <f>IF($B69="Яйцо (шт)",SUMIF(Меню!$J$8:$EZ$8,$B69,Меню!$J$326:$EZ$326)*Обложка!$P$17/60,SUMIF(Меню!$J$8:$EZ$8,$B69,Меню!$J$326:$EZ$326)/1000*Обложка!$P$17)</f>
        <v>0.42500000000000004</v>
      </c>
      <c r="AK69" s="212">
        <f>IF($B69="Яйцо (шт)",SUMIF(Меню!$J$8:$EZ$8,$B69,Меню!$J$331:$EZ$331)*Обложка!$P$18/60,SUMIF(Меню!$J$8:$EZ$8,$B69,Меню!$J$331:$EZ$331)/1000*Обложка!$P$18)</f>
        <v>0.06</v>
      </c>
      <c r="AL69" s="699">
        <f t="shared" si="6"/>
        <v>0.8600000000000001</v>
      </c>
      <c r="AM69" s="685">
        <f t="shared" si="7"/>
        <v>38</v>
      </c>
    </row>
    <row r="70" spans="1:39" x14ac:dyDescent="0.25">
      <c r="A70" s="249">
        <f t="shared" si="8"/>
        <v>58</v>
      </c>
      <c r="B70" s="248" t="str">
        <f>инфо!D59</f>
        <v>Масло растительное</v>
      </c>
      <c r="C70" s="694">
        <f>SUMIF(Меню!$J$8:$FD$8,$B70,Меню!$J$333:$FD$333)</f>
        <v>206.96</v>
      </c>
      <c r="D70" s="212">
        <f>IF($B70="Яйцо (шт)",SUMIF(Меню!$J$8:$FD$8,$B70,Меню!$J$28:$FD$28)*Обложка!$D$15/60,SUMIF(Меню!$J$8:$FD$8,$B70,Меню!$J$28:$FD$28)/1000*Обложка!$D$15)</f>
        <v>0</v>
      </c>
      <c r="E70" s="212">
        <f>IF($B70="Яйцо (шт)",SUMIF(Меню!$J$8:$FD$8,$B70,Меню!$J$43:$FD$43)*Обложка!$D$16/60,SUMIF(Меню!$J$8:$FD$8,$B70,Меню!$J$43:$FD$43)/1000*Обложка!$D$16)</f>
        <v>2.3180000000000001</v>
      </c>
      <c r="F70" s="212">
        <f>IF($B70="Яйцо (шт)",SUMIF(Меню!$J$8:$FD$8,$B70,Меню!$J$56:$FD$56)*Обложка!$D$17/60,SUMIF(Меню!$J$8:$FD$8,$B70,Меню!$J$56:$FD$56)/1000*Обложка!$D$17)</f>
        <v>3.0500000000000003</v>
      </c>
      <c r="G70" s="212">
        <f>IF($B70="Яйцо (шт)",SUMIF(Меню!$J$8:$FD$8,$B70,Меню!$J$61:$FD$61)*Обложка!$D$18/60,SUMIF(Меню!$J$8:$FD$8,$B70,Меню!$J$61:$FD$61)/1000*Обложка!$D$18)</f>
        <v>0</v>
      </c>
      <c r="H70" s="685">
        <f t="shared" si="0"/>
        <v>5.3680000000000003</v>
      </c>
      <c r="I70" s="212">
        <f>IF($B70="Яйцо (шт)",SUMIF(Меню!$J$8:$FD$8,$B70,Меню!$J$73:$FD$73)*Обложка!$F$15/60,SUMIF(Меню!$J$8:$FD$8,$B70,Меню!$J$73:$FD$73)/1000*Обложка!$F$15)</f>
        <v>0</v>
      </c>
      <c r="J70" s="212">
        <f>IF($B70="Яйцо (шт)",SUMIF(Меню!$J$8:$FD$8,$B70,Меню!$J$88:$FD$88)*Обложка!$F$16/60,SUMIF(Меню!$J$8:$FD$8,$B70,Меню!$J$88:$FD$88)/1000*Обложка!$G$16)</f>
        <v>0.38367999999999991</v>
      </c>
      <c r="K70" s="212">
        <f>IF($B70="Яйцо (шт)",SUMIF(Меню!$J$8:$FD$8,$B70,Меню!$J$101:$FD$101)*Обложка!$F$17/60,SUMIF(Меню!$J$8:$FD$8,$B70,Меню!$J$101:$FD$101)/1000*Обложка!$F$17)</f>
        <v>1.17</v>
      </c>
      <c r="L70" s="212">
        <f>IF($B70="Яйцо (шт)",SUMIF(Меню!$J$8:$FD$8,$B70,Меню!$J$106:$FD$106)*Обложка!$F$18/60,SUMIF(Меню!$J$8:$FD$8,$B70,Меню!$J$106:$FD$106)/1000*Обложка!$F$18)</f>
        <v>0</v>
      </c>
      <c r="M70" s="685">
        <f t="shared" si="1"/>
        <v>1.5536799999999999</v>
      </c>
      <c r="N70" s="212">
        <f>IF($B70="Яйцо (шт)",SUMIF(Меню!$J$8:$EZ$8,$B70,Меню!$J$118:$EZ$118)*Обложка!$H$15/60,SUMIF(Меню!$J$8:$EZ$8,$B70,Меню!$J$118:$EZ$118)/1000*Обложка!$H$15)</f>
        <v>0</v>
      </c>
      <c r="O70" s="212">
        <f>IF($B70="Яйцо (шт)",SUMIF(Меню!$J$8:$EZ$8,$B70,Меню!$J$133:$EZ$133)*Обложка!$H$16/60,SUMIF(Меню!$J$8:$EZ$8,$B70,Меню!$J$133:$EZ$133)/1000*Обложка!$H$16)</f>
        <v>2.1160000000000001</v>
      </c>
      <c r="P70" s="212">
        <f>IF($B70="Яйцо (шт)",SUMIF(Меню!$J$8:$EZ$8,$B70,Меню!$J$146:$EZ$146)*Обложка!$H$17/60,SUMIF(Меню!$J$8:$EZ$8,$B70,Меню!$J$146:$EZ$146)/1000*Обложка!$H$17)</f>
        <v>1.0349999999999999</v>
      </c>
      <c r="Q70" s="212">
        <f>IF($B70="Яйцо (шт)",SUMIF(Меню!$J$8:$EZ$8,$B70,Меню!$J$151:$EZ$151)*Обложка!$H$18/60,SUMIF(Меню!$J$8:$EZ$8,$B70,Меню!$J$151:$EZ$151)/1000*Обложка!$H$18)</f>
        <v>0</v>
      </c>
      <c r="R70" s="685">
        <f t="shared" si="2"/>
        <v>3.1509999999999998</v>
      </c>
      <c r="S70" s="212">
        <f>IF($B70="Яйцо (шт)",SUMIF(Меню!$J$8:$EZ$8,$B70,Меню!$J$163:$EZ$163)*Обложка!$J$15/60,SUMIF(Меню!$J$8:$EZ$8,$B70,Меню!$J$163:$EZ$163)/1000*Обложка!$J$15)</f>
        <v>0</v>
      </c>
      <c r="T70" s="212">
        <f>IF($B70="Яйцо (шт)",SUMIF(Меню!$J$8:$EZ$8,$B70,Меню!$J$178:$EZ$178)*Обложка!$J$16/60,SUMIF(Меню!$J$8:$EZ$8,$B70,Меню!$J$178:$EZ$178)/1000*Обложка!$J$16)</f>
        <v>1.6800000000000002</v>
      </c>
      <c r="U70" s="212">
        <f>IF($B70="Яйцо (шт)",SUMIF(Меню!$J$8:$EZ$8,$B70,Меню!$J$191:$EZ$191)*Обложка!$J$17/60,SUMIF(Меню!$J$8:$EZ$8,$B70,Меню!$J$191:$EZ$191)/1000*Обложка!$J$17)</f>
        <v>0.8819999999999999</v>
      </c>
      <c r="V70" s="212">
        <f>IF($B70="Яйцо (шт)",SUMIF(Меню!$J$8:$EZ$8,$B70,Меню!$J$196:$EZ$196)*Обложка!$J$18/60,SUMIF(Меню!$J$8:$EZ$8,$B70,Меню!$J$196:$EZ$196)/1000*Обложка!$J$18)</f>
        <v>0</v>
      </c>
      <c r="W70" s="685">
        <f t="shared" si="3"/>
        <v>2.5620000000000003</v>
      </c>
      <c r="X70" s="212">
        <f>IF($B70="Яйцо (шт)",SUMIF(Меню!$J$8:$EZ$8,$B70,Меню!$J$208:$EZ$208)*Обложка!$L$15/60,SUMIF(Меню!$J$8:$EZ$8,$B70,Меню!$J$208:$EZ$208)/1000*Обложка!$L$15)</f>
        <v>0</v>
      </c>
      <c r="Y70" s="212">
        <f>IF($B70="Яйцо (шт)",SUMIF(Меню!$J$8:$EZ$8,$B70,Меню!$J$223:$EZ$223)*Обложка!$L$16/60,SUMIF(Меню!$J$8:$EZ$8,$B70,Меню!$J$223:$EZ$223)/1000*Обложка!$J$16)</f>
        <v>1.7000000000000002</v>
      </c>
      <c r="Z70" s="212">
        <f>IF($B70="Яйцо (шт)",SUMIF(Меню!$J$8:$EZ$8,$B70,Меню!$J$236:$EZ$236)*Обложка!$L$17/60,SUMIF(Меню!$J$8:$EZ$8,$B70,Меню!$J$236:$EZ$236)/1000*Обложка!$L$17)</f>
        <v>0.36819999999999997</v>
      </c>
      <c r="AA70" s="212">
        <f>IF($B70="Яйцо (шт)",SUMIF(Меню!$J$8:$EZ$8,$B70,Меню!$J$241:$EZ$241)*Обложка!$L$18/60,SUMIF(Меню!$J$8:$EZ$8,$B70,Меню!$J$241:$EZ$241)/1000*Обложка!$L$18)</f>
        <v>0</v>
      </c>
      <c r="AB70" s="685">
        <f t="shared" si="4"/>
        <v>2.0682</v>
      </c>
      <c r="AC70" s="212">
        <f>IF($B70="Яйцо (шт)",SUMIF(Меню!$J$8:$EZ$8,$B70,Меню!$J$253:$EZ$253)*Обложка!$N$15/60,SUMIF(Меню!$J$8:$EZ$8,$B70,Меню!$J$253:$EZ$253)/1000*Обложка!$N$15)</f>
        <v>0</v>
      </c>
      <c r="AD70" s="212">
        <f>IF($B70="Яйцо (шт)",SUMIF(Меню!$J$8:$EZ$8,$B70,Меню!$J$268:$EZ$268)*Обложка!$N$16/60,SUMIF(Меню!$J$8:$EZ$8,$B70,Меню!$J$268:$EZ$268)/1000*Обложка!$N$16)</f>
        <v>0.62100000000000011</v>
      </c>
      <c r="AE70" s="212">
        <f>IF($B70="Яйцо (шт)",SUMIF(Меню!$J$8:$EZ$8,$B70,Меню!$J$281:$EZ$281)*Обложка!$N$17/60,SUMIF(Меню!$J$8:$EZ$8,$B70,Меню!$J$281:$EZ$281)/1000*Обложка!$N$17)</f>
        <v>0.40499999999999997</v>
      </c>
      <c r="AF70" s="212">
        <f>IF($B70="Яйцо (шт)",SUMIF(Меню!$J$8:$EZ$8,$B70,Меню!$J$286:$EZ$286)*Обложка!$N$18/60,SUMIF(Меню!$J$8:$EZ$8,$B70,Меню!$J$286:$EZ$286)/1000*Обложка!$N$18)</f>
        <v>0</v>
      </c>
      <c r="AG70" s="685">
        <f t="shared" si="5"/>
        <v>1.026</v>
      </c>
      <c r="AH70" s="212">
        <f>IF($B70="Яйцо (шт)",SUMIF(Меню!$J$8:$EZ$8,$B70,Меню!$J$298:$EZ$298)*Обложка!$P$15/60,SUMIF(Меню!$J$8:$EZ$8,$B70,Меню!$J$298:$EZ$298)/1000*Обложка!$P$15)</f>
        <v>0.1</v>
      </c>
      <c r="AI70" s="212">
        <f>IF($B70="Яйцо (шт)",SUMIF(Меню!$J$8:$EZ$8,$BB70,Меню!$J$313:$EZ$313)*Обложка!$P$16/60,SUMIF(Меню!$J$8:$EZ$8,$B70,Меню!$J$313:$EZ$313)/1000*Обложка!$P$16)</f>
        <v>0.44999999999999996</v>
      </c>
      <c r="AJ70" s="212">
        <f>IF($B70="Яйцо (шт)",SUMIF(Меню!$J$8:$EZ$8,$B70,Меню!$J$326:$EZ$326)*Обложка!$P$17/60,SUMIF(Меню!$J$8:$EZ$8,$B70,Меню!$J$326:$EZ$326)/1000*Обложка!$P$17)</f>
        <v>0.25</v>
      </c>
      <c r="AK70" s="212">
        <f>IF($B70="Яйцо (шт)",SUMIF(Меню!$J$8:$EZ$8,$B70,Меню!$J$331:$EZ$331)*Обложка!$P$18/60,SUMIF(Меню!$J$8:$EZ$8,$B70,Меню!$J$331:$EZ$331)/1000*Обложка!$P$18)</f>
        <v>0</v>
      </c>
      <c r="AL70" s="699">
        <f t="shared" si="6"/>
        <v>0.79999999999999993</v>
      </c>
      <c r="AM70" s="685">
        <f t="shared" si="7"/>
        <v>16.528880000000001</v>
      </c>
    </row>
    <row r="71" spans="1:39" x14ac:dyDescent="0.25">
      <c r="A71" s="249">
        <f t="shared" si="8"/>
        <v>59</v>
      </c>
      <c r="B71" s="248" t="str">
        <f>инфо!D60</f>
        <v>Сало-шпик</v>
      </c>
      <c r="C71" s="694">
        <f>SUMIF(Меню!$J$8:$FD$8,$B71,Меню!$J$333:$FD$333)</f>
        <v>45</v>
      </c>
      <c r="D71" s="212">
        <f>IF($B71="Яйцо (шт)",SUMIF(Меню!$J$8:$FD$8,$B71,Меню!$J$28:$FD$28)*Обложка!$D$15/60,SUMIF(Меню!$J$8:$FD$8,$B71,Меню!$J$28:$FD$28)/1000*Обложка!$D$15)</f>
        <v>0</v>
      </c>
      <c r="E71" s="212">
        <f>IF($B71="Яйцо (шт)",SUMIF(Меню!$J$8:$FD$8,$B71,Меню!$J$43:$FD$43)*Обложка!$D$16/60,SUMIF(Меню!$J$8:$FD$8,$B71,Меню!$J$43:$FD$43)/1000*Обложка!$D$16)</f>
        <v>1.8299999999999998</v>
      </c>
      <c r="F71" s="212">
        <f>IF($B71="Яйцо (шт)",SUMIF(Меню!$J$8:$FD$8,$B71,Меню!$J$56:$FD$56)*Обложка!$D$17/60,SUMIF(Меню!$J$8:$FD$8,$B71,Меню!$J$56:$FD$56)/1000*Обложка!$D$17)</f>
        <v>0</v>
      </c>
      <c r="G71" s="212">
        <f>IF($B71="Яйцо (шт)",SUMIF(Меню!$J$8:$FD$8,$B71,Меню!$J$61:$FD$61)*Обложка!$D$18/60,SUMIF(Меню!$J$8:$FD$8,$B71,Меню!$J$61:$FD$61)/1000*Обложка!$D$18)</f>
        <v>0</v>
      </c>
      <c r="H71" s="685">
        <f t="shared" si="0"/>
        <v>1.8299999999999998</v>
      </c>
      <c r="I71" s="212">
        <f>IF($B71="Яйцо (шт)",SUMIF(Меню!$J$8:$FD$8,$B71,Меню!$J$73:$FD$73)*Обложка!$F$15/60,SUMIF(Меню!$J$8:$FD$8,$B71,Меню!$J$73:$FD$73)/1000*Обложка!$F$15)</f>
        <v>0</v>
      </c>
      <c r="J71" s="212">
        <f>IF($B71="Яйцо (шт)",SUMIF(Меню!$J$8:$FD$8,$B71,Меню!$J$88:$FD$88)*Обложка!$F$16/60,SUMIF(Меню!$J$8:$FD$8,$B71,Меню!$J$88:$FD$88)/1000*Обложка!$G$16)</f>
        <v>0</v>
      </c>
      <c r="K71" s="212">
        <f>IF($B71="Яйцо (шт)",SUMIF(Меню!$J$8:$FD$8,$B71,Меню!$J$101:$FD$101)*Обложка!$F$17/60,SUMIF(Меню!$J$8:$FD$8,$B71,Меню!$J$101:$FD$101)/1000*Обложка!$F$17)</f>
        <v>0</v>
      </c>
      <c r="L71" s="212">
        <f>IF($B71="Яйцо (шт)",SUMIF(Меню!$J$8:$FD$8,$B71,Меню!$J$106:$FD$106)*Обложка!$F$18/60,SUMIF(Меню!$J$8:$FD$8,$B71,Меню!$J$106:$FD$106)/1000*Обложка!$F$18)</f>
        <v>0</v>
      </c>
      <c r="M71" s="685">
        <f t="shared" si="1"/>
        <v>0</v>
      </c>
      <c r="N71" s="212">
        <f>IF($B71="Яйцо (шт)",SUMIF(Меню!$J$8:$EZ$8,$B71,Меню!$J$118:$EZ$118)*Обложка!$H$15/60,SUMIF(Меню!$J$8:$EZ$8,$B71,Меню!$J$118:$EZ$118)/1000*Обложка!$H$15)</f>
        <v>0</v>
      </c>
      <c r="O71" s="212">
        <f>IF($B71="Яйцо (шт)",SUMIF(Меню!$J$8:$EZ$8,$B71,Меню!$J$133:$EZ$133)*Обложка!$H$16/60,SUMIF(Меню!$J$8:$EZ$8,$B71,Меню!$J$133:$EZ$133)/1000*Обложка!$H$16)</f>
        <v>0</v>
      </c>
      <c r="P71" s="212">
        <f>IF($B71="Яйцо (шт)",SUMIF(Меню!$J$8:$EZ$8,$B71,Меню!$J$146:$EZ$146)*Обложка!$H$17/60,SUMIF(Меню!$J$8:$EZ$8,$B71,Меню!$J$146:$EZ$146)/1000*Обложка!$H$17)</f>
        <v>0</v>
      </c>
      <c r="Q71" s="212">
        <f>IF($B71="Яйцо (шт)",SUMIF(Меню!$J$8:$EZ$8,$B71,Меню!$J$151:$EZ$151)*Обложка!$H$18/60,SUMIF(Меню!$J$8:$EZ$8,$B71,Меню!$J$151:$EZ$151)/1000*Обложка!$H$18)</f>
        <v>0</v>
      </c>
      <c r="R71" s="685">
        <f t="shared" si="2"/>
        <v>0</v>
      </c>
      <c r="S71" s="212">
        <f>IF($B71="Яйцо (шт)",SUMIF(Меню!$J$8:$EZ$8,$B71,Меню!$J$163:$EZ$163)*Обложка!$J$15/60,SUMIF(Меню!$J$8:$EZ$8,$B71,Меню!$J$163:$EZ$163)/1000*Обложка!$J$15)</f>
        <v>0</v>
      </c>
      <c r="T71" s="212">
        <f>IF($B71="Яйцо (шт)",SUMIF(Меню!$J$8:$EZ$8,$B71,Меню!$J$178:$EZ$178)*Обложка!$J$16/60,SUMIF(Меню!$J$8:$EZ$8,$B71,Меню!$J$178:$EZ$178)/1000*Обложка!$J$16)</f>
        <v>0</v>
      </c>
      <c r="U71" s="212">
        <f>IF($B71="Яйцо (шт)",SUMIF(Меню!$J$8:$EZ$8,$B71,Меню!$J$191:$EZ$191)*Обложка!$J$17/60,SUMIF(Меню!$J$8:$EZ$8,$B71,Меню!$J$191:$EZ$191)/1000*Обложка!$J$17)</f>
        <v>0</v>
      </c>
      <c r="V71" s="212">
        <f>IF($B71="Яйцо (шт)",SUMIF(Меню!$J$8:$EZ$8,$B71,Меню!$J$196:$EZ$196)*Обложка!$J$18/60,SUMIF(Меню!$J$8:$EZ$8,$B71,Меню!$J$196:$EZ$196)/1000*Обложка!$J$18)</f>
        <v>0</v>
      </c>
      <c r="W71" s="685">
        <f t="shared" si="3"/>
        <v>0</v>
      </c>
      <c r="X71" s="212">
        <f>IF($B71="Яйцо (шт)",SUMIF(Меню!$J$8:$EZ$8,$B71,Меню!$J$208:$EZ$208)*Обложка!$L$15/60,SUMIF(Меню!$J$8:$EZ$8,$B71,Меню!$J$208:$EZ$208)/1000*Обложка!$L$15)</f>
        <v>0</v>
      </c>
      <c r="Y71" s="212">
        <f>IF($B71="Яйцо (шт)",SUMIF(Меню!$J$8:$EZ$8,$B71,Меню!$J$223:$EZ$223)*Обложка!$L$16/60,SUMIF(Меню!$J$8:$EZ$8,$B71,Меню!$J$223:$EZ$223)/1000*Обложка!$J$16)</f>
        <v>0</v>
      </c>
      <c r="Z71" s="212">
        <f>IF($B71="Яйцо (шт)",SUMIF(Меню!$J$8:$EZ$8,$B71,Меню!$J$236:$EZ$236)*Обложка!$L$17/60,SUMIF(Меню!$J$8:$EZ$8,$B71,Меню!$J$236:$EZ$236)/1000*Обложка!$L$17)</f>
        <v>0</v>
      </c>
      <c r="AA71" s="212">
        <f>IF($B71="Яйцо (шт)",SUMIF(Меню!$J$8:$EZ$8,$B71,Меню!$J$241:$EZ$241)*Обложка!$L$18/60,SUMIF(Меню!$J$8:$EZ$8,$B71,Меню!$J$241:$EZ$241)/1000*Обложка!$L$18)</f>
        <v>0</v>
      </c>
      <c r="AB71" s="685">
        <f t="shared" si="4"/>
        <v>0</v>
      </c>
      <c r="AC71" s="212">
        <f>IF($B71="Яйцо (шт)",SUMIF(Меню!$J$8:$EZ$8,$B71,Меню!$J$253:$EZ$253)*Обложка!$N$15/60,SUMIF(Меню!$J$8:$EZ$8,$B71,Меню!$J$253:$EZ$253)/1000*Обложка!$N$15)</f>
        <v>0</v>
      </c>
      <c r="AD71" s="212">
        <f>IF($B71="Яйцо (шт)",SUMIF(Меню!$J$8:$EZ$8,$B71,Меню!$J$268:$EZ$268)*Обложка!$N$16/60,SUMIF(Меню!$J$8:$EZ$8,$B71,Меню!$J$268:$EZ$268)/1000*Обложка!$N$16)</f>
        <v>0.67499999999999993</v>
      </c>
      <c r="AE71" s="212">
        <f>IF($B71="Яйцо (шт)",SUMIF(Меню!$J$8:$EZ$8,$B71,Меню!$J$281:$EZ$281)*Обложка!$N$17/60,SUMIF(Меню!$J$8:$EZ$8,$B71,Меню!$J$281:$EZ$281)/1000*Обложка!$N$17)</f>
        <v>0</v>
      </c>
      <c r="AF71" s="212">
        <f>IF($B71="Яйцо (шт)",SUMIF(Меню!$J$8:$EZ$8,$B71,Меню!$J$286:$EZ$286)*Обложка!$N$18/60,SUMIF(Меню!$J$8:$EZ$8,$B71,Меню!$J$286:$EZ$286)/1000*Обложка!$N$18)</f>
        <v>0</v>
      </c>
      <c r="AG71" s="685">
        <f t="shared" si="5"/>
        <v>0.67499999999999993</v>
      </c>
      <c r="AH71" s="212">
        <f>IF($B71="Яйцо (шт)",SUMIF(Меню!$J$8:$EZ$8,$B71,Меню!$J$298:$EZ$298)*Обложка!$P$15/60,SUMIF(Меню!$J$8:$EZ$8,$B71,Меню!$J$298:$EZ$298)/1000*Обложка!$P$15)</f>
        <v>0</v>
      </c>
      <c r="AI71" s="212">
        <f>IF($B71="Яйцо (шт)",SUMIF(Меню!$J$8:$EZ$8,$BB71,Меню!$J$313:$EZ$313)*Обложка!$P$16/60,SUMIF(Меню!$J$8:$EZ$8,$B71,Меню!$J$313:$EZ$313)/1000*Обложка!$P$16)</f>
        <v>0.375</v>
      </c>
      <c r="AJ71" s="212">
        <f>IF($B71="Яйцо (шт)",SUMIF(Меню!$J$8:$EZ$8,$B71,Меню!$J$326:$EZ$326)*Обложка!$P$17/60,SUMIF(Меню!$J$8:$EZ$8,$B71,Меню!$J$326:$EZ$326)/1000*Обложка!$P$17)</f>
        <v>0</v>
      </c>
      <c r="AK71" s="212">
        <f>IF($B71="Яйцо (шт)",SUMIF(Меню!$J$8:$EZ$8,$B71,Меню!$J$331:$EZ$331)*Обложка!$P$18/60,SUMIF(Меню!$J$8:$EZ$8,$B71,Меню!$J$331:$EZ$331)/1000*Обложка!$P$18)</f>
        <v>0</v>
      </c>
      <c r="AL71" s="699">
        <f t="shared" si="6"/>
        <v>0.375</v>
      </c>
      <c r="AM71" s="685">
        <f t="shared" si="7"/>
        <v>2.88</v>
      </c>
    </row>
    <row r="72" spans="1:39" x14ac:dyDescent="0.25">
      <c r="A72" s="249">
        <f t="shared" si="8"/>
        <v>60</v>
      </c>
      <c r="B72" s="248" t="str">
        <f>инфо!D61</f>
        <v>Жиры 1</v>
      </c>
      <c r="C72" s="694">
        <f>SUMIF(Меню!$J$8:$FD$8,$B72,Меню!$J$333:$FD$333)</f>
        <v>0</v>
      </c>
      <c r="D72" s="212">
        <f>IF($B72="Яйцо (шт)",SUMIF(Меню!$J$8:$FD$8,$B72,Меню!$J$28:$FD$28)*Обложка!$D$15/60,SUMIF(Меню!$J$8:$FD$8,$B72,Меню!$J$28:$FD$28)/1000*Обложка!$D$15)</f>
        <v>0</v>
      </c>
      <c r="E72" s="212">
        <f>IF($B72="Яйцо (шт)",SUMIF(Меню!$J$8:$FD$8,$B72,Меню!$J$43:$FD$43)*Обложка!$D$16/60,SUMIF(Меню!$J$8:$FD$8,$B72,Меню!$J$43:$FD$43)/1000*Обложка!$D$16)</f>
        <v>0</v>
      </c>
      <c r="F72" s="212">
        <f>IF($B72="Яйцо (шт)",SUMIF(Меню!$J$8:$FD$8,$B72,Меню!$J$56:$FD$56)*Обложка!$D$17/60,SUMIF(Меню!$J$8:$FD$8,$B72,Меню!$J$56:$FD$56)/1000*Обложка!$D$17)</f>
        <v>0</v>
      </c>
      <c r="G72" s="212">
        <f>IF($B72="Яйцо (шт)",SUMIF(Меню!$J$8:$FD$8,$B72,Меню!$J$61:$FD$61)*Обложка!$D$18/60,SUMIF(Меню!$J$8:$FD$8,$B72,Меню!$J$61:$FD$61)/1000*Обложка!$D$18)</f>
        <v>0</v>
      </c>
      <c r="H72" s="685">
        <f t="shared" si="0"/>
        <v>0</v>
      </c>
      <c r="I72" s="212">
        <f>IF($B72="Яйцо (шт)",SUMIF(Меню!$J$8:$FD$8,$B72,Меню!$J$73:$FD$73)*Обложка!$F$15/60,SUMIF(Меню!$J$8:$FD$8,$B72,Меню!$J$73:$FD$73)/1000*Обложка!$F$15)</f>
        <v>0</v>
      </c>
      <c r="J72" s="212">
        <f>IF($B72="Яйцо (шт)",SUMIF(Меню!$J$8:$FD$8,$B72,Меню!$J$88:$FD$88)*Обложка!$F$16/60,SUMIF(Меню!$J$8:$FD$8,$B72,Меню!$J$88:$FD$88)/1000*Обложка!$G$16)</f>
        <v>0</v>
      </c>
      <c r="K72" s="212">
        <f>IF($B72="Яйцо (шт)",SUMIF(Меню!$J$8:$FD$8,$B72,Меню!$J$101:$FD$101)*Обложка!$F$17/60,SUMIF(Меню!$J$8:$FD$8,$B72,Меню!$J$101:$FD$101)/1000*Обложка!$F$17)</f>
        <v>0</v>
      </c>
      <c r="L72" s="212">
        <f>IF($B72="Яйцо (шт)",SUMIF(Меню!$J$8:$FD$8,$B72,Меню!$J$106:$FD$106)*Обложка!$F$18/60,SUMIF(Меню!$J$8:$FD$8,$B72,Меню!$J$106:$FD$106)/1000*Обложка!$F$18)</f>
        <v>0</v>
      </c>
      <c r="M72" s="685">
        <f t="shared" si="1"/>
        <v>0</v>
      </c>
      <c r="N72" s="212">
        <f>IF($B72="Яйцо (шт)",SUMIF(Меню!$J$8:$EZ$8,$B72,Меню!$J$118:$EZ$118)*Обложка!$H$15/60,SUMIF(Меню!$J$8:$EZ$8,$B72,Меню!$J$118:$EZ$118)/1000*Обложка!$H$15)</f>
        <v>0</v>
      </c>
      <c r="O72" s="212">
        <f>IF($B72="Яйцо (шт)",SUMIF(Меню!$J$8:$EZ$8,$B72,Меню!$J$133:$EZ$133)*Обложка!$H$16/60,SUMIF(Меню!$J$8:$EZ$8,$B72,Меню!$J$133:$EZ$133)/1000*Обложка!$H$16)</f>
        <v>0</v>
      </c>
      <c r="P72" s="212">
        <f>IF($B72="Яйцо (шт)",SUMIF(Меню!$J$8:$EZ$8,$B72,Меню!$J$146:$EZ$146)*Обложка!$H$17/60,SUMIF(Меню!$J$8:$EZ$8,$B72,Меню!$J$146:$EZ$146)/1000*Обложка!$H$17)</f>
        <v>0</v>
      </c>
      <c r="Q72" s="212">
        <f>IF($B72="Яйцо (шт)",SUMIF(Меню!$J$8:$EZ$8,$B72,Меню!$J$151:$EZ$151)*Обложка!$H$18/60,SUMIF(Меню!$J$8:$EZ$8,$B72,Меню!$J$151:$EZ$151)/1000*Обложка!$H$18)</f>
        <v>0</v>
      </c>
      <c r="R72" s="685">
        <f t="shared" si="2"/>
        <v>0</v>
      </c>
      <c r="S72" s="212">
        <f>IF($B72="Яйцо (шт)",SUMIF(Меню!$J$8:$EZ$8,$B72,Меню!$J$163:$EZ$163)*Обложка!$J$15/60,SUMIF(Меню!$J$8:$EZ$8,$B72,Меню!$J$163:$EZ$163)/1000*Обложка!$J$15)</f>
        <v>0</v>
      </c>
      <c r="T72" s="212">
        <f>IF($B72="Яйцо (шт)",SUMIF(Меню!$J$8:$EZ$8,$B72,Меню!$J$178:$EZ$178)*Обложка!$J$16/60,SUMIF(Меню!$J$8:$EZ$8,$B72,Меню!$J$178:$EZ$178)/1000*Обложка!$J$16)</f>
        <v>0</v>
      </c>
      <c r="U72" s="212">
        <f>IF($B72="Яйцо (шт)",SUMIF(Меню!$J$8:$EZ$8,$B72,Меню!$J$191:$EZ$191)*Обложка!$J$17/60,SUMIF(Меню!$J$8:$EZ$8,$B72,Меню!$J$191:$EZ$191)/1000*Обложка!$J$17)</f>
        <v>0</v>
      </c>
      <c r="V72" s="212">
        <f>IF($B72="Яйцо (шт)",SUMIF(Меню!$J$8:$EZ$8,$B72,Меню!$J$196:$EZ$196)*Обложка!$J$18/60,SUMIF(Меню!$J$8:$EZ$8,$B72,Меню!$J$196:$EZ$196)/1000*Обложка!$J$18)</f>
        <v>0</v>
      </c>
      <c r="W72" s="685">
        <f t="shared" si="3"/>
        <v>0</v>
      </c>
      <c r="X72" s="212">
        <f>IF($B72="Яйцо (шт)",SUMIF(Меню!$J$8:$EZ$8,$B72,Меню!$J$208:$EZ$208)*Обложка!$L$15/60,SUMIF(Меню!$J$8:$EZ$8,$B72,Меню!$J$208:$EZ$208)/1000*Обложка!$L$15)</f>
        <v>0</v>
      </c>
      <c r="Y72" s="212">
        <f>IF($B72="Яйцо (шт)",SUMIF(Меню!$J$8:$EZ$8,$B72,Меню!$J$223:$EZ$223)*Обложка!$L$16/60,SUMIF(Меню!$J$8:$EZ$8,$B72,Меню!$J$223:$EZ$223)/1000*Обложка!$J$16)</f>
        <v>0</v>
      </c>
      <c r="Z72" s="212">
        <f>IF($B72="Яйцо (шт)",SUMIF(Меню!$J$8:$EZ$8,$B72,Меню!$J$236:$EZ$236)*Обложка!$L$17/60,SUMIF(Меню!$J$8:$EZ$8,$B72,Меню!$J$236:$EZ$236)/1000*Обложка!$L$17)</f>
        <v>0</v>
      </c>
      <c r="AA72" s="212">
        <f>IF($B72="Яйцо (шт)",SUMIF(Меню!$J$8:$EZ$8,$B72,Меню!$J$241:$EZ$241)*Обложка!$L$18/60,SUMIF(Меню!$J$8:$EZ$8,$B72,Меню!$J$241:$EZ$241)/1000*Обложка!$L$18)</f>
        <v>0</v>
      </c>
      <c r="AB72" s="685">
        <f t="shared" si="4"/>
        <v>0</v>
      </c>
      <c r="AC72" s="212">
        <f>IF($B72="Яйцо (шт)",SUMIF(Меню!$J$8:$EZ$8,$B72,Меню!$J$253:$EZ$253)*Обложка!$N$15/60,SUMIF(Меню!$J$8:$EZ$8,$B72,Меню!$J$253:$EZ$253)/1000*Обложка!$N$15)</f>
        <v>0</v>
      </c>
      <c r="AD72" s="212">
        <f>IF($B72="Яйцо (шт)",SUMIF(Меню!$J$8:$EZ$8,$B72,Меню!$J$268:$EZ$268)*Обложка!$N$16/60,SUMIF(Меню!$J$8:$EZ$8,$B72,Меню!$J$268:$EZ$268)/1000*Обложка!$N$16)</f>
        <v>0</v>
      </c>
      <c r="AE72" s="212">
        <f>IF($B72="Яйцо (шт)",SUMIF(Меню!$J$8:$EZ$8,$B72,Меню!$J$281:$EZ$281)*Обложка!$N$17/60,SUMIF(Меню!$J$8:$EZ$8,$B72,Меню!$J$281:$EZ$281)/1000*Обложка!$N$17)</f>
        <v>0</v>
      </c>
      <c r="AF72" s="212">
        <f>IF($B72="Яйцо (шт)",SUMIF(Меню!$J$8:$EZ$8,$B72,Меню!$J$286:$EZ$286)*Обложка!$N$18/60,SUMIF(Меню!$J$8:$EZ$8,$B72,Меню!$J$286:$EZ$286)/1000*Обложка!$N$18)</f>
        <v>0</v>
      </c>
      <c r="AG72" s="685">
        <f t="shared" si="5"/>
        <v>0</v>
      </c>
      <c r="AH72" s="212">
        <f>IF($B72="Яйцо (шт)",SUMIF(Меню!$J$8:$EZ$8,$B72,Меню!$J$298:$EZ$298)*Обложка!$P$15/60,SUMIF(Меню!$J$8:$EZ$8,$B72,Меню!$J$298:$EZ$298)/1000*Обложка!$P$15)</f>
        <v>0</v>
      </c>
      <c r="AI72" s="212">
        <f>IF($B72="Яйцо (шт)",SUMIF(Меню!$J$8:$EZ$8,$BB72,Меню!$J$313:$EZ$313)*Обложка!$P$16/60,SUMIF(Меню!$J$8:$EZ$8,$B72,Меню!$J$313:$EZ$313)/1000*Обложка!$P$16)</f>
        <v>0</v>
      </c>
      <c r="AJ72" s="212">
        <f>IF($B72="Яйцо (шт)",SUMIF(Меню!$J$8:$EZ$8,$B72,Меню!$J$326:$EZ$326)*Обложка!$P$17/60,SUMIF(Меню!$J$8:$EZ$8,$B72,Меню!$J$326:$EZ$326)/1000*Обложка!$P$17)</f>
        <v>0</v>
      </c>
      <c r="AK72" s="212">
        <f>IF($B72="Яйцо (шт)",SUMIF(Меню!$J$8:$EZ$8,$B72,Меню!$J$331:$EZ$331)*Обложка!$P$18/60,SUMIF(Меню!$J$8:$EZ$8,$B72,Меню!$J$331:$EZ$331)/1000*Обложка!$P$18)</f>
        <v>0</v>
      </c>
      <c r="AL72" s="699">
        <f t="shared" si="6"/>
        <v>0</v>
      </c>
      <c r="AM72" s="685">
        <f t="shared" si="7"/>
        <v>0</v>
      </c>
    </row>
    <row r="73" spans="1:39" x14ac:dyDescent="0.25">
      <c r="A73" s="249">
        <f t="shared" si="8"/>
        <v>61</v>
      </c>
      <c r="B73" s="248" t="str">
        <f>инфо!D62</f>
        <v>Жиры 2</v>
      </c>
      <c r="C73" s="694">
        <f>SUMIF(Меню!$J$8:$FD$8,$B73,Меню!$J$333:$FD$333)</f>
        <v>0</v>
      </c>
      <c r="D73" s="212">
        <f>IF($B73="Яйцо (шт)",SUMIF(Меню!$J$8:$FD$8,$B73,Меню!$J$28:$FD$28)*Обложка!$D$15/60,SUMIF(Меню!$J$8:$FD$8,$B73,Меню!$J$28:$FD$28)/1000*Обложка!$D$15)</f>
        <v>0</v>
      </c>
      <c r="E73" s="212">
        <f>IF($B73="Яйцо (шт)",SUMIF(Меню!$J$8:$FD$8,$B73,Меню!$J$43:$FD$43)*Обложка!$D$16/60,SUMIF(Меню!$J$8:$FD$8,$B73,Меню!$J$43:$FD$43)/1000*Обложка!$D$16)</f>
        <v>0</v>
      </c>
      <c r="F73" s="212">
        <f>IF($B73="Яйцо (шт)",SUMIF(Меню!$J$8:$FD$8,$B73,Меню!$J$56:$FD$56)*Обложка!$D$17/60,SUMIF(Меню!$J$8:$FD$8,$B73,Меню!$J$56:$FD$56)/1000*Обложка!$D$17)</f>
        <v>0</v>
      </c>
      <c r="G73" s="212">
        <f>IF($B73="Яйцо (шт)",SUMIF(Меню!$J$8:$FD$8,$B73,Меню!$J$61:$FD$61)*Обложка!$D$18/60,SUMIF(Меню!$J$8:$FD$8,$B73,Меню!$J$61:$FD$61)/1000*Обложка!$D$18)</f>
        <v>0</v>
      </c>
      <c r="H73" s="685">
        <f t="shared" si="0"/>
        <v>0</v>
      </c>
      <c r="I73" s="212">
        <f>IF($B73="Яйцо (шт)",SUMIF(Меню!$J$8:$FD$8,$B73,Меню!$J$73:$FD$73)*Обложка!$F$15/60,SUMIF(Меню!$J$8:$FD$8,$B73,Меню!$J$73:$FD$73)/1000*Обложка!$F$15)</f>
        <v>0</v>
      </c>
      <c r="J73" s="212">
        <f>IF($B73="Яйцо (шт)",SUMIF(Меню!$J$8:$FD$8,$B73,Меню!$J$88:$FD$88)*Обложка!$F$16/60,SUMIF(Меню!$J$8:$FD$8,$B73,Меню!$J$88:$FD$88)/1000*Обложка!$G$16)</f>
        <v>0</v>
      </c>
      <c r="K73" s="212">
        <f>IF($B73="Яйцо (шт)",SUMIF(Меню!$J$8:$FD$8,$B73,Меню!$J$101:$FD$101)*Обложка!$F$17/60,SUMIF(Меню!$J$8:$FD$8,$B73,Меню!$J$101:$FD$101)/1000*Обложка!$F$17)</f>
        <v>0</v>
      </c>
      <c r="L73" s="212">
        <f>IF($B73="Яйцо (шт)",SUMIF(Меню!$J$8:$FD$8,$B73,Меню!$J$106:$FD$106)*Обложка!$F$18/60,SUMIF(Меню!$J$8:$FD$8,$B73,Меню!$J$106:$FD$106)/1000*Обложка!$F$18)</f>
        <v>0</v>
      </c>
      <c r="M73" s="685">
        <f t="shared" si="1"/>
        <v>0</v>
      </c>
      <c r="N73" s="212">
        <f>IF($B73="Яйцо (шт)",SUMIF(Меню!$J$8:$EZ$8,$B73,Меню!$J$118:$EZ$118)*Обложка!$H$15/60,SUMIF(Меню!$J$8:$EZ$8,$B73,Меню!$J$118:$EZ$118)/1000*Обложка!$H$15)</f>
        <v>0</v>
      </c>
      <c r="O73" s="212">
        <f>IF($B73="Яйцо (шт)",SUMIF(Меню!$J$8:$EZ$8,$B73,Меню!$J$133:$EZ$133)*Обложка!$H$16/60,SUMIF(Меню!$J$8:$EZ$8,$B73,Меню!$J$133:$EZ$133)/1000*Обложка!$H$16)</f>
        <v>0</v>
      </c>
      <c r="P73" s="212">
        <f>IF($B73="Яйцо (шт)",SUMIF(Меню!$J$8:$EZ$8,$B73,Меню!$J$146:$EZ$146)*Обложка!$H$17/60,SUMIF(Меню!$J$8:$EZ$8,$B73,Меню!$J$146:$EZ$146)/1000*Обложка!$H$17)</f>
        <v>0</v>
      </c>
      <c r="Q73" s="212">
        <f>IF($B73="Яйцо (шт)",SUMIF(Меню!$J$8:$EZ$8,$B73,Меню!$J$151:$EZ$151)*Обложка!$H$18/60,SUMIF(Меню!$J$8:$EZ$8,$B73,Меню!$J$151:$EZ$151)/1000*Обложка!$H$18)</f>
        <v>0</v>
      </c>
      <c r="R73" s="685">
        <f t="shared" si="2"/>
        <v>0</v>
      </c>
      <c r="S73" s="212">
        <f>IF($B73="Яйцо (шт)",SUMIF(Меню!$J$8:$EZ$8,$B73,Меню!$J$163:$EZ$163)*Обложка!$J$15/60,SUMIF(Меню!$J$8:$EZ$8,$B73,Меню!$J$163:$EZ$163)/1000*Обложка!$J$15)</f>
        <v>0</v>
      </c>
      <c r="T73" s="212">
        <f>IF($B73="Яйцо (шт)",SUMIF(Меню!$J$8:$EZ$8,$B73,Меню!$J$178:$EZ$178)*Обложка!$J$16/60,SUMIF(Меню!$J$8:$EZ$8,$B73,Меню!$J$178:$EZ$178)/1000*Обложка!$J$16)</f>
        <v>0</v>
      </c>
      <c r="U73" s="212">
        <f>IF($B73="Яйцо (шт)",SUMIF(Меню!$J$8:$EZ$8,$B73,Меню!$J$191:$EZ$191)*Обложка!$J$17/60,SUMIF(Меню!$J$8:$EZ$8,$B73,Меню!$J$191:$EZ$191)/1000*Обложка!$J$17)</f>
        <v>0</v>
      </c>
      <c r="V73" s="212">
        <f>IF($B73="Яйцо (шт)",SUMIF(Меню!$J$8:$EZ$8,$B73,Меню!$J$196:$EZ$196)*Обложка!$J$18/60,SUMIF(Меню!$J$8:$EZ$8,$B73,Меню!$J$196:$EZ$196)/1000*Обложка!$J$18)</f>
        <v>0</v>
      </c>
      <c r="W73" s="685">
        <f t="shared" si="3"/>
        <v>0</v>
      </c>
      <c r="X73" s="212">
        <f>IF($B73="Яйцо (шт)",SUMIF(Меню!$J$8:$EZ$8,$B73,Меню!$J$208:$EZ$208)*Обложка!$L$15/60,SUMIF(Меню!$J$8:$EZ$8,$B73,Меню!$J$208:$EZ$208)/1000*Обложка!$L$15)</f>
        <v>0</v>
      </c>
      <c r="Y73" s="212">
        <f>IF($B73="Яйцо (шт)",SUMIF(Меню!$J$8:$EZ$8,$B73,Меню!$J$223:$EZ$223)*Обложка!$L$16/60,SUMIF(Меню!$J$8:$EZ$8,$B73,Меню!$J$223:$EZ$223)/1000*Обложка!$J$16)</f>
        <v>0</v>
      </c>
      <c r="Z73" s="212">
        <f>IF($B73="Яйцо (шт)",SUMIF(Меню!$J$8:$EZ$8,$B73,Меню!$J$236:$EZ$236)*Обложка!$L$17/60,SUMIF(Меню!$J$8:$EZ$8,$B73,Меню!$J$236:$EZ$236)/1000*Обложка!$L$17)</f>
        <v>0</v>
      </c>
      <c r="AA73" s="212">
        <f>IF($B73="Яйцо (шт)",SUMIF(Меню!$J$8:$EZ$8,$B73,Меню!$J$241:$EZ$241)*Обложка!$L$18/60,SUMIF(Меню!$J$8:$EZ$8,$B73,Меню!$J$241:$EZ$241)/1000*Обложка!$L$18)</f>
        <v>0</v>
      </c>
      <c r="AB73" s="685">
        <f t="shared" si="4"/>
        <v>0</v>
      </c>
      <c r="AC73" s="212">
        <f>IF($B73="Яйцо (шт)",SUMIF(Меню!$J$8:$EZ$8,$B73,Меню!$J$253:$EZ$253)*Обложка!$N$15/60,SUMIF(Меню!$J$8:$EZ$8,$B73,Меню!$J$253:$EZ$253)/1000*Обложка!$N$15)</f>
        <v>0</v>
      </c>
      <c r="AD73" s="212">
        <f>IF($B73="Яйцо (шт)",SUMIF(Меню!$J$8:$EZ$8,$B73,Меню!$J$268:$EZ$268)*Обложка!$N$16/60,SUMIF(Меню!$J$8:$EZ$8,$B73,Меню!$J$268:$EZ$268)/1000*Обложка!$N$16)</f>
        <v>0</v>
      </c>
      <c r="AE73" s="212">
        <f>IF($B73="Яйцо (шт)",SUMIF(Меню!$J$8:$EZ$8,$B73,Меню!$J$281:$EZ$281)*Обложка!$N$17/60,SUMIF(Меню!$J$8:$EZ$8,$B73,Меню!$J$281:$EZ$281)/1000*Обложка!$N$17)</f>
        <v>0</v>
      </c>
      <c r="AF73" s="212">
        <f>IF($B73="Яйцо (шт)",SUMIF(Меню!$J$8:$EZ$8,$B73,Меню!$J$286:$EZ$286)*Обложка!$N$18/60,SUMIF(Меню!$J$8:$EZ$8,$B73,Меню!$J$286:$EZ$286)/1000*Обложка!$N$18)</f>
        <v>0</v>
      </c>
      <c r="AG73" s="685">
        <f t="shared" si="5"/>
        <v>0</v>
      </c>
      <c r="AH73" s="212">
        <f>IF($B73="Яйцо (шт)",SUMIF(Меню!$J$8:$EZ$8,$B73,Меню!$J$298:$EZ$298)*Обложка!$P$15/60,SUMIF(Меню!$J$8:$EZ$8,$B73,Меню!$J$298:$EZ$298)/1000*Обложка!$P$15)</f>
        <v>0</v>
      </c>
      <c r="AI73" s="212">
        <f>IF($B73="Яйцо (шт)",SUMIF(Меню!$J$8:$EZ$8,$BB73,Меню!$J$313:$EZ$313)*Обложка!$P$16/60,SUMIF(Меню!$J$8:$EZ$8,$B73,Меню!$J$313:$EZ$313)/1000*Обложка!$P$16)</f>
        <v>0</v>
      </c>
      <c r="AJ73" s="212">
        <f>IF($B73="Яйцо (шт)",SUMIF(Меню!$J$8:$EZ$8,$B73,Меню!$J$326:$EZ$326)*Обложка!$P$17/60,SUMIF(Меню!$J$8:$EZ$8,$B73,Меню!$J$326:$EZ$326)/1000*Обложка!$P$17)</f>
        <v>0</v>
      </c>
      <c r="AK73" s="212">
        <f>IF($B73="Яйцо (шт)",SUMIF(Меню!$J$8:$EZ$8,$B73,Меню!$J$331:$EZ$331)*Обложка!$P$18/60,SUMIF(Меню!$J$8:$EZ$8,$B73,Меню!$J$331:$EZ$331)/1000*Обложка!$P$18)</f>
        <v>0</v>
      </c>
      <c r="AL73" s="699">
        <f t="shared" si="6"/>
        <v>0</v>
      </c>
      <c r="AM73" s="685">
        <f t="shared" si="7"/>
        <v>0</v>
      </c>
    </row>
    <row r="74" spans="1:39" x14ac:dyDescent="0.25">
      <c r="A74" s="249">
        <f t="shared" si="8"/>
        <v>62</v>
      </c>
      <c r="B74" s="248" t="str">
        <f>инфо!D63</f>
        <v>Говядина б/к</v>
      </c>
      <c r="C74" s="694">
        <f>SUMIF(Меню!$J$8:$FD$8,$B74,Меню!$J$333:$FD$333)</f>
        <v>0.75</v>
      </c>
      <c r="D74" s="212">
        <f>IF($B74="Яйцо (шт)",SUMIF(Меню!$J$8:$FD$8,$B74,Меню!$J$28:$FD$28)*Обложка!$D$15/60,SUMIF(Меню!$J$8:$FD$8,$B74,Меню!$J$28:$FD$28)/1000*Обложка!$D$15)</f>
        <v>0</v>
      </c>
      <c r="E74" s="212">
        <f>IF($B74="Яйцо (шт)",SUMIF(Меню!$J$8:$FD$8,$B74,Меню!$J$43:$FD$43)*Обложка!$D$16/60,SUMIF(Меню!$J$8:$FD$8,$B74,Меню!$J$43:$FD$43)/1000*Обложка!$D$16)</f>
        <v>0</v>
      </c>
      <c r="F74" s="212">
        <f>IF($B74="Яйцо (шт)",SUMIF(Меню!$J$8:$FD$8,$B74,Меню!$J$56:$FD$56)*Обложка!$D$17/60,SUMIF(Меню!$J$8:$FD$8,$B74,Меню!$J$56:$FD$56)/1000*Обложка!$D$17)</f>
        <v>0</v>
      </c>
      <c r="G74" s="212">
        <f>IF($B74="Яйцо (шт)",SUMIF(Меню!$J$8:$FD$8,$B74,Меню!$J$61:$FD$61)*Обложка!$D$18/60,SUMIF(Меню!$J$8:$FD$8,$B74,Меню!$J$61:$FD$61)/1000*Обложка!$D$18)</f>
        <v>0</v>
      </c>
      <c r="H74" s="685">
        <f t="shared" si="0"/>
        <v>0</v>
      </c>
      <c r="I74" s="212">
        <f>IF($B74="Яйцо (шт)",SUMIF(Меню!$J$8:$FD$8,$B74,Меню!$J$73:$FD$73)*Обложка!$F$15/60,SUMIF(Меню!$J$8:$FD$8,$B74,Меню!$J$73:$FD$73)/1000*Обложка!$F$15)</f>
        <v>0</v>
      </c>
      <c r="J74" s="212">
        <f>IF($B74="Яйцо (шт)",SUMIF(Меню!$J$8:$FD$8,$B74,Меню!$J$88:$FD$88)*Обложка!$F$16/60,SUMIF(Меню!$J$8:$FD$8,$B74,Меню!$J$88:$FD$88)/1000*Обложка!$G$16)</f>
        <v>0</v>
      </c>
      <c r="K74" s="212">
        <f>IF($B74="Яйцо (шт)",SUMIF(Меню!$J$8:$FD$8,$B74,Меню!$J$101:$FD$101)*Обложка!$F$17/60,SUMIF(Меню!$J$8:$FD$8,$B74,Меню!$J$101:$FD$101)/1000*Обложка!$F$17)</f>
        <v>0</v>
      </c>
      <c r="L74" s="212">
        <f>IF($B74="Яйцо (шт)",SUMIF(Меню!$J$8:$FD$8,$B74,Меню!$J$106:$FD$106)*Обложка!$F$18/60,SUMIF(Меню!$J$8:$FD$8,$B74,Меню!$J$106:$FD$106)/1000*Обложка!$F$18)</f>
        <v>0</v>
      </c>
      <c r="M74" s="685">
        <f t="shared" si="1"/>
        <v>0</v>
      </c>
      <c r="N74" s="212">
        <f>IF($B74="Яйцо (шт)",SUMIF(Меню!$J$8:$EZ$8,$B74,Меню!$J$118:$EZ$118)*Обложка!$H$15/60,SUMIF(Меню!$J$8:$EZ$8,$B74,Меню!$J$118:$EZ$118)/1000*Обложка!$H$15)</f>
        <v>0</v>
      </c>
      <c r="O74" s="212">
        <f>IF($B74="Яйцо (шт)",SUMIF(Меню!$J$8:$EZ$8,$B74,Меню!$J$133:$EZ$133)*Обложка!$H$16/60,SUMIF(Меню!$J$8:$EZ$8,$B74,Меню!$J$133:$EZ$133)/1000*Обложка!$H$16)</f>
        <v>0</v>
      </c>
      <c r="P74" s="212">
        <f>IF($B74="Яйцо (шт)",SUMIF(Меню!$J$8:$EZ$8,$B74,Меню!$J$146:$EZ$146)*Обложка!$H$17/60,SUMIF(Меню!$J$8:$EZ$8,$B74,Меню!$J$146:$EZ$146)/1000*Обложка!$H$17)</f>
        <v>0</v>
      </c>
      <c r="Q74" s="212">
        <f>IF($B74="Яйцо (шт)",SUMIF(Меню!$J$8:$EZ$8,$B74,Меню!$J$151:$EZ$151)*Обложка!$H$18/60,SUMIF(Меню!$J$8:$EZ$8,$B74,Меню!$J$151:$EZ$151)/1000*Обложка!$H$18)</f>
        <v>0</v>
      </c>
      <c r="R74" s="685">
        <f t="shared" si="2"/>
        <v>0</v>
      </c>
      <c r="S74" s="212">
        <f>IF($B74="Яйцо (шт)",SUMIF(Меню!$J$8:$EZ$8,$B74,Меню!$J$163:$EZ$163)*Обложка!$J$15/60,SUMIF(Меню!$J$8:$EZ$8,$B74,Меню!$J$163:$EZ$163)/1000*Обложка!$J$15)</f>
        <v>0</v>
      </c>
      <c r="T74" s="212">
        <f>IF($B74="Яйцо (шт)",SUMIF(Меню!$J$8:$EZ$8,$B74,Меню!$J$178:$EZ$178)*Обложка!$J$16/60,SUMIF(Меню!$J$8:$EZ$8,$B74,Меню!$J$178:$EZ$178)/1000*Обложка!$J$16)</f>
        <v>0</v>
      </c>
      <c r="U74" s="212">
        <f>IF($B74="Яйцо (шт)",SUMIF(Меню!$J$8:$EZ$8,$B74,Меню!$J$191:$EZ$191)*Обложка!$J$17/60,SUMIF(Меню!$J$8:$EZ$8,$B74,Меню!$J$191:$EZ$191)/1000*Обложка!$J$17)</f>
        <v>0</v>
      </c>
      <c r="V74" s="212">
        <f>IF($B74="Яйцо (шт)",SUMIF(Меню!$J$8:$EZ$8,$B74,Меню!$J$196:$EZ$196)*Обложка!$J$18/60,SUMIF(Меню!$J$8:$EZ$8,$B74,Меню!$J$196:$EZ$196)/1000*Обложка!$J$18)</f>
        <v>0</v>
      </c>
      <c r="W74" s="685">
        <f t="shared" si="3"/>
        <v>0</v>
      </c>
      <c r="X74" s="212">
        <f>IF($B74="Яйцо (шт)",SUMIF(Меню!$J$8:$EZ$8,$B74,Меню!$J$208:$EZ$208)*Обложка!$L$15/60,SUMIF(Меню!$J$8:$EZ$8,$B74,Меню!$J$208:$EZ$208)/1000*Обложка!$L$15)</f>
        <v>0</v>
      </c>
      <c r="Y74" s="212">
        <f>IF($B74="Яйцо (шт)",SUMIF(Меню!$J$8:$EZ$8,$B74,Меню!$J$223:$EZ$223)*Обложка!$L$16/60,SUMIF(Меню!$J$8:$EZ$8,$B74,Меню!$J$223:$EZ$223)/1000*Обложка!$J$16)</f>
        <v>0</v>
      </c>
      <c r="Z74" s="212">
        <f>IF($B74="Яйцо (шт)",SUMIF(Меню!$J$8:$EZ$8,$B74,Меню!$J$236:$EZ$236)*Обложка!$L$17/60,SUMIF(Меню!$J$8:$EZ$8,$B74,Меню!$J$236:$EZ$236)/1000*Обложка!$L$17)</f>
        <v>0</v>
      </c>
      <c r="AA74" s="212">
        <f>IF($B74="Яйцо (шт)",SUMIF(Меню!$J$8:$EZ$8,$B74,Меню!$J$241:$EZ$241)*Обложка!$L$18/60,SUMIF(Меню!$J$8:$EZ$8,$B74,Меню!$J$241:$EZ$241)/1000*Обложка!$L$18)</f>
        <v>0</v>
      </c>
      <c r="AB74" s="685">
        <f t="shared" si="4"/>
        <v>0</v>
      </c>
      <c r="AC74" s="212">
        <f>IF($B74="Яйцо (шт)",SUMIF(Меню!$J$8:$EZ$8,$B74,Меню!$J$253:$EZ$253)*Обложка!$N$15/60,SUMIF(Меню!$J$8:$EZ$8,$B74,Меню!$J$253:$EZ$253)/1000*Обложка!$N$15)</f>
        <v>0</v>
      </c>
      <c r="AD74" s="212">
        <f>IF($B74="Яйцо (шт)",SUMIF(Меню!$J$8:$EZ$8,$B74,Меню!$J$268:$EZ$268)*Обложка!$N$16/60,SUMIF(Меню!$J$8:$EZ$8,$B74,Меню!$J$268:$EZ$268)/1000*Обложка!$N$16)</f>
        <v>0</v>
      </c>
      <c r="AE74" s="212">
        <f>IF($B74="Яйцо (шт)",SUMIF(Меню!$J$8:$EZ$8,$B74,Меню!$J$281:$EZ$281)*Обложка!$N$17/60,SUMIF(Меню!$J$8:$EZ$8,$B74,Меню!$J$281:$EZ$281)/1000*Обложка!$N$17)</f>
        <v>0</v>
      </c>
      <c r="AF74" s="212">
        <f>IF($B74="Яйцо (шт)",SUMIF(Меню!$J$8:$EZ$8,$B74,Меню!$J$286:$EZ$286)*Обложка!$N$18/60,SUMIF(Меню!$J$8:$EZ$8,$B74,Меню!$J$286:$EZ$286)/1000*Обложка!$N$18)</f>
        <v>0</v>
      </c>
      <c r="AG74" s="685">
        <f t="shared" si="5"/>
        <v>0</v>
      </c>
      <c r="AH74" s="212">
        <f>IF($B74="Яйцо (шт)",SUMIF(Меню!$J$8:$EZ$8,$B74,Меню!$J$298:$EZ$298)*Обложка!$P$15/60,SUMIF(Меню!$J$8:$EZ$8,$B74,Меню!$J$298:$EZ$298)/1000*Обложка!$P$15)</f>
        <v>0</v>
      </c>
      <c r="AI74" s="212">
        <f>IF($B74="Яйцо (шт)",SUMIF(Меню!$J$8:$EZ$8,$BB74,Меню!$J$313:$EZ$313)*Обложка!$P$16/60,SUMIF(Меню!$J$8:$EZ$8,$B74,Меню!$J$313:$EZ$313)/1000*Обложка!$P$16)</f>
        <v>0</v>
      </c>
      <c r="AJ74" s="212">
        <f>IF($B74="Яйцо (шт)",SUMIF(Меню!$J$8:$EZ$8,$B74,Меню!$J$326:$EZ$326)*Обложка!$P$17/60,SUMIF(Меню!$J$8:$EZ$8,$B74,Меню!$J$326:$EZ$326)/1000*Обложка!$P$17)</f>
        <v>1.8749999999999999E-2</v>
      </c>
      <c r="AK74" s="212">
        <f>IF($B74="Яйцо (шт)",SUMIF(Меню!$J$8:$EZ$8,$B74,Меню!$J$331:$EZ$331)*Обложка!$P$18/60,SUMIF(Меню!$J$8:$EZ$8,$B74,Меню!$J$331:$EZ$331)/1000*Обложка!$P$18)</f>
        <v>0</v>
      </c>
      <c r="AL74" s="699">
        <f t="shared" si="6"/>
        <v>1.8749999999999999E-2</v>
      </c>
      <c r="AM74" s="685">
        <f t="shared" si="7"/>
        <v>1.8749999999999999E-2</v>
      </c>
    </row>
    <row r="75" spans="1:39" x14ac:dyDescent="0.25">
      <c r="A75" s="249">
        <f t="shared" si="8"/>
        <v>63</v>
      </c>
      <c r="B75" s="248" t="str">
        <f>инфо!D64</f>
        <v>Говядина консерв.</v>
      </c>
      <c r="C75" s="694">
        <f>SUMIF(Меню!$J$8:$FD$8,$B75,Меню!$J$333:$FD$333)</f>
        <v>0</v>
      </c>
      <c r="D75" s="212">
        <f>IF($B75="Яйцо (шт)",SUMIF(Меню!$J$8:$FD$8,$B75,Меню!$J$28:$FD$28)*Обложка!$D$15/60,SUMIF(Меню!$J$8:$FD$8,$B75,Меню!$J$28:$FD$28)/1000*Обложка!$D$15)</f>
        <v>0</v>
      </c>
      <c r="E75" s="212">
        <f>IF($B75="Яйцо (шт)",SUMIF(Меню!$J$8:$FD$8,$B75,Меню!$J$43:$FD$43)*Обложка!$D$16/60,SUMIF(Меню!$J$8:$FD$8,$B75,Меню!$J$43:$FD$43)/1000*Обложка!$D$16)</f>
        <v>0</v>
      </c>
      <c r="F75" s="212">
        <f>IF($B75="Яйцо (шт)",SUMIF(Меню!$J$8:$FD$8,$B75,Меню!$J$56:$FD$56)*Обложка!$D$17/60,SUMIF(Меню!$J$8:$FD$8,$B75,Меню!$J$56:$FD$56)/1000*Обложка!$D$17)</f>
        <v>0</v>
      </c>
      <c r="G75" s="212">
        <f>IF($B75="Яйцо (шт)",SUMIF(Меню!$J$8:$FD$8,$B75,Меню!$J$61:$FD$61)*Обложка!$D$18/60,SUMIF(Меню!$J$8:$FD$8,$B75,Меню!$J$61:$FD$61)/1000*Обложка!$D$18)</f>
        <v>0</v>
      </c>
      <c r="H75" s="685">
        <f t="shared" si="0"/>
        <v>0</v>
      </c>
      <c r="I75" s="212">
        <f>IF($B75="Яйцо (шт)",SUMIF(Меню!$J$8:$FD$8,$B75,Меню!$J$73:$FD$73)*Обложка!$F$15/60,SUMIF(Меню!$J$8:$FD$8,$B75,Меню!$J$73:$FD$73)/1000*Обложка!$F$15)</f>
        <v>0</v>
      </c>
      <c r="J75" s="212">
        <f>IF($B75="Яйцо (шт)",SUMIF(Меню!$J$8:$FD$8,$B75,Меню!$J$88:$FD$88)*Обложка!$F$16/60,SUMIF(Меню!$J$8:$FD$8,$B75,Меню!$J$88:$FD$88)/1000*Обложка!$G$16)</f>
        <v>0</v>
      </c>
      <c r="K75" s="212">
        <f>IF($B75="Яйцо (шт)",SUMIF(Меню!$J$8:$FD$8,$B75,Меню!$J$101:$FD$101)*Обложка!$F$17/60,SUMIF(Меню!$J$8:$FD$8,$B75,Меню!$J$101:$FD$101)/1000*Обложка!$F$17)</f>
        <v>0</v>
      </c>
      <c r="L75" s="212">
        <f>IF($B75="Яйцо (шт)",SUMIF(Меню!$J$8:$FD$8,$B75,Меню!$J$106:$FD$106)*Обложка!$F$18/60,SUMIF(Меню!$J$8:$FD$8,$B75,Меню!$J$106:$FD$106)/1000*Обложка!$F$18)</f>
        <v>0</v>
      </c>
      <c r="M75" s="685">
        <f t="shared" si="1"/>
        <v>0</v>
      </c>
      <c r="N75" s="212">
        <f>IF($B75="Яйцо (шт)",SUMIF(Меню!$J$8:$EZ$8,$B75,Меню!$J$118:$EZ$118)*Обложка!$H$15/60,SUMIF(Меню!$J$8:$EZ$8,$B75,Меню!$J$118:$EZ$118)/1000*Обложка!$H$15)</f>
        <v>0</v>
      </c>
      <c r="O75" s="212">
        <f>IF($B75="Яйцо (шт)",SUMIF(Меню!$J$8:$EZ$8,$B75,Меню!$J$133:$EZ$133)*Обложка!$H$16/60,SUMIF(Меню!$J$8:$EZ$8,$B75,Меню!$J$133:$EZ$133)/1000*Обложка!$H$16)</f>
        <v>0</v>
      </c>
      <c r="P75" s="212">
        <f>IF($B75="Яйцо (шт)",SUMIF(Меню!$J$8:$EZ$8,$B75,Меню!$J$146:$EZ$146)*Обложка!$H$17/60,SUMIF(Меню!$J$8:$EZ$8,$B75,Меню!$J$146:$EZ$146)/1000*Обложка!$H$17)</f>
        <v>0</v>
      </c>
      <c r="Q75" s="212">
        <f>IF($B75="Яйцо (шт)",SUMIF(Меню!$J$8:$EZ$8,$B75,Меню!$J$151:$EZ$151)*Обложка!$H$18/60,SUMIF(Меню!$J$8:$EZ$8,$B75,Меню!$J$151:$EZ$151)/1000*Обложка!$H$18)</f>
        <v>0</v>
      </c>
      <c r="R75" s="685">
        <f t="shared" si="2"/>
        <v>0</v>
      </c>
      <c r="S75" s="212">
        <f>IF($B75="Яйцо (шт)",SUMIF(Меню!$J$8:$EZ$8,$B75,Меню!$J$163:$EZ$163)*Обложка!$J$15/60,SUMIF(Меню!$J$8:$EZ$8,$B75,Меню!$J$163:$EZ$163)/1000*Обложка!$J$15)</f>
        <v>0</v>
      </c>
      <c r="T75" s="212">
        <f>IF($B75="Яйцо (шт)",SUMIF(Меню!$J$8:$EZ$8,$B75,Меню!$J$178:$EZ$178)*Обложка!$J$16/60,SUMIF(Меню!$J$8:$EZ$8,$B75,Меню!$J$178:$EZ$178)/1000*Обложка!$J$16)</f>
        <v>0</v>
      </c>
      <c r="U75" s="212">
        <f>IF($B75="Яйцо (шт)",SUMIF(Меню!$J$8:$EZ$8,$B75,Меню!$J$191:$EZ$191)*Обложка!$J$17/60,SUMIF(Меню!$J$8:$EZ$8,$B75,Меню!$J$191:$EZ$191)/1000*Обложка!$J$17)</f>
        <v>0</v>
      </c>
      <c r="V75" s="212">
        <f>IF($B75="Яйцо (шт)",SUMIF(Меню!$J$8:$EZ$8,$B75,Меню!$J$196:$EZ$196)*Обложка!$J$18/60,SUMIF(Меню!$J$8:$EZ$8,$B75,Меню!$J$196:$EZ$196)/1000*Обложка!$J$18)</f>
        <v>0</v>
      </c>
      <c r="W75" s="685">
        <f t="shared" si="3"/>
        <v>0</v>
      </c>
      <c r="X75" s="212">
        <f>IF($B75="Яйцо (шт)",SUMIF(Меню!$J$8:$EZ$8,$B75,Меню!$J$208:$EZ$208)*Обложка!$L$15/60,SUMIF(Меню!$J$8:$EZ$8,$B75,Меню!$J$208:$EZ$208)/1000*Обложка!$L$15)</f>
        <v>0</v>
      </c>
      <c r="Y75" s="212">
        <f>IF($B75="Яйцо (шт)",SUMIF(Меню!$J$8:$EZ$8,$B75,Меню!$J$223:$EZ$223)*Обложка!$L$16/60,SUMIF(Меню!$J$8:$EZ$8,$B75,Меню!$J$223:$EZ$223)/1000*Обложка!$J$16)</f>
        <v>0</v>
      </c>
      <c r="Z75" s="212">
        <f>IF($B75="Яйцо (шт)",SUMIF(Меню!$J$8:$EZ$8,$B75,Меню!$J$236:$EZ$236)*Обложка!$L$17/60,SUMIF(Меню!$J$8:$EZ$8,$B75,Меню!$J$236:$EZ$236)/1000*Обложка!$L$17)</f>
        <v>0</v>
      </c>
      <c r="AA75" s="212">
        <f>IF($B75="Яйцо (шт)",SUMIF(Меню!$J$8:$EZ$8,$B75,Меню!$J$241:$EZ$241)*Обложка!$L$18/60,SUMIF(Меню!$J$8:$EZ$8,$B75,Меню!$J$241:$EZ$241)/1000*Обложка!$L$18)</f>
        <v>0</v>
      </c>
      <c r="AB75" s="685">
        <f t="shared" si="4"/>
        <v>0</v>
      </c>
      <c r="AC75" s="212">
        <f>IF($B75="Яйцо (шт)",SUMIF(Меню!$J$8:$EZ$8,$B75,Меню!$J$253:$EZ$253)*Обложка!$N$15/60,SUMIF(Меню!$J$8:$EZ$8,$B75,Меню!$J$253:$EZ$253)/1000*Обложка!$N$15)</f>
        <v>0</v>
      </c>
      <c r="AD75" s="212">
        <f>IF($B75="Яйцо (шт)",SUMIF(Меню!$J$8:$EZ$8,$B75,Меню!$J$268:$EZ$268)*Обложка!$N$16/60,SUMIF(Меню!$J$8:$EZ$8,$B75,Меню!$J$268:$EZ$268)/1000*Обложка!$N$16)</f>
        <v>0</v>
      </c>
      <c r="AE75" s="212">
        <f>IF($B75="Яйцо (шт)",SUMIF(Меню!$J$8:$EZ$8,$B75,Меню!$J$281:$EZ$281)*Обложка!$N$17/60,SUMIF(Меню!$J$8:$EZ$8,$B75,Меню!$J$281:$EZ$281)/1000*Обложка!$N$17)</f>
        <v>0</v>
      </c>
      <c r="AF75" s="212">
        <f>IF($B75="Яйцо (шт)",SUMIF(Меню!$J$8:$EZ$8,$B75,Меню!$J$286:$EZ$286)*Обложка!$N$18/60,SUMIF(Меню!$J$8:$EZ$8,$B75,Меню!$J$286:$EZ$286)/1000*Обложка!$N$18)</f>
        <v>0</v>
      </c>
      <c r="AG75" s="685">
        <f t="shared" si="5"/>
        <v>0</v>
      </c>
      <c r="AH75" s="212">
        <f>IF($B75="Яйцо (шт)",SUMIF(Меню!$J$8:$EZ$8,$B75,Меню!$J$298:$EZ$298)*Обложка!$P$15/60,SUMIF(Меню!$J$8:$EZ$8,$B75,Меню!$J$298:$EZ$298)/1000*Обложка!$P$15)</f>
        <v>0</v>
      </c>
      <c r="AI75" s="212">
        <f>IF($B75="Яйцо (шт)",SUMIF(Меню!$J$8:$EZ$8,$BB75,Меню!$J$313:$EZ$313)*Обложка!$P$16/60,SUMIF(Меню!$J$8:$EZ$8,$B75,Меню!$J$313:$EZ$313)/1000*Обложка!$P$16)</f>
        <v>0</v>
      </c>
      <c r="AJ75" s="212">
        <f>IF($B75="Яйцо (шт)",SUMIF(Меню!$J$8:$EZ$8,$B75,Меню!$J$326:$EZ$326)*Обложка!$P$17/60,SUMIF(Меню!$J$8:$EZ$8,$B75,Меню!$J$326:$EZ$326)/1000*Обложка!$P$17)</f>
        <v>0</v>
      </c>
      <c r="AK75" s="212">
        <f>IF($B75="Яйцо (шт)",SUMIF(Меню!$J$8:$EZ$8,$B75,Меню!$J$331:$EZ$331)*Обложка!$P$18/60,SUMIF(Меню!$J$8:$EZ$8,$B75,Меню!$J$331:$EZ$331)/1000*Обложка!$P$18)</f>
        <v>0</v>
      </c>
      <c r="AL75" s="699">
        <f t="shared" si="6"/>
        <v>0</v>
      </c>
      <c r="AM75" s="685">
        <f t="shared" si="7"/>
        <v>0</v>
      </c>
    </row>
    <row r="76" spans="1:39" x14ac:dyDescent="0.25">
      <c r="A76" s="249">
        <f t="shared" si="8"/>
        <v>64</v>
      </c>
      <c r="B76" s="248" t="str">
        <f>инфо!D65</f>
        <v>Говядина н/к</v>
      </c>
      <c r="C76" s="694">
        <f>SUMIF(Меню!$J$8:$FD$8,$B76,Меню!$J$333:$FD$333)</f>
        <v>125</v>
      </c>
      <c r="D76" s="212">
        <f>IF($B76="Яйцо (шт)",SUMIF(Меню!$J$8:$FD$8,$B76,Меню!$J$28:$FD$28)*Обложка!$D$15/60,SUMIF(Меню!$J$8:$FD$8,$B76,Меню!$J$28:$FD$28)/1000*Обложка!$D$15)</f>
        <v>0</v>
      </c>
      <c r="E76" s="212">
        <f>IF($B76="Яйцо (шт)",SUMIF(Меню!$J$8:$FD$8,$B76,Меню!$J$43:$FD$43)*Обложка!$D$16/60,SUMIF(Меню!$J$8:$FD$8,$B76,Меню!$J$43:$FD$43)/1000*Обложка!$D$16)</f>
        <v>0</v>
      </c>
      <c r="F76" s="212">
        <f>IF($B76="Яйцо (шт)",SUMIF(Меню!$J$8:$FD$8,$B76,Меню!$J$56:$FD$56)*Обложка!$D$17/60,SUMIF(Меню!$J$8:$FD$8,$B76,Меню!$J$56:$FD$56)/1000*Обложка!$D$17)</f>
        <v>0</v>
      </c>
      <c r="G76" s="212">
        <f>IF($B76="Яйцо (шт)",SUMIF(Меню!$J$8:$FD$8,$B76,Меню!$J$61:$FD$61)*Обложка!$D$18/60,SUMIF(Меню!$J$8:$FD$8,$B76,Меню!$J$61:$FD$61)/1000*Обложка!$D$18)</f>
        <v>0</v>
      </c>
      <c r="H76" s="685">
        <f t="shared" si="0"/>
        <v>0</v>
      </c>
      <c r="I76" s="212">
        <f>IF($B76="Яйцо (шт)",SUMIF(Меню!$J$8:$FD$8,$B76,Меню!$J$73:$FD$73)*Обложка!$F$15/60,SUMIF(Меню!$J$8:$FD$8,$B76,Меню!$J$73:$FD$73)/1000*Обложка!$F$15)</f>
        <v>0</v>
      </c>
      <c r="J76" s="212">
        <f>IF($B76="Яйцо (шт)",SUMIF(Меню!$J$8:$FD$8,$B76,Меню!$J$88:$FD$88)*Обложка!$F$16/60,SUMIF(Меню!$J$8:$FD$8,$B76,Меню!$J$88:$FD$88)/1000*Обложка!$G$16)</f>
        <v>0</v>
      </c>
      <c r="K76" s="212">
        <f>IF($B76="Яйцо (шт)",SUMIF(Меню!$J$8:$FD$8,$B76,Меню!$J$101:$FD$101)*Обложка!$F$17/60,SUMIF(Меню!$J$8:$FD$8,$B76,Меню!$J$101:$FD$101)/1000*Обложка!$F$17)</f>
        <v>0</v>
      </c>
      <c r="L76" s="212">
        <f>IF($B76="Яйцо (шт)",SUMIF(Меню!$J$8:$FD$8,$B76,Меню!$J$106:$FD$106)*Обложка!$F$18/60,SUMIF(Меню!$J$8:$FD$8,$B76,Меню!$J$106:$FD$106)/1000*Обложка!$F$18)</f>
        <v>0</v>
      </c>
      <c r="M76" s="685">
        <f t="shared" si="1"/>
        <v>0</v>
      </c>
      <c r="N76" s="212">
        <f>IF($B76="Яйцо (шт)",SUMIF(Меню!$J$8:$EZ$8,$B76,Меню!$J$118:$EZ$118)*Обложка!$H$15/60,SUMIF(Меню!$J$8:$EZ$8,$B76,Меню!$J$118:$EZ$118)/1000*Обложка!$H$15)</f>
        <v>0</v>
      </c>
      <c r="O76" s="212">
        <f>IF($B76="Яйцо (шт)",SUMIF(Меню!$J$8:$EZ$8,$B76,Меню!$J$133:$EZ$133)*Обложка!$H$16/60,SUMIF(Меню!$J$8:$EZ$8,$B76,Меню!$J$133:$EZ$133)/1000*Обложка!$H$16)</f>
        <v>8.625</v>
      </c>
      <c r="P76" s="212">
        <f>IF($B76="Яйцо (шт)",SUMIF(Меню!$J$8:$EZ$8,$B76,Меню!$J$146:$EZ$146)*Обложка!$H$17/60,SUMIF(Меню!$J$8:$EZ$8,$B76,Меню!$J$146:$EZ$146)/1000*Обложка!$H$17)</f>
        <v>0</v>
      </c>
      <c r="Q76" s="212">
        <f>IF($B76="Яйцо (шт)",SUMIF(Меню!$J$8:$EZ$8,$B76,Меню!$J$151:$EZ$151)*Обложка!$H$18/60,SUMIF(Меню!$J$8:$EZ$8,$B76,Меню!$J$151:$EZ$151)/1000*Обложка!$H$18)</f>
        <v>0</v>
      </c>
      <c r="R76" s="685">
        <f t="shared" si="2"/>
        <v>8.625</v>
      </c>
      <c r="S76" s="212">
        <f>IF($B76="Яйцо (шт)",SUMIF(Меню!$J$8:$EZ$8,$B76,Меню!$J$163:$EZ$163)*Обложка!$J$15/60,SUMIF(Меню!$J$8:$EZ$8,$B76,Меню!$J$163:$EZ$163)/1000*Обложка!$J$15)</f>
        <v>0</v>
      </c>
      <c r="T76" s="212">
        <f>IF($B76="Яйцо (шт)",SUMIF(Меню!$J$8:$EZ$8,$B76,Меню!$J$178:$EZ$178)*Обложка!$J$16/60,SUMIF(Меню!$J$8:$EZ$8,$B76,Меню!$J$178:$EZ$178)/1000*Обложка!$J$16)</f>
        <v>5</v>
      </c>
      <c r="U76" s="212">
        <f>IF($B76="Яйцо (шт)",SUMIF(Меню!$J$8:$EZ$8,$B76,Меню!$J$191:$EZ$191)*Обложка!$J$17/60,SUMIF(Меню!$J$8:$EZ$8,$B76,Меню!$J$191:$EZ$191)/1000*Обложка!$J$17)</f>
        <v>0</v>
      </c>
      <c r="V76" s="212">
        <f>IF($B76="Яйцо (шт)",SUMIF(Меню!$J$8:$EZ$8,$B76,Меню!$J$196:$EZ$196)*Обложка!$J$18/60,SUMIF(Меню!$J$8:$EZ$8,$B76,Меню!$J$196:$EZ$196)/1000*Обложка!$J$18)</f>
        <v>0</v>
      </c>
      <c r="W76" s="685">
        <f t="shared" si="3"/>
        <v>5</v>
      </c>
      <c r="X76" s="212">
        <f>IF($B76="Яйцо (шт)",SUMIF(Меню!$J$8:$EZ$8,$B76,Меню!$J$208:$EZ$208)*Обложка!$L$15/60,SUMIF(Меню!$J$8:$EZ$8,$B76,Меню!$J$208:$EZ$208)/1000*Обложка!$L$15)</f>
        <v>0</v>
      </c>
      <c r="Y76" s="212">
        <f>IF($B76="Яйцо (шт)",SUMIF(Меню!$J$8:$EZ$8,$B76,Меню!$J$223:$EZ$223)*Обложка!$L$16/60,SUMIF(Меню!$J$8:$EZ$8,$B76,Меню!$J$223:$EZ$223)/1000*Обложка!$J$16)</f>
        <v>0</v>
      </c>
      <c r="Z76" s="212">
        <f>IF($B76="Яйцо (шт)",SUMIF(Меню!$J$8:$EZ$8,$B76,Меню!$J$236:$EZ$236)*Обложка!$L$17/60,SUMIF(Меню!$J$8:$EZ$8,$B76,Меню!$J$236:$EZ$236)/1000*Обложка!$L$17)</f>
        <v>0</v>
      </c>
      <c r="AA76" s="212">
        <f>IF($B76="Яйцо (шт)",SUMIF(Меню!$J$8:$EZ$8,$B76,Меню!$J$241:$EZ$241)*Обложка!$L$18/60,SUMIF(Меню!$J$8:$EZ$8,$B76,Меню!$J$241:$EZ$241)/1000*Обложка!$L$18)</f>
        <v>0</v>
      </c>
      <c r="AB76" s="685">
        <f t="shared" si="4"/>
        <v>0</v>
      </c>
      <c r="AC76" s="212">
        <f>IF($B76="Яйцо (шт)",SUMIF(Меню!$J$8:$EZ$8,$B76,Меню!$J$253:$EZ$253)*Обложка!$N$15/60,SUMIF(Меню!$J$8:$EZ$8,$B76,Меню!$J$253:$EZ$253)/1000*Обложка!$N$15)</f>
        <v>0</v>
      </c>
      <c r="AD76" s="212">
        <f>IF($B76="Яйцо (шт)",SUMIF(Меню!$J$8:$EZ$8,$B76,Меню!$J$268:$EZ$268)*Обложка!$N$16/60,SUMIF(Меню!$J$8:$EZ$8,$B76,Меню!$J$268:$EZ$268)/1000*Обложка!$N$16)</f>
        <v>0</v>
      </c>
      <c r="AE76" s="212">
        <f>IF($B76="Яйцо (шт)",SUMIF(Меню!$J$8:$EZ$8,$B76,Меню!$J$281:$EZ$281)*Обложка!$N$17/60,SUMIF(Меню!$J$8:$EZ$8,$B76,Меню!$J$281:$EZ$281)/1000*Обложка!$N$17)</f>
        <v>0</v>
      </c>
      <c r="AF76" s="212">
        <f>IF($B76="Яйцо (шт)",SUMIF(Меню!$J$8:$EZ$8,$B76,Меню!$J$286:$EZ$286)*Обложка!$N$18/60,SUMIF(Меню!$J$8:$EZ$8,$B76,Меню!$J$286:$EZ$286)/1000*Обложка!$N$18)</f>
        <v>0</v>
      </c>
      <c r="AG76" s="685">
        <f t="shared" si="5"/>
        <v>0</v>
      </c>
      <c r="AH76" s="212">
        <f>IF($B76="Яйцо (шт)",SUMIF(Меню!$J$8:$EZ$8,$B76,Меню!$J$298:$EZ$298)*Обложка!$P$15/60,SUMIF(Меню!$J$8:$EZ$8,$B76,Меню!$J$298:$EZ$298)/1000*Обложка!$P$15)</f>
        <v>0</v>
      </c>
      <c r="AI76" s="212">
        <f>IF($B76="Яйцо (шт)",SUMIF(Меню!$J$8:$EZ$8,$BB76,Меню!$J$313:$EZ$313)*Обложка!$P$16/60,SUMIF(Меню!$J$8:$EZ$8,$B76,Меню!$J$313:$EZ$313)/1000*Обложка!$P$16)</f>
        <v>0</v>
      </c>
      <c r="AJ76" s="212">
        <f>IF($B76="Яйцо (шт)",SUMIF(Меню!$J$8:$EZ$8,$B76,Меню!$J$326:$EZ$326)*Обложка!$P$17/60,SUMIF(Меню!$J$8:$EZ$8,$B76,Меню!$J$326:$EZ$326)/1000*Обложка!$P$17)</f>
        <v>0</v>
      </c>
      <c r="AK76" s="212">
        <f>IF($B76="Яйцо (шт)",SUMIF(Меню!$J$8:$EZ$8,$B76,Меню!$J$331:$EZ$331)*Обложка!$P$18/60,SUMIF(Меню!$J$8:$EZ$8,$B76,Меню!$J$331:$EZ$331)/1000*Обложка!$P$18)</f>
        <v>0</v>
      </c>
      <c r="AL76" s="699">
        <f t="shared" si="6"/>
        <v>0</v>
      </c>
      <c r="AM76" s="685">
        <f t="shared" si="7"/>
        <v>13.625</v>
      </c>
    </row>
    <row r="77" spans="1:39" x14ac:dyDescent="0.25">
      <c r="A77" s="249">
        <f t="shared" si="8"/>
        <v>65</v>
      </c>
      <c r="B77" s="248" t="str">
        <f>инфо!D66</f>
        <v>Говядина на кости</v>
      </c>
      <c r="C77" s="694">
        <f>SUMIF(Меню!$J$8:$FD$8,$B77,Меню!$J$333:$FD$333)</f>
        <v>0</v>
      </c>
      <c r="D77" s="212">
        <f>IF($B77="Яйцо (шт)",SUMIF(Меню!$J$8:$FD$8,$B77,Меню!$J$28:$FD$28)*Обложка!$D$15/60,SUMIF(Меню!$J$8:$FD$8,$B77,Меню!$J$28:$FD$28)/1000*Обложка!$D$15)</f>
        <v>0</v>
      </c>
      <c r="E77" s="212">
        <f>IF($B77="Яйцо (шт)",SUMIF(Меню!$J$8:$FD$8,$B77,Меню!$J$43:$FD$43)*Обложка!$D$16/60,SUMIF(Меню!$J$8:$FD$8,$B77,Меню!$J$43:$FD$43)/1000*Обложка!$D$16)</f>
        <v>0</v>
      </c>
      <c r="F77" s="212">
        <f>IF($B77="Яйцо (шт)",SUMIF(Меню!$J$8:$FD$8,$B77,Меню!$J$56:$FD$56)*Обложка!$D$17/60,SUMIF(Меню!$J$8:$FD$8,$B77,Меню!$J$56:$FD$56)/1000*Обложка!$D$17)</f>
        <v>0</v>
      </c>
      <c r="G77" s="212">
        <f>IF($B77="Яйцо (шт)",SUMIF(Меню!$J$8:$FD$8,$B77,Меню!$J$61:$FD$61)*Обложка!$D$18/60,SUMIF(Меню!$J$8:$FD$8,$B77,Меню!$J$61:$FD$61)/1000*Обложка!$D$18)</f>
        <v>0</v>
      </c>
      <c r="H77" s="685">
        <f t="shared" si="0"/>
        <v>0</v>
      </c>
      <c r="I77" s="212">
        <f>IF($B77="Яйцо (шт)",SUMIF(Меню!$J$8:$FD$8,$B77,Меню!$J$73:$FD$73)*Обложка!$F$15/60,SUMIF(Меню!$J$8:$FD$8,$B77,Меню!$J$73:$FD$73)/1000*Обложка!$F$15)</f>
        <v>0</v>
      </c>
      <c r="J77" s="212">
        <f>IF($B77="Яйцо (шт)",SUMIF(Меню!$J$8:$FD$8,$B77,Меню!$J$88:$FD$88)*Обложка!$F$16/60,SUMIF(Меню!$J$8:$FD$8,$B77,Меню!$J$88:$FD$88)/1000*Обложка!$G$16)</f>
        <v>0</v>
      </c>
      <c r="K77" s="212">
        <f>IF($B77="Яйцо (шт)",SUMIF(Меню!$J$8:$FD$8,$B77,Меню!$J$101:$FD$101)*Обложка!$F$17/60,SUMIF(Меню!$J$8:$FD$8,$B77,Меню!$J$101:$FD$101)/1000*Обложка!$F$17)</f>
        <v>0</v>
      </c>
      <c r="L77" s="212">
        <f>IF($B77="Яйцо (шт)",SUMIF(Меню!$J$8:$FD$8,$B77,Меню!$J$106:$FD$106)*Обложка!$F$18/60,SUMIF(Меню!$J$8:$FD$8,$B77,Меню!$J$106:$FD$106)/1000*Обложка!$F$18)</f>
        <v>0</v>
      </c>
      <c r="M77" s="685">
        <f t="shared" si="1"/>
        <v>0</v>
      </c>
      <c r="N77" s="212">
        <f>IF($B77="Яйцо (шт)",SUMIF(Меню!$J$8:$EZ$8,$B77,Меню!$J$118:$EZ$118)*Обложка!$H$15/60,SUMIF(Меню!$J$8:$EZ$8,$B77,Меню!$J$118:$EZ$118)/1000*Обложка!$H$15)</f>
        <v>0</v>
      </c>
      <c r="O77" s="212">
        <f>IF($B77="Яйцо (шт)",SUMIF(Меню!$J$8:$EZ$8,$B77,Меню!$J$133:$EZ$133)*Обложка!$H$16/60,SUMIF(Меню!$J$8:$EZ$8,$B77,Меню!$J$133:$EZ$133)/1000*Обложка!$H$16)</f>
        <v>0</v>
      </c>
      <c r="P77" s="212">
        <f>IF($B77="Яйцо (шт)",SUMIF(Меню!$J$8:$EZ$8,$B77,Меню!$J$146:$EZ$146)*Обложка!$H$17/60,SUMIF(Меню!$J$8:$EZ$8,$B77,Меню!$J$146:$EZ$146)/1000*Обложка!$H$17)</f>
        <v>0</v>
      </c>
      <c r="Q77" s="212">
        <f>IF($B77="Яйцо (шт)",SUMIF(Меню!$J$8:$EZ$8,$B77,Меню!$J$151:$EZ$151)*Обложка!$H$18/60,SUMIF(Меню!$J$8:$EZ$8,$B77,Меню!$J$151:$EZ$151)/1000*Обложка!$H$18)</f>
        <v>0</v>
      </c>
      <c r="R77" s="685">
        <f t="shared" si="2"/>
        <v>0</v>
      </c>
      <c r="S77" s="212">
        <f>IF($B77="Яйцо (шт)",SUMIF(Меню!$J$8:$EZ$8,$B77,Меню!$J$163:$EZ$163)*Обложка!$J$15/60,SUMIF(Меню!$J$8:$EZ$8,$B77,Меню!$J$163:$EZ$163)/1000*Обложка!$J$15)</f>
        <v>0</v>
      </c>
      <c r="T77" s="212">
        <f>IF($B77="Яйцо (шт)",SUMIF(Меню!$J$8:$EZ$8,$B77,Меню!$J$178:$EZ$178)*Обложка!$J$16/60,SUMIF(Меню!$J$8:$EZ$8,$B77,Меню!$J$178:$EZ$178)/1000*Обложка!$J$16)</f>
        <v>0</v>
      </c>
      <c r="U77" s="212">
        <f>IF($B77="Яйцо (шт)",SUMIF(Меню!$J$8:$EZ$8,$B77,Меню!$J$191:$EZ$191)*Обложка!$J$17/60,SUMIF(Меню!$J$8:$EZ$8,$B77,Меню!$J$191:$EZ$191)/1000*Обложка!$J$17)</f>
        <v>0</v>
      </c>
      <c r="V77" s="212">
        <f>IF($B77="Яйцо (шт)",SUMIF(Меню!$J$8:$EZ$8,$B77,Меню!$J$196:$EZ$196)*Обложка!$J$18/60,SUMIF(Меню!$J$8:$EZ$8,$B77,Меню!$J$196:$EZ$196)/1000*Обложка!$J$18)</f>
        <v>0</v>
      </c>
      <c r="W77" s="685">
        <f t="shared" si="3"/>
        <v>0</v>
      </c>
      <c r="X77" s="212">
        <f>IF($B77="Яйцо (шт)",SUMIF(Меню!$J$8:$EZ$8,$B77,Меню!$J$208:$EZ$208)*Обложка!$L$15/60,SUMIF(Меню!$J$8:$EZ$8,$B77,Меню!$J$208:$EZ$208)/1000*Обложка!$L$15)</f>
        <v>0</v>
      </c>
      <c r="Y77" s="212">
        <f>IF($B77="Яйцо (шт)",SUMIF(Меню!$J$8:$EZ$8,$B77,Меню!$J$223:$EZ$223)*Обложка!$L$16/60,SUMIF(Меню!$J$8:$EZ$8,$B77,Меню!$J$223:$EZ$223)/1000*Обложка!$J$16)</f>
        <v>0</v>
      </c>
      <c r="Z77" s="212">
        <f>IF($B77="Яйцо (шт)",SUMIF(Меню!$J$8:$EZ$8,$B77,Меню!$J$236:$EZ$236)*Обложка!$L$17/60,SUMIF(Меню!$J$8:$EZ$8,$B77,Меню!$J$236:$EZ$236)/1000*Обложка!$L$17)</f>
        <v>0</v>
      </c>
      <c r="AA77" s="212">
        <f>IF($B77="Яйцо (шт)",SUMIF(Меню!$J$8:$EZ$8,$B77,Меню!$J$241:$EZ$241)*Обложка!$L$18/60,SUMIF(Меню!$J$8:$EZ$8,$B77,Меню!$J$241:$EZ$241)/1000*Обложка!$L$18)</f>
        <v>0</v>
      </c>
      <c r="AB77" s="685">
        <f t="shared" si="4"/>
        <v>0</v>
      </c>
      <c r="AC77" s="212">
        <f>IF($B77="Яйцо (шт)",SUMIF(Меню!$J$8:$EZ$8,$B77,Меню!$J$253:$EZ$253)*Обложка!$N$15/60,SUMIF(Меню!$J$8:$EZ$8,$B77,Меню!$J$253:$EZ$253)/1000*Обложка!$N$15)</f>
        <v>0</v>
      </c>
      <c r="AD77" s="212">
        <f>IF($B77="Яйцо (шт)",SUMIF(Меню!$J$8:$EZ$8,$B77,Меню!$J$268:$EZ$268)*Обложка!$N$16/60,SUMIF(Меню!$J$8:$EZ$8,$B77,Меню!$J$268:$EZ$268)/1000*Обложка!$N$16)</f>
        <v>0</v>
      </c>
      <c r="AE77" s="212">
        <f>IF($B77="Яйцо (шт)",SUMIF(Меню!$J$8:$EZ$8,$B77,Меню!$J$281:$EZ$281)*Обложка!$N$17/60,SUMIF(Меню!$J$8:$EZ$8,$B77,Меню!$J$281:$EZ$281)/1000*Обложка!$N$17)</f>
        <v>0</v>
      </c>
      <c r="AF77" s="212">
        <f>IF($B77="Яйцо (шт)",SUMIF(Меню!$J$8:$EZ$8,$B77,Меню!$J$286:$EZ$286)*Обложка!$N$18/60,SUMIF(Меню!$J$8:$EZ$8,$B77,Меню!$J$286:$EZ$286)/1000*Обложка!$N$18)</f>
        <v>0</v>
      </c>
      <c r="AG77" s="685">
        <f t="shared" si="5"/>
        <v>0</v>
      </c>
      <c r="AH77" s="212">
        <f>IF($B77="Яйцо (шт)",SUMIF(Меню!$J$8:$EZ$8,$B77,Меню!$J$298:$EZ$298)*Обложка!$P$15/60,SUMIF(Меню!$J$8:$EZ$8,$B77,Меню!$J$298:$EZ$298)/1000*Обложка!$P$15)</f>
        <v>0</v>
      </c>
      <c r="AI77" s="212">
        <f>IF($B77="Яйцо (шт)",SUMIF(Меню!$J$8:$EZ$8,$BB77,Меню!$J$313:$EZ$313)*Обложка!$P$16/60,SUMIF(Меню!$J$8:$EZ$8,$B77,Меню!$J$313:$EZ$313)/1000*Обложка!$P$16)</f>
        <v>0</v>
      </c>
      <c r="AJ77" s="212">
        <f>IF($B77="Яйцо (шт)",SUMIF(Меню!$J$8:$EZ$8,$B77,Меню!$J$326:$EZ$326)*Обложка!$P$17/60,SUMIF(Меню!$J$8:$EZ$8,$B77,Меню!$J$326:$EZ$326)/1000*Обложка!$P$17)</f>
        <v>0</v>
      </c>
      <c r="AK77" s="212">
        <f>IF($B77="Яйцо (шт)",SUMIF(Меню!$J$8:$EZ$8,$B77,Меню!$J$331:$EZ$331)*Обложка!$P$18/60,SUMIF(Меню!$J$8:$EZ$8,$B77,Меню!$J$331:$EZ$331)/1000*Обложка!$P$18)</f>
        <v>0</v>
      </c>
      <c r="AL77" s="699">
        <f t="shared" si="6"/>
        <v>0</v>
      </c>
      <c r="AM77" s="685">
        <f t="shared" si="7"/>
        <v>0</v>
      </c>
    </row>
    <row r="78" spans="1:39" x14ac:dyDescent="0.25">
      <c r="A78" s="249">
        <f t="shared" si="8"/>
        <v>66</v>
      </c>
      <c r="B78" s="248" t="str">
        <f>инфо!D67</f>
        <v>Мясо птицы</v>
      </c>
      <c r="C78" s="694">
        <f>SUMIF(Меню!$J$8:$FD$8,$B78,Меню!$J$333:$FD$333)</f>
        <v>200</v>
      </c>
      <c r="D78" s="212">
        <f>IF($B78="Яйцо (шт)",SUMIF(Меню!$J$8:$FD$8,$B78,Меню!$J$28:$FD$28)*Обложка!$D$15/60,SUMIF(Меню!$J$8:$FD$8,$B78,Меню!$J$28:$FD$28)/1000*Обложка!$D$15)</f>
        <v>0</v>
      </c>
      <c r="E78" s="212">
        <f>IF($B78="Яйцо (шт)",SUMIF(Меню!$J$8:$FD$8,$B78,Меню!$J$43:$FD$43)*Обложка!$D$16/60,SUMIF(Меню!$J$8:$FD$8,$B78,Меню!$J$43:$FD$43)/1000*Обложка!$D$16)</f>
        <v>0</v>
      </c>
      <c r="F78" s="212">
        <f>IF($B78="Яйцо (шт)",SUMIF(Меню!$J$8:$FD$8,$B78,Меню!$J$56:$FD$56)*Обложка!$D$17/60,SUMIF(Меню!$J$8:$FD$8,$B78,Меню!$J$56:$FD$56)/1000*Обложка!$D$17)</f>
        <v>0</v>
      </c>
      <c r="G78" s="212">
        <f>IF($B78="Яйцо (шт)",SUMIF(Меню!$J$8:$FD$8,$B78,Меню!$J$61:$FD$61)*Обложка!$D$18/60,SUMIF(Меню!$J$8:$FD$8,$B78,Меню!$J$61:$FD$61)/1000*Обложка!$D$18)</f>
        <v>0</v>
      </c>
      <c r="H78" s="685">
        <f t="shared" ref="H78:H141" si="9">SUM(D78:G78)</f>
        <v>0</v>
      </c>
      <c r="I78" s="212">
        <f>IF($B78="Яйцо (шт)",SUMIF(Меню!$J$8:$FD$8,$B78,Меню!$J$73:$FD$73)*Обложка!$F$15/60,SUMIF(Меню!$J$8:$FD$8,$B78,Меню!$J$73:$FD$73)/1000*Обложка!$F$15)</f>
        <v>0</v>
      </c>
      <c r="J78" s="212">
        <f>IF($B78="Яйцо (шт)",SUMIF(Меню!$J$8:$FD$8,$B78,Меню!$J$88:$FD$88)*Обложка!$F$16/60,SUMIF(Меню!$J$8:$FD$8,$B78,Меню!$J$88:$FD$88)/1000*Обложка!$G$16)</f>
        <v>2.2000000000000002</v>
      </c>
      <c r="K78" s="212">
        <f>IF($B78="Яйцо (шт)",SUMIF(Меню!$J$8:$FD$8,$B78,Меню!$J$101:$FD$101)*Обложка!$F$17/60,SUMIF(Меню!$J$8:$FD$8,$B78,Меню!$J$101:$FD$101)/1000*Обложка!$F$17)</f>
        <v>0</v>
      </c>
      <c r="L78" s="212">
        <f>IF($B78="Яйцо (шт)",SUMIF(Меню!$J$8:$FD$8,$B78,Меню!$J$106:$FD$106)*Обложка!$F$18/60,SUMIF(Меню!$J$8:$FD$8,$B78,Меню!$J$106:$FD$106)/1000*Обложка!$F$18)</f>
        <v>0</v>
      </c>
      <c r="M78" s="685">
        <f t="shared" ref="M78:M141" si="10">SUM(I78:L78)</f>
        <v>2.2000000000000002</v>
      </c>
      <c r="N78" s="212">
        <f>IF($B78="Яйцо (шт)",SUMIF(Меню!$J$8:$EZ$8,$B78,Меню!$J$118:$EZ$118)*Обложка!$H$15/60,SUMIF(Меню!$J$8:$EZ$8,$B78,Меню!$J$118:$EZ$118)/1000*Обложка!$H$15)</f>
        <v>0</v>
      </c>
      <c r="O78" s="212">
        <f>IF($B78="Яйцо (шт)",SUMIF(Меню!$J$8:$EZ$8,$B78,Меню!$J$133:$EZ$133)*Обложка!$H$16/60,SUMIF(Меню!$J$8:$EZ$8,$B78,Меню!$J$133:$EZ$133)/1000*Обложка!$H$16)</f>
        <v>0</v>
      </c>
      <c r="P78" s="212">
        <f>IF($B78="Яйцо (шт)",SUMIF(Меню!$J$8:$EZ$8,$B78,Меню!$J$146:$EZ$146)*Обложка!$H$17/60,SUMIF(Меню!$J$8:$EZ$8,$B78,Меню!$J$146:$EZ$146)/1000*Обложка!$H$17)</f>
        <v>0</v>
      </c>
      <c r="Q78" s="212">
        <f>IF($B78="Яйцо (шт)",SUMIF(Меню!$J$8:$EZ$8,$B78,Меню!$J$151:$EZ$151)*Обложка!$H$18/60,SUMIF(Меню!$J$8:$EZ$8,$B78,Меню!$J$151:$EZ$151)/1000*Обложка!$H$18)</f>
        <v>0</v>
      </c>
      <c r="R78" s="685">
        <f t="shared" ref="R78:R141" si="11">SUM(N78:Q78)</f>
        <v>0</v>
      </c>
      <c r="S78" s="212">
        <f>IF($B78="Яйцо (шт)",SUMIF(Меню!$J$8:$EZ$8,$B78,Меню!$J$163:$EZ$163)*Обложка!$J$15/60,SUMIF(Меню!$J$8:$EZ$8,$B78,Меню!$J$163:$EZ$163)/1000*Обложка!$J$15)</f>
        <v>0</v>
      </c>
      <c r="T78" s="212">
        <f>IF($B78="Яйцо (шт)",SUMIF(Меню!$J$8:$EZ$8,$B78,Меню!$J$178:$EZ$178)*Обложка!$J$16/60,SUMIF(Меню!$J$8:$EZ$8,$B78,Меню!$J$178:$EZ$178)/1000*Обложка!$J$16)</f>
        <v>10</v>
      </c>
      <c r="U78" s="212">
        <f>IF($B78="Яйцо (шт)",SUMIF(Меню!$J$8:$EZ$8,$B78,Меню!$J$191:$EZ$191)*Обложка!$J$17/60,SUMIF(Меню!$J$8:$EZ$8,$B78,Меню!$J$191:$EZ$191)/1000*Обложка!$J$17)</f>
        <v>0</v>
      </c>
      <c r="V78" s="212">
        <f>IF($B78="Яйцо (шт)",SUMIF(Меню!$J$8:$EZ$8,$B78,Меню!$J$196:$EZ$196)*Обложка!$J$18/60,SUMIF(Меню!$J$8:$EZ$8,$B78,Меню!$J$196:$EZ$196)/1000*Обложка!$J$18)</f>
        <v>0</v>
      </c>
      <c r="W78" s="685">
        <f t="shared" ref="W78:W141" si="12">SUM(S78:V78)</f>
        <v>10</v>
      </c>
      <c r="X78" s="212">
        <f>IF($B78="Яйцо (шт)",SUMIF(Меню!$J$8:$EZ$8,$B78,Меню!$J$208:$EZ$208)*Обложка!$L$15/60,SUMIF(Меню!$J$8:$EZ$8,$B78,Меню!$J$208:$EZ$208)/1000*Обложка!$L$15)</f>
        <v>0</v>
      </c>
      <c r="Y78" s="212">
        <f>IF($B78="Яйцо (шт)",SUMIF(Меню!$J$8:$EZ$8,$B78,Меню!$J$223:$EZ$223)*Обложка!$L$16/60,SUMIF(Меню!$J$8:$EZ$8,$B78,Меню!$J$223:$EZ$223)/1000*Обложка!$J$16)</f>
        <v>0</v>
      </c>
      <c r="Z78" s="212">
        <f>IF($B78="Яйцо (шт)",SUMIF(Меню!$J$8:$EZ$8,$B78,Меню!$J$236:$EZ$236)*Обложка!$L$17/60,SUMIF(Меню!$J$8:$EZ$8,$B78,Меню!$J$236:$EZ$236)/1000*Обложка!$L$17)</f>
        <v>0</v>
      </c>
      <c r="AA78" s="212">
        <f>IF($B78="Яйцо (шт)",SUMIF(Меню!$J$8:$EZ$8,$B78,Меню!$J$241:$EZ$241)*Обложка!$L$18/60,SUMIF(Меню!$J$8:$EZ$8,$B78,Меню!$J$241:$EZ$241)/1000*Обложка!$L$18)</f>
        <v>0</v>
      </c>
      <c r="AB78" s="685">
        <f t="shared" ref="AB78:AB141" si="13">SUM(X78:AA78)</f>
        <v>0</v>
      </c>
      <c r="AC78" s="212">
        <f>IF($B78="Яйцо (шт)",SUMIF(Меню!$J$8:$EZ$8,$B78,Меню!$J$253:$EZ$253)*Обложка!$N$15/60,SUMIF(Меню!$J$8:$EZ$8,$B78,Меню!$J$253:$EZ$253)/1000*Обложка!$N$15)</f>
        <v>0</v>
      </c>
      <c r="AD78" s="212">
        <f>IF($B78="Яйцо (шт)",SUMIF(Меню!$J$8:$EZ$8,$B78,Меню!$J$268:$EZ$268)*Обложка!$N$16/60,SUMIF(Меню!$J$8:$EZ$8,$B78,Меню!$J$268:$EZ$268)/1000*Обложка!$N$16)</f>
        <v>0</v>
      </c>
      <c r="AE78" s="212">
        <f>IF($B78="Яйцо (шт)",SUMIF(Меню!$J$8:$EZ$8,$B78,Меню!$J$281:$EZ$281)*Обложка!$N$17/60,SUMIF(Меню!$J$8:$EZ$8,$B78,Меню!$J$281:$EZ$281)/1000*Обложка!$N$17)</f>
        <v>0</v>
      </c>
      <c r="AF78" s="212">
        <f>IF($B78="Яйцо (шт)",SUMIF(Меню!$J$8:$EZ$8,$B78,Меню!$J$286:$EZ$286)*Обложка!$N$18/60,SUMIF(Меню!$J$8:$EZ$8,$B78,Меню!$J$286:$EZ$286)/1000*Обложка!$N$18)</f>
        <v>0</v>
      </c>
      <c r="AG78" s="685">
        <f t="shared" ref="AG78:AG141" si="14">SUM(AC78:AF78)</f>
        <v>0</v>
      </c>
      <c r="AH78" s="212">
        <f>IF($B78="Яйцо (шт)",SUMIF(Меню!$J$8:$EZ$8,$B78,Меню!$J$298:$EZ$298)*Обложка!$P$15/60,SUMIF(Меню!$J$8:$EZ$8,$B78,Меню!$J$298:$EZ$298)/1000*Обложка!$P$15)</f>
        <v>0</v>
      </c>
      <c r="AI78" s="212">
        <f>IF($B78="Яйцо (шт)",SUMIF(Меню!$J$8:$EZ$8,$BB78,Меню!$J$313:$EZ$313)*Обложка!$P$16/60,SUMIF(Меню!$J$8:$EZ$8,$B78,Меню!$J$313:$EZ$313)/1000*Обложка!$P$16)</f>
        <v>0</v>
      </c>
      <c r="AJ78" s="212">
        <f>IF($B78="Яйцо (шт)",SUMIF(Меню!$J$8:$EZ$8,$B78,Меню!$J$326:$EZ$326)*Обложка!$P$17/60,SUMIF(Меню!$J$8:$EZ$8,$B78,Меню!$J$326:$EZ$326)/1000*Обложка!$P$17)</f>
        <v>0</v>
      </c>
      <c r="AK78" s="212">
        <f>IF($B78="Яйцо (шт)",SUMIF(Меню!$J$8:$EZ$8,$B78,Меню!$J$331:$EZ$331)*Обложка!$P$18/60,SUMIF(Меню!$J$8:$EZ$8,$B78,Меню!$J$331:$EZ$331)/1000*Обложка!$P$18)</f>
        <v>0</v>
      </c>
      <c r="AL78" s="699">
        <f t="shared" ref="AL78:AL141" si="15">SUM(AH78:AK78)</f>
        <v>0</v>
      </c>
      <c r="AM78" s="685">
        <f t="shared" ref="AM78:AM141" si="16">SUM(H78,M78,R78,W78,AB78,AG78,AL78)</f>
        <v>12.2</v>
      </c>
    </row>
    <row r="79" spans="1:39" x14ac:dyDescent="0.25">
      <c r="A79" s="249">
        <f t="shared" ref="A79:A142" si="17">A78+1</f>
        <v>67</v>
      </c>
      <c r="B79" s="248" t="str">
        <f>инфо!D68</f>
        <v>Свинина б/к</v>
      </c>
      <c r="C79" s="694">
        <f>SUMIF(Меню!$J$8:$FD$8,$B79,Меню!$J$333:$FD$333)</f>
        <v>0</v>
      </c>
      <c r="D79" s="212">
        <f>IF($B79="Яйцо (шт)",SUMIF(Меню!$J$8:$FD$8,$B79,Меню!$J$28:$FD$28)*Обложка!$D$15/60,SUMIF(Меню!$J$8:$FD$8,$B79,Меню!$J$28:$FD$28)/1000*Обложка!$D$15)</f>
        <v>0</v>
      </c>
      <c r="E79" s="212">
        <f>IF($B79="Яйцо (шт)",SUMIF(Меню!$J$8:$FD$8,$B79,Меню!$J$43:$FD$43)*Обложка!$D$16/60,SUMIF(Меню!$J$8:$FD$8,$B79,Меню!$J$43:$FD$43)/1000*Обложка!$D$16)</f>
        <v>0</v>
      </c>
      <c r="F79" s="212">
        <f>IF($B79="Яйцо (шт)",SUMIF(Меню!$J$8:$FD$8,$B79,Меню!$J$56:$FD$56)*Обложка!$D$17/60,SUMIF(Меню!$J$8:$FD$8,$B79,Меню!$J$56:$FD$56)/1000*Обложка!$D$17)</f>
        <v>0</v>
      </c>
      <c r="G79" s="212">
        <f>IF($B79="Яйцо (шт)",SUMIF(Меню!$J$8:$FD$8,$B79,Меню!$J$61:$FD$61)*Обложка!$D$18/60,SUMIF(Меню!$J$8:$FD$8,$B79,Меню!$J$61:$FD$61)/1000*Обложка!$D$18)</f>
        <v>0</v>
      </c>
      <c r="H79" s="685">
        <f t="shared" si="9"/>
        <v>0</v>
      </c>
      <c r="I79" s="212">
        <f>IF($B79="Яйцо (шт)",SUMIF(Меню!$J$8:$FD$8,$B79,Меню!$J$73:$FD$73)*Обложка!$F$15/60,SUMIF(Меню!$J$8:$FD$8,$B79,Меню!$J$73:$FD$73)/1000*Обложка!$F$15)</f>
        <v>0</v>
      </c>
      <c r="J79" s="212">
        <f>IF($B79="Яйцо (шт)",SUMIF(Меню!$J$8:$FD$8,$B79,Меню!$J$88:$FD$88)*Обложка!$F$16/60,SUMIF(Меню!$J$8:$FD$8,$B79,Меню!$J$88:$FD$88)/1000*Обложка!$G$16)</f>
        <v>0</v>
      </c>
      <c r="K79" s="212">
        <f>IF($B79="Яйцо (шт)",SUMIF(Меню!$J$8:$FD$8,$B79,Меню!$J$101:$FD$101)*Обложка!$F$17/60,SUMIF(Меню!$J$8:$FD$8,$B79,Меню!$J$101:$FD$101)/1000*Обложка!$F$17)</f>
        <v>0</v>
      </c>
      <c r="L79" s="212">
        <f>IF($B79="Яйцо (шт)",SUMIF(Меню!$J$8:$FD$8,$B79,Меню!$J$106:$FD$106)*Обложка!$F$18/60,SUMIF(Меню!$J$8:$FD$8,$B79,Меню!$J$106:$FD$106)/1000*Обложка!$F$18)</f>
        <v>0</v>
      </c>
      <c r="M79" s="685">
        <f t="shared" si="10"/>
        <v>0</v>
      </c>
      <c r="N79" s="212">
        <f>IF($B79="Яйцо (шт)",SUMIF(Меню!$J$8:$EZ$8,$B79,Меню!$J$118:$EZ$118)*Обложка!$H$15/60,SUMIF(Меню!$J$8:$EZ$8,$B79,Меню!$J$118:$EZ$118)/1000*Обложка!$H$15)</f>
        <v>0</v>
      </c>
      <c r="O79" s="212">
        <f>IF($B79="Яйцо (шт)",SUMIF(Меню!$J$8:$EZ$8,$B79,Меню!$J$133:$EZ$133)*Обложка!$H$16/60,SUMIF(Меню!$J$8:$EZ$8,$B79,Меню!$J$133:$EZ$133)/1000*Обложка!$H$16)</f>
        <v>0</v>
      </c>
      <c r="P79" s="212">
        <f>IF($B79="Яйцо (шт)",SUMIF(Меню!$J$8:$EZ$8,$B79,Меню!$J$146:$EZ$146)*Обложка!$H$17/60,SUMIF(Меню!$J$8:$EZ$8,$B79,Меню!$J$146:$EZ$146)/1000*Обложка!$H$17)</f>
        <v>0</v>
      </c>
      <c r="Q79" s="212">
        <f>IF($B79="Яйцо (шт)",SUMIF(Меню!$J$8:$EZ$8,$B79,Меню!$J$151:$EZ$151)*Обложка!$H$18/60,SUMIF(Меню!$J$8:$EZ$8,$B79,Меню!$J$151:$EZ$151)/1000*Обложка!$H$18)</f>
        <v>0</v>
      </c>
      <c r="R79" s="685">
        <f t="shared" si="11"/>
        <v>0</v>
      </c>
      <c r="S79" s="212">
        <f>IF($B79="Яйцо (шт)",SUMIF(Меню!$J$8:$EZ$8,$B79,Меню!$J$163:$EZ$163)*Обложка!$J$15/60,SUMIF(Меню!$J$8:$EZ$8,$B79,Меню!$J$163:$EZ$163)/1000*Обложка!$J$15)</f>
        <v>0</v>
      </c>
      <c r="T79" s="212">
        <f>IF($B79="Яйцо (шт)",SUMIF(Меню!$J$8:$EZ$8,$B79,Меню!$J$178:$EZ$178)*Обложка!$J$16/60,SUMIF(Меню!$J$8:$EZ$8,$B79,Меню!$J$178:$EZ$178)/1000*Обложка!$J$16)</f>
        <v>0</v>
      </c>
      <c r="U79" s="212">
        <f>IF($B79="Яйцо (шт)",SUMIF(Меню!$J$8:$EZ$8,$B79,Меню!$J$191:$EZ$191)*Обложка!$J$17/60,SUMIF(Меню!$J$8:$EZ$8,$B79,Меню!$J$191:$EZ$191)/1000*Обложка!$J$17)</f>
        <v>0</v>
      </c>
      <c r="V79" s="212">
        <f>IF($B79="Яйцо (шт)",SUMIF(Меню!$J$8:$EZ$8,$B79,Меню!$J$196:$EZ$196)*Обложка!$J$18/60,SUMIF(Меню!$J$8:$EZ$8,$B79,Меню!$J$196:$EZ$196)/1000*Обложка!$J$18)</f>
        <v>0</v>
      </c>
      <c r="W79" s="685">
        <f t="shared" si="12"/>
        <v>0</v>
      </c>
      <c r="X79" s="212">
        <f>IF($B79="Яйцо (шт)",SUMIF(Меню!$J$8:$EZ$8,$B79,Меню!$J$208:$EZ$208)*Обложка!$L$15/60,SUMIF(Меню!$J$8:$EZ$8,$B79,Меню!$J$208:$EZ$208)/1000*Обложка!$L$15)</f>
        <v>0</v>
      </c>
      <c r="Y79" s="212">
        <f>IF($B79="Яйцо (шт)",SUMIF(Меню!$J$8:$EZ$8,$B79,Меню!$J$223:$EZ$223)*Обложка!$L$16/60,SUMIF(Меню!$J$8:$EZ$8,$B79,Меню!$J$223:$EZ$223)/1000*Обложка!$J$16)</f>
        <v>0</v>
      </c>
      <c r="Z79" s="212">
        <f>IF($B79="Яйцо (шт)",SUMIF(Меню!$J$8:$EZ$8,$B79,Меню!$J$236:$EZ$236)*Обложка!$L$17/60,SUMIF(Меню!$J$8:$EZ$8,$B79,Меню!$J$236:$EZ$236)/1000*Обложка!$L$17)</f>
        <v>0</v>
      </c>
      <c r="AA79" s="212">
        <f>IF($B79="Яйцо (шт)",SUMIF(Меню!$J$8:$EZ$8,$B79,Меню!$J$241:$EZ$241)*Обложка!$L$18/60,SUMIF(Меню!$J$8:$EZ$8,$B79,Меню!$J$241:$EZ$241)/1000*Обложка!$L$18)</f>
        <v>0</v>
      </c>
      <c r="AB79" s="685">
        <f t="shared" si="13"/>
        <v>0</v>
      </c>
      <c r="AC79" s="212">
        <f>IF($B79="Яйцо (шт)",SUMIF(Меню!$J$8:$EZ$8,$B79,Меню!$J$253:$EZ$253)*Обложка!$N$15/60,SUMIF(Меню!$J$8:$EZ$8,$B79,Меню!$J$253:$EZ$253)/1000*Обложка!$N$15)</f>
        <v>0</v>
      </c>
      <c r="AD79" s="212">
        <f>IF($B79="Яйцо (шт)",SUMIF(Меню!$J$8:$EZ$8,$B79,Меню!$J$268:$EZ$268)*Обложка!$N$16/60,SUMIF(Меню!$J$8:$EZ$8,$B79,Меню!$J$268:$EZ$268)/1000*Обложка!$N$16)</f>
        <v>0</v>
      </c>
      <c r="AE79" s="212">
        <f>IF($B79="Яйцо (шт)",SUMIF(Меню!$J$8:$EZ$8,$B79,Меню!$J$281:$EZ$281)*Обложка!$N$17/60,SUMIF(Меню!$J$8:$EZ$8,$B79,Меню!$J$281:$EZ$281)/1000*Обложка!$N$17)</f>
        <v>0</v>
      </c>
      <c r="AF79" s="212">
        <f>IF($B79="Яйцо (шт)",SUMIF(Меню!$J$8:$EZ$8,$B79,Меню!$J$286:$EZ$286)*Обложка!$N$18/60,SUMIF(Меню!$J$8:$EZ$8,$B79,Меню!$J$286:$EZ$286)/1000*Обложка!$N$18)</f>
        <v>0</v>
      </c>
      <c r="AG79" s="685">
        <f t="shared" si="14"/>
        <v>0</v>
      </c>
      <c r="AH79" s="212">
        <f>IF($B79="Яйцо (шт)",SUMIF(Меню!$J$8:$EZ$8,$B79,Меню!$J$298:$EZ$298)*Обложка!$P$15/60,SUMIF(Меню!$J$8:$EZ$8,$B79,Меню!$J$298:$EZ$298)/1000*Обложка!$P$15)</f>
        <v>0</v>
      </c>
      <c r="AI79" s="212">
        <f>IF($B79="Яйцо (шт)",SUMIF(Меню!$J$8:$EZ$8,$BB79,Меню!$J$313:$EZ$313)*Обложка!$P$16/60,SUMIF(Меню!$J$8:$EZ$8,$B79,Меню!$J$313:$EZ$313)/1000*Обложка!$P$16)</f>
        <v>0</v>
      </c>
      <c r="AJ79" s="212">
        <f>IF($B79="Яйцо (шт)",SUMIF(Меню!$J$8:$EZ$8,$B79,Меню!$J$326:$EZ$326)*Обложка!$P$17/60,SUMIF(Меню!$J$8:$EZ$8,$B79,Меню!$J$326:$EZ$326)/1000*Обложка!$P$17)</f>
        <v>0</v>
      </c>
      <c r="AK79" s="212">
        <f>IF($B79="Яйцо (шт)",SUMIF(Меню!$J$8:$EZ$8,$B79,Меню!$J$331:$EZ$331)*Обложка!$P$18/60,SUMIF(Меню!$J$8:$EZ$8,$B79,Меню!$J$331:$EZ$331)/1000*Обложка!$P$18)</f>
        <v>0</v>
      </c>
      <c r="AL79" s="699">
        <f t="shared" si="15"/>
        <v>0</v>
      </c>
      <c r="AM79" s="685">
        <f t="shared" si="16"/>
        <v>0</v>
      </c>
    </row>
    <row r="80" spans="1:39" x14ac:dyDescent="0.25">
      <c r="A80" s="249">
        <f t="shared" si="17"/>
        <v>68</v>
      </c>
      <c r="B80" s="248" t="str">
        <f>инфо!D69</f>
        <v>Свинина консерв.</v>
      </c>
      <c r="C80" s="694">
        <f>SUMIF(Меню!$J$8:$FD$8,$B80,Меню!$J$333:$FD$333)</f>
        <v>0</v>
      </c>
      <c r="D80" s="212">
        <f>IF($B80="Яйцо (шт)",SUMIF(Меню!$J$8:$FD$8,$B80,Меню!$J$28:$FD$28)*Обложка!$D$15/60,SUMIF(Меню!$J$8:$FD$8,$B80,Меню!$J$28:$FD$28)/1000*Обложка!$D$15)</f>
        <v>0</v>
      </c>
      <c r="E80" s="212">
        <f>IF($B80="Яйцо (шт)",SUMIF(Меню!$J$8:$FD$8,$B80,Меню!$J$43:$FD$43)*Обложка!$D$16/60,SUMIF(Меню!$J$8:$FD$8,$B80,Меню!$J$43:$FD$43)/1000*Обложка!$D$16)</f>
        <v>0</v>
      </c>
      <c r="F80" s="212">
        <f>IF($B80="Яйцо (шт)",SUMIF(Меню!$J$8:$FD$8,$B80,Меню!$J$56:$FD$56)*Обложка!$D$17/60,SUMIF(Меню!$J$8:$FD$8,$B80,Меню!$J$56:$FD$56)/1000*Обложка!$D$17)</f>
        <v>0</v>
      </c>
      <c r="G80" s="212">
        <f>IF($B80="Яйцо (шт)",SUMIF(Меню!$J$8:$FD$8,$B80,Меню!$J$61:$FD$61)*Обложка!$D$18/60,SUMIF(Меню!$J$8:$FD$8,$B80,Меню!$J$61:$FD$61)/1000*Обложка!$D$18)</f>
        <v>0</v>
      </c>
      <c r="H80" s="685">
        <f t="shared" si="9"/>
        <v>0</v>
      </c>
      <c r="I80" s="212">
        <f>IF($B80="Яйцо (шт)",SUMIF(Меню!$J$8:$FD$8,$B80,Меню!$J$73:$FD$73)*Обложка!$F$15/60,SUMIF(Меню!$J$8:$FD$8,$B80,Меню!$J$73:$FD$73)/1000*Обложка!$F$15)</f>
        <v>0</v>
      </c>
      <c r="J80" s="212">
        <f>IF($B80="Яйцо (шт)",SUMIF(Меню!$J$8:$FD$8,$B80,Меню!$J$88:$FD$88)*Обложка!$F$16/60,SUMIF(Меню!$J$8:$FD$8,$B80,Меню!$J$88:$FD$88)/1000*Обложка!$G$16)</f>
        <v>0</v>
      </c>
      <c r="K80" s="212">
        <f>IF($B80="Яйцо (шт)",SUMIF(Меню!$J$8:$FD$8,$B80,Меню!$J$101:$FD$101)*Обложка!$F$17/60,SUMIF(Меню!$J$8:$FD$8,$B80,Меню!$J$101:$FD$101)/1000*Обложка!$F$17)</f>
        <v>0</v>
      </c>
      <c r="L80" s="212">
        <f>IF($B80="Яйцо (шт)",SUMIF(Меню!$J$8:$FD$8,$B80,Меню!$J$106:$FD$106)*Обложка!$F$18/60,SUMIF(Меню!$J$8:$FD$8,$B80,Меню!$J$106:$FD$106)/1000*Обложка!$F$18)</f>
        <v>0</v>
      </c>
      <c r="M80" s="685">
        <f t="shared" si="10"/>
        <v>0</v>
      </c>
      <c r="N80" s="212">
        <f>IF($B80="Яйцо (шт)",SUMIF(Меню!$J$8:$EZ$8,$B80,Меню!$J$118:$EZ$118)*Обложка!$H$15/60,SUMIF(Меню!$J$8:$EZ$8,$B80,Меню!$J$118:$EZ$118)/1000*Обложка!$H$15)</f>
        <v>0</v>
      </c>
      <c r="O80" s="212">
        <f>IF($B80="Яйцо (шт)",SUMIF(Меню!$J$8:$EZ$8,$B80,Меню!$J$133:$EZ$133)*Обложка!$H$16/60,SUMIF(Меню!$J$8:$EZ$8,$B80,Меню!$J$133:$EZ$133)/1000*Обложка!$H$16)</f>
        <v>0</v>
      </c>
      <c r="P80" s="212">
        <f>IF($B80="Яйцо (шт)",SUMIF(Меню!$J$8:$EZ$8,$B80,Меню!$J$146:$EZ$146)*Обложка!$H$17/60,SUMIF(Меню!$J$8:$EZ$8,$B80,Меню!$J$146:$EZ$146)/1000*Обложка!$H$17)</f>
        <v>0</v>
      </c>
      <c r="Q80" s="212">
        <f>IF($B80="Яйцо (шт)",SUMIF(Меню!$J$8:$EZ$8,$B80,Меню!$J$151:$EZ$151)*Обложка!$H$18/60,SUMIF(Меню!$J$8:$EZ$8,$B80,Меню!$J$151:$EZ$151)/1000*Обложка!$H$18)</f>
        <v>0</v>
      </c>
      <c r="R80" s="685">
        <f t="shared" si="11"/>
        <v>0</v>
      </c>
      <c r="S80" s="212">
        <f>IF($B80="Яйцо (шт)",SUMIF(Меню!$J$8:$EZ$8,$B80,Меню!$J$163:$EZ$163)*Обложка!$J$15/60,SUMIF(Меню!$J$8:$EZ$8,$B80,Меню!$J$163:$EZ$163)/1000*Обложка!$J$15)</f>
        <v>0</v>
      </c>
      <c r="T80" s="212">
        <f>IF($B80="Яйцо (шт)",SUMIF(Меню!$J$8:$EZ$8,$B80,Меню!$J$178:$EZ$178)*Обложка!$J$16/60,SUMIF(Меню!$J$8:$EZ$8,$B80,Меню!$J$178:$EZ$178)/1000*Обложка!$J$16)</f>
        <v>0</v>
      </c>
      <c r="U80" s="212">
        <f>IF($B80="Яйцо (шт)",SUMIF(Меню!$J$8:$EZ$8,$B80,Меню!$J$191:$EZ$191)*Обложка!$J$17/60,SUMIF(Меню!$J$8:$EZ$8,$B80,Меню!$J$191:$EZ$191)/1000*Обложка!$J$17)</f>
        <v>0</v>
      </c>
      <c r="V80" s="212">
        <f>IF($B80="Яйцо (шт)",SUMIF(Меню!$J$8:$EZ$8,$B80,Меню!$J$196:$EZ$196)*Обложка!$J$18/60,SUMIF(Меню!$J$8:$EZ$8,$B80,Меню!$J$196:$EZ$196)/1000*Обложка!$J$18)</f>
        <v>0</v>
      </c>
      <c r="W80" s="685">
        <f t="shared" si="12"/>
        <v>0</v>
      </c>
      <c r="X80" s="212">
        <f>IF($B80="Яйцо (шт)",SUMIF(Меню!$J$8:$EZ$8,$B80,Меню!$J$208:$EZ$208)*Обложка!$L$15/60,SUMIF(Меню!$J$8:$EZ$8,$B80,Меню!$J$208:$EZ$208)/1000*Обложка!$L$15)</f>
        <v>0</v>
      </c>
      <c r="Y80" s="212">
        <f>IF($B80="Яйцо (шт)",SUMIF(Меню!$J$8:$EZ$8,$B80,Меню!$J$223:$EZ$223)*Обложка!$L$16/60,SUMIF(Меню!$J$8:$EZ$8,$B80,Меню!$J$223:$EZ$223)/1000*Обложка!$J$16)</f>
        <v>0</v>
      </c>
      <c r="Z80" s="212">
        <f>IF($B80="Яйцо (шт)",SUMIF(Меню!$J$8:$EZ$8,$B80,Меню!$J$236:$EZ$236)*Обложка!$L$17/60,SUMIF(Меню!$J$8:$EZ$8,$B80,Меню!$J$236:$EZ$236)/1000*Обложка!$L$17)</f>
        <v>0</v>
      </c>
      <c r="AA80" s="212">
        <f>IF($B80="Яйцо (шт)",SUMIF(Меню!$J$8:$EZ$8,$B80,Меню!$J$241:$EZ$241)*Обложка!$L$18/60,SUMIF(Меню!$J$8:$EZ$8,$B80,Меню!$J$241:$EZ$241)/1000*Обложка!$L$18)</f>
        <v>0</v>
      </c>
      <c r="AB80" s="685">
        <f t="shared" si="13"/>
        <v>0</v>
      </c>
      <c r="AC80" s="212">
        <f>IF($B80="Яйцо (шт)",SUMIF(Меню!$J$8:$EZ$8,$B80,Меню!$J$253:$EZ$253)*Обложка!$N$15/60,SUMIF(Меню!$J$8:$EZ$8,$B80,Меню!$J$253:$EZ$253)/1000*Обложка!$N$15)</f>
        <v>0</v>
      </c>
      <c r="AD80" s="212">
        <f>IF($B80="Яйцо (шт)",SUMIF(Меню!$J$8:$EZ$8,$B80,Меню!$J$268:$EZ$268)*Обложка!$N$16/60,SUMIF(Меню!$J$8:$EZ$8,$B80,Меню!$J$268:$EZ$268)/1000*Обложка!$N$16)</f>
        <v>0</v>
      </c>
      <c r="AE80" s="212">
        <f>IF($B80="Яйцо (шт)",SUMIF(Меню!$J$8:$EZ$8,$B80,Меню!$J$281:$EZ$281)*Обложка!$N$17/60,SUMIF(Меню!$J$8:$EZ$8,$B80,Меню!$J$281:$EZ$281)/1000*Обложка!$N$17)</f>
        <v>0</v>
      </c>
      <c r="AF80" s="212">
        <f>IF($B80="Яйцо (шт)",SUMIF(Меню!$J$8:$EZ$8,$B80,Меню!$J$286:$EZ$286)*Обложка!$N$18/60,SUMIF(Меню!$J$8:$EZ$8,$B80,Меню!$J$286:$EZ$286)/1000*Обложка!$N$18)</f>
        <v>0</v>
      </c>
      <c r="AG80" s="685">
        <f t="shared" si="14"/>
        <v>0</v>
      </c>
      <c r="AH80" s="212">
        <f>IF($B80="Яйцо (шт)",SUMIF(Меню!$J$8:$EZ$8,$B80,Меню!$J$298:$EZ$298)*Обложка!$P$15/60,SUMIF(Меню!$J$8:$EZ$8,$B80,Меню!$J$298:$EZ$298)/1000*Обложка!$P$15)</f>
        <v>0</v>
      </c>
      <c r="AI80" s="212">
        <f>IF($B80="Яйцо (шт)",SUMIF(Меню!$J$8:$EZ$8,$BB80,Меню!$J$313:$EZ$313)*Обложка!$P$16/60,SUMIF(Меню!$J$8:$EZ$8,$B80,Меню!$J$313:$EZ$313)/1000*Обложка!$P$16)</f>
        <v>0</v>
      </c>
      <c r="AJ80" s="212">
        <f>IF($B80="Яйцо (шт)",SUMIF(Меню!$J$8:$EZ$8,$B80,Меню!$J$326:$EZ$326)*Обложка!$P$17/60,SUMIF(Меню!$J$8:$EZ$8,$B80,Меню!$J$326:$EZ$326)/1000*Обложка!$P$17)</f>
        <v>0</v>
      </c>
      <c r="AK80" s="212">
        <f>IF($B80="Яйцо (шт)",SUMIF(Меню!$J$8:$EZ$8,$B80,Меню!$J$331:$EZ$331)*Обложка!$P$18/60,SUMIF(Меню!$J$8:$EZ$8,$B80,Меню!$J$331:$EZ$331)/1000*Обложка!$P$18)</f>
        <v>0</v>
      </c>
      <c r="AL80" s="699">
        <f t="shared" si="15"/>
        <v>0</v>
      </c>
      <c r="AM80" s="685">
        <f t="shared" si="16"/>
        <v>0</v>
      </c>
    </row>
    <row r="81" spans="1:39" x14ac:dyDescent="0.25">
      <c r="A81" s="249">
        <f t="shared" si="17"/>
        <v>69</v>
      </c>
      <c r="B81" s="248" t="str">
        <f>инфо!D70</f>
        <v>Свинина на кости</v>
      </c>
      <c r="C81" s="694">
        <f>SUMIF(Меню!$J$8:$FD$8,$B81,Меню!$J$333:$FD$333)</f>
        <v>325</v>
      </c>
      <c r="D81" s="212">
        <f>IF($B81="Яйцо (шт)",SUMIF(Меню!$J$8:$FD$8,$B81,Меню!$J$28:$FD$28)*Обложка!$D$15/60,SUMIF(Меню!$J$8:$FD$8,$B81,Меню!$J$28:$FD$28)/1000*Обложка!$D$15)</f>
        <v>0</v>
      </c>
      <c r="E81" s="212">
        <f>IF($B81="Яйцо (шт)",SUMIF(Меню!$J$8:$FD$8,$B81,Меню!$J$43:$FD$43)*Обложка!$D$16/60,SUMIF(Меню!$J$8:$FD$8,$B81,Меню!$J$43:$FD$43)/1000*Обложка!$D$16)</f>
        <v>13.725</v>
      </c>
      <c r="F81" s="212">
        <f>IF($B81="Яйцо (шт)",SUMIF(Меню!$J$8:$FD$8,$B81,Меню!$J$56:$FD$56)*Обложка!$D$17/60,SUMIF(Меню!$J$8:$FD$8,$B81,Меню!$J$56:$FD$56)/1000*Обложка!$D$17)</f>
        <v>0</v>
      </c>
      <c r="G81" s="212">
        <f>IF($B81="Яйцо (шт)",SUMIF(Меню!$J$8:$FD$8,$B81,Меню!$J$61:$FD$61)*Обложка!$D$18/60,SUMIF(Меню!$J$8:$FD$8,$B81,Меню!$J$61:$FD$61)/1000*Обложка!$D$18)</f>
        <v>0</v>
      </c>
      <c r="H81" s="685">
        <f t="shared" si="9"/>
        <v>13.725</v>
      </c>
      <c r="I81" s="212">
        <f>IF($B81="Яйцо (шт)",SUMIF(Меню!$J$8:$FD$8,$B81,Меню!$J$73:$FD$73)*Обложка!$F$15/60,SUMIF(Меню!$J$8:$FD$8,$B81,Меню!$J$73:$FD$73)/1000*Обложка!$F$15)</f>
        <v>0</v>
      </c>
      <c r="J81" s="212">
        <f>IF($B81="Яйцо (шт)",SUMIF(Меню!$J$8:$FD$8,$B81,Меню!$J$88:$FD$88)*Обложка!$F$16/60,SUMIF(Меню!$J$8:$FD$8,$B81,Меню!$J$88:$FD$88)/1000*Обложка!$G$16)</f>
        <v>0</v>
      </c>
      <c r="K81" s="212">
        <f>IF($B81="Яйцо (шт)",SUMIF(Меню!$J$8:$FD$8,$B81,Меню!$J$101:$FD$101)*Обложка!$F$17/60,SUMIF(Меню!$J$8:$FD$8,$B81,Меню!$J$101:$FD$101)/1000*Обложка!$F$17)</f>
        <v>0</v>
      </c>
      <c r="L81" s="212">
        <f>IF($B81="Яйцо (шт)",SUMIF(Меню!$J$8:$FD$8,$B81,Меню!$J$106:$FD$106)*Обложка!$F$18/60,SUMIF(Меню!$J$8:$FD$8,$B81,Меню!$J$106:$FD$106)/1000*Обложка!$F$18)</f>
        <v>0</v>
      </c>
      <c r="M81" s="685">
        <f t="shared" si="10"/>
        <v>0</v>
      </c>
      <c r="N81" s="212">
        <f>IF($B81="Яйцо (шт)",SUMIF(Меню!$J$8:$EZ$8,$B81,Меню!$J$118:$EZ$118)*Обложка!$H$15/60,SUMIF(Меню!$J$8:$EZ$8,$B81,Меню!$J$118:$EZ$118)/1000*Обложка!$H$15)</f>
        <v>0</v>
      </c>
      <c r="O81" s="212">
        <f>IF($B81="Яйцо (шт)",SUMIF(Меню!$J$8:$EZ$8,$B81,Меню!$J$133:$EZ$133)*Обложка!$H$16/60,SUMIF(Меню!$J$8:$EZ$8,$B81,Меню!$J$133:$EZ$133)/1000*Обложка!$H$16)</f>
        <v>0</v>
      </c>
      <c r="P81" s="212">
        <f>IF($B81="Яйцо (шт)",SUMIF(Меню!$J$8:$EZ$8,$B81,Меню!$J$146:$EZ$146)*Обложка!$H$17/60,SUMIF(Меню!$J$8:$EZ$8,$B81,Меню!$J$146:$EZ$146)/1000*Обложка!$H$17)</f>
        <v>0</v>
      </c>
      <c r="Q81" s="212">
        <f>IF($B81="Яйцо (шт)",SUMIF(Меню!$J$8:$EZ$8,$B81,Меню!$J$151:$EZ$151)*Обложка!$H$18/60,SUMIF(Меню!$J$8:$EZ$8,$B81,Меню!$J$151:$EZ$151)/1000*Обложка!$H$18)</f>
        <v>0</v>
      </c>
      <c r="R81" s="685">
        <f t="shared" si="11"/>
        <v>0</v>
      </c>
      <c r="S81" s="212">
        <f>IF($B81="Яйцо (шт)",SUMIF(Меню!$J$8:$EZ$8,$B81,Меню!$J$163:$EZ$163)*Обложка!$J$15/60,SUMIF(Меню!$J$8:$EZ$8,$B81,Меню!$J$163:$EZ$163)/1000*Обложка!$J$15)</f>
        <v>0</v>
      </c>
      <c r="T81" s="212">
        <f>IF($B81="Яйцо (шт)",SUMIF(Меню!$J$8:$EZ$8,$B81,Меню!$J$178:$EZ$178)*Обложка!$J$16/60,SUMIF(Меню!$J$8:$EZ$8,$B81,Меню!$J$178:$EZ$178)/1000*Обложка!$J$16)</f>
        <v>0</v>
      </c>
      <c r="U81" s="212">
        <f>IF($B81="Яйцо (шт)",SUMIF(Меню!$J$8:$EZ$8,$B81,Меню!$J$191:$EZ$191)*Обложка!$J$17/60,SUMIF(Меню!$J$8:$EZ$8,$B81,Меню!$J$191:$EZ$191)/1000*Обложка!$J$17)</f>
        <v>0</v>
      </c>
      <c r="V81" s="212">
        <f>IF($B81="Яйцо (шт)",SUMIF(Меню!$J$8:$EZ$8,$B81,Меню!$J$196:$EZ$196)*Обложка!$J$18/60,SUMIF(Меню!$J$8:$EZ$8,$B81,Меню!$J$196:$EZ$196)/1000*Обложка!$J$18)</f>
        <v>0</v>
      </c>
      <c r="W81" s="685">
        <f t="shared" si="12"/>
        <v>0</v>
      </c>
      <c r="X81" s="212">
        <f>IF($B81="Яйцо (шт)",SUMIF(Меню!$J$8:$EZ$8,$B81,Меню!$J$208:$EZ$208)*Обложка!$L$15/60,SUMIF(Меню!$J$8:$EZ$8,$B81,Меню!$J$208:$EZ$208)/1000*Обложка!$L$15)</f>
        <v>0</v>
      </c>
      <c r="Y81" s="212">
        <f>IF($B81="Яйцо (шт)",SUMIF(Меню!$J$8:$EZ$8,$B81,Меню!$J$223:$EZ$223)*Обложка!$L$16/60,SUMIF(Меню!$J$8:$EZ$8,$B81,Меню!$J$223:$EZ$223)/1000*Обложка!$J$16)</f>
        <v>11.25</v>
      </c>
      <c r="Z81" s="212">
        <f>IF($B81="Яйцо (шт)",SUMIF(Меню!$J$8:$EZ$8,$B81,Меню!$J$236:$EZ$236)*Обложка!$L$17/60,SUMIF(Меню!$J$8:$EZ$8,$B81,Меню!$J$236:$EZ$236)/1000*Обложка!$L$17)</f>
        <v>0</v>
      </c>
      <c r="AA81" s="212">
        <f>IF($B81="Яйцо (шт)",SUMIF(Меню!$J$8:$EZ$8,$B81,Меню!$J$241:$EZ$241)*Обложка!$L$18/60,SUMIF(Меню!$J$8:$EZ$8,$B81,Меню!$J$241:$EZ$241)/1000*Обложка!$L$18)</f>
        <v>0</v>
      </c>
      <c r="AB81" s="685">
        <f t="shared" si="13"/>
        <v>11.25</v>
      </c>
      <c r="AC81" s="212">
        <f>IF($B81="Яйцо (шт)",SUMIF(Меню!$J$8:$EZ$8,$B81,Меню!$J$253:$EZ$253)*Обложка!$N$15/60,SUMIF(Меню!$J$8:$EZ$8,$B81,Меню!$J$253:$EZ$253)/1000*Обложка!$N$15)</f>
        <v>0</v>
      </c>
      <c r="AD81" s="212">
        <f>IF($B81="Яйцо (шт)",SUMIF(Меню!$J$8:$EZ$8,$B81,Меню!$J$268:$EZ$268)*Обложка!$N$16/60,SUMIF(Меню!$J$8:$EZ$8,$B81,Меню!$J$268:$EZ$268)/1000*Обложка!$N$16)</f>
        <v>0</v>
      </c>
      <c r="AE81" s="212">
        <f>IF($B81="Яйцо (шт)",SUMIF(Меню!$J$8:$EZ$8,$B81,Меню!$J$281:$EZ$281)*Обложка!$N$17/60,SUMIF(Меню!$J$8:$EZ$8,$B81,Меню!$J$281:$EZ$281)/1000*Обложка!$N$17)</f>
        <v>0</v>
      </c>
      <c r="AF81" s="212">
        <f>IF($B81="Яйцо (шт)",SUMIF(Меню!$J$8:$EZ$8,$B81,Меню!$J$286:$EZ$286)*Обложка!$N$18/60,SUMIF(Меню!$J$8:$EZ$8,$B81,Меню!$J$286:$EZ$286)/1000*Обложка!$N$18)</f>
        <v>0</v>
      </c>
      <c r="AG81" s="685">
        <f t="shared" si="14"/>
        <v>0</v>
      </c>
      <c r="AH81" s="212">
        <f>IF($B81="Яйцо (шт)",SUMIF(Меню!$J$8:$EZ$8,$B81,Меню!$J$298:$EZ$298)*Обложка!$P$15/60,SUMIF(Меню!$J$8:$EZ$8,$B81,Меню!$J$298:$EZ$298)/1000*Обложка!$P$15)</f>
        <v>0</v>
      </c>
      <c r="AI81" s="212">
        <f>IF($B81="Яйцо (шт)",SUMIF(Меню!$J$8:$EZ$8,$BB81,Меню!$J$313:$EZ$313)*Обложка!$P$16/60,SUMIF(Меню!$J$8:$EZ$8,$B81,Меню!$J$313:$EZ$313)/1000*Обложка!$P$16)</f>
        <v>2.5</v>
      </c>
      <c r="AJ81" s="212">
        <f>IF($B81="Яйцо (шт)",SUMIF(Меню!$J$8:$EZ$8,$B81,Меню!$J$326:$EZ$326)*Обложка!$P$17/60,SUMIF(Меню!$J$8:$EZ$8,$B81,Меню!$J$326:$EZ$326)/1000*Обложка!$P$17)</f>
        <v>0</v>
      </c>
      <c r="AK81" s="212">
        <f>IF($B81="Яйцо (шт)",SUMIF(Меню!$J$8:$EZ$8,$B81,Меню!$J$331:$EZ$331)*Обложка!$P$18/60,SUMIF(Меню!$J$8:$EZ$8,$B81,Меню!$J$331:$EZ$331)/1000*Обложка!$P$18)</f>
        <v>0</v>
      </c>
      <c r="AL81" s="699">
        <f t="shared" si="15"/>
        <v>2.5</v>
      </c>
      <c r="AM81" s="685">
        <f t="shared" si="16"/>
        <v>27.475000000000001</v>
      </c>
    </row>
    <row r="82" spans="1:39" x14ac:dyDescent="0.25">
      <c r="A82" s="249">
        <f t="shared" si="17"/>
        <v>70</v>
      </c>
      <c r="B82" s="248" t="str">
        <f>инфо!D71</f>
        <v>Мясо птицы консерв.</v>
      </c>
      <c r="C82" s="694">
        <f>SUMIF(Меню!$J$8:$FD$8,$B82,Меню!$J$333:$FD$333)</f>
        <v>0</v>
      </c>
      <c r="D82" s="212">
        <f>IF($B82="Яйцо (шт)",SUMIF(Меню!$J$8:$FD$8,$B82,Меню!$J$28:$FD$28)*Обложка!$D$15/60,SUMIF(Меню!$J$8:$FD$8,$B82,Меню!$J$28:$FD$28)/1000*Обложка!$D$15)</f>
        <v>0</v>
      </c>
      <c r="E82" s="212">
        <f>IF($B82="Яйцо (шт)",SUMIF(Меню!$J$8:$FD$8,$B82,Меню!$J$43:$FD$43)*Обложка!$D$16/60,SUMIF(Меню!$J$8:$FD$8,$B82,Меню!$J$43:$FD$43)/1000*Обложка!$D$16)</f>
        <v>0</v>
      </c>
      <c r="F82" s="212">
        <f>IF($B82="Яйцо (шт)",SUMIF(Меню!$J$8:$FD$8,$B82,Меню!$J$56:$FD$56)*Обложка!$D$17/60,SUMIF(Меню!$J$8:$FD$8,$B82,Меню!$J$56:$FD$56)/1000*Обложка!$D$17)</f>
        <v>0</v>
      </c>
      <c r="G82" s="212">
        <f>IF($B82="Яйцо (шт)",SUMIF(Меню!$J$8:$FD$8,$B82,Меню!$J$61:$FD$61)*Обложка!$D$18/60,SUMIF(Меню!$J$8:$FD$8,$B82,Меню!$J$61:$FD$61)/1000*Обложка!$D$18)</f>
        <v>0</v>
      </c>
      <c r="H82" s="685">
        <f t="shared" si="9"/>
        <v>0</v>
      </c>
      <c r="I82" s="212">
        <f>IF($B82="Яйцо (шт)",SUMIF(Меню!$J$8:$FD$8,$B82,Меню!$J$73:$FD$73)*Обложка!$F$15/60,SUMIF(Меню!$J$8:$FD$8,$B82,Меню!$J$73:$FD$73)/1000*Обложка!$F$15)</f>
        <v>0</v>
      </c>
      <c r="J82" s="212">
        <f>IF($B82="Яйцо (шт)",SUMIF(Меню!$J$8:$FD$8,$B82,Меню!$J$88:$FD$88)*Обложка!$F$16/60,SUMIF(Меню!$J$8:$FD$8,$B82,Меню!$J$88:$FD$88)/1000*Обложка!$G$16)</f>
        <v>0</v>
      </c>
      <c r="K82" s="212">
        <f>IF($B82="Яйцо (шт)",SUMIF(Меню!$J$8:$FD$8,$B82,Меню!$J$101:$FD$101)*Обложка!$F$17/60,SUMIF(Меню!$J$8:$FD$8,$B82,Меню!$J$101:$FD$101)/1000*Обложка!$F$17)</f>
        <v>0</v>
      </c>
      <c r="L82" s="212">
        <f>IF($B82="Яйцо (шт)",SUMIF(Меню!$J$8:$FD$8,$B82,Меню!$J$106:$FD$106)*Обложка!$F$18/60,SUMIF(Меню!$J$8:$FD$8,$B82,Меню!$J$106:$FD$106)/1000*Обложка!$F$18)</f>
        <v>0</v>
      </c>
      <c r="M82" s="685">
        <f t="shared" si="10"/>
        <v>0</v>
      </c>
      <c r="N82" s="212">
        <f>IF($B82="Яйцо (шт)",SUMIF(Меню!$J$8:$EZ$8,$B82,Меню!$J$118:$EZ$118)*Обложка!$H$15/60,SUMIF(Меню!$J$8:$EZ$8,$B82,Меню!$J$118:$EZ$118)/1000*Обложка!$H$15)</f>
        <v>0</v>
      </c>
      <c r="O82" s="212">
        <f>IF($B82="Яйцо (шт)",SUMIF(Меню!$J$8:$EZ$8,$B82,Меню!$J$133:$EZ$133)*Обложка!$H$16/60,SUMIF(Меню!$J$8:$EZ$8,$B82,Меню!$J$133:$EZ$133)/1000*Обложка!$H$16)</f>
        <v>0</v>
      </c>
      <c r="P82" s="212">
        <f>IF($B82="Яйцо (шт)",SUMIF(Меню!$J$8:$EZ$8,$B82,Меню!$J$146:$EZ$146)*Обложка!$H$17/60,SUMIF(Меню!$J$8:$EZ$8,$B82,Меню!$J$146:$EZ$146)/1000*Обложка!$H$17)</f>
        <v>0</v>
      </c>
      <c r="Q82" s="212">
        <f>IF($B82="Яйцо (шт)",SUMIF(Меню!$J$8:$EZ$8,$B82,Меню!$J$151:$EZ$151)*Обложка!$H$18/60,SUMIF(Меню!$J$8:$EZ$8,$B82,Меню!$J$151:$EZ$151)/1000*Обложка!$H$18)</f>
        <v>0</v>
      </c>
      <c r="R82" s="685">
        <f t="shared" si="11"/>
        <v>0</v>
      </c>
      <c r="S82" s="212">
        <f>IF($B82="Яйцо (шт)",SUMIF(Меню!$J$8:$EZ$8,$B82,Меню!$J$163:$EZ$163)*Обложка!$J$15/60,SUMIF(Меню!$J$8:$EZ$8,$B82,Меню!$J$163:$EZ$163)/1000*Обложка!$J$15)</f>
        <v>0</v>
      </c>
      <c r="T82" s="212">
        <f>IF($B82="Яйцо (шт)",SUMIF(Меню!$J$8:$EZ$8,$B82,Меню!$J$178:$EZ$178)*Обложка!$J$16/60,SUMIF(Меню!$J$8:$EZ$8,$B82,Меню!$J$178:$EZ$178)/1000*Обложка!$J$16)</f>
        <v>0</v>
      </c>
      <c r="U82" s="212">
        <f>IF($B82="Яйцо (шт)",SUMIF(Меню!$J$8:$EZ$8,$B82,Меню!$J$191:$EZ$191)*Обложка!$J$17/60,SUMIF(Меню!$J$8:$EZ$8,$B82,Меню!$J$191:$EZ$191)/1000*Обложка!$J$17)</f>
        <v>0</v>
      </c>
      <c r="V82" s="212">
        <f>IF($B82="Яйцо (шт)",SUMIF(Меню!$J$8:$EZ$8,$B82,Меню!$J$196:$EZ$196)*Обложка!$J$18/60,SUMIF(Меню!$J$8:$EZ$8,$B82,Меню!$J$196:$EZ$196)/1000*Обложка!$J$18)</f>
        <v>0</v>
      </c>
      <c r="W82" s="685">
        <f t="shared" si="12"/>
        <v>0</v>
      </c>
      <c r="X82" s="212">
        <f>IF($B82="Яйцо (шт)",SUMIF(Меню!$J$8:$EZ$8,$B82,Меню!$J$208:$EZ$208)*Обложка!$L$15/60,SUMIF(Меню!$J$8:$EZ$8,$B82,Меню!$J$208:$EZ$208)/1000*Обложка!$L$15)</f>
        <v>0</v>
      </c>
      <c r="Y82" s="212">
        <f>IF($B82="Яйцо (шт)",SUMIF(Меню!$J$8:$EZ$8,$B82,Меню!$J$223:$EZ$223)*Обложка!$L$16/60,SUMIF(Меню!$J$8:$EZ$8,$B82,Меню!$J$223:$EZ$223)/1000*Обложка!$J$16)</f>
        <v>0</v>
      </c>
      <c r="Z82" s="212">
        <f>IF($B82="Яйцо (шт)",SUMIF(Меню!$J$8:$EZ$8,$B82,Меню!$J$236:$EZ$236)*Обложка!$L$17/60,SUMIF(Меню!$J$8:$EZ$8,$B82,Меню!$J$236:$EZ$236)/1000*Обложка!$L$17)</f>
        <v>0</v>
      </c>
      <c r="AA82" s="212">
        <f>IF($B82="Яйцо (шт)",SUMIF(Меню!$J$8:$EZ$8,$B82,Меню!$J$241:$EZ$241)*Обложка!$L$18/60,SUMIF(Меню!$J$8:$EZ$8,$B82,Меню!$J$241:$EZ$241)/1000*Обложка!$L$18)</f>
        <v>0</v>
      </c>
      <c r="AB82" s="685">
        <f t="shared" si="13"/>
        <v>0</v>
      </c>
      <c r="AC82" s="212">
        <f>IF($B82="Яйцо (шт)",SUMIF(Меню!$J$8:$EZ$8,$B82,Меню!$J$253:$EZ$253)*Обложка!$N$15/60,SUMIF(Меню!$J$8:$EZ$8,$B82,Меню!$J$253:$EZ$253)/1000*Обложка!$N$15)</f>
        <v>0</v>
      </c>
      <c r="AD82" s="212">
        <f>IF($B82="Яйцо (шт)",SUMIF(Меню!$J$8:$EZ$8,$B82,Меню!$J$268:$EZ$268)*Обложка!$N$16/60,SUMIF(Меню!$J$8:$EZ$8,$B82,Меню!$J$268:$EZ$268)/1000*Обложка!$N$16)</f>
        <v>0</v>
      </c>
      <c r="AE82" s="212">
        <f>IF($B82="Яйцо (шт)",SUMIF(Меню!$J$8:$EZ$8,$B82,Меню!$J$281:$EZ$281)*Обложка!$N$17/60,SUMIF(Меню!$J$8:$EZ$8,$B82,Меню!$J$281:$EZ$281)/1000*Обложка!$N$17)</f>
        <v>0</v>
      </c>
      <c r="AF82" s="212">
        <f>IF($B82="Яйцо (шт)",SUMIF(Меню!$J$8:$EZ$8,$B82,Меню!$J$286:$EZ$286)*Обложка!$N$18/60,SUMIF(Меню!$J$8:$EZ$8,$B82,Меню!$J$286:$EZ$286)/1000*Обложка!$N$18)</f>
        <v>0</v>
      </c>
      <c r="AG82" s="685">
        <f t="shared" si="14"/>
        <v>0</v>
      </c>
      <c r="AH82" s="212">
        <f>IF($B82="Яйцо (шт)",SUMIF(Меню!$J$8:$EZ$8,$B82,Меню!$J$298:$EZ$298)*Обложка!$P$15/60,SUMIF(Меню!$J$8:$EZ$8,$B82,Меню!$J$298:$EZ$298)/1000*Обложка!$P$15)</f>
        <v>0</v>
      </c>
      <c r="AI82" s="212">
        <f>IF($B82="Яйцо (шт)",SUMIF(Меню!$J$8:$EZ$8,$BB82,Меню!$J$313:$EZ$313)*Обложка!$P$16/60,SUMIF(Меню!$J$8:$EZ$8,$B82,Меню!$J$313:$EZ$313)/1000*Обложка!$P$16)</f>
        <v>0</v>
      </c>
      <c r="AJ82" s="212">
        <f>IF($B82="Яйцо (шт)",SUMIF(Меню!$J$8:$EZ$8,$B82,Меню!$J$326:$EZ$326)*Обложка!$P$17/60,SUMIF(Меню!$J$8:$EZ$8,$B82,Меню!$J$326:$EZ$326)/1000*Обложка!$P$17)</f>
        <v>0</v>
      </c>
      <c r="AK82" s="212">
        <f>IF($B82="Яйцо (шт)",SUMIF(Меню!$J$8:$EZ$8,$B82,Меню!$J$331:$EZ$331)*Обложка!$P$18/60,SUMIF(Меню!$J$8:$EZ$8,$B82,Меню!$J$331:$EZ$331)/1000*Обложка!$P$18)</f>
        <v>0</v>
      </c>
      <c r="AL82" s="699">
        <f t="shared" si="15"/>
        <v>0</v>
      </c>
      <c r="AM82" s="685">
        <f t="shared" si="16"/>
        <v>0</v>
      </c>
    </row>
    <row r="83" spans="1:39" x14ac:dyDescent="0.25">
      <c r="A83" s="249">
        <f t="shared" si="17"/>
        <v>71</v>
      </c>
      <c r="B83" s="248" t="str">
        <f>инфо!D72</f>
        <v>Мясо 1</v>
      </c>
      <c r="C83" s="694">
        <f>SUMIF(Меню!$J$8:$FD$8,$B83,Меню!$J$333:$FD$333)</f>
        <v>0</v>
      </c>
      <c r="D83" s="212">
        <f>IF($B83="Яйцо (шт)",SUMIF(Меню!$J$8:$FD$8,$B83,Меню!$J$28:$FD$28)*Обложка!$D$15/60,SUMIF(Меню!$J$8:$FD$8,$B83,Меню!$J$28:$FD$28)/1000*Обложка!$D$15)</f>
        <v>0</v>
      </c>
      <c r="E83" s="212">
        <f>IF($B83="Яйцо (шт)",SUMIF(Меню!$J$8:$FD$8,$B83,Меню!$J$43:$FD$43)*Обложка!$D$16/60,SUMIF(Меню!$J$8:$FD$8,$B83,Меню!$J$43:$FD$43)/1000*Обложка!$D$16)</f>
        <v>0</v>
      </c>
      <c r="F83" s="212">
        <f>IF($B83="Яйцо (шт)",SUMIF(Меню!$J$8:$FD$8,$B83,Меню!$J$56:$FD$56)*Обложка!$D$17/60,SUMIF(Меню!$J$8:$FD$8,$B83,Меню!$J$56:$FD$56)/1000*Обложка!$D$17)</f>
        <v>0</v>
      </c>
      <c r="G83" s="212">
        <f>IF($B83="Яйцо (шт)",SUMIF(Меню!$J$8:$FD$8,$B83,Меню!$J$61:$FD$61)*Обложка!$D$18/60,SUMIF(Меню!$J$8:$FD$8,$B83,Меню!$J$61:$FD$61)/1000*Обложка!$D$18)</f>
        <v>0</v>
      </c>
      <c r="H83" s="685">
        <f t="shared" si="9"/>
        <v>0</v>
      </c>
      <c r="I83" s="212">
        <f>IF($B83="Яйцо (шт)",SUMIF(Меню!$J$8:$FD$8,$B83,Меню!$J$73:$FD$73)*Обложка!$F$15/60,SUMIF(Меню!$J$8:$FD$8,$B83,Меню!$J$73:$FD$73)/1000*Обложка!$F$15)</f>
        <v>0</v>
      </c>
      <c r="J83" s="212">
        <f>IF($B83="Яйцо (шт)",SUMIF(Меню!$J$8:$FD$8,$B83,Меню!$J$88:$FD$88)*Обложка!$F$16/60,SUMIF(Меню!$J$8:$FD$8,$B83,Меню!$J$88:$FD$88)/1000*Обложка!$G$16)</f>
        <v>0</v>
      </c>
      <c r="K83" s="212">
        <f>IF($B83="Яйцо (шт)",SUMIF(Меню!$J$8:$FD$8,$B83,Меню!$J$101:$FD$101)*Обложка!$F$17/60,SUMIF(Меню!$J$8:$FD$8,$B83,Меню!$J$101:$FD$101)/1000*Обложка!$F$17)</f>
        <v>0</v>
      </c>
      <c r="L83" s="212">
        <f>IF($B83="Яйцо (шт)",SUMIF(Меню!$J$8:$FD$8,$B83,Меню!$J$106:$FD$106)*Обложка!$F$18/60,SUMIF(Меню!$J$8:$FD$8,$B83,Меню!$J$106:$FD$106)/1000*Обложка!$F$18)</f>
        <v>0</v>
      </c>
      <c r="M83" s="685">
        <f t="shared" si="10"/>
        <v>0</v>
      </c>
      <c r="N83" s="212">
        <f>IF($B83="Яйцо (шт)",SUMIF(Меню!$J$8:$EZ$8,$B83,Меню!$J$118:$EZ$118)*Обложка!$H$15/60,SUMIF(Меню!$J$8:$EZ$8,$B83,Меню!$J$118:$EZ$118)/1000*Обложка!$H$15)</f>
        <v>0</v>
      </c>
      <c r="O83" s="212">
        <f>IF($B83="Яйцо (шт)",SUMIF(Меню!$J$8:$EZ$8,$B83,Меню!$J$133:$EZ$133)*Обложка!$H$16/60,SUMIF(Меню!$J$8:$EZ$8,$B83,Меню!$J$133:$EZ$133)/1000*Обложка!$H$16)</f>
        <v>0</v>
      </c>
      <c r="P83" s="212">
        <f>IF($B83="Яйцо (шт)",SUMIF(Меню!$J$8:$EZ$8,$B83,Меню!$J$146:$EZ$146)*Обложка!$H$17/60,SUMIF(Меню!$J$8:$EZ$8,$B83,Меню!$J$146:$EZ$146)/1000*Обложка!$H$17)</f>
        <v>0</v>
      </c>
      <c r="Q83" s="212">
        <f>IF($B83="Яйцо (шт)",SUMIF(Меню!$J$8:$EZ$8,$B83,Меню!$J$151:$EZ$151)*Обложка!$H$18/60,SUMIF(Меню!$J$8:$EZ$8,$B83,Меню!$J$151:$EZ$151)/1000*Обложка!$H$18)</f>
        <v>0</v>
      </c>
      <c r="R83" s="685">
        <f t="shared" si="11"/>
        <v>0</v>
      </c>
      <c r="S83" s="212">
        <f>IF($B83="Яйцо (шт)",SUMIF(Меню!$J$8:$EZ$8,$B83,Меню!$J$163:$EZ$163)*Обложка!$J$15/60,SUMIF(Меню!$J$8:$EZ$8,$B83,Меню!$J$163:$EZ$163)/1000*Обложка!$J$15)</f>
        <v>0</v>
      </c>
      <c r="T83" s="212">
        <f>IF($B83="Яйцо (шт)",SUMIF(Меню!$J$8:$EZ$8,$B83,Меню!$J$178:$EZ$178)*Обложка!$J$16/60,SUMIF(Меню!$J$8:$EZ$8,$B83,Меню!$J$178:$EZ$178)/1000*Обложка!$J$16)</f>
        <v>0</v>
      </c>
      <c r="U83" s="212">
        <f>IF($B83="Яйцо (шт)",SUMIF(Меню!$J$8:$EZ$8,$B83,Меню!$J$191:$EZ$191)*Обложка!$J$17/60,SUMIF(Меню!$J$8:$EZ$8,$B83,Меню!$J$191:$EZ$191)/1000*Обложка!$J$17)</f>
        <v>0</v>
      </c>
      <c r="V83" s="212">
        <f>IF($B83="Яйцо (шт)",SUMIF(Меню!$J$8:$EZ$8,$B83,Меню!$J$196:$EZ$196)*Обложка!$J$18/60,SUMIF(Меню!$J$8:$EZ$8,$B83,Меню!$J$196:$EZ$196)/1000*Обложка!$J$18)</f>
        <v>0</v>
      </c>
      <c r="W83" s="685">
        <f t="shared" si="12"/>
        <v>0</v>
      </c>
      <c r="X83" s="212">
        <f>IF($B83="Яйцо (шт)",SUMIF(Меню!$J$8:$EZ$8,$B83,Меню!$J$208:$EZ$208)*Обложка!$L$15/60,SUMIF(Меню!$J$8:$EZ$8,$B83,Меню!$J$208:$EZ$208)/1000*Обложка!$L$15)</f>
        <v>0</v>
      </c>
      <c r="Y83" s="212">
        <f>IF($B83="Яйцо (шт)",SUMIF(Меню!$J$8:$EZ$8,$B83,Меню!$J$223:$EZ$223)*Обложка!$L$16/60,SUMIF(Меню!$J$8:$EZ$8,$B83,Меню!$J$223:$EZ$223)/1000*Обложка!$J$16)</f>
        <v>0</v>
      </c>
      <c r="Z83" s="212">
        <f>IF($B83="Яйцо (шт)",SUMIF(Меню!$J$8:$EZ$8,$B83,Меню!$J$236:$EZ$236)*Обложка!$L$17/60,SUMIF(Меню!$J$8:$EZ$8,$B83,Меню!$J$236:$EZ$236)/1000*Обложка!$L$17)</f>
        <v>0</v>
      </c>
      <c r="AA83" s="212">
        <f>IF($B83="Яйцо (шт)",SUMIF(Меню!$J$8:$EZ$8,$B83,Меню!$J$241:$EZ$241)*Обложка!$L$18/60,SUMIF(Меню!$J$8:$EZ$8,$B83,Меню!$J$241:$EZ$241)/1000*Обложка!$L$18)</f>
        <v>0</v>
      </c>
      <c r="AB83" s="685">
        <f t="shared" si="13"/>
        <v>0</v>
      </c>
      <c r="AC83" s="212">
        <f>IF($B83="Яйцо (шт)",SUMIF(Меню!$J$8:$EZ$8,$B83,Меню!$J$253:$EZ$253)*Обложка!$N$15/60,SUMIF(Меню!$J$8:$EZ$8,$B83,Меню!$J$253:$EZ$253)/1000*Обложка!$N$15)</f>
        <v>0</v>
      </c>
      <c r="AD83" s="212">
        <f>IF($B83="Яйцо (шт)",SUMIF(Меню!$J$8:$EZ$8,$B83,Меню!$J$268:$EZ$268)*Обложка!$N$16/60,SUMIF(Меню!$J$8:$EZ$8,$B83,Меню!$J$268:$EZ$268)/1000*Обложка!$N$16)</f>
        <v>0</v>
      </c>
      <c r="AE83" s="212">
        <f>IF($B83="Яйцо (шт)",SUMIF(Меню!$J$8:$EZ$8,$B83,Меню!$J$281:$EZ$281)*Обложка!$N$17/60,SUMIF(Меню!$J$8:$EZ$8,$B83,Меню!$J$281:$EZ$281)/1000*Обложка!$N$17)</f>
        <v>0</v>
      </c>
      <c r="AF83" s="212">
        <f>IF($B83="Яйцо (шт)",SUMIF(Меню!$J$8:$EZ$8,$B83,Меню!$J$286:$EZ$286)*Обложка!$N$18/60,SUMIF(Меню!$J$8:$EZ$8,$B83,Меню!$J$286:$EZ$286)/1000*Обложка!$N$18)</f>
        <v>0</v>
      </c>
      <c r="AG83" s="685">
        <f t="shared" si="14"/>
        <v>0</v>
      </c>
      <c r="AH83" s="212">
        <f>IF($B83="Яйцо (шт)",SUMIF(Меню!$J$8:$EZ$8,$B83,Меню!$J$298:$EZ$298)*Обложка!$P$15/60,SUMIF(Меню!$J$8:$EZ$8,$B83,Меню!$J$298:$EZ$298)/1000*Обложка!$P$15)</f>
        <v>0</v>
      </c>
      <c r="AI83" s="212">
        <f>IF($B83="Яйцо (шт)",SUMIF(Меню!$J$8:$EZ$8,$BB83,Меню!$J$313:$EZ$313)*Обложка!$P$16/60,SUMIF(Меню!$J$8:$EZ$8,$B83,Меню!$J$313:$EZ$313)/1000*Обложка!$P$16)</f>
        <v>0</v>
      </c>
      <c r="AJ83" s="212">
        <f>IF($B83="Яйцо (шт)",SUMIF(Меню!$J$8:$EZ$8,$B83,Меню!$J$326:$EZ$326)*Обложка!$P$17/60,SUMIF(Меню!$J$8:$EZ$8,$B83,Меню!$J$326:$EZ$326)/1000*Обложка!$P$17)</f>
        <v>0</v>
      </c>
      <c r="AK83" s="212">
        <f>IF($B83="Яйцо (шт)",SUMIF(Меню!$J$8:$EZ$8,$B83,Меню!$J$331:$EZ$331)*Обложка!$P$18/60,SUMIF(Меню!$J$8:$EZ$8,$B83,Меню!$J$331:$EZ$331)/1000*Обложка!$P$18)</f>
        <v>0</v>
      </c>
      <c r="AL83" s="699">
        <f t="shared" si="15"/>
        <v>0</v>
      </c>
      <c r="AM83" s="685">
        <f t="shared" si="16"/>
        <v>0</v>
      </c>
    </row>
    <row r="84" spans="1:39" x14ac:dyDescent="0.25">
      <c r="A84" s="249">
        <f t="shared" si="17"/>
        <v>72</v>
      </c>
      <c r="B84" s="248" t="str">
        <f>инфо!D73</f>
        <v>Колбаса вареная</v>
      </c>
      <c r="C84" s="694">
        <f>SUMIF(Меню!$J$8:$FD$8,$B84,Меню!$J$333:$FD$333)</f>
        <v>0</v>
      </c>
      <c r="D84" s="212">
        <f>IF($B84="Яйцо (шт)",SUMIF(Меню!$J$8:$FD$8,$B84,Меню!$J$28:$FD$28)*Обложка!$D$15/60,SUMIF(Меню!$J$8:$FD$8,$B84,Меню!$J$28:$FD$28)/1000*Обложка!$D$15)</f>
        <v>0</v>
      </c>
      <c r="E84" s="212">
        <f>IF($B84="Яйцо (шт)",SUMIF(Меню!$J$8:$FD$8,$B84,Меню!$J$43:$FD$43)*Обложка!$D$16/60,SUMIF(Меню!$J$8:$FD$8,$B84,Меню!$J$43:$FD$43)/1000*Обложка!$D$16)</f>
        <v>0</v>
      </c>
      <c r="F84" s="212">
        <f>IF($B84="Яйцо (шт)",SUMIF(Меню!$J$8:$FD$8,$B84,Меню!$J$56:$FD$56)*Обложка!$D$17/60,SUMIF(Меню!$J$8:$FD$8,$B84,Меню!$J$56:$FD$56)/1000*Обложка!$D$17)</f>
        <v>0</v>
      </c>
      <c r="G84" s="212">
        <f>IF($B84="Яйцо (шт)",SUMIF(Меню!$J$8:$FD$8,$B84,Меню!$J$61:$FD$61)*Обложка!$D$18/60,SUMIF(Меню!$J$8:$FD$8,$B84,Меню!$J$61:$FD$61)/1000*Обложка!$D$18)</f>
        <v>0</v>
      </c>
      <c r="H84" s="685">
        <f t="shared" si="9"/>
        <v>0</v>
      </c>
      <c r="I84" s="212">
        <f>IF($B84="Яйцо (шт)",SUMIF(Меню!$J$8:$FD$8,$B84,Меню!$J$73:$FD$73)*Обложка!$F$15/60,SUMIF(Меню!$J$8:$FD$8,$B84,Меню!$J$73:$FD$73)/1000*Обложка!$F$15)</f>
        <v>0</v>
      </c>
      <c r="J84" s="212">
        <f>IF($B84="Яйцо (шт)",SUMIF(Меню!$J$8:$FD$8,$B84,Меню!$J$88:$FD$88)*Обложка!$F$16/60,SUMIF(Меню!$J$8:$FD$8,$B84,Меню!$J$88:$FD$88)/1000*Обложка!$G$16)</f>
        <v>0</v>
      </c>
      <c r="K84" s="212">
        <f>IF($B84="Яйцо (шт)",SUMIF(Меню!$J$8:$FD$8,$B84,Меню!$J$101:$FD$101)*Обложка!$F$17/60,SUMIF(Меню!$J$8:$FD$8,$B84,Меню!$J$101:$FD$101)/1000*Обложка!$F$17)</f>
        <v>0</v>
      </c>
      <c r="L84" s="212">
        <f>IF($B84="Яйцо (шт)",SUMIF(Меню!$J$8:$FD$8,$B84,Меню!$J$106:$FD$106)*Обложка!$F$18/60,SUMIF(Меню!$J$8:$FD$8,$B84,Меню!$J$106:$FD$106)/1000*Обложка!$F$18)</f>
        <v>0</v>
      </c>
      <c r="M84" s="685">
        <f t="shared" si="10"/>
        <v>0</v>
      </c>
      <c r="N84" s="212">
        <f>IF($B84="Яйцо (шт)",SUMIF(Меню!$J$8:$EZ$8,$B84,Меню!$J$118:$EZ$118)*Обложка!$H$15/60,SUMIF(Меню!$J$8:$EZ$8,$B84,Меню!$J$118:$EZ$118)/1000*Обложка!$H$15)</f>
        <v>0</v>
      </c>
      <c r="O84" s="212">
        <f>IF($B84="Яйцо (шт)",SUMIF(Меню!$J$8:$EZ$8,$B84,Меню!$J$133:$EZ$133)*Обложка!$H$16/60,SUMIF(Меню!$J$8:$EZ$8,$B84,Меню!$J$133:$EZ$133)/1000*Обложка!$H$16)</f>
        <v>0</v>
      </c>
      <c r="P84" s="212">
        <f>IF($B84="Яйцо (шт)",SUMIF(Меню!$J$8:$EZ$8,$B84,Меню!$J$146:$EZ$146)*Обложка!$H$17/60,SUMIF(Меню!$J$8:$EZ$8,$B84,Меню!$J$146:$EZ$146)/1000*Обложка!$H$17)</f>
        <v>0</v>
      </c>
      <c r="Q84" s="212">
        <f>IF($B84="Яйцо (шт)",SUMIF(Меню!$J$8:$EZ$8,$B84,Меню!$J$151:$EZ$151)*Обложка!$H$18/60,SUMIF(Меню!$J$8:$EZ$8,$B84,Меню!$J$151:$EZ$151)/1000*Обложка!$H$18)</f>
        <v>0</v>
      </c>
      <c r="R84" s="685">
        <f t="shared" si="11"/>
        <v>0</v>
      </c>
      <c r="S84" s="212">
        <f>IF($B84="Яйцо (шт)",SUMIF(Меню!$J$8:$EZ$8,$B84,Меню!$J$163:$EZ$163)*Обложка!$J$15/60,SUMIF(Меню!$J$8:$EZ$8,$B84,Меню!$J$163:$EZ$163)/1000*Обложка!$J$15)</f>
        <v>0</v>
      </c>
      <c r="T84" s="212">
        <f>IF($B84="Яйцо (шт)",SUMIF(Меню!$J$8:$EZ$8,$B84,Меню!$J$178:$EZ$178)*Обложка!$J$16/60,SUMIF(Меню!$J$8:$EZ$8,$B84,Меню!$J$178:$EZ$178)/1000*Обложка!$J$16)</f>
        <v>0</v>
      </c>
      <c r="U84" s="212">
        <f>IF($B84="Яйцо (шт)",SUMIF(Меню!$J$8:$EZ$8,$B84,Меню!$J$191:$EZ$191)*Обложка!$J$17/60,SUMIF(Меню!$J$8:$EZ$8,$B84,Меню!$J$191:$EZ$191)/1000*Обложка!$J$17)</f>
        <v>0</v>
      </c>
      <c r="V84" s="212">
        <f>IF($B84="Яйцо (шт)",SUMIF(Меню!$J$8:$EZ$8,$B84,Меню!$J$196:$EZ$196)*Обложка!$J$18/60,SUMIF(Меню!$J$8:$EZ$8,$B84,Меню!$J$196:$EZ$196)/1000*Обложка!$J$18)</f>
        <v>0</v>
      </c>
      <c r="W84" s="685">
        <f t="shared" si="12"/>
        <v>0</v>
      </c>
      <c r="X84" s="212">
        <f>IF($B84="Яйцо (шт)",SUMIF(Меню!$J$8:$EZ$8,$B84,Меню!$J$208:$EZ$208)*Обложка!$L$15/60,SUMIF(Меню!$J$8:$EZ$8,$B84,Меню!$J$208:$EZ$208)/1000*Обложка!$L$15)</f>
        <v>0</v>
      </c>
      <c r="Y84" s="212">
        <f>IF($B84="Яйцо (шт)",SUMIF(Меню!$J$8:$EZ$8,$B84,Меню!$J$223:$EZ$223)*Обложка!$L$16/60,SUMIF(Меню!$J$8:$EZ$8,$B84,Меню!$J$223:$EZ$223)/1000*Обложка!$J$16)</f>
        <v>0</v>
      </c>
      <c r="Z84" s="212">
        <f>IF($B84="Яйцо (шт)",SUMIF(Меню!$J$8:$EZ$8,$B84,Меню!$J$236:$EZ$236)*Обложка!$L$17/60,SUMIF(Меню!$J$8:$EZ$8,$B84,Меню!$J$236:$EZ$236)/1000*Обложка!$L$17)</f>
        <v>0</v>
      </c>
      <c r="AA84" s="212">
        <f>IF($B84="Яйцо (шт)",SUMIF(Меню!$J$8:$EZ$8,$B84,Меню!$J$241:$EZ$241)*Обложка!$L$18/60,SUMIF(Меню!$J$8:$EZ$8,$B84,Меню!$J$241:$EZ$241)/1000*Обложка!$L$18)</f>
        <v>0</v>
      </c>
      <c r="AB84" s="685">
        <f t="shared" si="13"/>
        <v>0</v>
      </c>
      <c r="AC84" s="212">
        <f>IF($B84="Яйцо (шт)",SUMIF(Меню!$J$8:$EZ$8,$B84,Меню!$J$253:$EZ$253)*Обложка!$N$15/60,SUMIF(Меню!$J$8:$EZ$8,$B84,Меню!$J$253:$EZ$253)/1000*Обложка!$N$15)</f>
        <v>0</v>
      </c>
      <c r="AD84" s="212">
        <f>IF($B84="Яйцо (шт)",SUMIF(Меню!$J$8:$EZ$8,$B84,Меню!$J$268:$EZ$268)*Обложка!$N$16/60,SUMIF(Меню!$J$8:$EZ$8,$B84,Меню!$J$268:$EZ$268)/1000*Обложка!$N$16)</f>
        <v>0</v>
      </c>
      <c r="AE84" s="212">
        <f>IF($B84="Яйцо (шт)",SUMIF(Меню!$J$8:$EZ$8,$B84,Меню!$J$281:$EZ$281)*Обложка!$N$17/60,SUMIF(Меню!$J$8:$EZ$8,$B84,Меню!$J$281:$EZ$281)/1000*Обложка!$N$17)</f>
        <v>0</v>
      </c>
      <c r="AF84" s="212">
        <f>IF($B84="Яйцо (шт)",SUMIF(Меню!$J$8:$EZ$8,$B84,Меню!$J$286:$EZ$286)*Обложка!$N$18/60,SUMIF(Меню!$J$8:$EZ$8,$B84,Меню!$J$286:$EZ$286)/1000*Обложка!$N$18)</f>
        <v>0</v>
      </c>
      <c r="AG84" s="685">
        <f t="shared" si="14"/>
        <v>0</v>
      </c>
      <c r="AH84" s="212">
        <f>IF($B84="Яйцо (шт)",SUMIF(Меню!$J$8:$EZ$8,$B84,Меню!$J$298:$EZ$298)*Обложка!$P$15/60,SUMIF(Меню!$J$8:$EZ$8,$B84,Меню!$J$298:$EZ$298)/1000*Обложка!$P$15)</f>
        <v>0</v>
      </c>
      <c r="AI84" s="212">
        <f>IF($B84="Яйцо (шт)",SUMIF(Меню!$J$8:$EZ$8,$BB84,Меню!$J$313:$EZ$313)*Обложка!$P$16/60,SUMIF(Меню!$J$8:$EZ$8,$B84,Меню!$J$313:$EZ$313)/1000*Обложка!$P$16)</f>
        <v>0</v>
      </c>
      <c r="AJ84" s="212">
        <f>IF($B84="Яйцо (шт)",SUMIF(Меню!$J$8:$EZ$8,$B84,Меню!$J$326:$EZ$326)*Обложка!$P$17/60,SUMIF(Меню!$J$8:$EZ$8,$B84,Меню!$J$326:$EZ$326)/1000*Обложка!$P$17)</f>
        <v>0</v>
      </c>
      <c r="AK84" s="212">
        <f>IF($B84="Яйцо (шт)",SUMIF(Меню!$J$8:$EZ$8,$B84,Меню!$J$331:$EZ$331)*Обложка!$P$18/60,SUMIF(Меню!$J$8:$EZ$8,$B84,Меню!$J$331:$EZ$331)/1000*Обложка!$P$18)</f>
        <v>0</v>
      </c>
      <c r="AL84" s="699">
        <f t="shared" si="15"/>
        <v>0</v>
      </c>
      <c r="AM84" s="685">
        <f t="shared" si="16"/>
        <v>0</v>
      </c>
    </row>
    <row r="85" spans="1:39" x14ac:dyDescent="0.25">
      <c r="A85" s="249">
        <f t="shared" si="17"/>
        <v>73</v>
      </c>
      <c r="B85" s="248" t="str">
        <f>инфо!D74</f>
        <v>Колбаса п/к</v>
      </c>
      <c r="C85" s="694">
        <f>SUMIF(Меню!$J$8:$FD$8,$B85,Меню!$J$333:$FD$333)</f>
        <v>193</v>
      </c>
      <c r="D85" s="212">
        <f>IF($B85="Яйцо (шт)",SUMIF(Меню!$J$8:$FD$8,$B85,Меню!$J$28:$FD$28)*Обложка!$D$15/60,SUMIF(Меню!$J$8:$FD$8,$B85,Меню!$J$28:$FD$28)/1000*Обложка!$D$15)</f>
        <v>3.0500000000000003</v>
      </c>
      <c r="E85" s="212">
        <f>IF($B85="Яйцо (шт)",SUMIF(Меню!$J$8:$FD$8,$B85,Меню!$J$43:$FD$43)*Обложка!$D$16/60,SUMIF(Меню!$J$8:$FD$8,$B85,Меню!$J$43:$FD$43)/1000*Обложка!$D$16)</f>
        <v>0</v>
      </c>
      <c r="F85" s="212">
        <f>IF($B85="Яйцо (шт)",SUMIF(Меню!$J$8:$FD$8,$B85,Меню!$J$56:$FD$56)*Обложка!$D$17/60,SUMIF(Меню!$J$8:$FD$8,$B85,Меню!$J$56:$FD$56)/1000*Обложка!$D$17)</f>
        <v>0</v>
      </c>
      <c r="G85" s="212">
        <f>IF($B85="Яйцо (шт)",SUMIF(Меню!$J$8:$FD$8,$B85,Меню!$J$61:$FD$61)*Обложка!$D$18/60,SUMIF(Меню!$J$8:$FD$8,$B85,Меню!$J$61:$FD$61)/1000*Обложка!$D$18)</f>
        <v>0</v>
      </c>
      <c r="H85" s="685">
        <f t="shared" si="9"/>
        <v>3.0500000000000003</v>
      </c>
      <c r="I85" s="212">
        <f>IF($B85="Яйцо (шт)",SUMIF(Меню!$J$8:$FD$8,$B85,Меню!$J$73:$FD$73)*Обложка!$F$15/60,SUMIF(Меню!$J$8:$FD$8,$B85,Меню!$J$73:$FD$73)/1000*Обложка!$F$15)</f>
        <v>3.2</v>
      </c>
      <c r="J85" s="212">
        <f>IF($B85="Яйцо (шт)",SUMIF(Меню!$J$8:$FD$8,$B85,Меню!$J$88:$FD$88)*Обложка!$F$16/60,SUMIF(Меню!$J$8:$FD$8,$B85,Меню!$J$88:$FD$88)/1000*Обложка!$G$16)</f>
        <v>0</v>
      </c>
      <c r="K85" s="212">
        <f>IF($B85="Яйцо (шт)",SUMIF(Меню!$J$8:$FD$8,$B85,Меню!$J$101:$FD$101)*Обложка!$F$17/60,SUMIF(Меню!$J$8:$FD$8,$B85,Меню!$J$101:$FD$101)/1000*Обложка!$F$17)</f>
        <v>0</v>
      </c>
      <c r="L85" s="212">
        <f>IF($B85="Яйцо (шт)",SUMIF(Меню!$J$8:$FD$8,$B85,Меню!$J$106:$FD$106)*Обложка!$F$18/60,SUMIF(Меню!$J$8:$FD$8,$B85,Меню!$J$106:$FD$106)/1000*Обложка!$F$18)</f>
        <v>0</v>
      </c>
      <c r="M85" s="685">
        <f t="shared" si="10"/>
        <v>3.2</v>
      </c>
      <c r="N85" s="212">
        <f>IF($B85="Яйцо (шт)",SUMIF(Меню!$J$8:$EZ$8,$B85,Меню!$J$118:$EZ$118)*Обложка!$H$15/60,SUMIF(Меню!$J$8:$EZ$8,$B85,Меню!$J$118:$EZ$118)/1000*Обложка!$H$15)</f>
        <v>2.875</v>
      </c>
      <c r="O85" s="212">
        <f>IF($B85="Яйцо (шт)",SUMIF(Меню!$J$8:$EZ$8,$B85,Меню!$J$133:$EZ$133)*Обложка!$H$16/60,SUMIF(Меню!$J$8:$EZ$8,$B85,Меню!$J$133:$EZ$133)/1000*Обложка!$H$16)</f>
        <v>0</v>
      </c>
      <c r="P85" s="212">
        <f>IF($B85="Яйцо (шт)",SUMIF(Меню!$J$8:$EZ$8,$B85,Меню!$J$146:$EZ$146)*Обложка!$H$17/60,SUMIF(Меню!$J$8:$EZ$8,$B85,Меню!$J$146:$EZ$146)/1000*Обложка!$H$17)</f>
        <v>0</v>
      </c>
      <c r="Q85" s="212">
        <f>IF($B85="Яйцо (шт)",SUMIF(Меню!$J$8:$EZ$8,$B85,Меню!$J$151:$EZ$151)*Обложка!$H$18/60,SUMIF(Меню!$J$8:$EZ$8,$B85,Меню!$J$151:$EZ$151)/1000*Обложка!$H$18)</f>
        <v>0</v>
      </c>
      <c r="R85" s="685">
        <f t="shared" si="11"/>
        <v>2.875</v>
      </c>
      <c r="S85" s="212">
        <f>IF($B85="Яйцо (шт)",SUMIF(Меню!$J$8:$EZ$8,$B85,Меню!$J$163:$EZ$163)*Обложка!$J$15/60,SUMIF(Меню!$J$8:$EZ$8,$B85,Меню!$J$163:$EZ$163)/1000*Обложка!$J$15)</f>
        <v>2.625</v>
      </c>
      <c r="T85" s="212">
        <f>IF($B85="Яйцо (шт)",SUMIF(Меню!$J$8:$EZ$8,$B85,Меню!$J$178:$EZ$178)*Обложка!$J$16/60,SUMIF(Меню!$J$8:$EZ$8,$B85,Меню!$J$178:$EZ$178)/1000*Обложка!$J$16)</f>
        <v>0</v>
      </c>
      <c r="U85" s="212">
        <f>IF($B85="Яйцо (шт)",SUMIF(Меню!$J$8:$EZ$8,$B85,Меню!$J$191:$EZ$191)*Обложка!$J$17/60,SUMIF(Меню!$J$8:$EZ$8,$B85,Меню!$J$191:$EZ$191)/1000*Обложка!$J$17)</f>
        <v>0</v>
      </c>
      <c r="V85" s="212">
        <f>IF($B85="Яйцо (шт)",SUMIF(Меню!$J$8:$EZ$8,$B85,Меню!$J$196:$EZ$196)*Обложка!$J$18/60,SUMIF(Меню!$J$8:$EZ$8,$B85,Меню!$J$196:$EZ$196)/1000*Обложка!$J$18)</f>
        <v>0</v>
      </c>
      <c r="W85" s="685">
        <f t="shared" si="12"/>
        <v>2.625</v>
      </c>
      <c r="X85" s="212">
        <f>IF($B85="Яйцо (шт)",SUMIF(Меню!$J$8:$EZ$8,$B85,Меню!$J$208:$EZ$208)*Обложка!$L$15/60,SUMIF(Меню!$J$8:$EZ$8,$B85,Меню!$J$208:$EZ$208)/1000*Обложка!$L$15)</f>
        <v>3.5</v>
      </c>
      <c r="Y85" s="212">
        <f>IF($B85="Яйцо (шт)",SUMIF(Меню!$J$8:$EZ$8,$B85,Меню!$J$223:$EZ$223)*Обложка!$L$16/60,SUMIF(Меню!$J$8:$EZ$8,$B85,Меню!$J$223:$EZ$223)/1000*Обложка!$J$16)</f>
        <v>0</v>
      </c>
      <c r="Z85" s="212">
        <f>IF($B85="Яйцо (шт)",SUMIF(Меню!$J$8:$EZ$8,$B85,Меню!$J$236:$EZ$236)*Обложка!$L$17/60,SUMIF(Меню!$J$8:$EZ$8,$B85,Меню!$J$236:$EZ$236)/1000*Обложка!$L$17)</f>
        <v>0</v>
      </c>
      <c r="AA85" s="212">
        <f>IF($B85="Яйцо (шт)",SUMIF(Меню!$J$8:$EZ$8,$B85,Меню!$J$241:$EZ$241)*Обложка!$L$18/60,SUMIF(Меню!$J$8:$EZ$8,$B85,Меню!$J$241:$EZ$241)/1000*Обложка!$L$18)</f>
        <v>0</v>
      </c>
      <c r="AB85" s="685">
        <f t="shared" si="13"/>
        <v>3.5</v>
      </c>
      <c r="AC85" s="212">
        <f>IF($B85="Яйцо (шт)",SUMIF(Меню!$J$8:$EZ$8,$B85,Меню!$J$253:$EZ$253)*Обложка!$N$15/60,SUMIF(Меню!$J$8:$EZ$8,$B85,Меню!$J$253:$EZ$253)/1000*Обложка!$N$15)</f>
        <v>1.125</v>
      </c>
      <c r="AD85" s="212">
        <f>IF($B85="Яйцо (шт)",SUMIF(Меню!$J$8:$EZ$8,$B85,Меню!$J$268:$EZ$268)*Обложка!$N$16/60,SUMIF(Меню!$J$8:$EZ$8,$B85,Меню!$J$268:$EZ$268)/1000*Обложка!$N$16)</f>
        <v>0.80999999999999994</v>
      </c>
      <c r="AE85" s="212">
        <f>IF($B85="Яйцо (шт)",SUMIF(Меню!$J$8:$EZ$8,$B85,Меню!$J$281:$EZ$281)*Обложка!$N$17/60,SUMIF(Меню!$J$8:$EZ$8,$B85,Меню!$J$281:$EZ$281)/1000*Обложка!$N$17)</f>
        <v>0</v>
      </c>
      <c r="AF85" s="212">
        <f>IF($B85="Яйцо (шт)",SUMIF(Меню!$J$8:$EZ$8,$B85,Меню!$J$286:$EZ$286)*Обложка!$N$18/60,SUMIF(Меню!$J$8:$EZ$8,$B85,Меню!$J$286:$EZ$286)/1000*Обложка!$N$18)</f>
        <v>0</v>
      </c>
      <c r="AG85" s="685">
        <f t="shared" si="14"/>
        <v>1.9350000000000001</v>
      </c>
      <c r="AH85" s="212">
        <f>IF($B85="Яйцо (шт)",SUMIF(Меню!$J$8:$EZ$8,$B85,Меню!$J$298:$EZ$298)*Обложка!$P$15/60,SUMIF(Меню!$J$8:$EZ$8,$B85,Меню!$J$298:$EZ$298)/1000*Обложка!$P$15)</f>
        <v>0.5</v>
      </c>
      <c r="AI85" s="212">
        <f>IF($B85="Яйцо (шт)",SUMIF(Меню!$J$8:$EZ$8,$BB85,Меню!$J$313:$EZ$313)*Обложка!$P$16/60,SUMIF(Меню!$J$8:$EZ$8,$B85,Меню!$J$313:$EZ$313)/1000*Обложка!$P$16)</f>
        <v>0</v>
      </c>
      <c r="AJ85" s="212">
        <f>IF($B85="Яйцо (шт)",SUMIF(Меню!$J$8:$EZ$8,$B85,Меню!$J$326:$EZ$326)*Обложка!$P$17/60,SUMIF(Меню!$J$8:$EZ$8,$B85,Меню!$J$326:$EZ$326)/1000*Обложка!$P$17)</f>
        <v>0</v>
      </c>
      <c r="AK85" s="212">
        <f>IF($B85="Яйцо (шт)",SUMIF(Меню!$J$8:$EZ$8,$B85,Меню!$J$331:$EZ$331)*Обложка!$P$18/60,SUMIF(Меню!$J$8:$EZ$8,$B85,Меню!$J$331:$EZ$331)/1000*Обложка!$P$18)</f>
        <v>0</v>
      </c>
      <c r="AL85" s="699">
        <f t="shared" si="15"/>
        <v>0.5</v>
      </c>
      <c r="AM85" s="685">
        <f t="shared" si="16"/>
        <v>17.684999999999999</v>
      </c>
    </row>
    <row r="86" spans="1:39" x14ac:dyDescent="0.25">
      <c r="A86" s="249">
        <f t="shared" si="17"/>
        <v>74</v>
      </c>
      <c r="B86" s="248" t="str">
        <f>инфо!D75</f>
        <v>Колбаса с/к</v>
      </c>
      <c r="C86" s="694">
        <f>SUMIF(Меню!$J$8:$FD$8,$B86,Меню!$J$333:$FD$333)</f>
        <v>0</v>
      </c>
      <c r="D86" s="212">
        <f>IF($B86="Яйцо (шт)",SUMIF(Меню!$J$8:$FD$8,$B86,Меню!$J$28:$FD$28)*Обложка!$D$15/60,SUMIF(Меню!$J$8:$FD$8,$B86,Меню!$J$28:$FD$28)/1000*Обложка!$D$15)</f>
        <v>0</v>
      </c>
      <c r="E86" s="212">
        <f>IF($B86="Яйцо (шт)",SUMIF(Меню!$J$8:$FD$8,$B86,Меню!$J$43:$FD$43)*Обложка!$D$16/60,SUMIF(Меню!$J$8:$FD$8,$B86,Меню!$J$43:$FD$43)/1000*Обложка!$D$16)</f>
        <v>0</v>
      </c>
      <c r="F86" s="212">
        <f>IF($B86="Яйцо (шт)",SUMIF(Меню!$J$8:$FD$8,$B86,Меню!$J$56:$FD$56)*Обложка!$D$17/60,SUMIF(Меню!$J$8:$FD$8,$B86,Меню!$J$56:$FD$56)/1000*Обложка!$D$17)</f>
        <v>0</v>
      </c>
      <c r="G86" s="212">
        <f>IF($B86="Яйцо (шт)",SUMIF(Меню!$J$8:$FD$8,$B86,Меню!$J$61:$FD$61)*Обложка!$D$18/60,SUMIF(Меню!$J$8:$FD$8,$B86,Меню!$J$61:$FD$61)/1000*Обложка!$D$18)</f>
        <v>0</v>
      </c>
      <c r="H86" s="685">
        <f t="shared" si="9"/>
        <v>0</v>
      </c>
      <c r="I86" s="212">
        <f>IF($B86="Яйцо (шт)",SUMIF(Меню!$J$8:$FD$8,$B86,Меню!$J$73:$FD$73)*Обложка!$F$15/60,SUMIF(Меню!$J$8:$FD$8,$B86,Меню!$J$73:$FD$73)/1000*Обложка!$F$15)</f>
        <v>0</v>
      </c>
      <c r="J86" s="212">
        <f>IF($B86="Яйцо (шт)",SUMIF(Меню!$J$8:$FD$8,$B86,Меню!$J$88:$FD$88)*Обложка!$F$16/60,SUMIF(Меню!$J$8:$FD$8,$B86,Меню!$J$88:$FD$88)/1000*Обложка!$G$16)</f>
        <v>0</v>
      </c>
      <c r="K86" s="212">
        <f>IF($B86="Яйцо (шт)",SUMIF(Меню!$J$8:$FD$8,$B86,Меню!$J$101:$FD$101)*Обложка!$F$17/60,SUMIF(Меню!$J$8:$FD$8,$B86,Меню!$J$101:$FD$101)/1000*Обложка!$F$17)</f>
        <v>0</v>
      </c>
      <c r="L86" s="212">
        <f>IF($B86="Яйцо (шт)",SUMIF(Меню!$J$8:$FD$8,$B86,Меню!$J$106:$FD$106)*Обложка!$F$18/60,SUMIF(Меню!$J$8:$FD$8,$B86,Меню!$J$106:$FD$106)/1000*Обложка!$F$18)</f>
        <v>0</v>
      </c>
      <c r="M86" s="685">
        <f t="shared" si="10"/>
        <v>0</v>
      </c>
      <c r="N86" s="212">
        <f>IF($B86="Яйцо (шт)",SUMIF(Меню!$J$8:$EZ$8,$B86,Меню!$J$118:$EZ$118)*Обложка!$H$15/60,SUMIF(Меню!$J$8:$EZ$8,$B86,Меню!$J$118:$EZ$118)/1000*Обложка!$H$15)</f>
        <v>0</v>
      </c>
      <c r="O86" s="212">
        <f>IF($B86="Яйцо (шт)",SUMIF(Меню!$J$8:$EZ$8,$B86,Меню!$J$133:$EZ$133)*Обложка!$H$16/60,SUMIF(Меню!$J$8:$EZ$8,$B86,Меню!$J$133:$EZ$133)/1000*Обложка!$H$16)</f>
        <v>0</v>
      </c>
      <c r="P86" s="212">
        <f>IF($B86="Яйцо (шт)",SUMIF(Меню!$J$8:$EZ$8,$B86,Меню!$J$146:$EZ$146)*Обложка!$H$17/60,SUMIF(Меню!$J$8:$EZ$8,$B86,Меню!$J$146:$EZ$146)/1000*Обложка!$H$17)</f>
        <v>0</v>
      </c>
      <c r="Q86" s="212">
        <f>IF($B86="Яйцо (шт)",SUMIF(Меню!$J$8:$EZ$8,$B86,Меню!$J$151:$EZ$151)*Обложка!$H$18/60,SUMIF(Меню!$J$8:$EZ$8,$B86,Меню!$J$151:$EZ$151)/1000*Обложка!$H$18)</f>
        <v>0</v>
      </c>
      <c r="R86" s="685">
        <f t="shared" si="11"/>
        <v>0</v>
      </c>
      <c r="S86" s="212">
        <f>IF($B86="Яйцо (шт)",SUMIF(Меню!$J$8:$EZ$8,$B86,Меню!$J$163:$EZ$163)*Обложка!$J$15/60,SUMIF(Меню!$J$8:$EZ$8,$B86,Меню!$J$163:$EZ$163)/1000*Обложка!$J$15)</f>
        <v>0</v>
      </c>
      <c r="T86" s="212">
        <f>IF($B86="Яйцо (шт)",SUMIF(Меню!$J$8:$EZ$8,$B86,Меню!$J$178:$EZ$178)*Обложка!$J$16/60,SUMIF(Меню!$J$8:$EZ$8,$B86,Меню!$J$178:$EZ$178)/1000*Обложка!$J$16)</f>
        <v>0</v>
      </c>
      <c r="U86" s="212">
        <f>IF($B86="Яйцо (шт)",SUMIF(Меню!$J$8:$EZ$8,$B86,Меню!$J$191:$EZ$191)*Обложка!$J$17/60,SUMIF(Меню!$J$8:$EZ$8,$B86,Меню!$J$191:$EZ$191)/1000*Обложка!$J$17)</f>
        <v>0</v>
      </c>
      <c r="V86" s="212">
        <f>IF($B86="Яйцо (шт)",SUMIF(Меню!$J$8:$EZ$8,$B86,Меню!$J$196:$EZ$196)*Обложка!$J$18/60,SUMIF(Меню!$J$8:$EZ$8,$B86,Меню!$J$196:$EZ$196)/1000*Обложка!$J$18)</f>
        <v>0</v>
      </c>
      <c r="W86" s="685">
        <f t="shared" si="12"/>
        <v>0</v>
      </c>
      <c r="X86" s="212">
        <f>IF($B86="Яйцо (шт)",SUMIF(Меню!$J$8:$EZ$8,$B86,Меню!$J$208:$EZ$208)*Обложка!$L$15/60,SUMIF(Меню!$J$8:$EZ$8,$B86,Меню!$J$208:$EZ$208)/1000*Обложка!$L$15)</f>
        <v>0</v>
      </c>
      <c r="Y86" s="212">
        <f>IF($B86="Яйцо (шт)",SUMIF(Меню!$J$8:$EZ$8,$B86,Меню!$J$223:$EZ$223)*Обложка!$L$16/60,SUMIF(Меню!$J$8:$EZ$8,$B86,Меню!$J$223:$EZ$223)/1000*Обложка!$J$16)</f>
        <v>0</v>
      </c>
      <c r="Z86" s="212">
        <f>IF($B86="Яйцо (шт)",SUMIF(Меню!$J$8:$EZ$8,$B86,Меню!$J$236:$EZ$236)*Обложка!$L$17/60,SUMIF(Меню!$J$8:$EZ$8,$B86,Меню!$J$236:$EZ$236)/1000*Обложка!$L$17)</f>
        <v>0</v>
      </c>
      <c r="AA86" s="212">
        <f>IF($B86="Яйцо (шт)",SUMIF(Меню!$J$8:$EZ$8,$B86,Меню!$J$241:$EZ$241)*Обложка!$L$18/60,SUMIF(Меню!$J$8:$EZ$8,$B86,Меню!$J$241:$EZ$241)/1000*Обложка!$L$18)</f>
        <v>0</v>
      </c>
      <c r="AB86" s="685">
        <f t="shared" si="13"/>
        <v>0</v>
      </c>
      <c r="AC86" s="212">
        <f>IF($B86="Яйцо (шт)",SUMIF(Меню!$J$8:$EZ$8,$B86,Меню!$J$253:$EZ$253)*Обложка!$N$15/60,SUMIF(Меню!$J$8:$EZ$8,$B86,Меню!$J$253:$EZ$253)/1000*Обложка!$N$15)</f>
        <v>0</v>
      </c>
      <c r="AD86" s="212">
        <f>IF($B86="Яйцо (шт)",SUMIF(Меню!$J$8:$EZ$8,$B86,Меню!$J$268:$EZ$268)*Обложка!$N$16/60,SUMIF(Меню!$J$8:$EZ$8,$B86,Меню!$J$268:$EZ$268)/1000*Обложка!$N$16)</f>
        <v>0</v>
      </c>
      <c r="AE86" s="212">
        <f>IF($B86="Яйцо (шт)",SUMIF(Меню!$J$8:$EZ$8,$B86,Меню!$J$281:$EZ$281)*Обложка!$N$17/60,SUMIF(Меню!$J$8:$EZ$8,$B86,Меню!$J$281:$EZ$281)/1000*Обложка!$N$17)</f>
        <v>0</v>
      </c>
      <c r="AF86" s="212">
        <f>IF($B86="Яйцо (шт)",SUMIF(Меню!$J$8:$EZ$8,$B86,Меню!$J$286:$EZ$286)*Обложка!$N$18/60,SUMIF(Меню!$J$8:$EZ$8,$B86,Меню!$J$286:$EZ$286)/1000*Обложка!$N$18)</f>
        <v>0</v>
      </c>
      <c r="AG86" s="685">
        <f t="shared" si="14"/>
        <v>0</v>
      </c>
      <c r="AH86" s="212">
        <f>IF($B86="Яйцо (шт)",SUMIF(Меню!$J$8:$EZ$8,$B86,Меню!$J$298:$EZ$298)*Обложка!$P$15/60,SUMIF(Меню!$J$8:$EZ$8,$B86,Меню!$J$298:$EZ$298)/1000*Обложка!$P$15)</f>
        <v>0</v>
      </c>
      <c r="AI86" s="212">
        <f>IF($B86="Яйцо (шт)",SUMIF(Меню!$J$8:$EZ$8,$BB86,Меню!$J$313:$EZ$313)*Обложка!$P$16/60,SUMIF(Меню!$J$8:$EZ$8,$B86,Меню!$J$313:$EZ$313)/1000*Обложка!$P$16)</f>
        <v>0</v>
      </c>
      <c r="AJ86" s="212">
        <f>IF($B86="Яйцо (шт)",SUMIF(Меню!$J$8:$EZ$8,$B86,Меню!$J$326:$EZ$326)*Обложка!$P$17/60,SUMIF(Меню!$J$8:$EZ$8,$B86,Меню!$J$326:$EZ$326)/1000*Обложка!$P$17)</f>
        <v>0</v>
      </c>
      <c r="AK86" s="212">
        <f>IF($B86="Яйцо (шт)",SUMIF(Меню!$J$8:$EZ$8,$B86,Меню!$J$331:$EZ$331)*Обложка!$P$18/60,SUMIF(Меню!$J$8:$EZ$8,$B86,Меню!$J$331:$EZ$331)/1000*Обложка!$P$18)</f>
        <v>0</v>
      </c>
      <c r="AL86" s="699">
        <f t="shared" si="15"/>
        <v>0</v>
      </c>
      <c r="AM86" s="685">
        <f t="shared" si="16"/>
        <v>0</v>
      </c>
    </row>
    <row r="87" spans="1:39" x14ac:dyDescent="0.25">
      <c r="A87" s="249">
        <f t="shared" si="17"/>
        <v>75</v>
      </c>
      <c r="B87" s="248" t="str">
        <f>инфо!D76</f>
        <v>Сосиски</v>
      </c>
      <c r="C87" s="694">
        <f>SUMIF(Меню!$J$8:$FD$8,$B87,Меню!$J$333:$FD$333)</f>
        <v>576</v>
      </c>
      <c r="D87" s="212">
        <f>IF($B87="Яйцо (шт)",SUMIF(Меню!$J$8:$FD$8,$B87,Меню!$J$28:$FD$28)*Обложка!$D$15/60,SUMIF(Меню!$J$8:$FD$8,$B87,Меню!$J$28:$FD$28)/1000*Обложка!$D$15)</f>
        <v>9.76</v>
      </c>
      <c r="E87" s="212">
        <f>IF($B87="Яйцо (шт)",SUMIF(Меню!$J$8:$FD$8,$B87,Меню!$J$43:$FD$43)*Обложка!$D$16/60,SUMIF(Меню!$J$8:$FD$8,$B87,Меню!$J$43:$FD$43)/1000*Обложка!$D$16)</f>
        <v>0</v>
      </c>
      <c r="F87" s="212">
        <f>IF($B87="Яйцо (шт)",SUMIF(Меню!$J$8:$FD$8,$B87,Меню!$J$56:$FD$56)*Обложка!$D$17/60,SUMIF(Меню!$J$8:$FD$8,$B87,Меню!$J$56:$FD$56)/1000*Обложка!$D$17)</f>
        <v>0</v>
      </c>
      <c r="G87" s="212">
        <f>IF($B87="Яйцо (шт)",SUMIF(Меню!$J$8:$FD$8,$B87,Меню!$J$61:$FD$61)*Обложка!$D$18/60,SUMIF(Меню!$J$8:$FD$8,$B87,Меню!$J$61:$FD$61)/1000*Обложка!$D$18)</f>
        <v>0</v>
      </c>
      <c r="H87" s="685">
        <f t="shared" si="9"/>
        <v>9.76</v>
      </c>
      <c r="I87" s="212">
        <f>IF($B87="Яйцо (шт)",SUMIF(Меню!$J$8:$FD$8,$B87,Меню!$J$73:$FD$73)*Обложка!$F$15/60,SUMIF(Меню!$J$8:$FD$8,$B87,Меню!$J$73:$FD$73)/1000*Обложка!$F$15)</f>
        <v>10.24</v>
      </c>
      <c r="J87" s="212">
        <f>IF($B87="Яйцо (шт)",SUMIF(Меню!$J$8:$FD$8,$B87,Меню!$J$88:$FD$88)*Обложка!$F$16/60,SUMIF(Меню!$J$8:$FD$8,$B87,Меню!$J$88:$FD$88)/1000*Обложка!$G$16)</f>
        <v>0</v>
      </c>
      <c r="K87" s="212">
        <f>IF($B87="Яйцо (шт)",SUMIF(Меню!$J$8:$FD$8,$B87,Меню!$J$101:$FD$101)*Обложка!$F$17/60,SUMIF(Меню!$J$8:$FD$8,$B87,Меню!$J$101:$FD$101)/1000*Обложка!$F$17)</f>
        <v>0</v>
      </c>
      <c r="L87" s="212">
        <f>IF($B87="Яйцо (шт)",SUMIF(Меню!$J$8:$FD$8,$B87,Меню!$J$106:$FD$106)*Обложка!$F$18/60,SUMIF(Меню!$J$8:$FD$8,$B87,Меню!$J$106:$FD$106)/1000*Обложка!$F$18)</f>
        <v>0</v>
      </c>
      <c r="M87" s="685">
        <f t="shared" si="10"/>
        <v>10.24</v>
      </c>
      <c r="N87" s="212">
        <f>IF($B87="Яйцо (шт)",SUMIF(Меню!$J$8:$EZ$8,$B87,Меню!$J$118:$EZ$118)*Обложка!$H$15/60,SUMIF(Меню!$J$8:$EZ$8,$B87,Меню!$J$118:$EZ$118)/1000*Обложка!$H$15)</f>
        <v>9.2000000000000011</v>
      </c>
      <c r="O87" s="212">
        <f>IF($B87="Яйцо (шт)",SUMIF(Меню!$J$8:$EZ$8,$B87,Меню!$J$133:$EZ$133)*Обложка!$H$16/60,SUMIF(Меню!$J$8:$EZ$8,$B87,Меню!$J$133:$EZ$133)/1000*Обложка!$H$16)</f>
        <v>0</v>
      </c>
      <c r="P87" s="212">
        <f>IF($B87="Яйцо (шт)",SUMIF(Меню!$J$8:$EZ$8,$B87,Меню!$J$146:$EZ$146)*Обложка!$H$17/60,SUMIF(Меню!$J$8:$EZ$8,$B87,Меню!$J$146:$EZ$146)/1000*Обложка!$H$17)</f>
        <v>0</v>
      </c>
      <c r="Q87" s="212">
        <f>IF($B87="Яйцо (шт)",SUMIF(Меню!$J$8:$EZ$8,$B87,Меню!$J$151:$EZ$151)*Обложка!$H$18/60,SUMIF(Меню!$J$8:$EZ$8,$B87,Меню!$J$151:$EZ$151)/1000*Обложка!$H$18)</f>
        <v>0</v>
      </c>
      <c r="R87" s="685">
        <f t="shared" si="11"/>
        <v>9.2000000000000011</v>
      </c>
      <c r="S87" s="212">
        <f>IF($B87="Яйцо (шт)",SUMIF(Меню!$J$8:$EZ$8,$B87,Меню!$J$163:$EZ$163)*Обложка!$J$15/60,SUMIF(Меню!$J$8:$EZ$8,$B87,Меню!$J$163:$EZ$163)/1000*Обложка!$J$15)</f>
        <v>8.4</v>
      </c>
      <c r="T87" s="212">
        <f>IF($B87="Яйцо (шт)",SUMIF(Меню!$J$8:$EZ$8,$B87,Меню!$J$178:$EZ$178)*Обложка!$J$16/60,SUMIF(Меню!$J$8:$EZ$8,$B87,Меню!$J$178:$EZ$178)/1000*Обложка!$J$16)</f>
        <v>0</v>
      </c>
      <c r="U87" s="212">
        <f>IF($B87="Яйцо (шт)",SUMIF(Меню!$J$8:$EZ$8,$B87,Меню!$J$191:$EZ$191)*Обложка!$J$17/60,SUMIF(Меню!$J$8:$EZ$8,$B87,Меню!$J$191:$EZ$191)/1000*Обложка!$J$17)</f>
        <v>0</v>
      </c>
      <c r="V87" s="212">
        <f>IF($B87="Яйцо (шт)",SUMIF(Меню!$J$8:$EZ$8,$B87,Меню!$J$196:$EZ$196)*Обложка!$J$18/60,SUMIF(Меню!$J$8:$EZ$8,$B87,Меню!$J$196:$EZ$196)/1000*Обложка!$J$18)</f>
        <v>0</v>
      </c>
      <c r="W87" s="685">
        <f t="shared" si="12"/>
        <v>8.4</v>
      </c>
      <c r="X87" s="212">
        <f>IF($B87="Яйцо (шт)",SUMIF(Меню!$J$8:$EZ$8,$B87,Меню!$J$208:$EZ$208)*Обложка!$L$15/60,SUMIF(Меню!$J$8:$EZ$8,$B87,Меню!$J$208:$EZ$208)/1000*Обложка!$L$15)</f>
        <v>11.200000000000001</v>
      </c>
      <c r="Y87" s="212">
        <f>IF($B87="Яйцо (шт)",SUMIF(Меню!$J$8:$EZ$8,$B87,Меню!$J$223:$EZ$223)*Обложка!$L$16/60,SUMIF(Меню!$J$8:$EZ$8,$B87,Меню!$J$223:$EZ$223)/1000*Обложка!$J$16)</f>
        <v>0</v>
      </c>
      <c r="Z87" s="212">
        <f>IF($B87="Яйцо (шт)",SUMIF(Меню!$J$8:$EZ$8,$B87,Меню!$J$236:$EZ$236)*Обложка!$L$17/60,SUMIF(Меню!$J$8:$EZ$8,$B87,Меню!$J$236:$EZ$236)/1000*Обложка!$L$17)</f>
        <v>0</v>
      </c>
      <c r="AA87" s="212">
        <f>IF($B87="Яйцо (шт)",SUMIF(Меню!$J$8:$EZ$8,$B87,Меню!$J$241:$EZ$241)*Обложка!$L$18/60,SUMIF(Меню!$J$8:$EZ$8,$B87,Меню!$J$241:$EZ$241)/1000*Обложка!$L$18)</f>
        <v>0</v>
      </c>
      <c r="AB87" s="685">
        <f t="shared" si="13"/>
        <v>11.200000000000001</v>
      </c>
      <c r="AC87" s="212">
        <f>IF($B87="Яйцо (шт)",SUMIF(Меню!$J$8:$EZ$8,$B87,Меню!$J$253:$EZ$253)*Обложка!$N$15/60,SUMIF(Меню!$J$8:$EZ$8,$B87,Меню!$J$253:$EZ$253)/1000*Обложка!$N$15)</f>
        <v>3.6</v>
      </c>
      <c r="AD87" s="212">
        <f>IF($B87="Яйцо (шт)",SUMIF(Меню!$J$8:$EZ$8,$B87,Меню!$J$268:$EZ$268)*Обложка!$N$16/60,SUMIF(Меню!$J$8:$EZ$8,$B87,Меню!$J$268:$EZ$268)/1000*Обложка!$N$16)</f>
        <v>0.72</v>
      </c>
      <c r="AE87" s="212">
        <f>IF($B87="Яйцо (шт)",SUMIF(Меню!$J$8:$EZ$8,$B87,Меню!$J$281:$EZ$281)*Обложка!$N$17/60,SUMIF(Меню!$J$8:$EZ$8,$B87,Меню!$J$281:$EZ$281)/1000*Обложка!$N$17)</f>
        <v>0</v>
      </c>
      <c r="AF87" s="212">
        <f>IF($B87="Яйцо (шт)",SUMIF(Меню!$J$8:$EZ$8,$B87,Меню!$J$286:$EZ$286)*Обложка!$N$18/60,SUMIF(Меню!$J$8:$EZ$8,$B87,Меню!$J$286:$EZ$286)/1000*Обложка!$N$18)</f>
        <v>0</v>
      </c>
      <c r="AG87" s="685">
        <f t="shared" si="14"/>
        <v>4.32</v>
      </c>
      <c r="AH87" s="212">
        <f>IF($B87="Яйцо (шт)",SUMIF(Меню!$J$8:$EZ$8,$B87,Меню!$J$298:$EZ$298)*Обложка!$P$15/60,SUMIF(Меню!$J$8:$EZ$8,$B87,Меню!$J$298:$EZ$298)/1000*Обложка!$P$15)</f>
        <v>1.6</v>
      </c>
      <c r="AI87" s="212">
        <f>IF($B87="Яйцо (шт)",SUMIF(Меню!$J$8:$EZ$8,$BB87,Меню!$J$313:$EZ$313)*Обложка!$P$16/60,SUMIF(Меню!$J$8:$EZ$8,$B87,Меню!$J$313:$EZ$313)/1000*Обложка!$P$16)</f>
        <v>0</v>
      </c>
      <c r="AJ87" s="212">
        <f>IF($B87="Яйцо (шт)",SUMIF(Меню!$J$8:$EZ$8,$B87,Меню!$J$326:$EZ$326)*Обложка!$P$17/60,SUMIF(Меню!$J$8:$EZ$8,$B87,Меню!$J$326:$EZ$326)/1000*Обложка!$P$17)</f>
        <v>0</v>
      </c>
      <c r="AK87" s="212">
        <f>IF($B87="Яйцо (шт)",SUMIF(Меню!$J$8:$EZ$8,$B87,Меню!$J$331:$EZ$331)*Обложка!$P$18/60,SUMIF(Меню!$J$8:$EZ$8,$B87,Меню!$J$331:$EZ$331)/1000*Обложка!$P$18)</f>
        <v>0</v>
      </c>
      <c r="AL87" s="699">
        <f t="shared" si="15"/>
        <v>1.6</v>
      </c>
      <c r="AM87" s="685">
        <f t="shared" si="16"/>
        <v>54.720000000000006</v>
      </c>
    </row>
    <row r="88" spans="1:39" x14ac:dyDescent="0.25">
      <c r="A88" s="249">
        <f t="shared" si="17"/>
        <v>76</v>
      </c>
      <c r="B88" s="248" t="str">
        <f>инфо!D77</f>
        <v>Сардельки</v>
      </c>
      <c r="C88" s="694">
        <f>SUMIF(Меню!$J$8:$FD$8,$B88,Меню!$J$333:$FD$333)</f>
        <v>0</v>
      </c>
      <c r="D88" s="212">
        <f>IF($B88="Яйцо (шт)",SUMIF(Меню!$J$8:$FD$8,$B88,Меню!$J$28:$FD$28)*Обложка!$D$15/60,SUMIF(Меню!$J$8:$FD$8,$B88,Меню!$J$28:$FD$28)/1000*Обложка!$D$15)</f>
        <v>0</v>
      </c>
      <c r="E88" s="212">
        <f>IF($B88="Яйцо (шт)",SUMIF(Меню!$J$8:$FD$8,$B88,Меню!$J$43:$FD$43)*Обложка!$D$16/60,SUMIF(Меню!$J$8:$FD$8,$B88,Меню!$J$43:$FD$43)/1000*Обложка!$D$16)</f>
        <v>0</v>
      </c>
      <c r="F88" s="212">
        <f>IF($B88="Яйцо (шт)",SUMIF(Меню!$J$8:$FD$8,$B88,Меню!$J$56:$FD$56)*Обложка!$D$17/60,SUMIF(Меню!$J$8:$FD$8,$B88,Меню!$J$56:$FD$56)/1000*Обложка!$D$17)</f>
        <v>0</v>
      </c>
      <c r="G88" s="212">
        <f>IF($B88="Яйцо (шт)",SUMIF(Меню!$J$8:$FD$8,$B88,Меню!$J$61:$FD$61)*Обложка!$D$18/60,SUMIF(Меню!$J$8:$FD$8,$B88,Меню!$J$61:$FD$61)/1000*Обложка!$D$18)</f>
        <v>0</v>
      </c>
      <c r="H88" s="685">
        <f t="shared" si="9"/>
        <v>0</v>
      </c>
      <c r="I88" s="212">
        <f>IF($B88="Яйцо (шт)",SUMIF(Меню!$J$8:$FD$8,$B88,Меню!$J$73:$FD$73)*Обложка!$F$15/60,SUMIF(Меню!$J$8:$FD$8,$B88,Меню!$J$73:$FD$73)/1000*Обложка!$F$15)</f>
        <v>0</v>
      </c>
      <c r="J88" s="212">
        <f>IF($B88="Яйцо (шт)",SUMIF(Меню!$J$8:$FD$8,$B88,Меню!$J$88:$FD$88)*Обложка!$F$16/60,SUMIF(Меню!$J$8:$FD$8,$B88,Меню!$J$88:$FD$88)/1000*Обложка!$G$16)</f>
        <v>0</v>
      </c>
      <c r="K88" s="212">
        <f>IF($B88="Яйцо (шт)",SUMIF(Меню!$J$8:$FD$8,$B88,Меню!$J$101:$FD$101)*Обложка!$F$17/60,SUMIF(Меню!$J$8:$FD$8,$B88,Меню!$J$101:$FD$101)/1000*Обложка!$F$17)</f>
        <v>0</v>
      </c>
      <c r="L88" s="212">
        <f>IF($B88="Яйцо (шт)",SUMIF(Меню!$J$8:$FD$8,$B88,Меню!$J$106:$FD$106)*Обложка!$F$18/60,SUMIF(Меню!$J$8:$FD$8,$B88,Меню!$J$106:$FD$106)/1000*Обложка!$F$18)</f>
        <v>0</v>
      </c>
      <c r="M88" s="685">
        <f t="shared" si="10"/>
        <v>0</v>
      </c>
      <c r="N88" s="212">
        <f>IF($B88="Яйцо (шт)",SUMIF(Меню!$J$8:$EZ$8,$B88,Меню!$J$118:$EZ$118)*Обложка!$H$15/60,SUMIF(Меню!$J$8:$EZ$8,$B88,Меню!$J$118:$EZ$118)/1000*Обложка!$H$15)</f>
        <v>0</v>
      </c>
      <c r="O88" s="212">
        <f>IF($B88="Яйцо (шт)",SUMIF(Меню!$J$8:$EZ$8,$B88,Меню!$J$133:$EZ$133)*Обложка!$H$16/60,SUMIF(Меню!$J$8:$EZ$8,$B88,Меню!$J$133:$EZ$133)/1000*Обложка!$H$16)</f>
        <v>0</v>
      </c>
      <c r="P88" s="212">
        <f>IF($B88="Яйцо (шт)",SUMIF(Меню!$J$8:$EZ$8,$B88,Меню!$J$146:$EZ$146)*Обложка!$H$17/60,SUMIF(Меню!$J$8:$EZ$8,$B88,Меню!$J$146:$EZ$146)/1000*Обложка!$H$17)</f>
        <v>0</v>
      </c>
      <c r="Q88" s="212">
        <f>IF($B88="Яйцо (шт)",SUMIF(Меню!$J$8:$EZ$8,$B88,Меню!$J$151:$EZ$151)*Обложка!$H$18/60,SUMIF(Меню!$J$8:$EZ$8,$B88,Меню!$J$151:$EZ$151)/1000*Обложка!$H$18)</f>
        <v>0</v>
      </c>
      <c r="R88" s="685">
        <f t="shared" si="11"/>
        <v>0</v>
      </c>
      <c r="S88" s="212">
        <f>IF($B88="Яйцо (шт)",SUMIF(Меню!$J$8:$EZ$8,$B88,Меню!$J$163:$EZ$163)*Обложка!$J$15/60,SUMIF(Меню!$J$8:$EZ$8,$B88,Меню!$J$163:$EZ$163)/1000*Обложка!$J$15)</f>
        <v>0</v>
      </c>
      <c r="T88" s="212">
        <f>IF($B88="Яйцо (шт)",SUMIF(Меню!$J$8:$EZ$8,$B88,Меню!$J$178:$EZ$178)*Обложка!$J$16/60,SUMIF(Меню!$J$8:$EZ$8,$B88,Меню!$J$178:$EZ$178)/1000*Обложка!$J$16)</f>
        <v>0</v>
      </c>
      <c r="U88" s="212">
        <f>IF($B88="Яйцо (шт)",SUMIF(Меню!$J$8:$EZ$8,$B88,Меню!$J$191:$EZ$191)*Обложка!$J$17/60,SUMIF(Меню!$J$8:$EZ$8,$B88,Меню!$J$191:$EZ$191)/1000*Обложка!$J$17)</f>
        <v>0</v>
      </c>
      <c r="V88" s="212">
        <f>IF($B88="Яйцо (шт)",SUMIF(Меню!$J$8:$EZ$8,$B88,Меню!$J$196:$EZ$196)*Обложка!$J$18/60,SUMIF(Меню!$J$8:$EZ$8,$B88,Меню!$J$196:$EZ$196)/1000*Обложка!$J$18)</f>
        <v>0</v>
      </c>
      <c r="W88" s="685">
        <f t="shared" si="12"/>
        <v>0</v>
      </c>
      <c r="X88" s="212">
        <f>IF($B88="Яйцо (шт)",SUMIF(Меню!$J$8:$EZ$8,$B88,Меню!$J$208:$EZ$208)*Обложка!$L$15/60,SUMIF(Меню!$J$8:$EZ$8,$B88,Меню!$J$208:$EZ$208)/1000*Обложка!$L$15)</f>
        <v>0</v>
      </c>
      <c r="Y88" s="212">
        <f>IF($B88="Яйцо (шт)",SUMIF(Меню!$J$8:$EZ$8,$B88,Меню!$J$223:$EZ$223)*Обложка!$L$16/60,SUMIF(Меню!$J$8:$EZ$8,$B88,Меню!$J$223:$EZ$223)/1000*Обложка!$J$16)</f>
        <v>0</v>
      </c>
      <c r="Z88" s="212">
        <f>IF($B88="Яйцо (шт)",SUMIF(Меню!$J$8:$EZ$8,$B88,Меню!$J$236:$EZ$236)*Обложка!$L$17/60,SUMIF(Меню!$J$8:$EZ$8,$B88,Меню!$J$236:$EZ$236)/1000*Обложка!$L$17)</f>
        <v>0</v>
      </c>
      <c r="AA88" s="212">
        <f>IF($B88="Яйцо (шт)",SUMIF(Меню!$J$8:$EZ$8,$B88,Меню!$J$241:$EZ$241)*Обложка!$L$18/60,SUMIF(Меню!$J$8:$EZ$8,$B88,Меню!$J$241:$EZ$241)/1000*Обложка!$L$18)</f>
        <v>0</v>
      </c>
      <c r="AB88" s="685">
        <f t="shared" si="13"/>
        <v>0</v>
      </c>
      <c r="AC88" s="212">
        <f>IF($B88="Яйцо (шт)",SUMIF(Меню!$J$8:$EZ$8,$B88,Меню!$J$253:$EZ$253)*Обложка!$N$15/60,SUMIF(Меню!$J$8:$EZ$8,$B88,Меню!$J$253:$EZ$253)/1000*Обложка!$N$15)</f>
        <v>0</v>
      </c>
      <c r="AD88" s="212">
        <f>IF($B88="Яйцо (шт)",SUMIF(Меню!$J$8:$EZ$8,$B88,Меню!$J$268:$EZ$268)*Обложка!$N$16/60,SUMIF(Меню!$J$8:$EZ$8,$B88,Меню!$J$268:$EZ$268)/1000*Обложка!$N$16)</f>
        <v>0</v>
      </c>
      <c r="AE88" s="212">
        <f>IF($B88="Яйцо (шт)",SUMIF(Меню!$J$8:$EZ$8,$B88,Меню!$J$281:$EZ$281)*Обложка!$N$17/60,SUMIF(Меню!$J$8:$EZ$8,$B88,Меню!$J$281:$EZ$281)/1000*Обложка!$N$17)</f>
        <v>0</v>
      </c>
      <c r="AF88" s="212">
        <f>IF($B88="Яйцо (шт)",SUMIF(Меню!$J$8:$EZ$8,$B88,Меню!$J$286:$EZ$286)*Обложка!$N$18/60,SUMIF(Меню!$J$8:$EZ$8,$B88,Меню!$J$286:$EZ$286)/1000*Обложка!$N$18)</f>
        <v>0</v>
      </c>
      <c r="AG88" s="685">
        <f t="shared" si="14"/>
        <v>0</v>
      </c>
      <c r="AH88" s="212">
        <f>IF($B88="Яйцо (шт)",SUMIF(Меню!$J$8:$EZ$8,$B88,Меню!$J$298:$EZ$298)*Обложка!$P$15/60,SUMIF(Меню!$J$8:$EZ$8,$B88,Меню!$J$298:$EZ$298)/1000*Обложка!$P$15)</f>
        <v>0</v>
      </c>
      <c r="AI88" s="212">
        <f>IF($B88="Яйцо (шт)",SUMIF(Меню!$J$8:$EZ$8,$BB88,Меню!$J$313:$EZ$313)*Обложка!$P$16/60,SUMIF(Меню!$J$8:$EZ$8,$B88,Меню!$J$313:$EZ$313)/1000*Обложка!$P$16)</f>
        <v>0</v>
      </c>
      <c r="AJ88" s="212">
        <f>IF($B88="Яйцо (шт)",SUMIF(Меню!$J$8:$EZ$8,$B88,Меню!$J$326:$EZ$326)*Обложка!$P$17/60,SUMIF(Меню!$J$8:$EZ$8,$B88,Меню!$J$326:$EZ$326)/1000*Обложка!$P$17)</f>
        <v>0</v>
      </c>
      <c r="AK88" s="212">
        <f>IF($B88="Яйцо (шт)",SUMIF(Меню!$J$8:$EZ$8,$B88,Меню!$J$331:$EZ$331)*Обложка!$P$18/60,SUMIF(Меню!$J$8:$EZ$8,$B88,Меню!$J$331:$EZ$331)/1000*Обложка!$P$18)</f>
        <v>0</v>
      </c>
      <c r="AL88" s="699">
        <f t="shared" si="15"/>
        <v>0</v>
      </c>
      <c r="AM88" s="685">
        <f t="shared" si="16"/>
        <v>0</v>
      </c>
    </row>
    <row r="89" spans="1:39" x14ac:dyDescent="0.25">
      <c r="A89" s="249">
        <f t="shared" si="17"/>
        <v>77</v>
      </c>
      <c r="B89" s="248" t="str">
        <f>инфо!D78</f>
        <v>Пельмени</v>
      </c>
      <c r="C89" s="694">
        <f>SUMIF(Меню!$J$8:$FD$8,$B89,Меню!$J$333:$FD$333)</f>
        <v>0</v>
      </c>
      <c r="D89" s="212">
        <f>IF($B89="Яйцо (шт)",SUMIF(Меню!$J$8:$FD$8,$B89,Меню!$J$28:$FD$28)*Обложка!$D$15/60,SUMIF(Меню!$J$8:$FD$8,$B89,Меню!$J$28:$FD$28)/1000*Обложка!$D$15)</f>
        <v>0</v>
      </c>
      <c r="E89" s="212">
        <f>IF($B89="Яйцо (шт)",SUMIF(Меню!$J$8:$FD$8,$B89,Меню!$J$43:$FD$43)*Обложка!$D$16/60,SUMIF(Меню!$J$8:$FD$8,$B89,Меню!$J$43:$FD$43)/1000*Обложка!$D$16)</f>
        <v>0</v>
      </c>
      <c r="F89" s="212">
        <f>IF($B89="Яйцо (шт)",SUMIF(Меню!$J$8:$FD$8,$B89,Меню!$J$56:$FD$56)*Обложка!$D$17/60,SUMIF(Меню!$J$8:$FD$8,$B89,Меню!$J$56:$FD$56)/1000*Обложка!$D$17)</f>
        <v>0</v>
      </c>
      <c r="G89" s="212">
        <f>IF($B89="Яйцо (шт)",SUMIF(Меню!$J$8:$FD$8,$B89,Меню!$J$61:$FD$61)*Обложка!$D$18/60,SUMIF(Меню!$J$8:$FD$8,$B89,Меню!$J$61:$FD$61)/1000*Обложка!$D$18)</f>
        <v>0</v>
      </c>
      <c r="H89" s="685">
        <f t="shared" si="9"/>
        <v>0</v>
      </c>
      <c r="I89" s="212">
        <f>IF($B89="Яйцо (шт)",SUMIF(Меню!$J$8:$FD$8,$B89,Меню!$J$73:$FD$73)*Обложка!$F$15/60,SUMIF(Меню!$J$8:$FD$8,$B89,Меню!$J$73:$FD$73)/1000*Обложка!$F$15)</f>
        <v>0</v>
      </c>
      <c r="J89" s="212">
        <f>IF($B89="Яйцо (шт)",SUMIF(Меню!$J$8:$FD$8,$B89,Меню!$J$88:$FD$88)*Обложка!$F$16/60,SUMIF(Меню!$J$8:$FD$8,$B89,Меню!$J$88:$FD$88)/1000*Обложка!$G$16)</f>
        <v>0</v>
      </c>
      <c r="K89" s="212">
        <f>IF($B89="Яйцо (шт)",SUMIF(Меню!$J$8:$FD$8,$B89,Меню!$J$101:$FD$101)*Обложка!$F$17/60,SUMIF(Меню!$J$8:$FD$8,$B89,Меню!$J$101:$FD$101)/1000*Обложка!$F$17)</f>
        <v>0</v>
      </c>
      <c r="L89" s="212">
        <f>IF($B89="Яйцо (шт)",SUMIF(Меню!$J$8:$FD$8,$B89,Меню!$J$106:$FD$106)*Обложка!$F$18/60,SUMIF(Меню!$J$8:$FD$8,$B89,Меню!$J$106:$FD$106)/1000*Обложка!$F$18)</f>
        <v>0</v>
      </c>
      <c r="M89" s="685">
        <f t="shared" si="10"/>
        <v>0</v>
      </c>
      <c r="N89" s="212">
        <f>IF($B89="Яйцо (шт)",SUMIF(Меню!$J$8:$EZ$8,$B89,Меню!$J$118:$EZ$118)*Обложка!$H$15/60,SUMIF(Меню!$J$8:$EZ$8,$B89,Меню!$J$118:$EZ$118)/1000*Обложка!$H$15)</f>
        <v>0</v>
      </c>
      <c r="O89" s="212">
        <f>IF($B89="Яйцо (шт)",SUMIF(Меню!$J$8:$EZ$8,$B89,Меню!$J$133:$EZ$133)*Обложка!$H$16/60,SUMIF(Меню!$J$8:$EZ$8,$B89,Меню!$J$133:$EZ$133)/1000*Обложка!$H$16)</f>
        <v>0</v>
      </c>
      <c r="P89" s="212">
        <f>IF($B89="Яйцо (шт)",SUMIF(Меню!$J$8:$EZ$8,$B89,Меню!$J$146:$EZ$146)*Обложка!$H$17/60,SUMIF(Меню!$J$8:$EZ$8,$B89,Меню!$J$146:$EZ$146)/1000*Обложка!$H$17)</f>
        <v>0</v>
      </c>
      <c r="Q89" s="212">
        <f>IF($B89="Яйцо (шт)",SUMIF(Меню!$J$8:$EZ$8,$B89,Меню!$J$151:$EZ$151)*Обложка!$H$18/60,SUMIF(Меню!$J$8:$EZ$8,$B89,Меню!$J$151:$EZ$151)/1000*Обложка!$H$18)</f>
        <v>0</v>
      </c>
      <c r="R89" s="685">
        <f t="shared" si="11"/>
        <v>0</v>
      </c>
      <c r="S89" s="212">
        <f>IF($B89="Яйцо (шт)",SUMIF(Меню!$J$8:$EZ$8,$B89,Меню!$J$163:$EZ$163)*Обложка!$J$15/60,SUMIF(Меню!$J$8:$EZ$8,$B89,Меню!$J$163:$EZ$163)/1000*Обложка!$J$15)</f>
        <v>0</v>
      </c>
      <c r="T89" s="212">
        <f>IF($B89="Яйцо (шт)",SUMIF(Меню!$J$8:$EZ$8,$B89,Меню!$J$178:$EZ$178)*Обложка!$J$16/60,SUMIF(Меню!$J$8:$EZ$8,$B89,Меню!$J$178:$EZ$178)/1000*Обложка!$J$16)</f>
        <v>0</v>
      </c>
      <c r="U89" s="212">
        <f>IF($B89="Яйцо (шт)",SUMIF(Меню!$J$8:$EZ$8,$B89,Меню!$J$191:$EZ$191)*Обложка!$J$17/60,SUMIF(Меню!$J$8:$EZ$8,$B89,Меню!$J$191:$EZ$191)/1000*Обложка!$J$17)</f>
        <v>0</v>
      </c>
      <c r="V89" s="212">
        <f>IF($B89="Яйцо (шт)",SUMIF(Меню!$J$8:$EZ$8,$B89,Меню!$J$196:$EZ$196)*Обложка!$J$18/60,SUMIF(Меню!$J$8:$EZ$8,$B89,Меню!$J$196:$EZ$196)/1000*Обложка!$J$18)</f>
        <v>0</v>
      </c>
      <c r="W89" s="685">
        <f t="shared" si="12"/>
        <v>0</v>
      </c>
      <c r="X89" s="212">
        <f>IF($B89="Яйцо (шт)",SUMIF(Меню!$J$8:$EZ$8,$B89,Меню!$J$208:$EZ$208)*Обложка!$L$15/60,SUMIF(Меню!$J$8:$EZ$8,$B89,Меню!$J$208:$EZ$208)/1000*Обложка!$L$15)</f>
        <v>0</v>
      </c>
      <c r="Y89" s="212">
        <f>IF($B89="Яйцо (шт)",SUMIF(Меню!$J$8:$EZ$8,$B89,Меню!$J$223:$EZ$223)*Обложка!$L$16/60,SUMIF(Меню!$J$8:$EZ$8,$B89,Меню!$J$223:$EZ$223)/1000*Обложка!$J$16)</f>
        <v>0</v>
      </c>
      <c r="Z89" s="212">
        <f>IF($B89="Яйцо (шт)",SUMIF(Меню!$J$8:$EZ$8,$B89,Меню!$J$236:$EZ$236)*Обложка!$L$17/60,SUMIF(Меню!$J$8:$EZ$8,$B89,Меню!$J$236:$EZ$236)/1000*Обложка!$L$17)</f>
        <v>0</v>
      </c>
      <c r="AA89" s="212">
        <f>IF($B89="Яйцо (шт)",SUMIF(Меню!$J$8:$EZ$8,$B89,Меню!$J$241:$EZ$241)*Обложка!$L$18/60,SUMIF(Меню!$J$8:$EZ$8,$B89,Меню!$J$241:$EZ$241)/1000*Обложка!$L$18)</f>
        <v>0</v>
      </c>
      <c r="AB89" s="685">
        <f t="shared" si="13"/>
        <v>0</v>
      </c>
      <c r="AC89" s="212">
        <f>IF($B89="Яйцо (шт)",SUMIF(Меню!$J$8:$EZ$8,$B89,Меню!$J$253:$EZ$253)*Обложка!$N$15/60,SUMIF(Меню!$J$8:$EZ$8,$B89,Меню!$J$253:$EZ$253)/1000*Обложка!$N$15)</f>
        <v>0</v>
      </c>
      <c r="AD89" s="212">
        <f>IF($B89="Яйцо (шт)",SUMIF(Меню!$J$8:$EZ$8,$B89,Меню!$J$268:$EZ$268)*Обложка!$N$16/60,SUMIF(Меню!$J$8:$EZ$8,$B89,Меню!$J$268:$EZ$268)/1000*Обложка!$N$16)</f>
        <v>0</v>
      </c>
      <c r="AE89" s="212">
        <f>IF($B89="Яйцо (шт)",SUMIF(Меню!$J$8:$EZ$8,$B89,Меню!$J$281:$EZ$281)*Обложка!$N$17/60,SUMIF(Меню!$J$8:$EZ$8,$B89,Меню!$J$281:$EZ$281)/1000*Обложка!$N$17)</f>
        <v>0</v>
      </c>
      <c r="AF89" s="212">
        <f>IF($B89="Яйцо (шт)",SUMIF(Меню!$J$8:$EZ$8,$B89,Меню!$J$286:$EZ$286)*Обложка!$N$18/60,SUMIF(Меню!$J$8:$EZ$8,$B89,Меню!$J$286:$EZ$286)/1000*Обложка!$N$18)</f>
        <v>0</v>
      </c>
      <c r="AG89" s="685">
        <f t="shared" si="14"/>
        <v>0</v>
      </c>
      <c r="AH89" s="212">
        <f>IF($B89="Яйцо (шт)",SUMIF(Меню!$J$8:$EZ$8,$B89,Меню!$J$298:$EZ$298)*Обложка!$P$15/60,SUMIF(Меню!$J$8:$EZ$8,$B89,Меню!$J$298:$EZ$298)/1000*Обложка!$P$15)</f>
        <v>0</v>
      </c>
      <c r="AI89" s="212">
        <f>IF($B89="Яйцо (шт)",SUMIF(Меню!$J$8:$EZ$8,$BB89,Меню!$J$313:$EZ$313)*Обложка!$P$16/60,SUMIF(Меню!$J$8:$EZ$8,$B89,Меню!$J$313:$EZ$313)/1000*Обложка!$P$16)</f>
        <v>0</v>
      </c>
      <c r="AJ89" s="212">
        <f>IF($B89="Яйцо (шт)",SUMIF(Меню!$J$8:$EZ$8,$B89,Меню!$J$326:$EZ$326)*Обложка!$P$17/60,SUMIF(Меню!$J$8:$EZ$8,$B89,Меню!$J$326:$EZ$326)/1000*Обложка!$P$17)</f>
        <v>0</v>
      </c>
      <c r="AK89" s="212">
        <f>IF($B89="Яйцо (шт)",SUMIF(Меню!$J$8:$EZ$8,$B89,Меню!$J$331:$EZ$331)*Обложка!$P$18/60,SUMIF(Меню!$J$8:$EZ$8,$B89,Меню!$J$331:$EZ$331)/1000*Обложка!$P$18)</f>
        <v>0</v>
      </c>
      <c r="AL89" s="699">
        <f t="shared" si="15"/>
        <v>0</v>
      </c>
      <c r="AM89" s="685">
        <f t="shared" si="16"/>
        <v>0</v>
      </c>
    </row>
    <row r="90" spans="1:39" x14ac:dyDescent="0.25">
      <c r="A90" s="249">
        <f t="shared" si="17"/>
        <v>78</v>
      </c>
      <c r="B90" s="248" t="str">
        <f>инфо!D79</f>
        <v>Печень</v>
      </c>
      <c r="C90" s="694">
        <f>SUMIF(Меню!$J$8:$FD$8,$B90,Меню!$J$333:$FD$333)</f>
        <v>0</v>
      </c>
      <c r="D90" s="212">
        <f>IF($B90="Яйцо (шт)",SUMIF(Меню!$J$8:$FD$8,$B90,Меню!$J$28:$FD$28)*Обложка!$D$15/60,SUMIF(Меню!$J$8:$FD$8,$B90,Меню!$J$28:$FD$28)/1000*Обложка!$D$15)</f>
        <v>0</v>
      </c>
      <c r="E90" s="212">
        <f>IF($B90="Яйцо (шт)",SUMIF(Меню!$J$8:$FD$8,$B90,Меню!$J$43:$FD$43)*Обложка!$D$16/60,SUMIF(Меню!$J$8:$FD$8,$B90,Меню!$J$43:$FD$43)/1000*Обложка!$D$16)</f>
        <v>0</v>
      </c>
      <c r="F90" s="212">
        <f>IF($B90="Яйцо (шт)",SUMIF(Меню!$J$8:$FD$8,$B90,Меню!$J$56:$FD$56)*Обложка!$D$17/60,SUMIF(Меню!$J$8:$FD$8,$B90,Меню!$J$56:$FD$56)/1000*Обложка!$D$17)</f>
        <v>0</v>
      </c>
      <c r="G90" s="212">
        <f>IF($B90="Яйцо (шт)",SUMIF(Меню!$J$8:$FD$8,$B90,Меню!$J$61:$FD$61)*Обложка!$D$18/60,SUMIF(Меню!$J$8:$FD$8,$B90,Меню!$J$61:$FD$61)/1000*Обложка!$D$18)</f>
        <v>0</v>
      </c>
      <c r="H90" s="685">
        <f t="shared" si="9"/>
        <v>0</v>
      </c>
      <c r="I90" s="212">
        <f>IF($B90="Яйцо (шт)",SUMIF(Меню!$J$8:$FD$8,$B90,Меню!$J$73:$FD$73)*Обложка!$F$15/60,SUMIF(Меню!$J$8:$FD$8,$B90,Меню!$J$73:$FD$73)/1000*Обложка!$F$15)</f>
        <v>0</v>
      </c>
      <c r="J90" s="212">
        <f>IF($B90="Яйцо (шт)",SUMIF(Меню!$J$8:$FD$8,$B90,Меню!$J$88:$FD$88)*Обложка!$F$16/60,SUMIF(Меню!$J$8:$FD$8,$B90,Меню!$J$88:$FD$88)/1000*Обложка!$G$16)</f>
        <v>0</v>
      </c>
      <c r="K90" s="212">
        <f>IF($B90="Яйцо (шт)",SUMIF(Меню!$J$8:$FD$8,$B90,Меню!$J$101:$FD$101)*Обложка!$F$17/60,SUMIF(Меню!$J$8:$FD$8,$B90,Меню!$J$101:$FD$101)/1000*Обложка!$F$17)</f>
        <v>0</v>
      </c>
      <c r="L90" s="212">
        <f>IF($B90="Яйцо (шт)",SUMIF(Меню!$J$8:$FD$8,$B90,Меню!$J$106:$FD$106)*Обложка!$F$18/60,SUMIF(Меню!$J$8:$FD$8,$B90,Меню!$J$106:$FD$106)/1000*Обложка!$F$18)</f>
        <v>0</v>
      </c>
      <c r="M90" s="685">
        <f t="shared" si="10"/>
        <v>0</v>
      </c>
      <c r="N90" s="212">
        <f>IF($B90="Яйцо (шт)",SUMIF(Меню!$J$8:$EZ$8,$B90,Меню!$J$118:$EZ$118)*Обложка!$H$15/60,SUMIF(Меню!$J$8:$EZ$8,$B90,Меню!$J$118:$EZ$118)/1000*Обложка!$H$15)</f>
        <v>0</v>
      </c>
      <c r="O90" s="212">
        <f>IF($B90="Яйцо (шт)",SUMIF(Меню!$J$8:$EZ$8,$B90,Меню!$J$133:$EZ$133)*Обложка!$H$16/60,SUMIF(Меню!$J$8:$EZ$8,$B90,Меню!$J$133:$EZ$133)/1000*Обложка!$H$16)</f>
        <v>0</v>
      </c>
      <c r="P90" s="212">
        <f>IF($B90="Яйцо (шт)",SUMIF(Меню!$J$8:$EZ$8,$B90,Меню!$J$146:$EZ$146)*Обложка!$H$17/60,SUMIF(Меню!$J$8:$EZ$8,$B90,Меню!$J$146:$EZ$146)/1000*Обложка!$H$17)</f>
        <v>0</v>
      </c>
      <c r="Q90" s="212">
        <f>IF($B90="Яйцо (шт)",SUMIF(Меню!$J$8:$EZ$8,$B90,Меню!$J$151:$EZ$151)*Обложка!$H$18/60,SUMIF(Меню!$J$8:$EZ$8,$B90,Меню!$J$151:$EZ$151)/1000*Обложка!$H$18)</f>
        <v>0</v>
      </c>
      <c r="R90" s="685">
        <f t="shared" si="11"/>
        <v>0</v>
      </c>
      <c r="S90" s="212">
        <f>IF($B90="Яйцо (шт)",SUMIF(Меню!$J$8:$EZ$8,$B90,Меню!$J$163:$EZ$163)*Обложка!$J$15/60,SUMIF(Меню!$J$8:$EZ$8,$B90,Меню!$J$163:$EZ$163)/1000*Обложка!$J$15)</f>
        <v>0</v>
      </c>
      <c r="T90" s="212">
        <f>IF($B90="Яйцо (шт)",SUMIF(Меню!$J$8:$EZ$8,$B90,Меню!$J$178:$EZ$178)*Обложка!$J$16/60,SUMIF(Меню!$J$8:$EZ$8,$B90,Меню!$J$178:$EZ$178)/1000*Обложка!$J$16)</f>
        <v>0</v>
      </c>
      <c r="U90" s="212">
        <f>IF($B90="Яйцо (шт)",SUMIF(Меню!$J$8:$EZ$8,$B90,Меню!$J$191:$EZ$191)*Обложка!$J$17/60,SUMIF(Меню!$J$8:$EZ$8,$B90,Меню!$J$191:$EZ$191)/1000*Обложка!$J$17)</f>
        <v>0</v>
      </c>
      <c r="V90" s="212">
        <f>IF($B90="Яйцо (шт)",SUMIF(Меню!$J$8:$EZ$8,$B90,Меню!$J$196:$EZ$196)*Обложка!$J$18/60,SUMIF(Меню!$J$8:$EZ$8,$B90,Меню!$J$196:$EZ$196)/1000*Обложка!$J$18)</f>
        <v>0</v>
      </c>
      <c r="W90" s="685">
        <f t="shared" si="12"/>
        <v>0</v>
      </c>
      <c r="X90" s="212">
        <f>IF($B90="Яйцо (шт)",SUMIF(Меню!$J$8:$EZ$8,$B90,Меню!$J$208:$EZ$208)*Обложка!$L$15/60,SUMIF(Меню!$J$8:$EZ$8,$B90,Меню!$J$208:$EZ$208)/1000*Обложка!$L$15)</f>
        <v>0</v>
      </c>
      <c r="Y90" s="212">
        <f>IF($B90="Яйцо (шт)",SUMIF(Меню!$J$8:$EZ$8,$B90,Меню!$J$223:$EZ$223)*Обложка!$L$16/60,SUMIF(Меню!$J$8:$EZ$8,$B90,Меню!$J$223:$EZ$223)/1000*Обложка!$J$16)</f>
        <v>0</v>
      </c>
      <c r="Z90" s="212">
        <f>IF($B90="Яйцо (шт)",SUMIF(Меню!$J$8:$EZ$8,$B90,Меню!$J$236:$EZ$236)*Обложка!$L$17/60,SUMIF(Меню!$J$8:$EZ$8,$B90,Меню!$J$236:$EZ$236)/1000*Обложка!$L$17)</f>
        <v>0</v>
      </c>
      <c r="AA90" s="212">
        <f>IF($B90="Яйцо (шт)",SUMIF(Меню!$J$8:$EZ$8,$B90,Меню!$J$241:$EZ$241)*Обложка!$L$18/60,SUMIF(Меню!$J$8:$EZ$8,$B90,Меню!$J$241:$EZ$241)/1000*Обложка!$L$18)</f>
        <v>0</v>
      </c>
      <c r="AB90" s="685">
        <f t="shared" si="13"/>
        <v>0</v>
      </c>
      <c r="AC90" s="212">
        <f>IF($B90="Яйцо (шт)",SUMIF(Меню!$J$8:$EZ$8,$B90,Меню!$J$253:$EZ$253)*Обложка!$N$15/60,SUMIF(Меню!$J$8:$EZ$8,$B90,Меню!$J$253:$EZ$253)/1000*Обложка!$N$15)</f>
        <v>0</v>
      </c>
      <c r="AD90" s="212">
        <f>IF($B90="Яйцо (шт)",SUMIF(Меню!$J$8:$EZ$8,$B90,Меню!$J$268:$EZ$268)*Обложка!$N$16/60,SUMIF(Меню!$J$8:$EZ$8,$B90,Меню!$J$268:$EZ$268)/1000*Обложка!$N$16)</f>
        <v>0</v>
      </c>
      <c r="AE90" s="212">
        <f>IF($B90="Яйцо (шт)",SUMIF(Меню!$J$8:$EZ$8,$B90,Меню!$J$281:$EZ$281)*Обложка!$N$17/60,SUMIF(Меню!$J$8:$EZ$8,$B90,Меню!$J$281:$EZ$281)/1000*Обложка!$N$17)</f>
        <v>0</v>
      </c>
      <c r="AF90" s="212">
        <f>IF($B90="Яйцо (шт)",SUMIF(Меню!$J$8:$EZ$8,$B90,Меню!$J$286:$EZ$286)*Обложка!$N$18/60,SUMIF(Меню!$J$8:$EZ$8,$B90,Меню!$J$286:$EZ$286)/1000*Обложка!$N$18)</f>
        <v>0</v>
      </c>
      <c r="AG90" s="685">
        <f t="shared" si="14"/>
        <v>0</v>
      </c>
      <c r="AH90" s="212">
        <f>IF($B90="Яйцо (шт)",SUMIF(Меню!$J$8:$EZ$8,$B90,Меню!$J$298:$EZ$298)*Обложка!$P$15/60,SUMIF(Меню!$J$8:$EZ$8,$B90,Меню!$J$298:$EZ$298)/1000*Обложка!$P$15)</f>
        <v>0</v>
      </c>
      <c r="AI90" s="212">
        <f>IF($B90="Яйцо (шт)",SUMIF(Меню!$J$8:$EZ$8,$BB90,Меню!$J$313:$EZ$313)*Обложка!$P$16/60,SUMIF(Меню!$J$8:$EZ$8,$B90,Меню!$J$313:$EZ$313)/1000*Обложка!$P$16)</f>
        <v>0</v>
      </c>
      <c r="AJ90" s="212">
        <f>IF($B90="Яйцо (шт)",SUMIF(Меню!$J$8:$EZ$8,$B90,Меню!$J$326:$EZ$326)*Обложка!$P$17/60,SUMIF(Меню!$J$8:$EZ$8,$B90,Меню!$J$326:$EZ$326)/1000*Обложка!$P$17)</f>
        <v>0</v>
      </c>
      <c r="AK90" s="212">
        <f>IF($B90="Яйцо (шт)",SUMIF(Меню!$J$8:$EZ$8,$B90,Меню!$J$331:$EZ$331)*Обложка!$P$18/60,SUMIF(Меню!$J$8:$EZ$8,$B90,Меню!$J$331:$EZ$331)/1000*Обложка!$P$18)</f>
        <v>0</v>
      </c>
      <c r="AL90" s="699">
        <f t="shared" si="15"/>
        <v>0</v>
      </c>
      <c r="AM90" s="685">
        <f t="shared" si="16"/>
        <v>0</v>
      </c>
    </row>
    <row r="91" spans="1:39" x14ac:dyDescent="0.25">
      <c r="A91" s="249">
        <f t="shared" si="17"/>
        <v>79</v>
      </c>
      <c r="B91" s="248" t="str">
        <f>инфо!D80</f>
        <v>Сердце</v>
      </c>
      <c r="C91" s="694">
        <f>SUMIF(Меню!$J$8:$FD$8,$B91,Меню!$J$333:$FD$333)</f>
        <v>0</v>
      </c>
      <c r="D91" s="212">
        <f>IF($B91="Яйцо (шт)",SUMIF(Меню!$J$8:$FD$8,$B91,Меню!$J$28:$FD$28)*Обложка!$D$15/60,SUMIF(Меню!$J$8:$FD$8,$B91,Меню!$J$28:$FD$28)/1000*Обложка!$D$15)</f>
        <v>0</v>
      </c>
      <c r="E91" s="212">
        <f>IF($B91="Яйцо (шт)",SUMIF(Меню!$J$8:$FD$8,$B91,Меню!$J$43:$FD$43)*Обложка!$D$16/60,SUMIF(Меню!$J$8:$FD$8,$B91,Меню!$J$43:$FD$43)/1000*Обложка!$D$16)</f>
        <v>0</v>
      </c>
      <c r="F91" s="212">
        <f>IF($B91="Яйцо (шт)",SUMIF(Меню!$J$8:$FD$8,$B91,Меню!$J$56:$FD$56)*Обложка!$D$17/60,SUMIF(Меню!$J$8:$FD$8,$B91,Меню!$J$56:$FD$56)/1000*Обложка!$D$17)</f>
        <v>0</v>
      </c>
      <c r="G91" s="212">
        <f>IF($B91="Яйцо (шт)",SUMIF(Меню!$J$8:$FD$8,$B91,Меню!$J$61:$FD$61)*Обложка!$D$18/60,SUMIF(Меню!$J$8:$FD$8,$B91,Меню!$J$61:$FD$61)/1000*Обложка!$D$18)</f>
        <v>0</v>
      </c>
      <c r="H91" s="685">
        <f t="shared" si="9"/>
        <v>0</v>
      </c>
      <c r="I91" s="212">
        <f>IF($B91="Яйцо (шт)",SUMIF(Меню!$J$8:$FD$8,$B91,Меню!$J$73:$FD$73)*Обложка!$F$15/60,SUMIF(Меню!$J$8:$FD$8,$B91,Меню!$J$73:$FD$73)/1000*Обложка!$F$15)</f>
        <v>0</v>
      </c>
      <c r="J91" s="212">
        <f>IF($B91="Яйцо (шт)",SUMIF(Меню!$J$8:$FD$8,$B91,Меню!$J$88:$FD$88)*Обложка!$F$16/60,SUMIF(Меню!$J$8:$FD$8,$B91,Меню!$J$88:$FD$88)/1000*Обложка!$G$16)</f>
        <v>0</v>
      </c>
      <c r="K91" s="212">
        <f>IF($B91="Яйцо (шт)",SUMIF(Меню!$J$8:$FD$8,$B91,Меню!$J$101:$FD$101)*Обложка!$F$17/60,SUMIF(Меню!$J$8:$FD$8,$B91,Меню!$J$101:$FD$101)/1000*Обложка!$F$17)</f>
        <v>0</v>
      </c>
      <c r="L91" s="212">
        <f>IF($B91="Яйцо (шт)",SUMIF(Меню!$J$8:$FD$8,$B91,Меню!$J$106:$FD$106)*Обложка!$F$18/60,SUMIF(Меню!$J$8:$FD$8,$B91,Меню!$J$106:$FD$106)/1000*Обложка!$F$18)</f>
        <v>0</v>
      </c>
      <c r="M91" s="685">
        <f t="shared" si="10"/>
        <v>0</v>
      </c>
      <c r="N91" s="212">
        <f>IF($B91="Яйцо (шт)",SUMIF(Меню!$J$8:$EZ$8,$B91,Меню!$J$118:$EZ$118)*Обложка!$H$15/60,SUMIF(Меню!$J$8:$EZ$8,$B91,Меню!$J$118:$EZ$118)/1000*Обложка!$H$15)</f>
        <v>0</v>
      </c>
      <c r="O91" s="212">
        <f>IF($B91="Яйцо (шт)",SUMIF(Меню!$J$8:$EZ$8,$B91,Меню!$J$133:$EZ$133)*Обложка!$H$16/60,SUMIF(Меню!$J$8:$EZ$8,$B91,Меню!$J$133:$EZ$133)/1000*Обложка!$H$16)</f>
        <v>0</v>
      </c>
      <c r="P91" s="212">
        <f>IF($B91="Яйцо (шт)",SUMIF(Меню!$J$8:$EZ$8,$B91,Меню!$J$146:$EZ$146)*Обложка!$H$17/60,SUMIF(Меню!$J$8:$EZ$8,$B91,Меню!$J$146:$EZ$146)/1000*Обложка!$H$17)</f>
        <v>0</v>
      </c>
      <c r="Q91" s="212">
        <f>IF($B91="Яйцо (шт)",SUMIF(Меню!$J$8:$EZ$8,$B91,Меню!$J$151:$EZ$151)*Обложка!$H$18/60,SUMIF(Меню!$J$8:$EZ$8,$B91,Меню!$J$151:$EZ$151)/1000*Обложка!$H$18)</f>
        <v>0</v>
      </c>
      <c r="R91" s="685">
        <f t="shared" si="11"/>
        <v>0</v>
      </c>
      <c r="S91" s="212">
        <f>IF($B91="Яйцо (шт)",SUMIF(Меню!$J$8:$EZ$8,$B91,Меню!$J$163:$EZ$163)*Обложка!$J$15/60,SUMIF(Меню!$J$8:$EZ$8,$B91,Меню!$J$163:$EZ$163)/1000*Обложка!$J$15)</f>
        <v>0</v>
      </c>
      <c r="T91" s="212">
        <f>IF($B91="Яйцо (шт)",SUMIF(Меню!$J$8:$EZ$8,$B91,Меню!$J$178:$EZ$178)*Обложка!$J$16/60,SUMIF(Меню!$J$8:$EZ$8,$B91,Меню!$J$178:$EZ$178)/1000*Обложка!$J$16)</f>
        <v>0</v>
      </c>
      <c r="U91" s="212">
        <f>IF($B91="Яйцо (шт)",SUMIF(Меню!$J$8:$EZ$8,$B91,Меню!$J$191:$EZ$191)*Обложка!$J$17/60,SUMIF(Меню!$J$8:$EZ$8,$B91,Меню!$J$191:$EZ$191)/1000*Обложка!$J$17)</f>
        <v>0</v>
      </c>
      <c r="V91" s="212">
        <f>IF($B91="Яйцо (шт)",SUMIF(Меню!$J$8:$EZ$8,$B91,Меню!$J$196:$EZ$196)*Обложка!$J$18/60,SUMIF(Меню!$J$8:$EZ$8,$B91,Меню!$J$196:$EZ$196)/1000*Обложка!$J$18)</f>
        <v>0</v>
      </c>
      <c r="W91" s="685">
        <f t="shared" si="12"/>
        <v>0</v>
      </c>
      <c r="X91" s="212">
        <f>IF($B91="Яйцо (шт)",SUMIF(Меню!$J$8:$EZ$8,$B91,Меню!$J$208:$EZ$208)*Обложка!$L$15/60,SUMIF(Меню!$J$8:$EZ$8,$B91,Меню!$J$208:$EZ$208)/1000*Обложка!$L$15)</f>
        <v>0</v>
      </c>
      <c r="Y91" s="212">
        <f>IF($B91="Яйцо (шт)",SUMIF(Меню!$J$8:$EZ$8,$B91,Меню!$J$223:$EZ$223)*Обложка!$L$16/60,SUMIF(Меню!$J$8:$EZ$8,$B91,Меню!$J$223:$EZ$223)/1000*Обложка!$J$16)</f>
        <v>0</v>
      </c>
      <c r="Z91" s="212">
        <f>IF($B91="Яйцо (шт)",SUMIF(Меню!$J$8:$EZ$8,$B91,Меню!$J$236:$EZ$236)*Обложка!$L$17/60,SUMIF(Меню!$J$8:$EZ$8,$B91,Меню!$J$236:$EZ$236)/1000*Обложка!$L$17)</f>
        <v>0</v>
      </c>
      <c r="AA91" s="212">
        <f>IF($B91="Яйцо (шт)",SUMIF(Меню!$J$8:$EZ$8,$B91,Меню!$J$241:$EZ$241)*Обложка!$L$18/60,SUMIF(Меню!$J$8:$EZ$8,$B91,Меню!$J$241:$EZ$241)/1000*Обложка!$L$18)</f>
        <v>0</v>
      </c>
      <c r="AB91" s="685">
        <f t="shared" si="13"/>
        <v>0</v>
      </c>
      <c r="AC91" s="212">
        <f>IF($B91="Яйцо (шт)",SUMIF(Меню!$J$8:$EZ$8,$B91,Меню!$J$253:$EZ$253)*Обложка!$N$15/60,SUMIF(Меню!$J$8:$EZ$8,$B91,Меню!$J$253:$EZ$253)/1000*Обложка!$N$15)</f>
        <v>0</v>
      </c>
      <c r="AD91" s="212">
        <f>IF($B91="Яйцо (шт)",SUMIF(Меню!$J$8:$EZ$8,$B91,Меню!$J$268:$EZ$268)*Обложка!$N$16/60,SUMIF(Меню!$J$8:$EZ$8,$B91,Меню!$J$268:$EZ$268)/1000*Обложка!$N$16)</f>
        <v>0</v>
      </c>
      <c r="AE91" s="212">
        <f>IF($B91="Яйцо (шт)",SUMIF(Меню!$J$8:$EZ$8,$B91,Меню!$J$281:$EZ$281)*Обложка!$N$17/60,SUMIF(Меню!$J$8:$EZ$8,$B91,Меню!$J$281:$EZ$281)/1000*Обложка!$N$17)</f>
        <v>0</v>
      </c>
      <c r="AF91" s="212">
        <f>IF($B91="Яйцо (шт)",SUMIF(Меню!$J$8:$EZ$8,$B91,Меню!$J$286:$EZ$286)*Обложка!$N$18/60,SUMIF(Меню!$J$8:$EZ$8,$B91,Меню!$J$286:$EZ$286)/1000*Обложка!$N$18)</f>
        <v>0</v>
      </c>
      <c r="AG91" s="685">
        <f t="shared" si="14"/>
        <v>0</v>
      </c>
      <c r="AH91" s="212">
        <f>IF($B91="Яйцо (шт)",SUMIF(Меню!$J$8:$EZ$8,$B91,Меню!$J$298:$EZ$298)*Обложка!$P$15/60,SUMIF(Меню!$J$8:$EZ$8,$B91,Меню!$J$298:$EZ$298)/1000*Обложка!$P$15)</f>
        <v>0</v>
      </c>
      <c r="AI91" s="212">
        <f>IF($B91="Яйцо (шт)",SUMIF(Меню!$J$8:$EZ$8,$BB91,Меню!$J$313:$EZ$313)*Обложка!$P$16/60,SUMIF(Меню!$J$8:$EZ$8,$B91,Меню!$J$313:$EZ$313)/1000*Обложка!$P$16)</f>
        <v>0</v>
      </c>
      <c r="AJ91" s="212">
        <f>IF($B91="Яйцо (шт)",SUMIF(Меню!$J$8:$EZ$8,$B91,Меню!$J$326:$EZ$326)*Обложка!$P$17/60,SUMIF(Меню!$J$8:$EZ$8,$B91,Меню!$J$326:$EZ$326)/1000*Обложка!$P$17)</f>
        <v>0</v>
      </c>
      <c r="AK91" s="212">
        <f>IF($B91="Яйцо (шт)",SUMIF(Меню!$J$8:$EZ$8,$B91,Меню!$J$331:$EZ$331)*Обложка!$P$18/60,SUMIF(Меню!$J$8:$EZ$8,$B91,Меню!$J$331:$EZ$331)/1000*Обложка!$P$18)</f>
        <v>0</v>
      </c>
      <c r="AL91" s="699">
        <f t="shared" si="15"/>
        <v>0</v>
      </c>
      <c r="AM91" s="685">
        <f t="shared" si="16"/>
        <v>0</v>
      </c>
    </row>
    <row r="92" spans="1:39" x14ac:dyDescent="0.25">
      <c r="A92" s="249">
        <f t="shared" si="17"/>
        <v>80</v>
      </c>
      <c r="B92" s="248" t="str">
        <f>инфо!D81</f>
        <v>Полуфабрикаты 1</v>
      </c>
      <c r="C92" s="694">
        <f>SUMIF(Меню!$J$8:$FD$8,$B92,Меню!$J$333:$FD$333)</f>
        <v>0</v>
      </c>
      <c r="D92" s="212">
        <f>IF($B92="Яйцо (шт)",SUMIF(Меню!$J$8:$FD$8,$B92,Меню!$J$28:$FD$28)*Обложка!$D$15/60,SUMIF(Меню!$J$8:$FD$8,$B92,Меню!$J$28:$FD$28)/1000*Обложка!$D$15)</f>
        <v>0</v>
      </c>
      <c r="E92" s="212">
        <f>IF($B92="Яйцо (шт)",SUMIF(Меню!$J$8:$FD$8,$B92,Меню!$J$43:$FD$43)*Обложка!$D$16/60,SUMIF(Меню!$J$8:$FD$8,$B92,Меню!$J$43:$FD$43)/1000*Обложка!$D$16)</f>
        <v>0</v>
      </c>
      <c r="F92" s="212">
        <f>IF($B92="Яйцо (шт)",SUMIF(Меню!$J$8:$FD$8,$B92,Меню!$J$56:$FD$56)*Обложка!$D$17/60,SUMIF(Меню!$J$8:$FD$8,$B92,Меню!$J$56:$FD$56)/1000*Обложка!$D$17)</f>
        <v>0</v>
      </c>
      <c r="G92" s="212">
        <f>IF($B92="Яйцо (шт)",SUMIF(Меню!$J$8:$FD$8,$B92,Меню!$J$61:$FD$61)*Обложка!$D$18/60,SUMIF(Меню!$J$8:$FD$8,$B92,Меню!$J$61:$FD$61)/1000*Обложка!$D$18)</f>
        <v>0</v>
      </c>
      <c r="H92" s="685">
        <f t="shared" si="9"/>
        <v>0</v>
      </c>
      <c r="I92" s="212">
        <f>IF($B92="Яйцо (шт)",SUMIF(Меню!$J$8:$FD$8,$B92,Меню!$J$73:$FD$73)*Обложка!$F$15/60,SUMIF(Меню!$J$8:$FD$8,$B92,Меню!$J$73:$FD$73)/1000*Обложка!$F$15)</f>
        <v>0</v>
      </c>
      <c r="J92" s="212">
        <f>IF($B92="Яйцо (шт)",SUMIF(Меню!$J$8:$FD$8,$B92,Меню!$J$88:$FD$88)*Обложка!$F$16/60,SUMIF(Меню!$J$8:$FD$8,$B92,Меню!$J$88:$FD$88)/1000*Обложка!$G$16)</f>
        <v>0</v>
      </c>
      <c r="K92" s="212">
        <f>IF($B92="Яйцо (шт)",SUMIF(Меню!$J$8:$FD$8,$B92,Меню!$J$101:$FD$101)*Обложка!$F$17/60,SUMIF(Меню!$J$8:$FD$8,$B92,Меню!$J$101:$FD$101)/1000*Обложка!$F$17)</f>
        <v>0</v>
      </c>
      <c r="L92" s="212">
        <f>IF($B92="Яйцо (шт)",SUMIF(Меню!$J$8:$FD$8,$B92,Меню!$J$106:$FD$106)*Обложка!$F$18/60,SUMIF(Меню!$J$8:$FD$8,$B92,Меню!$J$106:$FD$106)/1000*Обложка!$F$18)</f>
        <v>0</v>
      </c>
      <c r="M92" s="685">
        <f t="shared" si="10"/>
        <v>0</v>
      </c>
      <c r="N92" s="212">
        <f>IF($B92="Яйцо (шт)",SUMIF(Меню!$J$8:$EZ$8,$B92,Меню!$J$118:$EZ$118)*Обложка!$H$15/60,SUMIF(Меню!$J$8:$EZ$8,$B92,Меню!$J$118:$EZ$118)/1000*Обложка!$H$15)</f>
        <v>0</v>
      </c>
      <c r="O92" s="212">
        <f>IF($B92="Яйцо (шт)",SUMIF(Меню!$J$8:$EZ$8,$B92,Меню!$J$133:$EZ$133)*Обложка!$H$16/60,SUMIF(Меню!$J$8:$EZ$8,$B92,Меню!$J$133:$EZ$133)/1000*Обложка!$H$16)</f>
        <v>0</v>
      </c>
      <c r="P92" s="212">
        <f>IF($B92="Яйцо (шт)",SUMIF(Меню!$J$8:$EZ$8,$B92,Меню!$J$146:$EZ$146)*Обложка!$H$17/60,SUMIF(Меню!$J$8:$EZ$8,$B92,Меню!$J$146:$EZ$146)/1000*Обложка!$H$17)</f>
        <v>0</v>
      </c>
      <c r="Q92" s="212">
        <f>IF($B92="Яйцо (шт)",SUMIF(Меню!$J$8:$EZ$8,$B92,Меню!$J$151:$EZ$151)*Обложка!$H$18/60,SUMIF(Меню!$J$8:$EZ$8,$B92,Меню!$J$151:$EZ$151)/1000*Обложка!$H$18)</f>
        <v>0</v>
      </c>
      <c r="R92" s="685">
        <f t="shared" si="11"/>
        <v>0</v>
      </c>
      <c r="S92" s="212">
        <f>IF($B92="Яйцо (шт)",SUMIF(Меню!$J$8:$EZ$8,$B92,Меню!$J$163:$EZ$163)*Обложка!$J$15/60,SUMIF(Меню!$J$8:$EZ$8,$B92,Меню!$J$163:$EZ$163)/1000*Обложка!$J$15)</f>
        <v>0</v>
      </c>
      <c r="T92" s="212">
        <f>IF($B92="Яйцо (шт)",SUMIF(Меню!$J$8:$EZ$8,$B92,Меню!$J$178:$EZ$178)*Обложка!$J$16/60,SUMIF(Меню!$J$8:$EZ$8,$B92,Меню!$J$178:$EZ$178)/1000*Обложка!$J$16)</f>
        <v>0</v>
      </c>
      <c r="U92" s="212">
        <f>IF($B92="Яйцо (шт)",SUMIF(Меню!$J$8:$EZ$8,$B92,Меню!$J$191:$EZ$191)*Обложка!$J$17/60,SUMIF(Меню!$J$8:$EZ$8,$B92,Меню!$J$191:$EZ$191)/1000*Обложка!$J$17)</f>
        <v>0</v>
      </c>
      <c r="V92" s="212">
        <f>IF($B92="Яйцо (шт)",SUMIF(Меню!$J$8:$EZ$8,$B92,Меню!$J$196:$EZ$196)*Обложка!$J$18/60,SUMIF(Меню!$J$8:$EZ$8,$B92,Меню!$J$196:$EZ$196)/1000*Обложка!$J$18)</f>
        <v>0</v>
      </c>
      <c r="W92" s="685">
        <f t="shared" si="12"/>
        <v>0</v>
      </c>
      <c r="X92" s="212">
        <f>IF($B92="Яйцо (шт)",SUMIF(Меню!$J$8:$EZ$8,$B92,Меню!$J$208:$EZ$208)*Обложка!$L$15/60,SUMIF(Меню!$J$8:$EZ$8,$B92,Меню!$J$208:$EZ$208)/1000*Обложка!$L$15)</f>
        <v>0</v>
      </c>
      <c r="Y92" s="212">
        <f>IF($B92="Яйцо (шт)",SUMIF(Меню!$J$8:$EZ$8,$B92,Меню!$J$223:$EZ$223)*Обложка!$L$16/60,SUMIF(Меню!$J$8:$EZ$8,$B92,Меню!$J$223:$EZ$223)/1000*Обложка!$J$16)</f>
        <v>0</v>
      </c>
      <c r="Z92" s="212">
        <f>IF($B92="Яйцо (шт)",SUMIF(Меню!$J$8:$EZ$8,$B92,Меню!$J$236:$EZ$236)*Обложка!$L$17/60,SUMIF(Меню!$J$8:$EZ$8,$B92,Меню!$J$236:$EZ$236)/1000*Обложка!$L$17)</f>
        <v>0</v>
      </c>
      <c r="AA92" s="212">
        <f>IF($B92="Яйцо (шт)",SUMIF(Меню!$J$8:$EZ$8,$B92,Меню!$J$241:$EZ$241)*Обложка!$L$18/60,SUMIF(Меню!$J$8:$EZ$8,$B92,Меню!$J$241:$EZ$241)/1000*Обложка!$L$18)</f>
        <v>0</v>
      </c>
      <c r="AB92" s="685">
        <f t="shared" si="13"/>
        <v>0</v>
      </c>
      <c r="AC92" s="212">
        <f>IF($B92="Яйцо (шт)",SUMIF(Меню!$J$8:$EZ$8,$B92,Меню!$J$253:$EZ$253)*Обложка!$N$15/60,SUMIF(Меню!$J$8:$EZ$8,$B92,Меню!$J$253:$EZ$253)/1000*Обложка!$N$15)</f>
        <v>0</v>
      </c>
      <c r="AD92" s="212">
        <f>IF($B92="Яйцо (шт)",SUMIF(Меню!$J$8:$EZ$8,$B92,Меню!$J$268:$EZ$268)*Обложка!$N$16/60,SUMIF(Меню!$J$8:$EZ$8,$B92,Меню!$J$268:$EZ$268)/1000*Обложка!$N$16)</f>
        <v>0</v>
      </c>
      <c r="AE92" s="212">
        <f>IF($B92="Яйцо (шт)",SUMIF(Меню!$J$8:$EZ$8,$B92,Меню!$J$281:$EZ$281)*Обложка!$N$17/60,SUMIF(Меню!$J$8:$EZ$8,$B92,Меню!$J$281:$EZ$281)/1000*Обложка!$N$17)</f>
        <v>0</v>
      </c>
      <c r="AF92" s="212">
        <f>IF($B92="Яйцо (шт)",SUMIF(Меню!$J$8:$EZ$8,$B92,Меню!$J$286:$EZ$286)*Обложка!$N$18/60,SUMIF(Меню!$J$8:$EZ$8,$B92,Меню!$J$286:$EZ$286)/1000*Обложка!$N$18)</f>
        <v>0</v>
      </c>
      <c r="AG92" s="685">
        <f t="shared" si="14"/>
        <v>0</v>
      </c>
      <c r="AH92" s="212">
        <f>IF($B92="Яйцо (шт)",SUMIF(Меню!$J$8:$EZ$8,$B92,Меню!$J$298:$EZ$298)*Обложка!$P$15/60,SUMIF(Меню!$J$8:$EZ$8,$B92,Меню!$J$298:$EZ$298)/1000*Обложка!$P$15)</f>
        <v>0</v>
      </c>
      <c r="AI92" s="212">
        <f>IF($B92="Яйцо (шт)",SUMIF(Меню!$J$8:$EZ$8,$BB92,Меню!$J$313:$EZ$313)*Обложка!$P$16/60,SUMIF(Меню!$J$8:$EZ$8,$B92,Меню!$J$313:$EZ$313)/1000*Обложка!$P$16)</f>
        <v>0</v>
      </c>
      <c r="AJ92" s="212">
        <f>IF($B92="Яйцо (шт)",SUMIF(Меню!$J$8:$EZ$8,$B92,Меню!$J$326:$EZ$326)*Обложка!$P$17/60,SUMIF(Меню!$J$8:$EZ$8,$B92,Меню!$J$326:$EZ$326)/1000*Обложка!$P$17)</f>
        <v>0</v>
      </c>
      <c r="AK92" s="212">
        <f>IF($B92="Яйцо (шт)",SUMIF(Меню!$J$8:$EZ$8,$B92,Меню!$J$331:$EZ$331)*Обложка!$P$18/60,SUMIF(Меню!$J$8:$EZ$8,$B92,Меню!$J$331:$EZ$331)/1000*Обложка!$P$18)</f>
        <v>0</v>
      </c>
      <c r="AL92" s="699">
        <f t="shared" si="15"/>
        <v>0</v>
      </c>
      <c r="AM92" s="685">
        <f t="shared" si="16"/>
        <v>0</v>
      </c>
    </row>
    <row r="93" spans="1:39" x14ac:dyDescent="0.25">
      <c r="A93" s="249">
        <f t="shared" si="17"/>
        <v>81</v>
      </c>
      <c r="B93" s="248" t="str">
        <f>инфо!D82</f>
        <v>Консервы рыбные</v>
      </c>
      <c r="C93" s="694">
        <f>SUMIF(Меню!$J$8:$FD$8,$B93,Меню!$J$333:$FD$333)</f>
        <v>0</v>
      </c>
      <c r="D93" s="212">
        <f>IF($B93="Яйцо (шт)",SUMIF(Меню!$J$8:$FD$8,$B93,Меню!$J$28:$FD$28)*Обложка!$D$15/60,SUMIF(Меню!$J$8:$FD$8,$B93,Меню!$J$28:$FD$28)/1000*Обложка!$D$15)</f>
        <v>0</v>
      </c>
      <c r="E93" s="212">
        <f>IF($B93="Яйцо (шт)",SUMIF(Меню!$J$8:$FD$8,$B93,Меню!$J$43:$FD$43)*Обложка!$D$16/60,SUMIF(Меню!$J$8:$FD$8,$B93,Меню!$J$43:$FD$43)/1000*Обложка!$D$16)</f>
        <v>0</v>
      </c>
      <c r="F93" s="212">
        <f>IF($B93="Яйцо (шт)",SUMIF(Меню!$J$8:$FD$8,$B93,Меню!$J$56:$FD$56)*Обложка!$D$17/60,SUMIF(Меню!$J$8:$FD$8,$B93,Меню!$J$56:$FD$56)/1000*Обложка!$D$17)</f>
        <v>0</v>
      </c>
      <c r="G93" s="212">
        <f>IF($B93="Яйцо (шт)",SUMIF(Меню!$J$8:$FD$8,$B93,Меню!$J$61:$FD$61)*Обложка!$D$18/60,SUMIF(Меню!$J$8:$FD$8,$B93,Меню!$J$61:$FD$61)/1000*Обложка!$D$18)</f>
        <v>0</v>
      </c>
      <c r="H93" s="685">
        <f t="shared" si="9"/>
        <v>0</v>
      </c>
      <c r="I93" s="212">
        <f>IF($B93="Яйцо (шт)",SUMIF(Меню!$J$8:$FD$8,$B93,Меню!$J$73:$FD$73)*Обложка!$F$15/60,SUMIF(Меню!$J$8:$FD$8,$B93,Меню!$J$73:$FD$73)/1000*Обложка!$F$15)</f>
        <v>0</v>
      </c>
      <c r="J93" s="212">
        <f>IF($B93="Яйцо (шт)",SUMIF(Меню!$J$8:$FD$8,$B93,Меню!$J$88:$FD$88)*Обложка!$F$16/60,SUMIF(Меню!$J$8:$FD$8,$B93,Меню!$J$88:$FD$88)/1000*Обложка!$G$16)</f>
        <v>0</v>
      </c>
      <c r="K93" s="212">
        <f>IF($B93="Яйцо (шт)",SUMIF(Меню!$J$8:$FD$8,$B93,Меню!$J$101:$FD$101)*Обложка!$F$17/60,SUMIF(Меню!$J$8:$FD$8,$B93,Меню!$J$101:$FD$101)/1000*Обложка!$F$17)</f>
        <v>0</v>
      </c>
      <c r="L93" s="212">
        <f>IF($B93="Яйцо (шт)",SUMIF(Меню!$J$8:$FD$8,$B93,Меню!$J$106:$FD$106)*Обложка!$F$18/60,SUMIF(Меню!$J$8:$FD$8,$B93,Меню!$J$106:$FD$106)/1000*Обложка!$F$18)</f>
        <v>0</v>
      </c>
      <c r="M93" s="685">
        <f t="shared" si="10"/>
        <v>0</v>
      </c>
      <c r="N93" s="212">
        <f>IF($B93="Яйцо (шт)",SUMIF(Меню!$J$8:$EZ$8,$B93,Меню!$J$118:$EZ$118)*Обложка!$H$15/60,SUMIF(Меню!$J$8:$EZ$8,$B93,Меню!$J$118:$EZ$118)/1000*Обложка!$H$15)</f>
        <v>0</v>
      </c>
      <c r="O93" s="212">
        <f>IF($B93="Яйцо (шт)",SUMIF(Меню!$J$8:$EZ$8,$B93,Меню!$J$133:$EZ$133)*Обложка!$H$16/60,SUMIF(Меню!$J$8:$EZ$8,$B93,Меню!$J$133:$EZ$133)/1000*Обложка!$H$16)</f>
        <v>0</v>
      </c>
      <c r="P93" s="212">
        <f>IF($B93="Яйцо (шт)",SUMIF(Меню!$J$8:$EZ$8,$B93,Меню!$J$146:$EZ$146)*Обложка!$H$17/60,SUMIF(Меню!$J$8:$EZ$8,$B93,Меню!$J$146:$EZ$146)/1000*Обложка!$H$17)</f>
        <v>0</v>
      </c>
      <c r="Q93" s="212">
        <f>IF($B93="Яйцо (шт)",SUMIF(Меню!$J$8:$EZ$8,$B93,Меню!$J$151:$EZ$151)*Обложка!$H$18/60,SUMIF(Меню!$J$8:$EZ$8,$B93,Меню!$J$151:$EZ$151)/1000*Обложка!$H$18)</f>
        <v>0</v>
      </c>
      <c r="R93" s="685">
        <f t="shared" si="11"/>
        <v>0</v>
      </c>
      <c r="S93" s="212">
        <f>IF($B93="Яйцо (шт)",SUMIF(Меню!$J$8:$EZ$8,$B93,Меню!$J$163:$EZ$163)*Обложка!$J$15/60,SUMIF(Меню!$J$8:$EZ$8,$B93,Меню!$J$163:$EZ$163)/1000*Обложка!$J$15)</f>
        <v>0</v>
      </c>
      <c r="T93" s="212">
        <f>IF($B93="Яйцо (шт)",SUMIF(Меню!$J$8:$EZ$8,$B93,Меню!$J$178:$EZ$178)*Обложка!$J$16/60,SUMIF(Меню!$J$8:$EZ$8,$B93,Меню!$J$178:$EZ$178)/1000*Обложка!$J$16)</f>
        <v>0</v>
      </c>
      <c r="U93" s="212">
        <f>IF($B93="Яйцо (шт)",SUMIF(Меню!$J$8:$EZ$8,$B93,Меню!$J$191:$EZ$191)*Обложка!$J$17/60,SUMIF(Меню!$J$8:$EZ$8,$B93,Меню!$J$191:$EZ$191)/1000*Обложка!$J$17)</f>
        <v>0</v>
      </c>
      <c r="V93" s="212">
        <f>IF($B93="Яйцо (шт)",SUMIF(Меню!$J$8:$EZ$8,$B93,Меню!$J$196:$EZ$196)*Обложка!$J$18/60,SUMIF(Меню!$J$8:$EZ$8,$B93,Меню!$J$196:$EZ$196)/1000*Обложка!$J$18)</f>
        <v>0</v>
      </c>
      <c r="W93" s="685">
        <f t="shared" si="12"/>
        <v>0</v>
      </c>
      <c r="X93" s="212">
        <f>IF($B93="Яйцо (шт)",SUMIF(Меню!$J$8:$EZ$8,$B93,Меню!$J$208:$EZ$208)*Обложка!$L$15/60,SUMIF(Меню!$J$8:$EZ$8,$B93,Меню!$J$208:$EZ$208)/1000*Обложка!$L$15)</f>
        <v>0</v>
      </c>
      <c r="Y93" s="212">
        <f>IF($B93="Яйцо (шт)",SUMIF(Меню!$J$8:$EZ$8,$B93,Меню!$J$223:$EZ$223)*Обложка!$L$16/60,SUMIF(Меню!$J$8:$EZ$8,$B93,Меню!$J$223:$EZ$223)/1000*Обложка!$J$16)</f>
        <v>0</v>
      </c>
      <c r="Z93" s="212">
        <f>IF($B93="Яйцо (шт)",SUMIF(Меню!$J$8:$EZ$8,$B93,Меню!$J$236:$EZ$236)*Обложка!$L$17/60,SUMIF(Меню!$J$8:$EZ$8,$B93,Меню!$J$236:$EZ$236)/1000*Обложка!$L$17)</f>
        <v>0</v>
      </c>
      <c r="AA93" s="212">
        <f>IF($B93="Яйцо (шт)",SUMIF(Меню!$J$8:$EZ$8,$B93,Меню!$J$241:$EZ$241)*Обложка!$L$18/60,SUMIF(Меню!$J$8:$EZ$8,$B93,Меню!$J$241:$EZ$241)/1000*Обложка!$L$18)</f>
        <v>0</v>
      </c>
      <c r="AB93" s="685">
        <f t="shared" si="13"/>
        <v>0</v>
      </c>
      <c r="AC93" s="212">
        <f>IF($B93="Яйцо (шт)",SUMIF(Меню!$J$8:$EZ$8,$B93,Меню!$J$253:$EZ$253)*Обложка!$N$15/60,SUMIF(Меню!$J$8:$EZ$8,$B93,Меню!$J$253:$EZ$253)/1000*Обложка!$N$15)</f>
        <v>0</v>
      </c>
      <c r="AD93" s="212">
        <f>IF($B93="Яйцо (шт)",SUMIF(Меню!$J$8:$EZ$8,$B93,Меню!$J$268:$EZ$268)*Обложка!$N$16/60,SUMIF(Меню!$J$8:$EZ$8,$B93,Меню!$J$268:$EZ$268)/1000*Обложка!$N$16)</f>
        <v>0</v>
      </c>
      <c r="AE93" s="212">
        <f>IF($B93="Яйцо (шт)",SUMIF(Меню!$J$8:$EZ$8,$B93,Меню!$J$281:$EZ$281)*Обложка!$N$17/60,SUMIF(Меню!$J$8:$EZ$8,$B93,Меню!$J$281:$EZ$281)/1000*Обложка!$N$17)</f>
        <v>0</v>
      </c>
      <c r="AF93" s="212">
        <f>IF($B93="Яйцо (шт)",SUMIF(Меню!$J$8:$EZ$8,$B93,Меню!$J$286:$EZ$286)*Обложка!$N$18/60,SUMIF(Меню!$J$8:$EZ$8,$B93,Меню!$J$286:$EZ$286)/1000*Обложка!$N$18)</f>
        <v>0</v>
      </c>
      <c r="AG93" s="685">
        <f t="shared" si="14"/>
        <v>0</v>
      </c>
      <c r="AH93" s="212">
        <f>IF($B93="Яйцо (шт)",SUMIF(Меню!$J$8:$EZ$8,$B93,Меню!$J$298:$EZ$298)*Обложка!$P$15/60,SUMIF(Меню!$J$8:$EZ$8,$B93,Меню!$J$298:$EZ$298)/1000*Обложка!$P$15)</f>
        <v>0</v>
      </c>
      <c r="AI93" s="212">
        <f>IF($B93="Яйцо (шт)",SUMIF(Меню!$J$8:$EZ$8,$BB93,Меню!$J$313:$EZ$313)*Обложка!$P$16/60,SUMIF(Меню!$J$8:$EZ$8,$B93,Меню!$J$313:$EZ$313)/1000*Обложка!$P$16)</f>
        <v>0</v>
      </c>
      <c r="AJ93" s="212">
        <f>IF($B93="Яйцо (шт)",SUMIF(Меню!$J$8:$EZ$8,$B93,Меню!$J$326:$EZ$326)*Обложка!$P$17/60,SUMIF(Меню!$J$8:$EZ$8,$B93,Меню!$J$326:$EZ$326)/1000*Обложка!$P$17)</f>
        <v>0</v>
      </c>
      <c r="AK93" s="212">
        <f>IF($B93="Яйцо (шт)",SUMIF(Меню!$J$8:$EZ$8,$B93,Меню!$J$331:$EZ$331)*Обложка!$P$18/60,SUMIF(Меню!$J$8:$EZ$8,$B93,Меню!$J$331:$EZ$331)/1000*Обложка!$P$18)</f>
        <v>0</v>
      </c>
      <c r="AL93" s="699">
        <f t="shared" si="15"/>
        <v>0</v>
      </c>
      <c r="AM93" s="685">
        <f t="shared" si="16"/>
        <v>0</v>
      </c>
    </row>
    <row r="94" spans="1:39" x14ac:dyDescent="0.25">
      <c r="A94" s="249">
        <f t="shared" si="17"/>
        <v>82</v>
      </c>
      <c r="B94" s="248" t="str">
        <f>инфо!D83</f>
        <v>Хек б/г</v>
      </c>
      <c r="C94" s="694">
        <f>SUMIF(Меню!$J$8:$FD$8,$B94,Меню!$J$333:$FD$333)</f>
        <v>0</v>
      </c>
      <c r="D94" s="212">
        <f>IF($B94="Яйцо (шт)",SUMIF(Меню!$J$8:$FD$8,$B94,Меню!$J$28:$FD$28)*Обложка!$D$15/60,SUMIF(Меню!$J$8:$FD$8,$B94,Меню!$J$28:$FD$28)/1000*Обложка!$D$15)</f>
        <v>0</v>
      </c>
      <c r="E94" s="212">
        <f>IF($B94="Яйцо (шт)",SUMIF(Меню!$J$8:$FD$8,$B94,Меню!$J$43:$FD$43)*Обложка!$D$16/60,SUMIF(Меню!$J$8:$FD$8,$B94,Меню!$J$43:$FD$43)/1000*Обложка!$D$16)</f>
        <v>0</v>
      </c>
      <c r="F94" s="212">
        <f>IF($B94="Яйцо (шт)",SUMIF(Меню!$J$8:$FD$8,$B94,Меню!$J$56:$FD$56)*Обложка!$D$17/60,SUMIF(Меню!$J$8:$FD$8,$B94,Меню!$J$56:$FD$56)/1000*Обложка!$D$17)</f>
        <v>0</v>
      </c>
      <c r="G94" s="212">
        <f>IF($B94="Яйцо (шт)",SUMIF(Меню!$J$8:$FD$8,$B94,Меню!$J$61:$FD$61)*Обложка!$D$18/60,SUMIF(Меню!$J$8:$FD$8,$B94,Меню!$J$61:$FD$61)/1000*Обложка!$D$18)</f>
        <v>0</v>
      </c>
      <c r="H94" s="685">
        <f t="shared" si="9"/>
        <v>0</v>
      </c>
      <c r="I94" s="212">
        <f>IF($B94="Яйцо (шт)",SUMIF(Меню!$J$8:$FD$8,$B94,Меню!$J$73:$FD$73)*Обложка!$F$15/60,SUMIF(Меню!$J$8:$FD$8,$B94,Меню!$J$73:$FD$73)/1000*Обложка!$F$15)</f>
        <v>0</v>
      </c>
      <c r="J94" s="212">
        <f>IF($B94="Яйцо (шт)",SUMIF(Меню!$J$8:$FD$8,$B94,Меню!$J$88:$FD$88)*Обложка!$F$16/60,SUMIF(Меню!$J$8:$FD$8,$B94,Меню!$J$88:$FD$88)/1000*Обложка!$G$16)</f>
        <v>0</v>
      </c>
      <c r="K94" s="212">
        <f>IF($B94="Яйцо (шт)",SUMIF(Меню!$J$8:$FD$8,$B94,Меню!$J$101:$FD$101)*Обложка!$F$17/60,SUMIF(Меню!$J$8:$FD$8,$B94,Меню!$J$101:$FD$101)/1000*Обложка!$F$17)</f>
        <v>0</v>
      </c>
      <c r="L94" s="212">
        <f>IF($B94="Яйцо (шт)",SUMIF(Меню!$J$8:$FD$8,$B94,Меню!$J$106:$FD$106)*Обложка!$F$18/60,SUMIF(Меню!$J$8:$FD$8,$B94,Меню!$J$106:$FD$106)/1000*Обложка!$F$18)</f>
        <v>0</v>
      </c>
      <c r="M94" s="685">
        <f t="shared" si="10"/>
        <v>0</v>
      </c>
      <c r="N94" s="212">
        <f>IF($B94="Яйцо (шт)",SUMIF(Меню!$J$8:$EZ$8,$B94,Меню!$J$118:$EZ$118)*Обложка!$H$15/60,SUMIF(Меню!$J$8:$EZ$8,$B94,Меню!$J$118:$EZ$118)/1000*Обложка!$H$15)</f>
        <v>0</v>
      </c>
      <c r="O94" s="212">
        <f>IF($B94="Яйцо (шт)",SUMIF(Меню!$J$8:$EZ$8,$B94,Меню!$J$133:$EZ$133)*Обложка!$H$16/60,SUMIF(Меню!$J$8:$EZ$8,$B94,Меню!$J$133:$EZ$133)/1000*Обложка!$H$16)</f>
        <v>0</v>
      </c>
      <c r="P94" s="212">
        <f>IF($B94="Яйцо (шт)",SUMIF(Меню!$J$8:$EZ$8,$B94,Меню!$J$146:$EZ$146)*Обложка!$H$17/60,SUMIF(Меню!$J$8:$EZ$8,$B94,Меню!$J$146:$EZ$146)/1000*Обложка!$H$17)</f>
        <v>0</v>
      </c>
      <c r="Q94" s="212">
        <f>IF($B94="Яйцо (шт)",SUMIF(Меню!$J$8:$EZ$8,$B94,Меню!$J$151:$EZ$151)*Обложка!$H$18/60,SUMIF(Меню!$J$8:$EZ$8,$B94,Меню!$J$151:$EZ$151)/1000*Обложка!$H$18)</f>
        <v>0</v>
      </c>
      <c r="R94" s="685">
        <f t="shared" si="11"/>
        <v>0</v>
      </c>
      <c r="S94" s="212">
        <f>IF($B94="Яйцо (шт)",SUMIF(Меню!$J$8:$EZ$8,$B94,Меню!$J$163:$EZ$163)*Обложка!$J$15/60,SUMIF(Меню!$J$8:$EZ$8,$B94,Меню!$J$163:$EZ$163)/1000*Обложка!$J$15)</f>
        <v>0</v>
      </c>
      <c r="T94" s="212">
        <f>IF($B94="Яйцо (шт)",SUMIF(Меню!$J$8:$EZ$8,$B94,Меню!$J$178:$EZ$178)*Обложка!$J$16/60,SUMIF(Меню!$J$8:$EZ$8,$B94,Меню!$J$178:$EZ$178)/1000*Обложка!$J$16)</f>
        <v>0</v>
      </c>
      <c r="U94" s="212">
        <f>IF($B94="Яйцо (шт)",SUMIF(Меню!$J$8:$EZ$8,$B94,Меню!$J$191:$EZ$191)*Обложка!$J$17/60,SUMIF(Меню!$J$8:$EZ$8,$B94,Меню!$J$191:$EZ$191)/1000*Обложка!$J$17)</f>
        <v>0</v>
      </c>
      <c r="V94" s="212">
        <f>IF($B94="Яйцо (шт)",SUMIF(Меню!$J$8:$EZ$8,$B94,Меню!$J$196:$EZ$196)*Обложка!$J$18/60,SUMIF(Меню!$J$8:$EZ$8,$B94,Меню!$J$196:$EZ$196)/1000*Обложка!$J$18)</f>
        <v>0</v>
      </c>
      <c r="W94" s="685">
        <f t="shared" si="12"/>
        <v>0</v>
      </c>
      <c r="X94" s="212">
        <f>IF($B94="Яйцо (шт)",SUMIF(Меню!$J$8:$EZ$8,$B94,Меню!$J$208:$EZ$208)*Обложка!$L$15/60,SUMIF(Меню!$J$8:$EZ$8,$B94,Меню!$J$208:$EZ$208)/1000*Обложка!$L$15)</f>
        <v>0</v>
      </c>
      <c r="Y94" s="212">
        <f>IF($B94="Яйцо (шт)",SUMIF(Меню!$J$8:$EZ$8,$B94,Меню!$J$223:$EZ$223)*Обложка!$L$16/60,SUMIF(Меню!$J$8:$EZ$8,$B94,Меню!$J$223:$EZ$223)/1000*Обложка!$J$16)</f>
        <v>0</v>
      </c>
      <c r="Z94" s="212">
        <f>IF($B94="Яйцо (шт)",SUMIF(Меню!$J$8:$EZ$8,$B94,Меню!$J$236:$EZ$236)*Обложка!$L$17/60,SUMIF(Меню!$J$8:$EZ$8,$B94,Меню!$J$236:$EZ$236)/1000*Обложка!$L$17)</f>
        <v>0</v>
      </c>
      <c r="AA94" s="212">
        <f>IF($B94="Яйцо (шт)",SUMIF(Меню!$J$8:$EZ$8,$B94,Меню!$J$241:$EZ$241)*Обложка!$L$18/60,SUMIF(Меню!$J$8:$EZ$8,$B94,Меню!$J$241:$EZ$241)/1000*Обложка!$L$18)</f>
        <v>0</v>
      </c>
      <c r="AB94" s="685">
        <f t="shared" si="13"/>
        <v>0</v>
      </c>
      <c r="AC94" s="212">
        <f>IF($B94="Яйцо (шт)",SUMIF(Меню!$J$8:$EZ$8,$B94,Меню!$J$253:$EZ$253)*Обложка!$N$15/60,SUMIF(Меню!$J$8:$EZ$8,$B94,Меню!$J$253:$EZ$253)/1000*Обложка!$N$15)</f>
        <v>0</v>
      </c>
      <c r="AD94" s="212">
        <f>IF($B94="Яйцо (шт)",SUMIF(Меню!$J$8:$EZ$8,$B94,Меню!$J$268:$EZ$268)*Обложка!$N$16/60,SUMIF(Меню!$J$8:$EZ$8,$B94,Меню!$J$268:$EZ$268)/1000*Обложка!$N$16)</f>
        <v>0</v>
      </c>
      <c r="AE94" s="212">
        <f>IF($B94="Яйцо (шт)",SUMIF(Меню!$J$8:$EZ$8,$B94,Меню!$J$281:$EZ$281)*Обложка!$N$17/60,SUMIF(Меню!$J$8:$EZ$8,$B94,Меню!$J$281:$EZ$281)/1000*Обложка!$N$17)</f>
        <v>0</v>
      </c>
      <c r="AF94" s="212">
        <f>IF($B94="Яйцо (шт)",SUMIF(Меню!$J$8:$EZ$8,$B94,Меню!$J$286:$EZ$286)*Обложка!$N$18/60,SUMIF(Меню!$J$8:$EZ$8,$B94,Меню!$J$286:$EZ$286)/1000*Обложка!$N$18)</f>
        <v>0</v>
      </c>
      <c r="AG94" s="685">
        <f t="shared" si="14"/>
        <v>0</v>
      </c>
      <c r="AH94" s="212">
        <f>IF($B94="Яйцо (шт)",SUMIF(Меню!$J$8:$EZ$8,$B94,Меню!$J$298:$EZ$298)*Обложка!$P$15/60,SUMIF(Меню!$J$8:$EZ$8,$B94,Меню!$J$298:$EZ$298)/1000*Обложка!$P$15)</f>
        <v>0</v>
      </c>
      <c r="AI94" s="212">
        <f>IF($B94="Яйцо (шт)",SUMIF(Меню!$J$8:$EZ$8,$BB94,Меню!$J$313:$EZ$313)*Обложка!$P$16/60,SUMIF(Меню!$J$8:$EZ$8,$B94,Меню!$J$313:$EZ$313)/1000*Обложка!$P$16)</f>
        <v>0</v>
      </c>
      <c r="AJ94" s="212">
        <f>IF($B94="Яйцо (шт)",SUMIF(Меню!$J$8:$EZ$8,$B94,Меню!$J$326:$EZ$326)*Обложка!$P$17/60,SUMIF(Меню!$J$8:$EZ$8,$B94,Меню!$J$326:$EZ$326)/1000*Обложка!$P$17)</f>
        <v>0</v>
      </c>
      <c r="AK94" s="212">
        <f>IF($B94="Яйцо (шт)",SUMIF(Меню!$J$8:$EZ$8,$B94,Меню!$J$331:$EZ$331)*Обложка!$P$18/60,SUMIF(Меню!$J$8:$EZ$8,$B94,Меню!$J$331:$EZ$331)/1000*Обложка!$P$18)</f>
        <v>0</v>
      </c>
      <c r="AL94" s="699">
        <f t="shared" si="15"/>
        <v>0</v>
      </c>
      <c r="AM94" s="685">
        <f t="shared" si="16"/>
        <v>0</v>
      </c>
    </row>
    <row r="95" spans="1:39" x14ac:dyDescent="0.25">
      <c r="A95" s="249">
        <f t="shared" si="17"/>
        <v>83</v>
      </c>
      <c r="B95" s="248" t="str">
        <f>инфо!D84</f>
        <v>Хек с/г</v>
      </c>
      <c r="C95" s="694">
        <f>SUMIF(Меню!$J$8:$FD$8,$B95,Меню!$J$333:$FD$333)</f>
        <v>0</v>
      </c>
      <c r="D95" s="212">
        <f>IF($B95="Яйцо (шт)",SUMIF(Меню!$J$8:$FD$8,$B95,Меню!$J$28:$FD$28)*Обложка!$D$15/60,SUMIF(Меню!$J$8:$FD$8,$B95,Меню!$J$28:$FD$28)/1000*Обложка!$D$15)</f>
        <v>0</v>
      </c>
      <c r="E95" s="212">
        <f>IF($B95="Яйцо (шт)",SUMIF(Меню!$J$8:$FD$8,$B95,Меню!$J$43:$FD$43)*Обложка!$D$16/60,SUMIF(Меню!$J$8:$FD$8,$B95,Меню!$J$43:$FD$43)/1000*Обложка!$D$16)</f>
        <v>0</v>
      </c>
      <c r="F95" s="212">
        <f>IF($B95="Яйцо (шт)",SUMIF(Меню!$J$8:$FD$8,$B95,Меню!$J$56:$FD$56)*Обложка!$D$17/60,SUMIF(Меню!$J$8:$FD$8,$B95,Меню!$J$56:$FD$56)/1000*Обложка!$D$17)</f>
        <v>0</v>
      </c>
      <c r="G95" s="212">
        <f>IF($B95="Яйцо (шт)",SUMIF(Меню!$J$8:$FD$8,$B95,Меню!$J$61:$FD$61)*Обложка!$D$18/60,SUMIF(Меню!$J$8:$FD$8,$B95,Меню!$J$61:$FD$61)/1000*Обложка!$D$18)</f>
        <v>0</v>
      </c>
      <c r="H95" s="685">
        <f t="shared" si="9"/>
        <v>0</v>
      </c>
      <c r="I95" s="212">
        <f>IF($B95="Яйцо (шт)",SUMIF(Меню!$J$8:$FD$8,$B95,Меню!$J$73:$FD$73)*Обложка!$F$15/60,SUMIF(Меню!$J$8:$FD$8,$B95,Меню!$J$73:$FD$73)/1000*Обложка!$F$15)</f>
        <v>0</v>
      </c>
      <c r="J95" s="212">
        <f>IF($B95="Яйцо (шт)",SUMIF(Меню!$J$8:$FD$8,$B95,Меню!$J$88:$FD$88)*Обложка!$F$16/60,SUMIF(Меню!$J$8:$FD$8,$B95,Меню!$J$88:$FD$88)/1000*Обложка!$G$16)</f>
        <v>0</v>
      </c>
      <c r="K95" s="212">
        <f>IF($B95="Яйцо (шт)",SUMIF(Меню!$J$8:$FD$8,$B95,Меню!$J$101:$FD$101)*Обложка!$F$17/60,SUMIF(Меню!$J$8:$FD$8,$B95,Меню!$J$101:$FD$101)/1000*Обложка!$F$17)</f>
        <v>0</v>
      </c>
      <c r="L95" s="212">
        <f>IF($B95="Яйцо (шт)",SUMIF(Меню!$J$8:$FD$8,$B95,Меню!$J$106:$FD$106)*Обложка!$F$18/60,SUMIF(Меню!$J$8:$FD$8,$B95,Меню!$J$106:$FD$106)/1000*Обложка!$F$18)</f>
        <v>0</v>
      </c>
      <c r="M95" s="685">
        <f t="shared" si="10"/>
        <v>0</v>
      </c>
      <c r="N95" s="212">
        <f>IF($B95="Яйцо (шт)",SUMIF(Меню!$J$8:$EZ$8,$B95,Меню!$J$118:$EZ$118)*Обложка!$H$15/60,SUMIF(Меню!$J$8:$EZ$8,$B95,Меню!$J$118:$EZ$118)/1000*Обложка!$H$15)</f>
        <v>0</v>
      </c>
      <c r="O95" s="212">
        <f>IF($B95="Яйцо (шт)",SUMIF(Меню!$J$8:$EZ$8,$B95,Меню!$J$133:$EZ$133)*Обложка!$H$16/60,SUMIF(Меню!$J$8:$EZ$8,$B95,Меню!$J$133:$EZ$133)/1000*Обложка!$H$16)</f>
        <v>0</v>
      </c>
      <c r="P95" s="212">
        <f>IF($B95="Яйцо (шт)",SUMIF(Меню!$J$8:$EZ$8,$B95,Меню!$J$146:$EZ$146)*Обложка!$H$17/60,SUMIF(Меню!$J$8:$EZ$8,$B95,Меню!$J$146:$EZ$146)/1000*Обложка!$H$17)</f>
        <v>0</v>
      </c>
      <c r="Q95" s="212">
        <f>IF($B95="Яйцо (шт)",SUMIF(Меню!$J$8:$EZ$8,$B95,Меню!$J$151:$EZ$151)*Обложка!$H$18/60,SUMIF(Меню!$J$8:$EZ$8,$B95,Меню!$J$151:$EZ$151)/1000*Обложка!$H$18)</f>
        <v>0</v>
      </c>
      <c r="R95" s="685">
        <f t="shared" si="11"/>
        <v>0</v>
      </c>
      <c r="S95" s="212">
        <f>IF($B95="Яйцо (шт)",SUMIF(Меню!$J$8:$EZ$8,$B95,Меню!$J$163:$EZ$163)*Обложка!$J$15/60,SUMIF(Меню!$J$8:$EZ$8,$B95,Меню!$J$163:$EZ$163)/1000*Обложка!$J$15)</f>
        <v>0</v>
      </c>
      <c r="T95" s="212">
        <f>IF($B95="Яйцо (шт)",SUMIF(Меню!$J$8:$EZ$8,$B95,Меню!$J$178:$EZ$178)*Обложка!$J$16/60,SUMIF(Меню!$J$8:$EZ$8,$B95,Меню!$J$178:$EZ$178)/1000*Обложка!$J$16)</f>
        <v>0</v>
      </c>
      <c r="U95" s="212">
        <f>IF($B95="Яйцо (шт)",SUMIF(Меню!$J$8:$EZ$8,$B95,Меню!$J$191:$EZ$191)*Обложка!$J$17/60,SUMIF(Меню!$J$8:$EZ$8,$B95,Меню!$J$191:$EZ$191)/1000*Обложка!$J$17)</f>
        <v>0</v>
      </c>
      <c r="V95" s="212">
        <f>IF($B95="Яйцо (шт)",SUMIF(Меню!$J$8:$EZ$8,$B95,Меню!$J$196:$EZ$196)*Обложка!$J$18/60,SUMIF(Меню!$J$8:$EZ$8,$B95,Меню!$J$196:$EZ$196)/1000*Обложка!$J$18)</f>
        <v>0</v>
      </c>
      <c r="W95" s="685">
        <f t="shared" si="12"/>
        <v>0</v>
      </c>
      <c r="X95" s="212">
        <f>IF($B95="Яйцо (шт)",SUMIF(Меню!$J$8:$EZ$8,$B95,Меню!$J$208:$EZ$208)*Обложка!$L$15/60,SUMIF(Меню!$J$8:$EZ$8,$B95,Меню!$J$208:$EZ$208)/1000*Обложка!$L$15)</f>
        <v>0</v>
      </c>
      <c r="Y95" s="212">
        <f>IF($B95="Яйцо (шт)",SUMIF(Меню!$J$8:$EZ$8,$B95,Меню!$J$223:$EZ$223)*Обложка!$L$16/60,SUMIF(Меню!$J$8:$EZ$8,$B95,Меню!$J$223:$EZ$223)/1000*Обложка!$J$16)</f>
        <v>0</v>
      </c>
      <c r="Z95" s="212">
        <f>IF($B95="Яйцо (шт)",SUMIF(Меню!$J$8:$EZ$8,$B95,Меню!$J$236:$EZ$236)*Обложка!$L$17/60,SUMIF(Меню!$J$8:$EZ$8,$B95,Меню!$J$236:$EZ$236)/1000*Обложка!$L$17)</f>
        <v>0</v>
      </c>
      <c r="AA95" s="212">
        <f>IF($B95="Яйцо (шт)",SUMIF(Меню!$J$8:$EZ$8,$B95,Меню!$J$241:$EZ$241)*Обложка!$L$18/60,SUMIF(Меню!$J$8:$EZ$8,$B95,Меню!$J$241:$EZ$241)/1000*Обложка!$L$18)</f>
        <v>0</v>
      </c>
      <c r="AB95" s="685">
        <f t="shared" si="13"/>
        <v>0</v>
      </c>
      <c r="AC95" s="212">
        <f>IF($B95="Яйцо (шт)",SUMIF(Меню!$J$8:$EZ$8,$B95,Меню!$J$253:$EZ$253)*Обложка!$N$15/60,SUMIF(Меню!$J$8:$EZ$8,$B95,Меню!$J$253:$EZ$253)/1000*Обложка!$N$15)</f>
        <v>0</v>
      </c>
      <c r="AD95" s="212">
        <f>IF($B95="Яйцо (шт)",SUMIF(Меню!$J$8:$EZ$8,$B95,Меню!$J$268:$EZ$268)*Обложка!$N$16/60,SUMIF(Меню!$J$8:$EZ$8,$B95,Меню!$J$268:$EZ$268)/1000*Обложка!$N$16)</f>
        <v>0</v>
      </c>
      <c r="AE95" s="212">
        <f>IF($B95="Яйцо (шт)",SUMIF(Меню!$J$8:$EZ$8,$B95,Меню!$J$281:$EZ$281)*Обложка!$N$17/60,SUMIF(Меню!$J$8:$EZ$8,$B95,Меню!$J$281:$EZ$281)/1000*Обложка!$N$17)</f>
        <v>0</v>
      </c>
      <c r="AF95" s="212">
        <f>IF($B95="Яйцо (шт)",SUMIF(Меню!$J$8:$EZ$8,$B95,Меню!$J$286:$EZ$286)*Обложка!$N$18/60,SUMIF(Меню!$J$8:$EZ$8,$B95,Меню!$J$286:$EZ$286)/1000*Обложка!$N$18)</f>
        <v>0</v>
      </c>
      <c r="AG95" s="685">
        <f t="shared" si="14"/>
        <v>0</v>
      </c>
      <c r="AH95" s="212">
        <f>IF($B95="Яйцо (шт)",SUMIF(Меню!$J$8:$EZ$8,$B95,Меню!$J$298:$EZ$298)*Обложка!$P$15/60,SUMIF(Меню!$J$8:$EZ$8,$B95,Меню!$J$298:$EZ$298)/1000*Обложка!$P$15)</f>
        <v>0</v>
      </c>
      <c r="AI95" s="212">
        <f>IF($B95="Яйцо (шт)",SUMIF(Меню!$J$8:$EZ$8,$BB95,Меню!$J$313:$EZ$313)*Обложка!$P$16/60,SUMIF(Меню!$J$8:$EZ$8,$B95,Меню!$J$313:$EZ$313)/1000*Обложка!$P$16)</f>
        <v>0</v>
      </c>
      <c r="AJ95" s="212">
        <f>IF($B95="Яйцо (шт)",SUMIF(Меню!$J$8:$EZ$8,$B95,Меню!$J$326:$EZ$326)*Обложка!$P$17/60,SUMIF(Меню!$J$8:$EZ$8,$B95,Меню!$J$326:$EZ$326)/1000*Обложка!$P$17)</f>
        <v>0</v>
      </c>
      <c r="AK95" s="212">
        <f>IF($B95="Яйцо (шт)",SUMIF(Меню!$J$8:$EZ$8,$B95,Меню!$J$331:$EZ$331)*Обложка!$P$18/60,SUMIF(Меню!$J$8:$EZ$8,$B95,Меню!$J$331:$EZ$331)/1000*Обложка!$P$18)</f>
        <v>0</v>
      </c>
      <c r="AL95" s="699">
        <f t="shared" si="15"/>
        <v>0</v>
      </c>
      <c r="AM95" s="685">
        <f t="shared" si="16"/>
        <v>0</v>
      </c>
    </row>
    <row r="96" spans="1:39" x14ac:dyDescent="0.25">
      <c r="A96" s="249">
        <f t="shared" si="17"/>
        <v>84</v>
      </c>
      <c r="B96" s="248" t="str">
        <f>инфо!D85</f>
        <v>Треска б/г</v>
      </c>
      <c r="C96" s="694">
        <f>SUMIF(Меню!$J$8:$FD$8,$B96,Меню!$J$333:$FD$333)</f>
        <v>170</v>
      </c>
      <c r="D96" s="212">
        <f>IF($B96="Яйцо (шт)",SUMIF(Меню!$J$8:$FD$8,$B96,Меню!$J$28:$FD$28)*Обложка!$D$15/60,SUMIF(Меню!$J$8:$FD$8,$B96,Меню!$J$28:$FD$28)/1000*Обложка!$D$15)</f>
        <v>0</v>
      </c>
      <c r="E96" s="212">
        <f>IF($B96="Яйцо (шт)",SUMIF(Меню!$J$8:$FD$8,$B96,Меню!$J$43:$FD$43)*Обложка!$D$16/60,SUMIF(Меню!$J$8:$FD$8,$B96,Меню!$J$43:$FD$43)/1000*Обложка!$D$16)</f>
        <v>0</v>
      </c>
      <c r="F96" s="212">
        <f>IF($B96="Яйцо (шт)",SUMIF(Меню!$J$8:$FD$8,$B96,Меню!$J$56:$FD$56)*Обложка!$D$17/60,SUMIF(Меню!$J$8:$FD$8,$B96,Меню!$J$56:$FD$56)/1000*Обложка!$D$17)</f>
        <v>6.1000000000000005</v>
      </c>
      <c r="G96" s="212">
        <f>IF($B96="Яйцо (шт)",SUMIF(Меню!$J$8:$FD$8,$B96,Меню!$J$61:$FD$61)*Обложка!$D$18/60,SUMIF(Меню!$J$8:$FD$8,$B96,Меню!$J$61:$FD$61)/1000*Обложка!$D$18)</f>
        <v>0</v>
      </c>
      <c r="H96" s="685">
        <f t="shared" si="9"/>
        <v>6.1000000000000005</v>
      </c>
      <c r="I96" s="212">
        <f>IF($B96="Яйцо (шт)",SUMIF(Меню!$J$8:$FD$8,$B96,Меню!$J$73:$FD$73)*Обложка!$F$15/60,SUMIF(Меню!$J$8:$FD$8,$B96,Меню!$J$73:$FD$73)/1000*Обложка!$F$15)</f>
        <v>0</v>
      </c>
      <c r="J96" s="212">
        <f>IF($B96="Яйцо (шт)",SUMIF(Меню!$J$8:$FD$8,$B96,Меню!$J$88:$FD$88)*Обложка!$F$16/60,SUMIF(Меню!$J$8:$FD$8,$B96,Меню!$J$88:$FD$88)/1000*Обложка!$G$16)</f>
        <v>0</v>
      </c>
      <c r="K96" s="212">
        <f>IF($B96="Яйцо (шт)",SUMIF(Меню!$J$8:$FD$8,$B96,Меню!$J$101:$FD$101)*Обложка!$F$17/60,SUMIF(Меню!$J$8:$FD$8,$B96,Меню!$J$101:$FD$101)/1000*Обложка!$F$17)</f>
        <v>0</v>
      </c>
      <c r="L96" s="212">
        <f>IF($B96="Яйцо (шт)",SUMIF(Меню!$J$8:$FD$8,$B96,Меню!$J$106:$FD$106)*Обложка!$F$18/60,SUMIF(Меню!$J$8:$FD$8,$B96,Меню!$J$106:$FD$106)/1000*Обложка!$F$18)</f>
        <v>0</v>
      </c>
      <c r="M96" s="685">
        <f t="shared" si="10"/>
        <v>0</v>
      </c>
      <c r="N96" s="212">
        <f>IF($B96="Яйцо (шт)",SUMIF(Меню!$J$8:$EZ$8,$B96,Меню!$J$118:$EZ$118)*Обложка!$H$15/60,SUMIF(Меню!$J$8:$EZ$8,$B96,Меню!$J$118:$EZ$118)/1000*Обложка!$H$15)</f>
        <v>0</v>
      </c>
      <c r="O96" s="212">
        <f>IF($B96="Яйцо (шт)",SUMIF(Меню!$J$8:$EZ$8,$B96,Меню!$J$133:$EZ$133)*Обложка!$H$16/60,SUMIF(Меню!$J$8:$EZ$8,$B96,Меню!$J$133:$EZ$133)/1000*Обложка!$H$16)</f>
        <v>0</v>
      </c>
      <c r="P96" s="212">
        <f>IF($B96="Яйцо (шт)",SUMIF(Меню!$J$8:$EZ$8,$B96,Меню!$J$146:$EZ$146)*Обложка!$H$17/60,SUMIF(Меню!$J$8:$EZ$8,$B96,Меню!$J$146:$EZ$146)/1000*Обложка!$H$17)</f>
        <v>13.799999999999999</v>
      </c>
      <c r="Q96" s="212">
        <f>IF($B96="Яйцо (шт)",SUMIF(Меню!$J$8:$EZ$8,$B96,Меню!$J$151:$EZ$151)*Обложка!$H$18/60,SUMIF(Меню!$J$8:$EZ$8,$B96,Меню!$J$151:$EZ$151)/1000*Обложка!$H$18)</f>
        <v>0</v>
      </c>
      <c r="R96" s="685">
        <f t="shared" si="11"/>
        <v>13.799999999999999</v>
      </c>
      <c r="S96" s="212">
        <f>IF($B96="Яйцо (шт)",SUMIF(Меню!$J$8:$EZ$8,$B96,Меню!$J$163:$EZ$163)*Обложка!$J$15/60,SUMIF(Меню!$J$8:$EZ$8,$B96,Меню!$J$163:$EZ$163)/1000*Обложка!$J$15)</f>
        <v>0</v>
      </c>
      <c r="T96" s="212">
        <f>IF($B96="Яйцо (шт)",SUMIF(Меню!$J$8:$EZ$8,$B96,Меню!$J$178:$EZ$178)*Обложка!$J$16/60,SUMIF(Меню!$J$8:$EZ$8,$B96,Меню!$J$178:$EZ$178)/1000*Обложка!$J$16)</f>
        <v>0</v>
      </c>
      <c r="U96" s="212">
        <f>IF($B96="Яйцо (шт)",SUMIF(Меню!$J$8:$EZ$8,$B96,Меню!$J$191:$EZ$191)*Обложка!$J$17/60,SUMIF(Меню!$J$8:$EZ$8,$B96,Меню!$J$191:$EZ$191)/1000*Обложка!$J$17)</f>
        <v>0</v>
      </c>
      <c r="V96" s="212">
        <f>IF($B96="Яйцо (шт)",SUMIF(Меню!$J$8:$EZ$8,$B96,Меню!$J$196:$EZ$196)*Обложка!$J$18/60,SUMIF(Меню!$J$8:$EZ$8,$B96,Меню!$J$196:$EZ$196)/1000*Обложка!$J$18)</f>
        <v>0</v>
      </c>
      <c r="W96" s="685">
        <f t="shared" si="12"/>
        <v>0</v>
      </c>
      <c r="X96" s="212">
        <f>IF($B96="Яйцо (шт)",SUMIF(Меню!$J$8:$EZ$8,$B96,Меню!$J$208:$EZ$208)*Обложка!$L$15/60,SUMIF(Меню!$J$8:$EZ$8,$B96,Меню!$J$208:$EZ$208)/1000*Обложка!$L$15)</f>
        <v>0</v>
      </c>
      <c r="Y96" s="212">
        <f>IF($B96="Яйцо (шт)",SUMIF(Меню!$J$8:$EZ$8,$B96,Меню!$J$223:$EZ$223)*Обложка!$L$16/60,SUMIF(Меню!$J$8:$EZ$8,$B96,Меню!$J$223:$EZ$223)/1000*Обложка!$J$16)</f>
        <v>0</v>
      </c>
      <c r="Z96" s="212">
        <f>IF($B96="Яйцо (шт)",SUMIF(Меню!$J$8:$EZ$8,$B96,Меню!$J$236:$EZ$236)*Обложка!$L$17/60,SUMIF(Меню!$J$8:$EZ$8,$B96,Меню!$J$236:$EZ$236)/1000*Обложка!$L$17)</f>
        <v>0</v>
      </c>
      <c r="AA96" s="212">
        <f>IF($B96="Яйцо (шт)",SUMIF(Меню!$J$8:$EZ$8,$B96,Меню!$J$241:$EZ$241)*Обложка!$L$18/60,SUMIF(Меню!$J$8:$EZ$8,$B96,Меню!$J$241:$EZ$241)/1000*Обложка!$L$18)</f>
        <v>0</v>
      </c>
      <c r="AB96" s="685">
        <f t="shared" si="13"/>
        <v>0</v>
      </c>
      <c r="AC96" s="212">
        <f>IF($B96="Яйцо (шт)",SUMIF(Меню!$J$8:$EZ$8,$B96,Меню!$J$253:$EZ$253)*Обложка!$N$15/60,SUMIF(Меню!$J$8:$EZ$8,$B96,Меню!$J$253:$EZ$253)/1000*Обложка!$N$15)</f>
        <v>0</v>
      </c>
      <c r="AD96" s="212">
        <f>IF($B96="Яйцо (шт)",SUMIF(Меню!$J$8:$EZ$8,$B96,Меню!$J$268:$EZ$268)*Обложка!$N$16/60,SUMIF(Меню!$J$8:$EZ$8,$B96,Меню!$J$268:$EZ$268)/1000*Обложка!$N$16)</f>
        <v>0</v>
      </c>
      <c r="AE96" s="212">
        <f>IF($B96="Яйцо (шт)",SUMIF(Меню!$J$8:$EZ$8,$B96,Меню!$J$281:$EZ$281)*Обложка!$N$17/60,SUMIF(Меню!$J$8:$EZ$8,$B96,Меню!$J$281:$EZ$281)/1000*Обложка!$N$17)</f>
        <v>0</v>
      </c>
      <c r="AF96" s="212">
        <f>IF($B96="Яйцо (шт)",SUMIF(Меню!$J$8:$EZ$8,$B96,Меню!$J$286:$EZ$286)*Обложка!$N$18/60,SUMIF(Меню!$J$8:$EZ$8,$B96,Меню!$J$286:$EZ$286)/1000*Обложка!$N$18)</f>
        <v>0</v>
      </c>
      <c r="AG96" s="685">
        <f t="shared" si="14"/>
        <v>0</v>
      </c>
      <c r="AH96" s="212">
        <f>IF($B96="Яйцо (шт)",SUMIF(Меню!$J$8:$EZ$8,$B96,Меню!$J$298:$EZ$298)*Обложка!$P$15/60,SUMIF(Меню!$J$8:$EZ$8,$B96,Меню!$J$298:$EZ$298)/1000*Обложка!$P$15)</f>
        <v>0</v>
      </c>
      <c r="AI96" s="212">
        <f>IF($B96="Яйцо (шт)",SUMIF(Меню!$J$8:$EZ$8,$BB96,Меню!$J$313:$EZ$313)*Обложка!$P$16/60,SUMIF(Меню!$J$8:$EZ$8,$B96,Меню!$J$313:$EZ$313)/1000*Обложка!$P$16)</f>
        <v>0</v>
      </c>
      <c r="AJ96" s="212">
        <f>IF($B96="Яйцо (шт)",SUMIF(Меню!$J$8:$EZ$8,$B96,Меню!$J$326:$EZ$326)*Обложка!$P$17/60,SUMIF(Меню!$J$8:$EZ$8,$B96,Меню!$J$326:$EZ$326)/1000*Обложка!$P$17)</f>
        <v>0</v>
      </c>
      <c r="AK96" s="212">
        <f>IF($B96="Яйцо (шт)",SUMIF(Меню!$J$8:$EZ$8,$B96,Меню!$J$331:$EZ$331)*Обложка!$P$18/60,SUMIF(Меню!$J$8:$EZ$8,$B96,Меню!$J$331:$EZ$331)/1000*Обложка!$P$18)</f>
        <v>0</v>
      </c>
      <c r="AL96" s="699">
        <f t="shared" si="15"/>
        <v>0</v>
      </c>
      <c r="AM96" s="685">
        <f t="shared" si="16"/>
        <v>19.899999999999999</v>
      </c>
    </row>
    <row r="97" spans="1:39" x14ac:dyDescent="0.25">
      <c r="A97" s="249">
        <f t="shared" si="17"/>
        <v>85</v>
      </c>
      <c r="B97" s="248" t="str">
        <f>инфо!D86</f>
        <v>Треска с/г</v>
      </c>
      <c r="C97" s="694">
        <f>SUMIF(Меню!$J$8:$FD$8,$B97,Меню!$J$333:$FD$333)</f>
        <v>0</v>
      </c>
      <c r="D97" s="212">
        <f>IF($B97="Яйцо (шт)",SUMIF(Меню!$J$8:$FD$8,$B97,Меню!$J$28:$FD$28)*Обложка!$D$15/60,SUMIF(Меню!$J$8:$FD$8,$B97,Меню!$J$28:$FD$28)/1000*Обложка!$D$15)</f>
        <v>0</v>
      </c>
      <c r="E97" s="212">
        <f>IF($B97="Яйцо (шт)",SUMIF(Меню!$J$8:$FD$8,$B97,Меню!$J$43:$FD$43)*Обложка!$D$16/60,SUMIF(Меню!$J$8:$FD$8,$B97,Меню!$J$43:$FD$43)/1000*Обложка!$D$16)</f>
        <v>0</v>
      </c>
      <c r="F97" s="212">
        <f>IF($B97="Яйцо (шт)",SUMIF(Меню!$J$8:$FD$8,$B97,Меню!$J$56:$FD$56)*Обложка!$D$17/60,SUMIF(Меню!$J$8:$FD$8,$B97,Меню!$J$56:$FD$56)/1000*Обложка!$D$17)</f>
        <v>0</v>
      </c>
      <c r="G97" s="212">
        <f>IF($B97="Яйцо (шт)",SUMIF(Меню!$J$8:$FD$8,$B97,Меню!$J$61:$FD$61)*Обложка!$D$18/60,SUMIF(Меню!$J$8:$FD$8,$B97,Меню!$J$61:$FD$61)/1000*Обложка!$D$18)</f>
        <v>0</v>
      </c>
      <c r="H97" s="685">
        <f t="shared" si="9"/>
        <v>0</v>
      </c>
      <c r="I97" s="212">
        <f>IF($B97="Яйцо (шт)",SUMIF(Меню!$J$8:$FD$8,$B97,Меню!$J$73:$FD$73)*Обложка!$F$15/60,SUMIF(Меню!$J$8:$FD$8,$B97,Меню!$J$73:$FD$73)/1000*Обложка!$F$15)</f>
        <v>0</v>
      </c>
      <c r="J97" s="212">
        <f>IF($B97="Яйцо (шт)",SUMIF(Меню!$J$8:$FD$8,$B97,Меню!$J$88:$FD$88)*Обложка!$F$16/60,SUMIF(Меню!$J$8:$FD$8,$B97,Меню!$J$88:$FD$88)/1000*Обложка!$G$16)</f>
        <v>0</v>
      </c>
      <c r="K97" s="212">
        <f>IF($B97="Яйцо (шт)",SUMIF(Меню!$J$8:$FD$8,$B97,Меню!$J$101:$FD$101)*Обложка!$F$17/60,SUMIF(Меню!$J$8:$FD$8,$B97,Меню!$J$101:$FD$101)/1000*Обложка!$F$17)</f>
        <v>0</v>
      </c>
      <c r="L97" s="212">
        <f>IF($B97="Яйцо (шт)",SUMIF(Меню!$J$8:$FD$8,$B97,Меню!$J$106:$FD$106)*Обложка!$F$18/60,SUMIF(Меню!$J$8:$FD$8,$B97,Меню!$J$106:$FD$106)/1000*Обложка!$F$18)</f>
        <v>0</v>
      </c>
      <c r="M97" s="685">
        <f t="shared" si="10"/>
        <v>0</v>
      </c>
      <c r="N97" s="212">
        <f>IF($B97="Яйцо (шт)",SUMIF(Меню!$J$8:$EZ$8,$B97,Меню!$J$118:$EZ$118)*Обложка!$H$15/60,SUMIF(Меню!$J$8:$EZ$8,$B97,Меню!$J$118:$EZ$118)/1000*Обложка!$H$15)</f>
        <v>0</v>
      </c>
      <c r="O97" s="212">
        <f>IF($B97="Яйцо (шт)",SUMIF(Меню!$J$8:$EZ$8,$B97,Меню!$J$133:$EZ$133)*Обложка!$H$16/60,SUMIF(Меню!$J$8:$EZ$8,$B97,Меню!$J$133:$EZ$133)/1000*Обложка!$H$16)</f>
        <v>0</v>
      </c>
      <c r="P97" s="212">
        <f>IF($B97="Яйцо (шт)",SUMIF(Меню!$J$8:$EZ$8,$B97,Меню!$J$146:$EZ$146)*Обложка!$H$17/60,SUMIF(Меню!$J$8:$EZ$8,$B97,Меню!$J$146:$EZ$146)/1000*Обложка!$H$17)</f>
        <v>0</v>
      </c>
      <c r="Q97" s="212">
        <f>IF($B97="Яйцо (шт)",SUMIF(Меню!$J$8:$EZ$8,$B97,Меню!$J$151:$EZ$151)*Обложка!$H$18/60,SUMIF(Меню!$J$8:$EZ$8,$B97,Меню!$J$151:$EZ$151)/1000*Обложка!$H$18)</f>
        <v>0</v>
      </c>
      <c r="R97" s="685">
        <f t="shared" si="11"/>
        <v>0</v>
      </c>
      <c r="S97" s="212">
        <f>IF($B97="Яйцо (шт)",SUMIF(Меню!$J$8:$EZ$8,$B97,Меню!$J$163:$EZ$163)*Обложка!$J$15/60,SUMIF(Меню!$J$8:$EZ$8,$B97,Меню!$J$163:$EZ$163)/1000*Обложка!$J$15)</f>
        <v>0</v>
      </c>
      <c r="T97" s="212">
        <f>IF($B97="Яйцо (шт)",SUMIF(Меню!$J$8:$EZ$8,$B97,Меню!$J$178:$EZ$178)*Обложка!$J$16/60,SUMIF(Меню!$J$8:$EZ$8,$B97,Меню!$J$178:$EZ$178)/1000*Обложка!$J$16)</f>
        <v>0</v>
      </c>
      <c r="U97" s="212">
        <f>IF($B97="Яйцо (шт)",SUMIF(Меню!$J$8:$EZ$8,$B97,Меню!$J$191:$EZ$191)*Обложка!$J$17/60,SUMIF(Меню!$J$8:$EZ$8,$B97,Меню!$J$191:$EZ$191)/1000*Обложка!$J$17)</f>
        <v>0</v>
      </c>
      <c r="V97" s="212">
        <f>IF($B97="Яйцо (шт)",SUMIF(Меню!$J$8:$EZ$8,$B97,Меню!$J$196:$EZ$196)*Обложка!$J$18/60,SUMIF(Меню!$J$8:$EZ$8,$B97,Меню!$J$196:$EZ$196)/1000*Обложка!$J$18)</f>
        <v>0</v>
      </c>
      <c r="W97" s="685">
        <f t="shared" si="12"/>
        <v>0</v>
      </c>
      <c r="X97" s="212">
        <f>IF($B97="Яйцо (шт)",SUMIF(Меню!$J$8:$EZ$8,$B97,Меню!$J$208:$EZ$208)*Обложка!$L$15/60,SUMIF(Меню!$J$8:$EZ$8,$B97,Меню!$J$208:$EZ$208)/1000*Обложка!$L$15)</f>
        <v>0</v>
      </c>
      <c r="Y97" s="212">
        <f>IF($B97="Яйцо (шт)",SUMIF(Меню!$J$8:$EZ$8,$B97,Меню!$J$223:$EZ$223)*Обложка!$L$16/60,SUMIF(Меню!$J$8:$EZ$8,$B97,Меню!$J$223:$EZ$223)/1000*Обложка!$J$16)</f>
        <v>0</v>
      </c>
      <c r="Z97" s="212">
        <f>IF($B97="Яйцо (шт)",SUMIF(Меню!$J$8:$EZ$8,$B97,Меню!$J$236:$EZ$236)*Обложка!$L$17/60,SUMIF(Меню!$J$8:$EZ$8,$B97,Меню!$J$236:$EZ$236)/1000*Обложка!$L$17)</f>
        <v>0</v>
      </c>
      <c r="AA97" s="212">
        <f>IF($B97="Яйцо (шт)",SUMIF(Меню!$J$8:$EZ$8,$B97,Меню!$J$241:$EZ$241)*Обложка!$L$18/60,SUMIF(Меню!$J$8:$EZ$8,$B97,Меню!$J$241:$EZ$241)/1000*Обложка!$L$18)</f>
        <v>0</v>
      </c>
      <c r="AB97" s="685">
        <f t="shared" si="13"/>
        <v>0</v>
      </c>
      <c r="AC97" s="212">
        <f>IF($B97="Яйцо (шт)",SUMIF(Меню!$J$8:$EZ$8,$B97,Меню!$J$253:$EZ$253)*Обложка!$N$15/60,SUMIF(Меню!$J$8:$EZ$8,$B97,Меню!$J$253:$EZ$253)/1000*Обложка!$N$15)</f>
        <v>0</v>
      </c>
      <c r="AD97" s="212">
        <f>IF($B97="Яйцо (шт)",SUMIF(Меню!$J$8:$EZ$8,$B97,Меню!$J$268:$EZ$268)*Обложка!$N$16/60,SUMIF(Меню!$J$8:$EZ$8,$B97,Меню!$J$268:$EZ$268)/1000*Обложка!$N$16)</f>
        <v>0</v>
      </c>
      <c r="AE97" s="212">
        <f>IF($B97="Яйцо (шт)",SUMIF(Меню!$J$8:$EZ$8,$B97,Меню!$J$281:$EZ$281)*Обложка!$N$17/60,SUMIF(Меню!$J$8:$EZ$8,$B97,Меню!$J$281:$EZ$281)/1000*Обложка!$N$17)</f>
        <v>0</v>
      </c>
      <c r="AF97" s="212">
        <f>IF($B97="Яйцо (шт)",SUMIF(Меню!$J$8:$EZ$8,$B97,Меню!$J$286:$EZ$286)*Обложка!$N$18/60,SUMIF(Меню!$J$8:$EZ$8,$B97,Меню!$J$286:$EZ$286)/1000*Обложка!$N$18)</f>
        <v>0</v>
      </c>
      <c r="AG97" s="685">
        <f t="shared" si="14"/>
        <v>0</v>
      </c>
      <c r="AH97" s="212">
        <f>IF($B97="Яйцо (шт)",SUMIF(Меню!$J$8:$EZ$8,$B97,Меню!$J$298:$EZ$298)*Обложка!$P$15/60,SUMIF(Меню!$J$8:$EZ$8,$B97,Меню!$J$298:$EZ$298)/1000*Обложка!$P$15)</f>
        <v>0</v>
      </c>
      <c r="AI97" s="212">
        <f>IF($B97="Яйцо (шт)",SUMIF(Меню!$J$8:$EZ$8,$BB97,Меню!$J$313:$EZ$313)*Обложка!$P$16/60,SUMIF(Меню!$J$8:$EZ$8,$B97,Меню!$J$313:$EZ$313)/1000*Обложка!$P$16)</f>
        <v>0</v>
      </c>
      <c r="AJ97" s="212">
        <f>IF($B97="Яйцо (шт)",SUMIF(Меню!$J$8:$EZ$8,$B97,Меню!$J$326:$EZ$326)*Обложка!$P$17/60,SUMIF(Меню!$J$8:$EZ$8,$B97,Меню!$J$326:$EZ$326)/1000*Обложка!$P$17)</f>
        <v>0</v>
      </c>
      <c r="AK97" s="212">
        <f>IF($B97="Яйцо (шт)",SUMIF(Меню!$J$8:$EZ$8,$B97,Меню!$J$331:$EZ$331)*Обложка!$P$18/60,SUMIF(Меню!$J$8:$EZ$8,$B97,Меню!$J$331:$EZ$331)/1000*Обложка!$P$18)</f>
        <v>0</v>
      </c>
      <c r="AL97" s="699">
        <f t="shared" si="15"/>
        <v>0</v>
      </c>
      <c r="AM97" s="685">
        <f t="shared" si="16"/>
        <v>0</v>
      </c>
    </row>
    <row r="98" spans="1:39" x14ac:dyDescent="0.25">
      <c r="A98" s="249">
        <f t="shared" si="17"/>
        <v>86</v>
      </c>
      <c r="B98" s="248" t="str">
        <f>инфо!D87</f>
        <v>Сельдь б/г</v>
      </c>
      <c r="C98" s="694">
        <f>SUMIF(Меню!$J$8:$FD$8,$B98,Меню!$J$333:$FD$333)</f>
        <v>0</v>
      </c>
      <c r="D98" s="212">
        <f>IF($B98="Яйцо (шт)",SUMIF(Меню!$J$8:$FD$8,$B98,Меню!$J$28:$FD$28)*Обложка!$D$15/60,SUMIF(Меню!$J$8:$FD$8,$B98,Меню!$J$28:$FD$28)/1000*Обложка!$D$15)</f>
        <v>0</v>
      </c>
      <c r="E98" s="212">
        <f>IF($B98="Яйцо (шт)",SUMIF(Меню!$J$8:$FD$8,$B98,Меню!$J$43:$FD$43)*Обложка!$D$16/60,SUMIF(Меню!$J$8:$FD$8,$B98,Меню!$J$43:$FD$43)/1000*Обложка!$D$16)</f>
        <v>0</v>
      </c>
      <c r="F98" s="212">
        <f>IF($B98="Яйцо (шт)",SUMIF(Меню!$J$8:$FD$8,$B98,Меню!$J$56:$FD$56)*Обложка!$D$17/60,SUMIF(Меню!$J$8:$FD$8,$B98,Меню!$J$56:$FD$56)/1000*Обложка!$D$17)</f>
        <v>0</v>
      </c>
      <c r="G98" s="212">
        <f>IF($B98="Яйцо (шт)",SUMIF(Меню!$J$8:$FD$8,$B98,Меню!$J$61:$FD$61)*Обложка!$D$18/60,SUMIF(Меню!$J$8:$FD$8,$B98,Меню!$J$61:$FD$61)/1000*Обложка!$D$18)</f>
        <v>0</v>
      </c>
      <c r="H98" s="685">
        <f t="shared" si="9"/>
        <v>0</v>
      </c>
      <c r="I98" s="212">
        <f>IF($B98="Яйцо (шт)",SUMIF(Меню!$J$8:$FD$8,$B98,Меню!$J$73:$FD$73)*Обложка!$F$15/60,SUMIF(Меню!$J$8:$FD$8,$B98,Меню!$J$73:$FD$73)/1000*Обложка!$F$15)</f>
        <v>0</v>
      </c>
      <c r="J98" s="212">
        <f>IF($B98="Яйцо (шт)",SUMIF(Меню!$J$8:$FD$8,$B98,Меню!$J$88:$FD$88)*Обложка!$F$16/60,SUMIF(Меню!$J$8:$FD$8,$B98,Меню!$J$88:$FD$88)/1000*Обложка!$G$16)</f>
        <v>0</v>
      </c>
      <c r="K98" s="212">
        <f>IF($B98="Яйцо (шт)",SUMIF(Меню!$J$8:$FD$8,$B98,Меню!$J$101:$FD$101)*Обложка!$F$17/60,SUMIF(Меню!$J$8:$FD$8,$B98,Меню!$J$101:$FD$101)/1000*Обложка!$F$17)</f>
        <v>0</v>
      </c>
      <c r="L98" s="212">
        <f>IF($B98="Яйцо (шт)",SUMIF(Меню!$J$8:$FD$8,$B98,Меню!$J$106:$FD$106)*Обложка!$F$18/60,SUMIF(Меню!$J$8:$FD$8,$B98,Меню!$J$106:$FD$106)/1000*Обложка!$F$18)</f>
        <v>0</v>
      </c>
      <c r="M98" s="685">
        <f t="shared" si="10"/>
        <v>0</v>
      </c>
      <c r="N98" s="212">
        <f>IF($B98="Яйцо (шт)",SUMIF(Меню!$J$8:$EZ$8,$B98,Меню!$J$118:$EZ$118)*Обложка!$H$15/60,SUMIF(Меню!$J$8:$EZ$8,$B98,Меню!$J$118:$EZ$118)/1000*Обложка!$H$15)</f>
        <v>0</v>
      </c>
      <c r="O98" s="212">
        <f>IF($B98="Яйцо (шт)",SUMIF(Меню!$J$8:$EZ$8,$B98,Меню!$J$133:$EZ$133)*Обложка!$H$16/60,SUMIF(Меню!$J$8:$EZ$8,$B98,Меню!$J$133:$EZ$133)/1000*Обложка!$H$16)</f>
        <v>0</v>
      </c>
      <c r="P98" s="212">
        <f>IF($B98="Яйцо (шт)",SUMIF(Меню!$J$8:$EZ$8,$B98,Меню!$J$146:$EZ$146)*Обложка!$H$17/60,SUMIF(Меню!$J$8:$EZ$8,$B98,Меню!$J$146:$EZ$146)/1000*Обложка!$H$17)</f>
        <v>0</v>
      </c>
      <c r="Q98" s="212">
        <f>IF($B98="Яйцо (шт)",SUMIF(Меню!$J$8:$EZ$8,$B98,Меню!$J$151:$EZ$151)*Обложка!$H$18/60,SUMIF(Меню!$J$8:$EZ$8,$B98,Меню!$J$151:$EZ$151)/1000*Обложка!$H$18)</f>
        <v>0</v>
      </c>
      <c r="R98" s="685">
        <f t="shared" si="11"/>
        <v>0</v>
      </c>
      <c r="S98" s="212">
        <f>IF($B98="Яйцо (шт)",SUMIF(Меню!$J$8:$EZ$8,$B98,Меню!$J$163:$EZ$163)*Обложка!$J$15/60,SUMIF(Меню!$J$8:$EZ$8,$B98,Меню!$J$163:$EZ$163)/1000*Обложка!$J$15)</f>
        <v>0</v>
      </c>
      <c r="T98" s="212">
        <f>IF($B98="Яйцо (шт)",SUMIF(Меню!$J$8:$EZ$8,$B98,Меню!$J$178:$EZ$178)*Обложка!$J$16/60,SUMIF(Меню!$J$8:$EZ$8,$B98,Меню!$J$178:$EZ$178)/1000*Обложка!$J$16)</f>
        <v>0</v>
      </c>
      <c r="U98" s="212">
        <f>IF($B98="Яйцо (шт)",SUMIF(Меню!$J$8:$EZ$8,$B98,Меню!$J$191:$EZ$191)*Обложка!$J$17/60,SUMIF(Меню!$J$8:$EZ$8,$B98,Меню!$J$191:$EZ$191)/1000*Обложка!$J$17)</f>
        <v>0</v>
      </c>
      <c r="V98" s="212">
        <f>IF($B98="Яйцо (шт)",SUMIF(Меню!$J$8:$EZ$8,$B98,Меню!$J$196:$EZ$196)*Обложка!$J$18/60,SUMIF(Меню!$J$8:$EZ$8,$B98,Меню!$J$196:$EZ$196)/1000*Обложка!$J$18)</f>
        <v>0</v>
      </c>
      <c r="W98" s="685">
        <f t="shared" si="12"/>
        <v>0</v>
      </c>
      <c r="X98" s="212">
        <f>IF($B98="Яйцо (шт)",SUMIF(Меню!$J$8:$EZ$8,$B98,Меню!$J$208:$EZ$208)*Обложка!$L$15/60,SUMIF(Меню!$J$8:$EZ$8,$B98,Меню!$J$208:$EZ$208)/1000*Обложка!$L$15)</f>
        <v>0</v>
      </c>
      <c r="Y98" s="212">
        <f>IF($B98="Яйцо (шт)",SUMIF(Меню!$J$8:$EZ$8,$B98,Меню!$J$223:$EZ$223)*Обложка!$L$16/60,SUMIF(Меню!$J$8:$EZ$8,$B98,Меню!$J$223:$EZ$223)/1000*Обложка!$J$16)</f>
        <v>0</v>
      </c>
      <c r="Z98" s="212">
        <f>IF($B98="Яйцо (шт)",SUMIF(Меню!$J$8:$EZ$8,$B98,Меню!$J$236:$EZ$236)*Обложка!$L$17/60,SUMIF(Меню!$J$8:$EZ$8,$B98,Меню!$J$236:$EZ$236)/1000*Обложка!$L$17)</f>
        <v>0</v>
      </c>
      <c r="AA98" s="212">
        <f>IF($B98="Яйцо (шт)",SUMIF(Меню!$J$8:$EZ$8,$B98,Меню!$J$241:$EZ$241)*Обложка!$L$18/60,SUMIF(Меню!$J$8:$EZ$8,$B98,Меню!$J$241:$EZ$241)/1000*Обложка!$L$18)</f>
        <v>0</v>
      </c>
      <c r="AB98" s="685">
        <f t="shared" si="13"/>
        <v>0</v>
      </c>
      <c r="AC98" s="212">
        <f>IF($B98="Яйцо (шт)",SUMIF(Меню!$J$8:$EZ$8,$B98,Меню!$J$253:$EZ$253)*Обложка!$N$15/60,SUMIF(Меню!$J$8:$EZ$8,$B98,Меню!$J$253:$EZ$253)/1000*Обложка!$N$15)</f>
        <v>0</v>
      </c>
      <c r="AD98" s="212">
        <f>IF($B98="Яйцо (шт)",SUMIF(Меню!$J$8:$EZ$8,$B98,Меню!$J$268:$EZ$268)*Обложка!$N$16/60,SUMIF(Меню!$J$8:$EZ$8,$B98,Меню!$J$268:$EZ$268)/1000*Обложка!$N$16)</f>
        <v>0</v>
      </c>
      <c r="AE98" s="212">
        <f>IF($B98="Яйцо (шт)",SUMIF(Меню!$J$8:$EZ$8,$B98,Меню!$J$281:$EZ$281)*Обложка!$N$17/60,SUMIF(Меню!$J$8:$EZ$8,$B98,Меню!$J$281:$EZ$281)/1000*Обложка!$N$17)</f>
        <v>0</v>
      </c>
      <c r="AF98" s="212">
        <f>IF($B98="Яйцо (шт)",SUMIF(Меню!$J$8:$EZ$8,$B98,Меню!$J$286:$EZ$286)*Обложка!$N$18/60,SUMIF(Меню!$J$8:$EZ$8,$B98,Меню!$J$286:$EZ$286)/1000*Обложка!$N$18)</f>
        <v>0</v>
      </c>
      <c r="AG98" s="685">
        <f t="shared" si="14"/>
        <v>0</v>
      </c>
      <c r="AH98" s="212">
        <f>IF($B98="Яйцо (шт)",SUMIF(Меню!$J$8:$EZ$8,$B98,Меню!$J$298:$EZ$298)*Обложка!$P$15/60,SUMIF(Меню!$J$8:$EZ$8,$B98,Меню!$J$298:$EZ$298)/1000*Обложка!$P$15)</f>
        <v>0</v>
      </c>
      <c r="AI98" s="212">
        <f>IF($B98="Яйцо (шт)",SUMIF(Меню!$J$8:$EZ$8,$BB98,Меню!$J$313:$EZ$313)*Обложка!$P$16/60,SUMIF(Меню!$J$8:$EZ$8,$B98,Меню!$J$313:$EZ$313)/1000*Обложка!$P$16)</f>
        <v>0</v>
      </c>
      <c r="AJ98" s="212">
        <f>IF($B98="Яйцо (шт)",SUMIF(Меню!$J$8:$EZ$8,$B98,Меню!$J$326:$EZ$326)*Обложка!$P$17/60,SUMIF(Меню!$J$8:$EZ$8,$B98,Меню!$J$326:$EZ$326)/1000*Обложка!$P$17)</f>
        <v>0</v>
      </c>
      <c r="AK98" s="212">
        <f>IF($B98="Яйцо (шт)",SUMIF(Меню!$J$8:$EZ$8,$B98,Меню!$J$331:$EZ$331)*Обложка!$P$18/60,SUMIF(Меню!$J$8:$EZ$8,$B98,Меню!$J$331:$EZ$331)/1000*Обложка!$P$18)</f>
        <v>0</v>
      </c>
      <c r="AL98" s="699">
        <f t="shared" si="15"/>
        <v>0</v>
      </c>
      <c r="AM98" s="685">
        <f t="shared" si="16"/>
        <v>0</v>
      </c>
    </row>
    <row r="99" spans="1:39" x14ac:dyDescent="0.25">
      <c r="A99" s="249">
        <f t="shared" si="17"/>
        <v>87</v>
      </c>
      <c r="B99" s="248" t="str">
        <f>инфо!D88</f>
        <v>Сельдь с/г</v>
      </c>
      <c r="C99" s="694">
        <f>SUMIF(Меню!$J$8:$FD$8,$B99,Меню!$J$333:$FD$333)</f>
        <v>0</v>
      </c>
      <c r="D99" s="212">
        <f>IF($B99="Яйцо (шт)",SUMIF(Меню!$J$8:$FD$8,$B99,Меню!$J$28:$FD$28)*Обложка!$D$15/60,SUMIF(Меню!$J$8:$FD$8,$B99,Меню!$J$28:$FD$28)/1000*Обложка!$D$15)</f>
        <v>0</v>
      </c>
      <c r="E99" s="212">
        <f>IF($B99="Яйцо (шт)",SUMIF(Меню!$J$8:$FD$8,$B99,Меню!$J$43:$FD$43)*Обложка!$D$16/60,SUMIF(Меню!$J$8:$FD$8,$B99,Меню!$J$43:$FD$43)/1000*Обложка!$D$16)</f>
        <v>0</v>
      </c>
      <c r="F99" s="212">
        <f>IF($B99="Яйцо (шт)",SUMIF(Меню!$J$8:$FD$8,$B99,Меню!$J$56:$FD$56)*Обложка!$D$17/60,SUMIF(Меню!$J$8:$FD$8,$B99,Меню!$J$56:$FD$56)/1000*Обложка!$D$17)</f>
        <v>0</v>
      </c>
      <c r="G99" s="212">
        <f>IF($B99="Яйцо (шт)",SUMIF(Меню!$J$8:$FD$8,$B99,Меню!$J$61:$FD$61)*Обложка!$D$18/60,SUMIF(Меню!$J$8:$FD$8,$B99,Меню!$J$61:$FD$61)/1000*Обложка!$D$18)</f>
        <v>0</v>
      </c>
      <c r="H99" s="685">
        <f t="shared" si="9"/>
        <v>0</v>
      </c>
      <c r="I99" s="212">
        <f>IF($B99="Яйцо (шт)",SUMIF(Меню!$J$8:$FD$8,$B99,Меню!$J$73:$FD$73)*Обложка!$F$15/60,SUMIF(Меню!$J$8:$FD$8,$B99,Меню!$J$73:$FD$73)/1000*Обложка!$F$15)</f>
        <v>0</v>
      </c>
      <c r="J99" s="212">
        <f>IF($B99="Яйцо (шт)",SUMIF(Меню!$J$8:$FD$8,$B99,Меню!$J$88:$FD$88)*Обложка!$F$16/60,SUMIF(Меню!$J$8:$FD$8,$B99,Меню!$J$88:$FD$88)/1000*Обложка!$G$16)</f>
        <v>0</v>
      </c>
      <c r="K99" s="212">
        <f>IF($B99="Яйцо (шт)",SUMIF(Меню!$J$8:$FD$8,$B99,Меню!$J$101:$FD$101)*Обложка!$F$17/60,SUMIF(Меню!$J$8:$FD$8,$B99,Меню!$J$101:$FD$101)/1000*Обложка!$F$17)</f>
        <v>0</v>
      </c>
      <c r="L99" s="212">
        <f>IF($B99="Яйцо (шт)",SUMIF(Меню!$J$8:$FD$8,$B99,Меню!$J$106:$FD$106)*Обложка!$F$18/60,SUMIF(Меню!$J$8:$FD$8,$B99,Меню!$J$106:$FD$106)/1000*Обложка!$F$18)</f>
        <v>0</v>
      </c>
      <c r="M99" s="685">
        <f t="shared" si="10"/>
        <v>0</v>
      </c>
      <c r="N99" s="212">
        <f>IF($B99="Яйцо (шт)",SUMIF(Меню!$J$8:$EZ$8,$B99,Меню!$J$118:$EZ$118)*Обложка!$H$15/60,SUMIF(Меню!$J$8:$EZ$8,$B99,Меню!$J$118:$EZ$118)/1000*Обложка!$H$15)</f>
        <v>0</v>
      </c>
      <c r="O99" s="212">
        <f>IF($B99="Яйцо (шт)",SUMIF(Меню!$J$8:$EZ$8,$B99,Меню!$J$133:$EZ$133)*Обложка!$H$16/60,SUMIF(Меню!$J$8:$EZ$8,$B99,Меню!$J$133:$EZ$133)/1000*Обложка!$H$16)</f>
        <v>0</v>
      </c>
      <c r="P99" s="212">
        <f>IF($B99="Яйцо (шт)",SUMIF(Меню!$J$8:$EZ$8,$B99,Меню!$J$146:$EZ$146)*Обложка!$H$17/60,SUMIF(Меню!$J$8:$EZ$8,$B99,Меню!$J$146:$EZ$146)/1000*Обложка!$H$17)</f>
        <v>0</v>
      </c>
      <c r="Q99" s="212">
        <f>IF($B99="Яйцо (шт)",SUMIF(Меню!$J$8:$EZ$8,$B99,Меню!$J$151:$EZ$151)*Обложка!$H$18/60,SUMIF(Меню!$J$8:$EZ$8,$B99,Меню!$J$151:$EZ$151)/1000*Обложка!$H$18)</f>
        <v>0</v>
      </c>
      <c r="R99" s="685">
        <f t="shared" si="11"/>
        <v>0</v>
      </c>
      <c r="S99" s="212">
        <f>IF($B99="Яйцо (шт)",SUMIF(Меню!$J$8:$EZ$8,$B99,Меню!$J$163:$EZ$163)*Обложка!$J$15/60,SUMIF(Меню!$J$8:$EZ$8,$B99,Меню!$J$163:$EZ$163)/1000*Обложка!$J$15)</f>
        <v>0</v>
      </c>
      <c r="T99" s="212">
        <f>IF($B99="Яйцо (шт)",SUMIF(Меню!$J$8:$EZ$8,$B99,Меню!$J$178:$EZ$178)*Обложка!$J$16/60,SUMIF(Меню!$J$8:$EZ$8,$B99,Меню!$J$178:$EZ$178)/1000*Обложка!$J$16)</f>
        <v>0</v>
      </c>
      <c r="U99" s="212">
        <f>IF($B99="Яйцо (шт)",SUMIF(Меню!$J$8:$EZ$8,$B99,Меню!$J$191:$EZ$191)*Обложка!$J$17/60,SUMIF(Меню!$J$8:$EZ$8,$B99,Меню!$J$191:$EZ$191)/1000*Обложка!$J$17)</f>
        <v>0</v>
      </c>
      <c r="V99" s="212">
        <f>IF($B99="Яйцо (шт)",SUMIF(Меню!$J$8:$EZ$8,$B99,Меню!$J$196:$EZ$196)*Обложка!$J$18/60,SUMIF(Меню!$J$8:$EZ$8,$B99,Меню!$J$196:$EZ$196)/1000*Обложка!$J$18)</f>
        <v>0</v>
      </c>
      <c r="W99" s="685">
        <f t="shared" si="12"/>
        <v>0</v>
      </c>
      <c r="X99" s="212">
        <f>IF($B99="Яйцо (шт)",SUMIF(Меню!$J$8:$EZ$8,$B99,Меню!$J$208:$EZ$208)*Обложка!$L$15/60,SUMIF(Меню!$J$8:$EZ$8,$B99,Меню!$J$208:$EZ$208)/1000*Обложка!$L$15)</f>
        <v>0</v>
      </c>
      <c r="Y99" s="212">
        <f>IF($B99="Яйцо (шт)",SUMIF(Меню!$J$8:$EZ$8,$B99,Меню!$J$223:$EZ$223)*Обложка!$L$16/60,SUMIF(Меню!$J$8:$EZ$8,$B99,Меню!$J$223:$EZ$223)/1000*Обложка!$J$16)</f>
        <v>0</v>
      </c>
      <c r="Z99" s="212">
        <f>IF($B99="Яйцо (шт)",SUMIF(Меню!$J$8:$EZ$8,$B99,Меню!$J$236:$EZ$236)*Обложка!$L$17/60,SUMIF(Меню!$J$8:$EZ$8,$B99,Меню!$J$236:$EZ$236)/1000*Обложка!$L$17)</f>
        <v>0</v>
      </c>
      <c r="AA99" s="212">
        <f>IF($B99="Яйцо (шт)",SUMIF(Меню!$J$8:$EZ$8,$B99,Меню!$J$241:$EZ$241)*Обложка!$L$18/60,SUMIF(Меню!$J$8:$EZ$8,$B99,Меню!$J$241:$EZ$241)/1000*Обложка!$L$18)</f>
        <v>0</v>
      </c>
      <c r="AB99" s="685">
        <f t="shared" si="13"/>
        <v>0</v>
      </c>
      <c r="AC99" s="212">
        <f>IF($B99="Яйцо (шт)",SUMIF(Меню!$J$8:$EZ$8,$B99,Меню!$J$253:$EZ$253)*Обложка!$N$15/60,SUMIF(Меню!$J$8:$EZ$8,$B99,Меню!$J$253:$EZ$253)/1000*Обложка!$N$15)</f>
        <v>0</v>
      </c>
      <c r="AD99" s="212">
        <f>IF($B99="Яйцо (шт)",SUMIF(Меню!$J$8:$EZ$8,$B99,Меню!$J$268:$EZ$268)*Обложка!$N$16/60,SUMIF(Меню!$J$8:$EZ$8,$B99,Меню!$J$268:$EZ$268)/1000*Обложка!$N$16)</f>
        <v>0</v>
      </c>
      <c r="AE99" s="212">
        <f>IF($B99="Яйцо (шт)",SUMIF(Меню!$J$8:$EZ$8,$B99,Меню!$J$281:$EZ$281)*Обложка!$N$17/60,SUMIF(Меню!$J$8:$EZ$8,$B99,Меню!$J$281:$EZ$281)/1000*Обложка!$N$17)</f>
        <v>0</v>
      </c>
      <c r="AF99" s="212">
        <f>IF($B99="Яйцо (шт)",SUMIF(Меню!$J$8:$EZ$8,$B99,Меню!$J$286:$EZ$286)*Обложка!$N$18/60,SUMIF(Меню!$J$8:$EZ$8,$B99,Меню!$J$286:$EZ$286)/1000*Обложка!$N$18)</f>
        <v>0</v>
      </c>
      <c r="AG99" s="685">
        <f t="shared" si="14"/>
        <v>0</v>
      </c>
      <c r="AH99" s="212">
        <f>IF($B99="Яйцо (шт)",SUMIF(Меню!$J$8:$EZ$8,$B99,Меню!$J$298:$EZ$298)*Обложка!$P$15/60,SUMIF(Меню!$J$8:$EZ$8,$B99,Меню!$J$298:$EZ$298)/1000*Обложка!$P$15)</f>
        <v>0</v>
      </c>
      <c r="AI99" s="212">
        <f>IF($B99="Яйцо (шт)",SUMIF(Меню!$J$8:$EZ$8,$BB99,Меню!$J$313:$EZ$313)*Обложка!$P$16/60,SUMIF(Меню!$J$8:$EZ$8,$B99,Меню!$J$313:$EZ$313)/1000*Обложка!$P$16)</f>
        <v>0</v>
      </c>
      <c r="AJ99" s="212">
        <f>IF($B99="Яйцо (шт)",SUMIF(Меню!$J$8:$EZ$8,$B99,Меню!$J$326:$EZ$326)*Обложка!$P$17/60,SUMIF(Меню!$J$8:$EZ$8,$B99,Меню!$J$326:$EZ$326)/1000*Обложка!$P$17)</f>
        <v>0</v>
      </c>
      <c r="AK99" s="212">
        <f>IF($B99="Яйцо (шт)",SUMIF(Меню!$J$8:$EZ$8,$B99,Меню!$J$331:$EZ$331)*Обложка!$P$18/60,SUMIF(Меню!$J$8:$EZ$8,$B99,Меню!$J$331:$EZ$331)/1000*Обложка!$P$18)</f>
        <v>0</v>
      </c>
      <c r="AL99" s="699">
        <f t="shared" si="15"/>
        <v>0</v>
      </c>
      <c r="AM99" s="685">
        <f t="shared" si="16"/>
        <v>0</v>
      </c>
    </row>
    <row r="100" spans="1:39" x14ac:dyDescent="0.25">
      <c r="A100" s="249">
        <f t="shared" si="17"/>
        <v>88</v>
      </c>
      <c r="B100" s="248" t="str">
        <f>инфо!D89</f>
        <v>Минтай б/г</v>
      </c>
      <c r="C100" s="694">
        <f>SUMIF(Меню!$J$8:$FD$8,$B100,Меню!$J$333:$FD$333)</f>
        <v>0</v>
      </c>
      <c r="D100" s="212">
        <f>IF($B100="Яйцо (шт)",SUMIF(Меню!$J$8:$FD$8,$B100,Меню!$J$28:$FD$28)*Обложка!$D$15/60,SUMIF(Меню!$J$8:$FD$8,$B100,Меню!$J$28:$FD$28)/1000*Обложка!$D$15)</f>
        <v>0</v>
      </c>
      <c r="E100" s="212">
        <f>IF($B100="Яйцо (шт)",SUMIF(Меню!$J$8:$FD$8,$B100,Меню!$J$43:$FD$43)*Обложка!$D$16/60,SUMIF(Меню!$J$8:$FD$8,$B100,Меню!$J$43:$FD$43)/1000*Обложка!$D$16)</f>
        <v>0</v>
      </c>
      <c r="F100" s="212">
        <f>IF($B100="Яйцо (шт)",SUMIF(Меню!$J$8:$FD$8,$B100,Меню!$J$56:$FD$56)*Обложка!$D$17/60,SUMIF(Меню!$J$8:$FD$8,$B100,Меню!$J$56:$FD$56)/1000*Обложка!$D$17)</f>
        <v>0</v>
      </c>
      <c r="G100" s="212">
        <f>IF($B100="Яйцо (шт)",SUMIF(Меню!$J$8:$FD$8,$B100,Меню!$J$61:$FD$61)*Обложка!$D$18/60,SUMIF(Меню!$J$8:$FD$8,$B100,Меню!$J$61:$FD$61)/1000*Обложка!$D$18)</f>
        <v>0</v>
      </c>
      <c r="H100" s="685">
        <f t="shared" si="9"/>
        <v>0</v>
      </c>
      <c r="I100" s="212">
        <f>IF($B100="Яйцо (шт)",SUMIF(Меню!$J$8:$FD$8,$B100,Меню!$J$73:$FD$73)*Обложка!$F$15/60,SUMIF(Меню!$J$8:$FD$8,$B100,Меню!$J$73:$FD$73)/1000*Обложка!$F$15)</f>
        <v>0</v>
      </c>
      <c r="J100" s="212">
        <f>IF($B100="Яйцо (шт)",SUMIF(Меню!$J$8:$FD$8,$B100,Меню!$J$88:$FD$88)*Обложка!$F$16/60,SUMIF(Меню!$J$8:$FD$8,$B100,Меню!$J$88:$FD$88)/1000*Обложка!$G$16)</f>
        <v>0</v>
      </c>
      <c r="K100" s="212">
        <f>IF($B100="Яйцо (шт)",SUMIF(Меню!$J$8:$FD$8,$B100,Меню!$J$101:$FD$101)*Обложка!$F$17/60,SUMIF(Меню!$J$8:$FD$8,$B100,Меню!$J$101:$FD$101)/1000*Обложка!$F$17)</f>
        <v>0</v>
      </c>
      <c r="L100" s="212">
        <f>IF($B100="Яйцо (шт)",SUMIF(Меню!$J$8:$FD$8,$B100,Меню!$J$106:$FD$106)*Обложка!$F$18/60,SUMIF(Меню!$J$8:$FD$8,$B100,Меню!$J$106:$FD$106)/1000*Обложка!$F$18)</f>
        <v>0</v>
      </c>
      <c r="M100" s="685">
        <f t="shared" si="10"/>
        <v>0</v>
      </c>
      <c r="N100" s="212">
        <f>IF($B100="Яйцо (шт)",SUMIF(Меню!$J$8:$EZ$8,$B100,Меню!$J$118:$EZ$118)*Обложка!$H$15/60,SUMIF(Меню!$J$8:$EZ$8,$B100,Меню!$J$118:$EZ$118)/1000*Обложка!$H$15)</f>
        <v>0</v>
      </c>
      <c r="O100" s="212">
        <f>IF($B100="Яйцо (шт)",SUMIF(Меню!$J$8:$EZ$8,$B100,Меню!$J$133:$EZ$133)*Обложка!$H$16/60,SUMIF(Меню!$J$8:$EZ$8,$B100,Меню!$J$133:$EZ$133)/1000*Обложка!$H$16)</f>
        <v>0</v>
      </c>
      <c r="P100" s="212">
        <f>IF($B100="Яйцо (шт)",SUMIF(Меню!$J$8:$EZ$8,$B100,Меню!$J$146:$EZ$146)*Обложка!$H$17/60,SUMIF(Меню!$J$8:$EZ$8,$B100,Меню!$J$146:$EZ$146)/1000*Обложка!$H$17)</f>
        <v>0</v>
      </c>
      <c r="Q100" s="212">
        <f>IF($B100="Яйцо (шт)",SUMIF(Меню!$J$8:$EZ$8,$B100,Меню!$J$151:$EZ$151)*Обложка!$H$18/60,SUMIF(Меню!$J$8:$EZ$8,$B100,Меню!$J$151:$EZ$151)/1000*Обложка!$H$18)</f>
        <v>0</v>
      </c>
      <c r="R100" s="685">
        <f t="shared" si="11"/>
        <v>0</v>
      </c>
      <c r="S100" s="212">
        <f>IF($B100="Яйцо (шт)",SUMIF(Меню!$J$8:$EZ$8,$B100,Меню!$J$163:$EZ$163)*Обложка!$J$15/60,SUMIF(Меню!$J$8:$EZ$8,$B100,Меню!$J$163:$EZ$163)/1000*Обложка!$J$15)</f>
        <v>0</v>
      </c>
      <c r="T100" s="212">
        <f>IF($B100="Яйцо (шт)",SUMIF(Меню!$J$8:$EZ$8,$B100,Меню!$J$178:$EZ$178)*Обложка!$J$16/60,SUMIF(Меню!$J$8:$EZ$8,$B100,Меню!$J$178:$EZ$178)/1000*Обложка!$J$16)</f>
        <v>0</v>
      </c>
      <c r="U100" s="212">
        <f>IF($B100="Яйцо (шт)",SUMIF(Меню!$J$8:$EZ$8,$B100,Меню!$J$191:$EZ$191)*Обложка!$J$17/60,SUMIF(Меню!$J$8:$EZ$8,$B100,Меню!$J$191:$EZ$191)/1000*Обложка!$J$17)</f>
        <v>0</v>
      </c>
      <c r="V100" s="212">
        <f>IF($B100="Яйцо (шт)",SUMIF(Меню!$J$8:$EZ$8,$B100,Меню!$J$196:$EZ$196)*Обложка!$J$18/60,SUMIF(Меню!$J$8:$EZ$8,$B100,Меню!$J$196:$EZ$196)/1000*Обложка!$J$18)</f>
        <v>0</v>
      </c>
      <c r="W100" s="685">
        <f t="shared" si="12"/>
        <v>0</v>
      </c>
      <c r="X100" s="212">
        <f>IF($B100="Яйцо (шт)",SUMIF(Меню!$J$8:$EZ$8,$B100,Меню!$J$208:$EZ$208)*Обложка!$L$15/60,SUMIF(Меню!$J$8:$EZ$8,$B100,Меню!$J$208:$EZ$208)/1000*Обложка!$L$15)</f>
        <v>0</v>
      </c>
      <c r="Y100" s="212">
        <f>IF($B100="Яйцо (шт)",SUMIF(Меню!$J$8:$EZ$8,$B100,Меню!$J$223:$EZ$223)*Обложка!$L$16/60,SUMIF(Меню!$J$8:$EZ$8,$B100,Меню!$J$223:$EZ$223)/1000*Обложка!$J$16)</f>
        <v>0</v>
      </c>
      <c r="Z100" s="212">
        <f>IF($B100="Яйцо (шт)",SUMIF(Меню!$J$8:$EZ$8,$B100,Меню!$J$236:$EZ$236)*Обложка!$L$17/60,SUMIF(Меню!$J$8:$EZ$8,$B100,Меню!$J$236:$EZ$236)/1000*Обложка!$L$17)</f>
        <v>0</v>
      </c>
      <c r="AA100" s="212">
        <f>IF($B100="Яйцо (шт)",SUMIF(Меню!$J$8:$EZ$8,$B100,Меню!$J$241:$EZ$241)*Обложка!$L$18/60,SUMIF(Меню!$J$8:$EZ$8,$B100,Меню!$J$241:$EZ$241)/1000*Обложка!$L$18)</f>
        <v>0</v>
      </c>
      <c r="AB100" s="685">
        <f t="shared" si="13"/>
        <v>0</v>
      </c>
      <c r="AC100" s="212">
        <f>IF($B100="Яйцо (шт)",SUMIF(Меню!$J$8:$EZ$8,$B100,Меню!$J$253:$EZ$253)*Обложка!$N$15/60,SUMIF(Меню!$J$8:$EZ$8,$B100,Меню!$J$253:$EZ$253)/1000*Обложка!$N$15)</f>
        <v>0</v>
      </c>
      <c r="AD100" s="212">
        <f>IF($B100="Яйцо (шт)",SUMIF(Меню!$J$8:$EZ$8,$B100,Меню!$J$268:$EZ$268)*Обложка!$N$16/60,SUMIF(Меню!$J$8:$EZ$8,$B100,Меню!$J$268:$EZ$268)/1000*Обложка!$N$16)</f>
        <v>0</v>
      </c>
      <c r="AE100" s="212">
        <f>IF($B100="Яйцо (шт)",SUMIF(Меню!$J$8:$EZ$8,$B100,Меню!$J$281:$EZ$281)*Обложка!$N$17/60,SUMIF(Меню!$J$8:$EZ$8,$B100,Меню!$J$281:$EZ$281)/1000*Обложка!$N$17)</f>
        <v>0</v>
      </c>
      <c r="AF100" s="212">
        <f>IF($B100="Яйцо (шт)",SUMIF(Меню!$J$8:$EZ$8,$B100,Меню!$J$286:$EZ$286)*Обложка!$N$18/60,SUMIF(Меню!$J$8:$EZ$8,$B100,Меню!$J$286:$EZ$286)/1000*Обложка!$N$18)</f>
        <v>0</v>
      </c>
      <c r="AG100" s="685">
        <f t="shared" si="14"/>
        <v>0</v>
      </c>
      <c r="AH100" s="212">
        <f>IF($B100="Яйцо (шт)",SUMIF(Меню!$J$8:$EZ$8,$B100,Меню!$J$298:$EZ$298)*Обложка!$P$15/60,SUMIF(Меню!$J$8:$EZ$8,$B100,Меню!$J$298:$EZ$298)/1000*Обложка!$P$15)</f>
        <v>0</v>
      </c>
      <c r="AI100" s="212">
        <f>IF($B100="Яйцо (шт)",SUMIF(Меню!$J$8:$EZ$8,$BB100,Меню!$J$313:$EZ$313)*Обложка!$P$16/60,SUMIF(Меню!$J$8:$EZ$8,$B100,Меню!$J$313:$EZ$313)/1000*Обложка!$P$16)</f>
        <v>0</v>
      </c>
      <c r="AJ100" s="212">
        <f>IF($B100="Яйцо (шт)",SUMIF(Меню!$J$8:$EZ$8,$B100,Меню!$J$326:$EZ$326)*Обложка!$P$17/60,SUMIF(Меню!$J$8:$EZ$8,$B100,Меню!$J$326:$EZ$326)/1000*Обложка!$P$17)</f>
        <v>0</v>
      </c>
      <c r="AK100" s="212">
        <f>IF($B100="Яйцо (шт)",SUMIF(Меню!$J$8:$EZ$8,$B100,Меню!$J$331:$EZ$331)*Обложка!$P$18/60,SUMIF(Меню!$J$8:$EZ$8,$B100,Меню!$J$331:$EZ$331)/1000*Обложка!$P$18)</f>
        <v>0</v>
      </c>
      <c r="AL100" s="699">
        <f t="shared" si="15"/>
        <v>0</v>
      </c>
      <c r="AM100" s="685">
        <f t="shared" si="16"/>
        <v>0</v>
      </c>
    </row>
    <row r="101" spans="1:39" x14ac:dyDescent="0.25">
      <c r="A101" s="249">
        <f t="shared" si="17"/>
        <v>89</v>
      </c>
      <c r="B101" s="248" t="str">
        <f>инфо!D90</f>
        <v>Минтай с/г</v>
      </c>
      <c r="C101" s="694">
        <f>SUMIF(Меню!$J$8:$FD$8,$B101,Меню!$J$333:$FD$333)</f>
        <v>0</v>
      </c>
      <c r="D101" s="212">
        <f>IF($B101="Яйцо (шт)",SUMIF(Меню!$J$8:$FD$8,$B101,Меню!$J$28:$FD$28)*Обложка!$D$15/60,SUMIF(Меню!$J$8:$FD$8,$B101,Меню!$J$28:$FD$28)/1000*Обложка!$D$15)</f>
        <v>0</v>
      </c>
      <c r="E101" s="212">
        <f>IF($B101="Яйцо (шт)",SUMIF(Меню!$J$8:$FD$8,$B101,Меню!$J$43:$FD$43)*Обложка!$D$16/60,SUMIF(Меню!$J$8:$FD$8,$B101,Меню!$J$43:$FD$43)/1000*Обложка!$D$16)</f>
        <v>0</v>
      </c>
      <c r="F101" s="212">
        <f>IF($B101="Яйцо (шт)",SUMIF(Меню!$J$8:$FD$8,$B101,Меню!$J$56:$FD$56)*Обложка!$D$17/60,SUMIF(Меню!$J$8:$FD$8,$B101,Меню!$J$56:$FD$56)/1000*Обложка!$D$17)</f>
        <v>0</v>
      </c>
      <c r="G101" s="212">
        <f>IF($B101="Яйцо (шт)",SUMIF(Меню!$J$8:$FD$8,$B101,Меню!$J$61:$FD$61)*Обложка!$D$18/60,SUMIF(Меню!$J$8:$FD$8,$B101,Меню!$J$61:$FD$61)/1000*Обложка!$D$18)</f>
        <v>0</v>
      </c>
      <c r="H101" s="685">
        <f t="shared" si="9"/>
        <v>0</v>
      </c>
      <c r="I101" s="212">
        <f>IF($B101="Яйцо (шт)",SUMIF(Меню!$J$8:$FD$8,$B101,Меню!$J$73:$FD$73)*Обложка!$F$15/60,SUMIF(Меню!$J$8:$FD$8,$B101,Меню!$J$73:$FD$73)/1000*Обложка!$F$15)</f>
        <v>0</v>
      </c>
      <c r="J101" s="212">
        <f>IF($B101="Яйцо (шт)",SUMIF(Меню!$J$8:$FD$8,$B101,Меню!$J$88:$FD$88)*Обложка!$F$16/60,SUMIF(Меню!$J$8:$FD$8,$B101,Меню!$J$88:$FD$88)/1000*Обложка!$G$16)</f>
        <v>0</v>
      </c>
      <c r="K101" s="212">
        <f>IF($B101="Яйцо (шт)",SUMIF(Меню!$J$8:$FD$8,$B101,Меню!$J$101:$FD$101)*Обложка!$F$17/60,SUMIF(Меню!$J$8:$FD$8,$B101,Меню!$J$101:$FD$101)/1000*Обложка!$F$17)</f>
        <v>0</v>
      </c>
      <c r="L101" s="212">
        <f>IF($B101="Яйцо (шт)",SUMIF(Меню!$J$8:$FD$8,$B101,Меню!$J$106:$FD$106)*Обложка!$F$18/60,SUMIF(Меню!$J$8:$FD$8,$B101,Меню!$J$106:$FD$106)/1000*Обложка!$F$18)</f>
        <v>0</v>
      </c>
      <c r="M101" s="685">
        <f t="shared" si="10"/>
        <v>0</v>
      </c>
      <c r="N101" s="212">
        <f>IF($B101="Яйцо (шт)",SUMIF(Меню!$J$8:$EZ$8,$B101,Меню!$J$118:$EZ$118)*Обложка!$H$15/60,SUMIF(Меню!$J$8:$EZ$8,$B101,Меню!$J$118:$EZ$118)/1000*Обложка!$H$15)</f>
        <v>0</v>
      </c>
      <c r="O101" s="212">
        <f>IF($B101="Яйцо (шт)",SUMIF(Меню!$J$8:$EZ$8,$B101,Меню!$J$133:$EZ$133)*Обложка!$H$16/60,SUMIF(Меню!$J$8:$EZ$8,$B101,Меню!$J$133:$EZ$133)/1000*Обложка!$H$16)</f>
        <v>0</v>
      </c>
      <c r="P101" s="212">
        <f>IF($B101="Яйцо (шт)",SUMIF(Меню!$J$8:$EZ$8,$B101,Меню!$J$146:$EZ$146)*Обложка!$H$17/60,SUMIF(Меню!$J$8:$EZ$8,$B101,Меню!$J$146:$EZ$146)/1000*Обложка!$H$17)</f>
        <v>0</v>
      </c>
      <c r="Q101" s="212">
        <f>IF($B101="Яйцо (шт)",SUMIF(Меню!$J$8:$EZ$8,$B101,Меню!$J$151:$EZ$151)*Обложка!$H$18/60,SUMIF(Меню!$J$8:$EZ$8,$B101,Меню!$J$151:$EZ$151)/1000*Обложка!$H$18)</f>
        <v>0</v>
      </c>
      <c r="R101" s="685">
        <f t="shared" si="11"/>
        <v>0</v>
      </c>
      <c r="S101" s="212">
        <f>IF($B101="Яйцо (шт)",SUMIF(Меню!$J$8:$EZ$8,$B101,Меню!$J$163:$EZ$163)*Обложка!$J$15/60,SUMIF(Меню!$J$8:$EZ$8,$B101,Меню!$J$163:$EZ$163)/1000*Обложка!$J$15)</f>
        <v>0</v>
      </c>
      <c r="T101" s="212">
        <f>IF($B101="Яйцо (шт)",SUMIF(Меню!$J$8:$EZ$8,$B101,Меню!$J$178:$EZ$178)*Обложка!$J$16/60,SUMIF(Меню!$J$8:$EZ$8,$B101,Меню!$J$178:$EZ$178)/1000*Обложка!$J$16)</f>
        <v>0</v>
      </c>
      <c r="U101" s="212">
        <f>IF($B101="Яйцо (шт)",SUMIF(Меню!$J$8:$EZ$8,$B101,Меню!$J$191:$EZ$191)*Обложка!$J$17/60,SUMIF(Меню!$J$8:$EZ$8,$B101,Меню!$J$191:$EZ$191)/1000*Обложка!$J$17)</f>
        <v>0</v>
      </c>
      <c r="V101" s="212">
        <f>IF($B101="Яйцо (шт)",SUMIF(Меню!$J$8:$EZ$8,$B101,Меню!$J$196:$EZ$196)*Обложка!$J$18/60,SUMIF(Меню!$J$8:$EZ$8,$B101,Меню!$J$196:$EZ$196)/1000*Обложка!$J$18)</f>
        <v>0</v>
      </c>
      <c r="W101" s="685">
        <f t="shared" si="12"/>
        <v>0</v>
      </c>
      <c r="X101" s="212">
        <f>IF($B101="Яйцо (шт)",SUMIF(Меню!$J$8:$EZ$8,$B101,Меню!$J$208:$EZ$208)*Обложка!$L$15/60,SUMIF(Меню!$J$8:$EZ$8,$B101,Меню!$J$208:$EZ$208)/1000*Обложка!$L$15)</f>
        <v>0</v>
      </c>
      <c r="Y101" s="212">
        <f>IF($B101="Яйцо (шт)",SUMIF(Меню!$J$8:$EZ$8,$B101,Меню!$J$223:$EZ$223)*Обложка!$L$16/60,SUMIF(Меню!$J$8:$EZ$8,$B101,Меню!$J$223:$EZ$223)/1000*Обложка!$J$16)</f>
        <v>0</v>
      </c>
      <c r="Z101" s="212">
        <f>IF($B101="Яйцо (шт)",SUMIF(Меню!$J$8:$EZ$8,$B101,Меню!$J$236:$EZ$236)*Обложка!$L$17/60,SUMIF(Меню!$J$8:$EZ$8,$B101,Меню!$J$236:$EZ$236)/1000*Обложка!$L$17)</f>
        <v>0</v>
      </c>
      <c r="AA101" s="212">
        <f>IF($B101="Яйцо (шт)",SUMIF(Меню!$J$8:$EZ$8,$B101,Меню!$J$241:$EZ$241)*Обложка!$L$18/60,SUMIF(Меню!$J$8:$EZ$8,$B101,Меню!$J$241:$EZ$241)/1000*Обложка!$L$18)</f>
        <v>0</v>
      </c>
      <c r="AB101" s="685">
        <f t="shared" si="13"/>
        <v>0</v>
      </c>
      <c r="AC101" s="212">
        <f>IF($B101="Яйцо (шт)",SUMIF(Меню!$J$8:$EZ$8,$B101,Меню!$J$253:$EZ$253)*Обложка!$N$15/60,SUMIF(Меню!$J$8:$EZ$8,$B101,Меню!$J$253:$EZ$253)/1000*Обложка!$N$15)</f>
        <v>0</v>
      </c>
      <c r="AD101" s="212">
        <f>IF($B101="Яйцо (шт)",SUMIF(Меню!$J$8:$EZ$8,$B101,Меню!$J$268:$EZ$268)*Обложка!$N$16/60,SUMIF(Меню!$J$8:$EZ$8,$B101,Меню!$J$268:$EZ$268)/1000*Обложка!$N$16)</f>
        <v>0</v>
      </c>
      <c r="AE101" s="212">
        <f>IF($B101="Яйцо (шт)",SUMIF(Меню!$J$8:$EZ$8,$B101,Меню!$J$281:$EZ$281)*Обложка!$N$17/60,SUMIF(Меню!$J$8:$EZ$8,$B101,Меню!$J$281:$EZ$281)/1000*Обложка!$N$17)</f>
        <v>0</v>
      </c>
      <c r="AF101" s="212">
        <f>IF($B101="Яйцо (шт)",SUMIF(Меню!$J$8:$EZ$8,$B101,Меню!$J$286:$EZ$286)*Обложка!$N$18/60,SUMIF(Меню!$J$8:$EZ$8,$B101,Меню!$J$286:$EZ$286)/1000*Обложка!$N$18)</f>
        <v>0</v>
      </c>
      <c r="AG101" s="685">
        <f t="shared" si="14"/>
        <v>0</v>
      </c>
      <c r="AH101" s="212">
        <f>IF($B101="Яйцо (шт)",SUMIF(Меню!$J$8:$EZ$8,$B101,Меню!$J$298:$EZ$298)*Обложка!$P$15/60,SUMIF(Меню!$J$8:$EZ$8,$B101,Меню!$J$298:$EZ$298)/1000*Обложка!$P$15)</f>
        <v>0</v>
      </c>
      <c r="AI101" s="212">
        <f>IF($B101="Яйцо (шт)",SUMIF(Меню!$J$8:$EZ$8,$BB101,Меню!$J$313:$EZ$313)*Обложка!$P$16/60,SUMIF(Меню!$J$8:$EZ$8,$B101,Меню!$J$313:$EZ$313)/1000*Обложка!$P$16)</f>
        <v>0</v>
      </c>
      <c r="AJ101" s="212">
        <f>IF($B101="Яйцо (шт)",SUMIF(Меню!$J$8:$EZ$8,$B101,Меню!$J$326:$EZ$326)*Обложка!$P$17/60,SUMIF(Меню!$J$8:$EZ$8,$B101,Меню!$J$326:$EZ$326)/1000*Обложка!$P$17)</f>
        <v>0</v>
      </c>
      <c r="AK101" s="212">
        <f>IF($B101="Яйцо (шт)",SUMIF(Меню!$J$8:$EZ$8,$B101,Меню!$J$331:$EZ$331)*Обложка!$P$18/60,SUMIF(Меню!$J$8:$EZ$8,$B101,Меню!$J$331:$EZ$331)/1000*Обложка!$P$18)</f>
        <v>0</v>
      </c>
      <c r="AL101" s="699">
        <f t="shared" si="15"/>
        <v>0</v>
      </c>
      <c r="AM101" s="685">
        <f t="shared" si="16"/>
        <v>0</v>
      </c>
    </row>
    <row r="102" spans="1:39" x14ac:dyDescent="0.25">
      <c r="A102" s="249">
        <f t="shared" si="17"/>
        <v>90</v>
      </c>
      <c r="B102" s="248" t="str">
        <f>инфо!D91</f>
        <v>Навага б/г</v>
      </c>
      <c r="C102" s="694">
        <f>SUMIF(Меню!$J$8:$FD$8,$B102,Меню!$J$333:$FD$333)</f>
        <v>120</v>
      </c>
      <c r="D102" s="212">
        <f>IF($B102="Яйцо (шт)",SUMIF(Меню!$J$8:$FD$8,$B102,Меню!$J$28:$FD$28)*Обложка!$D$15/60,SUMIF(Меню!$J$8:$FD$8,$B102,Меню!$J$28:$FD$28)/1000*Обложка!$D$15)</f>
        <v>0</v>
      </c>
      <c r="E102" s="212">
        <f>IF($B102="Яйцо (шт)",SUMIF(Меню!$J$8:$FD$8,$B102,Меню!$J$43:$FD$43)*Обложка!$D$16/60,SUMIF(Меню!$J$8:$FD$8,$B102,Меню!$J$43:$FD$43)/1000*Обложка!$D$16)</f>
        <v>0</v>
      </c>
      <c r="F102" s="212">
        <f>IF($B102="Яйцо (шт)",SUMIF(Меню!$J$8:$FD$8,$B102,Меню!$J$56:$FD$56)*Обложка!$D$17/60,SUMIF(Меню!$J$8:$FD$8,$B102,Меню!$J$56:$FD$56)/1000*Обложка!$D$17)</f>
        <v>0</v>
      </c>
      <c r="G102" s="212">
        <f>IF($B102="Яйцо (шт)",SUMIF(Меню!$J$8:$FD$8,$B102,Меню!$J$61:$FD$61)*Обложка!$D$18/60,SUMIF(Меню!$J$8:$FD$8,$B102,Меню!$J$61:$FD$61)/1000*Обложка!$D$18)</f>
        <v>0</v>
      </c>
      <c r="H102" s="685">
        <f t="shared" si="9"/>
        <v>0</v>
      </c>
      <c r="I102" s="212">
        <f>IF($B102="Яйцо (шт)",SUMIF(Меню!$J$8:$FD$8,$B102,Меню!$J$73:$FD$73)*Обложка!$F$15/60,SUMIF(Меню!$J$8:$FD$8,$B102,Меню!$J$73:$FD$73)/1000*Обложка!$F$15)</f>
        <v>0</v>
      </c>
      <c r="J102" s="212">
        <f>IF($B102="Яйцо (шт)",SUMIF(Меню!$J$8:$FD$8,$B102,Меню!$J$88:$FD$88)*Обложка!$F$16/60,SUMIF(Меню!$J$8:$FD$8,$B102,Меню!$J$88:$FD$88)/1000*Обложка!$G$16)</f>
        <v>0</v>
      </c>
      <c r="K102" s="212">
        <f>IF($B102="Яйцо (шт)",SUMIF(Меню!$J$8:$FD$8,$B102,Меню!$J$101:$FD$101)*Обложка!$F$17/60,SUMIF(Меню!$J$8:$FD$8,$B102,Меню!$J$101:$FD$101)/1000*Обложка!$F$17)</f>
        <v>0</v>
      </c>
      <c r="L102" s="212">
        <f>IF($B102="Яйцо (шт)",SUMIF(Меню!$J$8:$FD$8,$B102,Меню!$J$106:$FD$106)*Обложка!$F$18/60,SUMIF(Меню!$J$8:$FD$8,$B102,Меню!$J$106:$FD$106)/1000*Обложка!$F$18)</f>
        <v>0</v>
      </c>
      <c r="M102" s="685">
        <f t="shared" si="10"/>
        <v>0</v>
      </c>
      <c r="N102" s="212">
        <f>IF($B102="Яйцо (шт)",SUMIF(Меню!$J$8:$EZ$8,$B102,Меню!$J$118:$EZ$118)*Обложка!$H$15/60,SUMIF(Меню!$J$8:$EZ$8,$B102,Меню!$J$118:$EZ$118)/1000*Обложка!$H$15)</f>
        <v>0</v>
      </c>
      <c r="O102" s="212">
        <f>IF($B102="Яйцо (шт)",SUMIF(Меню!$J$8:$EZ$8,$B102,Меню!$J$133:$EZ$133)*Обложка!$H$16/60,SUMIF(Меню!$J$8:$EZ$8,$B102,Меню!$J$133:$EZ$133)/1000*Обложка!$H$16)</f>
        <v>0</v>
      </c>
      <c r="P102" s="212">
        <f>IF($B102="Яйцо (шт)",SUMIF(Меню!$J$8:$EZ$8,$B102,Меню!$J$146:$EZ$146)*Обложка!$H$17/60,SUMIF(Меню!$J$8:$EZ$8,$B102,Меню!$J$146:$EZ$146)/1000*Обложка!$H$17)</f>
        <v>0</v>
      </c>
      <c r="Q102" s="212">
        <f>IF($B102="Яйцо (шт)",SUMIF(Меню!$J$8:$EZ$8,$B102,Меню!$J$151:$EZ$151)*Обложка!$H$18/60,SUMIF(Меню!$J$8:$EZ$8,$B102,Меню!$J$151:$EZ$151)/1000*Обложка!$H$18)</f>
        <v>0</v>
      </c>
      <c r="R102" s="685">
        <f t="shared" si="11"/>
        <v>0</v>
      </c>
      <c r="S102" s="212">
        <f>IF($B102="Яйцо (шт)",SUMIF(Меню!$J$8:$EZ$8,$B102,Меню!$J$163:$EZ$163)*Обложка!$J$15/60,SUMIF(Меню!$J$8:$EZ$8,$B102,Меню!$J$163:$EZ$163)/1000*Обложка!$J$15)</f>
        <v>0</v>
      </c>
      <c r="T102" s="212">
        <f>IF($B102="Яйцо (шт)",SUMIF(Меню!$J$8:$EZ$8,$B102,Меню!$J$178:$EZ$178)*Обложка!$J$16/60,SUMIF(Меню!$J$8:$EZ$8,$B102,Меню!$J$178:$EZ$178)/1000*Обложка!$J$16)</f>
        <v>0</v>
      </c>
      <c r="U102" s="212">
        <f>IF($B102="Яйцо (шт)",SUMIF(Меню!$J$8:$EZ$8,$B102,Меню!$J$191:$EZ$191)*Обложка!$J$17/60,SUMIF(Меню!$J$8:$EZ$8,$B102,Меню!$J$191:$EZ$191)/1000*Обложка!$J$17)</f>
        <v>0</v>
      </c>
      <c r="V102" s="212">
        <f>IF($B102="Яйцо (шт)",SUMIF(Меню!$J$8:$EZ$8,$B102,Меню!$J$196:$EZ$196)*Обложка!$J$18/60,SUMIF(Меню!$J$8:$EZ$8,$B102,Меню!$J$196:$EZ$196)/1000*Обложка!$J$18)</f>
        <v>0</v>
      </c>
      <c r="W102" s="685">
        <f t="shared" si="12"/>
        <v>0</v>
      </c>
      <c r="X102" s="212">
        <f>IF($B102="Яйцо (шт)",SUMIF(Меню!$J$8:$EZ$8,$B102,Меню!$J$208:$EZ$208)*Обложка!$L$15/60,SUMIF(Меню!$J$8:$EZ$8,$B102,Меню!$J$208:$EZ$208)/1000*Обложка!$L$15)</f>
        <v>0</v>
      </c>
      <c r="Y102" s="212">
        <f>IF($B102="Яйцо (шт)",SUMIF(Меню!$J$8:$EZ$8,$B102,Меню!$J$223:$EZ$223)*Обложка!$L$16/60,SUMIF(Меню!$J$8:$EZ$8,$B102,Меню!$J$223:$EZ$223)/1000*Обложка!$J$16)</f>
        <v>0</v>
      </c>
      <c r="Z102" s="212">
        <f>IF($B102="Яйцо (шт)",SUMIF(Меню!$J$8:$EZ$8,$B102,Меню!$J$236:$EZ$236)*Обложка!$L$17/60,SUMIF(Меню!$J$8:$EZ$8,$B102,Меню!$J$236:$EZ$236)/1000*Обложка!$L$17)</f>
        <v>0</v>
      </c>
      <c r="AA102" s="212">
        <f>IF($B102="Яйцо (шт)",SUMIF(Меню!$J$8:$EZ$8,$B102,Меню!$J$241:$EZ$241)*Обложка!$L$18/60,SUMIF(Меню!$J$8:$EZ$8,$B102,Меню!$J$241:$EZ$241)/1000*Обложка!$L$18)</f>
        <v>0</v>
      </c>
      <c r="AB102" s="685">
        <f t="shared" si="13"/>
        <v>0</v>
      </c>
      <c r="AC102" s="212">
        <f>IF($B102="Яйцо (шт)",SUMIF(Меню!$J$8:$EZ$8,$B102,Меню!$J$253:$EZ$253)*Обложка!$N$15/60,SUMIF(Меню!$J$8:$EZ$8,$B102,Меню!$J$253:$EZ$253)/1000*Обложка!$N$15)</f>
        <v>0</v>
      </c>
      <c r="AD102" s="212">
        <f>IF($B102="Яйцо (шт)",SUMIF(Меню!$J$8:$EZ$8,$B102,Меню!$J$268:$EZ$268)*Обложка!$N$16/60,SUMIF(Меню!$J$8:$EZ$8,$B102,Меню!$J$268:$EZ$268)/1000*Обложка!$N$16)</f>
        <v>0</v>
      </c>
      <c r="AE102" s="212">
        <f>IF($B102="Яйцо (шт)",SUMIF(Меню!$J$8:$EZ$8,$B102,Меню!$J$281:$EZ$281)*Обложка!$N$17/60,SUMIF(Меню!$J$8:$EZ$8,$B102,Меню!$J$281:$EZ$281)/1000*Обложка!$N$17)</f>
        <v>0</v>
      </c>
      <c r="AF102" s="212">
        <f>IF($B102="Яйцо (шт)",SUMIF(Меню!$J$8:$EZ$8,$B102,Меню!$J$286:$EZ$286)*Обложка!$N$18/60,SUMIF(Меню!$J$8:$EZ$8,$B102,Меню!$J$286:$EZ$286)/1000*Обложка!$N$18)</f>
        <v>0</v>
      </c>
      <c r="AG102" s="685">
        <f t="shared" si="14"/>
        <v>0</v>
      </c>
      <c r="AH102" s="212">
        <f>IF($B102="Яйцо (шт)",SUMIF(Меню!$J$8:$EZ$8,$B102,Меню!$J$298:$EZ$298)*Обложка!$P$15/60,SUMIF(Меню!$J$8:$EZ$8,$B102,Меню!$J$298:$EZ$298)/1000*Обложка!$P$15)</f>
        <v>2.4</v>
      </c>
      <c r="AI102" s="212">
        <f>IF($B102="Яйцо (шт)",SUMIF(Меню!$J$8:$EZ$8,$BB102,Меню!$J$313:$EZ$313)*Обложка!$P$16/60,SUMIF(Меню!$J$8:$EZ$8,$B102,Меню!$J$313:$EZ$313)/1000*Обложка!$P$16)</f>
        <v>0</v>
      </c>
      <c r="AJ102" s="212">
        <f>IF($B102="Яйцо (шт)",SUMIF(Меню!$J$8:$EZ$8,$B102,Меню!$J$326:$EZ$326)*Обложка!$P$17/60,SUMIF(Меню!$J$8:$EZ$8,$B102,Меню!$J$326:$EZ$326)/1000*Обложка!$P$17)</f>
        <v>0</v>
      </c>
      <c r="AK102" s="212">
        <f>IF($B102="Яйцо (шт)",SUMIF(Меню!$J$8:$EZ$8,$B102,Меню!$J$331:$EZ$331)*Обложка!$P$18/60,SUMIF(Меню!$J$8:$EZ$8,$B102,Меню!$J$331:$EZ$331)/1000*Обложка!$P$18)</f>
        <v>0</v>
      </c>
      <c r="AL102" s="699">
        <f t="shared" si="15"/>
        <v>2.4</v>
      </c>
      <c r="AM102" s="685">
        <f t="shared" si="16"/>
        <v>2.4</v>
      </c>
    </row>
    <row r="103" spans="1:39" x14ac:dyDescent="0.25">
      <c r="A103" s="249">
        <f t="shared" si="17"/>
        <v>91</v>
      </c>
      <c r="B103" s="248" t="str">
        <f>инфо!D92</f>
        <v>Навага с/г</v>
      </c>
      <c r="C103" s="694">
        <f>SUMIF(Меню!$J$8:$FD$8,$B103,Меню!$J$333:$FD$333)</f>
        <v>0</v>
      </c>
      <c r="D103" s="212">
        <f>IF($B103="Яйцо (шт)",SUMIF(Меню!$J$8:$FD$8,$B103,Меню!$J$28:$FD$28)*Обложка!$D$15/60,SUMIF(Меню!$J$8:$FD$8,$B103,Меню!$J$28:$FD$28)/1000*Обложка!$D$15)</f>
        <v>0</v>
      </c>
      <c r="E103" s="212">
        <f>IF($B103="Яйцо (шт)",SUMIF(Меню!$J$8:$FD$8,$B103,Меню!$J$43:$FD$43)*Обложка!$D$16/60,SUMIF(Меню!$J$8:$FD$8,$B103,Меню!$J$43:$FD$43)/1000*Обложка!$D$16)</f>
        <v>0</v>
      </c>
      <c r="F103" s="212">
        <f>IF($B103="Яйцо (шт)",SUMIF(Меню!$J$8:$FD$8,$B103,Меню!$J$56:$FD$56)*Обложка!$D$17/60,SUMIF(Меню!$J$8:$FD$8,$B103,Меню!$J$56:$FD$56)/1000*Обложка!$D$17)</f>
        <v>0</v>
      </c>
      <c r="G103" s="212">
        <f>IF($B103="Яйцо (шт)",SUMIF(Меню!$J$8:$FD$8,$B103,Меню!$J$61:$FD$61)*Обложка!$D$18/60,SUMIF(Меню!$J$8:$FD$8,$B103,Меню!$J$61:$FD$61)/1000*Обложка!$D$18)</f>
        <v>0</v>
      </c>
      <c r="H103" s="685">
        <f t="shared" si="9"/>
        <v>0</v>
      </c>
      <c r="I103" s="212">
        <f>IF($B103="Яйцо (шт)",SUMIF(Меню!$J$8:$FD$8,$B103,Меню!$J$73:$FD$73)*Обложка!$F$15/60,SUMIF(Меню!$J$8:$FD$8,$B103,Меню!$J$73:$FD$73)/1000*Обложка!$F$15)</f>
        <v>0</v>
      </c>
      <c r="J103" s="212">
        <f>IF($B103="Яйцо (шт)",SUMIF(Меню!$J$8:$FD$8,$B103,Меню!$J$88:$FD$88)*Обложка!$F$16/60,SUMIF(Меню!$J$8:$FD$8,$B103,Меню!$J$88:$FD$88)/1000*Обложка!$G$16)</f>
        <v>0</v>
      </c>
      <c r="K103" s="212">
        <f>IF($B103="Яйцо (шт)",SUMIF(Меню!$J$8:$FD$8,$B103,Меню!$J$101:$FD$101)*Обложка!$F$17/60,SUMIF(Меню!$J$8:$FD$8,$B103,Меню!$J$101:$FD$101)/1000*Обложка!$F$17)</f>
        <v>0</v>
      </c>
      <c r="L103" s="212">
        <f>IF($B103="Яйцо (шт)",SUMIF(Меню!$J$8:$FD$8,$B103,Меню!$J$106:$FD$106)*Обложка!$F$18/60,SUMIF(Меню!$J$8:$FD$8,$B103,Меню!$J$106:$FD$106)/1000*Обложка!$F$18)</f>
        <v>0</v>
      </c>
      <c r="M103" s="685">
        <f t="shared" si="10"/>
        <v>0</v>
      </c>
      <c r="N103" s="212">
        <f>IF($B103="Яйцо (шт)",SUMIF(Меню!$J$8:$EZ$8,$B103,Меню!$J$118:$EZ$118)*Обложка!$H$15/60,SUMIF(Меню!$J$8:$EZ$8,$B103,Меню!$J$118:$EZ$118)/1000*Обложка!$H$15)</f>
        <v>0</v>
      </c>
      <c r="O103" s="212">
        <f>IF($B103="Яйцо (шт)",SUMIF(Меню!$J$8:$EZ$8,$B103,Меню!$J$133:$EZ$133)*Обложка!$H$16/60,SUMIF(Меню!$J$8:$EZ$8,$B103,Меню!$J$133:$EZ$133)/1000*Обложка!$H$16)</f>
        <v>0</v>
      </c>
      <c r="P103" s="212">
        <f>IF($B103="Яйцо (шт)",SUMIF(Меню!$J$8:$EZ$8,$B103,Меню!$J$146:$EZ$146)*Обложка!$H$17/60,SUMIF(Меню!$J$8:$EZ$8,$B103,Меню!$J$146:$EZ$146)/1000*Обложка!$H$17)</f>
        <v>0</v>
      </c>
      <c r="Q103" s="212">
        <f>IF($B103="Яйцо (шт)",SUMIF(Меню!$J$8:$EZ$8,$B103,Меню!$J$151:$EZ$151)*Обложка!$H$18/60,SUMIF(Меню!$J$8:$EZ$8,$B103,Меню!$J$151:$EZ$151)/1000*Обложка!$H$18)</f>
        <v>0</v>
      </c>
      <c r="R103" s="685">
        <f t="shared" si="11"/>
        <v>0</v>
      </c>
      <c r="S103" s="212">
        <f>IF($B103="Яйцо (шт)",SUMIF(Меню!$J$8:$EZ$8,$B103,Меню!$J$163:$EZ$163)*Обложка!$J$15/60,SUMIF(Меню!$J$8:$EZ$8,$B103,Меню!$J$163:$EZ$163)/1000*Обложка!$J$15)</f>
        <v>0</v>
      </c>
      <c r="T103" s="212">
        <f>IF($B103="Яйцо (шт)",SUMIF(Меню!$J$8:$EZ$8,$B103,Меню!$J$178:$EZ$178)*Обложка!$J$16/60,SUMIF(Меню!$J$8:$EZ$8,$B103,Меню!$J$178:$EZ$178)/1000*Обложка!$J$16)</f>
        <v>0</v>
      </c>
      <c r="U103" s="212">
        <f>IF($B103="Яйцо (шт)",SUMIF(Меню!$J$8:$EZ$8,$B103,Меню!$J$191:$EZ$191)*Обложка!$J$17/60,SUMIF(Меню!$J$8:$EZ$8,$B103,Меню!$J$191:$EZ$191)/1000*Обложка!$J$17)</f>
        <v>0</v>
      </c>
      <c r="V103" s="212">
        <f>IF($B103="Яйцо (шт)",SUMIF(Меню!$J$8:$EZ$8,$B103,Меню!$J$196:$EZ$196)*Обложка!$J$18/60,SUMIF(Меню!$J$8:$EZ$8,$B103,Меню!$J$196:$EZ$196)/1000*Обложка!$J$18)</f>
        <v>0</v>
      </c>
      <c r="W103" s="685">
        <f t="shared" si="12"/>
        <v>0</v>
      </c>
      <c r="X103" s="212">
        <f>IF($B103="Яйцо (шт)",SUMIF(Меню!$J$8:$EZ$8,$B103,Меню!$J$208:$EZ$208)*Обложка!$L$15/60,SUMIF(Меню!$J$8:$EZ$8,$B103,Меню!$J$208:$EZ$208)/1000*Обложка!$L$15)</f>
        <v>0</v>
      </c>
      <c r="Y103" s="212">
        <f>IF($B103="Яйцо (шт)",SUMIF(Меню!$J$8:$EZ$8,$B103,Меню!$J$223:$EZ$223)*Обложка!$L$16/60,SUMIF(Меню!$J$8:$EZ$8,$B103,Меню!$J$223:$EZ$223)/1000*Обложка!$J$16)</f>
        <v>0</v>
      </c>
      <c r="Z103" s="212">
        <f>IF($B103="Яйцо (шт)",SUMIF(Меню!$J$8:$EZ$8,$B103,Меню!$J$236:$EZ$236)*Обложка!$L$17/60,SUMIF(Меню!$J$8:$EZ$8,$B103,Меню!$J$236:$EZ$236)/1000*Обложка!$L$17)</f>
        <v>0</v>
      </c>
      <c r="AA103" s="212">
        <f>IF($B103="Яйцо (шт)",SUMIF(Меню!$J$8:$EZ$8,$B103,Меню!$J$241:$EZ$241)*Обложка!$L$18/60,SUMIF(Меню!$J$8:$EZ$8,$B103,Меню!$J$241:$EZ$241)/1000*Обложка!$L$18)</f>
        <v>0</v>
      </c>
      <c r="AB103" s="685">
        <f t="shared" si="13"/>
        <v>0</v>
      </c>
      <c r="AC103" s="212">
        <f>IF($B103="Яйцо (шт)",SUMIF(Меню!$J$8:$EZ$8,$B103,Меню!$J$253:$EZ$253)*Обложка!$N$15/60,SUMIF(Меню!$J$8:$EZ$8,$B103,Меню!$J$253:$EZ$253)/1000*Обложка!$N$15)</f>
        <v>0</v>
      </c>
      <c r="AD103" s="212">
        <f>IF($B103="Яйцо (шт)",SUMIF(Меню!$J$8:$EZ$8,$B103,Меню!$J$268:$EZ$268)*Обложка!$N$16/60,SUMIF(Меню!$J$8:$EZ$8,$B103,Меню!$J$268:$EZ$268)/1000*Обложка!$N$16)</f>
        <v>0</v>
      </c>
      <c r="AE103" s="212">
        <f>IF($B103="Яйцо (шт)",SUMIF(Меню!$J$8:$EZ$8,$B103,Меню!$J$281:$EZ$281)*Обложка!$N$17/60,SUMIF(Меню!$J$8:$EZ$8,$B103,Меню!$J$281:$EZ$281)/1000*Обложка!$N$17)</f>
        <v>0</v>
      </c>
      <c r="AF103" s="212">
        <f>IF($B103="Яйцо (шт)",SUMIF(Меню!$J$8:$EZ$8,$B103,Меню!$J$286:$EZ$286)*Обложка!$N$18/60,SUMIF(Меню!$J$8:$EZ$8,$B103,Меню!$J$286:$EZ$286)/1000*Обложка!$N$18)</f>
        <v>0</v>
      </c>
      <c r="AG103" s="685">
        <f t="shared" si="14"/>
        <v>0</v>
      </c>
      <c r="AH103" s="212">
        <f>IF($B103="Яйцо (шт)",SUMIF(Меню!$J$8:$EZ$8,$B103,Меню!$J$298:$EZ$298)*Обложка!$P$15/60,SUMIF(Меню!$J$8:$EZ$8,$B103,Меню!$J$298:$EZ$298)/1000*Обложка!$P$15)</f>
        <v>0</v>
      </c>
      <c r="AI103" s="212">
        <f>IF($B103="Яйцо (шт)",SUMIF(Меню!$J$8:$EZ$8,$BB103,Меню!$J$313:$EZ$313)*Обложка!$P$16/60,SUMIF(Меню!$J$8:$EZ$8,$B103,Меню!$J$313:$EZ$313)/1000*Обложка!$P$16)</f>
        <v>0</v>
      </c>
      <c r="AJ103" s="212">
        <f>IF($B103="Яйцо (шт)",SUMIF(Меню!$J$8:$EZ$8,$B103,Меню!$J$326:$EZ$326)*Обложка!$P$17/60,SUMIF(Меню!$J$8:$EZ$8,$B103,Меню!$J$326:$EZ$326)/1000*Обложка!$P$17)</f>
        <v>0</v>
      </c>
      <c r="AK103" s="212">
        <f>IF($B103="Яйцо (шт)",SUMIF(Меню!$J$8:$EZ$8,$B103,Меню!$J$331:$EZ$331)*Обложка!$P$18/60,SUMIF(Меню!$J$8:$EZ$8,$B103,Меню!$J$331:$EZ$331)/1000*Обложка!$P$18)</f>
        <v>0</v>
      </c>
      <c r="AL103" s="699">
        <f t="shared" si="15"/>
        <v>0</v>
      </c>
      <c r="AM103" s="685">
        <f t="shared" si="16"/>
        <v>0</v>
      </c>
    </row>
    <row r="104" spans="1:39" x14ac:dyDescent="0.25">
      <c r="A104" s="249">
        <f t="shared" si="17"/>
        <v>92</v>
      </c>
      <c r="B104" s="248" t="str">
        <f>инфо!D93</f>
        <v>Камбала б/г</v>
      </c>
      <c r="C104" s="694">
        <f>SUMIF(Меню!$J$8:$FD$8,$B104,Меню!$J$333:$FD$333)</f>
        <v>120</v>
      </c>
      <c r="D104" s="212">
        <f>IF($B104="Яйцо (шт)",SUMIF(Меню!$J$8:$FD$8,$B104,Меню!$J$28:$FD$28)*Обложка!$D$15/60,SUMIF(Меню!$J$8:$FD$8,$B104,Меню!$J$28:$FD$28)/1000*Обложка!$D$15)</f>
        <v>0</v>
      </c>
      <c r="E104" s="212">
        <f>IF($B104="Яйцо (шт)",SUMIF(Меню!$J$8:$FD$8,$B104,Меню!$J$43:$FD$43)*Обложка!$D$16/60,SUMIF(Меню!$J$8:$FD$8,$B104,Меню!$J$43:$FD$43)/1000*Обложка!$D$16)</f>
        <v>0</v>
      </c>
      <c r="F104" s="212">
        <f>IF($B104="Яйцо (шт)",SUMIF(Меню!$J$8:$FD$8,$B104,Меню!$J$56:$FD$56)*Обложка!$D$17/60,SUMIF(Меню!$J$8:$FD$8,$B104,Меню!$J$56:$FD$56)/1000*Обложка!$D$17)</f>
        <v>0</v>
      </c>
      <c r="G104" s="212">
        <f>IF($B104="Яйцо (шт)",SUMIF(Меню!$J$8:$FD$8,$B104,Меню!$J$61:$FD$61)*Обложка!$D$18/60,SUMIF(Меню!$J$8:$FD$8,$B104,Меню!$J$61:$FD$61)/1000*Обложка!$D$18)</f>
        <v>0</v>
      </c>
      <c r="H104" s="685">
        <f t="shared" si="9"/>
        <v>0</v>
      </c>
      <c r="I104" s="212">
        <f>IF($B104="Яйцо (шт)",SUMIF(Меню!$J$8:$FD$8,$B104,Меню!$J$73:$FD$73)*Обложка!$F$15/60,SUMIF(Меню!$J$8:$FD$8,$B104,Меню!$J$73:$FD$73)/1000*Обложка!$F$15)</f>
        <v>0</v>
      </c>
      <c r="J104" s="212">
        <f>IF($B104="Яйцо (шт)",SUMIF(Меню!$J$8:$FD$8,$B104,Меню!$J$88:$FD$88)*Обложка!$F$16/60,SUMIF(Меню!$J$8:$FD$8,$B104,Меню!$J$88:$FD$88)/1000*Обложка!$G$16)</f>
        <v>0</v>
      </c>
      <c r="K104" s="212">
        <f>IF($B104="Яйцо (шт)",SUMIF(Меню!$J$8:$FD$8,$B104,Меню!$J$101:$FD$101)*Обложка!$F$17/60,SUMIF(Меню!$J$8:$FD$8,$B104,Меню!$J$101:$FD$101)/1000*Обложка!$F$17)</f>
        <v>0</v>
      </c>
      <c r="L104" s="212">
        <f>IF($B104="Яйцо (шт)",SUMIF(Меню!$J$8:$FD$8,$B104,Меню!$J$106:$FD$106)*Обложка!$F$18/60,SUMIF(Меню!$J$8:$FD$8,$B104,Меню!$J$106:$FD$106)/1000*Обложка!$F$18)</f>
        <v>0</v>
      </c>
      <c r="M104" s="685">
        <f t="shared" si="10"/>
        <v>0</v>
      </c>
      <c r="N104" s="212">
        <f>IF($B104="Яйцо (шт)",SUMIF(Меню!$J$8:$EZ$8,$B104,Меню!$J$118:$EZ$118)*Обложка!$H$15/60,SUMIF(Меню!$J$8:$EZ$8,$B104,Меню!$J$118:$EZ$118)/1000*Обложка!$H$15)</f>
        <v>0</v>
      </c>
      <c r="O104" s="212">
        <f>IF($B104="Яйцо (шт)",SUMIF(Меню!$J$8:$EZ$8,$B104,Меню!$J$133:$EZ$133)*Обложка!$H$16/60,SUMIF(Меню!$J$8:$EZ$8,$B104,Меню!$J$133:$EZ$133)/1000*Обложка!$H$16)</f>
        <v>0</v>
      </c>
      <c r="P104" s="212">
        <f>IF($B104="Яйцо (шт)",SUMIF(Меню!$J$8:$EZ$8,$B104,Меню!$J$146:$EZ$146)*Обложка!$H$17/60,SUMIF(Меню!$J$8:$EZ$8,$B104,Меню!$J$146:$EZ$146)/1000*Обложка!$H$17)</f>
        <v>0</v>
      </c>
      <c r="Q104" s="212">
        <f>IF($B104="Яйцо (шт)",SUMIF(Меню!$J$8:$EZ$8,$B104,Меню!$J$151:$EZ$151)*Обложка!$H$18/60,SUMIF(Меню!$J$8:$EZ$8,$B104,Меню!$J$151:$EZ$151)/1000*Обложка!$H$18)</f>
        <v>0</v>
      </c>
      <c r="R104" s="685">
        <f t="shared" si="11"/>
        <v>0</v>
      </c>
      <c r="S104" s="212">
        <f>IF($B104="Яйцо (шт)",SUMIF(Меню!$J$8:$EZ$8,$B104,Меню!$J$163:$EZ$163)*Обложка!$J$15/60,SUMIF(Меню!$J$8:$EZ$8,$B104,Меню!$J$163:$EZ$163)/1000*Обложка!$J$15)</f>
        <v>0</v>
      </c>
      <c r="T104" s="212">
        <f>IF($B104="Яйцо (шт)",SUMIF(Меню!$J$8:$EZ$8,$B104,Меню!$J$178:$EZ$178)*Обложка!$J$16/60,SUMIF(Меню!$J$8:$EZ$8,$B104,Меню!$J$178:$EZ$178)/1000*Обложка!$J$16)</f>
        <v>0</v>
      </c>
      <c r="U104" s="212">
        <f>IF($B104="Яйцо (шт)",SUMIF(Меню!$J$8:$EZ$8,$B104,Меню!$J$191:$EZ$191)*Обложка!$J$17/60,SUMIF(Меню!$J$8:$EZ$8,$B104,Меню!$J$191:$EZ$191)/1000*Обложка!$J$17)</f>
        <v>0</v>
      </c>
      <c r="V104" s="212">
        <f>IF($B104="Яйцо (шт)",SUMIF(Меню!$J$8:$EZ$8,$B104,Меню!$J$196:$EZ$196)*Обложка!$J$18/60,SUMIF(Меню!$J$8:$EZ$8,$B104,Меню!$J$196:$EZ$196)/1000*Обложка!$J$18)</f>
        <v>0</v>
      </c>
      <c r="W104" s="685">
        <f t="shared" si="12"/>
        <v>0</v>
      </c>
      <c r="X104" s="212">
        <f>IF($B104="Яйцо (шт)",SUMIF(Меню!$J$8:$EZ$8,$B104,Меню!$J$208:$EZ$208)*Обложка!$L$15/60,SUMIF(Меню!$J$8:$EZ$8,$B104,Меню!$J$208:$EZ$208)/1000*Обложка!$L$15)</f>
        <v>0</v>
      </c>
      <c r="Y104" s="212">
        <f>IF($B104="Яйцо (шт)",SUMIF(Меню!$J$8:$EZ$8,$B104,Меню!$J$223:$EZ$223)*Обложка!$L$16/60,SUMIF(Меню!$J$8:$EZ$8,$B104,Меню!$J$223:$EZ$223)/1000*Обложка!$J$16)</f>
        <v>0</v>
      </c>
      <c r="Z104" s="212">
        <f>IF($B104="Яйцо (шт)",SUMIF(Меню!$J$8:$EZ$8,$B104,Меню!$J$236:$EZ$236)*Обложка!$L$17/60,SUMIF(Меню!$J$8:$EZ$8,$B104,Меню!$J$236:$EZ$236)/1000*Обложка!$L$17)</f>
        <v>4.2</v>
      </c>
      <c r="AA104" s="212">
        <f>IF($B104="Яйцо (шт)",SUMIF(Меню!$J$8:$EZ$8,$B104,Меню!$J$241:$EZ$241)*Обложка!$L$18/60,SUMIF(Меню!$J$8:$EZ$8,$B104,Меню!$J$241:$EZ$241)/1000*Обложка!$L$18)</f>
        <v>0</v>
      </c>
      <c r="AB104" s="685">
        <f t="shared" si="13"/>
        <v>4.2</v>
      </c>
      <c r="AC104" s="212">
        <f>IF($B104="Яйцо (шт)",SUMIF(Меню!$J$8:$EZ$8,$B104,Меню!$J$253:$EZ$253)*Обложка!$N$15/60,SUMIF(Меню!$J$8:$EZ$8,$B104,Меню!$J$253:$EZ$253)/1000*Обложка!$N$15)</f>
        <v>0</v>
      </c>
      <c r="AD104" s="212">
        <f>IF($B104="Яйцо (шт)",SUMIF(Меню!$J$8:$EZ$8,$B104,Меню!$J$268:$EZ$268)*Обложка!$N$16/60,SUMIF(Меню!$J$8:$EZ$8,$B104,Меню!$J$268:$EZ$268)/1000*Обложка!$N$16)</f>
        <v>0</v>
      </c>
      <c r="AE104" s="212">
        <f>IF($B104="Яйцо (шт)",SUMIF(Меню!$J$8:$EZ$8,$B104,Меню!$J$281:$EZ$281)*Обложка!$N$17/60,SUMIF(Меню!$J$8:$EZ$8,$B104,Меню!$J$281:$EZ$281)/1000*Обложка!$N$17)</f>
        <v>0</v>
      </c>
      <c r="AF104" s="212">
        <f>IF($B104="Яйцо (шт)",SUMIF(Меню!$J$8:$EZ$8,$B104,Меню!$J$286:$EZ$286)*Обложка!$N$18/60,SUMIF(Меню!$J$8:$EZ$8,$B104,Меню!$J$286:$EZ$286)/1000*Обложка!$N$18)</f>
        <v>0</v>
      </c>
      <c r="AG104" s="685">
        <f t="shared" si="14"/>
        <v>0</v>
      </c>
      <c r="AH104" s="212">
        <f>IF($B104="Яйцо (шт)",SUMIF(Меню!$J$8:$EZ$8,$B104,Меню!$J$298:$EZ$298)*Обложка!$P$15/60,SUMIF(Меню!$J$8:$EZ$8,$B104,Меню!$J$298:$EZ$298)/1000*Обложка!$P$15)</f>
        <v>0</v>
      </c>
      <c r="AI104" s="212">
        <f>IF($B104="Яйцо (шт)",SUMIF(Меню!$J$8:$EZ$8,$BB104,Меню!$J$313:$EZ$313)*Обложка!$P$16/60,SUMIF(Меню!$J$8:$EZ$8,$B104,Меню!$J$313:$EZ$313)/1000*Обложка!$P$16)</f>
        <v>0</v>
      </c>
      <c r="AJ104" s="212">
        <f>IF($B104="Яйцо (шт)",SUMIF(Меню!$J$8:$EZ$8,$B104,Меню!$J$326:$EZ$326)*Обложка!$P$17/60,SUMIF(Меню!$J$8:$EZ$8,$B104,Меню!$J$326:$EZ$326)/1000*Обложка!$P$17)</f>
        <v>0</v>
      </c>
      <c r="AK104" s="212">
        <f>IF($B104="Яйцо (шт)",SUMIF(Меню!$J$8:$EZ$8,$B104,Меню!$J$331:$EZ$331)*Обложка!$P$18/60,SUMIF(Меню!$J$8:$EZ$8,$B104,Меню!$J$331:$EZ$331)/1000*Обложка!$P$18)</f>
        <v>0</v>
      </c>
      <c r="AL104" s="699">
        <f t="shared" si="15"/>
        <v>0</v>
      </c>
      <c r="AM104" s="685">
        <f t="shared" si="16"/>
        <v>4.2</v>
      </c>
    </row>
    <row r="105" spans="1:39" x14ac:dyDescent="0.25">
      <c r="A105" s="249">
        <f t="shared" si="17"/>
        <v>93</v>
      </c>
      <c r="B105" s="248" t="str">
        <f>инфо!D94</f>
        <v>Камбала с/г</v>
      </c>
      <c r="C105" s="694">
        <f>SUMIF(Меню!$J$8:$FD$8,$B105,Меню!$J$333:$FD$333)</f>
        <v>0</v>
      </c>
      <c r="D105" s="212">
        <f>IF($B105="Яйцо (шт)",SUMIF(Меню!$J$8:$FD$8,$B105,Меню!$J$28:$FD$28)*Обложка!$D$15/60,SUMIF(Меню!$J$8:$FD$8,$B105,Меню!$J$28:$FD$28)/1000*Обложка!$D$15)</f>
        <v>0</v>
      </c>
      <c r="E105" s="212">
        <f>IF($B105="Яйцо (шт)",SUMIF(Меню!$J$8:$FD$8,$B105,Меню!$J$43:$FD$43)*Обложка!$D$16/60,SUMIF(Меню!$J$8:$FD$8,$B105,Меню!$J$43:$FD$43)/1000*Обложка!$D$16)</f>
        <v>0</v>
      </c>
      <c r="F105" s="212">
        <f>IF($B105="Яйцо (шт)",SUMIF(Меню!$J$8:$FD$8,$B105,Меню!$J$56:$FD$56)*Обложка!$D$17/60,SUMIF(Меню!$J$8:$FD$8,$B105,Меню!$J$56:$FD$56)/1000*Обложка!$D$17)</f>
        <v>0</v>
      </c>
      <c r="G105" s="212">
        <f>IF($B105="Яйцо (шт)",SUMIF(Меню!$J$8:$FD$8,$B105,Меню!$J$61:$FD$61)*Обложка!$D$18/60,SUMIF(Меню!$J$8:$FD$8,$B105,Меню!$J$61:$FD$61)/1000*Обложка!$D$18)</f>
        <v>0</v>
      </c>
      <c r="H105" s="685">
        <f t="shared" si="9"/>
        <v>0</v>
      </c>
      <c r="I105" s="212">
        <f>IF($B105="Яйцо (шт)",SUMIF(Меню!$J$8:$FD$8,$B105,Меню!$J$73:$FD$73)*Обложка!$F$15/60,SUMIF(Меню!$J$8:$FD$8,$B105,Меню!$J$73:$FD$73)/1000*Обложка!$F$15)</f>
        <v>0</v>
      </c>
      <c r="J105" s="212">
        <f>IF($B105="Яйцо (шт)",SUMIF(Меню!$J$8:$FD$8,$B105,Меню!$J$88:$FD$88)*Обложка!$F$16/60,SUMIF(Меню!$J$8:$FD$8,$B105,Меню!$J$88:$FD$88)/1000*Обложка!$G$16)</f>
        <v>0</v>
      </c>
      <c r="K105" s="212">
        <f>IF($B105="Яйцо (шт)",SUMIF(Меню!$J$8:$FD$8,$B105,Меню!$J$101:$FD$101)*Обложка!$F$17/60,SUMIF(Меню!$J$8:$FD$8,$B105,Меню!$J$101:$FD$101)/1000*Обложка!$F$17)</f>
        <v>0</v>
      </c>
      <c r="L105" s="212">
        <f>IF($B105="Яйцо (шт)",SUMIF(Меню!$J$8:$FD$8,$B105,Меню!$J$106:$FD$106)*Обложка!$F$18/60,SUMIF(Меню!$J$8:$FD$8,$B105,Меню!$J$106:$FD$106)/1000*Обложка!$F$18)</f>
        <v>0</v>
      </c>
      <c r="M105" s="685">
        <f t="shared" si="10"/>
        <v>0</v>
      </c>
      <c r="N105" s="212">
        <f>IF($B105="Яйцо (шт)",SUMIF(Меню!$J$8:$EZ$8,$B105,Меню!$J$118:$EZ$118)*Обложка!$H$15/60,SUMIF(Меню!$J$8:$EZ$8,$B105,Меню!$J$118:$EZ$118)/1000*Обложка!$H$15)</f>
        <v>0</v>
      </c>
      <c r="O105" s="212">
        <f>IF($B105="Яйцо (шт)",SUMIF(Меню!$J$8:$EZ$8,$B105,Меню!$J$133:$EZ$133)*Обложка!$H$16/60,SUMIF(Меню!$J$8:$EZ$8,$B105,Меню!$J$133:$EZ$133)/1000*Обложка!$H$16)</f>
        <v>0</v>
      </c>
      <c r="P105" s="212">
        <f>IF($B105="Яйцо (шт)",SUMIF(Меню!$J$8:$EZ$8,$B105,Меню!$J$146:$EZ$146)*Обложка!$H$17/60,SUMIF(Меню!$J$8:$EZ$8,$B105,Меню!$J$146:$EZ$146)/1000*Обложка!$H$17)</f>
        <v>0</v>
      </c>
      <c r="Q105" s="212">
        <f>IF($B105="Яйцо (шт)",SUMIF(Меню!$J$8:$EZ$8,$B105,Меню!$J$151:$EZ$151)*Обложка!$H$18/60,SUMIF(Меню!$J$8:$EZ$8,$B105,Меню!$J$151:$EZ$151)/1000*Обложка!$H$18)</f>
        <v>0</v>
      </c>
      <c r="R105" s="685">
        <f t="shared" si="11"/>
        <v>0</v>
      </c>
      <c r="S105" s="212">
        <f>IF($B105="Яйцо (шт)",SUMIF(Меню!$J$8:$EZ$8,$B105,Меню!$J$163:$EZ$163)*Обложка!$J$15/60,SUMIF(Меню!$J$8:$EZ$8,$B105,Меню!$J$163:$EZ$163)/1000*Обложка!$J$15)</f>
        <v>0</v>
      </c>
      <c r="T105" s="212">
        <f>IF($B105="Яйцо (шт)",SUMIF(Меню!$J$8:$EZ$8,$B105,Меню!$J$178:$EZ$178)*Обложка!$J$16/60,SUMIF(Меню!$J$8:$EZ$8,$B105,Меню!$J$178:$EZ$178)/1000*Обложка!$J$16)</f>
        <v>0</v>
      </c>
      <c r="U105" s="212">
        <f>IF($B105="Яйцо (шт)",SUMIF(Меню!$J$8:$EZ$8,$B105,Меню!$J$191:$EZ$191)*Обложка!$J$17/60,SUMIF(Меню!$J$8:$EZ$8,$B105,Меню!$J$191:$EZ$191)/1000*Обложка!$J$17)</f>
        <v>0</v>
      </c>
      <c r="V105" s="212">
        <f>IF($B105="Яйцо (шт)",SUMIF(Меню!$J$8:$EZ$8,$B105,Меню!$J$196:$EZ$196)*Обложка!$J$18/60,SUMIF(Меню!$J$8:$EZ$8,$B105,Меню!$J$196:$EZ$196)/1000*Обложка!$J$18)</f>
        <v>0</v>
      </c>
      <c r="W105" s="685">
        <f t="shared" si="12"/>
        <v>0</v>
      </c>
      <c r="X105" s="212">
        <f>IF($B105="Яйцо (шт)",SUMIF(Меню!$J$8:$EZ$8,$B105,Меню!$J$208:$EZ$208)*Обложка!$L$15/60,SUMIF(Меню!$J$8:$EZ$8,$B105,Меню!$J$208:$EZ$208)/1000*Обложка!$L$15)</f>
        <v>0</v>
      </c>
      <c r="Y105" s="212">
        <f>IF($B105="Яйцо (шт)",SUMIF(Меню!$J$8:$EZ$8,$B105,Меню!$J$223:$EZ$223)*Обложка!$L$16/60,SUMIF(Меню!$J$8:$EZ$8,$B105,Меню!$J$223:$EZ$223)/1000*Обложка!$J$16)</f>
        <v>0</v>
      </c>
      <c r="Z105" s="212">
        <f>IF($B105="Яйцо (шт)",SUMIF(Меню!$J$8:$EZ$8,$B105,Меню!$J$236:$EZ$236)*Обложка!$L$17/60,SUMIF(Меню!$J$8:$EZ$8,$B105,Меню!$J$236:$EZ$236)/1000*Обложка!$L$17)</f>
        <v>0</v>
      </c>
      <c r="AA105" s="212">
        <f>IF($B105="Яйцо (шт)",SUMIF(Меню!$J$8:$EZ$8,$B105,Меню!$J$241:$EZ$241)*Обложка!$L$18/60,SUMIF(Меню!$J$8:$EZ$8,$B105,Меню!$J$241:$EZ$241)/1000*Обложка!$L$18)</f>
        <v>0</v>
      </c>
      <c r="AB105" s="685">
        <f t="shared" si="13"/>
        <v>0</v>
      </c>
      <c r="AC105" s="212">
        <f>IF($B105="Яйцо (шт)",SUMIF(Меню!$J$8:$EZ$8,$B105,Меню!$J$253:$EZ$253)*Обложка!$N$15/60,SUMIF(Меню!$J$8:$EZ$8,$B105,Меню!$J$253:$EZ$253)/1000*Обложка!$N$15)</f>
        <v>0</v>
      </c>
      <c r="AD105" s="212">
        <f>IF($B105="Яйцо (шт)",SUMIF(Меню!$J$8:$EZ$8,$B105,Меню!$J$268:$EZ$268)*Обложка!$N$16/60,SUMIF(Меню!$J$8:$EZ$8,$B105,Меню!$J$268:$EZ$268)/1000*Обложка!$N$16)</f>
        <v>0</v>
      </c>
      <c r="AE105" s="212">
        <f>IF($B105="Яйцо (шт)",SUMIF(Меню!$J$8:$EZ$8,$B105,Меню!$J$281:$EZ$281)*Обложка!$N$17/60,SUMIF(Меню!$J$8:$EZ$8,$B105,Меню!$J$281:$EZ$281)/1000*Обложка!$N$17)</f>
        <v>0</v>
      </c>
      <c r="AF105" s="212">
        <f>IF($B105="Яйцо (шт)",SUMIF(Меню!$J$8:$EZ$8,$B105,Меню!$J$286:$EZ$286)*Обложка!$N$18/60,SUMIF(Меню!$J$8:$EZ$8,$B105,Меню!$J$286:$EZ$286)/1000*Обложка!$N$18)</f>
        <v>0</v>
      </c>
      <c r="AG105" s="685">
        <f t="shared" si="14"/>
        <v>0</v>
      </c>
      <c r="AH105" s="212">
        <f>IF($B105="Яйцо (шт)",SUMIF(Меню!$J$8:$EZ$8,$B105,Меню!$J$298:$EZ$298)*Обложка!$P$15/60,SUMIF(Меню!$J$8:$EZ$8,$B105,Меню!$J$298:$EZ$298)/1000*Обложка!$P$15)</f>
        <v>0</v>
      </c>
      <c r="AI105" s="212">
        <f>IF($B105="Яйцо (шт)",SUMIF(Меню!$J$8:$EZ$8,$BB105,Меню!$J$313:$EZ$313)*Обложка!$P$16/60,SUMIF(Меню!$J$8:$EZ$8,$B105,Меню!$J$313:$EZ$313)/1000*Обложка!$P$16)</f>
        <v>0</v>
      </c>
      <c r="AJ105" s="212">
        <f>IF($B105="Яйцо (шт)",SUMIF(Меню!$J$8:$EZ$8,$B105,Меню!$J$326:$EZ$326)*Обложка!$P$17/60,SUMIF(Меню!$J$8:$EZ$8,$B105,Меню!$J$326:$EZ$326)/1000*Обложка!$P$17)</f>
        <v>0</v>
      </c>
      <c r="AK105" s="212">
        <f>IF($B105="Яйцо (шт)",SUMIF(Меню!$J$8:$EZ$8,$B105,Меню!$J$331:$EZ$331)*Обложка!$P$18/60,SUMIF(Меню!$J$8:$EZ$8,$B105,Меню!$J$331:$EZ$331)/1000*Обложка!$P$18)</f>
        <v>0</v>
      </c>
      <c r="AL105" s="699">
        <f t="shared" si="15"/>
        <v>0</v>
      </c>
      <c r="AM105" s="685">
        <f t="shared" si="16"/>
        <v>0</v>
      </c>
    </row>
    <row r="106" spans="1:39" x14ac:dyDescent="0.25">
      <c r="A106" s="249">
        <f t="shared" si="17"/>
        <v>94</v>
      </c>
      <c r="B106" s="248" t="str">
        <f>инфо!D95</f>
        <v>Горбуша б/г</v>
      </c>
      <c r="C106" s="694">
        <f>SUMIF(Меню!$J$8:$FD$8,$B106,Меню!$J$333:$FD$333)</f>
        <v>120</v>
      </c>
      <c r="D106" s="212">
        <f>IF($B106="Яйцо (шт)",SUMIF(Меню!$J$8:$FD$8,$B106,Меню!$J$28:$FD$28)*Обложка!$D$15/60,SUMIF(Меню!$J$8:$FD$8,$B106,Меню!$J$28:$FD$28)/1000*Обложка!$D$15)</f>
        <v>0</v>
      </c>
      <c r="E106" s="212">
        <f>IF($B106="Яйцо (шт)",SUMIF(Меню!$J$8:$FD$8,$B106,Меню!$J$43:$FD$43)*Обложка!$D$16/60,SUMIF(Меню!$J$8:$FD$8,$B106,Меню!$J$43:$FD$43)/1000*Обложка!$D$16)</f>
        <v>0</v>
      </c>
      <c r="F106" s="212">
        <f>IF($B106="Яйцо (шт)",SUMIF(Меню!$J$8:$FD$8,$B106,Меню!$J$56:$FD$56)*Обложка!$D$17/60,SUMIF(Меню!$J$8:$FD$8,$B106,Меню!$J$56:$FD$56)/1000*Обложка!$D$17)</f>
        <v>0</v>
      </c>
      <c r="G106" s="212">
        <f>IF($B106="Яйцо (шт)",SUMIF(Меню!$J$8:$FD$8,$B106,Меню!$J$61:$FD$61)*Обложка!$D$18/60,SUMIF(Меню!$J$8:$FD$8,$B106,Меню!$J$61:$FD$61)/1000*Обложка!$D$18)</f>
        <v>0</v>
      </c>
      <c r="H106" s="685">
        <f t="shared" si="9"/>
        <v>0</v>
      </c>
      <c r="I106" s="212">
        <f>IF($B106="Яйцо (шт)",SUMIF(Меню!$J$8:$FD$8,$B106,Меню!$J$73:$FD$73)*Обложка!$F$15/60,SUMIF(Меню!$J$8:$FD$8,$B106,Меню!$J$73:$FD$73)/1000*Обложка!$F$15)</f>
        <v>0</v>
      </c>
      <c r="J106" s="212">
        <f>IF($B106="Яйцо (шт)",SUMIF(Меню!$J$8:$FD$8,$B106,Меню!$J$88:$FD$88)*Обложка!$F$16/60,SUMIF(Меню!$J$8:$FD$8,$B106,Меню!$J$88:$FD$88)/1000*Обложка!$G$16)</f>
        <v>0</v>
      </c>
      <c r="K106" s="212">
        <f>IF($B106="Яйцо (шт)",SUMIF(Меню!$J$8:$FD$8,$B106,Меню!$J$101:$FD$101)*Обложка!$F$17/60,SUMIF(Меню!$J$8:$FD$8,$B106,Меню!$J$101:$FD$101)/1000*Обложка!$F$17)</f>
        <v>0</v>
      </c>
      <c r="L106" s="212">
        <f>IF($B106="Яйцо (шт)",SUMIF(Меню!$J$8:$FD$8,$B106,Меню!$J$106:$FD$106)*Обложка!$F$18/60,SUMIF(Меню!$J$8:$FD$8,$B106,Меню!$J$106:$FD$106)/1000*Обложка!$F$18)</f>
        <v>0</v>
      </c>
      <c r="M106" s="685">
        <f t="shared" si="10"/>
        <v>0</v>
      </c>
      <c r="N106" s="212">
        <f>IF($B106="Яйцо (шт)",SUMIF(Меню!$J$8:$EZ$8,$B106,Меню!$J$118:$EZ$118)*Обложка!$H$15/60,SUMIF(Меню!$J$8:$EZ$8,$B106,Меню!$J$118:$EZ$118)/1000*Обложка!$H$15)</f>
        <v>0</v>
      </c>
      <c r="O106" s="212">
        <f>IF($B106="Яйцо (шт)",SUMIF(Меню!$J$8:$EZ$8,$B106,Меню!$J$133:$EZ$133)*Обложка!$H$16/60,SUMIF(Меню!$J$8:$EZ$8,$B106,Меню!$J$133:$EZ$133)/1000*Обложка!$H$16)</f>
        <v>0</v>
      </c>
      <c r="P106" s="212">
        <f>IF($B106="Яйцо (шт)",SUMIF(Меню!$J$8:$EZ$8,$B106,Меню!$J$146:$EZ$146)*Обложка!$H$17/60,SUMIF(Меню!$J$8:$EZ$8,$B106,Меню!$J$146:$EZ$146)/1000*Обложка!$H$17)</f>
        <v>0</v>
      </c>
      <c r="Q106" s="212">
        <f>IF($B106="Яйцо (шт)",SUMIF(Меню!$J$8:$EZ$8,$B106,Меню!$J$151:$EZ$151)*Обложка!$H$18/60,SUMIF(Меню!$J$8:$EZ$8,$B106,Меню!$J$151:$EZ$151)/1000*Обложка!$H$18)</f>
        <v>0</v>
      </c>
      <c r="R106" s="685">
        <f t="shared" si="11"/>
        <v>0</v>
      </c>
      <c r="S106" s="212">
        <f>IF($B106="Яйцо (шт)",SUMIF(Меню!$J$8:$EZ$8,$B106,Меню!$J$163:$EZ$163)*Обложка!$J$15/60,SUMIF(Меню!$J$8:$EZ$8,$B106,Меню!$J$163:$EZ$163)/1000*Обложка!$J$15)</f>
        <v>0</v>
      </c>
      <c r="T106" s="212">
        <f>IF($B106="Яйцо (шт)",SUMIF(Меню!$J$8:$EZ$8,$B106,Меню!$J$178:$EZ$178)*Обложка!$J$16/60,SUMIF(Меню!$J$8:$EZ$8,$B106,Меню!$J$178:$EZ$178)/1000*Обложка!$J$16)</f>
        <v>0</v>
      </c>
      <c r="U106" s="212">
        <f>IF($B106="Яйцо (шт)",SUMIF(Меню!$J$8:$EZ$8,$B106,Меню!$J$191:$EZ$191)*Обложка!$J$17/60,SUMIF(Меню!$J$8:$EZ$8,$B106,Меню!$J$191:$EZ$191)/1000*Обложка!$J$17)</f>
        <v>11.76</v>
      </c>
      <c r="V106" s="212">
        <f>IF($B106="Яйцо (шт)",SUMIF(Меню!$J$8:$EZ$8,$B106,Меню!$J$196:$EZ$196)*Обложка!$J$18/60,SUMIF(Меню!$J$8:$EZ$8,$B106,Меню!$J$196:$EZ$196)/1000*Обложка!$J$18)</f>
        <v>0</v>
      </c>
      <c r="W106" s="685">
        <f t="shared" si="12"/>
        <v>11.76</v>
      </c>
      <c r="X106" s="212">
        <f>IF($B106="Яйцо (шт)",SUMIF(Меню!$J$8:$EZ$8,$B106,Меню!$J$208:$EZ$208)*Обложка!$L$15/60,SUMIF(Меню!$J$8:$EZ$8,$B106,Меню!$J$208:$EZ$208)/1000*Обложка!$L$15)</f>
        <v>0</v>
      </c>
      <c r="Y106" s="212">
        <f>IF($B106="Яйцо (шт)",SUMIF(Меню!$J$8:$EZ$8,$B106,Меню!$J$223:$EZ$223)*Обложка!$L$16/60,SUMIF(Меню!$J$8:$EZ$8,$B106,Меню!$J$223:$EZ$223)/1000*Обложка!$J$16)</f>
        <v>0</v>
      </c>
      <c r="Z106" s="212">
        <f>IF($B106="Яйцо (шт)",SUMIF(Меню!$J$8:$EZ$8,$B106,Меню!$J$236:$EZ$236)*Обложка!$L$17/60,SUMIF(Меню!$J$8:$EZ$8,$B106,Меню!$J$236:$EZ$236)/1000*Обложка!$L$17)</f>
        <v>0</v>
      </c>
      <c r="AA106" s="212">
        <f>IF($B106="Яйцо (шт)",SUMIF(Меню!$J$8:$EZ$8,$B106,Меню!$J$241:$EZ$241)*Обложка!$L$18/60,SUMIF(Меню!$J$8:$EZ$8,$B106,Меню!$J$241:$EZ$241)/1000*Обложка!$L$18)</f>
        <v>0</v>
      </c>
      <c r="AB106" s="685">
        <f t="shared" si="13"/>
        <v>0</v>
      </c>
      <c r="AC106" s="212">
        <f>IF($B106="Яйцо (шт)",SUMIF(Меню!$J$8:$EZ$8,$B106,Меню!$J$253:$EZ$253)*Обложка!$N$15/60,SUMIF(Меню!$J$8:$EZ$8,$B106,Меню!$J$253:$EZ$253)/1000*Обложка!$N$15)</f>
        <v>0</v>
      </c>
      <c r="AD106" s="212">
        <f>IF($B106="Яйцо (шт)",SUMIF(Меню!$J$8:$EZ$8,$B106,Меню!$J$268:$EZ$268)*Обложка!$N$16/60,SUMIF(Меню!$J$8:$EZ$8,$B106,Меню!$J$268:$EZ$268)/1000*Обложка!$N$16)</f>
        <v>0</v>
      </c>
      <c r="AE106" s="212">
        <f>IF($B106="Яйцо (шт)",SUMIF(Меню!$J$8:$EZ$8,$B106,Меню!$J$281:$EZ$281)*Обложка!$N$17/60,SUMIF(Меню!$J$8:$EZ$8,$B106,Меню!$J$281:$EZ$281)/1000*Обложка!$N$17)</f>
        <v>0</v>
      </c>
      <c r="AF106" s="212">
        <f>IF($B106="Яйцо (шт)",SUMIF(Меню!$J$8:$EZ$8,$B106,Меню!$J$286:$EZ$286)*Обложка!$N$18/60,SUMIF(Меню!$J$8:$EZ$8,$B106,Меню!$J$286:$EZ$286)/1000*Обложка!$N$18)</f>
        <v>0</v>
      </c>
      <c r="AG106" s="685">
        <f t="shared" si="14"/>
        <v>0</v>
      </c>
      <c r="AH106" s="212">
        <f>IF($B106="Яйцо (шт)",SUMIF(Меню!$J$8:$EZ$8,$B106,Меню!$J$298:$EZ$298)*Обложка!$P$15/60,SUMIF(Меню!$J$8:$EZ$8,$B106,Меню!$J$298:$EZ$298)/1000*Обложка!$P$15)</f>
        <v>0</v>
      </c>
      <c r="AI106" s="212">
        <f>IF($B106="Яйцо (шт)",SUMIF(Меню!$J$8:$EZ$8,$BB106,Меню!$J$313:$EZ$313)*Обложка!$P$16/60,SUMIF(Меню!$J$8:$EZ$8,$B106,Меню!$J$313:$EZ$313)/1000*Обложка!$P$16)</f>
        <v>0</v>
      </c>
      <c r="AJ106" s="212">
        <f>IF($B106="Яйцо (шт)",SUMIF(Меню!$J$8:$EZ$8,$B106,Меню!$J$326:$EZ$326)*Обложка!$P$17/60,SUMIF(Меню!$J$8:$EZ$8,$B106,Меню!$J$326:$EZ$326)/1000*Обложка!$P$17)</f>
        <v>0</v>
      </c>
      <c r="AK106" s="212">
        <f>IF($B106="Яйцо (шт)",SUMIF(Меню!$J$8:$EZ$8,$B106,Меню!$J$331:$EZ$331)*Обложка!$P$18/60,SUMIF(Меню!$J$8:$EZ$8,$B106,Меню!$J$331:$EZ$331)/1000*Обложка!$P$18)</f>
        <v>0</v>
      </c>
      <c r="AL106" s="699">
        <f t="shared" si="15"/>
        <v>0</v>
      </c>
      <c r="AM106" s="685">
        <f t="shared" si="16"/>
        <v>11.76</v>
      </c>
    </row>
    <row r="107" spans="1:39" x14ac:dyDescent="0.25">
      <c r="A107" s="249">
        <f t="shared" si="17"/>
        <v>95</v>
      </c>
      <c r="B107" s="248" t="str">
        <f>инфо!D96</f>
        <v>Горбуша с/г</v>
      </c>
      <c r="C107" s="694">
        <f>SUMIF(Меню!$J$8:$FD$8,$B107,Меню!$J$333:$FD$333)</f>
        <v>0</v>
      </c>
      <c r="D107" s="212">
        <f>IF($B107="Яйцо (шт)",SUMIF(Меню!$J$8:$FD$8,$B107,Меню!$J$28:$FD$28)*Обложка!$D$15/60,SUMIF(Меню!$J$8:$FD$8,$B107,Меню!$J$28:$FD$28)/1000*Обложка!$D$15)</f>
        <v>0</v>
      </c>
      <c r="E107" s="212">
        <f>IF($B107="Яйцо (шт)",SUMIF(Меню!$J$8:$FD$8,$B107,Меню!$J$43:$FD$43)*Обложка!$D$16/60,SUMIF(Меню!$J$8:$FD$8,$B107,Меню!$J$43:$FD$43)/1000*Обложка!$D$16)</f>
        <v>0</v>
      </c>
      <c r="F107" s="212">
        <f>IF($B107="Яйцо (шт)",SUMIF(Меню!$J$8:$FD$8,$B107,Меню!$J$56:$FD$56)*Обложка!$D$17/60,SUMIF(Меню!$J$8:$FD$8,$B107,Меню!$J$56:$FD$56)/1000*Обложка!$D$17)</f>
        <v>0</v>
      </c>
      <c r="G107" s="212">
        <f>IF($B107="Яйцо (шт)",SUMIF(Меню!$J$8:$FD$8,$B107,Меню!$J$61:$FD$61)*Обложка!$D$18/60,SUMIF(Меню!$J$8:$FD$8,$B107,Меню!$J$61:$FD$61)/1000*Обложка!$D$18)</f>
        <v>0</v>
      </c>
      <c r="H107" s="685">
        <f t="shared" si="9"/>
        <v>0</v>
      </c>
      <c r="I107" s="212">
        <f>IF($B107="Яйцо (шт)",SUMIF(Меню!$J$8:$FD$8,$B107,Меню!$J$73:$FD$73)*Обложка!$F$15/60,SUMIF(Меню!$J$8:$FD$8,$B107,Меню!$J$73:$FD$73)/1000*Обложка!$F$15)</f>
        <v>0</v>
      </c>
      <c r="J107" s="212">
        <f>IF($B107="Яйцо (шт)",SUMIF(Меню!$J$8:$FD$8,$B107,Меню!$J$88:$FD$88)*Обложка!$F$16/60,SUMIF(Меню!$J$8:$FD$8,$B107,Меню!$J$88:$FD$88)/1000*Обложка!$G$16)</f>
        <v>0</v>
      </c>
      <c r="K107" s="212">
        <f>IF($B107="Яйцо (шт)",SUMIF(Меню!$J$8:$FD$8,$B107,Меню!$J$101:$FD$101)*Обложка!$F$17/60,SUMIF(Меню!$J$8:$FD$8,$B107,Меню!$J$101:$FD$101)/1000*Обложка!$F$17)</f>
        <v>0</v>
      </c>
      <c r="L107" s="212">
        <f>IF($B107="Яйцо (шт)",SUMIF(Меню!$J$8:$FD$8,$B107,Меню!$J$106:$FD$106)*Обложка!$F$18/60,SUMIF(Меню!$J$8:$FD$8,$B107,Меню!$J$106:$FD$106)/1000*Обложка!$F$18)</f>
        <v>0</v>
      </c>
      <c r="M107" s="685">
        <f t="shared" si="10"/>
        <v>0</v>
      </c>
      <c r="N107" s="212">
        <f>IF($B107="Яйцо (шт)",SUMIF(Меню!$J$8:$EZ$8,$B107,Меню!$J$118:$EZ$118)*Обложка!$H$15/60,SUMIF(Меню!$J$8:$EZ$8,$B107,Меню!$J$118:$EZ$118)/1000*Обложка!$H$15)</f>
        <v>0</v>
      </c>
      <c r="O107" s="212">
        <f>IF($B107="Яйцо (шт)",SUMIF(Меню!$J$8:$EZ$8,$B107,Меню!$J$133:$EZ$133)*Обложка!$H$16/60,SUMIF(Меню!$J$8:$EZ$8,$B107,Меню!$J$133:$EZ$133)/1000*Обложка!$H$16)</f>
        <v>0</v>
      </c>
      <c r="P107" s="212">
        <f>IF($B107="Яйцо (шт)",SUMIF(Меню!$J$8:$EZ$8,$B107,Меню!$J$146:$EZ$146)*Обложка!$H$17/60,SUMIF(Меню!$J$8:$EZ$8,$B107,Меню!$J$146:$EZ$146)/1000*Обложка!$H$17)</f>
        <v>0</v>
      </c>
      <c r="Q107" s="212">
        <f>IF($B107="Яйцо (шт)",SUMIF(Меню!$J$8:$EZ$8,$B107,Меню!$J$151:$EZ$151)*Обложка!$H$18/60,SUMIF(Меню!$J$8:$EZ$8,$B107,Меню!$J$151:$EZ$151)/1000*Обложка!$H$18)</f>
        <v>0</v>
      </c>
      <c r="R107" s="685">
        <f t="shared" si="11"/>
        <v>0</v>
      </c>
      <c r="S107" s="212">
        <f>IF($B107="Яйцо (шт)",SUMIF(Меню!$J$8:$EZ$8,$B107,Меню!$J$163:$EZ$163)*Обложка!$J$15/60,SUMIF(Меню!$J$8:$EZ$8,$B107,Меню!$J$163:$EZ$163)/1000*Обложка!$J$15)</f>
        <v>0</v>
      </c>
      <c r="T107" s="212">
        <f>IF($B107="Яйцо (шт)",SUMIF(Меню!$J$8:$EZ$8,$B107,Меню!$J$178:$EZ$178)*Обложка!$J$16/60,SUMIF(Меню!$J$8:$EZ$8,$B107,Меню!$J$178:$EZ$178)/1000*Обложка!$J$16)</f>
        <v>0</v>
      </c>
      <c r="U107" s="212">
        <f>IF($B107="Яйцо (шт)",SUMIF(Меню!$J$8:$EZ$8,$B107,Меню!$J$191:$EZ$191)*Обложка!$J$17/60,SUMIF(Меню!$J$8:$EZ$8,$B107,Меню!$J$191:$EZ$191)/1000*Обложка!$J$17)</f>
        <v>0</v>
      </c>
      <c r="V107" s="212">
        <f>IF($B107="Яйцо (шт)",SUMIF(Меню!$J$8:$EZ$8,$B107,Меню!$J$196:$EZ$196)*Обложка!$J$18/60,SUMIF(Меню!$J$8:$EZ$8,$B107,Меню!$J$196:$EZ$196)/1000*Обложка!$J$18)</f>
        <v>0</v>
      </c>
      <c r="W107" s="685">
        <f t="shared" si="12"/>
        <v>0</v>
      </c>
      <c r="X107" s="212">
        <f>IF($B107="Яйцо (шт)",SUMIF(Меню!$J$8:$EZ$8,$B107,Меню!$J$208:$EZ$208)*Обложка!$L$15/60,SUMIF(Меню!$J$8:$EZ$8,$B107,Меню!$J$208:$EZ$208)/1000*Обложка!$L$15)</f>
        <v>0</v>
      </c>
      <c r="Y107" s="212">
        <f>IF($B107="Яйцо (шт)",SUMIF(Меню!$J$8:$EZ$8,$B107,Меню!$J$223:$EZ$223)*Обложка!$L$16/60,SUMIF(Меню!$J$8:$EZ$8,$B107,Меню!$J$223:$EZ$223)/1000*Обложка!$J$16)</f>
        <v>0</v>
      </c>
      <c r="Z107" s="212">
        <f>IF($B107="Яйцо (шт)",SUMIF(Меню!$J$8:$EZ$8,$B107,Меню!$J$236:$EZ$236)*Обложка!$L$17/60,SUMIF(Меню!$J$8:$EZ$8,$B107,Меню!$J$236:$EZ$236)/1000*Обложка!$L$17)</f>
        <v>0</v>
      </c>
      <c r="AA107" s="212">
        <f>IF($B107="Яйцо (шт)",SUMIF(Меню!$J$8:$EZ$8,$B107,Меню!$J$241:$EZ$241)*Обложка!$L$18/60,SUMIF(Меню!$J$8:$EZ$8,$B107,Меню!$J$241:$EZ$241)/1000*Обложка!$L$18)</f>
        <v>0</v>
      </c>
      <c r="AB107" s="685">
        <f t="shared" si="13"/>
        <v>0</v>
      </c>
      <c r="AC107" s="212">
        <f>IF($B107="Яйцо (шт)",SUMIF(Меню!$J$8:$EZ$8,$B107,Меню!$J$253:$EZ$253)*Обложка!$N$15/60,SUMIF(Меню!$J$8:$EZ$8,$B107,Меню!$J$253:$EZ$253)/1000*Обложка!$N$15)</f>
        <v>0</v>
      </c>
      <c r="AD107" s="212">
        <f>IF($B107="Яйцо (шт)",SUMIF(Меню!$J$8:$EZ$8,$B107,Меню!$J$268:$EZ$268)*Обложка!$N$16/60,SUMIF(Меню!$J$8:$EZ$8,$B107,Меню!$J$268:$EZ$268)/1000*Обложка!$N$16)</f>
        <v>0</v>
      </c>
      <c r="AE107" s="212">
        <f>IF($B107="Яйцо (шт)",SUMIF(Меню!$J$8:$EZ$8,$B107,Меню!$J$281:$EZ$281)*Обложка!$N$17/60,SUMIF(Меню!$J$8:$EZ$8,$B107,Меню!$J$281:$EZ$281)/1000*Обложка!$N$17)</f>
        <v>0</v>
      </c>
      <c r="AF107" s="212">
        <f>IF($B107="Яйцо (шт)",SUMIF(Меню!$J$8:$EZ$8,$B107,Меню!$J$286:$EZ$286)*Обложка!$N$18/60,SUMIF(Меню!$J$8:$EZ$8,$B107,Меню!$J$286:$EZ$286)/1000*Обложка!$N$18)</f>
        <v>0</v>
      </c>
      <c r="AG107" s="685">
        <f t="shared" si="14"/>
        <v>0</v>
      </c>
      <c r="AH107" s="212">
        <f>IF($B107="Яйцо (шт)",SUMIF(Меню!$J$8:$EZ$8,$B107,Меню!$J$298:$EZ$298)*Обложка!$P$15/60,SUMIF(Меню!$J$8:$EZ$8,$B107,Меню!$J$298:$EZ$298)/1000*Обложка!$P$15)</f>
        <v>0</v>
      </c>
      <c r="AI107" s="212">
        <f>IF($B107="Яйцо (шт)",SUMIF(Меню!$J$8:$EZ$8,$BB107,Меню!$J$313:$EZ$313)*Обложка!$P$16/60,SUMIF(Меню!$J$8:$EZ$8,$B107,Меню!$J$313:$EZ$313)/1000*Обложка!$P$16)</f>
        <v>0</v>
      </c>
      <c r="AJ107" s="212">
        <f>IF($B107="Яйцо (шт)",SUMIF(Меню!$J$8:$EZ$8,$B107,Меню!$J$326:$EZ$326)*Обложка!$P$17/60,SUMIF(Меню!$J$8:$EZ$8,$B107,Меню!$J$326:$EZ$326)/1000*Обложка!$P$17)</f>
        <v>0</v>
      </c>
      <c r="AK107" s="212">
        <f>IF($B107="Яйцо (шт)",SUMIF(Меню!$J$8:$EZ$8,$B107,Меню!$J$331:$EZ$331)*Обложка!$P$18/60,SUMIF(Меню!$J$8:$EZ$8,$B107,Меню!$J$331:$EZ$331)/1000*Обложка!$P$18)</f>
        <v>0</v>
      </c>
      <c r="AL107" s="699">
        <f t="shared" si="15"/>
        <v>0</v>
      </c>
      <c r="AM107" s="685">
        <f t="shared" si="16"/>
        <v>0</v>
      </c>
    </row>
    <row r="108" spans="1:39" x14ac:dyDescent="0.25">
      <c r="A108" s="249">
        <f t="shared" si="17"/>
        <v>96</v>
      </c>
      <c r="B108" s="248" t="str">
        <f>инфо!D97</f>
        <v>Налим б/г</v>
      </c>
      <c r="C108" s="694">
        <f>SUMIF(Меню!$J$8:$FD$8,$B108,Меню!$J$333:$FD$333)</f>
        <v>0</v>
      </c>
      <c r="D108" s="212">
        <f>IF($B108="Яйцо (шт)",SUMIF(Меню!$J$8:$FD$8,$B108,Меню!$J$28:$FD$28)*Обложка!$D$15/60,SUMIF(Меню!$J$8:$FD$8,$B108,Меню!$J$28:$FD$28)/1000*Обложка!$D$15)</f>
        <v>0</v>
      </c>
      <c r="E108" s="212">
        <f>IF($B108="Яйцо (шт)",SUMIF(Меню!$J$8:$FD$8,$B108,Меню!$J$43:$FD$43)*Обложка!$D$16/60,SUMIF(Меню!$J$8:$FD$8,$B108,Меню!$J$43:$FD$43)/1000*Обложка!$D$16)</f>
        <v>0</v>
      </c>
      <c r="F108" s="212">
        <f>IF($B108="Яйцо (шт)",SUMIF(Меню!$J$8:$FD$8,$B108,Меню!$J$56:$FD$56)*Обложка!$D$17/60,SUMIF(Меню!$J$8:$FD$8,$B108,Меню!$J$56:$FD$56)/1000*Обложка!$D$17)</f>
        <v>0</v>
      </c>
      <c r="G108" s="212">
        <f>IF($B108="Яйцо (шт)",SUMIF(Меню!$J$8:$FD$8,$B108,Меню!$J$61:$FD$61)*Обложка!$D$18/60,SUMIF(Меню!$J$8:$FD$8,$B108,Меню!$J$61:$FD$61)/1000*Обложка!$D$18)</f>
        <v>0</v>
      </c>
      <c r="H108" s="685">
        <f t="shared" si="9"/>
        <v>0</v>
      </c>
      <c r="I108" s="212">
        <f>IF($B108="Яйцо (шт)",SUMIF(Меню!$J$8:$FD$8,$B108,Меню!$J$73:$FD$73)*Обложка!$F$15/60,SUMIF(Меню!$J$8:$FD$8,$B108,Меню!$J$73:$FD$73)/1000*Обложка!$F$15)</f>
        <v>0</v>
      </c>
      <c r="J108" s="212">
        <f>IF($B108="Яйцо (шт)",SUMIF(Меню!$J$8:$FD$8,$B108,Меню!$J$88:$FD$88)*Обложка!$F$16/60,SUMIF(Меню!$J$8:$FD$8,$B108,Меню!$J$88:$FD$88)/1000*Обложка!$G$16)</f>
        <v>0</v>
      </c>
      <c r="K108" s="212">
        <f>IF($B108="Яйцо (шт)",SUMIF(Меню!$J$8:$FD$8,$B108,Меню!$J$101:$FD$101)*Обложка!$F$17/60,SUMIF(Меню!$J$8:$FD$8,$B108,Меню!$J$101:$FD$101)/1000*Обложка!$F$17)</f>
        <v>0</v>
      </c>
      <c r="L108" s="212">
        <f>IF($B108="Яйцо (шт)",SUMIF(Меню!$J$8:$FD$8,$B108,Меню!$J$106:$FD$106)*Обложка!$F$18/60,SUMIF(Меню!$J$8:$FD$8,$B108,Меню!$J$106:$FD$106)/1000*Обложка!$F$18)</f>
        <v>0</v>
      </c>
      <c r="M108" s="685">
        <f t="shared" si="10"/>
        <v>0</v>
      </c>
      <c r="N108" s="212">
        <f>IF($B108="Яйцо (шт)",SUMIF(Меню!$J$8:$EZ$8,$B108,Меню!$J$118:$EZ$118)*Обложка!$H$15/60,SUMIF(Меню!$J$8:$EZ$8,$B108,Меню!$J$118:$EZ$118)/1000*Обложка!$H$15)</f>
        <v>0</v>
      </c>
      <c r="O108" s="212">
        <f>IF($B108="Яйцо (шт)",SUMIF(Меню!$J$8:$EZ$8,$B108,Меню!$J$133:$EZ$133)*Обложка!$H$16/60,SUMIF(Меню!$J$8:$EZ$8,$B108,Меню!$J$133:$EZ$133)/1000*Обложка!$H$16)</f>
        <v>0</v>
      </c>
      <c r="P108" s="212">
        <f>IF($B108="Яйцо (шт)",SUMIF(Меню!$J$8:$EZ$8,$B108,Меню!$J$146:$EZ$146)*Обложка!$H$17/60,SUMIF(Меню!$J$8:$EZ$8,$B108,Меню!$J$146:$EZ$146)/1000*Обложка!$H$17)</f>
        <v>0</v>
      </c>
      <c r="Q108" s="212">
        <f>IF($B108="Яйцо (шт)",SUMIF(Меню!$J$8:$EZ$8,$B108,Меню!$J$151:$EZ$151)*Обложка!$H$18/60,SUMIF(Меню!$J$8:$EZ$8,$B108,Меню!$J$151:$EZ$151)/1000*Обложка!$H$18)</f>
        <v>0</v>
      </c>
      <c r="R108" s="685">
        <f t="shared" si="11"/>
        <v>0</v>
      </c>
      <c r="S108" s="212">
        <f>IF($B108="Яйцо (шт)",SUMIF(Меню!$J$8:$EZ$8,$B108,Меню!$J$163:$EZ$163)*Обложка!$J$15/60,SUMIF(Меню!$J$8:$EZ$8,$B108,Меню!$J$163:$EZ$163)/1000*Обложка!$J$15)</f>
        <v>0</v>
      </c>
      <c r="T108" s="212">
        <f>IF($B108="Яйцо (шт)",SUMIF(Меню!$J$8:$EZ$8,$B108,Меню!$J$178:$EZ$178)*Обложка!$J$16/60,SUMIF(Меню!$J$8:$EZ$8,$B108,Меню!$J$178:$EZ$178)/1000*Обложка!$J$16)</f>
        <v>0</v>
      </c>
      <c r="U108" s="212">
        <f>IF($B108="Яйцо (шт)",SUMIF(Меню!$J$8:$EZ$8,$B108,Меню!$J$191:$EZ$191)*Обложка!$J$17/60,SUMIF(Меню!$J$8:$EZ$8,$B108,Меню!$J$191:$EZ$191)/1000*Обложка!$J$17)</f>
        <v>0</v>
      </c>
      <c r="V108" s="212">
        <f>IF($B108="Яйцо (шт)",SUMIF(Меню!$J$8:$EZ$8,$B108,Меню!$J$196:$EZ$196)*Обложка!$J$18/60,SUMIF(Меню!$J$8:$EZ$8,$B108,Меню!$J$196:$EZ$196)/1000*Обложка!$J$18)</f>
        <v>0</v>
      </c>
      <c r="W108" s="685">
        <f t="shared" si="12"/>
        <v>0</v>
      </c>
      <c r="X108" s="212">
        <f>IF($B108="Яйцо (шт)",SUMIF(Меню!$J$8:$EZ$8,$B108,Меню!$J$208:$EZ$208)*Обложка!$L$15/60,SUMIF(Меню!$J$8:$EZ$8,$B108,Меню!$J$208:$EZ$208)/1000*Обложка!$L$15)</f>
        <v>0</v>
      </c>
      <c r="Y108" s="212">
        <f>IF($B108="Яйцо (шт)",SUMIF(Меню!$J$8:$EZ$8,$B108,Меню!$J$223:$EZ$223)*Обложка!$L$16/60,SUMIF(Меню!$J$8:$EZ$8,$B108,Меню!$J$223:$EZ$223)/1000*Обложка!$J$16)</f>
        <v>0</v>
      </c>
      <c r="Z108" s="212">
        <f>IF($B108="Яйцо (шт)",SUMIF(Меню!$J$8:$EZ$8,$B108,Меню!$J$236:$EZ$236)*Обложка!$L$17/60,SUMIF(Меню!$J$8:$EZ$8,$B108,Меню!$J$236:$EZ$236)/1000*Обложка!$L$17)</f>
        <v>0</v>
      </c>
      <c r="AA108" s="212">
        <f>IF($B108="Яйцо (шт)",SUMIF(Меню!$J$8:$EZ$8,$B108,Меню!$J$241:$EZ$241)*Обложка!$L$18/60,SUMIF(Меню!$J$8:$EZ$8,$B108,Меню!$J$241:$EZ$241)/1000*Обложка!$L$18)</f>
        <v>0</v>
      </c>
      <c r="AB108" s="685">
        <f t="shared" si="13"/>
        <v>0</v>
      </c>
      <c r="AC108" s="212">
        <f>IF($B108="Яйцо (шт)",SUMIF(Меню!$J$8:$EZ$8,$B108,Меню!$J$253:$EZ$253)*Обложка!$N$15/60,SUMIF(Меню!$J$8:$EZ$8,$B108,Меню!$J$253:$EZ$253)/1000*Обложка!$N$15)</f>
        <v>0</v>
      </c>
      <c r="AD108" s="212">
        <f>IF($B108="Яйцо (шт)",SUMIF(Меню!$J$8:$EZ$8,$B108,Меню!$J$268:$EZ$268)*Обложка!$N$16/60,SUMIF(Меню!$J$8:$EZ$8,$B108,Меню!$J$268:$EZ$268)/1000*Обложка!$N$16)</f>
        <v>0</v>
      </c>
      <c r="AE108" s="212">
        <f>IF($B108="Яйцо (шт)",SUMIF(Меню!$J$8:$EZ$8,$B108,Меню!$J$281:$EZ$281)*Обложка!$N$17/60,SUMIF(Меню!$J$8:$EZ$8,$B108,Меню!$J$281:$EZ$281)/1000*Обложка!$N$17)</f>
        <v>0</v>
      </c>
      <c r="AF108" s="212">
        <f>IF($B108="Яйцо (шт)",SUMIF(Меню!$J$8:$EZ$8,$B108,Меню!$J$286:$EZ$286)*Обложка!$N$18/60,SUMIF(Меню!$J$8:$EZ$8,$B108,Меню!$J$286:$EZ$286)/1000*Обложка!$N$18)</f>
        <v>0</v>
      </c>
      <c r="AG108" s="685">
        <f t="shared" si="14"/>
        <v>0</v>
      </c>
      <c r="AH108" s="212">
        <f>IF($B108="Яйцо (шт)",SUMIF(Меню!$J$8:$EZ$8,$B108,Меню!$J$298:$EZ$298)*Обложка!$P$15/60,SUMIF(Меню!$J$8:$EZ$8,$B108,Меню!$J$298:$EZ$298)/1000*Обложка!$P$15)</f>
        <v>0</v>
      </c>
      <c r="AI108" s="212">
        <f>IF($B108="Яйцо (шт)",SUMIF(Меню!$J$8:$EZ$8,$BB108,Меню!$J$313:$EZ$313)*Обложка!$P$16/60,SUMIF(Меню!$J$8:$EZ$8,$B108,Меню!$J$313:$EZ$313)/1000*Обложка!$P$16)</f>
        <v>0</v>
      </c>
      <c r="AJ108" s="212">
        <f>IF($B108="Яйцо (шт)",SUMIF(Меню!$J$8:$EZ$8,$B108,Меню!$J$326:$EZ$326)*Обложка!$P$17/60,SUMIF(Меню!$J$8:$EZ$8,$B108,Меню!$J$326:$EZ$326)/1000*Обложка!$P$17)</f>
        <v>0</v>
      </c>
      <c r="AK108" s="212">
        <f>IF($B108="Яйцо (шт)",SUMIF(Меню!$J$8:$EZ$8,$B108,Меню!$J$331:$EZ$331)*Обложка!$P$18/60,SUMIF(Меню!$J$8:$EZ$8,$B108,Меню!$J$331:$EZ$331)/1000*Обложка!$P$18)</f>
        <v>0</v>
      </c>
      <c r="AL108" s="699">
        <f t="shared" si="15"/>
        <v>0</v>
      </c>
      <c r="AM108" s="685">
        <f t="shared" si="16"/>
        <v>0</v>
      </c>
    </row>
    <row r="109" spans="1:39" x14ac:dyDescent="0.25">
      <c r="A109" s="249">
        <f t="shared" si="17"/>
        <v>97</v>
      </c>
      <c r="B109" s="248" t="str">
        <f>инфо!D98</f>
        <v>Пикша б/г</v>
      </c>
      <c r="C109" s="694">
        <f>SUMIF(Меню!$J$8:$FD$8,$B109,Меню!$J$333:$FD$333)</f>
        <v>50</v>
      </c>
      <c r="D109" s="212">
        <f>IF($B109="Яйцо (шт)",SUMIF(Меню!$J$8:$FD$8,$B109,Меню!$J$28:$FD$28)*Обложка!$D$15/60,SUMIF(Меню!$J$8:$FD$8,$B109,Меню!$J$28:$FD$28)/1000*Обложка!$D$15)</f>
        <v>0</v>
      </c>
      <c r="E109" s="212">
        <f>IF($B109="Яйцо (шт)",SUMIF(Меню!$J$8:$FD$8,$B109,Меню!$J$43:$FD$43)*Обложка!$D$16/60,SUMIF(Меню!$J$8:$FD$8,$B109,Меню!$J$43:$FD$43)/1000*Обложка!$D$16)</f>
        <v>0</v>
      </c>
      <c r="F109" s="212">
        <f>IF($B109="Яйцо (шт)",SUMIF(Меню!$J$8:$FD$8,$B109,Меню!$J$56:$FD$56)*Обложка!$D$17/60,SUMIF(Меню!$J$8:$FD$8,$B109,Меню!$J$56:$FD$56)/1000*Обложка!$D$17)</f>
        <v>0</v>
      </c>
      <c r="G109" s="212">
        <f>IF($B109="Яйцо (шт)",SUMIF(Меню!$J$8:$FD$8,$B109,Меню!$J$61:$FD$61)*Обложка!$D$18/60,SUMIF(Меню!$J$8:$FD$8,$B109,Меню!$J$61:$FD$61)/1000*Обложка!$D$18)</f>
        <v>0</v>
      </c>
      <c r="H109" s="685">
        <f t="shared" si="9"/>
        <v>0</v>
      </c>
      <c r="I109" s="212">
        <f>IF($B109="Яйцо (шт)",SUMIF(Меню!$J$8:$FD$8,$B109,Меню!$J$73:$FD$73)*Обложка!$F$15/60,SUMIF(Меню!$J$8:$FD$8,$B109,Меню!$J$73:$FD$73)/1000*Обложка!$F$15)</f>
        <v>0</v>
      </c>
      <c r="J109" s="212">
        <f>IF($B109="Яйцо (шт)",SUMIF(Меню!$J$8:$FD$8,$B109,Меню!$J$88:$FD$88)*Обложка!$F$16/60,SUMIF(Меню!$J$8:$FD$8,$B109,Меню!$J$88:$FD$88)/1000*Обложка!$G$16)</f>
        <v>0</v>
      </c>
      <c r="K109" s="212">
        <f>IF($B109="Яйцо (шт)",SUMIF(Меню!$J$8:$FD$8,$B109,Меню!$J$101:$FD$101)*Обложка!$F$17/60,SUMIF(Меню!$J$8:$FD$8,$B109,Меню!$J$101:$FD$101)/1000*Обложка!$F$17)</f>
        <v>0</v>
      </c>
      <c r="L109" s="212">
        <f>IF($B109="Яйцо (шт)",SUMIF(Меню!$J$8:$FD$8,$B109,Меню!$J$106:$FD$106)*Обложка!$F$18/60,SUMIF(Меню!$J$8:$FD$8,$B109,Меню!$J$106:$FD$106)/1000*Обложка!$F$18)</f>
        <v>0</v>
      </c>
      <c r="M109" s="685">
        <f t="shared" si="10"/>
        <v>0</v>
      </c>
      <c r="N109" s="212">
        <f>IF($B109="Яйцо (шт)",SUMIF(Меню!$J$8:$EZ$8,$B109,Меню!$J$118:$EZ$118)*Обложка!$H$15/60,SUMIF(Меню!$J$8:$EZ$8,$B109,Меню!$J$118:$EZ$118)/1000*Обложка!$H$15)</f>
        <v>0</v>
      </c>
      <c r="O109" s="212">
        <f>IF($B109="Яйцо (шт)",SUMIF(Меню!$J$8:$EZ$8,$B109,Меню!$J$133:$EZ$133)*Обложка!$H$16/60,SUMIF(Меню!$J$8:$EZ$8,$B109,Меню!$J$133:$EZ$133)/1000*Обложка!$H$16)</f>
        <v>0</v>
      </c>
      <c r="P109" s="212">
        <f>IF($B109="Яйцо (шт)",SUMIF(Меню!$J$8:$EZ$8,$B109,Меню!$J$146:$EZ$146)*Обложка!$H$17/60,SUMIF(Меню!$J$8:$EZ$8,$B109,Меню!$J$146:$EZ$146)/1000*Обложка!$H$17)</f>
        <v>0</v>
      </c>
      <c r="Q109" s="212">
        <f>IF($B109="Яйцо (шт)",SUMIF(Меню!$J$8:$EZ$8,$B109,Меню!$J$151:$EZ$151)*Обложка!$H$18/60,SUMIF(Меню!$J$8:$EZ$8,$B109,Меню!$J$151:$EZ$151)/1000*Обложка!$H$18)</f>
        <v>0</v>
      </c>
      <c r="R109" s="685">
        <f t="shared" si="11"/>
        <v>0</v>
      </c>
      <c r="S109" s="212">
        <f>IF($B109="Яйцо (шт)",SUMIF(Меню!$J$8:$EZ$8,$B109,Меню!$J$163:$EZ$163)*Обложка!$J$15/60,SUMIF(Меню!$J$8:$EZ$8,$B109,Меню!$J$163:$EZ$163)/1000*Обложка!$J$15)</f>
        <v>0</v>
      </c>
      <c r="T109" s="212">
        <f>IF($B109="Яйцо (шт)",SUMIF(Меню!$J$8:$EZ$8,$B109,Меню!$J$178:$EZ$178)*Обложка!$J$16/60,SUMIF(Меню!$J$8:$EZ$8,$B109,Меню!$J$178:$EZ$178)/1000*Обложка!$J$16)</f>
        <v>0</v>
      </c>
      <c r="U109" s="212">
        <f>IF($B109="Яйцо (шт)",SUMIF(Меню!$J$8:$EZ$8,$B109,Меню!$J$191:$EZ$191)*Обложка!$J$17/60,SUMIF(Меню!$J$8:$EZ$8,$B109,Меню!$J$191:$EZ$191)/1000*Обложка!$J$17)</f>
        <v>0</v>
      </c>
      <c r="V109" s="212">
        <f>IF($B109="Яйцо (шт)",SUMIF(Меню!$J$8:$EZ$8,$B109,Меню!$J$196:$EZ$196)*Обложка!$J$18/60,SUMIF(Меню!$J$8:$EZ$8,$B109,Меню!$J$196:$EZ$196)/1000*Обложка!$J$18)</f>
        <v>0</v>
      </c>
      <c r="W109" s="685">
        <f t="shared" si="12"/>
        <v>0</v>
      </c>
      <c r="X109" s="212">
        <f>IF($B109="Яйцо (шт)",SUMIF(Меню!$J$8:$EZ$8,$B109,Меню!$J$208:$EZ$208)*Обложка!$L$15/60,SUMIF(Меню!$J$8:$EZ$8,$B109,Меню!$J$208:$EZ$208)/1000*Обложка!$L$15)</f>
        <v>0</v>
      </c>
      <c r="Y109" s="212">
        <f>IF($B109="Яйцо (шт)",SUMIF(Меню!$J$8:$EZ$8,$B109,Меню!$J$223:$EZ$223)*Обложка!$L$16/60,SUMIF(Меню!$J$8:$EZ$8,$B109,Меню!$J$223:$EZ$223)/1000*Обложка!$J$16)</f>
        <v>0</v>
      </c>
      <c r="Z109" s="212">
        <f>IF($B109="Яйцо (шт)",SUMIF(Меню!$J$8:$EZ$8,$B109,Меню!$J$236:$EZ$236)*Обложка!$L$17/60,SUMIF(Меню!$J$8:$EZ$8,$B109,Меню!$J$236:$EZ$236)/1000*Обложка!$L$17)</f>
        <v>0</v>
      </c>
      <c r="AA109" s="212">
        <f>IF($B109="Яйцо (шт)",SUMIF(Меню!$J$8:$EZ$8,$B109,Меню!$J$241:$EZ$241)*Обложка!$L$18/60,SUMIF(Меню!$J$8:$EZ$8,$B109,Меню!$J$241:$EZ$241)/1000*Обложка!$L$18)</f>
        <v>0</v>
      </c>
      <c r="AB109" s="685">
        <f t="shared" si="13"/>
        <v>0</v>
      </c>
      <c r="AC109" s="212">
        <f>IF($B109="Яйцо (шт)",SUMIF(Меню!$J$8:$EZ$8,$B109,Меню!$J$253:$EZ$253)*Обложка!$N$15/60,SUMIF(Меню!$J$8:$EZ$8,$B109,Меню!$J$253:$EZ$253)/1000*Обложка!$N$15)</f>
        <v>0</v>
      </c>
      <c r="AD109" s="212">
        <f>IF($B109="Яйцо (шт)",SUMIF(Меню!$J$8:$EZ$8,$B109,Меню!$J$268:$EZ$268)*Обложка!$N$16/60,SUMIF(Меню!$J$8:$EZ$8,$B109,Меню!$J$268:$EZ$268)/1000*Обложка!$N$16)</f>
        <v>0</v>
      </c>
      <c r="AE109" s="212">
        <f>IF($B109="Яйцо (шт)",SUMIF(Меню!$J$8:$EZ$8,$B109,Меню!$J$281:$EZ$281)*Обложка!$N$17/60,SUMIF(Меню!$J$8:$EZ$8,$B109,Меню!$J$281:$EZ$281)/1000*Обложка!$N$17)</f>
        <v>2.25</v>
      </c>
      <c r="AF109" s="212">
        <f>IF($B109="Яйцо (шт)",SUMIF(Меню!$J$8:$EZ$8,$B109,Меню!$J$286:$EZ$286)*Обложка!$N$18/60,SUMIF(Меню!$J$8:$EZ$8,$B109,Меню!$J$286:$EZ$286)/1000*Обложка!$N$18)</f>
        <v>0</v>
      </c>
      <c r="AG109" s="685">
        <f t="shared" si="14"/>
        <v>2.25</v>
      </c>
      <c r="AH109" s="212">
        <f>IF($B109="Яйцо (шт)",SUMIF(Меню!$J$8:$EZ$8,$B109,Меню!$J$298:$EZ$298)*Обложка!$P$15/60,SUMIF(Меню!$J$8:$EZ$8,$B109,Меню!$J$298:$EZ$298)/1000*Обложка!$P$15)</f>
        <v>0</v>
      </c>
      <c r="AI109" s="212">
        <f>IF($B109="Яйцо (шт)",SUMIF(Меню!$J$8:$EZ$8,$BB109,Меню!$J$313:$EZ$313)*Обложка!$P$16/60,SUMIF(Меню!$J$8:$EZ$8,$B109,Меню!$J$313:$EZ$313)/1000*Обложка!$P$16)</f>
        <v>0</v>
      </c>
      <c r="AJ109" s="212">
        <f>IF($B109="Яйцо (шт)",SUMIF(Меню!$J$8:$EZ$8,$B109,Меню!$J$326:$EZ$326)*Обложка!$P$17/60,SUMIF(Меню!$J$8:$EZ$8,$B109,Меню!$J$326:$EZ$326)/1000*Обложка!$P$17)</f>
        <v>0</v>
      </c>
      <c r="AK109" s="212">
        <f>IF($B109="Яйцо (шт)",SUMIF(Меню!$J$8:$EZ$8,$B109,Меню!$J$331:$EZ$331)*Обложка!$P$18/60,SUMIF(Меню!$J$8:$EZ$8,$B109,Меню!$J$331:$EZ$331)/1000*Обложка!$P$18)</f>
        <v>0</v>
      </c>
      <c r="AL109" s="699">
        <f t="shared" si="15"/>
        <v>0</v>
      </c>
      <c r="AM109" s="685">
        <f t="shared" si="16"/>
        <v>2.25</v>
      </c>
    </row>
    <row r="110" spans="1:39" x14ac:dyDescent="0.25">
      <c r="A110" s="249">
        <f t="shared" si="17"/>
        <v>98</v>
      </c>
      <c r="B110" s="248" t="str">
        <f>инфо!D99</f>
        <v>Пикша с/г</v>
      </c>
      <c r="C110" s="694">
        <f>SUMIF(Меню!$J$8:$FD$8,$B110,Меню!$J$333:$FD$333)</f>
        <v>0</v>
      </c>
      <c r="D110" s="212">
        <f>IF($B110="Яйцо (шт)",SUMIF(Меню!$J$8:$FD$8,$B110,Меню!$J$28:$FD$28)*Обложка!$D$15/60,SUMIF(Меню!$J$8:$FD$8,$B110,Меню!$J$28:$FD$28)/1000*Обложка!$D$15)</f>
        <v>0</v>
      </c>
      <c r="E110" s="212">
        <f>IF($B110="Яйцо (шт)",SUMIF(Меню!$J$8:$FD$8,$B110,Меню!$J$43:$FD$43)*Обложка!$D$16/60,SUMIF(Меню!$J$8:$FD$8,$B110,Меню!$J$43:$FD$43)/1000*Обложка!$D$16)</f>
        <v>0</v>
      </c>
      <c r="F110" s="212">
        <f>IF($B110="Яйцо (шт)",SUMIF(Меню!$J$8:$FD$8,$B110,Меню!$J$56:$FD$56)*Обложка!$D$17/60,SUMIF(Меню!$J$8:$FD$8,$B110,Меню!$J$56:$FD$56)/1000*Обложка!$D$17)</f>
        <v>0</v>
      </c>
      <c r="G110" s="212">
        <f>IF($B110="Яйцо (шт)",SUMIF(Меню!$J$8:$FD$8,$B110,Меню!$J$61:$FD$61)*Обложка!$D$18/60,SUMIF(Меню!$J$8:$FD$8,$B110,Меню!$J$61:$FD$61)/1000*Обложка!$D$18)</f>
        <v>0</v>
      </c>
      <c r="H110" s="685">
        <f t="shared" si="9"/>
        <v>0</v>
      </c>
      <c r="I110" s="212">
        <f>IF($B110="Яйцо (шт)",SUMIF(Меню!$J$8:$FD$8,$B110,Меню!$J$73:$FD$73)*Обложка!$F$15/60,SUMIF(Меню!$J$8:$FD$8,$B110,Меню!$J$73:$FD$73)/1000*Обложка!$F$15)</f>
        <v>0</v>
      </c>
      <c r="J110" s="212">
        <f>IF($B110="Яйцо (шт)",SUMIF(Меню!$J$8:$FD$8,$B110,Меню!$J$88:$FD$88)*Обложка!$F$16/60,SUMIF(Меню!$J$8:$FD$8,$B110,Меню!$J$88:$FD$88)/1000*Обложка!$G$16)</f>
        <v>0</v>
      </c>
      <c r="K110" s="212">
        <f>IF($B110="Яйцо (шт)",SUMIF(Меню!$J$8:$FD$8,$B110,Меню!$J$101:$FD$101)*Обложка!$F$17/60,SUMIF(Меню!$J$8:$FD$8,$B110,Меню!$J$101:$FD$101)/1000*Обложка!$F$17)</f>
        <v>0</v>
      </c>
      <c r="L110" s="212">
        <f>IF($B110="Яйцо (шт)",SUMIF(Меню!$J$8:$FD$8,$B110,Меню!$J$106:$FD$106)*Обложка!$F$18/60,SUMIF(Меню!$J$8:$FD$8,$B110,Меню!$J$106:$FD$106)/1000*Обложка!$F$18)</f>
        <v>0</v>
      </c>
      <c r="M110" s="685">
        <f t="shared" si="10"/>
        <v>0</v>
      </c>
      <c r="N110" s="212">
        <f>IF($B110="Яйцо (шт)",SUMIF(Меню!$J$8:$EZ$8,$B110,Меню!$J$118:$EZ$118)*Обложка!$H$15/60,SUMIF(Меню!$J$8:$EZ$8,$B110,Меню!$J$118:$EZ$118)/1000*Обложка!$H$15)</f>
        <v>0</v>
      </c>
      <c r="O110" s="212">
        <f>IF($B110="Яйцо (шт)",SUMIF(Меню!$J$8:$EZ$8,$B110,Меню!$J$133:$EZ$133)*Обложка!$H$16/60,SUMIF(Меню!$J$8:$EZ$8,$B110,Меню!$J$133:$EZ$133)/1000*Обложка!$H$16)</f>
        <v>0</v>
      </c>
      <c r="P110" s="212">
        <f>IF($B110="Яйцо (шт)",SUMIF(Меню!$J$8:$EZ$8,$B110,Меню!$J$146:$EZ$146)*Обложка!$H$17/60,SUMIF(Меню!$J$8:$EZ$8,$B110,Меню!$J$146:$EZ$146)/1000*Обложка!$H$17)</f>
        <v>0</v>
      </c>
      <c r="Q110" s="212">
        <f>IF($B110="Яйцо (шт)",SUMIF(Меню!$J$8:$EZ$8,$B110,Меню!$J$151:$EZ$151)*Обложка!$H$18/60,SUMIF(Меню!$J$8:$EZ$8,$B110,Меню!$J$151:$EZ$151)/1000*Обложка!$H$18)</f>
        <v>0</v>
      </c>
      <c r="R110" s="685">
        <f t="shared" si="11"/>
        <v>0</v>
      </c>
      <c r="S110" s="212">
        <f>IF($B110="Яйцо (шт)",SUMIF(Меню!$J$8:$EZ$8,$B110,Меню!$J$163:$EZ$163)*Обложка!$J$15/60,SUMIF(Меню!$J$8:$EZ$8,$B110,Меню!$J$163:$EZ$163)/1000*Обложка!$J$15)</f>
        <v>0</v>
      </c>
      <c r="T110" s="212">
        <f>IF($B110="Яйцо (шт)",SUMIF(Меню!$J$8:$EZ$8,$B110,Меню!$J$178:$EZ$178)*Обложка!$J$16/60,SUMIF(Меню!$J$8:$EZ$8,$B110,Меню!$J$178:$EZ$178)/1000*Обложка!$J$16)</f>
        <v>0</v>
      </c>
      <c r="U110" s="212">
        <f>IF($B110="Яйцо (шт)",SUMIF(Меню!$J$8:$EZ$8,$B110,Меню!$J$191:$EZ$191)*Обложка!$J$17/60,SUMIF(Меню!$J$8:$EZ$8,$B110,Меню!$J$191:$EZ$191)/1000*Обложка!$J$17)</f>
        <v>0</v>
      </c>
      <c r="V110" s="212">
        <f>IF($B110="Яйцо (шт)",SUMIF(Меню!$J$8:$EZ$8,$B110,Меню!$J$196:$EZ$196)*Обложка!$J$18/60,SUMIF(Меню!$J$8:$EZ$8,$B110,Меню!$J$196:$EZ$196)/1000*Обложка!$J$18)</f>
        <v>0</v>
      </c>
      <c r="W110" s="685">
        <f t="shared" si="12"/>
        <v>0</v>
      </c>
      <c r="X110" s="212">
        <f>IF($B110="Яйцо (шт)",SUMIF(Меню!$J$8:$EZ$8,$B110,Меню!$J$208:$EZ$208)*Обложка!$L$15/60,SUMIF(Меню!$J$8:$EZ$8,$B110,Меню!$J$208:$EZ$208)/1000*Обложка!$L$15)</f>
        <v>0</v>
      </c>
      <c r="Y110" s="212">
        <f>IF($B110="Яйцо (шт)",SUMIF(Меню!$J$8:$EZ$8,$B110,Меню!$J$223:$EZ$223)*Обложка!$L$16/60,SUMIF(Меню!$J$8:$EZ$8,$B110,Меню!$J$223:$EZ$223)/1000*Обложка!$J$16)</f>
        <v>0</v>
      </c>
      <c r="Z110" s="212">
        <f>IF($B110="Яйцо (шт)",SUMIF(Меню!$J$8:$EZ$8,$B110,Меню!$J$236:$EZ$236)*Обложка!$L$17/60,SUMIF(Меню!$J$8:$EZ$8,$B110,Меню!$J$236:$EZ$236)/1000*Обложка!$L$17)</f>
        <v>0</v>
      </c>
      <c r="AA110" s="212">
        <f>IF($B110="Яйцо (шт)",SUMIF(Меню!$J$8:$EZ$8,$B110,Меню!$J$241:$EZ$241)*Обложка!$L$18/60,SUMIF(Меню!$J$8:$EZ$8,$B110,Меню!$J$241:$EZ$241)/1000*Обложка!$L$18)</f>
        <v>0</v>
      </c>
      <c r="AB110" s="685">
        <f t="shared" si="13"/>
        <v>0</v>
      </c>
      <c r="AC110" s="212">
        <f>IF($B110="Яйцо (шт)",SUMIF(Меню!$J$8:$EZ$8,$B110,Меню!$J$253:$EZ$253)*Обложка!$N$15/60,SUMIF(Меню!$J$8:$EZ$8,$B110,Меню!$J$253:$EZ$253)/1000*Обложка!$N$15)</f>
        <v>0</v>
      </c>
      <c r="AD110" s="212">
        <f>IF($B110="Яйцо (шт)",SUMIF(Меню!$J$8:$EZ$8,$B110,Меню!$J$268:$EZ$268)*Обложка!$N$16/60,SUMIF(Меню!$J$8:$EZ$8,$B110,Меню!$J$268:$EZ$268)/1000*Обложка!$N$16)</f>
        <v>0</v>
      </c>
      <c r="AE110" s="212">
        <f>IF($B110="Яйцо (шт)",SUMIF(Меню!$J$8:$EZ$8,$B110,Меню!$J$281:$EZ$281)*Обложка!$N$17/60,SUMIF(Меню!$J$8:$EZ$8,$B110,Меню!$J$281:$EZ$281)/1000*Обложка!$N$17)</f>
        <v>0</v>
      </c>
      <c r="AF110" s="212">
        <f>IF($B110="Яйцо (шт)",SUMIF(Меню!$J$8:$EZ$8,$B110,Меню!$J$286:$EZ$286)*Обложка!$N$18/60,SUMIF(Меню!$J$8:$EZ$8,$B110,Меню!$J$286:$EZ$286)/1000*Обложка!$N$18)</f>
        <v>0</v>
      </c>
      <c r="AG110" s="685">
        <f t="shared" si="14"/>
        <v>0</v>
      </c>
      <c r="AH110" s="212">
        <f>IF($B110="Яйцо (шт)",SUMIF(Меню!$J$8:$EZ$8,$B110,Меню!$J$298:$EZ$298)*Обложка!$P$15/60,SUMIF(Меню!$J$8:$EZ$8,$B110,Меню!$J$298:$EZ$298)/1000*Обложка!$P$15)</f>
        <v>0</v>
      </c>
      <c r="AI110" s="212">
        <f>IF($B110="Яйцо (шт)",SUMIF(Меню!$J$8:$EZ$8,$BB110,Меню!$J$313:$EZ$313)*Обложка!$P$16/60,SUMIF(Меню!$J$8:$EZ$8,$B110,Меню!$J$313:$EZ$313)/1000*Обложка!$P$16)</f>
        <v>0</v>
      </c>
      <c r="AJ110" s="212">
        <f>IF($B110="Яйцо (шт)",SUMIF(Меню!$J$8:$EZ$8,$B110,Меню!$J$326:$EZ$326)*Обложка!$P$17/60,SUMIF(Меню!$J$8:$EZ$8,$B110,Меню!$J$326:$EZ$326)/1000*Обложка!$P$17)</f>
        <v>0</v>
      </c>
      <c r="AK110" s="212">
        <f>IF($B110="Яйцо (шт)",SUMIF(Меню!$J$8:$EZ$8,$B110,Меню!$J$331:$EZ$331)*Обложка!$P$18/60,SUMIF(Меню!$J$8:$EZ$8,$B110,Меню!$J$331:$EZ$331)/1000*Обложка!$P$18)</f>
        <v>0</v>
      </c>
      <c r="AL110" s="699">
        <f t="shared" si="15"/>
        <v>0</v>
      </c>
      <c r="AM110" s="685">
        <f t="shared" si="16"/>
        <v>0</v>
      </c>
    </row>
    <row r="111" spans="1:39" x14ac:dyDescent="0.25">
      <c r="A111" s="249">
        <f t="shared" si="17"/>
        <v>99</v>
      </c>
      <c r="B111" s="248" t="str">
        <f>инфо!D100</f>
        <v>Сайда б/г</v>
      </c>
      <c r="C111" s="694">
        <f>SUMIF(Меню!$J$8:$FD$8,$B111,Меню!$J$333:$FD$333)</f>
        <v>120</v>
      </c>
      <c r="D111" s="212">
        <f>IF($B111="Яйцо (шт)",SUMIF(Меню!$J$8:$FD$8,$B111,Меню!$J$28:$FD$28)*Обложка!$D$15/60,SUMIF(Меню!$J$8:$FD$8,$B111,Меню!$J$28:$FD$28)/1000*Обложка!$D$15)</f>
        <v>0</v>
      </c>
      <c r="E111" s="212">
        <f>IF($B111="Яйцо (шт)",SUMIF(Меню!$J$8:$FD$8,$B111,Меню!$J$43:$FD$43)*Обложка!$D$16/60,SUMIF(Меню!$J$8:$FD$8,$B111,Меню!$J$43:$FD$43)/1000*Обложка!$D$16)</f>
        <v>0</v>
      </c>
      <c r="F111" s="212">
        <f>IF($B111="Яйцо (шт)",SUMIF(Меню!$J$8:$FD$8,$B111,Меню!$J$56:$FD$56)*Обложка!$D$17/60,SUMIF(Меню!$J$8:$FD$8,$B111,Меню!$J$56:$FD$56)/1000*Обложка!$D$17)</f>
        <v>14.639999999999999</v>
      </c>
      <c r="G111" s="212">
        <f>IF($B111="Яйцо (шт)",SUMIF(Меню!$J$8:$FD$8,$B111,Меню!$J$61:$FD$61)*Обложка!$D$18/60,SUMIF(Меню!$J$8:$FD$8,$B111,Меню!$J$61:$FD$61)/1000*Обложка!$D$18)</f>
        <v>0</v>
      </c>
      <c r="H111" s="685">
        <f t="shared" si="9"/>
        <v>14.639999999999999</v>
      </c>
      <c r="I111" s="212">
        <f>IF($B111="Яйцо (шт)",SUMIF(Меню!$J$8:$FD$8,$B111,Меню!$J$73:$FD$73)*Обложка!$F$15/60,SUMIF(Меню!$J$8:$FD$8,$B111,Меню!$J$73:$FD$73)/1000*Обложка!$F$15)</f>
        <v>0</v>
      </c>
      <c r="J111" s="212">
        <f>IF($B111="Яйцо (шт)",SUMIF(Меню!$J$8:$FD$8,$B111,Меню!$J$88:$FD$88)*Обложка!$F$16/60,SUMIF(Меню!$J$8:$FD$8,$B111,Меню!$J$88:$FD$88)/1000*Обложка!$G$16)</f>
        <v>0</v>
      </c>
      <c r="K111" s="212">
        <f>IF($B111="Яйцо (шт)",SUMIF(Меню!$J$8:$FD$8,$B111,Меню!$J$101:$FD$101)*Обложка!$F$17/60,SUMIF(Меню!$J$8:$FD$8,$B111,Меню!$J$101:$FD$101)/1000*Обложка!$F$17)</f>
        <v>0</v>
      </c>
      <c r="L111" s="212">
        <f>IF($B111="Яйцо (шт)",SUMIF(Меню!$J$8:$FD$8,$B111,Меню!$J$106:$FD$106)*Обложка!$F$18/60,SUMIF(Меню!$J$8:$FD$8,$B111,Меню!$J$106:$FD$106)/1000*Обложка!$F$18)</f>
        <v>0</v>
      </c>
      <c r="M111" s="685">
        <f t="shared" si="10"/>
        <v>0</v>
      </c>
      <c r="N111" s="212">
        <f>IF($B111="Яйцо (шт)",SUMIF(Меню!$J$8:$EZ$8,$B111,Меню!$J$118:$EZ$118)*Обложка!$H$15/60,SUMIF(Меню!$J$8:$EZ$8,$B111,Меню!$J$118:$EZ$118)/1000*Обложка!$H$15)</f>
        <v>0</v>
      </c>
      <c r="O111" s="212">
        <f>IF($B111="Яйцо (шт)",SUMIF(Меню!$J$8:$EZ$8,$B111,Меню!$J$133:$EZ$133)*Обложка!$H$16/60,SUMIF(Меню!$J$8:$EZ$8,$B111,Меню!$J$133:$EZ$133)/1000*Обложка!$H$16)</f>
        <v>0</v>
      </c>
      <c r="P111" s="212">
        <f>IF($B111="Яйцо (шт)",SUMIF(Меню!$J$8:$EZ$8,$B111,Меню!$J$146:$EZ$146)*Обложка!$H$17/60,SUMIF(Меню!$J$8:$EZ$8,$B111,Меню!$J$146:$EZ$146)/1000*Обложка!$H$17)</f>
        <v>0</v>
      </c>
      <c r="Q111" s="212">
        <f>IF($B111="Яйцо (шт)",SUMIF(Меню!$J$8:$EZ$8,$B111,Меню!$J$151:$EZ$151)*Обложка!$H$18/60,SUMIF(Меню!$J$8:$EZ$8,$B111,Меню!$J$151:$EZ$151)/1000*Обложка!$H$18)</f>
        <v>0</v>
      </c>
      <c r="R111" s="685">
        <f t="shared" si="11"/>
        <v>0</v>
      </c>
      <c r="S111" s="212">
        <f>IF($B111="Яйцо (шт)",SUMIF(Меню!$J$8:$EZ$8,$B111,Меню!$J$163:$EZ$163)*Обложка!$J$15/60,SUMIF(Меню!$J$8:$EZ$8,$B111,Меню!$J$163:$EZ$163)/1000*Обложка!$J$15)</f>
        <v>0</v>
      </c>
      <c r="T111" s="212">
        <f>IF($B111="Яйцо (шт)",SUMIF(Меню!$J$8:$EZ$8,$B111,Меню!$J$178:$EZ$178)*Обложка!$J$16/60,SUMIF(Меню!$J$8:$EZ$8,$B111,Меню!$J$178:$EZ$178)/1000*Обложка!$J$16)</f>
        <v>0</v>
      </c>
      <c r="U111" s="212">
        <f>IF($B111="Яйцо (шт)",SUMIF(Меню!$J$8:$EZ$8,$B111,Меню!$J$191:$EZ$191)*Обложка!$J$17/60,SUMIF(Меню!$J$8:$EZ$8,$B111,Меню!$J$191:$EZ$191)/1000*Обложка!$J$17)</f>
        <v>0</v>
      </c>
      <c r="V111" s="212">
        <f>IF($B111="Яйцо (шт)",SUMIF(Меню!$J$8:$EZ$8,$B111,Меню!$J$196:$EZ$196)*Обложка!$J$18/60,SUMIF(Меню!$J$8:$EZ$8,$B111,Меню!$J$196:$EZ$196)/1000*Обложка!$J$18)</f>
        <v>0</v>
      </c>
      <c r="W111" s="685">
        <f t="shared" si="12"/>
        <v>0</v>
      </c>
      <c r="X111" s="212">
        <f>IF($B111="Яйцо (шт)",SUMIF(Меню!$J$8:$EZ$8,$B111,Меню!$J$208:$EZ$208)*Обложка!$L$15/60,SUMIF(Меню!$J$8:$EZ$8,$B111,Меню!$J$208:$EZ$208)/1000*Обложка!$L$15)</f>
        <v>0</v>
      </c>
      <c r="Y111" s="212">
        <f>IF($B111="Яйцо (шт)",SUMIF(Меню!$J$8:$EZ$8,$B111,Меню!$J$223:$EZ$223)*Обложка!$L$16/60,SUMIF(Меню!$J$8:$EZ$8,$B111,Меню!$J$223:$EZ$223)/1000*Обложка!$J$16)</f>
        <v>0</v>
      </c>
      <c r="Z111" s="212">
        <f>IF($B111="Яйцо (шт)",SUMIF(Меню!$J$8:$EZ$8,$B111,Меню!$J$236:$EZ$236)*Обложка!$L$17/60,SUMIF(Меню!$J$8:$EZ$8,$B111,Меню!$J$236:$EZ$236)/1000*Обложка!$L$17)</f>
        <v>0</v>
      </c>
      <c r="AA111" s="212">
        <f>IF($B111="Яйцо (шт)",SUMIF(Меню!$J$8:$EZ$8,$B111,Меню!$J$241:$EZ$241)*Обложка!$L$18/60,SUMIF(Меню!$J$8:$EZ$8,$B111,Меню!$J$241:$EZ$241)/1000*Обложка!$L$18)</f>
        <v>0</v>
      </c>
      <c r="AB111" s="685">
        <f t="shared" si="13"/>
        <v>0</v>
      </c>
      <c r="AC111" s="212">
        <f>IF($B111="Яйцо (шт)",SUMIF(Меню!$J$8:$EZ$8,$B111,Меню!$J$253:$EZ$253)*Обложка!$N$15/60,SUMIF(Меню!$J$8:$EZ$8,$B111,Меню!$J$253:$EZ$253)/1000*Обложка!$N$15)</f>
        <v>0</v>
      </c>
      <c r="AD111" s="212">
        <f>IF($B111="Яйцо (шт)",SUMIF(Меню!$J$8:$EZ$8,$B111,Меню!$J$268:$EZ$268)*Обложка!$N$16/60,SUMIF(Меню!$J$8:$EZ$8,$B111,Меню!$J$268:$EZ$268)/1000*Обложка!$N$16)</f>
        <v>0</v>
      </c>
      <c r="AE111" s="212">
        <f>IF($B111="Яйцо (шт)",SUMIF(Меню!$J$8:$EZ$8,$B111,Меню!$J$281:$EZ$281)*Обложка!$N$17/60,SUMIF(Меню!$J$8:$EZ$8,$B111,Меню!$J$281:$EZ$281)/1000*Обложка!$N$17)</f>
        <v>0</v>
      </c>
      <c r="AF111" s="212">
        <f>IF($B111="Яйцо (шт)",SUMIF(Меню!$J$8:$EZ$8,$B111,Меню!$J$286:$EZ$286)*Обложка!$N$18/60,SUMIF(Меню!$J$8:$EZ$8,$B111,Меню!$J$286:$EZ$286)/1000*Обложка!$N$18)</f>
        <v>0</v>
      </c>
      <c r="AG111" s="685">
        <f t="shared" si="14"/>
        <v>0</v>
      </c>
      <c r="AH111" s="212">
        <f>IF($B111="Яйцо (шт)",SUMIF(Меню!$J$8:$EZ$8,$B111,Меню!$J$298:$EZ$298)*Обложка!$P$15/60,SUMIF(Меню!$J$8:$EZ$8,$B111,Меню!$J$298:$EZ$298)/1000*Обложка!$P$15)</f>
        <v>0</v>
      </c>
      <c r="AI111" s="212">
        <f>IF($B111="Яйцо (шт)",SUMIF(Меню!$J$8:$EZ$8,$BB111,Меню!$J$313:$EZ$313)*Обложка!$P$16/60,SUMIF(Меню!$J$8:$EZ$8,$B111,Меню!$J$313:$EZ$313)/1000*Обложка!$P$16)</f>
        <v>0</v>
      </c>
      <c r="AJ111" s="212">
        <f>IF($B111="Яйцо (шт)",SUMIF(Меню!$J$8:$EZ$8,$B111,Меню!$J$326:$EZ$326)*Обложка!$P$17/60,SUMIF(Меню!$J$8:$EZ$8,$B111,Меню!$J$326:$EZ$326)/1000*Обложка!$P$17)</f>
        <v>0</v>
      </c>
      <c r="AK111" s="212">
        <f>IF($B111="Яйцо (шт)",SUMIF(Меню!$J$8:$EZ$8,$B111,Меню!$J$331:$EZ$331)*Обложка!$P$18/60,SUMIF(Меню!$J$8:$EZ$8,$B111,Меню!$J$331:$EZ$331)/1000*Обложка!$P$18)</f>
        <v>0</v>
      </c>
      <c r="AL111" s="699">
        <f t="shared" si="15"/>
        <v>0</v>
      </c>
      <c r="AM111" s="685">
        <f t="shared" si="16"/>
        <v>14.639999999999999</v>
      </c>
    </row>
    <row r="112" spans="1:39" x14ac:dyDescent="0.25">
      <c r="A112" s="249">
        <f t="shared" si="17"/>
        <v>100</v>
      </c>
      <c r="B112" s="248" t="str">
        <f>инфо!D101</f>
        <v>Сайда с/г</v>
      </c>
      <c r="C112" s="694">
        <f>SUMIF(Меню!$J$8:$FD$8,$B112,Меню!$J$333:$FD$333)</f>
        <v>0</v>
      </c>
      <c r="D112" s="212">
        <f>IF($B112="Яйцо (шт)",SUMIF(Меню!$J$8:$FD$8,$B112,Меню!$J$28:$FD$28)*Обложка!$D$15/60,SUMIF(Меню!$J$8:$FD$8,$B112,Меню!$J$28:$FD$28)/1000*Обложка!$D$15)</f>
        <v>0</v>
      </c>
      <c r="E112" s="212">
        <f>IF($B112="Яйцо (шт)",SUMIF(Меню!$J$8:$FD$8,$B112,Меню!$J$43:$FD$43)*Обложка!$D$16/60,SUMIF(Меню!$J$8:$FD$8,$B112,Меню!$J$43:$FD$43)/1000*Обложка!$D$16)</f>
        <v>0</v>
      </c>
      <c r="F112" s="212">
        <f>IF($B112="Яйцо (шт)",SUMIF(Меню!$J$8:$FD$8,$B112,Меню!$J$56:$FD$56)*Обложка!$D$17/60,SUMIF(Меню!$J$8:$FD$8,$B112,Меню!$J$56:$FD$56)/1000*Обложка!$D$17)</f>
        <v>0</v>
      </c>
      <c r="G112" s="212">
        <f>IF($B112="Яйцо (шт)",SUMIF(Меню!$J$8:$FD$8,$B112,Меню!$J$61:$FD$61)*Обложка!$D$18/60,SUMIF(Меню!$J$8:$FD$8,$B112,Меню!$J$61:$FD$61)/1000*Обложка!$D$18)</f>
        <v>0</v>
      </c>
      <c r="H112" s="685">
        <f t="shared" si="9"/>
        <v>0</v>
      </c>
      <c r="I112" s="212">
        <f>IF($B112="Яйцо (шт)",SUMIF(Меню!$J$8:$FD$8,$B112,Меню!$J$73:$FD$73)*Обложка!$F$15/60,SUMIF(Меню!$J$8:$FD$8,$B112,Меню!$J$73:$FD$73)/1000*Обложка!$F$15)</f>
        <v>0</v>
      </c>
      <c r="J112" s="212">
        <f>IF($B112="Яйцо (шт)",SUMIF(Меню!$J$8:$FD$8,$B112,Меню!$J$88:$FD$88)*Обложка!$F$16/60,SUMIF(Меню!$J$8:$FD$8,$B112,Меню!$J$88:$FD$88)/1000*Обложка!$G$16)</f>
        <v>0</v>
      </c>
      <c r="K112" s="212">
        <f>IF($B112="Яйцо (шт)",SUMIF(Меню!$J$8:$FD$8,$B112,Меню!$J$101:$FD$101)*Обложка!$F$17/60,SUMIF(Меню!$J$8:$FD$8,$B112,Меню!$J$101:$FD$101)/1000*Обложка!$F$17)</f>
        <v>0</v>
      </c>
      <c r="L112" s="212">
        <f>IF($B112="Яйцо (шт)",SUMIF(Меню!$J$8:$FD$8,$B112,Меню!$J$106:$FD$106)*Обложка!$F$18/60,SUMIF(Меню!$J$8:$FD$8,$B112,Меню!$J$106:$FD$106)/1000*Обложка!$F$18)</f>
        <v>0</v>
      </c>
      <c r="M112" s="685">
        <f t="shared" si="10"/>
        <v>0</v>
      </c>
      <c r="N112" s="212">
        <f>IF($B112="Яйцо (шт)",SUMIF(Меню!$J$8:$EZ$8,$B112,Меню!$J$118:$EZ$118)*Обложка!$H$15/60,SUMIF(Меню!$J$8:$EZ$8,$B112,Меню!$J$118:$EZ$118)/1000*Обложка!$H$15)</f>
        <v>0</v>
      </c>
      <c r="O112" s="212">
        <f>IF($B112="Яйцо (шт)",SUMIF(Меню!$J$8:$EZ$8,$B112,Меню!$J$133:$EZ$133)*Обложка!$H$16/60,SUMIF(Меню!$J$8:$EZ$8,$B112,Меню!$J$133:$EZ$133)/1000*Обложка!$H$16)</f>
        <v>0</v>
      </c>
      <c r="P112" s="212">
        <f>IF($B112="Яйцо (шт)",SUMIF(Меню!$J$8:$EZ$8,$B112,Меню!$J$146:$EZ$146)*Обложка!$H$17/60,SUMIF(Меню!$J$8:$EZ$8,$B112,Меню!$J$146:$EZ$146)/1000*Обложка!$H$17)</f>
        <v>0</v>
      </c>
      <c r="Q112" s="212">
        <f>IF($B112="Яйцо (шт)",SUMIF(Меню!$J$8:$EZ$8,$B112,Меню!$J$151:$EZ$151)*Обложка!$H$18/60,SUMIF(Меню!$J$8:$EZ$8,$B112,Меню!$J$151:$EZ$151)/1000*Обложка!$H$18)</f>
        <v>0</v>
      </c>
      <c r="R112" s="685">
        <f t="shared" si="11"/>
        <v>0</v>
      </c>
      <c r="S112" s="212">
        <f>IF($B112="Яйцо (шт)",SUMIF(Меню!$J$8:$EZ$8,$B112,Меню!$J$163:$EZ$163)*Обложка!$J$15/60,SUMIF(Меню!$J$8:$EZ$8,$B112,Меню!$J$163:$EZ$163)/1000*Обложка!$J$15)</f>
        <v>0</v>
      </c>
      <c r="T112" s="212">
        <f>IF($B112="Яйцо (шт)",SUMIF(Меню!$J$8:$EZ$8,$B112,Меню!$J$178:$EZ$178)*Обложка!$J$16/60,SUMIF(Меню!$J$8:$EZ$8,$B112,Меню!$J$178:$EZ$178)/1000*Обложка!$J$16)</f>
        <v>0</v>
      </c>
      <c r="U112" s="212">
        <f>IF($B112="Яйцо (шт)",SUMIF(Меню!$J$8:$EZ$8,$B112,Меню!$J$191:$EZ$191)*Обложка!$J$17/60,SUMIF(Меню!$J$8:$EZ$8,$B112,Меню!$J$191:$EZ$191)/1000*Обложка!$J$17)</f>
        <v>0</v>
      </c>
      <c r="V112" s="212">
        <f>IF($B112="Яйцо (шт)",SUMIF(Меню!$J$8:$EZ$8,$B112,Меню!$J$196:$EZ$196)*Обложка!$J$18/60,SUMIF(Меню!$J$8:$EZ$8,$B112,Меню!$J$196:$EZ$196)/1000*Обложка!$J$18)</f>
        <v>0</v>
      </c>
      <c r="W112" s="685">
        <f t="shared" si="12"/>
        <v>0</v>
      </c>
      <c r="X112" s="212">
        <f>IF($B112="Яйцо (шт)",SUMIF(Меню!$J$8:$EZ$8,$B112,Меню!$J$208:$EZ$208)*Обложка!$L$15/60,SUMIF(Меню!$J$8:$EZ$8,$B112,Меню!$J$208:$EZ$208)/1000*Обложка!$L$15)</f>
        <v>0</v>
      </c>
      <c r="Y112" s="212">
        <f>IF($B112="Яйцо (шт)",SUMIF(Меню!$J$8:$EZ$8,$B112,Меню!$J$223:$EZ$223)*Обложка!$L$16/60,SUMIF(Меню!$J$8:$EZ$8,$B112,Меню!$J$223:$EZ$223)/1000*Обложка!$J$16)</f>
        <v>0</v>
      </c>
      <c r="Z112" s="212">
        <f>IF($B112="Яйцо (шт)",SUMIF(Меню!$J$8:$EZ$8,$B112,Меню!$J$236:$EZ$236)*Обложка!$L$17/60,SUMIF(Меню!$J$8:$EZ$8,$B112,Меню!$J$236:$EZ$236)/1000*Обложка!$L$17)</f>
        <v>0</v>
      </c>
      <c r="AA112" s="212">
        <f>IF($B112="Яйцо (шт)",SUMIF(Меню!$J$8:$EZ$8,$B112,Меню!$J$241:$EZ$241)*Обложка!$L$18/60,SUMIF(Меню!$J$8:$EZ$8,$B112,Меню!$J$241:$EZ$241)/1000*Обложка!$L$18)</f>
        <v>0</v>
      </c>
      <c r="AB112" s="685">
        <f t="shared" si="13"/>
        <v>0</v>
      </c>
      <c r="AC112" s="212">
        <f>IF($B112="Яйцо (шт)",SUMIF(Меню!$J$8:$EZ$8,$B112,Меню!$J$253:$EZ$253)*Обложка!$N$15/60,SUMIF(Меню!$J$8:$EZ$8,$B112,Меню!$J$253:$EZ$253)/1000*Обложка!$N$15)</f>
        <v>0</v>
      </c>
      <c r="AD112" s="212">
        <f>IF($B112="Яйцо (шт)",SUMIF(Меню!$J$8:$EZ$8,$B112,Меню!$J$268:$EZ$268)*Обложка!$N$16/60,SUMIF(Меню!$J$8:$EZ$8,$B112,Меню!$J$268:$EZ$268)/1000*Обложка!$N$16)</f>
        <v>0</v>
      </c>
      <c r="AE112" s="212">
        <f>IF($B112="Яйцо (шт)",SUMIF(Меню!$J$8:$EZ$8,$B112,Меню!$J$281:$EZ$281)*Обложка!$N$17/60,SUMIF(Меню!$J$8:$EZ$8,$B112,Меню!$J$281:$EZ$281)/1000*Обложка!$N$17)</f>
        <v>0</v>
      </c>
      <c r="AF112" s="212">
        <f>IF($B112="Яйцо (шт)",SUMIF(Меню!$J$8:$EZ$8,$B112,Меню!$J$286:$EZ$286)*Обложка!$N$18/60,SUMIF(Меню!$J$8:$EZ$8,$B112,Меню!$J$286:$EZ$286)/1000*Обложка!$N$18)</f>
        <v>0</v>
      </c>
      <c r="AG112" s="685">
        <f t="shared" si="14"/>
        <v>0</v>
      </c>
      <c r="AH112" s="212">
        <f>IF($B112="Яйцо (шт)",SUMIF(Меню!$J$8:$EZ$8,$B112,Меню!$J$298:$EZ$298)*Обложка!$P$15/60,SUMIF(Меню!$J$8:$EZ$8,$B112,Меню!$J$298:$EZ$298)/1000*Обложка!$P$15)</f>
        <v>0</v>
      </c>
      <c r="AI112" s="212">
        <f>IF($B112="Яйцо (шт)",SUMIF(Меню!$J$8:$EZ$8,$BB112,Меню!$J$313:$EZ$313)*Обложка!$P$16/60,SUMIF(Меню!$J$8:$EZ$8,$B112,Меню!$J$313:$EZ$313)/1000*Обложка!$P$16)</f>
        <v>0</v>
      </c>
      <c r="AJ112" s="212">
        <f>IF($B112="Яйцо (шт)",SUMIF(Меню!$J$8:$EZ$8,$B112,Меню!$J$326:$EZ$326)*Обложка!$P$17/60,SUMIF(Меню!$J$8:$EZ$8,$B112,Меню!$J$326:$EZ$326)/1000*Обложка!$P$17)</f>
        <v>0</v>
      </c>
      <c r="AK112" s="212">
        <f>IF($B112="Яйцо (шт)",SUMIF(Меню!$J$8:$EZ$8,$B112,Меню!$J$331:$EZ$331)*Обложка!$P$18/60,SUMIF(Меню!$J$8:$EZ$8,$B112,Меню!$J$331:$EZ$331)/1000*Обложка!$P$18)</f>
        <v>0</v>
      </c>
      <c r="AL112" s="699">
        <f t="shared" si="15"/>
        <v>0</v>
      </c>
      <c r="AM112" s="685">
        <f t="shared" si="16"/>
        <v>0</v>
      </c>
    </row>
    <row r="113" spans="1:39" x14ac:dyDescent="0.25">
      <c r="A113" s="249">
        <f t="shared" si="17"/>
        <v>101</v>
      </c>
      <c r="B113" s="248" t="str">
        <f>инфо!D102</f>
        <v>Сом б/г</v>
      </c>
      <c r="C113" s="694">
        <f>SUMIF(Меню!$J$8:$FD$8,$B113,Меню!$J$333:$FD$333)</f>
        <v>0</v>
      </c>
      <c r="D113" s="212">
        <f>IF($B113="Яйцо (шт)",SUMIF(Меню!$J$8:$FD$8,$B113,Меню!$J$28:$FD$28)*Обложка!$D$15/60,SUMIF(Меню!$J$8:$FD$8,$B113,Меню!$J$28:$FD$28)/1000*Обложка!$D$15)</f>
        <v>0</v>
      </c>
      <c r="E113" s="212">
        <f>IF($B113="Яйцо (шт)",SUMIF(Меню!$J$8:$FD$8,$B113,Меню!$J$43:$FD$43)*Обложка!$D$16/60,SUMIF(Меню!$J$8:$FD$8,$B113,Меню!$J$43:$FD$43)/1000*Обложка!$D$16)</f>
        <v>0</v>
      </c>
      <c r="F113" s="212">
        <f>IF($B113="Яйцо (шт)",SUMIF(Меню!$J$8:$FD$8,$B113,Меню!$J$56:$FD$56)*Обложка!$D$17/60,SUMIF(Меню!$J$8:$FD$8,$B113,Меню!$J$56:$FD$56)/1000*Обложка!$D$17)</f>
        <v>0</v>
      </c>
      <c r="G113" s="212">
        <f>IF($B113="Яйцо (шт)",SUMIF(Меню!$J$8:$FD$8,$B113,Меню!$J$61:$FD$61)*Обложка!$D$18/60,SUMIF(Меню!$J$8:$FD$8,$B113,Меню!$J$61:$FD$61)/1000*Обложка!$D$18)</f>
        <v>0</v>
      </c>
      <c r="H113" s="685">
        <f t="shared" si="9"/>
        <v>0</v>
      </c>
      <c r="I113" s="212">
        <f>IF($B113="Яйцо (шт)",SUMIF(Меню!$J$8:$FD$8,$B113,Меню!$J$73:$FD$73)*Обложка!$F$15/60,SUMIF(Меню!$J$8:$FD$8,$B113,Меню!$J$73:$FD$73)/1000*Обложка!$F$15)</f>
        <v>0</v>
      </c>
      <c r="J113" s="212">
        <f>IF($B113="Яйцо (шт)",SUMIF(Меню!$J$8:$FD$8,$B113,Меню!$J$88:$FD$88)*Обложка!$F$16/60,SUMIF(Меню!$J$8:$FD$8,$B113,Меню!$J$88:$FD$88)/1000*Обложка!$G$16)</f>
        <v>0</v>
      </c>
      <c r="K113" s="212">
        <f>IF($B113="Яйцо (шт)",SUMIF(Меню!$J$8:$FD$8,$B113,Меню!$J$101:$FD$101)*Обложка!$F$17/60,SUMIF(Меню!$J$8:$FD$8,$B113,Меню!$J$101:$FD$101)/1000*Обложка!$F$17)</f>
        <v>0</v>
      </c>
      <c r="L113" s="212">
        <f>IF($B113="Яйцо (шт)",SUMIF(Меню!$J$8:$FD$8,$B113,Меню!$J$106:$FD$106)*Обложка!$F$18/60,SUMIF(Меню!$J$8:$FD$8,$B113,Меню!$J$106:$FD$106)/1000*Обложка!$F$18)</f>
        <v>0</v>
      </c>
      <c r="M113" s="685">
        <f t="shared" si="10"/>
        <v>0</v>
      </c>
      <c r="N113" s="212">
        <f>IF($B113="Яйцо (шт)",SUMIF(Меню!$J$8:$EZ$8,$B113,Меню!$J$118:$EZ$118)*Обложка!$H$15/60,SUMIF(Меню!$J$8:$EZ$8,$B113,Меню!$J$118:$EZ$118)/1000*Обложка!$H$15)</f>
        <v>0</v>
      </c>
      <c r="O113" s="212">
        <f>IF($B113="Яйцо (шт)",SUMIF(Меню!$J$8:$EZ$8,$B113,Меню!$J$133:$EZ$133)*Обложка!$H$16/60,SUMIF(Меню!$J$8:$EZ$8,$B113,Меню!$J$133:$EZ$133)/1000*Обложка!$H$16)</f>
        <v>0</v>
      </c>
      <c r="P113" s="212">
        <f>IF($B113="Яйцо (шт)",SUMIF(Меню!$J$8:$EZ$8,$B113,Меню!$J$146:$EZ$146)*Обложка!$H$17/60,SUMIF(Меню!$J$8:$EZ$8,$B113,Меню!$J$146:$EZ$146)/1000*Обложка!$H$17)</f>
        <v>0</v>
      </c>
      <c r="Q113" s="212">
        <f>IF($B113="Яйцо (шт)",SUMIF(Меню!$J$8:$EZ$8,$B113,Меню!$J$151:$EZ$151)*Обложка!$H$18/60,SUMIF(Меню!$J$8:$EZ$8,$B113,Меню!$J$151:$EZ$151)/1000*Обложка!$H$18)</f>
        <v>0</v>
      </c>
      <c r="R113" s="685">
        <f t="shared" si="11"/>
        <v>0</v>
      </c>
      <c r="S113" s="212">
        <f>IF($B113="Яйцо (шт)",SUMIF(Меню!$J$8:$EZ$8,$B113,Меню!$J$163:$EZ$163)*Обложка!$J$15/60,SUMIF(Меню!$J$8:$EZ$8,$B113,Меню!$J$163:$EZ$163)/1000*Обложка!$J$15)</f>
        <v>0</v>
      </c>
      <c r="T113" s="212">
        <f>IF($B113="Яйцо (шт)",SUMIF(Меню!$J$8:$EZ$8,$B113,Меню!$J$178:$EZ$178)*Обложка!$J$16/60,SUMIF(Меню!$J$8:$EZ$8,$B113,Меню!$J$178:$EZ$178)/1000*Обложка!$J$16)</f>
        <v>0</v>
      </c>
      <c r="U113" s="212">
        <f>IF($B113="Яйцо (шт)",SUMIF(Меню!$J$8:$EZ$8,$B113,Меню!$J$191:$EZ$191)*Обложка!$J$17/60,SUMIF(Меню!$J$8:$EZ$8,$B113,Меню!$J$191:$EZ$191)/1000*Обложка!$J$17)</f>
        <v>0</v>
      </c>
      <c r="V113" s="212">
        <f>IF($B113="Яйцо (шт)",SUMIF(Меню!$J$8:$EZ$8,$B113,Меню!$J$196:$EZ$196)*Обложка!$J$18/60,SUMIF(Меню!$J$8:$EZ$8,$B113,Меню!$J$196:$EZ$196)/1000*Обложка!$J$18)</f>
        <v>0</v>
      </c>
      <c r="W113" s="685">
        <f t="shared" si="12"/>
        <v>0</v>
      </c>
      <c r="X113" s="212">
        <f>IF($B113="Яйцо (шт)",SUMIF(Меню!$J$8:$EZ$8,$B113,Меню!$J$208:$EZ$208)*Обложка!$L$15/60,SUMIF(Меню!$J$8:$EZ$8,$B113,Меню!$J$208:$EZ$208)/1000*Обложка!$L$15)</f>
        <v>0</v>
      </c>
      <c r="Y113" s="212">
        <f>IF($B113="Яйцо (шт)",SUMIF(Меню!$J$8:$EZ$8,$B113,Меню!$J$223:$EZ$223)*Обложка!$L$16/60,SUMIF(Меню!$J$8:$EZ$8,$B113,Меню!$J$223:$EZ$223)/1000*Обложка!$J$16)</f>
        <v>0</v>
      </c>
      <c r="Z113" s="212">
        <f>IF($B113="Яйцо (шт)",SUMIF(Меню!$J$8:$EZ$8,$B113,Меню!$J$236:$EZ$236)*Обложка!$L$17/60,SUMIF(Меню!$J$8:$EZ$8,$B113,Меню!$J$236:$EZ$236)/1000*Обложка!$L$17)</f>
        <v>0</v>
      </c>
      <c r="AA113" s="212">
        <f>IF($B113="Яйцо (шт)",SUMIF(Меню!$J$8:$EZ$8,$B113,Меню!$J$241:$EZ$241)*Обложка!$L$18/60,SUMIF(Меню!$J$8:$EZ$8,$B113,Меню!$J$241:$EZ$241)/1000*Обложка!$L$18)</f>
        <v>0</v>
      </c>
      <c r="AB113" s="685">
        <f t="shared" si="13"/>
        <v>0</v>
      </c>
      <c r="AC113" s="212">
        <f>IF($B113="Яйцо (шт)",SUMIF(Меню!$J$8:$EZ$8,$B113,Меню!$J$253:$EZ$253)*Обложка!$N$15/60,SUMIF(Меню!$J$8:$EZ$8,$B113,Меню!$J$253:$EZ$253)/1000*Обложка!$N$15)</f>
        <v>0</v>
      </c>
      <c r="AD113" s="212">
        <f>IF($B113="Яйцо (шт)",SUMIF(Меню!$J$8:$EZ$8,$B113,Меню!$J$268:$EZ$268)*Обложка!$N$16/60,SUMIF(Меню!$J$8:$EZ$8,$B113,Меню!$J$268:$EZ$268)/1000*Обложка!$N$16)</f>
        <v>0</v>
      </c>
      <c r="AE113" s="212">
        <f>IF($B113="Яйцо (шт)",SUMIF(Меню!$J$8:$EZ$8,$B113,Меню!$J$281:$EZ$281)*Обложка!$N$17/60,SUMIF(Меню!$J$8:$EZ$8,$B113,Меню!$J$281:$EZ$281)/1000*Обложка!$N$17)</f>
        <v>0</v>
      </c>
      <c r="AF113" s="212">
        <f>IF($B113="Яйцо (шт)",SUMIF(Меню!$J$8:$EZ$8,$B113,Меню!$J$286:$EZ$286)*Обложка!$N$18/60,SUMIF(Меню!$J$8:$EZ$8,$B113,Меню!$J$286:$EZ$286)/1000*Обложка!$N$18)</f>
        <v>0</v>
      </c>
      <c r="AG113" s="685">
        <f t="shared" si="14"/>
        <v>0</v>
      </c>
      <c r="AH113" s="212">
        <f>IF($B113="Яйцо (шт)",SUMIF(Меню!$J$8:$EZ$8,$B113,Меню!$J$298:$EZ$298)*Обложка!$P$15/60,SUMIF(Меню!$J$8:$EZ$8,$B113,Меню!$J$298:$EZ$298)/1000*Обложка!$P$15)</f>
        <v>0</v>
      </c>
      <c r="AI113" s="212">
        <f>IF($B113="Яйцо (шт)",SUMIF(Меню!$J$8:$EZ$8,$BB113,Меню!$J$313:$EZ$313)*Обложка!$P$16/60,SUMIF(Меню!$J$8:$EZ$8,$B113,Меню!$J$313:$EZ$313)/1000*Обложка!$P$16)</f>
        <v>0</v>
      </c>
      <c r="AJ113" s="212">
        <f>IF($B113="Яйцо (шт)",SUMIF(Меню!$J$8:$EZ$8,$B113,Меню!$J$326:$EZ$326)*Обложка!$P$17/60,SUMIF(Меню!$J$8:$EZ$8,$B113,Меню!$J$326:$EZ$326)/1000*Обложка!$P$17)</f>
        <v>0</v>
      </c>
      <c r="AK113" s="212">
        <f>IF($B113="Яйцо (шт)",SUMIF(Меню!$J$8:$EZ$8,$B113,Меню!$J$331:$EZ$331)*Обложка!$P$18/60,SUMIF(Меню!$J$8:$EZ$8,$B113,Меню!$J$331:$EZ$331)/1000*Обложка!$P$18)</f>
        <v>0</v>
      </c>
      <c r="AL113" s="699">
        <f t="shared" si="15"/>
        <v>0</v>
      </c>
      <c r="AM113" s="685">
        <f t="shared" si="16"/>
        <v>0</v>
      </c>
    </row>
    <row r="114" spans="1:39" x14ac:dyDescent="0.25">
      <c r="A114" s="249">
        <f t="shared" si="17"/>
        <v>102</v>
      </c>
      <c r="B114" s="248" t="str">
        <f>инфо!D103</f>
        <v>Сом с/г</v>
      </c>
      <c r="C114" s="694">
        <f>SUMIF(Меню!$J$8:$FD$8,$B114,Меню!$J$333:$FD$333)</f>
        <v>120</v>
      </c>
      <c r="D114" s="212">
        <f>IF($B114="Яйцо (шт)",SUMIF(Меню!$J$8:$FD$8,$B114,Меню!$J$28:$FD$28)*Обложка!$D$15/60,SUMIF(Меню!$J$8:$FD$8,$B114,Меню!$J$28:$FD$28)/1000*Обложка!$D$15)</f>
        <v>0</v>
      </c>
      <c r="E114" s="212">
        <f>IF($B114="Яйцо (шт)",SUMIF(Меню!$J$8:$FD$8,$B114,Меню!$J$43:$FD$43)*Обложка!$D$16/60,SUMIF(Меню!$J$8:$FD$8,$B114,Меню!$J$43:$FD$43)/1000*Обложка!$D$16)</f>
        <v>0</v>
      </c>
      <c r="F114" s="212">
        <f>IF($B114="Яйцо (шт)",SUMIF(Меню!$J$8:$FD$8,$B114,Меню!$J$56:$FD$56)*Обложка!$D$17/60,SUMIF(Меню!$J$8:$FD$8,$B114,Меню!$J$56:$FD$56)/1000*Обложка!$D$17)</f>
        <v>0</v>
      </c>
      <c r="G114" s="212">
        <f>IF($B114="Яйцо (шт)",SUMIF(Меню!$J$8:$FD$8,$B114,Меню!$J$61:$FD$61)*Обложка!$D$18/60,SUMIF(Меню!$J$8:$FD$8,$B114,Меню!$J$61:$FD$61)/1000*Обложка!$D$18)</f>
        <v>0</v>
      </c>
      <c r="H114" s="685">
        <f t="shared" si="9"/>
        <v>0</v>
      </c>
      <c r="I114" s="212">
        <f>IF($B114="Яйцо (шт)",SUMIF(Меню!$J$8:$FD$8,$B114,Меню!$J$73:$FD$73)*Обложка!$F$15/60,SUMIF(Меню!$J$8:$FD$8,$B114,Меню!$J$73:$FD$73)/1000*Обложка!$F$15)</f>
        <v>0</v>
      </c>
      <c r="J114" s="212">
        <f>IF($B114="Яйцо (шт)",SUMIF(Меню!$J$8:$FD$8,$B114,Меню!$J$88:$FD$88)*Обложка!$F$16/60,SUMIF(Меню!$J$8:$FD$8,$B114,Меню!$J$88:$FD$88)/1000*Обложка!$G$16)</f>
        <v>0</v>
      </c>
      <c r="K114" s="212">
        <f>IF($B114="Яйцо (шт)",SUMIF(Меню!$J$8:$FD$8,$B114,Меню!$J$101:$FD$101)*Обложка!$F$17/60,SUMIF(Меню!$J$8:$FD$8,$B114,Меню!$J$101:$FD$101)/1000*Обложка!$F$17)</f>
        <v>15.6</v>
      </c>
      <c r="L114" s="212">
        <f>IF($B114="Яйцо (шт)",SUMIF(Меню!$J$8:$FD$8,$B114,Меню!$J$106:$FD$106)*Обложка!$F$18/60,SUMIF(Меню!$J$8:$FD$8,$B114,Меню!$J$106:$FD$106)/1000*Обложка!$F$18)</f>
        <v>0</v>
      </c>
      <c r="M114" s="685">
        <f t="shared" si="10"/>
        <v>15.6</v>
      </c>
      <c r="N114" s="212">
        <f>IF($B114="Яйцо (шт)",SUMIF(Меню!$J$8:$EZ$8,$B114,Меню!$J$118:$EZ$118)*Обложка!$H$15/60,SUMIF(Меню!$J$8:$EZ$8,$B114,Меню!$J$118:$EZ$118)/1000*Обложка!$H$15)</f>
        <v>0</v>
      </c>
      <c r="O114" s="212">
        <f>IF($B114="Яйцо (шт)",SUMIF(Меню!$J$8:$EZ$8,$B114,Меню!$J$133:$EZ$133)*Обложка!$H$16/60,SUMIF(Меню!$J$8:$EZ$8,$B114,Меню!$J$133:$EZ$133)/1000*Обложка!$H$16)</f>
        <v>0</v>
      </c>
      <c r="P114" s="212">
        <f>IF($B114="Яйцо (шт)",SUMIF(Меню!$J$8:$EZ$8,$B114,Меню!$J$146:$EZ$146)*Обложка!$H$17/60,SUMIF(Меню!$J$8:$EZ$8,$B114,Меню!$J$146:$EZ$146)/1000*Обложка!$H$17)</f>
        <v>0</v>
      </c>
      <c r="Q114" s="212">
        <f>IF($B114="Яйцо (шт)",SUMIF(Меню!$J$8:$EZ$8,$B114,Меню!$J$151:$EZ$151)*Обложка!$H$18/60,SUMIF(Меню!$J$8:$EZ$8,$B114,Меню!$J$151:$EZ$151)/1000*Обложка!$H$18)</f>
        <v>0</v>
      </c>
      <c r="R114" s="685">
        <f t="shared" si="11"/>
        <v>0</v>
      </c>
      <c r="S114" s="212">
        <f>IF($B114="Яйцо (шт)",SUMIF(Меню!$J$8:$EZ$8,$B114,Меню!$J$163:$EZ$163)*Обложка!$J$15/60,SUMIF(Меню!$J$8:$EZ$8,$B114,Меню!$J$163:$EZ$163)/1000*Обложка!$J$15)</f>
        <v>0</v>
      </c>
      <c r="T114" s="212">
        <f>IF($B114="Яйцо (шт)",SUMIF(Меню!$J$8:$EZ$8,$B114,Меню!$J$178:$EZ$178)*Обложка!$J$16/60,SUMIF(Меню!$J$8:$EZ$8,$B114,Меню!$J$178:$EZ$178)/1000*Обложка!$J$16)</f>
        <v>0</v>
      </c>
      <c r="U114" s="212">
        <f>IF($B114="Яйцо (шт)",SUMIF(Меню!$J$8:$EZ$8,$B114,Меню!$J$191:$EZ$191)*Обложка!$J$17/60,SUMIF(Меню!$J$8:$EZ$8,$B114,Меню!$J$191:$EZ$191)/1000*Обложка!$J$17)</f>
        <v>0</v>
      </c>
      <c r="V114" s="212">
        <f>IF($B114="Яйцо (шт)",SUMIF(Меню!$J$8:$EZ$8,$B114,Меню!$J$196:$EZ$196)*Обложка!$J$18/60,SUMIF(Меню!$J$8:$EZ$8,$B114,Меню!$J$196:$EZ$196)/1000*Обложка!$J$18)</f>
        <v>0</v>
      </c>
      <c r="W114" s="685">
        <f t="shared" si="12"/>
        <v>0</v>
      </c>
      <c r="X114" s="212">
        <f>IF($B114="Яйцо (шт)",SUMIF(Меню!$J$8:$EZ$8,$B114,Меню!$J$208:$EZ$208)*Обложка!$L$15/60,SUMIF(Меню!$J$8:$EZ$8,$B114,Меню!$J$208:$EZ$208)/1000*Обложка!$L$15)</f>
        <v>0</v>
      </c>
      <c r="Y114" s="212">
        <f>IF($B114="Яйцо (шт)",SUMIF(Меню!$J$8:$EZ$8,$B114,Меню!$J$223:$EZ$223)*Обложка!$L$16/60,SUMIF(Меню!$J$8:$EZ$8,$B114,Меню!$J$223:$EZ$223)/1000*Обложка!$J$16)</f>
        <v>0</v>
      </c>
      <c r="Z114" s="212">
        <f>IF($B114="Яйцо (шт)",SUMIF(Меню!$J$8:$EZ$8,$B114,Меню!$J$236:$EZ$236)*Обложка!$L$17/60,SUMIF(Меню!$J$8:$EZ$8,$B114,Меню!$J$236:$EZ$236)/1000*Обложка!$L$17)</f>
        <v>0</v>
      </c>
      <c r="AA114" s="212">
        <f>IF($B114="Яйцо (шт)",SUMIF(Меню!$J$8:$EZ$8,$B114,Меню!$J$241:$EZ$241)*Обложка!$L$18/60,SUMIF(Меню!$J$8:$EZ$8,$B114,Меню!$J$241:$EZ$241)/1000*Обложка!$L$18)</f>
        <v>0</v>
      </c>
      <c r="AB114" s="685">
        <f t="shared" si="13"/>
        <v>0</v>
      </c>
      <c r="AC114" s="212">
        <f>IF($B114="Яйцо (шт)",SUMIF(Меню!$J$8:$EZ$8,$B114,Меню!$J$253:$EZ$253)*Обложка!$N$15/60,SUMIF(Меню!$J$8:$EZ$8,$B114,Меню!$J$253:$EZ$253)/1000*Обложка!$N$15)</f>
        <v>0</v>
      </c>
      <c r="AD114" s="212">
        <f>IF($B114="Яйцо (шт)",SUMIF(Меню!$J$8:$EZ$8,$B114,Меню!$J$268:$EZ$268)*Обложка!$N$16/60,SUMIF(Меню!$J$8:$EZ$8,$B114,Меню!$J$268:$EZ$268)/1000*Обложка!$N$16)</f>
        <v>0</v>
      </c>
      <c r="AE114" s="212">
        <f>IF($B114="Яйцо (шт)",SUMIF(Меню!$J$8:$EZ$8,$B114,Меню!$J$281:$EZ$281)*Обложка!$N$17/60,SUMIF(Меню!$J$8:$EZ$8,$B114,Меню!$J$281:$EZ$281)/1000*Обложка!$N$17)</f>
        <v>0</v>
      </c>
      <c r="AF114" s="212">
        <f>IF($B114="Яйцо (шт)",SUMIF(Меню!$J$8:$EZ$8,$B114,Меню!$J$286:$EZ$286)*Обложка!$N$18/60,SUMIF(Меню!$J$8:$EZ$8,$B114,Меню!$J$286:$EZ$286)/1000*Обложка!$N$18)</f>
        <v>0</v>
      </c>
      <c r="AG114" s="685">
        <f t="shared" si="14"/>
        <v>0</v>
      </c>
      <c r="AH114" s="212">
        <f>IF($B114="Яйцо (шт)",SUMIF(Меню!$J$8:$EZ$8,$B114,Меню!$J$298:$EZ$298)*Обложка!$P$15/60,SUMIF(Меню!$J$8:$EZ$8,$B114,Меню!$J$298:$EZ$298)/1000*Обложка!$P$15)</f>
        <v>0</v>
      </c>
      <c r="AI114" s="212">
        <f>IF($B114="Яйцо (шт)",SUMIF(Меню!$J$8:$EZ$8,$BB114,Меню!$J$313:$EZ$313)*Обложка!$P$16/60,SUMIF(Меню!$J$8:$EZ$8,$B114,Меню!$J$313:$EZ$313)/1000*Обложка!$P$16)</f>
        <v>0</v>
      </c>
      <c r="AJ114" s="212">
        <f>IF($B114="Яйцо (шт)",SUMIF(Меню!$J$8:$EZ$8,$B114,Меню!$J$326:$EZ$326)*Обложка!$P$17/60,SUMIF(Меню!$J$8:$EZ$8,$B114,Меню!$J$326:$EZ$326)/1000*Обложка!$P$17)</f>
        <v>0</v>
      </c>
      <c r="AK114" s="212">
        <f>IF($B114="Яйцо (шт)",SUMIF(Меню!$J$8:$EZ$8,$B114,Меню!$J$331:$EZ$331)*Обложка!$P$18/60,SUMIF(Меню!$J$8:$EZ$8,$B114,Меню!$J$331:$EZ$331)/1000*Обложка!$P$18)</f>
        <v>0</v>
      </c>
      <c r="AL114" s="699">
        <f t="shared" si="15"/>
        <v>0</v>
      </c>
      <c r="AM114" s="685">
        <f t="shared" si="16"/>
        <v>15.6</v>
      </c>
    </row>
    <row r="115" spans="1:39" x14ac:dyDescent="0.25">
      <c r="A115" s="249">
        <f t="shared" si="17"/>
        <v>103</v>
      </c>
      <c r="B115" s="248" t="str">
        <f>инфо!D104</f>
        <v>Судак б/г</v>
      </c>
      <c r="C115" s="694">
        <f>SUMIF(Меню!$J$8:$FD$8,$B115,Меню!$J$333:$FD$333)</f>
        <v>0</v>
      </c>
      <c r="D115" s="212">
        <f>IF($B115="Яйцо (шт)",SUMIF(Меню!$J$8:$FD$8,$B115,Меню!$J$28:$FD$28)*Обложка!$D$15/60,SUMIF(Меню!$J$8:$FD$8,$B115,Меню!$J$28:$FD$28)/1000*Обложка!$D$15)</f>
        <v>0</v>
      </c>
      <c r="E115" s="212">
        <f>IF($B115="Яйцо (шт)",SUMIF(Меню!$J$8:$FD$8,$B115,Меню!$J$43:$FD$43)*Обложка!$D$16/60,SUMIF(Меню!$J$8:$FD$8,$B115,Меню!$J$43:$FD$43)/1000*Обложка!$D$16)</f>
        <v>0</v>
      </c>
      <c r="F115" s="212">
        <f>IF($B115="Яйцо (шт)",SUMIF(Меню!$J$8:$FD$8,$B115,Меню!$J$56:$FD$56)*Обложка!$D$17/60,SUMIF(Меню!$J$8:$FD$8,$B115,Меню!$J$56:$FD$56)/1000*Обложка!$D$17)</f>
        <v>0</v>
      </c>
      <c r="G115" s="212">
        <f>IF($B115="Яйцо (шт)",SUMIF(Меню!$J$8:$FD$8,$B115,Меню!$J$61:$FD$61)*Обложка!$D$18/60,SUMIF(Меню!$J$8:$FD$8,$B115,Меню!$J$61:$FD$61)/1000*Обложка!$D$18)</f>
        <v>0</v>
      </c>
      <c r="H115" s="685">
        <f t="shared" si="9"/>
        <v>0</v>
      </c>
      <c r="I115" s="212">
        <f>IF($B115="Яйцо (шт)",SUMIF(Меню!$J$8:$FD$8,$B115,Меню!$J$73:$FD$73)*Обложка!$F$15/60,SUMIF(Меню!$J$8:$FD$8,$B115,Меню!$J$73:$FD$73)/1000*Обложка!$F$15)</f>
        <v>0</v>
      </c>
      <c r="J115" s="212">
        <f>IF($B115="Яйцо (шт)",SUMIF(Меню!$J$8:$FD$8,$B115,Меню!$J$88:$FD$88)*Обложка!$F$16/60,SUMIF(Меню!$J$8:$FD$8,$B115,Меню!$J$88:$FD$88)/1000*Обложка!$G$16)</f>
        <v>0</v>
      </c>
      <c r="K115" s="212">
        <f>IF($B115="Яйцо (шт)",SUMIF(Меню!$J$8:$FD$8,$B115,Меню!$J$101:$FD$101)*Обложка!$F$17/60,SUMIF(Меню!$J$8:$FD$8,$B115,Меню!$J$101:$FD$101)/1000*Обложка!$F$17)</f>
        <v>0</v>
      </c>
      <c r="L115" s="212">
        <f>IF($B115="Яйцо (шт)",SUMIF(Меню!$J$8:$FD$8,$B115,Меню!$J$106:$FD$106)*Обложка!$F$18/60,SUMIF(Меню!$J$8:$FD$8,$B115,Меню!$J$106:$FD$106)/1000*Обложка!$F$18)</f>
        <v>0</v>
      </c>
      <c r="M115" s="685">
        <f t="shared" si="10"/>
        <v>0</v>
      </c>
      <c r="N115" s="212">
        <f>IF($B115="Яйцо (шт)",SUMIF(Меню!$J$8:$EZ$8,$B115,Меню!$J$118:$EZ$118)*Обложка!$H$15/60,SUMIF(Меню!$J$8:$EZ$8,$B115,Меню!$J$118:$EZ$118)/1000*Обложка!$H$15)</f>
        <v>0</v>
      </c>
      <c r="O115" s="212">
        <f>IF($B115="Яйцо (шт)",SUMIF(Меню!$J$8:$EZ$8,$B115,Меню!$J$133:$EZ$133)*Обложка!$H$16/60,SUMIF(Меню!$J$8:$EZ$8,$B115,Меню!$J$133:$EZ$133)/1000*Обложка!$H$16)</f>
        <v>0</v>
      </c>
      <c r="P115" s="212">
        <f>IF($B115="Яйцо (шт)",SUMIF(Меню!$J$8:$EZ$8,$B115,Меню!$J$146:$EZ$146)*Обложка!$H$17/60,SUMIF(Меню!$J$8:$EZ$8,$B115,Меню!$J$146:$EZ$146)/1000*Обложка!$H$17)</f>
        <v>0</v>
      </c>
      <c r="Q115" s="212">
        <f>IF($B115="Яйцо (шт)",SUMIF(Меню!$J$8:$EZ$8,$B115,Меню!$J$151:$EZ$151)*Обложка!$H$18/60,SUMIF(Меню!$J$8:$EZ$8,$B115,Меню!$J$151:$EZ$151)/1000*Обложка!$H$18)</f>
        <v>0</v>
      </c>
      <c r="R115" s="685">
        <f t="shared" si="11"/>
        <v>0</v>
      </c>
      <c r="S115" s="212">
        <f>IF($B115="Яйцо (шт)",SUMIF(Меню!$J$8:$EZ$8,$B115,Меню!$J$163:$EZ$163)*Обложка!$J$15/60,SUMIF(Меню!$J$8:$EZ$8,$B115,Меню!$J$163:$EZ$163)/1000*Обложка!$J$15)</f>
        <v>0</v>
      </c>
      <c r="T115" s="212">
        <f>IF($B115="Яйцо (шт)",SUMIF(Меню!$J$8:$EZ$8,$B115,Меню!$J$178:$EZ$178)*Обложка!$J$16/60,SUMIF(Меню!$J$8:$EZ$8,$B115,Меню!$J$178:$EZ$178)/1000*Обложка!$J$16)</f>
        <v>0</v>
      </c>
      <c r="U115" s="212">
        <f>IF($B115="Яйцо (шт)",SUMIF(Меню!$J$8:$EZ$8,$B115,Меню!$J$191:$EZ$191)*Обложка!$J$17/60,SUMIF(Меню!$J$8:$EZ$8,$B115,Меню!$J$191:$EZ$191)/1000*Обложка!$J$17)</f>
        <v>0</v>
      </c>
      <c r="V115" s="212">
        <f>IF($B115="Яйцо (шт)",SUMIF(Меню!$J$8:$EZ$8,$B115,Меню!$J$196:$EZ$196)*Обложка!$J$18/60,SUMIF(Меню!$J$8:$EZ$8,$B115,Меню!$J$196:$EZ$196)/1000*Обложка!$J$18)</f>
        <v>0</v>
      </c>
      <c r="W115" s="685">
        <f t="shared" si="12"/>
        <v>0</v>
      </c>
      <c r="X115" s="212">
        <f>IF($B115="Яйцо (шт)",SUMIF(Меню!$J$8:$EZ$8,$B115,Меню!$J$208:$EZ$208)*Обложка!$L$15/60,SUMIF(Меню!$J$8:$EZ$8,$B115,Меню!$J$208:$EZ$208)/1000*Обложка!$L$15)</f>
        <v>0</v>
      </c>
      <c r="Y115" s="212">
        <f>IF($B115="Яйцо (шт)",SUMIF(Меню!$J$8:$EZ$8,$B115,Меню!$J$223:$EZ$223)*Обложка!$L$16/60,SUMIF(Меню!$J$8:$EZ$8,$B115,Меню!$J$223:$EZ$223)/1000*Обложка!$J$16)</f>
        <v>0</v>
      </c>
      <c r="Z115" s="212">
        <f>IF($B115="Яйцо (шт)",SUMIF(Меню!$J$8:$EZ$8,$B115,Меню!$J$236:$EZ$236)*Обложка!$L$17/60,SUMIF(Меню!$J$8:$EZ$8,$B115,Меню!$J$236:$EZ$236)/1000*Обложка!$L$17)</f>
        <v>0</v>
      </c>
      <c r="AA115" s="212">
        <f>IF($B115="Яйцо (шт)",SUMIF(Меню!$J$8:$EZ$8,$B115,Меню!$J$241:$EZ$241)*Обложка!$L$18/60,SUMIF(Меню!$J$8:$EZ$8,$B115,Меню!$J$241:$EZ$241)/1000*Обложка!$L$18)</f>
        <v>0</v>
      </c>
      <c r="AB115" s="685">
        <f t="shared" si="13"/>
        <v>0</v>
      </c>
      <c r="AC115" s="212">
        <f>IF($B115="Яйцо (шт)",SUMIF(Меню!$J$8:$EZ$8,$B115,Меню!$J$253:$EZ$253)*Обложка!$N$15/60,SUMIF(Меню!$J$8:$EZ$8,$B115,Меню!$J$253:$EZ$253)/1000*Обложка!$N$15)</f>
        <v>0</v>
      </c>
      <c r="AD115" s="212">
        <f>IF($B115="Яйцо (шт)",SUMIF(Меню!$J$8:$EZ$8,$B115,Меню!$J$268:$EZ$268)*Обложка!$N$16/60,SUMIF(Меню!$J$8:$EZ$8,$B115,Меню!$J$268:$EZ$268)/1000*Обложка!$N$16)</f>
        <v>0</v>
      </c>
      <c r="AE115" s="212">
        <f>IF($B115="Яйцо (шт)",SUMIF(Меню!$J$8:$EZ$8,$B115,Меню!$J$281:$EZ$281)*Обложка!$N$17/60,SUMIF(Меню!$J$8:$EZ$8,$B115,Меню!$J$281:$EZ$281)/1000*Обложка!$N$17)</f>
        <v>0</v>
      </c>
      <c r="AF115" s="212">
        <f>IF($B115="Яйцо (шт)",SUMIF(Меню!$J$8:$EZ$8,$B115,Меню!$J$286:$EZ$286)*Обложка!$N$18/60,SUMIF(Меню!$J$8:$EZ$8,$B115,Меню!$J$286:$EZ$286)/1000*Обложка!$N$18)</f>
        <v>0</v>
      </c>
      <c r="AG115" s="685">
        <f t="shared" si="14"/>
        <v>0</v>
      </c>
      <c r="AH115" s="212">
        <f>IF($B115="Яйцо (шт)",SUMIF(Меню!$J$8:$EZ$8,$B115,Меню!$J$298:$EZ$298)*Обложка!$P$15/60,SUMIF(Меню!$J$8:$EZ$8,$B115,Меню!$J$298:$EZ$298)/1000*Обложка!$P$15)</f>
        <v>0</v>
      </c>
      <c r="AI115" s="212">
        <f>IF($B115="Яйцо (шт)",SUMIF(Меню!$J$8:$EZ$8,$BB115,Меню!$J$313:$EZ$313)*Обложка!$P$16/60,SUMIF(Меню!$J$8:$EZ$8,$B115,Меню!$J$313:$EZ$313)/1000*Обложка!$P$16)</f>
        <v>0</v>
      </c>
      <c r="AJ115" s="212">
        <f>IF($B115="Яйцо (шт)",SUMIF(Меню!$J$8:$EZ$8,$B115,Меню!$J$326:$EZ$326)*Обложка!$P$17/60,SUMIF(Меню!$J$8:$EZ$8,$B115,Меню!$J$326:$EZ$326)/1000*Обложка!$P$17)</f>
        <v>0</v>
      </c>
      <c r="AK115" s="212">
        <f>IF($B115="Яйцо (шт)",SUMIF(Меню!$J$8:$EZ$8,$B115,Меню!$J$331:$EZ$331)*Обложка!$P$18/60,SUMIF(Меню!$J$8:$EZ$8,$B115,Меню!$J$331:$EZ$331)/1000*Обложка!$P$18)</f>
        <v>0</v>
      </c>
      <c r="AL115" s="699">
        <f t="shared" si="15"/>
        <v>0</v>
      </c>
      <c r="AM115" s="685">
        <f t="shared" si="16"/>
        <v>0</v>
      </c>
    </row>
    <row r="116" spans="1:39" x14ac:dyDescent="0.25">
      <c r="A116" s="249">
        <f t="shared" si="17"/>
        <v>104</v>
      </c>
      <c r="B116" s="248" t="str">
        <f>инфо!D105</f>
        <v>Судак с/г</v>
      </c>
      <c r="C116" s="694">
        <f>SUMIF(Меню!$J$8:$FD$8,$B116,Меню!$J$333:$FD$333)</f>
        <v>0</v>
      </c>
      <c r="D116" s="212">
        <f>IF($B116="Яйцо (шт)",SUMIF(Меню!$J$8:$FD$8,$B116,Меню!$J$28:$FD$28)*Обложка!$D$15/60,SUMIF(Меню!$J$8:$FD$8,$B116,Меню!$J$28:$FD$28)/1000*Обложка!$D$15)</f>
        <v>0</v>
      </c>
      <c r="E116" s="212">
        <f>IF($B116="Яйцо (шт)",SUMIF(Меню!$J$8:$FD$8,$B116,Меню!$J$43:$FD$43)*Обложка!$D$16/60,SUMIF(Меню!$J$8:$FD$8,$B116,Меню!$J$43:$FD$43)/1000*Обложка!$D$16)</f>
        <v>0</v>
      </c>
      <c r="F116" s="212">
        <f>IF($B116="Яйцо (шт)",SUMIF(Меню!$J$8:$FD$8,$B116,Меню!$J$56:$FD$56)*Обложка!$D$17/60,SUMIF(Меню!$J$8:$FD$8,$B116,Меню!$J$56:$FD$56)/1000*Обложка!$D$17)</f>
        <v>0</v>
      </c>
      <c r="G116" s="212">
        <f>IF($B116="Яйцо (шт)",SUMIF(Меню!$J$8:$FD$8,$B116,Меню!$J$61:$FD$61)*Обложка!$D$18/60,SUMIF(Меню!$J$8:$FD$8,$B116,Меню!$J$61:$FD$61)/1000*Обложка!$D$18)</f>
        <v>0</v>
      </c>
      <c r="H116" s="685">
        <f t="shared" si="9"/>
        <v>0</v>
      </c>
      <c r="I116" s="212">
        <f>IF($B116="Яйцо (шт)",SUMIF(Меню!$J$8:$FD$8,$B116,Меню!$J$73:$FD$73)*Обложка!$F$15/60,SUMIF(Меню!$J$8:$FD$8,$B116,Меню!$J$73:$FD$73)/1000*Обложка!$F$15)</f>
        <v>0</v>
      </c>
      <c r="J116" s="212">
        <f>IF($B116="Яйцо (шт)",SUMIF(Меню!$J$8:$FD$8,$B116,Меню!$J$88:$FD$88)*Обложка!$F$16/60,SUMIF(Меню!$J$8:$FD$8,$B116,Меню!$J$88:$FD$88)/1000*Обложка!$G$16)</f>
        <v>0</v>
      </c>
      <c r="K116" s="212">
        <f>IF($B116="Яйцо (шт)",SUMIF(Меню!$J$8:$FD$8,$B116,Меню!$J$101:$FD$101)*Обложка!$F$17/60,SUMIF(Меню!$J$8:$FD$8,$B116,Меню!$J$101:$FD$101)/1000*Обложка!$F$17)</f>
        <v>0</v>
      </c>
      <c r="L116" s="212">
        <f>IF($B116="Яйцо (шт)",SUMIF(Меню!$J$8:$FD$8,$B116,Меню!$J$106:$FD$106)*Обложка!$F$18/60,SUMIF(Меню!$J$8:$FD$8,$B116,Меню!$J$106:$FD$106)/1000*Обложка!$F$18)</f>
        <v>0</v>
      </c>
      <c r="M116" s="685">
        <f t="shared" si="10"/>
        <v>0</v>
      </c>
      <c r="N116" s="212">
        <f>IF($B116="Яйцо (шт)",SUMIF(Меню!$J$8:$EZ$8,$B116,Меню!$J$118:$EZ$118)*Обложка!$H$15/60,SUMIF(Меню!$J$8:$EZ$8,$B116,Меню!$J$118:$EZ$118)/1000*Обложка!$H$15)</f>
        <v>0</v>
      </c>
      <c r="O116" s="212">
        <f>IF($B116="Яйцо (шт)",SUMIF(Меню!$J$8:$EZ$8,$B116,Меню!$J$133:$EZ$133)*Обложка!$H$16/60,SUMIF(Меню!$J$8:$EZ$8,$B116,Меню!$J$133:$EZ$133)/1000*Обложка!$H$16)</f>
        <v>0</v>
      </c>
      <c r="P116" s="212">
        <f>IF($B116="Яйцо (шт)",SUMIF(Меню!$J$8:$EZ$8,$B116,Меню!$J$146:$EZ$146)*Обложка!$H$17/60,SUMIF(Меню!$J$8:$EZ$8,$B116,Меню!$J$146:$EZ$146)/1000*Обложка!$H$17)</f>
        <v>0</v>
      </c>
      <c r="Q116" s="212">
        <f>IF($B116="Яйцо (шт)",SUMIF(Меню!$J$8:$EZ$8,$B116,Меню!$J$151:$EZ$151)*Обложка!$H$18/60,SUMIF(Меню!$J$8:$EZ$8,$B116,Меню!$J$151:$EZ$151)/1000*Обложка!$H$18)</f>
        <v>0</v>
      </c>
      <c r="R116" s="685">
        <f t="shared" si="11"/>
        <v>0</v>
      </c>
      <c r="S116" s="212">
        <f>IF($B116="Яйцо (шт)",SUMIF(Меню!$J$8:$EZ$8,$B116,Меню!$J$163:$EZ$163)*Обложка!$J$15/60,SUMIF(Меню!$J$8:$EZ$8,$B116,Меню!$J$163:$EZ$163)/1000*Обложка!$J$15)</f>
        <v>0</v>
      </c>
      <c r="T116" s="212">
        <f>IF($B116="Яйцо (шт)",SUMIF(Меню!$J$8:$EZ$8,$B116,Меню!$J$178:$EZ$178)*Обложка!$J$16/60,SUMIF(Меню!$J$8:$EZ$8,$B116,Меню!$J$178:$EZ$178)/1000*Обложка!$J$16)</f>
        <v>0</v>
      </c>
      <c r="U116" s="212">
        <f>IF($B116="Яйцо (шт)",SUMIF(Меню!$J$8:$EZ$8,$B116,Меню!$J$191:$EZ$191)*Обложка!$J$17/60,SUMIF(Меню!$J$8:$EZ$8,$B116,Меню!$J$191:$EZ$191)/1000*Обложка!$J$17)</f>
        <v>0</v>
      </c>
      <c r="V116" s="212">
        <f>IF($B116="Яйцо (шт)",SUMIF(Меню!$J$8:$EZ$8,$B116,Меню!$J$196:$EZ$196)*Обложка!$J$18/60,SUMIF(Меню!$J$8:$EZ$8,$B116,Меню!$J$196:$EZ$196)/1000*Обложка!$J$18)</f>
        <v>0</v>
      </c>
      <c r="W116" s="685">
        <f t="shared" si="12"/>
        <v>0</v>
      </c>
      <c r="X116" s="212">
        <f>IF($B116="Яйцо (шт)",SUMIF(Меню!$J$8:$EZ$8,$B116,Меню!$J$208:$EZ$208)*Обложка!$L$15/60,SUMIF(Меню!$J$8:$EZ$8,$B116,Меню!$J$208:$EZ$208)/1000*Обложка!$L$15)</f>
        <v>0</v>
      </c>
      <c r="Y116" s="212">
        <f>IF($B116="Яйцо (шт)",SUMIF(Меню!$J$8:$EZ$8,$B116,Меню!$J$223:$EZ$223)*Обложка!$L$16/60,SUMIF(Меню!$J$8:$EZ$8,$B116,Меню!$J$223:$EZ$223)/1000*Обложка!$J$16)</f>
        <v>0</v>
      </c>
      <c r="Z116" s="212">
        <f>IF($B116="Яйцо (шт)",SUMIF(Меню!$J$8:$EZ$8,$B116,Меню!$J$236:$EZ$236)*Обложка!$L$17/60,SUMIF(Меню!$J$8:$EZ$8,$B116,Меню!$J$236:$EZ$236)/1000*Обложка!$L$17)</f>
        <v>0</v>
      </c>
      <c r="AA116" s="212">
        <f>IF($B116="Яйцо (шт)",SUMIF(Меню!$J$8:$EZ$8,$B116,Меню!$J$241:$EZ$241)*Обложка!$L$18/60,SUMIF(Меню!$J$8:$EZ$8,$B116,Меню!$J$241:$EZ$241)/1000*Обложка!$L$18)</f>
        <v>0</v>
      </c>
      <c r="AB116" s="685">
        <f t="shared" si="13"/>
        <v>0</v>
      </c>
      <c r="AC116" s="212">
        <f>IF($B116="Яйцо (шт)",SUMIF(Меню!$J$8:$EZ$8,$B116,Меню!$J$253:$EZ$253)*Обложка!$N$15/60,SUMIF(Меню!$J$8:$EZ$8,$B116,Меню!$J$253:$EZ$253)/1000*Обложка!$N$15)</f>
        <v>0</v>
      </c>
      <c r="AD116" s="212">
        <f>IF($B116="Яйцо (шт)",SUMIF(Меню!$J$8:$EZ$8,$B116,Меню!$J$268:$EZ$268)*Обложка!$N$16/60,SUMIF(Меню!$J$8:$EZ$8,$B116,Меню!$J$268:$EZ$268)/1000*Обложка!$N$16)</f>
        <v>0</v>
      </c>
      <c r="AE116" s="212">
        <f>IF($B116="Яйцо (шт)",SUMIF(Меню!$J$8:$EZ$8,$B116,Меню!$J$281:$EZ$281)*Обложка!$N$17/60,SUMIF(Меню!$J$8:$EZ$8,$B116,Меню!$J$281:$EZ$281)/1000*Обложка!$N$17)</f>
        <v>0</v>
      </c>
      <c r="AF116" s="212">
        <f>IF($B116="Яйцо (шт)",SUMIF(Меню!$J$8:$EZ$8,$B116,Меню!$J$286:$EZ$286)*Обложка!$N$18/60,SUMIF(Меню!$J$8:$EZ$8,$B116,Меню!$J$286:$EZ$286)/1000*Обложка!$N$18)</f>
        <v>0</v>
      </c>
      <c r="AG116" s="685">
        <f t="shared" si="14"/>
        <v>0</v>
      </c>
      <c r="AH116" s="212">
        <f>IF($B116="Яйцо (шт)",SUMIF(Меню!$J$8:$EZ$8,$B116,Меню!$J$298:$EZ$298)*Обложка!$P$15/60,SUMIF(Меню!$J$8:$EZ$8,$B116,Меню!$J$298:$EZ$298)/1000*Обложка!$P$15)</f>
        <v>0</v>
      </c>
      <c r="AI116" s="212">
        <f>IF($B116="Яйцо (шт)",SUMIF(Меню!$J$8:$EZ$8,$BB116,Меню!$J$313:$EZ$313)*Обложка!$P$16/60,SUMIF(Меню!$J$8:$EZ$8,$B116,Меню!$J$313:$EZ$313)/1000*Обложка!$P$16)</f>
        <v>0</v>
      </c>
      <c r="AJ116" s="212">
        <f>IF($B116="Яйцо (шт)",SUMIF(Меню!$J$8:$EZ$8,$B116,Меню!$J$326:$EZ$326)*Обложка!$P$17/60,SUMIF(Меню!$J$8:$EZ$8,$B116,Меню!$J$326:$EZ$326)/1000*Обложка!$P$17)</f>
        <v>0</v>
      </c>
      <c r="AK116" s="212">
        <f>IF($B116="Яйцо (шт)",SUMIF(Меню!$J$8:$EZ$8,$B116,Меню!$J$331:$EZ$331)*Обложка!$P$18/60,SUMIF(Меню!$J$8:$EZ$8,$B116,Меню!$J$331:$EZ$331)/1000*Обложка!$P$18)</f>
        <v>0</v>
      </c>
      <c r="AL116" s="699">
        <f t="shared" si="15"/>
        <v>0</v>
      </c>
      <c r="AM116" s="685">
        <f t="shared" si="16"/>
        <v>0</v>
      </c>
    </row>
    <row r="117" spans="1:39" x14ac:dyDescent="0.25">
      <c r="A117" s="249">
        <f t="shared" si="17"/>
        <v>105</v>
      </c>
      <c r="B117" s="248" t="str">
        <f>инфо!D106</f>
        <v>Щука б/г</v>
      </c>
      <c r="C117" s="694">
        <f>SUMIF(Меню!$J$8:$FD$8,$B117,Меню!$J$333:$FD$333)</f>
        <v>120</v>
      </c>
      <c r="D117" s="212">
        <f>IF($B117="Яйцо (шт)",SUMIF(Меню!$J$8:$FD$8,$B117,Меню!$J$28:$FD$28)*Обложка!$D$15/60,SUMIF(Меню!$J$8:$FD$8,$B117,Меню!$J$28:$FD$28)/1000*Обложка!$D$15)</f>
        <v>0</v>
      </c>
      <c r="E117" s="212">
        <f>IF($B117="Яйцо (шт)",SUMIF(Меню!$J$8:$FD$8,$B117,Меню!$J$43:$FD$43)*Обложка!$D$16/60,SUMIF(Меню!$J$8:$FD$8,$B117,Меню!$J$43:$FD$43)/1000*Обложка!$D$16)</f>
        <v>0</v>
      </c>
      <c r="F117" s="212">
        <f>IF($B117="Яйцо (шт)",SUMIF(Меню!$J$8:$FD$8,$B117,Меню!$J$56:$FD$56)*Обложка!$D$17/60,SUMIF(Меню!$J$8:$FD$8,$B117,Меню!$J$56:$FD$56)/1000*Обложка!$D$17)</f>
        <v>0</v>
      </c>
      <c r="G117" s="212">
        <f>IF($B117="Яйцо (шт)",SUMIF(Меню!$J$8:$FD$8,$B117,Меню!$J$61:$FD$61)*Обложка!$D$18/60,SUMIF(Меню!$J$8:$FD$8,$B117,Меню!$J$61:$FD$61)/1000*Обложка!$D$18)</f>
        <v>0</v>
      </c>
      <c r="H117" s="685">
        <f t="shared" si="9"/>
        <v>0</v>
      </c>
      <c r="I117" s="212">
        <f>IF($B117="Яйцо (шт)",SUMIF(Меню!$J$8:$FD$8,$B117,Меню!$J$73:$FD$73)*Обложка!$F$15/60,SUMIF(Меню!$J$8:$FD$8,$B117,Меню!$J$73:$FD$73)/1000*Обложка!$F$15)</f>
        <v>0</v>
      </c>
      <c r="J117" s="212">
        <f>IF($B117="Яйцо (шт)",SUMIF(Меню!$J$8:$FD$8,$B117,Меню!$J$88:$FD$88)*Обложка!$F$16/60,SUMIF(Меню!$J$8:$FD$8,$B117,Меню!$J$88:$FD$88)/1000*Обложка!$G$16)</f>
        <v>0</v>
      </c>
      <c r="K117" s="212">
        <f>IF($B117="Яйцо (шт)",SUMIF(Меню!$J$8:$FD$8,$B117,Меню!$J$101:$FD$101)*Обложка!$F$17/60,SUMIF(Меню!$J$8:$FD$8,$B117,Меню!$J$101:$FD$101)/1000*Обложка!$F$17)</f>
        <v>0</v>
      </c>
      <c r="L117" s="212">
        <f>IF($B117="Яйцо (шт)",SUMIF(Меню!$J$8:$FD$8,$B117,Меню!$J$106:$FD$106)*Обложка!$F$18/60,SUMIF(Меню!$J$8:$FD$8,$B117,Меню!$J$106:$FD$106)/1000*Обложка!$F$18)</f>
        <v>0</v>
      </c>
      <c r="M117" s="685">
        <f t="shared" si="10"/>
        <v>0</v>
      </c>
      <c r="N117" s="212">
        <f>IF($B117="Яйцо (шт)",SUMIF(Меню!$J$8:$EZ$8,$B117,Меню!$J$118:$EZ$118)*Обложка!$H$15/60,SUMIF(Меню!$J$8:$EZ$8,$B117,Меню!$J$118:$EZ$118)/1000*Обложка!$H$15)</f>
        <v>0</v>
      </c>
      <c r="O117" s="212">
        <f>IF($B117="Яйцо (шт)",SUMIF(Меню!$J$8:$EZ$8,$B117,Меню!$J$133:$EZ$133)*Обложка!$H$16/60,SUMIF(Меню!$J$8:$EZ$8,$B117,Меню!$J$133:$EZ$133)/1000*Обложка!$H$16)</f>
        <v>0</v>
      </c>
      <c r="P117" s="212">
        <f>IF($B117="Яйцо (шт)",SUMIF(Меню!$J$8:$EZ$8,$B117,Меню!$J$146:$EZ$146)*Обложка!$H$17/60,SUMIF(Меню!$J$8:$EZ$8,$B117,Меню!$J$146:$EZ$146)/1000*Обложка!$H$17)</f>
        <v>0</v>
      </c>
      <c r="Q117" s="212">
        <f>IF($B117="Яйцо (шт)",SUMIF(Меню!$J$8:$EZ$8,$B117,Меню!$J$151:$EZ$151)*Обложка!$H$18/60,SUMIF(Меню!$J$8:$EZ$8,$B117,Меню!$J$151:$EZ$151)/1000*Обложка!$H$18)</f>
        <v>0</v>
      </c>
      <c r="R117" s="685">
        <f t="shared" si="11"/>
        <v>0</v>
      </c>
      <c r="S117" s="212">
        <f>IF($B117="Яйцо (шт)",SUMIF(Меню!$J$8:$EZ$8,$B117,Меню!$J$163:$EZ$163)*Обложка!$J$15/60,SUMIF(Меню!$J$8:$EZ$8,$B117,Меню!$J$163:$EZ$163)/1000*Обложка!$J$15)</f>
        <v>0</v>
      </c>
      <c r="T117" s="212">
        <f>IF($B117="Яйцо (шт)",SUMIF(Меню!$J$8:$EZ$8,$B117,Меню!$J$178:$EZ$178)*Обложка!$J$16/60,SUMIF(Меню!$J$8:$EZ$8,$B117,Меню!$J$178:$EZ$178)/1000*Обложка!$J$16)</f>
        <v>0</v>
      </c>
      <c r="U117" s="212">
        <f>IF($B117="Яйцо (шт)",SUMIF(Меню!$J$8:$EZ$8,$B117,Меню!$J$191:$EZ$191)*Обложка!$J$17/60,SUMIF(Меню!$J$8:$EZ$8,$B117,Меню!$J$191:$EZ$191)/1000*Обложка!$J$17)</f>
        <v>0</v>
      </c>
      <c r="V117" s="212">
        <f>IF($B117="Яйцо (шт)",SUMIF(Меню!$J$8:$EZ$8,$B117,Меню!$J$196:$EZ$196)*Обложка!$J$18/60,SUMIF(Меню!$J$8:$EZ$8,$B117,Меню!$J$196:$EZ$196)/1000*Обложка!$J$18)</f>
        <v>0</v>
      </c>
      <c r="W117" s="685">
        <f t="shared" si="12"/>
        <v>0</v>
      </c>
      <c r="X117" s="212">
        <f>IF($B117="Яйцо (шт)",SUMIF(Меню!$J$8:$EZ$8,$B117,Меню!$J$208:$EZ$208)*Обложка!$L$15/60,SUMIF(Меню!$J$8:$EZ$8,$B117,Меню!$J$208:$EZ$208)/1000*Обложка!$L$15)</f>
        <v>0</v>
      </c>
      <c r="Y117" s="212">
        <f>IF($B117="Яйцо (шт)",SUMIF(Меню!$J$8:$EZ$8,$B117,Меню!$J$223:$EZ$223)*Обложка!$L$16/60,SUMIF(Меню!$J$8:$EZ$8,$B117,Меню!$J$223:$EZ$223)/1000*Обложка!$J$16)</f>
        <v>0</v>
      </c>
      <c r="Z117" s="212">
        <f>IF($B117="Яйцо (шт)",SUMIF(Меню!$J$8:$EZ$8,$B117,Меню!$J$236:$EZ$236)*Обложка!$L$17/60,SUMIF(Меню!$J$8:$EZ$8,$B117,Меню!$J$236:$EZ$236)/1000*Обложка!$L$17)</f>
        <v>0</v>
      </c>
      <c r="AA117" s="212">
        <f>IF($B117="Яйцо (шт)",SUMIF(Меню!$J$8:$EZ$8,$B117,Меню!$J$241:$EZ$241)*Обложка!$L$18/60,SUMIF(Меню!$J$8:$EZ$8,$B117,Меню!$J$241:$EZ$241)/1000*Обложка!$L$18)</f>
        <v>0</v>
      </c>
      <c r="AB117" s="685">
        <f t="shared" si="13"/>
        <v>0</v>
      </c>
      <c r="AC117" s="212">
        <f>IF($B117="Яйцо (шт)",SUMIF(Меню!$J$8:$EZ$8,$B117,Меню!$J$253:$EZ$253)*Обложка!$N$15/60,SUMIF(Меню!$J$8:$EZ$8,$B117,Меню!$J$253:$EZ$253)/1000*Обложка!$N$15)</f>
        <v>0</v>
      </c>
      <c r="AD117" s="212">
        <f>IF($B117="Яйцо (шт)",SUMIF(Меню!$J$8:$EZ$8,$B117,Меню!$J$268:$EZ$268)*Обложка!$N$16/60,SUMIF(Меню!$J$8:$EZ$8,$B117,Меню!$J$268:$EZ$268)/1000*Обложка!$N$16)</f>
        <v>0</v>
      </c>
      <c r="AE117" s="212">
        <f>IF($B117="Яйцо (шт)",SUMIF(Меню!$J$8:$EZ$8,$B117,Меню!$J$281:$EZ$281)*Обложка!$N$17/60,SUMIF(Меню!$J$8:$EZ$8,$B117,Меню!$J$281:$EZ$281)/1000*Обложка!$N$17)</f>
        <v>5.3999999999999995</v>
      </c>
      <c r="AF117" s="212">
        <f>IF($B117="Яйцо (шт)",SUMIF(Меню!$J$8:$EZ$8,$B117,Меню!$J$286:$EZ$286)*Обложка!$N$18/60,SUMIF(Меню!$J$8:$EZ$8,$B117,Меню!$J$286:$EZ$286)/1000*Обложка!$N$18)</f>
        <v>0</v>
      </c>
      <c r="AG117" s="685">
        <f t="shared" si="14"/>
        <v>5.3999999999999995</v>
      </c>
      <c r="AH117" s="212">
        <f>IF($B117="Яйцо (шт)",SUMIF(Меню!$J$8:$EZ$8,$B117,Меню!$J$298:$EZ$298)*Обложка!$P$15/60,SUMIF(Меню!$J$8:$EZ$8,$B117,Меню!$J$298:$EZ$298)/1000*Обложка!$P$15)</f>
        <v>0</v>
      </c>
      <c r="AI117" s="212">
        <f>IF($B117="Яйцо (шт)",SUMIF(Меню!$J$8:$EZ$8,$BB117,Меню!$J$313:$EZ$313)*Обложка!$P$16/60,SUMIF(Меню!$J$8:$EZ$8,$B117,Меню!$J$313:$EZ$313)/1000*Обложка!$P$16)</f>
        <v>0</v>
      </c>
      <c r="AJ117" s="212">
        <f>IF($B117="Яйцо (шт)",SUMIF(Меню!$J$8:$EZ$8,$B117,Меню!$J$326:$EZ$326)*Обложка!$P$17/60,SUMIF(Меню!$J$8:$EZ$8,$B117,Меню!$J$326:$EZ$326)/1000*Обложка!$P$17)</f>
        <v>0</v>
      </c>
      <c r="AK117" s="212">
        <f>IF($B117="Яйцо (шт)",SUMIF(Меню!$J$8:$EZ$8,$B117,Меню!$J$331:$EZ$331)*Обложка!$P$18/60,SUMIF(Меню!$J$8:$EZ$8,$B117,Меню!$J$331:$EZ$331)/1000*Обложка!$P$18)</f>
        <v>0</v>
      </c>
      <c r="AL117" s="699">
        <f t="shared" si="15"/>
        <v>0</v>
      </c>
      <c r="AM117" s="685">
        <f t="shared" si="16"/>
        <v>5.3999999999999995</v>
      </c>
    </row>
    <row r="118" spans="1:39" x14ac:dyDescent="0.25">
      <c r="A118" s="249">
        <f t="shared" si="17"/>
        <v>106</v>
      </c>
      <c r="B118" s="248" t="str">
        <f>инфо!D107</f>
        <v>Щука с/г</v>
      </c>
      <c r="C118" s="694">
        <f>SUMIF(Меню!$J$8:$FD$8,$B118,Меню!$J$333:$FD$333)</f>
        <v>0</v>
      </c>
      <c r="D118" s="212">
        <f>IF($B118="Яйцо (шт)",SUMIF(Меню!$J$8:$FD$8,$B118,Меню!$J$28:$FD$28)*Обложка!$D$15/60,SUMIF(Меню!$J$8:$FD$8,$B118,Меню!$J$28:$FD$28)/1000*Обложка!$D$15)</f>
        <v>0</v>
      </c>
      <c r="E118" s="212">
        <f>IF($B118="Яйцо (шт)",SUMIF(Меню!$J$8:$FD$8,$B118,Меню!$J$43:$FD$43)*Обложка!$D$16/60,SUMIF(Меню!$J$8:$FD$8,$B118,Меню!$J$43:$FD$43)/1000*Обложка!$D$16)</f>
        <v>0</v>
      </c>
      <c r="F118" s="212">
        <f>IF($B118="Яйцо (шт)",SUMIF(Меню!$J$8:$FD$8,$B118,Меню!$J$56:$FD$56)*Обложка!$D$17/60,SUMIF(Меню!$J$8:$FD$8,$B118,Меню!$J$56:$FD$56)/1000*Обложка!$D$17)</f>
        <v>0</v>
      </c>
      <c r="G118" s="212">
        <f>IF($B118="Яйцо (шт)",SUMIF(Меню!$J$8:$FD$8,$B118,Меню!$J$61:$FD$61)*Обложка!$D$18/60,SUMIF(Меню!$J$8:$FD$8,$B118,Меню!$J$61:$FD$61)/1000*Обложка!$D$18)</f>
        <v>0</v>
      </c>
      <c r="H118" s="685">
        <f t="shared" si="9"/>
        <v>0</v>
      </c>
      <c r="I118" s="212">
        <f>IF($B118="Яйцо (шт)",SUMIF(Меню!$J$8:$FD$8,$B118,Меню!$J$73:$FD$73)*Обложка!$F$15/60,SUMIF(Меню!$J$8:$FD$8,$B118,Меню!$J$73:$FD$73)/1000*Обложка!$F$15)</f>
        <v>0</v>
      </c>
      <c r="J118" s="212">
        <f>IF($B118="Яйцо (шт)",SUMIF(Меню!$J$8:$FD$8,$B118,Меню!$J$88:$FD$88)*Обложка!$F$16/60,SUMIF(Меню!$J$8:$FD$8,$B118,Меню!$J$88:$FD$88)/1000*Обложка!$G$16)</f>
        <v>0</v>
      </c>
      <c r="K118" s="212">
        <f>IF($B118="Яйцо (шт)",SUMIF(Меню!$J$8:$FD$8,$B118,Меню!$J$101:$FD$101)*Обложка!$F$17/60,SUMIF(Меню!$J$8:$FD$8,$B118,Меню!$J$101:$FD$101)/1000*Обложка!$F$17)</f>
        <v>0</v>
      </c>
      <c r="L118" s="212">
        <f>IF($B118="Яйцо (шт)",SUMIF(Меню!$J$8:$FD$8,$B118,Меню!$J$106:$FD$106)*Обложка!$F$18/60,SUMIF(Меню!$J$8:$FD$8,$B118,Меню!$J$106:$FD$106)/1000*Обложка!$F$18)</f>
        <v>0</v>
      </c>
      <c r="M118" s="685">
        <f t="shared" si="10"/>
        <v>0</v>
      </c>
      <c r="N118" s="212">
        <f>IF($B118="Яйцо (шт)",SUMIF(Меню!$J$8:$EZ$8,$B118,Меню!$J$118:$EZ$118)*Обложка!$H$15/60,SUMIF(Меню!$J$8:$EZ$8,$B118,Меню!$J$118:$EZ$118)/1000*Обложка!$H$15)</f>
        <v>0</v>
      </c>
      <c r="O118" s="212">
        <f>IF($B118="Яйцо (шт)",SUMIF(Меню!$J$8:$EZ$8,$B118,Меню!$J$133:$EZ$133)*Обложка!$H$16/60,SUMIF(Меню!$J$8:$EZ$8,$B118,Меню!$J$133:$EZ$133)/1000*Обложка!$H$16)</f>
        <v>0</v>
      </c>
      <c r="P118" s="212">
        <f>IF($B118="Яйцо (шт)",SUMIF(Меню!$J$8:$EZ$8,$B118,Меню!$J$146:$EZ$146)*Обложка!$H$17/60,SUMIF(Меню!$J$8:$EZ$8,$B118,Меню!$J$146:$EZ$146)/1000*Обложка!$H$17)</f>
        <v>0</v>
      </c>
      <c r="Q118" s="212">
        <f>IF($B118="Яйцо (шт)",SUMIF(Меню!$J$8:$EZ$8,$B118,Меню!$J$151:$EZ$151)*Обложка!$H$18/60,SUMIF(Меню!$J$8:$EZ$8,$B118,Меню!$J$151:$EZ$151)/1000*Обложка!$H$18)</f>
        <v>0</v>
      </c>
      <c r="R118" s="685">
        <f t="shared" si="11"/>
        <v>0</v>
      </c>
      <c r="S118" s="212">
        <f>IF($B118="Яйцо (шт)",SUMIF(Меню!$J$8:$EZ$8,$B118,Меню!$J$163:$EZ$163)*Обложка!$J$15/60,SUMIF(Меню!$J$8:$EZ$8,$B118,Меню!$J$163:$EZ$163)/1000*Обложка!$J$15)</f>
        <v>0</v>
      </c>
      <c r="T118" s="212">
        <f>IF($B118="Яйцо (шт)",SUMIF(Меню!$J$8:$EZ$8,$B118,Меню!$J$178:$EZ$178)*Обложка!$J$16/60,SUMIF(Меню!$J$8:$EZ$8,$B118,Меню!$J$178:$EZ$178)/1000*Обложка!$J$16)</f>
        <v>0</v>
      </c>
      <c r="U118" s="212">
        <f>IF($B118="Яйцо (шт)",SUMIF(Меню!$J$8:$EZ$8,$B118,Меню!$J$191:$EZ$191)*Обложка!$J$17/60,SUMIF(Меню!$J$8:$EZ$8,$B118,Меню!$J$191:$EZ$191)/1000*Обложка!$J$17)</f>
        <v>0</v>
      </c>
      <c r="V118" s="212">
        <f>IF($B118="Яйцо (шт)",SUMIF(Меню!$J$8:$EZ$8,$B118,Меню!$J$196:$EZ$196)*Обложка!$J$18/60,SUMIF(Меню!$J$8:$EZ$8,$B118,Меню!$J$196:$EZ$196)/1000*Обложка!$J$18)</f>
        <v>0</v>
      </c>
      <c r="W118" s="685">
        <f t="shared" si="12"/>
        <v>0</v>
      </c>
      <c r="X118" s="212">
        <f>IF($B118="Яйцо (шт)",SUMIF(Меню!$J$8:$EZ$8,$B118,Меню!$J$208:$EZ$208)*Обложка!$L$15/60,SUMIF(Меню!$J$8:$EZ$8,$B118,Меню!$J$208:$EZ$208)/1000*Обложка!$L$15)</f>
        <v>0</v>
      </c>
      <c r="Y118" s="212">
        <f>IF($B118="Яйцо (шт)",SUMIF(Меню!$J$8:$EZ$8,$B118,Меню!$J$223:$EZ$223)*Обложка!$L$16/60,SUMIF(Меню!$J$8:$EZ$8,$B118,Меню!$J$223:$EZ$223)/1000*Обложка!$J$16)</f>
        <v>0</v>
      </c>
      <c r="Z118" s="212">
        <f>IF($B118="Яйцо (шт)",SUMIF(Меню!$J$8:$EZ$8,$B118,Меню!$J$236:$EZ$236)*Обложка!$L$17/60,SUMIF(Меню!$J$8:$EZ$8,$B118,Меню!$J$236:$EZ$236)/1000*Обложка!$L$17)</f>
        <v>0</v>
      </c>
      <c r="AA118" s="212">
        <f>IF($B118="Яйцо (шт)",SUMIF(Меню!$J$8:$EZ$8,$B118,Меню!$J$241:$EZ$241)*Обложка!$L$18/60,SUMIF(Меню!$J$8:$EZ$8,$B118,Меню!$J$241:$EZ$241)/1000*Обложка!$L$18)</f>
        <v>0</v>
      </c>
      <c r="AB118" s="685">
        <f t="shared" si="13"/>
        <v>0</v>
      </c>
      <c r="AC118" s="212">
        <f>IF($B118="Яйцо (шт)",SUMIF(Меню!$J$8:$EZ$8,$B118,Меню!$J$253:$EZ$253)*Обложка!$N$15/60,SUMIF(Меню!$J$8:$EZ$8,$B118,Меню!$J$253:$EZ$253)/1000*Обложка!$N$15)</f>
        <v>0</v>
      </c>
      <c r="AD118" s="212">
        <f>IF($B118="Яйцо (шт)",SUMIF(Меню!$J$8:$EZ$8,$B118,Меню!$J$268:$EZ$268)*Обложка!$N$16/60,SUMIF(Меню!$J$8:$EZ$8,$B118,Меню!$J$268:$EZ$268)/1000*Обложка!$N$16)</f>
        <v>0</v>
      </c>
      <c r="AE118" s="212">
        <f>IF($B118="Яйцо (шт)",SUMIF(Меню!$J$8:$EZ$8,$B118,Меню!$J$281:$EZ$281)*Обложка!$N$17/60,SUMIF(Меню!$J$8:$EZ$8,$B118,Меню!$J$281:$EZ$281)/1000*Обложка!$N$17)</f>
        <v>0</v>
      </c>
      <c r="AF118" s="212">
        <f>IF($B118="Яйцо (шт)",SUMIF(Меню!$J$8:$EZ$8,$B118,Меню!$J$286:$EZ$286)*Обложка!$N$18/60,SUMIF(Меню!$J$8:$EZ$8,$B118,Меню!$J$286:$EZ$286)/1000*Обложка!$N$18)</f>
        <v>0</v>
      </c>
      <c r="AG118" s="685">
        <f t="shared" si="14"/>
        <v>0</v>
      </c>
      <c r="AH118" s="212">
        <f>IF($B118="Яйцо (шт)",SUMIF(Меню!$J$8:$EZ$8,$B118,Меню!$J$298:$EZ$298)*Обложка!$P$15/60,SUMIF(Меню!$J$8:$EZ$8,$B118,Меню!$J$298:$EZ$298)/1000*Обложка!$P$15)</f>
        <v>0</v>
      </c>
      <c r="AI118" s="212">
        <f>IF($B118="Яйцо (шт)",SUMIF(Меню!$J$8:$EZ$8,$BB118,Меню!$J$313:$EZ$313)*Обложка!$P$16/60,SUMIF(Меню!$J$8:$EZ$8,$B118,Меню!$J$313:$EZ$313)/1000*Обложка!$P$16)</f>
        <v>0</v>
      </c>
      <c r="AJ118" s="212">
        <f>IF($B118="Яйцо (шт)",SUMIF(Меню!$J$8:$EZ$8,$B118,Меню!$J$326:$EZ$326)*Обложка!$P$17/60,SUMIF(Меню!$J$8:$EZ$8,$B118,Меню!$J$326:$EZ$326)/1000*Обложка!$P$17)</f>
        <v>0</v>
      </c>
      <c r="AK118" s="212">
        <f>IF($B118="Яйцо (шт)",SUMIF(Меню!$J$8:$EZ$8,$B118,Меню!$J$331:$EZ$331)*Обложка!$P$18/60,SUMIF(Меню!$J$8:$EZ$8,$B118,Меню!$J$331:$EZ$331)/1000*Обложка!$P$18)</f>
        <v>0</v>
      </c>
      <c r="AL118" s="699">
        <f t="shared" si="15"/>
        <v>0</v>
      </c>
      <c r="AM118" s="685">
        <f t="shared" si="16"/>
        <v>0</v>
      </c>
    </row>
    <row r="119" spans="1:39" x14ac:dyDescent="0.25">
      <c r="A119" s="249">
        <f t="shared" si="17"/>
        <v>107</v>
      </c>
      <c r="B119" s="248" t="str">
        <f>инфо!D108</f>
        <v>Рыба с/м б/г</v>
      </c>
      <c r="C119" s="694">
        <f>SUMIF(Меню!$J$8:$FD$8,$B119,Меню!$J$333:$FD$333)</f>
        <v>0</v>
      </c>
      <c r="D119" s="212">
        <f>IF($B119="Яйцо (шт)",SUMIF(Меню!$J$8:$FD$8,$B119,Меню!$J$28:$FD$28)*Обложка!$D$15/60,SUMIF(Меню!$J$8:$FD$8,$B119,Меню!$J$28:$FD$28)/1000*Обложка!$D$15)</f>
        <v>0</v>
      </c>
      <c r="E119" s="212">
        <f>IF($B119="Яйцо (шт)",SUMIF(Меню!$J$8:$FD$8,$B119,Меню!$J$43:$FD$43)*Обложка!$D$16/60,SUMIF(Меню!$J$8:$FD$8,$B119,Меню!$J$43:$FD$43)/1000*Обложка!$D$16)</f>
        <v>0</v>
      </c>
      <c r="F119" s="212">
        <f>IF($B119="Яйцо (шт)",SUMIF(Меню!$J$8:$FD$8,$B119,Меню!$J$56:$FD$56)*Обложка!$D$17/60,SUMIF(Меню!$J$8:$FD$8,$B119,Меню!$J$56:$FD$56)/1000*Обложка!$D$17)</f>
        <v>0</v>
      </c>
      <c r="G119" s="212">
        <f>IF($B119="Яйцо (шт)",SUMIF(Меню!$J$8:$FD$8,$B119,Меню!$J$61:$FD$61)*Обложка!$D$18/60,SUMIF(Меню!$J$8:$FD$8,$B119,Меню!$J$61:$FD$61)/1000*Обложка!$D$18)</f>
        <v>0</v>
      </c>
      <c r="H119" s="685">
        <f t="shared" si="9"/>
        <v>0</v>
      </c>
      <c r="I119" s="212">
        <f>IF($B119="Яйцо (шт)",SUMIF(Меню!$J$8:$FD$8,$B119,Меню!$J$73:$FD$73)*Обложка!$F$15/60,SUMIF(Меню!$J$8:$FD$8,$B119,Меню!$J$73:$FD$73)/1000*Обложка!$F$15)</f>
        <v>0</v>
      </c>
      <c r="J119" s="212">
        <f>IF($B119="Яйцо (шт)",SUMIF(Меню!$J$8:$FD$8,$B119,Меню!$J$88:$FD$88)*Обложка!$F$16/60,SUMIF(Меню!$J$8:$FD$8,$B119,Меню!$J$88:$FD$88)/1000*Обложка!$G$16)</f>
        <v>0</v>
      </c>
      <c r="K119" s="212">
        <f>IF($B119="Яйцо (шт)",SUMIF(Меню!$J$8:$FD$8,$B119,Меню!$J$101:$FD$101)*Обложка!$F$17/60,SUMIF(Меню!$J$8:$FD$8,$B119,Меню!$J$101:$FD$101)/1000*Обложка!$F$17)</f>
        <v>0</v>
      </c>
      <c r="L119" s="212">
        <f>IF($B119="Яйцо (шт)",SUMIF(Меню!$J$8:$FD$8,$B119,Меню!$J$106:$FD$106)*Обложка!$F$18/60,SUMIF(Меню!$J$8:$FD$8,$B119,Меню!$J$106:$FD$106)/1000*Обложка!$F$18)</f>
        <v>0</v>
      </c>
      <c r="M119" s="685">
        <f t="shared" si="10"/>
        <v>0</v>
      </c>
      <c r="N119" s="212">
        <f>IF($B119="Яйцо (шт)",SUMIF(Меню!$J$8:$EZ$8,$B119,Меню!$J$118:$EZ$118)*Обложка!$H$15/60,SUMIF(Меню!$J$8:$EZ$8,$B119,Меню!$J$118:$EZ$118)/1000*Обложка!$H$15)</f>
        <v>0</v>
      </c>
      <c r="O119" s="212">
        <f>IF($B119="Яйцо (шт)",SUMIF(Меню!$J$8:$EZ$8,$B119,Меню!$J$133:$EZ$133)*Обложка!$H$16/60,SUMIF(Меню!$J$8:$EZ$8,$B119,Меню!$J$133:$EZ$133)/1000*Обложка!$H$16)</f>
        <v>0</v>
      </c>
      <c r="P119" s="212">
        <f>IF($B119="Яйцо (шт)",SUMIF(Меню!$J$8:$EZ$8,$B119,Меню!$J$146:$EZ$146)*Обложка!$H$17/60,SUMIF(Меню!$J$8:$EZ$8,$B119,Меню!$J$146:$EZ$146)/1000*Обложка!$H$17)</f>
        <v>0</v>
      </c>
      <c r="Q119" s="212">
        <f>IF($B119="Яйцо (шт)",SUMIF(Меню!$J$8:$EZ$8,$B119,Меню!$J$151:$EZ$151)*Обложка!$H$18/60,SUMIF(Меню!$J$8:$EZ$8,$B119,Меню!$J$151:$EZ$151)/1000*Обложка!$H$18)</f>
        <v>0</v>
      </c>
      <c r="R119" s="685">
        <f t="shared" si="11"/>
        <v>0</v>
      </c>
      <c r="S119" s="212">
        <f>IF($B119="Яйцо (шт)",SUMIF(Меню!$J$8:$EZ$8,$B119,Меню!$J$163:$EZ$163)*Обложка!$J$15/60,SUMIF(Меню!$J$8:$EZ$8,$B119,Меню!$J$163:$EZ$163)/1000*Обложка!$J$15)</f>
        <v>0</v>
      </c>
      <c r="T119" s="212">
        <f>IF($B119="Яйцо (шт)",SUMIF(Меню!$J$8:$EZ$8,$B119,Меню!$J$178:$EZ$178)*Обложка!$J$16/60,SUMIF(Меню!$J$8:$EZ$8,$B119,Меню!$J$178:$EZ$178)/1000*Обложка!$J$16)</f>
        <v>0</v>
      </c>
      <c r="U119" s="212">
        <f>IF($B119="Яйцо (шт)",SUMIF(Меню!$J$8:$EZ$8,$B119,Меню!$J$191:$EZ$191)*Обложка!$J$17/60,SUMIF(Меню!$J$8:$EZ$8,$B119,Меню!$J$191:$EZ$191)/1000*Обложка!$J$17)</f>
        <v>0</v>
      </c>
      <c r="V119" s="212">
        <f>IF($B119="Яйцо (шт)",SUMIF(Меню!$J$8:$EZ$8,$B119,Меню!$J$196:$EZ$196)*Обложка!$J$18/60,SUMIF(Меню!$J$8:$EZ$8,$B119,Меню!$J$196:$EZ$196)/1000*Обложка!$J$18)</f>
        <v>0</v>
      </c>
      <c r="W119" s="685">
        <f t="shared" si="12"/>
        <v>0</v>
      </c>
      <c r="X119" s="212">
        <f>IF($B119="Яйцо (шт)",SUMIF(Меню!$J$8:$EZ$8,$B119,Меню!$J$208:$EZ$208)*Обложка!$L$15/60,SUMIF(Меню!$J$8:$EZ$8,$B119,Меню!$J$208:$EZ$208)/1000*Обложка!$L$15)</f>
        <v>0</v>
      </c>
      <c r="Y119" s="212">
        <f>IF($B119="Яйцо (шт)",SUMIF(Меню!$J$8:$EZ$8,$B119,Меню!$J$223:$EZ$223)*Обложка!$L$16/60,SUMIF(Меню!$J$8:$EZ$8,$B119,Меню!$J$223:$EZ$223)/1000*Обложка!$J$16)</f>
        <v>0</v>
      </c>
      <c r="Z119" s="212">
        <f>IF($B119="Яйцо (шт)",SUMIF(Меню!$J$8:$EZ$8,$B119,Меню!$J$236:$EZ$236)*Обложка!$L$17/60,SUMIF(Меню!$J$8:$EZ$8,$B119,Меню!$J$236:$EZ$236)/1000*Обложка!$L$17)</f>
        <v>0</v>
      </c>
      <c r="AA119" s="212">
        <f>IF($B119="Яйцо (шт)",SUMIF(Меню!$J$8:$EZ$8,$B119,Меню!$J$241:$EZ$241)*Обложка!$L$18/60,SUMIF(Меню!$J$8:$EZ$8,$B119,Меню!$J$241:$EZ$241)/1000*Обложка!$L$18)</f>
        <v>0</v>
      </c>
      <c r="AB119" s="685">
        <f t="shared" si="13"/>
        <v>0</v>
      </c>
      <c r="AC119" s="212">
        <f>IF($B119="Яйцо (шт)",SUMIF(Меню!$J$8:$EZ$8,$B119,Меню!$J$253:$EZ$253)*Обложка!$N$15/60,SUMIF(Меню!$J$8:$EZ$8,$B119,Меню!$J$253:$EZ$253)/1000*Обложка!$N$15)</f>
        <v>0</v>
      </c>
      <c r="AD119" s="212">
        <f>IF($B119="Яйцо (шт)",SUMIF(Меню!$J$8:$EZ$8,$B119,Меню!$J$268:$EZ$268)*Обложка!$N$16/60,SUMIF(Меню!$J$8:$EZ$8,$B119,Меню!$J$268:$EZ$268)/1000*Обложка!$N$16)</f>
        <v>0</v>
      </c>
      <c r="AE119" s="212">
        <f>IF($B119="Яйцо (шт)",SUMIF(Меню!$J$8:$EZ$8,$B119,Меню!$J$281:$EZ$281)*Обложка!$N$17/60,SUMIF(Меню!$J$8:$EZ$8,$B119,Меню!$J$281:$EZ$281)/1000*Обложка!$N$17)</f>
        <v>0</v>
      </c>
      <c r="AF119" s="212">
        <f>IF($B119="Яйцо (шт)",SUMIF(Меню!$J$8:$EZ$8,$B119,Меню!$J$286:$EZ$286)*Обложка!$N$18/60,SUMIF(Меню!$J$8:$EZ$8,$B119,Меню!$J$286:$EZ$286)/1000*Обложка!$N$18)</f>
        <v>0</v>
      </c>
      <c r="AG119" s="685">
        <f t="shared" si="14"/>
        <v>0</v>
      </c>
      <c r="AH119" s="212">
        <f>IF($B119="Яйцо (шт)",SUMIF(Меню!$J$8:$EZ$8,$B119,Меню!$J$298:$EZ$298)*Обложка!$P$15/60,SUMIF(Меню!$J$8:$EZ$8,$B119,Меню!$J$298:$EZ$298)/1000*Обложка!$P$15)</f>
        <v>0</v>
      </c>
      <c r="AI119" s="212">
        <f>IF($B119="Яйцо (шт)",SUMIF(Меню!$J$8:$EZ$8,$BB119,Меню!$J$313:$EZ$313)*Обложка!$P$16/60,SUMIF(Меню!$J$8:$EZ$8,$B119,Меню!$J$313:$EZ$313)/1000*Обложка!$P$16)</f>
        <v>0</v>
      </c>
      <c r="AJ119" s="212">
        <f>IF($B119="Яйцо (шт)",SUMIF(Меню!$J$8:$EZ$8,$B119,Меню!$J$326:$EZ$326)*Обложка!$P$17/60,SUMIF(Меню!$J$8:$EZ$8,$B119,Меню!$J$326:$EZ$326)/1000*Обложка!$P$17)</f>
        <v>0</v>
      </c>
      <c r="AK119" s="212">
        <f>IF($B119="Яйцо (шт)",SUMIF(Меню!$J$8:$EZ$8,$B119,Меню!$J$331:$EZ$331)*Обложка!$P$18/60,SUMIF(Меню!$J$8:$EZ$8,$B119,Меню!$J$331:$EZ$331)/1000*Обложка!$P$18)</f>
        <v>0</v>
      </c>
      <c r="AL119" s="699">
        <f t="shared" si="15"/>
        <v>0</v>
      </c>
      <c r="AM119" s="685">
        <f t="shared" si="16"/>
        <v>0</v>
      </c>
    </row>
    <row r="120" spans="1:39" x14ac:dyDescent="0.25">
      <c r="A120" s="249">
        <f t="shared" si="17"/>
        <v>108</v>
      </c>
      <c r="B120" s="248" t="str">
        <f>инфо!D109</f>
        <v>Рыба 1</v>
      </c>
      <c r="C120" s="694">
        <f>SUMIF(Меню!$J$8:$FD$8,$B120,Меню!$J$333:$FD$333)</f>
        <v>0</v>
      </c>
      <c r="D120" s="212">
        <f>IF($B120="Яйцо (шт)",SUMIF(Меню!$J$8:$FD$8,$B120,Меню!$J$28:$FD$28)*Обложка!$D$15/60,SUMIF(Меню!$J$8:$FD$8,$B120,Меню!$J$28:$FD$28)/1000*Обложка!$D$15)</f>
        <v>0</v>
      </c>
      <c r="E120" s="212">
        <f>IF($B120="Яйцо (шт)",SUMIF(Меню!$J$8:$FD$8,$B120,Меню!$J$43:$FD$43)*Обложка!$D$16/60,SUMIF(Меню!$J$8:$FD$8,$B120,Меню!$J$43:$FD$43)/1000*Обложка!$D$16)</f>
        <v>0</v>
      </c>
      <c r="F120" s="212">
        <f>IF($B120="Яйцо (шт)",SUMIF(Меню!$J$8:$FD$8,$B120,Меню!$J$56:$FD$56)*Обложка!$D$17/60,SUMIF(Меню!$J$8:$FD$8,$B120,Меню!$J$56:$FD$56)/1000*Обложка!$D$17)</f>
        <v>0</v>
      </c>
      <c r="G120" s="212">
        <f>IF($B120="Яйцо (шт)",SUMIF(Меню!$J$8:$FD$8,$B120,Меню!$J$61:$FD$61)*Обложка!$D$18/60,SUMIF(Меню!$J$8:$FD$8,$B120,Меню!$J$61:$FD$61)/1000*Обложка!$D$18)</f>
        <v>0</v>
      </c>
      <c r="H120" s="685">
        <f t="shared" si="9"/>
        <v>0</v>
      </c>
      <c r="I120" s="212">
        <f>IF($B120="Яйцо (шт)",SUMIF(Меню!$J$8:$FD$8,$B120,Меню!$J$73:$FD$73)*Обложка!$F$15/60,SUMIF(Меню!$J$8:$FD$8,$B120,Меню!$J$73:$FD$73)/1000*Обложка!$F$15)</f>
        <v>0</v>
      </c>
      <c r="J120" s="212">
        <f>IF($B120="Яйцо (шт)",SUMIF(Меню!$J$8:$FD$8,$B120,Меню!$J$88:$FD$88)*Обложка!$F$16/60,SUMIF(Меню!$J$8:$FD$8,$B120,Меню!$J$88:$FD$88)/1000*Обложка!$G$16)</f>
        <v>0</v>
      </c>
      <c r="K120" s="212">
        <f>IF($B120="Яйцо (шт)",SUMIF(Меню!$J$8:$FD$8,$B120,Меню!$J$101:$FD$101)*Обложка!$F$17/60,SUMIF(Меню!$J$8:$FD$8,$B120,Меню!$J$101:$FD$101)/1000*Обложка!$F$17)</f>
        <v>0</v>
      </c>
      <c r="L120" s="212">
        <f>IF($B120="Яйцо (шт)",SUMIF(Меню!$J$8:$FD$8,$B120,Меню!$J$106:$FD$106)*Обложка!$F$18/60,SUMIF(Меню!$J$8:$FD$8,$B120,Меню!$J$106:$FD$106)/1000*Обложка!$F$18)</f>
        <v>0</v>
      </c>
      <c r="M120" s="685">
        <f t="shared" si="10"/>
        <v>0</v>
      </c>
      <c r="N120" s="212">
        <f>IF($B120="Яйцо (шт)",SUMIF(Меню!$J$8:$EZ$8,$B120,Меню!$J$118:$EZ$118)*Обложка!$H$15/60,SUMIF(Меню!$J$8:$EZ$8,$B120,Меню!$J$118:$EZ$118)/1000*Обложка!$H$15)</f>
        <v>0</v>
      </c>
      <c r="O120" s="212">
        <f>IF($B120="Яйцо (шт)",SUMIF(Меню!$J$8:$EZ$8,$B120,Меню!$J$133:$EZ$133)*Обложка!$H$16/60,SUMIF(Меню!$J$8:$EZ$8,$B120,Меню!$J$133:$EZ$133)/1000*Обложка!$H$16)</f>
        <v>0</v>
      </c>
      <c r="P120" s="212">
        <f>IF($B120="Яйцо (шт)",SUMIF(Меню!$J$8:$EZ$8,$B120,Меню!$J$146:$EZ$146)*Обложка!$H$17/60,SUMIF(Меню!$J$8:$EZ$8,$B120,Меню!$J$146:$EZ$146)/1000*Обложка!$H$17)</f>
        <v>0</v>
      </c>
      <c r="Q120" s="212">
        <f>IF($B120="Яйцо (шт)",SUMIF(Меню!$J$8:$EZ$8,$B120,Меню!$J$151:$EZ$151)*Обложка!$H$18/60,SUMIF(Меню!$J$8:$EZ$8,$B120,Меню!$J$151:$EZ$151)/1000*Обложка!$H$18)</f>
        <v>0</v>
      </c>
      <c r="R120" s="685">
        <f t="shared" si="11"/>
        <v>0</v>
      </c>
      <c r="S120" s="212">
        <f>IF($B120="Яйцо (шт)",SUMIF(Меню!$J$8:$EZ$8,$B120,Меню!$J$163:$EZ$163)*Обложка!$J$15/60,SUMIF(Меню!$J$8:$EZ$8,$B120,Меню!$J$163:$EZ$163)/1000*Обложка!$J$15)</f>
        <v>0</v>
      </c>
      <c r="T120" s="212">
        <f>IF($B120="Яйцо (шт)",SUMIF(Меню!$J$8:$EZ$8,$B120,Меню!$J$178:$EZ$178)*Обложка!$J$16/60,SUMIF(Меню!$J$8:$EZ$8,$B120,Меню!$J$178:$EZ$178)/1000*Обложка!$J$16)</f>
        <v>0</v>
      </c>
      <c r="U120" s="212">
        <f>IF($B120="Яйцо (шт)",SUMIF(Меню!$J$8:$EZ$8,$B120,Меню!$J$191:$EZ$191)*Обложка!$J$17/60,SUMIF(Меню!$J$8:$EZ$8,$B120,Меню!$J$191:$EZ$191)/1000*Обложка!$J$17)</f>
        <v>0</v>
      </c>
      <c r="V120" s="212">
        <f>IF($B120="Яйцо (шт)",SUMIF(Меню!$J$8:$EZ$8,$B120,Меню!$J$196:$EZ$196)*Обложка!$J$18/60,SUMIF(Меню!$J$8:$EZ$8,$B120,Меню!$J$196:$EZ$196)/1000*Обложка!$J$18)</f>
        <v>0</v>
      </c>
      <c r="W120" s="685">
        <f t="shared" si="12"/>
        <v>0</v>
      </c>
      <c r="X120" s="212">
        <f>IF($B120="Яйцо (шт)",SUMIF(Меню!$J$8:$EZ$8,$B120,Меню!$J$208:$EZ$208)*Обложка!$L$15/60,SUMIF(Меню!$J$8:$EZ$8,$B120,Меню!$J$208:$EZ$208)/1000*Обложка!$L$15)</f>
        <v>0</v>
      </c>
      <c r="Y120" s="212">
        <f>IF($B120="Яйцо (шт)",SUMIF(Меню!$J$8:$EZ$8,$B120,Меню!$J$223:$EZ$223)*Обложка!$L$16/60,SUMIF(Меню!$J$8:$EZ$8,$B120,Меню!$J$223:$EZ$223)/1000*Обложка!$J$16)</f>
        <v>0</v>
      </c>
      <c r="Z120" s="212">
        <f>IF($B120="Яйцо (шт)",SUMIF(Меню!$J$8:$EZ$8,$B120,Меню!$J$236:$EZ$236)*Обложка!$L$17/60,SUMIF(Меню!$J$8:$EZ$8,$B120,Меню!$J$236:$EZ$236)/1000*Обложка!$L$17)</f>
        <v>0</v>
      </c>
      <c r="AA120" s="212">
        <f>IF($B120="Яйцо (шт)",SUMIF(Меню!$J$8:$EZ$8,$B120,Меню!$J$241:$EZ$241)*Обложка!$L$18/60,SUMIF(Меню!$J$8:$EZ$8,$B120,Меню!$J$241:$EZ$241)/1000*Обложка!$L$18)</f>
        <v>0</v>
      </c>
      <c r="AB120" s="685">
        <f t="shared" si="13"/>
        <v>0</v>
      </c>
      <c r="AC120" s="212">
        <f>IF($B120="Яйцо (шт)",SUMIF(Меню!$J$8:$EZ$8,$B120,Меню!$J$253:$EZ$253)*Обложка!$N$15/60,SUMIF(Меню!$J$8:$EZ$8,$B120,Меню!$J$253:$EZ$253)/1000*Обложка!$N$15)</f>
        <v>0</v>
      </c>
      <c r="AD120" s="212">
        <f>IF($B120="Яйцо (шт)",SUMIF(Меню!$J$8:$EZ$8,$B120,Меню!$J$268:$EZ$268)*Обложка!$N$16/60,SUMIF(Меню!$J$8:$EZ$8,$B120,Меню!$J$268:$EZ$268)/1000*Обложка!$N$16)</f>
        <v>0</v>
      </c>
      <c r="AE120" s="212">
        <f>IF($B120="Яйцо (шт)",SUMIF(Меню!$J$8:$EZ$8,$B120,Меню!$J$281:$EZ$281)*Обложка!$N$17/60,SUMIF(Меню!$J$8:$EZ$8,$B120,Меню!$J$281:$EZ$281)/1000*Обложка!$N$17)</f>
        <v>0</v>
      </c>
      <c r="AF120" s="212">
        <f>IF($B120="Яйцо (шт)",SUMIF(Меню!$J$8:$EZ$8,$B120,Меню!$J$286:$EZ$286)*Обложка!$N$18/60,SUMIF(Меню!$J$8:$EZ$8,$B120,Меню!$J$286:$EZ$286)/1000*Обложка!$N$18)</f>
        <v>0</v>
      </c>
      <c r="AG120" s="685">
        <f t="shared" si="14"/>
        <v>0</v>
      </c>
      <c r="AH120" s="212">
        <f>IF($B120="Яйцо (шт)",SUMIF(Меню!$J$8:$EZ$8,$B120,Меню!$J$298:$EZ$298)*Обложка!$P$15/60,SUMIF(Меню!$J$8:$EZ$8,$B120,Меню!$J$298:$EZ$298)/1000*Обложка!$P$15)</f>
        <v>0</v>
      </c>
      <c r="AI120" s="212">
        <f>IF($B120="Яйцо (шт)",SUMIF(Меню!$J$8:$EZ$8,$BB120,Меню!$J$313:$EZ$313)*Обложка!$P$16/60,SUMIF(Меню!$J$8:$EZ$8,$B120,Меню!$J$313:$EZ$313)/1000*Обложка!$P$16)</f>
        <v>0</v>
      </c>
      <c r="AJ120" s="212">
        <f>IF($B120="Яйцо (шт)",SUMIF(Меню!$J$8:$EZ$8,$B120,Меню!$J$326:$EZ$326)*Обложка!$P$17/60,SUMIF(Меню!$J$8:$EZ$8,$B120,Меню!$J$326:$EZ$326)/1000*Обложка!$P$17)</f>
        <v>0</v>
      </c>
      <c r="AK120" s="212">
        <f>IF($B120="Яйцо (шт)",SUMIF(Меню!$J$8:$EZ$8,$B120,Меню!$J$331:$EZ$331)*Обложка!$P$18/60,SUMIF(Меню!$J$8:$EZ$8,$B120,Меню!$J$331:$EZ$331)/1000*Обложка!$P$18)</f>
        <v>0</v>
      </c>
      <c r="AL120" s="699">
        <f t="shared" si="15"/>
        <v>0</v>
      </c>
      <c r="AM120" s="685">
        <f t="shared" si="16"/>
        <v>0</v>
      </c>
    </row>
    <row r="121" spans="1:39" x14ac:dyDescent="0.25">
      <c r="A121" s="249">
        <f t="shared" si="17"/>
        <v>109</v>
      </c>
      <c r="B121" s="248" t="str">
        <f>инфо!D110</f>
        <v>Яйцо (шт)</v>
      </c>
      <c r="C121" s="694">
        <f>SUMIF(Меню!$J$8:$FD$8,$B121,Меню!$J$333:$FD$333)</f>
        <v>4.08</v>
      </c>
      <c r="D121" s="212">
        <f>IF($B121="Яйцо (шт)",SUMIF(Меню!$J$8:$FD$8,$B121,Меню!$J$28:$FD$28)*Обложка!$D$15/60,SUMIF(Меню!$J$8:$FD$8,$B121,Меню!$J$28:$FD$28)/1000*Обложка!$D$15)</f>
        <v>2.0333333333333332</v>
      </c>
      <c r="E121" s="212">
        <f>IF($B121="Яйцо (шт)",SUMIF(Меню!$J$8:$FD$8,$B121,Меню!$J$43:$FD$43)*Обложка!$D$16/60,SUMIF(Меню!$J$8:$FD$8,$B121,Меню!$J$43:$FD$43)/1000*Обложка!$D$16)</f>
        <v>0</v>
      </c>
      <c r="F121" s="212">
        <f>IF($B121="Яйцо (шт)",SUMIF(Меню!$J$8:$FD$8,$B121,Меню!$J$56:$FD$56)*Обложка!$D$17/60,SUMIF(Меню!$J$8:$FD$8,$B121,Меню!$J$56:$FD$56)/1000*Обложка!$D$17)</f>
        <v>0</v>
      </c>
      <c r="G121" s="212">
        <f>IF($B121="Яйцо (шт)",SUMIF(Меню!$J$8:$FD$8,$B121,Меню!$J$61:$FD$61)*Обложка!$D$18/60,SUMIF(Меню!$J$8:$FD$8,$B121,Меню!$J$61:$FD$61)/1000*Обложка!$D$18)</f>
        <v>0</v>
      </c>
      <c r="H121" s="685">
        <f t="shared" si="9"/>
        <v>2.0333333333333332</v>
      </c>
      <c r="I121" s="212">
        <f>IF($B121="Яйцо (шт)",SUMIF(Меню!$J$8:$FD$8,$B121,Меню!$J$73:$FD$73)*Обложка!$F$15/60,SUMIF(Меню!$J$8:$FD$8,$B121,Меню!$J$73:$FD$73)/1000*Обложка!$F$15)</f>
        <v>0</v>
      </c>
      <c r="J121" s="212">
        <f>IF($B121="Яйцо (шт)",SUMIF(Меню!$J$8:$FD$8,$B121,Меню!$J$88:$FD$88)*Обложка!$F$16/60,SUMIF(Меню!$J$8:$FD$8,$B121,Меню!$J$88:$FD$88)/1000*Обложка!$G$16)</f>
        <v>0</v>
      </c>
      <c r="K121" s="212">
        <f>IF($B121="Яйцо (шт)",SUMIF(Меню!$J$8:$FD$8,$B121,Меню!$J$101:$FD$101)*Обложка!$F$17/60,SUMIF(Меню!$J$8:$FD$8,$B121,Меню!$J$101:$FD$101)/1000*Обложка!$F$17)</f>
        <v>0</v>
      </c>
      <c r="L121" s="212">
        <f>IF($B121="Яйцо (шт)",SUMIF(Меню!$J$8:$FD$8,$B121,Меню!$J$106:$FD$106)*Обложка!$F$18/60,SUMIF(Меню!$J$8:$FD$8,$B121,Меню!$J$106:$FD$106)/1000*Обложка!$F$18)</f>
        <v>0</v>
      </c>
      <c r="M121" s="685">
        <f t="shared" si="10"/>
        <v>0</v>
      </c>
      <c r="N121" s="212">
        <f>IF($B121="Яйцо (шт)",SUMIF(Меню!$J$8:$EZ$8,$B121,Меню!$J$118:$EZ$118)*Обложка!$H$15/60,SUMIF(Меню!$J$8:$EZ$8,$B121,Меню!$J$118:$EZ$118)/1000*Обложка!$H$15)</f>
        <v>1.9166666666666667</v>
      </c>
      <c r="O121" s="212">
        <f>IF($B121="Яйцо (шт)",SUMIF(Меню!$J$8:$EZ$8,$B121,Меню!$J$133:$EZ$133)*Обложка!$H$16/60,SUMIF(Меню!$J$8:$EZ$8,$B121,Меню!$J$133:$EZ$133)/1000*Обложка!$H$16)</f>
        <v>0</v>
      </c>
      <c r="P121" s="212">
        <f>IF($B121="Яйцо (шт)",SUMIF(Меню!$J$8:$EZ$8,$B121,Меню!$J$146:$EZ$146)*Обложка!$H$17/60,SUMIF(Меню!$J$8:$EZ$8,$B121,Меню!$J$146:$EZ$146)/1000*Обложка!$H$17)</f>
        <v>0</v>
      </c>
      <c r="Q121" s="212">
        <f>IF($B121="Яйцо (шт)",SUMIF(Меню!$J$8:$EZ$8,$B121,Меню!$J$151:$EZ$151)*Обложка!$H$18/60,SUMIF(Меню!$J$8:$EZ$8,$B121,Меню!$J$151:$EZ$151)/1000*Обложка!$H$18)</f>
        <v>0</v>
      </c>
      <c r="R121" s="685">
        <f t="shared" si="11"/>
        <v>1.9166666666666667</v>
      </c>
      <c r="S121" s="212">
        <f>IF($B121="Яйцо (шт)",SUMIF(Меню!$J$8:$EZ$8,$B121,Меню!$J$163:$EZ$163)*Обложка!$J$15/60,SUMIF(Меню!$J$8:$EZ$8,$B121,Меню!$J$163:$EZ$163)/1000*Обложка!$J$15)</f>
        <v>0</v>
      </c>
      <c r="T121" s="212">
        <f>IF($B121="Яйцо (шт)",SUMIF(Меню!$J$8:$EZ$8,$B121,Меню!$J$178:$EZ$178)*Обложка!$J$16/60,SUMIF(Меню!$J$8:$EZ$8,$B121,Меню!$J$178:$EZ$178)/1000*Обложка!$J$16)</f>
        <v>0</v>
      </c>
      <c r="U121" s="212">
        <f>IF($B121="Яйцо (шт)",SUMIF(Меню!$J$8:$EZ$8,$B121,Меню!$J$191:$EZ$191)*Обложка!$J$17/60,SUMIF(Меню!$J$8:$EZ$8,$B121,Меню!$J$191:$EZ$191)/1000*Обложка!$J$17)</f>
        <v>0</v>
      </c>
      <c r="V121" s="212">
        <f>IF($B121="Яйцо (шт)",SUMIF(Меню!$J$8:$EZ$8,$B121,Меню!$J$196:$EZ$196)*Обложка!$J$18/60,SUMIF(Меню!$J$8:$EZ$8,$B121,Меню!$J$196:$EZ$196)/1000*Обложка!$J$18)</f>
        <v>0</v>
      </c>
      <c r="W121" s="685">
        <f t="shared" si="12"/>
        <v>0</v>
      </c>
      <c r="X121" s="212">
        <f>IF($B121="Яйцо (шт)",SUMIF(Меню!$J$8:$EZ$8,$B121,Меню!$J$208:$EZ$208)*Обложка!$L$15/60,SUMIF(Меню!$J$8:$EZ$8,$B121,Меню!$J$208:$EZ$208)/1000*Обложка!$L$15)</f>
        <v>2.3333333333333335</v>
      </c>
      <c r="Y121" s="212">
        <f>IF($B121="Яйцо (шт)",SUMIF(Меню!$J$8:$EZ$8,$B121,Меню!$J$223:$EZ$223)*Обложка!$L$16/60,SUMIF(Меню!$J$8:$EZ$8,$B121,Меню!$J$223:$EZ$223)/1000*Обложка!$J$16)</f>
        <v>0</v>
      </c>
      <c r="Z121" s="212">
        <f>IF($B121="Яйцо (шт)",SUMIF(Меню!$J$8:$EZ$8,$B121,Меню!$J$236:$EZ$236)*Обложка!$L$17/60,SUMIF(Меню!$J$8:$EZ$8,$B121,Меню!$J$236:$EZ$236)/1000*Обложка!$L$17)</f>
        <v>0</v>
      </c>
      <c r="AA121" s="212">
        <f>IF($B121="Яйцо (шт)",SUMIF(Меню!$J$8:$EZ$8,$B121,Меню!$J$241:$EZ$241)*Обложка!$L$18/60,SUMIF(Меню!$J$8:$EZ$8,$B121,Меню!$J$241:$EZ$241)/1000*Обложка!$L$18)</f>
        <v>0</v>
      </c>
      <c r="AB121" s="685">
        <f t="shared" si="13"/>
        <v>2.3333333333333335</v>
      </c>
      <c r="AC121" s="212">
        <f>IF($B121="Яйцо (шт)",SUMIF(Меню!$J$8:$EZ$8,$B121,Меню!$J$253:$EZ$253)*Обложка!$N$15/60,SUMIF(Меню!$J$8:$EZ$8,$B121,Меню!$J$253:$EZ$253)/1000*Обложка!$N$15)</f>
        <v>0.75</v>
      </c>
      <c r="AD121" s="212">
        <f>IF($B121="Яйцо (шт)",SUMIF(Меню!$J$8:$EZ$8,$B121,Меню!$J$268:$EZ$268)*Обложка!$N$16/60,SUMIF(Меню!$J$8:$EZ$8,$B121,Меню!$J$268:$EZ$268)/1000*Обложка!$N$16)</f>
        <v>0</v>
      </c>
      <c r="AE121" s="212">
        <f>IF($B121="Яйцо (шт)",SUMIF(Меню!$J$8:$EZ$8,$B121,Меню!$J$281:$EZ$281)*Обложка!$N$17/60,SUMIF(Меню!$J$8:$EZ$8,$B121,Меню!$J$281:$EZ$281)/1000*Обложка!$N$17)</f>
        <v>0</v>
      </c>
      <c r="AF121" s="212">
        <f>IF($B121="Яйцо (шт)",SUMIF(Меню!$J$8:$EZ$8,$B121,Меню!$J$286:$EZ$286)*Обложка!$N$18/60,SUMIF(Меню!$J$8:$EZ$8,$B121,Меню!$J$286:$EZ$286)/1000*Обложка!$N$18)</f>
        <v>0</v>
      </c>
      <c r="AG121" s="685">
        <f t="shared" si="14"/>
        <v>0.75</v>
      </c>
      <c r="AH121" s="212">
        <f>IF($B121="Яйцо (шт)",SUMIF(Меню!$J$8:$EZ$8,$B121,Меню!$J$298:$EZ$298)*Обложка!$P$15/60,SUMIF(Меню!$J$8:$EZ$8,$B121,Меню!$J$298:$EZ$298)/1000*Обложка!$P$15)</f>
        <v>0</v>
      </c>
      <c r="AI121" s="212">
        <f>IF($B121="Яйцо (шт)",SUMIF(Меню!$J$8:$EZ$8,$BB121,Меню!$J$313:$EZ$313)*Обложка!$P$16/60,SUMIF(Меню!$J$8:$EZ$8,$B121,Меню!$J$313:$EZ$313)/1000*Обложка!$P$16)</f>
        <v>0</v>
      </c>
      <c r="AJ121" s="212">
        <f>IF($B121="Яйцо (шт)",SUMIF(Меню!$J$8:$EZ$8,$B121,Меню!$J$326:$EZ$326)*Обложка!$P$17/60,SUMIF(Меню!$J$8:$EZ$8,$B121,Меню!$J$326:$EZ$326)/1000*Обложка!$P$17)</f>
        <v>3.3333333333333333E-2</v>
      </c>
      <c r="AK121" s="212">
        <f>IF($B121="Яйцо (шт)",SUMIF(Меню!$J$8:$EZ$8,$B121,Меню!$J$331:$EZ$331)*Обложка!$P$18/60,SUMIF(Меню!$J$8:$EZ$8,$B121,Меню!$J$331:$EZ$331)/1000*Обложка!$P$18)</f>
        <v>0</v>
      </c>
      <c r="AL121" s="699">
        <f t="shared" si="15"/>
        <v>3.3333333333333333E-2</v>
      </c>
      <c r="AM121" s="685">
        <f t="shared" si="16"/>
        <v>7.0666666666666664</v>
      </c>
    </row>
    <row r="122" spans="1:39" x14ac:dyDescent="0.25">
      <c r="A122" s="249">
        <f t="shared" si="17"/>
        <v>110</v>
      </c>
      <c r="B122" s="248" t="str">
        <f>инфо!D111</f>
        <v>Сахар</v>
      </c>
      <c r="C122" s="694">
        <f>SUMIF(Меню!$J$8:$FD$8,$B122,Меню!$J$333:$FD$333)</f>
        <v>795</v>
      </c>
      <c r="D122" s="212">
        <f>IF($B122="Яйцо (шт)",SUMIF(Меню!$J$8:$FD$8,$B122,Меню!$J$28:$FD$28)*Обложка!$D$15/60,SUMIF(Меню!$J$8:$FD$8,$B122,Меню!$J$28:$FD$28)/1000*Обложка!$D$15)</f>
        <v>7.3199999999999994</v>
      </c>
      <c r="E122" s="212">
        <f>IF($B122="Яйцо (шт)",SUMIF(Меню!$J$8:$FD$8,$B122,Меню!$J$43:$FD$43)*Обложка!$D$16/60,SUMIF(Меню!$J$8:$FD$8,$B122,Меню!$J$43:$FD$43)/1000*Обложка!$D$16)</f>
        <v>1.8299999999999998</v>
      </c>
      <c r="F122" s="212">
        <f>IF($B122="Яйцо (шт)",SUMIF(Меню!$J$8:$FD$8,$B122,Меню!$J$56:$FD$56)*Обложка!$D$17/60,SUMIF(Меню!$J$8:$FD$8,$B122,Меню!$J$56:$FD$56)/1000*Обложка!$D$17)</f>
        <v>3.0500000000000003</v>
      </c>
      <c r="G122" s="212">
        <f>IF($B122="Яйцо (шт)",SUMIF(Меню!$J$8:$FD$8,$B122,Меню!$J$61:$FD$61)*Обложка!$D$18/60,SUMIF(Меню!$J$8:$FD$8,$B122,Меню!$J$61:$FD$61)/1000*Обложка!$D$18)</f>
        <v>6.1000000000000005</v>
      </c>
      <c r="H122" s="685">
        <f t="shared" si="9"/>
        <v>18.3</v>
      </c>
      <c r="I122" s="212">
        <f>IF($B122="Яйцо (шт)",SUMIF(Меню!$J$8:$FD$8,$B122,Меню!$J$73:$FD$73)*Обложка!$F$15/60,SUMIF(Меню!$J$8:$FD$8,$B122,Меню!$J$73:$FD$73)/1000*Обложка!$F$15)</f>
        <v>6.4</v>
      </c>
      <c r="J122" s="212">
        <f>IF($B122="Яйцо (шт)",SUMIF(Меню!$J$8:$FD$8,$B122,Меню!$J$88:$FD$88)*Обложка!$F$16/60,SUMIF(Меню!$J$8:$FD$8,$B122,Меню!$J$88:$FD$88)/1000*Обложка!$G$16)</f>
        <v>0.44</v>
      </c>
      <c r="K122" s="212">
        <f>IF($B122="Яйцо (шт)",SUMIF(Меню!$J$8:$FD$8,$B122,Меню!$J$101:$FD$101)*Обложка!$F$17/60,SUMIF(Меню!$J$8:$FD$8,$B122,Меню!$J$101:$FD$101)/1000*Обложка!$F$17)</f>
        <v>0</v>
      </c>
      <c r="L122" s="212">
        <f>IF($B122="Яйцо (шт)",SUMIF(Меню!$J$8:$FD$8,$B122,Меню!$J$106:$FD$106)*Обложка!$F$18/60,SUMIF(Меню!$J$8:$FD$8,$B122,Меню!$J$106:$FD$106)/1000*Обложка!$F$18)</f>
        <v>6.5</v>
      </c>
      <c r="M122" s="685">
        <f t="shared" si="10"/>
        <v>13.34</v>
      </c>
      <c r="N122" s="212">
        <f>IF($B122="Яйцо (шт)",SUMIF(Меню!$J$8:$EZ$8,$B122,Меню!$J$118:$EZ$118)*Обложка!$H$15/60,SUMIF(Меню!$J$8:$EZ$8,$B122,Меню!$J$118:$EZ$118)/1000*Обложка!$H$15)</f>
        <v>6.8999999999999995</v>
      </c>
      <c r="O122" s="212">
        <f>IF($B122="Яйцо (шт)",SUMIF(Меню!$J$8:$EZ$8,$B122,Меню!$J$133:$EZ$133)*Обложка!$H$16/60,SUMIF(Меню!$J$8:$EZ$8,$B122,Меню!$J$133:$EZ$133)/1000*Обложка!$H$16)</f>
        <v>0</v>
      </c>
      <c r="P122" s="212">
        <f>IF($B122="Яйцо (шт)",SUMIF(Меню!$J$8:$EZ$8,$B122,Меню!$J$146:$EZ$146)*Обложка!$H$17/60,SUMIF(Меню!$J$8:$EZ$8,$B122,Меню!$J$146:$EZ$146)/1000*Обложка!$H$17)</f>
        <v>0</v>
      </c>
      <c r="Q122" s="212">
        <f>IF($B122="Яйцо (шт)",SUMIF(Меню!$J$8:$EZ$8,$B122,Меню!$J$151:$EZ$151)*Обложка!$H$18/60,SUMIF(Меню!$J$8:$EZ$8,$B122,Меню!$J$151:$EZ$151)/1000*Обложка!$H$18)</f>
        <v>5.75</v>
      </c>
      <c r="R122" s="685">
        <f t="shared" si="11"/>
        <v>12.649999999999999</v>
      </c>
      <c r="S122" s="212">
        <f>IF($B122="Яйцо (шт)",SUMIF(Меню!$J$8:$EZ$8,$B122,Меню!$J$163:$EZ$163)*Обложка!$J$15/60,SUMIF(Меню!$J$8:$EZ$8,$B122,Меню!$J$163:$EZ$163)/1000*Обложка!$J$15)</f>
        <v>6.3</v>
      </c>
      <c r="T122" s="212">
        <f>IF($B122="Яйцо (шт)",SUMIF(Меню!$J$8:$EZ$8,$B122,Меню!$J$178:$EZ$178)*Обложка!$J$16/60,SUMIF(Меню!$J$8:$EZ$8,$B122,Меню!$J$178:$EZ$178)/1000*Обложка!$J$16)</f>
        <v>0</v>
      </c>
      <c r="U122" s="212">
        <f>IF($B122="Яйцо (шт)",SUMIF(Меню!$J$8:$EZ$8,$B122,Меню!$J$191:$EZ$191)*Обложка!$J$17/60,SUMIF(Меню!$J$8:$EZ$8,$B122,Меню!$J$191:$EZ$191)/1000*Обложка!$J$17)</f>
        <v>0</v>
      </c>
      <c r="V122" s="212">
        <f>IF($B122="Яйцо (шт)",SUMIF(Меню!$J$8:$EZ$8,$B122,Меню!$J$196:$EZ$196)*Обложка!$J$18/60,SUMIF(Меню!$J$8:$EZ$8,$B122,Меню!$J$196:$EZ$196)/1000*Обложка!$J$18)</f>
        <v>4.9000000000000004</v>
      </c>
      <c r="W122" s="685">
        <f t="shared" si="12"/>
        <v>11.2</v>
      </c>
      <c r="X122" s="212">
        <f>IF($B122="Яйцо (шт)",SUMIF(Меню!$J$8:$EZ$8,$B122,Меню!$J$208:$EZ$208)*Обложка!$L$15/60,SUMIF(Меню!$J$8:$EZ$8,$B122,Меню!$J$208:$EZ$208)/1000*Обложка!$L$15)</f>
        <v>7</v>
      </c>
      <c r="Y122" s="212">
        <f>IF($B122="Яйцо (шт)",SUMIF(Меню!$J$8:$EZ$8,$B122,Меню!$J$223:$EZ$223)*Обложка!$L$16/60,SUMIF(Меню!$J$8:$EZ$8,$B122,Меню!$J$223:$EZ$223)/1000*Обложка!$J$16)</f>
        <v>0</v>
      </c>
      <c r="Z122" s="212">
        <f>IF($B122="Яйцо (шт)",SUMIF(Меню!$J$8:$EZ$8,$B122,Меню!$J$236:$EZ$236)*Обложка!$L$17/60,SUMIF(Меню!$J$8:$EZ$8,$B122,Меню!$J$236:$EZ$236)/1000*Обложка!$L$17)</f>
        <v>0</v>
      </c>
      <c r="AA122" s="212">
        <f>IF($B122="Яйцо (шт)",SUMIF(Меню!$J$8:$EZ$8,$B122,Меню!$J$241:$EZ$241)*Обложка!$L$18/60,SUMIF(Меню!$J$8:$EZ$8,$B122,Меню!$J$241:$EZ$241)/1000*Обложка!$L$18)</f>
        <v>1.75</v>
      </c>
      <c r="AB122" s="685">
        <f t="shared" si="13"/>
        <v>8.75</v>
      </c>
      <c r="AC122" s="212">
        <f>IF($B122="Яйцо (шт)",SUMIF(Меню!$J$8:$EZ$8,$B122,Меню!$J$253:$EZ$253)*Обложка!$N$15/60,SUMIF(Меню!$J$8:$EZ$8,$B122,Меню!$J$253:$EZ$253)/1000*Обложка!$N$15)</f>
        <v>2.6999999999999997</v>
      </c>
      <c r="AD122" s="212">
        <f>IF($B122="Яйцо (шт)",SUMIF(Меню!$J$8:$EZ$8,$B122,Меню!$J$268:$EZ$268)*Обложка!$N$16/60,SUMIF(Меню!$J$8:$EZ$8,$B122,Меню!$J$268:$EZ$268)/1000*Обложка!$N$16)</f>
        <v>0</v>
      </c>
      <c r="AE122" s="212">
        <f>IF($B122="Яйцо (шт)",SUMIF(Меню!$J$8:$EZ$8,$B122,Меню!$J$281:$EZ$281)*Обложка!$N$17/60,SUMIF(Меню!$J$8:$EZ$8,$B122,Меню!$J$281:$EZ$281)/1000*Обложка!$N$17)</f>
        <v>0</v>
      </c>
      <c r="AF122" s="212">
        <f>IF($B122="Яйцо (шт)",SUMIF(Меню!$J$8:$EZ$8,$B122,Меню!$J$286:$EZ$286)*Обложка!$N$18/60,SUMIF(Меню!$J$8:$EZ$8,$B122,Меню!$J$286:$EZ$286)/1000*Обложка!$N$18)</f>
        <v>2.25</v>
      </c>
      <c r="AG122" s="685">
        <f t="shared" si="14"/>
        <v>4.9499999999999993</v>
      </c>
      <c r="AH122" s="212">
        <f>IF($B122="Яйцо (шт)",SUMIF(Меню!$J$8:$EZ$8,$B122,Меню!$J$298:$EZ$298)*Обложка!$P$15/60,SUMIF(Меню!$J$8:$EZ$8,$B122,Меню!$J$298:$EZ$298)/1000*Обложка!$P$15)</f>
        <v>0.5</v>
      </c>
      <c r="AI122" s="212">
        <f>IF($B122="Яйцо (шт)",SUMIF(Меню!$J$8:$EZ$8,$BB122,Меню!$J$313:$EZ$313)*Обложка!$P$16/60,SUMIF(Меню!$J$8:$EZ$8,$B122,Меню!$J$313:$EZ$313)/1000*Обложка!$P$16)</f>
        <v>0</v>
      </c>
      <c r="AJ122" s="212">
        <f>IF($B122="Яйцо (шт)",SUMIF(Меню!$J$8:$EZ$8,$B122,Меню!$J$326:$EZ$326)*Обложка!$P$17/60,SUMIF(Меню!$J$8:$EZ$8,$B122,Меню!$J$326:$EZ$326)/1000*Обложка!$P$17)</f>
        <v>0.5</v>
      </c>
      <c r="AK122" s="212">
        <f>IF($B122="Яйцо (шт)",SUMIF(Меню!$J$8:$EZ$8,$B122,Меню!$J$331:$EZ$331)*Обложка!$P$18/60,SUMIF(Меню!$J$8:$EZ$8,$B122,Меню!$J$331:$EZ$331)/1000*Обложка!$P$18)</f>
        <v>0.2</v>
      </c>
      <c r="AL122" s="699">
        <f t="shared" si="15"/>
        <v>1.2</v>
      </c>
      <c r="AM122" s="685">
        <f t="shared" si="16"/>
        <v>70.39</v>
      </c>
    </row>
    <row r="123" spans="1:39" x14ac:dyDescent="0.25">
      <c r="A123" s="249">
        <f t="shared" si="17"/>
        <v>111</v>
      </c>
      <c r="B123" s="248" t="str">
        <f>инфо!D112</f>
        <v>Соль</v>
      </c>
      <c r="C123" s="694">
        <f>SUMIF(Меню!$J$8:$FD$8,$B123,Меню!$J$333:$FD$333)</f>
        <v>164.83999999999997</v>
      </c>
      <c r="D123" s="212">
        <f>IF($B123="Яйцо (шт)",SUMIF(Меню!$J$8:$FD$8,$B123,Меню!$J$28:$FD$28)*Обложка!$D$15/60,SUMIF(Меню!$J$8:$FD$8,$B123,Меню!$J$28:$FD$28)/1000*Обложка!$D$15)</f>
        <v>0.61</v>
      </c>
      <c r="E123" s="212">
        <f>IF($B123="Яйцо (шт)",SUMIF(Меню!$J$8:$FD$8,$B123,Меню!$J$43:$FD$43)*Обложка!$D$16/60,SUMIF(Меню!$J$8:$FD$8,$B123,Меню!$J$43:$FD$43)/1000*Обложка!$D$16)</f>
        <v>1.1224000000000001</v>
      </c>
      <c r="F123" s="212">
        <f>IF($B123="Яйцо (шт)",SUMIF(Меню!$J$8:$FD$8,$B123,Меню!$J$56:$FD$56)*Обложка!$D$17/60,SUMIF(Меню!$J$8:$FD$8,$B123,Меню!$J$56:$FD$56)/1000*Обложка!$D$17)</f>
        <v>1.952</v>
      </c>
      <c r="G123" s="212">
        <f>IF($B123="Яйцо (шт)",SUMIF(Меню!$J$8:$FD$8,$B123,Меню!$J$61:$FD$61)*Обложка!$D$18/60,SUMIF(Меню!$J$8:$FD$8,$B123,Меню!$J$61:$FD$61)/1000*Обложка!$D$18)</f>
        <v>0</v>
      </c>
      <c r="H123" s="685">
        <f t="shared" si="9"/>
        <v>3.6844000000000001</v>
      </c>
      <c r="I123" s="212">
        <f>IF($B123="Яйцо (шт)",SUMIF(Меню!$J$8:$FD$8,$B123,Меню!$J$73:$FD$73)*Обложка!$F$15/60,SUMIF(Меню!$J$8:$FD$8,$B123,Меню!$J$73:$FD$73)/1000*Обложка!$F$15)</f>
        <v>0.25600000000000001</v>
      </c>
      <c r="J123" s="212">
        <f>IF($B123="Яйцо (шт)",SUMIF(Меню!$J$8:$FD$8,$B123,Меню!$J$88:$FD$88)*Обложка!$F$16/60,SUMIF(Меню!$J$8:$FD$8,$B123,Меню!$J$88:$FD$88)/1000*Обложка!$G$16)</f>
        <v>0.20152</v>
      </c>
      <c r="K123" s="212">
        <f>IF($B123="Яйцо (шт)",SUMIF(Меню!$J$8:$FD$8,$B123,Меню!$J$101:$FD$101)*Обложка!$F$17/60,SUMIF(Меню!$J$8:$FD$8,$B123,Меню!$J$101:$FD$101)/1000*Обложка!$F$17)</f>
        <v>2.08</v>
      </c>
      <c r="L123" s="212">
        <f>IF($B123="Яйцо (шт)",SUMIF(Меню!$J$8:$FD$8,$B123,Меню!$J$106:$FD$106)*Обложка!$F$18/60,SUMIF(Меню!$J$8:$FD$8,$B123,Меню!$J$106:$FD$106)/1000*Обложка!$F$18)</f>
        <v>0</v>
      </c>
      <c r="M123" s="685">
        <f t="shared" si="10"/>
        <v>2.5375200000000002</v>
      </c>
      <c r="N123" s="212">
        <f>IF($B123="Яйцо (шт)",SUMIF(Меню!$J$8:$EZ$8,$B123,Меню!$J$118:$EZ$118)*Обложка!$H$15/60,SUMIF(Меню!$J$8:$EZ$8,$B123,Меню!$J$118:$EZ$118)/1000*Обложка!$H$15)</f>
        <v>0.63249999999999995</v>
      </c>
      <c r="O123" s="212">
        <f>IF($B123="Яйцо (шт)",SUMIF(Меню!$J$8:$EZ$8,$B123,Меню!$J$133:$EZ$133)*Обложка!$H$16/60,SUMIF(Меню!$J$8:$EZ$8,$B123,Меню!$J$133:$EZ$133)/1000*Обложка!$H$16)</f>
        <v>0.82799999999999996</v>
      </c>
      <c r="P123" s="212">
        <f>IF($B123="Яйцо (шт)",SUMIF(Меню!$J$8:$EZ$8,$B123,Меню!$J$146:$EZ$146)*Обложка!$H$17/60,SUMIF(Меню!$J$8:$EZ$8,$B123,Меню!$J$146:$EZ$146)/1000*Обложка!$H$17)</f>
        <v>1.0349999999999999</v>
      </c>
      <c r="Q123" s="212">
        <f>IF($B123="Яйцо (шт)",SUMIF(Меню!$J$8:$EZ$8,$B123,Меню!$J$151:$EZ$151)*Обложка!$H$18/60,SUMIF(Меню!$J$8:$EZ$8,$B123,Меню!$J$151:$EZ$151)/1000*Обложка!$H$18)</f>
        <v>0</v>
      </c>
      <c r="R123" s="685">
        <f t="shared" si="11"/>
        <v>2.4954999999999998</v>
      </c>
      <c r="S123" s="212">
        <f>IF($B123="Яйцо (шт)",SUMIF(Меню!$J$8:$EZ$8,$B123,Меню!$J$163:$EZ$163)*Обложка!$J$15/60,SUMIF(Меню!$J$8:$EZ$8,$B123,Меню!$J$163:$EZ$163)/1000*Обложка!$J$15)</f>
        <v>0.315</v>
      </c>
      <c r="T123" s="212">
        <f>IF($B123="Яйцо (шт)",SUMIF(Меню!$J$8:$EZ$8,$B123,Меню!$J$178:$EZ$178)*Обложка!$J$16/60,SUMIF(Меню!$J$8:$EZ$8,$B123,Меню!$J$178:$EZ$178)/1000*Обложка!$J$16)</f>
        <v>1.22</v>
      </c>
      <c r="U123" s="212">
        <f>IF($B123="Яйцо (шт)",SUMIF(Меню!$J$8:$EZ$8,$B123,Меню!$J$191:$EZ$191)*Обложка!$J$17/60,SUMIF(Меню!$J$8:$EZ$8,$B123,Меню!$J$191:$EZ$191)/1000*Обложка!$J$17)</f>
        <v>0.73499999999999999</v>
      </c>
      <c r="V123" s="212">
        <f>IF($B123="Яйцо (шт)",SUMIF(Меню!$J$8:$EZ$8,$B123,Меню!$J$196:$EZ$196)*Обложка!$J$18/60,SUMIF(Меню!$J$8:$EZ$8,$B123,Меню!$J$196:$EZ$196)/1000*Обложка!$J$18)</f>
        <v>0</v>
      </c>
      <c r="W123" s="685">
        <f t="shared" si="12"/>
        <v>2.27</v>
      </c>
      <c r="X123" s="212">
        <f>IF($B123="Яйцо (шт)",SUMIF(Меню!$J$8:$EZ$8,$B123,Меню!$J$208:$EZ$208)*Обложка!$L$15/60,SUMIF(Меню!$J$8:$EZ$8,$B123,Меню!$J$208:$EZ$208)/1000*Обложка!$L$15)</f>
        <v>0.70000000000000007</v>
      </c>
      <c r="Y123" s="212">
        <f>IF($B123="Яйцо (шт)",SUMIF(Меню!$J$8:$EZ$8,$B123,Меню!$J$223:$EZ$223)*Обложка!$L$16/60,SUMIF(Меню!$J$8:$EZ$8,$B123,Меню!$J$223:$EZ$223)/1000*Обложка!$J$16)</f>
        <v>0.54999999999999993</v>
      </c>
      <c r="Z123" s="212">
        <f>IF($B123="Яйцо (шт)",SUMIF(Меню!$J$8:$EZ$8,$B123,Меню!$J$236:$EZ$236)*Обложка!$L$17/60,SUMIF(Меню!$J$8:$EZ$8,$B123,Меню!$J$236:$EZ$236)/1000*Обложка!$L$17)</f>
        <v>0.32129999999999997</v>
      </c>
      <c r="AA123" s="212">
        <f>IF($B123="Яйцо (шт)",SUMIF(Меню!$J$8:$EZ$8,$B123,Меню!$J$241:$EZ$241)*Обложка!$L$18/60,SUMIF(Меню!$J$8:$EZ$8,$B123,Меню!$J$241:$EZ$241)/1000*Обложка!$L$18)</f>
        <v>0</v>
      </c>
      <c r="AB123" s="685">
        <f t="shared" si="13"/>
        <v>1.5712999999999999</v>
      </c>
      <c r="AC123" s="212">
        <f>IF($B123="Яйцо (шт)",SUMIF(Меню!$J$8:$EZ$8,$B123,Меню!$J$253:$EZ$253)*Обложка!$N$15/60,SUMIF(Меню!$J$8:$EZ$8,$B123,Меню!$J$253:$EZ$253)/1000*Обложка!$N$15)</f>
        <v>0.22500000000000001</v>
      </c>
      <c r="AD123" s="212">
        <f>IF($B123="Яйцо (шт)",SUMIF(Меню!$J$8:$EZ$8,$B123,Меню!$J$268:$EZ$268)*Обложка!$N$16/60,SUMIF(Меню!$J$8:$EZ$8,$B123,Меню!$J$268:$EZ$268)/1000*Обложка!$N$16)</f>
        <v>0.54899999999999993</v>
      </c>
      <c r="AE123" s="212">
        <f>IF($B123="Яйцо (шт)",SUMIF(Меню!$J$8:$EZ$8,$B123,Меню!$J$281:$EZ$281)*Обложка!$N$17/60,SUMIF(Меню!$J$8:$EZ$8,$B123,Меню!$J$281:$EZ$281)/1000*Обложка!$N$17)</f>
        <v>0.40499999999999997</v>
      </c>
      <c r="AF123" s="212">
        <f>IF($B123="Яйцо (шт)",SUMIF(Меню!$J$8:$EZ$8,$B123,Меню!$J$286:$EZ$286)*Обложка!$N$18/60,SUMIF(Меню!$J$8:$EZ$8,$B123,Меню!$J$286:$EZ$286)/1000*Обложка!$N$18)</f>
        <v>0</v>
      </c>
      <c r="AG123" s="685">
        <f t="shared" si="14"/>
        <v>1.1789999999999998</v>
      </c>
      <c r="AH123" s="212">
        <f>IF($B123="Яйцо (шт)",SUMIF(Меню!$J$8:$EZ$8,$B123,Меню!$J$298:$EZ$298)*Обложка!$P$15/60,SUMIF(Меню!$J$8:$EZ$8,$B123,Меню!$J$298:$EZ$298)/1000*Обложка!$P$15)</f>
        <v>0.1</v>
      </c>
      <c r="AI123" s="212">
        <f>IF($B123="Яйцо (шт)",SUMIF(Меню!$J$8:$EZ$8,$BB123,Меню!$J$313:$EZ$313)*Обложка!$P$16/60,SUMIF(Меню!$J$8:$EZ$8,$B123,Меню!$J$313:$EZ$313)/1000*Обложка!$P$16)</f>
        <v>0.15</v>
      </c>
      <c r="AJ123" s="212">
        <f>IF($B123="Яйцо (шт)",SUMIF(Меню!$J$8:$EZ$8,$B123,Меню!$J$326:$EZ$326)*Обложка!$P$17/60,SUMIF(Меню!$J$8:$EZ$8,$B123,Меню!$J$326:$EZ$326)/1000*Обложка!$P$17)</f>
        <v>0.155</v>
      </c>
      <c r="AK123" s="212">
        <f>IF($B123="Яйцо (шт)",SUMIF(Меню!$J$8:$EZ$8,$B123,Меню!$J$331:$EZ$331)*Обложка!$P$18/60,SUMIF(Меню!$J$8:$EZ$8,$B123,Меню!$J$331:$EZ$331)/1000*Обложка!$P$18)</f>
        <v>0</v>
      </c>
      <c r="AL123" s="699">
        <f t="shared" si="15"/>
        <v>0.40500000000000003</v>
      </c>
      <c r="AM123" s="685">
        <f t="shared" si="16"/>
        <v>14.142720000000001</v>
      </c>
    </row>
    <row r="124" spans="1:39" x14ac:dyDescent="0.25">
      <c r="A124" s="249">
        <f t="shared" si="17"/>
        <v>112</v>
      </c>
      <c r="B124" s="248" t="str">
        <f>инфо!D113</f>
        <v>Лавровый лист</v>
      </c>
      <c r="C124" s="694">
        <f>SUMIF(Меню!$J$8:$FD$8,$B124,Меню!$J$333:$FD$333)</f>
        <v>0.32600000000000001</v>
      </c>
      <c r="D124" s="212">
        <f>IF($B124="Яйцо (шт)",SUMIF(Меню!$J$8:$FD$8,$B124,Меню!$J$28:$FD$28)*Обложка!$D$15/60,SUMIF(Меню!$J$8:$FD$8,$B124,Меню!$J$28:$FD$28)/1000*Обложка!$D$15)</f>
        <v>0</v>
      </c>
      <c r="E124" s="212">
        <f>IF($B124="Яйцо (шт)",SUMIF(Меню!$J$8:$FD$8,$B124,Меню!$J$43:$FD$43)*Обложка!$D$16/60,SUMIF(Меню!$J$8:$FD$8,$B124,Меню!$J$43:$FD$43)/1000*Обложка!$D$16)</f>
        <v>4.1479999999999998E-3</v>
      </c>
      <c r="F124" s="212">
        <f>IF($B124="Яйцо (шт)",SUMIF(Меню!$J$8:$FD$8,$B124,Меню!$J$56:$FD$56)*Обложка!$D$17/60,SUMIF(Меню!$J$8:$FD$8,$B124,Меню!$J$56:$FD$56)/1000*Обложка!$D$17)</f>
        <v>2.4400000000000003E-3</v>
      </c>
      <c r="G124" s="212">
        <f>IF($B124="Яйцо (шт)",SUMIF(Меню!$J$8:$FD$8,$B124,Меню!$J$61:$FD$61)*Обложка!$D$18/60,SUMIF(Меню!$J$8:$FD$8,$B124,Меню!$J$61:$FD$61)/1000*Обложка!$D$18)</f>
        <v>0</v>
      </c>
      <c r="H124" s="685">
        <f t="shared" si="9"/>
        <v>6.5880000000000001E-3</v>
      </c>
      <c r="I124" s="212">
        <f>IF($B124="Яйцо (шт)",SUMIF(Меню!$J$8:$FD$8,$B124,Меню!$J$73:$FD$73)*Обложка!$F$15/60,SUMIF(Меню!$J$8:$FD$8,$B124,Меню!$J$73:$FD$73)/1000*Обложка!$F$15)</f>
        <v>0</v>
      </c>
      <c r="J124" s="212">
        <f>IF($B124="Яйцо (шт)",SUMIF(Меню!$J$8:$FD$8,$B124,Меню!$J$88:$FD$88)*Обложка!$F$16/60,SUMIF(Меню!$J$8:$FD$8,$B124,Меню!$J$88:$FD$88)/1000*Обложка!$G$16)</f>
        <v>5.9840000000000002E-4</v>
      </c>
      <c r="K124" s="212">
        <f>IF($B124="Яйцо (шт)",SUMIF(Меню!$J$8:$FD$8,$B124,Меню!$J$101:$FD$101)*Обложка!$F$17/60,SUMIF(Меню!$J$8:$FD$8,$B124,Меню!$J$101:$FD$101)/1000*Обложка!$F$17)</f>
        <v>0</v>
      </c>
      <c r="L124" s="212">
        <f>IF($B124="Яйцо (шт)",SUMIF(Меню!$J$8:$FD$8,$B124,Меню!$J$106:$FD$106)*Обложка!$F$18/60,SUMIF(Меню!$J$8:$FD$8,$B124,Меню!$J$106:$FD$106)/1000*Обложка!$F$18)</f>
        <v>0</v>
      </c>
      <c r="M124" s="685">
        <f t="shared" si="10"/>
        <v>5.9840000000000002E-4</v>
      </c>
      <c r="N124" s="212">
        <f>IF($B124="Яйцо (шт)",SUMIF(Меню!$J$8:$EZ$8,$B124,Меню!$J$118:$EZ$118)*Обложка!$H$15/60,SUMIF(Меню!$J$8:$EZ$8,$B124,Меню!$J$118:$EZ$118)/1000*Обложка!$H$15)</f>
        <v>0</v>
      </c>
      <c r="O124" s="212">
        <f>IF($B124="Яйцо (шт)",SUMIF(Меню!$J$8:$EZ$8,$B124,Меню!$J$133:$EZ$133)*Обложка!$H$16/60,SUMIF(Меню!$J$8:$EZ$8,$B124,Меню!$J$133:$EZ$133)/1000*Обложка!$H$16)</f>
        <v>3.1280000000000001E-3</v>
      </c>
      <c r="P124" s="212">
        <f>IF($B124="Яйцо (шт)",SUMIF(Меню!$J$8:$EZ$8,$B124,Меню!$J$146:$EZ$146)*Обложка!$H$17/60,SUMIF(Меню!$J$8:$EZ$8,$B124,Меню!$J$146:$EZ$146)/1000*Обложка!$H$17)</f>
        <v>2.3000000000000004E-3</v>
      </c>
      <c r="Q124" s="212">
        <f>IF($B124="Яйцо (шт)",SUMIF(Меню!$J$8:$EZ$8,$B124,Меню!$J$151:$EZ$151)*Обложка!$H$18/60,SUMIF(Меню!$J$8:$EZ$8,$B124,Меню!$J$151:$EZ$151)/1000*Обложка!$H$18)</f>
        <v>0</v>
      </c>
      <c r="R124" s="685">
        <f t="shared" si="11"/>
        <v>5.4280000000000005E-3</v>
      </c>
      <c r="S124" s="212">
        <f>IF($B124="Яйцо (шт)",SUMIF(Меню!$J$8:$EZ$8,$B124,Меню!$J$163:$EZ$163)*Обложка!$J$15/60,SUMIF(Меню!$J$8:$EZ$8,$B124,Меню!$J$163:$EZ$163)/1000*Обложка!$J$15)</f>
        <v>0</v>
      </c>
      <c r="T124" s="212">
        <f>IF($B124="Яйцо (шт)",SUMIF(Меню!$J$8:$EZ$8,$B124,Меню!$J$178:$EZ$178)*Обложка!$J$16/60,SUMIF(Меню!$J$8:$EZ$8,$B124,Меню!$J$178:$EZ$178)/1000*Обложка!$J$16)</f>
        <v>2.4000000000000002E-3</v>
      </c>
      <c r="U124" s="212">
        <f>IF($B124="Яйцо (шт)",SUMIF(Меню!$J$8:$EZ$8,$B124,Меню!$J$191:$EZ$191)*Обложка!$J$17/60,SUMIF(Меню!$J$8:$EZ$8,$B124,Меню!$J$191:$EZ$191)/1000*Обложка!$J$17)</f>
        <v>0</v>
      </c>
      <c r="V124" s="212">
        <f>IF($B124="Яйцо (шт)",SUMIF(Меню!$J$8:$EZ$8,$B124,Меню!$J$196:$EZ$196)*Обложка!$J$18/60,SUMIF(Меню!$J$8:$EZ$8,$B124,Меню!$J$196:$EZ$196)/1000*Обложка!$J$18)</f>
        <v>0</v>
      </c>
      <c r="W124" s="685">
        <f t="shared" si="12"/>
        <v>2.4000000000000002E-3</v>
      </c>
      <c r="X124" s="212">
        <f>IF($B124="Яйцо (шт)",SUMIF(Меню!$J$8:$EZ$8,$B124,Меню!$J$208:$EZ$208)*Обложка!$L$15/60,SUMIF(Меню!$J$8:$EZ$8,$B124,Меню!$J$208:$EZ$208)/1000*Обложка!$L$15)</f>
        <v>0</v>
      </c>
      <c r="Y124" s="212">
        <f>IF($B124="Яйцо (шт)",SUMIF(Меню!$J$8:$EZ$8,$B124,Меню!$J$223:$EZ$223)*Обложка!$L$16/60,SUMIF(Меню!$J$8:$EZ$8,$B124,Меню!$J$223:$EZ$223)/1000*Обложка!$J$16)</f>
        <v>2.9999999999999996E-3</v>
      </c>
      <c r="Z124" s="212">
        <f>IF($B124="Яйцо (шт)",SUMIF(Меню!$J$8:$EZ$8,$B124,Меню!$J$236:$EZ$236)*Обложка!$L$17/60,SUMIF(Меню!$J$8:$EZ$8,$B124,Меню!$J$236:$EZ$236)/1000*Обложка!$L$17)</f>
        <v>9.6599999999999995E-4</v>
      </c>
      <c r="AA124" s="212">
        <f>IF($B124="Яйцо (шт)",SUMIF(Меню!$J$8:$EZ$8,$B124,Меню!$J$241:$EZ$241)*Обложка!$L$18/60,SUMIF(Меню!$J$8:$EZ$8,$B124,Меню!$J$241:$EZ$241)/1000*Обложка!$L$18)</f>
        <v>0</v>
      </c>
      <c r="AB124" s="685">
        <f t="shared" si="13"/>
        <v>3.9659999999999999E-3</v>
      </c>
      <c r="AC124" s="212">
        <f>IF($B124="Яйцо (шт)",SUMIF(Меню!$J$8:$EZ$8,$B124,Меню!$J$253:$EZ$253)*Обложка!$N$15/60,SUMIF(Меню!$J$8:$EZ$8,$B124,Меню!$J$253:$EZ$253)/1000*Обложка!$N$15)</f>
        <v>0</v>
      </c>
      <c r="AD124" s="212">
        <f>IF($B124="Яйцо (шт)",SUMIF(Меню!$J$8:$EZ$8,$B124,Меню!$J$268:$EZ$268)*Обложка!$N$16/60,SUMIF(Меню!$J$8:$EZ$8,$B124,Меню!$J$268:$EZ$268)/1000*Обложка!$N$16)</f>
        <v>1.08E-3</v>
      </c>
      <c r="AE124" s="212">
        <f>IF($B124="Яйцо (шт)",SUMIF(Меню!$J$8:$EZ$8,$B124,Меню!$J$281:$EZ$281)*Обложка!$N$17/60,SUMIF(Меню!$J$8:$EZ$8,$B124,Меню!$J$281:$EZ$281)/1000*Обложка!$N$17)</f>
        <v>9.0000000000000008E-4</v>
      </c>
      <c r="AF124" s="212">
        <f>IF($B124="Яйцо (шт)",SUMIF(Меню!$J$8:$EZ$8,$B124,Меню!$J$286:$EZ$286)*Обложка!$N$18/60,SUMIF(Меню!$J$8:$EZ$8,$B124,Меню!$J$286:$EZ$286)/1000*Обложка!$N$18)</f>
        <v>0</v>
      </c>
      <c r="AG124" s="685">
        <f t="shared" si="14"/>
        <v>1.98E-3</v>
      </c>
      <c r="AH124" s="212">
        <f>IF($B124="Яйцо (шт)",SUMIF(Меню!$J$8:$EZ$8,$B124,Меню!$J$298:$EZ$298)*Обложка!$P$15/60,SUMIF(Меню!$J$8:$EZ$8,$B124,Меню!$J$298:$EZ$298)/1000*Обложка!$P$15)</f>
        <v>0</v>
      </c>
      <c r="AI124" s="212">
        <f>IF($B124="Яйцо (шт)",SUMIF(Меню!$J$8:$EZ$8,$BB124,Меню!$J$313:$EZ$313)*Обложка!$P$16/60,SUMIF(Меню!$J$8:$EZ$8,$B124,Меню!$J$313:$EZ$313)/1000*Обложка!$P$16)</f>
        <v>7.4999999999999991E-4</v>
      </c>
      <c r="AJ124" s="212">
        <f>IF($B124="Яйцо (шт)",SUMIF(Меню!$J$8:$EZ$8,$B124,Меню!$J$326:$EZ$326)*Обложка!$P$17/60,SUMIF(Меню!$J$8:$EZ$8,$B124,Меню!$J$326:$EZ$326)/1000*Обложка!$P$17)</f>
        <v>1.0500000000000002E-3</v>
      </c>
      <c r="AK124" s="212">
        <f>IF($B124="Яйцо (шт)",SUMIF(Меню!$J$8:$EZ$8,$B124,Меню!$J$331:$EZ$331)*Обложка!$P$18/60,SUMIF(Меню!$J$8:$EZ$8,$B124,Меню!$J$331:$EZ$331)/1000*Обложка!$P$18)</f>
        <v>0</v>
      </c>
      <c r="AL124" s="699">
        <f t="shared" si="15"/>
        <v>1.8E-3</v>
      </c>
      <c r="AM124" s="685">
        <f t="shared" si="16"/>
        <v>2.27604E-2</v>
      </c>
    </row>
    <row r="125" spans="1:39" x14ac:dyDescent="0.25">
      <c r="A125" s="249">
        <f t="shared" si="17"/>
        <v>113</v>
      </c>
      <c r="B125" s="248" t="str">
        <f>инфо!D114</f>
        <v>Перец черный</v>
      </c>
      <c r="C125" s="694">
        <f>SUMIF(Меню!$J$8:$FD$8,$B125,Меню!$J$333:$FD$333)</f>
        <v>1.43</v>
      </c>
      <c r="D125" s="212">
        <f>IF($B125="Яйцо (шт)",SUMIF(Меню!$J$8:$FD$8,$B125,Меню!$J$28:$FD$28)*Обложка!$D$15/60,SUMIF(Меню!$J$8:$FD$8,$B125,Меню!$J$28:$FD$28)/1000*Обложка!$D$15)</f>
        <v>0</v>
      </c>
      <c r="E125" s="212">
        <f>IF($B125="Яйцо (шт)",SUMIF(Меню!$J$8:$FD$8,$B125,Меню!$J$43:$FD$43)*Обложка!$D$16/60,SUMIF(Меню!$J$8:$FD$8,$B125,Меню!$J$43:$FD$43)/1000*Обложка!$D$16)</f>
        <v>7.3200000000000001E-3</v>
      </c>
      <c r="F125" s="212">
        <f>IF($B125="Яйцо (шт)",SUMIF(Меню!$J$8:$FD$8,$B125,Меню!$J$56:$FD$56)*Обложка!$D$17/60,SUMIF(Меню!$J$8:$FD$8,$B125,Меню!$J$56:$FD$56)/1000*Обложка!$D$17)</f>
        <v>9.7600000000000013E-3</v>
      </c>
      <c r="G125" s="212">
        <f>IF($B125="Яйцо (шт)",SUMIF(Меню!$J$8:$FD$8,$B125,Меню!$J$61:$FD$61)*Обложка!$D$18/60,SUMIF(Меню!$J$8:$FD$8,$B125,Меню!$J$61:$FD$61)/1000*Обложка!$D$18)</f>
        <v>0</v>
      </c>
      <c r="H125" s="685">
        <f t="shared" si="9"/>
        <v>1.7080000000000001E-2</v>
      </c>
      <c r="I125" s="212">
        <f>IF($B125="Яйцо (шт)",SUMIF(Меню!$J$8:$FD$8,$B125,Меню!$J$73:$FD$73)*Обложка!$F$15/60,SUMIF(Меню!$J$8:$FD$8,$B125,Меню!$J$73:$FD$73)/1000*Обложка!$F$15)</f>
        <v>0</v>
      </c>
      <c r="J125" s="212">
        <f>IF($B125="Яйцо (шт)",SUMIF(Меню!$J$8:$FD$8,$B125,Меню!$J$88:$FD$88)*Обложка!$F$16/60,SUMIF(Меню!$J$8:$FD$8,$B125,Меню!$J$88:$FD$88)/1000*Обложка!$G$16)</f>
        <v>1.7160000000000001E-3</v>
      </c>
      <c r="K125" s="212">
        <f>IF($B125="Яйцо (шт)",SUMIF(Меню!$J$8:$FD$8,$B125,Меню!$J$101:$FD$101)*Обложка!$F$17/60,SUMIF(Меню!$J$8:$FD$8,$B125,Меню!$J$101:$FD$101)/1000*Обложка!$F$17)</f>
        <v>1.3000000000000002E-3</v>
      </c>
      <c r="L125" s="212">
        <f>IF($B125="Яйцо (шт)",SUMIF(Меню!$J$8:$FD$8,$B125,Меню!$J$106:$FD$106)*Обложка!$F$18/60,SUMIF(Меню!$J$8:$FD$8,$B125,Меню!$J$106:$FD$106)/1000*Обложка!$F$18)</f>
        <v>0</v>
      </c>
      <c r="M125" s="685">
        <f t="shared" si="10"/>
        <v>3.0160000000000005E-3</v>
      </c>
      <c r="N125" s="212">
        <f>IF($B125="Яйцо (шт)",SUMIF(Меню!$J$8:$EZ$8,$B125,Меню!$J$118:$EZ$118)*Обложка!$H$15/60,SUMIF(Меню!$J$8:$EZ$8,$B125,Меню!$J$118:$EZ$118)/1000*Обложка!$H$15)</f>
        <v>0</v>
      </c>
      <c r="O125" s="212">
        <f>IF($B125="Яйцо (шт)",SUMIF(Меню!$J$8:$EZ$8,$B125,Меню!$J$133:$EZ$133)*Обложка!$H$16/60,SUMIF(Меню!$J$8:$EZ$8,$B125,Меню!$J$133:$EZ$133)/1000*Обложка!$H$16)</f>
        <v>1.932E-2</v>
      </c>
      <c r="P125" s="212">
        <f>IF($B125="Яйцо (шт)",SUMIF(Меню!$J$8:$EZ$8,$B125,Меню!$J$146:$EZ$146)*Обложка!$H$17/60,SUMIF(Меню!$J$8:$EZ$8,$B125,Меню!$J$146:$EZ$146)/1000*Обложка!$H$17)</f>
        <v>6.8999999999999999E-3</v>
      </c>
      <c r="Q125" s="212">
        <f>IF($B125="Яйцо (шт)",SUMIF(Меню!$J$8:$EZ$8,$B125,Меню!$J$151:$EZ$151)*Обложка!$H$18/60,SUMIF(Меню!$J$8:$EZ$8,$B125,Меню!$J$151:$EZ$151)/1000*Обложка!$H$18)</f>
        <v>0</v>
      </c>
      <c r="R125" s="685">
        <f t="shared" si="11"/>
        <v>2.622E-2</v>
      </c>
      <c r="S125" s="212">
        <f>IF($B125="Яйцо (шт)",SUMIF(Меню!$J$8:$EZ$8,$B125,Меню!$J$163:$EZ$163)*Обложка!$J$15/60,SUMIF(Меню!$J$8:$EZ$8,$B125,Меню!$J$163:$EZ$163)/1000*Обложка!$J$15)</f>
        <v>0</v>
      </c>
      <c r="T125" s="212">
        <f>IF($B125="Яйцо (шт)",SUMIF(Меню!$J$8:$EZ$8,$B125,Меню!$J$178:$EZ$178)*Обложка!$J$16/60,SUMIF(Меню!$J$8:$EZ$8,$B125,Меню!$J$178:$EZ$178)/1000*Обложка!$J$16)</f>
        <v>5.6000000000000008E-2</v>
      </c>
      <c r="U125" s="212">
        <f>IF($B125="Яйцо (шт)",SUMIF(Меню!$J$8:$EZ$8,$B125,Меню!$J$191:$EZ$191)*Обложка!$J$17/60,SUMIF(Меню!$J$8:$EZ$8,$B125,Меню!$J$191:$EZ$191)/1000*Обложка!$J$17)</f>
        <v>9.8000000000000019E-4</v>
      </c>
      <c r="V125" s="212">
        <f>IF($B125="Яйцо (шт)",SUMIF(Меню!$J$8:$EZ$8,$B125,Меню!$J$196:$EZ$196)*Обложка!$J$18/60,SUMIF(Меню!$J$8:$EZ$8,$B125,Меню!$J$196:$EZ$196)/1000*Обложка!$J$18)</f>
        <v>0</v>
      </c>
      <c r="W125" s="685">
        <f t="shared" si="12"/>
        <v>5.698000000000001E-2</v>
      </c>
      <c r="X125" s="212">
        <f>IF($B125="Яйцо (шт)",SUMIF(Меню!$J$8:$EZ$8,$B125,Меню!$J$208:$EZ$208)*Обложка!$L$15/60,SUMIF(Меню!$J$8:$EZ$8,$B125,Меню!$J$208:$EZ$208)/1000*Обложка!$L$15)</f>
        <v>0</v>
      </c>
      <c r="Y125" s="212">
        <f>IF($B125="Яйцо (шт)",SUMIF(Меню!$J$8:$EZ$8,$B125,Меню!$J$223:$EZ$223)*Обложка!$L$16/60,SUMIF(Меню!$J$8:$EZ$8,$B125,Меню!$J$223:$EZ$223)/1000*Обложка!$J$16)</f>
        <v>5.0000000000000001E-3</v>
      </c>
      <c r="Z125" s="212">
        <f>IF($B125="Яйцо (шт)",SUMIF(Меню!$J$8:$EZ$8,$B125,Меню!$J$236:$EZ$236)*Обложка!$L$17/60,SUMIF(Меню!$J$8:$EZ$8,$B125,Меню!$J$236:$EZ$236)/1000*Обложка!$L$17)</f>
        <v>2.7649999999999997E-3</v>
      </c>
      <c r="AA125" s="212">
        <f>IF($B125="Яйцо (шт)",SUMIF(Меню!$J$8:$EZ$8,$B125,Меню!$J$241:$EZ$241)*Обложка!$L$18/60,SUMIF(Меню!$J$8:$EZ$8,$B125,Меню!$J$241:$EZ$241)/1000*Обложка!$L$18)</f>
        <v>0</v>
      </c>
      <c r="AB125" s="685">
        <f t="shared" si="13"/>
        <v>7.7649999999999993E-3</v>
      </c>
      <c r="AC125" s="212">
        <f>IF($B125="Яйцо (шт)",SUMIF(Меню!$J$8:$EZ$8,$B125,Меню!$J$253:$EZ$253)*Обложка!$N$15/60,SUMIF(Меню!$J$8:$EZ$8,$B125,Меню!$J$253:$EZ$253)/1000*Обложка!$N$15)</f>
        <v>0</v>
      </c>
      <c r="AD125" s="212">
        <f>IF($B125="Яйцо (шт)",SUMIF(Меню!$J$8:$EZ$8,$B125,Меню!$J$268:$EZ$268)*Обложка!$N$16/60,SUMIF(Меню!$J$8:$EZ$8,$B125,Меню!$J$268:$EZ$268)/1000*Обложка!$N$16)</f>
        <v>3.6000000000000003E-3</v>
      </c>
      <c r="AE125" s="212">
        <f>IF($B125="Яйцо (шт)",SUMIF(Меню!$J$8:$EZ$8,$B125,Меню!$J$281:$EZ$281)*Обложка!$N$17/60,SUMIF(Меню!$J$8:$EZ$8,$B125,Меню!$J$281:$EZ$281)/1000*Обложка!$N$17)</f>
        <v>2.7000000000000001E-3</v>
      </c>
      <c r="AF125" s="212">
        <f>IF($B125="Яйцо (шт)",SUMIF(Меню!$J$8:$EZ$8,$B125,Меню!$J$286:$EZ$286)*Обложка!$N$18/60,SUMIF(Меню!$J$8:$EZ$8,$B125,Меню!$J$286:$EZ$286)/1000*Обложка!$N$18)</f>
        <v>0</v>
      </c>
      <c r="AG125" s="685">
        <f t="shared" si="14"/>
        <v>6.3E-3</v>
      </c>
      <c r="AH125" s="212">
        <f>IF($B125="Яйцо (шт)",SUMIF(Меню!$J$8:$EZ$8,$B125,Меню!$J$298:$EZ$298)*Обложка!$P$15/60,SUMIF(Меню!$J$8:$EZ$8,$B125,Меню!$J$298:$EZ$298)/1000*Обложка!$P$15)</f>
        <v>2.0000000000000001E-4</v>
      </c>
      <c r="AI125" s="212">
        <f>IF($B125="Яйцо (шт)",SUMIF(Меню!$J$8:$EZ$8,$BB125,Меню!$J$313:$EZ$313)*Обложка!$P$16/60,SUMIF(Меню!$J$8:$EZ$8,$B125,Меню!$J$313:$EZ$313)/1000*Обложка!$P$16)</f>
        <v>1.5E-3</v>
      </c>
      <c r="AJ125" s="212">
        <f>IF($B125="Яйцо (шт)",SUMIF(Меню!$J$8:$EZ$8,$B125,Меню!$J$326:$EZ$326)*Обложка!$P$17/60,SUMIF(Меню!$J$8:$EZ$8,$B125,Меню!$J$326:$EZ$326)/1000*Обложка!$P$17)</f>
        <v>1.6250000000000001E-3</v>
      </c>
      <c r="AK125" s="212">
        <f>IF($B125="Яйцо (шт)",SUMIF(Меню!$J$8:$EZ$8,$B125,Меню!$J$331:$EZ$331)*Обложка!$P$18/60,SUMIF(Меню!$J$8:$EZ$8,$B125,Меню!$J$331:$EZ$331)/1000*Обложка!$P$18)</f>
        <v>0</v>
      </c>
      <c r="AL125" s="699">
        <f t="shared" si="15"/>
        <v>3.3250000000000003E-3</v>
      </c>
      <c r="AM125" s="685">
        <f t="shared" si="16"/>
        <v>0.120686</v>
      </c>
    </row>
    <row r="126" spans="1:39" x14ac:dyDescent="0.25">
      <c r="A126" s="249">
        <f t="shared" si="17"/>
        <v>114</v>
      </c>
      <c r="B126" s="248" t="str">
        <f>инфо!D115</f>
        <v>Томат-паста</v>
      </c>
      <c r="C126" s="694">
        <f>SUMIF(Меню!$J$8:$FD$8,$B126,Меню!$J$333:$FD$333)</f>
        <v>23.56</v>
      </c>
      <c r="D126" s="212">
        <f>IF($B126="Яйцо (шт)",SUMIF(Меню!$J$8:$FD$8,$B126,Меню!$J$28:$FD$28)*Обложка!$D$15/60,SUMIF(Меню!$J$8:$FD$8,$B126,Меню!$J$28:$FD$28)/1000*Обложка!$D$15)</f>
        <v>0</v>
      </c>
      <c r="E126" s="212">
        <f>IF($B126="Яйцо (шт)",SUMIF(Меню!$J$8:$FD$8,$B126,Меню!$J$43:$FD$43)*Обложка!$D$16/60,SUMIF(Меню!$J$8:$FD$8,$B126,Меню!$J$43:$FD$43)/1000*Обложка!$D$16)</f>
        <v>0.24399999999999999</v>
      </c>
      <c r="F126" s="212">
        <f>IF($B126="Яйцо (шт)",SUMIF(Меню!$J$8:$FD$8,$B126,Меню!$J$56:$FD$56)*Обложка!$D$17/60,SUMIF(Меню!$J$8:$FD$8,$B126,Меню!$J$56:$FD$56)/1000*Обложка!$D$17)</f>
        <v>0</v>
      </c>
      <c r="G126" s="212">
        <f>IF($B126="Яйцо (шт)",SUMIF(Меню!$J$8:$FD$8,$B126,Меню!$J$61:$FD$61)*Обложка!$D$18/60,SUMIF(Меню!$J$8:$FD$8,$B126,Меню!$J$61:$FD$61)/1000*Обложка!$D$18)</f>
        <v>0</v>
      </c>
      <c r="H126" s="685">
        <f t="shared" si="9"/>
        <v>0.24399999999999999</v>
      </c>
      <c r="I126" s="212">
        <f>IF($B126="Яйцо (шт)",SUMIF(Меню!$J$8:$FD$8,$B126,Меню!$J$73:$FD$73)*Обложка!$F$15/60,SUMIF(Меню!$J$8:$FD$8,$B126,Меню!$J$73:$FD$73)/1000*Обложка!$F$15)</f>
        <v>0</v>
      </c>
      <c r="J126" s="212">
        <f>IF($B126="Яйцо (шт)",SUMIF(Меню!$J$8:$FD$8,$B126,Меню!$J$88:$FD$88)*Обложка!$F$16/60,SUMIF(Меню!$J$8:$FD$8,$B126,Меню!$J$88:$FD$88)/1000*Обложка!$G$16)</f>
        <v>1.4080000000000001E-2</v>
      </c>
      <c r="K126" s="212">
        <f>IF($B126="Яйцо (шт)",SUMIF(Меню!$J$8:$FD$8,$B126,Меню!$J$101:$FD$101)*Обложка!$F$17/60,SUMIF(Меню!$J$8:$FD$8,$B126,Меню!$J$101:$FD$101)/1000*Обложка!$F$17)</f>
        <v>0</v>
      </c>
      <c r="L126" s="212">
        <f>IF($B126="Яйцо (шт)",SUMIF(Меню!$J$8:$FD$8,$B126,Меню!$J$106:$FD$106)*Обложка!$F$18/60,SUMIF(Меню!$J$8:$FD$8,$B126,Меню!$J$106:$FD$106)/1000*Обложка!$F$18)</f>
        <v>0</v>
      </c>
      <c r="M126" s="685">
        <f t="shared" si="10"/>
        <v>1.4080000000000001E-2</v>
      </c>
      <c r="N126" s="212">
        <f>IF($B126="Яйцо (шт)",SUMIF(Меню!$J$8:$EZ$8,$B126,Меню!$J$118:$EZ$118)*Обложка!$H$15/60,SUMIF(Меню!$J$8:$EZ$8,$B126,Меню!$J$118:$EZ$118)/1000*Обложка!$H$15)</f>
        <v>0</v>
      </c>
      <c r="O126" s="212">
        <f>IF($B126="Яйцо (шт)",SUMIF(Меню!$J$8:$EZ$8,$B126,Меню!$J$133:$EZ$133)*Обложка!$H$16/60,SUMIF(Меню!$J$8:$EZ$8,$B126,Меню!$J$133:$EZ$133)/1000*Обложка!$H$16)</f>
        <v>0.52900000000000003</v>
      </c>
      <c r="P126" s="212">
        <f>IF($B126="Яйцо (шт)",SUMIF(Меню!$J$8:$EZ$8,$B126,Меню!$J$146:$EZ$146)*Обложка!$H$17/60,SUMIF(Меню!$J$8:$EZ$8,$B126,Меню!$J$146:$EZ$146)/1000*Обложка!$H$17)</f>
        <v>0</v>
      </c>
      <c r="Q126" s="212">
        <f>IF($B126="Яйцо (шт)",SUMIF(Меню!$J$8:$EZ$8,$B126,Меню!$J$151:$EZ$151)*Обложка!$H$18/60,SUMIF(Меню!$J$8:$EZ$8,$B126,Меню!$J$151:$EZ$151)/1000*Обложка!$H$18)</f>
        <v>0</v>
      </c>
      <c r="R126" s="685">
        <f t="shared" si="11"/>
        <v>0.52900000000000003</v>
      </c>
      <c r="S126" s="212">
        <f>IF($B126="Яйцо (шт)",SUMIF(Меню!$J$8:$EZ$8,$B126,Меню!$J$163:$EZ$163)*Обложка!$J$15/60,SUMIF(Меню!$J$8:$EZ$8,$B126,Меню!$J$163:$EZ$163)/1000*Обложка!$J$15)</f>
        <v>0</v>
      </c>
      <c r="T126" s="212">
        <f>IF($B126="Яйцо (шт)",SUMIF(Меню!$J$8:$EZ$8,$B126,Меню!$J$178:$EZ$178)*Обложка!$J$16/60,SUMIF(Меню!$J$8:$EZ$8,$B126,Меню!$J$178:$EZ$178)/1000*Обложка!$J$16)</f>
        <v>0.27999999999999997</v>
      </c>
      <c r="U126" s="212">
        <f>IF($B126="Яйцо (шт)",SUMIF(Меню!$J$8:$EZ$8,$B126,Меню!$J$191:$EZ$191)*Обложка!$J$17/60,SUMIF(Меню!$J$8:$EZ$8,$B126,Меню!$J$191:$EZ$191)/1000*Обложка!$J$17)</f>
        <v>0</v>
      </c>
      <c r="V126" s="212">
        <f>IF($B126="Яйцо (шт)",SUMIF(Меню!$J$8:$EZ$8,$B126,Меню!$J$196:$EZ$196)*Обложка!$J$18/60,SUMIF(Меню!$J$8:$EZ$8,$B126,Меню!$J$196:$EZ$196)/1000*Обложка!$J$18)</f>
        <v>0</v>
      </c>
      <c r="W126" s="685">
        <f t="shared" si="12"/>
        <v>0.27999999999999997</v>
      </c>
      <c r="X126" s="212">
        <f>IF($B126="Яйцо (шт)",SUMIF(Меню!$J$8:$EZ$8,$B126,Меню!$J$208:$EZ$208)*Обложка!$L$15/60,SUMIF(Меню!$J$8:$EZ$8,$B126,Меню!$J$208:$EZ$208)/1000*Обложка!$L$15)</f>
        <v>0</v>
      </c>
      <c r="Y126" s="212">
        <f>IF($B126="Яйцо (шт)",SUMIF(Меню!$J$8:$EZ$8,$B126,Меню!$J$223:$EZ$223)*Обложка!$L$16/60,SUMIF(Меню!$J$8:$EZ$8,$B126,Меню!$J$223:$EZ$223)/1000*Обложка!$J$16)</f>
        <v>0.2</v>
      </c>
      <c r="Z126" s="212">
        <f>IF($B126="Яйцо (шт)",SUMIF(Меню!$J$8:$EZ$8,$B126,Меню!$J$236:$EZ$236)*Обложка!$L$17/60,SUMIF(Меню!$J$8:$EZ$8,$B126,Меню!$J$236:$EZ$236)/1000*Обложка!$L$17)</f>
        <v>2.5199999999999997E-2</v>
      </c>
      <c r="AA126" s="212">
        <f>IF($B126="Яйцо (шт)",SUMIF(Меню!$J$8:$EZ$8,$B126,Меню!$J$241:$EZ$241)*Обложка!$L$18/60,SUMIF(Меню!$J$8:$EZ$8,$B126,Меню!$J$241:$EZ$241)/1000*Обложка!$L$18)</f>
        <v>0</v>
      </c>
      <c r="AB126" s="685">
        <f t="shared" si="13"/>
        <v>0.22520000000000001</v>
      </c>
      <c r="AC126" s="212">
        <f>IF($B126="Яйцо (шт)",SUMIF(Меню!$J$8:$EZ$8,$B126,Меню!$J$253:$EZ$253)*Обложка!$N$15/60,SUMIF(Меню!$J$8:$EZ$8,$B126,Меню!$J$253:$EZ$253)/1000*Обложка!$N$15)</f>
        <v>0</v>
      </c>
      <c r="AD126" s="212">
        <f>IF($B126="Яйцо (шт)",SUMIF(Меню!$J$8:$EZ$8,$B126,Меню!$J$268:$EZ$268)*Обложка!$N$16/60,SUMIF(Меню!$J$8:$EZ$8,$B126,Меню!$J$268:$EZ$268)/1000*Обложка!$N$16)</f>
        <v>0.21599999999999997</v>
      </c>
      <c r="AE126" s="212">
        <f>IF($B126="Яйцо (шт)",SUMIF(Меню!$J$8:$EZ$8,$B126,Меню!$J$281:$EZ$281)*Обложка!$N$17/60,SUMIF(Меню!$J$8:$EZ$8,$B126,Меню!$J$281:$EZ$281)/1000*Обложка!$N$17)</f>
        <v>0</v>
      </c>
      <c r="AF126" s="212">
        <f>IF($B126="Яйцо (шт)",SUMIF(Меню!$J$8:$EZ$8,$B126,Меню!$J$286:$EZ$286)*Обложка!$N$18/60,SUMIF(Меню!$J$8:$EZ$8,$B126,Меню!$J$286:$EZ$286)/1000*Обложка!$N$18)</f>
        <v>0</v>
      </c>
      <c r="AG126" s="685">
        <f t="shared" si="14"/>
        <v>0.21599999999999997</v>
      </c>
      <c r="AH126" s="212">
        <f>IF($B126="Яйцо (шт)",SUMIF(Меню!$J$8:$EZ$8,$B126,Меню!$J$298:$EZ$298)*Обложка!$P$15/60,SUMIF(Меню!$J$8:$EZ$8,$B126,Меню!$J$298:$EZ$298)/1000*Обложка!$P$15)</f>
        <v>0</v>
      </c>
      <c r="AI126" s="212">
        <f>IF($B126="Яйцо (шт)",SUMIF(Меню!$J$8:$EZ$8,$BB126,Меню!$J$313:$EZ$313)*Обложка!$P$16/60,SUMIF(Меню!$J$8:$EZ$8,$B126,Меню!$J$313:$EZ$313)/1000*Обложка!$P$16)</f>
        <v>0.1</v>
      </c>
      <c r="AJ126" s="212">
        <f>IF($B126="Яйцо (шт)",SUMIF(Меню!$J$8:$EZ$8,$B126,Меню!$J$326:$EZ$326)*Обложка!$P$17/60,SUMIF(Меню!$J$8:$EZ$8,$B126,Меню!$J$326:$EZ$326)/1000*Обложка!$P$17)</f>
        <v>0.05</v>
      </c>
      <c r="AK126" s="212">
        <f>IF($B126="Яйцо (шт)",SUMIF(Меню!$J$8:$EZ$8,$B126,Меню!$J$331:$EZ$331)*Обложка!$P$18/60,SUMIF(Меню!$J$8:$EZ$8,$B126,Меню!$J$331:$EZ$331)/1000*Обложка!$P$18)</f>
        <v>0</v>
      </c>
      <c r="AL126" s="699">
        <f t="shared" si="15"/>
        <v>0.15000000000000002</v>
      </c>
      <c r="AM126" s="685">
        <f t="shared" si="16"/>
        <v>1.65828</v>
      </c>
    </row>
    <row r="127" spans="1:39" x14ac:dyDescent="0.25">
      <c r="A127" s="249">
        <f t="shared" si="17"/>
        <v>115</v>
      </c>
      <c r="B127" s="248" t="str">
        <f>инфо!D116</f>
        <v>Горчица</v>
      </c>
      <c r="C127" s="694">
        <f>SUMIF(Меню!$J$8:$FD$8,$B127,Меню!$J$333:$FD$333)</f>
        <v>30</v>
      </c>
      <c r="D127" s="212">
        <f>IF($B127="Яйцо (шт)",SUMIF(Меню!$J$8:$FD$8,$B127,Меню!$J$28:$FD$28)*Обложка!$D$15/60,SUMIF(Меню!$J$8:$FD$8,$B127,Меню!$J$28:$FD$28)/1000*Обложка!$D$15)</f>
        <v>0</v>
      </c>
      <c r="E127" s="212">
        <f>IF($B127="Яйцо (шт)",SUMIF(Меню!$J$8:$FD$8,$B127,Меню!$J$43:$FD$43)*Обложка!$D$16/60,SUMIF(Меню!$J$8:$FD$8,$B127,Меню!$J$43:$FD$43)/1000*Обложка!$D$16)</f>
        <v>0.61</v>
      </c>
      <c r="F127" s="212">
        <f>IF($B127="Яйцо (шт)",SUMIF(Меню!$J$8:$FD$8,$B127,Меню!$J$56:$FD$56)*Обложка!$D$17/60,SUMIF(Меню!$J$8:$FD$8,$B127,Меню!$J$56:$FD$56)/1000*Обложка!$D$17)</f>
        <v>0</v>
      </c>
      <c r="G127" s="212">
        <f>IF($B127="Яйцо (шт)",SUMIF(Меню!$J$8:$FD$8,$B127,Меню!$J$61:$FD$61)*Обложка!$D$18/60,SUMIF(Меню!$J$8:$FD$8,$B127,Меню!$J$61:$FD$61)/1000*Обложка!$D$18)</f>
        <v>0</v>
      </c>
      <c r="H127" s="685">
        <f t="shared" si="9"/>
        <v>0.61</v>
      </c>
      <c r="I127" s="212">
        <f>IF($B127="Яйцо (шт)",SUMIF(Меню!$J$8:$FD$8,$B127,Меню!$J$73:$FD$73)*Обложка!$F$15/60,SUMIF(Меню!$J$8:$FD$8,$B127,Меню!$J$73:$FD$73)/1000*Обложка!$F$15)</f>
        <v>0</v>
      </c>
      <c r="J127" s="212">
        <f>IF($B127="Яйцо (шт)",SUMIF(Меню!$J$8:$FD$8,$B127,Меню!$J$88:$FD$88)*Обложка!$F$16/60,SUMIF(Меню!$J$8:$FD$8,$B127,Меню!$J$88:$FD$88)/1000*Обложка!$G$16)</f>
        <v>0.11</v>
      </c>
      <c r="K127" s="212">
        <f>IF($B127="Яйцо (шт)",SUMIF(Меню!$J$8:$FD$8,$B127,Меню!$J$101:$FD$101)*Обложка!$F$17/60,SUMIF(Меню!$J$8:$FD$8,$B127,Меню!$J$101:$FD$101)/1000*Обложка!$F$17)</f>
        <v>0</v>
      </c>
      <c r="L127" s="212">
        <f>IF($B127="Яйцо (шт)",SUMIF(Меню!$J$8:$FD$8,$B127,Меню!$J$106:$FD$106)*Обложка!$F$18/60,SUMIF(Меню!$J$8:$FD$8,$B127,Меню!$J$106:$FD$106)/1000*Обложка!$F$18)</f>
        <v>0</v>
      </c>
      <c r="M127" s="685">
        <f t="shared" si="10"/>
        <v>0.11</v>
      </c>
      <c r="N127" s="212">
        <f>IF($B127="Яйцо (шт)",SUMIF(Меню!$J$8:$EZ$8,$B127,Меню!$J$118:$EZ$118)*Обложка!$H$15/60,SUMIF(Меню!$J$8:$EZ$8,$B127,Меню!$J$118:$EZ$118)/1000*Обложка!$H$15)</f>
        <v>0</v>
      </c>
      <c r="O127" s="212">
        <f>IF($B127="Яйцо (шт)",SUMIF(Меню!$J$8:$EZ$8,$B127,Меню!$J$133:$EZ$133)*Обложка!$H$16/60,SUMIF(Меню!$J$8:$EZ$8,$B127,Меню!$J$133:$EZ$133)/1000*Обложка!$H$16)</f>
        <v>0.57500000000000007</v>
      </c>
      <c r="P127" s="212">
        <f>IF($B127="Яйцо (шт)",SUMIF(Меню!$J$8:$EZ$8,$B127,Меню!$J$146:$EZ$146)*Обложка!$H$17/60,SUMIF(Меню!$J$8:$EZ$8,$B127,Меню!$J$146:$EZ$146)/1000*Обложка!$H$17)</f>
        <v>0</v>
      </c>
      <c r="Q127" s="212">
        <f>IF($B127="Яйцо (шт)",SUMIF(Меню!$J$8:$EZ$8,$B127,Меню!$J$151:$EZ$151)*Обложка!$H$18/60,SUMIF(Меню!$J$8:$EZ$8,$B127,Меню!$J$151:$EZ$151)/1000*Обложка!$H$18)</f>
        <v>0</v>
      </c>
      <c r="R127" s="685">
        <f t="shared" si="11"/>
        <v>0.57500000000000007</v>
      </c>
      <c r="S127" s="212">
        <f>IF($B127="Яйцо (шт)",SUMIF(Меню!$J$8:$EZ$8,$B127,Меню!$J$163:$EZ$163)*Обложка!$J$15/60,SUMIF(Меню!$J$8:$EZ$8,$B127,Меню!$J$163:$EZ$163)/1000*Обложка!$J$15)</f>
        <v>0</v>
      </c>
      <c r="T127" s="212">
        <f>IF($B127="Яйцо (шт)",SUMIF(Меню!$J$8:$EZ$8,$B127,Меню!$J$178:$EZ$178)*Обложка!$J$16/60,SUMIF(Меню!$J$8:$EZ$8,$B127,Меню!$J$178:$EZ$178)/1000*Обложка!$J$16)</f>
        <v>0</v>
      </c>
      <c r="U127" s="212">
        <f>IF($B127="Яйцо (шт)",SUMIF(Меню!$J$8:$EZ$8,$B127,Меню!$J$191:$EZ$191)*Обложка!$J$17/60,SUMIF(Меню!$J$8:$EZ$8,$B127,Меню!$J$191:$EZ$191)/1000*Обложка!$J$17)</f>
        <v>0</v>
      </c>
      <c r="V127" s="212">
        <f>IF($B127="Яйцо (шт)",SUMIF(Меню!$J$8:$EZ$8,$B127,Меню!$J$196:$EZ$196)*Обложка!$J$18/60,SUMIF(Меню!$J$8:$EZ$8,$B127,Меню!$J$196:$EZ$196)/1000*Обложка!$J$18)</f>
        <v>0</v>
      </c>
      <c r="W127" s="685">
        <f t="shared" si="12"/>
        <v>0</v>
      </c>
      <c r="X127" s="212">
        <f>IF($B127="Яйцо (шт)",SUMIF(Меню!$J$8:$EZ$8,$B127,Меню!$J$208:$EZ$208)*Обложка!$L$15/60,SUMIF(Меню!$J$8:$EZ$8,$B127,Меню!$J$208:$EZ$208)/1000*Обложка!$L$15)</f>
        <v>0</v>
      </c>
      <c r="Y127" s="212">
        <f>IF($B127="Яйцо (шт)",SUMIF(Меню!$J$8:$EZ$8,$B127,Меню!$J$223:$EZ$223)*Обложка!$L$16/60,SUMIF(Меню!$J$8:$EZ$8,$B127,Меню!$J$223:$EZ$223)/1000*Обложка!$J$16)</f>
        <v>1</v>
      </c>
      <c r="Z127" s="212">
        <f>IF($B127="Яйцо (шт)",SUMIF(Меню!$J$8:$EZ$8,$B127,Меню!$J$236:$EZ$236)*Обложка!$L$17/60,SUMIF(Меню!$J$8:$EZ$8,$B127,Меню!$J$236:$EZ$236)/1000*Обложка!$L$17)</f>
        <v>0</v>
      </c>
      <c r="AA127" s="212">
        <f>IF($B127="Яйцо (шт)",SUMIF(Меню!$J$8:$EZ$8,$B127,Меню!$J$241:$EZ$241)*Обложка!$L$18/60,SUMIF(Меню!$J$8:$EZ$8,$B127,Меню!$J$241:$EZ$241)/1000*Обложка!$L$18)</f>
        <v>0</v>
      </c>
      <c r="AB127" s="685">
        <f t="shared" si="13"/>
        <v>1</v>
      </c>
      <c r="AC127" s="212">
        <f>IF($B127="Яйцо (шт)",SUMIF(Меню!$J$8:$EZ$8,$B127,Меню!$J$253:$EZ$253)*Обложка!$N$15/60,SUMIF(Меню!$J$8:$EZ$8,$B127,Меню!$J$253:$EZ$253)/1000*Обложка!$N$15)</f>
        <v>0</v>
      </c>
      <c r="AD127" s="212">
        <f>IF($B127="Яйцо (шт)",SUMIF(Меню!$J$8:$EZ$8,$B127,Меню!$J$268:$EZ$268)*Обложка!$N$16/60,SUMIF(Меню!$J$8:$EZ$8,$B127,Меню!$J$268:$EZ$268)/1000*Обложка!$N$16)</f>
        <v>0</v>
      </c>
      <c r="AE127" s="212">
        <f>IF($B127="Яйцо (шт)",SUMIF(Меню!$J$8:$EZ$8,$B127,Меню!$J$281:$EZ$281)*Обложка!$N$17/60,SUMIF(Меню!$J$8:$EZ$8,$B127,Меню!$J$281:$EZ$281)/1000*Обложка!$N$17)</f>
        <v>0</v>
      </c>
      <c r="AF127" s="212">
        <f>IF($B127="Яйцо (шт)",SUMIF(Меню!$J$8:$EZ$8,$B127,Меню!$J$286:$EZ$286)*Обложка!$N$18/60,SUMIF(Меню!$J$8:$EZ$8,$B127,Меню!$J$286:$EZ$286)/1000*Обложка!$N$18)</f>
        <v>0</v>
      </c>
      <c r="AG127" s="685">
        <f t="shared" si="14"/>
        <v>0</v>
      </c>
      <c r="AH127" s="212">
        <f>IF($B127="Яйцо (шт)",SUMIF(Меню!$J$8:$EZ$8,$B127,Меню!$J$298:$EZ$298)*Обложка!$P$15/60,SUMIF(Меню!$J$8:$EZ$8,$B127,Меню!$J$298:$EZ$298)/1000*Обложка!$P$15)</f>
        <v>0</v>
      </c>
      <c r="AI127" s="212">
        <f>IF($B127="Яйцо (шт)",SUMIF(Меню!$J$8:$EZ$8,$BB127,Меню!$J$313:$EZ$313)*Обложка!$P$16/60,SUMIF(Меню!$J$8:$EZ$8,$B127,Меню!$J$313:$EZ$313)/1000*Обложка!$P$16)</f>
        <v>0.125</v>
      </c>
      <c r="AJ127" s="212">
        <f>IF($B127="Яйцо (шт)",SUMIF(Меню!$J$8:$EZ$8,$B127,Меню!$J$326:$EZ$326)*Обложка!$P$17/60,SUMIF(Меню!$J$8:$EZ$8,$B127,Меню!$J$326:$EZ$326)/1000*Обложка!$P$17)</f>
        <v>0</v>
      </c>
      <c r="AK127" s="212">
        <f>IF($B127="Яйцо (шт)",SUMIF(Меню!$J$8:$EZ$8,$B127,Меню!$J$331:$EZ$331)*Обложка!$P$18/60,SUMIF(Меню!$J$8:$EZ$8,$B127,Меню!$J$331:$EZ$331)/1000*Обложка!$P$18)</f>
        <v>0</v>
      </c>
      <c r="AL127" s="699">
        <f t="shared" si="15"/>
        <v>0.125</v>
      </c>
      <c r="AM127" s="685">
        <f t="shared" si="16"/>
        <v>2.42</v>
      </c>
    </row>
    <row r="128" spans="1:39" x14ac:dyDescent="0.25">
      <c r="A128" s="249">
        <f t="shared" si="17"/>
        <v>116</v>
      </c>
      <c r="B128" s="248" t="str">
        <f>инфо!D117</f>
        <v>Горчичный порошок</v>
      </c>
      <c r="C128" s="694">
        <f>SUMIF(Меню!$J$8:$FD$8,$B128,Меню!$J$333:$FD$333)</f>
        <v>0</v>
      </c>
      <c r="D128" s="212">
        <f>IF($B128="Яйцо (шт)",SUMIF(Меню!$J$8:$FD$8,$B128,Меню!$J$28:$FD$28)*Обложка!$D$15/60,SUMIF(Меню!$J$8:$FD$8,$B128,Меню!$J$28:$FD$28)/1000*Обложка!$D$15)</f>
        <v>0</v>
      </c>
      <c r="E128" s="212">
        <f>IF($B128="Яйцо (шт)",SUMIF(Меню!$J$8:$FD$8,$B128,Меню!$J$43:$FD$43)*Обложка!$D$16/60,SUMIF(Меню!$J$8:$FD$8,$B128,Меню!$J$43:$FD$43)/1000*Обложка!$D$16)</f>
        <v>0</v>
      </c>
      <c r="F128" s="212">
        <f>IF($B128="Яйцо (шт)",SUMIF(Меню!$J$8:$FD$8,$B128,Меню!$J$56:$FD$56)*Обложка!$D$17/60,SUMIF(Меню!$J$8:$FD$8,$B128,Меню!$J$56:$FD$56)/1000*Обложка!$D$17)</f>
        <v>0</v>
      </c>
      <c r="G128" s="212">
        <f>IF($B128="Яйцо (шт)",SUMIF(Меню!$J$8:$FD$8,$B128,Меню!$J$61:$FD$61)*Обложка!$D$18/60,SUMIF(Меню!$J$8:$FD$8,$B128,Меню!$J$61:$FD$61)/1000*Обложка!$D$18)</f>
        <v>0</v>
      </c>
      <c r="H128" s="685">
        <f t="shared" si="9"/>
        <v>0</v>
      </c>
      <c r="I128" s="212">
        <f>IF($B128="Яйцо (шт)",SUMIF(Меню!$J$8:$FD$8,$B128,Меню!$J$73:$FD$73)*Обложка!$F$15/60,SUMIF(Меню!$J$8:$FD$8,$B128,Меню!$J$73:$FD$73)/1000*Обложка!$F$15)</f>
        <v>0</v>
      </c>
      <c r="J128" s="212">
        <f>IF($B128="Яйцо (шт)",SUMIF(Меню!$J$8:$FD$8,$B128,Меню!$J$88:$FD$88)*Обложка!$F$16/60,SUMIF(Меню!$J$8:$FD$8,$B128,Меню!$J$88:$FD$88)/1000*Обложка!$G$16)</f>
        <v>0</v>
      </c>
      <c r="K128" s="212">
        <f>IF($B128="Яйцо (шт)",SUMIF(Меню!$J$8:$FD$8,$B128,Меню!$J$101:$FD$101)*Обложка!$F$17/60,SUMIF(Меню!$J$8:$FD$8,$B128,Меню!$J$101:$FD$101)/1000*Обложка!$F$17)</f>
        <v>0</v>
      </c>
      <c r="L128" s="212">
        <f>IF($B128="Яйцо (шт)",SUMIF(Меню!$J$8:$FD$8,$B128,Меню!$J$106:$FD$106)*Обложка!$F$18/60,SUMIF(Меню!$J$8:$FD$8,$B128,Меню!$J$106:$FD$106)/1000*Обложка!$F$18)</f>
        <v>0</v>
      </c>
      <c r="M128" s="685">
        <f t="shared" si="10"/>
        <v>0</v>
      </c>
      <c r="N128" s="212">
        <f>IF($B128="Яйцо (шт)",SUMIF(Меню!$J$8:$EZ$8,$B128,Меню!$J$118:$EZ$118)*Обложка!$H$15/60,SUMIF(Меню!$J$8:$EZ$8,$B128,Меню!$J$118:$EZ$118)/1000*Обложка!$H$15)</f>
        <v>0</v>
      </c>
      <c r="O128" s="212">
        <f>IF($B128="Яйцо (шт)",SUMIF(Меню!$J$8:$EZ$8,$B128,Меню!$J$133:$EZ$133)*Обложка!$H$16/60,SUMIF(Меню!$J$8:$EZ$8,$B128,Меню!$J$133:$EZ$133)/1000*Обложка!$H$16)</f>
        <v>0</v>
      </c>
      <c r="P128" s="212">
        <f>IF($B128="Яйцо (шт)",SUMIF(Меню!$J$8:$EZ$8,$B128,Меню!$J$146:$EZ$146)*Обложка!$H$17/60,SUMIF(Меню!$J$8:$EZ$8,$B128,Меню!$J$146:$EZ$146)/1000*Обложка!$H$17)</f>
        <v>0</v>
      </c>
      <c r="Q128" s="212">
        <f>IF($B128="Яйцо (шт)",SUMIF(Меню!$J$8:$EZ$8,$B128,Меню!$J$151:$EZ$151)*Обложка!$H$18/60,SUMIF(Меню!$J$8:$EZ$8,$B128,Меню!$J$151:$EZ$151)/1000*Обложка!$H$18)</f>
        <v>0</v>
      </c>
      <c r="R128" s="685">
        <f t="shared" si="11"/>
        <v>0</v>
      </c>
      <c r="S128" s="212">
        <f>IF($B128="Яйцо (шт)",SUMIF(Меню!$J$8:$EZ$8,$B128,Меню!$J$163:$EZ$163)*Обложка!$J$15/60,SUMIF(Меню!$J$8:$EZ$8,$B128,Меню!$J$163:$EZ$163)/1000*Обложка!$J$15)</f>
        <v>0</v>
      </c>
      <c r="T128" s="212">
        <f>IF($B128="Яйцо (шт)",SUMIF(Меню!$J$8:$EZ$8,$B128,Меню!$J$178:$EZ$178)*Обложка!$J$16/60,SUMIF(Меню!$J$8:$EZ$8,$B128,Меню!$J$178:$EZ$178)/1000*Обложка!$J$16)</f>
        <v>0</v>
      </c>
      <c r="U128" s="212">
        <f>IF($B128="Яйцо (шт)",SUMIF(Меню!$J$8:$EZ$8,$B128,Меню!$J$191:$EZ$191)*Обложка!$J$17/60,SUMIF(Меню!$J$8:$EZ$8,$B128,Меню!$J$191:$EZ$191)/1000*Обложка!$J$17)</f>
        <v>0</v>
      </c>
      <c r="V128" s="212">
        <f>IF($B128="Яйцо (шт)",SUMIF(Меню!$J$8:$EZ$8,$B128,Меню!$J$196:$EZ$196)*Обложка!$J$18/60,SUMIF(Меню!$J$8:$EZ$8,$B128,Меню!$J$196:$EZ$196)/1000*Обложка!$J$18)</f>
        <v>0</v>
      </c>
      <c r="W128" s="685">
        <f t="shared" si="12"/>
        <v>0</v>
      </c>
      <c r="X128" s="212">
        <f>IF($B128="Яйцо (шт)",SUMIF(Меню!$J$8:$EZ$8,$B128,Меню!$J$208:$EZ$208)*Обложка!$L$15/60,SUMIF(Меню!$J$8:$EZ$8,$B128,Меню!$J$208:$EZ$208)/1000*Обложка!$L$15)</f>
        <v>0</v>
      </c>
      <c r="Y128" s="212">
        <f>IF($B128="Яйцо (шт)",SUMIF(Меню!$J$8:$EZ$8,$B128,Меню!$J$223:$EZ$223)*Обложка!$L$16/60,SUMIF(Меню!$J$8:$EZ$8,$B128,Меню!$J$223:$EZ$223)/1000*Обложка!$J$16)</f>
        <v>0</v>
      </c>
      <c r="Z128" s="212">
        <f>IF($B128="Яйцо (шт)",SUMIF(Меню!$J$8:$EZ$8,$B128,Меню!$J$236:$EZ$236)*Обложка!$L$17/60,SUMIF(Меню!$J$8:$EZ$8,$B128,Меню!$J$236:$EZ$236)/1000*Обложка!$L$17)</f>
        <v>0</v>
      </c>
      <c r="AA128" s="212">
        <f>IF($B128="Яйцо (шт)",SUMIF(Меню!$J$8:$EZ$8,$B128,Меню!$J$241:$EZ$241)*Обложка!$L$18/60,SUMIF(Меню!$J$8:$EZ$8,$B128,Меню!$J$241:$EZ$241)/1000*Обложка!$L$18)</f>
        <v>0</v>
      </c>
      <c r="AB128" s="685">
        <f t="shared" si="13"/>
        <v>0</v>
      </c>
      <c r="AC128" s="212">
        <f>IF($B128="Яйцо (шт)",SUMIF(Меню!$J$8:$EZ$8,$B128,Меню!$J$253:$EZ$253)*Обложка!$N$15/60,SUMIF(Меню!$J$8:$EZ$8,$B128,Меню!$J$253:$EZ$253)/1000*Обложка!$N$15)</f>
        <v>0</v>
      </c>
      <c r="AD128" s="212">
        <f>IF($B128="Яйцо (шт)",SUMIF(Меню!$J$8:$EZ$8,$B128,Меню!$J$268:$EZ$268)*Обложка!$N$16/60,SUMIF(Меню!$J$8:$EZ$8,$B128,Меню!$J$268:$EZ$268)/1000*Обложка!$N$16)</f>
        <v>0</v>
      </c>
      <c r="AE128" s="212">
        <f>IF($B128="Яйцо (шт)",SUMIF(Меню!$J$8:$EZ$8,$B128,Меню!$J$281:$EZ$281)*Обложка!$N$17/60,SUMIF(Меню!$J$8:$EZ$8,$B128,Меню!$J$281:$EZ$281)/1000*Обложка!$N$17)</f>
        <v>0</v>
      </c>
      <c r="AF128" s="212">
        <f>IF($B128="Яйцо (шт)",SUMIF(Меню!$J$8:$EZ$8,$B128,Меню!$J$286:$EZ$286)*Обложка!$N$18/60,SUMIF(Меню!$J$8:$EZ$8,$B128,Меню!$J$286:$EZ$286)/1000*Обложка!$N$18)</f>
        <v>0</v>
      </c>
      <c r="AG128" s="685">
        <f t="shared" si="14"/>
        <v>0</v>
      </c>
      <c r="AH128" s="212">
        <f>IF($B128="Яйцо (шт)",SUMIF(Меню!$J$8:$EZ$8,$B128,Меню!$J$298:$EZ$298)*Обложка!$P$15/60,SUMIF(Меню!$J$8:$EZ$8,$B128,Меню!$J$298:$EZ$298)/1000*Обложка!$P$15)</f>
        <v>0</v>
      </c>
      <c r="AI128" s="212">
        <f>IF($B128="Яйцо (шт)",SUMIF(Меню!$J$8:$EZ$8,$BB128,Меню!$J$313:$EZ$313)*Обложка!$P$16/60,SUMIF(Меню!$J$8:$EZ$8,$B128,Меню!$J$313:$EZ$313)/1000*Обложка!$P$16)</f>
        <v>0</v>
      </c>
      <c r="AJ128" s="212">
        <f>IF($B128="Яйцо (шт)",SUMIF(Меню!$J$8:$EZ$8,$B128,Меню!$J$326:$EZ$326)*Обложка!$P$17/60,SUMIF(Меню!$J$8:$EZ$8,$B128,Меню!$J$326:$EZ$326)/1000*Обложка!$P$17)</f>
        <v>0</v>
      </c>
      <c r="AK128" s="212">
        <f>IF($B128="Яйцо (шт)",SUMIF(Меню!$J$8:$EZ$8,$B128,Меню!$J$331:$EZ$331)*Обложка!$P$18/60,SUMIF(Меню!$J$8:$EZ$8,$B128,Меню!$J$331:$EZ$331)/1000*Обложка!$P$18)</f>
        <v>0</v>
      </c>
      <c r="AL128" s="699">
        <f t="shared" si="15"/>
        <v>0</v>
      </c>
      <c r="AM128" s="685">
        <f t="shared" si="16"/>
        <v>0</v>
      </c>
    </row>
    <row r="129" spans="1:39" x14ac:dyDescent="0.25">
      <c r="A129" s="249">
        <f t="shared" si="17"/>
        <v>117</v>
      </c>
      <c r="B129" s="248" t="str">
        <f>инфо!D118</f>
        <v>Дрожжи</v>
      </c>
      <c r="C129" s="694">
        <f>SUMIF(Меню!$J$8:$FD$8,$B129,Меню!$J$333:$FD$333)</f>
        <v>0</v>
      </c>
      <c r="D129" s="212">
        <f>IF($B129="Яйцо (шт)",SUMIF(Меню!$J$8:$FD$8,$B129,Меню!$J$28:$FD$28)*Обложка!$D$15/60,SUMIF(Меню!$J$8:$FD$8,$B129,Меню!$J$28:$FD$28)/1000*Обложка!$D$15)</f>
        <v>0</v>
      </c>
      <c r="E129" s="212">
        <f>IF($B129="Яйцо (шт)",SUMIF(Меню!$J$8:$FD$8,$B129,Меню!$J$43:$FD$43)*Обложка!$D$16/60,SUMIF(Меню!$J$8:$FD$8,$B129,Меню!$J$43:$FD$43)/1000*Обложка!$D$16)</f>
        <v>0</v>
      </c>
      <c r="F129" s="212">
        <f>IF($B129="Яйцо (шт)",SUMIF(Меню!$J$8:$FD$8,$B129,Меню!$J$56:$FD$56)*Обложка!$D$17/60,SUMIF(Меню!$J$8:$FD$8,$B129,Меню!$J$56:$FD$56)/1000*Обложка!$D$17)</f>
        <v>0</v>
      </c>
      <c r="G129" s="212">
        <f>IF($B129="Яйцо (шт)",SUMIF(Меню!$J$8:$FD$8,$B129,Меню!$J$61:$FD$61)*Обложка!$D$18/60,SUMIF(Меню!$J$8:$FD$8,$B129,Меню!$J$61:$FD$61)/1000*Обложка!$D$18)</f>
        <v>0</v>
      </c>
      <c r="H129" s="685">
        <f t="shared" si="9"/>
        <v>0</v>
      </c>
      <c r="I129" s="212">
        <f>IF($B129="Яйцо (шт)",SUMIF(Меню!$J$8:$FD$8,$B129,Меню!$J$73:$FD$73)*Обложка!$F$15/60,SUMIF(Меню!$J$8:$FD$8,$B129,Меню!$J$73:$FD$73)/1000*Обложка!$F$15)</f>
        <v>0</v>
      </c>
      <c r="J129" s="212">
        <f>IF($B129="Яйцо (шт)",SUMIF(Меню!$J$8:$FD$8,$B129,Меню!$J$88:$FD$88)*Обложка!$F$16/60,SUMIF(Меню!$J$8:$FD$8,$B129,Меню!$J$88:$FD$88)/1000*Обложка!$G$16)</f>
        <v>0</v>
      </c>
      <c r="K129" s="212">
        <f>IF($B129="Яйцо (шт)",SUMIF(Меню!$J$8:$FD$8,$B129,Меню!$J$101:$FD$101)*Обложка!$F$17/60,SUMIF(Меню!$J$8:$FD$8,$B129,Меню!$J$101:$FD$101)/1000*Обложка!$F$17)</f>
        <v>0</v>
      </c>
      <c r="L129" s="212">
        <f>IF($B129="Яйцо (шт)",SUMIF(Меню!$J$8:$FD$8,$B129,Меню!$J$106:$FD$106)*Обложка!$F$18/60,SUMIF(Меню!$J$8:$FD$8,$B129,Меню!$J$106:$FD$106)/1000*Обложка!$F$18)</f>
        <v>0</v>
      </c>
      <c r="M129" s="685">
        <f t="shared" si="10"/>
        <v>0</v>
      </c>
      <c r="N129" s="212">
        <f>IF($B129="Яйцо (шт)",SUMIF(Меню!$J$8:$EZ$8,$B129,Меню!$J$118:$EZ$118)*Обложка!$H$15/60,SUMIF(Меню!$J$8:$EZ$8,$B129,Меню!$J$118:$EZ$118)/1000*Обложка!$H$15)</f>
        <v>0</v>
      </c>
      <c r="O129" s="212">
        <f>IF($B129="Яйцо (шт)",SUMIF(Меню!$J$8:$EZ$8,$B129,Меню!$J$133:$EZ$133)*Обложка!$H$16/60,SUMIF(Меню!$J$8:$EZ$8,$B129,Меню!$J$133:$EZ$133)/1000*Обложка!$H$16)</f>
        <v>0</v>
      </c>
      <c r="P129" s="212">
        <f>IF($B129="Яйцо (шт)",SUMIF(Меню!$J$8:$EZ$8,$B129,Меню!$J$146:$EZ$146)*Обложка!$H$17/60,SUMIF(Меню!$J$8:$EZ$8,$B129,Меню!$J$146:$EZ$146)/1000*Обложка!$H$17)</f>
        <v>0</v>
      </c>
      <c r="Q129" s="212">
        <f>IF($B129="Яйцо (шт)",SUMIF(Меню!$J$8:$EZ$8,$B129,Меню!$J$151:$EZ$151)*Обложка!$H$18/60,SUMIF(Меню!$J$8:$EZ$8,$B129,Меню!$J$151:$EZ$151)/1000*Обложка!$H$18)</f>
        <v>0</v>
      </c>
      <c r="R129" s="685">
        <f t="shared" si="11"/>
        <v>0</v>
      </c>
      <c r="S129" s="212">
        <f>IF($B129="Яйцо (шт)",SUMIF(Меню!$J$8:$EZ$8,$B129,Меню!$J$163:$EZ$163)*Обложка!$J$15/60,SUMIF(Меню!$J$8:$EZ$8,$B129,Меню!$J$163:$EZ$163)/1000*Обложка!$J$15)</f>
        <v>0</v>
      </c>
      <c r="T129" s="212">
        <f>IF($B129="Яйцо (шт)",SUMIF(Меню!$J$8:$EZ$8,$B129,Меню!$J$178:$EZ$178)*Обложка!$J$16/60,SUMIF(Меню!$J$8:$EZ$8,$B129,Меню!$J$178:$EZ$178)/1000*Обложка!$J$16)</f>
        <v>0</v>
      </c>
      <c r="U129" s="212">
        <f>IF($B129="Яйцо (шт)",SUMIF(Меню!$J$8:$EZ$8,$B129,Меню!$J$191:$EZ$191)*Обложка!$J$17/60,SUMIF(Меню!$J$8:$EZ$8,$B129,Меню!$J$191:$EZ$191)/1000*Обложка!$J$17)</f>
        <v>0</v>
      </c>
      <c r="V129" s="212">
        <f>IF($B129="Яйцо (шт)",SUMIF(Меню!$J$8:$EZ$8,$B129,Меню!$J$196:$EZ$196)*Обложка!$J$18/60,SUMIF(Меню!$J$8:$EZ$8,$B129,Меню!$J$196:$EZ$196)/1000*Обложка!$J$18)</f>
        <v>0</v>
      </c>
      <c r="W129" s="685">
        <f t="shared" si="12"/>
        <v>0</v>
      </c>
      <c r="X129" s="212">
        <f>IF($B129="Яйцо (шт)",SUMIF(Меню!$J$8:$EZ$8,$B129,Меню!$J$208:$EZ$208)*Обложка!$L$15/60,SUMIF(Меню!$J$8:$EZ$8,$B129,Меню!$J$208:$EZ$208)/1000*Обложка!$L$15)</f>
        <v>0</v>
      </c>
      <c r="Y129" s="212">
        <f>IF($B129="Яйцо (шт)",SUMIF(Меню!$J$8:$EZ$8,$B129,Меню!$J$223:$EZ$223)*Обложка!$L$16/60,SUMIF(Меню!$J$8:$EZ$8,$B129,Меню!$J$223:$EZ$223)/1000*Обложка!$J$16)</f>
        <v>0</v>
      </c>
      <c r="Z129" s="212">
        <f>IF($B129="Яйцо (шт)",SUMIF(Меню!$J$8:$EZ$8,$B129,Меню!$J$236:$EZ$236)*Обложка!$L$17/60,SUMIF(Меню!$J$8:$EZ$8,$B129,Меню!$J$236:$EZ$236)/1000*Обложка!$L$17)</f>
        <v>0</v>
      </c>
      <c r="AA129" s="212">
        <f>IF($B129="Яйцо (шт)",SUMIF(Меню!$J$8:$EZ$8,$B129,Меню!$J$241:$EZ$241)*Обложка!$L$18/60,SUMIF(Меню!$J$8:$EZ$8,$B129,Меню!$J$241:$EZ$241)/1000*Обложка!$L$18)</f>
        <v>0</v>
      </c>
      <c r="AB129" s="685">
        <f t="shared" si="13"/>
        <v>0</v>
      </c>
      <c r="AC129" s="212">
        <f>IF($B129="Яйцо (шт)",SUMIF(Меню!$J$8:$EZ$8,$B129,Меню!$J$253:$EZ$253)*Обложка!$N$15/60,SUMIF(Меню!$J$8:$EZ$8,$B129,Меню!$J$253:$EZ$253)/1000*Обложка!$N$15)</f>
        <v>0</v>
      </c>
      <c r="AD129" s="212">
        <f>IF($B129="Яйцо (шт)",SUMIF(Меню!$J$8:$EZ$8,$B129,Меню!$J$268:$EZ$268)*Обложка!$N$16/60,SUMIF(Меню!$J$8:$EZ$8,$B129,Меню!$J$268:$EZ$268)/1000*Обложка!$N$16)</f>
        <v>0</v>
      </c>
      <c r="AE129" s="212">
        <f>IF($B129="Яйцо (шт)",SUMIF(Меню!$J$8:$EZ$8,$B129,Меню!$J$281:$EZ$281)*Обложка!$N$17/60,SUMIF(Меню!$J$8:$EZ$8,$B129,Меню!$J$281:$EZ$281)/1000*Обложка!$N$17)</f>
        <v>0</v>
      </c>
      <c r="AF129" s="212">
        <f>IF($B129="Яйцо (шт)",SUMIF(Меню!$J$8:$EZ$8,$B129,Меню!$J$286:$EZ$286)*Обложка!$N$18/60,SUMIF(Меню!$J$8:$EZ$8,$B129,Меню!$J$286:$EZ$286)/1000*Обложка!$N$18)</f>
        <v>0</v>
      </c>
      <c r="AG129" s="685">
        <f t="shared" si="14"/>
        <v>0</v>
      </c>
      <c r="AH129" s="212">
        <f>IF($B129="Яйцо (шт)",SUMIF(Меню!$J$8:$EZ$8,$B129,Меню!$J$298:$EZ$298)*Обложка!$P$15/60,SUMIF(Меню!$J$8:$EZ$8,$B129,Меню!$J$298:$EZ$298)/1000*Обложка!$P$15)</f>
        <v>0</v>
      </c>
      <c r="AI129" s="212">
        <f>IF($B129="Яйцо (шт)",SUMIF(Меню!$J$8:$EZ$8,$BB129,Меню!$J$313:$EZ$313)*Обложка!$P$16/60,SUMIF(Меню!$J$8:$EZ$8,$B129,Меню!$J$313:$EZ$313)/1000*Обложка!$P$16)</f>
        <v>0</v>
      </c>
      <c r="AJ129" s="212">
        <f>IF($B129="Яйцо (шт)",SUMIF(Меню!$J$8:$EZ$8,$B129,Меню!$J$326:$EZ$326)*Обложка!$P$17/60,SUMIF(Меню!$J$8:$EZ$8,$B129,Меню!$J$326:$EZ$326)/1000*Обложка!$P$17)</f>
        <v>0</v>
      </c>
      <c r="AK129" s="212">
        <f>IF($B129="Яйцо (шт)",SUMIF(Меню!$J$8:$EZ$8,$B129,Меню!$J$331:$EZ$331)*Обложка!$P$18/60,SUMIF(Меню!$J$8:$EZ$8,$B129,Меню!$J$331:$EZ$331)/1000*Обложка!$P$18)</f>
        <v>0</v>
      </c>
      <c r="AL129" s="699">
        <f t="shared" si="15"/>
        <v>0</v>
      </c>
      <c r="AM129" s="685">
        <f t="shared" si="16"/>
        <v>0</v>
      </c>
    </row>
    <row r="130" spans="1:39" x14ac:dyDescent="0.25">
      <c r="A130" s="249">
        <f t="shared" si="17"/>
        <v>118</v>
      </c>
      <c r="B130" s="248" t="str">
        <f>инфо!D119</f>
        <v>Уксус</v>
      </c>
      <c r="C130" s="694">
        <f>SUMIF(Меню!$J$8:$FD$8,$B130,Меню!$J$333:$FD$333)</f>
        <v>6.1</v>
      </c>
      <c r="D130" s="212">
        <f>IF($B130="Яйцо (шт)",SUMIF(Меню!$J$8:$FD$8,$B130,Меню!$J$28:$FD$28)*Обложка!$D$15/60,SUMIF(Меню!$J$8:$FD$8,$B130,Меню!$J$28:$FD$28)/1000*Обложка!$D$15)</f>
        <v>0</v>
      </c>
      <c r="E130" s="212">
        <f>IF($B130="Яйцо (шт)",SUMIF(Меню!$J$8:$FD$8,$B130,Меню!$J$43:$FD$43)*Обложка!$D$16/60,SUMIF(Меню!$J$8:$FD$8,$B130,Меню!$J$43:$FD$43)/1000*Обложка!$D$16)</f>
        <v>6.0999999999999999E-2</v>
      </c>
      <c r="F130" s="212">
        <f>IF($B130="Яйцо (шт)",SUMIF(Меню!$J$8:$FD$8,$B130,Меню!$J$56:$FD$56)*Обложка!$D$17/60,SUMIF(Меню!$J$8:$FD$8,$B130,Меню!$J$56:$FD$56)/1000*Обложка!$D$17)</f>
        <v>0</v>
      </c>
      <c r="G130" s="212">
        <f>IF($B130="Яйцо (шт)",SUMIF(Меню!$J$8:$FD$8,$B130,Меню!$J$61:$FD$61)*Обложка!$D$18/60,SUMIF(Меню!$J$8:$FD$8,$B130,Меню!$J$61:$FD$61)/1000*Обложка!$D$18)</f>
        <v>0</v>
      </c>
      <c r="H130" s="685">
        <f t="shared" si="9"/>
        <v>6.0999999999999999E-2</v>
      </c>
      <c r="I130" s="212">
        <f>IF($B130="Яйцо (шт)",SUMIF(Меню!$J$8:$FD$8,$B130,Меню!$J$73:$FD$73)*Обложка!$F$15/60,SUMIF(Меню!$J$8:$FD$8,$B130,Меню!$J$73:$FD$73)/1000*Обложка!$F$15)</f>
        <v>0</v>
      </c>
      <c r="J130" s="212">
        <f>IF($B130="Яйцо (шт)",SUMIF(Меню!$J$8:$FD$8,$B130,Меню!$J$88:$FD$88)*Обложка!$F$16/60,SUMIF(Меню!$J$8:$FD$8,$B130,Меню!$J$88:$FD$88)/1000*Обложка!$G$16)</f>
        <v>1.7600000000000001E-2</v>
      </c>
      <c r="K130" s="212">
        <f>IF($B130="Яйцо (шт)",SUMIF(Меню!$J$8:$FD$8,$B130,Меню!$J$101:$FD$101)*Обложка!$F$17/60,SUMIF(Меню!$J$8:$FD$8,$B130,Меню!$J$101:$FD$101)/1000*Обложка!$F$17)</f>
        <v>0</v>
      </c>
      <c r="L130" s="212">
        <f>IF($B130="Яйцо (шт)",SUMIF(Меню!$J$8:$FD$8,$B130,Меню!$J$106:$FD$106)*Обложка!$F$18/60,SUMIF(Меню!$J$8:$FD$8,$B130,Меню!$J$106:$FD$106)/1000*Обложка!$F$18)</f>
        <v>0</v>
      </c>
      <c r="M130" s="685">
        <f t="shared" si="10"/>
        <v>1.7600000000000001E-2</v>
      </c>
      <c r="N130" s="212">
        <f>IF($B130="Яйцо (шт)",SUMIF(Меню!$J$8:$EZ$8,$B130,Меню!$J$118:$EZ$118)*Обложка!$H$15/60,SUMIF(Меню!$J$8:$EZ$8,$B130,Меню!$J$118:$EZ$118)/1000*Обложка!$H$15)</f>
        <v>0</v>
      </c>
      <c r="O130" s="212">
        <f>IF($B130="Яйцо (шт)",SUMIF(Меню!$J$8:$EZ$8,$B130,Меню!$J$133:$EZ$133)*Обложка!$H$16/60,SUMIF(Меню!$J$8:$EZ$8,$B130,Меню!$J$133:$EZ$133)/1000*Обложка!$H$16)</f>
        <v>0</v>
      </c>
      <c r="P130" s="212">
        <f>IF($B130="Яйцо (шт)",SUMIF(Меню!$J$8:$EZ$8,$B130,Меню!$J$146:$EZ$146)*Обложка!$H$17/60,SUMIF(Меню!$J$8:$EZ$8,$B130,Меню!$J$146:$EZ$146)/1000*Обложка!$H$17)</f>
        <v>0</v>
      </c>
      <c r="Q130" s="212">
        <f>IF($B130="Яйцо (шт)",SUMIF(Меню!$J$8:$EZ$8,$B130,Меню!$J$151:$EZ$151)*Обложка!$H$18/60,SUMIF(Меню!$J$8:$EZ$8,$B130,Меню!$J$151:$EZ$151)/1000*Обложка!$H$18)</f>
        <v>0</v>
      </c>
      <c r="R130" s="685">
        <f t="shared" si="11"/>
        <v>0</v>
      </c>
      <c r="S130" s="212">
        <f>IF($B130="Яйцо (шт)",SUMIF(Меню!$J$8:$EZ$8,$B130,Меню!$J$163:$EZ$163)*Обложка!$J$15/60,SUMIF(Меню!$J$8:$EZ$8,$B130,Меню!$J$163:$EZ$163)/1000*Обложка!$J$15)</f>
        <v>0</v>
      </c>
      <c r="T130" s="212">
        <f>IF($B130="Яйцо (шт)",SUMIF(Меню!$J$8:$EZ$8,$B130,Меню!$J$178:$EZ$178)*Обложка!$J$16/60,SUMIF(Меню!$J$8:$EZ$8,$B130,Меню!$J$178:$EZ$178)/1000*Обложка!$J$16)</f>
        <v>0.1</v>
      </c>
      <c r="U130" s="212">
        <f>IF($B130="Яйцо (шт)",SUMIF(Меню!$J$8:$EZ$8,$B130,Меню!$J$191:$EZ$191)*Обложка!$J$17/60,SUMIF(Меню!$J$8:$EZ$8,$B130,Меню!$J$191:$EZ$191)/1000*Обложка!$J$17)</f>
        <v>0</v>
      </c>
      <c r="V130" s="212">
        <f>IF($B130="Яйцо (шт)",SUMIF(Меню!$J$8:$EZ$8,$B130,Меню!$J$196:$EZ$196)*Обложка!$J$18/60,SUMIF(Меню!$J$8:$EZ$8,$B130,Меню!$J$196:$EZ$196)/1000*Обложка!$J$18)</f>
        <v>0</v>
      </c>
      <c r="W130" s="685">
        <f t="shared" si="12"/>
        <v>0.1</v>
      </c>
      <c r="X130" s="212">
        <f>IF($B130="Яйцо (шт)",SUMIF(Меню!$J$8:$EZ$8,$B130,Меню!$J$208:$EZ$208)*Обложка!$L$15/60,SUMIF(Меню!$J$8:$EZ$8,$B130,Меню!$J$208:$EZ$208)/1000*Обложка!$L$15)</f>
        <v>0</v>
      </c>
      <c r="Y130" s="212">
        <f>IF($B130="Яйцо (шт)",SUMIF(Меню!$J$8:$EZ$8,$B130,Меню!$J$223:$EZ$223)*Обложка!$L$16/60,SUMIF(Меню!$J$8:$EZ$8,$B130,Меню!$J$223:$EZ$223)/1000*Обложка!$J$16)</f>
        <v>0.1</v>
      </c>
      <c r="Z130" s="212">
        <f>IF($B130="Яйцо (шт)",SUMIF(Меню!$J$8:$EZ$8,$B130,Меню!$J$236:$EZ$236)*Обложка!$L$17/60,SUMIF(Меню!$J$8:$EZ$8,$B130,Меню!$J$236:$EZ$236)/1000*Обложка!$L$17)</f>
        <v>2.8000000000000001E-2</v>
      </c>
      <c r="AA130" s="212">
        <f>IF($B130="Яйцо (шт)",SUMIF(Меню!$J$8:$EZ$8,$B130,Меню!$J$241:$EZ$241)*Обложка!$L$18/60,SUMIF(Меню!$J$8:$EZ$8,$B130,Меню!$J$241:$EZ$241)/1000*Обложка!$L$18)</f>
        <v>0</v>
      </c>
      <c r="AB130" s="685">
        <f t="shared" si="13"/>
        <v>0.128</v>
      </c>
      <c r="AC130" s="212">
        <f>IF($B130="Яйцо (шт)",SUMIF(Меню!$J$8:$EZ$8,$B130,Меню!$J$253:$EZ$253)*Обложка!$N$15/60,SUMIF(Меню!$J$8:$EZ$8,$B130,Меню!$J$253:$EZ$253)/1000*Обложка!$N$15)</f>
        <v>0</v>
      </c>
      <c r="AD130" s="212">
        <f>IF($B130="Яйцо (шт)",SUMIF(Меню!$J$8:$EZ$8,$B130,Меню!$J$268:$EZ$268)*Обложка!$N$16/60,SUMIF(Меню!$J$8:$EZ$8,$B130,Меню!$J$268:$EZ$268)/1000*Обложка!$N$16)</f>
        <v>0</v>
      </c>
      <c r="AE130" s="212">
        <f>IF($B130="Яйцо (шт)",SUMIF(Меню!$J$8:$EZ$8,$B130,Меню!$J$281:$EZ$281)*Обложка!$N$17/60,SUMIF(Меню!$J$8:$EZ$8,$B130,Меню!$J$281:$EZ$281)/1000*Обложка!$N$17)</f>
        <v>0</v>
      </c>
      <c r="AF130" s="212">
        <f>IF($B130="Яйцо (шт)",SUMIF(Меню!$J$8:$EZ$8,$B130,Меню!$J$286:$EZ$286)*Обложка!$N$18/60,SUMIF(Меню!$J$8:$EZ$8,$B130,Меню!$J$286:$EZ$286)/1000*Обложка!$N$18)</f>
        <v>0</v>
      </c>
      <c r="AG130" s="685">
        <f t="shared" si="14"/>
        <v>0</v>
      </c>
      <c r="AH130" s="212">
        <f>IF($B130="Яйцо (шт)",SUMIF(Меню!$J$8:$EZ$8,$B130,Меню!$J$298:$EZ$298)*Обложка!$P$15/60,SUMIF(Меню!$J$8:$EZ$8,$B130,Меню!$J$298:$EZ$298)/1000*Обложка!$P$15)</f>
        <v>0</v>
      </c>
      <c r="AI130" s="212">
        <f>IF($B130="Яйцо (шт)",SUMIF(Меню!$J$8:$EZ$8,$BB130,Меню!$J$313:$EZ$313)*Обложка!$P$16/60,SUMIF(Меню!$J$8:$EZ$8,$B130,Меню!$J$313:$EZ$313)/1000*Обложка!$P$16)</f>
        <v>0.05</v>
      </c>
      <c r="AJ130" s="212">
        <f>IF($B130="Яйцо (шт)",SUMIF(Меню!$J$8:$EZ$8,$B130,Меню!$J$326:$EZ$326)*Обложка!$P$17/60,SUMIF(Меню!$J$8:$EZ$8,$B130,Меню!$J$326:$EZ$326)/1000*Обложка!$P$17)</f>
        <v>0</v>
      </c>
      <c r="AK130" s="212">
        <f>IF($B130="Яйцо (шт)",SUMIF(Меню!$J$8:$EZ$8,$B130,Меню!$J$331:$EZ$331)*Обложка!$P$18/60,SUMIF(Меню!$J$8:$EZ$8,$B130,Меню!$J$331:$EZ$331)/1000*Обложка!$P$18)</f>
        <v>0</v>
      </c>
      <c r="AL130" s="699">
        <f t="shared" si="15"/>
        <v>0.05</v>
      </c>
      <c r="AM130" s="685">
        <f t="shared" si="16"/>
        <v>0.35659999999999997</v>
      </c>
    </row>
    <row r="131" spans="1:39" x14ac:dyDescent="0.25">
      <c r="A131" s="249">
        <f t="shared" si="17"/>
        <v>119</v>
      </c>
      <c r="B131" s="248" t="str">
        <f>инфо!D120</f>
        <v>Яйцо и специи 1</v>
      </c>
      <c r="C131" s="694">
        <f>SUMIF(Меню!$J$8:$FD$8,$B131,Меню!$J$333:$FD$333)</f>
        <v>0</v>
      </c>
      <c r="D131" s="212">
        <f>IF($B131="Яйцо (шт)",SUMIF(Меню!$J$8:$FD$8,$B131,Меню!$J$28:$FD$28)*Обложка!$D$15/60,SUMIF(Меню!$J$8:$FD$8,$B131,Меню!$J$28:$FD$28)/1000*Обложка!$D$15)</f>
        <v>0</v>
      </c>
      <c r="E131" s="212">
        <f>IF($B131="Яйцо (шт)",SUMIF(Меню!$J$8:$FD$8,$B131,Меню!$J$43:$FD$43)*Обложка!$D$16/60,SUMIF(Меню!$J$8:$FD$8,$B131,Меню!$J$43:$FD$43)/1000*Обложка!$D$16)</f>
        <v>0</v>
      </c>
      <c r="F131" s="212">
        <f>IF($B131="Яйцо (шт)",SUMIF(Меню!$J$8:$FD$8,$B131,Меню!$J$56:$FD$56)*Обложка!$D$17/60,SUMIF(Меню!$J$8:$FD$8,$B131,Меню!$J$56:$FD$56)/1000*Обложка!$D$17)</f>
        <v>0</v>
      </c>
      <c r="G131" s="212">
        <f>IF($B131="Яйцо (шт)",SUMIF(Меню!$J$8:$FD$8,$B131,Меню!$J$61:$FD$61)*Обложка!$D$18/60,SUMIF(Меню!$J$8:$FD$8,$B131,Меню!$J$61:$FD$61)/1000*Обложка!$D$18)</f>
        <v>0</v>
      </c>
      <c r="H131" s="685">
        <f t="shared" si="9"/>
        <v>0</v>
      </c>
      <c r="I131" s="212">
        <f>IF($B131="Яйцо (шт)",SUMIF(Меню!$J$8:$FD$8,$B131,Меню!$J$73:$FD$73)*Обложка!$F$15/60,SUMIF(Меню!$J$8:$FD$8,$B131,Меню!$J$73:$FD$73)/1000*Обложка!$F$15)</f>
        <v>0</v>
      </c>
      <c r="J131" s="212">
        <f>IF($B131="Яйцо (шт)",SUMIF(Меню!$J$8:$FD$8,$B131,Меню!$J$88:$FD$88)*Обложка!$F$16/60,SUMIF(Меню!$J$8:$FD$8,$B131,Меню!$J$88:$FD$88)/1000*Обложка!$G$16)</f>
        <v>0</v>
      </c>
      <c r="K131" s="212">
        <f>IF($B131="Яйцо (шт)",SUMIF(Меню!$J$8:$FD$8,$B131,Меню!$J$101:$FD$101)*Обложка!$F$17/60,SUMIF(Меню!$J$8:$FD$8,$B131,Меню!$J$101:$FD$101)/1000*Обложка!$F$17)</f>
        <v>0</v>
      </c>
      <c r="L131" s="212">
        <f>IF($B131="Яйцо (шт)",SUMIF(Меню!$J$8:$FD$8,$B131,Меню!$J$106:$FD$106)*Обложка!$F$18/60,SUMIF(Меню!$J$8:$FD$8,$B131,Меню!$J$106:$FD$106)/1000*Обложка!$F$18)</f>
        <v>0</v>
      </c>
      <c r="M131" s="685">
        <f t="shared" si="10"/>
        <v>0</v>
      </c>
      <c r="N131" s="212">
        <f>IF($B131="Яйцо (шт)",SUMIF(Меню!$J$8:$EZ$8,$B131,Меню!$J$118:$EZ$118)*Обложка!$H$15/60,SUMIF(Меню!$J$8:$EZ$8,$B131,Меню!$J$118:$EZ$118)/1000*Обложка!$H$15)</f>
        <v>0</v>
      </c>
      <c r="O131" s="212">
        <f>IF($B131="Яйцо (шт)",SUMIF(Меню!$J$8:$EZ$8,$B131,Меню!$J$133:$EZ$133)*Обложка!$H$16/60,SUMIF(Меню!$J$8:$EZ$8,$B131,Меню!$J$133:$EZ$133)/1000*Обложка!$H$16)</f>
        <v>0</v>
      </c>
      <c r="P131" s="212">
        <f>IF($B131="Яйцо (шт)",SUMIF(Меню!$J$8:$EZ$8,$B131,Меню!$J$146:$EZ$146)*Обложка!$H$17/60,SUMIF(Меню!$J$8:$EZ$8,$B131,Меню!$J$146:$EZ$146)/1000*Обложка!$H$17)</f>
        <v>0</v>
      </c>
      <c r="Q131" s="212">
        <f>IF($B131="Яйцо (шт)",SUMIF(Меню!$J$8:$EZ$8,$B131,Меню!$J$151:$EZ$151)*Обложка!$H$18/60,SUMIF(Меню!$J$8:$EZ$8,$B131,Меню!$J$151:$EZ$151)/1000*Обложка!$H$18)</f>
        <v>0</v>
      </c>
      <c r="R131" s="685">
        <f t="shared" si="11"/>
        <v>0</v>
      </c>
      <c r="S131" s="212">
        <f>IF($B131="Яйцо (шт)",SUMIF(Меню!$J$8:$EZ$8,$B131,Меню!$J$163:$EZ$163)*Обложка!$J$15/60,SUMIF(Меню!$J$8:$EZ$8,$B131,Меню!$J$163:$EZ$163)/1000*Обложка!$J$15)</f>
        <v>0</v>
      </c>
      <c r="T131" s="212">
        <f>IF($B131="Яйцо (шт)",SUMIF(Меню!$J$8:$EZ$8,$B131,Меню!$J$178:$EZ$178)*Обложка!$J$16/60,SUMIF(Меню!$J$8:$EZ$8,$B131,Меню!$J$178:$EZ$178)/1000*Обложка!$J$16)</f>
        <v>0</v>
      </c>
      <c r="U131" s="212">
        <f>IF($B131="Яйцо (шт)",SUMIF(Меню!$J$8:$EZ$8,$B131,Меню!$J$191:$EZ$191)*Обложка!$J$17/60,SUMIF(Меню!$J$8:$EZ$8,$B131,Меню!$J$191:$EZ$191)/1000*Обложка!$J$17)</f>
        <v>0</v>
      </c>
      <c r="V131" s="212">
        <f>IF($B131="Яйцо (шт)",SUMIF(Меню!$J$8:$EZ$8,$B131,Меню!$J$196:$EZ$196)*Обложка!$J$18/60,SUMIF(Меню!$J$8:$EZ$8,$B131,Меню!$J$196:$EZ$196)/1000*Обложка!$J$18)</f>
        <v>0</v>
      </c>
      <c r="W131" s="685">
        <f t="shared" si="12"/>
        <v>0</v>
      </c>
      <c r="X131" s="212">
        <f>IF($B131="Яйцо (шт)",SUMIF(Меню!$J$8:$EZ$8,$B131,Меню!$J$208:$EZ$208)*Обложка!$L$15/60,SUMIF(Меню!$J$8:$EZ$8,$B131,Меню!$J$208:$EZ$208)/1000*Обложка!$L$15)</f>
        <v>0</v>
      </c>
      <c r="Y131" s="212">
        <f>IF($B131="Яйцо (шт)",SUMIF(Меню!$J$8:$EZ$8,$B131,Меню!$J$223:$EZ$223)*Обложка!$L$16/60,SUMIF(Меню!$J$8:$EZ$8,$B131,Меню!$J$223:$EZ$223)/1000*Обложка!$J$16)</f>
        <v>0</v>
      </c>
      <c r="Z131" s="212">
        <f>IF($B131="Яйцо (шт)",SUMIF(Меню!$J$8:$EZ$8,$B131,Меню!$J$236:$EZ$236)*Обложка!$L$17/60,SUMIF(Меню!$J$8:$EZ$8,$B131,Меню!$J$236:$EZ$236)/1000*Обложка!$L$17)</f>
        <v>0</v>
      </c>
      <c r="AA131" s="212">
        <f>IF($B131="Яйцо (шт)",SUMIF(Меню!$J$8:$EZ$8,$B131,Меню!$J$241:$EZ$241)*Обложка!$L$18/60,SUMIF(Меню!$J$8:$EZ$8,$B131,Меню!$J$241:$EZ$241)/1000*Обложка!$L$18)</f>
        <v>0</v>
      </c>
      <c r="AB131" s="685">
        <f t="shared" si="13"/>
        <v>0</v>
      </c>
      <c r="AC131" s="212">
        <f>IF($B131="Яйцо (шт)",SUMIF(Меню!$J$8:$EZ$8,$B131,Меню!$J$253:$EZ$253)*Обложка!$N$15/60,SUMIF(Меню!$J$8:$EZ$8,$B131,Меню!$J$253:$EZ$253)/1000*Обложка!$N$15)</f>
        <v>0</v>
      </c>
      <c r="AD131" s="212">
        <f>IF($B131="Яйцо (шт)",SUMIF(Меню!$J$8:$EZ$8,$B131,Меню!$J$268:$EZ$268)*Обложка!$N$16/60,SUMIF(Меню!$J$8:$EZ$8,$B131,Меню!$J$268:$EZ$268)/1000*Обложка!$N$16)</f>
        <v>0</v>
      </c>
      <c r="AE131" s="212">
        <f>IF($B131="Яйцо (шт)",SUMIF(Меню!$J$8:$EZ$8,$B131,Меню!$J$281:$EZ$281)*Обложка!$N$17/60,SUMIF(Меню!$J$8:$EZ$8,$B131,Меню!$J$281:$EZ$281)/1000*Обложка!$N$17)</f>
        <v>0</v>
      </c>
      <c r="AF131" s="212">
        <f>IF($B131="Яйцо (шт)",SUMIF(Меню!$J$8:$EZ$8,$B131,Меню!$J$286:$EZ$286)*Обложка!$N$18/60,SUMIF(Меню!$J$8:$EZ$8,$B131,Меню!$J$286:$EZ$286)/1000*Обложка!$N$18)</f>
        <v>0</v>
      </c>
      <c r="AG131" s="685">
        <f t="shared" si="14"/>
        <v>0</v>
      </c>
      <c r="AH131" s="212">
        <f>IF($B131="Яйцо (шт)",SUMIF(Меню!$J$8:$EZ$8,$B131,Меню!$J$298:$EZ$298)*Обложка!$P$15/60,SUMIF(Меню!$J$8:$EZ$8,$B131,Меню!$J$298:$EZ$298)/1000*Обложка!$P$15)</f>
        <v>0</v>
      </c>
      <c r="AI131" s="212">
        <f>IF($B131="Яйцо (шт)",SUMIF(Меню!$J$8:$EZ$8,$BB131,Меню!$J$313:$EZ$313)*Обложка!$P$16/60,SUMIF(Меню!$J$8:$EZ$8,$B131,Меню!$J$313:$EZ$313)/1000*Обложка!$P$16)</f>
        <v>0</v>
      </c>
      <c r="AJ131" s="212">
        <f>IF($B131="Яйцо (шт)",SUMIF(Меню!$J$8:$EZ$8,$B131,Меню!$J$326:$EZ$326)*Обложка!$P$17/60,SUMIF(Меню!$J$8:$EZ$8,$B131,Меню!$J$326:$EZ$326)/1000*Обложка!$P$17)</f>
        <v>0</v>
      </c>
      <c r="AK131" s="212">
        <f>IF($B131="Яйцо (шт)",SUMIF(Меню!$J$8:$EZ$8,$B131,Меню!$J$331:$EZ$331)*Обложка!$P$18/60,SUMIF(Меню!$J$8:$EZ$8,$B131,Меню!$J$331:$EZ$331)/1000*Обложка!$P$18)</f>
        <v>0</v>
      </c>
      <c r="AL131" s="699">
        <f t="shared" si="15"/>
        <v>0</v>
      </c>
      <c r="AM131" s="685">
        <f t="shared" si="16"/>
        <v>0</v>
      </c>
    </row>
    <row r="132" spans="1:39" x14ac:dyDescent="0.25">
      <c r="A132" s="249">
        <f t="shared" si="17"/>
        <v>120</v>
      </c>
      <c r="B132" s="248" t="str">
        <f>инфо!D121</f>
        <v>Яйцо и специи 2</v>
      </c>
      <c r="C132" s="694">
        <f>SUMIF(Меню!$J$8:$FD$8,$B132,Меню!$J$333:$FD$333)</f>
        <v>0</v>
      </c>
      <c r="D132" s="212">
        <f>IF($B132="Яйцо (шт)",SUMIF(Меню!$J$8:$FD$8,$B132,Меню!$J$28:$FD$28)*Обложка!$D$15/60,SUMIF(Меню!$J$8:$FD$8,$B132,Меню!$J$28:$FD$28)/1000*Обложка!$D$15)</f>
        <v>0</v>
      </c>
      <c r="E132" s="212">
        <f>IF($B132="Яйцо (шт)",SUMIF(Меню!$J$8:$FD$8,$B132,Меню!$J$43:$FD$43)*Обложка!$D$16/60,SUMIF(Меню!$J$8:$FD$8,$B132,Меню!$J$43:$FD$43)/1000*Обложка!$D$16)</f>
        <v>0</v>
      </c>
      <c r="F132" s="212">
        <f>IF($B132="Яйцо (шт)",SUMIF(Меню!$J$8:$FD$8,$B132,Меню!$J$56:$FD$56)*Обложка!$D$17/60,SUMIF(Меню!$J$8:$FD$8,$B132,Меню!$J$56:$FD$56)/1000*Обложка!$D$17)</f>
        <v>0</v>
      </c>
      <c r="G132" s="212">
        <f>IF($B132="Яйцо (шт)",SUMIF(Меню!$J$8:$FD$8,$B132,Меню!$J$61:$FD$61)*Обложка!$D$18/60,SUMIF(Меню!$J$8:$FD$8,$B132,Меню!$J$61:$FD$61)/1000*Обложка!$D$18)</f>
        <v>0</v>
      </c>
      <c r="H132" s="685">
        <f t="shared" si="9"/>
        <v>0</v>
      </c>
      <c r="I132" s="212">
        <f>IF($B132="Яйцо (шт)",SUMIF(Меню!$J$8:$FD$8,$B132,Меню!$J$73:$FD$73)*Обложка!$F$15/60,SUMIF(Меню!$J$8:$FD$8,$B132,Меню!$J$73:$FD$73)/1000*Обложка!$F$15)</f>
        <v>0</v>
      </c>
      <c r="J132" s="212">
        <f>IF($B132="Яйцо (шт)",SUMIF(Меню!$J$8:$FD$8,$B132,Меню!$J$88:$FD$88)*Обложка!$F$16/60,SUMIF(Меню!$J$8:$FD$8,$B132,Меню!$J$88:$FD$88)/1000*Обложка!$G$16)</f>
        <v>0</v>
      </c>
      <c r="K132" s="212">
        <f>IF($B132="Яйцо (шт)",SUMIF(Меню!$J$8:$FD$8,$B132,Меню!$J$101:$FD$101)*Обложка!$F$17/60,SUMIF(Меню!$J$8:$FD$8,$B132,Меню!$J$101:$FD$101)/1000*Обложка!$F$17)</f>
        <v>0</v>
      </c>
      <c r="L132" s="212">
        <f>IF($B132="Яйцо (шт)",SUMIF(Меню!$J$8:$FD$8,$B132,Меню!$J$106:$FD$106)*Обложка!$F$18/60,SUMIF(Меню!$J$8:$FD$8,$B132,Меню!$J$106:$FD$106)/1000*Обложка!$F$18)</f>
        <v>0</v>
      </c>
      <c r="M132" s="685">
        <f t="shared" si="10"/>
        <v>0</v>
      </c>
      <c r="N132" s="212">
        <f>IF($B132="Яйцо (шт)",SUMIF(Меню!$J$8:$EZ$8,$B132,Меню!$J$118:$EZ$118)*Обложка!$H$15/60,SUMIF(Меню!$J$8:$EZ$8,$B132,Меню!$J$118:$EZ$118)/1000*Обложка!$H$15)</f>
        <v>0</v>
      </c>
      <c r="O132" s="212">
        <f>IF($B132="Яйцо (шт)",SUMIF(Меню!$J$8:$EZ$8,$B132,Меню!$J$133:$EZ$133)*Обложка!$H$16/60,SUMIF(Меню!$J$8:$EZ$8,$B132,Меню!$J$133:$EZ$133)/1000*Обложка!$H$16)</f>
        <v>0</v>
      </c>
      <c r="P132" s="212">
        <f>IF($B132="Яйцо (шт)",SUMIF(Меню!$J$8:$EZ$8,$B132,Меню!$J$146:$EZ$146)*Обложка!$H$17/60,SUMIF(Меню!$J$8:$EZ$8,$B132,Меню!$J$146:$EZ$146)/1000*Обложка!$H$17)</f>
        <v>0</v>
      </c>
      <c r="Q132" s="212">
        <f>IF($B132="Яйцо (шт)",SUMIF(Меню!$J$8:$EZ$8,$B132,Меню!$J$151:$EZ$151)*Обложка!$H$18/60,SUMIF(Меню!$J$8:$EZ$8,$B132,Меню!$J$151:$EZ$151)/1000*Обложка!$H$18)</f>
        <v>0</v>
      </c>
      <c r="R132" s="685">
        <f t="shared" si="11"/>
        <v>0</v>
      </c>
      <c r="S132" s="212">
        <f>IF($B132="Яйцо (шт)",SUMIF(Меню!$J$8:$EZ$8,$B132,Меню!$J$163:$EZ$163)*Обложка!$J$15/60,SUMIF(Меню!$J$8:$EZ$8,$B132,Меню!$J$163:$EZ$163)/1000*Обложка!$J$15)</f>
        <v>0</v>
      </c>
      <c r="T132" s="212">
        <f>IF($B132="Яйцо (шт)",SUMIF(Меню!$J$8:$EZ$8,$B132,Меню!$J$178:$EZ$178)*Обложка!$J$16/60,SUMIF(Меню!$J$8:$EZ$8,$B132,Меню!$J$178:$EZ$178)/1000*Обложка!$J$16)</f>
        <v>0</v>
      </c>
      <c r="U132" s="212">
        <f>IF($B132="Яйцо (шт)",SUMIF(Меню!$J$8:$EZ$8,$B132,Меню!$J$191:$EZ$191)*Обложка!$J$17/60,SUMIF(Меню!$J$8:$EZ$8,$B132,Меню!$J$191:$EZ$191)/1000*Обложка!$J$17)</f>
        <v>0</v>
      </c>
      <c r="V132" s="212">
        <f>IF($B132="Яйцо (шт)",SUMIF(Меню!$J$8:$EZ$8,$B132,Меню!$J$196:$EZ$196)*Обложка!$J$18/60,SUMIF(Меню!$J$8:$EZ$8,$B132,Меню!$J$196:$EZ$196)/1000*Обложка!$J$18)</f>
        <v>0</v>
      </c>
      <c r="W132" s="685">
        <f t="shared" si="12"/>
        <v>0</v>
      </c>
      <c r="X132" s="212">
        <f>IF($B132="Яйцо (шт)",SUMIF(Меню!$J$8:$EZ$8,$B132,Меню!$J$208:$EZ$208)*Обложка!$L$15/60,SUMIF(Меню!$J$8:$EZ$8,$B132,Меню!$J$208:$EZ$208)/1000*Обложка!$L$15)</f>
        <v>0</v>
      </c>
      <c r="Y132" s="212">
        <f>IF($B132="Яйцо (шт)",SUMIF(Меню!$J$8:$EZ$8,$B132,Меню!$J$223:$EZ$223)*Обложка!$L$16/60,SUMIF(Меню!$J$8:$EZ$8,$B132,Меню!$J$223:$EZ$223)/1000*Обложка!$J$16)</f>
        <v>0</v>
      </c>
      <c r="Z132" s="212">
        <f>IF($B132="Яйцо (шт)",SUMIF(Меню!$J$8:$EZ$8,$B132,Меню!$J$236:$EZ$236)*Обложка!$L$17/60,SUMIF(Меню!$J$8:$EZ$8,$B132,Меню!$J$236:$EZ$236)/1000*Обложка!$L$17)</f>
        <v>0</v>
      </c>
      <c r="AA132" s="212">
        <f>IF($B132="Яйцо (шт)",SUMIF(Меню!$J$8:$EZ$8,$B132,Меню!$J$241:$EZ$241)*Обложка!$L$18/60,SUMIF(Меню!$J$8:$EZ$8,$B132,Меню!$J$241:$EZ$241)/1000*Обложка!$L$18)</f>
        <v>0</v>
      </c>
      <c r="AB132" s="685">
        <f t="shared" si="13"/>
        <v>0</v>
      </c>
      <c r="AC132" s="212">
        <f>IF($B132="Яйцо (шт)",SUMIF(Меню!$J$8:$EZ$8,$B132,Меню!$J$253:$EZ$253)*Обложка!$N$15/60,SUMIF(Меню!$J$8:$EZ$8,$B132,Меню!$J$253:$EZ$253)/1000*Обложка!$N$15)</f>
        <v>0</v>
      </c>
      <c r="AD132" s="212">
        <f>IF($B132="Яйцо (шт)",SUMIF(Меню!$J$8:$EZ$8,$B132,Меню!$J$268:$EZ$268)*Обложка!$N$16/60,SUMIF(Меню!$J$8:$EZ$8,$B132,Меню!$J$268:$EZ$268)/1000*Обложка!$N$16)</f>
        <v>0</v>
      </c>
      <c r="AE132" s="212">
        <f>IF($B132="Яйцо (шт)",SUMIF(Меню!$J$8:$EZ$8,$B132,Меню!$J$281:$EZ$281)*Обложка!$N$17/60,SUMIF(Меню!$J$8:$EZ$8,$B132,Меню!$J$281:$EZ$281)/1000*Обложка!$N$17)</f>
        <v>0</v>
      </c>
      <c r="AF132" s="212">
        <f>IF($B132="Яйцо (шт)",SUMIF(Меню!$J$8:$EZ$8,$B132,Меню!$J$286:$EZ$286)*Обложка!$N$18/60,SUMIF(Меню!$J$8:$EZ$8,$B132,Меню!$J$286:$EZ$286)/1000*Обложка!$N$18)</f>
        <v>0</v>
      </c>
      <c r="AG132" s="685">
        <f t="shared" si="14"/>
        <v>0</v>
      </c>
      <c r="AH132" s="212">
        <f>IF($B132="Яйцо (шт)",SUMIF(Меню!$J$8:$EZ$8,$B132,Меню!$J$298:$EZ$298)*Обложка!$P$15/60,SUMIF(Меню!$J$8:$EZ$8,$B132,Меню!$J$298:$EZ$298)/1000*Обложка!$P$15)</f>
        <v>0</v>
      </c>
      <c r="AI132" s="212">
        <f>IF($B132="Яйцо (шт)",SUMIF(Меню!$J$8:$EZ$8,$BB132,Меню!$J$313:$EZ$313)*Обложка!$P$16/60,SUMIF(Меню!$J$8:$EZ$8,$B132,Меню!$J$313:$EZ$313)/1000*Обложка!$P$16)</f>
        <v>0</v>
      </c>
      <c r="AJ132" s="212">
        <f>IF($B132="Яйцо (шт)",SUMIF(Меню!$J$8:$EZ$8,$B132,Меню!$J$326:$EZ$326)*Обложка!$P$17/60,SUMIF(Меню!$J$8:$EZ$8,$B132,Меню!$J$326:$EZ$326)/1000*Обложка!$P$17)</f>
        <v>0</v>
      </c>
      <c r="AK132" s="212">
        <f>IF($B132="Яйцо (шт)",SUMIF(Меню!$J$8:$EZ$8,$B132,Меню!$J$331:$EZ$331)*Обложка!$P$18/60,SUMIF(Меню!$J$8:$EZ$8,$B132,Меню!$J$331:$EZ$331)/1000*Обложка!$P$18)</f>
        <v>0</v>
      </c>
      <c r="AL132" s="699">
        <f t="shared" si="15"/>
        <v>0</v>
      </c>
      <c r="AM132" s="685">
        <f t="shared" si="16"/>
        <v>0</v>
      </c>
    </row>
    <row r="133" spans="1:39" x14ac:dyDescent="0.25">
      <c r="A133" s="249">
        <f t="shared" si="17"/>
        <v>121</v>
      </c>
      <c r="B133" s="248" t="str">
        <f>инфо!D122</f>
        <v>Яйцо и специи 3</v>
      </c>
      <c r="C133" s="694">
        <f>SUMIF(Меню!$J$8:$FD$8,$B133,Меню!$J$333:$FD$333)</f>
        <v>0</v>
      </c>
      <c r="D133" s="212">
        <f>IF($B133="Яйцо (шт)",SUMIF(Меню!$J$8:$FD$8,$B133,Меню!$J$28:$FD$28)*Обложка!$D$15/60,SUMIF(Меню!$J$8:$FD$8,$B133,Меню!$J$28:$FD$28)/1000*Обложка!$D$15)</f>
        <v>0</v>
      </c>
      <c r="E133" s="212">
        <f>IF($B133="Яйцо (шт)",SUMIF(Меню!$J$8:$FD$8,$B133,Меню!$J$43:$FD$43)*Обложка!$D$16/60,SUMIF(Меню!$J$8:$FD$8,$B133,Меню!$J$43:$FD$43)/1000*Обложка!$D$16)</f>
        <v>0</v>
      </c>
      <c r="F133" s="212">
        <f>IF($B133="Яйцо (шт)",SUMIF(Меню!$J$8:$FD$8,$B133,Меню!$J$56:$FD$56)*Обложка!$D$17/60,SUMIF(Меню!$J$8:$FD$8,$B133,Меню!$J$56:$FD$56)/1000*Обложка!$D$17)</f>
        <v>0</v>
      </c>
      <c r="G133" s="212">
        <f>IF($B133="Яйцо (шт)",SUMIF(Меню!$J$8:$FD$8,$B133,Меню!$J$61:$FD$61)*Обложка!$D$18/60,SUMIF(Меню!$J$8:$FD$8,$B133,Меню!$J$61:$FD$61)/1000*Обложка!$D$18)</f>
        <v>0</v>
      </c>
      <c r="H133" s="685">
        <f t="shared" si="9"/>
        <v>0</v>
      </c>
      <c r="I133" s="212">
        <f>IF($B133="Яйцо (шт)",SUMIF(Меню!$J$8:$FD$8,$B133,Меню!$J$73:$FD$73)*Обложка!$F$15/60,SUMIF(Меню!$J$8:$FD$8,$B133,Меню!$J$73:$FD$73)/1000*Обложка!$F$15)</f>
        <v>0</v>
      </c>
      <c r="J133" s="212">
        <f>IF($B133="Яйцо (шт)",SUMIF(Меню!$J$8:$FD$8,$B133,Меню!$J$88:$FD$88)*Обложка!$F$16/60,SUMIF(Меню!$J$8:$FD$8,$B133,Меню!$J$88:$FD$88)/1000*Обложка!$G$16)</f>
        <v>0</v>
      </c>
      <c r="K133" s="212">
        <f>IF($B133="Яйцо (шт)",SUMIF(Меню!$J$8:$FD$8,$B133,Меню!$J$101:$FD$101)*Обложка!$F$17/60,SUMIF(Меню!$J$8:$FD$8,$B133,Меню!$J$101:$FD$101)/1000*Обложка!$F$17)</f>
        <v>0</v>
      </c>
      <c r="L133" s="212">
        <f>IF($B133="Яйцо (шт)",SUMIF(Меню!$J$8:$FD$8,$B133,Меню!$J$106:$FD$106)*Обложка!$F$18/60,SUMIF(Меню!$J$8:$FD$8,$B133,Меню!$J$106:$FD$106)/1000*Обложка!$F$18)</f>
        <v>0</v>
      </c>
      <c r="M133" s="685">
        <f t="shared" si="10"/>
        <v>0</v>
      </c>
      <c r="N133" s="212">
        <f>IF($B133="Яйцо (шт)",SUMIF(Меню!$J$8:$EZ$8,$B133,Меню!$J$118:$EZ$118)*Обложка!$H$15/60,SUMIF(Меню!$J$8:$EZ$8,$B133,Меню!$J$118:$EZ$118)/1000*Обложка!$H$15)</f>
        <v>0</v>
      </c>
      <c r="O133" s="212">
        <f>IF($B133="Яйцо (шт)",SUMIF(Меню!$J$8:$EZ$8,$B133,Меню!$J$133:$EZ$133)*Обложка!$H$16/60,SUMIF(Меню!$J$8:$EZ$8,$B133,Меню!$J$133:$EZ$133)/1000*Обложка!$H$16)</f>
        <v>0</v>
      </c>
      <c r="P133" s="212">
        <f>IF($B133="Яйцо (шт)",SUMIF(Меню!$J$8:$EZ$8,$B133,Меню!$J$146:$EZ$146)*Обложка!$H$17/60,SUMIF(Меню!$J$8:$EZ$8,$B133,Меню!$J$146:$EZ$146)/1000*Обложка!$H$17)</f>
        <v>0</v>
      </c>
      <c r="Q133" s="212">
        <f>IF($B133="Яйцо (шт)",SUMIF(Меню!$J$8:$EZ$8,$B133,Меню!$J$151:$EZ$151)*Обложка!$H$18/60,SUMIF(Меню!$J$8:$EZ$8,$B133,Меню!$J$151:$EZ$151)/1000*Обложка!$H$18)</f>
        <v>0</v>
      </c>
      <c r="R133" s="685">
        <f t="shared" si="11"/>
        <v>0</v>
      </c>
      <c r="S133" s="212">
        <f>IF($B133="Яйцо (шт)",SUMIF(Меню!$J$8:$EZ$8,$B133,Меню!$J$163:$EZ$163)*Обложка!$J$15/60,SUMIF(Меню!$J$8:$EZ$8,$B133,Меню!$J$163:$EZ$163)/1000*Обложка!$J$15)</f>
        <v>0</v>
      </c>
      <c r="T133" s="212">
        <f>IF($B133="Яйцо (шт)",SUMIF(Меню!$J$8:$EZ$8,$B133,Меню!$J$178:$EZ$178)*Обложка!$J$16/60,SUMIF(Меню!$J$8:$EZ$8,$B133,Меню!$J$178:$EZ$178)/1000*Обложка!$J$16)</f>
        <v>0</v>
      </c>
      <c r="U133" s="212">
        <f>IF($B133="Яйцо (шт)",SUMIF(Меню!$J$8:$EZ$8,$B133,Меню!$J$191:$EZ$191)*Обложка!$J$17/60,SUMIF(Меню!$J$8:$EZ$8,$B133,Меню!$J$191:$EZ$191)/1000*Обложка!$J$17)</f>
        <v>0</v>
      </c>
      <c r="V133" s="212">
        <f>IF($B133="Яйцо (шт)",SUMIF(Меню!$J$8:$EZ$8,$B133,Меню!$J$196:$EZ$196)*Обложка!$J$18/60,SUMIF(Меню!$J$8:$EZ$8,$B133,Меню!$J$196:$EZ$196)/1000*Обложка!$J$18)</f>
        <v>0</v>
      </c>
      <c r="W133" s="685">
        <f t="shared" si="12"/>
        <v>0</v>
      </c>
      <c r="X133" s="212">
        <f>IF($B133="Яйцо (шт)",SUMIF(Меню!$J$8:$EZ$8,$B133,Меню!$J$208:$EZ$208)*Обложка!$L$15/60,SUMIF(Меню!$J$8:$EZ$8,$B133,Меню!$J$208:$EZ$208)/1000*Обложка!$L$15)</f>
        <v>0</v>
      </c>
      <c r="Y133" s="212">
        <f>IF($B133="Яйцо (шт)",SUMIF(Меню!$J$8:$EZ$8,$B133,Меню!$J$223:$EZ$223)*Обложка!$L$16/60,SUMIF(Меню!$J$8:$EZ$8,$B133,Меню!$J$223:$EZ$223)/1000*Обложка!$J$16)</f>
        <v>0</v>
      </c>
      <c r="Z133" s="212">
        <f>IF($B133="Яйцо (шт)",SUMIF(Меню!$J$8:$EZ$8,$B133,Меню!$J$236:$EZ$236)*Обложка!$L$17/60,SUMIF(Меню!$J$8:$EZ$8,$B133,Меню!$J$236:$EZ$236)/1000*Обложка!$L$17)</f>
        <v>0</v>
      </c>
      <c r="AA133" s="212">
        <f>IF($B133="Яйцо (шт)",SUMIF(Меню!$J$8:$EZ$8,$B133,Меню!$J$241:$EZ$241)*Обложка!$L$18/60,SUMIF(Меню!$J$8:$EZ$8,$B133,Меню!$J$241:$EZ$241)/1000*Обложка!$L$18)</f>
        <v>0</v>
      </c>
      <c r="AB133" s="685">
        <f t="shared" si="13"/>
        <v>0</v>
      </c>
      <c r="AC133" s="212">
        <f>IF($B133="Яйцо (шт)",SUMIF(Меню!$J$8:$EZ$8,$B133,Меню!$J$253:$EZ$253)*Обложка!$N$15/60,SUMIF(Меню!$J$8:$EZ$8,$B133,Меню!$J$253:$EZ$253)/1000*Обложка!$N$15)</f>
        <v>0</v>
      </c>
      <c r="AD133" s="212">
        <f>IF($B133="Яйцо (шт)",SUMIF(Меню!$J$8:$EZ$8,$B133,Меню!$J$268:$EZ$268)*Обложка!$N$16/60,SUMIF(Меню!$J$8:$EZ$8,$B133,Меню!$J$268:$EZ$268)/1000*Обложка!$N$16)</f>
        <v>0</v>
      </c>
      <c r="AE133" s="212">
        <f>IF($B133="Яйцо (шт)",SUMIF(Меню!$J$8:$EZ$8,$B133,Меню!$J$281:$EZ$281)*Обложка!$N$17/60,SUMIF(Меню!$J$8:$EZ$8,$B133,Меню!$J$281:$EZ$281)/1000*Обложка!$N$17)</f>
        <v>0</v>
      </c>
      <c r="AF133" s="212">
        <f>IF($B133="Яйцо (шт)",SUMIF(Меню!$J$8:$EZ$8,$B133,Меню!$J$286:$EZ$286)*Обложка!$N$18/60,SUMIF(Меню!$J$8:$EZ$8,$B133,Меню!$J$286:$EZ$286)/1000*Обложка!$N$18)</f>
        <v>0</v>
      </c>
      <c r="AG133" s="685">
        <f t="shared" si="14"/>
        <v>0</v>
      </c>
      <c r="AH133" s="212">
        <f>IF($B133="Яйцо (шт)",SUMIF(Меню!$J$8:$EZ$8,$B133,Меню!$J$298:$EZ$298)*Обложка!$P$15/60,SUMIF(Меню!$J$8:$EZ$8,$B133,Меню!$J$298:$EZ$298)/1000*Обложка!$P$15)</f>
        <v>0</v>
      </c>
      <c r="AI133" s="212">
        <f>IF($B133="Яйцо (шт)",SUMIF(Меню!$J$8:$EZ$8,$BB133,Меню!$J$313:$EZ$313)*Обложка!$P$16/60,SUMIF(Меню!$J$8:$EZ$8,$B133,Меню!$J$313:$EZ$313)/1000*Обложка!$P$16)</f>
        <v>0</v>
      </c>
      <c r="AJ133" s="212">
        <f>IF($B133="Яйцо (шт)",SUMIF(Меню!$J$8:$EZ$8,$B133,Меню!$J$326:$EZ$326)*Обложка!$P$17/60,SUMIF(Меню!$J$8:$EZ$8,$B133,Меню!$J$326:$EZ$326)/1000*Обложка!$P$17)</f>
        <v>0</v>
      </c>
      <c r="AK133" s="212">
        <f>IF($B133="Яйцо (шт)",SUMIF(Меню!$J$8:$EZ$8,$B133,Меню!$J$331:$EZ$331)*Обложка!$P$18/60,SUMIF(Меню!$J$8:$EZ$8,$B133,Меню!$J$331:$EZ$331)/1000*Обложка!$P$18)</f>
        <v>0</v>
      </c>
      <c r="AL133" s="699">
        <f t="shared" si="15"/>
        <v>0</v>
      </c>
      <c r="AM133" s="685">
        <f t="shared" si="16"/>
        <v>0</v>
      </c>
    </row>
    <row r="134" spans="1:39" x14ac:dyDescent="0.25">
      <c r="A134" s="249">
        <f t="shared" si="17"/>
        <v>122</v>
      </c>
      <c r="B134" s="248" t="str">
        <f>инфо!D123</f>
        <v>Вода</v>
      </c>
      <c r="C134" s="694">
        <f>SUMIF(Меню!$J$8:$FD$8,$B134,Меню!$J$333:$FD$333)</f>
        <v>8837.9</v>
      </c>
      <c r="D134" s="212">
        <f>IF($B134="Яйцо (шт)",SUMIF(Меню!$J$8:$FD$8,$B134,Меню!$J$28:$FD$28)*Обложка!$D$15/60,SUMIF(Меню!$J$8:$FD$8,$B134,Меню!$J$28:$FD$28)/1000*Обложка!$D$15)</f>
        <v>38.503200000000007</v>
      </c>
      <c r="E134" s="212">
        <f>IF($B134="Яйцо (шт)",SUMIF(Меню!$J$8:$FD$8,$B134,Меню!$J$43:$FD$43)*Обложка!$D$16/60,SUMIF(Меню!$J$8:$FD$8,$B134,Меню!$J$43:$FD$43)/1000*Обложка!$D$16)</f>
        <v>62.903200000000005</v>
      </c>
      <c r="F134" s="212">
        <f>IF($B134="Яйцо (шт)",SUMIF(Меню!$J$8:$FD$8,$B134,Меню!$J$56:$FD$56)*Обложка!$D$17/60,SUMIF(Меню!$J$8:$FD$8,$B134,Меню!$J$56:$FD$56)/1000*Обложка!$D$17)</f>
        <v>85.180400000000006</v>
      </c>
      <c r="G134" s="212">
        <f>IF($B134="Яйцо (шт)",SUMIF(Меню!$J$8:$FD$8,$B134,Меню!$J$61:$FD$61)*Обложка!$D$18/60,SUMIF(Меню!$J$8:$FD$8,$B134,Меню!$J$61:$FD$61)/1000*Обложка!$D$18)</f>
        <v>30.5</v>
      </c>
      <c r="H134" s="685">
        <f t="shared" si="9"/>
        <v>217.08680000000004</v>
      </c>
      <c r="I134" s="212">
        <f>IF($B134="Яйцо (шт)",SUMIF(Меню!$J$8:$FD$8,$B134,Меню!$J$73:$FD$73)*Обложка!$F$15/60,SUMIF(Меню!$J$8:$FD$8,$B134,Меню!$J$73:$FD$73)/1000*Обложка!$F$15)</f>
        <v>51.123199999999997</v>
      </c>
      <c r="J134" s="212">
        <f>IF($B134="Яйцо (шт)",SUMIF(Меню!$J$8:$FD$8,$B134,Меню!$J$88:$FD$88)*Обложка!$F$16/60,SUMIF(Меню!$J$8:$FD$8,$B134,Меню!$J$88:$FD$88)/1000*Обложка!$G$16)</f>
        <v>9.3346</v>
      </c>
      <c r="K134" s="212">
        <f>IF($B134="Яйцо (шт)",SUMIF(Меню!$J$8:$FD$8,$B134,Меню!$J$101:$FD$101)*Обложка!$F$17/60,SUMIF(Меню!$J$8:$FD$8,$B134,Меню!$J$101:$FD$101)/1000*Обложка!$F$17)</f>
        <v>26.974999999999998</v>
      </c>
      <c r="L134" s="212">
        <f>IF($B134="Яйцо (шт)",SUMIF(Меню!$J$8:$FD$8,$B134,Меню!$J$106:$FD$106)*Обложка!$F$18/60,SUMIF(Меню!$J$8:$FD$8,$B134,Меню!$J$106:$FD$106)/1000*Обложка!$F$18)</f>
        <v>32.5</v>
      </c>
      <c r="M134" s="685">
        <f t="shared" si="10"/>
        <v>119.9328</v>
      </c>
      <c r="N134" s="212">
        <f>IF($B134="Яйцо (шт)",SUMIF(Меню!$J$8:$EZ$8,$B134,Меню!$J$118:$EZ$118)*Обложка!$H$15/60,SUMIF(Меню!$J$8:$EZ$8,$B134,Меню!$J$118:$EZ$118)/1000*Обложка!$H$15)</f>
        <v>41.066500000000005</v>
      </c>
      <c r="O134" s="212">
        <f>IF($B134="Яйцо (шт)",SUMIF(Меню!$J$8:$EZ$8,$B134,Меню!$J$133:$EZ$133)*Обложка!$H$16/60,SUMIF(Меню!$J$8:$EZ$8,$B134,Меню!$J$133:$EZ$133)/1000*Обложка!$H$16)</f>
        <v>61.065000000000005</v>
      </c>
      <c r="P134" s="212">
        <f>IF($B134="Яйцо (шт)",SUMIF(Меню!$J$8:$EZ$8,$B134,Меню!$J$146:$EZ$146)*Обложка!$H$17/60,SUMIF(Меню!$J$8:$EZ$8,$B134,Меню!$J$146:$EZ$146)/1000*Обложка!$H$17)</f>
        <v>35.316500000000005</v>
      </c>
      <c r="Q134" s="212">
        <f>IF($B134="Яйцо (шт)",SUMIF(Меню!$J$8:$EZ$8,$B134,Меню!$J$151:$EZ$151)*Обложка!$H$18/60,SUMIF(Меню!$J$8:$EZ$8,$B134,Меню!$J$151:$EZ$151)/1000*Обложка!$H$18)</f>
        <v>28.75</v>
      </c>
      <c r="R134" s="685">
        <f t="shared" si="11"/>
        <v>166.19800000000004</v>
      </c>
      <c r="S134" s="212">
        <f>IF($B134="Яйцо (шт)",SUMIF(Меню!$J$8:$EZ$8,$B134,Меню!$J$163:$EZ$163)*Обложка!$J$15/60,SUMIF(Меню!$J$8:$EZ$8,$B134,Меню!$J$163:$EZ$163)/1000*Обложка!$J$15)</f>
        <v>38.388000000000005</v>
      </c>
      <c r="T134" s="212">
        <f>IF($B134="Яйцо (шт)",SUMIF(Меню!$J$8:$EZ$8,$B134,Меню!$J$178:$EZ$178)*Обложка!$J$16/60,SUMIF(Меню!$J$8:$EZ$8,$B134,Меню!$J$178:$EZ$178)/1000*Обложка!$J$16)</f>
        <v>26.56</v>
      </c>
      <c r="U134" s="212">
        <f>IF($B134="Яйцо (шт)",SUMIF(Меню!$J$8:$EZ$8,$B134,Меню!$J$191:$EZ$191)*Обложка!$J$17/60,SUMIF(Меню!$J$8:$EZ$8,$B134,Меню!$J$191:$EZ$191)/1000*Обложка!$J$17)</f>
        <v>12.201000000000001</v>
      </c>
      <c r="V134" s="212">
        <f>IF($B134="Яйцо (шт)",SUMIF(Меню!$J$8:$EZ$8,$B134,Меню!$J$196:$EZ$196)*Обложка!$J$18/60,SUMIF(Меню!$J$8:$EZ$8,$B134,Меню!$J$196:$EZ$196)/1000*Обложка!$J$18)</f>
        <v>24.5</v>
      </c>
      <c r="W134" s="685">
        <f t="shared" si="12"/>
        <v>101.649</v>
      </c>
      <c r="X134" s="212">
        <f>IF($B134="Яйцо (шт)",SUMIF(Меню!$J$8:$EZ$8,$B134,Меню!$J$208:$EZ$208)*Обложка!$L$15/60,SUMIF(Меню!$J$8:$EZ$8,$B134,Меню!$J$208:$EZ$208)/1000*Обложка!$L$15)</f>
        <v>59.402000000000001</v>
      </c>
      <c r="Y134" s="212">
        <f>IF($B134="Яйцо (шт)",SUMIF(Меню!$J$8:$EZ$8,$B134,Меню!$J$223:$EZ$223)*Обложка!$L$16/60,SUMIF(Меню!$J$8:$EZ$8,$B134,Меню!$J$223:$EZ$223)/1000*Обложка!$J$16)</f>
        <v>12.45</v>
      </c>
      <c r="Z134" s="212">
        <f>IF($B134="Яйцо (шт)",SUMIF(Меню!$J$8:$EZ$8,$B134,Меню!$J$236:$EZ$236)*Обложка!$L$17/60,SUMIF(Меню!$J$8:$EZ$8,$B134,Меню!$J$236:$EZ$236)/1000*Обложка!$L$17)</f>
        <v>6.391</v>
      </c>
      <c r="AA134" s="212">
        <f>IF($B134="Яйцо (шт)",SUMIF(Меню!$J$8:$EZ$8,$B134,Меню!$J$241:$EZ$241)*Обложка!$L$18/60,SUMIF(Меню!$J$8:$EZ$8,$B134,Меню!$J$241:$EZ$241)/1000*Обложка!$L$18)</f>
        <v>8.75</v>
      </c>
      <c r="AB134" s="685">
        <f t="shared" si="13"/>
        <v>86.993000000000009</v>
      </c>
      <c r="AC134" s="212">
        <f>IF($B134="Яйцо (шт)",SUMIF(Меню!$J$8:$EZ$8,$B134,Меню!$J$253:$EZ$253)*Обложка!$N$15/60,SUMIF(Меню!$J$8:$EZ$8,$B134,Меню!$J$253:$EZ$253)/1000*Обложка!$N$15)</f>
        <v>16.452000000000002</v>
      </c>
      <c r="AD134" s="212">
        <f>IF($B134="Яйцо (шт)",SUMIF(Меню!$J$8:$EZ$8,$B134,Меню!$J$268:$EZ$268)*Обложка!$N$16/60,SUMIF(Меню!$J$8:$EZ$8,$B134,Меню!$J$268:$EZ$268)/1000*Обложка!$N$16)</f>
        <v>20.169</v>
      </c>
      <c r="AE134" s="212">
        <f>IF($B134="Яйцо (шт)",SUMIF(Меню!$J$8:$EZ$8,$B134,Меню!$J$281:$EZ$281)*Обложка!$N$17/60,SUMIF(Меню!$J$8:$EZ$8,$B134,Меню!$J$281:$EZ$281)/1000*Обложка!$N$17)</f>
        <v>11.952</v>
      </c>
      <c r="AF134" s="212">
        <f>IF($B134="Яйцо (шт)",SUMIF(Меню!$J$8:$EZ$8,$B134,Меню!$J$286:$EZ$286)*Обложка!$N$18/60,SUMIF(Меню!$J$8:$EZ$8,$B134,Меню!$J$286:$EZ$286)/1000*Обложка!$N$18)</f>
        <v>11.25</v>
      </c>
      <c r="AG134" s="685">
        <f t="shared" si="14"/>
        <v>59.823</v>
      </c>
      <c r="AH134" s="212">
        <f>IF($B134="Яйцо (шт)",SUMIF(Меню!$J$8:$EZ$8,$B134,Меню!$J$298:$EZ$298)*Обложка!$P$15/60,SUMIF(Меню!$J$8:$EZ$8,$B134,Меню!$J$298:$EZ$298)/1000*Обложка!$P$15)</f>
        <v>10.312000000000001</v>
      </c>
      <c r="AI134" s="212">
        <f>IF($B134="Яйцо (шт)",SUMIF(Меню!$J$8:$EZ$8,$BB134,Меню!$J$313:$EZ$313)*Обложка!$P$16/60,SUMIF(Меню!$J$8:$EZ$8,$B134,Меню!$J$313:$EZ$313)/1000*Обложка!$P$16)</f>
        <v>0</v>
      </c>
      <c r="AJ134" s="212">
        <f>IF($B134="Яйцо (шт)",SUMIF(Меню!$J$8:$EZ$8,$B134,Меню!$J$326:$EZ$326)*Обложка!$P$17/60,SUMIF(Меню!$J$8:$EZ$8,$B134,Меню!$J$326:$EZ$326)/1000*Обложка!$P$17)</f>
        <v>6.25</v>
      </c>
      <c r="AK134" s="212">
        <f>IF($B134="Яйцо (шт)",SUMIF(Меню!$J$8:$EZ$8,$B134,Меню!$J$331:$EZ$331)*Обложка!$P$18/60,SUMIF(Меню!$J$8:$EZ$8,$B134,Меню!$J$331:$EZ$331)/1000*Обложка!$P$18)</f>
        <v>1</v>
      </c>
      <c r="AL134" s="699">
        <f t="shared" si="15"/>
        <v>17.562000000000001</v>
      </c>
      <c r="AM134" s="685">
        <f t="shared" si="16"/>
        <v>769.2446000000001</v>
      </c>
    </row>
    <row r="135" spans="1:39" x14ac:dyDescent="0.25">
      <c r="A135" s="249">
        <f t="shared" si="17"/>
        <v>123</v>
      </c>
      <c r="B135" s="248" t="str">
        <f>инфо!D124</f>
        <v>Вода или бульон</v>
      </c>
      <c r="C135" s="694">
        <f>SUMIF(Меню!$J$8:$FD$8,$B135,Меню!$J$333:$FD$333)</f>
        <v>5714.4</v>
      </c>
      <c r="D135" s="212">
        <f>IF($B135="Яйцо (шт)",SUMIF(Меню!$J$8:$FD$8,$B135,Меню!$J$28:$FD$28)*Обложка!$D$15/60,SUMIF(Меню!$J$8:$FD$8,$B135,Меню!$J$28:$FD$28)/1000*Обложка!$D$15)</f>
        <v>0</v>
      </c>
      <c r="E135" s="212">
        <f>IF($B135="Яйцо (шт)",SUMIF(Меню!$J$8:$FD$8,$B135,Меню!$J$43:$FD$43)*Обложка!$D$16/60,SUMIF(Меню!$J$8:$FD$8,$B135,Меню!$J$43:$FD$43)/1000*Обложка!$D$16)</f>
        <v>51.728000000000002</v>
      </c>
      <c r="F135" s="212">
        <f>IF($B135="Яйцо (шт)",SUMIF(Меню!$J$8:$FD$8,$B135,Меню!$J$56:$FD$56)*Обложка!$D$17/60,SUMIF(Меню!$J$8:$FD$8,$B135,Меню!$J$56:$FD$56)/1000*Обложка!$D$17)</f>
        <v>48.800000000000004</v>
      </c>
      <c r="G135" s="212">
        <f>IF($B135="Яйцо (шт)",SUMIF(Меню!$J$8:$FD$8,$B135,Меню!$J$61:$FD$61)*Обложка!$D$18/60,SUMIF(Меню!$J$8:$FD$8,$B135,Меню!$J$61:$FD$61)/1000*Обложка!$D$18)</f>
        <v>0</v>
      </c>
      <c r="H135" s="685">
        <f t="shared" si="9"/>
        <v>100.52800000000001</v>
      </c>
      <c r="I135" s="212">
        <f>IF($B135="Яйцо (шт)",SUMIF(Меню!$J$8:$FD$8,$B135,Меню!$J$73:$FD$73)*Обложка!$F$15/60,SUMIF(Меню!$J$8:$FD$8,$B135,Меню!$J$73:$FD$73)/1000*Обложка!$F$15)</f>
        <v>0</v>
      </c>
      <c r="J135" s="212">
        <f>IF($B135="Яйцо (шт)",SUMIF(Меню!$J$8:$FD$8,$B135,Меню!$J$88:$FD$88)*Обложка!$F$16/60,SUMIF(Меню!$J$8:$FD$8,$B135,Меню!$J$88:$FD$88)/1000*Обложка!$G$16)</f>
        <v>9.0815999999999999</v>
      </c>
      <c r="K135" s="212">
        <f>IF($B135="Яйцо (шт)",SUMIF(Меню!$J$8:$FD$8,$B135,Меню!$J$101:$FD$101)*Обложка!$F$17/60,SUMIF(Меню!$J$8:$FD$8,$B135,Меню!$J$101:$FD$101)/1000*Обложка!$F$17)</f>
        <v>52</v>
      </c>
      <c r="L135" s="212">
        <f>IF($B135="Яйцо (шт)",SUMIF(Меню!$J$8:$FD$8,$B135,Меню!$J$106:$FD$106)*Обложка!$F$18/60,SUMIF(Меню!$J$8:$FD$8,$B135,Меню!$J$106:$FD$106)/1000*Обложка!$F$18)</f>
        <v>0</v>
      </c>
      <c r="M135" s="685">
        <f t="shared" si="10"/>
        <v>61.081600000000002</v>
      </c>
      <c r="N135" s="212">
        <f>IF($B135="Яйцо (шт)",SUMIF(Меню!$J$8:$EZ$8,$B135,Меню!$J$118:$EZ$118)*Обложка!$H$15/60,SUMIF(Меню!$J$8:$EZ$8,$B135,Меню!$J$118:$EZ$118)/1000*Обложка!$H$15)</f>
        <v>0</v>
      </c>
      <c r="O135" s="212">
        <f>IF($B135="Яйцо (шт)",SUMIF(Меню!$J$8:$EZ$8,$B135,Меню!$J$133:$EZ$133)*Обложка!$H$16/60,SUMIF(Меню!$J$8:$EZ$8,$B135,Меню!$J$133:$EZ$133)/1000*Обложка!$H$16)</f>
        <v>48.207999999999998</v>
      </c>
      <c r="P135" s="212">
        <f>IF($B135="Яйцо (шт)",SUMIF(Меню!$J$8:$EZ$8,$B135,Меню!$J$146:$EZ$146)*Обложка!$H$17/60,SUMIF(Меню!$J$8:$EZ$8,$B135,Меню!$J$146:$EZ$146)/1000*Обложка!$H$17)</f>
        <v>46</v>
      </c>
      <c r="Q135" s="212">
        <f>IF($B135="Яйцо (шт)",SUMIF(Меню!$J$8:$EZ$8,$B135,Меню!$J$151:$EZ$151)*Обложка!$H$18/60,SUMIF(Меню!$J$8:$EZ$8,$B135,Меню!$J$151:$EZ$151)/1000*Обложка!$H$18)</f>
        <v>0</v>
      </c>
      <c r="R135" s="685">
        <f t="shared" si="11"/>
        <v>94.207999999999998</v>
      </c>
      <c r="S135" s="212">
        <f>IF($B135="Яйцо (шт)",SUMIF(Меню!$J$8:$EZ$8,$B135,Меню!$J$163:$EZ$163)*Обложка!$J$15/60,SUMIF(Меню!$J$8:$EZ$8,$B135,Меню!$J$163:$EZ$163)/1000*Обложка!$J$15)</f>
        <v>0</v>
      </c>
      <c r="T135" s="212">
        <f>IF($B135="Яйцо (шт)",SUMIF(Меню!$J$8:$EZ$8,$B135,Меню!$J$178:$EZ$178)*Обложка!$J$16/60,SUMIF(Меню!$J$8:$EZ$8,$B135,Меню!$J$178:$EZ$178)/1000*Обложка!$J$16)</f>
        <v>41.6</v>
      </c>
      <c r="U135" s="212">
        <f>IF($B135="Яйцо (шт)",SUMIF(Меню!$J$8:$EZ$8,$B135,Меню!$J$191:$EZ$191)*Обложка!$J$17/60,SUMIF(Меню!$J$8:$EZ$8,$B135,Меню!$J$191:$EZ$191)/1000*Обложка!$J$17)</f>
        <v>39.200000000000003</v>
      </c>
      <c r="V135" s="212">
        <f>IF($B135="Яйцо (шт)",SUMIF(Меню!$J$8:$EZ$8,$B135,Меню!$J$196:$EZ$196)*Обложка!$J$18/60,SUMIF(Меню!$J$8:$EZ$8,$B135,Меню!$J$196:$EZ$196)/1000*Обложка!$J$18)</f>
        <v>0</v>
      </c>
      <c r="W135" s="685">
        <f t="shared" si="12"/>
        <v>80.800000000000011</v>
      </c>
      <c r="X135" s="212">
        <f>IF($B135="Яйцо (шт)",SUMIF(Меню!$J$8:$EZ$8,$B135,Меню!$J$208:$EZ$208)*Обложка!$L$15/60,SUMIF(Меню!$J$8:$EZ$8,$B135,Меню!$J$208:$EZ$208)/1000*Обложка!$L$15)</f>
        <v>0</v>
      </c>
      <c r="Y135" s="212">
        <f>IF($B135="Яйцо (шт)",SUMIF(Меню!$J$8:$EZ$8,$B135,Меню!$J$223:$EZ$223)*Обложка!$L$16/60,SUMIF(Меню!$J$8:$EZ$8,$B135,Меню!$J$223:$EZ$223)/1000*Обложка!$J$16)</f>
        <v>40</v>
      </c>
      <c r="Z135" s="212">
        <f>IF($B135="Яйцо (шт)",SUMIF(Меню!$J$8:$EZ$8,$B135,Меню!$J$236:$EZ$236)*Обложка!$L$17/60,SUMIF(Меню!$J$8:$EZ$8,$B135,Меню!$J$236:$EZ$236)/1000*Обложка!$L$17)</f>
        <v>14.504</v>
      </c>
      <c r="AA135" s="212">
        <f>IF($B135="Яйцо (шт)",SUMIF(Меню!$J$8:$EZ$8,$B135,Меню!$J$241:$EZ$241)*Обложка!$L$18/60,SUMIF(Меню!$J$8:$EZ$8,$B135,Меню!$J$241:$EZ$241)/1000*Обложка!$L$18)</f>
        <v>0</v>
      </c>
      <c r="AB135" s="685">
        <f t="shared" si="13"/>
        <v>54.503999999999998</v>
      </c>
      <c r="AC135" s="212">
        <f>IF($B135="Яйцо (шт)",SUMIF(Меню!$J$8:$EZ$8,$B135,Меню!$J$253:$EZ$253)*Обложка!$N$15/60,SUMIF(Меню!$J$8:$EZ$8,$B135,Меню!$J$253:$EZ$253)/1000*Обложка!$N$15)</f>
        <v>0</v>
      </c>
      <c r="AD135" s="212">
        <f>IF($B135="Яйцо (шт)",SUMIF(Меню!$J$8:$EZ$8,$B135,Меню!$J$268:$EZ$268)*Обложка!$N$16/60,SUMIF(Меню!$J$8:$EZ$8,$B135,Меню!$J$268:$EZ$268)/1000*Обложка!$N$16)</f>
        <v>18.72</v>
      </c>
      <c r="AE135" s="212">
        <f>IF($B135="Яйцо (шт)",SUMIF(Меню!$J$8:$EZ$8,$B135,Меню!$J$281:$EZ$281)*Обложка!$N$17/60,SUMIF(Меню!$J$8:$EZ$8,$B135,Меню!$J$281:$EZ$281)/1000*Обложка!$N$17)</f>
        <v>18</v>
      </c>
      <c r="AF135" s="212">
        <f>IF($B135="Яйцо (шт)",SUMIF(Меню!$J$8:$EZ$8,$B135,Меню!$J$286:$EZ$286)*Обложка!$N$18/60,SUMIF(Меню!$J$8:$EZ$8,$B135,Меню!$J$286:$EZ$286)/1000*Обложка!$N$18)</f>
        <v>0</v>
      </c>
      <c r="AG135" s="685">
        <f t="shared" si="14"/>
        <v>36.72</v>
      </c>
      <c r="AH135" s="212">
        <f>IF($B135="Яйцо (шт)",SUMIF(Меню!$J$8:$EZ$8,$B135,Меню!$J$298:$EZ$298)*Обложка!$P$15/60,SUMIF(Меню!$J$8:$EZ$8,$B135,Меню!$J$298:$EZ$298)/1000*Обложка!$P$15)</f>
        <v>0</v>
      </c>
      <c r="AI135" s="212">
        <f>IF($B135="Яйцо (шт)",SUMIF(Меню!$J$8:$EZ$8,$BB135,Меню!$J$313:$EZ$313)*Обложка!$P$16/60,SUMIF(Меню!$J$8:$EZ$8,$B135,Меню!$J$313:$EZ$313)/1000*Обложка!$P$16)</f>
        <v>10</v>
      </c>
      <c r="AJ135" s="212">
        <f>IF($B135="Яйцо (шт)",SUMIF(Меню!$J$8:$EZ$8,$B135,Меню!$J$326:$EZ$326)*Обложка!$P$17/60,SUMIF(Меню!$J$8:$EZ$8,$B135,Меню!$J$326:$EZ$326)/1000*Обложка!$P$17)</f>
        <v>10.299999999999999</v>
      </c>
      <c r="AK135" s="212">
        <f>IF($B135="Яйцо (шт)",SUMIF(Меню!$J$8:$EZ$8,$B135,Меню!$J$331:$EZ$331)*Обложка!$P$18/60,SUMIF(Меню!$J$8:$EZ$8,$B135,Меню!$J$331:$EZ$331)/1000*Обложка!$P$18)</f>
        <v>0</v>
      </c>
      <c r="AL135" s="699">
        <f t="shared" si="15"/>
        <v>20.299999999999997</v>
      </c>
      <c r="AM135" s="685">
        <f t="shared" si="16"/>
        <v>448.1416000000001</v>
      </c>
    </row>
    <row r="136" spans="1:39" x14ac:dyDescent="0.25">
      <c r="A136" s="249">
        <f t="shared" si="17"/>
        <v>124</v>
      </c>
      <c r="B136" s="248" t="str">
        <f>инфо!D125</f>
        <v>Сок п/я</v>
      </c>
      <c r="C136" s="694">
        <f>SUMIF(Меню!$J$8:$FD$8,$B136,Меню!$J$333:$FD$333)</f>
        <v>2200</v>
      </c>
      <c r="D136" s="212">
        <f>IF($B136="Яйцо (шт)",SUMIF(Меню!$J$8:$FD$8,$B136,Меню!$J$28:$FD$28)*Обложка!$D$15/60,SUMIF(Меню!$J$8:$FD$8,$B136,Меню!$J$28:$FD$28)/1000*Обложка!$D$15)</f>
        <v>0</v>
      </c>
      <c r="E136" s="212">
        <f>IF($B136="Яйцо (шт)",SUMIF(Меню!$J$8:$FD$8,$B136,Меню!$J$43:$FD$43)*Обложка!$D$16/60,SUMIF(Меню!$J$8:$FD$8,$B136,Меню!$J$43:$FD$43)/1000*Обложка!$D$16)</f>
        <v>0</v>
      </c>
      <c r="F136" s="212">
        <f>IF($B136="Яйцо (шт)",SUMIF(Меню!$J$8:$FD$8,$B136,Меню!$J$56:$FD$56)*Обложка!$D$17/60,SUMIF(Меню!$J$8:$FD$8,$B136,Меню!$J$56:$FD$56)/1000*Обложка!$D$17)</f>
        <v>24.400000000000002</v>
      </c>
      <c r="G136" s="212">
        <f>IF($B136="Яйцо (шт)",SUMIF(Меню!$J$8:$FD$8,$B136,Меню!$J$61:$FD$61)*Обложка!$D$18/60,SUMIF(Меню!$J$8:$FD$8,$B136,Меню!$J$61:$FD$61)/1000*Обложка!$D$18)</f>
        <v>0</v>
      </c>
      <c r="H136" s="685">
        <f t="shared" si="9"/>
        <v>24.400000000000002</v>
      </c>
      <c r="I136" s="212">
        <f>IF($B136="Яйцо (шт)",SUMIF(Меню!$J$8:$FD$8,$B136,Меню!$J$73:$FD$73)*Обложка!$F$15/60,SUMIF(Меню!$J$8:$FD$8,$B136,Меню!$J$73:$FD$73)/1000*Обложка!$F$15)</f>
        <v>0</v>
      </c>
      <c r="J136" s="212">
        <f>IF($B136="Яйцо (шт)",SUMIF(Меню!$J$8:$FD$8,$B136,Меню!$J$88:$FD$88)*Обложка!$F$16/60,SUMIF(Меню!$J$8:$FD$8,$B136,Меню!$J$88:$FD$88)/1000*Обложка!$G$16)</f>
        <v>0</v>
      </c>
      <c r="K136" s="212">
        <f>IF($B136="Яйцо (шт)",SUMIF(Меню!$J$8:$FD$8,$B136,Меню!$J$101:$FD$101)*Обложка!$F$17/60,SUMIF(Меню!$J$8:$FD$8,$B136,Меню!$J$101:$FD$101)/1000*Обложка!$F$17)</f>
        <v>26</v>
      </c>
      <c r="L136" s="212">
        <f>IF($B136="Яйцо (шт)",SUMIF(Меню!$J$8:$FD$8,$B136,Меню!$J$106:$FD$106)*Обложка!$F$18/60,SUMIF(Меню!$J$8:$FD$8,$B136,Меню!$J$106:$FD$106)/1000*Обложка!$F$18)</f>
        <v>0</v>
      </c>
      <c r="M136" s="685">
        <f t="shared" si="10"/>
        <v>26</v>
      </c>
      <c r="N136" s="212">
        <f>IF($B136="Яйцо (шт)",SUMIF(Меню!$J$8:$EZ$8,$B136,Меню!$J$118:$EZ$118)*Обложка!$H$15/60,SUMIF(Меню!$J$8:$EZ$8,$B136,Меню!$J$118:$EZ$118)/1000*Обложка!$H$15)</f>
        <v>0</v>
      </c>
      <c r="O136" s="212">
        <f>IF($B136="Яйцо (шт)",SUMIF(Меню!$J$8:$EZ$8,$B136,Меню!$J$133:$EZ$133)*Обложка!$H$16/60,SUMIF(Меню!$J$8:$EZ$8,$B136,Меню!$J$133:$EZ$133)/1000*Обложка!$H$16)</f>
        <v>23</v>
      </c>
      <c r="P136" s="212">
        <f>IF($B136="Яйцо (шт)",SUMIF(Меню!$J$8:$EZ$8,$B136,Меню!$J$146:$EZ$146)*Обложка!$H$17/60,SUMIF(Меню!$J$8:$EZ$8,$B136,Меню!$J$146:$EZ$146)/1000*Обложка!$H$17)</f>
        <v>23</v>
      </c>
      <c r="Q136" s="212">
        <f>IF($B136="Яйцо (шт)",SUMIF(Меню!$J$8:$EZ$8,$B136,Меню!$J$151:$EZ$151)*Обложка!$H$18/60,SUMIF(Меню!$J$8:$EZ$8,$B136,Меню!$J$151:$EZ$151)/1000*Обложка!$H$18)</f>
        <v>0</v>
      </c>
      <c r="R136" s="685">
        <f t="shared" si="11"/>
        <v>46</v>
      </c>
      <c r="S136" s="212">
        <f>IF($B136="Яйцо (шт)",SUMIF(Меню!$J$8:$EZ$8,$B136,Меню!$J$163:$EZ$163)*Обложка!$J$15/60,SUMIF(Меню!$J$8:$EZ$8,$B136,Меню!$J$163:$EZ$163)/1000*Обложка!$J$15)</f>
        <v>0</v>
      </c>
      <c r="T136" s="212">
        <f>IF($B136="Яйцо (шт)",SUMIF(Меню!$J$8:$EZ$8,$B136,Меню!$J$178:$EZ$178)*Обложка!$J$16/60,SUMIF(Меню!$J$8:$EZ$8,$B136,Меню!$J$178:$EZ$178)/1000*Обложка!$J$16)</f>
        <v>20</v>
      </c>
      <c r="U136" s="212">
        <f>IF($B136="Яйцо (шт)",SUMIF(Меню!$J$8:$EZ$8,$B136,Меню!$J$191:$EZ$191)*Обложка!$J$17/60,SUMIF(Меню!$J$8:$EZ$8,$B136,Меню!$J$191:$EZ$191)/1000*Обложка!$J$17)</f>
        <v>19.600000000000001</v>
      </c>
      <c r="V136" s="212">
        <f>IF($B136="Яйцо (шт)",SUMIF(Меню!$J$8:$EZ$8,$B136,Меню!$J$196:$EZ$196)*Обложка!$J$18/60,SUMIF(Меню!$J$8:$EZ$8,$B136,Меню!$J$196:$EZ$196)/1000*Обложка!$J$18)</f>
        <v>0</v>
      </c>
      <c r="W136" s="685">
        <f t="shared" si="12"/>
        <v>39.6</v>
      </c>
      <c r="X136" s="212">
        <f>IF($B136="Яйцо (шт)",SUMIF(Меню!$J$8:$EZ$8,$B136,Меню!$J$208:$EZ$208)*Обложка!$L$15/60,SUMIF(Меню!$J$8:$EZ$8,$B136,Меню!$J$208:$EZ$208)/1000*Обложка!$L$15)</f>
        <v>0</v>
      </c>
      <c r="Y136" s="212">
        <f>IF($B136="Яйцо (шт)",SUMIF(Меню!$J$8:$EZ$8,$B136,Меню!$J$223:$EZ$223)*Обложка!$L$16/60,SUMIF(Меню!$J$8:$EZ$8,$B136,Меню!$J$223:$EZ$223)/1000*Обложка!$J$16)</f>
        <v>20</v>
      </c>
      <c r="Z136" s="212">
        <f>IF($B136="Яйцо (шт)",SUMIF(Меню!$J$8:$EZ$8,$B136,Меню!$J$236:$EZ$236)*Обложка!$L$17/60,SUMIF(Меню!$J$8:$EZ$8,$B136,Меню!$J$236:$EZ$236)/1000*Обложка!$L$17)</f>
        <v>7</v>
      </c>
      <c r="AA136" s="212">
        <f>IF($B136="Яйцо (шт)",SUMIF(Меню!$J$8:$EZ$8,$B136,Меню!$J$241:$EZ$241)*Обложка!$L$18/60,SUMIF(Меню!$J$8:$EZ$8,$B136,Меню!$J$241:$EZ$241)/1000*Обложка!$L$18)</f>
        <v>0</v>
      </c>
      <c r="AB136" s="685">
        <f t="shared" si="13"/>
        <v>27</v>
      </c>
      <c r="AC136" s="212">
        <f>IF($B136="Яйцо (шт)",SUMIF(Меню!$J$8:$EZ$8,$B136,Меню!$J$253:$EZ$253)*Обложка!$N$15/60,SUMIF(Меню!$J$8:$EZ$8,$B136,Меню!$J$253:$EZ$253)/1000*Обложка!$N$15)</f>
        <v>0</v>
      </c>
      <c r="AD136" s="212">
        <f>IF($B136="Яйцо (шт)",SUMIF(Меню!$J$8:$EZ$8,$B136,Меню!$J$268:$EZ$268)*Обложка!$N$16/60,SUMIF(Меню!$J$8:$EZ$8,$B136,Меню!$J$268:$EZ$268)/1000*Обложка!$N$16)</f>
        <v>9</v>
      </c>
      <c r="AE136" s="212">
        <f>IF($B136="Яйцо (шт)",SUMIF(Меню!$J$8:$EZ$8,$B136,Меню!$J$281:$EZ$281)*Обложка!$N$17/60,SUMIF(Меню!$J$8:$EZ$8,$B136,Меню!$J$281:$EZ$281)/1000*Обложка!$N$17)</f>
        <v>9</v>
      </c>
      <c r="AF136" s="212">
        <f>IF($B136="Яйцо (шт)",SUMIF(Меню!$J$8:$EZ$8,$B136,Меню!$J$286:$EZ$286)*Обложка!$N$18/60,SUMIF(Меню!$J$8:$EZ$8,$B136,Меню!$J$286:$EZ$286)/1000*Обложка!$N$18)</f>
        <v>0</v>
      </c>
      <c r="AG136" s="685">
        <f t="shared" si="14"/>
        <v>18</v>
      </c>
      <c r="AH136" s="212">
        <f>IF($B136="Яйцо (шт)",SUMIF(Меню!$J$8:$EZ$8,$B136,Меню!$J$298:$EZ$298)*Обложка!$P$15/60,SUMIF(Меню!$J$8:$EZ$8,$B136,Меню!$J$298:$EZ$298)/1000*Обложка!$P$15)</f>
        <v>0</v>
      </c>
      <c r="AI136" s="212">
        <f>IF($B136="Яйцо (шт)",SUMIF(Меню!$J$8:$EZ$8,$BB136,Меню!$J$313:$EZ$313)*Обложка!$P$16/60,SUMIF(Меню!$J$8:$EZ$8,$B136,Меню!$J$313:$EZ$313)/1000*Обложка!$P$16)</f>
        <v>5</v>
      </c>
      <c r="AJ136" s="212">
        <f>IF($B136="Яйцо (шт)",SUMIF(Меню!$J$8:$EZ$8,$B136,Меню!$J$326:$EZ$326)*Обложка!$P$17/60,SUMIF(Меню!$J$8:$EZ$8,$B136,Меню!$J$326:$EZ$326)/1000*Обложка!$P$17)</f>
        <v>0</v>
      </c>
      <c r="AK136" s="212">
        <f>IF($B136="Яйцо (шт)",SUMIF(Меню!$J$8:$EZ$8,$B136,Меню!$J$331:$EZ$331)*Обложка!$P$18/60,SUMIF(Меню!$J$8:$EZ$8,$B136,Меню!$J$331:$EZ$331)/1000*Обложка!$P$18)</f>
        <v>0</v>
      </c>
      <c r="AL136" s="699">
        <f t="shared" si="15"/>
        <v>5</v>
      </c>
      <c r="AM136" s="685">
        <f t="shared" si="16"/>
        <v>186</v>
      </c>
    </row>
    <row r="137" spans="1:39" x14ac:dyDescent="0.25">
      <c r="A137" s="249">
        <f t="shared" si="17"/>
        <v>125</v>
      </c>
      <c r="B137" s="248" t="str">
        <f>инфо!D126</f>
        <v>Чай</v>
      </c>
      <c r="C137" s="694">
        <f>SUMIF(Меню!$J$8:$FD$8,$B137,Меню!$J$333:$FD$333)</f>
        <v>8</v>
      </c>
      <c r="D137" s="212">
        <f>IF($B137="Яйцо (шт)",SUMIF(Меню!$J$8:$FD$8,$B137,Меню!$J$28:$FD$28)*Обложка!$D$15/60,SUMIF(Меню!$J$8:$FD$8,$B137,Меню!$J$28:$FD$28)/1000*Обложка!$D$15)</f>
        <v>0</v>
      </c>
      <c r="E137" s="212">
        <f>IF($B137="Яйцо (шт)",SUMIF(Меню!$J$8:$FD$8,$B137,Меню!$J$43:$FD$43)*Обложка!$D$16/60,SUMIF(Меню!$J$8:$FD$8,$B137,Меню!$J$43:$FD$43)/1000*Обложка!$D$16)</f>
        <v>0</v>
      </c>
      <c r="F137" s="212">
        <f>IF($B137="Яйцо (шт)",SUMIF(Меню!$J$8:$FD$8,$B137,Меню!$J$56:$FD$56)*Обложка!$D$17/60,SUMIF(Меню!$J$8:$FD$8,$B137,Меню!$J$56:$FD$56)/1000*Обложка!$D$17)</f>
        <v>0.122</v>
      </c>
      <c r="G137" s="212">
        <f>IF($B137="Яйцо (шт)",SUMIF(Меню!$J$8:$FD$8,$B137,Меню!$J$61:$FD$61)*Обложка!$D$18/60,SUMIF(Меню!$J$8:$FD$8,$B137,Меню!$J$61:$FD$61)/1000*Обложка!$D$18)</f>
        <v>0.122</v>
      </c>
      <c r="H137" s="685">
        <f t="shared" si="9"/>
        <v>0.24399999999999999</v>
      </c>
      <c r="I137" s="212">
        <f>IF($B137="Яйцо (шт)",SUMIF(Меню!$J$8:$FD$8,$B137,Меню!$J$73:$FD$73)*Обложка!$F$15/60,SUMIF(Меню!$J$8:$FD$8,$B137,Меню!$J$73:$FD$73)/1000*Обложка!$F$15)</f>
        <v>0</v>
      </c>
      <c r="J137" s="212">
        <f>IF($B137="Яйцо (шт)",SUMIF(Меню!$J$8:$FD$8,$B137,Меню!$J$88:$FD$88)*Обложка!$F$16/60,SUMIF(Меню!$J$8:$FD$8,$B137,Меню!$J$88:$FD$88)/1000*Обложка!$G$16)</f>
        <v>0</v>
      </c>
      <c r="K137" s="212">
        <f>IF($B137="Яйцо (шт)",SUMIF(Меню!$J$8:$FD$8,$B137,Меню!$J$101:$FD$101)*Обложка!$F$17/60,SUMIF(Меню!$J$8:$FD$8,$B137,Меню!$J$101:$FD$101)/1000*Обложка!$F$17)</f>
        <v>0</v>
      </c>
      <c r="L137" s="212">
        <f>IF($B137="Яйцо (шт)",SUMIF(Меню!$J$8:$FD$8,$B137,Меню!$J$106:$FD$106)*Обложка!$F$18/60,SUMIF(Меню!$J$8:$FD$8,$B137,Меню!$J$106:$FD$106)/1000*Обложка!$F$18)</f>
        <v>0.13</v>
      </c>
      <c r="M137" s="685">
        <f t="shared" si="10"/>
        <v>0.13</v>
      </c>
      <c r="N137" s="212">
        <f>IF($B137="Яйцо (шт)",SUMIF(Меню!$J$8:$EZ$8,$B137,Меню!$J$118:$EZ$118)*Обложка!$H$15/60,SUMIF(Меню!$J$8:$EZ$8,$B137,Меню!$J$118:$EZ$118)/1000*Обложка!$H$15)</f>
        <v>0</v>
      </c>
      <c r="O137" s="212">
        <f>IF($B137="Яйцо (шт)",SUMIF(Меню!$J$8:$EZ$8,$B137,Меню!$J$133:$EZ$133)*Обложка!$H$16/60,SUMIF(Меню!$J$8:$EZ$8,$B137,Меню!$J$133:$EZ$133)/1000*Обложка!$H$16)</f>
        <v>0</v>
      </c>
      <c r="P137" s="212">
        <f>IF($B137="Яйцо (шт)",SUMIF(Меню!$J$8:$EZ$8,$B137,Меню!$J$146:$EZ$146)*Обложка!$H$17/60,SUMIF(Меню!$J$8:$EZ$8,$B137,Меню!$J$146:$EZ$146)/1000*Обложка!$H$17)</f>
        <v>0</v>
      </c>
      <c r="Q137" s="212">
        <f>IF($B137="Яйцо (шт)",SUMIF(Меню!$J$8:$EZ$8,$B137,Меню!$J$151:$EZ$151)*Обложка!$H$18/60,SUMIF(Меню!$J$8:$EZ$8,$B137,Меню!$J$151:$EZ$151)/1000*Обложка!$H$18)</f>
        <v>0.115</v>
      </c>
      <c r="R137" s="685">
        <f t="shared" si="11"/>
        <v>0.115</v>
      </c>
      <c r="S137" s="212">
        <f>IF($B137="Яйцо (шт)",SUMIF(Меню!$J$8:$EZ$8,$B137,Меню!$J$163:$EZ$163)*Обложка!$J$15/60,SUMIF(Меню!$J$8:$EZ$8,$B137,Меню!$J$163:$EZ$163)/1000*Обложка!$J$15)</f>
        <v>0</v>
      </c>
      <c r="T137" s="212">
        <f>IF($B137="Яйцо (шт)",SUMIF(Меню!$J$8:$EZ$8,$B137,Меню!$J$178:$EZ$178)*Обложка!$J$16/60,SUMIF(Меню!$J$8:$EZ$8,$B137,Меню!$J$178:$EZ$178)/1000*Обложка!$J$16)</f>
        <v>0</v>
      </c>
      <c r="U137" s="212">
        <f>IF($B137="Яйцо (шт)",SUMIF(Меню!$J$8:$EZ$8,$B137,Меню!$J$191:$EZ$191)*Обложка!$J$17/60,SUMIF(Меню!$J$8:$EZ$8,$B137,Меню!$J$191:$EZ$191)/1000*Обложка!$J$17)</f>
        <v>0</v>
      </c>
      <c r="V137" s="212">
        <f>IF($B137="Яйцо (шт)",SUMIF(Меню!$J$8:$EZ$8,$B137,Меню!$J$196:$EZ$196)*Обложка!$J$18/60,SUMIF(Меню!$J$8:$EZ$8,$B137,Меню!$J$196:$EZ$196)/1000*Обложка!$J$18)</f>
        <v>9.8000000000000004E-2</v>
      </c>
      <c r="W137" s="685">
        <f t="shared" si="12"/>
        <v>9.8000000000000004E-2</v>
      </c>
      <c r="X137" s="212">
        <f>IF($B137="Яйцо (шт)",SUMIF(Меню!$J$8:$EZ$8,$B137,Меню!$J$208:$EZ$208)*Обложка!$L$15/60,SUMIF(Меню!$J$8:$EZ$8,$B137,Меню!$J$208:$EZ$208)/1000*Обложка!$L$15)</f>
        <v>0</v>
      </c>
      <c r="Y137" s="212">
        <f>IF($B137="Яйцо (шт)",SUMIF(Меню!$J$8:$EZ$8,$B137,Меню!$J$223:$EZ$223)*Обложка!$L$16/60,SUMIF(Меню!$J$8:$EZ$8,$B137,Меню!$J$223:$EZ$223)/1000*Обложка!$J$16)</f>
        <v>0</v>
      </c>
      <c r="Z137" s="212">
        <f>IF($B137="Яйцо (шт)",SUMIF(Меню!$J$8:$EZ$8,$B137,Меню!$J$236:$EZ$236)*Обложка!$L$17/60,SUMIF(Меню!$J$8:$EZ$8,$B137,Меню!$J$236:$EZ$236)/1000*Обложка!$L$17)</f>
        <v>0</v>
      </c>
      <c r="AA137" s="212">
        <f>IF($B137="Яйцо (шт)",SUMIF(Меню!$J$8:$EZ$8,$B137,Меню!$J$241:$EZ$241)*Обложка!$L$18/60,SUMIF(Меню!$J$8:$EZ$8,$B137,Меню!$J$241:$EZ$241)/1000*Обложка!$L$18)</f>
        <v>3.5000000000000003E-2</v>
      </c>
      <c r="AB137" s="685">
        <f t="shared" si="13"/>
        <v>3.5000000000000003E-2</v>
      </c>
      <c r="AC137" s="212">
        <f>IF($B137="Яйцо (шт)",SUMIF(Меню!$J$8:$EZ$8,$B137,Меню!$J$253:$EZ$253)*Обложка!$N$15/60,SUMIF(Меню!$J$8:$EZ$8,$B137,Меню!$J$253:$EZ$253)/1000*Обложка!$N$15)</f>
        <v>0</v>
      </c>
      <c r="AD137" s="212">
        <f>IF($B137="Яйцо (шт)",SUMIF(Меню!$J$8:$EZ$8,$B137,Меню!$J$268:$EZ$268)*Обложка!$N$16/60,SUMIF(Меню!$J$8:$EZ$8,$B137,Меню!$J$268:$EZ$268)/1000*Обложка!$N$16)</f>
        <v>0</v>
      </c>
      <c r="AE137" s="212">
        <f>IF($B137="Яйцо (шт)",SUMIF(Меню!$J$8:$EZ$8,$B137,Меню!$J$281:$EZ$281)*Обложка!$N$17/60,SUMIF(Меню!$J$8:$EZ$8,$B137,Меню!$J$281:$EZ$281)/1000*Обложка!$N$17)</f>
        <v>0</v>
      </c>
      <c r="AF137" s="212">
        <f>IF($B137="Яйцо (шт)",SUMIF(Меню!$J$8:$EZ$8,$B137,Меню!$J$286:$EZ$286)*Обложка!$N$18/60,SUMIF(Меню!$J$8:$EZ$8,$B137,Меню!$J$286:$EZ$286)/1000*Обложка!$N$18)</f>
        <v>4.4999999999999998E-2</v>
      </c>
      <c r="AG137" s="685">
        <f t="shared" si="14"/>
        <v>4.4999999999999998E-2</v>
      </c>
      <c r="AH137" s="212">
        <f>IF($B137="Яйцо (шт)",SUMIF(Меню!$J$8:$EZ$8,$B137,Меню!$J$298:$EZ$298)*Обложка!$P$15/60,SUMIF(Меню!$J$8:$EZ$8,$B137,Меню!$J$298:$EZ$298)/1000*Обложка!$P$15)</f>
        <v>0</v>
      </c>
      <c r="AI137" s="212">
        <f>IF($B137="Яйцо (шт)",SUMIF(Меню!$J$8:$EZ$8,$BB137,Меню!$J$313:$EZ$313)*Обложка!$P$16/60,SUMIF(Меню!$J$8:$EZ$8,$B137,Меню!$J$313:$EZ$313)/1000*Обложка!$P$16)</f>
        <v>0</v>
      </c>
      <c r="AJ137" s="212">
        <f>IF($B137="Яйцо (шт)",SUMIF(Меню!$J$8:$EZ$8,$B137,Меню!$J$326:$EZ$326)*Обложка!$P$17/60,SUMIF(Меню!$J$8:$EZ$8,$B137,Меню!$J$326:$EZ$326)/1000*Обложка!$P$17)</f>
        <v>0</v>
      </c>
      <c r="AK137" s="212">
        <f>IF($B137="Яйцо (шт)",SUMIF(Меню!$J$8:$EZ$8,$B137,Меню!$J$331:$EZ$331)*Обложка!$P$18/60,SUMIF(Меню!$J$8:$EZ$8,$B137,Меню!$J$331:$EZ$331)/1000*Обложка!$P$18)</f>
        <v>4.0000000000000001E-3</v>
      </c>
      <c r="AL137" s="699">
        <f t="shared" si="15"/>
        <v>4.0000000000000001E-3</v>
      </c>
      <c r="AM137" s="685">
        <f t="shared" si="16"/>
        <v>0.67100000000000004</v>
      </c>
    </row>
    <row r="138" spans="1:39" x14ac:dyDescent="0.25">
      <c r="A138" s="249">
        <f t="shared" si="17"/>
        <v>126</v>
      </c>
      <c r="B138" s="248" t="str">
        <f>инфо!D127</f>
        <v>Кофе БС</v>
      </c>
      <c r="C138" s="694">
        <f>SUMIF(Меню!$J$8:$FD$8,$B138,Меню!$J$333:$FD$333)</f>
        <v>0</v>
      </c>
      <c r="D138" s="212">
        <f>IF($B138="Яйцо (шт)",SUMIF(Меню!$J$8:$FD$8,$B138,Меню!$J$28:$FD$28)*Обложка!$D$15/60,SUMIF(Меню!$J$8:$FD$8,$B138,Меню!$J$28:$FD$28)/1000*Обложка!$D$15)</f>
        <v>0</v>
      </c>
      <c r="E138" s="212">
        <f>IF($B138="Яйцо (шт)",SUMIF(Меню!$J$8:$FD$8,$B138,Меню!$J$43:$FD$43)*Обложка!$D$16/60,SUMIF(Меню!$J$8:$FD$8,$B138,Меню!$J$43:$FD$43)/1000*Обложка!$D$16)</f>
        <v>0</v>
      </c>
      <c r="F138" s="212">
        <f>IF($B138="Яйцо (шт)",SUMIF(Меню!$J$8:$FD$8,$B138,Меню!$J$56:$FD$56)*Обложка!$D$17/60,SUMIF(Меню!$J$8:$FD$8,$B138,Меню!$J$56:$FD$56)/1000*Обложка!$D$17)</f>
        <v>0</v>
      </c>
      <c r="G138" s="212">
        <f>IF($B138="Яйцо (шт)",SUMIF(Меню!$J$8:$FD$8,$B138,Меню!$J$61:$FD$61)*Обложка!$D$18/60,SUMIF(Меню!$J$8:$FD$8,$B138,Меню!$J$61:$FD$61)/1000*Обложка!$D$18)</f>
        <v>0</v>
      </c>
      <c r="H138" s="685">
        <f t="shared" si="9"/>
        <v>0</v>
      </c>
      <c r="I138" s="212">
        <f>IF($B138="Яйцо (шт)",SUMIF(Меню!$J$8:$FD$8,$B138,Меню!$J$73:$FD$73)*Обложка!$F$15/60,SUMIF(Меню!$J$8:$FD$8,$B138,Меню!$J$73:$FD$73)/1000*Обложка!$F$15)</f>
        <v>0</v>
      </c>
      <c r="J138" s="212">
        <f>IF($B138="Яйцо (шт)",SUMIF(Меню!$J$8:$FD$8,$B138,Меню!$J$88:$FD$88)*Обложка!$F$16/60,SUMIF(Меню!$J$8:$FD$8,$B138,Меню!$J$88:$FD$88)/1000*Обложка!$G$16)</f>
        <v>0</v>
      </c>
      <c r="K138" s="212">
        <f>IF($B138="Яйцо (шт)",SUMIF(Меню!$J$8:$FD$8,$B138,Меню!$J$101:$FD$101)*Обложка!$F$17/60,SUMIF(Меню!$J$8:$FD$8,$B138,Меню!$J$101:$FD$101)/1000*Обложка!$F$17)</f>
        <v>0</v>
      </c>
      <c r="L138" s="212">
        <f>IF($B138="Яйцо (шт)",SUMIF(Меню!$J$8:$FD$8,$B138,Меню!$J$106:$FD$106)*Обложка!$F$18/60,SUMIF(Меню!$J$8:$FD$8,$B138,Меню!$J$106:$FD$106)/1000*Обложка!$F$18)</f>
        <v>0</v>
      </c>
      <c r="M138" s="685">
        <f t="shared" si="10"/>
        <v>0</v>
      </c>
      <c r="N138" s="212">
        <f>IF($B138="Яйцо (шт)",SUMIF(Меню!$J$8:$EZ$8,$B138,Меню!$J$118:$EZ$118)*Обложка!$H$15/60,SUMIF(Меню!$J$8:$EZ$8,$B138,Меню!$J$118:$EZ$118)/1000*Обложка!$H$15)</f>
        <v>0</v>
      </c>
      <c r="O138" s="212">
        <f>IF($B138="Яйцо (шт)",SUMIF(Меню!$J$8:$EZ$8,$B138,Меню!$J$133:$EZ$133)*Обложка!$H$16/60,SUMIF(Меню!$J$8:$EZ$8,$B138,Меню!$J$133:$EZ$133)/1000*Обложка!$H$16)</f>
        <v>0</v>
      </c>
      <c r="P138" s="212">
        <f>IF($B138="Яйцо (шт)",SUMIF(Меню!$J$8:$EZ$8,$B138,Меню!$J$146:$EZ$146)*Обложка!$H$17/60,SUMIF(Меню!$J$8:$EZ$8,$B138,Меню!$J$146:$EZ$146)/1000*Обложка!$H$17)</f>
        <v>0</v>
      </c>
      <c r="Q138" s="212">
        <f>IF($B138="Яйцо (шт)",SUMIF(Меню!$J$8:$EZ$8,$B138,Меню!$J$151:$EZ$151)*Обложка!$H$18/60,SUMIF(Меню!$J$8:$EZ$8,$B138,Меню!$J$151:$EZ$151)/1000*Обложка!$H$18)</f>
        <v>0</v>
      </c>
      <c r="R138" s="685">
        <f t="shared" si="11"/>
        <v>0</v>
      </c>
      <c r="S138" s="212">
        <f>IF($B138="Яйцо (шт)",SUMIF(Меню!$J$8:$EZ$8,$B138,Меню!$J$163:$EZ$163)*Обложка!$J$15/60,SUMIF(Меню!$J$8:$EZ$8,$B138,Меню!$J$163:$EZ$163)/1000*Обложка!$J$15)</f>
        <v>0</v>
      </c>
      <c r="T138" s="212">
        <f>IF($B138="Яйцо (шт)",SUMIF(Меню!$J$8:$EZ$8,$B138,Меню!$J$178:$EZ$178)*Обложка!$J$16/60,SUMIF(Меню!$J$8:$EZ$8,$B138,Меню!$J$178:$EZ$178)/1000*Обложка!$J$16)</f>
        <v>0</v>
      </c>
      <c r="U138" s="212">
        <f>IF($B138="Яйцо (шт)",SUMIF(Меню!$J$8:$EZ$8,$B138,Меню!$J$191:$EZ$191)*Обложка!$J$17/60,SUMIF(Меню!$J$8:$EZ$8,$B138,Меню!$J$191:$EZ$191)/1000*Обложка!$J$17)</f>
        <v>0</v>
      </c>
      <c r="V138" s="212">
        <f>IF($B138="Яйцо (шт)",SUMIF(Меню!$J$8:$EZ$8,$B138,Меню!$J$196:$EZ$196)*Обложка!$J$18/60,SUMIF(Меню!$J$8:$EZ$8,$B138,Меню!$J$196:$EZ$196)/1000*Обложка!$J$18)</f>
        <v>0</v>
      </c>
      <c r="W138" s="685">
        <f t="shared" si="12"/>
        <v>0</v>
      </c>
      <c r="X138" s="212">
        <f>IF($B138="Яйцо (шт)",SUMIF(Меню!$J$8:$EZ$8,$B138,Меню!$J$208:$EZ$208)*Обложка!$L$15/60,SUMIF(Меню!$J$8:$EZ$8,$B138,Меню!$J$208:$EZ$208)/1000*Обложка!$L$15)</f>
        <v>0</v>
      </c>
      <c r="Y138" s="212">
        <f>IF($B138="Яйцо (шт)",SUMIF(Меню!$J$8:$EZ$8,$B138,Меню!$J$223:$EZ$223)*Обложка!$L$16/60,SUMIF(Меню!$J$8:$EZ$8,$B138,Меню!$J$223:$EZ$223)/1000*Обложка!$J$16)</f>
        <v>0</v>
      </c>
      <c r="Z138" s="212">
        <f>IF($B138="Яйцо (шт)",SUMIF(Меню!$J$8:$EZ$8,$B138,Меню!$J$236:$EZ$236)*Обложка!$L$17/60,SUMIF(Меню!$J$8:$EZ$8,$B138,Меню!$J$236:$EZ$236)/1000*Обложка!$L$17)</f>
        <v>0</v>
      </c>
      <c r="AA138" s="212">
        <f>IF($B138="Яйцо (шт)",SUMIF(Меню!$J$8:$EZ$8,$B138,Меню!$J$241:$EZ$241)*Обложка!$L$18/60,SUMIF(Меню!$J$8:$EZ$8,$B138,Меню!$J$241:$EZ$241)/1000*Обложка!$L$18)</f>
        <v>0</v>
      </c>
      <c r="AB138" s="685">
        <f t="shared" si="13"/>
        <v>0</v>
      </c>
      <c r="AC138" s="212">
        <f>IF($B138="Яйцо (шт)",SUMIF(Меню!$J$8:$EZ$8,$B138,Меню!$J$253:$EZ$253)*Обложка!$N$15/60,SUMIF(Меню!$J$8:$EZ$8,$B138,Меню!$J$253:$EZ$253)/1000*Обложка!$N$15)</f>
        <v>0</v>
      </c>
      <c r="AD138" s="212">
        <f>IF($B138="Яйцо (шт)",SUMIF(Меню!$J$8:$EZ$8,$B138,Меню!$J$268:$EZ$268)*Обложка!$N$16/60,SUMIF(Меню!$J$8:$EZ$8,$B138,Меню!$J$268:$EZ$268)/1000*Обложка!$N$16)</f>
        <v>0</v>
      </c>
      <c r="AE138" s="212">
        <f>IF($B138="Яйцо (шт)",SUMIF(Меню!$J$8:$EZ$8,$B138,Меню!$J$281:$EZ$281)*Обложка!$N$17/60,SUMIF(Меню!$J$8:$EZ$8,$B138,Меню!$J$281:$EZ$281)/1000*Обложка!$N$17)</f>
        <v>0</v>
      </c>
      <c r="AF138" s="212">
        <f>IF($B138="Яйцо (шт)",SUMIF(Меню!$J$8:$EZ$8,$B138,Меню!$J$286:$EZ$286)*Обложка!$N$18/60,SUMIF(Меню!$J$8:$EZ$8,$B138,Меню!$J$286:$EZ$286)/1000*Обложка!$N$18)</f>
        <v>0</v>
      </c>
      <c r="AG138" s="685">
        <f t="shared" si="14"/>
        <v>0</v>
      </c>
      <c r="AH138" s="212">
        <f>IF($B138="Яйцо (шт)",SUMIF(Меню!$J$8:$EZ$8,$B138,Меню!$J$298:$EZ$298)*Обложка!$P$15/60,SUMIF(Меню!$J$8:$EZ$8,$B138,Меню!$J$298:$EZ$298)/1000*Обложка!$P$15)</f>
        <v>0</v>
      </c>
      <c r="AI138" s="212">
        <f>IF($B138="Яйцо (шт)",SUMIF(Меню!$J$8:$EZ$8,$BB138,Меню!$J$313:$EZ$313)*Обложка!$P$16/60,SUMIF(Меню!$J$8:$EZ$8,$B138,Меню!$J$313:$EZ$313)/1000*Обложка!$P$16)</f>
        <v>0</v>
      </c>
      <c r="AJ138" s="212">
        <f>IF($B138="Яйцо (шт)",SUMIF(Меню!$J$8:$EZ$8,$B138,Меню!$J$326:$EZ$326)*Обложка!$P$17/60,SUMIF(Меню!$J$8:$EZ$8,$B138,Меню!$J$326:$EZ$326)/1000*Обложка!$P$17)</f>
        <v>0</v>
      </c>
      <c r="AK138" s="212">
        <f>IF($B138="Яйцо (шт)",SUMIF(Меню!$J$8:$EZ$8,$B138,Меню!$J$331:$EZ$331)*Обложка!$P$18/60,SUMIF(Меню!$J$8:$EZ$8,$B138,Меню!$J$331:$EZ$331)/1000*Обложка!$P$18)</f>
        <v>0</v>
      </c>
      <c r="AL138" s="699">
        <f t="shared" si="15"/>
        <v>0</v>
      </c>
      <c r="AM138" s="685">
        <f t="shared" si="16"/>
        <v>0</v>
      </c>
    </row>
    <row r="139" spans="1:39" x14ac:dyDescent="0.25">
      <c r="A139" s="249">
        <f t="shared" si="17"/>
        <v>127</v>
      </c>
      <c r="B139" s="248" t="str">
        <f>инфо!D128</f>
        <v>Кофе растворимый</v>
      </c>
      <c r="C139" s="694">
        <f>SUMIF(Меню!$J$8:$FD$8,$B139,Меню!$J$333:$FD$333)</f>
        <v>10.5</v>
      </c>
      <c r="D139" s="212">
        <f>IF($B139="Яйцо (шт)",SUMIF(Меню!$J$8:$FD$8,$B139,Меню!$J$28:$FD$28)*Обложка!$D$15/60,SUMIF(Меню!$J$8:$FD$8,$B139,Меню!$J$28:$FD$28)/1000*Обложка!$D$15)</f>
        <v>0.183</v>
      </c>
      <c r="E139" s="212">
        <f>IF($B139="Яйцо (шт)",SUMIF(Меню!$J$8:$FD$8,$B139,Меню!$J$43:$FD$43)*Обложка!$D$16/60,SUMIF(Меню!$J$8:$FD$8,$B139,Меню!$J$43:$FD$43)/1000*Обложка!$D$16)</f>
        <v>0</v>
      </c>
      <c r="F139" s="212">
        <f>IF($B139="Яйцо (шт)",SUMIF(Меню!$J$8:$FD$8,$B139,Меню!$J$56:$FD$56)*Обложка!$D$17/60,SUMIF(Меню!$J$8:$FD$8,$B139,Меню!$J$56:$FD$56)/1000*Обложка!$D$17)</f>
        <v>0</v>
      </c>
      <c r="G139" s="212">
        <f>IF($B139="Яйцо (шт)",SUMIF(Меню!$J$8:$FD$8,$B139,Меню!$J$61:$FD$61)*Обложка!$D$18/60,SUMIF(Меню!$J$8:$FD$8,$B139,Меню!$J$61:$FD$61)/1000*Обложка!$D$18)</f>
        <v>0</v>
      </c>
      <c r="H139" s="685">
        <f t="shared" si="9"/>
        <v>0.183</v>
      </c>
      <c r="I139" s="212">
        <f>IF($B139="Яйцо (шт)",SUMIF(Меню!$J$8:$FD$8,$B139,Меню!$J$73:$FD$73)*Обложка!$F$15/60,SUMIF(Меню!$J$8:$FD$8,$B139,Меню!$J$73:$FD$73)/1000*Обложка!$F$15)</f>
        <v>0.192</v>
      </c>
      <c r="J139" s="212">
        <f>IF($B139="Яйцо (шт)",SUMIF(Меню!$J$8:$FD$8,$B139,Меню!$J$88:$FD$88)*Обложка!$F$16/60,SUMIF(Меню!$J$8:$FD$8,$B139,Меню!$J$88:$FD$88)/1000*Обложка!$G$16)</f>
        <v>0</v>
      </c>
      <c r="K139" s="212">
        <f>IF($B139="Яйцо (шт)",SUMIF(Меню!$J$8:$FD$8,$B139,Меню!$J$101:$FD$101)*Обложка!$F$17/60,SUMIF(Меню!$J$8:$FD$8,$B139,Меню!$J$101:$FD$101)/1000*Обложка!$F$17)</f>
        <v>0</v>
      </c>
      <c r="L139" s="212">
        <f>IF($B139="Яйцо (шт)",SUMIF(Меню!$J$8:$FD$8,$B139,Меню!$J$106:$FD$106)*Обложка!$F$18/60,SUMIF(Меню!$J$8:$FD$8,$B139,Меню!$J$106:$FD$106)/1000*Обложка!$F$18)</f>
        <v>0</v>
      </c>
      <c r="M139" s="685">
        <f t="shared" si="10"/>
        <v>0.192</v>
      </c>
      <c r="N139" s="212">
        <f>IF($B139="Яйцо (шт)",SUMIF(Меню!$J$8:$EZ$8,$B139,Меню!$J$118:$EZ$118)*Обложка!$H$15/60,SUMIF(Меню!$J$8:$EZ$8,$B139,Меню!$J$118:$EZ$118)/1000*Обложка!$H$15)</f>
        <v>0.17250000000000001</v>
      </c>
      <c r="O139" s="212">
        <f>IF($B139="Яйцо (шт)",SUMIF(Меню!$J$8:$EZ$8,$B139,Меню!$J$133:$EZ$133)*Обложка!$H$16/60,SUMIF(Меню!$J$8:$EZ$8,$B139,Меню!$J$133:$EZ$133)/1000*Обложка!$H$16)</f>
        <v>0</v>
      </c>
      <c r="P139" s="212">
        <f>IF($B139="Яйцо (шт)",SUMIF(Меню!$J$8:$EZ$8,$B139,Меню!$J$146:$EZ$146)*Обложка!$H$17/60,SUMIF(Меню!$J$8:$EZ$8,$B139,Меню!$J$146:$EZ$146)/1000*Обложка!$H$17)</f>
        <v>0</v>
      </c>
      <c r="Q139" s="212">
        <f>IF($B139="Яйцо (шт)",SUMIF(Меню!$J$8:$EZ$8,$B139,Меню!$J$151:$EZ$151)*Обложка!$H$18/60,SUMIF(Меню!$J$8:$EZ$8,$B139,Меню!$J$151:$EZ$151)/1000*Обложка!$H$18)</f>
        <v>0</v>
      </c>
      <c r="R139" s="685">
        <f t="shared" si="11"/>
        <v>0.17250000000000001</v>
      </c>
      <c r="S139" s="212">
        <f>IF($B139="Яйцо (шт)",SUMIF(Меню!$J$8:$EZ$8,$B139,Меню!$J$163:$EZ$163)*Обложка!$J$15/60,SUMIF(Меню!$J$8:$EZ$8,$B139,Меню!$J$163:$EZ$163)/1000*Обложка!$J$15)</f>
        <v>0.1575</v>
      </c>
      <c r="T139" s="212">
        <f>IF($B139="Яйцо (шт)",SUMIF(Меню!$J$8:$EZ$8,$B139,Меню!$J$178:$EZ$178)*Обложка!$J$16/60,SUMIF(Меню!$J$8:$EZ$8,$B139,Меню!$J$178:$EZ$178)/1000*Обложка!$J$16)</f>
        <v>0</v>
      </c>
      <c r="U139" s="212">
        <f>IF($B139="Яйцо (шт)",SUMIF(Меню!$J$8:$EZ$8,$B139,Меню!$J$191:$EZ$191)*Обложка!$J$17/60,SUMIF(Меню!$J$8:$EZ$8,$B139,Меню!$J$191:$EZ$191)/1000*Обложка!$J$17)</f>
        <v>0</v>
      </c>
      <c r="V139" s="212">
        <f>IF($B139="Яйцо (шт)",SUMIF(Меню!$J$8:$EZ$8,$B139,Меню!$J$196:$EZ$196)*Обложка!$J$18/60,SUMIF(Меню!$J$8:$EZ$8,$B139,Меню!$J$196:$EZ$196)/1000*Обложка!$J$18)</f>
        <v>0</v>
      </c>
      <c r="W139" s="685">
        <f t="shared" si="12"/>
        <v>0.1575</v>
      </c>
      <c r="X139" s="212">
        <f>IF($B139="Яйцо (шт)",SUMIF(Меню!$J$8:$EZ$8,$B139,Меню!$J$208:$EZ$208)*Обложка!$L$15/60,SUMIF(Меню!$J$8:$EZ$8,$B139,Меню!$J$208:$EZ$208)/1000*Обложка!$L$15)</f>
        <v>0.21</v>
      </c>
      <c r="Y139" s="212">
        <f>IF($B139="Яйцо (шт)",SUMIF(Меню!$J$8:$EZ$8,$B139,Меню!$J$223:$EZ$223)*Обложка!$L$16/60,SUMIF(Меню!$J$8:$EZ$8,$B139,Меню!$J$223:$EZ$223)/1000*Обложка!$J$16)</f>
        <v>0</v>
      </c>
      <c r="Z139" s="212">
        <f>IF($B139="Яйцо (шт)",SUMIF(Меню!$J$8:$EZ$8,$B139,Меню!$J$236:$EZ$236)*Обложка!$L$17/60,SUMIF(Меню!$J$8:$EZ$8,$B139,Меню!$J$236:$EZ$236)/1000*Обложка!$L$17)</f>
        <v>0</v>
      </c>
      <c r="AA139" s="212">
        <f>IF($B139="Яйцо (шт)",SUMIF(Меню!$J$8:$EZ$8,$B139,Меню!$J$241:$EZ$241)*Обложка!$L$18/60,SUMIF(Меню!$J$8:$EZ$8,$B139,Меню!$J$241:$EZ$241)/1000*Обложка!$L$18)</f>
        <v>0</v>
      </c>
      <c r="AB139" s="685">
        <f t="shared" si="13"/>
        <v>0.21</v>
      </c>
      <c r="AC139" s="212">
        <f>IF($B139="Яйцо (шт)",SUMIF(Меню!$J$8:$EZ$8,$B139,Меню!$J$253:$EZ$253)*Обложка!$N$15/60,SUMIF(Меню!$J$8:$EZ$8,$B139,Меню!$J$253:$EZ$253)/1000*Обложка!$N$15)</f>
        <v>6.7500000000000004E-2</v>
      </c>
      <c r="AD139" s="212">
        <f>IF($B139="Яйцо (шт)",SUMIF(Меню!$J$8:$EZ$8,$B139,Меню!$J$268:$EZ$268)*Обложка!$N$16/60,SUMIF(Меню!$J$8:$EZ$8,$B139,Меню!$J$268:$EZ$268)/1000*Обложка!$N$16)</f>
        <v>0</v>
      </c>
      <c r="AE139" s="212">
        <f>IF($B139="Яйцо (шт)",SUMIF(Меню!$J$8:$EZ$8,$B139,Меню!$J$281:$EZ$281)*Обложка!$N$17/60,SUMIF(Меню!$J$8:$EZ$8,$B139,Меню!$J$281:$EZ$281)/1000*Обложка!$N$17)</f>
        <v>0</v>
      </c>
      <c r="AF139" s="212">
        <f>IF($B139="Яйцо (шт)",SUMIF(Меню!$J$8:$EZ$8,$B139,Меню!$J$286:$EZ$286)*Обложка!$N$18/60,SUMIF(Меню!$J$8:$EZ$8,$B139,Меню!$J$286:$EZ$286)/1000*Обложка!$N$18)</f>
        <v>0</v>
      </c>
      <c r="AG139" s="685">
        <f t="shared" si="14"/>
        <v>6.7500000000000004E-2</v>
      </c>
      <c r="AH139" s="212">
        <f>IF($B139="Яйцо (шт)",SUMIF(Меню!$J$8:$EZ$8,$B139,Меню!$J$298:$EZ$298)*Обложка!$P$15/60,SUMIF(Меню!$J$8:$EZ$8,$B139,Меню!$J$298:$EZ$298)/1000*Обложка!$P$15)</f>
        <v>0.03</v>
      </c>
      <c r="AI139" s="212">
        <f>IF($B139="Яйцо (шт)",SUMIF(Меню!$J$8:$EZ$8,$BB139,Меню!$J$313:$EZ$313)*Обложка!$P$16/60,SUMIF(Меню!$J$8:$EZ$8,$B139,Меню!$J$313:$EZ$313)/1000*Обложка!$P$16)</f>
        <v>0</v>
      </c>
      <c r="AJ139" s="212">
        <f>IF($B139="Яйцо (шт)",SUMIF(Меню!$J$8:$EZ$8,$B139,Меню!$J$326:$EZ$326)*Обложка!$P$17/60,SUMIF(Меню!$J$8:$EZ$8,$B139,Меню!$J$326:$EZ$326)/1000*Обложка!$P$17)</f>
        <v>0</v>
      </c>
      <c r="AK139" s="212">
        <f>IF($B139="Яйцо (шт)",SUMIF(Меню!$J$8:$EZ$8,$B139,Меню!$J$331:$EZ$331)*Обложка!$P$18/60,SUMIF(Меню!$J$8:$EZ$8,$B139,Меню!$J$331:$EZ$331)/1000*Обложка!$P$18)</f>
        <v>0</v>
      </c>
      <c r="AL139" s="699">
        <f t="shared" si="15"/>
        <v>0.03</v>
      </c>
      <c r="AM139" s="685">
        <f t="shared" si="16"/>
        <v>1.0125</v>
      </c>
    </row>
    <row r="140" spans="1:39" x14ac:dyDescent="0.25">
      <c r="A140" s="249">
        <f t="shared" si="17"/>
        <v>128</v>
      </c>
      <c r="B140" s="248" t="str">
        <f>инфо!D129</f>
        <v>Какао</v>
      </c>
      <c r="C140" s="694">
        <f>SUMIF(Меню!$J$8:$FD$8,$B140,Меню!$J$333:$FD$333)</f>
        <v>0</v>
      </c>
      <c r="D140" s="212">
        <f>IF($B140="Яйцо (шт)",SUMIF(Меню!$J$8:$FD$8,$B140,Меню!$J$28:$FD$28)*Обложка!$D$15/60,SUMIF(Меню!$J$8:$FD$8,$B140,Меню!$J$28:$FD$28)/1000*Обложка!$D$15)</f>
        <v>0</v>
      </c>
      <c r="E140" s="212">
        <f>IF($B140="Яйцо (шт)",SUMIF(Меню!$J$8:$FD$8,$B140,Меню!$J$43:$FD$43)*Обложка!$D$16/60,SUMIF(Меню!$J$8:$FD$8,$B140,Меню!$J$43:$FD$43)/1000*Обложка!$D$16)</f>
        <v>0</v>
      </c>
      <c r="F140" s="212">
        <f>IF($B140="Яйцо (шт)",SUMIF(Меню!$J$8:$FD$8,$B140,Меню!$J$56:$FD$56)*Обложка!$D$17/60,SUMIF(Меню!$J$8:$FD$8,$B140,Меню!$J$56:$FD$56)/1000*Обложка!$D$17)</f>
        <v>0</v>
      </c>
      <c r="G140" s="212">
        <f>IF($B140="Яйцо (шт)",SUMIF(Меню!$J$8:$FD$8,$B140,Меню!$J$61:$FD$61)*Обложка!$D$18/60,SUMIF(Меню!$J$8:$FD$8,$B140,Меню!$J$61:$FD$61)/1000*Обложка!$D$18)</f>
        <v>0</v>
      </c>
      <c r="H140" s="685">
        <f t="shared" si="9"/>
        <v>0</v>
      </c>
      <c r="I140" s="212">
        <f>IF($B140="Яйцо (шт)",SUMIF(Меню!$J$8:$FD$8,$B140,Меню!$J$73:$FD$73)*Обложка!$F$15/60,SUMIF(Меню!$J$8:$FD$8,$B140,Меню!$J$73:$FD$73)/1000*Обложка!$F$15)</f>
        <v>0</v>
      </c>
      <c r="J140" s="212">
        <f>IF($B140="Яйцо (шт)",SUMIF(Меню!$J$8:$FD$8,$B140,Меню!$J$88:$FD$88)*Обложка!$F$16/60,SUMIF(Меню!$J$8:$FD$8,$B140,Меню!$J$88:$FD$88)/1000*Обложка!$G$16)</f>
        <v>0</v>
      </c>
      <c r="K140" s="212">
        <f>IF($B140="Яйцо (шт)",SUMIF(Меню!$J$8:$FD$8,$B140,Меню!$J$101:$FD$101)*Обложка!$F$17/60,SUMIF(Меню!$J$8:$FD$8,$B140,Меню!$J$101:$FD$101)/1000*Обложка!$F$17)</f>
        <v>0</v>
      </c>
      <c r="L140" s="212">
        <f>IF($B140="Яйцо (шт)",SUMIF(Меню!$J$8:$FD$8,$B140,Меню!$J$106:$FD$106)*Обложка!$F$18/60,SUMIF(Меню!$J$8:$FD$8,$B140,Меню!$J$106:$FD$106)/1000*Обложка!$F$18)</f>
        <v>0</v>
      </c>
      <c r="M140" s="685">
        <f t="shared" si="10"/>
        <v>0</v>
      </c>
      <c r="N140" s="212">
        <f>IF($B140="Яйцо (шт)",SUMIF(Меню!$J$8:$EZ$8,$B140,Меню!$J$118:$EZ$118)*Обложка!$H$15/60,SUMIF(Меню!$J$8:$EZ$8,$B140,Меню!$J$118:$EZ$118)/1000*Обложка!$H$15)</f>
        <v>0</v>
      </c>
      <c r="O140" s="212">
        <f>IF($B140="Яйцо (шт)",SUMIF(Меню!$J$8:$EZ$8,$B140,Меню!$J$133:$EZ$133)*Обложка!$H$16/60,SUMIF(Меню!$J$8:$EZ$8,$B140,Меню!$J$133:$EZ$133)/1000*Обложка!$H$16)</f>
        <v>0</v>
      </c>
      <c r="P140" s="212">
        <f>IF($B140="Яйцо (шт)",SUMIF(Меню!$J$8:$EZ$8,$B140,Меню!$J$146:$EZ$146)*Обложка!$H$17/60,SUMIF(Меню!$J$8:$EZ$8,$B140,Меню!$J$146:$EZ$146)/1000*Обложка!$H$17)</f>
        <v>0</v>
      </c>
      <c r="Q140" s="212">
        <f>IF($B140="Яйцо (шт)",SUMIF(Меню!$J$8:$EZ$8,$B140,Меню!$J$151:$EZ$151)*Обложка!$H$18/60,SUMIF(Меню!$J$8:$EZ$8,$B140,Меню!$J$151:$EZ$151)/1000*Обложка!$H$18)</f>
        <v>0</v>
      </c>
      <c r="R140" s="685">
        <f t="shared" si="11"/>
        <v>0</v>
      </c>
      <c r="S140" s="212">
        <f>IF($B140="Яйцо (шт)",SUMIF(Меню!$J$8:$EZ$8,$B140,Меню!$J$163:$EZ$163)*Обложка!$J$15/60,SUMIF(Меню!$J$8:$EZ$8,$B140,Меню!$J$163:$EZ$163)/1000*Обложка!$J$15)</f>
        <v>0</v>
      </c>
      <c r="T140" s="212">
        <f>IF($B140="Яйцо (шт)",SUMIF(Меню!$J$8:$EZ$8,$B140,Меню!$J$178:$EZ$178)*Обложка!$J$16/60,SUMIF(Меню!$J$8:$EZ$8,$B140,Меню!$J$178:$EZ$178)/1000*Обложка!$J$16)</f>
        <v>0</v>
      </c>
      <c r="U140" s="212">
        <f>IF($B140="Яйцо (шт)",SUMIF(Меню!$J$8:$EZ$8,$B140,Меню!$J$191:$EZ$191)*Обложка!$J$17/60,SUMIF(Меню!$J$8:$EZ$8,$B140,Меню!$J$191:$EZ$191)/1000*Обложка!$J$17)</f>
        <v>0</v>
      </c>
      <c r="V140" s="212">
        <f>IF($B140="Яйцо (шт)",SUMIF(Меню!$J$8:$EZ$8,$B140,Меню!$J$196:$EZ$196)*Обложка!$J$18/60,SUMIF(Меню!$J$8:$EZ$8,$B140,Меню!$J$196:$EZ$196)/1000*Обложка!$J$18)</f>
        <v>0</v>
      </c>
      <c r="W140" s="685">
        <f t="shared" si="12"/>
        <v>0</v>
      </c>
      <c r="X140" s="212">
        <f>IF($B140="Яйцо (шт)",SUMIF(Меню!$J$8:$EZ$8,$B140,Меню!$J$208:$EZ$208)*Обложка!$L$15/60,SUMIF(Меню!$J$8:$EZ$8,$B140,Меню!$J$208:$EZ$208)/1000*Обложка!$L$15)</f>
        <v>0</v>
      </c>
      <c r="Y140" s="212">
        <f>IF($B140="Яйцо (шт)",SUMIF(Меню!$J$8:$EZ$8,$B140,Меню!$J$223:$EZ$223)*Обложка!$L$16/60,SUMIF(Меню!$J$8:$EZ$8,$B140,Меню!$J$223:$EZ$223)/1000*Обложка!$J$16)</f>
        <v>0</v>
      </c>
      <c r="Z140" s="212">
        <f>IF($B140="Яйцо (шт)",SUMIF(Меню!$J$8:$EZ$8,$B140,Меню!$J$236:$EZ$236)*Обложка!$L$17/60,SUMIF(Меню!$J$8:$EZ$8,$B140,Меню!$J$236:$EZ$236)/1000*Обложка!$L$17)</f>
        <v>0</v>
      </c>
      <c r="AA140" s="212">
        <f>IF($B140="Яйцо (шт)",SUMIF(Меню!$J$8:$EZ$8,$B140,Меню!$J$241:$EZ$241)*Обложка!$L$18/60,SUMIF(Меню!$J$8:$EZ$8,$B140,Меню!$J$241:$EZ$241)/1000*Обложка!$L$18)</f>
        <v>0</v>
      </c>
      <c r="AB140" s="685">
        <f t="shared" si="13"/>
        <v>0</v>
      </c>
      <c r="AC140" s="212">
        <f>IF($B140="Яйцо (шт)",SUMIF(Меню!$J$8:$EZ$8,$B140,Меню!$J$253:$EZ$253)*Обложка!$N$15/60,SUMIF(Меню!$J$8:$EZ$8,$B140,Меню!$J$253:$EZ$253)/1000*Обложка!$N$15)</f>
        <v>0</v>
      </c>
      <c r="AD140" s="212">
        <f>IF($B140="Яйцо (шт)",SUMIF(Меню!$J$8:$EZ$8,$B140,Меню!$J$268:$EZ$268)*Обложка!$N$16/60,SUMIF(Меню!$J$8:$EZ$8,$B140,Меню!$J$268:$EZ$268)/1000*Обложка!$N$16)</f>
        <v>0</v>
      </c>
      <c r="AE140" s="212">
        <f>IF($B140="Яйцо (шт)",SUMIF(Меню!$J$8:$EZ$8,$B140,Меню!$J$281:$EZ$281)*Обложка!$N$17/60,SUMIF(Меню!$J$8:$EZ$8,$B140,Меню!$J$281:$EZ$281)/1000*Обложка!$N$17)</f>
        <v>0</v>
      </c>
      <c r="AF140" s="212">
        <f>IF($B140="Яйцо (шт)",SUMIF(Меню!$J$8:$EZ$8,$B140,Меню!$J$286:$EZ$286)*Обложка!$N$18/60,SUMIF(Меню!$J$8:$EZ$8,$B140,Меню!$J$286:$EZ$286)/1000*Обложка!$N$18)</f>
        <v>0</v>
      </c>
      <c r="AG140" s="685">
        <f t="shared" si="14"/>
        <v>0</v>
      </c>
      <c r="AH140" s="212">
        <f>IF($B140="Яйцо (шт)",SUMIF(Меню!$J$8:$EZ$8,$B140,Меню!$J$298:$EZ$298)*Обложка!$P$15/60,SUMIF(Меню!$J$8:$EZ$8,$B140,Меню!$J$298:$EZ$298)/1000*Обложка!$P$15)</f>
        <v>0</v>
      </c>
      <c r="AI140" s="212">
        <f>IF($B140="Яйцо (шт)",SUMIF(Меню!$J$8:$EZ$8,$BB140,Меню!$J$313:$EZ$313)*Обложка!$P$16/60,SUMIF(Меню!$J$8:$EZ$8,$B140,Меню!$J$313:$EZ$313)/1000*Обложка!$P$16)</f>
        <v>0</v>
      </c>
      <c r="AJ140" s="212">
        <f>IF($B140="Яйцо (шт)",SUMIF(Меню!$J$8:$EZ$8,$B140,Меню!$J$326:$EZ$326)*Обложка!$P$17/60,SUMIF(Меню!$J$8:$EZ$8,$B140,Меню!$J$326:$EZ$326)/1000*Обложка!$P$17)</f>
        <v>0</v>
      </c>
      <c r="AK140" s="212">
        <f>IF($B140="Яйцо (шт)",SUMIF(Меню!$J$8:$EZ$8,$B140,Меню!$J$331:$EZ$331)*Обложка!$P$18/60,SUMIF(Меню!$J$8:$EZ$8,$B140,Меню!$J$331:$EZ$331)/1000*Обложка!$P$18)</f>
        <v>0</v>
      </c>
      <c r="AL140" s="699">
        <f t="shared" si="15"/>
        <v>0</v>
      </c>
      <c r="AM140" s="685">
        <f t="shared" si="16"/>
        <v>0</v>
      </c>
    </row>
    <row r="141" spans="1:39" x14ac:dyDescent="0.25">
      <c r="A141" s="249">
        <f t="shared" si="17"/>
        <v>129</v>
      </c>
      <c r="B141" s="248" t="str">
        <f>инфо!D130</f>
        <v>Гексавит</v>
      </c>
      <c r="C141" s="694">
        <f>SUMIF(Меню!$J$8:$FD$8,$B141,Меню!$J$333:$FD$333)</f>
        <v>0</v>
      </c>
      <c r="D141" s="212">
        <f>IF($B141="Яйцо (шт)",SUMIF(Меню!$J$8:$FD$8,$B141,Меню!$J$28:$FD$28)*Обложка!$D$15/60,SUMIF(Меню!$J$8:$FD$8,$B141,Меню!$J$28:$FD$28)/1000*Обложка!$D$15)</f>
        <v>0</v>
      </c>
      <c r="E141" s="212">
        <f>IF($B141="Яйцо (шт)",SUMIF(Меню!$J$8:$FD$8,$B141,Меню!$J$43:$FD$43)*Обложка!$D$16/60,SUMIF(Меню!$J$8:$FD$8,$B141,Меню!$J$43:$FD$43)/1000*Обложка!$D$16)</f>
        <v>0</v>
      </c>
      <c r="F141" s="212">
        <f>IF($B141="Яйцо (шт)",SUMIF(Меню!$J$8:$FD$8,$B141,Меню!$J$56:$FD$56)*Обложка!$D$17/60,SUMIF(Меню!$J$8:$FD$8,$B141,Меню!$J$56:$FD$56)/1000*Обложка!$D$17)</f>
        <v>0</v>
      </c>
      <c r="G141" s="212">
        <f>IF($B141="Яйцо (шт)",SUMIF(Меню!$J$8:$FD$8,$B141,Меню!$J$61:$FD$61)*Обложка!$D$18/60,SUMIF(Меню!$J$8:$FD$8,$B141,Меню!$J$61:$FD$61)/1000*Обложка!$D$18)</f>
        <v>0</v>
      </c>
      <c r="H141" s="685">
        <f t="shared" si="9"/>
        <v>0</v>
      </c>
      <c r="I141" s="212">
        <f>IF($B141="Яйцо (шт)",SUMIF(Меню!$J$8:$FD$8,$B141,Меню!$J$73:$FD$73)*Обложка!$F$15/60,SUMIF(Меню!$J$8:$FD$8,$B141,Меню!$J$73:$FD$73)/1000*Обложка!$F$15)</f>
        <v>0</v>
      </c>
      <c r="J141" s="212">
        <f>IF($B141="Яйцо (шт)",SUMIF(Меню!$J$8:$FD$8,$B141,Меню!$J$88:$FD$88)*Обложка!$F$16/60,SUMIF(Меню!$J$8:$FD$8,$B141,Меню!$J$88:$FD$88)/1000*Обложка!$G$16)</f>
        <v>0</v>
      </c>
      <c r="K141" s="212">
        <f>IF($B141="Яйцо (шт)",SUMIF(Меню!$J$8:$FD$8,$B141,Меню!$J$101:$FD$101)*Обложка!$F$17/60,SUMIF(Меню!$J$8:$FD$8,$B141,Меню!$J$101:$FD$101)/1000*Обложка!$F$17)</f>
        <v>0</v>
      </c>
      <c r="L141" s="212">
        <f>IF($B141="Яйцо (шт)",SUMIF(Меню!$J$8:$FD$8,$B141,Меню!$J$106:$FD$106)*Обложка!$F$18/60,SUMIF(Меню!$J$8:$FD$8,$B141,Меню!$J$106:$FD$106)/1000*Обложка!$F$18)</f>
        <v>0</v>
      </c>
      <c r="M141" s="685">
        <f t="shared" si="10"/>
        <v>0</v>
      </c>
      <c r="N141" s="212">
        <f>IF($B141="Яйцо (шт)",SUMIF(Меню!$J$8:$EZ$8,$B141,Меню!$J$118:$EZ$118)*Обложка!$H$15/60,SUMIF(Меню!$J$8:$EZ$8,$B141,Меню!$J$118:$EZ$118)/1000*Обложка!$H$15)</f>
        <v>0</v>
      </c>
      <c r="O141" s="212">
        <f>IF($B141="Яйцо (шт)",SUMIF(Меню!$J$8:$EZ$8,$B141,Меню!$J$133:$EZ$133)*Обложка!$H$16/60,SUMIF(Меню!$J$8:$EZ$8,$B141,Меню!$J$133:$EZ$133)/1000*Обложка!$H$16)</f>
        <v>0</v>
      </c>
      <c r="P141" s="212">
        <f>IF($B141="Яйцо (шт)",SUMIF(Меню!$J$8:$EZ$8,$B141,Меню!$J$146:$EZ$146)*Обложка!$H$17/60,SUMIF(Меню!$J$8:$EZ$8,$B141,Меню!$J$146:$EZ$146)/1000*Обложка!$H$17)</f>
        <v>0</v>
      </c>
      <c r="Q141" s="212">
        <f>IF($B141="Яйцо (шт)",SUMIF(Меню!$J$8:$EZ$8,$B141,Меню!$J$151:$EZ$151)*Обложка!$H$18/60,SUMIF(Меню!$J$8:$EZ$8,$B141,Меню!$J$151:$EZ$151)/1000*Обложка!$H$18)</f>
        <v>0</v>
      </c>
      <c r="R141" s="685">
        <f t="shared" si="11"/>
        <v>0</v>
      </c>
      <c r="S141" s="212">
        <f>IF($B141="Яйцо (шт)",SUMIF(Меню!$J$8:$EZ$8,$B141,Меню!$J$163:$EZ$163)*Обложка!$J$15/60,SUMIF(Меню!$J$8:$EZ$8,$B141,Меню!$J$163:$EZ$163)/1000*Обложка!$J$15)</f>
        <v>0</v>
      </c>
      <c r="T141" s="212">
        <f>IF($B141="Яйцо (шт)",SUMIF(Меню!$J$8:$EZ$8,$B141,Меню!$J$178:$EZ$178)*Обложка!$J$16/60,SUMIF(Меню!$J$8:$EZ$8,$B141,Меню!$J$178:$EZ$178)/1000*Обложка!$J$16)</f>
        <v>0</v>
      </c>
      <c r="U141" s="212">
        <f>IF($B141="Яйцо (шт)",SUMIF(Меню!$J$8:$EZ$8,$B141,Меню!$J$191:$EZ$191)*Обложка!$J$17/60,SUMIF(Меню!$J$8:$EZ$8,$B141,Меню!$J$191:$EZ$191)/1000*Обложка!$J$17)</f>
        <v>0</v>
      </c>
      <c r="V141" s="212">
        <f>IF($B141="Яйцо (шт)",SUMIF(Меню!$J$8:$EZ$8,$B141,Меню!$J$196:$EZ$196)*Обложка!$J$18/60,SUMIF(Меню!$J$8:$EZ$8,$B141,Меню!$J$196:$EZ$196)/1000*Обложка!$J$18)</f>
        <v>0</v>
      </c>
      <c r="W141" s="685">
        <f t="shared" si="12"/>
        <v>0</v>
      </c>
      <c r="X141" s="212">
        <f>IF($B141="Яйцо (шт)",SUMIF(Меню!$J$8:$EZ$8,$B141,Меню!$J$208:$EZ$208)*Обложка!$L$15/60,SUMIF(Меню!$J$8:$EZ$8,$B141,Меню!$J$208:$EZ$208)/1000*Обложка!$L$15)</f>
        <v>0</v>
      </c>
      <c r="Y141" s="212">
        <f>IF($B141="Яйцо (шт)",SUMIF(Меню!$J$8:$EZ$8,$B141,Меню!$J$223:$EZ$223)*Обложка!$L$16/60,SUMIF(Меню!$J$8:$EZ$8,$B141,Меню!$J$223:$EZ$223)/1000*Обложка!$J$16)</f>
        <v>0</v>
      </c>
      <c r="Z141" s="212">
        <f>IF($B141="Яйцо (шт)",SUMIF(Меню!$J$8:$EZ$8,$B141,Меню!$J$236:$EZ$236)*Обложка!$L$17/60,SUMIF(Меню!$J$8:$EZ$8,$B141,Меню!$J$236:$EZ$236)/1000*Обложка!$L$17)</f>
        <v>0</v>
      </c>
      <c r="AA141" s="212">
        <f>IF($B141="Яйцо (шт)",SUMIF(Меню!$J$8:$EZ$8,$B141,Меню!$J$241:$EZ$241)*Обложка!$L$18/60,SUMIF(Меню!$J$8:$EZ$8,$B141,Меню!$J$241:$EZ$241)/1000*Обложка!$L$18)</f>
        <v>0</v>
      </c>
      <c r="AB141" s="685">
        <f t="shared" si="13"/>
        <v>0</v>
      </c>
      <c r="AC141" s="212">
        <f>IF($B141="Яйцо (шт)",SUMIF(Меню!$J$8:$EZ$8,$B141,Меню!$J$253:$EZ$253)*Обложка!$N$15/60,SUMIF(Меню!$J$8:$EZ$8,$B141,Меню!$J$253:$EZ$253)/1000*Обложка!$N$15)</f>
        <v>0</v>
      </c>
      <c r="AD141" s="212">
        <f>IF($B141="Яйцо (шт)",SUMIF(Меню!$J$8:$EZ$8,$B141,Меню!$J$268:$EZ$268)*Обложка!$N$16/60,SUMIF(Меню!$J$8:$EZ$8,$B141,Меню!$J$268:$EZ$268)/1000*Обложка!$N$16)</f>
        <v>0</v>
      </c>
      <c r="AE141" s="212">
        <f>IF($B141="Яйцо (шт)",SUMIF(Меню!$J$8:$EZ$8,$B141,Меню!$J$281:$EZ$281)*Обложка!$N$17/60,SUMIF(Меню!$J$8:$EZ$8,$B141,Меню!$J$281:$EZ$281)/1000*Обложка!$N$17)</f>
        <v>0</v>
      </c>
      <c r="AF141" s="212">
        <f>IF($B141="Яйцо (шт)",SUMIF(Меню!$J$8:$EZ$8,$B141,Меню!$J$286:$EZ$286)*Обложка!$N$18/60,SUMIF(Меню!$J$8:$EZ$8,$B141,Меню!$J$286:$EZ$286)/1000*Обложка!$N$18)</f>
        <v>0</v>
      </c>
      <c r="AG141" s="685">
        <f t="shared" si="14"/>
        <v>0</v>
      </c>
      <c r="AH141" s="212">
        <f>IF($B141="Яйцо (шт)",SUMIF(Меню!$J$8:$EZ$8,$B141,Меню!$J$298:$EZ$298)*Обложка!$P$15/60,SUMIF(Меню!$J$8:$EZ$8,$B141,Меню!$J$298:$EZ$298)/1000*Обложка!$P$15)</f>
        <v>0</v>
      </c>
      <c r="AI141" s="212">
        <f>IF($B141="Яйцо (шт)",SUMIF(Меню!$J$8:$EZ$8,$BB141,Меню!$J$313:$EZ$313)*Обложка!$P$16/60,SUMIF(Меню!$J$8:$EZ$8,$B141,Меню!$J$313:$EZ$313)/1000*Обложка!$P$16)</f>
        <v>0</v>
      </c>
      <c r="AJ141" s="212">
        <f>IF($B141="Яйцо (шт)",SUMIF(Меню!$J$8:$EZ$8,$B141,Меню!$J$326:$EZ$326)*Обложка!$P$17/60,SUMIF(Меню!$J$8:$EZ$8,$B141,Меню!$J$326:$EZ$326)/1000*Обложка!$P$17)</f>
        <v>0</v>
      </c>
      <c r="AK141" s="212">
        <f>IF($B141="Яйцо (шт)",SUMIF(Меню!$J$8:$EZ$8,$B141,Меню!$J$331:$EZ$331)*Обложка!$P$18/60,SUMIF(Меню!$J$8:$EZ$8,$B141,Меню!$J$331:$EZ$331)/1000*Обложка!$P$18)</f>
        <v>0</v>
      </c>
      <c r="AL141" s="699">
        <f t="shared" si="15"/>
        <v>0</v>
      </c>
      <c r="AM141" s="685">
        <f t="shared" si="16"/>
        <v>0</v>
      </c>
    </row>
    <row r="142" spans="1:39" x14ac:dyDescent="0.25">
      <c r="A142" s="249">
        <f t="shared" si="17"/>
        <v>130</v>
      </c>
      <c r="B142" s="248" t="str">
        <f>инфо!D131</f>
        <v>Изюм</v>
      </c>
      <c r="C142" s="694">
        <f>SUMIF(Меню!$J$8:$FD$8,$B142,Меню!$J$333:$FD$333)</f>
        <v>8</v>
      </c>
      <c r="D142" s="212">
        <f>IF($B142="Яйцо (шт)",SUMIF(Меню!$J$8:$FD$8,$B142,Меню!$J$28:$FD$28)*Обложка!$D$15/60,SUMIF(Меню!$J$8:$FD$8,$B142,Меню!$J$28:$FD$28)/1000*Обложка!$D$15)</f>
        <v>0</v>
      </c>
      <c r="E142" s="212">
        <f>IF($B142="Яйцо (шт)",SUMIF(Меню!$J$8:$FD$8,$B142,Меню!$J$43:$FD$43)*Обложка!$D$16/60,SUMIF(Меню!$J$8:$FD$8,$B142,Меню!$J$43:$FD$43)/1000*Обложка!$D$16)</f>
        <v>0.97599999999999998</v>
      </c>
      <c r="F142" s="212">
        <f>IF($B142="Яйцо (шт)",SUMIF(Меню!$J$8:$FD$8,$B142,Меню!$J$56:$FD$56)*Обложка!$D$17/60,SUMIF(Меню!$J$8:$FD$8,$B142,Меню!$J$56:$FD$56)/1000*Обложка!$D$17)</f>
        <v>0</v>
      </c>
      <c r="G142" s="212">
        <f>IF($B142="Яйцо (шт)",SUMIF(Меню!$J$8:$FD$8,$B142,Меню!$J$61:$FD$61)*Обложка!$D$18/60,SUMIF(Меню!$J$8:$FD$8,$B142,Меню!$J$61:$FD$61)/1000*Обложка!$D$18)</f>
        <v>0</v>
      </c>
      <c r="H142" s="685">
        <f t="shared" ref="H142:H160" si="18">SUM(D142:G142)</f>
        <v>0.97599999999999998</v>
      </c>
      <c r="I142" s="212">
        <f>IF($B142="Яйцо (шт)",SUMIF(Меню!$J$8:$FD$8,$B142,Меню!$J$73:$FD$73)*Обложка!$F$15/60,SUMIF(Меню!$J$8:$FD$8,$B142,Меню!$J$73:$FD$73)/1000*Обложка!$F$15)</f>
        <v>0</v>
      </c>
      <c r="J142" s="212">
        <f>IF($B142="Яйцо (шт)",SUMIF(Меню!$J$8:$FD$8,$B142,Меню!$J$88:$FD$88)*Обложка!$F$16/60,SUMIF(Меню!$J$8:$FD$8,$B142,Меню!$J$88:$FD$88)/1000*Обложка!$G$16)</f>
        <v>0</v>
      </c>
      <c r="K142" s="212">
        <f>IF($B142="Яйцо (шт)",SUMIF(Меню!$J$8:$FD$8,$B142,Меню!$J$101:$FD$101)*Обложка!$F$17/60,SUMIF(Меню!$J$8:$FD$8,$B142,Меню!$J$101:$FD$101)/1000*Обложка!$F$17)</f>
        <v>0</v>
      </c>
      <c r="L142" s="212">
        <f>IF($B142="Яйцо (шт)",SUMIF(Меню!$J$8:$FD$8,$B142,Меню!$J$106:$FD$106)*Обложка!$F$18/60,SUMIF(Меню!$J$8:$FD$8,$B142,Меню!$J$106:$FD$106)/1000*Обложка!$F$18)</f>
        <v>0</v>
      </c>
      <c r="M142" s="685">
        <f t="shared" ref="M142:M159" si="19">SUM(I142:L142)</f>
        <v>0</v>
      </c>
      <c r="N142" s="212">
        <f>IF($B142="Яйцо (шт)",SUMIF(Меню!$J$8:$EZ$8,$B142,Меню!$J$118:$EZ$118)*Обложка!$H$15/60,SUMIF(Меню!$J$8:$EZ$8,$B142,Меню!$J$118:$EZ$118)/1000*Обложка!$H$15)</f>
        <v>0</v>
      </c>
      <c r="O142" s="212">
        <f>IF($B142="Яйцо (шт)",SUMIF(Меню!$J$8:$EZ$8,$B142,Меню!$J$133:$EZ$133)*Обложка!$H$16/60,SUMIF(Меню!$J$8:$EZ$8,$B142,Меню!$J$133:$EZ$133)/1000*Обложка!$H$16)</f>
        <v>0</v>
      </c>
      <c r="P142" s="212">
        <f>IF($B142="Яйцо (шт)",SUMIF(Меню!$J$8:$EZ$8,$B142,Меню!$J$146:$EZ$146)*Обложка!$H$17/60,SUMIF(Меню!$J$8:$EZ$8,$B142,Меню!$J$146:$EZ$146)/1000*Обложка!$H$17)</f>
        <v>0</v>
      </c>
      <c r="Q142" s="212">
        <f>IF($B142="Яйцо (шт)",SUMIF(Меню!$J$8:$EZ$8,$B142,Меню!$J$151:$EZ$151)*Обложка!$H$18/60,SUMIF(Меню!$J$8:$EZ$8,$B142,Меню!$J$151:$EZ$151)/1000*Обложка!$H$18)</f>
        <v>0</v>
      </c>
      <c r="R142" s="685">
        <f t="shared" ref="R142:R159" si="20">SUM(N142:Q142)</f>
        <v>0</v>
      </c>
      <c r="S142" s="212">
        <f>IF($B142="Яйцо (шт)",SUMIF(Меню!$J$8:$EZ$8,$B142,Меню!$J$163:$EZ$163)*Обложка!$J$15/60,SUMIF(Меню!$J$8:$EZ$8,$B142,Меню!$J$163:$EZ$163)/1000*Обложка!$J$15)</f>
        <v>0</v>
      </c>
      <c r="T142" s="212">
        <f>IF($B142="Яйцо (шт)",SUMIF(Меню!$J$8:$EZ$8,$B142,Меню!$J$178:$EZ$178)*Обложка!$J$16/60,SUMIF(Меню!$J$8:$EZ$8,$B142,Меню!$J$178:$EZ$178)/1000*Обложка!$J$16)</f>
        <v>0</v>
      </c>
      <c r="U142" s="212">
        <f>IF($B142="Яйцо (шт)",SUMIF(Меню!$J$8:$EZ$8,$B142,Меню!$J$191:$EZ$191)*Обложка!$J$17/60,SUMIF(Меню!$J$8:$EZ$8,$B142,Меню!$J$191:$EZ$191)/1000*Обложка!$J$17)</f>
        <v>0</v>
      </c>
      <c r="V142" s="212">
        <f>IF($B142="Яйцо (шт)",SUMIF(Меню!$J$8:$EZ$8,$B142,Меню!$J$196:$EZ$196)*Обложка!$J$18/60,SUMIF(Меню!$J$8:$EZ$8,$B142,Меню!$J$196:$EZ$196)/1000*Обложка!$J$18)</f>
        <v>0</v>
      </c>
      <c r="W142" s="685">
        <f t="shared" ref="W142:W159" si="21">SUM(S142:V142)</f>
        <v>0</v>
      </c>
      <c r="X142" s="212">
        <f>IF($B142="Яйцо (шт)",SUMIF(Меню!$J$8:$EZ$8,$B142,Меню!$J$208:$EZ$208)*Обложка!$L$15/60,SUMIF(Меню!$J$8:$EZ$8,$B142,Меню!$J$208:$EZ$208)/1000*Обложка!$L$15)</f>
        <v>0</v>
      </c>
      <c r="Y142" s="212">
        <f>IF($B142="Яйцо (шт)",SUMIF(Меню!$J$8:$EZ$8,$B142,Меню!$J$223:$EZ$223)*Обложка!$L$16/60,SUMIF(Меню!$J$8:$EZ$8,$B142,Меню!$J$223:$EZ$223)/1000*Обложка!$J$16)</f>
        <v>0</v>
      </c>
      <c r="Z142" s="212">
        <f>IF($B142="Яйцо (шт)",SUMIF(Меню!$J$8:$EZ$8,$B142,Меню!$J$236:$EZ$236)*Обложка!$L$17/60,SUMIF(Меню!$J$8:$EZ$8,$B142,Меню!$J$236:$EZ$236)/1000*Обложка!$L$17)</f>
        <v>0</v>
      </c>
      <c r="AA142" s="212">
        <f>IF($B142="Яйцо (шт)",SUMIF(Меню!$J$8:$EZ$8,$B142,Меню!$J$241:$EZ$241)*Обложка!$L$18/60,SUMIF(Меню!$J$8:$EZ$8,$B142,Меню!$J$241:$EZ$241)/1000*Обложка!$L$18)</f>
        <v>0</v>
      </c>
      <c r="AB142" s="685">
        <f t="shared" ref="AB142:AB159" si="22">SUM(X142:AA142)</f>
        <v>0</v>
      </c>
      <c r="AC142" s="212">
        <f>IF($B142="Яйцо (шт)",SUMIF(Меню!$J$8:$EZ$8,$B142,Меню!$J$253:$EZ$253)*Обложка!$N$15/60,SUMIF(Меню!$J$8:$EZ$8,$B142,Меню!$J$253:$EZ$253)/1000*Обложка!$N$15)</f>
        <v>0</v>
      </c>
      <c r="AD142" s="212">
        <f>IF($B142="Яйцо (шт)",SUMIF(Меню!$J$8:$EZ$8,$B142,Меню!$J$268:$EZ$268)*Обложка!$N$16/60,SUMIF(Меню!$J$8:$EZ$8,$B142,Меню!$J$268:$EZ$268)/1000*Обложка!$N$16)</f>
        <v>0</v>
      </c>
      <c r="AE142" s="212">
        <f>IF($B142="Яйцо (шт)",SUMIF(Меню!$J$8:$EZ$8,$B142,Меню!$J$281:$EZ$281)*Обложка!$N$17/60,SUMIF(Меню!$J$8:$EZ$8,$B142,Меню!$J$281:$EZ$281)/1000*Обложка!$N$17)</f>
        <v>0</v>
      </c>
      <c r="AF142" s="212">
        <f>IF($B142="Яйцо (шт)",SUMIF(Меню!$J$8:$EZ$8,$B142,Меню!$J$286:$EZ$286)*Обложка!$N$18/60,SUMIF(Меню!$J$8:$EZ$8,$B142,Меню!$J$286:$EZ$286)/1000*Обложка!$N$18)</f>
        <v>0</v>
      </c>
      <c r="AG142" s="685">
        <f t="shared" ref="AG142:AG159" si="23">SUM(AC142:AF142)</f>
        <v>0</v>
      </c>
      <c r="AH142" s="212">
        <f>IF($B142="Яйцо (шт)",SUMIF(Меню!$J$8:$EZ$8,$B142,Меню!$J$298:$EZ$298)*Обложка!$P$15/60,SUMIF(Меню!$J$8:$EZ$8,$B142,Меню!$J$298:$EZ$298)/1000*Обложка!$P$15)</f>
        <v>0</v>
      </c>
      <c r="AI142" s="212">
        <f>IF($B142="Яйцо (шт)",SUMIF(Меню!$J$8:$EZ$8,$BB142,Меню!$J$313:$EZ$313)*Обложка!$P$16/60,SUMIF(Меню!$J$8:$EZ$8,$B142,Меню!$J$313:$EZ$313)/1000*Обложка!$P$16)</f>
        <v>0</v>
      </c>
      <c r="AJ142" s="212">
        <f>IF($B142="Яйцо (шт)",SUMIF(Меню!$J$8:$EZ$8,$B142,Меню!$J$326:$EZ$326)*Обложка!$P$17/60,SUMIF(Меню!$J$8:$EZ$8,$B142,Меню!$J$326:$EZ$326)/1000*Обложка!$P$17)</f>
        <v>0</v>
      </c>
      <c r="AK142" s="212">
        <f>IF($B142="Яйцо (шт)",SUMIF(Меню!$J$8:$EZ$8,$B142,Меню!$J$331:$EZ$331)*Обложка!$P$18/60,SUMIF(Меню!$J$8:$EZ$8,$B142,Меню!$J$331:$EZ$331)/1000*Обложка!$P$18)</f>
        <v>0</v>
      </c>
      <c r="AL142" s="699">
        <f t="shared" ref="AL142:AL159" si="24">SUM(AH142:AK142)</f>
        <v>0</v>
      </c>
      <c r="AM142" s="685">
        <f t="shared" ref="AM142:AM159" si="25">SUM(H142,M142,R142,W142,AB142,AG142,AL142)</f>
        <v>0.97599999999999998</v>
      </c>
    </row>
    <row r="143" spans="1:39" x14ac:dyDescent="0.25">
      <c r="A143" s="249">
        <f t="shared" ref="A143:A159" si="26">A142+1</f>
        <v>131</v>
      </c>
      <c r="B143" s="248" t="str">
        <f>инфо!D132</f>
        <v>Курага</v>
      </c>
      <c r="C143" s="694">
        <f>SUMIF(Меню!$J$8:$FD$8,$B143,Меню!$J$333:$FD$333)</f>
        <v>8</v>
      </c>
      <c r="D143" s="212">
        <f>IF($B143="Яйцо (шт)",SUMIF(Меню!$J$8:$FD$8,$B143,Меню!$J$28:$FD$28)*Обложка!$D$15/60,SUMIF(Меню!$J$8:$FD$8,$B143,Меню!$J$28:$FD$28)/1000*Обложка!$D$15)</f>
        <v>0</v>
      </c>
      <c r="E143" s="212">
        <f>IF($B143="Яйцо (шт)",SUMIF(Меню!$J$8:$FD$8,$B143,Меню!$J$43:$FD$43)*Обложка!$D$16/60,SUMIF(Меню!$J$8:$FD$8,$B143,Меню!$J$43:$FD$43)/1000*Обложка!$D$16)</f>
        <v>0.97599999999999998</v>
      </c>
      <c r="F143" s="212">
        <f>IF($B143="Яйцо (шт)",SUMIF(Меню!$J$8:$FD$8,$B143,Меню!$J$56:$FD$56)*Обложка!$D$17/60,SUMIF(Меню!$J$8:$FD$8,$B143,Меню!$J$56:$FD$56)/1000*Обложка!$D$17)</f>
        <v>0</v>
      </c>
      <c r="G143" s="212">
        <f>IF($B143="Яйцо (шт)",SUMIF(Меню!$J$8:$FD$8,$B143,Меню!$J$61:$FD$61)*Обложка!$D$18/60,SUMIF(Меню!$J$8:$FD$8,$B143,Меню!$J$61:$FD$61)/1000*Обложка!$D$18)</f>
        <v>0</v>
      </c>
      <c r="H143" s="685">
        <f t="shared" si="18"/>
        <v>0.97599999999999998</v>
      </c>
      <c r="I143" s="212">
        <f>IF($B143="Яйцо (шт)",SUMIF(Меню!$J$8:$FD$8,$B143,Меню!$J$73:$FD$73)*Обложка!$F$15/60,SUMIF(Меню!$J$8:$FD$8,$B143,Меню!$J$73:$FD$73)/1000*Обложка!$F$15)</f>
        <v>0</v>
      </c>
      <c r="J143" s="212">
        <f>IF($B143="Яйцо (шт)",SUMIF(Меню!$J$8:$FD$8,$B143,Меню!$J$88:$FD$88)*Обложка!$F$16/60,SUMIF(Меню!$J$8:$FD$8,$B143,Меню!$J$88:$FD$88)/1000*Обложка!$G$16)</f>
        <v>0</v>
      </c>
      <c r="K143" s="212">
        <f>IF($B143="Яйцо (шт)",SUMIF(Меню!$J$8:$FD$8,$B143,Меню!$J$101:$FD$101)*Обложка!$F$17/60,SUMIF(Меню!$J$8:$FD$8,$B143,Меню!$J$101:$FD$101)/1000*Обложка!$F$17)</f>
        <v>0</v>
      </c>
      <c r="L143" s="212">
        <f>IF($B143="Яйцо (шт)",SUMIF(Меню!$J$8:$FD$8,$B143,Меню!$J$106:$FD$106)*Обложка!$F$18/60,SUMIF(Меню!$J$8:$FD$8,$B143,Меню!$J$106:$FD$106)/1000*Обложка!$F$18)</f>
        <v>0</v>
      </c>
      <c r="M143" s="685">
        <f t="shared" si="19"/>
        <v>0</v>
      </c>
      <c r="N143" s="212">
        <f>IF($B143="Яйцо (шт)",SUMIF(Меню!$J$8:$EZ$8,$B143,Меню!$J$118:$EZ$118)*Обложка!$H$15/60,SUMIF(Меню!$J$8:$EZ$8,$B143,Меню!$J$118:$EZ$118)/1000*Обложка!$H$15)</f>
        <v>0</v>
      </c>
      <c r="O143" s="212">
        <f>IF($B143="Яйцо (шт)",SUMIF(Меню!$J$8:$EZ$8,$B143,Меню!$J$133:$EZ$133)*Обложка!$H$16/60,SUMIF(Меню!$J$8:$EZ$8,$B143,Меню!$J$133:$EZ$133)/1000*Обложка!$H$16)</f>
        <v>0</v>
      </c>
      <c r="P143" s="212">
        <f>IF($B143="Яйцо (шт)",SUMIF(Меню!$J$8:$EZ$8,$B143,Меню!$J$146:$EZ$146)*Обложка!$H$17/60,SUMIF(Меню!$J$8:$EZ$8,$B143,Меню!$J$146:$EZ$146)/1000*Обложка!$H$17)</f>
        <v>0</v>
      </c>
      <c r="Q143" s="212">
        <f>IF($B143="Яйцо (шт)",SUMIF(Меню!$J$8:$EZ$8,$B143,Меню!$J$151:$EZ$151)*Обложка!$H$18/60,SUMIF(Меню!$J$8:$EZ$8,$B143,Меню!$J$151:$EZ$151)/1000*Обложка!$H$18)</f>
        <v>0</v>
      </c>
      <c r="R143" s="685">
        <f t="shared" si="20"/>
        <v>0</v>
      </c>
      <c r="S143" s="212">
        <f>IF($B143="Яйцо (шт)",SUMIF(Меню!$J$8:$EZ$8,$B143,Меню!$J$163:$EZ$163)*Обложка!$J$15/60,SUMIF(Меню!$J$8:$EZ$8,$B143,Меню!$J$163:$EZ$163)/1000*Обложка!$J$15)</f>
        <v>0</v>
      </c>
      <c r="T143" s="212">
        <f>IF($B143="Яйцо (шт)",SUMIF(Меню!$J$8:$EZ$8,$B143,Меню!$J$178:$EZ$178)*Обложка!$J$16/60,SUMIF(Меню!$J$8:$EZ$8,$B143,Меню!$J$178:$EZ$178)/1000*Обложка!$J$16)</f>
        <v>0</v>
      </c>
      <c r="U143" s="212">
        <f>IF($B143="Яйцо (шт)",SUMIF(Меню!$J$8:$EZ$8,$B143,Меню!$J$191:$EZ$191)*Обложка!$J$17/60,SUMIF(Меню!$J$8:$EZ$8,$B143,Меню!$J$191:$EZ$191)/1000*Обложка!$J$17)</f>
        <v>0</v>
      </c>
      <c r="V143" s="212">
        <f>IF($B143="Яйцо (шт)",SUMIF(Меню!$J$8:$EZ$8,$B143,Меню!$J$196:$EZ$196)*Обложка!$J$18/60,SUMIF(Меню!$J$8:$EZ$8,$B143,Меню!$J$196:$EZ$196)/1000*Обложка!$J$18)</f>
        <v>0</v>
      </c>
      <c r="W143" s="685">
        <f t="shared" si="21"/>
        <v>0</v>
      </c>
      <c r="X143" s="212">
        <f>IF($B143="Яйцо (шт)",SUMIF(Меню!$J$8:$EZ$8,$B143,Меню!$J$208:$EZ$208)*Обложка!$L$15/60,SUMIF(Меню!$J$8:$EZ$8,$B143,Меню!$J$208:$EZ$208)/1000*Обложка!$L$15)</f>
        <v>0</v>
      </c>
      <c r="Y143" s="212">
        <f>IF($B143="Яйцо (шт)",SUMIF(Меню!$J$8:$EZ$8,$B143,Меню!$J$223:$EZ$223)*Обложка!$L$16/60,SUMIF(Меню!$J$8:$EZ$8,$B143,Меню!$J$223:$EZ$223)/1000*Обложка!$J$16)</f>
        <v>0</v>
      </c>
      <c r="Z143" s="212">
        <f>IF($B143="Яйцо (шт)",SUMIF(Меню!$J$8:$EZ$8,$B143,Меню!$J$236:$EZ$236)*Обложка!$L$17/60,SUMIF(Меню!$J$8:$EZ$8,$B143,Меню!$J$236:$EZ$236)/1000*Обложка!$L$17)</f>
        <v>0</v>
      </c>
      <c r="AA143" s="212">
        <f>IF($B143="Яйцо (шт)",SUMIF(Меню!$J$8:$EZ$8,$B143,Меню!$J$241:$EZ$241)*Обложка!$L$18/60,SUMIF(Меню!$J$8:$EZ$8,$B143,Меню!$J$241:$EZ$241)/1000*Обложка!$L$18)</f>
        <v>0</v>
      </c>
      <c r="AB143" s="685">
        <f t="shared" si="22"/>
        <v>0</v>
      </c>
      <c r="AC143" s="212">
        <f>IF($B143="Яйцо (шт)",SUMIF(Меню!$J$8:$EZ$8,$B143,Меню!$J$253:$EZ$253)*Обложка!$N$15/60,SUMIF(Меню!$J$8:$EZ$8,$B143,Меню!$J$253:$EZ$253)/1000*Обложка!$N$15)</f>
        <v>0</v>
      </c>
      <c r="AD143" s="212">
        <f>IF($B143="Яйцо (шт)",SUMIF(Меню!$J$8:$EZ$8,$B143,Меню!$J$268:$EZ$268)*Обложка!$N$16/60,SUMIF(Меню!$J$8:$EZ$8,$B143,Меню!$J$268:$EZ$268)/1000*Обложка!$N$16)</f>
        <v>0</v>
      </c>
      <c r="AE143" s="212">
        <f>IF($B143="Яйцо (шт)",SUMIF(Меню!$J$8:$EZ$8,$B143,Меню!$J$281:$EZ$281)*Обложка!$N$17/60,SUMIF(Меню!$J$8:$EZ$8,$B143,Меню!$J$281:$EZ$281)/1000*Обложка!$N$17)</f>
        <v>0</v>
      </c>
      <c r="AF143" s="212">
        <f>IF($B143="Яйцо (шт)",SUMIF(Меню!$J$8:$EZ$8,$B143,Меню!$J$286:$EZ$286)*Обложка!$N$18/60,SUMIF(Меню!$J$8:$EZ$8,$B143,Меню!$J$286:$EZ$286)/1000*Обложка!$N$18)</f>
        <v>0</v>
      </c>
      <c r="AG143" s="685">
        <f t="shared" si="23"/>
        <v>0</v>
      </c>
      <c r="AH143" s="212">
        <f>IF($B143="Яйцо (шт)",SUMIF(Меню!$J$8:$EZ$8,$B143,Меню!$J$298:$EZ$298)*Обложка!$P$15/60,SUMIF(Меню!$J$8:$EZ$8,$B143,Меню!$J$298:$EZ$298)/1000*Обложка!$P$15)</f>
        <v>0</v>
      </c>
      <c r="AI143" s="212">
        <f>IF($B143="Яйцо (шт)",SUMIF(Меню!$J$8:$EZ$8,$BB143,Меню!$J$313:$EZ$313)*Обложка!$P$16/60,SUMIF(Меню!$J$8:$EZ$8,$B143,Меню!$J$313:$EZ$313)/1000*Обложка!$P$16)</f>
        <v>0</v>
      </c>
      <c r="AJ143" s="212">
        <f>IF($B143="Яйцо (шт)",SUMIF(Меню!$J$8:$EZ$8,$B143,Меню!$J$326:$EZ$326)*Обложка!$P$17/60,SUMIF(Меню!$J$8:$EZ$8,$B143,Меню!$J$326:$EZ$326)/1000*Обложка!$P$17)</f>
        <v>0</v>
      </c>
      <c r="AK143" s="212">
        <f>IF($B143="Яйцо (шт)",SUMIF(Меню!$J$8:$EZ$8,$B143,Меню!$J$331:$EZ$331)*Обложка!$P$18/60,SUMIF(Меню!$J$8:$EZ$8,$B143,Меню!$J$331:$EZ$331)/1000*Обложка!$P$18)</f>
        <v>0</v>
      </c>
      <c r="AL143" s="699">
        <f t="shared" si="24"/>
        <v>0</v>
      </c>
      <c r="AM143" s="685">
        <f t="shared" si="25"/>
        <v>0.97599999999999998</v>
      </c>
    </row>
    <row r="144" spans="1:39" x14ac:dyDescent="0.25">
      <c r="A144" s="249">
        <f t="shared" si="26"/>
        <v>132</v>
      </c>
      <c r="B144" s="248" t="str">
        <f>инфо!D133</f>
        <v>Чернослив</v>
      </c>
      <c r="C144" s="694">
        <f>SUMIF(Меню!$J$8:$FD$8,$B144,Меню!$J$333:$FD$333)</f>
        <v>4</v>
      </c>
      <c r="D144" s="212">
        <f>IF($B144="Яйцо (шт)",SUMIF(Меню!$J$8:$FD$8,$B144,Меню!$J$28:$FD$28)*Обложка!$D$15/60,SUMIF(Меню!$J$8:$FD$8,$B144,Меню!$J$28:$FD$28)/1000*Обложка!$D$15)</f>
        <v>0</v>
      </c>
      <c r="E144" s="212">
        <f>IF($B144="Яйцо (шт)",SUMIF(Меню!$J$8:$FD$8,$B144,Меню!$J$43:$FD$43)*Обложка!$D$16/60,SUMIF(Меню!$J$8:$FD$8,$B144,Меню!$J$43:$FD$43)/1000*Обложка!$D$16)</f>
        <v>0.48799999999999999</v>
      </c>
      <c r="F144" s="212">
        <f>IF($B144="Яйцо (шт)",SUMIF(Меню!$J$8:$FD$8,$B144,Меню!$J$56:$FD$56)*Обложка!$D$17/60,SUMIF(Меню!$J$8:$FD$8,$B144,Меню!$J$56:$FD$56)/1000*Обложка!$D$17)</f>
        <v>0</v>
      </c>
      <c r="G144" s="212">
        <f>IF($B144="Яйцо (шт)",SUMIF(Меню!$J$8:$FD$8,$B144,Меню!$J$61:$FD$61)*Обложка!$D$18/60,SUMIF(Меню!$J$8:$FD$8,$B144,Меню!$J$61:$FD$61)/1000*Обложка!$D$18)</f>
        <v>0</v>
      </c>
      <c r="H144" s="685">
        <f t="shared" si="18"/>
        <v>0.48799999999999999</v>
      </c>
      <c r="I144" s="212">
        <f>IF($B144="Яйцо (шт)",SUMIF(Меню!$J$8:$FD$8,$B144,Меню!$J$73:$FD$73)*Обложка!$F$15/60,SUMIF(Меню!$J$8:$FD$8,$B144,Меню!$J$73:$FD$73)/1000*Обложка!$F$15)</f>
        <v>0</v>
      </c>
      <c r="J144" s="212">
        <f>IF($B144="Яйцо (шт)",SUMIF(Меню!$J$8:$FD$8,$B144,Меню!$J$88:$FD$88)*Обложка!$F$16/60,SUMIF(Меню!$J$8:$FD$8,$B144,Меню!$J$88:$FD$88)/1000*Обложка!$G$16)</f>
        <v>0</v>
      </c>
      <c r="K144" s="212">
        <f>IF($B144="Яйцо (шт)",SUMIF(Меню!$J$8:$FD$8,$B144,Меню!$J$101:$FD$101)*Обложка!$F$17/60,SUMIF(Меню!$J$8:$FD$8,$B144,Меню!$J$101:$FD$101)/1000*Обложка!$F$17)</f>
        <v>0</v>
      </c>
      <c r="L144" s="212">
        <f>IF($B144="Яйцо (шт)",SUMIF(Меню!$J$8:$FD$8,$B144,Меню!$J$106:$FD$106)*Обложка!$F$18/60,SUMIF(Меню!$J$8:$FD$8,$B144,Меню!$J$106:$FD$106)/1000*Обложка!$F$18)</f>
        <v>0</v>
      </c>
      <c r="M144" s="685">
        <f t="shared" si="19"/>
        <v>0</v>
      </c>
      <c r="N144" s="212">
        <f>IF($B144="Яйцо (шт)",SUMIF(Меню!$J$8:$EZ$8,$B144,Меню!$J$118:$EZ$118)*Обложка!$H$15/60,SUMIF(Меню!$J$8:$EZ$8,$B144,Меню!$J$118:$EZ$118)/1000*Обложка!$H$15)</f>
        <v>0</v>
      </c>
      <c r="O144" s="212">
        <f>IF($B144="Яйцо (шт)",SUMIF(Меню!$J$8:$EZ$8,$B144,Меню!$J$133:$EZ$133)*Обложка!$H$16/60,SUMIF(Меню!$J$8:$EZ$8,$B144,Меню!$J$133:$EZ$133)/1000*Обложка!$H$16)</f>
        <v>0</v>
      </c>
      <c r="P144" s="212">
        <f>IF($B144="Яйцо (шт)",SUMIF(Меню!$J$8:$EZ$8,$B144,Меню!$J$146:$EZ$146)*Обложка!$H$17/60,SUMIF(Меню!$J$8:$EZ$8,$B144,Меню!$J$146:$EZ$146)/1000*Обложка!$H$17)</f>
        <v>0</v>
      </c>
      <c r="Q144" s="212">
        <f>IF($B144="Яйцо (шт)",SUMIF(Меню!$J$8:$EZ$8,$B144,Меню!$J$151:$EZ$151)*Обложка!$H$18/60,SUMIF(Меню!$J$8:$EZ$8,$B144,Меню!$J$151:$EZ$151)/1000*Обложка!$H$18)</f>
        <v>0</v>
      </c>
      <c r="R144" s="685">
        <f t="shared" si="20"/>
        <v>0</v>
      </c>
      <c r="S144" s="212">
        <f>IF($B144="Яйцо (шт)",SUMIF(Меню!$J$8:$EZ$8,$B144,Меню!$J$163:$EZ$163)*Обложка!$J$15/60,SUMIF(Меню!$J$8:$EZ$8,$B144,Меню!$J$163:$EZ$163)/1000*Обложка!$J$15)</f>
        <v>0</v>
      </c>
      <c r="T144" s="212">
        <f>IF($B144="Яйцо (шт)",SUMIF(Меню!$J$8:$EZ$8,$B144,Меню!$J$178:$EZ$178)*Обложка!$J$16/60,SUMIF(Меню!$J$8:$EZ$8,$B144,Меню!$J$178:$EZ$178)/1000*Обложка!$J$16)</f>
        <v>0</v>
      </c>
      <c r="U144" s="212">
        <f>IF($B144="Яйцо (шт)",SUMIF(Меню!$J$8:$EZ$8,$B144,Меню!$J$191:$EZ$191)*Обложка!$J$17/60,SUMIF(Меню!$J$8:$EZ$8,$B144,Меню!$J$191:$EZ$191)/1000*Обложка!$J$17)</f>
        <v>0</v>
      </c>
      <c r="V144" s="212">
        <f>IF($B144="Яйцо (шт)",SUMIF(Меню!$J$8:$EZ$8,$B144,Меню!$J$196:$EZ$196)*Обложка!$J$18/60,SUMIF(Меню!$J$8:$EZ$8,$B144,Меню!$J$196:$EZ$196)/1000*Обложка!$J$18)</f>
        <v>0</v>
      </c>
      <c r="W144" s="685">
        <f t="shared" si="21"/>
        <v>0</v>
      </c>
      <c r="X144" s="212">
        <f>IF($B144="Яйцо (шт)",SUMIF(Меню!$J$8:$EZ$8,$B144,Меню!$J$208:$EZ$208)*Обложка!$L$15/60,SUMIF(Меню!$J$8:$EZ$8,$B144,Меню!$J$208:$EZ$208)/1000*Обложка!$L$15)</f>
        <v>0</v>
      </c>
      <c r="Y144" s="212">
        <f>IF($B144="Яйцо (шт)",SUMIF(Меню!$J$8:$EZ$8,$B144,Меню!$J$223:$EZ$223)*Обложка!$L$16/60,SUMIF(Меню!$J$8:$EZ$8,$B144,Меню!$J$223:$EZ$223)/1000*Обложка!$J$16)</f>
        <v>0</v>
      </c>
      <c r="Z144" s="212">
        <f>IF($B144="Яйцо (шт)",SUMIF(Меню!$J$8:$EZ$8,$B144,Меню!$J$236:$EZ$236)*Обложка!$L$17/60,SUMIF(Меню!$J$8:$EZ$8,$B144,Меню!$J$236:$EZ$236)/1000*Обложка!$L$17)</f>
        <v>0</v>
      </c>
      <c r="AA144" s="212">
        <f>IF($B144="Яйцо (шт)",SUMIF(Меню!$J$8:$EZ$8,$B144,Меню!$J$241:$EZ$241)*Обложка!$L$18/60,SUMIF(Меню!$J$8:$EZ$8,$B144,Меню!$J$241:$EZ$241)/1000*Обложка!$L$18)</f>
        <v>0</v>
      </c>
      <c r="AB144" s="685">
        <f t="shared" si="22"/>
        <v>0</v>
      </c>
      <c r="AC144" s="212">
        <f>IF($B144="Яйцо (шт)",SUMIF(Меню!$J$8:$EZ$8,$B144,Меню!$J$253:$EZ$253)*Обложка!$N$15/60,SUMIF(Меню!$J$8:$EZ$8,$B144,Меню!$J$253:$EZ$253)/1000*Обложка!$N$15)</f>
        <v>0</v>
      </c>
      <c r="AD144" s="212">
        <f>IF($B144="Яйцо (шт)",SUMIF(Меню!$J$8:$EZ$8,$B144,Меню!$J$268:$EZ$268)*Обложка!$N$16/60,SUMIF(Меню!$J$8:$EZ$8,$B144,Меню!$J$268:$EZ$268)/1000*Обложка!$N$16)</f>
        <v>0</v>
      </c>
      <c r="AE144" s="212">
        <f>IF($B144="Яйцо (шт)",SUMIF(Меню!$J$8:$EZ$8,$B144,Меню!$J$281:$EZ$281)*Обложка!$N$17/60,SUMIF(Меню!$J$8:$EZ$8,$B144,Меню!$J$281:$EZ$281)/1000*Обложка!$N$17)</f>
        <v>0</v>
      </c>
      <c r="AF144" s="212">
        <f>IF($B144="Яйцо (шт)",SUMIF(Меню!$J$8:$EZ$8,$B144,Меню!$J$286:$EZ$286)*Обложка!$N$18/60,SUMIF(Меню!$J$8:$EZ$8,$B144,Меню!$J$286:$EZ$286)/1000*Обложка!$N$18)</f>
        <v>0</v>
      </c>
      <c r="AG144" s="685">
        <f t="shared" si="23"/>
        <v>0</v>
      </c>
      <c r="AH144" s="212">
        <f>IF($B144="Яйцо (шт)",SUMIF(Меню!$J$8:$EZ$8,$B144,Меню!$J$298:$EZ$298)*Обложка!$P$15/60,SUMIF(Меню!$J$8:$EZ$8,$B144,Меню!$J$298:$EZ$298)/1000*Обложка!$P$15)</f>
        <v>0</v>
      </c>
      <c r="AI144" s="212">
        <f>IF($B144="Яйцо (шт)",SUMIF(Меню!$J$8:$EZ$8,$BB144,Меню!$J$313:$EZ$313)*Обложка!$P$16/60,SUMIF(Меню!$J$8:$EZ$8,$B144,Меню!$J$313:$EZ$313)/1000*Обложка!$P$16)</f>
        <v>0</v>
      </c>
      <c r="AJ144" s="212">
        <f>IF($B144="Яйцо (шт)",SUMIF(Меню!$J$8:$EZ$8,$B144,Меню!$J$326:$EZ$326)*Обложка!$P$17/60,SUMIF(Меню!$J$8:$EZ$8,$B144,Меню!$J$326:$EZ$326)/1000*Обложка!$P$17)</f>
        <v>0</v>
      </c>
      <c r="AK144" s="212">
        <f>IF($B144="Яйцо (шт)",SUMIF(Меню!$J$8:$EZ$8,$B144,Меню!$J$331:$EZ$331)*Обложка!$P$18/60,SUMIF(Меню!$J$8:$EZ$8,$B144,Меню!$J$331:$EZ$331)/1000*Обложка!$P$18)</f>
        <v>0</v>
      </c>
      <c r="AL144" s="699">
        <f t="shared" si="24"/>
        <v>0</v>
      </c>
      <c r="AM144" s="685">
        <f t="shared" si="25"/>
        <v>0.48799999999999999</v>
      </c>
    </row>
    <row r="145" spans="1:39" x14ac:dyDescent="0.25">
      <c r="A145" s="249">
        <f t="shared" si="26"/>
        <v>133</v>
      </c>
      <c r="B145" s="248" t="str">
        <f>инфо!D134</f>
        <v>Смесь сухофруктов</v>
      </c>
      <c r="C145" s="694">
        <f>SUMIF(Меню!$J$8:$FD$8,$B145,Меню!$J$333:$FD$333)</f>
        <v>0</v>
      </c>
      <c r="D145" s="212">
        <f>IF($B145="Яйцо (шт)",SUMIF(Меню!$J$8:$FD$8,$B145,Меню!$J$28:$FD$28)*Обложка!$D$15/60,SUMIF(Меню!$J$8:$FD$8,$B145,Меню!$J$28:$FD$28)/1000*Обложка!$D$15)</f>
        <v>0</v>
      </c>
      <c r="E145" s="212">
        <f>IF($B145="Яйцо (шт)",SUMIF(Меню!$J$8:$FD$8,$B145,Меню!$J$43:$FD$43)*Обложка!$D$16/60,SUMIF(Меню!$J$8:$FD$8,$B145,Меню!$J$43:$FD$43)/1000*Обложка!$D$16)</f>
        <v>0</v>
      </c>
      <c r="F145" s="212">
        <f>IF($B145="Яйцо (шт)",SUMIF(Меню!$J$8:$FD$8,$B145,Меню!$J$56:$FD$56)*Обложка!$D$17/60,SUMIF(Меню!$J$8:$FD$8,$B145,Меню!$J$56:$FD$56)/1000*Обложка!$D$17)</f>
        <v>0</v>
      </c>
      <c r="G145" s="212">
        <f>IF($B145="Яйцо (шт)",SUMIF(Меню!$J$8:$FD$8,$B145,Меню!$J$61:$FD$61)*Обложка!$D$18/60,SUMIF(Меню!$J$8:$FD$8,$B145,Меню!$J$61:$FD$61)/1000*Обложка!$D$18)</f>
        <v>0</v>
      </c>
      <c r="H145" s="685">
        <f t="shared" si="18"/>
        <v>0</v>
      </c>
      <c r="I145" s="212">
        <f>IF($B145="Яйцо (шт)",SUMIF(Меню!$J$8:$FD$8,$B145,Меню!$J$73:$FD$73)*Обложка!$F$15/60,SUMIF(Меню!$J$8:$FD$8,$B145,Меню!$J$73:$FD$73)/1000*Обложка!$F$15)</f>
        <v>0</v>
      </c>
      <c r="J145" s="212">
        <f>IF($B145="Яйцо (шт)",SUMIF(Меню!$J$8:$FD$8,$B145,Меню!$J$88:$FD$88)*Обложка!$F$16/60,SUMIF(Меню!$J$8:$FD$8,$B145,Меню!$J$88:$FD$88)/1000*Обложка!$G$16)</f>
        <v>0</v>
      </c>
      <c r="K145" s="212">
        <f>IF($B145="Яйцо (шт)",SUMIF(Меню!$J$8:$FD$8,$B145,Меню!$J$101:$FD$101)*Обложка!$F$17/60,SUMIF(Меню!$J$8:$FD$8,$B145,Меню!$J$101:$FD$101)/1000*Обложка!$F$17)</f>
        <v>0</v>
      </c>
      <c r="L145" s="212">
        <f>IF($B145="Яйцо (шт)",SUMIF(Меню!$J$8:$FD$8,$B145,Меню!$J$106:$FD$106)*Обложка!$F$18/60,SUMIF(Меню!$J$8:$FD$8,$B145,Меню!$J$106:$FD$106)/1000*Обложка!$F$18)</f>
        <v>0</v>
      </c>
      <c r="M145" s="685">
        <f t="shared" si="19"/>
        <v>0</v>
      </c>
      <c r="N145" s="212">
        <f>IF($B145="Яйцо (шт)",SUMIF(Меню!$J$8:$EZ$8,$B145,Меню!$J$118:$EZ$118)*Обложка!$H$15/60,SUMIF(Меню!$J$8:$EZ$8,$B145,Меню!$J$118:$EZ$118)/1000*Обложка!$H$15)</f>
        <v>0</v>
      </c>
      <c r="O145" s="212">
        <f>IF($B145="Яйцо (шт)",SUMIF(Меню!$J$8:$EZ$8,$B145,Меню!$J$133:$EZ$133)*Обложка!$H$16/60,SUMIF(Меню!$J$8:$EZ$8,$B145,Меню!$J$133:$EZ$133)/1000*Обложка!$H$16)</f>
        <v>0</v>
      </c>
      <c r="P145" s="212">
        <f>IF($B145="Яйцо (шт)",SUMIF(Меню!$J$8:$EZ$8,$B145,Меню!$J$146:$EZ$146)*Обложка!$H$17/60,SUMIF(Меню!$J$8:$EZ$8,$B145,Меню!$J$146:$EZ$146)/1000*Обложка!$H$17)</f>
        <v>0</v>
      </c>
      <c r="Q145" s="212">
        <f>IF($B145="Яйцо (шт)",SUMIF(Меню!$J$8:$EZ$8,$B145,Меню!$J$151:$EZ$151)*Обложка!$H$18/60,SUMIF(Меню!$J$8:$EZ$8,$B145,Меню!$J$151:$EZ$151)/1000*Обложка!$H$18)</f>
        <v>0</v>
      </c>
      <c r="R145" s="685">
        <f t="shared" si="20"/>
        <v>0</v>
      </c>
      <c r="S145" s="212">
        <f>IF($B145="Яйцо (шт)",SUMIF(Меню!$J$8:$EZ$8,$B145,Меню!$J$163:$EZ$163)*Обложка!$J$15/60,SUMIF(Меню!$J$8:$EZ$8,$B145,Меню!$J$163:$EZ$163)/1000*Обложка!$J$15)</f>
        <v>0</v>
      </c>
      <c r="T145" s="212">
        <f>IF($B145="Яйцо (шт)",SUMIF(Меню!$J$8:$EZ$8,$B145,Меню!$J$178:$EZ$178)*Обложка!$J$16/60,SUMIF(Меню!$J$8:$EZ$8,$B145,Меню!$J$178:$EZ$178)/1000*Обложка!$J$16)</f>
        <v>0</v>
      </c>
      <c r="U145" s="212">
        <f>IF($B145="Яйцо (шт)",SUMIF(Меню!$J$8:$EZ$8,$B145,Меню!$J$191:$EZ$191)*Обложка!$J$17/60,SUMIF(Меню!$J$8:$EZ$8,$B145,Меню!$J$191:$EZ$191)/1000*Обложка!$J$17)</f>
        <v>0</v>
      </c>
      <c r="V145" s="212">
        <f>IF($B145="Яйцо (шт)",SUMIF(Меню!$J$8:$EZ$8,$B145,Меню!$J$196:$EZ$196)*Обложка!$J$18/60,SUMIF(Меню!$J$8:$EZ$8,$B145,Меню!$J$196:$EZ$196)/1000*Обложка!$J$18)</f>
        <v>0</v>
      </c>
      <c r="W145" s="685">
        <f t="shared" si="21"/>
        <v>0</v>
      </c>
      <c r="X145" s="212">
        <f>IF($B145="Яйцо (шт)",SUMIF(Меню!$J$8:$EZ$8,$B145,Меню!$J$208:$EZ$208)*Обложка!$L$15/60,SUMIF(Меню!$J$8:$EZ$8,$B145,Меню!$J$208:$EZ$208)/1000*Обложка!$L$15)</f>
        <v>0</v>
      </c>
      <c r="Y145" s="212">
        <f>IF($B145="Яйцо (шт)",SUMIF(Меню!$J$8:$EZ$8,$B145,Меню!$J$223:$EZ$223)*Обложка!$L$16/60,SUMIF(Меню!$J$8:$EZ$8,$B145,Меню!$J$223:$EZ$223)/1000*Обложка!$J$16)</f>
        <v>0</v>
      </c>
      <c r="Z145" s="212">
        <f>IF($B145="Яйцо (шт)",SUMIF(Меню!$J$8:$EZ$8,$B145,Меню!$J$236:$EZ$236)*Обложка!$L$17/60,SUMIF(Меню!$J$8:$EZ$8,$B145,Меню!$J$236:$EZ$236)/1000*Обложка!$L$17)</f>
        <v>0</v>
      </c>
      <c r="AA145" s="212">
        <f>IF($B145="Яйцо (шт)",SUMIF(Меню!$J$8:$EZ$8,$B145,Меню!$J$241:$EZ$241)*Обложка!$L$18/60,SUMIF(Меню!$J$8:$EZ$8,$B145,Меню!$J$241:$EZ$241)/1000*Обложка!$L$18)</f>
        <v>0</v>
      </c>
      <c r="AB145" s="685">
        <f t="shared" si="22"/>
        <v>0</v>
      </c>
      <c r="AC145" s="212">
        <f>IF($B145="Яйцо (шт)",SUMIF(Меню!$J$8:$EZ$8,$B145,Меню!$J$253:$EZ$253)*Обложка!$N$15/60,SUMIF(Меню!$J$8:$EZ$8,$B145,Меню!$J$253:$EZ$253)/1000*Обложка!$N$15)</f>
        <v>0</v>
      </c>
      <c r="AD145" s="212">
        <f>IF($B145="Яйцо (шт)",SUMIF(Меню!$J$8:$EZ$8,$B145,Меню!$J$268:$EZ$268)*Обложка!$N$16/60,SUMIF(Меню!$J$8:$EZ$8,$B145,Меню!$J$268:$EZ$268)/1000*Обложка!$N$16)</f>
        <v>0</v>
      </c>
      <c r="AE145" s="212">
        <f>IF($B145="Яйцо (шт)",SUMIF(Меню!$J$8:$EZ$8,$B145,Меню!$J$281:$EZ$281)*Обложка!$N$17/60,SUMIF(Меню!$J$8:$EZ$8,$B145,Меню!$J$281:$EZ$281)/1000*Обложка!$N$17)</f>
        <v>0</v>
      </c>
      <c r="AF145" s="212">
        <f>IF($B145="Яйцо (шт)",SUMIF(Меню!$J$8:$EZ$8,$B145,Меню!$J$286:$EZ$286)*Обложка!$N$18/60,SUMIF(Меню!$J$8:$EZ$8,$B145,Меню!$J$286:$EZ$286)/1000*Обложка!$N$18)</f>
        <v>0</v>
      </c>
      <c r="AG145" s="685">
        <f t="shared" si="23"/>
        <v>0</v>
      </c>
      <c r="AH145" s="212">
        <f>IF($B145="Яйцо (шт)",SUMIF(Меню!$J$8:$EZ$8,$B145,Меню!$J$298:$EZ$298)*Обложка!$P$15/60,SUMIF(Меню!$J$8:$EZ$8,$B145,Меню!$J$298:$EZ$298)/1000*Обложка!$P$15)</f>
        <v>0</v>
      </c>
      <c r="AI145" s="212">
        <f>IF($B145="Яйцо (шт)",SUMIF(Меню!$J$8:$EZ$8,$BB145,Меню!$J$313:$EZ$313)*Обложка!$P$16/60,SUMIF(Меню!$J$8:$EZ$8,$B145,Меню!$J$313:$EZ$313)/1000*Обложка!$P$16)</f>
        <v>0</v>
      </c>
      <c r="AJ145" s="212">
        <f>IF($B145="Яйцо (шт)",SUMIF(Меню!$J$8:$EZ$8,$B145,Меню!$J$326:$EZ$326)*Обложка!$P$17/60,SUMIF(Меню!$J$8:$EZ$8,$B145,Меню!$J$326:$EZ$326)/1000*Обложка!$P$17)</f>
        <v>0</v>
      </c>
      <c r="AK145" s="212">
        <f>IF($B145="Яйцо (шт)",SUMIF(Меню!$J$8:$EZ$8,$B145,Меню!$J$331:$EZ$331)*Обложка!$P$18/60,SUMIF(Меню!$J$8:$EZ$8,$B145,Меню!$J$331:$EZ$331)/1000*Обложка!$P$18)</f>
        <v>0</v>
      </c>
      <c r="AL145" s="699">
        <f t="shared" si="24"/>
        <v>0</v>
      </c>
      <c r="AM145" s="685">
        <f t="shared" si="25"/>
        <v>0</v>
      </c>
    </row>
    <row r="146" spans="1:39" x14ac:dyDescent="0.25">
      <c r="A146" s="249">
        <f t="shared" si="26"/>
        <v>134</v>
      </c>
      <c r="B146" s="248" t="str">
        <f>инфо!D135</f>
        <v>Сок яблочный</v>
      </c>
      <c r="C146" s="694">
        <f>SUMIF(Меню!$J$8:$FD$8,$B146,Меню!$J$333:$FD$333)</f>
        <v>0</v>
      </c>
      <c r="D146" s="212">
        <f>IF($B146="Яйцо (шт)",SUMIF(Меню!$J$8:$FD$8,$B146,Меню!$J$28:$FD$28)*Обложка!$D$15/60,SUMIF(Меню!$J$8:$FD$8,$B146,Меню!$J$28:$FD$28)/1000*Обложка!$D$15)</f>
        <v>0</v>
      </c>
      <c r="E146" s="212">
        <f>IF($B146="Яйцо (шт)",SUMIF(Меню!$J$8:$FD$8,$B146,Меню!$J$43:$FD$43)*Обложка!$D$16/60,SUMIF(Меню!$J$8:$FD$8,$B146,Меню!$J$43:$FD$43)/1000*Обложка!$D$16)</f>
        <v>0</v>
      </c>
      <c r="F146" s="212">
        <f>IF($B146="Яйцо (шт)",SUMIF(Меню!$J$8:$FD$8,$B146,Меню!$J$56:$FD$56)*Обложка!$D$17/60,SUMIF(Меню!$J$8:$FD$8,$B146,Меню!$J$56:$FD$56)/1000*Обложка!$D$17)</f>
        <v>0</v>
      </c>
      <c r="G146" s="212">
        <f>IF($B146="Яйцо (шт)",SUMIF(Меню!$J$8:$FD$8,$B146,Меню!$J$61:$FD$61)*Обложка!$D$18/60,SUMIF(Меню!$J$8:$FD$8,$B146,Меню!$J$61:$FD$61)/1000*Обложка!$D$18)</f>
        <v>0</v>
      </c>
      <c r="H146" s="685">
        <f t="shared" si="18"/>
        <v>0</v>
      </c>
      <c r="I146" s="212">
        <f>IF($B146="Яйцо (шт)",SUMIF(Меню!$J$8:$FD$8,$B146,Меню!$J$73:$FD$73)*Обложка!$F$15/60,SUMIF(Меню!$J$8:$FD$8,$B146,Меню!$J$73:$FD$73)/1000*Обложка!$F$15)</f>
        <v>0</v>
      </c>
      <c r="J146" s="212">
        <f>IF($B146="Яйцо (шт)",SUMIF(Меню!$J$8:$FD$8,$B146,Меню!$J$88:$FD$88)*Обложка!$F$16/60,SUMIF(Меню!$J$8:$FD$8,$B146,Меню!$J$88:$FD$88)/1000*Обложка!$G$16)</f>
        <v>0</v>
      </c>
      <c r="K146" s="212">
        <f>IF($B146="Яйцо (шт)",SUMIF(Меню!$J$8:$FD$8,$B146,Меню!$J$101:$FD$101)*Обложка!$F$17/60,SUMIF(Меню!$J$8:$FD$8,$B146,Меню!$J$101:$FD$101)/1000*Обложка!$F$17)</f>
        <v>0</v>
      </c>
      <c r="L146" s="212">
        <f>IF($B146="Яйцо (шт)",SUMIF(Меню!$J$8:$FD$8,$B146,Меню!$J$106:$FD$106)*Обложка!$F$18/60,SUMIF(Меню!$J$8:$FD$8,$B146,Меню!$J$106:$FD$106)/1000*Обложка!$F$18)</f>
        <v>0</v>
      </c>
      <c r="M146" s="685">
        <f t="shared" si="19"/>
        <v>0</v>
      </c>
      <c r="N146" s="212">
        <f>IF($B146="Яйцо (шт)",SUMIF(Меню!$J$8:$EZ$8,$B146,Меню!$J$118:$EZ$118)*Обложка!$H$15/60,SUMIF(Меню!$J$8:$EZ$8,$B146,Меню!$J$118:$EZ$118)/1000*Обложка!$H$15)</f>
        <v>0</v>
      </c>
      <c r="O146" s="212">
        <f>IF($B146="Яйцо (шт)",SUMIF(Меню!$J$8:$EZ$8,$B146,Меню!$J$133:$EZ$133)*Обложка!$H$16/60,SUMIF(Меню!$J$8:$EZ$8,$B146,Меню!$J$133:$EZ$133)/1000*Обложка!$H$16)</f>
        <v>0</v>
      </c>
      <c r="P146" s="212">
        <f>IF($B146="Яйцо (шт)",SUMIF(Меню!$J$8:$EZ$8,$B146,Меню!$J$146:$EZ$146)*Обложка!$H$17/60,SUMIF(Меню!$J$8:$EZ$8,$B146,Меню!$J$146:$EZ$146)/1000*Обложка!$H$17)</f>
        <v>0</v>
      </c>
      <c r="Q146" s="212">
        <f>IF($B146="Яйцо (шт)",SUMIF(Меню!$J$8:$EZ$8,$B146,Меню!$J$151:$EZ$151)*Обложка!$H$18/60,SUMIF(Меню!$J$8:$EZ$8,$B146,Меню!$J$151:$EZ$151)/1000*Обложка!$H$18)</f>
        <v>0</v>
      </c>
      <c r="R146" s="685">
        <f t="shared" si="20"/>
        <v>0</v>
      </c>
      <c r="S146" s="212">
        <f>IF($B146="Яйцо (шт)",SUMIF(Меню!$J$8:$EZ$8,$B146,Меню!$J$163:$EZ$163)*Обложка!$J$15/60,SUMIF(Меню!$J$8:$EZ$8,$B146,Меню!$J$163:$EZ$163)/1000*Обложка!$J$15)</f>
        <v>0</v>
      </c>
      <c r="T146" s="212">
        <f>IF($B146="Яйцо (шт)",SUMIF(Меню!$J$8:$EZ$8,$B146,Меню!$J$178:$EZ$178)*Обложка!$J$16/60,SUMIF(Меню!$J$8:$EZ$8,$B146,Меню!$J$178:$EZ$178)/1000*Обложка!$J$16)</f>
        <v>0</v>
      </c>
      <c r="U146" s="212">
        <f>IF($B146="Яйцо (шт)",SUMIF(Меню!$J$8:$EZ$8,$B146,Меню!$J$191:$EZ$191)*Обложка!$J$17/60,SUMIF(Меню!$J$8:$EZ$8,$B146,Меню!$J$191:$EZ$191)/1000*Обложка!$J$17)</f>
        <v>0</v>
      </c>
      <c r="V146" s="212">
        <f>IF($B146="Яйцо (шт)",SUMIF(Меню!$J$8:$EZ$8,$B146,Меню!$J$196:$EZ$196)*Обложка!$J$18/60,SUMIF(Меню!$J$8:$EZ$8,$B146,Меню!$J$196:$EZ$196)/1000*Обложка!$J$18)</f>
        <v>0</v>
      </c>
      <c r="W146" s="685">
        <f t="shared" si="21"/>
        <v>0</v>
      </c>
      <c r="X146" s="212">
        <f>IF($B146="Яйцо (шт)",SUMIF(Меню!$J$8:$EZ$8,$B146,Меню!$J$208:$EZ$208)*Обложка!$L$15/60,SUMIF(Меню!$J$8:$EZ$8,$B146,Меню!$J$208:$EZ$208)/1000*Обложка!$L$15)</f>
        <v>0</v>
      </c>
      <c r="Y146" s="212">
        <f>IF($B146="Яйцо (шт)",SUMIF(Меню!$J$8:$EZ$8,$B146,Меню!$J$223:$EZ$223)*Обложка!$L$16/60,SUMIF(Меню!$J$8:$EZ$8,$B146,Меню!$J$223:$EZ$223)/1000*Обложка!$J$16)</f>
        <v>0</v>
      </c>
      <c r="Z146" s="212">
        <f>IF($B146="Яйцо (шт)",SUMIF(Меню!$J$8:$EZ$8,$B146,Меню!$J$236:$EZ$236)*Обложка!$L$17/60,SUMIF(Меню!$J$8:$EZ$8,$B146,Меню!$J$236:$EZ$236)/1000*Обложка!$L$17)</f>
        <v>0</v>
      </c>
      <c r="AA146" s="212">
        <f>IF($B146="Яйцо (шт)",SUMIF(Меню!$J$8:$EZ$8,$B146,Меню!$J$241:$EZ$241)*Обложка!$L$18/60,SUMIF(Меню!$J$8:$EZ$8,$B146,Меню!$J$241:$EZ$241)/1000*Обложка!$L$18)</f>
        <v>0</v>
      </c>
      <c r="AB146" s="685">
        <f t="shared" si="22"/>
        <v>0</v>
      </c>
      <c r="AC146" s="212">
        <f>IF($B146="Яйцо (шт)",SUMIF(Меню!$J$8:$EZ$8,$B146,Меню!$J$253:$EZ$253)*Обложка!$N$15/60,SUMIF(Меню!$J$8:$EZ$8,$B146,Меню!$J$253:$EZ$253)/1000*Обложка!$N$15)</f>
        <v>0</v>
      </c>
      <c r="AD146" s="212">
        <f>IF($B146="Яйцо (шт)",SUMIF(Меню!$J$8:$EZ$8,$B146,Меню!$J$268:$EZ$268)*Обложка!$N$16/60,SUMIF(Меню!$J$8:$EZ$8,$B146,Меню!$J$268:$EZ$268)/1000*Обложка!$N$16)</f>
        <v>0</v>
      </c>
      <c r="AE146" s="212">
        <f>IF($B146="Яйцо (шт)",SUMIF(Меню!$J$8:$EZ$8,$B146,Меню!$J$281:$EZ$281)*Обложка!$N$17/60,SUMIF(Меню!$J$8:$EZ$8,$B146,Меню!$J$281:$EZ$281)/1000*Обложка!$N$17)</f>
        <v>0</v>
      </c>
      <c r="AF146" s="212">
        <f>IF($B146="Яйцо (шт)",SUMIF(Меню!$J$8:$EZ$8,$B146,Меню!$J$286:$EZ$286)*Обложка!$N$18/60,SUMIF(Меню!$J$8:$EZ$8,$B146,Меню!$J$286:$EZ$286)/1000*Обложка!$N$18)</f>
        <v>0</v>
      </c>
      <c r="AG146" s="685">
        <f t="shared" si="23"/>
        <v>0</v>
      </c>
      <c r="AH146" s="212">
        <f>IF($B146="Яйцо (шт)",SUMIF(Меню!$J$8:$EZ$8,$B146,Меню!$J$298:$EZ$298)*Обложка!$P$15/60,SUMIF(Меню!$J$8:$EZ$8,$B146,Меню!$J$298:$EZ$298)/1000*Обложка!$P$15)</f>
        <v>0</v>
      </c>
      <c r="AI146" s="212">
        <f>IF($B146="Яйцо (шт)",SUMIF(Меню!$J$8:$EZ$8,$BB146,Меню!$J$313:$EZ$313)*Обложка!$P$16/60,SUMIF(Меню!$J$8:$EZ$8,$B146,Меню!$J$313:$EZ$313)/1000*Обложка!$P$16)</f>
        <v>0</v>
      </c>
      <c r="AJ146" s="212">
        <f>IF($B146="Яйцо (шт)",SUMIF(Меню!$J$8:$EZ$8,$B146,Меню!$J$326:$EZ$326)*Обложка!$P$17/60,SUMIF(Меню!$J$8:$EZ$8,$B146,Меню!$J$326:$EZ$326)/1000*Обложка!$P$17)</f>
        <v>0</v>
      </c>
      <c r="AK146" s="212">
        <f>IF($B146="Яйцо (шт)",SUMIF(Меню!$J$8:$EZ$8,$B146,Меню!$J$331:$EZ$331)*Обложка!$P$18/60,SUMIF(Меню!$J$8:$EZ$8,$B146,Меню!$J$331:$EZ$331)/1000*Обложка!$P$18)</f>
        <v>0</v>
      </c>
      <c r="AL146" s="699">
        <f t="shared" si="24"/>
        <v>0</v>
      </c>
      <c r="AM146" s="685">
        <f t="shared" si="25"/>
        <v>0</v>
      </c>
    </row>
    <row r="147" spans="1:39" x14ac:dyDescent="0.25">
      <c r="A147" s="249">
        <f t="shared" si="26"/>
        <v>135</v>
      </c>
      <c r="B147" s="248" t="str">
        <f>инфо!D136</f>
        <v>Прочие 2</v>
      </c>
      <c r="C147" s="694">
        <f>SUMIF(Меню!$J$8:$FD$8,$B147,Меню!$J$333:$FD$333)</f>
        <v>0</v>
      </c>
      <c r="D147" s="212">
        <f>IF($B147="Яйцо (шт)",SUMIF(Меню!$J$8:$FD$8,$B147,Меню!$J$28:$FD$28)*Обложка!$D$15/60,SUMIF(Меню!$J$8:$FD$8,$B147,Меню!$J$28:$FD$28)/1000*Обложка!$D$15)</f>
        <v>0</v>
      </c>
      <c r="E147" s="212">
        <f>IF($B147="Яйцо (шт)",SUMIF(Меню!$J$8:$FD$8,$B147,Меню!$J$43:$FD$43)*Обложка!$D$16/60,SUMIF(Меню!$J$8:$FD$8,$B147,Меню!$J$43:$FD$43)/1000*Обложка!$D$16)</f>
        <v>0</v>
      </c>
      <c r="F147" s="212">
        <f>IF($B147="Яйцо (шт)",SUMIF(Меню!$J$8:$FD$8,$B147,Меню!$J$56:$FD$56)*Обложка!$D$17/60,SUMIF(Меню!$J$8:$FD$8,$B147,Меню!$J$56:$FD$56)/1000*Обложка!$D$17)</f>
        <v>0</v>
      </c>
      <c r="G147" s="212">
        <f>IF($B147="Яйцо (шт)",SUMIF(Меню!$J$8:$FD$8,$B147,Меню!$J$61:$FD$61)*Обложка!$D$18/60,SUMIF(Меню!$J$8:$FD$8,$B147,Меню!$J$61:$FD$61)/1000*Обложка!$D$18)</f>
        <v>0</v>
      </c>
      <c r="H147" s="685">
        <f t="shared" si="18"/>
        <v>0</v>
      </c>
      <c r="I147" s="212">
        <f>IF($B147="Яйцо (шт)",SUMIF(Меню!$J$8:$FD$8,$B147,Меню!$J$73:$FD$73)*Обложка!$F$15/60,SUMIF(Меню!$J$8:$FD$8,$B147,Меню!$J$73:$FD$73)/1000*Обложка!$F$15)</f>
        <v>0</v>
      </c>
      <c r="J147" s="212">
        <f>IF($B147="Яйцо (шт)",SUMIF(Меню!$J$8:$FD$8,$B147,Меню!$J$88:$FD$88)*Обложка!$F$16/60,SUMIF(Меню!$J$8:$FD$8,$B147,Меню!$J$88:$FD$88)/1000*Обложка!$G$16)</f>
        <v>0</v>
      </c>
      <c r="K147" s="212">
        <f>IF($B147="Яйцо (шт)",SUMIF(Меню!$J$8:$FD$8,$B147,Меню!$J$101:$FD$101)*Обложка!$F$17/60,SUMIF(Меню!$J$8:$FD$8,$B147,Меню!$J$101:$FD$101)/1000*Обложка!$F$17)</f>
        <v>0</v>
      </c>
      <c r="L147" s="212">
        <f>IF($B147="Яйцо (шт)",SUMIF(Меню!$J$8:$FD$8,$B147,Меню!$J$106:$FD$106)*Обложка!$F$18/60,SUMIF(Меню!$J$8:$FD$8,$B147,Меню!$J$106:$FD$106)/1000*Обложка!$F$18)</f>
        <v>0</v>
      </c>
      <c r="M147" s="685">
        <f t="shared" si="19"/>
        <v>0</v>
      </c>
      <c r="N147" s="212">
        <f>IF($B147="Яйцо (шт)",SUMIF(Меню!$J$8:$EZ$8,$B147,Меню!$J$118:$EZ$118)*Обложка!$H$15/60,SUMIF(Меню!$J$8:$EZ$8,$B147,Меню!$J$118:$EZ$118)/1000*Обложка!$H$15)</f>
        <v>0</v>
      </c>
      <c r="O147" s="212">
        <f>IF($B147="Яйцо (шт)",SUMIF(Меню!$J$8:$EZ$8,$B147,Меню!$J$133:$EZ$133)*Обложка!$H$16/60,SUMIF(Меню!$J$8:$EZ$8,$B147,Меню!$J$133:$EZ$133)/1000*Обложка!$H$16)</f>
        <v>0</v>
      </c>
      <c r="P147" s="212">
        <f>IF($B147="Яйцо (шт)",SUMIF(Меню!$J$8:$EZ$8,$B147,Меню!$J$146:$EZ$146)*Обложка!$H$17/60,SUMIF(Меню!$J$8:$EZ$8,$B147,Меню!$J$146:$EZ$146)/1000*Обложка!$H$17)</f>
        <v>0</v>
      </c>
      <c r="Q147" s="212">
        <f>IF($B147="Яйцо (шт)",SUMIF(Меню!$J$8:$EZ$8,$B147,Меню!$J$151:$EZ$151)*Обложка!$H$18/60,SUMIF(Меню!$J$8:$EZ$8,$B147,Меню!$J$151:$EZ$151)/1000*Обложка!$H$18)</f>
        <v>0</v>
      </c>
      <c r="R147" s="685">
        <f t="shared" si="20"/>
        <v>0</v>
      </c>
      <c r="S147" s="212">
        <f>IF($B147="Яйцо (шт)",SUMIF(Меню!$J$8:$EZ$8,$B147,Меню!$J$163:$EZ$163)*Обложка!$J$15/60,SUMIF(Меню!$J$8:$EZ$8,$B147,Меню!$J$163:$EZ$163)/1000*Обложка!$J$15)</f>
        <v>0</v>
      </c>
      <c r="T147" s="212">
        <f>IF($B147="Яйцо (шт)",SUMIF(Меню!$J$8:$EZ$8,$B147,Меню!$J$178:$EZ$178)*Обложка!$J$16/60,SUMIF(Меню!$J$8:$EZ$8,$B147,Меню!$J$178:$EZ$178)/1000*Обложка!$J$16)</f>
        <v>0</v>
      </c>
      <c r="U147" s="212">
        <f>IF($B147="Яйцо (шт)",SUMIF(Меню!$J$8:$EZ$8,$B147,Меню!$J$191:$EZ$191)*Обложка!$J$17/60,SUMIF(Меню!$J$8:$EZ$8,$B147,Меню!$J$191:$EZ$191)/1000*Обложка!$J$17)</f>
        <v>0</v>
      </c>
      <c r="V147" s="212">
        <f>IF($B147="Яйцо (шт)",SUMIF(Меню!$J$8:$EZ$8,$B147,Меню!$J$196:$EZ$196)*Обложка!$J$18/60,SUMIF(Меню!$J$8:$EZ$8,$B147,Меню!$J$196:$EZ$196)/1000*Обложка!$J$18)</f>
        <v>0</v>
      </c>
      <c r="W147" s="685">
        <f t="shared" si="21"/>
        <v>0</v>
      </c>
      <c r="X147" s="212">
        <f>IF($B147="Яйцо (шт)",SUMIF(Меню!$J$8:$EZ$8,$B147,Меню!$J$208:$EZ$208)*Обложка!$L$15/60,SUMIF(Меню!$J$8:$EZ$8,$B147,Меню!$J$208:$EZ$208)/1000*Обложка!$L$15)</f>
        <v>0</v>
      </c>
      <c r="Y147" s="212">
        <f>IF($B147="Яйцо (шт)",SUMIF(Меню!$J$8:$EZ$8,$B147,Меню!$J$223:$EZ$223)*Обложка!$L$16/60,SUMIF(Меню!$J$8:$EZ$8,$B147,Меню!$J$223:$EZ$223)/1000*Обложка!$J$16)</f>
        <v>0</v>
      </c>
      <c r="Z147" s="212">
        <f>IF($B147="Яйцо (шт)",SUMIF(Меню!$J$8:$EZ$8,$B147,Меню!$J$236:$EZ$236)*Обложка!$L$17/60,SUMIF(Меню!$J$8:$EZ$8,$B147,Меню!$J$236:$EZ$236)/1000*Обложка!$L$17)</f>
        <v>0</v>
      </c>
      <c r="AA147" s="212">
        <f>IF($B147="Яйцо (шт)",SUMIF(Меню!$J$8:$EZ$8,$B147,Меню!$J$241:$EZ$241)*Обложка!$L$18/60,SUMIF(Меню!$J$8:$EZ$8,$B147,Меню!$J$241:$EZ$241)/1000*Обложка!$L$18)</f>
        <v>0</v>
      </c>
      <c r="AB147" s="685">
        <f t="shared" si="22"/>
        <v>0</v>
      </c>
      <c r="AC147" s="212">
        <f>IF($B147="Яйцо (шт)",SUMIF(Меню!$J$8:$EZ$8,$B147,Меню!$J$253:$EZ$253)*Обложка!$N$15/60,SUMIF(Меню!$J$8:$EZ$8,$B147,Меню!$J$253:$EZ$253)/1000*Обложка!$N$15)</f>
        <v>0</v>
      </c>
      <c r="AD147" s="212">
        <f>IF($B147="Яйцо (шт)",SUMIF(Меню!$J$8:$EZ$8,$B147,Меню!$J$268:$EZ$268)*Обложка!$N$16/60,SUMIF(Меню!$J$8:$EZ$8,$B147,Меню!$J$268:$EZ$268)/1000*Обложка!$N$16)</f>
        <v>0</v>
      </c>
      <c r="AE147" s="212">
        <f>IF($B147="Яйцо (шт)",SUMIF(Меню!$J$8:$EZ$8,$B147,Меню!$J$281:$EZ$281)*Обложка!$N$17/60,SUMIF(Меню!$J$8:$EZ$8,$B147,Меню!$J$281:$EZ$281)/1000*Обложка!$N$17)</f>
        <v>0</v>
      </c>
      <c r="AF147" s="212">
        <f>IF($B147="Яйцо (шт)",SUMIF(Меню!$J$8:$EZ$8,$B147,Меню!$J$286:$EZ$286)*Обложка!$N$18/60,SUMIF(Меню!$J$8:$EZ$8,$B147,Меню!$J$286:$EZ$286)/1000*Обложка!$N$18)</f>
        <v>0</v>
      </c>
      <c r="AG147" s="685">
        <f t="shared" si="23"/>
        <v>0</v>
      </c>
      <c r="AH147" s="212">
        <f>IF($B147="Яйцо (шт)",SUMIF(Меню!$J$8:$EZ$8,$B147,Меню!$J$298:$EZ$298)*Обложка!$P$15/60,SUMIF(Меню!$J$8:$EZ$8,$B147,Меню!$J$298:$EZ$298)/1000*Обложка!$P$15)</f>
        <v>0</v>
      </c>
      <c r="AI147" s="212">
        <f>IF($B147="Яйцо (шт)",SUMIF(Меню!$J$8:$EZ$8,$BB147,Меню!$J$313:$EZ$313)*Обложка!$P$16/60,SUMIF(Меню!$J$8:$EZ$8,$B147,Меню!$J$313:$EZ$313)/1000*Обложка!$P$16)</f>
        <v>0</v>
      </c>
      <c r="AJ147" s="212">
        <f>IF($B147="Яйцо (шт)",SUMIF(Меню!$J$8:$EZ$8,$B147,Меню!$J$326:$EZ$326)*Обложка!$P$17/60,SUMIF(Меню!$J$8:$EZ$8,$B147,Меню!$J$326:$EZ$326)/1000*Обложка!$P$17)</f>
        <v>0</v>
      </c>
      <c r="AK147" s="212">
        <f>IF($B147="Яйцо (шт)",SUMIF(Меню!$J$8:$EZ$8,$B147,Меню!$J$331:$EZ$331)*Обложка!$P$18/60,SUMIF(Меню!$J$8:$EZ$8,$B147,Меню!$J$331:$EZ$331)/1000*Обложка!$P$18)</f>
        <v>0</v>
      </c>
      <c r="AL147" s="699">
        <f t="shared" si="24"/>
        <v>0</v>
      </c>
      <c r="AM147" s="685">
        <f t="shared" si="25"/>
        <v>0</v>
      </c>
    </row>
    <row r="148" spans="1:39" x14ac:dyDescent="0.25">
      <c r="A148" s="249">
        <f t="shared" si="26"/>
        <v>136</v>
      </c>
      <c r="B148" s="248" t="str">
        <f>инфо!D137</f>
        <v>Карамель</v>
      </c>
      <c r="C148" s="694">
        <f>SUMIF(Меню!$J$8:$FD$8,$B148,Меню!$J$333:$FD$333)</f>
        <v>160</v>
      </c>
      <c r="D148" s="212">
        <f>IF($B148="Яйцо (шт)",SUMIF(Меню!$J$8:$FD$8,$B148,Меню!$J$28:$FD$28)*Обложка!$D$15/60,SUMIF(Меню!$J$8:$FD$8,$B148,Меню!$J$28:$FD$28)/1000*Обложка!$D$15)</f>
        <v>0</v>
      </c>
      <c r="E148" s="212">
        <f>IF($B148="Яйцо (шт)",SUMIF(Меню!$J$8:$FD$8,$B148,Меню!$J$43:$FD$43)*Обложка!$D$16/60,SUMIF(Меню!$J$8:$FD$8,$B148,Меню!$J$43:$FD$43)/1000*Обложка!$D$16)</f>
        <v>2.44</v>
      </c>
      <c r="F148" s="212">
        <f>IF($B148="Яйцо (шт)",SUMIF(Меню!$J$8:$FD$8,$B148,Меню!$J$56:$FD$56)*Обложка!$D$17/60,SUMIF(Меню!$J$8:$FD$8,$B148,Меню!$J$56:$FD$56)/1000*Обложка!$D$17)</f>
        <v>0</v>
      </c>
      <c r="G148" s="212">
        <f>IF($B148="Яйцо (шт)",SUMIF(Меню!$J$8:$FD$8,$B148,Меню!$J$61:$FD$61)*Обложка!$D$18/60,SUMIF(Меню!$J$8:$FD$8,$B148,Меню!$J$61:$FD$61)/1000*Обложка!$D$18)</f>
        <v>0</v>
      </c>
      <c r="H148" s="685">
        <f t="shared" si="18"/>
        <v>2.44</v>
      </c>
      <c r="I148" s="212">
        <f>IF($B148="Яйцо (шт)",SUMIF(Меню!$J$8:$FD$8,$B148,Меню!$J$73:$FD$73)*Обложка!$F$15/60,SUMIF(Меню!$J$8:$FD$8,$B148,Меню!$J$73:$FD$73)/1000*Обложка!$F$15)</f>
        <v>0</v>
      </c>
      <c r="J148" s="212">
        <f>IF($B148="Яйцо (шт)",SUMIF(Меню!$J$8:$FD$8,$B148,Меню!$J$88:$FD$88)*Обложка!$F$16/60,SUMIF(Меню!$J$8:$FD$8,$B148,Меню!$J$88:$FD$88)/1000*Обложка!$G$16)</f>
        <v>0.44</v>
      </c>
      <c r="K148" s="212">
        <f>IF($B148="Яйцо (шт)",SUMIF(Меню!$J$8:$FD$8,$B148,Меню!$J$101:$FD$101)*Обложка!$F$17/60,SUMIF(Меню!$J$8:$FD$8,$B148,Меню!$J$101:$FD$101)/1000*Обложка!$F$17)</f>
        <v>0</v>
      </c>
      <c r="L148" s="212">
        <f>IF($B148="Яйцо (шт)",SUMIF(Меню!$J$8:$FD$8,$B148,Меню!$J$106:$FD$106)*Обложка!$F$18/60,SUMIF(Меню!$J$8:$FD$8,$B148,Меню!$J$106:$FD$106)/1000*Обложка!$F$18)</f>
        <v>0</v>
      </c>
      <c r="M148" s="685">
        <f t="shared" si="19"/>
        <v>0.44</v>
      </c>
      <c r="N148" s="212">
        <f>IF($B148="Яйцо (шт)",SUMIF(Меню!$J$8:$EZ$8,$B148,Меню!$J$118:$EZ$118)*Обложка!$H$15/60,SUMIF(Меню!$J$8:$EZ$8,$B148,Меню!$J$118:$EZ$118)/1000*Обложка!$H$15)</f>
        <v>0</v>
      </c>
      <c r="O148" s="212">
        <f>IF($B148="Яйцо (шт)",SUMIF(Меню!$J$8:$EZ$8,$B148,Меню!$J$133:$EZ$133)*Обложка!$H$16/60,SUMIF(Меню!$J$8:$EZ$8,$B148,Меню!$J$133:$EZ$133)/1000*Обложка!$H$16)</f>
        <v>2.3000000000000003</v>
      </c>
      <c r="P148" s="212">
        <f>IF($B148="Яйцо (шт)",SUMIF(Меню!$J$8:$EZ$8,$B148,Меню!$J$146:$EZ$146)*Обложка!$H$17/60,SUMIF(Меню!$J$8:$EZ$8,$B148,Меню!$J$146:$EZ$146)/1000*Обложка!$H$17)</f>
        <v>0</v>
      </c>
      <c r="Q148" s="212">
        <f>IF($B148="Яйцо (шт)",SUMIF(Меню!$J$8:$EZ$8,$B148,Меню!$J$151:$EZ$151)*Обложка!$H$18/60,SUMIF(Меню!$J$8:$EZ$8,$B148,Меню!$J$151:$EZ$151)/1000*Обложка!$H$18)</f>
        <v>0</v>
      </c>
      <c r="R148" s="685">
        <f t="shared" si="20"/>
        <v>2.3000000000000003</v>
      </c>
      <c r="S148" s="212">
        <f>IF($B148="Яйцо (шт)",SUMIF(Меню!$J$8:$EZ$8,$B148,Меню!$J$163:$EZ$163)*Обложка!$J$15/60,SUMIF(Меню!$J$8:$EZ$8,$B148,Меню!$J$163:$EZ$163)/1000*Обложка!$J$15)</f>
        <v>0</v>
      </c>
      <c r="T148" s="212">
        <f>IF($B148="Яйцо (шт)",SUMIF(Меню!$J$8:$EZ$8,$B148,Меню!$J$178:$EZ$178)*Обложка!$J$16/60,SUMIF(Меню!$J$8:$EZ$8,$B148,Меню!$J$178:$EZ$178)/1000*Обложка!$J$16)</f>
        <v>2</v>
      </c>
      <c r="U148" s="212">
        <f>IF($B148="Яйцо (шт)",SUMIF(Меню!$J$8:$EZ$8,$B148,Меню!$J$191:$EZ$191)*Обложка!$J$17/60,SUMIF(Меню!$J$8:$EZ$8,$B148,Меню!$J$191:$EZ$191)/1000*Обложка!$J$17)</f>
        <v>0</v>
      </c>
      <c r="V148" s="212">
        <f>IF($B148="Яйцо (шт)",SUMIF(Меню!$J$8:$EZ$8,$B148,Меню!$J$196:$EZ$196)*Обложка!$J$18/60,SUMIF(Меню!$J$8:$EZ$8,$B148,Меню!$J$196:$EZ$196)/1000*Обложка!$J$18)</f>
        <v>0</v>
      </c>
      <c r="W148" s="685">
        <f t="shared" si="21"/>
        <v>2</v>
      </c>
      <c r="X148" s="212">
        <f>IF($B148="Яйцо (шт)",SUMIF(Меню!$J$8:$EZ$8,$B148,Меню!$J$208:$EZ$208)*Обложка!$L$15/60,SUMIF(Меню!$J$8:$EZ$8,$B148,Меню!$J$208:$EZ$208)/1000*Обложка!$L$15)</f>
        <v>0</v>
      </c>
      <c r="Y148" s="212">
        <f>IF($B148="Яйцо (шт)",SUMIF(Меню!$J$8:$EZ$8,$B148,Меню!$J$223:$EZ$223)*Обложка!$L$16/60,SUMIF(Меню!$J$8:$EZ$8,$B148,Меню!$J$223:$EZ$223)/1000*Обложка!$J$16)</f>
        <v>2</v>
      </c>
      <c r="Z148" s="212">
        <f>IF($B148="Яйцо (шт)",SUMIF(Меню!$J$8:$EZ$8,$B148,Меню!$J$236:$EZ$236)*Обложка!$L$17/60,SUMIF(Меню!$J$8:$EZ$8,$B148,Меню!$J$236:$EZ$236)/1000*Обложка!$L$17)</f>
        <v>0</v>
      </c>
      <c r="AA148" s="212">
        <f>IF($B148="Яйцо (шт)",SUMIF(Меню!$J$8:$EZ$8,$B148,Меню!$J$241:$EZ$241)*Обложка!$L$18/60,SUMIF(Меню!$J$8:$EZ$8,$B148,Меню!$J$241:$EZ$241)/1000*Обложка!$L$18)</f>
        <v>0</v>
      </c>
      <c r="AB148" s="685">
        <f t="shared" si="22"/>
        <v>2</v>
      </c>
      <c r="AC148" s="212">
        <f>IF($B148="Яйцо (шт)",SUMIF(Меню!$J$8:$EZ$8,$B148,Меню!$J$253:$EZ$253)*Обложка!$N$15/60,SUMIF(Меню!$J$8:$EZ$8,$B148,Меню!$J$253:$EZ$253)/1000*Обложка!$N$15)</f>
        <v>0</v>
      </c>
      <c r="AD148" s="212">
        <f>IF($B148="Яйцо (шт)",SUMIF(Меню!$J$8:$EZ$8,$B148,Меню!$J$268:$EZ$268)*Обложка!$N$16/60,SUMIF(Меню!$J$8:$EZ$8,$B148,Меню!$J$268:$EZ$268)/1000*Обложка!$N$16)</f>
        <v>0.9</v>
      </c>
      <c r="AE148" s="212">
        <f>IF($B148="Яйцо (шт)",SUMIF(Меню!$J$8:$EZ$8,$B148,Меню!$J$281:$EZ$281)*Обложка!$N$17/60,SUMIF(Меню!$J$8:$EZ$8,$B148,Меню!$J$281:$EZ$281)/1000*Обложка!$N$17)</f>
        <v>0.9</v>
      </c>
      <c r="AF148" s="212">
        <f>IF($B148="Яйцо (шт)",SUMIF(Меню!$J$8:$EZ$8,$B148,Меню!$J$286:$EZ$286)*Обложка!$N$18/60,SUMIF(Меню!$J$8:$EZ$8,$B148,Меню!$J$286:$EZ$286)/1000*Обложка!$N$18)</f>
        <v>0</v>
      </c>
      <c r="AG148" s="685">
        <f t="shared" si="23"/>
        <v>1.8</v>
      </c>
      <c r="AH148" s="212">
        <f>IF($B148="Яйцо (шт)",SUMIF(Меню!$J$8:$EZ$8,$B148,Меню!$J$298:$EZ$298)*Обложка!$P$15/60,SUMIF(Меню!$J$8:$EZ$8,$B148,Меню!$J$298:$EZ$298)/1000*Обложка!$P$15)</f>
        <v>0</v>
      </c>
      <c r="AI148" s="212">
        <f>IF($B148="Яйцо (шт)",SUMIF(Меню!$J$8:$EZ$8,$BB148,Меню!$J$313:$EZ$313)*Обложка!$P$16/60,SUMIF(Меню!$J$8:$EZ$8,$B148,Меню!$J$313:$EZ$313)/1000*Обложка!$P$16)</f>
        <v>0.5</v>
      </c>
      <c r="AJ148" s="212">
        <f>IF($B148="Яйцо (шт)",SUMIF(Меню!$J$8:$EZ$8,$B148,Меню!$J$326:$EZ$326)*Обложка!$P$17/60,SUMIF(Меню!$J$8:$EZ$8,$B148,Меню!$J$326:$EZ$326)/1000*Обложка!$P$17)</f>
        <v>0</v>
      </c>
      <c r="AK148" s="212">
        <f>IF($B148="Яйцо (шт)",SUMIF(Меню!$J$8:$EZ$8,$B148,Меню!$J$331:$EZ$331)*Обложка!$P$18/60,SUMIF(Меню!$J$8:$EZ$8,$B148,Меню!$J$331:$EZ$331)/1000*Обложка!$P$18)</f>
        <v>0</v>
      </c>
      <c r="AL148" s="699">
        <f t="shared" si="24"/>
        <v>0.5</v>
      </c>
      <c r="AM148" s="685">
        <f t="shared" si="25"/>
        <v>11.48</v>
      </c>
    </row>
    <row r="149" spans="1:39" x14ac:dyDescent="0.25">
      <c r="A149" s="249">
        <f t="shared" si="26"/>
        <v>137</v>
      </c>
      <c r="B149" s="248" t="str">
        <f>инфо!D138</f>
        <v>Печенье</v>
      </c>
      <c r="C149" s="694">
        <f>SUMIF(Меню!$J$8:$FD$8,$B149,Меню!$J$333:$FD$333)</f>
        <v>240</v>
      </c>
      <c r="D149" s="212">
        <f>IF($B149="Яйцо (шт)",SUMIF(Меню!$J$8:$FD$8,$B149,Меню!$J$28:$FD$28)*Обложка!$D$15/60,SUMIF(Меню!$J$8:$FD$8,$B149,Меню!$J$28:$FD$28)/1000*Обложка!$D$15)</f>
        <v>0</v>
      </c>
      <c r="E149" s="212">
        <f>IF($B149="Яйцо (шт)",SUMIF(Меню!$J$8:$FD$8,$B149,Меню!$J$43:$FD$43)*Обложка!$D$16/60,SUMIF(Меню!$J$8:$FD$8,$B149,Меню!$J$43:$FD$43)/1000*Обложка!$D$16)</f>
        <v>0</v>
      </c>
      <c r="F149" s="212">
        <f>IF($B149="Яйцо (шт)",SUMIF(Меню!$J$8:$FD$8,$B149,Меню!$J$56:$FD$56)*Обложка!$D$17/60,SUMIF(Меню!$J$8:$FD$8,$B149,Меню!$J$56:$FD$56)/1000*Обложка!$D$17)</f>
        <v>0</v>
      </c>
      <c r="G149" s="212">
        <f>IF($B149="Яйцо (шт)",SUMIF(Меню!$J$8:$FD$8,$B149,Меню!$J$61:$FD$61)*Обложка!$D$18/60,SUMIF(Меню!$J$8:$FD$8,$B149,Меню!$J$61:$FD$61)/1000*Обложка!$D$18)</f>
        <v>7.3199999999999994</v>
      </c>
      <c r="H149" s="685">
        <f t="shared" si="18"/>
        <v>7.3199999999999994</v>
      </c>
      <c r="I149" s="212">
        <f>IF($B149="Яйцо (шт)",SUMIF(Меню!$J$8:$FD$8,$B149,Меню!$J$73:$FD$73)*Обложка!$F$15/60,SUMIF(Меню!$J$8:$FD$8,$B149,Меню!$J$73:$FD$73)/1000*Обложка!$F$15)</f>
        <v>0</v>
      </c>
      <c r="J149" s="212">
        <f>IF($B149="Яйцо (шт)",SUMIF(Меню!$J$8:$FD$8,$B149,Меню!$J$88:$FD$88)*Обложка!$F$16/60,SUMIF(Меню!$J$8:$FD$8,$B149,Меню!$J$88:$FD$88)/1000*Обложка!$G$16)</f>
        <v>0</v>
      </c>
      <c r="K149" s="212">
        <f>IF($B149="Яйцо (шт)",SUMIF(Меню!$J$8:$FD$8,$B149,Меню!$J$101:$FD$101)*Обложка!$F$17/60,SUMIF(Меню!$J$8:$FD$8,$B149,Меню!$J$101:$FD$101)/1000*Обложка!$F$17)</f>
        <v>0</v>
      </c>
      <c r="L149" s="212">
        <f>IF($B149="Яйцо (шт)",SUMIF(Меню!$J$8:$FD$8,$B149,Меню!$J$106:$FD$106)*Обложка!$F$18/60,SUMIF(Меню!$J$8:$FD$8,$B149,Меню!$J$106:$FD$106)/1000*Обложка!$F$18)</f>
        <v>0</v>
      </c>
      <c r="M149" s="685">
        <f t="shared" si="19"/>
        <v>0</v>
      </c>
      <c r="N149" s="212">
        <f>IF($B149="Яйцо (шт)",SUMIF(Меню!$J$8:$EZ$8,$B149,Меню!$J$118:$EZ$118)*Обложка!$H$15/60,SUMIF(Меню!$J$8:$EZ$8,$B149,Меню!$J$118:$EZ$118)/1000*Обложка!$H$15)</f>
        <v>0</v>
      </c>
      <c r="O149" s="212">
        <f>IF($B149="Яйцо (шт)",SUMIF(Меню!$J$8:$EZ$8,$B149,Меню!$J$133:$EZ$133)*Обложка!$H$16/60,SUMIF(Меню!$J$8:$EZ$8,$B149,Меню!$J$133:$EZ$133)/1000*Обложка!$H$16)</f>
        <v>0</v>
      </c>
      <c r="P149" s="212">
        <f>IF($B149="Яйцо (шт)",SUMIF(Меню!$J$8:$EZ$8,$B149,Меню!$J$146:$EZ$146)*Обложка!$H$17/60,SUMIF(Меню!$J$8:$EZ$8,$B149,Меню!$J$146:$EZ$146)/1000*Обложка!$H$17)</f>
        <v>0</v>
      </c>
      <c r="Q149" s="212">
        <f>IF($B149="Яйцо (шт)",SUMIF(Меню!$J$8:$EZ$8,$B149,Меню!$J$151:$EZ$151)*Обложка!$H$18/60,SUMIF(Меню!$J$8:$EZ$8,$B149,Меню!$J$151:$EZ$151)/1000*Обложка!$H$18)</f>
        <v>6.8999999999999995</v>
      </c>
      <c r="R149" s="685">
        <f t="shared" si="20"/>
        <v>6.8999999999999995</v>
      </c>
      <c r="S149" s="212">
        <f>IF($B149="Яйцо (шт)",SUMIF(Меню!$J$8:$EZ$8,$B149,Меню!$J$163:$EZ$163)*Обложка!$J$15/60,SUMIF(Меню!$J$8:$EZ$8,$B149,Меню!$J$163:$EZ$163)/1000*Обложка!$J$15)</f>
        <v>0</v>
      </c>
      <c r="T149" s="212">
        <f>IF($B149="Яйцо (шт)",SUMIF(Меню!$J$8:$EZ$8,$B149,Меню!$J$178:$EZ$178)*Обложка!$J$16/60,SUMIF(Меню!$J$8:$EZ$8,$B149,Меню!$J$178:$EZ$178)/1000*Обложка!$J$16)</f>
        <v>0</v>
      </c>
      <c r="U149" s="212">
        <f>IF($B149="Яйцо (шт)",SUMIF(Меню!$J$8:$EZ$8,$B149,Меню!$J$191:$EZ$191)*Обложка!$J$17/60,SUMIF(Меню!$J$8:$EZ$8,$B149,Меню!$J$191:$EZ$191)/1000*Обложка!$J$17)</f>
        <v>0</v>
      </c>
      <c r="V149" s="212">
        <f>IF($B149="Яйцо (шт)",SUMIF(Меню!$J$8:$EZ$8,$B149,Меню!$J$196:$EZ$196)*Обложка!$J$18/60,SUMIF(Меню!$J$8:$EZ$8,$B149,Меню!$J$196:$EZ$196)/1000*Обложка!$J$18)</f>
        <v>0</v>
      </c>
      <c r="W149" s="685">
        <f t="shared" si="21"/>
        <v>0</v>
      </c>
      <c r="X149" s="212">
        <f>IF($B149="Яйцо (шт)",SUMIF(Меню!$J$8:$EZ$8,$B149,Меню!$J$208:$EZ$208)*Обложка!$L$15/60,SUMIF(Меню!$J$8:$EZ$8,$B149,Меню!$J$208:$EZ$208)/1000*Обложка!$L$15)</f>
        <v>0</v>
      </c>
      <c r="Y149" s="212">
        <f>IF($B149="Яйцо (шт)",SUMIF(Меню!$J$8:$EZ$8,$B149,Меню!$J$223:$EZ$223)*Обложка!$L$16/60,SUMIF(Меню!$J$8:$EZ$8,$B149,Меню!$J$223:$EZ$223)/1000*Обложка!$J$16)</f>
        <v>0</v>
      </c>
      <c r="Z149" s="212">
        <f>IF($B149="Яйцо (шт)",SUMIF(Меню!$J$8:$EZ$8,$B149,Меню!$J$236:$EZ$236)*Обложка!$L$17/60,SUMIF(Меню!$J$8:$EZ$8,$B149,Меню!$J$236:$EZ$236)/1000*Обложка!$L$17)</f>
        <v>0</v>
      </c>
      <c r="AA149" s="212">
        <f>IF($B149="Яйцо (шт)",SUMIF(Меню!$J$8:$EZ$8,$B149,Меню!$J$241:$EZ$241)*Обложка!$L$18/60,SUMIF(Меню!$J$8:$EZ$8,$B149,Меню!$J$241:$EZ$241)/1000*Обложка!$L$18)</f>
        <v>2.1</v>
      </c>
      <c r="AB149" s="685">
        <f t="shared" si="22"/>
        <v>2.1</v>
      </c>
      <c r="AC149" s="212">
        <f>IF($B149="Яйцо (шт)",SUMIF(Меню!$J$8:$EZ$8,$B149,Меню!$J$253:$EZ$253)*Обложка!$N$15/60,SUMIF(Меню!$J$8:$EZ$8,$B149,Меню!$J$253:$EZ$253)/1000*Обложка!$N$15)</f>
        <v>0</v>
      </c>
      <c r="AD149" s="212">
        <f>IF($B149="Яйцо (шт)",SUMIF(Меню!$J$8:$EZ$8,$B149,Меню!$J$268:$EZ$268)*Обложка!$N$16/60,SUMIF(Меню!$J$8:$EZ$8,$B149,Меню!$J$268:$EZ$268)/1000*Обложка!$N$16)</f>
        <v>0</v>
      </c>
      <c r="AE149" s="212">
        <f>IF($B149="Яйцо (шт)",SUMIF(Меню!$J$8:$EZ$8,$B149,Меню!$J$281:$EZ$281)*Обложка!$N$17/60,SUMIF(Меню!$J$8:$EZ$8,$B149,Меню!$J$281:$EZ$281)/1000*Обложка!$N$17)</f>
        <v>0</v>
      </c>
      <c r="AF149" s="212">
        <f>IF($B149="Яйцо (шт)",SUMIF(Меню!$J$8:$EZ$8,$B149,Меню!$J$286:$EZ$286)*Обложка!$N$18/60,SUMIF(Меню!$J$8:$EZ$8,$B149,Меню!$J$286:$EZ$286)/1000*Обложка!$N$18)</f>
        <v>0</v>
      </c>
      <c r="AG149" s="685">
        <f t="shared" si="23"/>
        <v>0</v>
      </c>
      <c r="AH149" s="212">
        <f>IF($B149="Яйцо (шт)",SUMIF(Меню!$J$8:$EZ$8,$B149,Меню!$J$298:$EZ$298)*Обложка!$P$15/60,SUMIF(Меню!$J$8:$EZ$8,$B149,Меню!$J$298:$EZ$298)/1000*Обложка!$P$15)</f>
        <v>0</v>
      </c>
      <c r="AI149" s="212">
        <f>IF($B149="Яйцо (шт)",SUMIF(Меню!$J$8:$EZ$8,$BB149,Меню!$J$313:$EZ$313)*Обложка!$P$16/60,SUMIF(Меню!$J$8:$EZ$8,$B149,Меню!$J$313:$EZ$313)/1000*Обложка!$P$16)</f>
        <v>0</v>
      </c>
      <c r="AJ149" s="212">
        <f>IF($B149="Яйцо (шт)",SUMIF(Меню!$J$8:$EZ$8,$B149,Меню!$J$326:$EZ$326)*Обложка!$P$17/60,SUMIF(Меню!$J$8:$EZ$8,$B149,Меню!$J$326:$EZ$326)/1000*Обложка!$P$17)</f>
        <v>0</v>
      </c>
      <c r="AK149" s="212">
        <f>IF($B149="Яйцо (шт)",SUMIF(Меню!$J$8:$EZ$8,$B149,Меню!$J$331:$EZ$331)*Обложка!$P$18/60,SUMIF(Меню!$J$8:$EZ$8,$B149,Меню!$J$331:$EZ$331)/1000*Обложка!$P$18)</f>
        <v>0.24</v>
      </c>
      <c r="AL149" s="699">
        <f t="shared" si="24"/>
        <v>0.24</v>
      </c>
      <c r="AM149" s="685">
        <f t="shared" si="25"/>
        <v>16.559999999999999</v>
      </c>
    </row>
    <row r="150" spans="1:39" x14ac:dyDescent="0.25">
      <c r="A150" s="249">
        <f t="shared" si="26"/>
        <v>138</v>
      </c>
      <c r="B150" s="248" t="str">
        <f>инфо!D139</f>
        <v>Пряники</v>
      </c>
      <c r="C150" s="694">
        <f>SUMIF(Меню!$J$8:$FD$8,$B150,Меню!$J$333:$FD$333)</f>
        <v>180</v>
      </c>
      <c r="D150" s="212">
        <f>IF($B150="Яйцо (шт)",SUMIF(Меню!$J$8:$FD$8,$B150,Меню!$J$28:$FD$28)*Обложка!$D$15/60,SUMIF(Меню!$J$8:$FD$8,$B150,Меню!$J$28:$FD$28)/1000*Обложка!$D$15)</f>
        <v>0</v>
      </c>
      <c r="E150" s="212">
        <f>IF($B150="Яйцо (шт)",SUMIF(Меню!$J$8:$FD$8,$B150,Меню!$J$43:$FD$43)*Обложка!$D$16/60,SUMIF(Меню!$J$8:$FD$8,$B150,Меню!$J$43:$FD$43)/1000*Обложка!$D$16)</f>
        <v>0</v>
      </c>
      <c r="F150" s="212">
        <f>IF($B150="Яйцо (шт)",SUMIF(Меню!$J$8:$FD$8,$B150,Меню!$J$56:$FD$56)*Обложка!$D$17/60,SUMIF(Меню!$J$8:$FD$8,$B150,Меню!$J$56:$FD$56)/1000*Обложка!$D$17)</f>
        <v>0</v>
      </c>
      <c r="G150" s="212">
        <f>IF($B150="Яйцо (шт)",SUMIF(Меню!$J$8:$FD$8,$B150,Меню!$J$61:$FD$61)*Обложка!$D$18/60,SUMIF(Меню!$J$8:$FD$8,$B150,Меню!$J$61:$FD$61)/1000*Обложка!$D$18)</f>
        <v>0</v>
      </c>
      <c r="H150" s="685">
        <f t="shared" si="18"/>
        <v>0</v>
      </c>
      <c r="I150" s="212">
        <f>IF($B150="Яйцо (шт)",SUMIF(Меню!$J$8:$FD$8,$B150,Меню!$J$73:$FD$73)*Обложка!$F$15/60,SUMIF(Меню!$J$8:$FD$8,$B150,Меню!$J$73:$FD$73)/1000*Обложка!$F$15)</f>
        <v>0</v>
      </c>
      <c r="J150" s="212">
        <f>IF($B150="Яйцо (шт)",SUMIF(Меню!$J$8:$FD$8,$B150,Меню!$J$88:$FD$88)*Обложка!$F$16/60,SUMIF(Меню!$J$8:$FD$8,$B150,Меню!$J$88:$FD$88)/1000*Обложка!$G$16)</f>
        <v>0</v>
      </c>
      <c r="K150" s="212">
        <f>IF($B150="Яйцо (шт)",SUMIF(Меню!$J$8:$FD$8,$B150,Меню!$J$101:$FD$101)*Обложка!$F$17/60,SUMIF(Меню!$J$8:$FD$8,$B150,Меню!$J$101:$FD$101)/1000*Обложка!$F$17)</f>
        <v>0</v>
      </c>
      <c r="L150" s="212">
        <f>IF($B150="Яйцо (шт)",SUMIF(Меню!$J$8:$FD$8,$B150,Меню!$J$106:$FD$106)*Обложка!$F$18/60,SUMIF(Меню!$J$8:$FD$8,$B150,Меню!$J$106:$FD$106)/1000*Обложка!$F$18)</f>
        <v>7.8</v>
      </c>
      <c r="M150" s="685">
        <f t="shared" si="19"/>
        <v>7.8</v>
      </c>
      <c r="N150" s="212">
        <f>IF($B150="Яйцо (шт)",SUMIF(Меню!$J$8:$EZ$8,$B150,Меню!$J$118:$EZ$118)*Обложка!$H$15/60,SUMIF(Меню!$J$8:$EZ$8,$B150,Меню!$J$118:$EZ$118)/1000*Обложка!$H$15)</f>
        <v>0</v>
      </c>
      <c r="O150" s="212">
        <f>IF($B150="Яйцо (шт)",SUMIF(Меню!$J$8:$EZ$8,$B150,Меню!$J$133:$EZ$133)*Обложка!$H$16/60,SUMIF(Меню!$J$8:$EZ$8,$B150,Меню!$J$133:$EZ$133)/1000*Обложка!$H$16)</f>
        <v>0</v>
      </c>
      <c r="P150" s="212">
        <f>IF($B150="Яйцо (шт)",SUMIF(Меню!$J$8:$EZ$8,$B150,Меню!$J$146:$EZ$146)*Обложка!$H$17/60,SUMIF(Меню!$J$8:$EZ$8,$B150,Меню!$J$146:$EZ$146)/1000*Обложка!$H$17)</f>
        <v>0</v>
      </c>
      <c r="Q150" s="212">
        <f>IF($B150="Яйцо (шт)",SUMIF(Меню!$J$8:$EZ$8,$B150,Меню!$J$151:$EZ$151)*Обложка!$H$18/60,SUMIF(Меню!$J$8:$EZ$8,$B150,Меню!$J$151:$EZ$151)/1000*Обложка!$H$18)</f>
        <v>0</v>
      </c>
      <c r="R150" s="685">
        <f t="shared" si="20"/>
        <v>0</v>
      </c>
      <c r="S150" s="212">
        <f>IF($B150="Яйцо (шт)",SUMIF(Меню!$J$8:$EZ$8,$B150,Меню!$J$163:$EZ$163)*Обложка!$J$15/60,SUMIF(Меню!$J$8:$EZ$8,$B150,Меню!$J$163:$EZ$163)/1000*Обложка!$J$15)</f>
        <v>0</v>
      </c>
      <c r="T150" s="212">
        <f>IF($B150="Яйцо (шт)",SUMIF(Меню!$J$8:$EZ$8,$B150,Меню!$J$178:$EZ$178)*Обложка!$J$16/60,SUMIF(Меню!$J$8:$EZ$8,$B150,Меню!$J$178:$EZ$178)/1000*Обложка!$J$16)</f>
        <v>0</v>
      </c>
      <c r="U150" s="212">
        <f>IF($B150="Яйцо (шт)",SUMIF(Меню!$J$8:$EZ$8,$B150,Меню!$J$191:$EZ$191)*Обложка!$J$17/60,SUMIF(Меню!$J$8:$EZ$8,$B150,Меню!$J$191:$EZ$191)/1000*Обложка!$J$17)</f>
        <v>0</v>
      </c>
      <c r="V150" s="212">
        <f>IF($B150="Яйцо (шт)",SUMIF(Меню!$J$8:$EZ$8,$B150,Меню!$J$196:$EZ$196)*Обложка!$J$18/60,SUMIF(Меню!$J$8:$EZ$8,$B150,Меню!$J$196:$EZ$196)/1000*Обложка!$J$18)</f>
        <v>5.88</v>
      </c>
      <c r="W150" s="685">
        <f t="shared" si="21"/>
        <v>5.88</v>
      </c>
      <c r="X150" s="212">
        <f>IF($B150="Яйцо (шт)",SUMIF(Меню!$J$8:$EZ$8,$B150,Меню!$J$208:$EZ$208)*Обложка!$L$15/60,SUMIF(Меню!$J$8:$EZ$8,$B150,Меню!$J$208:$EZ$208)/1000*Обложка!$L$15)</f>
        <v>0</v>
      </c>
      <c r="Y150" s="212">
        <f>IF($B150="Яйцо (шт)",SUMIF(Меню!$J$8:$EZ$8,$B150,Меню!$J$223:$EZ$223)*Обложка!$L$16/60,SUMIF(Меню!$J$8:$EZ$8,$B150,Меню!$J$223:$EZ$223)/1000*Обложка!$J$16)</f>
        <v>0</v>
      </c>
      <c r="Z150" s="212">
        <f>IF($B150="Яйцо (шт)",SUMIF(Меню!$J$8:$EZ$8,$B150,Меню!$J$236:$EZ$236)*Обложка!$L$17/60,SUMIF(Меню!$J$8:$EZ$8,$B150,Меню!$J$236:$EZ$236)/1000*Обложка!$L$17)</f>
        <v>0</v>
      </c>
      <c r="AA150" s="212">
        <f>IF($B150="Яйцо (шт)",SUMIF(Меню!$J$8:$EZ$8,$B150,Меню!$J$241:$EZ$241)*Обложка!$L$18/60,SUMIF(Меню!$J$8:$EZ$8,$B150,Меню!$J$241:$EZ$241)/1000*Обложка!$L$18)</f>
        <v>0</v>
      </c>
      <c r="AB150" s="685">
        <f t="shared" si="22"/>
        <v>0</v>
      </c>
      <c r="AC150" s="212">
        <f>IF($B150="Яйцо (шт)",SUMIF(Меню!$J$8:$EZ$8,$B150,Меню!$J$253:$EZ$253)*Обложка!$N$15/60,SUMIF(Меню!$J$8:$EZ$8,$B150,Меню!$J$253:$EZ$253)/1000*Обложка!$N$15)</f>
        <v>0</v>
      </c>
      <c r="AD150" s="212">
        <f>IF($B150="Яйцо (шт)",SUMIF(Меню!$J$8:$EZ$8,$B150,Меню!$J$268:$EZ$268)*Обложка!$N$16/60,SUMIF(Меню!$J$8:$EZ$8,$B150,Меню!$J$268:$EZ$268)/1000*Обложка!$N$16)</f>
        <v>0</v>
      </c>
      <c r="AE150" s="212">
        <f>IF($B150="Яйцо (шт)",SUMIF(Меню!$J$8:$EZ$8,$B150,Меню!$J$281:$EZ$281)*Обложка!$N$17/60,SUMIF(Меню!$J$8:$EZ$8,$B150,Меню!$J$281:$EZ$281)/1000*Обложка!$N$17)</f>
        <v>0</v>
      </c>
      <c r="AF150" s="212">
        <f>IF($B150="Яйцо (шт)",SUMIF(Меню!$J$8:$EZ$8,$B150,Меню!$J$286:$EZ$286)*Обложка!$N$18/60,SUMIF(Меню!$J$8:$EZ$8,$B150,Меню!$J$286:$EZ$286)/1000*Обложка!$N$18)</f>
        <v>2.6999999999999997</v>
      </c>
      <c r="AG150" s="685">
        <f t="shared" si="23"/>
        <v>2.6999999999999997</v>
      </c>
      <c r="AH150" s="212">
        <f>IF($B150="Яйцо (шт)",SUMIF(Меню!$J$8:$EZ$8,$B150,Меню!$J$298:$EZ$298)*Обложка!$P$15/60,SUMIF(Меню!$J$8:$EZ$8,$B150,Меню!$J$298:$EZ$298)/1000*Обложка!$P$15)</f>
        <v>0</v>
      </c>
      <c r="AI150" s="212">
        <f>IF($B150="Яйцо (шт)",SUMIF(Меню!$J$8:$EZ$8,$BB150,Меню!$J$313:$EZ$313)*Обложка!$P$16/60,SUMIF(Меню!$J$8:$EZ$8,$B150,Меню!$J$313:$EZ$313)/1000*Обложка!$P$16)</f>
        <v>0</v>
      </c>
      <c r="AJ150" s="212">
        <f>IF($B150="Яйцо (шт)",SUMIF(Меню!$J$8:$EZ$8,$B150,Меню!$J$326:$EZ$326)*Обложка!$P$17/60,SUMIF(Меню!$J$8:$EZ$8,$B150,Меню!$J$326:$EZ$326)/1000*Обложка!$P$17)</f>
        <v>0</v>
      </c>
      <c r="AK150" s="212">
        <f>IF($B150="Яйцо (шт)",SUMIF(Меню!$J$8:$EZ$8,$B150,Меню!$J$331:$EZ$331)*Обложка!$P$18/60,SUMIF(Меню!$J$8:$EZ$8,$B150,Меню!$J$331:$EZ$331)/1000*Обложка!$P$18)</f>
        <v>0</v>
      </c>
      <c r="AL150" s="699">
        <f t="shared" si="24"/>
        <v>0</v>
      </c>
      <c r="AM150" s="685">
        <f t="shared" si="25"/>
        <v>16.38</v>
      </c>
    </row>
    <row r="151" spans="1:39" x14ac:dyDescent="0.25">
      <c r="A151" s="249">
        <f t="shared" si="26"/>
        <v>139</v>
      </c>
      <c r="B151" s="248" t="str">
        <f>инфо!D140</f>
        <v>Вафли</v>
      </c>
      <c r="C151" s="694">
        <f>SUMIF(Меню!$J$8:$FD$8,$B151,Меню!$J$333:$FD$333)</f>
        <v>0</v>
      </c>
      <c r="D151" s="212">
        <f>IF($B151="Яйцо (шт)",SUMIF(Меню!$J$8:$FD$8,$B151,Меню!$J$28:$FD$28)*Обложка!$D$15/60,SUMIF(Меню!$J$8:$FD$8,$B151,Меню!$J$28:$FD$28)/1000*Обложка!$D$15)</f>
        <v>0</v>
      </c>
      <c r="E151" s="212">
        <f>IF($B151="Яйцо (шт)",SUMIF(Меню!$J$8:$FD$8,$B151,Меню!$J$43:$FD$43)*Обложка!$D$16/60,SUMIF(Меню!$J$8:$FD$8,$B151,Меню!$J$43:$FD$43)/1000*Обложка!$D$16)</f>
        <v>0</v>
      </c>
      <c r="F151" s="212">
        <f>IF($B151="Яйцо (шт)",SUMIF(Меню!$J$8:$FD$8,$B151,Меню!$J$56:$FD$56)*Обложка!$D$17/60,SUMIF(Меню!$J$8:$FD$8,$B151,Меню!$J$56:$FD$56)/1000*Обложка!$D$17)</f>
        <v>0</v>
      </c>
      <c r="G151" s="212">
        <f>IF($B151="Яйцо (шт)",SUMIF(Меню!$J$8:$FD$8,$B151,Меню!$J$61:$FD$61)*Обложка!$D$18/60,SUMIF(Меню!$J$8:$FD$8,$B151,Меню!$J$61:$FD$61)/1000*Обложка!$D$18)</f>
        <v>0</v>
      </c>
      <c r="H151" s="685">
        <f t="shared" si="18"/>
        <v>0</v>
      </c>
      <c r="I151" s="212">
        <f>IF($B151="Яйцо (шт)",SUMIF(Меню!$J$8:$FD$8,$B151,Меню!$J$73:$FD$73)*Обложка!$F$15/60,SUMIF(Меню!$J$8:$FD$8,$B151,Меню!$J$73:$FD$73)/1000*Обложка!$F$15)</f>
        <v>0</v>
      </c>
      <c r="J151" s="212">
        <f>IF($B151="Яйцо (шт)",SUMIF(Меню!$J$8:$FD$8,$B151,Меню!$J$88:$FD$88)*Обложка!$F$16/60,SUMIF(Меню!$J$8:$FD$8,$B151,Меню!$J$88:$FD$88)/1000*Обложка!$G$16)</f>
        <v>0</v>
      </c>
      <c r="K151" s="212">
        <f>IF($B151="Яйцо (шт)",SUMIF(Меню!$J$8:$FD$8,$B151,Меню!$J$101:$FD$101)*Обложка!$F$17/60,SUMIF(Меню!$J$8:$FD$8,$B151,Меню!$J$101:$FD$101)/1000*Обложка!$F$17)</f>
        <v>0</v>
      </c>
      <c r="L151" s="212">
        <f>IF($B151="Яйцо (шт)",SUMIF(Меню!$J$8:$FD$8,$B151,Меню!$J$106:$FD$106)*Обложка!$F$18/60,SUMIF(Меню!$J$8:$FD$8,$B151,Меню!$J$106:$FD$106)/1000*Обложка!$F$18)</f>
        <v>0</v>
      </c>
      <c r="M151" s="685">
        <f t="shared" si="19"/>
        <v>0</v>
      </c>
      <c r="N151" s="212">
        <f>IF($B151="Яйцо (шт)",SUMIF(Меню!$J$8:$EZ$8,$B151,Меню!$J$118:$EZ$118)*Обложка!$H$15/60,SUMIF(Меню!$J$8:$EZ$8,$B151,Меню!$J$118:$EZ$118)/1000*Обложка!$H$15)</f>
        <v>0</v>
      </c>
      <c r="O151" s="212">
        <f>IF($B151="Яйцо (шт)",SUMIF(Меню!$J$8:$EZ$8,$B151,Меню!$J$133:$EZ$133)*Обложка!$H$16/60,SUMIF(Меню!$J$8:$EZ$8,$B151,Меню!$J$133:$EZ$133)/1000*Обложка!$H$16)</f>
        <v>0</v>
      </c>
      <c r="P151" s="212">
        <f>IF($B151="Яйцо (шт)",SUMIF(Меню!$J$8:$EZ$8,$B151,Меню!$J$146:$EZ$146)*Обложка!$H$17/60,SUMIF(Меню!$J$8:$EZ$8,$B151,Меню!$J$146:$EZ$146)/1000*Обложка!$H$17)</f>
        <v>0</v>
      </c>
      <c r="Q151" s="212">
        <f>IF($B151="Яйцо (шт)",SUMIF(Меню!$J$8:$EZ$8,$B151,Меню!$J$151:$EZ$151)*Обложка!$H$18/60,SUMIF(Меню!$J$8:$EZ$8,$B151,Меню!$J$151:$EZ$151)/1000*Обложка!$H$18)</f>
        <v>0</v>
      </c>
      <c r="R151" s="685">
        <f t="shared" si="20"/>
        <v>0</v>
      </c>
      <c r="S151" s="212">
        <f>IF($B151="Яйцо (шт)",SUMIF(Меню!$J$8:$EZ$8,$B151,Меню!$J$163:$EZ$163)*Обложка!$J$15/60,SUMIF(Меню!$J$8:$EZ$8,$B151,Меню!$J$163:$EZ$163)/1000*Обложка!$J$15)</f>
        <v>0</v>
      </c>
      <c r="T151" s="212">
        <f>IF($B151="Яйцо (шт)",SUMIF(Меню!$J$8:$EZ$8,$B151,Меню!$J$178:$EZ$178)*Обложка!$J$16/60,SUMIF(Меню!$J$8:$EZ$8,$B151,Меню!$J$178:$EZ$178)/1000*Обложка!$J$16)</f>
        <v>0</v>
      </c>
      <c r="U151" s="212">
        <f>IF($B151="Яйцо (шт)",SUMIF(Меню!$J$8:$EZ$8,$B151,Меню!$J$191:$EZ$191)*Обложка!$J$17/60,SUMIF(Меню!$J$8:$EZ$8,$B151,Меню!$J$191:$EZ$191)/1000*Обложка!$J$17)</f>
        <v>0</v>
      </c>
      <c r="V151" s="212">
        <f>IF($B151="Яйцо (шт)",SUMIF(Меню!$J$8:$EZ$8,$B151,Меню!$J$196:$EZ$196)*Обложка!$J$18/60,SUMIF(Меню!$J$8:$EZ$8,$B151,Меню!$J$196:$EZ$196)/1000*Обложка!$J$18)</f>
        <v>0</v>
      </c>
      <c r="W151" s="685">
        <f t="shared" si="21"/>
        <v>0</v>
      </c>
      <c r="X151" s="212">
        <f>IF($B151="Яйцо (шт)",SUMIF(Меню!$J$8:$EZ$8,$B151,Меню!$J$208:$EZ$208)*Обложка!$L$15/60,SUMIF(Меню!$J$8:$EZ$8,$B151,Меню!$J$208:$EZ$208)/1000*Обложка!$L$15)</f>
        <v>0</v>
      </c>
      <c r="Y151" s="212">
        <f>IF($B151="Яйцо (шт)",SUMIF(Меню!$J$8:$EZ$8,$B151,Меню!$J$223:$EZ$223)*Обложка!$L$16/60,SUMIF(Меню!$J$8:$EZ$8,$B151,Меню!$J$223:$EZ$223)/1000*Обложка!$J$16)</f>
        <v>0</v>
      </c>
      <c r="Z151" s="212">
        <f>IF($B151="Яйцо (шт)",SUMIF(Меню!$J$8:$EZ$8,$B151,Меню!$J$236:$EZ$236)*Обложка!$L$17/60,SUMIF(Меню!$J$8:$EZ$8,$B151,Меню!$J$236:$EZ$236)/1000*Обложка!$L$17)</f>
        <v>0</v>
      </c>
      <c r="AA151" s="212">
        <f>IF($B151="Яйцо (шт)",SUMIF(Меню!$J$8:$EZ$8,$B151,Меню!$J$241:$EZ$241)*Обложка!$L$18/60,SUMIF(Меню!$J$8:$EZ$8,$B151,Меню!$J$241:$EZ$241)/1000*Обложка!$L$18)</f>
        <v>0</v>
      </c>
      <c r="AB151" s="685">
        <f t="shared" si="22"/>
        <v>0</v>
      </c>
      <c r="AC151" s="212">
        <f>IF($B151="Яйцо (шт)",SUMIF(Меню!$J$8:$EZ$8,$B151,Меню!$J$253:$EZ$253)*Обложка!$N$15/60,SUMIF(Меню!$J$8:$EZ$8,$B151,Меню!$J$253:$EZ$253)/1000*Обложка!$N$15)</f>
        <v>0</v>
      </c>
      <c r="AD151" s="212">
        <f>IF($B151="Яйцо (шт)",SUMIF(Меню!$J$8:$EZ$8,$B151,Меню!$J$268:$EZ$268)*Обложка!$N$16/60,SUMIF(Меню!$J$8:$EZ$8,$B151,Меню!$J$268:$EZ$268)/1000*Обложка!$N$16)</f>
        <v>0</v>
      </c>
      <c r="AE151" s="212">
        <f>IF($B151="Яйцо (шт)",SUMIF(Меню!$J$8:$EZ$8,$B151,Меню!$J$281:$EZ$281)*Обложка!$N$17/60,SUMIF(Меню!$J$8:$EZ$8,$B151,Меню!$J$281:$EZ$281)/1000*Обложка!$N$17)</f>
        <v>0</v>
      </c>
      <c r="AF151" s="212">
        <f>IF($B151="Яйцо (шт)",SUMIF(Меню!$J$8:$EZ$8,$B151,Меню!$J$286:$EZ$286)*Обложка!$N$18/60,SUMIF(Меню!$J$8:$EZ$8,$B151,Меню!$J$286:$EZ$286)/1000*Обложка!$N$18)</f>
        <v>0</v>
      </c>
      <c r="AG151" s="685">
        <f t="shared" si="23"/>
        <v>0</v>
      </c>
      <c r="AH151" s="212">
        <f>IF($B151="Яйцо (шт)",SUMIF(Меню!$J$8:$EZ$8,$B151,Меню!$J$298:$EZ$298)*Обложка!$P$15/60,SUMIF(Меню!$J$8:$EZ$8,$B151,Меню!$J$298:$EZ$298)/1000*Обложка!$P$15)</f>
        <v>0</v>
      </c>
      <c r="AI151" s="212">
        <f>IF($B151="Яйцо (шт)",SUMIF(Меню!$J$8:$EZ$8,$BB151,Меню!$J$313:$EZ$313)*Обложка!$P$16/60,SUMIF(Меню!$J$8:$EZ$8,$B151,Меню!$J$313:$EZ$313)/1000*Обложка!$P$16)</f>
        <v>0</v>
      </c>
      <c r="AJ151" s="212">
        <f>IF($B151="Яйцо (шт)",SUMIF(Меню!$J$8:$EZ$8,$B151,Меню!$J$326:$EZ$326)*Обложка!$P$17/60,SUMIF(Меню!$J$8:$EZ$8,$B151,Меню!$J$326:$EZ$326)/1000*Обложка!$P$17)</f>
        <v>0</v>
      </c>
      <c r="AK151" s="212">
        <f>IF($B151="Яйцо (шт)",SUMIF(Меню!$J$8:$EZ$8,$B151,Меню!$J$331:$EZ$331)*Обложка!$P$18/60,SUMIF(Меню!$J$8:$EZ$8,$B151,Меню!$J$331:$EZ$331)/1000*Обложка!$P$18)</f>
        <v>0</v>
      </c>
      <c r="AL151" s="699">
        <f t="shared" si="24"/>
        <v>0</v>
      </c>
      <c r="AM151" s="685">
        <f t="shared" si="25"/>
        <v>0</v>
      </c>
    </row>
    <row r="152" spans="1:39" x14ac:dyDescent="0.25">
      <c r="A152" s="249">
        <f t="shared" si="26"/>
        <v>140</v>
      </c>
      <c r="B152" s="248" t="str">
        <f>инфо!D141</f>
        <v>Печенье БС</v>
      </c>
      <c r="C152" s="694">
        <f>SUMIF(Меню!$J$8:$FD$8,$B152,Меню!$J$333:$FD$333)</f>
        <v>0</v>
      </c>
      <c r="D152" s="212">
        <f>IF($B152="Яйцо (шт)",SUMIF(Меню!$J$8:$FD$8,$B152,Меню!$J$28:$FD$28)*Обложка!$D$15/60,SUMIF(Меню!$J$8:$FD$8,$B152,Меню!$J$28:$FD$28)/1000*Обложка!$D$15)</f>
        <v>0</v>
      </c>
      <c r="E152" s="212">
        <f>IF($B152="Яйцо (шт)",SUMIF(Меню!$J$8:$FD$8,$B152,Меню!$J$43:$FD$43)*Обложка!$D$16/60,SUMIF(Меню!$J$8:$FD$8,$B152,Меню!$J$43:$FD$43)/1000*Обложка!$D$16)</f>
        <v>0</v>
      </c>
      <c r="F152" s="212">
        <f>IF($B152="Яйцо (шт)",SUMIF(Меню!$J$8:$FD$8,$B152,Меню!$J$56:$FD$56)*Обложка!$D$17/60,SUMIF(Меню!$J$8:$FD$8,$B152,Меню!$J$56:$FD$56)/1000*Обложка!$D$17)</f>
        <v>0</v>
      </c>
      <c r="G152" s="212">
        <f>IF($B152="Яйцо (шт)",SUMIF(Меню!$J$8:$FD$8,$B152,Меню!$J$61:$FD$61)*Обложка!$D$18/60,SUMIF(Меню!$J$8:$FD$8,$B152,Меню!$J$61:$FD$61)/1000*Обложка!$D$18)</f>
        <v>0</v>
      </c>
      <c r="H152" s="685">
        <f t="shared" si="18"/>
        <v>0</v>
      </c>
      <c r="I152" s="212">
        <f>IF($B152="Яйцо (шт)",SUMIF(Меню!$J$8:$FD$8,$B152,Меню!$J$73:$FD$73)*Обложка!$F$15/60,SUMIF(Меню!$J$8:$FD$8,$B152,Меню!$J$73:$FD$73)/1000*Обложка!$F$15)</f>
        <v>0</v>
      </c>
      <c r="J152" s="212">
        <f>IF($B152="Яйцо (шт)",SUMIF(Меню!$J$8:$FD$8,$B152,Меню!$J$88:$FD$88)*Обложка!$F$16/60,SUMIF(Меню!$J$8:$FD$8,$B152,Меню!$J$88:$FD$88)/1000*Обложка!$G$16)</f>
        <v>0</v>
      </c>
      <c r="K152" s="212">
        <f>IF($B152="Яйцо (шт)",SUMIF(Меню!$J$8:$FD$8,$B152,Меню!$J$101:$FD$101)*Обложка!$F$17/60,SUMIF(Меню!$J$8:$FD$8,$B152,Меню!$J$101:$FD$101)/1000*Обложка!$F$17)</f>
        <v>0</v>
      </c>
      <c r="L152" s="212">
        <f>IF($B152="Яйцо (шт)",SUMIF(Меню!$J$8:$FD$8,$B152,Меню!$J$106:$FD$106)*Обложка!$F$18/60,SUMIF(Меню!$J$8:$FD$8,$B152,Меню!$J$106:$FD$106)/1000*Обложка!$F$18)</f>
        <v>0</v>
      </c>
      <c r="M152" s="685">
        <f t="shared" si="19"/>
        <v>0</v>
      </c>
      <c r="N152" s="212">
        <f>IF($B152="Яйцо (шт)",SUMIF(Меню!$J$8:$EZ$8,$B152,Меню!$J$118:$EZ$118)*Обложка!$H$15/60,SUMIF(Меню!$J$8:$EZ$8,$B152,Меню!$J$118:$EZ$118)/1000*Обложка!$H$15)</f>
        <v>0</v>
      </c>
      <c r="O152" s="212">
        <f>IF($B152="Яйцо (шт)",SUMIF(Меню!$J$8:$EZ$8,$B152,Меню!$J$133:$EZ$133)*Обложка!$H$16/60,SUMIF(Меню!$J$8:$EZ$8,$B152,Меню!$J$133:$EZ$133)/1000*Обложка!$H$16)</f>
        <v>0</v>
      </c>
      <c r="P152" s="212">
        <f>IF($B152="Яйцо (шт)",SUMIF(Меню!$J$8:$EZ$8,$B152,Меню!$J$146:$EZ$146)*Обложка!$H$17/60,SUMIF(Меню!$J$8:$EZ$8,$B152,Меню!$J$146:$EZ$146)/1000*Обложка!$H$17)</f>
        <v>0</v>
      </c>
      <c r="Q152" s="212">
        <f>IF($B152="Яйцо (шт)",SUMIF(Меню!$J$8:$EZ$8,$B152,Меню!$J$151:$EZ$151)*Обложка!$H$18/60,SUMIF(Меню!$J$8:$EZ$8,$B152,Меню!$J$151:$EZ$151)/1000*Обложка!$H$18)</f>
        <v>0</v>
      </c>
      <c r="R152" s="685">
        <f t="shared" si="20"/>
        <v>0</v>
      </c>
      <c r="S152" s="212">
        <f>IF($B152="Яйцо (шт)",SUMIF(Меню!$J$8:$EZ$8,$B152,Меню!$J$163:$EZ$163)*Обложка!$J$15/60,SUMIF(Меню!$J$8:$EZ$8,$B152,Меню!$J$163:$EZ$163)/1000*Обложка!$J$15)</f>
        <v>0</v>
      </c>
      <c r="T152" s="212">
        <f>IF($B152="Яйцо (шт)",SUMIF(Меню!$J$8:$EZ$8,$B152,Меню!$J$178:$EZ$178)*Обложка!$J$16/60,SUMIF(Меню!$J$8:$EZ$8,$B152,Меню!$J$178:$EZ$178)/1000*Обложка!$J$16)</f>
        <v>0</v>
      </c>
      <c r="U152" s="212">
        <f>IF($B152="Яйцо (шт)",SUMIF(Меню!$J$8:$EZ$8,$B152,Меню!$J$191:$EZ$191)*Обложка!$J$17/60,SUMIF(Меню!$J$8:$EZ$8,$B152,Меню!$J$191:$EZ$191)/1000*Обложка!$J$17)</f>
        <v>0</v>
      </c>
      <c r="V152" s="212">
        <f>IF($B152="Яйцо (шт)",SUMIF(Меню!$J$8:$EZ$8,$B152,Меню!$J$196:$EZ$196)*Обложка!$J$18/60,SUMIF(Меню!$J$8:$EZ$8,$B152,Меню!$J$196:$EZ$196)/1000*Обложка!$J$18)</f>
        <v>0</v>
      </c>
      <c r="W152" s="685">
        <f t="shared" si="21"/>
        <v>0</v>
      </c>
      <c r="X152" s="212">
        <f>IF($B152="Яйцо (шт)",SUMIF(Меню!$J$8:$EZ$8,$B152,Меню!$J$208:$EZ$208)*Обложка!$L$15/60,SUMIF(Меню!$J$8:$EZ$8,$B152,Меню!$J$208:$EZ$208)/1000*Обложка!$L$15)</f>
        <v>0</v>
      </c>
      <c r="Y152" s="212">
        <f>IF($B152="Яйцо (шт)",SUMIF(Меню!$J$8:$EZ$8,$B152,Меню!$J$223:$EZ$223)*Обложка!$L$16/60,SUMIF(Меню!$J$8:$EZ$8,$B152,Меню!$J$223:$EZ$223)/1000*Обложка!$J$16)</f>
        <v>0</v>
      </c>
      <c r="Z152" s="212">
        <f>IF($B152="Яйцо (шт)",SUMIF(Меню!$J$8:$EZ$8,$B152,Меню!$J$236:$EZ$236)*Обложка!$L$17/60,SUMIF(Меню!$J$8:$EZ$8,$B152,Меню!$J$236:$EZ$236)/1000*Обложка!$L$17)</f>
        <v>0</v>
      </c>
      <c r="AA152" s="212">
        <f>IF($B152="Яйцо (шт)",SUMIF(Меню!$J$8:$EZ$8,$B152,Меню!$J$241:$EZ$241)*Обложка!$L$18/60,SUMIF(Меню!$J$8:$EZ$8,$B152,Меню!$J$241:$EZ$241)/1000*Обложка!$L$18)</f>
        <v>0</v>
      </c>
      <c r="AB152" s="685">
        <f t="shared" si="22"/>
        <v>0</v>
      </c>
      <c r="AC152" s="212">
        <f>IF($B152="Яйцо (шт)",SUMIF(Меню!$J$8:$EZ$8,$B152,Меню!$J$253:$EZ$253)*Обложка!$N$15/60,SUMIF(Меню!$J$8:$EZ$8,$B152,Меню!$J$253:$EZ$253)/1000*Обложка!$N$15)</f>
        <v>0</v>
      </c>
      <c r="AD152" s="212">
        <f>IF($B152="Яйцо (шт)",SUMIF(Меню!$J$8:$EZ$8,$B152,Меню!$J$268:$EZ$268)*Обложка!$N$16/60,SUMIF(Меню!$J$8:$EZ$8,$B152,Меню!$J$268:$EZ$268)/1000*Обложка!$N$16)</f>
        <v>0</v>
      </c>
      <c r="AE152" s="212">
        <f>IF($B152="Яйцо (шт)",SUMIF(Меню!$J$8:$EZ$8,$B152,Меню!$J$281:$EZ$281)*Обложка!$N$17/60,SUMIF(Меню!$J$8:$EZ$8,$B152,Меню!$J$281:$EZ$281)/1000*Обложка!$N$17)</f>
        <v>0</v>
      </c>
      <c r="AF152" s="212">
        <f>IF($B152="Яйцо (шт)",SUMIF(Меню!$J$8:$EZ$8,$B152,Меню!$J$286:$EZ$286)*Обложка!$N$18/60,SUMIF(Меню!$J$8:$EZ$8,$B152,Меню!$J$286:$EZ$286)/1000*Обложка!$N$18)</f>
        <v>0</v>
      </c>
      <c r="AG152" s="685">
        <f t="shared" si="23"/>
        <v>0</v>
      </c>
      <c r="AH152" s="212">
        <f>IF($B152="Яйцо (шт)",SUMIF(Меню!$J$8:$EZ$8,$B152,Меню!$J$298:$EZ$298)*Обложка!$P$15/60,SUMIF(Меню!$J$8:$EZ$8,$B152,Меню!$J$298:$EZ$298)/1000*Обложка!$P$15)</f>
        <v>0</v>
      </c>
      <c r="AI152" s="212">
        <f>IF($B152="Яйцо (шт)",SUMIF(Меню!$J$8:$EZ$8,$BB152,Меню!$J$313:$EZ$313)*Обложка!$P$16/60,SUMIF(Меню!$J$8:$EZ$8,$B152,Меню!$J$313:$EZ$313)/1000*Обложка!$P$16)</f>
        <v>0</v>
      </c>
      <c r="AJ152" s="212">
        <f>IF($B152="Яйцо (шт)",SUMIF(Меню!$J$8:$EZ$8,$B152,Меню!$J$326:$EZ$326)*Обложка!$P$17/60,SUMIF(Меню!$J$8:$EZ$8,$B152,Меню!$J$326:$EZ$326)/1000*Обложка!$P$17)</f>
        <v>0</v>
      </c>
      <c r="AK152" s="212">
        <f>IF($B152="Яйцо (шт)",SUMIF(Меню!$J$8:$EZ$8,$B152,Меню!$J$331:$EZ$331)*Обложка!$P$18/60,SUMIF(Меню!$J$8:$EZ$8,$B152,Меню!$J$331:$EZ$331)/1000*Обложка!$P$18)</f>
        <v>0</v>
      </c>
      <c r="AL152" s="699">
        <f t="shared" si="24"/>
        <v>0</v>
      </c>
      <c r="AM152" s="685">
        <f t="shared" si="25"/>
        <v>0</v>
      </c>
    </row>
    <row r="153" spans="1:39" x14ac:dyDescent="0.25">
      <c r="A153" s="249">
        <f t="shared" si="26"/>
        <v>141</v>
      </c>
      <c r="B153" s="248" t="str">
        <f>инфо!D142</f>
        <v>Яблоки свежие</v>
      </c>
      <c r="C153" s="694">
        <f>SUMIF(Меню!$J$8:$FD$8,$B153,Меню!$J$333:$FD$333)</f>
        <v>50</v>
      </c>
      <c r="D153" s="212">
        <f>IF($B153="Яйцо (шт)",SUMIF(Меню!$J$8:$FD$8,$B153,Меню!$J$28:$FD$28)*Обложка!$D$15/60,SUMIF(Меню!$J$8:$FD$8,$B153,Меню!$J$28:$FD$28)/1000*Обложка!$D$15)</f>
        <v>0</v>
      </c>
      <c r="E153" s="212">
        <f>IF($B153="Яйцо (шт)",SUMIF(Меню!$J$8:$FD$8,$B153,Меню!$J$43:$FD$43)*Обложка!$D$16/60,SUMIF(Меню!$J$8:$FD$8,$B153,Меню!$J$43:$FD$43)/1000*Обложка!$D$16)</f>
        <v>0</v>
      </c>
      <c r="F153" s="212">
        <f>IF($B153="Яйцо (шт)",SUMIF(Меню!$J$8:$FD$8,$B153,Меню!$J$56:$FD$56)*Обложка!$D$17/60,SUMIF(Меню!$J$8:$FD$8,$B153,Меню!$J$56:$FD$56)/1000*Обложка!$D$17)</f>
        <v>0</v>
      </c>
      <c r="G153" s="212">
        <f>IF($B153="Яйцо (шт)",SUMIF(Меню!$J$8:$FD$8,$B153,Меню!$J$61:$FD$61)*Обложка!$D$18/60,SUMIF(Меню!$J$8:$FD$8,$B153,Меню!$J$61:$FD$61)/1000*Обложка!$D$18)</f>
        <v>0</v>
      </c>
      <c r="H153" s="685">
        <f t="shared" si="18"/>
        <v>0</v>
      </c>
      <c r="I153" s="212">
        <f>IF($B153="Яйцо (шт)",SUMIF(Меню!$J$8:$FD$8,$B153,Меню!$J$73:$FD$73)*Обложка!$F$15/60,SUMIF(Меню!$J$8:$FD$8,$B153,Меню!$J$73:$FD$73)/1000*Обложка!$F$15)</f>
        <v>0</v>
      </c>
      <c r="J153" s="212">
        <f>IF($B153="Яйцо (шт)",SUMIF(Меню!$J$8:$FD$8,$B153,Меню!$J$88:$FD$88)*Обложка!$F$16/60,SUMIF(Меню!$J$8:$FD$8,$B153,Меню!$J$88:$FD$88)/1000*Обложка!$G$16)</f>
        <v>0.55000000000000004</v>
      </c>
      <c r="K153" s="212">
        <f>IF($B153="Яйцо (шт)",SUMIF(Меню!$J$8:$FD$8,$B153,Меню!$J$101:$FD$101)*Обложка!$F$17/60,SUMIF(Меню!$J$8:$FD$8,$B153,Меню!$J$101:$FD$101)/1000*Обложка!$F$17)</f>
        <v>0</v>
      </c>
      <c r="L153" s="212">
        <f>IF($B153="Яйцо (шт)",SUMIF(Меню!$J$8:$FD$8,$B153,Меню!$J$106:$FD$106)*Обложка!$F$18/60,SUMIF(Меню!$J$8:$FD$8,$B153,Меню!$J$106:$FD$106)/1000*Обложка!$F$18)</f>
        <v>0</v>
      </c>
      <c r="M153" s="685">
        <f t="shared" si="19"/>
        <v>0.55000000000000004</v>
      </c>
      <c r="N153" s="212">
        <f>IF($B153="Яйцо (шт)",SUMIF(Меню!$J$8:$EZ$8,$B153,Меню!$J$118:$EZ$118)*Обложка!$H$15/60,SUMIF(Меню!$J$8:$EZ$8,$B153,Меню!$J$118:$EZ$118)/1000*Обложка!$H$15)</f>
        <v>0</v>
      </c>
      <c r="O153" s="212">
        <f>IF($B153="Яйцо (шт)",SUMIF(Меню!$J$8:$EZ$8,$B153,Меню!$J$133:$EZ$133)*Обложка!$H$16/60,SUMIF(Меню!$J$8:$EZ$8,$B153,Меню!$J$133:$EZ$133)/1000*Обложка!$H$16)</f>
        <v>0</v>
      </c>
      <c r="P153" s="212">
        <f>IF($B153="Яйцо (шт)",SUMIF(Меню!$J$8:$EZ$8,$B153,Меню!$J$146:$EZ$146)*Обложка!$H$17/60,SUMIF(Меню!$J$8:$EZ$8,$B153,Меню!$J$146:$EZ$146)/1000*Обложка!$H$17)</f>
        <v>0</v>
      </c>
      <c r="Q153" s="212">
        <f>IF($B153="Яйцо (шт)",SUMIF(Меню!$J$8:$EZ$8,$B153,Меню!$J$151:$EZ$151)*Обложка!$H$18/60,SUMIF(Меню!$J$8:$EZ$8,$B153,Меню!$J$151:$EZ$151)/1000*Обложка!$H$18)</f>
        <v>0</v>
      </c>
      <c r="R153" s="685">
        <f t="shared" si="20"/>
        <v>0</v>
      </c>
      <c r="S153" s="212">
        <f>IF($B153="Яйцо (шт)",SUMIF(Меню!$J$8:$EZ$8,$B153,Меню!$J$163:$EZ$163)*Обложка!$J$15/60,SUMIF(Меню!$J$8:$EZ$8,$B153,Меню!$J$163:$EZ$163)/1000*Обложка!$J$15)</f>
        <v>0</v>
      </c>
      <c r="T153" s="212">
        <f>IF($B153="Яйцо (шт)",SUMIF(Меню!$J$8:$EZ$8,$B153,Меню!$J$178:$EZ$178)*Обложка!$J$16/60,SUMIF(Меню!$J$8:$EZ$8,$B153,Меню!$J$178:$EZ$178)/1000*Обложка!$J$16)</f>
        <v>0</v>
      </c>
      <c r="U153" s="212">
        <f>IF($B153="Яйцо (шт)",SUMIF(Меню!$J$8:$EZ$8,$B153,Меню!$J$191:$EZ$191)*Обложка!$J$17/60,SUMIF(Меню!$J$8:$EZ$8,$B153,Меню!$J$191:$EZ$191)/1000*Обложка!$J$17)</f>
        <v>0</v>
      </c>
      <c r="V153" s="212">
        <f>IF($B153="Яйцо (шт)",SUMIF(Меню!$J$8:$EZ$8,$B153,Меню!$J$196:$EZ$196)*Обложка!$J$18/60,SUMIF(Меню!$J$8:$EZ$8,$B153,Меню!$J$196:$EZ$196)/1000*Обложка!$J$18)</f>
        <v>0</v>
      </c>
      <c r="W153" s="685">
        <f t="shared" si="21"/>
        <v>0</v>
      </c>
      <c r="X153" s="212">
        <f>IF($B153="Яйцо (шт)",SUMIF(Меню!$J$8:$EZ$8,$B153,Меню!$J$208:$EZ$208)*Обложка!$L$15/60,SUMIF(Меню!$J$8:$EZ$8,$B153,Меню!$J$208:$EZ$208)/1000*Обложка!$L$15)</f>
        <v>0</v>
      </c>
      <c r="Y153" s="212">
        <f>IF($B153="Яйцо (шт)",SUMIF(Меню!$J$8:$EZ$8,$B153,Меню!$J$223:$EZ$223)*Обложка!$L$16/60,SUMIF(Меню!$J$8:$EZ$8,$B153,Меню!$J$223:$EZ$223)/1000*Обложка!$J$16)</f>
        <v>0</v>
      </c>
      <c r="Z153" s="212">
        <f>IF($B153="Яйцо (шт)",SUMIF(Меню!$J$8:$EZ$8,$B153,Меню!$J$236:$EZ$236)*Обложка!$L$17/60,SUMIF(Меню!$J$8:$EZ$8,$B153,Меню!$J$236:$EZ$236)/1000*Обложка!$L$17)</f>
        <v>0</v>
      </c>
      <c r="AA153" s="212">
        <f>IF($B153="Яйцо (шт)",SUMIF(Меню!$J$8:$EZ$8,$B153,Меню!$J$241:$EZ$241)*Обложка!$L$18/60,SUMIF(Меню!$J$8:$EZ$8,$B153,Меню!$J$241:$EZ$241)/1000*Обложка!$L$18)</f>
        <v>0</v>
      </c>
      <c r="AB153" s="685">
        <f t="shared" si="22"/>
        <v>0</v>
      </c>
      <c r="AC153" s="212">
        <f>IF($B153="Яйцо (шт)",SUMIF(Меню!$J$8:$EZ$8,$B153,Меню!$J$253:$EZ$253)*Обложка!$N$15/60,SUMIF(Меню!$J$8:$EZ$8,$B153,Меню!$J$253:$EZ$253)/1000*Обложка!$N$15)</f>
        <v>0</v>
      </c>
      <c r="AD153" s="212">
        <f>IF($B153="Яйцо (шт)",SUMIF(Меню!$J$8:$EZ$8,$B153,Меню!$J$268:$EZ$268)*Обложка!$N$16/60,SUMIF(Меню!$J$8:$EZ$8,$B153,Меню!$J$268:$EZ$268)/1000*Обложка!$N$16)</f>
        <v>0</v>
      </c>
      <c r="AE153" s="212">
        <f>IF($B153="Яйцо (шт)",SUMIF(Меню!$J$8:$EZ$8,$B153,Меню!$J$281:$EZ$281)*Обложка!$N$17/60,SUMIF(Меню!$J$8:$EZ$8,$B153,Меню!$J$281:$EZ$281)/1000*Обложка!$N$17)</f>
        <v>0</v>
      </c>
      <c r="AF153" s="212">
        <f>IF($B153="Яйцо (шт)",SUMIF(Меню!$J$8:$EZ$8,$B153,Меню!$J$286:$EZ$286)*Обложка!$N$18/60,SUMIF(Меню!$J$8:$EZ$8,$B153,Меню!$J$286:$EZ$286)/1000*Обложка!$N$18)</f>
        <v>0</v>
      </c>
      <c r="AG153" s="685">
        <f t="shared" si="23"/>
        <v>0</v>
      </c>
      <c r="AH153" s="212">
        <f>IF($B153="Яйцо (шт)",SUMIF(Меню!$J$8:$EZ$8,$B153,Меню!$J$298:$EZ$298)*Обложка!$P$15/60,SUMIF(Меню!$J$8:$EZ$8,$B153,Меню!$J$298:$EZ$298)/1000*Обложка!$P$15)</f>
        <v>0</v>
      </c>
      <c r="AI153" s="212">
        <f>IF($B153="Яйцо (шт)",SUMIF(Меню!$J$8:$EZ$8,$BB153,Меню!$J$313:$EZ$313)*Обложка!$P$16/60,SUMIF(Меню!$J$8:$EZ$8,$B153,Меню!$J$313:$EZ$313)/1000*Обложка!$P$16)</f>
        <v>0</v>
      </c>
      <c r="AJ153" s="212">
        <f>IF($B153="Яйцо (шт)",SUMIF(Меню!$J$8:$EZ$8,$B153,Меню!$J$326:$EZ$326)*Обложка!$P$17/60,SUMIF(Меню!$J$8:$EZ$8,$B153,Меню!$J$326:$EZ$326)/1000*Обложка!$P$17)</f>
        <v>0.625</v>
      </c>
      <c r="AK153" s="212">
        <f>IF($B153="Яйцо (шт)",SUMIF(Меню!$J$8:$EZ$8,$B153,Меню!$J$331:$EZ$331)*Обложка!$P$18/60,SUMIF(Меню!$J$8:$EZ$8,$B153,Меню!$J$331:$EZ$331)/1000*Обложка!$P$18)</f>
        <v>0</v>
      </c>
      <c r="AL153" s="699">
        <f t="shared" si="24"/>
        <v>0.625</v>
      </c>
      <c r="AM153" s="685">
        <f t="shared" si="25"/>
        <v>1.175</v>
      </c>
    </row>
    <row r="154" spans="1:39" x14ac:dyDescent="0.25">
      <c r="A154" s="249">
        <f t="shared" si="26"/>
        <v>142</v>
      </c>
      <c r="B154" s="248" t="str">
        <f>инфо!D143</f>
        <v>Апельсины</v>
      </c>
      <c r="C154" s="694">
        <f>SUMIF(Меню!$J$8:$FD$8,$B154,Меню!$J$333:$FD$333)</f>
        <v>0</v>
      </c>
      <c r="D154" s="212">
        <f>IF($B154="Яйцо (шт)",SUMIF(Меню!$J$8:$FD$8,$B154,Меню!$J$28:$FD$28)*Обложка!$D$15/60,SUMIF(Меню!$J$8:$FD$8,$B154,Меню!$J$28:$FD$28)/1000*Обложка!$D$15)</f>
        <v>0</v>
      </c>
      <c r="E154" s="212">
        <f>IF($B154="Яйцо (шт)",SUMIF(Меню!$J$8:$FD$8,$B154,Меню!$J$43:$FD$43)*Обложка!$D$16/60,SUMIF(Меню!$J$8:$FD$8,$B154,Меню!$J$43:$FD$43)/1000*Обложка!$D$16)</f>
        <v>0</v>
      </c>
      <c r="F154" s="212">
        <f>IF($B154="Яйцо (шт)",SUMIF(Меню!$J$8:$FD$8,$B154,Меню!$J$56:$FD$56)*Обложка!$D$17/60,SUMIF(Меню!$J$8:$FD$8,$B154,Меню!$J$56:$FD$56)/1000*Обложка!$D$17)</f>
        <v>0</v>
      </c>
      <c r="G154" s="212">
        <f>IF($B154="Яйцо (шт)",SUMIF(Меню!$J$8:$FD$8,$B154,Меню!$J$61:$FD$61)*Обложка!$D$18/60,SUMIF(Меню!$J$8:$FD$8,$B154,Меню!$J$61:$FD$61)/1000*Обложка!$D$18)</f>
        <v>0</v>
      </c>
      <c r="H154" s="685">
        <f t="shared" si="18"/>
        <v>0</v>
      </c>
      <c r="I154" s="212">
        <f>IF($B154="Яйцо (шт)",SUMIF(Меню!$J$8:$FD$8,$B154,Меню!$J$73:$FD$73)*Обложка!$F$15/60,SUMIF(Меню!$J$8:$FD$8,$B154,Меню!$J$73:$FD$73)/1000*Обложка!$F$15)</f>
        <v>0</v>
      </c>
      <c r="J154" s="212">
        <f>IF($B154="Яйцо (шт)",SUMIF(Меню!$J$8:$FD$8,$B154,Меню!$J$88:$FD$88)*Обложка!$F$16/60,SUMIF(Меню!$J$8:$FD$8,$B154,Меню!$J$88:$FD$88)/1000*Обложка!$G$16)</f>
        <v>0</v>
      </c>
      <c r="K154" s="212">
        <f>IF($B154="Яйцо (шт)",SUMIF(Меню!$J$8:$FD$8,$B154,Меню!$J$101:$FD$101)*Обложка!$F$17/60,SUMIF(Меню!$J$8:$FD$8,$B154,Меню!$J$101:$FD$101)/1000*Обложка!$F$17)</f>
        <v>0</v>
      </c>
      <c r="L154" s="212">
        <f>IF($B154="Яйцо (шт)",SUMIF(Меню!$J$8:$FD$8,$B154,Меню!$J$106:$FD$106)*Обложка!$F$18/60,SUMIF(Меню!$J$8:$FD$8,$B154,Меню!$J$106:$FD$106)/1000*Обложка!$F$18)</f>
        <v>0</v>
      </c>
      <c r="M154" s="685">
        <f t="shared" si="19"/>
        <v>0</v>
      </c>
      <c r="N154" s="212">
        <f>IF($B154="Яйцо (шт)",SUMIF(Меню!$J$8:$EZ$8,$B154,Меню!$J$118:$EZ$118)*Обложка!$H$15/60,SUMIF(Меню!$J$8:$EZ$8,$B154,Меню!$J$118:$EZ$118)/1000*Обложка!$H$15)</f>
        <v>0</v>
      </c>
      <c r="O154" s="212">
        <f>IF($B154="Яйцо (шт)",SUMIF(Меню!$J$8:$EZ$8,$B154,Меню!$J$133:$EZ$133)*Обложка!$H$16/60,SUMIF(Меню!$J$8:$EZ$8,$B154,Меню!$J$133:$EZ$133)/1000*Обложка!$H$16)</f>
        <v>0</v>
      </c>
      <c r="P154" s="212">
        <f>IF($B154="Яйцо (шт)",SUMIF(Меню!$J$8:$EZ$8,$B154,Меню!$J$146:$EZ$146)*Обложка!$H$17/60,SUMIF(Меню!$J$8:$EZ$8,$B154,Меню!$J$146:$EZ$146)/1000*Обложка!$H$17)</f>
        <v>0</v>
      </c>
      <c r="Q154" s="212">
        <f>IF($B154="Яйцо (шт)",SUMIF(Меню!$J$8:$EZ$8,$B154,Меню!$J$151:$EZ$151)*Обложка!$H$18/60,SUMIF(Меню!$J$8:$EZ$8,$B154,Меню!$J$151:$EZ$151)/1000*Обложка!$H$18)</f>
        <v>0</v>
      </c>
      <c r="R154" s="685">
        <f t="shared" si="20"/>
        <v>0</v>
      </c>
      <c r="S154" s="212">
        <f>IF($B154="Яйцо (шт)",SUMIF(Меню!$J$8:$EZ$8,$B154,Меню!$J$163:$EZ$163)*Обложка!$J$15/60,SUMIF(Меню!$J$8:$EZ$8,$B154,Меню!$J$163:$EZ$163)/1000*Обложка!$J$15)</f>
        <v>0</v>
      </c>
      <c r="T154" s="212">
        <f>IF($B154="Яйцо (шт)",SUMIF(Меню!$J$8:$EZ$8,$B154,Меню!$J$178:$EZ$178)*Обложка!$J$16/60,SUMIF(Меню!$J$8:$EZ$8,$B154,Меню!$J$178:$EZ$178)/1000*Обложка!$J$16)</f>
        <v>0</v>
      </c>
      <c r="U154" s="212">
        <f>IF($B154="Яйцо (шт)",SUMIF(Меню!$J$8:$EZ$8,$B154,Меню!$J$191:$EZ$191)*Обложка!$J$17/60,SUMIF(Меню!$J$8:$EZ$8,$B154,Меню!$J$191:$EZ$191)/1000*Обложка!$J$17)</f>
        <v>0</v>
      </c>
      <c r="V154" s="212">
        <f>IF($B154="Яйцо (шт)",SUMIF(Меню!$J$8:$EZ$8,$B154,Меню!$J$196:$EZ$196)*Обложка!$J$18/60,SUMIF(Меню!$J$8:$EZ$8,$B154,Меню!$J$196:$EZ$196)/1000*Обложка!$J$18)</f>
        <v>0</v>
      </c>
      <c r="W154" s="685">
        <f t="shared" si="21"/>
        <v>0</v>
      </c>
      <c r="X154" s="212">
        <f>IF($B154="Яйцо (шт)",SUMIF(Меню!$J$8:$EZ$8,$B154,Меню!$J$208:$EZ$208)*Обложка!$L$15/60,SUMIF(Меню!$J$8:$EZ$8,$B154,Меню!$J$208:$EZ$208)/1000*Обложка!$L$15)</f>
        <v>0</v>
      </c>
      <c r="Y154" s="212">
        <f>IF($B154="Яйцо (шт)",SUMIF(Меню!$J$8:$EZ$8,$B154,Меню!$J$223:$EZ$223)*Обложка!$L$16/60,SUMIF(Меню!$J$8:$EZ$8,$B154,Меню!$J$223:$EZ$223)/1000*Обложка!$J$16)</f>
        <v>0</v>
      </c>
      <c r="Z154" s="212">
        <f>IF($B154="Яйцо (шт)",SUMIF(Меню!$J$8:$EZ$8,$B154,Меню!$J$236:$EZ$236)*Обложка!$L$17/60,SUMIF(Меню!$J$8:$EZ$8,$B154,Меню!$J$236:$EZ$236)/1000*Обложка!$L$17)</f>
        <v>0</v>
      </c>
      <c r="AA154" s="212">
        <f>IF($B154="Яйцо (шт)",SUMIF(Меню!$J$8:$EZ$8,$B154,Меню!$J$241:$EZ$241)*Обложка!$L$18/60,SUMIF(Меню!$J$8:$EZ$8,$B154,Меню!$J$241:$EZ$241)/1000*Обложка!$L$18)</f>
        <v>0</v>
      </c>
      <c r="AB154" s="685">
        <f t="shared" si="22"/>
        <v>0</v>
      </c>
      <c r="AC154" s="212">
        <f>IF($B154="Яйцо (шт)",SUMIF(Меню!$J$8:$EZ$8,$B154,Меню!$J$253:$EZ$253)*Обложка!$N$15/60,SUMIF(Меню!$J$8:$EZ$8,$B154,Меню!$J$253:$EZ$253)/1000*Обложка!$N$15)</f>
        <v>0</v>
      </c>
      <c r="AD154" s="212">
        <f>IF($B154="Яйцо (шт)",SUMIF(Меню!$J$8:$EZ$8,$B154,Меню!$J$268:$EZ$268)*Обложка!$N$16/60,SUMIF(Меню!$J$8:$EZ$8,$B154,Меню!$J$268:$EZ$268)/1000*Обложка!$N$16)</f>
        <v>0</v>
      </c>
      <c r="AE154" s="212">
        <f>IF($B154="Яйцо (шт)",SUMIF(Меню!$J$8:$EZ$8,$B154,Меню!$J$281:$EZ$281)*Обложка!$N$17/60,SUMIF(Меню!$J$8:$EZ$8,$B154,Меню!$J$281:$EZ$281)/1000*Обложка!$N$17)</f>
        <v>0</v>
      </c>
      <c r="AF154" s="212">
        <f>IF($B154="Яйцо (шт)",SUMIF(Меню!$J$8:$EZ$8,$B154,Меню!$J$286:$EZ$286)*Обложка!$N$18/60,SUMIF(Меню!$J$8:$EZ$8,$B154,Меню!$J$286:$EZ$286)/1000*Обложка!$N$18)</f>
        <v>0</v>
      </c>
      <c r="AG154" s="685">
        <f t="shared" si="23"/>
        <v>0</v>
      </c>
      <c r="AH154" s="212">
        <f>IF($B154="Яйцо (шт)",SUMIF(Меню!$J$8:$EZ$8,$B154,Меню!$J$298:$EZ$298)*Обложка!$P$15/60,SUMIF(Меню!$J$8:$EZ$8,$B154,Меню!$J$298:$EZ$298)/1000*Обложка!$P$15)</f>
        <v>0</v>
      </c>
      <c r="AI154" s="212">
        <f>IF($B154="Яйцо (шт)",SUMIF(Меню!$J$8:$EZ$8,$BB154,Меню!$J$313:$EZ$313)*Обложка!$P$16/60,SUMIF(Меню!$J$8:$EZ$8,$B154,Меню!$J$313:$EZ$313)/1000*Обложка!$P$16)</f>
        <v>0</v>
      </c>
      <c r="AJ154" s="212">
        <f>IF($B154="Яйцо (шт)",SUMIF(Меню!$J$8:$EZ$8,$B154,Меню!$J$326:$EZ$326)*Обложка!$P$17/60,SUMIF(Меню!$J$8:$EZ$8,$B154,Меню!$J$326:$EZ$326)/1000*Обложка!$P$17)</f>
        <v>0</v>
      </c>
      <c r="AK154" s="212">
        <f>IF($B154="Яйцо (шт)",SUMIF(Меню!$J$8:$EZ$8,$B154,Меню!$J$331:$EZ$331)*Обложка!$P$18/60,SUMIF(Меню!$J$8:$EZ$8,$B154,Меню!$J$331:$EZ$331)/1000*Обложка!$P$18)</f>
        <v>0</v>
      </c>
      <c r="AL154" s="699">
        <f t="shared" si="24"/>
        <v>0</v>
      </c>
      <c r="AM154" s="685">
        <f t="shared" si="25"/>
        <v>0</v>
      </c>
    </row>
    <row r="155" spans="1:39" x14ac:dyDescent="0.25">
      <c r="A155" s="249">
        <f t="shared" si="26"/>
        <v>143</v>
      </c>
      <c r="B155" s="248" t="str">
        <f>инфо!D144</f>
        <v>Груши свежие</v>
      </c>
      <c r="C155" s="694">
        <f>SUMIF(Меню!$J$8:$FD$8,$B155,Меню!$J$333:$FD$333)</f>
        <v>0</v>
      </c>
      <c r="D155" s="212">
        <f>IF($B155="Яйцо (шт)",SUMIF(Меню!$J$8:$FD$8,$B155,Меню!$J$28:$FD$28)*Обложка!$D$15/60,SUMIF(Меню!$J$8:$FD$8,$B155,Меню!$J$28:$FD$28)/1000*Обложка!$D$15)</f>
        <v>0</v>
      </c>
      <c r="E155" s="212">
        <f>IF($B155="Яйцо (шт)",SUMIF(Меню!$J$8:$FD$8,$B155,Меню!$J$43:$FD$43)*Обложка!$D$16/60,SUMIF(Меню!$J$8:$FD$8,$B155,Меню!$J$43:$FD$43)/1000*Обложка!$D$16)</f>
        <v>0</v>
      </c>
      <c r="F155" s="212">
        <f>IF($B155="Яйцо (шт)",SUMIF(Меню!$J$8:$FD$8,$B155,Меню!$J$56:$FD$56)*Обложка!$D$17/60,SUMIF(Меню!$J$8:$FD$8,$B155,Меню!$J$56:$FD$56)/1000*Обложка!$D$17)</f>
        <v>0</v>
      </c>
      <c r="G155" s="212">
        <f>IF($B155="Яйцо (шт)",SUMIF(Меню!$J$8:$FD$8,$B155,Меню!$J$61:$FD$61)*Обложка!$D$18/60,SUMIF(Меню!$J$8:$FD$8,$B155,Меню!$J$61:$FD$61)/1000*Обложка!$D$18)</f>
        <v>0</v>
      </c>
      <c r="H155" s="685">
        <f t="shared" si="18"/>
        <v>0</v>
      </c>
      <c r="I155" s="212">
        <f>IF($B155="Яйцо (шт)",SUMIF(Меню!$J$8:$FD$8,$B155,Меню!$J$73:$FD$73)*Обложка!$F$15/60,SUMIF(Меню!$J$8:$FD$8,$B155,Меню!$J$73:$FD$73)/1000*Обложка!$F$15)</f>
        <v>0</v>
      </c>
      <c r="J155" s="212">
        <f>IF($B155="Яйцо (шт)",SUMIF(Меню!$J$8:$FD$8,$B155,Меню!$J$88:$FD$88)*Обложка!$F$16/60,SUMIF(Меню!$J$8:$FD$8,$B155,Меню!$J$88:$FD$88)/1000*Обложка!$G$16)</f>
        <v>0</v>
      </c>
      <c r="K155" s="212">
        <f>IF($B155="Яйцо (шт)",SUMIF(Меню!$J$8:$FD$8,$B155,Меню!$J$101:$FD$101)*Обложка!$F$17/60,SUMIF(Меню!$J$8:$FD$8,$B155,Меню!$J$101:$FD$101)/1000*Обложка!$F$17)</f>
        <v>0</v>
      </c>
      <c r="L155" s="212">
        <f>IF($B155="Яйцо (шт)",SUMIF(Меню!$J$8:$FD$8,$B155,Меню!$J$106:$FD$106)*Обложка!$F$18/60,SUMIF(Меню!$J$8:$FD$8,$B155,Меню!$J$106:$FD$106)/1000*Обложка!$F$18)</f>
        <v>0</v>
      </c>
      <c r="M155" s="685">
        <f t="shared" si="19"/>
        <v>0</v>
      </c>
      <c r="N155" s="212">
        <f>IF($B155="Яйцо (шт)",SUMIF(Меню!$J$8:$EZ$8,$B155,Меню!$J$118:$EZ$118)*Обложка!$H$15/60,SUMIF(Меню!$J$8:$EZ$8,$B155,Меню!$J$118:$EZ$118)/1000*Обложка!$H$15)</f>
        <v>0</v>
      </c>
      <c r="O155" s="212">
        <f>IF($B155="Яйцо (шт)",SUMIF(Меню!$J$8:$EZ$8,$B155,Меню!$J$133:$EZ$133)*Обложка!$H$16/60,SUMIF(Меню!$J$8:$EZ$8,$B155,Меню!$J$133:$EZ$133)/1000*Обложка!$H$16)</f>
        <v>0</v>
      </c>
      <c r="P155" s="212">
        <f>IF($B155="Яйцо (шт)",SUMIF(Меню!$J$8:$EZ$8,$B155,Меню!$J$146:$EZ$146)*Обложка!$H$17/60,SUMIF(Меню!$J$8:$EZ$8,$B155,Меню!$J$146:$EZ$146)/1000*Обложка!$H$17)</f>
        <v>0</v>
      </c>
      <c r="Q155" s="212">
        <f>IF($B155="Яйцо (шт)",SUMIF(Меню!$J$8:$EZ$8,$B155,Меню!$J$151:$EZ$151)*Обложка!$H$18/60,SUMIF(Меню!$J$8:$EZ$8,$B155,Меню!$J$151:$EZ$151)/1000*Обложка!$H$18)</f>
        <v>0</v>
      </c>
      <c r="R155" s="685">
        <f t="shared" si="20"/>
        <v>0</v>
      </c>
      <c r="S155" s="212">
        <f>IF($B155="Яйцо (шт)",SUMIF(Меню!$J$8:$EZ$8,$B155,Меню!$J$163:$EZ$163)*Обложка!$J$15/60,SUMIF(Меню!$J$8:$EZ$8,$B155,Меню!$J$163:$EZ$163)/1000*Обложка!$J$15)</f>
        <v>0</v>
      </c>
      <c r="T155" s="212">
        <f>IF($B155="Яйцо (шт)",SUMIF(Меню!$J$8:$EZ$8,$B155,Меню!$J$178:$EZ$178)*Обложка!$J$16/60,SUMIF(Меню!$J$8:$EZ$8,$B155,Меню!$J$178:$EZ$178)/1000*Обложка!$J$16)</f>
        <v>0</v>
      </c>
      <c r="U155" s="212">
        <f>IF($B155="Яйцо (шт)",SUMIF(Меню!$J$8:$EZ$8,$B155,Меню!$J$191:$EZ$191)*Обложка!$J$17/60,SUMIF(Меню!$J$8:$EZ$8,$B155,Меню!$J$191:$EZ$191)/1000*Обложка!$J$17)</f>
        <v>0</v>
      </c>
      <c r="V155" s="212">
        <f>IF($B155="Яйцо (шт)",SUMIF(Меню!$J$8:$EZ$8,$B155,Меню!$J$196:$EZ$196)*Обложка!$J$18/60,SUMIF(Меню!$J$8:$EZ$8,$B155,Меню!$J$196:$EZ$196)/1000*Обложка!$J$18)</f>
        <v>0</v>
      </c>
      <c r="W155" s="685">
        <f t="shared" si="21"/>
        <v>0</v>
      </c>
      <c r="X155" s="212">
        <f>IF($B155="Яйцо (шт)",SUMIF(Меню!$J$8:$EZ$8,$B155,Меню!$J$208:$EZ$208)*Обложка!$L$15/60,SUMIF(Меню!$J$8:$EZ$8,$B155,Меню!$J$208:$EZ$208)/1000*Обложка!$L$15)</f>
        <v>0</v>
      </c>
      <c r="Y155" s="212">
        <f>IF($B155="Яйцо (шт)",SUMIF(Меню!$J$8:$EZ$8,$B155,Меню!$J$223:$EZ$223)*Обложка!$L$16/60,SUMIF(Меню!$J$8:$EZ$8,$B155,Меню!$J$223:$EZ$223)/1000*Обложка!$J$16)</f>
        <v>0</v>
      </c>
      <c r="Z155" s="212">
        <f>IF($B155="Яйцо (шт)",SUMIF(Меню!$J$8:$EZ$8,$B155,Меню!$J$236:$EZ$236)*Обложка!$L$17/60,SUMIF(Меню!$J$8:$EZ$8,$B155,Меню!$J$236:$EZ$236)/1000*Обложка!$L$17)</f>
        <v>0</v>
      </c>
      <c r="AA155" s="212">
        <f>IF($B155="Яйцо (шт)",SUMIF(Меню!$J$8:$EZ$8,$B155,Меню!$J$241:$EZ$241)*Обложка!$L$18/60,SUMIF(Меню!$J$8:$EZ$8,$B155,Меню!$J$241:$EZ$241)/1000*Обложка!$L$18)</f>
        <v>0</v>
      </c>
      <c r="AB155" s="685">
        <f t="shared" si="22"/>
        <v>0</v>
      </c>
      <c r="AC155" s="212">
        <f>IF($B155="Яйцо (шт)",SUMIF(Меню!$J$8:$EZ$8,$B155,Меню!$J$253:$EZ$253)*Обложка!$N$15/60,SUMIF(Меню!$J$8:$EZ$8,$B155,Меню!$J$253:$EZ$253)/1000*Обложка!$N$15)</f>
        <v>0</v>
      </c>
      <c r="AD155" s="212">
        <f>IF($B155="Яйцо (шт)",SUMIF(Меню!$J$8:$EZ$8,$B155,Меню!$J$268:$EZ$268)*Обложка!$N$16/60,SUMIF(Меню!$J$8:$EZ$8,$B155,Меню!$J$268:$EZ$268)/1000*Обложка!$N$16)</f>
        <v>0</v>
      </c>
      <c r="AE155" s="212">
        <f>IF($B155="Яйцо (шт)",SUMIF(Меню!$J$8:$EZ$8,$B155,Меню!$J$281:$EZ$281)*Обложка!$N$17/60,SUMIF(Меню!$J$8:$EZ$8,$B155,Меню!$J$281:$EZ$281)/1000*Обложка!$N$17)</f>
        <v>0</v>
      </c>
      <c r="AF155" s="212">
        <f>IF($B155="Яйцо (шт)",SUMIF(Меню!$J$8:$EZ$8,$B155,Меню!$J$286:$EZ$286)*Обложка!$N$18/60,SUMIF(Меню!$J$8:$EZ$8,$B155,Меню!$J$286:$EZ$286)/1000*Обложка!$N$18)</f>
        <v>0</v>
      </c>
      <c r="AG155" s="685">
        <f t="shared" si="23"/>
        <v>0</v>
      </c>
      <c r="AH155" s="212">
        <f>IF($B155="Яйцо (шт)",SUMIF(Меню!$J$8:$EZ$8,$B155,Меню!$J$298:$EZ$298)*Обложка!$P$15/60,SUMIF(Меню!$J$8:$EZ$8,$B155,Меню!$J$298:$EZ$298)/1000*Обложка!$P$15)</f>
        <v>0</v>
      </c>
      <c r="AI155" s="212">
        <f>IF($B155="Яйцо (шт)",SUMIF(Меню!$J$8:$EZ$8,$BB155,Меню!$J$313:$EZ$313)*Обложка!$P$16/60,SUMIF(Меню!$J$8:$EZ$8,$B155,Меню!$J$313:$EZ$313)/1000*Обложка!$P$16)</f>
        <v>0</v>
      </c>
      <c r="AJ155" s="212">
        <f>IF($B155="Яйцо (шт)",SUMIF(Меню!$J$8:$EZ$8,$B155,Меню!$J$326:$EZ$326)*Обложка!$P$17/60,SUMIF(Меню!$J$8:$EZ$8,$B155,Меню!$J$326:$EZ$326)/1000*Обложка!$P$17)</f>
        <v>0</v>
      </c>
      <c r="AK155" s="212">
        <f>IF($B155="Яйцо (шт)",SUMIF(Меню!$J$8:$EZ$8,$B155,Меню!$J$331:$EZ$331)*Обложка!$P$18/60,SUMIF(Меню!$J$8:$EZ$8,$B155,Меню!$J$331:$EZ$331)/1000*Обложка!$P$18)</f>
        <v>0</v>
      </c>
      <c r="AL155" s="699">
        <f t="shared" si="24"/>
        <v>0</v>
      </c>
      <c r="AM155" s="685">
        <f t="shared" si="25"/>
        <v>0</v>
      </c>
    </row>
    <row r="156" spans="1:39" x14ac:dyDescent="0.25">
      <c r="A156" s="249">
        <f t="shared" si="26"/>
        <v>144</v>
      </c>
      <c r="B156" s="248" t="str">
        <f>инфо!D145</f>
        <v>Конфеты шоколадные</v>
      </c>
      <c r="C156" s="694">
        <f>SUMIF(Меню!$J$8:$FD$8,$B156,Меню!$J$333:$FD$333)</f>
        <v>0</v>
      </c>
      <c r="D156" s="212">
        <f>IF($B156="Яйцо (шт)",SUMIF(Меню!$J$8:$FD$8,$B156,Меню!$J$28:$FD$28)*Обложка!$D$15/60,SUMIF(Меню!$J$8:$FD$8,$B156,Меню!$J$28:$FD$28)/1000*Обложка!$D$15)</f>
        <v>0</v>
      </c>
      <c r="E156" s="212">
        <f>IF($B156="Яйцо (шт)",SUMIF(Меню!$J$8:$FD$8,$B156,Меню!$J$43:$FD$43)*Обложка!$D$16/60,SUMIF(Меню!$J$8:$FD$8,$B156,Меню!$J$43:$FD$43)/1000*Обложка!$D$16)</f>
        <v>0</v>
      </c>
      <c r="F156" s="212">
        <f>IF($B156="Яйцо (шт)",SUMIF(Меню!$J$8:$FD$8,$B156,Меню!$J$56:$FD$56)*Обложка!$D$17/60,SUMIF(Меню!$J$8:$FD$8,$B156,Меню!$J$56:$FD$56)/1000*Обложка!$D$17)</f>
        <v>0</v>
      </c>
      <c r="G156" s="212">
        <f>IF($B156="Яйцо (шт)",SUMIF(Меню!$J$8:$FD$8,$B156,Меню!$J$61:$FD$61)*Обложка!$D$18/60,SUMIF(Меню!$J$8:$FD$8,$B156,Меню!$J$61:$FD$61)/1000*Обложка!$D$18)</f>
        <v>0</v>
      </c>
      <c r="H156" s="685">
        <f t="shared" si="18"/>
        <v>0</v>
      </c>
      <c r="I156" s="212">
        <f>IF($B156="Яйцо (шт)",SUMIF(Меню!$J$8:$FD$8,$B156,Меню!$J$73:$FD$73)*Обложка!$F$15/60,SUMIF(Меню!$J$8:$FD$8,$B156,Меню!$J$73:$FD$73)/1000*Обложка!$F$15)</f>
        <v>0</v>
      </c>
      <c r="J156" s="212">
        <f>IF($B156="Яйцо (шт)",SUMIF(Меню!$J$8:$FD$8,$B156,Меню!$J$88:$FD$88)*Обложка!$F$16/60,SUMIF(Меню!$J$8:$FD$8,$B156,Меню!$J$88:$FD$88)/1000*Обложка!$G$16)</f>
        <v>0</v>
      </c>
      <c r="K156" s="212">
        <f>IF($B156="Яйцо (шт)",SUMIF(Меню!$J$8:$FD$8,$B156,Меню!$J$101:$FD$101)*Обложка!$F$17/60,SUMIF(Меню!$J$8:$FD$8,$B156,Меню!$J$101:$FD$101)/1000*Обложка!$F$17)</f>
        <v>0</v>
      </c>
      <c r="L156" s="212">
        <f>IF($B156="Яйцо (шт)",SUMIF(Меню!$J$8:$FD$8,$B156,Меню!$J$106:$FD$106)*Обложка!$F$18/60,SUMIF(Меню!$J$8:$FD$8,$B156,Меню!$J$106:$FD$106)/1000*Обложка!$F$18)</f>
        <v>0</v>
      </c>
      <c r="M156" s="685">
        <f t="shared" si="19"/>
        <v>0</v>
      </c>
      <c r="N156" s="212">
        <f>IF($B156="Яйцо (шт)",SUMIF(Меню!$J$8:$EZ$8,$B156,Меню!$J$118:$EZ$118)*Обложка!$H$15/60,SUMIF(Меню!$J$8:$EZ$8,$B156,Меню!$J$118:$EZ$118)/1000*Обложка!$H$15)</f>
        <v>0</v>
      </c>
      <c r="O156" s="212">
        <f>IF($B156="Яйцо (шт)",SUMIF(Меню!$J$8:$EZ$8,$B156,Меню!$J$133:$EZ$133)*Обложка!$H$16/60,SUMIF(Меню!$J$8:$EZ$8,$B156,Меню!$J$133:$EZ$133)/1000*Обложка!$H$16)</f>
        <v>0</v>
      </c>
      <c r="P156" s="212">
        <f>IF($B156="Яйцо (шт)",SUMIF(Меню!$J$8:$EZ$8,$B156,Меню!$J$146:$EZ$146)*Обложка!$H$17/60,SUMIF(Меню!$J$8:$EZ$8,$B156,Меню!$J$146:$EZ$146)/1000*Обложка!$H$17)</f>
        <v>0</v>
      </c>
      <c r="Q156" s="212">
        <f>IF($B156="Яйцо (шт)",SUMIF(Меню!$J$8:$EZ$8,$B156,Меню!$J$151:$EZ$151)*Обложка!$H$18/60,SUMIF(Меню!$J$8:$EZ$8,$B156,Меню!$J$151:$EZ$151)/1000*Обложка!$H$18)</f>
        <v>0</v>
      </c>
      <c r="R156" s="685">
        <f t="shared" si="20"/>
        <v>0</v>
      </c>
      <c r="S156" s="212">
        <f>IF($B156="Яйцо (шт)",SUMIF(Меню!$J$8:$EZ$8,$B156,Меню!$J$163:$EZ$163)*Обложка!$J$15/60,SUMIF(Меню!$J$8:$EZ$8,$B156,Меню!$J$163:$EZ$163)/1000*Обложка!$J$15)</f>
        <v>0</v>
      </c>
      <c r="T156" s="212">
        <f>IF($B156="Яйцо (шт)",SUMIF(Меню!$J$8:$EZ$8,$B156,Меню!$J$178:$EZ$178)*Обложка!$J$16/60,SUMIF(Меню!$J$8:$EZ$8,$B156,Меню!$J$178:$EZ$178)/1000*Обложка!$J$16)</f>
        <v>0</v>
      </c>
      <c r="U156" s="212">
        <f>IF($B156="Яйцо (шт)",SUMIF(Меню!$J$8:$EZ$8,$B156,Меню!$J$191:$EZ$191)*Обложка!$J$17/60,SUMIF(Меню!$J$8:$EZ$8,$B156,Меню!$J$191:$EZ$191)/1000*Обложка!$J$17)</f>
        <v>0</v>
      </c>
      <c r="V156" s="212">
        <f>IF($B156="Яйцо (шт)",SUMIF(Меню!$J$8:$EZ$8,$B156,Меню!$J$196:$EZ$196)*Обложка!$J$18/60,SUMIF(Меню!$J$8:$EZ$8,$B156,Меню!$J$196:$EZ$196)/1000*Обложка!$J$18)</f>
        <v>0</v>
      </c>
      <c r="W156" s="685">
        <f t="shared" si="21"/>
        <v>0</v>
      </c>
      <c r="X156" s="212">
        <f>IF($B156="Яйцо (шт)",SUMIF(Меню!$J$8:$EZ$8,$B156,Меню!$J$208:$EZ$208)*Обложка!$L$15/60,SUMIF(Меню!$J$8:$EZ$8,$B156,Меню!$J$208:$EZ$208)/1000*Обложка!$L$15)</f>
        <v>0</v>
      </c>
      <c r="Y156" s="212">
        <f>IF($B156="Яйцо (шт)",SUMIF(Меню!$J$8:$EZ$8,$B156,Меню!$J$223:$EZ$223)*Обложка!$L$16/60,SUMIF(Меню!$J$8:$EZ$8,$B156,Меню!$J$223:$EZ$223)/1000*Обложка!$J$16)</f>
        <v>0</v>
      </c>
      <c r="Z156" s="212">
        <f>IF($B156="Яйцо (шт)",SUMIF(Меню!$J$8:$EZ$8,$B156,Меню!$J$236:$EZ$236)*Обложка!$L$17/60,SUMIF(Меню!$J$8:$EZ$8,$B156,Меню!$J$236:$EZ$236)/1000*Обложка!$L$17)</f>
        <v>0</v>
      </c>
      <c r="AA156" s="212">
        <f>IF($B156="Яйцо (шт)",SUMIF(Меню!$J$8:$EZ$8,$B156,Меню!$J$241:$EZ$241)*Обложка!$L$18/60,SUMIF(Меню!$J$8:$EZ$8,$B156,Меню!$J$241:$EZ$241)/1000*Обложка!$L$18)</f>
        <v>0</v>
      </c>
      <c r="AB156" s="685">
        <f t="shared" si="22"/>
        <v>0</v>
      </c>
      <c r="AC156" s="212">
        <f>IF($B156="Яйцо (шт)",SUMIF(Меню!$J$8:$EZ$8,$B156,Меню!$J$253:$EZ$253)*Обложка!$N$15/60,SUMIF(Меню!$J$8:$EZ$8,$B156,Меню!$J$253:$EZ$253)/1000*Обложка!$N$15)</f>
        <v>0</v>
      </c>
      <c r="AD156" s="212">
        <f>IF($B156="Яйцо (шт)",SUMIF(Меню!$J$8:$EZ$8,$B156,Меню!$J$268:$EZ$268)*Обложка!$N$16/60,SUMIF(Меню!$J$8:$EZ$8,$B156,Меню!$J$268:$EZ$268)/1000*Обложка!$N$16)</f>
        <v>0</v>
      </c>
      <c r="AE156" s="212">
        <f>IF($B156="Яйцо (шт)",SUMIF(Меню!$J$8:$EZ$8,$B156,Меню!$J$281:$EZ$281)*Обложка!$N$17/60,SUMIF(Меню!$J$8:$EZ$8,$B156,Меню!$J$281:$EZ$281)/1000*Обложка!$N$17)</f>
        <v>0</v>
      </c>
      <c r="AF156" s="212">
        <f>IF($B156="Яйцо (шт)",SUMIF(Меню!$J$8:$EZ$8,$B156,Меню!$J$286:$EZ$286)*Обложка!$N$18/60,SUMIF(Меню!$J$8:$EZ$8,$B156,Меню!$J$286:$EZ$286)/1000*Обложка!$N$18)</f>
        <v>0</v>
      </c>
      <c r="AG156" s="685">
        <f t="shared" si="23"/>
        <v>0</v>
      </c>
      <c r="AH156" s="212">
        <f>IF($B156="Яйцо (шт)",SUMIF(Меню!$J$8:$EZ$8,$B156,Меню!$J$298:$EZ$298)*Обложка!$P$15/60,SUMIF(Меню!$J$8:$EZ$8,$B156,Меню!$J$298:$EZ$298)/1000*Обложка!$P$15)</f>
        <v>0</v>
      </c>
      <c r="AI156" s="212">
        <f>IF($B156="Яйцо (шт)",SUMIF(Меню!$J$8:$EZ$8,$BB156,Меню!$J$313:$EZ$313)*Обложка!$P$16/60,SUMIF(Меню!$J$8:$EZ$8,$B156,Меню!$J$313:$EZ$313)/1000*Обложка!$P$16)</f>
        <v>0</v>
      </c>
      <c r="AJ156" s="212">
        <f>IF($B156="Яйцо (шт)",SUMIF(Меню!$J$8:$EZ$8,$B156,Меню!$J$326:$EZ$326)*Обложка!$P$17/60,SUMIF(Меню!$J$8:$EZ$8,$B156,Меню!$J$326:$EZ$326)/1000*Обложка!$P$17)</f>
        <v>0</v>
      </c>
      <c r="AK156" s="212">
        <f>IF($B156="Яйцо (шт)",SUMIF(Меню!$J$8:$EZ$8,$B156,Меню!$J$331:$EZ$331)*Обложка!$P$18/60,SUMIF(Меню!$J$8:$EZ$8,$B156,Меню!$J$331:$EZ$331)/1000*Обложка!$P$18)</f>
        <v>0</v>
      </c>
      <c r="AL156" s="699">
        <f t="shared" si="24"/>
        <v>0</v>
      </c>
      <c r="AM156" s="685">
        <f t="shared" si="25"/>
        <v>0</v>
      </c>
    </row>
    <row r="157" spans="1:39" x14ac:dyDescent="0.25">
      <c r="A157" s="249">
        <f t="shared" si="26"/>
        <v>145</v>
      </c>
      <c r="B157" s="248" t="str">
        <f>инфо!D146</f>
        <v>Сладости и фрукты 1</v>
      </c>
      <c r="C157" s="694">
        <f>SUMIF(Меню!$J$8:$FD$8,$B157,Меню!$J$333:$FD$333)</f>
        <v>0</v>
      </c>
      <c r="D157" s="212">
        <f>IF($B157="Яйцо (шт)",SUMIF(Меню!$J$8:$FD$8,$B157,Меню!$J$28:$FD$28)*Обложка!$D$15/60,SUMIF(Меню!$J$8:$FD$8,$B157,Меню!$J$28:$FD$28)/1000*Обложка!$D$15)</f>
        <v>0</v>
      </c>
      <c r="E157" s="212">
        <f>IF($B157="Яйцо (шт)",SUMIF(Меню!$J$8:$FD$8,$B157,Меню!$J$43:$FD$43)*Обложка!$D$16/60,SUMIF(Меню!$J$8:$FD$8,$B157,Меню!$J$43:$FD$43)/1000*Обложка!$D$16)</f>
        <v>0</v>
      </c>
      <c r="F157" s="212">
        <f>IF($B157="Яйцо (шт)",SUMIF(Меню!$J$8:$FD$8,$B157,Меню!$J$56:$FD$56)*Обложка!$D$17/60,SUMIF(Меню!$J$8:$FD$8,$B157,Меню!$J$56:$FD$56)/1000*Обложка!$D$17)</f>
        <v>0</v>
      </c>
      <c r="G157" s="212">
        <f>IF($B157="Яйцо (шт)",SUMIF(Меню!$J$8:$FD$8,$B157,Меню!$J$61:$FD$61)*Обложка!$D$18/60,SUMIF(Меню!$J$8:$FD$8,$B157,Меню!$J$61:$FD$61)/1000*Обложка!$D$18)</f>
        <v>0</v>
      </c>
      <c r="H157" s="685">
        <f t="shared" si="18"/>
        <v>0</v>
      </c>
      <c r="I157" s="212">
        <f>IF($B157="Яйцо (шт)",SUMIF(Меню!$J$8:$FD$8,$B157,Меню!$J$73:$FD$73)*Обложка!$F$15/60,SUMIF(Меню!$J$8:$FD$8,$B157,Меню!$J$73:$FD$73)/1000*Обложка!$F$15)</f>
        <v>0</v>
      </c>
      <c r="J157" s="212">
        <f>IF($B157="Яйцо (шт)",SUMIF(Меню!$J$8:$FD$8,$B157,Меню!$J$88:$FD$88)*Обложка!$F$16/60,SUMIF(Меню!$J$8:$FD$8,$B157,Меню!$J$88:$FD$88)/1000*Обложка!$G$16)</f>
        <v>0</v>
      </c>
      <c r="K157" s="212">
        <f>IF($B157="Яйцо (шт)",SUMIF(Меню!$J$8:$FD$8,$B157,Меню!$J$101:$FD$101)*Обложка!$F$17/60,SUMIF(Меню!$J$8:$FD$8,$B157,Меню!$J$101:$FD$101)/1000*Обложка!$F$17)</f>
        <v>0</v>
      </c>
      <c r="L157" s="212">
        <f>IF($B157="Яйцо (шт)",SUMIF(Меню!$J$8:$FD$8,$B157,Меню!$J$106:$FD$106)*Обложка!$F$18/60,SUMIF(Меню!$J$8:$FD$8,$B157,Меню!$J$106:$FD$106)/1000*Обложка!$F$18)</f>
        <v>0</v>
      </c>
      <c r="M157" s="685">
        <f t="shared" si="19"/>
        <v>0</v>
      </c>
      <c r="N157" s="212">
        <f>IF($B157="Яйцо (шт)",SUMIF(Меню!$J$8:$EZ$8,$B157,Меню!$J$118:$EZ$118)*Обложка!$H$15/60,SUMIF(Меню!$J$8:$EZ$8,$B157,Меню!$J$118:$EZ$118)/1000*Обложка!$H$15)</f>
        <v>0</v>
      </c>
      <c r="O157" s="212">
        <f>IF($B157="Яйцо (шт)",SUMIF(Меню!$J$8:$EZ$8,$B157,Меню!$J$133:$EZ$133)*Обложка!$H$16/60,SUMIF(Меню!$J$8:$EZ$8,$B157,Меню!$J$133:$EZ$133)/1000*Обложка!$H$16)</f>
        <v>0</v>
      </c>
      <c r="P157" s="212">
        <f>IF($B157="Яйцо (шт)",SUMIF(Меню!$J$8:$EZ$8,$B157,Меню!$J$146:$EZ$146)*Обложка!$H$17/60,SUMIF(Меню!$J$8:$EZ$8,$B157,Меню!$J$146:$EZ$146)/1000*Обложка!$H$17)</f>
        <v>0</v>
      </c>
      <c r="Q157" s="212">
        <f>IF($B157="Яйцо (шт)",SUMIF(Меню!$J$8:$EZ$8,$B157,Меню!$J$151:$EZ$151)*Обложка!$H$18/60,SUMIF(Меню!$J$8:$EZ$8,$B157,Меню!$J$151:$EZ$151)/1000*Обложка!$H$18)</f>
        <v>0</v>
      </c>
      <c r="R157" s="685">
        <f t="shared" si="20"/>
        <v>0</v>
      </c>
      <c r="S157" s="212">
        <f>IF($B157="Яйцо (шт)",SUMIF(Меню!$J$8:$EZ$8,$B157,Меню!$J$163:$EZ$163)*Обложка!$J$15/60,SUMIF(Меню!$J$8:$EZ$8,$B157,Меню!$J$163:$EZ$163)/1000*Обложка!$J$15)</f>
        <v>0</v>
      </c>
      <c r="T157" s="212">
        <f>IF($B157="Яйцо (шт)",SUMIF(Меню!$J$8:$EZ$8,$B157,Меню!$J$178:$EZ$178)*Обложка!$J$16/60,SUMIF(Меню!$J$8:$EZ$8,$B157,Меню!$J$178:$EZ$178)/1000*Обложка!$J$16)</f>
        <v>0</v>
      </c>
      <c r="U157" s="212">
        <f>IF($B157="Яйцо (шт)",SUMIF(Меню!$J$8:$EZ$8,$B157,Меню!$J$191:$EZ$191)*Обложка!$J$17/60,SUMIF(Меню!$J$8:$EZ$8,$B157,Меню!$J$191:$EZ$191)/1000*Обложка!$J$17)</f>
        <v>0</v>
      </c>
      <c r="V157" s="212">
        <f>IF($B157="Яйцо (шт)",SUMIF(Меню!$J$8:$EZ$8,$B157,Меню!$J$196:$EZ$196)*Обложка!$J$18/60,SUMIF(Меню!$J$8:$EZ$8,$B157,Меню!$J$196:$EZ$196)/1000*Обложка!$J$18)</f>
        <v>0</v>
      </c>
      <c r="W157" s="685">
        <f t="shared" si="21"/>
        <v>0</v>
      </c>
      <c r="X157" s="212">
        <f>IF($B157="Яйцо (шт)",SUMIF(Меню!$J$8:$EZ$8,$B157,Меню!$J$208:$EZ$208)*Обложка!$L$15/60,SUMIF(Меню!$J$8:$EZ$8,$B157,Меню!$J$208:$EZ$208)/1000*Обложка!$L$15)</f>
        <v>0</v>
      </c>
      <c r="Y157" s="212">
        <f>IF($B157="Яйцо (шт)",SUMIF(Меню!$J$8:$EZ$8,$B157,Меню!$J$223:$EZ$223)*Обложка!$L$16/60,SUMIF(Меню!$J$8:$EZ$8,$B157,Меню!$J$223:$EZ$223)/1000*Обложка!$J$16)</f>
        <v>0</v>
      </c>
      <c r="Z157" s="212">
        <f>IF($B157="Яйцо (шт)",SUMIF(Меню!$J$8:$EZ$8,$B157,Меню!$J$236:$EZ$236)*Обложка!$L$17/60,SUMIF(Меню!$J$8:$EZ$8,$B157,Меню!$J$236:$EZ$236)/1000*Обложка!$L$17)</f>
        <v>0</v>
      </c>
      <c r="AA157" s="212">
        <f>IF($B157="Яйцо (шт)",SUMIF(Меню!$J$8:$EZ$8,$B157,Меню!$J$241:$EZ$241)*Обложка!$L$18/60,SUMIF(Меню!$J$8:$EZ$8,$B157,Меню!$J$241:$EZ$241)/1000*Обложка!$L$18)</f>
        <v>0</v>
      </c>
      <c r="AB157" s="685">
        <f t="shared" si="22"/>
        <v>0</v>
      </c>
      <c r="AC157" s="212">
        <f>IF($B157="Яйцо (шт)",SUMIF(Меню!$J$8:$EZ$8,$B157,Меню!$J$253:$EZ$253)*Обложка!$N$15/60,SUMIF(Меню!$J$8:$EZ$8,$B157,Меню!$J$253:$EZ$253)/1000*Обложка!$N$15)</f>
        <v>0</v>
      </c>
      <c r="AD157" s="212">
        <f>IF($B157="Яйцо (шт)",SUMIF(Меню!$J$8:$EZ$8,$B157,Меню!$J$268:$EZ$268)*Обложка!$N$16/60,SUMIF(Меню!$J$8:$EZ$8,$B157,Меню!$J$268:$EZ$268)/1000*Обложка!$N$16)</f>
        <v>0</v>
      </c>
      <c r="AE157" s="212">
        <f>IF($B157="Яйцо (шт)",SUMIF(Меню!$J$8:$EZ$8,$B157,Меню!$J$281:$EZ$281)*Обложка!$N$17/60,SUMIF(Меню!$J$8:$EZ$8,$B157,Меню!$J$281:$EZ$281)/1000*Обложка!$N$17)</f>
        <v>0</v>
      </c>
      <c r="AF157" s="212">
        <f>IF($B157="Яйцо (шт)",SUMIF(Меню!$J$8:$EZ$8,$B157,Меню!$J$286:$EZ$286)*Обложка!$N$18/60,SUMIF(Меню!$J$8:$EZ$8,$B157,Меню!$J$286:$EZ$286)/1000*Обложка!$N$18)</f>
        <v>0</v>
      </c>
      <c r="AG157" s="685">
        <f t="shared" si="23"/>
        <v>0</v>
      </c>
      <c r="AH157" s="212">
        <f>IF($B157="Яйцо (шт)",SUMIF(Меню!$J$8:$EZ$8,$B157,Меню!$J$298:$EZ$298)*Обложка!$P$15/60,SUMIF(Меню!$J$8:$EZ$8,$B157,Меню!$J$298:$EZ$298)/1000*Обложка!$P$15)</f>
        <v>0</v>
      </c>
      <c r="AI157" s="212">
        <f>IF($B157="Яйцо (шт)",SUMIF(Меню!$J$8:$EZ$8,$BB157,Меню!$J$313:$EZ$313)*Обложка!$P$16/60,SUMIF(Меню!$J$8:$EZ$8,$B157,Меню!$J$313:$EZ$313)/1000*Обложка!$P$16)</f>
        <v>0</v>
      </c>
      <c r="AJ157" s="212">
        <f>IF($B157="Яйцо (шт)",SUMIF(Меню!$J$8:$EZ$8,$B157,Меню!$J$326:$EZ$326)*Обложка!$P$17/60,SUMIF(Меню!$J$8:$EZ$8,$B157,Меню!$J$326:$EZ$326)/1000*Обложка!$P$17)</f>
        <v>0</v>
      </c>
      <c r="AK157" s="212">
        <f>IF($B157="Яйцо (шт)",SUMIF(Меню!$J$8:$EZ$8,$B157,Меню!$J$331:$EZ$331)*Обложка!$P$18/60,SUMIF(Меню!$J$8:$EZ$8,$B157,Меню!$J$331:$EZ$331)/1000*Обложка!$P$18)</f>
        <v>0</v>
      </c>
      <c r="AL157" s="699">
        <f t="shared" si="24"/>
        <v>0</v>
      </c>
      <c r="AM157" s="685">
        <f t="shared" si="25"/>
        <v>0</v>
      </c>
    </row>
    <row r="158" spans="1:39" x14ac:dyDescent="0.25">
      <c r="A158" s="249">
        <f t="shared" si="26"/>
        <v>146</v>
      </c>
      <c r="B158" s="248" t="str">
        <f>инфо!D147</f>
        <v>Сладости и фрукты 2</v>
      </c>
      <c r="C158" s="694">
        <f>SUMIF(Меню!$J$8:$FD$8,$B158,Меню!$J$333:$FD$333)</f>
        <v>0</v>
      </c>
      <c r="D158" s="212">
        <f>IF($B158="Яйцо (шт)",SUMIF(Меню!$J$8:$FD$8,$B158,Меню!$J$28:$FD$28)*Обложка!$D$15/60,SUMIF(Меню!$J$8:$FD$8,$B158,Меню!$J$28:$FD$28)/1000*Обложка!$D$15)</f>
        <v>0</v>
      </c>
      <c r="E158" s="212">
        <f>IF($B158="Яйцо (шт)",SUMIF(Меню!$J$8:$FD$8,$B158,Меню!$J$43:$FD$43)*Обложка!$D$16/60,SUMIF(Меню!$J$8:$FD$8,$B158,Меню!$J$43:$FD$43)/1000*Обложка!$D$16)</f>
        <v>0</v>
      </c>
      <c r="F158" s="212">
        <f>IF($B158="Яйцо (шт)",SUMIF(Меню!$J$8:$FD$8,$B158,Меню!$J$56:$FD$56)*Обложка!$D$17/60,SUMIF(Меню!$J$8:$FD$8,$B158,Меню!$J$56:$FD$56)/1000*Обложка!$D$17)</f>
        <v>0</v>
      </c>
      <c r="G158" s="212">
        <f>IF($B158="Яйцо (шт)",SUMIF(Меню!$J$8:$FD$8,$B158,Меню!$J$61:$FD$61)*Обложка!$D$18/60,SUMIF(Меню!$J$8:$FD$8,$B158,Меню!$J$61:$FD$61)/1000*Обложка!$D$18)</f>
        <v>0</v>
      </c>
      <c r="H158" s="685">
        <f t="shared" si="18"/>
        <v>0</v>
      </c>
      <c r="I158" s="212">
        <f>IF($B158="Яйцо (шт)",SUMIF(Меню!$J$8:$FD$8,$B158,Меню!$J$73:$FD$73)*Обложка!$F$15/60,SUMIF(Меню!$J$8:$FD$8,$B158,Меню!$J$73:$FD$73)/1000*Обложка!$F$15)</f>
        <v>0</v>
      </c>
      <c r="J158" s="212">
        <f>IF($B158="Яйцо (шт)",SUMIF(Меню!$J$8:$FD$8,$B158,Меню!$J$88:$FD$88)*Обложка!$F$16/60,SUMIF(Меню!$J$8:$FD$8,$B158,Меню!$J$88:$FD$88)/1000*Обложка!$G$16)</f>
        <v>0</v>
      </c>
      <c r="K158" s="212">
        <f>IF($B158="Яйцо (шт)",SUMIF(Меню!$J$8:$FD$8,$B158,Меню!$J$101:$FD$101)*Обложка!$F$17/60,SUMIF(Меню!$J$8:$FD$8,$B158,Меню!$J$101:$FD$101)/1000*Обложка!$F$17)</f>
        <v>0</v>
      </c>
      <c r="L158" s="212">
        <f>IF($B158="Яйцо (шт)",SUMIF(Меню!$J$8:$FD$8,$B158,Меню!$J$106:$FD$106)*Обложка!$F$18/60,SUMIF(Меню!$J$8:$FD$8,$B158,Меню!$J$106:$FD$106)/1000*Обложка!$F$18)</f>
        <v>0</v>
      </c>
      <c r="M158" s="685">
        <f t="shared" si="19"/>
        <v>0</v>
      </c>
      <c r="N158" s="212">
        <f>IF($B158="Яйцо (шт)",SUMIF(Меню!$J$8:$EZ$8,$B158,Меню!$J$118:$EZ$118)*Обложка!$H$15/60,SUMIF(Меню!$J$8:$EZ$8,$B158,Меню!$J$118:$EZ$118)/1000*Обложка!$H$15)</f>
        <v>0</v>
      </c>
      <c r="O158" s="212">
        <f>IF($B158="Яйцо (шт)",SUMIF(Меню!$J$8:$EZ$8,$B158,Меню!$J$133:$EZ$133)*Обложка!$H$16/60,SUMIF(Меню!$J$8:$EZ$8,$B158,Меню!$J$133:$EZ$133)/1000*Обложка!$H$16)</f>
        <v>0</v>
      </c>
      <c r="P158" s="212">
        <f>IF($B158="Яйцо (шт)",SUMIF(Меню!$J$8:$EZ$8,$B158,Меню!$J$146:$EZ$146)*Обложка!$H$17/60,SUMIF(Меню!$J$8:$EZ$8,$B158,Меню!$J$146:$EZ$146)/1000*Обложка!$H$17)</f>
        <v>0</v>
      </c>
      <c r="Q158" s="212">
        <f>IF($B158="Яйцо (шт)",SUMIF(Меню!$J$8:$EZ$8,$B158,Меню!$J$151:$EZ$151)*Обложка!$H$18/60,SUMIF(Меню!$J$8:$EZ$8,$B158,Меню!$J$151:$EZ$151)/1000*Обложка!$H$18)</f>
        <v>0</v>
      </c>
      <c r="R158" s="685">
        <f t="shared" si="20"/>
        <v>0</v>
      </c>
      <c r="S158" s="212">
        <f>IF($B158="Яйцо (шт)",SUMIF(Меню!$J$8:$EZ$8,$B158,Меню!$J$163:$EZ$163)*Обложка!$J$15/60,SUMIF(Меню!$J$8:$EZ$8,$B158,Меню!$J$163:$EZ$163)/1000*Обложка!$J$15)</f>
        <v>0</v>
      </c>
      <c r="T158" s="212">
        <f>IF($B158="Яйцо (шт)",SUMIF(Меню!$J$8:$EZ$8,$B158,Меню!$J$178:$EZ$178)*Обложка!$J$16/60,SUMIF(Меню!$J$8:$EZ$8,$B158,Меню!$J$178:$EZ$178)/1000*Обложка!$J$16)</f>
        <v>0</v>
      </c>
      <c r="U158" s="212">
        <f>IF($B158="Яйцо (шт)",SUMIF(Меню!$J$8:$EZ$8,$B158,Меню!$J$191:$EZ$191)*Обложка!$J$17/60,SUMIF(Меню!$J$8:$EZ$8,$B158,Меню!$J$191:$EZ$191)/1000*Обложка!$J$17)</f>
        <v>0</v>
      </c>
      <c r="V158" s="212">
        <f>IF($B158="Яйцо (шт)",SUMIF(Меню!$J$8:$EZ$8,$B158,Меню!$J$196:$EZ$196)*Обложка!$J$18/60,SUMIF(Меню!$J$8:$EZ$8,$B158,Меню!$J$196:$EZ$196)/1000*Обложка!$J$18)</f>
        <v>0</v>
      </c>
      <c r="W158" s="685">
        <f t="shared" si="21"/>
        <v>0</v>
      </c>
      <c r="X158" s="212">
        <f>IF($B158="Яйцо (шт)",SUMIF(Меню!$J$8:$EZ$8,$B158,Меню!$J$208:$EZ$208)*Обложка!$L$15/60,SUMIF(Меню!$J$8:$EZ$8,$B158,Меню!$J$208:$EZ$208)/1000*Обложка!$L$15)</f>
        <v>0</v>
      </c>
      <c r="Y158" s="212">
        <f>IF($B158="Яйцо (шт)",SUMIF(Меню!$J$8:$EZ$8,$B158,Меню!$J$223:$EZ$223)*Обложка!$L$16/60,SUMIF(Меню!$J$8:$EZ$8,$B158,Меню!$J$223:$EZ$223)/1000*Обложка!$J$16)</f>
        <v>0</v>
      </c>
      <c r="Z158" s="212">
        <f>IF($B158="Яйцо (шт)",SUMIF(Меню!$J$8:$EZ$8,$B158,Меню!$J$236:$EZ$236)*Обложка!$L$17/60,SUMIF(Меню!$J$8:$EZ$8,$B158,Меню!$J$236:$EZ$236)/1000*Обложка!$L$17)</f>
        <v>0</v>
      </c>
      <c r="AA158" s="212">
        <f>IF($B158="Яйцо (шт)",SUMIF(Меню!$J$8:$EZ$8,$B158,Меню!$J$241:$EZ$241)*Обложка!$L$18/60,SUMIF(Меню!$J$8:$EZ$8,$B158,Меню!$J$241:$EZ$241)/1000*Обложка!$L$18)</f>
        <v>0</v>
      </c>
      <c r="AB158" s="685">
        <f t="shared" si="22"/>
        <v>0</v>
      </c>
      <c r="AC158" s="212">
        <f>IF($B158="Яйцо (шт)",SUMIF(Меню!$J$8:$EZ$8,$B158,Меню!$J$253:$EZ$253)*Обложка!$N$15/60,SUMIF(Меню!$J$8:$EZ$8,$B158,Меню!$J$253:$EZ$253)/1000*Обложка!$N$15)</f>
        <v>0</v>
      </c>
      <c r="AD158" s="212">
        <f>IF($B158="Яйцо (шт)",SUMIF(Меню!$J$8:$EZ$8,$B158,Меню!$J$268:$EZ$268)*Обложка!$N$16/60,SUMIF(Меню!$J$8:$EZ$8,$B158,Меню!$J$268:$EZ$268)/1000*Обложка!$N$16)</f>
        <v>0</v>
      </c>
      <c r="AE158" s="212">
        <f>IF($B158="Яйцо (шт)",SUMIF(Меню!$J$8:$EZ$8,$B158,Меню!$J$281:$EZ$281)*Обложка!$N$17/60,SUMIF(Меню!$J$8:$EZ$8,$B158,Меню!$J$281:$EZ$281)/1000*Обложка!$N$17)</f>
        <v>0</v>
      </c>
      <c r="AF158" s="212">
        <f>IF($B158="Яйцо (шт)",SUMIF(Меню!$J$8:$EZ$8,$B158,Меню!$J$286:$EZ$286)*Обложка!$N$18/60,SUMIF(Меню!$J$8:$EZ$8,$B158,Меню!$J$286:$EZ$286)/1000*Обложка!$N$18)</f>
        <v>0</v>
      </c>
      <c r="AG158" s="685">
        <f t="shared" si="23"/>
        <v>0</v>
      </c>
      <c r="AH158" s="212">
        <f>IF($B158="Яйцо (шт)",SUMIF(Меню!$J$8:$EZ$8,$B158,Меню!$J$298:$EZ$298)*Обложка!$P$15/60,SUMIF(Меню!$J$8:$EZ$8,$B158,Меню!$J$298:$EZ$298)/1000*Обложка!$P$15)</f>
        <v>0</v>
      </c>
      <c r="AI158" s="212">
        <f>IF($B158="Яйцо (шт)",SUMIF(Меню!$J$8:$EZ$8,$BB158,Меню!$J$313:$EZ$313)*Обложка!$P$16/60,SUMIF(Меню!$J$8:$EZ$8,$B158,Меню!$J$313:$EZ$313)/1000*Обложка!$P$16)</f>
        <v>0</v>
      </c>
      <c r="AJ158" s="212">
        <f>IF($B158="Яйцо (шт)",SUMIF(Меню!$J$8:$EZ$8,$B158,Меню!$J$326:$EZ$326)*Обложка!$P$17/60,SUMIF(Меню!$J$8:$EZ$8,$B158,Меню!$J$326:$EZ$326)/1000*Обложка!$P$17)</f>
        <v>0</v>
      </c>
      <c r="AK158" s="212">
        <f>IF($B158="Яйцо (шт)",SUMIF(Меню!$J$8:$EZ$8,$B158,Меню!$J$331:$EZ$331)*Обложка!$P$18/60,SUMIF(Меню!$J$8:$EZ$8,$B158,Меню!$J$331:$EZ$331)/1000*Обложка!$P$18)</f>
        <v>0</v>
      </c>
      <c r="AL158" s="699">
        <f t="shared" si="24"/>
        <v>0</v>
      </c>
      <c r="AM158" s="685">
        <f t="shared" si="25"/>
        <v>0</v>
      </c>
    </row>
    <row r="159" spans="1:39" x14ac:dyDescent="0.25">
      <c r="A159" s="249">
        <f t="shared" si="26"/>
        <v>147</v>
      </c>
      <c r="B159" s="248" t="str">
        <f>инфо!D148</f>
        <v>Сладости и фрукты 3</v>
      </c>
      <c r="C159" s="694">
        <f>SUMIF(Меню!$J$8:$FD$8,$B159,Меню!$J$333:$FD$333)</f>
        <v>0</v>
      </c>
      <c r="D159" s="212">
        <f>IF($B159="Яйцо (шт)",SUMIF(Меню!$J$8:$FD$8,$B159,Меню!$J$28:$FD$28)*Обложка!$D$15/60,SUMIF(Меню!$J$8:$FD$8,$B159,Меню!$J$28:$FD$28)/1000*Обложка!$D$15)</f>
        <v>0</v>
      </c>
      <c r="E159" s="212">
        <f>IF($B159="Яйцо (шт)",SUMIF(Меню!$J$8:$FD$8,$B159,Меню!$J$43:$FD$43)*Обложка!$D$16/60,SUMIF(Меню!$J$8:$FD$8,$B159,Меню!$J$43:$FD$43)/1000*Обложка!$D$16)</f>
        <v>0</v>
      </c>
      <c r="F159" s="212">
        <f>IF($B159="Яйцо (шт)",SUMIF(Меню!$J$8:$FD$8,$B159,Меню!$J$56:$FD$56)*Обложка!$D$17/60,SUMIF(Меню!$J$8:$FD$8,$B159,Меню!$J$56:$FD$56)/1000*Обложка!$D$17)</f>
        <v>0</v>
      </c>
      <c r="G159" s="212">
        <f>IF($B159="Яйцо (шт)",SUMIF(Меню!$J$8:$FD$8,$B159,Меню!$J$61:$FD$61)*Обложка!$D$18/60,SUMIF(Меню!$J$8:$FD$8,$B159,Меню!$J$61:$FD$61)/1000*Обложка!$D$18)</f>
        <v>0</v>
      </c>
      <c r="H159" s="685">
        <f t="shared" si="18"/>
        <v>0</v>
      </c>
      <c r="I159" s="212">
        <f>IF($B159="Яйцо (шт)",SUMIF(Меню!$J$8:$FD$8,$B159,Меню!$J$73:$FD$73)*Обложка!$F$15/60,SUMIF(Меню!$J$8:$FD$8,$B159,Меню!$J$73:$FD$73)/1000*Обложка!$F$15)</f>
        <v>0</v>
      </c>
      <c r="J159" s="212">
        <f>IF($B159="Яйцо (шт)",SUMIF(Меню!$J$8:$FD$8,$B159,Меню!$J$88:$FD$88)*Обложка!$F$16/60,SUMIF(Меню!$J$8:$FD$8,$B159,Меню!$J$88:$FD$88)/1000*Обложка!$G$16)</f>
        <v>0</v>
      </c>
      <c r="K159" s="212">
        <f>IF($B159="Яйцо (шт)",SUMIF(Меню!$J$8:$FD$8,$B159,Меню!$J$101:$FD$101)*Обложка!$F$17/60,SUMIF(Меню!$J$8:$FD$8,$B159,Меню!$J$101:$FD$101)/1000*Обложка!$F$17)</f>
        <v>0</v>
      </c>
      <c r="L159" s="212">
        <f>IF($B159="Яйцо (шт)",SUMIF(Меню!$J$8:$FD$8,$B159,Меню!$J$106:$FD$106)*Обложка!$F$18/60,SUMIF(Меню!$J$8:$FD$8,$B159,Меню!$J$106:$FD$106)/1000*Обложка!$F$18)</f>
        <v>0</v>
      </c>
      <c r="M159" s="685">
        <f t="shared" si="19"/>
        <v>0</v>
      </c>
      <c r="N159" s="212">
        <f>IF($B159="Яйцо (шт)",SUMIF(Меню!$J$8:$EZ$8,$B159,Меню!$J$118:$EZ$118)*Обложка!$H$15/60,SUMIF(Меню!$J$8:$EZ$8,$B159,Меню!$J$118:$EZ$118)/1000*Обложка!$H$15)</f>
        <v>0</v>
      </c>
      <c r="O159" s="212">
        <f>IF($B159="Яйцо (шт)",SUMIF(Меню!$J$8:$EZ$8,$B159,Меню!$J$133:$EZ$133)*Обложка!$H$16/60,SUMIF(Меню!$J$8:$EZ$8,$B159,Меню!$J$133:$EZ$133)/1000*Обложка!$H$16)</f>
        <v>0</v>
      </c>
      <c r="P159" s="212">
        <f>IF($B159="Яйцо (шт)",SUMIF(Меню!$J$8:$EZ$8,$B159,Меню!$J$146:$EZ$146)*Обложка!$H$17/60,SUMIF(Меню!$J$8:$EZ$8,$B159,Меню!$J$146:$EZ$146)/1000*Обложка!$H$17)</f>
        <v>0</v>
      </c>
      <c r="Q159" s="212">
        <f>IF($B159="Яйцо (шт)",SUMIF(Меню!$J$8:$EZ$8,$B159,Меню!$J$151:$EZ$151)*Обложка!$H$18/60,SUMIF(Меню!$J$8:$EZ$8,$B159,Меню!$J$151:$EZ$151)/1000*Обложка!$H$18)</f>
        <v>0</v>
      </c>
      <c r="R159" s="685">
        <f t="shared" si="20"/>
        <v>0</v>
      </c>
      <c r="S159" s="212">
        <f>IF($B159="Яйцо (шт)",SUMIF(Меню!$J$8:$EZ$8,$B159,Меню!$J$163:$EZ$163)*Обложка!$J$15/60,SUMIF(Меню!$J$8:$EZ$8,$B159,Меню!$J$163:$EZ$163)/1000*Обложка!$J$15)</f>
        <v>0</v>
      </c>
      <c r="T159" s="212">
        <f>IF($B159="Яйцо (шт)",SUMIF(Меню!$J$8:$EZ$8,$B159,Меню!$J$178:$EZ$178)*Обложка!$J$16/60,SUMIF(Меню!$J$8:$EZ$8,$B159,Меню!$J$178:$EZ$178)/1000*Обложка!$J$16)</f>
        <v>0</v>
      </c>
      <c r="U159" s="212">
        <f>IF($B159="Яйцо (шт)",SUMIF(Меню!$J$8:$EZ$8,$B159,Меню!$J$191:$EZ$191)*Обложка!$J$17/60,SUMIF(Меню!$J$8:$EZ$8,$B159,Меню!$J$191:$EZ$191)/1000*Обложка!$J$17)</f>
        <v>0</v>
      </c>
      <c r="V159" s="212">
        <f>IF($B159="Яйцо (шт)",SUMIF(Меню!$J$8:$EZ$8,$B159,Меню!$J$196:$EZ$196)*Обложка!$J$18/60,SUMIF(Меню!$J$8:$EZ$8,$B159,Меню!$J$196:$EZ$196)/1000*Обложка!$J$18)</f>
        <v>0</v>
      </c>
      <c r="W159" s="685">
        <f t="shared" si="21"/>
        <v>0</v>
      </c>
      <c r="X159" s="212">
        <f>IF($B159="Яйцо (шт)",SUMIF(Меню!$J$8:$EZ$8,$B159,Меню!$J$208:$EZ$208)*Обложка!$L$15/60,SUMIF(Меню!$J$8:$EZ$8,$B159,Меню!$J$208:$EZ$208)/1000*Обложка!$L$15)</f>
        <v>0</v>
      </c>
      <c r="Y159" s="212">
        <f>IF($B159="Яйцо (шт)",SUMIF(Меню!$J$8:$EZ$8,$B159,Меню!$J$223:$EZ$223)*Обложка!$L$16/60,SUMIF(Меню!$J$8:$EZ$8,$B159,Меню!$J$223:$EZ$223)/1000*Обложка!$J$16)</f>
        <v>0</v>
      </c>
      <c r="Z159" s="212">
        <f>IF($B159="Яйцо (шт)",SUMIF(Меню!$J$8:$EZ$8,$B159,Меню!$J$236:$EZ$236)*Обложка!$L$17/60,SUMIF(Меню!$J$8:$EZ$8,$B159,Меню!$J$236:$EZ$236)/1000*Обложка!$L$17)</f>
        <v>0</v>
      </c>
      <c r="AA159" s="212">
        <f>IF($B159="Яйцо (шт)",SUMIF(Меню!$J$8:$EZ$8,$B159,Меню!$J$241:$EZ$241)*Обложка!$L$18/60,SUMIF(Меню!$J$8:$EZ$8,$B159,Меню!$J$241:$EZ$241)/1000*Обложка!$L$18)</f>
        <v>0</v>
      </c>
      <c r="AB159" s="685">
        <f t="shared" si="22"/>
        <v>0</v>
      </c>
      <c r="AC159" s="212">
        <f>IF($B159="Яйцо (шт)",SUMIF(Меню!$J$8:$EZ$8,$B159,Меню!$J$253:$EZ$253)*Обложка!$N$15/60,SUMIF(Меню!$J$8:$EZ$8,$B159,Меню!$J$253:$EZ$253)/1000*Обложка!$N$15)</f>
        <v>0</v>
      </c>
      <c r="AD159" s="212">
        <f>IF($B159="Яйцо (шт)",SUMIF(Меню!$J$8:$EZ$8,$B159,Меню!$J$268:$EZ$268)*Обложка!$N$16/60,SUMIF(Меню!$J$8:$EZ$8,$B159,Меню!$J$268:$EZ$268)/1000*Обложка!$N$16)</f>
        <v>0</v>
      </c>
      <c r="AE159" s="212">
        <f>IF($B159="Яйцо (шт)",SUMIF(Меню!$J$8:$EZ$8,$B159,Меню!$J$281:$EZ$281)*Обложка!$N$17/60,SUMIF(Меню!$J$8:$EZ$8,$B159,Меню!$J$281:$EZ$281)/1000*Обложка!$N$17)</f>
        <v>0</v>
      </c>
      <c r="AF159" s="212">
        <f>IF($B159="Яйцо (шт)",SUMIF(Меню!$J$8:$EZ$8,$B159,Меню!$J$286:$EZ$286)*Обложка!$N$18/60,SUMIF(Меню!$J$8:$EZ$8,$B159,Меню!$J$286:$EZ$286)/1000*Обложка!$N$18)</f>
        <v>0</v>
      </c>
      <c r="AG159" s="685">
        <f t="shared" si="23"/>
        <v>0</v>
      </c>
      <c r="AH159" s="212">
        <f>IF($B159="Яйцо (шт)",SUMIF(Меню!$J$8:$EZ$8,$B159,Меню!$J$298:$EZ$298)*Обложка!$P$15/60,SUMIF(Меню!$J$8:$EZ$8,$B159,Меню!$J$298:$EZ$298)/1000*Обложка!$P$15)</f>
        <v>0</v>
      </c>
      <c r="AI159" s="212">
        <f>IF($B159="Яйцо (шт)",SUMIF(Меню!$J$8:$EZ$8,$BB159,Меню!$J$313:$EZ$313)*Обложка!$P$16/60,SUMIF(Меню!$J$8:$EZ$8,$B159,Меню!$J$313:$EZ$313)/1000*Обложка!$P$16)</f>
        <v>0</v>
      </c>
      <c r="AJ159" s="212">
        <f>IF($B159="Яйцо (шт)",SUMIF(Меню!$J$8:$EZ$8,$B159,Меню!$J$326:$EZ$326)*Обложка!$P$17/60,SUMIF(Меню!$J$8:$EZ$8,$B159,Меню!$J$326:$EZ$326)/1000*Обложка!$P$17)</f>
        <v>0</v>
      </c>
      <c r="AK159" s="212">
        <f>IF($B159="Яйцо (шт)",SUMIF(Меню!$J$8:$EZ$8,$B159,Меню!$J$331:$EZ$331)*Обложка!$P$18/60,SUMIF(Меню!$J$8:$EZ$8,$B159,Меню!$J$331:$EZ$331)/1000*Обложка!$P$18)</f>
        <v>0</v>
      </c>
      <c r="AL159" s="699">
        <f t="shared" si="24"/>
        <v>0</v>
      </c>
      <c r="AM159" s="685">
        <f t="shared" si="25"/>
        <v>0</v>
      </c>
    </row>
    <row r="160" spans="1:39" x14ac:dyDescent="0.25">
      <c r="A160" s="249"/>
      <c r="B160" s="250" t="s">
        <v>109</v>
      </c>
      <c r="C160" s="719">
        <f>Меню!FA333</f>
        <v>13866.5</v>
      </c>
      <c r="D160" s="717">
        <f>IF($B160="Яйцо (шт)",SUMIF(Меню!$J$6:$FD$6,$B160,Меню!$J$28:$FD$28)*Обложка!$D$15/60,SUMIF(Меню!$J$6:$FD$6,$B160,Меню!$J$28:$FD$28)/1000*Обложка!$D$15)</f>
        <v>50.629999999999995</v>
      </c>
      <c r="E160" s="717">
        <f>IF($B160="Яйцо (шт)",SUMIF(Меню!$J$6:$FD$6,$B160,Меню!$J$43:$FD$43)*Обложка!$D$16/60,SUMIF(Меню!$J$6:$FD$6,$B160,Меню!$J$43:$FD$43)/1000*Обложка!$D$16)</f>
        <v>102.47999999999999</v>
      </c>
      <c r="F160" s="717">
        <f>IF($B160="Яйцо (шт)",SUMIF(Меню!$J$6:$FD$6,$B160,Меню!$J$56:$FD$56)*Обложка!$D$17/60,SUMIF(Меню!$J$6:$FD$6,$B160,Меню!$J$56:$FD$56)/1000*Обложка!$D$17)</f>
        <v>168.35999999999999</v>
      </c>
      <c r="G160" s="717">
        <f>IF($B160="Яйцо (шт)",SUMIF(Меню!$J$6:$FD$6,$B160,Меню!$J$61:$FD$61)*Обложка!$D$18/60,SUMIF(Меню!$J$6:$FD$6,$B160,Меню!$J$61:$FD$61)/1000*Обложка!$D$18)</f>
        <v>0</v>
      </c>
      <c r="H160" s="718">
        <f t="shared" si="18"/>
        <v>321.46999999999997</v>
      </c>
      <c r="I160" s="717">
        <f>IF($B160="Яйцо (шт)",SUMIF(Меню!$J$6:$FD$6,$B160,Меню!$J$73:$FD$73)*Обложка!$F$15/60,SUMIF(Меню!$J$6:$FD$6,$B160,Меню!$J$73:$FD$73)/1000*Обложка!$F$15)</f>
        <v>55.04</v>
      </c>
      <c r="J160" s="717">
        <f>IF($B160="Яйцо (шт)",SUMIF(Меню!$J$6:$FD$6,$B160,Меню!$J$88:$FD$88)*Обложка!$F$16/60,SUMIF(Меню!$J$6:$FD$6,$B160,Меню!$J$88:$FD$88)/1000*Обложка!$G$16)</f>
        <v>17.05</v>
      </c>
      <c r="K160" s="717">
        <f>IF($B160="Яйцо (шт)",SUMIF(Меню!$J$6:$FD$6,$B160,Меню!$J$101:$FD$101)*Обложка!$F$17/60,SUMIF(Меню!$J$6:$FD$6,$B160,Меню!$J$101:$FD$101)/1000*Обложка!$F$17)</f>
        <v>34.190000000000005</v>
      </c>
      <c r="L160" s="717">
        <f>IF($B160="Яйцо (шт)",SUMIF(Меню!$J$6:$FD$6,$B160,Меню!$J$106:$FD$106)*Обложка!$F$18/60,SUMIF(Меню!$J$6:$FD$6,$B160,Меню!$J$106:$FD$106)/1000*Обложка!$F$18)</f>
        <v>0</v>
      </c>
      <c r="M160" s="718">
        <f t="shared" ref="M160:M163" si="27">SUM(I160:L160)</f>
        <v>106.28</v>
      </c>
      <c r="N160" s="717">
        <f>IF($B160="Яйцо (шт)",SUMIF(Меню!$J$6:$FD$6,$B160,Меню!$J$118:$FD$118)*Обложка!$H$15/60,SUMIF(Меню!$J$6:$FD$6,$B160,Меню!$J$118:$FD$118)/1000*Обложка!$H$15)</f>
        <v>47.724999999999994</v>
      </c>
      <c r="O160" s="717">
        <f>IF($B160="Яйцо (шт)",SUMIF(Меню!$J$6:$FD$6,$B160,Меню!$J$133:$FD$133)*Обложка!$H$16/60,SUMIF(Меню!$J$6:$FD$6,$B160,Меню!$J$133:$FD$133)/1000*Обложка!$H$16)</f>
        <v>91.425000000000011</v>
      </c>
      <c r="P160" s="717">
        <f>IF($B160="Яйцо (шт)",SUMIF(Меню!$J$6:$FD$6,$B160,Меню!$J$146:$FD$146)*Обложка!$H$17/60,SUMIF(Меню!$J$6:$FD$6,$B160,Меню!$J$146:$FD$146)/1000*Обложка!$H$17)</f>
        <v>80.787500000000009</v>
      </c>
      <c r="Q160" s="717">
        <f>IF($B160="Яйцо (шт)",SUMIF(Меню!$J$6:$FD$6,$B160,Меню!$J$151:$FD$151)*Обложка!$H$18/60,SUMIF(Меню!$J$6:$FD$6,$B160,Меню!$J$151:$FD$151)/1000*Обложка!$H$18)</f>
        <v>0</v>
      </c>
      <c r="R160" s="718">
        <f t="shared" ref="R160:R163" si="28">SUM(N160:Q160)</f>
        <v>219.9375</v>
      </c>
      <c r="S160" s="717">
        <f>IF($B160="Яйцо (шт)",SUMIF(Меню!$J$6:$FD$6,$B160,Меню!$J$163:$FD$163)*Обложка!$J$15/60,SUMIF(Меню!$J$6:$FD$6,$B160,Меню!$J$163:$FD$163)/1000*Обложка!$J$15)</f>
        <v>43.574999999999996</v>
      </c>
      <c r="T160" s="717">
        <f>IF($B160="Яйцо (шт)",SUMIF(Меню!$J$6:$FD$6,$B160,Меню!$J$178:$FD$178)*Обложка!$J$16/60,SUMIF(Меню!$J$6:$FD$6,$B160,Меню!$J$178:$FD$178)/1000*Обложка!$J$16)</f>
        <v>84</v>
      </c>
      <c r="U160" s="717">
        <f>IF($B160="Яйцо (шт)",SUMIF(Меню!$J$6:$FD$6,$B160,Меню!$J$191:$FD191)*Обложка!$J$17/60,SUMIF(Меню!$J$6:$FD$6,$B160,Меню!$J$191:$FD$191)/1000*Обложка!$J$17)</f>
        <v>65.17</v>
      </c>
      <c r="V160" s="717">
        <f>IF($B160="Яйцо (шт)",SUMIF(Меню!$J$6:$FD$6,$B160,Меню!$J$196:$FD$196)*Обложка!$J$18/60,SUMIF(Меню!$J$6:$FD$6,$B160,Меню!$J$196:$FD$196)/1000*Обложка!$J$18)</f>
        <v>0</v>
      </c>
      <c r="W160" s="718">
        <f t="shared" ref="W160:W163" si="29">SUM(S160:V160)</f>
        <v>192.745</v>
      </c>
      <c r="X160" s="717">
        <f>IF($B160="Яйцо (шт)",SUMIF(Меню!$J$6:$FD$6,$B160,Меню!$J$208:$FD$208)*Обложка!$L$15/60,SUMIF(Меню!$J$6:$FD$6,$B160,Меню!$J$208:$FD$208)/1000*Обложка!$L$15)</f>
        <v>58.099999999999994</v>
      </c>
      <c r="Y160" s="717">
        <f>IF($B160="Яйцо (шт)",SUMIF(Меню!$J$6:$FD$6,$B160,Меню!$J$223:$FD$223)*Обложка!$L$16/60,SUMIF(Меню!$J$6:$FD$6,$B160,Меню!$J$223:$FD$223)/1000*Обложка!$J$16)</f>
        <v>84</v>
      </c>
      <c r="Z160" s="717">
        <f>IF($B160="Яйцо (шт)",SUMIF(Меню!$J$6:$FD$6,$B160,Меню!$J$236:$FD$236)*Обложка!$L$17/60,SUMIF(Меню!$J$6:$FD$6,$B160,Меню!$J$236:$FD$236)/1000*Обложка!$L$17)</f>
        <v>23.275000000000002</v>
      </c>
      <c r="AA160" s="717">
        <f>IF($B160="Яйцо (шт)",SUMIF(Меню!$J$6:$FD$6,$B160,Меню!$J$241:$FD$241)*Обложка!$L$18/60,SUMIF(Меню!$J$6:$FD$6,$B160,Меню!$J$241:$FD$241)/1000*Обложка!$L$18)</f>
        <v>0</v>
      </c>
      <c r="AB160" s="718">
        <f t="shared" ref="AB160:AB163" si="30">SUM(X160:AA160)</f>
        <v>165.375</v>
      </c>
      <c r="AC160" s="717">
        <f>IF($B160="Яйцо (шт)",SUMIF(Меню!$J$6:$FD$6,$B160,Меню!$J$253:$FD$253)*Обложка!$N$15/60,SUMIF(Меню!$J$6:$FD$6,$B160,Меню!$J$253:$FD$253)/1000*Обложка!$N$15)</f>
        <v>19.350000000000001</v>
      </c>
      <c r="AD160" s="717">
        <f>IF($B160="Яйцо (шт)",SUMIF(Меню!$J$6:$FD$6,$B160,Меню!$J$268:$FD$268)*Обложка!$N$16/60,SUMIF(Меню!$J$6:$FD$6,$B160,Меню!$J$268:$FD$268)/1000*Обложка!$N$16)</f>
        <v>53.505000000000003</v>
      </c>
      <c r="AE160" s="717">
        <f>IF($B160="Яйцо (шт)",SUMIF(Меню!$J$6:$FD$6,$B160,Меню!$J$281:$FD$281)*Обложка!$N$17/60,SUMIF(Меню!$J$6:$FD$6,$B160,Меню!$J$281:$FD$281)/1000*Обложка!$N$17)</f>
        <v>29.925000000000001</v>
      </c>
      <c r="AF160" s="717">
        <f>IF($B160="Яйцо (шт)",SUMIF(Меню!$J$6:$FD$6,$B160,Меню!$J$286:$FD$286)*Обложка!$N$18/60,SUMIF(Меню!$J$6:$FD$6,$B160,Меню!$J$286:$FD$286)/1000*Обложка!$N$18)</f>
        <v>0</v>
      </c>
      <c r="AG160" s="718">
        <f t="shared" ref="AG160:AG163" si="31">SUM(AC160:AF160)</f>
        <v>102.78</v>
      </c>
      <c r="AH160" s="717">
        <f>IF($B160="Яйцо (шт)",SUMIF(Меню!$J$6:$FD$6,$B160,Меню!$J$298:$FD$298)*Обложка!$P$15/60,SUMIF(Меню!$J$6:$FD$6,$B160,Меню!$J$298:$FD$298)/1000*Обложка!$P$15)</f>
        <v>8.2999999999999989</v>
      </c>
      <c r="AI160" s="717">
        <f>IF($B160="Яйцо (шт)",SUMIF(Меню!$J$6:$FD$6,$BB160,Меню!$J$313:$FD$313)*Обложка!$P$16/60,SUMIF(Меню!$J$6:$FD$6,$B160,Меню!$J$313:$FD$313)/1000*Обложка!$P$16)</f>
        <v>17.175000000000001</v>
      </c>
      <c r="AJ160" s="717">
        <f>IF($B160="Яйцо (шт)",SUMIF(Меню!$J$6:$FD$6,$B160,Меню!$J$326:$FD$326)*Обложка!$P$17/60,SUMIF(Меню!$J$6:$FD$6,$B160,Меню!$J$326:$FD$326)/1000*Обложка!$P$17)</f>
        <v>15.625</v>
      </c>
      <c r="AK160" s="717">
        <f>IF($B160="Яйцо (шт)",SUMIF(Меню!$J$6:$FD$6,$B160,Меню!$J$331:$FD$331)*Обложка!$P$18/60,SUMIF(Меню!$J$6:$FD$6,$B160,Меню!$J$331:$FD$331)/1000*Обложка!$P$18)</f>
        <v>0</v>
      </c>
      <c r="AL160" s="718">
        <f t="shared" ref="AL160" si="32">SUM(AH160:AK160)</f>
        <v>41.1</v>
      </c>
      <c r="AM160" s="718">
        <f t="shared" ref="AM160:AM163" si="33">SUM(H160,M160,R160,W160,AB160,AG160,AL160)</f>
        <v>1149.6875</v>
      </c>
    </row>
    <row r="161" spans="1:39" x14ac:dyDescent="0.25">
      <c r="A161" s="249"/>
      <c r="B161" s="250" t="s">
        <v>107</v>
      </c>
      <c r="C161" s="719">
        <f>Меню!FD333</f>
        <v>2115</v>
      </c>
      <c r="D161" s="717">
        <f>IF($B161="Яйцо (шт)",SUMIF(Меню!$J$6:$FD$6,$B161,Меню!$J$28:$FD$28)*Обложка!$D$15/60,SUMIF(Меню!$J$6:$FD$6,$B161,Меню!$J$28:$FD$28)/1000*Обложка!$D$15)</f>
        <v>116.75399999999999</v>
      </c>
      <c r="E161" s="717">
        <f>IF($B161="Яйцо (шт)",SUMIF(Меню!$J$6:$FD$6,$B161,Меню!$J$43:$FD$43)*Обложка!$D$16/60,SUMIF(Меню!$J$6:$FD$6,$B161,Меню!$J$43:$FD$43)/1000*Обложка!$D$16)</f>
        <v>187.636</v>
      </c>
      <c r="F161" s="717">
        <f>IF($B161="Яйцо (шт)",SUMIF(Меню!$J$6:$FD$6,$B161,Меню!$J$56:$FD$56)*Обложка!$D$17/60,SUMIF(Меню!$J$6:$FD$6,$B161,Меню!$J$56:$FD$56)/1000*Обложка!$D$17)</f>
        <v>246.19599999999997</v>
      </c>
      <c r="G161" s="717">
        <f>IF($B161="Яйцо (шт)",SUMIF(Меню!$J$6:$FD$6,$B161,Меню!$J$61:$FD$61)*Обложка!$D$18/60,SUMIF(Меню!$J$6:$FD$6,$B161,Меню!$J$61:$FD$61)/1000*Обложка!$D$18)</f>
        <v>42.699999999999996</v>
      </c>
      <c r="H161" s="718">
        <f t="shared" ref="H161:H162" si="34">SUM(D161:G161)</f>
        <v>593.28600000000006</v>
      </c>
      <c r="I161" s="717">
        <f>IF($B161="Яйцо (шт)",SUMIF(Меню!$J$6:$FD$6,$B161,Меню!$J$73:$FD$73)*Обложка!$F$15/60,SUMIF(Меню!$J$6:$FD$6,$B161,Меню!$J$73:$FD$73)/1000*Обложка!$F$15)</f>
        <v>127.104</v>
      </c>
      <c r="J161" s="717">
        <f>IF($B161="Яйцо (шт)",SUMIF(Меню!$J$6:$FD$6,$B161,Меню!$J$88:$FD$88)*Обложка!$F$16/60,SUMIF(Меню!$J$6:$FD$6,$B161,Меню!$J$88:$FD$88)/1000*Обложка!$G$16)</f>
        <v>32.076000000000001</v>
      </c>
      <c r="K161" s="717">
        <f>IF($B161="Яйцо (шт)",SUMIF(Меню!$J$6:$FD$6,$B161,Меню!$J$101:$FD$101)*Обложка!$F$17/60,SUMIF(Меню!$J$6:$FD$6,$B161,Меню!$J$101:$FD$101)/1000*Обложка!$F$17)</f>
        <v>149.89000000000001</v>
      </c>
      <c r="L161" s="717">
        <f>IF($B161="Яйцо (шт)",SUMIF(Меню!$J$6:$FD$6,$B161,Меню!$J$106:$FD$106)*Обложка!$F$18/60,SUMIF(Меню!$J$6:$FD$6,$B161,Меню!$J$106:$FD$106)/1000*Обложка!$F$18)</f>
        <v>45.5</v>
      </c>
      <c r="M161" s="718">
        <f t="shared" si="27"/>
        <v>354.57000000000005</v>
      </c>
      <c r="N161" s="717">
        <f>IF($B161="Яйцо (шт)",SUMIF(Меню!$J$6:$FD$6,$B161,Меню!$J$118:$FD$118)*Обложка!$H$15/60,SUMIF(Меню!$J$6:$FD$6,$B161,Меню!$J$118:$FD$118)/1000*Обложка!$H$15)</f>
        <v>114.88500000000001</v>
      </c>
      <c r="O161" s="717">
        <f>IF($B161="Яйцо (шт)",SUMIF(Меню!$J$6:$FD$6,$B161,Меню!$J$133:$FD$133)*Обложка!$H$16/60,SUMIF(Меню!$J$6:$FD$6,$B161,Меню!$J$133:$FD$133)/1000*Обложка!$H$16)</f>
        <v>159.16</v>
      </c>
      <c r="P161" s="717">
        <f>IF($B161="Яйцо (шт)",SUMIF(Меню!$J$6:$FD$6,$B161,Меню!$J$146:$FD$146)*Обложка!$H$17/60,SUMIF(Меню!$J$6:$FD$6,$B161,Меню!$J$146:$FD$146)/1000*Обложка!$H$17)</f>
        <v>158.7345</v>
      </c>
      <c r="Q161" s="717">
        <f>IF($B161="Яйцо (шт)",SUMIF(Меню!$J$6:$FD$6,$B161,Меню!$J$151:$FD$151)*Обложка!$H$18/60,SUMIF(Меню!$J$6:$FD$6,$B161,Меню!$J$151:$FD$151)/1000*Обложка!$H$18)</f>
        <v>40.25</v>
      </c>
      <c r="R161" s="718">
        <f t="shared" si="28"/>
        <v>473.02949999999998</v>
      </c>
      <c r="S161" s="717">
        <f>IF($B161="Яйцо (шт)",SUMIF(Меню!$J$6:$FD$6,$B161,Меню!$J$163:$FD$163)*Обложка!$J$15/60,SUMIF(Меню!$J$6:$FD$6,$B161,Меню!$J$163:$FD$163)/1000*Обложка!$J$15)</f>
        <v>96.285000000000011</v>
      </c>
      <c r="T161" s="717">
        <f>IF($B161="Яйцо (шт)",SUMIF(Меню!$J$6:$FD$6,$B161,Меню!$J$178:$FD$178)*Обложка!$J$16/60,SUMIF(Меню!$J$6:$FD$6,$B161,Меню!$J$178:$FD$178)/1000*Обложка!$J$16)</f>
        <v>146.4</v>
      </c>
      <c r="U161" s="717">
        <f>IF($B161="Яйцо (шт)",SUMIF(Меню!$J$6:$FD$6,$B161,Меню!$J$191:$FD192)*Обложка!$J$17/60,SUMIF(Меню!$J$6:$FD$6,$B161,Меню!$J$191:$FD$191)/1000*Обложка!$J$17)</f>
        <v>110.83799999999999</v>
      </c>
      <c r="V161" s="717">
        <f>IF($B161="Яйцо (шт)",SUMIF(Меню!$J$6:$FD$6,$B161,Меню!$J$196:$FD$196)*Обложка!$J$18/60,SUMIF(Меню!$J$6:$FD$6,$B161,Меню!$J$196:$FD$196)/1000*Обложка!$J$18)</f>
        <v>34.299999999999997</v>
      </c>
      <c r="W161" s="718">
        <f t="shared" si="29"/>
        <v>387.82300000000004</v>
      </c>
      <c r="X161" s="717">
        <f>IF($B161="Яйцо (шт)",SUMIF(Меню!$J$6:$FD$6,$B161,Меню!$J$208:$FD$208)*Обложка!$L$15/60,SUMIF(Меню!$J$6:$FD$6,$B161,Меню!$J$208:$FD$208)/1000*Обложка!$L$15)</f>
        <v>117.88</v>
      </c>
      <c r="Y161" s="717">
        <f>IF($B161="Яйцо (шт)",SUMIF(Меню!$J$6:$FD$6,$B161,Меню!$J$223:$FD$223)*Обложка!$L$16/60,SUMIF(Меню!$J$6:$FD$6,$B161,Меню!$J$223:$FD$223)/1000*Обложка!$J$16)</f>
        <v>131.4</v>
      </c>
      <c r="Z161" s="717">
        <f>IF($B161="Яйцо (шт)",SUMIF(Меню!$J$6:$FD$6,$B161,Меню!$J$236:$FD$236)*Обложка!$L$17/60,SUMIF(Меню!$J$6:$FD$6,$B161,Меню!$J$236:$FD$236)/1000*Обложка!$L$17)</f>
        <v>43.607130000000005</v>
      </c>
      <c r="AA161" s="717">
        <f>IF($B161="Яйцо (шт)",SUMIF(Меню!$J$6:$FD$6,$B161,Меню!$J$241:$FD$241)*Обложка!$L$18/60,SUMIF(Меню!$J$6:$FD$6,$B161,Меню!$J$241:$FD$241)/1000*Обложка!$L$18)</f>
        <v>12.25</v>
      </c>
      <c r="AB161" s="718">
        <f t="shared" si="30"/>
        <v>305.13713000000001</v>
      </c>
      <c r="AC161" s="717">
        <f>IF($B161="Яйцо (шт)",SUMIF(Меню!$J$6:$FD$6,$B161,Меню!$J$253:$FD$253)*Обложка!$N$15/60,SUMIF(Меню!$J$6:$FD$6,$B161,Меню!$J$253:$FD$253)/1000*Обложка!$N$15)</f>
        <v>43.064999999999998</v>
      </c>
      <c r="AD161" s="717">
        <f>IF($B161="Яйцо (шт)",SUMIF(Меню!$J$6:$FD$6,$B161,Меню!$J$268:$FD$268)*Обложка!$N$16/60,SUMIF(Меню!$J$6:$FD$6,$B161,Меню!$J$268:$FD$268)/1000*Обложка!$N$16)</f>
        <v>72.945899999999995</v>
      </c>
      <c r="AE161" s="717">
        <f>IF($B161="Яйцо (шт)",SUMIF(Меню!$J$6:$FD$6,$B161,Меню!$J$281:$FD$281)*Обложка!$N$17/60,SUMIF(Меню!$J$6:$FD$6,$B161,Меню!$J$281:$FD$281)/1000*Обложка!$N$17)</f>
        <v>59.598540000000007</v>
      </c>
      <c r="AF161" s="717">
        <f>IF($B161="Яйцо (шт)",SUMIF(Меню!$J$6:$FD$6,$B161,Меню!$J$286:$FD$286)*Обложка!$N$18/60,SUMIF(Меню!$J$6:$FD$6,$B161,Меню!$J$286:$FD$286)/1000*Обложка!$N$18)</f>
        <v>15.749999999999998</v>
      </c>
      <c r="AG161" s="718">
        <f t="shared" si="31"/>
        <v>191.35944000000001</v>
      </c>
      <c r="AH161" s="717">
        <f>IF($B161="Яйцо (шт)",SUMIF(Меню!$J$6:$FD$6,$B161,Меню!$J$298:$FD$298)*Обложка!$P$15/60,SUMIF(Меню!$J$6:$FD$6,$B161,Меню!$J$298:$FD$298)/1000*Обложка!$P$15)</f>
        <v>23.45504</v>
      </c>
      <c r="AI161" s="717">
        <f>IF($B161="Яйцо (шт)",SUMIF(Меню!$J$6:$FD$6,$BB161,Меню!$J$313:$FD$313)*Обложка!$P$16/60,SUMIF(Меню!$J$6:$FD$6,$B161,Меню!$J$313:$FD$313)/1000*Обложка!$P$16)</f>
        <v>33.85</v>
      </c>
      <c r="AJ161" s="717">
        <f>IF($B161="Яйцо (шт)",SUMIF(Меню!$J$6:$FD$6,$B161,Меню!$J$326:$FD$326)*Обложка!$P$17/60,SUMIF(Меню!$J$6:$FD$6,$B161,Меню!$J$326:$FD$326)/1000*Обложка!$P$17)</f>
        <v>30.275000000000002</v>
      </c>
      <c r="AK161" s="717">
        <f>IF($B161="Яйцо (шт)",SUMIF(Меню!$J$6:$FD$6,$B161,Меню!$J$331:$FD$331)*Обложка!$P$18/60,SUMIF(Меню!$J$6:$FD$6,$B161,Меню!$J$331:$FD$331)/1000*Обложка!$P$18)</f>
        <v>1.4</v>
      </c>
      <c r="AL161" s="718">
        <f t="shared" ref="AL161:AL163" si="35">SUM(AH161:AK161)</f>
        <v>88.980040000000017</v>
      </c>
      <c r="AM161" s="718">
        <f t="shared" si="33"/>
        <v>2394.1851100000003</v>
      </c>
    </row>
    <row r="162" spans="1:39" x14ac:dyDescent="0.25">
      <c r="A162" s="249"/>
      <c r="B162" s="250" t="s">
        <v>108</v>
      </c>
      <c r="C162" s="719">
        <f>Меню!FC333</f>
        <v>1634.1299999999999</v>
      </c>
      <c r="D162" s="717">
        <f>IF($B162="Яйцо (шт)",SUMIF(Меню!$J$6:$FD$6,$B162,Меню!$J$28:$FD$28)*Обложка!$D$15/60,SUMIF(Меню!$J$6:$FD$6,$B162,Меню!$J$28:$FD$28)/1000*Обложка!$D$15)</f>
        <v>9.516</v>
      </c>
      <c r="E162" s="717">
        <f>IF($B162="Яйцо (шт)",SUMIF(Меню!$J$6:$FD$6,$B162,Меню!$J$43:$FD$43)*Обложка!$D$16/60,SUMIF(Меню!$J$6:$FD$6,$B162,Меню!$J$43:$FD$43)/1000*Обложка!$D$16)</f>
        <v>7.9300000000000006</v>
      </c>
      <c r="F162" s="717">
        <f>IF($B162="Яйцо (шт)",SUMIF(Меню!$J$6:$FD$6,$B162,Меню!$J$56:$FD$56)*Обложка!$D$17/60,SUMIF(Меню!$J$6:$FD$6,$B162,Меню!$J$56:$FD$56)/1000*Обложка!$D$17)</f>
        <v>16.164999999999999</v>
      </c>
      <c r="G162" s="717">
        <f>IF($B162="Яйцо (шт)",SUMIF(Меню!$J$6:$FD$6,$B162,Меню!$J$61:$FD$61)*Обложка!$D$18/60,SUMIF(Меню!$J$6:$FD$6,$B162,Меню!$J$61:$FD$61)/1000*Обложка!$D$18)</f>
        <v>0</v>
      </c>
      <c r="H162" s="718">
        <f t="shared" si="34"/>
        <v>33.611000000000004</v>
      </c>
      <c r="I162" s="717">
        <f>IF($B162="Яйцо (шт)",SUMIF(Меню!$J$6:$FD$6,$B162,Меню!$J$73:$FD$73)*Обложка!$F$15/60,SUMIF(Меню!$J$6:$FD$6,$B162,Меню!$J$73:$FD$73)/1000*Обложка!$F$15)</f>
        <v>9.984</v>
      </c>
      <c r="J162" s="717">
        <f>IF($B162="Яйцо (шт)",SUMIF(Меню!$J$6:$FD$6,$B162,Меню!$J$88:$FD$88)*Обложка!$F$16/60,SUMIF(Меню!$J$6:$FD$6,$B162,Меню!$J$88:$FD$88)/1000*Обложка!$G$16)</f>
        <v>1.3420000000000001</v>
      </c>
      <c r="K162" s="717">
        <f>IF($B162="Яйцо (шт)",SUMIF(Меню!$J$6:$FD$6,$B162,Меню!$J$101:$FD$101)*Обложка!$F$17/60,SUMIF(Меню!$J$6:$FD$6,$B162,Меню!$J$101:$FD$101)/1000*Обложка!$F$17)</f>
        <v>7.02</v>
      </c>
      <c r="L162" s="717">
        <f>IF($B162="Яйцо (шт)",SUMIF(Меню!$J$6:$FD$6,$B162,Меню!$J$106:$FD$106)*Обложка!$F$18/60,SUMIF(Меню!$J$6:$FD$6,$B162,Меню!$J$106:$FD$106)/1000*Обложка!$F$18)</f>
        <v>0</v>
      </c>
      <c r="M162" s="718">
        <f t="shared" si="27"/>
        <v>18.346</v>
      </c>
      <c r="N162" s="717">
        <f>IF($B162="Яйцо (шт)",SUMIF(Меню!$J$6:$FD$6,$B162,Меню!$J$118:$FD$118)*Обложка!$H$15/60,SUMIF(Меню!$J$6:$FD$6,$B162,Меню!$J$118:$FD$118)/1000*Обложка!$H$15)</f>
        <v>8.9700000000000006</v>
      </c>
      <c r="O162" s="717">
        <f>IF($B162="Яйцо (шт)",SUMIF(Меню!$J$6:$FD$6,$B162,Меню!$J$133:$FD$133)*Обложка!$H$16/60,SUMIF(Меню!$J$6:$FD$6,$B162,Меню!$J$133:$FD$133)/1000*Обложка!$H$16)</f>
        <v>6.3480000000000008</v>
      </c>
      <c r="P162" s="717">
        <f>IF($B162="Яйцо (шт)",SUMIF(Меню!$J$6:$FD$6,$B162,Меню!$J$146:$FD$146)*Обложка!$H$17/60,SUMIF(Меню!$J$6:$FD$6,$B162,Меню!$J$146:$FD$146)/1000*Обложка!$H$17)</f>
        <v>10.212</v>
      </c>
      <c r="Q162" s="717">
        <f>IF($B162="Яйцо (шт)",SUMIF(Меню!$J$6:$FD$6,$B162,Меню!$J$151:$FD$151)*Обложка!$H$18/60,SUMIF(Меню!$J$6:$FD$6,$B162,Меню!$J$151:$FD$151)/1000*Обложка!$H$18)</f>
        <v>0</v>
      </c>
      <c r="R162" s="718">
        <f t="shared" si="28"/>
        <v>25.53</v>
      </c>
      <c r="S162" s="717">
        <f>IF($B162="Яйцо (шт)",SUMIF(Меню!$J$6:$FD$6,$B162,Меню!$J$163:$FD$163)*Обложка!$J$15/60,SUMIF(Меню!$J$6:$FD$6,$B162,Меню!$J$163:$FD$163)/1000*Обложка!$J$15)</f>
        <v>8.19</v>
      </c>
      <c r="T162" s="717">
        <f>IF($B162="Яйцо (шт)",SUMIF(Меню!$J$6:$FD$6,$B162,Меню!$J$178:$FD$178)*Обложка!$J$16/60,SUMIF(Меню!$J$6:$FD$6,$B162,Меню!$J$178:$FD$178)/1000*Обложка!$J$16)</f>
        <v>6.4</v>
      </c>
      <c r="U162" s="717">
        <f>IF($B162="Яйцо (шт)",SUMIF(Меню!$J$6:$FD$6,$B162,Меню!$J$191:$FD193)*Обложка!$J$17/60,SUMIF(Меню!$J$6:$FD$6,$B162,Меню!$J$191:$FD$191)/1000*Обложка!$J$17)</f>
        <v>9.055200000000001</v>
      </c>
      <c r="V162" s="717">
        <f>IF($B162="Яйцо (шт)",SUMIF(Меню!$J$6:$FD$6,$B162,Меню!$J$196:$FD$196)*Обложка!$J$18/60,SUMIF(Меню!$J$6:$FD$6,$B162,Меню!$J$196:$FD$196)/1000*Обложка!$J$18)</f>
        <v>0</v>
      </c>
      <c r="W162" s="718">
        <f t="shared" si="29"/>
        <v>23.645200000000003</v>
      </c>
      <c r="X162" s="717">
        <f>IF($B162="Яйцо (шт)",SUMIF(Меню!$J$6:$FD$6,$B162,Меню!$J$208:$FD$208)*Обложка!$L$15/60,SUMIF(Меню!$J$6:$FD$6,$B162,Меню!$J$208:$FD$208)/1000*Обложка!$L$15)</f>
        <v>10.92</v>
      </c>
      <c r="Y162" s="717">
        <f>IF($B162="Яйцо (шт)",SUMIF(Меню!$J$6:$FD$6,$B162,Меню!$J$223:$FD$223)*Обложка!$L$16/60,SUMIF(Меню!$J$6:$FD$6,$B162,Меню!$J$223:$FD$223)/1000*Обложка!$J$16)</f>
        <v>6.5</v>
      </c>
      <c r="Z162" s="717">
        <f>IF($B162="Яйцо (шт)",SUMIF(Меню!$J$6:$FD$6,$B162,Меню!$J$236:$FD$236)*Обложка!$L$17/60,SUMIF(Меню!$J$6:$FD$6,$B162,Меню!$J$236:$FD$236)/1000*Обложка!$L$17)</f>
        <v>2.5171300000000003</v>
      </c>
      <c r="AA162" s="717">
        <f>IF($B162="Яйцо (шт)",SUMIF(Меню!$J$6:$FD$6,$B162,Меню!$J$241:$FD$241)*Обложка!$L$18/60,SUMIF(Меню!$J$6:$FD$6,$B162,Меню!$J$241:$FD$241)/1000*Обложка!$L$18)</f>
        <v>0</v>
      </c>
      <c r="AB162" s="718">
        <f t="shared" si="30"/>
        <v>19.937130000000003</v>
      </c>
      <c r="AC162" s="717">
        <f>IF($B162="Яйцо (шт)",SUMIF(Меню!$J$6:$FD$6,$B162,Меню!$J$253:$FD$253)*Обложка!$N$15/60,SUMIF(Меню!$J$6:$FD$6,$B162,Меню!$J$253:$FD$253)/1000*Обложка!$N$15)</f>
        <v>3.51</v>
      </c>
      <c r="AD162" s="717">
        <f>IF($B162="Яйцо (шт)",SUMIF(Меню!$J$6:$FD$6,$B162,Меню!$J$268:$FD$268)*Обложка!$N$16/60,SUMIF(Меню!$J$6:$FD$6,$B162,Меню!$J$268:$FD$268)/1000*Обложка!$N$16)</f>
        <v>1.4877</v>
      </c>
      <c r="AE162" s="717">
        <f>IF($B162="Яйцо (шт)",SUMIF(Меню!$J$6:$FD$6,$B162,Меню!$J$281:$FD$281)*Обложка!$N$17/60,SUMIF(Меню!$J$6:$FD$6,$B162,Меню!$J$281:$FD$281)/1000*Обложка!$N$17)</f>
        <v>5.8275000000000006</v>
      </c>
      <c r="AF162" s="717">
        <f>IF($B162="Яйцо (шт)",SUMIF(Меню!$J$6:$FD$6,$B162,Меню!$J$286:$FD$286)*Обложка!$N$18/60,SUMIF(Меню!$J$6:$FD$6,$B162,Меню!$J$286:$FD$286)/1000*Обложка!$N$18)</f>
        <v>0</v>
      </c>
      <c r="AG162" s="718">
        <f t="shared" si="31"/>
        <v>10.825200000000001</v>
      </c>
      <c r="AH162" s="717">
        <f>IF($B162="Яйцо (шт)",SUMIF(Меню!$J$6:$FD$6,$B162,Меню!$J$298:$FD$298)*Обложка!$P$15/60,SUMIF(Меню!$J$6:$FD$6,$B162,Меню!$J$298:$FD$298)/1000*Обложка!$P$15)</f>
        <v>2.9750400000000004</v>
      </c>
      <c r="AI162" s="717">
        <f>IF($B162="Яйцо (шт)",SUMIF(Меню!$J$6:$FD$6,$BB162,Меню!$J$313:$FD$313)*Обложка!$P$16/60,SUMIF(Меню!$J$6:$FD$6,$B162,Меню!$J$313:$FD$313)/1000*Обложка!$P$16)</f>
        <v>1.4500000000000002</v>
      </c>
      <c r="AJ162" s="717">
        <f>IF($B162="Яйцо (шт)",SUMIF(Меню!$J$6:$FD$6,$B162,Меню!$J$326:$FD$326)*Обложка!$P$17/60,SUMIF(Меню!$J$6:$FD$6,$B162,Меню!$J$326:$FD$326)/1000*Обложка!$P$17)</f>
        <v>1.175</v>
      </c>
      <c r="AK162" s="717">
        <f>IF($B162="Яйцо (шт)",SUMIF(Меню!$J$6:$FD$6,$B162,Меню!$J$331:$FD$331)*Обложка!$P$18/60,SUMIF(Меню!$J$6:$FD$6,$B162,Меню!$J$331:$FD$331)/1000*Обложка!$P$18)</f>
        <v>0</v>
      </c>
      <c r="AL162" s="718">
        <f t="shared" si="35"/>
        <v>5.6000400000000008</v>
      </c>
      <c r="AM162" s="718">
        <f t="shared" si="33"/>
        <v>137.49457000000001</v>
      </c>
    </row>
    <row r="163" spans="1:39" x14ac:dyDescent="0.25">
      <c r="A163" s="249"/>
      <c r="B163" s="250" t="s">
        <v>149</v>
      </c>
      <c r="C163" s="719">
        <f>Меню!FB333</f>
        <v>28884.402000000002</v>
      </c>
      <c r="D163" s="717">
        <f>IF($B163="Яйцо (шт)",SUMIF(Меню!$J$6:$FD$6,$B163,Меню!$J$28:$FD$28)*Обложка!$D$15/60,SUMIF(Меню!$J$6:$FD$6,$B163,Меню!$J$28:$FD$28)/1000*Обложка!$D$15)</f>
        <v>37.82</v>
      </c>
      <c r="E163" s="717">
        <f>IF($B163="Яйцо (шт)",SUMIF(Меню!$J$6:$FD$6,$B163,Меню!$J$43:$FD$43)*Обложка!$D$16/60,SUMIF(Меню!$J$6:$FD$6,$B163,Меню!$J$43:$FD$43)/1000*Обложка!$D$16)</f>
        <v>0</v>
      </c>
      <c r="F163" s="717">
        <f>IF($B163="Яйцо (шт)",SUMIF(Меню!$J$6:$FD$6,$B163,Меню!$J$56:$FD$56)*Обложка!$D$17/60,SUMIF(Меню!$J$6:$FD$6,$B163,Меню!$J$56:$FD$56)/1000*Обложка!$D$17)</f>
        <v>0</v>
      </c>
      <c r="G163" s="717">
        <f>IF($B163="Яйцо (шт)",SUMIF(Меню!$J$6:$FD$6,$B163,Меню!$J$61:$FD$61)*Обложка!$D$18/60,SUMIF(Меню!$J$6:$FD$6,$B163,Меню!$J$61:$FD$61)/1000*Обложка!$D$18)</f>
        <v>0</v>
      </c>
      <c r="H163" s="718">
        <f t="shared" ref="H163" si="36">SUM(D163:G163)</f>
        <v>37.82</v>
      </c>
      <c r="I163" s="717">
        <f>IF($B163="Яйцо (шт)",SUMIF(Меню!$J$6:$FD$6,$B163,Меню!$J$73:$FD$73)*Обложка!$F$15/60,SUMIF(Меню!$J$6:$FD$6,$B163,Меню!$J$73:$FD$73)/1000*Обложка!$F$15)</f>
        <v>39.68</v>
      </c>
      <c r="J163" s="717">
        <f>IF($B163="Яйцо (шт)",SUMIF(Меню!$J$6:$FD$6,$B163,Меню!$J$88:$FD$88)*Обложка!$F$16/60,SUMIF(Меню!$J$6:$FD$6,$B163,Меню!$J$88:$FD$88)/1000*Обложка!$G$16)</f>
        <v>0.55000000000000004</v>
      </c>
      <c r="K163" s="717">
        <f>IF($B163="Яйцо (шт)",SUMIF(Меню!$J$6:$FD$6,$B163,Меню!$J$101:$FD$101)*Обложка!$F$17/60,SUMIF(Меню!$J$6:$FD$6,$B163,Меню!$J$101:$FD$101)/1000*Обложка!$F$17)</f>
        <v>0</v>
      </c>
      <c r="L163" s="717">
        <f>IF($B163="Яйцо (шт)",SUMIF(Меню!$J$6:$FD$6,$B163,Меню!$J$106:$FD$106)*Обложка!$F$18/60,SUMIF(Меню!$J$6:$FD$6,$B163,Меню!$J$106:$FD$106)/1000*Обложка!$F$18)</f>
        <v>0</v>
      </c>
      <c r="M163" s="718">
        <f t="shared" si="27"/>
        <v>40.229999999999997</v>
      </c>
      <c r="N163" s="717">
        <f>IF($B163="Яйцо (шт)",SUMIF(Меню!$J$6:$FD$6,$B163,Меню!$J$118:$FD$118)*Обложка!$H$15/60,SUMIF(Меню!$J$6:$FD$6,$B163,Меню!$J$118:$FD$118)/1000*Обложка!$H$15)</f>
        <v>35.65</v>
      </c>
      <c r="O163" s="717">
        <f>IF($B163="Яйцо (шт)",SUMIF(Меню!$J$6:$FD$6,$B163,Меню!$J$133:$FD$133)*Обложка!$H$16/60,SUMIF(Меню!$J$6:$FD$6,$B163,Меню!$J$133:$FD$133)/1000*Обложка!$H$16)</f>
        <v>2.875</v>
      </c>
      <c r="P163" s="717">
        <f>IF($B163="Яйцо (шт)",SUMIF(Меню!$J$6:$FD$6,$B163,Меню!$J$146:$FD$146)*Обложка!$H$17/60,SUMIF(Меню!$J$6:$FD$6,$B163,Меню!$J$146:$FD$146)/1000*Обложка!$H$17)</f>
        <v>0</v>
      </c>
      <c r="Q163" s="717">
        <f>IF($B163="Яйцо (шт)",SUMIF(Меню!$J$6:$FD$6,$B163,Меню!$J$151:$FD$151)*Обложка!$H$18/60,SUMIF(Меню!$J$6:$FD$6,$B163,Меню!$J$151:$FD$151)/1000*Обложка!$H$18)</f>
        <v>0</v>
      </c>
      <c r="R163" s="718">
        <f t="shared" si="28"/>
        <v>38.524999999999999</v>
      </c>
      <c r="S163" s="717">
        <f>IF($B163="Яйцо (шт)",SUMIF(Меню!$J$6:$FD$6,$B163,Меню!$J$163:$FD$163)*Обложка!$J$15/60,SUMIF(Меню!$J$6:$FD$6,$B163,Меню!$J$163:$FD$163)/1000*Обложка!$J$15)</f>
        <v>27.3</v>
      </c>
      <c r="T163" s="717">
        <f>IF($B163="Яйцо (шт)",SUMIF(Меню!$J$6:$FD$6,$B163,Меню!$J$178:$FD$178)*Обложка!$J$16/60,SUMIF(Меню!$J$6:$FD$6,$B163,Меню!$J$178:$FD$178)/1000*Обложка!$J$16)</f>
        <v>10</v>
      </c>
      <c r="U163" s="717">
        <f>IF($B163="Яйцо (шт)",SUMIF(Меню!$J$6:$FD$6,$B163,Меню!$J$191:$FD194)*Обложка!$J$17/60,SUMIF(Меню!$J$6:$FD$6,$B163,Меню!$J$191:$FD$191)/1000*Обложка!$J$17)</f>
        <v>0</v>
      </c>
      <c r="V163" s="717">
        <f>IF($B163="Яйцо (шт)",SUMIF(Меню!$J$6:$FD$6,$B163,Меню!$J$196:$FD$196)*Обложка!$J$18/60,SUMIF(Меню!$J$6:$FD$6,$B163,Меню!$J$196:$FD$196)/1000*Обложка!$J$18)</f>
        <v>0</v>
      </c>
      <c r="W163" s="718">
        <f t="shared" si="29"/>
        <v>37.299999999999997</v>
      </c>
      <c r="X163" s="717">
        <f>IF($B163="Яйцо (шт)",SUMIF(Меню!$J$6:$FD$6,$B163,Меню!$J$208:$FD$208)*Обложка!$L$15/60,SUMIF(Меню!$J$6:$FD$6,$B163,Меню!$J$208:$FD$208)/1000*Обложка!$L$15)</f>
        <v>15.4</v>
      </c>
      <c r="Y163" s="717">
        <f>IF($B163="Яйцо (шт)",SUMIF(Меню!$J$6:$FD$6,$B163,Меню!$J$223:$FD$223)*Обложка!$L$16/60,SUMIF(Меню!$J$6:$FD$6,$B163,Меню!$J$223:$FD$223)/1000*Обложка!$J$16)</f>
        <v>2.5</v>
      </c>
      <c r="Z163" s="717">
        <f>IF($B163="Яйцо (шт)",SUMIF(Меню!$J$6:$FD$6,$B163,Меню!$J$236:$FD$236)*Обложка!$L$17/60,SUMIF(Меню!$J$6:$FD$6,$B163,Меню!$J$236:$FD$236)/1000*Обложка!$L$17)</f>
        <v>0</v>
      </c>
      <c r="AA163" s="717">
        <f>IF($B163="Яйцо (шт)",SUMIF(Меню!$J$6:$FD$6,$B163,Меню!$J$241:$FD$241)*Обложка!$L$18/60,SUMIF(Меню!$J$6:$FD$6,$B163,Меню!$J$241:$FD$241)/1000*Обложка!$L$18)</f>
        <v>0</v>
      </c>
      <c r="AB163" s="718">
        <f t="shared" si="30"/>
        <v>17.899999999999999</v>
      </c>
      <c r="AC163" s="717">
        <f>IF($B163="Яйцо (шт)",SUMIF(Меню!$J$6:$FD$6,$B163,Меню!$J$253:$FD$253)*Обложка!$N$15/60,SUMIF(Меню!$J$6:$FD$6,$B163,Меню!$J$253:$FD$253)/1000*Обложка!$N$15)</f>
        <v>11.700000000000001</v>
      </c>
      <c r="AD163" s="717">
        <f>IF($B163="Яйцо (шт)",SUMIF(Меню!$J$6:$FD$6,$B163,Меню!$J$268:$FD$268)*Обложка!$N$16/60,SUMIF(Меню!$J$6:$FD$6,$B163,Меню!$J$268:$FD$268)/1000*Обложка!$N$16)</f>
        <v>1.125</v>
      </c>
      <c r="AE163" s="717">
        <f>IF($B163="Яйцо (шт)",SUMIF(Меню!$J$6:$FD$6,$B163,Меню!$J$281:$FD$281)*Обложка!$N$17/60,SUMIF(Меню!$J$6:$FD$6,$B163,Меню!$J$281:$FD$281)/1000*Обложка!$N$17)</f>
        <v>0</v>
      </c>
      <c r="AF163" s="717">
        <f>IF($B163="Яйцо (шт)",SUMIF(Меню!$J$6:$FD$6,$B163,Меню!$J$286:$FD$286)*Обложка!$N$18/60,SUMIF(Меню!$J$6:$FD$6,$B163,Меню!$J$286:$FD$286)/1000*Обложка!$N$18)</f>
        <v>0</v>
      </c>
      <c r="AG163" s="718">
        <f t="shared" si="31"/>
        <v>12.825000000000001</v>
      </c>
      <c r="AH163" s="717">
        <f>IF($B163="Яйцо (шт)",SUMIF(Меню!$J$6:$FD$6,$B163,Меню!$J$298:$FD$298)*Обложка!$P$15/60,SUMIF(Меню!$J$6:$FD$6,$B163,Меню!$J$298:$FD$298)/1000*Обложка!$P$15)</f>
        <v>6.6000000000000005</v>
      </c>
      <c r="AI163" s="717">
        <f>IF($B163="Яйцо (шт)",SUMIF(Меню!$J$6:$FD$6,$BB163,Меню!$J$313:$FD$313)*Обложка!$P$16/60,SUMIF(Меню!$J$6:$FD$6,$B163,Меню!$J$313:$FD$313)/1000*Обложка!$P$16)</f>
        <v>0.625</v>
      </c>
      <c r="AJ163" s="717">
        <f>IF($B163="Яйцо (шт)",SUMIF(Меню!$J$6:$FD$6,$B163,Меню!$J$326:$FD$326)*Обложка!$P$17/60,SUMIF(Меню!$J$6:$FD$6,$B163,Меню!$J$326:$FD$326)/1000*Обложка!$P$17)</f>
        <v>0</v>
      </c>
      <c r="AK163" s="717">
        <f>IF($B163="Яйцо (шт)",SUMIF(Меню!$J$6:$FD$6,$B163,Меню!$J$331:$FD$331)*Обложка!$P$18/60,SUMIF(Меню!$J$6:$FD$6,$B163,Меню!$J$331:$FD$331)/1000*Обложка!$P$18)</f>
        <v>0</v>
      </c>
      <c r="AL163" s="718">
        <f t="shared" si="35"/>
        <v>7.2250000000000005</v>
      </c>
      <c r="AM163" s="718">
        <f t="shared" si="33"/>
        <v>191.82499999999999</v>
      </c>
    </row>
    <row r="164" spans="1:39" x14ac:dyDescent="0.25">
      <c r="A164" s="249"/>
      <c r="B164" s="720" t="s">
        <v>134</v>
      </c>
      <c r="C164" s="721">
        <f>0.0054*7*1000</f>
        <v>37.799999999999997</v>
      </c>
      <c r="D164" s="722"/>
      <c r="E164" s="722"/>
      <c r="F164" s="722"/>
      <c r="G164" s="722"/>
      <c r="H164" s="686">
        <v>5.4000000000000003E-3</v>
      </c>
      <c r="I164" s="228"/>
      <c r="J164" s="228"/>
      <c r="K164" s="228"/>
      <c r="L164" s="228"/>
      <c r="M164" s="686">
        <v>5.4000000000000003E-3</v>
      </c>
      <c r="N164" s="228"/>
      <c r="O164" s="228"/>
      <c r="P164" s="228"/>
      <c r="Q164" s="228"/>
      <c r="R164" s="686">
        <v>5.4000000000000003E-3</v>
      </c>
      <c r="S164" s="228"/>
      <c r="T164" s="228"/>
      <c r="U164" s="228"/>
      <c r="V164" s="228"/>
      <c r="W164" s="686">
        <v>5.4000000000000003E-3</v>
      </c>
      <c r="X164" s="228"/>
      <c r="Y164" s="228"/>
      <c r="Z164" s="228"/>
      <c r="AA164" s="228"/>
      <c r="AB164" s="686">
        <v>5.4000000000000003E-3</v>
      </c>
      <c r="AC164" s="228"/>
      <c r="AD164" s="228"/>
      <c r="AE164" s="228"/>
      <c r="AF164" s="228"/>
      <c r="AG164" s="686">
        <v>5.4000000000000003E-3</v>
      </c>
      <c r="AH164" s="228"/>
      <c r="AI164" s="228"/>
      <c r="AJ164" s="228"/>
      <c r="AK164" s="228"/>
      <c r="AL164" s="695">
        <v>5.4000000000000003E-3</v>
      </c>
      <c r="AM164" s="686">
        <f t="shared" ref="AM164:AM165" si="37">SUM(D164:AL164)</f>
        <v>3.7800000000000007E-2</v>
      </c>
    </row>
    <row r="165" spans="1:39" x14ac:dyDescent="0.25">
      <c r="A165" s="249"/>
      <c r="B165" s="723" t="s">
        <v>135</v>
      </c>
      <c r="C165" s="724">
        <f>0.00175*7*1000</f>
        <v>12.25</v>
      </c>
      <c r="D165" s="725"/>
      <c r="E165" s="725"/>
      <c r="F165" s="725"/>
      <c r="G165" s="725"/>
      <c r="H165" s="687">
        <v>1.75E-3</v>
      </c>
      <c r="I165" s="229"/>
      <c r="J165" s="229"/>
      <c r="K165" s="229"/>
      <c r="L165" s="229"/>
      <c r="M165" s="687">
        <v>1.75E-3</v>
      </c>
      <c r="N165" s="229"/>
      <c r="O165" s="229"/>
      <c r="P165" s="229"/>
      <c r="Q165" s="229"/>
      <c r="R165" s="687">
        <v>1.75E-3</v>
      </c>
      <c r="S165" s="229"/>
      <c r="T165" s="229"/>
      <c r="U165" s="229"/>
      <c r="V165" s="229"/>
      <c r="W165" s="687">
        <v>1.75E-3</v>
      </c>
      <c r="X165" s="229"/>
      <c r="Y165" s="229"/>
      <c r="Z165" s="229"/>
      <c r="AA165" s="229"/>
      <c r="AB165" s="687">
        <v>1.75E-3</v>
      </c>
      <c r="AC165" s="229"/>
      <c r="AD165" s="229"/>
      <c r="AE165" s="229"/>
      <c r="AF165" s="229"/>
      <c r="AG165" s="687">
        <v>1.75E-3</v>
      </c>
      <c r="AH165" s="229"/>
      <c r="AI165" s="229"/>
      <c r="AJ165" s="229"/>
      <c r="AK165" s="229"/>
      <c r="AL165" s="700">
        <v>1.75E-3</v>
      </c>
      <c r="AM165" s="687">
        <f t="shared" si="37"/>
        <v>1.225E-2</v>
      </c>
    </row>
    <row r="166" spans="1:39" x14ac:dyDescent="0.25">
      <c r="A166" s="251" t="s">
        <v>188</v>
      </c>
      <c r="B166" s="252"/>
      <c r="C166" s="704">
        <f>COUNTIF(AM13:AM159,"&gt;0")</f>
        <v>66</v>
      </c>
      <c r="D166" s="226"/>
      <c r="E166" s="226"/>
      <c r="F166" s="226"/>
      <c r="G166" s="226"/>
      <c r="H166" s="226"/>
      <c r="I166" s="226"/>
      <c r="J166" s="226"/>
      <c r="K166" s="226"/>
      <c r="L166" s="226"/>
      <c r="M166" s="226"/>
      <c r="N166" s="226"/>
      <c r="O166" s="226"/>
      <c r="P166" s="226"/>
      <c r="Q166" s="226"/>
      <c r="R166" s="226"/>
      <c r="S166" s="226"/>
      <c r="T166" s="226"/>
      <c r="U166" s="226"/>
      <c r="V166" s="226"/>
      <c r="W166" s="226"/>
      <c r="X166" s="226"/>
      <c r="Y166" s="226"/>
      <c r="Z166" s="226"/>
      <c r="AA166" s="226"/>
      <c r="AB166" s="226"/>
      <c r="AC166" s="226"/>
      <c r="AD166" s="226"/>
      <c r="AE166" s="226"/>
      <c r="AF166" s="226"/>
      <c r="AG166" s="226"/>
      <c r="AH166" s="226"/>
      <c r="AI166" s="226"/>
      <c r="AJ166" s="226"/>
      <c r="AK166" s="226"/>
      <c r="AL166" s="701"/>
      <c r="AM166" s="225"/>
    </row>
    <row r="167" spans="1:39" x14ac:dyDescent="0.25">
      <c r="A167" s="219"/>
      <c r="B167" s="205"/>
      <c r="C167" s="205"/>
      <c r="D167" s="205"/>
      <c r="E167" s="205"/>
      <c r="F167" s="205"/>
      <c r="G167" s="205"/>
      <c r="H167" s="205"/>
      <c r="I167" s="205"/>
      <c r="J167" s="205"/>
      <c r="K167" s="205"/>
      <c r="L167" s="205"/>
      <c r="M167" s="205"/>
      <c r="N167" s="205"/>
      <c r="O167" s="205"/>
      <c r="P167" s="205"/>
      <c r="Q167" s="205"/>
      <c r="R167" s="205"/>
      <c r="S167" s="205"/>
      <c r="T167" s="205"/>
      <c r="U167" s="205"/>
      <c r="V167" s="205"/>
      <c r="W167" s="213"/>
      <c r="X167" s="213"/>
      <c r="Y167" s="213"/>
      <c r="Z167" s="213"/>
      <c r="AA167" s="213"/>
      <c r="AB167" s="213"/>
      <c r="AC167" s="204"/>
      <c r="AD167" s="204"/>
      <c r="AE167" s="204"/>
      <c r="AF167" s="204"/>
      <c r="AG167" s="205"/>
      <c r="AH167" s="205"/>
      <c r="AI167" s="205"/>
      <c r="AJ167" s="205"/>
      <c r="AK167" s="205"/>
      <c r="AL167" s="698"/>
      <c r="AM167" s="205"/>
    </row>
    <row r="168" spans="1:39" x14ac:dyDescent="0.25">
      <c r="A168" s="222"/>
      <c r="B168" s="215" t="s">
        <v>352</v>
      </c>
      <c r="C168" s="202"/>
      <c r="D168" s="202"/>
      <c r="E168" s="202"/>
      <c r="F168" s="202"/>
      <c r="G168" s="202"/>
      <c r="I168" s="202"/>
      <c r="J168" s="202"/>
      <c r="K168" s="202"/>
      <c r="L168" s="202"/>
      <c r="N168" s="202"/>
      <c r="O168" s="202"/>
      <c r="P168" s="202"/>
      <c r="Q168" s="202"/>
      <c r="R168" s="202" t="str">
        <f>Обложка!$R$21</f>
        <v>ст.л-т И.Новичков</v>
      </c>
      <c r="S168" s="202"/>
      <c r="T168" s="202"/>
      <c r="U168" s="202"/>
      <c r="V168" s="202"/>
      <c r="W168" s="214"/>
      <c r="X168" s="214"/>
      <c r="Y168" s="214"/>
      <c r="Z168" s="214"/>
      <c r="AA168" s="214"/>
      <c r="AB168" s="202"/>
      <c r="AC168" s="202"/>
      <c r="AD168" s="202"/>
      <c r="AE168" s="202"/>
      <c r="AF168" s="202"/>
      <c r="AG168" s="202"/>
      <c r="AH168" s="202"/>
      <c r="AI168" s="202"/>
      <c r="AJ168" s="202"/>
      <c r="AK168" s="202"/>
      <c r="AL168" s="696"/>
      <c r="AM168" s="202"/>
    </row>
    <row r="169" spans="1:39" x14ac:dyDescent="0.25">
      <c r="A169" s="218"/>
      <c r="B169" s="202"/>
      <c r="C169" s="202"/>
      <c r="D169" s="202"/>
      <c r="E169" s="202"/>
      <c r="F169" s="202"/>
      <c r="G169" s="202"/>
      <c r="I169" s="202"/>
      <c r="J169" s="202"/>
      <c r="K169" s="202"/>
      <c r="L169" s="202"/>
      <c r="N169" s="202"/>
      <c r="O169" s="202"/>
      <c r="P169" s="202"/>
      <c r="Q169" s="202"/>
      <c r="R169" s="202"/>
      <c r="S169" s="202"/>
      <c r="T169" s="202"/>
      <c r="U169" s="202"/>
      <c r="V169" s="202"/>
      <c r="W169" s="202"/>
      <c r="X169" s="202"/>
      <c r="Y169" s="202"/>
      <c r="Z169" s="202"/>
      <c r="AA169" s="202"/>
      <c r="AB169" s="202"/>
      <c r="AC169" s="202"/>
      <c r="AD169" s="202"/>
      <c r="AE169" s="202"/>
      <c r="AF169" s="202"/>
      <c r="AG169" s="202"/>
      <c r="AH169" s="202"/>
      <c r="AI169" s="202"/>
      <c r="AJ169" s="202"/>
      <c r="AK169" s="202"/>
      <c r="AL169" s="696"/>
      <c r="AM169" s="202"/>
    </row>
    <row r="170" spans="1:39" x14ac:dyDescent="0.25">
      <c r="A170" s="222"/>
      <c r="B170" s="215" t="s">
        <v>351</v>
      </c>
      <c r="C170" s="202"/>
      <c r="D170" s="202"/>
      <c r="E170" s="202"/>
      <c r="F170" s="202"/>
      <c r="G170" s="202"/>
      <c r="I170" s="202"/>
      <c r="J170" s="202"/>
      <c r="K170" s="202"/>
      <c r="L170" s="202"/>
      <c r="N170" s="202"/>
      <c r="O170" s="202"/>
      <c r="P170" s="202"/>
      <c r="Q170" s="202"/>
      <c r="R170" s="202" t="str">
        <f>Обложка!$R$24</f>
        <v>мичман  А.Матяш</v>
      </c>
      <c r="S170" s="202"/>
      <c r="T170" s="202"/>
      <c r="U170" s="202"/>
      <c r="V170" s="202"/>
      <c r="W170" s="214"/>
      <c r="X170" s="214"/>
      <c r="Y170" s="214"/>
      <c r="Z170" s="214"/>
      <c r="AA170" s="214"/>
      <c r="AB170" s="202"/>
      <c r="AC170" s="202"/>
      <c r="AD170" s="202"/>
      <c r="AE170" s="202"/>
      <c r="AF170" s="202"/>
      <c r="AG170" s="202"/>
      <c r="AH170" s="202"/>
      <c r="AI170" s="202"/>
      <c r="AJ170" s="202"/>
      <c r="AK170" s="202"/>
      <c r="AL170" s="696"/>
      <c r="AM170" s="202"/>
    </row>
  </sheetData>
  <mergeCells count="26">
    <mergeCell ref="N12:R12"/>
    <mergeCell ref="N11:R11"/>
    <mergeCell ref="AH11:AL11"/>
    <mergeCell ref="AH12:AL12"/>
    <mergeCell ref="S11:W11"/>
    <mergeCell ref="S12:W12"/>
    <mergeCell ref="X11:AB11"/>
    <mergeCell ref="X12:AB12"/>
    <mergeCell ref="AC11:AG11"/>
    <mergeCell ref="AC12:AG12"/>
    <mergeCell ref="I10:M10"/>
    <mergeCell ref="I11:M11"/>
    <mergeCell ref="I12:M12"/>
    <mergeCell ref="M5:R5"/>
    <mergeCell ref="A9:A10"/>
    <mergeCell ref="B9:B10"/>
    <mergeCell ref="C9:C10"/>
    <mergeCell ref="D9:AM9"/>
    <mergeCell ref="D10:H10"/>
    <mergeCell ref="N10:R10"/>
    <mergeCell ref="S10:W10"/>
    <mergeCell ref="X10:AB10"/>
    <mergeCell ref="AC10:AG10"/>
    <mergeCell ref="AH10:AL10"/>
    <mergeCell ref="D11:H11"/>
    <mergeCell ref="D12:H12"/>
  </mergeCells>
  <printOptions horizontalCentered="1"/>
  <pageMargins left="0.51181102362204722" right="0.51181102362204722" top="0.55118110236220474" bottom="0.55118110236220474" header="0.31496062992125984" footer="0.31496062992125984"/>
  <pageSetup paperSize="9" scale="86" fitToHeight="10" orientation="portrait" blackAndWhite="1" r:id="rId1"/>
  <headerFooter>
    <oddFooter>&amp;L&amp;A&amp;C &amp;D&amp;RПодготовил: А. Матяш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>
    <pageSetUpPr fitToPage="1"/>
  </sheetPr>
  <dimension ref="B1:K176"/>
  <sheetViews>
    <sheetView showGridLines="0" zoomScale="90" zoomScaleNormal="90" workbookViewId="0">
      <pane ySplit="12" topLeftCell="A65" activePane="bottomLeft" state="frozen"/>
      <selection pane="bottomLeft" activeCell="P5" sqref="P5:P8"/>
    </sheetView>
  </sheetViews>
  <sheetFormatPr defaultRowHeight="15" x14ac:dyDescent="0.25"/>
  <cols>
    <col min="1" max="1" width="1.140625" customWidth="1"/>
    <col min="2" max="2" width="5" customWidth="1"/>
    <col min="3" max="3" width="22.7109375" customWidth="1"/>
    <col min="4" max="4" width="13.42578125" customWidth="1"/>
    <col min="5" max="8" width="8.7109375" customWidth="1"/>
    <col min="9" max="9" width="12.5703125" customWidth="1"/>
    <col min="10" max="10" width="8.140625" customWidth="1"/>
    <col min="11" max="11" width="9.140625" customWidth="1"/>
  </cols>
  <sheetData>
    <row r="1" spans="2:11" ht="15.75" x14ac:dyDescent="0.25">
      <c r="B1" s="63"/>
      <c r="C1" s="64"/>
      <c r="D1" s="63"/>
      <c r="E1" s="63"/>
      <c r="F1" s="63"/>
      <c r="G1" s="63"/>
      <c r="H1" s="63"/>
      <c r="I1" s="65"/>
      <c r="J1" s="10"/>
      <c r="K1" s="77" t="s">
        <v>127</v>
      </c>
    </row>
    <row r="2" spans="2:11" ht="15.75" x14ac:dyDescent="0.25">
      <c r="B2" s="66"/>
      <c r="C2" s="67"/>
      <c r="D2" s="66"/>
      <c r="E2" s="68" t="s">
        <v>157</v>
      </c>
      <c r="F2" s="66"/>
      <c r="G2" s="217">
        <f>Обложка!D13</f>
        <v>311</v>
      </c>
      <c r="H2" s="69"/>
      <c r="I2" s="70"/>
      <c r="J2" s="11"/>
      <c r="K2" s="10"/>
    </row>
    <row r="3" spans="2:11" ht="15.75" x14ac:dyDescent="0.25">
      <c r="B3" s="71"/>
      <c r="C3" s="62"/>
      <c r="D3" s="72"/>
      <c r="E3" s="72" t="s">
        <v>158</v>
      </c>
      <c r="F3" s="72"/>
      <c r="G3" s="73"/>
      <c r="H3" s="73"/>
      <c r="I3" s="72"/>
      <c r="J3" s="13"/>
      <c r="K3" s="10"/>
    </row>
    <row r="4" spans="2:11" ht="15.75" x14ac:dyDescent="0.25">
      <c r="B4" s="71"/>
      <c r="C4" s="74"/>
      <c r="D4" s="75"/>
      <c r="E4" s="1119">
        <f>Обложка!D12</f>
        <v>45127</v>
      </c>
      <c r="F4" s="1119"/>
      <c r="G4" s="76" t="s">
        <v>189</v>
      </c>
      <c r="H4" s="62"/>
      <c r="I4" s="65"/>
      <c r="J4" s="10"/>
      <c r="K4" s="10"/>
    </row>
    <row r="5" spans="2:11" ht="23.25" customHeight="1" x14ac:dyDescent="0.25">
      <c r="B5" s="71"/>
      <c r="C5" s="62"/>
      <c r="D5" s="62"/>
      <c r="E5" s="63"/>
      <c r="F5" s="63"/>
      <c r="G5" s="63"/>
      <c r="H5" s="706"/>
      <c r="I5" s="707"/>
      <c r="J5" s="60" t="s">
        <v>9</v>
      </c>
      <c r="K5" s="61" t="s">
        <v>128</v>
      </c>
    </row>
    <row r="6" spans="2:11" ht="17.25" customHeight="1" thickBot="1" x14ac:dyDescent="0.3">
      <c r="B6" s="12"/>
      <c r="E6" s="10"/>
      <c r="F6" s="10"/>
      <c r="G6" s="10"/>
      <c r="H6" s="708"/>
      <c r="I6" s="710" t="s">
        <v>11</v>
      </c>
      <c r="J6" s="709">
        <f>Обложка!D15</f>
        <v>122</v>
      </c>
      <c r="K6" s="709">
        <f>Обложка!E15</f>
        <v>24</v>
      </c>
    </row>
    <row r="7" spans="2:11" ht="17.25" customHeight="1" x14ac:dyDescent="0.25">
      <c r="B7" s="12"/>
      <c r="D7" s="10"/>
      <c r="E7" s="10"/>
      <c r="F7" s="10"/>
      <c r="G7" s="10"/>
      <c r="H7" s="1126" t="s">
        <v>1383</v>
      </c>
      <c r="I7" s="711" t="s">
        <v>12</v>
      </c>
      <c r="J7" s="709">
        <f>Обложка!D16</f>
        <v>122</v>
      </c>
      <c r="K7" s="709">
        <f>Обложка!E16</f>
        <v>24</v>
      </c>
    </row>
    <row r="8" spans="2:11" ht="17.25" customHeight="1" x14ac:dyDescent="0.25">
      <c r="B8" s="12"/>
      <c r="D8" s="10"/>
      <c r="E8" s="10"/>
      <c r="F8" s="10"/>
      <c r="G8" s="10"/>
      <c r="H8" s="1127"/>
      <c r="I8" s="712" t="s">
        <v>133</v>
      </c>
      <c r="J8" s="709">
        <f>Обложка!D18</f>
        <v>122</v>
      </c>
      <c r="K8" s="709">
        <f>Обложка!E18</f>
        <v>24</v>
      </c>
    </row>
    <row r="9" spans="2:11" ht="27" customHeight="1" thickBot="1" x14ac:dyDescent="0.3">
      <c r="B9" s="12"/>
      <c r="C9" s="126" t="s">
        <v>191</v>
      </c>
      <c r="D9" s="10"/>
      <c r="E9" s="10"/>
      <c r="F9" s="10"/>
      <c r="G9" s="10"/>
      <c r="H9" s="78">
        <f>J6*0.25+J7*0.4+J8*0.35</f>
        <v>122</v>
      </c>
      <c r="I9" s="712" t="s">
        <v>159</v>
      </c>
      <c r="J9" s="709">
        <f>Обложка!D19</f>
        <v>122</v>
      </c>
      <c r="K9" s="709">
        <f>Обложка!E19</f>
        <v>24</v>
      </c>
    </row>
    <row r="10" spans="2:11" ht="15.75" thickBot="1" x14ac:dyDescent="0.3">
      <c r="B10" s="16"/>
      <c r="C10" s="17"/>
      <c r="D10" s="16"/>
      <c r="E10" s="16"/>
      <c r="F10" s="79"/>
      <c r="G10" s="16"/>
      <c r="H10" s="16"/>
      <c r="I10" s="18"/>
      <c r="J10" s="16"/>
      <c r="K10" s="15"/>
    </row>
    <row r="11" spans="2:11" ht="30" customHeight="1" x14ac:dyDescent="0.25">
      <c r="B11" s="1114" t="s">
        <v>129</v>
      </c>
      <c r="C11" s="1112" t="s">
        <v>130</v>
      </c>
      <c r="D11" s="1120" t="s">
        <v>343</v>
      </c>
      <c r="E11" s="1116" t="s">
        <v>405</v>
      </c>
      <c r="F11" s="1117"/>
      <c r="G11" s="1117"/>
      <c r="H11" s="1118"/>
      <c r="I11" s="1122" t="s">
        <v>406</v>
      </c>
      <c r="J11" s="1124" t="s">
        <v>131</v>
      </c>
      <c r="K11" s="1110" t="s">
        <v>132</v>
      </c>
    </row>
    <row r="12" spans="2:11" ht="26.25" thickBot="1" x14ac:dyDescent="0.3">
      <c r="B12" s="1115"/>
      <c r="C12" s="1113"/>
      <c r="D12" s="1121"/>
      <c r="E12" s="124" t="s">
        <v>111</v>
      </c>
      <c r="F12" s="124" t="s">
        <v>112</v>
      </c>
      <c r="G12" s="125" t="s">
        <v>117</v>
      </c>
      <c r="H12" s="50" t="s">
        <v>146</v>
      </c>
      <c r="I12" s="1123"/>
      <c r="J12" s="1125"/>
      <c r="K12" s="1111"/>
    </row>
    <row r="13" spans="2:11" ht="15.75" x14ac:dyDescent="0.25">
      <c r="B13" s="132">
        <v>1</v>
      </c>
      <c r="C13" s="133" t="str">
        <f>инфо!D2</f>
        <v>Горох</v>
      </c>
      <c r="D13" s="729">
        <f>_xlfn.XLOOKUP($C13,Меню!$J$8:$EZ$8,Меню!$J$62:$EZ$62,"нет такого",,-1)</f>
        <v>0</v>
      </c>
      <c r="E13" s="22">
        <f>Сводная!D13</f>
        <v>0</v>
      </c>
      <c r="F13" s="22">
        <f>Сводная!E13</f>
        <v>0</v>
      </c>
      <c r="G13" s="22">
        <f>Сводная!F13</f>
        <v>0</v>
      </c>
      <c r="H13" s="22">
        <f>Сводная!G13</f>
        <v>0</v>
      </c>
      <c r="I13" s="727">
        <f>Сводная!H13</f>
        <v>0</v>
      </c>
      <c r="J13" s="134"/>
      <c r="K13" s="135"/>
    </row>
    <row r="14" spans="2:11" ht="15.75" x14ac:dyDescent="0.25">
      <c r="B14" s="47">
        <f>B13+1</f>
        <v>2</v>
      </c>
      <c r="C14" s="19" t="str">
        <f>инфо!D3</f>
        <v>Гречневая</v>
      </c>
      <c r="D14" s="730">
        <f>_xlfn.XLOOKUP($C14,Меню!$J$8:$EZ$8,Меню!$J$62:$EZ$62,"нет такого",,-1)</f>
        <v>191</v>
      </c>
      <c r="E14" s="22">
        <f>Сводная!D14</f>
        <v>0</v>
      </c>
      <c r="F14" s="22">
        <f>Сводная!E14</f>
        <v>13.176</v>
      </c>
      <c r="G14" s="22">
        <f>Сводная!F14</f>
        <v>10.126000000000001</v>
      </c>
      <c r="H14" s="22">
        <f>Сводная!G14</f>
        <v>0</v>
      </c>
      <c r="I14" s="727">
        <f>Сводная!H14</f>
        <v>23.302</v>
      </c>
      <c r="J14" s="20"/>
      <c r="K14" s="21"/>
    </row>
    <row r="15" spans="2:11" ht="15.75" x14ac:dyDescent="0.25">
      <c r="B15" s="47">
        <f t="shared" ref="B15:B78" si="0">B14+1</f>
        <v>3</v>
      </c>
      <c r="C15" s="19" t="str">
        <f>инфо!D4</f>
        <v>Манная</v>
      </c>
      <c r="D15" s="730">
        <f>_xlfn.XLOOKUP($C15,Меню!$J$8:$EZ$8,Меню!$J$62:$EZ$62,"нет такого",,-1)</f>
        <v>0</v>
      </c>
      <c r="E15" s="22">
        <f>Сводная!D15</f>
        <v>0</v>
      </c>
      <c r="F15" s="22">
        <f>Сводная!E15</f>
        <v>0</v>
      </c>
      <c r="G15" s="22">
        <f>Сводная!F15</f>
        <v>0</v>
      </c>
      <c r="H15" s="22">
        <f>Сводная!G15</f>
        <v>0</v>
      </c>
      <c r="I15" s="727">
        <f>Сводная!H15</f>
        <v>0</v>
      </c>
      <c r="J15" s="20"/>
      <c r="K15" s="21"/>
    </row>
    <row r="16" spans="2:11" ht="15.75" x14ac:dyDescent="0.25">
      <c r="B16" s="47">
        <f t="shared" si="0"/>
        <v>4</v>
      </c>
      <c r="C16" s="19" t="str">
        <f>инфо!D5</f>
        <v>Овсяная</v>
      </c>
      <c r="D16" s="730">
        <f>_xlfn.XLOOKUP($C16,Меню!$J$8:$EZ$8,Меню!$J$62:$EZ$62,"нет такого",,-1)</f>
        <v>83</v>
      </c>
      <c r="E16" s="22">
        <f>Сводная!D16</f>
        <v>10.126000000000001</v>
      </c>
      <c r="F16" s="22">
        <f>Сводная!E16</f>
        <v>0</v>
      </c>
      <c r="G16" s="22">
        <f>Сводная!F16</f>
        <v>0</v>
      </c>
      <c r="H16" s="22">
        <f>Сводная!G16</f>
        <v>0</v>
      </c>
      <c r="I16" s="727">
        <f>Сводная!H16</f>
        <v>10.126000000000001</v>
      </c>
      <c r="J16" s="20"/>
      <c r="K16" s="21"/>
    </row>
    <row r="17" spans="2:11" ht="15.75" x14ac:dyDescent="0.25">
      <c r="B17" s="47">
        <f t="shared" si="0"/>
        <v>5</v>
      </c>
      <c r="C17" s="19" t="str">
        <f>инфо!D6</f>
        <v>Пшеничная</v>
      </c>
      <c r="D17" s="730">
        <f>_xlfn.XLOOKUP($C17,Меню!$J$8:$EZ$8,Меню!$J$62:$EZ$62,"нет такого",,-1)</f>
        <v>0</v>
      </c>
      <c r="E17" s="22">
        <f>Сводная!D17</f>
        <v>0</v>
      </c>
      <c r="F17" s="22">
        <f>Сводная!E17</f>
        <v>0</v>
      </c>
      <c r="G17" s="22">
        <f>Сводная!F17</f>
        <v>0</v>
      </c>
      <c r="H17" s="22">
        <f>Сводная!G17</f>
        <v>0</v>
      </c>
      <c r="I17" s="727">
        <f>Сводная!H17</f>
        <v>0</v>
      </c>
      <c r="J17" s="20"/>
      <c r="K17" s="21"/>
    </row>
    <row r="18" spans="2:11" ht="15.75" x14ac:dyDescent="0.25">
      <c r="B18" s="47">
        <f t="shared" si="0"/>
        <v>6</v>
      </c>
      <c r="C18" s="19" t="str">
        <f>инфо!D7</f>
        <v>Перловая</v>
      </c>
      <c r="D18" s="730">
        <f>_xlfn.XLOOKUP($C18,Меню!$J$8:$EZ$8,Меню!$J$62:$EZ$62,"нет такого",,-1)</f>
        <v>5</v>
      </c>
      <c r="E18" s="22">
        <f>Сводная!D18</f>
        <v>0</v>
      </c>
      <c r="F18" s="22">
        <f>Сводная!E18</f>
        <v>0</v>
      </c>
      <c r="G18" s="22">
        <f>Сводная!F18</f>
        <v>0.61</v>
      </c>
      <c r="H18" s="22">
        <f>Сводная!G18</f>
        <v>0</v>
      </c>
      <c r="I18" s="727">
        <f>Сводная!H18</f>
        <v>0.61</v>
      </c>
      <c r="J18" s="20"/>
      <c r="K18" s="21"/>
    </row>
    <row r="19" spans="2:11" ht="15.75" x14ac:dyDescent="0.25">
      <c r="B19" s="47">
        <f t="shared" si="0"/>
        <v>7</v>
      </c>
      <c r="C19" s="19" t="str">
        <f>инфо!D8</f>
        <v>Пшено</v>
      </c>
      <c r="D19" s="730">
        <f>_xlfn.XLOOKUP($C19,Меню!$J$8:$EZ$8,Меню!$J$62:$EZ$62,"нет такого",,-1)</f>
        <v>0</v>
      </c>
      <c r="E19" s="22">
        <f>Сводная!D19</f>
        <v>0</v>
      </c>
      <c r="F19" s="22">
        <f>Сводная!E19</f>
        <v>0</v>
      </c>
      <c r="G19" s="22">
        <f>Сводная!F19</f>
        <v>0</v>
      </c>
      <c r="H19" s="22">
        <f>Сводная!G19</f>
        <v>0</v>
      </c>
      <c r="I19" s="727">
        <f>Сводная!H19</f>
        <v>0</v>
      </c>
      <c r="J19" s="20"/>
      <c r="K19" s="21"/>
    </row>
    <row r="20" spans="2:11" ht="15.75" x14ac:dyDescent="0.25">
      <c r="B20" s="47">
        <f t="shared" si="0"/>
        <v>8</v>
      </c>
      <c r="C20" s="19" t="str">
        <f>инфо!D9</f>
        <v>Рис</v>
      </c>
      <c r="D20" s="730">
        <f>_xlfn.XLOOKUP($C20,Меню!$J$8:$EZ$8,Меню!$J$62:$EZ$62,"нет такого",,-1)</f>
        <v>0</v>
      </c>
      <c r="E20" s="22">
        <f>Сводная!D20</f>
        <v>0</v>
      </c>
      <c r="F20" s="22">
        <f>Сводная!E20</f>
        <v>0</v>
      </c>
      <c r="G20" s="22">
        <f>Сводная!F20</f>
        <v>0</v>
      </c>
      <c r="H20" s="22">
        <f>Сводная!G20</f>
        <v>0</v>
      </c>
      <c r="I20" s="727">
        <f>Сводная!H20</f>
        <v>0</v>
      </c>
      <c r="J20" s="20"/>
      <c r="K20" s="21"/>
    </row>
    <row r="21" spans="2:11" ht="15.75" x14ac:dyDescent="0.25">
      <c r="B21" s="47">
        <f t="shared" si="0"/>
        <v>9</v>
      </c>
      <c r="C21" s="19" t="str">
        <f>инфо!D10</f>
        <v>Фасоль</v>
      </c>
      <c r="D21" s="730">
        <f>_xlfn.XLOOKUP($C21,Меню!$J$8:$EZ$8,Меню!$J$62:$EZ$62,"нет такого",,-1)</f>
        <v>0</v>
      </c>
      <c r="E21" s="22">
        <f>Сводная!D21</f>
        <v>0</v>
      </c>
      <c r="F21" s="22">
        <f>Сводная!E21</f>
        <v>0</v>
      </c>
      <c r="G21" s="22">
        <f>Сводная!F21</f>
        <v>0</v>
      </c>
      <c r="H21" s="22">
        <f>Сводная!G21</f>
        <v>0</v>
      </c>
      <c r="I21" s="727">
        <f>Сводная!H21</f>
        <v>0</v>
      </c>
      <c r="J21" s="20"/>
      <c r="K21" s="21"/>
    </row>
    <row r="22" spans="2:11" ht="15.75" x14ac:dyDescent="0.25">
      <c r="B22" s="47">
        <f t="shared" si="0"/>
        <v>10</v>
      </c>
      <c r="C22" s="19" t="str">
        <f>инфо!D11</f>
        <v>Ячневая</v>
      </c>
      <c r="D22" s="730">
        <f>_xlfn.XLOOKUP($C22,Меню!$J$8:$EZ$8,Меню!$J$62:$EZ$62,"нет такого",,-1)</f>
        <v>0</v>
      </c>
      <c r="E22" s="22">
        <f>Сводная!D22</f>
        <v>0</v>
      </c>
      <c r="F22" s="22">
        <f>Сводная!E22</f>
        <v>0</v>
      </c>
      <c r="G22" s="22">
        <f>Сводная!F22</f>
        <v>0</v>
      </c>
      <c r="H22" s="22">
        <f>Сводная!G22</f>
        <v>0</v>
      </c>
      <c r="I22" s="727">
        <f>Сводная!H22</f>
        <v>0</v>
      </c>
      <c r="J22" s="20"/>
      <c r="K22" s="21"/>
    </row>
    <row r="23" spans="2:11" ht="15.75" x14ac:dyDescent="0.25">
      <c r="B23" s="47">
        <f t="shared" si="0"/>
        <v>11</v>
      </c>
      <c r="C23" s="19" t="str">
        <f>инфо!D12</f>
        <v>Крупа 1</v>
      </c>
      <c r="D23" s="730">
        <f>_xlfn.XLOOKUP($C23,Меню!$J$8:$EZ$8,Меню!$J$62:$EZ$62,"нет такого",,-1)</f>
        <v>0</v>
      </c>
      <c r="E23" s="22">
        <f>Сводная!D23</f>
        <v>0</v>
      </c>
      <c r="F23" s="22">
        <f>Сводная!E23</f>
        <v>0</v>
      </c>
      <c r="G23" s="22">
        <f>Сводная!F23</f>
        <v>0</v>
      </c>
      <c r="H23" s="22">
        <f>Сводная!G23</f>
        <v>0</v>
      </c>
      <c r="I23" s="727">
        <f>Сводная!H23</f>
        <v>0</v>
      </c>
      <c r="J23" s="20"/>
      <c r="K23" s="21"/>
    </row>
    <row r="24" spans="2:11" ht="15.75" x14ac:dyDescent="0.25">
      <c r="B24" s="47">
        <f t="shared" si="0"/>
        <v>12</v>
      </c>
      <c r="C24" s="19" t="str">
        <f>инфо!D13</f>
        <v>Крупа 2</v>
      </c>
      <c r="D24" s="730">
        <f>_xlfn.XLOOKUP($C24,Меню!$J$8:$EZ$8,Меню!$J$62:$EZ$62,"нет такого",,-1)</f>
        <v>0</v>
      </c>
      <c r="E24" s="22">
        <f>Сводная!D24</f>
        <v>0</v>
      </c>
      <c r="F24" s="22">
        <f>Сводная!E24</f>
        <v>0</v>
      </c>
      <c r="G24" s="22">
        <f>Сводная!F24</f>
        <v>0</v>
      </c>
      <c r="H24" s="22">
        <f>Сводная!G24</f>
        <v>0</v>
      </c>
      <c r="I24" s="727">
        <f>Сводная!H24</f>
        <v>0</v>
      </c>
      <c r="J24" s="20"/>
      <c r="K24" s="21"/>
    </row>
    <row r="25" spans="2:11" ht="15.75" x14ac:dyDescent="0.25">
      <c r="B25" s="47">
        <f t="shared" si="0"/>
        <v>13</v>
      </c>
      <c r="C25" s="19" t="str">
        <f>инфо!D14</f>
        <v>Макаронные изделия</v>
      </c>
      <c r="D25" s="730">
        <f>_xlfn.XLOOKUP($C25,Меню!$J$8:$EZ$8,Меню!$J$62:$EZ$62,"нет такого",,-1)</f>
        <v>83</v>
      </c>
      <c r="E25" s="22">
        <f>Сводная!D25</f>
        <v>0</v>
      </c>
      <c r="F25" s="22">
        <f>Сводная!E25</f>
        <v>0</v>
      </c>
      <c r="G25" s="22">
        <f>Сводная!F25</f>
        <v>10.126000000000001</v>
      </c>
      <c r="H25" s="22">
        <f>Сводная!G25</f>
        <v>0</v>
      </c>
      <c r="I25" s="727">
        <f>Сводная!H25</f>
        <v>10.126000000000001</v>
      </c>
      <c r="J25" s="20"/>
      <c r="K25" s="21"/>
    </row>
    <row r="26" spans="2:11" ht="15.75" x14ac:dyDescent="0.25">
      <c r="B26" s="47">
        <f t="shared" si="0"/>
        <v>14</v>
      </c>
      <c r="C26" s="19" t="str">
        <f>инфо!D15</f>
        <v>Мука в/с</v>
      </c>
      <c r="D26" s="730">
        <f>_xlfn.XLOOKUP($C26,Меню!$J$8:$EZ$8,Меню!$J$62:$EZ$62,"нет такого",,-1)</f>
        <v>0</v>
      </c>
      <c r="E26" s="22">
        <f>Сводная!D26</f>
        <v>0</v>
      </c>
      <c r="F26" s="22">
        <f>Сводная!E26</f>
        <v>0</v>
      </c>
      <c r="G26" s="22">
        <f>Сводная!F26</f>
        <v>0</v>
      </c>
      <c r="H26" s="22">
        <f>Сводная!G26</f>
        <v>0</v>
      </c>
      <c r="I26" s="727">
        <f>Сводная!H26</f>
        <v>0</v>
      </c>
      <c r="J26" s="20"/>
      <c r="K26" s="21"/>
    </row>
    <row r="27" spans="2:11" ht="15.75" x14ac:dyDescent="0.25">
      <c r="B27" s="47">
        <f t="shared" si="0"/>
        <v>15</v>
      </c>
      <c r="C27" s="19" t="str">
        <f>инфо!D16</f>
        <v>Мука пшеничная 1 с</v>
      </c>
      <c r="D27" s="730">
        <f>_xlfn.XLOOKUP($C27,Меню!$J$8:$EZ$8,Меню!$J$62:$EZ$62,"нет такого",,-1)</f>
        <v>11</v>
      </c>
      <c r="E27" s="22">
        <f>Сводная!D27</f>
        <v>0</v>
      </c>
      <c r="F27" s="22">
        <f>Сводная!E27</f>
        <v>0.48799999999999999</v>
      </c>
      <c r="G27" s="22">
        <f>Сводная!F27</f>
        <v>0.85399999999999998</v>
      </c>
      <c r="H27" s="22">
        <f>Сводная!G27</f>
        <v>0</v>
      </c>
      <c r="I27" s="727">
        <f>Сводная!H27</f>
        <v>1.3420000000000001</v>
      </c>
      <c r="J27" s="20"/>
      <c r="K27" s="21"/>
    </row>
    <row r="28" spans="2:11" ht="15.75" x14ac:dyDescent="0.25">
      <c r="B28" s="47">
        <f t="shared" si="0"/>
        <v>16</v>
      </c>
      <c r="C28" s="19" t="str">
        <f>инфо!D17</f>
        <v>Сухари</v>
      </c>
      <c r="D28" s="730">
        <f>_xlfn.XLOOKUP($C28,Меню!$J$8:$EZ$8,Меню!$J$62:$EZ$62,"нет такого",,-1)</f>
        <v>0</v>
      </c>
      <c r="E28" s="22">
        <f>Сводная!D28</f>
        <v>0</v>
      </c>
      <c r="F28" s="22">
        <f>Сводная!E28</f>
        <v>0</v>
      </c>
      <c r="G28" s="22">
        <f>Сводная!F28</f>
        <v>0</v>
      </c>
      <c r="H28" s="22">
        <f>Сводная!G28</f>
        <v>0</v>
      </c>
      <c r="I28" s="727">
        <f>Сводная!H28</f>
        <v>0</v>
      </c>
      <c r="J28" s="20"/>
      <c r="K28" s="21"/>
    </row>
    <row r="29" spans="2:11" ht="15.75" x14ac:dyDescent="0.25">
      <c r="B29" s="47">
        <f t="shared" si="0"/>
        <v>17</v>
      </c>
      <c r="C29" s="19" t="str">
        <f>инфо!D18</f>
        <v>Хлеб дарницкий</v>
      </c>
      <c r="D29" s="730">
        <f>_xlfn.XLOOKUP($C29,Меню!$J$8:$EZ$8,Меню!$J$62:$EZ$62,"нет такого",,-1)</f>
        <v>150</v>
      </c>
      <c r="E29" s="22">
        <f>Сводная!D29</f>
        <v>6.1000000000000005</v>
      </c>
      <c r="F29" s="22">
        <f>Сводная!E29</f>
        <v>6.1000000000000005</v>
      </c>
      <c r="G29" s="22">
        <f>Сводная!F29</f>
        <v>6.1000000000000005</v>
      </c>
      <c r="H29" s="22">
        <f>Сводная!G29</f>
        <v>0</v>
      </c>
      <c r="I29" s="727">
        <f>Сводная!H29</f>
        <v>18.3</v>
      </c>
      <c r="J29" s="20"/>
      <c r="K29" s="21"/>
    </row>
    <row r="30" spans="2:11" ht="15.75" x14ac:dyDescent="0.25">
      <c r="B30" s="47">
        <f t="shared" si="0"/>
        <v>18</v>
      </c>
      <c r="C30" s="19" t="str">
        <f>инфо!D19</f>
        <v>Хлеб из муки пш. 1 сорта</v>
      </c>
      <c r="D30" s="730">
        <f>_xlfn.XLOOKUP($C30,Меню!$J$8:$EZ$8,Меню!$J$62:$EZ$62,"нет такого",,-1)</f>
        <v>300</v>
      </c>
      <c r="E30" s="22">
        <f>Сводная!D30</f>
        <v>12.200000000000001</v>
      </c>
      <c r="F30" s="22">
        <f>Сводная!E30</f>
        <v>12.200000000000001</v>
      </c>
      <c r="G30" s="22">
        <f>Сводная!F30</f>
        <v>12.200000000000001</v>
      </c>
      <c r="H30" s="22">
        <f>Сводная!G30</f>
        <v>0</v>
      </c>
      <c r="I30" s="727">
        <f>Сводная!H30</f>
        <v>36.6</v>
      </c>
      <c r="J30" s="20"/>
      <c r="K30" s="21"/>
    </row>
    <row r="31" spans="2:11" ht="15.75" x14ac:dyDescent="0.25">
      <c r="B31" s="47">
        <f t="shared" si="0"/>
        <v>19</v>
      </c>
      <c r="C31" s="19" t="str">
        <f>инфо!D20</f>
        <v>Мучное 1</v>
      </c>
      <c r="D31" s="730">
        <f>_xlfn.XLOOKUP($C31,Меню!$J$8:$EZ$8,Меню!$J$62:$EZ$62,"нет такого",,-1)</f>
        <v>0</v>
      </c>
      <c r="E31" s="22">
        <f>Сводная!D31</f>
        <v>0</v>
      </c>
      <c r="F31" s="22">
        <f>Сводная!E31</f>
        <v>0</v>
      </c>
      <c r="G31" s="22">
        <f>Сводная!F31</f>
        <v>0</v>
      </c>
      <c r="H31" s="22">
        <f>Сводная!G31</f>
        <v>0</v>
      </c>
      <c r="I31" s="727">
        <f>Сводная!H31</f>
        <v>0</v>
      </c>
      <c r="J31" s="20"/>
      <c r="K31" s="21"/>
    </row>
    <row r="32" spans="2:11" ht="15.75" x14ac:dyDescent="0.25">
      <c r="B32" s="47">
        <f t="shared" si="0"/>
        <v>20</v>
      </c>
      <c r="C32" s="19" t="str">
        <f>инфо!D21</f>
        <v>Мучное 2</v>
      </c>
      <c r="D32" s="730">
        <f>_xlfn.XLOOKUP($C32,Меню!$J$8:$EZ$8,Меню!$J$62:$EZ$62,"нет такого",,-1)</f>
        <v>0</v>
      </c>
      <c r="E32" s="22">
        <f>Сводная!D32</f>
        <v>0</v>
      </c>
      <c r="F32" s="22">
        <f>Сводная!E32</f>
        <v>0</v>
      </c>
      <c r="G32" s="22">
        <f>Сводная!F32</f>
        <v>0</v>
      </c>
      <c r="H32" s="22">
        <f>Сводная!G32</f>
        <v>0</v>
      </c>
      <c r="I32" s="727">
        <f>Сводная!H32</f>
        <v>0</v>
      </c>
      <c r="J32" s="20"/>
      <c r="K32" s="21"/>
    </row>
    <row r="33" spans="2:11" ht="15.75" x14ac:dyDescent="0.25">
      <c r="B33" s="47">
        <f t="shared" si="0"/>
        <v>21</v>
      </c>
      <c r="C33" s="19" t="str">
        <f>инфо!D22</f>
        <v>Картофель</v>
      </c>
      <c r="D33" s="730">
        <f>_xlfn.XLOOKUP($C33,Меню!$J$8:$EZ$8,Меню!$J$62:$EZ$62,"нет такого",,-1)</f>
        <v>440</v>
      </c>
      <c r="E33" s="22">
        <f>Сводная!D33</f>
        <v>0</v>
      </c>
      <c r="F33" s="22">
        <f>Сводная!E33</f>
        <v>18.3</v>
      </c>
      <c r="G33" s="22">
        <f>Сводная!F33</f>
        <v>35.379999999999995</v>
      </c>
      <c r="H33" s="22">
        <f>Сводная!G33</f>
        <v>0</v>
      </c>
      <c r="I33" s="727">
        <f>Сводная!H33</f>
        <v>53.679999999999993</v>
      </c>
      <c r="J33" s="20"/>
      <c r="K33" s="21"/>
    </row>
    <row r="34" spans="2:11" ht="15.75" x14ac:dyDescent="0.25">
      <c r="B34" s="47">
        <f t="shared" si="0"/>
        <v>22</v>
      </c>
      <c r="C34" s="19" t="str">
        <f>инфо!D23</f>
        <v>Капуста свежая</v>
      </c>
      <c r="D34" s="730">
        <f>_xlfn.XLOOKUP($C34,Меню!$J$8:$EZ$8,Меню!$J$62:$EZ$62,"нет такого",,-1)</f>
        <v>0</v>
      </c>
      <c r="E34" s="22">
        <f>Сводная!D34</f>
        <v>0</v>
      </c>
      <c r="F34" s="22">
        <f>Сводная!E34</f>
        <v>0</v>
      </c>
      <c r="G34" s="22">
        <f>Сводная!F34</f>
        <v>0</v>
      </c>
      <c r="H34" s="22">
        <f>Сводная!G34</f>
        <v>0</v>
      </c>
      <c r="I34" s="727">
        <f>Сводная!H34</f>
        <v>0</v>
      </c>
      <c r="J34" s="20"/>
      <c r="K34" s="21"/>
    </row>
    <row r="35" spans="2:11" ht="15.75" x14ac:dyDescent="0.25">
      <c r="B35" s="47">
        <f t="shared" si="0"/>
        <v>23</v>
      </c>
      <c r="C35" s="19" t="str">
        <f>инфо!D24</f>
        <v>Морковь</v>
      </c>
      <c r="D35" s="730">
        <f>_xlfn.XLOOKUP($C35,Меню!$J$8:$EZ$8,Меню!$J$62:$EZ$62,"нет такого",,-1)</f>
        <v>64</v>
      </c>
      <c r="E35" s="22">
        <f>Сводная!D35</f>
        <v>0</v>
      </c>
      <c r="F35" s="22">
        <f>Сводная!E35</f>
        <v>2.44</v>
      </c>
      <c r="G35" s="22">
        <f>Сводная!F35</f>
        <v>5.3679999999999994</v>
      </c>
      <c r="H35" s="22">
        <f>Сводная!G35</f>
        <v>0</v>
      </c>
      <c r="I35" s="727">
        <f>Сводная!H35</f>
        <v>7.8079999999999998</v>
      </c>
      <c r="J35" s="20"/>
      <c r="K35" s="21"/>
    </row>
    <row r="36" spans="2:11" ht="15.75" x14ac:dyDescent="0.25">
      <c r="B36" s="47">
        <f t="shared" si="0"/>
        <v>24</v>
      </c>
      <c r="C36" s="19" t="str">
        <f>инфо!D25</f>
        <v>Лук репчатый</v>
      </c>
      <c r="D36" s="730">
        <f>_xlfn.XLOOKUP($C36,Меню!$J$8:$EZ$8,Меню!$J$62:$EZ$62,"нет такого",,-1)</f>
        <v>84</v>
      </c>
      <c r="E36" s="22">
        <f>Сводная!D36</f>
        <v>0</v>
      </c>
      <c r="F36" s="22">
        <f>Сводная!E36</f>
        <v>4.758</v>
      </c>
      <c r="G36" s="22">
        <f>Сводная!F36</f>
        <v>5.49</v>
      </c>
      <c r="H36" s="22">
        <f>Сводная!G36</f>
        <v>0</v>
      </c>
      <c r="I36" s="727">
        <f>Сводная!H36</f>
        <v>10.248000000000001</v>
      </c>
      <c r="J36" s="20"/>
      <c r="K36" s="21"/>
    </row>
    <row r="37" spans="2:11" ht="15.75" x14ac:dyDescent="0.25">
      <c r="B37" s="47">
        <f t="shared" si="0"/>
        <v>25</v>
      </c>
      <c r="C37" s="19" t="str">
        <f>инфо!D26</f>
        <v>Огурцы свежие</v>
      </c>
      <c r="D37" s="730">
        <f>_xlfn.XLOOKUP($C37,Меню!$J$8:$EZ$8,Меню!$J$62:$EZ$62,"нет такого",,-1)</f>
        <v>0</v>
      </c>
      <c r="E37" s="22">
        <f>Сводная!D37</f>
        <v>0</v>
      </c>
      <c r="F37" s="22">
        <f>Сводная!E37</f>
        <v>0</v>
      </c>
      <c r="G37" s="22">
        <f>Сводная!F37</f>
        <v>0</v>
      </c>
      <c r="H37" s="22">
        <f>Сводная!G37</f>
        <v>0</v>
      </c>
      <c r="I37" s="727">
        <f>Сводная!H37</f>
        <v>0</v>
      </c>
      <c r="J37" s="20"/>
      <c r="K37" s="21"/>
    </row>
    <row r="38" spans="2:11" ht="15.75" x14ac:dyDescent="0.25">
      <c r="B38" s="47">
        <f t="shared" si="0"/>
        <v>26</v>
      </c>
      <c r="C38" s="19" t="str">
        <f>инфо!D27</f>
        <v>Помидоры свежие</v>
      </c>
      <c r="D38" s="730">
        <f>_xlfn.XLOOKUP($C38,Меню!$J$8:$EZ$8,Меню!$J$62:$EZ$62,"нет такого",,-1)</f>
        <v>25</v>
      </c>
      <c r="E38" s="22">
        <f>Сводная!D38</f>
        <v>0</v>
      </c>
      <c r="F38" s="22">
        <f>Сводная!E38</f>
        <v>0</v>
      </c>
      <c r="G38" s="22">
        <f>Сводная!F38</f>
        <v>3.0500000000000003</v>
      </c>
      <c r="H38" s="22">
        <f>Сводная!G38</f>
        <v>0</v>
      </c>
      <c r="I38" s="727">
        <f>Сводная!H38</f>
        <v>3.0500000000000003</v>
      </c>
      <c r="J38" s="20"/>
      <c r="K38" s="21"/>
    </row>
    <row r="39" spans="2:11" ht="15.75" x14ac:dyDescent="0.25">
      <c r="B39" s="47">
        <f t="shared" si="0"/>
        <v>27</v>
      </c>
      <c r="C39" s="19" t="str">
        <f>инфо!D28</f>
        <v>Свекла</v>
      </c>
      <c r="D39" s="730">
        <f>_xlfn.XLOOKUP($C39,Меню!$J$8:$EZ$8,Меню!$J$62:$EZ$62,"нет такого",,-1)</f>
        <v>140</v>
      </c>
      <c r="E39" s="22">
        <f>Сводная!D39</f>
        <v>0</v>
      </c>
      <c r="F39" s="22">
        <f>Сводная!E39</f>
        <v>5.49</v>
      </c>
      <c r="G39" s="22">
        <f>Сводная!F39</f>
        <v>11.59</v>
      </c>
      <c r="H39" s="22">
        <f>Сводная!G39</f>
        <v>0</v>
      </c>
      <c r="I39" s="727">
        <f>Сводная!H39</f>
        <v>17.079999999999998</v>
      </c>
      <c r="J39" s="20"/>
      <c r="K39" s="21"/>
    </row>
    <row r="40" spans="2:11" ht="15.75" x14ac:dyDescent="0.25">
      <c r="B40" s="47">
        <f t="shared" si="0"/>
        <v>28</v>
      </c>
      <c r="C40" s="19" t="str">
        <f>инфо!D29</f>
        <v>Редис</v>
      </c>
      <c r="D40" s="730">
        <f>_xlfn.XLOOKUP($C40,Меню!$J$8:$EZ$8,Меню!$J$62:$EZ$62,"нет такого",,-1)</f>
        <v>0</v>
      </c>
      <c r="E40" s="22">
        <f>Сводная!D40</f>
        <v>0</v>
      </c>
      <c r="F40" s="22">
        <f>Сводная!E40</f>
        <v>0</v>
      </c>
      <c r="G40" s="22">
        <f>Сводная!F40</f>
        <v>0</v>
      </c>
      <c r="H40" s="22">
        <f>Сводная!G40</f>
        <v>0</v>
      </c>
      <c r="I40" s="727">
        <f>Сводная!H40</f>
        <v>0</v>
      </c>
      <c r="J40" s="20"/>
      <c r="K40" s="21"/>
    </row>
    <row r="41" spans="2:11" ht="15.75" x14ac:dyDescent="0.25">
      <c r="B41" s="47">
        <f t="shared" si="0"/>
        <v>29</v>
      </c>
      <c r="C41" s="19" t="str">
        <f>инфо!D30</f>
        <v>Перец сладкий</v>
      </c>
      <c r="D41" s="730">
        <f>_xlfn.XLOOKUP($C41,Меню!$J$8:$EZ$8,Меню!$J$62:$EZ$62,"нет такого",,-1)</f>
        <v>0</v>
      </c>
      <c r="E41" s="22">
        <f>Сводная!D41</f>
        <v>0</v>
      </c>
      <c r="F41" s="22">
        <f>Сводная!E41</f>
        <v>0</v>
      </c>
      <c r="G41" s="22">
        <f>Сводная!F41</f>
        <v>0</v>
      </c>
      <c r="H41" s="22">
        <f>Сводная!G41</f>
        <v>0</v>
      </c>
      <c r="I41" s="727">
        <f>Сводная!H41</f>
        <v>0</v>
      </c>
      <c r="J41" s="20"/>
      <c r="K41" s="21"/>
    </row>
    <row r="42" spans="2:11" ht="15.75" x14ac:dyDescent="0.25">
      <c r="B42" s="47">
        <f t="shared" si="0"/>
        <v>30</v>
      </c>
      <c r="C42" s="19" t="str">
        <f>инфо!D31</f>
        <v>Баклажан</v>
      </c>
      <c r="D42" s="730">
        <f>_xlfn.XLOOKUP($C42,Меню!$J$8:$EZ$8,Меню!$J$62:$EZ$62,"нет такого",,-1)</f>
        <v>0</v>
      </c>
      <c r="E42" s="22">
        <f>Сводная!D42</f>
        <v>0</v>
      </c>
      <c r="F42" s="22">
        <f>Сводная!E42</f>
        <v>0</v>
      </c>
      <c r="G42" s="22">
        <f>Сводная!F42</f>
        <v>0</v>
      </c>
      <c r="H42" s="22">
        <f>Сводная!G42</f>
        <v>0</v>
      </c>
      <c r="I42" s="727">
        <f>Сводная!H42</f>
        <v>0</v>
      </c>
      <c r="J42" s="20"/>
      <c r="K42" s="21"/>
    </row>
    <row r="43" spans="2:11" ht="15.75" x14ac:dyDescent="0.25">
      <c r="B43" s="47">
        <f t="shared" si="0"/>
        <v>31</v>
      </c>
      <c r="C43" s="19" t="str">
        <f>инфо!D32</f>
        <v>Кабачки</v>
      </c>
      <c r="D43" s="730">
        <f>_xlfn.XLOOKUP($C43,Меню!$J$8:$EZ$8,Меню!$J$62:$EZ$62,"нет такого",,-1)</f>
        <v>0</v>
      </c>
      <c r="E43" s="22">
        <f>Сводная!D43</f>
        <v>0</v>
      </c>
      <c r="F43" s="22">
        <f>Сводная!E43</f>
        <v>0</v>
      </c>
      <c r="G43" s="22">
        <f>Сводная!F43</f>
        <v>0</v>
      </c>
      <c r="H43" s="22">
        <f>Сводная!G43</f>
        <v>0</v>
      </c>
      <c r="I43" s="727">
        <f>Сводная!H43</f>
        <v>0</v>
      </c>
      <c r="J43" s="20"/>
      <c r="K43" s="21"/>
    </row>
    <row r="44" spans="2:11" ht="15.75" x14ac:dyDescent="0.25">
      <c r="B44" s="47">
        <f t="shared" si="0"/>
        <v>32</v>
      </c>
      <c r="C44" s="19" t="str">
        <f>инфо!D33</f>
        <v>Зелень</v>
      </c>
      <c r="D44" s="730">
        <f>_xlfn.XLOOKUP($C44,Меню!$J$8:$EZ$8,Меню!$J$62:$EZ$62,"нет такого",,-1)</f>
        <v>10</v>
      </c>
      <c r="E44" s="22">
        <f>Сводная!D44</f>
        <v>0</v>
      </c>
      <c r="F44" s="22">
        <f>Сводная!E44</f>
        <v>0.61</v>
      </c>
      <c r="G44" s="22">
        <f>Сводная!F44</f>
        <v>0.61</v>
      </c>
      <c r="H44" s="22">
        <f>Сводная!G44</f>
        <v>0</v>
      </c>
      <c r="I44" s="727">
        <f>Сводная!H44</f>
        <v>1.22</v>
      </c>
      <c r="J44" s="20"/>
      <c r="K44" s="21"/>
    </row>
    <row r="45" spans="2:11" ht="15.75" x14ac:dyDescent="0.25">
      <c r="B45" s="47">
        <f t="shared" si="0"/>
        <v>33</v>
      </c>
      <c r="C45" s="19" t="str">
        <f>инфо!D34</f>
        <v>Лук зеленый</v>
      </c>
      <c r="D45" s="730">
        <f>_xlfn.XLOOKUP($C45,Меню!$J$8:$EZ$8,Меню!$J$62:$EZ$62,"нет такого",,-1)</f>
        <v>0</v>
      </c>
      <c r="E45" s="22">
        <f>Сводная!D45</f>
        <v>0</v>
      </c>
      <c r="F45" s="22">
        <f>Сводная!E45</f>
        <v>0</v>
      </c>
      <c r="G45" s="22">
        <f>Сводная!F45</f>
        <v>0</v>
      </c>
      <c r="H45" s="22">
        <f>Сводная!G45</f>
        <v>0</v>
      </c>
      <c r="I45" s="727">
        <f>Сводная!H45</f>
        <v>0</v>
      </c>
      <c r="J45" s="20"/>
      <c r="K45" s="21"/>
    </row>
    <row r="46" spans="2:11" ht="15.75" x14ac:dyDescent="0.25">
      <c r="B46" s="47">
        <f t="shared" si="0"/>
        <v>34</v>
      </c>
      <c r="C46" s="19" t="str">
        <f>инфо!D35</f>
        <v>Укроп</v>
      </c>
      <c r="D46" s="730">
        <f>_xlfn.XLOOKUP($C46,Меню!$J$8:$EZ$8,Меню!$J$62:$EZ$62,"нет такого",,-1)</f>
        <v>0</v>
      </c>
      <c r="E46" s="22">
        <f>Сводная!D46</f>
        <v>0</v>
      </c>
      <c r="F46" s="22">
        <f>Сводная!E46</f>
        <v>0</v>
      </c>
      <c r="G46" s="22">
        <f>Сводная!F46</f>
        <v>0</v>
      </c>
      <c r="H46" s="22">
        <f>Сводная!G46</f>
        <v>0</v>
      </c>
      <c r="I46" s="727">
        <f>Сводная!H46</f>
        <v>0</v>
      </c>
      <c r="J46" s="20"/>
      <c r="K46" s="21"/>
    </row>
    <row r="47" spans="2:11" ht="15.75" x14ac:dyDescent="0.25">
      <c r="B47" s="47">
        <f t="shared" si="0"/>
        <v>35</v>
      </c>
      <c r="C47" s="19" t="str">
        <f>инфо!D36</f>
        <v>Чеснок</v>
      </c>
      <c r="D47" s="730">
        <f>_xlfn.XLOOKUP($C47,Меню!$J$8:$EZ$8,Меню!$J$62:$EZ$62,"нет такого",,-1)</f>
        <v>0</v>
      </c>
      <c r="E47" s="22">
        <f>Сводная!D47</f>
        <v>0</v>
      </c>
      <c r="F47" s="22">
        <f>Сводная!E47</f>
        <v>0</v>
      </c>
      <c r="G47" s="22">
        <f>Сводная!F47</f>
        <v>0</v>
      </c>
      <c r="H47" s="22">
        <f>Сводная!G47</f>
        <v>0</v>
      </c>
      <c r="I47" s="727">
        <f>Сводная!H47</f>
        <v>0</v>
      </c>
      <c r="J47" s="20"/>
      <c r="K47" s="21"/>
    </row>
    <row r="48" spans="2:11" ht="15.75" x14ac:dyDescent="0.25">
      <c r="B48" s="47">
        <f t="shared" si="0"/>
        <v>36</v>
      </c>
      <c r="C48" s="19" t="str">
        <f>инфо!D37</f>
        <v>Горошек консерв.</v>
      </c>
      <c r="D48" s="730">
        <f>_xlfn.XLOOKUP($C48,Меню!$J$8:$EZ$8,Меню!$J$62:$EZ$62,"нет такого",,-1)</f>
        <v>20</v>
      </c>
      <c r="E48" s="22">
        <f>Сводная!D48</f>
        <v>2.44</v>
      </c>
      <c r="F48" s="22">
        <f>Сводная!E48</f>
        <v>0</v>
      </c>
      <c r="G48" s="22">
        <f>Сводная!F48</f>
        <v>0</v>
      </c>
      <c r="H48" s="22">
        <f>Сводная!G48</f>
        <v>0</v>
      </c>
      <c r="I48" s="727">
        <f>Сводная!H48</f>
        <v>2.44</v>
      </c>
      <c r="J48" s="20"/>
      <c r="K48" s="21"/>
    </row>
    <row r="49" spans="2:11" ht="15.75" x14ac:dyDescent="0.25">
      <c r="B49" s="47">
        <f t="shared" si="0"/>
        <v>37</v>
      </c>
      <c r="C49" s="19" t="str">
        <f>инфо!D38</f>
        <v>Кукуруза консерв.</v>
      </c>
      <c r="D49" s="730">
        <f>_xlfn.XLOOKUP($C49,Меню!$J$8:$EZ$8,Меню!$J$62:$EZ$62,"нет такого",,-1)</f>
        <v>0</v>
      </c>
      <c r="E49" s="22">
        <f>Сводная!D49</f>
        <v>0</v>
      </c>
      <c r="F49" s="22">
        <f>Сводная!E49</f>
        <v>0</v>
      </c>
      <c r="G49" s="22">
        <f>Сводная!F49</f>
        <v>0</v>
      </c>
      <c r="H49" s="22">
        <f>Сводная!G49</f>
        <v>0</v>
      </c>
      <c r="I49" s="727">
        <f>Сводная!H49</f>
        <v>0</v>
      </c>
      <c r="J49" s="20"/>
      <c r="K49" s="21"/>
    </row>
    <row r="50" spans="2:11" ht="15.75" x14ac:dyDescent="0.25">
      <c r="B50" s="47">
        <f t="shared" si="0"/>
        <v>38</v>
      </c>
      <c r="C50" s="19" t="str">
        <f>инфо!D39</f>
        <v>Фасоль консерв.</v>
      </c>
      <c r="D50" s="730">
        <f>_xlfn.XLOOKUP($C50,Меню!$J$8:$EZ$8,Меню!$J$62:$EZ$62,"нет такого",,-1)</f>
        <v>0</v>
      </c>
      <c r="E50" s="22">
        <f>Сводная!D50</f>
        <v>0</v>
      </c>
      <c r="F50" s="22">
        <f>Сводная!E50</f>
        <v>0</v>
      </c>
      <c r="G50" s="22">
        <f>Сводная!F50</f>
        <v>0</v>
      </c>
      <c r="H50" s="22">
        <f>Сводная!G50</f>
        <v>0</v>
      </c>
      <c r="I50" s="727">
        <f>Сводная!H50</f>
        <v>0</v>
      </c>
      <c r="J50" s="20"/>
      <c r="K50" s="21"/>
    </row>
    <row r="51" spans="2:11" ht="15.75" x14ac:dyDescent="0.25">
      <c r="B51" s="47">
        <f t="shared" si="0"/>
        <v>39</v>
      </c>
      <c r="C51" s="19" t="str">
        <f>инфо!D40</f>
        <v>Огурцы консерв.</v>
      </c>
      <c r="D51" s="730">
        <f>_xlfn.XLOOKUP($C51,Меню!$J$8:$EZ$8,Меню!$J$62:$EZ$62,"нет такого",,-1)</f>
        <v>25</v>
      </c>
      <c r="E51" s="22">
        <f>Сводная!D51</f>
        <v>0</v>
      </c>
      <c r="F51" s="22">
        <f>Сводная!E51</f>
        <v>0</v>
      </c>
      <c r="G51" s="22">
        <f>Сводная!F51</f>
        <v>3.0500000000000003</v>
      </c>
      <c r="H51" s="22">
        <f>Сводная!G51</f>
        <v>0</v>
      </c>
      <c r="I51" s="727">
        <f>Сводная!H51</f>
        <v>3.0500000000000003</v>
      </c>
      <c r="J51" s="20"/>
      <c r="K51" s="21"/>
    </row>
    <row r="52" spans="2:11" ht="15.75" x14ac:dyDescent="0.25">
      <c r="B52" s="47">
        <f t="shared" si="0"/>
        <v>40</v>
      </c>
      <c r="C52" s="19" t="str">
        <f>инфо!D41</f>
        <v>Капуста консерв.</v>
      </c>
      <c r="D52" s="730">
        <f>_xlfn.XLOOKUP($C52,Меню!$J$8:$EZ$8,Меню!$J$62:$EZ$62,"нет такого",,-1)</f>
        <v>115</v>
      </c>
      <c r="E52" s="22">
        <f>Сводная!D52</f>
        <v>0</v>
      </c>
      <c r="F52" s="22">
        <f>Сводная!E52</f>
        <v>14.030000000000001</v>
      </c>
      <c r="G52" s="22">
        <f>Сводная!F52</f>
        <v>0</v>
      </c>
      <c r="H52" s="22">
        <f>Сводная!G52</f>
        <v>0</v>
      </c>
      <c r="I52" s="727">
        <f>Сводная!H52</f>
        <v>14.030000000000001</v>
      </c>
      <c r="J52" s="20"/>
      <c r="K52" s="21"/>
    </row>
    <row r="53" spans="2:11" ht="15.75" x14ac:dyDescent="0.25">
      <c r="B53" s="47">
        <f t="shared" si="0"/>
        <v>41</v>
      </c>
      <c r="C53" s="19" t="str">
        <f>инфо!D42</f>
        <v>Помидоры консерв.</v>
      </c>
      <c r="D53" s="730">
        <f>_xlfn.XLOOKUP($C53,Меню!$J$8:$EZ$8,Меню!$J$62:$EZ$62,"нет такого",,-1)</f>
        <v>20</v>
      </c>
      <c r="E53" s="22">
        <f>Сводная!D53</f>
        <v>0</v>
      </c>
      <c r="F53" s="22">
        <f>Сводная!E53</f>
        <v>0</v>
      </c>
      <c r="G53" s="22">
        <f>Сводная!F53</f>
        <v>2.44</v>
      </c>
      <c r="H53" s="22">
        <f>Сводная!G53</f>
        <v>0</v>
      </c>
      <c r="I53" s="727">
        <f>Сводная!H53</f>
        <v>2.44</v>
      </c>
      <c r="J53" s="20"/>
      <c r="K53" s="21"/>
    </row>
    <row r="54" spans="2:11" ht="15.75" x14ac:dyDescent="0.25">
      <c r="B54" s="47">
        <f t="shared" si="0"/>
        <v>42</v>
      </c>
      <c r="C54" s="19" t="str">
        <f>инфо!D43</f>
        <v>Морковь консерв.</v>
      </c>
      <c r="D54" s="730">
        <f>_xlfn.XLOOKUP($C54,Меню!$J$8:$EZ$8,Меню!$J$62:$EZ$62,"нет такого",,-1)</f>
        <v>0</v>
      </c>
      <c r="E54" s="22">
        <f>Сводная!D54</f>
        <v>0</v>
      </c>
      <c r="F54" s="22">
        <f>Сводная!E54</f>
        <v>0</v>
      </c>
      <c r="G54" s="22">
        <f>Сводная!F54</f>
        <v>0</v>
      </c>
      <c r="H54" s="22">
        <f>Сводная!G54</f>
        <v>0</v>
      </c>
      <c r="I54" s="727">
        <f>Сводная!H54</f>
        <v>0</v>
      </c>
      <c r="J54" s="20"/>
      <c r="K54" s="21"/>
    </row>
    <row r="55" spans="2:11" ht="15.75" x14ac:dyDescent="0.25">
      <c r="B55" s="47">
        <f t="shared" si="0"/>
        <v>43</v>
      </c>
      <c r="C55" s="19" t="str">
        <f>инфо!D44</f>
        <v>Свекла консерв.</v>
      </c>
      <c r="D55" s="730">
        <f>_xlfn.XLOOKUP($C55,Меню!$J$8:$EZ$8,Меню!$J$62:$EZ$62,"нет такого",,-1)</f>
        <v>0</v>
      </c>
      <c r="E55" s="22">
        <f>Сводная!D55</f>
        <v>0</v>
      </c>
      <c r="F55" s="22">
        <f>Сводная!E55</f>
        <v>0</v>
      </c>
      <c r="G55" s="22">
        <f>Сводная!F55</f>
        <v>0</v>
      </c>
      <c r="H55" s="22">
        <f>Сводная!G55</f>
        <v>0</v>
      </c>
      <c r="I55" s="727">
        <f>Сводная!H55</f>
        <v>0</v>
      </c>
      <c r="J55" s="20"/>
      <c r="K55" s="21"/>
    </row>
    <row r="56" spans="2:11" ht="15.75" x14ac:dyDescent="0.25">
      <c r="B56" s="47">
        <f t="shared" si="0"/>
        <v>44</v>
      </c>
      <c r="C56" s="19" t="str">
        <f>инфо!D45</f>
        <v>Кабачки консерв.</v>
      </c>
      <c r="D56" s="730">
        <f>_xlfn.XLOOKUP($C56,Меню!$J$8:$EZ$8,Меню!$J$62:$EZ$62,"нет такого",,-1)</f>
        <v>0</v>
      </c>
      <c r="E56" s="22">
        <f>Сводная!D56</f>
        <v>0</v>
      </c>
      <c r="F56" s="22">
        <f>Сводная!E56</f>
        <v>0</v>
      </c>
      <c r="G56" s="22">
        <f>Сводная!F56</f>
        <v>0</v>
      </c>
      <c r="H56" s="22">
        <f>Сводная!G56</f>
        <v>0</v>
      </c>
      <c r="I56" s="727">
        <f>Сводная!H56</f>
        <v>0</v>
      </c>
      <c r="J56" s="20"/>
      <c r="K56" s="21"/>
    </row>
    <row r="57" spans="2:11" ht="15.75" x14ac:dyDescent="0.25">
      <c r="B57" s="47">
        <f t="shared" si="0"/>
        <v>45</v>
      </c>
      <c r="C57" s="19" t="str">
        <f>инфо!D46</f>
        <v>Консервы овощ. закусочные, лечо</v>
      </c>
      <c r="D57" s="730">
        <f>_xlfn.XLOOKUP($C57,Меню!$J$8:$EZ$8,Меню!$J$62:$EZ$62,"нет такого",,-1)</f>
        <v>20</v>
      </c>
      <c r="E57" s="22">
        <f>Сводная!D57</f>
        <v>0</v>
      </c>
      <c r="F57" s="22">
        <f>Сводная!E57</f>
        <v>0</v>
      </c>
      <c r="G57" s="22">
        <f>Сводная!F57</f>
        <v>2.44</v>
      </c>
      <c r="H57" s="22">
        <f>Сводная!G57</f>
        <v>0</v>
      </c>
      <c r="I57" s="727">
        <f>Сводная!H57</f>
        <v>2.44</v>
      </c>
      <c r="J57" s="20"/>
      <c r="K57" s="21"/>
    </row>
    <row r="58" spans="2:11" ht="15.75" x14ac:dyDescent="0.25">
      <c r="B58" s="47">
        <f t="shared" si="0"/>
        <v>46</v>
      </c>
      <c r="C58" s="19" t="str">
        <f>инфо!D47</f>
        <v>Овощи 1</v>
      </c>
      <c r="D58" s="730">
        <f>_xlfn.XLOOKUP($C58,Меню!$J$8:$EZ$8,Меню!$J$62:$EZ$62,"нет такого",,-1)</f>
        <v>0</v>
      </c>
      <c r="E58" s="22">
        <f>Сводная!D58</f>
        <v>0</v>
      </c>
      <c r="F58" s="22">
        <f>Сводная!E58</f>
        <v>0</v>
      </c>
      <c r="G58" s="22">
        <f>Сводная!F58</f>
        <v>0</v>
      </c>
      <c r="H58" s="22">
        <f>Сводная!G58</f>
        <v>0</v>
      </c>
      <c r="I58" s="727">
        <f>Сводная!H58</f>
        <v>0</v>
      </c>
      <c r="J58" s="20"/>
      <c r="K58" s="21"/>
    </row>
    <row r="59" spans="2:11" ht="15.75" x14ac:dyDescent="0.25">
      <c r="B59" s="47">
        <f t="shared" si="0"/>
        <v>47</v>
      </c>
      <c r="C59" s="19" t="str">
        <f>инфо!D48</f>
        <v>Овощи 2</v>
      </c>
      <c r="D59" s="730">
        <f>_xlfn.XLOOKUP($C59,Меню!$J$8:$EZ$8,Меню!$J$62:$EZ$62,"нет такого",,-1)</f>
        <v>0</v>
      </c>
      <c r="E59" s="22">
        <f>Сводная!D59</f>
        <v>0</v>
      </c>
      <c r="F59" s="22">
        <f>Сводная!E59</f>
        <v>0</v>
      </c>
      <c r="G59" s="22">
        <f>Сводная!F59</f>
        <v>0</v>
      </c>
      <c r="H59" s="22">
        <f>Сводная!G59</f>
        <v>0</v>
      </c>
      <c r="I59" s="727">
        <f>Сводная!H59</f>
        <v>0</v>
      </c>
      <c r="J59" s="20"/>
      <c r="K59" s="21"/>
    </row>
    <row r="60" spans="2:11" ht="15.75" x14ac:dyDescent="0.25">
      <c r="B60" s="47">
        <f t="shared" si="0"/>
        <v>48</v>
      </c>
      <c r="C60" s="19" t="str">
        <f>инфо!D49</f>
        <v>Молоко коровье</v>
      </c>
      <c r="D60" s="730">
        <f>_xlfn.XLOOKUP($C60,Меню!$J$8:$EZ$8,Меню!$J$62:$EZ$62,"нет такого",,-1)</f>
        <v>200</v>
      </c>
      <c r="E60" s="22">
        <f>Сводная!D60</f>
        <v>24.400000000000002</v>
      </c>
      <c r="F60" s="22">
        <f>Сводная!E60</f>
        <v>0</v>
      </c>
      <c r="G60" s="22">
        <f>Сводная!F60</f>
        <v>0</v>
      </c>
      <c r="H60" s="22">
        <f>Сводная!G60</f>
        <v>0</v>
      </c>
      <c r="I60" s="727">
        <f>Сводная!H60</f>
        <v>24.400000000000002</v>
      </c>
      <c r="J60" s="20"/>
      <c r="K60" s="21"/>
    </row>
    <row r="61" spans="2:11" ht="15.75" x14ac:dyDescent="0.25">
      <c r="B61" s="47">
        <f t="shared" si="0"/>
        <v>49</v>
      </c>
      <c r="C61" s="19" t="str">
        <f>инфо!D50</f>
        <v>Кефир</v>
      </c>
      <c r="D61" s="730">
        <f>_xlfn.XLOOKUP($C61,Меню!$J$8:$EZ$8,Меню!$J$62:$EZ$62,"нет такого",,-1)</f>
        <v>0</v>
      </c>
      <c r="E61" s="22">
        <f>Сводная!D61</f>
        <v>0</v>
      </c>
      <c r="F61" s="22">
        <f>Сводная!E61</f>
        <v>0</v>
      </c>
      <c r="G61" s="22">
        <f>Сводная!F61</f>
        <v>0</v>
      </c>
      <c r="H61" s="22">
        <f>Сводная!G61</f>
        <v>0</v>
      </c>
      <c r="I61" s="727">
        <f>Сводная!H61</f>
        <v>0</v>
      </c>
      <c r="J61" s="20"/>
      <c r="K61" s="21"/>
    </row>
    <row r="62" spans="2:11" ht="15.75" x14ac:dyDescent="0.25">
      <c r="B62" s="47">
        <f t="shared" si="0"/>
        <v>50</v>
      </c>
      <c r="C62" s="19" t="str">
        <f>инфо!D51</f>
        <v>Творог</v>
      </c>
      <c r="D62" s="730">
        <f>_xlfn.XLOOKUP($C62,Меню!$J$8:$EZ$8,Меню!$J$62:$EZ$62,"нет такого",,-1)</f>
        <v>0</v>
      </c>
      <c r="E62" s="22">
        <f>Сводная!D62</f>
        <v>0</v>
      </c>
      <c r="F62" s="22">
        <f>Сводная!E62</f>
        <v>0</v>
      </c>
      <c r="G62" s="22">
        <f>Сводная!F62</f>
        <v>0</v>
      </c>
      <c r="H62" s="22">
        <f>Сводная!G62</f>
        <v>0</v>
      </c>
      <c r="I62" s="727">
        <f>Сводная!H62</f>
        <v>0</v>
      </c>
      <c r="J62" s="20"/>
      <c r="K62" s="21"/>
    </row>
    <row r="63" spans="2:11" ht="15.75" x14ac:dyDescent="0.25">
      <c r="B63" s="47">
        <f t="shared" si="0"/>
        <v>51</v>
      </c>
      <c r="C63" s="19" t="str">
        <f>инфо!D52</f>
        <v>Сыр плавленный</v>
      </c>
      <c r="D63" s="730">
        <f>_xlfn.XLOOKUP($C63,Меню!$J$8:$EZ$8,Меню!$J$62:$EZ$62,"нет такого",,-1)</f>
        <v>22</v>
      </c>
      <c r="E63" s="22">
        <f>Сводная!D63</f>
        <v>2.6839999999999997</v>
      </c>
      <c r="F63" s="22">
        <f>Сводная!E63</f>
        <v>0</v>
      </c>
      <c r="G63" s="22">
        <f>Сводная!F63</f>
        <v>0</v>
      </c>
      <c r="H63" s="22">
        <f>Сводная!G63</f>
        <v>0</v>
      </c>
      <c r="I63" s="727">
        <f>Сводная!H63</f>
        <v>2.6839999999999997</v>
      </c>
      <c r="J63" s="20"/>
      <c r="K63" s="21"/>
    </row>
    <row r="64" spans="2:11" ht="15.75" x14ac:dyDescent="0.25">
      <c r="B64" s="47">
        <f t="shared" si="0"/>
        <v>52</v>
      </c>
      <c r="C64" s="19" t="str">
        <f>инфо!D53</f>
        <v>Молоко сгущ.</v>
      </c>
      <c r="D64" s="730">
        <f>_xlfn.XLOOKUP($C64,Меню!$J$8:$EZ$8,Меню!$J$62:$EZ$62,"нет такого",,-1)</f>
        <v>0</v>
      </c>
      <c r="E64" s="22">
        <f>Сводная!D64</f>
        <v>0</v>
      </c>
      <c r="F64" s="22">
        <f>Сводная!E64</f>
        <v>0</v>
      </c>
      <c r="G64" s="22">
        <f>Сводная!F64</f>
        <v>0</v>
      </c>
      <c r="H64" s="22">
        <f>Сводная!G64</f>
        <v>0</v>
      </c>
      <c r="I64" s="727">
        <f>Сводная!H64</f>
        <v>0</v>
      </c>
      <c r="J64" s="20"/>
      <c r="K64" s="21"/>
    </row>
    <row r="65" spans="2:11" ht="15.75" x14ac:dyDescent="0.25">
      <c r="B65" s="47">
        <f t="shared" si="0"/>
        <v>53</v>
      </c>
      <c r="C65" s="19" t="str">
        <f>инфо!D54</f>
        <v>Сметана</v>
      </c>
      <c r="D65" s="730">
        <f>_xlfn.XLOOKUP($C65,Меню!$J$8:$EZ$8,Меню!$J$62:$EZ$62,"нет такого",,-1)</f>
        <v>0</v>
      </c>
      <c r="E65" s="22">
        <f>Сводная!D65</f>
        <v>0</v>
      </c>
      <c r="F65" s="22">
        <f>Сводная!E65</f>
        <v>0</v>
      </c>
      <c r="G65" s="22">
        <f>Сводная!F65</f>
        <v>0</v>
      </c>
      <c r="H65" s="22">
        <f>Сводная!G65</f>
        <v>0</v>
      </c>
      <c r="I65" s="727">
        <f>Сводная!H65</f>
        <v>0</v>
      </c>
      <c r="J65" s="20"/>
      <c r="K65" s="21"/>
    </row>
    <row r="66" spans="2:11" ht="15.75" x14ac:dyDescent="0.25">
      <c r="B66" s="47">
        <f t="shared" si="0"/>
        <v>54</v>
      </c>
      <c r="C66" s="19" t="str">
        <f>инфо!D55</f>
        <v>Сыр</v>
      </c>
      <c r="D66" s="730">
        <f>_xlfn.XLOOKUP($C66,Меню!$J$8:$EZ$8,Меню!$J$62:$EZ$62,"нет такого",,-1)</f>
        <v>0</v>
      </c>
      <c r="E66" s="22">
        <f>Сводная!D66</f>
        <v>0</v>
      </c>
      <c r="F66" s="22">
        <f>Сводная!E66</f>
        <v>0</v>
      </c>
      <c r="G66" s="22">
        <f>Сводная!F66</f>
        <v>0</v>
      </c>
      <c r="H66" s="22">
        <f>Сводная!G66</f>
        <v>0</v>
      </c>
      <c r="I66" s="727">
        <f>Сводная!H66</f>
        <v>0</v>
      </c>
      <c r="J66" s="20"/>
      <c r="K66" s="21"/>
    </row>
    <row r="67" spans="2:11" ht="15.75" x14ac:dyDescent="0.25">
      <c r="B67" s="47">
        <f t="shared" si="0"/>
        <v>55</v>
      </c>
      <c r="C67" s="19" t="str">
        <f>инфо!D56</f>
        <v>Молочное 1</v>
      </c>
      <c r="D67" s="730">
        <f>_xlfn.XLOOKUP($C67,Меню!$J$8:$EZ$8,Меню!$J$62:$EZ$62,"нет такого",,-1)</f>
        <v>0</v>
      </c>
      <c r="E67" s="22">
        <f>Сводная!D67</f>
        <v>0</v>
      </c>
      <c r="F67" s="22">
        <f>Сводная!E67</f>
        <v>0</v>
      </c>
      <c r="G67" s="22">
        <f>Сводная!F67</f>
        <v>0</v>
      </c>
      <c r="H67" s="22">
        <f>Сводная!G67</f>
        <v>0</v>
      </c>
      <c r="I67" s="727">
        <f>Сводная!H67</f>
        <v>0</v>
      </c>
      <c r="J67" s="20"/>
      <c r="K67" s="21"/>
    </row>
    <row r="68" spans="2:11" ht="15.75" x14ac:dyDescent="0.25">
      <c r="B68" s="47">
        <f t="shared" si="0"/>
        <v>56</v>
      </c>
      <c r="C68" s="19" t="str">
        <f>инфо!D57</f>
        <v>Молочное 2</v>
      </c>
      <c r="D68" s="730">
        <f>_xlfn.XLOOKUP($C68,Меню!$J$8:$EZ$8,Меню!$J$62:$EZ$62,"нет такого",,-1)</f>
        <v>0</v>
      </c>
      <c r="E68" s="22">
        <f>Сводная!D68</f>
        <v>0</v>
      </c>
      <c r="F68" s="22">
        <f>Сводная!E68</f>
        <v>0</v>
      </c>
      <c r="G68" s="22">
        <f>Сводная!F68</f>
        <v>0</v>
      </c>
      <c r="H68" s="22">
        <f>Сводная!G68</f>
        <v>0</v>
      </c>
      <c r="I68" s="727">
        <f>Сводная!H68</f>
        <v>0</v>
      </c>
      <c r="J68" s="20"/>
      <c r="K68" s="21"/>
    </row>
    <row r="69" spans="2:11" ht="15.75" x14ac:dyDescent="0.25">
      <c r="B69" s="47">
        <f t="shared" si="0"/>
        <v>57</v>
      </c>
      <c r="C69" s="19" t="str">
        <f>инфо!D58</f>
        <v>Масло коровье</v>
      </c>
      <c r="D69" s="730">
        <f>_xlfn.XLOOKUP($C69,Меню!$J$8:$EZ$8,Меню!$J$62:$EZ$62,"нет такого",,-1)</f>
        <v>75</v>
      </c>
      <c r="E69" s="22">
        <f>Сводная!D69</f>
        <v>1.8299999999999998</v>
      </c>
      <c r="F69" s="22">
        <f>Сводная!E69</f>
        <v>1.8299999999999998</v>
      </c>
      <c r="G69" s="22">
        <f>Сводная!F69</f>
        <v>3.6599999999999997</v>
      </c>
      <c r="H69" s="22">
        <f>Сводная!G69</f>
        <v>1.8299999999999998</v>
      </c>
      <c r="I69" s="727">
        <f>Сводная!H69</f>
        <v>9.1499999999999986</v>
      </c>
      <c r="J69" s="20"/>
      <c r="K69" s="21"/>
    </row>
    <row r="70" spans="2:11" ht="15.75" x14ac:dyDescent="0.25">
      <c r="B70" s="47">
        <f t="shared" si="0"/>
        <v>58</v>
      </c>
      <c r="C70" s="19" t="str">
        <f>инфо!D59</f>
        <v>Масло растительное</v>
      </c>
      <c r="D70" s="730">
        <f>_xlfn.XLOOKUP($C70,Меню!$J$8:$EZ$8,Меню!$J$62:$EZ$62,"нет такого",,-1)</f>
        <v>44</v>
      </c>
      <c r="E70" s="22">
        <f>Сводная!D70</f>
        <v>0</v>
      </c>
      <c r="F70" s="22">
        <f>Сводная!E70</f>
        <v>2.3180000000000001</v>
      </c>
      <c r="G70" s="22">
        <f>Сводная!F70</f>
        <v>3.0500000000000003</v>
      </c>
      <c r="H70" s="22">
        <f>Сводная!G70</f>
        <v>0</v>
      </c>
      <c r="I70" s="727">
        <f>Сводная!H70</f>
        <v>5.3680000000000003</v>
      </c>
      <c r="J70" s="20"/>
      <c r="K70" s="21"/>
    </row>
    <row r="71" spans="2:11" ht="15.75" x14ac:dyDescent="0.25">
      <c r="B71" s="47">
        <f t="shared" si="0"/>
        <v>59</v>
      </c>
      <c r="C71" s="19" t="str">
        <f>инфо!D60</f>
        <v>Сало-шпик</v>
      </c>
      <c r="D71" s="730">
        <f>_xlfn.XLOOKUP($C71,Меню!$J$8:$EZ$8,Меню!$J$62:$EZ$62,"нет такого",,-1)</f>
        <v>15</v>
      </c>
      <c r="E71" s="22">
        <f>Сводная!D71</f>
        <v>0</v>
      </c>
      <c r="F71" s="22">
        <f>Сводная!E71</f>
        <v>1.8299999999999998</v>
      </c>
      <c r="G71" s="22">
        <f>Сводная!F71</f>
        <v>0</v>
      </c>
      <c r="H71" s="22">
        <f>Сводная!G71</f>
        <v>0</v>
      </c>
      <c r="I71" s="727">
        <f>Сводная!H71</f>
        <v>1.8299999999999998</v>
      </c>
      <c r="J71" s="20"/>
      <c r="K71" s="21"/>
    </row>
    <row r="72" spans="2:11" ht="15.75" x14ac:dyDescent="0.25">
      <c r="B72" s="47">
        <f t="shared" si="0"/>
        <v>60</v>
      </c>
      <c r="C72" s="19" t="str">
        <f>инфо!D61</f>
        <v>Жиры 1</v>
      </c>
      <c r="D72" s="730">
        <f>_xlfn.XLOOKUP($C72,Меню!$J$8:$EZ$8,Меню!$J$62:$EZ$62,"нет такого",,-1)</f>
        <v>0</v>
      </c>
      <c r="E72" s="22">
        <f>Сводная!D72</f>
        <v>0</v>
      </c>
      <c r="F72" s="22">
        <f>Сводная!E72</f>
        <v>0</v>
      </c>
      <c r="G72" s="22">
        <f>Сводная!F72</f>
        <v>0</v>
      </c>
      <c r="H72" s="22">
        <f>Сводная!G72</f>
        <v>0</v>
      </c>
      <c r="I72" s="727">
        <f>Сводная!H72</f>
        <v>0</v>
      </c>
      <c r="J72" s="20"/>
      <c r="K72" s="21"/>
    </row>
    <row r="73" spans="2:11" ht="15.75" x14ac:dyDescent="0.25">
      <c r="B73" s="47">
        <f t="shared" si="0"/>
        <v>61</v>
      </c>
      <c r="C73" s="19" t="str">
        <f>инфо!D62</f>
        <v>Жиры 2</v>
      </c>
      <c r="D73" s="730">
        <f>_xlfn.XLOOKUP($C73,Меню!$J$8:$EZ$8,Меню!$J$62:$EZ$62,"нет такого",,-1)</f>
        <v>0</v>
      </c>
      <c r="E73" s="22">
        <f>Сводная!D73</f>
        <v>0</v>
      </c>
      <c r="F73" s="22">
        <f>Сводная!E73</f>
        <v>0</v>
      </c>
      <c r="G73" s="22">
        <f>Сводная!F73</f>
        <v>0</v>
      </c>
      <c r="H73" s="22">
        <f>Сводная!G73</f>
        <v>0</v>
      </c>
      <c r="I73" s="727">
        <f>Сводная!H73</f>
        <v>0</v>
      </c>
      <c r="J73" s="20"/>
      <c r="K73" s="21"/>
    </row>
    <row r="74" spans="2:11" ht="15.75" x14ac:dyDescent="0.25">
      <c r="B74" s="47">
        <f t="shared" si="0"/>
        <v>62</v>
      </c>
      <c r="C74" s="19" t="str">
        <f>инфо!D63</f>
        <v>Говядина б/к</v>
      </c>
      <c r="D74" s="730">
        <f>_xlfn.XLOOKUP($C74,Меню!$J$8:$EZ$8,Меню!$J$62:$EZ$62,"нет такого",,-1)</f>
        <v>0</v>
      </c>
      <c r="E74" s="22">
        <f>Сводная!D74</f>
        <v>0</v>
      </c>
      <c r="F74" s="22">
        <f>Сводная!E74</f>
        <v>0</v>
      </c>
      <c r="G74" s="22">
        <f>Сводная!F74</f>
        <v>0</v>
      </c>
      <c r="H74" s="22">
        <f>Сводная!G74</f>
        <v>0</v>
      </c>
      <c r="I74" s="727">
        <f>Сводная!H74</f>
        <v>0</v>
      </c>
      <c r="J74" s="20"/>
      <c r="K74" s="21"/>
    </row>
    <row r="75" spans="2:11" ht="15.75" x14ac:dyDescent="0.25">
      <c r="B75" s="47">
        <f t="shared" si="0"/>
        <v>63</v>
      </c>
      <c r="C75" s="19" t="str">
        <f>инфо!D64</f>
        <v>Говядина консерв.</v>
      </c>
      <c r="D75" s="730">
        <f>_xlfn.XLOOKUP($C75,Меню!$J$8:$EZ$8,Меню!$J$62:$EZ$62,"нет такого",,-1)</f>
        <v>0</v>
      </c>
      <c r="E75" s="22">
        <f>Сводная!D75</f>
        <v>0</v>
      </c>
      <c r="F75" s="22">
        <f>Сводная!E75</f>
        <v>0</v>
      </c>
      <c r="G75" s="22">
        <f>Сводная!F75</f>
        <v>0</v>
      </c>
      <c r="H75" s="22">
        <f>Сводная!G75</f>
        <v>0</v>
      </c>
      <c r="I75" s="727">
        <f>Сводная!H75</f>
        <v>0</v>
      </c>
      <c r="J75" s="20"/>
      <c r="K75" s="21"/>
    </row>
    <row r="76" spans="2:11" ht="15.75" x14ac:dyDescent="0.25">
      <c r="B76" s="47">
        <f t="shared" si="0"/>
        <v>64</v>
      </c>
      <c r="C76" s="19" t="str">
        <f>инфо!D65</f>
        <v>Говядина н/к</v>
      </c>
      <c r="D76" s="730">
        <f>_xlfn.XLOOKUP($C76,Меню!$J$8:$EZ$8,Меню!$J$62:$EZ$62,"нет такого",,-1)</f>
        <v>0</v>
      </c>
      <c r="E76" s="22">
        <f>Сводная!D76</f>
        <v>0</v>
      </c>
      <c r="F76" s="22">
        <f>Сводная!E76</f>
        <v>0</v>
      </c>
      <c r="G76" s="22">
        <f>Сводная!F76</f>
        <v>0</v>
      </c>
      <c r="H76" s="22">
        <f>Сводная!G76</f>
        <v>0</v>
      </c>
      <c r="I76" s="727">
        <f>Сводная!H76</f>
        <v>0</v>
      </c>
      <c r="J76" s="20"/>
      <c r="K76" s="21"/>
    </row>
    <row r="77" spans="2:11" ht="15.75" x14ac:dyDescent="0.25">
      <c r="B77" s="47">
        <f t="shared" si="0"/>
        <v>65</v>
      </c>
      <c r="C77" s="19" t="str">
        <f>инфо!D66</f>
        <v>Говядина на кости</v>
      </c>
      <c r="D77" s="730">
        <f>_xlfn.XLOOKUP($C77,Меню!$J$8:$EZ$8,Меню!$J$62:$EZ$62,"нет такого",,-1)</f>
        <v>0</v>
      </c>
      <c r="E77" s="22">
        <f>Сводная!D77</f>
        <v>0</v>
      </c>
      <c r="F77" s="22">
        <f>Сводная!E77</f>
        <v>0</v>
      </c>
      <c r="G77" s="22">
        <f>Сводная!F77</f>
        <v>0</v>
      </c>
      <c r="H77" s="22">
        <f>Сводная!G77</f>
        <v>0</v>
      </c>
      <c r="I77" s="727">
        <f>Сводная!H77</f>
        <v>0</v>
      </c>
      <c r="J77" s="20"/>
      <c r="K77" s="21"/>
    </row>
    <row r="78" spans="2:11" ht="15.75" x14ac:dyDescent="0.25">
      <c r="B78" s="47">
        <f t="shared" si="0"/>
        <v>66</v>
      </c>
      <c r="C78" s="19" t="str">
        <f>инфо!D67</f>
        <v>Мясо птицы</v>
      </c>
      <c r="D78" s="730">
        <f>_xlfn.XLOOKUP($C78,Меню!$J$8:$EZ$8,Меню!$J$62:$EZ$62,"нет такого",,-1)</f>
        <v>0</v>
      </c>
      <c r="E78" s="22">
        <f>Сводная!D78</f>
        <v>0</v>
      </c>
      <c r="F78" s="22">
        <f>Сводная!E78</f>
        <v>0</v>
      </c>
      <c r="G78" s="22">
        <f>Сводная!F78</f>
        <v>0</v>
      </c>
      <c r="H78" s="22">
        <f>Сводная!G78</f>
        <v>0</v>
      </c>
      <c r="I78" s="727">
        <f>Сводная!H78</f>
        <v>0</v>
      </c>
      <c r="J78" s="20"/>
      <c r="K78" s="21"/>
    </row>
    <row r="79" spans="2:11" ht="15.75" x14ac:dyDescent="0.25">
      <c r="B79" s="47">
        <f t="shared" ref="B79:B142" si="1">B78+1</f>
        <v>67</v>
      </c>
      <c r="C79" s="19" t="str">
        <f>инфо!D68</f>
        <v>Свинина б/к</v>
      </c>
      <c r="D79" s="730">
        <f>_xlfn.XLOOKUP($C79,Меню!$J$8:$EZ$8,Меню!$J$62:$EZ$62,"нет такого",,-1)</f>
        <v>0</v>
      </c>
      <c r="E79" s="22">
        <f>Сводная!D79</f>
        <v>0</v>
      </c>
      <c r="F79" s="22">
        <f>Сводная!E79</f>
        <v>0</v>
      </c>
      <c r="G79" s="22">
        <f>Сводная!F79</f>
        <v>0</v>
      </c>
      <c r="H79" s="22">
        <f>Сводная!G79</f>
        <v>0</v>
      </c>
      <c r="I79" s="727">
        <f>Сводная!H79</f>
        <v>0</v>
      </c>
      <c r="J79" s="20"/>
      <c r="K79" s="21"/>
    </row>
    <row r="80" spans="2:11" ht="15.75" x14ac:dyDescent="0.25">
      <c r="B80" s="47">
        <f t="shared" si="1"/>
        <v>68</v>
      </c>
      <c r="C80" s="19" t="str">
        <f>инфо!D69</f>
        <v>Свинина консерв.</v>
      </c>
      <c r="D80" s="730">
        <f>_xlfn.XLOOKUP($C80,Меню!$J$8:$EZ$8,Меню!$J$62:$EZ$62,"нет такого",,-1)</f>
        <v>0</v>
      </c>
      <c r="E80" s="22">
        <f>Сводная!D80</f>
        <v>0</v>
      </c>
      <c r="F80" s="22">
        <f>Сводная!E80</f>
        <v>0</v>
      </c>
      <c r="G80" s="22">
        <f>Сводная!F80</f>
        <v>0</v>
      </c>
      <c r="H80" s="22">
        <f>Сводная!G80</f>
        <v>0</v>
      </c>
      <c r="I80" s="727">
        <f>Сводная!H80</f>
        <v>0</v>
      </c>
      <c r="J80" s="20"/>
      <c r="K80" s="21"/>
    </row>
    <row r="81" spans="2:11" ht="15.75" x14ac:dyDescent="0.25">
      <c r="B81" s="47">
        <f t="shared" si="1"/>
        <v>69</v>
      </c>
      <c r="C81" s="19" t="str">
        <f>инфо!D70</f>
        <v>Свинина на кости</v>
      </c>
      <c r="D81" s="730">
        <f>_xlfn.XLOOKUP($C81,Меню!$J$8:$EZ$8,Меню!$J$62:$EZ$62,"нет такого",,-1)</f>
        <v>112.5</v>
      </c>
      <c r="E81" s="22">
        <f>Сводная!D81</f>
        <v>0</v>
      </c>
      <c r="F81" s="22">
        <f>Сводная!E81</f>
        <v>13.725</v>
      </c>
      <c r="G81" s="22">
        <f>Сводная!F81</f>
        <v>0</v>
      </c>
      <c r="H81" s="22">
        <f>Сводная!G81</f>
        <v>0</v>
      </c>
      <c r="I81" s="727">
        <f>Сводная!H81</f>
        <v>13.725</v>
      </c>
      <c r="J81" s="20"/>
      <c r="K81" s="21"/>
    </row>
    <row r="82" spans="2:11" ht="15.75" x14ac:dyDescent="0.25">
      <c r="B82" s="47">
        <f t="shared" si="1"/>
        <v>70</v>
      </c>
      <c r="C82" s="19" t="str">
        <f>инфо!D71</f>
        <v>Мясо птицы консерв.</v>
      </c>
      <c r="D82" s="730">
        <f>_xlfn.XLOOKUP($C82,Меню!$J$8:$EZ$8,Меню!$J$62:$EZ$62,"нет такого",,-1)</f>
        <v>0</v>
      </c>
      <c r="E82" s="22">
        <f>Сводная!D82</f>
        <v>0</v>
      </c>
      <c r="F82" s="22">
        <f>Сводная!E82</f>
        <v>0</v>
      </c>
      <c r="G82" s="22">
        <f>Сводная!F82</f>
        <v>0</v>
      </c>
      <c r="H82" s="22">
        <f>Сводная!G82</f>
        <v>0</v>
      </c>
      <c r="I82" s="727">
        <f>Сводная!H82</f>
        <v>0</v>
      </c>
      <c r="J82" s="20"/>
      <c r="K82" s="21"/>
    </row>
    <row r="83" spans="2:11" ht="15.75" x14ac:dyDescent="0.25">
      <c r="B83" s="47">
        <f t="shared" si="1"/>
        <v>71</v>
      </c>
      <c r="C83" s="19" t="str">
        <f>инфо!D72</f>
        <v>Мясо 1</v>
      </c>
      <c r="D83" s="730">
        <f>_xlfn.XLOOKUP($C83,Меню!$J$8:$EZ$8,Меню!$J$62:$EZ$62,"нет такого",,-1)</f>
        <v>0</v>
      </c>
      <c r="E83" s="22">
        <f>Сводная!D83</f>
        <v>0</v>
      </c>
      <c r="F83" s="22">
        <f>Сводная!E83</f>
        <v>0</v>
      </c>
      <c r="G83" s="22">
        <f>Сводная!F83</f>
        <v>0</v>
      </c>
      <c r="H83" s="22">
        <f>Сводная!G83</f>
        <v>0</v>
      </c>
      <c r="I83" s="727">
        <f>Сводная!H83</f>
        <v>0</v>
      </c>
      <c r="J83" s="20"/>
      <c r="K83" s="21"/>
    </row>
    <row r="84" spans="2:11" ht="15.75" x14ac:dyDescent="0.25">
      <c r="B84" s="47">
        <f t="shared" si="1"/>
        <v>72</v>
      </c>
      <c r="C84" s="19" t="str">
        <f>инфо!D73</f>
        <v>Колбаса вареная</v>
      </c>
      <c r="D84" s="730">
        <f>_xlfn.XLOOKUP($C84,Меню!$J$8:$EZ$8,Меню!$J$62:$EZ$62,"нет такого",,-1)</f>
        <v>0</v>
      </c>
      <c r="E84" s="22">
        <f>Сводная!D84</f>
        <v>0</v>
      </c>
      <c r="F84" s="22">
        <f>Сводная!E84</f>
        <v>0</v>
      </c>
      <c r="G84" s="22">
        <f>Сводная!F84</f>
        <v>0</v>
      </c>
      <c r="H84" s="22">
        <f>Сводная!G84</f>
        <v>0</v>
      </c>
      <c r="I84" s="727">
        <f>Сводная!H84</f>
        <v>0</v>
      </c>
      <c r="J84" s="20"/>
      <c r="K84" s="21"/>
    </row>
    <row r="85" spans="2:11" ht="15.75" x14ac:dyDescent="0.25">
      <c r="B85" s="47">
        <f t="shared" si="1"/>
        <v>73</v>
      </c>
      <c r="C85" s="19" t="str">
        <f>инфо!D74</f>
        <v>Колбаса п/к</v>
      </c>
      <c r="D85" s="730">
        <f>_xlfn.XLOOKUP($C85,Меню!$J$8:$EZ$8,Меню!$J$62:$EZ$62,"нет такого",,-1)</f>
        <v>25</v>
      </c>
      <c r="E85" s="22">
        <f>Сводная!D85</f>
        <v>3.0500000000000003</v>
      </c>
      <c r="F85" s="22">
        <f>Сводная!E85</f>
        <v>0</v>
      </c>
      <c r="G85" s="22">
        <f>Сводная!F85</f>
        <v>0</v>
      </c>
      <c r="H85" s="22">
        <f>Сводная!G85</f>
        <v>0</v>
      </c>
      <c r="I85" s="727">
        <f>Сводная!H85</f>
        <v>3.0500000000000003</v>
      </c>
      <c r="J85" s="20"/>
      <c r="K85" s="21"/>
    </row>
    <row r="86" spans="2:11" ht="15.75" x14ac:dyDescent="0.25">
      <c r="B86" s="47">
        <f t="shared" si="1"/>
        <v>74</v>
      </c>
      <c r="C86" s="19" t="str">
        <f>инфо!D75</f>
        <v>Колбаса с/к</v>
      </c>
      <c r="D86" s="730">
        <f>_xlfn.XLOOKUP($C86,Меню!$J$8:$EZ$8,Меню!$J$62:$EZ$62,"нет такого",,-1)</f>
        <v>0</v>
      </c>
      <c r="E86" s="22">
        <f>Сводная!D86</f>
        <v>0</v>
      </c>
      <c r="F86" s="22">
        <f>Сводная!E86</f>
        <v>0</v>
      </c>
      <c r="G86" s="22">
        <f>Сводная!F86</f>
        <v>0</v>
      </c>
      <c r="H86" s="22">
        <f>Сводная!G86</f>
        <v>0</v>
      </c>
      <c r="I86" s="727">
        <f>Сводная!H86</f>
        <v>0</v>
      </c>
      <c r="J86" s="20"/>
      <c r="K86" s="21"/>
    </row>
    <row r="87" spans="2:11" ht="15.75" x14ac:dyDescent="0.25">
      <c r="B87" s="47">
        <f t="shared" si="1"/>
        <v>75</v>
      </c>
      <c r="C87" s="19" t="str">
        <f>инфо!D76</f>
        <v>Сосиски</v>
      </c>
      <c r="D87" s="730">
        <f>_xlfn.XLOOKUP($C87,Меню!$J$8:$EZ$8,Меню!$J$62:$EZ$62,"нет такого",,-1)</f>
        <v>80</v>
      </c>
      <c r="E87" s="22">
        <f>Сводная!D87</f>
        <v>9.76</v>
      </c>
      <c r="F87" s="22">
        <f>Сводная!E87</f>
        <v>0</v>
      </c>
      <c r="G87" s="22">
        <f>Сводная!F87</f>
        <v>0</v>
      </c>
      <c r="H87" s="22">
        <f>Сводная!G87</f>
        <v>0</v>
      </c>
      <c r="I87" s="727">
        <f>Сводная!H87</f>
        <v>9.76</v>
      </c>
      <c r="J87" s="20"/>
      <c r="K87" s="21"/>
    </row>
    <row r="88" spans="2:11" ht="15.75" x14ac:dyDescent="0.25">
      <c r="B88" s="47">
        <f t="shared" si="1"/>
        <v>76</v>
      </c>
      <c r="C88" s="19" t="str">
        <f>инфо!D77</f>
        <v>Сардельки</v>
      </c>
      <c r="D88" s="730">
        <f>_xlfn.XLOOKUP($C88,Меню!$J$8:$EZ$8,Меню!$J$62:$EZ$62,"нет такого",,-1)</f>
        <v>0</v>
      </c>
      <c r="E88" s="22">
        <f>Сводная!D88</f>
        <v>0</v>
      </c>
      <c r="F88" s="22">
        <f>Сводная!E88</f>
        <v>0</v>
      </c>
      <c r="G88" s="22">
        <f>Сводная!F88</f>
        <v>0</v>
      </c>
      <c r="H88" s="22">
        <f>Сводная!G88</f>
        <v>0</v>
      </c>
      <c r="I88" s="727">
        <f>Сводная!H88</f>
        <v>0</v>
      </c>
      <c r="J88" s="20"/>
      <c r="K88" s="21"/>
    </row>
    <row r="89" spans="2:11" ht="15.75" x14ac:dyDescent="0.25">
      <c r="B89" s="47">
        <f t="shared" si="1"/>
        <v>77</v>
      </c>
      <c r="C89" s="19" t="str">
        <f>инфо!D78</f>
        <v>Пельмени</v>
      </c>
      <c r="D89" s="730">
        <f>_xlfn.XLOOKUP($C89,Меню!$J$8:$EZ$8,Меню!$J$62:$EZ$62,"нет такого",,-1)</f>
        <v>0</v>
      </c>
      <c r="E89" s="22">
        <f>Сводная!D89</f>
        <v>0</v>
      </c>
      <c r="F89" s="22">
        <f>Сводная!E89</f>
        <v>0</v>
      </c>
      <c r="G89" s="22">
        <f>Сводная!F89</f>
        <v>0</v>
      </c>
      <c r="H89" s="22">
        <f>Сводная!G89</f>
        <v>0</v>
      </c>
      <c r="I89" s="727">
        <f>Сводная!H89</f>
        <v>0</v>
      </c>
      <c r="J89" s="20"/>
      <c r="K89" s="21"/>
    </row>
    <row r="90" spans="2:11" ht="15.75" x14ac:dyDescent="0.25">
      <c r="B90" s="47">
        <f t="shared" si="1"/>
        <v>78</v>
      </c>
      <c r="C90" s="19" t="str">
        <f>инфо!D79</f>
        <v>Печень</v>
      </c>
      <c r="D90" s="730">
        <f>_xlfn.XLOOKUP($C90,Меню!$J$8:$EZ$8,Меню!$J$62:$EZ$62,"нет такого",,-1)</f>
        <v>0</v>
      </c>
      <c r="E90" s="22">
        <f>Сводная!D90</f>
        <v>0</v>
      </c>
      <c r="F90" s="22">
        <f>Сводная!E90</f>
        <v>0</v>
      </c>
      <c r="G90" s="22">
        <f>Сводная!F90</f>
        <v>0</v>
      </c>
      <c r="H90" s="22">
        <f>Сводная!G90</f>
        <v>0</v>
      </c>
      <c r="I90" s="727">
        <f>Сводная!H90</f>
        <v>0</v>
      </c>
      <c r="J90" s="20"/>
      <c r="K90" s="21"/>
    </row>
    <row r="91" spans="2:11" ht="15.75" x14ac:dyDescent="0.25">
      <c r="B91" s="47">
        <f t="shared" si="1"/>
        <v>79</v>
      </c>
      <c r="C91" s="19" t="str">
        <f>инфо!D80</f>
        <v>Сердце</v>
      </c>
      <c r="D91" s="730">
        <f>_xlfn.XLOOKUP($C91,Меню!$J$8:$EZ$8,Меню!$J$62:$EZ$62,"нет такого",,-1)</f>
        <v>0</v>
      </c>
      <c r="E91" s="22">
        <f>Сводная!D91</f>
        <v>0</v>
      </c>
      <c r="F91" s="22">
        <f>Сводная!E91</f>
        <v>0</v>
      </c>
      <c r="G91" s="22">
        <f>Сводная!F91</f>
        <v>0</v>
      </c>
      <c r="H91" s="22">
        <f>Сводная!G91</f>
        <v>0</v>
      </c>
      <c r="I91" s="727">
        <f>Сводная!H91</f>
        <v>0</v>
      </c>
      <c r="J91" s="20"/>
      <c r="K91" s="21"/>
    </row>
    <row r="92" spans="2:11" ht="15.75" x14ac:dyDescent="0.25">
      <c r="B92" s="47">
        <f t="shared" si="1"/>
        <v>80</v>
      </c>
      <c r="C92" s="19" t="str">
        <f>инфо!D81</f>
        <v>Полуфабрикаты 1</v>
      </c>
      <c r="D92" s="730">
        <f>_xlfn.XLOOKUP($C92,Меню!$J$8:$EZ$8,Меню!$J$62:$EZ$62,"нет такого",,-1)</f>
        <v>0</v>
      </c>
      <c r="E92" s="22">
        <f>Сводная!D92</f>
        <v>0</v>
      </c>
      <c r="F92" s="22">
        <f>Сводная!E92</f>
        <v>0</v>
      </c>
      <c r="G92" s="22">
        <f>Сводная!F92</f>
        <v>0</v>
      </c>
      <c r="H92" s="22">
        <f>Сводная!G92</f>
        <v>0</v>
      </c>
      <c r="I92" s="727">
        <f>Сводная!H92</f>
        <v>0</v>
      </c>
      <c r="J92" s="20"/>
      <c r="K92" s="21"/>
    </row>
    <row r="93" spans="2:11" ht="15.75" x14ac:dyDescent="0.25">
      <c r="B93" s="47">
        <f t="shared" si="1"/>
        <v>81</v>
      </c>
      <c r="C93" s="19" t="str">
        <f>инфо!D82</f>
        <v>Консервы рыбные</v>
      </c>
      <c r="D93" s="730">
        <f>_xlfn.XLOOKUP($C93,Меню!$J$8:$EZ$8,Меню!$J$62:$EZ$62,"нет такого",,-1)</f>
        <v>0</v>
      </c>
      <c r="E93" s="22">
        <f>Сводная!D93</f>
        <v>0</v>
      </c>
      <c r="F93" s="22">
        <f>Сводная!E93</f>
        <v>0</v>
      </c>
      <c r="G93" s="22">
        <f>Сводная!F93</f>
        <v>0</v>
      </c>
      <c r="H93" s="22">
        <f>Сводная!G93</f>
        <v>0</v>
      </c>
      <c r="I93" s="727">
        <f>Сводная!H93</f>
        <v>0</v>
      </c>
      <c r="J93" s="20"/>
      <c r="K93" s="21"/>
    </row>
    <row r="94" spans="2:11" ht="15.75" x14ac:dyDescent="0.25">
      <c r="B94" s="47">
        <f t="shared" si="1"/>
        <v>82</v>
      </c>
      <c r="C94" s="19" t="str">
        <f>инфо!D83</f>
        <v>Хек б/г</v>
      </c>
      <c r="D94" s="730">
        <f>_xlfn.XLOOKUP($C94,Меню!$J$8:$EZ$8,Меню!$J$62:$EZ$62,"нет такого",,-1)</f>
        <v>0</v>
      </c>
      <c r="E94" s="22">
        <f>Сводная!D94</f>
        <v>0</v>
      </c>
      <c r="F94" s="22">
        <f>Сводная!E94</f>
        <v>0</v>
      </c>
      <c r="G94" s="22">
        <f>Сводная!F94</f>
        <v>0</v>
      </c>
      <c r="H94" s="22">
        <f>Сводная!G94</f>
        <v>0</v>
      </c>
      <c r="I94" s="727">
        <f>Сводная!H94</f>
        <v>0</v>
      </c>
      <c r="J94" s="20"/>
      <c r="K94" s="21"/>
    </row>
    <row r="95" spans="2:11" ht="15.75" x14ac:dyDescent="0.25">
      <c r="B95" s="47">
        <f t="shared" si="1"/>
        <v>83</v>
      </c>
      <c r="C95" s="19" t="str">
        <f>инфо!D84</f>
        <v>Хек с/г</v>
      </c>
      <c r="D95" s="730">
        <f>_xlfn.XLOOKUP($C95,Меню!$J$8:$EZ$8,Меню!$J$62:$EZ$62,"нет такого",,-1)</f>
        <v>0</v>
      </c>
      <c r="E95" s="22">
        <f>Сводная!D95</f>
        <v>0</v>
      </c>
      <c r="F95" s="22">
        <f>Сводная!E95</f>
        <v>0</v>
      </c>
      <c r="G95" s="22">
        <f>Сводная!F95</f>
        <v>0</v>
      </c>
      <c r="H95" s="22">
        <f>Сводная!G95</f>
        <v>0</v>
      </c>
      <c r="I95" s="727">
        <f>Сводная!H95</f>
        <v>0</v>
      </c>
      <c r="J95" s="20"/>
      <c r="K95" s="21"/>
    </row>
    <row r="96" spans="2:11" ht="15.75" x14ac:dyDescent="0.25">
      <c r="B96" s="47">
        <f t="shared" si="1"/>
        <v>84</v>
      </c>
      <c r="C96" s="19" t="str">
        <f>инфо!D85</f>
        <v>Треска б/г</v>
      </c>
      <c r="D96" s="730">
        <f>_xlfn.XLOOKUP($C96,Меню!$J$8:$EZ$8,Меню!$J$62:$EZ$62,"нет такого",,-1)</f>
        <v>50</v>
      </c>
      <c r="E96" s="22">
        <f>Сводная!D96</f>
        <v>0</v>
      </c>
      <c r="F96" s="22">
        <f>Сводная!E96</f>
        <v>0</v>
      </c>
      <c r="G96" s="22">
        <f>Сводная!F96</f>
        <v>6.1000000000000005</v>
      </c>
      <c r="H96" s="22">
        <f>Сводная!G96</f>
        <v>0</v>
      </c>
      <c r="I96" s="727">
        <f>Сводная!H96</f>
        <v>6.1000000000000005</v>
      </c>
      <c r="J96" s="20"/>
      <c r="K96" s="21"/>
    </row>
    <row r="97" spans="2:11" ht="15.75" x14ac:dyDescent="0.25">
      <c r="B97" s="47">
        <f t="shared" si="1"/>
        <v>85</v>
      </c>
      <c r="C97" s="19" t="str">
        <f>инфо!D86</f>
        <v>Треска с/г</v>
      </c>
      <c r="D97" s="730">
        <f>_xlfn.XLOOKUP($C97,Меню!$J$8:$EZ$8,Меню!$J$62:$EZ$62,"нет такого",,-1)</f>
        <v>0</v>
      </c>
      <c r="E97" s="22">
        <f>Сводная!D97</f>
        <v>0</v>
      </c>
      <c r="F97" s="22">
        <f>Сводная!E97</f>
        <v>0</v>
      </c>
      <c r="G97" s="22">
        <f>Сводная!F97</f>
        <v>0</v>
      </c>
      <c r="H97" s="22">
        <f>Сводная!G97</f>
        <v>0</v>
      </c>
      <c r="I97" s="727">
        <f>Сводная!H97</f>
        <v>0</v>
      </c>
      <c r="J97" s="20"/>
      <c r="K97" s="21"/>
    </row>
    <row r="98" spans="2:11" ht="15.75" x14ac:dyDescent="0.25">
      <c r="B98" s="47">
        <f t="shared" si="1"/>
        <v>86</v>
      </c>
      <c r="C98" s="19" t="str">
        <f>инфо!D87</f>
        <v>Сельдь б/г</v>
      </c>
      <c r="D98" s="730">
        <f>_xlfn.XLOOKUP($C98,Меню!$J$8:$EZ$8,Меню!$J$62:$EZ$62,"нет такого",,-1)</f>
        <v>0</v>
      </c>
      <c r="E98" s="22">
        <f>Сводная!D98</f>
        <v>0</v>
      </c>
      <c r="F98" s="22">
        <f>Сводная!E98</f>
        <v>0</v>
      </c>
      <c r="G98" s="22">
        <f>Сводная!F98</f>
        <v>0</v>
      </c>
      <c r="H98" s="22">
        <f>Сводная!G98</f>
        <v>0</v>
      </c>
      <c r="I98" s="727">
        <f>Сводная!H98</f>
        <v>0</v>
      </c>
      <c r="J98" s="20"/>
      <c r="K98" s="21"/>
    </row>
    <row r="99" spans="2:11" ht="15.75" x14ac:dyDescent="0.25">
      <c r="B99" s="47">
        <f t="shared" si="1"/>
        <v>87</v>
      </c>
      <c r="C99" s="19" t="str">
        <f>инфо!D88</f>
        <v>Сельдь с/г</v>
      </c>
      <c r="D99" s="730">
        <f>_xlfn.XLOOKUP($C99,Меню!$J$8:$EZ$8,Меню!$J$62:$EZ$62,"нет такого",,-1)</f>
        <v>0</v>
      </c>
      <c r="E99" s="22">
        <f>Сводная!D99</f>
        <v>0</v>
      </c>
      <c r="F99" s="22">
        <f>Сводная!E99</f>
        <v>0</v>
      </c>
      <c r="G99" s="22">
        <f>Сводная!F99</f>
        <v>0</v>
      </c>
      <c r="H99" s="22">
        <f>Сводная!G99</f>
        <v>0</v>
      </c>
      <c r="I99" s="727">
        <f>Сводная!H99</f>
        <v>0</v>
      </c>
      <c r="J99" s="20"/>
      <c r="K99" s="21"/>
    </row>
    <row r="100" spans="2:11" ht="15.75" x14ac:dyDescent="0.25">
      <c r="B100" s="47">
        <f t="shared" si="1"/>
        <v>88</v>
      </c>
      <c r="C100" s="19" t="str">
        <f>инфо!D89</f>
        <v>Минтай б/г</v>
      </c>
      <c r="D100" s="730">
        <f>_xlfn.XLOOKUP($C100,Меню!$J$8:$EZ$8,Меню!$J$62:$EZ$62,"нет такого",,-1)</f>
        <v>0</v>
      </c>
      <c r="E100" s="22">
        <f>Сводная!D100</f>
        <v>0</v>
      </c>
      <c r="F100" s="22">
        <f>Сводная!E100</f>
        <v>0</v>
      </c>
      <c r="G100" s="22">
        <f>Сводная!F100</f>
        <v>0</v>
      </c>
      <c r="H100" s="22">
        <f>Сводная!G100</f>
        <v>0</v>
      </c>
      <c r="I100" s="727">
        <f>Сводная!H100</f>
        <v>0</v>
      </c>
      <c r="J100" s="20"/>
      <c r="K100" s="21"/>
    </row>
    <row r="101" spans="2:11" ht="15.75" x14ac:dyDescent="0.25">
      <c r="B101" s="47">
        <f t="shared" si="1"/>
        <v>89</v>
      </c>
      <c r="C101" s="19" t="str">
        <f>инфо!D90</f>
        <v>Минтай с/г</v>
      </c>
      <c r="D101" s="730">
        <f>_xlfn.XLOOKUP($C101,Меню!$J$8:$EZ$8,Меню!$J$62:$EZ$62,"нет такого",,-1)</f>
        <v>0</v>
      </c>
      <c r="E101" s="22">
        <f>Сводная!D101</f>
        <v>0</v>
      </c>
      <c r="F101" s="22">
        <f>Сводная!E101</f>
        <v>0</v>
      </c>
      <c r="G101" s="22">
        <f>Сводная!F101</f>
        <v>0</v>
      </c>
      <c r="H101" s="22">
        <f>Сводная!G101</f>
        <v>0</v>
      </c>
      <c r="I101" s="727">
        <f>Сводная!H101</f>
        <v>0</v>
      </c>
      <c r="J101" s="20"/>
      <c r="K101" s="21"/>
    </row>
    <row r="102" spans="2:11" ht="15.75" x14ac:dyDescent="0.25">
      <c r="B102" s="47">
        <f t="shared" si="1"/>
        <v>90</v>
      </c>
      <c r="C102" s="19" t="str">
        <f>инфо!D91</f>
        <v>Навага б/г</v>
      </c>
      <c r="D102" s="730">
        <f>_xlfn.XLOOKUP($C102,Меню!$J$8:$EZ$8,Меню!$J$62:$EZ$62,"нет такого",,-1)</f>
        <v>0</v>
      </c>
      <c r="E102" s="22">
        <f>Сводная!D102</f>
        <v>0</v>
      </c>
      <c r="F102" s="22">
        <f>Сводная!E102</f>
        <v>0</v>
      </c>
      <c r="G102" s="22">
        <f>Сводная!F102</f>
        <v>0</v>
      </c>
      <c r="H102" s="22">
        <f>Сводная!G102</f>
        <v>0</v>
      </c>
      <c r="I102" s="727">
        <f>Сводная!H102</f>
        <v>0</v>
      </c>
      <c r="J102" s="20"/>
      <c r="K102" s="21"/>
    </row>
    <row r="103" spans="2:11" ht="15.75" x14ac:dyDescent="0.25">
      <c r="B103" s="47">
        <f t="shared" si="1"/>
        <v>91</v>
      </c>
      <c r="C103" s="19" t="str">
        <f>инфо!D92</f>
        <v>Навага с/г</v>
      </c>
      <c r="D103" s="730">
        <f>_xlfn.XLOOKUP($C103,Меню!$J$8:$EZ$8,Меню!$J$62:$EZ$62,"нет такого",,-1)</f>
        <v>0</v>
      </c>
      <c r="E103" s="22">
        <f>Сводная!D103</f>
        <v>0</v>
      </c>
      <c r="F103" s="22">
        <f>Сводная!E103</f>
        <v>0</v>
      </c>
      <c r="G103" s="22">
        <f>Сводная!F103</f>
        <v>0</v>
      </c>
      <c r="H103" s="22">
        <f>Сводная!G103</f>
        <v>0</v>
      </c>
      <c r="I103" s="727">
        <f>Сводная!H103</f>
        <v>0</v>
      </c>
      <c r="J103" s="20"/>
      <c r="K103" s="21"/>
    </row>
    <row r="104" spans="2:11" ht="15.75" x14ac:dyDescent="0.25">
      <c r="B104" s="47">
        <f t="shared" si="1"/>
        <v>92</v>
      </c>
      <c r="C104" s="19" t="str">
        <f>инфо!D93</f>
        <v>Камбала б/г</v>
      </c>
      <c r="D104" s="730">
        <f>_xlfn.XLOOKUP($C104,Меню!$J$8:$EZ$8,Меню!$J$62:$EZ$62,"нет такого",,-1)</f>
        <v>0</v>
      </c>
      <c r="E104" s="22">
        <f>Сводная!D104</f>
        <v>0</v>
      </c>
      <c r="F104" s="22">
        <f>Сводная!E104</f>
        <v>0</v>
      </c>
      <c r="G104" s="22">
        <f>Сводная!F104</f>
        <v>0</v>
      </c>
      <c r="H104" s="22">
        <f>Сводная!G104</f>
        <v>0</v>
      </c>
      <c r="I104" s="727">
        <f>Сводная!H104</f>
        <v>0</v>
      </c>
      <c r="J104" s="20"/>
      <c r="K104" s="21"/>
    </row>
    <row r="105" spans="2:11" ht="15.75" x14ac:dyDescent="0.25">
      <c r="B105" s="47">
        <f t="shared" si="1"/>
        <v>93</v>
      </c>
      <c r="C105" s="19" t="str">
        <f>инфо!D94</f>
        <v>Камбала с/г</v>
      </c>
      <c r="D105" s="730">
        <f>_xlfn.XLOOKUP($C105,Меню!$J$8:$EZ$8,Меню!$J$62:$EZ$62,"нет такого",,-1)</f>
        <v>0</v>
      </c>
      <c r="E105" s="22">
        <f>Сводная!D105</f>
        <v>0</v>
      </c>
      <c r="F105" s="22">
        <f>Сводная!E105</f>
        <v>0</v>
      </c>
      <c r="G105" s="22">
        <f>Сводная!F105</f>
        <v>0</v>
      </c>
      <c r="H105" s="22">
        <f>Сводная!G105</f>
        <v>0</v>
      </c>
      <c r="I105" s="727">
        <f>Сводная!H105</f>
        <v>0</v>
      </c>
      <c r="J105" s="20"/>
      <c r="K105" s="21"/>
    </row>
    <row r="106" spans="2:11" ht="15.75" x14ac:dyDescent="0.25">
      <c r="B106" s="47">
        <f t="shared" si="1"/>
        <v>94</v>
      </c>
      <c r="C106" s="19" t="str">
        <f>инфо!D95</f>
        <v>Горбуша б/г</v>
      </c>
      <c r="D106" s="730">
        <f>_xlfn.XLOOKUP($C106,Меню!$J$8:$EZ$8,Меню!$J$62:$EZ$62,"нет такого",,-1)</f>
        <v>0</v>
      </c>
      <c r="E106" s="22">
        <f>Сводная!D106</f>
        <v>0</v>
      </c>
      <c r="F106" s="22">
        <f>Сводная!E106</f>
        <v>0</v>
      </c>
      <c r="G106" s="22">
        <f>Сводная!F106</f>
        <v>0</v>
      </c>
      <c r="H106" s="22">
        <f>Сводная!G106</f>
        <v>0</v>
      </c>
      <c r="I106" s="727">
        <f>Сводная!H106</f>
        <v>0</v>
      </c>
      <c r="J106" s="20"/>
      <c r="K106" s="21"/>
    </row>
    <row r="107" spans="2:11" ht="15.75" x14ac:dyDescent="0.25">
      <c r="B107" s="47">
        <f t="shared" si="1"/>
        <v>95</v>
      </c>
      <c r="C107" s="19" t="str">
        <f>инфо!D96</f>
        <v>Горбуша с/г</v>
      </c>
      <c r="D107" s="730">
        <f>_xlfn.XLOOKUP($C107,Меню!$J$8:$EZ$8,Меню!$J$62:$EZ$62,"нет такого",,-1)</f>
        <v>0</v>
      </c>
      <c r="E107" s="22">
        <f>Сводная!D107</f>
        <v>0</v>
      </c>
      <c r="F107" s="22">
        <f>Сводная!E107</f>
        <v>0</v>
      </c>
      <c r="G107" s="22">
        <f>Сводная!F107</f>
        <v>0</v>
      </c>
      <c r="H107" s="22">
        <f>Сводная!G107</f>
        <v>0</v>
      </c>
      <c r="I107" s="727">
        <f>Сводная!H107</f>
        <v>0</v>
      </c>
      <c r="J107" s="20"/>
      <c r="K107" s="21"/>
    </row>
    <row r="108" spans="2:11" ht="15.75" x14ac:dyDescent="0.25">
      <c r="B108" s="47">
        <f t="shared" si="1"/>
        <v>96</v>
      </c>
      <c r="C108" s="19" t="str">
        <f>инфо!D97</f>
        <v>Налим б/г</v>
      </c>
      <c r="D108" s="730">
        <f>_xlfn.XLOOKUP($C108,Меню!$J$8:$EZ$8,Меню!$J$62:$EZ$62,"нет такого",,-1)</f>
        <v>0</v>
      </c>
      <c r="E108" s="22">
        <f>Сводная!D108</f>
        <v>0</v>
      </c>
      <c r="F108" s="22">
        <f>Сводная!E108</f>
        <v>0</v>
      </c>
      <c r="G108" s="22">
        <f>Сводная!F108</f>
        <v>0</v>
      </c>
      <c r="H108" s="22">
        <f>Сводная!G108</f>
        <v>0</v>
      </c>
      <c r="I108" s="727">
        <f>Сводная!H108</f>
        <v>0</v>
      </c>
      <c r="J108" s="20"/>
      <c r="K108" s="21"/>
    </row>
    <row r="109" spans="2:11" ht="15.75" x14ac:dyDescent="0.25">
      <c r="B109" s="47">
        <f t="shared" si="1"/>
        <v>97</v>
      </c>
      <c r="C109" s="19" t="str">
        <f>инфо!D98</f>
        <v>Пикша б/г</v>
      </c>
      <c r="D109" s="730">
        <f>_xlfn.XLOOKUP($C109,Меню!$J$8:$EZ$8,Меню!$J$62:$EZ$62,"нет такого",,-1)</f>
        <v>0</v>
      </c>
      <c r="E109" s="22">
        <f>Сводная!D109</f>
        <v>0</v>
      </c>
      <c r="F109" s="22">
        <f>Сводная!E109</f>
        <v>0</v>
      </c>
      <c r="G109" s="22">
        <f>Сводная!F109</f>
        <v>0</v>
      </c>
      <c r="H109" s="22">
        <f>Сводная!G109</f>
        <v>0</v>
      </c>
      <c r="I109" s="727">
        <f>Сводная!H109</f>
        <v>0</v>
      </c>
      <c r="J109" s="20"/>
      <c r="K109" s="21"/>
    </row>
    <row r="110" spans="2:11" ht="15.75" x14ac:dyDescent="0.25">
      <c r="B110" s="47">
        <f t="shared" si="1"/>
        <v>98</v>
      </c>
      <c r="C110" s="19" t="str">
        <f>инфо!D99</f>
        <v>Пикша с/г</v>
      </c>
      <c r="D110" s="730">
        <f>_xlfn.XLOOKUP($C110,Меню!$J$8:$EZ$8,Меню!$J$62:$EZ$62,"нет такого",,-1)</f>
        <v>0</v>
      </c>
      <c r="E110" s="22">
        <f>Сводная!D110</f>
        <v>0</v>
      </c>
      <c r="F110" s="22">
        <f>Сводная!E110</f>
        <v>0</v>
      </c>
      <c r="G110" s="22">
        <f>Сводная!F110</f>
        <v>0</v>
      </c>
      <c r="H110" s="22">
        <f>Сводная!G110</f>
        <v>0</v>
      </c>
      <c r="I110" s="727">
        <f>Сводная!H110</f>
        <v>0</v>
      </c>
      <c r="J110" s="20"/>
      <c r="K110" s="21"/>
    </row>
    <row r="111" spans="2:11" ht="15.75" x14ac:dyDescent="0.25">
      <c r="B111" s="47">
        <f t="shared" si="1"/>
        <v>99</v>
      </c>
      <c r="C111" s="19" t="str">
        <f>инфо!D100</f>
        <v>Сайда б/г</v>
      </c>
      <c r="D111" s="730">
        <f>_xlfn.XLOOKUP($C111,Меню!$J$8:$EZ$8,Меню!$J$62:$EZ$62,"нет такого",,-1)</f>
        <v>120</v>
      </c>
      <c r="E111" s="22">
        <f>Сводная!D111</f>
        <v>0</v>
      </c>
      <c r="F111" s="22">
        <f>Сводная!E111</f>
        <v>0</v>
      </c>
      <c r="G111" s="22">
        <f>Сводная!F111</f>
        <v>14.639999999999999</v>
      </c>
      <c r="H111" s="22">
        <f>Сводная!G111</f>
        <v>0</v>
      </c>
      <c r="I111" s="727">
        <f>Сводная!H111</f>
        <v>14.639999999999999</v>
      </c>
      <c r="J111" s="20"/>
      <c r="K111" s="21"/>
    </row>
    <row r="112" spans="2:11" ht="15.75" x14ac:dyDescent="0.25">
      <c r="B112" s="47">
        <f t="shared" si="1"/>
        <v>100</v>
      </c>
      <c r="C112" s="19" t="str">
        <f>инфо!D101</f>
        <v>Сайда с/г</v>
      </c>
      <c r="D112" s="730">
        <f>_xlfn.XLOOKUP($C112,Меню!$J$8:$EZ$8,Меню!$J$62:$EZ$62,"нет такого",,-1)</f>
        <v>0</v>
      </c>
      <c r="E112" s="22">
        <f>Сводная!D112</f>
        <v>0</v>
      </c>
      <c r="F112" s="22">
        <f>Сводная!E112</f>
        <v>0</v>
      </c>
      <c r="G112" s="22">
        <f>Сводная!F112</f>
        <v>0</v>
      </c>
      <c r="H112" s="22">
        <f>Сводная!G112</f>
        <v>0</v>
      </c>
      <c r="I112" s="727">
        <f>Сводная!H112</f>
        <v>0</v>
      </c>
      <c r="J112" s="20"/>
      <c r="K112" s="21"/>
    </row>
    <row r="113" spans="2:11" ht="15.75" x14ac:dyDescent="0.25">
      <c r="B113" s="47">
        <f t="shared" si="1"/>
        <v>101</v>
      </c>
      <c r="C113" s="19" t="str">
        <f>инфо!D102</f>
        <v>Сом б/г</v>
      </c>
      <c r="D113" s="730">
        <f>_xlfn.XLOOKUP($C113,Меню!$J$8:$EZ$8,Меню!$J$62:$EZ$62,"нет такого",,-1)</f>
        <v>0</v>
      </c>
      <c r="E113" s="22">
        <f>Сводная!D113</f>
        <v>0</v>
      </c>
      <c r="F113" s="22">
        <f>Сводная!E113</f>
        <v>0</v>
      </c>
      <c r="G113" s="22">
        <f>Сводная!F113</f>
        <v>0</v>
      </c>
      <c r="H113" s="22">
        <f>Сводная!G113</f>
        <v>0</v>
      </c>
      <c r="I113" s="727">
        <f>Сводная!H113</f>
        <v>0</v>
      </c>
      <c r="J113" s="20"/>
      <c r="K113" s="21"/>
    </row>
    <row r="114" spans="2:11" ht="15.75" x14ac:dyDescent="0.25">
      <c r="B114" s="47">
        <f t="shared" si="1"/>
        <v>102</v>
      </c>
      <c r="C114" s="19" t="str">
        <f>инфо!D103</f>
        <v>Сом с/г</v>
      </c>
      <c r="D114" s="730">
        <f>_xlfn.XLOOKUP($C114,Меню!$J$8:$EZ$8,Меню!$J$62:$EZ$62,"нет такого",,-1)</f>
        <v>0</v>
      </c>
      <c r="E114" s="22">
        <f>Сводная!D114</f>
        <v>0</v>
      </c>
      <c r="F114" s="22">
        <f>Сводная!E114</f>
        <v>0</v>
      </c>
      <c r="G114" s="22">
        <f>Сводная!F114</f>
        <v>0</v>
      </c>
      <c r="H114" s="22">
        <f>Сводная!G114</f>
        <v>0</v>
      </c>
      <c r="I114" s="727">
        <f>Сводная!H114</f>
        <v>0</v>
      </c>
      <c r="J114" s="20"/>
      <c r="K114" s="21"/>
    </row>
    <row r="115" spans="2:11" ht="15.75" x14ac:dyDescent="0.25">
      <c r="B115" s="47">
        <f t="shared" si="1"/>
        <v>103</v>
      </c>
      <c r="C115" s="19" t="str">
        <f>инфо!D104</f>
        <v>Судак б/г</v>
      </c>
      <c r="D115" s="730">
        <f>_xlfn.XLOOKUP($C115,Меню!$J$8:$EZ$8,Меню!$J$62:$EZ$62,"нет такого",,-1)</f>
        <v>0</v>
      </c>
      <c r="E115" s="22">
        <f>Сводная!D115</f>
        <v>0</v>
      </c>
      <c r="F115" s="22">
        <f>Сводная!E115</f>
        <v>0</v>
      </c>
      <c r="G115" s="22">
        <f>Сводная!F115</f>
        <v>0</v>
      </c>
      <c r="H115" s="22">
        <f>Сводная!G115</f>
        <v>0</v>
      </c>
      <c r="I115" s="727">
        <f>Сводная!H115</f>
        <v>0</v>
      </c>
      <c r="J115" s="20"/>
      <c r="K115" s="21"/>
    </row>
    <row r="116" spans="2:11" ht="15.75" x14ac:dyDescent="0.25">
      <c r="B116" s="47">
        <f t="shared" si="1"/>
        <v>104</v>
      </c>
      <c r="C116" s="19" t="str">
        <f>инфо!D105</f>
        <v>Судак с/г</v>
      </c>
      <c r="D116" s="730">
        <f>_xlfn.XLOOKUP($C116,Меню!$J$8:$EZ$8,Меню!$J$62:$EZ$62,"нет такого",,-1)</f>
        <v>0</v>
      </c>
      <c r="E116" s="22">
        <f>Сводная!D116</f>
        <v>0</v>
      </c>
      <c r="F116" s="22">
        <f>Сводная!E116</f>
        <v>0</v>
      </c>
      <c r="G116" s="22">
        <f>Сводная!F116</f>
        <v>0</v>
      </c>
      <c r="H116" s="22">
        <f>Сводная!G116</f>
        <v>0</v>
      </c>
      <c r="I116" s="727">
        <f>Сводная!H116</f>
        <v>0</v>
      </c>
      <c r="J116" s="20"/>
      <c r="K116" s="21"/>
    </row>
    <row r="117" spans="2:11" ht="15.75" x14ac:dyDescent="0.25">
      <c r="B117" s="47">
        <f t="shared" si="1"/>
        <v>105</v>
      </c>
      <c r="C117" s="19" t="str">
        <f>инфо!D106</f>
        <v>Щука б/г</v>
      </c>
      <c r="D117" s="730">
        <f>_xlfn.XLOOKUP($C117,Меню!$J$8:$EZ$8,Меню!$J$62:$EZ$62,"нет такого",,-1)</f>
        <v>0</v>
      </c>
      <c r="E117" s="22">
        <f>Сводная!D117</f>
        <v>0</v>
      </c>
      <c r="F117" s="22">
        <f>Сводная!E117</f>
        <v>0</v>
      </c>
      <c r="G117" s="22">
        <f>Сводная!F117</f>
        <v>0</v>
      </c>
      <c r="H117" s="22">
        <f>Сводная!G117</f>
        <v>0</v>
      </c>
      <c r="I117" s="727">
        <f>Сводная!H117</f>
        <v>0</v>
      </c>
      <c r="J117" s="20"/>
      <c r="K117" s="21"/>
    </row>
    <row r="118" spans="2:11" ht="15.75" x14ac:dyDescent="0.25">
      <c r="B118" s="47">
        <f t="shared" si="1"/>
        <v>106</v>
      </c>
      <c r="C118" s="19" t="str">
        <f>инфо!D107</f>
        <v>Щука с/г</v>
      </c>
      <c r="D118" s="730">
        <f>_xlfn.XLOOKUP($C118,Меню!$J$8:$EZ$8,Меню!$J$62:$EZ$62,"нет такого",,-1)</f>
        <v>0</v>
      </c>
      <c r="E118" s="22">
        <f>Сводная!D118</f>
        <v>0</v>
      </c>
      <c r="F118" s="22">
        <f>Сводная!E118</f>
        <v>0</v>
      </c>
      <c r="G118" s="22">
        <f>Сводная!F118</f>
        <v>0</v>
      </c>
      <c r="H118" s="22">
        <f>Сводная!G118</f>
        <v>0</v>
      </c>
      <c r="I118" s="727">
        <f>Сводная!H118</f>
        <v>0</v>
      </c>
      <c r="J118" s="20"/>
      <c r="K118" s="21"/>
    </row>
    <row r="119" spans="2:11" ht="15.75" x14ac:dyDescent="0.25">
      <c r="B119" s="47">
        <f t="shared" si="1"/>
        <v>107</v>
      </c>
      <c r="C119" s="19" t="str">
        <f>инфо!D108</f>
        <v>Рыба с/м б/г</v>
      </c>
      <c r="D119" s="730">
        <f>_xlfn.XLOOKUP($C119,Меню!$J$8:$EZ$8,Меню!$J$62:$EZ$62,"нет такого",,-1)</f>
        <v>0</v>
      </c>
      <c r="E119" s="22">
        <f>Сводная!D119</f>
        <v>0</v>
      </c>
      <c r="F119" s="22">
        <f>Сводная!E119</f>
        <v>0</v>
      </c>
      <c r="G119" s="22">
        <f>Сводная!F119</f>
        <v>0</v>
      </c>
      <c r="H119" s="22">
        <f>Сводная!G119</f>
        <v>0</v>
      </c>
      <c r="I119" s="727">
        <f>Сводная!H119</f>
        <v>0</v>
      </c>
      <c r="J119" s="20"/>
      <c r="K119" s="21"/>
    </row>
    <row r="120" spans="2:11" ht="15.75" x14ac:dyDescent="0.25">
      <c r="B120" s="47">
        <f t="shared" si="1"/>
        <v>108</v>
      </c>
      <c r="C120" s="19" t="str">
        <f>инфо!D109</f>
        <v>Рыба 1</v>
      </c>
      <c r="D120" s="730">
        <f>_xlfn.XLOOKUP($C120,Меню!$J$8:$EZ$8,Меню!$J$62:$EZ$62,"нет такого",,-1)</f>
        <v>0</v>
      </c>
      <c r="E120" s="22">
        <f>Сводная!D120</f>
        <v>0</v>
      </c>
      <c r="F120" s="22">
        <f>Сводная!E120</f>
        <v>0</v>
      </c>
      <c r="G120" s="22">
        <f>Сводная!F120</f>
        <v>0</v>
      </c>
      <c r="H120" s="22">
        <f>Сводная!G120</f>
        <v>0</v>
      </c>
      <c r="I120" s="727">
        <f>Сводная!H120</f>
        <v>0</v>
      </c>
      <c r="J120" s="20"/>
      <c r="K120" s="21"/>
    </row>
    <row r="121" spans="2:11" ht="15.75" x14ac:dyDescent="0.25">
      <c r="B121" s="47">
        <f t="shared" si="1"/>
        <v>109</v>
      </c>
      <c r="C121" s="19" t="str">
        <f>инфо!D110</f>
        <v>Яйцо (шт)</v>
      </c>
      <c r="D121" s="730">
        <f>_xlfn.XLOOKUP($C121,Меню!$J$8:$EZ$8,Меню!$J$62:$EZ$62,"нет такого",,-1)</f>
        <v>1</v>
      </c>
      <c r="E121" s="22">
        <f>Сводная!D121</f>
        <v>2.0333333333333332</v>
      </c>
      <c r="F121" s="22">
        <f>Сводная!E121</f>
        <v>0</v>
      </c>
      <c r="G121" s="22">
        <f>Сводная!F121</f>
        <v>0</v>
      </c>
      <c r="H121" s="22">
        <f>Сводная!G121</f>
        <v>0</v>
      </c>
      <c r="I121" s="727">
        <f>Сводная!H121</f>
        <v>2.0333333333333332</v>
      </c>
      <c r="J121" s="20"/>
      <c r="K121" s="21"/>
    </row>
    <row r="122" spans="2:11" ht="15.75" x14ac:dyDescent="0.25">
      <c r="B122" s="47">
        <f t="shared" si="1"/>
        <v>110</v>
      </c>
      <c r="C122" s="19" t="str">
        <f>инфо!D111</f>
        <v>Сахар</v>
      </c>
      <c r="D122" s="730">
        <f>_xlfn.XLOOKUP($C122,Меню!$J$8:$EZ$8,Меню!$J$62:$EZ$62,"нет такого",,-1)</f>
        <v>150</v>
      </c>
      <c r="E122" s="22">
        <f>Сводная!D122</f>
        <v>7.3199999999999994</v>
      </c>
      <c r="F122" s="22">
        <f>Сводная!E122</f>
        <v>1.8299999999999998</v>
      </c>
      <c r="G122" s="22">
        <f>Сводная!F122</f>
        <v>3.0500000000000003</v>
      </c>
      <c r="H122" s="22">
        <f>Сводная!G122</f>
        <v>6.1000000000000005</v>
      </c>
      <c r="I122" s="727">
        <f>Сводная!H122</f>
        <v>18.3</v>
      </c>
      <c r="J122" s="20"/>
      <c r="K122" s="21"/>
    </row>
    <row r="123" spans="2:11" ht="15.75" x14ac:dyDescent="0.25">
      <c r="B123" s="47">
        <f t="shared" si="1"/>
        <v>111</v>
      </c>
      <c r="C123" s="19" t="str">
        <f>инфо!D112</f>
        <v>Соль</v>
      </c>
      <c r="D123" s="730">
        <f>_xlfn.XLOOKUP($C123,Меню!$J$8:$EZ$8,Меню!$J$62:$EZ$62,"нет такого",,-1)</f>
        <v>30.2</v>
      </c>
      <c r="E123" s="22">
        <f>Сводная!D123</f>
        <v>0.61</v>
      </c>
      <c r="F123" s="22">
        <f>Сводная!E123</f>
        <v>1.1224000000000001</v>
      </c>
      <c r="G123" s="22">
        <f>Сводная!F123</f>
        <v>1.952</v>
      </c>
      <c r="H123" s="22">
        <f>Сводная!G123</f>
        <v>0</v>
      </c>
      <c r="I123" s="727">
        <f>Сводная!H123</f>
        <v>3.6844000000000001</v>
      </c>
      <c r="J123" s="20"/>
      <c r="K123" s="21"/>
    </row>
    <row r="124" spans="2:11" ht="15.75" x14ac:dyDescent="0.25">
      <c r="B124" s="47">
        <f t="shared" si="1"/>
        <v>112</v>
      </c>
      <c r="C124" s="19" t="str">
        <f>инфо!D113</f>
        <v>Лавровый лист</v>
      </c>
      <c r="D124" s="730">
        <f>_xlfn.XLOOKUP($C124,Меню!$J$8:$EZ$8,Меню!$J$62:$EZ$62,"нет такого",,-1)</f>
        <v>5.4000000000000006E-2</v>
      </c>
      <c r="E124" s="22">
        <f>Сводная!D124</f>
        <v>0</v>
      </c>
      <c r="F124" s="22">
        <f>Сводная!E124</f>
        <v>4.1479999999999998E-3</v>
      </c>
      <c r="G124" s="22">
        <f>Сводная!F124</f>
        <v>2.4400000000000003E-3</v>
      </c>
      <c r="H124" s="22">
        <f>Сводная!G124</f>
        <v>0</v>
      </c>
      <c r="I124" s="727">
        <f>Сводная!H124</f>
        <v>6.5880000000000001E-3</v>
      </c>
      <c r="J124" s="20"/>
      <c r="K124" s="21"/>
    </row>
    <row r="125" spans="2:11" ht="15.75" x14ac:dyDescent="0.25">
      <c r="B125" s="47">
        <f t="shared" si="1"/>
        <v>113</v>
      </c>
      <c r="C125" s="19" t="str">
        <f>инфо!D114</f>
        <v>Перец черный</v>
      </c>
      <c r="D125" s="730">
        <f>_xlfn.XLOOKUP($C125,Меню!$J$8:$EZ$8,Меню!$J$62:$EZ$62,"нет такого",,-1)</f>
        <v>0.14000000000000001</v>
      </c>
      <c r="E125" s="22">
        <f>Сводная!D125</f>
        <v>0</v>
      </c>
      <c r="F125" s="22">
        <f>Сводная!E125</f>
        <v>7.3200000000000001E-3</v>
      </c>
      <c r="G125" s="22">
        <f>Сводная!F125</f>
        <v>9.7600000000000013E-3</v>
      </c>
      <c r="H125" s="22">
        <f>Сводная!G125</f>
        <v>0</v>
      </c>
      <c r="I125" s="727">
        <f>Сводная!H125</f>
        <v>1.7080000000000001E-2</v>
      </c>
      <c r="J125" s="20"/>
      <c r="K125" s="21"/>
    </row>
    <row r="126" spans="2:11" ht="15.75" x14ac:dyDescent="0.25">
      <c r="B126" s="47">
        <f t="shared" si="1"/>
        <v>114</v>
      </c>
      <c r="C126" s="19" t="str">
        <f>инфо!D115</f>
        <v>Томат-паста</v>
      </c>
      <c r="D126" s="730">
        <f>_xlfn.XLOOKUP($C126,Меню!$J$8:$EZ$8,Меню!$J$62:$EZ$62,"нет такого",,-1)</f>
        <v>2</v>
      </c>
      <c r="E126" s="22">
        <f>Сводная!D126</f>
        <v>0</v>
      </c>
      <c r="F126" s="22">
        <f>Сводная!E126</f>
        <v>0.24399999999999999</v>
      </c>
      <c r="G126" s="22">
        <f>Сводная!F126</f>
        <v>0</v>
      </c>
      <c r="H126" s="22">
        <f>Сводная!G126</f>
        <v>0</v>
      </c>
      <c r="I126" s="727">
        <f>Сводная!H126</f>
        <v>0.24399999999999999</v>
      </c>
      <c r="J126" s="20"/>
      <c r="K126" s="21"/>
    </row>
    <row r="127" spans="2:11" ht="15.75" x14ac:dyDescent="0.25">
      <c r="B127" s="47">
        <f t="shared" si="1"/>
        <v>115</v>
      </c>
      <c r="C127" s="19" t="str">
        <f>инфо!D116</f>
        <v>Горчица</v>
      </c>
      <c r="D127" s="730">
        <f>_xlfn.XLOOKUP($C127,Меню!$J$8:$EZ$8,Меню!$J$62:$EZ$62,"нет такого",,-1)</f>
        <v>5</v>
      </c>
      <c r="E127" s="22">
        <f>Сводная!D127</f>
        <v>0</v>
      </c>
      <c r="F127" s="22">
        <f>Сводная!E127</f>
        <v>0.61</v>
      </c>
      <c r="G127" s="22">
        <f>Сводная!F127</f>
        <v>0</v>
      </c>
      <c r="H127" s="22">
        <f>Сводная!G127</f>
        <v>0</v>
      </c>
      <c r="I127" s="727">
        <f>Сводная!H127</f>
        <v>0.61</v>
      </c>
      <c r="J127" s="20"/>
      <c r="K127" s="21"/>
    </row>
    <row r="128" spans="2:11" ht="15.75" x14ac:dyDescent="0.25">
      <c r="B128" s="47">
        <f t="shared" si="1"/>
        <v>116</v>
      </c>
      <c r="C128" s="19" t="str">
        <f>инфо!D117</f>
        <v>Горчичный порошок</v>
      </c>
      <c r="D128" s="730">
        <f>_xlfn.XLOOKUP($C128,Меню!$J$8:$EZ$8,Меню!$J$62:$EZ$62,"нет такого",,-1)</f>
        <v>0</v>
      </c>
      <c r="E128" s="22">
        <f>Сводная!D128</f>
        <v>0</v>
      </c>
      <c r="F128" s="22">
        <f>Сводная!E128</f>
        <v>0</v>
      </c>
      <c r="G128" s="22">
        <f>Сводная!F128</f>
        <v>0</v>
      </c>
      <c r="H128" s="22">
        <f>Сводная!G128</f>
        <v>0</v>
      </c>
      <c r="I128" s="727">
        <f>Сводная!H128</f>
        <v>0</v>
      </c>
      <c r="J128" s="20"/>
      <c r="K128" s="21"/>
    </row>
    <row r="129" spans="2:11" ht="15.75" x14ac:dyDescent="0.25">
      <c r="B129" s="47">
        <f t="shared" si="1"/>
        <v>117</v>
      </c>
      <c r="C129" s="19" t="str">
        <f>инфо!D118</f>
        <v>Дрожжи</v>
      </c>
      <c r="D129" s="730">
        <f>_xlfn.XLOOKUP($C129,Меню!$J$8:$EZ$8,Меню!$J$62:$EZ$62,"нет такого",,-1)</f>
        <v>0</v>
      </c>
      <c r="E129" s="22">
        <f>Сводная!D129</f>
        <v>0</v>
      </c>
      <c r="F129" s="22">
        <f>Сводная!E129</f>
        <v>0</v>
      </c>
      <c r="G129" s="22">
        <f>Сводная!F129</f>
        <v>0</v>
      </c>
      <c r="H129" s="22">
        <f>Сводная!G129</f>
        <v>0</v>
      </c>
      <c r="I129" s="727">
        <f>Сводная!H129</f>
        <v>0</v>
      </c>
      <c r="J129" s="20"/>
      <c r="K129" s="21"/>
    </row>
    <row r="130" spans="2:11" ht="15.75" x14ac:dyDescent="0.25">
      <c r="B130" s="47">
        <f t="shared" si="1"/>
        <v>118</v>
      </c>
      <c r="C130" s="19" t="str">
        <f>инфо!D119</f>
        <v>Уксус</v>
      </c>
      <c r="D130" s="730">
        <f>_xlfn.XLOOKUP($C130,Меню!$J$8:$EZ$8,Меню!$J$62:$EZ$62,"нет такого",,-1)</f>
        <v>0.5</v>
      </c>
      <c r="E130" s="22">
        <f>Сводная!D130</f>
        <v>0</v>
      </c>
      <c r="F130" s="22">
        <f>Сводная!E130</f>
        <v>6.0999999999999999E-2</v>
      </c>
      <c r="G130" s="22">
        <f>Сводная!F130</f>
        <v>0</v>
      </c>
      <c r="H130" s="22">
        <f>Сводная!G130</f>
        <v>0</v>
      </c>
      <c r="I130" s="727">
        <f>Сводная!H130</f>
        <v>6.0999999999999999E-2</v>
      </c>
      <c r="J130" s="20"/>
      <c r="K130" s="21"/>
    </row>
    <row r="131" spans="2:11" ht="15.75" x14ac:dyDescent="0.25">
      <c r="B131" s="47">
        <f t="shared" si="1"/>
        <v>119</v>
      </c>
      <c r="C131" s="19" t="str">
        <f>инфо!D120</f>
        <v>Яйцо и специи 1</v>
      </c>
      <c r="D131" s="730">
        <f>_xlfn.XLOOKUP($C131,Меню!$J$8:$EZ$8,Меню!$J$62:$EZ$62,"нет такого",,-1)</f>
        <v>0</v>
      </c>
      <c r="E131" s="22">
        <f>Сводная!D131</f>
        <v>0</v>
      </c>
      <c r="F131" s="22">
        <f>Сводная!E131</f>
        <v>0</v>
      </c>
      <c r="G131" s="22">
        <f>Сводная!F131</f>
        <v>0</v>
      </c>
      <c r="H131" s="22">
        <f>Сводная!G131</f>
        <v>0</v>
      </c>
      <c r="I131" s="727">
        <f>Сводная!H131</f>
        <v>0</v>
      </c>
      <c r="J131" s="20"/>
      <c r="K131" s="21"/>
    </row>
    <row r="132" spans="2:11" ht="15.75" x14ac:dyDescent="0.25">
      <c r="B132" s="47">
        <f t="shared" si="1"/>
        <v>120</v>
      </c>
      <c r="C132" s="19" t="str">
        <f>инфо!D121</f>
        <v>Яйцо и специи 2</v>
      </c>
      <c r="D132" s="730">
        <f>_xlfn.XLOOKUP($C132,Меню!$J$8:$EZ$8,Меню!$J$62:$EZ$62,"нет такого",,-1)</f>
        <v>0</v>
      </c>
      <c r="E132" s="22">
        <f>Сводная!D132</f>
        <v>0</v>
      </c>
      <c r="F132" s="22">
        <f>Сводная!E132</f>
        <v>0</v>
      </c>
      <c r="G132" s="22">
        <f>Сводная!F132</f>
        <v>0</v>
      </c>
      <c r="H132" s="22">
        <f>Сводная!G132</f>
        <v>0</v>
      </c>
      <c r="I132" s="727">
        <f>Сводная!H132</f>
        <v>0</v>
      </c>
      <c r="J132" s="20"/>
      <c r="K132" s="21"/>
    </row>
    <row r="133" spans="2:11" ht="15.75" x14ac:dyDescent="0.25">
      <c r="B133" s="47">
        <f t="shared" si="1"/>
        <v>121</v>
      </c>
      <c r="C133" s="19" t="str">
        <f>инфо!D122</f>
        <v>Яйцо и специи 3</v>
      </c>
      <c r="D133" s="730">
        <f>_xlfn.XLOOKUP($C133,Меню!$J$8:$EZ$8,Меню!$J$62:$EZ$62,"нет такого",,-1)</f>
        <v>0</v>
      </c>
      <c r="E133" s="22">
        <f>Сводная!D133</f>
        <v>0</v>
      </c>
      <c r="F133" s="22">
        <f>Сводная!E133</f>
        <v>0</v>
      </c>
      <c r="G133" s="22">
        <f>Сводная!F133</f>
        <v>0</v>
      </c>
      <c r="H133" s="22">
        <f>Сводная!G133</f>
        <v>0</v>
      </c>
      <c r="I133" s="727">
        <f>Сводная!H133</f>
        <v>0</v>
      </c>
      <c r="J133" s="20"/>
      <c r="K133" s="21"/>
    </row>
    <row r="134" spans="2:11" ht="15.75" x14ac:dyDescent="0.25">
      <c r="B134" s="47">
        <f t="shared" si="1"/>
        <v>122</v>
      </c>
      <c r="C134" s="19" t="str">
        <f>инфо!D123</f>
        <v>Вода</v>
      </c>
      <c r="D134" s="730">
        <f>_xlfn.XLOOKUP($C134,Меню!$J$8:$EZ$8,Меню!$J$62:$EZ$62,"нет такого",,-1)</f>
        <v>1779.4</v>
      </c>
      <c r="E134" s="22">
        <f>Сводная!D134</f>
        <v>38.503200000000007</v>
      </c>
      <c r="F134" s="22">
        <f>Сводная!E134</f>
        <v>62.903200000000005</v>
      </c>
      <c r="G134" s="22">
        <f>Сводная!F134</f>
        <v>85.180400000000006</v>
      </c>
      <c r="H134" s="22">
        <f>Сводная!G134</f>
        <v>30.5</v>
      </c>
      <c r="I134" s="727">
        <f>Сводная!H134</f>
        <v>217.08680000000004</v>
      </c>
      <c r="J134" s="20"/>
      <c r="K134" s="21"/>
    </row>
    <row r="135" spans="2:11" ht="15.75" x14ac:dyDescent="0.25">
      <c r="B135" s="47">
        <f t="shared" si="1"/>
        <v>123</v>
      </c>
      <c r="C135" s="19" t="str">
        <f>инфо!D124</f>
        <v>Вода или бульон</v>
      </c>
      <c r="D135" s="730">
        <f>_xlfn.XLOOKUP($C135,Меню!$J$8:$EZ$8,Меню!$J$62:$EZ$62,"нет такого",,-1)</f>
        <v>824</v>
      </c>
      <c r="E135" s="22">
        <f>Сводная!D135</f>
        <v>0</v>
      </c>
      <c r="F135" s="22">
        <f>Сводная!E135</f>
        <v>51.728000000000002</v>
      </c>
      <c r="G135" s="22">
        <f>Сводная!F135</f>
        <v>48.800000000000004</v>
      </c>
      <c r="H135" s="22">
        <f>Сводная!G135</f>
        <v>0</v>
      </c>
      <c r="I135" s="727">
        <f>Сводная!H135</f>
        <v>100.52800000000001</v>
      </c>
      <c r="J135" s="20"/>
      <c r="K135" s="21"/>
    </row>
    <row r="136" spans="2:11" ht="15.75" x14ac:dyDescent="0.25">
      <c r="B136" s="47">
        <f t="shared" si="1"/>
        <v>124</v>
      </c>
      <c r="C136" s="19" t="str">
        <f>инфо!D125</f>
        <v>Сок п/я</v>
      </c>
      <c r="D136" s="730">
        <f>_xlfn.XLOOKUP($C136,Меню!$J$8:$EZ$8,Меню!$J$62:$EZ$62,"нет такого",,-1)</f>
        <v>200</v>
      </c>
      <c r="E136" s="22">
        <f>Сводная!D136</f>
        <v>0</v>
      </c>
      <c r="F136" s="22">
        <f>Сводная!E136</f>
        <v>0</v>
      </c>
      <c r="G136" s="22">
        <f>Сводная!F136</f>
        <v>24.400000000000002</v>
      </c>
      <c r="H136" s="22">
        <f>Сводная!G136</f>
        <v>0</v>
      </c>
      <c r="I136" s="727">
        <f>Сводная!H136</f>
        <v>24.400000000000002</v>
      </c>
      <c r="J136" s="20"/>
      <c r="K136" s="21"/>
    </row>
    <row r="137" spans="2:11" ht="15.75" x14ac:dyDescent="0.25">
      <c r="B137" s="47">
        <f t="shared" si="1"/>
        <v>125</v>
      </c>
      <c r="C137" s="19" t="str">
        <f>инфо!D126</f>
        <v>Чай</v>
      </c>
      <c r="D137" s="730">
        <f>_xlfn.XLOOKUP($C137,Меню!$J$8:$EZ$8,Меню!$J$62:$EZ$62,"нет такого",,-1)</f>
        <v>2</v>
      </c>
      <c r="E137" s="22">
        <f>Сводная!D137</f>
        <v>0</v>
      </c>
      <c r="F137" s="22">
        <f>Сводная!E137</f>
        <v>0</v>
      </c>
      <c r="G137" s="22">
        <f>Сводная!F137</f>
        <v>0.122</v>
      </c>
      <c r="H137" s="22">
        <f>Сводная!G137</f>
        <v>0.122</v>
      </c>
      <c r="I137" s="727">
        <f>Сводная!H137</f>
        <v>0.24399999999999999</v>
      </c>
      <c r="J137" s="20"/>
      <c r="K137" s="21"/>
    </row>
    <row r="138" spans="2:11" ht="15.75" x14ac:dyDescent="0.25">
      <c r="B138" s="47">
        <f t="shared" si="1"/>
        <v>126</v>
      </c>
      <c r="C138" s="19" t="str">
        <f>инфо!D127</f>
        <v>Кофе БС</v>
      </c>
      <c r="D138" s="730">
        <f>_xlfn.XLOOKUP($C138,Меню!$J$8:$EZ$8,Меню!$J$62:$EZ$62,"нет такого",,-1)</f>
        <v>0</v>
      </c>
      <c r="E138" s="22">
        <f>Сводная!D138</f>
        <v>0</v>
      </c>
      <c r="F138" s="22">
        <f>Сводная!E138</f>
        <v>0</v>
      </c>
      <c r="G138" s="22">
        <f>Сводная!F138</f>
        <v>0</v>
      </c>
      <c r="H138" s="22">
        <f>Сводная!G138</f>
        <v>0</v>
      </c>
      <c r="I138" s="727">
        <f>Сводная!H138</f>
        <v>0</v>
      </c>
      <c r="J138" s="20"/>
      <c r="K138" s="21"/>
    </row>
    <row r="139" spans="2:11" ht="15.75" x14ac:dyDescent="0.25">
      <c r="B139" s="47">
        <f t="shared" si="1"/>
        <v>127</v>
      </c>
      <c r="C139" s="19" t="str">
        <f>инфо!D128</f>
        <v>Кофе растворимый</v>
      </c>
      <c r="D139" s="730">
        <f>_xlfn.XLOOKUP($C139,Меню!$J$8:$EZ$8,Меню!$J$62:$EZ$62,"нет такого",,-1)</f>
        <v>1.5</v>
      </c>
      <c r="E139" s="22">
        <f>Сводная!D139</f>
        <v>0.183</v>
      </c>
      <c r="F139" s="22">
        <f>Сводная!E139</f>
        <v>0</v>
      </c>
      <c r="G139" s="22">
        <f>Сводная!F139</f>
        <v>0</v>
      </c>
      <c r="H139" s="22">
        <f>Сводная!G139</f>
        <v>0</v>
      </c>
      <c r="I139" s="727">
        <f>Сводная!H139</f>
        <v>0.183</v>
      </c>
      <c r="J139" s="20"/>
      <c r="K139" s="21"/>
    </row>
    <row r="140" spans="2:11" ht="15.75" x14ac:dyDescent="0.25">
      <c r="B140" s="47">
        <f t="shared" si="1"/>
        <v>128</v>
      </c>
      <c r="C140" s="19" t="str">
        <f>инфо!D129</f>
        <v>Какао</v>
      </c>
      <c r="D140" s="730">
        <f>_xlfn.XLOOKUP($C140,Меню!$J$8:$EZ$8,Меню!$J$62:$EZ$62,"нет такого",,-1)</f>
        <v>0</v>
      </c>
      <c r="E140" s="22">
        <f>Сводная!D140</f>
        <v>0</v>
      </c>
      <c r="F140" s="22">
        <f>Сводная!E140</f>
        <v>0</v>
      </c>
      <c r="G140" s="22">
        <f>Сводная!F140</f>
        <v>0</v>
      </c>
      <c r="H140" s="22">
        <f>Сводная!G140</f>
        <v>0</v>
      </c>
      <c r="I140" s="727">
        <f>Сводная!H140</f>
        <v>0</v>
      </c>
      <c r="J140" s="20"/>
      <c r="K140" s="21"/>
    </row>
    <row r="141" spans="2:11" ht="15.75" x14ac:dyDescent="0.25">
      <c r="B141" s="47">
        <f t="shared" si="1"/>
        <v>129</v>
      </c>
      <c r="C141" s="19" t="str">
        <f>инфо!D130</f>
        <v>Гексавит</v>
      </c>
      <c r="D141" s="730">
        <f>_xlfn.XLOOKUP($C141,Меню!$J$8:$EZ$8,Меню!$J$62:$EZ$62,"нет такого",,-1)</f>
        <v>0</v>
      </c>
      <c r="E141" s="22">
        <f>Сводная!D141</f>
        <v>0</v>
      </c>
      <c r="F141" s="22">
        <f>Сводная!E141</f>
        <v>0</v>
      </c>
      <c r="G141" s="22">
        <f>Сводная!F141</f>
        <v>0</v>
      </c>
      <c r="H141" s="22">
        <f>Сводная!G141</f>
        <v>0</v>
      </c>
      <c r="I141" s="727">
        <f>Сводная!H141</f>
        <v>0</v>
      </c>
      <c r="J141" s="20"/>
      <c r="K141" s="21"/>
    </row>
    <row r="142" spans="2:11" ht="15.75" x14ac:dyDescent="0.25">
      <c r="B142" s="47">
        <f t="shared" si="1"/>
        <v>130</v>
      </c>
      <c r="C142" s="19" t="str">
        <f>инфо!D131</f>
        <v>Изюм</v>
      </c>
      <c r="D142" s="730">
        <f>_xlfn.XLOOKUP($C142,Меню!$J$8:$EZ$8,Меню!$J$62:$EZ$62,"нет такого",,-1)</f>
        <v>8</v>
      </c>
      <c r="E142" s="22">
        <f>Сводная!D142</f>
        <v>0</v>
      </c>
      <c r="F142" s="22">
        <f>Сводная!E142</f>
        <v>0.97599999999999998</v>
      </c>
      <c r="G142" s="22">
        <f>Сводная!F142</f>
        <v>0</v>
      </c>
      <c r="H142" s="22">
        <f>Сводная!G142</f>
        <v>0</v>
      </c>
      <c r="I142" s="727">
        <f>Сводная!H142</f>
        <v>0.97599999999999998</v>
      </c>
      <c r="J142" s="20"/>
      <c r="K142" s="21"/>
    </row>
    <row r="143" spans="2:11" ht="15.75" x14ac:dyDescent="0.25">
      <c r="B143" s="47">
        <f t="shared" ref="B143:B159" si="2">B142+1</f>
        <v>131</v>
      </c>
      <c r="C143" s="19" t="str">
        <f>инфо!D132</f>
        <v>Курага</v>
      </c>
      <c r="D143" s="730">
        <f>_xlfn.XLOOKUP($C143,Меню!$J$8:$EZ$8,Меню!$J$62:$EZ$62,"нет такого",,-1)</f>
        <v>8</v>
      </c>
      <c r="E143" s="22">
        <f>Сводная!D143</f>
        <v>0</v>
      </c>
      <c r="F143" s="22">
        <f>Сводная!E143</f>
        <v>0.97599999999999998</v>
      </c>
      <c r="G143" s="22">
        <f>Сводная!F143</f>
        <v>0</v>
      </c>
      <c r="H143" s="22">
        <f>Сводная!G143</f>
        <v>0</v>
      </c>
      <c r="I143" s="727">
        <f>Сводная!H143</f>
        <v>0.97599999999999998</v>
      </c>
      <c r="J143" s="20"/>
      <c r="K143" s="21"/>
    </row>
    <row r="144" spans="2:11" ht="15.75" x14ac:dyDescent="0.25">
      <c r="B144" s="47">
        <f t="shared" si="2"/>
        <v>132</v>
      </c>
      <c r="C144" s="19" t="str">
        <f>инфо!D133</f>
        <v>Чернослив</v>
      </c>
      <c r="D144" s="730">
        <f>_xlfn.XLOOKUP($C144,Меню!$J$8:$EZ$8,Меню!$J$62:$EZ$62,"нет такого",,-1)</f>
        <v>4</v>
      </c>
      <c r="E144" s="22">
        <f>Сводная!D144</f>
        <v>0</v>
      </c>
      <c r="F144" s="22">
        <f>Сводная!E144</f>
        <v>0.48799999999999999</v>
      </c>
      <c r="G144" s="22">
        <f>Сводная!F144</f>
        <v>0</v>
      </c>
      <c r="H144" s="22">
        <f>Сводная!G144</f>
        <v>0</v>
      </c>
      <c r="I144" s="727">
        <f>Сводная!H144</f>
        <v>0.48799999999999999</v>
      </c>
      <c r="J144" s="20"/>
      <c r="K144" s="21"/>
    </row>
    <row r="145" spans="2:11" ht="15.75" x14ac:dyDescent="0.25">
      <c r="B145" s="47">
        <f t="shared" si="2"/>
        <v>133</v>
      </c>
      <c r="C145" s="19" t="str">
        <f>инфо!D134</f>
        <v>Смесь сухофруктов</v>
      </c>
      <c r="D145" s="730">
        <f>_xlfn.XLOOKUP($C145,Меню!$J$8:$EZ$8,Меню!$J$62:$EZ$62,"нет такого",,-1)</f>
        <v>0</v>
      </c>
      <c r="E145" s="22">
        <f>Сводная!D145</f>
        <v>0</v>
      </c>
      <c r="F145" s="22">
        <f>Сводная!E145</f>
        <v>0</v>
      </c>
      <c r="G145" s="22">
        <f>Сводная!F145</f>
        <v>0</v>
      </c>
      <c r="H145" s="22">
        <f>Сводная!G145</f>
        <v>0</v>
      </c>
      <c r="I145" s="727">
        <f>Сводная!H145</f>
        <v>0</v>
      </c>
      <c r="J145" s="20"/>
      <c r="K145" s="21"/>
    </row>
    <row r="146" spans="2:11" ht="15.75" x14ac:dyDescent="0.25">
      <c r="B146" s="47">
        <f t="shared" si="2"/>
        <v>134</v>
      </c>
      <c r="C146" s="19" t="str">
        <f>инфо!D135</f>
        <v>Сок яблочный</v>
      </c>
      <c r="D146" s="730">
        <f>_xlfn.XLOOKUP($C146,Меню!$J$8:$EZ$8,Меню!$J$62:$EZ$62,"нет такого",,-1)</f>
        <v>0</v>
      </c>
      <c r="E146" s="22">
        <f>Сводная!D146</f>
        <v>0</v>
      </c>
      <c r="F146" s="22">
        <f>Сводная!E146</f>
        <v>0</v>
      </c>
      <c r="G146" s="22">
        <f>Сводная!F146</f>
        <v>0</v>
      </c>
      <c r="H146" s="22">
        <f>Сводная!G146</f>
        <v>0</v>
      </c>
      <c r="I146" s="727">
        <f>Сводная!H146</f>
        <v>0</v>
      </c>
      <c r="J146" s="20"/>
      <c r="K146" s="21"/>
    </row>
    <row r="147" spans="2:11" ht="15.75" x14ac:dyDescent="0.25">
      <c r="B147" s="47">
        <f t="shared" si="2"/>
        <v>135</v>
      </c>
      <c r="C147" s="19" t="str">
        <f>инфо!D136</f>
        <v>Прочие 2</v>
      </c>
      <c r="D147" s="730">
        <f>_xlfn.XLOOKUP($C147,Меню!$J$8:$EZ$8,Меню!$J$62:$EZ$62,"нет такого",,-1)</f>
        <v>0</v>
      </c>
      <c r="E147" s="22">
        <f>Сводная!D147</f>
        <v>0</v>
      </c>
      <c r="F147" s="22">
        <f>Сводная!E147</f>
        <v>0</v>
      </c>
      <c r="G147" s="22">
        <f>Сводная!F147</f>
        <v>0</v>
      </c>
      <c r="H147" s="22">
        <f>Сводная!G147</f>
        <v>0</v>
      </c>
      <c r="I147" s="727">
        <f>Сводная!H147</f>
        <v>0</v>
      </c>
      <c r="J147" s="20"/>
      <c r="K147" s="21"/>
    </row>
    <row r="148" spans="2:11" ht="15.75" x14ac:dyDescent="0.25">
      <c r="B148" s="47">
        <f t="shared" si="2"/>
        <v>136</v>
      </c>
      <c r="C148" s="19" t="str">
        <f>инфо!D137</f>
        <v>Карамель</v>
      </c>
      <c r="D148" s="730">
        <f>_xlfn.XLOOKUP($C148,Меню!$J$8:$EZ$8,Меню!$J$62:$EZ$62,"нет такого",,-1)</f>
        <v>20</v>
      </c>
      <c r="E148" s="22">
        <f>Сводная!D148</f>
        <v>0</v>
      </c>
      <c r="F148" s="22">
        <f>Сводная!E148</f>
        <v>2.44</v>
      </c>
      <c r="G148" s="22">
        <f>Сводная!F148</f>
        <v>0</v>
      </c>
      <c r="H148" s="22">
        <f>Сводная!G148</f>
        <v>0</v>
      </c>
      <c r="I148" s="727">
        <f>Сводная!H148</f>
        <v>2.44</v>
      </c>
      <c r="J148" s="20"/>
      <c r="K148" s="21"/>
    </row>
    <row r="149" spans="2:11" ht="15.75" x14ac:dyDescent="0.25">
      <c r="B149" s="47">
        <f t="shared" si="2"/>
        <v>137</v>
      </c>
      <c r="C149" s="19" t="str">
        <f>инфо!D138</f>
        <v>Печенье</v>
      </c>
      <c r="D149" s="730">
        <f>_xlfn.XLOOKUP($C149,Меню!$J$8:$EZ$8,Меню!$J$62:$EZ$62,"нет такого",,-1)</f>
        <v>60</v>
      </c>
      <c r="E149" s="22">
        <f>Сводная!D149</f>
        <v>0</v>
      </c>
      <c r="F149" s="22">
        <f>Сводная!E149</f>
        <v>0</v>
      </c>
      <c r="G149" s="22">
        <f>Сводная!F149</f>
        <v>0</v>
      </c>
      <c r="H149" s="22">
        <f>Сводная!G149</f>
        <v>7.3199999999999994</v>
      </c>
      <c r="I149" s="727">
        <f>Сводная!H149</f>
        <v>7.3199999999999994</v>
      </c>
      <c r="J149" s="20"/>
      <c r="K149" s="21"/>
    </row>
    <row r="150" spans="2:11" ht="15.75" x14ac:dyDescent="0.25">
      <c r="B150" s="47">
        <f t="shared" si="2"/>
        <v>138</v>
      </c>
      <c r="C150" s="19" t="str">
        <f>инфо!D139</f>
        <v>Пряники</v>
      </c>
      <c r="D150" s="730">
        <f>_xlfn.XLOOKUP($C150,Меню!$J$8:$EZ$8,Меню!$J$62:$EZ$62,"нет такого",,-1)</f>
        <v>0</v>
      </c>
      <c r="E150" s="22">
        <f>Сводная!D150</f>
        <v>0</v>
      </c>
      <c r="F150" s="22">
        <f>Сводная!E150</f>
        <v>0</v>
      </c>
      <c r="G150" s="22">
        <f>Сводная!F150</f>
        <v>0</v>
      </c>
      <c r="H150" s="22">
        <f>Сводная!G150</f>
        <v>0</v>
      </c>
      <c r="I150" s="727">
        <f>Сводная!H150</f>
        <v>0</v>
      </c>
      <c r="J150" s="20"/>
      <c r="K150" s="21"/>
    </row>
    <row r="151" spans="2:11" ht="15.75" x14ac:dyDescent="0.25">
      <c r="B151" s="47">
        <f t="shared" si="2"/>
        <v>139</v>
      </c>
      <c r="C151" s="19" t="str">
        <f>инфо!D140</f>
        <v>Вафли</v>
      </c>
      <c r="D151" s="730">
        <f>_xlfn.XLOOKUP($C151,Меню!$J$8:$EZ$8,Меню!$J$62:$EZ$62,"нет такого",,-1)</f>
        <v>0</v>
      </c>
      <c r="E151" s="22">
        <f>Сводная!D151</f>
        <v>0</v>
      </c>
      <c r="F151" s="22">
        <f>Сводная!E151</f>
        <v>0</v>
      </c>
      <c r="G151" s="22">
        <f>Сводная!F151</f>
        <v>0</v>
      </c>
      <c r="H151" s="22">
        <f>Сводная!G151</f>
        <v>0</v>
      </c>
      <c r="I151" s="727">
        <f>Сводная!H151</f>
        <v>0</v>
      </c>
      <c r="J151" s="20"/>
      <c r="K151" s="21"/>
    </row>
    <row r="152" spans="2:11" ht="15.75" x14ac:dyDescent="0.25">
      <c r="B152" s="47">
        <f t="shared" si="2"/>
        <v>140</v>
      </c>
      <c r="C152" s="19" t="str">
        <f>инфо!D141</f>
        <v>Печенье БС</v>
      </c>
      <c r="D152" s="730">
        <f>_xlfn.XLOOKUP($C152,Меню!$J$8:$EZ$8,Меню!$J$62:$EZ$62,"нет такого",,-1)</f>
        <v>0</v>
      </c>
      <c r="E152" s="22">
        <f>Сводная!D152</f>
        <v>0</v>
      </c>
      <c r="F152" s="22">
        <f>Сводная!E152</f>
        <v>0</v>
      </c>
      <c r="G152" s="22">
        <f>Сводная!F152</f>
        <v>0</v>
      </c>
      <c r="H152" s="22">
        <f>Сводная!G152</f>
        <v>0</v>
      </c>
      <c r="I152" s="727">
        <f>Сводная!H152</f>
        <v>0</v>
      </c>
      <c r="J152" s="20"/>
      <c r="K152" s="21"/>
    </row>
    <row r="153" spans="2:11" ht="15.75" x14ac:dyDescent="0.25">
      <c r="B153" s="47">
        <f t="shared" si="2"/>
        <v>141</v>
      </c>
      <c r="C153" s="19" t="str">
        <f>инфо!D142</f>
        <v>Яблоки свежие</v>
      </c>
      <c r="D153" s="730">
        <f>_xlfn.XLOOKUP($C153,Меню!$J$8:$EZ$8,Меню!$J$62:$EZ$62,"нет такого",,-1)</f>
        <v>0</v>
      </c>
      <c r="E153" s="22">
        <f>Сводная!D153</f>
        <v>0</v>
      </c>
      <c r="F153" s="22">
        <f>Сводная!E153</f>
        <v>0</v>
      </c>
      <c r="G153" s="22">
        <f>Сводная!F153</f>
        <v>0</v>
      </c>
      <c r="H153" s="22">
        <f>Сводная!G153</f>
        <v>0</v>
      </c>
      <c r="I153" s="727">
        <f>Сводная!H153</f>
        <v>0</v>
      </c>
      <c r="J153" s="20"/>
      <c r="K153" s="21"/>
    </row>
    <row r="154" spans="2:11" ht="15.75" x14ac:dyDescent="0.25">
      <c r="B154" s="47">
        <f t="shared" si="2"/>
        <v>142</v>
      </c>
      <c r="C154" s="19" t="str">
        <f>инфо!D143</f>
        <v>Апельсины</v>
      </c>
      <c r="D154" s="730">
        <f>_xlfn.XLOOKUP($C154,Меню!$J$8:$EZ$8,Меню!$J$62:$EZ$62,"нет такого",,-1)</f>
        <v>0</v>
      </c>
      <c r="E154" s="22">
        <f>Сводная!D154</f>
        <v>0</v>
      </c>
      <c r="F154" s="22">
        <f>Сводная!E154</f>
        <v>0</v>
      </c>
      <c r="G154" s="22">
        <f>Сводная!F154</f>
        <v>0</v>
      </c>
      <c r="H154" s="22">
        <f>Сводная!G154</f>
        <v>0</v>
      </c>
      <c r="I154" s="727">
        <f>Сводная!H154</f>
        <v>0</v>
      </c>
      <c r="J154" s="20"/>
      <c r="K154" s="21"/>
    </row>
    <row r="155" spans="2:11" ht="15.75" x14ac:dyDescent="0.25">
      <c r="B155" s="47">
        <f t="shared" si="2"/>
        <v>143</v>
      </c>
      <c r="C155" s="19" t="str">
        <f>инфо!D144</f>
        <v>Груши свежие</v>
      </c>
      <c r="D155" s="730">
        <f>_xlfn.XLOOKUP($C155,Меню!$J$8:$EZ$8,Меню!$J$62:$EZ$62,"нет такого",,-1)</f>
        <v>0</v>
      </c>
      <c r="E155" s="22">
        <f>Сводная!D155</f>
        <v>0</v>
      </c>
      <c r="F155" s="22">
        <f>Сводная!E155</f>
        <v>0</v>
      </c>
      <c r="G155" s="22">
        <f>Сводная!F155</f>
        <v>0</v>
      </c>
      <c r="H155" s="22">
        <f>Сводная!G155</f>
        <v>0</v>
      </c>
      <c r="I155" s="727">
        <f>Сводная!H155</f>
        <v>0</v>
      </c>
      <c r="J155" s="20"/>
      <c r="K155" s="21"/>
    </row>
    <row r="156" spans="2:11" ht="15.75" x14ac:dyDescent="0.25">
      <c r="B156" s="47">
        <f t="shared" si="2"/>
        <v>144</v>
      </c>
      <c r="C156" s="19" t="str">
        <f>инфо!D145</f>
        <v>Конфеты шоколадные</v>
      </c>
      <c r="D156" s="730">
        <f>_xlfn.XLOOKUP($C156,Меню!$J$8:$EZ$8,Меню!$J$62:$EZ$62,"нет такого",,-1)</f>
        <v>0</v>
      </c>
      <c r="E156" s="22">
        <f>Сводная!D156</f>
        <v>0</v>
      </c>
      <c r="F156" s="22">
        <f>Сводная!E156</f>
        <v>0</v>
      </c>
      <c r="G156" s="22">
        <f>Сводная!F156</f>
        <v>0</v>
      </c>
      <c r="H156" s="22">
        <f>Сводная!G156</f>
        <v>0</v>
      </c>
      <c r="I156" s="727">
        <f>Сводная!H156</f>
        <v>0</v>
      </c>
      <c r="J156" s="20"/>
      <c r="K156" s="21"/>
    </row>
    <row r="157" spans="2:11" ht="15.75" x14ac:dyDescent="0.25">
      <c r="B157" s="47">
        <f t="shared" si="2"/>
        <v>145</v>
      </c>
      <c r="C157" s="19" t="str">
        <f>инфо!D146</f>
        <v>Сладости и фрукты 1</v>
      </c>
      <c r="D157" s="730">
        <f>_xlfn.XLOOKUP($C157,Меню!$J$8:$EZ$8,Меню!$J$62:$EZ$62,"нет такого",,-1)</f>
        <v>0</v>
      </c>
      <c r="E157" s="22">
        <f>Сводная!D157</f>
        <v>0</v>
      </c>
      <c r="F157" s="22">
        <f>Сводная!E157</f>
        <v>0</v>
      </c>
      <c r="G157" s="22">
        <f>Сводная!F157</f>
        <v>0</v>
      </c>
      <c r="H157" s="22">
        <f>Сводная!G157</f>
        <v>0</v>
      </c>
      <c r="I157" s="727">
        <f>Сводная!H157</f>
        <v>0</v>
      </c>
      <c r="J157" s="20"/>
      <c r="K157" s="21"/>
    </row>
    <row r="158" spans="2:11" ht="15.75" x14ac:dyDescent="0.25">
      <c r="B158" s="47">
        <f t="shared" si="2"/>
        <v>146</v>
      </c>
      <c r="C158" s="19" t="str">
        <f>инфо!D147</f>
        <v>Сладости и фрукты 2</v>
      </c>
      <c r="D158" s="730">
        <f>_xlfn.XLOOKUP($C158,Меню!$J$8:$EZ$8,Меню!$J$62:$EZ$62,"нет такого",,-1)</f>
        <v>0</v>
      </c>
      <c r="E158" s="22">
        <f>Сводная!D158</f>
        <v>0</v>
      </c>
      <c r="F158" s="22">
        <f>Сводная!E158</f>
        <v>0</v>
      </c>
      <c r="G158" s="22">
        <f>Сводная!F158</f>
        <v>0</v>
      </c>
      <c r="H158" s="22">
        <f>Сводная!G158</f>
        <v>0</v>
      </c>
      <c r="I158" s="727">
        <f>Сводная!H158</f>
        <v>0</v>
      </c>
      <c r="J158" s="20"/>
      <c r="K158" s="21"/>
    </row>
    <row r="159" spans="2:11" ht="15.75" x14ac:dyDescent="0.25">
      <c r="B159" s="47">
        <f t="shared" si="2"/>
        <v>147</v>
      </c>
      <c r="C159" s="19" t="str">
        <f>инфо!D148</f>
        <v>Сладости и фрукты 3</v>
      </c>
      <c r="D159" s="730">
        <f>_xlfn.XLOOKUP($C159,Меню!$J$8:$EZ$8,Меню!$J$62:$EZ$62,"нет такого",,-1)</f>
        <v>0</v>
      </c>
      <c r="E159" s="22">
        <f>Сводная!D159</f>
        <v>0</v>
      </c>
      <c r="F159" s="22">
        <f>Сводная!E159</f>
        <v>0</v>
      </c>
      <c r="G159" s="22">
        <f>Сводная!F159</f>
        <v>0</v>
      </c>
      <c r="H159" s="22">
        <f>Сводная!G159</f>
        <v>0</v>
      </c>
      <c r="I159" s="727">
        <f>Сводная!H159</f>
        <v>0</v>
      </c>
      <c r="J159" s="20"/>
      <c r="K159" s="21"/>
    </row>
    <row r="160" spans="2:11" ht="15.75" x14ac:dyDescent="0.25">
      <c r="B160" s="731"/>
      <c r="C160" s="734" t="s">
        <v>109</v>
      </c>
      <c r="D160" s="735">
        <f>_xlfn.XLOOKUP($C160,Меню!$J$6:$FD$6,Меню!$J$62:$FD$62,"нет такого",,-1)</f>
        <v>2635</v>
      </c>
      <c r="E160" s="736">
        <f>Сводная!D160</f>
        <v>50.629999999999995</v>
      </c>
      <c r="F160" s="736">
        <f>Сводная!E160</f>
        <v>102.47999999999999</v>
      </c>
      <c r="G160" s="736">
        <f>Сводная!F160</f>
        <v>168.35999999999999</v>
      </c>
      <c r="H160" s="736">
        <f>Сводная!G160</f>
        <v>0</v>
      </c>
      <c r="I160" s="737">
        <f>Сводная!H160</f>
        <v>321.46999999999997</v>
      </c>
      <c r="J160" s="20"/>
      <c r="K160" s="21"/>
    </row>
    <row r="161" spans="2:11" ht="15.75" x14ac:dyDescent="0.25">
      <c r="B161" s="731"/>
      <c r="C161" s="734" t="s">
        <v>107</v>
      </c>
      <c r="D161" s="735">
        <f>_xlfn.XLOOKUP($C161,Меню!$J$6:$FD$6,Меню!$J$62:$FD$62,"нет такого",,-1)</f>
        <v>4863</v>
      </c>
      <c r="E161" s="736">
        <f>Сводная!D161</f>
        <v>116.75399999999999</v>
      </c>
      <c r="F161" s="736">
        <f>Сводная!E161</f>
        <v>187.636</v>
      </c>
      <c r="G161" s="736">
        <f>Сводная!F161</f>
        <v>246.19599999999997</v>
      </c>
      <c r="H161" s="736">
        <f>Сводная!G161</f>
        <v>42.699999999999996</v>
      </c>
      <c r="I161" s="737">
        <f>Сводная!H161</f>
        <v>593.28600000000006</v>
      </c>
      <c r="J161" s="20"/>
      <c r="K161" s="21"/>
    </row>
    <row r="162" spans="2:11" ht="15.75" x14ac:dyDescent="0.25">
      <c r="B162" s="731"/>
      <c r="C162" s="734" t="s">
        <v>108</v>
      </c>
      <c r="D162" s="735">
        <f>_xlfn.XLOOKUP($C162,Меню!$J$6:$FD$6,Меню!$J$62:$FD$62,"нет такого",,-1)</f>
        <v>275.5</v>
      </c>
      <c r="E162" s="736">
        <f>Сводная!D162</f>
        <v>9.516</v>
      </c>
      <c r="F162" s="736">
        <f>Сводная!E162</f>
        <v>7.9300000000000006</v>
      </c>
      <c r="G162" s="736">
        <f>Сводная!F162</f>
        <v>16.164999999999999</v>
      </c>
      <c r="H162" s="736">
        <f>Сводная!G162</f>
        <v>0</v>
      </c>
      <c r="I162" s="737">
        <f>Сводная!H162</f>
        <v>33.611000000000004</v>
      </c>
      <c r="J162" s="20"/>
      <c r="K162" s="21"/>
    </row>
    <row r="163" spans="2:11" ht="15.75" x14ac:dyDescent="0.25">
      <c r="B163" s="731"/>
      <c r="C163" s="734" t="s">
        <v>149</v>
      </c>
      <c r="D163" s="735">
        <f>_xlfn.XLOOKUP($C163,Меню!$J$6:$FD$6,Меню!$J$62:$FD$62,"нет такого",,-1)</f>
        <v>310</v>
      </c>
      <c r="E163" s="738">
        <f>Сводная!D163</f>
        <v>37.82</v>
      </c>
      <c r="F163" s="738">
        <f>Сводная!E163</f>
        <v>0</v>
      </c>
      <c r="G163" s="738">
        <f>Сводная!F163</f>
        <v>0</v>
      </c>
      <c r="H163" s="738">
        <f>Сводная!G163</f>
        <v>0</v>
      </c>
      <c r="I163" s="739">
        <f>Сводная!H163</f>
        <v>37.82</v>
      </c>
      <c r="J163" s="20"/>
      <c r="K163" s="21"/>
    </row>
    <row r="164" spans="2:11" ht="15.75" x14ac:dyDescent="0.25">
      <c r="B164" s="731"/>
      <c r="C164" s="734" t="s">
        <v>134</v>
      </c>
      <c r="D164" s="735">
        <v>5.4000000000000003E-3</v>
      </c>
      <c r="E164" s="738"/>
      <c r="F164" s="738"/>
      <c r="G164" s="738"/>
      <c r="H164" s="738"/>
      <c r="I164" s="739">
        <f>Сводная!H164</f>
        <v>5.4000000000000003E-3</v>
      </c>
      <c r="J164" s="20"/>
      <c r="K164" s="21"/>
    </row>
    <row r="165" spans="2:11" ht="15.75" x14ac:dyDescent="0.25">
      <c r="B165" s="731"/>
      <c r="C165" s="734" t="s">
        <v>135</v>
      </c>
      <c r="D165" s="735">
        <v>1.75E-3</v>
      </c>
      <c r="E165" s="738"/>
      <c r="F165" s="738"/>
      <c r="G165" s="738"/>
      <c r="H165" s="738"/>
      <c r="I165" s="739">
        <f>Сводная!H165</f>
        <v>1.75E-3</v>
      </c>
      <c r="J165" s="20"/>
      <c r="K165" s="21"/>
    </row>
    <row r="166" spans="2:11" ht="15.75" thickBot="1" x14ac:dyDescent="0.3">
      <c r="B166" s="732" t="s">
        <v>188</v>
      </c>
      <c r="C166" s="726"/>
      <c r="D166" s="733">
        <f>COUNTIF(I13:I159,"&gt;0")</f>
        <v>46</v>
      </c>
      <c r="E166" s="726"/>
      <c r="F166" s="726"/>
      <c r="G166" s="726"/>
      <c r="H166" s="726"/>
      <c r="I166" s="728"/>
      <c r="J166" s="48"/>
      <c r="K166" s="49"/>
    </row>
    <row r="167" spans="2:11" x14ac:dyDescent="0.25">
      <c r="B167" s="23"/>
      <c r="C167" s="14"/>
      <c r="D167" s="24"/>
      <c r="E167" s="24"/>
      <c r="F167" s="24"/>
      <c r="G167" s="24"/>
      <c r="H167" s="24"/>
      <c r="I167" s="46"/>
      <c r="J167" s="23"/>
      <c r="K167" s="24"/>
    </row>
    <row r="168" spans="2:11" x14ac:dyDescent="0.25">
      <c r="B168" s="23"/>
      <c r="C168" s="705"/>
      <c r="D168" s="705"/>
      <c r="E168" s="705"/>
      <c r="F168" s="705"/>
      <c r="G168" s="705"/>
      <c r="H168" s="705"/>
      <c r="I168" s="705"/>
      <c r="J168" s="26"/>
      <c r="K168" s="24"/>
    </row>
    <row r="169" spans="2:11" x14ac:dyDescent="0.25">
      <c r="B169" s="24"/>
      <c r="C169" s="14"/>
      <c r="D169" s="24"/>
      <c r="E169" s="24"/>
      <c r="F169" s="24"/>
      <c r="G169" s="24"/>
      <c r="H169" s="24"/>
      <c r="I169" s="27"/>
      <c r="J169" s="24"/>
      <c r="K169" s="24"/>
    </row>
    <row r="170" spans="2:11" x14ac:dyDescent="0.25">
      <c r="B170" s="24"/>
      <c r="C170" s="14" t="s">
        <v>172</v>
      </c>
      <c r="D170" s="26"/>
      <c r="E170" s="31"/>
      <c r="F170" s="713"/>
      <c r="G170" s="26"/>
      <c r="H170" s="26"/>
      <c r="I170" s="26"/>
      <c r="J170" s="24"/>
      <c r="K170" s="24"/>
    </row>
    <row r="171" spans="2:11" x14ac:dyDescent="0.25">
      <c r="B171" s="24"/>
      <c r="C171" s="28"/>
      <c r="D171" s="23"/>
      <c r="E171" s="29"/>
      <c r="F171" s="29"/>
      <c r="G171" s="29"/>
      <c r="H171" s="29"/>
      <c r="I171" s="30"/>
      <c r="J171" s="29"/>
      <c r="K171" s="29"/>
    </row>
    <row r="172" spans="2:11" x14ac:dyDescent="0.25">
      <c r="B172" s="23"/>
      <c r="C172" s="31"/>
      <c r="D172" s="32"/>
      <c r="E172" s="59" t="s">
        <v>136</v>
      </c>
      <c r="F172" s="34"/>
      <c r="G172" s="33" t="s">
        <v>137</v>
      </c>
      <c r="H172" s="35"/>
      <c r="I172" s="33" t="s">
        <v>138</v>
      </c>
      <c r="J172" s="34"/>
      <c r="K172" s="34" t="s">
        <v>1384</v>
      </c>
    </row>
    <row r="173" spans="2:11" ht="15.75" x14ac:dyDescent="0.25">
      <c r="B173" s="36"/>
      <c r="C173" s="37" t="s">
        <v>170</v>
      </c>
      <c r="D173" s="94"/>
      <c r="E173" s="38"/>
      <c r="F173" s="39"/>
      <c r="G173" s="38"/>
      <c r="H173" s="40"/>
      <c r="I173" s="714"/>
      <c r="J173" s="39"/>
      <c r="K173" s="39"/>
    </row>
    <row r="174" spans="2:11" ht="15.75" x14ac:dyDescent="0.25">
      <c r="B174" s="36"/>
      <c r="C174" s="37" t="s">
        <v>171</v>
      </c>
      <c r="D174" s="94"/>
      <c r="E174" s="38"/>
      <c r="F174" s="39"/>
      <c r="G174" s="38"/>
      <c r="H174" s="40"/>
      <c r="I174" s="714"/>
      <c r="J174" s="39"/>
      <c r="K174" s="39"/>
    </row>
    <row r="175" spans="2:11" x14ac:dyDescent="0.25">
      <c r="B175" s="36"/>
      <c r="C175" s="41" t="s">
        <v>139</v>
      </c>
      <c r="D175" s="42"/>
      <c r="E175" s="43"/>
      <c r="F175" s="42"/>
      <c r="G175" s="43"/>
      <c r="H175" s="25"/>
      <c r="I175" s="715"/>
      <c r="J175" s="42"/>
      <c r="K175" s="42"/>
    </row>
    <row r="176" spans="2:11" x14ac:dyDescent="0.25">
      <c r="B176" s="36"/>
      <c r="C176" s="44" t="s">
        <v>140</v>
      </c>
      <c r="D176" s="32"/>
      <c r="E176" s="45"/>
      <c r="F176" s="32"/>
      <c r="G176" s="45"/>
      <c r="H176" s="29"/>
      <c r="I176" s="716"/>
      <c r="J176" s="32"/>
      <c r="K176" s="32"/>
    </row>
  </sheetData>
  <mergeCells count="9">
    <mergeCell ref="K11:K12"/>
    <mergeCell ref="C11:C12"/>
    <mergeCell ref="B11:B12"/>
    <mergeCell ref="E11:H11"/>
    <mergeCell ref="E4:F4"/>
    <mergeCell ref="D11:D12"/>
    <mergeCell ref="I11:I12"/>
    <mergeCell ref="J11:J12"/>
    <mergeCell ref="H7:H8"/>
  </mergeCells>
  <printOptions horizontalCentered="1"/>
  <pageMargins left="0.39370078740157483" right="0.31496062992125984" top="0.35433070866141736" bottom="0.39370078740157483" header="0.31496062992125984" footer="0.27559055118110237"/>
  <pageSetup paperSize="9" scale="90" fitToHeight="10" orientation="portrait" blackAndWhite="1" r:id="rId1"/>
  <headerFooter>
    <oddFooter>&amp;L&amp;A&amp;R&amp;D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BE4588"/>
  <sheetViews>
    <sheetView topLeftCell="AX1" zoomScale="90" zoomScaleNormal="90" workbookViewId="0">
      <pane ySplit="1" topLeftCell="A2" activePane="bottomLeft" state="frozen"/>
      <selection pane="bottomLeft" activeCell="BE1" sqref="BE1:BE1048576"/>
    </sheetView>
  </sheetViews>
  <sheetFormatPr defaultRowHeight="15" x14ac:dyDescent="0.25"/>
  <cols>
    <col min="1" max="1" width="8.5703125" customWidth="1"/>
    <col min="3" max="3" width="16.85546875" customWidth="1"/>
    <col min="4" max="4" width="21.85546875" customWidth="1"/>
    <col min="6" max="6" width="9.7109375" customWidth="1"/>
    <col min="9" max="9" width="18.42578125" customWidth="1"/>
    <col min="12" max="13" width="9.140625" style="202"/>
    <col min="14" max="14" width="33" style="202" customWidth="1"/>
    <col min="15" max="15" width="30.5703125" style="300" customWidth="1"/>
    <col min="16" max="16" width="33" style="202" customWidth="1"/>
    <col min="20" max="20" width="6.42578125" customWidth="1"/>
    <col min="21" max="21" width="6.42578125" style="7" customWidth="1"/>
    <col min="22" max="22" width="21" customWidth="1"/>
    <col min="23" max="23" width="17.7109375" style="257" customWidth="1"/>
    <col min="24" max="24" width="52.85546875" customWidth="1"/>
    <col min="25" max="25" width="33.42578125" style="316" customWidth="1"/>
    <col min="26" max="26" width="6.28515625" style="8" customWidth="1"/>
    <col min="27" max="27" width="15.28515625" style="202" customWidth="1"/>
    <col min="28" max="28" width="9.7109375" style="315" customWidth="1"/>
    <col min="29" max="29" width="22.42578125" customWidth="1"/>
    <col min="30" max="30" width="15.85546875" customWidth="1"/>
    <col min="31" max="31" width="14.7109375" customWidth="1"/>
    <col min="33" max="33" width="11" customWidth="1"/>
    <col min="42" max="42" width="38.28515625" customWidth="1"/>
    <col min="43" max="43" width="29" customWidth="1"/>
    <col min="44" max="44" width="32.42578125" customWidth="1"/>
    <col min="45" max="45" width="41" customWidth="1"/>
    <col min="46" max="46" width="37.5703125" customWidth="1"/>
    <col min="47" max="47" width="29" customWidth="1"/>
    <col min="48" max="48" width="28.7109375" customWidth="1"/>
    <col min="49" max="49" width="31" customWidth="1"/>
    <col min="50" max="50" width="21" customWidth="1"/>
    <col min="51" max="51" width="23.140625" customWidth="1"/>
    <col min="52" max="52" width="32" customWidth="1"/>
    <col min="53" max="53" width="41.28515625" customWidth="1"/>
    <col min="54" max="54" width="31.28515625" customWidth="1"/>
    <col min="55" max="55" width="36.28515625" customWidth="1"/>
    <col min="56" max="56" width="20.42578125" customWidth="1"/>
    <col min="57" max="57" width="16.42578125" customWidth="1"/>
  </cols>
  <sheetData>
    <row r="1" spans="1:57" x14ac:dyDescent="0.25">
      <c r="A1" t="s">
        <v>1188</v>
      </c>
      <c r="B1" s="202" t="s">
        <v>35</v>
      </c>
      <c r="C1" s="8" t="s">
        <v>36</v>
      </c>
      <c r="D1" s="8" t="s">
        <v>317</v>
      </c>
      <c r="E1" s="8" t="s">
        <v>539</v>
      </c>
      <c r="F1" s="8" t="s">
        <v>22</v>
      </c>
      <c r="G1" s="8" t="s">
        <v>1248</v>
      </c>
      <c r="H1" s="8" t="s">
        <v>1189</v>
      </c>
      <c r="I1" s="8" t="s">
        <v>190</v>
      </c>
      <c r="K1" s="8" t="s">
        <v>1190</v>
      </c>
      <c r="L1" s="202" t="s">
        <v>35</v>
      </c>
      <c r="M1" s="8" t="s">
        <v>36</v>
      </c>
      <c r="N1" s="8" t="s">
        <v>317</v>
      </c>
      <c r="O1" s="310" t="s">
        <v>424</v>
      </c>
      <c r="P1" s="8" t="s">
        <v>317</v>
      </c>
      <c r="Q1" s="8" t="s">
        <v>1297</v>
      </c>
      <c r="S1" t="s">
        <v>1191</v>
      </c>
      <c r="T1" t="s">
        <v>14</v>
      </c>
      <c r="U1" s="254" t="s">
        <v>550</v>
      </c>
      <c r="V1" s="254" t="s">
        <v>551</v>
      </c>
      <c r="W1" s="311" t="s">
        <v>552</v>
      </c>
      <c r="X1" s="254" t="s">
        <v>553</v>
      </c>
      <c r="Y1" s="598" t="s">
        <v>1194</v>
      </c>
      <c r="Z1" s="313" t="s">
        <v>1521</v>
      </c>
      <c r="AA1" s="312" t="s">
        <v>554</v>
      </c>
      <c r="AB1" s="314"/>
      <c r="AC1" t="s">
        <v>1488</v>
      </c>
      <c r="AD1" t="s">
        <v>1489</v>
      </c>
      <c r="AE1" t="s">
        <v>1490</v>
      </c>
      <c r="AG1" s="238" t="s">
        <v>404</v>
      </c>
      <c r="AP1" t="s">
        <v>1573</v>
      </c>
      <c r="AQ1" t="s">
        <v>1205</v>
      </c>
      <c r="AR1" t="s">
        <v>1207</v>
      </c>
      <c r="AS1" t="s">
        <v>1206</v>
      </c>
      <c r="AT1" t="s">
        <v>1208</v>
      </c>
      <c r="AU1" t="s">
        <v>1209</v>
      </c>
      <c r="AV1" t="s">
        <v>1198</v>
      </c>
      <c r="AW1" t="s">
        <v>1199</v>
      </c>
      <c r="AX1" t="s">
        <v>1195</v>
      </c>
      <c r="AY1" t="s">
        <v>1197</v>
      </c>
      <c r="AZ1" t="s">
        <v>1203</v>
      </c>
      <c r="BA1" t="s">
        <v>1204</v>
      </c>
      <c r="BB1" t="s">
        <v>1200</v>
      </c>
      <c r="BC1" t="s">
        <v>1201</v>
      </c>
      <c r="BD1" t="s">
        <v>1202</v>
      </c>
      <c r="BE1" t="s">
        <v>1196</v>
      </c>
    </row>
    <row r="2" spans="1:57" ht="15" customHeight="1" x14ac:dyDescent="0.25">
      <c r="A2" t="s">
        <v>153</v>
      </c>
      <c r="B2" s="202">
        <v>1</v>
      </c>
      <c r="C2" s="202" t="s">
        <v>334</v>
      </c>
      <c r="D2" s="202" t="s">
        <v>25</v>
      </c>
      <c r="E2">
        <v>1</v>
      </c>
      <c r="F2" t="s">
        <v>37</v>
      </c>
      <c r="G2" s="202">
        <v>1</v>
      </c>
      <c r="I2" s="121" t="s">
        <v>168</v>
      </c>
      <c r="L2" s="202">
        <v>1</v>
      </c>
      <c r="M2" s="202" t="s">
        <v>334</v>
      </c>
      <c r="N2" s="202" t="s">
        <v>25</v>
      </c>
      <c r="O2" s="300" t="s">
        <v>216</v>
      </c>
      <c r="P2" s="202" t="s">
        <v>25</v>
      </c>
      <c r="Q2" t="s">
        <v>37</v>
      </c>
      <c r="T2">
        <v>360</v>
      </c>
      <c r="U2" s="7">
        <v>3</v>
      </c>
      <c r="V2" t="s">
        <v>555</v>
      </c>
      <c r="W2" s="257" t="s">
        <v>556</v>
      </c>
      <c r="X2" t="s">
        <v>557</v>
      </c>
      <c r="Y2" s="316" t="s">
        <v>65</v>
      </c>
      <c r="Z2" s="8">
        <v>30</v>
      </c>
      <c r="AA2" s="202" t="str">
        <f t="shared" ref="AA2:AA65" si="0">VLOOKUP(Y2,O:P,2,FALSE)</f>
        <v>Мясо птицы</v>
      </c>
      <c r="AC2" t="s">
        <v>1203</v>
      </c>
      <c r="AD2" t="s">
        <v>1203</v>
      </c>
      <c r="AE2" t="s">
        <v>1491</v>
      </c>
      <c r="AG2" s="237" t="s">
        <v>401</v>
      </c>
      <c r="AP2" t="s">
        <v>1205</v>
      </c>
      <c r="AQ2" t="s">
        <v>619</v>
      </c>
      <c r="AR2" t="s">
        <v>646</v>
      </c>
      <c r="AS2" t="s">
        <v>626</v>
      </c>
      <c r="AT2" t="s">
        <v>771</v>
      </c>
      <c r="AU2" t="s">
        <v>642</v>
      </c>
      <c r="AV2" t="s">
        <v>988</v>
      </c>
      <c r="AW2" t="s">
        <v>968</v>
      </c>
      <c r="AX2" t="s">
        <v>1149</v>
      </c>
      <c r="AY2" t="s">
        <v>160</v>
      </c>
      <c r="AZ2" t="s">
        <v>1310</v>
      </c>
      <c r="BA2" t="s">
        <v>557</v>
      </c>
      <c r="BB2" t="s">
        <v>1337</v>
      </c>
      <c r="BC2" t="s">
        <v>1075</v>
      </c>
      <c r="BD2" t="s">
        <v>1335</v>
      </c>
      <c r="BE2" t="s">
        <v>1167</v>
      </c>
    </row>
    <row r="3" spans="1:57" ht="15" customHeight="1" x14ac:dyDescent="0.25">
      <c r="A3" t="s">
        <v>153</v>
      </c>
      <c r="B3" s="202">
        <v>1</v>
      </c>
      <c r="C3" s="202" t="s">
        <v>334</v>
      </c>
      <c r="D3" s="202" t="s">
        <v>38</v>
      </c>
      <c r="E3">
        <v>2</v>
      </c>
      <c r="F3" t="s">
        <v>37</v>
      </c>
      <c r="G3" s="202">
        <v>2</v>
      </c>
      <c r="I3" s="121" t="s">
        <v>169</v>
      </c>
      <c r="L3" s="202">
        <v>1</v>
      </c>
      <c r="M3" s="202" t="s">
        <v>334</v>
      </c>
      <c r="N3" s="202" t="s">
        <v>25</v>
      </c>
      <c r="O3" s="300" t="s">
        <v>25</v>
      </c>
      <c r="P3" s="202" t="s">
        <v>25</v>
      </c>
      <c r="Q3" t="s">
        <v>37</v>
      </c>
      <c r="T3">
        <v>360</v>
      </c>
      <c r="U3" s="7">
        <v>3</v>
      </c>
      <c r="V3" t="s">
        <v>555</v>
      </c>
      <c r="W3" s="257" t="s">
        <v>556</v>
      </c>
      <c r="X3" t="s">
        <v>557</v>
      </c>
      <c r="Y3" s="316" t="s">
        <v>1214</v>
      </c>
      <c r="Z3" s="8">
        <v>19.2</v>
      </c>
      <c r="AA3" s="202" t="str">
        <f t="shared" si="0"/>
        <v>Масса мясных и рыбных порций, г</v>
      </c>
      <c r="AC3" t="s">
        <v>1203</v>
      </c>
      <c r="AD3" t="s">
        <v>1310</v>
      </c>
      <c r="AE3" t="s">
        <v>1491</v>
      </c>
      <c r="AG3" s="237" t="s">
        <v>402</v>
      </c>
      <c r="AP3" t="s">
        <v>1207</v>
      </c>
      <c r="AQ3" t="s">
        <v>620</v>
      </c>
      <c r="AR3" t="s">
        <v>675</v>
      </c>
      <c r="AS3" t="s">
        <v>628</v>
      </c>
      <c r="AT3" t="s">
        <v>773</v>
      </c>
      <c r="AU3" t="s">
        <v>648</v>
      </c>
      <c r="AV3" t="s">
        <v>990</v>
      </c>
      <c r="AW3" t="s">
        <v>970</v>
      </c>
      <c r="AX3" t="s">
        <v>1299</v>
      </c>
      <c r="AY3" t="s">
        <v>142</v>
      </c>
      <c r="AZ3" t="s">
        <v>560</v>
      </c>
      <c r="BA3" t="s">
        <v>575</v>
      </c>
      <c r="BB3" t="s">
        <v>163</v>
      </c>
      <c r="BC3" t="s">
        <v>1077</v>
      </c>
      <c r="BD3" t="s">
        <v>1060</v>
      </c>
      <c r="BE3" t="s">
        <v>1169</v>
      </c>
    </row>
    <row r="4" spans="1:57" ht="15" customHeight="1" x14ac:dyDescent="0.25">
      <c r="A4" t="s">
        <v>153</v>
      </c>
      <c r="B4" s="202">
        <v>1</v>
      </c>
      <c r="C4" s="202" t="s">
        <v>334</v>
      </c>
      <c r="D4" s="202" t="s">
        <v>39</v>
      </c>
      <c r="E4">
        <v>3</v>
      </c>
      <c r="F4" t="s">
        <v>37</v>
      </c>
      <c r="G4" s="202">
        <v>3</v>
      </c>
      <c r="I4" s="121" t="s">
        <v>148</v>
      </c>
      <c r="L4" s="202">
        <v>1</v>
      </c>
      <c r="M4" s="202" t="s">
        <v>334</v>
      </c>
      <c r="N4" s="202" t="s">
        <v>38</v>
      </c>
      <c r="O4" s="300" t="s">
        <v>425</v>
      </c>
      <c r="P4" s="202" t="s">
        <v>38</v>
      </c>
      <c r="Q4" t="s">
        <v>37</v>
      </c>
      <c r="T4">
        <v>361</v>
      </c>
      <c r="U4" s="7">
        <v>3</v>
      </c>
      <c r="V4" t="s">
        <v>555</v>
      </c>
      <c r="W4" s="257" t="s">
        <v>556</v>
      </c>
      <c r="X4" t="s">
        <v>557</v>
      </c>
      <c r="Y4" s="316" t="s">
        <v>32</v>
      </c>
      <c r="Z4" s="8">
        <v>10</v>
      </c>
      <c r="AA4" s="202" t="str">
        <f t="shared" si="0"/>
        <v>Лук репчатый</v>
      </c>
      <c r="AC4" t="s">
        <v>1203</v>
      </c>
      <c r="AD4" t="s">
        <v>560</v>
      </c>
      <c r="AE4" t="s">
        <v>1491</v>
      </c>
      <c r="AG4" s="237" t="s">
        <v>403</v>
      </c>
      <c r="AP4" t="s">
        <v>1206</v>
      </c>
      <c r="AQ4" t="s">
        <v>634</v>
      </c>
      <c r="AR4" t="s">
        <v>677</v>
      </c>
      <c r="AS4" t="s">
        <v>659</v>
      </c>
      <c r="AT4" t="s">
        <v>775</v>
      </c>
      <c r="AU4" t="s">
        <v>654</v>
      </c>
      <c r="AV4" t="s">
        <v>992</v>
      </c>
      <c r="AW4" t="s">
        <v>972</v>
      </c>
      <c r="AX4" t="s">
        <v>1151</v>
      </c>
      <c r="AY4" t="s">
        <v>164</v>
      </c>
      <c r="AZ4" t="s">
        <v>562</v>
      </c>
      <c r="BA4" t="s">
        <v>1312</v>
      </c>
      <c r="BB4" t="s">
        <v>1083</v>
      </c>
      <c r="BC4" t="s">
        <v>1343</v>
      </c>
      <c r="BD4" t="s">
        <v>1062</v>
      </c>
      <c r="BE4" t="s">
        <v>1171</v>
      </c>
    </row>
    <row r="5" spans="1:57" ht="15" customHeight="1" x14ac:dyDescent="0.25">
      <c r="A5" t="s">
        <v>153</v>
      </c>
      <c r="B5" s="202">
        <v>1</v>
      </c>
      <c r="C5" s="202" t="s">
        <v>334</v>
      </c>
      <c r="D5" s="202" t="s">
        <v>26</v>
      </c>
      <c r="E5">
        <v>4</v>
      </c>
      <c r="F5" t="s">
        <v>37</v>
      </c>
      <c r="G5" s="202">
        <v>4</v>
      </c>
      <c r="I5" s="121" t="s">
        <v>182</v>
      </c>
      <c r="L5" s="202">
        <v>1</v>
      </c>
      <c r="M5" s="202" t="s">
        <v>334</v>
      </c>
      <c r="N5" s="202" t="s">
        <v>38</v>
      </c>
      <c r="O5" s="300" t="s">
        <v>38</v>
      </c>
      <c r="P5" s="202" t="s">
        <v>38</v>
      </c>
      <c r="Q5" t="s">
        <v>37</v>
      </c>
      <c r="T5">
        <v>362</v>
      </c>
      <c r="U5" s="7">
        <v>3</v>
      </c>
      <c r="V5" t="s">
        <v>555</v>
      </c>
      <c r="W5" s="257" t="s">
        <v>556</v>
      </c>
      <c r="X5" t="s">
        <v>557</v>
      </c>
      <c r="Y5" s="316" t="s">
        <v>46</v>
      </c>
      <c r="Z5" s="8">
        <v>17</v>
      </c>
      <c r="AA5" s="202" t="str">
        <f t="shared" si="0"/>
        <v>Морковь</v>
      </c>
      <c r="AC5" t="s">
        <v>1203</v>
      </c>
      <c r="AD5" t="s">
        <v>562</v>
      </c>
      <c r="AE5" t="s">
        <v>1491</v>
      </c>
      <c r="AG5" s="237" t="s">
        <v>373</v>
      </c>
      <c r="AP5" t="s">
        <v>1208</v>
      </c>
      <c r="AQ5" t="s">
        <v>636</v>
      </c>
      <c r="AR5" t="s">
        <v>691</v>
      </c>
      <c r="AS5" t="s">
        <v>661</v>
      </c>
      <c r="AT5" t="s">
        <v>777</v>
      </c>
      <c r="AU5" t="s">
        <v>665</v>
      </c>
      <c r="AV5" t="s">
        <v>994</v>
      </c>
      <c r="AW5" t="s">
        <v>974</v>
      </c>
      <c r="AX5" t="s">
        <v>1152</v>
      </c>
      <c r="AY5" t="s">
        <v>292</v>
      </c>
      <c r="AZ5" t="s">
        <v>120</v>
      </c>
      <c r="BA5" t="s">
        <v>577</v>
      </c>
      <c r="BB5" t="s">
        <v>1085</v>
      </c>
      <c r="BC5" t="s">
        <v>1345</v>
      </c>
      <c r="BD5" t="s">
        <v>1064</v>
      </c>
      <c r="BE5" t="s">
        <v>1173</v>
      </c>
    </row>
    <row r="6" spans="1:57" ht="15" customHeight="1" x14ac:dyDescent="0.25">
      <c r="A6" t="s">
        <v>153</v>
      </c>
      <c r="B6" s="202">
        <v>1</v>
      </c>
      <c r="C6" s="202" t="s">
        <v>334</v>
      </c>
      <c r="D6" s="202" t="s">
        <v>1247</v>
      </c>
      <c r="E6">
        <v>5</v>
      </c>
      <c r="F6" t="s">
        <v>37</v>
      </c>
      <c r="G6" s="202">
        <v>5</v>
      </c>
      <c r="I6" s="121" t="s">
        <v>183</v>
      </c>
      <c r="L6" s="202">
        <v>1</v>
      </c>
      <c r="M6" s="202" t="s">
        <v>334</v>
      </c>
      <c r="N6" s="202" t="s">
        <v>38</v>
      </c>
      <c r="O6" s="300" t="s">
        <v>212</v>
      </c>
      <c r="P6" s="202" t="s">
        <v>38</v>
      </c>
      <c r="Q6" t="s">
        <v>37</v>
      </c>
      <c r="T6">
        <v>363</v>
      </c>
      <c r="U6" s="7">
        <v>3</v>
      </c>
      <c r="V6" t="s">
        <v>555</v>
      </c>
      <c r="W6" s="257" t="s">
        <v>556</v>
      </c>
      <c r="X6" t="s">
        <v>557</v>
      </c>
      <c r="Y6" s="316" t="s">
        <v>79</v>
      </c>
      <c r="Z6" s="8">
        <v>0.33300000000000002</v>
      </c>
      <c r="AA6" s="202" t="str">
        <f t="shared" si="0"/>
        <v>Яйцо (шт)</v>
      </c>
      <c r="AC6" t="s">
        <v>1203</v>
      </c>
      <c r="AD6" t="s">
        <v>120</v>
      </c>
      <c r="AE6" t="s">
        <v>1491</v>
      </c>
      <c r="AG6" s="237" t="s">
        <v>397</v>
      </c>
      <c r="AP6" t="s">
        <v>1209</v>
      </c>
      <c r="AQ6" t="s">
        <v>638</v>
      </c>
      <c r="AR6" t="s">
        <v>712</v>
      </c>
      <c r="AS6" t="s">
        <v>738</v>
      </c>
      <c r="AT6" t="s">
        <v>779</v>
      </c>
      <c r="AU6" t="s">
        <v>693</v>
      </c>
      <c r="AV6" t="s">
        <v>996</v>
      </c>
      <c r="AW6" t="s">
        <v>976</v>
      </c>
      <c r="AX6" t="s">
        <v>1154</v>
      </c>
      <c r="AY6" t="s">
        <v>82</v>
      </c>
      <c r="AZ6" t="s">
        <v>565</v>
      </c>
      <c r="BA6" t="s">
        <v>1314</v>
      </c>
      <c r="BB6" t="s">
        <v>1101</v>
      </c>
      <c r="BC6" t="s">
        <v>1079</v>
      </c>
      <c r="BD6" t="s">
        <v>1066</v>
      </c>
      <c r="BE6" t="s">
        <v>1175</v>
      </c>
    </row>
    <row r="7" spans="1:57" ht="15" customHeight="1" x14ac:dyDescent="0.25">
      <c r="A7" t="s">
        <v>153</v>
      </c>
      <c r="B7" s="202">
        <v>1</v>
      </c>
      <c r="C7" s="202" t="s">
        <v>334</v>
      </c>
      <c r="D7" s="202" t="s">
        <v>31</v>
      </c>
      <c r="E7">
        <v>6</v>
      </c>
      <c r="F7" t="s">
        <v>37</v>
      </c>
      <c r="G7" s="202">
        <v>6</v>
      </c>
      <c r="I7" s="121"/>
      <c r="L7" s="202">
        <v>1</v>
      </c>
      <c r="M7" s="202" t="s">
        <v>334</v>
      </c>
      <c r="N7" s="202" t="s">
        <v>38</v>
      </c>
      <c r="O7" s="300" t="s">
        <v>426</v>
      </c>
      <c r="P7" s="202" t="s">
        <v>38</v>
      </c>
      <c r="Q7" t="s">
        <v>37</v>
      </c>
      <c r="T7">
        <v>364</v>
      </c>
      <c r="U7" s="7">
        <v>3</v>
      </c>
      <c r="V7" t="s">
        <v>555</v>
      </c>
      <c r="W7" s="257" t="s">
        <v>556</v>
      </c>
      <c r="X7" t="s">
        <v>557</v>
      </c>
      <c r="Y7" s="316" t="s">
        <v>434</v>
      </c>
      <c r="Z7" s="8">
        <v>40</v>
      </c>
      <c r="AA7" s="202" t="str">
        <f t="shared" si="0"/>
        <v>Мука пшеничная 1 с</v>
      </c>
      <c r="AC7" t="s">
        <v>1203</v>
      </c>
      <c r="AD7" t="s">
        <v>565</v>
      </c>
      <c r="AE7" t="s">
        <v>1491</v>
      </c>
      <c r="AG7" s="237" t="s">
        <v>398</v>
      </c>
      <c r="AP7" t="s">
        <v>1198</v>
      </c>
      <c r="AQ7" t="s">
        <v>640</v>
      </c>
      <c r="AR7" t="s">
        <v>714</v>
      </c>
      <c r="AS7" t="s">
        <v>740</v>
      </c>
      <c r="AT7" t="s">
        <v>781</v>
      </c>
      <c r="AU7" t="s">
        <v>699</v>
      </c>
      <c r="AV7" t="s">
        <v>998</v>
      </c>
      <c r="AW7" t="s">
        <v>978</v>
      </c>
      <c r="AX7" t="s">
        <v>1156</v>
      </c>
      <c r="AY7" t="s">
        <v>64</v>
      </c>
      <c r="AZ7" t="s">
        <v>567</v>
      </c>
      <c r="BA7" t="s">
        <v>1251</v>
      </c>
      <c r="BB7" t="s">
        <v>1103</v>
      </c>
      <c r="BC7" t="s">
        <v>1347</v>
      </c>
      <c r="BD7" t="s">
        <v>1068</v>
      </c>
      <c r="BE7" t="s">
        <v>1177</v>
      </c>
    </row>
    <row r="8" spans="1:57" ht="15" customHeight="1" x14ac:dyDescent="0.25">
      <c r="A8" t="s">
        <v>153</v>
      </c>
      <c r="B8" s="202">
        <v>1</v>
      </c>
      <c r="C8" s="202" t="s">
        <v>334</v>
      </c>
      <c r="D8" s="202" t="s">
        <v>33</v>
      </c>
      <c r="E8">
        <v>7</v>
      </c>
      <c r="F8" t="s">
        <v>37</v>
      </c>
      <c r="G8" s="202">
        <v>7</v>
      </c>
      <c r="I8" s="121"/>
      <c r="L8" s="202">
        <v>1</v>
      </c>
      <c r="M8" s="202" t="s">
        <v>334</v>
      </c>
      <c r="N8" s="202" t="s">
        <v>151</v>
      </c>
      <c r="O8" s="300" t="s">
        <v>151</v>
      </c>
      <c r="P8" s="202" t="s">
        <v>151</v>
      </c>
      <c r="Q8" t="s">
        <v>37</v>
      </c>
      <c r="T8">
        <v>365</v>
      </c>
      <c r="U8" s="7">
        <v>3</v>
      </c>
      <c r="V8" t="s">
        <v>555</v>
      </c>
      <c r="W8" s="257" t="s">
        <v>556</v>
      </c>
      <c r="X8" t="s">
        <v>557</v>
      </c>
      <c r="Y8" s="316" t="s">
        <v>61</v>
      </c>
      <c r="Z8" s="8">
        <v>5</v>
      </c>
      <c r="AA8" s="202" t="str">
        <f t="shared" si="0"/>
        <v>Масло растительное</v>
      </c>
      <c r="AC8" t="s">
        <v>1203</v>
      </c>
      <c r="AD8" t="s">
        <v>567</v>
      </c>
      <c r="AE8" t="s">
        <v>1491</v>
      </c>
      <c r="AG8" s="237" t="s">
        <v>399</v>
      </c>
      <c r="AP8" t="s">
        <v>1199</v>
      </c>
      <c r="AQ8" t="s">
        <v>644</v>
      </c>
      <c r="AR8" t="s">
        <v>716</v>
      </c>
      <c r="AS8" t="s">
        <v>742</v>
      </c>
      <c r="AT8" t="s">
        <v>783</v>
      </c>
      <c r="AU8" t="s">
        <v>703</v>
      </c>
      <c r="AV8" t="s">
        <v>1552</v>
      </c>
      <c r="AW8" t="s">
        <v>980</v>
      </c>
      <c r="AX8" t="s">
        <v>1158</v>
      </c>
      <c r="AY8" t="s">
        <v>59</v>
      </c>
      <c r="AZ8" t="s">
        <v>569</v>
      </c>
      <c r="BA8" t="s">
        <v>1252</v>
      </c>
      <c r="BB8" t="s">
        <v>1351</v>
      </c>
      <c r="BC8" t="s">
        <v>1081</v>
      </c>
      <c r="BD8" t="s">
        <v>1070</v>
      </c>
      <c r="BE8" t="s">
        <v>1179</v>
      </c>
    </row>
    <row r="9" spans="1:57" ht="15" customHeight="1" x14ac:dyDescent="0.25">
      <c r="A9" t="s">
        <v>153</v>
      </c>
      <c r="B9" s="202">
        <v>1</v>
      </c>
      <c r="C9" s="202" t="s">
        <v>334</v>
      </c>
      <c r="D9" s="202" t="s">
        <v>27</v>
      </c>
      <c r="E9">
        <v>8</v>
      </c>
      <c r="F9" t="s">
        <v>37</v>
      </c>
      <c r="G9" s="202">
        <v>8</v>
      </c>
      <c r="I9" s="121"/>
      <c r="L9" s="202">
        <v>1</v>
      </c>
      <c r="M9" s="202" t="s">
        <v>334</v>
      </c>
      <c r="N9" s="202" t="s">
        <v>522</v>
      </c>
      <c r="O9" s="300" t="s">
        <v>522</v>
      </c>
      <c r="P9" s="202" t="s">
        <v>522</v>
      </c>
      <c r="Q9" t="s">
        <v>37</v>
      </c>
      <c r="T9">
        <v>366</v>
      </c>
      <c r="U9" s="7">
        <v>3</v>
      </c>
      <c r="V9" t="s">
        <v>555</v>
      </c>
      <c r="W9" s="257" t="s">
        <v>556</v>
      </c>
      <c r="X9" t="s">
        <v>557</v>
      </c>
      <c r="Y9" s="316" t="s">
        <v>479</v>
      </c>
      <c r="Z9" s="8">
        <v>400</v>
      </c>
      <c r="AA9" s="202" t="str">
        <f t="shared" si="0"/>
        <v>Вода или бульон</v>
      </c>
      <c r="AC9" t="s">
        <v>1203</v>
      </c>
      <c r="AD9" t="s">
        <v>569</v>
      </c>
      <c r="AE9" t="s">
        <v>1491</v>
      </c>
      <c r="AG9" s="237" t="s">
        <v>400</v>
      </c>
      <c r="AP9" t="s">
        <v>1195</v>
      </c>
      <c r="AQ9" t="s">
        <v>650</v>
      </c>
      <c r="AR9" t="s">
        <v>728</v>
      </c>
      <c r="AS9" t="s">
        <v>744</v>
      </c>
      <c r="AT9" t="s">
        <v>785</v>
      </c>
      <c r="AU9" t="s">
        <v>709</v>
      </c>
      <c r="AV9" t="s">
        <v>1000</v>
      </c>
      <c r="AW9" t="s">
        <v>982</v>
      </c>
      <c r="AX9" t="s">
        <v>1160</v>
      </c>
      <c r="AY9" t="s">
        <v>145</v>
      </c>
      <c r="AZ9" t="s">
        <v>571</v>
      </c>
      <c r="BA9" t="s">
        <v>1316</v>
      </c>
      <c r="BB9" t="s">
        <v>1105</v>
      </c>
      <c r="BC9" t="s">
        <v>1349</v>
      </c>
      <c r="BD9" t="s">
        <v>1072</v>
      </c>
      <c r="BE9" t="s">
        <v>1181</v>
      </c>
    </row>
    <row r="10" spans="1:57" ht="15" customHeight="1" x14ac:dyDescent="0.25">
      <c r="A10" t="s">
        <v>153</v>
      </c>
      <c r="B10" s="202">
        <v>1</v>
      </c>
      <c r="C10" s="202" t="s">
        <v>334</v>
      </c>
      <c r="D10" s="202" t="s">
        <v>318</v>
      </c>
      <c r="E10">
        <v>9</v>
      </c>
      <c r="F10" t="s">
        <v>37</v>
      </c>
      <c r="G10" s="202">
        <v>9</v>
      </c>
      <c r="I10" s="121"/>
      <c r="L10" s="202">
        <v>1</v>
      </c>
      <c r="M10" s="202" t="s">
        <v>334</v>
      </c>
      <c r="N10" s="202" t="s">
        <v>39</v>
      </c>
      <c r="O10" s="300" t="s">
        <v>219</v>
      </c>
      <c r="P10" s="202" t="s">
        <v>39</v>
      </c>
      <c r="Q10" t="s">
        <v>37</v>
      </c>
      <c r="T10">
        <v>367</v>
      </c>
      <c r="U10" s="7">
        <v>3</v>
      </c>
      <c r="V10" t="s">
        <v>555</v>
      </c>
      <c r="W10" s="257" t="s">
        <v>556</v>
      </c>
      <c r="X10" t="s">
        <v>557</v>
      </c>
      <c r="Y10" s="316" t="s">
        <v>70</v>
      </c>
      <c r="Z10" s="8">
        <v>5</v>
      </c>
      <c r="AA10" s="202" t="str">
        <f t="shared" si="0"/>
        <v>Зелень</v>
      </c>
      <c r="AC10" t="s">
        <v>1203</v>
      </c>
      <c r="AD10" t="s">
        <v>571</v>
      </c>
      <c r="AE10" t="s">
        <v>1491</v>
      </c>
      <c r="AG10" s="237" t="s">
        <v>395</v>
      </c>
      <c r="AP10" t="s">
        <v>1197</v>
      </c>
      <c r="AQ10" t="s">
        <v>652</v>
      </c>
      <c r="AR10" t="s">
        <v>752</v>
      </c>
      <c r="AS10" t="s">
        <v>746</v>
      </c>
      <c r="AT10" t="s">
        <v>787</v>
      </c>
      <c r="AU10" t="s">
        <v>710</v>
      </c>
      <c r="AV10" t="s">
        <v>1002</v>
      </c>
      <c r="AW10" t="s">
        <v>984</v>
      </c>
      <c r="AX10" t="s">
        <v>1162</v>
      </c>
      <c r="AY10" t="s">
        <v>1555</v>
      </c>
      <c r="AZ10" t="s">
        <v>573</v>
      </c>
      <c r="BA10" t="s">
        <v>1263</v>
      </c>
      <c r="BB10" t="s">
        <v>1107</v>
      </c>
      <c r="BC10" t="s">
        <v>1087</v>
      </c>
      <c r="BD10" t="s">
        <v>1339</v>
      </c>
      <c r="BE10" t="s">
        <v>1183</v>
      </c>
    </row>
    <row r="11" spans="1:57" ht="15" customHeight="1" x14ac:dyDescent="0.25">
      <c r="A11" t="s">
        <v>153</v>
      </c>
      <c r="B11" s="202">
        <v>1</v>
      </c>
      <c r="C11" s="202" t="s">
        <v>334</v>
      </c>
      <c r="D11" s="202" t="s">
        <v>40</v>
      </c>
      <c r="E11">
        <v>10</v>
      </c>
      <c r="F11" t="s">
        <v>37</v>
      </c>
      <c r="G11" s="202">
        <v>10</v>
      </c>
      <c r="I11" s="121"/>
      <c r="L11" s="202">
        <v>1</v>
      </c>
      <c r="M11" s="202" t="s">
        <v>334</v>
      </c>
      <c r="N11" s="202" t="s">
        <v>39</v>
      </c>
      <c r="O11" s="300" t="s">
        <v>39</v>
      </c>
      <c r="P11" s="202" t="s">
        <v>39</v>
      </c>
      <c r="Q11" t="s">
        <v>37</v>
      </c>
      <c r="T11">
        <v>368</v>
      </c>
      <c r="U11" s="7">
        <v>3</v>
      </c>
      <c r="V11" t="s">
        <v>555</v>
      </c>
      <c r="W11" s="257" t="s">
        <v>556</v>
      </c>
      <c r="X11" t="s">
        <v>557</v>
      </c>
      <c r="Y11" s="316" t="s">
        <v>326</v>
      </c>
      <c r="Z11" s="8">
        <v>4</v>
      </c>
      <c r="AA11" s="202" t="str">
        <f t="shared" si="0"/>
        <v>Соль</v>
      </c>
      <c r="AC11" t="s">
        <v>1203</v>
      </c>
      <c r="AD11" t="s">
        <v>573</v>
      </c>
      <c r="AE11" t="s">
        <v>1491</v>
      </c>
      <c r="AG11" t="s">
        <v>396</v>
      </c>
      <c r="AP11" t="s">
        <v>1203</v>
      </c>
      <c r="AQ11" t="s">
        <v>663</v>
      </c>
      <c r="AR11" t="s">
        <v>762</v>
      </c>
      <c r="AS11" t="s">
        <v>1193</v>
      </c>
      <c r="AT11" t="s">
        <v>789</v>
      </c>
      <c r="AU11" t="s">
        <v>730</v>
      </c>
      <c r="AV11" t="s">
        <v>1004</v>
      </c>
      <c r="AW11" t="s">
        <v>986</v>
      </c>
      <c r="AX11" t="s">
        <v>75</v>
      </c>
      <c r="AY11" t="s">
        <v>1556</v>
      </c>
      <c r="AZ11" t="s">
        <v>1329</v>
      </c>
      <c r="BA11" t="s">
        <v>1264</v>
      </c>
      <c r="BB11" t="s">
        <v>1109</v>
      </c>
      <c r="BC11" t="s">
        <v>1089</v>
      </c>
      <c r="BD11" t="s">
        <v>1341</v>
      </c>
      <c r="BE11" t="s">
        <v>1185</v>
      </c>
    </row>
    <row r="12" spans="1:57" ht="15" customHeight="1" x14ac:dyDescent="0.25">
      <c r="A12" t="s">
        <v>153</v>
      </c>
      <c r="B12" s="202">
        <v>1</v>
      </c>
      <c r="C12" s="202" t="s">
        <v>334</v>
      </c>
      <c r="D12" s="202" t="s">
        <v>151</v>
      </c>
      <c r="E12">
        <v>11</v>
      </c>
      <c r="F12" t="s">
        <v>37</v>
      </c>
      <c r="G12" s="202">
        <v>11</v>
      </c>
      <c r="I12" s="121"/>
      <c r="L12" s="202">
        <v>1</v>
      </c>
      <c r="M12" s="202" t="s">
        <v>334</v>
      </c>
      <c r="N12" s="202" t="s">
        <v>26</v>
      </c>
      <c r="O12" s="300" t="s">
        <v>427</v>
      </c>
      <c r="P12" s="202" t="s">
        <v>26</v>
      </c>
      <c r="Q12" t="s">
        <v>37</v>
      </c>
      <c r="T12">
        <v>369</v>
      </c>
      <c r="U12" s="7">
        <v>3</v>
      </c>
      <c r="V12" t="s">
        <v>555</v>
      </c>
      <c r="W12" s="257" t="s">
        <v>556</v>
      </c>
      <c r="X12" t="s">
        <v>557</v>
      </c>
      <c r="Y12" s="316" t="s">
        <v>558</v>
      </c>
      <c r="Z12" s="8">
        <v>500</v>
      </c>
      <c r="AA12" s="202" t="str">
        <f t="shared" si="0"/>
        <v>Общая масса готового блюда, г</v>
      </c>
      <c r="AC12" t="s">
        <v>1203</v>
      </c>
      <c r="AD12" t="s">
        <v>1329</v>
      </c>
      <c r="AE12" t="s">
        <v>1491</v>
      </c>
      <c r="AG12" s="237"/>
      <c r="AP12" t="s">
        <v>1204</v>
      </c>
      <c r="AQ12" t="s">
        <v>1210</v>
      </c>
      <c r="AR12" t="s">
        <v>956</v>
      </c>
      <c r="AS12" t="s">
        <v>932</v>
      </c>
      <c r="AT12" t="s">
        <v>791</v>
      </c>
      <c r="AU12" t="s">
        <v>736</v>
      </c>
      <c r="AV12" t="s">
        <v>1006</v>
      </c>
      <c r="AW12" t="s">
        <v>1018</v>
      </c>
      <c r="AX12" t="s">
        <v>1164</v>
      </c>
      <c r="AY12" t="s">
        <v>60</v>
      </c>
      <c r="AZ12" t="s">
        <v>609</v>
      </c>
      <c r="BA12" t="s">
        <v>581</v>
      </c>
      <c r="BB12" t="s">
        <v>1119</v>
      </c>
      <c r="BC12" t="s">
        <v>1091</v>
      </c>
      <c r="BD12" t="s">
        <v>1111</v>
      </c>
      <c r="BE12" t="s">
        <v>1187</v>
      </c>
    </row>
    <row r="13" spans="1:57" ht="15" customHeight="1" x14ac:dyDescent="0.25">
      <c r="A13" t="s">
        <v>153</v>
      </c>
      <c r="B13" s="202">
        <v>1</v>
      </c>
      <c r="C13" s="202" t="s">
        <v>334</v>
      </c>
      <c r="D13" s="202" t="s">
        <v>522</v>
      </c>
      <c r="E13">
        <v>12</v>
      </c>
      <c r="F13" t="s">
        <v>37</v>
      </c>
      <c r="G13" s="202">
        <v>12</v>
      </c>
      <c r="I13" s="121"/>
      <c r="L13" s="202">
        <v>1</v>
      </c>
      <c r="M13" s="202" t="s">
        <v>334</v>
      </c>
      <c r="N13" s="202" t="s">
        <v>26</v>
      </c>
      <c r="O13" s="300" t="s">
        <v>210</v>
      </c>
      <c r="P13" s="202" t="s">
        <v>26</v>
      </c>
      <c r="Q13" t="s">
        <v>37</v>
      </c>
      <c r="T13">
        <v>370</v>
      </c>
      <c r="U13" s="7">
        <v>3</v>
      </c>
      <c r="V13" t="s">
        <v>555</v>
      </c>
      <c r="W13" s="257" t="s">
        <v>556</v>
      </c>
      <c r="X13" t="s">
        <v>557</v>
      </c>
      <c r="Y13" s="316" t="s">
        <v>109</v>
      </c>
      <c r="Z13" s="8">
        <v>250</v>
      </c>
      <c r="AA13" s="202" t="str">
        <f t="shared" si="0"/>
        <v>ОКГ</v>
      </c>
      <c r="AC13" t="s">
        <v>1203</v>
      </c>
      <c r="AD13" t="s">
        <v>609</v>
      </c>
      <c r="AE13" t="s">
        <v>1491</v>
      </c>
      <c r="AG13" s="237" t="s">
        <v>108</v>
      </c>
      <c r="AJ13" s="237" t="s">
        <v>382</v>
      </c>
      <c r="AP13" t="s">
        <v>1200</v>
      </c>
      <c r="AQ13" t="s">
        <v>672</v>
      </c>
      <c r="AR13" t="s">
        <v>960</v>
      </c>
      <c r="AS13" t="s">
        <v>934</v>
      </c>
      <c r="AT13" t="s">
        <v>887</v>
      </c>
      <c r="AU13" t="s">
        <v>754</v>
      </c>
      <c r="AV13" t="s">
        <v>1553</v>
      </c>
      <c r="AW13" t="s">
        <v>1020</v>
      </c>
      <c r="AY13" t="s">
        <v>34</v>
      </c>
      <c r="AZ13" t="s">
        <v>1331</v>
      </c>
      <c r="BA13" t="s">
        <v>1255</v>
      </c>
      <c r="BB13" t="s">
        <v>1355</v>
      </c>
      <c r="BC13" t="s">
        <v>1093</v>
      </c>
      <c r="BD13" t="s">
        <v>1353</v>
      </c>
    </row>
    <row r="14" spans="1:57" ht="15" customHeight="1" x14ac:dyDescent="0.25">
      <c r="A14" t="s">
        <v>153</v>
      </c>
      <c r="B14" s="202">
        <v>2</v>
      </c>
      <c r="C14" s="202" t="s">
        <v>41</v>
      </c>
      <c r="D14" s="202" t="s">
        <v>41</v>
      </c>
      <c r="E14">
        <v>1</v>
      </c>
      <c r="F14" t="s">
        <v>37</v>
      </c>
      <c r="G14" s="202">
        <v>13</v>
      </c>
      <c r="I14" s="121"/>
      <c r="L14" s="202">
        <v>1</v>
      </c>
      <c r="M14" s="202" t="s">
        <v>334</v>
      </c>
      <c r="N14" s="202" t="s">
        <v>26</v>
      </c>
      <c r="O14" s="300" t="s">
        <v>211</v>
      </c>
      <c r="P14" s="202" t="s">
        <v>26</v>
      </c>
      <c r="Q14" t="s">
        <v>37</v>
      </c>
      <c r="T14">
        <v>371</v>
      </c>
      <c r="U14" s="7">
        <v>3</v>
      </c>
      <c r="V14" t="s">
        <v>555</v>
      </c>
      <c r="W14" s="257" t="s">
        <v>556</v>
      </c>
      <c r="X14" t="s">
        <v>557</v>
      </c>
      <c r="Y14" s="316" t="s">
        <v>74</v>
      </c>
      <c r="Z14" s="8">
        <v>0.02</v>
      </c>
      <c r="AA14" s="202" t="str">
        <f t="shared" si="0"/>
        <v>Лавровый лист</v>
      </c>
      <c r="AC14" t="s">
        <v>1203</v>
      </c>
      <c r="AD14" t="s">
        <v>1331</v>
      </c>
      <c r="AE14" t="s">
        <v>1491</v>
      </c>
      <c r="AG14" s="237" t="s">
        <v>149</v>
      </c>
      <c r="AJ14" s="237" t="s">
        <v>383</v>
      </c>
      <c r="AP14" t="s">
        <v>1201</v>
      </c>
      <c r="AQ14" t="s">
        <v>689</v>
      </c>
      <c r="AR14" t="s">
        <v>962</v>
      </c>
      <c r="AS14" t="s">
        <v>936</v>
      </c>
      <c r="AT14" t="s">
        <v>889</v>
      </c>
      <c r="AU14" t="s">
        <v>760</v>
      </c>
      <c r="AV14" t="s">
        <v>1554</v>
      </c>
      <c r="AW14" t="s">
        <v>1031</v>
      </c>
      <c r="AY14" t="s">
        <v>162</v>
      </c>
      <c r="AZ14" t="s">
        <v>611</v>
      </c>
      <c r="BA14" t="s">
        <v>1254</v>
      </c>
      <c r="BB14" t="s">
        <v>1357</v>
      </c>
      <c r="BC14" t="s">
        <v>1095</v>
      </c>
      <c r="BD14" t="s">
        <v>1113</v>
      </c>
    </row>
    <row r="15" spans="1:57" ht="15" customHeight="1" x14ac:dyDescent="0.25">
      <c r="A15" t="s">
        <v>153</v>
      </c>
      <c r="B15" s="202">
        <v>3</v>
      </c>
      <c r="C15" s="202" t="s">
        <v>180</v>
      </c>
      <c r="D15" s="202" t="s">
        <v>206</v>
      </c>
      <c r="E15">
        <v>2</v>
      </c>
      <c r="F15" t="s">
        <v>37</v>
      </c>
      <c r="G15" s="202">
        <v>14</v>
      </c>
      <c r="I15" s="121"/>
      <c r="L15" s="202">
        <v>1</v>
      </c>
      <c r="M15" s="202" t="s">
        <v>334</v>
      </c>
      <c r="N15" s="202" t="s">
        <v>26</v>
      </c>
      <c r="O15" s="300" t="s">
        <v>26</v>
      </c>
      <c r="P15" s="202" t="s">
        <v>26</v>
      </c>
      <c r="Q15" t="s">
        <v>37</v>
      </c>
      <c r="T15">
        <v>372</v>
      </c>
      <c r="U15" s="7">
        <v>3</v>
      </c>
      <c r="V15" t="s">
        <v>555</v>
      </c>
      <c r="W15" s="257" t="s">
        <v>556</v>
      </c>
      <c r="X15" t="s">
        <v>557</v>
      </c>
      <c r="Y15" s="316" t="s">
        <v>484</v>
      </c>
      <c r="Z15" s="8">
        <v>0.05</v>
      </c>
      <c r="AA15" s="202" t="str">
        <f t="shared" si="0"/>
        <v>Перец черный</v>
      </c>
      <c r="AC15" t="s">
        <v>1203</v>
      </c>
      <c r="AD15" t="s">
        <v>611</v>
      </c>
      <c r="AE15" t="s">
        <v>1491</v>
      </c>
      <c r="AJ15" s="237" t="s">
        <v>356</v>
      </c>
      <c r="AP15" t="s">
        <v>1202</v>
      </c>
      <c r="AQ15" t="s">
        <v>695</v>
      </c>
      <c r="AT15" t="s">
        <v>891</v>
      </c>
      <c r="AU15" t="s">
        <v>948</v>
      </c>
      <c r="AV15" t="s">
        <v>1008</v>
      </c>
      <c r="AW15" t="s">
        <v>1033</v>
      </c>
      <c r="AY15" t="s">
        <v>85</v>
      </c>
      <c r="AZ15" t="s">
        <v>1333</v>
      </c>
      <c r="BA15" t="s">
        <v>1253</v>
      </c>
      <c r="BB15" t="s">
        <v>1121</v>
      </c>
      <c r="BC15" t="s">
        <v>1097</v>
      </c>
      <c r="BD15" t="s">
        <v>1115</v>
      </c>
    </row>
    <row r="16" spans="1:57" ht="15" customHeight="1" x14ac:dyDescent="0.25">
      <c r="A16" t="s">
        <v>153</v>
      </c>
      <c r="B16" s="202">
        <v>3</v>
      </c>
      <c r="C16" s="202" t="s">
        <v>180</v>
      </c>
      <c r="D16" s="202" t="s">
        <v>410</v>
      </c>
      <c r="E16">
        <v>3</v>
      </c>
      <c r="F16" t="s">
        <v>37</v>
      </c>
      <c r="G16" s="202">
        <v>15</v>
      </c>
      <c r="I16" s="121"/>
      <c r="L16" s="202">
        <v>1</v>
      </c>
      <c r="M16" s="202" t="s">
        <v>334</v>
      </c>
      <c r="N16" s="202" t="s">
        <v>494</v>
      </c>
      <c r="O16" s="300" t="s">
        <v>429</v>
      </c>
      <c r="P16" s="202" t="s">
        <v>31</v>
      </c>
      <c r="Q16" t="s">
        <v>37</v>
      </c>
      <c r="T16">
        <v>1947</v>
      </c>
      <c r="U16" s="7">
        <v>3</v>
      </c>
      <c r="V16" t="s">
        <v>613</v>
      </c>
      <c r="W16" s="257" t="s">
        <v>614</v>
      </c>
      <c r="X16" t="s">
        <v>615</v>
      </c>
      <c r="Y16" s="316" t="s">
        <v>454</v>
      </c>
      <c r="Z16" s="8">
        <v>0.75</v>
      </c>
      <c r="AA16" s="202" t="str">
        <f t="shared" si="0"/>
        <v>Говядина б/к</v>
      </c>
      <c r="AC16" t="s">
        <v>1203</v>
      </c>
      <c r="AD16" t="s">
        <v>1333</v>
      </c>
      <c r="AE16" t="s">
        <v>1491</v>
      </c>
      <c r="AG16" s="237" t="s">
        <v>355</v>
      </c>
      <c r="AP16" t="s">
        <v>1196</v>
      </c>
      <c r="AQ16" t="s">
        <v>697</v>
      </c>
      <c r="AT16" t="s">
        <v>893</v>
      </c>
      <c r="AU16" t="s">
        <v>958</v>
      </c>
      <c r="AV16" t="s">
        <v>1010</v>
      </c>
      <c r="AW16" t="s">
        <v>1035</v>
      </c>
      <c r="AY16" t="s">
        <v>166</v>
      </c>
      <c r="AZ16" t="s">
        <v>1262</v>
      </c>
      <c r="BA16" t="s">
        <v>584</v>
      </c>
      <c r="BB16" t="s">
        <v>1243</v>
      </c>
      <c r="BC16" t="s">
        <v>1099</v>
      </c>
      <c r="BD16" t="s">
        <v>1117</v>
      </c>
    </row>
    <row r="17" spans="1:56" ht="15" customHeight="1" x14ac:dyDescent="0.25">
      <c r="A17" t="s">
        <v>153</v>
      </c>
      <c r="B17" s="202">
        <v>3</v>
      </c>
      <c r="C17" s="202" t="s">
        <v>180</v>
      </c>
      <c r="D17" s="202" t="s">
        <v>436</v>
      </c>
      <c r="E17">
        <v>4</v>
      </c>
      <c r="F17" t="s">
        <v>37</v>
      </c>
      <c r="G17" s="202">
        <v>16</v>
      </c>
      <c r="I17" s="121"/>
      <c r="L17" s="202">
        <v>1</v>
      </c>
      <c r="M17" s="202" t="s">
        <v>334</v>
      </c>
      <c r="N17" s="202" t="s">
        <v>31</v>
      </c>
      <c r="O17" s="300" t="s">
        <v>208</v>
      </c>
      <c r="P17" s="202" t="s">
        <v>31</v>
      </c>
      <c r="Q17" t="s">
        <v>37</v>
      </c>
      <c r="T17">
        <v>1948</v>
      </c>
      <c r="U17" s="7">
        <v>3</v>
      </c>
      <c r="V17" t="s">
        <v>613</v>
      </c>
      <c r="W17" s="257" t="s">
        <v>614</v>
      </c>
      <c r="X17" t="s">
        <v>615</v>
      </c>
      <c r="Y17" s="316" t="s">
        <v>61</v>
      </c>
      <c r="Z17" s="8">
        <v>5</v>
      </c>
      <c r="AA17" s="202" t="str">
        <f t="shared" si="0"/>
        <v>Масло растительное</v>
      </c>
      <c r="AC17" t="s">
        <v>1203</v>
      </c>
      <c r="AD17" t="s">
        <v>1262</v>
      </c>
      <c r="AE17" t="s">
        <v>1491</v>
      </c>
      <c r="AJ17" s="237" t="s">
        <v>374</v>
      </c>
      <c r="AQ17" t="s">
        <v>701</v>
      </c>
      <c r="AT17" t="s">
        <v>895</v>
      </c>
      <c r="AU17" t="s">
        <v>963</v>
      </c>
      <c r="AV17" t="s">
        <v>1012</v>
      </c>
      <c r="AW17" t="s">
        <v>1037</v>
      </c>
      <c r="AY17" t="s">
        <v>161</v>
      </c>
      <c r="AZ17" t="s">
        <v>1261</v>
      </c>
      <c r="BA17" t="s">
        <v>1318</v>
      </c>
      <c r="BB17" t="s">
        <v>1244</v>
      </c>
      <c r="BC17" t="s">
        <v>1359</v>
      </c>
      <c r="BD17" t="s">
        <v>1140</v>
      </c>
    </row>
    <row r="18" spans="1:56" ht="15" customHeight="1" x14ac:dyDescent="0.25">
      <c r="A18" t="s">
        <v>153</v>
      </c>
      <c r="B18" s="202">
        <v>3</v>
      </c>
      <c r="C18" s="202" t="s">
        <v>180</v>
      </c>
      <c r="D18" s="202" t="s">
        <v>51</v>
      </c>
      <c r="E18">
        <v>5</v>
      </c>
      <c r="F18" t="s">
        <v>37</v>
      </c>
      <c r="G18" s="202">
        <v>17</v>
      </c>
      <c r="I18" s="121"/>
      <c r="L18" s="202">
        <v>1</v>
      </c>
      <c r="M18" s="202" t="s">
        <v>334</v>
      </c>
      <c r="N18" s="202" t="s">
        <v>31</v>
      </c>
      <c r="O18" s="300" t="s">
        <v>31</v>
      </c>
      <c r="P18" s="202" t="s">
        <v>31</v>
      </c>
      <c r="Q18" t="s">
        <v>37</v>
      </c>
      <c r="T18">
        <v>1949</v>
      </c>
      <c r="U18" s="7">
        <v>3</v>
      </c>
      <c r="V18" t="s">
        <v>613</v>
      </c>
      <c r="W18" s="257" t="s">
        <v>614</v>
      </c>
      <c r="X18" t="s">
        <v>615</v>
      </c>
      <c r="Y18" s="316" t="s">
        <v>32</v>
      </c>
      <c r="Z18" s="8">
        <v>10</v>
      </c>
      <c r="AA18" s="202" t="str">
        <f t="shared" si="0"/>
        <v>Лук репчатый</v>
      </c>
      <c r="AC18" t="s">
        <v>1203</v>
      </c>
      <c r="AD18" t="s">
        <v>1261</v>
      </c>
      <c r="AE18" t="s">
        <v>1491</v>
      </c>
      <c r="AJ18" s="237" t="s">
        <v>375</v>
      </c>
      <c r="AQ18" t="s">
        <v>705</v>
      </c>
      <c r="AT18" t="s">
        <v>897</v>
      </c>
      <c r="AU18" t="s">
        <v>965</v>
      </c>
      <c r="AV18" t="s">
        <v>1014</v>
      </c>
      <c r="AW18" t="s">
        <v>1039</v>
      </c>
      <c r="AY18" t="s">
        <v>165</v>
      </c>
      <c r="BA18" t="s">
        <v>586</v>
      </c>
      <c r="BB18" t="s">
        <v>1138</v>
      </c>
      <c r="BC18" t="s">
        <v>1123</v>
      </c>
      <c r="BD18" t="s">
        <v>1142</v>
      </c>
    </row>
    <row r="19" spans="1:56" ht="15" customHeight="1" x14ac:dyDescent="0.25">
      <c r="A19" t="s">
        <v>153</v>
      </c>
      <c r="B19" s="202">
        <v>3</v>
      </c>
      <c r="C19" s="202" t="s">
        <v>180</v>
      </c>
      <c r="D19" s="202" t="s">
        <v>411</v>
      </c>
      <c r="E19">
        <v>6</v>
      </c>
      <c r="F19" t="s">
        <v>37</v>
      </c>
      <c r="G19" s="202">
        <v>18</v>
      </c>
      <c r="I19" s="121"/>
      <c r="L19" s="202">
        <v>1</v>
      </c>
      <c r="M19" s="202" t="s">
        <v>334</v>
      </c>
      <c r="N19" s="202" t="s">
        <v>1247</v>
      </c>
      <c r="O19" s="300" t="s">
        <v>1247</v>
      </c>
      <c r="P19" s="202" t="s">
        <v>1247</v>
      </c>
      <c r="Q19" t="s">
        <v>37</v>
      </c>
      <c r="T19">
        <v>1950</v>
      </c>
      <c r="U19" s="7">
        <v>3</v>
      </c>
      <c r="V19" t="s">
        <v>613</v>
      </c>
      <c r="W19" s="257" t="s">
        <v>614</v>
      </c>
      <c r="X19" t="s">
        <v>615</v>
      </c>
      <c r="Y19" s="316" t="s">
        <v>445</v>
      </c>
      <c r="Z19" s="8">
        <v>30</v>
      </c>
      <c r="AA19" s="202" t="str">
        <f t="shared" si="0"/>
        <v>Огурцы консерв.</v>
      </c>
      <c r="AC19" t="s">
        <v>1204</v>
      </c>
      <c r="AD19" t="s">
        <v>1204</v>
      </c>
      <c r="AE19" t="s">
        <v>1491</v>
      </c>
      <c r="AJ19" s="237" t="s">
        <v>357</v>
      </c>
      <c r="AQ19" t="s">
        <v>707</v>
      </c>
      <c r="AT19" t="s">
        <v>1217</v>
      </c>
      <c r="AV19" t="s">
        <v>1016</v>
      </c>
      <c r="AW19" t="s">
        <v>1041</v>
      </c>
      <c r="AY19" t="s">
        <v>53</v>
      </c>
      <c r="BA19" t="s">
        <v>1320</v>
      </c>
      <c r="BB19" t="s">
        <v>1146</v>
      </c>
      <c r="BC19" t="s">
        <v>1125</v>
      </c>
    </row>
    <row r="20" spans="1:56" ht="15" customHeight="1" x14ac:dyDescent="0.25">
      <c r="A20" t="s">
        <v>153</v>
      </c>
      <c r="B20" s="202">
        <v>3</v>
      </c>
      <c r="C20" s="202" t="s">
        <v>180</v>
      </c>
      <c r="D20" s="202" t="s">
        <v>181</v>
      </c>
      <c r="E20">
        <v>7</v>
      </c>
      <c r="F20" t="s">
        <v>37</v>
      </c>
      <c r="G20" s="202">
        <v>19</v>
      </c>
      <c r="I20" s="121"/>
      <c r="L20" s="202">
        <v>1</v>
      </c>
      <c r="M20" s="202" t="s">
        <v>334</v>
      </c>
      <c r="N20" s="202" t="s">
        <v>33</v>
      </c>
      <c r="O20" s="300" t="s">
        <v>430</v>
      </c>
      <c r="P20" s="202" t="s">
        <v>33</v>
      </c>
      <c r="Q20" t="s">
        <v>37</v>
      </c>
      <c r="T20">
        <v>1951</v>
      </c>
      <c r="U20" s="7">
        <v>3</v>
      </c>
      <c r="V20" t="s">
        <v>613</v>
      </c>
      <c r="W20" s="257" t="s">
        <v>614</v>
      </c>
      <c r="X20" t="s">
        <v>615</v>
      </c>
      <c r="Y20" s="316" t="s">
        <v>76</v>
      </c>
      <c r="Z20" s="8">
        <v>2</v>
      </c>
      <c r="AA20" s="202" t="str">
        <f t="shared" si="0"/>
        <v>Томат-паста</v>
      </c>
      <c r="AC20" t="s">
        <v>1204</v>
      </c>
      <c r="AD20" t="s">
        <v>557</v>
      </c>
      <c r="AE20" t="s">
        <v>1491</v>
      </c>
      <c r="AJ20" s="237" t="s">
        <v>376</v>
      </c>
      <c r="AQ20" t="s">
        <v>718</v>
      </c>
      <c r="AT20" t="s">
        <v>899</v>
      </c>
      <c r="AV20" t="s">
        <v>1022</v>
      </c>
      <c r="AW20" t="s">
        <v>1043</v>
      </c>
      <c r="AY20" t="s">
        <v>321</v>
      </c>
      <c r="BA20" t="s">
        <v>588</v>
      </c>
      <c r="BB20" t="s">
        <v>292</v>
      </c>
      <c r="BC20" t="s">
        <v>1361</v>
      </c>
    </row>
    <row r="21" spans="1:56" ht="15" customHeight="1" x14ac:dyDescent="0.25">
      <c r="A21" t="s">
        <v>153</v>
      </c>
      <c r="B21" s="202">
        <v>3</v>
      </c>
      <c r="C21" s="202" t="s">
        <v>180</v>
      </c>
      <c r="D21" s="202" t="s">
        <v>523</v>
      </c>
      <c r="E21">
        <v>8</v>
      </c>
      <c r="F21" t="s">
        <v>37</v>
      </c>
      <c r="G21" s="202">
        <v>20</v>
      </c>
      <c r="L21" s="202">
        <v>1</v>
      </c>
      <c r="M21" s="202" t="s">
        <v>334</v>
      </c>
      <c r="N21" s="202" t="s">
        <v>33</v>
      </c>
      <c r="O21" s="300" t="s">
        <v>214</v>
      </c>
      <c r="P21" s="202" t="s">
        <v>33</v>
      </c>
      <c r="Q21" t="s">
        <v>37</v>
      </c>
      <c r="T21">
        <v>1952</v>
      </c>
      <c r="U21" s="7">
        <v>3</v>
      </c>
      <c r="V21" t="s">
        <v>613</v>
      </c>
      <c r="W21" s="257" t="s">
        <v>614</v>
      </c>
      <c r="X21" t="s">
        <v>615</v>
      </c>
      <c r="Y21" s="316" t="s">
        <v>434</v>
      </c>
      <c r="Z21" s="8">
        <v>2</v>
      </c>
      <c r="AA21" s="202" t="str">
        <f t="shared" si="0"/>
        <v>Мука пшеничная 1 с</v>
      </c>
      <c r="AC21" t="s">
        <v>1204</v>
      </c>
      <c r="AD21" t="s">
        <v>575</v>
      </c>
      <c r="AE21" t="s">
        <v>1491</v>
      </c>
      <c r="AJ21" s="237" t="s">
        <v>377</v>
      </c>
      <c r="AQ21" t="s">
        <v>720</v>
      </c>
      <c r="AT21" t="s">
        <v>901</v>
      </c>
      <c r="AV21" t="s">
        <v>1024</v>
      </c>
      <c r="AW21" t="s">
        <v>1045</v>
      </c>
      <c r="AY21" t="s">
        <v>56</v>
      </c>
      <c r="BA21" t="s">
        <v>1322</v>
      </c>
      <c r="BC21" t="s">
        <v>1127</v>
      </c>
    </row>
    <row r="22" spans="1:56" ht="15" customHeight="1" x14ac:dyDescent="0.25">
      <c r="A22" t="s">
        <v>153</v>
      </c>
      <c r="B22" s="202">
        <v>3</v>
      </c>
      <c r="C22" s="202" t="s">
        <v>42</v>
      </c>
      <c r="D22" s="202" t="s">
        <v>45</v>
      </c>
      <c r="E22">
        <v>1</v>
      </c>
      <c r="F22" t="s">
        <v>37</v>
      </c>
      <c r="G22" s="202">
        <v>21</v>
      </c>
      <c r="L22" s="202">
        <v>1</v>
      </c>
      <c r="M22" s="202" t="s">
        <v>334</v>
      </c>
      <c r="N22" s="202" t="s">
        <v>33</v>
      </c>
      <c r="O22" s="300" t="s">
        <v>213</v>
      </c>
      <c r="P22" s="202" t="s">
        <v>33</v>
      </c>
      <c r="Q22" t="s">
        <v>37</v>
      </c>
      <c r="T22">
        <v>1953</v>
      </c>
      <c r="U22" s="7">
        <v>3</v>
      </c>
      <c r="V22" t="s">
        <v>613</v>
      </c>
      <c r="W22" s="257" t="s">
        <v>614</v>
      </c>
      <c r="X22" t="s">
        <v>615</v>
      </c>
      <c r="Y22" s="316" t="s">
        <v>49</v>
      </c>
      <c r="Z22" s="8">
        <v>2.5</v>
      </c>
      <c r="AA22" s="202" t="str">
        <f t="shared" si="0"/>
        <v>Чеснок</v>
      </c>
      <c r="AC22" t="s">
        <v>1204</v>
      </c>
      <c r="AD22" t="s">
        <v>1312</v>
      </c>
      <c r="AE22" t="s">
        <v>1491</v>
      </c>
      <c r="AG22" s="237" t="s">
        <v>358</v>
      </c>
      <c r="AQ22" t="s">
        <v>722</v>
      </c>
      <c r="AT22" t="s">
        <v>903</v>
      </c>
      <c r="AV22" t="s">
        <v>156</v>
      </c>
      <c r="AW22" t="s">
        <v>1047</v>
      </c>
      <c r="AY22" t="s">
        <v>141</v>
      </c>
      <c r="BA22" t="s">
        <v>590</v>
      </c>
      <c r="BC22" t="s">
        <v>1129</v>
      </c>
    </row>
    <row r="23" spans="1:56" ht="15" customHeight="1" x14ac:dyDescent="0.25">
      <c r="A23" t="s">
        <v>153</v>
      </c>
      <c r="B23" s="202">
        <v>3</v>
      </c>
      <c r="C23" s="202" t="s">
        <v>42</v>
      </c>
      <c r="D23" s="202" t="s">
        <v>490</v>
      </c>
      <c r="E23">
        <v>2</v>
      </c>
      <c r="F23" t="s">
        <v>37</v>
      </c>
      <c r="G23" s="202">
        <v>22</v>
      </c>
      <c r="L23" s="202">
        <v>1</v>
      </c>
      <c r="M23" s="202" t="s">
        <v>334</v>
      </c>
      <c r="N23" s="202" t="s">
        <v>33</v>
      </c>
      <c r="O23" s="300" t="s">
        <v>33</v>
      </c>
      <c r="P23" s="202" t="s">
        <v>33</v>
      </c>
      <c r="Q23" t="s">
        <v>37</v>
      </c>
      <c r="T23">
        <v>1954</v>
      </c>
      <c r="U23" s="7">
        <v>3</v>
      </c>
      <c r="V23" t="s">
        <v>613</v>
      </c>
      <c r="W23" s="257" t="s">
        <v>614</v>
      </c>
      <c r="X23" t="s">
        <v>615</v>
      </c>
      <c r="Y23" s="316" t="s">
        <v>326</v>
      </c>
      <c r="Z23" s="8">
        <v>2</v>
      </c>
      <c r="AA23" s="202" t="str">
        <f t="shared" si="0"/>
        <v>Соль</v>
      </c>
      <c r="AC23" t="s">
        <v>1204</v>
      </c>
      <c r="AD23" t="s">
        <v>577</v>
      </c>
      <c r="AE23" t="s">
        <v>1491</v>
      </c>
      <c r="AG23" s="237"/>
      <c r="AQ23" t="s">
        <v>724</v>
      </c>
      <c r="AT23" t="s">
        <v>905</v>
      </c>
      <c r="AV23" t="s">
        <v>1027</v>
      </c>
      <c r="AW23" t="s">
        <v>1049</v>
      </c>
      <c r="AY23" t="s">
        <v>50</v>
      </c>
      <c r="BA23" t="s">
        <v>1324</v>
      </c>
      <c r="BC23" t="s">
        <v>1130</v>
      </c>
    </row>
    <row r="24" spans="1:56" ht="15" customHeight="1" x14ac:dyDescent="0.25">
      <c r="A24" t="s">
        <v>153</v>
      </c>
      <c r="B24" s="202">
        <v>3</v>
      </c>
      <c r="C24" s="202" t="s">
        <v>42</v>
      </c>
      <c r="D24" s="202" t="s">
        <v>46</v>
      </c>
      <c r="E24">
        <v>3</v>
      </c>
      <c r="F24" t="s">
        <v>37</v>
      </c>
      <c r="G24" s="202">
        <v>23</v>
      </c>
      <c r="L24" s="202">
        <v>1</v>
      </c>
      <c r="M24" s="202" t="s">
        <v>334</v>
      </c>
      <c r="N24" s="202" t="s">
        <v>27</v>
      </c>
      <c r="O24" s="300" t="s">
        <v>428</v>
      </c>
      <c r="P24" s="202" t="s">
        <v>31</v>
      </c>
      <c r="Q24" t="s">
        <v>37</v>
      </c>
      <c r="T24">
        <v>1955</v>
      </c>
      <c r="U24" s="7">
        <v>3</v>
      </c>
      <c r="V24" t="s">
        <v>613</v>
      </c>
      <c r="W24" s="257" t="s">
        <v>614</v>
      </c>
      <c r="X24" t="s">
        <v>615</v>
      </c>
      <c r="Y24" s="316" t="s">
        <v>74</v>
      </c>
      <c r="Z24" s="8">
        <v>0.02</v>
      </c>
      <c r="AA24" s="202" t="str">
        <f t="shared" si="0"/>
        <v>Лавровый лист</v>
      </c>
      <c r="AC24" t="s">
        <v>1204</v>
      </c>
      <c r="AD24" t="s">
        <v>1314</v>
      </c>
      <c r="AE24" t="s">
        <v>1491</v>
      </c>
      <c r="AG24" s="237" t="s">
        <v>359</v>
      </c>
      <c r="AQ24" t="s">
        <v>726</v>
      </c>
      <c r="AT24" t="s">
        <v>907</v>
      </c>
      <c r="AV24" t="s">
        <v>1029</v>
      </c>
      <c r="AW24" t="s">
        <v>1051</v>
      </c>
      <c r="BA24" t="s">
        <v>1256</v>
      </c>
      <c r="BC24" t="s">
        <v>1132</v>
      </c>
    </row>
    <row r="25" spans="1:56" ht="15" customHeight="1" x14ac:dyDescent="0.25">
      <c r="A25" t="s">
        <v>153</v>
      </c>
      <c r="B25" s="202">
        <v>3</v>
      </c>
      <c r="C25" s="202" t="s">
        <v>42</v>
      </c>
      <c r="D25" s="202" t="s">
        <v>32</v>
      </c>
      <c r="E25">
        <v>4</v>
      </c>
      <c r="F25" t="s">
        <v>37</v>
      </c>
      <c r="G25" s="202">
        <v>24</v>
      </c>
      <c r="L25" s="202">
        <v>1</v>
      </c>
      <c r="M25" s="202" t="s">
        <v>334</v>
      </c>
      <c r="N25" s="202" t="s">
        <v>27</v>
      </c>
      <c r="O25" s="300" t="s">
        <v>431</v>
      </c>
      <c r="P25" s="202" t="s">
        <v>27</v>
      </c>
      <c r="Q25" t="s">
        <v>37</v>
      </c>
      <c r="T25">
        <v>1956</v>
      </c>
      <c r="U25" s="7">
        <v>3</v>
      </c>
      <c r="V25" t="s">
        <v>613</v>
      </c>
      <c r="W25" s="257" t="s">
        <v>614</v>
      </c>
      <c r="X25" t="s">
        <v>615</v>
      </c>
      <c r="Y25" s="316" t="s">
        <v>484</v>
      </c>
      <c r="Z25" s="8">
        <v>0.01</v>
      </c>
      <c r="AA25" s="202" t="str">
        <f t="shared" si="0"/>
        <v>Перец черный</v>
      </c>
      <c r="AC25" t="s">
        <v>1204</v>
      </c>
      <c r="AD25" t="s">
        <v>1251</v>
      </c>
      <c r="AE25" t="s">
        <v>1491</v>
      </c>
      <c r="AG25" s="237" t="s">
        <v>360</v>
      </c>
      <c r="AQ25" t="s">
        <v>732</v>
      </c>
      <c r="AW25" t="s">
        <v>1053</v>
      </c>
      <c r="BA25" t="s">
        <v>1257</v>
      </c>
      <c r="BC25" t="s">
        <v>1363</v>
      </c>
    </row>
    <row r="26" spans="1:56" ht="15" customHeight="1" x14ac:dyDescent="0.25">
      <c r="A26" t="s">
        <v>153</v>
      </c>
      <c r="B26" s="202">
        <v>3</v>
      </c>
      <c r="C26" s="202" t="s">
        <v>42</v>
      </c>
      <c r="D26" s="202" t="s">
        <v>446</v>
      </c>
      <c r="E26">
        <v>5</v>
      </c>
      <c r="F26" t="s">
        <v>37</v>
      </c>
      <c r="G26" s="202">
        <v>25</v>
      </c>
      <c r="L26" s="202">
        <v>1</v>
      </c>
      <c r="M26" s="202" t="s">
        <v>334</v>
      </c>
      <c r="N26" s="202" t="s">
        <v>27</v>
      </c>
      <c r="O26" s="300" t="s">
        <v>209</v>
      </c>
      <c r="P26" s="202" t="s">
        <v>27</v>
      </c>
      <c r="Q26" t="s">
        <v>37</v>
      </c>
      <c r="T26">
        <v>1957</v>
      </c>
      <c r="U26" s="7">
        <v>3</v>
      </c>
      <c r="V26" t="s">
        <v>613</v>
      </c>
      <c r="W26" s="257" t="s">
        <v>614</v>
      </c>
      <c r="X26" t="s">
        <v>615</v>
      </c>
      <c r="Y26" s="316" t="s">
        <v>558</v>
      </c>
      <c r="Z26" s="8">
        <v>256</v>
      </c>
      <c r="AA26" s="202" t="str">
        <f t="shared" si="0"/>
        <v>Общая масса готового блюда, г</v>
      </c>
      <c r="AC26" t="s">
        <v>1204</v>
      </c>
      <c r="AD26" t="s">
        <v>1252</v>
      </c>
      <c r="AE26" t="s">
        <v>1491</v>
      </c>
      <c r="AG26" s="237" t="s">
        <v>361</v>
      </c>
      <c r="AQ26" t="s">
        <v>734</v>
      </c>
      <c r="AW26" t="s">
        <v>1055</v>
      </c>
      <c r="BA26" t="s">
        <v>593</v>
      </c>
      <c r="BC26" t="s">
        <v>1134</v>
      </c>
    </row>
    <row r="27" spans="1:56" ht="15" customHeight="1" x14ac:dyDescent="0.25">
      <c r="A27" t="s">
        <v>153</v>
      </c>
      <c r="B27" s="202">
        <v>3</v>
      </c>
      <c r="C27" s="202" t="s">
        <v>42</v>
      </c>
      <c r="D27" s="202" t="s">
        <v>448</v>
      </c>
      <c r="E27">
        <v>6</v>
      </c>
      <c r="F27" t="s">
        <v>37</v>
      </c>
      <c r="G27" s="202">
        <v>26</v>
      </c>
      <c r="L27" s="202">
        <v>1</v>
      </c>
      <c r="M27" s="202" t="s">
        <v>334</v>
      </c>
      <c r="N27" s="202" t="s">
        <v>27</v>
      </c>
      <c r="O27" s="300" t="s">
        <v>432</v>
      </c>
      <c r="P27" s="202" t="s">
        <v>27</v>
      </c>
      <c r="Q27" t="s">
        <v>37</v>
      </c>
      <c r="T27">
        <v>1957</v>
      </c>
      <c r="U27" s="7">
        <v>3</v>
      </c>
      <c r="V27" t="s">
        <v>613</v>
      </c>
      <c r="W27" s="257" t="s">
        <v>614</v>
      </c>
      <c r="X27" t="s">
        <v>615</v>
      </c>
      <c r="Y27" s="316" t="s">
        <v>1214</v>
      </c>
      <c r="Z27" s="8">
        <v>47</v>
      </c>
      <c r="AA27" s="202" t="str">
        <f t="shared" si="0"/>
        <v>Масса мясных и рыбных порций, г</v>
      </c>
      <c r="AC27" t="s">
        <v>1204</v>
      </c>
      <c r="AD27" t="s">
        <v>1316</v>
      </c>
      <c r="AE27" t="s">
        <v>1491</v>
      </c>
      <c r="AG27" s="237" t="s">
        <v>362</v>
      </c>
      <c r="AQ27" t="s">
        <v>748</v>
      </c>
      <c r="AW27" t="s">
        <v>1057</v>
      </c>
      <c r="BA27" t="s">
        <v>595</v>
      </c>
      <c r="BC27" t="s">
        <v>1136</v>
      </c>
    </row>
    <row r="28" spans="1:56" ht="15" customHeight="1" x14ac:dyDescent="0.25">
      <c r="A28" t="s">
        <v>153</v>
      </c>
      <c r="B28" s="202">
        <v>3</v>
      </c>
      <c r="C28" s="202" t="s">
        <v>42</v>
      </c>
      <c r="D28" s="202" t="s">
        <v>48</v>
      </c>
      <c r="E28">
        <v>7</v>
      </c>
      <c r="F28" t="s">
        <v>37</v>
      </c>
      <c r="G28" s="202">
        <v>27</v>
      </c>
      <c r="L28" s="202">
        <v>1</v>
      </c>
      <c r="M28" s="202" t="s">
        <v>334</v>
      </c>
      <c r="N28" s="202" t="s">
        <v>27</v>
      </c>
      <c r="O28" s="300" t="s">
        <v>27</v>
      </c>
      <c r="P28" s="202" t="s">
        <v>27</v>
      </c>
      <c r="Q28" t="s">
        <v>37</v>
      </c>
      <c r="T28">
        <v>1936</v>
      </c>
      <c r="U28" s="7">
        <v>3</v>
      </c>
      <c r="V28" t="s">
        <v>613</v>
      </c>
      <c r="W28" s="257" t="s">
        <v>616</v>
      </c>
      <c r="X28" t="s">
        <v>617</v>
      </c>
      <c r="Y28" s="316" t="s">
        <v>455</v>
      </c>
      <c r="Z28" s="8">
        <v>100</v>
      </c>
      <c r="AA28" s="202" t="str">
        <f t="shared" si="0"/>
        <v>Говядина н/к</v>
      </c>
      <c r="AC28" t="s">
        <v>1204</v>
      </c>
      <c r="AD28" t="s">
        <v>1263</v>
      </c>
      <c r="AE28" t="s">
        <v>1491</v>
      </c>
      <c r="AG28" s="237" t="s">
        <v>363</v>
      </c>
      <c r="AQ28" t="s">
        <v>750</v>
      </c>
      <c r="BA28" t="s">
        <v>1265</v>
      </c>
      <c r="BC28" t="s">
        <v>1144</v>
      </c>
    </row>
    <row r="29" spans="1:56" ht="15" customHeight="1" x14ac:dyDescent="0.25">
      <c r="A29" t="s">
        <v>153</v>
      </c>
      <c r="B29" s="202">
        <v>3</v>
      </c>
      <c r="C29" s="202" t="s">
        <v>42</v>
      </c>
      <c r="D29" s="202" t="s">
        <v>325</v>
      </c>
      <c r="E29">
        <v>8</v>
      </c>
      <c r="F29" t="s">
        <v>37</v>
      </c>
      <c r="G29" s="202">
        <v>28</v>
      </c>
      <c r="L29" s="202">
        <v>1</v>
      </c>
      <c r="M29" s="202" t="s">
        <v>334</v>
      </c>
      <c r="N29" s="202" t="s">
        <v>318</v>
      </c>
      <c r="O29" s="300" t="s">
        <v>217</v>
      </c>
      <c r="P29" s="202" t="s">
        <v>318</v>
      </c>
      <c r="Q29" t="s">
        <v>37</v>
      </c>
      <c r="T29">
        <v>1937</v>
      </c>
      <c r="U29" s="7">
        <v>3</v>
      </c>
      <c r="V29" t="s">
        <v>613</v>
      </c>
      <c r="W29" s="257" t="s">
        <v>616</v>
      </c>
      <c r="X29" t="s">
        <v>617</v>
      </c>
      <c r="Y29" s="316" t="s">
        <v>61</v>
      </c>
      <c r="Z29" s="8">
        <v>5</v>
      </c>
      <c r="AA29" s="202" t="str">
        <f t="shared" si="0"/>
        <v>Масло растительное</v>
      </c>
      <c r="AC29" t="s">
        <v>1204</v>
      </c>
      <c r="AD29" t="s">
        <v>1264</v>
      </c>
      <c r="AE29" t="s">
        <v>1491</v>
      </c>
      <c r="AG29" s="237" t="s">
        <v>364</v>
      </c>
      <c r="AQ29" t="s">
        <v>756</v>
      </c>
      <c r="BA29" t="s">
        <v>1266</v>
      </c>
    </row>
    <row r="30" spans="1:56" ht="15" customHeight="1" x14ac:dyDescent="0.25">
      <c r="A30" t="s">
        <v>153</v>
      </c>
      <c r="B30" s="202">
        <v>3</v>
      </c>
      <c r="C30" s="202" t="s">
        <v>42</v>
      </c>
      <c r="D30" s="202" t="s">
        <v>328</v>
      </c>
      <c r="E30">
        <v>9</v>
      </c>
      <c r="F30" t="s">
        <v>37</v>
      </c>
      <c r="G30" s="202">
        <v>29</v>
      </c>
      <c r="L30" s="202">
        <v>1</v>
      </c>
      <c r="M30" s="202" t="s">
        <v>334</v>
      </c>
      <c r="N30" s="202" t="s">
        <v>318</v>
      </c>
      <c r="O30" s="300" t="s">
        <v>318</v>
      </c>
      <c r="P30" s="202" t="s">
        <v>318</v>
      </c>
      <c r="Q30" t="s">
        <v>37</v>
      </c>
      <c r="T30">
        <v>1938</v>
      </c>
      <c r="U30" s="7">
        <v>3</v>
      </c>
      <c r="V30" t="s">
        <v>613</v>
      </c>
      <c r="W30" s="257" t="s">
        <v>616</v>
      </c>
      <c r="X30" t="s">
        <v>617</v>
      </c>
      <c r="Y30" s="316" t="s">
        <v>32</v>
      </c>
      <c r="Z30" s="8">
        <v>10</v>
      </c>
      <c r="AA30" s="202" t="str">
        <f t="shared" si="0"/>
        <v>Лук репчатый</v>
      </c>
      <c r="AC30" t="s">
        <v>1204</v>
      </c>
      <c r="AD30" t="s">
        <v>581</v>
      </c>
      <c r="AE30" t="s">
        <v>1491</v>
      </c>
      <c r="AG30" s="237" t="s">
        <v>101</v>
      </c>
      <c r="AH30" s="237" t="s">
        <v>378</v>
      </c>
      <c r="AQ30" t="s">
        <v>758</v>
      </c>
      <c r="BA30" t="s">
        <v>597</v>
      </c>
    </row>
    <row r="31" spans="1:56" ht="15" customHeight="1" x14ac:dyDescent="0.25">
      <c r="A31" t="s">
        <v>153</v>
      </c>
      <c r="B31" s="202">
        <v>3</v>
      </c>
      <c r="C31" s="202" t="s">
        <v>42</v>
      </c>
      <c r="D31" s="202" t="s">
        <v>329</v>
      </c>
      <c r="E31">
        <v>10</v>
      </c>
      <c r="F31" t="s">
        <v>37</v>
      </c>
      <c r="G31" s="202">
        <v>30</v>
      </c>
      <c r="L31" s="202">
        <v>1</v>
      </c>
      <c r="M31" s="202" t="s">
        <v>334</v>
      </c>
      <c r="N31" s="202" t="s">
        <v>318</v>
      </c>
      <c r="O31" s="300" t="s">
        <v>433</v>
      </c>
      <c r="P31" s="202" t="s">
        <v>318</v>
      </c>
      <c r="Q31" t="s">
        <v>37</v>
      </c>
      <c r="T31">
        <v>1939</v>
      </c>
      <c r="U31" s="7">
        <v>3</v>
      </c>
      <c r="V31" t="s">
        <v>613</v>
      </c>
      <c r="W31" s="257" t="s">
        <v>616</v>
      </c>
      <c r="X31" t="s">
        <v>617</v>
      </c>
      <c r="Y31" s="316" t="s">
        <v>445</v>
      </c>
      <c r="Z31" s="8">
        <v>30</v>
      </c>
      <c r="AA31" s="202" t="str">
        <f t="shared" si="0"/>
        <v>Огурцы консерв.</v>
      </c>
      <c r="AC31" t="s">
        <v>1204</v>
      </c>
      <c r="AD31" t="s">
        <v>1255</v>
      </c>
      <c r="AE31" t="s">
        <v>1491</v>
      </c>
      <c r="AH31" s="237" t="s">
        <v>366</v>
      </c>
      <c r="AQ31" t="s">
        <v>763</v>
      </c>
      <c r="BA31" t="s">
        <v>1326</v>
      </c>
    </row>
    <row r="32" spans="1:56" ht="15" customHeight="1" x14ac:dyDescent="0.25">
      <c r="A32" t="s">
        <v>153</v>
      </c>
      <c r="B32" s="202">
        <v>3</v>
      </c>
      <c r="C32" s="202" t="s">
        <v>42</v>
      </c>
      <c r="D32" s="202" t="s">
        <v>322</v>
      </c>
      <c r="E32">
        <v>11</v>
      </c>
      <c r="F32" t="s">
        <v>37</v>
      </c>
      <c r="G32" s="202">
        <v>31</v>
      </c>
      <c r="L32" s="202">
        <v>1</v>
      </c>
      <c r="M32" s="202" t="s">
        <v>334</v>
      </c>
      <c r="N32" s="202" t="s">
        <v>40</v>
      </c>
      <c r="O32" s="300" t="s">
        <v>215</v>
      </c>
      <c r="P32" s="202" t="s">
        <v>40</v>
      </c>
      <c r="Q32" t="s">
        <v>37</v>
      </c>
      <c r="T32">
        <v>1940</v>
      </c>
      <c r="U32" s="7">
        <v>3</v>
      </c>
      <c r="V32" t="s">
        <v>613</v>
      </c>
      <c r="W32" s="257" t="s">
        <v>616</v>
      </c>
      <c r="X32" t="s">
        <v>617</v>
      </c>
      <c r="Y32" s="316" t="s">
        <v>76</v>
      </c>
      <c r="Z32" s="8">
        <v>2</v>
      </c>
      <c r="AA32" s="202" t="str">
        <f t="shared" si="0"/>
        <v>Томат-паста</v>
      </c>
      <c r="AC32" t="s">
        <v>1204</v>
      </c>
      <c r="AD32" t="s">
        <v>1254</v>
      </c>
      <c r="AE32" t="s">
        <v>1491</v>
      </c>
      <c r="AH32" s="237" t="s">
        <v>367</v>
      </c>
      <c r="AQ32" t="s">
        <v>950</v>
      </c>
      <c r="BA32" t="s">
        <v>599</v>
      </c>
    </row>
    <row r="33" spans="1:53" ht="15" customHeight="1" x14ac:dyDescent="0.25">
      <c r="A33" t="s">
        <v>153</v>
      </c>
      <c r="B33" s="202">
        <v>3</v>
      </c>
      <c r="C33" s="202" t="s">
        <v>42</v>
      </c>
      <c r="D33" s="202" t="s">
        <v>70</v>
      </c>
      <c r="E33">
        <v>12</v>
      </c>
      <c r="F33" t="s">
        <v>37</v>
      </c>
      <c r="G33" s="202">
        <v>32</v>
      </c>
      <c r="L33" s="202">
        <v>1</v>
      </c>
      <c r="M33" s="202" t="s">
        <v>334</v>
      </c>
      <c r="N33" s="202" t="s">
        <v>40</v>
      </c>
      <c r="O33" s="300" t="s">
        <v>40</v>
      </c>
      <c r="P33" s="202" t="s">
        <v>40</v>
      </c>
      <c r="Q33" t="s">
        <v>37</v>
      </c>
      <c r="T33">
        <v>1941</v>
      </c>
      <c r="U33" s="7">
        <v>3</v>
      </c>
      <c r="V33" t="s">
        <v>613</v>
      </c>
      <c r="W33" s="257" t="s">
        <v>616</v>
      </c>
      <c r="X33" t="s">
        <v>617</v>
      </c>
      <c r="Y33" s="316" t="s">
        <v>434</v>
      </c>
      <c r="Z33" s="8">
        <v>2</v>
      </c>
      <c r="AA33" s="202" t="str">
        <f t="shared" si="0"/>
        <v>Мука пшеничная 1 с</v>
      </c>
      <c r="AC33" t="s">
        <v>1204</v>
      </c>
      <c r="AD33" t="s">
        <v>1253</v>
      </c>
      <c r="AE33" t="s">
        <v>1491</v>
      </c>
      <c r="AH33" s="237" t="s">
        <v>370</v>
      </c>
      <c r="AQ33" t="s">
        <v>952</v>
      </c>
      <c r="BA33" t="s">
        <v>1327</v>
      </c>
    </row>
    <row r="34" spans="1:53" ht="15" customHeight="1" x14ac:dyDescent="0.25">
      <c r="A34" t="s">
        <v>153</v>
      </c>
      <c r="B34" s="202">
        <v>3</v>
      </c>
      <c r="C34" s="202" t="s">
        <v>42</v>
      </c>
      <c r="D34" s="202" t="s">
        <v>442</v>
      </c>
      <c r="E34">
        <v>13</v>
      </c>
      <c r="F34" t="s">
        <v>37</v>
      </c>
      <c r="G34" s="202">
        <v>33</v>
      </c>
      <c r="L34" s="202">
        <v>2</v>
      </c>
      <c r="M34" s="202" t="s">
        <v>41</v>
      </c>
      <c r="N34" s="202" t="s">
        <v>41</v>
      </c>
      <c r="O34" s="300" t="s">
        <v>218</v>
      </c>
      <c r="P34" s="202" t="s">
        <v>41</v>
      </c>
      <c r="Q34" t="s">
        <v>37</v>
      </c>
      <c r="T34">
        <v>1942</v>
      </c>
      <c r="U34" s="7">
        <v>3</v>
      </c>
      <c r="V34" t="s">
        <v>613</v>
      </c>
      <c r="W34" s="257" t="s">
        <v>616</v>
      </c>
      <c r="X34" t="s">
        <v>617</v>
      </c>
      <c r="Y34" s="316" t="s">
        <v>49</v>
      </c>
      <c r="Z34" s="8">
        <v>2.5</v>
      </c>
      <c r="AA34" s="202" t="str">
        <f t="shared" si="0"/>
        <v>Чеснок</v>
      </c>
      <c r="AC34" t="s">
        <v>1204</v>
      </c>
      <c r="AD34" t="s">
        <v>584</v>
      </c>
      <c r="AE34" t="s">
        <v>1491</v>
      </c>
      <c r="AH34" s="237" t="s">
        <v>368</v>
      </c>
      <c r="BA34" t="s">
        <v>1258</v>
      </c>
    </row>
    <row r="35" spans="1:53" ht="15" customHeight="1" x14ac:dyDescent="0.25">
      <c r="A35" t="s">
        <v>153</v>
      </c>
      <c r="B35" s="202">
        <v>3</v>
      </c>
      <c r="C35" s="202" t="s">
        <v>42</v>
      </c>
      <c r="D35" s="202" t="s">
        <v>500</v>
      </c>
      <c r="E35">
        <v>14</v>
      </c>
      <c r="F35" t="s">
        <v>37</v>
      </c>
      <c r="G35" s="202">
        <v>34</v>
      </c>
      <c r="L35" s="202">
        <v>2</v>
      </c>
      <c r="M35" s="202" t="s">
        <v>41</v>
      </c>
      <c r="N35" s="202" t="s">
        <v>41</v>
      </c>
      <c r="O35" s="300" t="s">
        <v>41</v>
      </c>
      <c r="P35" s="202" t="s">
        <v>41</v>
      </c>
      <c r="Q35" t="s">
        <v>37</v>
      </c>
      <c r="T35">
        <v>1943</v>
      </c>
      <c r="U35" s="7">
        <v>3</v>
      </c>
      <c r="V35" t="s">
        <v>613</v>
      </c>
      <c r="W35" s="257" t="s">
        <v>616</v>
      </c>
      <c r="X35" t="s">
        <v>617</v>
      </c>
      <c r="Y35" s="316" t="s">
        <v>326</v>
      </c>
      <c r="Z35" s="8">
        <v>2</v>
      </c>
      <c r="AA35" s="202" t="str">
        <f t="shared" si="0"/>
        <v>Соль</v>
      </c>
      <c r="AC35" t="s">
        <v>1204</v>
      </c>
      <c r="AD35" t="s">
        <v>1318</v>
      </c>
      <c r="AE35" t="s">
        <v>1491</v>
      </c>
      <c r="AH35" s="237" t="s">
        <v>369</v>
      </c>
      <c r="BA35" t="s">
        <v>1259</v>
      </c>
    </row>
    <row r="36" spans="1:53" ht="15" customHeight="1" x14ac:dyDescent="0.25">
      <c r="A36" t="s">
        <v>153</v>
      </c>
      <c r="B36" s="202">
        <v>3</v>
      </c>
      <c r="C36" s="202" t="s">
        <v>42</v>
      </c>
      <c r="D36" s="202" t="s">
        <v>49</v>
      </c>
      <c r="E36">
        <v>15</v>
      </c>
      <c r="F36" t="s">
        <v>37</v>
      </c>
      <c r="G36" s="202">
        <v>35</v>
      </c>
      <c r="L36" s="202">
        <v>3</v>
      </c>
      <c r="M36" s="202" t="s">
        <v>42</v>
      </c>
      <c r="N36" s="202" t="s">
        <v>329</v>
      </c>
      <c r="O36" s="300" t="s">
        <v>329</v>
      </c>
      <c r="P36" s="202" t="s">
        <v>329</v>
      </c>
      <c r="Q36" t="s">
        <v>37</v>
      </c>
      <c r="T36">
        <v>1944</v>
      </c>
      <c r="U36" s="7">
        <v>3</v>
      </c>
      <c r="V36" t="s">
        <v>613</v>
      </c>
      <c r="W36" s="257" t="s">
        <v>616</v>
      </c>
      <c r="X36" t="s">
        <v>617</v>
      </c>
      <c r="Y36" s="316" t="s">
        <v>74</v>
      </c>
      <c r="Z36" s="8">
        <v>0.02</v>
      </c>
      <c r="AA36" s="202" t="str">
        <f t="shared" si="0"/>
        <v>Лавровый лист</v>
      </c>
      <c r="AC36" t="s">
        <v>1204</v>
      </c>
      <c r="AD36" t="s">
        <v>586</v>
      </c>
      <c r="AE36" t="s">
        <v>1491</v>
      </c>
      <c r="AI36" s="237" t="s">
        <v>379</v>
      </c>
      <c r="BA36" t="s">
        <v>1260</v>
      </c>
    </row>
    <row r="37" spans="1:53" ht="15" customHeight="1" x14ac:dyDescent="0.25">
      <c r="A37" t="s">
        <v>153</v>
      </c>
      <c r="B37" s="202">
        <v>3</v>
      </c>
      <c r="C37" s="202" t="s">
        <v>42</v>
      </c>
      <c r="D37" s="202" t="s">
        <v>495</v>
      </c>
      <c r="E37">
        <v>16</v>
      </c>
      <c r="F37" t="s">
        <v>37</v>
      </c>
      <c r="G37" s="202">
        <v>36</v>
      </c>
      <c r="L37" s="202">
        <v>3</v>
      </c>
      <c r="M37" s="202" t="s">
        <v>42</v>
      </c>
      <c r="N37" s="202" t="s">
        <v>329</v>
      </c>
      <c r="O37" s="300" t="s">
        <v>284</v>
      </c>
      <c r="P37" s="202" t="s">
        <v>329</v>
      </c>
      <c r="Q37" t="s">
        <v>37</v>
      </c>
      <c r="T37">
        <v>1945</v>
      </c>
      <c r="U37" s="7">
        <v>3</v>
      </c>
      <c r="V37" t="s">
        <v>613</v>
      </c>
      <c r="W37" s="257" t="s">
        <v>616</v>
      </c>
      <c r="X37" t="s">
        <v>617</v>
      </c>
      <c r="Y37" s="316" t="s">
        <v>484</v>
      </c>
      <c r="Z37" s="8">
        <v>0.01</v>
      </c>
      <c r="AA37" s="202" t="str">
        <f t="shared" si="0"/>
        <v>Перец черный</v>
      </c>
      <c r="AC37" t="s">
        <v>1204</v>
      </c>
      <c r="AD37" t="s">
        <v>1320</v>
      </c>
      <c r="AE37" t="s">
        <v>1491</v>
      </c>
      <c r="AI37" s="237" t="s">
        <v>380</v>
      </c>
      <c r="BA37" t="s">
        <v>603</v>
      </c>
    </row>
    <row r="38" spans="1:53" ht="15" customHeight="1" x14ac:dyDescent="0.25">
      <c r="A38" t="s">
        <v>153</v>
      </c>
      <c r="B38" s="202">
        <v>3</v>
      </c>
      <c r="C38" s="202" t="s">
        <v>42</v>
      </c>
      <c r="D38" s="202" t="s">
        <v>497</v>
      </c>
      <c r="E38">
        <v>17</v>
      </c>
      <c r="F38" t="s">
        <v>37</v>
      </c>
      <c r="G38" s="202">
        <v>37</v>
      </c>
      <c r="L38" s="202">
        <v>3</v>
      </c>
      <c r="M38" s="202" t="s">
        <v>42</v>
      </c>
      <c r="N38" s="202" t="s">
        <v>495</v>
      </c>
      <c r="O38" s="300" t="s">
        <v>439</v>
      </c>
      <c r="P38" s="202" t="s">
        <v>495</v>
      </c>
      <c r="Q38" t="s">
        <v>37</v>
      </c>
      <c r="T38">
        <v>1946</v>
      </c>
      <c r="U38" s="7">
        <v>3</v>
      </c>
      <c r="V38" t="s">
        <v>613</v>
      </c>
      <c r="W38" s="257" t="s">
        <v>616</v>
      </c>
      <c r="X38" t="s">
        <v>617</v>
      </c>
      <c r="Y38" s="316" t="s">
        <v>558</v>
      </c>
      <c r="Z38" s="8">
        <v>256</v>
      </c>
      <c r="AA38" s="202" t="str">
        <f t="shared" si="0"/>
        <v>Общая масса готового блюда, г</v>
      </c>
      <c r="AC38" t="s">
        <v>1204</v>
      </c>
      <c r="AD38" t="s">
        <v>588</v>
      </c>
      <c r="AE38" t="s">
        <v>1491</v>
      </c>
      <c r="AH38" s="237" t="s">
        <v>365</v>
      </c>
      <c r="BA38" t="s">
        <v>167</v>
      </c>
    </row>
    <row r="39" spans="1:53" ht="15" customHeight="1" x14ac:dyDescent="0.25">
      <c r="A39" t="s">
        <v>153</v>
      </c>
      <c r="B39" s="202">
        <v>3</v>
      </c>
      <c r="C39" s="202" t="s">
        <v>42</v>
      </c>
      <c r="D39" s="202" t="s">
        <v>501</v>
      </c>
      <c r="E39">
        <v>18</v>
      </c>
      <c r="F39" t="s">
        <v>37</v>
      </c>
      <c r="G39" s="202">
        <v>38</v>
      </c>
      <c r="H39" s="202"/>
      <c r="L39" s="202">
        <v>3</v>
      </c>
      <c r="M39" s="202" t="s">
        <v>42</v>
      </c>
      <c r="N39" s="202" t="s">
        <v>495</v>
      </c>
      <c r="O39" s="300" t="s">
        <v>495</v>
      </c>
      <c r="P39" s="202" t="s">
        <v>495</v>
      </c>
      <c r="Q39" t="s">
        <v>37</v>
      </c>
      <c r="T39">
        <v>1946</v>
      </c>
      <c r="U39" s="7">
        <v>3</v>
      </c>
      <c r="V39" t="s">
        <v>613</v>
      </c>
      <c r="W39" s="257" t="s">
        <v>616</v>
      </c>
      <c r="X39" t="s">
        <v>617</v>
      </c>
      <c r="Y39" s="316" t="s">
        <v>1214</v>
      </c>
      <c r="Z39" s="8">
        <v>47</v>
      </c>
      <c r="AA39" s="202" t="str">
        <f t="shared" si="0"/>
        <v>Масса мясных и рыбных порций, г</v>
      </c>
      <c r="AC39" t="s">
        <v>1204</v>
      </c>
      <c r="AD39" t="s">
        <v>1322</v>
      </c>
      <c r="AE39" t="s">
        <v>1491</v>
      </c>
      <c r="AG39" s="237" t="s">
        <v>384</v>
      </c>
      <c r="BA39" t="s">
        <v>606</v>
      </c>
    </row>
    <row r="40" spans="1:53" ht="15" customHeight="1" x14ac:dyDescent="0.25">
      <c r="A40" t="s">
        <v>153</v>
      </c>
      <c r="B40" s="202">
        <v>3</v>
      </c>
      <c r="C40" s="202" t="s">
        <v>42</v>
      </c>
      <c r="D40" s="202" t="s">
        <v>498</v>
      </c>
      <c r="E40">
        <v>19</v>
      </c>
      <c r="F40" t="s">
        <v>37</v>
      </c>
      <c r="G40" s="202">
        <v>39</v>
      </c>
      <c r="L40" s="202">
        <v>3</v>
      </c>
      <c r="M40" s="202" t="s">
        <v>42</v>
      </c>
      <c r="N40" s="202" t="s">
        <v>495</v>
      </c>
      <c r="O40" s="300" t="s">
        <v>43</v>
      </c>
      <c r="P40" s="202" t="s">
        <v>495</v>
      </c>
      <c r="Q40" t="s">
        <v>37</v>
      </c>
      <c r="T40">
        <v>2465</v>
      </c>
      <c r="U40" s="7">
        <v>3</v>
      </c>
      <c r="V40" t="s">
        <v>613</v>
      </c>
      <c r="W40" s="257" t="s">
        <v>618</v>
      </c>
      <c r="X40" t="s">
        <v>619</v>
      </c>
      <c r="Y40" t="s">
        <v>454</v>
      </c>
      <c r="Z40" s="8">
        <v>75</v>
      </c>
      <c r="AA40" s="202" t="str">
        <f t="shared" si="0"/>
        <v>Говядина б/к</v>
      </c>
      <c r="AC40" t="s">
        <v>1204</v>
      </c>
      <c r="AD40" t="s">
        <v>590</v>
      </c>
      <c r="AE40" t="s">
        <v>1491</v>
      </c>
      <c r="AG40" s="237" t="s">
        <v>385</v>
      </c>
      <c r="BA40" t="s">
        <v>1267</v>
      </c>
    </row>
    <row r="41" spans="1:53" ht="15" customHeight="1" x14ac:dyDescent="0.25">
      <c r="A41" t="s">
        <v>153</v>
      </c>
      <c r="B41" s="202">
        <v>3</v>
      </c>
      <c r="C41" s="202" t="s">
        <v>42</v>
      </c>
      <c r="D41" s="202" t="s">
        <v>496</v>
      </c>
      <c r="E41">
        <v>20</v>
      </c>
      <c r="F41" t="s">
        <v>37</v>
      </c>
      <c r="G41" s="202">
        <v>40</v>
      </c>
      <c r="L41" s="202">
        <v>3</v>
      </c>
      <c r="M41" s="202" t="s">
        <v>42</v>
      </c>
      <c r="N41" s="202" t="s">
        <v>495</v>
      </c>
      <c r="O41" s="300" t="s">
        <v>440</v>
      </c>
      <c r="P41" s="202" t="s">
        <v>495</v>
      </c>
      <c r="Q41" t="s">
        <v>37</v>
      </c>
      <c r="T41">
        <v>2465</v>
      </c>
      <c r="U41" s="7">
        <v>3</v>
      </c>
      <c r="V41" t="s">
        <v>613</v>
      </c>
      <c r="W41" s="257" t="s">
        <v>618</v>
      </c>
      <c r="X41" t="s">
        <v>619</v>
      </c>
      <c r="Y41" s="316" t="s">
        <v>484</v>
      </c>
      <c r="Z41" s="8">
        <v>1</v>
      </c>
      <c r="AA41" s="202" t="str">
        <f t="shared" si="0"/>
        <v>Перец черный</v>
      </c>
      <c r="AC41" t="s">
        <v>1204</v>
      </c>
      <c r="AD41" t="s">
        <v>1324</v>
      </c>
      <c r="AE41" t="s">
        <v>1491</v>
      </c>
      <c r="AG41" s="237" t="s">
        <v>386</v>
      </c>
      <c r="BA41" t="s">
        <v>1268</v>
      </c>
    </row>
    <row r="42" spans="1:53" ht="15" customHeight="1" x14ac:dyDescent="0.25">
      <c r="A42" t="s">
        <v>153</v>
      </c>
      <c r="B42" s="202">
        <v>3</v>
      </c>
      <c r="C42" s="202" t="s">
        <v>42</v>
      </c>
      <c r="D42" s="202" t="s">
        <v>499</v>
      </c>
      <c r="E42">
        <v>21</v>
      </c>
      <c r="F42" t="s">
        <v>37</v>
      </c>
      <c r="G42" s="202">
        <v>41</v>
      </c>
      <c r="L42" s="202">
        <v>3</v>
      </c>
      <c r="M42" s="202" t="s">
        <v>42</v>
      </c>
      <c r="N42" s="202" t="s">
        <v>495</v>
      </c>
      <c r="O42" s="300" t="s">
        <v>289</v>
      </c>
      <c r="P42" s="202" t="s">
        <v>495</v>
      </c>
      <c r="Q42" t="s">
        <v>37</v>
      </c>
      <c r="T42">
        <v>2465</v>
      </c>
      <c r="U42" s="7">
        <v>3</v>
      </c>
      <c r="V42" t="s">
        <v>613</v>
      </c>
      <c r="W42" s="257" t="s">
        <v>618</v>
      </c>
      <c r="X42" t="s">
        <v>619</v>
      </c>
      <c r="Y42" s="316" t="s">
        <v>326</v>
      </c>
      <c r="Z42" s="8">
        <v>2</v>
      </c>
      <c r="AA42" s="202" t="str">
        <f t="shared" si="0"/>
        <v>Соль</v>
      </c>
      <c r="AC42" t="s">
        <v>1204</v>
      </c>
      <c r="AD42" t="s">
        <v>1256</v>
      </c>
      <c r="AE42" t="s">
        <v>1491</v>
      </c>
      <c r="AG42" s="237"/>
    </row>
    <row r="43" spans="1:53" ht="15" customHeight="1" x14ac:dyDescent="0.25">
      <c r="A43" t="s">
        <v>153</v>
      </c>
      <c r="B43" s="202">
        <v>3</v>
      </c>
      <c r="C43" s="202" t="s">
        <v>42</v>
      </c>
      <c r="D43" s="202" t="s">
        <v>332</v>
      </c>
      <c r="E43">
        <v>22</v>
      </c>
      <c r="F43" t="s">
        <v>37</v>
      </c>
      <c r="G43" s="202">
        <v>42</v>
      </c>
      <c r="H43" s="202"/>
      <c r="L43" s="202">
        <v>3</v>
      </c>
      <c r="M43" s="202" t="s">
        <v>42</v>
      </c>
      <c r="N43" s="202" t="s">
        <v>70</v>
      </c>
      <c r="O43" s="300" t="s">
        <v>70</v>
      </c>
      <c r="P43" s="202" t="s">
        <v>70</v>
      </c>
      <c r="Q43" t="s">
        <v>37</v>
      </c>
      <c r="T43">
        <v>2465</v>
      </c>
      <c r="U43" s="7">
        <v>3</v>
      </c>
      <c r="V43" t="s">
        <v>613</v>
      </c>
      <c r="W43" s="257" t="s">
        <v>618</v>
      </c>
      <c r="X43" t="s">
        <v>619</v>
      </c>
      <c r="Y43" s="316" t="s">
        <v>61</v>
      </c>
      <c r="Z43" s="8">
        <v>5</v>
      </c>
      <c r="AA43" s="202" t="str">
        <f t="shared" si="0"/>
        <v>Масло растительное</v>
      </c>
      <c r="AC43" t="s">
        <v>1204</v>
      </c>
      <c r="AD43" t="s">
        <v>1257</v>
      </c>
      <c r="AE43" t="s">
        <v>1491</v>
      </c>
      <c r="AG43" s="237" t="s">
        <v>387</v>
      </c>
    </row>
    <row r="44" spans="1:53" ht="15" customHeight="1" x14ac:dyDescent="0.25">
      <c r="A44" t="s">
        <v>153</v>
      </c>
      <c r="B44" s="202">
        <v>3</v>
      </c>
      <c r="C44" s="202" t="s">
        <v>42</v>
      </c>
      <c r="D44" s="202" t="s">
        <v>331</v>
      </c>
      <c r="E44">
        <v>23</v>
      </c>
      <c r="F44" t="s">
        <v>37</v>
      </c>
      <c r="G44" s="202">
        <v>43</v>
      </c>
      <c r="H44" s="202"/>
      <c r="L44" s="202">
        <v>3</v>
      </c>
      <c r="M44" s="202" t="s">
        <v>42</v>
      </c>
      <c r="N44" s="202" t="s">
        <v>70</v>
      </c>
      <c r="O44" s="300" t="s">
        <v>279</v>
      </c>
      <c r="P44" s="202" t="s">
        <v>70</v>
      </c>
      <c r="Q44" t="s">
        <v>37</v>
      </c>
      <c r="T44">
        <v>2465</v>
      </c>
      <c r="U44" s="7">
        <v>3</v>
      </c>
      <c r="V44" t="s">
        <v>613</v>
      </c>
      <c r="W44" s="257" t="s">
        <v>618</v>
      </c>
      <c r="X44" t="s">
        <v>619</v>
      </c>
      <c r="Y44" s="316" t="s">
        <v>558</v>
      </c>
      <c r="Z44" s="8">
        <v>47</v>
      </c>
      <c r="AA44" s="202" t="str">
        <f t="shared" si="0"/>
        <v>Общая масса готового блюда, г</v>
      </c>
      <c r="AC44" t="s">
        <v>1204</v>
      </c>
      <c r="AD44" t="s">
        <v>593</v>
      </c>
      <c r="AE44" t="s">
        <v>1491</v>
      </c>
      <c r="AG44" s="237" t="s">
        <v>388</v>
      </c>
    </row>
    <row r="45" spans="1:53" ht="15" customHeight="1" x14ac:dyDescent="0.25">
      <c r="A45" t="s">
        <v>153</v>
      </c>
      <c r="B45" s="202">
        <v>3</v>
      </c>
      <c r="C45" s="202" t="s">
        <v>42</v>
      </c>
      <c r="D45" s="202" t="s">
        <v>333</v>
      </c>
      <c r="E45">
        <v>24</v>
      </c>
      <c r="F45" t="s">
        <v>37</v>
      </c>
      <c r="G45" s="202">
        <v>44</v>
      </c>
      <c r="L45" s="202">
        <v>3</v>
      </c>
      <c r="M45" s="202" t="s">
        <v>42</v>
      </c>
      <c r="N45" s="202" t="s">
        <v>322</v>
      </c>
      <c r="O45" s="300" t="s">
        <v>322</v>
      </c>
      <c r="P45" s="202" t="s">
        <v>322</v>
      </c>
      <c r="Q45" t="s">
        <v>37</v>
      </c>
      <c r="T45">
        <v>2465</v>
      </c>
      <c r="U45" s="7">
        <v>3</v>
      </c>
      <c r="V45" t="s">
        <v>613</v>
      </c>
      <c r="W45" s="257" t="s">
        <v>618</v>
      </c>
      <c r="X45" t="s">
        <v>619</v>
      </c>
      <c r="Y45" s="316" t="s">
        <v>1214</v>
      </c>
      <c r="Z45" s="8">
        <v>47</v>
      </c>
      <c r="AA45" s="202" t="str">
        <f t="shared" si="0"/>
        <v>Масса мясных и рыбных порций, г</v>
      </c>
      <c r="AC45" t="s">
        <v>1204</v>
      </c>
      <c r="AD45" t="s">
        <v>595</v>
      </c>
      <c r="AE45" t="s">
        <v>1491</v>
      </c>
      <c r="AG45" s="237"/>
    </row>
    <row r="46" spans="1:53" ht="15" customHeight="1" x14ac:dyDescent="0.25">
      <c r="A46" t="s">
        <v>153</v>
      </c>
      <c r="B46" s="202">
        <v>3</v>
      </c>
      <c r="C46" s="202" t="s">
        <v>42</v>
      </c>
      <c r="D46" s="202" t="s">
        <v>409</v>
      </c>
      <c r="E46">
        <v>25</v>
      </c>
      <c r="F46" t="s">
        <v>37</v>
      </c>
      <c r="G46" s="202">
        <v>45</v>
      </c>
      <c r="L46" s="202">
        <v>3</v>
      </c>
      <c r="M46" s="202" t="s">
        <v>42</v>
      </c>
      <c r="N46" s="202" t="s">
        <v>322</v>
      </c>
      <c r="O46" s="300" t="s">
        <v>283</v>
      </c>
      <c r="P46" s="202" t="s">
        <v>322</v>
      </c>
      <c r="Q46" t="s">
        <v>37</v>
      </c>
      <c r="T46">
        <v>2465</v>
      </c>
      <c r="U46" s="7">
        <v>3</v>
      </c>
      <c r="V46" t="s">
        <v>613</v>
      </c>
      <c r="W46" s="257" t="s">
        <v>618</v>
      </c>
      <c r="X46" t="s">
        <v>620</v>
      </c>
      <c r="Y46" t="s">
        <v>455</v>
      </c>
      <c r="Z46" s="8">
        <v>100</v>
      </c>
      <c r="AA46" s="202" t="str">
        <f t="shared" si="0"/>
        <v>Говядина н/к</v>
      </c>
      <c r="AC46" t="s">
        <v>1204</v>
      </c>
      <c r="AD46" t="s">
        <v>1265</v>
      </c>
      <c r="AE46" t="s">
        <v>1491</v>
      </c>
      <c r="AG46" s="237" t="s">
        <v>389</v>
      </c>
    </row>
    <row r="47" spans="1:53" ht="15" customHeight="1" x14ac:dyDescent="0.25">
      <c r="A47" t="s">
        <v>153</v>
      </c>
      <c r="B47" s="202">
        <v>3</v>
      </c>
      <c r="C47" s="202" t="s">
        <v>42</v>
      </c>
      <c r="D47" s="202" t="s">
        <v>492</v>
      </c>
      <c r="E47">
        <v>26</v>
      </c>
      <c r="F47" t="s">
        <v>37</v>
      </c>
      <c r="G47" s="202">
        <v>46</v>
      </c>
      <c r="L47" s="202">
        <v>3</v>
      </c>
      <c r="M47" s="202" t="s">
        <v>42</v>
      </c>
      <c r="N47" s="202" t="s">
        <v>333</v>
      </c>
      <c r="O47" s="300" t="s">
        <v>333</v>
      </c>
      <c r="P47" s="202" t="s">
        <v>333</v>
      </c>
      <c r="Q47" t="s">
        <v>37</v>
      </c>
      <c r="T47">
        <v>2465</v>
      </c>
      <c r="U47" s="7">
        <v>3</v>
      </c>
      <c r="V47" t="s">
        <v>613</v>
      </c>
      <c r="W47" s="257" t="s">
        <v>618</v>
      </c>
      <c r="X47" t="s">
        <v>620</v>
      </c>
      <c r="Y47" s="316" t="s">
        <v>484</v>
      </c>
      <c r="Z47" s="8">
        <v>1</v>
      </c>
      <c r="AA47" s="202" t="str">
        <f t="shared" si="0"/>
        <v>Перец черный</v>
      </c>
      <c r="AC47" t="s">
        <v>1204</v>
      </c>
      <c r="AD47" t="s">
        <v>1266</v>
      </c>
      <c r="AE47" t="s">
        <v>1491</v>
      </c>
      <c r="AG47" t="s">
        <v>390</v>
      </c>
    </row>
    <row r="48" spans="1:53" ht="15" customHeight="1" x14ac:dyDescent="0.25">
      <c r="A48" t="s">
        <v>153</v>
      </c>
      <c r="B48" s="202">
        <v>3</v>
      </c>
      <c r="C48" s="202" t="s">
        <v>42</v>
      </c>
      <c r="D48" s="202" t="s">
        <v>493</v>
      </c>
      <c r="E48">
        <v>27</v>
      </c>
      <c r="F48" t="s">
        <v>37</v>
      </c>
      <c r="G48" s="202">
        <v>47</v>
      </c>
      <c r="L48" s="202">
        <v>3</v>
      </c>
      <c r="M48" s="202" t="s">
        <v>42</v>
      </c>
      <c r="N48" s="202" t="s">
        <v>333</v>
      </c>
      <c r="O48" s="300" t="s">
        <v>275</v>
      </c>
      <c r="P48" s="202" t="s">
        <v>333</v>
      </c>
      <c r="Q48" t="s">
        <v>37</v>
      </c>
      <c r="T48">
        <v>2465</v>
      </c>
      <c r="U48" s="7">
        <v>3</v>
      </c>
      <c r="V48" t="s">
        <v>613</v>
      </c>
      <c r="W48" s="257" t="s">
        <v>618</v>
      </c>
      <c r="X48" t="s">
        <v>620</v>
      </c>
      <c r="Y48" s="316" t="s">
        <v>326</v>
      </c>
      <c r="Z48" s="8">
        <v>2</v>
      </c>
      <c r="AA48" s="202" t="str">
        <f t="shared" si="0"/>
        <v>Соль</v>
      </c>
      <c r="AC48" t="s">
        <v>1204</v>
      </c>
      <c r="AD48" t="s">
        <v>597</v>
      </c>
      <c r="AE48" t="s">
        <v>1491</v>
      </c>
      <c r="AG48" s="237" t="s">
        <v>371</v>
      </c>
    </row>
    <row r="49" spans="1:52" ht="15" customHeight="1" x14ac:dyDescent="0.25">
      <c r="A49" t="s">
        <v>153</v>
      </c>
      <c r="B49" s="202">
        <v>4</v>
      </c>
      <c r="C49" s="202" t="s">
        <v>149</v>
      </c>
      <c r="D49" s="202" t="s">
        <v>52</v>
      </c>
      <c r="E49">
        <v>1</v>
      </c>
      <c r="F49" t="s">
        <v>540</v>
      </c>
      <c r="G49" s="202">
        <v>48</v>
      </c>
      <c r="L49" s="202">
        <v>3</v>
      </c>
      <c r="M49" s="202" t="s">
        <v>42</v>
      </c>
      <c r="N49" s="202" t="s">
        <v>496</v>
      </c>
      <c r="O49" s="300" t="s">
        <v>44</v>
      </c>
      <c r="P49" s="202" t="s">
        <v>496</v>
      </c>
      <c r="Q49" t="s">
        <v>37</v>
      </c>
      <c r="T49">
        <v>2465</v>
      </c>
      <c r="U49" s="7">
        <v>3</v>
      </c>
      <c r="V49" t="s">
        <v>613</v>
      </c>
      <c r="W49" s="257" t="s">
        <v>618</v>
      </c>
      <c r="X49" t="s">
        <v>620</v>
      </c>
      <c r="Y49" s="316" t="s">
        <v>61</v>
      </c>
      <c r="Z49" s="8">
        <v>5</v>
      </c>
      <c r="AA49" s="202" t="str">
        <f t="shared" si="0"/>
        <v>Масло растительное</v>
      </c>
      <c r="AC49" t="s">
        <v>1204</v>
      </c>
      <c r="AD49" t="s">
        <v>1326</v>
      </c>
      <c r="AE49" t="s">
        <v>1491</v>
      </c>
      <c r="AG49" s="237" t="s">
        <v>391</v>
      </c>
    </row>
    <row r="50" spans="1:52" ht="15" customHeight="1" x14ac:dyDescent="0.25">
      <c r="A50" t="s">
        <v>153</v>
      </c>
      <c r="B50" s="202">
        <v>4</v>
      </c>
      <c r="C50" s="202" t="s">
        <v>149</v>
      </c>
      <c r="D50" s="202" t="s">
        <v>71</v>
      </c>
      <c r="E50">
        <v>2</v>
      </c>
      <c r="F50" t="s">
        <v>540</v>
      </c>
      <c r="G50" s="202">
        <v>49</v>
      </c>
      <c r="L50" s="202">
        <v>3</v>
      </c>
      <c r="M50" s="202" t="s">
        <v>42</v>
      </c>
      <c r="N50" s="202" t="s">
        <v>496</v>
      </c>
      <c r="O50" s="300" t="s">
        <v>489</v>
      </c>
      <c r="P50" s="202" t="s">
        <v>496</v>
      </c>
      <c r="Q50" t="s">
        <v>37</v>
      </c>
      <c r="T50">
        <v>2465</v>
      </c>
      <c r="U50" s="7">
        <v>3</v>
      </c>
      <c r="V50" t="s">
        <v>613</v>
      </c>
      <c r="W50" s="257" t="s">
        <v>618</v>
      </c>
      <c r="X50" t="s">
        <v>620</v>
      </c>
      <c r="Y50" s="316" t="s">
        <v>558</v>
      </c>
      <c r="Z50" s="8">
        <v>47</v>
      </c>
      <c r="AA50" s="202" t="str">
        <f t="shared" si="0"/>
        <v>Общая масса готового блюда, г</v>
      </c>
      <c r="AC50" t="s">
        <v>1204</v>
      </c>
      <c r="AD50" t="s">
        <v>599</v>
      </c>
      <c r="AE50" t="s">
        <v>1491</v>
      </c>
      <c r="AG50" s="237" t="s">
        <v>392</v>
      </c>
    </row>
    <row r="51" spans="1:52" ht="15" customHeight="1" x14ac:dyDescent="0.25">
      <c r="A51" t="s">
        <v>153</v>
      </c>
      <c r="B51" s="202">
        <v>4</v>
      </c>
      <c r="C51" s="202" t="s">
        <v>149</v>
      </c>
      <c r="D51" s="202" t="s">
        <v>320</v>
      </c>
      <c r="E51">
        <v>3</v>
      </c>
      <c r="F51" t="s">
        <v>37</v>
      </c>
      <c r="G51" s="202">
        <v>50</v>
      </c>
      <c r="L51" s="202">
        <v>3</v>
      </c>
      <c r="M51" s="202" t="s">
        <v>42</v>
      </c>
      <c r="N51" s="202" t="s">
        <v>496</v>
      </c>
      <c r="O51" s="300" t="s">
        <v>496</v>
      </c>
      <c r="P51" s="202" t="s">
        <v>496</v>
      </c>
      <c r="Q51" t="s">
        <v>37</v>
      </c>
      <c r="T51">
        <v>2465</v>
      </c>
      <c r="U51" s="7">
        <v>3</v>
      </c>
      <c r="V51" t="s">
        <v>613</v>
      </c>
      <c r="W51" s="257" t="s">
        <v>618</v>
      </c>
      <c r="X51" t="s">
        <v>620</v>
      </c>
      <c r="Y51" s="316" t="s">
        <v>1214</v>
      </c>
      <c r="Z51" s="8">
        <v>47</v>
      </c>
      <c r="AA51" s="202" t="str">
        <f t="shared" si="0"/>
        <v>Масса мясных и рыбных порций, г</v>
      </c>
      <c r="AC51" t="s">
        <v>1204</v>
      </c>
      <c r="AD51" t="s">
        <v>1327</v>
      </c>
      <c r="AE51" t="s">
        <v>1491</v>
      </c>
      <c r="AG51" s="237" t="s">
        <v>381</v>
      </c>
    </row>
    <row r="52" spans="1:52" ht="15" customHeight="1" x14ac:dyDescent="0.25">
      <c r="A52" t="s">
        <v>153</v>
      </c>
      <c r="B52" s="202">
        <v>4</v>
      </c>
      <c r="C52" s="202" t="s">
        <v>149</v>
      </c>
      <c r="D52" s="202" t="s">
        <v>56</v>
      </c>
      <c r="E52">
        <v>4</v>
      </c>
      <c r="F52" t="s">
        <v>37</v>
      </c>
      <c r="G52" s="202">
        <v>51</v>
      </c>
      <c r="L52" s="202">
        <v>3</v>
      </c>
      <c r="M52" s="202" t="s">
        <v>42</v>
      </c>
      <c r="N52" s="202" t="s">
        <v>496</v>
      </c>
      <c r="O52" s="300" t="s">
        <v>443</v>
      </c>
      <c r="P52" s="202" t="s">
        <v>496</v>
      </c>
      <c r="Q52" t="s">
        <v>37</v>
      </c>
      <c r="T52">
        <v>1812</v>
      </c>
      <c r="U52" s="7">
        <v>3</v>
      </c>
      <c r="V52" t="s">
        <v>613</v>
      </c>
      <c r="W52" s="257" t="s">
        <v>621</v>
      </c>
      <c r="X52" t="s">
        <v>622</v>
      </c>
      <c r="Y52" s="316" t="s">
        <v>454</v>
      </c>
      <c r="Z52" s="8">
        <v>75</v>
      </c>
      <c r="AA52" s="202" t="str">
        <f t="shared" si="0"/>
        <v>Говядина б/к</v>
      </c>
      <c r="AC52" t="s">
        <v>1204</v>
      </c>
      <c r="AD52" t="s">
        <v>1258</v>
      </c>
      <c r="AE52" t="s">
        <v>1491</v>
      </c>
      <c r="AG52" s="237" t="s">
        <v>372</v>
      </c>
    </row>
    <row r="53" spans="1:52" ht="15" customHeight="1" x14ac:dyDescent="0.25">
      <c r="A53" t="s">
        <v>153</v>
      </c>
      <c r="B53" s="202">
        <v>4</v>
      </c>
      <c r="C53" s="202" t="s">
        <v>149</v>
      </c>
      <c r="D53" s="202" t="s">
        <v>412</v>
      </c>
      <c r="E53">
        <v>5</v>
      </c>
      <c r="F53" t="s">
        <v>37</v>
      </c>
      <c r="G53" s="202">
        <v>52</v>
      </c>
      <c r="L53" s="202">
        <v>3</v>
      </c>
      <c r="M53" s="202" t="s">
        <v>42</v>
      </c>
      <c r="N53" s="202" t="s">
        <v>496</v>
      </c>
      <c r="O53" s="300" t="s">
        <v>337</v>
      </c>
      <c r="P53" s="202" t="s">
        <v>496</v>
      </c>
      <c r="Q53" t="s">
        <v>37</v>
      </c>
      <c r="T53">
        <v>1813</v>
      </c>
      <c r="U53" s="7">
        <v>3</v>
      </c>
      <c r="V53" t="s">
        <v>613</v>
      </c>
      <c r="W53" s="257" t="s">
        <v>621</v>
      </c>
      <c r="X53" t="s">
        <v>622</v>
      </c>
      <c r="Y53" s="316" t="s">
        <v>434</v>
      </c>
      <c r="Z53" s="8">
        <v>2</v>
      </c>
      <c r="AA53" s="202" t="str">
        <f t="shared" si="0"/>
        <v>Мука пшеничная 1 с</v>
      </c>
      <c r="AC53" t="s">
        <v>1204</v>
      </c>
      <c r="AD53" t="s">
        <v>1259</v>
      </c>
      <c r="AE53" t="s">
        <v>1491</v>
      </c>
      <c r="AG53" s="237" t="s">
        <v>393</v>
      </c>
    </row>
    <row r="54" spans="1:52" ht="15" customHeight="1" x14ac:dyDescent="0.25">
      <c r="A54" t="s">
        <v>153</v>
      </c>
      <c r="B54" s="202">
        <v>4</v>
      </c>
      <c r="C54" s="202" t="s">
        <v>149</v>
      </c>
      <c r="D54" s="202" t="s">
        <v>54</v>
      </c>
      <c r="E54">
        <v>6</v>
      </c>
      <c r="F54" t="s">
        <v>37</v>
      </c>
      <c r="G54" s="202">
        <v>53</v>
      </c>
      <c r="L54" s="202">
        <v>3</v>
      </c>
      <c r="M54" s="202" t="s">
        <v>42</v>
      </c>
      <c r="N54" s="202" t="s">
        <v>496</v>
      </c>
      <c r="O54" s="300" t="s">
        <v>268</v>
      </c>
      <c r="P54" s="202" t="s">
        <v>496</v>
      </c>
      <c r="Q54" t="s">
        <v>37</v>
      </c>
      <c r="T54">
        <v>1814</v>
      </c>
      <c r="U54" s="7">
        <v>3</v>
      </c>
      <c r="V54" t="s">
        <v>613</v>
      </c>
      <c r="W54" s="257" t="s">
        <v>621</v>
      </c>
      <c r="X54" t="s">
        <v>622</v>
      </c>
      <c r="Y54" s="316" t="s">
        <v>32</v>
      </c>
      <c r="Z54" s="8">
        <v>10</v>
      </c>
      <c r="AA54" s="202" t="str">
        <f t="shared" si="0"/>
        <v>Лук репчатый</v>
      </c>
      <c r="AC54" t="s">
        <v>1204</v>
      </c>
      <c r="AD54" t="s">
        <v>1260</v>
      </c>
      <c r="AE54" t="s">
        <v>1491</v>
      </c>
      <c r="AG54" s="237" t="s">
        <v>394</v>
      </c>
    </row>
    <row r="55" spans="1:52" ht="15" customHeight="1" x14ac:dyDescent="0.25">
      <c r="A55" t="s">
        <v>153</v>
      </c>
      <c r="B55" s="202">
        <v>4</v>
      </c>
      <c r="C55" s="202" t="s">
        <v>149</v>
      </c>
      <c r="D55" s="202" t="s">
        <v>321</v>
      </c>
      <c r="E55">
        <v>7</v>
      </c>
      <c r="F55" t="s">
        <v>37</v>
      </c>
      <c r="G55" s="202">
        <v>54</v>
      </c>
      <c r="L55" s="202">
        <v>3</v>
      </c>
      <c r="M55" s="202" t="s">
        <v>42</v>
      </c>
      <c r="N55" s="202" t="s">
        <v>496</v>
      </c>
      <c r="O55" s="300" t="s">
        <v>269</v>
      </c>
      <c r="P55" s="202" t="s">
        <v>496</v>
      </c>
      <c r="Q55" t="s">
        <v>37</v>
      </c>
      <c r="T55">
        <v>1815</v>
      </c>
      <c r="U55" s="7">
        <v>3</v>
      </c>
      <c r="V55" t="s">
        <v>613</v>
      </c>
      <c r="W55" s="257" t="s">
        <v>621</v>
      </c>
      <c r="X55" t="s">
        <v>622</v>
      </c>
      <c r="Y55" s="316" t="s">
        <v>61</v>
      </c>
      <c r="Z55" s="8">
        <v>5</v>
      </c>
      <c r="AA55" s="202" t="str">
        <f t="shared" si="0"/>
        <v>Масло растительное</v>
      </c>
      <c r="AC55" t="s">
        <v>1204</v>
      </c>
      <c r="AD55" t="s">
        <v>603</v>
      </c>
      <c r="AE55" t="s">
        <v>1491</v>
      </c>
      <c r="AG55" t="s">
        <v>371</v>
      </c>
    </row>
    <row r="56" spans="1:52" ht="15" customHeight="1" x14ac:dyDescent="0.25">
      <c r="A56" t="s">
        <v>153</v>
      </c>
      <c r="B56" s="202">
        <v>4</v>
      </c>
      <c r="C56" s="202" t="s">
        <v>149</v>
      </c>
      <c r="D56" s="202" t="s">
        <v>524</v>
      </c>
      <c r="E56">
        <v>8</v>
      </c>
      <c r="F56" t="s">
        <v>37</v>
      </c>
      <c r="G56" s="202">
        <v>55</v>
      </c>
      <c r="L56" s="202">
        <v>3</v>
      </c>
      <c r="M56" s="202" t="s">
        <v>42</v>
      </c>
      <c r="N56" s="202" t="s">
        <v>490</v>
      </c>
      <c r="O56" s="300" t="s">
        <v>490</v>
      </c>
      <c r="P56" s="202" t="s">
        <v>490</v>
      </c>
      <c r="Q56" t="s">
        <v>37</v>
      </c>
      <c r="T56">
        <v>1816</v>
      </c>
      <c r="U56" s="7">
        <v>3</v>
      </c>
      <c r="V56" t="s">
        <v>613</v>
      </c>
      <c r="W56" s="257" t="s">
        <v>621</v>
      </c>
      <c r="X56" t="s">
        <v>622</v>
      </c>
      <c r="Y56" s="316" t="s">
        <v>54</v>
      </c>
      <c r="Z56" s="8">
        <v>10</v>
      </c>
      <c r="AA56" s="202" t="str">
        <f t="shared" si="0"/>
        <v>Сметана</v>
      </c>
      <c r="AC56" t="s">
        <v>1204</v>
      </c>
      <c r="AD56" t="s">
        <v>167</v>
      </c>
      <c r="AE56" t="s">
        <v>1491</v>
      </c>
    </row>
    <row r="57" spans="1:52" ht="15" customHeight="1" x14ac:dyDescent="0.25">
      <c r="A57" t="s">
        <v>153</v>
      </c>
      <c r="B57" s="202">
        <v>4</v>
      </c>
      <c r="C57" s="202" t="s">
        <v>149</v>
      </c>
      <c r="D57" s="202" t="s">
        <v>525</v>
      </c>
      <c r="E57">
        <v>9</v>
      </c>
      <c r="F57" t="s">
        <v>37</v>
      </c>
      <c r="G57" s="202">
        <v>56</v>
      </c>
      <c r="L57" s="202">
        <v>3</v>
      </c>
      <c r="M57" s="202" t="s">
        <v>42</v>
      </c>
      <c r="N57" s="202" t="s">
        <v>490</v>
      </c>
      <c r="O57" s="300" t="s">
        <v>267</v>
      </c>
      <c r="P57" s="202" t="s">
        <v>490</v>
      </c>
      <c r="Q57" t="s">
        <v>37</v>
      </c>
      <c r="T57">
        <v>1817</v>
      </c>
      <c r="U57" s="7">
        <v>3</v>
      </c>
      <c r="V57" t="s">
        <v>613</v>
      </c>
      <c r="W57" s="257" t="s">
        <v>621</v>
      </c>
      <c r="X57" t="s">
        <v>622</v>
      </c>
      <c r="Y57" s="316" t="s">
        <v>76</v>
      </c>
      <c r="Z57" s="8">
        <v>2</v>
      </c>
      <c r="AA57" s="202" t="str">
        <f t="shared" si="0"/>
        <v>Томат-паста</v>
      </c>
      <c r="AC57" t="s">
        <v>1204</v>
      </c>
      <c r="AD57" t="s">
        <v>606</v>
      </c>
      <c r="AE57" t="s">
        <v>1491</v>
      </c>
      <c r="AF57" s="773"/>
      <c r="AG57" s="778" t="s">
        <v>1452</v>
      </c>
      <c r="AH57" s="774"/>
      <c r="AI57" s="774"/>
      <c r="AJ57" s="774"/>
      <c r="AK57" s="774"/>
      <c r="AL57" s="774"/>
      <c r="AM57" s="774"/>
      <c r="AN57" s="774"/>
      <c r="AO57" s="775"/>
    </row>
    <row r="58" spans="1:52" ht="15" customHeight="1" x14ac:dyDescent="0.25">
      <c r="A58" t="s">
        <v>153</v>
      </c>
      <c r="B58" s="202">
        <v>5</v>
      </c>
      <c r="C58" s="202" t="s">
        <v>58</v>
      </c>
      <c r="D58" s="202" t="s">
        <v>60</v>
      </c>
      <c r="E58">
        <v>1</v>
      </c>
      <c r="F58" t="s">
        <v>37</v>
      </c>
      <c r="G58" s="202">
        <v>57</v>
      </c>
      <c r="L58" s="202">
        <v>3</v>
      </c>
      <c r="M58" s="202" t="s">
        <v>42</v>
      </c>
      <c r="N58" s="202" t="s">
        <v>45</v>
      </c>
      <c r="O58" s="300" t="s">
        <v>45</v>
      </c>
      <c r="P58" s="202" t="s">
        <v>45</v>
      </c>
      <c r="Q58" t="s">
        <v>37</v>
      </c>
      <c r="T58">
        <v>1818</v>
      </c>
      <c r="U58" s="7">
        <v>3</v>
      </c>
      <c r="V58" t="s">
        <v>613</v>
      </c>
      <c r="W58" s="257" t="s">
        <v>621</v>
      </c>
      <c r="X58" t="s">
        <v>622</v>
      </c>
      <c r="Y58" s="316" t="s">
        <v>484</v>
      </c>
      <c r="Z58" s="8">
        <v>0.01</v>
      </c>
      <c r="AA58" s="202" t="str">
        <f t="shared" si="0"/>
        <v>Перец черный</v>
      </c>
      <c r="AC58" t="s">
        <v>1204</v>
      </c>
      <c r="AD58" t="s">
        <v>1267</v>
      </c>
      <c r="AE58" t="s">
        <v>1491</v>
      </c>
      <c r="AF58" s="776"/>
      <c r="AG58" s="116" t="s">
        <v>1438</v>
      </c>
      <c r="AH58" s="116"/>
      <c r="AI58" s="116"/>
      <c r="AJ58" s="116"/>
      <c r="AK58" s="116"/>
      <c r="AL58" s="116"/>
      <c r="AM58" s="116"/>
      <c r="AN58" s="116" t="s">
        <v>1439</v>
      </c>
      <c r="AO58" s="777"/>
    </row>
    <row r="59" spans="1:52" ht="15" customHeight="1" x14ac:dyDescent="0.25">
      <c r="A59" t="s">
        <v>153</v>
      </c>
      <c r="B59" s="202">
        <v>5</v>
      </c>
      <c r="C59" s="202" t="s">
        <v>58</v>
      </c>
      <c r="D59" s="202" t="s">
        <v>61</v>
      </c>
      <c r="E59">
        <v>2</v>
      </c>
      <c r="F59" t="s">
        <v>540</v>
      </c>
      <c r="G59" s="202">
        <v>58</v>
      </c>
      <c r="L59" s="202">
        <v>3</v>
      </c>
      <c r="M59" s="202" t="s">
        <v>42</v>
      </c>
      <c r="N59" s="202" t="s">
        <v>45</v>
      </c>
      <c r="O59" s="300" t="s">
        <v>266</v>
      </c>
      <c r="P59" s="202" t="s">
        <v>45</v>
      </c>
      <c r="Q59" t="s">
        <v>37</v>
      </c>
      <c r="T59">
        <v>1819</v>
      </c>
      <c r="U59" s="7">
        <v>3</v>
      </c>
      <c r="V59" t="s">
        <v>613</v>
      </c>
      <c r="W59" s="257" t="s">
        <v>621</v>
      </c>
      <c r="X59" t="s">
        <v>622</v>
      </c>
      <c r="Y59" s="316" t="s">
        <v>1214</v>
      </c>
      <c r="Z59" s="8">
        <v>46</v>
      </c>
      <c r="AA59" s="202" t="str">
        <f t="shared" si="0"/>
        <v>Масса мясных и рыбных порций, г</v>
      </c>
      <c r="AC59" t="s">
        <v>1204</v>
      </c>
      <c r="AD59" t="s">
        <v>1268</v>
      </c>
      <c r="AE59" t="s">
        <v>1491</v>
      </c>
      <c r="AF59" s="776"/>
      <c r="AG59" s="116" t="s">
        <v>11</v>
      </c>
      <c r="AH59" s="116"/>
      <c r="AI59" s="116"/>
      <c r="AJ59" s="116"/>
      <c r="AK59" s="116">
        <v>25</v>
      </c>
      <c r="AL59" s="116"/>
      <c r="AM59" s="116"/>
      <c r="AN59" s="116">
        <v>375</v>
      </c>
      <c r="AO59" s="777"/>
    </row>
    <row r="60" spans="1:52" ht="15" customHeight="1" x14ac:dyDescent="0.25">
      <c r="A60" t="s">
        <v>153</v>
      </c>
      <c r="B60" s="202">
        <v>5</v>
      </c>
      <c r="C60" s="202" t="s">
        <v>58</v>
      </c>
      <c r="D60" s="202" t="s">
        <v>62</v>
      </c>
      <c r="E60">
        <v>3</v>
      </c>
      <c r="F60" t="s">
        <v>37</v>
      </c>
      <c r="G60" s="202">
        <v>59</v>
      </c>
      <c r="L60" s="202">
        <v>3</v>
      </c>
      <c r="M60" s="202" t="s">
        <v>42</v>
      </c>
      <c r="N60" s="202" t="s">
        <v>409</v>
      </c>
      <c r="O60" s="300" t="s">
        <v>293</v>
      </c>
      <c r="P60" s="202" t="s">
        <v>409</v>
      </c>
      <c r="Q60" t="s">
        <v>37</v>
      </c>
      <c r="T60">
        <v>1819</v>
      </c>
      <c r="U60" s="7">
        <v>3</v>
      </c>
      <c r="V60" t="s">
        <v>613</v>
      </c>
      <c r="W60" s="257" t="s">
        <v>621</v>
      </c>
      <c r="X60" t="s">
        <v>622</v>
      </c>
      <c r="Y60" s="316" t="s">
        <v>1215</v>
      </c>
      <c r="Z60" s="8">
        <v>96</v>
      </c>
      <c r="AA60" s="202" t="str">
        <f t="shared" si="0"/>
        <v>Общая масса готового блюда, г</v>
      </c>
      <c r="AC60" t="s">
        <v>1205</v>
      </c>
      <c r="AD60" t="s">
        <v>1205</v>
      </c>
      <c r="AE60" t="s">
        <v>1492</v>
      </c>
      <c r="AF60" s="776"/>
      <c r="AG60" s="116" t="s">
        <v>12</v>
      </c>
      <c r="AH60" s="116"/>
      <c r="AI60" s="116"/>
      <c r="AJ60" s="116"/>
      <c r="AK60" s="116">
        <v>45</v>
      </c>
      <c r="AL60" s="116"/>
      <c r="AM60" s="116"/>
      <c r="AN60" s="116">
        <v>625</v>
      </c>
      <c r="AO60" s="777"/>
    </row>
    <row r="61" spans="1:52" ht="15" customHeight="1" x14ac:dyDescent="0.25">
      <c r="A61" t="s">
        <v>153</v>
      </c>
      <c r="B61" s="202">
        <v>5</v>
      </c>
      <c r="C61" s="202" t="s">
        <v>58</v>
      </c>
      <c r="D61" s="202" t="s">
        <v>152</v>
      </c>
      <c r="E61">
        <v>4</v>
      </c>
      <c r="F61" t="s">
        <v>37</v>
      </c>
      <c r="G61" s="202">
        <v>60</v>
      </c>
      <c r="L61" s="202">
        <v>3</v>
      </c>
      <c r="M61" s="202" t="s">
        <v>42</v>
      </c>
      <c r="N61" s="202" t="s">
        <v>409</v>
      </c>
      <c r="O61" s="300" t="s">
        <v>292</v>
      </c>
      <c r="P61" s="202" t="s">
        <v>409</v>
      </c>
      <c r="Q61" t="s">
        <v>37</v>
      </c>
      <c r="T61">
        <v>1804</v>
      </c>
      <c r="U61" s="7">
        <v>3</v>
      </c>
      <c r="V61" t="s">
        <v>613</v>
      </c>
      <c r="W61" s="257" t="s">
        <v>623</v>
      </c>
      <c r="X61" t="s">
        <v>624</v>
      </c>
      <c r="Y61" s="316" t="s">
        <v>455</v>
      </c>
      <c r="Z61" s="8">
        <v>100</v>
      </c>
      <c r="AA61" s="202" t="str">
        <f t="shared" si="0"/>
        <v>Говядина н/к</v>
      </c>
      <c r="AC61" t="s">
        <v>1205</v>
      </c>
      <c r="AD61" t="s">
        <v>615</v>
      </c>
      <c r="AE61" t="s">
        <v>1492</v>
      </c>
      <c r="AF61" s="776"/>
      <c r="AG61" s="116" t="s">
        <v>133</v>
      </c>
      <c r="AH61" s="116"/>
      <c r="AI61" s="116"/>
      <c r="AJ61" s="116"/>
      <c r="AK61" s="116">
        <v>25</v>
      </c>
      <c r="AL61" s="116"/>
      <c r="AM61" s="116"/>
      <c r="AN61" s="116">
        <v>375</v>
      </c>
      <c r="AO61" s="777"/>
    </row>
    <row r="62" spans="1:52" ht="15" customHeight="1" x14ac:dyDescent="0.25">
      <c r="A62" t="s">
        <v>153</v>
      </c>
      <c r="B62" s="202">
        <v>5</v>
      </c>
      <c r="C62" s="202" t="s">
        <v>58</v>
      </c>
      <c r="D62" s="202" t="s">
        <v>526</v>
      </c>
      <c r="E62">
        <v>5</v>
      </c>
      <c r="F62" t="s">
        <v>37</v>
      </c>
      <c r="G62" s="202">
        <v>61</v>
      </c>
      <c r="L62" s="202">
        <v>3</v>
      </c>
      <c r="M62" s="202" t="s">
        <v>42</v>
      </c>
      <c r="N62" s="202" t="s">
        <v>409</v>
      </c>
      <c r="O62" s="300" t="s">
        <v>291</v>
      </c>
      <c r="P62" s="202" t="s">
        <v>409</v>
      </c>
      <c r="Q62" t="s">
        <v>37</v>
      </c>
      <c r="T62">
        <v>1805</v>
      </c>
      <c r="U62" s="7">
        <v>3</v>
      </c>
      <c r="V62" t="s">
        <v>613</v>
      </c>
      <c r="W62" s="257" t="s">
        <v>623</v>
      </c>
      <c r="X62" t="s">
        <v>624</v>
      </c>
      <c r="Y62" s="316" t="s">
        <v>434</v>
      </c>
      <c r="Z62" s="8">
        <v>2</v>
      </c>
      <c r="AA62" s="202" t="str">
        <f t="shared" si="0"/>
        <v>Мука пшеничная 1 с</v>
      </c>
      <c r="AC62" t="s">
        <v>1205</v>
      </c>
      <c r="AD62" t="s">
        <v>617</v>
      </c>
      <c r="AE62" t="s">
        <v>1492</v>
      </c>
      <c r="AF62" s="776"/>
      <c r="AG62" s="116" t="s">
        <v>1426</v>
      </c>
      <c r="AH62" s="116"/>
      <c r="AI62" s="116"/>
      <c r="AJ62" s="116"/>
      <c r="AK62" s="116">
        <v>5</v>
      </c>
      <c r="AL62" s="116"/>
      <c r="AM62" s="116"/>
      <c r="AN62" s="116">
        <v>75</v>
      </c>
      <c r="AO62" s="777"/>
    </row>
    <row r="63" spans="1:52" ht="15" customHeight="1" x14ac:dyDescent="0.25">
      <c r="A63" t="s">
        <v>153</v>
      </c>
      <c r="B63" s="202">
        <v>6</v>
      </c>
      <c r="C63" s="202" t="s">
        <v>527</v>
      </c>
      <c r="D63" s="202" t="s">
        <v>454</v>
      </c>
      <c r="E63" s="202">
        <v>1</v>
      </c>
      <c r="F63" t="s">
        <v>37</v>
      </c>
      <c r="G63" s="202">
        <v>62</v>
      </c>
      <c r="L63" s="202">
        <v>3</v>
      </c>
      <c r="M63" s="202" t="s">
        <v>42</v>
      </c>
      <c r="N63" s="202" t="s">
        <v>409</v>
      </c>
      <c r="O63" s="300" t="s">
        <v>290</v>
      </c>
      <c r="P63" s="202" t="s">
        <v>409</v>
      </c>
      <c r="Q63" t="s">
        <v>37</v>
      </c>
      <c r="T63">
        <v>1806</v>
      </c>
      <c r="U63" s="7">
        <v>3</v>
      </c>
      <c r="V63" t="s">
        <v>613</v>
      </c>
      <c r="W63" s="257" t="s">
        <v>623</v>
      </c>
      <c r="X63" t="s">
        <v>624</v>
      </c>
      <c r="Y63" s="316" t="s">
        <v>32</v>
      </c>
      <c r="Z63" s="8">
        <v>10</v>
      </c>
      <c r="AA63" s="202" t="str">
        <f t="shared" si="0"/>
        <v>Лук репчатый</v>
      </c>
      <c r="AC63" t="s">
        <v>1205</v>
      </c>
      <c r="AD63" t="s">
        <v>619</v>
      </c>
      <c r="AE63" t="s">
        <v>1492</v>
      </c>
      <c r="AF63" s="776"/>
      <c r="AG63" s="795"/>
      <c r="AH63" s="116"/>
      <c r="AI63" s="116"/>
      <c r="AJ63" s="116"/>
      <c r="AK63" s="116"/>
      <c r="AL63" s="116"/>
      <c r="AM63" s="116"/>
      <c r="AN63" s="116"/>
      <c r="AO63" s="777"/>
    </row>
    <row r="64" spans="1:52" ht="15" customHeight="1" x14ac:dyDescent="0.25">
      <c r="A64" t="s">
        <v>153</v>
      </c>
      <c r="B64" s="202">
        <v>6</v>
      </c>
      <c r="C64" s="202" t="s">
        <v>527</v>
      </c>
      <c r="D64" s="202" t="s">
        <v>502</v>
      </c>
      <c r="E64" s="202">
        <v>2</v>
      </c>
      <c r="F64" t="s">
        <v>37</v>
      </c>
      <c r="G64" s="202">
        <v>63</v>
      </c>
      <c r="L64" s="202">
        <v>3</v>
      </c>
      <c r="M64" s="202" t="s">
        <v>42</v>
      </c>
      <c r="N64" s="202" t="s">
        <v>409</v>
      </c>
      <c r="O64" s="300" t="s">
        <v>409</v>
      </c>
      <c r="P64" s="202" t="s">
        <v>409</v>
      </c>
      <c r="Q64" t="s">
        <v>37</v>
      </c>
      <c r="T64">
        <v>1807</v>
      </c>
      <c r="U64" s="7">
        <v>3</v>
      </c>
      <c r="V64" t="s">
        <v>613</v>
      </c>
      <c r="W64" s="257" t="s">
        <v>623</v>
      </c>
      <c r="X64" t="s">
        <v>624</v>
      </c>
      <c r="Y64" s="316" t="s">
        <v>61</v>
      </c>
      <c r="Z64" s="8">
        <v>5</v>
      </c>
      <c r="AA64" s="202" t="str">
        <f t="shared" si="0"/>
        <v>Масло растительное</v>
      </c>
      <c r="AC64" t="s">
        <v>1205</v>
      </c>
      <c r="AD64" t="s">
        <v>620</v>
      </c>
      <c r="AE64" t="s">
        <v>1492</v>
      </c>
      <c r="AF64" s="773"/>
      <c r="AG64" s="782" t="s">
        <v>1427</v>
      </c>
      <c r="AH64" s="774"/>
      <c r="AI64" s="774"/>
      <c r="AJ64" s="774"/>
      <c r="AK64" s="774"/>
      <c r="AL64" s="774"/>
      <c r="AM64" s="774"/>
      <c r="AN64" s="774" t="s">
        <v>1439</v>
      </c>
      <c r="AO64" s="775"/>
      <c r="AZ64" s="795"/>
    </row>
    <row r="65" spans="1:52" ht="15" customHeight="1" x14ac:dyDescent="0.25">
      <c r="A65" t="s">
        <v>153</v>
      </c>
      <c r="B65" s="202">
        <v>6</v>
      </c>
      <c r="C65" s="202" t="s">
        <v>527</v>
      </c>
      <c r="D65" s="202" t="s">
        <v>503</v>
      </c>
      <c r="E65" s="202">
        <v>3</v>
      </c>
      <c r="F65" t="s">
        <v>37</v>
      </c>
      <c r="G65" s="202">
        <v>64</v>
      </c>
      <c r="L65" s="202">
        <v>3</v>
      </c>
      <c r="M65" s="202" t="s">
        <v>42</v>
      </c>
      <c r="N65" s="202" t="s">
        <v>497</v>
      </c>
      <c r="O65" s="300" t="s">
        <v>288</v>
      </c>
      <c r="P65" s="202" t="s">
        <v>497</v>
      </c>
      <c r="Q65" t="s">
        <v>37</v>
      </c>
      <c r="T65">
        <v>1808</v>
      </c>
      <c r="U65" s="7">
        <v>3</v>
      </c>
      <c r="V65" t="s">
        <v>613</v>
      </c>
      <c r="W65" s="257" t="s">
        <v>623</v>
      </c>
      <c r="X65" t="s">
        <v>624</v>
      </c>
      <c r="Y65" s="316" t="s">
        <v>54</v>
      </c>
      <c r="Z65" s="8">
        <v>10</v>
      </c>
      <c r="AA65" s="202" t="str">
        <f t="shared" si="0"/>
        <v>Сметана</v>
      </c>
      <c r="AC65" t="s">
        <v>1205</v>
      </c>
      <c r="AD65" t="s">
        <v>622</v>
      </c>
      <c r="AE65" t="s">
        <v>1492</v>
      </c>
      <c r="AF65" s="776"/>
      <c r="AG65" s="778" t="s">
        <v>1433</v>
      </c>
      <c r="AH65" s="116"/>
      <c r="AI65" s="116"/>
      <c r="AJ65" s="116"/>
      <c r="AK65" s="116" t="s">
        <v>1428</v>
      </c>
      <c r="AL65" s="116"/>
      <c r="AM65" s="116"/>
      <c r="AN65" s="116">
        <v>150</v>
      </c>
      <c r="AO65" s="777"/>
    </row>
    <row r="66" spans="1:52" ht="15" customHeight="1" x14ac:dyDescent="0.25">
      <c r="A66" t="s">
        <v>153</v>
      </c>
      <c r="B66" s="202">
        <v>6</v>
      </c>
      <c r="C66" s="202" t="s">
        <v>527</v>
      </c>
      <c r="D66" s="202" t="s">
        <v>336</v>
      </c>
      <c r="E66" s="202">
        <v>4</v>
      </c>
      <c r="F66" t="s">
        <v>37</v>
      </c>
      <c r="G66" s="202">
        <v>65</v>
      </c>
      <c r="L66" s="202">
        <v>3</v>
      </c>
      <c r="M66" s="202" t="s">
        <v>42</v>
      </c>
      <c r="N66" s="202" t="s">
        <v>497</v>
      </c>
      <c r="O66" s="300" t="s">
        <v>497</v>
      </c>
      <c r="P66" s="202" t="s">
        <v>497</v>
      </c>
      <c r="Q66" t="s">
        <v>37</v>
      </c>
      <c r="T66">
        <v>1809</v>
      </c>
      <c r="U66" s="7">
        <v>3</v>
      </c>
      <c r="V66" t="s">
        <v>613</v>
      </c>
      <c r="W66" s="257" t="s">
        <v>623</v>
      </c>
      <c r="X66" t="s">
        <v>624</v>
      </c>
      <c r="Y66" s="316" t="s">
        <v>76</v>
      </c>
      <c r="Z66" s="8">
        <v>2</v>
      </c>
      <c r="AA66" s="202" t="str">
        <f t="shared" ref="AA66:AA129" si="1">VLOOKUP(Y66,O:P,2,FALSE)</f>
        <v>Томат-паста</v>
      </c>
      <c r="AC66" t="s">
        <v>1205</v>
      </c>
      <c r="AD66" t="s">
        <v>624</v>
      </c>
      <c r="AE66" t="s">
        <v>1492</v>
      </c>
      <c r="AF66" s="776"/>
      <c r="AG66" s="778" t="s">
        <v>1434</v>
      </c>
      <c r="AH66" s="116"/>
      <c r="AI66" s="116"/>
      <c r="AJ66" s="116"/>
      <c r="AK66" s="116" t="s">
        <v>1429</v>
      </c>
      <c r="AL66" s="116"/>
      <c r="AM66" s="116"/>
      <c r="AN66" s="116">
        <v>300</v>
      </c>
      <c r="AO66" s="777"/>
      <c r="AZ66" s="795"/>
    </row>
    <row r="67" spans="1:52" ht="15" customHeight="1" x14ac:dyDescent="0.25">
      <c r="A67" t="s">
        <v>153</v>
      </c>
      <c r="B67" s="202">
        <v>6</v>
      </c>
      <c r="C67" s="202" t="s">
        <v>527</v>
      </c>
      <c r="D67" s="202" t="s">
        <v>65</v>
      </c>
      <c r="E67" s="202">
        <v>5</v>
      </c>
      <c r="F67" t="s">
        <v>37</v>
      </c>
      <c r="G67" s="202">
        <v>66</v>
      </c>
      <c r="L67" s="202">
        <v>3</v>
      </c>
      <c r="M67" s="202" t="s">
        <v>42</v>
      </c>
      <c r="N67" s="202" t="s">
        <v>497</v>
      </c>
      <c r="O67" s="300" t="s">
        <v>441</v>
      </c>
      <c r="P67" s="202" t="s">
        <v>497</v>
      </c>
      <c r="Q67" t="s">
        <v>37</v>
      </c>
      <c r="T67">
        <v>1810</v>
      </c>
      <c r="U67" s="7">
        <v>3</v>
      </c>
      <c r="V67" t="s">
        <v>613</v>
      </c>
      <c r="W67" s="257" t="s">
        <v>623</v>
      </c>
      <c r="X67" t="s">
        <v>624</v>
      </c>
      <c r="Y67" s="316" t="s">
        <v>484</v>
      </c>
      <c r="Z67" s="8">
        <v>0.01</v>
      </c>
      <c r="AA67" s="202" t="str">
        <f t="shared" si="1"/>
        <v>Перец черный</v>
      </c>
      <c r="AC67" t="s">
        <v>1205</v>
      </c>
      <c r="AD67" t="s">
        <v>630</v>
      </c>
      <c r="AE67" t="s">
        <v>1492</v>
      </c>
      <c r="AF67" s="776"/>
      <c r="AG67" s="778" t="s">
        <v>1435</v>
      </c>
      <c r="AH67" s="116"/>
      <c r="AI67" s="116"/>
      <c r="AJ67" s="116"/>
      <c r="AK67" s="116" t="s">
        <v>1430</v>
      </c>
      <c r="AL67" s="116"/>
      <c r="AM67" s="116"/>
      <c r="AN67" s="116">
        <v>120</v>
      </c>
      <c r="AO67" s="777"/>
      <c r="AZ67" s="795"/>
    </row>
    <row r="68" spans="1:52" ht="15" customHeight="1" x14ac:dyDescent="0.25">
      <c r="A68" t="s">
        <v>153</v>
      </c>
      <c r="B68" s="202">
        <v>6</v>
      </c>
      <c r="C68" s="202" t="s">
        <v>527</v>
      </c>
      <c r="D68" s="202" t="s">
        <v>66</v>
      </c>
      <c r="E68" s="202">
        <v>6</v>
      </c>
      <c r="F68" t="s">
        <v>37</v>
      </c>
      <c r="G68" s="202">
        <v>67</v>
      </c>
      <c r="L68" s="202">
        <v>3</v>
      </c>
      <c r="M68" s="202" t="s">
        <v>42</v>
      </c>
      <c r="N68" s="202" t="s">
        <v>442</v>
      </c>
      <c r="O68" s="300" t="s">
        <v>442</v>
      </c>
      <c r="P68" s="202" t="s">
        <v>442</v>
      </c>
      <c r="Q68" t="s">
        <v>37</v>
      </c>
      <c r="T68">
        <v>1811</v>
      </c>
      <c r="U68" s="7">
        <v>3</v>
      </c>
      <c r="V68" t="s">
        <v>613</v>
      </c>
      <c r="W68" s="257" t="s">
        <v>623</v>
      </c>
      <c r="X68" t="s">
        <v>624</v>
      </c>
      <c r="Y68" s="316" t="s">
        <v>1214</v>
      </c>
      <c r="Z68" s="8">
        <v>46</v>
      </c>
      <c r="AA68" s="202" t="str">
        <f t="shared" si="1"/>
        <v>Масса мясных и рыбных порций, г</v>
      </c>
      <c r="AC68" t="s">
        <v>1205</v>
      </c>
      <c r="AD68" t="s">
        <v>632</v>
      </c>
      <c r="AE68" t="s">
        <v>1492</v>
      </c>
      <c r="AF68" s="776"/>
      <c r="AG68" s="778" t="s">
        <v>1436</v>
      </c>
      <c r="AH68" s="116"/>
      <c r="AI68" s="116"/>
      <c r="AJ68" s="116"/>
      <c r="AK68" s="116" t="s">
        <v>1431</v>
      </c>
      <c r="AL68" s="116"/>
      <c r="AM68" s="116"/>
      <c r="AN68" s="116">
        <v>230</v>
      </c>
      <c r="AO68" s="777"/>
      <c r="AZ68" s="795"/>
    </row>
    <row r="69" spans="1:52" ht="15" customHeight="1" x14ac:dyDescent="0.25">
      <c r="A69" t="s">
        <v>153</v>
      </c>
      <c r="B69" s="202">
        <v>6</v>
      </c>
      <c r="C69" s="202" t="s">
        <v>527</v>
      </c>
      <c r="D69" s="202" t="s">
        <v>512</v>
      </c>
      <c r="E69" s="202">
        <v>7</v>
      </c>
      <c r="F69" t="s">
        <v>37</v>
      </c>
      <c r="G69" s="202">
        <v>68</v>
      </c>
      <c r="L69" s="202">
        <v>3</v>
      </c>
      <c r="M69" s="202" t="s">
        <v>42</v>
      </c>
      <c r="N69" s="202" t="s">
        <v>32</v>
      </c>
      <c r="O69" s="300" t="s">
        <v>444</v>
      </c>
      <c r="P69" s="202" t="s">
        <v>32</v>
      </c>
      <c r="Q69" t="s">
        <v>37</v>
      </c>
      <c r="T69">
        <v>1811</v>
      </c>
      <c r="U69" s="7">
        <v>3</v>
      </c>
      <c r="V69" t="s">
        <v>613</v>
      </c>
      <c r="W69" s="257" t="s">
        <v>623</v>
      </c>
      <c r="X69" t="s">
        <v>624</v>
      </c>
      <c r="Y69" s="316" t="s">
        <v>1215</v>
      </c>
      <c r="Z69" s="8">
        <v>96</v>
      </c>
      <c r="AA69" s="202" t="str">
        <f t="shared" si="1"/>
        <v>Общая масса готового блюда, г</v>
      </c>
      <c r="AC69" t="s">
        <v>1205</v>
      </c>
      <c r="AD69" t="s">
        <v>634</v>
      </c>
      <c r="AE69" t="s">
        <v>1492</v>
      </c>
      <c r="AF69" s="776"/>
      <c r="AG69" s="778" t="s">
        <v>1437</v>
      </c>
      <c r="AH69" s="116"/>
      <c r="AI69" s="116"/>
      <c r="AJ69" s="116"/>
      <c r="AK69" s="116" t="s">
        <v>1432</v>
      </c>
      <c r="AL69" s="116"/>
      <c r="AM69" s="116"/>
      <c r="AN69" s="116">
        <v>200</v>
      </c>
      <c r="AO69" s="777"/>
      <c r="AZ69" s="795"/>
    </row>
    <row r="70" spans="1:52" ht="15" customHeight="1" x14ac:dyDescent="0.25">
      <c r="A70" t="s">
        <v>153</v>
      </c>
      <c r="B70" s="202">
        <v>6</v>
      </c>
      <c r="C70" s="202" t="s">
        <v>527</v>
      </c>
      <c r="D70" s="202" t="s">
        <v>335</v>
      </c>
      <c r="E70" s="202">
        <v>8</v>
      </c>
      <c r="F70" t="s">
        <v>37</v>
      </c>
      <c r="G70" s="202">
        <v>69</v>
      </c>
      <c r="L70" s="202">
        <v>3</v>
      </c>
      <c r="M70" s="202" t="s">
        <v>42</v>
      </c>
      <c r="N70" s="202" t="s">
        <v>32</v>
      </c>
      <c r="O70" s="300" t="s">
        <v>32</v>
      </c>
      <c r="P70" s="202" t="s">
        <v>32</v>
      </c>
      <c r="Q70" t="s">
        <v>37</v>
      </c>
      <c r="T70">
        <v>2465</v>
      </c>
      <c r="U70" s="7">
        <v>3</v>
      </c>
      <c r="V70" t="s">
        <v>613</v>
      </c>
      <c r="W70" s="257" t="s">
        <v>625</v>
      </c>
      <c r="X70" t="s">
        <v>626</v>
      </c>
      <c r="Y70" s="316" t="s">
        <v>475</v>
      </c>
      <c r="Z70" s="8">
        <v>80</v>
      </c>
      <c r="AA70" s="202" t="str">
        <f t="shared" si="1"/>
        <v>Сардельки</v>
      </c>
      <c r="AC70" t="s">
        <v>1205</v>
      </c>
      <c r="AD70" t="s">
        <v>636</v>
      </c>
      <c r="AE70" t="s">
        <v>1492</v>
      </c>
      <c r="AF70" s="779"/>
      <c r="AG70" s="780"/>
      <c r="AH70" s="780"/>
      <c r="AI70" s="780"/>
      <c r="AJ70" s="780"/>
      <c r="AK70" s="780"/>
      <c r="AL70" s="780"/>
      <c r="AM70" s="780"/>
      <c r="AN70" s="780"/>
      <c r="AO70" s="781"/>
      <c r="AZ70" s="795"/>
    </row>
    <row r="71" spans="1:52" ht="15" customHeight="1" x14ac:dyDescent="0.25">
      <c r="A71" t="s">
        <v>153</v>
      </c>
      <c r="B71" s="202">
        <v>6</v>
      </c>
      <c r="C71" s="202" t="s">
        <v>527</v>
      </c>
      <c r="D71" s="202" t="s">
        <v>1514</v>
      </c>
      <c r="E71" s="202">
        <v>9</v>
      </c>
      <c r="F71" t="s">
        <v>37</v>
      </c>
      <c r="G71" s="202">
        <v>70</v>
      </c>
      <c r="L71" s="202">
        <v>3</v>
      </c>
      <c r="M71" s="202" t="s">
        <v>42</v>
      </c>
      <c r="N71" s="202" t="s">
        <v>32</v>
      </c>
      <c r="O71" s="300" t="s">
        <v>274</v>
      </c>
      <c r="P71" s="202" t="s">
        <v>32</v>
      </c>
      <c r="Q71" t="s">
        <v>37</v>
      </c>
      <c r="T71">
        <v>2465</v>
      </c>
      <c r="U71" s="7">
        <v>3</v>
      </c>
      <c r="V71" t="s">
        <v>613</v>
      </c>
      <c r="W71" s="257" t="s">
        <v>625</v>
      </c>
      <c r="X71" t="s">
        <v>626</v>
      </c>
      <c r="Y71" t="s">
        <v>490</v>
      </c>
      <c r="Z71" s="8">
        <v>250</v>
      </c>
      <c r="AA71" s="202" t="str">
        <f t="shared" si="1"/>
        <v>Капуста свежая</v>
      </c>
      <c r="AC71" t="s">
        <v>1205</v>
      </c>
      <c r="AD71" t="s">
        <v>638</v>
      </c>
      <c r="AE71" t="s">
        <v>1492</v>
      </c>
      <c r="AF71" s="776"/>
      <c r="AG71" s="778" t="s">
        <v>1453</v>
      </c>
      <c r="AH71" s="116"/>
      <c r="AI71" s="116"/>
      <c r="AJ71" s="116"/>
      <c r="AK71" s="116"/>
      <c r="AL71" s="116"/>
      <c r="AM71" s="116"/>
      <c r="AN71" s="116" t="s">
        <v>1439</v>
      </c>
      <c r="AO71" s="777"/>
    </row>
    <row r="72" spans="1:52" ht="15" customHeight="1" x14ac:dyDescent="0.25">
      <c r="A72" t="s">
        <v>153</v>
      </c>
      <c r="B72" s="202">
        <v>6</v>
      </c>
      <c r="C72" s="202" t="s">
        <v>527</v>
      </c>
      <c r="D72" s="202" t="s">
        <v>528</v>
      </c>
      <c r="E72" s="202">
        <v>10</v>
      </c>
      <c r="F72" t="s">
        <v>37</v>
      </c>
      <c r="G72" s="202">
        <v>71</v>
      </c>
      <c r="L72" s="202">
        <v>3</v>
      </c>
      <c r="M72" s="202" t="s">
        <v>42</v>
      </c>
      <c r="N72" s="202" t="s">
        <v>46</v>
      </c>
      <c r="O72" s="300" t="s">
        <v>46</v>
      </c>
      <c r="P72" s="202" t="s">
        <v>46</v>
      </c>
      <c r="Q72" t="s">
        <v>37</v>
      </c>
      <c r="T72">
        <v>2465</v>
      </c>
      <c r="U72" s="7">
        <v>3</v>
      </c>
      <c r="V72" t="s">
        <v>613</v>
      </c>
      <c r="W72" s="257" t="s">
        <v>625</v>
      </c>
      <c r="X72" t="s">
        <v>626</v>
      </c>
      <c r="Y72" s="316" t="s">
        <v>61</v>
      </c>
      <c r="Z72" s="8">
        <v>5</v>
      </c>
      <c r="AA72" s="202" t="str">
        <f t="shared" si="1"/>
        <v>Масло растительное</v>
      </c>
      <c r="AC72" t="s">
        <v>1205</v>
      </c>
      <c r="AD72" t="s">
        <v>640</v>
      </c>
      <c r="AE72" t="s">
        <v>1492</v>
      </c>
      <c r="AF72" s="776"/>
      <c r="AG72" s="778" t="s">
        <v>1483</v>
      </c>
      <c r="AH72" s="116"/>
      <c r="AI72" s="116"/>
      <c r="AJ72" s="116"/>
      <c r="AK72" s="116"/>
      <c r="AL72" s="116"/>
      <c r="AM72" s="116"/>
      <c r="AN72" s="796">
        <f>AN73*7</f>
        <v>13300</v>
      </c>
      <c r="AO72" s="777"/>
    </row>
    <row r="73" spans="1:52" ht="15" customHeight="1" x14ac:dyDescent="0.25">
      <c r="A73" t="s">
        <v>153</v>
      </c>
      <c r="B73" s="202">
        <v>7</v>
      </c>
      <c r="C73" s="202" t="s">
        <v>530</v>
      </c>
      <c r="D73" s="202" t="s">
        <v>474</v>
      </c>
      <c r="E73" s="202">
        <v>1</v>
      </c>
      <c r="F73" t="s">
        <v>37</v>
      </c>
      <c r="G73" s="202">
        <v>72</v>
      </c>
      <c r="L73" s="202">
        <v>3</v>
      </c>
      <c r="M73" s="202" t="s">
        <v>42</v>
      </c>
      <c r="N73" s="202" t="s">
        <v>46</v>
      </c>
      <c r="O73" s="300" t="s">
        <v>272</v>
      </c>
      <c r="P73" s="202" t="s">
        <v>46</v>
      </c>
      <c r="Q73" t="s">
        <v>37</v>
      </c>
      <c r="T73">
        <v>2465</v>
      </c>
      <c r="U73" s="7">
        <v>3</v>
      </c>
      <c r="V73" t="s">
        <v>613</v>
      </c>
      <c r="W73" s="257" t="s">
        <v>625</v>
      </c>
      <c r="X73" t="s">
        <v>626</v>
      </c>
      <c r="Y73" s="316" t="s">
        <v>46</v>
      </c>
      <c r="Z73" s="8">
        <v>20</v>
      </c>
      <c r="AA73" s="202" t="str">
        <f t="shared" si="1"/>
        <v>Морковь</v>
      </c>
      <c r="AC73" t="s">
        <v>1205</v>
      </c>
      <c r="AD73" t="s">
        <v>644</v>
      </c>
      <c r="AE73" t="s">
        <v>1492</v>
      </c>
      <c r="AF73" s="776"/>
      <c r="AG73" s="778" t="s">
        <v>1454</v>
      </c>
      <c r="AH73" s="116"/>
      <c r="AI73" s="116"/>
      <c r="AJ73" s="116"/>
      <c r="AK73" s="116"/>
      <c r="AL73" s="116"/>
      <c r="AM73" s="116"/>
      <c r="AN73" s="797">
        <v>1900</v>
      </c>
      <c r="AO73" s="777"/>
    </row>
    <row r="74" spans="1:52" ht="15" customHeight="1" x14ac:dyDescent="0.25">
      <c r="A74" t="s">
        <v>153</v>
      </c>
      <c r="B74" s="202">
        <v>7</v>
      </c>
      <c r="C74" s="202" t="s">
        <v>530</v>
      </c>
      <c r="D74" s="202" t="s">
        <v>64</v>
      </c>
      <c r="E74" s="202">
        <v>2</v>
      </c>
      <c r="F74" t="s">
        <v>37</v>
      </c>
      <c r="G74" s="202">
        <v>73</v>
      </c>
      <c r="L74" s="202">
        <v>3</v>
      </c>
      <c r="M74" s="202" t="s">
        <v>42</v>
      </c>
      <c r="N74" s="202" t="s">
        <v>332</v>
      </c>
      <c r="O74" s="300" t="s">
        <v>273</v>
      </c>
      <c r="P74" s="202" t="s">
        <v>332</v>
      </c>
      <c r="Q74" t="s">
        <v>37</v>
      </c>
      <c r="T74">
        <v>2465</v>
      </c>
      <c r="U74" s="7">
        <v>3</v>
      </c>
      <c r="V74" t="s">
        <v>613</v>
      </c>
      <c r="W74" s="257" t="s">
        <v>625</v>
      </c>
      <c r="X74" t="s">
        <v>626</v>
      </c>
      <c r="Y74" s="316" t="s">
        <v>32</v>
      </c>
      <c r="Z74" s="8">
        <v>10</v>
      </c>
      <c r="AA74" s="202" t="str">
        <f t="shared" si="1"/>
        <v>Лук репчатый</v>
      </c>
      <c r="AC74" t="s">
        <v>1205</v>
      </c>
      <c r="AD74" t="s">
        <v>650</v>
      </c>
      <c r="AE74" t="s">
        <v>1492</v>
      </c>
      <c r="AF74" s="776"/>
      <c r="AG74" s="778" t="s">
        <v>11</v>
      </c>
      <c r="AH74" s="116"/>
      <c r="AI74" s="116"/>
      <c r="AJ74" s="116"/>
      <c r="AK74" s="116"/>
      <c r="AL74" s="116"/>
      <c r="AM74" s="116"/>
      <c r="AN74" s="796">
        <f>AN73*AK59/100</f>
        <v>475</v>
      </c>
      <c r="AO74" s="777"/>
    </row>
    <row r="75" spans="1:52" ht="15" customHeight="1" x14ac:dyDescent="0.25">
      <c r="A75" t="s">
        <v>153</v>
      </c>
      <c r="B75" s="202">
        <v>7</v>
      </c>
      <c r="C75" s="202" t="s">
        <v>530</v>
      </c>
      <c r="D75" s="202" t="s">
        <v>59</v>
      </c>
      <c r="E75" s="202">
        <v>3</v>
      </c>
      <c r="F75" t="s">
        <v>37</v>
      </c>
      <c r="G75" s="202">
        <v>74</v>
      </c>
      <c r="L75" s="202">
        <v>3</v>
      </c>
      <c r="M75" s="202" t="s">
        <v>42</v>
      </c>
      <c r="N75" s="202" t="s">
        <v>332</v>
      </c>
      <c r="O75" s="300" t="s">
        <v>332</v>
      </c>
      <c r="P75" s="202" t="s">
        <v>332</v>
      </c>
      <c r="Q75" t="s">
        <v>37</v>
      </c>
      <c r="T75">
        <v>2465</v>
      </c>
      <c r="U75" s="7">
        <v>3</v>
      </c>
      <c r="V75" t="s">
        <v>613</v>
      </c>
      <c r="W75" s="257" t="s">
        <v>625</v>
      </c>
      <c r="X75" t="s">
        <v>626</v>
      </c>
      <c r="Y75" t="s">
        <v>76</v>
      </c>
      <c r="Z75" s="8">
        <v>2</v>
      </c>
      <c r="AA75" s="202" t="str">
        <f t="shared" si="1"/>
        <v>Томат-паста</v>
      </c>
      <c r="AC75" t="s">
        <v>1205</v>
      </c>
      <c r="AD75" t="s">
        <v>652</v>
      </c>
      <c r="AE75" t="s">
        <v>1492</v>
      </c>
      <c r="AF75" s="776"/>
      <c r="AG75" s="778" t="s">
        <v>12</v>
      </c>
      <c r="AH75" s="116"/>
      <c r="AI75" s="116"/>
      <c r="AJ75" s="116"/>
      <c r="AK75" s="116"/>
      <c r="AL75" s="116"/>
      <c r="AM75" s="116"/>
      <c r="AN75" s="796">
        <f t="shared" ref="AN75:AN77" si="2">AN74*AK60/100</f>
        <v>213.75</v>
      </c>
      <c r="AO75" s="777"/>
    </row>
    <row r="76" spans="1:52" ht="15" customHeight="1" x14ac:dyDescent="0.25">
      <c r="A76" t="s">
        <v>153</v>
      </c>
      <c r="B76" s="202">
        <v>7</v>
      </c>
      <c r="C76" s="202" t="s">
        <v>530</v>
      </c>
      <c r="D76" s="202" t="s">
        <v>476</v>
      </c>
      <c r="E76" s="202">
        <v>5</v>
      </c>
      <c r="F76" t="s">
        <v>37</v>
      </c>
      <c r="G76" s="202">
        <v>75</v>
      </c>
      <c r="L76" s="202">
        <v>3</v>
      </c>
      <c r="M76" s="202" t="s">
        <v>180</v>
      </c>
      <c r="N76" s="202" t="s">
        <v>206</v>
      </c>
      <c r="O76" s="300" t="s">
        <v>206</v>
      </c>
      <c r="P76" s="202" t="s">
        <v>206</v>
      </c>
      <c r="Q76" t="s">
        <v>37</v>
      </c>
      <c r="T76">
        <v>2465</v>
      </c>
      <c r="U76" s="7">
        <v>3</v>
      </c>
      <c r="V76" t="s">
        <v>613</v>
      </c>
      <c r="W76" s="257" t="s">
        <v>625</v>
      </c>
      <c r="X76" t="s">
        <v>626</v>
      </c>
      <c r="Y76" s="316" t="s">
        <v>434</v>
      </c>
      <c r="Z76" s="8">
        <v>3</v>
      </c>
      <c r="AA76" s="202" t="str">
        <f t="shared" si="1"/>
        <v>Мука пшеничная 1 с</v>
      </c>
      <c r="AC76" t="s">
        <v>1205</v>
      </c>
      <c r="AD76" t="s">
        <v>656</v>
      </c>
      <c r="AE76" t="s">
        <v>1492</v>
      </c>
      <c r="AF76" s="776"/>
      <c r="AG76" s="778" t="s">
        <v>133</v>
      </c>
      <c r="AH76" s="116"/>
      <c r="AI76" s="116"/>
      <c r="AJ76" s="116"/>
      <c r="AK76" s="116"/>
      <c r="AL76" s="116"/>
      <c r="AM76" s="116"/>
      <c r="AN76" s="796">
        <f t="shared" si="2"/>
        <v>53.4375</v>
      </c>
      <c r="AO76" s="777"/>
    </row>
    <row r="77" spans="1:52" ht="15" customHeight="1" x14ac:dyDescent="0.25">
      <c r="A77" t="s">
        <v>153</v>
      </c>
      <c r="B77" s="202">
        <v>7</v>
      </c>
      <c r="C77" s="202" t="s">
        <v>530</v>
      </c>
      <c r="D77" s="202" t="s">
        <v>475</v>
      </c>
      <c r="E77" s="202">
        <v>6</v>
      </c>
      <c r="F77" t="s">
        <v>37</v>
      </c>
      <c r="G77" s="202">
        <v>76</v>
      </c>
      <c r="L77" s="202">
        <v>3</v>
      </c>
      <c r="M77" s="202" t="s">
        <v>180</v>
      </c>
      <c r="N77" s="202" t="s">
        <v>206</v>
      </c>
      <c r="O77" s="300" t="s">
        <v>207</v>
      </c>
      <c r="P77" s="202" t="s">
        <v>206</v>
      </c>
      <c r="Q77" t="s">
        <v>37</v>
      </c>
      <c r="T77">
        <v>2465</v>
      </c>
      <c r="U77" s="7">
        <v>3</v>
      </c>
      <c r="V77" t="s">
        <v>613</v>
      </c>
      <c r="W77" s="257" t="s">
        <v>625</v>
      </c>
      <c r="X77" t="s">
        <v>626</v>
      </c>
      <c r="Y77" s="316" t="s">
        <v>330</v>
      </c>
      <c r="Z77" s="8">
        <v>100</v>
      </c>
      <c r="AA77" s="202" t="str">
        <f t="shared" si="1"/>
        <v>Вода</v>
      </c>
      <c r="AC77" t="s">
        <v>1205</v>
      </c>
      <c r="AD77" t="s">
        <v>663</v>
      </c>
      <c r="AE77" t="s">
        <v>1492</v>
      </c>
      <c r="AF77" s="776"/>
      <c r="AG77" s="778" t="s">
        <v>159</v>
      </c>
      <c r="AH77" s="116"/>
      <c r="AI77" s="116"/>
      <c r="AJ77" s="116"/>
      <c r="AK77" s="116"/>
      <c r="AL77" s="116"/>
      <c r="AM77" s="116"/>
      <c r="AN77" s="796">
        <f t="shared" si="2"/>
        <v>2.671875</v>
      </c>
      <c r="AO77" s="777"/>
    </row>
    <row r="78" spans="1:52" ht="15" customHeight="1" x14ac:dyDescent="0.25">
      <c r="A78" t="s">
        <v>153</v>
      </c>
      <c r="B78" s="202">
        <v>7</v>
      </c>
      <c r="C78" s="202" t="s">
        <v>530</v>
      </c>
      <c r="D78" s="202" t="s">
        <v>421</v>
      </c>
      <c r="E78" s="202">
        <v>7</v>
      </c>
      <c r="F78" t="s">
        <v>37</v>
      </c>
      <c r="G78" s="202">
        <v>77</v>
      </c>
      <c r="L78" s="202">
        <v>3</v>
      </c>
      <c r="M78" s="202" t="s">
        <v>180</v>
      </c>
      <c r="N78" s="202" t="s">
        <v>410</v>
      </c>
      <c r="O78" s="300" t="s">
        <v>414</v>
      </c>
      <c r="P78" s="202" t="s">
        <v>410</v>
      </c>
      <c r="Q78" t="s">
        <v>37</v>
      </c>
      <c r="T78">
        <v>2465</v>
      </c>
      <c r="U78" s="7">
        <v>3</v>
      </c>
      <c r="V78" t="s">
        <v>613</v>
      </c>
      <c r="W78" s="257" t="s">
        <v>625</v>
      </c>
      <c r="X78" t="s">
        <v>626</v>
      </c>
      <c r="Y78" s="316" t="s">
        <v>558</v>
      </c>
      <c r="Z78" s="8">
        <v>286</v>
      </c>
      <c r="AA78" s="202" t="str">
        <f t="shared" si="1"/>
        <v>Общая масса готового блюда, г</v>
      </c>
      <c r="AC78" t="s">
        <v>1205</v>
      </c>
      <c r="AD78" t="s">
        <v>667</v>
      </c>
      <c r="AE78" t="s">
        <v>1492</v>
      </c>
      <c r="AF78" s="779"/>
      <c r="AG78" s="780"/>
      <c r="AH78" s="780"/>
      <c r="AI78" s="780"/>
      <c r="AJ78" s="780"/>
      <c r="AK78" s="780"/>
      <c r="AL78" s="780"/>
      <c r="AM78" s="780"/>
      <c r="AN78" s="780"/>
      <c r="AO78" s="781"/>
    </row>
    <row r="79" spans="1:52" ht="15" customHeight="1" x14ac:dyDescent="0.25">
      <c r="A79" t="s">
        <v>153</v>
      </c>
      <c r="B79" s="202">
        <v>8</v>
      </c>
      <c r="C79" s="202" t="s">
        <v>530</v>
      </c>
      <c r="D79" s="202" t="s">
        <v>507</v>
      </c>
      <c r="E79" s="202">
        <v>8</v>
      </c>
      <c r="F79" t="s">
        <v>37</v>
      </c>
      <c r="G79" s="202">
        <v>78</v>
      </c>
      <c r="L79" s="202">
        <v>3</v>
      </c>
      <c r="M79" s="202" t="s">
        <v>180</v>
      </c>
      <c r="N79" s="202" t="s">
        <v>410</v>
      </c>
      <c r="O79" s="300" t="s">
        <v>434</v>
      </c>
      <c r="P79" s="202" t="s">
        <v>410</v>
      </c>
      <c r="Q79" t="s">
        <v>37</v>
      </c>
      <c r="T79">
        <v>2465</v>
      </c>
      <c r="U79" s="7">
        <v>3</v>
      </c>
      <c r="V79" t="s">
        <v>613</v>
      </c>
      <c r="W79" s="257" t="s">
        <v>625</v>
      </c>
      <c r="X79" t="s">
        <v>626</v>
      </c>
      <c r="Y79" s="316" t="s">
        <v>109</v>
      </c>
      <c r="Z79" s="8">
        <v>280</v>
      </c>
      <c r="AA79" s="202" t="str">
        <f t="shared" si="1"/>
        <v>ОКГ</v>
      </c>
      <c r="AC79" t="s">
        <v>1205</v>
      </c>
      <c r="AD79" t="s">
        <v>1210</v>
      </c>
      <c r="AE79" t="s">
        <v>1492</v>
      </c>
    </row>
    <row r="80" spans="1:52" ht="15" customHeight="1" x14ac:dyDescent="0.25">
      <c r="A80" t="s">
        <v>153</v>
      </c>
      <c r="B80" s="202">
        <v>8</v>
      </c>
      <c r="C80" s="202" t="s">
        <v>530</v>
      </c>
      <c r="D80" s="202" t="s">
        <v>513</v>
      </c>
      <c r="E80" s="202">
        <v>9</v>
      </c>
      <c r="F80" t="s">
        <v>37</v>
      </c>
      <c r="G80" s="202">
        <v>79</v>
      </c>
      <c r="L80" s="202">
        <v>3</v>
      </c>
      <c r="M80" s="202" t="s">
        <v>180</v>
      </c>
      <c r="N80" s="202" t="s">
        <v>410</v>
      </c>
      <c r="O80" s="300" t="s">
        <v>410</v>
      </c>
      <c r="P80" s="202" t="s">
        <v>410</v>
      </c>
      <c r="Q80" t="s">
        <v>37</v>
      </c>
      <c r="T80">
        <v>2465</v>
      </c>
      <c r="U80" s="7">
        <v>3</v>
      </c>
      <c r="V80" t="s">
        <v>613</v>
      </c>
      <c r="W80" s="257" t="s">
        <v>625</v>
      </c>
      <c r="X80" t="s">
        <v>626</v>
      </c>
      <c r="Y80" s="316" t="s">
        <v>1214</v>
      </c>
      <c r="Z80" s="8">
        <v>78</v>
      </c>
      <c r="AA80" s="202" t="str">
        <f t="shared" si="1"/>
        <v>Масса мясных и рыбных порций, г</v>
      </c>
      <c r="AC80" t="s">
        <v>1205</v>
      </c>
      <c r="AD80" t="s">
        <v>689</v>
      </c>
      <c r="AE80" t="s">
        <v>1492</v>
      </c>
      <c r="AG80" t="s">
        <v>1455</v>
      </c>
    </row>
    <row r="81" spans="1:40" ht="15" customHeight="1" x14ac:dyDescent="0.25">
      <c r="A81" t="s">
        <v>153</v>
      </c>
      <c r="B81" s="202">
        <v>7</v>
      </c>
      <c r="C81" s="202" t="s">
        <v>530</v>
      </c>
      <c r="D81" s="202" t="s">
        <v>531</v>
      </c>
      <c r="E81" s="202">
        <v>10</v>
      </c>
      <c r="F81" t="s">
        <v>37</v>
      </c>
      <c r="G81" s="202">
        <v>80</v>
      </c>
      <c r="L81" s="202">
        <v>3</v>
      </c>
      <c r="M81" s="202" t="s">
        <v>180</v>
      </c>
      <c r="N81" s="202" t="s">
        <v>410</v>
      </c>
      <c r="O81" s="300" t="s">
        <v>437</v>
      </c>
      <c r="P81" s="202" t="s">
        <v>410</v>
      </c>
      <c r="Q81" t="s">
        <v>37</v>
      </c>
      <c r="T81">
        <v>2465</v>
      </c>
      <c r="U81" s="7">
        <v>3</v>
      </c>
      <c r="V81" t="s">
        <v>613</v>
      </c>
      <c r="W81" s="257" t="s">
        <v>625</v>
      </c>
      <c r="X81" t="s">
        <v>628</v>
      </c>
      <c r="Y81" s="316" t="s">
        <v>476</v>
      </c>
      <c r="Z81" s="8">
        <v>80</v>
      </c>
      <c r="AA81" s="202" t="str">
        <f t="shared" si="1"/>
        <v>Сосиски</v>
      </c>
      <c r="AC81" t="s">
        <v>1205</v>
      </c>
      <c r="AD81" t="s">
        <v>695</v>
      </c>
      <c r="AE81" t="s">
        <v>1492</v>
      </c>
      <c r="AG81" t="s">
        <v>1456</v>
      </c>
    </row>
    <row r="82" spans="1:40" ht="15" customHeight="1" x14ac:dyDescent="0.25">
      <c r="A82" t="s">
        <v>153</v>
      </c>
      <c r="B82" s="202">
        <v>9</v>
      </c>
      <c r="C82" s="202" t="s">
        <v>532</v>
      </c>
      <c r="D82" s="202" t="s">
        <v>29</v>
      </c>
      <c r="E82" s="202">
        <v>1</v>
      </c>
      <c r="F82" t="s">
        <v>37</v>
      </c>
      <c r="G82" s="202">
        <v>81</v>
      </c>
      <c r="L82" s="202">
        <v>3</v>
      </c>
      <c r="M82" s="202" t="s">
        <v>180</v>
      </c>
      <c r="N82" s="202" t="s">
        <v>181</v>
      </c>
      <c r="O82" s="300" t="s">
        <v>181</v>
      </c>
      <c r="P82" s="202" t="s">
        <v>181</v>
      </c>
      <c r="Q82" t="s">
        <v>37</v>
      </c>
      <c r="T82">
        <v>2465</v>
      </c>
      <c r="U82" s="7">
        <v>3</v>
      </c>
      <c r="V82" t="s">
        <v>613</v>
      </c>
      <c r="W82" s="257" t="s">
        <v>625</v>
      </c>
      <c r="X82" t="s">
        <v>628</v>
      </c>
      <c r="Y82" t="s">
        <v>490</v>
      </c>
      <c r="Z82" s="8">
        <v>250</v>
      </c>
      <c r="AA82" s="202" t="str">
        <f t="shared" si="1"/>
        <v>Капуста свежая</v>
      </c>
      <c r="AC82" t="s">
        <v>1205</v>
      </c>
      <c r="AD82" t="s">
        <v>697</v>
      </c>
      <c r="AE82" t="s">
        <v>1492</v>
      </c>
      <c r="AG82" t="s">
        <v>130</v>
      </c>
      <c r="AN82" t="s">
        <v>1457</v>
      </c>
    </row>
    <row r="83" spans="1:40" ht="15" customHeight="1" x14ac:dyDescent="0.25">
      <c r="A83" t="s">
        <v>153</v>
      </c>
      <c r="B83" s="202">
        <v>9</v>
      </c>
      <c r="C83" s="202" t="s">
        <v>532</v>
      </c>
      <c r="D83" s="202" t="s">
        <v>1225</v>
      </c>
      <c r="E83" s="202">
        <v>2</v>
      </c>
      <c r="F83" t="s">
        <v>37</v>
      </c>
      <c r="G83" s="202">
        <v>82</v>
      </c>
      <c r="L83" s="202">
        <v>3</v>
      </c>
      <c r="M83" s="202" t="s">
        <v>180</v>
      </c>
      <c r="N83" s="202" t="s">
        <v>523</v>
      </c>
      <c r="O83" s="300" t="s">
        <v>523</v>
      </c>
      <c r="P83" s="202" t="s">
        <v>523</v>
      </c>
      <c r="Q83" t="s">
        <v>37</v>
      </c>
      <c r="T83">
        <v>2465</v>
      </c>
      <c r="U83" s="7">
        <v>3</v>
      </c>
      <c r="V83" t="s">
        <v>613</v>
      </c>
      <c r="W83" s="257" t="s">
        <v>625</v>
      </c>
      <c r="X83" t="s">
        <v>628</v>
      </c>
      <c r="Y83" s="316" t="s">
        <v>61</v>
      </c>
      <c r="Z83" s="8">
        <v>5</v>
      </c>
      <c r="AA83" s="202" t="str">
        <f t="shared" si="1"/>
        <v>Масло растительное</v>
      </c>
      <c r="AC83" t="s">
        <v>1205</v>
      </c>
      <c r="AD83" t="s">
        <v>701</v>
      </c>
      <c r="AE83" t="s">
        <v>1492</v>
      </c>
      <c r="AG83" t="s">
        <v>1458</v>
      </c>
      <c r="AN83">
        <v>300</v>
      </c>
    </row>
    <row r="84" spans="1:40" ht="15" customHeight="1" x14ac:dyDescent="0.25">
      <c r="A84" t="s">
        <v>153</v>
      </c>
      <c r="B84" s="202">
        <v>9</v>
      </c>
      <c r="C84" s="202" t="s">
        <v>532</v>
      </c>
      <c r="D84" s="202" t="s">
        <v>1233</v>
      </c>
      <c r="E84" s="202">
        <v>2</v>
      </c>
      <c r="F84" t="s">
        <v>37</v>
      </c>
      <c r="G84" s="202">
        <v>83</v>
      </c>
      <c r="L84" s="202">
        <v>3</v>
      </c>
      <c r="M84" s="202" t="s">
        <v>42</v>
      </c>
      <c r="N84" s="202" t="s">
        <v>492</v>
      </c>
      <c r="O84" s="300" t="s">
        <v>492</v>
      </c>
      <c r="P84" s="202" t="s">
        <v>492</v>
      </c>
      <c r="Q84" t="s">
        <v>37</v>
      </c>
      <c r="T84">
        <v>2465</v>
      </c>
      <c r="U84" s="7">
        <v>3</v>
      </c>
      <c r="V84" t="s">
        <v>613</v>
      </c>
      <c r="W84" s="257" t="s">
        <v>625</v>
      </c>
      <c r="X84" t="s">
        <v>628</v>
      </c>
      <c r="Y84" s="316" t="s">
        <v>46</v>
      </c>
      <c r="Z84" s="8">
        <v>20</v>
      </c>
      <c r="AA84" s="202" t="str">
        <f t="shared" si="1"/>
        <v>Морковь</v>
      </c>
      <c r="AC84" t="s">
        <v>1205</v>
      </c>
      <c r="AD84" t="s">
        <v>705</v>
      </c>
      <c r="AE84" t="s">
        <v>1492</v>
      </c>
      <c r="AG84" t="s">
        <v>1459</v>
      </c>
      <c r="AN84">
        <v>400</v>
      </c>
    </row>
    <row r="85" spans="1:40" ht="15" customHeight="1" x14ac:dyDescent="0.25">
      <c r="A85" t="s">
        <v>153</v>
      </c>
      <c r="B85" s="202">
        <v>9</v>
      </c>
      <c r="C85" s="202" t="s">
        <v>532</v>
      </c>
      <c r="D85" s="202" t="s">
        <v>544</v>
      </c>
      <c r="E85" s="202">
        <v>3</v>
      </c>
      <c r="F85" t="s">
        <v>37</v>
      </c>
      <c r="G85" s="202">
        <v>84</v>
      </c>
      <c r="L85" s="202">
        <v>3</v>
      </c>
      <c r="M85" s="202" t="s">
        <v>42</v>
      </c>
      <c r="N85" s="202" t="s">
        <v>493</v>
      </c>
      <c r="O85" s="300" t="s">
        <v>493</v>
      </c>
      <c r="P85" s="202" t="s">
        <v>493</v>
      </c>
      <c r="Q85" t="s">
        <v>37</v>
      </c>
      <c r="T85">
        <v>2465</v>
      </c>
      <c r="U85" s="7">
        <v>3</v>
      </c>
      <c r="V85" t="s">
        <v>613</v>
      </c>
      <c r="W85" s="257" t="s">
        <v>625</v>
      </c>
      <c r="X85" t="s">
        <v>628</v>
      </c>
      <c r="Y85" s="316" t="s">
        <v>32</v>
      </c>
      <c r="Z85" s="8">
        <v>10</v>
      </c>
      <c r="AA85" s="202" t="str">
        <f t="shared" si="1"/>
        <v>Лук репчатый</v>
      </c>
      <c r="AC85" t="s">
        <v>1205</v>
      </c>
      <c r="AD85" t="s">
        <v>707</v>
      </c>
      <c r="AE85" t="s">
        <v>1492</v>
      </c>
      <c r="AG85" t="s">
        <v>1460</v>
      </c>
      <c r="AN85">
        <v>50</v>
      </c>
    </row>
    <row r="86" spans="1:40" ht="15" customHeight="1" x14ac:dyDescent="0.25">
      <c r="A86" t="s">
        <v>153</v>
      </c>
      <c r="B86" s="202">
        <v>9</v>
      </c>
      <c r="C86" s="202" t="s">
        <v>532</v>
      </c>
      <c r="D86" s="202" t="s">
        <v>1226</v>
      </c>
      <c r="E86" s="202">
        <v>3</v>
      </c>
      <c r="F86" t="s">
        <v>37</v>
      </c>
      <c r="G86" s="202">
        <v>85</v>
      </c>
      <c r="L86" s="202">
        <v>3</v>
      </c>
      <c r="M86" s="202" t="s">
        <v>42</v>
      </c>
      <c r="N86" s="202" t="s">
        <v>498</v>
      </c>
      <c r="O86" s="300" t="s">
        <v>445</v>
      </c>
      <c r="P86" s="202" t="s">
        <v>498</v>
      </c>
      <c r="Q86" t="s">
        <v>37</v>
      </c>
      <c r="T86">
        <v>2465</v>
      </c>
      <c r="U86" s="7">
        <v>3</v>
      </c>
      <c r="V86" t="s">
        <v>613</v>
      </c>
      <c r="W86" s="257" t="s">
        <v>625</v>
      </c>
      <c r="X86" t="s">
        <v>628</v>
      </c>
      <c r="Y86" t="s">
        <v>76</v>
      </c>
      <c r="Z86" s="8">
        <v>2</v>
      </c>
      <c r="AA86" s="202" t="str">
        <f t="shared" si="1"/>
        <v>Томат-паста</v>
      </c>
      <c r="AC86" t="s">
        <v>1205</v>
      </c>
      <c r="AD86" t="s">
        <v>718</v>
      </c>
      <c r="AE86" t="s">
        <v>1492</v>
      </c>
      <c r="AG86" t="s">
        <v>1461</v>
      </c>
      <c r="AN86">
        <v>120</v>
      </c>
    </row>
    <row r="87" spans="1:40" ht="15" customHeight="1" x14ac:dyDescent="0.25">
      <c r="A87" t="s">
        <v>153</v>
      </c>
      <c r="B87" s="202">
        <v>9</v>
      </c>
      <c r="C87" s="202" t="s">
        <v>532</v>
      </c>
      <c r="D87" s="202" t="s">
        <v>1229</v>
      </c>
      <c r="E87" s="202">
        <v>4</v>
      </c>
      <c r="F87" t="s">
        <v>37</v>
      </c>
      <c r="G87" s="202">
        <v>86</v>
      </c>
      <c r="L87" s="202">
        <v>3</v>
      </c>
      <c r="M87" s="202" t="s">
        <v>42</v>
      </c>
      <c r="N87" s="202" t="s">
        <v>498</v>
      </c>
      <c r="O87" s="300" t="s">
        <v>498</v>
      </c>
      <c r="P87" s="202" t="s">
        <v>498</v>
      </c>
      <c r="Q87" t="s">
        <v>37</v>
      </c>
      <c r="T87">
        <v>2465</v>
      </c>
      <c r="U87" s="7">
        <v>3</v>
      </c>
      <c r="V87" t="s">
        <v>613</v>
      </c>
      <c r="W87" s="257" t="s">
        <v>625</v>
      </c>
      <c r="X87" t="s">
        <v>628</v>
      </c>
      <c r="Y87" s="316" t="s">
        <v>434</v>
      </c>
      <c r="Z87" s="8">
        <v>3</v>
      </c>
      <c r="AA87" s="202" t="str">
        <f t="shared" si="1"/>
        <v>Мука пшеничная 1 с</v>
      </c>
      <c r="AC87" t="s">
        <v>1205</v>
      </c>
      <c r="AD87" t="s">
        <v>720</v>
      </c>
      <c r="AE87" t="s">
        <v>1492</v>
      </c>
      <c r="AG87" t="s">
        <v>1462</v>
      </c>
      <c r="AN87">
        <v>40</v>
      </c>
    </row>
    <row r="88" spans="1:40" ht="15" customHeight="1" x14ac:dyDescent="0.25">
      <c r="A88" t="s">
        <v>153</v>
      </c>
      <c r="B88" s="202">
        <v>9</v>
      </c>
      <c r="C88" s="202" t="s">
        <v>532</v>
      </c>
      <c r="D88" s="202" t="s">
        <v>1230</v>
      </c>
      <c r="E88" s="202">
        <v>4</v>
      </c>
      <c r="F88" t="s">
        <v>37</v>
      </c>
      <c r="G88" s="202">
        <v>87</v>
      </c>
      <c r="L88" s="202">
        <v>3</v>
      </c>
      <c r="M88" s="202" t="s">
        <v>42</v>
      </c>
      <c r="N88" s="202" t="s">
        <v>498</v>
      </c>
      <c r="O88" s="300" t="s">
        <v>177</v>
      </c>
      <c r="P88" s="202" t="s">
        <v>498</v>
      </c>
      <c r="Q88" t="s">
        <v>37</v>
      </c>
      <c r="T88">
        <v>2465</v>
      </c>
      <c r="U88" s="7">
        <v>3</v>
      </c>
      <c r="V88" t="s">
        <v>613</v>
      </c>
      <c r="W88" s="257" t="s">
        <v>625</v>
      </c>
      <c r="X88" t="s">
        <v>628</v>
      </c>
      <c r="Y88" s="316" t="s">
        <v>330</v>
      </c>
      <c r="Z88" s="8">
        <v>100</v>
      </c>
      <c r="AA88" s="202" t="str">
        <f t="shared" si="1"/>
        <v>Вода</v>
      </c>
      <c r="AC88" t="s">
        <v>1205</v>
      </c>
      <c r="AD88" t="s">
        <v>722</v>
      </c>
      <c r="AE88" t="s">
        <v>1492</v>
      </c>
      <c r="AG88" t="s">
        <v>527</v>
      </c>
      <c r="AN88">
        <v>250</v>
      </c>
    </row>
    <row r="89" spans="1:40" ht="15" customHeight="1" x14ac:dyDescent="0.25">
      <c r="A89" t="s">
        <v>153</v>
      </c>
      <c r="B89" s="202">
        <v>9</v>
      </c>
      <c r="C89" s="202" t="s">
        <v>532</v>
      </c>
      <c r="D89" s="202" t="s">
        <v>1219</v>
      </c>
      <c r="E89" s="202">
        <v>5</v>
      </c>
      <c r="F89" t="s">
        <v>37</v>
      </c>
      <c r="G89" s="202">
        <v>88</v>
      </c>
      <c r="L89" s="202">
        <v>3</v>
      </c>
      <c r="M89" s="202" t="s">
        <v>42</v>
      </c>
      <c r="N89" s="202" t="s">
        <v>498</v>
      </c>
      <c r="O89" s="300" t="s">
        <v>338</v>
      </c>
      <c r="P89" s="202" t="s">
        <v>498</v>
      </c>
      <c r="Q89" t="s">
        <v>37</v>
      </c>
      <c r="T89">
        <v>2465</v>
      </c>
      <c r="U89" s="7">
        <v>3</v>
      </c>
      <c r="V89" t="s">
        <v>613</v>
      </c>
      <c r="W89" s="257" t="s">
        <v>625</v>
      </c>
      <c r="X89" t="s">
        <v>628</v>
      </c>
      <c r="Y89" s="316" t="s">
        <v>558</v>
      </c>
      <c r="Z89" s="8">
        <v>286</v>
      </c>
      <c r="AA89" s="202" t="str">
        <f t="shared" si="1"/>
        <v>Общая масса готового блюда, г</v>
      </c>
      <c r="AC89" t="s">
        <v>1205</v>
      </c>
      <c r="AD89" t="s">
        <v>724</v>
      </c>
      <c r="AE89" t="s">
        <v>1492</v>
      </c>
      <c r="AG89" t="s">
        <v>1463</v>
      </c>
      <c r="AN89">
        <v>25</v>
      </c>
    </row>
    <row r="90" spans="1:40" ht="15" customHeight="1" x14ac:dyDescent="0.25">
      <c r="A90" t="s">
        <v>153</v>
      </c>
      <c r="B90" s="202">
        <v>9</v>
      </c>
      <c r="C90" s="202" t="s">
        <v>532</v>
      </c>
      <c r="D90" s="202" t="s">
        <v>1234</v>
      </c>
      <c r="E90" s="202">
        <v>5</v>
      </c>
      <c r="F90" t="s">
        <v>37</v>
      </c>
      <c r="G90" s="202">
        <v>89</v>
      </c>
      <c r="L90" s="202">
        <v>3</v>
      </c>
      <c r="M90" s="202" t="s">
        <v>42</v>
      </c>
      <c r="N90" s="202" t="s">
        <v>498</v>
      </c>
      <c r="O90" s="300" t="s">
        <v>276</v>
      </c>
      <c r="P90" s="202" t="s">
        <v>498</v>
      </c>
      <c r="Q90" t="s">
        <v>37</v>
      </c>
      <c r="T90">
        <v>2465</v>
      </c>
      <c r="U90" s="7">
        <v>3</v>
      </c>
      <c r="V90" t="s">
        <v>613</v>
      </c>
      <c r="W90" s="257" t="s">
        <v>625</v>
      </c>
      <c r="X90" t="s">
        <v>628</v>
      </c>
      <c r="Y90" s="316" t="s">
        <v>109</v>
      </c>
      <c r="Z90" s="8">
        <v>280</v>
      </c>
      <c r="AA90" s="202" t="str">
        <f t="shared" si="1"/>
        <v>ОКГ</v>
      </c>
      <c r="AC90" t="s">
        <v>1205</v>
      </c>
      <c r="AD90" t="s">
        <v>726</v>
      </c>
      <c r="AE90" t="s">
        <v>1492</v>
      </c>
      <c r="AG90" t="s">
        <v>1464</v>
      </c>
      <c r="AN90">
        <v>120</v>
      </c>
    </row>
    <row r="91" spans="1:40" ht="15" customHeight="1" x14ac:dyDescent="0.25">
      <c r="A91" t="s">
        <v>153</v>
      </c>
      <c r="B91" s="202">
        <v>9</v>
      </c>
      <c r="C91" s="202" t="s">
        <v>532</v>
      </c>
      <c r="D91" s="202" t="s">
        <v>1220</v>
      </c>
      <c r="E91" s="202">
        <v>5</v>
      </c>
      <c r="F91" t="s">
        <v>37</v>
      </c>
      <c r="G91" s="202">
        <v>90</v>
      </c>
      <c r="L91" s="202">
        <v>3</v>
      </c>
      <c r="M91" s="202" t="s">
        <v>42</v>
      </c>
      <c r="N91" s="202" t="s">
        <v>446</v>
      </c>
      <c r="O91" s="300" t="s">
        <v>281</v>
      </c>
      <c r="P91" s="202" t="s">
        <v>446</v>
      </c>
      <c r="Q91" t="s">
        <v>37</v>
      </c>
      <c r="T91">
        <v>2465</v>
      </c>
      <c r="U91" s="7">
        <v>3</v>
      </c>
      <c r="V91" t="s">
        <v>613</v>
      </c>
      <c r="W91" s="257" t="s">
        <v>625</v>
      </c>
      <c r="X91" t="s">
        <v>628</v>
      </c>
      <c r="Y91" s="316" t="s">
        <v>1214</v>
      </c>
      <c r="Z91" s="8">
        <v>78</v>
      </c>
      <c r="AA91" s="202" t="str">
        <f t="shared" si="1"/>
        <v>Масса мясных и рыбных порций, г</v>
      </c>
      <c r="AC91" t="s">
        <v>1205</v>
      </c>
      <c r="AD91" t="s">
        <v>732</v>
      </c>
      <c r="AE91" t="s">
        <v>1492</v>
      </c>
      <c r="AG91" t="s">
        <v>61</v>
      </c>
      <c r="AN91">
        <v>30</v>
      </c>
    </row>
    <row r="92" spans="1:40" ht="15" customHeight="1" x14ac:dyDescent="0.25">
      <c r="A92" t="s">
        <v>153</v>
      </c>
      <c r="B92" s="202">
        <v>9</v>
      </c>
      <c r="C92" s="202" t="s">
        <v>532</v>
      </c>
      <c r="D92" s="202" t="s">
        <v>1227</v>
      </c>
      <c r="E92" s="202">
        <v>5</v>
      </c>
      <c r="F92" t="s">
        <v>37</v>
      </c>
      <c r="G92" s="202">
        <v>91</v>
      </c>
      <c r="L92" s="202">
        <v>3</v>
      </c>
      <c r="M92" s="202" t="s">
        <v>42</v>
      </c>
      <c r="N92" s="202" t="s">
        <v>446</v>
      </c>
      <c r="O92" s="300" t="s">
        <v>446</v>
      </c>
      <c r="P92" s="202" t="s">
        <v>446</v>
      </c>
      <c r="Q92" t="s">
        <v>37</v>
      </c>
      <c r="T92">
        <v>2007</v>
      </c>
      <c r="U92" s="7">
        <v>3</v>
      </c>
      <c r="V92" t="s">
        <v>613</v>
      </c>
      <c r="W92" s="257" t="s">
        <v>629</v>
      </c>
      <c r="X92" t="s">
        <v>630</v>
      </c>
      <c r="Y92" s="316" t="s">
        <v>454</v>
      </c>
      <c r="Z92" s="8">
        <v>112.5</v>
      </c>
      <c r="AA92" s="202" t="str">
        <f t="shared" si="1"/>
        <v>Говядина б/к</v>
      </c>
      <c r="AC92" t="s">
        <v>1205</v>
      </c>
      <c r="AD92" t="s">
        <v>734</v>
      </c>
      <c r="AE92" t="s">
        <v>1492</v>
      </c>
      <c r="AG92" t="s">
        <v>60</v>
      </c>
      <c r="AN92">
        <v>60</v>
      </c>
    </row>
    <row r="93" spans="1:40" ht="15" customHeight="1" x14ac:dyDescent="0.25">
      <c r="A93" t="s">
        <v>153</v>
      </c>
      <c r="B93" s="202">
        <v>9</v>
      </c>
      <c r="C93" s="202" t="s">
        <v>532</v>
      </c>
      <c r="D93" s="202" t="s">
        <v>1218</v>
      </c>
      <c r="E93" s="202">
        <v>6</v>
      </c>
      <c r="F93" t="s">
        <v>37</v>
      </c>
      <c r="G93" s="202">
        <v>92</v>
      </c>
      <c r="L93" s="202">
        <v>3</v>
      </c>
      <c r="M93" s="202" t="s">
        <v>42</v>
      </c>
      <c r="N93" s="202" t="s">
        <v>328</v>
      </c>
      <c r="O93" s="300" t="s">
        <v>278</v>
      </c>
      <c r="P93" s="202" t="s">
        <v>328</v>
      </c>
      <c r="Q93" t="s">
        <v>37</v>
      </c>
      <c r="T93">
        <v>2008</v>
      </c>
      <c r="U93" s="7">
        <v>3</v>
      </c>
      <c r="V93" t="s">
        <v>613</v>
      </c>
      <c r="W93" s="257" t="s">
        <v>629</v>
      </c>
      <c r="X93" t="s">
        <v>630</v>
      </c>
      <c r="Y93" s="316" t="s">
        <v>326</v>
      </c>
      <c r="Z93" s="8">
        <v>2</v>
      </c>
      <c r="AA93" s="202" t="str">
        <f t="shared" si="1"/>
        <v>Соль</v>
      </c>
      <c r="AC93" t="s">
        <v>1205</v>
      </c>
      <c r="AD93" t="s">
        <v>748</v>
      </c>
      <c r="AE93" t="s">
        <v>1492</v>
      </c>
      <c r="AG93" t="s">
        <v>1465</v>
      </c>
      <c r="AN93">
        <v>150</v>
      </c>
    </row>
    <row r="94" spans="1:40" ht="15" customHeight="1" x14ac:dyDescent="0.25">
      <c r="A94" t="s">
        <v>153</v>
      </c>
      <c r="B94" s="202">
        <v>9</v>
      </c>
      <c r="C94" s="202" t="s">
        <v>532</v>
      </c>
      <c r="D94" s="202" t="s">
        <v>1228</v>
      </c>
      <c r="E94" s="202">
        <v>6</v>
      </c>
      <c r="F94" t="s">
        <v>37</v>
      </c>
      <c r="G94" s="202">
        <v>93</v>
      </c>
      <c r="L94" s="202">
        <v>3</v>
      </c>
      <c r="M94" s="202" t="s">
        <v>42</v>
      </c>
      <c r="N94" s="202" t="s">
        <v>328</v>
      </c>
      <c r="O94" s="300" t="s">
        <v>447</v>
      </c>
      <c r="P94" s="202" t="s">
        <v>328</v>
      </c>
      <c r="Q94" t="s">
        <v>37</v>
      </c>
      <c r="T94">
        <v>2009</v>
      </c>
      <c r="U94" s="7">
        <v>3</v>
      </c>
      <c r="V94" t="s">
        <v>613</v>
      </c>
      <c r="W94" s="257" t="s">
        <v>629</v>
      </c>
      <c r="X94" t="s">
        <v>630</v>
      </c>
      <c r="Y94" s="316" t="s">
        <v>61</v>
      </c>
      <c r="Z94" s="8">
        <v>5</v>
      </c>
      <c r="AA94" s="202" t="str">
        <f t="shared" si="1"/>
        <v>Масло растительное</v>
      </c>
      <c r="AC94" t="s">
        <v>1205</v>
      </c>
      <c r="AD94" t="s">
        <v>750</v>
      </c>
      <c r="AE94" t="s">
        <v>1492</v>
      </c>
      <c r="AG94" t="s">
        <v>1466</v>
      </c>
      <c r="AN94">
        <v>10</v>
      </c>
    </row>
    <row r="95" spans="1:40" ht="15" customHeight="1" x14ac:dyDescent="0.25">
      <c r="A95" t="s">
        <v>153</v>
      </c>
      <c r="B95" s="202">
        <v>9</v>
      </c>
      <c r="C95" s="202" t="s">
        <v>532</v>
      </c>
      <c r="D95" s="202" t="s">
        <v>504</v>
      </c>
      <c r="E95" s="202">
        <v>7</v>
      </c>
      <c r="F95" t="s">
        <v>37</v>
      </c>
      <c r="G95" s="202">
        <v>94</v>
      </c>
      <c r="L95" s="202">
        <v>3</v>
      </c>
      <c r="M95" s="202" t="s">
        <v>42</v>
      </c>
      <c r="N95" s="202" t="s">
        <v>328</v>
      </c>
      <c r="O95" s="300" t="s">
        <v>328</v>
      </c>
      <c r="P95" s="202" t="s">
        <v>328</v>
      </c>
      <c r="Q95" t="s">
        <v>37</v>
      </c>
      <c r="T95">
        <v>2010</v>
      </c>
      <c r="U95" s="7">
        <v>3</v>
      </c>
      <c r="V95" t="s">
        <v>613</v>
      </c>
      <c r="W95" s="257" t="s">
        <v>629</v>
      </c>
      <c r="X95" t="s">
        <v>630</v>
      </c>
      <c r="Y95" s="316" t="s">
        <v>330</v>
      </c>
      <c r="Z95" s="8">
        <v>7</v>
      </c>
      <c r="AA95" s="202" t="str">
        <f t="shared" si="1"/>
        <v>Вода</v>
      </c>
      <c r="AC95" t="s">
        <v>1205</v>
      </c>
      <c r="AD95" t="s">
        <v>756</v>
      </c>
      <c r="AE95" t="s">
        <v>1492</v>
      </c>
      <c r="AG95" t="s">
        <v>1467</v>
      </c>
      <c r="AN95">
        <v>1</v>
      </c>
    </row>
    <row r="96" spans="1:40" ht="15" customHeight="1" x14ac:dyDescent="0.25">
      <c r="A96" t="s">
        <v>153</v>
      </c>
      <c r="B96" s="202">
        <v>9</v>
      </c>
      <c r="C96" s="202" t="s">
        <v>532</v>
      </c>
      <c r="D96" s="202" t="s">
        <v>465</v>
      </c>
      <c r="E96" s="202">
        <v>7</v>
      </c>
      <c r="F96" t="s">
        <v>37</v>
      </c>
      <c r="G96" s="202">
        <v>95</v>
      </c>
      <c r="L96" s="202">
        <v>3</v>
      </c>
      <c r="M96" s="202" t="s">
        <v>42</v>
      </c>
      <c r="N96" s="202" t="s">
        <v>499</v>
      </c>
      <c r="O96" s="300" t="s">
        <v>499</v>
      </c>
      <c r="P96" s="202" t="s">
        <v>499</v>
      </c>
      <c r="Q96" t="s">
        <v>37</v>
      </c>
      <c r="T96">
        <v>2011</v>
      </c>
      <c r="U96" s="7">
        <v>3</v>
      </c>
      <c r="V96" t="s">
        <v>613</v>
      </c>
      <c r="W96" s="257" t="s">
        <v>629</v>
      </c>
      <c r="X96" t="s">
        <v>630</v>
      </c>
      <c r="Y96" s="316" t="s">
        <v>484</v>
      </c>
      <c r="Z96" s="8">
        <v>0.01</v>
      </c>
      <c r="AA96" s="202" t="str">
        <f t="shared" si="1"/>
        <v>Перец черный</v>
      </c>
      <c r="AC96" t="s">
        <v>1205</v>
      </c>
      <c r="AD96" t="s">
        <v>758</v>
      </c>
      <c r="AE96" t="s">
        <v>1492</v>
      </c>
      <c r="AG96" t="s">
        <v>53</v>
      </c>
      <c r="AN96">
        <v>70</v>
      </c>
    </row>
    <row r="97" spans="1:41" ht="15" customHeight="1" x14ac:dyDescent="0.25">
      <c r="A97" t="s">
        <v>153</v>
      </c>
      <c r="B97" s="202">
        <v>9</v>
      </c>
      <c r="C97" s="202" t="s">
        <v>532</v>
      </c>
      <c r="D97" s="202" t="s">
        <v>1221</v>
      </c>
      <c r="E97" s="202">
        <v>8</v>
      </c>
      <c r="F97" t="s">
        <v>37</v>
      </c>
      <c r="G97" s="202">
        <v>96</v>
      </c>
      <c r="L97" s="202">
        <v>3</v>
      </c>
      <c r="M97" s="202" t="s">
        <v>42</v>
      </c>
      <c r="N97" s="202" t="s">
        <v>499</v>
      </c>
      <c r="O97" s="300" t="s">
        <v>47</v>
      </c>
      <c r="P97" s="202" t="s">
        <v>499</v>
      </c>
      <c r="Q97" t="s">
        <v>37</v>
      </c>
      <c r="T97">
        <v>2012</v>
      </c>
      <c r="U97" s="7">
        <v>3</v>
      </c>
      <c r="V97" t="s">
        <v>613</v>
      </c>
      <c r="W97" s="257" t="s">
        <v>629</v>
      </c>
      <c r="X97" t="s">
        <v>630</v>
      </c>
      <c r="Y97" s="316" t="s">
        <v>558</v>
      </c>
      <c r="Z97" s="8">
        <v>56</v>
      </c>
      <c r="AA97" s="202" t="str">
        <f t="shared" si="1"/>
        <v>Общая масса готового блюда, г</v>
      </c>
      <c r="AC97" t="s">
        <v>1205</v>
      </c>
      <c r="AD97" t="s">
        <v>763</v>
      </c>
      <c r="AE97" t="s">
        <v>1492</v>
      </c>
      <c r="AG97" t="s">
        <v>304</v>
      </c>
      <c r="AN97">
        <v>20</v>
      </c>
    </row>
    <row r="98" spans="1:41" ht="15" customHeight="1" x14ac:dyDescent="0.25">
      <c r="A98" t="s">
        <v>153</v>
      </c>
      <c r="B98" s="202">
        <v>9</v>
      </c>
      <c r="C98" s="202" t="s">
        <v>532</v>
      </c>
      <c r="D98" s="202" t="s">
        <v>1222</v>
      </c>
      <c r="E98" s="202">
        <v>8</v>
      </c>
      <c r="F98" t="s">
        <v>37</v>
      </c>
      <c r="G98" s="202">
        <v>97</v>
      </c>
      <c r="L98" s="202">
        <v>3</v>
      </c>
      <c r="M98" s="202" t="s">
        <v>42</v>
      </c>
      <c r="N98" s="202" t="s">
        <v>499</v>
      </c>
      <c r="O98" s="300" t="s">
        <v>339</v>
      </c>
      <c r="P98" s="202" t="s">
        <v>499</v>
      </c>
      <c r="Q98" t="s">
        <v>37</v>
      </c>
      <c r="T98">
        <v>2012</v>
      </c>
      <c r="U98" s="7">
        <v>3</v>
      </c>
      <c r="V98" t="s">
        <v>613</v>
      </c>
      <c r="W98" s="257" t="s">
        <v>629</v>
      </c>
      <c r="X98" t="s">
        <v>630</v>
      </c>
      <c r="Y98" s="316" t="s">
        <v>1214</v>
      </c>
      <c r="Z98" s="8">
        <v>56</v>
      </c>
      <c r="AA98" s="202" t="str">
        <f t="shared" si="1"/>
        <v>Масса мясных и рыбных порций, г</v>
      </c>
      <c r="AC98" t="s">
        <v>1205</v>
      </c>
      <c r="AD98" t="s">
        <v>766</v>
      </c>
      <c r="AE98" t="s">
        <v>1492</v>
      </c>
      <c r="AG98" t="s">
        <v>57</v>
      </c>
      <c r="AN98">
        <v>1</v>
      </c>
    </row>
    <row r="99" spans="1:41" ht="15" customHeight="1" x14ac:dyDescent="0.25">
      <c r="A99" t="s">
        <v>153</v>
      </c>
      <c r="B99" s="202">
        <v>9</v>
      </c>
      <c r="C99" s="202" t="s">
        <v>532</v>
      </c>
      <c r="D99" s="202" t="s">
        <v>1232</v>
      </c>
      <c r="E99" s="202">
        <v>8</v>
      </c>
      <c r="F99" t="s">
        <v>37</v>
      </c>
      <c r="G99" s="202">
        <v>98</v>
      </c>
      <c r="L99" s="202">
        <v>3</v>
      </c>
      <c r="M99" s="202" t="s">
        <v>42</v>
      </c>
      <c r="N99" s="202" t="s">
        <v>499</v>
      </c>
      <c r="O99" s="300" t="s">
        <v>449</v>
      </c>
      <c r="P99" s="202" t="s">
        <v>499</v>
      </c>
      <c r="Q99" t="s">
        <v>37</v>
      </c>
      <c r="T99">
        <v>2001</v>
      </c>
      <c r="U99" s="7">
        <v>3</v>
      </c>
      <c r="V99" t="s">
        <v>613</v>
      </c>
      <c r="W99" s="257" t="s">
        <v>631</v>
      </c>
      <c r="X99" t="s">
        <v>632</v>
      </c>
      <c r="Y99" s="316" t="s">
        <v>455</v>
      </c>
      <c r="Z99" s="8">
        <v>100</v>
      </c>
      <c r="AA99" s="202" t="str">
        <f t="shared" si="1"/>
        <v>Говядина н/к</v>
      </c>
      <c r="AC99" t="s">
        <v>1205</v>
      </c>
      <c r="AD99" t="s">
        <v>767</v>
      </c>
      <c r="AE99" t="s">
        <v>1492</v>
      </c>
      <c r="AG99" t="s">
        <v>1468</v>
      </c>
      <c r="AN99">
        <v>1.5</v>
      </c>
    </row>
    <row r="100" spans="1:41" ht="15" customHeight="1" x14ac:dyDescent="0.25">
      <c r="A100" t="s">
        <v>153</v>
      </c>
      <c r="B100" s="202">
        <v>9</v>
      </c>
      <c r="C100" s="202" t="s">
        <v>532</v>
      </c>
      <c r="D100" s="202" t="s">
        <v>1223</v>
      </c>
      <c r="E100" s="202">
        <v>9</v>
      </c>
      <c r="F100" t="s">
        <v>37</v>
      </c>
      <c r="G100" s="202">
        <v>99</v>
      </c>
      <c r="L100" s="202">
        <v>3</v>
      </c>
      <c r="M100" s="202" t="s">
        <v>42</v>
      </c>
      <c r="N100" s="202" t="s">
        <v>499</v>
      </c>
      <c r="O100" s="300" t="s">
        <v>277</v>
      </c>
      <c r="P100" s="202" t="s">
        <v>499</v>
      </c>
      <c r="Q100" t="s">
        <v>37</v>
      </c>
      <c r="T100">
        <v>2002</v>
      </c>
      <c r="U100" s="7">
        <v>3</v>
      </c>
      <c r="V100" t="s">
        <v>613</v>
      </c>
      <c r="W100" s="257" t="s">
        <v>631</v>
      </c>
      <c r="X100" t="s">
        <v>632</v>
      </c>
      <c r="Y100" s="316" t="s">
        <v>326</v>
      </c>
      <c r="Z100" s="8">
        <v>2</v>
      </c>
      <c r="AA100" s="202" t="str">
        <f t="shared" si="1"/>
        <v>Соль</v>
      </c>
      <c r="AC100" t="s">
        <v>1205</v>
      </c>
      <c r="AD100" t="s">
        <v>769</v>
      </c>
      <c r="AE100" t="s">
        <v>1492</v>
      </c>
      <c r="AG100" t="s">
        <v>74</v>
      </c>
      <c r="AN100">
        <v>0.2</v>
      </c>
    </row>
    <row r="101" spans="1:41" ht="15" customHeight="1" x14ac:dyDescent="0.25">
      <c r="A101" t="s">
        <v>153</v>
      </c>
      <c r="B101" s="202">
        <v>9</v>
      </c>
      <c r="C101" s="202" t="s">
        <v>532</v>
      </c>
      <c r="D101" s="202" t="s">
        <v>1224</v>
      </c>
      <c r="E101" s="202">
        <v>9</v>
      </c>
      <c r="F101" t="s">
        <v>37</v>
      </c>
      <c r="G101" s="202">
        <v>100</v>
      </c>
      <c r="L101" s="202">
        <v>3</v>
      </c>
      <c r="M101" s="202" t="s">
        <v>42</v>
      </c>
      <c r="N101" s="202" t="s">
        <v>448</v>
      </c>
      <c r="O101" s="300" t="s">
        <v>282</v>
      </c>
      <c r="P101" s="202" t="s">
        <v>448</v>
      </c>
      <c r="Q101" t="s">
        <v>37</v>
      </c>
      <c r="T101">
        <v>2003</v>
      </c>
      <c r="U101" s="7">
        <v>3</v>
      </c>
      <c r="V101" t="s">
        <v>613</v>
      </c>
      <c r="W101" s="257" t="s">
        <v>631</v>
      </c>
      <c r="X101" t="s">
        <v>632</v>
      </c>
      <c r="Y101" s="316" t="s">
        <v>61</v>
      </c>
      <c r="Z101" s="8">
        <v>5</v>
      </c>
      <c r="AA101" s="202" t="str">
        <f t="shared" si="1"/>
        <v>Масло растительное</v>
      </c>
      <c r="AC101" t="s">
        <v>1205</v>
      </c>
      <c r="AD101" t="s">
        <v>950</v>
      </c>
      <c r="AE101" t="s">
        <v>1492</v>
      </c>
      <c r="AG101" t="s">
        <v>1469</v>
      </c>
      <c r="AN101">
        <v>0.3</v>
      </c>
    </row>
    <row r="102" spans="1:41" ht="15" customHeight="1" x14ac:dyDescent="0.25">
      <c r="A102" t="s">
        <v>153</v>
      </c>
      <c r="B102" s="202">
        <v>9</v>
      </c>
      <c r="C102" s="202" t="s">
        <v>532</v>
      </c>
      <c r="D102" s="202" t="s">
        <v>1212</v>
      </c>
      <c r="E102" s="202">
        <v>17</v>
      </c>
      <c r="F102" t="s">
        <v>37</v>
      </c>
      <c r="G102" s="202">
        <v>101</v>
      </c>
      <c r="L102" s="202">
        <v>3</v>
      </c>
      <c r="M102" s="202" t="s">
        <v>42</v>
      </c>
      <c r="N102" s="202" t="s">
        <v>448</v>
      </c>
      <c r="O102" s="300" t="s">
        <v>448</v>
      </c>
      <c r="P102" s="202" t="s">
        <v>448</v>
      </c>
      <c r="Q102" t="s">
        <v>37</v>
      </c>
      <c r="T102">
        <v>2004</v>
      </c>
      <c r="U102" s="7">
        <v>3</v>
      </c>
      <c r="V102" t="s">
        <v>613</v>
      </c>
      <c r="W102" s="257" t="s">
        <v>631</v>
      </c>
      <c r="X102" t="s">
        <v>632</v>
      </c>
      <c r="Y102" s="316" t="s">
        <v>330</v>
      </c>
      <c r="Z102" s="8">
        <v>7</v>
      </c>
      <c r="AA102" s="202" t="str">
        <f t="shared" si="1"/>
        <v>Вода</v>
      </c>
      <c r="AC102" t="s">
        <v>1205</v>
      </c>
      <c r="AD102" t="s">
        <v>952</v>
      </c>
      <c r="AE102" t="s">
        <v>1492</v>
      </c>
      <c r="AG102" t="s">
        <v>69</v>
      </c>
      <c r="AN102">
        <v>0.5</v>
      </c>
    </row>
    <row r="103" spans="1:41" ht="15" customHeight="1" x14ac:dyDescent="0.25">
      <c r="A103" t="s">
        <v>153</v>
      </c>
      <c r="B103" s="202">
        <v>9</v>
      </c>
      <c r="C103" s="202" t="s">
        <v>532</v>
      </c>
      <c r="D103" s="202" t="s">
        <v>514</v>
      </c>
      <c r="E103" s="202">
        <v>17</v>
      </c>
      <c r="F103" t="s">
        <v>37</v>
      </c>
      <c r="G103" s="202">
        <v>102</v>
      </c>
      <c r="L103" s="202">
        <v>3</v>
      </c>
      <c r="M103" s="202" t="s">
        <v>42</v>
      </c>
      <c r="N103" s="202" t="s">
        <v>325</v>
      </c>
      <c r="O103" s="300" t="s">
        <v>325</v>
      </c>
      <c r="P103" s="202" t="s">
        <v>325</v>
      </c>
      <c r="Q103" t="s">
        <v>37</v>
      </c>
      <c r="T103">
        <v>2005</v>
      </c>
      <c r="U103" s="7">
        <v>3</v>
      </c>
      <c r="V103" t="s">
        <v>613</v>
      </c>
      <c r="W103" s="257" t="s">
        <v>631</v>
      </c>
      <c r="X103" t="s">
        <v>632</v>
      </c>
      <c r="Y103" s="316" t="s">
        <v>484</v>
      </c>
      <c r="Z103" s="8">
        <v>0.01</v>
      </c>
      <c r="AA103" s="202" t="str">
        <f t="shared" si="1"/>
        <v>Перец черный</v>
      </c>
      <c r="AC103" t="s">
        <v>1205</v>
      </c>
      <c r="AD103" t="s">
        <v>954</v>
      </c>
      <c r="AE103" t="s">
        <v>1492</v>
      </c>
      <c r="AG103" t="s">
        <v>77</v>
      </c>
      <c r="AN103">
        <v>2</v>
      </c>
    </row>
    <row r="104" spans="1:41" ht="15" customHeight="1" x14ac:dyDescent="0.25">
      <c r="A104" t="s">
        <v>153</v>
      </c>
      <c r="B104" s="202">
        <v>9</v>
      </c>
      <c r="C104" s="202" t="s">
        <v>532</v>
      </c>
      <c r="D104" s="202" t="s">
        <v>1231</v>
      </c>
      <c r="E104" s="202">
        <v>20</v>
      </c>
      <c r="F104" t="s">
        <v>37</v>
      </c>
      <c r="G104" s="202">
        <v>103</v>
      </c>
      <c r="L104" s="202">
        <v>3</v>
      </c>
      <c r="M104" s="202" t="s">
        <v>42</v>
      </c>
      <c r="N104" s="202" t="s">
        <v>48</v>
      </c>
      <c r="O104" s="300" t="s">
        <v>270</v>
      </c>
      <c r="P104" s="202" t="s">
        <v>48</v>
      </c>
      <c r="Q104" t="s">
        <v>37</v>
      </c>
      <c r="T104">
        <v>2006</v>
      </c>
      <c r="U104" s="7">
        <v>3</v>
      </c>
      <c r="V104" t="s">
        <v>613</v>
      </c>
      <c r="W104" s="257" t="s">
        <v>631</v>
      </c>
      <c r="X104" t="s">
        <v>632</v>
      </c>
      <c r="Y104" s="316" t="s">
        <v>558</v>
      </c>
      <c r="Z104" s="8">
        <v>56</v>
      </c>
      <c r="AA104" s="202" t="str">
        <f t="shared" si="1"/>
        <v>Общая масса готового блюда, г</v>
      </c>
      <c r="AC104" t="s">
        <v>1206</v>
      </c>
      <c r="AD104" t="s">
        <v>1206</v>
      </c>
      <c r="AE104" t="s">
        <v>1493</v>
      </c>
      <c r="AG104" t="s">
        <v>1470</v>
      </c>
      <c r="AN104">
        <v>6</v>
      </c>
    </row>
    <row r="105" spans="1:41" ht="15" customHeight="1" x14ac:dyDescent="0.25">
      <c r="A105" t="s">
        <v>153</v>
      </c>
      <c r="B105" s="202">
        <v>9</v>
      </c>
      <c r="C105" s="202" t="s">
        <v>532</v>
      </c>
      <c r="D105" s="202" t="s">
        <v>515</v>
      </c>
      <c r="E105" s="202">
        <v>20</v>
      </c>
      <c r="F105" t="s">
        <v>37</v>
      </c>
      <c r="G105" s="202">
        <v>104</v>
      </c>
      <c r="L105" s="202">
        <v>3</v>
      </c>
      <c r="M105" s="202" t="s">
        <v>42</v>
      </c>
      <c r="N105" s="202" t="s">
        <v>48</v>
      </c>
      <c r="O105" s="300" t="s">
        <v>48</v>
      </c>
      <c r="P105" s="202" t="s">
        <v>48</v>
      </c>
      <c r="Q105" t="s">
        <v>37</v>
      </c>
      <c r="T105">
        <v>2006</v>
      </c>
      <c r="U105" s="7">
        <v>3</v>
      </c>
      <c r="V105" t="s">
        <v>613</v>
      </c>
      <c r="W105" s="257" t="s">
        <v>631</v>
      </c>
      <c r="X105" t="s">
        <v>632</v>
      </c>
      <c r="Y105" s="316" t="s">
        <v>1214</v>
      </c>
      <c r="Z105" s="8">
        <v>56</v>
      </c>
      <c r="AA105" s="202" t="str">
        <f t="shared" si="1"/>
        <v>Масса мясных и рыбных порций, г</v>
      </c>
      <c r="AC105" t="s">
        <v>1206</v>
      </c>
      <c r="AD105" t="s">
        <v>626</v>
      </c>
      <c r="AE105" t="s">
        <v>1493</v>
      </c>
      <c r="AG105" t="s">
        <v>1471</v>
      </c>
      <c r="AN105">
        <v>0.5</v>
      </c>
    </row>
    <row r="106" spans="1:41" ht="15" customHeight="1" x14ac:dyDescent="0.25">
      <c r="A106" t="s">
        <v>153</v>
      </c>
      <c r="B106" s="202">
        <v>9</v>
      </c>
      <c r="C106" s="202" t="s">
        <v>532</v>
      </c>
      <c r="D106" s="202" t="s">
        <v>518</v>
      </c>
      <c r="E106" s="202">
        <v>25</v>
      </c>
      <c r="F106" t="s">
        <v>37</v>
      </c>
      <c r="G106" s="202">
        <v>105</v>
      </c>
      <c r="L106" s="202">
        <v>3</v>
      </c>
      <c r="M106" s="202" t="s">
        <v>42</v>
      </c>
      <c r="N106" s="202" t="s">
        <v>331</v>
      </c>
      <c r="O106" s="300" t="s">
        <v>271</v>
      </c>
      <c r="P106" s="202" t="s">
        <v>331</v>
      </c>
      <c r="Q106" t="s">
        <v>37</v>
      </c>
      <c r="T106">
        <v>16</v>
      </c>
      <c r="U106" s="7">
        <v>3</v>
      </c>
      <c r="V106" t="s">
        <v>555</v>
      </c>
      <c r="W106" s="257" t="s">
        <v>1309</v>
      </c>
      <c r="X106" t="s">
        <v>1310</v>
      </c>
      <c r="Y106" s="316" t="s">
        <v>48</v>
      </c>
      <c r="Z106" s="8">
        <v>60</v>
      </c>
      <c r="AA106" s="202" t="str">
        <f t="shared" si="1"/>
        <v>Свекла</v>
      </c>
      <c r="AC106" t="s">
        <v>1206</v>
      </c>
      <c r="AD106" t="s">
        <v>628</v>
      </c>
      <c r="AE106" t="s">
        <v>1493</v>
      </c>
      <c r="AG106" t="s">
        <v>1472</v>
      </c>
      <c r="AN106">
        <v>900</v>
      </c>
    </row>
    <row r="107" spans="1:41" ht="15" customHeight="1" x14ac:dyDescent="0.25">
      <c r="A107" t="s">
        <v>153</v>
      </c>
      <c r="B107" s="202">
        <v>9</v>
      </c>
      <c r="C107" s="202" t="s">
        <v>532</v>
      </c>
      <c r="D107" s="202" t="s">
        <v>519</v>
      </c>
      <c r="E107" s="202">
        <v>26</v>
      </c>
      <c r="F107" t="s">
        <v>37</v>
      </c>
      <c r="G107" s="202">
        <v>106</v>
      </c>
      <c r="L107" s="202">
        <v>3</v>
      </c>
      <c r="M107" s="202" t="s">
        <v>42</v>
      </c>
      <c r="N107" s="202" t="s">
        <v>331</v>
      </c>
      <c r="O107" s="300" t="s">
        <v>331</v>
      </c>
      <c r="P107" s="202" t="s">
        <v>331</v>
      </c>
      <c r="Q107" t="s">
        <v>37</v>
      </c>
      <c r="T107">
        <v>17</v>
      </c>
      <c r="U107" s="7">
        <v>3</v>
      </c>
      <c r="V107" t="s">
        <v>555</v>
      </c>
      <c r="W107" s="257" t="s">
        <v>1309</v>
      </c>
      <c r="X107" t="s">
        <v>1310</v>
      </c>
      <c r="Y107" s="316" t="s">
        <v>489</v>
      </c>
      <c r="Z107" s="8">
        <v>80</v>
      </c>
      <c r="AA107" s="202" t="str">
        <f t="shared" si="1"/>
        <v>Капуста консерв.</v>
      </c>
      <c r="AC107" t="s">
        <v>1206</v>
      </c>
      <c r="AD107" t="s">
        <v>659</v>
      </c>
      <c r="AE107" t="s">
        <v>1493</v>
      </c>
      <c r="AG107" t="s">
        <v>1473</v>
      </c>
    </row>
    <row r="108" spans="1:41" ht="15" customHeight="1" x14ac:dyDescent="0.25">
      <c r="A108" t="s">
        <v>153</v>
      </c>
      <c r="B108" s="202">
        <v>9</v>
      </c>
      <c r="C108" s="202" t="s">
        <v>532</v>
      </c>
      <c r="D108" s="202" t="s">
        <v>419</v>
      </c>
      <c r="E108" s="202">
        <v>27</v>
      </c>
      <c r="F108" t="s">
        <v>37</v>
      </c>
      <c r="G108" s="202">
        <v>107</v>
      </c>
      <c r="L108" s="202">
        <v>3</v>
      </c>
      <c r="M108" s="202" t="s">
        <v>180</v>
      </c>
      <c r="N108" s="202" t="s">
        <v>436</v>
      </c>
      <c r="O108" s="300" t="s">
        <v>435</v>
      </c>
      <c r="P108" s="202" t="s">
        <v>436</v>
      </c>
      <c r="Q108" t="s">
        <v>37</v>
      </c>
      <c r="T108">
        <v>18</v>
      </c>
      <c r="U108" s="7">
        <v>3</v>
      </c>
      <c r="V108" t="s">
        <v>555</v>
      </c>
      <c r="W108" s="257" t="s">
        <v>1309</v>
      </c>
      <c r="X108" t="s">
        <v>1310</v>
      </c>
      <c r="Y108" s="316" t="s">
        <v>46</v>
      </c>
      <c r="Z108" s="8">
        <v>10</v>
      </c>
      <c r="AA108" s="202" t="str">
        <f t="shared" si="1"/>
        <v>Морковь</v>
      </c>
      <c r="AC108" t="s">
        <v>1206</v>
      </c>
      <c r="AD108" t="s">
        <v>661</v>
      </c>
      <c r="AE108" t="s">
        <v>1493</v>
      </c>
      <c r="AG108" t="s">
        <v>1474</v>
      </c>
      <c r="AO108">
        <v>600</v>
      </c>
    </row>
    <row r="109" spans="1:41" ht="15" customHeight="1" x14ac:dyDescent="0.25">
      <c r="A109" t="s">
        <v>153</v>
      </c>
      <c r="B109" s="202">
        <v>9</v>
      </c>
      <c r="C109" s="202" t="s">
        <v>532</v>
      </c>
      <c r="D109" s="202" t="s">
        <v>533</v>
      </c>
      <c r="E109" s="202">
        <v>28</v>
      </c>
      <c r="F109" t="s">
        <v>37</v>
      </c>
      <c r="G109" s="202">
        <v>108</v>
      </c>
      <c r="L109" s="202">
        <v>3</v>
      </c>
      <c r="M109" s="202" t="s">
        <v>180</v>
      </c>
      <c r="N109" s="202" t="s">
        <v>436</v>
      </c>
      <c r="O109" s="300" t="s">
        <v>436</v>
      </c>
      <c r="P109" s="202" t="s">
        <v>436</v>
      </c>
      <c r="Q109" t="s">
        <v>37</v>
      </c>
      <c r="T109">
        <v>19</v>
      </c>
      <c r="U109" s="7">
        <v>3</v>
      </c>
      <c r="V109" t="s">
        <v>555</v>
      </c>
      <c r="W109" s="257" t="s">
        <v>1309</v>
      </c>
      <c r="X109" t="s">
        <v>1310</v>
      </c>
      <c r="Y109" s="316" t="s">
        <v>32</v>
      </c>
      <c r="Z109" s="8">
        <v>5</v>
      </c>
      <c r="AA109" s="202" t="str">
        <f t="shared" si="1"/>
        <v>Лук репчатый</v>
      </c>
      <c r="AC109" t="s">
        <v>1206</v>
      </c>
      <c r="AD109" t="s">
        <v>738</v>
      </c>
      <c r="AE109" t="s">
        <v>1493</v>
      </c>
      <c r="AG109" t="s">
        <v>1475</v>
      </c>
      <c r="AO109">
        <v>120</v>
      </c>
    </row>
    <row r="110" spans="1:41" ht="15" customHeight="1" x14ac:dyDescent="0.25">
      <c r="A110" t="s">
        <v>153</v>
      </c>
      <c r="B110" s="202">
        <v>10</v>
      </c>
      <c r="C110" s="202" t="s">
        <v>534</v>
      </c>
      <c r="D110" s="202" t="s">
        <v>1245</v>
      </c>
      <c r="E110">
        <v>1</v>
      </c>
      <c r="F110" t="s">
        <v>37</v>
      </c>
      <c r="G110" s="202">
        <v>109</v>
      </c>
      <c r="L110" s="202">
        <v>3</v>
      </c>
      <c r="M110" s="202" t="s">
        <v>42</v>
      </c>
      <c r="N110" s="202" t="s">
        <v>500</v>
      </c>
      <c r="O110" s="300" t="s">
        <v>280</v>
      </c>
      <c r="P110" s="202" t="s">
        <v>500</v>
      </c>
      <c r="Q110" t="s">
        <v>37</v>
      </c>
      <c r="T110">
        <v>20</v>
      </c>
      <c r="U110" s="7">
        <v>3</v>
      </c>
      <c r="V110" t="s">
        <v>555</v>
      </c>
      <c r="W110" s="257" t="s">
        <v>1309</v>
      </c>
      <c r="X110" t="s">
        <v>1310</v>
      </c>
      <c r="Y110" s="316" t="s">
        <v>45</v>
      </c>
      <c r="Z110" s="8">
        <v>120</v>
      </c>
      <c r="AA110" s="202" t="str">
        <f t="shared" si="1"/>
        <v>Картофель</v>
      </c>
      <c r="AC110" t="s">
        <v>1206</v>
      </c>
      <c r="AD110" t="s">
        <v>740</v>
      </c>
      <c r="AE110" t="s">
        <v>1493</v>
      </c>
      <c r="AG110" t="s">
        <v>1476</v>
      </c>
      <c r="AO110">
        <v>30</v>
      </c>
    </row>
    <row r="111" spans="1:41" ht="15" customHeight="1" x14ac:dyDescent="0.25">
      <c r="A111" t="s">
        <v>153</v>
      </c>
      <c r="B111" s="202">
        <v>10</v>
      </c>
      <c r="C111" s="202" t="s">
        <v>534</v>
      </c>
      <c r="D111" s="202" t="s">
        <v>53</v>
      </c>
      <c r="E111">
        <v>3</v>
      </c>
      <c r="F111" t="s">
        <v>37</v>
      </c>
      <c r="G111" s="202">
        <v>111</v>
      </c>
      <c r="L111" s="202">
        <v>3</v>
      </c>
      <c r="M111" s="202" t="s">
        <v>42</v>
      </c>
      <c r="N111" s="202" t="s">
        <v>500</v>
      </c>
      <c r="O111" s="300" t="s">
        <v>500</v>
      </c>
      <c r="P111" s="202" t="s">
        <v>500</v>
      </c>
      <c r="Q111" t="s">
        <v>37</v>
      </c>
      <c r="T111">
        <v>21</v>
      </c>
      <c r="U111" s="7">
        <v>3</v>
      </c>
      <c r="V111" t="s">
        <v>555</v>
      </c>
      <c r="W111" s="257" t="s">
        <v>1309</v>
      </c>
      <c r="X111" t="s">
        <v>1310</v>
      </c>
      <c r="Y111" s="316" t="s">
        <v>76</v>
      </c>
      <c r="Z111" s="8">
        <v>3</v>
      </c>
      <c r="AA111" s="202" t="str">
        <f t="shared" si="1"/>
        <v>Томат-паста</v>
      </c>
      <c r="AC111" t="s">
        <v>1206</v>
      </c>
      <c r="AD111" t="s">
        <v>742</v>
      </c>
      <c r="AE111" t="s">
        <v>1493</v>
      </c>
      <c r="AG111" t="s">
        <v>1477</v>
      </c>
      <c r="AO111">
        <v>40</v>
      </c>
    </row>
    <row r="112" spans="1:41" ht="15" customHeight="1" x14ac:dyDescent="0.25">
      <c r="A112" t="s">
        <v>153</v>
      </c>
      <c r="B112" s="202">
        <v>10</v>
      </c>
      <c r="C112" s="202" t="s">
        <v>534</v>
      </c>
      <c r="D112" s="202" t="s">
        <v>326</v>
      </c>
      <c r="E112">
        <v>4</v>
      </c>
      <c r="F112" t="s">
        <v>37</v>
      </c>
      <c r="G112" s="202">
        <v>112</v>
      </c>
      <c r="L112" s="202">
        <v>3</v>
      </c>
      <c r="M112" s="202" t="s">
        <v>42</v>
      </c>
      <c r="N112" s="202" t="s">
        <v>501</v>
      </c>
      <c r="O112" s="300" t="s">
        <v>286</v>
      </c>
      <c r="P112" s="202" t="s">
        <v>501</v>
      </c>
      <c r="Q112" t="s">
        <v>37</v>
      </c>
      <c r="T112">
        <v>22</v>
      </c>
      <c r="U112" s="7">
        <v>3</v>
      </c>
      <c r="V112" t="s">
        <v>555</v>
      </c>
      <c r="W112" s="257" t="s">
        <v>1309</v>
      </c>
      <c r="X112" t="s">
        <v>1310</v>
      </c>
      <c r="Y112" s="316" t="s">
        <v>61</v>
      </c>
      <c r="Z112" s="8">
        <v>4</v>
      </c>
      <c r="AA112" s="202" t="str">
        <f t="shared" si="1"/>
        <v>Масло растительное</v>
      </c>
      <c r="AC112" t="s">
        <v>1206</v>
      </c>
      <c r="AD112" t="s">
        <v>744</v>
      </c>
      <c r="AE112" t="s">
        <v>1493</v>
      </c>
      <c r="AG112" t="s">
        <v>1478</v>
      </c>
      <c r="AO112">
        <v>50</v>
      </c>
    </row>
    <row r="113" spans="1:41" ht="15" customHeight="1" x14ac:dyDescent="0.25">
      <c r="A113" t="s">
        <v>153</v>
      </c>
      <c r="B113" s="202">
        <v>10</v>
      </c>
      <c r="C113" s="202" t="s">
        <v>534</v>
      </c>
      <c r="D113" s="202" t="s">
        <v>74</v>
      </c>
      <c r="E113">
        <v>5</v>
      </c>
      <c r="F113" t="s">
        <v>37</v>
      </c>
      <c r="G113" s="202">
        <v>113</v>
      </c>
      <c r="L113" s="202">
        <v>3</v>
      </c>
      <c r="M113" s="202" t="s">
        <v>42</v>
      </c>
      <c r="N113" s="202" t="s">
        <v>501</v>
      </c>
      <c r="O113" s="300" t="s">
        <v>287</v>
      </c>
      <c r="P113" s="202" t="s">
        <v>501</v>
      </c>
      <c r="Q113" t="s">
        <v>37</v>
      </c>
      <c r="T113">
        <v>23</v>
      </c>
      <c r="U113" s="7">
        <v>3</v>
      </c>
      <c r="V113" t="s">
        <v>555</v>
      </c>
      <c r="W113" s="257" t="s">
        <v>1309</v>
      </c>
      <c r="X113" t="s">
        <v>1310</v>
      </c>
      <c r="Y113" s="316" t="s">
        <v>486</v>
      </c>
      <c r="Z113" s="8">
        <v>2</v>
      </c>
      <c r="AA113" s="202" t="str">
        <f t="shared" si="1"/>
        <v>Уксус</v>
      </c>
      <c r="AC113" t="s">
        <v>1206</v>
      </c>
      <c r="AD113" t="s">
        <v>746</v>
      </c>
      <c r="AE113" t="s">
        <v>1493</v>
      </c>
      <c r="AG113" t="s">
        <v>1479</v>
      </c>
      <c r="AO113">
        <v>60</v>
      </c>
    </row>
    <row r="114" spans="1:41" ht="15" customHeight="1" x14ac:dyDescent="0.25">
      <c r="A114" t="s">
        <v>153</v>
      </c>
      <c r="B114" s="202">
        <v>10</v>
      </c>
      <c r="C114" s="202" t="s">
        <v>534</v>
      </c>
      <c r="D114" s="202" t="s">
        <v>484</v>
      </c>
      <c r="E114">
        <v>6</v>
      </c>
      <c r="F114" t="s">
        <v>37</v>
      </c>
      <c r="G114" s="202">
        <v>114</v>
      </c>
      <c r="L114" s="202">
        <v>3</v>
      </c>
      <c r="M114" s="202" t="s">
        <v>42</v>
      </c>
      <c r="N114" s="202" t="s">
        <v>501</v>
      </c>
      <c r="O114" s="300" t="s">
        <v>501</v>
      </c>
      <c r="P114" s="202" t="s">
        <v>501</v>
      </c>
      <c r="Q114" t="s">
        <v>37</v>
      </c>
      <c r="T114">
        <v>24</v>
      </c>
      <c r="U114" s="7">
        <v>3</v>
      </c>
      <c r="V114" t="s">
        <v>555</v>
      </c>
      <c r="W114" s="257" t="s">
        <v>1309</v>
      </c>
      <c r="X114" t="s">
        <v>1310</v>
      </c>
      <c r="Y114" s="316" t="s">
        <v>479</v>
      </c>
      <c r="Z114" s="8">
        <v>400</v>
      </c>
      <c r="AA114" s="202" t="str">
        <f t="shared" si="1"/>
        <v>Вода или бульон</v>
      </c>
      <c r="AC114" t="s">
        <v>1206</v>
      </c>
      <c r="AD114" t="s">
        <v>1193</v>
      </c>
      <c r="AE114" t="s">
        <v>1493</v>
      </c>
      <c r="AG114" t="s">
        <v>1480</v>
      </c>
      <c r="AN114">
        <v>100</v>
      </c>
    </row>
    <row r="115" spans="1:41" ht="15" customHeight="1" x14ac:dyDescent="0.25">
      <c r="A115" t="s">
        <v>153</v>
      </c>
      <c r="B115" s="202">
        <v>10</v>
      </c>
      <c r="C115" s="202" t="s">
        <v>534</v>
      </c>
      <c r="D115" s="202" t="s">
        <v>76</v>
      </c>
      <c r="E115">
        <v>7</v>
      </c>
      <c r="F115" t="s">
        <v>37</v>
      </c>
      <c r="G115" s="202">
        <v>115</v>
      </c>
      <c r="L115" s="202">
        <v>3</v>
      </c>
      <c r="M115" s="202" t="s">
        <v>180</v>
      </c>
      <c r="N115" s="202" t="s">
        <v>51</v>
      </c>
      <c r="O115" s="300" t="s">
        <v>51</v>
      </c>
      <c r="P115" s="202" t="s">
        <v>51</v>
      </c>
      <c r="Q115" t="s">
        <v>37</v>
      </c>
      <c r="T115">
        <v>25</v>
      </c>
      <c r="U115" s="7">
        <v>3</v>
      </c>
      <c r="V115" t="s">
        <v>555</v>
      </c>
      <c r="W115" s="257" t="s">
        <v>1309</v>
      </c>
      <c r="X115" t="s">
        <v>1310</v>
      </c>
      <c r="Y115" s="316" t="s">
        <v>54</v>
      </c>
      <c r="Z115" s="8">
        <v>5</v>
      </c>
      <c r="AA115" s="202" t="str">
        <f t="shared" si="1"/>
        <v>Сметана</v>
      </c>
      <c r="AC115" t="s">
        <v>1206</v>
      </c>
      <c r="AD115" t="s">
        <v>932</v>
      </c>
      <c r="AE115" t="s">
        <v>1493</v>
      </c>
      <c r="AG115" t="s">
        <v>1481</v>
      </c>
      <c r="AN115">
        <v>30</v>
      </c>
    </row>
    <row r="116" spans="1:41" ht="15" customHeight="1" x14ac:dyDescent="0.25">
      <c r="A116" t="s">
        <v>153</v>
      </c>
      <c r="B116" s="202">
        <v>10</v>
      </c>
      <c r="C116" s="202" t="s">
        <v>534</v>
      </c>
      <c r="D116" s="202" t="s">
        <v>142</v>
      </c>
      <c r="E116">
        <v>8</v>
      </c>
      <c r="F116" t="s">
        <v>37</v>
      </c>
      <c r="G116" s="202">
        <v>116</v>
      </c>
      <c r="L116" s="202">
        <v>3</v>
      </c>
      <c r="M116" s="202" t="s">
        <v>180</v>
      </c>
      <c r="N116" s="202" t="s">
        <v>51</v>
      </c>
      <c r="O116" s="300" t="s">
        <v>415</v>
      </c>
      <c r="P116" s="202" t="s">
        <v>51</v>
      </c>
      <c r="Q116" t="s">
        <v>37</v>
      </c>
      <c r="T116">
        <v>26</v>
      </c>
      <c r="U116" s="7">
        <v>3</v>
      </c>
      <c r="V116" t="s">
        <v>555</v>
      </c>
      <c r="W116" s="257" t="s">
        <v>1309</v>
      </c>
      <c r="X116" t="s">
        <v>1310</v>
      </c>
      <c r="Y116" s="316" t="s">
        <v>70</v>
      </c>
      <c r="Z116" s="8">
        <v>5</v>
      </c>
      <c r="AA116" s="202" t="str">
        <f t="shared" si="1"/>
        <v>Зелень</v>
      </c>
      <c r="AC116" t="s">
        <v>1206</v>
      </c>
      <c r="AD116" t="s">
        <v>934</v>
      </c>
      <c r="AE116" t="s">
        <v>1493</v>
      </c>
      <c r="AG116" t="s">
        <v>1482</v>
      </c>
      <c r="AN116">
        <v>1</v>
      </c>
    </row>
    <row r="117" spans="1:41" ht="15" customHeight="1" x14ac:dyDescent="0.25">
      <c r="A117" t="s">
        <v>153</v>
      </c>
      <c r="B117" s="202">
        <v>10</v>
      </c>
      <c r="C117" s="202" t="s">
        <v>534</v>
      </c>
      <c r="D117" s="202" t="s">
        <v>69</v>
      </c>
      <c r="E117">
        <v>9</v>
      </c>
      <c r="F117" t="s">
        <v>37</v>
      </c>
      <c r="G117" s="202">
        <v>117</v>
      </c>
      <c r="L117" s="202">
        <v>3</v>
      </c>
      <c r="M117" s="202" t="s">
        <v>180</v>
      </c>
      <c r="N117" s="202" t="s">
        <v>411</v>
      </c>
      <c r="O117" s="300" t="s">
        <v>201</v>
      </c>
      <c r="P117" s="202" t="s">
        <v>411</v>
      </c>
      <c r="Q117" t="s">
        <v>37</v>
      </c>
      <c r="T117">
        <v>27</v>
      </c>
      <c r="U117" s="7">
        <v>3</v>
      </c>
      <c r="V117" t="s">
        <v>555</v>
      </c>
      <c r="W117" s="257" t="s">
        <v>1309</v>
      </c>
      <c r="X117" t="s">
        <v>1310</v>
      </c>
      <c r="Y117" s="316" t="s">
        <v>326</v>
      </c>
      <c r="Z117" s="8">
        <v>4</v>
      </c>
      <c r="AA117" s="202" t="str">
        <f t="shared" si="1"/>
        <v>Соль</v>
      </c>
      <c r="AC117" t="s">
        <v>1206</v>
      </c>
      <c r="AD117" t="s">
        <v>936</v>
      </c>
      <c r="AE117" t="s">
        <v>1493</v>
      </c>
      <c r="AN117">
        <f>SUM(AN83:AN116)</f>
        <v>2689</v>
      </c>
    </row>
    <row r="118" spans="1:41" ht="15" customHeight="1" x14ac:dyDescent="0.25">
      <c r="A118" t="s">
        <v>153</v>
      </c>
      <c r="B118" s="202">
        <v>10</v>
      </c>
      <c r="C118" s="202" t="s">
        <v>534</v>
      </c>
      <c r="D118" s="202" t="s">
        <v>323</v>
      </c>
      <c r="E118">
        <v>10</v>
      </c>
      <c r="F118" t="s">
        <v>37</v>
      </c>
      <c r="G118" s="202">
        <v>118</v>
      </c>
      <c r="L118" s="202">
        <v>3</v>
      </c>
      <c r="M118" s="202" t="s">
        <v>180</v>
      </c>
      <c r="N118" s="202" t="s">
        <v>411</v>
      </c>
      <c r="O118" s="300" t="s">
        <v>202</v>
      </c>
      <c r="P118" s="202" t="s">
        <v>411</v>
      </c>
      <c r="Q118" t="s">
        <v>37</v>
      </c>
      <c r="T118">
        <v>30</v>
      </c>
      <c r="U118" s="7">
        <v>3</v>
      </c>
      <c r="V118" t="s">
        <v>555</v>
      </c>
      <c r="W118" s="257" t="s">
        <v>1309</v>
      </c>
      <c r="X118" t="s">
        <v>1310</v>
      </c>
      <c r="Y118" s="316" t="s">
        <v>558</v>
      </c>
      <c r="Z118" s="8">
        <v>529</v>
      </c>
      <c r="AA118" s="202" t="str">
        <f t="shared" si="1"/>
        <v>Общая масса готового блюда, г</v>
      </c>
      <c r="AC118" t="s">
        <v>1207</v>
      </c>
      <c r="AD118" t="s">
        <v>1207</v>
      </c>
      <c r="AE118" t="s">
        <v>1492</v>
      </c>
    </row>
    <row r="119" spans="1:41" ht="15" customHeight="1" x14ac:dyDescent="0.25">
      <c r="A119" t="s">
        <v>153</v>
      </c>
      <c r="B119" s="202">
        <v>10</v>
      </c>
      <c r="C119" s="202" t="s">
        <v>534</v>
      </c>
      <c r="D119" s="202" t="s">
        <v>77</v>
      </c>
      <c r="E119">
        <v>11</v>
      </c>
      <c r="F119" t="s">
        <v>37</v>
      </c>
      <c r="G119" s="202">
        <v>119</v>
      </c>
      <c r="L119" s="202">
        <v>3</v>
      </c>
      <c r="M119" s="202" t="s">
        <v>180</v>
      </c>
      <c r="N119" s="202" t="s">
        <v>411</v>
      </c>
      <c r="O119" s="300" t="s">
        <v>411</v>
      </c>
      <c r="P119" s="202" t="s">
        <v>411</v>
      </c>
      <c r="Q119" t="s">
        <v>37</v>
      </c>
      <c r="T119">
        <v>31</v>
      </c>
      <c r="U119" s="7">
        <v>3</v>
      </c>
      <c r="V119" t="s">
        <v>555</v>
      </c>
      <c r="W119" s="257" t="s">
        <v>1309</v>
      </c>
      <c r="X119" t="s">
        <v>1310</v>
      </c>
      <c r="Y119" s="316" t="s">
        <v>109</v>
      </c>
      <c r="Z119" s="8">
        <v>265</v>
      </c>
      <c r="AA119" s="202" t="str">
        <f t="shared" si="1"/>
        <v>ОКГ</v>
      </c>
      <c r="AC119" t="s">
        <v>1207</v>
      </c>
      <c r="AD119" t="s">
        <v>646</v>
      </c>
      <c r="AE119" t="s">
        <v>1492</v>
      </c>
    </row>
    <row r="120" spans="1:41" ht="15" customHeight="1" x14ac:dyDescent="0.25">
      <c r="A120" t="s">
        <v>153</v>
      </c>
      <c r="B120" s="202">
        <v>10</v>
      </c>
      <c r="C120" s="202" t="s">
        <v>534</v>
      </c>
      <c r="D120" s="202" t="s">
        <v>535</v>
      </c>
      <c r="E120">
        <v>12</v>
      </c>
      <c r="F120" t="s">
        <v>37</v>
      </c>
      <c r="G120" s="202">
        <v>120</v>
      </c>
      <c r="L120" s="202">
        <v>3</v>
      </c>
      <c r="M120" s="202" t="s">
        <v>180</v>
      </c>
      <c r="N120" s="202" t="s">
        <v>411</v>
      </c>
      <c r="O120" s="300" t="s">
        <v>438</v>
      </c>
      <c r="P120" s="202" t="s">
        <v>411</v>
      </c>
      <c r="Q120" t="s">
        <v>37</v>
      </c>
      <c r="T120">
        <v>116</v>
      </c>
      <c r="U120" s="7">
        <v>3</v>
      </c>
      <c r="V120" t="s">
        <v>555</v>
      </c>
      <c r="W120" s="257" t="s">
        <v>1309</v>
      </c>
      <c r="X120" t="s">
        <v>1310</v>
      </c>
      <c r="Y120" s="316" t="s">
        <v>74</v>
      </c>
      <c r="Z120" s="8">
        <v>0.02</v>
      </c>
      <c r="AA120" s="202" t="str">
        <f t="shared" si="1"/>
        <v>Лавровый лист</v>
      </c>
      <c r="AC120" t="s">
        <v>1207</v>
      </c>
      <c r="AD120" t="s">
        <v>675</v>
      </c>
      <c r="AE120" t="s">
        <v>1492</v>
      </c>
    </row>
    <row r="121" spans="1:41" ht="15" customHeight="1" x14ac:dyDescent="0.25">
      <c r="A121" t="s">
        <v>153</v>
      </c>
      <c r="B121" s="202">
        <v>10</v>
      </c>
      <c r="C121" s="202" t="s">
        <v>534</v>
      </c>
      <c r="D121" s="202" t="s">
        <v>1519</v>
      </c>
      <c r="E121">
        <v>13</v>
      </c>
      <c r="F121" t="s">
        <v>37</v>
      </c>
      <c r="G121" s="202">
        <v>121</v>
      </c>
      <c r="L121" s="202">
        <v>3</v>
      </c>
      <c r="M121" s="202" t="s">
        <v>42</v>
      </c>
      <c r="N121" s="202" t="s">
        <v>49</v>
      </c>
      <c r="O121" s="300" t="s">
        <v>285</v>
      </c>
      <c r="P121" s="202" t="s">
        <v>49</v>
      </c>
      <c r="Q121" t="s">
        <v>37</v>
      </c>
      <c r="T121">
        <v>117</v>
      </c>
      <c r="U121" s="7">
        <v>3</v>
      </c>
      <c r="V121" t="s">
        <v>555</v>
      </c>
      <c r="W121" s="257" t="s">
        <v>1309</v>
      </c>
      <c r="X121" t="s">
        <v>1310</v>
      </c>
      <c r="Y121" s="316" t="s">
        <v>484</v>
      </c>
      <c r="Z121" s="8">
        <v>0.05</v>
      </c>
      <c r="AA121" s="202" t="str">
        <f t="shared" si="1"/>
        <v>Перец черный</v>
      </c>
      <c r="AC121" t="s">
        <v>1207</v>
      </c>
      <c r="AD121" t="s">
        <v>677</v>
      </c>
      <c r="AE121" t="s">
        <v>1492</v>
      </c>
    </row>
    <row r="122" spans="1:41" ht="15" customHeight="1" x14ac:dyDescent="0.25">
      <c r="A122" t="s">
        <v>153</v>
      </c>
      <c r="B122" s="202">
        <v>10</v>
      </c>
      <c r="C122" s="202" t="s">
        <v>534</v>
      </c>
      <c r="D122" s="202" t="s">
        <v>1520</v>
      </c>
      <c r="E122">
        <v>13</v>
      </c>
      <c r="F122" t="s">
        <v>37</v>
      </c>
      <c r="G122" s="202">
        <v>121</v>
      </c>
      <c r="L122" s="202">
        <v>3</v>
      </c>
      <c r="M122" s="202" t="s">
        <v>42</v>
      </c>
      <c r="N122" s="202" t="s">
        <v>49</v>
      </c>
      <c r="O122" s="300" t="s">
        <v>49</v>
      </c>
      <c r="P122" s="202" t="s">
        <v>49</v>
      </c>
      <c r="Q122" t="s">
        <v>37</v>
      </c>
      <c r="T122">
        <v>48</v>
      </c>
      <c r="U122" s="7">
        <v>3</v>
      </c>
      <c r="V122" t="s">
        <v>555</v>
      </c>
      <c r="W122" s="257" t="s">
        <v>559</v>
      </c>
      <c r="X122" t="s">
        <v>560</v>
      </c>
      <c r="Y122" s="316" t="s">
        <v>48</v>
      </c>
      <c r="Z122" s="8">
        <v>100</v>
      </c>
      <c r="AA122" s="202" t="str">
        <f t="shared" si="1"/>
        <v>Свекла</v>
      </c>
      <c r="AC122" t="s">
        <v>1207</v>
      </c>
      <c r="AD122" t="s">
        <v>691</v>
      </c>
      <c r="AE122" t="s">
        <v>1492</v>
      </c>
    </row>
    <row r="123" spans="1:41" ht="15" customHeight="1" x14ac:dyDescent="0.25">
      <c r="A123" t="s">
        <v>153</v>
      </c>
      <c r="B123" s="202">
        <v>11</v>
      </c>
      <c r="C123" s="202" t="s">
        <v>68</v>
      </c>
      <c r="D123" s="202" t="s">
        <v>330</v>
      </c>
      <c r="E123" s="202">
        <v>1</v>
      </c>
      <c r="F123" t="s">
        <v>540</v>
      </c>
      <c r="G123" s="202">
        <v>122</v>
      </c>
      <c r="L123" s="202">
        <v>4</v>
      </c>
      <c r="M123" s="202" t="s">
        <v>149</v>
      </c>
      <c r="N123" s="202" t="s">
        <v>71</v>
      </c>
      <c r="O123" s="300" t="s">
        <v>71</v>
      </c>
      <c r="P123" s="202" t="s">
        <v>71</v>
      </c>
      <c r="Q123" t="s">
        <v>540</v>
      </c>
      <c r="T123">
        <v>49</v>
      </c>
      <c r="U123" s="7">
        <v>3</v>
      </c>
      <c r="V123" t="s">
        <v>555</v>
      </c>
      <c r="W123" s="257" t="s">
        <v>559</v>
      </c>
      <c r="X123" t="s">
        <v>560</v>
      </c>
      <c r="Y123" s="316" t="s">
        <v>490</v>
      </c>
      <c r="Z123" s="8">
        <v>100</v>
      </c>
      <c r="AA123" s="202" t="str">
        <f t="shared" si="1"/>
        <v>Капуста свежая</v>
      </c>
      <c r="AC123" t="s">
        <v>1207</v>
      </c>
      <c r="AD123" t="s">
        <v>712</v>
      </c>
      <c r="AE123" t="s">
        <v>1492</v>
      </c>
    </row>
    <row r="124" spans="1:41" ht="15" customHeight="1" x14ac:dyDescent="0.25">
      <c r="A124" t="s">
        <v>153</v>
      </c>
      <c r="B124" s="202">
        <v>11</v>
      </c>
      <c r="C124" s="202" t="s">
        <v>68</v>
      </c>
      <c r="D124" s="202" t="s">
        <v>479</v>
      </c>
      <c r="E124" s="202">
        <v>2</v>
      </c>
      <c r="F124" t="s">
        <v>540</v>
      </c>
      <c r="G124" s="202">
        <v>123</v>
      </c>
      <c r="L124" s="202">
        <v>4</v>
      </c>
      <c r="M124" s="202" t="s">
        <v>149</v>
      </c>
      <c r="N124" s="202" t="s">
        <v>52</v>
      </c>
      <c r="O124" s="300" t="s">
        <v>258</v>
      </c>
      <c r="P124" s="202" t="s">
        <v>52</v>
      </c>
      <c r="Q124" t="s">
        <v>540</v>
      </c>
      <c r="T124">
        <v>50</v>
      </c>
      <c r="U124" s="7">
        <v>3</v>
      </c>
      <c r="V124" t="s">
        <v>555</v>
      </c>
      <c r="W124" s="257" t="s">
        <v>559</v>
      </c>
      <c r="X124" t="s">
        <v>560</v>
      </c>
      <c r="Y124" s="316" t="s">
        <v>448</v>
      </c>
      <c r="Z124" s="8">
        <v>30</v>
      </c>
      <c r="AA124" s="202" t="str">
        <f t="shared" si="1"/>
        <v>Помидоры свежие</v>
      </c>
      <c r="AC124" t="s">
        <v>1207</v>
      </c>
      <c r="AD124" t="s">
        <v>714</v>
      </c>
      <c r="AE124" t="s">
        <v>1492</v>
      </c>
    </row>
    <row r="125" spans="1:41" ht="15" customHeight="1" x14ac:dyDescent="0.25">
      <c r="A125" t="s">
        <v>153</v>
      </c>
      <c r="B125" s="202">
        <v>11</v>
      </c>
      <c r="C125" s="202" t="s">
        <v>68</v>
      </c>
      <c r="D125" s="202" t="s">
        <v>75</v>
      </c>
      <c r="E125">
        <v>3</v>
      </c>
      <c r="F125" t="s">
        <v>540</v>
      </c>
      <c r="G125" s="202">
        <v>124</v>
      </c>
      <c r="L125" s="202">
        <v>4</v>
      </c>
      <c r="M125" s="202" t="s">
        <v>149</v>
      </c>
      <c r="N125" s="202" t="s">
        <v>52</v>
      </c>
      <c r="O125" s="300" t="s">
        <v>260</v>
      </c>
      <c r="P125" s="202" t="s">
        <v>52</v>
      </c>
      <c r="Q125" t="s">
        <v>540</v>
      </c>
      <c r="T125">
        <v>51</v>
      </c>
      <c r="U125" s="7">
        <v>3</v>
      </c>
      <c r="V125" t="s">
        <v>555</v>
      </c>
      <c r="W125" s="257" t="s">
        <v>559</v>
      </c>
      <c r="X125" t="s">
        <v>560</v>
      </c>
      <c r="Y125" s="316" t="s">
        <v>46</v>
      </c>
      <c r="Z125" s="8">
        <v>18</v>
      </c>
      <c r="AA125" s="202" t="str">
        <f t="shared" si="1"/>
        <v>Морковь</v>
      </c>
      <c r="AC125" t="s">
        <v>1207</v>
      </c>
      <c r="AD125" t="s">
        <v>716</v>
      </c>
      <c r="AE125" t="s">
        <v>1492</v>
      </c>
    </row>
    <row r="126" spans="1:41" ht="15" customHeight="1" x14ac:dyDescent="0.25">
      <c r="A126" t="s">
        <v>153</v>
      </c>
      <c r="B126" s="202">
        <v>11</v>
      </c>
      <c r="C126" s="202" t="s">
        <v>68</v>
      </c>
      <c r="D126" s="202" t="s">
        <v>57</v>
      </c>
      <c r="E126" s="202">
        <v>4</v>
      </c>
      <c r="F126" t="s">
        <v>37</v>
      </c>
      <c r="G126" s="202">
        <v>125</v>
      </c>
      <c r="L126" s="202">
        <v>4</v>
      </c>
      <c r="M126" s="202" t="s">
        <v>149</v>
      </c>
      <c r="N126" s="202" t="s">
        <v>52</v>
      </c>
      <c r="O126" s="300" t="s">
        <v>259</v>
      </c>
      <c r="P126" s="202" t="s">
        <v>52</v>
      </c>
      <c r="Q126" t="s">
        <v>540</v>
      </c>
      <c r="T126">
        <v>52</v>
      </c>
      <c r="U126" s="7">
        <v>3</v>
      </c>
      <c r="V126" t="s">
        <v>555</v>
      </c>
      <c r="W126" s="257" t="s">
        <v>559</v>
      </c>
      <c r="X126" t="s">
        <v>560</v>
      </c>
      <c r="Y126" s="316" t="s">
        <v>486</v>
      </c>
      <c r="Z126" s="8">
        <v>2</v>
      </c>
      <c r="AA126" s="202" t="str">
        <f t="shared" si="1"/>
        <v>Уксус</v>
      </c>
      <c r="AC126" t="s">
        <v>1207</v>
      </c>
      <c r="AD126" t="s">
        <v>728</v>
      </c>
      <c r="AE126" t="s">
        <v>1492</v>
      </c>
    </row>
    <row r="127" spans="1:41" ht="15" customHeight="1" x14ac:dyDescent="0.25">
      <c r="A127" t="s">
        <v>153</v>
      </c>
      <c r="B127" s="202">
        <v>11</v>
      </c>
      <c r="C127" s="202" t="s">
        <v>68</v>
      </c>
      <c r="D127" s="202" t="s">
        <v>84</v>
      </c>
      <c r="E127" s="202">
        <v>5</v>
      </c>
      <c r="F127" t="s">
        <v>37</v>
      </c>
      <c r="G127" s="202">
        <v>126</v>
      </c>
      <c r="L127" s="202">
        <v>4</v>
      </c>
      <c r="M127" s="202" t="s">
        <v>149</v>
      </c>
      <c r="N127" s="202" t="s">
        <v>52</v>
      </c>
      <c r="O127" s="300" t="s">
        <v>52</v>
      </c>
      <c r="P127" s="202" t="s">
        <v>52</v>
      </c>
      <c r="Q127" t="s">
        <v>540</v>
      </c>
      <c r="T127">
        <v>53</v>
      </c>
      <c r="U127" s="7">
        <v>3</v>
      </c>
      <c r="V127" t="s">
        <v>555</v>
      </c>
      <c r="W127" s="257" t="s">
        <v>559</v>
      </c>
      <c r="X127" t="s">
        <v>560</v>
      </c>
      <c r="Y127" s="316" t="s">
        <v>61</v>
      </c>
      <c r="Z127" s="8">
        <v>4</v>
      </c>
      <c r="AA127" s="202" t="str">
        <f t="shared" si="1"/>
        <v>Масло растительное</v>
      </c>
      <c r="AC127" t="s">
        <v>1207</v>
      </c>
      <c r="AD127" t="s">
        <v>752</v>
      </c>
      <c r="AE127" t="s">
        <v>1492</v>
      </c>
    </row>
    <row r="128" spans="1:41" ht="15" customHeight="1" x14ac:dyDescent="0.25">
      <c r="A128" t="s">
        <v>153</v>
      </c>
      <c r="B128" s="202">
        <v>11</v>
      </c>
      <c r="C128" s="202" t="s">
        <v>68</v>
      </c>
      <c r="D128" s="202" t="s">
        <v>72</v>
      </c>
      <c r="E128">
        <v>6</v>
      </c>
      <c r="F128" t="s">
        <v>37</v>
      </c>
      <c r="G128" s="202">
        <v>127</v>
      </c>
      <c r="L128" s="202">
        <v>4</v>
      </c>
      <c r="M128" s="202" t="s">
        <v>149</v>
      </c>
      <c r="N128" s="202" t="s">
        <v>412</v>
      </c>
      <c r="O128" s="300" t="s">
        <v>412</v>
      </c>
      <c r="P128" s="202" t="s">
        <v>412</v>
      </c>
      <c r="Q128" t="s">
        <v>37</v>
      </c>
      <c r="T128">
        <v>54</v>
      </c>
      <c r="U128" s="7">
        <v>3</v>
      </c>
      <c r="V128" t="s">
        <v>555</v>
      </c>
      <c r="W128" s="257" t="s">
        <v>559</v>
      </c>
      <c r="X128" t="s">
        <v>560</v>
      </c>
      <c r="Y128" s="316" t="s">
        <v>32</v>
      </c>
      <c r="Z128" s="8">
        <v>10</v>
      </c>
      <c r="AA128" s="202" t="str">
        <f t="shared" si="1"/>
        <v>Лук репчатый</v>
      </c>
      <c r="AC128" t="s">
        <v>1207</v>
      </c>
      <c r="AD128" t="s">
        <v>762</v>
      </c>
      <c r="AE128" t="s">
        <v>1492</v>
      </c>
    </row>
    <row r="129" spans="1:31" ht="15" customHeight="1" x14ac:dyDescent="0.25">
      <c r="A129" t="s">
        <v>153</v>
      </c>
      <c r="B129" s="202">
        <v>11</v>
      </c>
      <c r="C129" s="202" t="s">
        <v>68</v>
      </c>
      <c r="D129" s="202" t="s">
        <v>423</v>
      </c>
      <c r="E129" s="202">
        <v>7</v>
      </c>
      <c r="F129" t="s">
        <v>37</v>
      </c>
      <c r="G129" s="202">
        <v>128</v>
      </c>
      <c r="L129" s="202">
        <v>4</v>
      </c>
      <c r="M129" s="202" t="s">
        <v>149</v>
      </c>
      <c r="N129" s="202" t="s">
        <v>412</v>
      </c>
      <c r="O129" s="300" t="s">
        <v>262</v>
      </c>
      <c r="P129" s="202" t="s">
        <v>412</v>
      </c>
      <c r="Q129" t="s">
        <v>37</v>
      </c>
      <c r="T129">
        <v>55</v>
      </c>
      <c r="U129" s="7">
        <v>3</v>
      </c>
      <c r="V129" t="s">
        <v>555</v>
      </c>
      <c r="W129" s="257" t="s">
        <v>559</v>
      </c>
      <c r="X129" t="s">
        <v>560</v>
      </c>
      <c r="Y129" s="316" t="s">
        <v>479</v>
      </c>
      <c r="Z129" s="8">
        <v>400</v>
      </c>
      <c r="AA129" s="202" t="str">
        <f t="shared" si="1"/>
        <v>Вода или бульон</v>
      </c>
      <c r="AC129" t="s">
        <v>1207</v>
      </c>
      <c r="AD129" t="s">
        <v>956</v>
      </c>
      <c r="AE129" t="s">
        <v>1492</v>
      </c>
    </row>
    <row r="130" spans="1:31" ht="15" customHeight="1" x14ac:dyDescent="0.25">
      <c r="A130" t="s">
        <v>153</v>
      </c>
      <c r="B130" s="202">
        <v>11</v>
      </c>
      <c r="C130" s="202" t="s">
        <v>68</v>
      </c>
      <c r="D130" s="202" t="s">
        <v>179</v>
      </c>
      <c r="E130" s="202">
        <v>8</v>
      </c>
      <c r="F130" t="s">
        <v>37</v>
      </c>
      <c r="G130" s="202">
        <v>129</v>
      </c>
      <c r="L130" s="202">
        <v>4</v>
      </c>
      <c r="M130" s="202" t="s">
        <v>149</v>
      </c>
      <c r="N130" s="202" t="s">
        <v>412</v>
      </c>
      <c r="O130" s="300" t="s">
        <v>316</v>
      </c>
      <c r="P130" s="202" t="s">
        <v>412</v>
      </c>
      <c r="Q130" t="s">
        <v>37</v>
      </c>
      <c r="T130">
        <v>56</v>
      </c>
      <c r="U130" s="7">
        <v>3</v>
      </c>
      <c r="V130" t="s">
        <v>555</v>
      </c>
      <c r="W130" s="257" t="s">
        <v>559</v>
      </c>
      <c r="X130" t="s">
        <v>560</v>
      </c>
      <c r="Y130" s="316" t="s">
        <v>54</v>
      </c>
      <c r="Z130" s="8">
        <v>5</v>
      </c>
      <c r="AA130" s="202" t="str">
        <f t="shared" ref="AA130:AA193" si="3">VLOOKUP(Y130,O:P,2,FALSE)</f>
        <v>Сметана</v>
      </c>
      <c r="AC130" t="s">
        <v>1207</v>
      </c>
      <c r="AD130" t="s">
        <v>960</v>
      </c>
      <c r="AE130" t="s">
        <v>1492</v>
      </c>
    </row>
    <row r="131" spans="1:31" ht="15" customHeight="1" x14ac:dyDescent="0.25">
      <c r="A131" t="s">
        <v>153</v>
      </c>
      <c r="B131" s="202">
        <v>11</v>
      </c>
      <c r="C131" s="202" t="s">
        <v>68</v>
      </c>
      <c r="D131" s="202" t="s">
        <v>324</v>
      </c>
      <c r="E131">
        <v>9</v>
      </c>
      <c r="F131" t="s">
        <v>37</v>
      </c>
      <c r="G131" s="202">
        <v>130</v>
      </c>
      <c r="L131" s="202">
        <v>4</v>
      </c>
      <c r="M131" s="202" t="s">
        <v>149</v>
      </c>
      <c r="N131" s="202" t="s">
        <v>412</v>
      </c>
      <c r="O131" s="300" t="s">
        <v>261</v>
      </c>
      <c r="P131" s="202" t="s">
        <v>412</v>
      </c>
      <c r="Q131" t="s">
        <v>37</v>
      </c>
      <c r="T131">
        <v>57</v>
      </c>
      <c r="U131" s="7">
        <v>3</v>
      </c>
      <c r="V131" t="s">
        <v>555</v>
      </c>
      <c r="W131" s="257" t="s">
        <v>559</v>
      </c>
      <c r="X131" t="s">
        <v>560</v>
      </c>
      <c r="Y131" s="316" t="s">
        <v>70</v>
      </c>
      <c r="Z131" s="8">
        <v>5</v>
      </c>
      <c r="AA131" s="202" t="str">
        <f t="shared" si="3"/>
        <v>Зелень</v>
      </c>
      <c r="AC131" t="s">
        <v>1207</v>
      </c>
      <c r="AD131" t="s">
        <v>962</v>
      </c>
      <c r="AE131" t="s">
        <v>1492</v>
      </c>
    </row>
    <row r="132" spans="1:31" ht="15" customHeight="1" x14ac:dyDescent="0.25">
      <c r="A132" t="s">
        <v>153</v>
      </c>
      <c r="B132" s="202">
        <v>11</v>
      </c>
      <c r="C132" s="202" t="s">
        <v>68</v>
      </c>
      <c r="D132" s="202" t="s">
        <v>73</v>
      </c>
      <c r="E132" s="202">
        <v>10</v>
      </c>
      <c r="F132" t="s">
        <v>37</v>
      </c>
      <c r="G132" s="202">
        <v>131</v>
      </c>
      <c r="L132" s="202">
        <v>4</v>
      </c>
      <c r="M132" s="202" t="s">
        <v>149</v>
      </c>
      <c r="N132" s="202" t="s">
        <v>412</v>
      </c>
      <c r="O132" s="300" t="s">
        <v>450</v>
      </c>
      <c r="P132" s="202" t="s">
        <v>412</v>
      </c>
      <c r="Q132" t="s">
        <v>37</v>
      </c>
      <c r="T132">
        <v>58</v>
      </c>
      <c r="U132" s="7">
        <v>3</v>
      </c>
      <c r="V132" t="s">
        <v>555</v>
      </c>
      <c r="W132" s="257" t="s">
        <v>559</v>
      </c>
      <c r="X132" t="s">
        <v>560</v>
      </c>
      <c r="Y132" s="316" t="s">
        <v>326</v>
      </c>
      <c r="Z132" s="8">
        <v>4</v>
      </c>
      <c r="AA132" s="202" t="str">
        <f t="shared" si="3"/>
        <v>Соль</v>
      </c>
      <c r="AC132" t="s">
        <v>1208</v>
      </c>
      <c r="AD132" t="s">
        <v>1208</v>
      </c>
      <c r="AE132" t="s">
        <v>1492</v>
      </c>
    </row>
    <row r="133" spans="1:31" ht="15" customHeight="1" x14ac:dyDescent="0.25">
      <c r="A133" t="s">
        <v>153</v>
      </c>
      <c r="B133" s="202">
        <v>11</v>
      </c>
      <c r="C133" s="202" t="s">
        <v>68</v>
      </c>
      <c r="D133" s="202" t="s">
        <v>78</v>
      </c>
      <c r="E133" s="202">
        <v>11</v>
      </c>
      <c r="F133" t="s">
        <v>37</v>
      </c>
      <c r="G133" s="202">
        <v>132</v>
      </c>
      <c r="L133" s="202">
        <v>4</v>
      </c>
      <c r="M133" s="202" t="s">
        <v>149</v>
      </c>
      <c r="N133" s="202" t="s">
        <v>524</v>
      </c>
      <c r="O133" s="300" t="s">
        <v>524</v>
      </c>
      <c r="P133" s="202" t="s">
        <v>524</v>
      </c>
      <c r="Q133" t="s">
        <v>37</v>
      </c>
      <c r="T133">
        <v>59</v>
      </c>
      <c r="U133" s="7">
        <v>3</v>
      </c>
      <c r="V133" t="s">
        <v>555</v>
      </c>
      <c r="W133" s="257" t="s">
        <v>559</v>
      </c>
      <c r="X133" t="s">
        <v>560</v>
      </c>
      <c r="Y133" s="316" t="s">
        <v>74</v>
      </c>
      <c r="Z133" s="8">
        <v>0.02</v>
      </c>
      <c r="AA133" s="202" t="str">
        <f t="shared" si="3"/>
        <v>Лавровый лист</v>
      </c>
      <c r="AC133" t="s">
        <v>1208</v>
      </c>
      <c r="AD133" t="s">
        <v>669</v>
      </c>
      <c r="AE133" t="s">
        <v>1492</v>
      </c>
    </row>
    <row r="134" spans="1:31" ht="15" customHeight="1" x14ac:dyDescent="0.25">
      <c r="A134" t="s">
        <v>153</v>
      </c>
      <c r="B134" s="202">
        <v>11</v>
      </c>
      <c r="C134" s="202" t="s">
        <v>68</v>
      </c>
      <c r="D134" s="202" t="s">
        <v>422</v>
      </c>
      <c r="E134">
        <v>12</v>
      </c>
      <c r="F134" t="s">
        <v>37</v>
      </c>
      <c r="G134" s="202">
        <v>133</v>
      </c>
      <c r="L134" s="202">
        <v>4</v>
      </c>
      <c r="M134" s="202" t="s">
        <v>149</v>
      </c>
      <c r="N134" s="202" t="s">
        <v>525</v>
      </c>
      <c r="O134" s="300" t="s">
        <v>525</v>
      </c>
      <c r="P134" s="202" t="s">
        <v>525</v>
      </c>
      <c r="Q134" t="s">
        <v>37</v>
      </c>
      <c r="T134">
        <v>60</v>
      </c>
      <c r="U134" s="7">
        <v>3</v>
      </c>
      <c r="V134" t="s">
        <v>555</v>
      </c>
      <c r="W134" s="257" t="s">
        <v>559</v>
      </c>
      <c r="X134" t="s">
        <v>560</v>
      </c>
      <c r="Y134" s="316" t="s">
        <v>484</v>
      </c>
      <c r="Z134" s="8">
        <v>0.05</v>
      </c>
      <c r="AA134" s="202" t="str">
        <f t="shared" si="3"/>
        <v>Перец черный</v>
      </c>
      <c r="AC134" t="s">
        <v>1208</v>
      </c>
      <c r="AD134" t="s">
        <v>670</v>
      </c>
      <c r="AE134" t="s">
        <v>1492</v>
      </c>
    </row>
    <row r="135" spans="1:31" ht="15" customHeight="1" x14ac:dyDescent="0.25">
      <c r="A135" t="s">
        <v>153</v>
      </c>
      <c r="B135" s="202">
        <v>11</v>
      </c>
      <c r="C135" s="202" t="s">
        <v>68</v>
      </c>
      <c r="D135" s="202" t="s">
        <v>88</v>
      </c>
      <c r="E135" s="202">
        <v>13</v>
      </c>
      <c r="F135" t="s">
        <v>37</v>
      </c>
      <c r="G135" s="202">
        <v>134</v>
      </c>
      <c r="L135" s="202">
        <v>4</v>
      </c>
      <c r="M135" s="202" t="s">
        <v>149</v>
      </c>
      <c r="N135" s="202" t="s">
        <v>54</v>
      </c>
      <c r="O135" s="300" t="s">
        <v>263</v>
      </c>
      <c r="P135" s="202" t="s">
        <v>54</v>
      </c>
      <c r="Q135" t="s">
        <v>37</v>
      </c>
      <c r="T135">
        <v>63</v>
      </c>
      <c r="U135" s="7">
        <v>3</v>
      </c>
      <c r="V135" t="s">
        <v>555</v>
      </c>
      <c r="W135" s="257" t="s">
        <v>559</v>
      </c>
      <c r="X135" t="s">
        <v>560</v>
      </c>
      <c r="Y135" s="316" t="s">
        <v>558</v>
      </c>
      <c r="Z135" s="8">
        <v>500</v>
      </c>
      <c r="AA135" s="202" t="str">
        <f t="shared" si="3"/>
        <v>Общая масса готового блюда, г</v>
      </c>
      <c r="AC135" t="s">
        <v>1208</v>
      </c>
      <c r="AD135" t="s">
        <v>672</v>
      </c>
      <c r="AE135" t="s">
        <v>1492</v>
      </c>
    </row>
    <row r="136" spans="1:31" ht="15" customHeight="1" x14ac:dyDescent="0.25">
      <c r="A136" t="s">
        <v>153</v>
      </c>
      <c r="B136" s="202">
        <v>11</v>
      </c>
      <c r="C136" s="202" t="s">
        <v>68</v>
      </c>
      <c r="D136" s="202" t="s">
        <v>536</v>
      </c>
      <c r="E136" s="202">
        <v>14</v>
      </c>
      <c r="F136" t="s">
        <v>37</v>
      </c>
      <c r="G136" s="202">
        <v>135</v>
      </c>
      <c r="L136" s="202">
        <v>4</v>
      </c>
      <c r="M136" s="202" t="s">
        <v>149</v>
      </c>
      <c r="N136" s="202" t="s">
        <v>54</v>
      </c>
      <c r="O136" s="300" t="s">
        <v>54</v>
      </c>
      <c r="P136" s="202" t="s">
        <v>54</v>
      </c>
      <c r="Q136" t="s">
        <v>37</v>
      </c>
      <c r="T136">
        <v>64</v>
      </c>
      <c r="U136" s="7">
        <v>3</v>
      </c>
      <c r="V136" t="s">
        <v>555</v>
      </c>
      <c r="W136" s="257" t="s">
        <v>559</v>
      </c>
      <c r="X136" t="s">
        <v>560</v>
      </c>
      <c r="Y136" s="316" t="s">
        <v>109</v>
      </c>
      <c r="Z136" s="8">
        <v>250</v>
      </c>
      <c r="AA136" s="202" t="str">
        <f t="shared" si="3"/>
        <v>ОКГ</v>
      </c>
      <c r="AC136" t="s">
        <v>1208</v>
      </c>
      <c r="AD136" t="s">
        <v>679</v>
      </c>
      <c r="AE136" t="s">
        <v>1492</v>
      </c>
    </row>
    <row r="137" spans="1:31" ht="15" customHeight="1" x14ac:dyDescent="0.25">
      <c r="A137" t="s">
        <v>153</v>
      </c>
      <c r="B137" s="202">
        <v>12</v>
      </c>
      <c r="C137" s="202" t="s">
        <v>178</v>
      </c>
      <c r="D137" s="202" t="s">
        <v>82</v>
      </c>
      <c r="E137">
        <v>1</v>
      </c>
      <c r="F137" t="s">
        <v>37</v>
      </c>
      <c r="G137" s="202">
        <v>136</v>
      </c>
      <c r="L137" s="202">
        <v>4</v>
      </c>
      <c r="M137" s="202" t="s">
        <v>149</v>
      </c>
      <c r="N137" s="202" t="s">
        <v>321</v>
      </c>
      <c r="O137" s="300" t="s">
        <v>264</v>
      </c>
      <c r="P137" s="202" t="s">
        <v>321</v>
      </c>
      <c r="Q137" t="s">
        <v>37</v>
      </c>
      <c r="T137">
        <v>16</v>
      </c>
      <c r="U137" s="7">
        <v>3</v>
      </c>
      <c r="V137" t="s">
        <v>555</v>
      </c>
      <c r="W137" s="257" t="s">
        <v>561</v>
      </c>
      <c r="X137" t="s">
        <v>562</v>
      </c>
      <c r="Y137" s="316" t="s">
        <v>48</v>
      </c>
      <c r="Z137" s="8">
        <v>70</v>
      </c>
      <c r="AA137" s="202" t="str">
        <f t="shared" si="3"/>
        <v>Свекла</v>
      </c>
      <c r="AC137" t="s">
        <v>1208</v>
      </c>
      <c r="AD137" t="s">
        <v>681</v>
      </c>
      <c r="AE137" t="s">
        <v>1492</v>
      </c>
    </row>
    <row r="138" spans="1:31" ht="15" customHeight="1" x14ac:dyDescent="0.25">
      <c r="A138" t="s">
        <v>153</v>
      </c>
      <c r="B138" s="202">
        <v>12</v>
      </c>
      <c r="C138" s="202" t="s">
        <v>178</v>
      </c>
      <c r="D138" s="202" t="s">
        <v>85</v>
      </c>
      <c r="E138">
        <v>2</v>
      </c>
      <c r="F138" t="s">
        <v>37</v>
      </c>
      <c r="G138" s="202">
        <v>137</v>
      </c>
      <c r="L138" s="202">
        <v>4</v>
      </c>
      <c r="M138" s="202" t="s">
        <v>149</v>
      </c>
      <c r="N138" s="202" t="s">
        <v>321</v>
      </c>
      <c r="O138" s="300" t="s">
        <v>321</v>
      </c>
      <c r="P138" s="202" t="s">
        <v>321</v>
      </c>
      <c r="Q138" t="s">
        <v>37</v>
      </c>
      <c r="T138">
        <v>17</v>
      </c>
      <c r="U138" s="7">
        <v>3</v>
      </c>
      <c r="V138" t="s">
        <v>555</v>
      </c>
      <c r="W138" s="257" t="s">
        <v>561</v>
      </c>
      <c r="X138" t="s">
        <v>562</v>
      </c>
      <c r="Y138" s="316" t="s">
        <v>489</v>
      </c>
      <c r="Z138" s="8">
        <v>80</v>
      </c>
      <c r="AA138" s="202" t="str">
        <f t="shared" si="3"/>
        <v>Капуста консерв.</v>
      </c>
      <c r="AC138" t="s">
        <v>1208</v>
      </c>
      <c r="AD138" t="s">
        <v>682</v>
      </c>
      <c r="AE138" t="s">
        <v>1492</v>
      </c>
    </row>
    <row r="139" spans="1:31" ht="15" customHeight="1" x14ac:dyDescent="0.25">
      <c r="A139" t="s">
        <v>153</v>
      </c>
      <c r="B139" s="202">
        <v>12</v>
      </c>
      <c r="C139" s="202" t="s">
        <v>178</v>
      </c>
      <c r="D139" s="202" t="s">
        <v>161</v>
      </c>
      <c r="E139">
        <v>3</v>
      </c>
      <c r="F139" t="s">
        <v>37</v>
      </c>
      <c r="G139" s="202">
        <v>138</v>
      </c>
      <c r="L139" s="202">
        <v>4</v>
      </c>
      <c r="M139" s="202" t="s">
        <v>149</v>
      </c>
      <c r="N139" s="202" t="s">
        <v>321</v>
      </c>
      <c r="O139" s="300" t="s">
        <v>451</v>
      </c>
      <c r="P139" s="202" t="s">
        <v>321</v>
      </c>
      <c r="Q139" t="s">
        <v>37</v>
      </c>
      <c r="T139">
        <v>18</v>
      </c>
      <c r="U139" s="7">
        <v>3</v>
      </c>
      <c r="V139" t="s">
        <v>555</v>
      </c>
      <c r="W139" s="257" t="s">
        <v>561</v>
      </c>
      <c r="X139" t="s">
        <v>562</v>
      </c>
      <c r="Y139" s="316" t="s">
        <v>46</v>
      </c>
      <c r="Z139" s="8">
        <v>10</v>
      </c>
      <c r="AA139" s="202" t="str">
        <f t="shared" si="3"/>
        <v>Морковь</v>
      </c>
      <c r="AC139" t="s">
        <v>1208</v>
      </c>
      <c r="AD139" t="s">
        <v>683</v>
      </c>
      <c r="AE139" t="s">
        <v>1492</v>
      </c>
    </row>
    <row r="140" spans="1:31" ht="15" customHeight="1" x14ac:dyDescent="0.25">
      <c r="A140" t="s">
        <v>153</v>
      </c>
      <c r="B140" s="202">
        <v>12</v>
      </c>
      <c r="C140" s="202" t="s">
        <v>178</v>
      </c>
      <c r="D140" s="202" t="s">
        <v>81</v>
      </c>
      <c r="E140">
        <v>5</v>
      </c>
      <c r="F140" t="s">
        <v>37</v>
      </c>
      <c r="G140" s="202">
        <v>140</v>
      </c>
      <c r="L140" s="202">
        <v>4</v>
      </c>
      <c r="M140" s="202" t="s">
        <v>149</v>
      </c>
      <c r="N140" s="202" t="s">
        <v>56</v>
      </c>
      <c r="O140" s="300" t="s">
        <v>416</v>
      </c>
      <c r="P140" s="202" t="s">
        <v>56</v>
      </c>
      <c r="Q140" t="s">
        <v>37</v>
      </c>
      <c r="T140">
        <v>19</v>
      </c>
      <c r="U140" s="7">
        <v>3</v>
      </c>
      <c r="V140" t="s">
        <v>555</v>
      </c>
      <c r="W140" s="257" t="s">
        <v>561</v>
      </c>
      <c r="X140" t="s">
        <v>562</v>
      </c>
      <c r="Y140" s="316" t="s">
        <v>32</v>
      </c>
      <c r="Z140" s="8">
        <v>10</v>
      </c>
      <c r="AA140" s="202" t="str">
        <f t="shared" si="3"/>
        <v>Лук репчатый</v>
      </c>
      <c r="AC140" t="s">
        <v>1208</v>
      </c>
      <c r="AD140" t="s">
        <v>684</v>
      </c>
      <c r="AE140" t="s">
        <v>1492</v>
      </c>
    </row>
    <row r="141" spans="1:31" ht="15" customHeight="1" x14ac:dyDescent="0.25">
      <c r="A141" t="s">
        <v>153</v>
      </c>
      <c r="B141" s="202">
        <v>12</v>
      </c>
      <c r="C141" s="202" t="s">
        <v>178</v>
      </c>
      <c r="D141" s="202" t="s">
        <v>86</v>
      </c>
      <c r="E141">
        <v>6</v>
      </c>
      <c r="F141" t="s">
        <v>37</v>
      </c>
      <c r="G141" s="202">
        <v>141</v>
      </c>
      <c r="L141" s="202">
        <v>4</v>
      </c>
      <c r="M141" s="202" t="s">
        <v>149</v>
      </c>
      <c r="N141" s="202" t="s">
        <v>56</v>
      </c>
      <c r="O141" s="300" t="s">
        <v>56</v>
      </c>
      <c r="P141" s="202" t="s">
        <v>56</v>
      </c>
      <c r="Q141" t="s">
        <v>37</v>
      </c>
      <c r="T141">
        <v>20</v>
      </c>
      <c r="U141" s="7">
        <v>3</v>
      </c>
      <c r="V141" t="s">
        <v>555</v>
      </c>
      <c r="W141" s="257" t="s">
        <v>561</v>
      </c>
      <c r="X141" t="s">
        <v>562</v>
      </c>
      <c r="Y141" s="316" t="s">
        <v>45</v>
      </c>
      <c r="Z141" s="8">
        <v>90</v>
      </c>
      <c r="AA141" s="202" t="str">
        <f t="shared" si="3"/>
        <v>Картофель</v>
      </c>
      <c r="AC141" t="s">
        <v>1208</v>
      </c>
      <c r="AD141" t="s">
        <v>685</v>
      </c>
      <c r="AE141" t="s">
        <v>1492</v>
      </c>
    </row>
    <row r="142" spans="1:31" ht="15" customHeight="1" x14ac:dyDescent="0.25">
      <c r="A142" t="s">
        <v>153</v>
      </c>
      <c r="B142" s="202">
        <v>12</v>
      </c>
      <c r="C142" s="202" t="s">
        <v>178</v>
      </c>
      <c r="D142" s="202" t="s">
        <v>89</v>
      </c>
      <c r="E142">
        <v>7</v>
      </c>
      <c r="F142" t="s">
        <v>37</v>
      </c>
      <c r="G142" s="202">
        <v>142</v>
      </c>
      <c r="L142" s="202">
        <v>4</v>
      </c>
      <c r="M142" s="202" t="s">
        <v>149</v>
      </c>
      <c r="N142" s="202" t="s">
        <v>56</v>
      </c>
      <c r="O142" s="300" t="s">
        <v>265</v>
      </c>
      <c r="P142" s="202" t="s">
        <v>56</v>
      </c>
      <c r="Q142" t="s">
        <v>37</v>
      </c>
      <c r="T142">
        <v>21</v>
      </c>
      <c r="U142" s="7">
        <v>3</v>
      </c>
      <c r="V142" t="s">
        <v>555</v>
      </c>
      <c r="W142" s="257" t="s">
        <v>561</v>
      </c>
      <c r="X142" t="s">
        <v>562</v>
      </c>
      <c r="Y142" s="316" t="s">
        <v>76</v>
      </c>
      <c r="Z142" s="8">
        <v>3</v>
      </c>
      <c r="AA142" s="202" t="str">
        <f t="shared" si="3"/>
        <v>Томат-паста</v>
      </c>
      <c r="AC142" t="s">
        <v>1208</v>
      </c>
      <c r="AD142" t="s">
        <v>686</v>
      </c>
      <c r="AE142" t="s">
        <v>1492</v>
      </c>
    </row>
    <row r="143" spans="1:31" ht="15" customHeight="1" x14ac:dyDescent="0.25">
      <c r="A143" t="s">
        <v>153</v>
      </c>
      <c r="B143" s="202">
        <v>12</v>
      </c>
      <c r="C143" s="202" t="s">
        <v>178</v>
      </c>
      <c r="D143" s="202" t="s">
        <v>80</v>
      </c>
      <c r="E143">
        <v>8</v>
      </c>
      <c r="F143" t="s">
        <v>37</v>
      </c>
      <c r="G143" s="202">
        <v>143</v>
      </c>
      <c r="L143" s="202">
        <v>4</v>
      </c>
      <c r="M143" s="202" t="s">
        <v>149</v>
      </c>
      <c r="N143" s="202" t="s">
        <v>320</v>
      </c>
      <c r="O143" s="300" t="s">
        <v>417</v>
      </c>
      <c r="P143" s="202" t="s">
        <v>320</v>
      </c>
      <c r="Q143" t="s">
        <v>37</v>
      </c>
      <c r="T143">
        <v>22</v>
      </c>
      <c r="U143" s="7">
        <v>3</v>
      </c>
      <c r="V143" t="s">
        <v>555</v>
      </c>
      <c r="W143" s="257" t="s">
        <v>561</v>
      </c>
      <c r="X143" t="s">
        <v>562</v>
      </c>
      <c r="Y143" s="316" t="s">
        <v>61</v>
      </c>
      <c r="Z143" s="8">
        <v>4</v>
      </c>
      <c r="AA143" s="202" t="str">
        <f t="shared" si="3"/>
        <v>Масло растительное</v>
      </c>
      <c r="AC143" t="s">
        <v>1208</v>
      </c>
      <c r="AD143" t="s">
        <v>687</v>
      </c>
      <c r="AE143" t="s">
        <v>1492</v>
      </c>
    </row>
    <row r="144" spans="1:31" ht="15" customHeight="1" x14ac:dyDescent="0.25">
      <c r="A144" t="s">
        <v>153</v>
      </c>
      <c r="B144" s="202">
        <v>12</v>
      </c>
      <c r="C144" s="202" t="s">
        <v>178</v>
      </c>
      <c r="D144" s="202" t="s">
        <v>521</v>
      </c>
      <c r="E144">
        <v>9</v>
      </c>
      <c r="F144" t="s">
        <v>37</v>
      </c>
      <c r="G144" s="202">
        <v>144</v>
      </c>
      <c r="L144" s="202">
        <v>4</v>
      </c>
      <c r="M144" s="202" t="s">
        <v>149</v>
      </c>
      <c r="N144" s="202" t="s">
        <v>320</v>
      </c>
      <c r="O144" s="300" t="s">
        <v>320</v>
      </c>
      <c r="P144" s="202" t="s">
        <v>320</v>
      </c>
      <c r="Q144" t="s">
        <v>37</v>
      </c>
      <c r="T144">
        <v>23</v>
      </c>
      <c r="U144" s="7">
        <v>3</v>
      </c>
      <c r="V144" t="s">
        <v>555</v>
      </c>
      <c r="W144" s="257" t="s">
        <v>561</v>
      </c>
      <c r="X144" t="s">
        <v>562</v>
      </c>
      <c r="Y144" s="316" t="s">
        <v>486</v>
      </c>
      <c r="Z144" s="8">
        <v>2</v>
      </c>
      <c r="AA144" s="202" t="str">
        <f t="shared" si="3"/>
        <v>Уксус</v>
      </c>
      <c r="AC144" t="s">
        <v>1208</v>
      </c>
      <c r="AD144" t="s">
        <v>771</v>
      </c>
      <c r="AE144" t="s">
        <v>1492</v>
      </c>
    </row>
    <row r="145" spans="1:31" ht="15" customHeight="1" x14ac:dyDescent="0.25">
      <c r="A145" t="s">
        <v>153</v>
      </c>
      <c r="B145" s="202">
        <v>12</v>
      </c>
      <c r="C145" s="202" t="s">
        <v>178</v>
      </c>
      <c r="D145" s="202" t="s">
        <v>83</v>
      </c>
      <c r="E145">
        <v>10</v>
      </c>
      <c r="F145" t="s">
        <v>37</v>
      </c>
      <c r="G145" s="202">
        <v>145</v>
      </c>
      <c r="L145" s="202">
        <v>5</v>
      </c>
      <c r="M145" s="202" t="s">
        <v>58</v>
      </c>
      <c r="N145" s="202" t="s">
        <v>152</v>
      </c>
      <c r="O145" s="300" t="s">
        <v>152</v>
      </c>
      <c r="P145" s="202" t="s">
        <v>152</v>
      </c>
      <c r="Q145" t="s">
        <v>37</v>
      </c>
      <c r="T145">
        <v>24</v>
      </c>
      <c r="U145" s="7">
        <v>3</v>
      </c>
      <c r="V145" t="s">
        <v>555</v>
      </c>
      <c r="W145" s="257" t="s">
        <v>561</v>
      </c>
      <c r="X145" t="s">
        <v>562</v>
      </c>
      <c r="Y145" s="316" t="s">
        <v>479</v>
      </c>
      <c r="Z145" s="8">
        <v>400</v>
      </c>
      <c r="AA145" s="202" t="str">
        <f t="shared" si="3"/>
        <v>Вода или бульон</v>
      </c>
      <c r="AC145" t="s">
        <v>1208</v>
      </c>
      <c r="AD145" t="s">
        <v>773</v>
      </c>
      <c r="AE145" t="s">
        <v>1492</v>
      </c>
    </row>
    <row r="146" spans="1:31" ht="15" customHeight="1" x14ac:dyDescent="0.25">
      <c r="A146" t="s">
        <v>153</v>
      </c>
      <c r="B146" s="202">
        <v>12</v>
      </c>
      <c r="C146" s="202" t="s">
        <v>178</v>
      </c>
      <c r="D146" s="202" t="s">
        <v>537</v>
      </c>
      <c r="E146">
        <v>11</v>
      </c>
      <c r="F146" t="s">
        <v>37</v>
      </c>
      <c r="G146" s="202">
        <v>146</v>
      </c>
      <c r="L146" s="202">
        <v>5</v>
      </c>
      <c r="M146" s="202" t="s">
        <v>58</v>
      </c>
      <c r="N146" s="202" t="s">
        <v>526</v>
      </c>
      <c r="O146" s="300" t="s">
        <v>526</v>
      </c>
      <c r="P146" s="202" t="s">
        <v>526</v>
      </c>
      <c r="Q146" t="s">
        <v>37</v>
      </c>
      <c r="T146">
        <v>25</v>
      </c>
      <c r="U146" s="7">
        <v>3</v>
      </c>
      <c r="V146" t="s">
        <v>555</v>
      </c>
      <c r="W146" s="257" t="s">
        <v>561</v>
      </c>
      <c r="X146" t="s">
        <v>562</v>
      </c>
      <c r="Y146" s="316" t="s">
        <v>54</v>
      </c>
      <c r="Z146" s="8">
        <v>5</v>
      </c>
      <c r="AA146" s="202" t="str">
        <f t="shared" si="3"/>
        <v>Сметана</v>
      </c>
      <c r="AC146" t="s">
        <v>1208</v>
      </c>
      <c r="AD146" t="s">
        <v>775</v>
      </c>
      <c r="AE146" t="s">
        <v>1492</v>
      </c>
    </row>
    <row r="147" spans="1:31" ht="15" customHeight="1" x14ac:dyDescent="0.25">
      <c r="A147" t="s">
        <v>153</v>
      </c>
      <c r="B147" s="202">
        <v>12</v>
      </c>
      <c r="C147" s="202" t="s">
        <v>178</v>
      </c>
      <c r="D147" s="202" t="s">
        <v>538</v>
      </c>
      <c r="E147">
        <v>12</v>
      </c>
      <c r="F147" t="s">
        <v>37</v>
      </c>
      <c r="G147" s="202">
        <v>147</v>
      </c>
      <c r="L147" s="202">
        <v>5</v>
      </c>
      <c r="M147" s="202" t="s">
        <v>58</v>
      </c>
      <c r="N147" s="202" t="s">
        <v>60</v>
      </c>
      <c r="O147" s="300" t="s">
        <v>60</v>
      </c>
      <c r="P147" s="202" t="s">
        <v>60</v>
      </c>
      <c r="Q147" t="s">
        <v>37</v>
      </c>
      <c r="T147">
        <v>26</v>
      </c>
      <c r="U147" s="7">
        <v>3</v>
      </c>
      <c r="V147" t="s">
        <v>555</v>
      </c>
      <c r="W147" s="257" t="s">
        <v>561</v>
      </c>
      <c r="X147" t="s">
        <v>562</v>
      </c>
      <c r="Y147" s="316" t="s">
        <v>70</v>
      </c>
      <c r="Z147" s="8">
        <v>5</v>
      </c>
      <c r="AA147" s="202" t="str">
        <f t="shared" si="3"/>
        <v>Зелень</v>
      </c>
      <c r="AC147" t="s">
        <v>1208</v>
      </c>
      <c r="AD147" t="s">
        <v>777</v>
      </c>
      <c r="AE147" t="s">
        <v>1492</v>
      </c>
    </row>
    <row r="148" spans="1:31" ht="15" customHeight="1" x14ac:dyDescent="0.25">
      <c r="A148" t="s">
        <v>153</v>
      </c>
      <c r="B148" s="202">
        <v>12</v>
      </c>
      <c r="C148" s="202" t="s">
        <v>178</v>
      </c>
      <c r="D148" s="202" t="s">
        <v>1487</v>
      </c>
      <c r="E148">
        <v>12</v>
      </c>
      <c r="F148" t="s">
        <v>37</v>
      </c>
      <c r="G148" s="202">
        <v>147</v>
      </c>
      <c r="L148" s="202">
        <v>5</v>
      </c>
      <c r="M148" s="202" t="s">
        <v>58</v>
      </c>
      <c r="N148" s="202" t="s">
        <v>60</v>
      </c>
      <c r="O148" s="300" t="s">
        <v>257</v>
      </c>
      <c r="P148" s="202" t="s">
        <v>60</v>
      </c>
      <c r="Q148" t="s">
        <v>37</v>
      </c>
      <c r="T148">
        <v>27</v>
      </c>
      <c r="U148" s="7">
        <v>3</v>
      </c>
      <c r="V148" t="s">
        <v>555</v>
      </c>
      <c r="W148" s="257" t="s">
        <v>561</v>
      </c>
      <c r="X148" t="s">
        <v>562</v>
      </c>
      <c r="Y148" s="316" t="s">
        <v>326</v>
      </c>
      <c r="Z148" s="8">
        <v>4</v>
      </c>
      <c r="AA148" s="202" t="str">
        <f t="shared" si="3"/>
        <v>Соль</v>
      </c>
      <c r="AC148" t="s">
        <v>1208</v>
      </c>
      <c r="AD148" t="s">
        <v>779</v>
      </c>
      <c r="AE148" t="s">
        <v>1492</v>
      </c>
    </row>
    <row r="149" spans="1:31" ht="15" customHeight="1" x14ac:dyDescent="0.25">
      <c r="A149" t="s">
        <v>153</v>
      </c>
      <c r="L149" s="202">
        <v>5</v>
      </c>
      <c r="M149" s="202" t="s">
        <v>58</v>
      </c>
      <c r="N149" s="202" t="s">
        <v>60</v>
      </c>
      <c r="O149" s="300" t="s">
        <v>256</v>
      </c>
      <c r="P149" s="202" t="s">
        <v>60</v>
      </c>
      <c r="Q149" t="s">
        <v>37</v>
      </c>
      <c r="T149">
        <v>30</v>
      </c>
      <c r="U149" s="7">
        <v>3</v>
      </c>
      <c r="V149" t="s">
        <v>555</v>
      </c>
      <c r="W149" s="257" t="s">
        <v>561</v>
      </c>
      <c r="X149" t="s">
        <v>562</v>
      </c>
      <c r="Y149" s="316" t="s">
        <v>558</v>
      </c>
      <c r="Z149" s="8">
        <v>500</v>
      </c>
      <c r="AA149" s="202" t="str">
        <f t="shared" si="3"/>
        <v>Общая масса готового блюда, г</v>
      </c>
      <c r="AC149" t="s">
        <v>1208</v>
      </c>
      <c r="AD149" t="s">
        <v>781</v>
      </c>
      <c r="AE149" t="s">
        <v>1492</v>
      </c>
    </row>
    <row r="150" spans="1:31" ht="15" customHeight="1" x14ac:dyDescent="0.25">
      <c r="A150" t="s">
        <v>153</v>
      </c>
      <c r="L150" s="202">
        <v>5</v>
      </c>
      <c r="M150" s="202" t="s">
        <v>58</v>
      </c>
      <c r="N150" s="202" t="s">
        <v>60</v>
      </c>
      <c r="O150" s="300" t="s">
        <v>255</v>
      </c>
      <c r="P150" s="202" t="s">
        <v>60</v>
      </c>
      <c r="Q150" t="s">
        <v>37</v>
      </c>
      <c r="T150">
        <v>31</v>
      </c>
      <c r="U150" s="7">
        <v>3</v>
      </c>
      <c r="V150" t="s">
        <v>555</v>
      </c>
      <c r="W150" s="257" t="s">
        <v>561</v>
      </c>
      <c r="X150" t="s">
        <v>562</v>
      </c>
      <c r="Y150" s="316" t="s">
        <v>109</v>
      </c>
      <c r="Z150" s="8">
        <v>250</v>
      </c>
      <c r="AA150" s="202" t="str">
        <f t="shared" si="3"/>
        <v>ОКГ</v>
      </c>
      <c r="AC150" t="s">
        <v>1208</v>
      </c>
      <c r="AD150" t="s">
        <v>783</v>
      </c>
      <c r="AE150" t="s">
        <v>1492</v>
      </c>
    </row>
    <row r="151" spans="1:31" ht="15" customHeight="1" x14ac:dyDescent="0.25">
      <c r="A151" t="s">
        <v>153</v>
      </c>
      <c r="L151" s="202">
        <v>5</v>
      </c>
      <c r="M151" s="202" t="s">
        <v>58</v>
      </c>
      <c r="N151" s="202" t="s">
        <v>60</v>
      </c>
      <c r="O151" s="300" t="s">
        <v>452</v>
      </c>
      <c r="P151" s="202" t="s">
        <v>60</v>
      </c>
      <c r="Q151" t="s">
        <v>37</v>
      </c>
      <c r="T151">
        <v>116</v>
      </c>
      <c r="U151" s="7">
        <v>3</v>
      </c>
      <c r="V151" t="s">
        <v>555</v>
      </c>
      <c r="W151" s="257" t="s">
        <v>561</v>
      </c>
      <c r="X151" t="s">
        <v>562</v>
      </c>
      <c r="Y151" s="316" t="s">
        <v>74</v>
      </c>
      <c r="Z151" s="8">
        <v>0.02</v>
      </c>
      <c r="AA151" s="202" t="str">
        <f t="shared" si="3"/>
        <v>Лавровый лист</v>
      </c>
      <c r="AC151" t="s">
        <v>1208</v>
      </c>
      <c r="AD151" t="s">
        <v>785</v>
      </c>
      <c r="AE151" t="s">
        <v>1492</v>
      </c>
    </row>
    <row r="152" spans="1:31" ht="15" customHeight="1" x14ac:dyDescent="0.25">
      <c r="A152" t="s">
        <v>153</v>
      </c>
      <c r="L152" s="202">
        <v>5</v>
      </c>
      <c r="M152" s="202" t="s">
        <v>58</v>
      </c>
      <c r="N152" s="202" t="s">
        <v>61</v>
      </c>
      <c r="O152" s="300" t="s">
        <v>254</v>
      </c>
      <c r="P152" s="202" t="s">
        <v>61</v>
      </c>
      <c r="Q152" t="s">
        <v>540</v>
      </c>
      <c r="T152">
        <v>117</v>
      </c>
      <c r="U152" s="7">
        <v>3</v>
      </c>
      <c r="V152" t="s">
        <v>555</v>
      </c>
      <c r="W152" s="257" t="s">
        <v>561</v>
      </c>
      <c r="X152" t="s">
        <v>562</v>
      </c>
      <c r="Y152" s="316" t="s">
        <v>484</v>
      </c>
      <c r="Z152" s="8">
        <v>0.05</v>
      </c>
      <c r="AA152" s="202" t="str">
        <f t="shared" si="3"/>
        <v>Перец черный</v>
      </c>
      <c r="AC152" t="s">
        <v>1208</v>
      </c>
      <c r="AD152" t="s">
        <v>787</v>
      </c>
      <c r="AE152" t="s">
        <v>1492</v>
      </c>
    </row>
    <row r="153" spans="1:31" ht="15" customHeight="1" x14ac:dyDescent="0.25">
      <c r="A153" t="s">
        <v>153</v>
      </c>
      <c r="L153" s="202">
        <v>5</v>
      </c>
      <c r="M153" s="202" t="s">
        <v>58</v>
      </c>
      <c r="N153" s="202" t="s">
        <v>61</v>
      </c>
      <c r="O153" s="300" t="s">
        <v>253</v>
      </c>
      <c r="P153" s="202" t="s">
        <v>61</v>
      </c>
      <c r="Q153" t="s">
        <v>540</v>
      </c>
      <c r="T153">
        <v>1</v>
      </c>
      <c r="U153" s="7">
        <v>3</v>
      </c>
      <c r="V153" t="s">
        <v>555</v>
      </c>
      <c r="W153" s="257" t="s">
        <v>563</v>
      </c>
      <c r="X153" t="s">
        <v>120</v>
      </c>
      <c r="Y153" s="316" t="s">
        <v>48</v>
      </c>
      <c r="Z153" s="8">
        <v>70</v>
      </c>
      <c r="AA153" s="202" t="str">
        <f t="shared" si="3"/>
        <v>Свекла</v>
      </c>
      <c r="AC153" t="s">
        <v>1208</v>
      </c>
      <c r="AD153" t="s">
        <v>789</v>
      </c>
      <c r="AE153" t="s">
        <v>1492</v>
      </c>
    </row>
    <row r="154" spans="1:31" ht="15" customHeight="1" x14ac:dyDescent="0.25">
      <c r="A154" t="s">
        <v>153</v>
      </c>
      <c r="L154" s="202">
        <v>5</v>
      </c>
      <c r="M154" s="202" t="s">
        <v>58</v>
      </c>
      <c r="N154" s="202" t="s">
        <v>61</v>
      </c>
      <c r="O154" s="300" t="s">
        <v>61</v>
      </c>
      <c r="P154" s="202" t="s">
        <v>61</v>
      </c>
      <c r="Q154" t="s">
        <v>540</v>
      </c>
      <c r="T154">
        <v>2</v>
      </c>
      <c r="U154" s="7">
        <v>3</v>
      </c>
      <c r="V154" t="s">
        <v>555</v>
      </c>
      <c r="W154" s="257" t="s">
        <v>563</v>
      </c>
      <c r="X154" t="s">
        <v>120</v>
      </c>
      <c r="Y154" s="316" t="s">
        <v>490</v>
      </c>
      <c r="Z154" s="8">
        <v>75</v>
      </c>
      <c r="AA154" s="202" t="str">
        <f t="shared" si="3"/>
        <v>Капуста свежая</v>
      </c>
      <c r="AC154" t="s">
        <v>1208</v>
      </c>
      <c r="AD154" t="s">
        <v>791</v>
      </c>
      <c r="AE154" t="s">
        <v>1492</v>
      </c>
    </row>
    <row r="155" spans="1:31" ht="15" customHeight="1" x14ac:dyDescent="0.25">
      <c r="A155" t="s">
        <v>153</v>
      </c>
      <c r="L155" s="202">
        <v>5</v>
      </c>
      <c r="M155" s="202" t="s">
        <v>58</v>
      </c>
      <c r="N155" s="202" t="s">
        <v>52</v>
      </c>
      <c r="O155" s="300" t="s">
        <v>453</v>
      </c>
      <c r="P155" s="202" t="s">
        <v>52</v>
      </c>
      <c r="Q155" t="s">
        <v>540</v>
      </c>
      <c r="T155">
        <v>3</v>
      </c>
      <c r="U155" s="7">
        <v>3</v>
      </c>
      <c r="V155" t="s">
        <v>555</v>
      </c>
      <c r="W155" s="257" t="s">
        <v>563</v>
      </c>
      <c r="X155" t="s">
        <v>120</v>
      </c>
      <c r="Y155" s="316" t="s">
        <v>45</v>
      </c>
      <c r="Z155" s="8">
        <v>90</v>
      </c>
      <c r="AA155" s="202" t="str">
        <f t="shared" si="3"/>
        <v>Картофель</v>
      </c>
      <c r="AC155" t="s">
        <v>1208</v>
      </c>
      <c r="AD155" t="s">
        <v>793</v>
      </c>
      <c r="AE155" t="s">
        <v>1492</v>
      </c>
    </row>
    <row r="156" spans="1:31" ht="15" customHeight="1" x14ac:dyDescent="0.25">
      <c r="A156" t="s">
        <v>153</v>
      </c>
      <c r="L156" s="202">
        <v>5</v>
      </c>
      <c r="M156" s="202" t="s">
        <v>58</v>
      </c>
      <c r="N156" s="202" t="s">
        <v>62</v>
      </c>
      <c r="O156" s="300" t="s">
        <v>62</v>
      </c>
      <c r="P156" s="202" t="s">
        <v>62</v>
      </c>
      <c r="Q156" t="s">
        <v>37</v>
      </c>
      <c r="T156">
        <v>4</v>
      </c>
      <c r="U156" s="7">
        <v>3</v>
      </c>
      <c r="V156" t="s">
        <v>555</v>
      </c>
      <c r="W156" s="257" t="s">
        <v>563</v>
      </c>
      <c r="X156" t="s">
        <v>120</v>
      </c>
      <c r="Y156" s="316" t="s">
        <v>46</v>
      </c>
      <c r="Z156" s="8">
        <v>10</v>
      </c>
      <c r="AA156" s="202" t="str">
        <f t="shared" si="3"/>
        <v>Морковь</v>
      </c>
      <c r="AC156" t="s">
        <v>1208</v>
      </c>
      <c r="AD156" t="s">
        <v>796</v>
      </c>
      <c r="AE156" t="s">
        <v>1492</v>
      </c>
    </row>
    <row r="157" spans="1:31" ht="15" customHeight="1" x14ac:dyDescent="0.25">
      <c r="A157" t="s">
        <v>153</v>
      </c>
      <c r="L157" s="202">
        <v>5</v>
      </c>
      <c r="M157" s="202" t="s">
        <v>58</v>
      </c>
      <c r="N157" s="202" t="s">
        <v>62</v>
      </c>
      <c r="O157" s="300" t="s">
        <v>143</v>
      </c>
      <c r="P157" s="202" t="s">
        <v>62</v>
      </c>
      <c r="Q157" t="s">
        <v>37</v>
      </c>
      <c r="T157">
        <v>5</v>
      </c>
      <c r="U157" s="7">
        <v>3</v>
      </c>
      <c r="V157" t="s">
        <v>555</v>
      </c>
      <c r="W157" s="257" t="s">
        <v>563</v>
      </c>
      <c r="X157" t="s">
        <v>120</v>
      </c>
      <c r="Y157" s="316" t="s">
        <v>32</v>
      </c>
      <c r="Z157" s="8">
        <v>10</v>
      </c>
      <c r="AA157" s="202" t="str">
        <f t="shared" si="3"/>
        <v>Лук репчатый</v>
      </c>
      <c r="AC157" t="s">
        <v>1208</v>
      </c>
      <c r="AD157" t="s">
        <v>797</v>
      </c>
      <c r="AE157" t="s">
        <v>1492</v>
      </c>
    </row>
    <row r="158" spans="1:31" ht="15" customHeight="1" x14ac:dyDescent="0.25">
      <c r="A158" t="s">
        <v>153</v>
      </c>
      <c r="L158" s="202">
        <v>6</v>
      </c>
      <c r="M158" s="202" t="s">
        <v>527</v>
      </c>
      <c r="N158" s="202" t="s">
        <v>454</v>
      </c>
      <c r="O158" s="300" t="s">
        <v>454</v>
      </c>
      <c r="P158" s="202" t="s">
        <v>454</v>
      </c>
      <c r="Q158" t="s">
        <v>37</v>
      </c>
      <c r="T158">
        <v>6</v>
      </c>
      <c r="U158" s="7">
        <v>3</v>
      </c>
      <c r="V158" t="s">
        <v>555</v>
      </c>
      <c r="W158" s="257" t="s">
        <v>563</v>
      </c>
      <c r="X158" t="s">
        <v>120</v>
      </c>
      <c r="Y158" s="316" t="s">
        <v>76</v>
      </c>
      <c r="Z158" s="8">
        <v>2</v>
      </c>
      <c r="AA158" s="202" t="str">
        <f t="shared" si="3"/>
        <v>Томат-паста</v>
      </c>
      <c r="AC158" t="s">
        <v>1208</v>
      </c>
      <c r="AD158" t="s">
        <v>798</v>
      </c>
      <c r="AE158" t="s">
        <v>1492</v>
      </c>
    </row>
    <row r="159" spans="1:31" ht="15" customHeight="1" x14ac:dyDescent="0.25">
      <c r="A159" t="s">
        <v>153</v>
      </c>
      <c r="L159" s="202">
        <v>6</v>
      </c>
      <c r="M159" s="202" t="s">
        <v>527</v>
      </c>
      <c r="N159" s="202" t="s">
        <v>454</v>
      </c>
      <c r="O159" s="300" t="s">
        <v>226</v>
      </c>
      <c r="P159" s="202" t="s">
        <v>454</v>
      </c>
      <c r="Q159" t="s">
        <v>37</v>
      </c>
      <c r="T159">
        <v>7</v>
      </c>
      <c r="U159" s="7">
        <v>3</v>
      </c>
      <c r="V159" t="s">
        <v>555</v>
      </c>
      <c r="W159" s="257" t="s">
        <v>563</v>
      </c>
      <c r="X159" t="s">
        <v>120</v>
      </c>
      <c r="Y159" s="316" t="s">
        <v>61</v>
      </c>
      <c r="Z159" s="8">
        <v>5</v>
      </c>
      <c r="AA159" s="202" t="str">
        <f t="shared" si="3"/>
        <v>Масло растительное</v>
      </c>
      <c r="AC159" t="s">
        <v>1208</v>
      </c>
      <c r="AD159" t="s">
        <v>799</v>
      </c>
      <c r="AE159" t="s">
        <v>1492</v>
      </c>
    </row>
    <row r="160" spans="1:31" ht="15" customHeight="1" x14ac:dyDescent="0.25">
      <c r="A160" t="s">
        <v>153</v>
      </c>
      <c r="L160" s="202">
        <v>6</v>
      </c>
      <c r="M160" s="202" t="s">
        <v>527</v>
      </c>
      <c r="N160" s="202" t="s">
        <v>454</v>
      </c>
      <c r="O160" s="300" t="s">
        <v>457</v>
      </c>
      <c r="P160" s="202" t="s">
        <v>454</v>
      </c>
      <c r="Q160" t="s">
        <v>37</v>
      </c>
      <c r="T160">
        <v>8</v>
      </c>
      <c r="U160" s="7">
        <v>3</v>
      </c>
      <c r="V160" t="s">
        <v>555</v>
      </c>
      <c r="W160" s="257" t="s">
        <v>563</v>
      </c>
      <c r="X160" t="s">
        <v>120</v>
      </c>
      <c r="Y160" s="316" t="s">
        <v>486</v>
      </c>
      <c r="Z160" s="8">
        <v>2</v>
      </c>
      <c r="AA160" s="202" t="str">
        <f t="shared" si="3"/>
        <v>Уксус</v>
      </c>
      <c r="AC160" t="s">
        <v>1208</v>
      </c>
      <c r="AD160" t="s">
        <v>1211</v>
      </c>
      <c r="AE160" t="s">
        <v>1492</v>
      </c>
    </row>
    <row r="161" spans="1:31" ht="15" customHeight="1" x14ac:dyDescent="0.25">
      <c r="A161" t="s">
        <v>153</v>
      </c>
      <c r="L161" s="202">
        <v>6</v>
      </c>
      <c r="M161" s="202" t="s">
        <v>527</v>
      </c>
      <c r="N161" s="202" t="s">
        <v>502</v>
      </c>
      <c r="O161" s="300" t="s">
        <v>502</v>
      </c>
      <c r="P161" s="202" t="s">
        <v>502</v>
      </c>
      <c r="Q161" t="s">
        <v>37</v>
      </c>
      <c r="T161">
        <v>9</v>
      </c>
      <c r="U161" s="7">
        <v>3</v>
      </c>
      <c r="V161" t="s">
        <v>555</v>
      </c>
      <c r="W161" s="257" t="s">
        <v>563</v>
      </c>
      <c r="X161" t="s">
        <v>120</v>
      </c>
      <c r="Y161" s="316" t="s">
        <v>479</v>
      </c>
      <c r="Z161" s="8">
        <v>400</v>
      </c>
      <c r="AA161" s="202" t="str">
        <f t="shared" si="3"/>
        <v>Вода или бульон</v>
      </c>
      <c r="AC161" t="s">
        <v>1208</v>
      </c>
      <c r="AD161" t="s">
        <v>800</v>
      </c>
      <c r="AE161" t="s">
        <v>1492</v>
      </c>
    </row>
    <row r="162" spans="1:31" ht="15" customHeight="1" x14ac:dyDescent="0.25">
      <c r="A162" t="s">
        <v>153</v>
      </c>
      <c r="L162" s="202">
        <v>6</v>
      </c>
      <c r="M162" s="202" t="s">
        <v>527</v>
      </c>
      <c r="N162" s="202" t="s">
        <v>502</v>
      </c>
      <c r="O162" s="300" t="s">
        <v>456</v>
      </c>
      <c r="P162" s="202" t="s">
        <v>502</v>
      </c>
      <c r="Q162" t="s">
        <v>37</v>
      </c>
      <c r="T162">
        <v>10</v>
      </c>
      <c r="U162" s="7">
        <v>3</v>
      </c>
      <c r="V162" t="s">
        <v>555</v>
      </c>
      <c r="W162" s="257" t="s">
        <v>563</v>
      </c>
      <c r="X162" t="s">
        <v>120</v>
      </c>
      <c r="Y162" s="316" t="s">
        <v>54</v>
      </c>
      <c r="Z162" s="8">
        <v>5</v>
      </c>
      <c r="AA162" s="202" t="str">
        <f t="shared" si="3"/>
        <v>Сметана</v>
      </c>
      <c r="AC162" t="s">
        <v>1208</v>
      </c>
      <c r="AD162" t="s">
        <v>801</v>
      </c>
      <c r="AE162" t="s">
        <v>1492</v>
      </c>
    </row>
    <row r="163" spans="1:31" ht="15" customHeight="1" x14ac:dyDescent="0.25">
      <c r="A163" t="s">
        <v>153</v>
      </c>
      <c r="L163" s="202">
        <v>6</v>
      </c>
      <c r="M163" s="202" t="s">
        <v>527</v>
      </c>
      <c r="N163" s="202" t="s">
        <v>502</v>
      </c>
      <c r="O163" s="300" t="s">
        <v>232</v>
      </c>
      <c r="P163" s="202" t="s">
        <v>502</v>
      </c>
      <c r="Q163" t="s">
        <v>37</v>
      </c>
      <c r="T163">
        <v>11</v>
      </c>
      <c r="U163" s="7">
        <v>3</v>
      </c>
      <c r="V163" t="s">
        <v>555</v>
      </c>
      <c r="W163" s="257" t="s">
        <v>563</v>
      </c>
      <c r="X163" t="s">
        <v>120</v>
      </c>
      <c r="Y163" s="316" t="s">
        <v>70</v>
      </c>
      <c r="Z163" s="8">
        <v>5</v>
      </c>
      <c r="AA163" s="202" t="str">
        <f t="shared" si="3"/>
        <v>Зелень</v>
      </c>
      <c r="AC163" t="s">
        <v>1208</v>
      </c>
      <c r="AD163" t="s">
        <v>802</v>
      </c>
      <c r="AE163" t="s">
        <v>1492</v>
      </c>
    </row>
    <row r="164" spans="1:31" ht="15" customHeight="1" x14ac:dyDescent="0.25">
      <c r="A164" t="s">
        <v>153</v>
      </c>
      <c r="L164" s="202">
        <v>6</v>
      </c>
      <c r="M164" s="202" t="s">
        <v>527</v>
      </c>
      <c r="N164" s="202" t="s">
        <v>502</v>
      </c>
      <c r="O164" s="300" t="s">
        <v>230</v>
      </c>
      <c r="P164" s="202" t="s">
        <v>502</v>
      </c>
      <c r="Q164" t="s">
        <v>37</v>
      </c>
      <c r="T164">
        <v>12</v>
      </c>
      <c r="U164" s="7">
        <v>3</v>
      </c>
      <c r="V164" t="s">
        <v>555</v>
      </c>
      <c r="W164" s="257" t="s">
        <v>563</v>
      </c>
      <c r="X164" t="s">
        <v>120</v>
      </c>
      <c r="Y164" s="316" t="s">
        <v>326</v>
      </c>
      <c r="Z164" s="8">
        <v>4</v>
      </c>
      <c r="AA164" s="202" t="str">
        <f t="shared" si="3"/>
        <v>Соль</v>
      </c>
      <c r="AC164" t="s">
        <v>1208</v>
      </c>
      <c r="AD164" t="s">
        <v>803</v>
      </c>
      <c r="AE164" t="s">
        <v>1492</v>
      </c>
    </row>
    <row r="165" spans="1:31" ht="15" customHeight="1" x14ac:dyDescent="0.25">
      <c r="A165" t="s">
        <v>153</v>
      </c>
      <c r="L165" s="202">
        <v>6</v>
      </c>
      <c r="M165" s="202" t="s">
        <v>527</v>
      </c>
      <c r="N165" s="202" t="s">
        <v>502</v>
      </c>
      <c r="O165" s="300" t="s">
        <v>231</v>
      </c>
      <c r="P165" s="202" t="s">
        <v>502</v>
      </c>
      <c r="Q165" t="s">
        <v>37</v>
      </c>
      <c r="T165">
        <v>14</v>
      </c>
      <c r="U165" s="7">
        <v>3</v>
      </c>
      <c r="V165" t="s">
        <v>555</v>
      </c>
      <c r="W165" s="257" t="s">
        <v>563</v>
      </c>
      <c r="X165" t="s">
        <v>120</v>
      </c>
      <c r="Y165" s="316" t="s">
        <v>558</v>
      </c>
      <c r="Z165" s="8">
        <v>500</v>
      </c>
      <c r="AA165" s="202" t="str">
        <f t="shared" si="3"/>
        <v>Общая масса готового блюда, г</v>
      </c>
      <c r="AC165" t="s">
        <v>1208</v>
      </c>
      <c r="AD165" t="s">
        <v>804</v>
      </c>
      <c r="AE165" t="s">
        <v>1492</v>
      </c>
    </row>
    <row r="166" spans="1:31" ht="15" customHeight="1" x14ac:dyDescent="0.25">
      <c r="A166" t="s">
        <v>153</v>
      </c>
      <c r="L166" s="202">
        <v>6</v>
      </c>
      <c r="M166" s="202" t="s">
        <v>527</v>
      </c>
      <c r="N166" s="202" t="s">
        <v>503</v>
      </c>
      <c r="O166" s="300" t="s">
        <v>503</v>
      </c>
      <c r="P166" s="202" t="s">
        <v>503</v>
      </c>
      <c r="Q166" t="s">
        <v>37</v>
      </c>
      <c r="T166">
        <v>15</v>
      </c>
      <c r="U166" s="7">
        <v>3</v>
      </c>
      <c r="V166" t="s">
        <v>555</v>
      </c>
      <c r="W166" s="257" t="s">
        <v>563</v>
      </c>
      <c r="X166" t="s">
        <v>120</v>
      </c>
      <c r="Y166" s="316" t="s">
        <v>109</v>
      </c>
      <c r="Z166" s="8">
        <v>250</v>
      </c>
      <c r="AA166" s="202" t="str">
        <f t="shared" si="3"/>
        <v>ОКГ</v>
      </c>
      <c r="AC166" t="s">
        <v>1208</v>
      </c>
      <c r="AD166" t="s">
        <v>1213</v>
      </c>
      <c r="AE166" t="s">
        <v>1492</v>
      </c>
    </row>
    <row r="167" spans="1:31" ht="15" customHeight="1" x14ac:dyDescent="0.25">
      <c r="A167" t="s">
        <v>153</v>
      </c>
      <c r="L167" s="202">
        <v>6</v>
      </c>
      <c r="M167" s="202" t="s">
        <v>527</v>
      </c>
      <c r="N167" s="202" t="s">
        <v>503</v>
      </c>
      <c r="O167" s="300" t="s">
        <v>455</v>
      </c>
      <c r="P167" s="202" t="s">
        <v>503</v>
      </c>
      <c r="Q167" t="s">
        <v>37</v>
      </c>
      <c r="T167">
        <v>118</v>
      </c>
      <c r="U167" s="7">
        <v>3</v>
      </c>
      <c r="V167" t="s">
        <v>555</v>
      </c>
      <c r="W167" s="257" t="s">
        <v>563</v>
      </c>
      <c r="X167" t="s">
        <v>120</v>
      </c>
      <c r="Y167" s="316" t="s">
        <v>74</v>
      </c>
      <c r="Z167" s="8">
        <v>0.02</v>
      </c>
      <c r="AA167" s="202" t="str">
        <f t="shared" si="3"/>
        <v>Лавровый лист</v>
      </c>
      <c r="AC167" t="s">
        <v>1208</v>
      </c>
      <c r="AD167" t="s">
        <v>805</v>
      </c>
      <c r="AE167" t="s">
        <v>1492</v>
      </c>
    </row>
    <row r="168" spans="1:31" ht="15" customHeight="1" x14ac:dyDescent="0.25">
      <c r="A168" t="s">
        <v>153</v>
      </c>
      <c r="L168" s="202">
        <v>6</v>
      </c>
      <c r="M168" s="202" t="s">
        <v>527</v>
      </c>
      <c r="N168" s="202" t="s">
        <v>336</v>
      </c>
      <c r="O168" s="300" t="s">
        <v>336</v>
      </c>
      <c r="P168" s="202" t="s">
        <v>336</v>
      </c>
      <c r="Q168" t="s">
        <v>37</v>
      </c>
      <c r="T168">
        <v>119</v>
      </c>
      <c r="U168" s="7">
        <v>3</v>
      </c>
      <c r="V168" t="s">
        <v>555</v>
      </c>
      <c r="W168" s="257" t="s">
        <v>563</v>
      </c>
      <c r="X168" t="s">
        <v>120</v>
      </c>
      <c r="Y168" s="316" t="s">
        <v>484</v>
      </c>
      <c r="Z168" s="8">
        <v>0.05</v>
      </c>
      <c r="AA168" s="202" t="str">
        <f t="shared" si="3"/>
        <v>Перец черный</v>
      </c>
      <c r="AC168" t="s">
        <v>1208</v>
      </c>
      <c r="AD168" t="s">
        <v>808</v>
      </c>
      <c r="AE168" t="s">
        <v>1492</v>
      </c>
    </row>
    <row r="169" spans="1:31" ht="15" customHeight="1" x14ac:dyDescent="0.25">
      <c r="A169" t="s">
        <v>153</v>
      </c>
      <c r="L169" s="202">
        <v>6</v>
      </c>
      <c r="M169" s="202" t="s">
        <v>527</v>
      </c>
      <c r="N169" s="202" t="s">
        <v>336</v>
      </c>
      <c r="O169" s="300" t="s">
        <v>327</v>
      </c>
      <c r="P169" s="202" t="s">
        <v>336</v>
      </c>
      <c r="Q169" t="s">
        <v>37</v>
      </c>
      <c r="T169">
        <v>65</v>
      </c>
      <c r="U169" s="7">
        <v>3</v>
      </c>
      <c r="V169" t="s">
        <v>555</v>
      </c>
      <c r="W169" s="257" t="s">
        <v>564</v>
      </c>
      <c r="X169" t="s">
        <v>565</v>
      </c>
      <c r="Y169" s="316" t="s">
        <v>48</v>
      </c>
      <c r="Z169" s="8">
        <v>125</v>
      </c>
      <c r="AA169" s="202" t="str">
        <f t="shared" si="3"/>
        <v>Свекла</v>
      </c>
      <c r="AC169" t="s">
        <v>1208</v>
      </c>
      <c r="AD169" t="s">
        <v>810</v>
      </c>
      <c r="AE169" t="s">
        <v>1492</v>
      </c>
    </row>
    <row r="170" spans="1:31" ht="15" customHeight="1" x14ac:dyDescent="0.25">
      <c r="A170" t="s">
        <v>153</v>
      </c>
      <c r="L170" s="202">
        <v>6</v>
      </c>
      <c r="M170" s="202" t="s">
        <v>527</v>
      </c>
      <c r="N170" s="202" t="s">
        <v>336</v>
      </c>
      <c r="O170" s="300" t="s">
        <v>223</v>
      </c>
      <c r="P170" s="202" t="s">
        <v>336</v>
      </c>
      <c r="Q170" t="s">
        <v>37</v>
      </c>
      <c r="T170">
        <v>66</v>
      </c>
      <c r="U170" s="7">
        <v>3</v>
      </c>
      <c r="V170" t="s">
        <v>555</v>
      </c>
      <c r="W170" s="257" t="s">
        <v>564</v>
      </c>
      <c r="X170" t="s">
        <v>565</v>
      </c>
      <c r="Y170" s="316" t="s">
        <v>46</v>
      </c>
      <c r="Z170" s="8">
        <v>10</v>
      </c>
      <c r="AA170" s="202" t="str">
        <f t="shared" si="3"/>
        <v>Морковь</v>
      </c>
      <c r="AC170" t="s">
        <v>1208</v>
      </c>
      <c r="AD170" t="s">
        <v>812</v>
      </c>
      <c r="AE170" t="s">
        <v>1492</v>
      </c>
    </row>
    <row r="171" spans="1:31" ht="15" customHeight="1" x14ac:dyDescent="0.25">
      <c r="A171" t="s">
        <v>153</v>
      </c>
      <c r="L171" s="202">
        <v>6</v>
      </c>
      <c r="M171" s="202" t="s">
        <v>527</v>
      </c>
      <c r="N171" s="202" t="s">
        <v>528</v>
      </c>
      <c r="O171" s="300" t="s">
        <v>528</v>
      </c>
      <c r="P171" s="202" t="s">
        <v>528</v>
      </c>
      <c r="Q171" t="s">
        <v>37</v>
      </c>
      <c r="T171">
        <v>67</v>
      </c>
      <c r="U171" s="7">
        <v>3</v>
      </c>
      <c r="V171" t="s">
        <v>555</v>
      </c>
      <c r="W171" s="257" t="s">
        <v>564</v>
      </c>
      <c r="X171" t="s">
        <v>565</v>
      </c>
      <c r="Y171" s="316" t="s">
        <v>45</v>
      </c>
      <c r="Z171" s="8">
        <v>125</v>
      </c>
      <c r="AA171" s="202" t="str">
        <f t="shared" si="3"/>
        <v>Картофель</v>
      </c>
      <c r="AC171" t="s">
        <v>1208</v>
      </c>
      <c r="AD171" t="s">
        <v>814</v>
      </c>
      <c r="AE171" t="s">
        <v>1492</v>
      </c>
    </row>
    <row r="172" spans="1:31" ht="15" customHeight="1" x14ac:dyDescent="0.25">
      <c r="A172" t="s">
        <v>153</v>
      </c>
      <c r="L172" s="202">
        <v>6</v>
      </c>
      <c r="M172" s="202" t="s">
        <v>527</v>
      </c>
      <c r="N172" s="202" t="s">
        <v>529</v>
      </c>
      <c r="O172" s="300" t="s">
        <v>529</v>
      </c>
      <c r="P172" s="202" t="s">
        <v>529</v>
      </c>
      <c r="Q172" t="s">
        <v>37</v>
      </c>
      <c r="T172">
        <v>68</v>
      </c>
      <c r="U172" s="7">
        <v>3</v>
      </c>
      <c r="V172" t="s">
        <v>555</v>
      </c>
      <c r="W172" s="257" t="s">
        <v>564</v>
      </c>
      <c r="X172" t="s">
        <v>565</v>
      </c>
      <c r="Y172" s="316" t="s">
        <v>32</v>
      </c>
      <c r="Z172" s="8">
        <v>10</v>
      </c>
      <c r="AA172" s="202" t="str">
        <f t="shared" si="3"/>
        <v>Лук репчатый</v>
      </c>
      <c r="AC172" t="s">
        <v>1208</v>
      </c>
      <c r="AD172" t="s">
        <v>816</v>
      </c>
      <c r="AE172" t="s">
        <v>1492</v>
      </c>
    </row>
    <row r="173" spans="1:31" ht="15" customHeight="1" x14ac:dyDescent="0.25">
      <c r="A173" t="s">
        <v>153</v>
      </c>
      <c r="L173" s="202">
        <v>6</v>
      </c>
      <c r="M173" s="202" t="s">
        <v>527</v>
      </c>
      <c r="N173" s="202" t="s">
        <v>1514</v>
      </c>
      <c r="O173" s="300" t="s">
        <v>461</v>
      </c>
      <c r="P173" s="202" t="s">
        <v>1514</v>
      </c>
      <c r="Q173" t="s">
        <v>37</v>
      </c>
      <c r="T173">
        <v>69</v>
      </c>
      <c r="U173" s="7">
        <v>3</v>
      </c>
      <c r="V173" t="s">
        <v>555</v>
      </c>
      <c r="W173" s="257" t="s">
        <v>564</v>
      </c>
      <c r="X173" t="s">
        <v>565</v>
      </c>
      <c r="Y173" s="316" t="s">
        <v>61</v>
      </c>
      <c r="Z173" s="8">
        <v>5</v>
      </c>
      <c r="AA173" s="202" t="str">
        <f t="shared" si="3"/>
        <v>Масло растительное</v>
      </c>
      <c r="AC173" t="s">
        <v>1208</v>
      </c>
      <c r="AD173" t="s">
        <v>818</v>
      </c>
      <c r="AE173" t="s">
        <v>1492</v>
      </c>
    </row>
    <row r="174" spans="1:31" ht="15" customHeight="1" x14ac:dyDescent="0.25">
      <c r="A174" t="s">
        <v>153</v>
      </c>
      <c r="L174" s="202">
        <v>6</v>
      </c>
      <c r="M174" s="202" t="s">
        <v>527</v>
      </c>
      <c r="N174" s="202" t="s">
        <v>65</v>
      </c>
      <c r="O174" s="300" t="s">
        <v>65</v>
      </c>
      <c r="P174" s="202" t="s">
        <v>65</v>
      </c>
      <c r="Q174" t="s">
        <v>37</v>
      </c>
      <c r="T174">
        <v>70</v>
      </c>
      <c r="U174" s="7">
        <v>3</v>
      </c>
      <c r="V174" t="s">
        <v>555</v>
      </c>
      <c r="W174" s="257" t="s">
        <v>564</v>
      </c>
      <c r="X174" t="s">
        <v>565</v>
      </c>
      <c r="Y174" s="316" t="s">
        <v>76</v>
      </c>
      <c r="Z174" s="8">
        <v>4</v>
      </c>
      <c r="AA174" s="202" t="str">
        <f t="shared" si="3"/>
        <v>Томат-паста</v>
      </c>
      <c r="AC174" t="s">
        <v>1208</v>
      </c>
      <c r="AD174" t="s">
        <v>820</v>
      </c>
      <c r="AE174" t="s">
        <v>1492</v>
      </c>
    </row>
    <row r="175" spans="1:31" ht="15" customHeight="1" x14ac:dyDescent="0.25">
      <c r="A175" t="s">
        <v>153</v>
      </c>
      <c r="L175" s="202">
        <v>6</v>
      </c>
      <c r="M175" s="202" t="s">
        <v>527</v>
      </c>
      <c r="N175" s="202" t="s">
        <v>65</v>
      </c>
      <c r="O175" s="300" t="s">
        <v>220</v>
      </c>
      <c r="P175" s="202" t="s">
        <v>65</v>
      </c>
      <c r="Q175" t="s">
        <v>37</v>
      </c>
      <c r="T175">
        <v>71</v>
      </c>
      <c r="U175" s="7">
        <v>3</v>
      </c>
      <c r="V175" t="s">
        <v>555</v>
      </c>
      <c r="W175" s="257" t="s">
        <v>564</v>
      </c>
      <c r="X175" t="s">
        <v>565</v>
      </c>
      <c r="Y175" s="316" t="s">
        <v>479</v>
      </c>
      <c r="Z175" s="8">
        <v>400</v>
      </c>
      <c r="AA175" s="202" t="str">
        <f t="shared" si="3"/>
        <v>Вода или бульон</v>
      </c>
      <c r="AC175" t="s">
        <v>1208</v>
      </c>
      <c r="AD175" t="s">
        <v>822</v>
      </c>
      <c r="AE175" t="s">
        <v>1492</v>
      </c>
    </row>
    <row r="176" spans="1:31" ht="15" customHeight="1" x14ac:dyDescent="0.25">
      <c r="A176" t="s">
        <v>153</v>
      </c>
      <c r="L176" s="202">
        <v>6</v>
      </c>
      <c r="M176" s="202" t="s">
        <v>527</v>
      </c>
      <c r="N176" s="202" t="s">
        <v>1514</v>
      </c>
      <c r="O176" s="300" t="s">
        <v>221</v>
      </c>
      <c r="P176" s="202" t="s">
        <v>1514</v>
      </c>
      <c r="Q176" t="s">
        <v>37</v>
      </c>
      <c r="T176">
        <v>72</v>
      </c>
      <c r="U176" s="7">
        <v>3</v>
      </c>
      <c r="V176" t="s">
        <v>555</v>
      </c>
      <c r="W176" s="257" t="s">
        <v>564</v>
      </c>
      <c r="X176" t="s">
        <v>565</v>
      </c>
      <c r="Y176" s="316" t="s">
        <v>54</v>
      </c>
      <c r="Z176" s="8">
        <v>5</v>
      </c>
      <c r="AA176" s="202" t="str">
        <f t="shared" si="3"/>
        <v>Сметана</v>
      </c>
      <c r="AC176" t="s">
        <v>1208</v>
      </c>
      <c r="AD176" t="s">
        <v>824</v>
      </c>
      <c r="AE176" t="s">
        <v>1492</v>
      </c>
    </row>
    <row r="177" spans="1:31" ht="15" customHeight="1" x14ac:dyDescent="0.25">
      <c r="A177" t="s">
        <v>153</v>
      </c>
      <c r="L177" s="202">
        <v>6</v>
      </c>
      <c r="M177" s="202" t="s">
        <v>527</v>
      </c>
      <c r="N177" s="202" t="s">
        <v>1514</v>
      </c>
      <c r="O177" s="202" t="s">
        <v>1514</v>
      </c>
      <c r="P177" s="202" t="s">
        <v>1514</v>
      </c>
      <c r="Q177" s="202" t="s">
        <v>37</v>
      </c>
      <c r="T177">
        <v>73</v>
      </c>
      <c r="U177" s="7">
        <v>3</v>
      </c>
      <c r="V177" t="s">
        <v>555</v>
      </c>
      <c r="W177" s="257" t="s">
        <v>564</v>
      </c>
      <c r="X177" t="s">
        <v>565</v>
      </c>
      <c r="Y177" s="316" t="s">
        <v>70</v>
      </c>
      <c r="Z177" s="8">
        <v>5</v>
      </c>
      <c r="AA177" s="202" t="str">
        <f t="shared" si="3"/>
        <v>Зелень</v>
      </c>
      <c r="AC177" t="s">
        <v>1208</v>
      </c>
      <c r="AD177" t="s">
        <v>826</v>
      </c>
      <c r="AE177" t="s">
        <v>1492</v>
      </c>
    </row>
    <row r="178" spans="1:31" ht="15" customHeight="1" x14ac:dyDescent="0.25">
      <c r="A178" t="s">
        <v>153</v>
      </c>
      <c r="L178" s="202">
        <v>6</v>
      </c>
      <c r="M178" s="202" t="s">
        <v>527</v>
      </c>
      <c r="N178" s="202" t="s">
        <v>507</v>
      </c>
      <c r="O178" s="300" t="s">
        <v>63</v>
      </c>
      <c r="P178" s="202" t="s">
        <v>507</v>
      </c>
      <c r="Q178" t="s">
        <v>37</v>
      </c>
      <c r="T178">
        <v>74</v>
      </c>
      <c r="U178" s="7">
        <v>3</v>
      </c>
      <c r="V178" t="s">
        <v>555</v>
      </c>
      <c r="W178" s="257" t="s">
        <v>564</v>
      </c>
      <c r="X178" t="s">
        <v>565</v>
      </c>
      <c r="Y178" s="316" t="s">
        <v>326</v>
      </c>
      <c r="Z178" s="8">
        <v>4</v>
      </c>
      <c r="AA178" s="202" t="str">
        <f t="shared" si="3"/>
        <v>Соль</v>
      </c>
      <c r="AC178" t="s">
        <v>1208</v>
      </c>
      <c r="AD178" t="s">
        <v>828</v>
      </c>
      <c r="AE178" t="s">
        <v>1492</v>
      </c>
    </row>
    <row r="179" spans="1:31" ht="15" customHeight="1" x14ac:dyDescent="0.25">
      <c r="A179" t="s">
        <v>153</v>
      </c>
      <c r="L179" s="202">
        <v>6</v>
      </c>
      <c r="M179" s="202" t="s">
        <v>527</v>
      </c>
      <c r="N179" s="202" t="s">
        <v>66</v>
      </c>
      <c r="O179" s="300" t="s">
        <v>227</v>
      </c>
      <c r="P179" s="202" t="s">
        <v>66</v>
      </c>
      <c r="Q179" t="s">
        <v>37</v>
      </c>
      <c r="T179">
        <v>75</v>
      </c>
      <c r="U179" s="7">
        <v>3</v>
      </c>
      <c r="V179" t="s">
        <v>555</v>
      </c>
      <c r="W179" s="257" t="s">
        <v>564</v>
      </c>
      <c r="X179" t="s">
        <v>565</v>
      </c>
      <c r="Y179" s="316" t="s">
        <v>486</v>
      </c>
      <c r="Z179" s="8">
        <v>2</v>
      </c>
      <c r="AA179" s="202" t="str">
        <f t="shared" si="3"/>
        <v>Уксус</v>
      </c>
      <c r="AC179" t="s">
        <v>1208</v>
      </c>
      <c r="AD179" t="s">
        <v>830</v>
      </c>
      <c r="AE179" t="s">
        <v>1492</v>
      </c>
    </row>
    <row r="180" spans="1:31" ht="15" customHeight="1" x14ac:dyDescent="0.25">
      <c r="A180" t="s">
        <v>153</v>
      </c>
      <c r="L180" s="202">
        <v>6</v>
      </c>
      <c r="M180" s="202" t="s">
        <v>527</v>
      </c>
      <c r="N180" s="202" t="s">
        <v>66</v>
      </c>
      <c r="O180" s="300" t="s">
        <v>228</v>
      </c>
      <c r="P180" s="202" t="s">
        <v>66</v>
      </c>
      <c r="Q180" t="s">
        <v>37</v>
      </c>
      <c r="T180">
        <v>76</v>
      </c>
      <c r="U180" s="7">
        <v>3</v>
      </c>
      <c r="V180" t="s">
        <v>555</v>
      </c>
      <c r="W180" s="257" t="s">
        <v>564</v>
      </c>
      <c r="X180" t="s">
        <v>565</v>
      </c>
      <c r="Y180" s="316" t="s">
        <v>558</v>
      </c>
      <c r="Z180" s="8">
        <v>500</v>
      </c>
      <c r="AA180" s="202" t="str">
        <f t="shared" si="3"/>
        <v>Общая масса готового блюда, г</v>
      </c>
      <c r="AC180" t="s">
        <v>1208</v>
      </c>
      <c r="AD180" t="s">
        <v>831</v>
      </c>
      <c r="AE180" t="s">
        <v>1492</v>
      </c>
    </row>
    <row r="181" spans="1:31" ht="15" customHeight="1" x14ac:dyDescent="0.25">
      <c r="A181" t="s">
        <v>153</v>
      </c>
      <c r="L181" s="202">
        <v>6</v>
      </c>
      <c r="M181" s="202" t="s">
        <v>527</v>
      </c>
      <c r="N181" s="202" t="s">
        <v>66</v>
      </c>
      <c r="O181" s="300" t="s">
        <v>66</v>
      </c>
      <c r="P181" s="202" t="s">
        <v>66</v>
      </c>
      <c r="Q181" t="s">
        <v>37</v>
      </c>
      <c r="T181">
        <v>77</v>
      </c>
      <c r="U181" s="7">
        <v>3</v>
      </c>
      <c r="V181" t="s">
        <v>555</v>
      </c>
      <c r="W181" s="257" t="s">
        <v>564</v>
      </c>
      <c r="X181" t="s">
        <v>565</v>
      </c>
      <c r="Y181" s="316" t="s">
        <v>109</v>
      </c>
      <c r="Z181" s="8">
        <v>250</v>
      </c>
      <c r="AA181" s="202" t="str">
        <f t="shared" si="3"/>
        <v>ОКГ</v>
      </c>
      <c r="AC181" t="s">
        <v>1208</v>
      </c>
      <c r="AD181" t="s">
        <v>832</v>
      </c>
      <c r="AE181" t="s">
        <v>1492</v>
      </c>
    </row>
    <row r="182" spans="1:31" ht="15" customHeight="1" x14ac:dyDescent="0.25">
      <c r="A182" t="s">
        <v>153</v>
      </c>
      <c r="L182" s="202">
        <v>6</v>
      </c>
      <c r="M182" s="202" t="s">
        <v>527</v>
      </c>
      <c r="N182" s="202" t="s">
        <v>512</v>
      </c>
      <c r="O182" s="300" t="s">
        <v>477</v>
      </c>
      <c r="P182" s="202" t="s">
        <v>512</v>
      </c>
      <c r="Q182" t="s">
        <v>37</v>
      </c>
      <c r="T182">
        <v>112</v>
      </c>
      <c r="U182" s="7">
        <v>3</v>
      </c>
      <c r="V182" t="s">
        <v>555</v>
      </c>
      <c r="W182" s="257" t="s">
        <v>564</v>
      </c>
      <c r="X182" t="s">
        <v>565</v>
      </c>
      <c r="Y182" s="316" t="s">
        <v>74</v>
      </c>
      <c r="Z182" s="8">
        <v>0.02</v>
      </c>
      <c r="AA182" s="202" t="str">
        <f t="shared" si="3"/>
        <v>Лавровый лист</v>
      </c>
      <c r="AC182" t="s">
        <v>1208</v>
      </c>
      <c r="AD182" t="s">
        <v>833</v>
      </c>
      <c r="AE182" t="s">
        <v>1492</v>
      </c>
    </row>
    <row r="183" spans="1:31" ht="15" customHeight="1" x14ac:dyDescent="0.25">
      <c r="A183" t="s">
        <v>153</v>
      </c>
      <c r="L183" s="202">
        <v>6</v>
      </c>
      <c r="M183" s="202" t="s">
        <v>527</v>
      </c>
      <c r="N183" s="202" t="s">
        <v>512</v>
      </c>
      <c r="O183" s="300" t="s">
        <v>229</v>
      </c>
      <c r="P183" s="202" t="s">
        <v>512</v>
      </c>
      <c r="Q183" t="s">
        <v>37</v>
      </c>
      <c r="T183">
        <v>113</v>
      </c>
      <c r="U183" s="7">
        <v>3</v>
      </c>
      <c r="V183" t="s">
        <v>555</v>
      </c>
      <c r="W183" s="257" t="s">
        <v>564</v>
      </c>
      <c r="X183" t="s">
        <v>565</v>
      </c>
      <c r="Y183" s="316" t="s">
        <v>484</v>
      </c>
      <c r="Z183" s="8">
        <v>0.05</v>
      </c>
      <c r="AA183" s="202" t="str">
        <f t="shared" si="3"/>
        <v>Перец черный</v>
      </c>
      <c r="AC183" t="s">
        <v>1208</v>
      </c>
      <c r="AD183" t="s">
        <v>834</v>
      </c>
      <c r="AE183" t="s">
        <v>1492</v>
      </c>
    </row>
    <row r="184" spans="1:31" ht="15" customHeight="1" x14ac:dyDescent="0.25">
      <c r="A184" t="s">
        <v>153</v>
      </c>
      <c r="L184" s="202">
        <v>6</v>
      </c>
      <c r="M184" s="202" t="s">
        <v>527</v>
      </c>
      <c r="N184" s="202" t="s">
        <v>512</v>
      </c>
      <c r="O184" s="300" t="s">
        <v>512</v>
      </c>
      <c r="P184" s="202" t="s">
        <v>512</v>
      </c>
      <c r="Q184" t="s">
        <v>37</v>
      </c>
      <c r="T184">
        <v>32</v>
      </c>
      <c r="U184" s="7">
        <v>3</v>
      </c>
      <c r="V184" t="s">
        <v>555</v>
      </c>
      <c r="W184" s="257" t="s">
        <v>566</v>
      </c>
      <c r="X184" t="s">
        <v>567</v>
      </c>
      <c r="Y184" s="316" t="s">
        <v>48</v>
      </c>
      <c r="Z184" s="8">
        <v>80</v>
      </c>
      <c r="AA184" s="202" t="str">
        <f t="shared" si="3"/>
        <v>Свекла</v>
      </c>
      <c r="AC184" t="s">
        <v>1208</v>
      </c>
      <c r="AD184" t="s">
        <v>835</v>
      </c>
      <c r="AE184" t="s">
        <v>1492</v>
      </c>
    </row>
    <row r="185" spans="1:31" ht="15" customHeight="1" x14ac:dyDescent="0.25">
      <c r="A185" t="s">
        <v>153</v>
      </c>
      <c r="L185" s="202">
        <v>6</v>
      </c>
      <c r="M185" s="202" t="s">
        <v>527</v>
      </c>
      <c r="N185" s="202" t="s">
        <v>335</v>
      </c>
      <c r="O185" s="300" t="s">
        <v>222</v>
      </c>
      <c r="P185" s="202" t="s">
        <v>335</v>
      </c>
      <c r="Q185" t="s">
        <v>37</v>
      </c>
      <c r="T185">
        <v>33</v>
      </c>
      <c r="U185" s="7">
        <v>3</v>
      </c>
      <c r="V185" t="s">
        <v>555</v>
      </c>
      <c r="W185" s="257" t="s">
        <v>566</v>
      </c>
      <c r="X185" t="s">
        <v>567</v>
      </c>
      <c r="Y185" s="316" t="s">
        <v>490</v>
      </c>
      <c r="Z185" s="8">
        <v>145</v>
      </c>
      <c r="AA185" s="202" t="str">
        <f t="shared" si="3"/>
        <v>Капуста свежая</v>
      </c>
      <c r="AC185" t="s">
        <v>1208</v>
      </c>
      <c r="AD185" t="s">
        <v>836</v>
      </c>
      <c r="AE185" t="s">
        <v>1492</v>
      </c>
    </row>
    <row r="186" spans="1:31" ht="15" customHeight="1" x14ac:dyDescent="0.25">
      <c r="A186" t="s">
        <v>153</v>
      </c>
      <c r="L186" s="202">
        <v>6</v>
      </c>
      <c r="M186" s="202" t="s">
        <v>527</v>
      </c>
      <c r="N186" s="202" t="s">
        <v>335</v>
      </c>
      <c r="O186" s="300" t="s">
        <v>462</v>
      </c>
      <c r="P186" s="202" t="s">
        <v>335</v>
      </c>
      <c r="Q186" t="s">
        <v>37</v>
      </c>
      <c r="T186">
        <v>34</v>
      </c>
      <c r="U186" s="7">
        <v>3</v>
      </c>
      <c r="V186" t="s">
        <v>555</v>
      </c>
      <c r="W186" s="257" t="s">
        <v>566</v>
      </c>
      <c r="X186" t="s">
        <v>567</v>
      </c>
      <c r="Y186" s="316" t="s">
        <v>32</v>
      </c>
      <c r="Z186" s="8">
        <v>10</v>
      </c>
      <c r="AA186" s="202" t="str">
        <f t="shared" si="3"/>
        <v>Лук репчатый</v>
      </c>
      <c r="AC186" t="s">
        <v>1208</v>
      </c>
      <c r="AD186" t="s">
        <v>837</v>
      </c>
      <c r="AE186" t="s">
        <v>1492</v>
      </c>
    </row>
    <row r="187" spans="1:31" ht="15" customHeight="1" x14ac:dyDescent="0.25">
      <c r="A187" t="s">
        <v>153</v>
      </c>
      <c r="L187" s="202">
        <v>6</v>
      </c>
      <c r="M187" s="202" t="s">
        <v>527</v>
      </c>
      <c r="N187" s="202" t="s">
        <v>335</v>
      </c>
      <c r="O187" s="300" t="s">
        <v>335</v>
      </c>
      <c r="P187" s="202" t="s">
        <v>335</v>
      </c>
      <c r="Q187" t="s">
        <v>37</v>
      </c>
      <c r="T187">
        <v>35</v>
      </c>
      <c r="U187" s="7">
        <v>3</v>
      </c>
      <c r="V187" t="s">
        <v>555</v>
      </c>
      <c r="W187" s="257" t="s">
        <v>566</v>
      </c>
      <c r="X187" t="s">
        <v>567</v>
      </c>
      <c r="Y187" s="316" t="s">
        <v>46</v>
      </c>
      <c r="Z187" s="8">
        <v>10</v>
      </c>
      <c r="AA187" s="202" t="str">
        <f t="shared" si="3"/>
        <v>Морковь</v>
      </c>
      <c r="AC187" t="s">
        <v>1208</v>
      </c>
      <c r="AD187" t="s">
        <v>841</v>
      </c>
      <c r="AE187" t="s">
        <v>1492</v>
      </c>
    </row>
    <row r="188" spans="1:31" ht="15" customHeight="1" x14ac:dyDescent="0.25">
      <c r="A188" t="s">
        <v>153</v>
      </c>
      <c r="L188" s="202">
        <v>7</v>
      </c>
      <c r="M188" s="202" t="s">
        <v>530</v>
      </c>
      <c r="N188" s="202" t="s">
        <v>474</v>
      </c>
      <c r="O188" s="300" t="s">
        <v>474</v>
      </c>
      <c r="P188" s="202" t="s">
        <v>474</v>
      </c>
      <c r="Q188" t="s">
        <v>37</v>
      </c>
      <c r="T188">
        <v>36</v>
      </c>
      <c r="U188" s="7">
        <v>3</v>
      </c>
      <c r="V188" t="s">
        <v>555</v>
      </c>
      <c r="W188" s="257" t="s">
        <v>566</v>
      </c>
      <c r="X188" t="s">
        <v>567</v>
      </c>
      <c r="Y188" s="316" t="s">
        <v>76</v>
      </c>
      <c r="Z188" s="8">
        <v>4</v>
      </c>
      <c r="AA188" s="202" t="str">
        <f t="shared" si="3"/>
        <v>Томат-паста</v>
      </c>
      <c r="AC188" t="s">
        <v>1208</v>
      </c>
      <c r="AD188" t="s">
        <v>843</v>
      </c>
      <c r="AE188" t="s">
        <v>1492</v>
      </c>
    </row>
    <row r="189" spans="1:31" ht="15" customHeight="1" x14ac:dyDescent="0.25">
      <c r="A189" t="s">
        <v>153</v>
      </c>
      <c r="L189" s="202">
        <v>7</v>
      </c>
      <c r="M189" s="202" t="s">
        <v>530</v>
      </c>
      <c r="N189" s="202" t="s">
        <v>64</v>
      </c>
      <c r="O189" s="300" t="s">
        <v>235</v>
      </c>
      <c r="P189" s="202" t="s">
        <v>64</v>
      </c>
      <c r="Q189" t="s">
        <v>37</v>
      </c>
      <c r="T189">
        <v>37</v>
      </c>
      <c r="U189" s="7">
        <v>3</v>
      </c>
      <c r="V189" t="s">
        <v>555</v>
      </c>
      <c r="W189" s="257" t="s">
        <v>566</v>
      </c>
      <c r="X189" t="s">
        <v>567</v>
      </c>
      <c r="Y189" s="316" t="s">
        <v>455</v>
      </c>
      <c r="Z189" s="8">
        <v>30</v>
      </c>
      <c r="AA189" s="202" t="str">
        <f t="shared" si="3"/>
        <v>Говядина н/к</v>
      </c>
      <c r="AC189" t="s">
        <v>1208</v>
      </c>
      <c r="AD189" t="s">
        <v>845</v>
      </c>
      <c r="AE189" t="s">
        <v>1492</v>
      </c>
    </row>
    <row r="190" spans="1:31" ht="15" customHeight="1" x14ac:dyDescent="0.25">
      <c r="A190" t="s">
        <v>153</v>
      </c>
      <c r="L190" s="202">
        <v>7</v>
      </c>
      <c r="M190" s="202" t="s">
        <v>530</v>
      </c>
      <c r="N190" s="202" t="s">
        <v>64</v>
      </c>
      <c r="O190" s="300" t="s">
        <v>236</v>
      </c>
      <c r="P190" s="202" t="s">
        <v>64</v>
      </c>
      <c r="Q190" t="s">
        <v>37</v>
      </c>
      <c r="T190">
        <v>37</v>
      </c>
      <c r="U190" s="7">
        <v>3</v>
      </c>
      <c r="V190" t="s">
        <v>555</v>
      </c>
      <c r="W190" s="257" t="s">
        <v>566</v>
      </c>
      <c r="X190" t="s">
        <v>567</v>
      </c>
      <c r="Y190" s="316" t="s">
        <v>1214</v>
      </c>
      <c r="Z190" s="8">
        <v>27.3</v>
      </c>
      <c r="AA190" s="202" t="str">
        <f t="shared" si="3"/>
        <v>Масса мясных и рыбных порций, г</v>
      </c>
      <c r="AC190" t="s">
        <v>1208</v>
      </c>
      <c r="AD190" t="s">
        <v>847</v>
      </c>
      <c r="AE190" t="s">
        <v>1492</v>
      </c>
    </row>
    <row r="191" spans="1:31" ht="15" customHeight="1" x14ac:dyDescent="0.25">
      <c r="A191" t="s">
        <v>153</v>
      </c>
      <c r="L191" s="202">
        <v>7</v>
      </c>
      <c r="M191" s="202" t="s">
        <v>530</v>
      </c>
      <c r="N191" s="202" t="s">
        <v>64</v>
      </c>
      <c r="O191" s="300" t="s">
        <v>64</v>
      </c>
      <c r="P191" s="202" t="s">
        <v>64</v>
      </c>
      <c r="Q191" t="s">
        <v>37</v>
      </c>
      <c r="T191">
        <v>38</v>
      </c>
      <c r="U191" s="7">
        <v>3</v>
      </c>
      <c r="V191" t="s">
        <v>555</v>
      </c>
      <c r="W191" s="257" t="s">
        <v>566</v>
      </c>
      <c r="X191" t="s">
        <v>567</v>
      </c>
      <c r="Y191" s="316" t="s">
        <v>476</v>
      </c>
      <c r="Z191" s="8">
        <v>8</v>
      </c>
      <c r="AA191" s="202" t="str">
        <f t="shared" si="3"/>
        <v>Сосиски</v>
      </c>
      <c r="AC191" t="s">
        <v>1208</v>
      </c>
      <c r="AD191" t="s">
        <v>849</v>
      </c>
      <c r="AE191" t="s">
        <v>1492</v>
      </c>
    </row>
    <row r="192" spans="1:31" ht="15" customHeight="1" x14ac:dyDescent="0.25">
      <c r="A192" t="s">
        <v>153</v>
      </c>
      <c r="L192" s="202">
        <v>7</v>
      </c>
      <c r="M192" s="202" t="s">
        <v>530</v>
      </c>
      <c r="N192" s="202" t="s">
        <v>59</v>
      </c>
      <c r="O192" s="300" t="s">
        <v>237</v>
      </c>
      <c r="P192" s="202" t="s">
        <v>59</v>
      </c>
      <c r="Q192" t="s">
        <v>37</v>
      </c>
      <c r="T192">
        <v>39</v>
      </c>
      <c r="U192" s="7">
        <v>3</v>
      </c>
      <c r="V192" t="s">
        <v>555</v>
      </c>
      <c r="W192" s="257" t="s">
        <v>566</v>
      </c>
      <c r="X192" t="s">
        <v>567</v>
      </c>
      <c r="Y192" s="316" t="s">
        <v>64</v>
      </c>
      <c r="Z192" s="8">
        <v>6</v>
      </c>
      <c r="AA192" s="202" t="str">
        <f t="shared" si="3"/>
        <v>Колбаса п/к</v>
      </c>
      <c r="AC192" t="s">
        <v>1208</v>
      </c>
      <c r="AD192" t="s">
        <v>851</v>
      </c>
      <c r="AE192" t="s">
        <v>1492</v>
      </c>
    </row>
    <row r="193" spans="1:31" ht="15" customHeight="1" x14ac:dyDescent="0.25">
      <c r="A193" t="s">
        <v>153</v>
      </c>
      <c r="L193" s="202">
        <v>7</v>
      </c>
      <c r="M193" s="202" t="s">
        <v>530</v>
      </c>
      <c r="N193" s="202" t="s">
        <v>59</v>
      </c>
      <c r="O193" s="300" t="s">
        <v>238</v>
      </c>
      <c r="P193" s="202" t="s">
        <v>59</v>
      </c>
      <c r="Q193" t="s">
        <v>37</v>
      </c>
      <c r="T193">
        <v>40</v>
      </c>
      <c r="U193" s="7">
        <v>3</v>
      </c>
      <c r="V193" t="s">
        <v>555</v>
      </c>
      <c r="W193" s="257" t="s">
        <v>566</v>
      </c>
      <c r="X193" t="s">
        <v>567</v>
      </c>
      <c r="Y193" s="316" t="s">
        <v>486</v>
      </c>
      <c r="Z193" s="8">
        <v>2</v>
      </c>
      <c r="AA193" s="202" t="str">
        <f t="shared" si="3"/>
        <v>Уксус</v>
      </c>
      <c r="AC193" t="s">
        <v>1208</v>
      </c>
      <c r="AD193" t="s">
        <v>1216</v>
      </c>
      <c r="AE193" t="s">
        <v>1492</v>
      </c>
    </row>
    <row r="194" spans="1:31" ht="15" customHeight="1" x14ac:dyDescent="0.25">
      <c r="A194" t="s">
        <v>153</v>
      </c>
      <c r="L194" s="202">
        <v>7</v>
      </c>
      <c r="M194" s="202" t="s">
        <v>530</v>
      </c>
      <c r="N194" s="202" t="s">
        <v>59</v>
      </c>
      <c r="O194" s="300" t="s">
        <v>59</v>
      </c>
      <c r="P194" s="202" t="s">
        <v>59</v>
      </c>
      <c r="Q194" t="s">
        <v>37</v>
      </c>
      <c r="T194">
        <v>41</v>
      </c>
      <c r="U194" s="7">
        <v>3</v>
      </c>
      <c r="V194" t="s">
        <v>555</v>
      </c>
      <c r="W194" s="257" t="s">
        <v>566</v>
      </c>
      <c r="X194" t="s">
        <v>567</v>
      </c>
      <c r="Y194" s="316" t="s">
        <v>61</v>
      </c>
      <c r="Z194" s="8">
        <v>5</v>
      </c>
      <c r="AA194" s="202" t="str">
        <f t="shared" ref="AA194:AA257" si="4">VLOOKUP(Y194,O:P,2,FALSE)</f>
        <v>Масло растительное</v>
      </c>
      <c r="AC194" t="s">
        <v>1208</v>
      </c>
      <c r="AD194" t="s">
        <v>853</v>
      </c>
      <c r="AE194" t="s">
        <v>1492</v>
      </c>
    </row>
    <row r="195" spans="1:31" ht="15" customHeight="1" x14ac:dyDescent="0.25">
      <c r="A195" t="s">
        <v>153</v>
      </c>
      <c r="L195" s="202">
        <v>7</v>
      </c>
      <c r="M195" s="202" t="s">
        <v>530</v>
      </c>
      <c r="N195" s="202" t="s">
        <v>421</v>
      </c>
      <c r="O195" s="300" t="s">
        <v>421</v>
      </c>
      <c r="P195" s="202" t="s">
        <v>421</v>
      </c>
      <c r="Q195" t="s">
        <v>37</v>
      </c>
      <c r="T195">
        <v>42</v>
      </c>
      <c r="U195" s="7">
        <v>3</v>
      </c>
      <c r="V195" t="s">
        <v>555</v>
      </c>
      <c r="W195" s="257" t="s">
        <v>566</v>
      </c>
      <c r="X195" t="s">
        <v>567</v>
      </c>
      <c r="Y195" s="316" t="s">
        <v>479</v>
      </c>
      <c r="Z195" s="8">
        <v>400</v>
      </c>
      <c r="AA195" s="202" t="str">
        <f t="shared" si="4"/>
        <v>Вода или бульон</v>
      </c>
      <c r="AC195" t="s">
        <v>1208</v>
      </c>
      <c r="AD195" t="s">
        <v>855</v>
      </c>
      <c r="AE195" t="s">
        <v>1492</v>
      </c>
    </row>
    <row r="196" spans="1:31" ht="15" customHeight="1" x14ac:dyDescent="0.25">
      <c r="A196" t="s">
        <v>153</v>
      </c>
      <c r="L196" s="202">
        <v>7</v>
      </c>
      <c r="M196" s="202" t="s">
        <v>530</v>
      </c>
      <c r="N196" s="202" t="s">
        <v>421</v>
      </c>
      <c r="O196" s="300" t="s">
        <v>463</v>
      </c>
      <c r="P196" s="202" t="s">
        <v>421</v>
      </c>
      <c r="Q196" t="s">
        <v>37</v>
      </c>
      <c r="T196">
        <v>43</v>
      </c>
      <c r="U196" s="7">
        <v>3</v>
      </c>
      <c r="V196" t="s">
        <v>555</v>
      </c>
      <c r="W196" s="257" t="s">
        <v>566</v>
      </c>
      <c r="X196" t="s">
        <v>567</v>
      </c>
      <c r="Y196" s="316" t="s">
        <v>54</v>
      </c>
      <c r="Z196" s="8">
        <v>5</v>
      </c>
      <c r="AA196" s="202" t="str">
        <f t="shared" si="4"/>
        <v>Сметана</v>
      </c>
      <c r="AC196" t="s">
        <v>1208</v>
      </c>
      <c r="AD196" t="s">
        <v>857</v>
      </c>
      <c r="AE196" t="s">
        <v>1492</v>
      </c>
    </row>
    <row r="197" spans="1:31" ht="15" customHeight="1" x14ac:dyDescent="0.25">
      <c r="A197" t="s">
        <v>153</v>
      </c>
      <c r="L197" s="202">
        <v>7</v>
      </c>
      <c r="M197" s="202" t="s">
        <v>530</v>
      </c>
      <c r="N197" s="202" t="s">
        <v>507</v>
      </c>
      <c r="O197" s="300" t="s">
        <v>507</v>
      </c>
      <c r="P197" s="202" t="s">
        <v>507</v>
      </c>
      <c r="Q197" t="s">
        <v>37</v>
      </c>
      <c r="T197">
        <v>44</v>
      </c>
      <c r="U197" s="7">
        <v>3</v>
      </c>
      <c r="V197" t="s">
        <v>555</v>
      </c>
      <c r="W197" s="257" t="s">
        <v>566</v>
      </c>
      <c r="X197" t="s">
        <v>567</v>
      </c>
      <c r="Y197" s="316" t="s">
        <v>70</v>
      </c>
      <c r="Z197" s="8">
        <v>5</v>
      </c>
      <c r="AA197" s="202" t="str">
        <f t="shared" si="4"/>
        <v>Зелень</v>
      </c>
      <c r="AC197" t="s">
        <v>1208</v>
      </c>
      <c r="AD197" t="s">
        <v>859</v>
      </c>
      <c r="AE197" t="s">
        <v>1492</v>
      </c>
    </row>
    <row r="198" spans="1:31" ht="15" customHeight="1" x14ac:dyDescent="0.25">
      <c r="A198" t="s">
        <v>153</v>
      </c>
      <c r="L198" s="202">
        <v>7</v>
      </c>
      <c r="M198" s="202" t="s">
        <v>530</v>
      </c>
      <c r="N198" s="202" t="s">
        <v>507</v>
      </c>
      <c r="O198" s="300" t="s">
        <v>458</v>
      </c>
      <c r="P198" s="202" t="s">
        <v>507</v>
      </c>
      <c r="Q198" t="s">
        <v>37</v>
      </c>
      <c r="T198">
        <v>45</v>
      </c>
      <c r="U198" s="7">
        <v>3</v>
      </c>
      <c r="V198" t="s">
        <v>555</v>
      </c>
      <c r="W198" s="257" t="s">
        <v>566</v>
      </c>
      <c r="X198" t="s">
        <v>567</v>
      </c>
      <c r="Y198" s="316" t="s">
        <v>326</v>
      </c>
      <c r="Z198" s="8">
        <v>4</v>
      </c>
      <c r="AA198" s="202" t="str">
        <f t="shared" si="4"/>
        <v>Соль</v>
      </c>
      <c r="AC198" t="s">
        <v>1208</v>
      </c>
      <c r="AD198" t="s">
        <v>861</v>
      </c>
      <c r="AE198" t="s">
        <v>1492</v>
      </c>
    </row>
    <row r="199" spans="1:31" ht="15" customHeight="1" x14ac:dyDescent="0.25">
      <c r="A199" t="s">
        <v>153</v>
      </c>
      <c r="L199" s="202">
        <v>7</v>
      </c>
      <c r="M199" s="202" t="s">
        <v>530</v>
      </c>
      <c r="N199" s="202" t="s">
        <v>507</v>
      </c>
      <c r="O199" s="300" t="s">
        <v>224</v>
      </c>
      <c r="P199" s="202" t="s">
        <v>507</v>
      </c>
      <c r="Q199" t="s">
        <v>37</v>
      </c>
      <c r="T199">
        <v>46</v>
      </c>
      <c r="U199" s="7">
        <v>3</v>
      </c>
      <c r="V199" t="s">
        <v>555</v>
      </c>
      <c r="W199" s="257" t="s">
        <v>566</v>
      </c>
      <c r="X199" t="s">
        <v>567</v>
      </c>
      <c r="Y199" s="316" t="s">
        <v>558</v>
      </c>
      <c r="Z199" s="8">
        <v>500</v>
      </c>
      <c r="AA199" s="202" t="str">
        <f t="shared" si="4"/>
        <v>Общая масса готового блюда, г</v>
      </c>
      <c r="AC199" t="s">
        <v>1208</v>
      </c>
      <c r="AD199" t="s">
        <v>864</v>
      </c>
      <c r="AE199" t="s">
        <v>1492</v>
      </c>
    </row>
    <row r="200" spans="1:31" ht="15" customHeight="1" x14ac:dyDescent="0.25">
      <c r="A200" t="s">
        <v>153</v>
      </c>
      <c r="L200" s="202">
        <v>7</v>
      </c>
      <c r="M200" s="202" t="s">
        <v>530</v>
      </c>
      <c r="N200" s="202" t="s">
        <v>531</v>
      </c>
      <c r="O200" s="300" t="s">
        <v>531</v>
      </c>
      <c r="P200" s="202" t="s">
        <v>531</v>
      </c>
      <c r="Q200" t="s">
        <v>37</v>
      </c>
      <c r="T200">
        <v>47</v>
      </c>
      <c r="U200" s="7">
        <v>3</v>
      </c>
      <c r="V200" t="s">
        <v>555</v>
      </c>
      <c r="W200" s="257" t="s">
        <v>566</v>
      </c>
      <c r="X200" t="s">
        <v>567</v>
      </c>
      <c r="Y200" s="316" t="s">
        <v>109</v>
      </c>
      <c r="Z200" s="8">
        <v>250</v>
      </c>
      <c r="AA200" s="202" t="str">
        <f t="shared" si="4"/>
        <v>ОКГ</v>
      </c>
      <c r="AC200" t="s">
        <v>1208</v>
      </c>
      <c r="AD200" t="s">
        <v>866</v>
      </c>
      <c r="AE200" t="s">
        <v>1492</v>
      </c>
    </row>
    <row r="201" spans="1:31" ht="15" customHeight="1" x14ac:dyDescent="0.25">
      <c r="A201" t="s">
        <v>153</v>
      </c>
      <c r="L201" s="202">
        <v>7</v>
      </c>
      <c r="M201" s="202" t="s">
        <v>530</v>
      </c>
      <c r="N201" s="202" t="s">
        <v>475</v>
      </c>
      <c r="O201" s="300" t="s">
        <v>234</v>
      </c>
      <c r="P201" s="202" t="s">
        <v>475</v>
      </c>
      <c r="Q201" t="s">
        <v>37</v>
      </c>
      <c r="T201">
        <v>114</v>
      </c>
      <c r="U201" s="7">
        <v>3</v>
      </c>
      <c r="V201" t="s">
        <v>555</v>
      </c>
      <c r="W201" s="257" t="s">
        <v>566</v>
      </c>
      <c r="X201" t="s">
        <v>567</v>
      </c>
      <c r="Y201" s="316" t="s">
        <v>74</v>
      </c>
      <c r="Z201" s="8">
        <v>0.02</v>
      </c>
      <c r="AA201" s="202" t="str">
        <f t="shared" si="4"/>
        <v>Лавровый лист</v>
      </c>
      <c r="AC201" t="s">
        <v>1208</v>
      </c>
      <c r="AD201" t="s">
        <v>868</v>
      </c>
      <c r="AE201" t="s">
        <v>1492</v>
      </c>
    </row>
    <row r="202" spans="1:31" ht="15" customHeight="1" x14ac:dyDescent="0.25">
      <c r="A202" t="s">
        <v>153</v>
      </c>
      <c r="L202" s="202">
        <v>7</v>
      </c>
      <c r="M202" s="202" t="s">
        <v>530</v>
      </c>
      <c r="N202" s="202" t="s">
        <v>475</v>
      </c>
      <c r="O202" s="300" t="s">
        <v>475</v>
      </c>
      <c r="P202" s="202" t="s">
        <v>475</v>
      </c>
      <c r="Q202" t="s">
        <v>37</v>
      </c>
      <c r="T202">
        <v>115</v>
      </c>
      <c r="U202" s="7">
        <v>3</v>
      </c>
      <c r="V202" t="s">
        <v>555</v>
      </c>
      <c r="W202" s="257" t="s">
        <v>566</v>
      </c>
      <c r="X202" t="s">
        <v>567</v>
      </c>
      <c r="Y202" s="316" t="s">
        <v>484</v>
      </c>
      <c r="Z202" s="8">
        <v>0.05</v>
      </c>
      <c r="AA202" s="202" t="str">
        <f t="shared" si="4"/>
        <v>Перец черный</v>
      </c>
      <c r="AC202" t="s">
        <v>1208</v>
      </c>
      <c r="AD202" t="s">
        <v>870</v>
      </c>
      <c r="AE202" t="s">
        <v>1492</v>
      </c>
    </row>
    <row r="203" spans="1:31" ht="15" customHeight="1" x14ac:dyDescent="0.25">
      <c r="A203" t="s">
        <v>153</v>
      </c>
      <c r="L203" s="202">
        <v>7</v>
      </c>
      <c r="M203" s="202" t="s">
        <v>530</v>
      </c>
      <c r="N203" s="202" t="s">
        <v>513</v>
      </c>
      <c r="O203" s="300" t="s">
        <v>513</v>
      </c>
      <c r="P203" s="202" t="s">
        <v>513</v>
      </c>
      <c r="Q203" t="s">
        <v>37</v>
      </c>
      <c r="T203">
        <v>78</v>
      </c>
      <c r="U203" s="7">
        <v>3</v>
      </c>
      <c r="V203" t="s">
        <v>555</v>
      </c>
      <c r="W203" s="257" t="s">
        <v>568</v>
      </c>
      <c r="X203" t="s">
        <v>569</v>
      </c>
      <c r="Y203" s="316" t="s">
        <v>48</v>
      </c>
      <c r="Z203" s="8">
        <v>75</v>
      </c>
      <c r="AA203" s="202" t="str">
        <f t="shared" si="4"/>
        <v>Свекла</v>
      </c>
      <c r="AC203" t="s">
        <v>1208</v>
      </c>
      <c r="AD203" t="s">
        <v>872</v>
      </c>
      <c r="AE203" t="s">
        <v>1492</v>
      </c>
    </row>
    <row r="204" spans="1:31" ht="15" customHeight="1" x14ac:dyDescent="0.25">
      <c r="A204" t="s">
        <v>153</v>
      </c>
      <c r="L204" s="202">
        <v>7</v>
      </c>
      <c r="M204" s="202" t="s">
        <v>530</v>
      </c>
      <c r="N204" s="202" t="s">
        <v>513</v>
      </c>
      <c r="O204" s="300" t="s">
        <v>459</v>
      </c>
      <c r="P204" s="202" t="s">
        <v>513</v>
      </c>
      <c r="Q204" t="s">
        <v>37</v>
      </c>
      <c r="T204">
        <v>79</v>
      </c>
      <c r="U204" s="7">
        <v>3</v>
      </c>
      <c r="V204" t="s">
        <v>555</v>
      </c>
      <c r="W204" s="257" t="s">
        <v>568</v>
      </c>
      <c r="X204" t="s">
        <v>569</v>
      </c>
      <c r="Y204" s="316" t="s">
        <v>490</v>
      </c>
      <c r="Z204" s="8">
        <v>35</v>
      </c>
      <c r="AA204" s="202" t="str">
        <f t="shared" si="4"/>
        <v>Капуста свежая</v>
      </c>
      <c r="AC204" t="s">
        <v>1208</v>
      </c>
      <c r="AD204" t="s">
        <v>874</v>
      </c>
      <c r="AE204" t="s">
        <v>1492</v>
      </c>
    </row>
    <row r="205" spans="1:31" ht="15" customHeight="1" x14ac:dyDescent="0.25">
      <c r="A205" t="s">
        <v>153</v>
      </c>
      <c r="L205" s="202">
        <v>7</v>
      </c>
      <c r="M205" s="202" t="s">
        <v>530</v>
      </c>
      <c r="N205" s="202" t="s">
        <v>513</v>
      </c>
      <c r="O205" s="300" t="s">
        <v>225</v>
      </c>
      <c r="P205" s="202" t="s">
        <v>513</v>
      </c>
      <c r="Q205" t="s">
        <v>37</v>
      </c>
      <c r="T205">
        <v>80</v>
      </c>
      <c r="U205" s="7">
        <v>3</v>
      </c>
      <c r="V205" t="s">
        <v>555</v>
      </c>
      <c r="W205" s="257" t="s">
        <v>568</v>
      </c>
      <c r="X205" t="s">
        <v>569</v>
      </c>
      <c r="Y205" s="316" t="s">
        <v>45</v>
      </c>
      <c r="Z205" s="8">
        <v>30</v>
      </c>
      <c r="AA205" s="202" t="str">
        <f t="shared" si="4"/>
        <v>Картофель</v>
      </c>
      <c r="AC205" t="s">
        <v>1208</v>
      </c>
      <c r="AD205" t="s">
        <v>876</v>
      </c>
      <c r="AE205" t="s">
        <v>1492</v>
      </c>
    </row>
    <row r="206" spans="1:31" ht="15" customHeight="1" x14ac:dyDescent="0.25">
      <c r="A206" t="s">
        <v>153</v>
      </c>
      <c r="L206" s="202">
        <v>7</v>
      </c>
      <c r="M206" s="202" t="s">
        <v>530</v>
      </c>
      <c r="N206" s="202" t="s">
        <v>476</v>
      </c>
      <c r="O206" s="300" t="s">
        <v>233</v>
      </c>
      <c r="P206" s="202" t="s">
        <v>476</v>
      </c>
      <c r="Q206" t="s">
        <v>37</v>
      </c>
      <c r="T206">
        <v>81</v>
      </c>
      <c r="U206" s="7">
        <v>3</v>
      </c>
      <c r="V206" t="s">
        <v>555</v>
      </c>
      <c r="W206" s="257" t="s">
        <v>568</v>
      </c>
      <c r="X206" t="s">
        <v>569</v>
      </c>
      <c r="Y206" s="316" t="s">
        <v>433</v>
      </c>
      <c r="Z206" s="8">
        <v>20</v>
      </c>
      <c r="AA206" s="202" t="str">
        <f t="shared" si="4"/>
        <v>Фасоль</v>
      </c>
      <c r="AC206" t="s">
        <v>1208</v>
      </c>
      <c r="AD206" t="s">
        <v>878</v>
      </c>
      <c r="AE206" t="s">
        <v>1492</v>
      </c>
    </row>
    <row r="207" spans="1:31" ht="15" customHeight="1" x14ac:dyDescent="0.25">
      <c r="A207" t="s">
        <v>153</v>
      </c>
      <c r="L207" s="202">
        <v>7</v>
      </c>
      <c r="M207" s="202" t="s">
        <v>530</v>
      </c>
      <c r="N207" s="202" t="s">
        <v>476</v>
      </c>
      <c r="O207" s="300" t="s">
        <v>30</v>
      </c>
      <c r="P207" s="202" t="s">
        <v>476</v>
      </c>
      <c r="Q207" t="s">
        <v>37</v>
      </c>
      <c r="T207">
        <v>82</v>
      </c>
      <c r="U207" s="7">
        <v>3</v>
      </c>
      <c r="V207" t="s">
        <v>555</v>
      </c>
      <c r="W207" s="257" t="s">
        <v>568</v>
      </c>
      <c r="X207" t="s">
        <v>569</v>
      </c>
      <c r="Y207" s="316" t="s">
        <v>46</v>
      </c>
      <c r="Z207" s="8">
        <v>10</v>
      </c>
      <c r="AA207" s="202" t="str">
        <f t="shared" si="4"/>
        <v>Морковь</v>
      </c>
      <c r="AC207" t="s">
        <v>1208</v>
      </c>
      <c r="AD207" t="s">
        <v>880</v>
      </c>
      <c r="AE207" t="s">
        <v>1492</v>
      </c>
    </row>
    <row r="208" spans="1:31" ht="15" customHeight="1" x14ac:dyDescent="0.25">
      <c r="A208" t="s">
        <v>153</v>
      </c>
      <c r="L208" s="202">
        <v>7</v>
      </c>
      <c r="M208" s="202" t="s">
        <v>530</v>
      </c>
      <c r="N208" s="202" t="s">
        <v>476</v>
      </c>
      <c r="O208" s="300" t="s">
        <v>476</v>
      </c>
      <c r="P208" s="202" t="s">
        <v>476</v>
      </c>
      <c r="Q208" t="s">
        <v>37</v>
      </c>
      <c r="T208">
        <v>83</v>
      </c>
      <c r="U208" s="7">
        <v>3</v>
      </c>
      <c r="V208" t="s">
        <v>555</v>
      </c>
      <c r="W208" s="257" t="s">
        <v>568</v>
      </c>
      <c r="X208" t="s">
        <v>569</v>
      </c>
      <c r="Y208" s="316" t="s">
        <v>32</v>
      </c>
      <c r="Z208" s="8">
        <v>10</v>
      </c>
      <c r="AA208" s="202" t="str">
        <f t="shared" si="4"/>
        <v>Лук репчатый</v>
      </c>
      <c r="AC208" t="s">
        <v>1208</v>
      </c>
      <c r="AD208" t="s">
        <v>882</v>
      </c>
      <c r="AE208" t="s">
        <v>1492</v>
      </c>
    </row>
    <row r="209" spans="1:31" ht="15" customHeight="1" x14ac:dyDescent="0.25">
      <c r="A209" t="s">
        <v>153</v>
      </c>
      <c r="L209" s="202">
        <v>9</v>
      </c>
      <c r="M209" s="202" t="s">
        <v>532</v>
      </c>
      <c r="N209" s="202" t="s">
        <v>504</v>
      </c>
      <c r="O209" s="300" t="s">
        <v>464</v>
      </c>
      <c r="P209" s="202" t="s">
        <v>504</v>
      </c>
      <c r="Q209" t="s">
        <v>37</v>
      </c>
      <c r="T209">
        <v>84</v>
      </c>
      <c r="U209" s="7">
        <v>3</v>
      </c>
      <c r="V209" t="s">
        <v>555</v>
      </c>
      <c r="W209" s="257" t="s">
        <v>568</v>
      </c>
      <c r="X209" t="s">
        <v>569</v>
      </c>
      <c r="Y209" s="316" t="s">
        <v>76</v>
      </c>
      <c r="Z209" s="8">
        <v>4</v>
      </c>
      <c r="AA209" s="202" t="str">
        <f t="shared" si="4"/>
        <v>Томат-паста</v>
      </c>
      <c r="AC209" t="s">
        <v>1208</v>
      </c>
      <c r="AD209" t="s">
        <v>884</v>
      </c>
      <c r="AE209" t="s">
        <v>1492</v>
      </c>
    </row>
    <row r="210" spans="1:31" ht="15" customHeight="1" x14ac:dyDescent="0.25">
      <c r="A210" t="s">
        <v>153</v>
      </c>
      <c r="L210" s="202">
        <v>9</v>
      </c>
      <c r="M210" s="202" t="s">
        <v>532</v>
      </c>
      <c r="N210" s="202" t="s">
        <v>465</v>
      </c>
      <c r="O210" s="300" t="s">
        <v>465</v>
      </c>
      <c r="P210" s="202" t="s">
        <v>465</v>
      </c>
      <c r="Q210" t="s">
        <v>37</v>
      </c>
      <c r="T210">
        <v>85</v>
      </c>
      <c r="U210" s="7">
        <v>3</v>
      </c>
      <c r="V210" t="s">
        <v>555</v>
      </c>
      <c r="W210" s="257" t="s">
        <v>568</v>
      </c>
      <c r="X210" t="s">
        <v>569</v>
      </c>
      <c r="Y210" s="316" t="s">
        <v>61</v>
      </c>
      <c r="Z210" s="8">
        <v>4</v>
      </c>
      <c r="AA210" s="202" t="str">
        <f t="shared" si="4"/>
        <v>Масло растительное</v>
      </c>
      <c r="AC210" t="s">
        <v>1208</v>
      </c>
      <c r="AD210" t="s">
        <v>887</v>
      </c>
      <c r="AE210" t="s">
        <v>1492</v>
      </c>
    </row>
    <row r="211" spans="1:31" ht="15" customHeight="1" x14ac:dyDescent="0.25">
      <c r="A211" t="s">
        <v>153</v>
      </c>
      <c r="L211" s="202">
        <v>9</v>
      </c>
      <c r="M211" s="202" t="s">
        <v>532</v>
      </c>
      <c r="N211" s="202" t="s">
        <v>505</v>
      </c>
      <c r="O211" s="300" t="s">
        <v>1235</v>
      </c>
      <c r="P211" s="202" t="s">
        <v>1228</v>
      </c>
      <c r="Q211" t="s">
        <v>37</v>
      </c>
      <c r="T211">
        <v>86</v>
      </c>
      <c r="U211" s="7">
        <v>3</v>
      </c>
      <c r="V211" t="s">
        <v>555</v>
      </c>
      <c r="W211" s="257" t="s">
        <v>568</v>
      </c>
      <c r="X211" t="s">
        <v>569</v>
      </c>
      <c r="Y211" s="316" t="s">
        <v>70</v>
      </c>
      <c r="Z211" s="8">
        <v>5</v>
      </c>
      <c r="AA211" s="202" t="str">
        <f t="shared" si="4"/>
        <v>Зелень</v>
      </c>
      <c r="AC211" t="s">
        <v>1208</v>
      </c>
      <c r="AD211" t="s">
        <v>889</v>
      </c>
      <c r="AE211" t="s">
        <v>1492</v>
      </c>
    </row>
    <row r="212" spans="1:31" ht="15" customHeight="1" x14ac:dyDescent="0.25">
      <c r="A212" t="s">
        <v>153</v>
      </c>
      <c r="L212" s="202">
        <v>9</v>
      </c>
      <c r="M212" s="202" t="s">
        <v>532</v>
      </c>
      <c r="N212" s="202" t="s">
        <v>1218</v>
      </c>
      <c r="O212" s="300" t="s">
        <v>1218</v>
      </c>
      <c r="P212" s="202" t="s">
        <v>1218</v>
      </c>
      <c r="Q212" t="s">
        <v>37</v>
      </c>
      <c r="T212">
        <v>87</v>
      </c>
      <c r="U212" s="7">
        <v>3</v>
      </c>
      <c r="V212" t="s">
        <v>555</v>
      </c>
      <c r="W212" s="257" t="s">
        <v>568</v>
      </c>
      <c r="X212" t="s">
        <v>569</v>
      </c>
      <c r="Y212" s="316" t="s">
        <v>479</v>
      </c>
      <c r="Z212" s="8">
        <v>400</v>
      </c>
      <c r="AA212" s="202" t="str">
        <f t="shared" si="4"/>
        <v>Вода или бульон</v>
      </c>
      <c r="AC212" t="s">
        <v>1208</v>
      </c>
      <c r="AD212" t="s">
        <v>891</v>
      </c>
      <c r="AE212" t="s">
        <v>1492</v>
      </c>
    </row>
    <row r="213" spans="1:31" ht="15" customHeight="1" x14ac:dyDescent="0.25">
      <c r="A213" t="s">
        <v>153</v>
      </c>
      <c r="L213" s="202">
        <v>9</v>
      </c>
      <c r="M213" s="202" t="s">
        <v>532</v>
      </c>
      <c r="N213" s="202" t="s">
        <v>29</v>
      </c>
      <c r="O213" s="300" t="s">
        <v>29</v>
      </c>
      <c r="P213" s="202" t="s">
        <v>29</v>
      </c>
      <c r="Q213" t="s">
        <v>37</v>
      </c>
      <c r="T213">
        <v>88</v>
      </c>
      <c r="U213" s="7">
        <v>3</v>
      </c>
      <c r="V213" t="s">
        <v>555</v>
      </c>
      <c r="W213" s="257" t="s">
        <v>568</v>
      </c>
      <c r="X213" t="s">
        <v>569</v>
      </c>
      <c r="Y213" s="316" t="s">
        <v>486</v>
      </c>
      <c r="Z213" s="8">
        <v>2</v>
      </c>
      <c r="AA213" s="202" t="str">
        <f t="shared" si="4"/>
        <v>Уксус</v>
      </c>
      <c r="AC213" t="s">
        <v>1208</v>
      </c>
      <c r="AD213" t="s">
        <v>893</v>
      </c>
      <c r="AE213" t="s">
        <v>1492</v>
      </c>
    </row>
    <row r="214" spans="1:31" ht="15" customHeight="1" x14ac:dyDescent="0.25">
      <c r="A214" t="s">
        <v>153</v>
      </c>
      <c r="L214" s="202">
        <v>9</v>
      </c>
      <c r="M214" s="202" t="s">
        <v>532</v>
      </c>
      <c r="N214" s="202" t="s">
        <v>29</v>
      </c>
      <c r="O214" s="300" t="s">
        <v>460</v>
      </c>
      <c r="P214" s="202" t="s">
        <v>29</v>
      </c>
      <c r="Q214" t="s">
        <v>37</v>
      </c>
      <c r="T214">
        <v>89</v>
      </c>
      <c r="U214" s="7">
        <v>3</v>
      </c>
      <c r="V214" t="s">
        <v>555</v>
      </c>
      <c r="W214" s="257" t="s">
        <v>568</v>
      </c>
      <c r="X214" t="s">
        <v>569</v>
      </c>
      <c r="Y214" s="316" t="s">
        <v>54</v>
      </c>
      <c r="Z214" s="8">
        <v>5</v>
      </c>
      <c r="AA214" s="202" t="str">
        <f t="shared" si="4"/>
        <v>Сметана</v>
      </c>
      <c r="AC214" t="s">
        <v>1208</v>
      </c>
      <c r="AD214" t="s">
        <v>895</v>
      </c>
      <c r="AE214" t="s">
        <v>1492</v>
      </c>
    </row>
    <row r="215" spans="1:31" ht="15" customHeight="1" x14ac:dyDescent="0.25">
      <c r="A215" t="s">
        <v>153</v>
      </c>
      <c r="L215" s="202">
        <v>9</v>
      </c>
      <c r="M215" s="202" t="s">
        <v>532</v>
      </c>
      <c r="N215" s="202" t="s">
        <v>29</v>
      </c>
      <c r="O215" s="300" t="s">
        <v>249</v>
      </c>
      <c r="P215" s="202" t="s">
        <v>29</v>
      </c>
      <c r="Q215" t="s">
        <v>37</v>
      </c>
      <c r="T215">
        <v>90</v>
      </c>
      <c r="U215" s="7">
        <v>3</v>
      </c>
      <c r="V215" t="s">
        <v>555</v>
      </c>
      <c r="W215" s="257" t="s">
        <v>568</v>
      </c>
      <c r="X215" t="s">
        <v>569</v>
      </c>
      <c r="Y215" s="316" t="s">
        <v>326</v>
      </c>
      <c r="Z215" s="8">
        <v>4</v>
      </c>
      <c r="AA215" s="202" t="str">
        <f t="shared" si="4"/>
        <v>Соль</v>
      </c>
      <c r="AC215" t="s">
        <v>1208</v>
      </c>
      <c r="AD215" t="s">
        <v>897</v>
      </c>
      <c r="AE215" t="s">
        <v>1492</v>
      </c>
    </row>
    <row r="216" spans="1:31" ht="15" customHeight="1" x14ac:dyDescent="0.25">
      <c r="A216" t="s">
        <v>153</v>
      </c>
      <c r="L216" s="202">
        <v>9</v>
      </c>
      <c r="M216" s="202" t="s">
        <v>532</v>
      </c>
      <c r="N216" s="202" t="s">
        <v>29</v>
      </c>
      <c r="O216" s="300" t="s">
        <v>250</v>
      </c>
      <c r="P216" s="202" t="s">
        <v>29</v>
      </c>
      <c r="Q216" t="s">
        <v>37</v>
      </c>
      <c r="T216">
        <v>91</v>
      </c>
      <c r="U216" s="7">
        <v>3</v>
      </c>
      <c r="V216" t="s">
        <v>555</v>
      </c>
      <c r="W216" s="257" t="s">
        <v>568</v>
      </c>
      <c r="X216" t="s">
        <v>569</v>
      </c>
      <c r="Y216" s="316" t="s">
        <v>558</v>
      </c>
      <c r="Z216" s="8">
        <v>500</v>
      </c>
      <c r="AA216" s="202" t="str">
        <f t="shared" si="4"/>
        <v>Общая масса готового блюда, г</v>
      </c>
      <c r="AC216" t="s">
        <v>1208</v>
      </c>
      <c r="AD216" t="s">
        <v>1217</v>
      </c>
      <c r="AE216" t="s">
        <v>1492</v>
      </c>
    </row>
    <row r="217" spans="1:31" ht="15" customHeight="1" x14ac:dyDescent="0.25">
      <c r="A217" t="s">
        <v>153</v>
      </c>
      <c r="L217" s="202">
        <v>9</v>
      </c>
      <c r="M217" s="202" t="s">
        <v>532</v>
      </c>
      <c r="N217" s="202" t="s">
        <v>29</v>
      </c>
      <c r="O217" s="300" t="s">
        <v>251</v>
      </c>
      <c r="P217" s="202" t="s">
        <v>29</v>
      </c>
      <c r="Q217" t="s">
        <v>37</v>
      </c>
      <c r="T217">
        <v>92</v>
      </c>
      <c r="U217" s="7">
        <v>3</v>
      </c>
      <c r="V217" t="s">
        <v>555</v>
      </c>
      <c r="W217" s="257" t="s">
        <v>568</v>
      </c>
      <c r="X217" t="s">
        <v>569</v>
      </c>
      <c r="Y217" s="316" t="s">
        <v>109</v>
      </c>
      <c r="Z217" s="8">
        <v>250</v>
      </c>
      <c r="AA217" s="202" t="str">
        <f t="shared" si="4"/>
        <v>ОКГ</v>
      </c>
      <c r="AC217" t="s">
        <v>1208</v>
      </c>
      <c r="AD217" t="s">
        <v>899</v>
      </c>
      <c r="AE217" t="s">
        <v>1492</v>
      </c>
    </row>
    <row r="218" spans="1:31" ht="15" customHeight="1" x14ac:dyDescent="0.25">
      <c r="A218" t="s">
        <v>153</v>
      </c>
      <c r="L218" s="202">
        <v>9</v>
      </c>
      <c r="M218" s="202" t="s">
        <v>532</v>
      </c>
      <c r="N218" s="202" t="s">
        <v>29</v>
      </c>
      <c r="O218" s="300" t="s">
        <v>418</v>
      </c>
      <c r="P218" s="202" t="s">
        <v>29</v>
      </c>
      <c r="Q218" t="s">
        <v>37</v>
      </c>
      <c r="T218">
        <v>110</v>
      </c>
      <c r="U218" s="7">
        <v>3</v>
      </c>
      <c r="V218" t="s">
        <v>555</v>
      </c>
      <c r="W218" s="257" t="s">
        <v>568</v>
      </c>
      <c r="X218" t="s">
        <v>569</v>
      </c>
      <c r="Y218" s="316" t="s">
        <v>74</v>
      </c>
      <c r="Z218" s="8">
        <v>0.02</v>
      </c>
      <c r="AA218" s="202" t="str">
        <f t="shared" si="4"/>
        <v>Лавровый лист</v>
      </c>
      <c r="AC218" t="s">
        <v>1208</v>
      </c>
      <c r="AD218" t="s">
        <v>901</v>
      </c>
      <c r="AE218" t="s">
        <v>1492</v>
      </c>
    </row>
    <row r="219" spans="1:31" ht="15" customHeight="1" x14ac:dyDescent="0.25">
      <c r="A219" t="s">
        <v>153</v>
      </c>
      <c r="L219" s="202">
        <v>9</v>
      </c>
      <c r="M219" s="202" t="s">
        <v>532</v>
      </c>
      <c r="N219" s="202" t="s">
        <v>29</v>
      </c>
      <c r="O219" s="300" t="s">
        <v>252</v>
      </c>
      <c r="P219" s="202" t="s">
        <v>29</v>
      </c>
      <c r="Q219" t="s">
        <v>37</v>
      </c>
      <c r="T219">
        <v>111</v>
      </c>
      <c r="U219" s="7">
        <v>3</v>
      </c>
      <c r="V219" t="s">
        <v>555</v>
      </c>
      <c r="W219" s="257" t="s">
        <v>568</v>
      </c>
      <c r="X219" t="s">
        <v>569</v>
      </c>
      <c r="Y219" s="316" t="s">
        <v>484</v>
      </c>
      <c r="Z219" s="8">
        <v>0.05</v>
      </c>
      <c r="AA219" s="202" t="str">
        <f t="shared" si="4"/>
        <v>Перец черный</v>
      </c>
      <c r="AC219" t="s">
        <v>1208</v>
      </c>
      <c r="AD219" t="s">
        <v>903</v>
      </c>
      <c r="AE219" t="s">
        <v>1492</v>
      </c>
    </row>
    <row r="220" spans="1:31" ht="15" customHeight="1" x14ac:dyDescent="0.25">
      <c r="A220" t="s">
        <v>153</v>
      </c>
      <c r="L220" s="202">
        <v>9</v>
      </c>
      <c r="M220" s="202" t="s">
        <v>532</v>
      </c>
      <c r="N220" s="202" t="s">
        <v>1219</v>
      </c>
      <c r="O220" s="300" t="s">
        <v>1219</v>
      </c>
      <c r="P220" s="202" t="s">
        <v>1219</v>
      </c>
      <c r="Q220" t="s">
        <v>37</v>
      </c>
      <c r="T220">
        <v>120</v>
      </c>
      <c r="U220" s="7">
        <v>3</v>
      </c>
      <c r="V220" t="s">
        <v>555</v>
      </c>
      <c r="W220" s="257" t="s">
        <v>570</v>
      </c>
      <c r="X220" t="s">
        <v>571</v>
      </c>
      <c r="Y220" s="316" t="s">
        <v>48</v>
      </c>
      <c r="Z220" s="8">
        <v>80</v>
      </c>
      <c r="AA220" s="202" t="str">
        <f t="shared" si="4"/>
        <v>Свекла</v>
      </c>
      <c r="AC220" t="s">
        <v>1208</v>
      </c>
      <c r="AD220" t="s">
        <v>905</v>
      </c>
      <c r="AE220" t="s">
        <v>1492</v>
      </c>
    </row>
    <row r="221" spans="1:31" ht="15" customHeight="1" x14ac:dyDescent="0.25">
      <c r="A221" t="s">
        <v>153</v>
      </c>
      <c r="L221" s="202">
        <v>9</v>
      </c>
      <c r="M221" s="202" t="s">
        <v>532</v>
      </c>
      <c r="N221" s="254" t="s">
        <v>1234</v>
      </c>
      <c r="O221" s="300" t="s">
        <v>1234</v>
      </c>
      <c r="P221" s="254" t="s">
        <v>1234</v>
      </c>
      <c r="Q221" t="s">
        <v>37</v>
      </c>
      <c r="T221">
        <v>121</v>
      </c>
      <c r="U221" s="7">
        <v>3</v>
      </c>
      <c r="V221" t="s">
        <v>555</v>
      </c>
      <c r="W221" s="257" t="s">
        <v>570</v>
      </c>
      <c r="X221" t="s">
        <v>571</v>
      </c>
      <c r="Y221" s="316" t="s">
        <v>490</v>
      </c>
      <c r="Z221" s="8">
        <v>65</v>
      </c>
      <c r="AA221" s="202" t="str">
        <f t="shared" si="4"/>
        <v>Капуста свежая</v>
      </c>
      <c r="AC221" t="s">
        <v>1208</v>
      </c>
      <c r="AD221" t="s">
        <v>907</v>
      </c>
      <c r="AE221" t="s">
        <v>1492</v>
      </c>
    </row>
    <row r="222" spans="1:31" ht="15" customHeight="1" x14ac:dyDescent="0.25">
      <c r="A222" t="s">
        <v>153</v>
      </c>
      <c r="L222" s="202">
        <v>9</v>
      </c>
      <c r="M222" s="202" t="s">
        <v>532</v>
      </c>
      <c r="N222" s="202" t="s">
        <v>506</v>
      </c>
      <c r="O222" s="300" t="s">
        <v>466</v>
      </c>
      <c r="P222" s="202" t="s">
        <v>1220</v>
      </c>
      <c r="Q222" t="s">
        <v>37</v>
      </c>
      <c r="T222">
        <v>122</v>
      </c>
      <c r="U222" s="7">
        <v>3</v>
      </c>
      <c r="V222" t="s">
        <v>555</v>
      </c>
      <c r="W222" s="257" t="s">
        <v>570</v>
      </c>
      <c r="X222" t="s">
        <v>571</v>
      </c>
      <c r="Y222" s="316" t="s">
        <v>45</v>
      </c>
      <c r="Z222" s="8">
        <v>90</v>
      </c>
      <c r="AA222" s="202" t="str">
        <f t="shared" si="4"/>
        <v>Картофель</v>
      </c>
      <c r="AC222" t="s">
        <v>1208</v>
      </c>
      <c r="AD222" t="s">
        <v>910</v>
      </c>
      <c r="AE222" t="s">
        <v>1492</v>
      </c>
    </row>
    <row r="223" spans="1:31" ht="15" customHeight="1" x14ac:dyDescent="0.25">
      <c r="A223" t="s">
        <v>153</v>
      </c>
      <c r="L223" s="202">
        <v>9</v>
      </c>
      <c r="M223" s="202" t="s">
        <v>532</v>
      </c>
      <c r="N223" s="202" t="s">
        <v>506</v>
      </c>
      <c r="O223" s="300" t="s">
        <v>1220</v>
      </c>
      <c r="P223" s="202" t="s">
        <v>1220</v>
      </c>
      <c r="Q223" t="s">
        <v>37</v>
      </c>
      <c r="T223">
        <v>123</v>
      </c>
      <c r="U223" s="7">
        <v>3</v>
      </c>
      <c r="V223" t="s">
        <v>555</v>
      </c>
      <c r="W223" s="257" t="s">
        <v>570</v>
      </c>
      <c r="X223" t="s">
        <v>571</v>
      </c>
      <c r="Y223" s="316" t="s">
        <v>46</v>
      </c>
      <c r="Z223" s="8">
        <v>10</v>
      </c>
      <c r="AA223" s="202" t="str">
        <f t="shared" si="4"/>
        <v>Морковь</v>
      </c>
      <c r="AC223" t="s">
        <v>1208</v>
      </c>
      <c r="AD223" t="s">
        <v>912</v>
      </c>
      <c r="AE223" t="s">
        <v>1492</v>
      </c>
    </row>
    <row r="224" spans="1:31" ht="15" customHeight="1" x14ac:dyDescent="0.25">
      <c r="A224" t="s">
        <v>153</v>
      </c>
      <c r="L224" s="202">
        <v>9</v>
      </c>
      <c r="M224" s="202" t="s">
        <v>532</v>
      </c>
      <c r="N224" s="202" t="s">
        <v>1220</v>
      </c>
      <c r="O224" s="300" t="s">
        <v>1220</v>
      </c>
      <c r="P224" s="202" t="s">
        <v>1220</v>
      </c>
      <c r="Q224" t="s">
        <v>37</v>
      </c>
      <c r="T224">
        <v>124</v>
      </c>
      <c r="U224" s="7">
        <v>3</v>
      </c>
      <c r="V224" t="s">
        <v>555</v>
      </c>
      <c r="W224" s="257" t="s">
        <v>570</v>
      </c>
      <c r="X224" t="s">
        <v>571</v>
      </c>
      <c r="Y224" s="316" t="s">
        <v>32</v>
      </c>
      <c r="Z224" s="8">
        <v>10</v>
      </c>
      <c r="AA224" s="202" t="str">
        <f t="shared" si="4"/>
        <v>Лук репчатый</v>
      </c>
      <c r="AC224" t="s">
        <v>1208</v>
      </c>
      <c r="AD224" t="s">
        <v>914</v>
      </c>
      <c r="AE224" t="s">
        <v>1492</v>
      </c>
    </row>
    <row r="225" spans="1:31" ht="15" customHeight="1" x14ac:dyDescent="0.25">
      <c r="A225" t="s">
        <v>153</v>
      </c>
      <c r="L225" s="202">
        <v>9</v>
      </c>
      <c r="M225" s="202" t="s">
        <v>532</v>
      </c>
      <c r="N225" s="254" t="s">
        <v>1227</v>
      </c>
      <c r="O225" s="300" t="s">
        <v>1227</v>
      </c>
      <c r="P225" s="254" t="s">
        <v>1227</v>
      </c>
      <c r="Q225" t="s">
        <v>37</v>
      </c>
      <c r="T225">
        <v>125</v>
      </c>
      <c r="U225" s="7">
        <v>3</v>
      </c>
      <c r="V225" t="s">
        <v>555</v>
      </c>
      <c r="W225" s="257" t="s">
        <v>570</v>
      </c>
      <c r="X225" t="s">
        <v>571</v>
      </c>
      <c r="Y225" s="316" t="s">
        <v>49</v>
      </c>
      <c r="Z225" s="8">
        <v>2.5</v>
      </c>
      <c r="AA225" s="202" t="str">
        <f t="shared" si="4"/>
        <v>Чеснок</v>
      </c>
      <c r="AC225" t="s">
        <v>1208</v>
      </c>
      <c r="AD225" t="s">
        <v>916</v>
      </c>
      <c r="AE225" t="s">
        <v>1492</v>
      </c>
    </row>
    <row r="226" spans="1:31" ht="15" customHeight="1" x14ac:dyDescent="0.25">
      <c r="A226" t="s">
        <v>153</v>
      </c>
      <c r="L226" s="202">
        <v>9</v>
      </c>
      <c r="M226" s="202" t="s">
        <v>532</v>
      </c>
      <c r="N226" s="202" t="s">
        <v>1221</v>
      </c>
      <c r="O226" s="300" t="s">
        <v>1221</v>
      </c>
      <c r="P226" s="202" t="s">
        <v>1221</v>
      </c>
      <c r="Q226" t="s">
        <v>37</v>
      </c>
      <c r="T226">
        <v>126</v>
      </c>
      <c r="U226" s="7">
        <v>3</v>
      </c>
      <c r="V226" t="s">
        <v>555</v>
      </c>
      <c r="W226" s="257" t="s">
        <v>570</v>
      </c>
      <c r="X226" t="s">
        <v>571</v>
      </c>
      <c r="Y226" s="316" t="s">
        <v>76</v>
      </c>
      <c r="Z226" s="8">
        <v>5</v>
      </c>
      <c r="AA226" s="202" t="str">
        <f t="shared" si="4"/>
        <v>Томат-паста</v>
      </c>
      <c r="AC226" t="s">
        <v>1208</v>
      </c>
      <c r="AD226" t="s">
        <v>918</v>
      </c>
      <c r="AE226" t="s">
        <v>1492</v>
      </c>
    </row>
    <row r="227" spans="1:31" ht="15" customHeight="1" x14ac:dyDescent="0.25">
      <c r="A227" t="s">
        <v>153</v>
      </c>
      <c r="L227" s="202">
        <v>9</v>
      </c>
      <c r="M227" s="202" t="s">
        <v>532</v>
      </c>
      <c r="N227" s="202" t="s">
        <v>508</v>
      </c>
      <c r="O227" s="300" t="s">
        <v>467</v>
      </c>
      <c r="P227" s="202" t="s">
        <v>1222</v>
      </c>
      <c r="Q227" t="s">
        <v>37</v>
      </c>
      <c r="T227">
        <v>127</v>
      </c>
      <c r="U227" s="7">
        <v>3</v>
      </c>
      <c r="V227" t="s">
        <v>555</v>
      </c>
      <c r="W227" s="257" t="s">
        <v>570</v>
      </c>
      <c r="X227" t="s">
        <v>571</v>
      </c>
      <c r="Y227" s="316" t="s">
        <v>486</v>
      </c>
      <c r="Z227" s="8">
        <v>2</v>
      </c>
      <c r="AA227" s="202" t="str">
        <f t="shared" si="4"/>
        <v>Уксус</v>
      </c>
      <c r="AC227" t="s">
        <v>1208</v>
      </c>
      <c r="AD227" t="s">
        <v>920</v>
      </c>
      <c r="AE227" t="s">
        <v>1492</v>
      </c>
    </row>
    <row r="228" spans="1:31" ht="15" customHeight="1" x14ac:dyDescent="0.25">
      <c r="A228" t="s">
        <v>153</v>
      </c>
      <c r="L228" s="202">
        <v>9</v>
      </c>
      <c r="M228" s="202" t="s">
        <v>532</v>
      </c>
      <c r="N228" s="202" t="s">
        <v>508</v>
      </c>
      <c r="O228" s="300" t="s">
        <v>1232</v>
      </c>
      <c r="P228" s="202" t="s">
        <v>1232</v>
      </c>
      <c r="Q228" t="s">
        <v>37</v>
      </c>
      <c r="T228">
        <v>128</v>
      </c>
      <c r="U228" s="7">
        <v>3</v>
      </c>
      <c r="V228" t="s">
        <v>555</v>
      </c>
      <c r="W228" s="257" t="s">
        <v>570</v>
      </c>
      <c r="X228" t="s">
        <v>571</v>
      </c>
      <c r="Y228" s="316" t="s">
        <v>61</v>
      </c>
      <c r="Z228" s="8">
        <v>5</v>
      </c>
      <c r="AA228" s="202" t="str">
        <f t="shared" si="4"/>
        <v>Масло растительное</v>
      </c>
      <c r="AC228" t="s">
        <v>1208</v>
      </c>
      <c r="AD228" t="s">
        <v>922</v>
      </c>
      <c r="AE228" t="s">
        <v>1492</v>
      </c>
    </row>
    <row r="229" spans="1:31" ht="15" customHeight="1" x14ac:dyDescent="0.25">
      <c r="A229" t="s">
        <v>153</v>
      </c>
      <c r="L229" s="202">
        <v>9</v>
      </c>
      <c r="M229" s="202" t="s">
        <v>532</v>
      </c>
      <c r="N229" s="202" t="s">
        <v>1222</v>
      </c>
      <c r="O229" s="300" t="s">
        <v>1222</v>
      </c>
      <c r="P229" s="202" t="s">
        <v>1222</v>
      </c>
      <c r="Q229" t="s">
        <v>37</v>
      </c>
      <c r="T229">
        <v>129</v>
      </c>
      <c r="U229" s="7">
        <v>3</v>
      </c>
      <c r="V229" t="s">
        <v>555</v>
      </c>
      <c r="W229" s="257" t="s">
        <v>570</v>
      </c>
      <c r="X229" t="s">
        <v>571</v>
      </c>
      <c r="Y229" s="316" t="s">
        <v>479</v>
      </c>
      <c r="Z229" s="8">
        <v>400</v>
      </c>
      <c r="AA229" s="202" t="str">
        <f t="shared" si="4"/>
        <v>Вода или бульон</v>
      </c>
      <c r="AC229" t="s">
        <v>1208</v>
      </c>
      <c r="AD229" t="s">
        <v>924</v>
      </c>
      <c r="AE229" t="s">
        <v>1492</v>
      </c>
    </row>
    <row r="230" spans="1:31" ht="15" customHeight="1" x14ac:dyDescent="0.25">
      <c r="A230" t="s">
        <v>153</v>
      </c>
      <c r="L230" s="202">
        <v>9</v>
      </c>
      <c r="M230" s="202" t="s">
        <v>532</v>
      </c>
      <c r="N230" s="202" t="s">
        <v>413</v>
      </c>
      <c r="O230" s="300" t="s">
        <v>413</v>
      </c>
      <c r="P230" s="202" t="s">
        <v>419</v>
      </c>
      <c r="Q230" t="s">
        <v>37</v>
      </c>
      <c r="T230">
        <v>130</v>
      </c>
      <c r="U230" s="7">
        <v>3</v>
      </c>
      <c r="V230" t="s">
        <v>555</v>
      </c>
      <c r="W230" s="257" t="s">
        <v>570</v>
      </c>
      <c r="X230" t="s">
        <v>571</v>
      </c>
      <c r="Y230" s="316" t="s">
        <v>54</v>
      </c>
      <c r="Z230" s="8">
        <v>5</v>
      </c>
      <c r="AA230" s="202" t="str">
        <f t="shared" si="4"/>
        <v>Сметана</v>
      </c>
      <c r="AC230" t="s">
        <v>1208</v>
      </c>
      <c r="AD230" t="s">
        <v>926</v>
      </c>
      <c r="AE230" t="s">
        <v>1492</v>
      </c>
    </row>
    <row r="231" spans="1:31" ht="15" customHeight="1" x14ac:dyDescent="0.25">
      <c r="A231" t="s">
        <v>153</v>
      </c>
      <c r="L231" s="202">
        <v>9</v>
      </c>
      <c r="M231" s="202" t="s">
        <v>532</v>
      </c>
      <c r="N231" s="202" t="s">
        <v>419</v>
      </c>
      <c r="O231" s="300" t="s">
        <v>419</v>
      </c>
      <c r="P231" s="202" t="s">
        <v>419</v>
      </c>
      <c r="Q231" t="s">
        <v>37</v>
      </c>
      <c r="T231">
        <v>131</v>
      </c>
      <c r="U231" s="7">
        <v>3</v>
      </c>
      <c r="V231" t="s">
        <v>555</v>
      </c>
      <c r="W231" s="257" t="s">
        <v>570</v>
      </c>
      <c r="X231" t="s">
        <v>571</v>
      </c>
      <c r="Y231" s="316" t="s">
        <v>70</v>
      </c>
      <c r="Z231" s="8">
        <v>5</v>
      </c>
      <c r="AA231" s="202" t="str">
        <f t="shared" si="4"/>
        <v>Зелень</v>
      </c>
      <c r="AC231" t="s">
        <v>1208</v>
      </c>
      <c r="AD231" t="s">
        <v>928</v>
      </c>
      <c r="AE231" t="s">
        <v>1492</v>
      </c>
    </row>
    <row r="232" spans="1:31" ht="15" customHeight="1" x14ac:dyDescent="0.25">
      <c r="A232" t="s">
        <v>153</v>
      </c>
      <c r="L232" s="202">
        <v>9</v>
      </c>
      <c r="M232" s="202" t="s">
        <v>532</v>
      </c>
      <c r="N232" s="202" t="s">
        <v>240</v>
      </c>
      <c r="O232" s="300" t="s">
        <v>240</v>
      </c>
      <c r="P232" s="202" t="s">
        <v>1236</v>
      </c>
      <c r="Q232" t="s">
        <v>37</v>
      </c>
      <c r="T232">
        <v>132</v>
      </c>
      <c r="U232" s="7">
        <v>3</v>
      </c>
      <c r="V232" t="s">
        <v>555</v>
      </c>
      <c r="W232" s="257" t="s">
        <v>570</v>
      </c>
      <c r="X232" t="s">
        <v>571</v>
      </c>
      <c r="Y232" s="316" t="s">
        <v>326</v>
      </c>
      <c r="Z232" s="8">
        <v>4</v>
      </c>
      <c r="AA232" s="202" t="str">
        <f t="shared" si="4"/>
        <v>Соль</v>
      </c>
      <c r="AC232" t="s">
        <v>1208</v>
      </c>
      <c r="AD232" t="s">
        <v>930</v>
      </c>
      <c r="AE232" t="s">
        <v>1492</v>
      </c>
    </row>
    <row r="233" spans="1:31" ht="15" customHeight="1" x14ac:dyDescent="0.25">
      <c r="A233" t="s">
        <v>153</v>
      </c>
      <c r="L233" s="202">
        <v>9</v>
      </c>
      <c r="M233" s="202" t="s">
        <v>532</v>
      </c>
      <c r="N233" s="202" t="s">
        <v>244</v>
      </c>
      <c r="O233" s="300" t="s">
        <v>541</v>
      </c>
      <c r="P233" s="202" t="s">
        <v>1219</v>
      </c>
      <c r="Q233" t="s">
        <v>37</v>
      </c>
      <c r="T233">
        <v>134</v>
      </c>
      <c r="U233" s="7">
        <v>3</v>
      </c>
      <c r="V233" t="s">
        <v>555</v>
      </c>
      <c r="W233" s="257" t="s">
        <v>570</v>
      </c>
      <c r="X233" t="s">
        <v>571</v>
      </c>
      <c r="Y233" s="316" t="s">
        <v>558</v>
      </c>
      <c r="Z233" s="8">
        <v>500</v>
      </c>
      <c r="AA233" s="202" t="str">
        <f t="shared" si="4"/>
        <v>Общая масса готового блюда, г</v>
      </c>
      <c r="AC233" t="s">
        <v>1208</v>
      </c>
      <c r="AD233" t="s">
        <v>939</v>
      </c>
      <c r="AE233" t="s">
        <v>1492</v>
      </c>
    </row>
    <row r="234" spans="1:31" ht="15" customHeight="1" x14ac:dyDescent="0.25">
      <c r="A234" t="s">
        <v>153</v>
      </c>
      <c r="L234" s="202">
        <v>9</v>
      </c>
      <c r="M234" s="202" t="s">
        <v>532</v>
      </c>
      <c r="N234" s="202" t="s">
        <v>244</v>
      </c>
      <c r="O234" s="300" t="s">
        <v>244</v>
      </c>
      <c r="P234" s="202" t="s">
        <v>1219</v>
      </c>
      <c r="Q234" t="s">
        <v>37</v>
      </c>
      <c r="T234">
        <v>135</v>
      </c>
      <c r="U234" s="7">
        <v>3</v>
      </c>
      <c r="V234" t="s">
        <v>555</v>
      </c>
      <c r="W234" s="257" t="s">
        <v>570</v>
      </c>
      <c r="X234" t="s">
        <v>571</v>
      </c>
      <c r="Y234" s="316" t="s">
        <v>109</v>
      </c>
      <c r="Z234" s="8">
        <v>250</v>
      </c>
      <c r="AA234" s="202" t="str">
        <f t="shared" si="4"/>
        <v>ОКГ</v>
      </c>
      <c r="AC234" t="s">
        <v>1208</v>
      </c>
      <c r="AD234" t="s">
        <v>940</v>
      </c>
      <c r="AE234" t="s">
        <v>1492</v>
      </c>
    </row>
    <row r="235" spans="1:31" ht="15" customHeight="1" x14ac:dyDescent="0.25">
      <c r="A235" t="s">
        <v>153</v>
      </c>
      <c r="L235" s="202">
        <v>9</v>
      </c>
      <c r="M235" s="202" t="s">
        <v>532</v>
      </c>
      <c r="N235" s="202" t="s">
        <v>239</v>
      </c>
      <c r="O235" s="300" t="s">
        <v>239</v>
      </c>
      <c r="P235" s="202" t="s">
        <v>1220</v>
      </c>
      <c r="Q235" t="s">
        <v>37</v>
      </c>
      <c r="T235">
        <v>136</v>
      </c>
      <c r="U235" s="7">
        <v>3</v>
      </c>
      <c r="V235" t="s">
        <v>555</v>
      </c>
      <c r="W235" s="257" t="s">
        <v>570</v>
      </c>
      <c r="X235" t="s">
        <v>571</v>
      </c>
      <c r="Y235" s="316" t="s">
        <v>74</v>
      </c>
      <c r="Z235" s="8">
        <v>0.02</v>
      </c>
      <c r="AA235" s="202" t="str">
        <f t="shared" si="4"/>
        <v>Лавровый лист</v>
      </c>
      <c r="AC235" t="s">
        <v>1208</v>
      </c>
      <c r="AD235" t="s">
        <v>942</v>
      </c>
      <c r="AE235" t="s">
        <v>1492</v>
      </c>
    </row>
    <row r="236" spans="1:31" ht="15" customHeight="1" x14ac:dyDescent="0.25">
      <c r="A236" t="s">
        <v>153</v>
      </c>
      <c r="L236" s="202">
        <v>9</v>
      </c>
      <c r="M236" s="202" t="s">
        <v>532</v>
      </c>
      <c r="N236" s="202" t="s">
        <v>241</v>
      </c>
      <c r="O236" s="300" t="s">
        <v>241</v>
      </c>
      <c r="P236" s="202" t="s">
        <v>1221</v>
      </c>
      <c r="Q236" t="s">
        <v>37</v>
      </c>
      <c r="T236">
        <v>137</v>
      </c>
      <c r="U236" s="7">
        <v>3</v>
      </c>
      <c r="V236" t="s">
        <v>555</v>
      </c>
      <c r="W236" s="257" t="s">
        <v>570</v>
      </c>
      <c r="X236" t="s">
        <v>571</v>
      </c>
      <c r="Y236" s="316" t="s">
        <v>484</v>
      </c>
      <c r="Z236" s="8">
        <v>0.05</v>
      </c>
      <c r="AA236" s="202" t="str">
        <f t="shared" si="4"/>
        <v>Перец черный</v>
      </c>
      <c r="AC236" t="s">
        <v>1208</v>
      </c>
      <c r="AD236" t="s">
        <v>943</v>
      </c>
      <c r="AE236" t="s">
        <v>1492</v>
      </c>
    </row>
    <row r="237" spans="1:31" ht="15" customHeight="1" x14ac:dyDescent="0.25">
      <c r="A237" t="s">
        <v>153</v>
      </c>
      <c r="L237" s="202">
        <v>9</v>
      </c>
      <c r="M237" s="202" t="s">
        <v>532</v>
      </c>
      <c r="N237" s="202" t="s">
        <v>242</v>
      </c>
      <c r="O237" s="300" t="s">
        <v>242</v>
      </c>
      <c r="P237" s="202" t="s">
        <v>1222</v>
      </c>
      <c r="Q237" t="s">
        <v>37</v>
      </c>
      <c r="T237">
        <v>93</v>
      </c>
      <c r="U237" s="7">
        <v>3</v>
      </c>
      <c r="V237" t="s">
        <v>555</v>
      </c>
      <c r="W237" s="257" t="s">
        <v>572</v>
      </c>
      <c r="X237" t="s">
        <v>573</v>
      </c>
      <c r="Y237" s="316" t="s">
        <v>48</v>
      </c>
      <c r="Z237" s="8">
        <v>70</v>
      </c>
      <c r="AA237" s="202" t="str">
        <f t="shared" si="4"/>
        <v>Свекла</v>
      </c>
      <c r="AC237" t="s">
        <v>1208</v>
      </c>
      <c r="AD237" t="s">
        <v>944</v>
      </c>
      <c r="AE237" t="s">
        <v>1492</v>
      </c>
    </row>
    <row r="238" spans="1:31" ht="15" customHeight="1" x14ac:dyDescent="0.25">
      <c r="A238" t="s">
        <v>153</v>
      </c>
      <c r="L238" s="202">
        <v>9</v>
      </c>
      <c r="M238" s="202" t="s">
        <v>532</v>
      </c>
      <c r="N238" s="202" t="s">
        <v>243</v>
      </c>
      <c r="O238" s="300" t="s">
        <v>243</v>
      </c>
      <c r="P238" s="202" t="s">
        <v>1223</v>
      </c>
      <c r="Q238" t="s">
        <v>37</v>
      </c>
      <c r="T238">
        <v>94</v>
      </c>
      <c r="U238" s="7">
        <v>3</v>
      </c>
      <c r="V238" t="s">
        <v>555</v>
      </c>
      <c r="W238" s="257" t="s">
        <v>572</v>
      </c>
      <c r="X238" t="s">
        <v>573</v>
      </c>
      <c r="Y238" s="316" t="s">
        <v>490</v>
      </c>
      <c r="Z238" s="8">
        <v>75</v>
      </c>
      <c r="AA238" s="202" t="str">
        <f t="shared" si="4"/>
        <v>Капуста свежая</v>
      </c>
      <c r="AC238" t="s">
        <v>1208</v>
      </c>
      <c r="AD238" t="s">
        <v>945</v>
      </c>
      <c r="AE238" t="s">
        <v>1492</v>
      </c>
    </row>
    <row r="239" spans="1:31" ht="15" customHeight="1" x14ac:dyDescent="0.25">
      <c r="A239" t="s">
        <v>153</v>
      </c>
      <c r="L239" s="202">
        <v>9</v>
      </c>
      <c r="M239" s="202" t="s">
        <v>532</v>
      </c>
      <c r="N239" s="202" t="s">
        <v>243</v>
      </c>
      <c r="O239" s="300" t="s">
        <v>542</v>
      </c>
      <c r="P239" s="202" t="s">
        <v>1223</v>
      </c>
      <c r="Q239" t="s">
        <v>37</v>
      </c>
      <c r="T239">
        <v>95</v>
      </c>
      <c r="U239" s="7">
        <v>3</v>
      </c>
      <c r="V239" t="s">
        <v>555</v>
      </c>
      <c r="W239" s="257" t="s">
        <v>572</v>
      </c>
      <c r="X239" t="s">
        <v>573</v>
      </c>
      <c r="Y239" s="316" t="s">
        <v>45</v>
      </c>
      <c r="Z239" s="8">
        <v>90</v>
      </c>
      <c r="AA239" s="202" t="str">
        <f t="shared" si="4"/>
        <v>Картофель</v>
      </c>
      <c r="AC239" t="s">
        <v>1208</v>
      </c>
      <c r="AD239" t="s">
        <v>946</v>
      </c>
      <c r="AE239" t="s">
        <v>1492</v>
      </c>
    </row>
    <row r="240" spans="1:31" ht="15" customHeight="1" x14ac:dyDescent="0.25">
      <c r="A240" t="s">
        <v>153</v>
      </c>
      <c r="L240" s="202">
        <v>9</v>
      </c>
      <c r="M240" s="202" t="s">
        <v>532</v>
      </c>
      <c r="N240" s="202" t="s">
        <v>509</v>
      </c>
      <c r="O240" s="300" t="s">
        <v>509</v>
      </c>
      <c r="P240" s="202" t="s">
        <v>1224</v>
      </c>
      <c r="Q240" t="s">
        <v>37</v>
      </c>
      <c r="T240">
        <v>96</v>
      </c>
      <c r="U240" s="7">
        <v>3</v>
      </c>
      <c r="V240" t="s">
        <v>555</v>
      </c>
      <c r="W240" s="257" t="s">
        <v>572</v>
      </c>
      <c r="X240" t="s">
        <v>573</v>
      </c>
      <c r="Y240" s="316" t="s">
        <v>46</v>
      </c>
      <c r="Z240" s="8">
        <v>10</v>
      </c>
      <c r="AA240" s="202" t="str">
        <f t="shared" si="4"/>
        <v>Морковь</v>
      </c>
      <c r="AC240" t="s">
        <v>1209</v>
      </c>
      <c r="AD240" t="s">
        <v>1209</v>
      </c>
      <c r="AE240" t="s">
        <v>1492</v>
      </c>
    </row>
    <row r="241" spans="1:31" ht="15" customHeight="1" x14ac:dyDescent="0.25">
      <c r="A241" t="s">
        <v>153</v>
      </c>
      <c r="L241" s="202">
        <v>9</v>
      </c>
      <c r="M241" s="202" t="s">
        <v>532</v>
      </c>
      <c r="N241" s="202" t="s">
        <v>509</v>
      </c>
      <c r="O241" s="300" t="s">
        <v>543</v>
      </c>
      <c r="P241" s="202" t="s">
        <v>1224</v>
      </c>
      <c r="Q241" t="s">
        <v>37</v>
      </c>
      <c r="T241">
        <v>97</v>
      </c>
      <c r="U241" s="7">
        <v>3</v>
      </c>
      <c r="V241" t="s">
        <v>555</v>
      </c>
      <c r="W241" s="257" t="s">
        <v>572</v>
      </c>
      <c r="X241" t="s">
        <v>573</v>
      </c>
      <c r="Y241" s="316" t="s">
        <v>32</v>
      </c>
      <c r="Z241" s="8">
        <v>10</v>
      </c>
      <c r="AA241" s="202" t="str">
        <f t="shared" si="4"/>
        <v>Лук репчатый</v>
      </c>
      <c r="AC241" t="s">
        <v>1209</v>
      </c>
      <c r="AD241" t="s">
        <v>642</v>
      </c>
      <c r="AE241" t="s">
        <v>1492</v>
      </c>
    </row>
    <row r="242" spans="1:31" ht="15" customHeight="1" x14ac:dyDescent="0.25">
      <c r="A242" t="s">
        <v>153</v>
      </c>
      <c r="L242" s="202">
        <v>9</v>
      </c>
      <c r="M242" s="202" t="s">
        <v>532</v>
      </c>
      <c r="N242" s="202" t="s">
        <v>510</v>
      </c>
      <c r="O242" s="300" t="s">
        <v>468</v>
      </c>
      <c r="P242" s="202" t="s">
        <v>544</v>
      </c>
      <c r="Q242" t="s">
        <v>37</v>
      </c>
      <c r="T242">
        <v>98</v>
      </c>
      <c r="U242" s="7">
        <v>3</v>
      </c>
      <c r="V242" t="s">
        <v>555</v>
      </c>
      <c r="W242" s="257" t="s">
        <v>572</v>
      </c>
      <c r="X242" t="s">
        <v>573</v>
      </c>
      <c r="Y242" s="316" t="s">
        <v>64</v>
      </c>
      <c r="Z242" s="8">
        <v>12</v>
      </c>
      <c r="AA242" s="202" t="str">
        <f t="shared" si="4"/>
        <v>Колбаса п/к</v>
      </c>
      <c r="AC242" t="s">
        <v>1209</v>
      </c>
      <c r="AD242" t="s">
        <v>648</v>
      </c>
      <c r="AE242" t="s">
        <v>1492</v>
      </c>
    </row>
    <row r="243" spans="1:31" ht="15" customHeight="1" x14ac:dyDescent="0.25">
      <c r="A243" t="s">
        <v>153</v>
      </c>
      <c r="L243" s="202">
        <v>9</v>
      </c>
      <c r="M243" s="202" t="s">
        <v>532</v>
      </c>
      <c r="N243" s="202" t="s">
        <v>510</v>
      </c>
      <c r="O243" s="300" t="s">
        <v>1240</v>
      </c>
      <c r="P243" s="202" t="s">
        <v>1237</v>
      </c>
      <c r="Q243" t="s">
        <v>37</v>
      </c>
      <c r="T243">
        <v>99</v>
      </c>
      <c r="U243" s="7">
        <v>3</v>
      </c>
      <c r="V243" t="s">
        <v>555</v>
      </c>
      <c r="W243" s="257" t="s">
        <v>572</v>
      </c>
      <c r="X243" t="s">
        <v>573</v>
      </c>
      <c r="Y243" s="316" t="s">
        <v>76</v>
      </c>
      <c r="Z243" s="8">
        <v>4</v>
      </c>
      <c r="AA243" s="202" t="str">
        <f t="shared" si="4"/>
        <v>Томат-паста</v>
      </c>
      <c r="AC243" t="s">
        <v>1209</v>
      </c>
      <c r="AD243" t="s">
        <v>654</v>
      </c>
      <c r="AE243" t="s">
        <v>1492</v>
      </c>
    </row>
    <row r="244" spans="1:31" ht="15" customHeight="1" x14ac:dyDescent="0.25">
      <c r="A244" t="s">
        <v>153</v>
      </c>
      <c r="L244" s="202">
        <v>9</v>
      </c>
      <c r="M244" s="202" t="s">
        <v>532</v>
      </c>
      <c r="N244" s="202" t="s">
        <v>510</v>
      </c>
      <c r="O244" s="300" t="s">
        <v>544</v>
      </c>
      <c r="P244" s="202" t="s">
        <v>544</v>
      </c>
      <c r="Q244" t="s">
        <v>37</v>
      </c>
      <c r="T244">
        <v>100</v>
      </c>
      <c r="U244" s="7">
        <v>3</v>
      </c>
      <c r="V244" t="s">
        <v>555</v>
      </c>
      <c r="W244" s="257" t="s">
        <v>572</v>
      </c>
      <c r="X244" t="s">
        <v>573</v>
      </c>
      <c r="Y244" s="316" t="s">
        <v>61</v>
      </c>
      <c r="Z244" s="8">
        <v>5</v>
      </c>
      <c r="AA244" s="202" t="str">
        <f t="shared" si="4"/>
        <v>Масло растительное</v>
      </c>
      <c r="AC244" t="s">
        <v>1209</v>
      </c>
      <c r="AD244" t="s">
        <v>665</v>
      </c>
      <c r="AE244" t="s">
        <v>1492</v>
      </c>
    </row>
    <row r="245" spans="1:31" ht="15" customHeight="1" x14ac:dyDescent="0.25">
      <c r="A245" t="s">
        <v>153</v>
      </c>
      <c r="L245" s="202">
        <v>9</v>
      </c>
      <c r="M245" s="202" t="s">
        <v>532</v>
      </c>
      <c r="N245" s="202" t="s">
        <v>510</v>
      </c>
      <c r="O245" s="300" t="s">
        <v>1237</v>
      </c>
      <c r="P245" s="202" t="s">
        <v>1226</v>
      </c>
      <c r="Q245" t="s">
        <v>37</v>
      </c>
      <c r="T245">
        <v>101</v>
      </c>
      <c r="U245" s="7">
        <v>3</v>
      </c>
      <c r="V245" t="s">
        <v>555</v>
      </c>
      <c r="W245" s="257" t="s">
        <v>572</v>
      </c>
      <c r="X245" t="s">
        <v>573</v>
      </c>
      <c r="Y245" s="316" t="s">
        <v>479</v>
      </c>
      <c r="Z245" s="8">
        <v>400</v>
      </c>
      <c r="AA245" s="202" t="str">
        <f t="shared" si="4"/>
        <v>Вода или бульон</v>
      </c>
      <c r="AC245" t="s">
        <v>1209</v>
      </c>
      <c r="AD245" t="s">
        <v>693</v>
      </c>
      <c r="AE245" t="s">
        <v>1492</v>
      </c>
    </row>
    <row r="246" spans="1:31" ht="15" customHeight="1" x14ac:dyDescent="0.25">
      <c r="A246" t="s">
        <v>153</v>
      </c>
      <c r="L246" s="202">
        <v>9</v>
      </c>
      <c r="M246" s="202" t="s">
        <v>532</v>
      </c>
      <c r="N246" s="202" t="s">
        <v>245</v>
      </c>
      <c r="O246" s="300" t="s">
        <v>245</v>
      </c>
      <c r="P246" s="202" t="s">
        <v>544</v>
      </c>
      <c r="Q246" t="s">
        <v>37</v>
      </c>
      <c r="T246">
        <v>102</v>
      </c>
      <c r="U246" s="7">
        <v>3</v>
      </c>
      <c r="V246" t="s">
        <v>555</v>
      </c>
      <c r="W246" s="257" t="s">
        <v>572</v>
      </c>
      <c r="X246" t="s">
        <v>573</v>
      </c>
      <c r="Y246" s="316" t="s">
        <v>54</v>
      </c>
      <c r="Z246" s="8">
        <v>5</v>
      </c>
      <c r="AA246" s="202" t="str">
        <f t="shared" si="4"/>
        <v>Сметана</v>
      </c>
      <c r="AC246" t="s">
        <v>1209</v>
      </c>
      <c r="AD246" t="s">
        <v>699</v>
      </c>
      <c r="AE246" t="s">
        <v>1492</v>
      </c>
    </row>
    <row r="247" spans="1:31" ht="15" customHeight="1" x14ac:dyDescent="0.25">
      <c r="A247" t="s">
        <v>153</v>
      </c>
      <c r="L247" s="202">
        <v>9</v>
      </c>
      <c r="M247" s="202" t="s">
        <v>532</v>
      </c>
      <c r="N247" s="202" t="s">
        <v>246</v>
      </c>
      <c r="O247" s="300" t="s">
        <v>246</v>
      </c>
      <c r="P247" s="202" t="s">
        <v>1225</v>
      </c>
      <c r="Q247" t="s">
        <v>37</v>
      </c>
      <c r="T247">
        <v>103</v>
      </c>
      <c r="U247" s="7">
        <v>3</v>
      </c>
      <c r="V247" t="s">
        <v>555</v>
      </c>
      <c r="W247" s="257" t="s">
        <v>572</v>
      </c>
      <c r="X247" t="s">
        <v>573</v>
      </c>
      <c r="Y247" s="316" t="s">
        <v>70</v>
      </c>
      <c r="Z247" s="8">
        <v>5</v>
      </c>
      <c r="AA247" s="202" t="str">
        <f t="shared" si="4"/>
        <v>Зелень</v>
      </c>
      <c r="AC247" t="s">
        <v>1209</v>
      </c>
      <c r="AD247" t="s">
        <v>703</v>
      </c>
      <c r="AE247" t="s">
        <v>1492</v>
      </c>
    </row>
    <row r="248" spans="1:31" ht="15" customHeight="1" x14ac:dyDescent="0.25">
      <c r="A248" t="s">
        <v>153</v>
      </c>
      <c r="L248" s="202">
        <v>9</v>
      </c>
      <c r="M248" s="202" t="s">
        <v>532</v>
      </c>
      <c r="N248" s="202" t="s">
        <v>246</v>
      </c>
      <c r="O248" s="300" t="s">
        <v>471</v>
      </c>
      <c r="P248" s="202" t="s">
        <v>1225</v>
      </c>
      <c r="Q248" t="s">
        <v>37</v>
      </c>
      <c r="T248">
        <v>104</v>
      </c>
      <c r="U248" s="7">
        <v>3</v>
      </c>
      <c r="V248" t="s">
        <v>555</v>
      </c>
      <c r="W248" s="257" t="s">
        <v>572</v>
      </c>
      <c r="X248" t="s">
        <v>573</v>
      </c>
      <c r="Y248" s="316" t="s">
        <v>486</v>
      </c>
      <c r="Z248" s="8">
        <v>2</v>
      </c>
      <c r="AA248" s="202" t="str">
        <f t="shared" si="4"/>
        <v>Уксус</v>
      </c>
      <c r="AC248" t="s">
        <v>1209</v>
      </c>
      <c r="AD248" t="s">
        <v>709</v>
      </c>
      <c r="AE248" t="s">
        <v>1492</v>
      </c>
    </row>
    <row r="249" spans="1:31" ht="15" customHeight="1" x14ac:dyDescent="0.25">
      <c r="A249" t="s">
        <v>153</v>
      </c>
      <c r="L249" s="202">
        <v>9</v>
      </c>
      <c r="M249" s="202" t="s">
        <v>532</v>
      </c>
      <c r="N249" s="202" t="s">
        <v>246</v>
      </c>
      <c r="O249" s="300" t="s">
        <v>545</v>
      </c>
      <c r="P249" s="202" t="s">
        <v>1225</v>
      </c>
      <c r="Q249" t="s">
        <v>37</v>
      </c>
      <c r="T249">
        <v>105</v>
      </c>
      <c r="U249" s="7">
        <v>3</v>
      </c>
      <c r="V249" t="s">
        <v>555</v>
      </c>
      <c r="W249" s="257" t="s">
        <v>572</v>
      </c>
      <c r="X249" t="s">
        <v>573</v>
      </c>
      <c r="Y249" s="316" t="s">
        <v>326</v>
      </c>
      <c r="Z249" s="8">
        <v>4</v>
      </c>
      <c r="AA249" s="202" t="str">
        <f t="shared" si="4"/>
        <v>Соль</v>
      </c>
      <c r="AC249" t="s">
        <v>1209</v>
      </c>
      <c r="AD249" t="s">
        <v>710</v>
      </c>
      <c r="AE249" t="s">
        <v>1492</v>
      </c>
    </row>
    <row r="250" spans="1:31" ht="15" customHeight="1" x14ac:dyDescent="0.25">
      <c r="A250" t="s">
        <v>153</v>
      </c>
      <c r="L250" s="202">
        <v>9</v>
      </c>
      <c r="M250" s="202" t="s">
        <v>532</v>
      </c>
      <c r="N250" s="202" t="s">
        <v>511</v>
      </c>
      <c r="O250" s="300" t="s">
        <v>469</v>
      </c>
      <c r="P250" s="202" t="s">
        <v>1223</v>
      </c>
      <c r="Q250" t="s">
        <v>37</v>
      </c>
      <c r="T250">
        <v>106</v>
      </c>
      <c r="U250" s="7">
        <v>3</v>
      </c>
      <c r="V250" t="s">
        <v>555</v>
      </c>
      <c r="W250" s="257" t="s">
        <v>572</v>
      </c>
      <c r="X250" t="s">
        <v>573</v>
      </c>
      <c r="Y250" s="316" t="s">
        <v>558</v>
      </c>
      <c r="Z250" s="8">
        <v>500</v>
      </c>
      <c r="AA250" s="202" t="str">
        <f t="shared" si="4"/>
        <v>Общая масса готового блюда, г</v>
      </c>
      <c r="AC250" t="s">
        <v>1209</v>
      </c>
      <c r="AD250" t="s">
        <v>730</v>
      </c>
      <c r="AE250" t="s">
        <v>1492</v>
      </c>
    </row>
    <row r="251" spans="1:31" ht="15" customHeight="1" x14ac:dyDescent="0.25">
      <c r="A251" t="s">
        <v>153</v>
      </c>
      <c r="L251" s="202">
        <v>9</v>
      </c>
      <c r="M251" s="202" t="s">
        <v>532</v>
      </c>
      <c r="N251" s="202" t="s">
        <v>511</v>
      </c>
      <c r="O251" s="300" t="s">
        <v>1224</v>
      </c>
      <c r="P251" s="202" t="s">
        <v>1224</v>
      </c>
      <c r="Q251" t="s">
        <v>37</v>
      </c>
      <c r="T251">
        <v>107</v>
      </c>
      <c r="U251" s="7">
        <v>3</v>
      </c>
      <c r="V251" t="s">
        <v>555</v>
      </c>
      <c r="W251" s="257" t="s">
        <v>572</v>
      </c>
      <c r="X251" t="s">
        <v>573</v>
      </c>
      <c r="Y251" s="316" t="s">
        <v>109</v>
      </c>
      <c r="Z251" s="8">
        <v>250</v>
      </c>
      <c r="AA251" s="202" t="str">
        <f t="shared" si="4"/>
        <v>ОКГ</v>
      </c>
      <c r="AC251" t="s">
        <v>1209</v>
      </c>
      <c r="AD251" t="s">
        <v>736</v>
      </c>
      <c r="AE251" t="s">
        <v>1492</v>
      </c>
    </row>
    <row r="252" spans="1:31" ht="15" customHeight="1" x14ac:dyDescent="0.25">
      <c r="A252" t="s">
        <v>153</v>
      </c>
      <c r="L252" s="202">
        <v>9</v>
      </c>
      <c r="M252" s="202" t="s">
        <v>532</v>
      </c>
      <c r="N252" s="202" t="s">
        <v>1223</v>
      </c>
      <c r="O252" s="300" t="s">
        <v>1223</v>
      </c>
      <c r="P252" s="202" t="s">
        <v>1223</v>
      </c>
      <c r="Q252" t="s">
        <v>37</v>
      </c>
      <c r="T252">
        <v>108</v>
      </c>
      <c r="U252" s="7">
        <v>3</v>
      </c>
      <c r="V252" t="s">
        <v>555</v>
      </c>
      <c r="W252" s="257" t="s">
        <v>572</v>
      </c>
      <c r="X252" t="s">
        <v>573</v>
      </c>
      <c r="Y252" s="316" t="s">
        <v>74</v>
      </c>
      <c r="Z252" s="8">
        <v>0.04</v>
      </c>
      <c r="AA252" s="202" t="str">
        <f t="shared" si="4"/>
        <v>Лавровый лист</v>
      </c>
      <c r="AC252" t="s">
        <v>1209</v>
      </c>
      <c r="AD252" t="s">
        <v>754</v>
      </c>
      <c r="AE252" t="s">
        <v>1492</v>
      </c>
    </row>
    <row r="253" spans="1:31" ht="15" customHeight="1" x14ac:dyDescent="0.25">
      <c r="A253" t="s">
        <v>153</v>
      </c>
      <c r="L253" s="202">
        <v>9</v>
      </c>
      <c r="M253" s="202" t="s">
        <v>532</v>
      </c>
      <c r="N253" s="202" t="s">
        <v>1224</v>
      </c>
      <c r="O253" s="300" t="s">
        <v>1224</v>
      </c>
      <c r="P253" s="202" t="s">
        <v>1224</v>
      </c>
      <c r="Q253" t="s">
        <v>37</v>
      </c>
      <c r="T253">
        <v>109</v>
      </c>
      <c r="U253" s="7">
        <v>3</v>
      </c>
      <c r="V253" t="s">
        <v>555</v>
      </c>
      <c r="W253" s="257" t="s">
        <v>572</v>
      </c>
      <c r="X253" t="s">
        <v>573</v>
      </c>
      <c r="Y253" s="316" t="s">
        <v>484</v>
      </c>
      <c r="Z253" s="8">
        <v>0.1</v>
      </c>
      <c r="AA253" s="202" t="str">
        <f t="shared" si="4"/>
        <v>Перец черный</v>
      </c>
      <c r="AC253" t="s">
        <v>1209</v>
      </c>
      <c r="AD253" t="s">
        <v>760</v>
      </c>
      <c r="AE253" t="s">
        <v>1492</v>
      </c>
    </row>
    <row r="254" spans="1:31" ht="15" customHeight="1" x14ac:dyDescent="0.25">
      <c r="A254" t="s">
        <v>153</v>
      </c>
      <c r="L254" s="202">
        <v>9</v>
      </c>
      <c r="M254" s="202" t="s">
        <v>532</v>
      </c>
      <c r="N254" s="202" t="s">
        <v>67</v>
      </c>
      <c r="O254" s="300" t="s">
        <v>248</v>
      </c>
      <c r="P254" s="202" t="s">
        <v>1229</v>
      </c>
      <c r="Q254" t="s">
        <v>37</v>
      </c>
      <c r="T254">
        <v>835</v>
      </c>
      <c r="U254" s="7">
        <v>3</v>
      </c>
      <c r="V254" t="s">
        <v>1058</v>
      </c>
      <c r="W254" s="257" t="s">
        <v>1334</v>
      </c>
      <c r="X254" t="s">
        <v>1335</v>
      </c>
      <c r="Y254" s="316" t="s">
        <v>45</v>
      </c>
      <c r="Z254" s="8">
        <v>45</v>
      </c>
      <c r="AA254" s="202" t="str">
        <f t="shared" si="4"/>
        <v>Картофель</v>
      </c>
      <c r="AC254" t="s">
        <v>1209</v>
      </c>
      <c r="AD254" t="s">
        <v>948</v>
      </c>
      <c r="AE254" t="s">
        <v>1492</v>
      </c>
    </row>
    <row r="255" spans="1:31" ht="15" customHeight="1" x14ac:dyDescent="0.25">
      <c r="A255" t="s">
        <v>153</v>
      </c>
      <c r="L255" s="202">
        <v>9</v>
      </c>
      <c r="M255" s="202" t="s">
        <v>532</v>
      </c>
      <c r="N255" s="202" t="s">
        <v>67</v>
      </c>
      <c r="O255" s="300" t="s">
        <v>247</v>
      </c>
      <c r="P255" s="202" t="s">
        <v>1229</v>
      </c>
      <c r="Q255" t="s">
        <v>37</v>
      </c>
      <c r="T255">
        <v>836</v>
      </c>
      <c r="U255" s="7">
        <v>3</v>
      </c>
      <c r="V255" t="s">
        <v>1058</v>
      </c>
      <c r="W255" s="257" t="s">
        <v>1334</v>
      </c>
      <c r="X255" t="s">
        <v>1335</v>
      </c>
      <c r="Y255" s="316" t="s">
        <v>48</v>
      </c>
      <c r="Z255" s="8">
        <v>20</v>
      </c>
      <c r="AA255" s="202" t="str">
        <f t="shared" si="4"/>
        <v>Свекла</v>
      </c>
      <c r="AC255" t="s">
        <v>1209</v>
      </c>
      <c r="AD255" t="s">
        <v>958</v>
      </c>
      <c r="AE255" t="s">
        <v>1492</v>
      </c>
    </row>
    <row r="256" spans="1:31" ht="15" customHeight="1" x14ac:dyDescent="0.25">
      <c r="A256" t="s">
        <v>153</v>
      </c>
      <c r="L256" s="202">
        <v>9</v>
      </c>
      <c r="M256" s="202" t="s">
        <v>532</v>
      </c>
      <c r="N256" s="202" t="s">
        <v>67</v>
      </c>
      <c r="O256" s="300" t="s">
        <v>1230</v>
      </c>
      <c r="P256" s="202" t="s">
        <v>1230</v>
      </c>
      <c r="Q256" t="s">
        <v>37</v>
      </c>
      <c r="T256">
        <v>837</v>
      </c>
      <c r="U256" s="7">
        <v>3</v>
      </c>
      <c r="V256" t="s">
        <v>1058</v>
      </c>
      <c r="W256" s="257" t="s">
        <v>1334</v>
      </c>
      <c r="X256" t="s">
        <v>1335</v>
      </c>
      <c r="Y256" s="316" t="s">
        <v>46</v>
      </c>
      <c r="Z256" s="8">
        <v>15</v>
      </c>
      <c r="AA256" s="202" t="str">
        <f t="shared" si="4"/>
        <v>Морковь</v>
      </c>
      <c r="AC256" t="s">
        <v>1209</v>
      </c>
      <c r="AD256" t="s">
        <v>963</v>
      </c>
      <c r="AE256" t="s">
        <v>1492</v>
      </c>
    </row>
    <row r="257" spans="1:31" ht="15" customHeight="1" x14ac:dyDescent="0.25">
      <c r="A257" t="s">
        <v>153</v>
      </c>
      <c r="L257" s="202">
        <v>9</v>
      </c>
      <c r="M257" s="202" t="s">
        <v>532</v>
      </c>
      <c r="N257" s="202" t="s">
        <v>67</v>
      </c>
      <c r="O257" s="300" t="s">
        <v>1239</v>
      </c>
      <c r="P257" s="202" t="s">
        <v>1230</v>
      </c>
      <c r="Q257" t="s">
        <v>37</v>
      </c>
      <c r="T257">
        <v>838</v>
      </c>
      <c r="U257" s="7">
        <v>3</v>
      </c>
      <c r="V257" t="s">
        <v>1058</v>
      </c>
      <c r="W257" s="257" t="s">
        <v>1334</v>
      </c>
      <c r="X257" t="s">
        <v>1335</v>
      </c>
      <c r="Y257" s="316" t="s">
        <v>445</v>
      </c>
      <c r="Z257" s="8">
        <v>20</v>
      </c>
      <c r="AA257" s="202" t="str">
        <f t="shared" si="4"/>
        <v>Огурцы консерв.</v>
      </c>
      <c r="AC257" t="s">
        <v>1209</v>
      </c>
      <c r="AD257" t="s">
        <v>965</v>
      </c>
      <c r="AE257" t="s">
        <v>1492</v>
      </c>
    </row>
    <row r="258" spans="1:31" ht="15" customHeight="1" x14ac:dyDescent="0.25">
      <c r="A258" t="s">
        <v>153</v>
      </c>
      <c r="L258" s="202">
        <v>9</v>
      </c>
      <c r="M258" s="202" t="s">
        <v>532</v>
      </c>
      <c r="N258" s="254" t="s">
        <v>1229</v>
      </c>
      <c r="O258" s="300" t="s">
        <v>1229</v>
      </c>
      <c r="P258" s="254" t="s">
        <v>1229</v>
      </c>
      <c r="Q258" t="s">
        <v>37</v>
      </c>
      <c r="T258">
        <v>839</v>
      </c>
      <c r="U258" s="7">
        <v>3</v>
      </c>
      <c r="V258" t="s">
        <v>1058</v>
      </c>
      <c r="W258" s="257" t="s">
        <v>1334</v>
      </c>
      <c r="X258" t="s">
        <v>1335</v>
      </c>
      <c r="Y258" s="316" t="s">
        <v>32</v>
      </c>
      <c r="Z258" s="8">
        <v>10</v>
      </c>
      <c r="AA258" s="202" t="str">
        <f t="shared" ref="AA258:AA321" si="5">VLOOKUP(Y258,O:P,2,FALSE)</f>
        <v>Лук репчатый</v>
      </c>
      <c r="AC258" t="s">
        <v>1198</v>
      </c>
      <c r="AD258" t="s">
        <v>1198</v>
      </c>
      <c r="AE258" t="s">
        <v>1494</v>
      </c>
    </row>
    <row r="259" spans="1:31" ht="15" customHeight="1" x14ac:dyDescent="0.25">
      <c r="A259" t="s">
        <v>153</v>
      </c>
      <c r="L259" s="202">
        <v>9</v>
      </c>
      <c r="M259" s="202" t="s">
        <v>532</v>
      </c>
      <c r="N259" s="202" t="s">
        <v>1212</v>
      </c>
      <c r="O259" s="300" t="s">
        <v>1212</v>
      </c>
      <c r="P259" s="202" t="s">
        <v>1212</v>
      </c>
      <c r="Q259" t="s">
        <v>37</v>
      </c>
      <c r="T259">
        <v>840</v>
      </c>
      <c r="U259" s="7">
        <v>3</v>
      </c>
      <c r="V259" t="s">
        <v>1058</v>
      </c>
      <c r="W259" s="257" t="s">
        <v>1334</v>
      </c>
      <c r="X259" t="s">
        <v>1335</v>
      </c>
      <c r="Y259" s="316" t="s">
        <v>61</v>
      </c>
      <c r="Z259" s="8">
        <v>8</v>
      </c>
      <c r="AA259" s="202" t="str">
        <f t="shared" si="5"/>
        <v>Масло растительное</v>
      </c>
      <c r="AC259" t="s">
        <v>1198</v>
      </c>
      <c r="AD259" t="s">
        <v>988</v>
      </c>
      <c r="AE259" t="s">
        <v>1494</v>
      </c>
    </row>
    <row r="260" spans="1:31" ht="15" customHeight="1" x14ac:dyDescent="0.25">
      <c r="A260" t="s">
        <v>153</v>
      </c>
      <c r="L260" s="202">
        <v>9</v>
      </c>
      <c r="M260" s="202" t="s">
        <v>532</v>
      </c>
      <c r="N260" s="202" t="s">
        <v>514</v>
      </c>
      <c r="O260" s="300" t="s">
        <v>470</v>
      </c>
      <c r="P260" s="202" t="s">
        <v>514</v>
      </c>
      <c r="Q260" t="s">
        <v>37</v>
      </c>
      <c r="T260">
        <v>841</v>
      </c>
      <c r="U260" s="7">
        <v>3</v>
      </c>
      <c r="V260" t="s">
        <v>1058</v>
      </c>
      <c r="W260" s="257" t="s">
        <v>1334</v>
      </c>
      <c r="X260" t="s">
        <v>1335</v>
      </c>
      <c r="Y260" s="316" t="s">
        <v>486</v>
      </c>
      <c r="Z260" s="8">
        <v>1</v>
      </c>
      <c r="AA260" s="202" t="str">
        <f t="shared" si="5"/>
        <v>Уксус</v>
      </c>
      <c r="AC260" t="s">
        <v>1198</v>
      </c>
      <c r="AD260" t="s">
        <v>990</v>
      </c>
      <c r="AE260" t="s">
        <v>1494</v>
      </c>
    </row>
    <row r="261" spans="1:31" ht="15" customHeight="1" x14ac:dyDescent="0.25">
      <c r="A261" t="s">
        <v>153</v>
      </c>
      <c r="L261" s="202">
        <v>9</v>
      </c>
      <c r="M261" s="202" t="s">
        <v>532</v>
      </c>
      <c r="N261" s="254" t="s">
        <v>1231</v>
      </c>
      <c r="O261" s="300" t="s">
        <v>1231</v>
      </c>
      <c r="P261" s="254" t="s">
        <v>1231</v>
      </c>
      <c r="Q261" t="s">
        <v>37</v>
      </c>
      <c r="T261">
        <v>842</v>
      </c>
      <c r="U261" s="7">
        <v>3</v>
      </c>
      <c r="V261" t="s">
        <v>1058</v>
      </c>
      <c r="W261" s="257" t="s">
        <v>1334</v>
      </c>
      <c r="X261" t="s">
        <v>1335</v>
      </c>
      <c r="Y261" s="316" t="s">
        <v>326</v>
      </c>
      <c r="Z261" s="8">
        <v>2</v>
      </c>
      <c r="AA261" s="202" t="str">
        <f t="shared" si="5"/>
        <v>Соль</v>
      </c>
      <c r="AC261" t="s">
        <v>1198</v>
      </c>
      <c r="AD261" t="s">
        <v>992</v>
      </c>
      <c r="AE261" t="s">
        <v>1494</v>
      </c>
    </row>
    <row r="262" spans="1:31" ht="15" customHeight="1" x14ac:dyDescent="0.25">
      <c r="A262" t="s">
        <v>153</v>
      </c>
      <c r="L262" s="202">
        <v>9</v>
      </c>
      <c r="M262" s="202" t="s">
        <v>532</v>
      </c>
      <c r="N262" s="202" t="s">
        <v>515</v>
      </c>
      <c r="O262" s="300" t="s">
        <v>515</v>
      </c>
      <c r="P262" s="202" t="s">
        <v>515</v>
      </c>
      <c r="Q262" t="s">
        <v>37</v>
      </c>
      <c r="T262">
        <v>846</v>
      </c>
      <c r="U262" s="7">
        <v>3</v>
      </c>
      <c r="V262" t="s">
        <v>1058</v>
      </c>
      <c r="W262" s="257" t="s">
        <v>1334</v>
      </c>
      <c r="X262" t="s">
        <v>1335</v>
      </c>
      <c r="Y262" s="316" t="s">
        <v>558</v>
      </c>
      <c r="Z262" s="8">
        <v>108</v>
      </c>
      <c r="AA262" s="202" t="str">
        <f t="shared" si="5"/>
        <v>Общая масса готового блюда, г</v>
      </c>
      <c r="AC262" t="s">
        <v>1198</v>
      </c>
      <c r="AD262" t="s">
        <v>994</v>
      </c>
      <c r="AE262" t="s">
        <v>1494</v>
      </c>
    </row>
    <row r="263" spans="1:31" ht="15" customHeight="1" x14ac:dyDescent="0.25">
      <c r="A263" t="s">
        <v>153</v>
      </c>
      <c r="L263" s="202">
        <v>9</v>
      </c>
      <c r="M263" s="202" t="s">
        <v>532</v>
      </c>
      <c r="N263" s="202" t="s">
        <v>516</v>
      </c>
      <c r="O263" s="300" t="s">
        <v>544</v>
      </c>
      <c r="P263" s="202" t="s">
        <v>544</v>
      </c>
      <c r="Q263" t="s">
        <v>37</v>
      </c>
      <c r="T263">
        <v>847</v>
      </c>
      <c r="U263" s="7">
        <v>3</v>
      </c>
      <c r="V263" t="s">
        <v>1058</v>
      </c>
      <c r="W263" s="257" t="s">
        <v>1334</v>
      </c>
      <c r="X263" t="s">
        <v>1335</v>
      </c>
      <c r="Y263" s="316" t="s">
        <v>109</v>
      </c>
      <c r="Z263" s="8">
        <v>96</v>
      </c>
      <c r="AA263" s="202" t="str">
        <f t="shared" si="5"/>
        <v>ОКГ</v>
      </c>
      <c r="AC263" t="s">
        <v>1198</v>
      </c>
      <c r="AD263" t="s">
        <v>996</v>
      </c>
      <c r="AE263" t="s">
        <v>1494</v>
      </c>
    </row>
    <row r="264" spans="1:31" ht="15" customHeight="1" x14ac:dyDescent="0.25">
      <c r="A264" t="s">
        <v>153</v>
      </c>
      <c r="L264" s="202">
        <v>9</v>
      </c>
      <c r="M264" s="202" t="s">
        <v>532</v>
      </c>
      <c r="N264" s="202" t="s">
        <v>516</v>
      </c>
      <c r="O264" s="300" t="s">
        <v>1237</v>
      </c>
      <c r="P264" s="202" t="s">
        <v>1226</v>
      </c>
      <c r="Q264" t="s">
        <v>37</v>
      </c>
      <c r="T264">
        <v>822</v>
      </c>
      <c r="U264" s="7">
        <v>3</v>
      </c>
      <c r="V264" t="s">
        <v>1058</v>
      </c>
      <c r="W264" s="257" t="s">
        <v>1059</v>
      </c>
      <c r="X264" t="s">
        <v>1060</v>
      </c>
      <c r="Y264" s="316" t="s">
        <v>455</v>
      </c>
      <c r="Z264" s="8">
        <v>30</v>
      </c>
      <c r="AA264" s="202" t="str">
        <f t="shared" si="5"/>
        <v>Говядина н/к</v>
      </c>
      <c r="AC264" t="s">
        <v>1198</v>
      </c>
      <c r="AD264" t="s">
        <v>998</v>
      </c>
      <c r="AE264" t="s">
        <v>1494</v>
      </c>
    </row>
    <row r="265" spans="1:31" ht="15" customHeight="1" x14ac:dyDescent="0.25">
      <c r="A265" t="s">
        <v>153</v>
      </c>
      <c r="L265" s="202">
        <v>9</v>
      </c>
      <c r="M265" s="202" t="s">
        <v>532</v>
      </c>
      <c r="N265" s="202" t="s">
        <v>544</v>
      </c>
      <c r="O265" s="300" t="s">
        <v>544</v>
      </c>
      <c r="P265" s="202" t="s">
        <v>544</v>
      </c>
      <c r="Q265" t="s">
        <v>37</v>
      </c>
      <c r="T265">
        <v>822</v>
      </c>
      <c r="U265" s="7">
        <v>3</v>
      </c>
      <c r="V265" t="s">
        <v>1058</v>
      </c>
      <c r="W265" s="257" t="s">
        <v>1059</v>
      </c>
      <c r="X265" t="s">
        <v>1060</v>
      </c>
      <c r="Y265" s="316" t="s">
        <v>1214</v>
      </c>
      <c r="Z265" s="8">
        <v>13.7</v>
      </c>
      <c r="AA265" s="202" t="str">
        <f t="shared" si="5"/>
        <v>Масса мясных и рыбных порций, г</v>
      </c>
      <c r="AC265" t="s">
        <v>1198</v>
      </c>
      <c r="AD265" t="s">
        <v>1000</v>
      </c>
      <c r="AE265" t="s">
        <v>1494</v>
      </c>
    </row>
    <row r="266" spans="1:31" ht="15" customHeight="1" x14ac:dyDescent="0.25">
      <c r="A266" t="s">
        <v>153</v>
      </c>
      <c r="L266" s="202">
        <v>9</v>
      </c>
      <c r="M266" s="202" t="s">
        <v>532</v>
      </c>
      <c r="N266" s="202" t="s">
        <v>1226</v>
      </c>
      <c r="O266" s="300" t="s">
        <v>1226</v>
      </c>
      <c r="P266" s="202" t="s">
        <v>1226</v>
      </c>
      <c r="Q266" t="s">
        <v>37</v>
      </c>
      <c r="T266">
        <v>823</v>
      </c>
      <c r="U266" s="7">
        <v>3</v>
      </c>
      <c r="V266" t="s">
        <v>1058</v>
      </c>
      <c r="W266" s="257" t="s">
        <v>1059</v>
      </c>
      <c r="X266" t="s">
        <v>1060</v>
      </c>
      <c r="Y266" s="316" t="s">
        <v>45</v>
      </c>
      <c r="Z266" s="8">
        <v>91</v>
      </c>
      <c r="AA266" s="202" t="str">
        <f t="shared" si="5"/>
        <v>Картофель</v>
      </c>
      <c r="AC266" t="s">
        <v>1198</v>
      </c>
      <c r="AD266" t="s">
        <v>1002</v>
      </c>
      <c r="AE266" t="s">
        <v>1494</v>
      </c>
    </row>
    <row r="267" spans="1:31" ht="15" customHeight="1" x14ac:dyDescent="0.25">
      <c r="A267" t="s">
        <v>153</v>
      </c>
      <c r="L267" s="202">
        <v>9</v>
      </c>
      <c r="M267" s="202" t="s">
        <v>532</v>
      </c>
      <c r="N267" s="202" t="s">
        <v>517</v>
      </c>
      <c r="O267" s="300" t="s">
        <v>517</v>
      </c>
      <c r="P267" s="202" t="s">
        <v>1225</v>
      </c>
      <c r="Q267" t="s">
        <v>37</v>
      </c>
      <c r="T267">
        <v>824</v>
      </c>
      <c r="U267" s="7">
        <v>3</v>
      </c>
      <c r="V267" t="s">
        <v>1058</v>
      </c>
      <c r="W267" s="257" t="s">
        <v>1059</v>
      </c>
      <c r="X267" t="s">
        <v>1060</v>
      </c>
      <c r="Y267" s="316" t="s">
        <v>445</v>
      </c>
      <c r="Z267" s="8">
        <v>25</v>
      </c>
      <c r="AA267" s="202" t="str">
        <f t="shared" si="5"/>
        <v>Огурцы консерв.</v>
      </c>
      <c r="AC267" t="s">
        <v>1198</v>
      </c>
      <c r="AD267" t="s">
        <v>1004</v>
      </c>
      <c r="AE267" t="s">
        <v>1494</v>
      </c>
    </row>
    <row r="268" spans="1:31" ht="15" customHeight="1" x14ac:dyDescent="0.25">
      <c r="A268" t="s">
        <v>153</v>
      </c>
      <c r="L268" s="202">
        <v>9</v>
      </c>
      <c r="M268" s="202" t="s">
        <v>532</v>
      </c>
      <c r="N268" s="202" t="s">
        <v>517</v>
      </c>
      <c r="O268" s="300" t="s">
        <v>1238</v>
      </c>
      <c r="P268" s="202" t="s">
        <v>1233</v>
      </c>
      <c r="Q268" t="s">
        <v>37</v>
      </c>
      <c r="T268">
        <v>825</v>
      </c>
      <c r="U268" s="7">
        <v>3</v>
      </c>
      <c r="V268" t="s">
        <v>1058</v>
      </c>
      <c r="W268" s="257" t="s">
        <v>1059</v>
      </c>
      <c r="X268" t="s">
        <v>1060</v>
      </c>
      <c r="Y268" s="316" t="s">
        <v>46</v>
      </c>
      <c r="Z268" s="8">
        <v>20</v>
      </c>
      <c r="AA268" s="202" t="str">
        <f t="shared" si="5"/>
        <v>Морковь</v>
      </c>
      <c r="AC268" t="s">
        <v>1198</v>
      </c>
      <c r="AD268" t="s">
        <v>1006</v>
      </c>
      <c r="AE268" t="s">
        <v>1494</v>
      </c>
    </row>
    <row r="269" spans="1:31" ht="15" customHeight="1" x14ac:dyDescent="0.25">
      <c r="A269" t="s">
        <v>153</v>
      </c>
      <c r="L269" s="202">
        <v>9</v>
      </c>
      <c r="M269" s="202" t="s">
        <v>532</v>
      </c>
      <c r="N269" s="202" t="s">
        <v>1225</v>
      </c>
      <c r="O269" s="300" t="s">
        <v>1225</v>
      </c>
      <c r="P269" s="202" t="s">
        <v>1225</v>
      </c>
      <c r="Q269" t="s">
        <v>37</v>
      </c>
      <c r="T269">
        <v>826</v>
      </c>
      <c r="U269" s="7">
        <v>3</v>
      </c>
      <c r="V269" t="s">
        <v>1058</v>
      </c>
      <c r="W269" s="257" t="s">
        <v>1059</v>
      </c>
      <c r="X269" t="s">
        <v>1060</v>
      </c>
      <c r="Y269" s="316" t="s">
        <v>48</v>
      </c>
      <c r="Z269" s="8">
        <v>38</v>
      </c>
      <c r="AA269" s="202" t="str">
        <f t="shared" si="5"/>
        <v>Свекла</v>
      </c>
      <c r="AC269" t="s">
        <v>1198</v>
      </c>
      <c r="AD269" t="s">
        <v>1008</v>
      </c>
      <c r="AE269" t="s">
        <v>1494</v>
      </c>
    </row>
    <row r="270" spans="1:31" ht="15" customHeight="1" x14ac:dyDescent="0.25">
      <c r="A270" t="s">
        <v>153</v>
      </c>
      <c r="L270" s="202">
        <v>9</v>
      </c>
      <c r="M270" s="202" t="s">
        <v>532</v>
      </c>
      <c r="N270" s="202" t="s">
        <v>518</v>
      </c>
      <c r="O270" s="300" t="s">
        <v>472</v>
      </c>
      <c r="P270" s="202" t="s">
        <v>518</v>
      </c>
      <c r="Q270" t="s">
        <v>37</v>
      </c>
      <c r="T270">
        <v>827</v>
      </c>
      <c r="U270" s="7">
        <v>3</v>
      </c>
      <c r="V270" t="s">
        <v>1058</v>
      </c>
      <c r="W270" s="257" t="s">
        <v>1059</v>
      </c>
      <c r="X270" t="s">
        <v>1060</v>
      </c>
      <c r="Y270" s="316" t="s">
        <v>32</v>
      </c>
      <c r="Z270" s="8">
        <v>10</v>
      </c>
      <c r="AA270" s="202" t="str">
        <f t="shared" si="5"/>
        <v>Лук репчатый</v>
      </c>
      <c r="AC270" t="s">
        <v>1198</v>
      </c>
      <c r="AD270" t="s">
        <v>1010</v>
      </c>
      <c r="AE270" t="s">
        <v>1494</v>
      </c>
    </row>
    <row r="271" spans="1:31" ht="15" customHeight="1" x14ac:dyDescent="0.25">
      <c r="A271" t="s">
        <v>153</v>
      </c>
      <c r="L271" s="202">
        <v>9</v>
      </c>
      <c r="M271" s="202" t="s">
        <v>532</v>
      </c>
      <c r="N271" s="202" t="s">
        <v>519</v>
      </c>
      <c r="O271" s="300" t="s">
        <v>473</v>
      </c>
      <c r="P271" s="202" t="s">
        <v>519</v>
      </c>
      <c r="Q271" t="s">
        <v>37</v>
      </c>
      <c r="T271">
        <v>828</v>
      </c>
      <c r="U271" s="7">
        <v>3</v>
      </c>
      <c r="V271" t="s">
        <v>1058</v>
      </c>
      <c r="W271" s="257" t="s">
        <v>1059</v>
      </c>
      <c r="X271" t="s">
        <v>1060</v>
      </c>
      <c r="Y271" s="316" t="s">
        <v>61</v>
      </c>
      <c r="Z271" s="8">
        <v>8</v>
      </c>
      <c r="AA271" s="202" t="str">
        <f t="shared" si="5"/>
        <v>Масло растительное</v>
      </c>
      <c r="AC271" t="s">
        <v>1198</v>
      </c>
      <c r="AD271" t="s">
        <v>1012</v>
      </c>
      <c r="AE271" t="s">
        <v>1494</v>
      </c>
    </row>
    <row r="272" spans="1:31" ht="15" customHeight="1" x14ac:dyDescent="0.25">
      <c r="A272" t="s">
        <v>153</v>
      </c>
      <c r="L272" s="202">
        <v>10</v>
      </c>
      <c r="M272" s="202" t="s">
        <v>534</v>
      </c>
      <c r="N272" s="202" t="s">
        <v>142</v>
      </c>
      <c r="O272" s="300" t="s">
        <v>142</v>
      </c>
      <c r="P272" s="202" t="s">
        <v>142</v>
      </c>
      <c r="Q272" t="s">
        <v>37</v>
      </c>
      <c r="T272">
        <v>829</v>
      </c>
      <c r="U272" s="7">
        <v>3</v>
      </c>
      <c r="V272" t="s">
        <v>1058</v>
      </c>
      <c r="W272" s="257" t="s">
        <v>1059</v>
      </c>
      <c r="X272" t="s">
        <v>1060</v>
      </c>
      <c r="Y272" s="316" t="s">
        <v>486</v>
      </c>
      <c r="Z272" s="8">
        <v>1</v>
      </c>
      <c r="AA272" s="202" t="str">
        <f t="shared" si="5"/>
        <v>Уксус</v>
      </c>
      <c r="AC272" t="s">
        <v>1198</v>
      </c>
      <c r="AD272" t="s">
        <v>1014</v>
      </c>
      <c r="AE272" t="s">
        <v>1494</v>
      </c>
    </row>
    <row r="273" spans="1:31" ht="15" customHeight="1" x14ac:dyDescent="0.25">
      <c r="A273" t="s">
        <v>153</v>
      </c>
      <c r="L273" s="202">
        <v>10</v>
      </c>
      <c r="M273" s="202" t="s">
        <v>534</v>
      </c>
      <c r="N273" s="202" t="s">
        <v>69</v>
      </c>
      <c r="O273" s="300" t="s">
        <v>69</v>
      </c>
      <c r="P273" s="202" t="s">
        <v>69</v>
      </c>
      <c r="Q273" t="s">
        <v>37</v>
      </c>
      <c r="T273">
        <v>830</v>
      </c>
      <c r="U273" s="7">
        <v>3</v>
      </c>
      <c r="V273" t="s">
        <v>1058</v>
      </c>
      <c r="W273" s="257" t="s">
        <v>1059</v>
      </c>
      <c r="X273" t="s">
        <v>1060</v>
      </c>
      <c r="Y273" s="316" t="s">
        <v>326</v>
      </c>
      <c r="Z273" s="8">
        <v>2</v>
      </c>
      <c r="AA273" s="202" t="str">
        <f t="shared" si="5"/>
        <v>Соль</v>
      </c>
      <c r="AC273" t="s">
        <v>1198</v>
      </c>
      <c r="AD273" t="s">
        <v>1016</v>
      </c>
      <c r="AE273" t="s">
        <v>1494</v>
      </c>
    </row>
    <row r="274" spans="1:31" ht="15" customHeight="1" x14ac:dyDescent="0.25">
      <c r="A274" t="s">
        <v>153</v>
      </c>
      <c r="L274" s="202">
        <v>10</v>
      </c>
      <c r="M274" s="202" t="s">
        <v>534</v>
      </c>
      <c r="N274" s="202" t="s">
        <v>323</v>
      </c>
      <c r="O274" s="300" t="s">
        <v>323</v>
      </c>
      <c r="P274" s="202" t="s">
        <v>323</v>
      </c>
      <c r="Q274" t="s">
        <v>37</v>
      </c>
      <c r="T274">
        <v>833</v>
      </c>
      <c r="U274" s="7">
        <v>3</v>
      </c>
      <c r="V274" t="s">
        <v>1058</v>
      </c>
      <c r="W274" s="257" t="s">
        <v>1059</v>
      </c>
      <c r="X274" t="s">
        <v>1060</v>
      </c>
      <c r="Y274" s="316" t="s">
        <v>558</v>
      </c>
      <c r="Z274" s="8">
        <v>150</v>
      </c>
      <c r="AA274" s="202" t="str">
        <f t="shared" si="5"/>
        <v>Общая масса готового блюда, г</v>
      </c>
      <c r="AC274" t="s">
        <v>1198</v>
      </c>
      <c r="AD274" t="s">
        <v>1022</v>
      </c>
      <c r="AE274" t="s">
        <v>1494</v>
      </c>
    </row>
    <row r="275" spans="1:31" ht="15" customHeight="1" x14ac:dyDescent="0.25">
      <c r="A275" t="s">
        <v>153</v>
      </c>
      <c r="L275" s="202">
        <v>10</v>
      </c>
      <c r="M275" s="202" t="s">
        <v>534</v>
      </c>
      <c r="N275" s="202" t="s">
        <v>323</v>
      </c>
      <c r="O275" s="300" t="s">
        <v>302</v>
      </c>
      <c r="P275" s="202" t="s">
        <v>323</v>
      </c>
      <c r="Q275" t="s">
        <v>37</v>
      </c>
      <c r="T275">
        <v>834</v>
      </c>
      <c r="U275" s="7">
        <v>3</v>
      </c>
      <c r="V275" t="s">
        <v>1058</v>
      </c>
      <c r="W275" s="257" t="s">
        <v>1059</v>
      </c>
      <c r="X275" t="s">
        <v>1060</v>
      </c>
      <c r="Y275" s="316" t="s">
        <v>109</v>
      </c>
      <c r="Z275" s="8">
        <v>121</v>
      </c>
      <c r="AA275" s="202" t="str">
        <f t="shared" si="5"/>
        <v>ОКГ</v>
      </c>
      <c r="AC275" t="s">
        <v>1198</v>
      </c>
      <c r="AD275" t="s">
        <v>1024</v>
      </c>
      <c r="AE275" t="s">
        <v>1494</v>
      </c>
    </row>
    <row r="276" spans="1:31" ht="15" customHeight="1" x14ac:dyDescent="0.25">
      <c r="A276" t="s">
        <v>153</v>
      </c>
      <c r="L276" s="202">
        <v>10</v>
      </c>
      <c r="M276" s="202" t="s">
        <v>534</v>
      </c>
      <c r="N276" s="202" t="s">
        <v>323</v>
      </c>
      <c r="O276" s="300" t="s">
        <v>420</v>
      </c>
      <c r="P276" s="202" t="s">
        <v>323</v>
      </c>
      <c r="Q276" t="s">
        <v>37</v>
      </c>
      <c r="T276">
        <v>806</v>
      </c>
      <c r="U276" s="7">
        <v>3</v>
      </c>
      <c r="V276" t="s">
        <v>1058</v>
      </c>
      <c r="W276" s="257" t="s">
        <v>1061</v>
      </c>
      <c r="X276" t="s">
        <v>1062</v>
      </c>
      <c r="Y276" s="316" t="s">
        <v>45</v>
      </c>
      <c r="Z276" s="8">
        <v>65</v>
      </c>
      <c r="AA276" s="202" t="str">
        <f t="shared" si="5"/>
        <v>Картофель</v>
      </c>
      <c r="AC276" t="s">
        <v>1198</v>
      </c>
      <c r="AD276" t="s">
        <v>156</v>
      </c>
      <c r="AE276" t="s">
        <v>1494</v>
      </c>
    </row>
    <row r="277" spans="1:31" ht="15" customHeight="1" x14ac:dyDescent="0.25">
      <c r="A277" t="s">
        <v>153</v>
      </c>
      <c r="L277" s="202">
        <v>10</v>
      </c>
      <c r="M277" s="202" t="s">
        <v>534</v>
      </c>
      <c r="N277" s="202" t="s">
        <v>74</v>
      </c>
      <c r="O277" s="300" t="s">
        <v>74</v>
      </c>
      <c r="P277" s="202" t="s">
        <v>74</v>
      </c>
      <c r="Q277" t="s">
        <v>37</v>
      </c>
      <c r="T277">
        <v>807</v>
      </c>
      <c r="U277" s="7">
        <v>3</v>
      </c>
      <c r="V277" t="s">
        <v>1058</v>
      </c>
      <c r="W277" s="257" t="s">
        <v>1061</v>
      </c>
      <c r="X277" t="s">
        <v>1062</v>
      </c>
      <c r="Y277" s="316" t="s">
        <v>48</v>
      </c>
      <c r="Z277" s="8">
        <v>42</v>
      </c>
      <c r="AA277" s="202" t="str">
        <f t="shared" si="5"/>
        <v>Свекла</v>
      </c>
      <c r="AC277" t="s">
        <v>1198</v>
      </c>
      <c r="AD277" t="s">
        <v>1027</v>
      </c>
      <c r="AE277" t="s">
        <v>1494</v>
      </c>
    </row>
    <row r="278" spans="1:31" ht="15" customHeight="1" x14ac:dyDescent="0.25">
      <c r="A278" t="s">
        <v>153</v>
      </c>
      <c r="L278" s="202">
        <v>10</v>
      </c>
      <c r="M278" s="202" t="s">
        <v>534</v>
      </c>
      <c r="N278" s="202" t="s">
        <v>484</v>
      </c>
      <c r="O278" s="300" t="s">
        <v>484</v>
      </c>
      <c r="P278" s="202" t="s">
        <v>484</v>
      </c>
      <c r="Q278" t="s">
        <v>37</v>
      </c>
      <c r="T278">
        <v>808</v>
      </c>
      <c r="U278" s="7">
        <v>3</v>
      </c>
      <c r="V278" t="s">
        <v>1058</v>
      </c>
      <c r="W278" s="257" t="s">
        <v>1061</v>
      </c>
      <c r="X278" t="s">
        <v>1062</v>
      </c>
      <c r="Y278" s="316" t="s">
        <v>46</v>
      </c>
      <c r="Z278" s="8">
        <v>20</v>
      </c>
      <c r="AA278" s="202" t="str">
        <f t="shared" si="5"/>
        <v>Морковь</v>
      </c>
      <c r="AC278" t="s">
        <v>1198</v>
      </c>
      <c r="AD278" t="s">
        <v>1029</v>
      </c>
      <c r="AE278" t="s">
        <v>1494</v>
      </c>
    </row>
    <row r="279" spans="1:31" ht="15" customHeight="1" x14ac:dyDescent="0.25">
      <c r="A279" t="s">
        <v>153</v>
      </c>
      <c r="L279" s="202">
        <v>10</v>
      </c>
      <c r="M279" s="202" t="s">
        <v>534</v>
      </c>
      <c r="N279" s="202" t="s">
        <v>53</v>
      </c>
      <c r="O279" s="300" t="s">
        <v>53</v>
      </c>
      <c r="P279" s="202" t="s">
        <v>53</v>
      </c>
      <c r="Q279" t="s">
        <v>37</v>
      </c>
      <c r="T279">
        <v>809</v>
      </c>
      <c r="U279" s="7">
        <v>3</v>
      </c>
      <c r="V279" t="s">
        <v>1058</v>
      </c>
      <c r="W279" s="257" t="s">
        <v>1061</v>
      </c>
      <c r="X279" t="s">
        <v>1062</v>
      </c>
      <c r="Y279" s="316" t="s">
        <v>445</v>
      </c>
      <c r="Z279" s="8">
        <v>35</v>
      </c>
      <c r="AA279" s="202" t="str">
        <f t="shared" si="5"/>
        <v>Огурцы консерв.</v>
      </c>
      <c r="AC279" t="s">
        <v>1199</v>
      </c>
      <c r="AD279" t="s">
        <v>1199</v>
      </c>
      <c r="AE279" t="s">
        <v>1494</v>
      </c>
    </row>
    <row r="280" spans="1:31" ht="15" customHeight="1" x14ac:dyDescent="0.25">
      <c r="A280" t="s">
        <v>153</v>
      </c>
      <c r="L280" s="202">
        <v>10</v>
      </c>
      <c r="M280" s="202" t="s">
        <v>534</v>
      </c>
      <c r="N280" s="202" t="s">
        <v>326</v>
      </c>
      <c r="O280" s="300" t="s">
        <v>326</v>
      </c>
      <c r="P280" s="202" t="s">
        <v>326</v>
      </c>
      <c r="Q280" t="s">
        <v>37</v>
      </c>
      <c r="T280">
        <v>810</v>
      </c>
      <c r="U280" s="7">
        <v>3</v>
      </c>
      <c r="V280" t="s">
        <v>1058</v>
      </c>
      <c r="W280" s="257" t="s">
        <v>1061</v>
      </c>
      <c r="X280" t="s">
        <v>1062</v>
      </c>
      <c r="Y280" s="316" t="s">
        <v>442</v>
      </c>
      <c r="Z280" s="8">
        <v>10</v>
      </c>
      <c r="AA280" s="202" t="str">
        <f t="shared" si="5"/>
        <v>Лук зеленый</v>
      </c>
      <c r="AC280" t="s">
        <v>1199</v>
      </c>
      <c r="AD280" t="s">
        <v>968</v>
      </c>
      <c r="AE280" t="s">
        <v>1494</v>
      </c>
    </row>
    <row r="281" spans="1:31" ht="15" customHeight="1" x14ac:dyDescent="0.25">
      <c r="A281" t="s">
        <v>153</v>
      </c>
      <c r="L281" s="202">
        <v>10</v>
      </c>
      <c r="M281" s="202" t="s">
        <v>534</v>
      </c>
      <c r="N281" s="202" t="s">
        <v>326</v>
      </c>
      <c r="O281" s="300" t="s">
        <v>55</v>
      </c>
      <c r="P281" s="202" t="s">
        <v>326</v>
      </c>
      <c r="Q281" t="s">
        <v>37</v>
      </c>
      <c r="T281">
        <v>811</v>
      </c>
      <c r="U281" s="7">
        <v>3</v>
      </c>
      <c r="V281" t="s">
        <v>1058</v>
      </c>
      <c r="W281" s="257" t="s">
        <v>1061</v>
      </c>
      <c r="X281" t="s">
        <v>1062</v>
      </c>
      <c r="Y281" s="316" t="s">
        <v>61</v>
      </c>
      <c r="Z281" s="8">
        <v>8</v>
      </c>
      <c r="AA281" s="202" t="str">
        <f t="shared" si="5"/>
        <v>Масло растительное</v>
      </c>
      <c r="AC281" t="s">
        <v>1199</v>
      </c>
      <c r="AD281" t="s">
        <v>970</v>
      </c>
      <c r="AE281" t="s">
        <v>1494</v>
      </c>
    </row>
    <row r="282" spans="1:31" ht="15" customHeight="1" x14ac:dyDescent="0.25">
      <c r="A282" t="s">
        <v>153</v>
      </c>
      <c r="L282" s="202">
        <v>10</v>
      </c>
      <c r="M282" s="202" t="s">
        <v>534</v>
      </c>
      <c r="N282" s="202" t="s">
        <v>326</v>
      </c>
      <c r="O282" s="300" t="s">
        <v>304</v>
      </c>
      <c r="P282" s="202" t="s">
        <v>326</v>
      </c>
      <c r="Q282" t="s">
        <v>37</v>
      </c>
      <c r="T282">
        <v>812</v>
      </c>
      <c r="U282" s="7">
        <v>3</v>
      </c>
      <c r="V282" t="s">
        <v>1058</v>
      </c>
      <c r="W282" s="257" t="s">
        <v>1061</v>
      </c>
      <c r="X282" t="s">
        <v>1062</v>
      </c>
      <c r="Y282" s="316" t="s">
        <v>486</v>
      </c>
      <c r="Z282" s="8">
        <v>1</v>
      </c>
      <c r="AA282" s="202" t="str">
        <f t="shared" si="5"/>
        <v>Уксус</v>
      </c>
      <c r="AC282" t="s">
        <v>1199</v>
      </c>
      <c r="AD282" t="s">
        <v>972</v>
      </c>
      <c r="AE282" t="s">
        <v>1494</v>
      </c>
    </row>
    <row r="283" spans="1:31" ht="15" customHeight="1" x14ac:dyDescent="0.25">
      <c r="A283" t="s">
        <v>153</v>
      </c>
      <c r="L283" s="202">
        <v>10</v>
      </c>
      <c r="M283" s="202" t="s">
        <v>534</v>
      </c>
      <c r="N283" s="202" t="s">
        <v>76</v>
      </c>
      <c r="O283" s="300" t="s">
        <v>76</v>
      </c>
      <c r="P283" s="202" t="s">
        <v>76</v>
      </c>
      <c r="Q283" t="s">
        <v>37</v>
      </c>
      <c r="T283">
        <v>813</v>
      </c>
      <c r="U283" s="7">
        <v>3</v>
      </c>
      <c r="V283" t="s">
        <v>1058</v>
      </c>
      <c r="W283" s="257" t="s">
        <v>1061</v>
      </c>
      <c r="X283" t="s">
        <v>1062</v>
      </c>
      <c r="Y283" s="316" t="s">
        <v>326</v>
      </c>
      <c r="Z283" s="8">
        <v>2</v>
      </c>
      <c r="AA283" s="202" t="str">
        <f t="shared" si="5"/>
        <v>Соль</v>
      </c>
      <c r="AC283" t="s">
        <v>1199</v>
      </c>
      <c r="AD283" t="s">
        <v>974</v>
      </c>
      <c r="AE283" t="s">
        <v>1494</v>
      </c>
    </row>
    <row r="284" spans="1:31" ht="15" customHeight="1" x14ac:dyDescent="0.25">
      <c r="A284" t="s">
        <v>153</v>
      </c>
      <c r="L284" s="202">
        <v>10</v>
      </c>
      <c r="M284" s="202" t="s">
        <v>534</v>
      </c>
      <c r="N284" s="202" t="s">
        <v>77</v>
      </c>
      <c r="O284" s="300" t="s">
        <v>77</v>
      </c>
      <c r="P284" s="202" t="s">
        <v>77</v>
      </c>
      <c r="Q284" t="s">
        <v>37</v>
      </c>
      <c r="T284">
        <v>820</v>
      </c>
      <c r="U284" s="7">
        <v>3</v>
      </c>
      <c r="V284" t="s">
        <v>1058</v>
      </c>
      <c r="W284" s="257" t="s">
        <v>1061</v>
      </c>
      <c r="X284" t="s">
        <v>1062</v>
      </c>
      <c r="Y284" s="316" t="s">
        <v>558</v>
      </c>
      <c r="Z284" s="8">
        <v>150</v>
      </c>
      <c r="AA284" s="202" t="str">
        <f t="shared" si="5"/>
        <v>Общая масса готового блюда, г</v>
      </c>
      <c r="AC284" t="s">
        <v>1199</v>
      </c>
      <c r="AD284" t="s">
        <v>976</v>
      </c>
      <c r="AE284" t="s">
        <v>1494</v>
      </c>
    </row>
    <row r="285" spans="1:31" ht="15" customHeight="1" x14ac:dyDescent="0.25">
      <c r="A285" t="s">
        <v>153</v>
      </c>
      <c r="L285" s="202">
        <v>10</v>
      </c>
      <c r="M285" s="202" t="s">
        <v>534</v>
      </c>
      <c r="N285" s="202" t="s">
        <v>1245</v>
      </c>
      <c r="O285" s="300" t="s">
        <v>1246</v>
      </c>
      <c r="P285" s="202" t="s">
        <v>1245</v>
      </c>
      <c r="Q285" t="s">
        <v>37</v>
      </c>
      <c r="T285">
        <v>821</v>
      </c>
      <c r="U285" s="7">
        <v>3</v>
      </c>
      <c r="V285" t="s">
        <v>1058</v>
      </c>
      <c r="W285" s="257" t="s">
        <v>1061</v>
      </c>
      <c r="X285" t="s">
        <v>1062</v>
      </c>
      <c r="Y285" s="316" t="s">
        <v>109</v>
      </c>
      <c r="Z285" s="8">
        <v>106</v>
      </c>
      <c r="AA285" s="202" t="str">
        <f t="shared" si="5"/>
        <v>ОКГ</v>
      </c>
      <c r="AC285" t="s">
        <v>1199</v>
      </c>
      <c r="AD285" t="s">
        <v>978</v>
      </c>
      <c r="AE285" t="s">
        <v>1494</v>
      </c>
    </row>
    <row r="286" spans="1:31" ht="15" customHeight="1" x14ac:dyDescent="0.25">
      <c r="A286" t="s">
        <v>153</v>
      </c>
      <c r="L286" s="202">
        <v>10</v>
      </c>
      <c r="M286" s="202" t="s">
        <v>534</v>
      </c>
      <c r="N286" s="202" t="s">
        <v>1245</v>
      </c>
      <c r="O286" s="300" t="s">
        <v>520</v>
      </c>
      <c r="P286" s="202" t="s">
        <v>1245</v>
      </c>
      <c r="Q286" t="s">
        <v>37</v>
      </c>
      <c r="T286">
        <v>848</v>
      </c>
      <c r="U286" s="7">
        <v>3</v>
      </c>
      <c r="V286" t="s">
        <v>1058</v>
      </c>
      <c r="W286" s="257" t="s">
        <v>1063</v>
      </c>
      <c r="X286" t="s">
        <v>1064</v>
      </c>
      <c r="Y286" s="316" t="s">
        <v>45</v>
      </c>
      <c r="Z286" s="8">
        <v>65</v>
      </c>
      <c r="AA286" s="202" t="str">
        <f t="shared" si="5"/>
        <v>Картофель</v>
      </c>
      <c r="AC286" t="s">
        <v>1199</v>
      </c>
      <c r="AD286" t="s">
        <v>980</v>
      </c>
      <c r="AE286" t="s">
        <v>1494</v>
      </c>
    </row>
    <row r="287" spans="1:31" ht="15" customHeight="1" x14ac:dyDescent="0.25">
      <c r="A287" t="s">
        <v>153</v>
      </c>
      <c r="L287" s="202">
        <v>10</v>
      </c>
      <c r="M287" s="202" t="s">
        <v>534</v>
      </c>
      <c r="N287" s="202" t="s">
        <v>1245</v>
      </c>
      <c r="O287" s="300" t="s">
        <v>79</v>
      </c>
      <c r="P287" s="202" t="s">
        <v>1245</v>
      </c>
      <c r="Q287" t="s">
        <v>37</v>
      </c>
      <c r="T287">
        <v>849</v>
      </c>
      <c r="U287" s="7">
        <v>3</v>
      </c>
      <c r="V287" t="s">
        <v>1058</v>
      </c>
      <c r="W287" s="257" t="s">
        <v>1063</v>
      </c>
      <c r="X287" t="s">
        <v>1064</v>
      </c>
      <c r="Y287" s="316" t="s">
        <v>48</v>
      </c>
      <c r="Z287" s="8">
        <v>40</v>
      </c>
      <c r="AA287" s="202" t="str">
        <f t="shared" si="5"/>
        <v>Свекла</v>
      </c>
      <c r="AC287" t="s">
        <v>1199</v>
      </c>
      <c r="AD287" t="s">
        <v>982</v>
      </c>
      <c r="AE287" t="s">
        <v>1494</v>
      </c>
    </row>
    <row r="288" spans="1:31" ht="15" customHeight="1" x14ac:dyDescent="0.25">
      <c r="A288" t="s">
        <v>153</v>
      </c>
      <c r="L288" s="202">
        <v>10</v>
      </c>
      <c r="M288" s="202" t="s">
        <v>534</v>
      </c>
      <c r="N288" s="202" t="s">
        <v>1245</v>
      </c>
      <c r="O288" s="300" t="s">
        <v>1245</v>
      </c>
      <c r="P288" s="202" t="s">
        <v>1245</v>
      </c>
      <c r="Q288" t="s">
        <v>37</v>
      </c>
      <c r="T288">
        <v>850</v>
      </c>
      <c r="U288" s="7">
        <v>3</v>
      </c>
      <c r="V288" t="s">
        <v>1058</v>
      </c>
      <c r="W288" s="257" t="s">
        <v>1063</v>
      </c>
      <c r="X288" t="s">
        <v>1064</v>
      </c>
      <c r="Y288" s="316" t="s">
        <v>46</v>
      </c>
      <c r="Z288" s="8">
        <v>20</v>
      </c>
      <c r="AA288" s="202" t="str">
        <f t="shared" si="5"/>
        <v>Морковь</v>
      </c>
      <c r="AC288" t="s">
        <v>1199</v>
      </c>
      <c r="AD288" t="s">
        <v>984</v>
      </c>
      <c r="AE288" t="s">
        <v>1494</v>
      </c>
    </row>
    <row r="289" spans="1:31" ht="15" customHeight="1" x14ac:dyDescent="0.25">
      <c r="A289" t="s">
        <v>153</v>
      </c>
      <c r="L289" s="202">
        <v>10</v>
      </c>
      <c r="M289" s="202" t="s">
        <v>534</v>
      </c>
      <c r="N289" s="202" t="s">
        <v>535</v>
      </c>
      <c r="O289" s="300" t="s">
        <v>535</v>
      </c>
      <c r="P289" s="202" t="s">
        <v>535</v>
      </c>
      <c r="Q289" t="s">
        <v>37</v>
      </c>
      <c r="T289">
        <v>851</v>
      </c>
      <c r="U289" s="7">
        <v>3</v>
      </c>
      <c r="V289" t="s">
        <v>1058</v>
      </c>
      <c r="W289" s="257" t="s">
        <v>1063</v>
      </c>
      <c r="X289" t="s">
        <v>1064</v>
      </c>
      <c r="Y289" s="316" t="s">
        <v>489</v>
      </c>
      <c r="Z289" s="8">
        <v>20</v>
      </c>
      <c r="AA289" s="202" t="str">
        <f t="shared" si="5"/>
        <v>Капуста консерв.</v>
      </c>
      <c r="AC289" t="s">
        <v>1199</v>
      </c>
      <c r="AD289" t="s">
        <v>986</v>
      </c>
      <c r="AE289" t="s">
        <v>1494</v>
      </c>
    </row>
    <row r="290" spans="1:31" ht="15" customHeight="1" x14ac:dyDescent="0.25">
      <c r="A290" t="s">
        <v>153</v>
      </c>
      <c r="L290" s="202">
        <v>11</v>
      </c>
      <c r="M290" s="202" t="s">
        <v>68</v>
      </c>
      <c r="N290" s="202" t="s">
        <v>330</v>
      </c>
      <c r="O290" s="300" t="s">
        <v>330</v>
      </c>
      <c r="P290" s="202" t="s">
        <v>330</v>
      </c>
      <c r="Q290" t="s">
        <v>540</v>
      </c>
      <c r="T290">
        <v>852</v>
      </c>
      <c r="U290" s="7">
        <v>3</v>
      </c>
      <c r="V290" t="s">
        <v>1058</v>
      </c>
      <c r="W290" s="257" t="s">
        <v>1063</v>
      </c>
      <c r="X290" t="s">
        <v>1064</v>
      </c>
      <c r="Y290" s="316" t="s">
        <v>32</v>
      </c>
      <c r="Z290" s="8">
        <v>10</v>
      </c>
      <c r="AA290" s="202" t="str">
        <f t="shared" si="5"/>
        <v>Лук репчатый</v>
      </c>
      <c r="AC290" t="s">
        <v>1199</v>
      </c>
      <c r="AD290" t="s">
        <v>1018</v>
      </c>
      <c r="AE290" t="s">
        <v>1494</v>
      </c>
    </row>
    <row r="291" spans="1:31" ht="15" customHeight="1" x14ac:dyDescent="0.25">
      <c r="A291" t="s">
        <v>153</v>
      </c>
      <c r="L291" s="202">
        <v>11</v>
      </c>
      <c r="M291" s="202" t="s">
        <v>68</v>
      </c>
      <c r="N291" s="202" t="s">
        <v>330</v>
      </c>
      <c r="O291" s="300" t="s">
        <v>315</v>
      </c>
      <c r="P291" s="202" t="s">
        <v>330</v>
      </c>
      <c r="Q291" t="s">
        <v>540</v>
      </c>
      <c r="T291">
        <v>853</v>
      </c>
      <c r="U291" s="7">
        <v>3</v>
      </c>
      <c r="V291" t="s">
        <v>1058</v>
      </c>
      <c r="W291" s="257" t="s">
        <v>1063</v>
      </c>
      <c r="X291" t="s">
        <v>1064</v>
      </c>
      <c r="Y291" s="316" t="s">
        <v>61</v>
      </c>
      <c r="Z291" s="8">
        <v>8</v>
      </c>
      <c r="AA291" s="202" t="str">
        <f t="shared" si="5"/>
        <v>Масло растительное</v>
      </c>
      <c r="AC291" t="s">
        <v>1199</v>
      </c>
      <c r="AD291" t="s">
        <v>1020</v>
      </c>
      <c r="AE291" t="s">
        <v>1494</v>
      </c>
    </row>
    <row r="292" spans="1:31" ht="15" customHeight="1" x14ac:dyDescent="0.25">
      <c r="A292" t="s">
        <v>153</v>
      </c>
      <c r="L292" s="202">
        <v>11</v>
      </c>
      <c r="M292" s="202" t="s">
        <v>68</v>
      </c>
      <c r="N292" s="202" t="s">
        <v>330</v>
      </c>
      <c r="O292" s="300" t="s">
        <v>478</v>
      </c>
      <c r="P292" s="202" t="s">
        <v>330</v>
      </c>
      <c r="Q292" t="s">
        <v>540</v>
      </c>
      <c r="T292">
        <v>854</v>
      </c>
      <c r="U292" s="7">
        <v>3</v>
      </c>
      <c r="V292" t="s">
        <v>1058</v>
      </c>
      <c r="W292" s="257" t="s">
        <v>1063</v>
      </c>
      <c r="X292" t="s">
        <v>1064</v>
      </c>
      <c r="Y292" s="316" t="s">
        <v>486</v>
      </c>
      <c r="Z292" s="8">
        <v>1</v>
      </c>
      <c r="AA292" s="202" t="str">
        <f t="shared" si="5"/>
        <v>Уксус</v>
      </c>
      <c r="AC292" t="s">
        <v>1199</v>
      </c>
      <c r="AD292" t="s">
        <v>1031</v>
      </c>
      <c r="AE292" t="s">
        <v>1494</v>
      </c>
    </row>
    <row r="293" spans="1:31" ht="15" customHeight="1" x14ac:dyDescent="0.25">
      <c r="A293" t="s">
        <v>153</v>
      </c>
      <c r="L293" s="202">
        <v>11</v>
      </c>
      <c r="M293" s="202" t="s">
        <v>68</v>
      </c>
      <c r="N293" s="202" t="s">
        <v>479</v>
      </c>
      <c r="O293" s="300" t="s">
        <v>479</v>
      </c>
      <c r="P293" s="202" t="s">
        <v>479</v>
      </c>
      <c r="Q293" t="s">
        <v>540</v>
      </c>
      <c r="T293">
        <v>855</v>
      </c>
      <c r="U293" s="7">
        <v>3</v>
      </c>
      <c r="V293" t="s">
        <v>1058</v>
      </c>
      <c r="W293" s="257" t="s">
        <v>1063</v>
      </c>
      <c r="X293" t="s">
        <v>1064</v>
      </c>
      <c r="Y293" s="316" t="s">
        <v>326</v>
      </c>
      <c r="Z293" s="8">
        <v>2</v>
      </c>
      <c r="AA293" s="202" t="str">
        <f t="shared" si="5"/>
        <v>Соль</v>
      </c>
      <c r="AC293" t="s">
        <v>1199</v>
      </c>
      <c r="AD293" t="s">
        <v>1033</v>
      </c>
      <c r="AE293" t="s">
        <v>1494</v>
      </c>
    </row>
    <row r="294" spans="1:31" ht="15" customHeight="1" x14ac:dyDescent="0.25">
      <c r="A294" t="s">
        <v>153</v>
      </c>
      <c r="L294" s="202">
        <v>11</v>
      </c>
      <c r="M294" s="202" t="s">
        <v>68</v>
      </c>
      <c r="N294" s="202" t="s">
        <v>479</v>
      </c>
      <c r="O294" s="300" t="s">
        <v>480</v>
      </c>
      <c r="P294" s="202" t="s">
        <v>479</v>
      </c>
      <c r="Q294" t="s">
        <v>540</v>
      </c>
      <c r="T294">
        <v>859</v>
      </c>
      <c r="U294" s="7">
        <v>3</v>
      </c>
      <c r="V294" t="s">
        <v>1058</v>
      </c>
      <c r="W294" s="257" t="s">
        <v>1063</v>
      </c>
      <c r="X294" t="s">
        <v>1064</v>
      </c>
      <c r="Y294" s="316" t="s">
        <v>558</v>
      </c>
      <c r="Z294" s="8">
        <v>150</v>
      </c>
      <c r="AA294" s="202" t="str">
        <f t="shared" si="5"/>
        <v>Общая масса готового блюда, г</v>
      </c>
      <c r="AC294" t="s">
        <v>1199</v>
      </c>
      <c r="AD294" t="s">
        <v>1035</v>
      </c>
      <c r="AE294" t="s">
        <v>1494</v>
      </c>
    </row>
    <row r="295" spans="1:31" ht="15" customHeight="1" x14ac:dyDescent="0.25">
      <c r="A295" t="s">
        <v>153</v>
      </c>
      <c r="L295" s="202">
        <v>11</v>
      </c>
      <c r="M295" s="202" t="s">
        <v>68</v>
      </c>
      <c r="N295" s="202" t="s">
        <v>179</v>
      </c>
      <c r="O295" s="300" t="s">
        <v>179</v>
      </c>
      <c r="P295" s="202" t="s">
        <v>179</v>
      </c>
      <c r="Q295" t="s">
        <v>37</v>
      </c>
      <c r="T295">
        <v>860</v>
      </c>
      <c r="U295" s="7">
        <v>3</v>
      </c>
      <c r="V295" t="s">
        <v>1058</v>
      </c>
      <c r="W295" s="257" t="s">
        <v>1063</v>
      </c>
      <c r="X295" t="s">
        <v>1064</v>
      </c>
      <c r="Y295" s="316" t="s">
        <v>109</v>
      </c>
      <c r="Z295" s="8">
        <v>111</v>
      </c>
      <c r="AA295" s="202" t="str">
        <f t="shared" si="5"/>
        <v>ОКГ</v>
      </c>
      <c r="AC295" t="s">
        <v>1199</v>
      </c>
      <c r="AD295" t="s">
        <v>1037</v>
      </c>
      <c r="AE295" t="s">
        <v>1494</v>
      </c>
    </row>
    <row r="296" spans="1:31" ht="15" customHeight="1" x14ac:dyDescent="0.25">
      <c r="A296" t="s">
        <v>153</v>
      </c>
      <c r="L296" s="202">
        <v>11</v>
      </c>
      <c r="M296" s="202" t="s">
        <v>68</v>
      </c>
      <c r="N296" s="202" t="s">
        <v>142</v>
      </c>
      <c r="O296" s="300" t="s">
        <v>481</v>
      </c>
      <c r="P296" s="202" t="s">
        <v>142</v>
      </c>
      <c r="Q296" t="s">
        <v>37</v>
      </c>
      <c r="T296">
        <v>861</v>
      </c>
      <c r="U296" s="7">
        <v>3</v>
      </c>
      <c r="V296" t="s">
        <v>1058</v>
      </c>
      <c r="W296" s="257" t="s">
        <v>1063</v>
      </c>
      <c r="X296" t="s">
        <v>1064</v>
      </c>
      <c r="Y296" s="316" t="s">
        <v>1239</v>
      </c>
      <c r="Z296" s="8">
        <v>30</v>
      </c>
      <c r="AA296" s="202" t="str">
        <f t="shared" si="5"/>
        <v>Сельдь с/г</v>
      </c>
      <c r="AC296" t="s">
        <v>1199</v>
      </c>
      <c r="AD296" t="s">
        <v>1039</v>
      </c>
      <c r="AE296" t="s">
        <v>1494</v>
      </c>
    </row>
    <row r="297" spans="1:31" ht="15" customHeight="1" x14ac:dyDescent="0.25">
      <c r="A297" t="s">
        <v>153</v>
      </c>
      <c r="L297" s="202">
        <v>11</v>
      </c>
      <c r="M297" s="202" t="s">
        <v>68</v>
      </c>
      <c r="N297" s="202" t="s">
        <v>69</v>
      </c>
      <c r="O297" s="300" t="s">
        <v>310</v>
      </c>
      <c r="P297" s="202" t="s">
        <v>69</v>
      </c>
      <c r="Q297" t="s">
        <v>37</v>
      </c>
      <c r="T297">
        <v>865</v>
      </c>
      <c r="U297" s="7">
        <v>3</v>
      </c>
      <c r="V297" t="s">
        <v>1058</v>
      </c>
      <c r="W297" s="257" t="s">
        <v>1063</v>
      </c>
      <c r="X297" t="s">
        <v>1064</v>
      </c>
      <c r="Y297" s="316" t="s">
        <v>445</v>
      </c>
      <c r="Z297" s="8">
        <v>10</v>
      </c>
      <c r="AA297" s="202" t="str">
        <f t="shared" si="5"/>
        <v>Огурцы консерв.</v>
      </c>
      <c r="AC297" t="s">
        <v>1199</v>
      </c>
      <c r="AD297" t="s">
        <v>1041</v>
      </c>
      <c r="AE297" t="s">
        <v>1494</v>
      </c>
    </row>
    <row r="298" spans="1:31" ht="15" customHeight="1" x14ac:dyDescent="0.25">
      <c r="A298" t="s">
        <v>153</v>
      </c>
      <c r="L298" s="202">
        <v>11</v>
      </c>
      <c r="M298" s="202" t="s">
        <v>68</v>
      </c>
      <c r="N298" s="202" t="s">
        <v>324</v>
      </c>
      <c r="O298" s="300" t="s">
        <v>324</v>
      </c>
      <c r="P298" s="202" t="s">
        <v>324</v>
      </c>
      <c r="Q298" t="s">
        <v>37</v>
      </c>
      <c r="T298">
        <v>835</v>
      </c>
      <c r="U298" s="7">
        <v>3</v>
      </c>
      <c r="V298" t="s">
        <v>1058</v>
      </c>
      <c r="W298" s="257" t="s">
        <v>1065</v>
      </c>
      <c r="X298" t="s">
        <v>1066</v>
      </c>
      <c r="Y298" s="316" t="s">
        <v>45</v>
      </c>
      <c r="Z298" s="8">
        <v>65</v>
      </c>
      <c r="AA298" s="202" t="str">
        <f t="shared" si="5"/>
        <v>Картофель</v>
      </c>
      <c r="AC298" t="s">
        <v>1199</v>
      </c>
      <c r="AD298" t="s">
        <v>1043</v>
      </c>
      <c r="AE298" t="s">
        <v>1494</v>
      </c>
    </row>
    <row r="299" spans="1:31" ht="15" customHeight="1" x14ac:dyDescent="0.25">
      <c r="A299" t="s">
        <v>153</v>
      </c>
      <c r="L299" s="202">
        <v>11</v>
      </c>
      <c r="M299" s="202" t="s">
        <v>68</v>
      </c>
      <c r="N299" s="202" t="s">
        <v>324</v>
      </c>
      <c r="O299" s="300" t="s">
        <v>300</v>
      </c>
      <c r="P299" s="202" t="s">
        <v>324</v>
      </c>
      <c r="Q299" t="s">
        <v>37</v>
      </c>
      <c r="T299">
        <v>836</v>
      </c>
      <c r="U299" s="7">
        <v>3</v>
      </c>
      <c r="V299" t="s">
        <v>1058</v>
      </c>
      <c r="W299" s="257" t="s">
        <v>1065</v>
      </c>
      <c r="X299" t="s">
        <v>1066</v>
      </c>
      <c r="Y299" s="316" t="s">
        <v>48</v>
      </c>
      <c r="Z299" s="8">
        <v>38</v>
      </c>
      <c r="AA299" s="202" t="str">
        <f t="shared" si="5"/>
        <v>Свекла</v>
      </c>
      <c r="AC299" t="s">
        <v>1199</v>
      </c>
      <c r="AD299" t="s">
        <v>1045</v>
      </c>
      <c r="AE299" t="s">
        <v>1494</v>
      </c>
    </row>
    <row r="300" spans="1:31" ht="15" customHeight="1" x14ac:dyDescent="0.25">
      <c r="A300" t="s">
        <v>153</v>
      </c>
      <c r="L300" s="202">
        <v>11</v>
      </c>
      <c r="M300" s="202" t="s">
        <v>68</v>
      </c>
      <c r="N300" s="202" t="s">
        <v>423</v>
      </c>
      <c r="O300" s="300" t="s">
        <v>423</v>
      </c>
      <c r="P300" s="202" t="s">
        <v>423</v>
      </c>
      <c r="Q300" t="s">
        <v>37</v>
      </c>
      <c r="T300">
        <v>837</v>
      </c>
      <c r="U300" s="7">
        <v>3</v>
      </c>
      <c r="V300" t="s">
        <v>1058</v>
      </c>
      <c r="W300" s="257" t="s">
        <v>1065</v>
      </c>
      <c r="X300" t="s">
        <v>1066</v>
      </c>
      <c r="Y300" s="316" t="s">
        <v>46</v>
      </c>
      <c r="Z300" s="8">
        <v>20</v>
      </c>
      <c r="AA300" s="202" t="str">
        <f t="shared" si="5"/>
        <v>Морковь</v>
      </c>
      <c r="AC300" t="s">
        <v>1199</v>
      </c>
      <c r="AD300" t="s">
        <v>1047</v>
      </c>
      <c r="AE300" t="s">
        <v>1494</v>
      </c>
    </row>
    <row r="301" spans="1:31" ht="15" customHeight="1" x14ac:dyDescent="0.25">
      <c r="A301" t="s">
        <v>153</v>
      </c>
      <c r="L301" s="202">
        <v>11</v>
      </c>
      <c r="M301" s="202" t="s">
        <v>68</v>
      </c>
      <c r="N301" s="202" t="s">
        <v>423</v>
      </c>
      <c r="O301" s="300" t="s">
        <v>482</v>
      </c>
      <c r="P301" s="202" t="s">
        <v>423</v>
      </c>
      <c r="Q301" t="s">
        <v>37</v>
      </c>
      <c r="T301">
        <v>838</v>
      </c>
      <c r="U301" s="7">
        <v>3</v>
      </c>
      <c r="V301" t="s">
        <v>1058</v>
      </c>
      <c r="W301" s="257" t="s">
        <v>1065</v>
      </c>
      <c r="X301" t="s">
        <v>1066</v>
      </c>
      <c r="Y301" s="316" t="s">
        <v>445</v>
      </c>
      <c r="Z301" s="8">
        <v>25</v>
      </c>
      <c r="AA301" s="202" t="str">
        <f t="shared" si="5"/>
        <v>Огурцы консерв.</v>
      </c>
      <c r="AC301" t="s">
        <v>1199</v>
      </c>
      <c r="AD301" t="s">
        <v>1049</v>
      </c>
      <c r="AE301" t="s">
        <v>1494</v>
      </c>
    </row>
    <row r="302" spans="1:31" ht="15" customHeight="1" x14ac:dyDescent="0.25">
      <c r="A302" t="s">
        <v>153</v>
      </c>
      <c r="L302" s="202">
        <v>11</v>
      </c>
      <c r="M302" s="202" t="s">
        <v>68</v>
      </c>
      <c r="N302" s="202" t="s">
        <v>84</v>
      </c>
      <c r="O302" s="300" t="s">
        <v>84</v>
      </c>
      <c r="P302" s="202" t="s">
        <v>84</v>
      </c>
      <c r="Q302" t="s">
        <v>37</v>
      </c>
      <c r="T302">
        <v>839</v>
      </c>
      <c r="U302" s="7">
        <v>3</v>
      </c>
      <c r="V302" t="s">
        <v>1058</v>
      </c>
      <c r="W302" s="257" t="s">
        <v>1065</v>
      </c>
      <c r="X302" t="s">
        <v>1066</v>
      </c>
      <c r="Y302" s="316" t="s">
        <v>32</v>
      </c>
      <c r="Z302" s="8">
        <v>10</v>
      </c>
      <c r="AA302" s="202" t="str">
        <f t="shared" si="5"/>
        <v>Лук репчатый</v>
      </c>
      <c r="AC302" t="s">
        <v>1199</v>
      </c>
      <c r="AD302" t="s">
        <v>1051</v>
      </c>
      <c r="AE302" t="s">
        <v>1494</v>
      </c>
    </row>
    <row r="303" spans="1:31" ht="15" customHeight="1" x14ac:dyDescent="0.25">
      <c r="A303" t="s">
        <v>153</v>
      </c>
      <c r="L303" s="202">
        <v>11</v>
      </c>
      <c r="M303" s="202" t="s">
        <v>68</v>
      </c>
      <c r="N303" s="202" t="s">
        <v>72</v>
      </c>
      <c r="O303" s="300" t="s">
        <v>307</v>
      </c>
      <c r="P303" s="202" t="s">
        <v>72</v>
      </c>
      <c r="Q303" t="s">
        <v>37</v>
      </c>
      <c r="T303">
        <v>840</v>
      </c>
      <c r="U303" s="7">
        <v>3</v>
      </c>
      <c r="V303" t="s">
        <v>1058</v>
      </c>
      <c r="W303" s="257" t="s">
        <v>1065</v>
      </c>
      <c r="X303" t="s">
        <v>1066</v>
      </c>
      <c r="Y303" s="316" t="s">
        <v>61</v>
      </c>
      <c r="Z303" s="8">
        <v>8</v>
      </c>
      <c r="AA303" s="202" t="str">
        <f t="shared" si="5"/>
        <v>Масло растительное</v>
      </c>
      <c r="AC303" t="s">
        <v>1199</v>
      </c>
      <c r="AD303" t="s">
        <v>1053</v>
      </c>
      <c r="AE303" t="s">
        <v>1494</v>
      </c>
    </row>
    <row r="304" spans="1:31" ht="15" customHeight="1" x14ac:dyDescent="0.25">
      <c r="A304" t="s">
        <v>153</v>
      </c>
      <c r="L304" s="202">
        <v>11</v>
      </c>
      <c r="M304" s="202" t="s">
        <v>68</v>
      </c>
      <c r="N304" s="202" t="s">
        <v>72</v>
      </c>
      <c r="O304" s="300" t="s">
        <v>72</v>
      </c>
      <c r="P304" s="202" t="s">
        <v>72</v>
      </c>
      <c r="Q304" t="s">
        <v>37</v>
      </c>
      <c r="T304">
        <v>841</v>
      </c>
      <c r="U304" s="7">
        <v>3</v>
      </c>
      <c r="V304" t="s">
        <v>1058</v>
      </c>
      <c r="W304" s="257" t="s">
        <v>1065</v>
      </c>
      <c r="X304" t="s">
        <v>1066</v>
      </c>
      <c r="Y304" s="316" t="s">
        <v>486</v>
      </c>
      <c r="Z304" s="8">
        <v>1</v>
      </c>
      <c r="AA304" s="202" t="str">
        <f t="shared" si="5"/>
        <v>Уксус</v>
      </c>
      <c r="AC304" t="s">
        <v>1199</v>
      </c>
      <c r="AD304" t="s">
        <v>1055</v>
      </c>
      <c r="AE304" t="s">
        <v>1494</v>
      </c>
    </row>
    <row r="305" spans="1:31" ht="15" customHeight="1" x14ac:dyDescent="0.25">
      <c r="A305" t="s">
        <v>153</v>
      </c>
      <c r="L305" s="202">
        <v>11</v>
      </c>
      <c r="M305" s="202" t="s">
        <v>68</v>
      </c>
      <c r="N305" s="202" t="s">
        <v>72</v>
      </c>
      <c r="O305" s="300" t="s">
        <v>483</v>
      </c>
      <c r="P305" s="202" t="s">
        <v>72</v>
      </c>
      <c r="Q305" t="s">
        <v>37</v>
      </c>
      <c r="T305">
        <v>842</v>
      </c>
      <c r="U305" s="7">
        <v>3</v>
      </c>
      <c r="V305" t="s">
        <v>1058</v>
      </c>
      <c r="W305" s="257" t="s">
        <v>1065</v>
      </c>
      <c r="X305" t="s">
        <v>1066</v>
      </c>
      <c r="Y305" s="316" t="s">
        <v>326</v>
      </c>
      <c r="Z305" s="8">
        <v>2</v>
      </c>
      <c r="AA305" s="202" t="str">
        <f t="shared" si="5"/>
        <v>Соль</v>
      </c>
      <c r="AC305" t="s">
        <v>1199</v>
      </c>
      <c r="AD305" t="s">
        <v>1057</v>
      </c>
      <c r="AE305" t="s">
        <v>1494</v>
      </c>
    </row>
    <row r="306" spans="1:31" ht="15" customHeight="1" x14ac:dyDescent="0.25">
      <c r="A306" t="s">
        <v>153</v>
      </c>
      <c r="L306" s="202">
        <v>11</v>
      </c>
      <c r="M306" s="202" t="s">
        <v>68</v>
      </c>
      <c r="N306" s="202" t="s">
        <v>73</v>
      </c>
      <c r="O306" s="300" t="s">
        <v>73</v>
      </c>
      <c r="P306" s="202" t="s">
        <v>73</v>
      </c>
      <c r="Q306" t="s">
        <v>37</v>
      </c>
      <c r="T306">
        <v>846</v>
      </c>
      <c r="U306" s="7">
        <v>3</v>
      </c>
      <c r="V306" t="s">
        <v>1058</v>
      </c>
      <c r="W306" s="257" t="s">
        <v>1065</v>
      </c>
      <c r="X306" t="s">
        <v>1066</v>
      </c>
      <c r="Y306" s="316" t="s">
        <v>558</v>
      </c>
      <c r="Z306" s="8">
        <v>150</v>
      </c>
      <c r="AA306" s="202" t="str">
        <f t="shared" si="5"/>
        <v>Общая масса готового блюда, г</v>
      </c>
      <c r="AC306" t="s">
        <v>1200</v>
      </c>
      <c r="AD306" t="s">
        <v>1200</v>
      </c>
      <c r="AE306" t="s">
        <v>1495</v>
      </c>
    </row>
    <row r="307" spans="1:31" ht="15" customHeight="1" x14ac:dyDescent="0.25">
      <c r="A307" t="s">
        <v>153</v>
      </c>
      <c r="L307" s="202">
        <v>11</v>
      </c>
      <c r="M307" s="202" t="s">
        <v>68</v>
      </c>
      <c r="N307" s="202" t="s">
        <v>73</v>
      </c>
      <c r="O307" s="300" t="s">
        <v>301</v>
      </c>
      <c r="P307" s="202" t="s">
        <v>73</v>
      </c>
      <c r="Q307" t="s">
        <v>37</v>
      </c>
      <c r="T307">
        <v>847</v>
      </c>
      <c r="U307" s="7">
        <v>3</v>
      </c>
      <c r="V307" t="s">
        <v>1058</v>
      </c>
      <c r="W307" s="257" t="s">
        <v>1065</v>
      </c>
      <c r="X307" t="s">
        <v>1066</v>
      </c>
      <c r="Y307" s="316" t="s">
        <v>109</v>
      </c>
      <c r="Z307" s="8">
        <v>107</v>
      </c>
      <c r="AA307" s="202" t="str">
        <f t="shared" si="5"/>
        <v>ОКГ</v>
      </c>
      <c r="AC307" t="s">
        <v>1200</v>
      </c>
      <c r="AD307" t="s">
        <v>1337</v>
      </c>
      <c r="AE307" t="s">
        <v>1495</v>
      </c>
    </row>
    <row r="308" spans="1:31" ht="15" customHeight="1" x14ac:dyDescent="0.25">
      <c r="A308" t="s">
        <v>153</v>
      </c>
      <c r="L308" s="202">
        <v>11</v>
      </c>
      <c r="M308" s="202" t="s">
        <v>68</v>
      </c>
      <c r="N308" s="202" t="s">
        <v>74</v>
      </c>
      <c r="O308" s="300" t="s">
        <v>308</v>
      </c>
      <c r="P308" s="202" t="s">
        <v>74</v>
      </c>
      <c r="Q308" t="s">
        <v>37</v>
      </c>
      <c r="T308">
        <v>875</v>
      </c>
      <c r="U308" s="7">
        <v>3</v>
      </c>
      <c r="V308" t="s">
        <v>1058</v>
      </c>
      <c r="W308" s="257" t="s">
        <v>1067</v>
      </c>
      <c r="X308" t="s">
        <v>1068</v>
      </c>
      <c r="Y308" s="316" t="s">
        <v>208</v>
      </c>
      <c r="Z308" s="8">
        <v>5</v>
      </c>
      <c r="AA308" s="202" t="str">
        <f t="shared" si="5"/>
        <v>Перловая</v>
      </c>
      <c r="AC308" t="s">
        <v>1200</v>
      </c>
      <c r="AD308" t="s">
        <v>163</v>
      </c>
      <c r="AE308" t="s">
        <v>1495</v>
      </c>
    </row>
    <row r="309" spans="1:31" ht="15" customHeight="1" x14ac:dyDescent="0.25">
      <c r="A309" t="s">
        <v>153</v>
      </c>
      <c r="L309" s="202">
        <v>11</v>
      </c>
      <c r="M309" s="202" t="s">
        <v>68</v>
      </c>
      <c r="N309" s="202" t="s">
        <v>484</v>
      </c>
      <c r="O309" s="300" t="s">
        <v>484</v>
      </c>
      <c r="P309" s="202" t="s">
        <v>484</v>
      </c>
      <c r="Q309" t="s">
        <v>37</v>
      </c>
      <c r="T309">
        <v>876</v>
      </c>
      <c r="U309" s="7">
        <v>3</v>
      </c>
      <c r="V309" t="s">
        <v>1058</v>
      </c>
      <c r="W309" s="257" t="s">
        <v>1067</v>
      </c>
      <c r="X309" t="s">
        <v>1068</v>
      </c>
      <c r="Y309" s="316" t="s">
        <v>48</v>
      </c>
      <c r="Z309" s="8">
        <v>40</v>
      </c>
      <c r="AA309" s="202" t="str">
        <f t="shared" si="5"/>
        <v>Свекла</v>
      </c>
      <c r="AC309" t="s">
        <v>1200</v>
      </c>
      <c r="AD309" t="s">
        <v>1083</v>
      </c>
      <c r="AE309" t="s">
        <v>1495</v>
      </c>
    </row>
    <row r="310" spans="1:31" ht="15" customHeight="1" x14ac:dyDescent="0.25">
      <c r="A310" t="s">
        <v>153</v>
      </c>
      <c r="L310" s="202">
        <v>11</v>
      </c>
      <c r="M310" s="202" t="s">
        <v>68</v>
      </c>
      <c r="N310" s="202" t="s">
        <v>484</v>
      </c>
      <c r="O310" s="300" t="s">
        <v>309</v>
      </c>
      <c r="P310" s="202" t="s">
        <v>484</v>
      </c>
      <c r="Q310" t="s">
        <v>37</v>
      </c>
      <c r="T310">
        <v>877</v>
      </c>
      <c r="U310" s="7">
        <v>3</v>
      </c>
      <c r="V310" t="s">
        <v>1058</v>
      </c>
      <c r="W310" s="257" t="s">
        <v>1067</v>
      </c>
      <c r="X310" t="s">
        <v>1068</v>
      </c>
      <c r="Y310" s="316" t="s">
        <v>45</v>
      </c>
      <c r="Z310" s="8">
        <v>40</v>
      </c>
      <c r="AA310" s="202" t="str">
        <f t="shared" si="5"/>
        <v>Картофель</v>
      </c>
      <c r="AC310" t="s">
        <v>1200</v>
      </c>
      <c r="AD310" t="s">
        <v>1085</v>
      </c>
      <c r="AE310" t="s">
        <v>1495</v>
      </c>
    </row>
    <row r="311" spans="1:31" ht="15" customHeight="1" x14ac:dyDescent="0.25">
      <c r="A311" t="s">
        <v>153</v>
      </c>
      <c r="L311" s="202">
        <v>11</v>
      </c>
      <c r="M311" s="202" t="s">
        <v>68</v>
      </c>
      <c r="N311" s="202" t="s">
        <v>491</v>
      </c>
      <c r="O311" s="300" t="s">
        <v>491</v>
      </c>
      <c r="P311" s="202" t="s">
        <v>491</v>
      </c>
      <c r="Q311" t="s">
        <v>37</v>
      </c>
      <c r="T311">
        <v>878</v>
      </c>
      <c r="U311" s="7">
        <v>3</v>
      </c>
      <c r="V311" t="s">
        <v>1058</v>
      </c>
      <c r="W311" s="257" t="s">
        <v>1067</v>
      </c>
      <c r="X311" t="s">
        <v>1068</v>
      </c>
      <c r="Y311" s="316" t="s">
        <v>46</v>
      </c>
      <c r="Z311" s="8">
        <v>12</v>
      </c>
      <c r="AA311" s="202" t="str">
        <f t="shared" si="5"/>
        <v>Морковь</v>
      </c>
      <c r="AC311" t="s">
        <v>1200</v>
      </c>
      <c r="AD311" t="s">
        <v>1101</v>
      </c>
      <c r="AE311" t="s">
        <v>1495</v>
      </c>
    </row>
    <row r="312" spans="1:31" ht="15" customHeight="1" x14ac:dyDescent="0.25">
      <c r="A312" t="s">
        <v>153</v>
      </c>
      <c r="L312" s="202">
        <v>11</v>
      </c>
      <c r="M312" s="202" t="s">
        <v>68</v>
      </c>
      <c r="N312" s="202" t="s">
        <v>536</v>
      </c>
      <c r="O312" s="300" t="s">
        <v>536</v>
      </c>
      <c r="P312" s="202" t="s">
        <v>536</v>
      </c>
      <c r="Q312" t="s">
        <v>37</v>
      </c>
      <c r="T312">
        <v>879</v>
      </c>
      <c r="U312" s="7">
        <v>3</v>
      </c>
      <c r="V312" t="s">
        <v>1058</v>
      </c>
      <c r="W312" s="257" t="s">
        <v>1067</v>
      </c>
      <c r="X312" t="s">
        <v>1068</v>
      </c>
      <c r="Y312" s="316" t="s">
        <v>449</v>
      </c>
      <c r="Z312" s="8">
        <v>20</v>
      </c>
      <c r="AA312" s="202" t="str">
        <f t="shared" si="5"/>
        <v>Помидоры консерв.</v>
      </c>
      <c r="AC312" t="s">
        <v>1200</v>
      </c>
      <c r="AD312" t="s">
        <v>1103</v>
      </c>
      <c r="AE312" t="s">
        <v>1495</v>
      </c>
    </row>
    <row r="313" spans="1:31" ht="15" customHeight="1" x14ac:dyDescent="0.25">
      <c r="A313" t="s">
        <v>153</v>
      </c>
      <c r="L313" s="202">
        <v>11</v>
      </c>
      <c r="M313" s="202" t="s">
        <v>68</v>
      </c>
      <c r="N313" s="202" t="s">
        <v>53</v>
      </c>
      <c r="O313" s="300" t="s">
        <v>53</v>
      </c>
      <c r="P313" s="202" t="s">
        <v>53</v>
      </c>
      <c r="Q313" t="s">
        <v>37</v>
      </c>
      <c r="T313">
        <v>880</v>
      </c>
      <c r="U313" s="7">
        <v>3</v>
      </c>
      <c r="V313" t="s">
        <v>1058</v>
      </c>
      <c r="W313" s="257" t="s">
        <v>1067</v>
      </c>
      <c r="X313" t="s">
        <v>1068</v>
      </c>
      <c r="Y313" s="316" t="s">
        <v>32</v>
      </c>
      <c r="Z313" s="8">
        <v>10</v>
      </c>
      <c r="AA313" s="202" t="str">
        <f t="shared" si="5"/>
        <v>Лук репчатый</v>
      </c>
      <c r="AC313" t="s">
        <v>1200</v>
      </c>
      <c r="AD313" t="s">
        <v>1351</v>
      </c>
      <c r="AE313" t="s">
        <v>1495</v>
      </c>
    </row>
    <row r="314" spans="1:31" ht="15" customHeight="1" x14ac:dyDescent="0.25">
      <c r="A314" t="s">
        <v>153</v>
      </c>
      <c r="L314" s="202">
        <v>11</v>
      </c>
      <c r="M314" s="202" t="s">
        <v>68</v>
      </c>
      <c r="N314" s="202" t="s">
        <v>53</v>
      </c>
      <c r="O314" s="300" t="s">
        <v>303</v>
      </c>
      <c r="P314" s="202" t="s">
        <v>53</v>
      </c>
      <c r="Q314" t="s">
        <v>37</v>
      </c>
      <c r="T314">
        <v>881</v>
      </c>
      <c r="U314" s="7">
        <v>3</v>
      </c>
      <c r="V314" t="s">
        <v>1058</v>
      </c>
      <c r="W314" s="257" t="s">
        <v>1067</v>
      </c>
      <c r="X314" t="s">
        <v>1068</v>
      </c>
      <c r="Y314" s="316" t="s">
        <v>61</v>
      </c>
      <c r="Z314" s="8">
        <v>8</v>
      </c>
      <c r="AA314" s="202" t="str">
        <f t="shared" si="5"/>
        <v>Масло растительное</v>
      </c>
      <c r="AC314" t="s">
        <v>1200</v>
      </c>
      <c r="AD314" t="s">
        <v>1105</v>
      </c>
      <c r="AE314" t="s">
        <v>1495</v>
      </c>
    </row>
    <row r="315" spans="1:31" ht="15" customHeight="1" x14ac:dyDescent="0.25">
      <c r="A315" t="s">
        <v>153</v>
      </c>
      <c r="L315" s="202">
        <v>11</v>
      </c>
      <c r="M315" s="202" t="s">
        <v>68</v>
      </c>
      <c r="N315" s="202" t="s">
        <v>422</v>
      </c>
      <c r="O315" s="300" t="s">
        <v>422</v>
      </c>
      <c r="P315" s="202" t="s">
        <v>422</v>
      </c>
      <c r="Q315" t="s">
        <v>37</v>
      </c>
      <c r="T315">
        <v>882</v>
      </c>
      <c r="U315" s="7">
        <v>3</v>
      </c>
      <c r="V315" t="s">
        <v>1058</v>
      </c>
      <c r="W315" s="257" t="s">
        <v>1067</v>
      </c>
      <c r="X315" t="s">
        <v>1068</v>
      </c>
      <c r="Y315" s="316" t="s">
        <v>326</v>
      </c>
      <c r="Z315" s="8">
        <v>2</v>
      </c>
      <c r="AA315" s="202" t="str">
        <f t="shared" si="5"/>
        <v>Соль</v>
      </c>
      <c r="AC315" t="s">
        <v>1200</v>
      </c>
      <c r="AD315" t="s">
        <v>1107</v>
      </c>
      <c r="AE315" t="s">
        <v>1495</v>
      </c>
    </row>
    <row r="316" spans="1:31" ht="15" customHeight="1" x14ac:dyDescent="0.25">
      <c r="A316" t="s">
        <v>153</v>
      </c>
      <c r="L316" s="202">
        <v>11</v>
      </c>
      <c r="M316" s="202" t="s">
        <v>68</v>
      </c>
      <c r="N316" s="202" t="s">
        <v>422</v>
      </c>
      <c r="O316" s="300" t="s">
        <v>485</v>
      </c>
      <c r="P316" s="202" t="s">
        <v>422</v>
      </c>
      <c r="Q316" t="s">
        <v>37</v>
      </c>
      <c r="T316">
        <v>886</v>
      </c>
      <c r="U316" s="7">
        <v>3</v>
      </c>
      <c r="V316" t="s">
        <v>1058</v>
      </c>
      <c r="W316" s="257" t="s">
        <v>1067</v>
      </c>
      <c r="X316" t="s">
        <v>1068</v>
      </c>
      <c r="Y316" s="316" t="s">
        <v>558</v>
      </c>
      <c r="Z316" s="8">
        <v>121</v>
      </c>
      <c r="AA316" s="202" t="str">
        <f t="shared" si="5"/>
        <v>Общая масса готового блюда, г</v>
      </c>
      <c r="AC316" t="s">
        <v>1200</v>
      </c>
      <c r="AD316" t="s">
        <v>1109</v>
      </c>
      <c r="AE316" t="s">
        <v>1495</v>
      </c>
    </row>
    <row r="317" spans="1:31" ht="15" customHeight="1" x14ac:dyDescent="0.25">
      <c r="A317" t="s">
        <v>153</v>
      </c>
      <c r="L317" s="202">
        <v>11</v>
      </c>
      <c r="M317" s="202" t="s">
        <v>68</v>
      </c>
      <c r="N317" s="202" t="s">
        <v>75</v>
      </c>
      <c r="O317" s="300" t="s">
        <v>75</v>
      </c>
      <c r="P317" s="202" t="s">
        <v>75</v>
      </c>
      <c r="Q317" t="s">
        <v>540</v>
      </c>
      <c r="T317">
        <v>887</v>
      </c>
      <c r="U317" s="7">
        <v>3</v>
      </c>
      <c r="V317" t="s">
        <v>1058</v>
      </c>
      <c r="W317" s="257" t="s">
        <v>1067</v>
      </c>
      <c r="X317" t="s">
        <v>1068</v>
      </c>
      <c r="Y317" s="316" t="s">
        <v>109</v>
      </c>
      <c r="Z317" s="8">
        <v>150</v>
      </c>
      <c r="AA317" s="202" t="str">
        <f t="shared" si="5"/>
        <v>ОКГ</v>
      </c>
      <c r="AC317" t="s">
        <v>1200</v>
      </c>
      <c r="AD317" t="s">
        <v>1119</v>
      </c>
      <c r="AE317" t="s">
        <v>1495</v>
      </c>
    </row>
    <row r="318" spans="1:31" ht="15" customHeight="1" x14ac:dyDescent="0.25">
      <c r="A318" t="s">
        <v>153</v>
      </c>
      <c r="L318" s="202">
        <v>11</v>
      </c>
      <c r="M318" s="202" t="s">
        <v>68</v>
      </c>
      <c r="N318" s="202" t="s">
        <v>75</v>
      </c>
      <c r="O318" s="300" t="s">
        <v>296</v>
      </c>
      <c r="P318" s="202" t="s">
        <v>75</v>
      </c>
      <c r="Q318" t="s">
        <v>540</v>
      </c>
      <c r="T318">
        <v>2063</v>
      </c>
      <c r="U318" s="7">
        <v>3</v>
      </c>
      <c r="V318" t="s">
        <v>613</v>
      </c>
      <c r="W318" s="257" t="s">
        <v>635</v>
      </c>
      <c r="X318" t="s">
        <v>634</v>
      </c>
      <c r="Y318" s="316" t="s">
        <v>454</v>
      </c>
      <c r="Z318" s="8">
        <v>75</v>
      </c>
      <c r="AA318" s="202" t="str">
        <f t="shared" si="5"/>
        <v>Говядина б/к</v>
      </c>
      <c r="AC318" t="s">
        <v>1200</v>
      </c>
      <c r="AD318" t="s">
        <v>1355</v>
      </c>
      <c r="AE318" t="s">
        <v>1495</v>
      </c>
    </row>
    <row r="319" spans="1:31" ht="15" customHeight="1" x14ac:dyDescent="0.25">
      <c r="A319" t="s">
        <v>153</v>
      </c>
      <c r="L319" s="202">
        <v>11</v>
      </c>
      <c r="M319" s="202" t="s">
        <v>68</v>
      </c>
      <c r="N319" s="202" t="s">
        <v>75</v>
      </c>
      <c r="O319" s="300" t="s">
        <v>294</v>
      </c>
      <c r="P319" s="202" t="s">
        <v>75</v>
      </c>
      <c r="Q319" t="s">
        <v>540</v>
      </c>
      <c r="T319">
        <v>2064</v>
      </c>
      <c r="U319" s="7">
        <v>3</v>
      </c>
      <c r="V319" t="s">
        <v>613</v>
      </c>
      <c r="W319" s="257" t="s">
        <v>635</v>
      </c>
      <c r="X319" t="s">
        <v>634</v>
      </c>
      <c r="Y319" s="316" t="s">
        <v>432</v>
      </c>
      <c r="Z319" s="8">
        <v>15</v>
      </c>
      <c r="AA319" s="202" t="str">
        <f t="shared" si="5"/>
        <v>Рис</v>
      </c>
      <c r="AC319" t="s">
        <v>1200</v>
      </c>
      <c r="AD319" t="s">
        <v>1357</v>
      </c>
      <c r="AE319" t="s">
        <v>1495</v>
      </c>
    </row>
    <row r="320" spans="1:31" ht="15" customHeight="1" x14ac:dyDescent="0.25">
      <c r="A320" t="s">
        <v>153</v>
      </c>
      <c r="L320" s="202">
        <v>11</v>
      </c>
      <c r="M320" s="202" t="s">
        <v>68</v>
      </c>
      <c r="N320" s="202" t="s">
        <v>75</v>
      </c>
      <c r="O320" s="300" t="s">
        <v>295</v>
      </c>
      <c r="P320" s="202" t="s">
        <v>75</v>
      </c>
      <c r="Q320" t="s">
        <v>540</v>
      </c>
      <c r="T320">
        <v>2065</v>
      </c>
      <c r="U320" s="7">
        <v>3</v>
      </c>
      <c r="V320" t="s">
        <v>613</v>
      </c>
      <c r="W320" s="257" t="s">
        <v>635</v>
      </c>
      <c r="X320" t="s">
        <v>634</v>
      </c>
      <c r="Y320" s="316" t="s">
        <v>490</v>
      </c>
      <c r="Z320" s="8">
        <v>330</v>
      </c>
      <c r="AA320" s="202" t="str">
        <f t="shared" si="5"/>
        <v>Капуста свежая</v>
      </c>
      <c r="AC320" t="s">
        <v>1200</v>
      </c>
      <c r="AD320" t="s">
        <v>1121</v>
      </c>
      <c r="AE320" t="s">
        <v>1495</v>
      </c>
    </row>
    <row r="321" spans="1:31" ht="15" customHeight="1" x14ac:dyDescent="0.25">
      <c r="A321" t="s">
        <v>153</v>
      </c>
      <c r="L321" s="202">
        <v>11</v>
      </c>
      <c r="M321" s="202" t="s">
        <v>68</v>
      </c>
      <c r="N321" s="202" t="s">
        <v>75</v>
      </c>
      <c r="O321" s="300" t="s">
        <v>297</v>
      </c>
      <c r="P321" s="202" t="s">
        <v>75</v>
      </c>
      <c r="Q321" t="s">
        <v>540</v>
      </c>
      <c r="T321">
        <v>2066</v>
      </c>
      <c r="U321" s="7">
        <v>3</v>
      </c>
      <c r="V321" t="s">
        <v>613</v>
      </c>
      <c r="W321" s="257" t="s">
        <v>635</v>
      </c>
      <c r="X321" t="s">
        <v>634</v>
      </c>
      <c r="Y321" s="316" t="s">
        <v>46</v>
      </c>
      <c r="Z321" s="8">
        <v>10</v>
      </c>
      <c r="AA321" s="202" t="str">
        <f t="shared" si="5"/>
        <v>Морковь</v>
      </c>
      <c r="AC321" t="s">
        <v>1200</v>
      </c>
      <c r="AD321" t="s">
        <v>1243</v>
      </c>
      <c r="AE321" t="s">
        <v>1495</v>
      </c>
    </row>
    <row r="322" spans="1:31" ht="15" customHeight="1" x14ac:dyDescent="0.25">
      <c r="A322" t="s">
        <v>153</v>
      </c>
      <c r="L322" s="202">
        <v>11</v>
      </c>
      <c r="M322" s="202" t="s">
        <v>68</v>
      </c>
      <c r="N322" s="202" t="s">
        <v>75</v>
      </c>
      <c r="O322" s="300" t="s">
        <v>298</v>
      </c>
      <c r="P322" s="202" t="s">
        <v>75</v>
      </c>
      <c r="Q322" t="s">
        <v>540</v>
      </c>
      <c r="T322">
        <v>2067</v>
      </c>
      <c r="U322" s="7">
        <v>3</v>
      </c>
      <c r="V322" t="s">
        <v>613</v>
      </c>
      <c r="W322" s="257" t="s">
        <v>635</v>
      </c>
      <c r="X322" t="s">
        <v>634</v>
      </c>
      <c r="Y322" s="316" t="s">
        <v>32</v>
      </c>
      <c r="Z322" s="8">
        <v>10</v>
      </c>
      <c r="AA322" s="202" t="str">
        <f t="shared" ref="AA322:AA385" si="6">VLOOKUP(Y322,O:P,2,FALSE)</f>
        <v>Лук репчатый</v>
      </c>
      <c r="AC322" t="s">
        <v>1200</v>
      </c>
      <c r="AD322" t="s">
        <v>1244</v>
      </c>
      <c r="AE322" t="s">
        <v>1495</v>
      </c>
    </row>
    <row r="323" spans="1:31" ht="15" customHeight="1" x14ac:dyDescent="0.25">
      <c r="A323" t="s">
        <v>153</v>
      </c>
      <c r="L323" s="202">
        <v>11</v>
      </c>
      <c r="M323" s="202" t="s">
        <v>68</v>
      </c>
      <c r="N323" s="202" t="s">
        <v>75</v>
      </c>
      <c r="O323" s="300" t="s">
        <v>299</v>
      </c>
      <c r="P323" s="202" t="s">
        <v>75</v>
      </c>
      <c r="Q323" t="s">
        <v>540</v>
      </c>
      <c r="T323">
        <v>2068</v>
      </c>
      <c r="U323" s="7">
        <v>3</v>
      </c>
      <c r="V323" t="s">
        <v>613</v>
      </c>
      <c r="W323" s="257" t="s">
        <v>635</v>
      </c>
      <c r="X323" t="s">
        <v>634</v>
      </c>
      <c r="Y323" s="316" t="s">
        <v>76</v>
      </c>
      <c r="Z323" s="8">
        <v>2</v>
      </c>
      <c r="AA323" s="202" t="str">
        <f t="shared" si="6"/>
        <v>Томат-паста</v>
      </c>
      <c r="AC323" t="s">
        <v>1200</v>
      </c>
      <c r="AD323" t="s">
        <v>1138</v>
      </c>
      <c r="AE323" t="s">
        <v>1495</v>
      </c>
    </row>
    <row r="324" spans="1:31" ht="15" customHeight="1" x14ac:dyDescent="0.25">
      <c r="A324" t="s">
        <v>153</v>
      </c>
      <c r="L324" s="202">
        <v>11</v>
      </c>
      <c r="M324" s="202" t="s">
        <v>68</v>
      </c>
      <c r="N324" s="202" t="s">
        <v>76</v>
      </c>
      <c r="O324" s="300" t="s">
        <v>313</v>
      </c>
      <c r="P324" s="202" t="s">
        <v>76</v>
      </c>
      <c r="Q324" t="s">
        <v>37</v>
      </c>
      <c r="T324">
        <v>2069</v>
      </c>
      <c r="U324" s="7">
        <v>3</v>
      </c>
      <c r="V324" t="s">
        <v>613</v>
      </c>
      <c r="W324" s="257" t="s">
        <v>635</v>
      </c>
      <c r="X324" t="s">
        <v>634</v>
      </c>
      <c r="Y324" s="316" t="s">
        <v>74</v>
      </c>
      <c r="Z324" s="8">
        <v>0.01</v>
      </c>
      <c r="AA324" s="202" t="str">
        <f t="shared" si="6"/>
        <v>Лавровый лист</v>
      </c>
      <c r="AC324" t="s">
        <v>1201</v>
      </c>
      <c r="AD324" t="s">
        <v>1201</v>
      </c>
      <c r="AE324" t="s">
        <v>1495</v>
      </c>
    </row>
    <row r="325" spans="1:31" ht="15" customHeight="1" x14ac:dyDescent="0.25">
      <c r="A325" t="s">
        <v>153</v>
      </c>
      <c r="L325" s="202">
        <v>11</v>
      </c>
      <c r="M325" s="202" t="s">
        <v>68</v>
      </c>
      <c r="N325" s="202" t="s">
        <v>76</v>
      </c>
      <c r="O325" s="300" t="s">
        <v>76</v>
      </c>
      <c r="P325" s="202" t="s">
        <v>76</v>
      </c>
      <c r="Q325" t="s">
        <v>37</v>
      </c>
      <c r="T325">
        <v>2070</v>
      </c>
      <c r="U325" s="7">
        <v>3</v>
      </c>
      <c r="V325" t="s">
        <v>613</v>
      </c>
      <c r="W325" s="257" t="s">
        <v>635</v>
      </c>
      <c r="X325" t="s">
        <v>634</v>
      </c>
      <c r="Y325" s="316" t="s">
        <v>61</v>
      </c>
      <c r="Z325" s="8">
        <v>5</v>
      </c>
      <c r="AA325" s="202" t="str">
        <f t="shared" si="6"/>
        <v>Масло растительное</v>
      </c>
      <c r="AC325" t="s">
        <v>1201</v>
      </c>
      <c r="AD325" t="s">
        <v>1075</v>
      </c>
      <c r="AE325" t="s">
        <v>1495</v>
      </c>
    </row>
    <row r="326" spans="1:31" ht="15" customHeight="1" x14ac:dyDescent="0.25">
      <c r="A326" t="s">
        <v>153</v>
      </c>
      <c r="L326" s="202">
        <v>11</v>
      </c>
      <c r="M326" s="202" t="s">
        <v>68</v>
      </c>
      <c r="N326" s="202" t="s">
        <v>76</v>
      </c>
      <c r="O326" s="300" t="s">
        <v>312</v>
      </c>
      <c r="P326" s="202" t="s">
        <v>76</v>
      </c>
      <c r="Q326" t="s">
        <v>37</v>
      </c>
      <c r="T326">
        <v>2071</v>
      </c>
      <c r="U326" s="7">
        <v>3</v>
      </c>
      <c r="V326" t="s">
        <v>613</v>
      </c>
      <c r="W326" s="257" t="s">
        <v>635</v>
      </c>
      <c r="X326" t="s">
        <v>634</v>
      </c>
      <c r="Y326" s="316" t="s">
        <v>434</v>
      </c>
      <c r="Z326" s="8">
        <v>2</v>
      </c>
      <c r="AA326" s="202" t="str">
        <f t="shared" si="6"/>
        <v>Мука пшеничная 1 с</v>
      </c>
      <c r="AC326" t="s">
        <v>1201</v>
      </c>
      <c r="AD326" t="s">
        <v>1077</v>
      </c>
      <c r="AE326" t="s">
        <v>1495</v>
      </c>
    </row>
    <row r="327" spans="1:31" ht="15" customHeight="1" x14ac:dyDescent="0.25">
      <c r="A327" t="s">
        <v>153</v>
      </c>
      <c r="L327" s="202">
        <v>11</v>
      </c>
      <c r="M327" s="202" t="s">
        <v>68</v>
      </c>
      <c r="N327" s="202" t="s">
        <v>77</v>
      </c>
      <c r="O327" s="300" t="s">
        <v>311</v>
      </c>
      <c r="P327" s="202" t="s">
        <v>77</v>
      </c>
      <c r="Q327" t="s">
        <v>37</v>
      </c>
      <c r="T327">
        <v>2072</v>
      </c>
      <c r="U327" s="7">
        <v>3</v>
      </c>
      <c r="V327" t="s">
        <v>613</v>
      </c>
      <c r="W327" s="257" t="s">
        <v>635</v>
      </c>
      <c r="X327" t="s">
        <v>634</v>
      </c>
      <c r="Y327" s="316" t="s">
        <v>326</v>
      </c>
      <c r="Z327" s="8">
        <v>3</v>
      </c>
      <c r="AA327" s="202" t="str">
        <f t="shared" si="6"/>
        <v>Соль</v>
      </c>
      <c r="AC327" t="s">
        <v>1201</v>
      </c>
      <c r="AD327" t="s">
        <v>1343</v>
      </c>
      <c r="AE327" t="s">
        <v>1495</v>
      </c>
    </row>
    <row r="328" spans="1:31" ht="15" customHeight="1" x14ac:dyDescent="0.25">
      <c r="A328" t="s">
        <v>153</v>
      </c>
      <c r="L328" s="202">
        <v>11</v>
      </c>
      <c r="M328" s="202" t="s">
        <v>68</v>
      </c>
      <c r="N328" s="202" t="s">
        <v>77</v>
      </c>
      <c r="O328" s="300" t="s">
        <v>77</v>
      </c>
      <c r="P328" s="202" t="s">
        <v>77</v>
      </c>
      <c r="Q328" t="s">
        <v>37</v>
      </c>
      <c r="T328">
        <v>2073</v>
      </c>
      <c r="U328" s="7">
        <v>3</v>
      </c>
      <c r="V328" t="s">
        <v>613</v>
      </c>
      <c r="W328" s="257" t="s">
        <v>635</v>
      </c>
      <c r="X328" t="s">
        <v>634</v>
      </c>
      <c r="Y328" s="316" t="s">
        <v>480</v>
      </c>
      <c r="Z328" s="8">
        <v>50</v>
      </c>
      <c r="AA328" s="202" t="str">
        <f t="shared" si="6"/>
        <v>Вода или бульон</v>
      </c>
      <c r="AC328" t="s">
        <v>1201</v>
      </c>
      <c r="AD328" t="s">
        <v>1345</v>
      </c>
      <c r="AE328" t="s">
        <v>1495</v>
      </c>
    </row>
    <row r="329" spans="1:31" ht="15" customHeight="1" x14ac:dyDescent="0.25">
      <c r="A329" t="s">
        <v>153</v>
      </c>
      <c r="L329" s="202">
        <v>11</v>
      </c>
      <c r="M329" s="202" t="s">
        <v>68</v>
      </c>
      <c r="N329" s="202" t="s">
        <v>77</v>
      </c>
      <c r="O329" s="300" t="s">
        <v>486</v>
      </c>
      <c r="P329" s="202" t="s">
        <v>77</v>
      </c>
      <c r="Q329" t="s">
        <v>37</v>
      </c>
      <c r="T329">
        <v>2074</v>
      </c>
      <c r="U329" s="7">
        <v>3</v>
      </c>
      <c r="V329" t="s">
        <v>613</v>
      </c>
      <c r="W329" s="257" t="s">
        <v>635</v>
      </c>
      <c r="X329" t="s">
        <v>634</v>
      </c>
      <c r="Y329" s="316" t="s">
        <v>1215</v>
      </c>
      <c r="Z329" s="8">
        <v>317</v>
      </c>
      <c r="AA329" s="202" t="str">
        <f t="shared" si="6"/>
        <v>Общая масса готового блюда, г</v>
      </c>
      <c r="AC329" t="s">
        <v>1201</v>
      </c>
      <c r="AD329" t="s">
        <v>1079</v>
      </c>
      <c r="AE329" t="s">
        <v>1495</v>
      </c>
    </row>
    <row r="330" spans="1:31" ht="15" customHeight="1" x14ac:dyDescent="0.25">
      <c r="A330" t="s">
        <v>153</v>
      </c>
      <c r="L330" s="202">
        <v>11</v>
      </c>
      <c r="M330" s="202" t="s">
        <v>68</v>
      </c>
      <c r="N330" s="202" t="s">
        <v>57</v>
      </c>
      <c r="O330" s="300" t="s">
        <v>57</v>
      </c>
      <c r="P330" s="202" t="s">
        <v>57</v>
      </c>
      <c r="Q330" t="s">
        <v>37</v>
      </c>
      <c r="T330">
        <v>2074</v>
      </c>
      <c r="U330" s="7">
        <v>3</v>
      </c>
      <c r="V330" t="s">
        <v>613</v>
      </c>
      <c r="W330" s="257" t="s">
        <v>635</v>
      </c>
      <c r="X330" t="s">
        <v>634</v>
      </c>
      <c r="Y330" s="316" t="s">
        <v>109</v>
      </c>
      <c r="Z330" s="8">
        <v>375</v>
      </c>
      <c r="AA330" s="202" t="str">
        <f t="shared" si="6"/>
        <v>ОКГ</v>
      </c>
      <c r="AC330" t="s">
        <v>1201</v>
      </c>
      <c r="AD330" t="s">
        <v>1347</v>
      </c>
      <c r="AE330" t="s">
        <v>1495</v>
      </c>
    </row>
    <row r="331" spans="1:31" ht="15" customHeight="1" x14ac:dyDescent="0.25">
      <c r="A331" t="s">
        <v>153</v>
      </c>
      <c r="L331" s="202">
        <v>11</v>
      </c>
      <c r="M331" s="202" t="s">
        <v>68</v>
      </c>
      <c r="N331" s="202" t="s">
        <v>57</v>
      </c>
      <c r="O331" s="300" t="s">
        <v>305</v>
      </c>
      <c r="P331" s="202" t="s">
        <v>57</v>
      </c>
      <c r="Q331" t="s">
        <v>37</v>
      </c>
      <c r="T331">
        <v>2074</v>
      </c>
      <c r="U331" s="7">
        <v>3</v>
      </c>
      <c r="V331" t="s">
        <v>613</v>
      </c>
      <c r="W331" s="257" t="s">
        <v>635</v>
      </c>
      <c r="X331" t="s">
        <v>634</v>
      </c>
      <c r="Y331" s="316" t="s">
        <v>1214</v>
      </c>
      <c r="Z331" s="8">
        <v>47</v>
      </c>
      <c r="AA331" s="202" t="str">
        <f t="shared" si="6"/>
        <v>Масса мясных и рыбных порций, г</v>
      </c>
      <c r="AC331" t="s">
        <v>1201</v>
      </c>
      <c r="AD331" t="s">
        <v>1081</v>
      </c>
      <c r="AE331" t="s">
        <v>1495</v>
      </c>
    </row>
    <row r="332" spans="1:31" ht="15" customHeight="1" x14ac:dyDescent="0.25">
      <c r="A332" t="s">
        <v>153</v>
      </c>
      <c r="L332" s="202">
        <v>11</v>
      </c>
      <c r="M332" s="202" t="s">
        <v>68</v>
      </c>
      <c r="N332" s="202" t="s">
        <v>57</v>
      </c>
      <c r="O332" s="300" t="s">
        <v>306</v>
      </c>
      <c r="P332" s="202" t="s">
        <v>57</v>
      </c>
      <c r="Q332" t="s">
        <v>37</v>
      </c>
      <c r="T332">
        <v>2051</v>
      </c>
      <c r="U332" s="7">
        <v>3</v>
      </c>
      <c r="V332" t="s">
        <v>613</v>
      </c>
      <c r="W332" s="257" t="s">
        <v>633</v>
      </c>
      <c r="X332" t="s">
        <v>636</v>
      </c>
      <c r="Y332" s="316" t="s">
        <v>455</v>
      </c>
      <c r="Z332" s="8">
        <v>100</v>
      </c>
      <c r="AA332" s="202" t="str">
        <f t="shared" si="6"/>
        <v>Говядина н/к</v>
      </c>
      <c r="AC332" t="s">
        <v>1201</v>
      </c>
      <c r="AD332" t="s">
        <v>1349</v>
      </c>
      <c r="AE332" t="s">
        <v>1495</v>
      </c>
    </row>
    <row r="333" spans="1:31" ht="15" customHeight="1" x14ac:dyDescent="0.25">
      <c r="A333" t="s">
        <v>153</v>
      </c>
      <c r="L333" s="202">
        <v>11</v>
      </c>
      <c r="M333" s="202" t="s">
        <v>68</v>
      </c>
      <c r="N333" s="202" t="s">
        <v>57</v>
      </c>
      <c r="O333" s="300" t="s">
        <v>487</v>
      </c>
      <c r="P333" s="202" t="s">
        <v>57</v>
      </c>
      <c r="Q333" t="s">
        <v>37</v>
      </c>
      <c r="T333">
        <v>2052</v>
      </c>
      <c r="U333" s="7">
        <v>3</v>
      </c>
      <c r="V333" t="s">
        <v>613</v>
      </c>
      <c r="W333" s="257" t="s">
        <v>633</v>
      </c>
      <c r="X333" t="s">
        <v>636</v>
      </c>
      <c r="Y333" s="316" t="s">
        <v>432</v>
      </c>
      <c r="Z333" s="8">
        <v>15</v>
      </c>
      <c r="AA333" s="202" t="str">
        <f t="shared" si="6"/>
        <v>Рис</v>
      </c>
      <c r="AC333" t="s">
        <v>1201</v>
      </c>
      <c r="AD333" t="s">
        <v>1087</v>
      </c>
      <c r="AE333" t="s">
        <v>1495</v>
      </c>
    </row>
    <row r="334" spans="1:31" ht="15" customHeight="1" x14ac:dyDescent="0.25">
      <c r="A334" t="s">
        <v>153</v>
      </c>
      <c r="L334" s="202">
        <v>11</v>
      </c>
      <c r="M334" s="202" t="s">
        <v>68</v>
      </c>
      <c r="N334" s="202" t="s">
        <v>78</v>
      </c>
      <c r="O334" s="300" t="s">
        <v>78</v>
      </c>
      <c r="P334" s="202" t="s">
        <v>78</v>
      </c>
      <c r="Q334" t="s">
        <v>37</v>
      </c>
      <c r="T334">
        <v>2053</v>
      </c>
      <c r="U334" s="7">
        <v>3</v>
      </c>
      <c r="V334" t="s">
        <v>613</v>
      </c>
      <c r="W334" s="257" t="s">
        <v>633</v>
      </c>
      <c r="X334" t="s">
        <v>636</v>
      </c>
      <c r="Y334" s="316" t="s">
        <v>490</v>
      </c>
      <c r="Z334" s="8">
        <v>330</v>
      </c>
      <c r="AA334" s="202" t="str">
        <f t="shared" si="6"/>
        <v>Капуста свежая</v>
      </c>
      <c r="AC334" t="s">
        <v>1201</v>
      </c>
      <c r="AD334" t="s">
        <v>1089</v>
      </c>
      <c r="AE334" t="s">
        <v>1495</v>
      </c>
    </row>
    <row r="335" spans="1:31" ht="15" customHeight="1" x14ac:dyDescent="0.25">
      <c r="A335" t="s">
        <v>153</v>
      </c>
      <c r="L335" s="202">
        <v>11</v>
      </c>
      <c r="M335" s="202" t="s">
        <v>68</v>
      </c>
      <c r="N335" s="202" t="s">
        <v>1246</v>
      </c>
      <c r="O335" s="300" t="s">
        <v>547</v>
      </c>
      <c r="P335" s="202" t="s">
        <v>1246</v>
      </c>
      <c r="Q335" t="s">
        <v>37</v>
      </c>
      <c r="T335">
        <v>2054</v>
      </c>
      <c r="U335" s="7">
        <v>3</v>
      </c>
      <c r="V335" t="s">
        <v>613</v>
      </c>
      <c r="W335" s="257" t="s">
        <v>633</v>
      </c>
      <c r="X335" t="s">
        <v>636</v>
      </c>
      <c r="Y335" s="316" t="s">
        <v>46</v>
      </c>
      <c r="Z335" s="8">
        <v>10</v>
      </c>
      <c r="AA335" s="202" t="str">
        <f t="shared" si="6"/>
        <v>Морковь</v>
      </c>
      <c r="AC335" t="s">
        <v>1201</v>
      </c>
      <c r="AD335" t="s">
        <v>1091</v>
      </c>
      <c r="AE335" t="s">
        <v>1495</v>
      </c>
    </row>
    <row r="336" spans="1:31" ht="15" customHeight="1" x14ac:dyDescent="0.25">
      <c r="A336" t="s">
        <v>153</v>
      </c>
      <c r="L336" s="202">
        <v>11</v>
      </c>
      <c r="M336" s="202" t="s">
        <v>68</v>
      </c>
      <c r="N336" s="202" t="s">
        <v>1245</v>
      </c>
      <c r="O336" s="300" t="s">
        <v>79</v>
      </c>
      <c r="P336" s="202" t="s">
        <v>1245</v>
      </c>
      <c r="Q336" t="s">
        <v>37</v>
      </c>
      <c r="T336">
        <v>2055</v>
      </c>
      <c r="U336" s="7">
        <v>3</v>
      </c>
      <c r="V336" t="s">
        <v>613</v>
      </c>
      <c r="W336" s="257" t="s">
        <v>633</v>
      </c>
      <c r="X336" t="s">
        <v>636</v>
      </c>
      <c r="Y336" s="316" t="s">
        <v>32</v>
      </c>
      <c r="Z336" s="8">
        <v>10</v>
      </c>
      <c r="AA336" s="202" t="str">
        <f t="shared" si="6"/>
        <v>Лук репчатый</v>
      </c>
      <c r="AC336" t="s">
        <v>1201</v>
      </c>
      <c r="AD336" t="s">
        <v>1093</v>
      </c>
      <c r="AE336" t="s">
        <v>1495</v>
      </c>
    </row>
    <row r="337" spans="1:31" ht="15" customHeight="1" x14ac:dyDescent="0.25">
      <c r="A337" t="s">
        <v>153</v>
      </c>
      <c r="L337" s="202">
        <v>11</v>
      </c>
      <c r="M337" s="202" t="s">
        <v>68</v>
      </c>
      <c r="N337" s="202" t="s">
        <v>1245</v>
      </c>
      <c r="O337" s="300" t="s">
        <v>546</v>
      </c>
      <c r="P337" s="202" t="s">
        <v>1245</v>
      </c>
      <c r="Q337" t="s">
        <v>37</v>
      </c>
      <c r="T337">
        <v>2056</v>
      </c>
      <c r="U337" s="7">
        <v>3</v>
      </c>
      <c r="V337" t="s">
        <v>613</v>
      </c>
      <c r="W337" s="257" t="s">
        <v>633</v>
      </c>
      <c r="X337" t="s">
        <v>636</v>
      </c>
      <c r="Y337" s="316" t="s">
        <v>76</v>
      </c>
      <c r="Z337" s="8">
        <v>2</v>
      </c>
      <c r="AA337" s="202" t="str">
        <f t="shared" si="6"/>
        <v>Томат-паста</v>
      </c>
      <c r="AC337" t="s">
        <v>1201</v>
      </c>
      <c r="AD337" t="s">
        <v>1095</v>
      </c>
      <c r="AE337" t="s">
        <v>1495</v>
      </c>
    </row>
    <row r="338" spans="1:31" ht="15" customHeight="1" x14ac:dyDescent="0.25">
      <c r="A338" t="s">
        <v>153</v>
      </c>
      <c r="L338" s="202">
        <v>12</v>
      </c>
      <c r="M338" s="202" t="s">
        <v>178</v>
      </c>
      <c r="N338" s="202" t="s">
        <v>80</v>
      </c>
      <c r="O338" s="300" t="s">
        <v>80</v>
      </c>
      <c r="P338" s="202" t="s">
        <v>80</v>
      </c>
      <c r="Q338" t="s">
        <v>37</v>
      </c>
      <c r="T338">
        <v>2057</v>
      </c>
      <c r="U338" s="7">
        <v>3</v>
      </c>
      <c r="V338" t="s">
        <v>613</v>
      </c>
      <c r="W338" s="257" t="s">
        <v>633</v>
      </c>
      <c r="X338" t="s">
        <v>636</v>
      </c>
      <c r="Y338" s="316" t="s">
        <v>74</v>
      </c>
      <c r="Z338" s="8">
        <v>0.01</v>
      </c>
      <c r="AA338" s="202" t="str">
        <f t="shared" si="6"/>
        <v>Лавровый лист</v>
      </c>
      <c r="AC338" t="s">
        <v>1201</v>
      </c>
      <c r="AD338" t="s">
        <v>1097</v>
      </c>
      <c r="AE338" t="s">
        <v>1495</v>
      </c>
    </row>
    <row r="339" spans="1:31" ht="15" customHeight="1" x14ac:dyDescent="0.25">
      <c r="A339" t="s">
        <v>153</v>
      </c>
      <c r="L339" s="202">
        <v>12</v>
      </c>
      <c r="M339" s="202" t="s">
        <v>178</v>
      </c>
      <c r="N339" s="202" t="s">
        <v>81</v>
      </c>
      <c r="O339" s="300" t="s">
        <v>81</v>
      </c>
      <c r="P339" s="202" t="s">
        <v>81</v>
      </c>
      <c r="Q339" t="s">
        <v>37</v>
      </c>
      <c r="T339">
        <v>2058</v>
      </c>
      <c r="U339" s="7">
        <v>3</v>
      </c>
      <c r="V339" t="s">
        <v>613</v>
      </c>
      <c r="W339" s="257" t="s">
        <v>633</v>
      </c>
      <c r="X339" t="s">
        <v>636</v>
      </c>
      <c r="Y339" s="316" t="s">
        <v>61</v>
      </c>
      <c r="Z339" s="8">
        <v>5</v>
      </c>
      <c r="AA339" s="202" t="str">
        <f t="shared" si="6"/>
        <v>Масло растительное</v>
      </c>
      <c r="AC339" t="s">
        <v>1201</v>
      </c>
      <c r="AD339" t="s">
        <v>1099</v>
      </c>
      <c r="AE339" t="s">
        <v>1495</v>
      </c>
    </row>
    <row r="340" spans="1:31" ht="15" customHeight="1" x14ac:dyDescent="0.25">
      <c r="A340" t="s">
        <v>153</v>
      </c>
      <c r="L340" s="202">
        <v>12</v>
      </c>
      <c r="M340" s="202" t="s">
        <v>178</v>
      </c>
      <c r="N340" s="202" t="s">
        <v>81</v>
      </c>
      <c r="O340" s="300" t="s">
        <v>205</v>
      </c>
      <c r="P340" s="202" t="s">
        <v>81</v>
      </c>
      <c r="Q340" t="s">
        <v>37</v>
      </c>
      <c r="T340">
        <v>2059</v>
      </c>
      <c r="U340" s="7">
        <v>3</v>
      </c>
      <c r="V340" t="s">
        <v>613</v>
      </c>
      <c r="W340" s="257" t="s">
        <v>633</v>
      </c>
      <c r="X340" t="s">
        <v>636</v>
      </c>
      <c r="Y340" s="316" t="s">
        <v>434</v>
      </c>
      <c r="Z340" s="8">
        <v>2</v>
      </c>
      <c r="AA340" s="202" t="str">
        <f t="shared" si="6"/>
        <v>Мука пшеничная 1 с</v>
      </c>
      <c r="AC340" t="s">
        <v>1201</v>
      </c>
      <c r="AD340" t="s">
        <v>1359</v>
      </c>
      <c r="AE340" t="s">
        <v>1495</v>
      </c>
    </row>
    <row r="341" spans="1:31" ht="15" customHeight="1" x14ac:dyDescent="0.25">
      <c r="A341" t="s">
        <v>153</v>
      </c>
      <c r="L341" s="202">
        <v>12</v>
      </c>
      <c r="M341" s="202" t="s">
        <v>178</v>
      </c>
      <c r="N341" s="202" t="s">
        <v>521</v>
      </c>
      <c r="O341" s="300" t="s">
        <v>548</v>
      </c>
      <c r="P341" s="202" t="s">
        <v>521</v>
      </c>
      <c r="Q341" t="s">
        <v>37</v>
      </c>
      <c r="T341">
        <v>2060</v>
      </c>
      <c r="U341" s="7">
        <v>3</v>
      </c>
      <c r="V341" t="s">
        <v>613</v>
      </c>
      <c r="W341" s="257" t="s">
        <v>633</v>
      </c>
      <c r="X341" t="s">
        <v>636</v>
      </c>
      <c r="Y341" s="316" t="s">
        <v>326</v>
      </c>
      <c r="Z341" s="8">
        <v>3</v>
      </c>
      <c r="AA341" s="202" t="str">
        <f t="shared" si="6"/>
        <v>Соль</v>
      </c>
      <c r="AC341" t="s">
        <v>1201</v>
      </c>
      <c r="AD341" t="s">
        <v>1123</v>
      </c>
      <c r="AE341" t="s">
        <v>1495</v>
      </c>
    </row>
    <row r="342" spans="1:31" ht="15" customHeight="1" x14ac:dyDescent="0.25">
      <c r="A342" t="s">
        <v>153</v>
      </c>
      <c r="L342" s="202">
        <v>12</v>
      </c>
      <c r="M342" s="202" t="s">
        <v>178</v>
      </c>
      <c r="N342" s="202" t="s">
        <v>521</v>
      </c>
      <c r="O342" s="300" t="s">
        <v>521</v>
      </c>
      <c r="P342" s="202" t="s">
        <v>521</v>
      </c>
      <c r="Q342" t="s">
        <v>37</v>
      </c>
      <c r="T342">
        <v>2061</v>
      </c>
      <c r="U342" s="7">
        <v>3</v>
      </c>
      <c r="V342" t="s">
        <v>613</v>
      </c>
      <c r="W342" s="257" t="s">
        <v>633</v>
      </c>
      <c r="X342" t="s">
        <v>636</v>
      </c>
      <c r="Y342" s="316" t="s">
        <v>480</v>
      </c>
      <c r="Z342" s="8">
        <v>50</v>
      </c>
      <c r="AA342" s="202" t="str">
        <f t="shared" si="6"/>
        <v>Вода или бульон</v>
      </c>
      <c r="AC342" t="s">
        <v>1201</v>
      </c>
      <c r="AD342" t="s">
        <v>1125</v>
      </c>
      <c r="AE342" t="s">
        <v>1495</v>
      </c>
    </row>
    <row r="343" spans="1:31" ht="15" customHeight="1" x14ac:dyDescent="0.25">
      <c r="A343" t="s">
        <v>153</v>
      </c>
      <c r="L343" s="202">
        <v>12</v>
      </c>
      <c r="M343" s="202" t="s">
        <v>178</v>
      </c>
      <c r="N343" s="202" t="s">
        <v>82</v>
      </c>
      <c r="O343" s="300" t="s">
        <v>82</v>
      </c>
      <c r="P343" s="202" t="s">
        <v>82</v>
      </c>
      <c r="Q343" t="s">
        <v>37</v>
      </c>
      <c r="T343">
        <v>2062</v>
      </c>
      <c r="U343" s="7">
        <v>3</v>
      </c>
      <c r="V343" t="s">
        <v>613</v>
      </c>
      <c r="W343" s="257" t="s">
        <v>633</v>
      </c>
      <c r="X343" t="s">
        <v>636</v>
      </c>
      <c r="Y343" s="316" t="s">
        <v>109</v>
      </c>
      <c r="Z343" s="8">
        <v>375</v>
      </c>
      <c r="AA343" s="202" t="str">
        <f t="shared" si="6"/>
        <v>ОКГ</v>
      </c>
      <c r="AC343" t="s">
        <v>1201</v>
      </c>
      <c r="AD343" t="s">
        <v>1361</v>
      </c>
      <c r="AE343" t="s">
        <v>1495</v>
      </c>
    </row>
    <row r="344" spans="1:31" ht="15" customHeight="1" x14ac:dyDescent="0.25">
      <c r="A344" t="s">
        <v>153</v>
      </c>
      <c r="L344" s="202">
        <v>12</v>
      </c>
      <c r="M344" s="202" t="s">
        <v>178</v>
      </c>
      <c r="N344" s="202" t="s">
        <v>82</v>
      </c>
      <c r="O344" s="300" t="s">
        <v>314</v>
      </c>
      <c r="P344" s="202" t="s">
        <v>82</v>
      </c>
      <c r="Q344" t="s">
        <v>37</v>
      </c>
      <c r="T344">
        <v>2062</v>
      </c>
      <c r="U344" s="7">
        <v>3</v>
      </c>
      <c r="V344" t="s">
        <v>613</v>
      </c>
      <c r="W344" s="257" t="s">
        <v>633</v>
      </c>
      <c r="X344" t="s">
        <v>636</v>
      </c>
      <c r="Y344" s="316" t="s">
        <v>1215</v>
      </c>
      <c r="Z344" s="8">
        <v>317</v>
      </c>
      <c r="AA344" s="202" t="str">
        <f t="shared" si="6"/>
        <v>Общая масса готового блюда, г</v>
      </c>
      <c r="AC344" t="s">
        <v>1201</v>
      </c>
      <c r="AD344" t="s">
        <v>1127</v>
      </c>
      <c r="AE344" t="s">
        <v>1495</v>
      </c>
    </row>
    <row r="345" spans="1:31" ht="15" customHeight="1" x14ac:dyDescent="0.25">
      <c r="A345" t="s">
        <v>153</v>
      </c>
      <c r="L345" s="202">
        <v>12</v>
      </c>
      <c r="M345" s="202" t="s">
        <v>178</v>
      </c>
      <c r="N345" s="202" t="s">
        <v>83</v>
      </c>
      <c r="O345" s="300" t="s">
        <v>83</v>
      </c>
      <c r="P345" s="202" t="s">
        <v>83</v>
      </c>
      <c r="Q345" t="s">
        <v>37</v>
      </c>
      <c r="T345">
        <v>2062</v>
      </c>
      <c r="U345" s="7">
        <v>3</v>
      </c>
      <c r="V345" t="s">
        <v>613</v>
      </c>
      <c r="W345" s="257" t="s">
        <v>633</v>
      </c>
      <c r="X345" t="s">
        <v>636</v>
      </c>
      <c r="Y345" s="316" t="s">
        <v>1214</v>
      </c>
      <c r="Z345" s="8">
        <v>47</v>
      </c>
      <c r="AA345" s="202" t="str">
        <f t="shared" si="6"/>
        <v>Масса мясных и рыбных порций, г</v>
      </c>
      <c r="AC345" t="s">
        <v>1201</v>
      </c>
      <c r="AD345" t="s">
        <v>1129</v>
      </c>
      <c r="AE345" t="s">
        <v>1495</v>
      </c>
    </row>
    <row r="346" spans="1:31" ht="15" customHeight="1" x14ac:dyDescent="0.25">
      <c r="A346" t="s">
        <v>153</v>
      </c>
      <c r="L346" s="202">
        <v>12</v>
      </c>
      <c r="M346" s="202" t="s">
        <v>1498</v>
      </c>
      <c r="N346" t="s">
        <v>108</v>
      </c>
      <c r="O346" t="s">
        <v>1214</v>
      </c>
      <c r="P346" t="s">
        <v>108</v>
      </c>
      <c r="T346">
        <v>740</v>
      </c>
      <c r="U346" s="7">
        <v>3</v>
      </c>
      <c r="V346" t="s">
        <v>966</v>
      </c>
      <c r="W346" s="257" t="s">
        <v>967</v>
      </c>
      <c r="X346" t="s">
        <v>968</v>
      </c>
      <c r="Y346" s="316" t="s">
        <v>432</v>
      </c>
      <c r="Z346" s="8">
        <v>15</v>
      </c>
      <c r="AA346" s="202" t="str">
        <f t="shared" si="6"/>
        <v>Рис</v>
      </c>
      <c r="AC346" t="s">
        <v>1201</v>
      </c>
      <c r="AD346" t="s">
        <v>1130</v>
      </c>
      <c r="AE346" t="s">
        <v>1495</v>
      </c>
    </row>
    <row r="347" spans="1:31" ht="15" customHeight="1" x14ac:dyDescent="0.25">
      <c r="A347" t="s">
        <v>153</v>
      </c>
      <c r="L347" s="202">
        <v>12</v>
      </c>
      <c r="M347" s="202" t="s">
        <v>1498</v>
      </c>
      <c r="N347" t="s">
        <v>149</v>
      </c>
      <c r="O347" t="s">
        <v>149</v>
      </c>
      <c r="P347" t="s">
        <v>149</v>
      </c>
      <c r="T347">
        <v>741</v>
      </c>
      <c r="U347" s="7">
        <v>3</v>
      </c>
      <c r="V347" t="s">
        <v>966</v>
      </c>
      <c r="W347" s="257" t="s">
        <v>967</v>
      </c>
      <c r="X347" t="s">
        <v>968</v>
      </c>
      <c r="Y347" s="316" t="s">
        <v>490</v>
      </c>
      <c r="Z347" s="8">
        <v>320</v>
      </c>
      <c r="AA347" s="202" t="str">
        <f t="shared" si="6"/>
        <v>Капуста свежая</v>
      </c>
      <c r="AC347" t="s">
        <v>1201</v>
      </c>
      <c r="AD347" t="s">
        <v>1132</v>
      </c>
      <c r="AE347" t="s">
        <v>1495</v>
      </c>
    </row>
    <row r="348" spans="1:31" ht="15" customHeight="1" x14ac:dyDescent="0.25">
      <c r="A348" t="s">
        <v>153</v>
      </c>
      <c r="L348" s="202">
        <v>12</v>
      </c>
      <c r="M348" s="202" t="s">
        <v>1498</v>
      </c>
      <c r="N348" s="202" t="s">
        <v>107</v>
      </c>
      <c r="O348" s="300" t="s">
        <v>558</v>
      </c>
      <c r="P348" s="202" t="s">
        <v>107</v>
      </c>
      <c r="T348">
        <v>742</v>
      </c>
      <c r="U348" s="7">
        <v>3</v>
      </c>
      <c r="V348" t="s">
        <v>966</v>
      </c>
      <c r="W348" s="257" t="s">
        <v>967</v>
      </c>
      <c r="X348" t="s">
        <v>968</v>
      </c>
      <c r="Y348" s="316" t="s">
        <v>46</v>
      </c>
      <c r="Z348" s="8">
        <v>10</v>
      </c>
      <c r="AA348" s="202" t="str">
        <f t="shared" si="6"/>
        <v>Морковь</v>
      </c>
      <c r="AC348" t="s">
        <v>1201</v>
      </c>
      <c r="AD348" t="s">
        <v>1363</v>
      </c>
      <c r="AE348" t="s">
        <v>1495</v>
      </c>
    </row>
    <row r="349" spans="1:31" ht="15" customHeight="1" x14ac:dyDescent="0.25">
      <c r="A349" t="s">
        <v>153</v>
      </c>
      <c r="L349" s="202">
        <v>12</v>
      </c>
      <c r="M349" s="202" t="s">
        <v>1498</v>
      </c>
      <c r="N349" s="202" t="s">
        <v>107</v>
      </c>
      <c r="O349" t="s">
        <v>1215</v>
      </c>
      <c r="P349" s="202" t="s">
        <v>107</v>
      </c>
      <c r="T349">
        <v>743</v>
      </c>
      <c r="U349" s="7">
        <v>3</v>
      </c>
      <c r="V349" t="s">
        <v>966</v>
      </c>
      <c r="W349" s="257" t="s">
        <v>967</v>
      </c>
      <c r="X349" t="s">
        <v>968</v>
      </c>
      <c r="Y349" s="316" t="s">
        <v>32</v>
      </c>
      <c r="Z349" s="8">
        <v>10</v>
      </c>
      <c r="AA349" s="202" t="str">
        <f t="shared" si="6"/>
        <v>Лук репчатый</v>
      </c>
      <c r="AC349" t="s">
        <v>1201</v>
      </c>
      <c r="AD349" t="s">
        <v>1134</v>
      </c>
      <c r="AE349" t="s">
        <v>1495</v>
      </c>
    </row>
    <row r="350" spans="1:31" ht="15" customHeight="1" x14ac:dyDescent="0.25">
      <c r="A350" t="s">
        <v>153</v>
      </c>
      <c r="L350" s="202">
        <v>12</v>
      </c>
      <c r="M350" s="202" t="s">
        <v>1498</v>
      </c>
      <c r="N350" t="s">
        <v>109</v>
      </c>
      <c r="O350" s="316" t="s">
        <v>109</v>
      </c>
      <c r="P350" t="s">
        <v>109</v>
      </c>
      <c r="T350">
        <v>744</v>
      </c>
      <c r="U350" s="7">
        <v>3</v>
      </c>
      <c r="V350" t="s">
        <v>966</v>
      </c>
      <c r="W350" s="257" t="s">
        <v>967</v>
      </c>
      <c r="X350" t="s">
        <v>968</v>
      </c>
      <c r="Y350" s="316" t="s">
        <v>76</v>
      </c>
      <c r="Z350" s="8">
        <v>2</v>
      </c>
      <c r="AA350" s="202" t="str">
        <f t="shared" si="6"/>
        <v>Томат-паста</v>
      </c>
      <c r="AC350" t="s">
        <v>1201</v>
      </c>
      <c r="AD350" t="s">
        <v>1136</v>
      </c>
      <c r="AE350" t="s">
        <v>1495</v>
      </c>
    </row>
    <row r="351" spans="1:31" ht="15" customHeight="1" x14ac:dyDescent="0.25">
      <c r="A351" t="s">
        <v>153</v>
      </c>
      <c r="L351" s="202">
        <v>12</v>
      </c>
      <c r="M351" s="202" t="s">
        <v>178</v>
      </c>
      <c r="N351" s="202" t="s">
        <v>85</v>
      </c>
      <c r="O351" s="300" t="s">
        <v>204</v>
      </c>
      <c r="P351" s="202" t="s">
        <v>85</v>
      </c>
      <c r="Q351" t="s">
        <v>37</v>
      </c>
      <c r="T351">
        <v>745</v>
      </c>
      <c r="U351" s="7">
        <v>3</v>
      </c>
      <c r="V351" t="s">
        <v>966</v>
      </c>
      <c r="W351" s="257" t="s">
        <v>967</v>
      </c>
      <c r="X351" t="s">
        <v>968</v>
      </c>
      <c r="Y351" s="316" t="s">
        <v>61</v>
      </c>
      <c r="Z351" s="8">
        <v>5</v>
      </c>
      <c r="AA351" s="202" t="str">
        <f t="shared" si="6"/>
        <v>Масло растительное</v>
      </c>
      <c r="AC351" t="s">
        <v>1201</v>
      </c>
      <c r="AD351" t="s">
        <v>1144</v>
      </c>
      <c r="AE351" t="s">
        <v>1495</v>
      </c>
    </row>
    <row r="352" spans="1:31" ht="15" customHeight="1" x14ac:dyDescent="0.25">
      <c r="A352" t="s">
        <v>153</v>
      </c>
      <c r="L352" s="202">
        <v>12</v>
      </c>
      <c r="M352" s="202" t="s">
        <v>178</v>
      </c>
      <c r="N352" s="202" t="s">
        <v>85</v>
      </c>
      <c r="O352" s="300" t="s">
        <v>85</v>
      </c>
      <c r="P352" s="202" t="s">
        <v>85</v>
      </c>
      <c r="Q352" t="s">
        <v>37</v>
      </c>
      <c r="T352">
        <v>746</v>
      </c>
      <c r="U352" s="7">
        <v>3</v>
      </c>
      <c r="V352" t="s">
        <v>966</v>
      </c>
      <c r="W352" s="257" t="s">
        <v>967</v>
      </c>
      <c r="X352" t="s">
        <v>968</v>
      </c>
      <c r="Y352" s="316" t="s">
        <v>434</v>
      </c>
      <c r="Z352" s="8">
        <v>2</v>
      </c>
      <c r="AA352" s="202" t="str">
        <f t="shared" si="6"/>
        <v>Мука пшеничная 1 с</v>
      </c>
      <c r="AC352" t="s">
        <v>1202</v>
      </c>
      <c r="AD352" t="s">
        <v>1202</v>
      </c>
      <c r="AE352" t="s">
        <v>1495</v>
      </c>
    </row>
    <row r="353" spans="1:31" ht="15" customHeight="1" x14ac:dyDescent="0.25">
      <c r="A353" t="s">
        <v>153</v>
      </c>
      <c r="L353" s="202">
        <v>12</v>
      </c>
      <c r="M353" s="202" t="s">
        <v>178</v>
      </c>
      <c r="N353" s="202" t="s">
        <v>85</v>
      </c>
      <c r="O353" s="300" t="s">
        <v>319</v>
      </c>
      <c r="P353" s="202" t="s">
        <v>85</v>
      </c>
      <c r="Q353" t="s">
        <v>37</v>
      </c>
      <c r="T353">
        <v>747</v>
      </c>
      <c r="U353" s="7">
        <v>3</v>
      </c>
      <c r="V353" t="s">
        <v>966</v>
      </c>
      <c r="W353" s="257" t="s">
        <v>967</v>
      </c>
      <c r="X353" t="s">
        <v>968</v>
      </c>
      <c r="Y353" s="316" t="s">
        <v>326</v>
      </c>
      <c r="Z353" s="8">
        <v>3</v>
      </c>
      <c r="AA353" s="202" t="str">
        <f t="shared" si="6"/>
        <v>Соль</v>
      </c>
      <c r="AC353" t="s">
        <v>1202</v>
      </c>
      <c r="AD353" t="s">
        <v>1335</v>
      </c>
      <c r="AE353" t="s">
        <v>1495</v>
      </c>
    </row>
    <row r="354" spans="1:31" ht="15" customHeight="1" x14ac:dyDescent="0.25">
      <c r="A354" t="s">
        <v>153</v>
      </c>
      <c r="L354" s="202">
        <v>12</v>
      </c>
      <c r="M354" s="202" t="s">
        <v>178</v>
      </c>
      <c r="N354" s="202" t="s">
        <v>86</v>
      </c>
      <c r="O354" s="300" t="s">
        <v>86</v>
      </c>
      <c r="P354" s="202" t="s">
        <v>86</v>
      </c>
      <c r="Q354" t="s">
        <v>37</v>
      </c>
      <c r="T354">
        <v>748</v>
      </c>
      <c r="U354" s="7">
        <v>3</v>
      </c>
      <c r="V354" t="s">
        <v>966</v>
      </c>
      <c r="W354" s="257" t="s">
        <v>967</v>
      </c>
      <c r="X354" t="s">
        <v>968</v>
      </c>
      <c r="Y354" s="316" t="s">
        <v>480</v>
      </c>
      <c r="Z354" s="8">
        <v>50</v>
      </c>
      <c r="AA354" s="202" t="str">
        <f t="shared" si="6"/>
        <v>Вода или бульон</v>
      </c>
      <c r="AC354" t="s">
        <v>1202</v>
      </c>
      <c r="AD354" t="s">
        <v>1060</v>
      </c>
      <c r="AE354" t="s">
        <v>1495</v>
      </c>
    </row>
    <row r="355" spans="1:31" ht="15" customHeight="1" x14ac:dyDescent="0.25">
      <c r="A355" t="s">
        <v>153</v>
      </c>
      <c r="L355" s="202">
        <v>12</v>
      </c>
      <c r="M355" s="202" t="s">
        <v>178</v>
      </c>
      <c r="N355" s="202" t="s">
        <v>161</v>
      </c>
      <c r="O355" s="300" t="s">
        <v>203</v>
      </c>
      <c r="P355" s="202" t="s">
        <v>161</v>
      </c>
      <c r="Q355" t="s">
        <v>37</v>
      </c>
      <c r="T355">
        <v>749</v>
      </c>
      <c r="U355" s="7">
        <v>3</v>
      </c>
      <c r="V355" t="s">
        <v>966</v>
      </c>
      <c r="W355" s="257" t="s">
        <v>967</v>
      </c>
      <c r="X355" t="s">
        <v>968</v>
      </c>
      <c r="Y355" s="316" t="s">
        <v>558</v>
      </c>
      <c r="Z355" s="8">
        <v>294</v>
      </c>
      <c r="AA355" s="202" t="str">
        <f t="shared" si="6"/>
        <v>Общая масса готового блюда, г</v>
      </c>
      <c r="AC355" t="s">
        <v>1202</v>
      </c>
      <c r="AD355" t="s">
        <v>1062</v>
      </c>
      <c r="AE355" t="s">
        <v>1495</v>
      </c>
    </row>
    <row r="356" spans="1:31" ht="15" customHeight="1" x14ac:dyDescent="0.25">
      <c r="A356" t="s">
        <v>153</v>
      </c>
      <c r="L356" s="202">
        <v>12</v>
      </c>
      <c r="M356" s="202" t="s">
        <v>178</v>
      </c>
      <c r="N356" s="202" t="s">
        <v>161</v>
      </c>
      <c r="O356" s="300" t="s">
        <v>161</v>
      </c>
      <c r="P356" s="202" t="s">
        <v>161</v>
      </c>
      <c r="Q356" t="s">
        <v>37</v>
      </c>
      <c r="T356">
        <v>749</v>
      </c>
      <c r="U356" s="7">
        <v>3</v>
      </c>
      <c r="V356" t="s">
        <v>966</v>
      </c>
      <c r="W356" s="257" t="s">
        <v>967</v>
      </c>
      <c r="X356" t="s">
        <v>968</v>
      </c>
      <c r="Y356" s="316" t="s">
        <v>109</v>
      </c>
      <c r="Z356" s="8">
        <v>415</v>
      </c>
      <c r="AA356" s="202" t="str">
        <f t="shared" si="6"/>
        <v>ОКГ</v>
      </c>
      <c r="AC356" t="s">
        <v>1202</v>
      </c>
      <c r="AD356" t="s">
        <v>1064</v>
      </c>
      <c r="AE356" t="s">
        <v>1495</v>
      </c>
    </row>
    <row r="357" spans="1:31" ht="15" customHeight="1" x14ac:dyDescent="0.25">
      <c r="A357" t="s">
        <v>153</v>
      </c>
      <c r="L357" s="202">
        <v>12</v>
      </c>
      <c r="M357" s="202" t="s">
        <v>178</v>
      </c>
      <c r="N357" s="202" t="s">
        <v>161</v>
      </c>
      <c r="O357" s="300" t="s">
        <v>87</v>
      </c>
      <c r="P357" s="202" t="s">
        <v>161</v>
      </c>
      <c r="Q357" t="s">
        <v>37</v>
      </c>
      <c r="T357">
        <v>750</v>
      </c>
      <c r="U357" s="7">
        <v>3</v>
      </c>
      <c r="V357" t="s">
        <v>966</v>
      </c>
      <c r="W357" s="257" t="s">
        <v>967</v>
      </c>
      <c r="X357" t="s">
        <v>968</v>
      </c>
      <c r="Y357" s="316" t="s">
        <v>74</v>
      </c>
      <c r="Z357" s="8">
        <v>0.02</v>
      </c>
      <c r="AA357" s="202" t="str">
        <f t="shared" si="6"/>
        <v>Лавровый лист</v>
      </c>
      <c r="AC357" t="s">
        <v>1202</v>
      </c>
      <c r="AD357" t="s">
        <v>1066</v>
      </c>
      <c r="AE357" t="s">
        <v>1495</v>
      </c>
    </row>
    <row r="358" spans="1:31" ht="15" customHeight="1" x14ac:dyDescent="0.25">
      <c r="A358" t="s">
        <v>153</v>
      </c>
      <c r="L358" s="202">
        <v>12</v>
      </c>
      <c r="M358" s="202" t="s">
        <v>178</v>
      </c>
      <c r="N358" s="202" t="s">
        <v>537</v>
      </c>
      <c r="O358" s="300" t="s">
        <v>537</v>
      </c>
      <c r="P358" s="202" t="s">
        <v>537</v>
      </c>
      <c r="Q358" t="s">
        <v>37</v>
      </c>
      <c r="T358">
        <v>751</v>
      </c>
      <c r="U358" s="7">
        <v>3</v>
      </c>
      <c r="V358" t="s">
        <v>966</v>
      </c>
      <c r="W358" s="257" t="s">
        <v>967</v>
      </c>
      <c r="X358" t="s">
        <v>968</v>
      </c>
      <c r="Y358" s="316" t="s">
        <v>484</v>
      </c>
      <c r="Z358" s="8">
        <v>0.05</v>
      </c>
      <c r="AA358" s="202" t="str">
        <f t="shared" si="6"/>
        <v>Перец черный</v>
      </c>
      <c r="AC358" t="s">
        <v>1202</v>
      </c>
      <c r="AD358" t="s">
        <v>1068</v>
      </c>
      <c r="AE358" t="s">
        <v>1495</v>
      </c>
    </row>
    <row r="359" spans="1:31" ht="15" customHeight="1" x14ac:dyDescent="0.25">
      <c r="A359" t="s">
        <v>153</v>
      </c>
      <c r="L359" s="202">
        <v>12</v>
      </c>
      <c r="M359" s="202" t="s">
        <v>178</v>
      </c>
      <c r="N359" s="202" t="s">
        <v>538</v>
      </c>
      <c r="O359" s="300" t="s">
        <v>538</v>
      </c>
      <c r="P359" s="202" t="s">
        <v>538</v>
      </c>
      <c r="Q359" t="s">
        <v>37</v>
      </c>
      <c r="T359">
        <v>2859</v>
      </c>
      <c r="U359" s="7">
        <v>3</v>
      </c>
      <c r="V359" t="s">
        <v>1192</v>
      </c>
      <c r="W359" s="257" t="s">
        <v>160</v>
      </c>
      <c r="X359" t="s">
        <v>160</v>
      </c>
      <c r="Y359" s="316" t="s">
        <v>495</v>
      </c>
      <c r="Z359" s="8">
        <v>20</v>
      </c>
      <c r="AA359" s="202" t="str">
        <f t="shared" si="6"/>
        <v>Горошек консерв.</v>
      </c>
      <c r="AC359" t="s">
        <v>1202</v>
      </c>
      <c r="AD359" t="s">
        <v>1070</v>
      </c>
      <c r="AE359" t="s">
        <v>1495</v>
      </c>
    </row>
    <row r="360" spans="1:31" ht="15" customHeight="1" x14ac:dyDescent="0.25">
      <c r="A360" t="s">
        <v>153</v>
      </c>
      <c r="L360" s="202">
        <v>12</v>
      </c>
      <c r="M360" s="202" t="s">
        <v>178</v>
      </c>
      <c r="N360" s="202" t="s">
        <v>88</v>
      </c>
      <c r="O360" s="300" t="s">
        <v>88</v>
      </c>
      <c r="P360" s="202" t="s">
        <v>88</v>
      </c>
      <c r="Q360" t="s">
        <v>540</v>
      </c>
      <c r="T360">
        <v>2860</v>
      </c>
      <c r="U360" s="7">
        <v>3</v>
      </c>
      <c r="V360" t="s">
        <v>1192</v>
      </c>
      <c r="W360" s="257" t="s">
        <v>160</v>
      </c>
      <c r="X360" t="s">
        <v>160</v>
      </c>
      <c r="Y360" s="316" t="s">
        <v>558</v>
      </c>
      <c r="Z360" s="8">
        <v>20</v>
      </c>
      <c r="AA360" s="202" t="str">
        <f t="shared" si="6"/>
        <v>Общая масса готового блюда, г</v>
      </c>
      <c r="AC360" t="s">
        <v>1202</v>
      </c>
      <c r="AD360" t="s">
        <v>1072</v>
      </c>
      <c r="AE360" t="s">
        <v>1495</v>
      </c>
    </row>
    <row r="361" spans="1:31" ht="15" customHeight="1" x14ac:dyDescent="0.25">
      <c r="A361" t="s">
        <v>153</v>
      </c>
      <c r="L361" s="202">
        <v>12</v>
      </c>
      <c r="M361" s="202" t="s">
        <v>178</v>
      </c>
      <c r="N361" s="202" t="s">
        <v>89</v>
      </c>
      <c r="O361" s="300" t="s">
        <v>488</v>
      </c>
      <c r="P361" s="202" t="s">
        <v>89</v>
      </c>
      <c r="Q361" t="s">
        <v>37</v>
      </c>
      <c r="T361">
        <v>2861</v>
      </c>
      <c r="U361" s="7">
        <v>3</v>
      </c>
      <c r="V361" t="s">
        <v>1192</v>
      </c>
      <c r="W361" s="257" t="s">
        <v>142</v>
      </c>
      <c r="X361" t="s">
        <v>142</v>
      </c>
      <c r="Y361" s="316" t="s">
        <v>142</v>
      </c>
      <c r="Z361" s="8">
        <v>5</v>
      </c>
      <c r="AA361" s="202" t="str">
        <f t="shared" si="6"/>
        <v>Горчица</v>
      </c>
      <c r="AC361" t="s">
        <v>1202</v>
      </c>
      <c r="AD361" t="s">
        <v>1339</v>
      </c>
      <c r="AE361" t="s">
        <v>1495</v>
      </c>
    </row>
    <row r="362" spans="1:31" ht="15" customHeight="1" x14ac:dyDescent="0.25">
      <c r="A362" t="s">
        <v>153</v>
      </c>
      <c r="L362" s="202">
        <v>12</v>
      </c>
      <c r="M362" s="202" t="s">
        <v>178</v>
      </c>
      <c r="N362" s="202" t="s">
        <v>89</v>
      </c>
      <c r="O362" s="300" t="s">
        <v>549</v>
      </c>
      <c r="P362" s="202" t="s">
        <v>89</v>
      </c>
      <c r="Q362" t="s">
        <v>37</v>
      </c>
      <c r="T362">
        <v>2862</v>
      </c>
      <c r="U362" s="7">
        <v>3</v>
      </c>
      <c r="V362" t="s">
        <v>1192</v>
      </c>
      <c r="W362" s="257" t="s">
        <v>142</v>
      </c>
      <c r="X362" t="s">
        <v>142</v>
      </c>
      <c r="Y362" s="316" t="s">
        <v>558</v>
      </c>
      <c r="Z362" s="8">
        <v>5</v>
      </c>
      <c r="AA362" s="202" t="str">
        <f t="shared" si="6"/>
        <v>Общая масса готового блюда, г</v>
      </c>
      <c r="AC362" t="s">
        <v>1202</v>
      </c>
      <c r="AD362" t="s">
        <v>1341</v>
      </c>
      <c r="AE362" t="s">
        <v>1495</v>
      </c>
    </row>
    <row r="363" spans="1:31" ht="15" customHeight="1" x14ac:dyDescent="0.25">
      <c r="A363" t="s">
        <v>153</v>
      </c>
      <c r="L363" s="202">
        <v>12</v>
      </c>
      <c r="M363" s="202" t="s">
        <v>178</v>
      </c>
      <c r="N363" s="202" t="s">
        <v>89</v>
      </c>
      <c r="O363" s="300" t="s">
        <v>89</v>
      </c>
      <c r="P363" s="202" t="s">
        <v>89</v>
      </c>
      <c r="Q363" t="s">
        <v>37</v>
      </c>
      <c r="T363">
        <v>2882</v>
      </c>
      <c r="U363" s="7">
        <v>3</v>
      </c>
      <c r="V363" t="s">
        <v>1165</v>
      </c>
      <c r="W363" s="6" t="s">
        <v>1166</v>
      </c>
      <c r="X363" t="s">
        <v>1167</v>
      </c>
      <c r="Y363" s="316" t="s">
        <v>69</v>
      </c>
      <c r="Z363" s="8">
        <v>5.8</v>
      </c>
      <c r="AA363" s="202" t="str">
        <f t="shared" si="6"/>
        <v>Горчичный порошок</v>
      </c>
      <c r="AC363" t="s">
        <v>1202</v>
      </c>
      <c r="AD363" t="s">
        <v>1111</v>
      </c>
      <c r="AE363" t="s">
        <v>1495</v>
      </c>
    </row>
    <row r="364" spans="1:31" ht="15" customHeight="1" x14ac:dyDescent="0.25">
      <c r="A364" t="s">
        <v>153</v>
      </c>
      <c r="L364" s="202">
        <v>3</v>
      </c>
      <c r="M364" s="202" t="s">
        <v>42</v>
      </c>
      <c r="N364" t="s">
        <v>409</v>
      </c>
      <c r="O364" t="s">
        <v>1555</v>
      </c>
      <c r="P364" t="s">
        <v>409</v>
      </c>
      <c r="Q364" t="s">
        <v>37</v>
      </c>
      <c r="T364">
        <v>2883</v>
      </c>
      <c r="U364" s="7">
        <v>3</v>
      </c>
      <c r="V364" t="s">
        <v>1165</v>
      </c>
      <c r="W364" s="6" t="s">
        <v>1166</v>
      </c>
      <c r="X364" t="s">
        <v>1167</v>
      </c>
      <c r="Y364" s="316" t="s">
        <v>61</v>
      </c>
      <c r="Z364" s="8">
        <v>0.7</v>
      </c>
      <c r="AA364" s="202" t="str">
        <f t="shared" si="6"/>
        <v>Масло растительное</v>
      </c>
      <c r="AC364" t="s">
        <v>1202</v>
      </c>
      <c r="AD364" t="s">
        <v>1353</v>
      </c>
      <c r="AE364" t="s">
        <v>1495</v>
      </c>
    </row>
    <row r="365" spans="1:31" ht="15" customHeight="1" x14ac:dyDescent="0.25">
      <c r="A365" t="s">
        <v>153</v>
      </c>
      <c r="L365" s="202">
        <v>3</v>
      </c>
      <c r="M365" s="202" t="s">
        <v>42</v>
      </c>
      <c r="N365" t="s">
        <v>409</v>
      </c>
      <c r="O365" t="s">
        <v>1556</v>
      </c>
      <c r="P365" t="s">
        <v>409</v>
      </c>
      <c r="Q365" t="s">
        <v>37</v>
      </c>
      <c r="T365">
        <v>2884</v>
      </c>
      <c r="U365" s="7">
        <v>3</v>
      </c>
      <c r="V365" t="s">
        <v>1165</v>
      </c>
      <c r="W365" s="6" t="s">
        <v>1166</v>
      </c>
      <c r="X365" t="s">
        <v>1167</v>
      </c>
      <c r="Y365" s="316" t="s">
        <v>486</v>
      </c>
      <c r="Z365" s="8">
        <v>4</v>
      </c>
      <c r="AA365" s="202" t="str">
        <f t="shared" si="6"/>
        <v>Уксус</v>
      </c>
      <c r="AC365" t="s">
        <v>1202</v>
      </c>
      <c r="AD365" t="s">
        <v>1113</v>
      </c>
      <c r="AE365" t="s">
        <v>1495</v>
      </c>
    </row>
    <row r="366" spans="1:31" ht="15" customHeight="1" x14ac:dyDescent="0.25">
      <c r="A366" t="s">
        <v>153</v>
      </c>
      <c r="L366"/>
      <c r="M366"/>
      <c r="N366"/>
      <c r="O366"/>
      <c r="P366"/>
      <c r="T366">
        <v>2885</v>
      </c>
      <c r="U366" s="7">
        <v>3</v>
      </c>
      <c r="V366" t="s">
        <v>1165</v>
      </c>
      <c r="W366" s="6" t="s">
        <v>1166</v>
      </c>
      <c r="X366" t="s">
        <v>1167</v>
      </c>
      <c r="Y366" s="316" t="s">
        <v>330</v>
      </c>
      <c r="Z366" s="8">
        <v>9.8000000000000007</v>
      </c>
      <c r="AA366" s="202" t="str">
        <f t="shared" si="6"/>
        <v>Вода</v>
      </c>
      <c r="AC366" t="s">
        <v>1202</v>
      </c>
      <c r="AD366" t="s">
        <v>1115</v>
      </c>
      <c r="AE366" t="s">
        <v>1495</v>
      </c>
    </row>
    <row r="367" spans="1:31" ht="15" customHeight="1" x14ac:dyDescent="0.25">
      <c r="A367" t="s">
        <v>153</v>
      </c>
      <c r="L367"/>
      <c r="M367"/>
      <c r="N367"/>
      <c r="O367"/>
      <c r="P367"/>
      <c r="T367">
        <v>2886</v>
      </c>
      <c r="U367" s="7">
        <v>3</v>
      </c>
      <c r="V367" t="s">
        <v>1165</v>
      </c>
      <c r="W367" s="6" t="s">
        <v>1166</v>
      </c>
      <c r="X367" t="s">
        <v>1167</v>
      </c>
      <c r="Y367" s="316" t="s">
        <v>326</v>
      </c>
      <c r="Z367" s="8">
        <v>0.7</v>
      </c>
      <c r="AA367" s="202" t="str">
        <f t="shared" si="6"/>
        <v>Соль</v>
      </c>
      <c r="AC367" t="s">
        <v>1202</v>
      </c>
      <c r="AD367" t="s">
        <v>1117</v>
      </c>
      <c r="AE367" t="s">
        <v>1495</v>
      </c>
    </row>
    <row r="368" spans="1:31" ht="15" customHeight="1" x14ac:dyDescent="0.25">
      <c r="A368" t="s">
        <v>153</v>
      </c>
      <c r="L368"/>
      <c r="M368"/>
      <c r="N368"/>
      <c r="O368"/>
      <c r="P368"/>
      <c r="T368">
        <v>2887</v>
      </c>
      <c r="U368" s="7">
        <v>3</v>
      </c>
      <c r="V368" t="s">
        <v>1165</v>
      </c>
      <c r="W368" s="6" t="s">
        <v>1166</v>
      </c>
      <c r="X368" t="s">
        <v>1167</v>
      </c>
      <c r="Y368" s="316" t="s">
        <v>558</v>
      </c>
      <c r="Z368" s="8">
        <v>20</v>
      </c>
      <c r="AA368" s="202" t="str">
        <f t="shared" si="6"/>
        <v>Общая масса готового блюда, г</v>
      </c>
      <c r="AC368" t="s">
        <v>1202</v>
      </c>
      <c r="AD368" t="s">
        <v>1140</v>
      </c>
      <c r="AE368" t="s">
        <v>1495</v>
      </c>
    </row>
    <row r="369" spans="1:31" ht="15" customHeight="1" x14ac:dyDescent="0.25">
      <c r="A369" t="s">
        <v>153</v>
      </c>
      <c r="L369"/>
      <c r="M369"/>
      <c r="N369"/>
      <c r="O369"/>
      <c r="P369"/>
      <c r="T369">
        <v>1926</v>
      </c>
      <c r="U369" s="7">
        <v>3</v>
      </c>
      <c r="V369" t="s">
        <v>613</v>
      </c>
      <c r="W369" s="257" t="s">
        <v>637</v>
      </c>
      <c r="X369" t="s">
        <v>638</v>
      </c>
      <c r="Y369" s="316" t="s">
        <v>454</v>
      </c>
      <c r="Z369" s="8">
        <v>0.75</v>
      </c>
      <c r="AA369" s="202" t="str">
        <f t="shared" si="6"/>
        <v>Говядина б/к</v>
      </c>
      <c r="AC369" t="s">
        <v>1202</v>
      </c>
      <c r="AD369" t="s">
        <v>1142</v>
      </c>
      <c r="AE369" t="s">
        <v>1495</v>
      </c>
    </row>
    <row r="370" spans="1:31" ht="15" customHeight="1" x14ac:dyDescent="0.25">
      <c r="A370" t="s">
        <v>153</v>
      </c>
      <c r="L370"/>
      <c r="M370"/>
      <c r="N370"/>
      <c r="O370"/>
      <c r="P370"/>
      <c r="T370">
        <v>1927</v>
      </c>
      <c r="U370" s="7">
        <v>3</v>
      </c>
      <c r="V370" t="s">
        <v>613</v>
      </c>
      <c r="W370" s="257" t="s">
        <v>637</v>
      </c>
      <c r="X370" t="s">
        <v>638</v>
      </c>
      <c r="Y370" s="316" t="s">
        <v>61</v>
      </c>
      <c r="Z370" s="8">
        <v>5</v>
      </c>
      <c r="AA370" s="202" t="str">
        <f t="shared" si="6"/>
        <v>Масло растительное</v>
      </c>
      <c r="AC370" t="s">
        <v>1195</v>
      </c>
      <c r="AD370" t="s">
        <v>1195</v>
      </c>
      <c r="AE370" t="s">
        <v>1195</v>
      </c>
    </row>
    <row r="371" spans="1:31" ht="15" customHeight="1" x14ac:dyDescent="0.25">
      <c r="A371" t="s">
        <v>153</v>
      </c>
      <c r="L371"/>
      <c r="M371"/>
      <c r="N371"/>
      <c r="O371"/>
      <c r="P371"/>
      <c r="T371">
        <v>1928</v>
      </c>
      <c r="U371" s="7">
        <v>3</v>
      </c>
      <c r="V371" t="s">
        <v>613</v>
      </c>
      <c r="W371" s="257" t="s">
        <v>637</v>
      </c>
      <c r="X371" t="s">
        <v>638</v>
      </c>
      <c r="Y371" s="316" t="s">
        <v>32</v>
      </c>
      <c r="Z371" s="8">
        <v>10</v>
      </c>
      <c r="AA371" s="202" t="str">
        <f t="shared" si="6"/>
        <v>Лук репчатый</v>
      </c>
      <c r="AC371" t="s">
        <v>1195</v>
      </c>
      <c r="AD371" t="s">
        <v>1149</v>
      </c>
      <c r="AE371" t="s">
        <v>1195</v>
      </c>
    </row>
    <row r="372" spans="1:31" ht="15" customHeight="1" x14ac:dyDescent="0.25">
      <c r="A372" t="s">
        <v>153</v>
      </c>
      <c r="L372"/>
      <c r="M372"/>
      <c r="N372"/>
      <c r="O372"/>
      <c r="P372"/>
      <c r="T372">
        <v>1929</v>
      </c>
      <c r="U372" s="7">
        <v>3</v>
      </c>
      <c r="V372" t="s">
        <v>613</v>
      </c>
      <c r="W372" s="257" t="s">
        <v>637</v>
      </c>
      <c r="X372" t="s">
        <v>638</v>
      </c>
      <c r="Y372" s="316" t="s">
        <v>46</v>
      </c>
      <c r="Z372" s="8">
        <v>10</v>
      </c>
      <c r="AA372" s="202" t="str">
        <f t="shared" si="6"/>
        <v>Морковь</v>
      </c>
      <c r="AC372" t="s">
        <v>1195</v>
      </c>
      <c r="AD372" t="s">
        <v>1299</v>
      </c>
      <c r="AE372" t="s">
        <v>1195</v>
      </c>
    </row>
    <row r="373" spans="1:31" ht="15" customHeight="1" x14ac:dyDescent="0.25">
      <c r="A373" t="s">
        <v>153</v>
      </c>
      <c r="L373"/>
      <c r="M373"/>
      <c r="N373"/>
      <c r="O373"/>
      <c r="P373"/>
      <c r="T373">
        <v>1930</v>
      </c>
      <c r="U373" s="7">
        <v>3</v>
      </c>
      <c r="V373" t="s">
        <v>613</v>
      </c>
      <c r="W373" s="257" t="s">
        <v>637</v>
      </c>
      <c r="X373" t="s">
        <v>638</v>
      </c>
      <c r="Y373" s="316" t="s">
        <v>76</v>
      </c>
      <c r="Z373" s="8">
        <v>2</v>
      </c>
      <c r="AA373" s="202" t="str">
        <f t="shared" si="6"/>
        <v>Томат-паста</v>
      </c>
      <c r="AC373" t="s">
        <v>1195</v>
      </c>
      <c r="AD373" t="s">
        <v>1151</v>
      </c>
      <c r="AE373" t="s">
        <v>1195</v>
      </c>
    </row>
    <row r="374" spans="1:31" ht="15" customHeight="1" x14ac:dyDescent="0.25">
      <c r="A374" t="s">
        <v>153</v>
      </c>
      <c r="L374"/>
      <c r="M374"/>
      <c r="N374"/>
      <c r="O374"/>
      <c r="P374"/>
      <c r="T374">
        <v>1931</v>
      </c>
      <c r="U374" s="7">
        <v>3</v>
      </c>
      <c r="V374" t="s">
        <v>613</v>
      </c>
      <c r="W374" s="257" t="s">
        <v>637</v>
      </c>
      <c r="X374" t="s">
        <v>638</v>
      </c>
      <c r="Y374" s="316" t="s">
        <v>434</v>
      </c>
      <c r="Z374" s="8">
        <v>2</v>
      </c>
      <c r="AA374" s="202" t="str">
        <f t="shared" si="6"/>
        <v>Мука пшеничная 1 с</v>
      </c>
      <c r="AC374" t="s">
        <v>1195</v>
      </c>
      <c r="AD374" t="s">
        <v>1152</v>
      </c>
      <c r="AE374" t="s">
        <v>1195</v>
      </c>
    </row>
    <row r="375" spans="1:31" ht="15" customHeight="1" x14ac:dyDescent="0.25">
      <c r="A375" t="s">
        <v>153</v>
      </c>
      <c r="L375"/>
      <c r="M375"/>
      <c r="N375"/>
      <c r="O375"/>
      <c r="P375"/>
      <c r="T375">
        <v>1932</v>
      </c>
      <c r="U375" s="7">
        <v>3</v>
      </c>
      <c r="V375" t="s">
        <v>613</v>
      </c>
      <c r="W375" s="257" t="s">
        <v>637</v>
      </c>
      <c r="X375" t="s">
        <v>638</v>
      </c>
      <c r="Y375" s="316" t="s">
        <v>326</v>
      </c>
      <c r="Z375" s="8">
        <v>2</v>
      </c>
      <c r="AA375" s="202" t="str">
        <f t="shared" si="6"/>
        <v>Соль</v>
      </c>
      <c r="AC375" t="s">
        <v>1195</v>
      </c>
      <c r="AD375" t="s">
        <v>1154</v>
      </c>
      <c r="AE375" t="s">
        <v>1195</v>
      </c>
    </row>
    <row r="376" spans="1:31" ht="15" customHeight="1" x14ac:dyDescent="0.25">
      <c r="A376" t="s">
        <v>153</v>
      </c>
      <c r="L376"/>
      <c r="M376"/>
      <c r="N376"/>
      <c r="O376"/>
      <c r="P376"/>
      <c r="T376">
        <v>1933</v>
      </c>
      <c r="U376" s="7">
        <v>3</v>
      </c>
      <c r="V376" t="s">
        <v>613</v>
      </c>
      <c r="W376" s="257" t="s">
        <v>637</v>
      </c>
      <c r="X376" t="s">
        <v>638</v>
      </c>
      <c r="Y376" s="316" t="s">
        <v>74</v>
      </c>
      <c r="Z376" s="8">
        <v>0.02</v>
      </c>
      <c r="AA376" s="202" t="str">
        <f t="shared" si="6"/>
        <v>Лавровый лист</v>
      </c>
      <c r="AC376" t="s">
        <v>1195</v>
      </c>
      <c r="AD376" t="s">
        <v>1156</v>
      </c>
      <c r="AE376" t="s">
        <v>1195</v>
      </c>
    </row>
    <row r="377" spans="1:31" ht="15" customHeight="1" x14ac:dyDescent="0.25">
      <c r="A377" t="s">
        <v>153</v>
      </c>
      <c r="L377"/>
      <c r="M377"/>
      <c r="N377"/>
      <c r="O377"/>
      <c r="P377"/>
      <c r="T377">
        <v>1934</v>
      </c>
      <c r="U377" s="7">
        <v>3</v>
      </c>
      <c r="V377" t="s">
        <v>613</v>
      </c>
      <c r="W377" s="257" t="s">
        <v>637</v>
      </c>
      <c r="X377" t="s">
        <v>638</v>
      </c>
      <c r="Y377" s="316" t="s">
        <v>484</v>
      </c>
      <c r="Z377" s="8">
        <v>0.01</v>
      </c>
      <c r="AA377" s="202" t="str">
        <f t="shared" si="6"/>
        <v>Перец черный</v>
      </c>
      <c r="AC377" t="s">
        <v>1195</v>
      </c>
      <c r="AD377" t="s">
        <v>1158</v>
      </c>
      <c r="AE377" t="s">
        <v>1195</v>
      </c>
    </row>
    <row r="378" spans="1:31" ht="15" customHeight="1" x14ac:dyDescent="0.25">
      <c r="A378" t="s">
        <v>153</v>
      </c>
      <c r="L378"/>
      <c r="M378"/>
      <c r="N378"/>
      <c r="O378"/>
      <c r="P378"/>
      <c r="T378">
        <v>1935</v>
      </c>
      <c r="U378" s="7">
        <v>3</v>
      </c>
      <c r="V378" t="s">
        <v>613</v>
      </c>
      <c r="W378" s="257" t="s">
        <v>637</v>
      </c>
      <c r="X378" t="s">
        <v>638</v>
      </c>
      <c r="Y378" s="316" t="s">
        <v>1214</v>
      </c>
      <c r="Z378" s="8">
        <v>47</v>
      </c>
      <c r="AA378" s="202" t="str">
        <f t="shared" si="6"/>
        <v>Масса мясных и рыбных порций, г</v>
      </c>
      <c r="AC378" t="s">
        <v>1195</v>
      </c>
      <c r="AD378" t="s">
        <v>1160</v>
      </c>
      <c r="AE378" t="s">
        <v>1195</v>
      </c>
    </row>
    <row r="379" spans="1:31" ht="15" customHeight="1" x14ac:dyDescent="0.25">
      <c r="A379" t="s">
        <v>153</v>
      </c>
      <c r="L379"/>
      <c r="M379"/>
      <c r="N379"/>
      <c r="O379"/>
      <c r="P379"/>
      <c r="T379">
        <v>1935</v>
      </c>
      <c r="U379" s="7">
        <v>3</v>
      </c>
      <c r="V379" t="s">
        <v>613</v>
      </c>
      <c r="W379" s="257" t="s">
        <v>637</v>
      </c>
      <c r="X379" t="s">
        <v>638</v>
      </c>
      <c r="Y379" s="316" t="s">
        <v>1215</v>
      </c>
      <c r="Z379" s="8">
        <v>97</v>
      </c>
      <c r="AA379" s="202" t="str">
        <f t="shared" si="6"/>
        <v>Общая масса готового блюда, г</v>
      </c>
      <c r="AC379" t="s">
        <v>1195</v>
      </c>
      <c r="AD379" t="s">
        <v>1162</v>
      </c>
      <c r="AE379" t="s">
        <v>1195</v>
      </c>
    </row>
    <row r="380" spans="1:31" ht="15" customHeight="1" x14ac:dyDescent="0.25">
      <c r="A380" t="s">
        <v>153</v>
      </c>
      <c r="L380"/>
      <c r="M380"/>
      <c r="N380"/>
      <c r="O380"/>
      <c r="P380"/>
      <c r="T380">
        <v>1916</v>
      </c>
      <c r="U380" s="7">
        <v>3</v>
      </c>
      <c r="V380" t="s">
        <v>613</v>
      </c>
      <c r="W380" s="257" t="s">
        <v>639</v>
      </c>
      <c r="X380" t="s">
        <v>640</v>
      </c>
      <c r="Y380" s="316" t="s">
        <v>455</v>
      </c>
      <c r="Z380" s="8">
        <v>100</v>
      </c>
      <c r="AA380" s="202" t="str">
        <f t="shared" si="6"/>
        <v>Говядина н/к</v>
      </c>
      <c r="AC380" t="s">
        <v>1195</v>
      </c>
      <c r="AD380" t="s">
        <v>75</v>
      </c>
      <c r="AE380" t="s">
        <v>1195</v>
      </c>
    </row>
    <row r="381" spans="1:31" ht="15" customHeight="1" x14ac:dyDescent="0.25">
      <c r="A381" t="s">
        <v>153</v>
      </c>
      <c r="L381"/>
      <c r="M381"/>
      <c r="N381"/>
      <c r="O381"/>
      <c r="P381"/>
      <c r="T381">
        <v>1917</v>
      </c>
      <c r="U381" s="7">
        <v>3</v>
      </c>
      <c r="V381" t="s">
        <v>613</v>
      </c>
      <c r="W381" s="257" t="s">
        <v>639</v>
      </c>
      <c r="X381" t="s">
        <v>640</v>
      </c>
      <c r="Y381" s="316" t="s">
        <v>61</v>
      </c>
      <c r="Z381" s="8">
        <v>5</v>
      </c>
      <c r="AA381" s="202" t="str">
        <f t="shared" si="6"/>
        <v>Масло растительное</v>
      </c>
      <c r="AC381" t="s">
        <v>1195</v>
      </c>
      <c r="AD381" t="s">
        <v>1164</v>
      </c>
      <c r="AE381" t="s">
        <v>1195</v>
      </c>
    </row>
    <row r="382" spans="1:31" ht="15" customHeight="1" x14ac:dyDescent="0.25">
      <c r="A382" t="s">
        <v>153</v>
      </c>
      <c r="L382"/>
      <c r="M382"/>
      <c r="N382"/>
      <c r="O382"/>
      <c r="P382"/>
      <c r="T382">
        <v>1918</v>
      </c>
      <c r="U382" s="7">
        <v>3</v>
      </c>
      <c r="V382" t="s">
        <v>613</v>
      </c>
      <c r="W382" s="257" t="s">
        <v>639</v>
      </c>
      <c r="X382" t="s">
        <v>640</v>
      </c>
      <c r="Y382" s="316" t="s">
        <v>32</v>
      </c>
      <c r="Z382" s="8">
        <v>10</v>
      </c>
      <c r="AA382" s="202" t="str">
        <f t="shared" si="6"/>
        <v>Лук репчатый</v>
      </c>
      <c r="AC382" t="s">
        <v>1196</v>
      </c>
      <c r="AD382" t="s">
        <v>1196</v>
      </c>
      <c r="AE382" t="s">
        <v>1492</v>
      </c>
    </row>
    <row r="383" spans="1:31" ht="15" customHeight="1" x14ac:dyDescent="0.25">
      <c r="A383" t="s">
        <v>153</v>
      </c>
      <c r="L383"/>
      <c r="M383"/>
      <c r="N383"/>
      <c r="O383"/>
      <c r="P383"/>
      <c r="T383">
        <v>1919</v>
      </c>
      <c r="U383" s="7">
        <v>3</v>
      </c>
      <c r="V383" t="s">
        <v>613</v>
      </c>
      <c r="W383" s="257" t="s">
        <v>639</v>
      </c>
      <c r="X383" t="s">
        <v>640</v>
      </c>
      <c r="Y383" s="316" t="s">
        <v>46</v>
      </c>
      <c r="Z383" s="8">
        <v>10</v>
      </c>
      <c r="AA383" s="202" t="str">
        <f t="shared" si="6"/>
        <v>Морковь</v>
      </c>
      <c r="AC383" t="s">
        <v>1196</v>
      </c>
      <c r="AD383" t="s">
        <v>1167</v>
      </c>
      <c r="AE383" t="s">
        <v>1492</v>
      </c>
    </row>
    <row r="384" spans="1:31" ht="15" customHeight="1" x14ac:dyDescent="0.25">
      <c r="A384" t="s">
        <v>153</v>
      </c>
      <c r="L384"/>
      <c r="M384"/>
      <c r="N384"/>
      <c r="O384"/>
      <c r="P384"/>
      <c r="T384">
        <v>1920</v>
      </c>
      <c r="U384" s="7">
        <v>3</v>
      </c>
      <c r="V384" t="s">
        <v>613</v>
      </c>
      <c r="W384" s="257" t="s">
        <v>639</v>
      </c>
      <c r="X384" t="s">
        <v>640</v>
      </c>
      <c r="Y384" s="316" t="s">
        <v>76</v>
      </c>
      <c r="Z384" s="8">
        <v>2</v>
      </c>
      <c r="AA384" s="202" t="str">
        <f t="shared" si="6"/>
        <v>Томат-паста</v>
      </c>
      <c r="AC384" t="s">
        <v>1196</v>
      </c>
      <c r="AD384" t="s">
        <v>1169</v>
      </c>
      <c r="AE384" t="s">
        <v>1492</v>
      </c>
    </row>
    <row r="385" spans="1:31" ht="15" customHeight="1" x14ac:dyDescent="0.25">
      <c r="A385" t="s">
        <v>153</v>
      </c>
      <c r="L385"/>
      <c r="M385"/>
      <c r="N385"/>
      <c r="O385"/>
      <c r="P385"/>
      <c r="T385">
        <v>1921</v>
      </c>
      <c r="U385" s="7">
        <v>3</v>
      </c>
      <c r="V385" t="s">
        <v>613</v>
      </c>
      <c r="W385" s="257" t="s">
        <v>639</v>
      </c>
      <c r="X385" t="s">
        <v>640</v>
      </c>
      <c r="Y385" s="316" t="s">
        <v>434</v>
      </c>
      <c r="Z385" s="8">
        <v>2</v>
      </c>
      <c r="AA385" s="202" t="str">
        <f t="shared" si="6"/>
        <v>Мука пшеничная 1 с</v>
      </c>
      <c r="AC385" t="s">
        <v>1196</v>
      </c>
      <c r="AD385" t="s">
        <v>1171</v>
      </c>
      <c r="AE385" t="s">
        <v>1492</v>
      </c>
    </row>
    <row r="386" spans="1:31" ht="15" customHeight="1" x14ac:dyDescent="0.25">
      <c r="A386" t="s">
        <v>153</v>
      </c>
      <c r="L386"/>
      <c r="M386"/>
      <c r="N386"/>
      <c r="O386"/>
      <c r="P386"/>
      <c r="T386">
        <v>1922</v>
      </c>
      <c r="U386" s="7">
        <v>3</v>
      </c>
      <c r="V386" t="s">
        <v>613</v>
      </c>
      <c r="W386" s="257" t="s">
        <v>639</v>
      </c>
      <c r="X386" t="s">
        <v>640</v>
      </c>
      <c r="Y386" s="316" t="s">
        <v>326</v>
      </c>
      <c r="Z386" s="8">
        <v>2</v>
      </c>
      <c r="AA386" s="202" t="str">
        <f t="shared" ref="AA386:AA449" si="7">VLOOKUP(Y386,O:P,2,FALSE)</f>
        <v>Соль</v>
      </c>
      <c r="AC386" t="s">
        <v>1196</v>
      </c>
      <c r="AD386" t="s">
        <v>1173</v>
      </c>
      <c r="AE386" t="s">
        <v>1492</v>
      </c>
    </row>
    <row r="387" spans="1:31" ht="15" customHeight="1" x14ac:dyDescent="0.25">
      <c r="A387" t="s">
        <v>153</v>
      </c>
      <c r="L387"/>
      <c r="M387"/>
      <c r="N387"/>
      <c r="O387"/>
      <c r="P387"/>
      <c r="T387">
        <v>1923</v>
      </c>
      <c r="U387" s="7">
        <v>3</v>
      </c>
      <c r="V387" t="s">
        <v>613</v>
      </c>
      <c r="W387" s="257" t="s">
        <v>639</v>
      </c>
      <c r="X387" t="s">
        <v>640</v>
      </c>
      <c r="Y387" s="316" t="s">
        <v>74</v>
      </c>
      <c r="Z387" s="8">
        <v>0.02</v>
      </c>
      <c r="AA387" s="202" t="str">
        <f t="shared" si="7"/>
        <v>Лавровый лист</v>
      </c>
      <c r="AC387" t="s">
        <v>1196</v>
      </c>
      <c r="AD387" t="s">
        <v>1175</v>
      </c>
      <c r="AE387" t="s">
        <v>1492</v>
      </c>
    </row>
    <row r="388" spans="1:31" ht="15" customHeight="1" x14ac:dyDescent="0.25">
      <c r="A388" t="s">
        <v>153</v>
      </c>
      <c r="L388"/>
      <c r="M388"/>
      <c r="N388"/>
      <c r="O388"/>
      <c r="P388"/>
      <c r="T388">
        <v>1924</v>
      </c>
      <c r="U388" s="7">
        <v>3</v>
      </c>
      <c r="V388" t="s">
        <v>613</v>
      </c>
      <c r="W388" s="257" t="s">
        <v>639</v>
      </c>
      <c r="X388" t="s">
        <v>640</v>
      </c>
      <c r="Y388" s="316" t="s">
        <v>484</v>
      </c>
      <c r="Z388" s="8">
        <v>0.01</v>
      </c>
      <c r="AA388" s="202" t="str">
        <f t="shared" si="7"/>
        <v>Перец черный</v>
      </c>
      <c r="AC388" t="s">
        <v>1196</v>
      </c>
      <c r="AD388" t="s">
        <v>1177</v>
      </c>
      <c r="AE388" t="s">
        <v>1492</v>
      </c>
    </row>
    <row r="389" spans="1:31" ht="15" customHeight="1" x14ac:dyDescent="0.25">
      <c r="A389" t="s">
        <v>153</v>
      </c>
      <c r="L389"/>
      <c r="M389"/>
      <c r="N389"/>
      <c r="O389"/>
      <c r="P389"/>
      <c r="T389">
        <v>1925</v>
      </c>
      <c r="U389" s="7">
        <v>3</v>
      </c>
      <c r="V389" t="s">
        <v>613</v>
      </c>
      <c r="W389" s="257" t="s">
        <v>639</v>
      </c>
      <c r="X389" t="s">
        <v>640</v>
      </c>
      <c r="Y389" s="316" t="s">
        <v>1214</v>
      </c>
      <c r="Z389" s="8">
        <v>47</v>
      </c>
      <c r="AA389" s="202" t="str">
        <f t="shared" si="7"/>
        <v>Масса мясных и рыбных порций, г</v>
      </c>
      <c r="AC389" t="s">
        <v>1196</v>
      </c>
      <c r="AD389" t="s">
        <v>1179</v>
      </c>
      <c r="AE389" t="s">
        <v>1492</v>
      </c>
    </row>
    <row r="390" spans="1:31" ht="15" customHeight="1" x14ac:dyDescent="0.25">
      <c r="A390" t="s">
        <v>153</v>
      </c>
      <c r="L390"/>
      <c r="M390"/>
      <c r="N390"/>
      <c r="O390"/>
      <c r="P390"/>
      <c r="T390">
        <v>1925</v>
      </c>
      <c r="U390" s="7">
        <v>3</v>
      </c>
      <c r="V390" t="s">
        <v>613</v>
      </c>
      <c r="W390" s="257" t="s">
        <v>639</v>
      </c>
      <c r="X390" t="s">
        <v>640</v>
      </c>
      <c r="Y390" s="316" t="s">
        <v>1215</v>
      </c>
      <c r="Z390" s="8">
        <v>97</v>
      </c>
      <c r="AA390" s="202" t="str">
        <f t="shared" si="7"/>
        <v>Общая масса готового блюда, г</v>
      </c>
      <c r="AC390" t="s">
        <v>1196</v>
      </c>
      <c r="AD390" t="s">
        <v>1181</v>
      </c>
      <c r="AE390" t="s">
        <v>1492</v>
      </c>
    </row>
    <row r="391" spans="1:31" ht="15" customHeight="1" x14ac:dyDescent="0.25">
      <c r="A391" t="s">
        <v>153</v>
      </c>
      <c r="L391"/>
      <c r="M391"/>
      <c r="N391"/>
      <c r="O391"/>
      <c r="P391"/>
      <c r="T391">
        <v>2115</v>
      </c>
      <c r="U391" s="7">
        <v>3</v>
      </c>
      <c r="V391" t="s">
        <v>613</v>
      </c>
      <c r="W391" s="257" t="s">
        <v>641</v>
      </c>
      <c r="X391" t="s">
        <v>642</v>
      </c>
      <c r="Y391" s="316" t="s">
        <v>462</v>
      </c>
      <c r="Z391" s="8">
        <v>112.5</v>
      </c>
      <c r="AA391" s="202" t="str">
        <f t="shared" si="7"/>
        <v>Свинина на кости</v>
      </c>
      <c r="AC391" t="s">
        <v>1196</v>
      </c>
      <c r="AD391" t="s">
        <v>1183</v>
      </c>
      <c r="AE391" t="s">
        <v>1492</v>
      </c>
    </row>
    <row r="392" spans="1:31" ht="15" customHeight="1" x14ac:dyDescent="0.25">
      <c r="A392" t="s">
        <v>153</v>
      </c>
      <c r="L392"/>
      <c r="M392"/>
      <c r="N392"/>
      <c r="O392"/>
      <c r="P392"/>
      <c r="T392">
        <v>2116</v>
      </c>
      <c r="U392" s="7">
        <v>3</v>
      </c>
      <c r="V392" t="s">
        <v>613</v>
      </c>
      <c r="W392" s="257" t="s">
        <v>641</v>
      </c>
      <c r="X392" t="s">
        <v>642</v>
      </c>
      <c r="Y392" s="316" t="s">
        <v>61</v>
      </c>
      <c r="Z392" s="8">
        <v>5</v>
      </c>
      <c r="AA392" s="202" t="str">
        <f t="shared" si="7"/>
        <v>Масло растительное</v>
      </c>
      <c r="AC392" t="s">
        <v>1196</v>
      </c>
      <c r="AD392" t="s">
        <v>1185</v>
      </c>
      <c r="AE392" t="s">
        <v>1492</v>
      </c>
    </row>
    <row r="393" spans="1:31" ht="15" customHeight="1" x14ac:dyDescent="0.25">
      <c r="A393" t="s">
        <v>153</v>
      </c>
      <c r="L393"/>
      <c r="M393"/>
      <c r="N393"/>
      <c r="O393"/>
      <c r="P393"/>
      <c r="T393">
        <v>2117</v>
      </c>
      <c r="U393" s="7">
        <v>3</v>
      </c>
      <c r="V393" t="s">
        <v>613</v>
      </c>
      <c r="W393" s="257" t="s">
        <v>641</v>
      </c>
      <c r="X393" t="s">
        <v>642</v>
      </c>
      <c r="Y393" s="316" t="s">
        <v>32</v>
      </c>
      <c r="Z393" s="8">
        <v>10</v>
      </c>
      <c r="AA393" s="202" t="str">
        <f t="shared" si="7"/>
        <v>Лук репчатый</v>
      </c>
      <c r="AC393" t="s">
        <v>1196</v>
      </c>
      <c r="AD393" t="s">
        <v>1187</v>
      </c>
      <c r="AE393" t="s">
        <v>1492</v>
      </c>
    </row>
    <row r="394" spans="1:31" ht="15" customHeight="1" x14ac:dyDescent="0.25">
      <c r="A394" t="s">
        <v>153</v>
      </c>
      <c r="L394"/>
      <c r="M394"/>
      <c r="N394"/>
      <c r="O394"/>
      <c r="P394"/>
      <c r="T394">
        <v>2118</v>
      </c>
      <c r="U394" s="7">
        <v>3</v>
      </c>
      <c r="V394" t="s">
        <v>613</v>
      </c>
      <c r="W394" s="257" t="s">
        <v>641</v>
      </c>
      <c r="X394" t="s">
        <v>642</v>
      </c>
      <c r="Y394" s="316" t="s">
        <v>46</v>
      </c>
      <c r="Z394" s="8">
        <v>10</v>
      </c>
      <c r="AA394" s="202" t="str">
        <f t="shared" si="7"/>
        <v>Морковь</v>
      </c>
      <c r="AC394" t="s">
        <v>1197</v>
      </c>
      <c r="AD394" t="s">
        <v>1197</v>
      </c>
      <c r="AE394" t="s">
        <v>1493</v>
      </c>
    </row>
    <row r="395" spans="1:31" ht="15" customHeight="1" x14ac:dyDescent="0.25">
      <c r="A395" t="s">
        <v>153</v>
      </c>
      <c r="L395"/>
      <c r="M395"/>
      <c r="N395"/>
      <c r="O395"/>
      <c r="P395"/>
      <c r="T395">
        <v>2119</v>
      </c>
      <c r="U395" s="7">
        <v>3</v>
      </c>
      <c r="V395" t="s">
        <v>613</v>
      </c>
      <c r="W395" s="257" t="s">
        <v>641</v>
      </c>
      <c r="X395" t="s">
        <v>642</v>
      </c>
      <c r="Y395" s="316" t="s">
        <v>76</v>
      </c>
      <c r="Z395" s="8">
        <v>2</v>
      </c>
      <c r="AA395" s="202" t="str">
        <f t="shared" si="7"/>
        <v>Томат-паста</v>
      </c>
      <c r="AC395" t="s">
        <v>1197</v>
      </c>
      <c r="AD395" t="s">
        <v>160</v>
      </c>
      <c r="AE395" t="s">
        <v>1495</v>
      </c>
    </row>
    <row r="396" spans="1:31" ht="15" customHeight="1" x14ac:dyDescent="0.25">
      <c r="A396" t="s">
        <v>153</v>
      </c>
      <c r="L396"/>
      <c r="M396"/>
      <c r="N396"/>
      <c r="O396"/>
      <c r="P396"/>
      <c r="T396">
        <v>2120</v>
      </c>
      <c r="U396" s="7">
        <v>3</v>
      </c>
      <c r="V396" t="s">
        <v>613</v>
      </c>
      <c r="W396" s="257" t="s">
        <v>641</v>
      </c>
      <c r="X396" t="s">
        <v>642</v>
      </c>
      <c r="Y396" s="316" t="s">
        <v>434</v>
      </c>
      <c r="Z396" s="8">
        <v>2</v>
      </c>
      <c r="AA396" s="202" t="str">
        <f t="shared" si="7"/>
        <v>Мука пшеничная 1 с</v>
      </c>
      <c r="AC396" t="s">
        <v>1197</v>
      </c>
      <c r="AD396" t="s">
        <v>142</v>
      </c>
      <c r="AE396" t="s">
        <v>1492</v>
      </c>
    </row>
    <row r="397" spans="1:31" ht="15" customHeight="1" x14ac:dyDescent="0.25">
      <c r="A397" t="s">
        <v>153</v>
      </c>
      <c r="L397"/>
      <c r="M397"/>
      <c r="N397"/>
      <c r="O397"/>
      <c r="P397"/>
      <c r="T397">
        <v>2121</v>
      </c>
      <c r="U397" s="7">
        <v>3</v>
      </c>
      <c r="V397" t="s">
        <v>613</v>
      </c>
      <c r="W397" s="257" t="s">
        <v>641</v>
      </c>
      <c r="X397" t="s">
        <v>642</v>
      </c>
      <c r="Y397" s="316" t="s">
        <v>326</v>
      </c>
      <c r="Z397" s="8">
        <v>2</v>
      </c>
      <c r="AA397" s="202" t="str">
        <f t="shared" si="7"/>
        <v>Соль</v>
      </c>
      <c r="AC397" t="s">
        <v>1197</v>
      </c>
      <c r="AD397" t="s">
        <v>164</v>
      </c>
      <c r="AE397" t="s">
        <v>1495</v>
      </c>
    </row>
    <row r="398" spans="1:31" ht="15" customHeight="1" x14ac:dyDescent="0.25">
      <c r="A398" t="s">
        <v>153</v>
      </c>
      <c r="L398"/>
      <c r="M398"/>
      <c r="N398"/>
      <c r="O398"/>
      <c r="P398"/>
      <c r="T398">
        <v>2122</v>
      </c>
      <c r="U398" s="7">
        <v>3</v>
      </c>
      <c r="V398" t="s">
        <v>613</v>
      </c>
      <c r="W398" s="257" t="s">
        <v>641</v>
      </c>
      <c r="X398" t="s">
        <v>642</v>
      </c>
      <c r="Y398" s="316" t="s">
        <v>74</v>
      </c>
      <c r="Z398" s="8">
        <v>0.01</v>
      </c>
      <c r="AA398" s="202" t="str">
        <f t="shared" si="7"/>
        <v>Лавровый лист</v>
      </c>
      <c r="AC398" t="s">
        <v>1197</v>
      </c>
      <c r="AD398" t="s">
        <v>82</v>
      </c>
      <c r="AE398" t="s">
        <v>1493</v>
      </c>
    </row>
    <row r="399" spans="1:31" ht="15" customHeight="1" x14ac:dyDescent="0.25">
      <c r="A399" t="s">
        <v>153</v>
      </c>
      <c r="L399"/>
      <c r="M399"/>
      <c r="N399"/>
      <c r="O399"/>
      <c r="P399"/>
      <c r="T399">
        <v>2123</v>
      </c>
      <c r="U399" s="7">
        <v>3</v>
      </c>
      <c r="V399" t="s">
        <v>613</v>
      </c>
      <c r="W399" s="257" t="s">
        <v>641</v>
      </c>
      <c r="X399" t="s">
        <v>642</v>
      </c>
      <c r="Y399" s="316" t="s">
        <v>1214</v>
      </c>
      <c r="Z399" s="8">
        <v>65</v>
      </c>
      <c r="AA399" s="202" t="str">
        <f t="shared" si="7"/>
        <v>Масса мясных и рыбных порций, г</v>
      </c>
      <c r="AC399" t="s">
        <v>1197</v>
      </c>
      <c r="AD399" t="s">
        <v>64</v>
      </c>
      <c r="AE399" t="s">
        <v>1493</v>
      </c>
    </row>
    <row r="400" spans="1:31" ht="15" customHeight="1" x14ac:dyDescent="0.25">
      <c r="A400" t="s">
        <v>153</v>
      </c>
      <c r="L400"/>
      <c r="M400"/>
      <c r="N400"/>
      <c r="O400"/>
      <c r="P400"/>
      <c r="T400">
        <v>2123</v>
      </c>
      <c r="U400" s="7">
        <v>3</v>
      </c>
      <c r="V400" t="s">
        <v>613</v>
      </c>
      <c r="W400" s="257" t="s">
        <v>641</v>
      </c>
      <c r="X400" t="s">
        <v>642</v>
      </c>
      <c r="Y400" s="316" t="s">
        <v>1215</v>
      </c>
      <c r="Z400" s="8">
        <v>115</v>
      </c>
      <c r="AA400" s="202" t="str">
        <f t="shared" si="7"/>
        <v>Общая масса готового блюда, г</v>
      </c>
      <c r="AC400" t="s">
        <v>1197</v>
      </c>
      <c r="AD400" t="s">
        <v>145</v>
      </c>
      <c r="AE400" t="s">
        <v>1495</v>
      </c>
    </row>
    <row r="401" spans="1:31" ht="15" customHeight="1" x14ac:dyDescent="0.25">
      <c r="A401" t="s">
        <v>153</v>
      </c>
      <c r="L401"/>
      <c r="M401"/>
      <c r="N401"/>
      <c r="O401"/>
      <c r="P401"/>
      <c r="T401">
        <v>2282</v>
      </c>
      <c r="U401" s="7">
        <v>3</v>
      </c>
      <c r="V401" t="s">
        <v>613</v>
      </c>
      <c r="W401" s="257" t="s">
        <v>643</v>
      </c>
      <c r="X401" t="s">
        <v>644</v>
      </c>
      <c r="Y401" s="316" t="s">
        <v>456</v>
      </c>
      <c r="Z401" s="8">
        <v>75</v>
      </c>
      <c r="AA401" s="202" t="str">
        <f t="shared" si="7"/>
        <v>Говядина консерв.</v>
      </c>
      <c r="AC401" t="s">
        <v>1197</v>
      </c>
      <c r="AD401" t="s">
        <v>60</v>
      </c>
      <c r="AE401" t="s">
        <v>1493</v>
      </c>
    </row>
    <row r="402" spans="1:31" ht="15" customHeight="1" x14ac:dyDescent="0.25">
      <c r="A402" t="s">
        <v>153</v>
      </c>
      <c r="L402"/>
      <c r="M402"/>
      <c r="N402"/>
      <c r="O402"/>
      <c r="P402"/>
      <c r="T402">
        <v>2283</v>
      </c>
      <c r="U402" s="7">
        <v>3</v>
      </c>
      <c r="V402" t="s">
        <v>613</v>
      </c>
      <c r="W402" s="257" t="s">
        <v>643</v>
      </c>
      <c r="X402" t="s">
        <v>644</v>
      </c>
      <c r="Y402" s="316" t="s">
        <v>61</v>
      </c>
      <c r="Z402" s="8">
        <v>2</v>
      </c>
      <c r="AA402" s="202" t="str">
        <f t="shared" si="7"/>
        <v>Масло растительное</v>
      </c>
      <c r="AC402" t="s">
        <v>1197</v>
      </c>
      <c r="AD402" t="s">
        <v>34</v>
      </c>
      <c r="AE402" t="s">
        <v>1195</v>
      </c>
    </row>
    <row r="403" spans="1:31" ht="15" customHeight="1" x14ac:dyDescent="0.25">
      <c r="A403" t="s">
        <v>153</v>
      </c>
      <c r="L403"/>
      <c r="M403"/>
      <c r="N403"/>
      <c r="O403"/>
      <c r="P403"/>
      <c r="T403">
        <v>2284</v>
      </c>
      <c r="U403" s="7">
        <v>3</v>
      </c>
      <c r="V403" t="s">
        <v>613</v>
      </c>
      <c r="W403" s="257" t="s">
        <v>643</v>
      </c>
      <c r="X403" t="s">
        <v>644</v>
      </c>
      <c r="Y403" s="316" t="s">
        <v>46</v>
      </c>
      <c r="Z403" s="8">
        <v>10</v>
      </c>
      <c r="AA403" s="202" t="str">
        <f t="shared" si="7"/>
        <v>Морковь</v>
      </c>
      <c r="AC403" t="s">
        <v>1197</v>
      </c>
      <c r="AD403" t="s">
        <v>162</v>
      </c>
      <c r="AE403" t="s">
        <v>1493</v>
      </c>
    </row>
    <row r="404" spans="1:31" ht="15" customHeight="1" x14ac:dyDescent="0.25">
      <c r="A404" t="s">
        <v>153</v>
      </c>
      <c r="L404"/>
      <c r="M404"/>
      <c r="N404"/>
      <c r="O404"/>
      <c r="P404"/>
      <c r="T404">
        <v>2285</v>
      </c>
      <c r="U404" s="7">
        <v>3</v>
      </c>
      <c r="V404" t="s">
        <v>613</v>
      </c>
      <c r="W404" s="257" t="s">
        <v>643</v>
      </c>
      <c r="X404" t="s">
        <v>644</v>
      </c>
      <c r="Y404" s="316" t="s">
        <v>32</v>
      </c>
      <c r="Z404" s="8">
        <v>10</v>
      </c>
      <c r="AA404" s="202" t="str">
        <f t="shared" si="7"/>
        <v>Лук репчатый</v>
      </c>
      <c r="AC404" t="s">
        <v>1197</v>
      </c>
      <c r="AD404" t="s">
        <v>85</v>
      </c>
      <c r="AE404" t="s">
        <v>1493</v>
      </c>
    </row>
    <row r="405" spans="1:31" ht="15" customHeight="1" x14ac:dyDescent="0.25">
      <c r="A405" t="s">
        <v>153</v>
      </c>
      <c r="L405"/>
      <c r="M405"/>
      <c r="N405"/>
      <c r="O405"/>
      <c r="P405"/>
      <c r="T405">
        <v>2286</v>
      </c>
      <c r="U405" s="7">
        <v>3</v>
      </c>
      <c r="V405" t="s">
        <v>613</v>
      </c>
      <c r="W405" s="257" t="s">
        <v>643</v>
      </c>
      <c r="X405" t="s">
        <v>644</v>
      </c>
      <c r="Y405" s="316" t="s">
        <v>76</v>
      </c>
      <c r="Z405" s="8">
        <v>3</v>
      </c>
      <c r="AA405" s="202" t="str">
        <f t="shared" si="7"/>
        <v>Томат-паста</v>
      </c>
      <c r="AC405" t="s">
        <v>1197</v>
      </c>
      <c r="AD405" t="s">
        <v>166</v>
      </c>
      <c r="AE405" t="s">
        <v>1495</v>
      </c>
    </row>
    <row r="406" spans="1:31" ht="15" customHeight="1" x14ac:dyDescent="0.25">
      <c r="A406" t="s">
        <v>153</v>
      </c>
      <c r="L406"/>
      <c r="M406"/>
      <c r="N406"/>
      <c r="O406"/>
      <c r="P406"/>
      <c r="T406">
        <v>2287</v>
      </c>
      <c r="U406" s="7">
        <v>3</v>
      </c>
      <c r="V406" t="s">
        <v>613</v>
      </c>
      <c r="W406" s="257" t="s">
        <v>643</v>
      </c>
      <c r="X406" t="s">
        <v>644</v>
      </c>
      <c r="Y406" s="316" t="s">
        <v>434</v>
      </c>
      <c r="Z406" s="8">
        <v>3</v>
      </c>
      <c r="AA406" s="202" t="str">
        <f t="shared" si="7"/>
        <v>Мука пшеничная 1 с</v>
      </c>
      <c r="AC406" t="s">
        <v>1197</v>
      </c>
      <c r="AD406" t="s">
        <v>161</v>
      </c>
      <c r="AE406" t="s">
        <v>1493</v>
      </c>
    </row>
    <row r="407" spans="1:31" ht="15" customHeight="1" x14ac:dyDescent="0.25">
      <c r="A407" t="s">
        <v>153</v>
      </c>
      <c r="L407"/>
      <c r="M407"/>
      <c r="N407"/>
      <c r="O407"/>
      <c r="P407"/>
      <c r="T407">
        <v>2288</v>
      </c>
      <c r="U407" s="7">
        <v>3</v>
      </c>
      <c r="V407" t="s">
        <v>613</v>
      </c>
      <c r="W407" s="257" t="s">
        <v>643</v>
      </c>
      <c r="X407" t="s">
        <v>644</v>
      </c>
      <c r="Y407" s="316" t="s">
        <v>326</v>
      </c>
      <c r="Z407" s="8">
        <v>2</v>
      </c>
      <c r="AA407" s="202" t="str">
        <f t="shared" si="7"/>
        <v>Соль</v>
      </c>
      <c r="AC407" t="s">
        <v>1197</v>
      </c>
      <c r="AD407" t="s">
        <v>165</v>
      </c>
      <c r="AE407" t="s">
        <v>1495</v>
      </c>
    </row>
    <row r="408" spans="1:31" ht="15" customHeight="1" x14ac:dyDescent="0.25">
      <c r="A408" t="s">
        <v>153</v>
      </c>
      <c r="L408"/>
      <c r="M408"/>
      <c r="N408"/>
      <c r="O408"/>
      <c r="P408"/>
      <c r="T408">
        <v>2289</v>
      </c>
      <c r="U408" s="7">
        <v>3</v>
      </c>
      <c r="V408" t="s">
        <v>613</v>
      </c>
      <c r="W408" s="257" t="s">
        <v>643</v>
      </c>
      <c r="X408" t="s">
        <v>644</v>
      </c>
      <c r="Y408" s="316" t="s">
        <v>484</v>
      </c>
      <c r="Z408" s="8">
        <v>0.1</v>
      </c>
      <c r="AA408" s="202" t="str">
        <f t="shared" si="7"/>
        <v>Перец черный</v>
      </c>
      <c r="AC408" t="s">
        <v>1197</v>
      </c>
      <c r="AD408" t="s">
        <v>53</v>
      </c>
      <c r="AE408" t="s">
        <v>1493</v>
      </c>
    </row>
    <row r="409" spans="1:31" ht="15" customHeight="1" x14ac:dyDescent="0.25">
      <c r="A409" t="s">
        <v>153</v>
      </c>
      <c r="L409"/>
      <c r="M409"/>
      <c r="N409"/>
      <c r="O409"/>
      <c r="P409"/>
      <c r="T409">
        <v>2290</v>
      </c>
      <c r="U409" s="7">
        <v>3</v>
      </c>
      <c r="V409" t="s">
        <v>613</v>
      </c>
      <c r="W409" s="257" t="s">
        <v>643</v>
      </c>
      <c r="X409" t="s">
        <v>644</v>
      </c>
      <c r="Y409" s="316" t="s">
        <v>45</v>
      </c>
      <c r="Z409" s="8">
        <v>375</v>
      </c>
      <c r="AA409" s="202" t="str">
        <f t="shared" si="7"/>
        <v>Картофель</v>
      </c>
      <c r="AC409" t="s">
        <v>1197</v>
      </c>
      <c r="AD409" t="s">
        <v>56</v>
      </c>
      <c r="AE409" t="s">
        <v>1495</v>
      </c>
    </row>
    <row r="410" spans="1:31" ht="15" customHeight="1" x14ac:dyDescent="0.25">
      <c r="A410" t="s">
        <v>153</v>
      </c>
      <c r="L410"/>
      <c r="M410"/>
      <c r="N410"/>
      <c r="O410"/>
      <c r="P410"/>
      <c r="T410">
        <v>2291</v>
      </c>
      <c r="U410" s="7">
        <v>3</v>
      </c>
      <c r="V410" t="s">
        <v>613</v>
      </c>
      <c r="W410" s="257" t="s">
        <v>643</v>
      </c>
      <c r="X410" t="s">
        <v>644</v>
      </c>
      <c r="Y410" s="316" t="s">
        <v>74</v>
      </c>
      <c r="Z410" s="8">
        <v>0.05</v>
      </c>
      <c r="AA410" s="202" t="str">
        <f t="shared" si="7"/>
        <v>Лавровый лист</v>
      </c>
      <c r="AC410" t="s">
        <v>1197</v>
      </c>
      <c r="AD410" t="s">
        <v>141</v>
      </c>
      <c r="AE410" t="s">
        <v>1495</v>
      </c>
    </row>
    <row r="411" spans="1:31" ht="15" customHeight="1" x14ac:dyDescent="0.25">
      <c r="A411" t="s">
        <v>153</v>
      </c>
      <c r="L411"/>
      <c r="M411"/>
      <c r="N411"/>
      <c r="O411"/>
      <c r="P411"/>
      <c r="T411">
        <v>2291</v>
      </c>
      <c r="U411" s="7">
        <v>3</v>
      </c>
      <c r="V411" t="s">
        <v>613</v>
      </c>
      <c r="W411" s="257" t="s">
        <v>643</v>
      </c>
      <c r="X411" t="s">
        <v>644</v>
      </c>
      <c r="Y411" s="316" t="s">
        <v>1214</v>
      </c>
      <c r="Z411" s="8">
        <v>75</v>
      </c>
      <c r="AA411" s="202" t="str">
        <f t="shared" si="7"/>
        <v>Масса мясных и рыбных порций, г</v>
      </c>
      <c r="AC411" t="s">
        <v>1197</v>
      </c>
      <c r="AD411" t="s">
        <v>50</v>
      </c>
      <c r="AE411" t="s">
        <v>1493</v>
      </c>
    </row>
    <row r="412" spans="1:31" ht="15" customHeight="1" x14ac:dyDescent="0.25">
      <c r="A412" t="s">
        <v>153</v>
      </c>
      <c r="L412"/>
      <c r="M412"/>
      <c r="N412"/>
      <c r="O412"/>
      <c r="P412"/>
      <c r="T412">
        <v>2292</v>
      </c>
      <c r="U412" s="7">
        <v>3</v>
      </c>
      <c r="V412" t="s">
        <v>613</v>
      </c>
      <c r="W412" s="257" t="s">
        <v>643</v>
      </c>
      <c r="X412" t="s">
        <v>644</v>
      </c>
      <c r="Y412" s="316" t="s">
        <v>558</v>
      </c>
      <c r="Z412" s="8">
        <v>255.708</v>
      </c>
      <c r="AA412" s="202" t="str">
        <f t="shared" si="7"/>
        <v>Общая масса готового блюда, г</v>
      </c>
      <c r="AC412" t="s">
        <v>1197</v>
      </c>
      <c r="AD412" t="s">
        <v>1146</v>
      </c>
      <c r="AE412" t="s">
        <v>1495</v>
      </c>
    </row>
    <row r="413" spans="1:31" ht="15" customHeight="1" x14ac:dyDescent="0.25">
      <c r="A413" t="s">
        <v>153</v>
      </c>
      <c r="L413"/>
      <c r="M413"/>
      <c r="N413"/>
      <c r="O413"/>
      <c r="P413"/>
      <c r="T413">
        <v>2292</v>
      </c>
      <c r="U413" s="7">
        <v>3</v>
      </c>
      <c r="V413" t="s">
        <v>613</v>
      </c>
      <c r="W413" s="257" t="s">
        <v>643</v>
      </c>
      <c r="X413" t="s">
        <v>644</v>
      </c>
      <c r="Y413" s="316" t="s">
        <v>109</v>
      </c>
      <c r="Z413" s="8">
        <v>375</v>
      </c>
      <c r="AA413" s="202" t="str">
        <f t="shared" si="7"/>
        <v>ОКГ</v>
      </c>
    </row>
    <row r="414" spans="1:31" ht="15" customHeight="1" x14ac:dyDescent="0.25">
      <c r="A414" t="s">
        <v>153</v>
      </c>
      <c r="L414"/>
      <c r="M414"/>
      <c r="N414"/>
      <c r="O414"/>
      <c r="P414"/>
      <c r="T414">
        <v>2304</v>
      </c>
      <c r="U414" s="7">
        <v>3</v>
      </c>
      <c r="V414" t="s">
        <v>613</v>
      </c>
      <c r="W414" s="257" t="s">
        <v>645</v>
      </c>
      <c r="X414" t="s">
        <v>646</v>
      </c>
      <c r="Y414" s="316" t="s">
        <v>461</v>
      </c>
      <c r="Z414" s="8">
        <v>75</v>
      </c>
      <c r="AA414" s="202" t="str">
        <f t="shared" si="7"/>
        <v>Мясо птицы консерв.</v>
      </c>
    </row>
    <row r="415" spans="1:31" ht="15" customHeight="1" x14ac:dyDescent="0.25">
      <c r="A415" t="s">
        <v>153</v>
      </c>
      <c r="L415"/>
      <c r="M415"/>
      <c r="N415"/>
      <c r="O415"/>
      <c r="P415"/>
      <c r="T415">
        <v>2305</v>
      </c>
      <c r="U415" s="7">
        <v>3</v>
      </c>
      <c r="V415" t="s">
        <v>613</v>
      </c>
      <c r="W415" s="257" t="s">
        <v>645</v>
      </c>
      <c r="X415" t="s">
        <v>646</v>
      </c>
      <c r="Y415" s="316" t="s">
        <v>61</v>
      </c>
      <c r="Z415" s="8">
        <v>2</v>
      </c>
      <c r="AA415" s="202" t="str">
        <f t="shared" si="7"/>
        <v>Масло растительное</v>
      </c>
    </row>
    <row r="416" spans="1:31" ht="15" customHeight="1" x14ac:dyDescent="0.25">
      <c r="A416" t="s">
        <v>153</v>
      </c>
      <c r="L416"/>
      <c r="M416"/>
      <c r="N416"/>
      <c r="O416"/>
      <c r="P416"/>
      <c r="T416">
        <v>2306</v>
      </c>
      <c r="U416" s="7">
        <v>3</v>
      </c>
      <c r="V416" t="s">
        <v>613</v>
      </c>
      <c r="W416" s="257" t="s">
        <v>645</v>
      </c>
      <c r="X416" t="s">
        <v>646</v>
      </c>
      <c r="Y416" s="316" t="s">
        <v>46</v>
      </c>
      <c r="Z416" s="8">
        <v>10</v>
      </c>
      <c r="AA416" s="202" t="str">
        <f t="shared" si="7"/>
        <v>Морковь</v>
      </c>
    </row>
    <row r="417" spans="1:27" ht="15" customHeight="1" x14ac:dyDescent="0.25">
      <c r="A417" t="s">
        <v>153</v>
      </c>
      <c r="L417"/>
      <c r="M417"/>
      <c r="N417"/>
      <c r="O417"/>
      <c r="P417"/>
      <c r="T417">
        <v>2307</v>
      </c>
      <c r="U417" s="7">
        <v>3</v>
      </c>
      <c r="V417" t="s">
        <v>613</v>
      </c>
      <c r="W417" s="257" t="s">
        <v>645</v>
      </c>
      <c r="X417" t="s">
        <v>646</v>
      </c>
      <c r="Y417" s="316" t="s">
        <v>32</v>
      </c>
      <c r="Z417" s="8">
        <v>10</v>
      </c>
      <c r="AA417" s="202" t="str">
        <f t="shared" si="7"/>
        <v>Лук репчатый</v>
      </c>
    </row>
    <row r="418" spans="1:27" ht="15" customHeight="1" x14ac:dyDescent="0.25">
      <c r="A418" t="s">
        <v>153</v>
      </c>
      <c r="L418"/>
      <c r="M418"/>
      <c r="N418"/>
      <c r="O418"/>
      <c r="P418"/>
      <c r="T418">
        <v>2308</v>
      </c>
      <c r="U418" s="7">
        <v>3</v>
      </c>
      <c r="V418" t="s">
        <v>613</v>
      </c>
      <c r="W418" s="257" t="s">
        <v>645</v>
      </c>
      <c r="X418" t="s">
        <v>646</v>
      </c>
      <c r="Y418" s="316" t="s">
        <v>76</v>
      </c>
      <c r="Z418" s="8">
        <v>3</v>
      </c>
      <c r="AA418" s="202" t="str">
        <f t="shared" si="7"/>
        <v>Томат-паста</v>
      </c>
    </row>
    <row r="419" spans="1:27" ht="15" customHeight="1" x14ac:dyDescent="0.25">
      <c r="A419" t="s">
        <v>153</v>
      </c>
      <c r="L419"/>
      <c r="M419"/>
      <c r="N419"/>
      <c r="O419"/>
      <c r="P419"/>
      <c r="T419">
        <v>2309</v>
      </c>
      <c r="U419" s="7">
        <v>3</v>
      </c>
      <c r="V419" t="s">
        <v>613</v>
      </c>
      <c r="W419" s="257" t="s">
        <v>645</v>
      </c>
      <c r="X419" t="s">
        <v>646</v>
      </c>
      <c r="Y419" s="316" t="s">
        <v>434</v>
      </c>
      <c r="Z419" s="8">
        <v>3</v>
      </c>
      <c r="AA419" s="202" t="str">
        <f t="shared" si="7"/>
        <v>Мука пшеничная 1 с</v>
      </c>
    </row>
    <row r="420" spans="1:27" ht="15" customHeight="1" x14ac:dyDescent="0.25">
      <c r="A420" t="s">
        <v>153</v>
      </c>
      <c r="L420"/>
      <c r="M420"/>
      <c r="N420"/>
      <c r="O420"/>
      <c r="P420"/>
      <c r="T420">
        <v>2310</v>
      </c>
      <c r="U420" s="7">
        <v>3</v>
      </c>
      <c r="V420" t="s">
        <v>613</v>
      </c>
      <c r="W420" s="257" t="s">
        <v>645</v>
      </c>
      <c r="X420" t="s">
        <v>646</v>
      </c>
      <c r="Y420" s="316" t="s">
        <v>326</v>
      </c>
      <c r="Z420" s="8">
        <v>2</v>
      </c>
      <c r="AA420" s="202" t="str">
        <f t="shared" si="7"/>
        <v>Соль</v>
      </c>
    </row>
    <row r="421" spans="1:27" ht="15" customHeight="1" x14ac:dyDescent="0.25">
      <c r="A421" t="s">
        <v>153</v>
      </c>
      <c r="L421"/>
      <c r="M421"/>
      <c r="N421"/>
      <c r="O421"/>
      <c r="P421"/>
      <c r="T421">
        <v>2311</v>
      </c>
      <c r="U421" s="7">
        <v>3</v>
      </c>
      <c r="V421" t="s">
        <v>613</v>
      </c>
      <c r="W421" s="257" t="s">
        <v>645</v>
      </c>
      <c r="X421" t="s">
        <v>646</v>
      </c>
      <c r="Y421" s="316" t="s">
        <v>484</v>
      </c>
      <c r="Z421" s="8">
        <v>0.1</v>
      </c>
      <c r="AA421" s="202" t="str">
        <f t="shared" si="7"/>
        <v>Перец черный</v>
      </c>
    </row>
    <row r="422" spans="1:27" ht="15" customHeight="1" x14ac:dyDescent="0.25">
      <c r="A422" t="s">
        <v>153</v>
      </c>
      <c r="L422"/>
      <c r="M422"/>
      <c r="N422"/>
      <c r="O422"/>
      <c r="P422"/>
      <c r="T422">
        <v>2312</v>
      </c>
      <c r="U422" s="7">
        <v>3</v>
      </c>
      <c r="V422" t="s">
        <v>613</v>
      </c>
      <c r="W422" s="257" t="s">
        <v>645</v>
      </c>
      <c r="X422" t="s">
        <v>646</v>
      </c>
      <c r="Y422" s="316" t="s">
        <v>45</v>
      </c>
      <c r="Z422" s="8">
        <v>375</v>
      </c>
      <c r="AA422" s="202" t="str">
        <f t="shared" si="7"/>
        <v>Картофель</v>
      </c>
    </row>
    <row r="423" spans="1:27" ht="15" customHeight="1" x14ac:dyDescent="0.25">
      <c r="A423" t="s">
        <v>153</v>
      </c>
      <c r="L423"/>
      <c r="M423"/>
      <c r="N423"/>
      <c r="O423"/>
      <c r="P423"/>
      <c r="T423">
        <v>2313</v>
      </c>
      <c r="U423" s="7">
        <v>3</v>
      </c>
      <c r="V423" t="s">
        <v>613</v>
      </c>
      <c r="W423" s="257" t="s">
        <v>645</v>
      </c>
      <c r="X423" t="s">
        <v>646</v>
      </c>
      <c r="Y423" s="316" t="s">
        <v>74</v>
      </c>
      <c r="Z423" s="8">
        <v>0.05</v>
      </c>
      <c r="AA423" s="202" t="str">
        <f t="shared" si="7"/>
        <v>Лавровый лист</v>
      </c>
    </row>
    <row r="424" spans="1:27" ht="15" customHeight="1" x14ac:dyDescent="0.25">
      <c r="A424" t="s">
        <v>153</v>
      </c>
      <c r="L424"/>
      <c r="M424"/>
      <c r="N424"/>
      <c r="O424"/>
      <c r="P424"/>
      <c r="T424">
        <v>2314</v>
      </c>
      <c r="U424" s="7">
        <v>3</v>
      </c>
      <c r="V424" t="s">
        <v>613</v>
      </c>
      <c r="W424" s="257" t="s">
        <v>645</v>
      </c>
      <c r="X424" t="s">
        <v>646</v>
      </c>
      <c r="Y424" s="316" t="s">
        <v>1214</v>
      </c>
      <c r="Z424" s="8">
        <v>75</v>
      </c>
      <c r="AA424" s="202" t="str">
        <f t="shared" si="7"/>
        <v>Масса мясных и рыбных порций, г</v>
      </c>
    </row>
    <row r="425" spans="1:27" ht="15" customHeight="1" x14ac:dyDescent="0.25">
      <c r="A425" t="s">
        <v>153</v>
      </c>
      <c r="L425"/>
      <c r="M425"/>
      <c r="N425"/>
      <c r="O425"/>
      <c r="P425"/>
      <c r="T425">
        <v>2314</v>
      </c>
      <c r="U425" s="7">
        <v>3</v>
      </c>
      <c r="V425" t="s">
        <v>613</v>
      </c>
      <c r="W425" s="257" t="s">
        <v>645</v>
      </c>
      <c r="X425" t="s">
        <v>646</v>
      </c>
      <c r="Y425" s="316" t="s">
        <v>558</v>
      </c>
      <c r="Z425" s="8">
        <v>255.708</v>
      </c>
      <c r="AA425" s="202" t="str">
        <f t="shared" si="7"/>
        <v>Общая масса готового блюда, г</v>
      </c>
    </row>
    <row r="426" spans="1:27" ht="15" customHeight="1" x14ac:dyDescent="0.25">
      <c r="A426" t="s">
        <v>153</v>
      </c>
      <c r="L426"/>
      <c r="M426"/>
      <c r="N426"/>
      <c r="O426"/>
      <c r="P426"/>
      <c r="T426">
        <v>2314</v>
      </c>
      <c r="U426" s="7">
        <v>3</v>
      </c>
      <c r="V426" t="s">
        <v>613</v>
      </c>
      <c r="W426" s="257" t="s">
        <v>645</v>
      </c>
      <c r="X426" t="s">
        <v>646</v>
      </c>
      <c r="Y426" s="316" t="s">
        <v>109</v>
      </c>
      <c r="Z426" s="8">
        <v>375</v>
      </c>
      <c r="AA426" s="202" t="str">
        <f t="shared" si="7"/>
        <v>ОКГ</v>
      </c>
    </row>
    <row r="427" spans="1:27" ht="15" customHeight="1" x14ac:dyDescent="0.25">
      <c r="A427" t="s">
        <v>153</v>
      </c>
      <c r="L427"/>
      <c r="M427"/>
      <c r="N427"/>
      <c r="O427"/>
      <c r="P427"/>
      <c r="T427">
        <v>2293</v>
      </c>
      <c r="U427" s="7">
        <v>3</v>
      </c>
      <c r="V427" t="s">
        <v>613</v>
      </c>
      <c r="W427" s="257" t="s">
        <v>647</v>
      </c>
      <c r="X427" t="s">
        <v>648</v>
      </c>
      <c r="Y427" s="316" t="s">
        <v>477</v>
      </c>
      <c r="Z427" s="8">
        <v>75</v>
      </c>
      <c r="AA427" s="202" t="str">
        <f t="shared" si="7"/>
        <v>Свинина консерв.</v>
      </c>
    </row>
    <row r="428" spans="1:27" ht="15" customHeight="1" x14ac:dyDescent="0.25">
      <c r="A428" t="s">
        <v>153</v>
      </c>
      <c r="L428"/>
      <c r="M428"/>
      <c r="N428"/>
      <c r="O428"/>
      <c r="P428"/>
      <c r="T428">
        <v>2294</v>
      </c>
      <c r="U428" s="7">
        <v>3</v>
      </c>
      <c r="V428" t="s">
        <v>613</v>
      </c>
      <c r="W428" s="257" t="s">
        <v>647</v>
      </c>
      <c r="X428" t="s">
        <v>648</v>
      </c>
      <c r="Y428" s="316" t="s">
        <v>61</v>
      </c>
      <c r="Z428" s="8">
        <v>2</v>
      </c>
      <c r="AA428" s="202" t="str">
        <f t="shared" si="7"/>
        <v>Масло растительное</v>
      </c>
    </row>
    <row r="429" spans="1:27" ht="15" customHeight="1" x14ac:dyDescent="0.25">
      <c r="A429" t="s">
        <v>153</v>
      </c>
      <c r="L429"/>
      <c r="M429"/>
      <c r="N429"/>
      <c r="O429"/>
      <c r="P429"/>
      <c r="T429">
        <v>2295</v>
      </c>
      <c r="U429" s="7">
        <v>3</v>
      </c>
      <c r="V429" t="s">
        <v>613</v>
      </c>
      <c r="W429" s="257" t="s">
        <v>647</v>
      </c>
      <c r="X429" t="s">
        <v>648</v>
      </c>
      <c r="Y429" s="316" t="s">
        <v>46</v>
      </c>
      <c r="Z429" s="8">
        <v>10</v>
      </c>
      <c r="AA429" s="202" t="str">
        <f t="shared" si="7"/>
        <v>Морковь</v>
      </c>
    </row>
    <row r="430" spans="1:27" ht="15" customHeight="1" x14ac:dyDescent="0.25">
      <c r="A430" t="s">
        <v>153</v>
      </c>
      <c r="L430"/>
      <c r="M430"/>
      <c r="N430"/>
      <c r="O430"/>
      <c r="P430"/>
      <c r="T430">
        <v>2296</v>
      </c>
      <c r="U430" s="7">
        <v>3</v>
      </c>
      <c r="V430" t="s">
        <v>613</v>
      </c>
      <c r="W430" s="257" t="s">
        <v>647</v>
      </c>
      <c r="X430" t="s">
        <v>648</v>
      </c>
      <c r="Y430" s="316" t="s">
        <v>32</v>
      </c>
      <c r="Z430" s="8">
        <v>10</v>
      </c>
      <c r="AA430" s="202" t="str">
        <f t="shared" si="7"/>
        <v>Лук репчатый</v>
      </c>
    </row>
    <row r="431" spans="1:27" ht="15" customHeight="1" x14ac:dyDescent="0.25">
      <c r="A431" t="s">
        <v>153</v>
      </c>
      <c r="L431"/>
      <c r="M431"/>
      <c r="N431"/>
      <c r="O431"/>
      <c r="P431"/>
      <c r="T431">
        <v>2297</v>
      </c>
      <c r="U431" s="7">
        <v>3</v>
      </c>
      <c r="V431" t="s">
        <v>613</v>
      </c>
      <c r="W431" s="257" t="s">
        <v>647</v>
      </c>
      <c r="X431" t="s">
        <v>648</v>
      </c>
      <c r="Y431" s="316" t="s">
        <v>76</v>
      </c>
      <c r="Z431" s="8">
        <v>3</v>
      </c>
      <c r="AA431" s="202" t="str">
        <f t="shared" si="7"/>
        <v>Томат-паста</v>
      </c>
    </row>
    <row r="432" spans="1:27" ht="15" customHeight="1" x14ac:dyDescent="0.25">
      <c r="A432" t="s">
        <v>153</v>
      </c>
      <c r="L432"/>
      <c r="M432"/>
      <c r="N432"/>
      <c r="O432"/>
      <c r="P432"/>
      <c r="T432">
        <v>2298</v>
      </c>
      <c r="U432" s="7">
        <v>3</v>
      </c>
      <c r="V432" t="s">
        <v>613</v>
      </c>
      <c r="W432" s="257" t="s">
        <v>647</v>
      </c>
      <c r="X432" t="s">
        <v>648</v>
      </c>
      <c r="Y432" s="316" t="s">
        <v>434</v>
      </c>
      <c r="Z432" s="8">
        <v>3</v>
      </c>
      <c r="AA432" s="202" t="str">
        <f t="shared" si="7"/>
        <v>Мука пшеничная 1 с</v>
      </c>
    </row>
    <row r="433" spans="1:27" ht="15" customHeight="1" x14ac:dyDescent="0.25">
      <c r="A433" t="s">
        <v>153</v>
      </c>
      <c r="L433"/>
      <c r="M433"/>
      <c r="N433"/>
      <c r="O433"/>
      <c r="P433"/>
      <c r="T433">
        <v>2299</v>
      </c>
      <c r="U433" s="7">
        <v>3</v>
      </c>
      <c r="V433" t="s">
        <v>613</v>
      </c>
      <c r="W433" s="257" t="s">
        <v>647</v>
      </c>
      <c r="X433" t="s">
        <v>648</v>
      </c>
      <c r="Y433" s="316" t="s">
        <v>326</v>
      </c>
      <c r="Z433" s="8">
        <v>2</v>
      </c>
      <c r="AA433" s="202" t="str">
        <f t="shared" si="7"/>
        <v>Соль</v>
      </c>
    </row>
    <row r="434" spans="1:27" ht="15" customHeight="1" x14ac:dyDescent="0.25">
      <c r="A434" t="s">
        <v>153</v>
      </c>
      <c r="L434"/>
      <c r="M434"/>
      <c r="N434"/>
      <c r="O434"/>
      <c r="P434"/>
      <c r="T434">
        <v>2300</v>
      </c>
      <c r="U434" s="7">
        <v>3</v>
      </c>
      <c r="V434" t="s">
        <v>613</v>
      </c>
      <c r="W434" s="257" t="s">
        <v>647</v>
      </c>
      <c r="X434" t="s">
        <v>648</v>
      </c>
      <c r="Y434" s="316" t="s">
        <v>484</v>
      </c>
      <c r="Z434" s="8">
        <v>0.1</v>
      </c>
      <c r="AA434" s="202" t="str">
        <f t="shared" si="7"/>
        <v>Перец черный</v>
      </c>
    </row>
    <row r="435" spans="1:27" ht="15" customHeight="1" x14ac:dyDescent="0.25">
      <c r="A435" t="s">
        <v>153</v>
      </c>
      <c r="L435"/>
      <c r="M435"/>
      <c r="N435"/>
      <c r="O435"/>
      <c r="P435"/>
      <c r="T435">
        <v>2301</v>
      </c>
      <c r="U435" s="7">
        <v>3</v>
      </c>
      <c r="V435" t="s">
        <v>613</v>
      </c>
      <c r="W435" s="257" t="s">
        <v>647</v>
      </c>
      <c r="X435" t="s">
        <v>648</v>
      </c>
      <c r="Y435" s="316" t="s">
        <v>45</v>
      </c>
      <c r="Z435" s="8">
        <v>375</v>
      </c>
      <c r="AA435" s="202" t="str">
        <f t="shared" si="7"/>
        <v>Картофель</v>
      </c>
    </row>
    <row r="436" spans="1:27" ht="15" customHeight="1" x14ac:dyDescent="0.25">
      <c r="A436" t="s">
        <v>153</v>
      </c>
      <c r="L436"/>
      <c r="M436"/>
      <c r="N436"/>
      <c r="O436"/>
      <c r="P436"/>
      <c r="T436">
        <v>2302</v>
      </c>
      <c r="U436" s="7">
        <v>3</v>
      </c>
      <c r="V436" t="s">
        <v>613</v>
      </c>
      <c r="W436" s="257" t="s">
        <v>647</v>
      </c>
      <c r="X436" t="s">
        <v>648</v>
      </c>
      <c r="Y436" s="316" t="s">
        <v>74</v>
      </c>
      <c r="Z436" s="8">
        <v>0.05</v>
      </c>
      <c r="AA436" s="202" t="str">
        <f t="shared" si="7"/>
        <v>Лавровый лист</v>
      </c>
    </row>
    <row r="437" spans="1:27" ht="15" customHeight="1" x14ac:dyDescent="0.25">
      <c r="A437" t="s">
        <v>153</v>
      </c>
      <c r="L437"/>
      <c r="M437"/>
      <c r="N437"/>
      <c r="O437"/>
      <c r="P437"/>
      <c r="T437">
        <v>2302</v>
      </c>
      <c r="U437" s="7">
        <v>3</v>
      </c>
      <c r="V437" t="s">
        <v>613</v>
      </c>
      <c r="W437" s="257" t="s">
        <v>647</v>
      </c>
      <c r="X437" t="s">
        <v>648</v>
      </c>
      <c r="Y437" s="316" t="s">
        <v>1214</v>
      </c>
      <c r="Z437" s="8">
        <v>75</v>
      </c>
      <c r="AA437" s="202" t="str">
        <f t="shared" si="7"/>
        <v>Масса мясных и рыбных порций, г</v>
      </c>
    </row>
    <row r="438" spans="1:27" ht="15" customHeight="1" x14ac:dyDescent="0.25">
      <c r="A438" t="s">
        <v>153</v>
      </c>
      <c r="L438"/>
      <c r="M438"/>
      <c r="N438"/>
      <c r="O438"/>
      <c r="P438"/>
      <c r="T438">
        <v>2303</v>
      </c>
      <c r="U438" s="7">
        <v>3</v>
      </c>
      <c r="V438" t="s">
        <v>613</v>
      </c>
      <c r="W438" s="257" t="s">
        <v>647</v>
      </c>
      <c r="X438" t="s">
        <v>648</v>
      </c>
      <c r="Y438" s="316" t="s">
        <v>558</v>
      </c>
      <c r="Z438" s="8">
        <v>255.708</v>
      </c>
      <c r="AA438" s="202" t="str">
        <f t="shared" si="7"/>
        <v>Общая масса готового блюда, г</v>
      </c>
    </row>
    <row r="439" spans="1:27" ht="15" customHeight="1" x14ac:dyDescent="0.25">
      <c r="A439" t="s">
        <v>153</v>
      </c>
      <c r="L439"/>
      <c r="M439"/>
      <c r="N439"/>
      <c r="O439"/>
      <c r="P439"/>
      <c r="T439">
        <v>2303</v>
      </c>
      <c r="U439" s="7">
        <v>3</v>
      </c>
      <c r="V439" t="s">
        <v>613</v>
      </c>
      <c r="W439" s="257" t="s">
        <v>647</v>
      </c>
      <c r="X439" t="s">
        <v>648</v>
      </c>
      <c r="Y439" s="316" t="s">
        <v>109</v>
      </c>
      <c r="Z439" s="8">
        <v>375</v>
      </c>
      <c r="AA439" s="202" t="str">
        <f t="shared" si="7"/>
        <v>ОКГ</v>
      </c>
    </row>
    <row r="440" spans="1:27" ht="15" customHeight="1" x14ac:dyDescent="0.25">
      <c r="A440" t="s">
        <v>153</v>
      </c>
      <c r="L440"/>
      <c r="M440"/>
      <c r="N440"/>
      <c r="O440"/>
      <c r="P440"/>
      <c r="T440">
        <v>1989</v>
      </c>
      <c r="U440" s="7">
        <v>3</v>
      </c>
      <c r="V440" t="s">
        <v>613</v>
      </c>
      <c r="W440" s="257" t="s">
        <v>651</v>
      </c>
      <c r="X440" t="s">
        <v>650</v>
      </c>
      <c r="Y440" s="316" t="s">
        <v>109</v>
      </c>
      <c r="Z440" s="8">
        <v>375</v>
      </c>
      <c r="AA440" s="202" t="str">
        <f t="shared" si="7"/>
        <v>ОКГ</v>
      </c>
    </row>
    <row r="441" spans="1:27" ht="15" customHeight="1" x14ac:dyDescent="0.25">
      <c r="A441" t="s">
        <v>153</v>
      </c>
      <c r="L441"/>
      <c r="M441"/>
      <c r="N441"/>
      <c r="O441"/>
      <c r="P441"/>
      <c r="T441">
        <v>1990</v>
      </c>
      <c r="U441" s="7">
        <v>3</v>
      </c>
      <c r="V441" t="s">
        <v>613</v>
      </c>
      <c r="W441" s="257" t="s">
        <v>651</v>
      </c>
      <c r="X441" t="s">
        <v>650</v>
      </c>
      <c r="Y441" s="316" t="s">
        <v>454</v>
      </c>
      <c r="Z441" s="8">
        <v>75</v>
      </c>
      <c r="AA441" s="202" t="str">
        <f t="shared" si="7"/>
        <v>Говядина б/к</v>
      </c>
    </row>
    <row r="442" spans="1:27" ht="15" customHeight="1" x14ac:dyDescent="0.25">
      <c r="A442" t="s">
        <v>153</v>
      </c>
      <c r="L442"/>
      <c r="M442"/>
      <c r="N442"/>
      <c r="O442"/>
      <c r="P442"/>
      <c r="T442">
        <v>1991</v>
      </c>
      <c r="U442" s="7">
        <v>3</v>
      </c>
      <c r="V442" t="s">
        <v>613</v>
      </c>
      <c r="W442" s="257" t="s">
        <v>651</v>
      </c>
      <c r="X442" t="s">
        <v>650</v>
      </c>
      <c r="Y442" s="316" t="s">
        <v>45</v>
      </c>
      <c r="Z442" s="8">
        <v>405</v>
      </c>
      <c r="AA442" s="202" t="str">
        <f t="shared" si="7"/>
        <v>Картофель</v>
      </c>
    </row>
    <row r="443" spans="1:27" ht="15" customHeight="1" x14ac:dyDescent="0.25">
      <c r="A443" t="s">
        <v>153</v>
      </c>
      <c r="L443"/>
      <c r="M443"/>
      <c r="N443"/>
      <c r="O443"/>
      <c r="P443"/>
      <c r="T443">
        <v>1992</v>
      </c>
      <c r="U443" s="7">
        <v>3</v>
      </c>
      <c r="V443" t="s">
        <v>613</v>
      </c>
      <c r="W443" s="257" t="s">
        <v>651</v>
      </c>
      <c r="X443" t="s">
        <v>650</v>
      </c>
      <c r="Y443" s="316" t="s">
        <v>32</v>
      </c>
      <c r="Z443" s="8">
        <v>10</v>
      </c>
      <c r="AA443" s="202" t="str">
        <f t="shared" si="7"/>
        <v>Лук репчатый</v>
      </c>
    </row>
    <row r="444" spans="1:27" ht="15" customHeight="1" x14ac:dyDescent="0.25">
      <c r="A444" t="s">
        <v>153</v>
      </c>
      <c r="L444"/>
      <c r="M444"/>
      <c r="N444"/>
      <c r="O444"/>
      <c r="P444"/>
      <c r="T444">
        <v>1993</v>
      </c>
      <c r="U444" s="7">
        <v>3</v>
      </c>
      <c r="V444" t="s">
        <v>613</v>
      </c>
      <c r="W444" s="257" t="s">
        <v>651</v>
      </c>
      <c r="X444" t="s">
        <v>650</v>
      </c>
      <c r="Y444" s="316" t="s">
        <v>46</v>
      </c>
      <c r="Z444" s="8">
        <v>10</v>
      </c>
      <c r="AA444" s="202" t="str">
        <f t="shared" si="7"/>
        <v>Морковь</v>
      </c>
    </row>
    <row r="445" spans="1:27" ht="15" customHeight="1" x14ac:dyDescent="0.25">
      <c r="A445" t="s">
        <v>153</v>
      </c>
      <c r="L445"/>
      <c r="M445"/>
      <c r="N445"/>
      <c r="O445"/>
      <c r="P445"/>
      <c r="T445">
        <v>1994</v>
      </c>
      <c r="U445" s="7">
        <v>3</v>
      </c>
      <c r="V445" t="s">
        <v>613</v>
      </c>
      <c r="W445" s="257" t="s">
        <v>651</v>
      </c>
      <c r="X445" t="s">
        <v>650</v>
      </c>
      <c r="Y445" s="316" t="s">
        <v>76</v>
      </c>
      <c r="Z445" s="8">
        <v>2</v>
      </c>
      <c r="AA445" s="202" t="str">
        <f t="shared" si="7"/>
        <v>Томат-паста</v>
      </c>
    </row>
    <row r="446" spans="1:27" ht="15" customHeight="1" x14ac:dyDescent="0.25">
      <c r="A446" t="s">
        <v>153</v>
      </c>
      <c r="L446"/>
      <c r="M446"/>
      <c r="N446"/>
      <c r="O446"/>
      <c r="P446"/>
      <c r="T446">
        <v>1995</v>
      </c>
      <c r="U446" s="7">
        <v>3</v>
      </c>
      <c r="V446" t="s">
        <v>613</v>
      </c>
      <c r="W446" s="257" t="s">
        <v>651</v>
      </c>
      <c r="X446" t="s">
        <v>650</v>
      </c>
      <c r="Y446" s="316" t="s">
        <v>61</v>
      </c>
      <c r="Z446" s="8">
        <v>5</v>
      </c>
      <c r="AA446" s="202" t="str">
        <f t="shared" si="7"/>
        <v>Масло растительное</v>
      </c>
    </row>
    <row r="447" spans="1:27" ht="15" customHeight="1" x14ac:dyDescent="0.25">
      <c r="A447" t="s">
        <v>153</v>
      </c>
      <c r="L447"/>
      <c r="M447"/>
      <c r="N447"/>
      <c r="O447"/>
      <c r="P447"/>
      <c r="T447">
        <v>1996</v>
      </c>
      <c r="U447" s="7">
        <v>3</v>
      </c>
      <c r="V447" t="s">
        <v>613</v>
      </c>
      <c r="W447" s="257" t="s">
        <v>651</v>
      </c>
      <c r="X447" t="s">
        <v>650</v>
      </c>
      <c r="Y447" s="316" t="s">
        <v>434</v>
      </c>
      <c r="Z447" s="8">
        <v>2</v>
      </c>
      <c r="AA447" s="202" t="str">
        <f t="shared" si="7"/>
        <v>Мука пшеничная 1 с</v>
      </c>
    </row>
    <row r="448" spans="1:27" ht="15" customHeight="1" x14ac:dyDescent="0.25">
      <c r="A448" t="s">
        <v>153</v>
      </c>
      <c r="L448"/>
      <c r="M448"/>
      <c r="N448"/>
      <c r="O448"/>
      <c r="P448"/>
      <c r="T448">
        <v>1997</v>
      </c>
      <c r="U448" s="7">
        <v>3</v>
      </c>
      <c r="V448" t="s">
        <v>613</v>
      </c>
      <c r="W448" s="257" t="s">
        <v>651</v>
      </c>
      <c r="X448" t="s">
        <v>650</v>
      </c>
      <c r="Y448" s="316" t="s">
        <v>326</v>
      </c>
      <c r="Z448" s="8">
        <v>2</v>
      </c>
      <c r="AA448" s="202" t="str">
        <f t="shared" si="7"/>
        <v>Соль</v>
      </c>
    </row>
    <row r="449" spans="1:27" ht="15" customHeight="1" x14ac:dyDescent="0.25">
      <c r="A449" t="s">
        <v>153</v>
      </c>
      <c r="L449"/>
      <c r="M449"/>
      <c r="N449"/>
      <c r="O449"/>
      <c r="P449"/>
      <c r="T449">
        <v>1998</v>
      </c>
      <c r="U449" s="7">
        <v>3</v>
      </c>
      <c r="V449" t="s">
        <v>613</v>
      </c>
      <c r="W449" s="257" t="s">
        <v>651</v>
      </c>
      <c r="X449" t="s">
        <v>650</v>
      </c>
      <c r="Y449" s="316" t="s">
        <v>74</v>
      </c>
      <c r="Z449" s="8">
        <v>0.01</v>
      </c>
      <c r="AA449" s="202" t="str">
        <f t="shared" si="7"/>
        <v>Лавровый лист</v>
      </c>
    </row>
    <row r="450" spans="1:27" ht="15" customHeight="1" x14ac:dyDescent="0.25">
      <c r="A450" t="s">
        <v>153</v>
      </c>
      <c r="L450"/>
      <c r="M450"/>
      <c r="N450"/>
      <c r="O450"/>
      <c r="P450"/>
      <c r="T450">
        <v>1999</v>
      </c>
      <c r="U450" s="7">
        <v>3</v>
      </c>
      <c r="V450" t="s">
        <v>613</v>
      </c>
      <c r="W450" s="257" t="s">
        <v>651</v>
      </c>
      <c r="X450" t="s">
        <v>650</v>
      </c>
      <c r="Y450" s="316" t="s">
        <v>484</v>
      </c>
      <c r="Z450" s="8">
        <v>0.01</v>
      </c>
      <c r="AA450" s="202" t="str">
        <f t="shared" ref="AA450:AA513" si="8">VLOOKUP(Y450,O:P,2,FALSE)</f>
        <v>Перец черный</v>
      </c>
    </row>
    <row r="451" spans="1:27" ht="15" customHeight="1" x14ac:dyDescent="0.25">
      <c r="A451" t="s">
        <v>153</v>
      </c>
      <c r="L451"/>
      <c r="M451"/>
      <c r="N451"/>
      <c r="O451"/>
      <c r="P451"/>
      <c r="T451">
        <v>2000</v>
      </c>
      <c r="U451" s="7">
        <v>3</v>
      </c>
      <c r="V451" t="s">
        <v>613</v>
      </c>
      <c r="W451" s="257" t="s">
        <v>651</v>
      </c>
      <c r="X451" t="s">
        <v>650</v>
      </c>
      <c r="Y451" s="316" t="s">
        <v>1215</v>
      </c>
      <c r="Z451" s="8">
        <v>328</v>
      </c>
      <c r="AA451" s="202" t="str">
        <f t="shared" si="8"/>
        <v>Общая масса готового блюда, г</v>
      </c>
    </row>
    <row r="452" spans="1:27" ht="15" customHeight="1" x14ac:dyDescent="0.25">
      <c r="A452" t="s">
        <v>153</v>
      </c>
      <c r="L452"/>
      <c r="M452"/>
      <c r="N452"/>
      <c r="O452"/>
      <c r="P452"/>
      <c r="T452">
        <v>2000</v>
      </c>
      <c r="U452" s="7">
        <v>3</v>
      </c>
      <c r="V452" t="s">
        <v>613</v>
      </c>
      <c r="W452" s="257" t="s">
        <v>651</v>
      </c>
      <c r="X452" t="s">
        <v>650</v>
      </c>
      <c r="Y452" s="316" t="s">
        <v>1214</v>
      </c>
      <c r="Z452" s="8">
        <v>47</v>
      </c>
      <c r="AA452" s="202" t="str">
        <f t="shared" si="8"/>
        <v>Масса мясных и рыбных порций, г</v>
      </c>
    </row>
    <row r="453" spans="1:27" ht="15" customHeight="1" x14ac:dyDescent="0.25">
      <c r="A453" t="s">
        <v>153</v>
      </c>
      <c r="L453"/>
      <c r="M453"/>
      <c r="N453"/>
      <c r="O453"/>
      <c r="P453"/>
      <c r="T453">
        <v>1979</v>
      </c>
      <c r="U453" s="7">
        <v>3</v>
      </c>
      <c r="V453" t="s">
        <v>613</v>
      </c>
      <c r="W453" s="257" t="s">
        <v>649</v>
      </c>
      <c r="X453" t="s">
        <v>652</v>
      </c>
      <c r="Y453" s="316" t="s">
        <v>455</v>
      </c>
      <c r="Z453" s="8">
        <v>100</v>
      </c>
      <c r="AA453" s="202" t="str">
        <f t="shared" si="8"/>
        <v>Говядина н/к</v>
      </c>
    </row>
    <row r="454" spans="1:27" ht="15" customHeight="1" x14ac:dyDescent="0.25">
      <c r="A454" t="s">
        <v>153</v>
      </c>
      <c r="L454"/>
      <c r="M454"/>
      <c r="N454"/>
      <c r="O454"/>
      <c r="P454"/>
      <c r="T454">
        <v>1980</v>
      </c>
      <c r="U454" s="7">
        <v>3</v>
      </c>
      <c r="V454" t="s">
        <v>613</v>
      </c>
      <c r="W454" s="257" t="s">
        <v>649</v>
      </c>
      <c r="X454" t="s">
        <v>652</v>
      </c>
      <c r="Y454" s="316" t="s">
        <v>45</v>
      </c>
      <c r="Z454" s="8">
        <v>405</v>
      </c>
      <c r="AA454" s="202" t="str">
        <f t="shared" si="8"/>
        <v>Картофель</v>
      </c>
    </row>
    <row r="455" spans="1:27" ht="15" customHeight="1" x14ac:dyDescent="0.25">
      <c r="A455" t="s">
        <v>153</v>
      </c>
      <c r="L455"/>
      <c r="M455"/>
      <c r="N455"/>
      <c r="O455"/>
      <c r="P455"/>
      <c r="T455">
        <v>1981</v>
      </c>
      <c r="U455" s="7">
        <v>3</v>
      </c>
      <c r="V455" t="s">
        <v>613</v>
      </c>
      <c r="W455" s="257" t="s">
        <v>649</v>
      </c>
      <c r="X455" t="s">
        <v>652</v>
      </c>
      <c r="Y455" s="316" t="s">
        <v>32</v>
      </c>
      <c r="Z455" s="8">
        <v>10</v>
      </c>
      <c r="AA455" s="202" t="str">
        <f t="shared" si="8"/>
        <v>Лук репчатый</v>
      </c>
    </row>
    <row r="456" spans="1:27" ht="15" customHeight="1" x14ac:dyDescent="0.25">
      <c r="A456" t="s">
        <v>153</v>
      </c>
      <c r="L456"/>
      <c r="M456"/>
      <c r="N456"/>
      <c r="O456"/>
      <c r="P456"/>
      <c r="T456">
        <v>1982</v>
      </c>
      <c r="U456" s="7">
        <v>3</v>
      </c>
      <c r="V456" t="s">
        <v>613</v>
      </c>
      <c r="W456" s="257" t="s">
        <v>649</v>
      </c>
      <c r="X456" t="s">
        <v>652</v>
      </c>
      <c r="Y456" s="316" t="s">
        <v>46</v>
      </c>
      <c r="Z456" s="8">
        <v>10</v>
      </c>
      <c r="AA456" s="202" t="str">
        <f t="shared" si="8"/>
        <v>Морковь</v>
      </c>
    </row>
    <row r="457" spans="1:27" ht="15" customHeight="1" x14ac:dyDescent="0.25">
      <c r="A457" t="s">
        <v>153</v>
      </c>
      <c r="L457"/>
      <c r="M457"/>
      <c r="N457"/>
      <c r="O457"/>
      <c r="P457"/>
      <c r="T457">
        <v>1983</v>
      </c>
      <c r="U457" s="7">
        <v>3</v>
      </c>
      <c r="V457" t="s">
        <v>613</v>
      </c>
      <c r="W457" s="257" t="s">
        <v>649</v>
      </c>
      <c r="X457" t="s">
        <v>652</v>
      </c>
      <c r="Y457" s="316" t="s">
        <v>76</v>
      </c>
      <c r="Z457" s="8">
        <v>2</v>
      </c>
      <c r="AA457" s="202" t="str">
        <f t="shared" si="8"/>
        <v>Томат-паста</v>
      </c>
    </row>
    <row r="458" spans="1:27" ht="15" customHeight="1" x14ac:dyDescent="0.25">
      <c r="A458" t="s">
        <v>153</v>
      </c>
      <c r="L458"/>
      <c r="M458"/>
      <c r="N458"/>
      <c r="O458"/>
      <c r="P458"/>
      <c r="T458">
        <v>1984</v>
      </c>
      <c r="U458" s="7">
        <v>3</v>
      </c>
      <c r="V458" t="s">
        <v>613</v>
      </c>
      <c r="W458" s="257" t="s">
        <v>649</v>
      </c>
      <c r="X458" t="s">
        <v>652</v>
      </c>
      <c r="Y458" s="316" t="s">
        <v>61</v>
      </c>
      <c r="Z458" s="8">
        <v>5</v>
      </c>
      <c r="AA458" s="202" t="str">
        <f t="shared" si="8"/>
        <v>Масло растительное</v>
      </c>
    </row>
    <row r="459" spans="1:27" ht="15" customHeight="1" x14ac:dyDescent="0.25">
      <c r="A459" t="s">
        <v>153</v>
      </c>
      <c r="L459"/>
      <c r="M459"/>
      <c r="N459"/>
      <c r="O459"/>
      <c r="P459"/>
      <c r="T459">
        <v>1985</v>
      </c>
      <c r="U459" s="7">
        <v>3</v>
      </c>
      <c r="V459" t="s">
        <v>613</v>
      </c>
      <c r="W459" s="257" t="s">
        <v>649</v>
      </c>
      <c r="X459" t="s">
        <v>652</v>
      </c>
      <c r="Y459" s="316" t="s">
        <v>434</v>
      </c>
      <c r="Z459" s="8">
        <v>2</v>
      </c>
      <c r="AA459" s="202" t="str">
        <f t="shared" si="8"/>
        <v>Мука пшеничная 1 с</v>
      </c>
    </row>
    <row r="460" spans="1:27" ht="15" customHeight="1" x14ac:dyDescent="0.25">
      <c r="A460" t="s">
        <v>153</v>
      </c>
      <c r="L460"/>
      <c r="M460"/>
      <c r="N460"/>
      <c r="O460"/>
      <c r="P460"/>
      <c r="T460">
        <v>1986</v>
      </c>
      <c r="U460" s="7">
        <v>3</v>
      </c>
      <c r="V460" t="s">
        <v>613</v>
      </c>
      <c r="W460" s="257" t="s">
        <v>649</v>
      </c>
      <c r="X460" t="s">
        <v>652</v>
      </c>
      <c r="Y460" s="316" t="s">
        <v>326</v>
      </c>
      <c r="Z460" s="8">
        <v>2</v>
      </c>
      <c r="AA460" s="202" t="str">
        <f t="shared" si="8"/>
        <v>Соль</v>
      </c>
    </row>
    <row r="461" spans="1:27" ht="15" customHeight="1" x14ac:dyDescent="0.25">
      <c r="A461" t="s">
        <v>153</v>
      </c>
      <c r="L461"/>
      <c r="M461"/>
      <c r="N461"/>
      <c r="O461"/>
      <c r="P461"/>
      <c r="T461">
        <v>1987</v>
      </c>
      <c r="U461" s="7">
        <v>3</v>
      </c>
      <c r="V461" t="s">
        <v>613</v>
      </c>
      <c r="W461" s="257" t="s">
        <v>649</v>
      </c>
      <c r="X461" t="s">
        <v>652</v>
      </c>
      <c r="Y461" s="316" t="s">
        <v>74</v>
      </c>
      <c r="Z461" s="8">
        <v>0.01</v>
      </c>
      <c r="AA461" s="202" t="str">
        <f t="shared" si="8"/>
        <v>Лавровый лист</v>
      </c>
    </row>
    <row r="462" spans="1:27" ht="15" customHeight="1" x14ac:dyDescent="0.25">
      <c r="A462" t="s">
        <v>153</v>
      </c>
      <c r="L462"/>
      <c r="M462"/>
      <c r="N462"/>
      <c r="O462"/>
      <c r="P462"/>
      <c r="T462">
        <v>1988</v>
      </c>
      <c r="U462" s="7">
        <v>3</v>
      </c>
      <c r="V462" t="s">
        <v>613</v>
      </c>
      <c r="W462" s="257" t="s">
        <v>649</v>
      </c>
      <c r="X462" t="s">
        <v>652</v>
      </c>
      <c r="Y462" s="316" t="s">
        <v>484</v>
      </c>
      <c r="Z462" s="8">
        <v>0.01</v>
      </c>
      <c r="AA462" s="202" t="str">
        <f t="shared" si="8"/>
        <v>Перец черный</v>
      </c>
    </row>
    <row r="463" spans="1:27" ht="15" customHeight="1" x14ac:dyDescent="0.25">
      <c r="A463" t="s">
        <v>153</v>
      </c>
      <c r="L463"/>
      <c r="M463"/>
      <c r="N463"/>
      <c r="O463"/>
      <c r="P463"/>
      <c r="T463">
        <v>1989</v>
      </c>
      <c r="U463" s="7">
        <v>3</v>
      </c>
      <c r="V463" t="s">
        <v>613</v>
      </c>
      <c r="W463" s="257" t="s">
        <v>649</v>
      </c>
      <c r="X463" t="s">
        <v>652</v>
      </c>
      <c r="Y463" s="316" t="s">
        <v>1215</v>
      </c>
      <c r="Z463" s="8">
        <v>328</v>
      </c>
      <c r="AA463" s="202" t="str">
        <f t="shared" si="8"/>
        <v>Общая масса готового блюда, г</v>
      </c>
    </row>
    <row r="464" spans="1:27" ht="15" customHeight="1" x14ac:dyDescent="0.25">
      <c r="A464" t="s">
        <v>153</v>
      </c>
      <c r="L464"/>
      <c r="M464"/>
      <c r="N464"/>
      <c r="O464"/>
      <c r="P464"/>
      <c r="T464">
        <v>1989</v>
      </c>
      <c r="U464" s="7">
        <v>3</v>
      </c>
      <c r="V464" t="s">
        <v>613</v>
      </c>
      <c r="W464" s="257" t="s">
        <v>649</v>
      </c>
      <c r="X464" t="s">
        <v>652</v>
      </c>
      <c r="Y464" s="316" t="s">
        <v>1214</v>
      </c>
      <c r="Z464" s="8">
        <v>47</v>
      </c>
      <c r="AA464" s="202" t="str">
        <f t="shared" si="8"/>
        <v>Масса мясных и рыбных порций, г</v>
      </c>
    </row>
    <row r="465" spans="1:27" ht="15" customHeight="1" x14ac:dyDescent="0.25">
      <c r="A465" t="s">
        <v>153</v>
      </c>
      <c r="L465"/>
      <c r="M465"/>
      <c r="N465"/>
      <c r="O465"/>
      <c r="P465"/>
      <c r="T465">
        <v>2000</v>
      </c>
      <c r="U465" s="7">
        <v>3</v>
      </c>
      <c r="V465" t="s">
        <v>613</v>
      </c>
      <c r="W465" s="257" t="s">
        <v>649</v>
      </c>
      <c r="X465" t="s">
        <v>652</v>
      </c>
      <c r="Y465" s="316" t="s">
        <v>109</v>
      </c>
      <c r="Z465" s="8">
        <v>375</v>
      </c>
      <c r="AA465" s="202" t="str">
        <f t="shared" si="8"/>
        <v>ОКГ</v>
      </c>
    </row>
    <row r="466" spans="1:27" ht="15" customHeight="1" x14ac:dyDescent="0.25">
      <c r="A466" t="s">
        <v>153</v>
      </c>
      <c r="L466"/>
      <c r="M466"/>
      <c r="N466"/>
      <c r="O466"/>
      <c r="P466"/>
      <c r="T466">
        <v>2134</v>
      </c>
      <c r="U466" s="7">
        <v>3</v>
      </c>
      <c r="V466" t="s">
        <v>613</v>
      </c>
      <c r="W466" s="257" t="s">
        <v>653</v>
      </c>
      <c r="X466" t="s">
        <v>654</v>
      </c>
      <c r="Y466" s="316" t="s">
        <v>462</v>
      </c>
      <c r="Z466" s="8">
        <v>100</v>
      </c>
      <c r="AA466" s="202" t="str">
        <f t="shared" si="8"/>
        <v>Свинина на кости</v>
      </c>
    </row>
    <row r="467" spans="1:27" ht="15" customHeight="1" x14ac:dyDescent="0.25">
      <c r="A467" t="s">
        <v>153</v>
      </c>
      <c r="L467"/>
      <c r="M467"/>
      <c r="N467"/>
      <c r="O467"/>
      <c r="P467"/>
      <c r="T467">
        <v>2135</v>
      </c>
      <c r="U467" s="7">
        <v>3</v>
      </c>
      <c r="V467" t="s">
        <v>613</v>
      </c>
      <c r="W467" s="257" t="s">
        <v>653</v>
      </c>
      <c r="X467" t="s">
        <v>654</v>
      </c>
      <c r="Y467" s="316" t="s">
        <v>45</v>
      </c>
      <c r="Z467" s="8">
        <v>405</v>
      </c>
      <c r="AA467" s="202" t="str">
        <f t="shared" si="8"/>
        <v>Картофель</v>
      </c>
    </row>
    <row r="468" spans="1:27" ht="15" customHeight="1" x14ac:dyDescent="0.25">
      <c r="A468" t="s">
        <v>153</v>
      </c>
      <c r="L468"/>
      <c r="M468"/>
      <c r="N468"/>
      <c r="O468"/>
      <c r="P468"/>
      <c r="T468">
        <v>2136</v>
      </c>
      <c r="U468" s="7">
        <v>3</v>
      </c>
      <c r="V468" t="s">
        <v>613</v>
      </c>
      <c r="W468" s="257" t="s">
        <v>653</v>
      </c>
      <c r="X468" t="s">
        <v>654</v>
      </c>
      <c r="Y468" s="316" t="s">
        <v>32</v>
      </c>
      <c r="Z468" s="8">
        <v>10</v>
      </c>
      <c r="AA468" s="202" t="str">
        <f t="shared" si="8"/>
        <v>Лук репчатый</v>
      </c>
    </row>
    <row r="469" spans="1:27" ht="15" customHeight="1" x14ac:dyDescent="0.25">
      <c r="A469" t="s">
        <v>153</v>
      </c>
      <c r="L469"/>
      <c r="M469"/>
      <c r="N469"/>
      <c r="O469"/>
      <c r="P469"/>
      <c r="T469">
        <v>2137</v>
      </c>
      <c r="U469" s="7">
        <v>3</v>
      </c>
      <c r="V469" t="s">
        <v>613</v>
      </c>
      <c r="W469" s="257" t="s">
        <v>653</v>
      </c>
      <c r="X469" t="s">
        <v>654</v>
      </c>
      <c r="Y469" s="316" t="s">
        <v>46</v>
      </c>
      <c r="Z469" s="8">
        <v>10</v>
      </c>
      <c r="AA469" s="202" t="str">
        <f t="shared" si="8"/>
        <v>Морковь</v>
      </c>
    </row>
    <row r="470" spans="1:27" ht="15" customHeight="1" x14ac:dyDescent="0.25">
      <c r="A470" t="s">
        <v>153</v>
      </c>
      <c r="L470"/>
      <c r="M470"/>
      <c r="N470"/>
      <c r="O470"/>
      <c r="P470"/>
      <c r="T470">
        <v>2138</v>
      </c>
      <c r="U470" s="7">
        <v>3</v>
      </c>
      <c r="V470" t="s">
        <v>613</v>
      </c>
      <c r="W470" s="257" t="s">
        <v>653</v>
      </c>
      <c r="X470" t="s">
        <v>654</v>
      </c>
      <c r="Y470" s="316" t="s">
        <v>76</v>
      </c>
      <c r="Z470" s="8">
        <v>2</v>
      </c>
      <c r="AA470" s="202" t="str">
        <f t="shared" si="8"/>
        <v>Томат-паста</v>
      </c>
    </row>
    <row r="471" spans="1:27" ht="15" customHeight="1" x14ac:dyDescent="0.25">
      <c r="A471" t="s">
        <v>153</v>
      </c>
      <c r="L471"/>
      <c r="M471"/>
      <c r="N471"/>
      <c r="O471"/>
      <c r="P471"/>
      <c r="T471">
        <v>2139</v>
      </c>
      <c r="U471" s="7">
        <v>3</v>
      </c>
      <c r="V471" t="s">
        <v>613</v>
      </c>
      <c r="W471" s="257" t="s">
        <v>653</v>
      </c>
      <c r="X471" t="s">
        <v>654</v>
      </c>
      <c r="Y471" s="316" t="s">
        <v>61</v>
      </c>
      <c r="Z471" s="8">
        <v>5</v>
      </c>
      <c r="AA471" s="202" t="str">
        <f t="shared" si="8"/>
        <v>Масло растительное</v>
      </c>
    </row>
    <row r="472" spans="1:27" ht="15" customHeight="1" x14ac:dyDescent="0.25">
      <c r="A472" t="s">
        <v>153</v>
      </c>
      <c r="L472"/>
      <c r="M472"/>
      <c r="N472"/>
      <c r="O472"/>
      <c r="P472"/>
      <c r="T472">
        <v>2140</v>
      </c>
      <c r="U472" s="7">
        <v>3</v>
      </c>
      <c r="V472" t="s">
        <v>613</v>
      </c>
      <c r="W472" s="257" t="s">
        <v>653</v>
      </c>
      <c r="X472" t="s">
        <v>654</v>
      </c>
      <c r="Y472" s="316" t="s">
        <v>434</v>
      </c>
      <c r="Z472" s="8">
        <v>2</v>
      </c>
      <c r="AA472" s="202" t="str">
        <f t="shared" si="8"/>
        <v>Мука пшеничная 1 с</v>
      </c>
    </row>
    <row r="473" spans="1:27" ht="15" customHeight="1" x14ac:dyDescent="0.25">
      <c r="A473" t="s">
        <v>153</v>
      </c>
      <c r="L473"/>
      <c r="M473"/>
      <c r="N473"/>
      <c r="O473"/>
      <c r="P473"/>
      <c r="T473">
        <v>2141</v>
      </c>
      <c r="U473" s="7">
        <v>3</v>
      </c>
      <c r="V473" t="s">
        <v>613</v>
      </c>
      <c r="W473" s="257" t="s">
        <v>653</v>
      </c>
      <c r="X473" t="s">
        <v>654</v>
      </c>
      <c r="Y473" s="316" t="s">
        <v>74</v>
      </c>
      <c r="Z473" s="8">
        <v>0.01</v>
      </c>
      <c r="AA473" s="202" t="str">
        <f t="shared" si="8"/>
        <v>Лавровый лист</v>
      </c>
    </row>
    <row r="474" spans="1:27" ht="15" customHeight="1" x14ac:dyDescent="0.25">
      <c r="A474" t="s">
        <v>153</v>
      </c>
      <c r="L474"/>
      <c r="M474"/>
      <c r="N474"/>
      <c r="O474"/>
      <c r="P474"/>
      <c r="T474">
        <v>2142</v>
      </c>
      <c r="U474" s="7">
        <v>3</v>
      </c>
      <c r="V474" t="s">
        <v>613</v>
      </c>
      <c r="W474" s="257" t="s">
        <v>653</v>
      </c>
      <c r="X474" t="s">
        <v>654</v>
      </c>
      <c r="Y474" s="316" t="s">
        <v>326</v>
      </c>
      <c r="Z474" s="8">
        <v>2</v>
      </c>
      <c r="AA474" s="202" t="str">
        <f t="shared" si="8"/>
        <v>Соль</v>
      </c>
    </row>
    <row r="475" spans="1:27" ht="15" customHeight="1" x14ac:dyDescent="0.25">
      <c r="A475" t="s">
        <v>153</v>
      </c>
      <c r="L475"/>
      <c r="M475"/>
      <c r="N475"/>
      <c r="O475"/>
      <c r="P475"/>
      <c r="T475">
        <v>2143</v>
      </c>
      <c r="U475" s="7">
        <v>3</v>
      </c>
      <c r="V475" t="s">
        <v>613</v>
      </c>
      <c r="W475" s="257" t="s">
        <v>653</v>
      </c>
      <c r="X475" t="s">
        <v>654</v>
      </c>
      <c r="Y475" s="316" t="s">
        <v>484</v>
      </c>
      <c r="Z475" s="8">
        <v>0.01</v>
      </c>
      <c r="AA475" s="202" t="str">
        <f t="shared" si="8"/>
        <v>Перец черный</v>
      </c>
    </row>
    <row r="476" spans="1:27" ht="15" customHeight="1" x14ac:dyDescent="0.25">
      <c r="A476" t="s">
        <v>153</v>
      </c>
      <c r="L476"/>
      <c r="M476"/>
      <c r="N476"/>
      <c r="O476"/>
      <c r="P476"/>
      <c r="T476">
        <v>2144</v>
      </c>
      <c r="U476" s="7">
        <v>3</v>
      </c>
      <c r="V476" t="s">
        <v>613</v>
      </c>
      <c r="W476" s="257" t="s">
        <v>653</v>
      </c>
      <c r="X476" t="s">
        <v>654</v>
      </c>
      <c r="Y476" s="316" t="s">
        <v>1214</v>
      </c>
      <c r="Z476" s="8">
        <v>58</v>
      </c>
      <c r="AA476" s="202" t="str">
        <f t="shared" si="8"/>
        <v>Масса мясных и рыбных порций, г</v>
      </c>
    </row>
    <row r="477" spans="1:27" ht="15" customHeight="1" x14ac:dyDescent="0.25">
      <c r="A477" t="s">
        <v>153</v>
      </c>
      <c r="L477"/>
      <c r="M477"/>
      <c r="N477"/>
      <c r="O477"/>
      <c r="P477"/>
      <c r="T477">
        <v>2144</v>
      </c>
      <c r="U477" s="7">
        <v>3</v>
      </c>
      <c r="V477" t="s">
        <v>613</v>
      </c>
      <c r="W477" s="257" t="s">
        <v>653</v>
      </c>
      <c r="X477" t="s">
        <v>654</v>
      </c>
      <c r="Y477" s="316" t="s">
        <v>558</v>
      </c>
      <c r="Z477" s="8">
        <v>339</v>
      </c>
      <c r="AA477" s="202" t="str">
        <f t="shared" si="8"/>
        <v>Общая масса готового блюда, г</v>
      </c>
    </row>
    <row r="478" spans="1:27" ht="15" customHeight="1" x14ac:dyDescent="0.25">
      <c r="A478" t="s">
        <v>153</v>
      </c>
      <c r="L478"/>
      <c r="M478"/>
      <c r="N478"/>
      <c r="O478"/>
      <c r="P478"/>
      <c r="T478">
        <v>2144</v>
      </c>
      <c r="U478" s="7">
        <v>3</v>
      </c>
      <c r="V478" t="s">
        <v>613</v>
      </c>
      <c r="W478" s="257" t="s">
        <v>653</v>
      </c>
      <c r="X478" t="s">
        <v>654</v>
      </c>
      <c r="Y478" s="316" t="s">
        <v>109</v>
      </c>
      <c r="Z478" s="8">
        <v>375</v>
      </c>
      <c r="AA478" s="202" t="str">
        <f t="shared" si="8"/>
        <v>ОКГ</v>
      </c>
    </row>
    <row r="479" spans="1:27" ht="15" customHeight="1" x14ac:dyDescent="0.25">
      <c r="A479" t="s">
        <v>153</v>
      </c>
      <c r="L479"/>
      <c r="M479"/>
      <c r="N479"/>
      <c r="O479"/>
      <c r="P479"/>
      <c r="T479">
        <v>2863</v>
      </c>
      <c r="U479" s="7">
        <v>3</v>
      </c>
      <c r="V479" t="s">
        <v>1192</v>
      </c>
      <c r="W479" s="257" t="s">
        <v>164</v>
      </c>
      <c r="X479" t="s">
        <v>164</v>
      </c>
      <c r="Y479" s="316" t="s">
        <v>409</v>
      </c>
      <c r="Z479" s="8">
        <v>20</v>
      </c>
      <c r="AA479" s="202" t="str">
        <f t="shared" si="8"/>
        <v>Консервы овощ. закусочные, лечо</v>
      </c>
    </row>
    <row r="480" spans="1:27" ht="15" customHeight="1" x14ac:dyDescent="0.25">
      <c r="A480" t="s">
        <v>153</v>
      </c>
      <c r="L480"/>
      <c r="M480"/>
      <c r="N480"/>
      <c r="O480"/>
      <c r="P480"/>
      <c r="T480">
        <v>2864</v>
      </c>
      <c r="U480" s="7">
        <v>3</v>
      </c>
      <c r="V480" t="s">
        <v>1192</v>
      </c>
      <c r="W480" s="257" t="s">
        <v>164</v>
      </c>
      <c r="X480" t="s">
        <v>164</v>
      </c>
      <c r="Y480" s="316" t="s">
        <v>558</v>
      </c>
      <c r="Z480" s="8">
        <v>20</v>
      </c>
      <c r="AA480" s="202" t="str">
        <f t="shared" si="8"/>
        <v>Общая масса готового блюда, г</v>
      </c>
    </row>
    <row r="481" spans="1:27" ht="15" customHeight="1" x14ac:dyDescent="0.25">
      <c r="A481" t="s">
        <v>153</v>
      </c>
      <c r="L481"/>
      <c r="M481"/>
      <c r="N481"/>
      <c r="O481"/>
      <c r="P481"/>
      <c r="T481">
        <v>732</v>
      </c>
      <c r="U481" s="7">
        <v>3</v>
      </c>
      <c r="V481" t="s">
        <v>966</v>
      </c>
      <c r="W481" s="257" t="s">
        <v>969</v>
      </c>
      <c r="X481" t="s">
        <v>970</v>
      </c>
      <c r="Y481" s="316" t="s">
        <v>490</v>
      </c>
      <c r="Z481" s="8">
        <v>340</v>
      </c>
      <c r="AA481" s="202" t="str">
        <f t="shared" si="8"/>
        <v>Капуста свежая</v>
      </c>
    </row>
    <row r="482" spans="1:27" ht="15" customHeight="1" x14ac:dyDescent="0.25">
      <c r="A482" t="s">
        <v>153</v>
      </c>
      <c r="L482"/>
      <c r="M482"/>
      <c r="N482"/>
      <c r="O482"/>
      <c r="P482"/>
      <c r="T482">
        <v>733</v>
      </c>
      <c r="U482" s="7">
        <v>3</v>
      </c>
      <c r="V482" t="s">
        <v>966</v>
      </c>
      <c r="W482" s="257" t="s">
        <v>969</v>
      </c>
      <c r="X482" t="s">
        <v>970</v>
      </c>
      <c r="Y482" s="316" t="s">
        <v>219</v>
      </c>
      <c r="Z482" s="8">
        <v>15</v>
      </c>
      <c r="AA482" s="202" t="str">
        <f t="shared" si="8"/>
        <v>Манная</v>
      </c>
    </row>
    <row r="483" spans="1:27" ht="15" customHeight="1" x14ac:dyDescent="0.25">
      <c r="A483" t="s">
        <v>153</v>
      </c>
      <c r="L483"/>
      <c r="M483"/>
      <c r="N483"/>
      <c r="O483"/>
      <c r="P483"/>
      <c r="T483">
        <v>734</v>
      </c>
      <c r="U483" s="7">
        <v>3</v>
      </c>
      <c r="V483" t="s">
        <v>966</v>
      </c>
      <c r="W483" s="257" t="s">
        <v>969</v>
      </c>
      <c r="X483" t="s">
        <v>970</v>
      </c>
      <c r="Y483" s="316" t="s">
        <v>79</v>
      </c>
      <c r="Z483" s="8">
        <v>0.16669999999999999</v>
      </c>
      <c r="AA483" s="202" t="str">
        <f t="shared" si="8"/>
        <v>Яйцо (шт)</v>
      </c>
    </row>
    <row r="484" spans="1:27" ht="15" customHeight="1" x14ac:dyDescent="0.25">
      <c r="A484" t="s">
        <v>153</v>
      </c>
      <c r="L484"/>
      <c r="M484"/>
      <c r="N484"/>
      <c r="O484"/>
      <c r="P484"/>
      <c r="T484">
        <v>735</v>
      </c>
      <c r="U484" s="7">
        <v>3</v>
      </c>
      <c r="V484" t="s">
        <v>966</v>
      </c>
      <c r="W484" s="257" t="s">
        <v>969</v>
      </c>
      <c r="X484" t="s">
        <v>970</v>
      </c>
      <c r="Y484" s="316" t="s">
        <v>330</v>
      </c>
      <c r="Z484" s="8">
        <v>60</v>
      </c>
      <c r="AA484" s="202" t="str">
        <f t="shared" si="8"/>
        <v>Вода</v>
      </c>
    </row>
    <row r="485" spans="1:27" ht="15" customHeight="1" x14ac:dyDescent="0.25">
      <c r="A485" t="s">
        <v>153</v>
      </c>
      <c r="L485"/>
      <c r="M485"/>
      <c r="N485"/>
      <c r="O485"/>
      <c r="P485"/>
      <c r="T485">
        <v>736</v>
      </c>
      <c r="U485" s="7">
        <v>3</v>
      </c>
      <c r="V485" t="s">
        <v>966</v>
      </c>
      <c r="W485" s="257" t="s">
        <v>969</v>
      </c>
      <c r="X485" t="s">
        <v>970</v>
      </c>
      <c r="Y485" s="316" t="s">
        <v>61</v>
      </c>
      <c r="Z485" s="8">
        <v>2</v>
      </c>
      <c r="AA485" s="202" t="str">
        <f t="shared" si="8"/>
        <v>Масло растительное</v>
      </c>
    </row>
    <row r="486" spans="1:27" ht="15" customHeight="1" x14ac:dyDescent="0.25">
      <c r="A486" t="s">
        <v>153</v>
      </c>
      <c r="L486"/>
      <c r="M486"/>
      <c r="N486"/>
      <c r="O486"/>
      <c r="P486"/>
      <c r="T486">
        <v>737</v>
      </c>
      <c r="U486" s="7">
        <v>3</v>
      </c>
      <c r="V486" t="s">
        <v>966</v>
      </c>
      <c r="W486" s="257" t="s">
        <v>969</v>
      </c>
      <c r="X486" t="s">
        <v>970</v>
      </c>
      <c r="Y486" s="316" t="s">
        <v>436</v>
      </c>
      <c r="Z486" s="8">
        <v>5</v>
      </c>
      <c r="AA486" s="202" t="str">
        <f t="shared" si="8"/>
        <v>Сухари</v>
      </c>
    </row>
    <row r="487" spans="1:27" ht="15" customHeight="1" x14ac:dyDescent="0.25">
      <c r="A487" t="s">
        <v>153</v>
      </c>
      <c r="L487"/>
      <c r="M487"/>
      <c r="N487"/>
      <c r="O487"/>
      <c r="P487"/>
      <c r="T487">
        <v>738</v>
      </c>
      <c r="U487" s="7">
        <v>3</v>
      </c>
      <c r="V487" t="s">
        <v>966</v>
      </c>
      <c r="W487" s="257" t="s">
        <v>969</v>
      </c>
      <c r="X487" t="s">
        <v>970</v>
      </c>
      <c r="Y487" s="316" t="s">
        <v>326</v>
      </c>
      <c r="Z487" s="8">
        <v>3</v>
      </c>
      <c r="AA487" s="202" t="str">
        <f t="shared" si="8"/>
        <v>Соль</v>
      </c>
    </row>
    <row r="488" spans="1:27" ht="15" customHeight="1" x14ac:dyDescent="0.25">
      <c r="A488" t="s">
        <v>153</v>
      </c>
      <c r="L488"/>
      <c r="M488"/>
      <c r="N488"/>
      <c r="O488"/>
      <c r="P488"/>
      <c r="T488">
        <v>739</v>
      </c>
      <c r="U488" s="7">
        <v>3</v>
      </c>
      <c r="V488" t="s">
        <v>966</v>
      </c>
      <c r="W488" s="257" t="s">
        <v>969</v>
      </c>
      <c r="X488" t="s">
        <v>970</v>
      </c>
      <c r="Y488" s="316" t="s">
        <v>558</v>
      </c>
      <c r="Z488" s="8">
        <v>261</v>
      </c>
      <c r="AA488" s="202" t="str">
        <f t="shared" si="8"/>
        <v>Общая масса готового блюда, г</v>
      </c>
    </row>
    <row r="489" spans="1:27" ht="15" customHeight="1" x14ac:dyDescent="0.25">
      <c r="A489" t="s">
        <v>153</v>
      </c>
      <c r="L489"/>
      <c r="M489"/>
      <c r="N489"/>
      <c r="O489"/>
      <c r="P489"/>
      <c r="T489">
        <v>739</v>
      </c>
      <c r="U489" s="7">
        <v>3</v>
      </c>
      <c r="V489" t="s">
        <v>966</v>
      </c>
      <c r="W489" s="257" t="s">
        <v>969</v>
      </c>
      <c r="X489" t="s">
        <v>970</v>
      </c>
      <c r="Y489" s="316" t="s">
        <v>109</v>
      </c>
      <c r="Z489" s="8">
        <v>415</v>
      </c>
      <c r="AA489" s="202" t="str">
        <f t="shared" si="8"/>
        <v>ОКГ</v>
      </c>
    </row>
    <row r="490" spans="1:27" ht="15" customHeight="1" x14ac:dyDescent="0.25">
      <c r="A490" t="s">
        <v>153</v>
      </c>
      <c r="L490"/>
      <c r="M490"/>
      <c r="N490"/>
      <c r="O490"/>
      <c r="P490"/>
      <c r="T490">
        <v>663</v>
      </c>
      <c r="U490" s="7">
        <v>3</v>
      </c>
      <c r="V490" t="s">
        <v>966</v>
      </c>
      <c r="W490" s="257" t="s">
        <v>971</v>
      </c>
      <c r="X490" t="s">
        <v>972</v>
      </c>
      <c r="Y490" s="316" t="s">
        <v>45</v>
      </c>
      <c r="Z490" s="8">
        <v>300</v>
      </c>
      <c r="AA490" s="202" t="str">
        <f t="shared" si="8"/>
        <v>Картофель</v>
      </c>
    </row>
    <row r="491" spans="1:27" ht="15" customHeight="1" x14ac:dyDescent="0.25">
      <c r="A491" t="s">
        <v>153</v>
      </c>
      <c r="L491"/>
      <c r="M491"/>
      <c r="N491"/>
      <c r="O491"/>
      <c r="P491"/>
      <c r="T491">
        <v>664</v>
      </c>
      <c r="U491" s="7">
        <v>3</v>
      </c>
      <c r="V491" t="s">
        <v>966</v>
      </c>
      <c r="W491" s="257" t="s">
        <v>971</v>
      </c>
      <c r="X491" t="s">
        <v>972</v>
      </c>
      <c r="Y491" s="316" t="s">
        <v>490</v>
      </c>
      <c r="Z491" s="8">
        <v>85</v>
      </c>
      <c r="AA491" s="202" t="str">
        <f t="shared" si="8"/>
        <v>Капуста свежая</v>
      </c>
    </row>
    <row r="492" spans="1:27" ht="15" customHeight="1" x14ac:dyDescent="0.25">
      <c r="A492" t="s">
        <v>153</v>
      </c>
      <c r="L492"/>
      <c r="M492"/>
      <c r="N492"/>
      <c r="O492"/>
      <c r="P492"/>
      <c r="T492">
        <v>665</v>
      </c>
      <c r="U492" s="7">
        <v>3</v>
      </c>
      <c r="V492" t="s">
        <v>966</v>
      </c>
      <c r="W492" s="257" t="s">
        <v>971</v>
      </c>
      <c r="X492" t="s">
        <v>972</v>
      </c>
      <c r="Y492" s="316" t="s">
        <v>32</v>
      </c>
      <c r="Z492" s="8">
        <v>15</v>
      </c>
      <c r="AA492" s="202" t="str">
        <f t="shared" si="8"/>
        <v>Лук репчатый</v>
      </c>
    </row>
    <row r="493" spans="1:27" ht="15" customHeight="1" x14ac:dyDescent="0.25">
      <c r="A493" t="s">
        <v>153</v>
      </c>
      <c r="L493"/>
      <c r="M493"/>
      <c r="N493"/>
      <c r="O493"/>
      <c r="P493"/>
      <c r="T493">
        <v>666</v>
      </c>
      <c r="U493" s="7">
        <v>3</v>
      </c>
      <c r="V493" t="s">
        <v>966</v>
      </c>
      <c r="W493" s="257" t="s">
        <v>971</v>
      </c>
      <c r="X493" t="s">
        <v>972</v>
      </c>
      <c r="Y493" s="316" t="s">
        <v>46</v>
      </c>
      <c r="Z493" s="8">
        <v>15</v>
      </c>
      <c r="AA493" s="202" t="str">
        <f t="shared" si="8"/>
        <v>Морковь</v>
      </c>
    </row>
    <row r="494" spans="1:27" ht="15" customHeight="1" x14ac:dyDescent="0.25">
      <c r="A494" t="s">
        <v>153</v>
      </c>
      <c r="L494"/>
      <c r="M494"/>
      <c r="N494"/>
      <c r="O494"/>
      <c r="P494"/>
      <c r="T494">
        <v>667</v>
      </c>
      <c r="U494" s="7">
        <v>3</v>
      </c>
      <c r="V494" t="s">
        <v>966</v>
      </c>
      <c r="W494" s="257" t="s">
        <v>971</v>
      </c>
      <c r="X494" t="s">
        <v>972</v>
      </c>
      <c r="Y494" s="316" t="s">
        <v>79</v>
      </c>
      <c r="Z494" s="8">
        <v>8.3299999999999999E-2</v>
      </c>
      <c r="AA494" s="202" t="str">
        <f t="shared" si="8"/>
        <v>Яйцо (шт)</v>
      </c>
    </row>
    <row r="495" spans="1:27" ht="15" customHeight="1" x14ac:dyDescent="0.25">
      <c r="A495" t="s">
        <v>153</v>
      </c>
      <c r="L495"/>
      <c r="M495"/>
      <c r="N495"/>
      <c r="O495"/>
      <c r="P495"/>
      <c r="T495">
        <v>668</v>
      </c>
      <c r="U495" s="7">
        <v>3</v>
      </c>
      <c r="V495" t="s">
        <v>966</v>
      </c>
      <c r="W495" s="257" t="s">
        <v>971</v>
      </c>
      <c r="X495" t="s">
        <v>972</v>
      </c>
      <c r="Y495" s="316" t="s">
        <v>61</v>
      </c>
      <c r="Z495" s="8">
        <v>2</v>
      </c>
      <c r="AA495" s="202" t="str">
        <f t="shared" si="8"/>
        <v>Масло растительное</v>
      </c>
    </row>
    <row r="496" spans="1:27" ht="15" customHeight="1" x14ac:dyDescent="0.25">
      <c r="A496" t="s">
        <v>153</v>
      </c>
      <c r="L496"/>
      <c r="M496"/>
      <c r="N496"/>
      <c r="O496"/>
      <c r="P496"/>
      <c r="T496">
        <v>669</v>
      </c>
      <c r="U496" s="7">
        <v>3</v>
      </c>
      <c r="V496" t="s">
        <v>966</v>
      </c>
      <c r="W496" s="257" t="s">
        <v>971</v>
      </c>
      <c r="X496" t="s">
        <v>972</v>
      </c>
      <c r="Y496" s="316" t="s">
        <v>326</v>
      </c>
      <c r="Z496" s="8">
        <v>5</v>
      </c>
      <c r="AA496" s="202" t="str">
        <f t="shared" si="8"/>
        <v>Соль</v>
      </c>
    </row>
    <row r="497" spans="1:27" ht="15" customHeight="1" x14ac:dyDescent="0.25">
      <c r="A497" t="s">
        <v>153</v>
      </c>
      <c r="L497"/>
      <c r="M497"/>
      <c r="N497"/>
      <c r="O497"/>
      <c r="P497"/>
      <c r="T497">
        <v>670</v>
      </c>
      <c r="U497" s="7">
        <v>3</v>
      </c>
      <c r="V497" t="s">
        <v>966</v>
      </c>
      <c r="W497" s="257" t="s">
        <v>971</v>
      </c>
      <c r="X497" t="s">
        <v>972</v>
      </c>
      <c r="Y497" s="316" t="s">
        <v>558</v>
      </c>
      <c r="Z497" s="8">
        <v>269</v>
      </c>
      <c r="AA497" s="202" t="str">
        <f t="shared" si="8"/>
        <v>Общая масса готового блюда, г</v>
      </c>
    </row>
    <row r="498" spans="1:27" ht="15" customHeight="1" x14ac:dyDescent="0.25">
      <c r="A498" t="s">
        <v>153</v>
      </c>
      <c r="L498"/>
      <c r="M498"/>
      <c r="N498"/>
      <c r="O498"/>
      <c r="P498"/>
      <c r="T498">
        <v>670</v>
      </c>
      <c r="U498" s="7">
        <v>3</v>
      </c>
      <c r="V498" t="s">
        <v>966</v>
      </c>
      <c r="W498" s="257" t="s">
        <v>971</v>
      </c>
      <c r="X498" t="s">
        <v>972</v>
      </c>
      <c r="Y498" s="316" t="s">
        <v>109</v>
      </c>
      <c r="Z498" s="8">
        <v>415</v>
      </c>
      <c r="AA498" s="202" t="str">
        <f t="shared" si="8"/>
        <v>ОКГ</v>
      </c>
    </row>
    <row r="499" spans="1:27" ht="15" customHeight="1" x14ac:dyDescent="0.25">
      <c r="A499" t="s">
        <v>153</v>
      </c>
      <c r="L499"/>
      <c r="M499"/>
      <c r="N499"/>
      <c r="O499"/>
      <c r="P499"/>
      <c r="T499">
        <v>671</v>
      </c>
      <c r="U499" s="7">
        <v>3</v>
      </c>
      <c r="V499" t="s">
        <v>966</v>
      </c>
      <c r="W499" s="257" t="s">
        <v>971</v>
      </c>
      <c r="X499" t="s">
        <v>972</v>
      </c>
      <c r="Y499" s="316" t="s">
        <v>484</v>
      </c>
      <c r="Z499" s="8">
        <v>0.05</v>
      </c>
      <c r="AA499" s="202" t="str">
        <f t="shared" si="8"/>
        <v>Перец черный</v>
      </c>
    </row>
    <row r="500" spans="1:27" ht="15" customHeight="1" x14ac:dyDescent="0.25">
      <c r="A500" t="s">
        <v>153</v>
      </c>
      <c r="L500"/>
      <c r="M500"/>
      <c r="N500"/>
      <c r="O500"/>
      <c r="P500"/>
      <c r="T500">
        <v>571</v>
      </c>
      <c r="U500" s="7">
        <v>3</v>
      </c>
      <c r="V500" t="s">
        <v>966</v>
      </c>
      <c r="W500" s="257" t="s">
        <v>973</v>
      </c>
      <c r="X500" t="s">
        <v>974</v>
      </c>
      <c r="Y500" s="316" t="s">
        <v>432</v>
      </c>
      <c r="Z500" s="8">
        <v>83</v>
      </c>
      <c r="AA500" s="202" t="str">
        <f t="shared" si="8"/>
        <v>Рис</v>
      </c>
    </row>
    <row r="501" spans="1:27" ht="15" customHeight="1" x14ac:dyDescent="0.25">
      <c r="A501" t="s">
        <v>153</v>
      </c>
      <c r="L501"/>
      <c r="M501"/>
      <c r="N501"/>
      <c r="O501"/>
      <c r="P501"/>
      <c r="T501">
        <v>572</v>
      </c>
      <c r="U501" s="7">
        <v>3</v>
      </c>
      <c r="V501" t="s">
        <v>966</v>
      </c>
      <c r="W501" s="257" t="s">
        <v>973</v>
      </c>
      <c r="X501" t="s">
        <v>974</v>
      </c>
      <c r="Y501" s="316" t="s">
        <v>330</v>
      </c>
      <c r="Z501" s="8">
        <v>207.5</v>
      </c>
      <c r="AA501" s="202" t="str">
        <f t="shared" si="8"/>
        <v>Вода</v>
      </c>
    </row>
    <row r="502" spans="1:27" ht="15" customHeight="1" x14ac:dyDescent="0.25">
      <c r="A502" t="s">
        <v>153</v>
      </c>
      <c r="L502"/>
      <c r="M502"/>
      <c r="N502"/>
      <c r="O502"/>
      <c r="P502"/>
      <c r="T502">
        <v>573</v>
      </c>
      <c r="U502" s="7">
        <v>3</v>
      </c>
      <c r="V502" t="s">
        <v>966</v>
      </c>
      <c r="W502" s="257" t="s">
        <v>973</v>
      </c>
      <c r="X502" t="s">
        <v>974</v>
      </c>
      <c r="Y502" s="316" t="s">
        <v>79</v>
      </c>
      <c r="Z502" s="8">
        <v>0.05</v>
      </c>
      <c r="AA502" s="202" t="str">
        <f t="shared" si="8"/>
        <v>Яйцо (шт)</v>
      </c>
    </row>
    <row r="503" spans="1:27" ht="15" customHeight="1" x14ac:dyDescent="0.25">
      <c r="A503" t="s">
        <v>153</v>
      </c>
      <c r="L503"/>
      <c r="M503"/>
      <c r="N503"/>
      <c r="O503"/>
      <c r="P503"/>
      <c r="T503">
        <v>574</v>
      </c>
      <c r="U503" s="7">
        <v>3</v>
      </c>
      <c r="V503" t="s">
        <v>966</v>
      </c>
      <c r="W503" s="257" t="s">
        <v>973</v>
      </c>
      <c r="X503" t="s">
        <v>974</v>
      </c>
      <c r="Y503" s="316" t="s">
        <v>53</v>
      </c>
      <c r="Z503" s="8">
        <v>2</v>
      </c>
      <c r="AA503" s="202" t="str">
        <f t="shared" si="8"/>
        <v>Сахар</v>
      </c>
    </row>
    <row r="504" spans="1:27" ht="15" customHeight="1" x14ac:dyDescent="0.25">
      <c r="A504" t="s">
        <v>153</v>
      </c>
      <c r="L504"/>
      <c r="M504"/>
      <c r="N504"/>
      <c r="O504"/>
      <c r="P504"/>
      <c r="T504">
        <v>575</v>
      </c>
      <c r="U504" s="7">
        <v>3</v>
      </c>
      <c r="V504" t="s">
        <v>966</v>
      </c>
      <c r="W504" s="257" t="s">
        <v>973</v>
      </c>
      <c r="X504" t="s">
        <v>974</v>
      </c>
      <c r="Y504" s="316" t="s">
        <v>436</v>
      </c>
      <c r="Z504" s="8">
        <v>5</v>
      </c>
      <c r="AA504" s="202" t="str">
        <f t="shared" si="8"/>
        <v>Сухари</v>
      </c>
    </row>
    <row r="505" spans="1:27" ht="15" customHeight="1" x14ac:dyDescent="0.25">
      <c r="A505" t="s">
        <v>153</v>
      </c>
      <c r="L505"/>
      <c r="M505"/>
      <c r="N505"/>
      <c r="O505"/>
      <c r="P505"/>
      <c r="T505">
        <v>576</v>
      </c>
      <c r="U505" s="7">
        <v>3</v>
      </c>
      <c r="V505" t="s">
        <v>966</v>
      </c>
      <c r="W505" s="257" t="s">
        <v>973</v>
      </c>
      <c r="X505" t="s">
        <v>974</v>
      </c>
      <c r="Y505" s="316" t="s">
        <v>61</v>
      </c>
      <c r="Z505" s="8">
        <v>2</v>
      </c>
      <c r="AA505" s="202" t="str">
        <f t="shared" si="8"/>
        <v>Масло растительное</v>
      </c>
    </row>
    <row r="506" spans="1:27" ht="15" customHeight="1" x14ac:dyDescent="0.25">
      <c r="A506" t="s">
        <v>153</v>
      </c>
      <c r="L506"/>
      <c r="M506"/>
      <c r="N506"/>
      <c r="O506"/>
      <c r="P506"/>
      <c r="T506">
        <v>577</v>
      </c>
      <c r="U506" s="7">
        <v>3</v>
      </c>
      <c r="V506" t="s">
        <v>966</v>
      </c>
      <c r="W506" s="257" t="s">
        <v>973</v>
      </c>
      <c r="X506" t="s">
        <v>974</v>
      </c>
      <c r="Y506" s="316" t="s">
        <v>326</v>
      </c>
      <c r="Z506" s="8">
        <v>3</v>
      </c>
      <c r="AA506" s="202" t="str">
        <f t="shared" si="8"/>
        <v>Соль</v>
      </c>
    </row>
    <row r="507" spans="1:27" ht="15" customHeight="1" x14ac:dyDescent="0.25">
      <c r="A507" t="s">
        <v>153</v>
      </c>
      <c r="L507"/>
      <c r="M507"/>
      <c r="N507"/>
      <c r="O507"/>
      <c r="P507"/>
      <c r="T507">
        <v>578</v>
      </c>
      <c r="U507" s="7">
        <v>3</v>
      </c>
      <c r="V507" t="s">
        <v>966</v>
      </c>
      <c r="W507" s="257" t="s">
        <v>973</v>
      </c>
      <c r="X507" t="s">
        <v>974</v>
      </c>
      <c r="Y507" s="316" t="s">
        <v>558</v>
      </c>
      <c r="Z507" s="8">
        <v>346</v>
      </c>
      <c r="AA507" s="202" t="str">
        <f t="shared" si="8"/>
        <v>Общая масса готового блюда, г</v>
      </c>
    </row>
    <row r="508" spans="1:27" ht="15" customHeight="1" x14ac:dyDescent="0.25">
      <c r="A508" t="s">
        <v>153</v>
      </c>
      <c r="L508"/>
      <c r="M508"/>
      <c r="N508"/>
      <c r="O508"/>
      <c r="P508"/>
      <c r="T508">
        <v>578</v>
      </c>
      <c r="U508" s="7">
        <v>3</v>
      </c>
      <c r="V508" t="s">
        <v>966</v>
      </c>
      <c r="W508" s="257" t="s">
        <v>973</v>
      </c>
      <c r="X508" t="s">
        <v>974</v>
      </c>
      <c r="Y508" s="316" t="s">
        <v>109</v>
      </c>
      <c r="Z508" s="8">
        <v>415</v>
      </c>
      <c r="AA508" s="202" t="str">
        <f t="shared" si="8"/>
        <v>ОКГ</v>
      </c>
    </row>
    <row r="509" spans="1:27" ht="15" customHeight="1" x14ac:dyDescent="0.25">
      <c r="A509" t="s">
        <v>153</v>
      </c>
      <c r="L509"/>
      <c r="M509"/>
      <c r="N509"/>
      <c r="O509"/>
      <c r="P509"/>
      <c r="T509">
        <v>2415</v>
      </c>
      <c r="U509" s="7">
        <v>3</v>
      </c>
      <c r="V509" t="s">
        <v>613</v>
      </c>
      <c r="W509" s="257" t="s">
        <v>655</v>
      </c>
      <c r="X509" t="s">
        <v>656</v>
      </c>
      <c r="Y509" s="316" t="s">
        <v>455</v>
      </c>
      <c r="Z509" s="8">
        <v>100</v>
      </c>
      <c r="AA509" s="202" t="str">
        <f t="shared" si="8"/>
        <v>Говядина н/к</v>
      </c>
    </row>
    <row r="510" spans="1:27" ht="15" customHeight="1" x14ac:dyDescent="0.25">
      <c r="A510" t="s">
        <v>153</v>
      </c>
      <c r="L510"/>
      <c r="M510"/>
      <c r="N510"/>
      <c r="O510"/>
      <c r="P510"/>
      <c r="T510">
        <v>2416</v>
      </c>
      <c r="U510" s="7">
        <v>3</v>
      </c>
      <c r="V510" t="s">
        <v>613</v>
      </c>
      <c r="W510" s="257" t="s">
        <v>655</v>
      </c>
      <c r="X510" t="s">
        <v>656</v>
      </c>
      <c r="Y510" s="316" t="s">
        <v>657</v>
      </c>
      <c r="Z510" s="8">
        <v>7</v>
      </c>
      <c r="AA510" s="202" t="str">
        <f t="shared" si="8"/>
        <v>Сухари</v>
      </c>
    </row>
    <row r="511" spans="1:27" ht="15" customHeight="1" x14ac:dyDescent="0.25">
      <c r="A511" t="s">
        <v>153</v>
      </c>
      <c r="L511"/>
      <c r="M511"/>
      <c r="N511"/>
      <c r="O511"/>
      <c r="P511"/>
      <c r="T511">
        <v>2417</v>
      </c>
      <c r="U511" s="7">
        <v>3</v>
      </c>
      <c r="V511" t="s">
        <v>613</v>
      </c>
      <c r="W511" s="257" t="s">
        <v>655</v>
      </c>
      <c r="X511" t="s">
        <v>656</v>
      </c>
      <c r="Y511" s="316" t="s">
        <v>61</v>
      </c>
      <c r="Z511" s="8">
        <v>5</v>
      </c>
      <c r="AA511" s="202" t="str">
        <f t="shared" si="8"/>
        <v>Масло растительное</v>
      </c>
    </row>
    <row r="512" spans="1:27" ht="15" customHeight="1" x14ac:dyDescent="0.25">
      <c r="A512" t="s">
        <v>153</v>
      </c>
      <c r="L512"/>
      <c r="M512"/>
      <c r="N512"/>
      <c r="O512"/>
      <c r="P512"/>
      <c r="T512">
        <v>2418</v>
      </c>
      <c r="U512" s="7">
        <v>3</v>
      </c>
      <c r="V512" t="s">
        <v>613</v>
      </c>
      <c r="W512" s="257" t="s">
        <v>655</v>
      </c>
      <c r="X512" t="s">
        <v>656</v>
      </c>
      <c r="Y512" s="316" t="s">
        <v>32</v>
      </c>
      <c r="Z512" s="8">
        <v>10</v>
      </c>
      <c r="AA512" s="202" t="str">
        <f t="shared" si="8"/>
        <v>Лук репчатый</v>
      </c>
    </row>
    <row r="513" spans="1:27" ht="15" customHeight="1" x14ac:dyDescent="0.25">
      <c r="A513" t="s">
        <v>153</v>
      </c>
      <c r="L513"/>
      <c r="M513"/>
      <c r="N513"/>
      <c r="O513"/>
      <c r="P513"/>
      <c r="T513">
        <v>2419</v>
      </c>
      <c r="U513" s="7">
        <v>3</v>
      </c>
      <c r="V513" t="s">
        <v>613</v>
      </c>
      <c r="W513" s="257" t="s">
        <v>655</v>
      </c>
      <c r="X513" t="s">
        <v>656</v>
      </c>
      <c r="Y513" s="316" t="s">
        <v>79</v>
      </c>
      <c r="Z513" s="8">
        <v>0.66700000000000004</v>
      </c>
      <c r="AA513" s="202" t="str">
        <f t="shared" si="8"/>
        <v>Яйцо (шт)</v>
      </c>
    </row>
    <row r="514" spans="1:27" ht="15" customHeight="1" x14ac:dyDescent="0.25">
      <c r="A514" t="s">
        <v>153</v>
      </c>
      <c r="L514"/>
      <c r="M514"/>
      <c r="N514"/>
      <c r="O514"/>
      <c r="P514"/>
      <c r="T514">
        <v>2420</v>
      </c>
      <c r="U514" s="7">
        <v>3</v>
      </c>
      <c r="V514" t="s">
        <v>613</v>
      </c>
      <c r="W514" s="257" t="s">
        <v>655</v>
      </c>
      <c r="X514" t="s">
        <v>656</v>
      </c>
      <c r="Y514" s="316" t="s">
        <v>438</v>
      </c>
      <c r="Z514" s="8">
        <v>18</v>
      </c>
      <c r="AA514" s="202" t="str">
        <f t="shared" ref="AA514:AA577" si="9">VLOOKUP(Y514,O:P,2,FALSE)</f>
        <v>Хлеб из муки пш. 1 сорта</v>
      </c>
    </row>
    <row r="515" spans="1:27" ht="15" customHeight="1" x14ac:dyDescent="0.25">
      <c r="A515" t="s">
        <v>153</v>
      </c>
      <c r="L515"/>
      <c r="M515"/>
      <c r="N515"/>
      <c r="O515"/>
      <c r="P515"/>
      <c r="T515">
        <v>2421</v>
      </c>
      <c r="U515" s="7">
        <v>3</v>
      </c>
      <c r="V515" t="s">
        <v>613</v>
      </c>
      <c r="W515" s="257" t="s">
        <v>655</v>
      </c>
      <c r="X515" t="s">
        <v>656</v>
      </c>
      <c r="Y515" s="316" t="s">
        <v>484</v>
      </c>
      <c r="Z515" s="8">
        <v>0.1</v>
      </c>
      <c r="AA515" s="202" t="str">
        <f t="shared" si="9"/>
        <v>Перец черный</v>
      </c>
    </row>
    <row r="516" spans="1:27" ht="15" customHeight="1" x14ac:dyDescent="0.25">
      <c r="A516" t="s">
        <v>153</v>
      </c>
      <c r="L516"/>
      <c r="M516"/>
      <c r="N516"/>
      <c r="O516"/>
      <c r="P516"/>
      <c r="T516">
        <v>2422</v>
      </c>
      <c r="U516" s="7">
        <v>3</v>
      </c>
      <c r="V516" t="s">
        <v>613</v>
      </c>
      <c r="W516" s="257" t="s">
        <v>655</v>
      </c>
      <c r="X516" t="s">
        <v>656</v>
      </c>
      <c r="Y516" s="316" t="s">
        <v>330</v>
      </c>
      <c r="Z516" s="8">
        <v>22</v>
      </c>
      <c r="AA516" s="202" t="str">
        <f t="shared" si="9"/>
        <v>Вода</v>
      </c>
    </row>
    <row r="517" spans="1:27" ht="15" customHeight="1" x14ac:dyDescent="0.25">
      <c r="A517" t="s">
        <v>153</v>
      </c>
      <c r="L517"/>
      <c r="M517"/>
      <c r="N517"/>
      <c r="O517"/>
      <c r="P517"/>
      <c r="T517">
        <v>2423</v>
      </c>
      <c r="U517" s="7">
        <v>3</v>
      </c>
      <c r="V517" t="s">
        <v>613</v>
      </c>
      <c r="W517" s="257" t="s">
        <v>655</v>
      </c>
      <c r="X517" t="s">
        <v>656</v>
      </c>
      <c r="Y517" s="316" t="s">
        <v>558</v>
      </c>
      <c r="Z517" s="8">
        <v>143</v>
      </c>
      <c r="AA517" s="202" t="str">
        <f t="shared" si="9"/>
        <v>Общая масса готового блюда, г</v>
      </c>
    </row>
    <row r="518" spans="1:27" ht="15" customHeight="1" x14ac:dyDescent="0.25">
      <c r="A518" t="s">
        <v>153</v>
      </c>
      <c r="L518"/>
      <c r="M518"/>
      <c r="N518"/>
      <c r="O518"/>
      <c r="P518"/>
      <c r="T518">
        <v>2423</v>
      </c>
      <c r="U518" s="7">
        <v>3</v>
      </c>
      <c r="V518" t="s">
        <v>613</v>
      </c>
      <c r="W518" s="257" t="s">
        <v>655</v>
      </c>
      <c r="X518" t="s">
        <v>656</v>
      </c>
      <c r="Y518" s="316" t="s">
        <v>1214</v>
      </c>
      <c r="Z518" s="8">
        <v>73.599999999999994</v>
      </c>
      <c r="AA518" s="202" t="str">
        <f t="shared" si="9"/>
        <v>Масса мясных и рыбных порций, г</v>
      </c>
    </row>
    <row r="519" spans="1:27" ht="15" customHeight="1" x14ac:dyDescent="0.25">
      <c r="A519" t="s">
        <v>153</v>
      </c>
      <c r="L519"/>
      <c r="M519"/>
      <c r="N519"/>
      <c r="O519"/>
      <c r="P519"/>
      <c r="T519">
        <v>1182</v>
      </c>
      <c r="U519" s="7">
        <v>3</v>
      </c>
      <c r="V519" t="s">
        <v>1058</v>
      </c>
      <c r="W519" s="257" t="s">
        <v>1336</v>
      </c>
      <c r="X519" t="s">
        <v>1337</v>
      </c>
      <c r="Y519" s="316" t="s">
        <v>45</v>
      </c>
      <c r="Z519" s="8">
        <v>10</v>
      </c>
      <c r="AA519" s="202" t="str">
        <f t="shared" si="9"/>
        <v>Картофель</v>
      </c>
    </row>
    <row r="520" spans="1:27" ht="15" customHeight="1" x14ac:dyDescent="0.25">
      <c r="A520" t="s">
        <v>153</v>
      </c>
      <c r="L520"/>
      <c r="M520"/>
      <c r="N520"/>
      <c r="O520"/>
      <c r="P520"/>
      <c r="T520">
        <v>1183</v>
      </c>
      <c r="U520" s="7">
        <v>3</v>
      </c>
      <c r="V520" t="s">
        <v>1058</v>
      </c>
      <c r="W520" s="257" t="s">
        <v>1336</v>
      </c>
      <c r="X520" t="s">
        <v>1337</v>
      </c>
      <c r="Y520" s="316" t="s">
        <v>32</v>
      </c>
      <c r="Z520" s="8">
        <v>10</v>
      </c>
      <c r="AA520" s="202" t="str">
        <f t="shared" si="9"/>
        <v>Лук репчатый</v>
      </c>
    </row>
    <row r="521" spans="1:27" ht="15" customHeight="1" x14ac:dyDescent="0.25">
      <c r="A521" t="s">
        <v>153</v>
      </c>
      <c r="L521"/>
      <c r="M521"/>
      <c r="N521"/>
      <c r="O521"/>
      <c r="P521"/>
      <c r="T521">
        <v>1184</v>
      </c>
      <c r="U521" s="7">
        <v>3</v>
      </c>
      <c r="V521" t="s">
        <v>1058</v>
      </c>
      <c r="W521" s="257" t="s">
        <v>1336</v>
      </c>
      <c r="X521" t="s">
        <v>1337</v>
      </c>
      <c r="Y521" s="316" t="s">
        <v>499</v>
      </c>
      <c r="Z521" s="8">
        <v>90</v>
      </c>
      <c r="AA521" s="202" t="str">
        <f t="shared" si="9"/>
        <v>Помидоры консерв.</v>
      </c>
    </row>
    <row r="522" spans="1:27" ht="15" customHeight="1" x14ac:dyDescent="0.25">
      <c r="A522" t="s">
        <v>153</v>
      </c>
      <c r="L522"/>
      <c r="M522"/>
      <c r="N522"/>
      <c r="O522"/>
      <c r="P522"/>
      <c r="T522">
        <v>1185</v>
      </c>
      <c r="U522" s="7">
        <v>3</v>
      </c>
      <c r="V522" t="s">
        <v>1058</v>
      </c>
      <c r="W522" s="257" t="s">
        <v>1336</v>
      </c>
      <c r="X522" t="s">
        <v>1337</v>
      </c>
      <c r="Y522" s="316" t="s">
        <v>61</v>
      </c>
      <c r="Z522" s="8">
        <v>8</v>
      </c>
      <c r="AA522" s="202" t="str">
        <f t="shared" si="9"/>
        <v>Масло растительное</v>
      </c>
    </row>
    <row r="523" spans="1:27" ht="15" customHeight="1" x14ac:dyDescent="0.25">
      <c r="A523" t="s">
        <v>153</v>
      </c>
      <c r="L523"/>
      <c r="M523"/>
      <c r="N523"/>
      <c r="O523"/>
      <c r="P523"/>
      <c r="T523">
        <v>1186</v>
      </c>
      <c r="U523" s="7">
        <v>3</v>
      </c>
      <c r="V523" t="s">
        <v>1058</v>
      </c>
      <c r="W523" s="257" t="s">
        <v>1336</v>
      </c>
      <c r="X523" t="s">
        <v>1337</v>
      </c>
      <c r="Y523" s="316" t="s">
        <v>484</v>
      </c>
      <c r="Z523" s="8">
        <v>0.02</v>
      </c>
      <c r="AA523" s="202" t="str">
        <f t="shared" si="9"/>
        <v>Перец черный</v>
      </c>
    </row>
    <row r="524" spans="1:27" ht="15" customHeight="1" x14ac:dyDescent="0.25">
      <c r="A524" t="s">
        <v>153</v>
      </c>
      <c r="L524"/>
      <c r="M524"/>
      <c r="N524"/>
      <c r="O524"/>
      <c r="P524"/>
      <c r="T524">
        <v>1187</v>
      </c>
      <c r="U524" s="7">
        <v>3</v>
      </c>
      <c r="V524" t="s">
        <v>1058</v>
      </c>
      <c r="W524" s="257" t="s">
        <v>1336</v>
      </c>
      <c r="X524" t="s">
        <v>1337</v>
      </c>
      <c r="Y524" s="316" t="s">
        <v>326</v>
      </c>
      <c r="Z524" s="8">
        <v>2</v>
      </c>
      <c r="AA524" s="202" t="str">
        <f t="shared" si="9"/>
        <v>Соль</v>
      </c>
    </row>
    <row r="525" spans="1:27" ht="15" customHeight="1" x14ac:dyDescent="0.25">
      <c r="A525" t="s">
        <v>153</v>
      </c>
      <c r="L525"/>
      <c r="M525"/>
      <c r="N525"/>
      <c r="O525"/>
      <c r="P525"/>
      <c r="T525">
        <v>1192</v>
      </c>
      <c r="U525" s="7">
        <v>3</v>
      </c>
      <c r="V525" t="s">
        <v>1058</v>
      </c>
      <c r="W525" s="257" t="s">
        <v>1336</v>
      </c>
      <c r="X525" t="s">
        <v>1337</v>
      </c>
      <c r="Y525" s="316" t="s">
        <v>109</v>
      </c>
      <c r="Z525" s="8">
        <v>109</v>
      </c>
      <c r="AA525" s="202" t="str">
        <f t="shared" si="9"/>
        <v>ОКГ</v>
      </c>
    </row>
    <row r="526" spans="1:27" ht="15" customHeight="1" x14ac:dyDescent="0.25">
      <c r="A526" t="s">
        <v>153</v>
      </c>
      <c r="L526"/>
      <c r="M526"/>
      <c r="N526"/>
      <c r="O526"/>
      <c r="P526"/>
      <c r="T526">
        <v>1193</v>
      </c>
      <c r="U526" s="7">
        <v>3</v>
      </c>
      <c r="V526" t="s">
        <v>1058</v>
      </c>
      <c r="W526" s="257" t="s">
        <v>1336</v>
      </c>
      <c r="X526" t="s">
        <v>1337</v>
      </c>
      <c r="Y526" s="316" t="s">
        <v>558</v>
      </c>
      <c r="Z526" s="8">
        <v>120.02</v>
      </c>
      <c r="AA526" s="202" t="str">
        <f t="shared" si="9"/>
        <v>Общая масса готового блюда, г</v>
      </c>
    </row>
    <row r="527" spans="1:27" ht="15" customHeight="1" x14ac:dyDescent="0.25">
      <c r="A527" t="s">
        <v>153</v>
      </c>
      <c r="L527"/>
      <c r="M527"/>
      <c r="N527"/>
      <c r="O527"/>
      <c r="P527"/>
      <c r="T527">
        <v>2898</v>
      </c>
      <c r="U527" s="7">
        <v>3</v>
      </c>
      <c r="V527" t="s">
        <v>1192</v>
      </c>
      <c r="X527" t="s">
        <v>292</v>
      </c>
      <c r="Y527" s="316" t="s">
        <v>292</v>
      </c>
      <c r="Z527" s="8">
        <v>37.5</v>
      </c>
      <c r="AA527" s="202" t="str">
        <f t="shared" si="9"/>
        <v>Консервы овощ. закусочные, лечо</v>
      </c>
    </row>
    <row r="528" spans="1:27" ht="15" customHeight="1" x14ac:dyDescent="0.25">
      <c r="A528" t="s">
        <v>153</v>
      </c>
      <c r="L528"/>
      <c r="M528"/>
      <c r="N528"/>
      <c r="O528"/>
      <c r="P528"/>
      <c r="T528">
        <v>2899</v>
      </c>
      <c r="U528" s="7">
        <v>3</v>
      </c>
      <c r="V528" t="s">
        <v>1192</v>
      </c>
      <c r="X528" t="s">
        <v>292</v>
      </c>
      <c r="Y528" s="316" t="s">
        <v>558</v>
      </c>
      <c r="Z528" s="8">
        <v>37.5</v>
      </c>
      <c r="AA528" s="202" t="str">
        <f t="shared" si="9"/>
        <v>Общая масса готового блюда, г</v>
      </c>
    </row>
    <row r="529" spans="1:27" ht="15" customHeight="1" x14ac:dyDescent="0.25">
      <c r="A529" t="s">
        <v>153</v>
      </c>
      <c r="L529"/>
      <c r="M529"/>
      <c r="N529"/>
      <c r="O529"/>
      <c r="P529"/>
      <c r="T529">
        <v>2899</v>
      </c>
      <c r="U529" s="7">
        <v>3</v>
      </c>
      <c r="V529" t="s">
        <v>1192</v>
      </c>
      <c r="X529" t="s">
        <v>292</v>
      </c>
      <c r="Y529" s="316" t="s">
        <v>109</v>
      </c>
      <c r="Z529" s="8">
        <v>37.5</v>
      </c>
      <c r="AA529" s="202" t="str">
        <f t="shared" si="9"/>
        <v>ОКГ</v>
      </c>
    </row>
    <row r="530" spans="1:27" ht="15" customHeight="1" x14ac:dyDescent="0.25">
      <c r="A530" t="s">
        <v>153</v>
      </c>
      <c r="L530"/>
      <c r="M530"/>
      <c r="N530"/>
      <c r="O530"/>
      <c r="P530"/>
      <c r="T530">
        <v>1182</v>
      </c>
      <c r="U530" s="7">
        <v>3</v>
      </c>
      <c r="V530" t="s">
        <v>1058</v>
      </c>
      <c r="W530" s="257" t="s">
        <v>1069</v>
      </c>
      <c r="X530" t="s">
        <v>1070</v>
      </c>
      <c r="Y530" s="316" t="s">
        <v>48</v>
      </c>
      <c r="Z530" s="8">
        <v>55</v>
      </c>
      <c r="AA530" s="202" t="str">
        <f t="shared" si="9"/>
        <v>Свекла</v>
      </c>
    </row>
    <row r="531" spans="1:27" ht="15" customHeight="1" x14ac:dyDescent="0.25">
      <c r="A531" t="s">
        <v>153</v>
      </c>
      <c r="L531"/>
      <c r="M531"/>
      <c r="N531"/>
      <c r="O531"/>
      <c r="P531"/>
      <c r="T531">
        <v>1183</v>
      </c>
      <c r="U531" s="7">
        <v>3</v>
      </c>
      <c r="V531" t="s">
        <v>1058</v>
      </c>
      <c r="W531" s="257" t="s">
        <v>1069</v>
      </c>
      <c r="X531" t="s">
        <v>1070</v>
      </c>
      <c r="Y531" s="316" t="s">
        <v>46</v>
      </c>
      <c r="Z531" s="8">
        <v>22</v>
      </c>
      <c r="AA531" s="202" t="str">
        <f t="shared" si="9"/>
        <v>Морковь</v>
      </c>
    </row>
    <row r="532" spans="1:27" ht="15" customHeight="1" x14ac:dyDescent="0.25">
      <c r="A532" t="s">
        <v>153</v>
      </c>
      <c r="L532"/>
      <c r="M532"/>
      <c r="N532"/>
      <c r="O532"/>
      <c r="P532"/>
      <c r="T532">
        <v>1184</v>
      </c>
      <c r="U532" s="7">
        <v>3</v>
      </c>
      <c r="V532" t="s">
        <v>1058</v>
      </c>
      <c r="W532" s="257" t="s">
        <v>1069</v>
      </c>
      <c r="X532" t="s">
        <v>1070</v>
      </c>
      <c r="Y532" s="316" t="s">
        <v>32</v>
      </c>
      <c r="Z532" s="8">
        <v>25</v>
      </c>
      <c r="AA532" s="202" t="str">
        <f t="shared" si="9"/>
        <v>Лук репчатый</v>
      </c>
    </row>
    <row r="533" spans="1:27" ht="15" customHeight="1" x14ac:dyDescent="0.25">
      <c r="A533" t="s">
        <v>153</v>
      </c>
      <c r="L533"/>
      <c r="M533"/>
      <c r="N533"/>
      <c r="O533"/>
      <c r="P533"/>
      <c r="T533">
        <v>1185</v>
      </c>
      <c r="U533" s="7">
        <v>3</v>
      </c>
      <c r="V533" t="s">
        <v>1058</v>
      </c>
      <c r="W533" s="257" t="s">
        <v>1069</v>
      </c>
      <c r="X533" t="s">
        <v>1070</v>
      </c>
      <c r="Y533" s="316" t="s">
        <v>448</v>
      </c>
      <c r="Z533" s="8">
        <v>25</v>
      </c>
      <c r="AA533" s="202" t="str">
        <f t="shared" si="9"/>
        <v>Помидоры свежие</v>
      </c>
    </row>
    <row r="534" spans="1:27" ht="15" customHeight="1" x14ac:dyDescent="0.25">
      <c r="A534" t="s">
        <v>153</v>
      </c>
      <c r="L534"/>
      <c r="M534"/>
      <c r="N534"/>
      <c r="O534"/>
      <c r="P534"/>
      <c r="T534">
        <v>1186</v>
      </c>
      <c r="U534" s="7">
        <v>3</v>
      </c>
      <c r="V534" t="s">
        <v>1058</v>
      </c>
      <c r="W534" s="257" t="s">
        <v>1069</v>
      </c>
      <c r="X534" t="s">
        <v>1070</v>
      </c>
      <c r="Y534" s="316" t="s">
        <v>445</v>
      </c>
      <c r="Z534" s="8">
        <v>25</v>
      </c>
      <c r="AA534" s="202" t="str">
        <f t="shared" si="9"/>
        <v>Огурцы консерв.</v>
      </c>
    </row>
    <row r="535" spans="1:27" ht="15" customHeight="1" x14ac:dyDescent="0.25">
      <c r="A535" t="s">
        <v>153</v>
      </c>
      <c r="L535"/>
      <c r="M535"/>
      <c r="N535"/>
      <c r="O535"/>
      <c r="P535"/>
      <c r="T535">
        <v>1187</v>
      </c>
      <c r="U535" s="7">
        <v>3</v>
      </c>
      <c r="V535" t="s">
        <v>1058</v>
      </c>
      <c r="W535" s="257" t="s">
        <v>1069</v>
      </c>
      <c r="X535" t="s">
        <v>1070</v>
      </c>
      <c r="Y535" s="316" t="s">
        <v>61</v>
      </c>
      <c r="Z535" s="8">
        <v>8</v>
      </c>
      <c r="AA535" s="202" t="str">
        <f t="shared" si="9"/>
        <v>Масло растительное</v>
      </c>
    </row>
    <row r="536" spans="1:27" ht="15" customHeight="1" x14ac:dyDescent="0.25">
      <c r="A536" t="s">
        <v>153</v>
      </c>
      <c r="L536"/>
      <c r="M536"/>
      <c r="N536"/>
      <c r="O536"/>
      <c r="P536"/>
      <c r="T536">
        <v>1188</v>
      </c>
      <c r="U536" s="7">
        <v>3</v>
      </c>
      <c r="V536" t="s">
        <v>1058</v>
      </c>
      <c r="W536" s="257" t="s">
        <v>1069</v>
      </c>
      <c r="X536" t="s">
        <v>1070</v>
      </c>
      <c r="Y536" s="316" t="s">
        <v>484</v>
      </c>
      <c r="Z536" s="8">
        <v>0.02</v>
      </c>
      <c r="AA536" s="202" t="str">
        <f t="shared" si="9"/>
        <v>Перец черный</v>
      </c>
    </row>
    <row r="537" spans="1:27" ht="15" customHeight="1" x14ac:dyDescent="0.25">
      <c r="A537" t="s">
        <v>153</v>
      </c>
      <c r="L537"/>
      <c r="M537"/>
      <c r="N537"/>
      <c r="O537"/>
      <c r="P537"/>
      <c r="T537">
        <v>1189</v>
      </c>
      <c r="U537" s="7">
        <v>3</v>
      </c>
      <c r="V537" t="s">
        <v>1058</v>
      </c>
      <c r="W537" s="257" t="s">
        <v>1069</v>
      </c>
      <c r="X537" t="s">
        <v>1070</v>
      </c>
      <c r="Y537" s="316" t="s">
        <v>326</v>
      </c>
      <c r="Z537" s="8">
        <v>2</v>
      </c>
      <c r="AA537" s="202" t="str">
        <f t="shared" si="9"/>
        <v>Соль</v>
      </c>
    </row>
    <row r="538" spans="1:27" ht="15" customHeight="1" x14ac:dyDescent="0.25">
      <c r="A538" t="s">
        <v>153</v>
      </c>
      <c r="L538"/>
      <c r="M538"/>
      <c r="N538"/>
      <c r="O538"/>
      <c r="P538"/>
      <c r="T538">
        <v>1192</v>
      </c>
      <c r="U538" s="7">
        <v>3</v>
      </c>
      <c r="V538" t="s">
        <v>1058</v>
      </c>
      <c r="W538" s="257" t="s">
        <v>1069</v>
      </c>
      <c r="X538" t="s">
        <v>1070</v>
      </c>
      <c r="Y538" s="316" t="s">
        <v>109</v>
      </c>
      <c r="Z538" s="8">
        <v>150</v>
      </c>
      <c r="AA538" s="202" t="str">
        <f t="shared" si="9"/>
        <v>ОКГ</v>
      </c>
    </row>
    <row r="539" spans="1:27" ht="15" customHeight="1" x14ac:dyDescent="0.25">
      <c r="A539" t="s">
        <v>153</v>
      </c>
      <c r="L539"/>
      <c r="M539"/>
      <c r="N539"/>
      <c r="O539"/>
      <c r="P539"/>
      <c r="T539">
        <v>1193</v>
      </c>
      <c r="U539" s="7">
        <v>3</v>
      </c>
      <c r="V539" t="s">
        <v>1058</v>
      </c>
      <c r="W539" s="257" t="s">
        <v>1069</v>
      </c>
      <c r="X539" t="s">
        <v>1070</v>
      </c>
      <c r="Y539" s="316" t="s">
        <v>558</v>
      </c>
      <c r="Z539" s="8">
        <v>92</v>
      </c>
      <c r="AA539" s="202" t="str">
        <f t="shared" si="9"/>
        <v>Общая масса готового блюда, г</v>
      </c>
    </row>
    <row r="540" spans="1:27" ht="15" customHeight="1" x14ac:dyDescent="0.25">
      <c r="A540" t="s">
        <v>153</v>
      </c>
      <c r="L540"/>
      <c r="M540"/>
      <c r="N540"/>
      <c r="O540"/>
      <c r="P540"/>
      <c r="T540">
        <v>1040</v>
      </c>
      <c r="U540" s="7">
        <v>3</v>
      </c>
      <c r="V540" t="s">
        <v>1058</v>
      </c>
      <c r="W540" s="257" t="s">
        <v>1071</v>
      </c>
      <c r="X540" t="s">
        <v>1072</v>
      </c>
      <c r="Y540" s="316" t="s">
        <v>48</v>
      </c>
      <c r="Z540" s="8">
        <v>155</v>
      </c>
      <c r="AA540" s="202" t="str">
        <f t="shared" si="9"/>
        <v>Свекла</v>
      </c>
    </row>
    <row r="541" spans="1:27" ht="15" customHeight="1" x14ac:dyDescent="0.25">
      <c r="A541" t="s">
        <v>153</v>
      </c>
      <c r="L541"/>
      <c r="M541"/>
      <c r="N541"/>
      <c r="O541"/>
      <c r="P541"/>
      <c r="T541">
        <v>1041</v>
      </c>
      <c r="U541" s="7">
        <v>3</v>
      </c>
      <c r="V541" t="s">
        <v>1058</v>
      </c>
      <c r="W541" s="257" t="s">
        <v>1071</v>
      </c>
      <c r="X541" t="s">
        <v>1072</v>
      </c>
      <c r="Y541" s="316" t="s">
        <v>32</v>
      </c>
      <c r="Z541" s="8">
        <v>20</v>
      </c>
      <c r="AA541" s="202" t="str">
        <f t="shared" si="9"/>
        <v>Лук репчатый</v>
      </c>
    </row>
    <row r="542" spans="1:27" ht="15" customHeight="1" x14ac:dyDescent="0.25">
      <c r="A542" t="s">
        <v>153</v>
      </c>
      <c r="L542"/>
      <c r="M542"/>
      <c r="N542"/>
      <c r="O542"/>
      <c r="P542"/>
      <c r="T542">
        <v>1042</v>
      </c>
      <c r="U542" s="7">
        <v>3</v>
      </c>
      <c r="V542" t="s">
        <v>1058</v>
      </c>
      <c r="W542" s="257" t="s">
        <v>1071</v>
      </c>
      <c r="X542" t="s">
        <v>1072</v>
      </c>
      <c r="Y542" s="316" t="s">
        <v>76</v>
      </c>
      <c r="Z542" s="8">
        <v>2</v>
      </c>
      <c r="AA542" s="202" t="str">
        <f t="shared" si="9"/>
        <v>Томат-паста</v>
      </c>
    </row>
    <row r="543" spans="1:27" ht="15" customHeight="1" x14ac:dyDescent="0.25">
      <c r="A543" t="s">
        <v>153</v>
      </c>
      <c r="L543"/>
      <c r="M543"/>
      <c r="N543"/>
      <c r="O543"/>
      <c r="P543"/>
      <c r="T543">
        <v>1043</v>
      </c>
      <c r="U543" s="7">
        <v>3</v>
      </c>
      <c r="V543" t="s">
        <v>1058</v>
      </c>
      <c r="W543" s="257" t="s">
        <v>1071</v>
      </c>
      <c r="X543" t="s">
        <v>1072</v>
      </c>
      <c r="Y543" s="316" t="s">
        <v>61</v>
      </c>
      <c r="Z543" s="8">
        <v>8</v>
      </c>
      <c r="AA543" s="202" t="str">
        <f t="shared" si="9"/>
        <v>Масло растительное</v>
      </c>
    </row>
    <row r="544" spans="1:27" ht="15" customHeight="1" x14ac:dyDescent="0.25">
      <c r="A544" t="s">
        <v>153</v>
      </c>
      <c r="L544"/>
      <c r="M544"/>
      <c r="N544"/>
      <c r="O544"/>
      <c r="P544"/>
      <c r="T544">
        <v>1044</v>
      </c>
      <c r="U544" s="7">
        <v>3</v>
      </c>
      <c r="V544" t="s">
        <v>1058</v>
      </c>
      <c r="W544" s="257" t="s">
        <v>1071</v>
      </c>
      <c r="X544" t="s">
        <v>1072</v>
      </c>
      <c r="Y544" s="316" t="s">
        <v>486</v>
      </c>
      <c r="Z544" s="8">
        <v>1</v>
      </c>
      <c r="AA544" s="202" t="str">
        <f t="shared" si="9"/>
        <v>Уксус</v>
      </c>
    </row>
    <row r="545" spans="1:27" ht="15" customHeight="1" x14ac:dyDescent="0.25">
      <c r="A545" t="s">
        <v>153</v>
      </c>
      <c r="L545"/>
      <c r="M545"/>
      <c r="N545"/>
      <c r="O545"/>
      <c r="P545"/>
      <c r="T545">
        <v>1045</v>
      </c>
      <c r="U545" s="7">
        <v>3</v>
      </c>
      <c r="V545" t="s">
        <v>1058</v>
      </c>
      <c r="W545" s="257" t="s">
        <v>1071</v>
      </c>
      <c r="X545" t="s">
        <v>1072</v>
      </c>
      <c r="Y545" s="316" t="s">
        <v>326</v>
      </c>
      <c r="Z545" s="8">
        <v>2</v>
      </c>
      <c r="AA545" s="202" t="str">
        <f t="shared" si="9"/>
        <v>Соль</v>
      </c>
    </row>
    <row r="546" spans="1:27" ht="15" customHeight="1" x14ac:dyDescent="0.25">
      <c r="A546" t="s">
        <v>153</v>
      </c>
      <c r="L546"/>
      <c r="M546"/>
      <c r="N546"/>
      <c r="O546"/>
      <c r="P546"/>
      <c r="T546">
        <v>1046</v>
      </c>
      <c r="U546" s="7">
        <v>3</v>
      </c>
      <c r="V546" t="s">
        <v>1058</v>
      </c>
      <c r="W546" s="257" t="s">
        <v>1071</v>
      </c>
      <c r="X546" t="s">
        <v>1072</v>
      </c>
      <c r="Y546" s="316" t="s">
        <v>558</v>
      </c>
      <c r="Z546" s="8">
        <v>131</v>
      </c>
      <c r="AA546" s="202" t="str">
        <f t="shared" si="9"/>
        <v>Общая масса готового блюда, г</v>
      </c>
    </row>
    <row r="547" spans="1:27" ht="15" customHeight="1" x14ac:dyDescent="0.25">
      <c r="A547" t="s">
        <v>153</v>
      </c>
      <c r="L547"/>
      <c r="M547"/>
      <c r="N547"/>
      <c r="O547"/>
      <c r="P547"/>
      <c r="T547">
        <v>1047</v>
      </c>
      <c r="U547" s="7">
        <v>3</v>
      </c>
      <c r="V547" t="s">
        <v>1058</v>
      </c>
      <c r="W547" s="257" t="s">
        <v>1071</v>
      </c>
      <c r="X547" t="s">
        <v>1072</v>
      </c>
      <c r="Y547" s="316" t="s">
        <v>109</v>
      </c>
      <c r="Z547" s="8">
        <v>175</v>
      </c>
      <c r="AA547" s="202" t="str">
        <f t="shared" si="9"/>
        <v>ОКГ</v>
      </c>
    </row>
    <row r="548" spans="1:27" ht="15" customHeight="1" x14ac:dyDescent="0.25">
      <c r="A548" t="s">
        <v>153</v>
      </c>
      <c r="L548"/>
      <c r="M548"/>
      <c r="N548"/>
      <c r="O548"/>
      <c r="P548"/>
      <c r="T548">
        <v>1040</v>
      </c>
      <c r="U548" s="7">
        <v>3</v>
      </c>
      <c r="V548" t="s">
        <v>1058</v>
      </c>
      <c r="W548" s="257" t="s">
        <v>1338</v>
      </c>
      <c r="X548" t="s">
        <v>1339</v>
      </c>
      <c r="Y548" s="316" t="s">
        <v>48</v>
      </c>
      <c r="Z548" s="8">
        <v>105</v>
      </c>
      <c r="AA548" s="202" t="str">
        <f t="shared" si="9"/>
        <v>Свекла</v>
      </c>
    </row>
    <row r="549" spans="1:27" ht="15" customHeight="1" x14ac:dyDescent="0.25">
      <c r="A549" t="s">
        <v>153</v>
      </c>
      <c r="L549"/>
      <c r="M549"/>
      <c r="N549"/>
      <c r="O549"/>
      <c r="P549"/>
      <c r="T549">
        <v>1041</v>
      </c>
      <c r="U549" s="7">
        <v>3</v>
      </c>
      <c r="V549" t="s">
        <v>1058</v>
      </c>
      <c r="W549" s="257" t="s">
        <v>1338</v>
      </c>
      <c r="X549" t="s">
        <v>1339</v>
      </c>
      <c r="Y549" s="316" t="s">
        <v>32</v>
      </c>
      <c r="Z549" s="8">
        <v>5</v>
      </c>
      <c r="AA549" s="202" t="str">
        <f t="shared" si="9"/>
        <v>Лук репчатый</v>
      </c>
    </row>
    <row r="550" spans="1:27" ht="15" customHeight="1" x14ac:dyDescent="0.25">
      <c r="A550" t="s">
        <v>153</v>
      </c>
      <c r="L550"/>
      <c r="M550"/>
      <c r="N550"/>
      <c r="O550"/>
      <c r="P550"/>
      <c r="T550">
        <v>1042</v>
      </c>
      <c r="U550" s="7">
        <v>3</v>
      </c>
      <c r="V550" t="s">
        <v>1058</v>
      </c>
      <c r="W550" s="257" t="s">
        <v>1338</v>
      </c>
      <c r="X550" t="s">
        <v>1339</v>
      </c>
      <c r="Y550" s="316" t="s">
        <v>76</v>
      </c>
      <c r="Z550" s="8">
        <v>2</v>
      </c>
      <c r="AA550" s="202" t="str">
        <f t="shared" si="9"/>
        <v>Томат-паста</v>
      </c>
    </row>
    <row r="551" spans="1:27" ht="15" customHeight="1" x14ac:dyDescent="0.25">
      <c r="A551" t="s">
        <v>153</v>
      </c>
      <c r="L551"/>
      <c r="M551"/>
      <c r="N551"/>
      <c r="O551"/>
      <c r="P551"/>
      <c r="T551">
        <v>1043</v>
      </c>
      <c r="U551" s="7">
        <v>3</v>
      </c>
      <c r="V551" t="s">
        <v>1058</v>
      </c>
      <c r="W551" s="257" t="s">
        <v>1338</v>
      </c>
      <c r="X551" t="s">
        <v>1339</v>
      </c>
      <c r="Y551" s="316" t="s">
        <v>61</v>
      </c>
      <c r="Z551" s="8">
        <v>8</v>
      </c>
      <c r="AA551" s="202" t="str">
        <f t="shared" si="9"/>
        <v>Масло растительное</v>
      </c>
    </row>
    <row r="552" spans="1:27" ht="15" customHeight="1" x14ac:dyDescent="0.25">
      <c r="A552" t="s">
        <v>153</v>
      </c>
      <c r="L552"/>
      <c r="M552"/>
      <c r="N552"/>
      <c r="O552"/>
      <c r="P552"/>
      <c r="T552">
        <v>1044</v>
      </c>
      <c r="U552" s="7">
        <v>3</v>
      </c>
      <c r="V552" t="s">
        <v>1058</v>
      </c>
      <c r="W552" s="257" t="s">
        <v>1338</v>
      </c>
      <c r="X552" t="s">
        <v>1339</v>
      </c>
      <c r="Y552" s="316" t="s">
        <v>486</v>
      </c>
      <c r="Z552" s="8">
        <v>1</v>
      </c>
      <c r="AA552" s="202" t="str">
        <f t="shared" si="9"/>
        <v>Уксус</v>
      </c>
    </row>
    <row r="553" spans="1:27" ht="15" customHeight="1" x14ac:dyDescent="0.25">
      <c r="A553" t="s">
        <v>153</v>
      </c>
      <c r="L553"/>
      <c r="M553"/>
      <c r="N553"/>
      <c r="O553"/>
      <c r="P553"/>
      <c r="T553">
        <v>1045</v>
      </c>
      <c r="U553" s="7">
        <v>3</v>
      </c>
      <c r="V553" t="s">
        <v>1058</v>
      </c>
      <c r="W553" s="257" t="s">
        <v>1338</v>
      </c>
      <c r="X553" t="s">
        <v>1339</v>
      </c>
      <c r="Y553" s="316" t="s">
        <v>326</v>
      </c>
      <c r="Z553" s="8">
        <v>2</v>
      </c>
      <c r="AA553" s="202" t="str">
        <f t="shared" si="9"/>
        <v>Соль</v>
      </c>
    </row>
    <row r="554" spans="1:27" ht="15" customHeight="1" x14ac:dyDescent="0.25">
      <c r="A554" t="s">
        <v>153</v>
      </c>
      <c r="L554"/>
      <c r="M554"/>
      <c r="N554"/>
      <c r="O554"/>
      <c r="P554"/>
      <c r="T554">
        <v>1046</v>
      </c>
      <c r="U554" s="7">
        <v>3</v>
      </c>
      <c r="V554" t="s">
        <v>1058</v>
      </c>
      <c r="W554" s="257" t="s">
        <v>1338</v>
      </c>
      <c r="X554" t="s">
        <v>1339</v>
      </c>
      <c r="Y554" s="316" t="s">
        <v>558</v>
      </c>
      <c r="Z554" s="8">
        <v>83</v>
      </c>
      <c r="AA554" s="202" t="str">
        <f t="shared" si="9"/>
        <v>Общая масса готового блюда, г</v>
      </c>
    </row>
    <row r="555" spans="1:27" ht="15" customHeight="1" x14ac:dyDescent="0.25">
      <c r="A555" t="s">
        <v>153</v>
      </c>
      <c r="L555"/>
      <c r="M555"/>
      <c r="N555"/>
      <c r="O555"/>
      <c r="P555"/>
      <c r="T555">
        <v>1047</v>
      </c>
      <c r="U555" s="7">
        <v>3</v>
      </c>
      <c r="V555" t="s">
        <v>1058</v>
      </c>
      <c r="W555" s="257" t="s">
        <v>1338</v>
      </c>
      <c r="X555" t="s">
        <v>1339</v>
      </c>
      <c r="Y555" s="316" t="s">
        <v>109</v>
      </c>
      <c r="Z555" s="8">
        <v>122</v>
      </c>
      <c r="AA555" s="202" t="str">
        <f t="shared" si="9"/>
        <v>ОКГ</v>
      </c>
    </row>
    <row r="556" spans="1:27" ht="15" customHeight="1" x14ac:dyDescent="0.25">
      <c r="A556" t="s">
        <v>153</v>
      </c>
      <c r="L556"/>
      <c r="M556"/>
      <c r="N556"/>
      <c r="O556"/>
      <c r="P556"/>
      <c r="T556">
        <v>442</v>
      </c>
      <c r="U556" s="7">
        <v>3</v>
      </c>
      <c r="V556" t="s">
        <v>1147</v>
      </c>
      <c r="W556" s="257" t="s">
        <v>1148</v>
      </c>
      <c r="X556" t="s">
        <v>1149</v>
      </c>
      <c r="Y556" s="316" t="s">
        <v>482</v>
      </c>
      <c r="Z556" s="8">
        <v>4</v>
      </c>
      <c r="AA556" s="202" t="str">
        <f t="shared" si="9"/>
        <v>Какао</v>
      </c>
    </row>
    <row r="557" spans="1:27" ht="15" customHeight="1" x14ac:dyDescent="0.25">
      <c r="A557" t="s">
        <v>153</v>
      </c>
      <c r="L557"/>
      <c r="M557"/>
      <c r="N557"/>
      <c r="O557"/>
      <c r="P557"/>
      <c r="T557">
        <v>443</v>
      </c>
      <c r="U557" s="7">
        <v>3</v>
      </c>
      <c r="V557" t="s">
        <v>1147</v>
      </c>
      <c r="W557" s="257" t="s">
        <v>1148</v>
      </c>
      <c r="X557" t="s">
        <v>1149</v>
      </c>
      <c r="Y557" s="316" t="s">
        <v>53</v>
      </c>
      <c r="Z557" s="8">
        <v>25</v>
      </c>
      <c r="AA557" s="202" t="str">
        <f t="shared" si="9"/>
        <v>Сахар</v>
      </c>
    </row>
    <row r="558" spans="1:27" ht="15" customHeight="1" x14ac:dyDescent="0.25">
      <c r="A558" t="s">
        <v>153</v>
      </c>
      <c r="L558"/>
      <c r="M558"/>
      <c r="N558"/>
      <c r="O558"/>
      <c r="P558"/>
      <c r="T558">
        <v>444</v>
      </c>
      <c r="U558" s="7">
        <v>3</v>
      </c>
      <c r="V558" t="s">
        <v>1147</v>
      </c>
      <c r="W558" s="257" t="s">
        <v>1148</v>
      </c>
      <c r="X558" t="s">
        <v>1149</v>
      </c>
      <c r="Y558" s="316" t="s">
        <v>453</v>
      </c>
      <c r="Z558" s="8">
        <v>50</v>
      </c>
      <c r="AA558" s="202" t="str">
        <f t="shared" si="9"/>
        <v>Молоко коровье</v>
      </c>
    </row>
    <row r="559" spans="1:27" ht="15" customHeight="1" x14ac:dyDescent="0.25">
      <c r="A559" t="s">
        <v>153</v>
      </c>
      <c r="L559"/>
      <c r="M559"/>
      <c r="N559"/>
      <c r="O559"/>
      <c r="P559"/>
      <c r="T559">
        <v>445</v>
      </c>
      <c r="U559" s="7">
        <v>3</v>
      </c>
      <c r="V559" t="s">
        <v>1147</v>
      </c>
      <c r="W559" s="257" t="s">
        <v>1148</v>
      </c>
      <c r="X559" t="s">
        <v>1149</v>
      </c>
      <c r="Y559" s="316" t="s">
        <v>330</v>
      </c>
      <c r="Z559" s="8">
        <v>200</v>
      </c>
      <c r="AA559" s="202" t="str">
        <f t="shared" si="9"/>
        <v>Вода</v>
      </c>
    </row>
    <row r="560" spans="1:27" ht="15" customHeight="1" x14ac:dyDescent="0.25">
      <c r="A560" t="s">
        <v>153</v>
      </c>
      <c r="L560"/>
      <c r="M560"/>
      <c r="N560"/>
      <c r="O560"/>
      <c r="P560"/>
      <c r="T560">
        <v>446</v>
      </c>
      <c r="U560" s="7">
        <v>3</v>
      </c>
      <c r="V560" t="s">
        <v>1147</v>
      </c>
      <c r="W560" s="257" t="s">
        <v>1148</v>
      </c>
      <c r="X560" t="s">
        <v>1149</v>
      </c>
      <c r="Y560" s="316" t="s">
        <v>558</v>
      </c>
      <c r="Z560" s="8">
        <v>250</v>
      </c>
      <c r="AA560" s="202" t="str">
        <f t="shared" si="9"/>
        <v>Общая масса готового блюда, г</v>
      </c>
    </row>
    <row r="561" spans="1:27" ht="15" customHeight="1" x14ac:dyDescent="0.25">
      <c r="A561" t="s">
        <v>153</v>
      </c>
      <c r="L561"/>
      <c r="M561"/>
      <c r="N561"/>
      <c r="O561"/>
      <c r="P561"/>
      <c r="T561">
        <v>698</v>
      </c>
      <c r="U561" s="7">
        <v>3</v>
      </c>
      <c r="V561" t="s">
        <v>966</v>
      </c>
      <c r="W561" s="257" t="s">
        <v>975</v>
      </c>
      <c r="X561" t="s">
        <v>976</v>
      </c>
      <c r="Y561" s="316" t="s">
        <v>489</v>
      </c>
      <c r="Z561" s="8">
        <v>375</v>
      </c>
      <c r="AA561" s="202" t="str">
        <f t="shared" si="9"/>
        <v>Капуста консерв.</v>
      </c>
    </row>
    <row r="562" spans="1:27" ht="15" customHeight="1" x14ac:dyDescent="0.25">
      <c r="A562" t="s">
        <v>153</v>
      </c>
      <c r="L562"/>
      <c r="M562"/>
      <c r="N562"/>
      <c r="O562"/>
      <c r="P562"/>
      <c r="T562">
        <v>699</v>
      </c>
      <c r="U562" s="7">
        <v>3</v>
      </c>
      <c r="V562" t="s">
        <v>966</v>
      </c>
      <c r="W562" s="257" t="s">
        <v>975</v>
      </c>
      <c r="X562" t="s">
        <v>976</v>
      </c>
      <c r="Y562" s="316" t="s">
        <v>61</v>
      </c>
      <c r="Z562" s="8">
        <v>5</v>
      </c>
      <c r="AA562" s="202" t="str">
        <f t="shared" si="9"/>
        <v>Масло растительное</v>
      </c>
    </row>
    <row r="563" spans="1:27" ht="15" customHeight="1" x14ac:dyDescent="0.25">
      <c r="A563" t="s">
        <v>153</v>
      </c>
      <c r="L563"/>
      <c r="M563"/>
      <c r="N563"/>
      <c r="O563"/>
      <c r="P563"/>
      <c r="T563">
        <v>700</v>
      </c>
      <c r="U563" s="7">
        <v>3</v>
      </c>
      <c r="V563" t="s">
        <v>966</v>
      </c>
      <c r="W563" s="257" t="s">
        <v>975</v>
      </c>
      <c r="X563" t="s">
        <v>976</v>
      </c>
      <c r="Y563" s="316" t="s">
        <v>46</v>
      </c>
      <c r="Z563" s="8">
        <v>20</v>
      </c>
      <c r="AA563" s="202" t="str">
        <f t="shared" si="9"/>
        <v>Морковь</v>
      </c>
    </row>
    <row r="564" spans="1:27" ht="15" customHeight="1" x14ac:dyDescent="0.25">
      <c r="A564" t="s">
        <v>153</v>
      </c>
      <c r="L564"/>
      <c r="M564"/>
      <c r="N564"/>
      <c r="O564"/>
      <c r="P564"/>
      <c r="T564">
        <v>701</v>
      </c>
      <c r="U564" s="7">
        <v>3</v>
      </c>
      <c r="V564" t="s">
        <v>966</v>
      </c>
      <c r="W564" s="257" t="s">
        <v>975</v>
      </c>
      <c r="X564" t="s">
        <v>976</v>
      </c>
      <c r="Y564" s="316" t="s">
        <v>32</v>
      </c>
      <c r="Z564" s="8">
        <v>20</v>
      </c>
      <c r="AA564" s="202" t="str">
        <f t="shared" si="9"/>
        <v>Лук репчатый</v>
      </c>
    </row>
    <row r="565" spans="1:27" ht="15" customHeight="1" x14ac:dyDescent="0.25">
      <c r="A565" t="s">
        <v>153</v>
      </c>
      <c r="L565"/>
      <c r="M565"/>
      <c r="N565"/>
      <c r="O565"/>
      <c r="P565"/>
      <c r="T565">
        <v>702</v>
      </c>
      <c r="U565" s="7">
        <v>3</v>
      </c>
      <c r="V565" t="s">
        <v>966</v>
      </c>
      <c r="W565" s="257" t="s">
        <v>975</v>
      </c>
      <c r="X565" t="s">
        <v>976</v>
      </c>
      <c r="Y565" s="316" t="s">
        <v>76</v>
      </c>
      <c r="Z565" s="8">
        <v>2</v>
      </c>
      <c r="AA565" s="202" t="str">
        <f t="shared" si="9"/>
        <v>Томат-паста</v>
      </c>
    </row>
    <row r="566" spans="1:27" ht="15" customHeight="1" x14ac:dyDescent="0.25">
      <c r="A566" t="s">
        <v>153</v>
      </c>
      <c r="L566"/>
      <c r="M566"/>
      <c r="N566"/>
      <c r="O566"/>
      <c r="P566"/>
      <c r="T566">
        <v>703</v>
      </c>
      <c r="U566" s="7">
        <v>3</v>
      </c>
      <c r="V566" t="s">
        <v>966</v>
      </c>
      <c r="W566" s="257" t="s">
        <v>975</v>
      </c>
      <c r="X566" t="s">
        <v>976</v>
      </c>
      <c r="Y566" s="316" t="s">
        <v>434</v>
      </c>
      <c r="Z566" s="8">
        <v>2</v>
      </c>
      <c r="AA566" s="202" t="str">
        <f t="shared" si="9"/>
        <v>Мука пшеничная 1 с</v>
      </c>
    </row>
    <row r="567" spans="1:27" ht="15" customHeight="1" x14ac:dyDescent="0.25">
      <c r="A567" t="s">
        <v>153</v>
      </c>
      <c r="L567"/>
      <c r="M567"/>
      <c r="N567"/>
      <c r="O567"/>
      <c r="P567"/>
      <c r="T567">
        <v>704</v>
      </c>
      <c r="U567" s="7">
        <v>3</v>
      </c>
      <c r="V567" t="s">
        <v>966</v>
      </c>
      <c r="W567" s="257" t="s">
        <v>975</v>
      </c>
      <c r="X567" t="s">
        <v>976</v>
      </c>
      <c r="Y567" s="316" t="s">
        <v>479</v>
      </c>
      <c r="Z567" s="8">
        <v>50</v>
      </c>
      <c r="AA567" s="202" t="str">
        <f t="shared" si="9"/>
        <v>Вода или бульон</v>
      </c>
    </row>
    <row r="568" spans="1:27" ht="15" customHeight="1" x14ac:dyDescent="0.25">
      <c r="A568" t="s">
        <v>153</v>
      </c>
      <c r="L568"/>
      <c r="M568"/>
      <c r="N568"/>
      <c r="O568"/>
      <c r="P568"/>
      <c r="T568">
        <v>705</v>
      </c>
      <c r="U568" s="7">
        <v>3</v>
      </c>
      <c r="V568" t="s">
        <v>966</v>
      </c>
      <c r="W568" s="257" t="s">
        <v>975</v>
      </c>
      <c r="X568" t="s">
        <v>976</v>
      </c>
      <c r="Y568" s="316" t="s">
        <v>326</v>
      </c>
      <c r="Z568" s="8">
        <v>3</v>
      </c>
      <c r="AA568" s="202" t="str">
        <f t="shared" si="9"/>
        <v>Соль</v>
      </c>
    </row>
    <row r="569" spans="1:27" ht="15" customHeight="1" x14ac:dyDescent="0.25">
      <c r="A569" t="s">
        <v>153</v>
      </c>
      <c r="L569"/>
      <c r="M569"/>
      <c r="N569"/>
      <c r="O569"/>
      <c r="P569"/>
      <c r="T569">
        <v>706</v>
      </c>
      <c r="U569" s="7">
        <v>3</v>
      </c>
      <c r="V569" t="s">
        <v>966</v>
      </c>
      <c r="W569" s="257" t="s">
        <v>975</v>
      </c>
      <c r="X569" t="s">
        <v>976</v>
      </c>
      <c r="Y569" s="316" t="s">
        <v>558</v>
      </c>
      <c r="Z569" s="8">
        <v>298</v>
      </c>
      <c r="AA569" s="202" t="str">
        <f t="shared" si="9"/>
        <v>Общая масса готового блюда, г</v>
      </c>
    </row>
    <row r="570" spans="1:27" ht="15" customHeight="1" x14ac:dyDescent="0.25">
      <c r="A570" t="s">
        <v>153</v>
      </c>
      <c r="L570"/>
      <c r="M570"/>
      <c r="N570"/>
      <c r="O570"/>
      <c r="P570"/>
      <c r="T570">
        <v>706</v>
      </c>
      <c r="U570" s="7">
        <v>3</v>
      </c>
      <c r="V570" t="s">
        <v>966</v>
      </c>
      <c r="W570" s="257" t="s">
        <v>975</v>
      </c>
      <c r="X570" t="s">
        <v>976</v>
      </c>
      <c r="Y570" s="316" t="s">
        <v>109</v>
      </c>
      <c r="Z570" s="8">
        <v>415</v>
      </c>
      <c r="AA570" s="202" t="str">
        <f t="shared" si="9"/>
        <v>ОКГ</v>
      </c>
    </row>
    <row r="571" spans="1:27" ht="15" customHeight="1" x14ac:dyDescent="0.25">
      <c r="A571" t="s">
        <v>153</v>
      </c>
      <c r="L571"/>
      <c r="M571"/>
      <c r="N571"/>
      <c r="O571"/>
      <c r="P571"/>
      <c r="T571">
        <v>707</v>
      </c>
      <c r="U571" s="7">
        <v>3</v>
      </c>
      <c r="V571" t="s">
        <v>966</v>
      </c>
      <c r="W571" s="257" t="s">
        <v>975</v>
      </c>
      <c r="X571" t="s">
        <v>976</v>
      </c>
      <c r="Y571" s="316" t="s">
        <v>74</v>
      </c>
      <c r="Z571" s="8">
        <v>0.02</v>
      </c>
      <c r="AA571" s="202" t="str">
        <f t="shared" si="9"/>
        <v>Лавровый лист</v>
      </c>
    </row>
    <row r="572" spans="1:27" ht="15" customHeight="1" x14ac:dyDescent="0.25">
      <c r="A572" t="s">
        <v>153</v>
      </c>
      <c r="L572"/>
      <c r="M572"/>
      <c r="N572"/>
      <c r="O572"/>
      <c r="P572"/>
      <c r="T572">
        <v>708</v>
      </c>
      <c r="U572" s="7">
        <v>3</v>
      </c>
      <c r="V572" t="s">
        <v>966</v>
      </c>
      <c r="W572" s="257" t="s">
        <v>975</v>
      </c>
      <c r="X572" t="s">
        <v>976</v>
      </c>
      <c r="Y572" s="316" t="s">
        <v>484</v>
      </c>
      <c r="Z572" s="8">
        <v>0.05</v>
      </c>
      <c r="AA572" s="202" t="str">
        <f t="shared" si="9"/>
        <v>Перец черный</v>
      </c>
    </row>
    <row r="573" spans="1:27" ht="15" customHeight="1" x14ac:dyDescent="0.25">
      <c r="A573" t="s">
        <v>153</v>
      </c>
      <c r="L573"/>
      <c r="M573"/>
      <c r="N573"/>
      <c r="O573"/>
      <c r="P573"/>
      <c r="T573">
        <v>709</v>
      </c>
      <c r="U573" s="7">
        <v>3</v>
      </c>
      <c r="V573" t="s">
        <v>966</v>
      </c>
      <c r="W573" s="257" t="s">
        <v>977</v>
      </c>
      <c r="X573" t="s">
        <v>978</v>
      </c>
      <c r="Y573" s="316" t="s">
        <v>490</v>
      </c>
      <c r="Z573" s="8">
        <v>385</v>
      </c>
      <c r="AA573" s="202" t="str">
        <f t="shared" si="9"/>
        <v>Капуста свежая</v>
      </c>
    </row>
    <row r="574" spans="1:27" ht="15" customHeight="1" x14ac:dyDescent="0.25">
      <c r="A574" t="s">
        <v>153</v>
      </c>
      <c r="L574"/>
      <c r="M574"/>
      <c r="N574"/>
      <c r="O574"/>
      <c r="P574"/>
      <c r="T574">
        <v>710</v>
      </c>
      <c r="U574" s="7">
        <v>3</v>
      </c>
      <c r="V574" t="s">
        <v>966</v>
      </c>
      <c r="W574" s="257" t="s">
        <v>977</v>
      </c>
      <c r="X574" t="s">
        <v>978</v>
      </c>
      <c r="Y574" s="316" t="s">
        <v>46</v>
      </c>
      <c r="Z574" s="8">
        <v>12</v>
      </c>
      <c r="AA574" s="202" t="str">
        <f t="shared" si="9"/>
        <v>Морковь</v>
      </c>
    </row>
    <row r="575" spans="1:27" ht="15" customHeight="1" x14ac:dyDescent="0.25">
      <c r="A575" t="s">
        <v>153</v>
      </c>
      <c r="L575"/>
      <c r="M575"/>
      <c r="N575"/>
      <c r="O575"/>
      <c r="P575"/>
      <c r="T575">
        <v>711</v>
      </c>
      <c r="U575" s="7">
        <v>3</v>
      </c>
      <c r="V575" t="s">
        <v>966</v>
      </c>
      <c r="W575" s="257" t="s">
        <v>977</v>
      </c>
      <c r="X575" t="s">
        <v>978</v>
      </c>
      <c r="Y575" s="316" t="s">
        <v>32</v>
      </c>
      <c r="Z575" s="8">
        <v>15</v>
      </c>
      <c r="AA575" s="202" t="str">
        <f t="shared" si="9"/>
        <v>Лук репчатый</v>
      </c>
    </row>
    <row r="576" spans="1:27" ht="15" customHeight="1" x14ac:dyDescent="0.25">
      <c r="A576" t="s">
        <v>153</v>
      </c>
      <c r="L576"/>
      <c r="M576"/>
      <c r="N576"/>
      <c r="O576"/>
      <c r="P576"/>
      <c r="T576">
        <v>712</v>
      </c>
      <c r="U576" s="7">
        <v>3</v>
      </c>
      <c r="V576" t="s">
        <v>966</v>
      </c>
      <c r="W576" s="257" t="s">
        <v>977</v>
      </c>
      <c r="X576" t="s">
        <v>978</v>
      </c>
      <c r="Y576" s="316" t="s">
        <v>61</v>
      </c>
      <c r="Z576" s="8">
        <v>8</v>
      </c>
      <c r="AA576" s="202" t="str">
        <f t="shared" si="9"/>
        <v>Масло растительное</v>
      </c>
    </row>
    <row r="577" spans="1:27" ht="15" customHeight="1" x14ac:dyDescent="0.25">
      <c r="A577" t="s">
        <v>153</v>
      </c>
      <c r="L577"/>
      <c r="M577"/>
      <c r="N577"/>
      <c r="O577"/>
      <c r="P577"/>
      <c r="T577">
        <v>713</v>
      </c>
      <c r="U577" s="7">
        <v>3</v>
      </c>
      <c r="V577" t="s">
        <v>966</v>
      </c>
      <c r="W577" s="257" t="s">
        <v>977</v>
      </c>
      <c r="X577" t="s">
        <v>978</v>
      </c>
      <c r="Y577" s="316" t="s">
        <v>326</v>
      </c>
      <c r="Z577" s="8">
        <v>3</v>
      </c>
      <c r="AA577" s="202" t="str">
        <f t="shared" si="9"/>
        <v>Соль</v>
      </c>
    </row>
    <row r="578" spans="1:27" ht="15" customHeight="1" x14ac:dyDescent="0.25">
      <c r="A578" t="s">
        <v>153</v>
      </c>
      <c r="L578"/>
      <c r="M578"/>
      <c r="N578"/>
      <c r="O578"/>
      <c r="P578"/>
      <c r="T578">
        <v>714</v>
      </c>
      <c r="U578" s="7">
        <v>3</v>
      </c>
      <c r="V578" t="s">
        <v>966</v>
      </c>
      <c r="W578" s="257" t="s">
        <v>977</v>
      </c>
      <c r="X578" t="s">
        <v>978</v>
      </c>
      <c r="Y578" s="316" t="s">
        <v>558</v>
      </c>
      <c r="Z578" s="8">
        <v>246</v>
      </c>
      <c r="AA578" s="202" t="str">
        <f t="shared" ref="AA578:AA641" si="10">VLOOKUP(Y578,O:P,2,FALSE)</f>
        <v>Общая масса готового блюда, г</v>
      </c>
    </row>
    <row r="579" spans="1:27" ht="15" customHeight="1" x14ac:dyDescent="0.25">
      <c r="A579" t="s">
        <v>153</v>
      </c>
      <c r="L579"/>
      <c r="M579"/>
      <c r="N579"/>
      <c r="O579"/>
      <c r="P579"/>
      <c r="T579">
        <v>714</v>
      </c>
      <c r="U579" s="7">
        <v>3</v>
      </c>
      <c r="V579" t="s">
        <v>966</v>
      </c>
      <c r="W579" s="257" t="s">
        <v>977</v>
      </c>
      <c r="X579" t="s">
        <v>978</v>
      </c>
      <c r="Y579" s="316" t="s">
        <v>109</v>
      </c>
      <c r="Z579" s="8">
        <v>415</v>
      </c>
      <c r="AA579" s="202" t="str">
        <f t="shared" si="10"/>
        <v>ОКГ</v>
      </c>
    </row>
    <row r="580" spans="1:27" ht="15" customHeight="1" x14ac:dyDescent="0.25">
      <c r="A580" t="s">
        <v>153</v>
      </c>
      <c r="L580"/>
      <c r="M580"/>
      <c r="N580"/>
      <c r="O580"/>
      <c r="P580"/>
      <c r="T580">
        <v>715</v>
      </c>
      <c r="U580" s="7">
        <v>3</v>
      </c>
      <c r="V580" t="s">
        <v>966</v>
      </c>
      <c r="W580" s="257" t="s">
        <v>977</v>
      </c>
      <c r="X580" t="s">
        <v>978</v>
      </c>
      <c r="Y580" s="316" t="s">
        <v>74</v>
      </c>
      <c r="Z580" s="8">
        <v>0.02</v>
      </c>
      <c r="AA580" s="202" t="str">
        <f t="shared" si="10"/>
        <v>Лавровый лист</v>
      </c>
    </row>
    <row r="581" spans="1:27" ht="15" customHeight="1" x14ac:dyDescent="0.25">
      <c r="A581" t="s">
        <v>153</v>
      </c>
      <c r="L581"/>
      <c r="M581"/>
      <c r="N581"/>
      <c r="O581"/>
      <c r="P581"/>
      <c r="T581">
        <v>716</v>
      </c>
      <c r="U581" s="7">
        <v>3</v>
      </c>
      <c r="V581" t="s">
        <v>966</v>
      </c>
      <c r="W581" s="257" t="s">
        <v>977</v>
      </c>
      <c r="X581" t="s">
        <v>978</v>
      </c>
      <c r="Y581" s="316" t="s">
        <v>484</v>
      </c>
      <c r="Z581" s="8">
        <v>0.05</v>
      </c>
      <c r="AA581" s="202" t="str">
        <f t="shared" si="10"/>
        <v>Перец черный</v>
      </c>
    </row>
    <row r="582" spans="1:27" ht="15" customHeight="1" x14ac:dyDescent="0.25">
      <c r="A582" t="s">
        <v>153</v>
      </c>
      <c r="L582"/>
      <c r="M582"/>
      <c r="N582"/>
      <c r="O582"/>
      <c r="P582"/>
      <c r="T582">
        <v>687</v>
      </c>
      <c r="U582" s="7">
        <v>3</v>
      </c>
      <c r="V582" t="s">
        <v>966</v>
      </c>
      <c r="W582" s="257" t="s">
        <v>979</v>
      </c>
      <c r="X582" t="s">
        <v>980</v>
      </c>
      <c r="Y582" s="316" t="s">
        <v>490</v>
      </c>
      <c r="Z582" s="8">
        <v>385</v>
      </c>
      <c r="AA582" s="202" t="str">
        <f t="shared" si="10"/>
        <v>Капуста свежая</v>
      </c>
    </row>
    <row r="583" spans="1:27" ht="15" customHeight="1" x14ac:dyDescent="0.25">
      <c r="A583" t="s">
        <v>153</v>
      </c>
      <c r="L583"/>
      <c r="M583"/>
      <c r="N583"/>
      <c r="O583"/>
      <c r="P583"/>
      <c r="T583">
        <v>688</v>
      </c>
      <c r="U583" s="7">
        <v>3</v>
      </c>
      <c r="V583" t="s">
        <v>966</v>
      </c>
      <c r="W583" s="257" t="s">
        <v>979</v>
      </c>
      <c r="X583" t="s">
        <v>980</v>
      </c>
      <c r="Y583" s="316" t="s">
        <v>61</v>
      </c>
      <c r="Z583" s="8">
        <v>5</v>
      </c>
      <c r="AA583" s="202" t="str">
        <f t="shared" si="10"/>
        <v>Масло растительное</v>
      </c>
    </row>
    <row r="584" spans="1:27" ht="15" customHeight="1" x14ac:dyDescent="0.25">
      <c r="A584" t="s">
        <v>153</v>
      </c>
      <c r="L584"/>
      <c r="M584"/>
      <c r="N584"/>
      <c r="O584"/>
      <c r="P584"/>
      <c r="T584">
        <v>689</v>
      </c>
      <c r="U584" s="7">
        <v>3</v>
      </c>
      <c r="V584" t="s">
        <v>966</v>
      </c>
      <c r="W584" s="257" t="s">
        <v>979</v>
      </c>
      <c r="X584" t="s">
        <v>980</v>
      </c>
      <c r="Y584" s="316" t="s">
        <v>46</v>
      </c>
      <c r="Z584" s="8">
        <v>12</v>
      </c>
      <c r="AA584" s="202" t="str">
        <f t="shared" si="10"/>
        <v>Морковь</v>
      </c>
    </row>
    <row r="585" spans="1:27" ht="15" customHeight="1" x14ac:dyDescent="0.25">
      <c r="A585" t="s">
        <v>153</v>
      </c>
      <c r="L585"/>
      <c r="M585"/>
      <c r="N585"/>
      <c r="O585"/>
      <c r="P585"/>
      <c r="T585">
        <v>690</v>
      </c>
      <c r="U585" s="7">
        <v>3</v>
      </c>
      <c r="V585" t="s">
        <v>966</v>
      </c>
      <c r="W585" s="257" t="s">
        <v>979</v>
      </c>
      <c r="X585" t="s">
        <v>980</v>
      </c>
      <c r="Y585" s="316" t="s">
        <v>32</v>
      </c>
      <c r="Z585" s="8">
        <v>15</v>
      </c>
      <c r="AA585" s="202" t="str">
        <f t="shared" si="10"/>
        <v>Лук репчатый</v>
      </c>
    </row>
    <row r="586" spans="1:27" ht="15" customHeight="1" x14ac:dyDescent="0.25">
      <c r="A586" t="s">
        <v>153</v>
      </c>
      <c r="L586"/>
      <c r="M586"/>
      <c r="N586"/>
      <c r="O586"/>
      <c r="P586"/>
      <c r="T586">
        <v>691</v>
      </c>
      <c r="U586" s="7">
        <v>3</v>
      </c>
      <c r="V586" t="s">
        <v>966</v>
      </c>
      <c r="W586" s="257" t="s">
        <v>979</v>
      </c>
      <c r="X586" t="s">
        <v>980</v>
      </c>
      <c r="Y586" s="316" t="s">
        <v>76</v>
      </c>
      <c r="Z586" s="8">
        <v>2</v>
      </c>
      <c r="AA586" s="202" t="str">
        <f t="shared" si="10"/>
        <v>Томат-паста</v>
      </c>
    </row>
    <row r="587" spans="1:27" ht="15" customHeight="1" x14ac:dyDescent="0.25">
      <c r="A587" t="s">
        <v>153</v>
      </c>
      <c r="L587"/>
      <c r="M587"/>
      <c r="N587"/>
      <c r="O587"/>
      <c r="P587"/>
      <c r="T587">
        <v>692</v>
      </c>
      <c r="U587" s="7">
        <v>3</v>
      </c>
      <c r="V587" t="s">
        <v>966</v>
      </c>
      <c r="W587" s="257" t="s">
        <v>979</v>
      </c>
      <c r="X587" t="s">
        <v>980</v>
      </c>
      <c r="Y587" s="316" t="s">
        <v>434</v>
      </c>
      <c r="Z587" s="8">
        <v>3</v>
      </c>
      <c r="AA587" s="202" t="str">
        <f t="shared" si="10"/>
        <v>Мука пшеничная 1 с</v>
      </c>
    </row>
    <row r="588" spans="1:27" ht="15" customHeight="1" x14ac:dyDescent="0.25">
      <c r="A588" t="s">
        <v>153</v>
      </c>
      <c r="L588"/>
      <c r="M588"/>
      <c r="N588"/>
      <c r="O588"/>
      <c r="P588"/>
      <c r="T588">
        <v>693</v>
      </c>
      <c r="U588" s="7">
        <v>3</v>
      </c>
      <c r="V588" t="s">
        <v>966</v>
      </c>
      <c r="W588" s="257" t="s">
        <v>979</v>
      </c>
      <c r="X588" t="s">
        <v>980</v>
      </c>
      <c r="Y588" s="316" t="s">
        <v>486</v>
      </c>
      <c r="Z588" s="8">
        <v>1</v>
      </c>
      <c r="AA588" s="202" t="str">
        <f t="shared" si="10"/>
        <v>Уксус</v>
      </c>
    </row>
    <row r="589" spans="1:27" ht="15" customHeight="1" x14ac:dyDescent="0.25">
      <c r="A589" t="s">
        <v>153</v>
      </c>
      <c r="L589"/>
      <c r="M589"/>
      <c r="N589"/>
      <c r="O589"/>
      <c r="P589"/>
      <c r="T589">
        <v>694</v>
      </c>
      <c r="U589" s="7">
        <v>3</v>
      </c>
      <c r="V589" t="s">
        <v>966</v>
      </c>
      <c r="W589" s="257" t="s">
        <v>979</v>
      </c>
      <c r="X589" t="s">
        <v>980</v>
      </c>
      <c r="Y589" s="316" t="s">
        <v>326</v>
      </c>
      <c r="Z589" s="8">
        <v>3</v>
      </c>
      <c r="AA589" s="202" t="str">
        <f t="shared" si="10"/>
        <v>Соль</v>
      </c>
    </row>
    <row r="590" spans="1:27" ht="15" customHeight="1" x14ac:dyDescent="0.25">
      <c r="A590" t="s">
        <v>153</v>
      </c>
      <c r="L590"/>
      <c r="M590"/>
      <c r="N590"/>
      <c r="O590"/>
      <c r="P590"/>
      <c r="T590">
        <v>695</v>
      </c>
      <c r="U590" s="7">
        <v>3</v>
      </c>
      <c r="V590" t="s">
        <v>966</v>
      </c>
      <c r="W590" s="257" t="s">
        <v>979</v>
      </c>
      <c r="X590" t="s">
        <v>980</v>
      </c>
      <c r="Y590" s="316" t="s">
        <v>558</v>
      </c>
      <c r="Z590" s="8">
        <v>244</v>
      </c>
      <c r="AA590" s="202" t="str">
        <f t="shared" si="10"/>
        <v>Общая масса готового блюда, г</v>
      </c>
    </row>
    <row r="591" spans="1:27" ht="15" customHeight="1" x14ac:dyDescent="0.25">
      <c r="A591" t="s">
        <v>153</v>
      </c>
      <c r="L591"/>
      <c r="M591"/>
      <c r="N591"/>
      <c r="O591"/>
      <c r="P591"/>
      <c r="T591">
        <v>695</v>
      </c>
      <c r="U591" s="7">
        <v>3</v>
      </c>
      <c r="V591" t="s">
        <v>966</v>
      </c>
      <c r="W591" s="257" t="s">
        <v>979</v>
      </c>
      <c r="X591" t="s">
        <v>980</v>
      </c>
      <c r="Y591" s="316" t="s">
        <v>109</v>
      </c>
      <c r="Z591" s="8">
        <v>415</v>
      </c>
      <c r="AA591" s="202" t="str">
        <f t="shared" si="10"/>
        <v>ОКГ</v>
      </c>
    </row>
    <row r="592" spans="1:27" ht="15" customHeight="1" x14ac:dyDescent="0.25">
      <c r="A592" t="s">
        <v>153</v>
      </c>
      <c r="L592"/>
      <c r="M592"/>
      <c r="N592"/>
      <c r="O592"/>
      <c r="P592"/>
      <c r="T592">
        <v>696</v>
      </c>
      <c r="U592" s="7">
        <v>3</v>
      </c>
      <c r="V592" t="s">
        <v>966</v>
      </c>
      <c r="W592" s="257" t="s">
        <v>979</v>
      </c>
      <c r="X592" t="s">
        <v>980</v>
      </c>
      <c r="Y592" s="316" t="s">
        <v>74</v>
      </c>
      <c r="Z592" s="8">
        <v>0.02</v>
      </c>
      <c r="AA592" s="202" t="str">
        <f t="shared" si="10"/>
        <v>Лавровый лист</v>
      </c>
    </row>
    <row r="593" spans="1:27" ht="15" customHeight="1" x14ac:dyDescent="0.25">
      <c r="A593" t="s">
        <v>153</v>
      </c>
      <c r="L593"/>
      <c r="M593"/>
      <c r="N593"/>
      <c r="O593"/>
      <c r="P593"/>
      <c r="T593">
        <v>697</v>
      </c>
      <c r="U593" s="7">
        <v>3</v>
      </c>
      <c r="V593" t="s">
        <v>966</v>
      </c>
      <c r="W593" s="257" t="s">
        <v>979</v>
      </c>
      <c r="X593" t="s">
        <v>980</v>
      </c>
      <c r="Y593" s="316" t="s">
        <v>484</v>
      </c>
      <c r="Z593" s="8">
        <v>0.05</v>
      </c>
      <c r="AA593" s="202" t="str">
        <f t="shared" si="10"/>
        <v>Перец черный</v>
      </c>
    </row>
    <row r="594" spans="1:27" ht="15" customHeight="1" x14ac:dyDescent="0.25">
      <c r="A594" t="s">
        <v>153</v>
      </c>
      <c r="L594"/>
      <c r="M594"/>
      <c r="N594"/>
      <c r="O594"/>
      <c r="P594"/>
      <c r="T594">
        <v>2865</v>
      </c>
      <c r="U594" s="7">
        <v>3</v>
      </c>
      <c r="V594" t="s">
        <v>1192</v>
      </c>
      <c r="W594" s="257" t="s">
        <v>82</v>
      </c>
      <c r="X594" t="s">
        <v>82</v>
      </c>
      <c r="Y594" s="316" t="s">
        <v>82</v>
      </c>
      <c r="Z594" s="8">
        <v>20</v>
      </c>
      <c r="AA594" s="202" t="str">
        <f t="shared" si="10"/>
        <v>Карамель</v>
      </c>
    </row>
    <row r="595" spans="1:27" ht="15" customHeight="1" x14ac:dyDescent="0.25">
      <c r="A595" t="s">
        <v>153</v>
      </c>
      <c r="L595"/>
      <c r="M595"/>
      <c r="N595"/>
      <c r="O595"/>
      <c r="P595"/>
      <c r="T595">
        <v>2866</v>
      </c>
      <c r="U595" s="7">
        <v>3</v>
      </c>
      <c r="V595" t="s">
        <v>1192</v>
      </c>
      <c r="W595" s="257" t="s">
        <v>82</v>
      </c>
      <c r="X595" t="s">
        <v>82</v>
      </c>
      <c r="Y595" s="316" t="s">
        <v>558</v>
      </c>
      <c r="Z595" s="8">
        <v>20</v>
      </c>
      <c r="AA595" s="202" t="str">
        <f t="shared" si="10"/>
        <v>Общая масса готового блюда, г</v>
      </c>
    </row>
    <row r="596" spans="1:27" ht="15" customHeight="1" x14ac:dyDescent="0.25">
      <c r="A596" t="s">
        <v>153</v>
      </c>
      <c r="L596"/>
      <c r="M596"/>
      <c r="N596"/>
      <c r="O596"/>
      <c r="P596"/>
      <c r="T596">
        <v>640</v>
      </c>
      <c r="U596" s="7">
        <v>3</v>
      </c>
      <c r="V596" t="s">
        <v>966</v>
      </c>
      <c r="W596" s="257" t="s">
        <v>981</v>
      </c>
      <c r="X596" t="s">
        <v>982</v>
      </c>
      <c r="Y596" s="316" t="s">
        <v>45</v>
      </c>
      <c r="Z596" s="8">
        <v>385</v>
      </c>
      <c r="AA596" s="202" t="str">
        <f t="shared" si="10"/>
        <v>Картофель</v>
      </c>
    </row>
    <row r="597" spans="1:27" ht="15" customHeight="1" x14ac:dyDescent="0.25">
      <c r="A597" t="s">
        <v>153</v>
      </c>
      <c r="L597"/>
      <c r="M597"/>
      <c r="N597"/>
      <c r="O597"/>
      <c r="P597"/>
      <c r="T597">
        <v>641</v>
      </c>
      <c r="U597" s="7">
        <v>3</v>
      </c>
      <c r="V597" t="s">
        <v>966</v>
      </c>
      <c r="W597" s="257" t="s">
        <v>981</v>
      </c>
      <c r="X597" t="s">
        <v>982</v>
      </c>
      <c r="Y597" s="316" t="s">
        <v>32</v>
      </c>
      <c r="Z597" s="8">
        <v>10</v>
      </c>
      <c r="AA597" s="202" t="str">
        <f t="shared" si="10"/>
        <v>Лук репчатый</v>
      </c>
    </row>
    <row r="598" spans="1:27" ht="15" customHeight="1" x14ac:dyDescent="0.25">
      <c r="A598" t="s">
        <v>153</v>
      </c>
      <c r="L598"/>
      <c r="M598"/>
      <c r="N598"/>
      <c r="O598"/>
      <c r="P598"/>
      <c r="T598">
        <v>642</v>
      </c>
      <c r="U598" s="7">
        <v>3</v>
      </c>
      <c r="V598" t="s">
        <v>966</v>
      </c>
      <c r="W598" s="257" t="s">
        <v>981</v>
      </c>
      <c r="X598" t="s">
        <v>982</v>
      </c>
      <c r="Y598" s="316" t="s">
        <v>46</v>
      </c>
      <c r="Z598" s="8">
        <v>10</v>
      </c>
      <c r="AA598" s="202" t="str">
        <f t="shared" si="10"/>
        <v>Морковь</v>
      </c>
    </row>
    <row r="599" spans="1:27" ht="15" customHeight="1" x14ac:dyDescent="0.25">
      <c r="A599" t="s">
        <v>153</v>
      </c>
      <c r="L599"/>
      <c r="M599"/>
      <c r="N599"/>
      <c r="O599"/>
      <c r="P599"/>
      <c r="T599">
        <v>643</v>
      </c>
      <c r="U599" s="7">
        <v>3</v>
      </c>
      <c r="V599" t="s">
        <v>966</v>
      </c>
      <c r="W599" s="257" t="s">
        <v>981</v>
      </c>
      <c r="X599" t="s">
        <v>982</v>
      </c>
      <c r="Y599" s="316" t="s">
        <v>76</v>
      </c>
      <c r="Z599" s="8">
        <v>2</v>
      </c>
      <c r="AA599" s="202" t="str">
        <f t="shared" si="10"/>
        <v>Томат-паста</v>
      </c>
    </row>
    <row r="600" spans="1:27" ht="15" customHeight="1" x14ac:dyDescent="0.25">
      <c r="A600" t="s">
        <v>153</v>
      </c>
      <c r="L600"/>
      <c r="M600"/>
      <c r="N600"/>
      <c r="O600"/>
      <c r="P600"/>
      <c r="T600">
        <v>644</v>
      </c>
      <c r="U600" s="7">
        <v>3</v>
      </c>
      <c r="V600" t="s">
        <v>966</v>
      </c>
      <c r="W600" s="257" t="s">
        <v>981</v>
      </c>
      <c r="X600" t="s">
        <v>982</v>
      </c>
      <c r="Y600" s="316" t="s">
        <v>61</v>
      </c>
      <c r="Z600" s="8">
        <v>5</v>
      </c>
      <c r="AA600" s="202" t="str">
        <f t="shared" si="10"/>
        <v>Масло растительное</v>
      </c>
    </row>
    <row r="601" spans="1:27" ht="15" customHeight="1" x14ac:dyDescent="0.25">
      <c r="A601" t="s">
        <v>153</v>
      </c>
      <c r="L601"/>
      <c r="M601"/>
      <c r="N601"/>
      <c r="O601"/>
      <c r="P601"/>
      <c r="T601">
        <v>645</v>
      </c>
      <c r="U601" s="7">
        <v>3</v>
      </c>
      <c r="V601" t="s">
        <v>966</v>
      </c>
      <c r="W601" s="257" t="s">
        <v>981</v>
      </c>
      <c r="X601" t="s">
        <v>982</v>
      </c>
      <c r="Y601" s="316" t="s">
        <v>434</v>
      </c>
      <c r="Z601" s="8">
        <v>2</v>
      </c>
      <c r="AA601" s="202" t="str">
        <f t="shared" si="10"/>
        <v>Мука пшеничная 1 с</v>
      </c>
    </row>
    <row r="602" spans="1:27" ht="15" customHeight="1" x14ac:dyDescent="0.25">
      <c r="A602" t="s">
        <v>153</v>
      </c>
      <c r="L602"/>
      <c r="M602"/>
      <c r="N602"/>
      <c r="O602"/>
      <c r="P602"/>
      <c r="T602">
        <v>646</v>
      </c>
      <c r="U602" s="7">
        <v>3</v>
      </c>
      <c r="V602" t="s">
        <v>966</v>
      </c>
      <c r="W602" s="257" t="s">
        <v>981</v>
      </c>
      <c r="X602" t="s">
        <v>982</v>
      </c>
      <c r="Y602" s="316" t="s">
        <v>480</v>
      </c>
      <c r="Z602" s="8">
        <v>50</v>
      </c>
      <c r="AA602" s="202" t="str">
        <f t="shared" si="10"/>
        <v>Вода или бульон</v>
      </c>
    </row>
    <row r="603" spans="1:27" ht="15" customHeight="1" x14ac:dyDescent="0.25">
      <c r="A603" t="s">
        <v>153</v>
      </c>
      <c r="L603"/>
      <c r="M603"/>
      <c r="N603"/>
      <c r="O603"/>
      <c r="P603"/>
      <c r="T603">
        <v>647</v>
      </c>
      <c r="U603" s="7">
        <v>3</v>
      </c>
      <c r="V603" t="s">
        <v>966</v>
      </c>
      <c r="W603" s="257" t="s">
        <v>981</v>
      </c>
      <c r="X603" t="s">
        <v>982</v>
      </c>
      <c r="Y603" s="316" t="s">
        <v>558</v>
      </c>
      <c r="Z603" s="8">
        <v>307</v>
      </c>
      <c r="AA603" s="202" t="str">
        <f t="shared" si="10"/>
        <v>Общая масса готового блюда, г</v>
      </c>
    </row>
    <row r="604" spans="1:27" ht="15" customHeight="1" x14ac:dyDescent="0.25">
      <c r="A604" t="s">
        <v>153</v>
      </c>
      <c r="L604"/>
      <c r="M604"/>
      <c r="N604"/>
      <c r="O604"/>
      <c r="P604"/>
      <c r="T604">
        <v>647</v>
      </c>
      <c r="U604" s="7">
        <v>3</v>
      </c>
      <c r="V604" t="s">
        <v>966</v>
      </c>
      <c r="W604" s="257" t="s">
        <v>981</v>
      </c>
      <c r="X604" t="s">
        <v>982</v>
      </c>
      <c r="Y604" s="316" t="s">
        <v>109</v>
      </c>
      <c r="Z604" s="8">
        <v>415</v>
      </c>
      <c r="AA604" s="202" t="str">
        <f t="shared" si="10"/>
        <v>ОКГ</v>
      </c>
    </row>
    <row r="605" spans="1:27" ht="15" customHeight="1" x14ac:dyDescent="0.25">
      <c r="A605" t="s">
        <v>153</v>
      </c>
      <c r="L605"/>
      <c r="M605"/>
      <c r="N605"/>
      <c r="O605"/>
      <c r="P605"/>
      <c r="T605">
        <v>648</v>
      </c>
      <c r="U605" s="7">
        <v>3</v>
      </c>
      <c r="V605" t="s">
        <v>966</v>
      </c>
      <c r="W605" s="257" t="s">
        <v>981</v>
      </c>
      <c r="X605" t="s">
        <v>982</v>
      </c>
      <c r="Y605" s="316" t="s">
        <v>74</v>
      </c>
      <c r="Z605" s="8">
        <v>0.02</v>
      </c>
      <c r="AA605" s="202" t="str">
        <f t="shared" si="10"/>
        <v>Лавровый лист</v>
      </c>
    </row>
    <row r="606" spans="1:27" ht="15" customHeight="1" x14ac:dyDescent="0.25">
      <c r="A606" t="s">
        <v>153</v>
      </c>
      <c r="L606"/>
      <c r="M606"/>
      <c r="N606"/>
      <c r="O606"/>
      <c r="P606"/>
      <c r="T606">
        <v>649</v>
      </c>
      <c r="U606" s="7">
        <v>3</v>
      </c>
      <c r="V606" t="s">
        <v>966</v>
      </c>
      <c r="W606" s="257" t="s">
        <v>981</v>
      </c>
      <c r="X606" t="s">
        <v>982</v>
      </c>
      <c r="Y606" s="316" t="s">
        <v>484</v>
      </c>
      <c r="Z606" s="8">
        <v>0.05</v>
      </c>
      <c r="AA606" s="202" t="str">
        <f t="shared" si="10"/>
        <v>Перец черный</v>
      </c>
    </row>
    <row r="607" spans="1:27" ht="15" customHeight="1" x14ac:dyDescent="0.25">
      <c r="A607" t="s">
        <v>153</v>
      </c>
      <c r="L607"/>
      <c r="M607"/>
      <c r="N607"/>
      <c r="O607"/>
      <c r="P607"/>
      <c r="T607">
        <v>650</v>
      </c>
      <c r="U607" s="7">
        <v>3</v>
      </c>
      <c r="V607" t="s">
        <v>966</v>
      </c>
      <c r="W607" s="257" t="s">
        <v>981</v>
      </c>
      <c r="X607" t="s">
        <v>982</v>
      </c>
      <c r="Y607" s="316" t="s">
        <v>76</v>
      </c>
      <c r="Z607" s="8">
        <v>3</v>
      </c>
      <c r="AA607" s="202" t="str">
        <f t="shared" si="10"/>
        <v>Томат-паста</v>
      </c>
    </row>
    <row r="608" spans="1:27" ht="15" customHeight="1" x14ac:dyDescent="0.25">
      <c r="A608" t="s">
        <v>153</v>
      </c>
      <c r="L608"/>
      <c r="M608"/>
      <c r="N608"/>
      <c r="O608"/>
      <c r="P608"/>
      <c r="T608">
        <v>651</v>
      </c>
      <c r="U608" s="7">
        <v>3</v>
      </c>
      <c r="V608" t="s">
        <v>966</v>
      </c>
      <c r="W608" s="257" t="s">
        <v>981</v>
      </c>
      <c r="X608" t="s">
        <v>982</v>
      </c>
      <c r="Y608" s="316" t="s">
        <v>61</v>
      </c>
      <c r="Z608" s="8">
        <v>5</v>
      </c>
      <c r="AA608" s="202" t="str">
        <f t="shared" si="10"/>
        <v>Масло растительное</v>
      </c>
    </row>
    <row r="609" spans="1:27" ht="15" customHeight="1" x14ac:dyDescent="0.25">
      <c r="A609" t="s">
        <v>153</v>
      </c>
      <c r="L609"/>
      <c r="M609"/>
      <c r="N609"/>
      <c r="O609"/>
      <c r="P609"/>
      <c r="T609">
        <v>652</v>
      </c>
      <c r="U609" s="7">
        <v>3</v>
      </c>
      <c r="V609" t="s">
        <v>966</v>
      </c>
      <c r="W609" s="257" t="s">
        <v>981</v>
      </c>
      <c r="X609" t="s">
        <v>982</v>
      </c>
      <c r="Y609" s="316" t="s">
        <v>434</v>
      </c>
      <c r="Z609" s="8">
        <v>3</v>
      </c>
      <c r="AA609" s="202" t="str">
        <f t="shared" si="10"/>
        <v>Мука пшеничная 1 с</v>
      </c>
    </row>
    <row r="610" spans="1:27" ht="15" customHeight="1" x14ac:dyDescent="0.25">
      <c r="A610" t="s">
        <v>153</v>
      </c>
      <c r="L610"/>
      <c r="M610"/>
      <c r="N610"/>
      <c r="O610"/>
      <c r="P610"/>
      <c r="T610">
        <v>653</v>
      </c>
      <c r="U610" s="7">
        <v>3</v>
      </c>
      <c r="V610" t="s">
        <v>966</v>
      </c>
      <c r="W610" s="257" t="s">
        <v>981</v>
      </c>
      <c r="X610" t="s">
        <v>982</v>
      </c>
      <c r="Y610" s="316" t="s">
        <v>326</v>
      </c>
      <c r="Z610" s="8">
        <v>4</v>
      </c>
      <c r="AA610" s="202" t="str">
        <f t="shared" si="10"/>
        <v>Соль</v>
      </c>
    </row>
    <row r="611" spans="1:27" ht="15" customHeight="1" x14ac:dyDescent="0.25">
      <c r="A611" t="s">
        <v>153</v>
      </c>
      <c r="L611"/>
      <c r="M611"/>
      <c r="N611"/>
      <c r="O611"/>
      <c r="P611"/>
      <c r="T611">
        <v>623</v>
      </c>
      <c r="U611" s="7">
        <v>3</v>
      </c>
      <c r="V611" t="s">
        <v>966</v>
      </c>
      <c r="W611" s="257" t="s">
        <v>983</v>
      </c>
      <c r="X611" t="s">
        <v>984</v>
      </c>
      <c r="Y611" s="316" t="s">
        <v>45</v>
      </c>
      <c r="Z611" s="8">
        <v>415</v>
      </c>
      <c r="AA611" s="202" t="str">
        <f t="shared" si="10"/>
        <v>Картофель</v>
      </c>
    </row>
    <row r="612" spans="1:27" ht="15" customHeight="1" x14ac:dyDescent="0.25">
      <c r="A612" t="s">
        <v>153</v>
      </c>
      <c r="L612"/>
      <c r="M612"/>
      <c r="N612"/>
      <c r="O612"/>
      <c r="P612"/>
      <c r="T612">
        <v>624</v>
      </c>
      <c r="U612" s="7">
        <v>3</v>
      </c>
      <c r="V612" t="s">
        <v>966</v>
      </c>
      <c r="W612" s="257" t="s">
        <v>983</v>
      </c>
      <c r="X612" t="s">
        <v>984</v>
      </c>
      <c r="Y612" s="316" t="s">
        <v>326</v>
      </c>
      <c r="Z612" s="8">
        <v>3</v>
      </c>
      <c r="AA612" s="202" t="str">
        <f t="shared" si="10"/>
        <v>Соль</v>
      </c>
    </row>
    <row r="613" spans="1:27" ht="15" customHeight="1" x14ac:dyDescent="0.25">
      <c r="A613" t="s">
        <v>153</v>
      </c>
      <c r="L613"/>
      <c r="M613"/>
      <c r="N613"/>
      <c r="O613"/>
      <c r="P613"/>
      <c r="T613">
        <v>625</v>
      </c>
      <c r="U613" s="7">
        <v>3</v>
      </c>
      <c r="V613" t="s">
        <v>966</v>
      </c>
      <c r="W613" s="257" t="s">
        <v>983</v>
      </c>
      <c r="X613" t="s">
        <v>984</v>
      </c>
      <c r="Y613" s="316" t="s">
        <v>558</v>
      </c>
      <c r="Z613" s="8">
        <v>370</v>
      </c>
      <c r="AA613" s="202" t="str">
        <f t="shared" si="10"/>
        <v>Общая масса готового блюда, г</v>
      </c>
    </row>
    <row r="614" spans="1:27" ht="15" customHeight="1" x14ac:dyDescent="0.25">
      <c r="A614" t="s">
        <v>153</v>
      </c>
      <c r="L614"/>
      <c r="M614"/>
      <c r="N614"/>
      <c r="O614"/>
      <c r="P614"/>
      <c r="T614">
        <v>625</v>
      </c>
      <c r="U614" s="7">
        <v>3</v>
      </c>
      <c r="V614" t="s">
        <v>966</v>
      </c>
      <c r="W614" s="257" t="s">
        <v>983</v>
      </c>
      <c r="X614" t="s">
        <v>984</v>
      </c>
      <c r="Y614" s="316" t="s">
        <v>109</v>
      </c>
      <c r="Z614" s="8">
        <v>415</v>
      </c>
      <c r="AA614" s="202" t="str">
        <f t="shared" si="10"/>
        <v>ОКГ</v>
      </c>
    </row>
    <row r="615" spans="1:27" ht="15" customHeight="1" x14ac:dyDescent="0.25">
      <c r="A615" t="s">
        <v>153</v>
      </c>
      <c r="L615"/>
      <c r="M615"/>
      <c r="N615"/>
      <c r="O615"/>
      <c r="P615"/>
      <c r="T615">
        <v>626</v>
      </c>
      <c r="U615" s="7">
        <v>3</v>
      </c>
      <c r="V615" t="s">
        <v>966</v>
      </c>
      <c r="W615" s="257" t="s">
        <v>985</v>
      </c>
      <c r="X615" t="s">
        <v>986</v>
      </c>
      <c r="Y615" s="316" t="s">
        <v>45</v>
      </c>
      <c r="Z615" s="8">
        <v>350</v>
      </c>
      <c r="AA615" s="202" t="str">
        <f t="shared" si="10"/>
        <v>Картофель</v>
      </c>
    </row>
    <row r="616" spans="1:27" ht="15" customHeight="1" x14ac:dyDescent="0.25">
      <c r="A616" t="s">
        <v>153</v>
      </c>
      <c r="L616"/>
      <c r="M616"/>
      <c r="N616"/>
      <c r="O616"/>
      <c r="P616"/>
      <c r="T616">
        <v>627</v>
      </c>
      <c r="U616" s="7">
        <v>3</v>
      </c>
      <c r="V616" t="s">
        <v>966</v>
      </c>
      <c r="W616" s="257" t="s">
        <v>985</v>
      </c>
      <c r="X616" t="s">
        <v>986</v>
      </c>
      <c r="Y616" s="316" t="s">
        <v>32</v>
      </c>
      <c r="Z616" s="8">
        <v>15</v>
      </c>
      <c r="AA616" s="202" t="str">
        <f t="shared" si="10"/>
        <v>Лук репчатый</v>
      </c>
    </row>
    <row r="617" spans="1:27" ht="15" customHeight="1" x14ac:dyDescent="0.25">
      <c r="A617" t="s">
        <v>153</v>
      </c>
      <c r="L617"/>
      <c r="M617"/>
      <c r="N617"/>
      <c r="O617"/>
      <c r="P617"/>
      <c r="T617">
        <v>628</v>
      </c>
      <c r="U617" s="7">
        <v>3</v>
      </c>
      <c r="V617" t="s">
        <v>966</v>
      </c>
      <c r="W617" s="257" t="s">
        <v>985</v>
      </c>
      <c r="X617" t="s">
        <v>986</v>
      </c>
      <c r="Y617" s="316" t="s">
        <v>46</v>
      </c>
      <c r="Z617" s="8">
        <v>12</v>
      </c>
      <c r="AA617" s="202" t="str">
        <f t="shared" si="10"/>
        <v>Морковь</v>
      </c>
    </row>
    <row r="618" spans="1:27" ht="15" customHeight="1" x14ac:dyDescent="0.25">
      <c r="A618" t="s">
        <v>153</v>
      </c>
      <c r="L618"/>
      <c r="M618"/>
      <c r="N618"/>
      <c r="O618"/>
      <c r="P618"/>
      <c r="T618">
        <v>629</v>
      </c>
      <c r="U618" s="7">
        <v>3</v>
      </c>
      <c r="V618" t="s">
        <v>966</v>
      </c>
      <c r="W618" s="257" t="s">
        <v>985</v>
      </c>
      <c r="X618" t="s">
        <v>986</v>
      </c>
      <c r="Y618" s="316" t="s">
        <v>76</v>
      </c>
      <c r="Z618" s="8">
        <v>2</v>
      </c>
      <c r="AA618" s="202" t="str">
        <f t="shared" si="10"/>
        <v>Томат-паста</v>
      </c>
    </row>
    <row r="619" spans="1:27" ht="15" customHeight="1" x14ac:dyDescent="0.25">
      <c r="A619" t="s">
        <v>153</v>
      </c>
      <c r="L619"/>
      <c r="M619"/>
      <c r="N619"/>
      <c r="O619"/>
      <c r="P619"/>
      <c r="T619">
        <v>630</v>
      </c>
      <c r="U619" s="7">
        <v>3</v>
      </c>
      <c r="V619" t="s">
        <v>966</v>
      </c>
      <c r="W619" s="257" t="s">
        <v>985</v>
      </c>
      <c r="X619" t="s">
        <v>986</v>
      </c>
      <c r="Y619" s="316" t="s">
        <v>61</v>
      </c>
      <c r="Z619" s="8">
        <v>5</v>
      </c>
      <c r="AA619" s="202" t="str">
        <f t="shared" si="10"/>
        <v>Масло растительное</v>
      </c>
    </row>
    <row r="620" spans="1:27" ht="15" customHeight="1" x14ac:dyDescent="0.25">
      <c r="A620" t="s">
        <v>153</v>
      </c>
      <c r="L620"/>
      <c r="M620"/>
      <c r="N620"/>
      <c r="O620"/>
      <c r="P620"/>
      <c r="T620">
        <v>631</v>
      </c>
      <c r="U620" s="7">
        <v>3</v>
      </c>
      <c r="V620" t="s">
        <v>966</v>
      </c>
      <c r="W620" s="257" t="s">
        <v>985</v>
      </c>
      <c r="X620" t="s">
        <v>986</v>
      </c>
      <c r="Y620" s="316" t="s">
        <v>434</v>
      </c>
      <c r="Z620" s="8">
        <v>2</v>
      </c>
      <c r="AA620" s="202" t="str">
        <f t="shared" si="10"/>
        <v>Мука пшеничная 1 с</v>
      </c>
    </row>
    <row r="621" spans="1:27" ht="15" customHeight="1" x14ac:dyDescent="0.25">
      <c r="A621" t="s">
        <v>153</v>
      </c>
      <c r="L621"/>
      <c r="M621"/>
      <c r="N621"/>
      <c r="O621"/>
      <c r="P621"/>
      <c r="T621">
        <v>632</v>
      </c>
      <c r="U621" s="7">
        <v>3</v>
      </c>
      <c r="V621" t="s">
        <v>966</v>
      </c>
      <c r="W621" s="257" t="s">
        <v>985</v>
      </c>
      <c r="X621" t="s">
        <v>986</v>
      </c>
      <c r="Y621" s="316" t="s">
        <v>326</v>
      </c>
      <c r="Z621" s="8">
        <v>3</v>
      </c>
      <c r="AA621" s="202" t="str">
        <f t="shared" si="10"/>
        <v>Соль</v>
      </c>
    </row>
    <row r="622" spans="1:27" ht="15" customHeight="1" x14ac:dyDescent="0.25">
      <c r="A622" t="s">
        <v>153</v>
      </c>
      <c r="L622"/>
      <c r="M622"/>
      <c r="N622"/>
      <c r="O622"/>
      <c r="P622"/>
      <c r="T622">
        <v>633</v>
      </c>
      <c r="U622" s="7">
        <v>3</v>
      </c>
      <c r="V622" t="s">
        <v>966</v>
      </c>
      <c r="W622" s="257" t="s">
        <v>985</v>
      </c>
      <c r="X622" t="s">
        <v>986</v>
      </c>
      <c r="Y622" s="316" t="s">
        <v>76</v>
      </c>
      <c r="Z622" s="8">
        <v>3</v>
      </c>
      <c r="AA622" s="202" t="str">
        <f t="shared" si="10"/>
        <v>Томат-паста</v>
      </c>
    </row>
    <row r="623" spans="1:27" ht="15" customHeight="1" x14ac:dyDescent="0.25">
      <c r="A623" t="s">
        <v>153</v>
      </c>
      <c r="L623"/>
      <c r="M623"/>
      <c r="N623"/>
      <c r="O623"/>
      <c r="P623"/>
      <c r="T623">
        <v>634</v>
      </c>
      <c r="U623" s="7">
        <v>3</v>
      </c>
      <c r="V623" t="s">
        <v>966</v>
      </c>
      <c r="W623" s="257" t="s">
        <v>985</v>
      </c>
      <c r="X623" t="s">
        <v>986</v>
      </c>
      <c r="Y623" s="316" t="s">
        <v>61</v>
      </c>
      <c r="Z623" s="8">
        <v>5</v>
      </c>
      <c r="AA623" s="202" t="str">
        <f t="shared" si="10"/>
        <v>Масло растительное</v>
      </c>
    </row>
    <row r="624" spans="1:27" ht="15" customHeight="1" x14ac:dyDescent="0.25">
      <c r="A624" t="s">
        <v>153</v>
      </c>
      <c r="L624"/>
      <c r="M624"/>
      <c r="N624"/>
      <c r="O624"/>
      <c r="P624"/>
      <c r="T624">
        <v>635</v>
      </c>
      <c r="U624" s="7">
        <v>3</v>
      </c>
      <c r="V624" t="s">
        <v>966</v>
      </c>
      <c r="W624" s="257" t="s">
        <v>985</v>
      </c>
      <c r="X624" t="s">
        <v>986</v>
      </c>
      <c r="Y624" s="316" t="s">
        <v>434</v>
      </c>
      <c r="Z624" s="8">
        <v>3</v>
      </c>
      <c r="AA624" s="202" t="str">
        <f t="shared" si="10"/>
        <v>Мука пшеничная 1 с</v>
      </c>
    </row>
    <row r="625" spans="1:27" ht="15" customHeight="1" x14ac:dyDescent="0.25">
      <c r="A625" t="s">
        <v>153</v>
      </c>
      <c r="L625"/>
      <c r="M625"/>
      <c r="N625"/>
      <c r="O625"/>
      <c r="P625"/>
      <c r="T625">
        <v>636</v>
      </c>
      <c r="U625" s="7">
        <v>3</v>
      </c>
      <c r="V625" t="s">
        <v>966</v>
      </c>
      <c r="W625" s="257" t="s">
        <v>985</v>
      </c>
      <c r="X625" t="s">
        <v>986</v>
      </c>
      <c r="Y625" s="316" t="s">
        <v>480</v>
      </c>
      <c r="Z625" s="8">
        <v>50</v>
      </c>
      <c r="AA625" s="202" t="str">
        <f t="shared" si="10"/>
        <v>Вода или бульон</v>
      </c>
    </row>
    <row r="626" spans="1:27" ht="15" customHeight="1" x14ac:dyDescent="0.25">
      <c r="A626" t="s">
        <v>153</v>
      </c>
      <c r="L626"/>
      <c r="M626"/>
      <c r="N626"/>
      <c r="O626"/>
      <c r="P626"/>
      <c r="T626">
        <v>637</v>
      </c>
      <c r="U626" s="7">
        <v>3</v>
      </c>
      <c r="V626" t="s">
        <v>966</v>
      </c>
      <c r="W626" s="257" t="s">
        <v>985</v>
      </c>
      <c r="X626" t="s">
        <v>986</v>
      </c>
      <c r="Y626" s="316" t="s">
        <v>558</v>
      </c>
      <c r="Z626" s="8">
        <v>300</v>
      </c>
      <c r="AA626" s="202" t="str">
        <f t="shared" si="10"/>
        <v>Общая масса готового блюда, г</v>
      </c>
    </row>
    <row r="627" spans="1:27" ht="15" customHeight="1" x14ac:dyDescent="0.25">
      <c r="A627" t="s">
        <v>153</v>
      </c>
      <c r="L627"/>
      <c r="M627"/>
      <c r="N627"/>
      <c r="O627"/>
      <c r="P627"/>
      <c r="T627">
        <v>637</v>
      </c>
      <c r="U627" s="7">
        <v>3</v>
      </c>
      <c r="V627" t="s">
        <v>966</v>
      </c>
      <c r="W627" s="257" t="s">
        <v>985</v>
      </c>
      <c r="X627" t="s">
        <v>986</v>
      </c>
      <c r="Y627" s="316" t="s">
        <v>109</v>
      </c>
      <c r="Z627" s="8">
        <v>415</v>
      </c>
      <c r="AA627" s="202" t="str">
        <f t="shared" si="10"/>
        <v>ОКГ</v>
      </c>
    </row>
    <row r="628" spans="1:27" ht="15" customHeight="1" x14ac:dyDescent="0.25">
      <c r="A628" t="s">
        <v>153</v>
      </c>
      <c r="L628"/>
      <c r="M628"/>
      <c r="N628"/>
      <c r="O628"/>
      <c r="P628"/>
      <c r="T628">
        <v>638</v>
      </c>
      <c r="U628" s="7">
        <v>3</v>
      </c>
      <c r="V628" t="s">
        <v>966</v>
      </c>
      <c r="W628" s="257" t="s">
        <v>985</v>
      </c>
      <c r="X628" t="s">
        <v>986</v>
      </c>
      <c r="Y628" s="316" t="s">
        <v>74</v>
      </c>
      <c r="Z628" s="8">
        <v>0.02</v>
      </c>
      <c r="AA628" s="202" t="str">
        <f t="shared" si="10"/>
        <v>Лавровый лист</v>
      </c>
    </row>
    <row r="629" spans="1:27" ht="15" customHeight="1" x14ac:dyDescent="0.25">
      <c r="A629" t="s">
        <v>153</v>
      </c>
      <c r="L629"/>
      <c r="M629"/>
      <c r="N629"/>
      <c r="O629"/>
      <c r="P629"/>
      <c r="T629">
        <v>639</v>
      </c>
      <c r="U629" s="7">
        <v>3</v>
      </c>
      <c r="V629" t="s">
        <v>966</v>
      </c>
      <c r="W629" s="257" t="s">
        <v>985</v>
      </c>
      <c r="X629" t="s">
        <v>986</v>
      </c>
      <c r="Y629" s="316" t="s">
        <v>484</v>
      </c>
      <c r="Z629" s="8">
        <v>0.05</v>
      </c>
      <c r="AA629" s="202" t="str">
        <f t="shared" si="10"/>
        <v>Перец черный</v>
      </c>
    </row>
    <row r="630" spans="1:27" ht="15" customHeight="1" x14ac:dyDescent="0.25">
      <c r="A630" t="s">
        <v>153</v>
      </c>
      <c r="L630"/>
      <c r="M630"/>
      <c r="N630"/>
      <c r="O630"/>
      <c r="P630"/>
      <c r="T630">
        <v>487</v>
      </c>
      <c r="U630" s="7">
        <v>3</v>
      </c>
      <c r="V630" t="s">
        <v>966</v>
      </c>
      <c r="W630" s="257" t="s">
        <v>987</v>
      </c>
      <c r="X630" t="s">
        <v>988</v>
      </c>
      <c r="Y630" s="316" t="s">
        <v>426</v>
      </c>
      <c r="Z630" s="8">
        <v>83</v>
      </c>
      <c r="AA630" s="202" t="str">
        <f t="shared" si="10"/>
        <v>Гречневая</v>
      </c>
    </row>
    <row r="631" spans="1:27" ht="15" customHeight="1" x14ac:dyDescent="0.25">
      <c r="A631" t="s">
        <v>153</v>
      </c>
      <c r="L631"/>
      <c r="M631"/>
      <c r="N631"/>
      <c r="O631"/>
      <c r="P631"/>
      <c r="T631">
        <v>488</v>
      </c>
      <c r="U631" s="7">
        <v>3</v>
      </c>
      <c r="V631" t="s">
        <v>966</v>
      </c>
      <c r="W631" s="257" t="s">
        <v>987</v>
      </c>
      <c r="X631" t="s">
        <v>988</v>
      </c>
      <c r="Y631" s="316" t="s">
        <v>330</v>
      </c>
      <c r="Z631" s="8">
        <v>265.60000000000002</v>
      </c>
      <c r="AA631" s="202" t="str">
        <f t="shared" si="10"/>
        <v>Вода</v>
      </c>
    </row>
    <row r="632" spans="1:27" ht="15" customHeight="1" x14ac:dyDescent="0.25">
      <c r="A632" t="s">
        <v>153</v>
      </c>
      <c r="L632"/>
      <c r="M632"/>
      <c r="N632"/>
      <c r="O632"/>
      <c r="P632"/>
      <c r="T632">
        <v>489</v>
      </c>
      <c r="U632" s="7">
        <v>3</v>
      </c>
      <c r="V632" t="s">
        <v>966</v>
      </c>
      <c r="W632" s="257" t="s">
        <v>987</v>
      </c>
      <c r="X632" t="s">
        <v>988</v>
      </c>
      <c r="Y632" s="316" t="s">
        <v>326</v>
      </c>
      <c r="Z632" s="8">
        <v>3</v>
      </c>
      <c r="AA632" s="202" t="str">
        <f t="shared" si="10"/>
        <v>Соль</v>
      </c>
    </row>
    <row r="633" spans="1:27" ht="15" customHeight="1" x14ac:dyDescent="0.25">
      <c r="A633" t="s">
        <v>153</v>
      </c>
      <c r="L633"/>
      <c r="M633"/>
      <c r="N633"/>
      <c r="O633"/>
      <c r="P633"/>
      <c r="T633">
        <v>490</v>
      </c>
      <c r="U633" s="7">
        <v>3</v>
      </c>
      <c r="V633" t="s">
        <v>966</v>
      </c>
      <c r="W633" s="257" t="s">
        <v>987</v>
      </c>
      <c r="X633" t="s">
        <v>988</v>
      </c>
      <c r="Y633" s="316" t="s">
        <v>558</v>
      </c>
      <c r="Z633" s="8">
        <v>316</v>
      </c>
      <c r="AA633" s="202" t="str">
        <f t="shared" si="10"/>
        <v>Общая масса готового блюда, г</v>
      </c>
    </row>
    <row r="634" spans="1:27" ht="15" customHeight="1" x14ac:dyDescent="0.25">
      <c r="A634" t="s">
        <v>153</v>
      </c>
      <c r="L634"/>
      <c r="M634"/>
      <c r="N634"/>
      <c r="O634"/>
      <c r="P634"/>
      <c r="T634">
        <v>490</v>
      </c>
      <c r="U634" s="7">
        <v>3</v>
      </c>
      <c r="V634" t="s">
        <v>966</v>
      </c>
      <c r="W634" s="257" t="s">
        <v>987</v>
      </c>
      <c r="X634" t="s">
        <v>988</v>
      </c>
      <c r="Y634" s="316" t="s">
        <v>109</v>
      </c>
      <c r="Z634" s="8">
        <v>415</v>
      </c>
      <c r="AA634" s="202" t="str">
        <f t="shared" si="10"/>
        <v>ОКГ</v>
      </c>
    </row>
    <row r="635" spans="1:27" ht="15" customHeight="1" x14ac:dyDescent="0.25">
      <c r="A635" t="s">
        <v>153</v>
      </c>
      <c r="L635"/>
      <c r="M635"/>
      <c r="N635"/>
      <c r="O635"/>
      <c r="P635"/>
      <c r="T635">
        <v>475</v>
      </c>
      <c r="U635" s="7">
        <v>3</v>
      </c>
      <c r="V635" t="s">
        <v>966</v>
      </c>
      <c r="W635" s="257" t="s">
        <v>989</v>
      </c>
      <c r="X635" t="s">
        <v>990</v>
      </c>
      <c r="Y635" s="316" t="s">
        <v>426</v>
      </c>
      <c r="Z635" s="8">
        <v>83</v>
      </c>
      <c r="AA635" s="202" t="str">
        <f t="shared" si="10"/>
        <v>Гречневая</v>
      </c>
    </row>
    <row r="636" spans="1:27" ht="15" customHeight="1" x14ac:dyDescent="0.25">
      <c r="A636" t="s">
        <v>153</v>
      </c>
      <c r="L636"/>
      <c r="M636"/>
      <c r="N636"/>
      <c r="O636"/>
      <c r="P636"/>
      <c r="T636">
        <v>476</v>
      </c>
      <c r="U636" s="7">
        <v>3</v>
      </c>
      <c r="V636" t="s">
        <v>966</v>
      </c>
      <c r="W636" s="257" t="s">
        <v>989</v>
      </c>
      <c r="X636" t="s">
        <v>990</v>
      </c>
      <c r="Y636" s="316" t="s">
        <v>330</v>
      </c>
      <c r="Z636" s="8">
        <v>124.5</v>
      </c>
      <c r="AA636" s="202" t="str">
        <f t="shared" si="10"/>
        <v>Вода</v>
      </c>
    </row>
    <row r="637" spans="1:27" ht="15" customHeight="1" x14ac:dyDescent="0.25">
      <c r="A637" t="s">
        <v>153</v>
      </c>
      <c r="L637"/>
      <c r="M637"/>
      <c r="N637"/>
      <c r="O637"/>
      <c r="P637"/>
      <c r="T637">
        <v>477</v>
      </c>
      <c r="U637" s="7">
        <v>3</v>
      </c>
      <c r="V637" t="s">
        <v>966</v>
      </c>
      <c r="W637" s="257" t="s">
        <v>989</v>
      </c>
      <c r="X637" t="s">
        <v>990</v>
      </c>
      <c r="Y637" s="316" t="s">
        <v>326</v>
      </c>
      <c r="Z637" s="8">
        <v>1.5</v>
      </c>
      <c r="AA637" s="202" t="str">
        <f t="shared" si="10"/>
        <v>Соль</v>
      </c>
    </row>
    <row r="638" spans="1:27" ht="15" customHeight="1" x14ac:dyDescent="0.25">
      <c r="A638" t="s">
        <v>153</v>
      </c>
      <c r="L638"/>
      <c r="M638"/>
      <c r="N638"/>
      <c r="O638"/>
      <c r="P638"/>
      <c r="T638">
        <v>478</v>
      </c>
      <c r="U638" s="7">
        <v>3</v>
      </c>
      <c r="V638" t="s">
        <v>966</v>
      </c>
      <c r="W638" s="257" t="s">
        <v>989</v>
      </c>
      <c r="X638" t="s">
        <v>990</v>
      </c>
      <c r="Y638" s="316" t="s">
        <v>558</v>
      </c>
      <c r="Z638" s="8">
        <v>174</v>
      </c>
      <c r="AA638" s="202" t="str">
        <f t="shared" si="10"/>
        <v>Общая масса готового блюда, г</v>
      </c>
    </row>
    <row r="639" spans="1:27" ht="15" customHeight="1" x14ac:dyDescent="0.25">
      <c r="A639" t="s">
        <v>153</v>
      </c>
      <c r="L639"/>
      <c r="M639"/>
      <c r="N639"/>
      <c r="O639"/>
      <c r="P639"/>
      <c r="T639">
        <v>478</v>
      </c>
      <c r="U639" s="7">
        <v>3</v>
      </c>
      <c r="V639" t="s">
        <v>966</v>
      </c>
      <c r="W639" s="257" t="s">
        <v>989</v>
      </c>
      <c r="X639" t="s">
        <v>990</v>
      </c>
      <c r="Y639" s="316" t="s">
        <v>109</v>
      </c>
      <c r="Z639" s="8">
        <v>415</v>
      </c>
      <c r="AA639" s="202" t="str">
        <f t="shared" si="10"/>
        <v>ОКГ</v>
      </c>
    </row>
    <row r="640" spans="1:27" ht="15" customHeight="1" x14ac:dyDescent="0.25">
      <c r="A640" t="s">
        <v>153</v>
      </c>
      <c r="L640"/>
      <c r="M640"/>
      <c r="N640"/>
      <c r="O640"/>
      <c r="P640"/>
      <c r="T640">
        <v>499</v>
      </c>
      <c r="U640" s="7">
        <v>3</v>
      </c>
      <c r="V640" t="s">
        <v>966</v>
      </c>
      <c r="W640" s="257" t="s">
        <v>991</v>
      </c>
      <c r="X640" t="s">
        <v>992</v>
      </c>
      <c r="Y640" s="316" t="s">
        <v>219</v>
      </c>
      <c r="Z640" s="8">
        <v>83</v>
      </c>
      <c r="AA640" s="202" t="str">
        <f t="shared" si="10"/>
        <v>Манная</v>
      </c>
    </row>
    <row r="641" spans="1:27" ht="15" customHeight="1" x14ac:dyDescent="0.25">
      <c r="A641" t="s">
        <v>153</v>
      </c>
      <c r="L641"/>
      <c r="M641"/>
      <c r="N641"/>
      <c r="O641"/>
      <c r="P641"/>
      <c r="T641">
        <v>500</v>
      </c>
      <c r="U641" s="7">
        <v>3</v>
      </c>
      <c r="V641" t="s">
        <v>966</v>
      </c>
      <c r="W641" s="257" t="s">
        <v>991</v>
      </c>
      <c r="X641" t="s">
        <v>992</v>
      </c>
      <c r="Y641" s="316" t="s">
        <v>330</v>
      </c>
      <c r="Z641" s="8">
        <v>307.10000000000002</v>
      </c>
      <c r="AA641" s="202" t="str">
        <f t="shared" si="10"/>
        <v>Вода</v>
      </c>
    </row>
    <row r="642" spans="1:27" ht="15" customHeight="1" x14ac:dyDescent="0.25">
      <c r="A642" t="s">
        <v>153</v>
      </c>
      <c r="L642"/>
      <c r="M642"/>
      <c r="N642"/>
      <c r="O642"/>
      <c r="P642"/>
      <c r="T642">
        <v>501</v>
      </c>
      <c r="U642" s="7">
        <v>3</v>
      </c>
      <c r="V642" t="s">
        <v>966</v>
      </c>
      <c r="W642" s="257" t="s">
        <v>991</v>
      </c>
      <c r="X642" t="s">
        <v>992</v>
      </c>
      <c r="Y642" s="316" t="s">
        <v>326</v>
      </c>
      <c r="Z642" s="8">
        <v>3.5</v>
      </c>
      <c r="AA642" s="202" t="str">
        <f t="shared" ref="AA642:AA705" si="11">VLOOKUP(Y642,O:P,2,FALSE)</f>
        <v>Соль</v>
      </c>
    </row>
    <row r="643" spans="1:27" ht="15" customHeight="1" x14ac:dyDescent="0.25">
      <c r="A643" t="s">
        <v>153</v>
      </c>
      <c r="L643"/>
      <c r="M643"/>
      <c r="N643"/>
      <c r="O643"/>
      <c r="P643"/>
      <c r="T643">
        <v>502</v>
      </c>
      <c r="U643" s="7">
        <v>3</v>
      </c>
      <c r="V643" t="s">
        <v>966</v>
      </c>
      <c r="W643" s="257" t="s">
        <v>991</v>
      </c>
      <c r="X643" t="s">
        <v>992</v>
      </c>
      <c r="Y643" s="316" t="s">
        <v>558</v>
      </c>
      <c r="Z643" s="8">
        <v>374</v>
      </c>
      <c r="AA643" s="202" t="str">
        <f t="shared" si="11"/>
        <v>Общая масса готового блюда, г</v>
      </c>
    </row>
    <row r="644" spans="1:27" ht="15" customHeight="1" x14ac:dyDescent="0.25">
      <c r="A644" t="s">
        <v>153</v>
      </c>
      <c r="L644"/>
      <c r="M644"/>
      <c r="N644"/>
      <c r="O644"/>
      <c r="P644"/>
      <c r="T644">
        <v>502</v>
      </c>
      <c r="U644" s="7">
        <v>3</v>
      </c>
      <c r="V644" t="s">
        <v>966</v>
      </c>
      <c r="W644" s="257" t="s">
        <v>991</v>
      </c>
      <c r="X644" t="s">
        <v>992</v>
      </c>
      <c r="Y644" s="316" t="s">
        <v>109</v>
      </c>
      <c r="Z644" s="8">
        <v>415</v>
      </c>
      <c r="AA644" s="202" t="str">
        <f t="shared" si="11"/>
        <v>ОКГ</v>
      </c>
    </row>
    <row r="645" spans="1:27" ht="15" customHeight="1" x14ac:dyDescent="0.25">
      <c r="A645" t="s">
        <v>153</v>
      </c>
      <c r="L645"/>
      <c r="M645"/>
      <c r="N645"/>
      <c r="O645"/>
      <c r="P645"/>
      <c r="T645">
        <v>517</v>
      </c>
      <c r="U645" s="7">
        <v>3</v>
      </c>
      <c r="V645" t="s">
        <v>966</v>
      </c>
      <c r="W645" s="257" t="s">
        <v>993</v>
      </c>
      <c r="X645" t="s">
        <v>994</v>
      </c>
      <c r="Y645" s="316" t="s">
        <v>426</v>
      </c>
      <c r="Z645" s="8">
        <v>83</v>
      </c>
      <c r="AA645" s="202" t="str">
        <f t="shared" si="11"/>
        <v>Гречневая</v>
      </c>
    </row>
    <row r="646" spans="1:27" ht="15" customHeight="1" x14ac:dyDescent="0.25">
      <c r="A646" t="s">
        <v>153</v>
      </c>
      <c r="L646"/>
      <c r="M646"/>
      <c r="N646"/>
      <c r="O646"/>
      <c r="P646"/>
      <c r="T646">
        <v>518</v>
      </c>
      <c r="U646" s="7">
        <v>3</v>
      </c>
      <c r="V646" t="s">
        <v>966</v>
      </c>
      <c r="W646" s="257" t="s">
        <v>993</v>
      </c>
      <c r="X646" t="s">
        <v>994</v>
      </c>
      <c r="Y646" s="316" t="s">
        <v>453</v>
      </c>
      <c r="Z646" s="8">
        <v>150</v>
      </c>
      <c r="AA646" s="202" t="str">
        <f t="shared" si="11"/>
        <v>Молоко коровье</v>
      </c>
    </row>
    <row r="647" spans="1:27" ht="15" customHeight="1" x14ac:dyDescent="0.25">
      <c r="A647" t="s">
        <v>153</v>
      </c>
      <c r="L647"/>
      <c r="M647"/>
      <c r="N647"/>
      <c r="O647"/>
      <c r="P647"/>
      <c r="T647">
        <v>519</v>
      </c>
      <c r="U647" s="7">
        <v>3</v>
      </c>
      <c r="V647" t="s">
        <v>966</v>
      </c>
      <c r="W647" s="257" t="s">
        <v>993</v>
      </c>
      <c r="X647" t="s">
        <v>994</v>
      </c>
      <c r="Y647" s="316" t="s">
        <v>330</v>
      </c>
      <c r="Z647" s="8">
        <v>115.6</v>
      </c>
      <c r="AA647" s="202" t="str">
        <f t="shared" si="11"/>
        <v>Вода</v>
      </c>
    </row>
    <row r="648" spans="1:27" ht="15" customHeight="1" x14ac:dyDescent="0.25">
      <c r="A648" t="s">
        <v>153</v>
      </c>
      <c r="L648"/>
      <c r="M648"/>
      <c r="N648"/>
      <c r="O648"/>
      <c r="P648"/>
      <c r="T648">
        <v>520</v>
      </c>
      <c r="U648" s="7">
        <v>3</v>
      </c>
      <c r="V648" t="s">
        <v>966</v>
      </c>
      <c r="W648" s="257" t="s">
        <v>993</v>
      </c>
      <c r="X648" t="s">
        <v>994</v>
      </c>
      <c r="Y648" s="316" t="s">
        <v>53</v>
      </c>
      <c r="Z648" s="8">
        <v>10</v>
      </c>
      <c r="AA648" s="202" t="str">
        <f t="shared" si="11"/>
        <v>Сахар</v>
      </c>
    </row>
    <row r="649" spans="1:27" ht="15" customHeight="1" x14ac:dyDescent="0.25">
      <c r="A649" t="s">
        <v>153</v>
      </c>
      <c r="L649"/>
      <c r="M649"/>
      <c r="N649"/>
      <c r="O649"/>
      <c r="P649"/>
      <c r="T649">
        <v>521</v>
      </c>
      <c r="U649" s="7">
        <v>3</v>
      </c>
      <c r="V649" t="s">
        <v>966</v>
      </c>
      <c r="W649" s="257" t="s">
        <v>993</v>
      </c>
      <c r="X649" t="s">
        <v>994</v>
      </c>
      <c r="Y649" s="316" t="s">
        <v>326</v>
      </c>
      <c r="Z649" s="8">
        <v>3</v>
      </c>
      <c r="AA649" s="202" t="str">
        <f t="shared" si="11"/>
        <v>Соль</v>
      </c>
    </row>
    <row r="650" spans="1:27" ht="15" customHeight="1" x14ac:dyDescent="0.25">
      <c r="A650" t="s">
        <v>153</v>
      </c>
      <c r="L650"/>
      <c r="M650"/>
      <c r="N650"/>
      <c r="O650"/>
      <c r="P650"/>
      <c r="T650">
        <v>522</v>
      </c>
      <c r="U650" s="7">
        <v>3</v>
      </c>
      <c r="V650" t="s">
        <v>966</v>
      </c>
      <c r="W650" s="257" t="s">
        <v>993</v>
      </c>
      <c r="X650" t="s">
        <v>994</v>
      </c>
      <c r="Y650" s="316" t="s">
        <v>558</v>
      </c>
      <c r="Z650" s="8">
        <v>332</v>
      </c>
      <c r="AA650" s="202" t="str">
        <f t="shared" si="11"/>
        <v>Общая масса готового блюда, г</v>
      </c>
    </row>
    <row r="651" spans="1:27" ht="15" customHeight="1" x14ac:dyDescent="0.25">
      <c r="A651" t="s">
        <v>153</v>
      </c>
      <c r="L651"/>
      <c r="M651"/>
      <c r="N651"/>
      <c r="O651"/>
      <c r="P651"/>
      <c r="T651">
        <v>522</v>
      </c>
      <c r="U651" s="7">
        <v>3</v>
      </c>
      <c r="V651" t="s">
        <v>966</v>
      </c>
      <c r="W651" s="257" t="s">
        <v>993</v>
      </c>
      <c r="X651" t="s">
        <v>994</v>
      </c>
      <c r="Y651" s="316" t="s">
        <v>109</v>
      </c>
      <c r="Z651" s="8">
        <v>415</v>
      </c>
      <c r="AA651" s="202" t="str">
        <f t="shared" si="11"/>
        <v>ОКГ</v>
      </c>
    </row>
    <row r="652" spans="1:27" ht="15" customHeight="1" x14ac:dyDescent="0.25">
      <c r="A652" t="s">
        <v>153</v>
      </c>
      <c r="L652"/>
      <c r="M652"/>
      <c r="N652"/>
      <c r="O652"/>
      <c r="P652"/>
      <c r="T652">
        <v>535</v>
      </c>
      <c r="U652" s="7">
        <v>3</v>
      </c>
      <c r="V652" t="s">
        <v>966</v>
      </c>
      <c r="W652" s="257" t="s">
        <v>995</v>
      </c>
      <c r="X652" t="s">
        <v>996</v>
      </c>
      <c r="Y652" s="316" t="s">
        <v>219</v>
      </c>
      <c r="Z652" s="8">
        <v>83</v>
      </c>
      <c r="AA652" s="202" t="str">
        <f t="shared" si="11"/>
        <v>Манная</v>
      </c>
    </row>
    <row r="653" spans="1:27" ht="15" customHeight="1" x14ac:dyDescent="0.25">
      <c r="A653" t="s">
        <v>153</v>
      </c>
      <c r="L653"/>
      <c r="M653"/>
      <c r="N653"/>
      <c r="O653"/>
      <c r="P653"/>
      <c r="T653">
        <v>536</v>
      </c>
      <c r="U653" s="7">
        <v>3</v>
      </c>
      <c r="V653" t="s">
        <v>966</v>
      </c>
      <c r="W653" s="257" t="s">
        <v>995</v>
      </c>
      <c r="X653" t="s">
        <v>996</v>
      </c>
      <c r="Y653" s="316" t="s">
        <v>453</v>
      </c>
      <c r="Z653" s="8">
        <v>150</v>
      </c>
      <c r="AA653" s="202" t="str">
        <f t="shared" si="11"/>
        <v>Молоко коровье</v>
      </c>
    </row>
    <row r="654" spans="1:27" ht="15" customHeight="1" x14ac:dyDescent="0.25">
      <c r="A654" t="s">
        <v>153</v>
      </c>
      <c r="L654"/>
      <c r="M654"/>
      <c r="N654"/>
      <c r="O654"/>
      <c r="P654"/>
      <c r="T654">
        <v>537</v>
      </c>
      <c r="U654" s="7">
        <v>3</v>
      </c>
      <c r="V654" t="s">
        <v>966</v>
      </c>
      <c r="W654" s="257" t="s">
        <v>995</v>
      </c>
      <c r="X654" t="s">
        <v>996</v>
      </c>
      <c r="Y654" s="316" t="s">
        <v>330</v>
      </c>
      <c r="Z654" s="8">
        <v>157.1</v>
      </c>
      <c r="AA654" s="202" t="str">
        <f t="shared" si="11"/>
        <v>Вода</v>
      </c>
    </row>
    <row r="655" spans="1:27" ht="15" customHeight="1" x14ac:dyDescent="0.25">
      <c r="A655" t="s">
        <v>153</v>
      </c>
      <c r="L655"/>
      <c r="M655"/>
      <c r="N655"/>
      <c r="O655"/>
      <c r="P655"/>
      <c r="T655">
        <v>538</v>
      </c>
      <c r="U655" s="7">
        <v>3</v>
      </c>
      <c r="V655" t="s">
        <v>966</v>
      </c>
      <c r="W655" s="257" t="s">
        <v>995</v>
      </c>
      <c r="X655" t="s">
        <v>996</v>
      </c>
      <c r="Y655" s="316" t="s">
        <v>53</v>
      </c>
      <c r="Z655" s="8">
        <v>10</v>
      </c>
      <c r="AA655" s="202" t="str">
        <f t="shared" si="11"/>
        <v>Сахар</v>
      </c>
    </row>
    <row r="656" spans="1:27" ht="15" customHeight="1" x14ac:dyDescent="0.25">
      <c r="A656" t="s">
        <v>153</v>
      </c>
      <c r="L656"/>
      <c r="M656"/>
      <c r="N656"/>
      <c r="O656"/>
      <c r="P656"/>
      <c r="T656">
        <v>539</v>
      </c>
      <c r="U656" s="7">
        <v>3</v>
      </c>
      <c r="V656" t="s">
        <v>966</v>
      </c>
      <c r="W656" s="257" t="s">
        <v>995</v>
      </c>
      <c r="X656" t="s">
        <v>996</v>
      </c>
      <c r="Y656" s="316" t="s">
        <v>326</v>
      </c>
      <c r="Z656" s="8">
        <v>3</v>
      </c>
      <c r="AA656" s="202" t="str">
        <f t="shared" si="11"/>
        <v>Соль</v>
      </c>
    </row>
    <row r="657" spans="1:27" ht="15" customHeight="1" x14ac:dyDescent="0.25">
      <c r="A657" t="s">
        <v>153</v>
      </c>
      <c r="L657"/>
      <c r="M657"/>
      <c r="N657"/>
      <c r="O657"/>
      <c r="P657"/>
      <c r="T657">
        <v>540</v>
      </c>
      <c r="U657" s="7">
        <v>3</v>
      </c>
      <c r="V657" t="s">
        <v>966</v>
      </c>
      <c r="W657" s="257" t="s">
        <v>995</v>
      </c>
      <c r="X657" t="s">
        <v>996</v>
      </c>
      <c r="Y657" s="316" t="s">
        <v>558</v>
      </c>
      <c r="Z657" s="8">
        <v>374</v>
      </c>
      <c r="AA657" s="202" t="str">
        <f t="shared" si="11"/>
        <v>Общая масса готового блюда, г</v>
      </c>
    </row>
    <row r="658" spans="1:27" ht="15" customHeight="1" x14ac:dyDescent="0.25">
      <c r="A658" t="s">
        <v>153</v>
      </c>
      <c r="L658"/>
      <c r="M658"/>
      <c r="N658"/>
      <c r="O658"/>
      <c r="P658"/>
      <c r="T658">
        <v>540</v>
      </c>
      <c r="U658" s="7">
        <v>3</v>
      </c>
      <c r="V658" t="s">
        <v>966</v>
      </c>
      <c r="W658" s="257" t="s">
        <v>995</v>
      </c>
      <c r="X658" t="s">
        <v>996</v>
      </c>
      <c r="Y658" s="316" t="s">
        <v>109</v>
      </c>
      <c r="Z658" s="8">
        <v>415</v>
      </c>
      <c r="AA658" s="202" t="str">
        <f t="shared" si="11"/>
        <v>ОКГ</v>
      </c>
    </row>
    <row r="659" spans="1:27" ht="15" customHeight="1" x14ac:dyDescent="0.25">
      <c r="A659" t="s">
        <v>153</v>
      </c>
      <c r="L659"/>
      <c r="M659"/>
      <c r="N659"/>
      <c r="O659"/>
      <c r="P659"/>
      <c r="T659">
        <v>541</v>
      </c>
      <c r="U659" s="7">
        <v>3</v>
      </c>
      <c r="V659" t="s">
        <v>966</v>
      </c>
      <c r="W659" s="257" t="s">
        <v>997</v>
      </c>
      <c r="X659" t="s">
        <v>998</v>
      </c>
      <c r="Y659" s="316" t="s">
        <v>427</v>
      </c>
      <c r="Z659" s="8">
        <v>83</v>
      </c>
      <c r="AA659" s="202" t="str">
        <f t="shared" si="11"/>
        <v>Овсяная</v>
      </c>
    </row>
    <row r="660" spans="1:27" ht="15" customHeight="1" x14ac:dyDescent="0.25">
      <c r="A660" t="s">
        <v>153</v>
      </c>
      <c r="L660"/>
      <c r="M660"/>
      <c r="N660"/>
      <c r="O660"/>
      <c r="P660"/>
      <c r="T660">
        <v>542</v>
      </c>
      <c r="U660" s="7">
        <v>3</v>
      </c>
      <c r="V660" t="s">
        <v>966</v>
      </c>
      <c r="W660" s="257" t="s">
        <v>997</v>
      </c>
      <c r="X660" t="s">
        <v>998</v>
      </c>
      <c r="Y660" s="316" t="s">
        <v>453</v>
      </c>
      <c r="Z660" s="8">
        <v>150</v>
      </c>
      <c r="AA660" s="202" t="str">
        <f t="shared" si="11"/>
        <v>Молоко коровье</v>
      </c>
    </row>
    <row r="661" spans="1:27" ht="15" customHeight="1" x14ac:dyDescent="0.25">
      <c r="A661" t="s">
        <v>153</v>
      </c>
      <c r="L661"/>
      <c r="M661"/>
      <c r="N661"/>
      <c r="O661"/>
      <c r="P661"/>
      <c r="T661">
        <v>543</v>
      </c>
      <c r="U661" s="7">
        <v>3</v>
      </c>
      <c r="V661" t="s">
        <v>966</v>
      </c>
      <c r="W661" s="257" t="s">
        <v>997</v>
      </c>
      <c r="X661" t="s">
        <v>998</v>
      </c>
      <c r="Y661" s="316" t="s">
        <v>330</v>
      </c>
      <c r="Z661" s="8">
        <v>115.6</v>
      </c>
      <c r="AA661" s="202" t="str">
        <f t="shared" si="11"/>
        <v>Вода</v>
      </c>
    </row>
    <row r="662" spans="1:27" ht="15" customHeight="1" x14ac:dyDescent="0.25">
      <c r="A662" t="s">
        <v>153</v>
      </c>
      <c r="L662"/>
      <c r="M662"/>
      <c r="N662"/>
      <c r="O662"/>
      <c r="P662"/>
      <c r="T662">
        <v>544</v>
      </c>
      <c r="U662" s="7">
        <v>3</v>
      </c>
      <c r="V662" t="s">
        <v>966</v>
      </c>
      <c r="W662" s="257" t="s">
        <v>997</v>
      </c>
      <c r="X662" t="s">
        <v>998</v>
      </c>
      <c r="Y662" s="316" t="s">
        <v>53</v>
      </c>
      <c r="Z662" s="8">
        <v>10</v>
      </c>
      <c r="AA662" s="202" t="str">
        <f t="shared" si="11"/>
        <v>Сахар</v>
      </c>
    </row>
    <row r="663" spans="1:27" ht="15" customHeight="1" x14ac:dyDescent="0.25">
      <c r="A663" t="s">
        <v>153</v>
      </c>
      <c r="L663"/>
      <c r="M663"/>
      <c r="N663"/>
      <c r="O663"/>
      <c r="P663"/>
      <c r="T663">
        <v>545</v>
      </c>
      <c r="U663" s="7">
        <v>3</v>
      </c>
      <c r="V663" t="s">
        <v>966</v>
      </c>
      <c r="W663" s="257" t="s">
        <v>997</v>
      </c>
      <c r="X663" t="s">
        <v>998</v>
      </c>
      <c r="Y663" s="316" t="s">
        <v>326</v>
      </c>
      <c r="Z663" s="8">
        <v>3</v>
      </c>
      <c r="AA663" s="202" t="str">
        <f t="shared" si="11"/>
        <v>Соль</v>
      </c>
    </row>
    <row r="664" spans="1:27" ht="15" customHeight="1" x14ac:dyDescent="0.25">
      <c r="A664" t="s">
        <v>153</v>
      </c>
      <c r="L664"/>
      <c r="M664"/>
      <c r="N664"/>
      <c r="O664"/>
      <c r="P664"/>
      <c r="T664">
        <v>546</v>
      </c>
      <c r="U664" s="7">
        <v>3</v>
      </c>
      <c r="V664" t="s">
        <v>966</v>
      </c>
      <c r="W664" s="257" t="s">
        <v>997</v>
      </c>
      <c r="X664" t="s">
        <v>998</v>
      </c>
      <c r="Y664" s="316" t="s">
        <v>558</v>
      </c>
      <c r="Z664" s="8">
        <v>332</v>
      </c>
      <c r="AA664" s="202" t="str">
        <f t="shared" si="11"/>
        <v>Общая масса готового блюда, г</v>
      </c>
    </row>
    <row r="665" spans="1:27" ht="15" customHeight="1" x14ac:dyDescent="0.25">
      <c r="A665" t="s">
        <v>153</v>
      </c>
      <c r="L665"/>
      <c r="M665"/>
      <c r="N665"/>
      <c r="O665"/>
      <c r="P665"/>
      <c r="T665">
        <v>546</v>
      </c>
      <c r="U665" s="7">
        <v>3</v>
      </c>
      <c r="V665" t="s">
        <v>966</v>
      </c>
      <c r="W665" s="257" t="s">
        <v>997</v>
      </c>
      <c r="X665" t="s">
        <v>998</v>
      </c>
      <c r="Y665" s="316" t="s">
        <v>109</v>
      </c>
      <c r="Z665" s="8">
        <v>415</v>
      </c>
      <c r="AA665" s="202" t="str">
        <f t="shared" si="11"/>
        <v>ОКГ</v>
      </c>
    </row>
    <row r="666" spans="1:27" ht="15" customHeight="1" x14ac:dyDescent="0.25">
      <c r="A666" t="s">
        <v>153</v>
      </c>
      <c r="L666"/>
      <c r="M666"/>
      <c r="N666"/>
      <c r="O666"/>
      <c r="P666"/>
      <c r="T666">
        <v>523</v>
      </c>
      <c r="U666" s="7">
        <v>3</v>
      </c>
      <c r="V666" t="s">
        <v>966</v>
      </c>
      <c r="W666" s="257" t="s">
        <v>999</v>
      </c>
      <c r="X666" t="s">
        <v>1552</v>
      </c>
      <c r="Y666" s="316" t="s">
        <v>31</v>
      </c>
      <c r="Z666" s="8">
        <v>83</v>
      </c>
      <c r="AA666" s="202" t="str">
        <f t="shared" si="11"/>
        <v>Перловая</v>
      </c>
    </row>
    <row r="667" spans="1:27" ht="15" customHeight="1" x14ac:dyDescent="0.25">
      <c r="A667" t="s">
        <v>153</v>
      </c>
      <c r="L667"/>
      <c r="M667"/>
      <c r="N667"/>
      <c r="O667"/>
      <c r="P667"/>
      <c r="T667">
        <v>524</v>
      </c>
      <c r="U667" s="7">
        <v>3</v>
      </c>
      <c r="V667" t="s">
        <v>966</v>
      </c>
      <c r="W667" s="257" t="s">
        <v>999</v>
      </c>
      <c r="X667" t="s">
        <v>1552</v>
      </c>
      <c r="Y667" s="316" t="s">
        <v>453</v>
      </c>
      <c r="Z667" s="8">
        <v>150</v>
      </c>
      <c r="AA667" s="202" t="str">
        <f t="shared" si="11"/>
        <v>Молоко коровье</v>
      </c>
    </row>
    <row r="668" spans="1:27" ht="15" customHeight="1" x14ac:dyDescent="0.25">
      <c r="A668" t="s">
        <v>153</v>
      </c>
      <c r="L668"/>
      <c r="M668"/>
      <c r="N668"/>
      <c r="O668"/>
      <c r="P668"/>
      <c r="T668">
        <v>525</v>
      </c>
      <c r="U668" s="7">
        <v>3</v>
      </c>
      <c r="V668" t="s">
        <v>966</v>
      </c>
      <c r="W668" s="257" t="s">
        <v>999</v>
      </c>
      <c r="X668" t="s">
        <v>1552</v>
      </c>
      <c r="Y668" s="316" t="s">
        <v>330</v>
      </c>
      <c r="Z668" s="8">
        <v>115.6</v>
      </c>
      <c r="AA668" s="202" t="str">
        <f t="shared" si="11"/>
        <v>Вода</v>
      </c>
    </row>
    <row r="669" spans="1:27" ht="15" customHeight="1" x14ac:dyDescent="0.25">
      <c r="A669" t="s">
        <v>153</v>
      </c>
      <c r="L669"/>
      <c r="M669"/>
      <c r="N669"/>
      <c r="O669"/>
      <c r="P669"/>
      <c r="T669">
        <v>526</v>
      </c>
      <c r="U669" s="7">
        <v>3</v>
      </c>
      <c r="V669" t="s">
        <v>966</v>
      </c>
      <c r="W669" s="257" t="s">
        <v>999</v>
      </c>
      <c r="X669" t="s">
        <v>1552</v>
      </c>
      <c r="Y669" s="316" t="s">
        <v>53</v>
      </c>
      <c r="Z669" s="8">
        <v>10</v>
      </c>
      <c r="AA669" s="202" t="str">
        <f t="shared" si="11"/>
        <v>Сахар</v>
      </c>
    </row>
    <row r="670" spans="1:27" ht="15" customHeight="1" x14ac:dyDescent="0.25">
      <c r="A670" t="s">
        <v>153</v>
      </c>
      <c r="L670"/>
      <c r="M670"/>
      <c r="N670"/>
      <c r="O670"/>
      <c r="P670"/>
      <c r="T670">
        <v>527</v>
      </c>
      <c r="U670" s="7">
        <v>3</v>
      </c>
      <c r="V670" t="s">
        <v>966</v>
      </c>
      <c r="W670" s="257" t="s">
        <v>999</v>
      </c>
      <c r="X670" t="s">
        <v>1552</v>
      </c>
      <c r="Y670" s="316" t="s">
        <v>326</v>
      </c>
      <c r="Z670" s="8">
        <v>3</v>
      </c>
      <c r="AA670" s="202" t="str">
        <f t="shared" si="11"/>
        <v>Соль</v>
      </c>
    </row>
    <row r="671" spans="1:27" ht="15" customHeight="1" x14ac:dyDescent="0.25">
      <c r="A671" t="s">
        <v>153</v>
      </c>
      <c r="L671"/>
      <c r="M671"/>
      <c r="N671"/>
      <c r="O671"/>
      <c r="P671"/>
      <c r="T671">
        <v>528</v>
      </c>
      <c r="U671" s="7">
        <v>3</v>
      </c>
      <c r="V671" t="s">
        <v>966</v>
      </c>
      <c r="W671" s="257" t="s">
        <v>999</v>
      </c>
      <c r="X671" t="s">
        <v>1552</v>
      </c>
      <c r="Y671" s="316" t="s">
        <v>558</v>
      </c>
      <c r="Z671" s="8">
        <v>332</v>
      </c>
      <c r="AA671" s="202" t="str">
        <f t="shared" si="11"/>
        <v>Общая масса готового блюда, г</v>
      </c>
    </row>
    <row r="672" spans="1:27" ht="15" customHeight="1" x14ac:dyDescent="0.25">
      <c r="A672" t="s">
        <v>153</v>
      </c>
      <c r="L672"/>
      <c r="M672"/>
      <c r="N672"/>
      <c r="O672"/>
      <c r="P672"/>
      <c r="T672">
        <v>528</v>
      </c>
      <c r="U672" s="7">
        <v>3</v>
      </c>
      <c r="V672" t="s">
        <v>966</v>
      </c>
      <c r="W672" s="257" t="s">
        <v>999</v>
      </c>
      <c r="X672" t="s">
        <v>1552</v>
      </c>
      <c r="Y672" s="316" t="s">
        <v>109</v>
      </c>
      <c r="Z672" s="8">
        <v>415</v>
      </c>
      <c r="AA672" s="202" t="str">
        <f t="shared" si="11"/>
        <v>ОКГ</v>
      </c>
    </row>
    <row r="673" spans="1:27" ht="15" customHeight="1" x14ac:dyDescent="0.25">
      <c r="A673" t="s">
        <v>153</v>
      </c>
      <c r="L673"/>
      <c r="M673"/>
      <c r="N673"/>
      <c r="O673"/>
      <c r="P673"/>
      <c r="T673">
        <v>523</v>
      </c>
      <c r="U673" s="7">
        <v>3</v>
      </c>
      <c r="V673" t="s">
        <v>966</v>
      </c>
      <c r="W673" s="257" t="s">
        <v>999</v>
      </c>
      <c r="X673" t="s">
        <v>1000</v>
      </c>
      <c r="Y673" s="316" t="s">
        <v>214</v>
      </c>
      <c r="Z673" s="8">
        <v>83</v>
      </c>
      <c r="AA673" s="202" t="str">
        <f t="shared" si="11"/>
        <v>Пшено</v>
      </c>
    </row>
    <row r="674" spans="1:27" ht="15" customHeight="1" x14ac:dyDescent="0.25">
      <c r="A674" t="s">
        <v>153</v>
      </c>
      <c r="L674"/>
      <c r="M674"/>
      <c r="N674"/>
      <c r="O674"/>
      <c r="P674"/>
      <c r="T674">
        <v>524</v>
      </c>
      <c r="U674" s="7">
        <v>3</v>
      </c>
      <c r="V674" t="s">
        <v>966</v>
      </c>
      <c r="W674" s="257" t="s">
        <v>999</v>
      </c>
      <c r="X674" t="s">
        <v>1000</v>
      </c>
      <c r="Y674" s="316" t="s">
        <v>453</v>
      </c>
      <c r="Z674" s="8">
        <v>150</v>
      </c>
      <c r="AA674" s="202" t="str">
        <f t="shared" si="11"/>
        <v>Молоко коровье</v>
      </c>
    </row>
    <row r="675" spans="1:27" ht="15" customHeight="1" x14ac:dyDescent="0.25">
      <c r="A675" t="s">
        <v>153</v>
      </c>
      <c r="L675"/>
      <c r="M675"/>
      <c r="N675"/>
      <c r="O675"/>
      <c r="P675"/>
      <c r="T675">
        <v>525</v>
      </c>
      <c r="U675" s="7">
        <v>3</v>
      </c>
      <c r="V675" t="s">
        <v>966</v>
      </c>
      <c r="W675" s="257" t="s">
        <v>999</v>
      </c>
      <c r="X675" t="s">
        <v>1000</v>
      </c>
      <c r="Y675" s="316" t="s">
        <v>330</v>
      </c>
      <c r="Z675" s="8">
        <v>115.6</v>
      </c>
      <c r="AA675" s="202" t="str">
        <f t="shared" si="11"/>
        <v>Вода</v>
      </c>
    </row>
    <row r="676" spans="1:27" ht="15" customHeight="1" x14ac:dyDescent="0.25">
      <c r="A676" t="s">
        <v>153</v>
      </c>
      <c r="L676"/>
      <c r="M676"/>
      <c r="N676"/>
      <c r="O676"/>
      <c r="P676"/>
      <c r="T676">
        <v>526</v>
      </c>
      <c r="U676" s="7">
        <v>3</v>
      </c>
      <c r="V676" t="s">
        <v>966</v>
      </c>
      <c r="W676" s="257" t="s">
        <v>999</v>
      </c>
      <c r="X676" t="s">
        <v>1000</v>
      </c>
      <c r="Y676" s="316" t="s">
        <v>53</v>
      </c>
      <c r="Z676" s="8">
        <v>10</v>
      </c>
      <c r="AA676" s="202" t="str">
        <f t="shared" si="11"/>
        <v>Сахар</v>
      </c>
    </row>
    <row r="677" spans="1:27" ht="15" customHeight="1" x14ac:dyDescent="0.25">
      <c r="A677" t="s">
        <v>153</v>
      </c>
      <c r="L677"/>
      <c r="M677"/>
      <c r="N677"/>
      <c r="O677"/>
      <c r="P677"/>
      <c r="T677">
        <v>527</v>
      </c>
      <c r="U677" s="7">
        <v>3</v>
      </c>
      <c r="V677" t="s">
        <v>966</v>
      </c>
      <c r="W677" s="257" t="s">
        <v>999</v>
      </c>
      <c r="X677" t="s">
        <v>1000</v>
      </c>
      <c r="Y677" s="316" t="s">
        <v>326</v>
      </c>
      <c r="Z677" s="8">
        <v>3</v>
      </c>
      <c r="AA677" s="202" t="str">
        <f t="shared" si="11"/>
        <v>Соль</v>
      </c>
    </row>
    <row r="678" spans="1:27" ht="15" customHeight="1" x14ac:dyDescent="0.25">
      <c r="A678" t="s">
        <v>153</v>
      </c>
      <c r="L678"/>
      <c r="M678"/>
      <c r="N678"/>
      <c r="O678"/>
      <c r="P678"/>
      <c r="T678">
        <v>528</v>
      </c>
      <c r="U678" s="7">
        <v>3</v>
      </c>
      <c r="V678" t="s">
        <v>966</v>
      </c>
      <c r="W678" s="257" t="s">
        <v>999</v>
      </c>
      <c r="X678" t="s">
        <v>1000</v>
      </c>
      <c r="Y678" s="316" t="s">
        <v>558</v>
      </c>
      <c r="Z678" s="8">
        <v>332</v>
      </c>
      <c r="AA678" s="202" t="str">
        <f t="shared" si="11"/>
        <v>Общая масса готового блюда, г</v>
      </c>
    </row>
    <row r="679" spans="1:27" ht="15" customHeight="1" x14ac:dyDescent="0.25">
      <c r="A679" t="s">
        <v>153</v>
      </c>
      <c r="L679"/>
      <c r="M679"/>
      <c r="N679"/>
      <c r="O679"/>
      <c r="P679"/>
      <c r="T679">
        <v>528</v>
      </c>
      <c r="U679" s="7">
        <v>3</v>
      </c>
      <c r="V679" t="s">
        <v>966</v>
      </c>
      <c r="W679" s="257" t="s">
        <v>999</v>
      </c>
      <c r="X679" t="s">
        <v>1000</v>
      </c>
      <c r="Y679" s="316" t="s">
        <v>109</v>
      </c>
      <c r="Z679" s="8">
        <v>415</v>
      </c>
      <c r="AA679" s="202" t="str">
        <f t="shared" si="11"/>
        <v>ОКГ</v>
      </c>
    </row>
    <row r="680" spans="1:27" ht="15" customHeight="1" x14ac:dyDescent="0.25">
      <c r="A680" t="s">
        <v>153</v>
      </c>
      <c r="L680"/>
      <c r="M680"/>
      <c r="N680"/>
      <c r="O680"/>
      <c r="P680"/>
      <c r="T680">
        <v>529</v>
      </c>
      <c r="U680" s="7">
        <v>3</v>
      </c>
      <c r="V680" t="s">
        <v>966</v>
      </c>
      <c r="W680" s="257" t="s">
        <v>1001</v>
      </c>
      <c r="X680" t="s">
        <v>1002</v>
      </c>
      <c r="Y680" s="316" t="s">
        <v>213</v>
      </c>
      <c r="Z680" s="8">
        <v>83</v>
      </c>
      <c r="AA680" s="202" t="str">
        <f t="shared" si="11"/>
        <v>Пшено</v>
      </c>
    </row>
    <row r="681" spans="1:27" ht="15" customHeight="1" x14ac:dyDescent="0.25">
      <c r="A681" t="s">
        <v>153</v>
      </c>
      <c r="L681"/>
      <c r="M681"/>
      <c r="N681"/>
      <c r="O681"/>
      <c r="P681"/>
      <c r="T681">
        <v>530</v>
      </c>
      <c r="U681" s="7">
        <v>3</v>
      </c>
      <c r="V681" t="s">
        <v>966</v>
      </c>
      <c r="W681" s="257" t="s">
        <v>1001</v>
      </c>
      <c r="X681" t="s">
        <v>1002</v>
      </c>
      <c r="Y681" s="316" t="s">
        <v>453</v>
      </c>
      <c r="Z681" s="8">
        <v>150</v>
      </c>
      <c r="AA681" s="202" t="str">
        <f t="shared" si="11"/>
        <v>Молоко коровье</v>
      </c>
    </row>
    <row r="682" spans="1:27" ht="15" customHeight="1" x14ac:dyDescent="0.25">
      <c r="A682" t="s">
        <v>153</v>
      </c>
      <c r="L682"/>
      <c r="M682"/>
      <c r="N682"/>
      <c r="O682"/>
      <c r="P682"/>
      <c r="T682">
        <v>531</v>
      </c>
      <c r="U682" s="7">
        <v>3</v>
      </c>
      <c r="V682" t="s">
        <v>966</v>
      </c>
      <c r="W682" s="257" t="s">
        <v>1001</v>
      </c>
      <c r="X682" t="s">
        <v>1002</v>
      </c>
      <c r="Y682" s="316" t="s">
        <v>330</v>
      </c>
      <c r="Z682" s="8">
        <v>115.6</v>
      </c>
      <c r="AA682" s="202" t="str">
        <f t="shared" si="11"/>
        <v>Вода</v>
      </c>
    </row>
    <row r="683" spans="1:27" ht="15" customHeight="1" x14ac:dyDescent="0.25">
      <c r="A683" t="s">
        <v>153</v>
      </c>
      <c r="L683"/>
      <c r="M683"/>
      <c r="N683"/>
      <c r="O683"/>
      <c r="P683"/>
      <c r="T683">
        <v>532</v>
      </c>
      <c r="U683" s="7">
        <v>3</v>
      </c>
      <c r="V683" t="s">
        <v>966</v>
      </c>
      <c r="W683" s="257" t="s">
        <v>1001</v>
      </c>
      <c r="X683" t="s">
        <v>1002</v>
      </c>
      <c r="Y683" s="316" t="s">
        <v>53</v>
      </c>
      <c r="Z683" s="8">
        <v>10</v>
      </c>
      <c r="AA683" s="202" t="str">
        <f t="shared" si="11"/>
        <v>Сахар</v>
      </c>
    </row>
    <row r="684" spans="1:27" ht="15" customHeight="1" x14ac:dyDescent="0.25">
      <c r="A684" t="s">
        <v>153</v>
      </c>
      <c r="L684"/>
      <c r="M684"/>
      <c r="N684"/>
      <c r="O684"/>
      <c r="P684"/>
      <c r="T684">
        <v>533</v>
      </c>
      <c r="U684" s="7">
        <v>3</v>
      </c>
      <c r="V684" t="s">
        <v>966</v>
      </c>
      <c r="W684" s="257" t="s">
        <v>1001</v>
      </c>
      <c r="X684" t="s">
        <v>1002</v>
      </c>
      <c r="Y684" s="316" t="s">
        <v>326</v>
      </c>
      <c r="Z684" s="8">
        <v>3</v>
      </c>
      <c r="AA684" s="202" t="str">
        <f t="shared" si="11"/>
        <v>Соль</v>
      </c>
    </row>
    <row r="685" spans="1:27" ht="15" customHeight="1" x14ac:dyDescent="0.25">
      <c r="A685" t="s">
        <v>153</v>
      </c>
      <c r="L685"/>
      <c r="M685"/>
      <c r="N685"/>
      <c r="O685"/>
      <c r="P685"/>
      <c r="T685">
        <v>534</v>
      </c>
      <c r="U685" s="7">
        <v>3</v>
      </c>
      <c r="V685" t="s">
        <v>966</v>
      </c>
      <c r="W685" s="257" t="s">
        <v>1001</v>
      </c>
      <c r="X685" t="s">
        <v>1002</v>
      </c>
      <c r="Y685" s="316" t="s">
        <v>558</v>
      </c>
      <c r="Z685" s="8">
        <v>332</v>
      </c>
      <c r="AA685" s="202" t="str">
        <f t="shared" si="11"/>
        <v>Общая масса готового блюда, г</v>
      </c>
    </row>
    <row r="686" spans="1:27" ht="15" customHeight="1" x14ac:dyDescent="0.25">
      <c r="A686" t="s">
        <v>153</v>
      </c>
      <c r="L686"/>
      <c r="M686"/>
      <c r="N686"/>
      <c r="O686"/>
      <c r="P686"/>
      <c r="T686">
        <v>534</v>
      </c>
      <c r="U686" s="7">
        <v>3</v>
      </c>
      <c r="V686" t="s">
        <v>966</v>
      </c>
      <c r="W686" s="257" t="s">
        <v>1001</v>
      </c>
      <c r="X686" t="s">
        <v>1002</v>
      </c>
      <c r="Y686" s="316" t="s">
        <v>109</v>
      </c>
      <c r="Z686" s="8">
        <v>415</v>
      </c>
      <c r="AA686" s="202" t="str">
        <f t="shared" si="11"/>
        <v>ОКГ</v>
      </c>
    </row>
    <row r="687" spans="1:27" ht="15" customHeight="1" x14ac:dyDescent="0.25">
      <c r="A687" t="s">
        <v>153</v>
      </c>
      <c r="L687"/>
      <c r="M687"/>
      <c r="N687"/>
      <c r="O687"/>
      <c r="P687"/>
      <c r="T687">
        <v>511</v>
      </c>
      <c r="U687" s="7">
        <v>3</v>
      </c>
      <c r="V687" t="s">
        <v>966</v>
      </c>
      <c r="W687" s="257" t="s">
        <v>1003</v>
      </c>
      <c r="X687" t="s">
        <v>1004</v>
      </c>
      <c r="Y687" s="316" t="s">
        <v>432</v>
      </c>
      <c r="Z687" s="8">
        <v>83</v>
      </c>
      <c r="AA687" s="202" t="str">
        <f t="shared" si="11"/>
        <v>Рис</v>
      </c>
    </row>
    <row r="688" spans="1:27" ht="15" customHeight="1" x14ac:dyDescent="0.25">
      <c r="A688" t="s">
        <v>153</v>
      </c>
      <c r="L688"/>
      <c r="M688"/>
      <c r="N688"/>
      <c r="O688"/>
      <c r="P688"/>
      <c r="T688">
        <v>512</v>
      </c>
      <c r="U688" s="7">
        <v>3</v>
      </c>
      <c r="V688" t="s">
        <v>966</v>
      </c>
      <c r="W688" s="257" t="s">
        <v>1003</v>
      </c>
      <c r="X688" t="s">
        <v>1004</v>
      </c>
      <c r="Y688" s="316" t="s">
        <v>453</v>
      </c>
      <c r="Z688" s="8">
        <v>200</v>
      </c>
      <c r="AA688" s="202" t="str">
        <f t="shared" si="11"/>
        <v>Молоко коровье</v>
      </c>
    </row>
    <row r="689" spans="1:27" ht="15" customHeight="1" x14ac:dyDescent="0.25">
      <c r="A689" t="s">
        <v>153</v>
      </c>
      <c r="L689"/>
      <c r="M689"/>
      <c r="N689"/>
      <c r="O689"/>
      <c r="P689"/>
      <c r="T689">
        <v>513</v>
      </c>
      <c r="U689" s="7">
        <v>3</v>
      </c>
      <c r="V689" t="s">
        <v>966</v>
      </c>
      <c r="W689" s="257" t="s">
        <v>1003</v>
      </c>
      <c r="X689" t="s">
        <v>1004</v>
      </c>
      <c r="Y689" s="316" t="s">
        <v>330</v>
      </c>
      <c r="Z689" s="8">
        <v>107.1</v>
      </c>
      <c r="AA689" s="202" t="str">
        <f t="shared" si="11"/>
        <v>Вода</v>
      </c>
    </row>
    <row r="690" spans="1:27" ht="15" customHeight="1" x14ac:dyDescent="0.25">
      <c r="A690" t="s">
        <v>153</v>
      </c>
      <c r="L690"/>
      <c r="M690"/>
      <c r="N690"/>
      <c r="O690"/>
      <c r="P690"/>
      <c r="T690">
        <v>514</v>
      </c>
      <c r="U690" s="7">
        <v>3</v>
      </c>
      <c r="V690" t="s">
        <v>966</v>
      </c>
      <c r="W690" s="257" t="s">
        <v>1003</v>
      </c>
      <c r="X690" t="s">
        <v>1004</v>
      </c>
      <c r="Y690" s="316" t="s">
        <v>53</v>
      </c>
      <c r="Z690" s="8">
        <v>10</v>
      </c>
      <c r="AA690" s="202" t="str">
        <f t="shared" si="11"/>
        <v>Сахар</v>
      </c>
    </row>
    <row r="691" spans="1:27" ht="15" customHeight="1" x14ac:dyDescent="0.25">
      <c r="A691" t="s">
        <v>153</v>
      </c>
      <c r="L691"/>
      <c r="M691"/>
      <c r="N691"/>
      <c r="O691"/>
      <c r="P691"/>
      <c r="T691">
        <v>515</v>
      </c>
      <c r="U691" s="7">
        <v>3</v>
      </c>
      <c r="V691" t="s">
        <v>966</v>
      </c>
      <c r="W691" s="257" t="s">
        <v>1003</v>
      </c>
      <c r="X691" t="s">
        <v>1004</v>
      </c>
      <c r="Y691" s="316" t="s">
        <v>326</v>
      </c>
      <c r="Z691" s="8">
        <v>3.5</v>
      </c>
      <c r="AA691" s="202" t="str">
        <f t="shared" si="11"/>
        <v>Соль</v>
      </c>
    </row>
    <row r="692" spans="1:27" ht="15" customHeight="1" x14ac:dyDescent="0.25">
      <c r="A692" t="s">
        <v>153</v>
      </c>
      <c r="L692"/>
      <c r="M692"/>
      <c r="N692"/>
      <c r="O692"/>
      <c r="P692"/>
      <c r="T692">
        <v>516</v>
      </c>
      <c r="U692" s="7">
        <v>3</v>
      </c>
      <c r="V692" t="s">
        <v>966</v>
      </c>
      <c r="W692" s="257" t="s">
        <v>1003</v>
      </c>
      <c r="X692" t="s">
        <v>1004</v>
      </c>
      <c r="Y692" s="316" t="s">
        <v>558</v>
      </c>
      <c r="Z692" s="8">
        <v>374</v>
      </c>
      <c r="AA692" s="202" t="str">
        <f t="shared" si="11"/>
        <v>Общая масса готового блюда, г</v>
      </c>
    </row>
    <row r="693" spans="1:27" ht="15" customHeight="1" x14ac:dyDescent="0.25">
      <c r="A693" t="s">
        <v>153</v>
      </c>
      <c r="L693"/>
      <c r="M693"/>
      <c r="N693"/>
      <c r="O693"/>
      <c r="P693"/>
      <c r="T693">
        <v>516</v>
      </c>
      <c r="U693" s="7">
        <v>3</v>
      </c>
      <c r="V693" t="s">
        <v>966</v>
      </c>
      <c r="W693" s="257" t="s">
        <v>1003</v>
      </c>
      <c r="X693" t="s">
        <v>1004</v>
      </c>
      <c r="Y693" s="316" t="s">
        <v>109</v>
      </c>
      <c r="Z693" s="8">
        <v>415</v>
      </c>
      <c r="AA693" s="202" t="str">
        <f t="shared" si="11"/>
        <v>ОКГ</v>
      </c>
    </row>
    <row r="694" spans="1:27" ht="15" customHeight="1" x14ac:dyDescent="0.25">
      <c r="A694" t="s">
        <v>153</v>
      </c>
      <c r="L694"/>
      <c r="M694"/>
      <c r="N694"/>
      <c r="O694"/>
      <c r="P694"/>
      <c r="T694">
        <v>495</v>
      </c>
      <c r="U694" s="7">
        <v>3</v>
      </c>
      <c r="V694" t="s">
        <v>966</v>
      </c>
      <c r="W694" s="257" t="s">
        <v>1005</v>
      </c>
      <c r="X694" t="s">
        <v>1006</v>
      </c>
      <c r="Y694" s="316" t="s">
        <v>427</v>
      </c>
      <c r="Z694" s="8">
        <v>83</v>
      </c>
      <c r="AA694" s="202" t="str">
        <f t="shared" si="11"/>
        <v>Овсяная</v>
      </c>
    </row>
    <row r="695" spans="1:27" ht="15" customHeight="1" x14ac:dyDescent="0.25">
      <c r="A695" t="s">
        <v>153</v>
      </c>
      <c r="L695"/>
      <c r="M695"/>
      <c r="N695"/>
      <c r="O695"/>
      <c r="P695"/>
      <c r="T695">
        <v>496</v>
      </c>
      <c r="U695" s="7">
        <v>3</v>
      </c>
      <c r="V695" t="s">
        <v>966</v>
      </c>
      <c r="W695" s="257" t="s">
        <v>1005</v>
      </c>
      <c r="X695" t="s">
        <v>1006</v>
      </c>
      <c r="Y695" s="316" t="s">
        <v>330</v>
      </c>
      <c r="Z695" s="8">
        <v>265.60000000000002</v>
      </c>
      <c r="AA695" s="202" t="str">
        <f t="shared" si="11"/>
        <v>Вода</v>
      </c>
    </row>
    <row r="696" spans="1:27" ht="15" customHeight="1" x14ac:dyDescent="0.25">
      <c r="A696" t="s">
        <v>153</v>
      </c>
      <c r="L696"/>
      <c r="M696"/>
      <c r="N696"/>
      <c r="O696"/>
      <c r="P696"/>
      <c r="T696">
        <v>497</v>
      </c>
      <c r="U696" s="7">
        <v>3</v>
      </c>
      <c r="V696" t="s">
        <v>966</v>
      </c>
      <c r="W696" s="257" t="s">
        <v>1005</v>
      </c>
      <c r="X696" t="s">
        <v>1006</v>
      </c>
      <c r="Y696" s="316" t="s">
        <v>326</v>
      </c>
      <c r="Z696" s="8">
        <v>3</v>
      </c>
      <c r="AA696" s="202" t="str">
        <f t="shared" si="11"/>
        <v>Соль</v>
      </c>
    </row>
    <row r="697" spans="1:27" ht="15" customHeight="1" x14ac:dyDescent="0.25">
      <c r="A697" t="s">
        <v>153</v>
      </c>
      <c r="L697"/>
      <c r="M697"/>
      <c r="N697"/>
      <c r="O697"/>
      <c r="P697"/>
      <c r="T697">
        <v>498</v>
      </c>
      <c r="U697" s="7">
        <v>3</v>
      </c>
      <c r="V697" t="s">
        <v>966</v>
      </c>
      <c r="W697" s="257" t="s">
        <v>1005</v>
      </c>
      <c r="X697" t="s">
        <v>1006</v>
      </c>
      <c r="Y697" s="316" t="s">
        <v>558</v>
      </c>
      <c r="Z697" s="8">
        <v>332</v>
      </c>
      <c r="AA697" s="202" t="str">
        <f t="shared" si="11"/>
        <v>Общая масса готового блюда, г</v>
      </c>
    </row>
    <row r="698" spans="1:27" ht="15" customHeight="1" x14ac:dyDescent="0.25">
      <c r="A698" t="s">
        <v>153</v>
      </c>
      <c r="L698"/>
      <c r="M698"/>
      <c r="N698"/>
      <c r="O698"/>
      <c r="P698"/>
      <c r="T698">
        <v>498</v>
      </c>
      <c r="U698" s="7">
        <v>3</v>
      </c>
      <c r="V698" t="s">
        <v>966</v>
      </c>
      <c r="W698" s="257" t="s">
        <v>1005</v>
      </c>
      <c r="X698" t="s">
        <v>1006</v>
      </c>
      <c r="Y698" s="316" t="s">
        <v>109</v>
      </c>
      <c r="Z698" s="8">
        <v>415</v>
      </c>
      <c r="AA698" s="202" t="str">
        <f t="shared" si="11"/>
        <v>ОКГ</v>
      </c>
    </row>
    <row r="699" spans="1:27" ht="15" customHeight="1" x14ac:dyDescent="0.25">
      <c r="A699" t="s">
        <v>153</v>
      </c>
      <c r="L699"/>
      <c r="M699"/>
      <c r="N699"/>
      <c r="O699"/>
      <c r="P699"/>
      <c r="T699">
        <v>503</v>
      </c>
      <c r="U699" s="7">
        <v>3</v>
      </c>
      <c r="V699" t="s">
        <v>966</v>
      </c>
      <c r="W699" s="257" t="s">
        <v>1007</v>
      </c>
      <c r="X699" t="s">
        <v>1553</v>
      </c>
      <c r="Y699" s="316" t="s">
        <v>31</v>
      </c>
      <c r="Z699" s="8">
        <v>83</v>
      </c>
      <c r="AA699" s="202" t="str">
        <f t="shared" si="11"/>
        <v>Перловая</v>
      </c>
    </row>
    <row r="700" spans="1:27" ht="15" customHeight="1" x14ac:dyDescent="0.25">
      <c r="A700" t="s">
        <v>153</v>
      </c>
      <c r="L700"/>
      <c r="M700"/>
      <c r="N700"/>
      <c r="O700"/>
      <c r="P700"/>
      <c r="T700">
        <v>504</v>
      </c>
      <c r="U700" s="7">
        <v>3</v>
      </c>
      <c r="V700" t="s">
        <v>966</v>
      </c>
      <c r="W700" s="257" t="s">
        <v>1007</v>
      </c>
      <c r="X700" t="s">
        <v>1553</v>
      </c>
      <c r="Y700" s="316" t="s">
        <v>330</v>
      </c>
      <c r="Z700" s="8">
        <v>265.60000000000002</v>
      </c>
      <c r="AA700" s="202" t="str">
        <f t="shared" si="11"/>
        <v>Вода</v>
      </c>
    </row>
    <row r="701" spans="1:27" ht="15" customHeight="1" x14ac:dyDescent="0.25">
      <c r="A701" t="s">
        <v>153</v>
      </c>
      <c r="L701"/>
      <c r="M701"/>
      <c r="N701"/>
      <c r="O701"/>
      <c r="P701"/>
      <c r="T701">
        <v>505</v>
      </c>
      <c r="U701" s="7">
        <v>3</v>
      </c>
      <c r="V701" t="s">
        <v>966</v>
      </c>
      <c r="W701" s="257" t="s">
        <v>1007</v>
      </c>
      <c r="X701" t="s">
        <v>1553</v>
      </c>
      <c r="Y701" s="316" t="s">
        <v>326</v>
      </c>
      <c r="Z701" s="8">
        <v>3</v>
      </c>
      <c r="AA701" s="202" t="str">
        <f t="shared" si="11"/>
        <v>Соль</v>
      </c>
    </row>
    <row r="702" spans="1:27" ht="15" customHeight="1" x14ac:dyDescent="0.25">
      <c r="A702" t="s">
        <v>153</v>
      </c>
      <c r="L702"/>
      <c r="M702"/>
      <c r="N702"/>
      <c r="O702"/>
      <c r="P702"/>
      <c r="T702">
        <v>506</v>
      </c>
      <c r="U702" s="7">
        <v>3</v>
      </c>
      <c r="V702" t="s">
        <v>966</v>
      </c>
      <c r="W702" s="257" t="s">
        <v>1007</v>
      </c>
      <c r="X702" t="s">
        <v>1553</v>
      </c>
      <c r="Y702" s="316" t="s">
        <v>558</v>
      </c>
      <c r="Z702" s="8">
        <v>332</v>
      </c>
      <c r="AA702" s="202" t="str">
        <f t="shared" si="11"/>
        <v>Общая масса готового блюда, г</v>
      </c>
    </row>
    <row r="703" spans="1:27" ht="15" customHeight="1" x14ac:dyDescent="0.25">
      <c r="A703" t="s">
        <v>153</v>
      </c>
      <c r="L703"/>
      <c r="M703"/>
      <c r="N703"/>
      <c r="O703"/>
      <c r="P703"/>
      <c r="T703">
        <v>506</v>
      </c>
      <c r="U703" s="7">
        <v>3</v>
      </c>
      <c r="V703" t="s">
        <v>966</v>
      </c>
      <c r="W703" s="257" t="s">
        <v>1007</v>
      </c>
      <c r="X703" t="s">
        <v>1553</v>
      </c>
      <c r="Y703" s="316" t="s">
        <v>109</v>
      </c>
      <c r="Z703" s="8">
        <v>415</v>
      </c>
      <c r="AA703" s="202" t="str">
        <f t="shared" si="11"/>
        <v>ОКГ</v>
      </c>
    </row>
    <row r="704" spans="1:27" ht="15" customHeight="1" x14ac:dyDescent="0.25">
      <c r="A704" t="s">
        <v>153</v>
      </c>
      <c r="L704"/>
      <c r="M704"/>
      <c r="N704"/>
      <c r="O704"/>
      <c r="P704"/>
      <c r="T704">
        <v>483</v>
      </c>
      <c r="U704" s="7">
        <v>3</v>
      </c>
      <c r="V704" t="s">
        <v>966</v>
      </c>
      <c r="W704" s="257" t="s">
        <v>1011</v>
      </c>
      <c r="X704" t="s">
        <v>1554</v>
      </c>
      <c r="Y704" s="316" t="s">
        <v>31</v>
      </c>
      <c r="Z704" s="8">
        <v>83</v>
      </c>
      <c r="AA704" s="202" t="str">
        <f t="shared" si="11"/>
        <v>Перловая</v>
      </c>
    </row>
    <row r="705" spans="1:27" ht="15" customHeight="1" x14ac:dyDescent="0.25">
      <c r="A705" t="s">
        <v>153</v>
      </c>
      <c r="L705"/>
      <c r="M705"/>
      <c r="N705"/>
      <c r="O705"/>
      <c r="P705"/>
      <c r="T705">
        <v>484</v>
      </c>
      <c r="U705" s="7">
        <v>3</v>
      </c>
      <c r="V705" t="s">
        <v>966</v>
      </c>
      <c r="W705" s="257" t="s">
        <v>1011</v>
      </c>
      <c r="X705" t="s">
        <v>1554</v>
      </c>
      <c r="Y705" s="316" t="s">
        <v>330</v>
      </c>
      <c r="Z705" s="8">
        <v>149.4</v>
      </c>
      <c r="AA705" s="202" t="str">
        <f t="shared" si="11"/>
        <v>Вода</v>
      </c>
    </row>
    <row r="706" spans="1:27" ht="15" customHeight="1" x14ac:dyDescent="0.25">
      <c r="A706" t="s">
        <v>153</v>
      </c>
      <c r="L706"/>
      <c r="M706"/>
      <c r="N706"/>
      <c r="O706"/>
      <c r="P706"/>
      <c r="T706">
        <v>485</v>
      </c>
      <c r="U706" s="7">
        <v>3</v>
      </c>
      <c r="V706" t="s">
        <v>966</v>
      </c>
      <c r="W706" s="257" t="s">
        <v>1011</v>
      </c>
      <c r="X706" t="s">
        <v>1554</v>
      </c>
      <c r="Y706" s="316" t="s">
        <v>326</v>
      </c>
      <c r="Z706" s="8">
        <v>2</v>
      </c>
      <c r="AA706" s="202" t="str">
        <f t="shared" ref="AA706:AA769" si="12">VLOOKUP(Y706,O:P,2,FALSE)</f>
        <v>Соль</v>
      </c>
    </row>
    <row r="707" spans="1:27" ht="15" customHeight="1" x14ac:dyDescent="0.25">
      <c r="A707" t="s">
        <v>153</v>
      </c>
      <c r="L707"/>
      <c r="M707"/>
      <c r="N707"/>
      <c r="O707"/>
      <c r="P707"/>
      <c r="T707">
        <v>486</v>
      </c>
      <c r="U707" s="7">
        <v>3</v>
      </c>
      <c r="V707" t="s">
        <v>966</v>
      </c>
      <c r="W707" s="257" t="s">
        <v>1011</v>
      </c>
      <c r="X707" t="s">
        <v>1554</v>
      </c>
      <c r="Y707" s="316" t="s">
        <v>558</v>
      </c>
      <c r="Z707" s="8">
        <v>208</v>
      </c>
      <c r="AA707" s="202" t="str">
        <f t="shared" si="12"/>
        <v>Общая масса готового блюда, г</v>
      </c>
    </row>
    <row r="708" spans="1:27" ht="15" customHeight="1" x14ac:dyDescent="0.25">
      <c r="A708" t="s">
        <v>153</v>
      </c>
      <c r="L708"/>
      <c r="M708"/>
      <c r="N708"/>
      <c r="O708"/>
      <c r="P708"/>
      <c r="T708">
        <v>486</v>
      </c>
      <c r="U708" s="7">
        <v>3</v>
      </c>
      <c r="V708" t="s">
        <v>966</v>
      </c>
      <c r="W708" s="257" t="s">
        <v>1011</v>
      </c>
      <c r="X708" t="s">
        <v>1554</v>
      </c>
      <c r="Y708" s="316" t="s">
        <v>109</v>
      </c>
      <c r="Z708" s="8">
        <v>415</v>
      </c>
      <c r="AA708" s="202" t="str">
        <f t="shared" si="12"/>
        <v>ОКГ</v>
      </c>
    </row>
    <row r="709" spans="1:27" ht="15" customHeight="1" x14ac:dyDescent="0.25">
      <c r="A709" t="s">
        <v>153</v>
      </c>
      <c r="L709"/>
      <c r="M709"/>
      <c r="N709"/>
      <c r="O709"/>
      <c r="P709"/>
      <c r="T709">
        <v>503</v>
      </c>
      <c r="U709" s="7">
        <v>3</v>
      </c>
      <c r="V709" t="s">
        <v>966</v>
      </c>
      <c r="W709" s="257" t="s">
        <v>1007</v>
      </c>
      <c r="X709" t="s">
        <v>1008</v>
      </c>
      <c r="Y709" s="316" t="s">
        <v>214</v>
      </c>
      <c r="Z709" s="8">
        <v>83</v>
      </c>
      <c r="AA709" s="202" t="str">
        <f t="shared" si="12"/>
        <v>Пшено</v>
      </c>
    </row>
    <row r="710" spans="1:27" ht="15" customHeight="1" x14ac:dyDescent="0.25">
      <c r="A710" t="s">
        <v>153</v>
      </c>
      <c r="L710"/>
      <c r="M710"/>
      <c r="N710"/>
      <c r="O710"/>
      <c r="P710"/>
      <c r="T710">
        <v>504</v>
      </c>
      <c r="U710" s="7">
        <v>3</v>
      </c>
      <c r="V710" t="s">
        <v>966</v>
      </c>
      <c r="W710" s="257" t="s">
        <v>1007</v>
      </c>
      <c r="X710" t="s">
        <v>1008</v>
      </c>
      <c r="Y710" s="316" t="s">
        <v>330</v>
      </c>
      <c r="Z710" s="8">
        <v>265.60000000000002</v>
      </c>
      <c r="AA710" s="202" t="str">
        <f t="shared" si="12"/>
        <v>Вода</v>
      </c>
    </row>
    <row r="711" spans="1:27" ht="15" customHeight="1" x14ac:dyDescent="0.25">
      <c r="A711" t="s">
        <v>153</v>
      </c>
      <c r="L711"/>
      <c r="M711"/>
      <c r="N711"/>
      <c r="O711"/>
      <c r="P711"/>
      <c r="T711">
        <v>505</v>
      </c>
      <c r="U711" s="7">
        <v>3</v>
      </c>
      <c r="V711" t="s">
        <v>966</v>
      </c>
      <c r="W711" s="257" t="s">
        <v>1007</v>
      </c>
      <c r="X711" t="s">
        <v>1008</v>
      </c>
      <c r="Y711" s="316" t="s">
        <v>326</v>
      </c>
      <c r="Z711" s="8">
        <v>3</v>
      </c>
      <c r="AA711" s="202" t="str">
        <f t="shared" si="12"/>
        <v>Соль</v>
      </c>
    </row>
    <row r="712" spans="1:27" ht="15" customHeight="1" x14ac:dyDescent="0.25">
      <c r="A712" t="s">
        <v>153</v>
      </c>
      <c r="L712"/>
      <c r="M712"/>
      <c r="N712"/>
      <c r="O712"/>
      <c r="P712"/>
      <c r="T712">
        <v>506</v>
      </c>
      <c r="U712" s="7">
        <v>3</v>
      </c>
      <c r="V712" t="s">
        <v>966</v>
      </c>
      <c r="W712" s="257" t="s">
        <v>1007</v>
      </c>
      <c r="X712" t="s">
        <v>1008</v>
      </c>
      <c r="Y712" s="316" t="s">
        <v>558</v>
      </c>
      <c r="Z712" s="8">
        <v>332</v>
      </c>
      <c r="AA712" s="202" t="str">
        <f t="shared" si="12"/>
        <v>Общая масса готового блюда, г</v>
      </c>
    </row>
    <row r="713" spans="1:27" ht="15" customHeight="1" x14ac:dyDescent="0.25">
      <c r="A713" t="s">
        <v>153</v>
      </c>
      <c r="L713"/>
      <c r="M713"/>
      <c r="N713"/>
      <c r="O713"/>
      <c r="P713"/>
      <c r="T713">
        <v>506</v>
      </c>
      <c r="U713" s="7">
        <v>3</v>
      </c>
      <c r="V713" t="s">
        <v>966</v>
      </c>
      <c r="W713" s="257" t="s">
        <v>1007</v>
      </c>
      <c r="X713" t="s">
        <v>1008</v>
      </c>
      <c r="Y713" s="316" t="s">
        <v>109</v>
      </c>
      <c r="Z713" s="8">
        <v>415</v>
      </c>
      <c r="AA713" s="202" t="str">
        <f t="shared" si="12"/>
        <v>ОКГ</v>
      </c>
    </row>
    <row r="714" spans="1:27" ht="15" customHeight="1" x14ac:dyDescent="0.25">
      <c r="A714" t="s">
        <v>153</v>
      </c>
      <c r="L714"/>
      <c r="M714"/>
      <c r="N714"/>
      <c r="O714"/>
      <c r="P714"/>
      <c r="T714">
        <v>507</v>
      </c>
      <c r="U714" s="7">
        <v>3</v>
      </c>
      <c r="V714" t="s">
        <v>966</v>
      </c>
      <c r="W714" s="257" t="s">
        <v>1009</v>
      </c>
      <c r="X714" t="s">
        <v>1010</v>
      </c>
      <c r="Y714" s="316" t="s">
        <v>213</v>
      </c>
      <c r="Z714" s="8">
        <v>83</v>
      </c>
      <c r="AA714" s="202" t="str">
        <f t="shared" si="12"/>
        <v>Пшено</v>
      </c>
    </row>
    <row r="715" spans="1:27" ht="15" customHeight="1" x14ac:dyDescent="0.25">
      <c r="A715" t="s">
        <v>153</v>
      </c>
      <c r="L715"/>
      <c r="M715"/>
      <c r="N715"/>
      <c r="O715"/>
      <c r="P715"/>
      <c r="T715">
        <v>508</v>
      </c>
      <c r="U715" s="7">
        <v>3</v>
      </c>
      <c r="V715" t="s">
        <v>966</v>
      </c>
      <c r="W715" s="257" t="s">
        <v>1009</v>
      </c>
      <c r="X715" t="s">
        <v>1010</v>
      </c>
      <c r="Y715" s="316" t="s">
        <v>330</v>
      </c>
      <c r="Z715" s="8">
        <v>265.60000000000002</v>
      </c>
      <c r="AA715" s="202" t="str">
        <f t="shared" si="12"/>
        <v>Вода</v>
      </c>
    </row>
    <row r="716" spans="1:27" ht="15" customHeight="1" x14ac:dyDescent="0.25">
      <c r="A716" t="s">
        <v>153</v>
      </c>
      <c r="L716"/>
      <c r="M716"/>
      <c r="N716"/>
      <c r="O716"/>
      <c r="P716"/>
      <c r="T716">
        <v>509</v>
      </c>
      <c r="U716" s="7">
        <v>3</v>
      </c>
      <c r="V716" t="s">
        <v>966</v>
      </c>
      <c r="W716" s="257" t="s">
        <v>1009</v>
      </c>
      <c r="X716" t="s">
        <v>1010</v>
      </c>
      <c r="Y716" s="316" t="s">
        <v>326</v>
      </c>
      <c r="Z716" s="8">
        <v>3</v>
      </c>
      <c r="AA716" s="202" t="str">
        <f t="shared" si="12"/>
        <v>Соль</v>
      </c>
    </row>
    <row r="717" spans="1:27" ht="15" customHeight="1" x14ac:dyDescent="0.25">
      <c r="A717" t="s">
        <v>153</v>
      </c>
      <c r="L717"/>
      <c r="M717"/>
      <c r="N717"/>
      <c r="O717"/>
      <c r="P717"/>
      <c r="T717">
        <v>510</v>
      </c>
      <c r="U717" s="7">
        <v>3</v>
      </c>
      <c r="V717" t="s">
        <v>966</v>
      </c>
      <c r="W717" s="257" t="s">
        <v>1009</v>
      </c>
      <c r="X717" t="s">
        <v>1010</v>
      </c>
      <c r="Y717" s="316" t="s">
        <v>558</v>
      </c>
      <c r="Z717" s="8">
        <v>332</v>
      </c>
      <c r="AA717" s="202" t="str">
        <f t="shared" si="12"/>
        <v>Общая масса готового блюда, г</v>
      </c>
    </row>
    <row r="718" spans="1:27" ht="15" customHeight="1" x14ac:dyDescent="0.25">
      <c r="A718" t="s">
        <v>153</v>
      </c>
      <c r="L718"/>
      <c r="M718"/>
      <c r="N718"/>
      <c r="O718"/>
      <c r="P718"/>
      <c r="T718">
        <v>510</v>
      </c>
      <c r="U718" s="7">
        <v>3</v>
      </c>
      <c r="V718" t="s">
        <v>966</v>
      </c>
      <c r="W718" s="257" t="s">
        <v>1009</v>
      </c>
      <c r="X718" t="s">
        <v>1010</v>
      </c>
      <c r="Y718" s="316" t="s">
        <v>109</v>
      </c>
      <c r="Z718" s="8">
        <v>415</v>
      </c>
      <c r="AA718" s="202" t="str">
        <f t="shared" si="12"/>
        <v>ОКГ</v>
      </c>
    </row>
    <row r="719" spans="1:27" ht="15" customHeight="1" x14ac:dyDescent="0.25">
      <c r="A719" t="s">
        <v>153</v>
      </c>
      <c r="L719"/>
      <c r="M719"/>
      <c r="N719"/>
      <c r="O719"/>
      <c r="P719"/>
      <c r="T719">
        <v>483</v>
      </c>
      <c r="U719" s="7">
        <v>3</v>
      </c>
      <c r="V719" t="s">
        <v>966</v>
      </c>
      <c r="W719" s="257" t="s">
        <v>1011</v>
      </c>
      <c r="X719" t="s">
        <v>1012</v>
      </c>
      <c r="Y719" s="316" t="s">
        <v>213</v>
      </c>
      <c r="Z719" s="8">
        <v>83</v>
      </c>
      <c r="AA719" s="202" t="str">
        <f t="shared" si="12"/>
        <v>Пшено</v>
      </c>
    </row>
    <row r="720" spans="1:27" ht="15" customHeight="1" x14ac:dyDescent="0.25">
      <c r="A720" t="s">
        <v>153</v>
      </c>
      <c r="L720"/>
      <c r="M720"/>
      <c r="N720"/>
      <c r="O720"/>
      <c r="P720"/>
      <c r="T720">
        <v>484</v>
      </c>
      <c r="U720" s="7">
        <v>3</v>
      </c>
      <c r="V720" t="s">
        <v>966</v>
      </c>
      <c r="W720" s="257" t="s">
        <v>1011</v>
      </c>
      <c r="X720" t="s">
        <v>1012</v>
      </c>
      <c r="Y720" s="316" t="s">
        <v>330</v>
      </c>
      <c r="Z720" s="8">
        <v>149.4</v>
      </c>
      <c r="AA720" s="202" t="str">
        <f t="shared" si="12"/>
        <v>Вода</v>
      </c>
    </row>
    <row r="721" spans="1:27" ht="15" customHeight="1" x14ac:dyDescent="0.25">
      <c r="A721" t="s">
        <v>153</v>
      </c>
      <c r="L721"/>
      <c r="M721"/>
      <c r="N721"/>
      <c r="O721"/>
      <c r="P721"/>
      <c r="T721">
        <v>485</v>
      </c>
      <c r="U721" s="7">
        <v>3</v>
      </c>
      <c r="V721" t="s">
        <v>966</v>
      </c>
      <c r="W721" s="257" t="s">
        <v>1011</v>
      </c>
      <c r="X721" t="s">
        <v>1012</v>
      </c>
      <c r="Y721" s="316" t="s">
        <v>326</v>
      </c>
      <c r="Z721" s="8">
        <v>2</v>
      </c>
      <c r="AA721" s="202" t="str">
        <f t="shared" si="12"/>
        <v>Соль</v>
      </c>
    </row>
    <row r="722" spans="1:27" ht="15" customHeight="1" x14ac:dyDescent="0.25">
      <c r="A722" t="s">
        <v>153</v>
      </c>
      <c r="L722"/>
      <c r="M722"/>
      <c r="N722"/>
      <c r="O722"/>
      <c r="P722"/>
      <c r="T722">
        <v>486</v>
      </c>
      <c r="U722" s="7">
        <v>3</v>
      </c>
      <c r="V722" t="s">
        <v>966</v>
      </c>
      <c r="W722" s="257" t="s">
        <v>1011</v>
      </c>
      <c r="X722" t="s">
        <v>1012</v>
      </c>
      <c r="Y722" s="316" t="s">
        <v>558</v>
      </c>
      <c r="Z722" s="8">
        <v>208</v>
      </c>
      <c r="AA722" s="202" t="str">
        <f t="shared" si="12"/>
        <v>Общая масса готового блюда, г</v>
      </c>
    </row>
    <row r="723" spans="1:27" ht="15" customHeight="1" x14ac:dyDescent="0.25">
      <c r="A723" t="s">
        <v>153</v>
      </c>
      <c r="L723"/>
      <c r="M723"/>
      <c r="N723"/>
      <c r="O723"/>
      <c r="P723"/>
      <c r="T723">
        <v>486</v>
      </c>
      <c r="U723" s="7">
        <v>3</v>
      </c>
      <c r="V723" t="s">
        <v>966</v>
      </c>
      <c r="W723" s="257" t="s">
        <v>1011</v>
      </c>
      <c r="X723" t="s">
        <v>1012</v>
      </c>
      <c r="Y723" s="316" t="s">
        <v>109</v>
      </c>
      <c r="Z723" s="8">
        <v>415</v>
      </c>
      <c r="AA723" s="202" t="str">
        <f t="shared" si="12"/>
        <v>ОКГ</v>
      </c>
    </row>
    <row r="724" spans="1:27" ht="15" customHeight="1" x14ac:dyDescent="0.25">
      <c r="A724" t="s">
        <v>153</v>
      </c>
      <c r="L724"/>
      <c r="M724"/>
      <c r="N724"/>
      <c r="O724"/>
      <c r="P724"/>
      <c r="T724">
        <v>491</v>
      </c>
      <c r="U724" s="7">
        <v>3</v>
      </c>
      <c r="V724" t="s">
        <v>966</v>
      </c>
      <c r="W724" s="257" t="s">
        <v>1013</v>
      </c>
      <c r="X724" t="s">
        <v>1014</v>
      </c>
      <c r="Y724" s="316" t="s">
        <v>432</v>
      </c>
      <c r="Z724" s="8">
        <v>83</v>
      </c>
      <c r="AA724" s="202" t="str">
        <f t="shared" si="12"/>
        <v>Рис</v>
      </c>
    </row>
    <row r="725" spans="1:27" ht="15" customHeight="1" x14ac:dyDescent="0.25">
      <c r="A725" t="s">
        <v>153</v>
      </c>
      <c r="L725"/>
      <c r="M725"/>
      <c r="N725"/>
      <c r="O725"/>
      <c r="P725"/>
      <c r="T725">
        <v>492</v>
      </c>
      <c r="U725" s="7">
        <v>3</v>
      </c>
      <c r="V725" t="s">
        <v>966</v>
      </c>
      <c r="W725" s="257" t="s">
        <v>1013</v>
      </c>
      <c r="X725" t="s">
        <v>1014</v>
      </c>
      <c r="Y725" s="316" t="s">
        <v>330</v>
      </c>
      <c r="Z725" s="8">
        <v>307.10000000000002</v>
      </c>
      <c r="AA725" s="202" t="str">
        <f t="shared" si="12"/>
        <v>Вода</v>
      </c>
    </row>
    <row r="726" spans="1:27" ht="15" customHeight="1" x14ac:dyDescent="0.25">
      <c r="A726" t="s">
        <v>153</v>
      </c>
      <c r="L726"/>
      <c r="M726"/>
      <c r="N726"/>
      <c r="O726"/>
      <c r="P726"/>
      <c r="T726">
        <v>493</v>
      </c>
      <c r="U726" s="7">
        <v>3</v>
      </c>
      <c r="V726" t="s">
        <v>966</v>
      </c>
      <c r="W726" s="257" t="s">
        <v>1013</v>
      </c>
      <c r="X726" t="s">
        <v>1014</v>
      </c>
      <c r="Y726" s="316" t="s">
        <v>326</v>
      </c>
      <c r="Z726" s="8">
        <v>3</v>
      </c>
      <c r="AA726" s="202" t="str">
        <f t="shared" si="12"/>
        <v>Соль</v>
      </c>
    </row>
    <row r="727" spans="1:27" ht="15" customHeight="1" x14ac:dyDescent="0.25">
      <c r="A727" t="s">
        <v>153</v>
      </c>
      <c r="L727"/>
      <c r="M727"/>
      <c r="N727"/>
      <c r="O727"/>
      <c r="P727"/>
      <c r="T727">
        <v>494</v>
      </c>
      <c r="U727" s="7">
        <v>3</v>
      </c>
      <c r="V727" t="s">
        <v>966</v>
      </c>
      <c r="W727" s="257" t="s">
        <v>1013</v>
      </c>
      <c r="X727" t="s">
        <v>1014</v>
      </c>
      <c r="Y727" s="316" t="s">
        <v>558</v>
      </c>
      <c r="Z727" s="8">
        <v>374</v>
      </c>
      <c r="AA727" s="202" t="str">
        <f t="shared" si="12"/>
        <v>Общая масса готового блюда, г</v>
      </c>
    </row>
    <row r="728" spans="1:27" ht="15" customHeight="1" x14ac:dyDescent="0.25">
      <c r="A728" t="s">
        <v>153</v>
      </c>
      <c r="L728"/>
      <c r="M728"/>
      <c r="N728"/>
      <c r="O728"/>
      <c r="P728"/>
      <c r="T728">
        <v>494</v>
      </c>
      <c r="U728" s="7">
        <v>3</v>
      </c>
      <c r="V728" t="s">
        <v>966</v>
      </c>
      <c r="W728" s="257" t="s">
        <v>1013</v>
      </c>
      <c r="X728" t="s">
        <v>1014</v>
      </c>
      <c r="Y728" s="316" t="s">
        <v>109</v>
      </c>
      <c r="Z728" s="8">
        <v>415</v>
      </c>
      <c r="AA728" s="202" t="str">
        <f t="shared" si="12"/>
        <v>ОКГ</v>
      </c>
    </row>
    <row r="729" spans="1:27" ht="15" customHeight="1" x14ac:dyDescent="0.25">
      <c r="A729" t="s">
        <v>153</v>
      </c>
      <c r="L729"/>
      <c r="M729"/>
      <c r="N729"/>
      <c r="O729"/>
      <c r="P729"/>
      <c r="T729">
        <v>479</v>
      </c>
      <c r="U729" s="7">
        <v>3</v>
      </c>
      <c r="V729" t="s">
        <v>966</v>
      </c>
      <c r="W729" s="257" t="s">
        <v>1015</v>
      </c>
      <c r="X729" t="s">
        <v>1016</v>
      </c>
      <c r="Y729" s="316" t="s">
        <v>432</v>
      </c>
      <c r="Z729" s="8">
        <v>83</v>
      </c>
      <c r="AA729" s="202" t="str">
        <f t="shared" si="12"/>
        <v>Рис</v>
      </c>
    </row>
    <row r="730" spans="1:27" ht="15" customHeight="1" x14ac:dyDescent="0.25">
      <c r="A730" t="s">
        <v>153</v>
      </c>
      <c r="L730"/>
      <c r="M730"/>
      <c r="N730"/>
      <c r="O730"/>
      <c r="P730"/>
      <c r="T730">
        <v>480</v>
      </c>
      <c r="U730" s="7">
        <v>3</v>
      </c>
      <c r="V730" t="s">
        <v>966</v>
      </c>
      <c r="W730" s="257" t="s">
        <v>1015</v>
      </c>
      <c r="X730" t="s">
        <v>1016</v>
      </c>
      <c r="Y730" s="316" t="s">
        <v>330</v>
      </c>
      <c r="Z730" s="8">
        <v>174.3</v>
      </c>
      <c r="AA730" s="202" t="str">
        <f t="shared" si="12"/>
        <v>Вода</v>
      </c>
    </row>
    <row r="731" spans="1:27" ht="15" customHeight="1" x14ac:dyDescent="0.25">
      <c r="A731" t="s">
        <v>153</v>
      </c>
      <c r="L731"/>
      <c r="M731"/>
      <c r="N731"/>
      <c r="O731"/>
      <c r="P731"/>
      <c r="T731">
        <v>481</v>
      </c>
      <c r="U731" s="7">
        <v>3</v>
      </c>
      <c r="V731" t="s">
        <v>966</v>
      </c>
      <c r="W731" s="257" t="s">
        <v>1015</v>
      </c>
      <c r="X731" t="s">
        <v>1016</v>
      </c>
      <c r="Y731" s="316" t="s">
        <v>326</v>
      </c>
      <c r="Z731" s="8">
        <v>3</v>
      </c>
      <c r="AA731" s="202" t="str">
        <f t="shared" si="12"/>
        <v>Соль</v>
      </c>
    </row>
    <row r="732" spans="1:27" ht="15" customHeight="1" x14ac:dyDescent="0.25">
      <c r="A732" t="s">
        <v>153</v>
      </c>
      <c r="L732"/>
      <c r="M732"/>
      <c r="N732"/>
      <c r="O732"/>
      <c r="P732"/>
      <c r="T732">
        <v>482</v>
      </c>
      <c r="U732" s="7">
        <v>3</v>
      </c>
      <c r="V732" t="s">
        <v>966</v>
      </c>
      <c r="W732" s="257" t="s">
        <v>1015</v>
      </c>
      <c r="X732" t="s">
        <v>1016</v>
      </c>
      <c r="Y732" s="316" t="s">
        <v>558</v>
      </c>
      <c r="Z732" s="8">
        <v>232</v>
      </c>
      <c r="AA732" s="202" t="str">
        <f t="shared" si="12"/>
        <v>Общая масса готового блюда, г</v>
      </c>
    </row>
    <row r="733" spans="1:27" ht="15" customHeight="1" x14ac:dyDescent="0.25">
      <c r="A733" t="s">
        <v>153</v>
      </c>
      <c r="L733"/>
      <c r="M733"/>
      <c r="N733"/>
      <c r="O733"/>
      <c r="P733"/>
      <c r="T733">
        <v>482</v>
      </c>
      <c r="U733" s="7">
        <v>3</v>
      </c>
      <c r="V733" t="s">
        <v>966</v>
      </c>
      <c r="W733" s="257" t="s">
        <v>1015</v>
      </c>
      <c r="X733" t="s">
        <v>1016</v>
      </c>
      <c r="Y733" s="316" t="s">
        <v>109</v>
      </c>
      <c r="Z733" s="8">
        <v>415</v>
      </c>
      <c r="AA733" s="202" t="str">
        <f t="shared" si="12"/>
        <v>ОКГ</v>
      </c>
    </row>
    <row r="734" spans="1:27" ht="15" customHeight="1" x14ac:dyDescent="0.25">
      <c r="A734" t="s">
        <v>153</v>
      </c>
      <c r="L734"/>
      <c r="M734"/>
      <c r="N734"/>
      <c r="O734"/>
      <c r="P734"/>
      <c r="T734">
        <v>2279</v>
      </c>
      <c r="U734" s="7">
        <v>3</v>
      </c>
      <c r="V734" t="s">
        <v>613</v>
      </c>
      <c r="W734" s="257" t="s">
        <v>658</v>
      </c>
      <c r="X734" t="s">
        <v>659</v>
      </c>
      <c r="Y734" s="316" t="s">
        <v>474</v>
      </c>
      <c r="Z734" s="8">
        <v>80</v>
      </c>
      <c r="AA734" s="202" t="str">
        <f t="shared" si="12"/>
        <v>Колбаса вареная</v>
      </c>
    </row>
    <row r="735" spans="1:27" ht="15" customHeight="1" x14ac:dyDescent="0.25">
      <c r="A735" t="s">
        <v>153</v>
      </c>
      <c r="L735"/>
      <c r="M735"/>
      <c r="N735"/>
      <c r="O735"/>
      <c r="P735"/>
      <c r="T735">
        <v>2280</v>
      </c>
      <c r="U735" s="7">
        <v>3</v>
      </c>
      <c r="V735" t="s">
        <v>613</v>
      </c>
      <c r="W735" s="257" t="s">
        <v>658</v>
      </c>
      <c r="X735" t="s">
        <v>659</v>
      </c>
      <c r="Y735" s="316" t="s">
        <v>61</v>
      </c>
      <c r="Z735" s="8">
        <v>3</v>
      </c>
      <c r="AA735" s="202" t="str">
        <f t="shared" si="12"/>
        <v>Масло растительное</v>
      </c>
    </row>
    <row r="736" spans="1:27" ht="15" customHeight="1" x14ac:dyDescent="0.25">
      <c r="A736" t="s">
        <v>153</v>
      </c>
      <c r="L736"/>
      <c r="M736"/>
      <c r="N736"/>
      <c r="O736"/>
      <c r="P736"/>
      <c r="T736">
        <v>2281</v>
      </c>
      <c r="U736" s="7">
        <v>3</v>
      </c>
      <c r="V736" t="s">
        <v>613</v>
      </c>
      <c r="W736" s="257" t="s">
        <v>658</v>
      </c>
      <c r="X736" t="s">
        <v>659</v>
      </c>
      <c r="Y736" s="316" t="s">
        <v>558</v>
      </c>
      <c r="Z736" s="8">
        <v>70</v>
      </c>
      <c r="AA736" s="202" t="str">
        <f t="shared" si="12"/>
        <v>Общая масса готового блюда, г</v>
      </c>
    </row>
    <row r="737" spans="1:27" ht="15" customHeight="1" x14ac:dyDescent="0.25">
      <c r="A737" t="s">
        <v>153</v>
      </c>
      <c r="L737"/>
      <c r="M737"/>
      <c r="N737"/>
      <c r="O737"/>
      <c r="P737"/>
      <c r="T737">
        <v>2281</v>
      </c>
      <c r="U737" s="7">
        <v>3</v>
      </c>
      <c r="V737" t="s">
        <v>613</v>
      </c>
      <c r="W737" s="257" t="s">
        <v>658</v>
      </c>
      <c r="X737" t="s">
        <v>659</v>
      </c>
      <c r="Y737" s="316" t="s">
        <v>1214</v>
      </c>
      <c r="Z737" s="8">
        <v>70</v>
      </c>
      <c r="AA737" s="202" t="str">
        <f t="shared" si="12"/>
        <v>Масса мясных и рыбных порций, г</v>
      </c>
    </row>
    <row r="738" spans="1:27" ht="15" customHeight="1" x14ac:dyDescent="0.25">
      <c r="A738" t="s">
        <v>153</v>
      </c>
      <c r="L738"/>
      <c r="M738"/>
      <c r="N738"/>
      <c r="O738"/>
      <c r="P738"/>
      <c r="T738">
        <v>2277</v>
      </c>
      <c r="U738" s="7">
        <v>3</v>
      </c>
      <c r="V738" t="s">
        <v>613</v>
      </c>
      <c r="W738" s="257" t="s">
        <v>660</v>
      </c>
      <c r="X738" t="s">
        <v>661</v>
      </c>
      <c r="Y738" s="316" t="s">
        <v>474</v>
      </c>
      <c r="Z738" s="8">
        <v>80</v>
      </c>
      <c r="AA738" s="202" t="str">
        <f t="shared" si="12"/>
        <v>Колбаса вареная</v>
      </c>
    </row>
    <row r="739" spans="1:27" ht="15" customHeight="1" x14ac:dyDescent="0.25">
      <c r="A739" t="s">
        <v>153</v>
      </c>
      <c r="L739"/>
      <c r="M739"/>
      <c r="N739"/>
      <c r="O739"/>
      <c r="P739"/>
      <c r="T739">
        <v>2278</v>
      </c>
      <c r="U739" s="7">
        <v>3</v>
      </c>
      <c r="V739" t="s">
        <v>613</v>
      </c>
      <c r="W739" s="257" t="s">
        <v>660</v>
      </c>
      <c r="X739" t="s">
        <v>661</v>
      </c>
      <c r="Y739" s="316" t="s">
        <v>558</v>
      </c>
      <c r="Z739" s="8">
        <v>78</v>
      </c>
      <c r="AA739" s="202" t="str">
        <f t="shared" si="12"/>
        <v>Общая масса готового блюда, г</v>
      </c>
    </row>
    <row r="740" spans="1:27" ht="15" customHeight="1" x14ac:dyDescent="0.25">
      <c r="A740" t="s">
        <v>153</v>
      </c>
      <c r="L740"/>
      <c r="M740"/>
      <c r="N740"/>
      <c r="O740"/>
      <c r="P740"/>
      <c r="T740">
        <v>2278</v>
      </c>
      <c r="U740" s="7">
        <v>3</v>
      </c>
      <c r="V740" t="s">
        <v>613</v>
      </c>
      <c r="W740" s="257" t="s">
        <v>660</v>
      </c>
      <c r="X740" t="s">
        <v>661</v>
      </c>
      <c r="Y740" s="316" t="s">
        <v>1214</v>
      </c>
      <c r="Z740" s="8">
        <v>78</v>
      </c>
      <c r="AA740" s="202" t="str">
        <f t="shared" si="12"/>
        <v>Масса мясных и рыбных порций, г</v>
      </c>
    </row>
    <row r="741" spans="1:27" ht="15" customHeight="1" x14ac:dyDescent="0.25">
      <c r="A741" t="s">
        <v>153</v>
      </c>
      <c r="L741"/>
      <c r="M741"/>
      <c r="N741"/>
      <c r="O741"/>
      <c r="P741"/>
      <c r="T741">
        <v>2867</v>
      </c>
      <c r="U741" s="7">
        <v>3</v>
      </c>
      <c r="V741" t="s">
        <v>1192</v>
      </c>
      <c r="W741" s="257" t="s">
        <v>64</v>
      </c>
      <c r="X741" t="s">
        <v>64</v>
      </c>
      <c r="Y741" s="316" t="s">
        <v>64</v>
      </c>
      <c r="Z741" s="8">
        <v>25</v>
      </c>
      <c r="AA741" s="202" t="str">
        <f t="shared" si="12"/>
        <v>Колбаса п/к</v>
      </c>
    </row>
    <row r="742" spans="1:27" ht="15" customHeight="1" x14ac:dyDescent="0.25">
      <c r="A742" t="s">
        <v>153</v>
      </c>
      <c r="L742"/>
      <c r="M742"/>
      <c r="N742"/>
      <c r="O742"/>
      <c r="P742"/>
      <c r="T742">
        <v>2868</v>
      </c>
      <c r="U742" s="7">
        <v>3</v>
      </c>
      <c r="V742" t="s">
        <v>1192</v>
      </c>
      <c r="W742" s="257" t="s">
        <v>64</v>
      </c>
      <c r="X742" t="s">
        <v>64</v>
      </c>
      <c r="Y742" s="316" t="s">
        <v>558</v>
      </c>
      <c r="Z742" s="8">
        <v>25</v>
      </c>
      <c r="AA742" s="202" t="str">
        <f t="shared" si="12"/>
        <v>Общая масса готового блюда, г</v>
      </c>
    </row>
    <row r="743" spans="1:27" ht="15" customHeight="1" x14ac:dyDescent="0.25">
      <c r="A743" t="s">
        <v>153</v>
      </c>
      <c r="L743"/>
      <c r="M743"/>
      <c r="N743"/>
      <c r="O743"/>
      <c r="P743"/>
      <c r="T743">
        <v>2902</v>
      </c>
      <c r="U743" s="7">
        <v>3</v>
      </c>
      <c r="V743" t="s">
        <v>1192</v>
      </c>
      <c r="X743" t="s">
        <v>59</v>
      </c>
      <c r="Y743" s="316" t="s">
        <v>59</v>
      </c>
      <c r="Z743" s="8">
        <v>12.5</v>
      </c>
      <c r="AA743" s="202" t="str">
        <f t="shared" si="12"/>
        <v>Колбаса с/к</v>
      </c>
    </row>
    <row r="744" spans="1:27" ht="15" customHeight="1" x14ac:dyDescent="0.25">
      <c r="A744" t="s">
        <v>153</v>
      </c>
      <c r="L744"/>
      <c r="M744"/>
      <c r="N744"/>
      <c r="O744"/>
      <c r="P744"/>
      <c r="T744">
        <v>2903</v>
      </c>
      <c r="U744" s="7">
        <v>3</v>
      </c>
      <c r="V744" t="s">
        <v>1192</v>
      </c>
      <c r="X744" t="s">
        <v>59</v>
      </c>
      <c r="Y744" s="316" t="s">
        <v>558</v>
      </c>
      <c r="Z744" s="8">
        <v>12.5</v>
      </c>
      <c r="AA744" s="202" t="str">
        <f t="shared" si="12"/>
        <v>Общая масса готового блюда, г</v>
      </c>
    </row>
    <row r="745" spans="1:27" ht="15" customHeight="1" x14ac:dyDescent="0.25">
      <c r="A745" t="s">
        <v>153</v>
      </c>
      <c r="L745"/>
      <c r="M745"/>
      <c r="N745"/>
      <c r="O745"/>
      <c r="P745"/>
      <c r="T745">
        <v>452</v>
      </c>
      <c r="U745" s="7">
        <v>3</v>
      </c>
      <c r="V745" t="s">
        <v>1147</v>
      </c>
      <c r="W745" s="257" t="s">
        <v>1153</v>
      </c>
      <c r="X745" t="s">
        <v>1299</v>
      </c>
      <c r="Y745" s="316" t="s">
        <v>485</v>
      </c>
      <c r="Z745" s="8">
        <v>20</v>
      </c>
      <c r="AA745" s="202" t="str">
        <f t="shared" si="12"/>
        <v>Смесь сухофруктов</v>
      </c>
    </row>
    <row r="746" spans="1:27" ht="15" customHeight="1" x14ac:dyDescent="0.25">
      <c r="A746" t="s">
        <v>153</v>
      </c>
      <c r="L746"/>
      <c r="M746"/>
      <c r="N746"/>
      <c r="O746"/>
      <c r="P746"/>
      <c r="T746">
        <v>453</v>
      </c>
      <c r="U746" s="7">
        <v>3</v>
      </c>
      <c r="V746" t="s">
        <v>1147</v>
      </c>
      <c r="W746" s="257" t="s">
        <v>1153</v>
      </c>
      <c r="X746" t="s">
        <v>1299</v>
      </c>
      <c r="Y746" s="316" t="s">
        <v>53</v>
      </c>
      <c r="Z746" s="8">
        <v>15</v>
      </c>
      <c r="AA746" s="202" t="str">
        <f t="shared" si="12"/>
        <v>Сахар</v>
      </c>
    </row>
    <row r="747" spans="1:27" ht="15" customHeight="1" x14ac:dyDescent="0.25">
      <c r="A747" t="s">
        <v>153</v>
      </c>
      <c r="L747"/>
      <c r="M747"/>
      <c r="N747"/>
      <c r="O747"/>
      <c r="P747"/>
      <c r="T747">
        <v>454</v>
      </c>
      <c r="U747" s="7">
        <v>3</v>
      </c>
      <c r="V747" t="s">
        <v>1147</v>
      </c>
      <c r="W747" s="257" t="s">
        <v>1153</v>
      </c>
      <c r="X747" t="s">
        <v>1299</v>
      </c>
      <c r="Y747" s="316" t="s">
        <v>330</v>
      </c>
      <c r="Z747" s="8">
        <v>250</v>
      </c>
      <c r="AA747" s="202" t="str">
        <f t="shared" si="12"/>
        <v>Вода</v>
      </c>
    </row>
    <row r="748" spans="1:27" ht="15" customHeight="1" x14ac:dyDescent="0.25">
      <c r="A748" t="s">
        <v>153</v>
      </c>
      <c r="L748"/>
      <c r="M748"/>
      <c r="N748"/>
      <c r="O748"/>
      <c r="P748"/>
      <c r="T748">
        <v>455</v>
      </c>
      <c r="U748" s="7">
        <v>3</v>
      </c>
      <c r="V748" t="s">
        <v>1147</v>
      </c>
      <c r="W748" s="257" t="s">
        <v>1153</v>
      </c>
      <c r="X748" t="s">
        <v>1299</v>
      </c>
      <c r="Y748" s="316" t="s">
        <v>558</v>
      </c>
      <c r="Z748" s="8">
        <v>250</v>
      </c>
      <c r="AA748" s="202" t="str">
        <f t="shared" si="12"/>
        <v>Общая масса готового блюда, г</v>
      </c>
    </row>
    <row r="749" spans="1:27" ht="15" customHeight="1" x14ac:dyDescent="0.25">
      <c r="A749" t="s">
        <v>153</v>
      </c>
      <c r="L749"/>
      <c r="M749"/>
      <c r="N749"/>
      <c r="O749"/>
      <c r="P749"/>
      <c r="T749">
        <v>452</v>
      </c>
      <c r="U749" s="7">
        <v>3</v>
      </c>
      <c r="V749" t="s">
        <v>1147</v>
      </c>
      <c r="W749" s="257" t="s">
        <v>1150</v>
      </c>
      <c r="X749" t="s">
        <v>1151</v>
      </c>
      <c r="Y749" s="316" t="s">
        <v>548</v>
      </c>
      <c r="Z749" s="8">
        <v>25</v>
      </c>
      <c r="AA749" s="202" t="str">
        <f t="shared" si="12"/>
        <v>Груши свежие</v>
      </c>
    </row>
    <row r="750" spans="1:27" ht="15" customHeight="1" x14ac:dyDescent="0.25">
      <c r="A750" t="s">
        <v>153</v>
      </c>
      <c r="L750"/>
      <c r="M750"/>
      <c r="N750"/>
      <c r="O750"/>
      <c r="P750"/>
      <c r="T750">
        <v>453</v>
      </c>
      <c r="U750" s="7">
        <v>3</v>
      </c>
      <c r="V750" t="s">
        <v>1147</v>
      </c>
      <c r="W750" s="257" t="s">
        <v>1150</v>
      </c>
      <c r="X750" t="s">
        <v>1151</v>
      </c>
      <c r="Y750" s="316" t="s">
        <v>53</v>
      </c>
      <c r="Z750" s="8">
        <v>20</v>
      </c>
      <c r="AA750" s="202" t="str">
        <f t="shared" si="12"/>
        <v>Сахар</v>
      </c>
    </row>
    <row r="751" spans="1:27" ht="15" customHeight="1" x14ac:dyDescent="0.25">
      <c r="A751" t="s">
        <v>153</v>
      </c>
      <c r="L751"/>
      <c r="M751"/>
      <c r="N751"/>
      <c r="O751"/>
      <c r="P751"/>
      <c r="T751">
        <v>454</v>
      </c>
      <c r="U751" s="7">
        <v>3</v>
      </c>
      <c r="V751" t="s">
        <v>1147</v>
      </c>
      <c r="W751" s="257" t="s">
        <v>1150</v>
      </c>
      <c r="X751" t="s">
        <v>1151</v>
      </c>
      <c r="Y751" s="316" t="s">
        <v>330</v>
      </c>
      <c r="Z751" s="8">
        <v>250</v>
      </c>
      <c r="AA751" s="202" t="str">
        <f t="shared" si="12"/>
        <v>Вода</v>
      </c>
    </row>
    <row r="752" spans="1:27" ht="15" customHeight="1" x14ac:dyDescent="0.25">
      <c r="A752" t="s">
        <v>153</v>
      </c>
      <c r="L752"/>
      <c r="M752"/>
      <c r="N752"/>
      <c r="O752"/>
      <c r="P752"/>
      <c r="T752">
        <v>455</v>
      </c>
      <c r="U752" s="7">
        <v>3</v>
      </c>
      <c r="V752" t="s">
        <v>1147</v>
      </c>
      <c r="W752" s="257" t="s">
        <v>1150</v>
      </c>
      <c r="X752" t="s">
        <v>1151</v>
      </c>
      <c r="Y752" s="316" t="s">
        <v>558</v>
      </c>
      <c r="Z752" s="8">
        <v>250</v>
      </c>
      <c r="AA752" s="202" t="str">
        <f t="shared" si="12"/>
        <v>Общая масса готового блюда, г</v>
      </c>
    </row>
    <row r="753" spans="1:27" ht="15" customHeight="1" x14ac:dyDescent="0.25">
      <c r="A753" t="s">
        <v>153</v>
      </c>
      <c r="L753"/>
      <c r="M753"/>
      <c r="N753"/>
      <c r="O753"/>
      <c r="P753"/>
      <c r="T753">
        <v>447</v>
      </c>
      <c r="U753" s="7">
        <v>3</v>
      </c>
      <c r="V753" t="s">
        <v>1147</v>
      </c>
      <c r="W753" s="257" t="s">
        <v>1150</v>
      </c>
      <c r="X753" t="s">
        <v>1152</v>
      </c>
      <c r="Y753" s="316" t="s">
        <v>549</v>
      </c>
      <c r="Z753" s="8">
        <v>25</v>
      </c>
      <c r="AA753" s="202" t="str">
        <f t="shared" si="12"/>
        <v>Яблоки свежие</v>
      </c>
    </row>
    <row r="754" spans="1:27" ht="15" customHeight="1" x14ac:dyDescent="0.25">
      <c r="A754" t="s">
        <v>153</v>
      </c>
      <c r="L754"/>
      <c r="M754"/>
      <c r="N754"/>
      <c r="O754"/>
      <c r="P754"/>
      <c r="T754">
        <v>449</v>
      </c>
      <c r="U754" s="7">
        <v>3</v>
      </c>
      <c r="V754" t="s">
        <v>1147</v>
      </c>
      <c r="W754" s="257" t="s">
        <v>1150</v>
      </c>
      <c r="X754" t="s">
        <v>1152</v>
      </c>
      <c r="Y754" s="316" t="s">
        <v>53</v>
      </c>
      <c r="Z754" s="8">
        <v>20</v>
      </c>
      <c r="AA754" s="202" t="str">
        <f t="shared" si="12"/>
        <v>Сахар</v>
      </c>
    </row>
    <row r="755" spans="1:27" ht="15" customHeight="1" x14ac:dyDescent="0.25">
      <c r="A755" t="s">
        <v>153</v>
      </c>
      <c r="L755"/>
      <c r="M755"/>
      <c r="N755"/>
      <c r="O755"/>
      <c r="P755"/>
      <c r="T755">
        <v>450</v>
      </c>
      <c r="U755" s="7">
        <v>3</v>
      </c>
      <c r="V755" t="s">
        <v>1147</v>
      </c>
      <c r="W755" s="257" t="s">
        <v>1150</v>
      </c>
      <c r="X755" t="s">
        <v>1152</v>
      </c>
      <c r="Y755" s="316" t="s">
        <v>330</v>
      </c>
      <c r="Z755" s="8">
        <v>250</v>
      </c>
      <c r="AA755" s="202" t="str">
        <f t="shared" si="12"/>
        <v>Вода</v>
      </c>
    </row>
    <row r="756" spans="1:27" ht="15" customHeight="1" x14ac:dyDescent="0.25">
      <c r="A756" t="s">
        <v>153</v>
      </c>
      <c r="L756"/>
      <c r="M756"/>
      <c r="N756"/>
      <c r="O756"/>
      <c r="P756"/>
      <c r="T756">
        <v>451</v>
      </c>
      <c r="U756" s="7">
        <v>3</v>
      </c>
      <c r="V756" t="s">
        <v>1147</v>
      </c>
      <c r="W756" s="257" t="s">
        <v>1150</v>
      </c>
      <c r="X756" t="s">
        <v>1152</v>
      </c>
      <c r="Y756" s="316" t="s">
        <v>558</v>
      </c>
      <c r="Z756" s="8">
        <v>250</v>
      </c>
      <c r="AA756" s="202" t="str">
        <f t="shared" si="12"/>
        <v>Общая масса готового блюда, г</v>
      </c>
    </row>
    <row r="757" spans="1:27" ht="15" customHeight="1" x14ac:dyDescent="0.25">
      <c r="A757" t="s">
        <v>153</v>
      </c>
      <c r="L757"/>
      <c r="M757"/>
      <c r="N757"/>
      <c r="O757"/>
      <c r="P757"/>
      <c r="T757">
        <v>452</v>
      </c>
      <c r="U757" s="7">
        <v>3</v>
      </c>
      <c r="V757" t="s">
        <v>1147</v>
      </c>
      <c r="W757" s="257" t="s">
        <v>1153</v>
      </c>
      <c r="X757" t="s">
        <v>1154</v>
      </c>
      <c r="Y757" s="316" t="s">
        <v>73</v>
      </c>
      <c r="Z757" s="8">
        <v>8</v>
      </c>
      <c r="AA757" s="202" t="str">
        <f t="shared" si="12"/>
        <v>Курага</v>
      </c>
    </row>
    <row r="758" spans="1:27" ht="15" customHeight="1" x14ac:dyDescent="0.25">
      <c r="A758" t="s">
        <v>153</v>
      </c>
      <c r="L758"/>
      <c r="M758"/>
      <c r="N758"/>
      <c r="O758"/>
      <c r="P758"/>
      <c r="T758">
        <v>452</v>
      </c>
      <c r="U758" s="7">
        <v>3</v>
      </c>
      <c r="V758" t="s">
        <v>1147</v>
      </c>
      <c r="W758" s="257" t="s">
        <v>1153</v>
      </c>
      <c r="X758" t="s">
        <v>1154</v>
      </c>
      <c r="Y758" s="316" t="s">
        <v>324</v>
      </c>
      <c r="Z758" s="8">
        <v>8</v>
      </c>
      <c r="AA758" s="202" t="str">
        <f t="shared" si="12"/>
        <v>Изюм</v>
      </c>
    </row>
    <row r="759" spans="1:27" ht="15" customHeight="1" x14ac:dyDescent="0.25">
      <c r="A759" t="s">
        <v>153</v>
      </c>
      <c r="L759"/>
      <c r="M759"/>
      <c r="N759"/>
      <c r="O759"/>
      <c r="P759"/>
      <c r="T759">
        <v>452</v>
      </c>
      <c r="U759" s="7">
        <v>3</v>
      </c>
      <c r="V759" t="s">
        <v>1147</v>
      </c>
      <c r="W759" s="257" t="s">
        <v>1153</v>
      </c>
      <c r="X759" t="s">
        <v>1154</v>
      </c>
      <c r="Y759" s="316" t="s">
        <v>78</v>
      </c>
      <c r="Z759" s="8">
        <v>4</v>
      </c>
      <c r="AA759" s="202" t="str">
        <f t="shared" si="12"/>
        <v>Чернослив</v>
      </c>
    </row>
    <row r="760" spans="1:27" ht="15" customHeight="1" x14ac:dyDescent="0.25">
      <c r="A760" t="s">
        <v>153</v>
      </c>
      <c r="L760"/>
      <c r="M760"/>
      <c r="N760"/>
      <c r="O760"/>
      <c r="P760"/>
      <c r="T760">
        <v>453</v>
      </c>
      <c r="U760" s="7">
        <v>3</v>
      </c>
      <c r="V760" t="s">
        <v>1147</v>
      </c>
      <c r="W760" s="257" t="s">
        <v>1153</v>
      </c>
      <c r="X760" t="s">
        <v>1154</v>
      </c>
      <c r="Y760" s="316" t="s">
        <v>53</v>
      </c>
      <c r="Z760" s="8">
        <v>15</v>
      </c>
      <c r="AA760" s="202" t="str">
        <f t="shared" si="12"/>
        <v>Сахар</v>
      </c>
    </row>
    <row r="761" spans="1:27" ht="15" customHeight="1" x14ac:dyDescent="0.25">
      <c r="A761" t="s">
        <v>153</v>
      </c>
      <c r="L761"/>
      <c r="M761"/>
      <c r="N761"/>
      <c r="O761"/>
      <c r="P761"/>
      <c r="T761">
        <v>454</v>
      </c>
      <c r="U761" s="7">
        <v>3</v>
      </c>
      <c r="V761" t="s">
        <v>1147</v>
      </c>
      <c r="W761" s="257" t="s">
        <v>1153</v>
      </c>
      <c r="X761" t="s">
        <v>1154</v>
      </c>
      <c r="Y761" s="316" t="s">
        <v>330</v>
      </c>
      <c r="Z761" s="8">
        <v>250</v>
      </c>
      <c r="AA761" s="202" t="str">
        <f t="shared" si="12"/>
        <v>Вода</v>
      </c>
    </row>
    <row r="762" spans="1:27" ht="15" customHeight="1" x14ac:dyDescent="0.25">
      <c r="A762" t="s">
        <v>153</v>
      </c>
      <c r="L762"/>
      <c r="M762"/>
      <c r="N762"/>
      <c r="O762"/>
      <c r="P762"/>
      <c r="T762">
        <v>455</v>
      </c>
      <c r="U762" s="7">
        <v>3</v>
      </c>
      <c r="V762" t="s">
        <v>1147</v>
      </c>
      <c r="W762" s="257" t="s">
        <v>1153</v>
      </c>
      <c r="X762" t="s">
        <v>1154</v>
      </c>
      <c r="Y762" s="316" t="s">
        <v>558</v>
      </c>
      <c r="Z762" s="8">
        <v>250</v>
      </c>
      <c r="AA762" s="202" t="str">
        <f t="shared" si="12"/>
        <v>Общая масса готового блюда, г</v>
      </c>
    </row>
    <row r="763" spans="1:27" ht="15" customHeight="1" x14ac:dyDescent="0.25">
      <c r="A763" t="s">
        <v>153</v>
      </c>
      <c r="L763"/>
      <c r="M763"/>
      <c r="N763"/>
      <c r="O763"/>
      <c r="P763"/>
      <c r="T763">
        <v>2869</v>
      </c>
      <c r="U763" s="7">
        <v>3</v>
      </c>
      <c r="V763" t="s">
        <v>1192</v>
      </c>
      <c r="W763" s="257" t="s">
        <v>145</v>
      </c>
      <c r="X763" t="s">
        <v>145</v>
      </c>
      <c r="Y763" s="316" t="s">
        <v>409</v>
      </c>
      <c r="Z763" s="8">
        <v>20</v>
      </c>
      <c r="AA763" s="202" t="str">
        <f t="shared" si="12"/>
        <v>Консервы овощ. закусочные, лечо</v>
      </c>
    </row>
    <row r="764" spans="1:27" ht="15" customHeight="1" x14ac:dyDescent="0.25">
      <c r="A764" t="s">
        <v>153</v>
      </c>
      <c r="L764"/>
      <c r="M764"/>
      <c r="N764"/>
      <c r="O764"/>
      <c r="P764"/>
      <c r="T764">
        <v>2870</v>
      </c>
      <c r="U764" s="7">
        <v>3</v>
      </c>
      <c r="V764" t="s">
        <v>1192</v>
      </c>
      <c r="W764" s="257" t="s">
        <v>145</v>
      </c>
      <c r="X764" t="s">
        <v>145</v>
      </c>
      <c r="Y764" s="316" t="s">
        <v>558</v>
      </c>
      <c r="Z764" s="8">
        <v>20</v>
      </c>
      <c r="AA764" s="202" t="str">
        <f t="shared" si="12"/>
        <v>Общая масса готового блюда, г</v>
      </c>
    </row>
    <row r="765" spans="1:27" ht="15" customHeight="1" x14ac:dyDescent="0.25">
      <c r="A765" t="s">
        <v>153</v>
      </c>
      <c r="L765"/>
      <c r="M765"/>
      <c r="N765"/>
      <c r="O765"/>
      <c r="P765"/>
      <c r="T765">
        <v>2452</v>
      </c>
      <c r="U765" s="7">
        <v>3</v>
      </c>
      <c r="V765" t="s">
        <v>613</v>
      </c>
      <c r="W765" s="257" t="s">
        <v>662</v>
      </c>
      <c r="X765" t="s">
        <v>663</v>
      </c>
      <c r="Y765" s="316" t="s">
        <v>455</v>
      </c>
      <c r="Z765" s="8">
        <v>75</v>
      </c>
      <c r="AA765" s="202" t="str">
        <f t="shared" si="12"/>
        <v>Говядина н/к</v>
      </c>
    </row>
    <row r="766" spans="1:27" ht="15" customHeight="1" x14ac:dyDescent="0.25">
      <c r="A766" t="s">
        <v>153</v>
      </c>
      <c r="L766"/>
      <c r="M766"/>
      <c r="N766"/>
      <c r="O766"/>
      <c r="P766"/>
      <c r="T766">
        <v>2453</v>
      </c>
      <c r="U766" s="7">
        <v>3</v>
      </c>
      <c r="V766" t="s">
        <v>613</v>
      </c>
      <c r="W766" s="257" t="s">
        <v>662</v>
      </c>
      <c r="X766" t="s">
        <v>663</v>
      </c>
      <c r="Y766" s="316" t="s">
        <v>437</v>
      </c>
      <c r="Z766" s="8">
        <v>7</v>
      </c>
      <c r="AA766" s="202" t="str">
        <f t="shared" si="12"/>
        <v>Мука пшеничная 1 с</v>
      </c>
    </row>
    <row r="767" spans="1:27" ht="15" customHeight="1" x14ac:dyDescent="0.25">
      <c r="A767" t="s">
        <v>153</v>
      </c>
      <c r="L767"/>
      <c r="M767"/>
      <c r="N767"/>
      <c r="O767"/>
      <c r="P767"/>
      <c r="T767">
        <v>2454</v>
      </c>
      <c r="U767" s="7">
        <v>3</v>
      </c>
      <c r="V767" t="s">
        <v>613</v>
      </c>
      <c r="W767" s="257" t="s">
        <v>662</v>
      </c>
      <c r="X767" t="s">
        <v>663</v>
      </c>
      <c r="Y767" s="316" t="s">
        <v>61</v>
      </c>
      <c r="Z767" s="8">
        <v>3</v>
      </c>
      <c r="AA767" s="202" t="str">
        <f t="shared" si="12"/>
        <v>Масло растительное</v>
      </c>
    </row>
    <row r="768" spans="1:27" ht="15" customHeight="1" x14ac:dyDescent="0.25">
      <c r="A768" t="s">
        <v>153</v>
      </c>
      <c r="L768"/>
      <c r="M768"/>
      <c r="N768"/>
      <c r="O768"/>
      <c r="P768"/>
      <c r="T768">
        <v>2455</v>
      </c>
      <c r="U768" s="7">
        <v>3</v>
      </c>
      <c r="V768" t="s">
        <v>613</v>
      </c>
      <c r="W768" s="257" t="s">
        <v>662</v>
      </c>
      <c r="X768" t="s">
        <v>663</v>
      </c>
      <c r="Y768" s="316" t="s">
        <v>438</v>
      </c>
      <c r="Z768" s="8">
        <v>26</v>
      </c>
      <c r="AA768" s="202" t="str">
        <f t="shared" si="12"/>
        <v>Хлеб из муки пш. 1 сорта</v>
      </c>
    </row>
    <row r="769" spans="1:27" ht="15" customHeight="1" x14ac:dyDescent="0.25">
      <c r="A769" t="s">
        <v>153</v>
      </c>
      <c r="L769"/>
      <c r="M769"/>
      <c r="N769"/>
      <c r="O769"/>
      <c r="P769"/>
      <c r="T769">
        <v>2456</v>
      </c>
      <c r="U769" s="7">
        <v>3</v>
      </c>
      <c r="V769" t="s">
        <v>613</v>
      </c>
      <c r="W769" s="257" t="s">
        <v>662</v>
      </c>
      <c r="X769" t="s">
        <v>663</v>
      </c>
      <c r="Y769" s="316" t="s">
        <v>330</v>
      </c>
      <c r="Z769" s="8">
        <v>33</v>
      </c>
      <c r="AA769" s="202" t="str">
        <f t="shared" si="12"/>
        <v>Вода</v>
      </c>
    </row>
    <row r="770" spans="1:27" ht="15" customHeight="1" x14ac:dyDescent="0.25">
      <c r="A770" t="s">
        <v>153</v>
      </c>
      <c r="L770"/>
      <c r="M770"/>
      <c r="N770"/>
      <c r="O770"/>
      <c r="P770"/>
      <c r="T770">
        <v>2457</v>
      </c>
      <c r="U770" s="7">
        <v>3</v>
      </c>
      <c r="V770" t="s">
        <v>613</v>
      </c>
      <c r="W770" s="257" t="s">
        <v>662</v>
      </c>
      <c r="X770" t="s">
        <v>663</v>
      </c>
      <c r="Y770" s="316" t="s">
        <v>484</v>
      </c>
      <c r="Z770" s="8">
        <v>0.1</v>
      </c>
      <c r="AA770" s="202" t="str">
        <f t="shared" ref="AA770:AA833" si="13">VLOOKUP(Y770,O:P,2,FALSE)</f>
        <v>Перец черный</v>
      </c>
    </row>
    <row r="771" spans="1:27" ht="15" customHeight="1" x14ac:dyDescent="0.25">
      <c r="A771" t="s">
        <v>153</v>
      </c>
      <c r="L771"/>
      <c r="M771"/>
      <c r="N771"/>
      <c r="O771"/>
      <c r="P771"/>
      <c r="T771">
        <v>2458</v>
      </c>
      <c r="U771" s="7">
        <v>3</v>
      </c>
      <c r="V771" t="s">
        <v>613</v>
      </c>
      <c r="W771" s="257" t="s">
        <v>662</v>
      </c>
      <c r="X771" t="s">
        <v>663</v>
      </c>
      <c r="Y771" s="316" t="s">
        <v>558</v>
      </c>
      <c r="Z771" s="8">
        <v>163</v>
      </c>
      <c r="AA771" s="202" t="str">
        <f t="shared" si="13"/>
        <v>Общая масса готового блюда, г</v>
      </c>
    </row>
    <row r="772" spans="1:27" ht="15" customHeight="1" x14ac:dyDescent="0.25">
      <c r="A772" t="s">
        <v>153</v>
      </c>
      <c r="L772"/>
      <c r="M772"/>
      <c r="N772"/>
      <c r="O772"/>
      <c r="P772"/>
      <c r="T772">
        <v>2458</v>
      </c>
      <c r="U772" s="7">
        <v>3</v>
      </c>
      <c r="V772" t="s">
        <v>613</v>
      </c>
      <c r="W772" s="257" t="s">
        <v>662</v>
      </c>
      <c r="X772" t="s">
        <v>663</v>
      </c>
      <c r="Y772" s="316" t="s">
        <v>1214</v>
      </c>
      <c r="Z772" s="8">
        <v>55.2</v>
      </c>
      <c r="AA772" s="202" t="str">
        <f t="shared" si="13"/>
        <v>Масса мясных и рыбных порций, г</v>
      </c>
    </row>
    <row r="773" spans="1:27" ht="15" customHeight="1" x14ac:dyDescent="0.25">
      <c r="A773" t="s">
        <v>153</v>
      </c>
      <c r="L773"/>
      <c r="M773"/>
      <c r="N773"/>
      <c r="O773"/>
      <c r="P773"/>
      <c r="T773">
        <v>2459</v>
      </c>
      <c r="U773" s="7">
        <v>3</v>
      </c>
      <c r="V773" t="s">
        <v>613</v>
      </c>
      <c r="W773" s="257" t="s">
        <v>664</v>
      </c>
      <c r="X773" t="s">
        <v>665</v>
      </c>
      <c r="Y773" s="316" t="s">
        <v>462</v>
      </c>
      <c r="Z773" s="8">
        <v>75</v>
      </c>
      <c r="AA773" s="202" t="str">
        <f t="shared" si="13"/>
        <v>Свинина на кости</v>
      </c>
    </row>
    <row r="774" spans="1:27" ht="15" customHeight="1" x14ac:dyDescent="0.25">
      <c r="A774" t="s">
        <v>153</v>
      </c>
      <c r="L774"/>
      <c r="M774"/>
      <c r="N774"/>
      <c r="O774"/>
      <c r="P774"/>
      <c r="T774">
        <v>2460</v>
      </c>
      <c r="U774" s="7">
        <v>3</v>
      </c>
      <c r="V774" t="s">
        <v>613</v>
      </c>
      <c r="W774" s="257" t="s">
        <v>664</v>
      </c>
      <c r="X774" t="s">
        <v>665</v>
      </c>
      <c r="Y774" s="316" t="s">
        <v>437</v>
      </c>
      <c r="Z774" s="8">
        <v>7</v>
      </c>
      <c r="AA774" s="202" t="str">
        <f t="shared" si="13"/>
        <v>Мука пшеничная 1 с</v>
      </c>
    </row>
    <row r="775" spans="1:27" ht="15" customHeight="1" x14ac:dyDescent="0.25">
      <c r="A775" t="s">
        <v>153</v>
      </c>
      <c r="L775"/>
      <c r="M775"/>
      <c r="N775"/>
      <c r="O775"/>
      <c r="P775"/>
      <c r="T775">
        <v>2461</v>
      </c>
      <c r="U775" s="7">
        <v>3</v>
      </c>
      <c r="V775" t="s">
        <v>613</v>
      </c>
      <c r="W775" s="257" t="s">
        <v>664</v>
      </c>
      <c r="X775" t="s">
        <v>665</v>
      </c>
      <c r="Y775" s="316" t="s">
        <v>61</v>
      </c>
      <c r="Z775" s="8">
        <v>3</v>
      </c>
      <c r="AA775" s="202" t="str">
        <f t="shared" si="13"/>
        <v>Масло растительное</v>
      </c>
    </row>
    <row r="776" spans="1:27" ht="15" customHeight="1" x14ac:dyDescent="0.25">
      <c r="A776" t="s">
        <v>153</v>
      </c>
      <c r="L776"/>
      <c r="M776"/>
      <c r="N776"/>
      <c r="O776"/>
      <c r="P776"/>
      <c r="T776">
        <v>2462</v>
      </c>
      <c r="U776" s="7">
        <v>3</v>
      </c>
      <c r="V776" t="s">
        <v>613</v>
      </c>
      <c r="W776" s="257" t="s">
        <v>664</v>
      </c>
      <c r="X776" t="s">
        <v>665</v>
      </c>
      <c r="Y776" s="316" t="s">
        <v>438</v>
      </c>
      <c r="Z776" s="8">
        <v>26</v>
      </c>
      <c r="AA776" s="202" t="str">
        <f t="shared" si="13"/>
        <v>Хлеб из муки пш. 1 сорта</v>
      </c>
    </row>
    <row r="777" spans="1:27" ht="15" customHeight="1" x14ac:dyDescent="0.25">
      <c r="A777" t="s">
        <v>153</v>
      </c>
      <c r="L777"/>
      <c r="M777"/>
      <c r="N777"/>
      <c r="O777"/>
      <c r="P777"/>
      <c r="T777">
        <v>2463</v>
      </c>
      <c r="U777" s="7">
        <v>3</v>
      </c>
      <c r="V777" t="s">
        <v>613</v>
      </c>
      <c r="W777" s="257" t="s">
        <v>664</v>
      </c>
      <c r="X777" t="s">
        <v>665</v>
      </c>
      <c r="Y777" s="316" t="s">
        <v>330</v>
      </c>
      <c r="Z777" s="8">
        <v>33</v>
      </c>
      <c r="AA777" s="202" t="str">
        <f t="shared" si="13"/>
        <v>Вода</v>
      </c>
    </row>
    <row r="778" spans="1:27" ht="15" customHeight="1" x14ac:dyDescent="0.25">
      <c r="A778" t="s">
        <v>153</v>
      </c>
      <c r="L778"/>
      <c r="M778"/>
      <c r="N778"/>
      <c r="O778"/>
      <c r="P778"/>
      <c r="T778">
        <v>2464</v>
      </c>
      <c r="U778" s="7">
        <v>3</v>
      </c>
      <c r="V778" t="s">
        <v>613</v>
      </c>
      <c r="W778" s="257" t="s">
        <v>664</v>
      </c>
      <c r="X778" t="s">
        <v>665</v>
      </c>
      <c r="Y778" s="316" t="s">
        <v>484</v>
      </c>
      <c r="Z778" s="8">
        <v>0.1</v>
      </c>
      <c r="AA778" s="202" t="str">
        <f t="shared" si="13"/>
        <v>Перец черный</v>
      </c>
    </row>
    <row r="779" spans="1:27" ht="15" customHeight="1" x14ac:dyDescent="0.25">
      <c r="A779" t="s">
        <v>153</v>
      </c>
      <c r="L779"/>
      <c r="M779"/>
      <c r="N779"/>
      <c r="O779"/>
      <c r="P779"/>
      <c r="T779">
        <v>2465</v>
      </c>
      <c r="U779" s="7">
        <v>3</v>
      </c>
      <c r="V779" t="s">
        <v>613</v>
      </c>
      <c r="W779" s="257" t="s">
        <v>664</v>
      </c>
      <c r="X779" t="s">
        <v>665</v>
      </c>
      <c r="Y779" s="316" t="s">
        <v>558</v>
      </c>
      <c r="Z779" s="8">
        <v>163</v>
      </c>
      <c r="AA779" s="202" t="str">
        <f t="shared" si="13"/>
        <v>Общая масса готового блюда, г</v>
      </c>
    </row>
    <row r="780" spans="1:27" ht="15" customHeight="1" x14ac:dyDescent="0.25">
      <c r="A780" t="s">
        <v>153</v>
      </c>
      <c r="L780"/>
      <c r="M780"/>
      <c r="N780"/>
      <c r="O780"/>
      <c r="P780"/>
      <c r="T780">
        <v>2465</v>
      </c>
      <c r="U780" s="7">
        <v>3</v>
      </c>
      <c r="V780" t="s">
        <v>613</v>
      </c>
      <c r="W780" s="257" t="s">
        <v>664</v>
      </c>
      <c r="X780" t="s">
        <v>665</v>
      </c>
      <c r="Y780" s="316" t="s">
        <v>1214</v>
      </c>
      <c r="Z780" s="8">
        <v>64.5</v>
      </c>
      <c r="AA780" s="202" t="str">
        <f t="shared" si="13"/>
        <v>Масса мясных и рыбных порций, г</v>
      </c>
    </row>
    <row r="781" spans="1:27" ht="15" customHeight="1" x14ac:dyDescent="0.25">
      <c r="A781" t="s">
        <v>153</v>
      </c>
      <c r="L781"/>
      <c r="M781"/>
      <c r="N781"/>
      <c r="O781"/>
      <c r="P781"/>
      <c r="T781">
        <v>717</v>
      </c>
      <c r="U781" s="7">
        <v>3</v>
      </c>
      <c r="V781" t="s">
        <v>966</v>
      </c>
      <c r="W781" s="257" t="s">
        <v>1017</v>
      </c>
      <c r="X781" t="s">
        <v>1018</v>
      </c>
      <c r="Y781" s="316" t="s">
        <v>490</v>
      </c>
      <c r="Z781" s="8">
        <v>340</v>
      </c>
      <c r="AA781" s="202" t="str">
        <f t="shared" si="13"/>
        <v>Капуста свежая</v>
      </c>
    </row>
    <row r="782" spans="1:27" ht="15" customHeight="1" x14ac:dyDescent="0.25">
      <c r="A782" t="s">
        <v>153</v>
      </c>
      <c r="L782"/>
      <c r="M782"/>
      <c r="N782"/>
      <c r="O782"/>
      <c r="P782"/>
      <c r="T782">
        <v>718</v>
      </c>
      <c r="U782" s="7">
        <v>3</v>
      </c>
      <c r="V782" t="s">
        <v>966</v>
      </c>
      <c r="W782" s="257" t="s">
        <v>1017</v>
      </c>
      <c r="X782" t="s">
        <v>1018</v>
      </c>
      <c r="Y782" s="316" t="s">
        <v>479</v>
      </c>
      <c r="Z782" s="8">
        <v>58</v>
      </c>
      <c r="AA782" s="202" t="str">
        <f t="shared" si="13"/>
        <v>Вода или бульон</v>
      </c>
    </row>
    <row r="783" spans="1:27" ht="15" customHeight="1" x14ac:dyDescent="0.25">
      <c r="A783" t="s">
        <v>153</v>
      </c>
      <c r="L783"/>
      <c r="M783"/>
      <c r="N783"/>
      <c r="O783"/>
      <c r="P783"/>
      <c r="T783">
        <v>719</v>
      </c>
      <c r="U783" s="7">
        <v>3</v>
      </c>
      <c r="V783" t="s">
        <v>966</v>
      </c>
      <c r="W783" s="257" t="s">
        <v>1017</v>
      </c>
      <c r="X783" t="s">
        <v>1018</v>
      </c>
      <c r="Y783" s="316" t="s">
        <v>219</v>
      </c>
      <c r="Z783" s="8">
        <v>15</v>
      </c>
      <c r="AA783" s="202" t="str">
        <f t="shared" si="13"/>
        <v>Манная</v>
      </c>
    </row>
    <row r="784" spans="1:27" ht="15" customHeight="1" x14ac:dyDescent="0.25">
      <c r="A784" t="s">
        <v>153</v>
      </c>
      <c r="L784"/>
      <c r="M784"/>
      <c r="N784"/>
      <c r="O784"/>
      <c r="P784"/>
      <c r="T784">
        <v>720</v>
      </c>
      <c r="U784" s="7">
        <v>3</v>
      </c>
      <c r="V784" t="s">
        <v>966</v>
      </c>
      <c r="W784" s="257" t="s">
        <v>1017</v>
      </c>
      <c r="X784" t="s">
        <v>1018</v>
      </c>
      <c r="Y784" s="316" t="s">
        <v>79</v>
      </c>
      <c r="Z784" s="8">
        <v>1.667</v>
      </c>
      <c r="AA784" s="202" t="str">
        <f t="shared" si="13"/>
        <v>Яйцо (шт)</v>
      </c>
    </row>
    <row r="785" spans="1:27" ht="15" customHeight="1" x14ac:dyDescent="0.25">
      <c r="A785" t="s">
        <v>153</v>
      </c>
      <c r="L785"/>
      <c r="M785"/>
      <c r="N785"/>
      <c r="O785"/>
      <c r="P785"/>
      <c r="T785">
        <v>721</v>
      </c>
      <c r="U785" s="7">
        <v>3</v>
      </c>
      <c r="V785" t="s">
        <v>966</v>
      </c>
      <c r="W785" s="257" t="s">
        <v>1017</v>
      </c>
      <c r="X785" t="s">
        <v>1018</v>
      </c>
      <c r="Y785" s="316" t="s">
        <v>61</v>
      </c>
      <c r="Z785" s="8">
        <v>5</v>
      </c>
      <c r="AA785" s="202" t="str">
        <f t="shared" si="13"/>
        <v>Масло растительное</v>
      </c>
    </row>
    <row r="786" spans="1:27" ht="15" customHeight="1" x14ac:dyDescent="0.25">
      <c r="A786" t="s">
        <v>153</v>
      </c>
      <c r="L786"/>
      <c r="M786"/>
      <c r="N786"/>
      <c r="O786"/>
      <c r="P786"/>
      <c r="T786">
        <v>722</v>
      </c>
      <c r="U786" s="7">
        <v>3</v>
      </c>
      <c r="V786" t="s">
        <v>966</v>
      </c>
      <c r="W786" s="257" t="s">
        <v>1017</v>
      </c>
      <c r="X786" t="s">
        <v>1018</v>
      </c>
      <c r="Y786" s="316" t="s">
        <v>437</v>
      </c>
      <c r="Z786" s="8">
        <v>5</v>
      </c>
      <c r="AA786" s="202" t="str">
        <f t="shared" si="13"/>
        <v>Мука пшеничная 1 с</v>
      </c>
    </row>
    <row r="787" spans="1:27" ht="15" customHeight="1" x14ac:dyDescent="0.25">
      <c r="A787" t="s">
        <v>153</v>
      </c>
      <c r="L787"/>
      <c r="M787"/>
      <c r="N787"/>
      <c r="O787"/>
      <c r="P787"/>
      <c r="T787">
        <v>723</v>
      </c>
      <c r="U787" s="7">
        <v>3</v>
      </c>
      <c r="V787" t="s">
        <v>966</v>
      </c>
      <c r="W787" s="257" t="s">
        <v>1017</v>
      </c>
      <c r="X787" t="s">
        <v>1018</v>
      </c>
      <c r="Y787" s="316" t="s">
        <v>558</v>
      </c>
      <c r="Z787" s="8">
        <v>257</v>
      </c>
      <c r="AA787" s="202" t="str">
        <f t="shared" si="13"/>
        <v>Общая масса готового блюда, г</v>
      </c>
    </row>
    <row r="788" spans="1:27" ht="15" customHeight="1" x14ac:dyDescent="0.25">
      <c r="A788" t="s">
        <v>153</v>
      </c>
      <c r="L788"/>
      <c r="M788"/>
      <c r="N788"/>
      <c r="O788"/>
      <c r="P788"/>
      <c r="T788">
        <v>723</v>
      </c>
      <c r="U788" s="7">
        <v>3</v>
      </c>
      <c r="V788" t="s">
        <v>966</v>
      </c>
      <c r="W788" s="257" t="s">
        <v>1017</v>
      </c>
      <c r="X788" t="s">
        <v>1018</v>
      </c>
      <c r="Y788" s="316" t="s">
        <v>109</v>
      </c>
      <c r="Z788" s="8">
        <v>415</v>
      </c>
      <c r="AA788" s="202" t="str">
        <f t="shared" si="13"/>
        <v>ОКГ</v>
      </c>
    </row>
    <row r="789" spans="1:27" ht="15" customHeight="1" x14ac:dyDescent="0.25">
      <c r="A789" t="s">
        <v>153</v>
      </c>
      <c r="L789"/>
      <c r="M789"/>
      <c r="N789"/>
      <c r="O789"/>
      <c r="P789"/>
      <c r="T789">
        <v>681</v>
      </c>
      <c r="U789" s="7">
        <v>3</v>
      </c>
      <c r="V789" t="s">
        <v>966</v>
      </c>
      <c r="W789" s="257" t="s">
        <v>1019</v>
      </c>
      <c r="X789" t="s">
        <v>1020</v>
      </c>
      <c r="Y789" s="316" t="s">
        <v>45</v>
      </c>
      <c r="Z789" s="8">
        <v>415</v>
      </c>
      <c r="AA789" s="202" t="str">
        <f t="shared" si="13"/>
        <v>Картофель</v>
      </c>
    </row>
    <row r="790" spans="1:27" ht="15" customHeight="1" x14ac:dyDescent="0.25">
      <c r="A790" t="s">
        <v>153</v>
      </c>
      <c r="L790"/>
      <c r="M790"/>
      <c r="N790"/>
      <c r="O790"/>
      <c r="P790"/>
      <c r="T790">
        <v>682</v>
      </c>
      <c r="U790" s="7">
        <v>3</v>
      </c>
      <c r="V790" t="s">
        <v>966</v>
      </c>
      <c r="W790" s="257" t="s">
        <v>1019</v>
      </c>
      <c r="X790" t="s">
        <v>1020</v>
      </c>
      <c r="Y790" s="316" t="s">
        <v>79</v>
      </c>
      <c r="Z790" s="8">
        <v>1.667</v>
      </c>
      <c r="AA790" s="202" t="str">
        <f t="shared" si="13"/>
        <v>Яйцо (шт)</v>
      </c>
    </row>
    <row r="791" spans="1:27" ht="15" customHeight="1" x14ac:dyDescent="0.25">
      <c r="A791" t="s">
        <v>153</v>
      </c>
      <c r="L791"/>
      <c r="M791"/>
      <c r="N791"/>
      <c r="O791"/>
      <c r="P791"/>
      <c r="T791">
        <v>683</v>
      </c>
      <c r="U791" s="7">
        <v>3</v>
      </c>
      <c r="V791" t="s">
        <v>966</v>
      </c>
      <c r="W791" s="257" t="s">
        <v>1019</v>
      </c>
      <c r="X791" t="s">
        <v>1020</v>
      </c>
      <c r="Y791" s="316" t="s">
        <v>437</v>
      </c>
      <c r="Z791" s="8">
        <v>5</v>
      </c>
      <c r="AA791" s="202" t="str">
        <f t="shared" si="13"/>
        <v>Мука пшеничная 1 с</v>
      </c>
    </row>
    <row r="792" spans="1:27" ht="15" customHeight="1" x14ac:dyDescent="0.25">
      <c r="A792" t="s">
        <v>153</v>
      </c>
      <c r="L792"/>
      <c r="M792"/>
      <c r="N792"/>
      <c r="O792"/>
      <c r="P792"/>
      <c r="T792">
        <v>684</v>
      </c>
      <c r="U792" s="7">
        <v>3</v>
      </c>
      <c r="V792" t="s">
        <v>966</v>
      </c>
      <c r="W792" s="257" t="s">
        <v>1019</v>
      </c>
      <c r="X792" t="s">
        <v>1020</v>
      </c>
      <c r="Y792" s="316" t="s">
        <v>61</v>
      </c>
      <c r="Z792" s="8">
        <v>2</v>
      </c>
      <c r="AA792" s="202" t="str">
        <f t="shared" si="13"/>
        <v>Масло растительное</v>
      </c>
    </row>
    <row r="793" spans="1:27" ht="15" customHeight="1" x14ac:dyDescent="0.25">
      <c r="A793" t="s">
        <v>153</v>
      </c>
      <c r="L793"/>
      <c r="M793"/>
      <c r="N793"/>
      <c r="O793"/>
      <c r="P793"/>
      <c r="T793">
        <v>685</v>
      </c>
      <c r="U793" s="7">
        <v>3</v>
      </c>
      <c r="V793" t="s">
        <v>966</v>
      </c>
      <c r="W793" s="257" t="s">
        <v>1019</v>
      </c>
      <c r="X793" t="s">
        <v>1020</v>
      </c>
      <c r="Y793" s="316" t="s">
        <v>326</v>
      </c>
      <c r="Z793" s="8">
        <v>5</v>
      </c>
      <c r="AA793" s="202" t="str">
        <f t="shared" si="13"/>
        <v>Соль</v>
      </c>
    </row>
    <row r="794" spans="1:27" ht="15" customHeight="1" x14ac:dyDescent="0.25">
      <c r="A794" t="s">
        <v>153</v>
      </c>
      <c r="L794"/>
      <c r="M794"/>
      <c r="N794"/>
      <c r="O794"/>
      <c r="P794"/>
      <c r="T794">
        <v>686</v>
      </c>
      <c r="U794" s="7">
        <v>3</v>
      </c>
      <c r="V794" t="s">
        <v>966</v>
      </c>
      <c r="W794" s="257" t="s">
        <v>1019</v>
      </c>
      <c r="X794" t="s">
        <v>1020</v>
      </c>
      <c r="Y794" s="316" t="s">
        <v>558</v>
      </c>
      <c r="Z794" s="8">
        <v>256</v>
      </c>
      <c r="AA794" s="202" t="str">
        <f t="shared" si="13"/>
        <v>Общая масса готового блюда, г</v>
      </c>
    </row>
    <row r="795" spans="1:27" ht="15" customHeight="1" x14ac:dyDescent="0.25">
      <c r="A795" t="s">
        <v>153</v>
      </c>
      <c r="L795"/>
      <c r="M795"/>
      <c r="N795"/>
      <c r="O795"/>
      <c r="P795"/>
      <c r="T795">
        <v>686</v>
      </c>
      <c r="U795" s="7">
        <v>3</v>
      </c>
      <c r="V795" t="s">
        <v>966</v>
      </c>
      <c r="W795" s="257" t="s">
        <v>1019</v>
      </c>
      <c r="X795" t="s">
        <v>1020</v>
      </c>
      <c r="Y795" s="316" t="s">
        <v>109</v>
      </c>
      <c r="Z795" s="8">
        <v>415</v>
      </c>
      <c r="AA795" s="202" t="str">
        <f t="shared" si="13"/>
        <v>ОКГ</v>
      </c>
    </row>
    <row r="796" spans="1:27" ht="15" customHeight="1" x14ac:dyDescent="0.25">
      <c r="A796" t="s">
        <v>153</v>
      </c>
      <c r="L796"/>
      <c r="M796"/>
      <c r="N796"/>
      <c r="O796"/>
      <c r="P796"/>
      <c r="T796">
        <v>2436</v>
      </c>
      <c r="U796" s="7">
        <v>3</v>
      </c>
      <c r="V796" t="s">
        <v>613</v>
      </c>
      <c r="W796" s="257" t="s">
        <v>666</v>
      </c>
      <c r="X796" t="s">
        <v>667</v>
      </c>
      <c r="Y796" s="316" t="s">
        <v>455</v>
      </c>
      <c r="Z796" s="8">
        <v>100</v>
      </c>
      <c r="AA796" s="202" t="str">
        <f t="shared" si="13"/>
        <v>Говядина н/к</v>
      </c>
    </row>
    <row r="797" spans="1:27" ht="15" customHeight="1" x14ac:dyDescent="0.25">
      <c r="A797" t="s">
        <v>153</v>
      </c>
      <c r="L797"/>
      <c r="M797"/>
      <c r="N797"/>
      <c r="O797"/>
      <c r="P797"/>
      <c r="T797">
        <v>2437</v>
      </c>
      <c r="U797" s="7">
        <v>3</v>
      </c>
      <c r="V797" t="s">
        <v>613</v>
      </c>
      <c r="W797" s="257" t="s">
        <v>666</v>
      </c>
      <c r="X797" t="s">
        <v>667</v>
      </c>
      <c r="Y797" s="316" t="s">
        <v>143</v>
      </c>
      <c r="Z797" s="8">
        <v>10</v>
      </c>
      <c r="AA797" s="202" t="str">
        <f t="shared" si="13"/>
        <v>Сало-шпик</v>
      </c>
    </row>
    <row r="798" spans="1:27" ht="15" customHeight="1" x14ac:dyDescent="0.25">
      <c r="A798" t="s">
        <v>153</v>
      </c>
      <c r="L798"/>
      <c r="M798"/>
      <c r="N798"/>
      <c r="O798"/>
      <c r="P798"/>
      <c r="T798">
        <v>2438</v>
      </c>
      <c r="U798" s="7">
        <v>3</v>
      </c>
      <c r="V798" t="s">
        <v>613</v>
      </c>
      <c r="W798" s="257" t="s">
        <v>666</v>
      </c>
      <c r="X798" t="s">
        <v>667</v>
      </c>
      <c r="Y798" s="316" t="s">
        <v>330</v>
      </c>
      <c r="Z798" s="8">
        <v>10</v>
      </c>
      <c r="AA798" s="202" t="str">
        <f t="shared" si="13"/>
        <v>Вода</v>
      </c>
    </row>
    <row r="799" spans="1:27" ht="15" customHeight="1" x14ac:dyDescent="0.25">
      <c r="A799" t="s">
        <v>153</v>
      </c>
      <c r="L799"/>
      <c r="M799"/>
      <c r="N799"/>
      <c r="O799"/>
      <c r="P799"/>
      <c r="T799">
        <v>2439</v>
      </c>
      <c r="U799" s="7">
        <v>3</v>
      </c>
      <c r="V799" t="s">
        <v>613</v>
      </c>
      <c r="W799" s="257" t="s">
        <v>666</v>
      </c>
      <c r="X799" t="s">
        <v>667</v>
      </c>
      <c r="Y799" s="316" t="s">
        <v>49</v>
      </c>
      <c r="Z799" s="8">
        <v>2</v>
      </c>
      <c r="AA799" s="202" t="str">
        <f t="shared" si="13"/>
        <v>Чеснок</v>
      </c>
    </row>
    <row r="800" spans="1:27" ht="15" customHeight="1" x14ac:dyDescent="0.25">
      <c r="A800" t="s">
        <v>153</v>
      </c>
      <c r="L800"/>
      <c r="M800"/>
      <c r="N800"/>
      <c r="O800"/>
      <c r="P800"/>
      <c r="T800">
        <v>2440</v>
      </c>
      <c r="U800" s="7">
        <v>3</v>
      </c>
      <c r="V800" t="s">
        <v>613</v>
      </c>
      <c r="W800" s="257" t="s">
        <v>666</v>
      </c>
      <c r="X800" t="s">
        <v>667</v>
      </c>
      <c r="Y800" s="316" t="s">
        <v>437</v>
      </c>
      <c r="Z800" s="8">
        <v>7</v>
      </c>
      <c r="AA800" s="202" t="str">
        <f t="shared" si="13"/>
        <v>Мука пшеничная 1 с</v>
      </c>
    </row>
    <row r="801" spans="1:27" ht="15" customHeight="1" x14ac:dyDescent="0.25">
      <c r="A801" t="s">
        <v>153</v>
      </c>
      <c r="L801"/>
      <c r="M801"/>
      <c r="N801"/>
      <c r="O801"/>
      <c r="P801"/>
      <c r="T801">
        <v>2441</v>
      </c>
      <c r="U801" s="7">
        <v>3</v>
      </c>
      <c r="V801" t="s">
        <v>613</v>
      </c>
      <c r="W801" s="257" t="s">
        <v>666</v>
      </c>
      <c r="X801" t="s">
        <v>667</v>
      </c>
      <c r="Y801" s="316" t="s">
        <v>61</v>
      </c>
      <c r="Z801" s="8">
        <v>5</v>
      </c>
      <c r="AA801" s="202" t="str">
        <f t="shared" si="13"/>
        <v>Масло растительное</v>
      </c>
    </row>
    <row r="802" spans="1:27" ht="15" customHeight="1" x14ac:dyDescent="0.25">
      <c r="A802" t="s">
        <v>153</v>
      </c>
      <c r="L802"/>
      <c r="M802"/>
      <c r="N802"/>
      <c r="O802"/>
      <c r="P802"/>
      <c r="T802">
        <v>2442</v>
      </c>
      <c r="U802" s="7">
        <v>3</v>
      </c>
      <c r="V802" t="s">
        <v>613</v>
      </c>
      <c r="W802" s="257" t="s">
        <v>666</v>
      </c>
      <c r="X802" t="s">
        <v>667</v>
      </c>
      <c r="Y802" s="316" t="s">
        <v>484</v>
      </c>
      <c r="Z802" s="8">
        <v>0.1</v>
      </c>
      <c r="AA802" s="202" t="str">
        <f t="shared" si="13"/>
        <v>Перец черный</v>
      </c>
    </row>
    <row r="803" spans="1:27" ht="15" customHeight="1" x14ac:dyDescent="0.25">
      <c r="A803" t="s">
        <v>153</v>
      </c>
      <c r="L803"/>
      <c r="M803"/>
      <c r="N803"/>
      <c r="O803"/>
      <c r="P803"/>
      <c r="T803">
        <v>2443</v>
      </c>
      <c r="U803" s="7">
        <v>3</v>
      </c>
      <c r="V803" t="s">
        <v>613</v>
      </c>
      <c r="W803" s="257" t="s">
        <v>666</v>
      </c>
      <c r="X803" t="s">
        <v>667</v>
      </c>
      <c r="Y803" s="316" t="s">
        <v>558</v>
      </c>
      <c r="Z803" s="8">
        <v>83</v>
      </c>
      <c r="AA803" s="202" t="str">
        <f t="shared" si="13"/>
        <v>Общая масса готового блюда, г</v>
      </c>
    </row>
    <row r="804" spans="1:27" ht="15" customHeight="1" x14ac:dyDescent="0.25">
      <c r="A804" t="s">
        <v>153</v>
      </c>
      <c r="L804"/>
      <c r="M804"/>
      <c r="N804"/>
      <c r="O804"/>
      <c r="P804"/>
      <c r="T804">
        <v>2443</v>
      </c>
      <c r="U804" s="7">
        <v>3</v>
      </c>
      <c r="V804" t="s">
        <v>613</v>
      </c>
      <c r="W804" s="257" t="s">
        <v>666</v>
      </c>
      <c r="X804" t="s">
        <v>667</v>
      </c>
      <c r="Y804" s="316" t="s">
        <v>1214</v>
      </c>
      <c r="Z804" s="8">
        <v>47</v>
      </c>
      <c r="AA804" s="202" t="str">
        <f t="shared" si="13"/>
        <v>Масса мясных и рыбных порций, г</v>
      </c>
    </row>
    <row r="805" spans="1:27" ht="15" customHeight="1" x14ac:dyDescent="0.25">
      <c r="A805" t="s">
        <v>153</v>
      </c>
      <c r="L805"/>
      <c r="M805"/>
      <c r="N805"/>
      <c r="O805"/>
      <c r="P805"/>
      <c r="T805">
        <v>1748</v>
      </c>
      <c r="U805" s="7">
        <v>3</v>
      </c>
      <c r="V805" t="s">
        <v>613</v>
      </c>
      <c r="W805" s="257" t="s">
        <v>668</v>
      </c>
      <c r="X805" t="s">
        <v>669</v>
      </c>
      <c r="Y805" s="316" t="s">
        <v>541</v>
      </c>
      <c r="Z805" s="8">
        <v>120</v>
      </c>
      <c r="AA805" s="202" t="str">
        <f t="shared" si="13"/>
        <v>Минтай б/г</v>
      </c>
    </row>
    <row r="806" spans="1:27" ht="15" customHeight="1" x14ac:dyDescent="0.25">
      <c r="A806" t="s">
        <v>153</v>
      </c>
      <c r="L806"/>
      <c r="M806"/>
      <c r="N806"/>
      <c r="O806"/>
      <c r="P806"/>
      <c r="T806">
        <v>1749</v>
      </c>
      <c r="U806" s="7">
        <v>3</v>
      </c>
      <c r="V806" t="s">
        <v>613</v>
      </c>
      <c r="W806" s="257" t="s">
        <v>668</v>
      </c>
      <c r="X806" t="s">
        <v>669</v>
      </c>
      <c r="Y806" s="316" t="s">
        <v>46</v>
      </c>
      <c r="Z806" s="8">
        <v>10</v>
      </c>
      <c r="AA806" s="202" t="str">
        <f t="shared" si="13"/>
        <v>Морковь</v>
      </c>
    </row>
    <row r="807" spans="1:27" ht="15" customHeight="1" x14ac:dyDescent="0.25">
      <c r="A807" t="s">
        <v>153</v>
      </c>
      <c r="L807"/>
      <c r="M807"/>
      <c r="N807"/>
      <c r="O807"/>
      <c r="P807"/>
      <c r="T807">
        <v>1750</v>
      </c>
      <c r="U807" s="7">
        <v>3</v>
      </c>
      <c r="V807" t="s">
        <v>613</v>
      </c>
      <c r="W807" s="257" t="s">
        <v>668</v>
      </c>
      <c r="X807" t="s">
        <v>669</v>
      </c>
      <c r="Y807" s="316" t="s">
        <v>438</v>
      </c>
      <c r="Z807" s="8">
        <v>18</v>
      </c>
      <c r="AA807" s="202" t="str">
        <f t="shared" si="13"/>
        <v>Хлеб из муки пш. 1 сорта</v>
      </c>
    </row>
    <row r="808" spans="1:27" ht="15" customHeight="1" x14ac:dyDescent="0.25">
      <c r="A808" t="s">
        <v>153</v>
      </c>
      <c r="L808"/>
      <c r="M808"/>
      <c r="N808"/>
      <c r="O808"/>
      <c r="P808"/>
      <c r="T808">
        <v>1751</v>
      </c>
      <c r="U808" s="7">
        <v>3</v>
      </c>
      <c r="V808" t="s">
        <v>613</v>
      </c>
      <c r="W808" s="257" t="s">
        <v>668</v>
      </c>
      <c r="X808" t="s">
        <v>669</v>
      </c>
      <c r="Y808" s="316" t="s">
        <v>444</v>
      </c>
      <c r="Z808" s="8">
        <v>12</v>
      </c>
      <c r="AA808" s="202" t="str">
        <f t="shared" si="13"/>
        <v>Лук репчатый</v>
      </c>
    </row>
    <row r="809" spans="1:27" ht="15" customHeight="1" x14ac:dyDescent="0.25">
      <c r="A809" t="s">
        <v>153</v>
      </c>
      <c r="L809"/>
      <c r="M809"/>
      <c r="N809"/>
      <c r="O809"/>
      <c r="P809"/>
      <c r="T809">
        <v>1752</v>
      </c>
      <c r="U809" s="7">
        <v>3</v>
      </c>
      <c r="V809" t="s">
        <v>613</v>
      </c>
      <c r="W809" s="257" t="s">
        <v>668</v>
      </c>
      <c r="X809" t="s">
        <v>669</v>
      </c>
      <c r="Y809" s="316" t="s">
        <v>437</v>
      </c>
      <c r="Z809" s="8">
        <v>5</v>
      </c>
      <c r="AA809" s="202" t="str">
        <f t="shared" si="13"/>
        <v>Мука пшеничная 1 с</v>
      </c>
    </row>
    <row r="810" spans="1:27" ht="15" customHeight="1" x14ac:dyDescent="0.25">
      <c r="A810" t="s">
        <v>153</v>
      </c>
      <c r="L810"/>
      <c r="M810"/>
      <c r="N810"/>
      <c r="O810"/>
      <c r="P810"/>
      <c r="T810">
        <v>1753</v>
      </c>
      <c r="U810" s="7">
        <v>3</v>
      </c>
      <c r="V810" t="s">
        <v>613</v>
      </c>
      <c r="W810" s="257" t="s">
        <v>668</v>
      </c>
      <c r="X810" t="s">
        <v>669</v>
      </c>
      <c r="Y810" s="316" t="s">
        <v>61</v>
      </c>
      <c r="Z810" s="8">
        <v>5</v>
      </c>
      <c r="AA810" s="202" t="str">
        <f t="shared" si="13"/>
        <v>Масло растительное</v>
      </c>
    </row>
    <row r="811" spans="1:27" ht="15" customHeight="1" x14ac:dyDescent="0.25">
      <c r="A811" t="s">
        <v>153</v>
      </c>
      <c r="L811"/>
      <c r="M811"/>
      <c r="N811"/>
      <c r="O811"/>
      <c r="P811"/>
      <c r="T811">
        <v>1754</v>
      </c>
      <c r="U811" s="7">
        <v>3</v>
      </c>
      <c r="V811" t="s">
        <v>613</v>
      </c>
      <c r="W811" s="257" t="s">
        <v>668</v>
      </c>
      <c r="X811" t="s">
        <v>669</v>
      </c>
      <c r="Y811" s="316" t="s">
        <v>326</v>
      </c>
      <c r="Z811" s="8">
        <v>1</v>
      </c>
      <c r="AA811" s="202" t="str">
        <f t="shared" si="13"/>
        <v>Соль</v>
      </c>
    </row>
    <row r="812" spans="1:27" ht="15" customHeight="1" x14ac:dyDescent="0.25">
      <c r="A812" t="s">
        <v>153</v>
      </c>
      <c r="L812"/>
      <c r="M812"/>
      <c r="N812"/>
      <c r="O812"/>
      <c r="P812"/>
      <c r="T812">
        <v>1755</v>
      </c>
      <c r="U812" s="7">
        <v>3</v>
      </c>
      <c r="V812" t="s">
        <v>613</v>
      </c>
      <c r="W812" s="257" t="s">
        <v>668</v>
      </c>
      <c r="X812" t="s">
        <v>669</v>
      </c>
      <c r="Y812" s="316" t="s">
        <v>558</v>
      </c>
      <c r="Z812" s="8">
        <v>112</v>
      </c>
      <c r="AA812" s="202" t="str">
        <f t="shared" si="13"/>
        <v>Общая масса готового блюда, г</v>
      </c>
    </row>
    <row r="813" spans="1:27" ht="15" customHeight="1" x14ac:dyDescent="0.25">
      <c r="A813" t="s">
        <v>153</v>
      </c>
      <c r="L813"/>
      <c r="M813"/>
      <c r="N813"/>
      <c r="O813"/>
      <c r="P813"/>
      <c r="T813">
        <v>1755</v>
      </c>
      <c r="U813" s="7">
        <v>3</v>
      </c>
      <c r="V813" t="s">
        <v>613</v>
      </c>
      <c r="W813" s="257" t="s">
        <v>668</v>
      </c>
      <c r="X813" t="s">
        <v>669</v>
      </c>
      <c r="Y813" s="316" t="s">
        <v>1214</v>
      </c>
      <c r="Z813" s="8">
        <v>112</v>
      </c>
      <c r="AA813" s="202" t="str">
        <f t="shared" si="13"/>
        <v>Масса мясных и рыбных порций, г</v>
      </c>
    </row>
    <row r="814" spans="1:27" ht="15" customHeight="1" x14ac:dyDescent="0.25">
      <c r="A814" t="s">
        <v>153</v>
      </c>
      <c r="L814"/>
      <c r="M814"/>
      <c r="N814"/>
      <c r="O814"/>
      <c r="P814"/>
      <c r="T814">
        <v>1748</v>
      </c>
      <c r="U814" s="7">
        <v>3</v>
      </c>
      <c r="V814" t="s">
        <v>613</v>
      </c>
      <c r="W814" s="257" t="s">
        <v>668</v>
      </c>
      <c r="X814" t="s">
        <v>670</v>
      </c>
      <c r="Y814" s="316" t="s">
        <v>544</v>
      </c>
      <c r="Z814" s="8">
        <v>120</v>
      </c>
      <c r="AA814" s="202" t="str">
        <f t="shared" si="13"/>
        <v>Треска б/г</v>
      </c>
    </row>
    <row r="815" spans="1:27" ht="15" customHeight="1" x14ac:dyDescent="0.25">
      <c r="A815" t="s">
        <v>153</v>
      </c>
      <c r="L815"/>
      <c r="M815"/>
      <c r="N815"/>
      <c r="O815"/>
      <c r="P815"/>
      <c r="T815">
        <v>1749</v>
      </c>
      <c r="U815" s="7">
        <v>3</v>
      </c>
      <c r="V815" t="s">
        <v>613</v>
      </c>
      <c r="W815" s="257" t="s">
        <v>668</v>
      </c>
      <c r="X815" t="s">
        <v>670</v>
      </c>
      <c r="Y815" s="316" t="s">
        <v>46</v>
      </c>
      <c r="Z815" s="8">
        <v>10</v>
      </c>
      <c r="AA815" s="202" t="str">
        <f t="shared" si="13"/>
        <v>Морковь</v>
      </c>
    </row>
    <row r="816" spans="1:27" ht="15" customHeight="1" x14ac:dyDescent="0.25">
      <c r="A816" t="s">
        <v>153</v>
      </c>
      <c r="L816"/>
      <c r="M816"/>
      <c r="N816"/>
      <c r="O816"/>
      <c r="P816"/>
      <c r="T816">
        <v>1750</v>
      </c>
      <c r="U816" s="7">
        <v>3</v>
      </c>
      <c r="V816" t="s">
        <v>613</v>
      </c>
      <c r="W816" s="257" t="s">
        <v>668</v>
      </c>
      <c r="X816" t="s">
        <v>670</v>
      </c>
      <c r="Y816" s="316" t="s">
        <v>438</v>
      </c>
      <c r="Z816" s="8">
        <v>18</v>
      </c>
      <c r="AA816" s="202" t="str">
        <f t="shared" si="13"/>
        <v>Хлеб из муки пш. 1 сорта</v>
      </c>
    </row>
    <row r="817" spans="1:27" ht="15" customHeight="1" x14ac:dyDescent="0.25">
      <c r="A817" t="s">
        <v>153</v>
      </c>
      <c r="L817"/>
      <c r="M817"/>
      <c r="N817"/>
      <c r="O817"/>
      <c r="P817"/>
      <c r="T817">
        <v>1751</v>
      </c>
      <c r="U817" s="7">
        <v>3</v>
      </c>
      <c r="V817" t="s">
        <v>613</v>
      </c>
      <c r="W817" s="257" t="s">
        <v>668</v>
      </c>
      <c r="X817" t="s">
        <v>670</v>
      </c>
      <c r="Y817" s="316" t="s">
        <v>444</v>
      </c>
      <c r="Z817" s="8">
        <v>12</v>
      </c>
      <c r="AA817" s="202" t="str">
        <f t="shared" si="13"/>
        <v>Лук репчатый</v>
      </c>
    </row>
    <row r="818" spans="1:27" ht="15" customHeight="1" x14ac:dyDescent="0.25">
      <c r="A818" t="s">
        <v>153</v>
      </c>
      <c r="L818"/>
      <c r="M818"/>
      <c r="N818"/>
      <c r="O818"/>
      <c r="P818"/>
      <c r="T818">
        <v>1752</v>
      </c>
      <c r="U818" s="7">
        <v>3</v>
      </c>
      <c r="V818" t="s">
        <v>613</v>
      </c>
      <c r="W818" s="257" t="s">
        <v>668</v>
      </c>
      <c r="X818" t="s">
        <v>670</v>
      </c>
      <c r="Y818" s="316" t="s">
        <v>437</v>
      </c>
      <c r="Z818" s="8">
        <v>5</v>
      </c>
      <c r="AA818" s="202" t="str">
        <f t="shared" si="13"/>
        <v>Мука пшеничная 1 с</v>
      </c>
    </row>
    <row r="819" spans="1:27" ht="15" customHeight="1" x14ac:dyDescent="0.25">
      <c r="A819" t="s">
        <v>153</v>
      </c>
      <c r="L819"/>
      <c r="M819"/>
      <c r="N819"/>
      <c r="O819"/>
      <c r="P819"/>
      <c r="T819">
        <v>1753</v>
      </c>
      <c r="U819" s="7">
        <v>3</v>
      </c>
      <c r="V819" t="s">
        <v>613</v>
      </c>
      <c r="W819" s="257" t="s">
        <v>668</v>
      </c>
      <c r="X819" t="s">
        <v>670</v>
      </c>
      <c r="Y819" s="316" t="s">
        <v>61</v>
      </c>
      <c r="Z819" s="8">
        <v>5</v>
      </c>
      <c r="AA819" s="202" t="str">
        <f t="shared" si="13"/>
        <v>Масло растительное</v>
      </c>
    </row>
    <row r="820" spans="1:27" ht="15" customHeight="1" x14ac:dyDescent="0.25">
      <c r="A820" t="s">
        <v>153</v>
      </c>
      <c r="L820"/>
      <c r="M820"/>
      <c r="N820"/>
      <c r="O820"/>
      <c r="P820"/>
      <c r="T820">
        <v>1754</v>
      </c>
      <c r="U820" s="7">
        <v>3</v>
      </c>
      <c r="V820" t="s">
        <v>613</v>
      </c>
      <c r="W820" s="257" t="s">
        <v>668</v>
      </c>
      <c r="X820" t="s">
        <v>670</v>
      </c>
      <c r="Y820" s="316" t="s">
        <v>326</v>
      </c>
      <c r="Z820" s="8">
        <v>1</v>
      </c>
      <c r="AA820" s="202" t="str">
        <f t="shared" si="13"/>
        <v>Соль</v>
      </c>
    </row>
    <row r="821" spans="1:27" ht="15" customHeight="1" x14ac:dyDescent="0.25">
      <c r="A821" t="s">
        <v>153</v>
      </c>
      <c r="L821"/>
      <c r="M821"/>
      <c r="N821"/>
      <c r="O821"/>
      <c r="P821"/>
      <c r="T821">
        <v>1755</v>
      </c>
      <c r="U821" s="7">
        <v>3</v>
      </c>
      <c r="V821" t="s">
        <v>613</v>
      </c>
      <c r="W821" s="257" t="s">
        <v>668</v>
      </c>
      <c r="X821" t="s">
        <v>670</v>
      </c>
      <c r="Y821" s="316" t="s">
        <v>558</v>
      </c>
      <c r="Z821" s="8">
        <v>112</v>
      </c>
      <c r="AA821" s="202" t="str">
        <f t="shared" si="13"/>
        <v>Общая масса готового блюда, г</v>
      </c>
    </row>
    <row r="822" spans="1:27" ht="15" customHeight="1" x14ac:dyDescent="0.25">
      <c r="A822" t="s">
        <v>153</v>
      </c>
      <c r="L822"/>
      <c r="M822"/>
      <c r="N822"/>
      <c r="O822"/>
      <c r="P822"/>
      <c r="T822">
        <v>1755</v>
      </c>
      <c r="U822" s="7">
        <v>3</v>
      </c>
      <c r="V822" t="s">
        <v>613</v>
      </c>
      <c r="W822" s="257" t="s">
        <v>668</v>
      </c>
      <c r="X822" t="s">
        <v>670</v>
      </c>
      <c r="Y822" s="316" t="s">
        <v>1214</v>
      </c>
      <c r="Z822" s="8">
        <v>112</v>
      </c>
      <c r="AA822" s="202" t="str">
        <f t="shared" si="13"/>
        <v>Масса мясных и рыбных порций, г</v>
      </c>
    </row>
    <row r="823" spans="1:27" ht="15" customHeight="1" x14ac:dyDescent="0.25">
      <c r="A823" t="s">
        <v>153</v>
      </c>
      <c r="L823"/>
      <c r="M823"/>
      <c r="N823"/>
      <c r="O823"/>
      <c r="P823"/>
      <c r="T823">
        <v>2021</v>
      </c>
      <c r="U823" s="7">
        <v>3</v>
      </c>
      <c r="V823" t="s">
        <v>613</v>
      </c>
      <c r="W823" s="257" t="s">
        <v>671</v>
      </c>
      <c r="X823" t="s">
        <v>1210</v>
      </c>
      <c r="Y823" s="316" t="s">
        <v>454</v>
      </c>
      <c r="Z823" s="8">
        <v>112.5</v>
      </c>
      <c r="AA823" s="202" t="str">
        <f t="shared" si="13"/>
        <v>Говядина б/к</v>
      </c>
    </row>
    <row r="824" spans="1:27" ht="15" customHeight="1" x14ac:dyDescent="0.25">
      <c r="A824" t="s">
        <v>153</v>
      </c>
      <c r="L824"/>
      <c r="M824"/>
      <c r="N824"/>
      <c r="O824"/>
      <c r="P824"/>
      <c r="T824">
        <v>2022</v>
      </c>
      <c r="U824" s="7">
        <v>3</v>
      </c>
      <c r="V824" t="s">
        <v>613</v>
      </c>
      <c r="W824" s="257" t="s">
        <v>673</v>
      </c>
      <c r="X824" t="s">
        <v>1210</v>
      </c>
      <c r="Y824" s="316" t="s">
        <v>437</v>
      </c>
      <c r="Z824" s="8">
        <v>5</v>
      </c>
      <c r="AA824" s="202" t="str">
        <f t="shared" si="13"/>
        <v>Мука пшеничная 1 с</v>
      </c>
    </row>
    <row r="825" spans="1:27" ht="15" customHeight="1" x14ac:dyDescent="0.25">
      <c r="A825" t="s">
        <v>153</v>
      </c>
      <c r="L825"/>
      <c r="M825"/>
      <c r="N825"/>
      <c r="O825"/>
      <c r="P825"/>
      <c r="T825">
        <v>2023</v>
      </c>
      <c r="U825" s="7">
        <v>3</v>
      </c>
      <c r="V825" t="s">
        <v>613</v>
      </c>
      <c r="W825" s="257" t="s">
        <v>673</v>
      </c>
      <c r="X825" t="s">
        <v>1210</v>
      </c>
      <c r="Y825" s="316" t="s">
        <v>435</v>
      </c>
      <c r="Z825" s="8">
        <v>7</v>
      </c>
      <c r="AA825" s="202" t="str">
        <f t="shared" si="13"/>
        <v>Сухари</v>
      </c>
    </row>
    <row r="826" spans="1:27" ht="15" customHeight="1" x14ac:dyDescent="0.25">
      <c r="A826" t="s">
        <v>153</v>
      </c>
      <c r="L826"/>
      <c r="M826"/>
      <c r="N826"/>
      <c r="O826"/>
      <c r="P826"/>
      <c r="T826">
        <v>2024</v>
      </c>
      <c r="U826" s="7">
        <v>3</v>
      </c>
      <c r="V826" t="s">
        <v>613</v>
      </c>
      <c r="W826" s="257" t="s">
        <v>673</v>
      </c>
      <c r="X826" t="s">
        <v>1210</v>
      </c>
      <c r="Y826" s="316" t="s">
        <v>61</v>
      </c>
      <c r="Z826" s="8">
        <v>5</v>
      </c>
      <c r="AA826" s="202" t="str">
        <f t="shared" si="13"/>
        <v>Масло растительное</v>
      </c>
    </row>
    <row r="827" spans="1:27" ht="15" customHeight="1" x14ac:dyDescent="0.25">
      <c r="A827" t="s">
        <v>153</v>
      </c>
      <c r="L827"/>
      <c r="M827"/>
      <c r="N827"/>
      <c r="O827"/>
      <c r="P827"/>
      <c r="T827">
        <v>2025</v>
      </c>
      <c r="U827" s="7">
        <v>3</v>
      </c>
      <c r="V827" t="s">
        <v>613</v>
      </c>
      <c r="W827" s="257" t="s">
        <v>673</v>
      </c>
      <c r="X827" t="s">
        <v>1210</v>
      </c>
      <c r="Y827" s="316" t="s">
        <v>438</v>
      </c>
      <c r="Z827" s="8">
        <v>18</v>
      </c>
      <c r="AA827" s="202" t="str">
        <f t="shared" si="13"/>
        <v>Хлеб из муки пш. 1 сорта</v>
      </c>
    </row>
    <row r="828" spans="1:27" ht="15" customHeight="1" x14ac:dyDescent="0.25">
      <c r="A828" t="s">
        <v>153</v>
      </c>
      <c r="L828"/>
      <c r="M828"/>
      <c r="N828"/>
      <c r="O828"/>
      <c r="P828"/>
      <c r="T828">
        <v>2026</v>
      </c>
      <c r="U828" s="7">
        <v>3</v>
      </c>
      <c r="V828" t="s">
        <v>613</v>
      </c>
      <c r="W828" s="257" t="s">
        <v>673</v>
      </c>
      <c r="X828" t="s">
        <v>1210</v>
      </c>
      <c r="Y828" s="316" t="s">
        <v>330</v>
      </c>
      <c r="Z828" s="8">
        <v>22</v>
      </c>
      <c r="AA828" s="202" t="str">
        <f t="shared" si="13"/>
        <v>Вода</v>
      </c>
    </row>
    <row r="829" spans="1:27" ht="15" customHeight="1" x14ac:dyDescent="0.25">
      <c r="A829" t="s">
        <v>153</v>
      </c>
      <c r="L829"/>
      <c r="M829"/>
      <c r="N829"/>
      <c r="O829"/>
      <c r="P829"/>
      <c r="T829">
        <v>2027</v>
      </c>
      <c r="U829" s="7">
        <v>3</v>
      </c>
      <c r="V829" t="s">
        <v>613</v>
      </c>
      <c r="W829" s="257" t="s">
        <v>673</v>
      </c>
      <c r="X829" t="s">
        <v>1210</v>
      </c>
      <c r="Y829" s="316" t="s">
        <v>484</v>
      </c>
      <c r="Z829" s="8">
        <v>0.01</v>
      </c>
      <c r="AA829" s="202" t="str">
        <f t="shared" si="13"/>
        <v>Перец черный</v>
      </c>
    </row>
    <row r="830" spans="1:27" ht="15" customHeight="1" x14ac:dyDescent="0.25">
      <c r="A830" t="s">
        <v>153</v>
      </c>
      <c r="L830"/>
      <c r="M830"/>
      <c r="N830"/>
      <c r="O830"/>
      <c r="P830"/>
      <c r="T830">
        <v>2028</v>
      </c>
      <c r="U830" s="7">
        <v>3</v>
      </c>
      <c r="V830" t="s">
        <v>613</v>
      </c>
      <c r="W830" s="257" t="s">
        <v>673</v>
      </c>
      <c r="X830" t="s">
        <v>1210</v>
      </c>
      <c r="Y830" s="316" t="s">
        <v>558</v>
      </c>
      <c r="Z830" s="8">
        <v>98</v>
      </c>
      <c r="AA830" s="202" t="str">
        <f t="shared" si="13"/>
        <v>Общая масса готового блюда, г</v>
      </c>
    </row>
    <row r="831" spans="1:27" ht="15" customHeight="1" x14ac:dyDescent="0.25">
      <c r="A831" t="s">
        <v>153</v>
      </c>
      <c r="L831"/>
      <c r="M831"/>
      <c r="N831"/>
      <c r="O831"/>
      <c r="P831"/>
      <c r="T831">
        <v>2028</v>
      </c>
      <c r="U831" s="7">
        <v>3</v>
      </c>
      <c r="V831" t="s">
        <v>613</v>
      </c>
      <c r="W831" s="257" t="s">
        <v>673</v>
      </c>
      <c r="X831" t="s">
        <v>1210</v>
      </c>
      <c r="Y831" s="316" t="s">
        <v>1214</v>
      </c>
      <c r="Z831" s="8">
        <v>98</v>
      </c>
      <c r="AA831" s="202" t="str">
        <f t="shared" si="13"/>
        <v>Масса мясных и рыбных порций, г</v>
      </c>
    </row>
    <row r="832" spans="1:27" ht="15" customHeight="1" x14ac:dyDescent="0.25">
      <c r="A832" t="s">
        <v>153</v>
      </c>
      <c r="L832"/>
      <c r="M832"/>
      <c r="N832"/>
      <c r="O832"/>
      <c r="P832"/>
      <c r="T832">
        <v>2013</v>
      </c>
      <c r="U832" s="7">
        <v>3</v>
      </c>
      <c r="V832" t="s">
        <v>613</v>
      </c>
      <c r="W832" s="257" t="s">
        <v>671</v>
      </c>
      <c r="X832" t="s">
        <v>672</v>
      </c>
      <c r="Y832" s="316" t="s">
        <v>455</v>
      </c>
      <c r="Z832" s="8">
        <v>100</v>
      </c>
      <c r="AA832" s="202" t="str">
        <f t="shared" si="13"/>
        <v>Говядина н/к</v>
      </c>
    </row>
    <row r="833" spans="1:27" ht="15" customHeight="1" x14ac:dyDescent="0.25">
      <c r="A833" t="s">
        <v>153</v>
      </c>
      <c r="L833"/>
      <c r="M833"/>
      <c r="N833"/>
      <c r="O833"/>
      <c r="P833"/>
      <c r="T833">
        <v>2014</v>
      </c>
      <c r="U833" s="7">
        <v>3</v>
      </c>
      <c r="V833" t="s">
        <v>613</v>
      </c>
      <c r="W833" s="257" t="s">
        <v>671</v>
      </c>
      <c r="X833" t="s">
        <v>672</v>
      </c>
      <c r="Y833" s="316" t="s">
        <v>437</v>
      </c>
      <c r="Z833" s="8">
        <v>5</v>
      </c>
      <c r="AA833" s="202" t="str">
        <f t="shared" si="13"/>
        <v>Мука пшеничная 1 с</v>
      </c>
    </row>
    <row r="834" spans="1:27" ht="15" customHeight="1" x14ac:dyDescent="0.25">
      <c r="A834" t="s">
        <v>153</v>
      </c>
      <c r="L834"/>
      <c r="M834"/>
      <c r="N834"/>
      <c r="O834"/>
      <c r="P834"/>
      <c r="T834">
        <v>2015</v>
      </c>
      <c r="U834" s="7">
        <v>3</v>
      </c>
      <c r="V834" t="s">
        <v>613</v>
      </c>
      <c r="W834" s="257" t="s">
        <v>671</v>
      </c>
      <c r="X834" t="s">
        <v>672</v>
      </c>
      <c r="Y834" s="316" t="s">
        <v>435</v>
      </c>
      <c r="Z834" s="8">
        <v>7</v>
      </c>
      <c r="AA834" s="202" t="str">
        <f t="shared" ref="AA834:AA897" si="14">VLOOKUP(Y834,O:P,2,FALSE)</f>
        <v>Сухари</v>
      </c>
    </row>
    <row r="835" spans="1:27" ht="15" customHeight="1" x14ac:dyDescent="0.25">
      <c r="A835" t="s">
        <v>153</v>
      </c>
      <c r="L835"/>
      <c r="M835"/>
      <c r="N835"/>
      <c r="O835"/>
      <c r="P835"/>
      <c r="T835">
        <v>2016</v>
      </c>
      <c r="U835" s="7">
        <v>3</v>
      </c>
      <c r="V835" t="s">
        <v>613</v>
      </c>
      <c r="W835" s="257" t="s">
        <v>671</v>
      </c>
      <c r="X835" t="s">
        <v>672</v>
      </c>
      <c r="Y835" s="316" t="s">
        <v>61</v>
      </c>
      <c r="Z835" s="8">
        <v>5</v>
      </c>
      <c r="AA835" s="202" t="str">
        <f t="shared" si="14"/>
        <v>Масло растительное</v>
      </c>
    </row>
    <row r="836" spans="1:27" ht="15" customHeight="1" x14ac:dyDescent="0.25">
      <c r="A836" t="s">
        <v>153</v>
      </c>
      <c r="L836"/>
      <c r="M836"/>
      <c r="N836"/>
      <c r="O836"/>
      <c r="P836"/>
      <c r="T836">
        <v>2017</v>
      </c>
      <c r="U836" s="7">
        <v>3</v>
      </c>
      <c r="V836" t="s">
        <v>613</v>
      </c>
      <c r="W836" s="257" t="s">
        <v>671</v>
      </c>
      <c r="X836" t="s">
        <v>672</v>
      </c>
      <c r="Y836" s="316" t="s">
        <v>438</v>
      </c>
      <c r="Z836" s="8">
        <v>18</v>
      </c>
      <c r="AA836" s="202" t="str">
        <f t="shared" si="14"/>
        <v>Хлеб из муки пш. 1 сорта</v>
      </c>
    </row>
    <row r="837" spans="1:27" ht="15" customHeight="1" x14ac:dyDescent="0.25">
      <c r="A837" t="s">
        <v>153</v>
      </c>
      <c r="L837"/>
      <c r="M837"/>
      <c r="N837"/>
      <c r="O837"/>
      <c r="P837"/>
      <c r="T837">
        <v>2018</v>
      </c>
      <c r="U837" s="7">
        <v>3</v>
      </c>
      <c r="V837" t="s">
        <v>613</v>
      </c>
      <c r="W837" s="257" t="s">
        <v>671</v>
      </c>
      <c r="X837" t="s">
        <v>672</v>
      </c>
      <c r="Y837" s="316" t="s">
        <v>330</v>
      </c>
      <c r="Z837" s="8">
        <v>22</v>
      </c>
      <c r="AA837" s="202" t="str">
        <f t="shared" si="14"/>
        <v>Вода</v>
      </c>
    </row>
    <row r="838" spans="1:27" ht="15" customHeight="1" x14ac:dyDescent="0.25">
      <c r="A838" t="s">
        <v>153</v>
      </c>
      <c r="L838"/>
      <c r="M838"/>
      <c r="N838"/>
      <c r="O838"/>
      <c r="P838"/>
      <c r="T838">
        <v>2019</v>
      </c>
      <c r="U838" s="7">
        <v>3</v>
      </c>
      <c r="V838" t="s">
        <v>613</v>
      </c>
      <c r="W838" s="257" t="s">
        <v>671</v>
      </c>
      <c r="X838" t="s">
        <v>672</v>
      </c>
      <c r="Y838" s="316" t="s">
        <v>484</v>
      </c>
      <c r="Z838" s="8">
        <v>0.01</v>
      </c>
      <c r="AA838" s="202" t="str">
        <f t="shared" si="14"/>
        <v>Перец черный</v>
      </c>
    </row>
    <row r="839" spans="1:27" ht="15" customHeight="1" x14ac:dyDescent="0.25">
      <c r="A839" t="s">
        <v>153</v>
      </c>
      <c r="L839"/>
      <c r="M839"/>
      <c r="N839"/>
      <c r="O839"/>
      <c r="P839"/>
      <c r="T839">
        <v>2020</v>
      </c>
      <c r="U839" s="7">
        <v>3</v>
      </c>
      <c r="V839" t="s">
        <v>613</v>
      </c>
      <c r="W839" s="257" t="s">
        <v>671</v>
      </c>
      <c r="X839" t="s">
        <v>672</v>
      </c>
      <c r="Y839" s="316" t="s">
        <v>558</v>
      </c>
      <c r="Z839" s="8">
        <v>98</v>
      </c>
      <c r="AA839" s="202" t="str">
        <f t="shared" si="14"/>
        <v>Общая масса готового блюда, г</v>
      </c>
    </row>
    <row r="840" spans="1:27" ht="15" customHeight="1" x14ac:dyDescent="0.25">
      <c r="A840" t="s">
        <v>153</v>
      </c>
      <c r="L840"/>
      <c r="M840"/>
      <c r="N840"/>
      <c r="O840"/>
      <c r="P840"/>
      <c r="T840">
        <v>2020</v>
      </c>
      <c r="U840" s="7">
        <v>3</v>
      </c>
      <c r="V840" t="s">
        <v>613</v>
      </c>
      <c r="W840" s="257" t="s">
        <v>671</v>
      </c>
      <c r="X840" t="s">
        <v>672</v>
      </c>
      <c r="Y840" s="316" t="s">
        <v>1214</v>
      </c>
      <c r="Z840" s="8">
        <v>98</v>
      </c>
      <c r="AA840" s="202" t="str">
        <f t="shared" si="14"/>
        <v>Масса мясных и рыбных порций, г</v>
      </c>
    </row>
    <row r="841" spans="1:27" ht="15" customHeight="1" x14ac:dyDescent="0.25">
      <c r="A841" t="s">
        <v>153</v>
      </c>
      <c r="L841"/>
      <c r="M841"/>
      <c r="N841"/>
      <c r="O841"/>
      <c r="P841"/>
      <c r="T841">
        <v>2145</v>
      </c>
      <c r="U841" s="7">
        <v>3</v>
      </c>
      <c r="V841" t="s">
        <v>613</v>
      </c>
      <c r="W841" s="257" t="s">
        <v>674</v>
      </c>
      <c r="X841" t="s">
        <v>675</v>
      </c>
      <c r="Y841" s="316" t="s">
        <v>462</v>
      </c>
      <c r="Z841" s="8">
        <v>100</v>
      </c>
      <c r="AA841" s="202" t="str">
        <f t="shared" si="14"/>
        <v>Свинина на кости</v>
      </c>
    </row>
    <row r="842" spans="1:27" ht="15" customHeight="1" x14ac:dyDescent="0.25">
      <c r="A842" t="s">
        <v>153</v>
      </c>
      <c r="L842"/>
      <c r="M842"/>
      <c r="N842"/>
      <c r="O842"/>
      <c r="P842"/>
      <c r="T842">
        <v>2146</v>
      </c>
      <c r="U842" s="7">
        <v>3</v>
      </c>
      <c r="V842" t="s">
        <v>613</v>
      </c>
      <c r="W842" s="257" t="s">
        <v>674</v>
      </c>
      <c r="X842" t="s">
        <v>675</v>
      </c>
      <c r="Y842" s="316" t="s">
        <v>437</v>
      </c>
      <c r="Z842" s="8">
        <v>5</v>
      </c>
      <c r="AA842" s="202" t="str">
        <f t="shared" si="14"/>
        <v>Мука пшеничная 1 с</v>
      </c>
    </row>
    <row r="843" spans="1:27" ht="15" customHeight="1" x14ac:dyDescent="0.25">
      <c r="A843" t="s">
        <v>153</v>
      </c>
      <c r="L843"/>
      <c r="M843"/>
      <c r="N843"/>
      <c r="O843"/>
      <c r="P843"/>
      <c r="T843">
        <v>2148</v>
      </c>
      <c r="U843" s="7">
        <v>3</v>
      </c>
      <c r="V843" t="s">
        <v>613</v>
      </c>
      <c r="W843" s="257" t="s">
        <v>674</v>
      </c>
      <c r="X843" t="s">
        <v>675</v>
      </c>
      <c r="Y843" s="316" t="s">
        <v>61</v>
      </c>
      <c r="Z843" s="8">
        <v>5</v>
      </c>
      <c r="AA843" s="202" t="str">
        <f t="shared" si="14"/>
        <v>Масло растительное</v>
      </c>
    </row>
    <row r="844" spans="1:27" ht="15" customHeight="1" x14ac:dyDescent="0.25">
      <c r="A844" t="s">
        <v>153</v>
      </c>
      <c r="L844"/>
      <c r="M844"/>
      <c r="N844"/>
      <c r="O844"/>
      <c r="P844"/>
      <c r="T844">
        <v>2149</v>
      </c>
      <c r="U844" s="7">
        <v>3</v>
      </c>
      <c r="V844" t="s">
        <v>613</v>
      </c>
      <c r="W844" s="257" t="s">
        <v>674</v>
      </c>
      <c r="X844" t="s">
        <v>675</v>
      </c>
      <c r="Y844" s="316" t="s">
        <v>438</v>
      </c>
      <c r="Z844" s="8">
        <v>18</v>
      </c>
      <c r="AA844" s="202" t="str">
        <f t="shared" si="14"/>
        <v>Хлеб из муки пш. 1 сорта</v>
      </c>
    </row>
    <row r="845" spans="1:27" ht="15" customHeight="1" x14ac:dyDescent="0.25">
      <c r="A845" t="s">
        <v>153</v>
      </c>
      <c r="L845"/>
      <c r="M845"/>
      <c r="N845"/>
      <c r="O845"/>
      <c r="P845"/>
      <c r="T845">
        <v>2150</v>
      </c>
      <c r="U845" s="7">
        <v>3</v>
      </c>
      <c r="V845" t="s">
        <v>613</v>
      </c>
      <c r="W845" s="257" t="s">
        <v>674</v>
      </c>
      <c r="X845" t="s">
        <v>675</v>
      </c>
      <c r="Y845" s="316" t="s">
        <v>330</v>
      </c>
      <c r="Z845" s="8">
        <v>22</v>
      </c>
      <c r="AA845" s="202" t="str">
        <f t="shared" si="14"/>
        <v>Вода</v>
      </c>
    </row>
    <row r="846" spans="1:27" ht="15" customHeight="1" x14ac:dyDescent="0.25">
      <c r="A846" t="s">
        <v>153</v>
      </c>
      <c r="L846"/>
      <c r="M846"/>
      <c r="N846"/>
      <c r="O846"/>
      <c r="P846"/>
      <c r="T846">
        <v>2151</v>
      </c>
      <c r="U846" s="7">
        <v>3</v>
      </c>
      <c r="V846" t="s">
        <v>613</v>
      </c>
      <c r="W846" s="257" t="s">
        <v>674</v>
      </c>
      <c r="X846" t="s">
        <v>675</v>
      </c>
      <c r="Y846" s="316" t="s">
        <v>558</v>
      </c>
      <c r="Z846" s="8">
        <v>108</v>
      </c>
      <c r="AA846" s="202" t="str">
        <f t="shared" si="14"/>
        <v>Общая масса готового блюда, г</v>
      </c>
    </row>
    <row r="847" spans="1:27" ht="15" customHeight="1" x14ac:dyDescent="0.25">
      <c r="A847" t="s">
        <v>153</v>
      </c>
      <c r="L847"/>
      <c r="M847"/>
      <c r="N847"/>
      <c r="O847"/>
      <c r="P847"/>
      <c r="T847">
        <v>2151</v>
      </c>
      <c r="U847" s="7">
        <v>3</v>
      </c>
      <c r="V847" t="s">
        <v>613</v>
      </c>
      <c r="W847" s="257" t="s">
        <v>674</v>
      </c>
      <c r="X847" t="s">
        <v>675</v>
      </c>
      <c r="Y847" s="316" t="s">
        <v>1214</v>
      </c>
      <c r="Z847" s="8">
        <v>85.2</v>
      </c>
      <c r="AA847" s="202" t="str">
        <f t="shared" si="14"/>
        <v>Масса мясных и рыбных порций, г</v>
      </c>
    </row>
    <row r="848" spans="1:27" ht="15" customHeight="1" x14ac:dyDescent="0.25">
      <c r="A848" t="s">
        <v>153</v>
      </c>
      <c r="L848"/>
      <c r="M848"/>
      <c r="N848"/>
      <c r="O848"/>
      <c r="P848"/>
      <c r="T848">
        <v>2444</v>
      </c>
      <c r="U848" s="7">
        <v>3</v>
      </c>
      <c r="V848" t="s">
        <v>613</v>
      </c>
      <c r="W848" s="257" t="s">
        <v>676</v>
      </c>
      <c r="X848" t="s">
        <v>677</v>
      </c>
      <c r="Y848" s="316" t="s">
        <v>455</v>
      </c>
      <c r="Z848" s="8">
        <v>100</v>
      </c>
      <c r="AA848" s="202" t="str">
        <f t="shared" si="14"/>
        <v>Говядина н/к</v>
      </c>
    </row>
    <row r="849" spans="1:27" ht="15" customHeight="1" x14ac:dyDescent="0.25">
      <c r="A849" t="s">
        <v>153</v>
      </c>
      <c r="L849"/>
      <c r="M849"/>
      <c r="N849"/>
      <c r="O849"/>
      <c r="P849"/>
      <c r="T849">
        <v>2445</v>
      </c>
      <c r="U849" s="7">
        <v>3</v>
      </c>
      <c r="V849" t="s">
        <v>613</v>
      </c>
      <c r="W849" s="257" t="s">
        <v>676</v>
      </c>
      <c r="X849" t="s">
        <v>677</v>
      </c>
      <c r="Y849" s="316" t="s">
        <v>32</v>
      </c>
      <c r="Z849" s="8">
        <v>10</v>
      </c>
      <c r="AA849" s="202" t="str">
        <f t="shared" si="14"/>
        <v>Лук репчатый</v>
      </c>
    </row>
    <row r="850" spans="1:27" ht="15" customHeight="1" x14ac:dyDescent="0.25">
      <c r="A850" t="s">
        <v>153</v>
      </c>
      <c r="L850"/>
      <c r="M850"/>
      <c r="N850"/>
      <c r="O850"/>
      <c r="P850"/>
      <c r="T850">
        <v>2446</v>
      </c>
      <c r="U850" s="7">
        <v>3</v>
      </c>
      <c r="V850" t="s">
        <v>613</v>
      </c>
      <c r="W850" s="257" t="s">
        <v>676</v>
      </c>
      <c r="X850" t="s">
        <v>677</v>
      </c>
      <c r="Y850" s="316" t="s">
        <v>657</v>
      </c>
      <c r="Z850" s="8">
        <v>7</v>
      </c>
      <c r="AA850" s="202" t="str">
        <f t="shared" si="14"/>
        <v>Сухари</v>
      </c>
    </row>
    <row r="851" spans="1:27" ht="15" customHeight="1" x14ac:dyDescent="0.25">
      <c r="A851" t="s">
        <v>153</v>
      </c>
      <c r="L851"/>
      <c r="M851"/>
      <c r="N851"/>
      <c r="O851"/>
      <c r="P851"/>
      <c r="T851">
        <v>2447</v>
      </c>
      <c r="U851" s="7">
        <v>3</v>
      </c>
      <c r="V851" t="s">
        <v>613</v>
      </c>
      <c r="W851" s="257" t="s">
        <v>676</v>
      </c>
      <c r="X851" t="s">
        <v>677</v>
      </c>
      <c r="Y851" s="316" t="s">
        <v>61</v>
      </c>
      <c r="Z851" s="8">
        <v>5</v>
      </c>
      <c r="AA851" s="202" t="str">
        <f t="shared" si="14"/>
        <v>Масло растительное</v>
      </c>
    </row>
    <row r="852" spans="1:27" ht="15" customHeight="1" x14ac:dyDescent="0.25">
      <c r="A852" t="s">
        <v>153</v>
      </c>
      <c r="L852"/>
      <c r="M852"/>
      <c r="N852"/>
      <c r="O852"/>
      <c r="P852"/>
      <c r="T852">
        <v>2448</v>
      </c>
      <c r="U852" s="7">
        <v>3</v>
      </c>
      <c r="V852" t="s">
        <v>613</v>
      </c>
      <c r="W852" s="257" t="s">
        <v>676</v>
      </c>
      <c r="X852" t="s">
        <v>677</v>
      </c>
      <c r="Y852" s="316" t="s">
        <v>438</v>
      </c>
      <c r="Z852" s="8">
        <v>18</v>
      </c>
      <c r="AA852" s="202" t="str">
        <f t="shared" si="14"/>
        <v>Хлеб из муки пш. 1 сорта</v>
      </c>
    </row>
    <row r="853" spans="1:27" ht="15" customHeight="1" x14ac:dyDescent="0.25">
      <c r="A853" t="s">
        <v>153</v>
      </c>
      <c r="L853"/>
      <c r="M853"/>
      <c r="N853"/>
      <c r="O853"/>
      <c r="P853"/>
      <c r="T853">
        <v>2449</v>
      </c>
      <c r="U853" s="7">
        <v>3</v>
      </c>
      <c r="V853" t="s">
        <v>613</v>
      </c>
      <c r="W853" s="257" t="s">
        <v>676</v>
      </c>
      <c r="X853" t="s">
        <v>677</v>
      </c>
      <c r="Y853" s="316" t="s">
        <v>330</v>
      </c>
      <c r="Z853" s="8">
        <v>22</v>
      </c>
      <c r="AA853" s="202" t="str">
        <f t="shared" si="14"/>
        <v>Вода</v>
      </c>
    </row>
    <row r="854" spans="1:27" ht="15" customHeight="1" x14ac:dyDescent="0.25">
      <c r="A854" t="s">
        <v>153</v>
      </c>
      <c r="L854"/>
      <c r="M854"/>
      <c r="N854"/>
      <c r="O854"/>
      <c r="P854"/>
      <c r="T854">
        <v>2450</v>
      </c>
      <c r="U854" s="7">
        <v>3</v>
      </c>
      <c r="V854" t="s">
        <v>613</v>
      </c>
      <c r="W854" s="257" t="s">
        <v>676</v>
      </c>
      <c r="X854" t="s">
        <v>677</v>
      </c>
      <c r="Y854" s="316" t="s">
        <v>484</v>
      </c>
      <c r="Z854" s="8">
        <v>0.1</v>
      </c>
      <c r="AA854" s="202" t="str">
        <f t="shared" si="14"/>
        <v>Перец черный</v>
      </c>
    </row>
    <row r="855" spans="1:27" ht="15" customHeight="1" x14ac:dyDescent="0.25">
      <c r="A855" t="s">
        <v>153</v>
      </c>
      <c r="L855"/>
      <c r="M855"/>
      <c r="N855"/>
      <c r="O855"/>
      <c r="P855"/>
      <c r="T855">
        <v>2451</v>
      </c>
      <c r="U855" s="7">
        <v>3</v>
      </c>
      <c r="V855" t="s">
        <v>613</v>
      </c>
      <c r="W855" s="257" t="s">
        <v>676</v>
      </c>
      <c r="X855" t="s">
        <v>677</v>
      </c>
      <c r="Y855" s="316" t="s">
        <v>558</v>
      </c>
      <c r="Z855" s="8">
        <v>94</v>
      </c>
      <c r="AA855" s="202" t="str">
        <f t="shared" si="14"/>
        <v>Общая масса готового блюда, г</v>
      </c>
    </row>
    <row r="856" spans="1:27" ht="15" customHeight="1" x14ac:dyDescent="0.25">
      <c r="A856" t="s">
        <v>153</v>
      </c>
      <c r="L856"/>
      <c r="M856"/>
      <c r="N856"/>
      <c r="O856"/>
      <c r="P856"/>
      <c r="T856">
        <v>2451</v>
      </c>
      <c r="U856" s="7">
        <v>3</v>
      </c>
      <c r="V856" t="s">
        <v>613</v>
      </c>
      <c r="W856" s="257" t="s">
        <v>676</v>
      </c>
      <c r="X856" t="s">
        <v>677</v>
      </c>
      <c r="Y856" s="316" t="s">
        <v>1214</v>
      </c>
      <c r="Z856" s="8">
        <v>69</v>
      </c>
      <c r="AA856" s="202" t="str">
        <f t="shared" si="14"/>
        <v>Масса мясных и рыбных порций, г</v>
      </c>
    </row>
    <row r="857" spans="1:27" ht="15" customHeight="1" x14ac:dyDescent="0.25">
      <c r="A857" t="s">
        <v>153</v>
      </c>
      <c r="L857"/>
      <c r="M857"/>
      <c r="N857"/>
      <c r="O857"/>
      <c r="P857"/>
      <c r="T857">
        <v>1734</v>
      </c>
      <c r="U857" s="7">
        <v>3</v>
      </c>
      <c r="V857" t="s">
        <v>613</v>
      </c>
      <c r="W857" s="257" t="s">
        <v>678</v>
      </c>
      <c r="X857" t="s">
        <v>679</v>
      </c>
      <c r="Y857" s="316" t="s">
        <v>419</v>
      </c>
      <c r="Z857" s="8">
        <v>150</v>
      </c>
      <c r="AA857" s="202" t="str">
        <f t="shared" si="14"/>
        <v>Рыба с/м б/г</v>
      </c>
    </row>
    <row r="858" spans="1:27" ht="15" customHeight="1" x14ac:dyDescent="0.25">
      <c r="A858" t="s">
        <v>153</v>
      </c>
      <c r="L858"/>
      <c r="M858"/>
      <c r="N858"/>
      <c r="O858"/>
      <c r="P858"/>
      <c r="T858">
        <v>1735</v>
      </c>
      <c r="U858" s="7">
        <v>3</v>
      </c>
      <c r="V858" t="s">
        <v>613</v>
      </c>
      <c r="W858" s="257" t="s">
        <v>678</v>
      </c>
      <c r="X858" t="s">
        <v>679</v>
      </c>
      <c r="Y858" s="316" t="s">
        <v>326</v>
      </c>
      <c r="Z858" s="8">
        <v>2</v>
      </c>
      <c r="AA858" s="202" t="str">
        <f t="shared" si="14"/>
        <v>Соль</v>
      </c>
    </row>
    <row r="859" spans="1:27" ht="15" customHeight="1" x14ac:dyDescent="0.25">
      <c r="A859" t="s">
        <v>153</v>
      </c>
      <c r="L859"/>
      <c r="M859"/>
      <c r="N859"/>
      <c r="O859"/>
      <c r="P859"/>
      <c r="T859">
        <v>1736</v>
      </c>
      <c r="U859" s="7">
        <v>3</v>
      </c>
      <c r="V859" t="s">
        <v>613</v>
      </c>
      <c r="W859" s="257" t="s">
        <v>678</v>
      </c>
      <c r="X859" t="s">
        <v>679</v>
      </c>
      <c r="Y859" s="316" t="s">
        <v>438</v>
      </c>
      <c r="Z859" s="8">
        <v>18</v>
      </c>
      <c r="AA859" s="202" t="str">
        <f t="shared" si="14"/>
        <v>Хлеб из муки пш. 1 сорта</v>
      </c>
    </row>
    <row r="860" spans="1:27" ht="15" customHeight="1" x14ac:dyDescent="0.25">
      <c r="A860" t="s">
        <v>153</v>
      </c>
      <c r="L860"/>
      <c r="M860"/>
      <c r="N860"/>
      <c r="O860"/>
      <c r="P860"/>
      <c r="T860">
        <v>1737</v>
      </c>
      <c r="U860" s="7">
        <v>3</v>
      </c>
      <c r="V860" t="s">
        <v>613</v>
      </c>
      <c r="W860" s="257" t="s">
        <v>678</v>
      </c>
      <c r="X860" t="s">
        <v>679</v>
      </c>
      <c r="Y860" s="316" t="s">
        <v>436</v>
      </c>
      <c r="Z860" s="8">
        <v>8.4</v>
      </c>
      <c r="AA860" s="202" t="str">
        <f t="shared" si="14"/>
        <v>Сухари</v>
      </c>
    </row>
    <row r="861" spans="1:27" ht="15" customHeight="1" x14ac:dyDescent="0.25">
      <c r="A861" t="s">
        <v>153</v>
      </c>
      <c r="L861"/>
      <c r="M861"/>
      <c r="N861"/>
      <c r="O861"/>
      <c r="P861"/>
      <c r="T861">
        <v>1738</v>
      </c>
      <c r="U861" s="7">
        <v>3</v>
      </c>
      <c r="V861" t="s">
        <v>613</v>
      </c>
      <c r="W861" s="257" t="s">
        <v>678</v>
      </c>
      <c r="X861" t="s">
        <v>679</v>
      </c>
      <c r="Y861" s="316" t="s">
        <v>330</v>
      </c>
      <c r="Z861" s="8">
        <v>20.399999999999999</v>
      </c>
      <c r="AA861" s="202" t="str">
        <f t="shared" si="14"/>
        <v>Вода</v>
      </c>
    </row>
    <row r="862" spans="1:27" ht="15" customHeight="1" x14ac:dyDescent="0.25">
      <c r="A862" t="s">
        <v>153</v>
      </c>
      <c r="L862"/>
      <c r="M862"/>
      <c r="N862"/>
      <c r="O862"/>
      <c r="P862"/>
      <c r="T862">
        <v>1739</v>
      </c>
      <c r="U862" s="7">
        <v>3</v>
      </c>
      <c r="V862" t="s">
        <v>613</v>
      </c>
      <c r="W862" s="257" t="s">
        <v>678</v>
      </c>
      <c r="X862" t="s">
        <v>679</v>
      </c>
      <c r="Y862" s="316" t="s">
        <v>484</v>
      </c>
      <c r="Z862" s="8">
        <v>0.01</v>
      </c>
      <c r="AA862" s="202" t="str">
        <f t="shared" si="14"/>
        <v>Перец черный</v>
      </c>
    </row>
    <row r="863" spans="1:27" ht="15" customHeight="1" x14ac:dyDescent="0.25">
      <c r="A863" t="s">
        <v>153</v>
      </c>
      <c r="L863"/>
      <c r="M863"/>
      <c r="N863"/>
      <c r="O863"/>
      <c r="P863"/>
      <c r="T863">
        <v>1740</v>
      </c>
      <c r="U863" s="7">
        <v>3</v>
      </c>
      <c r="V863" t="s">
        <v>613</v>
      </c>
      <c r="W863" s="257" t="s">
        <v>678</v>
      </c>
      <c r="X863" t="s">
        <v>679</v>
      </c>
      <c r="Y863" s="316" t="s">
        <v>558</v>
      </c>
      <c r="Z863" s="8">
        <v>103.53</v>
      </c>
      <c r="AA863" s="202" t="str">
        <f t="shared" si="14"/>
        <v>Общая масса готового блюда, г</v>
      </c>
    </row>
    <row r="864" spans="1:27" ht="15" customHeight="1" x14ac:dyDescent="0.25">
      <c r="A864" t="s">
        <v>153</v>
      </c>
      <c r="L864"/>
      <c r="M864"/>
      <c r="N864"/>
      <c r="O864"/>
      <c r="P864"/>
      <c r="T864">
        <v>1740</v>
      </c>
      <c r="U864" s="7">
        <v>3</v>
      </c>
      <c r="V864" t="s">
        <v>613</v>
      </c>
      <c r="W864" s="257" t="s">
        <v>678</v>
      </c>
      <c r="X864" t="s">
        <v>679</v>
      </c>
      <c r="Y864" s="316" t="s">
        <v>1214</v>
      </c>
      <c r="Z864" s="8">
        <v>103.5</v>
      </c>
      <c r="AA864" s="202" t="str">
        <f t="shared" si="14"/>
        <v>Масса мясных и рыбных порций, г</v>
      </c>
    </row>
    <row r="865" spans="1:27" ht="15" customHeight="1" x14ac:dyDescent="0.25">
      <c r="A865" t="s">
        <v>153</v>
      </c>
      <c r="L865"/>
      <c r="M865"/>
      <c r="N865"/>
      <c r="O865"/>
      <c r="P865"/>
      <c r="T865">
        <v>1741</v>
      </c>
      <c r="U865" s="7">
        <v>3</v>
      </c>
      <c r="V865" t="s">
        <v>613</v>
      </c>
      <c r="W865" s="257" t="s">
        <v>680</v>
      </c>
      <c r="X865" t="s">
        <v>681</v>
      </c>
      <c r="Y865" s="316" t="s">
        <v>419</v>
      </c>
      <c r="Z865" s="8">
        <v>150</v>
      </c>
      <c r="AA865" s="202" t="str">
        <f t="shared" si="14"/>
        <v>Рыба с/м б/г</v>
      </c>
    </row>
    <row r="866" spans="1:27" ht="15" customHeight="1" x14ac:dyDescent="0.25">
      <c r="A866" t="s">
        <v>153</v>
      </c>
      <c r="L866"/>
      <c r="M866"/>
      <c r="N866"/>
      <c r="O866"/>
      <c r="P866"/>
      <c r="T866">
        <v>1742</v>
      </c>
      <c r="U866" s="7">
        <v>3</v>
      </c>
      <c r="V866" t="s">
        <v>613</v>
      </c>
      <c r="W866" s="257" t="s">
        <v>680</v>
      </c>
      <c r="X866" t="s">
        <v>681</v>
      </c>
      <c r="Y866" s="316" t="s">
        <v>326</v>
      </c>
      <c r="Z866" s="8">
        <v>2</v>
      </c>
      <c r="AA866" s="202" t="str">
        <f t="shared" si="14"/>
        <v>Соль</v>
      </c>
    </row>
    <row r="867" spans="1:27" ht="15" customHeight="1" x14ac:dyDescent="0.25">
      <c r="A867" t="s">
        <v>153</v>
      </c>
      <c r="L867"/>
      <c r="M867"/>
      <c r="N867"/>
      <c r="O867"/>
      <c r="P867"/>
      <c r="T867">
        <v>1743</v>
      </c>
      <c r="U867" s="7">
        <v>3</v>
      </c>
      <c r="V867" t="s">
        <v>613</v>
      </c>
      <c r="W867" s="257" t="s">
        <v>680</v>
      </c>
      <c r="X867" t="s">
        <v>681</v>
      </c>
      <c r="Y867" s="316" t="s">
        <v>438</v>
      </c>
      <c r="Z867" s="8">
        <v>18</v>
      </c>
      <c r="AA867" s="202" t="str">
        <f t="shared" si="14"/>
        <v>Хлеб из муки пш. 1 сорта</v>
      </c>
    </row>
    <row r="868" spans="1:27" ht="15" customHeight="1" x14ac:dyDescent="0.25">
      <c r="A868" t="s">
        <v>153</v>
      </c>
      <c r="L868"/>
      <c r="M868"/>
      <c r="N868"/>
      <c r="O868"/>
      <c r="P868"/>
      <c r="T868">
        <v>1744</v>
      </c>
      <c r="U868" s="7">
        <v>3</v>
      </c>
      <c r="V868" t="s">
        <v>613</v>
      </c>
      <c r="W868" s="257" t="s">
        <v>680</v>
      </c>
      <c r="X868" t="s">
        <v>681</v>
      </c>
      <c r="Y868" s="316" t="s">
        <v>436</v>
      </c>
      <c r="Z868" s="8">
        <v>8.4</v>
      </c>
      <c r="AA868" s="202" t="str">
        <f t="shared" si="14"/>
        <v>Сухари</v>
      </c>
    </row>
    <row r="869" spans="1:27" ht="15" customHeight="1" x14ac:dyDescent="0.25">
      <c r="A869" t="s">
        <v>153</v>
      </c>
      <c r="L869"/>
      <c r="M869"/>
      <c r="N869"/>
      <c r="O869"/>
      <c r="P869"/>
      <c r="T869">
        <v>1745</v>
      </c>
      <c r="U869" s="7">
        <v>3</v>
      </c>
      <c r="V869" t="s">
        <v>613</v>
      </c>
      <c r="W869" s="257" t="s">
        <v>680</v>
      </c>
      <c r="X869" t="s">
        <v>681</v>
      </c>
      <c r="Y869" s="316" t="s">
        <v>330</v>
      </c>
      <c r="Z869" s="8">
        <v>20.399999999999999</v>
      </c>
      <c r="AA869" s="202" t="str">
        <f t="shared" si="14"/>
        <v>Вода</v>
      </c>
    </row>
    <row r="870" spans="1:27" ht="15" customHeight="1" x14ac:dyDescent="0.25">
      <c r="A870" t="s">
        <v>153</v>
      </c>
      <c r="L870"/>
      <c r="M870"/>
      <c r="N870"/>
      <c r="O870"/>
      <c r="P870"/>
      <c r="T870">
        <v>1746</v>
      </c>
      <c r="U870" s="7">
        <v>3</v>
      </c>
      <c r="V870" t="s">
        <v>613</v>
      </c>
      <c r="W870" s="257" t="s">
        <v>680</v>
      </c>
      <c r="X870" t="s">
        <v>681</v>
      </c>
      <c r="Y870" s="316" t="s">
        <v>484</v>
      </c>
      <c r="Z870" s="8">
        <v>0.01</v>
      </c>
      <c r="AA870" s="202" t="str">
        <f t="shared" si="14"/>
        <v>Перец черный</v>
      </c>
    </row>
    <row r="871" spans="1:27" ht="15" customHeight="1" x14ac:dyDescent="0.25">
      <c r="A871" t="s">
        <v>153</v>
      </c>
      <c r="L871"/>
      <c r="M871"/>
      <c r="N871"/>
      <c r="O871"/>
      <c r="P871"/>
      <c r="T871">
        <v>1747</v>
      </c>
      <c r="U871" s="7">
        <v>3</v>
      </c>
      <c r="V871" t="s">
        <v>613</v>
      </c>
      <c r="W871" s="257" t="s">
        <v>680</v>
      </c>
      <c r="X871" t="s">
        <v>681</v>
      </c>
      <c r="Y871" s="316" t="s">
        <v>558</v>
      </c>
      <c r="Z871" s="8">
        <v>90</v>
      </c>
      <c r="AA871" s="202" t="str">
        <f t="shared" si="14"/>
        <v>Общая масса готового блюда, г</v>
      </c>
    </row>
    <row r="872" spans="1:27" ht="15" customHeight="1" x14ac:dyDescent="0.25">
      <c r="A872" t="s">
        <v>153</v>
      </c>
      <c r="L872"/>
      <c r="M872"/>
      <c r="N872"/>
      <c r="O872"/>
      <c r="P872"/>
      <c r="T872">
        <v>1747</v>
      </c>
      <c r="U872" s="7">
        <v>3</v>
      </c>
      <c r="V872" t="s">
        <v>613</v>
      </c>
      <c r="W872" s="257" t="s">
        <v>680</v>
      </c>
      <c r="X872" t="s">
        <v>681</v>
      </c>
      <c r="Y872" s="316" t="s">
        <v>1214</v>
      </c>
      <c r="Z872" s="8">
        <v>90</v>
      </c>
      <c r="AA872" s="202" t="str">
        <f t="shared" si="14"/>
        <v>Масса мясных и рыбных порций, г</v>
      </c>
    </row>
    <row r="873" spans="1:27" ht="15" customHeight="1" x14ac:dyDescent="0.25">
      <c r="A873" t="s">
        <v>153</v>
      </c>
      <c r="L873"/>
      <c r="M873"/>
      <c r="N873"/>
      <c r="O873"/>
      <c r="P873"/>
      <c r="T873">
        <v>1734</v>
      </c>
      <c r="U873" s="7">
        <v>3</v>
      </c>
      <c r="V873" t="s">
        <v>613</v>
      </c>
      <c r="W873" s="257" t="s">
        <v>678</v>
      </c>
      <c r="X873" t="s">
        <v>682</v>
      </c>
      <c r="Y873" s="316" t="s">
        <v>419</v>
      </c>
      <c r="Z873" s="8">
        <v>120</v>
      </c>
      <c r="AA873" s="202" t="str">
        <f t="shared" si="14"/>
        <v>Рыба с/м б/г</v>
      </c>
    </row>
    <row r="874" spans="1:27" ht="15" customHeight="1" x14ac:dyDescent="0.25">
      <c r="A874" t="s">
        <v>153</v>
      </c>
      <c r="L874"/>
      <c r="M874"/>
      <c r="N874"/>
      <c r="O874"/>
      <c r="P874"/>
      <c r="T874">
        <v>1735</v>
      </c>
      <c r="U874" s="7">
        <v>3</v>
      </c>
      <c r="V874" t="s">
        <v>613</v>
      </c>
      <c r="W874" s="257" t="s">
        <v>678</v>
      </c>
      <c r="X874" t="s">
        <v>682</v>
      </c>
      <c r="Y874" s="316" t="s">
        <v>326</v>
      </c>
      <c r="Z874" s="8">
        <v>2</v>
      </c>
      <c r="AA874" s="202" t="str">
        <f t="shared" si="14"/>
        <v>Соль</v>
      </c>
    </row>
    <row r="875" spans="1:27" ht="15" customHeight="1" x14ac:dyDescent="0.25">
      <c r="A875" t="s">
        <v>153</v>
      </c>
      <c r="L875"/>
      <c r="M875"/>
      <c r="N875"/>
      <c r="O875"/>
      <c r="P875"/>
      <c r="T875">
        <v>1736</v>
      </c>
      <c r="U875" s="7">
        <v>3</v>
      </c>
      <c r="V875" t="s">
        <v>613</v>
      </c>
      <c r="W875" s="257" t="s">
        <v>678</v>
      </c>
      <c r="X875" t="s">
        <v>682</v>
      </c>
      <c r="Y875" s="316" t="s">
        <v>438</v>
      </c>
      <c r="Z875" s="8">
        <v>18</v>
      </c>
      <c r="AA875" s="202" t="str">
        <f t="shared" si="14"/>
        <v>Хлеб из муки пш. 1 сорта</v>
      </c>
    </row>
    <row r="876" spans="1:27" ht="15" customHeight="1" x14ac:dyDescent="0.25">
      <c r="A876" t="s">
        <v>153</v>
      </c>
      <c r="L876"/>
      <c r="M876"/>
      <c r="N876"/>
      <c r="O876"/>
      <c r="P876"/>
      <c r="T876">
        <v>1737</v>
      </c>
      <c r="U876" s="7">
        <v>3</v>
      </c>
      <c r="V876" t="s">
        <v>613</v>
      </c>
      <c r="W876" s="257" t="s">
        <v>678</v>
      </c>
      <c r="X876" t="s">
        <v>682</v>
      </c>
      <c r="Y876" s="316" t="s">
        <v>436</v>
      </c>
      <c r="Z876" s="8">
        <v>8.4</v>
      </c>
      <c r="AA876" s="202" t="str">
        <f t="shared" si="14"/>
        <v>Сухари</v>
      </c>
    </row>
    <row r="877" spans="1:27" ht="15" customHeight="1" x14ac:dyDescent="0.25">
      <c r="A877" t="s">
        <v>153</v>
      </c>
      <c r="L877"/>
      <c r="M877"/>
      <c r="N877"/>
      <c r="O877"/>
      <c r="P877"/>
      <c r="T877">
        <v>1738</v>
      </c>
      <c r="U877" s="7">
        <v>3</v>
      </c>
      <c r="V877" t="s">
        <v>613</v>
      </c>
      <c r="W877" s="257" t="s">
        <v>678</v>
      </c>
      <c r="X877" t="s">
        <v>682</v>
      </c>
      <c r="Y877" s="316" t="s">
        <v>330</v>
      </c>
      <c r="Z877" s="8">
        <v>20.399999999999999</v>
      </c>
      <c r="AA877" s="202" t="str">
        <f t="shared" si="14"/>
        <v>Вода</v>
      </c>
    </row>
    <row r="878" spans="1:27" ht="15" customHeight="1" x14ac:dyDescent="0.25">
      <c r="A878" t="s">
        <v>153</v>
      </c>
      <c r="L878"/>
      <c r="M878"/>
      <c r="N878"/>
      <c r="O878"/>
      <c r="P878"/>
      <c r="T878">
        <v>1739</v>
      </c>
      <c r="U878" s="7">
        <v>3</v>
      </c>
      <c r="V878" t="s">
        <v>613</v>
      </c>
      <c r="W878" s="257" t="s">
        <v>678</v>
      </c>
      <c r="X878" t="s">
        <v>682</v>
      </c>
      <c r="Y878" s="316" t="s">
        <v>484</v>
      </c>
      <c r="Z878" s="8">
        <v>0.01</v>
      </c>
      <c r="AA878" s="202" t="str">
        <f t="shared" si="14"/>
        <v>Перец черный</v>
      </c>
    </row>
    <row r="879" spans="1:27" ht="15" customHeight="1" x14ac:dyDescent="0.25">
      <c r="A879" t="s">
        <v>153</v>
      </c>
      <c r="L879"/>
      <c r="M879"/>
      <c r="N879"/>
      <c r="O879"/>
      <c r="P879"/>
      <c r="T879">
        <v>1740</v>
      </c>
      <c r="U879" s="7">
        <v>3</v>
      </c>
      <c r="V879" t="s">
        <v>613</v>
      </c>
      <c r="W879" s="257" t="s">
        <v>678</v>
      </c>
      <c r="X879" t="s">
        <v>682</v>
      </c>
      <c r="Y879" s="316" t="s">
        <v>558</v>
      </c>
      <c r="Z879" s="8">
        <v>90.78</v>
      </c>
      <c r="AA879" s="202" t="str">
        <f t="shared" si="14"/>
        <v>Общая масса готового блюда, г</v>
      </c>
    </row>
    <row r="880" spans="1:27" ht="15" customHeight="1" x14ac:dyDescent="0.25">
      <c r="A880" t="s">
        <v>153</v>
      </c>
      <c r="L880"/>
      <c r="M880"/>
      <c r="N880"/>
      <c r="O880"/>
      <c r="P880"/>
      <c r="T880">
        <v>1740</v>
      </c>
      <c r="U880" s="7">
        <v>3</v>
      </c>
      <c r="V880" t="s">
        <v>613</v>
      </c>
      <c r="W880" s="257" t="s">
        <v>678</v>
      </c>
      <c r="X880" t="s">
        <v>682</v>
      </c>
      <c r="Y880" s="316" t="s">
        <v>1214</v>
      </c>
      <c r="Z880" s="8">
        <v>90.78</v>
      </c>
      <c r="AA880" s="202" t="str">
        <f t="shared" si="14"/>
        <v>Масса мясных и рыбных порций, г</v>
      </c>
    </row>
    <row r="881" spans="1:27" ht="15" customHeight="1" x14ac:dyDescent="0.25">
      <c r="A881" t="s">
        <v>153</v>
      </c>
      <c r="L881"/>
      <c r="M881"/>
      <c r="N881"/>
      <c r="O881"/>
      <c r="P881"/>
      <c r="T881">
        <v>1734</v>
      </c>
      <c r="U881" s="7">
        <v>3</v>
      </c>
      <c r="V881" t="s">
        <v>613</v>
      </c>
      <c r="W881" s="257" t="s">
        <v>678</v>
      </c>
      <c r="X881" t="s">
        <v>683</v>
      </c>
      <c r="Y881" s="316" t="s">
        <v>419</v>
      </c>
      <c r="Z881" s="8">
        <v>135</v>
      </c>
      <c r="AA881" s="202" t="str">
        <f t="shared" si="14"/>
        <v>Рыба с/м б/г</v>
      </c>
    </row>
    <row r="882" spans="1:27" ht="15" customHeight="1" x14ac:dyDescent="0.25">
      <c r="A882" t="s">
        <v>153</v>
      </c>
      <c r="L882"/>
      <c r="M882"/>
      <c r="N882"/>
      <c r="O882"/>
      <c r="P882"/>
      <c r="T882">
        <v>1735</v>
      </c>
      <c r="U882" s="7">
        <v>3</v>
      </c>
      <c r="V882" t="s">
        <v>613</v>
      </c>
      <c r="W882" s="257" t="s">
        <v>678</v>
      </c>
      <c r="X882" t="s">
        <v>683</v>
      </c>
      <c r="Y882" s="316" t="s">
        <v>326</v>
      </c>
      <c r="Z882" s="8">
        <v>2</v>
      </c>
      <c r="AA882" s="202" t="str">
        <f t="shared" si="14"/>
        <v>Соль</v>
      </c>
    </row>
    <row r="883" spans="1:27" ht="15" customHeight="1" x14ac:dyDescent="0.25">
      <c r="A883" t="s">
        <v>153</v>
      </c>
      <c r="L883"/>
      <c r="M883"/>
      <c r="N883"/>
      <c r="O883"/>
      <c r="P883"/>
      <c r="T883">
        <v>1736</v>
      </c>
      <c r="U883" s="7">
        <v>3</v>
      </c>
      <c r="V883" t="s">
        <v>613</v>
      </c>
      <c r="W883" s="257" t="s">
        <v>678</v>
      </c>
      <c r="X883" t="s">
        <v>683</v>
      </c>
      <c r="Y883" s="316" t="s">
        <v>438</v>
      </c>
      <c r="Z883" s="8">
        <v>18</v>
      </c>
      <c r="AA883" s="202" t="str">
        <f t="shared" si="14"/>
        <v>Хлеб из муки пш. 1 сорта</v>
      </c>
    </row>
    <row r="884" spans="1:27" ht="15" customHeight="1" x14ac:dyDescent="0.25">
      <c r="A884" t="s">
        <v>153</v>
      </c>
      <c r="L884"/>
      <c r="M884"/>
      <c r="N884"/>
      <c r="O884"/>
      <c r="P884"/>
      <c r="T884">
        <v>1737</v>
      </c>
      <c r="U884" s="7">
        <v>3</v>
      </c>
      <c r="V884" t="s">
        <v>613</v>
      </c>
      <c r="W884" s="257" t="s">
        <v>678</v>
      </c>
      <c r="X884" t="s">
        <v>683</v>
      </c>
      <c r="Y884" s="316" t="s">
        <v>436</v>
      </c>
      <c r="Z884" s="8">
        <v>8.4</v>
      </c>
      <c r="AA884" s="202" t="str">
        <f t="shared" si="14"/>
        <v>Сухари</v>
      </c>
    </row>
    <row r="885" spans="1:27" ht="15" customHeight="1" x14ac:dyDescent="0.25">
      <c r="A885" t="s">
        <v>153</v>
      </c>
      <c r="L885"/>
      <c r="M885"/>
      <c r="N885"/>
      <c r="O885"/>
      <c r="P885"/>
      <c r="T885">
        <v>1738</v>
      </c>
      <c r="U885" s="7">
        <v>3</v>
      </c>
      <c r="V885" t="s">
        <v>613</v>
      </c>
      <c r="W885" s="257" t="s">
        <v>678</v>
      </c>
      <c r="X885" t="s">
        <v>683</v>
      </c>
      <c r="Y885" s="316" t="s">
        <v>330</v>
      </c>
      <c r="Z885" s="8">
        <v>20.399999999999999</v>
      </c>
      <c r="AA885" s="202" t="str">
        <f t="shared" si="14"/>
        <v>Вода</v>
      </c>
    </row>
    <row r="886" spans="1:27" ht="15" customHeight="1" x14ac:dyDescent="0.25">
      <c r="A886" t="s">
        <v>153</v>
      </c>
      <c r="L886"/>
      <c r="M886"/>
      <c r="N886"/>
      <c r="O886"/>
      <c r="P886"/>
      <c r="T886">
        <v>1739</v>
      </c>
      <c r="U886" s="7">
        <v>3</v>
      </c>
      <c r="V886" t="s">
        <v>613</v>
      </c>
      <c r="W886" s="257" t="s">
        <v>678</v>
      </c>
      <c r="X886" t="s">
        <v>683</v>
      </c>
      <c r="Y886" s="316" t="s">
        <v>484</v>
      </c>
      <c r="Z886" s="8">
        <v>0.01</v>
      </c>
      <c r="AA886" s="202" t="str">
        <f t="shared" si="14"/>
        <v>Перец черный</v>
      </c>
    </row>
    <row r="887" spans="1:27" ht="15" customHeight="1" x14ac:dyDescent="0.25">
      <c r="A887" t="s">
        <v>153</v>
      </c>
      <c r="L887"/>
      <c r="M887"/>
      <c r="N887"/>
      <c r="O887"/>
      <c r="P887"/>
      <c r="T887">
        <v>1740</v>
      </c>
      <c r="U887" s="7">
        <v>3</v>
      </c>
      <c r="V887" t="s">
        <v>613</v>
      </c>
      <c r="W887" s="257" t="s">
        <v>678</v>
      </c>
      <c r="X887" t="s">
        <v>683</v>
      </c>
      <c r="Y887" s="316" t="s">
        <v>558</v>
      </c>
      <c r="Z887" s="8">
        <v>102.5</v>
      </c>
      <c r="AA887" s="202" t="str">
        <f t="shared" si="14"/>
        <v>Общая масса готового блюда, г</v>
      </c>
    </row>
    <row r="888" spans="1:27" ht="15" customHeight="1" x14ac:dyDescent="0.25">
      <c r="A888" t="s">
        <v>153</v>
      </c>
      <c r="L888"/>
      <c r="M888"/>
      <c r="N888"/>
      <c r="O888"/>
      <c r="P888"/>
      <c r="T888">
        <v>1740</v>
      </c>
      <c r="U888" s="7">
        <v>3</v>
      </c>
      <c r="V888" t="s">
        <v>613</v>
      </c>
      <c r="W888" s="257" t="s">
        <v>678</v>
      </c>
      <c r="X888" t="s">
        <v>683</v>
      </c>
      <c r="Y888" s="316" t="s">
        <v>1214</v>
      </c>
      <c r="Z888" s="8">
        <v>102.5</v>
      </c>
      <c r="AA888" s="202" t="str">
        <f t="shared" si="14"/>
        <v>Масса мясных и рыбных порций, г</v>
      </c>
    </row>
    <row r="889" spans="1:27" ht="15" customHeight="1" x14ac:dyDescent="0.25">
      <c r="A889" t="s">
        <v>153</v>
      </c>
      <c r="L889"/>
      <c r="M889"/>
      <c r="N889"/>
      <c r="O889"/>
      <c r="P889"/>
      <c r="T889">
        <v>1741</v>
      </c>
      <c r="U889" s="7">
        <v>3</v>
      </c>
      <c r="V889" t="s">
        <v>613</v>
      </c>
      <c r="W889" s="257" t="s">
        <v>680</v>
      </c>
      <c r="X889" t="s">
        <v>684</v>
      </c>
      <c r="Y889" s="316" t="s">
        <v>419</v>
      </c>
      <c r="Z889" s="8">
        <v>120</v>
      </c>
      <c r="AA889" s="202" t="str">
        <f t="shared" si="14"/>
        <v>Рыба с/м б/г</v>
      </c>
    </row>
    <row r="890" spans="1:27" ht="15" customHeight="1" x14ac:dyDescent="0.25">
      <c r="A890" t="s">
        <v>153</v>
      </c>
      <c r="L890"/>
      <c r="M890"/>
      <c r="N890"/>
      <c r="O890"/>
      <c r="P890"/>
      <c r="T890">
        <v>1742</v>
      </c>
      <c r="U890" s="7">
        <v>3</v>
      </c>
      <c r="V890" t="s">
        <v>613</v>
      </c>
      <c r="W890" s="257" t="s">
        <v>680</v>
      </c>
      <c r="X890" t="s">
        <v>684</v>
      </c>
      <c r="Y890" s="316" t="s">
        <v>326</v>
      </c>
      <c r="Z890" s="8">
        <v>2</v>
      </c>
      <c r="AA890" s="202" t="str">
        <f t="shared" si="14"/>
        <v>Соль</v>
      </c>
    </row>
    <row r="891" spans="1:27" ht="15" customHeight="1" x14ac:dyDescent="0.25">
      <c r="A891" t="s">
        <v>153</v>
      </c>
      <c r="L891"/>
      <c r="M891"/>
      <c r="N891"/>
      <c r="O891"/>
      <c r="P891"/>
      <c r="T891">
        <v>1743</v>
      </c>
      <c r="U891" s="7">
        <v>3</v>
      </c>
      <c r="V891" t="s">
        <v>613</v>
      </c>
      <c r="W891" s="257" t="s">
        <v>680</v>
      </c>
      <c r="X891" t="s">
        <v>684</v>
      </c>
      <c r="Y891" s="316" t="s">
        <v>438</v>
      </c>
      <c r="Z891" s="8">
        <v>18</v>
      </c>
      <c r="AA891" s="202" t="str">
        <f t="shared" si="14"/>
        <v>Хлеб из муки пш. 1 сорта</v>
      </c>
    </row>
    <row r="892" spans="1:27" ht="15" customHeight="1" x14ac:dyDescent="0.25">
      <c r="A892" t="s">
        <v>153</v>
      </c>
      <c r="L892"/>
      <c r="M892"/>
      <c r="N892"/>
      <c r="O892"/>
      <c r="P892"/>
      <c r="T892">
        <v>1744</v>
      </c>
      <c r="U892" s="7">
        <v>3</v>
      </c>
      <c r="V892" t="s">
        <v>613</v>
      </c>
      <c r="W892" s="257" t="s">
        <v>680</v>
      </c>
      <c r="X892" t="s">
        <v>684</v>
      </c>
      <c r="Y892" s="316" t="s">
        <v>436</v>
      </c>
      <c r="Z892" s="8">
        <v>8.4</v>
      </c>
      <c r="AA892" s="202" t="str">
        <f t="shared" si="14"/>
        <v>Сухари</v>
      </c>
    </row>
    <row r="893" spans="1:27" ht="15" customHeight="1" x14ac:dyDescent="0.25">
      <c r="A893" t="s">
        <v>153</v>
      </c>
      <c r="L893"/>
      <c r="M893"/>
      <c r="N893"/>
      <c r="O893"/>
      <c r="P893"/>
      <c r="T893">
        <v>1745</v>
      </c>
      <c r="U893" s="7">
        <v>3</v>
      </c>
      <c r="V893" t="s">
        <v>613</v>
      </c>
      <c r="W893" s="257" t="s">
        <v>680</v>
      </c>
      <c r="X893" t="s">
        <v>684</v>
      </c>
      <c r="Y893" s="316" t="s">
        <v>330</v>
      </c>
      <c r="Z893" s="8">
        <v>20.399999999999999</v>
      </c>
      <c r="AA893" s="202" t="str">
        <f t="shared" si="14"/>
        <v>Вода</v>
      </c>
    </row>
    <row r="894" spans="1:27" ht="15" customHeight="1" x14ac:dyDescent="0.25">
      <c r="A894" t="s">
        <v>153</v>
      </c>
      <c r="L894"/>
      <c r="M894"/>
      <c r="N894"/>
      <c r="O894"/>
      <c r="P894"/>
      <c r="T894">
        <v>1746</v>
      </c>
      <c r="U894" s="7">
        <v>3</v>
      </c>
      <c r="V894" t="s">
        <v>613</v>
      </c>
      <c r="W894" s="257" t="s">
        <v>680</v>
      </c>
      <c r="X894" t="s">
        <v>684</v>
      </c>
      <c r="Y894" s="316" t="s">
        <v>484</v>
      </c>
      <c r="Z894" s="8">
        <v>0.01</v>
      </c>
      <c r="AA894" s="202" t="str">
        <f t="shared" si="14"/>
        <v>Перец черный</v>
      </c>
    </row>
    <row r="895" spans="1:27" ht="15" customHeight="1" x14ac:dyDescent="0.25">
      <c r="A895" t="s">
        <v>153</v>
      </c>
      <c r="L895"/>
      <c r="M895"/>
      <c r="N895"/>
      <c r="O895"/>
      <c r="P895"/>
      <c r="T895">
        <v>1747</v>
      </c>
      <c r="U895" s="7">
        <v>3</v>
      </c>
      <c r="V895" t="s">
        <v>613</v>
      </c>
      <c r="W895" s="257" t="s">
        <v>680</v>
      </c>
      <c r="X895" t="s">
        <v>684</v>
      </c>
      <c r="Y895" s="316" t="s">
        <v>558</v>
      </c>
      <c r="Z895" s="8">
        <v>91</v>
      </c>
      <c r="AA895" s="202" t="str">
        <f t="shared" si="14"/>
        <v>Общая масса готового блюда, г</v>
      </c>
    </row>
    <row r="896" spans="1:27" ht="15" customHeight="1" x14ac:dyDescent="0.25">
      <c r="A896" t="s">
        <v>153</v>
      </c>
      <c r="L896"/>
      <c r="M896"/>
      <c r="N896"/>
      <c r="O896"/>
      <c r="P896"/>
      <c r="T896">
        <v>1747</v>
      </c>
      <c r="U896" s="7">
        <v>3</v>
      </c>
      <c r="V896" t="s">
        <v>613</v>
      </c>
      <c r="W896" s="257" t="s">
        <v>680</v>
      </c>
      <c r="X896" t="s">
        <v>684</v>
      </c>
      <c r="Y896" s="316" t="s">
        <v>1214</v>
      </c>
      <c r="Z896" s="8">
        <v>91</v>
      </c>
      <c r="AA896" s="202" t="str">
        <f t="shared" si="14"/>
        <v>Масса мясных и рыбных порций, г</v>
      </c>
    </row>
    <row r="897" spans="1:27" ht="15" customHeight="1" x14ac:dyDescent="0.25">
      <c r="A897" t="s">
        <v>153</v>
      </c>
      <c r="L897"/>
      <c r="M897"/>
      <c r="N897"/>
      <c r="O897"/>
      <c r="P897"/>
      <c r="T897">
        <v>1734</v>
      </c>
      <c r="U897" s="7">
        <v>3</v>
      </c>
      <c r="V897" t="s">
        <v>613</v>
      </c>
      <c r="W897" s="257" t="s">
        <v>678</v>
      </c>
      <c r="X897" t="s">
        <v>685</v>
      </c>
      <c r="Y897" s="316" t="s">
        <v>419</v>
      </c>
      <c r="Z897" s="8">
        <v>120</v>
      </c>
      <c r="AA897" s="202" t="str">
        <f t="shared" si="14"/>
        <v>Рыба с/м б/г</v>
      </c>
    </row>
    <row r="898" spans="1:27" ht="15" customHeight="1" x14ac:dyDescent="0.25">
      <c r="A898" t="s">
        <v>153</v>
      </c>
      <c r="L898"/>
      <c r="M898"/>
      <c r="N898"/>
      <c r="O898"/>
      <c r="P898"/>
      <c r="T898">
        <v>1735</v>
      </c>
      <c r="U898" s="7">
        <v>3</v>
      </c>
      <c r="V898" t="s">
        <v>613</v>
      </c>
      <c r="W898" s="257" t="s">
        <v>678</v>
      </c>
      <c r="X898" t="s">
        <v>685</v>
      </c>
      <c r="Y898" s="316" t="s">
        <v>326</v>
      </c>
      <c r="Z898" s="8">
        <v>2</v>
      </c>
      <c r="AA898" s="202" t="str">
        <f t="shared" ref="AA898:AA961" si="15">VLOOKUP(Y898,O:P,2,FALSE)</f>
        <v>Соль</v>
      </c>
    </row>
    <row r="899" spans="1:27" ht="15" customHeight="1" x14ac:dyDescent="0.25">
      <c r="A899" t="s">
        <v>153</v>
      </c>
      <c r="L899"/>
      <c r="M899"/>
      <c r="N899"/>
      <c r="O899"/>
      <c r="P899"/>
      <c r="T899">
        <v>1736</v>
      </c>
      <c r="U899" s="7">
        <v>3</v>
      </c>
      <c r="V899" t="s">
        <v>613</v>
      </c>
      <c r="W899" s="257" t="s">
        <v>678</v>
      </c>
      <c r="X899" t="s">
        <v>685</v>
      </c>
      <c r="Y899" s="316" t="s">
        <v>438</v>
      </c>
      <c r="Z899" s="8">
        <v>18</v>
      </c>
      <c r="AA899" s="202" t="str">
        <f t="shared" si="15"/>
        <v>Хлеб из муки пш. 1 сорта</v>
      </c>
    </row>
    <row r="900" spans="1:27" ht="15" customHeight="1" x14ac:dyDescent="0.25">
      <c r="A900" t="s">
        <v>153</v>
      </c>
      <c r="L900"/>
      <c r="M900"/>
      <c r="N900"/>
      <c r="O900"/>
      <c r="P900"/>
      <c r="T900">
        <v>1737</v>
      </c>
      <c r="U900" s="7">
        <v>3</v>
      </c>
      <c r="V900" t="s">
        <v>613</v>
      </c>
      <c r="W900" s="257" t="s">
        <v>678</v>
      </c>
      <c r="X900" t="s">
        <v>685</v>
      </c>
      <c r="Y900" s="316" t="s">
        <v>436</v>
      </c>
      <c r="Z900" s="8">
        <v>8.4</v>
      </c>
      <c r="AA900" s="202" t="str">
        <f t="shared" si="15"/>
        <v>Сухари</v>
      </c>
    </row>
    <row r="901" spans="1:27" ht="15" customHeight="1" x14ac:dyDescent="0.25">
      <c r="A901" t="s">
        <v>153</v>
      </c>
      <c r="L901"/>
      <c r="M901"/>
      <c r="N901"/>
      <c r="O901"/>
      <c r="P901"/>
      <c r="T901">
        <v>1738</v>
      </c>
      <c r="U901" s="7">
        <v>3</v>
      </c>
      <c r="V901" t="s">
        <v>613</v>
      </c>
      <c r="W901" s="257" t="s">
        <v>678</v>
      </c>
      <c r="X901" t="s">
        <v>685</v>
      </c>
      <c r="Y901" s="316" t="s">
        <v>330</v>
      </c>
      <c r="Z901" s="8">
        <v>20.399999999999999</v>
      </c>
      <c r="AA901" s="202" t="str">
        <f t="shared" si="15"/>
        <v>Вода</v>
      </c>
    </row>
    <row r="902" spans="1:27" ht="15" customHeight="1" x14ac:dyDescent="0.25">
      <c r="A902" t="s">
        <v>153</v>
      </c>
      <c r="L902"/>
      <c r="M902"/>
      <c r="N902"/>
      <c r="O902"/>
      <c r="P902"/>
      <c r="T902">
        <v>1739</v>
      </c>
      <c r="U902" s="7">
        <v>3</v>
      </c>
      <c r="V902" t="s">
        <v>613</v>
      </c>
      <c r="W902" s="257" t="s">
        <v>678</v>
      </c>
      <c r="X902" t="s">
        <v>685</v>
      </c>
      <c r="Y902" s="316" t="s">
        <v>484</v>
      </c>
      <c r="Z902" s="8">
        <v>0.01</v>
      </c>
      <c r="AA902" s="202" t="str">
        <f t="shared" si="15"/>
        <v>Перец черный</v>
      </c>
    </row>
    <row r="903" spans="1:27" ht="15" customHeight="1" x14ac:dyDescent="0.25">
      <c r="A903" t="s">
        <v>153</v>
      </c>
      <c r="L903"/>
      <c r="M903"/>
      <c r="N903"/>
      <c r="O903"/>
      <c r="P903"/>
      <c r="T903">
        <v>1740</v>
      </c>
      <c r="U903" s="7">
        <v>3</v>
      </c>
      <c r="V903" t="s">
        <v>613</v>
      </c>
      <c r="W903" s="257" t="s">
        <v>678</v>
      </c>
      <c r="X903" t="s">
        <v>685</v>
      </c>
      <c r="Y903" s="316" t="s">
        <v>558</v>
      </c>
      <c r="Z903" s="8">
        <v>117.3</v>
      </c>
      <c r="AA903" s="202" t="str">
        <f t="shared" si="15"/>
        <v>Общая масса готового блюда, г</v>
      </c>
    </row>
    <row r="904" spans="1:27" ht="15" customHeight="1" x14ac:dyDescent="0.25">
      <c r="A904" t="s">
        <v>153</v>
      </c>
      <c r="L904"/>
      <c r="M904"/>
      <c r="N904"/>
      <c r="O904"/>
      <c r="P904"/>
      <c r="T904">
        <v>1740</v>
      </c>
      <c r="U904" s="7">
        <v>3</v>
      </c>
      <c r="V904" t="s">
        <v>613</v>
      </c>
      <c r="W904" s="257" t="s">
        <v>678</v>
      </c>
      <c r="X904" t="s">
        <v>685</v>
      </c>
      <c r="Y904" s="316" t="s">
        <v>1214</v>
      </c>
      <c r="Z904" s="8">
        <v>117.3</v>
      </c>
      <c r="AA904" s="202" t="str">
        <f t="shared" si="15"/>
        <v>Масса мясных и рыбных порций, г</v>
      </c>
    </row>
    <row r="905" spans="1:27" ht="15" customHeight="1" x14ac:dyDescent="0.25">
      <c r="A905" t="s">
        <v>153</v>
      </c>
      <c r="L905"/>
      <c r="M905"/>
      <c r="N905"/>
      <c r="O905"/>
      <c r="P905"/>
      <c r="T905">
        <v>1741</v>
      </c>
      <c r="U905" s="7">
        <v>3</v>
      </c>
      <c r="V905" t="s">
        <v>613</v>
      </c>
      <c r="W905" s="257" t="s">
        <v>680</v>
      </c>
      <c r="X905" t="s">
        <v>686</v>
      </c>
      <c r="Y905" s="316" t="s">
        <v>419</v>
      </c>
      <c r="Z905" s="8">
        <v>120</v>
      </c>
      <c r="AA905" s="202" t="str">
        <f t="shared" si="15"/>
        <v>Рыба с/м б/г</v>
      </c>
    </row>
    <row r="906" spans="1:27" ht="15" customHeight="1" x14ac:dyDescent="0.25">
      <c r="A906" t="s">
        <v>153</v>
      </c>
      <c r="L906"/>
      <c r="M906"/>
      <c r="N906"/>
      <c r="O906"/>
      <c r="P906"/>
      <c r="T906">
        <v>1742</v>
      </c>
      <c r="U906" s="7">
        <v>3</v>
      </c>
      <c r="V906" t="s">
        <v>613</v>
      </c>
      <c r="W906" s="257" t="s">
        <v>680</v>
      </c>
      <c r="X906" t="s">
        <v>686</v>
      </c>
      <c r="Y906" s="316" t="s">
        <v>326</v>
      </c>
      <c r="Z906" s="8">
        <v>2</v>
      </c>
      <c r="AA906" s="202" t="str">
        <f t="shared" si="15"/>
        <v>Соль</v>
      </c>
    </row>
    <row r="907" spans="1:27" ht="15" customHeight="1" x14ac:dyDescent="0.25">
      <c r="A907" t="s">
        <v>153</v>
      </c>
      <c r="L907"/>
      <c r="M907"/>
      <c r="N907"/>
      <c r="O907"/>
      <c r="P907"/>
      <c r="T907">
        <v>1743</v>
      </c>
      <c r="U907" s="7">
        <v>3</v>
      </c>
      <c r="V907" t="s">
        <v>613</v>
      </c>
      <c r="W907" s="257" t="s">
        <v>680</v>
      </c>
      <c r="X907" t="s">
        <v>686</v>
      </c>
      <c r="Y907" s="316" t="s">
        <v>438</v>
      </c>
      <c r="Z907" s="8">
        <v>18</v>
      </c>
      <c r="AA907" s="202" t="str">
        <f t="shared" si="15"/>
        <v>Хлеб из муки пш. 1 сорта</v>
      </c>
    </row>
    <row r="908" spans="1:27" ht="15" customHeight="1" x14ac:dyDescent="0.25">
      <c r="A908" t="s">
        <v>153</v>
      </c>
      <c r="L908"/>
      <c r="M908"/>
      <c r="N908"/>
      <c r="O908"/>
      <c r="P908"/>
      <c r="T908">
        <v>1744</v>
      </c>
      <c r="U908" s="7">
        <v>3</v>
      </c>
      <c r="V908" t="s">
        <v>613</v>
      </c>
      <c r="W908" s="257" t="s">
        <v>680</v>
      </c>
      <c r="X908" t="s">
        <v>686</v>
      </c>
      <c r="Y908" s="316" t="s">
        <v>436</v>
      </c>
      <c r="Z908" s="8">
        <v>8.4</v>
      </c>
      <c r="AA908" s="202" t="str">
        <f t="shared" si="15"/>
        <v>Сухари</v>
      </c>
    </row>
    <row r="909" spans="1:27" ht="15" customHeight="1" x14ac:dyDescent="0.25">
      <c r="A909" t="s">
        <v>153</v>
      </c>
      <c r="L909"/>
      <c r="M909"/>
      <c r="N909"/>
      <c r="O909"/>
      <c r="P909"/>
      <c r="T909">
        <v>1745</v>
      </c>
      <c r="U909" s="7">
        <v>3</v>
      </c>
      <c r="V909" t="s">
        <v>613</v>
      </c>
      <c r="W909" s="257" t="s">
        <v>680</v>
      </c>
      <c r="X909" t="s">
        <v>686</v>
      </c>
      <c r="Y909" s="316" t="s">
        <v>330</v>
      </c>
      <c r="Z909" s="8">
        <v>20.399999999999999</v>
      </c>
      <c r="AA909" s="202" t="str">
        <f t="shared" si="15"/>
        <v>Вода</v>
      </c>
    </row>
    <row r="910" spans="1:27" ht="15" customHeight="1" x14ac:dyDescent="0.25">
      <c r="A910" t="s">
        <v>153</v>
      </c>
      <c r="L910"/>
      <c r="M910"/>
      <c r="N910"/>
      <c r="O910"/>
      <c r="P910"/>
      <c r="T910">
        <v>1746</v>
      </c>
      <c r="U910" s="7">
        <v>3</v>
      </c>
      <c r="V910" t="s">
        <v>613</v>
      </c>
      <c r="W910" s="257" t="s">
        <v>680</v>
      </c>
      <c r="X910" t="s">
        <v>686</v>
      </c>
      <c r="Y910" s="316" t="s">
        <v>484</v>
      </c>
      <c r="Z910" s="8">
        <v>0.01</v>
      </c>
      <c r="AA910" s="202" t="str">
        <f t="shared" si="15"/>
        <v>Перец черный</v>
      </c>
    </row>
    <row r="911" spans="1:27" ht="15" customHeight="1" x14ac:dyDescent="0.25">
      <c r="A911" t="s">
        <v>153</v>
      </c>
      <c r="L911"/>
      <c r="M911"/>
      <c r="N911"/>
      <c r="O911"/>
      <c r="P911"/>
      <c r="T911">
        <v>1747</v>
      </c>
      <c r="U911" s="7">
        <v>3</v>
      </c>
      <c r="V911" t="s">
        <v>613</v>
      </c>
      <c r="W911" s="257" t="s">
        <v>680</v>
      </c>
      <c r="X911" t="s">
        <v>686</v>
      </c>
      <c r="Y911" s="316" t="s">
        <v>558</v>
      </c>
      <c r="Z911" s="8">
        <v>112</v>
      </c>
      <c r="AA911" s="202" t="str">
        <f t="shared" si="15"/>
        <v>Общая масса готового блюда, г</v>
      </c>
    </row>
    <row r="912" spans="1:27" ht="15" customHeight="1" x14ac:dyDescent="0.25">
      <c r="A912" t="s">
        <v>153</v>
      </c>
      <c r="L912"/>
      <c r="M912"/>
      <c r="N912"/>
      <c r="O912"/>
      <c r="P912"/>
      <c r="T912">
        <v>1747</v>
      </c>
      <c r="U912" s="7">
        <v>3</v>
      </c>
      <c r="V912" t="s">
        <v>613</v>
      </c>
      <c r="W912" s="257" t="s">
        <v>680</v>
      </c>
      <c r="X912" t="s">
        <v>686</v>
      </c>
      <c r="Y912" s="316" t="s">
        <v>1214</v>
      </c>
      <c r="Z912" s="8">
        <v>112</v>
      </c>
      <c r="AA912" s="202" t="str">
        <f t="shared" si="15"/>
        <v>Масса мясных и рыбных порций, г</v>
      </c>
    </row>
    <row r="913" spans="1:27" ht="15" customHeight="1" x14ac:dyDescent="0.25">
      <c r="A913" t="s">
        <v>153</v>
      </c>
      <c r="L913"/>
      <c r="M913"/>
      <c r="N913"/>
      <c r="O913"/>
      <c r="P913"/>
      <c r="T913">
        <v>1734</v>
      </c>
      <c r="U913" s="7">
        <v>3</v>
      </c>
      <c r="V913" t="s">
        <v>613</v>
      </c>
      <c r="W913" s="257" t="s">
        <v>678</v>
      </c>
      <c r="X913" t="s">
        <v>687</v>
      </c>
      <c r="Y913" s="316" t="s">
        <v>419</v>
      </c>
      <c r="Z913" s="8">
        <v>150</v>
      </c>
      <c r="AA913" s="202" t="str">
        <f t="shared" si="15"/>
        <v>Рыба с/м б/г</v>
      </c>
    </row>
    <row r="914" spans="1:27" ht="15" customHeight="1" x14ac:dyDescent="0.25">
      <c r="A914" t="s">
        <v>153</v>
      </c>
      <c r="L914"/>
      <c r="M914"/>
      <c r="N914"/>
      <c r="O914"/>
      <c r="P914"/>
      <c r="T914">
        <v>1735</v>
      </c>
      <c r="U914" s="7">
        <v>3</v>
      </c>
      <c r="V914" t="s">
        <v>613</v>
      </c>
      <c r="W914" s="257" t="s">
        <v>678</v>
      </c>
      <c r="X914" t="s">
        <v>687</v>
      </c>
      <c r="Y914" s="316" t="s">
        <v>326</v>
      </c>
      <c r="Z914" s="8">
        <v>2</v>
      </c>
      <c r="AA914" s="202" t="str">
        <f t="shared" si="15"/>
        <v>Соль</v>
      </c>
    </row>
    <row r="915" spans="1:27" ht="15" customHeight="1" x14ac:dyDescent="0.25">
      <c r="A915" t="s">
        <v>153</v>
      </c>
      <c r="L915"/>
      <c r="M915"/>
      <c r="N915"/>
      <c r="O915"/>
      <c r="P915"/>
      <c r="T915">
        <v>1736</v>
      </c>
      <c r="U915" s="7">
        <v>3</v>
      </c>
      <c r="V915" t="s">
        <v>613</v>
      </c>
      <c r="W915" s="257" t="s">
        <v>678</v>
      </c>
      <c r="X915" t="s">
        <v>687</v>
      </c>
      <c r="Y915" s="316" t="s">
        <v>438</v>
      </c>
      <c r="Z915" s="8">
        <v>18</v>
      </c>
      <c r="AA915" s="202" t="str">
        <f t="shared" si="15"/>
        <v>Хлеб из муки пш. 1 сорта</v>
      </c>
    </row>
    <row r="916" spans="1:27" ht="15" customHeight="1" x14ac:dyDescent="0.25">
      <c r="A916" t="s">
        <v>153</v>
      </c>
      <c r="L916"/>
      <c r="M916"/>
      <c r="N916"/>
      <c r="O916"/>
      <c r="P916"/>
      <c r="T916">
        <v>1737</v>
      </c>
      <c r="U916" s="7">
        <v>3</v>
      </c>
      <c r="V916" t="s">
        <v>613</v>
      </c>
      <c r="W916" s="257" t="s">
        <v>678</v>
      </c>
      <c r="X916" t="s">
        <v>687</v>
      </c>
      <c r="Y916" s="316" t="s">
        <v>436</v>
      </c>
      <c r="Z916" s="8">
        <v>8.4</v>
      </c>
      <c r="AA916" s="202" t="str">
        <f t="shared" si="15"/>
        <v>Сухари</v>
      </c>
    </row>
    <row r="917" spans="1:27" ht="15" customHeight="1" x14ac:dyDescent="0.25">
      <c r="A917" t="s">
        <v>153</v>
      </c>
      <c r="L917"/>
      <c r="M917"/>
      <c r="N917"/>
      <c r="O917"/>
      <c r="P917"/>
      <c r="T917">
        <v>1738</v>
      </c>
      <c r="U917" s="7">
        <v>3</v>
      </c>
      <c r="V917" t="s">
        <v>613</v>
      </c>
      <c r="W917" s="257" t="s">
        <v>678</v>
      </c>
      <c r="X917" t="s">
        <v>687</v>
      </c>
      <c r="Y917" s="316" t="s">
        <v>330</v>
      </c>
      <c r="Z917" s="8">
        <v>20.399999999999999</v>
      </c>
      <c r="AA917" s="202" t="str">
        <f t="shared" si="15"/>
        <v>Вода</v>
      </c>
    </row>
    <row r="918" spans="1:27" ht="15" customHeight="1" x14ac:dyDescent="0.25">
      <c r="A918" t="s">
        <v>153</v>
      </c>
      <c r="L918"/>
      <c r="M918"/>
      <c r="N918"/>
      <c r="O918"/>
      <c r="P918"/>
      <c r="T918">
        <v>1739</v>
      </c>
      <c r="U918" s="7">
        <v>3</v>
      </c>
      <c r="V918" t="s">
        <v>613</v>
      </c>
      <c r="W918" s="257" t="s">
        <v>678</v>
      </c>
      <c r="X918" t="s">
        <v>687</v>
      </c>
      <c r="Y918" s="316" t="s">
        <v>484</v>
      </c>
      <c r="Z918" s="8">
        <v>0.01</v>
      </c>
      <c r="AA918" s="202" t="str">
        <f t="shared" si="15"/>
        <v>Перец черный</v>
      </c>
    </row>
    <row r="919" spans="1:27" ht="15" customHeight="1" x14ac:dyDescent="0.25">
      <c r="A919" t="s">
        <v>153</v>
      </c>
      <c r="L919"/>
      <c r="M919"/>
      <c r="N919"/>
      <c r="O919"/>
      <c r="P919"/>
      <c r="T919">
        <v>1740</v>
      </c>
      <c r="U919" s="7">
        <v>3</v>
      </c>
      <c r="V919" t="s">
        <v>613</v>
      </c>
      <c r="W919" s="257" t="s">
        <v>678</v>
      </c>
      <c r="X919" t="s">
        <v>687</v>
      </c>
      <c r="Y919" s="316" t="s">
        <v>558</v>
      </c>
      <c r="Z919" s="8">
        <v>98.4</v>
      </c>
      <c r="AA919" s="202" t="str">
        <f t="shared" si="15"/>
        <v>Общая масса готового блюда, г</v>
      </c>
    </row>
    <row r="920" spans="1:27" ht="15" customHeight="1" x14ac:dyDescent="0.25">
      <c r="A920" t="s">
        <v>153</v>
      </c>
      <c r="L920"/>
      <c r="M920"/>
      <c r="N920"/>
      <c r="O920"/>
      <c r="P920"/>
      <c r="T920">
        <v>1740</v>
      </c>
      <c r="U920" s="7">
        <v>3</v>
      </c>
      <c r="V920" t="s">
        <v>613</v>
      </c>
      <c r="W920" s="257" t="s">
        <v>678</v>
      </c>
      <c r="X920" t="s">
        <v>687</v>
      </c>
      <c r="Y920" s="316" t="s">
        <v>1214</v>
      </c>
      <c r="Z920" s="8">
        <v>98.4</v>
      </c>
      <c r="AA920" s="202" t="str">
        <f t="shared" si="15"/>
        <v>Масса мясных и рыбных порций, г</v>
      </c>
    </row>
    <row r="921" spans="1:27" ht="15" customHeight="1" x14ac:dyDescent="0.25">
      <c r="A921" t="s">
        <v>153</v>
      </c>
      <c r="L921"/>
      <c r="M921"/>
      <c r="N921"/>
      <c r="O921"/>
      <c r="P921"/>
      <c r="T921">
        <v>456</v>
      </c>
      <c r="U921" s="7">
        <v>3</v>
      </c>
      <c r="V921" t="s">
        <v>1147</v>
      </c>
      <c r="W921" s="257" t="s">
        <v>1155</v>
      </c>
      <c r="X921" t="s">
        <v>1156</v>
      </c>
      <c r="Y921" s="316" t="s">
        <v>483</v>
      </c>
      <c r="Z921" s="8">
        <v>1.5</v>
      </c>
      <c r="AA921" s="202" t="str">
        <f t="shared" si="15"/>
        <v>Кофе растворимый</v>
      </c>
    </row>
    <row r="922" spans="1:27" ht="15" customHeight="1" x14ac:dyDescent="0.25">
      <c r="A922" t="s">
        <v>153</v>
      </c>
      <c r="L922"/>
      <c r="M922"/>
      <c r="N922"/>
      <c r="O922"/>
      <c r="P922"/>
      <c r="T922">
        <v>457</v>
      </c>
      <c r="U922" s="7">
        <v>3</v>
      </c>
      <c r="V922" t="s">
        <v>1147</v>
      </c>
      <c r="W922" s="257" t="s">
        <v>1155</v>
      </c>
      <c r="X922" t="s">
        <v>1156</v>
      </c>
      <c r="Y922" s="316" t="s">
        <v>53</v>
      </c>
      <c r="Z922" s="8">
        <v>25</v>
      </c>
      <c r="AA922" s="202" t="str">
        <f t="shared" si="15"/>
        <v>Сахар</v>
      </c>
    </row>
    <row r="923" spans="1:27" ht="15" customHeight="1" x14ac:dyDescent="0.25">
      <c r="A923" t="s">
        <v>153</v>
      </c>
      <c r="L923"/>
      <c r="M923"/>
      <c r="N923"/>
      <c r="O923"/>
      <c r="P923"/>
      <c r="T923">
        <v>458</v>
      </c>
      <c r="U923" s="7">
        <v>3</v>
      </c>
      <c r="V923" t="s">
        <v>1147</v>
      </c>
      <c r="W923" s="257" t="s">
        <v>1155</v>
      </c>
      <c r="X923" t="s">
        <v>1156</v>
      </c>
      <c r="Y923" s="316" t="s">
        <v>330</v>
      </c>
      <c r="Z923" s="8">
        <v>250</v>
      </c>
      <c r="AA923" s="202" t="str">
        <f t="shared" si="15"/>
        <v>Вода</v>
      </c>
    </row>
    <row r="924" spans="1:27" ht="15" customHeight="1" x14ac:dyDescent="0.25">
      <c r="A924" t="s">
        <v>153</v>
      </c>
      <c r="L924"/>
      <c r="M924"/>
      <c r="N924"/>
      <c r="O924"/>
      <c r="P924"/>
      <c r="T924">
        <v>459</v>
      </c>
      <c r="U924" s="7">
        <v>3</v>
      </c>
      <c r="V924" t="s">
        <v>1147</v>
      </c>
      <c r="W924" s="257" t="s">
        <v>1155</v>
      </c>
      <c r="X924" t="s">
        <v>1156</v>
      </c>
      <c r="Y924" s="316" t="s">
        <v>558</v>
      </c>
      <c r="Z924" s="8">
        <v>250</v>
      </c>
      <c r="AA924" s="202" t="str">
        <f t="shared" si="15"/>
        <v>Общая масса готового блюда, г</v>
      </c>
    </row>
    <row r="925" spans="1:27" ht="15" customHeight="1" x14ac:dyDescent="0.25">
      <c r="A925" t="s">
        <v>153</v>
      </c>
      <c r="L925"/>
      <c r="M925"/>
      <c r="N925"/>
      <c r="O925"/>
      <c r="P925"/>
      <c r="T925">
        <v>460</v>
      </c>
      <c r="U925" s="7">
        <v>3</v>
      </c>
      <c r="V925" t="s">
        <v>1147</v>
      </c>
      <c r="W925" s="257" t="s">
        <v>1157</v>
      </c>
      <c r="X925" t="s">
        <v>1158</v>
      </c>
      <c r="Y925" s="316" t="s">
        <v>483</v>
      </c>
      <c r="Z925" s="8">
        <v>1.5</v>
      </c>
      <c r="AA925" s="202" t="str">
        <f t="shared" si="15"/>
        <v>Кофе растворимый</v>
      </c>
    </row>
    <row r="926" spans="1:27" ht="15" customHeight="1" x14ac:dyDescent="0.25">
      <c r="A926" t="s">
        <v>153</v>
      </c>
      <c r="L926"/>
      <c r="M926"/>
      <c r="N926"/>
      <c r="O926"/>
      <c r="P926"/>
      <c r="T926">
        <v>461</v>
      </c>
      <c r="U926" s="7">
        <v>3</v>
      </c>
      <c r="V926" t="s">
        <v>1147</v>
      </c>
      <c r="W926" s="257" t="s">
        <v>1157</v>
      </c>
      <c r="X926" t="s">
        <v>1158</v>
      </c>
      <c r="Y926" s="316" t="s">
        <v>53</v>
      </c>
      <c r="Z926" s="8">
        <v>25</v>
      </c>
      <c r="AA926" s="202" t="str">
        <f t="shared" si="15"/>
        <v>Сахар</v>
      </c>
    </row>
    <row r="927" spans="1:27" ht="15" customHeight="1" x14ac:dyDescent="0.25">
      <c r="A927" t="s">
        <v>153</v>
      </c>
      <c r="L927"/>
      <c r="M927"/>
      <c r="N927"/>
      <c r="O927"/>
      <c r="P927"/>
      <c r="T927">
        <v>462</v>
      </c>
      <c r="U927" s="7">
        <v>3</v>
      </c>
      <c r="V927" t="s">
        <v>1147</v>
      </c>
      <c r="W927" s="257" t="s">
        <v>1157</v>
      </c>
      <c r="X927" t="s">
        <v>1158</v>
      </c>
      <c r="Y927" s="316" t="s">
        <v>453</v>
      </c>
      <c r="Z927" s="8">
        <v>50</v>
      </c>
      <c r="AA927" s="202" t="str">
        <f t="shared" si="15"/>
        <v>Молоко коровье</v>
      </c>
    </row>
    <row r="928" spans="1:27" ht="15" customHeight="1" x14ac:dyDescent="0.25">
      <c r="A928" t="s">
        <v>153</v>
      </c>
      <c r="L928"/>
      <c r="M928"/>
      <c r="N928"/>
      <c r="O928"/>
      <c r="P928"/>
      <c r="T928">
        <v>463</v>
      </c>
      <c r="U928" s="7">
        <v>3</v>
      </c>
      <c r="V928" t="s">
        <v>1147</v>
      </c>
      <c r="W928" s="257" t="s">
        <v>1157</v>
      </c>
      <c r="X928" t="s">
        <v>1158</v>
      </c>
      <c r="Y928" s="316" t="s">
        <v>330</v>
      </c>
      <c r="Z928" s="8">
        <v>200</v>
      </c>
      <c r="AA928" s="202" t="str">
        <f t="shared" si="15"/>
        <v>Вода</v>
      </c>
    </row>
    <row r="929" spans="1:27" ht="15" customHeight="1" x14ac:dyDescent="0.25">
      <c r="A929" t="s">
        <v>153</v>
      </c>
      <c r="L929"/>
      <c r="M929"/>
      <c r="N929"/>
      <c r="O929"/>
      <c r="P929"/>
      <c r="T929">
        <v>464</v>
      </c>
      <c r="U929" s="7">
        <v>3</v>
      </c>
      <c r="V929" t="s">
        <v>1147</v>
      </c>
      <c r="W929" s="257" t="s">
        <v>1157</v>
      </c>
      <c r="X929" t="s">
        <v>1158</v>
      </c>
      <c r="Y929" s="316" t="s">
        <v>558</v>
      </c>
      <c r="Z929" s="8">
        <v>250</v>
      </c>
      <c r="AA929" s="202" t="str">
        <f t="shared" si="15"/>
        <v>Общая масса готового блюда, г</v>
      </c>
    </row>
    <row r="930" spans="1:27" ht="15" customHeight="1" x14ac:dyDescent="0.25">
      <c r="A930" t="s">
        <v>153</v>
      </c>
      <c r="L930"/>
      <c r="M930"/>
      <c r="N930"/>
      <c r="O930"/>
      <c r="P930"/>
      <c r="T930">
        <v>465</v>
      </c>
      <c r="U930" s="7">
        <v>3</v>
      </c>
      <c r="V930" t="s">
        <v>1147</v>
      </c>
      <c r="W930" s="257" t="s">
        <v>1159</v>
      </c>
      <c r="X930" t="s">
        <v>1160</v>
      </c>
      <c r="Y930" s="316" t="s">
        <v>483</v>
      </c>
      <c r="Z930" s="8">
        <v>1.5</v>
      </c>
      <c r="AA930" s="202" t="str">
        <f t="shared" si="15"/>
        <v>Кофе растворимый</v>
      </c>
    </row>
    <row r="931" spans="1:27" ht="15" customHeight="1" x14ac:dyDescent="0.25">
      <c r="A931" t="s">
        <v>153</v>
      </c>
      <c r="L931"/>
      <c r="M931"/>
      <c r="N931"/>
      <c r="O931"/>
      <c r="P931"/>
      <c r="T931">
        <v>466</v>
      </c>
      <c r="U931" s="7">
        <v>3</v>
      </c>
      <c r="V931" t="s">
        <v>1147</v>
      </c>
      <c r="W931" s="257" t="s">
        <v>1159</v>
      </c>
      <c r="X931" t="s">
        <v>1160</v>
      </c>
      <c r="Y931" s="316" t="s">
        <v>450</v>
      </c>
      <c r="Z931" s="8">
        <v>20</v>
      </c>
      <c r="AA931" s="202" t="str">
        <f t="shared" si="15"/>
        <v>Молоко сгущ.</v>
      </c>
    </row>
    <row r="932" spans="1:27" ht="15" customHeight="1" x14ac:dyDescent="0.25">
      <c r="A932" t="s">
        <v>153</v>
      </c>
      <c r="L932"/>
      <c r="M932"/>
      <c r="N932"/>
      <c r="O932"/>
      <c r="P932"/>
      <c r="T932">
        <v>467</v>
      </c>
      <c r="U932" s="7">
        <v>3</v>
      </c>
      <c r="V932" t="s">
        <v>1147</v>
      </c>
      <c r="W932" s="257" t="s">
        <v>1159</v>
      </c>
      <c r="X932" t="s">
        <v>1160</v>
      </c>
      <c r="Y932" s="316" t="s">
        <v>330</v>
      </c>
      <c r="Z932" s="8">
        <v>250</v>
      </c>
      <c r="AA932" s="202" t="str">
        <f t="shared" si="15"/>
        <v>Вода</v>
      </c>
    </row>
    <row r="933" spans="1:27" ht="15" customHeight="1" x14ac:dyDescent="0.25">
      <c r="A933" t="s">
        <v>153</v>
      </c>
      <c r="L933"/>
      <c r="M933"/>
      <c r="N933"/>
      <c r="O933"/>
      <c r="P933"/>
      <c r="T933">
        <v>468</v>
      </c>
      <c r="U933" s="7">
        <v>3</v>
      </c>
      <c r="V933" t="s">
        <v>1147</v>
      </c>
      <c r="W933" s="257" t="s">
        <v>1159</v>
      </c>
      <c r="X933" t="s">
        <v>1160</v>
      </c>
      <c r="Y933" s="316" t="s">
        <v>558</v>
      </c>
      <c r="Z933" s="8">
        <v>250</v>
      </c>
      <c r="AA933" s="202" t="str">
        <f t="shared" si="15"/>
        <v>Общая масса готового блюда, г</v>
      </c>
    </row>
    <row r="934" spans="1:27" ht="15" customHeight="1" x14ac:dyDescent="0.25">
      <c r="A934" t="s">
        <v>153</v>
      </c>
      <c r="L934"/>
      <c r="M934"/>
      <c r="N934"/>
      <c r="O934"/>
      <c r="P934"/>
      <c r="T934">
        <v>2896</v>
      </c>
      <c r="U934" s="7">
        <v>3</v>
      </c>
      <c r="V934" t="s">
        <v>1192</v>
      </c>
      <c r="X934" t="s">
        <v>1555</v>
      </c>
      <c r="Y934" s="316" t="s">
        <v>1555</v>
      </c>
      <c r="Z934" s="8">
        <v>20</v>
      </c>
      <c r="AA934" s="202" t="str">
        <f t="shared" si="15"/>
        <v>Консервы овощ. закусочные, лечо</v>
      </c>
    </row>
    <row r="935" spans="1:27" ht="15" customHeight="1" x14ac:dyDescent="0.25">
      <c r="A935" t="s">
        <v>153</v>
      </c>
      <c r="L935"/>
      <c r="M935"/>
      <c r="N935"/>
      <c r="O935"/>
      <c r="P935"/>
      <c r="T935">
        <v>2897</v>
      </c>
      <c r="U935" s="7">
        <v>3</v>
      </c>
      <c r="V935" t="s">
        <v>1192</v>
      </c>
      <c r="X935" t="s">
        <v>1555</v>
      </c>
      <c r="Y935" s="316" t="s">
        <v>558</v>
      </c>
      <c r="Z935" s="8">
        <v>20</v>
      </c>
      <c r="AA935" s="202" t="str">
        <f t="shared" si="15"/>
        <v>Общая масса готового блюда, г</v>
      </c>
    </row>
    <row r="936" spans="1:27" ht="15" customHeight="1" x14ac:dyDescent="0.25">
      <c r="A936" t="s">
        <v>153</v>
      </c>
      <c r="L936"/>
      <c r="M936"/>
      <c r="N936"/>
      <c r="O936"/>
      <c r="P936"/>
      <c r="T936">
        <v>2897</v>
      </c>
      <c r="U936" s="7">
        <v>3</v>
      </c>
      <c r="V936" t="s">
        <v>1192</v>
      </c>
      <c r="X936" t="s">
        <v>1555</v>
      </c>
      <c r="Y936" s="316" t="s">
        <v>109</v>
      </c>
      <c r="Z936" s="8">
        <f>20*0.75</f>
        <v>15</v>
      </c>
      <c r="AA936" s="202" t="str">
        <f t="shared" si="15"/>
        <v>ОКГ</v>
      </c>
    </row>
    <row r="937" spans="1:27" ht="15" customHeight="1" x14ac:dyDescent="0.25">
      <c r="A937" t="s">
        <v>153</v>
      </c>
      <c r="L937"/>
      <c r="M937"/>
      <c r="N937"/>
      <c r="O937"/>
      <c r="P937"/>
      <c r="T937">
        <v>2900</v>
      </c>
      <c r="U937" s="7">
        <v>3</v>
      </c>
      <c r="V937" t="s">
        <v>1192</v>
      </c>
      <c r="X937" t="s">
        <v>1556</v>
      </c>
      <c r="Y937" s="316" t="s">
        <v>1556</v>
      </c>
      <c r="Z937" s="8">
        <v>37.5</v>
      </c>
      <c r="AA937" s="202" t="str">
        <f t="shared" si="15"/>
        <v>Консервы овощ. закусочные, лечо</v>
      </c>
    </row>
    <row r="938" spans="1:27" ht="15" customHeight="1" x14ac:dyDescent="0.25">
      <c r="A938" t="s">
        <v>153</v>
      </c>
      <c r="L938"/>
      <c r="M938"/>
      <c r="N938"/>
      <c r="O938"/>
      <c r="P938"/>
      <c r="T938">
        <v>2901</v>
      </c>
      <c r="U938" s="7">
        <v>3</v>
      </c>
      <c r="V938" t="s">
        <v>1192</v>
      </c>
      <c r="X938" t="s">
        <v>1556</v>
      </c>
      <c r="Y938" s="316" t="s">
        <v>558</v>
      </c>
      <c r="Z938" s="8">
        <v>37.5</v>
      </c>
      <c r="AA938" s="202" t="str">
        <f t="shared" si="15"/>
        <v>Общая масса готового блюда, г</v>
      </c>
    </row>
    <row r="939" spans="1:27" ht="15" customHeight="1" x14ac:dyDescent="0.25">
      <c r="A939" t="s">
        <v>153</v>
      </c>
      <c r="L939"/>
      <c r="M939"/>
      <c r="N939"/>
      <c r="O939"/>
      <c r="P939"/>
      <c r="T939">
        <v>2901</v>
      </c>
      <c r="U939" s="7">
        <v>3</v>
      </c>
      <c r="V939" t="s">
        <v>1192</v>
      </c>
      <c r="X939" t="s">
        <v>1556</v>
      </c>
      <c r="Y939" s="316" t="s">
        <v>109</v>
      </c>
      <c r="Z939" s="8">
        <v>50</v>
      </c>
      <c r="AA939" s="202" t="str">
        <f t="shared" si="15"/>
        <v>ОКГ</v>
      </c>
    </row>
    <row r="940" spans="1:27" ht="15" customHeight="1" x14ac:dyDescent="0.25">
      <c r="A940" t="s">
        <v>153</v>
      </c>
      <c r="L940"/>
      <c r="M940"/>
      <c r="N940"/>
      <c r="O940"/>
      <c r="P940"/>
      <c r="T940">
        <v>606</v>
      </c>
      <c r="U940" s="7">
        <v>3</v>
      </c>
      <c r="V940" t="s">
        <v>966</v>
      </c>
      <c r="W940" s="257" t="s">
        <v>1021</v>
      </c>
      <c r="X940" t="s">
        <v>1022</v>
      </c>
      <c r="Y940" s="316" t="s">
        <v>41</v>
      </c>
      <c r="Z940" s="8">
        <v>83</v>
      </c>
      <c r="AA940" s="202" t="str">
        <f t="shared" si="15"/>
        <v>Макаронные изделия</v>
      </c>
    </row>
    <row r="941" spans="1:27" ht="15" customHeight="1" x14ac:dyDescent="0.25">
      <c r="A941" t="s">
        <v>153</v>
      </c>
      <c r="L941"/>
      <c r="M941"/>
      <c r="N941"/>
      <c r="O941"/>
      <c r="P941"/>
      <c r="T941">
        <v>607</v>
      </c>
      <c r="U941" s="7">
        <v>3</v>
      </c>
      <c r="V941" t="s">
        <v>966</v>
      </c>
      <c r="W941" s="257" t="s">
        <v>1021</v>
      </c>
      <c r="X941" t="s">
        <v>1022</v>
      </c>
      <c r="Y941" s="316" t="s">
        <v>330</v>
      </c>
      <c r="Z941" s="8">
        <v>182.60000000000002</v>
      </c>
      <c r="AA941" s="202" t="str">
        <f t="shared" si="15"/>
        <v>Вода</v>
      </c>
    </row>
    <row r="942" spans="1:27" ht="15" customHeight="1" x14ac:dyDescent="0.25">
      <c r="A942" t="s">
        <v>153</v>
      </c>
      <c r="L942"/>
      <c r="M942"/>
      <c r="N942"/>
      <c r="O942"/>
      <c r="P942"/>
      <c r="T942">
        <v>608</v>
      </c>
      <c r="U942" s="7">
        <v>3</v>
      </c>
      <c r="V942" t="s">
        <v>966</v>
      </c>
      <c r="W942" s="257" t="s">
        <v>1021</v>
      </c>
      <c r="X942" t="s">
        <v>1022</v>
      </c>
      <c r="Y942" s="316" t="s">
        <v>453</v>
      </c>
      <c r="Z942" s="8">
        <v>125</v>
      </c>
      <c r="AA942" s="202" t="str">
        <f t="shared" si="15"/>
        <v>Молоко коровье</v>
      </c>
    </row>
    <row r="943" spans="1:27" ht="15" customHeight="1" x14ac:dyDescent="0.25">
      <c r="A943" t="s">
        <v>153</v>
      </c>
      <c r="L943"/>
      <c r="M943"/>
      <c r="N943"/>
      <c r="O943"/>
      <c r="P943"/>
      <c r="T943">
        <v>609</v>
      </c>
      <c r="U943" s="7">
        <v>3</v>
      </c>
      <c r="V943" t="s">
        <v>966</v>
      </c>
      <c r="W943" s="257" t="s">
        <v>1021</v>
      </c>
      <c r="X943" t="s">
        <v>1022</v>
      </c>
      <c r="Y943" s="316" t="s">
        <v>79</v>
      </c>
      <c r="Z943" s="8">
        <v>1.667</v>
      </c>
      <c r="AA943" s="202" t="str">
        <f t="shared" si="15"/>
        <v>Яйцо (шт)</v>
      </c>
    </row>
    <row r="944" spans="1:27" ht="15" customHeight="1" x14ac:dyDescent="0.25">
      <c r="A944" t="s">
        <v>153</v>
      </c>
      <c r="L944"/>
      <c r="M944"/>
      <c r="N944"/>
      <c r="O944"/>
      <c r="P944"/>
      <c r="T944">
        <v>610</v>
      </c>
      <c r="U944" s="7">
        <v>3</v>
      </c>
      <c r="V944" t="s">
        <v>966</v>
      </c>
      <c r="W944" s="257" t="s">
        <v>1021</v>
      </c>
      <c r="X944" t="s">
        <v>1022</v>
      </c>
      <c r="Y944" s="316" t="s">
        <v>53</v>
      </c>
      <c r="Z944" s="8">
        <v>10</v>
      </c>
      <c r="AA944" s="202" t="str">
        <f t="shared" si="15"/>
        <v>Сахар</v>
      </c>
    </row>
    <row r="945" spans="1:27" ht="15" customHeight="1" x14ac:dyDescent="0.25">
      <c r="A945" t="s">
        <v>153</v>
      </c>
      <c r="L945"/>
      <c r="M945"/>
      <c r="N945"/>
      <c r="O945"/>
      <c r="P945"/>
      <c r="T945">
        <v>611</v>
      </c>
      <c r="U945" s="7">
        <v>3</v>
      </c>
      <c r="V945" t="s">
        <v>966</v>
      </c>
      <c r="W945" s="257" t="s">
        <v>1021</v>
      </c>
      <c r="X945" t="s">
        <v>1022</v>
      </c>
      <c r="Y945" s="316" t="s">
        <v>61</v>
      </c>
      <c r="Z945" s="8">
        <v>2</v>
      </c>
      <c r="AA945" s="202" t="str">
        <f t="shared" si="15"/>
        <v>Масло растительное</v>
      </c>
    </row>
    <row r="946" spans="1:27" ht="15" customHeight="1" x14ac:dyDescent="0.25">
      <c r="A946" t="s">
        <v>153</v>
      </c>
      <c r="L946"/>
      <c r="M946"/>
      <c r="N946"/>
      <c r="O946"/>
      <c r="P946"/>
      <c r="T946">
        <v>612</v>
      </c>
      <c r="U946" s="7">
        <v>3</v>
      </c>
      <c r="V946" t="s">
        <v>966</v>
      </c>
      <c r="W946" s="257" t="s">
        <v>1021</v>
      </c>
      <c r="X946" t="s">
        <v>1022</v>
      </c>
      <c r="Y946" s="316" t="s">
        <v>436</v>
      </c>
      <c r="Z946" s="8">
        <v>5</v>
      </c>
      <c r="AA946" s="202" t="str">
        <f t="shared" si="15"/>
        <v>Сухари</v>
      </c>
    </row>
    <row r="947" spans="1:27" ht="15" customHeight="1" x14ac:dyDescent="0.25">
      <c r="A947" t="s">
        <v>153</v>
      </c>
      <c r="L947"/>
      <c r="M947"/>
      <c r="N947"/>
      <c r="O947"/>
      <c r="P947"/>
      <c r="T947">
        <v>613</v>
      </c>
      <c r="U947" s="7">
        <v>3</v>
      </c>
      <c r="V947" t="s">
        <v>966</v>
      </c>
      <c r="W947" s="257" t="s">
        <v>1021</v>
      </c>
      <c r="X947" t="s">
        <v>1022</v>
      </c>
      <c r="Y947" s="316" t="s">
        <v>326</v>
      </c>
      <c r="Z947" s="8">
        <v>3</v>
      </c>
      <c r="AA947" s="202" t="str">
        <f t="shared" si="15"/>
        <v>Соль</v>
      </c>
    </row>
    <row r="948" spans="1:27" ht="15" customHeight="1" x14ac:dyDescent="0.25">
      <c r="A948" t="s">
        <v>153</v>
      </c>
      <c r="L948"/>
      <c r="M948"/>
      <c r="N948"/>
      <c r="O948"/>
      <c r="P948"/>
      <c r="T948">
        <v>614</v>
      </c>
      <c r="U948" s="7">
        <v>3</v>
      </c>
      <c r="V948" t="s">
        <v>966</v>
      </c>
      <c r="W948" s="257" t="s">
        <v>1021</v>
      </c>
      <c r="X948" t="s">
        <v>1022</v>
      </c>
      <c r="Y948" s="316" t="s">
        <v>558</v>
      </c>
      <c r="Z948" s="8">
        <v>213</v>
      </c>
      <c r="AA948" s="202" t="str">
        <f t="shared" si="15"/>
        <v>Общая масса готового блюда, г</v>
      </c>
    </row>
    <row r="949" spans="1:27" ht="15" customHeight="1" x14ac:dyDescent="0.25">
      <c r="A949" t="s">
        <v>153</v>
      </c>
      <c r="L949"/>
      <c r="M949"/>
      <c r="N949"/>
      <c r="O949"/>
      <c r="P949"/>
      <c r="T949">
        <v>614</v>
      </c>
      <c r="U949" s="7">
        <v>3</v>
      </c>
      <c r="V949" t="s">
        <v>966</v>
      </c>
      <c r="W949" s="257" t="s">
        <v>1021</v>
      </c>
      <c r="X949" t="s">
        <v>1022</v>
      </c>
      <c r="Y949" s="316" t="s">
        <v>109</v>
      </c>
      <c r="Z949" s="8">
        <v>415</v>
      </c>
      <c r="AA949" s="202" t="str">
        <f t="shared" si="15"/>
        <v>ОКГ</v>
      </c>
    </row>
    <row r="950" spans="1:27" ht="15" customHeight="1" x14ac:dyDescent="0.25">
      <c r="A950" t="s">
        <v>153</v>
      </c>
      <c r="L950"/>
      <c r="M950"/>
      <c r="N950"/>
      <c r="O950"/>
      <c r="P950"/>
      <c r="T950">
        <v>599</v>
      </c>
      <c r="U950" s="7">
        <v>3</v>
      </c>
      <c r="V950" t="s">
        <v>966</v>
      </c>
      <c r="W950" s="257" t="s">
        <v>1023</v>
      </c>
      <c r="X950" t="s">
        <v>1024</v>
      </c>
      <c r="Y950" s="316" t="s">
        <v>41</v>
      </c>
      <c r="Z950" s="8">
        <v>83</v>
      </c>
      <c r="AA950" s="202" t="str">
        <f t="shared" si="15"/>
        <v>Макаронные изделия</v>
      </c>
    </row>
    <row r="951" spans="1:27" ht="15" customHeight="1" x14ac:dyDescent="0.25">
      <c r="A951" t="s">
        <v>153</v>
      </c>
      <c r="L951"/>
      <c r="M951"/>
      <c r="N951"/>
      <c r="O951"/>
      <c r="P951"/>
      <c r="T951">
        <v>600</v>
      </c>
      <c r="U951" s="7">
        <v>3</v>
      </c>
      <c r="V951" t="s">
        <v>966</v>
      </c>
      <c r="W951" s="257" t="s">
        <v>1023</v>
      </c>
      <c r="X951" t="s">
        <v>1024</v>
      </c>
      <c r="Y951" s="316" t="s">
        <v>330</v>
      </c>
      <c r="Z951" s="8">
        <v>182.60000000000002</v>
      </c>
      <c r="AA951" s="202" t="str">
        <f t="shared" si="15"/>
        <v>Вода</v>
      </c>
    </row>
    <row r="952" spans="1:27" ht="15" customHeight="1" x14ac:dyDescent="0.25">
      <c r="A952" t="s">
        <v>153</v>
      </c>
      <c r="L952"/>
      <c r="M952"/>
      <c r="N952"/>
      <c r="O952"/>
      <c r="P952"/>
      <c r="T952">
        <v>601</v>
      </c>
      <c r="U952" s="7">
        <v>3</v>
      </c>
      <c r="V952" t="s">
        <v>966</v>
      </c>
      <c r="W952" s="257" t="s">
        <v>1023</v>
      </c>
      <c r="X952" t="s">
        <v>1024</v>
      </c>
      <c r="Y952" s="316" t="s">
        <v>451</v>
      </c>
      <c r="Z952" s="8">
        <v>10</v>
      </c>
      <c r="AA952" s="202" t="str">
        <f t="shared" si="15"/>
        <v>Сыр</v>
      </c>
    </row>
    <row r="953" spans="1:27" ht="15" customHeight="1" x14ac:dyDescent="0.25">
      <c r="A953" t="s">
        <v>153</v>
      </c>
      <c r="L953"/>
      <c r="M953"/>
      <c r="N953"/>
      <c r="O953"/>
      <c r="P953"/>
      <c r="T953">
        <v>602</v>
      </c>
      <c r="U953" s="7">
        <v>3</v>
      </c>
      <c r="V953" t="s">
        <v>966</v>
      </c>
      <c r="W953" s="257" t="s">
        <v>1023</v>
      </c>
      <c r="X953" t="s">
        <v>1024</v>
      </c>
      <c r="Y953" s="316" t="s">
        <v>61</v>
      </c>
      <c r="Z953" s="8">
        <v>2</v>
      </c>
      <c r="AA953" s="202" t="str">
        <f t="shared" si="15"/>
        <v>Масло растительное</v>
      </c>
    </row>
    <row r="954" spans="1:27" ht="15" customHeight="1" x14ac:dyDescent="0.25">
      <c r="A954" t="s">
        <v>153</v>
      </c>
      <c r="L954"/>
      <c r="M954"/>
      <c r="N954"/>
      <c r="O954"/>
      <c r="P954"/>
      <c r="T954">
        <v>603</v>
      </c>
      <c r="U954" s="7">
        <v>3</v>
      </c>
      <c r="V954" t="s">
        <v>966</v>
      </c>
      <c r="W954" s="257" t="s">
        <v>1023</v>
      </c>
      <c r="X954" t="s">
        <v>1024</v>
      </c>
      <c r="Y954" s="316" t="s">
        <v>326</v>
      </c>
      <c r="Z954" s="8">
        <v>3</v>
      </c>
      <c r="AA954" s="202" t="str">
        <f t="shared" si="15"/>
        <v>Соль</v>
      </c>
    </row>
    <row r="955" spans="1:27" ht="15" customHeight="1" x14ac:dyDescent="0.25">
      <c r="A955" t="s">
        <v>153</v>
      </c>
      <c r="L955"/>
      <c r="M955"/>
      <c r="N955"/>
      <c r="O955"/>
      <c r="P955"/>
      <c r="T955">
        <v>604</v>
      </c>
      <c r="U955" s="7">
        <v>3</v>
      </c>
      <c r="V955" t="s">
        <v>966</v>
      </c>
      <c r="W955" s="257" t="s">
        <v>1023</v>
      </c>
      <c r="X955" t="s">
        <v>1024</v>
      </c>
      <c r="Y955" s="316" t="s">
        <v>558</v>
      </c>
      <c r="Z955" s="8">
        <v>215</v>
      </c>
      <c r="AA955" s="202" t="str">
        <f t="shared" si="15"/>
        <v>Общая масса готового блюда, г</v>
      </c>
    </row>
    <row r="956" spans="1:27" ht="15" customHeight="1" x14ac:dyDescent="0.25">
      <c r="A956" t="s">
        <v>153</v>
      </c>
      <c r="L956"/>
      <c r="M956"/>
      <c r="N956"/>
      <c r="O956"/>
      <c r="P956"/>
      <c r="T956">
        <v>604</v>
      </c>
      <c r="U956" s="7">
        <v>3</v>
      </c>
      <c r="V956" t="s">
        <v>966</v>
      </c>
      <c r="W956" s="257" t="s">
        <v>1023</v>
      </c>
      <c r="X956" t="s">
        <v>1024</v>
      </c>
      <c r="Y956" s="316" t="s">
        <v>109</v>
      </c>
      <c r="Z956" s="8">
        <v>415</v>
      </c>
      <c r="AA956" s="202" t="str">
        <f t="shared" si="15"/>
        <v>ОКГ</v>
      </c>
    </row>
    <row r="957" spans="1:27" ht="15" customHeight="1" x14ac:dyDescent="0.25">
      <c r="A957" t="s">
        <v>153</v>
      </c>
      <c r="L957"/>
      <c r="M957"/>
      <c r="N957"/>
      <c r="O957"/>
      <c r="P957"/>
      <c r="T957">
        <v>595</v>
      </c>
      <c r="U957" s="7">
        <v>3</v>
      </c>
      <c r="V957" t="s">
        <v>966</v>
      </c>
      <c r="W957" s="257" t="s">
        <v>1025</v>
      </c>
      <c r="X957" t="s">
        <v>156</v>
      </c>
      <c r="Y957" s="316" t="s">
        <v>41</v>
      </c>
      <c r="Z957" s="8">
        <v>83</v>
      </c>
      <c r="AA957" s="202" t="str">
        <f t="shared" si="15"/>
        <v>Макаронные изделия</v>
      </c>
    </row>
    <row r="958" spans="1:27" ht="15" customHeight="1" x14ac:dyDescent="0.25">
      <c r="A958" t="s">
        <v>153</v>
      </c>
      <c r="L958"/>
      <c r="M958"/>
      <c r="N958"/>
      <c r="O958"/>
      <c r="P958"/>
      <c r="T958">
        <v>596</v>
      </c>
      <c r="U958" s="7">
        <v>3</v>
      </c>
      <c r="V958" t="s">
        <v>966</v>
      </c>
      <c r="W958" s="257" t="s">
        <v>1025</v>
      </c>
      <c r="X958" t="s">
        <v>156</v>
      </c>
      <c r="Y958" s="316" t="s">
        <v>330</v>
      </c>
      <c r="Z958" s="8">
        <v>182.60000000000002</v>
      </c>
      <c r="AA958" s="202" t="str">
        <f t="shared" si="15"/>
        <v>Вода</v>
      </c>
    </row>
    <row r="959" spans="1:27" ht="15" customHeight="1" x14ac:dyDescent="0.25">
      <c r="A959" t="s">
        <v>153</v>
      </c>
      <c r="L959"/>
      <c r="M959"/>
      <c r="N959"/>
      <c r="O959"/>
      <c r="P959"/>
      <c r="T959">
        <v>597</v>
      </c>
      <c r="U959" s="7">
        <v>3</v>
      </c>
      <c r="V959" t="s">
        <v>966</v>
      </c>
      <c r="W959" s="257" t="s">
        <v>1025</v>
      </c>
      <c r="X959" t="s">
        <v>156</v>
      </c>
      <c r="Y959" s="316" t="s">
        <v>326</v>
      </c>
      <c r="Z959" s="8">
        <v>3</v>
      </c>
      <c r="AA959" s="202" t="str">
        <f t="shared" si="15"/>
        <v>Соль</v>
      </c>
    </row>
    <row r="960" spans="1:27" ht="15" customHeight="1" x14ac:dyDescent="0.25">
      <c r="A960" t="s">
        <v>153</v>
      </c>
      <c r="L960"/>
      <c r="M960"/>
      <c r="N960"/>
      <c r="O960"/>
      <c r="P960"/>
      <c r="T960">
        <v>598</v>
      </c>
      <c r="U960" s="7">
        <v>3</v>
      </c>
      <c r="V960" t="s">
        <v>966</v>
      </c>
      <c r="W960" s="257" t="s">
        <v>1025</v>
      </c>
      <c r="X960" t="s">
        <v>156</v>
      </c>
      <c r="Y960" s="316" t="s">
        <v>558</v>
      </c>
      <c r="Z960" s="8">
        <v>249</v>
      </c>
      <c r="AA960" s="202" t="str">
        <f t="shared" si="15"/>
        <v>Общая масса готового блюда, г</v>
      </c>
    </row>
    <row r="961" spans="1:27" ht="15" customHeight="1" x14ac:dyDescent="0.25">
      <c r="A961" t="s">
        <v>153</v>
      </c>
      <c r="L961"/>
      <c r="M961"/>
      <c r="N961"/>
      <c r="O961"/>
      <c r="P961"/>
      <c r="T961">
        <v>598</v>
      </c>
      <c r="U961" s="7">
        <v>3</v>
      </c>
      <c r="V961" t="s">
        <v>966</v>
      </c>
      <c r="W961" s="257" t="s">
        <v>1025</v>
      </c>
      <c r="X961" t="s">
        <v>156</v>
      </c>
      <c r="Y961" s="316" t="s">
        <v>109</v>
      </c>
      <c r="Z961" s="8">
        <v>415</v>
      </c>
      <c r="AA961" s="202" t="str">
        <f t="shared" si="15"/>
        <v>ОКГ</v>
      </c>
    </row>
    <row r="962" spans="1:27" ht="15" customHeight="1" x14ac:dyDescent="0.25">
      <c r="A962" t="s">
        <v>153</v>
      </c>
      <c r="L962"/>
      <c r="M962"/>
      <c r="N962"/>
      <c r="O962"/>
      <c r="P962"/>
      <c r="T962">
        <v>591</v>
      </c>
      <c r="U962" s="7">
        <v>3</v>
      </c>
      <c r="V962" t="s">
        <v>966</v>
      </c>
      <c r="W962" s="257" t="s">
        <v>1026</v>
      </c>
      <c r="X962" t="s">
        <v>1027</v>
      </c>
      <c r="Y962" s="316" t="s">
        <v>41</v>
      </c>
      <c r="Z962" s="8">
        <v>83</v>
      </c>
      <c r="AA962" s="202" t="str">
        <f t="shared" ref="AA962:AA1025" si="16">VLOOKUP(Y962,O:P,2,FALSE)</f>
        <v>Макаронные изделия</v>
      </c>
    </row>
    <row r="963" spans="1:27" ht="15" customHeight="1" x14ac:dyDescent="0.25">
      <c r="A963" t="s">
        <v>153</v>
      </c>
      <c r="L963"/>
      <c r="M963"/>
      <c r="N963"/>
      <c r="O963"/>
      <c r="P963"/>
      <c r="T963">
        <v>592</v>
      </c>
      <c r="U963" s="7">
        <v>3</v>
      </c>
      <c r="V963" t="s">
        <v>966</v>
      </c>
      <c r="W963" s="257" t="s">
        <v>1026</v>
      </c>
      <c r="X963" t="s">
        <v>1027</v>
      </c>
      <c r="Y963" s="316" t="s">
        <v>330</v>
      </c>
      <c r="Z963" s="8">
        <v>498</v>
      </c>
      <c r="AA963" s="202" t="str">
        <f t="shared" si="16"/>
        <v>Вода</v>
      </c>
    </row>
    <row r="964" spans="1:27" ht="15" customHeight="1" x14ac:dyDescent="0.25">
      <c r="A964" t="s">
        <v>153</v>
      </c>
      <c r="L964"/>
      <c r="M964"/>
      <c r="N964"/>
      <c r="O964"/>
      <c r="P964"/>
      <c r="T964">
        <v>593</v>
      </c>
      <c r="U964" s="7">
        <v>3</v>
      </c>
      <c r="V964" t="s">
        <v>966</v>
      </c>
      <c r="W964" s="257" t="s">
        <v>1026</v>
      </c>
      <c r="X964" t="s">
        <v>1027</v>
      </c>
      <c r="Y964" s="316" t="s">
        <v>326</v>
      </c>
      <c r="Z964" s="8">
        <v>3</v>
      </c>
      <c r="AA964" s="202" t="str">
        <f t="shared" si="16"/>
        <v>Соль</v>
      </c>
    </row>
    <row r="965" spans="1:27" ht="15" customHeight="1" x14ac:dyDescent="0.25">
      <c r="A965" t="s">
        <v>153</v>
      </c>
      <c r="L965"/>
      <c r="M965"/>
      <c r="N965"/>
      <c r="O965"/>
      <c r="P965"/>
      <c r="T965">
        <v>594</v>
      </c>
      <c r="U965" s="7">
        <v>3</v>
      </c>
      <c r="V965" t="s">
        <v>966</v>
      </c>
      <c r="W965" s="257" t="s">
        <v>1026</v>
      </c>
      <c r="X965" t="s">
        <v>1027</v>
      </c>
      <c r="Y965" s="316" t="s">
        <v>558</v>
      </c>
      <c r="Z965" s="8">
        <v>208</v>
      </c>
      <c r="AA965" s="202" t="str">
        <f t="shared" si="16"/>
        <v>Общая масса готового блюда, г</v>
      </c>
    </row>
    <row r="966" spans="1:27" ht="15" customHeight="1" x14ac:dyDescent="0.25">
      <c r="A966" t="s">
        <v>153</v>
      </c>
      <c r="L966"/>
      <c r="M966"/>
      <c r="N966"/>
      <c r="O966"/>
      <c r="P966"/>
      <c r="T966">
        <v>594</v>
      </c>
      <c r="U966" s="7">
        <v>3</v>
      </c>
      <c r="V966" t="s">
        <v>966</v>
      </c>
      <c r="W966" s="257" t="s">
        <v>1026</v>
      </c>
      <c r="X966" t="s">
        <v>1027</v>
      </c>
      <c r="Y966" s="316" t="s">
        <v>109</v>
      </c>
      <c r="Z966" s="8">
        <v>415</v>
      </c>
      <c r="AA966" s="202" t="str">
        <f t="shared" si="16"/>
        <v>ОКГ</v>
      </c>
    </row>
    <row r="967" spans="1:27" ht="15" customHeight="1" x14ac:dyDescent="0.25">
      <c r="A967" t="s">
        <v>153</v>
      </c>
      <c r="L967"/>
      <c r="M967"/>
      <c r="N967"/>
      <c r="O967"/>
      <c r="P967"/>
      <c r="T967">
        <v>2342</v>
      </c>
      <c r="U967" s="7">
        <v>3</v>
      </c>
      <c r="V967" t="s">
        <v>613</v>
      </c>
      <c r="W967" s="257" t="s">
        <v>688</v>
      </c>
      <c r="X967" t="s">
        <v>689</v>
      </c>
      <c r="Y967" s="316" t="s">
        <v>41</v>
      </c>
      <c r="Z967" s="8">
        <v>71</v>
      </c>
      <c r="AA967" s="202" t="str">
        <f t="shared" si="16"/>
        <v>Макаронные изделия</v>
      </c>
    </row>
    <row r="968" spans="1:27" ht="15" customHeight="1" x14ac:dyDescent="0.25">
      <c r="A968" t="s">
        <v>153</v>
      </c>
      <c r="L968"/>
      <c r="M968"/>
      <c r="N968"/>
      <c r="O968"/>
      <c r="P968"/>
      <c r="T968">
        <v>2343</v>
      </c>
      <c r="U968" s="7">
        <v>3</v>
      </c>
      <c r="V968" t="s">
        <v>613</v>
      </c>
      <c r="W968" s="257" t="s">
        <v>688</v>
      </c>
      <c r="X968" t="s">
        <v>689</v>
      </c>
      <c r="Y968" s="316" t="s">
        <v>456</v>
      </c>
      <c r="Z968" s="8">
        <v>75</v>
      </c>
      <c r="AA968" s="202" t="str">
        <f t="shared" si="16"/>
        <v>Говядина консерв.</v>
      </c>
    </row>
    <row r="969" spans="1:27" ht="15" customHeight="1" x14ac:dyDescent="0.25">
      <c r="A969" t="s">
        <v>153</v>
      </c>
      <c r="L969"/>
      <c r="M969"/>
      <c r="N969"/>
      <c r="O969"/>
      <c r="P969"/>
      <c r="T969">
        <v>2344</v>
      </c>
      <c r="U969" s="7">
        <v>3</v>
      </c>
      <c r="V969" t="s">
        <v>613</v>
      </c>
      <c r="W969" s="257" t="s">
        <v>688</v>
      </c>
      <c r="X969" t="s">
        <v>689</v>
      </c>
      <c r="Y969" s="316" t="s">
        <v>61</v>
      </c>
      <c r="Z969" s="8">
        <v>2</v>
      </c>
      <c r="AA969" s="202" t="str">
        <f t="shared" si="16"/>
        <v>Масло растительное</v>
      </c>
    </row>
    <row r="970" spans="1:27" ht="15" customHeight="1" x14ac:dyDescent="0.25">
      <c r="A970" t="s">
        <v>153</v>
      </c>
      <c r="L970"/>
      <c r="M970"/>
      <c r="N970"/>
      <c r="O970"/>
      <c r="P970"/>
      <c r="T970">
        <v>2345</v>
      </c>
      <c r="U970" s="7">
        <v>3</v>
      </c>
      <c r="V970" t="s">
        <v>613</v>
      </c>
      <c r="W970" s="257" t="s">
        <v>688</v>
      </c>
      <c r="X970" t="s">
        <v>689</v>
      </c>
      <c r="Y970" s="316" t="s">
        <v>46</v>
      </c>
      <c r="Z970" s="8">
        <v>10</v>
      </c>
      <c r="AA970" s="202" t="str">
        <f t="shared" si="16"/>
        <v>Морковь</v>
      </c>
    </row>
    <row r="971" spans="1:27" ht="15" customHeight="1" x14ac:dyDescent="0.25">
      <c r="A971" t="s">
        <v>153</v>
      </c>
      <c r="L971"/>
      <c r="M971"/>
      <c r="N971"/>
      <c r="O971"/>
      <c r="P971"/>
      <c r="T971">
        <v>2346</v>
      </c>
      <c r="U971" s="7">
        <v>3</v>
      </c>
      <c r="V971" t="s">
        <v>613</v>
      </c>
      <c r="W971" s="257" t="s">
        <v>688</v>
      </c>
      <c r="X971" t="s">
        <v>689</v>
      </c>
      <c r="Y971" s="316" t="s">
        <v>32</v>
      </c>
      <c r="Z971" s="8">
        <v>10</v>
      </c>
      <c r="AA971" s="202" t="str">
        <f t="shared" si="16"/>
        <v>Лук репчатый</v>
      </c>
    </row>
    <row r="972" spans="1:27" ht="15" customHeight="1" x14ac:dyDescent="0.25">
      <c r="A972" t="s">
        <v>153</v>
      </c>
      <c r="L972"/>
      <c r="M972"/>
      <c r="N972"/>
      <c r="O972"/>
      <c r="P972"/>
      <c r="T972">
        <v>2347</v>
      </c>
      <c r="U972" s="7">
        <v>3</v>
      </c>
      <c r="V972" t="s">
        <v>613</v>
      </c>
      <c r="W972" s="257" t="s">
        <v>688</v>
      </c>
      <c r="X972" t="s">
        <v>689</v>
      </c>
      <c r="Y972" s="316" t="s">
        <v>76</v>
      </c>
      <c r="Z972" s="8">
        <v>3</v>
      </c>
      <c r="AA972" s="202" t="str">
        <f t="shared" si="16"/>
        <v>Томат-паста</v>
      </c>
    </row>
    <row r="973" spans="1:27" ht="15" customHeight="1" x14ac:dyDescent="0.25">
      <c r="A973" t="s">
        <v>153</v>
      </c>
      <c r="L973"/>
      <c r="M973"/>
      <c r="N973"/>
      <c r="O973"/>
      <c r="P973"/>
      <c r="T973">
        <v>2348</v>
      </c>
      <c r="U973" s="7">
        <v>3</v>
      </c>
      <c r="V973" t="s">
        <v>613</v>
      </c>
      <c r="W973" s="257" t="s">
        <v>688</v>
      </c>
      <c r="X973" t="s">
        <v>689</v>
      </c>
      <c r="Y973" s="316" t="s">
        <v>434</v>
      </c>
      <c r="Z973" s="8">
        <v>3</v>
      </c>
      <c r="AA973" s="202" t="str">
        <f t="shared" si="16"/>
        <v>Мука пшеничная 1 с</v>
      </c>
    </row>
    <row r="974" spans="1:27" ht="15" customHeight="1" x14ac:dyDescent="0.25">
      <c r="A974" t="s">
        <v>153</v>
      </c>
      <c r="L974"/>
      <c r="M974"/>
      <c r="N974"/>
      <c r="O974"/>
      <c r="P974"/>
      <c r="T974">
        <v>2349</v>
      </c>
      <c r="U974" s="7">
        <v>3</v>
      </c>
      <c r="V974" t="s">
        <v>613</v>
      </c>
      <c r="W974" s="257" t="s">
        <v>688</v>
      </c>
      <c r="X974" t="s">
        <v>689</v>
      </c>
      <c r="Y974" s="316" t="s">
        <v>326</v>
      </c>
      <c r="Z974" s="8">
        <v>2</v>
      </c>
      <c r="AA974" s="202" t="str">
        <f t="shared" si="16"/>
        <v>Соль</v>
      </c>
    </row>
    <row r="975" spans="1:27" ht="15" customHeight="1" x14ac:dyDescent="0.25">
      <c r="A975" t="s">
        <v>153</v>
      </c>
      <c r="L975"/>
      <c r="M975"/>
      <c r="N975"/>
      <c r="O975"/>
      <c r="P975"/>
      <c r="T975">
        <v>2350</v>
      </c>
      <c r="U975" s="7">
        <v>3</v>
      </c>
      <c r="V975" t="s">
        <v>613</v>
      </c>
      <c r="W975" s="257" t="s">
        <v>688</v>
      </c>
      <c r="X975" t="s">
        <v>689</v>
      </c>
      <c r="Y975" s="316" t="s">
        <v>484</v>
      </c>
      <c r="Z975" s="8">
        <v>0.1</v>
      </c>
      <c r="AA975" s="202" t="str">
        <f t="shared" si="16"/>
        <v>Перец черный</v>
      </c>
    </row>
    <row r="976" spans="1:27" ht="15" customHeight="1" x14ac:dyDescent="0.25">
      <c r="A976" t="s">
        <v>153</v>
      </c>
      <c r="L976"/>
      <c r="M976"/>
      <c r="N976"/>
      <c r="O976"/>
      <c r="P976"/>
      <c r="T976">
        <v>2351</v>
      </c>
      <c r="U976" s="7">
        <v>3</v>
      </c>
      <c r="V976" t="s">
        <v>613</v>
      </c>
      <c r="W976" s="257" t="s">
        <v>688</v>
      </c>
      <c r="X976" t="s">
        <v>689</v>
      </c>
      <c r="Y976" s="316" t="s">
        <v>558</v>
      </c>
      <c r="Z976" s="8">
        <v>263</v>
      </c>
      <c r="AA976" s="202" t="str">
        <f t="shared" si="16"/>
        <v>Общая масса готового блюда, г</v>
      </c>
    </row>
    <row r="977" spans="1:27" ht="15" customHeight="1" x14ac:dyDescent="0.25">
      <c r="A977" t="s">
        <v>153</v>
      </c>
      <c r="L977"/>
      <c r="M977"/>
      <c r="N977"/>
      <c r="O977"/>
      <c r="P977"/>
      <c r="T977">
        <v>2351</v>
      </c>
      <c r="U977" s="7">
        <v>3</v>
      </c>
      <c r="V977" t="s">
        <v>613</v>
      </c>
      <c r="W977" s="257" t="s">
        <v>688</v>
      </c>
      <c r="X977" t="s">
        <v>689</v>
      </c>
      <c r="Y977" s="316" t="s">
        <v>109</v>
      </c>
      <c r="Z977" s="8">
        <v>375</v>
      </c>
      <c r="AA977" s="202" t="str">
        <f t="shared" si="16"/>
        <v>ОКГ</v>
      </c>
    </row>
    <row r="978" spans="1:27" ht="15" customHeight="1" x14ac:dyDescent="0.25">
      <c r="A978" t="s">
        <v>153</v>
      </c>
      <c r="L978"/>
      <c r="M978"/>
      <c r="N978"/>
      <c r="O978"/>
      <c r="P978"/>
      <c r="T978">
        <v>2351</v>
      </c>
      <c r="U978" s="7">
        <v>3</v>
      </c>
      <c r="V978" t="s">
        <v>613</v>
      </c>
      <c r="W978" s="257" t="s">
        <v>688</v>
      </c>
      <c r="X978" t="s">
        <v>689</v>
      </c>
      <c r="Y978" s="316" t="s">
        <v>1214</v>
      </c>
      <c r="Z978" s="8">
        <v>75</v>
      </c>
      <c r="AA978" s="202" t="str">
        <f t="shared" si="16"/>
        <v>Масса мясных и рыбных порций, г</v>
      </c>
    </row>
    <row r="979" spans="1:27" ht="15" customHeight="1" x14ac:dyDescent="0.25">
      <c r="A979" t="s">
        <v>153</v>
      </c>
      <c r="L979"/>
      <c r="M979"/>
      <c r="N979"/>
      <c r="O979"/>
      <c r="P979"/>
      <c r="T979">
        <v>2361</v>
      </c>
      <c r="U979" s="7">
        <v>3</v>
      </c>
      <c r="V979" t="s">
        <v>613</v>
      </c>
      <c r="W979" s="257" t="s">
        <v>690</v>
      </c>
      <c r="X979" t="s">
        <v>691</v>
      </c>
      <c r="Y979" s="316" t="s">
        <v>461</v>
      </c>
      <c r="Z979" s="8">
        <v>75</v>
      </c>
      <c r="AA979" s="202" t="str">
        <f t="shared" si="16"/>
        <v>Мясо птицы консерв.</v>
      </c>
    </row>
    <row r="980" spans="1:27" ht="15" customHeight="1" x14ac:dyDescent="0.25">
      <c r="A980" t="s">
        <v>153</v>
      </c>
      <c r="L980"/>
      <c r="M980"/>
      <c r="N980"/>
      <c r="O980"/>
      <c r="P980"/>
      <c r="T980">
        <v>2362</v>
      </c>
      <c r="U980" s="7">
        <v>3</v>
      </c>
      <c r="V980" t="s">
        <v>613</v>
      </c>
      <c r="W980" s="257" t="s">
        <v>690</v>
      </c>
      <c r="X980" t="s">
        <v>691</v>
      </c>
      <c r="Y980" s="316" t="s">
        <v>61</v>
      </c>
      <c r="Z980" s="8">
        <v>2</v>
      </c>
      <c r="AA980" s="202" t="str">
        <f t="shared" si="16"/>
        <v>Масло растительное</v>
      </c>
    </row>
    <row r="981" spans="1:27" ht="15" customHeight="1" x14ac:dyDescent="0.25">
      <c r="A981" t="s">
        <v>153</v>
      </c>
      <c r="L981"/>
      <c r="M981"/>
      <c r="N981"/>
      <c r="O981"/>
      <c r="P981"/>
      <c r="T981">
        <v>2363</v>
      </c>
      <c r="U981" s="7">
        <v>3</v>
      </c>
      <c r="V981" t="s">
        <v>613</v>
      </c>
      <c r="W981" s="257" t="s">
        <v>690</v>
      </c>
      <c r="X981" t="s">
        <v>691</v>
      </c>
      <c r="Y981" s="316" t="s">
        <v>46</v>
      </c>
      <c r="Z981" s="8">
        <v>10</v>
      </c>
      <c r="AA981" s="202" t="str">
        <f t="shared" si="16"/>
        <v>Морковь</v>
      </c>
    </row>
    <row r="982" spans="1:27" ht="15" customHeight="1" x14ac:dyDescent="0.25">
      <c r="A982" t="s">
        <v>153</v>
      </c>
      <c r="L982"/>
      <c r="M982"/>
      <c r="N982"/>
      <c r="O982"/>
      <c r="P982"/>
      <c r="T982">
        <v>2364</v>
      </c>
      <c r="U982" s="7">
        <v>3</v>
      </c>
      <c r="V982" t="s">
        <v>613</v>
      </c>
      <c r="W982" s="257" t="s">
        <v>690</v>
      </c>
      <c r="X982" t="s">
        <v>691</v>
      </c>
      <c r="Y982" s="316" t="s">
        <v>32</v>
      </c>
      <c r="Z982" s="8">
        <v>10</v>
      </c>
      <c r="AA982" s="202" t="str">
        <f t="shared" si="16"/>
        <v>Лук репчатый</v>
      </c>
    </row>
    <row r="983" spans="1:27" ht="15" customHeight="1" x14ac:dyDescent="0.25">
      <c r="A983" t="s">
        <v>153</v>
      </c>
      <c r="L983"/>
      <c r="M983"/>
      <c r="N983"/>
      <c r="O983"/>
      <c r="P983"/>
      <c r="T983">
        <v>2365</v>
      </c>
      <c r="U983" s="7">
        <v>3</v>
      </c>
      <c r="V983" t="s">
        <v>613</v>
      </c>
      <c r="W983" s="257" t="s">
        <v>690</v>
      </c>
      <c r="X983" t="s">
        <v>691</v>
      </c>
      <c r="Y983" s="316" t="s">
        <v>76</v>
      </c>
      <c r="Z983" s="8">
        <v>3</v>
      </c>
      <c r="AA983" s="202" t="str">
        <f t="shared" si="16"/>
        <v>Томат-паста</v>
      </c>
    </row>
    <row r="984" spans="1:27" ht="15" customHeight="1" x14ac:dyDescent="0.25">
      <c r="A984" t="s">
        <v>153</v>
      </c>
      <c r="L984"/>
      <c r="M984"/>
      <c r="N984"/>
      <c r="O984"/>
      <c r="P984"/>
      <c r="T984">
        <v>2366</v>
      </c>
      <c r="U984" s="7">
        <v>3</v>
      </c>
      <c r="V984" t="s">
        <v>613</v>
      </c>
      <c r="W984" s="257" t="s">
        <v>690</v>
      </c>
      <c r="X984" t="s">
        <v>691</v>
      </c>
      <c r="Y984" s="316" t="s">
        <v>434</v>
      </c>
      <c r="Z984" s="8">
        <v>3</v>
      </c>
      <c r="AA984" s="202" t="str">
        <f t="shared" si="16"/>
        <v>Мука пшеничная 1 с</v>
      </c>
    </row>
    <row r="985" spans="1:27" ht="15" customHeight="1" x14ac:dyDescent="0.25">
      <c r="A985" t="s">
        <v>153</v>
      </c>
      <c r="L985"/>
      <c r="M985"/>
      <c r="N985"/>
      <c r="O985"/>
      <c r="P985"/>
      <c r="T985">
        <v>2367</v>
      </c>
      <c r="U985" s="7">
        <v>3</v>
      </c>
      <c r="V985" t="s">
        <v>613</v>
      </c>
      <c r="W985" s="257" t="s">
        <v>690</v>
      </c>
      <c r="X985" t="s">
        <v>691</v>
      </c>
      <c r="Y985" s="316" t="s">
        <v>326</v>
      </c>
      <c r="Z985" s="8">
        <v>2</v>
      </c>
      <c r="AA985" s="202" t="str">
        <f t="shared" si="16"/>
        <v>Соль</v>
      </c>
    </row>
    <row r="986" spans="1:27" ht="15" customHeight="1" x14ac:dyDescent="0.25">
      <c r="A986" t="s">
        <v>153</v>
      </c>
      <c r="L986"/>
      <c r="M986"/>
      <c r="N986"/>
      <c r="O986"/>
      <c r="P986"/>
      <c r="T986">
        <v>2368</v>
      </c>
      <c r="U986" s="7">
        <v>3</v>
      </c>
      <c r="V986" t="s">
        <v>613</v>
      </c>
      <c r="W986" s="257" t="s">
        <v>690</v>
      </c>
      <c r="X986" t="s">
        <v>691</v>
      </c>
      <c r="Y986" s="316" t="s">
        <v>484</v>
      </c>
      <c r="Z986" s="8">
        <v>0.1</v>
      </c>
      <c r="AA986" s="202" t="str">
        <f t="shared" si="16"/>
        <v>Перец черный</v>
      </c>
    </row>
    <row r="987" spans="1:27" ht="15" customHeight="1" x14ac:dyDescent="0.25">
      <c r="A987" t="s">
        <v>153</v>
      </c>
      <c r="L987"/>
      <c r="M987"/>
      <c r="N987"/>
      <c r="O987"/>
      <c r="P987"/>
      <c r="T987">
        <v>2368</v>
      </c>
      <c r="U987" s="7">
        <v>3</v>
      </c>
      <c r="V987" t="s">
        <v>613</v>
      </c>
      <c r="W987" s="257" t="s">
        <v>690</v>
      </c>
      <c r="X987" t="s">
        <v>691</v>
      </c>
      <c r="Y987" s="316" t="s">
        <v>41</v>
      </c>
      <c r="Z987" s="8">
        <v>71</v>
      </c>
      <c r="AA987" s="202" t="str">
        <f t="shared" si="16"/>
        <v>Макаронные изделия</v>
      </c>
    </row>
    <row r="988" spans="1:27" ht="15" customHeight="1" x14ac:dyDescent="0.25">
      <c r="A988" t="s">
        <v>153</v>
      </c>
      <c r="L988"/>
      <c r="M988"/>
      <c r="N988"/>
      <c r="O988"/>
      <c r="P988"/>
      <c r="T988">
        <v>2369</v>
      </c>
      <c r="U988" s="7">
        <v>3</v>
      </c>
      <c r="V988" t="s">
        <v>613</v>
      </c>
      <c r="W988" s="257" t="s">
        <v>690</v>
      </c>
      <c r="X988" t="s">
        <v>691</v>
      </c>
      <c r="Y988" s="316" t="s">
        <v>558</v>
      </c>
      <c r="Z988" s="8">
        <v>263</v>
      </c>
      <c r="AA988" s="202" t="str">
        <f t="shared" si="16"/>
        <v>Общая масса готового блюда, г</v>
      </c>
    </row>
    <row r="989" spans="1:27" ht="15" customHeight="1" x14ac:dyDescent="0.25">
      <c r="A989" t="s">
        <v>153</v>
      </c>
      <c r="L989"/>
      <c r="M989"/>
      <c r="N989"/>
      <c r="O989"/>
      <c r="P989"/>
      <c r="T989">
        <v>2369</v>
      </c>
      <c r="U989" s="7">
        <v>3</v>
      </c>
      <c r="V989" t="s">
        <v>613</v>
      </c>
      <c r="W989" s="257" t="s">
        <v>690</v>
      </c>
      <c r="X989" t="s">
        <v>691</v>
      </c>
      <c r="Y989" s="316" t="s">
        <v>109</v>
      </c>
      <c r="Z989" s="8">
        <v>375</v>
      </c>
      <c r="AA989" s="202" t="str">
        <f t="shared" si="16"/>
        <v>ОКГ</v>
      </c>
    </row>
    <row r="990" spans="1:27" ht="15" customHeight="1" x14ac:dyDescent="0.25">
      <c r="A990" t="s">
        <v>153</v>
      </c>
      <c r="L990"/>
      <c r="M990"/>
      <c r="N990"/>
      <c r="O990"/>
      <c r="P990"/>
      <c r="T990">
        <v>2369</v>
      </c>
      <c r="U990" s="7">
        <v>3</v>
      </c>
      <c r="V990" t="s">
        <v>613</v>
      </c>
      <c r="W990" s="257" t="s">
        <v>690</v>
      </c>
      <c r="X990" t="s">
        <v>691</v>
      </c>
      <c r="Y990" s="316" t="s">
        <v>1214</v>
      </c>
      <c r="Z990" s="8">
        <v>75</v>
      </c>
      <c r="AA990" s="202" t="str">
        <f t="shared" si="16"/>
        <v>Масса мясных и рыбных порций, г</v>
      </c>
    </row>
    <row r="991" spans="1:27" ht="15" customHeight="1" x14ac:dyDescent="0.25">
      <c r="A991" t="s">
        <v>153</v>
      </c>
      <c r="L991"/>
      <c r="M991"/>
      <c r="N991"/>
      <c r="O991"/>
      <c r="P991"/>
      <c r="T991">
        <v>2352</v>
      </c>
      <c r="U991" s="7">
        <v>3</v>
      </c>
      <c r="V991" t="s">
        <v>613</v>
      </c>
      <c r="W991" s="257" t="s">
        <v>692</v>
      </c>
      <c r="X991" t="s">
        <v>693</v>
      </c>
      <c r="Y991" s="316" t="s">
        <v>477</v>
      </c>
      <c r="Z991" s="8">
        <v>75</v>
      </c>
      <c r="AA991" s="202" t="str">
        <f t="shared" si="16"/>
        <v>Свинина консерв.</v>
      </c>
    </row>
    <row r="992" spans="1:27" ht="15" customHeight="1" x14ac:dyDescent="0.25">
      <c r="A992" t="s">
        <v>153</v>
      </c>
      <c r="L992"/>
      <c r="M992"/>
      <c r="N992"/>
      <c r="O992"/>
      <c r="P992"/>
      <c r="T992">
        <v>2353</v>
      </c>
      <c r="U992" s="7">
        <v>3</v>
      </c>
      <c r="V992" t="s">
        <v>613</v>
      </c>
      <c r="W992" s="257" t="s">
        <v>692</v>
      </c>
      <c r="X992" t="s">
        <v>693</v>
      </c>
      <c r="Y992" s="316" t="s">
        <v>61</v>
      </c>
      <c r="Z992" s="8">
        <v>2</v>
      </c>
      <c r="AA992" s="202" t="str">
        <f t="shared" si="16"/>
        <v>Масло растительное</v>
      </c>
    </row>
    <row r="993" spans="1:27" ht="15" customHeight="1" x14ac:dyDescent="0.25">
      <c r="A993" t="s">
        <v>153</v>
      </c>
      <c r="L993"/>
      <c r="M993"/>
      <c r="N993"/>
      <c r="O993"/>
      <c r="P993"/>
      <c r="T993">
        <v>2354</v>
      </c>
      <c r="U993" s="7">
        <v>3</v>
      </c>
      <c r="V993" t="s">
        <v>613</v>
      </c>
      <c r="W993" s="257" t="s">
        <v>692</v>
      </c>
      <c r="X993" t="s">
        <v>693</v>
      </c>
      <c r="Y993" s="316" t="s">
        <v>46</v>
      </c>
      <c r="Z993" s="8">
        <v>10</v>
      </c>
      <c r="AA993" s="202" t="str">
        <f t="shared" si="16"/>
        <v>Морковь</v>
      </c>
    </row>
    <row r="994" spans="1:27" ht="15" customHeight="1" x14ac:dyDescent="0.25">
      <c r="A994" t="s">
        <v>153</v>
      </c>
      <c r="L994"/>
      <c r="M994"/>
      <c r="N994"/>
      <c r="O994"/>
      <c r="P994"/>
      <c r="T994">
        <v>2355</v>
      </c>
      <c r="U994" s="7">
        <v>3</v>
      </c>
      <c r="V994" t="s">
        <v>613</v>
      </c>
      <c r="W994" s="257" t="s">
        <v>692</v>
      </c>
      <c r="X994" t="s">
        <v>693</v>
      </c>
      <c r="Y994" s="316" t="s">
        <v>32</v>
      </c>
      <c r="Z994" s="8">
        <v>10</v>
      </c>
      <c r="AA994" s="202" t="str">
        <f t="shared" si="16"/>
        <v>Лук репчатый</v>
      </c>
    </row>
    <row r="995" spans="1:27" ht="15" customHeight="1" x14ac:dyDescent="0.25">
      <c r="A995" t="s">
        <v>153</v>
      </c>
      <c r="L995"/>
      <c r="M995"/>
      <c r="N995"/>
      <c r="O995"/>
      <c r="P995"/>
      <c r="T995">
        <v>2356</v>
      </c>
      <c r="U995" s="7">
        <v>3</v>
      </c>
      <c r="V995" t="s">
        <v>613</v>
      </c>
      <c r="W995" s="257" t="s">
        <v>692</v>
      </c>
      <c r="X995" t="s">
        <v>693</v>
      </c>
      <c r="Y995" s="316" t="s">
        <v>76</v>
      </c>
      <c r="Z995" s="8">
        <v>3</v>
      </c>
      <c r="AA995" s="202" t="str">
        <f t="shared" si="16"/>
        <v>Томат-паста</v>
      </c>
    </row>
    <row r="996" spans="1:27" ht="15" customHeight="1" x14ac:dyDescent="0.25">
      <c r="A996" t="s">
        <v>153</v>
      </c>
      <c r="L996"/>
      <c r="M996"/>
      <c r="N996"/>
      <c r="O996"/>
      <c r="P996"/>
      <c r="T996">
        <v>2357</v>
      </c>
      <c r="U996" s="7">
        <v>3</v>
      </c>
      <c r="V996" t="s">
        <v>613</v>
      </c>
      <c r="W996" s="257" t="s">
        <v>692</v>
      </c>
      <c r="X996" t="s">
        <v>693</v>
      </c>
      <c r="Y996" s="316" t="s">
        <v>434</v>
      </c>
      <c r="Z996" s="8">
        <v>3</v>
      </c>
      <c r="AA996" s="202" t="str">
        <f t="shared" si="16"/>
        <v>Мука пшеничная 1 с</v>
      </c>
    </row>
    <row r="997" spans="1:27" ht="15" customHeight="1" x14ac:dyDescent="0.25">
      <c r="A997" t="s">
        <v>153</v>
      </c>
      <c r="L997"/>
      <c r="M997"/>
      <c r="N997"/>
      <c r="O997"/>
      <c r="P997"/>
      <c r="T997">
        <v>2358</v>
      </c>
      <c r="U997" s="7">
        <v>3</v>
      </c>
      <c r="V997" t="s">
        <v>613</v>
      </c>
      <c r="W997" s="257" t="s">
        <v>692</v>
      </c>
      <c r="X997" t="s">
        <v>693</v>
      </c>
      <c r="Y997" s="316" t="s">
        <v>326</v>
      </c>
      <c r="Z997" s="8">
        <v>2</v>
      </c>
      <c r="AA997" s="202" t="str">
        <f t="shared" si="16"/>
        <v>Соль</v>
      </c>
    </row>
    <row r="998" spans="1:27" ht="15" customHeight="1" x14ac:dyDescent="0.25">
      <c r="A998" t="s">
        <v>153</v>
      </c>
      <c r="L998"/>
      <c r="M998"/>
      <c r="N998"/>
      <c r="O998"/>
      <c r="P998"/>
      <c r="T998">
        <v>2359</v>
      </c>
      <c r="U998" s="7">
        <v>3</v>
      </c>
      <c r="V998" t="s">
        <v>613</v>
      </c>
      <c r="W998" s="257" t="s">
        <v>692</v>
      </c>
      <c r="X998" t="s">
        <v>693</v>
      </c>
      <c r="Y998" s="316" t="s">
        <v>484</v>
      </c>
      <c r="Z998" s="8">
        <v>0.1</v>
      </c>
      <c r="AA998" s="202" t="str">
        <f t="shared" si="16"/>
        <v>Перец черный</v>
      </c>
    </row>
    <row r="999" spans="1:27" ht="15" customHeight="1" x14ac:dyDescent="0.25">
      <c r="A999" t="s">
        <v>153</v>
      </c>
      <c r="L999"/>
      <c r="M999"/>
      <c r="N999"/>
      <c r="O999"/>
      <c r="P999"/>
      <c r="T999">
        <v>2360</v>
      </c>
      <c r="U999" s="7">
        <v>3</v>
      </c>
      <c r="V999" t="s">
        <v>613</v>
      </c>
      <c r="W999" s="257" t="s">
        <v>692</v>
      </c>
      <c r="X999" t="s">
        <v>693</v>
      </c>
      <c r="Y999" s="316" t="s">
        <v>558</v>
      </c>
      <c r="Z999" s="8">
        <v>263</v>
      </c>
      <c r="AA999" s="202" t="str">
        <f t="shared" si="16"/>
        <v>Общая масса готового блюда, г</v>
      </c>
    </row>
    <row r="1000" spans="1:27" ht="15" customHeight="1" x14ac:dyDescent="0.25">
      <c r="A1000" t="s">
        <v>153</v>
      </c>
      <c r="L1000"/>
      <c r="M1000"/>
      <c r="N1000"/>
      <c r="O1000"/>
      <c r="P1000"/>
      <c r="T1000">
        <v>2360</v>
      </c>
      <c r="U1000" s="7">
        <v>3</v>
      </c>
      <c r="V1000" t="s">
        <v>613</v>
      </c>
      <c r="W1000" s="257" t="s">
        <v>692</v>
      </c>
      <c r="X1000" t="s">
        <v>693</v>
      </c>
      <c r="Y1000" s="316" t="s">
        <v>109</v>
      </c>
      <c r="Z1000" s="8">
        <v>375</v>
      </c>
      <c r="AA1000" s="202" t="str">
        <f t="shared" si="16"/>
        <v>ОКГ</v>
      </c>
    </row>
    <row r="1001" spans="1:27" ht="15" customHeight="1" x14ac:dyDescent="0.25">
      <c r="A1001" t="s">
        <v>153</v>
      </c>
      <c r="L1001"/>
      <c r="M1001"/>
      <c r="N1001"/>
      <c r="O1001"/>
      <c r="P1001"/>
      <c r="T1001">
        <v>2360</v>
      </c>
      <c r="U1001" s="7">
        <v>3</v>
      </c>
      <c r="V1001" t="s">
        <v>613</v>
      </c>
      <c r="W1001" s="257" t="s">
        <v>692</v>
      </c>
      <c r="X1001" t="s">
        <v>693</v>
      </c>
      <c r="Y1001" s="316" t="s">
        <v>41</v>
      </c>
      <c r="Z1001" s="8">
        <v>71</v>
      </c>
      <c r="AA1001" s="202" t="str">
        <f t="shared" si="16"/>
        <v>Макаронные изделия</v>
      </c>
    </row>
    <row r="1002" spans="1:27" ht="15" customHeight="1" x14ac:dyDescent="0.25">
      <c r="A1002" t="s">
        <v>153</v>
      </c>
      <c r="L1002"/>
      <c r="M1002"/>
      <c r="N1002"/>
      <c r="O1002"/>
      <c r="P1002"/>
      <c r="T1002">
        <v>2360</v>
      </c>
      <c r="U1002" s="7">
        <v>3</v>
      </c>
      <c r="V1002" t="s">
        <v>613</v>
      </c>
      <c r="W1002" s="257" t="s">
        <v>692</v>
      </c>
      <c r="X1002" t="s">
        <v>693</v>
      </c>
      <c r="Y1002" s="316" t="s">
        <v>1214</v>
      </c>
      <c r="Z1002" s="8">
        <v>75</v>
      </c>
      <c r="AA1002" s="202" t="str">
        <f t="shared" si="16"/>
        <v>Масса мясных и рыбных порций, г</v>
      </c>
    </row>
    <row r="1003" spans="1:27" ht="15" customHeight="1" x14ac:dyDescent="0.25">
      <c r="A1003" t="s">
        <v>153</v>
      </c>
      <c r="L1003"/>
      <c r="M1003"/>
      <c r="N1003"/>
      <c r="O1003"/>
      <c r="P1003"/>
      <c r="T1003">
        <v>615</v>
      </c>
      <c r="U1003" s="7">
        <v>3</v>
      </c>
      <c r="V1003" t="s">
        <v>966</v>
      </c>
      <c r="W1003" s="257" t="s">
        <v>1028</v>
      </c>
      <c r="X1003" t="s">
        <v>1029</v>
      </c>
      <c r="Y1003" s="316" t="s">
        <v>41</v>
      </c>
      <c r="Z1003" s="8">
        <v>79</v>
      </c>
      <c r="AA1003" s="202" t="str">
        <f t="shared" si="16"/>
        <v>Макаронные изделия</v>
      </c>
    </row>
    <row r="1004" spans="1:27" ht="15" customHeight="1" x14ac:dyDescent="0.25">
      <c r="A1004" t="s">
        <v>153</v>
      </c>
      <c r="L1004"/>
      <c r="M1004"/>
      <c r="N1004"/>
      <c r="O1004"/>
      <c r="P1004"/>
      <c r="T1004">
        <v>616</v>
      </c>
      <c r="U1004" s="7">
        <v>3</v>
      </c>
      <c r="V1004" t="s">
        <v>966</v>
      </c>
      <c r="W1004" s="257" t="s">
        <v>1028</v>
      </c>
      <c r="X1004" t="s">
        <v>1029</v>
      </c>
      <c r="Y1004" s="316" t="s">
        <v>46</v>
      </c>
      <c r="Z1004" s="8">
        <v>10</v>
      </c>
      <c r="AA1004" s="202" t="str">
        <f t="shared" si="16"/>
        <v>Морковь</v>
      </c>
    </row>
    <row r="1005" spans="1:27" ht="15" customHeight="1" x14ac:dyDescent="0.25">
      <c r="A1005" t="s">
        <v>153</v>
      </c>
      <c r="L1005"/>
      <c r="M1005"/>
      <c r="N1005"/>
      <c r="O1005"/>
      <c r="P1005"/>
      <c r="T1005">
        <v>617</v>
      </c>
      <c r="U1005" s="7">
        <v>3</v>
      </c>
      <c r="V1005" t="s">
        <v>966</v>
      </c>
      <c r="W1005" s="257" t="s">
        <v>1028</v>
      </c>
      <c r="X1005" t="s">
        <v>1029</v>
      </c>
      <c r="Y1005" s="316" t="s">
        <v>32</v>
      </c>
      <c r="Z1005" s="8">
        <v>10</v>
      </c>
      <c r="AA1005" s="202" t="str">
        <f t="shared" si="16"/>
        <v>Лук репчатый</v>
      </c>
    </row>
    <row r="1006" spans="1:27" ht="15" customHeight="1" x14ac:dyDescent="0.25">
      <c r="A1006" t="s">
        <v>153</v>
      </c>
      <c r="L1006"/>
      <c r="M1006"/>
      <c r="N1006"/>
      <c r="O1006"/>
      <c r="P1006"/>
      <c r="T1006">
        <v>618</v>
      </c>
      <c r="U1006" s="7">
        <v>3</v>
      </c>
      <c r="V1006" t="s">
        <v>966</v>
      </c>
      <c r="W1006" s="257" t="s">
        <v>1028</v>
      </c>
      <c r="X1006" t="s">
        <v>1029</v>
      </c>
      <c r="Y1006" s="316" t="s">
        <v>76</v>
      </c>
      <c r="Z1006" s="8">
        <v>2</v>
      </c>
      <c r="AA1006" s="202" t="str">
        <f t="shared" si="16"/>
        <v>Томат-паста</v>
      </c>
    </row>
    <row r="1007" spans="1:27" ht="15" customHeight="1" x14ac:dyDescent="0.25">
      <c r="A1007" t="s">
        <v>153</v>
      </c>
      <c r="L1007"/>
      <c r="M1007"/>
      <c r="N1007"/>
      <c r="O1007"/>
      <c r="P1007"/>
      <c r="T1007">
        <v>619</v>
      </c>
      <c r="U1007" s="7">
        <v>3</v>
      </c>
      <c r="V1007" t="s">
        <v>966</v>
      </c>
      <c r="W1007" s="257" t="s">
        <v>1028</v>
      </c>
      <c r="X1007" t="s">
        <v>1029</v>
      </c>
      <c r="Y1007" s="316" t="s">
        <v>61</v>
      </c>
      <c r="Z1007" s="8">
        <v>2</v>
      </c>
      <c r="AA1007" s="202" t="str">
        <f t="shared" si="16"/>
        <v>Масло растительное</v>
      </c>
    </row>
    <row r="1008" spans="1:27" ht="15" customHeight="1" x14ac:dyDescent="0.25">
      <c r="A1008" t="s">
        <v>153</v>
      </c>
      <c r="L1008"/>
      <c r="M1008"/>
      <c r="N1008"/>
      <c r="O1008"/>
      <c r="P1008"/>
      <c r="T1008">
        <v>620</v>
      </c>
      <c r="U1008" s="7">
        <v>3</v>
      </c>
      <c r="V1008" t="s">
        <v>966</v>
      </c>
      <c r="W1008" s="257" t="s">
        <v>1028</v>
      </c>
      <c r="X1008" t="s">
        <v>1029</v>
      </c>
      <c r="Y1008" s="316" t="s">
        <v>330</v>
      </c>
      <c r="Z1008" s="8">
        <v>474</v>
      </c>
      <c r="AA1008" s="202" t="str">
        <f t="shared" si="16"/>
        <v>Вода</v>
      </c>
    </row>
    <row r="1009" spans="1:27" ht="15" customHeight="1" x14ac:dyDescent="0.25">
      <c r="A1009" t="s">
        <v>153</v>
      </c>
      <c r="L1009"/>
      <c r="M1009"/>
      <c r="N1009"/>
      <c r="O1009"/>
      <c r="P1009"/>
      <c r="T1009">
        <v>621</v>
      </c>
      <c r="U1009" s="7">
        <v>3</v>
      </c>
      <c r="V1009" t="s">
        <v>966</v>
      </c>
      <c r="W1009" s="257" t="s">
        <v>1028</v>
      </c>
      <c r="X1009" t="s">
        <v>1029</v>
      </c>
      <c r="Y1009" s="316" t="s">
        <v>326</v>
      </c>
      <c r="Z1009" s="8">
        <v>3</v>
      </c>
      <c r="AA1009" s="202" t="str">
        <f t="shared" si="16"/>
        <v>Соль</v>
      </c>
    </row>
    <row r="1010" spans="1:27" ht="15" customHeight="1" x14ac:dyDescent="0.25">
      <c r="A1010" t="s">
        <v>153</v>
      </c>
      <c r="L1010"/>
      <c r="M1010"/>
      <c r="N1010"/>
      <c r="O1010"/>
      <c r="P1010"/>
      <c r="T1010">
        <v>622</v>
      </c>
      <c r="U1010" s="7">
        <v>3</v>
      </c>
      <c r="V1010" t="s">
        <v>966</v>
      </c>
      <c r="W1010" s="257" t="s">
        <v>1028</v>
      </c>
      <c r="X1010" t="s">
        <v>1029</v>
      </c>
      <c r="Y1010" s="316" t="s">
        <v>558</v>
      </c>
      <c r="Z1010" s="8">
        <v>208</v>
      </c>
      <c r="AA1010" s="202" t="str">
        <f t="shared" si="16"/>
        <v>Общая масса готового блюда, г</v>
      </c>
    </row>
    <row r="1011" spans="1:27" ht="15" customHeight="1" x14ac:dyDescent="0.25">
      <c r="A1011" t="s">
        <v>153</v>
      </c>
      <c r="L1011"/>
      <c r="M1011"/>
      <c r="N1011"/>
      <c r="O1011"/>
      <c r="P1011"/>
      <c r="T1011">
        <v>622</v>
      </c>
      <c r="U1011" s="7">
        <v>3</v>
      </c>
      <c r="V1011" t="s">
        <v>966</v>
      </c>
      <c r="W1011" s="257" t="s">
        <v>1028</v>
      </c>
      <c r="X1011" t="s">
        <v>1029</v>
      </c>
      <c r="Y1011" s="316" t="s">
        <v>109</v>
      </c>
      <c r="Z1011" s="8">
        <v>415</v>
      </c>
      <c r="AA1011" s="202" t="str">
        <f t="shared" si="16"/>
        <v>ОКГ</v>
      </c>
    </row>
    <row r="1012" spans="1:27" ht="15" customHeight="1" x14ac:dyDescent="0.25">
      <c r="A1012" t="s">
        <v>153</v>
      </c>
      <c r="L1012"/>
      <c r="M1012"/>
      <c r="N1012"/>
      <c r="O1012"/>
      <c r="P1012"/>
      <c r="T1012">
        <v>1025</v>
      </c>
      <c r="U1012" s="7">
        <v>3</v>
      </c>
      <c r="V1012" t="s">
        <v>1058</v>
      </c>
      <c r="W1012" s="257" t="s">
        <v>1340</v>
      </c>
      <c r="X1012" t="s">
        <v>1341</v>
      </c>
      <c r="Y1012" s="316" t="s">
        <v>48</v>
      </c>
      <c r="Z1012" s="8">
        <v>110</v>
      </c>
      <c r="AA1012" s="202" t="str">
        <f t="shared" si="16"/>
        <v>Свекла</v>
      </c>
    </row>
    <row r="1013" spans="1:27" ht="15" customHeight="1" x14ac:dyDescent="0.25">
      <c r="A1013" t="s">
        <v>153</v>
      </c>
      <c r="L1013"/>
      <c r="M1013"/>
      <c r="N1013"/>
      <c r="O1013"/>
      <c r="P1013"/>
      <c r="T1013">
        <v>1030</v>
      </c>
      <c r="U1013" s="7">
        <v>3</v>
      </c>
      <c r="V1013" t="s">
        <v>1058</v>
      </c>
      <c r="W1013" s="257" t="s">
        <v>1340</v>
      </c>
      <c r="X1013" t="s">
        <v>1341</v>
      </c>
      <c r="Y1013" s="316" t="s">
        <v>558</v>
      </c>
      <c r="Z1013" s="8">
        <v>110</v>
      </c>
      <c r="AA1013" s="202" t="str">
        <f t="shared" si="16"/>
        <v>Общая масса готового блюда, г</v>
      </c>
    </row>
    <row r="1014" spans="1:27" ht="15" customHeight="1" x14ac:dyDescent="0.25">
      <c r="A1014" t="s">
        <v>153</v>
      </c>
      <c r="L1014"/>
      <c r="M1014"/>
      <c r="N1014"/>
      <c r="O1014"/>
      <c r="P1014"/>
      <c r="T1014">
        <v>1031</v>
      </c>
      <c r="U1014" s="7">
        <v>3</v>
      </c>
      <c r="V1014" t="s">
        <v>1058</v>
      </c>
      <c r="W1014" s="257" t="s">
        <v>1340</v>
      </c>
      <c r="X1014" t="s">
        <v>1341</v>
      </c>
      <c r="Y1014" s="316" t="s">
        <v>109</v>
      </c>
      <c r="Z1014" s="8">
        <v>82</v>
      </c>
      <c r="AA1014" s="202" t="str">
        <f t="shared" si="16"/>
        <v>ОКГ</v>
      </c>
    </row>
    <row r="1015" spans="1:27" ht="15" customHeight="1" x14ac:dyDescent="0.25">
      <c r="A1015" t="s">
        <v>153</v>
      </c>
      <c r="L1015"/>
      <c r="M1015"/>
      <c r="N1015"/>
      <c r="O1015"/>
      <c r="P1015"/>
      <c r="T1015">
        <v>2871</v>
      </c>
      <c r="U1015" s="7">
        <v>3</v>
      </c>
      <c r="V1015" t="s">
        <v>1192</v>
      </c>
      <c r="W1015" s="257" t="s">
        <v>60</v>
      </c>
      <c r="X1015" t="s">
        <v>60</v>
      </c>
      <c r="Y1015" s="316" t="s">
        <v>60</v>
      </c>
      <c r="Z1015" s="8">
        <v>15</v>
      </c>
      <c r="AA1015" s="202" t="str">
        <f t="shared" si="16"/>
        <v>Масло коровье</v>
      </c>
    </row>
    <row r="1016" spans="1:27" ht="15" customHeight="1" x14ac:dyDescent="0.25">
      <c r="A1016" t="s">
        <v>153</v>
      </c>
      <c r="L1016"/>
      <c r="M1016"/>
      <c r="N1016"/>
      <c r="O1016"/>
      <c r="P1016"/>
      <c r="T1016">
        <v>2872</v>
      </c>
      <c r="U1016" s="7">
        <v>3</v>
      </c>
      <c r="V1016" t="s">
        <v>1192</v>
      </c>
      <c r="W1016" s="257" t="s">
        <v>60</v>
      </c>
      <c r="X1016" t="s">
        <v>60</v>
      </c>
      <c r="Y1016" s="316" t="s">
        <v>558</v>
      </c>
      <c r="Z1016" s="8">
        <v>15</v>
      </c>
      <c r="AA1016" s="202" t="str">
        <f t="shared" si="16"/>
        <v>Общая масса готового блюда, г</v>
      </c>
    </row>
    <row r="1017" spans="1:27" ht="15" customHeight="1" x14ac:dyDescent="0.25">
      <c r="A1017" t="s">
        <v>153</v>
      </c>
      <c r="L1017"/>
      <c r="M1017"/>
      <c r="N1017"/>
      <c r="O1017"/>
      <c r="P1017"/>
      <c r="T1017">
        <v>2873</v>
      </c>
      <c r="U1017" s="7">
        <v>3</v>
      </c>
      <c r="V1017" t="s">
        <v>1192</v>
      </c>
      <c r="W1017" s="257" t="s">
        <v>34</v>
      </c>
      <c r="X1017" t="s">
        <v>34</v>
      </c>
      <c r="Y1017" s="316" t="s">
        <v>52</v>
      </c>
      <c r="Z1017" s="8">
        <v>200</v>
      </c>
      <c r="AA1017" s="202" t="str">
        <f t="shared" si="16"/>
        <v>Молоко коровье</v>
      </c>
    </row>
    <row r="1018" spans="1:27" ht="15" customHeight="1" x14ac:dyDescent="0.25">
      <c r="A1018" t="s">
        <v>153</v>
      </c>
      <c r="L1018"/>
      <c r="M1018"/>
      <c r="N1018"/>
      <c r="O1018"/>
      <c r="P1018"/>
      <c r="T1018">
        <v>2874</v>
      </c>
      <c r="U1018" s="7">
        <v>3</v>
      </c>
      <c r="V1018" t="s">
        <v>1192</v>
      </c>
      <c r="W1018" s="257" t="s">
        <v>34</v>
      </c>
      <c r="X1018" t="s">
        <v>34</v>
      </c>
      <c r="Y1018" s="316" t="s">
        <v>558</v>
      </c>
      <c r="Z1018" s="8">
        <v>200</v>
      </c>
      <c r="AA1018" s="202" t="str">
        <f t="shared" si="16"/>
        <v>Общая масса готового блюда, г</v>
      </c>
    </row>
    <row r="1019" spans="1:27" ht="15" customHeight="1" x14ac:dyDescent="0.25">
      <c r="A1019" t="s">
        <v>153</v>
      </c>
      <c r="L1019"/>
      <c r="M1019"/>
      <c r="N1019"/>
      <c r="O1019"/>
      <c r="P1019"/>
      <c r="T1019">
        <v>469</v>
      </c>
      <c r="U1019" s="7">
        <v>3</v>
      </c>
      <c r="V1019" t="s">
        <v>1147</v>
      </c>
      <c r="W1019" s="257" t="s">
        <v>1161</v>
      </c>
      <c r="X1019" t="s">
        <v>1162</v>
      </c>
      <c r="Y1019" s="316" t="s">
        <v>453</v>
      </c>
      <c r="Z1019" s="8">
        <v>200</v>
      </c>
      <c r="AA1019" s="202" t="str">
        <f t="shared" si="16"/>
        <v>Молоко коровье</v>
      </c>
    </row>
    <row r="1020" spans="1:27" ht="15" customHeight="1" x14ac:dyDescent="0.25">
      <c r="A1020" t="s">
        <v>153</v>
      </c>
      <c r="L1020"/>
      <c r="M1020"/>
      <c r="N1020"/>
      <c r="O1020"/>
      <c r="P1020"/>
      <c r="T1020">
        <v>470</v>
      </c>
      <c r="U1020" s="7">
        <v>3</v>
      </c>
      <c r="V1020" t="s">
        <v>1147</v>
      </c>
      <c r="W1020" s="257" t="s">
        <v>1161</v>
      </c>
      <c r="X1020" t="s">
        <v>1162</v>
      </c>
      <c r="Y1020" s="316" t="s">
        <v>558</v>
      </c>
      <c r="Z1020" s="8">
        <v>190</v>
      </c>
      <c r="AA1020" s="202" t="str">
        <f t="shared" si="16"/>
        <v>Общая масса готового блюда, г</v>
      </c>
    </row>
    <row r="1021" spans="1:27" ht="15" customHeight="1" x14ac:dyDescent="0.25">
      <c r="A1021" t="s">
        <v>153</v>
      </c>
      <c r="L1021"/>
      <c r="M1021"/>
      <c r="N1021"/>
      <c r="O1021"/>
      <c r="P1021"/>
      <c r="T1021">
        <v>2875</v>
      </c>
      <c r="U1021" s="7">
        <v>3</v>
      </c>
      <c r="V1021" t="s">
        <v>1192</v>
      </c>
      <c r="W1021" s="257" t="s">
        <v>162</v>
      </c>
      <c r="X1021" t="s">
        <v>162</v>
      </c>
      <c r="Y1021" s="316" t="s">
        <v>412</v>
      </c>
      <c r="Z1021" s="8">
        <v>15</v>
      </c>
      <c r="AA1021" s="202" t="str">
        <f t="shared" si="16"/>
        <v>Молоко сгущ.</v>
      </c>
    </row>
    <row r="1022" spans="1:27" ht="15" customHeight="1" x14ac:dyDescent="0.25">
      <c r="A1022" t="s">
        <v>153</v>
      </c>
      <c r="L1022"/>
      <c r="M1022"/>
      <c r="N1022"/>
      <c r="O1022"/>
      <c r="P1022"/>
      <c r="T1022">
        <v>2876</v>
      </c>
      <c r="U1022" s="7">
        <v>3</v>
      </c>
      <c r="V1022" t="s">
        <v>1192</v>
      </c>
      <c r="W1022" s="257" t="s">
        <v>162</v>
      </c>
      <c r="X1022" t="s">
        <v>162</v>
      </c>
      <c r="Y1022" s="316" t="s">
        <v>558</v>
      </c>
      <c r="Z1022" s="8">
        <v>15</v>
      </c>
      <c r="AA1022" s="202" t="str">
        <f t="shared" si="16"/>
        <v>Общая масса готового блюда, г</v>
      </c>
    </row>
    <row r="1023" spans="1:27" ht="15" customHeight="1" x14ac:dyDescent="0.25">
      <c r="A1023" t="s">
        <v>153</v>
      </c>
      <c r="L1023"/>
      <c r="M1023"/>
      <c r="N1023"/>
      <c r="O1023"/>
      <c r="P1023"/>
      <c r="T1023">
        <v>973</v>
      </c>
      <c r="U1023" s="7">
        <v>3</v>
      </c>
      <c r="V1023" t="s">
        <v>1058</v>
      </c>
      <c r="W1023" s="257" t="s">
        <v>1073</v>
      </c>
      <c r="X1023" t="s">
        <v>163</v>
      </c>
      <c r="Y1023" s="316" t="s">
        <v>46</v>
      </c>
      <c r="Z1023" s="8">
        <v>140</v>
      </c>
      <c r="AA1023" s="202" t="str">
        <f t="shared" si="16"/>
        <v>Морковь</v>
      </c>
    </row>
    <row r="1024" spans="1:27" ht="15" customHeight="1" x14ac:dyDescent="0.25">
      <c r="A1024" t="s">
        <v>153</v>
      </c>
      <c r="L1024"/>
      <c r="M1024"/>
      <c r="N1024"/>
      <c r="O1024"/>
      <c r="P1024"/>
      <c r="T1024">
        <v>974</v>
      </c>
      <c r="U1024" s="7">
        <v>3</v>
      </c>
      <c r="V1024" t="s">
        <v>1058</v>
      </c>
      <c r="W1024" s="257" t="s">
        <v>1073</v>
      </c>
      <c r="X1024" t="s">
        <v>163</v>
      </c>
      <c r="Y1024" s="316" t="s">
        <v>49</v>
      </c>
      <c r="Z1024" s="8">
        <v>2.5</v>
      </c>
      <c r="AA1024" s="202" t="str">
        <f t="shared" si="16"/>
        <v>Чеснок</v>
      </c>
    </row>
    <row r="1025" spans="1:27" ht="15" customHeight="1" x14ac:dyDescent="0.25">
      <c r="A1025" t="s">
        <v>153</v>
      </c>
      <c r="L1025"/>
      <c r="M1025"/>
      <c r="N1025"/>
      <c r="O1025"/>
      <c r="P1025"/>
      <c r="T1025">
        <v>975</v>
      </c>
      <c r="U1025" s="7">
        <v>3</v>
      </c>
      <c r="V1025" t="s">
        <v>1058</v>
      </c>
      <c r="W1025" s="257" t="s">
        <v>1073</v>
      </c>
      <c r="X1025" t="s">
        <v>163</v>
      </c>
      <c r="Y1025" s="316" t="s">
        <v>32</v>
      </c>
      <c r="Z1025" s="8">
        <v>15</v>
      </c>
      <c r="AA1025" s="202" t="str">
        <f t="shared" si="16"/>
        <v>Лук репчатый</v>
      </c>
    </row>
    <row r="1026" spans="1:27" ht="15" customHeight="1" x14ac:dyDescent="0.25">
      <c r="A1026" t="s">
        <v>153</v>
      </c>
      <c r="L1026"/>
      <c r="M1026"/>
      <c r="N1026"/>
      <c r="O1026"/>
      <c r="P1026"/>
      <c r="T1026">
        <v>976</v>
      </c>
      <c r="U1026" s="7">
        <v>3</v>
      </c>
      <c r="V1026" t="s">
        <v>1058</v>
      </c>
      <c r="W1026" s="257" t="s">
        <v>1073</v>
      </c>
      <c r="X1026" t="s">
        <v>163</v>
      </c>
      <c r="Y1026" s="316" t="s">
        <v>61</v>
      </c>
      <c r="Z1026" s="8">
        <v>8</v>
      </c>
      <c r="AA1026" s="202" t="str">
        <f t="shared" ref="AA1026:AA1089" si="17">VLOOKUP(Y1026,O:P,2,FALSE)</f>
        <v>Масло растительное</v>
      </c>
    </row>
    <row r="1027" spans="1:27" ht="15" customHeight="1" x14ac:dyDescent="0.25">
      <c r="A1027" t="s">
        <v>153</v>
      </c>
      <c r="L1027"/>
      <c r="M1027"/>
      <c r="N1027"/>
      <c r="O1027"/>
      <c r="P1027"/>
      <c r="T1027">
        <v>977</v>
      </c>
      <c r="U1027" s="7">
        <v>3</v>
      </c>
      <c r="V1027" t="s">
        <v>1058</v>
      </c>
      <c r="W1027" s="257" t="s">
        <v>1073</v>
      </c>
      <c r="X1027" t="s">
        <v>163</v>
      </c>
      <c r="Y1027" s="316" t="s">
        <v>486</v>
      </c>
      <c r="Z1027" s="8">
        <v>1</v>
      </c>
      <c r="AA1027" s="202" t="str">
        <f t="shared" si="17"/>
        <v>Уксус</v>
      </c>
    </row>
    <row r="1028" spans="1:27" ht="15" customHeight="1" x14ac:dyDescent="0.25">
      <c r="A1028" t="s">
        <v>153</v>
      </c>
      <c r="L1028"/>
      <c r="M1028"/>
      <c r="N1028"/>
      <c r="O1028"/>
      <c r="P1028"/>
      <c r="T1028">
        <v>978</v>
      </c>
      <c r="U1028" s="7">
        <v>3</v>
      </c>
      <c r="V1028" t="s">
        <v>1058</v>
      </c>
      <c r="W1028" s="257" t="s">
        <v>1073</v>
      </c>
      <c r="X1028" t="s">
        <v>163</v>
      </c>
      <c r="Y1028" s="316" t="s">
        <v>326</v>
      </c>
      <c r="Z1028" s="8">
        <v>2</v>
      </c>
      <c r="AA1028" s="202" t="str">
        <f t="shared" si="17"/>
        <v>Соль</v>
      </c>
    </row>
    <row r="1029" spans="1:27" ht="15" customHeight="1" x14ac:dyDescent="0.25">
      <c r="A1029" t="s">
        <v>153</v>
      </c>
      <c r="L1029"/>
      <c r="M1029"/>
      <c r="N1029"/>
      <c r="O1029"/>
      <c r="P1029"/>
      <c r="T1029">
        <v>980</v>
      </c>
      <c r="U1029" s="7">
        <v>3</v>
      </c>
      <c r="V1029" t="s">
        <v>1058</v>
      </c>
      <c r="W1029" s="257" t="s">
        <v>1073</v>
      </c>
      <c r="X1029" t="s">
        <v>163</v>
      </c>
      <c r="Y1029" s="316" t="s">
        <v>558</v>
      </c>
      <c r="Z1029" s="8">
        <v>130</v>
      </c>
      <c r="AA1029" s="202" t="str">
        <f t="shared" si="17"/>
        <v>Общая масса готового блюда, г</v>
      </c>
    </row>
    <row r="1030" spans="1:27" ht="15" customHeight="1" x14ac:dyDescent="0.25">
      <c r="A1030" t="s">
        <v>153</v>
      </c>
      <c r="L1030"/>
      <c r="M1030"/>
      <c r="N1030"/>
      <c r="O1030"/>
      <c r="P1030"/>
      <c r="T1030">
        <v>981</v>
      </c>
      <c r="U1030" s="7">
        <v>3</v>
      </c>
      <c r="V1030" t="s">
        <v>1058</v>
      </c>
      <c r="W1030" s="257" t="s">
        <v>1073</v>
      </c>
      <c r="X1030" t="s">
        <v>163</v>
      </c>
      <c r="Y1030" s="316" t="s">
        <v>109</v>
      </c>
      <c r="Z1030" s="8">
        <v>175</v>
      </c>
      <c r="AA1030" s="202" t="str">
        <f t="shared" si="17"/>
        <v>ОКГ</v>
      </c>
    </row>
    <row r="1031" spans="1:27" ht="15" customHeight="1" x14ac:dyDescent="0.25">
      <c r="A1031" t="s">
        <v>153</v>
      </c>
      <c r="L1031"/>
      <c r="M1031"/>
      <c r="N1031"/>
      <c r="O1031"/>
      <c r="P1031"/>
      <c r="T1031">
        <v>1884</v>
      </c>
      <c r="U1031" s="7">
        <v>3</v>
      </c>
      <c r="V1031" t="s">
        <v>613</v>
      </c>
      <c r="W1031" s="257" t="s">
        <v>694</v>
      </c>
      <c r="X1031" t="s">
        <v>695</v>
      </c>
      <c r="Y1031" s="316" t="s">
        <v>454</v>
      </c>
      <c r="Z1031" s="8">
        <v>75</v>
      </c>
      <c r="AA1031" s="202" t="str">
        <f t="shared" si="17"/>
        <v>Говядина б/к</v>
      </c>
    </row>
    <row r="1032" spans="1:27" ht="15" customHeight="1" x14ac:dyDescent="0.25">
      <c r="A1032" t="s">
        <v>153</v>
      </c>
      <c r="L1032"/>
      <c r="M1032"/>
      <c r="N1032"/>
      <c r="O1032"/>
      <c r="P1032"/>
      <c r="T1032">
        <v>1885</v>
      </c>
      <c r="U1032" s="7">
        <v>3</v>
      </c>
      <c r="V1032" t="s">
        <v>613</v>
      </c>
      <c r="W1032" s="257" t="s">
        <v>694</v>
      </c>
      <c r="X1032" t="s">
        <v>695</v>
      </c>
      <c r="Y1032" s="316" t="s">
        <v>46</v>
      </c>
      <c r="Z1032" s="8">
        <v>10</v>
      </c>
      <c r="AA1032" s="202" t="str">
        <f t="shared" si="17"/>
        <v>Морковь</v>
      </c>
    </row>
    <row r="1033" spans="1:27" ht="15" customHeight="1" x14ac:dyDescent="0.25">
      <c r="A1033" t="s">
        <v>153</v>
      </c>
      <c r="L1033"/>
      <c r="M1033"/>
      <c r="N1033"/>
      <c r="O1033"/>
      <c r="P1033"/>
      <c r="T1033">
        <v>1886</v>
      </c>
      <c r="U1033" s="7">
        <v>3</v>
      </c>
      <c r="V1033" t="s">
        <v>613</v>
      </c>
      <c r="W1033" s="257" t="s">
        <v>694</v>
      </c>
      <c r="X1033" t="s">
        <v>695</v>
      </c>
      <c r="Y1033" s="316" t="s">
        <v>32</v>
      </c>
      <c r="Z1033" s="8">
        <v>10</v>
      </c>
      <c r="AA1033" s="202" t="str">
        <f t="shared" si="17"/>
        <v>Лук репчатый</v>
      </c>
    </row>
    <row r="1034" spans="1:27" ht="15" customHeight="1" x14ac:dyDescent="0.25">
      <c r="A1034" t="s">
        <v>153</v>
      </c>
      <c r="L1034"/>
      <c r="M1034"/>
      <c r="N1034"/>
      <c r="O1034"/>
      <c r="P1034"/>
      <c r="T1034">
        <v>1887</v>
      </c>
      <c r="U1034" s="7">
        <v>3</v>
      </c>
      <c r="V1034" t="s">
        <v>613</v>
      </c>
      <c r="W1034" s="257" t="s">
        <v>694</v>
      </c>
      <c r="X1034" t="s">
        <v>695</v>
      </c>
      <c r="Y1034" s="316" t="s">
        <v>61</v>
      </c>
      <c r="Z1034" s="8">
        <v>3</v>
      </c>
      <c r="AA1034" s="202" t="str">
        <f t="shared" si="17"/>
        <v>Масло растительное</v>
      </c>
    </row>
    <row r="1035" spans="1:27" ht="15" customHeight="1" x14ac:dyDescent="0.25">
      <c r="A1035" t="s">
        <v>153</v>
      </c>
      <c r="L1035"/>
      <c r="M1035"/>
      <c r="N1035"/>
      <c r="O1035"/>
      <c r="P1035"/>
      <c r="T1035">
        <v>1888</v>
      </c>
      <c r="U1035" s="7">
        <v>3</v>
      </c>
      <c r="V1035" t="s">
        <v>613</v>
      </c>
      <c r="W1035" s="257" t="s">
        <v>694</v>
      </c>
      <c r="X1035" t="s">
        <v>695</v>
      </c>
      <c r="Y1035" s="316" t="s">
        <v>76</v>
      </c>
      <c r="Z1035" s="8">
        <v>2</v>
      </c>
      <c r="AA1035" s="202" t="str">
        <f t="shared" si="17"/>
        <v>Томат-паста</v>
      </c>
    </row>
    <row r="1036" spans="1:27" ht="15" customHeight="1" x14ac:dyDescent="0.25">
      <c r="A1036" t="s">
        <v>153</v>
      </c>
      <c r="L1036"/>
      <c r="M1036"/>
      <c r="N1036"/>
      <c r="O1036"/>
      <c r="P1036"/>
      <c r="T1036">
        <v>1889</v>
      </c>
      <c r="U1036" s="7">
        <v>3</v>
      </c>
      <c r="V1036" t="s">
        <v>613</v>
      </c>
      <c r="W1036" s="257" t="s">
        <v>694</v>
      </c>
      <c r="X1036" t="s">
        <v>695</v>
      </c>
      <c r="Y1036" s="316" t="s">
        <v>434</v>
      </c>
      <c r="Z1036" s="8">
        <v>2</v>
      </c>
      <c r="AA1036" s="202" t="str">
        <f t="shared" si="17"/>
        <v>Мука пшеничная 1 с</v>
      </c>
    </row>
    <row r="1037" spans="1:27" ht="15" customHeight="1" x14ac:dyDescent="0.25">
      <c r="A1037" t="s">
        <v>153</v>
      </c>
      <c r="L1037"/>
      <c r="M1037"/>
      <c r="N1037"/>
      <c r="O1037"/>
      <c r="P1037"/>
      <c r="T1037">
        <v>1890</v>
      </c>
      <c r="U1037" s="7">
        <v>3</v>
      </c>
      <c r="V1037" t="s">
        <v>613</v>
      </c>
      <c r="W1037" s="257" t="s">
        <v>694</v>
      </c>
      <c r="X1037" t="s">
        <v>695</v>
      </c>
      <c r="Y1037" s="316" t="s">
        <v>326</v>
      </c>
      <c r="Z1037" s="8">
        <v>2</v>
      </c>
      <c r="AA1037" s="202" t="str">
        <f t="shared" si="17"/>
        <v>Соль</v>
      </c>
    </row>
    <row r="1038" spans="1:27" ht="15" customHeight="1" x14ac:dyDescent="0.25">
      <c r="A1038" t="s">
        <v>153</v>
      </c>
      <c r="L1038"/>
      <c r="M1038"/>
      <c r="N1038"/>
      <c r="O1038"/>
      <c r="P1038"/>
      <c r="T1038">
        <v>1891</v>
      </c>
      <c r="U1038" s="7">
        <v>3</v>
      </c>
      <c r="V1038" t="s">
        <v>613</v>
      </c>
      <c r="W1038" s="257" t="s">
        <v>694</v>
      </c>
      <c r="X1038" t="s">
        <v>695</v>
      </c>
      <c r="Y1038" s="316" t="s">
        <v>74</v>
      </c>
      <c r="Z1038" s="8">
        <v>0.02</v>
      </c>
      <c r="AA1038" s="202" t="str">
        <f t="shared" si="17"/>
        <v>Лавровый лист</v>
      </c>
    </row>
    <row r="1039" spans="1:27" ht="15" customHeight="1" x14ac:dyDescent="0.25">
      <c r="A1039" t="s">
        <v>153</v>
      </c>
      <c r="L1039"/>
      <c r="M1039"/>
      <c r="N1039"/>
      <c r="O1039"/>
      <c r="P1039"/>
      <c r="T1039">
        <v>1892</v>
      </c>
      <c r="U1039" s="7">
        <v>3</v>
      </c>
      <c r="V1039" t="s">
        <v>613</v>
      </c>
      <c r="W1039" s="257" t="s">
        <v>694</v>
      </c>
      <c r="X1039" t="s">
        <v>695</v>
      </c>
      <c r="Y1039" s="316" t="s">
        <v>484</v>
      </c>
      <c r="Z1039" s="8">
        <v>0.01</v>
      </c>
      <c r="AA1039" s="202" t="str">
        <f t="shared" si="17"/>
        <v>Перец черный</v>
      </c>
    </row>
    <row r="1040" spans="1:27" ht="15" customHeight="1" x14ac:dyDescent="0.25">
      <c r="A1040" t="s">
        <v>153</v>
      </c>
      <c r="L1040"/>
      <c r="M1040"/>
      <c r="N1040"/>
      <c r="O1040"/>
      <c r="P1040"/>
      <c r="T1040">
        <v>1893</v>
      </c>
      <c r="U1040" s="7">
        <v>3</v>
      </c>
      <c r="V1040" t="s">
        <v>613</v>
      </c>
      <c r="W1040" s="257" t="s">
        <v>694</v>
      </c>
      <c r="X1040" t="s">
        <v>695</v>
      </c>
      <c r="Y1040" s="316" t="s">
        <v>1214</v>
      </c>
      <c r="Z1040" s="8">
        <v>48</v>
      </c>
      <c r="AA1040" s="202" t="str">
        <f t="shared" si="17"/>
        <v>Масса мясных и рыбных порций, г</v>
      </c>
    </row>
    <row r="1041" spans="1:27" ht="15" customHeight="1" x14ac:dyDescent="0.25">
      <c r="A1041" t="s">
        <v>153</v>
      </c>
      <c r="L1041"/>
      <c r="M1041"/>
      <c r="N1041"/>
      <c r="O1041"/>
      <c r="P1041"/>
      <c r="T1041">
        <v>1893</v>
      </c>
      <c r="U1041" s="7">
        <v>3</v>
      </c>
      <c r="V1041" t="s">
        <v>613</v>
      </c>
      <c r="W1041" s="257" t="s">
        <v>694</v>
      </c>
      <c r="X1041" t="s">
        <v>695</v>
      </c>
      <c r="Y1041" s="316" t="s">
        <v>1215</v>
      </c>
      <c r="Z1041" s="8">
        <v>98</v>
      </c>
      <c r="AA1041" s="202" t="str">
        <f t="shared" si="17"/>
        <v>Общая масса готового блюда, г</v>
      </c>
    </row>
    <row r="1042" spans="1:27" ht="15" customHeight="1" x14ac:dyDescent="0.25">
      <c r="A1042" t="s">
        <v>153</v>
      </c>
      <c r="L1042"/>
      <c r="M1042"/>
      <c r="N1042"/>
      <c r="O1042"/>
      <c r="P1042"/>
      <c r="T1042">
        <v>1874</v>
      </c>
      <c r="U1042" s="7">
        <v>3</v>
      </c>
      <c r="V1042" t="s">
        <v>613</v>
      </c>
      <c r="W1042" s="257" t="s">
        <v>696</v>
      </c>
      <c r="X1042" t="s">
        <v>697</v>
      </c>
      <c r="Y1042" s="316" t="s">
        <v>455</v>
      </c>
      <c r="Z1042" s="8">
        <v>100</v>
      </c>
      <c r="AA1042" s="202" t="str">
        <f t="shared" si="17"/>
        <v>Говядина н/к</v>
      </c>
    </row>
    <row r="1043" spans="1:27" ht="15" customHeight="1" x14ac:dyDescent="0.25">
      <c r="A1043" t="s">
        <v>153</v>
      </c>
      <c r="L1043"/>
      <c r="M1043"/>
      <c r="N1043"/>
      <c r="O1043"/>
      <c r="P1043"/>
      <c r="T1043">
        <v>1875</v>
      </c>
      <c r="U1043" s="7">
        <v>3</v>
      </c>
      <c r="V1043" t="s">
        <v>613</v>
      </c>
      <c r="W1043" s="257" t="s">
        <v>696</v>
      </c>
      <c r="X1043" t="s">
        <v>697</v>
      </c>
      <c r="Y1043" s="316" t="s">
        <v>46</v>
      </c>
      <c r="Z1043" s="8">
        <v>10</v>
      </c>
      <c r="AA1043" s="202" t="str">
        <f t="shared" si="17"/>
        <v>Морковь</v>
      </c>
    </row>
    <row r="1044" spans="1:27" ht="15" customHeight="1" x14ac:dyDescent="0.25">
      <c r="A1044" t="s">
        <v>153</v>
      </c>
      <c r="L1044"/>
      <c r="M1044"/>
      <c r="N1044"/>
      <c r="O1044"/>
      <c r="P1044"/>
      <c r="T1044">
        <v>1876</v>
      </c>
      <c r="U1044" s="7">
        <v>3</v>
      </c>
      <c r="V1044" t="s">
        <v>613</v>
      </c>
      <c r="W1044" s="257" t="s">
        <v>696</v>
      </c>
      <c r="X1044" t="s">
        <v>697</v>
      </c>
      <c r="Y1044" s="316" t="s">
        <v>32</v>
      </c>
      <c r="Z1044" s="8">
        <v>10</v>
      </c>
      <c r="AA1044" s="202" t="str">
        <f t="shared" si="17"/>
        <v>Лук репчатый</v>
      </c>
    </row>
    <row r="1045" spans="1:27" ht="15" customHeight="1" x14ac:dyDescent="0.25">
      <c r="A1045" t="s">
        <v>153</v>
      </c>
      <c r="L1045"/>
      <c r="M1045"/>
      <c r="N1045"/>
      <c r="O1045"/>
      <c r="P1045"/>
      <c r="T1045">
        <v>1877</v>
      </c>
      <c r="U1045" s="7">
        <v>3</v>
      </c>
      <c r="V1045" t="s">
        <v>613</v>
      </c>
      <c r="W1045" s="257" t="s">
        <v>696</v>
      </c>
      <c r="X1045" t="s">
        <v>697</v>
      </c>
      <c r="Y1045" s="316" t="s">
        <v>61</v>
      </c>
      <c r="Z1045" s="8">
        <v>3</v>
      </c>
      <c r="AA1045" s="202" t="str">
        <f t="shared" si="17"/>
        <v>Масло растительное</v>
      </c>
    </row>
    <row r="1046" spans="1:27" ht="15" customHeight="1" x14ac:dyDescent="0.25">
      <c r="A1046" t="s">
        <v>153</v>
      </c>
      <c r="L1046"/>
      <c r="M1046"/>
      <c r="N1046"/>
      <c r="O1046"/>
      <c r="P1046"/>
      <c r="T1046">
        <v>1878</v>
      </c>
      <c r="U1046" s="7">
        <v>3</v>
      </c>
      <c r="V1046" t="s">
        <v>613</v>
      </c>
      <c r="W1046" s="257" t="s">
        <v>696</v>
      </c>
      <c r="X1046" t="s">
        <v>697</v>
      </c>
      <c r="Y1046" s="316" t="s">
        <v>76</v>
      </c>
      <c r="Z1046" s="8">
        <v>2</v>
      </c>
      <c r="AA1046" s="202" t="str">
        <f t="shared" si="17"/>
        <v>Томат-паста</v>
      </c>
    </row>
    <row r="1047" spans="1:27" ht="15" customHeight="1" x14ac:dyDescent="0.25">
      <c r="A1047" t="s">
        <v>153</v>
      </c>
      <c r="L1047"/>
      <c r="M1047"/>
      <c r="N1047"/>
      <c r="O1047"/>
      <c r="P1047"/>
      <c r="T1047">
        <v>1879</v>
      </c>
      <c r="U1047" s="7">
        <v>3</v>
      </c>
      <c r="V1047" t="s">
        <v>613</v>
      </c>
      <c r="W1047" s="257" t="s">
        <v>696</v>
      </c>
      <c r="X1047" t="s">
        <v>697</v>
      </c>
      <c r="Y1047" s="316" t="s">
        <v>434</v>
      </c>
      <c r="Z1047" s="8">
        <v>2</v>
      </c>
      <c r="AA1047" s="202" t="str">
        <f t="shared" si="17"/>
        <v>Мука пшеничная 1 с</v>
      </c>
    </row>
    <row r="1048" spans="1:27" ht="15" customHeight="1" x14ac:dyDescent="0.25">
      <c r="A1048" t="s">
        <v>153</v>
      </c>
      <c r="L1048"/>
      <c r="M1048"/>
      <c r="N1048"/>
      <c r="O1048"/>
      <c r="P1048"/>
      <c r="T1048">
        <v>1880</v>
      </c>
      <c r="U1048" s="7">
        <v>3</v>
      </c>
      <c r="V1048" t="s">
        <v>613</v>
      </c>
      <c r="W1048" s="257" t="s">
        <v>696</v>
      </c>
      <c r="X1048" t="s">
        <v>697</v>
      </c>
      <c r="Y1048" s="316" t="s">
        <v>326</v>
      </c>
      <c r="Z1048" s="8">
        <v>2</v>
      </c>
      <c r="AA1048" s="202" t="str">
        <f t="shared" si="17"/>
        <v>Соль</v>
      </c>
    </row>
    <row r="1049" spans="1:27" ht="15" customHeight="1" x14ac:dyDescent="0.25">
      <c r="A1049" t="s">
        <v>153</v>
      </c>
      <c r="L1049"/>
      <c r="M1049"/>
      <c r="N1049"/>
      <c r="O1049"/>
      <c r="P1049"/>
      <c r="T1049">
        <v>1881</v>
      </c>
      <c r="U1049" s="7">
        <v>3</v>
      </c>
      <c r="V1049" t="s">
        <v>613</v>
      </c>
      <c r="W1049" s="257" t="s">
        <v>696</v>
      </c>
      <c r="X1049" t="s">
        <v>697</v>
      </c>
      <c r="Y1049" s="316" t="s">
        <v>74</v>
      </c>
      <c r="Z1049" s="8">
        <v>0.02</v>
      </c>
      <c r="AA1049" s="202" t="str">
        <f t="shared" si="17"/>
        <v>Лавровый лист</v>
      </c>
    </row>
    <row r="1050" spans="1:27" ht="15" customHeight="1" x14ac:dyDescent="0.25">
      <c r="A1050" t="s">
        <v>153</v>
      </c>
      <c r="L1050"/>
      <c r="M1050"/>
      <c r="N1050"/>
      <c r="O1050"/>
      <c r="P1050"/>
      <c r="T1050">
        <v>1882</v>
      </c>
      <c r="U1050" s="7">
        <v>3</v>
      </c>
      <c r="V1050" t="s">
        <v>613</v>
      </c>
      <c r="W1050" s="257" t="s">
        <v>696</v>
      </c>
      <c r="X1050" t="s">
        <v>697</v>
      </c>
      <c r="Y1050" s="316" t="s">
        <v>484</v>
      </c>
      <c r="Z1050" s="8">
        <v>0.01</v>
      </c>
      <c r="AA1050" s="202" t="str">
        <f t="shared" si="17"/>
        <v>Перец черный</v>
      </c>
    </row>
    <row r="1051" spans="1:27" ht="15" customHeight="1" x14ac:dyDescent="0.25">
      <c r="A1051" t="s">
        <v>153</v>
      </c>
      <c r="L1051"/>
      <c r="M1051"/>
      <c r="N1051"/>
      <c r="O1051"/>
      <c r="P1051"/>
      <c r="T1051">
        <v>1883</v>
      </c>
      <c r="U1051" s="7">
        <v>3</v>
      </c>
      <c r="V1051" t="s">
        <v>613</v>
      </c>
      <c r="W1051" s="257" t="s">
        <v>696</v>
      </c>
      <c r="X1051" t="s">
        <v>697</v>
      </c>
      <c r="Y1051" s="316" t="s">
        <v>1214</v>
      </c>
      <c r="Z1051" s="8">
        <v>48</v>
      </c>
      <c r="AA1051" s="202" t="str">
        <f t="shared" si="17"/>
        <v>Масса мясных и рыбных порций, г</v>
      </c>
    </row>
    <row r="1052" spans="1:27" ht="15" customHeight="1" x14ac:dyDescent="0.25">
      <c r="A1052" t="s">
        <v>153</v>
      </c>
      <c r="L1052"/>
      <c r="M1052"/>
      <c r="N1052"/>
      <c r="O1052"/>
      <c r="P1052"/>
      <c r="T1052">
        <v>1883</v>
      </c>
      <c r="U1052" s="7">
        <v>3</v>
      </c>
      <c r="V1052" t="s">
        <v>613</v>
      </c>
      <c r="W1052" s="257" t="s">
        <v>696</v>
      </c>
      <c r="X1052" t="s">
        <v>697</v>
      </c>
      <c r="Y1052" s="316" t="s">
        <v>1215</v>
      </c>
      <c r="Z1052" s="8">
        <v>98</v>
      </c>
      <c r="AA1052" s="202" t="str">
        <f t="shared" si="17"/>
        <v>Общая масса готового блюда, г</v>
      </c>
    </row>
    <row r="1053" spans="1:27" ht="15" customHeight="1" x14ac:dyDescent="0.25">
      <c r="A1053" t="s">
        <v>153</v>
      </c>
      <c r="L1053"/>
      <c r="M1053"/>
      <c r="N1053"/>
      <c r="O1053"/>
      <c r="P1053"/>
      <c r="T1053">
        <v>2088</v>
      </c>
      <c r="U1053" s="7">
        <v>3</v>
      </c>
      <c r="V1053" t="s">
        <v>613</v>
      </c>
      <c r="W1053" s="257" t="s">
        <v>698</v>
      </c>
      <c r="X1053" t="s">
        <v>699</v>
      </c>
      <c r="Y1053" s="316" t="s">
        <v>462</v>
      </c>
      <c r="Z1053" s="8">
        <v>100</v>
      </c>
      <c r="AA1053" s="202" t="str">
        <f t="shared" si="17"/>
        <v>Свинина на кости</v>
      </c>
    </row>
    <row r="1054" spans="1:27" ht="15" customHeight="1" x14ac:dyDescent="0.25">
      <c r="A1054" t="s">
        <v>153</v>
      </c>
      <c r="L1054"/>
      <c r="M1054"/>
      <c r="N1054"/>
      <c r="O1054"/>
      <c r="P1054"/>
      <c r="T1054">
        <v>2089</v>
      </c>
      <c r="U1054" s="7">
        <v>3</v>
      </c>
      <c r="V1054" t="s">
        <v>613</v>
      </c>
      <c r="W1054" s="257" t="s">
        <v>698</v>
      </c>
      <c r="X1054" t="s">
        <v>699</v>
      </c>
      <c r="Y1054" s="316" t="s">
        <v>46</v>
      </c>
      <c r="Z1054" s="8">
        <v>10</v>
      </c>
      <c r="AA1054" s="202" t="str">
        <f t="shared" si="17"/>
        <v>Морковь</v>
      </c>
    </row>
    <row r="1055" spans="1:27" ht="15" customHeight="1" x14ac:dyDescent="0.25">
      <c r="A1055" t="s">
        <v>153</v>
      </c>
      <c r="L1055"/>
      <c r="M1055"/>
      <c r="N1055"/>
      <c r="O1055"/>
      <c r="P1055"/>
      <c r="T1055">
        <v>2090</v>
      </c>
      <c r="U1055" s="7">
        <v>3</v>
      </c>
      <c r="V1055" t="s">
        <v>613</v>
      </c>
      <c r="W1055" s="257" t="s">
        <v>698</v>
      </c>
      <c r="X1055" t="s">
        <v>699</v>
      </c>
      <c r="Y1055" s="316" t="s">
        <v>32</v>
      </c>
      <c r="Z1055" s="8">
        <v>10</v>
      </c>
      <c r="AA1055" s="202" t="str">
        <f t="shared" si="17"/>
        <v>Лук репчатый</v>
      </c>
    </row>
    <row r="1056" spans="1:27" ht="15" customHeight="1" x14ac:dyDescent="0.25">
      <c r="A1056" t="s">
        <v>153</v>
      </c>
      <c r="L1056"/>
      <c r="M1056"/>
      <c r="N1056"/>
      <c r="O1056"/>
      <c r="P1056"/>
      <c r="T1056">
        <v>2091</v>
      </c>
      <c r="U1056" s="7">
        <v>3</v>
      </c>
      <c r="V1056" t="s">
        <v>613</v>
      </c>
      <c r="W1056" s="257" t="s">
        <v>698</v>
      </c>
      <c r="X1056" t="s">
        <v>699</v>
      </c>
      <c r="Y1056" s="316" t="s">
        <v>61</v>
      </c>
      <c r="Z1056" s="8">
        <v>3</v>
      </c>
      <c r="AA1056" s="202" t="str">
        <f t="shared" si="17"/>
        <v>Масло растительное</v>
      </c>
    </row>
    <row r="1057" spans="1:27" ht="15" customHeight="1" x14ac:dyDescent="0.25">
      <c r="A1057" t="s">
        <v>153</v>
      </c>
      <c r="L1057"/>
      <c r="M1057"/>
      <c r="N1057"/>
      <c r="O1057"/>
      <c r="P1057"/>
      <c r="T1057">
        <v>2092</v>
      </c>
      <c r="U1057" s="7">
        <v>3</v>
      </c>
      <c r="V1057" t="s">
        <v>613</v>
      </c>
      <c r="W1057" s="257" t="s">
        <v>698</v>
      </c>
      <c r="X1057" t="s">
        <v>699</v>
      </c>
      <c r="Y1057" s="316" t="s">
        <v>76</v>
      </c>
      <c r="Z1057" s="8">
        <v>2</v>
      </c>
      <c r="AA1057" s="202" t="str">
        <f t="shared" si="17"/>
        <v>Томат-паста</v>
      </c>
    </row>
    <row r="1058" spans="1:27" ht="15" customHeight="1" x14ac:dyDescent="0.25">
      <c r="A1058" t="s">
        <v>153</v>
      </c>
      <c r="L1058"/>
      <c r="M1058"/>
      <c r="N1058"/>
      <c r="O1058"/>
      <c r="P1058"/>
      <c r="T1058">
        <v>2093</v>
      </c>
      <c r="U1058" s="7">
        <v>3</v>
      </c>
      <c r="V1058" t="s">
        <v>613</v>
      </c>
      <c r="W1058" s="257" t="s">
        <v>698</v>
      </c>
      <c r="X1058" t="s">
        <v>699</v>
      </c>
      <c r="Y1058" s="316" t="s">
        <v>434</v>
      </c>
      <c r="Z1058" s="8">
        <v>2</v>
      </c>
      <c r="AA1058" s="202" t="str">
        <f t="shared" si="17"/>
        <v>Мука пшеничная 1 с</v>
      </c>
    </row>
    <row r="1059" spans="1:27" ht="15" customHeight="1" x14ac:dyDescent="0.25">
      <c r="A1059" t="s">
        <v>153</v>
      </c>
      <c r="L1059"/>
      <c r="M1059"/>
      <c r="N1059"/>
      <c r="O1059"/>
      <c r="P1059"/>
      <c r="T1059">
        <v>2094</v>
      </c>
      <c r="U1059" s="7">
        <v>3</v>
      </c>
      <c r="V1059" t="s">
        <v>613</v>
      </c>
      <c r="W1059" s="257" t="s">
        <v>698</v>
      </c>
      <c r="X1059" t="s">
        <v>699</v>
      </c>
      <c r="Y1059" s="316" t="s">
        <v>326</v>
      </c>
      <c r="Z1059" s="8">
        <v>2</v>
      </c>
      <c r="AA1059" s="202" t="str">
        <f t="shared" si="17"/>
        <v>Соль</v>
      </c>
    </row>
    <row r="1060" spans="1:27" ht="15" customHeight="1" x14ac:dyDescent="0.25">
      <c r="A1060" t="s">
        <v>153</v>
      </c>
      <c r="L1060"/>
      <c r="M1060"/>
      <c r="N1060"/>
      <c r="O1060"/>
      <c r="P1060"/>
      <c r="T1060">
        <v>2095</v>
      </c>
      <c r="U1060" s="7">
        <v>3</v>
      </c>
      <c r="V1060" t="s">
        <v>613</v>
      </c>
      <c r="W1060" s="257" t="s">
        <v>698</v>
      </c>
      <c r="X1060" t="s">
        <v>699</v>
      </c>
      <c r="Y1060" s="316" t="s">
        <v>484</v>
      </c>
      <c r="Z1060" s="8">
        <v>0.01</v>
      </c>
      <c r="AA1060" s="202" t="str">
        <f t="shared" si="17"/>
        <v>Перец черный</v>
      </c>
    </row>
    <row r="1061" spans="1:27" ht="15" customHeight="1" x14ac:dyDescent="0.25">
      <c r="A1061" t="s">
        <v>153</v>
      </c>
      <c r="L1061"/>
      <c r="M1061"/>
      <c r="N1061"/>
      <c r="O1061"/>
      <c r="P1061"/>
      <c r="T1061">
        <v>2096</v>
      </c>
      <c r="U1061" s="7">
        <v>3</v>
      </c>
      <c r="V1061" t="s">
        <v>613</v>
      </c>
      <c r="W1061" s="257" t="s">
        <v>698</v>
      </c>
      <c r="X1061" t="s">
        <v>699</v>
      </c>
      <c r="Y1061" s="316" t="s">
        <v>74</v>
      </c>
      <c r="Z1061" s="8">
        <v>0.01</v>
      </c>
      <c r="AA1061" s="202" t="str">
        <f t="shared" si="17"/>
        <v>Лавровый лист</v>
      </c>
    </row>
    <row r="1062" spans="1:27" ht="15" customHeight="1" x14ac:dyDescent="0.25">
      <c r="A1062" t="s">
        <v>153</v>
      </c>
      <c r="L1062"/>
      <c r="M1062"/>
      <c r="N1062"/>
      <c r="O1062"/>
      <c r="P1062"/>
      <c r="T1062">
        <v>2097</v>
      </c>
      <c r="U1062" s="7">
        <v>3</v>
      </c>
      <c r="V1062" t="s">
        <v>613</v>
      </c>
      <c r="W1062" s="257" t="s">
        <v>698</v>
      </c>
      <c r="X1062" t="s">
        <v>699</v>
      </c>
      <c r="Y1062" s="316" t="s">
        <v>1214</v>
      </c>
      <c r="Z1062" s="8">
        <v>58</v>
      </c>
      <c r="AA1062" s="202" t="str">
        <f t="shared" si="17"/>
        <v>Масса мясных и рыбных порций, г</v>
      </c>
    </row>
    <row r="1063" spans="1:27" ht="15" customHeight="1" x14ac:dyDescent="0.25">
      <c r="A1063" t="s">
        <v>153</v>
      </c>
      <c r="L1063"/>
      <c r="M1063"/>
      <c r="N1063"/>
      <c r="O1063"/>
      <c r="P1063"/>
      <c r="T1063">
        <v>2097</v>
      </c>
      <c r="U1063" s="7">
        <v>3</v>
      </c>
      <c r="V1063" t="s">
        <v>613</v>
      </c>
      <c r="W1063" s="257" t="s">
        <v>698</v>
      </c>
      <c r="X1063" t="s">
        <v>699</v>
      </c>
      <c r="Y1063" s="316" t="s">
        <v>1215</v>
      </c>
      <c r="Z1063" s="8">
        <v>108</v>
      </c>
      <c r="AA1063" s="202" t="str">
        <f t="shared" si="17"/>
        <v>Общая масса готового блюда, г</v>
      </c>
    </row>
    <row r="1064" spans="1:27" ht="15" customHeight="1" x14ac:dyDescent="0.25">
      <c r="A1064" t="s">
        <v>153</v>
      </c>
      <c r="L1064"/>
      <c r="M1064"/>
      <c r="N1064"/>
      <c r="O1064"/>
      <c r="P1064"/>
      <c r="T1064">
        <v>2075</v>
      </c>
      <c r="U1064" s="7">
        <v>3</v>
      </c>
      <c r="V1064" t="s">
        <v>613</v>
      </c>
      <c r="W1064" s="257" t="s">
        <v>700</v>
      </c>
      <c r="X1064" t="s">
        <v>701</v>
      </c>
      <c r="Y1064" s="316" t="s">
        <v>455</v>
      </c>
      <c r="Z1064" s="8">
        <v>100</v>
      </c>
      <c r="AA1064" s="202" t="str">
        <f t="shared" si="17"/>
        <v>Говядина н/к</v>
      </c>
    </row>
    <row r="1065" spans="1:27" ht="15" customHeight="1" x14ac:dyDescent="0.25">
      <c r="A1065" t="s">
        <v>153</v>
      </c>
      <c r="L1065"/>
      <c r="M1065"/>
      <c r="N1065"/>
      <c r="O1065"/>
      <c r="P1065"/>
      <c r="T1065">
        <v>2076</v>
      </c>
      <c r="U1065" s="7">
        <v>3</v>
      </c>
      <c r="V1065" t="s">
        <v>613</v>
      </c>
      <c r="W1065" s="257" t="s">
        <v>700</v>
      </c>
      <c r="X1065" t="s">
        <v>701</v>
      </c>
      <c r="Y1065" s="316" t="s">
        <v>434</v>
      </c>
      <c r="Z1065" s="8">
        <v>2</v>
      </c>
      <c r="AA1065" s="202" t="str">
        <f t="shared" si="17"/>
        <v>Мука пшеничная 1 с</v>
      </c>
    </row>
    <row r="1066" spans="1:27" ht="15" customHeight="1" x14ac:dyDescent="0.25">
      <c r="A1066" t="s">
        <v>153</v>
      </c>
      <c r="L1066"/>
      <c r="M1066"/>
      <c r="N1066"/>
      <c r="O1066"/>
      <c r="P1066"/>
      <c r="T1066">
        <v>2077</v>
      </c>
      <c r="U1066" s="7">
        <v>3</v>
      </c>
      <c r="V1066" t="s">
        <v>613</v>
      </c>
      <c r="W1066" s="257" t="s">
        <v>700</v>
      </c>
      <c r="X1066" t="s">
        <v>701</v>
      </c>
      <c r="Y1066" s="316" t="s">
        <v>32</v>
      </c>
      <c r="Z1066" s="8">
        <v>10</v>
      </c>
      <c r="AA1066" s="202" t="str">
        <f t="shared" si="17"/>
        <v>Лук репчатый</v>
      </c>
    </row>
    <row r="1067" spans="1:27" ht="15" customHeight="1" x14ac:dyDescent="0.25">
      <c r="A1067" t="s">
        <v>153</v>
      </c>
      <c r="L1067"/>
      <c r="M1067"/>
      <c r="N1067"/>
      <c r="O1067"/>
      <c r="P1067"/>
      <c r="T1067">
        <v>2078</v>
      </c>
      <c r="U1067" s="7">
        <v>3</v>
      </c>
      <c r="V1067" t="s">
        <v>613</v>
      </c>
      <c r="W1067" s="257" t="s">
        <v>700</v>
      </c>
      <c r="X1067" t="s">
        <v>701</v>
      </c>
      <c r="Y1067" s="316" t="s">
        <v>46</v>
      </c>
      <c r="Z1067" s="8">
        <v>10</v>
      </c>
      <c r="AA1067" s="202" t="str">
        <f t="shared" si="17"/>
        <v>Морковь</v>
      </c>
    </row>
    <row r="1068" spans="1:27" ht="15" customHeight="1" x14ac:dyDescent="0.25">
      <c r="A1068" t="s">
        <v>153</v>
      </c>
      <c r="L1068"/>
      <c r="M1068"/>
      <c r="N1068"/>
      <c r="O1068"/>
      <c r="P1068"/>
      <c r="T1068">
        <v>2079</v>
      </c>
      <c r="U1068" s="7">
        <v>3</v>
      </c>
      <c r="V1068" t="s">
        <v>613</v>
      </c>
      <c r="W1068" s="257" t="s">
        <v>700</v>
      </c>
      <c r="X1068" t="s">
        <v>701</v>
      </c>
      <c r="Y1068" s="316" t="s">
        <v>61</v>
      </c>
      <c r="Z1068" s="8">
        <v>5</v>
      </c>
      <c r="AA1068" s="202" t="str">
        <f t="shared" si="17"/>
        <v>Масло растительное</v>
      </c>
    </row>
    <row r="1069" spans="1:27" ht="15" customHeight="1" x14ac:dyDescent="0.25">
      <c r="A1069" t="s">
        <v>153</v>
      </c>
      <c r="L1069"/>
      <c r="M1069"/>
      <c r="N1069"/>
      <c r="O1069"/>
      <c r="P1069"/>
      <c r="T1069">
        <v>2080</v>
      </c>
      <c r="U1069" s="7">
        <v>3</v>
      </c>
      <c r="V1069" t="s">
        <v>613</v>
      </c>
      <c r="W1069" s="257" t="s">
        <v>700</v>
      </c>
      <c r="X1069" t="s">
        <v>701</v>
      </c>
      <c r="Y1069" s="316" t="s">
        <v>76</v>
      </c>
      <c r="Z1069" s="8">
        <v>2</v>
      </c>
      <c r="AA1069" s="202" t="str">
        <f t="shared" si="17"/>
        <v>Томат-паста</v>
      </c>
    </row>
    <row r="1070" spans="1:27" ht="15" customHeight="1" x14ac:dyDescent="0.25">
      <c r="A1070" t="s">
        <v>153</v>
      </c>
      <c r="L1070"/>
      <c r="M1070"/>
      <c r="N1070"/>
      <c r="O1070"/>
      <c r="P1070"/>
      <c r="T1070">
        <v>2081</v>
      </c>
      <c r="U1070" s="7">
        <v>3</v>
      </c>
      <c r="V1070" t="s">
        <v>613</v>
      </c>
      <c r="W1070" s="257" t="s">
        <v>700</v>
      </c>
      <c r="X1070" t="s">
        <v>701</v>
      </c>
      <c r="Y1070" s="316" t="s">
        <v>326</v>
      </c>
      <c r="Z1070" s="8">
        <v>2</v>
      </c>
      <c r="AA1070" s="202" t="str">
        <f t="shared" si="17"/>
        <v>Соль</v>
      </c>
    </row>
    <row r="1071" spans="1:27" ht="15" customHeight="1" x14ac:dyDescent="0.25">
      <c r="A1071" t="s">
        <v>153</v>
      </c>
      <c r="L1071"/>
      <c r="M1071"/>
      <c r="N1071"/>
      <c r="O1071"/>
      <c r="P1071"/>
      <c r="T1071">
        <v>2082</v>
      </c>
      <c r="U1071" s="7">
        <v>3</v>
      </c>
      <c r="V1071" t="s">
        <v>613</v>
      </c>
      <c r="W1071" s="257" t="s">
        <v>700</v>
      </c>
      <c r="X1071" t="s">
        <v>701</v>
      </c>
      <c r="Y1071" s="316" t="s">
        <v>74</v>
      </c>
      <c r="Z1071" s="8">
        <v>0.01</v>
      </c>
      <c r="AA1071" s="202" t="str">
        <f t="shared" si="17"/>
        <v>Лавровый лист</v>
      </c>
    </row>
    <row r="1072" spans="1:27" ht="15" customHeight="1" x14ac:dyDescent="0.25">
      <c r="A1072" t="s">
        <v>153</v>
      </c>
      <c r="L1072"/>
      <c r="M1072"/>
      <c r="N1072"/>
      <c r="O1072"/>
      <c r="P1072"/>
      <c r="T1072">
        <v>2083</v>
      </c>
      <c r="U1072" s="7">
        <v>3</v>
      </c>
      <c r="V1072" t="s">
        <v>613</v>
      </c>
      <c r="W1072" s="257" t="s">
        <v>700</v>
      </c>
      <c r="X1072" t="s">
        <v>701</v>
      </c>
      <c r="Y1072" s="316" t="s">
        <v>484</v>
      </c>
      <c r="Z1072" s="8">
        <v>0.01</v>
      </c>
      <c r="AA1072" s="202" t="str">
        <f t="shared" si="17"/>
        <v>Перец черный</v>
      </c>
    </row>
    <row r="1073" spans="1:27" ht="15" customHeight="1" x14ac:dyDescent="0.25">
      <c r="A1073" t="s">
        <v>153</v>
      </c>
      <c r="L1073"/>
      <c r="M1073"/>
      <c r="N1073"/>
      <c r="O1073"/>
      <c r="P1073"/>
      <c r="T1073">
        <v>2084</v>
      </c>
      <c r="U1073" s="7">
        <v>3</v>
      </c>
      <c r="V1073" t="s">
        <v>613</v>
      </c>
      <c r="W1073" s="257" t="s">
        <v>700</v>
      </c>
      <c r="X1073" t="s">
        <v>701</v>
      </c>
      <c r="Y1073" s="316" t="s">
        <v>1214</v>
      </c>
      <c r="Z1073" s="8">
        <v>44.2</v>
      </c>
      <c r="AA1073" s="202" t="str">
        <f t="shared" si="17"/>
        <v>Масса мясных и рыбных порций, г</v>
      </c>
    </row>
    <row r="1074" spans="1:27" ht="15" customHeight="1" x14ac:dyDescent="0.25">
      <c r="A1074" t="s">
        <v>153</v>
      </c>
      <c r="L1074"/>
      <c r="M1074"/>
      <c r="N1074"/>
      <c r="O1074"/>
      <c r="P1074"/>
      <c r="T1074">
        <v>2084</v>
      </c>
      <c r="U1074" s="7">
        <v>3</v>
      </c>
      <c r="V1074" t="s">
        <v>613</v>
      </c>
      <c r="W1074" s="257" t="s">
        <v>700</v>
      </c>
      <c r="X1074" t="s">
        <v>701</v>
      </c>
      <c r="Y1074" s="316" t="s">
        <v>1215</v>
      </c>
      <c r="Z1074" s="8">
        <v>94.2</v>
      </c>
      <c r="AA1074" s="202" t="str">
        <f t="shared" si="17"/>
        <v>Общая масса готового блюда, г</v>
      </c>
    </row>
    <row r="1075" spans="1:27" ht="15" customHeight="1" x14ac:dyDescent="0.25">
      <c r="A1075" t="s">
        <v>153</v>
      </c>
      <c r="L1075"/>
      <c r="M1075"/>
      <c r="N1075"/>
      <c r="O1075"/>
      <c r="P1075"/>
      <c r="T1075">
        <v>2163</v>
      </c>
      <c r="U1075" s="7">
        <v>3</v>
      </c>
      <c r="V1075" t="s">
        <v>613</v>
      </c>
      <c r="W1075" s="257" t="s">
        <v>702</v>
      </c>
      <c r="X1075" t="s">
        <v>703</v>
      </c>
      <c r="Y1075" s="316" t="s">
        <v>462</v>
      </c>
      <c r="Z1075" s="8">
        <v>100</v>
      </c>
      <c r="AA1075" s="202" t="str">
        <f t="shared" si="17"/>
        <v>Свинина на кости</v>
      </c>
    </row>
    <row r="1076" spans="1:27" ht="15" customHeight="1" x14ac:dyDescent="0.25">
      <c r="A1076" t="s">
        <v>153</v>
      </c>
      <c r="L1076"/>
      <c r="M1076"/>
      <c r="N1076"/>
      <c r="O1076"/>
      <c r="P1076"/>
      <c r="T1076">
        <v>2164</v>
      </c>
      <c r="U1076" s="7">
        <v>3</v>
      </c>
      <c r="V1076" t="s">
        <v>613</v>
      </c>
      <c r="W1076" s="257" t="s">
        <v>702</v>
      </c>
      <c r="X1076" t="s">
        <v>703</v>
      </c>
      <c r="Y1076" s="316" t="s">
        <v>434</v>
      </c>
      <c r="Z1076" s="8">
        <v>2</v>
      </c>
      <c r="AA1076" s="202" t="str">
        <f t="shared" si="17"/>
        <v>Мука пшеничная 1 с</v>
      </c>
    </row>
    <row r="1077" spans="1:27" ht="15" customHeight="1" x14ac:dyDescent="0.25">
      <c r="A1077" t="s">
        <v>153</v>
      </c>
      <c r="L1077"/>
      <c r="M1077"/>
      <c r="N1077"/>
      <c r="O1077"/>
      <c r="P1077"/>
      <c r="T1077">
        <v>2165</v>
      </c>
      <c r="U1077" s="7">
        <v>3</v>
      </c>
      <c r="V1077" t="s">
        <v>613</v>
      </c>
      <c r="W1077" s="257" t="s">
        <v>702</v>
      </c>
      <c r="X1077" t="s">
        <v>703</v>
      </c>
      <c r="Y1077" s="316" t="s">
        <v>32</v>
      </c>
      <c r="Z1077" s="8">
        <v>10</v>
      </c>
      <c r="AA1077" s="202" t="str">
        <f t="shared" si="17"/>
        <v>Лук репчатый</v>
      </c>
    </row>
    <row r="1078" spans="1:27" ht="15" customHeight="1" x14ac:dyDescent="0.25">
      <c r="A1078" t="s">
        <v>153</v>
      </c>
      <c r="L1078"/>
      <c r="M1078"/>
      <c r="N1078"/>
      <c r="O1078"/>
      <c r="P1078"/>
      <c r="T1078">
        <v>2166</v>
      </c>
      <c r="U1078" s="7">
        <v>3</v>
      </c>
      <c r="V1078" t="s">
        <v>613</v>
      </c>
      <c r="W1078" s="257" t="s">
        <v>702</v>
      </c>
      <c r="X1078" t="s">
        <v>703</v>
      </c>
      <c r="Y1078" s="316" t="s">
        <v>46</v>
      </c>
      <c r="Z1078" s="8">
        <v>10</v>
      </c>
      <c r="AA1078" s="202" t="str">
        <f t="shared" si="17"/>
        <v>Морковь</v>
      </c>
    </row>
    <row r="1079" spans="1:27" ht="15" customHeight="1" x14ac:dyDescent="0.25">
      <c r="A1079" t="s">
        <v>153</v>
      </c>
      <c r="L1079"/>
      <c r="M1079"/>
      <c r="N1079"/>
      <c r="O1079"/>
      <c r="P1079"/>
      <c r="T1079">
        <v>2167</v>
      </c>
      <c r="U1079" s="7">
        <v>3</v>
      </c>
      <c r="V1079" t="s">
        <v>613</v>
      </c>
      <c r="W1079" s="257" t="s">
        <v>702</v>
      </c>
      <c r="X1079" t="s">
        <v>703</v>
      </c>
      <c r="Y1079" s="316" t="s">
        <v>61</v>
      </c>
      <c r="Z1079" s="8">
        <v>5</v>
      </c>
      <c r="AA1079" s="202" t="str">
        <f t="shared" si="17"/>
        <v>Масло растительное</v>
      </c>
    </row>
    <row r="1080" spans="1:27" ht="15" customHeight="1" x14ac:dyDescent="0.25">
      <c r="A1080" t="s">
        <v>153</v>
      </c>
      <c r="L1080"/>
      <c r="M1080"/>
      <c r="N1080"/>
      <c r="O1080"/>
      <c r="P1080"/>
      <c r="T1080">
        <v>2168</v>
      </c>
      <c r="U1080" s="7">
        <v>3</v>
      </c>
      <c r="V1080" t="s">
        <v>613</v>
      </c>
      <c r="W1080" s="257" t="s">
        <v>702</v>
      </c>
      <c r="X1080" t="s">
        <v>703</v>
      </c>
      <c r="Y1080" s="316" t="s">
        <v>76</v>
      </c>
      <c r="Z1080" s="8">
        <v>2</v>
      </c>
      <c r="AA1080" s="202" t="str">
        <f t="shared" si="17"/>
        <v>Томат-паста</v>
      </c>
    </row>
    <row r="1081" spans="1:27" ht="15" customHeight="1" x14ac:dyDescent="0.25">
      <c r="A1081" t="s">
        <v>153</v>
      </c>
      <c r="L1081"/>
      <c r="M1081"/>
      <c r="N1081"/>
      <c r="O1081"/>
      <c r="P1081"/>
      <c r="T1081">
        <v>2169</v>
      </c>
      <c r="U1081" s="7">
        <v>3</v>
      </c>
      <c r="V1081" t="s">
        <v>613</v>
      </c>
      <c r="W1081" s="257" t="s">
        <v>702</v>
      </c>
      <c r="X1081" t="s">
        <v>703</v>
      </c>
      <c r="Y1081" s="316" t="s">
        <v>326</v>
      </c>
      <c r="Z1081" s="8">
        <v>2</v>
      </c>
      <c r="AA1081" s="202" t="str">
        <f t="shared" si="17"/>
        <v>Соль</v>
      </c>
    </row>
    <row r="1082" spans="1:27" ht="15" customHeight="1" x14ac:dyDescent="0.25">
      <c r="A1082" t="s">
        <v>153</v>
      </c>
      <c r="L1082"/>
      <c r="M1082"/>
      <c r="N1082"/>
      <c r="O1082"/>
      <c r="P1082"/>
      <c r="T1082">
        <v>2170</v>
      </c>
      <c r="U1082" s="7">
        <v>3</v>
      </c>
      <c r="V1082" t="s">
        <v>613</v>
      </c>
      <c r="W1082" s="257" t="s">
        <v>702</v>
      </c>
      <c r="X1082" t="s">
        <v>703</v>
      </c>
      <c r="Y1082" s="316" t="s">
        <v>74</v>
      </c>
      <c r="Z1082" s="8">
        <v>0.01</v>
      </c>
      <c r="AA1082" s="202" t="str">
        <f t="shared" si="17"/>
        <v>Лавровый лист</v>
      </c>
    </row>
    <row r="1083" spans="1:27" ht="15" customHeight="1" x14ac:dyDescent="0.25">
      <c r="A1083" t="s">
        <v>153</v>
      </c>
      <c r="L1083"/>
      <c r="M1083"/>
      <c r="N1083"/>
      <c r="O1083"/>
      <c r="P1083"/>
      <c r="T1083">
        <v>2171</v>
      </c>
      <c r="U1083" s="7">
        <v>3</v>
      </c>
      <c r="V1083" t="s">
        <v>613</v>
      </c>
      <c r="W1083" s="257" t="s">
        <v>702</v>
      </c>
      <c r="X1083" t="s">
        <v>703</v>
      </c>
      <c r="Y1083" s="316" t="s">
        <v>484</v>
      </c>
      <c r="Z1083" s="8">
        <v>0.01</v>
      </c>
      <c r="AA1083" s="202" t="str">
        <f t="shared" si="17"/>
        <v>Перец черный</v>
      </c>
    </row>
    <row r="1084" spans="1:27" ht="15" customHeight="1" x14ac:dyDescent="0.25">
      <c r="A1084" t="s">
        <v>153</v>
      </c>
      <c r="L1084"/>
      <c r="M1084"/>
      <c r="N1084"/>
      <c r="O1084"/>
      <c r="P1084"/>
      <c r="T1084">
        <v>2172</v>
      </c>
      <c r="U1084" s="7">
        <v>3</v>
      </c>
      <c r="V1084" t="s">
        <v>613</v>
      </c>
      <c r="W1084" s="257" t="s">
        <v>702</v>
      </c>
      <c r="X1084" t="s">
        <v>703</v>
      </c>
      <c r="Y1084" s="316" t="s">
        <v>1215</v>
      </c>
      <c r="Z1084" s="8">
        <v>108</v>
      </c>
      <c r="AA1084" s="202" t="str">
        <f t="shared" si="17"/>
        <v>Общая масса готового блюда, г</v>
      </c>
    </row>
    <row r="1085" spans="1:27" ht="15" customHeight="1" x14ac:dyDescent="0.25">
      <c r="A1085" t="s">
        <v>153</v>
      </c>
      <c r="L1085"/>
      <c r="M1085"/>
      <c r="N1085"/>
      <c r="O1085"/>
      <c r="P1085"/>
      <c r="T1085">
        <v>2172</v>
      </c>
      <c r="U1085" s="7">
        <v>3</v>
      </c>
      <c r="V1085" t="s">
        <v>613</v>
      </c>
      <c r="W1085" s="257" t="s">
        <v>702</v>
      </c>
      <c r="X1085" t="s">
        <v>703</v>
      </c>
      <c r="Y1085" s="316" t="s">
        <v>1214</v>
      </c>
      <c r="Z1085" s="8">
        <v>58</v>
      </c>
      <c r="AA1085" s="202" t="str">
        <f t="shared" si="17"/>
        <v>Масса мясных и рыбных порций, г</v>
      </c>
    </row>
    <row r="1086" spans="1:27" ht="15" customHeight="1" x14ac:dyDescent="0.25">
      <c r="A1086" t="s">
        <v>153</v>
      </c>
      <c r="L1086"/>
      <c r="M1086"/>
      <c r="N1086"/>
      <c r="O1086"/>
      <c r="P1086"/>
      <c r="T1086">
        <v>1783</v>
      </c>
      <c r="U1086" s="7">
        <v>3</v>
      </c>
      <c r="V1086" t="s">
        <v>613</v>
      </c>
      <c r="W1086" s="257" t="s">
        <v>704</v>
      </c>
      <c r="X1086" t="s">
        <v>705</v>
      </c>
      <c r="Y1086" s="316" t="s">
        <v>454</v>
      </c>
      <c r="Z1086" s="8">
        <v>75</v>
      </c>
      <c r="AA1086" s="202" t="str">
        <f t="shared" si="17"/>
        <v>Говядина б/к</v>
      </c>
    </row>
    <row r="1087" spans="1:27" ht="15" customHeight="1" x14ac:dyDescent="0.25">
      <c r="A1087" t="s">
        <v>153</v>
      </c>
      <c r="L1087"/>
      <c r="M1087"/>
      <c r="N1087"/>
      <c r="O1087"/>
      <c r="P1087"/>
      <c r="T1087">
        <v>1784</v>
      </c>
      <c r="U1087" s="7">
        <v>3</v>
      </c>
      <c r="V1087" t="s">
        <v>613</v>
      </c>
      <c r="W1087" s="257" t="s">
        <v>704</v>
      </c>
      <c r="X1087" t="s">
        <v>705</v>
      </c>
      <c r="Y1087" s="316" t="s">
        <v>326</v>
      </c>
      <c r="Z1087" s="8">
        <v>2</v>
      </c>
      <c r="AA1087" s="202" t="str">
        <f t="shared" si="17"/>
        <v>Соль</v>
      </c>
    </row>
    <row r="1088" spans="1:27" ht="15" customHeight="1" x14ac:dyDescent="0.25">
      <c r="A1088" t="s">
        <v>153</v>
      </c>
      <c r="L1088"/>
      <c r="M1088"/>
      <c r="N1088"/>
      <c r="O1088"/>
      <c r="P1088"/>
      <c r="T1088">
        <v>1785</v>
      </c>
      <c r="U1088" s="7">
        <v>3</v>
      </c>
      <c r="V1088" t="s">
        <v>613</v>
      </c>
      <c r="W1088" s="257" t="s">
        <v>704</v>
      </c>
      <c r="X1088" t="s">
        <v>705</v>
      </c>
      <c r="Y1088" s="316" t="s">
        <v>74</v>
      </c>
      <c r="Z1088" s="8">
        <v>0.01</v>
      </c>
      <c r="AA1088" s="202" t="str">
        <f t="shared" si="17"/>
        <v>Лавровый лист</v>
      </c>
    </row>
    <row r="1089" spans="1:27" ht="15" customHeight="1" x14ac:dyDescent="0.25">
      <c r="A1089" t="s">
        <v>153</v>
      </c>
      <c r="L1089"/>
      <c r="M1089"/>
      <c r="N1089"/>
      <c r="O1089"/>
      <c r="P1089"/>
      <c r="T1089">
        <v>1786</v>
      </c>
      <c r="U1089" s="7">
        <v>3</v>
      </c>
      <c r="V1089" t="s">
        <v>613</v>
      </c>
      <c r="W1089" s="257" t="s">
        <v>704</v>
      </c>
      <c r="X1089" t="s">
        <v>705</v>
      </c>
      <c r="Y1089" s="316" t="s">
        <v>484</v>
      </c>
      <c r="Z1089" s="8">
        <v>0.01</v>
      </c>
      <c r="AA1089" s="202" t="str">
        <f t="shared" si="17"/>
        <v>Перец черный</v>
      </c>
    </row>
    <row r="1090" spans="1:27" ht="15" customHeight="1" x14ac:dyDescent="0.25">
      <c r="A1090" t="s">
        <v>153</v>
      </c>
      <c r="L1090"/>
      <c r="M1090"/>
      <c r="N1090"/>
      <c r="O1090"/>
      <c r="P1090"/>
      <c r="T1090">
        <v>1787</v>
      </c>
      <c r="U1090" s="7">
        <v>3</v>
      </c>
      <c r="V1090" t="s">
        <v>613</v>
      </c>
      <c r="W1090" s="257" t="s">
        <v>704</v>
      </c>
      <c r="X1090" t="s">
        <v>705</v>
      </c>
      <c r="Y1090" s="316" t="s">
        <v>1215</v>
      </c>
      <c r="Z1090" s="8">
        <v>100</v>
      </c>
      <c r="AA1090" s="202" t="str">
        <f t="shared" ref="AA1090:AA1153" si="18">VLOOKUP(Y1090,O:P,2,FALSE)</f>
        <v>Общая масса готового блюда, г</v>
      </c>
    </row>
    <row r="1091" spans="1:27" ht="15" customHeight="1" x14ac:dyDescent="0.25">
      <c r="A1091" t="s">
        <v>153</v>
      </c>
      <c r="L1091"/>
      <c r="M1091"/>
      <c r="N1091"/>
      <c r="O1091"/>
      <c r="P1091"/>
      <c r="T1091">
        <v>1787</v>
      </c>
      <c r="U1091" s="7">
        <v>3</v>
      </c>
      <c r="V1091" t="s">
        <v>613</v>
      </c>
      <c r="W1091" s="257" t="s">
        <v>704</v>
      </c>
      <c r="X1091" t="s">
        <v>705</v>
      </c>
      <c r="Y1091" s="316" t="s">
        <v>1214</v>
      </c>
      <c r="Z1091" s="8">
        <v>50</v>
      </c>
      <c r="AA1091" s="202" t="str">
        <f t="shared" si="18"/>
        <v>Масса мясных и рыбных порций, г</v>
      </c>
    </row>
    <row r="1092" spans="1:27" ht="15" customHeight="1" x14ac:dyDescent="0.25">
      <c r="A1092" t="s">
        <v>153</v>
      </c>
      <c r="L1092"/>
      <c r="M1092"/>
      <c r="N1092"/>
      <c r="O1092"/>
      <c r="P1092"/>
      <c r="T1092">
        <v>1778</v>
      </c>
      <c r="U1092" s="7">
        <v>3</v>
      </c>
      <c r="V1092" t="s">
        <v>613</v>
      </c>
      <c r="W1092" s="257" t="s">
        <v>706</v>
      </c>
      <c r="X1092" t="s">
        <v>707</v>
      </c>
      <c r="Y1092" s="316" t="s">
        <v>455</v>
      </c>
      <c r="Z1092" s="8">
        <v>100</v>
      </c>
      <c r="AA1092" s="202" t="str">
        <f t="shared" si="18"/>
        <v>Говядина н/к</v>
      </c>
    </row>
    <row r="1093" spans="1:27" ht="15" customHeight="1" x14ac:dyDescent="0.25">
      <c r="A1093" t="s">
        <v>153</v>
      </c>
      <c r="L1093"/>
      <c r="M1093"/>
      <c r="N1093"/>
      <c r="O1093"/>
      <c r="P1093"/>
      <c r="T1093">
        <v>1779</v>
      </c>
      <c r="U1093" s="7">
        <v>3</v>
      </c>
      <c r="V1093" t="s">
        <v>613</v>
      </c>
      <c r="W1093" s="257" t="s">
        <v>706</v>
      </c>
      <c r="X1093" t="s">
        <v>707</v>
      </c>
      <c r="Y1093" s="316" t="s">
        <v>326</v>
      </c>
      <c r="Z1093" s="8">
        <v>2</v>
      </c>
      <c r="AA1093" s="202" t="str">
        <f t="shared" si="18"/>
        <v>Соль</v>
      </c>
    </row>
    <row r="1094" spans="1:27" ht="15" customHeight="1" x14ac:dyDescent="0.25">
      <c r="A1094" t="s">
        <v>153</v>
      </c>
      <c r="L1094"/>
      <c r="M1094"/>
      <c r="N1094"/>
      <c r="O1094"/>
      <c r="P1094"/>
      <c r="T1094">
        <v>1780</v>
      </c>
      <c r="U1094" s="7">
        <v>3</v>
      </c>
      <c r="V1094" t="s">
        <v>613</v>
      </c>
      <c r="W1094" s="257" t="s">
        <v>706</v>
      </c>
      <c r="X1094" t="s">
        <v>707</v>
      </c>
      <c r="Y1094" s="316" t="s">
        <v>74</v>
      </c>
      <c r="Z1094" s="8">
        <v>0.01</v>
      </c>
      <c r="AA1094" s="202" t="str">
        <f t="shared" si="18"/>
        <v>Лавровый лист</v>
      </c>
    </row>
    <row r="1095" spans="1:27" ht="15" customHeight="1" x14ac:dyDescent="0.25">
      <c r="A1095" t="s">
        <v>153</v>
      </c>
      <c r="L1095"/>
      <c r="M1095"/>
      <c r="N1095"/>
      <c r="O1095"/>
      <c r="P1095"/>
      <c r="T1095">
        <v>1781</v>
      </c>
      <c r="U1095" s="7">
        <v>3</v>
      </c>
      <c r="V1095" t="s">
        <v>613</v>
      </c>
      <c r="W1095" s="257" t="s">
        <v>706</v>
      </c>
      <c r="X1095" t="s">
        <v>707</v>
      </c>
      <c r="Y1095" s="316" t="s">
        <v>484</v>
      </c>
      <c r="Z1095" s="8">
        <v>0.01</v>
      </c>
      <c r="AA1095" s="202" t="str">
        <f t="shared" si="18"/>
        <v>Перец черный</v>
      </c>
    </row>
    <row r="1096" spans="1:27" ht="15" customHeight="1" x14ac:dyDescent="0.25">
      <c r="A1096" t="s">
        <v>153</v>
      </c>
      <c r="L1096"/>
      <c r="M1096"/>
      <c r="N1096"/>
      <c r="O1096"/>
      <c r="P1096"/>
      <c r="T1096">
        <v>1782</v>
      </c>
      <c r="U1096" s="7">
        <v>3</v>
      </c>
      <c r="V1096" t="s">
        <v>613</v>
      </c>
      <c r="W1096" s="257" t="s">
        <v>706</v>
      </c>
      <c r="X1096" t="s">
        <v>707</v>
      </c>
      <c r="Y1096" s="316" t="s">
        <v>1214</v>
      </c>
      <c r="Z1096" s="8">
        <v>48</v>
      </c>
      <c r="AA1096" s="202" t="str">
        <f t="shared" si="18"/>
        <v>Масса мясных и рыбных порций, г</v>
      </c>
    </row>
    <row r="1097" spans="1:27" ht="15" customHeight="1" x14ac:dyDescent="0.25">
      <c r="A1097" t="s">
        <v>153</v>
      </c>
      <c r="L1097"/>
      <c r="M1097"/>
      <c r="N1097"/>
      <c r="O1097"/>
      <c r="P1097"/>
      <c r="T1097">
        <v>2085</v>
      </c>
      <c r="U1097" s="7">
        <v>3</v>
      </c>
      <c r="V1097" t="s">
        <v>613</v>
      </c>
      <c r="W1097" s="257" t="s">
        <v>708</v>
      </c>
      <c r="X1097" t="s">
        <v>709</v>
      </c>
      <c r="Y1097" s="316" t="s">
        <v>66</v>
      </c>
      <c r="Z1097" s="8">
        <v>112.5</v>
      </c>
      <c r="AA1097" s="202" t="str">
        <f t="shared" si="18"/>
        <v>Свинина б/к</v>
      </c>
    </row>
    <row r="1098" spans="1:27" ht="15" customHeight="1" x14ac:dyDescent="0.25">
      <c r="A1098" t="s">
        <v>153</v>
      </c>
      <c r="L1098"/>
      <c r="M1098"/>
      <c r="N1098"/>
      <c r="O1098"/>
      <c r="P1098"/>
      <c r="T1098">
        <v>2086</v>
      </c>
      <c r="U1098" s="7">
        <v>3</v>
      </c>
      <c r="V1098" t="s">
        <v>613</v>
      </c>
      <c r="W1098" s="257" t="s">
        <v>708</v>
      </c>
      <c r="X1098" t="s">
        <v>709</v>
      </c>
      <c r="Y1098" s="316" t="s">
        <v>326</v>
      </c>
      <c r="Z1098" s="8">
        <v>2</v>
      </c>
      <c r="AA1098" s="202" t="str">
        <f t="shared" si="18"/>
        <v>Соль</v>
      </c>
    </row>
    <row r="1099" spans="1:27" ht="15" customHeight="1" x14ac:dyDescent="0.25">
      <c r="A1099" t="s">
        <v>153</v>
      </c>
      <c r="L1099"/>
      <c r="M1099"/>
      <c r="N1099"/>
      <c r="O1099"/>
      <c r="P1099"/>
      <c r="T1099">
        <v>2087</v>
      </c>
      <c r="U1099" s="7">
        <v>3</v>
      </c>
      <c r="V1099" t="s">
        <v>613</v>
      </c>
      <c r="W1099" s="257" t="s">
        <v>708</v>
      </c>
      <c r="X1099" t="s">
        <v>709</v>
      </c>
      <c r="Y1099" s="316" t="s">
        <v>1214</v>
      </c>
      <c r="Z1099" s="8">
        <v>58.5</v>
      </c>
      <c r="AA1099" s="202" t="str">
        <f t="shared" si="18"/>
        <v>Масса мясных и рыбных порций, г</v>
      </c>
    </row>
    <row r="1100" spans="1:27" ht="15" customHeight="1" x14ac:dyDescent="0.25">
      <c r="A1100" t="s">
        <v>153</v>
      </c>
      <c r="L1100"/>
      <c r="M1100"/>
      <c r="N1100"/>
      <c r="O1100"/>
      <c r="P1100"/>
      <c r="T1100">
        <v>2087</v>
      </c>
      <c r="U1100" s="7">
        <v>3</v>
      </c>
      <c r="V1100" t="s">
        <v>613</v>
      </c>
      <c r="W1100" s="257" t="s">
        <v>708</v>
      </c>
      <c r="X1100" t="s">
        <v>709</v>
      </c>
      <c r="Y1100" s="316" t="s">
        <v>1215</v>
      </c>
      <c r="Z1100" s="8">
        <v>108.5</v>
      </c>
      <c r="AA1100" s="202" t="str">
        <f t="shared" si="18"/>
        <v>Общая масса готового блюда, г</v>
      </c>
    </row>
    <row r="1101" spans="1:27" ht="15" customHeight="1" x14ac:dyDescent="0.25">
      <c r="A1101" t="s">
        <v>153</v>
      </c>
      <c r="L1101"/>
      <c r="M1101"/>
      <c r="N1101"/>
      <c r="O1101"/>
      <c r="P1101"/>
      <c r="T1101">
        <v>2085</v>
      </c>
      <c r="U1101" s="7">
        <v>3</v>
      </c>
      <c r="V1101" t="s">
        <v>613</v>
      </c>
      <c r="W1101" s="257" t="s">
        <v>708</v>
      </c>
      <c r="X1101" t="s">
        <v>710</v>
      </c>
      <c r="Y1101" s="316" t="s">
        <v>462</v>
      </c>
      <c r="Z1101" s="8">
        <v>150</v>
      </c>
      <c r="AA1101" s="202" t="str">
        <f t="shared" si="18"/>
        <v>Свинина на кости</v>
      </c>
    </row>
    <row r="1102" spans="1:27" ht="15" customHeight="1" x14ac:dyDescent="0.25">
      <c r="A1102" t="s">
        <v>153</v>
      </c>
      <c r="L1102"/>
      <c r="M1102"/>
      <c r="N1102"/>
      <c r="O1102"/>
      <c r="P1102"/>
      <c r="T1102">
        <v>2086</v>
      </c>
      <c r="U1102" s="7">
        <v>3</v>
      </c>
      <c r="V1102" t="s">
        <v>613</v>
      </c>
      <c r="W1102" s="257" t="s">
        <v>708</v>
      </c>
      <c r="X1102" t="s">
        <v>710</v>
      </c>
      <c r="Y1102" s="316" t="s">
        <v>326</v>
      </c>
      <c r="Z1102" s="8">
        <v>2</v>
      </c>
      <c r="AA1102" s="202" t="str">
        <f t="shared" si="18"/>
        <v>Соль</v>
      </c>
    </row>
    <row r="1103" spans="1:27" ht="15" customHeight="1" x14ac:dyDescent="0.25">
      <c r="A1103" t="s">
        <v>153</v>
      </c>
      <c r="L1103"/>
      <c r="M1103"/>
      <c r="N1103"/>
      <c r="O1103"/>
      <c r="P1103"/>
      <c r="T1103">
        <v>2087</v>
      </c>
      <c r="U1103" s="7">
        <v>3</v>
      </c>
      <c r="V1103" t="s">
        <v>613</v>
      </c>
      <c r="W1103" s="257" t="s">
        <v>708</v>
      </c>
      <c r="X1103" t="s">
        <v>710</v>
      </c>
      <c r="Y1103" s="316" t="s">
        <v>1214</v>
      </c>
      <c r="Z1103" s="8">
        <v>58.5</v>
      </c>
      <c r="AA1103" s="202" t="str">
        <f t="shared" si="18"/>
        <v>Масса мясных и рыбных порций, г</v>
      </c>
    </row>
    <row r="1104" spans="1:27" ht="15" customHeight="1" x14ac:dyDescent="0.25">
      <c r="A1104" t="s">
        <v>153</v>
      </c>
      <c r="L1104"/>
      <c r="M1104"/>
      <c r="N1104"/>
      <c r="O1104"/>
      <c r="P1104"/>
      <c r="T1104">
        <v>2087</v>
      </c>
      <c r="U1104" s="7">
        <v>3</v>
      </c>
      <c r="V1104" t="s">
        <v>613</v>
      </c>
      <c r="W1104" s="257" t="s">
        <v>708</v>
      </c>
      <c r="X1104" t="s">
        <v>710</v>
      </c>
      <c r="Y1104" s="316" t="s">
        <v>1215</v>
      </c>
      <c r="Z1104" s="8">
        <v>108.5</v>
      </c>
      <c r="AA1104" s="202" t="str">
        <f t="shared" si="18"/>
        <v>Общая масса готового блюда, г</v>
      </c>
    </row>
    <row r="1105" spans="1:27" ht="15" customHeight="1" x14ac:dyDescent="0.25">
      <c r="A1105" t="s">
        <v>153</v>
      </c>
      <c r="L1105"/>
      <c r="M1105"/>
      <c r="N1105"/>
      <c r="O1105"/>
      <c r="P1105"/>
      <c r="T1105">
        <v>2177</v>
      </c>
      <c r="U1105" s="7">
        <v>3</v>
      </c>
      <c r="V1105" t="s">
        <v>613</v>
      </c>
      <c r="W1105" s="257" t="s">
        <v>711</v>
      </c>
      <c r="X1105" t="s">
        <v>712</v>
      </c>
      <c r="Y1105" s="316" t="s">
        <v>65</v>
      </c>
      <c r="Z1105" s="8">
        <v>100</v>
      </c>
      <c r="AA1105" s="202" t="str">
        <f t="shared" si="18"/>
        <v>Мясо птицы</v>
      </c>
    </row>
    <row r="1106" spans="1:27" ht="15" customHeight="1" x14ac:dyDescent="0.25">
      <c r="A1106" t="s">
        <v>153</v>
      </c>
      <c r="L1106"/>
      <c r="M1106"/>
      <c r="N1106"/>
      <c r="O1106"/>
      <c r="P1106"/>
      <c r="T1106">
        <v>2178</v>
      </c>
      <c r="U1106" s="7">
        <v>3</v>
      </c>
      <c r="V1106" t="s">
        <v>613</v>
      </c>
      <c r="W1106" s="257" t="s">
        <v>711</v>
      </c>
      <c r="X1106" t="s">
        <v>712</v>
      </c>
      <c r="Y1106" s="316" t="s">
        <v>61</v>
      </c>
      <c r="Z1106" s="8">
        <v>3</v>
      </c>
      <c r="AA1106" s="202" t="str">
        <f t="shared" si="18"/>
        <v>Масло растительное</v>
      </c>
    </row>
    <row r="1107" spans="1:27" ht="15" customHeight="1" x14ac:dyDescent="0.25">
      <c r="A1107" t="s">
        <v>153</v>
      </c>
      <c r="L1107"/>
      <c r="M1107"/>
      <c r="N1107"/>
      <c r="O1107"/>
      <c r="P1107"/>
      <c r="T1107">
        <v>2179</v>
      </c>
      <c r="U1107" s="7">
        <v>3</v>
      </c>
      <c r="V1107" t="s">
        <v>613</v>
      </c>
      <c r="W1107" s="257" t="s">
        <v>711</v>
      </c>
      <c r="X1107" t="s">
        <v>712</v>
      </c>
      <c r="Y1107" s="316" t="s">
        <v>326</v>
      </c>
      <c r="Z1107" s="8">
        <v>2</v>
      </c>
      <c r="AA1107" s="202" t="str">
        <f t="shared" si="18"/>
        <v>Соль</v>
      </c>
    </row>
    <row r="1108" spans="1:27" ht="15" customHeight="1" x14ac:dyDescent="0.25">
      <c r="A1108" t="s">
        <v>153</v>
      </c>
      <c r="L1108"/>
      <c r="M1108"/>
      <c r="N1108"/>
      <c r="O1108"/>
      <c r="P1108"/>
      <c r="T1108">
        <v>2180</v>
      </c>
      <c r="U1108" s="7">
        <v>3</v>
      </c>
      <c r="V1108" t="s">
        <v>613</v>
      </c>
      <c r="W1108" s="257" t="s">
        <v>711</v>
      </c>
      <c r="X1108" t="s">
        <v>712</v>
      </c>
      <c r="Y1108" s="316" t="s">
        <v>484</v>
      </c>
      <c r="Z1108" s="8">
        <v>0.01</v>
      </c>
      <c r="AA1108" s="202" t="str">
        <f t="shared" si="18"/>
        <v>Перец черный</v>
      </c>
    </row>
    <row r="1109" spans="1:27" ht="15" customHeight="1" x14ac:dyDescent="0.25">
      <c r="A1109" t="s">
        <v>153</v>
      </c>
      <c r="L1109"/>
      <c r="M1109"/>
      <c r="N1109"/>
      <c r="O1109"/>
      <c r="P1109"/>
      <c r="T1109">
        <v>2181</v>
      </c>
      <c r="U1109" s="7">
        <v>3</v>
      </c>
      <c r="V1109" t="s">
        <v>613</v>
      </c>
      <c r="W1109" s="257" t="s">
        <v>711</v>
      </c>
      <c r="X1109" t="s">
        <v>712</v>
      </c>
      <c r="Y1109" s="316" t="s">
        <v>558</v>
      </c>
      <c r="Z1109" s="8">
        <v>61</v>
      </c>
      <c r="AA1109" s="202" t="str">
        <f t="shared" si="18"/>
        <v>Общая масса готового блюда, г</v>
      </c>
    </row>
    <row r="1110" spans="1:27" ht="15" customHeight="1" x14ac:dyDescent="0.25">
      <c r="A1110" t="s">
        <v>153</v>
      </c>
      <c r="L1110"/>
      <c r="M1110"/>
      <c r="N1110"/>
      <c r="O1110"/>
      <c r="P1110"/>
      <c r="T1110">
        <v>2181</v>
      </c>
      <c r="U1110" s="7">
        <v>3</v>
      </c>
      <c r="V1110" t="s">
        <v>613</v>
      </c>
      <c r="W1110" s="257" t="s">
        <v>711</v>
      </c>
      <c r="X1110" t="s">
        <v>712</v>
      </c>
      <c r="Y1110" s="316" t="s">
        <v>1214</v>
      </c>
      <c r="Z1110" s="8">
        <v>61</v>
      </c>
      <c r="AA1110" s="202" t="str">
        <f t="shared" si="18"/>
        <v>Масса мясных и рыбных порций, г</v>
      </c>
    </row>
    <row r="1111" spans="1:27" ht="15" customHeight="1" x14ac:dyDescent="0.25">
      <c r="A1111" t="s">
        <v>153</v>
      </c>
      <c r="L1111"/>
      <c r="M1111"/>
      <c r="N1111"/>
      <c r="O1111"/>
      <c r="P1111"/>
      <c r="T1111">
        <v>2173</v>
      </c>
      <c r="U1111" s="7">
        <v>3</v>
      </c>
      <c r="V1111" t="s">
        <v>613</v>
      </c>
      <c r="W1111" s="257" t="s">
        <v>713</v>
      </c>
      <c r="X1111" t="s">
        <v>714</v>
      </c>
      <c r="Y1111" s="316" t="s">
        <v>65</v>
      </c>
      <c r="Z1111" s="8">
        <v>100</v>
      </c>
      <c r="AA1111" s="202" t="str">
        <f t="shared" si="18"/>
        <v>Мясо птицы</v>
      </c>
    </row>
    <row r="1112" spans="1:27" ht="15" customHeight="1" x14ac:dyDescent="0.25">
      <c r="A1112" t="s">
        <v>153</v>
      </c>
      <c r="L1112"/>
      <c r="M1112"/>
      <c r="N1112"/>
      <c r="O1112"/>
      <c r="P1112"/>
      <c r="T1112">
        <v>2174</v>
      </c>
      <c r="U1112" s="7">
        <v>3</v>
      </c>
      <c r="V1112" t="s">
        <v>613</v>
      </c>
      <c r="W1112" s="257" t="s">
        <v>713</v>
      </c>
      <c r="X1112" t="s">
        <v>714</v>
      </c>
      <c r="Y1112" s="316" t="s">
        <v>326</v>
      </c>
      <c r="Z1112" s="8">
        <v>2</v>
      </c>
      <c r="AA1112" s="202" t="str">
        <f t="shared" si="18"/>
        <v>Соль</v>
      </c>
    </row>
    <row r="1113" spans="1:27" ht="15" customHeight="1" x14ac:dyDescent="0.25">
      <c r="A1113" t="s">
        <v>153</v>
      </c>
      <c r="L1113"/>
      <c r="M1113"/>
      <c r="N1113"/>
      <c r="O1113"/>
      <c r="P1113"/>
      <c r="T1113">
        <v>2175</v>
      </c>
      <c r="U1113" s="7">
        <v>3</v>
      </c>
      <c r="V1113" t="s">
        <v>613</v>
      </c>
      <c r="W1113" s="257" t="s">
        <v>713</v>
      </c>
      <c r="X1113" t="s">
        <v>714</v>
      </c>
      <c r="Y1113" s="316" t="s">
        <v>484</v>
      </c>
      <c r="Z1113" s="8">
        <v>0.01</v>
      </c>
      <c r="AA1113" s="202" t="str">
        <f t="shared" si="18"/>
        <v>Перец черный</v>
      </c>
    </row>
    <row r="1114" spans="1:27" ht="15" customHeight="1" x14ac:dyDescent="0.25">
      <c r="A1114" t="s">
        <v>153</v>
      </c>
      <c r="L1114"/>
      <c r="M1114"/>
      <c r="N1114"/>
      <c r="O1114"/>
      <c r="P1114"/>
      <c r="T1114">
        <v>2176</v>
      </c>
      <c r="U1114" s="7">
        <v>3</v>
      </c>
      <c r="V1114" t="s">
        <v>613</v>
      </c>
      <c r="W1114" s="257" t="s">
        <v>713</v>
      </c>
      <c r="X1114" t="s">
        <v>714</v>
      </c>
      <c r="Y1114" s="316" t="s">
        <v>558</v>
      </c>
      <c r="Z1114" s="8">
        <v>64</v>
      </c>
      <c r="AA1114" s="202" t="str">
        <f t="shared" si="18"/>
        <v>Общая масса готового блюда, г</v>
      </c>
    </row>
    <row r="1115" spans="1:27" ht="15" customHeight="1" x14ac:dyDescent="0.25">
      <c r="A1115" t="s">
        <v>153</v>
      </c>
      <c r="L1115"/>
      <c r="M1115"/>
      <c r="N1115"/>
      <c r="O1115"/>
      <c r="P1115"/>
      <c r="T1115">
        <v>2176</v>
      </c>
      <c r="U1115" s="7">
        <v>3</v>
      </c>
      <c r="V1115" t="s">
        <v>613</v>
      </c>
      <c r="W1115" s="257" t="s">
        <v>713</v>
      </c>
      <c r="X1115" t="s">
        <v>714</v>
      </c>
      <c r="Y1115" s="316" t="s">
        <v>1214</v>
      </c>
      <c r="Z1115" s="8">
        <v>64</v>
      </c>
      <c r="AA1115" s="202" t="str">
        <f t="shared" si="18"/>
        <v>Масса мясных и рыбных порций, г</v>
      </c>
    </row>
    <row r="1116" spans="1:27" ht="15" customHeight="1" x14ac:dyDescent="0.25">
      <c r="A1116" t="s">
        <v>153</v>
      </c>
      <c r="L1116"/>
      <c r="M1116"/>
      <c r="N1116"/>
      <c r="O1116"/>
      <c r="P1116"/>
      <c r="T1116">
        <v>2182</v>
      </c>
      <c r="U1116" s="7">
        <v>3</v>
      </c>
      <c r="V1116" t="s">
        <v>613</v>
      </c>
      <c r="W1116" s="257" t="s">
        <v>715</v>
      </c>
      <c r="X1116" t="s">
        <v>716</v>
      </c>
      <c r="Y1116" s="316" t="s">
        <v>65</v>
      </c>
      <c r="Z1116" s="8">
        <v>100</v>
      </c>
      <c r="AA1116" s="202" t="str">
        <f t="shared" si="18"/>
        <v>Мясо птицы</v>
      </c>
    </row>
    <row r="1117" spans="1:27" ht="15" customHeight="1" x14ac:dyDescent="0.25">
      <c r="A1117" t="s">
        <v>153</v>
      </c>
      <c r="L1117"/>
      <c r="M1117"/>
      <c r="N1117"/>
      <c r="O1117"/>
      <c r="P1117"/>
      <c r="T1117">
        <v>2183</v>
      </c>
      <c r="U1117" s="7">
        <v>3</v>
      </c>
      <c r="V1117" t="s">
        <v>613</v>
      </c>
      <c r="W1117" s="257" t="s">
        <v>715</v>
      </c>
      <c r="X1117" t="s">
        <v>716</v>
      </c>
      <c r="Y1117" s="316" t="s">
        <v>61</v>
      </c>
      <c r="Z1117" s="8">
        <v>2</v>
      </c>
      <c r="AA1117" s="202" t="str">
        <f t="shared" si="18"/>
        <v>Масло растительное</v>
      </c>
    </row>
    <row r="1118" spans="1:27" ht="15" customHeight="1" x14ac:dyDescent="0.25">
      <c r="A1118" t="s">
        <v>153</v>
      </c>
      <c r="L1118"/>
      <c r="M1118"/>
      <c r="N1118"/>
      <c r="O1118"/>
      <c r="P1118"/>
      <c r="T1118">
        <v>2184</v>
      </c>
      <c r="U1118" s="7">
        <v>3</v>
      </c>
      <c r="V1118" t="s">
        <v>613</v>
      </c>
      <c r="W1118" s="257" t="s">
        <v>715</v>
      </c>
      <c r="X1118" t="s">
        <v>716</v>
      </c>
      <c r="Y1118" s="316" t="s">
        <v>46</v>
      </c>
      <c r="Z1118" s="8">
        <v>10</v>
      </c>
      <c r="AA1118" s="202" t="str">
        <f t="shared" si="18"/>
        <v>Морковь</v>
      </c>
    </row>
    <row r="1119" spans="1:27" ht="15" customHeight="1" x14ac:dyDescent="0.25">
      <c r="A1119" t="s">
        <v>153</v>
      </c>
      <c r="L1119"/>
      <c r="M1119"/>
      <c r="N1119"/>
      <c r="O1119"/>
      <c r="P1119"/>
      <c r="T1119">
        <v>2185</v>
      </c>
      <c r="U1119" s="7">
        <v>3</v>
      </c>
      <c r="V1119" t="s">
        <v>613</v>
      </c>
      <c r="W1119" s="257" t="s">
        <v>715</v>
      </c>
      <c r="X1119" t="s">
        <v>716</v>
      </c>
      <c r="Y1119" s="316" t="s">
        <v>32</v>
      </c>
      <c r="Z1119" s="8">
        <v>10</v>
      </c>
      <c r="AA1119" s="202" t="str">
        <f t="shared" si="18"/>
        <v>Лук репчатый</v>
      </c>
    </row>
    <row r="1120" spans="1:27" ht="15" customHeight="1" x14ac:dyDescent="0.25">
      <c r="A1120" t="s">
        <v>153</v>
      </c>
      <c r="L1120"/>
      <c r="M1120"/>
      <c r="N1120"/>
      <c r="O1120"/>
      <c r="P1120"/>
      <c r="T1120">
        <v>2186</v>
      </c>
      <c r="U1120" s="7">
        <v>3</v>
      </c>
      <c r="V1120" t="s">
        <v>613</v>
      </c>
      <c r="W1120" s="257" t="s">
        <v>715</v>
      </c>
      <c r="X1120" t="s">
        <v>716</v>
      </c>
      <c r="Y1120" s="316" t="s">
        <v>76</v>
      </c>
      <c r="Z1120" s="8">
        <v>2</v>
      </c>
      <c r="AA1120" s="202" t="str">
        <f t="shared" si="18"/>
        <v>Томат-паста</v>
      </c>
    </row>
    <row r="1121" spans="1:27" ht="15" customHeight="1" x14ac:dyDescent="0.25">
      <c r="A1121" t="s">
        <v>153</v>
      </c>
      <c r="L1121"/>
      <c r="M1121"/>
      <c r="N1121"/>
      <c r="O1121"/>
      <c r="P1121"/>
      <c r="T1121">
        <v>2187</v>
      </c>
      <c r="U1121" s="7">
        <v>3</v>
      </c>
      <c r="V1121" t="s">
        <v>613</v>
      </c>
      <c r="W1121" s="257" t="s">
        <v>715</v>
      </c>
      <c r="X1121" t="s">
        <v>716</v>
      </c>
      <c r="Y1121" s="316" t="s">
        <v>434</v>
      </c>
      <c r="Z1121" s="8">
        <v>2</v>
      </c>
      <c r="AA1121" s="202" t="str">
        <f t="shared" si="18"/>
        <v>Мука пшеничная 1 с</v>
      </c>
    </row>
    <row r="1122" spans="1:27" ht="15" customHeight="1" x14ac:dyDescent="0.25">
      <c r="A1122" t="s">
        <v>153</v>
      </c>
      <c r="L1122"/>
      <c r="M1122"/>
      <c r="N1122"/>
      <c r="O1122"/>
      <c r="P1122"/>
      <c r="T1122">
        <v>2188</v>
      </c>
      <c r="U1122" s="7">
        <v>3</v>
      </c>
      <c r="V1122" t="s">
        <v>613</v>
      </c>
      <c r="W1122" s="257" t="s">
        <v>715</v>
      </c>
      <c r="X1122" t="s">
        <v>716</v>
      </c>
      <c r="Y1122" s="316" t="s">
        <v>484</v>
      </c>
      <c r="Z1122" s="8">
        <v>0.01</v>
      </c>
      <c r="AA1122" s="202" t="str">
        <f t="shared" si="18"/>
        <v>Перец черный</v>
      </c>
    </row>
    <row r="1123" spans="1:27" ht="15" customHeight="1" x14ac:dyDescent="0.25">
      <c r="A1123" t="s">
        <v>153</v>
      </c>
      <c r="L1123"/>
      <c r="M1123"/>
      <c r="N1123"/>
      <c r="O1123"/>
      <c r="P1123"/>
      <c r="T1123">
        <v>2189</v>
      </c>
      <c r="U1123" s="7">
        <v>3</v>
      </c>
      <c r="V1123" t="s">
        <v>613</v>
      </c>
      <c r="W1123" s="257" t="s">
        <v>715</v>
      </c>
      <c r="X1123" t="s">
        <v>716</v>
      </c>
      <c r="Y1123" s="316" t="s">
        <v>1215</v>
      </c>
      <c r="Z1123" s="8">
        <v>111.3</v>
      </c>
      <c r="AA1123" s="202" t="str">
        <f t="shared" si="18"/>
        <v>Общая масса готового блюда, г</v>
      </c>
    </row>
    <row r="1124" spans="1:27" ht="15" customHeight="1" x14ac:dyDescent="0.25">
      <c r="A1124" t="s">
        <v>153</v>
      </c>
      <c r="L1124"/>
      <c r="M1124"/>
      <c r="N1124"/>
      <c r="O1124"/>
      <c r="P1124"/>
      <c r="T1124">
        <v>2189</v>
      </c>
      <c r="U1124" s="7">
        <v>3</v>
      </c>
      <c r="V1124" t="s">
        <v>613</v>
      </c>
      <c r="W1124" s="257" t="s">
        <v>715</v>
      </c>
      <c r="X1124" t="s">
        <v>716</v>
      </c>
      <c r="Y1124" s="316" t="s">
        <v>1214</v>
      </c>
      <c r="Z1124" s="8">
        <v>61.3</v>
      </c>
      <c r="AA1124" s="202" t="str">
        <f t="shared" si="18"/>
        <v>Масса мясных и рыбных порций, г</v>
      </c>
    </row>
    <row r="1125" spans="1:27" ht="15" customHeight="1" x14ac:dyDescent="0.25">
      <c r="A1125" t="s">
        <v>153</v>
      </c>
      <c r="L1125"/>
      <c r="M1125"/>
      <c r="N1125"/>
      <c r="O1125"/>
      <c r="P1125"/>
      <c r="T1125">
        <v>1905</v>
      </c>
      <c r="U1125" s="7">
        <v>3</v>
      </c>
      <c r="V1125" t="s">
        <v>613</v>
      </c>
      <c r="W1125" s="257" t="s">
        <v>717</v>
      </c>
      <c r="X1125" t="s">
        <v>718</v>
      </c>
      <c r="Y1125" s="316" t="s">
        <v>454</v>
      </c>
      <c r="Z1125" s="8">
        <v>0.75</v>
      </c>
      <c r="AA1125" s="202" t="str">
        <f t="shared" si="18"/>
        <v>Говядина б/к</v>
      </c>
    </row>
    <row r="1126" spans="1:27" ht="15" customHeight="1" x14ac:dyDescent="0.25">
      <c r="A1126" t="s">
        <v>153</v>
      </c>
      <c r="L1126"/>
      <c r="M1126"/>
      <c r="N1126"/>
      <c r="O1126"/>
      <c r="P1126"/>
      <c r="T1126">
        <v>1906</v>
      </c>
      <c r="U1126" s="7">
        <v>3</v>
      </c>
      <c r="V1126" t="s">
        <v>613</v>
      </c>
      <c r="W1126" s="257" t="s">
        <v>717</v>
      </c>
      <c r="X1126" t="s">
        <v>718</v>
      </c>
      <c r="Y1126" s="316" t="s">
        <v>61</v>
      </c>
      <c r="Z1126" s="8">
        <v>5</v>
      </c>
      <c r="AA1126" s="202" t="str">
        <f t="shared" si="18"/>
        <v>Масло растительное</v>
      </c>
    </row>
    <row r="1127" spans="1:27" ht="15" customHeight="1" x14ac:dyDescent="0.25">
      <c r="A1127" t="s">
        <v>153</v>
      </c>
      <c r="L1127"/>
      <c r="M1127"/>
      <c r="N1127"/>
      <c r="O1127"/>
      <c r="P1127"/>
      <c r="T1127">
        <v>1907</v>
      </c>
      <c r="U1127" s="7">
        <v>3</v>
      </c>
      <c r="V1127" t="s">
        <v>613</v>
      </c>
      <c r="W1127" s="257" t="s">
        <v>717</v>
      </c>
      <c r="X1127" t="s">
        <v>718</v>
      </c>
      <c r="Y1127" s="316" t="s">
        <v>78</v>
      </c>
      <c r="Z1127" s="8">
        <v>5</v>
      </c>
      <c r="AA1127" s="202" t="str">
        <f t="shared" si="18"/>
        <v>Чернослив</v>
      </c>
    </row>
    <row r="1128" spans="1:27" ht="15" customHeight="1" x14ac:dyDescent="0.25">
      <c r="A1128" t="s">
        <v>153</v>
      </c>
      <c r="L1128"/>
      <c r="M1128"/>
      <c r="N1128"/>
      <c r="O1128"/>
      <c r="P1128"/>
      <c r="T1128">
        <v>1908</v>
      </c>
      <c r="U1128" s="7">
        <v>3</v>
      </c>
      <c r="V1128" t="s">
        <v>613</v>
      </c>
      <c r="W1128" s="257" t="s">
        <v>717</v>
      </c>
      <c r="X1128" t="s">
        <v>718</v>
      </c>
      <c r="Y1128" s="316" t="s">
        <v>46</v>
      </c>
      <c r="Z1128" s="8">
        <v>10</v>
      </c>
      <c r="AA1128" s="202" t="str">
        <f t="shared" si="18"/>
        <v>Морковь</v>
      </c>
    </row>
    <row r="1129" spans="1:27" ht="15" customHeight="1" x14ac:dyDescent="0.25">
      <c r="A1129" t="s">
        <v>153</v>
      </c>
      <c r="L1129"/>
      <c r="M1129"/>
      <c r="N1129"/>
      <c r="O1129"/>
      <c r="P1129"/>
      <c r="T1129">
        <v>1909</v>
      </c>
      <c r="U1129" s="7">
        <v>3</v>
      </c>
      <c r="V1129" t="s">
        <v>613</v>
      </c>
      <c r="W1129" s="257" t="s">
        <v>717</v>
      </c>
      <c r="X1129" t="s">
        <v>718</v>
      </c>
      <c r="Y1129" s="316" t="s">
        <v>32</v>
      </c>
      <c r="Z1129" s="8">
        <v>10</v>
      </c>
      <c r="AA1129" s="202" t="str">
        <f t="shared" si="18"/>
        <v>Лук репчатый</v>
      </c>
    </row>
    <row r="1130" spans="1:27" ht="15" customHeight="1" x14ac:dyDescent="0.25">
      <c r="A1130" t="s">
        <v>153</v>
      </c>
      <c r="L1130"/>
      <c r="M1130"/>
      <c r="N1130"/>
      <c r="O1130"/>
      <c r="P1130"/>
      <c r="T1130">
        <v>1910</v>
      </c>
      <c r="U1130" s="7">
        <v>3</v>
      </c>
      <c r="V1130" t="s">
        <v>613</v>
      </c>
      <c r="W1130" s="257" t="s">
        <v>717</v>
      </c>
      <c r="X1130" t="s">
        <v>718</v>
      </c>
      <c r="Y1130" s="316" t="s">
        <v>434</v>
      </c>
      <c r="Z1130" s="8">
        <v>2</v>
      </c>
      <c r="AA1130" s="202" t="str">
        <f t="shared" si="18"/>
        <v>Мука пшеничная 1 с</v>
      </c>
    </row>
    <row r="1131" spans="1:27" ht="15" customHeight="1" x14ac:dyDescent="0.25">
      <c r="A1131" t="s">
        <v>153</v>
      </c>
      <c r="L1131"/>
      <c r="M1131"/>
      <c r="N1131"/>
      <c r="O1131"/>
      <c r="P1131"/>
      <c r="T1131">
        <v>1911</v>
      </c>
      <c r="U1131" s="7">
        <v>3</v>
      </c>
      <c r="V1131" t="s">
        <v>613</v>
      </c>
      <c r="W1131" s="257" t="s">
        <v>717</v>
      </c>
      <c r="X1131" t="s">
        <v>718</v>
      </c>
      <c r="Y1131" s="316" t="s">
        <v>76</v>
      </c>
      <c r="Z1131" s="8">
        <v>2</v>
      </c>
      <c r="AA1131" s="202" t="str">
        <f t="shared" si="18"/>
        <v>Томат-паста</v>
      </c>
    </row>
    <row r="1132" spans="1:27" ht="15" customHeight="1" x14ac:dyDescent="0.25">
      <c r="A1132" t="s">
        <v>153</v>
      </c>
      <c r="L1132"/>
      <c r="M1132"/>
      <c r="N1132"/>
      <c r="O1132"/>
      <c r="P1132"/>
      <c r="T1132">
        <v>1912</v>
      </c>
      <c r="U1132" s="7">
        <v>3</v>
      </c>
      <c r="V1132" t="s">
        <v>613</v>
      </c>
      <c r="W1132" s="257" t="s">
        <v>717</v>
      </c>
      <c r="X1132" t="s">
        <v>718</v>
      </c>
      <c r="Y1132" s="316" t="s">
        <v>326</v>
      </c>
      <c r="Z1132" s="8">
        <v>2</v>
      </c>
      <c r="AA1132" s="202" t="str">
        <f t="shared" si="18"/>
        <v>Соль</v>
      </c>
    </row>
    <row r="1133" spans="1:27" ht="15" customHeight="1" x14ac:dyDescent="0.25">
      <c r="A1133" t="s">
        <v>153</v>
      </c>
      <c r="L1133"/>
      <c r="M1133"/>
      <c r="N1133"/>
      <c r="O1133"/>
      <c r="P1133"/>
      <c r="T1133">
        <v>1913</v>
      </c>
      <c r="U1133" s="7">
        <v>3</v>
      </c>
      <c r="V1133" t="s">
        <v>613</v>
      </c>
      <c r="W1133" s="257" t="s">
        <v>717</v>
      </c>
      <c r="X1133" t="s">
        <v>718</v>
      </c>
      <c r="Y1133" s="316" t="s">
        <v>74</v>
      </c>
      <c r="Z1133" s="8">
        <v>0.02</v>
      </c>
      <c r="AA1133" s="202" t="str">
        <f t="shared" si="18"/>
        <v>Лавровый лист</v>
      </c>
    </row>
    <row r="1134" spans="1:27" ht="15" customHeight="1" x14ac:dyDescent="0.25">
      <c r="A1134" t="s">
        <v>153</v>
      </c>
      <c r="L1134"/>
      <c r="M1134"/>
      <c r="N1134"/>
      <c r="O1134"/>
      <c r="P1134"/>
      <c r="T1134">
        <v>1914</v>
      </c>
      <c r="U1134" s="7">
        <v>3</v>
      </c>
      <c r="V1134" t="s">
        <v>613</v>
      </c>
      <c r="W1134" s="257" t="s">
        <v>717</v>
      </c>
      <c r="X1134" t="s">
        <v>718</v>
      </c>
      <c r="Y1134" s="316" t="s">
        <v>484</v>
      </c>
      <c r="Z1134" s="8">
        <v>0.01</v>
      </c>
      <c r="AA1134" s="202" t="str">
        <f t="shared" si="18"/>
        <v>Перец черный</v>
      </c>
    </row>
    <row r="1135" spans="1:27" ht="15" customHeight="1" x14ac:dyDescent="0.25">
      <c r="A1135" t="s">
        <v>153</v>
      </c>
      <c r="L1135"/>
      <c r="M1135"/>
      <c r="N1135"/>
      <c r="O1135"/>
      <c r="P1135"/>
      <c r="T1135">
        <v>1915</v>
      </c>
      <c r="U1135" s="7">
        <v>3</v>
      </c>
      <c r="V1135" t="s">
        <v>613</v>
      </c>
      <c r="W1135" s="257" t="s">
        <v>717</v>
      </c>
      <c r="X1135" t="s">
        <v>718</v>
      </c>
      <c r="Y1135" s="316" t="s">
        <v>1214</v>
      </c>
      <c r="Z1135" s="8">
        <v>44.2</v>
      </c>
      <c r="AA1135" s="202" t="str">
        <f t="shared" si="18"/>
        <v>Масса мясных и рыбных порций, г</v>
      </c>
    </row>
    <row r="1136" spans="1:27" ht="15" customHeight="1" x14ac:dyDescent="0.25">
      <c r="A1136" t="s">
        <v>153</v>
      </c>
      <c r="L1136"/>
      <c r="M1136"/>
      <c r="N1136"/>
      <c r="O1136"/>
      <c r="P1136"/>
      <c r="T1136">
        <v>1915</v>
      </c>
      <c r="U1136" s="7">
        <v>3</v>
      </c>
      <c r="V1136" t="s">
        <v>613</v>
      </c>
      <c r="W1136" s="257" t="s">
        <v>717</v>
      </c>
      <c r="X1136" t="s">
        <v>718</v>
      </c>
      <c r="Y1136" s="316" t="s">
        <v>1215</v>
      </c>
      <c r="Z1136" s="8">
        <v>94.2</v>
      </c>
      <c r="AA1136" s="202" t="str">
        <f t="shared" si="18"/>
        <v>Общая масса готового блюда, г</v>
      </c>
    </row>
    <row r="1137" spans="1:27" ht="15" customHeight="1" x14ac:dyDescent="0.25">
      <c r="A1137" t="s">
        <v>153</v>
      </c>
      <c r="L1137"/>
      <c r="M1137"/>
      <c r="N1137"/>
      <c r="O1137"/>
      <c r="P1137"/>
      <c r="T1137">
        <v>1894</v>
      </c>
      <c r="U1137" s="7">
        <v>3</v>
      </c>
      <c r="V1137" t="s">
        <v>613</v>
      </c>
      <c r="W1137" s="257" t="s">
        <v>719</v>
      </c>
      <c r="X1137" t="s">
        <v>720</v>
      </c>
      <c r="Y1137" s="316" t="s">
        <v>455</v>
      </c>
      <c r="Z1137" s="8">
        <v>100</v>
      </c>
      <c r="AA1137" s="202" t="str">
        <f t="shared" si="18"/>
        <v>Говядина н/к</v>
      </c>
    </row>
    <row r="1138" spans="1:27" ht="15" customHeight="1" x14ac:dyDescent="0.25">
      <c r="A1138" t="s">
        <v>153</v>
      </c>
      <c r="L1138"/>
      <c r="M1138"/>
      <c r="N1138"/>
      <c r="O1138"/>
      <c r="P1138"/>
      <c r="T1138">
        <v>1895</v>
      </c>
      <c r="U1138" s="7">
        <v>3</v>
      </c>
      <c r="V1138" t="s">
        <v>613</v>
      </c>
      <c r="W1138" s="257" t="s">
        <v>719</v>
      </c>
      <c r="X1138" t="s">
        <v>720</v>
      </c>
      <c r="Y1138" s="316" t="s">
        <v>61</v>
      </c>
      <c r="Z1138" s="8">
        <v>5</v>
      </c>
      <c r="AA1138" s="202" t="str">
        <f t="shared" si="18"/>
        <v>Масло растительное</v>
      </c>
    </row>
    <row r="1139" spans="1:27" ht="15" customHeight="1" x14ac:dyDescent="0.25">
      <c r="A1139" t="s">
        <v>153</v>
      </c>
      <c r="L1139"/>
      <c r="M1139"/>
      <c r="N1139"/>
      <c r="O1139"/>
      <c r="P1139"/>
      <c r="T1139">
        <v>1896</v>
      </c>
      <c r="U1139" s="7">
        <v>3</v>
      </c>
      <c r="V1139" t="s">
        <v>613</v>
      </c>
      <c r="W1139" s="257" t="s">
        <v>719</v>
      </c>
      <c r="X1139" t="s">
        <v>720</v>
      </c>
      <c r="Y1139" s="316" t="s">
        <v>78</v>
      </c>
      <c r="Z1139" s="8">
        <v>5</v>
      </c>
      <c r="AA1139" s="202" t="str">
        <f t="shared" si="18"/>
        <v>Чернослив</v>
      </c>
    </row>
    <row r="1140" spans="1:27" ht="15" customHeight="1" x14ac:dyDescent="0.25">
      <c r="A1140" t="s">
        <v>153</v>
      </c>
      <c r="L1140"/>
      <c r="M1140"/>
      <c r="N1140"/>
      <c r="O1140"/>
      <c r="P1140"/>
      <c r="T1140">
        <v>1897</v>
      </c>
      <c r="U1140" s="7">
        <v>3</v>
      </c>
      <c r="V1140" t="s">
        <v>613</v>
      </c>
      <c r="W1140" s="257" t="s">
        <v>719</v>
      </c>
      <c r="X1140" t="s">
        <v>720</v>
      </c>
      <c r="Y1140" s="316" t="s">
        <v>46</v>
      </c>
      <c r="Z1140" s="8">
        <v>10</v>
      </c>
      <c r="AA1140" s="202" t="str">
        <f t="shared" si="18"/>
        <v>Морковь</v>
      </c>
    </row>
    <row r="1141" spans="1:27" ht="15" customHeight="1" x14ac:dyDescent="0.25">
      <c r="A1141" t="s">
        <v>153</v>
      </c>
      <c r="L1141"/>
      <c r="M1141"/>
      <c r="N1141"/>
      <c r="O1141"/>
      <c r="P1141"/>
      <c r="T1141">
        <v>1898</v>
      </c>
      <c r="U1141" s="7">
        <v>3</v>
      </c>
      <c r="V1141" t="s">
        <v>613</v>
      </c>
      <c r="W1141" s="257" t="s">
        <v>719</v>
      </c>
      <c r="X1141" t="s">
        <v>720</v>
      </c>
      <c r="Y1141" s="316" t="s">
        <v>32</v>
      </c>
      <c r="Z1141" s="8">
        <v>10</v>
      </c>
      <c r="AA1141" s="202" t="str">
        <f t="shared" si="18"/>
        <v>Лук репчатый</v>
      </c>
    </row>
    <row r="1142" spans="1:27" ht="15" customHeight="1" x14ac:dyDescent="0.25">
      <c r="A1142" t="s">
        <v>153</v>
      </c>
      <c r="L1142"/>
      <c r="M1142"/>
      <c r="N1142"/>
      <c r="O1142"/>
      <c r="P1142"/>
      <c r="T1142">
        <v>1899</v>
      </c>
      <c r="U1142" s="7">
        <v>3</v>
      </c>
      <c r="V1142" t="s">
        <v>613</v>
      </c>
      <c r="W1142" s="257" t="s">
        <v>719</v>
      </c>
      <c r="X1142" t="s">
        <v>720</v>
      </c>
      <c r="Y1142" s="316" t="s">
        <v>434</v>
      </c>
      <c r="Z1142" s="8">
        <v>2</v>
      </c>
      <c r="AA1142" s="202" t="str">
        <f t="shared" si="18"/>
        <v>Мука пшеничная 1 с</v>
      </c>
    </row>
    <row r="1143" spans="1:27" ht="15" customHeight="1" x14ac:dyDescent="0.25">
      <c r="A1143" t="s">
        <v>153</v>
      </c>
      <c r="L1143"/>
      <c r="M1143"/>
      <c r="N1143"/>
      <c r="O1143"/>
      <c r="P1143"/>
      <c r="T1143">
        <v>1900</v>
      </c>
      <c r="U1143" s="7">
        <v>3</v>
      </c>
      <c r="V1143" t="s">
        <v>613</v>
      </c>
      <c r="W1143" s="257" t="s">
        <v>719</v>
      </c>
      <c r="X1143" t="s">
        <v>720</v>
      </c>
      <c r="Y1143" s="316" t="s">
        <v>76</v>
      </c>
      <c r="Z1143" s="8">
        <v>2</v>
      </c>
      <c r="AA1143" s="202" t="str">
        <f t="shared" si="18"/>
        <v>Томат-паста</v>
      </c>
    </row>
    <row r="1144" spans="1:27" ht="15" customHeight="1" x14ac:dyDescent="0.25">
      <c r="A1144" t="s">
        <v>153</v>
      </c>
      <c r="L1144"/>
      <c r="M1144"/>
      <c r="N1144"/>
      <c r="O1144"/>
      <c r="P1144"/>
      <c r="T1144">
        <v>1901</v>
      </c>
      <c r="U1144" s="7">
        <v>3</v>
      </c>
      <c r="V1144" t="s">
        <v>613</v>
      </c>
      <c r="W1144" s="257" t="s">
        <v>719</v>
      </c>
      <c r="X1144" t="s">
        <v>720</v>
      </c>
      <c r="Y1144" s="316" t="s">
        <v>326</v>
      </c>
      <c r="Z1144" s="8">
        <v>2</v>
      </c>
      <c r="AA1144" s="202" t="str">
        <f t="shared" si="18"/>
        <v>Соль</v>
      </c>
    </row>
    <row r="1145" spans="1:27" ht="15" customHeight="1" x14ac:dyDescent="0.25">
      <c r="A1145" t="s">
        <v>153</v>
      </c>
      <c r="L1145"/>
      <c r="M1145"/>
      <c r="N1145"/>
      <c r="O1145"/>
      <c r="P1145"/>
      <c r="T1145">
        <v>1902</v>
      </c>
      <c r="U1145" s="7">
        <v>3</v>
      </c>
      <c r="V1145" t="s">
        <v>613</v>
      </c>
      <c r="W1145" s="257" t="s">
        <v>719</v>
      </c>
      <c r="X1145" t="s">
        <v>720</v>
      </c>
      <c r="Y1145" s="316" t="s">
        <v>74</v>
      </c>
      <c r="Z1145" s="8">
        <v>0.02</v>
      </c>
      <c r="AA1145" s="202" t="str">
        <f t="shared" si="18"/>
        <v>Лавровый лист</v>
      </c>
    </row>
    <row r="1146" spans="1:27" ht="15" customHeight="1" x14ac:dyDescent="0.25">
      <c r="A1146" t="s">
        <v>153</v>
      </c>
      <c r="L1146"/>
      <c r="M1146"/>
      <c r="N1146"/>
      <c r="O1146"/>
      <c r="P1146"/>
      <c r="T1146">
        <v>1903</v>
      </c>
      <c r="U1146" s="7">
        <v>3</v>
      </c>
      <c r="V1146" t="s">
        <v>613</v>
      </c>
      <c r="W1146" s="257" t="s">
        <v>719</v>
      </c>
      <c r="X1146" t="s">
        <v>720</v>
      </c>
      <c r="Y1146" s="316" t="s">
        <v>484</v>
      </c>
      <c r="Z1146" s="8">
        <v>0.01</v>
      </c>
      <c r="AA1146" s="202" t="str">
        <f t="shared" si="18"/>
        <v>Перец черный</v>
      </c>
    </row>
    <row r="1147" spans="1:27" ht="15" customHeight="1" x14ac:dyDescent="0.25">
      <c r="A1147" t="s">
        <v>153</v>
      </c>
      <c r="L1147"/>
      <c r="M1147"/>
      <c r="N1147"/>
      <c r="O1147"/>
      <c r="P1147"/>
      <c r="T1147">
        <v>1904</v>
      </c>
      <c r="U1147" s="7">
        <v>3</v>
      </c>
      <c r="V1147" t="s">
        <v>613</v>
      </c>
      <c r="W1147" s="257" t="s">
        <v>719</v>
      </c>
      <c r="X1147" t="s">
        <v>720</v>
      </c>
      <c r="Y1147" s="316" t="s">
        <v>1214</v>
      </c>
      <c r="Z1147" s="8">
        <v>44.2</v>
      </c>
      <c r="AA1147" s="202" t="str">
        <f t="shared" si="18"/>
        <v>Масса мясных и рыбных порций, г</v>
      </c>
    </row>
    <row r="1148" spans="1:27" ht="15" customHeight="1" x14ac:dyDescent="0.25">
      <c r="A1148" t="s">
        <v>153</v>
      </c>
      <c r="L1148"/>
      <c r="M1148"/>
      <c r="N1148"/>
      <c r="O1148"/>
      <c r="P1148"/>
      <c r="T1148">
        <v>1904</v>
      </c>
      <c r="U1148" s="7">
        <v>3</v>
      </c>
      <c r="V1148" t="s">
        <v>613</v>
      </c>
      <c r="W1148" s="257" t="s">
        <v>719</v>
      </c>
      <c r="X1148" t="s">
        <v>720</v>
      </c>
      <c r="Y1148" s="316" t="s">
        <v>1215</v>
      </c>
      <c r="Z1148" s="8">
        <v>94.2</v>
      </c>
      <c r="AA1148" s="202" t="str">
        <f t="shared" si="18"/>
        <v>Общая масса готового блюда, г</v>
      </c>
    </row>
    <row r="1149" spans="1:27" ht="15" customHeight="1" x14ac:dyDescent="0.25">
      <c r="A1149" t="s">
        <v>153</v>
      </c>
      <c r="L1149"/>
      <c r="M1149"/>
      <c r="N1149"/>
      <c r="O1149"/>
      <c r="P1149"/>
      <c r="T1149">
        <v>1864</v>
      </c>
      <c r="U1149" s="7">
        <v>3</v>
      </c>
      <c r="V1149" t="s">
        <v>613</v>
      </c>
      <c r="W1149" s="257" t="s">
        <v>721</v>
      </c>
      <c r="X1149" t="s">
        <v>722</v>
      </c>
      <c r="Y1149" s="316" t="s">
        <v>454</v>
      </c>
      <c r="Z1149" s="8">
        <v>0.75</v>
      </c>
      <c r="AA1149" s="202" t="str">
        <f t="shared" si="18"/>
        <v>Говядина б/к</v>
      </c>
    </row>
    <row r="1150" spans="1:27" ht="15" customHeight="1" x14ac:dyDescent="0.25">
      <c r="A1150" t="s">
        <v>153</v>
      </c>
      <c r="L1150"/>
      <c r="M1150"/>
      <c r="N1150"/>
      <c r="O1150"/>
      <c r="P1150"/>
      <c r="T1150">
        <v>1865</v>
      </c>
      <c r="U1150" s="7">
        <v>3</v>
      </c>
      <c r="V1150" t="s">
        <v>613</v>
      </c>
      <c r="W1150" s="257" t="s">
        <v>721</v>
      </c>
      <c r="X1150" t="s">
        <v>722</v>
      </c>
      <c r="Y1150" s="316" t="s">
        <v>434</v>
      </c>
      <c r="Z1150" s="8">
        <v>2</v>
      </c>
      <c r="AA1150" s="202" t="str">
        <f t="shared" si="18"/>
        <v>Мука пшеничная 1 с</v>
      </c>
    </row>
    <row r="1151" spans="1:27" ht="15" customHeight="1" x14ac:dyDescent="0.25">
      <c r="A1151" t="s">
        <v>153</v>
      </c>
      <c r="L1151"/>
      <c r="M1151"/>
      <c r="N1151"/>
      <c r="O1151"/>
      <c r="P1151"/>
      <c r="T1151">
        <v>1866</v>
      </c>
      <c r="U1151" s="7">
        <v>3</v>
      </c>
      <c r="V1151" t="s">
        <v>613</v>
      </c>
      <c r="W1151" s="257" t="s">
        <v>721</v>
      </c>
      <c r="X1151" t="s">
        <v>722</v>
      </c>
      <c r="Y1151" s="316" t="s">
        <v>32</v>
      </c>
      <c r="Z1151" s="8">
        <v>10</v>
      </c>
      <c r="AA1151" s="202" t="str">
        <f t="shared" si="18"/>
        <v>Лук репчатый</v>
      </c>
    </row>
    <row r="1152" spans="1:27" ht="15" customHeight="1" x14ac:dyDescent="0.25">
      <c r="A1152" t="s">
        <v>153</v>
      </c>
      <c r="L1152"/>
      <c r="M1152"/>
      <c r="N1152"/>
      <c r="O1152"/>
      <c r="P1152"/>
      <c r="T1152">
        <v>1867</v>
      </c>
      <c r="U1152" s="7">
        <v>3</v>
      </c>
      <c r="V1152" t="s">
        <v>613</v>
      </c>
      <c r="W1152" s="257" t="s">
        <v>721</v>
      </c>
      <c r="X1152" t="s">
        <v>722</v>
      </c>
      <c r="Y1152" s="316" t="s">
        <v>46</v>
      </c>
      <c r="Z1152" s="8">
        <v>10</v>
      </c>
      <c r="AA1152" s="202" t="str">
        <f t="shared" si="18"/>
        <v>Морковь</v>
      </c>
    </row>
    <row r="1153" spans="1:27" ht="15" customHeight="1" x14ac:dyDescent="0.25">
      <c r="A1153" t="s">
        <v>153</v>
      </c>
      <c r="L1153"/>
      <c r="M1153"/>
      <c r="N1153"/>
      <c r="O1153"/>
      <c r="P1153"/>
      <c r="T1153">
        <v>1868</v>
      </c>
      <c r="U1153" s="7">
        <v>3</v>
      </c>
      <c r="V1153" t="s">
        <v>613</v>
      </c>
      <c r="W1153" s="257" t="s">
        <v>721</v>
      </c>
      <c r="X1153" t="s">
        <v>722</v>
      </c>
      <c r="Y1153" s="316" t="s">
        <v>61</v>
      </c>
      <c r="Z1153" s="8">
        <v>5</v>
      </c>
      <c r="AA1153" s="202" t="str">
        <f t="shared" si="18"/>
        <v>Масло растительное</v>
      </c>
    </row>
    <row r="1154" spans="1:27" ht="15" customHeight="1" x14ac:dyDescent="0.25">
      <c r="A1154" t="s">
        <v>153</v>
      </c>
      <c r="L1154"/>
      <c r="M1154"/>
      <c r="N1154"/>
      <c r="O1154"/>
      <c r="P1154"/>
      <c r="T1154">
        <v>1869</v>
      </c>
      <c r="U1154" s="7">
        <v>3</v>
      </c>
      <c r="V1154" t="s">
        <v>613</v>
      </c>
      <c r="W1154" s="257" t="s">
        <v>721</v>
      </c>
      <c r="X1154" t="s">
        <v>722</v>
      </c>
      <c r="Y1154" s="316" t="s">
        <v>76</v>
      </c>
      <c r="Z1154" s="8">
        <v>2</v>
      </c>
      <c r="AA1154" s="202" t="str">
        <f t="shared" ref="AA1154:AA1217" si="19">VLOOKUP(Y1154,O:P,2,FALSE)</f>
        <v>Томат-паста</v>
      </c>
    </row>
    <row r="1155" spans="1:27" ht="15" customHeight="1" x14ac:dyDescent="0.25">
      <c r="A1155" t="s">
        <v>153</v>
      </c>
      <c r="L1155"/>
      <c r="M1155"/>
      <c r="N1155"/>
      <c r="O1155"/>
      <c r="P1155"/>
      <c r="T1155">
        <v>1870</v>
      </c>
      <c r="U1155" s="7">
        <v>3</v>
      </c>
      <c r="V1155" t="s">
        <v>613</v>
      </c>
      <c r="W1155" s="257" t="s">
        <v>721</v>
      </c>
      <c r="X1155" t="s">
        <v>722</v>
      </c>
      <c r="Y1155" s="316" t="s">
        <v>326</v>
      </c>
      <c r="Z1155" s="8">
        <v>2</v>
      </c>
      <c r="AA1155" s="202" t="str">
        <f t="shared" si="19"/>
        <v>Соль</v>
      </c>
    </row>
    <row r="1156" spans="1:27" ht="15" customHeight="1" x14ac:dyDescent="0.25">
      <c r="A1156" t="s">
        <v>153</v>
      </c>
      <c r="L1156"/>
      <c r="M1156"/>
      <c r="N1156"/>
      <c r="O1156"/>
      <c r="P1156"/>
      <c r="T1156">
        <v>1871</v>
      </c>
      <c r="U1156" s="7">
        <v>3</v>
      </c>
      <c r="V1156" t="s">
        <v>613</v>
      </c>
      <c r="W1156" s="257" t="s">
        <v>721</v>
      </c>
      <c r="X1156" t="s">
        <v>722</v>
      </c>
      <c r="Y1156" s="316" t="s">
        <v>74</v>
      </c>
      <c r="Z1156" s="8">
        <v>0.02</v>
      </c>
      <c r="AA1156" s="202" t="str">
        <f t="shared" si="19"/>
        <v>Лавровый лист</v>
      </c>
    </row>
    <row r="1157" spans="1:27" ht="15" customHeight="1" x14ac:dyDescent="0.25">
      <c r="A1157" t="s">
        <v>153</v>
      </c>
      <c r="L1157"/>
      <c r="M1157"/>
      <c r="N1157"/>
      <c r="O1157"/>
      <c r="P1157"/>
      <c r="T1157">
        <v>1872</v>
      </c>
      <c r="U1157" s="7">
        <v>3</v>
      </c>
      <c r="V1157" t="s">
        <v>613</v>
      </c>
      <c r="W1157" s="257" t="s">
        <v>721</v>
      </c>
      <c r="X1157" t="s">
        <v>722</v>
      </c>
      <c r="Y1157" s="316" t="s">
        <v>484</v>
      </c>
      <c r="Z1157" s="8">
        <v>0.01</v>
      </c>
      <c r="AA1157" s="202" t="str">
        <f t="shared" si="19"/>
        <v>Перец черный</v>
      </c>
    </row>
    <row r="1158" spans="1:27" ht="15" customHeight="1" x14ac:dyDescent="0.25">
      <c r="A1158" t="s">
        <v>153</v>
      </c>
      <c r="L1158"/>
      <c r="M1158"/>
      <c r="N1158"/>
      <c r="O1158"/>
      <c r="P1158"/>
      <c r="T1158">
        <v>1873</v>
      </c>
      <c r="U1158" s="7">
        <v>3</v>
      </c>
      <c r="V1158" t="s">
        <v>613</v>
      </c>
      <c r="W1158" s="257" t="s">
        <v>721</v>
      </c>
      <c r="X1158" t="s">
        <v>722</v>
      </c>
      <c r="Y1158" s="316" t="s">
        <v>1214</v>
      </c>
      <c r="Z1158" s="8">
        <v>44</v>
      </c>
      <c r="AA1158" s="202" t="str">
        <f t="shared" si="19"/>
        <v>Масса мясных и рыбных порций, г</v>
      </c>
    </row>
    <row r="1159" spans="1:27" ht="15" customHeight="1" x14ac:dyDescent="0.25">
      <c r="A1159" t="s">
        <v>153</v>
      </c>
      <c r="L1159"/>
      <c r="M1159"/>
      <c r="N1159"/>
      <c r="O1159"/>
      <c r="P1159"/>
      <c r="T1159">
        <v>1873</v>
      </c>
      <c r="U1159" s="7">
        <v>3</v>
      </c>
      <c r="V1159" t="s">
        <v>613</v>
      </c>
      <c r="W1159" s="257" t="s">
        <v>721</v>
      </c>
      <c r="X1159" t="s">
        <v>722</v>
      </c>
      <c r="Y1159" s="316" t="s">
        <v>1215</v>
      </c>
      <c r="Z1159" s="8">
        <v>94</v>
      </c>
      <c r="AA1159" s="202" t="str">
        <f t="shared" si="19"/>
        <v>Общая масса готового блюда, г</v>
      </c>
    </row>
    <row r="1160" spans="1:27" ht="15" customHeight="1" x14ac:dyDescent="0.25">
      <c r="A1160" t="s">
        <v>153</v>
      </c>
      <c r="L1160"/>
      <c r="M1160"/>
      <c r="N1160"/>
      <c r="O1160"/>
      <c r="P1160"/>
      <c r="T1160">
        <v>1854</v>
      </c>
      <c r="U1160" s="7">
        <v>3</v>
      </c>
      <c r="V1160" t="s">
        <v>613</v>
      </c>
      <c r="W1160" s="257" t="s">
        <v>723</v>
      </c>
      <c r="X1160" t="s">
        <v>724</v>
      </c>
      <c r="Y1160" s="316" t="s">
        <v>455</v>
      </c>
      <c r="Z1160" s="8">
        <v>100</v>
      </c>
      <c r="AA1160" s="202" t="str">
        <f t="shared" si="19"/>
        <v>Говядина н/к</v>
      </c>
    </row>
    <row r="1161" spans="1:27" ht="15" customHeight="1" x14ac:dyDescent="0.25">
      <c r="A1161" t="s">
        <v>153</v>
      </c>
      <c r="L1161"/>
      <c r="M1161"/>
      <c r="N1161"/>
      <c r="O1161"/>
      <c r="P1161"/>
      <c r="T1161">
        <v>1855</v>
      </c>
      <c r="U1161" s="7">
        <v>3</v>
      </c>
      <c r="V1161" t="s">
        <v>613</v>
      </c>
      <c r="W1161" s="257" t="s">
        <v>723</v>
      </c>
      <c r="X1161" t="s">
        <v>724</v>
      </c>
      <c r="Y1161" s="316" t="s">
        <v>434</v>
      </c>
      <c r="Z1161" s="8">
        <v>2</v>
      </c>
      <c r="AA1161" s="202" t="str">
        <f t="shared" si="19"/>
        <v>Мука пшеничная 1 с</v>
      </c>
    </row>
    <row r="1162" spans="1:27" ht="15" customHeight="1" x14ac:dyDescent="0.25">
      <c r="A1162" t="s">
        <v>153</v>
      </c>
      <c r="L1162"/>
      <c r="M1162"/>
      <c r="N1162"/>
      <c r="O1162"/>
      <c r="P1162"/>
      <c r="T1162">
        <v>1856</v>
      </c>
      <c r="U1162" s="7">
        <v>3</v>
      </c>
      <c r="V1162" t="s">
        <v>613</v>
      </c>
      <c r="W1162" s="257" t="s">
        <v>723</v>
      </c>
      <c r="X1162" t="s">
        <v>724</v>
      </c>
      <c r="Y1162" s="316" t="s">
        <v>32</v>
      </c>
      <c r="Z1162" s="8">
        <v>10</v>
      </c>
      <c r="AA1162" s="202" t="str">
        <f t="shared" si="19"/>
        <v>Лук репчатый</v>
      </c>
    </row>
    <row r="1163" spans="1:27" ht="15" customHeight="1" x14ac:dyDescent="0.25">
      <c r="A1163" t="s">
        <v>153</v>
      </c>
      <c r="L1163"/>
      <c r="M1163"/>
      <c r="N1163"/>
      <c r="O1163"/>
      <c r="P1163"/>
      <c r="T1163">
        <v>1857</v>
      </c>
      <c r="U1163" s="7">
        <v>3</v>
      </c>
      <c r="V1163" t="s">
        <v>613</v>
      </c>
      <c r="W1163" s="257" t="s">
        <v>723</v>
      </c>
      <c r="X1163" t="s">
        <v>724</v>
      </c>
      <c r="Y1163" s="316" t="s">
        <v>46</v>
      </c>
      <c r="Z1163" s="8">
        <v>10</v>
      </c>
      <c r="AA1163" s="202" t="str">
        <f t="shared" si="19"/>
        <v>Морковь</v>
      </c>
    </row>
    <row r="1164" spans="1:27" ht="15" customHeight="1" x14ac:dyDescent="0.25">
      <c r="A1164" t="s">
        <v>153</v>
      </c>
      <c r="L1164"/>
      <c r="M1164"/>
      <c r="N1164"/>
      <c r="O1164"/>
      <c r="P1164"/>
      <c r="T1164">
        <v>1858</v>
      </c>
      <c r="U1164" s="7">
        <v>3</v>
      </c>
      <c r="V1164" t="s">
        <v>613</v>
      </c>
      <c r="W1164" s="257" t="s">
        <v>723</v>
      </c>
      <c r="X1164" t="s">
        <v>724</v>
      </c>
      <c r="Y1164" s="316" t="s">
        <v>61</v>
      </c>
      <c r="Z1164" s="8">
        <v>5</v>
      </c>
      <c r="AA1164" s="202" t="str">
        <f t="shared" si="19"/>
        <v>Масло растительное</v>
      </c>
    </row>
    <row r="1165" spans="1:27" ht="15" customHeight="1" x14ac:dyDescent="0.25">
      <c r="A1165" t="s">
        <v>153</v>
      </c>
      <c r="L1165"/>
      <c r="M1165"/>
      <c r="N1165"/>
      <c r="O1165"/>
      <c r="P1165"/>
      <c r="T1165">
        <v>1859</v>
      </c>
      <c r="U1165" s="7">
        <v>3</v>
      </c>
      <c r="V1165" t="s">
        <v>613</v>
      </c>
      <c r="W1165" s="257" t="s">
        <v>723</v>
      </c>
      <c r="X1165" t="s">
        <v>724</v>
      </c>
      <c r="Y1165" s="316" t="s">
        <v>76</v>
      </c>
      <c r="Z1165" s="8">
        <v>2</v>
      </c>
      <c r="AA1165" s="202" t="str">
        <f t="shared" si="19"/>
        <v>Томат-паста</v>
      </c>
    </row>
    <row r="1166" spans="1:27" ht="15" customHeight="1" x14ac:dyDescent="0.25">
      <c r="A1166" t="s">
        <v>153</v>
      </c>
      <c r="L1166"/>
      <c r="M1166"/>
      <c r="N1166"/>
      <c r="O1166"/>
      <c r="P1166"/>
      <c r="T1166">
        <v>1860</v>
      </c>
      <c r="U1166" s="7">
        <v>3</v>
      </c>
      <c r="V1166" t="s">
        <v>613</v>
      </c>
      <c r="W1166" s="257" t="s">
        <v>723</v>
      </c>
      <c r="X1166" t="s">
        <v>724</v>
      </c>
      <c r="Y1166" s="316" t="s">
        <v>326</v>
      </c>
      <c r="Z1166" s="8">
        <v>2</v>
      </c>
      <c r="AA1166" s="202" t="str">
        <f t="shared" si="19"/>
        <v>Соль</v>
      </c>
    </row>
    <row r="1167" spans="1:27" ht="15" customHeight="1" x14ac:dyDescent="0.25">
      <c r="A1167" t="s">
        <v>153</v>
      </c>
      <c r="L1167"/>
      <c r="M1167"/>
      <c r="N1167"/>
      <c r="O1167"/>
      <c r="P1167"/>
      <c r="T1167">
        <v>1861</v>
      </c>
      <c r="U1167" s="7">
        <v>3</v>
      </c>
      <c r="V1167" t="s">
        <v>613</v>
      </c>
      <c r="W1167" s="257" t="s">
        <v>723</v>
      </c>
      <c r="X1167" t="s">
        <v>724</v>
      </c>
      <c r="Y1167" s="316" t="s">
        <v>74</v>
      </c>
      <c r="Z1167" s="8">
        <v>0.02</v>
      </c>
      <c r="AA1167" s="202" t="str">
        <f t="shared" si="19"/>
        <v>Лавровый лист</v>
      </c>
    </row>
    <row r="1168" spans="1:27" ht="15" customHeight="1" x14ac:dyDescent="0.25">
      <c r="A1168" t="s">
        <v>153</v>
      </c>
      <c r="L1168"/>
      <c r="M1168"/>
      <c r="N1168"/>
      <c r="O1168"/>
      <c r="P1168"/>
      <c r="T1168">
        <v>1862</v>
      </c>
      <c r="U1168" s="7">
        <v>3</v>
      </c>
      <c r="V1168" t="s">
        <v>613</v>
      </c>
      <c r="W1168" s="257" t="s">
        <v>723</v>
      </c>
      <c r="X1168" t="s">
        <v>724</v>
      </c>
      <c r="Y1168" s="316" t="s">
        <v>484</v>
      </c>
      <c r="Z1168" s="8">
        <v>0.01</v>
      </c>
      <c r="AA1168" s="202" t="str">
        <f t="shared" si="19"/>
        <v>Перец черный</v>
      </c>
    </row>
    <row r="1169" spans="1:27" ht="15" customHeight="1" x14ac:dyDescent="0.25">
      <c r="A1169" t="s">
        <v>153</v>
      </c>
      <c r="L1169"/>
      <c r="M1169"/>
      <c r="N1169"/>
      <c r="O1169"/>
      <c r="P1169"/>
      <c r="T1169">
        <v>1863</v>
      </c>
      <c r="U1169" s="7">
        <v>3</v>
      </c>
      <c r="V1169" t="s">
        <v>613</v>
      </c>
      <c r="W1169" s="257" t="s">
        <v>723</v>
      </c>
      <c r="X1169" t="s">
        <v>724</v>
      </c>
      <c r="Y1169" s="316" t="s">
        <v>1214</v>
      </c>
      <c r="Z1169" s="8">
        <v>44</v>
      </c>
      <c r="AA1169" s="202" t="str">
        <f t="shared" si="19"/>
        <v>Масса мясных и рыбных порций, г</v>
      </c>
    </row>
    <row r="1170" spans="1:27" ht="15" customHeight="1" x14ac:dyDescent="0.25">
      <c r="A1170" t="s">
        <v>153</v>
      </c>
      <c r="L1170"/>
      <c r="M1170"/>
      <c r="N1170"/>
      <c r="O1170"/>
      <c r="P1170"/>
      <c r="T1170">
        <v>1863</v>
      </c>
      <c r="U1170" s="7">
        <v>3</v>
      </c>
      <c r="V1170" t="s">
        <v>613</v>
      </c>
      <c r="W1170" s="257" t="s">
        <v>723</v>
      </c>
      <c r="X1170" t="s">
        <v>724</v>
      </c>
      <c r="Y1170" s="316" t="s">
        <v>1215</v>
      </c>
      <c r="Z1170" s="8">
        <v>94</v>
      </c>
      <c r="AA1170" s="202" t="str">
        <f t="shared" si="19"/>
        <v>Общая масса готового блюда, г</v>
      </c>
    </row>
    <row r="1171" spans="1:27" ht="15" customHeight="1" x14ac:dyDescent="0.25">
      <c r="A1171" t="s">
        <v>153</v>
      </c>
      <c r="L1171"/>
      <c r="M1171"/>
      <c r="N1171"/>
      <c r="O1171"/>
      <c r="P1171"/>
      <c r="T1171">
        <v>2315</v>
      </c>
      <c r="U1171" s="7">
        <v>3</v>
      </c>
      <c r="V1171" t="s">
        <v>613</v>
      </c>
      <c r="W1171" s="257" t="s">
        <v>725</v>
      </c>
      <c r="X1171" t="s">
        <v>726</v>
      </c>
      <c r="Y1171" s="316" t="s">
        <v>456</v>
      </c>
      <c r="Z1171" s="8">
        <v>75</v>
      </c>
      <c r="AA1171" s="202" t="str">
        <f t="shared" si="19"/>
        <v>Говядина консерв.</v>
      </c>
    </row>
    <row r="1172" spans="1:27" ht="15" customHeight="1" x14ac:dyDescent="0.25">
      <c r="A1172" t="s">
        <v>153</v>
      </c>
      <c r="L1172"/>
      <c r="M1172"/>
      <c r="N1172"/>
      <c r="O1172"/>
      <c r="P1172"/>
      <c r="T1172">
        <v>2316</v>
      </c>
      <c r="U1172" s="7">
        <v>3</v>
      </c>
      <c r="V1172" t="s">
        <v>613</v>
      </c>
      <c r="W1172" s="257" t="s">
        <v>725</v>
      </c>
      <c r="X1172" t="s">
        <v>726</v>
      </c>
      <c r="Y1172" s="316" t="s">
        <v>61</v>
      </c>
      <c r="Z1172" s="8">
        <v>2</v>
      </c>
      <c r="AA1172" s="202" t="str">
        <f t="shared" si="19"/>
        <v>Масло растительное</v>
      </c>
    </row>
    <row r="1173" spans="1:27" ht="15" customHeight="1" x14ac:dyDescent="0.25">
      <c r="A1173" t="s">
        <v>153</v>
      </c>
      <c r="L1173"/>
      <c r="M1173"/>
      <c r="N1173"/>
      <c r="O1173"/>
      <c r="P1173"/>
      <c r="T1173">
        <v>2317</v>
      </c>
      <c r="U1173" s="7">
        <v>3</v>
      </c>
      <c r="V1173" t="s">
        <v>613</v>
      </c>
      <c r="W1173" s="257" t="s">
        <v>725</v>
      </c>
      <c r="X1173" t="s">
        <v>726</v>
      </c>
      <c r="Y1173" s="316" t="s">
        <v>46</v>
      </c>
      <c r="Z1173" s="8">
        <v>10</v>
      </c>
      <c r="AA1173" s="202" t="str">
        <f t="shared" si="19"/>
        <v>Морковь</v>
      </c>
    </row>
    <row r="1174" spans="1:27" ht="15" customHeight="1" x14ac:dyDescent="0.25">
      <c r="A1174" t="s">
        <v>153</v>
      </c>
      <c r="L1174"/>
      <c r="M1174"/>
      <c r="N1174"/>
      <c r="O1174"/>
      <c r="P1174"/>
      <c r="T1174">
        <v>2318</v>
      </c>
      <c r="U1174" s="7">
        <v>3</v>
      </c>
      <c r="V1174" t="s">
        <v>613</v>
      </c>
      <c r="W1174" s="257" t="s">
        <v>725</v>
      </c>
      <c r="X1174" t="s">
        <v>726</v>
      </c>
      <c r="Y1174" s="316" t="s">
        <v>32</v>
      </c>
      <c r="Z1174" s="8">
        <v>10</v>
      </c>
      <c r="AA1174" s="202" t="str">
        <f t="shared" si="19"/>
        <v>Лук репчатый</v>
      </c>
    </row>
    <row r="1175" spans="1:27" ht="15" customHeight="1" x14ac:dyDescent="0.25">
      <c r="A1175" t="s">
        <v>153</v>
      </c>
      <c r="L1175"/>
      <c r="M1175"/>
      <c r="N1175"/>
      <c r="O1175"/>
      <c r="P1175"/>
      <c r="T1175">
        <v>2319</v>
      </c>
      <c r="U1175" s="7">
        <v>3</v>
      </c>
      <c r="V1175" t="s">
        <v>613</v>
      </c>
      <c r="W1175" s="257" t="s">
        <v>725</v>
      </c>
      <c r="X1175" t="s">
        <v>726</v>
      </c>
      <c r="Y1175" s="316" t="s">
        <v>76</v>
      </c>
      <c r="Z1175" s="8">
        <v>3</v>
      </c>
      <c r="AA1175" s="202" t="str">
        <f t="shared" si="19"/>
        <v>Томат-паста</v>
      </c>
    </row>
    <row r="1176" spans="1:27" ht="15" customHeight="1" x14ac:dyDescent="0.25">
      <c r="A1176" t="s">
        <v>153</v>
      </c>
      <c r="L1176"/>
      <c r="M1176"/>
      <c r="N1176"/>
      <c r="O1176"/>
      <c r="P1176"/>
      <c r="T1176">
        <v>2320</v>
      </c>
      <c r="U1176" s="7">
        <v>3</v>
      </c>
      <c r="V1176" t="s">
        <v>613</v>
      </c>
      <c r="W1176" s="257" t="s">
        <v>725</v>
      </c>
      <c r="X1176" t="s">
        <v>726</v>
      </c>
      <c r="Y1176" s="316" t="s">
        <v>434</v>
      </c>
      <c r="Z1176" s="8">
        <v>3</v>
      </c>
      <c r="AA1176" s="202" t="str">
        <f t="shared" si="19"/>
        <v>Мука пшеничная 1 с</v>
      </c>
    </row>
    <row r="1177" spans="1:27" ht="15" customHeight="1" x14ac:dyDescent="0.25">
      <c r="A1177" t="s">
        <v>153</v>
      </c>
      <c r="L1177"/>
      <c r="M1177"/>
      <c r="N1177"/>
      <c r="O1177"/>
      <c r="P1177"/>
      <c r="T1177">
        <v>2321</v>
      </c>
      <c r="U1177" s="7">
        <v>3</v>
      </c>
      <c r="V1177" t="s">
        <v>613</v>
      </c>
      <c r="W1177" s="257" t="s">
        <v>725</v>
      </c>
      <c r="X1177" t="s">
        <v>726</v>
      </c>
      <c r="Y1177" s="316" t="s">
        <v>326</v>
      </c>
      <c r="Z1177" s="8">
        <v>2</v>
      </c>
      <c r="AA1177" s="202" t="str">
        <f t="shared" si="19"/>
        <v>Соль</v>
      </c>
    </row>
    <row r="1178" spans="1:27" ht="15" customHeight="1" x14ac:dyDescent="0.25">
      <c r="A1178" t="s">
        <v>153</v>
      </c>
      <c r="L1178"/>
      <c r="M1178"/>
      <c r="N1178"/>
      <c r="O1178"/>
      <c r="P1178"/>
      <c r="T1178">
        <v>2322</v>
      </c>
      <c r="U1178" s="7">
        <v>3</v>
      </c>
      <c r="V1178" t="s">
        <v>613</v>
      </c>
      <c r="W1178" s="257" t="s">
        <v>725</v>
      </c>
      <c r="X1178" t="s">
        <v>726</v>
      </c>
      <c r="Y1178" s="316" t="s">
        <v>484</v>
      </c>
      <c r="Z1178" s="8">
        <v>0.1</v>
      </c>
      <c r="AA1178" s="202" t="str">
        <f t="shared" si="19"/>
        <v>Перец черный</v>
      </c>
    </row>
    <row r="1179" spans="1:27" ht="15" customHeight="1" x14ac:dyDescent="0.25">
      <c r="A1179" t="s">
        <v>153</v>
      </c>
      <c r="L1179"/>
      <c r="M1179"/>
      <c r="N1179"/>
      <c r="O1179"/>
      <c r="P1179"/>
      <c r="T1179">
        <v>2323</v>
      </c>
      <c r="U1179" s="7">
        <v>3</v>
      </c>
      <c r="V1179" t="s">
        <v>613</v>
      </c>
      <c r="W1179" s="257" t="s">
        <v>725</v>
      </c>
      <c r="X1179" t="s">
        <v>726</v>
      </c>
      <c r="Y1179" s="316" t="s">
        <v>558</v>
      </c>
      <c r="Z1179" s="8">
        <v>85</v>
      </c>
      <c r="AA1179" s="202" t="str">
        <f t="shared" si="19"/>
        <v>Общая масса готового блюда, г</v>
      </c>
    </row>
    <row r="1180" spans="1:27" ht="15" customHeight="1" x14ac:dyDescent="0.25">
      <c r="A1180" t="s">
        <v>153</v>
      </c>
      <c r="L1180"/>
      <c r="M1180"/>
      <c r="N1180"/>
      <c r="O1180"/>
      <c r="P1180"/>
      <c r="T1180">
        <v>2323</v>
      </c>
      <c r="U1180" s="7">
        <v>3</v>
      </c>
      <c r="V1180" t="s">
        <v>613</v>
      </c>
      <c r="W1180" s="257" t="s">
        <v>725</v>
      </c>
      <c r="X1180" t="s">
        <v>726</v>
      </c>
      <c r="Y1180" s="316" t="s">
        <v>1214</v>
      </c>
      <c r="Z1180" s="8">
        <v>75</v>
      </c>
      <c r="AA1180" s="202" t="str">
        <f t="shared" si="19"/>
        <v>Масса мясных и рыбных порций, г</v>
      </c>
    </row>
    <row r="1181" spans="1:27" ht="15" customHeight="1" x14ac:dyDescent="0.25">
      <c r="A1181" t="s">
        <v>153</v>
      </c>
      <c r="L1181"/>
      <c r="M1181"/>
      <c r="N1181"/>
      <c r="O1181"/>
      <c r="P1181"/>
      <c r="T1181">
        <v>2334</v>
      </c>
      <c r="U1181" s="7">
        <v>3</v>
      </c>
      <c r="V1181" t="s">
        <v>613</v>
      </c>
      <c r="W1181" s="257" t="s">
        <v>727</v>
      </c>
      <c r="X1181" t="s">
        <v>728</v>
      </c>
      <c r="Y1181" s="316" t="s">
        <v>461</v>
      </c>
      <c r="Z1181" s="8">
        <v>100</v>
      </c>
      <c r="AA1181" s="202" t="str">
        <f t="shared" si="19"/>
        <v>Мясо птицы консерв.</v>
      </c>
    </row>
    <row r="1182" spans="1:27" ht="15" customHeight="1" x14ac:dyDescent="0.25">
      <c r="A1182" t="s">
        <v>153</v>
      </c>
      <c r="L1182"/>
      <c r="M1182"/>
      <c r="N1182"/>
      <c r="O1182"/>
      <c r="P1182"/>
      <c r="T1182">
        <v>2334</v>
      </c>
      <c r="U1182" s="7">
        <v>3</v>
      </c>
      <c r="V1182" t="s">
        <v>613</v>
      </c>
      <c r="W1182" s="257" t="s">
        <v>727</v>
      </c>
      <c r="X1182" t="s">
        <v>728</v>
      </c>
      <c r="Y1182" s="316" t="s">
        <v>61</v>
      </c>
      <c r="Z1182" s="8">
        <v>2</v>
      </c>
      <c r="AA1182" s="202" t="str">
        <f t="shared" si="19"/>
        <v>Масло растительное</v>
      </c>
    </row>
    <row r="1183" spans="1:27" ht="15" customHeight="1" x14ac:dyDescent="0.25">
      <c r="A1183" t="s">
        <v>153</v>
      </c>
      <c r="L1183"/>
      <c r="M1183"/>
      <c r="N1183"/>
      <c r="O1183"/>
      <c r="P1183"/>
      <c r="T1183">
        <v>2335</v>
      </c>
      <c r="U1183" s="7">
        <v>3</v>
      </c>
      <c r="V1183" t="s">
        <v>613</v>
      </c>
      <c r="W1183" s="257" t="s">
        <v>727</v>
      </c>
      <c r="X1183" t="s">
        <v>728</v>
      </c>
      <c r="Y1183" s="316" t="s">
        <v>46</v>
      </c>
      <c r="Z1183" s="8">
        <v>10</v>
      </c>
      <c r="AA1183" s="202" t="str">
        <f t="shared" si="19"/>
        <v>Морковь</v>
      </c>
    </row>
    <row r="1184" spans="1:27" ht="15" customHeight="1" x14ac:dyDescent="0.25">
      <c r="A1184" t="s">
        <v>153</v>
      </c>
      <c r="L1184"/>
      <c r="M1184"/>
      <c r="N1184"/>
      <c r="O1184"/>
      <c r="P1184"/>
      <c r="T1184">
        <v>2336</v>
      </c>
      <c r="U1184" s="7">
        <v>3</v>
      </c>
      <c r="V1184" t="s">
        <v>613</v>
      </c>
      <c r="W1184" s="257" t="s">
        <v>727</v>
      </c>
      <c r="X1184" t="s">
        <v>728</v>
      </c>
      <c r="Y1184" s="316" t="s">
        <v>32</v>
      </c>
      <c r="Z1184" s="8">
        <v>10</v>
      </c>
      <c r="AA1184" s="202" t="str">
        <f t="shared" si="19"/>
        <v>Лук репчатый</v>
      </c>
    </row>
    <row r="1185" spans="1:27" ht="15" customHeight="1" x14ac:dyDescent="0.25">
      <c r="A1185" t="s">
        <v>153</v>
      </c>
      <c r="L1185"/>
      <c r="M1185"/>
      <c r="N1185"/>
      <c r="O1185"/>
      <c r="P1185"/>
      <c r="T1185">
        <v>2337</v>
      </c>
      <c r="U1185" s="7">
        <v>3</v>
      </c>
      <c r="V1185" t="s">
        <v>613</v>
      </c>
      <c r="W1185" s="257" t="s">
        <v>727</v>
      </c>
      <c r="X1185" t="s">
        <v>728</v>
      </c>
      <c r="Y1185" s="316" t="s">
        <v>76</v>
      </c>
      <c r="Z1185" s="8">
        <v>3</v>
      </c>
      <c r="AA1185" s="202" t="str">
        <f t="shared" si="19"/>
        <v>Томат-паста</v>
      </c>
    </row>
    <row r="1186" spans="1:27" ht="15" customHeight="1" x14ac:dyDescent="0.25">
      <c r="A1186" t="s">
        <v>153</v>
      </c>
      <c r="L1186"/>
      <c r="M1186"/>
      <c r="N1186"/>
      <c r="O1186"/>
      <c r="P1186"/>
      <c r="T1186">
        <v>2338</v>
      </c>
      <c r="U1186" s="7">
        <v>3</v>
      </c>
      <c r="V1186" t="s">
        <v>613</v>
      </c>
      <c r="W1186" s="257" t="s">
        <v>727</v>
      </c>
      <c r="X1186" t="s">
        <v>728</v>
      </c>
      <c r="Y1186" s="316" t="s">
        <v>434</v>
      </c>
      <c r="Z1186" s="8">
        <v>3</v>
      </c>
      <c r="AA1186" s="202" t="str">
        <f t="shared" si="19"/>
        <v>Мука пшеничная 1 с</v>
      </c>
    </row>
    <row r="1187" spans="1:27" ht="15" customHeight="1" x14ac:dyDescent="0.25">
      <c r="A1187" t="s">
        <v>153</v>
      </c>
      <c r="L1187"/>
      <c r="M1187"/>
      <c r="N1187"/>
      <c r="O1187"/>
      <c r="P1187"/>
      <c r="T1187">
        <v>2339</v>
      </c>
      <c r="U1187" s="7">
        <v>3</v>
      </c>
      <c r="V1187" t="s">
        <v>613</v>
      </c>
      <c r="W1187" s="257" t="s">
        <v>727</v>
      </c>
      <c r="X1187" t="s">
        <v>728</v>
      </c>
      <c r="Y1187" s="316" t="s">
        <v>326</v>
      </c>
      <c r="Z1187" s="8">
        <v>2</v>
      </c>
      <c r="AA1187" s="202" t="str">
        <f t="shared" si="19"/>
        <v>Соль</v>
      </c>
    </row>
    <row r="1188" spans="1:27" ht="15" customHeight="1" x14ac:dyDescent="0.25">
      <c r="A1188" t="s">
        <v>153</v>
      </c>
      <c r="L1188"/>
      <c r="M1188"/>
      <c r="N1188"/>
      <c r="O1188"/>
      <c r="P1188"/>
      <c r="T1188">
        <v>2340</v>
      </c>
      <c r="U1188" s="7">
        <v>3</v>
      </c>
      <c r="V1188" t="s">
        <v>613</v>
      </c>
      <c r="W1188" s="257" t="s">
        <v>727</v>
      </c>
      <c r="X1188" t="s">
        <v>728</v>
      </c>
      <c r="Y1188" s="316" t="s">
        <v>484</v>
      </c>
      <c r="Z1188" s="8">
        <v>0.1</v>
      </c>
      <c r="AA1188" s="202" t="str">
        <f t="shared" si="19"/>
        <v>Перец черный</v>
      </c>
    </row>
    <row r="1189" spans="1:27" ht="15" customHeight="1" x14ac:dyDescent="0.25">
      <c r="A1189" t="s">
        <v>153</v>
      </c>
      <c r="L1189"/>
      <c r="M1189"/>
      <c r="N1189"/>
      <c r="O1189"/>
      <c r="P1189"/>
      <c r="T1189">
        <v>2341</v>
      </c>
      <c r="U1189" s="7">
        <v>3</v>
      </c>
      <c r="V1189" t="s">
        <v>613</v>
      </c>
      <c r="W1189" s="257" t="s">
        <v>727</v>
      </c>
      <c r="X1189" t="s">
        <v>728</v>
      </c>
      <c r="Y1189" s="316" t="s">
        <v>558</v>
      </c>
      <c r="Z1189" s="8">
        <v>85</v>
      </c>
      <c r="AA1189" s="202" t="str">
        <f t="shared" si="19"/>
        <v>Общая масса готового блюда, г</v>
      </c>
    </row>
    <row r="1190" spans="1:27" ht="15" customHeight="1" x14ac:dyDescent="0.25">
      <c r="A1190" t="s">
        <v>153</v>
      </c>
      <c r="L1190"/>
      <c r="M1190"/>
      <c r="N1190"/>
      <c r="O1190"/>
      <c r="P1190"/>
      <c r="T1190">
        <v>2341</v>
      </c>
      <c r="U1190" s="7">
        <v>3</v>
      </c>
      <c r="V1190" t="s">
        <v>613</v>
      </c>
      <c r="W1190" s="257" t="s">
        <v>727</v>
      </c>
      <c r="X1190" t="s">
        <v>728</v>
      </c>
      <c r="Y1190" s="316" t="s">
        <v>1214</v>
      </c>
      <c r="Z1190" s="8">
        <v>75</v>
      </c>
      <c r="AA1190" s="202" t="str">
        <f t="shared" si="19"/>
        <v>Масса мясных и рыбных порций, г</v>
      </c>
    </row>
    <row r="1191" spans="1:27" ht="15" customHeight="1" x14ac:dyDescent="0.25">
      <c r="A1191" t="s">
        <v>153</v>
      </c>
      <c r="L1191"/>
      <c r="M1191"/>
      <c r="N1191"/>
      <c r="O1191"/>
      <c r="P1191"/>
      <c r="T1191">
        <v>2324</v>
      </c>
      <c r="U1191" s="7">
        <v>3</v>
      </c>
      <c r="V1191" t="s">
        <v>613</v>
      </c>
      <c r="W1191" s="257" t="s">
        <v>729</v>
      </c>
      <c r="X1191" t="s">
        <v>730</v>
      </c>
      <c r="Y1191" s="316" t="s">
        <v>477</v>
      </c>
      <c r="Z1191" s="8">
        <v>75</v>
      </c>
      <c r="AA1191" s="202" t="str">
        <f t="shared" si="19"/>
        <v>Свинина консерв.</v>
      </c>
    </row>
    <row r="1192" spans="1:27" ht="15" customHeight="1" x14ac:dyDescent="0.25">
      <c r="A1192" t="s">
        <v>153</v>
      </c>
      <c r="L1192"/>
      <c r="M1192"/>
      <c r="N1192"/>
      <c r="O1192"/>
      <c r="P1192"/>
      <c r="T1192">
        <v>2325</v>
      </c>
      <c r="U1192" s="7">
        <v>3</v>
      </c>
      <c r="V1192" t="s">
        <v>613</v>
      </c>
      <c r="W1192" s="257" t="s">
        <v>729</v>
      </c>
      <c r="X1192" t="s">
        <v>730</v>
      </c>
      <c r="Y1192" s="316" t="s">
        <v>61</v>
      </c>
      <c r="Z1192" s="8">
        <v>2</v>
      </c>
      <c r="AA1192" s="202" t="str">
        <f t="shared" si="19"/>
        <v>Масло растительное</v>
      </c>
    </row>
    <row r="1193" spans="1:27" ht="15" customHeight="1" x14ac:dyDescent="0.25">
      <c r="A1193" t="s">
        <v>153</v>
      </c>
      <c r="L1193"/>
      <c r="M1193"/>
      <c r="N1193"/>
      <c r="O1193"/>
      <c r="P1193"/>
      <c r="T1193">
        <v>2326</v>
      </c>
      <c r="U1193" s="7">
        <v>3</v>
      </c>
      <c r="V1193" t="s">
        <v>613</v>
      </c>
      <c r="W1193" s="257" t="s">
        <v>729</v>
      </c>
      <c r="X1193" t="s">
        <v>730</v>
      </c>
      <c r="Y1193" s="316" t="s">
        <v>46</v>
      </c>
      <c r="Z1193" s="8">
        <v>10</v>
      </c>
      <c r="AA1193" s="202" t="str">
        <f t="shared" si="19"/>
        <v>Морковь</v>
      </c>
    </row>
    <row r="1194" spans="1:27" ht="15" customHeight="1" x14ac:dyDescent="0.25">
      <c r="A1194" t="s">
        <v>153</v>
      </c>
      <c r="L1194"/>
      <c r="M1194"/>
      <c r="N1194"/>
      <c r="O1194"/>
      <c r="P1194"/>
      <c r="T1194">
        <v>2327</v>
      </c>
      <c r="U1194" s="7">
        <v>3</v>
      </c>
      <c r="V1194" t="s">
        <v>613</v>
      </c>
      <c r="W1194" s="257" t="s">
        <v>729</v>
      </c>
      <c r="X1194" t="s">
        <v>730</v>
      </c>
      <c r="Y1194" s="316" t="s">
        <v>32</v>
      </c>
      <c r="Z1194" s="8">
        <v>10</v>
      </c>
      <c r="AA1194" s="202" t="str">
        <f t="shared" si="19"/>
        <v>Лук репчатый</v>
      </c>
    </row>
    <row r="1195" spans="1:27" ht="15" customHeight="1" x14ac:dyDescent="0.25">
      <c r="A1195" t="s">
        <v>153</v>
      </c>
      <c r="L1195"/>
      <c r="M1195"/>
      <c r="N1195"/>
      <c r="O1195"/>
      <c r="P1195"/>
      <c r="T1195">
        <v>2328</v>
      </c>
      <c r="U1195" s="7">
        <v>3</v>
      </c>
      <c r="V1195" t="s">
        <v>613</v>
      </c>
      <c r="W1195" s="257" t="s">
        <v>729</v>
      </c>
      <c r="X1195" t="s">
        <v>730</v>
      </c>
      <c r="Y1195" s="316" t="s">
        <v>76</v>
      </c>
      <c r="Z1195" s="8">
        <v>3</v>
      </c>
      <c r="AA1195" s="202" t="str">
        <f t="shared" si="19"/>
        <v>Томат-паста</v>
      </c>
    </row>
    <row r="1196" spans="1:27" ht="15" customHeight="1" x14ac:dyDescent="0.25">
      <c r="A1196" t="s">
        <v>153</v>
      </c>
      <c r="L1196"/>
      <c r="M1196"/>
      <c r="N1196"/>
      <c r="O1196"/>
      <c r="P1196"/>
      <c r="T1196">
        <v>2329</v>
      </c>
      <c r="U1196" s="7">
        <v>3</v>
      </c>
      <c r="V1196" t="s">
        <v>613</v>
      </c>
      <c r="W1196" s="257" t="s">
        <v>729</v>
      </c>
      <c r="X1196" t="s">
        <v>730</v>
      </c>
      <c r="Y1196" s="316" t="s">
        <v>434</v>
      </c>
      <c r="Z1196" s="8">
        <v>3</v>
      </c>
      <c r="AA1196" s="202" t="str">
        <f t="shared" si="19"/>
        <v>Мука пшеничная 1 с</v>
      </c>
    </row>
    <row r="1197" spans="1:27" ht="15" customHeight="1" x14ac:dyDescent="0.25">
      <c r="A1197" t="s">
        <v>153</v>
      </c>
      <c r="L1197"/>
      <c r="M1197"/>
      <c r="N1197"/>
      <c r="O1197"/>
      <c r="P1197"/>
      <c r="T1197">
        <v>2330</v>
      </c>
      <c r="U1197" s="7">
        <v>3</v>
      </c>
      <c r="V1197" t="s">
        <v>613</v>
      </c>
      <c r="W1197" s="257" t="s">
        <v>729</v>
      </c>
      <c r="X1197" t="s">
        <v>730</v>
      </c>
      <c r="Y1197" s="316" t="s">
        <v>326</v>
      </c>
      <c r="Z1197" s="8">
        <v>2</v>
      </c>
      <c r="AA1197" s="202" t="str">
        <f t="shared" si="19"/>
        <v>Соль</v>
      </c>
    </row>
    <row r="1198" spans="1:27" ht="15" customHeight="1" x14ac:dyDescent="0.25">
      <c r="A1198" t="s">
        <v>153</v>
      </c>
      <c r="L1198"/>
      <c r="M1198"/>
      <c r="N1198"/>
      <c r="O1198"/>
      <c r="P1198"/>
      <c r="T1198">
        <v>2331</v>
      </c>
      <c r="U1198" s="7">
        <v>3</v>
      </c>
      <c r="V1198" t="s">
        <v>613</v>
      </c>
      <c r="W1198" s="257" t="s">
        <v>729</v>
      </c>
      <c r="X1198" t="s">
        <v>730</v>
      </c>
      <c r="Y1198" s="316" t="s">
        <v>484</v>
      </c>
      <c r="Z1198" s="8">
        <v>0.1</v>
      </c>
      <c r="AA1198" s="202" t="str">
        <f t="shared" si="19"/>
        <v>Перец черный</v>
      </c>
    </row>
    <row r="1199" spans="1:27" ht="15" customHeight="1" x14ac:dyDescent="0.25">
      <c r="A1199" t="s">
        <v>153</v>
      </c>
      <c r="L1199"/>
      <c r="M1199"/>
      <c r="N1199"/>
      <c r="O1199"/>
      <c r="P1199"/>
      <c r="T1199">
        <v>2332</v>
      </c>
      <c r="U1199" s="7">
        <v>3</v>
      </c>
      <c r="V1199" t="s">
        <v>613</v>
      </c>
      <c r="W1199" s="257" t="s">
        <v>729</v>
      </c>
      <c r="X1199" t="s">
        <v>730</v>
      </c>
      <c r="Y1199" s="316" t="s">
        <v>558</v>
      </c>
      <c r="Z1199" s="8">
        <v>85</v>
      </c>
      <c r="AA1199" s="202" t="str">
        <f t="shared" si="19"/>
        <v>Общая масса готового блюда, г</v>
      </c>
    </row>
    <row r="1200" spans="1:27" ht="15" customHeight="1" x14ac:dyDescent="0.25">
      <c r="A1200" t="s">
        <v>153</v>
      </c>
      <c r="L1200"/>
      <c r="M1200"/>
      <c r="N1200"/>
      <c r="O1200"/>
      <c r="P1200"/>
      <c r="T1200">
        <v>2332</v>
      </c>
      <c r="U1200" s="7">
        <v>3</v>
      </c>
      <c r="V1200" t="s">
        <v>613</v>
      </c>
      <c r="W1200" s="257" t="s">
        <v>729</v>
      </c>
      <c r="X1200" t="s">
        <v>730</v>
      </c>
      <c r="Y1200" s="316" t="s">
        <v>1214</v>
      </c>
      <c r="Z1200" s="8">
        <v>75</v>
      </c>
      <c r="AA1200" s="202" t="str">
        <f t="shared" si="19"/>
        <v>Масса мясных и рыбных порций, г</v>
      </c>
    </row>
    <row r="1201" spans="1:27" ht="15" customHeight="1" x14ac:dyDescent="0.25">
      <c r="A1201" t="s">
        <v>153</v>
      </c>
      <c r="L1201"/>
      <c r="M1201"/>
      <c r="N1201"/>
      <c r="O1201"/>
      <c r="P1201"/>
      <c r="T1201">
        <v>2333</v>
      </c>
      <c r="U1201" s="7">
        <v>3</v>
      </c>
      <c r="V1201" t="s">
        <v>613</v>
      </c>
      <c r="W1201" s="257" t="s">
        <v>729</v>
      </c>
      <c r="X1201" t="s">
        <v>730</v>
      </c>
      <c r="Y1201" s="316" t="s">
        <v>477</v>
      </c>
      <c r="Z1201" s="8">
        <v>75</v>
      </c>
      <c r="AA1201" s="202" t="str">
        <f t="shared" si="19"/>
        <v>Свинина консерв.</v>
      </c>
    </row>
    <row r="1202" spans="1:27" ht="15" customHeight="1" x14ac:dyDescent="0.25">
      <c r="A1202" t="s">
        <v>153</v>
      </c>
      <c r="L1202"/>
      <c r="M1202"/>
      <c r="N1202"/>
      <c r="O1202"/>
      <c r="P1202"/>
      <c r="T1202">
        <v>1844</v>
      </c>
      <c r="U1202" s="7">
        <v>3</v>
      </c>
      <c r="V1202" t="s">
        <v>613</v>
      </c>
      <c r="W1202" s="257" t="s">
        <v>731</v>
      </c>
      <c r="X1202" t="s">
        <v>732</v>
      </c>
      <c r="Y1202" s="316" t="s">
        <v>454</v>
      </c>
      <c r="Z1202" s="8">
        <v>112.5</v>
      </c>
      <c r="AA1202" s="202" t="str">
        <f t="shared" si="19"/>
        <v>Говядина б/к</v>
      </c>
    </row>
    <row r="1203" spans="1:27" ht="15" customHeight="1" x14ac:dyDescent="0.25">
      <c r="A1203" t="s">
        <v>153</v>
      </c>
      <c r="L1203"/>
      <c r="M1203"/>
      <c r="N1203"/>
      <c r="O1203"/>
      <c r="P1203"/>
      <c r="T1203">
        <v>1845</v>
      </c>
      <c r="U1203" s="7">
        <v>3</v>
      </c>
      <c r="V1203" t="s">
        <v>613</v>
      </c>
      <c r="W1203" s="257" t="s">
        <v>731</v>
      </c>
      <c r="X1203" t="s">
        <v>732</v>
      </c>
      <c r="Y1203" s="316" t="s">
        <v>46</v>
      </c>
      <c r="Z1203" s="8">
        <v>10</v>
      </c>
      <c r="AA1203" s="202" t="str">
        <f t="shared" si="19"/>
        <v>Морковь</v>
      </c>
    </row>
    <row r="1204" spans="1:27" ht="15" customHeight="1" x14ac:dyDescent="0.25">
      <c r="A1204" t="s">
        <v>153</v>
      </c>
      <c r="L1204"/>
      <c r="M1204"/>
      <c r="N1204"/>
      <c r="O1204"/>
      <c r="P1204"/>
      <c r="T1204">
        <v>1846</v>
      </c>
      <c r="U1204" s="7">
        <v>3</v>
      </c>
      <c r="V1204" t="s">
        <v>613</v>
      </c>
      <c r="W1204" s="257" t="s">
        <v>731</v>
      </c>
      <c r="X1204" t="s">
        <v>732</v>
      </c>
      <c r="Y1204" s="316" t="s">
        <v>32</v>
      </c>
      <c r="Z1204" s="8">
        <v>10</v>
      </c>
      <c r="AA1204" s="202" t="str">
        <f t="shared" si="19"/>
        <v>Лук репчатый</v>
      </c>
    </row>
    <row r="1205" spans="1:27" ht="15" customHeight="1" x14ac:dyDescent="0.25">
      <c r="A1205" t="s">
        <v>153</v>
      </c>
      <c r="L1205"/>
      <c r="M1205"/>
      <c r="N1205"/>
      <c r="O1205"/>
      <c r="P1205"/>
      <c r="T1205">
        <v>1847</v>
      </c>
      <c r="U1205" s="7">
        <v>3</v>
      </c>
      <c r="V1205" t="s">
        <v>613</v>
      </c>
      <c r="W1205" s="257" t="s">
        <v>731</v>
      </c>
      <c r="X1205" t="s">
        <v>732</v>
      </c>
      <c r="Y1205" s="316" t="s">
        <v>61</v>
      </c>
      <c r="Z1205" s="8">
        <v>3</v>
      </c>
      <c r="AA1205" s="202" t="str">
        <f t="shared" si="19"/>
        <v>Масло растительное</v>
      </c>
    </row>
    <row r="1206" spans="1:27" ht="15" customHeight="1" x14ac:dyDescent="0.25">
      <c r="A1206" t="s">
        <v>153</v>
      </c>
      <c r="L1206"/>
      <c r="M1206"/>
      <c r="N1206"/>
      <c r="O1206"/>
      <c r="P1206"/>
      <c r="T1206">
        <v>1848</v>
      </c>
      <c r="U1206" s="7">
        <v>3</v>
      </c>
      <c r="V1206" t="s">
        <v>613</v>
      </c>
      <c r="W1206" s="257" t="s">
        <v>731</v>
      </c>
      <c r="X1206" t="s">
        <v>732</v>
      </c>
      <c r="Y1206" s="316" t="s">
        <v>76</v>
      </c>
      <c r="Z1206" s="8">
        <v>2</v>
      </c>
      <c r="AA1206" s="202" t="str">
        <f t="shared" si="19"/>
        <v>Томат-паста</v>
      </c>
    </row>
    <row r="1207" spans="1:27" ht="15" customHeight="1" x14ac:dyDescent="0.25">
      <c r="A1207" t="s">
        <v>153</v>
      </c>
      <c r="L1207"/>
      <c r="M1207"/>
      <c r="N1207"/>
      <c r="O1207"/>
      <c r="P1207"/>
      <c r="T1207">
        <v>1849</v>
      </c>
      <c r="U1207" s="7">
        <v>3</v>
      </c>
      <c r="V1207" t="s">
        <v>613</v>
      </c>
      <c r="W1207" s="257" t="s">
        <v>731</v>
      </c>
      <c r="X1207" t="s">
        <v>732</v>
      </c>
      <c r="Y1207" s="316" t="s">
        <v>74</v>
      </c>
      <c r="Z1207" s="8">
        <v>0.02</v>
      </c>
      <c r="AA1207" s="202" t="str">
        <f t="shared" si="19"/>
        <v>Лавровый лист</v>
      </c>
    </row>
    <row r="1208" spans="1:27" ht="15" customHeight="1" x14ac:dyDescent="0.25">
      <c r="A1208" t="s">
        <v>153</v>
      </c>
      <c r="L1208"/>
      <c r="M1208"/>
      <c r="N1208"/>
      <c r="O1208"/>
      <c r="P1208"/>
      <c r="T1208">
        <v>1850</v>
      </c>
      <c r="U1208" s="7">
        <v>3</v>
      </c>
      <c r="V1208" t="s">
        <v>613</v>
      </c>
      <c r="W1208" s="257" t="s">
        <v>731</v>
      </c>
      <c r="X1208" t="s">
        <v>732</v>
      </c>
      <c r="Y1208" s="316" t="s">
        <v>484</v>
      </c>
      <c r="Z1208" s="8">
        <v>0.01</v>
      </c>
      <c r="AA1208" s="202" t="str">
        <f t="shared" si="19"/>
        <v>Перец черный</v>
      </c>
    </row>
    <row r="1209" spans="1:27" ht="15" customHeight="1" x14ac:dyDescent="0.25">
      <c r="A1209" t="s">
        <v>153</v>
      </c>
      <c r="L1209"/>
      <c r="M1209"/>
      <c r="N1209"/>
      <c r="O1209"/>
      <c r="P1209"/>
      <c r="T1209">
        <v>1851</v>
      </c>
      <c r="U1209" s="7">
        <v>3</v>
      </c>
      <c r="V1209" t="s">
        <v>613</v>
      </c>
      <c r="W1209" s="257" t="s">
        <v>731</v>
      </c>
      <c r="X1209" t="s">
        <v>732</v>
      </c>
      <c r="Y1209" s="316" t="s">
        <v>434</v>
      </c>
      <c r="Z1209" s="8">
        <v>2</v>
      </c>
      <c r="AA1209" s="202" t="str">
        <f t="shared" si="19"/>
        <v>Мука пшеничная 1 с</v>
      </c>
    </row>
    <row r="1210" spans="1:27" ht="15" customHeight="1" x14ac:dyDescent="0.25">
      <c r="A1210" t="s">
        <v>153</v>
      </c>
      <c r="L1210"/>
      <c r="M1210"/>
      <c r="N1210"/>
      <c r="O1210"/>
      <c r="P1210"/>
      <c r="T1210">
        <v>1852</v>
      </c>
      <c r="U1210" s="7">
        <v>3</v>
      </c>
      <c r="V1210" t="s">
        <v>613</v>
      </c>
      <c r="W1210" s="257" t="s">
        <v>731</v>
      </c>
      <c r="X1210" t="s">
        <v>732</v>
      </c>
      <c r="Y1210" s="316" t="s">
        <v>326</v>
      </c>
      <c r="Z1210" s="8">
        <v>2</v>
      </c>
      <c r="AA1210" s="202" t="str">
        <f t="shared" si="19"/>
        <v>Соль</v>
      </c>
    </row>
    <row r="1211" spans="1:27" ht="15" customHeight="1" x14ac:dyDescent="0.25">
      <c r="A1211" t="s">
        <v>153</v>
      </c>
      <c r="L1211"/>
      <c r="M1211"/>
      <c r="N1211"/>
      <c r="O1211"/>
      <c r="P1211"/>
      <c r="T1211">
        <v>1853</v>
      </c>
      <c r="U1211" s="7">
        <v>3</v>
      </c>
      <c r="V1211" t="s">
        <v>613</v>
      </c>
      <c r="W1211" s="257" t="s">
        <v>731</v>
      </c>
      <c r="X1211" t="s">
        <v>732</v>
      </c>
      <c r="Y1211" s="316" t="s">
        <v>1214</v>
      </c>
      <c r="Z1211" s="8">
        <v>55</v>
      </c>
      <c r="AA1211" s="202" t="str">
        <f t="shared" si="19"/>
        <v>Масса мясных и рыбных порций, г</v>
      </c>
    </row>
    <row r="1212" spans="1:27" ht="15" customHeight="1" x14ac:dyDescent="0.25">
      <c r="A1212" t="s">
        <v>153</v>
      </c>
      <c r="L1212"/>
      <c r="M1212"/>
      <c r="N1212"/>
      <c r="O1212"/>
      <c r="P1212"/>
      <c r="T1212">
        <v>1853</v>
      </c>
      <c r="U1212" s="7">
        <v>3</v>
      </c>
      <c r="V1212" t="s">
        <v>613</v>
      </c>
      <c r="W1212" s="257" t="s">
        <v>731</v>
      </c>
      <c r="X1212" t="s">
        <v>732</v>
      </c>
      <c r="Y1212" s="316" t="s">
        <v>1215</v>
      </c>
      <c r="Z1212" s="8">
        <v>95</v>
      </c>
      <c r="AA1212" s="202" t="str">
        <f t="shared" si="19"/>
        <v>Общая масса готового блюда, г</v>
      </c>
    </row>
    <row r="1213" spans="1:27" ht="15" customHeight="1" x14ac:dyDescent="0.25">
      <c r="A1213" t="s">
        <v>153</v>
      </c>
      <c r="L1213"/>
      <c r="M1213"/>
      <c r="N1213"/>
      <c r="O1213"/>
      <c r="P1213"/>
      <c r="T1213">
        <v>1834</v>
      </c>
      <c r="U1213" s="7">
        <v>3</v>
      </c>
      <c r="V1213" t="s">
        <v>613</v>
      </c>
      <c r="W1213" s="257" t="s">
        <v>733</v>
      </c>
      <c r="X1213" t="s">
        <v>734</v>
      </c>
      <c r="Y1213" s="316" t="s">
        <v>455</v>
      </c>
      <c r="Z1213" s="8">
        <v>100</v>
      </c>
      <c r="AA1213" s="202" t="str">
        <f t="shared" si="19"/>
        <v>Говядина н/к</v>
      </c>
    </row>
    <row r="1214" spans="1:27" ht="15" customHeight="1" x14ac:dyDescent="0.25">
      <c r="A1214" t="s">
        <v>153</v>
      </c>
      <c r="L1214"/>
      <c r="M1214"/>
      <c r="N1214"/>
      <c r="O1214"/>
      <c r="P1214"/>
      <c r="T1214">
        <v>1835</v>
      </c>
      <c r="U1214" s="7">
        <v>3</v>
      </c>
      <c r="V1214" t="s">
        <v>613</v>
      </c>
      <c r="W1214" s="257" t="s">
        <v>733</v>
      </c>
      <c r="X1214" t="s">
        <v>734</v>
      </c>
      <c r="Y1214" s="316" t="s">
        <v>46</v>
      </c>
      <c r="Z1214" s="8">
        <v>10</v>
      </c>
      <c r="AA1214" s="202" t="str">
        <f t="shared" si="19"/>
        <v>Морковь</v>
      </c>
    </row>
    <row r="1215" spans="1:27" ht="15" customHeight="1" x14ac:dyDescent="0.25">
      <c r="A1215" t="s">
        <v>153</v>
      </c>
      <c r="L1215"/>
      <c r="M1215"/>
      <c r="N1215"/>
      <c r="O1215"/>
      <c r="P1215"/>
      <c r="T1215">
        <v>1836</v>
      </c>
      <c r="U1215" s="7">
        <v>3</v>
      </c>
      <c r="V1215" t="s">
        <v>613</v>
      </c>
      <c r="W1215" s="257" t="s">
        <v>733</v>
      </c>
      <c r="X1215" t="s">
        <v>734</v>
      </c>
      <c r="Y1215" s="316" t="s">
        <v>32</v>
      </c>
      <c r="Z1215" s="8">
        <v>10</v>
      </c>
      <c r="AA1215" s="202" t="str">
        <f t="shared" si="19"/>
        <v>Лук репчатый</v>
      </c>
    </row>
    <row r="1216" spans="1:27" ht="15" customHeight="1" x14ac:dyDescent="0.25">
      <c r="A1216" t="s">
        <v>153</v>
      </c>
      <c r="L1216"/>
      <c r="M1216"/>
      <c r="N1216"/>
      <c r="O1216"/>
      <c r="P1216"/>
      <c r="T1216">
        <v>1837</v>
      </c>
      <c r="U1216" s="7">
        <v>3</v>
      </c>
      <c r="V1216" t="s">
        <v>613</v>
      </c>
      <c r="W1216" s="257" t="s">
        <v>733</v>
      </c>
      <c r="X1216" t="s">
        <v>734</v>
      </c>
      <c r="Y1216" s="316" t="s">
        <v>61</v>
      </c>
      <c r="Z1216" s="8">
        <v>3</v>
      </c>
      <c r="AA1216" s="202" t="str">
        <f t="shared" si="19"/>
        <v>Масло растительное</v>
      </c>
    </row>
    <row r="1217" spans="1:27" ht="15" customHeight="1" x14ac:dyDescent="0.25">
      <c r="A1217" t="s">
        <v>153</v>
      </c>
      <c r="L1217"/>
      <c r="M1217"/>
      <c r="N1217"/>
      <c r="O1217"/>
      <c r="P1217"/>
      <c r="T1217">
        <v>1838</v>
      </c>
      <c r="U1217" s="7">
        <v>3</v>
      </c>
      <c r="V1217" t="s">
        <v>613</v>
      </c>
      <c r="W1217" s="257" t="s">
        <v>733</v>
      </c>
      <c r="X1217" t="s">
        <v>734</v>
      </c>
      <c r="Y1217" s="316" t="s">
        <v>76</v>
      </c>
      <c r="Z1217" s="8">
        <v>2</v>
      </c>
      <c r="AA1217" s="202" t="str">
        <f t="shared" si="19"/>
        <v>Томат-паста</v>
      </c>
    </row>
    <row r="1218" spans="1:27" ht="15" customHeight="1" x14ac:dyDescent="0.25">
      <c r="A1218" t="s">
        <v>153</v>
      </c>
      <c r="L1218"/>
      <c r="M1218"/>
      <c r="N1218"/>
      <c r="O1218"/>
      <c r="P1218"/>
      <c r="T1218">
        <v>1839</v>
      </c>
      <c r="U1218" s="7">
        <v>3</v>
      </c>
      <c r="V1218" t="s">
        <v>613</v>
      </c>
      <c r="W1218" s="257" t="s">
        <v>733</v>
      </c>
      <c r="X1218" t="s">
        <v>734</v>
      </c>
      <c r="Y1218" s="316" t="s">
        <v>74</v>
      </c>
      <c r="Z1218" s="8">
        <v>0.02</v>
      </c>
      <c r="AA1218" s="202" t="str">
        <f t="shared" ref="AA1218:AA1281" si="20">VLOOKUP(Y1218,O:P,2,FALSE)</f>
        <v>Лавровый лист</v>
      </c>
    </row>
    <row r="1219" spans="1:27" ht="15" customHeight="1" x14ac:dyDescent="0.25">
      <c r="A1219" t="s">
        <v>153</v>
      </c>
      <c r="L1219"/>
      <c r="M1219"/>
      <c r="N1219"/>
      <c r="O1219"/>
      <c r="P1219"/>
      <c r="T1219">
        <v>1840</v>
      </c>
      <c r="U1219" s="7">
        <v>3</v>
      </c>
      <c r="V1219" t="s">
        <v>613</v>
      </c>
      <c r="W1219" s="257" t="s">
        <v>733</v>
      </c>
      <c r="X1219" t="s">
        <v>734</v>
      </c>
      <c r="Y1219" s="316" t="s">
        <v>484</v>
      </c>
      <c r="Z1219" s="8">
        <v>0.01</v>
      </c>
      <c r="AA1219" s="202" t="str">
        <f t="shared" si="20"/>
        <v>Перец черный</v>
      </c>
    </row>
    <row r="1220" spans="1:27" ht="15" customHeight="1" x14ac:dyDescent="0.25">
      <c r="A1220" t="s">
        <v>153</v>
      </c>
      <c r="L1220"/>
      <c r="M1220"/>
      <c r="N1220"/>
      <c r="O1220"/>
      <c r="P1220"/>
      <c r="T1220">
        <v>1841</v>
      </c>
      <c r="U1220" s="7">
        <v>3</v>
      </c>
      <c r="V1220" t="s">
        <v>613</v>
      </c>
      <c r="W1220" s="257" t="s">
        <v>733</v>
      </c>
      <c r="X1220" t="s">
        <v>734</v>
      </c>
      <c r="Y1220" s="316" t="s">
        <v>434</v>
      </c>
      <c r="Z1220" s="8">
        <v>2</v>
      </c>
      <c r="AA1220" s="202" t="str">
        <f t="shared" si="20"/>
        <v>Мука пшеничная 1 с</v>
      </c>
    </row>
    <row r="1221" spans="1:27" ht="15" customHeight="1" x14ac:dyDescent="0.25">
      <c r="A1221" t="s">
        <v>153</v>
      </c>
      <c r="L1221"/>
      <c r="M1221"/>
      <c r="N1221"/>
      <c r="O1221"/>
      <c r="P1221"/>
      <c r="T1221">
        <v>1842</v>
      </c>
      <c r="U1221" s="7">
        <v>3</v>
      </c>
      <c r="V1221" t="s">
        <v>613</v>
      </c>
      <c r="W1221" s="257" t="s">
        <v>733</v>
      </c>
      <c r="X1221" t="s">
        <v>734</v>
      </c>
      <c r="Y1221" s="316" t="s">
        <v>326</v>
      </c>
      <c r="Z1221" s="8">
        <v>2</v>
      </c>
      <c r="AA1221" s="202" t="str">
        <f t="shared" si="20"/>
        <v>Соль</v>
      </c>
    </row>
    <row r="1222" spans="1:27" ht="15" customHeight="1" x14ac:dyDescent="0.25">
      <c r="A1222" t="s">
        <v>153</v>
      </c>
      <c r="L1222"/>
      <c r="M1222"/>
      <c r="N1222"/>
      <c r="O1222"/>
      <c r="P1222"/>
      <c r="T1222">
        <v>1843</v>
      </c>
      <c r="U1222" s="7">
        <v>3</v>
      </c>
      <c r="V1222" t="s">
        <v>613</v>
      </c>
      <c r="W1222" s="257" t="s">
        <v>733</v>
      </c>
      <c r="X1222" t="s">
        <v>734</v>
      </c>
      <c r="Y1222" s="316" t="s">
        <v>1214</v>
      </c>
      <c r="Z1222" s="8">
        <v>55</v>
      </c>
      <c r="AA1222" s="202" t="str">
        <f t="shared" si="20"/>
        <v>Масса мясных и рыбных порций, г</v>
      </c>
    </row>
    <row r="1223" spans="1:27" ht="15" customHeight="1" x14ac:dyDescent="0.25">
      <c r="A1223" t="s">
        <v>153</v>
      </c>
      <c r="L1223"/>
      <c r="M1223"/>
      <c r="N1223"/>
      <c r="O1223"/>
      <c r="P1223"/>
      <c r="T1223">
        <v>1843</v>
      </c>
      <c r="U1223" s="7">
        <v>3</v>
      </c>
      <c r="V1223" t="s">
        <v>613</v>
      </c>
      <c r="W1223" s="257" t="s">
        <v>733</v>
      </c>
      <c r="X1223" t="s">
        <v>734</v>
      </c>
      <c r="Y1223" s="316" t="s">
        <v>1215</v>
      </c>
      <c r="Z1223" s="8">
        <v>95</v>
      </c>
      <c r="AA1223" s="202" t="str">
        <f t="shared" si="20"/>
        <v>Общая масса готового блюда, г</v>
      </c>
    </row>
    <row r="1224" spans="1:27" ht="15" customHeight="1" x14ac:dyDescent="0.25">
      <c r="A1224" t="s">
        <v>153</v>
      </c>
      <c r="L1224"/>
      <c r="M1224"/>
      <c r="N1224"/>
      <c r="O1224"/>
      <c r="P1224"/>
      <c r="T1224">
        <v>2105</v>
      </c>
      <c r="U1224" s="7">
        <v>3</v>
      </c>
      <c r="V1224" t="s">
        <v>613</v>
      </c>
      <c r="W1224" s="257" t="s">
        <v>735</v>
      </c>
      <c r="X1224" t="s">
        <v>736</v>
      </c>
      <c r="Y1224" s="316" t="s">
        <v>462</v>
      </c>
      <c r="Z1224" s="8">
        <v>100</v>
      </c>
      <c r="AA1224" s="202" t="str">
        <f t="shared" si="20"/>
        <v>Свинина на кости</v>
      </c>
    </row>
    <row r="1225" spans="1:27" ht="15" customHeight="1" x14ac:dyDescent="0.25">
      <c r="A1225" t="s">
        <v>153</v>
      </c>
      <c r="L1225"/>
      <c r="M1225"/>
      <c r="N1225"/>
      <c r="O1225"/>
      <c r="P1225"/>
      <c r="T1225">
        <v>2106</v>
      </c>
      <c r="U1225" s="7">
        <v>3</v>
      </c>
      <c r="V1225" t="s">
        <v>613</v>
      </c>
      <c r="W1225" s="257" t="s">
        <v>735</v>
      </c>
      <c r="X1225" t="s">
        <v>736</v>
      </c>
      <c r="Y1225" s="316" t="s">
        <v>46</v>
      </c>
      <c r="Z1225" s="8">
        <v>10</v>
      </c>
      <c r="AA1225" s="202" t="str">
        <f t="shared" si="20"/>
        <v>Морковь</v>
      </c>
    </row>
    <row r="1226" spans="1:27" ht="15" customHeight="1" x14ac:dyDescent="0.25">
      <c r="A1226" t="s">
        <v>153</v>
      </c>
      <c r="L1226"/>
      <c r="M1226"/>
      <c r="N1226"/>
      <c r="O1226"/>
      <c r="P1226"/>
      <c r="T1226">
        <v>2107</v>
      </c>
      <c r="U1226" s="7">
        <v>3</v>
      </c>
      <c r="V1226" t="s">
        <v>613</v>
      </c>
      <c r="W1226" s="257" t="s">
        <v>735</v>
      </c>
      <c r="X1226" t="s">
        <v>736</v>
      </c>
      <c r="Y1226" s="316" t="s">
        <v>32</v>
      </c>
      <c r="Z1226" s="8">
        <v>10</v>
      </c>
      <c r="AA1226" s="202" t="str">
        <f t="shared" si="20"/>
        <v>Лук репчатый</v>
      </c>
    </row>
    <row r="1227" spans="1:27" ht="15" customHeight="1" x14ac:dyDescent="0.25">
      <c r="A1227" t="s">
        <v>153</v>
      </c>
      <c r="L1227"/>
      <c r="M1227"/>
      <c r="N1227"/>
      <c r="O1227"/>
      <c r="P1227"/>
      <c r="T1227">
        <v>2108</v>
      </c>
      <c r="U1227" s="7">
        <v>3</v>
      </c>
      <c r="V1227" t="s">
        <v>613</v>
      </c>
      <c r="W1227" s="257" t="s">
        <v>735</v>
      </c>
      <c r="X1227" t="s">
        <v>736</v>
      </c>
      <c r="Y1227" s="316" t="s">
        <v>61</v>
      </c>
      <c r="Z1227" s="8">
        <v>3</v>
      </c>
      <c r="AA1227" s="202" t="str">
        <f t="shared" si="20"/>
        <v>Масло растительное</v>
      </c>
    </row>
    <row r="1228" spans="1:27" ht="15" customHeight="1" x14ac:dyDescent="0.25">
      <c r="A1228" t="s">
        <v>153</v>
      </c>
      <c r="L1228"/>
      <c r="M1228"/>
      <c r="N1228"/>
      <c r="O1228"/>
      <c r="P1228"/>
      <c r="T1228">
        <v>2109</v>
      </c>
      <c r="U1228" s="7">
        <v>3</v>
      </c>
      <c r="V1228" t="s">
        <v>613</v>
      </c>
      <c r="W1228" s="257" t="s">
        <v>735</v>
      </c>
      <c r="X1228" t="s">
        <v>736</v>
      </c>
      <c r="Y1228" s="316" t="s">
        <v>76</v>
      </c>
      <c r="Z1228" s="8">
        <v>2</v>
      </c>
      <c r="AA1228" s="202" t="str">
        <f t="shared" si="20"/>
        <v>Томат-паста</v>
      </c>
    </row>
    <row r="1229" spans="1:27" ht="15" customHeight="1" x14ac:dyDescent="0.25">
      <c r="A1229" t="s">
        <v>153</v>
      </c>
      <c r="L1229"/>
      <c r="M1229"/>
      <c r="N1229"/>
      <c r="O1229"/>
      <c r="P1229"/>
      <c r="T1229">
        <v>2110</v>
      </c>
      <c r="U1229" s="7">
        <v>3</v>
      </c>
      <c r="V1229" t="s">
        <v>613</v>
      </c>
      <c r="W1229" s="257" t="s">
        <v>735</v>
      </c>
      <c r="X1229" t="s">
        <v>736</v>
      </c>
      <c r="Y1229" s="316" t="s">
        <v>434</v>
      </c>
      <c r="Z1229" s="8">
        <v>2</v>
      </c>
      <c r="AA1229" s="202" t="str">
        <f t="shared" si="20"/>
        <v>Мука пшеничная 1 с</v>
      </c>
    </row>
    <row r="1230" spans="1:27" ht="15" customHeight="1" x14ac:dyDescent="0.25">
      <c r="A1230" t="s">
        <v>153</v>
      </c>
      <c r="L1230"/>
      <c r="M1230"/>
      <c r="N1230"/>
      <c r="O1230"/>
      <c r="P1230"/>
      <c r="T1230">
        <v>2111</v>
      </c>
      <c r="U1230" s="7">
        <v>3</v>
      </c>
      <c r="V1230" t="s">
        <v>613</v>
      </c>
      <c r="W1230" s="257" t="s">
        <v>735</v>
      </c>
      <c r="X1230" t="s">
        <v>736</v>
      </c>
      <c r="Y1230" s="316" t="s">
        <v>326</v>
      </c>
      <c r="Z1230" s="8">
        <v>2</v>
      </c>
      <c r="AA1230" s="202" t="str">
        <f t="shared" si="20"/>
        <v>Соль</v>
      </c>
    </row>
    <row r="1231" spans="1:27" ht="15" customHeight="1" x14ac:dyDescent="0.25">
      <c r="A1231" t="s">
        <v>153</v>
      </c>
      <c r="L1231"/>
      <c r="M1231"/>
      <c r="N1231"/>
      <c r="O1231"/>
      <c r="P1231"/>
      <c r="T1231">
        <v>2112</v>
      </c>
      <c r="U1231" s="7">
        <v>3</v>
      </c>
      <c r="V1231" t="s">
        <v>613</v>
      </c>
      <c r="W1231" s="257" t="s">
        <v>735</v>
      </c>
      <c r="X1231" t="s">
        <v>736</v>
      </c>
      <c r="Y1231" s="316" t="s">
        <v>484</v>
      </c>
      <c r="Z1231" s="8">
        <v>0.01</v>
      </c>
      <c r="AA1231" s="202" t="str">
        <f t="shared" si="20"/>
        <v>Перец черный</v>
      </c>
    </row>
    <row r="1232" spans="1:27" ht="15" customHeight="1" x14ac:dyDescent="0.25">
      <c r="A1232" t="s">
        <v>153</v>
      </c>
      <c r="L1232"/>
      <c r="M1232"/>
      <c r="N1232"/>
      <c r="O1232"/>
      <c r="P1232"/>
      <c r="T1232">
        <v>2113</v>
      </c>
      <c r="U1232" s="7">
        <v>3</v>
      </c>
      <c r="V1232" t="s">
        <v>613</v>
      </c>
      <c r="W1232" s="257" t="s">
        <v>735</v>
      </c>
      <c r="X1232" t="s">
        <v>736</v>
      </c>
      <c r="Y1232" s="316" t="s">
        <v>74</v>
      </c>
      <c r="Z1232" s="8">
        <v>0.01</v>
      </c>
      <c r="AA1232" s="202" t="str">
        <f t="shared" si="20"/>
        <v>Лавровый лист</v>
      </c>
    </row>
    <row r="1233" spans="1:27" ht="15" customHeight="1" x14ac:dyDescent="0.25">
      <c r="A1233" t="s">
        <v>153</v>
      </c>
      <c r="L1233"/>
      <c r="M1233"/>
      <c r="N1233"/>
      <c r="O1233"/>
      <c r="P1233"/>
      <c r="T1233">
        <v>2114</v>
      </c>
      <c r="U1233" s="7">
        <v>3</v>
      </c>
      <c r="V1233" t="s">
        <v>613</v>
      </c>
      <c r="W1233" s="257" t="s">
        <v>735</v>
      </c>
      <c r="X1233" t="s">
        <v>736</v>
      </c>
      <c r="Y1233" s="316" t="s">
        <v>1214</v>
      </c>
      <c r="Z1233" s="8">
        <v>58</v>
      </c>
      <c r="AA1233" s="202" t="str">
        <f t="shared" si="20"/>
        <v>Масса мясных и рыбных порций, г</v>
      </c>
    </row>
    <row r="1234" spans="1:27" ht="15" customHeight="1" x14ac:dyDescent="0.25">
      <c r="A1234" t="s">
        <v>153</v>
      </c>
      <c r="L1234"/>
      <c r="M1234"/>
      <c r="N1234"/>
      <c r="O1234"/>
      <c r="P1234"/>
      <c r="T1234">
        <v>2114</v>
      </c>
      <c r="U1234" s="7">
        <v>3</v>
      </c>
      <c r="V1234" t="s">
        <v>613</v>
      </c>
      <c r="W1234" s="257" t="s">
        <v>735</v>
      </c>
      <c r="X1234" t="s">
        <v>736</v>
      </c>
      <c r="Y1234" s="316" t="s">
        <v>1215</v>
      </c>
      <c r="Z1234" s="8">
        <v>115</v>
      </c>
      <c r="AA1234" s="202" t="str">
        <f t="shared" si="20"/>
        <v>Общая масса готового блюда, г</v>
      </c>
    </row>
    <row r="1235" spans="1:27" ht="15" customHeight="1" x14ac:dyDescent="0.25">
      <c r="A1235" t="s">
        <v>153</v>
      </c>
      <c r="L1235"/>
      <c r="M1235"/>
      <c r="N1235"/>
      <c r="O1235"/>
      <c r="P1235"/>
      <c r="T1235">
        <v>774</v>
      </c>
      <c r="U1235" s="7">
        <v>3</v>
      </c>
      <c r="V1235" t="s">
        <v>966</v>
      </c>
      <c r="W1235" s="257" t="s">
        <v>1030</v>
      </c>
      <c r="X1235" t="s">
        <v>1031</v>
      </c>
      <c r="Y1235" s="316" t="s">
        <v>490</v>
      </c>
      <c r="Z1235" s="8">
        <v>335</v>
      </c>
      <c r="AA1235" s="202" t="str">
        <f t="shared" si="20"/>
        <v>Капуста свежая</v>
      </c>
    </row>
    <row r="1236" spans="1:27" ht="15" customHeight="1" x14ac:dyDescent="0.25">
      <c r="A1236" t="s">
        <v>153</v>
      </c>
      <c r="L1236"/>
      <c r="M1236"/>
      <c r="N1236"/>
      <c r="O1236"/>
      <c r="P1236"/>
      <c r="T1236">
        <v>775</v>
      </c>
      <c r="U1236" s="7">
        <v>3</v>
      </c>
      <c r="V1236" t="s">
        <v>966</v>
      </c>
      <c r="W1236" s="257" t="s">
        <v>1030</v>
      </c>
      <c r="X1236" t="s">
        <v>1031</v>
      </c>
      <c r="Y1236" s="316" t="s">
        <v>46</v>
      </c>
      <c r="Z1236" s="8">
        <v>15</v>
      </c>
      <c r="AA1236" s="202" t="str">
        <f t="shared" si="20"/>
        <v>Морковь</v>
      </c>
    </row>
    <row r="1237" spans="1:27" ht="15" customHeight="1" x14ac:dyDescent="0.25">
      <c r="A1237" t="s">
        <v>153</v>
      </c>
      <c r="L1237"/>
      <c r="M1237"/>
      <c r="N1237"/>
      <c r="O1237"/>
      <c r="P1237"/>
      <c r="T1237">
        <v>776</v>
      </c>
      <c r="U1237" s="7">
        <v>3</v>
      </c>
      <c r="V1237" t="s">
        <v>966</v>
      </c>
      <c r="W1237" s="257" t="s">
        <v>1030</v>
      </c>
      <c r="X1237" t="s">
        <v>1031</v>
      </c>
      <c r="Y1237" s="316" t="s">
        <v>32</v>
      </c>
      <c r="Z1237" s="8">
        <v>15</v>
      </c>
      <c r="AA1237" s="202" t="str">
        <f t="shared" si="20"/>
        <v>Лук репчатый</v>
      </c>
    </row>
    <row r="1238" spans="1:27" ht="15" customHeight="1" x14ac:dyDescent="0.25">
      <c r="A1238" t="s">
        <v>153</v>
      </c>
      <c r="L1238"/>
      <c r="M1238"/>
      <c r="N1238"/>
      <c r="O1238"/>
      <c r="P1238"/>
      <c r="T1238">
        <v>777</v>
      </c>
      <c r="U1238" s="7">
        <v>3</v>
      </c>
      <c r="V1238" t="s">
        <v>966</v>
      </c>
      <c r="W1238" s="257" t="s">
        <v>1030</v>
      </c>
      <c r="X1238" t="s">
        <v>1031</v>
      </c>
      <c r="Y1238" s="316" t="s">
        <v>439</v>
      </c>
      <c r="Z1238" s="8">
        <v>20</v>
      </c>
      <c r="AA1238" s="202" t="str">
        <f t="shared" si="20"/>
        <v>Горошек консерв.</v>
      </c>
    </row>
    <row r="1239" spans="1:27" ht="15" customHeight="1" x14ac:dyDescent="0.25">
      <c r="A1239" t="s">
        <v>153</v>
      </c>
      <c r="L1239"/>
      <c r="M1239"/>
      <c r="N1239"/>
      <c r="O1239"/>
      <c r="P1239"/>
      <c r="T1239">
        <v>778</v>
      </c>
      <c r="U1239" s="7">
        <v>3</v>
      </c>
      <c r="V1239" t="s">
        <v>966</v>
      </c>
      <c r="W1239" s="257" t="s">
        <v>1030</v>
      </c>
      <c r="X1239" t="s">
        <v>1031</v>
      </c>
      <c r="Y1239" s="316" t="s">
        <v>453</v>
      </c>
      <c r="Z1239" s="8">
        <v>20</v>
      </c>
      <c r="AA1239" s="202" t="str">
        <f t="shared" si="20"/>
        <v>Молоко коровье</v>
      </c>
    </row>
    <row r="1240" spans="1:27" ht="15" customHeight="1" x14ac:dyDescent="0.25">
      <c r="A1240" t="s">
        <v>153</v>
      </c>
      <c r="L1240"/>
      <c r="M1240"/>
      <c r="N1240"/>
      <c r="O1240"/>
      <c r="P1240"/>
      <c r="T1240">
        <v>779</v>
      </c>
      <c r="U1240" s="7">
        <v>3</v>
      </c>
      <c r="V1240" t="s">
        <v>966</v>
      </c>
      <c r="W1240" s="257" t="s">
        <v>1030</v>
      </c>
      <c r="X1240" t="s">
        <v>1031</v>
      </c>
      <c r="Y1240" s="316" t="s">
        <v>434</v>
      </c>
      <c r="Z1240" s="8">
        <v>5</v>
      </c>
      <c r="AA1240" s="202" t="str">
        <f t="shared" si="20"/>
        <v>Мука пшеничная 1 с</v>
      </c>
    </row>
    <row r="1241" spans="1:27" ht="15" customHeight="1" x14ac:dyDescent="0.25">
      <c r="A1241" t="s">
        <v>153</v>
      </c>
      <c r="L1241"/>
      <c r="M1241"/>
      <c r="N1241"/>
      <c r="O1241"/>
      <c r="P1241"/>
      <c r="T1241">
        <v>780</v>
      </c>
      <c r="U1241" s="7">
        <v>3</v>
      </c>
      <c r="V1241" t="s">
        <v>966</v>
      </c>
      <c r="W1241" s="257" t="s">
        <v>1030</v>
      </c>
      <c r="X1241" t="s">
        <v>1031</v>
      </c>
      <c r="Y1241" s="316" t="s">
        <v>61</v>
      </c>
      <c r="Z1241" s="8">
        <v>5</v>
      </c>
      <c r="AA1241" s="202" t="str">
        <f t="shared" si="20"/>
        <v>Масло растительное</v>
      </c>
    </row>
    <row r="1242" spans="1:27" ht="15" customHeight="1" x14ac:dyDescent="0.25">
      <c r="A1242" t="s">
        <v>153</v>
      </c>
      <c r="L1242"/>
      <c r="M1242"/>
      <c r="N1242"/>
      <c r="O1242"/>
      <c r="P1242"/>
      <c r="T1242">
        <v>781</v>
      </c>
      <c r="U1242" s="7">
        <v>3</v>
      </c>
      <c r="V1242" t="s">
        <v>966</v>
      </c>
      <c r="W1242" s="257" t="s">
        <v>1030</v>
      </c>
      <c r="X1242" t="s">
        <v>1031</v>
      </c>
      <c r="Y1242" s="316" t="s">
        <v>326</v>
      </c>
      <c r="Z1242" s="8">
        <v>3</v>
      </c>
      <c r="AA1242" s="202" t="str">
        <f t="shared" si="20"/>
        <v>Соль</v>
      </c>
    </row>
    <row r="1243" spans="1:27" ht="15" customHeight="1" x14ac:dyDescent="0.25">
      <c r="A1243" t="s">
        <v>153</v>
      </c>
      <c r="L1243"/>
      <c r="M1243"/>
      <c r="N1243"/>
      <c r="O1243"/>
      <c r="P1243"/>
      <c r="T1243">
        <v>782</v>
      </c>
      <c r="U1243" s="7">
        <v>3</v>
      </c>
      <c r="V1243" t="s">
        <v>966</v>
      </c>
      <c r="W1243" s="257" t="s">
        <v>1030</v>
      </c>
      <c r="X1243" t="s">
        <v>1031</v>
      </c>
      <c r="Y1243" s="316" t="s">
        <v>484</v>
      </c>
      <c r="Z1243" s="8">
        <v>0.05</v>
      </c>
      <c r="AA1243" s="202" t="str">
        <f t="shared" si="20"/>
        <v>Перец черный</v>
      </c>
    </row>
    <row r="1244" spans="1:27" ht="15" customHeight="1" x14ac:dyDescent="0.25">
      <c r="A1244" t="s">
        <v>153</v>
      </c>
      <c r="L1244"/>
      <c r="M1244"/>
      <c r="N1244"/>
      <c r="O1244"/>
      <c r="P1244"/>
      <c r="T1244">
        <v>783</v>
      </c>
      <c r="U1244" s="7">
        <v>3</v>
      </c>
      <c r="V1244" t="s">
        <v>966</v>
      </c>
      <c r="W1244" s="257" t="s">
        <v>1030</v>
      </c>
      <c r="X1244" t="s">
        <v>1031</v>
      </c>
      <c r="Y1244" s="316" t="s">
        <v>558</v>
      </c>
      <c r="Z1244" s="8">
        <v>274</v>
      </c>
      <c r="AA1244" s="202" t="str">
        <f t="shared" si="20"/>
        <v>Общая масса готового блюда, г</v>
      </c>
    </row>
    <row r="1245" spans="1:27" ht="15" customHeight="1" x14ac:dyDescent="0.25">
      <c r="A1245" t="s">
        <v>153</v>
      </c>
      <c r="L1245"/>
      <c r="M1245"/>
      <c r="N1245"/>
      <c r="O1245"/>
      <c r="P1245"/>
      <c r="T1245">
        <v>783</v>
      </c>
      <c r="U1245" s="7">
        <v>3</v>
      </c>
      <c r="V1245" t="s">
        <v>966</v>
      </c>
      <c r="W1245" s="257" t="s">
        <v>1030</v>
      </c>
      <c r="X1245" t="s">
        <v>1031</v>
      </c>
      <c r="Y1245" s="316" t="s">
        <v>109</v>
      </c>
      <c r="Z1245" s="8">
        <v>415</v>
      </c>
      <c r="AA1245" s="202" t="str">
        <f t="shared" si="20"/>
        <v>ОКГ</v>
      </c>
    </row>
    <row r="1246" spans="1:27" ht="15" customHeight="1" x14ac:dyDescent="0.25">
      <c r="A1246" t="s">
        <v>153</v>
      </c>
      <c r="L1246"/>
      <c r="M1246"/>
      <c r="N1246"/>
      <c r="O1246"/>
      <c r="P1246"/>
      <c r="T1246">
        <v>752</v>
      </c>
      <c r="U1246" s="7">
        <v>3</v>
      </c>
      <c r="V1246" t="s">
        <v>966</v>
      </c>
      <c r="W1246" s="257" t="s">
        <v>1032</v>
      </c>
      <c r="X1246" t="s">
        <v>1033</v>
      </c>
      <c r="Y1246" s="316" t="s">
        <v>45</v>
      </c>
      <c r="Z1246" s="8">
        <v>170</v>
      </c>
      <c r="AA1246" s="202" t="str">
        <f t="shared" si="20"/>
        <v>Картофель</v>
      </c>
    </row>
    <row r="1247" spans="1:27" ht="15" customHeight="1" x14ac:dyDescent="0.25">
      <c r="A1247" t="s">
        <v>153</v>
      </c>
      <c r="L1247"/>
      <c r="M1247"/>
      <c r="N1247"/>
      <c r="O1247"/>
      <c r="P1247"/>
      <c r="T1247">
        <v>753</v>
      </c>
      <c r="U1247" s="7">
        <v>3</v>
      </c>
      <c r="V1247" t="s">
        <v>966</v>
      </c>
      <c r="W1247" s="257" t="s">
        <v>1032</v>
      </c>
      <c r="X1247" t="s">
        <v>1033</v>
      </c>
      <c r="Y1247" s="316" t="s">
        <v>490</v>
      </c>
      <c r="Z1247" s="8">
        <v>170</v>
      </c>
      <c r="AA1247" s="202" t="str">
        <f t="shared" si="20"/>
        <v>Капуста свежая</v>
      </c>
    </row>
    <row r="1248" spans="1:27" ht="15" customHeight="1" x14ac:dyDescent="0.25">
      <c r="A1248" t="s">
        <v>153</v>
      </c>
      <c r="L1248"/>
      <c r="M1248"/>
      <c r="N1248"/>
      <c r="O1248"/>
      <c r="P1248"/>
      <c r="T1248">
        <v>754</v>
      </c>
      <c r="U1248" s="7">
        <v>3</v>
      </c>
      <c r="V1248" t="s">
        <v>966</v>
      </c>
      <c r="W1248" s="257" t="s">
        <v>1032</v>
      </c>
      <c r="X1248" t="s">
        <v>1033</v>
      </c>
      <c r="Y1248" s="316" t="s">
        <v>439</v>
      </c>
      <c r="Z1248" s="8">
        <v>20</v>
      </c>
      <c r="AA1248" s="202" t="str">
        <f t="shared" si="20"/>
        <v>Горошек консерв.</v>
      </c>
    </row>
    <row r="1249" spans="1:27" ht="15" customHeight="1" x14ac:dyDescent="0.25">
      <c r="A1249" t="s">
        <v>153</v>
      </c>
      <c r="L1249"/>
      <c r="M1249"/>
      <c r="N1249"/>
      <c r="O1249"/>
      <c r="P1249"/>
      <c r="T1249">
        <v>755</v>
      </c>
      <c r="U1249" s="7">
        <v>3</v>
      </c>
      <c r="V1249" t="s">
        <v>966</v>
      </c>
      <c r="W1249" s="257" t="s">
        <v>1032</v>
      </c>
      <c r="X1249" t="s">
        <v>1033</v>
      </c>
      <c r="Y1249" s="316" t="s">
        <v>434</v>
      </c>
      <c r="Z1249" s="8">
        <v>2</v>
      </c>
      <c r="AA1249" s="202" t="str">
        <f t="shared" si="20"/>
        <v>Мука пшеничная 1 с</v>
      </c>
    </row>
    <row r="1250" spans="1:27" ht="15" customHeight="1" x14ac:dyDescent="0.25">
      <c r="A1250" t="s">
        <v>153</v>
      </c>
      <c r="L1250"/>
      <c r="M1250"/>
      <c r="N1250"/>
      <c r="O1250"/>
      <c r="P1250"/>
      <c r="T1250">
        <v>756</v>
      </c>
      <c r="U1250" s="7">
        <v>3</v>
      </c>
      <c r="V1250" t="s">
        <v>966</v>
      </c>
      <c r="W1250" s="257" t="s">
        <v>1032</v>
      </c>
      <c r="X1250" t="s">
        <v>1033</v>
      </c>
      <c r="Y1250" s="316" t="s">
        <v>46</v>
      </c>
      <c r="Z1250" s="8">
        <v>15</v>
      </c>
      <c r="AA1250" s="202" t="str">
        <f t="shared" si="20"/>
        <v>Морковь</v>
      </c>
    </row>
    <row r="1251" spans="1:27" ht="15" customHeight="1" x14ac:dyDescent="0.25">
      <c r="A1251" t="s">
        <v>153</v>
      </c>
      <c r="L1251"/>
      <c r="M1251"/>
      <c r="N1251"/>
      <c r="O1251"/>
      <c r="P1251"/>
      <c r="T1251">
        <v>757</v>
      </c>
      <c r="U1251" s="7">
        <v>3</v>
      </c>
      <c r="V1251" t="s">
        <v>966</v>
      </c>
      <c r="W1251" s="257" t="s">
        <v>1032</v>
      </c>
      <c r="X1251" t="s">
        <v>1033</v>
      </c>
      <c r="Y1251" s="316" t="s">
        <v>32</v>
      </c>
      <c r="Z1251" s="8">
        <v>10</v>
      </c>
      <c r="AA1251" s="202" t="str">
        <f t="shared" si="20"/>
        <v>Лук репчатый</v>
      </c>
    </row>
    <row r="1252" spans="1:27" ht="15" customHeight="1" x14ac:dyDescent="0.25">
      <c r="A1252" t="s">
        <v>153</v>
      </c>
      <c r="L1252"/>
      <c r="M1252"/>
      <c r="N1252"/>
      <c r="O1252"/>
      <c r="P1252"/>
      <c r="T1252">
        <v>758</v>
      </c>
      <c r="U1252" s="7">
        <v>3</v>
      </c>
      <c r="V1252" t="s">
        <v>966</v>
      </c>
      <c r="W1252" s="257" t="s">
        <v>1032</v>
      </c>
      <c r="X1252" t="s">
        <v>1033</v>
      </c>
      <c r="Y1252" s="316" t="s">
        <v>76</v>
      </c>
      <c r="Z1252" s="8">
        <v>2</v>
      </c>
      <c r="AA1252" s="202" t="str">
        <f t="shared" si="20"/>
        <v>Томат-паста</v>
      </c>
    </row>
    <row r="1253" spans="1:27" ht="15" customHeight="1" x14ac:dyDescent="0.25">
      <c r="A1253" t="s">
        <v>153</v>
      </c>
      <c r="L1253"/>
      <c r="M1253"/>
      <c r="N1253"/>
      <c r="O1253"/>
      <c r="P1253"/>
      <c r="T1253">
        <v>759</v>
      </c>
      <c r="U1253" s="7">
        <v>3</v>
      </c>
      <c r="V1253" t="s">
        <v>966</v>
      </c>
      <c r="W1253" s="257" t="s">
        <v>1032</v>
      </c>
      <c r="X1253" t="s">
        <v>1033</v>
      </c>
      <c r="Y1253" s="316" t="s">
        <v>61</v>
      </c>
      <c r="Z1253" s="8">
        <v>2</v>
      </c>
      <c r="AA1253" s="202" t="str">
        <f t="shared" si="20"/>
        <v>Масло растительное</v>
      </c>
    </row>
    <row r="1254" spans="1:27" ht="15" customHeight="1" x14ac:dyDescent="0.25">
      <c r="A1254" t="s">
        <v>153</v>
      </c>
      <c r="L1254"/>
      <c r="M1254"/>
      <c r="N1254"/>
      <c r="O1254"/>
      <c r="P1254"/>
      <c r="T1254">
        <v>760</v>
      </c>
      <c r="U1254" s="7">
        <v>3</v>
      </c>
      <c r="V1254" t="s">
        <v>966</v>
      </c>
      <c r="W1254" s="257" t="s">
        <v>1032</v>
      </c>
      <c r="X1254" t="s">
        <v>1033</v>
      </c>
      <c r="Y1254" s="316" t="s">
        <v>480</v>
      </c>
      <c r="Z1254" s="8">
        <v>50</v>
      </c>
      <c r="AA1254" s="202" t="str">
        <f t="shared" si="20"/>
        <v>Вода или бульон</v>
      </c>
    </row>
    <row r="1255" spans="1:27" ht="15" customHeight="1" x14ac:dyDescent="0.25">
      <c r="A1255" t="s">
        <v>153</v>
      </c>
      <c r="L1255"/>
      <c r="M1255"/>
      <c r="N1255"/>
      <c r="O1255"/>
      <c r="P1255"/>
      <c r="T1255">
        <v>761</v>
      </c>
      <c r="U1255" s="7">
        <v>3</v>
      </c>
      <c r="V1255" t="s">
        <v>966</v>
      </c>
      <c r="W1255" s="257" t="s">
        <v>1032</v>
      </c>
      <c r="X1255" t="s">
        <v>1033</v>
      </c>
      <c r="Y1255" s="316" t="s">
        <v>484</v>
      </c>
      <c r="Z1255" s="8">
        <v>0.05</v>
      </c>
      <c r="AA1255" s="202" t="str">
        <f t="shared" si="20"/>
        <v>Перец черный</v>
      </c>
    </row>
    <row r="1256" spans="1:27" ht="15" customHeight="1" x14ac:dyDescent="0.25">
      <c r="A1256" t="s">
        <v>153</v>
      </c>
      <c r="L1256"/>
      <c r="M1256"/>
      <c r="N1256"/>
      <c r="O1256"/>
      <c r="P1256"/>
      <c r="T1256">
        <v>762</v>
      </c>
      <c r="U1256" s="7">
        <v>3</v>
      </c>
      <c r="V1256" t="s">
        <v>966</v>
      </c>
      <c r="W1256" s="257" t="s">
        <v>1032</v>
      </c>
      <c r="X1256" t="s">
        <v>1033</v>
      </c>
      <c r="Y1256" s="316" t="s">
        <v>558</v>
      </c>
      <c r="Z1256" s="8">
        <v>281</v>
      </c>
      <c r="AA1256" s="202" t="str">
        <f t="shared" si="20"/>
        <v>Общая масса готового блюда, г</v>
      </c>
    </row>
    <row r="1257" spans="1:27" ht="15" customHeight="1" x14ac:dyDescent="0.25">
      <c r="A1257" t="s">
        <v>153</v>
      </c>
      <c r="L1257"/>
      <c r="M1257"/>
      <c r="N1257"/>
      <c r="O1257"/>
      <c r="P1257"/>
      <c r="T1257">
        <v>762</v>
      </c>
      <c r="U1257" s="7">
        <v>3</v>
      </c>
      <c r="V1257" t="s">
        <v>966</v>
      </c>
      <c r="W1257" s="257" t="s">
        <v>1032</v>
      </c>
      <c r="X1257" t="s">
        <v>1033</v>
      </c>
      <c r="Y1257" s="316" t="s">
        <v>109</v>
      </c>
      <c r="Z1257" s="8">
        <v>415</v>
      </c>
      <c r="AA1257" s="202" t="str">
        <f t="shared" si="20"/>
        <v>ОКГ</v>
      </c>
    </row>
    <row r="1258" spans="1:27" ht="15" customHeight="1" x14ac:dyDescent="0.25">
      <c r="A1258" t="s">
        <v>153</v>
      </c>
      <c r="L1258"/>
      <c r="M1258"/>
      <c r="N1258"/>
      <c r="O1258"/>
      <c r="P1258"/>
      <c r="T1258">
        <v>2249</v>
      </c>
      <c r="U1258" s="7">
        <v>3</v>
      </c>
      <c r="V1258" t="s">
        <v>613</v>
      </c>
      <c r="W1258" s="257" t="s">
        <v>737</v>
      </c>
      <c r="X1258" t="s">
        <v>738</v>
      </c>
      <c r="Y1258" s="316" t="s">
        <v>458</v>
      </c>
      <c r="Z1258" s="8">
        <v>100</v>
      </c>
      <c r="AA1258" s="202" t="str">
        <f t="shared" si="20"/>
        <v>Печень</v>
      </c>
    </row>
    <row r="1259" spans="1:27" ht="15" customHeight="1" x14ac:dyDescent="0.25">
      <c r="A1259" t="s">
        <v>153</v>
      </c>
      <c r="L1259"/>
      <c r="M1259"/>
      <c r="N1259"/>
      <c r="O1259"/>
      <c r="P1259"/>
      <c r="T1259">
        <v>2250</v>
      </c>
      <c r="U1259" s="7">
        <v>3</v>
      </c>
      <c r="V1259" t="s">
        <v>613</v>
      </c>
      <c r="W1259" s="257" t="s">
        <v>737</v>
      </c>
      <c r="X1259" t="s">
        <v>738</v>
      </c>
      <c r="Y1259" s="316" t="s">
        <v>434</v>
      </c>
      <c r="Z1259" s="8">
        <v>15</v>
      </c>
      <c r="AA1259" s="202" t="str">
        <f t="shared" si="20"/>
        <v>Мука пшеничная 1 с</v>
      </c>
    </row>
    <row r="1260" spans="1:27" ht="15" customHeight="1" x14ac:dyDescent="0.25">
      <c r="A1260" t="s">
        <v>153</v>
      </c>
      <c r="L1260"/>
      <c r="M1260"/>
      <c r="N1260"/>
      <c r="O1260"/>
      <c r="P1260"/>
      <c r="T1260">
        <v>2251</v>
      </c>
      <c r="U1260" s="7">
        <v>3</v>
      </c>
      <c r="V1260" t="s">
        <v>613</v>
      </c>
      <c r="W1260" s="257" t="s">
        <v>737</v>
      </c>
      <c r="X1260" t="s">
        <v>738</v>
      </c>
      <c r="Y1260" s="316" t="s">
        <v>61</v>
      </c>
      <c r="Z1260" s="8">
        <v>5</v>
      </c>
      <c r="AA1260" s="202" t="str">
        <f t="shared" si="20"/>
        <v>Масло растительное</v>
      </c>
    </row>
    <row r="1261" spans="1:27" ht="15" customHeight="1" x14ac:dyDescent="0.25">
      <c r="A1261" t="s">
        <v>153</v>
      </c>
      <c r="L1261"/>
      <c r="M1261"/>
      <c r="N1261"/>
      <c r="O1261"/>
      <c r="P1261"/>
      <c r="T1261">
        <v>2252</v>
      </c>
      <c r="U1261" s="7">
        <v>3</v>
      </c>
      <c r="V1261" t="s">
        <v>613</v>
      </c>
      <c r="W1261" s="257" t="s">
        <v>737</v>
      </c>
      <c r="X1261" t="s">
        <v>738</v>
      </c>
      <c r="Y1261" s="316" t="s">
        <v>326</v>
      </c>
      <c r="Z1261" s="8">
        <v>2</v>
      </c>
      <c r="AA1261" s="202" t="str">
        <f t="shared" si="20"/>
        <v>Соль</v>
      </c>
    </row>
    <row r="1262" spans="1:27" ht="15" customHeight="1" x14ac:dyDescent="0.25">
      <c r="A1262" t="s">
        <v>153</v>
      </c>
      <c r="L1262"/>
      <c r="M1262"/>
      <c r="N1262"/>
      <c r="O1262"/>
      <c r="P1262"/>
      <c r="T1262">
        <v>2253</v>
      </c>
      <c r="U1262" s="7">
        <v>3</v>
      </c>
      <c r="V1262" t="s">
        <v>613</v>
      </c>
      <c r="W1262" s="257" t="s">
        <v>737</v>
      </c>
      <c r="X1262" t="s">
        <v>738</v>
      </c>
      <c r="Y1262" s="316" t="s">
        <v>484</v>
      </c>
      <c r="Z1262" s="8">
        <v>0.01</v>
      </c>
      <c r="AA1262" s="202" t="str">
        <f t="shared" si="20"/>
        <v>Перец черный</v>
      </c>
    </row>
    <row r="1263" spans="1:27" ht="15" customHeight="1" x14ac:dyDescent="0.25">
      <c r="A1263" t="s">
        <v>153</v>
      </c>
      <c r="L1263"/>
      <c r="M1263"/>
      <c r="N1263"/>
      <c r="O1263"/>
      <c r="P1263"/>
      <c r="T1263">
        <v>2254</v>
      </c>
      <c r="U1263" s="7">
        <v>3</v>
      </c>
      <c r="V1263" t="s">
        <v>613</v>
      </c>
      <c r="W1263" s="257" t="s">
        <v>737</v>
      </c>
      <c r="X1263" t="s">
        <v>738</v>
      </c>
      <c r="Y1263" s="316" t="s">
        <v>558</v>
      </c>
      <c r="Z1263" s="8">
        <v>86</v>
      </c>
      <c r="AA1263" s="202" t="str">
        <f t="shared" si="20"/>
        <v>Общая масса готового блюда, г</v>
      </c>
    </row>
    <row r="1264" spans="1:27" ht="15" customHeight="1" x14ac:dyDescent="0.25">
      <c r="A1264" t="s">
        <v>153</v>
      </c>
      <c r="L1264"/>
      <c r="M1264"/>
      <c r="N1264"/>
      <c r="O1264"/>
      <c r="P1264"/>
      <c r="T1264">
        <v>2254</v>
      </c>
      <c r="U1264" s="7">
        <v>3</v>
      </c>
      <c r="V1264" t="s">
        <v>613</v>
      </c>
      <c r="W1264" s="257" t="s">
        <v>737</v>
      </c>
      <c r="X1264" t="s">
        <v>738</v>
      </c>
      <c r="Y1264" s="316" t="s">
        <v>1214</v>
      </c>
      <c r="Z1264" s="8">
        <v>86</v>
      </c>
      <c r="AA1264" s="202" t="str">
        <f t="shared" si="20"/>
        <v>Масса мясных и рыбных порций, г</v>
      </c>
    </row>
    <row r="1265" spans="1:27" ht="15" customHeight="1" x14ac:dyDescent="0.25">
      <c r="A1265" t="s">
        <v>153</v>
      </c>
      <c r="L1265"/>
      <c r="M1265"/>
      <c r="N1265"/>
      <c r="O1265"/>
      <c r="P1265"/>
      <c r="T1265">
        <v>724</v>
      </c>
      <c r="U1265" s="7">
        <v>3</v>
      </c>
      <c r="V1265" t="s">
        <v>966</v>
      </c>
      <c r="W1265" s="257" t="s">
        <v>1034</v>
      </c>
      <c r="X1265" t="s">
        <v>1035</v>
      </c>
      <c r="Y1265" s="316" t="s">
        <v>490</v>
      </c>
      <c r="Z1265" s="8">
        <v>415</v>
      </c>
      <c r="AA1265" s="202" t="str">
        <f t="shared" si="20"/>
        <v>Капуста свежая</v>
      </c>
    </row>
    <row r="1266" spans="1:27" ht="15" customHeight="1" x14ac:dyDescent="0.25">
      <c r="A1266" t="s">
        <v>153</v>
      </c>
      <c r="L1266"/>
      <c r="M1266"/>
      <c r="N1266"/>
      <c r="O1266"/>
      <c r="P1266"/>
      <c r="T1266">
        <v>725</v>
      </c>
      <c r="U1266" s="7">
        <v>3</v>
      </c>
      <c r="V1266" t="s">
        <v>966</v>
      </c>
      <c r="W1266" s="257" t="s">
        <v>1034</v>
      </c>
      <c r="X1266" t="s">
        <v>1035</v>
      </c>
      <c r="Y1266" s="316" t="s">
        <v>453</v>
      </c>
      <c r="Z1266" s="8">
        <v>10</v>
      </c>
      <c r="AA1266" s="202" t="str">
        <f t="shared" si="20"/>
        <v>Молоко коровье</v>
      </c>
    </row>
    <row r="1267" spans="1:27" ht="15" customHeight="1" x14ac:dyDescent="0.25">
      <c r="A1267" t="s">
        <v>153</v>
      </c>
      <c r="L1267"/>
      <c r="M1267"/>
      <c r="N1267"/>
      <c r="O1267"/>
      <c r="P1267"/>
      <c r="T1267">
        <v>726</v>
      </c>
      <c r="U1267" s="7">
        <v>3</v>
      </c>
      <c r="V1267" t="s">
        <v>966</v>
      </c>
      <c r="W1267" s="257" t="s">
        <v>1034</v>
      </c>
      <c r="X1267" t="s">
        <v>1035</v>
      </c>
      <c r="Y1267" s="316" t="s">
        <v>451</v>
      </c>
      <c r="Z1267" s="8">
        <v>10</v>
      </c>
      <c r="AA1267" s="202" t="str">
        <f t="shared" si="20"/>
        <v>Сыр</v>
      </c>
    </row>
    <row r="1268" spans="1:27" ht="15" customHeight="1" x14ac:dyDescent="0.25">
      <c r="A1268" t="s">
        <v>153</v>
      </c>
      <c r="L1268"/>
      <c r="M1268"/>
      <c r="N1268"/>
      <c r="O1268"/>
      <c r="P1268"/>
      <c r="T1268">
        <v>727</v>
      </c>
      <c r="U1268" s="7">
        <v>3</v>
      </c>
      <c r="V1268" t="s">
        <v>966</v>
      </c>
      <c r="W1268" s="257" t="s">
        <v>1034</v>
      </c>
      <c r="X1268" t="s">
        <v>1035</v>
      </c>
      <c r="Y1268" s="316" t="s">
        <v>79</v>
      </c>
      <c r="Z1268" s="8">
        <v>1.667</v>
      </c>
      <c r="AA1268" s="202" t="str">
        <f t="shared" si="20"/>
        <v>Яйцо (шт)</v>
      </c>
    </row>
    <row r="1269" spans="1:27" ht="15" customHeight="1" x14ac:dyDescent="0.25">
      <c r="A1269" t="s">
        <v>153</v>
      </c>
      <c r="L1269"/>
      <c r="M1269"/>
      <c r="N1269"/>
      <c r="O1269"/>
      <c r="P1269"/>
      <c r="T1269">
        <v>728</v>
      </c>
      <c r="U1269" s="7">
        <v>3</v>
      </c>
      <c r="V1269" t="s">
        <v>966</v>
      </c>
      <c r="W1269" s="257" t="s">
        <v>1034</v>
      </c>
      <c r="X1269" t="s">
        <v>1035</v>
      </c>
      <c r="Y1269" s="316" t="s">
        <v>61</v>
      </c>
      <c r="Z1269" s="8">
        <v>5</v>
      </c>
      <c r="AA1269" s="202" t="str">
        <f t="shared" si="20"/>
        <v>Масло растительное</v>
      </c>
    </row>
    <row r="1270" spans="1:27" ht="15" customHeight="1" x14ac:dyDescent="0.25">
      <c r="A1270" t="s">
        <v>153</v>
      </c>
      <c r="L1270"/>
      <c r="M1270"/>
      <c r="N1270"/>
      <c r="O1270"/>
      <c r="P1270"/>
      <c r="T1270">
        <v>729</v>
      </c>
      <c r="U1270" s="7">
        <v>3</v>
      </c>
      <c r="V1270" t="s">
        <v>966</v>
      </c>
      <c r="W1270" s="257" t="s">
        <v>1034</v>
      </c>
      <c r="X1270" t="s">
        <v>1035</v>
      </c>
      <c r="Y1270" s="316" t="s">
        <v>434</v>
      </c>
      <c r="Z1270" s="8">
        <v>5</v>
      </c>
      <c r="AA1270" s="202" t="str">
        <f t="shared" si="20"/>
        <v>Мука пшеничная 1 с</v>
      </c>
    </row>
    <row r="1271" spans="1:27" ht="15" customHeight="1" x14ac:dyDescent="0.25">
      <c r="A1271" t="s">
        <v>153</v>
      </c>
      <c r="L1271"/>
      <c r="M1271"/>
      <c r="N1271"/>
      <c r="O1271"/>
      <c r="P1271"/>
      <c r="T1271">
        <v>730</v>
      </c>
      <c r="U1271" s="7">
        <v>3</v>
      </c>
      <c r="V1271" t="s">
        <v>966</v>
      </c>
      <c r="W1271" s="257" t="s">
        <v>1034</v>
      </c>
      <c r="X1271" t="s">
        <v>1035</v>
      </c>
      <c r="Y1271" s="316" t="s">
        <v>326</v>
      </c>
      <c r="Z1271" s="8">
        <v>3</v>
      </c>
      <c r="AA1271" s="202" t="str">
        <f t="shared" si="20"/>
        <v>Соль</v>
      </c>
    </row>
    <row r="1272" spans="1:27" ht="15" customHeight="1" x14ac:dyDescent="0.25">
      <c r="A1272" t="s">
        <v>153</v>
      </c>
      <c r="L1272"/>
      <c r="M1272"/>
      <c r="N1272"/>
      <c r="O1272"/>
      <c r="P1272"/>
      <c r="T1272">
        <v>731</v>
      </c>
      <c r="U1272" s="7">
        <v>3</v>
      </c>
      <c r="V1272" t="s">
        <v>966</v>
      </c>
      <c r="W1272" s="257" t="s">
        <v>1034</v>
      </c>
      <c r="X1272" t="s">
        <v>1035</v>
      </c>
      <c r="Y1272" s="316" t="s">
        <v>558</v>
      </c>
      <c r="Z1272" s="8">
        <v>270</v>
      </c>
      <c r="AA1272" s="202" t="str">
        <f t="shared" si="20"/>
        <v>Общая масса готового блюда, г</v>
      </c>
    </row>
    <row r="1273" spans="1:27" ht="15" customHeight="1" x14ac:dyDescent="0.25">
      <c r="A1273" t="s">
        <v>153</v>
      </c>
      <c r="L1273"/>
      <c r="M1273"/>
      <c r="N1273"/>
      <c r="O1273"/>
      <c r="P1273"/>
      <c r="T1273">
        <v>731</v>
      </c>
      <c r="U1273" s="7">
        <v>3</v>
      </c>
      <c r="V1273" t="s">
        <v>966</v>
      </c>
      <c r="W1273" s="257" t="s">
        <v>1034</v>
      </c>
      <c r="X1273" t="s">
        <v>1035</v>
      </c>
      <c r="Y1273" s="316" t="s">
        <v>109</v>
      </c>
      <c r="Z1273" s="8">
        <v>415</v>
      </c>
      <c r="AA1273" s="202" t="str">
        <f t="shared" si="20"/>
        <v>ОКГ</v>
      </c>
    </row>
    <row r="1274" spans="1:27" ht="15" customHeight="1" x14ac:dyDescent="0.25">
      <c r="A1274" t="s">
        <v>153</v>
      </c>
      <c r="L1274"/>
      <c r="M1274"/>
      <c r="N1274"/>
      <c r="O1274"/>
      <c r="P1274"/>
      <c r="T1274">
        <v>672</v>
      </c>
      <c r="U1274" s="7">
        <v>3</v>
      </c>
      <c r="V1274" t="s">
        <v>966</v>
      </c>
      <c r="W1274" s="257" t="s">
        <v>1036</v>
      </c>
      <c r="X1274" t="s">
        <v>1037</v>
      </c>
      <c r="Y1274" s="316" t="s">
        <v>45</v>
      </c>
      <c r="Z1274" s="8">
        <v>405</v>
      </c>
      <c r="AA1274" s="202" t="str">
        <f t="shared" si="20"/>
        <v>Картофель</v>
      </c>
    </row>
    <row r="1275" spans="1:27" ht="15" customHeight="1" x14ac:dyDescent="0.25">
      <c r="A1275" t="s">
        <v>153</v>
      </c>
      <c r="L1275"/>
      <c r="M1275"/>
      <c r="N1275"/>
      <c r="O1275"/>
      <c r="P1275"/>
      <c r="T1275">
        <v>673</v>
      </c>
      <c r="U1275" s="7">
        <v>3</v>
      </c>
      <c r="V1275" t="s">
        <v>966</v>
      </c>
      <c r="W1275" s="257" t="s">
        <v>1036</v>
      </c>
      <c r="X1275" t="s">
        <v>1037</v>
      </c>
      <c r="Y1275" s="316" t="s">
        <v>434</v>
      </c>
      <c r="Z1275" s="8">
        <v>5</v>
      </c>
      <c r="AA1275" s="202" t="str">
        <f t="shared" si="20"/>
        <v>Мука пшеничная 1 с</v>
      </c>
    </row>
    <row r="1276" spans="1:27" ht="15" customHeight="1" x14ac:dyDescent="0.25">
      <c r="A1276" t="s">
        <v>153</v>
      </c>
      <c r="L1276"/>
      <c r="M1276"/>
      <c r="N1276"/>
      <c r="O1276"/>
      <c r="P1276"/>
      <c r="T1276">
        <v>674</v>
      </c>
      <c r="U1276" s="7">
        <v>3</v>
      </c>
      <c r="V1276" t="s">
        <v>966</v>
      </c>
      <c r="W1276" s="257" t="s">
        <v>1036</v>
      </c>
      <c r="X1276" t="s">
        <v>1037</v>
      </c>
      <c r="Y1276" s="316" t="s">
        <v>79</v>
      </c>
      <c r="Z1276" s="8">
        <v>1.667</v>
      </c>
      <c r="AA1276" s="202" t="str">
        <f t="shared" si="20"/>
        <v>Яйцо (шт)</v>
      </c>
    </row>
    <row r="1277" spans="1:27" ht="15" customHeight="1" x14ac:dyDescent="0.25">
      <c r="A1277" t="s">
        <v>153</v>
      </c>
      <c r="L1277"/>
      <c r="M1277"/>
      <c r="N1277"/>
      <c r="O1277"/>
      <c r="P1277"/>
      <c r="T1277">
        <v>675</v>
      </c>
      <c r="U1277" s="7">
        <v>3</v>
      </c>
      <c r="V1277" t="s">
        <v>966</v>
      </c>
      <c r="W1277" s="257" t="s">
        <v>1036</v>
      </c>
      <c r="X1277" t="s">
        <v>1037</v>
      </c>
      <c r="Y1277" s="316" t="s">
        <v>451</v>
      </c>
      <c r="Z1277" s="8">
        <v>10</v>
      </c>
      <c r="AA1277" s="202" t="str">
        <f t="shared" si="20"/>
        <v>Сыр</v>
      </c>
    </row>
    <row r="1278" spans="1:27" ht="15" customHeight="1" x14ac:dyDescent="0.25">
      <c r="A1278" t="s">
        <v>153</v>
      </c>
      <c r="L1278"/>
      <c r="M1278"/>
      <c r="N1278"/>
      <c r="O1278"/>
      <c r="P1278"/>
      <c r="T1278">
        <v>676</v>
      </c>
      <c r="U1278" s="7">
        <v>3</v>
      </c>
      <c r="V1278" t="s">
        <v>966</v>
      </c>
      <c r="W1278" s="257" t="s">
        <v>1036</v>
      </c>
      <c r="X1278" t="s">
        <v>1037</v>
      </c>
      <c r="Y1278" s="316" t="s">
        <v>330</v>
      </c>
      <c r="Z1278" s="8">
        <v>60</v>
      </c>
      <c r="AA1278" s="202" t="str">
        <f t="shared" si="20"/>
        <v>Вода</v>
      </c>
    </row>
    <row r="1279" spans="1:27" ht="15" customHeight="1" x14ac:dyDescent="0.25">
      <c r="A1279" t="s">
        <v>153</v>
      </c>
      <c r="L1279"/>
      <c r="M1279"/>
      <c r="N1279"/>
      <c r="O1279"/>
      <c r="P1279"/>
      <c r="T1279">
        <v>677</v>
      </c>
      <c r="U1279" s="7">
        <v>3</v>
      </c>
      <c r="V1279" t="s">
        <v>966</v>
      </c>
      <c r="W1279" s="257" t="s">
        <v>1036</v>
      </c>
      <c r="X1279" t="s">
        <v>1037</v>
      </c>
      <c r="Y1279" s="316" t="s">
        <v>61</v>
      </c>
      <c r="Z1279" s="8">
        <v>4</v>
      </c>
      <c r="AA1279" s="202" t="str">
        <f t="shared" si="20"/>
        <v>Масло растительное</v>
      </c>
    </row>
    <row r="1280" spans="1:27" ht="15" customHeight="1" x14ac:dyDescent="0.25">
      <c r="A1280" t="s">
        <v>153</v>
      </c>
      <c r="L1280"/>
      <c r="M1280"/>
      <c r="N1280"/>
      <c r="O1280"/>
      <c r="P1280"/>
      <c r="T1280">
        <v>678</v>
      </c>
      <c r="U1280" s="7">
        <v>3</v>
      </c>
      <c r="V1280" t="s">
        <v>966</v>
      </c>
      <c r="W1280" s="257" t="s">
        <v>1036</v>
      </c>
      <c r="X1280" t="s">
        <v>1037</v>
      </c>
      <c r="Y1280" s="316" t="s">
        <v>326</v>
      </c>
      <c r="Z1280" s="8">
        <v>5</v>
      </c>
      <c r="AA1280" s="202" t="str">
        <f t="shared" si="20"/>
        <v>Соль</v>
      </c>
    </row>
    <row r="1281" spans="1:27" ht="15" customHeight="1" x14ac:dyDescent="0.25">
      <c r="A1281" t="s">
        <v>153</v>
      </c>
      <c r="L1281"/>
      <c r="M1281"/>
      <c r="N1281"/>
      <c r="O1281"/>
      <c r="P1281"/>
      <c r="T1281">
        <v>679</v>
      </c>
      <c r="U1281" s="7">
        <v>3</v>
      </c>
      <c r="V1281" t="s">
        <v>966</v>
      </c>
      <c r="W1281" s="257" t="s">
        <v>1036</v>
      </c>
      <c r="X1281" t="s">
        <v>1037</v>
      </c>
      <c r="Y1281" s="316" t="s">
        <v>484</v>
      </c>
      <c r="Z1281" s="8">
        <v>0.05</v>
      </c>
      <c r="AA1281" s="202" t="str">
        <f t="shared" si="20"/>
        <v>Перец черный</v>
      </c>
    </row>
    <row r="1282" spans="1:27" ht="15" customHeight="1" x14ac:dyDescent="0.25">
      <c r="A1282" t="s">
        <v>153</v>
      </c>
      <c r="L1282"/>
      <c r="M1282"/>
      <c r="N1282"/>
      <c r="O1282"/>
      <c r="P1282"/>
      <c r="T1282">
        <v>680</v>
      </c>
      <c r="U1282" s="7">
        <v>3</v>
      </c>
      <c r="V1282" t="s">
        <v>966</v>
      </c>
      <c r="W1282" s="257" t="s">
        <v>1036</v>
      </c>
      <c r="X1282" t="s">
        <v>1037</v>
      </c>
      <c r="Y1282" s="316" t="s">
        <v>558</v>
      </c>
      <c r="Z1282" s="8">
        <v>319</v>
      </c>
      <c r="AA1282" s="202" t="str">
        <f t="shared" ref="AA1282:AA1345" si="21">VLOOKUP(Y1282,O:P,2,FALSE)</f>
        <v>Общая масса готового блюда, г</v>
      </c>
    </row>
    <row r="1283" spans="1:27" ht="15" customHeight="1" x14ac:dyDescent="0.25">
      <c r="A1283" t="s">
        <v>153</v>
      </c>
      <c r="L1283"/>
      <c r="M1283"/>
      <c r="N1283"/>
      <c r="O1283"/>
      <c r="P1283"/>
      <c r="T1283">
        <v>680</v>
      </c>
      <c r="U1283" s="7">
        <v>3</v>
      </c>
      <c r="V1283" t="s">
        <v>966</v>
      </c>
      <c r="W1283" s="257" t="s">
        <v>1036</v>
      </c>
      <c r="X1283" t="s">
        <v>1037</v>
      </c>
      <c r="Y1283" s="316" t="s">
        <v>109</v>
      </c>
      <c r="Z1283" s="8">
        <v>415</v>
      </c>
      <c r="AA1283" s="202" t="str">
        <f t="shared" si="21"/>
        <v>ОКГ</v>
      </c>
    </row>
    <row r="1284" spans="1:27" ht="15" customHeight="1" x14ac:dyDescent="0.25">
      <c r="A1284" t="s">
        <v>153</v>
      </c>
      <c r="L1284"/>
      <c r="M1284"/>
      <c r="N1284"/>
      <c r="O1284"/>
      <c r="P1284"/>
      <c r="T1284">
        <v>2265</v>
      </c>
      <c r="U1284" s="7">
        <v>3</v>
      </c>
      <c r="V1284" t="s">
        <v>613</v>
      </c>
      <c r="W1284" s="257" t="s">
        <v>739</v>
      </c>
      <c r="X1284" t="s">
        <v>740</v>
      </c>
      <c r="Y1284" s="316" t="s">
        <v>463</v>
      </c>
      <c r="Z1284" s="8">
        <v>250</v>
      </c>
      <c r="AA1284" s="202" t="str">
        <f t="shared" si="21"/>
        <v>Пельмени</v>
      </c>
    </row>
    <row r="1285" spans="1:27" ht="15" customHeight="1" x14ac:dyDescent="0.25">
      <c r="A1285" t="s">
        <v>153</v>
      </c>
      <c r="L1285"/>
      <c r="M1285"/>
      <c r="N1285"/>
      <c r="O1285"/>
      <c r="P1285"/>
      <c r="T1285">
        <v>2266</v>
      </c>
      <c r="U1285" s="7">
        <v>3</v>
      </c>
      <c r="V1285" t="s">
        <v>613</v>
      </c>
      <c r="W1285" s="257" t="s">
        <v>739</v>
      </c>
      <c r="X1285" t="s">
        <v>740</v>
      </c>
      <c r="Y1285" s="316" t="s">
        <v>326</v>
      </c>
      <c r="Z1285" s="8">
        <v>2</v>
      </c>
      <c r="AA1285" s="202" t="str">
        <f t="shared" si="21"/>
        <v>Соль</v>
      </c>
    </row>
    <row r="1286" spans="1:27" ht="15" customHeight="1" x14ac:dyDescent="0.25">
      <c r="A1286" t="s">
        <v>153</v>
      </c>
      <c r="L1286"/>
      <c r="M1286"/>
      <c r="N1286"/>
      <c r="O1286"/>
      <c r="P1286"/>
      <c r="T1286">
        <v>2267</v>
      </c>
      <c r="U1286" s="7">
        <v>3</v>
      </c>
      <c r="V1286" t="s">
        <v>613</v>
      </c>
      <c r="W1286" s="257" t="s">
        <v>739</v>
      </c>
      <c r="X1286" t="s">
        <v>740</v>
      </c>
      <c r="Y1286" s="316" t="s">
        <v>558</v>
      </c>
      <c r="Z1286" s="8">
        <v>270</v>
      </c>
      <c r="AA1286" s="202" t="str">
        <f t="shared" si="21"/>
        <v>Общая масса готового блюда, г</v>
      </c>
    </row>
    <row r="1287" spans="1:27" ht="15" customHeight="1" x14ac:dyDescent="0.25">
      <c r="A1287" t="s">
        <v>153</v>
      </c>
      <c r="L1287"/>
      <c r="M1287"/>
      <c r="N1287"/>
      <c r="O1287"/>
      <c r="P1287"/>
      <c r="T1287">
        <v>2267</v>
      </c>
      <c r="U1287" s="7">
        <v>3</v>
      </c>
      <c r="V1287" t="s">
        <v>613</v>
      </c>
      <c r="W1287" s="257" t="s">
        <v>739</v>
      </c>
      <c r="X1287" t="s">
        <v>740</v>
      </c>
      <c r="Y1287" s="316" t="s">
        <v>1214</v>
      </c>
      <c r="Z1287" s="8">
        <v>100</v>
      </c>
      <c r="AA1287" s="202" t="str">
        <f t="shared" si="21"/>
        <v>Масса мясных и рыбных порций, г</v>
      </c>
    </row>
    <row r="1288" spans="1:27" ht="15" customHeight="1" x14ac:dyDescent="0.25">
      <c r="A1288" t="s">
        <v>153</v>
      </c>
      <c r="L1288"/>
      <c r="M1288"/>
      <c r="N1288"/>
      <c r="O1288"/>
      <c r="P1288"/>
      <c r="T1288">
        <v>2240</v>
      </c>
      <c r="U1288" s="7">
        <v>3</v>
      </c>
      <c r="V1288" t="s">
        <v>613</v>
      </c>
      <c r="W1288" s="257" t="s">
        <v>741</v>
      </c>
      <c r="X1288" t="s">
        <v>742</v>
      </c>
      <c r="Y1288" s="316" t="s">
        <v>458</v>
      </c>
      <c r="Z1288" s="8">
        <v>100</v>
      </c>
      <c r="AA1288" s="202" t="str">
        <f t="shared" si="21"/>
        <v>Печень</v>
      </c>
    </row>
    <row r="1289" spans="1:27" ht="15" customHeight="1" x14ac:dyDescent="0.25">
      <c r="A1289" t="s">
        <v>153</v>
      </c>
      <c r="L1289"/>
      <c r="M1289"/>
      <c r="N1289"/>
      <c r="O1289"/>
      <c r="P1289"/>
      <c r="T1289">
        <v>2241</v>
      </c>
      <c r="U1289" s="7">
        <v>3</v>
      </c>
      <c r="V1289" t="s">
        <v>613</v>
      </c>
      <c r="W1289" s="257" t="s">
        <v>741</v>
      </c>
      <c r="X1289" t="s">
        <v>742</v>
      </c>
      <c r="Y1289" s="316" t="s">
        <v>61</v>
      </c>
      <c r="Z1289" s="8">
        <v>5</v>
      </c>
      <c r="AA1289" s="202" t="str">
        <f t="shared" si="21"/>
        <v>Масло растительное</v>
      </c>
    </row>
    <row r="1290" spans="1:27" ht="15" customHeight="1" x14ac:dyDescent="0.25">
      <c r="A1290" t="s">
        <v>153</v>
      </c>
      <c r="L1290"/>
      <c r="M1290"/>
      <c r="N1290"/>
      <c r="O1290"/>
      <c r="P1290"/>
      <c r="T1290">
        <v>2242</v>
      </c>
      <c r="U1290" s="7">
        <v>3</v>
      </c>
      <c r="V1290" t="s">
        <v>613</v>
      </c>
      <c r="W1290" s="257" t="s">
        <v>741</v>
      </c>
      <c r="X1290" t="s">
        <v>742</v>
      </c>
      <c r="Y1290" s="316" t="s">
        <v>54</v>
      </c>
      <c r="Z1290" s="8">
        <v>10</v>
      </c>
      <c r="AA1290" s="202" t="str">
        <f t="shared" si="21"/>
        <v>Сметана</v>
      </c>
    </row>
    <row r="1291" spans="1:27" ht="15" customHeight="1" x14ac:dyDescent="0.25">
      <c r="A1291" t="s">
        <v>153</v>
      </c>
      <c r="L1291"/>
      <c r="M1291"/>
      <c r="N1291"/>
      <c r="O1291"/>
      <c r="P1291"/>
      <c r="T1291">
        <v>2243</v>
      </c>
      <c r="U1291" s="7">
        <v>3</v>
      </c>
      <c r="V1291" t="s">
        <v>613</v>
      </c>
      <c r="W1291" s="257" t="s">
        <v>741</v>
      </c>
      <c r="X1291" t="s">
        <v>742</v>
      </c>
      <c r="Y1291" s="316" t="s">
        <v>32</v>
      </c>
      <c r="Z1291" s="8">
        <v>10</v>
      </c>
      <c r="AA1291" s="202" t="str">
        <f t="shared" si="21"/>
        <v>Лук репчатый</v>
      </c>
    </row>
    <row r="1292" spans="1:27" ht="15" customHeight="1" x14ac:dyDescent="0.25">
      <c r="A1292" t="s">
        <v>153</v>
      </c>
      <c r="L1292"/>
      <c r="M1292"/>
      <c r="N1292"/>
      <c r="O1292"/>
      <c r="P1292"/>
      <c r="T1292">
        <v>2244</v>
      </c>
      <c r="U1292" s="7">
        <v>3</v>
      </c>
      <c r="V1292" t="s">
        <v>613</v>
      </c>
      <c r="W1292" s="257" t="s">
        <v>741</v>
      </c>
      <c r="X1292" t="s">
        <v>742</v>
      </c>
      <c r="Y1292" s="316" t="s">
        <v>434</v>
      </c>
      <c r="Z1292" s="8">
        <v>3</v>
      </c>
      <c r="AA1292" s="202" t="str">
        <f t="shared" si="21"/>
        <v>Мука пшеничная 1 с</v>
      </c>
    </row>
    <row r="1293" spans="1:27" ht="15" customHeight="1" x14ac:dyDescent="0.25">
      <c r="A1293" t="s">
        <v>153</v>
      </c>
      <c r="L1293"/>
      <c r="M1293"/>
      <c r="N1293"/>
      <c r="O1293"/>
      <c r="P1293"/>
      <c r="T1293">
        <v>2245</v>
      </c>
      <c r="U1293" s="7">
        <v>3</v>
      </c>
      <c r="V1293" t="s">
        <v>613</v>
      </c>
      <c r="W1293" s="257" t="s">
        <v>741</v>
      </c>
      <c r="X1293" t="s">
        <v>742</v>
      </c>
      <c r="Y1293" s="316" t="s">
        <v>326</v>
      </c>
      <c r="Z1293" s="8">
        <v>2</v>
      </c>
      <c r="AA1293" s="202" t="str">
        <f t="shared" si="21"/>
        <v>Соль</v>
      </c>
    </row>
    <row r="1294" spans="1:27" ht="15" customHeight="1" x14ac:dyDescent="0.25">
      <c r="A1294" t="s">
        <v>153</v>
      </c>
      <c r="L1294"/>
      <c r="M1294"/>
      <c r="N1294"/>
      <c r="O1294"/>
      <c r="P1294"/>
      <c r="T1294">
        <v>2246</v>
      </c>
      <c r="U1294" s="7">
        <v>3</v>
      </c>
      <c r="V1294" t="s">
        <v>613</v>
      </c>
      <c r="W1294" s="257" t="s">
        <v>741</v>
      </c>
      <c r="X1294" t="s">
        <v>742</v>
      </c>
      <c r="Y1294" s="316" t="s">
        <v>74</v>
      </c>
      <c r="Z1294" s="8">
        <v>0.01</v>
      </c>
      <c r="AA1294" s="202" t="str">
        <f t="shared" si="21"/>
        <v>Лавровый лист</v>
      </c>
    </row>
    <row r="1295" spans="1:27" ht="15" customHeight="1" x14ac:dyDescent="0.25">
      <c r="A1295" t="s">
        <v>153</v>
      </c>
      <c r="L1295"/>
      <c r="M1295"/>
      <c r="N1295"/>
      <c r="O1295"/>
      <c r="P1295"/>
      <c r="T1295">
        <v>2247</v>
      </c>
      <c r="U1295" s="7">
        <v>3</v>
      </c>
      <c r="V1295" t="s">
        <v>613</v>
      </c>
      <c r="W1295" s="257" t="s">
        <v>741</v>
      </c>
      <c r="X1295" t="s">
        <v>742</v>
      </c>
      <c r="Y1295" s="316" t="s">
        <v>484</v>
      </c>
      <c r="Z1295" s="8">
        <v>0.01</v>
      </c>
      <c r="AA1295" s="202" t="str">
        <f t="shared" si="21"/>
        <v>Перец черный</v>
      </c>
    </row>
    <row r="1296" spans="1:27" ht="15" customHeight="1" x14ac:dyDescent="0.25">
      <c r="A1296" t="s">
        <v>153</v>
      </c>
      <c r="L1296"/>
      <c r="M1296"/>
      <c r="N1296"/>
      <c r="O1296"/>
      <c r="P1296"/>
      <c r="T1296">
        <v>2248</v>
      </c>
      <c r="U1296" s="7">
        <v>3</v>
      </c>
      <c r="V1296" t="s">
        <v>613</v>
      </c>
      <c r="W1296" s="257" t="s">
        <v>741</v>
      </c>
      <c r="X1296" t="s">
        <v>742</v>
      </c>
      <c r="Y1296" s="316" t="s">
        <v>1215</v>
      </c>
      <c r="Z1296" s="8">
        <v>107</v>
      </c>
      <c r="AA1296" s="202" t="str">
        <f t="shared" si="21"/>
        <v>Общая масса готового блюда, г</v>
      </c>
    </row>
    <row r="1297" spans="1:27" ht="15" customHeight="1" x14ac:dyDescent="0.25">
      <c r="A1297" t="s">
        <v>153</v>
      </c>
      <c r="L1297"/>
      <c r="M1297"/>
      <c r="N1297"/>
      <c r="O1297"/>
      <c r="P1297"/>
      <c r="T1297">
        <v>2248</v>
      </c>
      <c r="U1297" s="7">
        <v>3</v>
      </c>
      <c r="V1297" t="s">
        <v>613</v>
      </c>
      <c r="W1297" s="257" t="s">
        <v>741</v>
      </c>
      <c r="X1297" t="s">
        <v>742</v>
      </c>
      <c r="Y1297" s="316" t="s">
        <v>1214</v>
      </c>
      <c r="Z1297" s="8">
        <v>57</v>
      </c>
      <c r="AA1297" s="202" t="str">
        <f t="shared" si="21"/>
        <v>Масса мясных и рыбных порций, г</v>
      </c>
    </row>
    <row r="1298" spans="1:27" ht="15" customHeight="1" x14ac:dyDescent="0.25">
      <c r="A1298" t="s">
        <v>153</v>
      </c>
      <c r="L1298"/>
      <c r="M1298"/>
      <c r="N1298"/>
      <c r="O1298"/>
      <c r="P1298"/>
      <c r="T1298">
        <v>2219</v>
      </c>
      <c r="U1298" s="7">
        <v>3</v>
      </c>
      <c r="V1298" t="s">
        <v>613</v>
      </c>
      <c r="W1298" s="257" t="s">
        <v>743</v>
      </c>
      <c r="X1298" t="s">
        <v>744</v>
      </c>
      <c r="Y1298" s="316" t="s">
        <v>458</v>
      </c>
      <c r="Z1298" s="8">
        <v>100</v>
      </c>
      <c r="AA1298" s="202" t="str">
        <f t="shared" si="21"/>
        <v>Печень</v>
      </c>
    </row>
    <row r="1299" spans="1:27" ht="15" customHeight="1" x14ac:dyDescent="0.25">
      <c r="A1299" t="s">
        <v>153</v>
      </c>
      <c r="L1299"/>
      <c r="M1299"/>
      <c r="N1299"/>
      <c r="O1299"/>
      <c r="P1299"/>
      <c r="T1299">
        <v>2220</v>
      </c>
      <c r="U1299" s="7">
        <v>3</v>
      </c>
      <c r="V1299" t="s">
        <v>613</v>
      </c>
      <c r="W1299" s="257" t="s">
        <v>743</v>
      </c>
      <c r="X1299" t="s">
        <v>744</v>
      </c>
      <c r="Y1299" s="316" t="s">
        <v>434</v>
      </c>
      <c r="Z1299" s="8">
        <v>5</v>
      </c>
      <c r="AA1299" s="202" t="str">
        <f t="shared" si="21"/>
        <v>Мука пшеничная 1 с</v>
      </c>
    </row>
    <row r="1300" spans="1:27" ht="15" customHeight="1" x14ac:dyDescent="0.25">
      <c r="A1300" t="s">
        <v>153</v>
      </c>
      <c r="L1300"/>
      <c r="M1300"/>
      <c r="N1300"/>
      <c r="O1300"/>
      <c r="P1300"/>
      <c r="T1300">
        <v>2221</v>
      </c>
      <c r="U1300" s="7">
        <v>3</v>
      </c>
      <c r="V1300" t="s">
        <v>613</v>
      </c>
      <c r="W1300" s="257" t="s">
        <v>743</v>
      </c>
      <c r="X1300" t="s">
        <v>744</v>
      </c>
      <c r="Y1300" s="316" t="s">
        <v>76</v>
      </c>
      <c r="Z1300" s="8">
        <v>2</v>
      </c>
      <c r="AA1300" s="202" t="str">
        <f t="shared" si="21"/>
        <v>Томат-паста</v>
      </c>
    </row>
    <row r="1301" spans="1:27" ht="15" customHeight="1" x14ac:dyDescent="0.25">
      <c r="A1301" t="s">
        <v>153</v>
      </c>
      <c r="L1301"/>
      <c r="M1301"/>
      <c r="N1301"/>
      <c r="O1301"/>
      <c r="P1301"/>
      <c r="T1301">
        <v>2222</v>
      </c>
      <c r="U1301" s="7">
        <v>3</v>
      </c>
      <c r="V1301" t="s">
        <v>613</v>
      </c>
      <c r="W1301" s="257" t="s">
        <v>743</v>
      </c>
      <c r="X1301" t="s">
        <v>744</v>
      </c>
      <c r="Y1301" s="316" t="s">
        <v>61</v>
      </c>
      <c r="Z1301" s="8">
        <v>5</v>
      </c>
      <c r="AA1301" s="202" t="str">
        <f t="shared" si="21"/>
        <v>Масло растительное</v>
      </c>
    </row>
    <row r="1302" spans="1:27" ht="15" customHeight="1" x14ac:dyDescent="0.25">
      <c r="A1302" t="s">
        <v>153</v>
      </c>
      <c r="L1302"/>
      <c r="M1302"/>
      <c r="N1302"/>
      <c r="O1302"/>
      <c r="P1302"/>
      <c r="T1302">
        <v>2223</v>
      </c>
      <c r="U1302" s="7">
        <v>3</v>
      </c>
      <c r="V1302" t="s">
        <v>613</v>
      </c>
      <c r="W1302" s="257" t="s">
        <v>743</v>
      </c>
      <c r="X1302" t="s">
        <v>744</v>
      </c>
      <c r="Y1302" s="316" t="s">
        <v>32</v>
      </c>
      <c r="Z1302" s="8">
        <v>10</v>
      </c>
      <c r="AA1302" s="202" t="str">
        <f t="shared" si="21"/>
        <v>Лук репчатый</v>
      </c>
    </row>
    <row r="1303" spans="1:27" ht="15" customHeight="1" x14ac:dyDescent="0.25">
      <c r="A1303" t="s">
        <v>153</v>
      </c>
      <c r="L1303"/>
      <c r="M1303"/>
      <c r="N1303"/>
      <c r="O1303"/>
      <c r="P1303"/>
      <c r="T1303">
        <v>2224</v>
      </c>
      <c r="U1303" s="7">
        <v>3</v>
      </c>
      <c r="V1303" t="s">
        <v>613</v>
      </c>
      <c r="W1303" s="257" t="s">
        <v>743</v>
      </c>
      <c r="X1303" t="s">
        <v>744</v>
      </c>
      <c r="Y1303" s="316" t="s">
        <v>46</v>
      </c>
      <c r="Z1303" s="8">
        <v>10</v>
      </c>
      <c r="AA1303" s="202" t="str">
        <f t="shared" si="21"/>
        <v>Морковь</v>
      </c>
    </row>
    <row r="1304" spans="1:27" ht="15" customHeight="1" x14ac:dyDescent="0.25">
      <c r="A1304" t="s">
        <v>153</v>
      </c>
      <c r="L1304"/>
      <c r="M1304"/>
      <c r="N1304"/>
      <c r="O1304"/>
      <c r="P1304"/>
      <c r="T1304">
        <v>2225</v>
      </c>
      <c r="U1304" s="7">
        <v>3</v>
      </c>
      <c r="V1304" t="s">
        <v>613</v>
      </c>
      <c r="W1304" s="257" t="s">
        <v>743</v>
      </c>
      <c r="X1304" t="s">
        <v>744</v>
      </c>
      <c r="Y1304" s="316" t="s">
        <v>445</v>
      </c>
      <c r="Z1304" s="8">
        <v>20</v>
      </c>
      <c r="AA1304" s="202" t="str">
        <f t="shared" si="21"/>
        <v>Огурцы консерв.</v>
      </c>
    </row>
    <row r="1305" spans="1:27" ht="15" customHeight="1" x14ac:dyDescent="0.25">
      <c r="A1305" t="s">
        <v>153</v>
      </c>
      <c r="L1305"/>
      <c r="M1305"/>
      <c r="N1305"/>
      <c r="O1305"/>
      <c r="P1305"/>
      <c r="T1305">
        <v>2226</v>
      </c>
      <c r="U1305" s="7">
        <v>3</v>
      </c>
      <c r="V1305" t="s">
        <v>613</v>
      </c>
      <c r="W1305" s="257" t="s">
        <v>743</v>
      </c>
      <c r="X1305" t="s">
        <v>744</v>
      </c>
      <c r="Y1305" s="316" t="s">
        <v>326</v>
      </c>
      <c r="Z1305" s="8">
        <v>2</v>
      </c>
      <c r="AA1305" s="202" t="str">
        <f t="shared" si="21"/>
        <v>Соль</v>
      </c>
    </row>
    <row r="1306" spans="1:27" ht="15" customHeight="1" x14ac:dyDescent="0.25">
      <c r="A1306" t="s">
        <v>153</v>
      </c>
      <c r="L1306"/>
      <c r="M1306"/>
      <c r="N1306"/>
      <c r="O1306"/>
      <c r="P1306"/>
      <c r="T1306">
        <v>2227</v>
      </c>
      <c r="U1306" s="7">
        <v>3</v>
      </c>
      <c r="V1306" t="s">
        <v>613</v>
      </c>
      <c r="W1306" s="257" t="s">
        <v>743</v>
      </c>
      <c r="X1306" t="s">
        <v>744</v>
      </c>
      <c r="Y1306" s="316" t="s">
        <v>74</v>
      </c>
      <c r="Z1306" s="8">
        <v>0.01</v>
      </c>
      <c r="AA1306" s="202" t="str">
        <f t="shared" si="21"/>
        <v>Лавровый лист</v>
      </c>
    </row>
    <row r="1307" spans="1:27" ht="15" customHeight="1" x14ac:dyDescent="0.25">
      <c r="A1307" t="s">
        <v>153</v>
      </c>
      <c r="L1307"/>
      <c r="M1307"/>
      <c r="N1307"/>
      <c r="O1307"/>
      <c r="P1307"/>
      <c r="T1307">
        <v>2228</v>
      </c>
      <c r="U1307" s="7">
        <v>3</v>
      </c>
      <c r="V1307" t="s">
        <v>613</v>
      </c>
      <c r="W1307" s="257" t="s">
        <v>743</v>
      </c>
      <c r="X1307" t="s">
        <v>744</v>
      </c>
      <c r="Y1307" s="316" t="s">
        <v>484</v>
      </c>
      <c r="Z1307" s="8">
        <v>0.01</v>
      </c>
      <c r="AA1307" s="202" t="str">
        <f t="shared" si="21"/>
        <v>Перец черный</v>
      </c>
    </row>
    <row r="1308" spans="1:27" ht="15" customHeight="1" x14ac:dyDescent="0.25">
      <c r="A1308" t="s">
        <v>153</v>
      </c>
      <c r="L1308"/>
      <c r="M1308"/>
      <c r="N1308"/>
      <c r="O1308"/>
      <c r="P1308"/>
      <c r="T1308">
        <v>2229</v>
      </c>
      <c r="U1308" s="7">
        <v>3</v>
      </c>
      <c r="V1308" t="s">
        <v>613</v>
      </c>
      <c r="W1308" s="257" t="s">
        <v>743</v>
      </c>
      <c r="X1308" t="s">
        <v>744</v>
      </c>
      <c r="Y1308" s="316" t="s">
        <v>1215</v>
      </c>
      <c r="Z1308" s="8">
        <v>106.4</v>
      </c>
      <c r="AA1308" s="202" t="str">
        <f t="shared" si="21"/>
        <v>Общая масса готового блюда, г</v>
      </c>
    </row>
    <row r="1309" spans="1:27" ht="15" customHeight="1" x14ac:dyDescent="0.25">
      <c r="A1309" t="s">
        <v>153</v>
      </c>
      <c r="L1309"/>
      <c r="M1309"/>
      <c r="N1309"/>
      <c r="O1309"/>
      <c r="P1309"/>
      <c r="T1309">
        <v>2229</v>
      </c>
      <c r="U1309" s="7">
        <v>3</v>
      </c>
      <c r="V1309" t="s">
        <v>613</v>
      </c>
      <c r="W1309" s="257" t="s">
        <v>743</v>
      </c>
      <c r="X1309" t="s">
        <v>744</v>
      </c>
      <c r="Y1309" s="316" t="s">
        <v>1214</v>
      </c>
      <c r="Z1309" s="8">
        <v>56.4</v>
      </c>
      <c r="AA1309" s="202" t="str">
        <f t="shared" si="21"/>
        <v>Масса мясных и рыбных порций, г</v>
      </c>
    </row>
    <row r="1310" spans="1:27" ht="15" customHeight="1" x14ac:dyDescent="0.25">
      <c r="A1310" t="s">
        <v>153</v>
      </c>
      <c r="L1310"/>
      <c r="M1310"/>
      <c r="N1310"/>
      <c r="O1310"/>
      <c r="P1310"/>
      <c r="T1310">
        <v>2230</v>
      </c>
      <c r="U1310" s="7">
        <v>3</v>
      </c>
      <c r="V1310" t="s">
        <v>613</v>
      </c>
      <c r="W1310" s="257" t="s">
        <v>745</v>
      </c>
      <c r="X1310" t="s">
        <v>746</v>
      </c>
      <c r="Y1310" s="316" t="s">
        <v>458</v>
      </c>
      <c r="Z1310" s="8">
        <v>100</v>
      </c>
      <c r="AA1310" s="202" t="str">
        <f t="shared" si="21"/>
        <v>Печень</v>
      </c>
    </row>
    <row r="1311" spans="1:27" ht="15" customHeight="1" x14ac:dyDescent="0.25">
      <c r="A1311" t="s">
        <v>153</v>
      </c>
      <c r="L1311"/>
      <c r="M1311"/>
      <c r="N1311"/>
      <c r="O1311"/>
      <c r="P1311"/>
      <c r="T1311">
        <v>2231</v>
      </c>
      <c r="U1311" s="7">
        <v>3</v>
      </c>
      <c r="V1311" t="s">
        <v>613</v>
      </c>
      <c r="W1311" s="257" t="s">
        <v>745</v>
      </c>
      <c r="X1311" t="s">
        <v>746</v>
      </c>
      <c r="Y1311" s="316" t="s">
        <v>434</v>
      </c>
      <c r="Z1311" s="8">
        <v>5</v>
      </c>
      <c r="AA1311" s="202" t="str">
        <f t="shared" si="21"/>
        <v>Мука пшеничная 1 с</v>
      </c>
    </row>
    <row r="1312" spans="1:27" ht="15" customHeight="1" x14ac:dyDescent="0.25">
      <c r="A1312" t="s">
        <v>153</v>
      </c>
      <c r="L1312"/>
      <c r="M1312"/>
      <c r="N1312"/>
      <c r="O1312"/>
      <c r="P1312"/>
      <c r="T1312">
        <v>2232</v>
      </c>
      <c r="U1312" s="7">
        <v>3</v>
      </c>
      <c r="V1312" t="s">
        <v>613</v>
      </c>
      <c r="W1312" s="257" t="s">
        <v>745</v>
      </c>
      <c r="X1312" t="s">
        <v>746</v>
      </c>
      <c r="Y1312" s="316" t="s">
        <v>76</v>
      </c>
      <c r="Z1312" s="8">
        <v>2</v>
      </c>
      <c r="AA1312" s="202" t="str">
        <f t="shared" si="21"/>
        <v>Томат-паста</v>
      </c>
    </row>
    <row r="1313" spans="1:27" ht="15" customHeight="1" x14ac:dyDescent="0.25">
      <c r="A1313" t="s">
        <v>153</v>
      </c>
      <c r="L1313"/>
      <c r="M1313"/>
      <c r="N1313"/>
      <c r="O1313"/>
      <c r="P1313"/>
      <c r="T1313">
        <v>2233</v>
      </c>
      <c r="U1313" s="7">
        <v>3</v>
      </c>
      <c r="V1313" t="s">
        <v>613</v>
      </c>
      <c r="W1313" s="257" t="s">
        <v>745</v>
      </c>
      <c r="X1313" t="s">
        <v>746</v>
      </c>
      <c r="Y1313" s="316" t="s">
        <v>61</v>
      </c>
      <c r="Z1313" s="8">
        <v>5</v>
      </c>
      <c r="AA1313" s="202" t="str">
        <f t="shared" si="21"/>
        <v>Масло растительное</v>
      </c>
    </row>
    <row r="1314" spans="1:27" ht="15" customHeight="1" x14ac:dyDescent="0.25">
      <c r="A1314" t="s">
        <v>153</v>
      </c>
      <c r="L1314"/>
      <c r="M1314"/>
      <c r="N1314"/>
      <c r="O1314"/>
      <c r="P1314"/>
      <c r="T1314">
        <v>2234</v>
      </c>
      <c r="U1314" s="7">
        <v>3</v>
      </c>
      <c r="V1314" t="s">
        <v>613</v>
      </c>
      <c r="W1314" s="257" t="s">
        <v>745</v>
      </c>
      <c r="X1314" t="s">
        <v>746</v>
      </c>
      <c r="Y1314" s="316" t="s">
        <v>32</v>
      </c>
      <c r="Z1314" s="8">
        <v>10</v>
      </c>
      <c r="AA1314" s="202" t="str">
        <f t="shared" si="21"/>
        <v>Лук репчатый</v>
      </c>
    </row>
    <row r="1315" spans="1:27" ht="15" customHeight="1" x14ac:dyDescent="0.25">
      <c r="A1315" t="s">
        <v>153</v>
      </c>
      <c r="L1315"/>
      <c r="M1315"/>
      <c r="N1315"/>
      <c r="O1315"/>
      <c r="P1315"/>
      <c r="T1315">
        <v>2235</v>
      </c>
      <c r="U1315" s="7">
        <v>3</v>
      </c>
      <c r="V1315" t="s">
        <v>613</v>
      </c>
      <c r="W1315" s="257" t="s">
        <v>745</v>
      </c>
      <c r="X1315" t="s">
        <v>746</v>
      </c>
      <c r="Y1315" s="316" t="s">
        <v>46</v>
      </c>
      <c r="Z1315" s="8">
        <v>10</v>
      </c>
      <c r="AA1315" s="202" t="str">
        <f t="shared" si="21"/>
        <v>Морковь</v>
      </c>
    </row>
    <row r="1316" spans="1:27" ht="15" customHeight="1" x14ac:dyDescent="0.25">
      <c r="A1316" t="s">
        <v>153</v>
      </c>
      <c r="L1316"/>
      <c r="M1316"/>
      <c r="N1316"/>
      <c r="O1316"/>
      <c r="P1316"/>
      <c r="T1316">
        <v>2236</v>
      </c>
      <c r="U1316" s="7">
        <v>3</v>
      </c>
      <c r="V1316" t="s">
        <v>613</v>
      </c>
      <c r="W1316" s="257" t="s">
        <v>745</v>
      </c>
      <c r="X1316" t="s">
        <v>746</v>
      </c>
      <c r="Y1316" s="316" t="s">
        <v>326</v>
      </c>
      <c r="Z1316" s="8">
        <v>2</v>
      </c>
      <c r="AA1316" s="202" t="str">
        <f t="shared" si="21"/>
        <v>Соль</v>
      </c>
    </row>
    <row r="1317" spans="1:27" ht="15" customHeight="1" x14ac:dyDescent="0.25">
      <c r="A1317" t="s">
        <v>153</v>
      </c>
      <c r="L1317"/>
      <c r="M1317"/>
      <c r="N1317"/>
      <c r="O1317"/>
      <c r="P1317"/>
      <c r="T1317">
        <v>2237</v>
      </c>
      <c r="U1317" s="7">
        <v>3</v>
      </c>
      <c r="V1317" t="s">
        <v>613</v>
      </c>
      <c r="W1317" s="257" t="s">
        <v>745</v>
      </c>
      <c r="X1317" t="s">
        <v>746</v>
      </c>
      <c r="Y1317" s="316" t="s">
        <v>74</v>
      </c>
      <c r="Z1317" s="8">
        <v>0.01</v>
      </c>
      <c r="AA1317" s="202" t="str">
        <f t="shared" si="21"/>
        <v>Лавровый лист</v>
      </c>
    </row>
    <row r="1318" spans="1:27" ht="15" customHeight="1" x14ac:dyDescent="0.25">
      <c r="A1318" t="s">
        <v>153</v>
      </c>
      <c r="L1318"/>
      <c r="M1318"/>
      <c r="N1318"/>
      <c r="O1318"/>
      <c r="P1318"/>
      <c r="T1318">
        <v>2238</v>
      </c>
      <c r="U1318" s="7">
        <v>3</v>
      </c>
      <c r="V1318" t="s">
        <v>613</v>
      </c>
      <c r="W1318" s="257" t="s">
        <v>745</v>
      </c>
      <c r="X1318" t="s">
        <v>746</v>
      </c>
      <c r="Y1318" s="316" t="s">
        <v>484</v>
      </c>
      <c r="Z1318" s="8">
        <v>0.01</v>
      </c>
      <c r="AA1318" s="202" t="str">
        <f t="shared" si="21"/>
        <v>Перец черный</v>
      </c>
    </row>
    <row r="1319" spans="1:27" ht="15" customHeight="1" x14ac:dyDescent="0.25">
      <c r="A1319" t="s">
        <v>153</v>
      </c>
      <c r="L1319"/>
      <c r="M1319"/>
      <c r="N1319"/>
      <c r="O1319"/>
      <c r="P1319"/>
      <c r="T1319">
        <v>2239</v>
      </c>
      <c r="U1319" s="7">
        <v>3</v>
      </c>
      <c r="V1319" t="s">
        <v>613</v>
      </c>
      <c r="W1319" s="257" t="s">
        <v>745</v>
      </c>
      <c r="X1319" t="s">
        <v>746</v>
      </c>
      <c r="Y1319" s="316" t="s">
        <v>1215</v>
      </c>
      <c r="Z1319" s="8">
        <v>106.4</v>
      </c>
      <c r="AA1319" s="202" t="str">
        <f t="shared" si="21"/>
        <v>Общая масса готового блюда, г</v>
      </c>
    </row>
    <row r="1320" spans="1:27" ht="15" customHeight="1" x14ac:dyDescent="0.25">
      <c r="A1320" t="s">
        <v>153</v>
      </c>
      <c r="L1320"/>
      <c r="M1320"/>
      <c r="N1320"/>
      <c r="O1320"/>
      <c r="P1320"/>
      <c r="T1320">
        <v>2239</v>
      </c>
      <c r="U1320" s="7">
        <v>3</v>
      </c>
      <c r="V1320" t="s">
        <v>613</v>
      </c>
      <c r="W1320" s="257" t="s">
        <v>745</v>
      </c>
      <c r="X1320" t="s">
        <v>746</v>
      </c>
      <c r="Y1320" s="316" t="s">
        <v>1214</v>
      </c>
      <c r="Z1320" s="8">
        <v>56.4</v>
      </c>
      <c r="AA1320" s="202" t="str">
        <f t="shared" si="21"/>
        <v>Масса мясных и рыбных порций, г</v>
      </c>
    </row>
    <row r="1321" spans="1:27" ht="15" customHeight="1" x14ac:dyDescent="0.25">
      <c r="A1321" t="s">
        <v>153</v>
      </c>
      <c r="L1321"/>
      <c r="M1321"/>
      <c r="N1321"/>
      <c r="O1321"/>
      <c r="P1321"/>
      <c r="T1321">
        <v>2877</v>
      </c>
      <c r="U1321" s="7">
        <v>3</v>
      </c>
      <c r="V1321" t="s">
        <v>1192</v>
      </c>
      <c r="W1321" s="257" t="s">
        <v>85</v>
      </c>
      <c r="X1321" t="s">
        <v>85</v>
      </c>
      <c r="Y1321" s="316" t="s">
        <v>85</v>
      </c>
      <c r="Z1321" s="8">
        <v>60</v>
      </c>
      <c r="AA1321" s="202" t="str">
        <f t="shared" si="21"/>
        <v>Печенье</v>
      </c>
    </row>
    <row r="1322" spans="1:27" ht="15" customHeight="1" x14ac:dyDescent="0.25">
      <c r="A1322" t="s">
        <v>153</v>
      </c>
      <c r="L1322"/>
      <c r="M1322"/>
      <c r="N1322"/>
      <c r="O1322"/>
      <c r="P1322"/>
      <c r="T1322">
        <v>2878</v>
      </c>
      <c r="U1322" s="7">
        <v>3</v>
      </c>
      <c r="V1322" t="s">
        <v>1192</v>
      </c>
      <c r="W1322" s="257" t="s">
        <v>85</v>
      </c>
      <c r="X1322" t="s">
        <v>85</v>
      </c>
      <c r="Y1322" s="316" t="s">
        <v>558</v>
      </c>
      <c r="Z1322" s="8">
        <v>60</v>
      </c>
      <c r="AA1322" s="202" t="str">
        <f t="shared" si="21"/>
        <v>Общая масса готового блюда, г</v>
      </c>
    </row>
    <row r="1323" spans="1:27" ht="15" customHeight="1" x14ac:dyDescent="0.25">
      <c r="A1323" t="s">
        <v>153</v>
      </c>
      <c r="L1323"/>
      <c r="M1323"/>
      <c r="N1323"/>
      <c r="O1323"/>
      <c r="P1323"/>
      <c r="T1323">
        <v>1969</v>
      </c>
      <c r="U1323" s="7">
        <v>3</v>
      </c>
      <c r="V1323" t="s">
        <v>613</v>
      </c>
      <c r="W1323" s="257" t="s">
        <v>747</v>
      </c>
      <c r="X1323" t="s">
        <v>748</v>
      </c>
      <c r="Y1323" s="316" t="s">
        <v>454</v>
      </c>
      <c r="Z1323" s="8">
        <v>0.75</v>
      </c>
      <c r="AA1323" s="202" t="str">
        <f t="shared" si="21"/>
        <v>Говядина б/к</v>
      </c>
    </row>
    <row r="1324" spans="1:27" ht="15" customHeight="1" x14ac:dyDescent="0.25">
      <c r="A1324" t="s">
        <v>153</v>
      </c>
      <c r="L1324"/>
      <c r="M1324"/>
      <c r="N1324"/>
      <c r="O1324"/>
      <c r="P1324"/>
      <c r="T1324">
        <v>1970</v>
      </c>
      <c r="U1324" s="7">
        <v>3</v>
      </c>
      <c r="V1324" t="s">
        <v>613</v>
      </c>
      <c r="W1324" s="257" t="s">
        <v>747</v>
      </c>
      <c r="X1324" t="s">
        <v>748</v>
      </c>
      <c r="Y1324" s="316" t="s">
        <v>432</v>
      </c>
      <c r="Z1324" s="8">
        <v>81</v>
      </c>
      <c r="AA1324" s="202" t="str">
        <f t="shared" si="21"/>
        <v>Рис</v>
      </c>
    </row>
    <row r="1325" spans="1:27" ht="15" customHeight="1" x14ac:dyDescent="0.25">
      <c r="A1325" t="s">
        <v>153</v>
      </c>
      <c r="L1325"/>
      <c r="M1325"/>
      <c r="N1325"/>
      <c r="O1325"/>
      <c r="P1325"/>
      <c r="T1325">
        <v>1971</v>
      </c>
      <c r="U1325" s="7">
        <v>3</v>
      </c>
      <c r="V1325" t="s">
        <v>613</v>
      </c>
      <c r="W1325" s="257" t="s">
        <v>747</v>
      </c>
      <c r="X1325" t="s">
        <v>748</v>
      </c>
      <c r="Y1325" s="316" t="s">
        <v>61</v>
      </c>
      <c r="Z1325" s="8">
        <v>5</v>
      </c>
      <c r="AA1325" s="202" t="str">
        <f t="shared" si="21"/>
        <v>Масло растительное</v>
      </c>
    </row>
    <row r="1326" spans="1:27" ht="15" customHeight="1" x14ac:dyDescent="0.25">
      <c r="A1326" t="s">
        <v>153</v>
      </c>
      <c r="L1326"/>
      <c r="M1326"/>
      <c r="N1326"/>
      <c r="O1326"/>
      <c r="P1326"/>
      <c r="T1326">
        <v>1972</v>
      </c>
      <c r="U1326" s="7">
        <v>3</v>
      </c>
      <c r="V1326" t="s">
        <v>613</v>
      </c>
      <c r="W1326" s="257" t="s">
        <v>747</v>
      </c>
      <c r="X1326" t="s">
        <v>748</v>
      </c>
      <c r="Y1326" s="316" t="s">
        <v>32</v>
      </c>
      <c r="Z1326" s="8">
        <v>10</v>
      </c>
      <c r="AA1326" s="202" t="str">
        <f t="shared" si="21"/>
        <v>Лук репчатый</v>
      </c>
    </row>
    <row r="1327" spans="1:27" ht="15" customHeight="1" x14ac:dyDescent="0.25">
      <c r="A1327" t="s">
        <v>153</v>
      </c>
      <c r="L1327"/>
      <c r="M1327"/>
      <c r="N1327"/>
      <c r="O1327"/>
      <c r="P1327"/>
      <c r="T1327">
        <v>1973</v>
      </c>
      <c r="U1327" s="7">
        <v>3</v>
      </c>
      <c r="V1327" t="s">
        <v>613</v>
      </c>
      <c r="W1327" s="257" t="s">
        <v>747</v>
      </c>
      <c r="X1327" t="s">
        <v>748</v>
      </c>
      <c r="Y1327" s="316" t="s">
        <v>46</v>
      </c>
      <c r="Z1327" s="8">
        <v>10</v>
      </c>
      <c r="AA1327" s="202" t="str">
        <f t="shared" si="21"/>
        <v>Морковь</v>
      </c>
    </row>
    <row r="1328" spans="1:27" ht="15" customHeight="1" x14ac:dyDescent="0.25">
      <c r="A1328" t="s">
        <v>153</v>
      </c>
      <c r="L1328"/>
      <c r="M1328"/>
      <c r="N1328"/>
      <c r="O1328"/>
      <c r="P1328"/>
      <c r="T1328">
        <v>1974</v>
      </c>
      <c r="U1328" s="7">
        <v>3</v>
      </c>
      <c r="V1328" t="s">
        <v>613</v>
      </c>
      <c r="W1328" s="257" t="s">
        <v>747</v>
      </c>
      <c r="X1328" t="s">
        <v>748</v>
      </c>
      <c r="Y1328" s="316" t="s">
        <v>76</v>
      </c>
      <c r="Z1328" s="8">
        <v>2</v>
      </c>
      <c r="AA1328" s="202" t="str">
        <f t="shared" si="21"/>
        <v>Томат-паста</v>
      </c>
    </row>
    <row r="1329" spans="1:27" ht="15" customHeight="1" x14ac:dyDescent="0.25">
      <c r="A1329" t="s">
        <v>153</v>
      </c>
      <c r="L1329"/>
      <c r="M1329"/>
      <c r="N1329"/>
      <c r="O1329"/>
      <c r="P1329"/>
      <c r="T1329">
        <v>1975</v>
      </c>
      <c r="U1329" s="7">
        <v>3</v>
      </c>
      <c r="V1329" t="s">
        <v>613</v>
      </c>
      <c r="W1329" s="257" t="s">
        <v>747</v>
      </c>
      <c r="X1329" t="s">
        <v>748</v>
      </c>
      <c r="Y1329" s="316" t="s">
        <v>326</v>
      </c>
      <c r="Z1329" s="8">
        <v>2</v>
      </c>
      <c r="AA1329" s="202" t="str">
        <f t="shared" si="21"/>
        <v>Соль</v>
      </c>
    </row>
    <row r="1330" spans="1:27" ht="15" customHeight="1" x14ac:dyDescent="0.25">
      <c r="A1330" t="s">
        <v>153</v>
      </c>
      <c r="L1330"/>
      <c r="M1330"/>
      <c r="N1330"/>
      <c r="O1330"/>
      <c r="P1330"/>
      <c r="T1330">
        <v>1976</v>
      </c>
      <c r="U1330" s="7">
        <v>3</v>
      </c>
      <c r="V1330" t="s">
        <v>613</v>
      </c>
      <c r="W1330" s="257" t="s">
        <v>747</v>
      </c>
      <c r="X1330" t="s">
        <v>748</v>
      </c>
      <c r="Y1330" s="316" t="s">
        <v>74</v>
      </c>
      <c r="Z1330" s="8">
        <v>0.02</v>
      </c>
      <c r="AA1330" s="202" t="str">
        <f t="shared" si="21"/>
        <v>Лавровый лист</v>
      </c>
    </row>
    <row r="1331" spans="1:27" ht="15" customHeight="1" x14ac:dyDescent="0.25">
      <c r="A1331" t="s">
        <v>153</v>
      </c>
      <c r="L1331"/>
      <c r="M1331"/>
      <c r="N1331"/>
      <c r="O1331"/>
      <c r="P1331"/>
      <c r="T1331">
        <v>1977</v>
      </c>
      <c r="U1331" s="7">
        <v>3</v>
      </c>
      <c r="V1331" t="s">
        <v>613</v>
      </c>
      <c r="W1331" s="257" t="s">
        <v>747</v>
      </c>
      <c r="X1331" t="s">
        <v>748</v>
      </c>
      <c r="Y1331" s="316" t="s">
        <v>484</v>
      </c>
      <c r="Z1331" s="8">
        <v>0.01</v>
      </c>
      <c r="AA1331" s="202" t="str">
        <f t="shared" si="21"/>
        <v>Перец черный</v>
      </c>
    </row>
    <row r="1332" spans="1:27" ht="15" customHeight="1" x14ac:dyDescent="0.25">
      <c r="A1332" t="s">
        <v>153</v>
      </c>
      <c r="L1332"/>
      <c r="M1332"/>
      <c r="N1332"/>
      <c r="O1332"/>
      <c r="P1332"/>
      <c r="T1332">
        <v>1978</v>
      </c>
      <c r="U1332" s="7">
        <v>3</v>
      </c>
      <c r="V1332" t="s">
        <v>613</v>
      </c>
      <c r="W1332" s="257" t="s">
        <v>747</v>
      </c>
      <c r="X1332" t="s">
        <v>748</v>
      </c>
      <c r="Y1332" s="316" t="s">
        <v>558</v>
      </c>
      <c r="Z1332" s="8">
        <v>256</v>
      </c>
      <c r="AA1332" s="202" t="str">
        <f t="shared" si="21"/>
        <v>Общая масса готового блюда, г</v>
      </c>
    </row>
    <row r="1333" spans="1:27" ht="15" customHeight="1" x14ac:dyDescent="0.25">
      <c r="A1333" t="s">
        <v>153</v>
      </c>
      <c r="L1333"/>
      <c r="M1333"/>
      <c r="N1333"/>
      <c r="O1333"/>
      <c r="P1333"/>
      <c r="T1333">
        <v>1978</v>
      </c>
      <c r="U1333" s="7">
        <v>3</v>
      </c>
      <c r="V1333" t="s">
        <v>613</v>
      </c>
      <c r="W1333" s="257" t="s">
        <v>747</v>
      </c>
      <c r="X1333" t="s">
        <v>748</v>
      </c>
      <c r="Y1333" s="316" t="s">
        <v>109</v>
      </c>
      <c r="Z1333" s="8">
        <v>375</v>
      </c>
      <c r="AA1333" s="202" t="str">
        <f t="shared" si="21"/>
        <v>ОКГ</v>
      </c>
    </row>
    <row r="1334" spans="1:27" ht="15" customHeight="1" x14ac:dyDescent="0.25">
      <c r="A1334" t="s">
        <v>153</v>
      </c>
      <c r="L1334"/>
      <c r="M1334"/>
      <c r="N1334"/>
      <c r="O1334"/>
      <c r="P1334"/>
      <c r="T1334">
        <v>1978</v>
      </c>
      <c r="U1334" s="7">
        <v>3</v>
      </c>
      <c r="V1334" t="s">
        <v>613</v>
      </c>
      <c r="W1334" s="257" t="s">
        <v>747</v>
      </c>
      <c r="X1334" t="s">
        <v>748</v>
      </c>
      <c r="Y1334" s="316" t="s">
        <v>1214</v>
      </c>
      <c r="Z1334" s="8">
        <v>47</v>
      </c>
      <c r="AA1334" s="202" t="str">
        <f t="shared" si="21"/>
        <v>Масса мясных и рыбных порций, г</v>
      </c>
    </row>
    <row r="1335" spans="1:27" ht="15" customHeight="1" x14ac:dyDescent="0.25">
      <c r="A1335" t="s">
        <v>153</v>
      </c>
      <c r="L1335"/>
      <c r="M1335"/>
      <c r="N1335"/>
      <c r="O1335"/>
      <c r="P1335"/>
      <c r="T1335">
        <v>1958</v>
      </c>
      <c r="U1335" s="7">
        <v>3</v>
      </c>
      <c r="V1335" t="s">
        <v>613</v>
      </c>
      <c r="W1335" s="257" t="s">
        <v>749</v>
      </c>
      <c r="X1335" t="s">
        <v>750</v>
      </c>
      <c r="Y1335" s="316" t="s">
        <v>455</v>
      </c>
      <c r="Z1335" s="8">
        <v>100</v>
      </c>
      <c r="AA1335" s="202" t="str">
        <f t="shared" si="21"/>
        <v>Говядина н/к</v>
      </c>
    </row>
    <row r="1336" spans="1:27" ht="15" customHeight="1" x14ac:dyDescent="0.25">
      <c r="A1336" t="s">
        <v>153</v>
      </c>
      <c r="L1336"/>
      <c r="M1336"/>
      <c r="N1336"/>
      <c r="O1336"/>
      <c r="P1336"/>
      <c r="T1336">
        <v>1959</v>
      </c>
      <c r="U1336" s="7">
        <v>3</v>
      </c>
      <c r="V1336" t="s">
        <v>613</v>
      </c>
      <c r="W1336" s="257" t="s">
        <v>749</v>
      </c>
      <c r="X1336" t="s">
        <v>750</v>
      </c>
      <c r="Y1336" s="316" t="s">
        <v>454</v>
      </c>
      <c r="Z1336" s="8">
        <v>0.75</v>
      </c>
      <c r="AA1336" s="202" t="str">
        <f t="shared" si="21"/>
        <v>Говядина б/к</v>
      </c>
    </row>
    <row r="1337" spans="1:27" ht="15" customHeight="1" x14ac:dyDescent="0.25">
      <c r="A1337" t="s">
        <v>153</v>
      </c>
      <c r="L1337"/>
      <c r="M1337"/>
      <c r="N1337"/>
      <c r="O1337"/>
      <c r="P1337"/>
      <c r="T1337">
        <v>1960</v>
      </c>
      <c r="U1337" s="7">
        <v>3</v>
      </c>
      <c r="V1337" t="s">
        <v>613</v>
      </c>
      <c r="W1337" s="257" t="s">
        <v>749</v>
      </c>
      <c r="X1337" t="s">
        <v>750</v>
      </c>
      <c r="Y1337" s="316" t="s">
        <v>432</v>
      </c>
      <c r="Z1337" s="8">
        <v>81</v>
      </c>
      <c r="AA1337" s="202" t="str">
        <f t="shared" si="21"/>
        <v>Рис</v>
      </c>
    </row>
    <row r="1338" spans="1:27" ht="15" customHeight="1" x14ac:dyDescent="0.25">
      <c r="A1338" t="s">
        <v>153</v>
      </c>
      <c r="L1338"/>
      <c r="M1338"/>
      <c r="N1338"/>
      <c r="O1338"/>
      <c r="P1338"/>
      <c r="T1338">
        <v>1961</v>
      </c>
      <c r="U1338" s="7">
        <v>3</v>
      </c>
      <c r="V1338" t="s">
        <v>613</v>
      </c>
      <c r="W1338" s="257" t="s">
        <v>749</v>
      </c>
      <c r="X1338" t="s">
        <v>750</v>
      </c>
      <c r="Y1338" s="316" t="s">
        <v>61</v>
      </c>
      <c r="Z1338" s="8">
        <v>5</v>
      </c>
      <c r="AA1338" s="202" t="str">
        <f t="shared" si="21"/>
        <v>Масло растительное</v>
      </c>
    </row>
    <row r="1339" spans="1:27" ht="15" customHeight="1" x14ac:dyDescent="0.25">
      <c r="A1339" t="s">
        <v>153</v>
      </c>
      <c r="L1339"/>
      <c r="M1339"/>
      <c r="N1339"/>
      <c r="O1339"/>
      <c r="P1339"/>
      <c r="T1339">
        <v>1962</v>
      </c>
      <c r="U1339" s="7">
        <v>3</v>
      </c>
      <c r="V1339" t="s">
        <v>613</v>
      </c>
      <c r="W1339" s="257" t="s">
        <v>749</v>
      </c>
      <c r="X1339" t="s">
        <v>750</v>
      </c>
      <c r="Y1339" s="316" t="s">
        <v>32</v>
      </c>
      <c r="Z1339" s="8">
        <v>10</v>
      </c>
      <c r="AA1339" s="202" t="str">
        <f t="shared" si="21"/>
        <v>Лук репчатый</v>
      </c>
    </row>
    <row r="1340" spans="1:27" ht="15" customHeight="1" x14ac:dyDescent="0.25">
      <c r="A1340" t="s">
        <v>153</v>
      </c>
      <c r="L1340"/>
      <c r="M1340"/>
      <c r="N1340"/>
      <c r="O1340"/>
      <c r="P1340"/>
      <c r="T1340">
        <v>1963</v>
      </c>
      <c r="U1340" s="7">
        <v>3</v>
      </c>
      <c r="V1340" t="s">
        <v>613</v>
      </c>
      <c r="W1340" s="257" t="s">
        <v>749</v>
      </c>
      <c r="X1340" t="s">
        <v>750</v>
      </c>
      <c r="Y1340" s="316" t="s">
        <v>46</v>
      </c>
      <c r="Z1340" s="8">
        <v>10</v>
      </c>
      <c r="AA1340" s="202" t="str">
        <f t="shared" si="21"/>
        <v>Морковь</v>
      </c>
    </row>
    <row r="1341" spans="1:27" ht="15" customHeight="1" x14ac:dyDescent="0.25">
      <c r="A1341" t="s">
        <v>153</v>
      </c>
      <c r="L1341"/>
      <c r="M1341"/>
      <c r="N1341"/>
      <c r="O1341"/>
      <c r="P1341"/>
      <c r="T1341">
        <v>1964</v>
      </c>
      <c r="U1341" s="7">
        <v>3</v>
      </c>
      <c r="V1341" t="s">
        <v>613</v>
      </c>
      <c r="W1341" s="257" t="s">
        <v>749</v>
      </c>
      <c r="X1341" t="s">
        <v>750</v>
      </c>
      <c r="Y1341" s="316" t="s">
        <v>76</v>
      </c>
      <c r="Z1341" s="8">
        <v>2</v>
      </c>
      <c r="AA1341" s="202" t="str">
        <f t="shared" si="21"/>
        <v>Томат-паста</v>
      </c>
    </row>
    <row r="1342" spans="1:27" ht="15" customHeight="1" x14ac:dyDescent="0.25">
      <c r="A1342" t="s">
        <v>153</v>
      </c>
      <c r="L1342"/>
      <c r="M1342"/>
      <c r="N1342"/>
      <c r="O1342"/>
      <c r="P1342"/>
      <c r="T1342">
        <v>1965</v>
      </c>
      <c r="U1342" s="7">
        <v>3</v>
      </c>
      <c r="V1342" t="s">
        <v>613</v>
      </c>
      <c r="W1342" s="257" t="s">
        <v>749</v>
      </c>
      <c r="X1342" t="s">
        <v>750</v>
      </c>
      <c r="Y1342" s="316" t="s">
        <v>326</v>
      </c>
      <c r="Z1342" s="8">
        <v>2</v>
      </c>
      <c r="AA1342" s="202" t="str">
        <f t="shared" si="21"/>
        <v>Соль</v>
      </c>
    </row>
    <row r="1343" spans="1:27" ht="15" customHeight="1" x14ac:dyDescent="0.25">
      <c r="A1343" t="s">
        <v>153</v>
      </c>
      <c r="L1343"/>
      <c r="M1343"/>
      <c r="N1343"/>
      <c r="O1343"/>
      <c r="P1343"/>
      <c r="T1343">
        <v>1966</v>
      </c>
      <c r="U1343" s="7">
        <v>3</v>
      </c>
      <c r="V1343" t="s">
        <v>613</v>
      </c>
      <c r="W1343" s="257" t="s">
        <v>749</v>
      </c>
      <c r="X1343" t="s">
        <v>750</v>
      </c>
      <c r="Y1343" s="316" t="s">
        <v>74</v>
      </c>
      <c r="Z1343" s="8">
        <v>0.02</v>
      </c>
      <c r="AA1343" s="202" t="str">
        <f t="shared" si="21"/>
        <v>Лавровый лист</v>
      </c>
    </row>
    <row r="1344" spans="1:27" ht="15" customHeight="1" x14ac:dyDescent="0.25">
      <c r="A1344" t="s">
        <v>153</v>
      </c>
      <c r="L1344"/>
      <c r="M1344"/>
      <c r="N1344"/>
      <c r="O1344"/>
      <c r="P1344"/>
      <c r="T1344">
        <v>1967</v>
      </c>
      <c r="U1344" s="7">
        <v>3</v>
      </c>
      <c r="V1344" t="s">
        <v>613</v>
      </c>
      <c r="W1344" s="257" t="s">
        <v>749</v>
      </c>
      <c r="X1344" t="s">
        <v>750</v>
      </c>
      <c r="Y1344" s="316" t="s">
        <v>484</v>
      </c>
      <c r="Z1344" s="8">
        <v>0.01</v>
      </c>
      <c r="AA1344" s="202" t="str">
        <f t="shared" si="21"/>
        <v>Перец черный</v>
      </c>
    </row>
    <row r="1345" spans="1:27" ht="15" customHeight="1" x14ac:dyDescent="0.25">
      <c r="A1345" t="s">
        <v>153</v>
      </c>
      <c r="L1345"/>
      <c r="M1345"/>
      <c r="N1345"/>
      <c r="O1345"/>
      <c r="P1345"/>
      <c r="T1345">
        <v>1968</v>
      </c>
      <c r="U1345" s="7">
        <v>3</v>
      </c>
      <c r="V1345" t="s">
        <v>613</v>
      </c>
      <c r="W1345" s="257" t="s">
        <v>749</v>
      </c>
      <c r="X1345" t="s">
        <v>750</v>
      </c>
      <c r="Y1345" s="316" t="s">
        <v>558</v>
      </c>
      <c r="Z1345" s="8">
        <v>256</v>
      </c>
      <c r="AA1345" s="202" t="str">
        <f t="shared" si="21"/>
        <v>Общая масса готового блюда, г</v>
      </c>
    </row>
    <row r="1346" spans="1:27" ht="15" customHeight="1" x14ac:dyDescent="0.25">
      <c r="A1346" t="s">
        <v>153</v>
      </c>
      <c r="L1346"/>
      <c r="M1346"/>
      <c r="N1346"/>
      <c r="O1346"/>
      <c r="P1346"/>
      <c r="T1346">
        <v>1968</v>
      </c>
      <c r="U1346" s="7">
        <v>3</v>
      </c>
      <c r="V1346" t="s">
        <v>613</v>
      </c>
      <c r="W1346" s="257" t="s">
        <v>749</v>
      </c>
      <c r="X1346" t="s">
        <v>750</v>
      </c>
      <c r="Y1346" s="316" t="s">
        <v>109</v>
      </c>
      <c r="Z1346" s="8">
        <v>375</v>
      </c>
      <c r="AA1346" s="202" t="str">
        <f t="shared" ref="AA1346:AA1409" si="22">VLOOKUP(Y1346,O:P,2,FALSE)</f>
        <v>ОКГ</v>
      </c>
    </row>
    <row r="1347" spans="1:27" ht="15" customHeight="1" x14ac:dyDescent="0.25">
      <c r="A1347" t="s">
        <v>153</v>
      </c>
      <c r="L1347"/>
      <c r="M1347"/>
      <c r="N1347"/>
      <c r="O1347"/>
      <c r="P1347"/>
      <c r="T1347">
        <v>1968</v>
      </c>
      <c r="U1347" s="7">
        <v>3</v>
      </c>
      <c r="V1347" t="s">
        <v>613</v>
      </c>
      <c r="W1347" s="257" t="s">
        <v>749</v>
      </c>
      <c r="X1347" t="s">
        <v>750</v>
      </c>
      <c r="Y1347" s="316" t="s">
        <v>1214</v>
      </c>
      <c r="Z1347" s="8">
        <v>47</v>
      </c>
      <c r="AA1347" s="202" t="str">
        <f t="shared" si="22"/>
        <v>Масса мясных и рыбных порций, г</v>
      </c>
    </row>
    <row r="1348" spans="1:27" ht="15" customHeight="1" x14ac:dyDescent="0.25">
      <c r="A1348" t="s">
        <v>153</v>
      </c>
      <c r="L1348"/>
      <c r="M1348"/>
      <c r="N1348"/>
      <c r="O1348"/>
      <c r="P1348"/>
      <c r="T1348">
        <v>2200</v>
      </c>
      <c r="U1348" s="7">
        <v>3</v>
      </c>
      <c r="V1348" t="s">
        <v>613</v>
      </c>
      <c r="W1348" s="257" t="s">
        <v>751</v>
      </c>
      <c r="X1348" t="s">
        <v>752</v>
      </c>
      <c r="Y1348" s="316" t="s">
        <v>65</v>
      </c>
      <c r="Z1348" s="8">
        <v>100</v>
      </c>
      <c r="AA1348" s="202" t="str">
        <f t="shared" si="22"/>
        <v>Мясо птицы</v>
      </c>
    </row>
    <row r="1349" spans="1:27" ht="15" customHeight="1" x14ac:dyDescent="0.25">
      <c r="A1349" t="s">
        <v>153</v>
      </c>
      <c r="L1349"/>
      <c r="M1349"/>
      <c r="N1349"/>
      <c r="O1349"/>
      <c r="P1349"/>
      <c r="T1349">
        <v>2201</v>
      </c>
      <c r="U1349" s="7">
        <v>3</v>
      </c>
      <c r="V1349" t="s">
        <v>613</v>
      </c>
      <c r="W1349" s="257" t="s">
        <v>751</v>
      </c>
      <c r="X1349" t="s">
        <v>752</v>
      </c>
      <c r="Y1349" s="316" t="s">
        <v>432</v>
      </c>
      <c r="Z1349" s="8">
        <v>79</v>
      </c>
      <c r="AA1349" s="202" t="str">
        <f t="shared" si="22"/>
        <v>Рис</v>
      </c>
    </row>
    <row r="1350" spans="1:27" ht="15" customHeight="1" x14ac:dyDescent="0.25">
      <c r="A1350" t="s">
        <v>153</v>
      </c>
      <c r="L1350"/>
      <c r="M1350"/>
      <c r="N1350"/>
      <c r="O1350"/>
      <c r="P1350"/>
      <c r="T1350">
        <v>2202</v>
      </c>
      <c r="U1350" s="7">
        <v>3</v>
      </c>
      <c r="V1350" t="s">
        <v>613</v>
      </c>
      <c r="W1350" s="257" t="s">
        <v>751</v>
      </c>
      <c r="X1350" t="s">
        <v>752</v>
      </c>
      <c r="Y1350" s="316" t="s">
        <v>46</v>
      </c>
      <c r="Z1350" s="8">
        <v>10</v>
      </c>
      <c r="AA1350" s="202" t="str">
        <f t="shared" si="22"/>
        <v>Морковь</v>
      </c>
    </row>
    <row r="1351" spans="1:27" ht="15" customHeight="1" x14ac:dyDescent="0.25">
      <c r="A1351" t="s">
        <v>153</v>
      </c>
      <c r="L1351"/>
      <c r="M1351"/>
      <c r="N1351"/>
      <c r="O1351"/>
      <c r="P1351"/>
      <c r="T1351">
        <v>2203</v>
      </c>
      <c r="U1351" s="7">
        <v>3</v>
      </c>
      <c r="V1351" t="s">
        <v>613</v>
      </c>
      <c r="W1351" s="257" t="s">
        <v>751</v>
      </c>
      <c r="X1351" t="s">
        <v>752</v>
      </c>
      <c r="Y1351" s="316" t="s">
        <v>32</v>
      </c>
      <c r="Z1351" s="8">
        <v>10</v>
      </c>
      <c r="AA1351" s="202" t="str">
        <f t="shared" si="22"/>
        <v>Лук репчатый</v>
      </c>
    </row>
    <row r="1352" spans="1:27" ht="15" customHeight="1" x14ac:dyDescent="0.25">
      <c r="A1352" t="s">
        <v>153</v>
      </c>
      <c r="L1352"/>
      <c r="M1352"/>
      <c r="N1352"/>
      <c r="O1352"/>
      <c r="P1352"/>
      <c r="T1352">
        <v>2204</v>
      </c>
      <c r="U1352" s="7">
        <v>3</v>
      </c>
      <c r="V1352" t="s">
        <v>613</v>
      </c>
      <c r="W1352" s="257" t="s">
        <v>751</v>
      </c>
      <c r="X1352" t="s">
        <v>752</v>
      </c>
      <c r="Y1352" s="316" t="s">
        <v>61</v>
      </c>
      <c r="Z1352" s="8">
        <v>4</v>
      </c>
      <c r="AA1352" s="202" t="str">
        <f t="shared" si="22"/>
        <v>Масло растительное</v>
      </c>
    </row>
    <row r="1353" spans="1:27" ht="15" customHeight="1" x14ac:dyDescent="0.25">
      <c r="A1353" t="s">
        <v>153</v>
      </c>
      <c r="L1353"/>
      <c r="M1353"/>
      <c r="N1353"/>
      <c r="O1353"/>
      <c r="P1353"/>
      <c r="T1353">
        <v>2205</v>
      </c>
      <c r="U1353" s="7">
        <v>3</v>
      </c>
      <c r="V1353" t="s">
        <v>613</v>
      </c>
      <c r="W1353" s="257" t="s">
        <v>751</v>
      </c>
      <c r="X1353" t="s">
        <v>752</v>
      </c>
      <c r="Y1353" s="316" t="s">
        <v>326</v>
      </c>
      <c r="Z1353" s="8">
        <v>4</v>
      </c>
      <c r="AA1353" s="202" t="str">
        <f t="shared" si="22"/>
        <v>Соль</v>
      </c>
    </row>
    <row r="1354" spans="1:27" ht="15" customHeight="1" x14ac:dyDescent="0.25">
      <c r="A1354" t="s">
        <v>153</v>
      </c>
      <c r="L1354"/>
      <c r="M1354"/>
      <c r="N1354"/>
      <c r="O1354"/>
      <c r="P1354"/>
      <c r="T1354">
        <v>2206</v>
      </c>
      <c r="U1354" s="7">
        <v>3</v>
      </c>
      <c r="V1354" t="s">
        <v>613</v>
      </c>
      <c r="W1354" s="257" t="s">
        <v>751</v>
      </c>
      <c r="X1354" t="s">
        <v>752</v>
      </c>
      <c r="Y1354" s="316" t="s">
        <v>484</v>
      </c>
      <c r="Z1354" s="8">
        <v>0.01</v>
      </c>
      <c r="AA1354" s="202" t="str">
        <f t="shared" si="22"/>
        <v>Перец черный</v>
      </c>
    </row>
    <row r="1355" spans="1:27" ht="15" customHeight="1" x14ac:dyDescent="0.25">
      <c r="A1355" t="s">
        <v>153</v>
      </c>
      <c r="L1355"/>
      <c r="M1355"/>
      <c r="N1355"/>
      <c r="O1355"/>
      <c r="P1355"/>
      <c r="T1355">
        <v>2207</v>
      </c>
      <c r="U1355" s="7">
        <v>3</v>
      </c>
      <c r="V1355" t="s">
        <v>613</v>
      </c>
      <c r="W1355" s="257" t="s">
        <v>751</v>
      </c>
      <c r="X1355" t="s">
        <v>752</v>
      </c>
      <c r="Y1355" s="316" t="s">
        <v>558</v>
      </c>
      <c r="Z1355" s="8">
        <v>293</v>
      </c>
      <c r="AA1355" s="202" t="str">
        <f t="shared" si="22"/>
        <v>Общая масса готового блюда, г</v>
      </c>
    </row>
    <row r="1356" spans="1:27" ht="15" customHeight="1" x14ac:dyDescent="0.25">
      <c r="A1356" t="s">
        <v>153</v>
      </c>
      <c r="L1356"/>
      <c r="M1356"/>
      <c r="N1356"/>
      <c r="O1356"/>
      <c r="P1356"/>
      <c r="T1356">
        <v>2207</v>
      </c>
      <c r="U1356" s="7">
        <v>3</v>
      </c>
      <c r="V1356" t="s">
        <v>613</v>
      </c>
      <c r="W1356" s="257" t="s">
        <v>751</v>
      </c>
      <c r="X1356" t="s">
        <v>752</v>
      </c>
      <c r="Y1356" s="316" t="s">
        <v>1214</v>
      </c>
      <c r="Z1356" s="8">
        <v>61</v>
      </c>
      <c r="AA1356" s="202" t="str">
        <f t="shared" si="22"/>
        <v>Масса мясных и рыбных порций, г</v>
      </c>
    </row>
    <row r="1357" spans="1:27" ht="15" customHeight="1" x14ac:dyDescent="0.25">
      <c r="A1357" t="s">
        <v>153</v>
      </c>
      <c r="L1357"/>
      <c r="M1357"/>
      <c r="N1357"/>
      <c r="O1357"/>
      <c r="P1357"/>
      <c r="T1357">
        <v>2207</v>
      </c>
      <c r="U1357" s="7">
        <v>3</v>
      </c>
      <c r="V1357" t="s">
        <v>613</v>
      </c>
      <c r="W1357" s="257" t="s">
        <v>751</v>
      </c>
      <c r="X1357" t="s">
        <v>752</v>
      </c>
      <c r="Y1357" s="316" t="s">
        <v>109</v>
      </c>
      <c r="Z1357" s="8">
        <v>375</v>
      </c>
      <c r="AA1357" s="202" t="str">
        <f t="shared" si="22"/>
        <v>ОКГ</v>
      </c>
    </row>
    <row r="1358" spans="1:27" ht="15" customHeight="1" x14ac:dyDescent="0.25">
      <c r="A1358" t="s">
        <v>153</v>
      </c>
      <c r="L1358"/>
      <c r="M1358"/>
      <c r="N1358"/>
      <c r="O1358"/>
      <c r="P1358"/>
      <c r="T1358">
        <v>2124</v>
      </c>
      <c r="U1358" s="7">
        <v>3</v>
      </c>
      <c r="V1358" t="s">
        <v>613</v>
      </c>
      <c r="W1358" s="257" t="s">
        <v>753</v>
      </c>
      <c r="X1358" t="s">
        <v>754</v>
      </c>
      <c r="Y1358" s="316" t="s">
        <v>462</v>
      </c>
      <c r="Z1358" s="8">
        <v>100</v>
      </c>
      <c r="AA1358" s="202" t="str">
        <f t="shared" si="22"/>
        <v>Свинина на кости</v>
      </c>
    </row>
    <row r="1359" spans="1:27" ht="15" customHeight="1" x14ac:dyDescent="0.25">
      <c r="A1359" t="s">
        <v>153</v>
      </c>
      <c r="L1359"/>
      <c r="M1359"/>
      <c r="N1359"/>
      <c r="O1359"/>
      <c r="P1359"/>
      <c r="T1359">
        <v>2125</v>
      </c>
      <c r="U1359" s="7">
        <v>3</v>
      </c>
      <c r="V1359" t="s">
        <v>613</v>
      </c>
      <c r="W1359" s="257" t="s">
        <v>753</v>
      </c>
      <c r="X1359" t="s">
        <v>754</v>
      </c>
      <c r="Y1359" s="316" t="s">
        <v>432</v>
      </c>
      <c r="Z1359" s="8">
        <v>81</v>
      </c>
      <c r="AA1359" s="202" t="str">
        <f t="shared" si="22"/>
        <v>Рис</v>
      </c>
    </row>
    <row r="1360" spans="1:27" ht="15" customHeight="1" x14ac:dyDescent="0.25">
      <c r="A1360" t="s">
        <v>153</v>
      </c>
      <c r="L1360"/>
      <c r="M1360"/>
      <c r="N1360"/>
      <c r="O1360"/>
      <c r="P1360"/>
      <c r="T1360">
        <v>2126</v>
      </c>
      <c r="U1360" s="7">
        <v>3</v>
      </c>
      <c r="V1360" t="s">
        <v>613</v>
      </c>
      <c r="W1360" s="257" t="s">
        <v>753</v>
      </c>
      <c r="X1360" t="s">
        <v>754</v>
      </c>
      <c r="Y1360" s="316" t="s">
        <v>61</v>
      </c>
      <c r="Z1360" s="8">
        <v>5</v>
      </c>
      <c r="AA1360" s="202" t="str">
        <f t="shared" si="22"/>
        <v>Масло растительное</v>
      </c>
    </row>
    <row r="1361" spans="1:27" ht="15" customHeight="1" x14ac:dyDescent="0.25">
      <c r="A1361" t="s">
        <v>153</v>
      </c>
      <c r="L1361"/>
      <c r="M1361"/>
      <c r="N1361"/>
      <c r="O1361"/>
      <c r="P1361"/>
      <c r="T1361">
        <v>2127</v>
      </c>
      <c r="U1361" s="7">
        <v>3</v>
      </c>
      <c r="V1361" t="s">
        <v>613</v>
      </c>
      <c r="W1361" s="257" t="s">
        <v>753</v>
      </c>
      <c r="X1361" t="s">
        <v>754</v>
      </c>
      <c r="Y1361" s="316" t="s">
        <v>32</v>
      </c>
      <c r="Z1361" s="8">
        <v>10</v>
      </c>
      <c r="AA1361" s="202" t="str">
        <f t="shared" si="22"/>
        <v>Лук репчатый</v>
      </c>
    </row>
    <row r="1362" spans="1:27" ht="15" customHeight="1" x14ac:dyDescent="0.25">
      <c r="A1362" t="s">
        <v>153</v>
      </c>
      <c r="L1362"/>
      <c r="M1362"/>
      <c r="N1362"/>
      <c r="O1362"/>
      <c r="P1362"/>
      <c r="T1362">
        <v>2128</v>
      </c>
      <c r="U1362" s="7">
        <v>3</v>
      </c>
      <c r="V1362" t="s">
        <v>613</v>
      </c>
      <c r="W1362" s="257" t="s">
        <v>753</v>
      </c>
      <c r="X1362" t="s">
        <v>754</v>
      </c>
      <c r="Y1362" s="316" t="s">
        <v>46</v>
      </c>
      <c r="Z1362" s="8">
        <v>10</v>
      </c>
      <c r="AA1362" s="202" t="str">
        <f t="shared" si="22"/>
        <v>Морковь</v>
      </c>
    </row>
    <row r="1363" spans="1:27" ht="15" customHeight="1" x14ac:dyDescent="0.25">
      <c r="A1363" t="s">
        <v>153</v>
      </c>
      <c r="L1363"/>
      <c r="M1363"/>
      <c r="N1363"/>
      <c r="O1363"/>
      <c r="P1363"/>
      <c r="T1363">
        <v>2129</v>
      </c>
      <c r="U1363" s="7">
        <v>3</v>
      </c>
      <c r="V1363" t="s">
        <v>613</v>
      </c>
      <c r="W1363" s="257" t="s">
        <v>753</v>
      </c>
      <c r="X1363" t="s">
        <v>754</v>
      </c>
      <c r="Y1363" s="316" t="s">
        <v>76</v>
      </c>
      <c r="Z1363" s="8">
        <v>2</v>
      </c>
      <c r="AA1363" s="202" t="str">
        <f t="shared" si="22"/>
        <v>Томат-паста</v>
      </c>
    </row>
    <row r="1364" spans="1:27" ht="15" customHeight="1" x14ac:dyDescent="0.25">
      <c r="A1364" t="s">
        <v>153</v>
      </c>
      <c r="L1364"/>
      <c r="M1364"/>
      <c r="N1364"/>
      <c r="O1364"/>
      <c r="P1364"/>
      <c r="T1364">
        <v>2130</v>
      </c>
      <c r="U1364" s="7">
        <v>3</v>
      </c>
      <c r="V1364" t="s">
        <v>613</v>
      </c>
      <c r="W1364" s="257" t="s">
        <v>753</v>
      </c>
      <c r="X1364" t="s">
        <v>754</v>
      </c>
      <c r="Y1364" s="316" t="s">
        <v>326</v>
      </c>
      <c r="Z1364" s="8">
        <v>2</v>
      </c>
      <c r="AA1364" s="202" t="str">
        <f t="shared" si="22"/>
        <v>Соль</v>
      </c>
    </row>
    <row r="1365" spans="1:27" ht="15" customHeight="1" x14ac:dyDescent="0.25">
      <c r="A1365" t="s">
        <v>153</v>
      </c>
      <c r="L1365"/>
      <c r="M1365"/>
      <c r="N1365"/>
      <c r="O1365"/>
      <c r="P1365"/>
      <c r="T1365">
        <v>2131</v>
      </c>
      <c r="U1365" s="7">
        <v>3</v>
      </c>
      <c r="V1365" t="s">
        <v>613</v>
      </c>
      <c r="W1365" s="257" t="s">
        <v>753</v>
      </c>
      <c r="X1365" t="s">
        <v>754</v>
      </c>
      <c r="Y1365" s="316" t="s">
        <v>484</v>
      </c>
      <c r="Z1365" s="8">
        <v>0.01</v>
      </c>
      <c r="AA1365" s="202" t="str">
        <f t="shared" si="22"/>
        <v>Перец черный</v>
      </c>
    </row>
    <row r="1366" spans="1:27" ht="15" customHeight="1" x14ac:dyDescent="0.25">
      <c r="A1366" t="s">
        <v>153</v>
      </c>
      <c r="L1366"/>
      <c r="M1366"/>
      <c r="N1366"/>
      <c r="O1366"/>
      <c r="P1366"/>
      <c r="T1366">
        <v>2132</v>
      </c>
      <c r="U1366" s="7">
        <v>3</v>
      </c>
      <c r="V1366" t="s">
        <v>613</v>
      </c>
      <c r="W1366" s="257" t="s">
        <v>753</v>
      </c>
      <c r="X1366" t="s">
        <v>754</v>
      </c>
      <c r="Y1366" s="316" t="s">
        <v>74</v>
      </c>
      <c r="Z1366" s="8">
        <v>0.01</v>
      </c>
      <c r="AA1366" s="202" t="str">
        <f t="shared" si="22"/>
        <v>Лавровый лист</v>
      </c>
    </row>
    <row r="1367" spans="1:27" ht="15" customHeight="1" x14ac:dyDescent="0.25">
      <c r="A1367" t="s">
        <v>153</v>
      </c>
      <c r="L1367"/>
      <c r="M1367"/>
      <c r="N1367"/>
      <c r="O1367"/>
      <c r="P1367"/>
      <c r="T1367">
        <v>2133</v>
      </c>
      <c r="U1367" s="7">
        <v>3</v>
      </c>
      <c r="V1367" t="s">
        <v>613</v>
      </c>
      <c r="W1367" s="257" t="s">
        <v>753</v>
      </c>
      <c r="X1367" t="s">
        <v>754</v>
      </c>
      <c r="Y1367" s="316" t="s">
        <v>1214</v>
      </c>
      <c r="Z1367" s="8">
        <v>58</v>
      </c>
      <c r="AA1367" s="202" t="str">
        <f t="shared" si="22"/>
        <v>Масса мясных и рыбных порций, г</v>
      </c>
    </row>
    <row r="1368" spans="1:27" ht="15" customHeight="1" x14ac:dyDescent="0.25">
      <c r="A1368" t="s">
        <v>153</v>
      </c>
      <c r="L1368"/>
      <c r="M1368"/>
      <c r="N1368"/>
      <c r="O1368"/>
      <c r="P1368"/>
      <c r="T1368">
        <v>2133</v>
      </c>
      <c r="U1368" s="7">
        <v>3</v>
      </c>
      <c r="V1368" t="s">
        <v>613</v>
      </c>
      <c r="W1368" s="257" t="s">
        <v>753</v>
      </c>
      <c r="X1368" t="s">
        <v>754</v>
      </c>
      <c r="Y1368" s="316" t="s">
        <v>558</v>
      </c>
      <c r="Z1368" s="8">
        <v>267</v>
      </c>
      <c r="AA1368" s="202" t="str">
        <f t="shared" si="22"/>
        <v>Общая масса готового блюда, г</v>
      </c>
    </row>
    <row r="1369" spans="1:27" ht="15" customHeight="1" x14ac:dyDescent="0.25">
      <c r="A1369" t="s">
        <v>153</v>
      </c>
      <c r="L1369"/>
      <c r="M1369"/>
      <c r="N1369"/>
      <c r="O1369"/>
      <c r="P1369"/>
      <c r="T1369">
        <v>2133</v>
      </c>
      <c r="U1369" s="7">
        <v>3</v>
      </c>
      <c r="V1369" t="s">
        <v>613</v>
      </c>
      <c r="W1369" s="257" t="s">
        <v>753</v>
      </c>
      <c r="X1369" t="s">
        <v>754</v>
      </c>
      <c r="Y1369" s="316" t="s">
        <v>109</v>
      </c>
      <c r="Z1369" s="8">
        <v>375</v>
      </c>
      <c r="AA1369" s="202" t="str">
        <f t="shared" si="22"/>
        <v>ОКГ</v>
      </c>
    </row>
    <row r="1370" spans="1:27" ht="15" customHeight="1" x14ac:dyDescent="0.25">
      <c r="A1370" t="s">
        <v>153</v>
      </c>
      <c r="L1370"/>
      <c r="M1370"/>
      <c r="N1370"/>
      <c r="O1370"/>
      <c r="P1370"/>
      <c r="T1370">
        <v>547</v>
      </c>
      <c r="U1370" s="7">
        <v>3</v>
      </c>
      <c r="V1370" t="s">
        <v>966</v>
      </c>
      <c r="W1370" s="257" t="s">
        <v>1038</v>
      </c>
      <c r="X1370" t="s">
        <v>1039</v>
      </c>
      <c r="Y1370" s="316" t="s">
        <v>432</v>
      </c>
      <c r="Z1370" s="8">
        <v>77</v>
      </c>
      <c r="AA1370" s="202" t="str">
        <f t="shared" si="22"/>
        <v>Рис</v>
      </c>
    </row>
    <row r="1371" spans="1:27" ht="15" customHeight="1" x14ac:dyDescent="0.25">
      <c r="A1371" t="s">
        <v>153</v>
      </c>
      <c r="L1371"/>
      <c r="M1371"/>
      <c r="N1371"/>
      <c r="O1371"/>
      <c r="P1371"/>
      <c r="T1371">
        <v>548</v>
      </c>
      <c r="U1371" s="7">
        <v>3</v>
      </c>
      <c r="V1371" t="s">
        <v>966</v>
      </c>
      <c r="W1371" s="257" t="s">
        <v>1038</v>
      </c>
      <c r="X1371" t="s">
        <v>1039</v>
      </c>
      <c r="Y1371" s="316" t="s">
        <v>46</v>
      </c>
      <c r="Z1371" s="8">
        <v>15</v>
      </c>
      <c r="AA1371" s="202" t="str">
        <f t="shared" si="22"/>
        <v>Морковь</v>
      </c>
    </row>
    <row r="1372" spans="1:27" ht="15" customHeight="1" x14ac:dyDescent="0.25">
      <c r="A1372" t="s">
        <v>153</v>
      </c>
      <c r="L1372"/>
      <c r="M1372"/>
      <c r="N1372"/>
      <c r="O1372"/>
      <c r="P1372"/>
      <c r="T1372">
        <v>549</v>
      </c>
      <c r="U1372" s="7">
        <v>3</v>
      </c>
      <c r="V1372" t="s">
        <v>966</v>
      </c>
      <c r="W1372" s="257" t="s">
        <v>1038</v>
      </c>
      <c r="X1372" t="s">
        <v>1039</v>
      </c>
      <c r="Y1372" s="316" t="s">
        <v>32</v>
      </c>
      <c r="Z1372" s="8">
        <v>10</v>
      </c>
      <c r="AA1372" s="202" t="str">
        <f t="shared" si="22"/>
        <v>Лук репчатый</v>
      </c>
    </row>
    <row r="1373" spans="1:27" ht="15" customHeight="1" x14ac:dyDescent="0.25">
      <c r="A1373" t="s">
        <v>153</v>
      </c>
      <c r="L1373"/>
      <c r="M1373"/>
      <c r="N1373"/>
      <c r="O1373"/>
      <c r="P1373"/>
      <c r="T1373">
        <v>550</v>
      </c>
      <c r="U1373" s="7">
        <v>3</v>
      </c>
      <c r="V1373" t="s">
        <v>966</v>
      </c>
      <c r="W1373" s="257" t="s">
        <v>1038</v>
      </c>
      <c r="X1373" t="s">
        <v>1039</v>
      </c>
      <c r="Y1373" s="316" t="s">
        <v>61</v>
      </c>
      <c r="Z1373" s="8">
        <v>5</v>
      </c>
      <c r="AA1373" s="202" t="str">
        <f t="shared" si="22"/>
        <v>Масло растительное</v>
      </c>
    </row>
    <row r="1374" spans="1:27" ht="15" customHeight="1" x14ac:dyDescent="0.25">
      <c r="A1374" t="s">
        <v>153</v>
      </c>
      <c r="L1374"/>
      <c r="M1374"/>
      <c r="N1374"/>
      <c r="O1374"/>
      <c r="P1374"/>
      <c r="T1374">
        <v>551</v>
      </c>
      <c r="U1374" s="7">
        <v>3</v>
      </c>
      <c r="V1374" t="s">
        <v>966</v>
      </c>
      <c r="W1374" s="257" t="s">
        <v>1038</v>
      </c>
      <c r="X1374" t="s">
        <v>1039</v>
      </c>
      <c r="Y1374" s="316" t="s">
        <v>326</v>
      </c>
      <c r="Z1374" s="8">
        <v>4</v>
      </c>
      <c r="AA1374" s="202" t="str">
        <f t="shared" si="22"/>
        <v>Соль</v>
      </c>
    </row>
    <row r="1375" spans="1:27" ht="15" customHeight="1" x14ac:dyDescent="0.25">
      <c r="A1375" t="s">
        <v>153</v>
      </c>
      <c r="L1375"/>
      <c r="M1375"/>
      <c r="N1375"/>
      <c r="O1375"/>
      <c r="P1375"/>
      <c r="T1375">
        <v>553</v>
      </c>
      <c r="U1375" s="7">
        <v>3</v>
      </c>
      <c r="V1375" t="s">
        <v>966</v>
      </c>
      <c r="W1375" s="257" t="s">
        <v>1038</v>
      </c>
      <c r="X1375" t="s">
        <v>1039</v>
      </c>
      <c r="Y1375" s="316" t="s">
        <v>558</v>
      </c>
      <c r="Z1375" s="8">
        <v>231</v>
      </c>
      <c r="AA1375" s="202" t="str">
        <f t="shared" si="22"/>
        <v>Общая масса готового блюда, г</v>
      </c>
    </row>
    <row r="1376" spans="1:27" ht="15" customHeight="1" x14ac:dyDescent="0.25">
      <c r="A1376" t="s">
        <v>153</v>
      </c>
      <c r="L1376"/>
      <c r="M1376"/>
      <c r="N1376"/>
      <c r="O1376"/>
      <c r="P1376"/>
      <c r="T1376">
        <v>553</v>
      </c>
      <c r="U1376" s="7">
        <v>3</v>
      </c>
      <c r="V1376" t="s">
        <v>966</v>
      </c>
      <c r="W1376" s="257" t="s">
        <v>1038</v>
      </c>
      <c r="X1376" t="s">
        <v>1039</v>
      </c>
      <c r="Y1376" s="316" t="s">
        <v>109</v>
      </c>
      <c r="Z1376" s="8">
        <v>415</v>
      </c>
      <c r="AA1376" s="202" t="str">
        <f t="shared" si="22"/>
        <v>ОКГ</v>
      </c>
    </row>
    <row r="1377" spans="1:27" ht="15" customHeight="1" x14ac:dyDescent="0.25">
      <c r="A1377" t="s">
        <v>153</v>
      </c>
      <c r="L1377"/>
      <c r="M1377"/>
      <c r="N1377"/>
      <c r="O1377"/>
      <c r="P1377"/>
      <c r="T1377">
        <v>1827</v>
      </c>
      <c r="U1377" s="7">
        <v>3</v>
      </c>
      <c r="V1377" t="s">
        <v>613</v>
      </c>
      <c r="W1377" s="257" t="s">
        <v>755</v>
      </c>
      <c r="X1377" t="s">
        <v>756</v>
      </c>
      <c r="Y1377" s="316" t="s">
        <v>454</v>
      </c>
      <c r="Z1377" s="8">
        <v>0.75</v>
      </c>
      <c r="AA1377" s="202" t="str">
        <f t="shared" si="22"/>
        <v>Говядина б/к</v>
      </c>
    </row>
    <row r="1378" spans="1:27" ht="15" customHeight="1" x14ac:dyDescent="0.25">
      <c r="A1378" t="s">
        <v>153</v>
      </c>
      <c r="L1378"/>
      <c r="M1378"/>
      <c r="N1378"/>
      <c r="O1378"/>
      <c r="P1378"/>
      <c r="T1378">
        <v>1828</v>
      </c>
      <c r="U1378" s="7">
        <v>3</v>
      </c>
      <c r="V1378" t="s">
        <v>613</v>
      </c>
      <c r="W1378" s="257" t="s">
        <v>755</v>
      </c>
      <c r="X1378" t="s">
        <v>756</v>
      </c>
      <c r="Y1378" s="316" t="s">
        <v>61</v>
      </c>
      <c r="Z1378" s="8">
        <v>5</v>
      </c>
      <c r="AA1378" s="202" t="str">
        <f t="shared" si="22"/>
        <v>Масло растительное</v>
      </c>
    </row>
    <row r="1379" spans="1:27" ht="15" customHeight="1" x14ac:dyDescent="0.25">
      <c r="A1379" t="s">
        <v>153</v>
      </c>
      <c r="L1379"/>
      <c r="M1379"/>
      <c r="N1379"/>
      <c r="O1379"/>
      <c r="P1379"/>
      <c r="T1379">
        <v>1829</v>
      </c>
      <c r="U1379" s="7">
        <v>3</v>
      </c>
      <c r="V1379" t="s">
        <v>613</v>
      </c>
      <c r="W1379" s="257" t="s">
        <v>755</v>
      </c>
      <c r="X1379" t="s">
        <v>756</v>
      </c>
      <c r="Y1379" s="316" t="s">
        <v>76</v>
      </c>
      <c r="Z1379" s="8">
        <v>2</v>
      </c>
      <c r="AA1379" s="202" t="str">
        <f t="shared" si="22"/>
        <v>Томат-паста</v>
      </c>
    </row>
    <row r="1380" spans="1:27" ht="15" customHeight="1" x14ac:dyDescent="0.25">
      <c r="A1380" t="s">
        <v>153</v>
      </c>
      <c r="L1380"/>
      <c r="M1380"/>
      <c r="N1380"/>
      <c r="O1380"/>
      <c r="P1380"/>
      <c r="T1380">
        <v>1830</v>
      </c>
      <c r="U1380" s="7">
        <v>3</v>
      </c>
      <c r="V1380" t="s">
        <v>613</v>
      </c>
      <c r="W1380" s="257" t="s">
        <v>755</v>
      </c>
      <c r="X1380" t="s">
        <v>756</v>
      </c>
      <c r="Y1380" s="316" t="s">
        <v>32</v>
      </c>
      <c r="Z1380" s="8">
        <v>10</v>
      </c>
      <c r="AA1380" s="202" t="str">
        <f t="shared" si="22"/>
        <v>Лук репчатый</v>
      </c>
    </row>
    <row r="1381" spans="1:27" ht="15" customHeight="1" x14ac:dyDescent="0.25">
      <c r="A1381" t="s">
        <v>153</v>
      </c>
      <c r="L1381"/>
      <c r="M1381"/>
      <c r="N1381"/>
      <c r="O1381"/>
      <c r="P1381"/>
      <c r="T1381">
        <v>1831</v>
      </c>
      <c r="U1381" s="7">
        <v>3</v>
      </c>
      <c r="V1381" t="s">
        <v>613</v>
      </c>
      <c r="W1381" s="257" t="s">
        <v>755</v>
      </c>
      <c r="X1381" t="s">
        <v>756</v>
      </c>
      <c r="Y1381" s="316" t="s">
        <v>484</v>
      </c>
      <c r="Z1381" s="8">
        <v>0.01</v>
      </c>
      <c r="AA1381" s="202" t="str">
        <f t="shared" si="22"/>
        <v>Перец черный</v>
      </c>
    </row>
    <row r="1382" spans="1:27" ht="15" customHeight="1" x14ac:dyDescent="0.25">
      <c r="A1382" t="s">
        <v>153</v>
      </c>
      <c r="L1382"/>
      <c r="M1382"/>
      <c r="N1382"/>
      <c r="O1382"/>
      <c r="P1382"/>
      <c r="T1382">
        <v>1832</v>
      </c>
      <c r="U1382" s="7">
        <v>3</v>
      </c>
      <c r="V1382" t="s">
        <v>613</v>
      </c>
      <c r="W1382" s="257" t="s">
        <v>755</v>
      </c>
      <c r="X1382" t="s">
        <v>756</v>
      </c>
      <c r="Y1382" s="316" t="s">
        <v>326</v>
      </c>
      <c r="Z1382" s="8">
        <v>2</v>
      </c>
      <c r="AA1382" s="202" t="str">
        <f t="shared" si="22"/>
        <v>Соль</v>
      </c>
    </row>
    <row r="1383" spans="1:27" ht="15" customHeight="1" x14ac:dyDescent="0.25">
      <c r="A1383" t="s">
        <v>153</v>
      </c>
      <c r="L1383"/>
      <c r="M1383"/>
      <c r="N1383"/>
      <c r="O1383"/>
      <c r="P1383"/>
      <c r="T1383">
        <v>1833</v>
      </c>
      <c r="U1383" s="7">
        <v>3</v>
      </c>
      <c r="V1383" t="s">
        <v>613</v>
      </c>
      <c r="W1383" s="257" t="s">
        <v>755</v>
      </c>
      <c r="X1383" t="s">
        <v>756</v>
      </c>
      <c r="Y1383" s="316" t="s">
        <v>1214</v>
      </c>
      <c r="Z1383" s="8">
        <v>47</v>
      </c>
      <c r="AA1383" s="202" t="str">
        <f t="shared" si="22"/>
        <v>Масса мясных и рыбных порций, г</v>
      </c>
    </row>
    <row r="1384" spans="1:27" ht="15" customHeight="1" x14ac:dyDescent="0.25">
      <c r="A1384" t="s">
        <v>153</v>
      </c>
      <c r="L1384"/>
      <c r="M1384"/>
      <c r="N1384"/>
      <c r="O1384"/>
      <c r="P1384"/>
      <c r="T1384">
        <v>1833</v>
      </c>
      <c r="U1384" s="7">
        <v>3</v>
      </c>
      <c r="V1384" t="s">
        <v>613</v>
      </c>
      <c r="W1384" s="257" t="s">
        <v>755</v>
      </c>
      <c r="X1384" t="s">
        <v>756</v>
      </c>
      <c r="Y1384" s="316" t="s">
        <v>1215</v>
      </c>
      <c r="Z1384" s="8">
        <v>97</v>
      </c>
      <c r="AA1384" s="202" t="str">
        <f t="shared" si="22"/>
        <v>Общая масса готового блюда, г</v>
      </c>
    </row>
    <row r="1385" spans="1:27" ht="15" customHeight="1" x14ac:dyDescent="0.25">
      <c r="A1385" t="s">
        <v>153</v>
      </c>
      <c r="L1385"/>
      <c r="M1385"/>
      <c r="N1385"/>
      <c r="O1385"/>
      <c r="P1385"/>
      <c r="T1385">
        <v>1820</v>
      </c>
      <c r="U1385" s="7">
        <v>3</v>
      </c>
      <c r="V1385" t="s">
        <v>613</v>
      </c>
      <c r="W1385" s="257" t="s">
        <v>757</v>
      </c>
      <c r="X1385" t="s">
        <v>758</v>
      </c>
      <c r="Y1385" s="316" t="s">
        <v>455</v>
      </c>
      <c r="Z1385" s="8">
        <v>100</v>
      </c>
      <c r="AA1385" s="202" t="str">
        <f t="shared" si="22"/>
        <v>Говядина н/к</v>
      </c>
    </row>
    <row r="1386" spans="1:27" ht="15" customHeight="1" x14ac:dyDescent="0.25">
      <c r="A1386" t="s">
        <v>153</v>
      </c>
      <c r="L1386"/>
      <c r="M1386"/>
      <c r="N1386"/>
      <c r="O1386"/>
      <c r="P1386"/>
      <c r="T1386">
        <v>1821</v>
      </c>
      <c r="U1386" s="7">
        <v>3</v>
      </c>
      <c r="V1386" t="s">
        <v>613</v>
      </c>
      <c r="W1386" s="257" t="s">
        <v>757</v>
      </c>
      <c r="X1386" t="s">
        <v>758</v>
      </c>
      <c r="Y1386" s="316" t="s">
        <v>61</v>
      </c>
      <c r="Z1386" s="8">
        <v>5</v>
      </c>
      <c r="AA1386" s="202" t="str">
        <f t="shared" si="22"/>
        <v>Масло растительное</v>
      </c>
    </row>
    <row r="1387" spans="1:27" ht="15" customHeight="1" x14ac:dyDescent="0.25">
      <c r="A1387" t="s">
        <v>153</v>
      </c>
      <c r="L1387"/>
      <c r="M1387"/>
      <c r="N1387"/>
      <c r="O1387"/>
      <c r="P1387"/>
      <c r="T1387">
        <v>1822</v>
      </c>
      <c r="U1387" s="7">
        <v>3</v>
      </c>
      <c r="V1387" t="s">
        <v>613</v>
      </c>
      <c r="W1387" s="257" t="s">
        <v>757</v>
      </c>
      <c r="X1387" t="s">
        <v>758</v>
      </c>
      <c r="Y1387" s="316" t="s">
        <v>76</v>
      </c>
      <c r="Z1387" s="8">
        <v>2</v>
      </c>
      <c r="AA1387" s="202" t="str">
        <f t="shared" si="22"/>
        <v>Томат-паста</v>
      </c>
    </row>
    <row r="1388" spans="1:27" ht="15" customHeight="1" x14ac:dyDescent="0.25">
      <c r="A1388" t="s">
        <v>153</v>
      </c>
      <c r="L1388"/>
      <c r="M1388"/>
      <c r="N1388"/>
      <c r="O1388"/>
      <c r="P1388"/>
      <c r="T1388">
        <v>1823</v>
      </c>
      <c r="U1388" s="7">
        <v>3</v>
      </c>
      <c r="V1388" t="s">
        <v>613</v>
      </c>
      <c r="W1388" s="257" t="s">
        <v>757</v>
      </c>
      <c r="X1388" t="s">
        <v>758</v>
      </c>
      <c r="Y1388" s="316" t="s">
        <v>32</v>
      </c>
      <c r="Z1388" s="8">
        <v>10</v>
      </c>
      <c r="AA1388" s="202" t="str">
        <f t="shared" si="22"/>
        <v>Лук репчатый</v>
      </c>
    </row>
    <row r="1389" spans="1:27" ht="15" customHeight="1" x14ac:dyDescent="0.25">
      <c r="A1389" t="s">
        <v>153</v>
      </c>
      <c r="L1389"/>
      <c r="M1389"/>
      <c r="N1389"/>
      <c r="O1389"/>
      <c r="P1389"/>
      <c r="T1389">
        <v>1824</v>
      </c>
      <c r="U1389" s="7">
        <v>3</v>
      </c>
      <c r="V1389" t="s">
        <v>613</v>
      </c>
      <c r="W1389" s="257" t="s">
        <v>757</v>
      </c>
      <c r="X1389" t="s">
        <v>758</v>
      </c>
      <c r="Y1389" s="316" t="s">
        <v>484</v>
      </c>
      <c r="Z1389" s="8">
        <v>0.01</v>
      </c>
      <c r="AA1389" s="202" t="str">
        <f t="shared" si="22"/>
        <v>Перец черный</v>
      </c>
    </row>
    <row r="1390" spans="1:27" ht="15" customHeight="1" x14ac:dyDescent="0.25">
      <c r="A1390" t="s">
        <v>153</v>
      </c>
      <c r="L1390"/>
      <c r="M1390"/>
      <c r="N1390"/>
      <c r="O1390"/>
      <c r="P1390"/>
      <c r="T1390">
        <v>1825</v>
      </c>
      <c r="U1390" s="7">
        <v>3</v>
      </c>
      <c r="V1390" t="s">
        <v>613</v>
      </c>
      <c r="W1390" s="257" t="s">
        <v>757</v>
      </c>
      <c r="X1390" t="s">
        <v>758</v>
      </c>
      <c r="Y1390" s="316" t="s">
        <v>326</v>
      </c>
      <c r="Z1390" s="8">
        <v>2</v>
      </c>
      <c r="AA1390" s="202" t="str">
        <f t="shared" si="22"/>
        <v>Соль</v>
      </c>
    </row>
    <row r="1391" spans="1:27" ht="15" customHeight="1" x14ac:dyDescent="0.25">
      <c r="A1391" t="s">
        <v>153</v>
      </c>
      <c r="L1391"/>
      <c r="M1391"/>
      <c r="N1391"/>
      <c r="O1391"/>
      <c r="P1391"/>
      <c r="T1391">
        <v>1826</v>
      </c>
      <c r="U1391" s="7">
        <v>3</v>
      </c>
      <c r="V1391" t="s">
        <v>613</v>
      </c>
      <c r="W1391" s="257" t="s">
        <v>757</v>
      </c>
      <c r="X1391" t="s">
        <v>758</v>
      </c>
      <c r="Y1391" s="316" t="s">
        <v>1214</v>
      </c>
      <c r="Z1391" s="8">
        <v>47</v>
      </c>
      <c r="AA1391" s="202" t="str">
        <f t="shared" si="22"/>
        <v>Масса мясных и рыбных порций, г</v>
      </c>
    </row>
    <row r="1392" spans="1:27" ht="15" customHeight="1" x14ac:dyDescent="0.25">
      <c r="A1392" t="s">
        <v>153</v>
      </c>
      <c r="L1392"/>
      <c r="M1392"/>
      <c r="N1392"/>
      <c r="O1392"/>
      <c r="P1392"/>
      <c r="T1392">
        <v>1826</v>
      </c>
      <c r="U1392" s="7">
        <v>3</v>
      </c>
      <c r="V1392" t="s">
        <v>613</v>
      </c>
      <c r="W1392" s="257" t="s">
        <v>757</v>
      </c>
      <c r="X1392" t="s">
        <v>758</v>
      </c>
      <c r="Y1392" s="316" t="s">
        <v>1215</v>
      </c>
      <c r="Z1392" s="8">
        <v>97</v>
      </c>
      <c r="AA1392" s="202" t="str">
        <f t="shared" si="22"/>
        <v>Общая масса готового блюда, г</v>
      </c>
    </row>
    <row r="1393" spans="1:27" ht="15" customHeight="1" x14ac:dyDescent="0.25">
      <c r="A1393" t="s">
        <v>153</v>
      </c>
      <c r="L1393"/>
      <c r="M1393"/>
      <c r="N1393"/>
      <c r="O1393"/>
      <c r="P1393"/>
      <c r="T1393">
        <v>2098</v>
      </c>
      <c r="U1393" s="7">
        <v>3</v>
      </c>
      <c r="V1393" t="s">
        <v>613</v>
      </c>
      <c r="W1393" s="257" t="s">
        <v>759</v>
      </c>
      <c r="X1393" t="s">
        <v>760</v>
      </c>
      <c r="Y1393" s="316" t="s">
        <v>462</v>
      </c>
      <c r="Z1393" s="8">
        <v>100</v>
      </c>
      <c r="AA1393" s="202" t="str">
        <f t="shared" si="22"/>
        <v>Свинина на кости</v>
      </c>
    </row>
    <row r="1394" spans="1:27" ht="15" customHeight="1" x14ac:dyDescent="0.25">
      <c r="A1394" t="s">
        <v>153</v>
      </c>
      <c r="L1394"/>
      <c r="M1394"/>
      <c r="N1394"/>
      <c r="O1394"/>
      <c r="P1394"/>
      <c r="T1394">
        <v>2099</v>
      </c>
      <c r="U1394" s="7">
        <v>3</v>
      </c>
      <c r="V1394" t="s">
        <v>613</v>
      </c>
      <c r="W1394" s="257" t="s">
        <v>759</v>
      </c>
      <c r="X1394" t="s">
        <v>760</v>
      </c>
      <c r="Y1394" s="316" t="s">
        <v>61</v>
      </c>
      <c r="Z1394" s="8">
        <v>5</v>
      </c>
      <c r="AA1394" s="202" t="str">
        <f t="shared" si="22"/>
        <v>Масло растительное</v>
      </c>
    </row>
    <row r="1395" spans="1:27" ht="15" customHeight="1" x14ac:dyDescent="0.25">
      <c r="A1395" t="s">
        <v>153</v>
      </c>
      <c r="L1395"/>
      <c r="M1395"/>
      <c r="N1395"/>
      <c r="O1395"/>
      <c r="P1395"/>
      <c r="T1395">
        <v>2100</v>
      </c>
      <c r="U1395" s="7">
        <v>3</v>
      </c>
      <c r="V1395" t="s">
        <v>613</v>
      </c>
      <c r="W1395" s="257" t="s">
        <v>759</v>
      </c>
      <c r="X1395" t="s">
        <v>760</v>
      </c>
      <c r="Y1395" s="316" t="s">
        <v>76</v>
      </c>
      <c r="Z1395" s="8">
        <v>2</v>
      </c>
      <c r="AA1395" s="202" t="str">
        <f t="shared" si="22"/>
        <v>Томат-паста</v>
      </c>
    </row>
    <row r="1396" spans="1:27" ht="15" customHeight="1" x14ac:dyDescent="0.25">
      <c r="A1396" t="s">
        <v>153</v>
      </c>
      <c r="L1396"/>
      <c r="M1396"/>
      <c r="N1396"/>
      <c r="O1396"/>
      <c r="P1396"/>
      <c r="T1396">
        <v>2101</v>
      </c>
      <c r="U1396" s="7">
        <v>3</v>
      </c>
      <c r="V1396" t="s">
        <v>613</v>
      </c>
      <c r="W1396" s="257" t="s">
        <v>759</v>
      </c>
      <c r="X1396" t="s">
        <v>760</v>
      </c>
      <c r="Y1396" s="316" t="s">
        <v>32</v>
      </c>
      <c r="Z1396" s="8">
        <v>10</v>
      </c>
      <c r="AA1396" s="202" t="str">
        <f t="shared" si="22"/>
        <v>Лук репчатый</v>
      </c>
    </row>
    <row r="1397" spans="1:27" ht="15" customHeight="1" x14ac:dyDescent="0.25">
      <c r="A1397" t="s">
        <v>153</v>
      </c>
      <c r="L1397"/>
      <c r="M1397"/>
      <c r="N1397"/>
      <c r="O1397"/>
      <c r="P1397"/>
      <c r="T1397">
        <v>2102</v>
      </c>
      <c r="U1397" s="7">
        <v>3</v>
      </c>
      <c r="V1397" t="s">
        <v>613</v>
      </c>
      <c r="W1397" s="257" t="s">
        <v>759</v>
      </c>
      <c r="X1397" t="s">
        <v>760</v>
      </c>
      <c r="Y1397" s="316" t="s">
        <v>326</v>
      </c>
      <c r="Z1397" s="8">
        <v>2</v>
      </c>
      <c r="AA1397" s="202" t="str">
        <f t="shared" si="22"/>
        <v>Соль</v>
      </c>
    </row>
    <row r="1398" spans="1:27" ht="15" customHeight="1" x14ac:dyDescent="0.25">
      <c r="A1398" t="s">
        <v>153</v>
      </c>
      <c r="L1398"/>
      <c r="M1398"/>
      <c r="N1398"/>
      <c r="O1398"/>
      <c r="P1398"/>
      <c r="T1398">
        <v>2103</v>
      </c>
      <c r="U1398" s="7">
        <v>3</v>
      </c>
      <c r="V1398" t="s">
        <v>613</v>
      </c>
      <c r="W1398" s="257" t="s">
        <v>759</v>
      </c>
      <c r="X1398" t="s">
        <v>760</v>
      </c>
      <c r="Y1398" s="316" t="s">
        <v>484</v>
      </c>
      <c r="Z1398" s="8">
        <v>0.01</v>
      </c>
      <c r="AA1398" s="202" t="str">
        <f t="shared" si="22"/>
        <v>Перец черный</v>
      </c>
    </row>
    <row r="1399" spans="1:27" ht="15" customHeight="1" x14ac:dyDescent="0.25">
      <c r="A1399" t="s">
        <v>153</v>
      </c>
      <c r="L1399"/>
      <c r="M1399"/>
      <c r="N1399"/>
      <c r="O1399"/>
      <c r="P1399"/>
      <c r="T1399">
        <v>2104</v>
      </c>
      <c r="U1399" s="7">
        <v>3</v>
      </c>
      <c r="V1399" t="s">
        <v>613</v>
      </c>
      <c r="W1399" s="257" t="s">
        <v>759</v>
      </c>
      <c r="X1399" t="s">
        <v>760</v>
      </c>
      <c r="Y1399" s="316" t="s">
        <v>1214</v>
      </c>
      <c r="Z1399" s="8">
        <v>58</v>
      </c>
      <c r="AA1399" s="202" t="str">
        <f t="shared" si="22"/>
        <v>Масса мясных и рыбных порций, г</v>
      </c>
    </row>
    <row r="1400" spans="1:27" ht="15" customHeight="1" x14ac:dyDescent="0.25">
      <c r="A1400" t="s">
        <v>153</v>
      </c>
      <c r="L1400"/>
      <c r="M1400"/>
      <c r="N1400"/>
      <c r="O1400"/>
      <c r="P1400"/>
      <c r="T1400">
        <v>2104</v>
      </c>
      <c r="U1400" s="7">
        <v>3</v>
      </c>
      <c r="V1400" t="s">
        <v>613</v>
      </c>
      <c r="W1400" s="257" t="s">
        <v>759</v>
      </c>
      <c r="X1400" t="s">
        <v>760</v>
      </c>
      <c r="Y1400" s="316" t="s">
        <v>1215</v>
      </c>
      <c r="Z1400" s="8">
        <v>108</v>
      </c>
      <c r="AA1400" s="202" t="str">
        <f t="shared" si="22"/>
        <v>Общая масса готового блюда, г</v>
      </c>
    </row>
    <row r="1401" spans="1:27" ht="15" customHeight="1" x14ac:dyDescent="0.25">
      <c r="A1401" t="s">
        <v>153</v>
      </c>
      <c r="L1401"/>
      <c r="M1401"/>
      <c r="N1401"/>
      <c r="O1401"/>
      <c r="P1401"/>
      <c r="T1401">
        <v>2879</v>
      </c>
      <c r="U1401" s="7">
        <v>3</v>
      </c>
      <c r="V1401" t="s">
        <v>1192</v>
      </c>
      <c r="W1401" s="257" t="s">
        <v>166</v>
      </c>
      <c r="X1401" t="s">
        <v>166</v>
      </c>
      <c r="Y1401" s="316" t="s">
        <v>499</v>
      </c>
      <c r="Z1401" s="8">
        <v>20</v>
      </c>
      <c r="AA1401" s="202" t="str">
        <f t="shared" si="22"/>
        <v>Помидоры консерв.</v>
      </c>
    </row>
    <row r="1402" spans="1:27" ht="15" customHeight="1" x14ac:dyDescent="0.25">
      <c r="A1402" t="s">
        <v>153</v>
      </c>
      <c r="L1402"/>
      <c r="M1402"/>
      <c r="N1402"/>
      <c r="O1402"/>
      <c r="P1402"/>
      <c r="T1402">
        <v>2880</v>
      </c>
      <c r="U1402" s="7">
        <v>3</v>
      </c>
      <c r="V1402" t="s">
        <v>1192</v>
      </c>
      <c r="W1402" s="257" t="s">
        <v>166</v>
      </c>
      <c r="X1402" t="s">
        <v>166</v>
      </c>
      <c r="Y1402" s="316" t="s">
        <v>558</v>
      </c>
      <c r="Z1402" s="8">
        <v>20</v>
      </c>
      <c r="AA1402" s="202" t="str">
        <f t="shared" si="22"/>
        <v>Общая масса готового блюда, г</v>
      </c>
    </row>
    <row r="1403" spans="1:27" ht="15" customHeight="1" x14ac:dyDescent="0.25">
      <c r="A1403" t="s">
        <v>153</v>
      </c>
      <c r="L1403"/>
      <c r="M1403"/>
      <c r="N1403"/>
      <c r="O1403"/>
      <c r="P1403"/>
      <c r="T1403">
        <v>373</v>
      </c>
      <c r="U1403" s="7">
        <v>3</v>
      </c>
      <c r="V1403" t="s">
        <v>555</v>
      </c>
      <c r="W1403" s="257" t="s">
        <v>574</v>
      </c>
      <c r="X1403" t="s">
        <v>575</v>
      </c>
      <c r="Y1403" s="316" t="s">
        <v>45</v>
      </c>
      <c r="Z1403" s="8">
        <v>150</v>
      </c>
      <c r="AA1403" s="202" t="str">
        <f t="shared" si="22"/>
        <v>Картофель</v>
      </c>
    </row>
    <row r="1404" spans="1:27" ht="15" customHeight="1" x14ac:dyDescent="0.25">
      <c r="A1404" t="s">
        <v>153</v>
      </c>
      <c r="L1404"/>
      <c r="M1404"/>
      <c r="N1404"/>
      <c r="O1404"/>
      <c r="P1404"/>
      <c r="T1404">
        <v>374</v>
      </c>
      <c r="U1404" s="7">
        <v>3</v>
      </c>
      <c r="V1404" t="s">
        <v>555</v>
      </c>
      <c r="W1404" s="257" t="s">
        <v>574</v>
      </c>
      <c r="X1404" t="s">
        <v>575</v>
      </c>
      <c r="Y1404" s="316" t="s">
        <v>32</v>
      </c>
      <c r="Z1404" s="8">
        <v>10</v>
      </c>
      <c r="AA1404" s="202" t="str">
        <f t="shared" si="22"/>
        <v>Лук репчатый</v>
      </c>
    </row>
    <row r="1405" spans="1:27" ht="15" customHeight="1" x14ac:dyDescent="0.25">
      <c r="A1405" t="s">
        <v>153</v>
      </c>
      <c r="L1405"/>
      <c r="M1405"/>
      <c r="N1405"/>
      <c r="O1405"/>
      <c r="P1405"/>
      <c r="T1405">
        <v>375</v>
      </c>
      <c r="U1405" s="7">
        <v>3</v>
      </c>
      <c r="V1405" t="s">
        <v>555</v>
      </c>
      <c r="W1405" s="257" t="s">
        <v>574</v>
      </c>
      <c r="X1405" t="s">
        <v>575</v>
      </c>
      <c r="Y1405" s="316" t="s">
        <v>46</v>
      </c>
      <c r="Z1405" s="8">
        <v>10</v>
      </c>
      <c r="AA1405" s="202" t="str">
        <f t="shared" si="22"/>
        <v>Морковь</v>
      </c>
    </row>
    <row r="1406" spans="1:27" ht="15" customHeight="1" x14ac:dyDescent="0.25">
      <c r="A1406" t="s">
        <v>153</v>
      </c>
      <c r="L1406"/>
      <c r="M1406"/>
      <c r="N1406"/>
      <c r="O1406"/>
      <c r="P1406"/>
      <c r="T1406">
        <v>376</v>
      </c>
      <c r="U1406" s="7">
        <v>3</v>
      </c>
      <c r="V1406" t="s">
        <v>555</v>
      </c>
      <c r="W1406" s="257" t="s">
        <v>574</v>
      </c>
      <c r="X1406" t="s">
        <v>575</v>
      </c>
      <c r="Y1406" s="316" t="s">
        <v>425</v>
      </c>
      <c r="Z1406" s="8">
        <v>25</v>
      </c>
      <c r="AA1406" s="202" t="str">
        <f t="shared" si="22"/>
        <v>Гречневая</v>
      </c>
    </row>
    <row r="1407" spans="1:27" ht="15" customHeight="1" x14ac:dyDescent="0.25">
      <c r="A1407" t="s">
        <v>153</v>
      </c>
      <c r="L1407"/>
      <c r="M1407"/>
      <c r="N1407"/>
      <c r="O1407"/>
      <c r="P1407"/>
      <c r="T1407">
        <v>377</v>
      </c>
      <c r="U1407" s="7">
        <v>3</v>
      </c>
      <c r="V1407" t="s">
        <v>555</v>
      </c>
      <c r="W1407" s="257" t="s">
        <v>574</v>
      </c>
      <c r="X1407" t="s">
        <v>575</v>
      </c>
      <c r="Y1407" s="316" t="s">
        <v>61</v>
      </c>
      <c r="Z1407" s="8">
        <v>4</v>
      </c>
      <c r="AA1407" s="202" t="str">
        <f t="shared" si="22"/>
        <v>Масло растительное</v>
      </c>
    </row>
    <row r="1408" spans="1:27" ht="15" customHeight="1" x14ac:dyDescent="0.25">
      <c r="A1408" t="s">
        <v>153</v>
      </c>
      <c r="L1408"/>
      <c r="M1408"/>
      <c r="N1408"/>
      <c r="O1408"/>
      <c r="P1408"/>
      <c r="T1408">
        <v>378</v>
      </c>
      <c r="U1408" s="7">
        <v>3</v>
      </c>
      <c r="V1408" t="s">
        <v>555</v>
      </c>
      <c r="W1408" s="257" t="s">
        <v>574</v>
      </c>
      <c r="X1408" t="s">
        <v>575</v>
      </c>
      <c r="Y1408" s="316" t="s">
        <v>479</v>
      </c>
      <c r="Z1408" s="8">
        <v>400</v>
      </c>
      <c r="AA1408" s="202" t="str">
        <f t="shared" si="22"/>
        <v>Вода или бульон</v>
      </c>
    </row>
    <row r="1409" spans="1:27" ht="15" customHeight="1" x14ac:dyDescent="0.25">
      <c r="A1409" t="s">
        <v>153</v>
      </c>
      <c r="L1409"/>
      <c r="M1409"/>
      <c r="N1409"/>
      <c r="O1409"/>
      <c r="P1409"/>
      <c r="T1409">
        <v>379</v>
      </c>
      <c r="U1409" s="7">
        <v>3</v>
      </c>
      <c r="V1409" t="s">
        <v>555</v>
      </c>
      <c r="W1409" s="257" t="s">
        <v>574</v>
      </c>
      <c r="X1409" t="s">
        <v>575</v>
      </c>
      <c r="Y1409" s="316" t="s">
        <v>70</v>
      </c>
      <c r="Z1409" s="8">
        <v>5</v>
      </c>
      <c r="AA1409" s="202" t="str">
        <f t="shared" si="22"/>
        <v>Зелень</v>
      </c>
    </row>
    <row r="1410" spans="1:27" ht="15" customHeight="1" x14ac:dyDescent="0.25">
      <c r="A1410" t="s">
        <v>153</v>
      </c>
      <c r="L1410"/>
      <c r="M1410"/>
      <c r="N1410"/>
      <c r="O1410"/>
      <c r="P1410"/>
      <c r="T1410">
        <v>380</v>
      </c>
      <c r="U1410" s="7">
        <v>3</v>
      </c>
      <c r="V1410" t="s">
        <v>555</v>
      </c>
      <c r="W1410" s="257" t="s">
        <v>574</v>
      </c>
      <c r="X1410" t="s">
        <v>575</v>
      </c>
      <c r="Y1410" s="316" t="s">
        <v>326</v>
      </c>
      <c r="Z1410" s="8">
        <v>4</v>
      </c>
      <c r="AA1410" s="202" t="str">
        <f t="shared" ref="AA1410:AA1473" si="23">VLOOKUP(Y1410,O:P,2,FALSE)</f>
        <v>Соль</v>
      </c>
    </row>
    <row r="1411" spans="1:27" ht="15" customHeight="1" x14ac:dyDescent="0.25">
      <c r="A1411" t="s">
        <v>153</v>
      </c>
      <c r="L1411"/>
      <c r="M1411"/>
      <c r="N1411"/>
      <c r="O1411"/>
      <c r="P1411"/>
      <c r="T1411">
        <v>382</v>
      </c>
      <c r="U1411" s="7">
        <v>3</v>
      </c>
      <c r="V1411" t="s">
        <v>555</v>
      </c>
      <c r="W1411" s="257" t="s">
        <v>574</v>
      </c>
      <c r="X1411" t="s">
        <v>575</v>
      </c>
      <c r="Y1411" s="316" t="s">
        <v>558</v>
      </c>
      <c r="Z1411" s="8">
        <v>500</v>
      </c>
      <c r="AA1411" s="202" t="str">
        <f t="shared" si="23"/>
        <v>Общая масса готового блюда, г</v>
      </c>
    </row>
    <row r="1412" spans="1:27" ht="15" customHeight="1" x14ac:dyDescent="0.25">
      <c r="A1412" t="s">
        <v>153</v>
      </c>
      <c r="L1412"/>
      <c r="M1412"/>
      <c r="N1412"/>
      <c r="O1412"/>
      <c r="P1412"/>
      <c r="T1412">
        <v>383</v>
      </c>
      <c r="U1412" s="7">
        <v>3</v>
      </c>
      <c r="V1412" t="s">
        <v>555</v>
      </c>
      <c r="W1412" s="257" t="s">
        <v>574</v>
      </c>
      <c r="X1412" t="s">
        <v>575</v>
      </c>
      <c r="Y1412" s="316" t="s">
        <v>109</v>
      </c>
      <c r="Z1412" s="8">
        <v>250</v>
      </c>
      <c r="AA1412" s="202" t="str">
        <f t="shared" si="23"/>
        <v>ОКГ</v>
      </c>
    </row>
    <row r="1413" spans="1:27" ht="15" customHeight="1" x14ac:dyDescent="0.25">
      <c r="A1413" t="s">
        <v>153</v>
      </c>
      <c r="L1413"/>
      <c r="M1413"/>
      <c r="N1413"/>
      <c r="O1413"/>
      <c r="P1413"/>
      <c r="T1413">
        <v>384</v>
      </c>
      <c r="U1413" s="7">
        <v>3</v>
      </c>
      <c r="V1413" t="s">
        <v>555</v>
      </c>
      <c r="W1413" s="257" t="s">
        <v>574</v>
      </c>
      <c r="X1413" t="s">
        <v>575</v>
      </c>
      <c r="Y1413" s="316" t="s">
        <v>74</v>
      </c>
      <c r="Z1413" s="8">
        <v>0.02</v>
      </c>
      <c r="AA1413" s="202" t="str">
        <f t="shared" si="23"/>
        <v>Лавровый лист</v>
      </c>
    </row>
    <row r="1414" spans="1:27" ht="15" customHeight="1" x14ac:dyDescent="0.25">
      <c r="A1414" t="s">
        <v>153</v>
      </c>
      <c r="L1414"/>
      <c r="M1414"/>
      <c r="N1414"/>
      <c r="O1414"/>
      <c r="P1414"/>
      <c r="T1414">
        <v>385</v>
      </c>
      <c r="U1414" s="7">
        <v>3</v>
      </c>
      <c r="V1414" t="s">
        <v>555</v>
      </c>
      <c r="W1414" s="257" t="s">
        <v>574</v>
      </c>
      <c r="X1414" t="s">
        <v>575</v>
      </c>
      <c r="Y1414" s="316" t="s">
        <v>484</v>
      </c>
      <c r="Z1414" s="8">
        <v>0.05</v>
      </c>
      <c r="AA1414" s="202" t="str">
        <f t="shared" si="23"/>
        <v>Перец черный</v>
      </c>
    </row>
    <row r="1415" spans="1:27" ht="15" customHeight="1" x14ac:dyDescent="0.25">
      <c r="A1415" t="s">
        <v>153</v>
      </c>
      <c r="L1415"/>
      <c r="M1415"/>
      <c r="N1415"/>
      <c r="O1415"/>
      <c r="P1415"/>
      <c r="T1415">
        <v>2881</v>
      </c>
      <c r="U1415" s="7">
        <v>3</v>
      </c>
      <c r="V1415" t="s">
        <v>1192</v>
      </c>
      <c r="W1415" s="257" t="s">
        <v>161</v>
      </c>
      <c r="X1415" t="s">
        <v>161</v>
      </c>
      <c r="Y1415" s="316" t="s">
        <v>161</v>
      </c>
      <c r="Z1415" s="8">
        <v>60</v>
      </c>
      <c r="AA1415" s="202" t="str">
        <f t="shared" si="23"/>
        <v>Пряники</v>
      </c>
    </row>
    <row r="1416" spans="1:27" ht="15" customHeight="1" x14ac:dyDescent="0.25">
      <c r="A1416" t="s">
        <v>153</v>
      </c>
      <c r="L1416"/>
      <c r="M1416"/>
      <c r="N1416"/>
      <c r="O1416"/>
      <c r="P1416"/>
      <c r="T1416">
        <v>2882</v>
      </c>
      <c r="U1416" s="7">
        <v>3</v>
      </c>
      <c r="V1416" t="s">
        <v>1192</v>
      </c>
      <c r="W1416" s="257" t="s">
        <v>161</v>
      </c>
      <c r="X1416" t="s">
        <v>161</v>
      </c>
      <c r="Y1416" s="316" t="s">
        <v>558</v>
      </c>
      <c r="Z1416" s="8">
        <v>60</v>
      </c>
      <c r="AA1416" s="202" t="str">
        <f t="shared" si="23"/>
        <v>Общая масса готового блюда, г</v>
      </c>
    </row>
    <row r="1417" spans="1:27" ht="15" customHeight="1" x14ac:dyDescent="0.25">
      <c r="A1417" t="s">
        <v>153</v>
      </c>
      <c r="L1417"/>
      <c r="M1417"/>
      <c r="N1417"/>
      <c r="O1417"/>
      <c r="P1417"/>
      <c r="T1417">
        <v>579</v>
      </c>
      <c r="U1417" s="7">
        <v>3</v>
      </c>
      <c r="V1417" t="s">
        <v>966</v>
      </c>
      <c r="W1417" s="257" t="s">
        <v>1040</v>
      </c>
      <c r="X1417" t="s">
        <v>1041</v>
      </c>
      <c r="Y1417" s="316" t="s">
        <v>25</v>
      </c>
      <c r="Z1417" s="8">
        <v>83</v>
      </c>
      <c r="AA1417" s="202" t="str">
        <f t="shared" si="23"/>
        <v>Горох</v>
      </c>
    </row>
    <row r="1418" spans="1:27" ht="15" customHeight="1" x14ac:dyDescent="0.25">
      <c r="A1418" t="s">
        <v>153</v>
      </c>
      <c r="L1418"/>
      <c r="M1418"/>
      <c r="N1418"/>
      <c r="O1418"/>
      <c r="P1418"/>
      <c r="T1418">
        <v>580</v>
      </c>
      <c r="U1418" s="7">
        <v>3</v>
      </c>
      <c r="V1418" t="s">
        <v>966</v>
      </c>
      <c r="W1418" s="257" t="s">
        <v>1040</v>
      </c>
      <c r="X1418" t="s">
        <v>1041</v>
      </c>
      <c r="Y1418" s="316" t="s">
        <v>330</v>
      </c>
      <c r="Z1418" s="8">
        <v>207.5</v>
      </c>
      <c r="AA1418" s="202" t="str">
        <f t="shared" si="23"/>
        <v>Вода</v>
      </c>
    </row>
    <row r="1419" spans="1:27" ht="15" customHeight="1" x14ac:dyDescent="0.25">
      <c r="A1419" t="s">
        <v>153</v>
      </c>
      <c r="L1419"/>
      <c r="M1419"/>
      <c r="N1419"/>
      <c r="O1419"/>
      <c r="P1419"/>
      <c r="T1419">
        <v>581</v>
      </c>
      <c r="U1419" s="7">
        <v>3</v>
      </c>
      <c r="V1419" t="s">
        <v>966</v>
      </c>
      <c r="W1419" s="257" t="s">
        <v>1040</v>
      </c>
      <c r="X1419" t="s">
        <v>1041</v>
      </c>
      <c r="Y1419" s="316" t="s">
        <v>326</v>
      </c>
      <c r="Z1419" s="8">
        <v>10</v>
      </c>
      <c r="AA1419" s="202" t="str">
        <f t="shared" si="23"/>
        <v>Соль</v>
      </c>
    </row>
    <row r="1420" spans="1:27" ht="15" customHeight="1" x14ac:dyDescent="0.25">
      <c r="A1420" t="s">
        <v>153</v>
      </c>
      <c r="L1420"/>
      <c r="M1420"/>
      <c r="N1420"/>
      <c r="O1420"/>
      <c r="P1420"/>
      <c r="T1420">
        <v>582</v>
      </c>
      <c r="U1420" s="7">
        <v>3</v>
      </c>
      <c r="V1420" t="s">
        <v>966</v>
      </c>
      <c r="W1420" s="257" t="s">
        <v>1040</v>
      </c>
      <c r="X1420" t="s">
        <v>1041</v>
      </c>
      <c r="Y1420" s="316" t="s">
        <v>558</v>
      </c>
      <c r="Z1420" s="8">
        <v>174</v>
      </c>
      <c r="AA1420" s="202" t="str">
        <f t="shared" si="23"/>
        <v>Общая масса готового блюда, г</v>
      </c>
    </row>
    <row r="1421" spans="1:27" ht="15" customHeight="1" x14ac:dyDescent="0.25">
      <c r="A1421" t="s">
        <v>153</v>
      </c>
      <c r="L1421"/>
      <c r="M1421"/>
      <c r="N1421"/>
      <c r="O1421"/>
      <c r="P1421"/>
      <c r="T1421">
        <v>654</v>
      </c>
      <c r="U1421" s="7">
        <v>3</v>
      </c>
      <c r="V1421" t="s">
        <v>966</v>
      </c>
      <c r="W1421" s="257" t="s">
        <v>1042</v>
      </c>
      <c r="X1421" t="s">
        <v>1043</v>
      </c>
      <c r="Y1421" s="316" t="s">
        <v>45</v>
      </c>
      <c r="Z1421" s="8">
        <v>405</v>
      </c>
      <c r="AA1421" s="202" t="str">
        <f t="shared" si="23"/>
        <v>Картофель</v>
      </c>
    </row>
    <row r="1422" spans="1:27" ht="15" customHeight="1" x14ac:dyDescent="0.25">
      <c r="A1422" t="s">
        <v>153</v>
      </c>
      <c r="L1422"/>
      <c r="M1422"/>
      <c r="N1422"/>
      <c r="O1422"/>
      <c r="P1422"/>
      <c r="T1422">
        <v>655</v>
      </c>
      <c r="U1422" s="7">
        <v>3</v>
      </c>
      <c r="V1422" t="s">
        <v>966</v>
      </c>
      <c r="W1422" s="257" t="s">
        <v>1042</v>
      </c>
      <c r="X1422" t="s">
        <v>1043</v>
      </c>
      <c r="Y1422" s="316" t="s">
        <v>330</v>
      </c>
      <c r="Z1422" s="8">
        <v>130</v>
      </c>
      <c r="AA1422" s="202" t="str">
        <f t="shared" si="23"/>
        <v>Вода</v>
      </c>
    </row>
    <row r="1423" spans="1:27" ht="15" customHeight="1" x14ac:dyDescent="0.25">
      <c r="A1423" t="s">
        <v>153</v>
      </c>
      <c r="L1423"/>
      <c r="M1423"/>
      <c r="N1423"/>
      <c r="O1423"/>
      <c r="P1423"/>
      <c r="T1423">
        <v>656</v>
      </c>
      <c r="U1423" s="7">
        <v>3</v>
      </c>
      <c r="V1423" t="s">
        <v>966</v>
      </c>
      <c r="W1423" s="257" t="s">
        <v>1042</v>
      </c>
      <c r="X1423" t="s">
        <v>1043</v>
      </c>
      <c r="Y1423" s="316" t="s">
        <v>326</v>
      </c>
      <c r="Z1423" s="8">
        <v>3</v>
      </c>
      <c r="AA1423" s="202" t="str">
        <f t="shared" si="23"/>
        <v>Соль</v>
      </c>
    </row>
    <row r="1424" spans="1:27" ht="15" customHeight="1" x14ac:dyDescent="0.25">
      <c r="A1424" t="s">
        <v>153</v>
      </c>
      <c r="L1424"/>
      <c r="M1424"/>
      <c r="N1424"/>
      <c r="O1424"/>
      <c r="P1424"/>
      <c r="T1424">
        <v>657</v>
      </c>
      <c r="U1424" s="7">
        <v>3</v>
      </c>
      <c r="V1424" t="s">
        <v>966</v>
      </c>
      <c r="W1424" s="257" t="s">
        <v>1042</v>
      </c>
      <c r="X1424" t="s">
        <v>1043</v>
      </c>
      <c r="Y1424" s="316" t="s">
        <v>558</v>
      </c>
      <c r="Z1424" s="8">
        <v>352.8</v>
      </c>
      <c r="AA1424" s="202" t="str">
        <f t="shared" si="23"/>
        <v>Общая масса готового блюда, г</v>
      </c>
    </row>
    <row r="1425" spans="1:27" ht="15" customHeight="1" x14ac:dyDescent="0.25">
      <c r="A1425" t="s">
        <v>153</v>
      </c>
      <c r="L1425"/>
      <c r="M1425"/>
      <c r="N1425"/>
      <c r="O1425"/>
      <c r="P1425"/>
      <c r="T1425">
        <v>657</v>
      </c>
      <c r="U1425" s="7">
        <v>3</v>
      </c>
      <c r="V1425" t="s">
        <v>966</v>
      </c>
      <c r="W1425" s="257" t="s">
        <v>1042</v>
      </c>
      <c r="X1425" t="s">
        <v>1043</v>
      </c>
      <c r="Y1425" s="316" t="s">
        <v>109</v>
      </c>
      <c r="Z1425" s="8">
        <v>415</v>
      </c>
      <c r="AA1425" s="202" t="str">
        <f t="shared" si="23"/>
        <v>ОКГ</v>
      </c>
    </row>
    <row r="1426" spans="1:27" ht="15" customHeight="1" x14ac:dyDescent="0.25">
      <c r="A1426" t="s">
        <v>153</v>
      </c>
      <c r="L1426"/>
      <c r="M1426"/>
      <c r="N1426"/>
      <c r="O1426"/>
      <c r="P1426"/>
      <c r="T1426">
        <v>658</v>
      </c>
      <c r="U1426" s="7">
        <v>3</v>
      </c>
      <c r="V1426" t="s">
        <v>966</v>
      </c>
      <c r="W1426" s="257" t="s">
        <v>1044</v>
      </c>
      <c r="X1426" t="s">
        <v>1045</v>
      </c>
      <c r="Y1426" s="316" t="s">
        <v>45</v>
      </c>
      <c r="Z1426" s="8">
        <v>350</v>
      </c>
      <c r="AA1426" s="202" t="str">
        <f t="shared" si="23"/>
        <v>Картофель</v>
      </c>
    </row>
    <row r="1427" spans="1:27" ht="15" customHeight="1" x14ac:dyDescent="0.25">
      <c r="A1427" t="s">
        <v>153</v>
      </c>
      <c r="L1427"/>
      <c r="M1427"/>
      <c r="N1427"/>
      <c r="O1427"/>
      <c r="P1427"/>
      <c r="T1427">
        <v>659</v>
      </c>
      <c r="U1427" s="7">
        <v>3</v>
      </c>
      <c r="V1427" t="s">
        <v>966</v>
      </c>
      <c r="W1427" s="257" t="s">
        <v>1044</v>
      </c>
      <c r="X1427" t="s">
        <v>1045</v>
      </c>
      <c r="Y1427" s="316" t="s">
        <v>46</v>
      </c>
      <c r="Z1427" s="8">
        <v>30</v>
      </c>
      <c r="AA1427" s="202" t="str">
        <f t="shared" si="23"/>
        <v>Морковь</v>
      </c>
    </row>
    <row r="1428" spans="1:27" ht="15" customHeight="1" x14ac:dyDescent="0.25">
      <c r="A1428" t="s">
        <v>153</v>
      </c>
      <c r="L1428"/>
      <c r="M1428"/>
      <c r="N1428"/>
      <c r="O1428"/>
      <c r="P1428"/>
      <c r="T1428">
        <v>660</v>
      </c>
      <c r="U1428" s="7">
        <v>3</v>
      </c>
      <c r="V1428" t="s">
        <v>966</v>
      </c>
      <c r="W1428" s="257" t="s">
        <v>1044</v>
      </c>
      <c r="X1428" t="s">
        <v>1045</v>
      </c>
      <c r="Y1428" s="316" t="s">
        <v>326</v>
      </c>
      <c r="Z1428" s="8">
        <v>5</v>
      </c>
      <c r="AA1428" s="202" t="str">
        <f t="shared" si="23"/>
        <v>Соль</v>
      </c>
    </row>
    <row r="1429" spans="1:27" ht="15" customHeight="1" x14ac:dyDescent="0.25">
      <c r="A1429" t="s">
        <v>153</v>
      </c>
      <c r="L1429"/>
      <c r="M1429"/>
      <c r="N1429"/>
      <c r="O1429"/>
      <c r="P1429"/>
      <c r="T1429">
        <v>661</v>
      </c>
      <c r="U1429" s="7">
        <v>3</v>
      </c>
      <c r="V1429" t="s">
        <v>966</v>
      </c>
      <c r="W1429" s="257" t="s">
        <v>1044</v>
      </c>
      <c r="X1429" t="s">
        <v>1045</v>
      </c>
      <c r="Y1429" s="316" t="s">
        <v>330</v>
      </c>
      <c r="Z1429" s="8">
        <v>140</v>
      </c>
      <c r="AA1429" s="202" t="str">
        <f t="shared" si="23"/>
        <v>Вода</v>
      </c>
    </row>
    <row r="1430" spans="1:27" ht="15" customHeight="1" x14ac:dyDescent="0.25">
      <c r="A1430" t="s">
        <v>153</v>
      </c>
      <c r="L1430"/>
      <c r="M1430"/>
      <c r="N1430"/>
      <c r="O1430"/>
      <c r="P1430"/>
      <c r="T1430">
        <v>662</v>
      </c>
      <c r="U1430" s="7">
        <v>3</v>
      </c>
      <c r="V1430" t="s">
        <v>966</v>
      </c>
      <c r="W1430" s="257" t="s">
        <v>1044</v>
      </c>
      <c r="X1430" t="s">
        <v>1045</v>
      </c>
      <c r="Y1430" s="316" t="s">
        <v>558</v>
      </c>
      <c r="Z1430" s="8">
        <v>348</v>
      </c>
      <c r="AA1430" s="202" t="str">
        <f t="shared" si="23"/>
        <v>Общая масса готового блюда, г</v>
      </c>
    </row>
    <row r="1431" spans="1:27" ht="15" customHeight="1" x14ac:dyDescent="0.25">
      <c r="A1431" t="s">
        <v>153</v>
      </c>
      <c r="L1431"/>
      <c r="M1431"/>
      <c r="N1431"/>
      <c r="O1431"/>
      <c r="P1431"/>
      <c r="T1431">
        <v>662</v>
      </c>
      <c r="U1431" s="7">
        <v>3</v>
      </c>
      <c r="V1431" t="s">
        <v>966</v>
      </c>
      <c r="W1431" s="257" t="s">
        <v>1044</v>
      </c>
      <c r="X1431" t="s">
        <v>1045</v>
      </c>
      <c r="Y1431" s="316" t="s">
        <v>109</v>
      </c>
      <c r="Z1431" s="8">
        <v>415</v>
      </c>
      <c r="AA1431" s="202" t="str">
        <f t="shared" si="23"/>
        <v>ОКГ</v>
      </c>
    </row>
    <row r="1432" spans="1:27" ht="15" customHeight="1" x14ac:dyDescent="0.25">
      <c r="A1432" t="s">
        <v>153</v>
      </c>
      <c r="L1432"/>
      <c r="M1432"/>
      <c r="N1432"/>
      <c r="O1432"/>
      <c r="P1432"/>
      <c r="T1432">
        <v>2208</v>
      </c>
      <c r="U1432" s="7">
        <v>3</v>
      </c>
      <c r="V1432" t="s">
        <v>613</v>
      </c>
      <c r="W1432" s="257" t="s">
        <v>761</v>
      </c>
      <c r="X1432" t="s">
        <v>762</v>
      </c>
      <c r="Y1432" s="316" t="s">
        <v>65</v>
      </c>
      <c r="Z1432" s="8">
        <v>100</v>
      </c>
      <c r="AA1432" s="202" t="str">
        <f t="shared" si="23"/>
        <v>Мясо птицы</v>
      </c>
    </row>
    <row r="1433" spans="1:27" ht="15" customHeight="1" x14ac:dyDescent="0.25">
      <c r="A1433" t="s">
        <v>153</v>
      </c>
      <c r="L1433"/>
      <c r="M1433"/>
      <c r="N1433"/>
      <c r="O1433"/>
      <c r="P1433"/>
      <c r="T1433">
        <v>2209</v>
      </c>
      <c r="U1433" s="7">
        <v>3</v>
      </c>
      <c r="V1433" t="s">
        <v>613</v>
      </c>
      <c r="W1433" s="257" t="s">
        <v>761</v>
      </c>
      <c r="X1433" t="s">
        <v>762</v>
      </c>
      <c r="Y1433" s="316" t="s">
        <v>45</v>
      </c>
      <c r="Z1433" s="8">
        <v>385</v>
      </c>
      <c r="AA1433" s="202" t="str">
        <f t="shared" si="23"/>
        <v>Картофель</v>
      </c>
    </row>
    <row r="1434" spans="1:27" ht="15" customHeight="1" x14ac:dyDescent="0.25">
      <c r="A1434" t="s">
        <v>153</v>
      </c>
      <c r="L1434"/>
      <c r="M1434"/>
      <c r="N1434"/>
      <c r="O1434"/>
      <c r="P1434"/>
      <c r="T1434">
        <v>2210</v>
      </c>
      <c r="U1434" s="7">
        <v>3</v>
      </c>
      <c r="V1434" t="s">
        <v>613</v>
      </c>
      <c r="W1434" s="257" t="s">
        <v>761</v>
      </c>
      <c r="X1434" t="s">
        <v>762</v>
      </c>
      <c r="Y1434" s="316" t="s">
        <v>61</v>
      </c>
      <c r="Z1434" s="8">
        <v>2</v>
      </c>
      <c r="AA1434" s="202" t="str">
        <f t="shared" si="23"/>
        <v>Масло растительное</v>
      </c>
    </row>
    <row r="1435" spans="1:27" ht="15" customHeight="1" x14ac:dyDescent="0.25">
      <c r="A1435" t="s">
        <v>153</v>
      </c>
      <c r="L1435"/>
      <c r="M1435"/>
      <c r="N1435"/>
      <c r="O1435"/>
      <c r="P1435"/>
      <c r="T1435">
        <v>2211</v>
      </c>
      <c r="U1435" s="7">
        <v>3</v>
      </c>
      <c r="V1435" t="s">
        <v>613</v>
      </c>
      <c r="W1435" s="257" t="s">
        <v>761</v>
      </c>
      <c r="X1435" t="s">
        <v>762</v>
      </c>
      <c r="Y1435" s="316" t="s">
        <v>46</v>
      </c>
      <c r="Z1435" s="8">
        <v>10</v>
      </c>
      <c r="AA1435" s="202" t="str">
        <f t="shared" si="23"/>
        <v>Морковь</v>
      </c>
    </row>
    <row r="1436" spans="1:27" ht="15" customHeight="1" x14ac:dyDescent="0.25">
      <c r="A1436" t="s">
        <v>153</v>
      </c>
      <c r="L1436"/>
      <c r="M1436"/>
      <c r="N1436"/>
      <c r="O1436"/>
      <c r="P1436"/>
      <c r="T1436">
        <v>2212</v>
      </c>
      <c r="U1436" s="7">
        <v>3</v>
      </c>
      <c r="V1436" t="s">
        <v>613</v>
      </c>
      <c r="W1436" s="257" t="s">
        <v>761</v>
      </c>
      <c r="X1436" t="s">
        <v>762</v>
      </c>
      <c r="Y1436" s="316" t="s">
        <v>32</v>
      </c>
      <c r="Z1436" s="8">
        <v>10</v>
      </c>
      <c r="AA1436" s="202" t="str">
        <f t="shared" si="23"/>
        <v>Лук репчатый</v>
      </c>
    </row>
    <row r="1437" spans="1:27" ht="15" customHeight="1" x14ac:dyDescent="0.25">
      <c r="A1437" t="s">
        <v>153</v>
      </c>
      <c r="L1437"/>
      <c r="M1437"/>
      <c r="N1437"/>
      <c r="O1437"/>
      <c r="P1437"/>
      <c r="T1437">
        <v>2213</v>
      </c>
      <c r="U1437" s="7">
        <v>3</v>
      </c>
      <c r="V1437" t="s">
        <v>613</v>
      </c>
      <c r="W1437" s="257" t="s">
        <v>761</v>
      </c>
      <c r="X1437" t="s">
        <v>762</v>
      </c>
      <c r="Y1437" s="316" t="s">
        <v>76</v>
      </c>
      <c r="Z1437" s="8">
        <v>2</v>
      </c>
      <c r="AA1437" s="202" t="str">
        <f t="shared" si="23"/>
        <v>Томат-паста</v>
      </c>
    </row>
    <row r="1438" spans="1:27" ht="15" customHeight="1" x14ac:dyDescent="0.25">
      <c r="A1438" t="s">
        <v>153</v>
      </c>
      <c r="L1438"/>
      <c r="M1438"/>
      <c r="N1438"/>
      <c r="O1438"/>
      <c r="P1438"/>
      <c r="T1438">
        <v>2214</v>
      </c>
      <c r="U1438" s="7">
        <v>3</v>
      </c>
      <c r="V1438" t="s">
        <v>613</v>
      </c>
      <c r="W1438" s="257" t="s">
        <v>761</v>
      </c>
      <c r="X1438" t="s">
        <v>762</v>
      </c>
      <c r="Y1438" s="316" t="s">
        <v>434</v>
      </c>
      <c r="Z1438" s="8">
        <v>2</v>
      </c>
      <c r="AA1438" s="202" t="str">
        <f t="shared" si="23"/>
        <v>Мука пшеничная 1 с</v>
      </c>
    </row>
    <row r="1439" spans="1:27" ht="15" customHeight="1" x14ac:dyDescent="0.25">
      <c r="A1439" t="s">
        <v>153</v>
      </c>
      <c r="L1439"/>
      <c r="M1439"/>
      <c r="N1439"/>
      <c r="O1439"/>
      <c r="P1439"/>
      <c r="T1439">
        <v>2215</v>
      </c>
      <c r="U1439" s="7">
        <v>3</v>
      </c>
      <c r="V1439" t="s">
        <v>613</v>
      </c>
      <c r="W1439" s="257" t="s">
        <v>761</v>
      </c>
      <c r="X1439" t="s">
        <v>762</v>
      </c>
      <c r="Y1439" s="316" t="s">
        <v>49</v>
      </c>
      <c r="Z1439" s="8">
        <v>2.5</v>
      </c>
      <c r="AA1439" s="202" t="str">
        <f t="shared" si="23"/>
        <v>Чеснок</v>
      </c>
    </row>
    <row r="1440" spans="1:27" ht="15" customHeight="1" x14ac:dyDescent="0.25">
      <c r="A1440" t="s">
        <v>153</v>
      </c>
      <c r="L1440"/>
      <c r="M1440"/>
      <c r="N1440"/>
      <c r="O1440"/>
      <c r="P1440"/>
      <c r="T1440">
        <v>2216</v>
      </c>
      <c r="U1440" s="7">
        <v>3</v>
      </c>
      <c r="V1440" t="s">
        <v>613</v>
      </c>
      <c r="W1440" s="257" t="s">
        <v>761</v>
      </c>
      <c r="X1440" t="s">
        <v>762</v>
      </c>
      <c r="Y1440" s="316" t="s">
        <v>326</v>
      </c>
      <c r="Z1440" s="8">
        <v>2</v>
      </c>
      <c r="AA1440" s="202" t="str">
        <f t="shared" si="23"/>
        <v>Соль</v>
      </c>
    </row>
    <row r="1441" spans="1:27" ht="15" customHeight="1" x14ac:dyDescent="0.25">
      <c r="A1441" t="s">
        <v>153</v>
      </c>
      <c r="L1441"/>
      <c r="M1441"/>
      <c r="N1441"/>
      <c r="O1441"/>
      <c r="P1441"/>
      <c r="T1441">
        <v>2217</v>
      </c>
      <c r="U1441" s="7">
        <v>3</v>
      </c>
      <c r="V1441" t="s">
        <v>613</v>
      </c>
      <c r="W1441" s="257" t="s">
        <v>761</v>
      </c>
      <c r="X1441" t="s">
        <v>762</v>
      </c>
      <c r="Y1441" s="316" t="s">
        <v>484</v>
      </c>
      <c r="Z1441" s="8">
        <v>0.01</v>
      </c>
      <c r="AA1441" s="202" t="str">
        <f t="shared" si="23"/>
        <v>Перец черный</v>
      </c>
    </row>
    <row r="1442" spans="1:27" ht="15" customHeight="1" x14ac:dyDescent="0.25">
      <c r="A1442" t="s">
        <v>153</v>
      </c>
      <c r="L1442"/>
      <c r="M1442"/>
      <c r="N1442"/>
      <c r="O1442"/>
      <c r="P1442"/>
      <c r="T1442">
        <v>2218</v>
      </c>
      <c r="U1442" s="7">
        <v>3</v>
      </c>
      <c r="V1442" t="s">
        <v>613</v>
      </c>
      <c r="W1442" s="257" t="s">
        <v>761</v>
      </c>
      <c r="X1442" t="s">
        <v>762</v>
      </c>
      <c r="Y1442" s="316" t="s">
        <v>1214</v>
      </c>
      <c r="Z1442" s="8">
        <v>61</v>
      </c>
      <c r="AA1442" s="202" t="str">
        <f t="shared" si="23"/>
        <v>Масса мясных и рыбных порций, г</v>
      </c>
    </row>
    <row r="1443" spans="1:27" ht="15" customHeight="1" x14ac:dyDescent="0.25">
      <c r="A1443" t="s">
        <v>153</v>
      </c>
      <c r="L1443"/>
      <c r="M1443"/>
      <c r="N1443"/>
      <c r="O1443"/>
      <c r="P1443"/>
      <c r="T1443">
        <v>2218</v>
      </c>
      <c r="U1443" s="7">
        <v>3</v>
      </c>
      <c r="V1443" t="s">
        <v>613</v>
      </c>
      <c r="W1443" s="257" t="s">
        <v>761</v>
      </c>
      <c r="X1443" t="s">
        <v>762</v>
      </c>
      <c r="Y1443" s="316" t="s">
        <v>558</v>
      </c>
      <c r="Z1443" s="8">
        <v>361</v>
      </c>
      <c r="AA1443" s="202" t="str">
        <f t="shared" si="23"/>
        <v>Общая масса готового блюда, г</v>
      </c>
    </row>
    <row r="1444" spans="1:27" ht="15" customHeight="1" x14ac:dyDescent="0.25">
      <c r="A1444" t="s">
        <v>153</v>
      </c>
      <c r="L1444"/>
      <c r="M1444"/>
      <c r="N1444"/>
      <c r="O1444"/>
      <c r="P1444"/>
      <c r="T1444">
        <v>2218</v>
      </c>
      <c r="U1444" s="7">
        <v>3</v>
      </c>
      <c r="V1444" t="s">
        <v>613</v>
      </c>
      <c r="W1444" s="257" t="s">
        <v>761</v>
      </c>
      <c r="X1444" t="s">
        <v>762</v>
      </c>
      <c r="Y1444" s="316" t="s">
        <v>109</v>
      </c>
      <c r="Z1444" s="8">
        <v>375</v>
      </c>
      <c r="AA1444" s="202" t="str">
        <f t="shared" si="23"/>
        <v>ОКГ</v>
      </c>
    </row>
    <row r="1445" spans="1:27" ht="15" customHeight="1" x14ac:dyDescent="0.25">
      <c r="A1445" t="s">
        <v>153</v>
      </c>
      <c r="L1445"/>
      <c r="M1445"/>
      <c r="N1445"/>
      <c r="O1445"/>
      <c r="P1445"/>
      <c r="T1445">
        <v>2424</v>
      </c>
      <c r="U1445" s="7">
        <v>3</v>
      </c>
      <c r="V1445" t="s">
        <v>613</v>
      </c>
      <c r="W1445" s="257" t="s">
        <v>764</v>
      </c>
      <c r="X1445" t="s">
        <v>763</v>
      </c>
      <c r="Y1445" s="316" t="s">
        <v>457</v>
      </c>
      <c r="Z1445" s="8">
        <v>100</v>
      </c>
      <c r="AA1445" s="202" t="str">
        <f t="shared" si="23"/>
        <v>Говядина б/к</v>
      </c>
    </row>
    <row r="1446" spans="1:27" ht="15" customHeight="1" x14ac:dyDescent="0.25">
      <c r="A1446" t="s">
        <v>153</v>
      </c>
      <c r="L1446"/>
      <c r="M1446"/>
      <c r="N1446"/>
      <c r="O1446"/>
      <c r="P1446"/>
      <c r="T1446">
        <v>2425</v>
      </c>
      <c r="U1446" s="7">
        <v>3</v>
      </c>
      <c r="V1446" t="s">
        <v>613</v>
      </c>
      <c r="W1446" s="257" t="s">
        <v>764</v>
      </c>
      <c r="X1446" t="s">
        <v>763</v>
      </c>
      <c r="Y1446" s="316" t="s">
        <v>45</v>
      </c>
      <c r="Z1446" s="8">
        <v>250</v>
      </c>
      <c r="AA1446" s="202" t="str">
        <f t="shared" si="23"/>
        <v>Картофель</v>
      </c>
    </row>
    <row r="1447" spans="1:27" ht="15" customHeight="1" x14ac:dyDescent="0.25">
      <c r="A1447" t="s">
        <v>153</v>
      </c>
      <c r="L1447"/>
      <c r="M1447"/>
      <c r="N1447"/>
      <c r="O1447"/>
      <c r="P1447"/>
      <c r="T1447">
        <v>2426</v>
      </c>
      <c r="U1447" s="7">
        <v>3</v>
      </c>
      <c r="V1447" t="s">
        <v>613</v>
      </c>
      <c r="W1447" s="257" t="s">
        <v>764</v>
      </c>
      <c r="X1447" t="s">
        <v>763</v>
      </c>
      <c r="Y1447" s="316" t="s">
        <v>490</v>
      </c>
      <c r="Z1447" s="8">
        <v>100</v>
      </c>
      <c r="AA1447" s="202" t="str">
        <f t="shared" si="23"/>
        <v>Капуста свежая</v>
      </c>
    </row>
    <row r="1448" spans="1:27" ht="15" customHeight="1" x14ac:dyDescent="0.25">
      <c r="A1448" t="s">
        <v>153</v>
      </c>
      <c r="L1448"/>
      <c r="M1448"/>
      <c r="N1448"/>
      <c r="O1448"/>
      <c r="P1448"/>
      <c r="T1448">
        <v>2427</v>
      </c>
      <c r="U1448" s="7">
        <v>3</v>
      </c>
      <c r="V1448" t="s">
        <v>613</v>
      </c>
      <c r="W1448" s="257" t="s">
        <v>764</v>
      </c>
      <c r="X1448" t="s">
        <v>763</v>
      </c>
      <c r="Y1448" s="316" t="s">
        <v>61</v>
      </c>
      <c r="Z1448" s="8">
        <v>2</v>
      </c>
      <c r="AA1448" s="202" t="str">
        <f t="shared" si="23"/>
        <v>Масло растительное</v>
      </c>
    </row>
    <row r="1449" spans="1:27" ht="15" customHeight="1" x14ac:dyDescent="0.25">
      <c r="A1449" t="s">
        <v>153</v>
      </c>
      <c r="L1449"/>
      <c r="M1449"/>
      <c r="N1449"/>
      <c r="O1449"/>
      <c r="P1449"/>
      <c r="T1449">
        <v>2428</v>
      </c>
      <c r="U1449" s="7">
        <v>3</v>
      </c>
      <c r="V1449" t="s">
        <v>613</v>
      </c>
      <c r="W1449" s="257" t="s">
        <v>764</v>
      </c>
      <c r="X1449" t="s">
        <v>763</v>
      </c>
      <c r="Y1449" s="316" t="s">
        <v>46</v>
      </c>
      <c r="Z1449" s="8">
        <v>10</v>
      </c>
      <c r="AA1449" s="202" t="str">
        <f t="shared" si="23"/>
        <v>Морковь</v>
      </c>
    </row>
    <row r="1450" spans="1:27" ht="15" customHeight="1" x14ac:dyDescent="0.25">
      <c r="A1450" t="s">
        <v>153</v>
      </c>
      <c r="L1450"/>
      <c r="M1450"/>
      <c r="N1450"/>
      <c r="O1450"/>
      <c r="P1450"/>
      <c r="T1450">
        <v>2429</v>
      </c>
      <c r="U1450" s="7">
        <v>3</v>
      </c>
      <c r="V1450" t="s">
        <v>613</v>
      </c>
      <c r="W1450" s="257" t="s">
        <v>764</v>
      </c>
      <c r="X1450" t="s">
        <v>763</v>
      </c>
      <c r="Y1450" s="316" t="s">
        <v>32</v>
      </c>
      <c r="Z1450" s="8">
        <v>10</v>
      </c>
      <c r="AA1450" s="202" t="str">
        <f t="shared" si="23"/>
        <v>Лук репчатый</v>
      </c>
    </row>
    <row r="1451" spans="1:27" ht="15" customHeight="1" x14ac:dyDescent="0.25">
      <c r="A1451" t="s">
        <v>153</v>
      </c>
      <c r="L1451"/>
      <c r="M1451"/>
      <c r="N1451"/>
      <c r="O1451"/>
      <c r="P1451"/>
      <c r="T1451">
        <v>2430</v>
      </c>
      <c r="U1451" s="7">
        <v>3</v>
      </c>
      <c r="V1451" t="s">
        <v>613</v>
      </c>
      <c r="W1451" s="257" t="s">
        <v>764</v>
      </c>
      <c r="X1451" t="s">
        <v>763</v>
      </c>
      <c r="Y1451" s="316" t="s">
        <v>76</v>
      </c>
      <c r="Z1451" s="8">
        <v>2</v>
      </c>
      <c r="AA1451" s="202" t="str">
        <f t="shared" si="23"/>
        <v>Томат-паста</v>
      </c>
    </row>
    <row r="1452" spans="1:27" ht="15" customHeight="1" x14ac:dyDescent="0.25">
      <c r="A1452" t="s">
        <v>153</v>
      </c>
      <c r="L1452"/>
      <c r="M1452"/>
      <c r="N1452"/>
      <c r="O1452"/>
      <c r="P1452"/>
      <c r="T1452">
        <v>2431</v>
      </c>
      <c r="U1452" s="7">
        <v>3</v>
      </c>
      <c r="V1452" t="s">
        <v>613</v>
      </c>
      <c r="W1452" s="257" t="s">
        <v>764</v>
      </c>
      <c r="X1452" t="s">
        <v>763</v>
      </c>
      <c r="Y1452" s="316" t="s">
        <v>434</v>
      </c>
      <c r="Z1452" s="8">
        <v>2</v>
      </c>
      <c r="AA1452" s="202" t="str">
        <f t="shared" si="23"/>
        <v>Мука пшеничная 1 с</v>
      </c>
    </row>
    <row r="1453" spans="1:27" ht="15" customHeight="1" x14ac:dyDescent="0.25">
      <c r="A1453" t="s">
        <v>153</v>
      </c>
      <c r="L1453"/>
      <c r="M1453"/>
      <c r="N1453"/>
      <c r="O1453"/>
      <c r="P1453"/>
      <c r="T1453">
        <v>2432</v>
      </c>
      <c r="U1453" s="7">
        <v>3</v>
      </c>
      <c r="V1453" t="s">
        <v>613</v>
      </c>
      <c r="W1453" s="257" t="s">
        <v>764</v>
      </c>
      <c r="X1453" t="s">
        <v>763</v>
      </c>
      <c r="Y1453" s="316" t="s">
        <v>49</v>
      </c>
      <c r="Z1453" s="8">
        <v>2.5</v>
      </c>
      <c r="AA1453" s="202" t="str">
        <f t="shared" si="23"/>
        <v>Чеснок</v>
      </c>
    </row>
    <row r="1454" spans="1:27" ht="15" customHeight="1" x14ac:dyDescent="0.25">
      <c r="A1454" t="s">
        <v>153</v>
      </c>
      <c r="L1454"/>
      <c r="M1454"/>
      <c r="N1454"/>
      <c r="O1454"/>
      <c r="P1454"/>
      <c r="T1454">
        <v>2433</v>
      </c>
      <c r="U1454" s="7">
        <v>3</v>
      </c>
      <c r="V1454" t="s">
        <v>613</v>
      </c>
      <c r="W1454" s="257" t="s">
        <v>764</v>
      </c>
      <c r="X1454" t="s">
        <v>763</v>
      </c>
      <c r="Y1454" s="316" t="s">
        <v>326</v>
      </c>
      <c r="Z1454" s="8">
        <v>2</v>
      </c>
      <c r="AA1454" s="202" t="str">
        <f t="shared" si="23"/>
        <v>Соль</v>
      </c>
    </row>
    <row r="1455" spans="1:27" ht="15" customHeight="1" x14ac:dyDescent="0.25">
      <c r="A1455" t="s">
        <v>153</v>
      </c>
      <c r="L1455"/>
      <c r="M1455"/>
      <c r="N1455"/>
      <c r="O1455"/>
      <c r="P1455"/>
      <c r="T1455">
        <v>2434</v>
      </c>
      <c r="U1455" s="7">
        <v>3</v>
      </c>
      <c r="V1455" t="s">
        <v>613</v>
      </c>
      <c r="W1455" s="257" t="s">
        <v>764</v>
      </c>
      <c r="X1455" t="s">
        <v>763</v>
      </c>
      <c r="Y1455" s="316" t="s">
        <v>484</v>
      </c>
      <c r="Z1455" s="8">
        <v>0.1</v>
      </c>
      <c r="AA1455" s="202" t="str">
        <f t="shared" si="23"/>
        <v>Перец черный</v>
      </c>
    </row>
    <row r="1456" spans="1:27" ht="15" customHeight="1" x14ac:dyDescent="0.25">
      <c r="A1456" t="s">
        <v>153</v>
      </c>
      <c r="L1456"/>
      <c r="M1456"/>
      <c r="N1456"/>
      <c r="O1456"/>
      <c r="P1456"/>
      <c r="T1456">
        <v>2435</v>
      </c>
      <c r="U1456" s="7">
        <v>3</v>
      </c>
      <c r="V1456" t="s">
        <v>613</v>
      </c>
      <c r="W1456" s="257" t="s">
        <v>764</v>
      </c>
      <c r="X1456" t="s">
        <v>763</v>
      </c>
      <c r="Y1456" s="316" t="s">
        <v>558</v>
      </c>
      <c r="Z1456" s="8">
        <v>283</v>
      </c>
      <c r="AA1456" s="202" t="str">
        <f t="shared" si="23"/>
        <v>Общая масса готового блюда, г</v>
      </c>
    </row>
    <row r="1457" spans="1:27" ht="15" customHeight="1" x14ac:dyDescent="0.25">
      <c r="A1457" t="s">
        <v>153</v>
      </c>
      <c r="L1457"/>
      <c r="M1457"/>
      <c r="N1457"/>
      <c r="O1457"/>
      <c r="P1457"/>
      <c r="T1457">
        <v>2435</v>
      </c>
      <c r="U1457" s="7">
        <v>3</v>
      </c>
      <c r="V1457" t="s">
        <v>613</v>
      </c>
      <c r="W1457" s="257" t="s">
        <v>764</v>
      </c>
      <c r="X1457" t="s">
        <v>763</v>
      </c>
      <c r="Y1457" s="316" t="s">
        <v>1214</v>
      </c>
      <c r="Z1457" s="8">
        <v>47</v>
      </c>
      <c r="AA1457" s="202" t="str">
        <f t="shared" si="23"/>
        <v>Масса мясных и рыбных порций, г</v>
      </c>
    </row>
    <row r="1458" spans="1:27" ht="15" customHeight="1" x14ac:dyDescent="0.25">
      <c r="A1458" t="s">
        <v>153</v>
      </c>
      <c r="L1458"/>
      <c r="M1458"/>
      <c r="N1458"/>
      <c r="O1458"/>
      <c r="P1458"/>
      <c r="T1458">
        <v>2435</v>
      </c>
      <c r="U1458" s="7">
        <v>3</v>
      </c>
      <c r="V1458" t="s">
        <v>613</v>
      </c>
      <c r="W1458" s="257" t="s">
        <v>764</v>
      </c>
      <c r="X1458" t="s">
        <v>763</v>
      </c>
      <c r="Y1458" s="316" t="s">
        <v>109</v>
      </c>
      <c r="Z1458" s="8">
        <v>380</v>
      </c>
      <c r="AA1458" s="202" t="str">
        <f t="shared" si="23"/>
        <v>ОКГ</v>
      </c>
    </row>
    <row r="1459" spans="1:27" ht="15" customHeight="1" x14ac:dyDescent="0.25">
      <c r="A1459" t="s">
        <v>153</v>
      </c>
      <c r="L1459"/>
      <c r="M1459"/>
      <c r="N1459"/>
      <c r="O1459"/>
      <c r="P1459"/>
      <c r="T1459">
        <v>763</v>
      </c>
      <c r="U1459" s="7">
        <v>3</v>
      </c>
      <c r="V1459" t="s">
        <v>966</v>
      </c>
      <c r="W1459" s="257" t="s">
        <v>1046</v>
      </c>
      <c r="X1459" t="s">
        <v>1047</v>
      </c>
      <c r="Y1459" s="316" t="s">
        <v>45</v>
      </c>
      <c r="Z1459" s="8">
        <v>190</v>
      </c>
      <c r="AA1459" s="202" t="str">
        <f t="shared" si="23"/>
        <v>Картофель</v>
      </c>
    </row>
    <row r="1460" spans="1:27" ht="15" customHeight="1" x14ac:dyDescent="0.25">
      <c r="A1460" t="s">
        <v>153</v>
      </c>
      <c r="L1460"/>
      <c r="M1460"/>
      <c r="N1460"/>
      <c r="O1460"/>
      <c r="P1460"/>
      <c r="T1460">
        <v>764</v>
      </c>
      <c r="U1460" s="7">
        <v>3</v>
      </c>
      <c r="V1460" t="s">
        <v>966</v>
      </c>
      <c r="W1460" s="257" t="s">
        <v>1046</v>
      </c>
      <c r="X1460" t="s">
        <v>1047</v>
      </c>
      <c r="Y1460" s="316" t="s">
        <v>46</v>
      </c>
      <c r="Z1460" s="8">
        <v>20</v>
      </c>
      <c r="AA1460" s="202" t="str">
        <f t="shared" si="23"/>
        <v>Морковь</v>
      </c>
    </row>
    <row r="1461" spans="1:27" ht="15" customHeight="1" x14ac:dyDescent="0.25">
      <c r="A1461" t="s">
        <v>153</v>
      </c>
      <c r="L1461"/>
      <c r="M1461"/>
      <c r="N1461"/>
      <c r="O1461"/>
      <c r="P1461"/>
      <c r="T1461">
        <v>765</v>
      </c>
      <c r="U1461" s="7">
        <v>3</v>
      </c>
      <c r="V1461" t="s">
        <v>966</v>
      </c>
      <c r="W1461" s="257" t="s">
        <v>1046</v>
      </c>
      <c r="X1461" t="s">
        <v>1047</v>
      </c>
      <c r="Y1461" s="316" t="s">
        <v>32</v>
      </c>
      <c r="Z1461" s="8">
        <v>15</v>
      </c>
      <c r="AA1461" s="202" t="str">
        <f t="shared" si="23"/>
        <v>Лук репчатый</v>
      </c>
    </row>
    <row r="1462" spans="1:27" ht="15" customHeight="1" x14ac:dyDescent="0.25">
      <c r="A1462" t="s">
        <v>153</v>
      </c>
      <c r="L1462"/>
      <c r="M1462"/>
      <c r="N1462"/>
      <c r="O1462"/>
      <c r="P1462"/>
      <c r="T1462">
        <v>766</v>
      </c>
      <c r="U1462" s="7">
        <v>3</v>
      </c>
      <c r="V1462" t="s">
        <v>966</v>
      </c>
      <c r="W1462" s="257" t="s">
        <v>1046</v>
      </c>
      <c r="X1462" t="s">
        <v>1047</v>
      </c>
      <c r="Y1462" s="316" t="s">
        <v>490</v>
      </c>
      <c r="Z1462" s="8">
        <v>195</v>
      </c>
      <c r="AA1462" s="202" t="str">
        <f t="shared" si="23"/>
        <v>Капуста свежая</v>
      </c>
    </row>
    <row r="1463" spans="1:27" ht="15" customHeight="1" x14ac:dyDescent="0.25">
      <c r="A1463" t="s">
        <v>153</v>
      </c>
      <c r="L1463"/>
      <c r="M1463"/>
      <c r="N1463"/>
      <c r="O1463"/>
      <c r="P1463"/>
      <c r="T1463">
        <v>767</v>
      </c>
      <c r="U1463" s="7">
        <v>3</v>
      </c>
      <c r="V1463" t="s">
        <v>966</v>
      </c>
      <c r="W1463" s="257" t="s">
        <v>1046</v>
      </c>
      <c r="X1463" t="s">
        <v>1047</v>
      </c>
      <c r="Y1463" s="316" t="s">
        <v>61</v>
      </c>
      <c r="Z1463" s="8">
        <v>5</v>
      </c>
      <c r="AA1463" s="202" t="str">
        <f t="shared" si="23"/>
        <v>Масло растительное</v>
      </c>
    </row>
    <row r="1464" spans="1:27" ht="15" customHeight="1" x14ac:dyDescent="0.25">
      <c r="A1464" t="s">
        <v>153</v>
      </c>
      <c r="L1464"/>
      <c r="M1464"/>
      <c r="N1464"/>
      <c r="O1464"/>
      <c r="P1464"/>
      <c r="T1464">
        <v>768</v>
      </c>
      <c r="U1464" s="7">
        <v>3</v>
      </c>
      <c r="V1464" t="s">
        <v>966</v>
      </c>
      <c r="W1464" s="257" t="s">
        <v>1046</v>
      </c>
      <c r="X1464" t="s">
        <v>1047</v>
      </c>
      <c r="Y1464" s="316" t="s">
        <v>434</v>
      </c>
      <c r="Z1464" s="8">
        <v>3</v>
      </c>
      <c r="AA1464" s="202" t="str">
        <f t="shared" si="23"/>
        <v>Мука пшеничная 1 с</v>
      </c>
    </row>
    <row r="1465" spans="1:27" ht="15" customHeight="1" x14ac:dyDescent="0.25">
      <c r="A1465" t="s">
        <v>153</v>
      </c>
      <c r="L1465"/>
      <c r="M1465"/>
      <c r="N1465"/>
      <c r="O1465"/>
      <c r="P1465"/>
      <c r="T1465">
        <v>769</v>
      </c>
      <c r="U1465" s="7">
        <v>3</v>
      </c>
      <c r="V1465" t="s">
        <v>966</v>
      </c>
      <c r="W1465" s="257" t="s">
        <v>1046</v>
      </c>
      <c r="X1465" t="s">
        <v>1047</v>
      </c>
      <c r="Y1465" s="316" t="s">
        <v>76</v>
      </c>
      <c r="Z1465" s="8">
        <v>2</v>
      </c>
      <c r="AA1465" s="202" t="str">
        <f t="shared" si="23"/>
        <v>Томат-паста</v>
      </c>
    </row>
    <row r="1466" spans="1:27" ht="15" customHeight="1" x14ac:dyDescent="0.25">
      <c r="A1466" t="s">
        <v>153</v>
      </c>
      <c r="L1466"/>
      <c r="M1466"/>
      <c r="N1466"/>
      <c r="O1466"/>
      <c r="P1466"/>
      <c r="T1466">
        <v>770</v>
      </c>
      <c r="U1466" s="7">
        <v>3</v>
      </c>
      <c r="V1466" t="s">
        <v>966</v>
      </c>
      <c r="W1466" s="257" t="s">
        <v>1046</v>
      </c>
      <c r="X1466" t="s">
        <v>1047</v>
      </c>
      <c r="Y1466" s="316" t="s">
        <v>326</v>
      </c>
      <c r="Z1466" s="8">
        <v>3</v>
      </c>
      <c r="AA1466" s="202" t="str">
        <f t="shared" si="23"/>
        <v>Соль</v>
      </c>
    </row>
    <row r="1467" spans="1:27" ht="15" customHeight="1" x14ac:dyDescent="0.25">
      <c r="A1467" t="s">
        <v>153</v>
      </c>
      <c r="L1467"/>
      <c r="M1467"/>
      <c r="N1467"/>
      <c r="O1467"/>
      <c r="P1467"/>
      <c r="T1467">
        <v>771</v>
      </c>
      <c r="U1467" s="7">
        <v>3</v>
      </c>
      <c r="V1467" t="s">
        <v>966</v>
      </c>
      <c r="W1467" s="257" t="s">
        <v>1046</v>
      </c>
      <c r="X1467" t="s">
        <v>1047</v>
      </c>
      <c r="Y1467" s="316" t="s">
        <v>480</v>
      </c>
      <c r="Z1467" s="8">
        <v>50</v>
      </c>
      <c r="AA1467" s="202" t="str">
        <f t="shared" si="23"/>
        <v>Вода или бульон</v>
      </c>
    </row>
    <row r="1468" spans="1:27" ht="15" customHeight="1" x14ac:dyDescent="0.25">
      <c r="A1468" t="s">
        <v>153</v>
      </c>
      <c r="L1468"/>
      <c r="M1468"/>
      <c r="N1468"/>
      <c r="O1468"/>
      <c r="P1468"/>
      <c r="T1468">
        <v>772</v>
      </c>
      <c r="U1468" s="7">
        <v>3</v>
      </c>
      <c r="V1468" t="s">
        <v>966</v>
      </c>
      <c r="W1468" s="257" t="s">
        <v>1046</v>
      </c>
      <c r="X1468" t="s">
        <v>1047</v>
      </c>
      <c r="Y1468" s="316" t="s">
        <v>484</v>
      </c>
      <c r="Z1468" s="8">
        <v>0.05</v>
      </c>
      <c r="AA1468" s="202" t="str">
        <f t="shared" si="23"/>
        <v>Перец черный</v>
      </c>
    </row>
    <row r="1469" spans="1:27" ht="15" customHeight="1" x14ac:dyDescent="0.25">
      <c r="A1469" t="s">
        <v>153</v>
      </c>
      <c r="L1469"/>
      <c r="M1469"/>
      <c r="N1469"/>
      <c r="O1469"/>
      <c r="P1469"/>
      <c r="T1469">
        <v>773</v>
      </c>
      <c r="U1469" s="7">
        <v>3</v>
      </c>
      <c r="V1469" t="s">
        <v>966</v>
      </c>
      <c r="W1469" s="257" t="s">
        <v>1046</v>
      </c>
      <c r="X1469" t="s">
        <v>1047</v>
      </c>
      <c r="Y1469" s="316" t="s">
        <v>558</v>
      </c>
      <c r="Z1469" s="8">
        <v>293</v>
      </c>
      <c r="AA1469" s="202" t="str">
        <f t="shared" si="23"/>
        <v>Общая масса готового блюда, г</v>
      </c>
    </row>
    <row r="1470" spans="1:27" ht="15" customHeight="1" x14ac:dyDescent="0.25">
      <c r="A1470" t="s">
        <v>153</v>
      </c>
      <c r="L1470"/>
      <c r="M1470"/>
      <c r="N1470"/>
      <c r="O1470"/>
      <c r="P1470"/>
      <c r="T1470">
        <v>773</v>
      </c>
      <c r="U1470" s="7">
        <v>3</v>
      </c>
      <c r="V1470" t="s">
        <v>966</v>
      </c>
      <c r="W1470" s="257" t="s">
        <v>1046</v>
      </c>
      <c r="X1470" t="s">
        <v>1047</v>
      </c>
      <c r="Y1470" s="316" t="s">
        <v>109</v>
      </c>
      <c r="Z1470" s="8">
        <v>415</v>
      </c>
      <c r="AA1470" s="202" t="str">
        <f t="shared" si="23"/>
        <v>ОКГ</v>
      </c>
    </row>
    <row r="1471" spans="1:27" ht="15" customHeight="1" x14ac:dyDescent="0.25">
      <c r="A1471" t="s">
        <v>153</v>
      </c>
      <c r="L1471"/>
      <c r="M1471"/>
      <c r="N1471"/>
      <c r="O1471"/>
      <c r="P1471"/>
      <c r="T1471">
        <v>180</v>
      </c>
      <c r="U1471" s="7">
        <v>3</v>
      </c>
      <c r="V1471" t="s">
        <v>555</v>
      </c>
      <c r="W1471" s="257" t="s">
        <v>1311</v>
      </c>
      <c r="X1471" t="s">
        <v>1312</v>
      </c>
      <c r="Y1471" s="316" t="s">
        <v>45</v>
      </c>
      <c r="Z1471" s="8">
        <v>200</v>
      </c>
      <c r="AA1471" s="202" t="str">
        <f t="shared" si="23"/>
        <v>Картофель</v>
      </c>
    </row>
    <row r="1472" spans="1:27" ht="15" customHeight="1" x14ac:dyDescent="0.25">
      <c r="A1472" t="s">
        <v>153</v>
      </c>
      <c r="L1472"/>
      <c r="M1472"/>
      <c r="N1472"/>
      <c r="O1472"/>
      <c r="P1472"/>
      <c r="T1472">
        <v>181</v>
      </c>
      <c r="U1472" s="7">
        <v>3</v>
      </c>
      <c r="V1472" t="s">
        <v>555</v>
      </c>
      <c r="W1472" s="257" t="s">
        <v>1311</v>
      </c>
      <c r="X1472" t="s">
        <v>1312</v>
      </c>
      <c r="Y1472" s="316" t="s">
        <v>46</v>
      </c>
      <c r="Z1472" s="8">
        <v>10</v>
      </c>
      <c r="AA1472" s="202" t="str">
        <f t="shared" si="23"/>
        <v>Морковь</v>
      </c>
    </row>
    <row r="1473" spans="1:27" ht="15" customHeight="1" x14ac:dyDescent="0.25">
      <c r="A1473" t="s">
        <v>153</v>
      </c>
      <c r="L1473"/>
      <c r="M1473"/>
      <c r="N1473"/>
      <c r="O1473"/>
      <c r="P1473"/>
      <c r="T1473">
        <v>182</v>
      </c>
      <c r="U1473" s="7">
        <v>3</v>
      </c>
      <c r="V1473" t="s">
        <v>555</v>
      </c>
      <c r="W1473" s="257" t="s">
        <v>1311</v>
      </c>
      <c r="X1473" t="s">
        <v>1312</v>
      </c>
      <c r="Y1473" s="316" t="s">
        <v>32</v>
      </c>
      <c r="Z1473" s="8">
        <v>5</v>
      </c>
      <c r="AA1473" s="202" t="str">
        <f t="shared" si="23"/>
        <v>Лук репчатый</v>
      </c>
    </row>
    <row r="1474" spans="1:27" ht="15" customHeight="1" x14ac:dyDescent="0.25">
      <c r="A1474" t="s">
        <v>153</v>
      </c>
      <c r="L1474"/>
      <c r="M1474"/>
      <c r="N1474"/>
      <c r="O1474"/>
      <c r="P1474"/>
      <c r="T1474">
        <v>183</v>
      </c>
      <c r="U1474" s="7">
        <v>3</v>
      </c>
      <c r="V1474" t="s">
        <v>555</v>
      </c>
      <c r="W1474" s="257" t="s">
        <v>1311</v>
      </c>
      <c r="X1474" t="s">
        <v>1312</v>
      </c>
      <c r="Y1474" s="316" t="s">
        <v>445</v>
      </c>
      <c r="Z1474" s="8">
        <v>60</v>
      </c>
      <c r="AA1474" s="202" t="str">
        <f t="shared" ref="AA1474:AA1537" si="24">VLOOKUP(Y1474,O:P,2,FALSE)</f>
        <v>Огурцы консерв.</v>
      </c>
    </row>
    <row r="1475" spans="1:27" ht="15" customHeight="1" x14ac:dyDescent="0.25">
      <c r="A1475" t="s">
        <v>153</v>
      </c>
      <c r="L1475"/>
      <c r="M1475"/>
      <c r="N1475"/>
      <c r="O1475"/>
      <c r="P1475"/>
      <c r="T1475">
        <v>184</v>
      </c>
      <c r="U1475" s="7">
        <v>3</v>
      </c>
      <c r="V1475" t="s">
        <v>555</v>
      </c>
      <c r="W1475" s="257" t="s">
        <v>1311</v>
      </c>
      <c r="X1475" t="s">
        <v>1312</v>
      </c>
      <c r="Y1475" s="316" t="s">
        <v>61</v>
      </c>
      <c r="Z1475" s="8">
        <v>5</v>
      </c>
      <c r="AA1475" s="202" t="str">
        <f t="shared" si="24"/>
        <v>Масло растительное</v>
      </c>
    </row>
    <row r="1476" spans="1:27" ht="15" customHeight="1" x14ac:dyDescent="0.25">
      <c r="A1476" t="s">
        <v>153</v>
      </c>
      <c r="L1476"/>
      <c r="M1476"/>
      <c r="N1476"/>
      <c r="O1476"/>
      <c r="P1476"/>
      <c r="T1476">
        <v>185</v>
      </c>
      <c r="U1476" s="7">
        <v>3</v>
      </c>
      <c r="V1476" t="s">
        <v>555</v>
      </c>
      <c r="W1476" s="257" t="s">
        <v>1311</v>
      </c>
      <c r="X1476" t="s">
        <v>1312</v>
      </c>
      <c r="Y1476" s="316" t="s">
        <v>479</v>
      </c>
      <c r="Z1476" s="8">
        <v>400</v>
      </c>
      <c r="AA1476" s="202" t="str">
        <f t="shared" si="24"/>
        <v>Вода или бульон</v>
      </c>
    </row>
    <row r="1477" spans="1:27" ht="15" customHeight="1" x14ac:dyDescent="0.25">
      <c r="A1477" t="s">
        <v>153</v>
      </c>
      <c r="L1477"/>
      <c r="M1477"/>
      <c r="N1477"/>
      <c r="O1477"/>
      <c r="P1477"/>
      <c r="T1477">
        <v>186</v>
      </c>
      <c r="U1477" s="7">
        <v>3</v>
      </c>
      <c r="V1477" t="s">
        <v>555</v>
      </c>
      <c r="W1477" s="257" t="s">
        <v>1311</v>
      </c>
      <c r="X1477" t="s">
        <v>1312</v>
      </c>
      <c r="Y1477" s="316" t="s">
        <v>54</v>
      </c>
      <c r="Z1477" s="8">
        <v>5</v>
      </c>
      <c r="AA1477" s="202" t="str">
        <f t="shared" si="24"/>
        <v>Сметана</v>
      </c>
    </row>
    <row r="1478" spans="1:27" ht="15" customHeight="1" x14ac:dyDescent="0.25">
      <c r="A1478" t="s">
        <v>153</v>
      </c>
      <c r="L1478"/>
      <c r="M1478"/>
      <c r="N1478"/>
      <c r="O1478"/>
      <c r="P1478"/>
      <c r="T1478">
        <v>187</v>
      </c>
      <c r="U1478" s="7">
        <v>3</v>
      </c>
      <c r="V1478" t="s">
        <v>555</v>
      </c>
      <c r="W1478" s="257" t="s">
        <v>1311</v>
      </c>
      <c r="X1478" t="s">
        <v>1312</v>
      </c>
      <c r="Y1478" s="316" t="s">
        <v>70</v>
      </c>
      <c r="Z1478" s="8">
        <v>5</v>
      </c>
      <c r="AA1478" s="202" t="str">
        <f t="shared" si="24"/>
        <v>Зелень</v>
      </c>
    </row>
    <row r="1479" spans="1:27" ht="15" customHeight="1" x14ac:dyDescent="0.25">
      <c r="A1479" t="s">
        <v>153</v>
      </c>
      <c r="L1479"/>
      <c r="M1479"/>
      <c r="N1479"/>
      <c r="O1479"/>
      <c r="P1479"/>
      <c r="T1479">
        <v>188</v>
      </c>
      <c r="U1479" s="7">
        <v>3</v>
      </c>
      <c r="V1479" t="s">
        <v>555</v>
      </c>
      <c r="W1479" s="257" t="s">
        <v>1311</v>
      </c>
      <c r="X1479" t="s">
        <v>1312</v>
      </c>
      <c r="Y1479" s="316" t="s">
        <v>326</v>
      </c>
      <c r="Z1479" s="8">
        <v>4</v>
      </c>
      <c r="AA1479" s="202" t="str">
        <f t="shared" si="24"/>
        <v>Соль</v>
      </c>
    </row>
    <row r="1480" spans="1:27" ht="15" customHeight="1" x14ac:dyDescent="0.25">
      <c r="A1480" t="s">
        <v>153</v>
      </c>
      <c r="L1480"/>
      <c r="M1480"/>
      <c r="N1480"/>
      <c r="O1480"/>
      <c r="P1480"/>
      <c r="T1480">
        <v>189</v>
      </c>
      <c r="U1480" s="7">
        <v>3</v>
      </c>
      <c r="V1480" t="s">
        <v>555</v>
      </c>
      <c r="W1480" s="257" t="s">
        <v>1311</v>
      </c>
      <c r="X1480" t="s">
        <v>1312</v>
      </c>
      <c r="Y1480" s="316" t="s">
        <v>558</v>
      </c>
      <c r="Z1480" s="8">
        <v>590</v>
      </c>
      <c r="AA1480" s="202" t="str">
        <f t="shared" si="24"/>
        <v>Общая масса готового блюда, г</v>
      </c>
    </row>
    <row r="1481" spans="1:27" ht="15" customHeight="1" x14ac:dyDescent="0.25">
      <c r="A1481" t="s">
        <v>153</v>
      </c>
      <c r="L1481"/>
      <c r="M1481"/>
      <c r="N1481"/>
      <c r="O1481"/>
      <c r="P1481"/>
      <c r="T1481">
        <v>190</v>
      </c>
      <c r="U1481" s="7">
        <v>3</v>
      </c>
      <c r="V1481" t="s">
        <v>555</v>
      </c>
      <c r="W1481" s="257" t="s">
        <v>1311</v>
      </c>
      <c r="X1481" t="s">
        <v>1312</v>
      </c>
      <c r="Y1481" s="316" t="s">
        <v>109</v>
      </c>
      <c r="Z1481" s="8">
        <v>295</v>
      </c>
      <c r="AA1481" s="202" t="str">
        <f t="shared" si="24"/>
        <v>ОКГ</v>
      </c>
    </row>
    <row r="1482" spans="1:27" ht="15" customHeight="1" x14ac:dyDescent="0.25">
      <c r="A1482" t="s">
        <v>153</v>
      </c>
      <c r="L1482"/>
      <c r="M1482"/>
      <c r="N1482"/>
      <c r="O1482"/>
      <c r="P1482"/>
      <c r="T1482">
        <v>191</v>
      </c>
      <c r="U1482" s="7">
        <v>3</v>
      </c>
      <c r="V1482" t="s">
        <v>555</v>
      </c>
      <c r="W1482" s="257" t="s">
        <v>1311</v>
      </c>
      <c r="X1482" t="s">
        <v>1312</v>
      </c>
      <c r="Y1482" s="316" t="s">
        <v>74</v>
      </c>
      <c r="Z1482" s="8">
        <v>0.02</v>
      </c>
      <c r="AA1482" s="202" t="str">
        <f t="shared" si="24"/>
        <v>Лавровый лист</v>
      </c>
    </row>
    <row r="1483" spans="1:27" ht="15" customHeight="1" x14ac:dyDescent="0.25">
      <c r="A1483" t="s">
        <v>153</v>
      </c>
      <c r="L1483"/>
      <c r="M1483"/>
      <c r="N1483"/>
      <c r="O1483"/>
      <c r="P1483"/>
      <c r="T1483">
        <v>192</v>
      </c>
      <c r="U1483" s="7">
        <v>3</v>
      </c>
      <c r="V1483" t="s">
        <v>555</v>
      </c>
      <c r="W1483" s="257" t="s">
        <v>1311</v>
      </c>
      <c r="X1483" t="s">
        <v>1312</v>
      </c>
      <c r="Y1483" s="316" t="s">
        <v>484</v>
      </c>
      <c r="Z1483" s="8">
        <v>0.05</v>
      </c>
      <c r="AA1483" s="202" t="str">
        <f t="shared" si="24"/>
        <v>Перец черный</v>
      </c>
    </row>
    <row r="1484" spans="1:27" ht="15" customHeight="1" x14ac:dyDescent="0.25">
      <c r="A1484" t="s">
        <v>153</v>
      </c>
      <c r="L1484"/>
      <c r="M1484"/>
      <c r="N1484"/>
      <c r="O1484"/>
      <c r="P1484"/>
      <c r="T1484">
        <v>180</v>
      </c>
      <c r="U1484" s="7">
        <v>3</v>
      </c>
      <c r="V1484" t="s">
        <v>555</v>
      </c>
      <c r="W1484" s="257" t="s">
        <v>576</v>
      </c>
      <c r="X1484" t="s">
        <v>577</v>
      </c>
      <c r="Y1484" s="316" t="s">
        <v>490</v>
      </c>
      <c r="Z1484" s="8">
        <v>90</v>
      </c>
      <c r="AA1484" s="202" t="str">
        <f t="shared" si="24"/>
        <v>Капуста свежая</v>
      </c>
    </row>
    <row r="1485" spans="1:27" ht="15" customHeight="1" x14ac:dyDescent="0.25">
      <c r="A1485" t="s">
        <v>153</v>
      </c>
      <c r="L1485"/>
      <c r="M1485"/>
      <c r="N1485"/>
      <c r="O1485"/>
      <c r="P1485"/>
      <c r="T1485">
        <v>181</v>
      </c>
      <c r="U1485" s="7">
        <v>3</v>
      </c>
      <c r="V1485" t="s">
        <v>555</v>
      </c>
      <c r="W1485" s="257" t="s">
        <v>576</v>
      </c>
      <c r="X1485" t="s">
        <v>577</v>
      </c>
      <c r="Y1485" s="316" t="s">
        <v>45</v>
      </c>
      <c r="Z1485" s="8">
        <v>110</v>
      </c>
      <c r="AA1485" s="202" t="str">
        <f t="shared" si="24"/>
        <v>Картофель</v>
      </c>
    </row>
    <row r="1486" spans="1:27" ht="15" customHeight="1" x14ac:dyDescent="0.25">
      <c r="A1486" t="s">
        <v>153</v>
      </c>
      <c r="L1486"/>
      <c r="M1486"/>
      <c r="N1486"/>
      <c r="O1486"/>
      <c r="P1486"/>
      <c r="T1486">
        <v>182</v>
      </c>
      <c r="U1486" s="7">
        <v>3</v>
      </c>
      <c r="V1486" t="s">
        <v>555</v>
      </c>
      <c r="W1486" s="257" t="s">
        <v>576</v>
      </c>
      <c r="X1486" t="s">
        <v>577</v>
      </c>
      <c r="Y1486" s="316" t="s">
        <v>46</v>
      </c>
      <c r="Z1486" s="8">
        <v>10</v>
      </c>
      <c r="AA1486" s="202" t="str">
        <f t="shared" si="24"/>
        <v>Морковь</v>
      </c>
    </row>
    <row r="1487" spans="1:27" ht="15" customHeight="1" x14ac:dyDescent="0.25">
      <c r="A1487" t="s">
        <v>153</v>
      </c>
      <c r="L1487"/>
      <c r="M1487"/>
      <c r="N1487"/>
      <c r="O1487"/>
      <c r="P1487"/>
      <c r="T1487">
        <v>183</v>
      </c>
      <c r="U1487" s="7">
        <v>3</v>
      </c>
      <c r="V1487" t="s">
        <v>555</v>
      </c>
      <c r="W1487" s="257" t="s">
        <v>576</v>
      </c>
      <c r="X1487" t="s">
        <v>577</v>
      </c>
      <c r="Y1487" s="316" t="s">
        <v>32</v>
      </c>
      <c r="Z1487" s="8">
        <v>10</v>
      </c>
      <c r="AA1487" s="202" t="str">
        <f t="shared" si="24"/>
        <v>Лук репчатый</v>
      </c>
    </row>
    <row r="1488" spans="1:27" ht="15" customHeight="1" x14ac:dyDescent="0.25">
      <c r="A1488" t="s">
        <v>153</v>
      </c>
      <c r="L1488"/>
      <c r="M1488"/>
      <c r="N1488"/>
      <c r="O1488"/>
      <c r="P1488"/>
      <c r="T1488">
        <v>184</v>
      </c>
      <c r="U1488" s="7">
        <v>3</v>
      </c>
      <c r="V1488" t="s">
        <v>555</v>
      </c>
      <c r="W1488" s="257" t="s">
        <v>576</v>
      </c>
      <c r="X1488" t="s">
        <v>577</v>
      </c>
      <c r="Y1488" s="316" t="s">
        <v>445</v>
      </c>
      <c r="Z1488" s="8">
        <v>35</v>
      </c>
      <c r="AA1488" s="202" t="str">
        <f t="shared" si="24"/>
        <v>Огурцы консерв.</v>
      </c>
    </row>
    <row r="1489" spans="1:27" ht="15" customHeight="1" x14ac:dyDescent="0.25">
      <c r="A1489" t="s">
        <v>153</v>
      </c>
      <c r="L1489"/>
      <c r="M1489"/>
      <c r="N1489"/>
      <c r="O1489"/>
      <c r="P1489"/>
      <c r="T1489">
        <v>185</v>
      </c>
      <c r="U1489" s="7">
        <v>3</v>
      </c>
      <c r="V1489" t="s">
        <v>555</v>
      </c>
      <c r="W1489" s="257" t="s">
        <v>576</v>
      </c>
      <c r="X1489" t="s">
        <v>577</v>
      </c>
      <c r="Y1489" s="316" t="s">
        <v>61</v>
      </c>
      <c r="Z1489" s="8">
        <v>4</v>
      </c>
      <c r="AA1489" s="202" t="str">
        <f t="shared" si="24"/>
        <v>Масло растительное</v>
      </c>
    </row>
    <row r="1490" spans="1:27" ht="15" customHeight="1" x14ac:dyDescent="0.25">
      <c r="A1490" t="s">
        <v>153</v>
      </c>
      <c r="L1490"/>
      <c r="M1490"/>
      <c r="N1490"/>
      <c r="O1490"/>
      <c r="P1490"/>
      <c r="T1490">
        <v>186</v>
      </c>
      <c r="U1490" s="7">
        <v>3</v>
      </c>
      <c r="V1490" t="s">
        <v>555</v>
      </c>
      <c r="W1490" s="257" t="s">
        <v>576</v>
      </c>
      <c r="X1490" t="s">
        <v>577</v>
      </c>
      <c r="Y1490" s="316" t="s">
        <v>479</v>
      </c>
      <c r="Z1490" s="8">
        <v>400</v>
      </c>
      <c r="AA1490" s="202" t="str">
        <f t="shared" si="24"/>
        <v>Вода или бульон</v>
      </c>
    </row>
    <row r="1491" spans="1:27" ht="15" customHeight="1" x14ac:dyDescent="0.25">
      <c r="A1491" t="s">
        <v>153</v>
      </c>
      <c r="L1491"/>
      <c r="M1491"/>
      <c r="N1491"/>
      <c r="O1491"/>
      <c r="P1491"/>
      <c r="T1491">
        <v>187</v>
      </c>
      <c r="U1491" s="7">
        <v>3</v>
      </c>
      <c r="V1491" t="s">
        <v>555</v>
      </c>
      <c r="W1491" s="257" t="s">
        <v>576</v>
      </c>
      <c r="X1491" t="s">
        <v>577</v>
      </c>
      <c r="Y1491" s="316" t="s">
        <v>54</v>
      </c>
      <c r="Z1491" s="8">
        <v>5</v>
      </c>
      <c r="AA1491" s="202" t="str">
        <f t="shared" si="24"/>
        <v>Сметана</v>
      </c>
    </row>
    <row r="1492" spans="1:27" ht="15" customHeight="1" x14ac:dyDescent="0.25">
      <c r="A1492" t="s">
        <v>153</v>
      </c>
      <c r="L1492"/>
      <c r="M1492"/>
      <c r="N1492"/>
      <c r="O1492"/>
      <c r="P1492"/>
      <c r="T1492">
        <v>188</v>
      </c>
      <c r="U1492" s="7">
        <v>3</v>
      </c>
      <c r="V1492" t="s">
        <v>555</v>
      </c>
      <c r="W1492" s="257" t="s">
        <v>576</v>
      </c>
      <c r="X1492" t="s">
        <v>577</v>
      </c>
      <c r="Y1492" s="316" t="s">
        <v>70</v>
      </c>
      <c r="Z1492" s="8">
        <v>5</v>
      </c>
      <c r="AA1492" s="202" t="str">
        <f t="shared" si="24"/>
        <v>Зелень</v>
      </c>
    </row>
    <row r="1493" spans="1:27" ht="15" customHeight="1" x14ac:dyDescent="0.25">
      <c r="A1493" t="s">
        <v>153</v>
      </c>
      <c r="L1493"/>
      <c r="M1493"/>
      <c r="N1493"/>
      <c r="O1493"/>
      <c r="P1493"/>
      <c r="T1493">
        <v>189</v>
      </c>
      <c r="U1493" s="7">
        <v>3</v>
      </c>
      <c r="V1493" t="s">
        <v>555</v>
      </c>
      <c r="W1493" s="257" t="s">
        <v>576</v>
      </c>
      <c r="X1493" t="s">
        <v>577</v>
      </c>
      <c r="Y1493" s="316" t="s">
        <v>558</v>
      </c>
      <c r="Z1493" s="8">
        <v>500</v>
      </c>
      <c r="AA1493" s="202" t="str">
        <f t="shared" si="24"/>
        <v>Общая масса готового блюда, г</v>
      </c>
    </row>
    <row r="1494" spans="1:27" ht="15" customHeight="1" x14ac:dyDescent="0.25">
      <c r="A1494" t="s">
        <v>153</v>
      </c>
      <c r="L1494"/>
      <c r="M1494"/>
      <c r="N1494"/>
      <c r="O1494"/>
      <c r="P1494"/>
      <c r="T1494">
        <v>190</v>
      </c>
      <c r="U1494" s="7">
        <v>3</v>
      </c>
      <c r="V1494" t="s">
        <v>555</v>
      </c>
      <c r="W1494" s="257" t="s">
        <v>576</v>
      </c>
      <c r="X1494" t="s">
        <v>577</v>
      </c>
      <c r="Y1494" s="316" t="s">
        <v>109</v>
      </c>
      <c r="Z1494" s="8">
        <v>250</v>
      </c>
      <c r="AA1494" s="202" t="str">
        <f t="shared" si="24"/>
        <v>ОКГ</v>
      </c>
    </row>
    <row r="1495" spans="1:27" ht="15" customHeight="1" x14ac:dyDescent="0.25">
      <c r="A1495" t="s">
        <v>153</v>
      </c>
      <c r="L1495"/>
      <c r="M1495"/>
      <c r="N1495"/>
      <c r="O1495"/>
      <c r="P1495"/>
      <c r="T1495">
        <v>191</v>
      </c>
      <c r="U1495" s="7">
        <v>3</v>
      </c>
      <c r="V1495" t="s">
        <v>555</v>
      </c>
      <c r="W1495" s="257" t="s">
        <v>576</v>
      </c>
      <c r="X1495" t="s">
        <v>577</v>
      </c>
      <c r="Y1495" s="316" t="s">
        <v>74</v>
      </c>
      <c r="Z1495" s="8">
        <v>0.02</v>
      </c>
      <c r="AA1495" s="202" t="str">
        <f t="shared" si="24"/>
        <v>Лавровый лист</v>
      </c>
    </row>
    <row r="1496" spans="1:27" ht="15" customHeight="1" x14ac:dyDescent="0.25">
      <c r="A1496" t="s">
        <v>153</v>
      </c>
      <c r="L1496"/>
      <c r="M1496"/>
      <c r="N1496"/>
      <c r="O1496"/>
      <c r="P1496"/>
      <c r="T1496">
        <v>192</v>
      </c>
      <c r="U1496" s="7">
        <v>3</v>
      </c>
      <c r="V1496" t="s">
        <v>555</v>
      </c>
      <c r="W1496" s="257" t="s">
        <v>576</v>
      </c>
      <c r="X1496" t="s">
        <v>577</v>
      </c>
      <c r="Y1496" s="316" t="s">
        <v>484</v>
      </c>
      <c r="Z1496" s="8">
        <v>0.05</v>
      </c>
      <c r="AA1496" s="202" t="str">
        <f t="shared" si="24"/>
        <v>Перец черный</v>
      </c>
    </row>
    <row r="1497" spans="1:27" ht="15" customHeight="1" x14ac:dyDescent="0.25">
      <c r="A1497" t="s">
        <v>153</v>
      </c>
      <c r="L1497"/>
      <c r="M1497"/>
      <c r="N1497"/>
      <c r="O1497"/>
      <c r="P1497"/>
      <c r="T1497">
        <v>180</v>
      </c>
      <c r="U1497" s="7">
        <v>3</v>
      </c>
      <c r="V1497" t="s">
        <v>555</v>
      </c>
      <c r="W1497" s="257" t="s">
        <v>1313</v>
      </c>
      <c r="X1497" t="s">
        <v>1314</v>
      </c>
      <c r="Y1497" s="316" t="s">
        <v>490</v>
      </c>
      <c r="Z1497" s="8">
        <v>90</v>
      </c>
      <c r="AA1497" s="202" t="str">
        <f t="shared" si="24"/>
        <v>Капуста свежая</v>
      </c>
    </row>
    <row r="1498" spans="1:27" ht="15" customHeight="1" x14ac:dyDescent="0.25">
      <c r="A1498" t="s">
        <v>153</v>
      </c>
      <c r="L1498"/>
      <c r="M1498"/>
      <c r="N1498"/>
      <c r="O1498"/>
      <c r="P1498"/>
      <c r="T1498">
        <v>181</v>
      </c>
      <c r="U1498" s="7">
        <v>3</v>
      </c>
      <c r="V1498" t="s">
        <v>555</v>
      </c>
      <c r="W1498" s="257" t="s">
        <v>1313</v>
      </c>
      <c r="X1498" t="s">
        <v>1314</v>
      </c>
      <c r="Y1498" s="316" t="s">
        <v>45</v>
      </c>
      <c r="Z1498" s="8">
        <v>115</v>
      </c>
      <c r="AA1498" s="202" t="str">
        <f t="shared" si="24"/>
        <v>Картофель</v>
      </c>
    </row>
    <row r="1499" spans="1:27" ht="15" customHeight="1" x14ac:dyDescent="0.25">
      <c r="A1499" t="s">
        <v>153</v>
      </c>
      <c r="L1499"/>
      <c r="M1499"/>
      <c r="N1499"/>
      <c r="O1499"/>
      <c r="P1499"/>
      <c r="T1499">
        <v>182</v>
      </c>
      <c r="U1499" s="7">
        <v>3</v>
      </c>
      <c r="V1499" t="s">
        <v>555</v>
      </c>
      <c r="W1499" s="257" t="s">
        <v>1313</v>
      </c>
      <c r="X1499" t="s">
        <v>1314</v>
      </c>
      <c r="Y1499" s="316" t="s">
        <v>46</v>
      </c>
      <c r="Z1499" s="8">
        <v>5</v>
      </c>
      <c r="AA1499" s="202" t="str">
        <f t="shared" si="24"/>
        <v>Морковь</v>
      </c>
    </row>
    <row r="1500" spans="1:27" ht="15" customHeight="1" x14ac:dyDescent="0.25">
      <c r="A1500" t="s">
        <v>153</v>
      </c>
      <c r="L1500"/>
      <c r="M1500"/>
      <c r="N1500"/>
      <c r="O1500"/>
      <c r="P1500"/>
      <c r="T1500">
        <v>183</v>
      </c>
      <c r="U1500" s="7">
        <v>3</v>
      </c>
      <c r="V1500" t="s">
        <v>555</v>
      </c>
      <c r="W1500" s="257" t="s">
        <v>1313</v>
      </c>
      <c r="X1500" t="s">
        <v>1314</v>
      </c>
      <c r="Y1500" s="316" t="s">
        <v>32</v>
      </c>
      <c r="Z1500" s="8">
        <v>5</v>
      </c>
      <c r="AA1500" s="202" t="str">
        <f t="shared" si="24"/>
        <v>Лук репчатый</v>
      </c>
    </row>
    <row r="1501" spans="1:27" ht="15" customHeight="1" x14ac:dyDescent="0.25">
      <c r="A1501" t="s">
        <v>153</v>
      </c>
      <c r="L1501"/>
      <c r="M1501"/>
      <c r="N1501"/>
      <c r="O1501"/>
      <c r="P1501"/>
      <c r="T1501">
        <v>184</v>
      </c>
      <c r="U1501" s="7">
        <v>3</v>
      </c>
      <c r="V1501" t="s">
        <v>555</v>
      </c>
      <c r="W1501" s="257" t="s">
        <v>1313</v>
      </c>
      <c r="X1501" t="s">
        <v>1314</v>
      </c>
      <c r="Y1501" s="316" t="s">
        <v>445</v>
      </c>
      <c r="Z1501" s="8">
        <v>60</v>
      </c>
      <c r="AA1501" s="202" t="str">
        <f t="shared" si="24"/>
        <v>Огурцы консерв.</v>
      </c>
    </row>
    <row r="1502" spans="1:27" ht="15" customHeight="1" x14ac:dyDescent="0.25">
      <c r="A1502" t="s">
        <v>153</v>
      </c>
      <c r="L1502"/>
      <c r="M1502"/>
      <c r="N1502"/>
      <c r="O1502"/>
      <c r="P1502"/>
      <c r="T1502">
        <v>185</v>
      </c>
      <c r="U1502" s="7">
        <v>3</v>
      </c>
      <c r="V1502" t="s">
        <v>555</v>
      </c>
      <c r="W1502" s="257" t="s">
        <v>1313</v>
      </c>
      <c r="X1502" t="s">
        <v>1314</v>
      </c>
      <c r="Y1502" s="316" t="s">
        <v>61</v>
      </c>
      <c r="Z1502" s="8">
        <v>4</v>
      </c>
      <c r="AA1502" s="202" t="str">
        <f t="shared" si="24"/>
        <v>Масло растительное</v>
      </c>
    </row>
    <row r="1503" spans="1:27" ht="15" customHeight="1" x14ac:dyDescent="0.25">
      <c r="A1503" t="s">
        <v>153</v>
      </c>
      <c r="L1503"/>
      <c r="M1503"/>
      <c r="N1503"/>
      <c r="O1503"/>
      <c r="P1503"/>
      <c r="T1503">
        <v>186</v>
      </c>
      <c r="U1503" s="7">
        <v>3</v>
      </c>
      <c r="V1503" t="s">
        <v>555</v>
      </c>
      <c r="W1503" s="257" t="s">
        <v>1313</v>
      </c>
      <c r="X1503" t="s">
        <v>1314</v>
      </c>
      <c r="Y1503" s="316" t="s">
        <v>479</v>
      </c>
      <c r="Z1503" s="8">
        <v>400</v>
      </c>
      <c r="AA1503" s="202" t="str">
        <f t="shared" si="24"/>
        <v>Вода или бульон</v>
      </c>
    </row>
    <row r="1504" spans="1:27" ht="15" customHeight="1" x14ac:dyDescent="0.25">
      <c r="A1504" t="s">
        <v>153</v>
      </c>
      <c r="L1504"/>
      <c r="M1504"/>
      <c r="N1504"/>
      <c r="O1504"/>
      <c r="P1504"/>
      <c r="T1504">
        <v>187</v>
      </c>
      <c r="U1504" s="7">
        <v>3</v>
      </c>
      <c r="V1504" t="s">
        <v>555</v>
      </c>
      <c r="W1504" s="257" t="s">
        <v>1313</v>
      </c>
      <c r="X1504" t="s">
        <v>1314</v>
      </c>
      <c r="Y1504" s="316" t="s">
        <v>54</v>
      </c>
      <c r="Z1504" s="8">
        <v>5</v>
      </c>
      <c r="AA1504" s="202" t="str">
        <f t="shared" si="24"/>
        <v>Сметана</v>
      </c>
    </row>
    <row r="1505" spans="1:27" ht="15" customHeight="1" x14ac:dyDescent="0.25">
      <c r="A1505" t="s">
        <v>153</v>
      </c>
      <c r="L1505"/>
      <c r="M1505"/>
      <c r="N1505"/>
      <c r="O1505"/>
      <c r="P1505"/>
      <c r="T1505">
        <v>188</v>
      </c>
      <c r="U1505" s="7">
        <v>3</v>
      </c>
      <c r="V1505" t="s">
        <v>555</v>
      </c>
      <c r="W1505" s="257" t="s">
        <v>1313</v>
      </c>
      <c r="X1505" t="s">
        <v>1314</v>
      </c>
      <c r="Y1505" s="316" t="s">
        <v>70</v>
      </c>
      <c r="Z1505" s="8">
        <v>5</v>
      </c>
      <c r="AA1505" s="202" t="str">
        <f t="shared" si="24"/>
        <v>Зелень</v>
      </c>
    </row>
    <row r="1506" spans="1:27" ht="15" customHeight="1" x14ac:dyDescent="0.25">
      <c r="A1506" t="s">
        <v>153</v>
      </c>
      <c r="L1506"/>
      <c r="M1506"/>
      <c r="N1506"/>
      <c r="O1506"/>
      <c r="P1506"/>
      <c r="T1506">
        <v>189</v>
      </c>
      <c r="U1506" s="7">
        <v>3</v>
      </c>
      <c r="V1506" t="s">
        <v>555</v>
      </c>
      <c r="W1506" s="257" t="s">
        <v>1313</v>
      </c>
      <c r="X1506" t="s">
        <v>1314</v>
      </c>
      <c r="Y1506" s="316" t="s">
        <v>558</v>
      </c>
      <c r="Z1506" s="8">
        <v>515</v>
      </c>
      <c r="AA1506" s="202" t="str">
        <f t="shared" si="24"/>
        <v>Общая масса готового блюда, г</v>
      </c>
    </row>
    <row r="1507" spans="1:27" ht="15" customHeight="1" x14ac:dyDescent="0.25">
      <c r="A1507" t="s">
        <v>153</v>
      </c>
      <c r="L1507"/>
      <c r="M1507"/>
      <c r="N1507"/>
      <c r="O1507"/>
      <c r="P1507"/>
      <c r="T1507">
        <v>190</v>
      </c>
      <c r="U1507" s="7">
        <v>3</v>
      </c>
      <c r="V1507" t="s">
        <v>555</v>
      </c>
      <c r="W1507" s="257" t="s">
        <v>1313</v>
      </c>
      <c r="X1507" t="s">
        <v>1314</v>
      </c>
      <c r="Y1507" s="316" t="s">
        <v>109</v>
      </c>
      <c r="Z1507" s="8">
        <v>258</v>
      </c>
      <c r="AA1507" s="202" t="str">
        <f t="shared" si="24"/>
        <v>ОКГ</v>
      </c>
    </row>
    <row r="1508" spans="1:27" ht="15" customHeight="1" x14ac:dyDescent="0.25">
      <c r="A1508" t="s">
        <v>153</v>
      </c>
      <c r="L1508"/>
      <c r="M1508"/>
      <c r="N1508"/>
      <c r="O1508"/>
      <c r="P1508"/>
      <c r="T1508">
        <v>191</v>
      </c>
      <c r="U1508" s="7">
        <v>3</v>
      </c>
      <c r="V1508" t="s">
        <v>555</v>
      </c>
      <c r="W1508" s="257" t="s">
        <v>1313</v>
      </c>
      <c r="X1508" t="s">
        <v>1314</v>
      </c>
      <c r="Y1508" s="316" t="s">
        <v>74</v>
      </c>
      <c r="Z1508" s="8">
        <v>0.02</v>
      </c>
      <c r="AA1508" s="202" t="str">
        <f t="shared" si="24"/>
        <v>Лавровый лист</v>
      </c>
    </row>
    <row r="1509" spans="1:27" ht="15" customHeight="1" x14ac:dyDescent="0.25">
      <c r="A1509" t="s">
        <v>153</v>
      </c>
      <c r="L1509"/>
      <c r="M1509"/>
      <c r="N1509"/>
      <c r="O1509"/>
      <c r="P1509"/>
      <c r="T1509">
        <v>192</v>
      </c>
      <c r="U1509" s="7">
        <v>3</v>
      </c>
      <c r="V1509" t="s">
        <v>555</v>
      </c>
      <c r="W1509" s="257" t="s">
        <v>1313</v>
      </c>
      <c r="X1509" t="s">
        <v>1314</v>
      </c>
      <c r="Y1509" s="316" t="s">
        <v>484</v>
      </c>
      <c r="Z1509" s="8">
        <v>0.05</v>
      </c>
      <c r="AA1509" s="202" t="str">
        <f t="shared" si="24"/>
        <v>Перец черный</v>
      </c>
    </row>
    <row r="1510" spans="1:27" ht="15" customHeight="1" x14ac:dyDescent="0.25">
      <c r="A1510" t="s">
        <v>153</v>
      </c>
      <c r="L1510"/>
      <c r="M1510"/>
      <c r="N1510"/>
      <c r="O1510"/>
      <c r="P1510"/>
      <c r="T1510">
        <v>193</v>
      </c>
      <c r="U1510" s="7">
        <v>3</v>
      </c>
      <c r="V1510" t="s">
        <v>555</v>
      </c>
      <c r="W1510" s="257" t="s">
        <v>578</v>
      </c>
      <c r="X1510" t="s">
        <v>1251</v>
      </c>
      <c r="Y1510" s="316" t="s">
        <v>45</v>
      </c>
      <c r="Z1510" s="8">
        <v>110</v>
      </c>
      <c r="AA1510" s="202" t="str">
        <f t="shared" si="24"/>
        <v>Картофель</v>
      </c>
    </row>
    <row r="1511" spans="1:27" ht="15" customHeight="1" x14ac:dyDescent="0.25">
      <c r="A1511" t="s">
        <v>153</v>
      </c>
      <c r="L1511"/>
      <c r="M1511"/>
      <c r="N1511"/>
      <c r="O1511"/>
      <c r="P1511"/>
      <c r="T1511">
        <v>194</v>
      </c>
      <c r="U1511" s="7">
        <v>3</v>
      </c>
      <c r="V1511" t="s">
        <v>555</v>
      </c>
      <c r="W1511" s="257" t="s">
        <v>578</v>
      </c>
      <c r="X1511" t="s">
        <v>1251</v>
      </c>
      <c r="Y1511" s="316" t="s">
        <v>46</v>
      </c>
      <c r="Z1511" s="8">
        <v>10</v>
      </c>
      <c r="AA1511" s="202" t="str">
        <f t="shared" si="24"/>
        <v>Морковь</v>
      </c>
    </row>
    <row r="1512" spans="1:27" ht="15" customHeight="1" x14ac:dyDescent="0.25">
      <c r="A1512" t="s">
        <v>153</v>
      </c>
      <c r="L1512"/>
      <c r="M1512"/>
      <c r="N1512"/>
      <c r="O1512"/>
      <c r="P1512"/>
      <c r="T1512">
        <v>195</v>
      </c>
      <c r="U1512" s="7">
        <v>3</v>
      </c>
      <c r="V1512" t="s">
        <v>555</v>
      </c>
      <c r="W1512" s="257" t="s">
        <v>578</v>
      </c>
      <c r="X1512" t="s">
        <v>1251</v>
      </c>
      <c r="Y1512" s="316" t="s">
        <v>32</v>
      </c>
      <c r="Z1512" s="8">
        <v>10</v>
      </c>
      <c r="AA1512" s="202" t="str">
        <f t="shared" si="24"/>
        <v>Лук репчатый</v>
      </c>
    </row>
    <row r="1513" spans="1:27" ht="15" customHeight="1" x14ac:dyDescent="0.25">
      <c r="A1513" t="s">
        <v>153</v>
      </c>
      <c r="L1513"/>
      <c r="M1513"/>
      <c r="N1513"/>
      <c r="O1513"/>
      <c r="P1513"/>
      <c r="T1513">
        <v>196</v>
      </c>
      <c r="U1513" s="7">
        <v>3</v>
      </c>
      <c r="V1513" t="s">
        <v>555</v>
      </c>
      <c r="W1513" s="257" t="s">
        <v>578</v>
      </c>
      <c r="X1513" t="s">
        <v>1251</v>
      </c>
      <c r="Y1513" s="316" t="s">
        <v>445</v>
      </c>
      <c r="Z1513" s="8">
        <v>40</v>
      </c>
      <c r="AA1513" s="202" t="str">
        <f t="shared" si="24"/>
        <v>Огурцы консерв.</v>
      </c>
    </row>
    <row r="1514" spans="1:27" ht="15" customHeight="1" x14ac:dyDescent="0.25">
      <c r="A1514" t="s">
        <v>153</v>
      </c>
      <c r="L1514"/>
      <c r="M1514"/>
      <c r="N1514"/>
      <c r="O1514"/>
      <c r="P1514"/>
      <c r="T1514">
        <v>197</v>
      </c>
      <c r="U1514" s="7">
        <v>3</v>
      </c>
      <c r="V1514" t="s">
        <v>555</v>
      </c>
      <c r="W1514" s="257" t="s">
        <v>578</v>
      </c>
      <c r="X1514" t="s">
        <v>1251</v>
      </c>
      <c r="Y1514" s="316" t="s">
        <v>208</v>
      </c>
      <c r="Z1514" s="8">
        <v>15</v>
      </c>
      <c r="AA1514" s="202" t="str">
        <f t="shared" si="24"/>
        <v>Перловая</v>
      </c>
    </row>
    <row r="1515" spans="1:27" ht="15" customHeight="1" x14ac:dyDescent="0.25">
      <c r="A1515" t="s">
        <v>153</v>
      </c>
      <c r="L1515"/>
      <c r="M1515"/>
      <c r="N1515"/>
      <c r="O1515"/>
      <c r="P1515"/>
      <c r="T1515">
        <v>198</v>
      </c>
      <c r="U1515" s="7">
        <v>3</v>
      </c>
      <c r="V1515" t="s">
        <v>555</v>
      </c>
      <c r="W1515" s="257" t="s">
        <v>578</v>
      </c>
      <c r="X1515" t="s">
        <v>1251</v>
      </c>
      <c r="Y1515" s="316" t="s">
        <v>61</v>
      </c>
      <c r="Z1515" s="8">
        <v>5</v>
      </c>
      <c r="AA1515" s="202" t="str">
        <f t="shared" si="24"/>
        <v>Масло растительное</v>
      </c>
    </row>
    <row r="1516" spans="1:27" ht="15" customHeight="1" x14ac:dyDescent="0.25">
      <c r="A1516" t="s">
        <v>153</v>
      </c>
      <c r="L1516"/>
      <c r="M1516"/>
      <c r="N1516"/>
      <c r="O1516"/>
      <c r="P1516"/>
      <c r="T1516">
        <v>199</v>
      </c>
      <c r="U1516" s="7">
        <v>3</v>
      </c>
      <c r="V1516" t="s">
        <v>555</v>
      </c>
      <c r="W1516" s="257" t="s">
        <v>578</v>
      </c>
      <c r="X1516" t="s">
        <v>1251</v>
      </c>
      <c r="Y1516" s="316" t="s">
        <v>479</v>
      </c>
      <c r="Z1516" s="8">
        <v>400</v>
      </c>
      <c r="AA1516" s="202" t="str">
        <f t="shared" si="24"/>
        <v>Вода или бульон</v>
      </c>
    </row>
    <row r="1517" spans="1:27" ht="15" customHeight="1" x14ac:dyDescent="0.25">
      <c r="A1517" t="s">
        <v>153</v>
      </c>
      <c r="L1517"/>
      <c r="M1517"/>
      <c r="N1517"/>
      <c r="O1517"/>
      <c r="P1517"/>
      <c r="T1517">
        <v>200</v>
      </c>
      <c r="U1517" s="7">
        <v>3</v>
      </c>
      <c r="V1517" t="s">
        <v>555</v>
      </c>
      <c r="W1517" s="257" t="s">
        <v>578</v>
      </c>
      <c r="X1517" t="s">
        <v>1251</v>
      </c>
      <c r="Y1517" s="316" t="s">
        <v>54</v>
      </c>
      <c r="Z1517" s="8">
        <v>5</v>
      </c>
      <c r="AA1517" s="202" t="str">
        <f t="shared" si="24"/>
        <v>Сметана</v>
      </c>
    </row>
    <row r="1518" spans="1:27" ht="15" customHeight="1" x14ac:dyDescent="0.25">
      <c r="A1518" t="s">
        <v>153</v>
      </c>
      <c r="L1518"/>
      <c r="M1518"/>
      <c r="N1518"/>
      <c r="O1518"/>
      <c r="P1518"/>
      <c r="T1518">
        <v>201</v>
      </c>
      <c r="U1518" s="7">
        <v>3</v>
      </c>
      <c r="V1518" t="s">
        <v>555</v>
      </c>
      <c r="W1518" s="257" t="s">
        <v>578</v>
      </c>
      <c r="X1518" t="s">
        <v>1251</v>
      </c>
      <c r="Y1518" s="316" t="s">
        <v>70</v>
      </c>
      <c r="Z1518" s="8">
        <v>5</v>
      </c>
      <c r="AA1518" s="202" t="str">
        <f t="shared" si="24"/>
        <v>Зелень</v>
      </c>
    </row>
    <row r="1519" spans="1:27" ht="15" customHeight="1" x14ac:dyDescent="0.25">
      <c r="A1519" t="s">
        <v>153</v>
      </c>
      <c r="L1519"/>
      <c r="M1519"/>
      <c r="N1519"/>
      <c r="O1519"/>
      <c r="P1519"/>
      <c r="T1519">
        <v>202</v>
      </c>
      <c r="U1519" s="7">
        <v>3</v>
      </c>
      <c r="V1519" t="s">
        <v>555</v>
      </c>
      <c r="W1519" s="257" t="s">
        <v>578</v>
      </c>
      <c r="X1519" t="s">
        <v>1251</v>
      </c>
      <c r="Y1519" s="316" t="s">
        <v>326</v>
      </c>
      <c r="Z1519" s="8">
        <v>4</v>
      </c>
      <c r="AA1519" s="202" t="str">
        <f t="shared" si="24"/>
        <v>Соль</v>
      </c>
    </row>
    <row r="1520" spans="1:27" ht="15" customHeight="1" x14ac:dyDescent="0.25">
      <c r="A1520" t="s">
        <v>153</v>
      </c>
      <c r="L1520"/>
      <c r="M1520"/>
      <c r="N1520"/>
      <c r="O1520"/>
      <c r="P1520"/>
      <c r="T1520">
        <v>203</v>
      </c>
      <c r="U1520" s="7">
        <v>3</v>
      </c>
      <c r="V1520" t="s">
        <v>555</v>
      </c>
      <c r="W1520" s="257" t="s">
        <v>578</v>
      </c>
      <c r="X1520" t="s">
        <v>1251</v>
      </c>
      <c r="Y1520" s="316" t="s">
        <v>558</v>
      </c>
      <c r="Z1520" s="8">
        <v>500</v>
      </c>
      <c r="AA1520" s="202" t="str">
        <f t="shared" si="24"/>
        <v>Общая масса готового блюда, г</v>
      </c>
    </row>
    <row r="1521" spans="1:27" ht="15" customHeight="1" x14ac:dyDescent="0.25">
      <c r="A1521" t="s">
        <v>153</v>
      </c>
      <c r="L1521"/>
      <c r="M1521"/>
      <c r="N1521"/>
      <c r="O1521"/>
      <c r="P1521"/>
      <c r="T1521">
        <v>204</v>
      </c>
      <c r="U1521" s="7">
        <v>3</v>
      </c>
      <c r="V1521" t="s">
        <v>555</v>
      </c>
      <c r="W1521" s="257" t="s">
        <v>578</v>
      </c>
      <c r="X1521" t="s">
        <v>1251</v>
      </c>
      <c r="Y1521" s="316" t="s">
        <v>109</v>
      </c>
      <c r="Z1521" s="8">
        <v>250</v>
      </c>
      <c r="AA1521" s="202" t="str">
        <f t="shared" si="24"/>
        <v>ОКГ</v>
      </c>
    </row>
    <row r="1522" spans="1:27" ht="15" customHeight="1" x14ac:dyDescent="0.25">
      <c r="A1522" t="s">
        <v>153</v>
      </c>
      <c r="L1522"/>
      <c r="M1522"/>
      <c r="N1522"/>
      <c r="O1522"/>
      <c r="P1522"/>
      <c r="T1522">
        <v>205</v>
      </c>
      <c r="U1522" s="7">
        <v>3</v>
      </c>
      <c r="V1522" t="s">
        <v>555</v>
      </c>
      <c r="W1522" s="257" t="s">
        <v>578</v>
      </c>
      <c r="X1522" t="s">
        <v>1251</v>
      </c>
      <c r="Y1522" s="316" t="s">
        <v>74</v>
      </c>
      <c r="Z1522" s="8">
        <v>0.02</v>
      </c>
      <c r="AA1522" s="202" t="str">
        <f t="shared" si="24"/>
        <v>Лавровый лист</v>
      </c>
    </row>
    <row r="1523" spans="1:27" ht="15" customHeight="1" x14ac:dyDescent="0.25">
      <c r="A1523" t="s">
        <v>153</v>
      </c>
      <c r="L1523"/>
      <c r="M1523"/>
      <c r="N1523"/>
      <c r="O1523"/>
      <c r="P1523"/>
      <c r="T1523">
        <v>206</v>
      </c>
      <c r="U1523" s="7">
        <v>3</v>
      </c>
      <c r="V1523" t="s">
        <v>555</v>
      </c>
      <c r="W1523" s="257" t="s">
        <v>578</v>
      </c>
      <c r="X1523" t="s">
        <v>1251</v>
      </c>
      <c r="Y1523" s="316" t="s">
        <v>484</v>
      </c>
      <c r="Z1523" s="8">
        <v>0.05</v>
      </c>
      <c r="AA1523" s="202" t="str">
        <f t="shared" si="24"/>
        <v>Перец черный</v>
      </c>
    </row>
    <row r="1524" spans="1:27" ht="15" customHeight="1" x14ac:dyDescent="0.25">
      <c r="A1524" t="s">
        <v>153</v>
      </c>
      <c r="L1524"/>
      <c r="M1524"/>
      <c r="N1524"/>
      <c r="O1524"/>
      <c r="P1524"/>
      <c r="T1524">
        <v>193</v>
      </c>
      <c r="U1524" s="7">
        <v>3</v>
      </c>
      <c r="V1524" t="s">
        <v>555</v>
      </c>
      <c r="W1524" s="257" t="s">
        <v>578</v>
      </c>
      <c r="X1524" t="s">
        <v>1252</v>
      </c>
      <c r="Y1524" s="316" t="s">
        <v>45</v>
      </c>
      <c r="Z1524" s="8">
        <v>110</v>
      </c>
      <c r="AA1524" s="202" t="str">
        <f t="shared" si="24"/>
        <v>Картофель</v>
      </c>
    </row>
    <row r="1525" spans="1:27" ht="15" customHeight="1" x14ac:dyDescent="0.25">
      <c r="A1525" t="s">
        <v>153</v>
      </c>
      <c r="L1525"/>
      <c r="M1525"/>
      <c r="N1525"/>
      <c r="O1525"/>
      <c r="P1525"/>
      <c r="T1525">
        <v>194</v>
      </c>
      <c r="U1525" s="7">
        <v>3</v>
      </c>
      <c r="V1525" t="s">
        <v>555</v>
      </c>
      <c r="W1525" s="257" t="s">
        <v>578</v>
      </c>
      <c r="X1525" t="s">
        <v>1252</v>
      </c>
      <c r="Y1525" s="316" t="s">
        <v>46</v>
      </c>
      <c r="Z1525" s="8">
        <v>10</v>
      </c>
      <c r="AA1525" s="202" t="str">
        <f t="shared" si="24"/>
        <v>Морковь</v>
      </c>
    </row>
    <row r="1526" spans="1:27" ht="15" customHeight="1" x14ac:dyDescent="0.25">
      <c r="A1526" t="s">
        <v>153</v>
      </c>
      <c r="L1526"/>
      <c r="M1526"/>
      <c r="N1526"/>
      <c r="O1526"/>
      <c r="P1526"/>
      <c r="T1526">
        <v>195</v>
      </c>
      <c r="U1526" s="7">
        <v>3</v>
      </c>
      <c r="V1526" t="s">
        <v>555</v>
      </c>
      <c r="W1526" s="257" t="s">
        <v>578</v>
      </c>
      <c r="X1526" t="s">
        <v>1252</v>
      </c>
      <c r="Y1526" s="316" t="s">
        <v>32</v>
      </c>
      <c r="Z1526" s="8">
        <v>10</v>
      </c>
      <c r="AA1526" s="202" t="str">
        <f t="shared" si="24"/>
        <v>Лук репчатый</v>
      </c>
    </row>
    <row r="1527" spans="1:27" ht="15" customHeight="1" x14ac:dyDescent="0.25">
      <c r="A1527" t="s">
        <v>153</v>
      </c>
      <c r="L1527"/>
      <c r="M1527"/>
      <c r="N1527"/>
      <c r="O1527"/>
      <c r="P1527"/>
      <c r="T1527">
        <v>196</v>
      </c>
      <c r="U1527" s="7">
        <v>3</v>
      </c>
      <c r="V1527" t="s">
        <v>555</v>
      </c>
      <c r="W1527" s="257" t="s">
        <v>578</v>
      </c>
      <c r="X1527" t="s">
        <v>1252</v>
      </c>
      <c r="Y1527" s="316" t="s">
        <v>445</v>
      </c>
      <c r="Z1527" s="8">
        <v>40</v>
      </c>
      <c r="AA1527" s="202" t="str">
        <f t="shared" si="24"/>
        <v>Огурцы консерв.</v>
      </c>
    </row>
    <row r="1528" spans="1:27" ht="15" customHeight="1" x14ac:dyDescent="0.25">
      <c r="A1528" t="s">
        <v>153</v>
      </c>
      <c r="L1528"/>
      <c r="M1528"/>
      <c r="N1528"/>
      <c r="O1528"/>
      <c r="P1528"/>
      <c r="T1528">
        <v>197</v>
      </c>
      <c r="U1528" s="7">
        <v>3</v>
      </c>
      <c r="V1528" t="s">
        <v>555</v>
      </c>
      <c r="W1528" s="257" t="s">
        <v>578</v>
      </c>
      <c r="X1528" t="s">
        <v>1252</v>
      </c>
      <c r="Y1528" s="316" t="s">
        <v>27</v>
      </c>
      <c r="Z1528" s="8">
        <v>15</v>
      </c>
      <c r="AA1528" s="202" t="str">
        <f t="shared" si="24"/>
        <v>Рис</v>
      </c>
    </row>
    <row r="1529" spans="1:27" ht="15" customHeight="1" x14ac:dyDescent="0.25">
      <c r="A1529" t="s">
        <v>153</v>
      </c>
      <c r="L1529"/>
      <c r="M1529"/>
      <c r="N1529"/>
      <c r="O1529"/>
      <c r="P1529"/>
      <c r="T1529">
        <v>198</v>
      </c>
      <c r="U1529" s="7">
        <v>3</v>
      </c>
      <c r="V1529" t="s">
        <v>555</v>
      </c>
      <c r="W1529" s="257" t="s">
        <v>578</v>
      </c>
      <c r="X1529" t="s">
        <v>1252</v>
      </c>
      <c r="Y1529" s="316" t="s">
        <v>61</v>
      </c>
      <c r="Z1529" s="8">
        <v>5</v>
      </c>
      <c r="AA1529" s="202" t="str">
        <f t="shared" si="24"/>
        <v>Масло растительное</v>
      </c>
    </row>
    <row r="1530" spans="1:27" ht="15" customHeight="1" x14ac:dyDescent="0.25">
      <c r="A1530" t="s">
        <v>153</v>
      </c>
      <c r="L1530"/>
      <c r="M1530"/>
      <c r="N1530"/>
      <c r="O1530"/>
      <c r="P1530"/>
      <c r="T1530">
        <v>199</v>
      </c>
      <c r="U1530" s="7">
        <v>3</v>
      </c>
      <c r="V1530" t="s">
        <v>555</v>
      </c>
      <c r="W1530" s="257" t="s">
        <v>578</v>
      </c>
      <c r="X1530" t="s">
        <v>1252</v>
      </c>
      <c r="Y1530" s="316" t="s">
        <v>479</v>
      </c>
      <c r="Z1530" s="8">
        <v>400</v>
      </c>
      <c r="AA1530" s="202" t="str">
        <f t="shared" si="24"/>
        <v>Вода или бульон</v>
      </c>
    </row>
    <row r="1531" spans="1:27" ht="15" customHeight="1" x14ac:dyDescent="0.25">
      <c r="A1531" t="s">
        <v>153</v>
      </c>
      <c r="L1531"/>
      <c r="M1531"/>
      <c r="N1531"/>
      <c r="O1531"/>
      <c r="P1531"/>
      <c r="T1531">
        <v>200</v>
      </c>
      <c r="U1531" s="7">
        <v>3</v>
      </c>
      <c r="V1531" t="s">
        <v>555</v>
      </c>
      <c r="W1531" s="257" t="s">
        <v>578</v>
      </c>
      <c r="X1531" t="s">
        <v>1252</v>
      </c>
      <c r="Y1531" s="316" t="s">
        <v>54</v>
      </c>
      <c r="Z1531" s="8">
        <v>5</v>
      </c>
      <c r="AA1531" s="202" t="str">
        <f t="shared" si="24"/>
        <v>Сметана</v>
      </c>
    </row>
    <row r="1532" spans="1:27" ht="15" customHeight="1" x14ac:dyDescent="0.25">
      <c r="A1532" t="s">
        <v>153</v>
      </c>
      <c r="L1532"/>
      <c r="M1532"/>
      <c r="N1532"/>
      <c r="O1532"/>
      <c r="P1532"/>
      <c r="T1532">
        <v>201</v>
      </c>
      <c r="U1532" s="7">
        <v>3</v>
      </c>
      <c r="V1532" t="s">
        <v>555</v>
      </c>
      <c r="W1532" s="257" t="s">
        <v>578</v>
      </c>
      <c r="X1532" t="s">
        <v>1252</v>
      </c>
      <c r="Y1532" s="316" t="s">
        <v>70</v>
      </c>
      <c r="Z1532" s="8">
        <v>5</v>
      </c>
      <c r="AA1532" s="202" t="str">
        <f t="shared" si="24"/>
        <v>Зелень</v>
      </c>
    </row>
    <row r="1533" spans="1:27" ht="15" customHeight="1" x14ac:dyDescent="0.25">
      <c r="A1533" t="s">
        <v>153</v>
      </c>
      <c r="L1533"/>
      <c r="M1533"/>
      <c r="N1533"/>
      <c r="O1533"/>
      <c r="P1533"/>
      <c r="T1533">
        <v>202</v>
      </c>
      <c r="U1533" s="7">
        <v>3</v>
      </c>
      <c r="V1533" t="s">
        <v>555</v>
      </c>
      <c r="W1533" s="257" t="s">
        <v>578</v>
      </c>
      <c r="X1533" t="s">
        <v>1252</v>
      </c>
      <c r="Y1533" s="316" t="s">
        <v>326</v>
      </c>
      <c r="Z1533" s="8">
        <v>4</v>
      </c>
      <c r="AA1533" s="202" t="str">
        <f t="shared" si="24"/>
        <v>Соль</v>
      </c>
    </row>
    <row r="1534" spans="1:27" ht="15" customHeight="1" x14ac:dyDescent="0.25">
      <c r="A1534" t="s">
        <v>153</v>
      </c>
      <c r="L1534"/>
      <c r="M1534"/>
      <c r="N1534"/>
      <c r="O1534"/>
      <c r="P1534"/>
      <c r="T1534">
        <v>203</v>
      </c>
      <c r="U1534" s="7">
        <v>3</v>
      </c>
      <c r="V1534" t="s">
        <v>555</v>
      </c>
      <c r="W1534" s="257" t="s">
        <v>578</v>
      </c>
      <c r="X1534" t="s">
        <v>1252</v>
      </c>
      <c r="Y1534" s="316" t="s">
        <v>558</v>
      </c>
      <c r="Z1534" s="8">
        <v>500</v>
      </c>
      <c r="AA1534" s="202" t="str">
        <f t="shared" si="24"/>
        <v>Общая масса готового блюда, г</v>
      </c>
    </row>
    <row r="1535" spans="1:27" ht="15" customHeight="1" x14ac:dyDescent="0.25">
      <c r="A1535" t="s">
        <v>153</v>
      </c>
      <c r="L1535"/>
      <c r="M1535"/>
      <c r="N1535"/>
      <c r="O1535"/>
      <c r="P1535"/>
      <c r="T1535">
        <v>204</v>
      </c>
      <c r="U1535" s="7">
        <v>3</v>
      </c>
      <c r="V1535" t="s">
        <v>555</v>
      </c>
      <c r="W1535" s="257" t="s">
        <v>578</v>
      </c>
      <c r="X1535" t="s">
        <v>1252</v>
      </c>
      <c r="Y1535" s="316" t="s">
        <v>109</v>
      </c>
      <c r="Z1535" s="8">
        <v>250</v>
      </c>
      <c r="AA1535" s="202" t="str">
        <f t="shared" si="24"/>
        <v>ОКГ</v>
      </c>
    </row>
    <row r="1536" spans="1:27" ht="15" customHeight="1" x14ac:dyDescent="0.25">
      <c r="A1536" t="s">
        <v>153</v>
      </c>
      <c r="L1536"/>
      <c r="M1536"/>
      <c r="N1536"/>
      <c r="O1536"/>
      <c r="P1536"/>
      <c r="T1536">
        <v>205</v>
      </c>
      <c r="U1536" s="7">
        <v>3</v>
      </c>
      <c r="V1536" t="s">
        <v>555</v>
      </c>
      <c r="W1536" s="257" t="s">
        <v>578</v>
      </c>
      <c r="X1536" t="s">
        <v>1252</v>
      </c>
      <c r="Y1536" s="316" t="s">
        <v>74</v>
      </c>
      <c r="Z1536" s="8">
        <v>0.02</v>
      </c>
      <c r="AA1536" s="202" t="str">
        <f t="shared" si="24"/>
        <v>Лавровый лист</v>
      </c>
    </row>
    <row r="1537" spans="1:27" ht="15" customHeight="1" x14ac:dyDescent="0.25">
      <c r="A1537" t="s">
        <v>153</v>
      </c>
      <c r="L1537"/>
      <c r="M1537"/>
      <c r="N1537"/>
      <c r="O1537"/>
      <c r="P1537"/>
      <c r="T1537">
        <v>206</v>
      </c>
      <c r="U1537" s="7">
        <v>3</v>
      </c>
      <c r="V1537" t="s">
        <v>555</v>
      </c>
      <c r="W1537" s="257" t="s">
        <v>578</v>
      </c>
      <c r="X1537" t="s">
        <v>1252</v>
      </c>
      <c r="Y1537" s="316" t="s">
        <v>484</v>
      </c>
      <c r="Z1537" s="8">
        <v>0.05</v>
      </c>
      <c r="AA1537" s="202" t="str">
        <f t="shared" si="24"/>
        <v>Перец черный</v>
      </c>
    </row>
    <row r="1538" spans="1:27" ht="15" customHeight="1" x14ac:dyDescent="0.25">
      <c r="A1538" t="s">
        <v>153</v>
      </c>
      <c r="L1538"/>
      <c r="M1538"/>
      <c r="N1538"/>
      <c r="O1538"/>
      <c r="P1538"/>
      <c r="T1538">
        <v>193</v>
      </c>
      <c r="U1538" s="7">
        <v>3</v>
      </c>
      <c r="V1538" t="s">
        <v>555</v>
      </c>
      <c r="W1538" s="257" t="s">
        <v>1315</v>
      </c>
      <c r="X1538" t="s">
        <v>1316</v>
      </c>
      <c r="Y1538" s="316" t="s">
        <v>45</v>
      </c>
      <c r="Z1538" s="8">
        <v>130</v>
      </c>
      <c r="AA1538" s="202" t="str">
        <f t="shared" ref="AA1538:AA1601" si="25">VLOOKUP(Y1538,O:P,2,FALSE)</f>
        <v>Картофель</v>
      </c>
    </row>
    <row r="1539" spans="1:27" ht="15" customHeight="1" x14ac:dyDescent="0.25">
      <c r="A1539" t="s">
        <v>153</v>
      </c>
      <c r="L1539"/>
      <c r="M1539"/>
      <c r="N1539"/>
      <c r="O1539"/>
      <c r="P1539"/>
      <c r="T1539">
        <v>194</v>
      </c>
      <c r="U1539" s="7">
        <v>3</v>
      </c>
      <c r="V1539" t="s">
        <v>555</v>
      </c>
      <c r="W1539" s="257" t="s">
        <v>1315</v>
      </c>
      <c r="X1539" t="s">
        <v>1316</v>
      </c>
      <c r="Y1539" s="316" t="s">
        <v>46</v>
      </c>
      <c r="Z1539" s="8">
        <v>5</v>
      </c>
      <c r="AA1539" s="202" t="str">
        <f t="shared" si="25"/>
        <v>Морковь</v>
      </c>
    </row>
    <row r="1540" spans="1:27" ht="15" customHeight="1" x14ac:dyDescent="0.25">
      <c r="A1540" t="s">
        <v>153</v>
      </c>
      <c r="L1540"/>
      <c r="M1540"/>
      <c r="N1540"/>
      <c r="O1540"/>
      <c r="P1540"/>
      <c r="T1540">
        <v>195</v>
      </c>
      <c r="U1540" s="7">
        <v>3</v>
      </c>
      <c r="V1540" t="s">
        <v>555</v>
      </c>
      <c r="W1540" s="257" t="s">
        <v>1315</v>
      </c>
      <c r="X1540" t="s">
        <v>1316</v>
      </c>
      <c r="Y1540" s="316" t="s">
        <v>32</v>
      </c>
      <c r="Z1540" s="8">
        <v>5</v>
      </c>
      <c r="AA1540" s="202" t="str">
        <f t="shared" si="25"/>
        <v>Лук репчатый</v>
      </c>
    </row>
    <row r="1541" spans="1:27" ht="15" customHeight="1" x14ac:dyDescent="0.25">
      <c r="A1541" t="s">
        <v>153</v>
      </c>
      <c r="L1541"/>
      <c r="M1541"/>
      <c r="N1541"/>
      <c r="O1541"/>
      <c r="P1541"/>
      <c r="T1541">
        <v>196</v>
      </c>
      <c r="U1541" s="7">
        <v>3</v>
      </c>
      <c r="V1541" t="s">
        <v>555</v>
      </c>
      <c r="W1541" s="257" t="s">
        <v>1315</v>
      </c>
      <c r="X1541" t="s">
        <v>1316</v>
      </c>
      <c r="Y1541" s="316" t="s">
        <v>445</v>
      </c>
      <c r="Z1541" s="8">
        <v>60</v>
      </c>
      <c r="AA1541" s="202" t="str">
        <f t="shared" si="25"/>
        <v>Огурцы консерв.</v>
      </c>
    </row>
    <row r="1542" spans="1:27" ht="15" customHeight="1" x14ac:dyDescent="0.25">
      <c r="A1542" t="s">
        <v>153</v>
      </c>
      <c r="L1542"/>
      <c r="M1542"/>
      <c r="N1542"/>
      <c r="O1542"/>
      <c r="P1542"/>
      <c r="T1542">
        <v>197</v>
      </c>
      <c r="U1542" s="7">
        <v>3</v>
      </c>
      <c r="V1542" t="s">
        <v>555</v>
      </c>
      <c r="W1542" s="257" t="s">
        <v>1315</v>
      </c>
      <c r="X1542" t="s">
        <v>1316</v>
      </c>
      <c r="Y1542" s="316" t="s">
        <v>208</v>
      </c>
      <c r="Z1542" s="8">
        <v>20</v>
      </c>
      <c r="AA1542" s="202" t="str">
        <f t="shared" si="25"/>
        <v>Перловая</v>
      </c>
    </row>
    <row r="1543" spans="1:27" ht="15" customHeight="1" x14ac:dyDescent="0.25">
      <c r="A1543" t="s">
        <v>153</v>
      </c>
      <c r="L1543"/>
      <c r="M1543"/>
      <c r="N1543"/>
      <c r="O1543"/>
      <c r="P1543"/>
      <c r="T1543">
        <v>198</v>
      </c>
      <c r="U1543" s="7">
        <v>3</v>
      </c>
      <c r="V1543" t="s">
        <v>555</v>
      </c>
      <c r="W1543" s="257" t="s">
        <v>1315</v>
      </c>
      <c r="X1543" t="s">
        <v>1316</v>
      </c>
      <c r="Y1543" s="316" t="s">
        <v>61</v>
      </c>
      <c r="Z1543" s="8">
        <v>5</v>
      </c>
      <c r="AA1543" s="202" t="str">
        <f t="shared" si="25"/>
        <v>Масло растительное</v>
      </c>
    </row>
    <row r="1544" spans="1:27" ht="15" customHeight="1" x14ac:dyDescent="0.25">
      <c r="A1544" t="s">
        <v>153</v>
      </c>
      <c r="L1544"/>
      <c r="M1544"/>
      <c r="N1544"/>
      <c r="O1544"/>
      <c r="P1544"/>
      <c r="T1544">
        <v>199</v>
      </c>
      <c r="U1544" s="7">
        <v>3</v>
      </c>
      <c r="V1544" t="s">
        <v>555</v>
      </c>
      <c r="W1544" s="257" t="s">
        <v>1315</v>
      </c>
      <c r="X1544" t="s">
        <v>1316</v>
      </c>
      <c r="Y1544" s="316" t="s">
        <v>479</v>
      </c>
      <c r="Z1544" s="8">
        <v>400</v>
      </c>
      <c r="AA1544" s="202" t="str">
        <f t="shared" si="25"/>
        <v>Вода или бульон</v>
      </c>
    </row>
    <row r="1545" spans="1:27" ht="15" customHeight="1" x14ac:dyDescent="0.25">
      <c r="A1545" t="s">
        <v>153</v>
      </c>
      <c r="L1545"/>
      <c r="M1545"/>
      <c r="N1545"/>
      <c r="O1545"/>
      <c r="P1545"/>
      <c r="T1545">
        <v>200</v>
      </c>
      <c r="U1545" s="7">
        <v>3</v>
      </c>
      <c r="V1545" t="s">
        <v>555</v>
      </c>
      <c r="W1545" s="257" t="s">
        <v>1315</v>
      </c>
      <c r="X1545" t="s">
        <v>1316</v>
      </c>
      <c r="Y1545" s="316" t="s">
        <v>54</v>
      </c>
      <c r="Z1545" s="8">
        <v>5</v>
      </c>
      <c r="AA1545" s="202" t="str">
        <f t="shared" si="25"/>
        <v>Сметана</v>
      </c>
    </row>
    <row r="1546" spans="1:27" ht="15" customHeight="1" x14ac:dyDescent="0.25">
      <c r="A1546" t="s">
        <v>153</v>
      </c>
      <c r="L1546"/>
      <c r="M1546"/>
      <c r="N1546"/>
      <c r="O1546"/>
      <c r="P1546"/>
      <c r="T1546">
        <v>201</v>
      </c>
      <c r="U1546" s="7">
        <v>3</v>
      </c>
      <c r="V1546" t="s">
        <v>555</v>
      </c>
      <c r="W1546" s="257" t="s">
        <v>1315</v>
      </c>
      <c r="X1546" t="s">
        <v>1316</v>
      </c>
      <c r="Y1546" s="316" t="s">
        <v>70</v>
      </c>
      <c r="Z1546" s="8">
        <v>5</v>
      </c>
      <c r="AA1546" s="202" t="str">
        <f t="shared" si="25"/>
        <v>Зелень</v>
      </c>
    </row>
    <row r="1547" spans="1:27" ht="15" customHeight="1" x14ac:dyDescent="0.25">
      <c r="A1547" t="s">
        <v>153</v>
      </c>
      <c r="L1547"/>
      <c r="M1547"/>
      <c r="N1547"/>
      <c r="O1547"/>
      <c r="P1547"/>
      <c r="T1547">
        <v>202</v>
      </c>
      <c r="U1547" s="7">
        <v>3</v>
      </c>
      <c r="V1547" t="s">
        <v>555</v>
      </c>
      <c r="W1547" s="257" t="s">
        <v>1315</v>
      </c>
      <c r="X1547" t="s">
        <v>1316</v>
      </c>
      <c r="Y1547" s="316" t="s">
        <v>326</v>
      </c>
      <c r="Z1547" s="8">
        <v>4</v>
      </c>
      <c r="AA1547" s="202" t="str">
        <f t="shared" si="25"/>
        <v>Соль</v>
      </c>
    </row>
    <row r="1548" spans="1:27" ht="15" customHeight="1" x14ac:dyDescent="0.25">
      <c r="A1548" t="s">
        <v>153</v>
      </c>
      <c r="L1548"/>
      <c r="M1548"/>
      <c r="N1548"/>
      <c r="O1548"/>
      <c r="P1548"/>
      <c r="T1548">
        <v>203</v>
      </c>
      <c r="U1548" s="7">
        <v>3</v>
      </c>
      <c r="V1548" t="s">
        <v>555</v>
      </c>
      <c r="W1548" s="257" t="s">
        <v>1315</v>
      </c>
      <c r="X1548" t="s">
        <v>1316</v>
      </c>
      <c r="Y1548" s="316" t="s">
        <v>558</v>
      </c>
      <c r="Z1548" s="8">
        <v>595</v>
      </c>
      <c r="AA1548" s="202" t="str">
        <f t="shared" si="25"/>
        <v>Общая масса готового блюда, г</v>
      </c>
    </row>
    <row r="1549" spans="1:27" ht="15" customHeight="1" x14ac:dyDescent="0.25">
      <c r="A1549" t="s">
        <v>153</v>
      </c>
      <c r="L1549"/>
      <c r="M1549"/>
      <c r="N1549"/>
      <c r="O1549"/>
      <c r="P1549"/>
      <c r="T1549">
        <v>204</v>
      </c>
      <c r="U1549" s="7">
        <v>3</v>
      </c>
      <c r="V1549" t="s">
        <v>555</v>
      </c>
      <c r="W1549" s="257" t="s">
        <v>1315</v>
      </c>
      <c r="X1549" t="s">
        <v>1316</v>
      </c>
      <c r="Y1549" s="316" t="s">
        <v>109</v>
      </c>
      <c r="Z1549" s="8">
        <v>298</v>
      </c>
      <c r="AA1549" s="202" t="str">
        <f t="shared" si="25"/>
        <v>ОКГ</v>
      </c>
    </row>
    <row r="1550" spans="1:27" ht="15" customHeight="1" x14ac:dyDescent="0.25">
      <c r="A1550" t="s">
        <v>153</v>
      </c>
      <c r="L1550"/>
      <c r="M1550"/>
      <c r="N1550"/>
      <c r="O1550"/>
      <c r="P1550"/>
      <c r="T1550">
        <v>205</v>
      </c>
      <c r="U1550" s="7">
        <v>3</v>
      </c>
      <c r="V1550" t="s">
        <v>555</v>
      </c>
      <c r="W1550" s="257" t="s">
        <v>1315</v>
      </c>
      <c r="X1550" t="s">
        <v>1316</v>
      </c>
      <c r="Y1550" s="316" t="s">
        <v>74</v>
      </c>
      <c r="Z1550" s="8">
        <v>0.02</v>
      </c>
      <c r="AA1550" s="202" t="str">
        <f t="shared" si="25"/>
        <v>Лавровый лист</v>
      </c>
    </row>
    <row r="1551" spans="1:27" ht="15" customHeight="1" x14ac:dyDescent="0.25">
      <c r="A1551" t="s">
        <v>153</v>
      </c>
      <c r="L1551"/>
      <c r="M1551"/>
      <c r="N1551"/>
      <c r="O1551"/>
      <c r="P1551"/>
      <c r="T1551">
        <v>206</v>
      </c>
      <c r="U1551" s="7">
        <v>3</v>
      </c>
      <c r="V1551" t="s">
        <v>555</v>
      </c>
      <c r="W1551" s="257" t="s">
        <v>1315</v>
      </c>
      <c r="X1551" t="s">
        <v>1316</v>
      </c>
      <c r="Y1551" s="316" t="s">
        <v>484</v>
      </c>
      <c r="Z1551" s="8">
        <v>0.05</v>
      </c>
      <c r="AA1551" s="202" t="str">
        <f t="shared" si="25"/>
        <v>Перец черный</v>
      </c>
    </row>
    <row r="1552" spans="1:27" ht="15" customHeight="1" x14ac:dyDescent="0.25">
      <c r="A1552" t="s">
        <v>153</v>
      </c>
      <c r="L1552"/>
      <c r="M1552"/>
      <c r="N1552"/>
      <c r="O1552"/>
      <c r="P1552"/>
      <c r="T1552">
        <v>207</v>
      </c>
      <c r="U1552" s="7">
        <v>3</v>
      </c>
      <c r="V1552" t="s">
        <v>555</v>
      </c>
      <c r="W1552" s="257" t="s">
        <v>579</v>
      </c>
      <c r="X1552" t="s">
        <v>1263</v>
      </c>
      <c r="Y1552" s="316" t="s">
        <v>45</v>
      </c>
      <c r="Z1552" s="8">
        <v>110</v>
      </c>
      <c r="AA1552" s="202" t="str">
        <f t="shared" si="25"/>
        <v>Картофель</v>
      </c>
    </row>
    <row r="1553" spans="1:27" ht="15" customHeight="1" x14ac:dyDescent="0.25">
      <c r="A1553" t="s">
        <v>153</v>
      </c>
      <c r="L1553"/>
      <c r="M1553"/>
      <c r="N1553"/>
      <c r="O1553"/>
      <c r="P1553"/>
      <c r="T1553">
        <v>208</v>
      </c>
      <c r="U1553" s="7">
        <v>3</v>
      </c>
      <c r="V1553" t="s">
        <v>555</v>
      </c>
      <c r="W1553" s="257" t="s">
        <v>579</v>
      </c>
      <c r="X1553" t="s">
        <v>1263</v>
      </c>
      <c r="Y1553" s="316" t="s">
        <v>508</v>
      </c>
      <c r="Z1553" s="8">
        <v>30</v>
      </c>
      <c r="AA1553" s="202" t="str">
        <f t="shared" si="25"/>
        <v>Пикша б/г</v>
      </c>
    </row>
    <row r="1554" spans="1:27" ht="15" customHeight="1" x14ac:dyDescent="0.25">
      <c r="A1554" t="s">
        <v>153</v>
      </c>
      <c r="L1554"/>
      <c r="M1554"/>
      <c r="N1554"/>
      <c r="O1554"/>
      <c r="P1554"/>
      <c r="T1554">
        <v>208</v>
      </c>
      <c r="U1554" s="7">
        <v>3</v>
      </c>
      <c r="V1554" t="s">
        <v>555</v>
      </c>
      <c r="W1554" s="257" t="s">
        <v>579</v>
      </c>
      <c r="X1554" t="s">
        <v>1263</v>
      </c>
      <c r="Y1554" s="316" t="s">
        <v>1214</v>
      </c>
      <c r="Z1554" s="8">
        <v>20.9</v>
      </c>
      <c r="AA1554" s="202" t="str">
        <f t="shared" si="25"/>
        <v>Масса мясных и рыбных порций, г</v>
      </c>
    </row>
    <row r="1555" spans="1:27" ht="15" customHeight="1" x14ac:dyDescent="0.25">
      <c r="A1555" t="s">
        <v>153</v>
      </c>
      <c r="L1555"/>
      <c r="M1555"/>
      <c r="N1555"/>
      <c r="O1555"/>
      <c r="P1555"/>
      <c r="T1555">
        <v>209</v>
      </c>
      <c r="U1555" s="7">
        <v>3</v>
      </c>
      <c r="V1555" t="s">
        <v>555</v>
      </c>
      <c r="W1555" s="257" t="s">
        <v>579</v>
      </c>
      <c r="X1555" t="s">
        <v>1263</v>
      </c>
      <c r="Y1555" s="316" t="s">
        <v>46</v>
      </c>
      <c r="Z1555" s="8">
        <v>10</v>
      </c>
      <c r="AA1555" s="202" t="str">
        <f t="shared" si="25"/>
        <v>Морковь</v>
      </c>
    </row>
    <row r="1556" spans="1:27" ht="15" customHeight="1" x14ac:dyDescent="0.25">
      <c r="A1556" t="s">
        <v>153</v>
      </c>
      <c r="L1556"/>
      <c r="M1556"/>
      <c r="N1556"/>
      <c r="O1556"/>
      <c r="P1556"/>
      <c r="T1556">
        <v>210</v>
      </c>
      <c r="U1556" s="7">
        <v>3</v>
      </c>
      <c r="V1556" t="s">
        <v>555</v>
      </c>
      <c r="W1556" s="257" t="s">
        <v>579</v>
      </c>
      <c r="X1556" t="s">
        <v>1263</v>
      </c>
      <c r="Y1556" s="316" t="s">
        <v>32</v>
      </c>
      <c r="Z1556" s="8">
        <v>10</v>
      </c>
      <c r="AA1556" s="202" t="str">
        <f t="shared" si="25"/>
        <v>Лук репчатый</v>
      </c>
    </row>
    <row r="1557" spans="1:27" ht="15" customHeight="1" x14ac:dyDescent="0.25">
      <c r="A1557" t="s">
        <v>153</v>
      </c>
      <c r="L1557"/>
      <c r="M1557"/>
      <c r="N1557"/>
      <c r="O1557"/>
      <c r="P1557"/>
      <c r="T1557">
        <v>211</v>
      </c>
      <c r="U1557" s="7">
        <v>3</v>
      </c>
      <c r="V1557" t="s">
        <v>555</v>
      </c>
      <c r="W1557" s="257" t="s">
        <v>579</v>
      </c>
      <c r="X1557" t="s">
        <v>1263</v>
      </c>
      <c r="Y1557" s="316" t="s">
        <v>445</v>
      </c>
      <c r="Z1557" s="8">
        <v>40</v>
      </c>
      <c r="AA1557" s="202" t="str">
        <f t="shared" si="25"/>
        <v>Огурцы консерв.</v>
      </c>
    </row>
    <row r="1558" spans="1:27" ht="15" customHeight="1" x14ac:dyDescent="0.25">
      <c r="A1558" t="s">
        <v>153</v>
      </c>
      <c r="L1558"/>
      <c r="M1558"/>
      <c r="N1558"/>
      <c r="O1558"/>
      <c r="P1558"/>
      <c r="T1558">
        <v>212</v>
      </c>
      <c r="U1558" s="7">
        <v>3</v>
      </c>
      <c r="V1558" t="s">
        <v>555</v>
      </c>
      <c r="W1558" s="257" t="s">
        <v>579</v>
      </c>
      <c r="X1558" t="s">
        <v>1263</v>
      </c>
      <c r="Y1558" s="316" t="s">
        <v>61</v>
      </c>
      <c r="Z1558" s="8">
        <v>5</v>
      </c>
      <c r="AA1558" s="202" t="str">
        <f t="shared" si="25"/>
        <v>Масло растительное</v>
      </c>
    </row>
    <row r="1559" spans="1:27" ht="15" customHeight="1" x14ac:dyDescent="0.25">
      <c r="A1559" t="s">
        <v>153</v>
      </c>
      <c r="L1559"/>
      <c r="M1559"/>
      <c r="N1559"/>
      <c r="O1559"/>
      <c r="P1559"/>
      <c r="T1559">
        <v>213</v>
      </c>
      <c r="U1559" s="7">
        <v>3</v>
      </c>
      <c r="V1559" t="s">
        <v>555</v>
      </c>
      <c r="W1559" s="257" t="s">
        <v>579</v>
      </c>
      <c r="X1559" t="s">
        <v>1263</v>
      </c>
      <c r="Y1559" s="316" t="s">
        <v>479</v>
      </c>
      <c r="Z1559" s="8">
        <v>400</v>
      </c>
      <c r="AA1559" s="202" t="str">
        <f t="shared" si="25"/>
        <v>Вода или бульон</v>
      </c>
    </row>
    <row r="1560" spans="1:27" ht="15" customHeight="1" x14ac:dyDescent="0.25">
      <c r="A1560" t="s">
        <v>153</v>
      </c>
      <c r="L1560"/>
      <c r="M1560"/>
      <c r="N1560"/>
      <c r="O1560"/>
      <c r="P1560"/>
      <c r="T1560">
        <v>214</v>
      </c>
      <c r="U1560" s="7">
        <v>3</v>
      </c>
      <c r="V1560" t="s">
        <v>555</v>
      </c>
      <c r="W1560" s="257" t="s">
        <v>579</v>
      </c>
      <c r="X1560" t="s">
        <v>1263</v>
      </c>
      <c r="Y1560" s="316" t="s">
        <v>208</v>
      </c>
      <c r="Z1560" s="8">
        <v>20</v>
      </c>
      <c r="AA1560" s="202" t="str">
        <f t="shared" si="25"/>
        <v>Перловая</v>
      </c>
    </row>
    <row r="1561" spans="1:27" ht="15" customHeight="1" x14ac:dyDescent="0.25">
      <c r="A1561" t="s">
        <v>153</v>
      </c>
      <c r="L1561"/>
      <c r="M1561"/>
      <c r="N1561"/>
      <c r="O1561"/>
      <c r="P1561"/>
      <c r="T1561">
        <v>215</v>
      </c>
      <c r="U1561" s="7">
        <v>3</v>
      </c>
      <c r="V1561" t="s">
        <v>555</v>
      </c>
      <c r="W1561" s="257" t="s">
        <v>579</v>
      </c>
      <c r="X1561" t="s">
        <v>1263</v>
      </c>
      <c r="Y1561" s="316" t="s">
        <v>70</v>
      </c>
      <c r="Z1561" s="8">
        <v>5</v>
      </c>
      <c r="AA1561" s="202" t="str">
        <f t="shared" si="25"/>
        <v>Зелень</v>
      </c>
    </row>
    <row r="1562" spans="1:27" ht="15" customHeight="1" x14ac:dyDescent="0.25">
      <c r="A1562" t="s">
        <v>153</v>
      </c>
      <c r="L1562"/>
      <c r="M1562"/>
      <c r="N1562"/>
      <c r="O1562"/>
      <c r="P1562"/>
      <c r="T1562">
        <v>216</v>
      </c>
      <c r="U1562" s="7">
        <v>3</v>
      </c>
      <c r="V1562" t="s">
        <v>555</v>
      </c>
      <c r="W1562" s="257" t="s">
        <v>579</v>
      </c>
      <c r="X1562" t="s">
        <v>1263</v>
      </c>
      <c r="Y1562" s="316" t="s">
        <v>326</v>
      </c>
      <c r="Z1562" s="8">
        <v>4</v>
      </c>
      <c r="AA1562" s="202" t="str">
        <f t="shared" si="25"/>
        <v>Соль</v>
      </c>
    </row>
    <row r="1563" spans="1:27" ht="15" customHeight="1" x14ac:dyDescent="0.25">
      <c r="A1563" t="s">
        <v>153</v>
      </c>
      <c r="L1563"/>
      <c r="M1563"/>
      <c r="N1563"/>
      <c r="O1563"/>
      <c r="P1563"/>
      <c r="T1563">
        <v>217</v>
      </c>
      <c r="U1563" s="7">
        <v>3</v>
      </c>
      <c r="V1563" t="s">
        <v>555</v>
      </c>
      <c r="W1563" s="257" t="s">
        <v>579</v>
      </c>
      <c r="X1563" t="s">
        <v>1263</v>
      </c>
      <c r="Y1563" s="316" t="s">
        <v>558</v>
      </c>
      <c r="Z1563" s="8">
        <v>500</v>
      </c>
      <c r="AA1563" s="202" t="str">
        <f t="shared" si="25"/>
        <v>Общая масса готового блюда, г</v>
      </c>
    </row>
    <row r="1564" spans="1:27" ht="15" customHeight="1" x14ac:dyDescent="0.25">
      <c r="A1564" t="s">
        <v>153</v>
      </c>
      <c r="L1564"/>
      <c r="M1564"/>
      <c r="N1564"/>
      <c r="O1564"/>
      <c r="P1564"/>
      <c r="T1564">
        <v>218</v>
      </c>
      <c r="U1564" s="7">
        <v>3</v>
      </c>
      <c r="V1564" t="s">
        <v>555</v>
      </c>
      <c r="W1564" s="257" t="s">
        <v>579</v>
      </c>
      <c r="X1564" t="s">
        <v>1263</v>
      </c>
      <c r="Y1564" s="316" t="s">
        <v>109</v>
      </c>
      <c r="Z1564" s="8">
        <v>250</v>
      </c>
      <c r="AA1564" s="202" t="str">
        <f t="shared" si="25"/>
        <v>ОКГ</v>
      </c>
    </row>
    <row r="1565" spans="1:27" ht="15" customHeight="1" x14ac:dyDescent="0.25">
      <c r="A1565" t="s">
        <v>153</v>
      </c>
      <c r="L1565"/>
      <c r="M1565"/>
      <c r="N1565"/>
      <c r="O1565"/>
      <c r="P1565"/>
      <c r="T1565">
        <v>219</v>
      </c>
      <c r="U1565" s="7">
        <v>3</v>
      </c>
      <c r="V1565" t="s">
        <v>555</v>
      </c>
      <c r="W1565" s="257" t="s">
        <v>579</v>
      </c>
      <c r="X1565" t="s">
        <v>1263</v>
      </c>
      <c r="Y1565" s="316" t="s">
        <v>74</v>
      </c>
      <c r="Z1565" s="8">
        <v>0.02</v>
      </c>
      <c r="AA1565" s="202" t="str">
        <f t="shared" si="25"/>
        <v>Лавровый лист</v>
      </c>
    </row>
    <row r="1566" spans="1:27" ht="15" customHeight="1" x14ac:dyDescent="0.25">
      <c r="A1566" t="s">
        <v>153</v>
      </c>
      <c r="L1566"/>
      <c r="M1566"/>
      <c r="N1566"/>
      <c r="O1566"/>
      <c r="P1566"/>
      <c r="T1566">
        <v>220</v>
      </c>
      <c r="U1566" s="7">
        <v>3</v>
      </c>
      <c r="V1566" t="s">
        <v>555</v>
      </c>
      <c r="W1566" s="257" t="s">
        <v>579</v>
      </c>
      <c r="X1566" t="s">
        <v>1263</v>
      </c>
      <c r="Y1566" s="316" t="s">
        <v>484</v>
      </c>
      <c r="Z1566" s="8">
        <v>0.05</v>
      </c>
      <c r="AA1566" s="202" t="str">
        <f t="shared" si="25"/>
        <v>Перец черный</v>
      </c>
    </row>
    <row r="1567" spans="1:27" ht="15" customHeight="1" x14ac:dyDescent="0.25">
      <c r="A1567" t="s">
        <v>153</v>
      </c>
      <c r="L1567"/>
      <c r="M1567"/>
      <c r="N1567"/>
      <c r="O1567"/>
      <c r="P1567"/>
      <c r="T1567">
        <v>207</v>
      </c>
      <c r="U1567" s="7">
        <v>3</v>
      </c>
      <c r="V1567" t="s">
        <v>555</v>
      </c>
      <c r="W1567" s="257" t="s">
        <v>579</v>
      </c>
      <c r="X1567" t="s">
        <v>1264</v>
      </c>
      <c r="Y1567" s="316" t="s">
        <v>45</v>
      </c>
      <c r="Z1567" s="8">
        <v>110</v>
      </c>
      <c r="AA1567" s="202" t="str">
        <f t="shared" si="25"/>
        <v>Картофель</v>
      </c>
    </row>
    <row r="1568" spans="1:27" ht="15" customHeight="1" x14ac:dyDescent="0.25">
      <c r="A1568" t="s">
        <v>153</v>
      </c>
      <c r="L1568"/>
      <c r="M1568"/>
      <c r="N1568"/>
      <c r="O1568"/>
      <c r="P1568"/>
      <c r="T1568">
        <v>208</v>
      </c>
      <c r="U1568" s="7">
        <v>3</v>
      </c>
      <c r="V1568" t="s">
        <v>555</v>
      </c>
      <c r="W1568" s="257" t="s">
        <v>579</v>
      </c>
      <c r="X1568" t="s">
        <v>1264</v>
      </c>
      <c r="Y1568" s="316" t="s">
        <v>544</v>
      </c>
      <c r="Z1568" s="8">
        <v>30</v>
      </c>
      <c r="AA1568" s="202" t="str">
        <f t="shared" si="25"/>
        <v>Треска б/г</v>
      </c>
    </row>
    <row r="1569" spans="1:27" ht="15" customHeight="1" x14ac:dyDescent="0.25">
      <c r="A1569" t="s">
        <v>153</v>
      </c>
      <c r="L1569"/>
      <c r="M1569"/>
      <c r="N1569"/>
      <c r="O1569"/>
      <c r="P1569"/>
      <c r="T1569">
        <v>208</v>
      </c>
      <c r="U1569" s="7">
        <v>3</v>
      </c>
      <c r="V1569" t="s">
        <v>555</v>
      </c>
      <c r="W1569" s="257" t="s">
        <v>579</v>
      </c>
      <c r="X1569" t="s">
        <v>1264</v>
      </c>
      <c r="Y1569" s="316" t="s">
        <v>1214</v>
      </c>
      <c r="Z1569" s="8">
        <v>20.9</v>
      </c>
      <c r="AA1569" s="202" t="str">
        <f t="shared" si="25"/>
        <v>Масса мясных и рыбных порций, г</v>
      </c>
    </row>
    <row r="1570" spans="1:27" ht="15" customHeight="1" x14ac:dyDescent="0.25">
      <c r="A1570" t="s">
        <v>153</v>
      </c>
      <c r="L1570"/>
      <c r="M1570"/>
      <c r="N1570"/>
      <c r="O1570"/>
      <c r="P1570"/>
      <c r="T1570">
        <v>209</v>
      </c>
      <c r="U1570" s="7">
        <v>3</v>
      </c>
      <c r="V1570" t="s">
        <v>555</v>
      </c>
      <c r="W1570" s="257" t="s">
        <v>579</v>
      </c>
      <c r="X1570" t="s">
        <v>1264</v>
      </c>
      <c r="Y1570" s="316" t="s">
        <v>46</v>
      </c>
      <c r="Z1570" s="8">
        <v>10</v>
      </c>
      <c r="AA1570" s="202" t="str">
        <f t="shared" si="25"/>
        <v>Морковь</v>
      </c>
    </row>
    <row r="1571" spans="1:27" ht="15" customHeight="1" x14ac:dyDescent="0.25">
      <c r="A1571" t="s">
        <v>153</v>
      </c>
      <c r="L1571"/>
      <c r="M1571"/>
      <c r="N1571"/>
      <c r="O1571"/>
      <c r="P1571"/>
      <c r="T1571">
        <v>210</v>
      </c>
      <c r="U1571" s="7">
        <v>3</v>
      </c>
      <c r="V1571" t="s">
        <v>555</v>
      </c>
      <c r="W1571" s="257" t="s">
        <v>579</v>
      </c>
      <c r="X1571" t="s">
        <v>1264</v>
      </c>
      <c r="Y1571" s="316" t="s">
        <v>32</v>
      </c>
      <c r="Z1571" s="8">
        <v>10</v>
      </c>
      <c r="AA1571" s="202" t="str">
        <f t="shared" si="25"/>
        <v>Лук репчатый</v>
      </c>
    </row>
    <row r="1572" spans="1:27" ht="15" customHeight="1" x14ac:dyDescent="0.25">
      <c r="A1572" t="s">
        <v>153</v>
      </c>
      <c r="L1572"/>
      <c r="M1572"/>
      <c r="N1572"/>
      <c r="O1572"/>
      <c r="P1572"/>
      <c r="T1572">
        <v>211</v>
      </c>
      <c r="U1572" s="7">
        <v>3</v>
      </c>
      <c r="V1572" t="s">
        <v>555</v>
      </c>
      <c r="W1572" s="257" t="s">
        <v>579</v>
      </c>
      <c r="X1572" t="s">
        <v>1264</v>
      </c>
      <c r="Y1572" s="316" t="s">
        <v>445</v>
      </c>
      <c r="Z1572" s="8">
        <v>40</v>
      </c>
      <c r="AA1572" s="202" t="str">
        <f t="shared" si="25"/>
        <v>Огурцы консерв.</v>
      </c>
    </row>
    <row r="1573" spans="1:27" ht="15" customHeight="1" x14ac:dyDescent="0.25">
      <c r="A1573" t="s">
        <v>153</v>
      </c>
      <c r="L1573"/>
      <c r="M1573"/>
      <c r="N1573"/>
      <c r="O1573"/>
      <c r="P1573"/>
      <c r="T1573">
        <v>212</v>
      </c>
      <c r="U1573" s="7">
        <v>3</v>
      </c>
      <c r="V1573" t="s">
        <v>555</v>
      </c>
      <c r="W1573" s="257" t="s">
        <v>579</v>
      </c>
      <c r="X1573" t="s">
        <v>1264</v>
      </c>
      <c r="Y1573" s="316" t="s">
        <v>61</v>
      </c>
      <c r="Z1573" s="8">
        <v>5</v>
      </c>
      <c r="AA1573" s="202" t="str">
        <f t="shared" si="25"/>
        <v>Масло растительное</v>
      </c>
    </row>
    <row r="1574" spans="1:27" ht="15" customHeight="1" x14ac:dyDescent="0.25">
      <c r="A1574" t="s">
        <v>153</v>
      </c>
      <c r="L1574"/>
      <c r="M1574"/>
      <c r="N1574"/>
      <c r="O1574"/>
      <c r="P1574"/>
      <c r="T1574">
        <v>213</v>
      </c>
      <c r="U1574" s="7">
        <v>3</v>
      </c>
      <c r="V1574" t="s">
        <v>555</v>
      </c>
      <c r="W1574" s="257" t="s">
        <v>579</v>
      </c>
      <c r="X1574" t="s">
        <v>1264</v>
      </c>
      <c r="Y1574" s="316" t="s">
        <v>479</v>
      </c>
      <c r="Z1574" s="8">
        <v>400</v>
      </c>
      <c r="AA1574" s="202" t="str">
        <f t="shared" si="25"/>
        <v>Вода или бульон</v>
      </c>
    </row>
    <row r="1575" spans="1:27" ht="15" customHeight="1" x14ac:dyDescent="0.25">
      <c r="A1575" t="s">
        <v>153</v>
      </c>
      <c r="L1575"/>
      <c r="M1575"/>
      <c r="N1575"/>
      <c r="O1575"/>
      <c r="P1575"/>
      <c r="T1575">
        <v>214</v>
      </c>
      <c r="U1575" s="7">
        <v>3</v>
      </c>
      <c r="V1575" t="s">
        <v>555</v>
      </c>
      <c r="W1575" s="257" t="s">
        <v>579</v>
      </c>
      <c r="X1575" t="s">
        <v>1264</v>
      </c>
      <c r="Y1575" s="316" t="s">
        <v>208</v>
      </c>
      <c r="Z1575" s="8">
        <v>20</v>
      </c>
      <c r="AA1575" s="202" t="str">
        <f t="shared" si="25"/>
        <v>Перловая</v>
      </c>
    </row>
    <row r="1576" spans="1:27" ht="15" customHeight="1" x14ac:dyDescent="0.25">
      <c r="A1576" t="s">
        <v>153</v>
      </c>
      <c r="L1576"/>
      <c r="M1576"/>
      <c r="N1576"/>
      <c r="O1576"/>
      <c r="P1576"/>
      <c r="T1576">
        <v>215</v>
      </c>
      <c r="U1576" s="7">
        <v>3</v>
      </c>
      <c r="V1576" t="s">
        <v>555</v>
      </c>
      <c r="W1576" s="257" t="s">
        <v>579</v>
      </c>
      <c r="X1576" t="s">
        <v>1264</v>
      </c>
      <c r="Y1576" s="316" t="s">
        <v>70</v>
      </c>
      <c r="Z1576" s="8">
        <v>5</v>
      </c>
      <c r="AA1576" s="202" t="str">
        <f t="shared" si="25"/>
        <v>Зелень</v>
      </c>
    </row>
    <row r="1577" spans="1:27" ht="15" customHeight="1" x14ac:dyDescent="0.25">
      <c r="A1577" t="s">
        <v>153</v>
      </c>
      <c r="L1577"/>
      <c r="M1577"/>
      <c r="N1577"/>
      <c r="O1577"/>
      <c r="P1577"/>
      <c r="T1577">
        <v>216</v>
      </c>
      <c r="U1577" s="7">
        <v>3</v>
      </c>
      <c r="V1577" t="s">
        <v>555</v>
      </c>
      <c r="W1577" s="257" t="s">
        <v>579</v>
      </c>
      <c r="X1577" t="s">
        <v>1264</v>
      </c>
      <c r="Y1577" s="316" t="s">
        <v>326</v>
      </c>
      <c r="Z1577" s="8">
        <v>4</v>
      </c>
      <c r="AA1577" s="202" t="str">
        <f t="shared" si="25"/>
        <v>Соль</v>
      </c>
    </row>
    <row r="1578" spans="1:27" ht="15" customHeight="1" x14ac:dyDescent="0.25">
      <c r="A1578" t="s">
        <v>153</v>
      </c>
      <c r="L1578"/>
      <c r="M1578"/>
      <c r="N1578"/>
      <c r="O1578"/>
      <c r="P1578"/>
      <c r="T1578">
        <v>217</v>
      </c>
      <c r="U1578" s="7">
        <v>3</v>
      </c>
      <c r="V1578" t="s">
        <v>555</v>
      </c>
      <c r="W1578" s="257" t="s">
        <v>579</v>
      </c>
      <c r="X1578" t="s">
        <v>1264</v>
      </c>
      <c r="Y1578" s="316" t="s">
        <v>558</v>
      </c>
      <c r="Z1578" s="8">
        <v>500</v>
      </c>
      <c r="AA1578" s="202" t="str">
        <f t="shared" si="25"/>
        <v>Общая масса готового блюда, г</v>
      </c>
    </row>
    <row r="1579" spans="1:27" ht="15" customHeight="1" x14ac:dyDescent="0.25">
      <c r="A1579" t="s">
        <v>153</v>
      </c>
      <c r="L1579"/>
      <c r="M1579"/>
      <c r="N1579"/>
      <c r="O1579"/>
      <c r="P1579"/>
      <c r="T1579">
        <v>218</v>
      </c>
      <c r="U1579" s="7">
        <v>3</v>
      </c>
      <c r="V1579" t="s">
        <v>555</v>
      </c>
      <c r="W1579" s="257" t="s">
        <v>579</v>
      </c>
      <c r="X1579" t="s">
        <v>1264</v>
      </c>
      <c r="Y1579" s="316" t="s">
        <v>109</v>
      </c>
      <c r="Z1579" s="8">
        <v>250</v>
      </c>
      <c r="AA1579" s="202" t="str">
        <f t="shared" si="25"/>
        <v>ОКГ</v>
      </c>
    </row>
    <row r="1580" spans="1:27" ht="15" customHeight="1" x14ac:dyDescent="0.25">
      <c r="A1580" t="s">
        <v>153</v>
      </c>
      <c r="L1580"/>
      <c r="M1580"/>
      <c r="N1580"/>
      <c r="O1580"/>
      <c r="P1580"/>
      <c r="T1580">
        <v>219</v>
      </c>
      <c r="U1580" s="7">
        <v>3</v>
      </c>
      <c r="V1580" t="s">
        <v>555</v>
      </c>
      <c r="W1580" s="257" t="s">
        <v>579</v>
      </c>
      <c r="X1580" t="s">
        <v>1264</v>
      </c>
      <c r="Y1580" s="316" t="s">
        <v>74</v>
      </c>
      <c r="Z1580" s="8">
        <v>0.02</v>
      </c>
      <c r="AA1580" s="202" t="str">
        <f t="shared" si="25"/>
        <v>Лавровый лист</v>
      </c>
    </row>
    <row r="1581" spans="1:27" ht="15" customHeight="1" x14ac:dyDescent="0.25">
      <c r="A1581" t="s">
        <v>153</v>
      </c>
      <c r="L1581"/>
      <c r="M1581"/>
      <c r="N1581"/>
      <c r="O1581"/>
      <c r="P1581"/>
      <c r="T1581">
        <v>220</v>
      </c>
      <c r="U1581" s="7">
        <v>3</v>
      </c>
      <c r="V1581" t="s">
        <v>555</v>
      </c>
      <c r="W1581" s="257" t="s">
        <v>579</v>
      </c>
      <c r="X1581" t="s">
        <v>1264</v>
      </c>
      <c r="Y1581" s="316" t="s">
        <v>484</v>
      </c>
      <c r="Z1581" s="8">
        <v>0.05</v>
      </c>
      <c r="AA1581" s="202" t="str">
        <f t="shared" si="25"/>
        <v>Перец черный</v>
      </c>
    </row>
    <row r="1582" spans="1:27" ht="15" customHeight="1" x14ac:dyDescent="0.25">
      <c r="A1582" t="s">
        <v>153</v>
      </c>
      <c r="L1582"/>
      <c r="M1582"/>
      <c r="N1582"/>
      <c r="O1582"/>
      <c r="P1582"/>
      <c r="T1582">
        <v>583</v>
      </c>
      <c r="U1582" s="7">
        <v>3</v>
      </c>
      <c r="V1582" t="s">
        <v>966</v>
      </c>
      <c r="W1582" s="257" t="s">
        <v>1048</v>
      </c>
      <c r="X1582" t="s">
        <v>1049</v>
      </c>
      <c r="Y1582" s="316" t="s">
        <v>432</v>
      </c>
      <c r="Z1582" s="8">
        <v>5</v>
      </c>
      <c r="AA1582" s="202" t="str">
        <f t="shared" si="25"/>
        <v>Рис</v>
      </c>
    </row>
    <row r="1583" spans="1:27" ht="15" customHeight="1" x14ac:dyDescent="0.25">
      <c r="A1583" t="s">
        <v>153</v>
      </c>
      <c r="L1583"/>
      <c r="M1583"/>
      <c r="N1583"/>
      <c r="O1583"/>
      <c r="P1583"/>
      <c r="T1583">
        <v>584</v>
      </c>
      <c r="U1583" s="7">
        <v>3</v>
      </c>
      <c r="V1583" t="s">
        <v>966</v>
      </c>
      <c r="W1583" s="257" t="s">
        <v>1048</v>
      </c>
      <c r="X1583" t="s">
        <v>1049</v>
      </c>
      <c r="Y1583" s="316" t="s">
        <v>46</v>
      </c>
      <c r="Z1583" s="8">
        <v>2</v>
      </c>
      <c r="AA1583" s="202" t="str">
        <f t="shared" si="25"/>
        <v>Морковь</v>
      </c>
    </row>
    <row r="1584" spans="1:27" ht="15" customHeight="1" x14ac:dyDescent="0.25">
      <c r="A1584" t="s">
        <v>153</v>
      </c>
      <c r="L1584"/>
      <c r="M1584"/>
      <c r="N1584"/>
      <c r="O1584"/>
      <c r="P1584"/>
      <c r="T1584">
        <v>585</v>
      </c>
      <c r="U1584" s="7">
        <v>3</v>
      </c>
      <c r="V1584" t="s">
        <v>966</v>
      </c>
      <c r="W1584" s="257" t="s">
        <v>1048</v>
      </c>
      <c r="X1584" t="s">
        <v>1049</v>
      </c>
      <c r="Y1584" s="316" t="s">
        <v>32</v>
      </c>
      <c r="Z1584" s="8">
        <v>3</v>
      </c>
      <c r="AA1584" s="202" t="str">
        <f t="shared" si="25"/>
        <v>Лук репчатый</v>
      </c>
    </row>
    <row r="1585" spans="1:27" ht="15" customHeight="1" x14ac:dyDescent="0.25">
      <c r="A1585" t="s">
        <v>153</v>
      </c>
      <c r="L1585"/>
      <c r="M1585"/>
      <c r="N1585"/>
      <c r="O1585"/>
      <c r="P1585"/>
      <c r="T1585">
        <v>586</v>
      </c>
      <c r="U1585" s="7">
        <v>3</v>
      </c>
      <c r="V1585" t="s">
        <v>966</v>
      </c>
      <c r="W1585" s="257" t="s">
        <v>1048</v>
      </c>
      <c r="X1585" t="s">
        <v>1049</v>
      </c>
      <c r="Y1585" s="316" t="s">
        <v>61</v>
      </c>
      <c r="Z1585" s="8">
        <v>5</v>
      </c>
      <c r="AA1585" s="202" t="str">
        <f t="shared" si="25"/>
        <v>Масло растительное</v>
      </c>
    </row>
    <row r="1586" spans="1:27" ht="15" customHeight="1" x14ac:dyDescent="0.25">
      <c r="A1586" t="s">
        <v>153</v>
      </c>
      <c r="L1586"/>
      <c r="M1586"/>
      <c r="N1586"/>
      <c r="O1586"/>
      <c r="P1586"/>
      <c r="T1586">
        <v>587</v>
      </c>
      <c r="U1586" s="7">
        <v>3</v>
      </c>
      <c r="V1586" t="s">
        <v>966</v>
      </c>
      <c r="W1586" s="257" t="s">
        <v>1048</v>
      </c>
      <c r="X1586" t="s">
        <v>1049</v>
      </c>
      <c r="Y1586" s="316" t="s">
        <v>441</v>
      </c>
      <c r="Z1586" s="8">
        <v>20</v>
      </c>
      <c r="AA1586" s="202" t="str">
        <f t="shared" si="25"/>
        <v>Кукуруза консерв.</v>
      </c>
    </row>
    <row r="1587" spans="1:27" ht="15" customHeight="1" x14ac:dyDescent="0.25">
      <c r="A1587" t="s">
        <v>153</v>
      </c>
      <c r="L1587"/>
      <c r="M1587"/>
      <c r="N1587"/>
      <c r="O1587"/>
      <c r="P1587"/>
      <c r="T1587">
        <v>588</v>
      </c>
      <c r="U1587" s="7">
        <v>3</v>
      </c>
      <c r="V1587" t="s">
        <v>966</v>
      </c>
      <c r="W1587" s="257" t="s">
        <v>1048</v>
      </c>
      <c r="X1587" t="s">
        <v>1049</v>
      </c>
      <c r="Y1587" s="316" t="s">
        <v>330</v>
      </c>
      <c r="Z1587" s="8">
        <v>165.9</v>
      </c>
      <c r="AA1587" s="202" t="str">
        <f t="shared" si="25"/>
        <v>Вода</v>
      </c>
    </row>
    <row r="1588" spans="1:27" ht="15" customHeight="1" x14ac:dyDescent="0.25">
      <c r="A1588" t="s">
        <v>153</v>
      </c>
      <c r="L1588"/>
      <c r="M1588"/>
      <c r="N1588"/>
      <c r="O1588"/>
      <c r="P1588"/>
      <c r="T1588">
        <v>589</v>
      </c>
      <c r="U1588" s="7">
        <v>3</v>
      </c>
      <c r="V1588" t="s">
        <v>966</v>
      </c>
      <c r="W1588" s="257" t="s">
        <v>1048</v>
      </c>
      <c r="X1588" t="s">
        <v>1049</v>
      </c>
      <c r="Y1588" s="316" t="s">
        <v>326</v>
      </c>
      <c r="Z1588" s="8">
        <v>3</v>
      </c>
      <c r="AA1588" s="202" t="str">
        <f t="shared" si="25"/>
        <v>Соль</v>
      </c>
    </row>
    <row r="1589" spans="1:27" ht="15" customHeight="1" x14ac:dyDescent="0.25">
      <c r="A1589" t="s">
        <v>153</v>
      </c>
      <c r="L1589"/>
      <c r="M1589"/>
      <c r="N1589"/>
      <c r="O1589"/>
      <c r="P1589"/>
      <c r="T1589">
        <v>590</v>
      </c>
      <c r="U1589" s="7">
        <v>3</v>
      </c>
      <c r="V1589" t="s">
        <v>966</v>
      </c>
      <c r="W1589" s="257" t="s">
        <v>1048</v>
      </c>
      <c r="X1589" t="s">
        <v>1049</v>
      </c>
      <c r="Y1589" s="316" t="s">
        <v>558</v>
      </c>
      <c r="Z1589" s="8">
        <v>346</v>
      </c>
      <c r="AA1589" s="202" t="str">
        <f t="shared" si="25"/>
        <v>Общая масса готового блюда, г</v>
      </c>
    </row>
    <row r="1590" spans="1:27" ht="15" customHeight="1" x14ac:dyDescent="0.25">
      <c r="A1590" t="s">
        <v>153</v>
      </c>
      <c r="L1590"/>
      <c r="M1590"/>
      <c r="N1590"/>
      <c r="O1590"/>
      <c r="P1590"/>
      <c r="T1590">
        <v>590</v>
      </c>
      <c r="U1590" s="7">
        <v>3</v>
      </c>
      <c r="V1590" t="s">
        <v>966</v>
      </c>
      <c r="W1590" s="257" t="s">
        <v>1048</v>
      </c>
      <c r="X1590" t="s">
        <v>1049</v>
      </c>
      <c r="Y1590" s="316" t="s">
        <v>109</v>
      </c>
      <c r="Z1590" s="8">
        <v>415</v>
      </c>
      <c r="AA1590" s="202" t="str">
        <f t="shared" si="25"/>
        <v>ОКГ</v>
      </c>
    </row>
    <row r="1591" spans="1:27" ht="15" customHeight="1" x14ac:dyDescent="0.25">
      <c r="A1591" t="s">
        <v>153</v>
      </c>
      <c r="L1591"/>
      <c r="M1591"/>
      <c r="N1591"/>
      <c r="O1591"/>
      <c r="P1591"/>
      <c r="T1591">
        <v>2465</v>
      </c>
      <c r="U1591" s="7">
        <v>3</v>
      </c>
      <c r="V1591" t="s">
        <v>613</v>
      </c>
      <c r="W1591" s="257" t="s">
        <v>765</v>
      </c>
      <c r="X1591" t="s">
        <v>766</v>
      </c>
      <c r="Y1591" t="s">
        <v>454</v>
      </c>
      <c r="Z1591" s="8">
        <v>75</v>
      </c>
      <c r="AA1591" s="202" t="str">
        <f t="shared" si="25"/>
        <v>Говядина б/к</v>
      </c>
    </row>
    <row r="1592" spans="1:27" ht="15" customHeight="1" x14ac:dyDescent="0.25">
      <c r="A1592" t="s">
        <v>153</v>
      </c>
      <c r="L1592"/>
      <c r="M1592"/>
      <c r="N1592"/>
      <c r="O1592"/>
      <c r="P1592"/>
      <c r="T1592">
        <v>2465</v>
      </c>
      <c r="U1592" s="7">
        <v>3</v>
      </c>
      <c r="V1592" t="s">
        <v>613</v>
      </c>
      <c r="W1592" s="257" t="s">
        <v>765</v>
      </c>
      <c r="X1592" t="s">
        <v>766</v>
      </c>
      <c r="Y1592" t="s">
        <v>436</v>
      </c>
      <c r="Z1592" s="8">
        <v>6</v>
      </c>
      <c r="AA1592" s="202" t="str">
        <f t="shared" si="25"/>
        <v>Сухари</v>
      </c>
    </row>
    <row r="1593" spans="1:27" ht="15" customHeight="1" x14ac:dyDescent="0.25">
      <c r="A1593" t="s">
        <v>153</v>
      </c>
      <c r="L1593"/>
      <c r="M1593"/>
      <c r="N1593"/>
      <c r="O1593"/>
      <c r="P1593"/>
      <c r="T1593">
        <v>2465</v>
      </c>
      <c r="U1593" s="7">
        <v>3</v>
      </c>
      <c r="V1593" t="s">
        <v>613</v>
      </c>
      <c r="W1593" s="257" t="s">
        <v>765</v>
      </c>
      <c r="X1593" t="s">
        <v>766</v>
      </c>
      <c r="Y1593" s="316" t="s">
        <v>79</v>
      </c>
      <c r="Z1593" s="8">
        <v>7.6999999999999999E-2</v>
      </c>
      <c r="AA1593" s="202" t="str">
        <f t="shared" si="25"/>
        <v>Яйцо (шт)</v>
      </c>
    </row>
    <row r="1594" spans="1:27" ht="15" customHeight="1" x14ac:dyDescent="0.25">
      <c r="A1594" t="s">
        <v>153</v>
      </c>
      <c r="L1594"/>
      <c r="M1594"/>
      <c r="N1594"/>
      <c r="O1594"/>
      <c r="P1594"/>
      <c r="T1594">
        <v>2465</v>
      </c>
      <c r="U1594" s="7">
        <v>3</v>
      </c>
      <c r="V1594" t="s">
        <v>613</v>
      </c>
      <c r="W1594" s="257" t="s">
        <v>765</v>
      </c>
      <c r="X1594" t="s">
        <v>766</v>
      </c>
      <c r="Y1594" s="316" t="s">
        <v>484</v>
      </c>
      <c r="Z1594" s="8">
        <v>1</v>
      </c>
      <c r="AA1594" s="202" t="str">
        <f t="shared" si="25"/>
        <v>Перец черный</v>
      </c>
    </row>
    <row r="1595" spans="1:27" ht="15" customHeight="1" x14ac:dyDescent="0.25">
      <c r="A1595" t="s">
        <v>153</v>
      </c>
      <c r="L1595"/>
      <c r="M1595"/>
      <c r="N1595"/>
      <c r="O1595"/>
      <c r="P1595"/>
      <c r="T1595">
        <v>2465</v>
      </c>
      <c r="U1595" s="7">
        <v>3</v>
      </c>
      <c r="V1595" t="s">
        <v>613</v>
      </c>
      <c r="W1595" s="257" t="s">
        <v>765</v>
      </c>
      <c r="X1595" t="s">
        <v>766</v>
      </c>
      <c r="Y1595" s="316" t="s">
        <v>326</v>
      </c>
      <c r="Z1595" s="8">
        <v>2</v>
      </c>
      <c r="AA1595" s="202" t="str">
        <f t="shared" si="25"/>
        <v>Соль</v>
      </c>
    </row>
    <row r="1596" spans="1:27" ht="15" customHeight="1" x14ac:dyDescent="0.25">
      <c r="A1596" t="s">
        <v>153</v>
      </c>
      <c r="L1596"/>
      <c r="M1596"/>
      <c r="N1596"/>
      <c r="O1596"/>
      <c r="P1596"/>
      <c r="T1596">
        <v>2465</v>
      </c>
      <c r="U1596" s="7">
        <v>3</v>
      </c>
      <c r="V1596" t="s">
        <v>613</v>
      </c>
      <c r="W1596" s="257" t="s">
        <v>765</v>
      </c>
      <c r="X1596" t="s">
        <v>766</v>
      </c>
      <c r="Y1596" s="316" t="s">
        <v>61</v>
      </c>
      <c r="Z1596" s="8">
        <v>10</v>
      </c>
      <c r="AA1596" s="202" t="str">
        <f t="shared" si="25"/>
        <v>Масло растительное</v>
      </c>
    </row>
    <row r="1597" spans="1:27" ht="15" customHeight="1" x14ac:dyDescent="0.25">
      <c r="A1597" t="s">
        <v>153</v>
      </c>
      <c r="L1597"/>
      <c r="M1597"/>
      <c r="N1597"/>
      <c r="O1597"/>
      <c r="P1597"/>
      <c r="T1597">
        <v>2465</v>
      </c>
      <c r="U1597" s="7">
        <v>3</v>
      </c>
      <c r="V1597" t="s">
        <v>613</v>
      </c>
      <c r="W1597" s="257" t="s">
        <v>765</v>
      </c>
      <c r="X1597" t="s">
        <v>766</v>
      </c>
      <c r="Y1597" s="316" t="s">
        <v>1215</v>
      </c>
      <c r="Z1597" s="8">
        <v>109</v>
      </c>
      <c r="AA1597" s="202" t="str">
        <f t="shared" si="25"/>
        <v>Общая масса готового блюда, г</v>
      </c>
    </row>
    <row r="1598" spans="1:27" ht="15" customHeight="1" x14ac:dyDescent="0.25">
      <c r="A1598" t="s">
        <v>153</v>
      </c>
      <c r="L1598"/>
      <c r="M1598"/>
      <c r="N1598"/>
      <c r="O1598"/>
      <c r="P1598"/>
      <c r="T1598">
        <v>2465</v>
      </c>
      <c r="U1598" s="7">
        <v>3</v>
      </c>
      <c r="V1598" t="s">
        <v>613</v>
      </c>
      <c r="W1598" s="257" t="s">
        <v>765</v>
      </c>
      <c r="X1598" t="s">
        <v>766</v>
      </c>
      <c r="Y1598" s="316" t="s">
        <v>1214</v>
      </c>
      <c r="Z1598" s="8">
        <v>59</v>
      </c>
      <c r="AA1598" s="202" t="str">
        <f t="shared" si="25"/>
        <v>Масса мясных и рыбных порций, г</v>
      </c>
    </row>
    <row r="1599" spans="1:27" ht="15" customHeight="1" x14ac:dyDescent="0.25">
      <c r="A1599" t="s">
        <v>153</v>
      </c>
      <c r="L1599"/>
      <c r="M1599"/>
      <c r="N1599"/>
      <c r="O1599"/>
      <c r="P1599"/>
      <c r="T1599">
        <v>2465</v>
      </c>
      <c r="U1599" s="7">
        <v>3</v>
      </c>
      <c r="V1599" t="s">
        <v>613</v>
      </c>
      <c r="W1599" s="257" t="s">
        <v>765</v>
      </c>
      <c r="X1599" t="s">
        <v>767</v>
      </c>
      <c r="Y1599" t="s">
        <v>455</v>
      </c>
      <c r="Z1599" s="8">
        <v>100</v>
      </c>
      <c r="AA1599" s="202" t="str">
        <f t="shared" si="25"/>
        <v>Говядина н/к</v>
      </c>
    </row>
    <row r="1600" spans="1:27" ht="15" customHeight="1" x14ac:dyDescent="0.25">
      <c r="A1600" t="s">
        <v>153</v>
      </c>
      <c r="L1600"/>
      <c r="M1600"/>
      <c r="N1600"/>
      <c r="O1600"/>
      <c r="P1600"/>
      <c r="T1600">
        <v>2465</v>
      </c>
      <c r="U1600" s="7">
        <v>3</v>
      </c>
      <c r="V1600" t="s">
        <v>613</v>
      </c>
      <c r="W1600" s="257" t="s">
        <v>765</v>
      </c>
      <c r="X1600" t="s">
        <v>767</v>
      </c>
      <c r="Y1600" t="s">
        <v>436</v>
      </c>
      <c r="Z1600" s="8">
        <v>6</v>
      </c>
      <c r="AA1600" s="202" t="str">
        <f t="shared" si="25"/>
        <v>Сухари</v>
      </c>
    </row>
    <row r="1601" spans="1:27" ht="15" customHeight="1" x14ac:dyDescent="0.25">
      <c r="A1601" t="s">
        <v>153</v>
      </c>
      <c r="L1601"/>
      <c r="M1601"/>
      <c r="N1601"/>
      <c r="O1601"/>
      <c r="P1601"/>
      <c r="T1601">
        <v>2465</v>
      </c>
      <c r="U1601" s="7">
        <v>3</v>
      </c>
      <c r="V1601" t="s">
        <v>613</v>
      </c>
      <c r="W1601" s="257" t="s">
        <v>765</v>
      </c>
      <c r="X1601" t="s">
        <v>767</v>
      </c>
      <c r="Y1601" s="316" t="s">
        <v>79</v>
      </c>
      <c r="Z1601" s="8">
        <v>7.6999999999999999E-2</v>
      </c>
      <c r="AA1601" s="202" t="str">
        <f t="shared" si="25"/>
        <v>Яйцо (шт)</v>
      </c>
    </row>
    <row r="1602" spans="1:27" ht="15" customHeight="1" x14ac:dyDescent="0.25">
      <c r="A1602" t="s">
        <v>153</v>
      </c>
      <c r="L1602"/>
      <c r="M1602"/>
      <c r="N1602"/>
      <c r="O1602"/>
      <c r="P1602"/>
      <c r="T1602">
        <v>2465</v>
      </c>
      <c r="U1602" s="7">
        <v>3</v>
      </c>
      <c r="V1602" t="s">
        <v>613</v>
      </c>
      <c r="W1602" s="257" t="s">
        <v>765</v>
      </c>
      <c r="X1602" t="s">
        <v>767</v>
      </c>
      <c r="Y1602" s="316" t="s">
        <v>484</v>
      </c>
      <c r="Z1602" s="8">
        <v>1</v>
      </c>
      <c r="AA1602" s="202" t="str">
        <f t="shared" ref="AA1602:AA1665" si="26">VLOOKUP(Y1602,O:P,2,FALSE)</f>
        <v>Перец черный</v>
      </c>
    </row>
    <row r="1603" spans="1:27" ht="15" customHeight="1" x14ac:dyDescent="0.25">
      <c r="A1603" t="s">
        <v>153</v>
      </c>
      <c r="L1603"/>
      <c r="M1603"/>
      <c r="N1603"/>
      <c r="O1603"/>
      <c r="P1603"/>
      <c r="T1603">
        <v>2465</v>
      </c>
      <c r="U1603" s="7">
        <v>3</v>
      </c>
      <c r="V1603" t="s">
        <v>613</v>
      </c>
      <c r="W1603" s="257" t="s">
        <v>765</v>
      </c>
      <c r="X1603" t="s">
        <v>767</v>
      </c>
      <c r="Y1603" s="316" t="s">
        <v>326</v>
      </c>
      <c r="Z1603" s="8">
        <v>2</v>
      </c>
      <c r="AA1603" s="202" t="str">
        <f t="shared" si="26"/>
        <v>Соль</v>
      </c>
    </row>
    <row r="1604" spans="1:27" ht="15" customHeight="1" x14ac:dyDescent="0.25">
      <c r="A1604" t="s">
        <v>153</v>
      </c>
      <c r="L1604"/>
      <c r="M1604"/>
      <c r="N1604"/>
      <c r="O1604"/>
      <c r="P1604"/>
      <c r="T1604">
        <v>2465</v>
      </c>
      <c r="U1604" s="7">
        <v>3</v>
      </c>
      <c r="V1604" t="s">
        <v>613</v>
      </c>
      <c r="W1604" s="257" t="s">
        <v>765</v>
      </c>
      <c r="X1604" t="s">
        <v>767</v>
      </c>
      <c r="Y1604" s="316" t="s">
        <v>61</v>
      </c>
      <c r="Z1604" s="8">
        <v>10</v>
      </c>
      <c r="AA1604" s="202" t="str">
        <f t="shared" si="26"/>
        <v>Масло растительное</v>
      </c>
    </row>
    <row r="1605" spans="1:27" ht="15" customHeight="1" x14ac:dyDescent="0.25">
      <c r="A1605" t="s">
        <v>153</v>
      </c>
      <c r="L1605"/>
      <c r="M1605"/>
      <c r="N1605"/>
      <c r="O1605"/>
      <c r="P1605"/>
      <c r="T1605">
        <v>2465</v>
      </c>
      <c r="U1605" s="7">
        <v>3</v>
      </c>
      <c r="V1605" t="s">
        <v>613</v>
      </c>
      <c r="W1605" s="257" t="s">
        <v>765</v>
      </c>
      <c r="X1605" t="s">
        <v>767</v>
      </c>
      <c r="Y1605" s="316" t="s">
        <v>1215</v>
      </c>
      <c r="Z1605" s="8">
        <v>109</v>
      </c>
      <c r="AA1605" s="202" t="str">
        <f t="shared" si="26"/>
        <v>Общая масса готового блюда, г</v>
      </c>
    </row>
    <row r="1606" spans="1:27" ht="15" customHeight="1" x14ac:dyDescent="0.25">
      <c r="A1606" t="s">
        <v>153</v>
      </c>
      <c r="L1606"/>
      <c r="M1606"/>
      <c r="N1606"/>
      <c r="O1606"/>
      <c r="P1606"/>
      <c r="T1606">
        <v>2465</v>
      </c>
      <c r="U1606" s="7">
        <v>3</v>
      </c>
      <c r="V1606" t="s">
        <v>613</v>
      </c>
      <c r="W1606" s="257" t="s">
        <v>765</v>
      </c>
      <c r="X1606" t="s">
        <v>767</v>
      </c>
      <c r="Y1606" s="316" t="s">
        <v>1214</v>
      </c>
      <c r="Z1606" s="8">
        <v>59</v>
      </c>
      <c r="AA1606" s="202" t="str">
        <f t="shared" si="26"/>
        <v>Масса мясных и рыбных порций, г</v>
      </c>
    </row>
    <row r="1607" spans="1:27" ht="15" customHeight="1" x14ac:dyDescent="0.25">
      <c r="A1607" t="s">
        <v>153</v>
      </c>
      <c r="L1607"/>
      <c r="M1607"/>
      <c r="N1607"/>
      <c r="O1607"/>
      <c r="P1607"/>
      <c r="T1607">
        <v>2406</v>
      </c>
      <c r="U1607" s="7">
        <v>3</v>
      </c>
      <c r="V1607" t="s">
        <v>613</v>
      </c>
      <c r="W1607" s="257" t="s">
        <v>768</v>
      </c>
      <c r="X1607" t="s">
        <v>769</v>
      </c>
      <c r="Y1607" s="316" t="s">
        <v>455</v>
      </c>
      <c r="Z1607" s="8">
        <v>100</v>
      </c>
      <c r="AA1607" s="202" t="str">
        <f t="shared" si="26"/>
        <v>Говядина н/к</v>
      </c>
    </row>
    <row r="1608" spans="1:27" ht="15" customHeight="1" x14ac:dyDescent="0.25">
      <c r="A1608" t="s">
        <v>153</v>
      </c>
      <c r="L1608"/>
      <c r="M1608"/>
      <c r="N1608"/>
      <c r="O1608"/>
      <c r="P1608"/>
      <c r="T1608">
        <v>2407</v>
      </c>
      <c r="U1608" s="7">
        <v>3</v>
      </c>
      <c r="V1608" t="s">
        <v>613</v>
      </c>
      <c r="W1608" s="257" t="s">
        <v>768</v>
      </c>
      <c r="X1608" t="s">
        <v>769</v>
      </c>
      <c r="Y1608" s="316" t="s">
        <v>657</v>
      </c>
      <c r="Z1608" s="8">
        <v>7</v>
      </c>
      <c r="AA1608" s="202" t="str">
        <f t="shared" si="26"/>
        <v>Сухари</v>
      </c>
    </row>
    <row r="1609" spans="1:27" ht="15" customHeight="1" x14ac:dyDescent="0.25">
      <c r="A1609" t="s">
        <v>153</v>
      </c>
      <c r="L1609"/>
      <c r="M1609"/>
      <c r="N1609"/>
      <c r="O1609"/>
      <c r="P1609"/>
      <c r="T1609">
        <v>2408</v>
      </c>
      <c r="U1609" s="7">
        <v>3</v>
      </c>
      <c r="V1609" t="s">
        <v>613</v>
      </c>
      <c r="W1609" s="257" t="s">
        <v>768</v>
      </c>
      <c r="X1609" t="s">
        <v>769</v>
      </c>
      <c r="Y1609" s="316" t="s">
        <v>61</v>
      </c>
      <c r="Z1609" s="8">
        <v>5</v>
      </c>
      <c r="AA1609" s="202" t="str">
        <f t="shared" si="26"/>
        <v>Масло растительное</v>
      </c>
    </row>
    <row r="1610" spans="1:27" ht="15" customHeight="1" x14ac:dyDescent="0.25">
      <c r="A1610" t="s">
        <v>153</v>
      </c>
      <c r="L1610"/>
      <c r="M1610"/>
      <c r="N1610"/>
      <c r="O1610"/>
      <c r="P1610"/>
      <c r="T1610">
        <v>2409</v>
      </c>
      <c r="U1610" s="7">
        <v>3</v>
      </c>
      <c r="V1610" t="s">
        <v>613</v>
      </c>
      <c r="W1610" s="257" t="s">
        <v>768</v>
      </c>
      <c r="X1610" t="s">
        <v>769</v>
      </c>
      <c r="Y1610" s="316" t="s">
        <v>32</v>
      </c>
      <c r="Z1610" s="8">
        <v>10</v>
      </c>
      <c r="AA1610" s="202" t="str">
        <f t="shared" si="26"/>
        <v>Лук репчатый</v>
      </c>
    </row>
    <row r="1611" spans="1:27" ht="15" customHeight="1" x14ac:dyDescent="0.25">
      <c r="A1611" t="s">
        <v>153</v>
      </c>
      <c r="L1611"/>
      <c r="M1611"/>
      <c r="N1611"/>
      <c r="O1611"/>
      <c r="P1611"/>
      <c r="T1611">
        <v>2410</v>
      </c>
      <c r="U1611" s="7">
        <v>3</v>
      </c>
      <c r="V1611" t="s">
        <v>613</v>
      </c>
      <c r="W1611" s="257" t="s">
        <v>768</v>
      </c>
      <c r="X1611" t="s">
        <v>769</v>
      </c>
      <c r="Y1611" s="316" t="s">
        <v>79</v>
      </c>
      <c r="Z1611" s="8">
        <v>1</v>
      </c>
      <c r="AA1611" s="202" t="str">
        <f t="shared" si="26"/>
        <v>Яйцо (шт)</v>
      </c>
    </row>
    <row r="1612" spans="1:27" ht="15" customHeight="1" x14ac:dyDescent="0.25">
      <c r="A1612" t="s">
        <v>153</v>
      </c>
      <c r="L1612"/>
      <c r="M1612"/>
      <c r="N1612"/>
      <c r="O1612"/>
      <c r="P1612"/>
      <c r="T1612">
        <v>2411</v>
      </c>
      <c r="U1612" s="7">
        <v>3</v>
      </c>
      <c r="V1612" t="s">
        <v>613</v>
      </c>
      <c r="W1612" s="257" t="s">
        <v>768</v>
      </c>
      <c r="X1612" t="s">
        <v>769</v>
      </c>
      <c r="Y1612" s="316" t="s">
        <v>484</v>
      </c>
      <c r="Z1612" s="8">
        <v>0.1</v>
      </c>
      <c r="AA1612" s="202" t="str">
        <f t="shared" si="26"/>
        <v>Перец черный</v>
      </c>
    </row>
    <row r="1613" spans="1:27" ht="15" customHeight="1" x14ac:dyDescent="0.25">
      <c r="A1613" t="s">
        <v>153</v>
      </c>
      <c r="L1613"/>
      <c r="M1613"/>
      <c r="N1613"/>
      <c r="O1613"/>
      <c r="P1613"/>
      <c r="T1613">
        <v>2412</v>
      </c>
      <c r="U1613" s="7">
        <v>3</v>
      </c>
      <c r="V1613" t="s">
        <v>613</v>
      </c>
      <c r="W1613" s="257" t="s">
        <v>768</v>
      </c>
      <c r="X1613" t="s">
        <v>769</v>
      </c>
      <c r="Y1613" s="316" t="s">
        <v>438</v>
      </c>
      <c r="Z1613" s="8">
        <v>18</v>
      </c>
      <c r="AA1613" s="202" t="str">
        <f t="shared" si="26"/>
        <v>Хлеб из муки пш. 1 сорта</v>
      </c>
    </row>
    <row r="1614" spans="1:27" ht="15" customHeight="1" x14ac:dyDescent="0.25">
      <c r="A1614" t="s">
        <v>153</v>
      </c>
      <c r="L1614"/>
      <c r="M1614"/>
      <c r="N1614"/>
      <c r="O1614"/>
      <c r="P1614"/>
      <c r="T1614">
        <v>2413</v>
      </c>
      <c r="U1614" s="7">
        <v>3</v>
      </c>
      <c r="V1614" t="s">
        <v>613</v>
      </c>
      <c r="W1614" s="257" t="s">
        <v>768</v>
      </c>
      <c r="X1614" t="s">
        <v>769</v>
      </c>
      <c r="Y1614" s="316" t="s">
        <v>330</v>
      </c>
      <c r="Z1614" s="8">
        <v>22</v>
      </c>
      <c r="AA1614" s="202" t="str">
        <f t="shared" si="26"/>
        <v>Вода</v>
      </c>
    </row>
    <row r="1615" spans="1:27" ht="15" customHeight="1" x14ac:dyDescent="0.25">
      <c r="A1615" t="s">
        <v>153</v>
      </c>
      <c r="L1615"/>
      <c r="M1615"/>
      <c r="N1615"/>
      <c r="O1615"/>
      <c r="P1615"/>
      <c r="T1615">
        <v>2414</v>
      </c>
      <c r="U1615" s="7">
        <v>3</v>
      </c>
      <c r="V1615" t="s">
        <v>613</v>
      </c>
      <c r="W1615" s="257" t="s">
        <v>768</v>
      </c>
      <c r="X1615" t="s">
        <v>769</v>
      </c>
      <c r="Y1615" s="316" t="s">
        <v>558</v>
      </c>
      <c r="Z1615" s="8">
        <v>143</v>
      </c>
      <c r="AA1615" s="202" t="str">
        <f t="shared" si="26"/>
        <v>Общая масса готового блюда, г</v>
      </c>
    </row>
    <row r="1616" spans="1:27" ht="15" customHeight="1" x14ac:dyDescent="0.25">
      <c r="A1616" t="s">
        <v>153</v>
      </c>
      <c r="L1616"/>
      <c r="M1616"/>
      <c r="N1616"/>
      <c r="O1616"/>
      <c r="P1616"/>
      <c r="T1616">
        <v>2414</v>
      </c>
      <c r="U1616" s="7">
        <v>3</v>
      </c>
      <c r="V1616" t="s">
        <v>613</v>
      </c>
      <c r="W1616" s="257" t="s">
        <v>768</v>
      </c>
      <c r="X1616" t="s">
        <v>769</v>
      </c>
      <c r="Y1616" s="316" t="s">
        <v>1214</v>
      </c>
      <c r="Z1616" s="8">
        <v>73.599999999999994</v>
      </c>
      <c r="AA1616" s="202" t="str">
        <f t="shared" si="26"/>
        <v>Масса мясных и рыбных порций, г</v>
      </c>
    </row>
    <row r="1617" spans="1:27" ht="15" customHeight="1" x14ac:dyDescent="0.25">
      <c r="A1617" t="s">
        <v>153</v>
      </c>
      <c r="L1617"/>
      <c r="M1617"/>
      <c r="N1617"/>
      <c r="O1617"/>
      <c r="P1617"/>
      <c r="T1617">
        <v>1314</v>
      </c>
      <c r="U1617" s="7">
        <v>3</v>
      </c>
      <c r="V1617" t="s">
        <v>613</v>
      </c>
      <c r="W1617" s="257">
        <v>3.3</v>
      </c>
      <c r="X1617" t="s">
        <v>144</v>
      </c>
      <c r="Y1617" s="316" t="s">
        <v>419</v>
      </c>
      <c r="Z1617" s="8">
        <v>120</v>
      </c>
      <c r="AA1617" s="202" t="str">
        <f t="shared" si="26"/>
        <v>Рыба с/м б/г</v>
      </c>
    </row>
    <row r="1618" spans="1:27" ht="15" customHeight="1" x14ac:dyDescent="0.25">
      <c r="A1618" t="s">
        <v>153</v>
      </c>
      <c r="L1618"/>
      <c r="M1618"/>
      <c r="N1618"/>
      <c r="O1618"/>
      <c r="P1618"/>
      <c r="T1618">
        <v>1315</v>
      </c>
      <c r="U1618" s="7">
        <v>3</v>
      </c>
      <c r="V1618" t="s">
        <v>613</v>
      </c>
      <c r="W1618" s="257">
        <v>3.3</v>
      </c>
      <c r="X1618" t="s">
        <v>144</v>
      </c>
      <c r="Y1618" s="316" t="s">
        <v>326</v>
      </c>
      <c r="Z1618" s="8">
        <v>2</v>
      </c>
      <c r="AA1618" s="202" t="str">
        <f t="shared" si="26"/>
        <v>Соль</v>
      </c>
    </row>
    <row r="1619" spans="1:27" ht="15" customHeight="1" x14ac:dyDescent="0.25">
      <c r="A1619" t="s">
        <v>153</v>
      </c>
      <c r="L1619"/>
      <c r="M1619"/>
      <c r="N1619"/>
      <c r="O1619"/>
      <c r="P1619"/>
      <c r="T1619">
        <v>1316</v>
      </c>
      <c r="U1619" s="7">
        <v>3</v>
      </c>
      <c r="V1619" t="s">
        <v>613</v>
      </c>
      <c r="W1619" s="257">
        <v>3.3</v>
      </c>
      <c r="X1619" t="s">
        <v>144</v>
      </c>
      <c r="Y1619" s="316" t="s">
        <v>61</v>
      </c>
      <c r="Z1619" s="8">
        <v>5</v>
      </c>
      <c r="AA1619" s="202" t="str">
        <f t="shared" si="26"/>
        <v>Масло растительное</v>
      </c>
    </row>
    <row r="1620" spans="1:27" ht="15" customHeight="1" x14ac:dyDescent="0.25">
      <c r="A1620" t="s">
        <v>153</v>
      </c>
      <c r="L1620"/>
      <c r="M1620"/>
      <c r="N1620"/>
      <c r="O1620"/>
      <c r="P1620"/>
      <c r="T1620">
        <v>1317</v>
      </c>
      <c r="U1620" s="7">
        <v>3</v>
      </c>
      <c r="V1620" t="s">
        <v>613</v>
      </c>
      <c r="W1620" s="257">
        <v>3.3</v>
      </c>
      <c r="X1620" t="s">
        <v>144</v>
      </c>
      <c r="Y1620" s="316" t="s">
        <v>434</v>
      </c>
      <c r="Z1620" s="8">
        <v>7</v>
      </c>
      <c r="AA1620" s="202" t="str">
        <f t="shared" si="26"/>
        <v>Мука пшеничная 1 с</v>
      </c>
    </row>
    <row r="1621" spans="1:27" ht="15" customHeight="1" x14ac:dyDescent="0.25">
      <c r="A1621" t="s">
        <v>153</v>
      </c>
      <c r="L1621"/>
      <c r="M1621"/>
      <c r="N1621"/>
      <c r="O1621"/>
      <c r="P1621"/>
      <c r="T1621">
        <v>1318</v>
      </c>
      <c r="U1621" s="7">
        <v>3</v>
      </c>
      <c r="V1621" t="s">
        <v>613</v>
      </c>
      <c r="W1621" s="257">
        <v>3.3</v>
      </c>
      <c r="X1621" t="s">
        <v>144</v>
      </c>
      <c r="Y1621" s="316" t="s">
        <v>484</v>
      </c>
      <c r="Z1621" s="8">
        <v>0.01</v>
      </c>
      <c r="AA1621" s="202" t="str">
        <f t="shared" si="26"/>
        <v>Перец черный</v>
      </c>
    </row>
    <row r="1622" spans="1:27" ht="15" customHeight="1" x14ac:dyDescent="0.25">
      <c r="A1622" t="s">
        <v>153</v>
      </c>
      <c r="L1622"/>
      <c r="M1622"/>
      <c r="N1622"/>
      <c r="O1622"/>
      <c r="P1622"/>
      <c r="T1622">
        <v>1319</v>
      </c>
      <c r="U1622" s="7">
        <v>3</v>
      </c>
      <c r="V1622" t="s">
        <v>613</v>
      </c>
      <c r="W1622" s="257">
        <v>3.3</v>
      </c>
      <c r="X1622" t="s">
        <v>144</v>
      </c>
      <c r="Y1622" s="316" t="s">
        <v>558</v>
      </c>
      <c r="Z1622" s="8">
        <v>86</v>
      </c>
      <c r="AA1622" s="202" t="str">
        <f t="shared" si="26"/>
        <v>Общая масса готового блюда, г</v>
      </c>
    </row>
    <row r="1623" spans="1:27" ht="15" customHeight="1" x14ac:dyDescent="0.25">
      <c r="A1623" t="s">
        <v>153</v>
      </c>
      <c r="L1623"/>
      <c r="M1623"/>
      <c r="N1623"/>
      <c r="O1623"/>
      <c r="P1623"/>
      <c r="T1623">
        <v>1319</v>
      </c>
      <c r="U1623" s="7">
        <v>3</v>
      </c>
      <c r="V1623" t="s">
        <v>613</v>
      </c>
      <c r="W1623" s="257">
        <v>3.3</v>
      </c>
      <c r="X1623" t="s">
        <v>144</v>
      </c>
      <c r="Y1623" s="316" t="s">
        <v>1214</v>
      </c>
      <c r="Z1623" s="8">
        <v>86</v>
      </c>
      <c r="AA1623" s="202" t="str">
        <f t="shared" si="26"/>
        <v>Масса мясных и рыбных порций, г</v>
      </c>
    </row>
    <row r="1624" spans="1:27" ht="15" customHeight="1" x14ac:dyDescent="0.25">
      <c r="A1624" t="s">
        <v>153</v>
      </c>
      <c r="L1624"/>
      <c r="M1624"/>
      <c r="N1624"/>
      <c r="O1624"/>
      <c r="P1624"/>
      <c r="T1624">
        <v>1356</v>
      </c>
      <c r="U1624" s="7">
        <v>3</v>
      </c>
      <c r="V1624" t="s">
        <v>613</v>
      </c>
      <c r="W1624" s="257" t="s">
        <v>770</v>
      </c>
      <c r="X1624" t="s">
        <v>771</v>
      </c>
      <c r="Y1624" s="316" t="s">
        <v>464</v>
      </c>
      <c r="Z1624" s="8">
        <v>120</v>
      </c>
      <c r="AA1624" s="202" t="str">
        <f t="shared" si="26"/>
        <v>Горбуша б/г</v>
      </c>
    </row>
    <row r="1625" spans="1:27" ht="15" customHeight="1" x14ac:dyDescent="0.25">
      <c r="A1625" t="s">
        <v>153</v>
      </c>
      <c r="L1625"/>
      <c r="M1625"/>
      <c r="N1625"/>
      <c r="O1625"/>
      <c r="P1625"/>
      <c r="T1625">
        <v>1357</v>
      </c>
      <c r="U1625" s="7">
        <v>3</v>
      </c>
      <c r="V1625" t="s">
        <v>613</v>
      </c>
      <c r="W1625" s="257" t="s">
        <v>770</v>
      </c>
      <c r="X1625" t="s">
        <v>771</v>
      </c>
      <c r="Y1625" s="316" t="s">
        <v>326</v>
      </c>
      <c r="Z1625" s="8">
        <v>2</v>
      </c>
      <c r="AA1625" s="202" t="str">
        <f t="shared" si="26"/>
        <v>Соль</v>
      </c>
    </row>
    <row r="1626" spans="1:27" ht="15" customHeight="1" x14ac:dyDescent="0.25">
      <c r="A1626" t="s">
        <v>153</v>
      </c>
      <c r="L1626"/>
      <c r="M1626"/>
      <c r="N1626"/>
      <c r="O1626"/>
      <c r="P1626"/>
      <c r="T1626">
        <v>1358</v>
      </c>
      <c r="U1626" s="7">
        <v>3</v>
      </c>
      <c r="V1626" t="s">
        <v>613</v>
      </c>
      <c r="W1626" s="257" t="s">
        <v>770</v>
      </c>
      <c r="X1626" t="s">
        <v>771</v>
      </c>
      <c r="Y1626" s="316" t="s">
        <v>61</v>
      </c>
      <c r="Z1626" s="8">
        <v>5</v>
      </c>
      <c r="AA1626" s="202" t="str">
        <f t="shared" si="26"/>
        <v>Масло растительное</v>
      </c>
    </row>
    <row r="1627" spans="1:27" ht="15" customHeight="1" x14ac:dyDescent="0.25">
      <c r="A1627" t="s">
        <v>153</v>
      </c>
      <c r="L1627"/>
      <c r="M1627"/>
      <c r="N1627"/>
      <c r="O1627"/>
      <c r="P1627"/>
      <c r="T1627">
        <v>1359</v>
      </c>
      <c r="U1627" s="7">
        <v>3</v>
      </c>
      <c r="V1627" t="s">
        <v>613</v>
      </c>
      <c r="W1627" s="257" t="s">
        <v>770</v>
      </c>
      <c r="X1627" t="s">
        <v>771</v>
      </c>
      <c r="Y1627" s="316" t="s">
        <v>434</v>
      </c>
      <c r="Z1627" s="8">
        <v>7</v>
      </c>
      <c r="AA1627" s="202" t="str">
        <f t="shared" si="26"/>
        <v>Мука пшеничная 1 с</v>
      </c>
    </row>
    <row r="1628" spans="1:27" ht="15" customHeight="1" x14ac:dyDescent="0.25">
      <c r="A1628" t="s">
        <v>153</v>
      </c>
      <c r="L1628"/>
      <c r="M1628"/>
      <c r="N1628"/>
      <c r="O1628"/>
      <c r="P1628"/>
      <c r="T1628">
        <v>1360</v>
      </c>
      <c r="U1628" s="7">
        <v>3</v>
      </c>
      <c r="V1628" t="s">
        <v>613</v>
      </c>
      <c r="W1628" s="257" t="s">
        <v>770</v>
      </c>
      <c r="X1628" t="s">
        <v>771</v>
      </c>
      <c r="Y1628" s="316" t="s">
        <v>484</v>
      </c>
      <c r="Z1628" s="8">
        <v>0.01</v>
      </c>
      <c r="AA1628" s="202" t="str">
        <f t="shared" si="26"/>
        <v>Перец черный</v>
      </c>
    </row>
    <row r="1629" spans="1:27" ht="15" customHeight="1" x14ac:dyDescent="0.25">
      <c r="A1629" t="s">
        <v>153</v>
      </c>
      <c r="L1629"/>
      <c r="M1629"/>
      <c r="N1629"/>
      <c r="O1629"/>
      <c r="P1629"/>
      <c r="T1629">
        <v>1361</v>
      </c>
      <c r="U1629" s="7">
        <v>3</v>
      </c>
      <c r="V1629" t="s">
        <v>613</v>
      </c>
      <c r="W1629" s="257" t="s">
        <v>770</v>
      </c>
      <c r="X1629" t="s">
        <v>771</v>
      </c>
      <c r="Y1629" s="316" t="s">
        <v>558</v>
      </c>
      <c r="Z1629" s="8">
        <v>92</v>
      </c>
      <c r="AA1629" s="202" t="str">
        <f t="shared" si="26"/>
        <v>Общая масса готового блюда, г</v>
      </c>
    </row>
    <row r="1630" spans="1:27" ht="15" customHeight="1" x14ac:dyDescent="0.25">
      <c r="A1630" t="s">
        <v>153</v>
      </c>
      <c r="L1630"/>
      <c r="M1630"/>
      <c r="N1630"/>
      <c r="O1630"/>
      <c r="P1630"/>
      <c r="T1630">
        <v>1361</v>
      </c>
      <c r="U1630" s="7">
        <v>3</v>
      </c>
      <c r="V1630" t="s">
        <v>613</v>
      </c>
      <c r="W1630" s="257" t="s">
        <v>770</v>
      </c>
      <c r="X1630" t="s">
        <v>771</v>
      </c>
      <c r="Y1630" s="316" t="s">
        <v>1214</v>
      </c>
      <c r="Z1630" s="8">
        <v>92.4</v>
      </c>
      <c r="AA1630" s="202" t="str">
        <f t="shared" si="26"/>
        <v>Масса мясных и рыбных порций, г</v>
      </c>
    </row>
    <row r="1631" spans="1:27" ht="15" customHeight="1" x14ac:dyDescent="0.25">
      <c r="A1631" t="s">
        <v>153</v>
      </c>
      <c r="L1631"/>
      <c r="M1631"/>
      <c r="N1631"/>
      <c r="O1631"/>
      <c r="P1631"/>
      <c r="T1631">
        <v>1350</v>
      </c>
      <c r="U1631" s="7">
        <v>3</v>
      </c>
      <c r="V1631" t="s">
        <v>613</v>
      </c>
      <c r="W1631" s="257" t="s">
        <v>772</v>
      </c>
      <c r="X1631" t="s">
        <v>773</v>
      </c>
      <c r="Y1631" s="316" t="s">
        <v>465</v>
      </c>
      <c r="Z1631" s="8">
        <v>150</v>
      </c>
      <c r="AA1631" s="202" t="str">
        <f t="shared" si="26"/>
        <v>Горбуша с/г</v>
      </c>
    </row>
    <row r="1632" spans="1:27" ht="15" customHeight="1" x14ac:dyDescent="0.25">
      <c r="A1632" t="s">
        <v>153</v>
      </c>
      <c r="L1632"/>
      <c r="M1632"/>
      <c r="N1632"/>
      <c r="O1632"/>
      <c r="P1632"/>
      <c r="T1632">
        <v>1351</v>
      </c>
      <c r="U1632" s="7">
        <v>3</v>
      </c>
      <c r="V1632" t="s">
        <v>613</v>
      </c>
      <c r="W1632" s="257" t="s">
        <v>772</v>
      </c>
      <c r="X1632" t="s">
        <v>773</v>
      </c>
      <c r="Y1632" s="316" t="s">
        <v>326</v>
      </c>
      <c r="Z1632" s="8">
        <v>2</v>
      </c>
      <c r="AA1632" s="202" t="str">
        <f t="shared" si="26"/>
        <v>Соль</v>
      </c>
    </row>
    <row r="1633" spans="1:27" ht="15" customHeight="1" x14ac:dyDescent="0.25">
      <c r="A1633" t="s">
        <v>153</v>
      </c>
      <c r="L1633"/>
      <c r="M1633"/>
      <c r="N1633"/>
      <c r="O1633"/>
      <c r="P1633"/>
      <c r="T1633">
        <v>1352</v>
      </c>
      <c r="U1633" s="7">
        <v>3</v>
      </c>
      <c r="V1633" t="s">
        <v>613</v>
      </c>
      <c r="W1633" s="257" t="s">
        <v>772</v>
      </c>
      <c r="X1633" t="s">
        <v>773</v>
      </c>
      <c r="Y1633" s="316" t="s">
        <v>61</v>
      </c>
      <c r="Z1633" s="8">
        <v>5</v>
      </c>
      <c r="AA1633" s="202" t="str">
        <f t="shared" si="26"/>
        <v>Масло растительное</v>
      </c>
    </row>
    <row r="1634" spans="1:27" ht="15" customHeight="1" x14ac:dyDescent="0.25">
      <c r="A1634" t="s">
        <v>153</v>
      </c>
      <c r="L1634"/>
      <c r="M1634"/>
      <c r="N1634"/>
      <c r="O1634"/>
      <c r="P1634"/>
      <c r="T1634">
        <v>1353</v>
      </c>
      <c r="U1634" s="7">
        <v>3</v>
      </c>
      <c r="V1634" t="s">
        <v>613</v>
      </c>
      <c r="W1634" s="257" t="s">
        <v>772</v>
      </c>
      <c r="X1634" t="s">
        <v>773</v>
      </c>
      <c r="Y1634" s="316" t="s">
        <v>434</v>
      </c>
      <c r="Z1634" s="8">
        <v>7</v>
      </c>
      <c r="AA1634" s="202" t="str">
        <f t="shared" si="26"/>
        <v>Мука пшеничная 1 с</v>
      </c>
    </row>
    <row r="1635" spans="1:27" ht="15" customHeight="1" x14ac:dyDescent="0.25">
      <c r="A1635" t="s">
        <v>153</v>
      </c>
      <c r="L1635"/>
      <c r="M1635"/>
      <c r="N1635"/>
      <c r="O1635"/>
      <c r="P1635"/>
      <c r="T1635">
        <v>1354</v>
      </c>
      <c r="U1635" s="7">
        <v>3</v>
      </c>
      <c r="V1635" t="s">
        <v>613</v>
      </c>
      <c r="W1635" s="257" t="s">
        <v>772</v>
      </c>
      <c r="X1635" t="s">
        <v>773</v>
      </c>
      <c r="Y1635" s="316" t="s">
        <v>484</v>
      </c>
      <c r="Z1635" s="8">
        <v>0.01</v>
      </c>
      <c r="AA1635" s="202" t="str">
        <f t="shared" si="26"/>
        <v>Перец черный</v>
      </c>
    </row>
    <row r="1636" spans="1:27" ht="15" customHeight="1" x14ac:dyDescent="0.25">
      <c r="A1636" t="s">
        <v>153</v>
      </c>
      <c r="L1636"/>
      <c r="M1636"/>
      <c r="N1636"/>
      <c r="O1636"/>
      <c r="P1636"/>
      <c r="T1636">
        <v>1355</v>
      </c>
      <c r="U1636" s="7">
        <v>3</v>
      </c>
      <c r="V1636" t="s">
        <v>613</v>
      </c>
      <c r="W1636" s="257" t="s">
        <v>772</v>
      </c>
      <c r="X1636" t="s">
        <v>773</v>
      </c>
      <c r="Y1636" s="316" t="s">
        <v>558</v>
      </c>
      <c r="Z1636" s="8">
        <v>92.4</v>
      </c>
      <c r="AA1636" s="202" t="str">
        <f t="shared" si="26"/>
        <v>Общая масса готового блюда, г</v>
      </c>
    </row>
    <row r="1637" spans="1:27" ht="15" customHeight="1" x14ac:dyDescent="0.25">
      <c r="A1637" t="s">
        <v>153</v>
      </c>
      <c r="L1637"/>
      <c r="M1637"/>
      <c r="N1637"/>
      <c r="O1637"/>
      <c r="P1637"/>
      <c r="T1637">
        <v>1355</v>
      </c>
      <c r="U1637" s="7">
        <v>3</v>
      </c>
      <c r="V1637" t="s">
        <v>613</v>
      </c>
      <c r="W1637" s="257" t="s">
        <v>772</v>
      </c>
      <c r="X1637" t="s">
        <v>773</v>
      </c>
      <c r="Y1637" s="316" t="s">
        <v>1214</v>
      </c>
      <c r="Z1637" s="8">
        <v>92.4</v>
      </c>
      <c r="AA1637" s="202" t="str">
        <f t="shared" si="26"/>
        <v>Масса мясных и рыбных порций, г</v>
      </c>
    </row>
    <row r="1638" spans="1:27" ht="15" customHeight="1" x14ac:dyDescent="0.25">
      <c r="A1638" t="s">
        <v>153</v>
      </c>
      <c r="L1638"/>
      <c r="M1638"/>
      <c r="N1638"/>
      <c r="O1638"/>
      <c r="P1638"/>
      <c r="T1638">
        <v>1344</v>
      </c>
      <c r="U1638" s="7">
        <v>3</v>
      </c>
      <c r="V1638" t="s">
        <v>613</v>
      </c>
      <c r="W1638" s="257" t="s">
        <v>774</v>
      </c>
      <c r="X1638" t="s">
        <v>775</v>
      </c>
      <c r="Y1638" s="316" t="s">
        <v>1218</v>
      </c>
      <c r="Z1638" s="8">
        <v>120</v>
      </c>
      <c r="AA1638" s="202" t="str">
        <f t="shared" si="26"/>
        <v>Камбала б/г</v>
      </c>
    </row>
    <row r="1639" spans="1:27" ht="15" customHeight="1" x14ac:dyDescent="0.25">
      <c r="A1639" t="s">
        <v>153</v>
      </c>
      <c r="L1639"/>
      <c r="M1639"/>
      <c r="N1639"/>
      <c r="O1639"/>
      <c r="P1639"/>
      <c r="T1639">
        <v>1345</v>
      </c>
      <c r="U1639" s="7">
        <v>3</v>
      </c>
      <c r="V1639" t="s">
        <v>613</v>
      </c>
      <c r="W1639" s="257" t="s">
        <v>774</v>
      </c>
      <c r="X1639" t="s">
        <v>775</v>
      </c>
      <c r="Y1639" s="316" t="s">
        <v>326</v>
      </c>
      <c r="Z1639" s="8">
        <v>2</v>
      </c>
      <c r="AA1639" s="202" t="str">
        <f t="shared" si="26"/>
        <v>Соль</v>
      </c>
    </row>
    <row r="1640" spans="1:27" ht="15" customHeight="1" x14ac:dyDescent="0.25">
      <c r="A1640" t="s">
        <v>153</v>
      </c>
      <c r="L1640"/>
      <c r="M1640"/>
      <c r="N1640"/>
      <c r="O1640"/>
      <c r="P1640"/>
      <c r="T1640">
        <v>1346</v>
      </c>
      <c r="U1640" s="7">
        <v>3</v>
      </c>
      <c r="V1640" t="s">
        <v>613</v>
      </c>
      <c r="W1640" s="257" t="s">
        <v>774</v>
      </c>
      <c r="X1640" t="s">
        <v>775</v>
      </c>
      <c r="Y1640" s="316" t="s">
        <v>61</v>
      </c>
      <c r="Z1640" s="8">
        <v>5</v>
      </c>
      <c r="AA1640" s="202" t="str">
        <f t="shared" si="26"/>
        <v>Масло растительное</v>
      </c>
    </row>
    <row r="1641" spans="1:27" ht="15" customHeight="1" x14ac:dyDescent="0.25">
      <c r="A1641" t="s">
        <v>153</v>
      </c>
      <c r="L1641"/>
      <c r="M1641"/>
      <c r="N1641"/>
      <c r="O1641"/>
      <c r="P1641"/>
      <c r="T1641">
        <v>1347</v>
      </c>
      <c r="U1641" s="7">
        <v>3</v>
      </c>
      <c r="V1641" t="s">
        <v>613</v>
      </c>
      <c r="W1641" s="257" t="s">
        <v>774</v>
      </c>
      <c r="X1641" t="s">
        <v>775</v>
      </c>
      <c r="Y1641" s="316" t="s">
        <v>434</v>
      </c>
      <c r="Z1641" s="8">
        <v>7</v>
      </c>
      <c r="AA1641" s="202" t="str">
        <f t="shared" si="26"/>
        <v>Мука пшеничная 1 с</v>
      </c>
    </row>
    <row r="1642" spans="1:27" ht="15" customHeight="1" x14ac:dyDescent="0.25">
      <c r="A1642" t="s">
        <v>153</v>
      </c>
      <c r="L1642"/>
      <c r="M1642"/>
      <c r="N1642"/>
      <c r="O1642"/>
      <c r="P1642"/>
      <c r="T1642">
        <v>1348</v>
      </c>
      <c r="U1642" s="7">
        <v>3</v>
      </c>
      <c r="V1642" t="s">
        <v>613</v>
      </c>
      <c r="W1642" s="257" t="s">
        <v>774</v>
      </c>
      <c r="X1642" t="s">
        <v>775</v>
      </c>
      <c r="Y1642" s="316" t="s">
        <v>484</v>
      </c>
      <c r="Z1642" s="8">
        <v>0.01</v>
      </c>
      <c r="AA1642" s="202" t="str">
        <f t="shared" si="26"/>
        <v>Перец черный</v>
      </c>
    </row>
    <row r="1643" spans="1:27" ht="15" customHeight="1" x14ac:dyDescent="0.25">
      <c r="A1643" t="s">
        <v>153</v>
      </c>
      <c r="L1643"/>
      <c r="M1643"/>
      <c r="N1643"/>
      <c r="O1643"/>
      <c r="P1643"/>
      <c r="T1643">
        <v>1349</v>
      </c>
      <c r="U1643" s="7">
        <v>3</v>
      </c>
      <c r="V1643" t="s">
        <v>613</v>
      </c>
      <c r="W1643" s="257" t="s">
        <v>774</v>
      </c>
      <c r="X1643" t="s">
        <v>775</v>
      </c>
      <c r="Y1643" s="316" t="s">
        <v>558</v>
      </c>
      <c r="Z1643" s="8">
        <v>71.918000000000006</v>
      </c>
      <c r="AA1643" s="202" t="str">
        <f t="shared" si="26"/>
        <v>Общая масса готового блюда, г</v>
      </c>
    </row>
    <row r="1644" spans="1:27" ht="15" customHeight="1" x14ac:dyDescent="0.25">
      <c r="A1644" t="s">
        <v>153</v>
      </c>
      <c r="L1644"/>
      <c r="M1644"/>
      <c r="N1644"/>
      <c r="O1644"/>
      <c r="P1644"/>
      <c r="T1644">
        <v>1349</v>
      </c>
      <c r="U1644" s="7">
        <v>3</v>
      </c>
      <c r="V1644" t="s">
        <v>613</v>
      </c>
      <c r="W1644" s="257" t="s">
        <v>774</v>
      </c>
      <c r="X1644" t="s">
        <v>775</v>
      </c>
      <c r="Y1644" s="316" t="s">
        <v>1214</v>
      </c>
      <c r="Z1644" s="8">
        <v>71.918000000000006</v>
      </c>
      <c r="AA1644" s="202" t="str">
        <f t="shared" si="26"/>
        <v>Масса мясных и рыбных порций, г</v>
      </c>
    </row>
    <row r="1645" spans="1:27" ht="15" customHeight="1" x14ac:dyDescent="0.25">
      <c r="A1645" t="s">
        <v>153</v>
      </c>
      <c r="L1645"/>
      <c r="M1645"/>
      <c r="N1645"/>
      <c r="O1645"/>
      <c r="P1645"/>
      <c r="T1645">
        <v>1332</v>
      </c>
      <c r="U1645" s="7">
        <v>3</v>
      </c>
      <c r="V1645" t="s">
        <v>613</v>
      </c>
      <c r="W1645" s="257" t="s">
        <v>776</v>
      </c>
      <c r="X1645" t="s">
        <v>777</v>
      </c>
      <c r="Y1645" s="316" t="s">
        <v>466</v>
      </c>
      <c r="Z1645" s="8">
        <v>120</v>
      </c>
      <c r="AA1645" s="202" t="str">
        <f t="shared" si="26"/>
        <v>Навага б/г</v>
      </c>
    </row>
    <row r="1646" spans="1:27" ht="15" customHeight="1" x14ac:dyDescent="0.25">
      <c r="A1646" t="s">
        <v>153</v>
      </c>
      <c r="L1646"/>
      <c r="M1646"/>
      <c r="N1646"/>
      <c r="O1646"/>
      <c r="P1646"/>
      <c r="T1646">
        <v>1333</v>
      </c>
      <c r="U1646" s="7">
        <v>3</v>
      </c>
      <c r="V1646" t="s">
        <v>613</v>
      </c>
      <c r="W1646" s="257" t="s">
        <v>776</v>
      </c>
      <c r="X1646" t="s">
        <v>777</v>
      </c>
      <c r="Y1646" s="316" t="s">
        <v>326</v>
      </c>
      <c r="Z1646" s="8">
        <v>2</v>
      </c>
      <c r="AA1646" s="202" t="str">
        <f t="shared" si="26"/>
        <v>Соль</v>
      </c>
    </row>
    <row r="1647" spans="1:27" ht="15" customHeight="1" x14ac:dyDescent="0.25">
      <c r="A1647" t="s">
        <v>153</v>
      </c>
      <c r="L1647"/>
      <c r="M1647"/>
      <c r="N1647"/>
      <c r="O1647"/>
      <c r="P1647"/>
      <c r="T1647">
        <v>1334</v>
      </c>
      <c r="U1647" s="7">
        <v>3</v>
      </c>
      <c r="V1647" t="s">
        <v>613</v>
      </c>
      <c r="W1647" s="257" t="s">
        <v>776</v>
      </c>
      <c r="X1647" t="s">
        <v>777</v>
      </c>
      <c r="Y1647" s="316" t="s">
        <v>61</v>
      </c>
      <c r="Z1647" s="8">
        <v>5</v>
      </c>
      <c r="AA1647" s="202" t="str">
        <f t="shared" si="26"/>
        <v>Масло растительное</v>
      </c>
    </row>
    <row r="1648" spans="1:27" ht="15" customHeight="1" x14ac:dyDescent="0.25">
      <c r="A1648" t="s">
        <v>153</v>
      </c>
      <c r="L1648"/>
      <c r="M1648"/>
      <c r="N1648"/>
      <c r="O1648"/>
      <c r="P1648"/>
      <c r="T1648">
        <v>1335</v>
      </c>
      <c r="U1648" s="7">
        <v>3</v>
      </c>
      <c r="V1648" t="s">
        <v>613</v>
      </c>
      <c r="W1648" s="257" t="s">
        <v>776</v>
      </c>
      <c r="X1648" t="s">
        <v>777</v>
      </c>
      <c r="Y1648" s="316" t="s">
        <v>434</v>
      </c>
      <c r="Z1648" s="8">
        <v>7</v>
      </c>
      <c r="AA1648" s="202" t="str">
        <f t="shared" si="26"/>
        <v>Мука пшеничная 1 с</v>
      </c>
    </row>
    <row r="1649" spans="1:27" ht="15" customHeight="1" x14ac:dyDescent="0.25">
      <c r="A1649" t="s">
        <v>153</v>
      </c>
      <c r="L1649"/>
      <c r="M1649"/>
      <c r="N1649"/>
      <c r="O1649"/>
      <c r="P1649"/>
      <c r="T1649">
        <v>1336</v>
      </c>
      <c r="U1649" s="7">
        <v>3</v>
      </c>
      <c r="V1649" t="s">
        <v>613</v>
      </c>
      <c r="W1649" s="257" t="s">
        <v>776</v>
      </c>
      <c r="X1649" t="s">
        <v>777</v>
      </c>
      <c r="Y1649" s="316" t="s">
        <v>484</v>
      </c>
      <c r="Z1649" s="8">
        <v>0.01</v>
      </c>
      <c r="AA1649" s="202" t="str">
        <f t="shared" si="26"/>
        <v>Перец черный</v>
      </c>
    </row>
    <row r="1650" spans="1:27" ht="15" customHeight="1" x14ac:dyDescent="0.25">
      <c r="A1650" t="s">
        <v>153</v>
      </c>
      <c r="L1650"/>
      <c r="M1650"/>
      <c r="N1650"/>
      <c r="O1650"/>
      <c r="P1650"/>
      <c r="T1650">
        <v>1337</v>
      </c>
      <c r="U1650" s="7">
        <v>3</v>
      </c>
      <c r="V1650" t="s">
        <v>613</v>
      </c>
      <c r="W1650" s="257" t="s">
        <v>776</v>
      </c>
      <c r="X1650" t="s">
        <v>777</v>
      </c>
      <c r="Y1650" s="316" t="s">
        <v>558</v>
      </c>
      <c r="Z1650" s="8">
        <v>70.751999999999995</v>
      </c>
      <c r="AA1650" s="202" t="str">
        <f t="shared" si="26"/>
        <v>Общая масса готового блюда, г</v>
      </c>
    </row>
    <row r="1651" spans="1:27" ht="15" customHeight="1" x14ac:dyDescent="0.25">
      <c r="A1651" t="s">
        <v>153</v>
      </c>
      <c r="L1651"/>
      <c r="M1651"/>
      <c r="N1651"/>
      <c r="O1651"/>
      <c r="P1651"/>
      <c r="T1651">
        <v>1337</v>
      </c>
      <c r="U1651" s="7">
        <v>3</v>
      </c>
      <c r="V1651" t="s">
        <v>613</v>
      </c>
      <c r="W1651" s="257" t="s">
        <v>776</v>
      </c>
      <c r="X1651" t="s">
        <v>777</v>
      </c>
      <c r="Y1651" s="316" t="s">
        <v>1214</v>
      </c>
      <c r="Z1651" s="8">
        <v>70.751999999999995</v>
      </c>
      <c r="AA1651" s="202" t="str">
        <f t="shared" si="26"/>
        <v>Масса мясных и рыбных порций, г</v>
      </c>
    </row>
    <row r="1652" spans="1:27" ht="15" customHeight="1" x14ac:dyDescent="0.25">
      <c r="A1652" t="s">
        <v>153</v>
      </c>
      <c r="L1652"/>
      <c r="M1652"/>
      <c r="N1652"/>
      <c r="O1652"/>
      <c r="P1652"/>
      <c r="T1652">
        <v>1326</v>
      </c>
      <c r="U1652" s="7">
        <v>3</v>
      </c>
      <c r="V1652" t="s">
        <v>613</v>
      </c>
      <c r="W1652" s="257" t="s">
        <v>778</v>
      </c>
      <c r="X1652" t="s">
        <v>779</v>
      </c>
      <c r="Y1652" s="316" t="s">
        <v>467</v>
      </c>
      <c r="Z1652" s="8">
        <v>120</v>
      </c>
      <c r="AA1652" s="202" t="str">
        <f t="shared" si="26"/>
        <v>Пикша б/г</v>
      </c>
    </row>
    <row r="1653" spans="1:27" ht="15" customHeight="1" x14ac:dyDescent="0.25">
      <c r="A1653" t="s">
        <v>153</v>
      </c>
      <c r="L1653"/>
      <c r="M1653"/>
      <c r="N1653"/>
      <c r="O1653"/>
      <c r="P1653"/>
      <c r="T1653">
        <v>1327</v>
      </c>
      <c r="U1653" s="7">
        <v>3</v>
      </c>
      <c r="V1653" t="s">
        <v>613</v>
      </c>
      <c r="W1653" s="257" t="s">
        <v>778</v>
      </c>
      <c r="X1653" t="s">
        <v>779</v>
      </c>
      <c r="Y1653" s="316" t="s">
        <v>326</v>
      </c>
      <c r="Z1653" s="8">
        <v>2</v>
      </c>
      <c r="AA1653" s="202" t="str">
        <f t="shared" si="26"/>
        <v>Соль</v>
      </c>
    </row>
    <row r="1654" spans="1:27" ht="15" customHeight="1" x14ac:dyDescent="0.25">
      <c r="A1654" t="s">
        <v>153</v>
      </c>
      <c r="L1654"/>
      <c r="M1654"/>
      <c r="N1654"/>
      <c r="O1654"/>
      <c r="P1654"/>
      <c r="T1654">
        <v>1328</v>
      </c>
      <c r="U1654" s="7">
        <v>3</v>
      </c>
      <c r="V1654" t="s">
        <v>613</v>
      </c>
      <c r="W1654" s="257" t="s">
        <v>778</v>
      </c>
      <c r="X1654" t="s">
        <v>779</v>
      </c>
      <c r="Y1654" s="316" t="s">
        <v>61</v>
      </c>
      <c r="Z1654" s="8">
        <v>5</v>
      </c>
      <c r="AA1654" s="202" t="str">
        <f t="shared" si="26"/>
        <v>Масло растительное</v>
      </c>
    </row>
    <row r="1655" spans="1:27" ht="15" customHeight="1" x14ac:dyDescent="0.25">
      <c r="A1655" t="s">
        <v>153</v>
      </c>
      <c r="L1655"/>
      <c r="M1655"/>
      <c r="N1655"/>
      <c r="O1655"/>
      <c r="P1655"/>
      <c r="T1655">
        <v>1329</v>
      </c>
      <c r="U1655" s="7">
        <v>3</v>
      </c>
      <c r="V1655" t="s">
        <v>613</v>
      </c>
      <c r="W1655" s="257" t="s">
        <v>778</v>
      </c>
      <c r="X1655" t="s">
        <v>779</v>
      </c>
      <c r="Y1655" s="316" t="s">
        <v>434</v>
      </c>
      <c r="Z1655" s="8">
        <v>7</v>
      </c>
      <c r="AA1655" s="202" t="str">
        <f t="shared" si="26"/>
        <v>Мука пшеничная 1 с</v>
      </c>
    </row>
    <row r="1656" spans="1:27" ht="15" customHeight="1" x14ac:dyDescent="0.25">
      <c r="A1656" t="s">
        <v>153</v>
      </c>
      <c r="L1656"/>
      <c r="M1656"/>
      <c r="N1656"/>
      <c r="O1656"/>
      <c r="P1656"/>
      <c r="T1656">
        <v>1330</v>
      </c>
      <c r="U1656" s="7">
        <v>3</v>
      </c>
      <c r="V1656" t="s">
        <v>613</v>
      </c>
      <c r="W1656" s="257" t="s">
        <v>778</v>
      </c>
      <c r="X1656" t="s">
        <v>779</v>
      </c>
      <c r="Y1656" s="316" t="s">
        <v>484</v>
      </c>
      <c r="Z1656" s="8">
        <v>0.01</v>
      </c>
      <c r="AA1656" s="202" t="str">
        <f t="shared" si="26"/>
        <v>Перец черный</v>
      </c>
    </row>
    <row r="1657" spans="1:27" ht="15" customHeight="1" x14ac:dyDescent="0.25">
      <c r="A1657" t="s">
        <v>153</v>
      </c>
      <c r="L1657"/>
      <c r="M1657"/>
      <c r="N1657"/>
      <c r="O1657"/>
      <c r="P1657"/>
      <c r="T1657">
        <v>1331</v>
      </c>
      <c r="U1657" s="7">
        <v>3</v>
      </c>
      <c r="V1657" t="s">
        <v>613</v>
      </c>
      <c r="W1657" s="257" t="s">
        <v>778</v>
      </c>
      <c r="X1657" t="s">
        <v>779</v>
      </c>
      <c r="Y1657" s="316" t="s">
        <v>558</v>
      </c>
      <c r="Z1657" s="8">
        <v>88.8</v>
      </c>
      <c r="AA1657" s="202" t="str">
        <f t="shared" si="26"/>
        <v>Общая масса готового блюда, г</v>
      </c>
    </row>
    <row r="1658" spans="1:27" ht="15" customHeight="1" x14ac:dyDescent="0.25">
      <c r="A1658" t="s">
        <v>153</v>
      </c>
      <c r="L1658"/>
      <c r="M1658"/>
      <c r="N1658"/>
      <c r="O1658"/>
      <c r="P1658"/>
      <c r="T1658">
        <v>1331</v>
      </c>
      <c r="U1658" s="7">
        <v>3</v>
      </c>
      <c r="V1658" t="s">
        <v>613</v>
      </c>
      <c r="W1658" s="257" t="s">
        <v>778</v>
      </c>
      <c r="X1658" t="s">
        <v>779</v>
      </c>
      <c r="Y1658" s="316" t="s">
        <v>1214</v>
      </c>
      <c r="Z1658" s="8">
        <v>88.8</v>
      </c>
      <c r="AA1658" s="202" t="str">
        <f t="shared" si="26"/>
        <v>Масса мясных и рыбных порций, г</v>
      </c>
    </row>
    <row r="1659" spans="1:27" ht="15" customHeight="1" x14ac:dyDescent="0.25">
      <c r="A1659" t="s">
        <v>153</v>
      </c>
      <c r="L1659"/>
      <c r="M1659"/>
      <c r="N1659"/>
      <c r="O1659"/>
      <c r="P1659"/>
      <c r="T1659">
        <v>1362</v>
      </c>
      <c r="U1659" s="7">
        <v>3</v>
      </c>
      <c r="V1659" t="s">
        <v>613</v>
      </c>
      <c r="W1659" s="257" t="s">
        <v>780</v>
      </c>
      <c r="X1659" t="s">
        <v>781</v>
      </c>
      <c r="Y1659" s="316" t="s">
        <v>469</v>
      </c>
      <c r="Z1659" s="8">
        <v>120</v>
      </c>
      <c r="AA1659" s="202" t="str">
        <f t="shared" si="26"/>
        <v>Сайда б/г</v>
      </c>
    </row>
    <row r="1660" spans="1:27" ht="15" customHeight="1" x14ac:dyDescent="0.25">
      <c r="A1660" t="s">
        <v>153</v>
      </c>
      <c r="L1660"/>
      <c r="M1660"/>
      <c r="N1660"/>
      <c r="O1660"/>
      <c r="P1660"/>
      <c r="T1660">
        <v>1363</v>
      </c>
      <c r="U1660" s="7">
        <v>3</v>
      </c>
      <c r="V1660" t="s">
        <v>613</v>
      </c>
      <c r="W1660" s="257" t="s">
        <v>780</v>
      </c>
      <c r="X1660" t="s">
        <v>781</v>
      </c>
      <c r="Y1660" s="316" t="s">
        <v>326</v>
      </c>
      <c r="Z1660" s="8">
        <v>2</v>
      </c>
      <c r="AA1660" s="202" t="str">
        <f t="shared" si="26"/>
        <v>Соль</v>
      </c>
    </row>
    <row r="1661" spans="1:27" ht="15" customHeight="1" x14ac:dyDescent="0.25">
      <c r="A1661" t="s">
        <v>153</v>
      </c>
      <c r="L1661"/>
      <c r="M1661"/>
      <c r="N1661"/>
      <c r="O1661"/>
      <c r="P1661"/>
      <c r="T1661">
        <v>1364</v>
      </c>
      <c r="U1661" s="7">
        <v>3</v>
      </c>
      <c r="V1661" t="s">
        <v>613</v>
      </c>
      <c r="W1661" s="257" t="s">
        <v>780</v>
      </c>
      <c r="X1661" t="s">
        <v>781</v>
      </c>
      <c r="Y1661" s="316" t="s">
        <v>61</v>
      </c>
      <c r="Z1661" s="8">
        <v>5</v>
      </c>
      <c r="AA1661" s="202" t="str">
        <f t="shared" si="26"/>
        <v>Масло растительное</v>
      </c>
    </row>
    <row r="1662" spans="1:27" ht="15" customHeight="1" x14ac:dyDescent="0.25">
      <c r="A1662" t="s">
        <v>153</v>
      </c>
      <c r="L1662"/>
      <c r="M1662"/>
      <c r="N1662"/>
      <c r="O1662"/>
      <c r="P1662"/>
      <c r="T1662">
        <v>1365</v>
      </c>
      <c r="U1662" s="7">
        <v>3</v>
      </c>
      <c r="V1662" t="s">
        <v>613</v>
      </c>
      <c r="W1662" s="257" t="s">
        <v>780</v>
      </c>
      <c r="X1662" t="s">
        <v>781</v>
      </c>
      <c r="Y1662" s="316" t="s">
        <v>434</v>
      </c>
      <c r="Z1662" s="8">
        <v>7</v>
      </c>
      <c r="AA1662" s="202" t="str">
        <f t="shared" si="26"/>
        <v>Мука пшеничная 1 с</v>
      </c>
    </row>
    <row r="1663" spans="1:27" ht="15" customHeight="1" x14ac:dyDescent="0.25">
      <c r="A1663" t="s">
        <v>153</v>
      </c>
      <c r="L1663"/>
      <c r="M1663"/>
      <c r="N1663"/>
      <c r="O1663"/>
      <c r="P1663"/>
      <c r="T1663">
        <v>1366</v>
      </c>
      <c r="U1663" s="7">
        <v>3</v>
      </c>
      <c r="V1663" t="s">
        <v>613</v>
      </c>
      <c r="W1663" s="257" t="s">
        <v>780</v>
      </c>
      <c r="X1663" t="s">
        <v>781</v>
      </c>
      <c r="Y1663" s="316" t="s">
        <v>484</v>
      </c>
      <c r="Z1663" s="8">
        <v>0.01</v>
      </c>
      <c r="AA1663" s="202" t="str">
        <f t="shared" si="26"/>
        <v>Перец черный</v>
      </c>
    </row>
    <row r="1664" spans="1:27" ht="15" customHeight="1" x14ac:dyDescent="0.25">
      <c r="A1664" t="s">
        <v>153</v>
      </c>
      <c r="L1664"/>
      <c r="M1664"/>
      <c r="N1664"/>
      <c r="O1664"/>
      <c r="P1664"/>
      <c r="T1664">
        <v>1367</v>
      </c>
      <c r="U1664" s="7">
        <v>3</v>
      </c>
      <c r="V1664" t="s">
        <v>613</v>
      </c>
      <c r="W1664" s="257" t="s">
        <v>780</v>
      </c>
      <c r="X1664" t="s">
        <v>781</v>
      </c>
      <c r="Y1664" s="316" t="s">
        <v>558</v>
      </c>
      <c r="Z1664" s="8">
        <v>90</v>
      </c>
      <c r="AA1664" s="202" t="str">
        <f t="shared" si="26"/>
        <v>Общая масса готового блюда, г</v>
      </c>
    </row>
    <row r="1665" spans="1:27" ht="15" customHeight="1" x14ac:dyDescent="0.25">
      <c r="A1665" t="s">
        <v>153</v>
      </c>
      <c r="L1665"/>
      <c r="M1665"/>
      <c r="N1665"/>
      <c r="O1665"/>
      <c r="P1665"/>
      <c r="T1665">
        <v>1367</v>
      </c>
      <c r="U1665" s="7">
        <v>3</v>
      </c>
      <c r="V1665" t="s">
        <v>613</v>
      </c>
      <c r="W1665" s="257" t="s">
        <v>780</v>
      </c>
      <c r="X1665" t="s">
        <v>781</v>
      </c>
      <c r="Y1665" s="316" t="s">
        <v>1214</v>
      </c>
      <c r="Z1665" s="8">
        <v>90</v>
      </c>
      <c r="AA1665" s="202" t="str">
        <f t="shared" si="26"/>
        <v>Масса мясных и рыбных порций, г</v>
      </c>
    </row>
    <row r="1666" spans="1:27" ht="15" customHeight="1" x14ac:dyDescent="0.25">
      <c r="A1666" t="s">
        <v>153</v>
      </c>
      <c r="L1666"/>
      <c r="M1666"/>
      <c r="N1666"/>
      <c r="O1666"/>
      <c r="P1666"/>
      <c r="T1666">
        <v>1338</v>
      </c>
      <c r="U1666" s="7">
        <v>3</v>
      </c>
      <c r="V1666" t="s">
        <v>613</v>
      </c>
      <c r="W1666" s="257" t="s">
        <v>782</v>
      </c>
      <c r="X1666" t="s">
        <v>783</v>
      </c>
      <c r="Y1666" t="s">
        <v>514</v>
      </c>
      <c r="Z1666" s="8">
        <v>120</v>
      </c>
      <c r="AA1666" s="202" t="str">
        <f t="shared" ref="AA1666:AA1729" si="27">VLOOKUP(Y1666,O:P,2,FALSE)</f>
        <v>Сом с/г</v>
      </c>
    </row>
    <row r="1667" spans="1:27" ht="15" customHeight="1" x14ac:dyDescent="0.25">
      <c r="A1667" t="s">
        <v>153</v>
      </c>
      <c r="L1667"/>
      <c r="M1667"/>
      <c r="N1667"/>
      <c r="O1667"/>
      <c r="P1667"/>
      <c r="T1667">
        <v>1339</v>
      </c>
      <c r="U1667" s="7">
        <v>3</v>
      </c>
      <c r="V1667" t="s">
        <v>613</v>
      </c>
      <c r="W1667" s="257" t="s">
        <v>782</v>
      </c>
      <c r="X1667" t="s">
        <v>783</v>
      </c>
      <c r="Y1667" s="316" t="s">
        <v>326</v>
      </c>
      <c r="Z1667" s="8">
        <v>2</v>
      </c>
      <c r="AA1667" s="202" t="str">
        <f t="shared" si="27"/>
        <v>Соль</v>
      </c>
    </row>
    <row r="1668" spans="1:27" ht="15" customHeight="1" x14ac:dyDescent="0.25">
      <c r="A1668" t="s">
        <v>153</v>
      </c>
      <c r="L1668"/>
      <c r="M1668"/>
      <c r="N1668"/>
      <c r="O1668"/>
      <c r="P1668"/>
      <c r="T1668">
        <v>1340</v>
      </c>
      <c r="U1668" s="7">
        <v>3</v>
      </c>
      <c r="V1668" t="s">
        <v>613</v>
      </c>
      <c r="W1668" s="257" t="s">
        <v>782</v>
      </c>
      <c r="X1668" t="s">
        <v>783</v>
      </c>
      <c r="Y1668" s="316" t="s">
        <v>61</v>
      </c>
      <c r="Z1668" s="8">
        <v>5</v>
      </c>
      <c r="AA1668" s="202" t="str">
        <f t="shared" si="27"/>
        <v>Масло растительное</v>
      </c>
    </row>
    <row r="1669" spans="1:27" ht="15" customHeight="1" x14ac:dyDescent="0.25">
      <c r="A1669" t="s">
        <v>153</v>
      </c>
      <c r="L1669"/>
      <c r="M1669"/>
      <c r="N1669"/>
      <c r="O1669"/>
      <c r="P1669"/>
      <c r="T1669">
        <v>1341</v>
      </c>
      <c r="U1669" s="7">
        <v>3</v>
      </c>
      <c r="V1669" t="s">
        <v>613</v>
      </c>
      <c r="W1669" s="257" t="s">
        <v>782</v>
      </c>
      <c r="X1669" t="s">
        <v>783</v>
      </c>
      <c r="Y1669" s="316" t="s">
        <v>434</v>
      </c>
      <c r="Z1669" s="8">
        <v>7</v>
      </c>
      <c r="AA1669" s="202" t="str">
        <f t="shared" si="27"/>
        <v>Мука пшеничная 1 с</v>
      </c>
    </row>
    <row r="1670" spans="1:27" ht="15" customHeight="1" x14ac:dyDescent="0.25">
      <c r="A1670" t="s">
        <v>153</v>
      </c>
      <c r="L1670"/>
      <c r="M1670"/>
      <c r="N1670"/>
      <c r="O1670"/>
      <c r="P1670"/>
      <c r="T1670">
        <v>1342</v>
      </c>
      <c r="U1670" s="7">
        <v>3</v>
      </c>
      <c r="V1670" t="s">
        <v>613</v>
      </c>
      <c r="W1670" s="257" t="s">
        <v>782</v>
      </c>
      <c r="X1670" t="s">
        <v>783</v>
      </c>
      <c r="Y1670" s="316" t="s">
        <v>484</v>
      </c>
      <c r="Z1670" s="8">
        <v>0.01</v>
      </c>
      <c r="AA1670" s="202" t="str">
        <f t="shared" si="27"/>
        <v>Перец черный</v>
      </c>
    </row>
    <row r="1671" spans="1:27" ht="15" customHeight="1" x14ac:dyDescent="0.25">
      <c r="A1671" t="s">
        <v>153</v>
      </c>
      <c r="L1671"/>
      <c r="M1671"/>
      <c r="N1671"/>
      <c r="O1671"/>
      <c r="P1671"/>
      <c r="T1671">
        <v>1343</v>
      </c>
      <c r="U1671" s="7">
        <v>3</v>
      </c>
      <c r="V1671" t="s">
        <v>613</v>
      </c>
      <c r="W1671" s="257" t="s">
        <v>782</v>
      </c>
      <c r="X1671" t="s">
        <v>783</v>
      </c>
      <c r="Y1671" s="316" t="s">
        <v>558</v>
      </c>
      <c r="Z1671" s="8">
        <v>54</v>
      </c>
      <c r="AA1671" s="202" t="str">
        <f t="shared" si="27"/>
        <v>Общая масса готового блюда, г</v>
      </c>
    </row>
    <row r="1672" spans="1:27" ht="15" customHeight="1" x14ac:dyDescent="0.25">
      <c r="A1672" t="s">
        <v>153</v>
      </c>
      <c r="L1672"/>
      <c r="M1672"/>
      <c r="N1672"/>
      <c r="O1672"/>
      <c r="P1672"/>
      <c r="T1672">
        <v>1343</v>
      </c>
      <c r="U1672" s="7">
        <v>3</v>
      </c>
      <c r="V1672" t="s">
        <v>613</v>
      </c>
      <c r="W1672" s="257" t="s">
        <v>782</v>
      </c>
      <c r="X1672" t="s">
        <v>783</v>
      </c>
      <c r="Y1672" s="316" t="s">
        <v>1214</v>
      </c>
      <c r="Z1672" s="8">
        <v>54</v>
      </c>
      <c r="AA1672" s="202" t="str">
        <f t="shared" si="27"/>
        <v>Масса мясных и рыбных порций, г</v>
      </c>
    </row>
    <row r="1673" spans="1:27" ht="15" customHeight="1" x14ac:dyDescent="0.25">
      <c r="A1673" t="s">
        <v>153</v>
      </c>
      <c r="L1673"/>
      <c r="M1673"/>
      <c r="N1673"/>
      <c r="O1673"/>
      <c r="P1673"/>
      <c r="T1673">
        <v>1320</v>
      </c>
      <c r="U1673" s="7">
        <v>3</v>
      </c>
      <c r="V1673" t="s">
        <v>613</v>
      </c>
      <c r="W1673" s="257" t="s">
        <v>784</v>
      </c>
      <c r="X1673" t="s">
        <v>785</v>
      </c>
      <c r="Y1673" s="316" t="s">
        <v>544</v>
      </c>
      <c r="Z1673" s="8">
        <v>120</v>
      </c>
      <c r="AA1673" s="202" t="str">
        <f t="shared" si="27"/>
        <v>Треска б/г</v>
      </c>
    </row>
    <row r="1674" spans="1:27" ht="15" customHeight="1" x14ac:dyDescent="0.25">
      <c r="A1674" t="s">
        <v>153</v>
      </c>
      <c r="L1674"/>
      <c r="M1674"/>
      <c r="N1674"/>
      <c r="O1674"/>
      <c r="P1674"/>
      <c r="T1674">
        <v>1321</v>
      </c>
      <c r="U1674" s="7">
        <v>3</v>
      </c>
      <c r="V1674" t="s">
        <v>613</v>
      </c>
      <c r="W1674" s="257" t="s">
        <v>784</v>
      </c>
      <c r="X1674" t="s">
        <v>785</v>
      </c>
      <c r="Y1674" s="316" t="s">
        <v>326</v>
      </c>
      <c r="Z1674" s="8">
        <v>2</v>
      </c>
      <c r="AA1674" s="202" t="str">
        <f t="shared" si="27"/>
        <v>Соль</v>
      </c>
    </row>
    <row r="1675" spans="1:27" ht="15" customHeight="1" x14ac:dyDescent="0.25">
      <c r="A1675" t="s">
        <v>153</v>
      </c>
      <c r="L1675"/>
      <c r="M1675"/>
      <c r="N1675"/>
      <c r="O1675"/>
      <c r="P1675"/>
      <c r="T1675">
        <v>1322</v>
      </c>
      <c r="U1675" s="7">
        <v>3</v>
      </c>
      <c r="V1675" t="s">
        <v>613</v>
      </c>
      <c r="W1675" s="257" t="s">
        <v>784</v>
      </c>
      <c r="X1675" t="s">
        <v>785</v>
      </c>
      <c r="Y1675" s="316" t="s">
        <v>61</v>
      </c>
      <c r="Z1675" s="8">
        <v>5</v>
      </c>
      <c r="AA1675" s="202" t="str">
        <f t="shared" si="27"/>
        <v>Масло растительное</v>
      </c>
    </row>
    <row r="1676" spans="1:27" ht="15" customHeight="1" x14ac:dyDescent="0.25">
      <c r="A1676" t="s">
        <v>153</v>
      </c>
      <c r="L1676"/>
      <c r="M1676"/>
      <c r="N1676"/>
      <c r="O1676"/>
      <c r="P1676"/>
      <c r="T1676">
        <v>1323</v>
      </c>
      <c r="U1676" s="7">
        <v>3</v>
      </c>
      <c r="V1676" t="s">
        <v>613</v>
      </c>
      <c r="W1676" s="257" t="s">
        <v>784</v>
      </c>
      <c r="X1676" t="s">
        <v>785</v>
      </c>
      <c r="Y1676" s="316" t="s">
        <v>434</v>
      </c>
      <c r="Z1676" s="8">
        <v>7</v>
      </c>
      <c r="AA1676" s="202" t="str">
        <f t="shared" si="27"/>
        <v>Мука пшеничная 1 с</v>
      </c>
    </row>
    <row r="1677" spans="1:27" ht="15" customHeight="1" x14ac:dyDescent="0.25">
      <c r="A1677" t="s">
        <v>153</v>
      </c>
      <c r="L1677"/>
      <c r="M1677"/>
      <c r="N1677"/>
      <c r="O1677"/>
      <c r="P1677"/>
      <c r="T1677">
        <v>1324</v>
      </c>
      <c r="U1677" s="7">
        <v>3</v>
      </c>
      <c r="V1677" t="s">
        <v>613</v>
      </c>
      <c r="W1677" s="257" t="s">
        <v>784</v>
      </c>
      <c r="X1677" t="s">
        <v>785</v>
      </c>
      <c r="Y1677" s="316" t="s">
        <v>484</v>
      </c>
      <c r="Z1677" s="8">
        <v>0.01</v>
      </c>
      <c r="AA1677" s="202" t="str">
        <f t="shared" si="27"/>
        <v>Перец черный</v>
      </c>
    </row>
    <row r="1678" spans="1:27" ht="15" customHeight="1" x14ac:dyDescent="0.25">
      <c r="A1678" t="s">
        <v>153</v>
      </c>
      <c r="L1678"/>
      <c r="M1678"/>
      <c r="N1678"/>
      <c r="O1678"/>
      <c r="P1678"/>
      <c r="T1678">
        <v>1325</v>
      </c>
      <c r="U1678" s="7">
        <v>3</v>
      </c>
      <c r="V1678" t="s">
        <v>613</v>
      </c>
      <c r="W1678" s="257" t="s">
        <v>784</v>
      </c>
      <c r="X1678" t="s">
        <v>785</v>
      </c>
      <c r="Y1678" s="316" t="s">
        <v>558</v>
      </c>
      <c r="Z1678" s="8">
        <v>88.8</v>
      </c>
      <c r="AA1678" s="202" t="str">
        <f t="shared" si="27"/>
        <v>Общая масса готового блюда, г</v>
      </c>
    </row>
    <row r="1679" spans="1:27" ht="15" customHeight="1" x14ac:dyDescent="0.25">
      <c r="A1679" t="s">
        <v>153</v>
      </c>
      <c r="L1679"/>
      <c r="M1679"/>
      <c r="N1679"/>
      <c r="O1679"/>
      <c r="P1679"/>
      <c r="T1679">
        <v>1325</v>
      </c>
      <c r="U1679" s="7">
        <v>3</v>
      </c>
      <c r="V1679" t="s">
        <v>613</v>
      </c>
      <c r="W1679" s="257" t="s">
        <v>784</v>
      </c>
      <c r="X1679" t="s">
        <v>785</v>
      </c>
      <c r="Y1679" s="316" t="s">
        <v>1214</v>
      </c>
      <c r="Z1679" s="8">
        <v>88.8</v>
      </c>
      <c r="AA1679" s="202" t="str">
        <f t="shared" si="27"/>
        <v>Масса мясных и рыбных порций, г</v>
      </c>
    </row>
    <row r="1680" spans="1:27" ht="15" customHeight="1" x14ac:dyDescent="0.25">
      <c r="A1680" t="s">
        <v>153</v>
      </c>
      <c r="L1680"/>
      <c r="M1680"/>
      <c r="N1680"/>
      <c r="O1680"/>
      <c r="P1680"/>
      <c r="T1680">
        <v>1380</v>
      </c>
      <c r="U1680" s="7">
        <v>3</v>
      </c>
      <c r="V1680" t="s">
        <v>613</v>
      </c>
      <c r="W1680" s="257" t="s">
        <v>786</v>
      </c>
      <c r="X1680" t="s">
        <v>787</v>
      </c>
      <c r="Y1680" s="316" t="s">
        <v>517</v>
      </c>
      <c r="Z1680" s="8">
        <v>120</v>
      </c>
      <c r="AA1680" s="202" t="str">
        <f t="shared" si="27"/>
        <v>Хек б/г</v>
      </c>
    </row>
    <row r="1681" spans="1:27" ht="15" customHeight="1" x14ac:dyDescent="0.25">
      <c r="A1681" t="s">
        <v>153</v>
      </c>
      <c r="L1681"/>
      <c r="M1681"/>
      <c r="N1681"/>
      <c r="O1681"/>
      <c r="P1681"/>
      <c r="T1681">
        <v>1381</v>
      </c>
      <c r="U1681" s="7">
        <v>3</v>
      </c>
      <c r="V1681" t="s">
        <v>613</v>
      </c>
      <c r="W1681" s="257" t="s">
        <v>786</v>
      </c>
      <c r="X1681" t="s">
        <v>787</v>
      </c>
      <c r="Y1681" s="316" t="s">
        <v>326</v>
      </c>
      <c r="Z1681" s="8">
        <v>2</v>
      </c>
      <c r="AA1681" s="202" t="str">
        <f t="shared" si="27"/>
        <v>Соль</v>
      </c>
    </row>
    <row r="1682" spans="1:27" ht="15" customHeight="1" x14ac:dyDescent="0.25">
      <c r="A1682" t="s">
        <v>153</v>
      </c>
      <c r="L1682"/>
      <c r="M1682"/>
      <c r="N1682"/>
      <c r="O1682"/>
      <c r="P1682"/>
      <c r="T1682">
        <v>1382</v>
      </c>
      <c r="U1682" s="7">
        <v>3</v>
      </c>
      <c r="V1682" t="s">
        <v>613</v>
      </c>
      <c r="W1682" s="257" t="s">
        <v>786</v>
      </c>
      <c r="X1682" t="s">
        <v>787</v>
      </c>
      <c r="Y1682" s="316" t="s">
        <v>61</v>
      </c>
      <c r="Z1682" s="8">
        <v>5</v>
      </c>
      <c r="AA1682" s="202" t="str">
        <f t="shared" si="27"/>
        <v>Масло растительное</v>
      </c>
    </row>
    <row r="1683" spans="1:27" ht="15" customHeight="1" x14ac:dyDescent="0.25">
      <c r="A1683" t="s">
        <v>153</v>
      </c>
      <c r="L1683"/>
      <c r="M1683"/>
      <c r="N1683"/>
      <c r="O1683"/>
      <c r="P1683"/>
      <c r="T1683">
        <v>1383</v>
      </c>
      <c r="U1683" s="7">
        <v>3</v>
      </c>
      <c r="V1683" t="s">
        <v>613</v>
      </c>
      <c r="W1683" s="257" t="s">
        <v>786</v>
      </c>
      <c r="X1683" t="s">
        <v>787</v>
      </c>
      <c r="Y1683" s="316" t="s">
        <v>434</v>
      </c>
      <c r="Z1683" s="8">
        <v>7</v>
      </c>
      <c r="AA1683" s="202" t="str">
        <f t="shared" si="27"/>
        <v>Мука пшеничная 1 с</v>
      </c>
    </row>
    <row r="1684" spans="1:27" ht="15" customHeight="1" x14ac:dyDescent="0.25">
      <c r="A1684" t="s">
        <v>153</v>
      </c>
      <c r="L1684"/>
      <c r="M1684"/>
      <c r="N1684"/>
      <c r="O1684"/>
      <c r="P1684"/>
      <c r="T1684">
        <v>1384</v>
      </c>
      <c r="U1684" s="7">
        <v>3</v>
      </c>
      <c r="V1684" t="s">
        <v>613</v>
      </c>
      <c r="W1684" s="257" t="s">
        <v>786</v>
      </c>
      <c r="X1684" t="s">
        <v>787</v>
      </c>
      <c r="Y1684" s="316" t="s">
        <v>484</v>
      </c>
      <c r="Z1684" s="8">
        <v>0.01</v>
      </c>
      <c r="AA1684" s="202" t="str">
        <f t="shared" si="27"/>
        <v>Перец черный</v>
      </c>
    </row>
    <row r="1685" spans="1:27" ht="15" customHeight="1" x14ac:dyDescent="0.25">
      <c r="A1685" t="s">
        <v>153</v>
      </c>
      <c r="L1685"/>
      <c r="M1685"/>
      <c r="N1685"/>
      <c r="O1685"/>
      <c r="P1685"/>
      <c r="T1685">
        <v>1385</v>
      </c>
      <c r="U1685" s="7">
        <v>3</v>
      </c>
      <c r="V1685" t="s">
        <v>613</v>
      </c>
      <c r="W1685" s="257" t="s">
        <v>786</v>
      </c>
      <c r="X1685" t="s">
        <v>787</v>
      </c>
      <c r="Y1685" s="316" t="s">
        <v>558</v>
      </c>
      <c r="Z1685" s="8">
        <v>100.20399999999999</v>
      </c>
      <c r="AA1685" s="202" t="str">
        <f t="shared" si="27"/>
        <v>Общая масса готового блюда, г</v>
      </c>
    </row>
    <row r="1686" spans="1:27" ht="15" customHeight="1" x14ac:dyDescent="0.25">
      <c r="A1686" t="s">
        <v>153</v>
      </c>
      <c r="L1686"/>
      <c r="M1686"/>
      <c r="N1686"/>
      <c r="O1686"/>
      <c r="P1686"/>
      <c r="T1686">
        <v>1385</v>
      </c>
      <c r="U1686" s="7">
        <v>3</v>
      </c>
      <c r="V1686" t="s">
        <v>613</v>
      </c>
      <c r="W1686" s="257" t="s">
        <v>786</v>
      </c>
      <c r="X1686" t="s">
        <v>787</v>
      </c>
      <c r="Y1686" s="316" t="s">
        <v>1214</v>
      </c>
      <c r="Z1686" s="8">
        <v>100.20399999999999</v>
      </c>
      <c r="AA1686" s="202" t="str">
        <f t="shared" si="27"/>
        <v>Масса мясных и рыбных порций, г</v>
      </c>
    </row>
    <row r="1687" spans="1:27" ht="15" customHeight="1" x14ac:dyDescent="0.25">
      <c r="A1687" t="s">
        <v>153</v>
      </c>
      <c r="L1687"/>
      <c r="M1687"/>
      <c r="N1687"/>
      <c r="O1687"/>
      <c r="P1687"/>
      <c r="T1687">
        <v>1374</v>
      </c>
      <c r="U1687" s="7">
        <v>3</v>
      </c>
      <c r="V1687" t="s">
        <v>613</v>
      </c>
      <c r="W1687" s="257" t="s">
        <v>788</v>
      </c>
      <c r="X1687" t="s">
        <v>789</v>
      </c>
      <c r="Y1687" s="316" t="s">
        <v>518</v>
      </c>
      <c r="Z1687" s="8">
        <v>120</v>
      </c>
      <c r="AA1687" s="202" t="str">
        <f t="shared" si="27"/>
        <v>Щука б/г</v>
      </c>
    </row>
    <row r="1688" spans="1:27" ht="15" customHeight="1" x14ac:dyDescent="0.25">
      <c r="A1688" t="s">
        <v>153</v>
      </c>
      <c r="L1688"/>
      <c r="M1688"/>
      <c r="N1688"/>
      <c r="O1688"/>
      <c r="P1688"/>
      <c r="T1688">
        <v>1375</v>
      </c>
      <c r="U1688" s="7">
        <v>3</v>
      </c>
      <c r="V1688" t="s">
        <v>613</v>
      </c>
      <c r="W1688" s="257" t="s">
        <v>788</v>
      </c>
      <c r="X1688" t="s">
        <v>789</v>
      </c>
      <c r="Y1688" s="316" t="s">
        <v>326</v>
      </c>
      <c r="Z1688" s="8">
        <v>2</v>
      </c>
      <c r="AA1688" s="202" t="str">
        <f t="shared" si="27"/>
        <v>Соль</v>
      </c>
    </row>
    <row r="1689" spans="1:27" ht="15" customHeight="1" x14ac:dyDescent="0.25">
      <c r="A1689" t="s">
        <v>153</v>
      </c>
      <c r="L1689"/>
      <c r="M1689"/>
      <c r="N1689"/>
      <c r="O1689"/>
      <c r="P1689"/>
      <c r="T1689">
        <v>1376</v>
      </c>
      <c r="U1689" s="7">
        <v>3</v>
      </c>
      <c r="V1689" t="s">
        <v>613</v>
      </c>
      <c r="W1689" s="257" t="s">
        <v>788</v>
      </c>
      <c r="X1689" t="s">
        <v>789</v>
      </c>
      <c r="Y1689" s="316" t="s">
        <v>61</v>
      </c>
      <c r="Z1689" s="8">
        <v>5</v>
      </c>
      <c r="AA1689" s="202" t="str">
        <f t="shared" si="27"/>
        <v>Масло растительное</v>
      </c>
    </row>
    <row r="1690" spans="1:27" ht="15" customHeight="1" x14ac:dyDescent="0.25">
      <c r="A1690" t="s">
        <v>153</v>
      </c>
      <c r="L1690"/>
      <c r="M1690"/>
      <c r="N1690"/>
      <c r="O1690"/>
      <c r="P1690"/>
      <c r="T1690">
        <v>1377</v>
      </c>
      <c r="U1690" s="7">
        <v>3</v>
      </c>
      <c r="V1690" t="s">
        <v>613</v>
      </c>
      <c r="W1690" s="257" t="s">
        <v>788</v>
      </c>
      <c r="X1690" t="s">
        <v>789</v>
      </c>
      <c r="Y1690" s="316" t="s">
        <v>434</v>
      </c>
      <c r="Z1690" s="8">
        <v>7</v>
      </c>
      <c r="AA1690" s="202" t="str">
        <f t="shared" si="27"/>
        <v>Мука пшеничная 1 с</v>
      </c>
    </row>
    <row r="1691" spans="1:27" ht="15" customHeight="1" x14ac:dyDescent="0.25">
      <c r="A1691" t="s">
        <v>153</v>
      </c>
      <c r="L1691"/>
      <c r="M1691"/>
      <c r="N1691"/>
      <c r="O1691"/>
      <c r="P1691"/>
      <c r="T1691">
        <v>1378</v>
      </c>
      <c r="U1691" s="7">
        <v>3</v>
      </c>
      <c r="V1691" t="s">
        <v>613</v>
      </c>
      <c r="W1691" s="257" t="s">
        <v>788</v>
      </c>
      <c r="X1691" t="s">
        <v>789</v>
      </c>
      <c r="Y1691" s="316" t="s">
        <v>484</v>
      </c>
      <c r="Z1691" s="8">
        <v>0.01</v>
      </c>
      <c r="AA1691" s="202" t="str">
        <f t="shared" si="27"/>
        <v>Перец черный</v>
      </c>
    </row>
    <row r="1692" spans="1:27" ht="15" customHeight="1" x14ac:dyDescent="0.25">
      <c r="A1692" t="s">
        <v>153</v>
      </c>
      <c r="L1692"/>
      <c r="M1692"/>
      <c r="N1692"/>
      <c r="O1692"/>
      <c r="P1692"/>
      <c r="T1692">
        <v>1379</v>
      </c>
      <c r="U1692" s="7">
        <v>3</v>
      </c>
      <c r="V1692" t="s">
        <v>613</v>
      </c>
      <c r="W1692" s="257" t="s">
        <v>788</v>
      </c>
      <c r="X1692" t="s">
        <v>789</v>
      </c>
      <c r="Y1692" s="316" t="s">
        <v>558</v>
      </c>
      <c r="Z1692" s="8">
        <v>87.412000000000006</v>
      </c>
      <c r="AA1692" s="202" t="str">
        <f t="shared" si="27"/>
        <v>Общая масса готового блюда, г</v>
      </c>
    </row>
    <row r="1693" spans="1:27" ht="15" customHeight="1" x14ac:dyDescent="0.25">
      <c r="A1693" t="s">
        <v>153</v>
      </c>
      <c r="L1693"/>
      <c r="M1693"/>
      <c r="N1693"/>
      <c r="O1693"/>
      <c r="P1693"/>
      <c r="T1693">
        <v>1379</v>
      </c>
      <c r="U1693" s="7">
        <v>3</v>
      </c>
      <c r="V1693" t="s">
        <v>613</v>
      </c>
      <c r="W1693" s="257" t="s">
        <v>788</v>
      </c>
      <c r="X1693" t="s">
        <v>789</v>
      </c>
      <c r="Y1693" s="316" t="s">
        <v>1214</v>
      </c>
      <c r="Z1693" s="8">
        <v>87</v>
      </c>
      <c r="AA1693" s="202" t="str">
        <f t="shared" si="27"/>
        <v>Масса мясных и рыбных порций, г</v>
      </c>
    </row>
    <row r="1694" spans="1:27" ht="15" customHeight="1" x14ac:dyDescent="0.25">
      <c r="A1694" t="s">
        <v>153</v>
      </c>
      <c r="L1694"/>
      <c r="M1694"/>
      <c r="N1694"/>
      <c r="O1694"/>
      <c r="P1694"/>
      <c r="T1694">
        <v>1368</v>
      </c>
      <c r="U1694" s="7">
        <v>3</v>
      </c>
      <c r="V1694" t="s">
        <v>613</v>
      </c>
      <c r="W1694" s="257" t="s">
        <v>790</v>
      </c>
      <c r="X1694" t="s">
        <v>791</v>
      </c>
      <c r="Y1694" s="316" t="s">
        <v>519</v>
      </c>
      <c r="Z1694" s="8">
        <v>150</v>
      </c>
      <c r="AA1694" s="202" t="str">
        <f t="shared" si="27"/>
        <v>Щука с/г</v>
      </c>
    </row>
    <row r="1695" spans="1:27" ht="15" customHeight="1" x14ac:dyDescent="0.25">
      <c r="A1695" t="s">
        <v>153</v>
      </c>
      <c r="L1695"/>
      <c r="M1695"/>
      <c r="N1695"/>
      <c r="O1695"/>
      <c r="P1695"/>
      <c r="T1695">
        <v>1369</v>
      </c>
      <c r="U1695" s="7">
        <v>3</v>
      </c>
      <c r="V1695" t="s">
        <v>613</v>
      </c>
      <c r="W1695" s="257" t="s">
        <v>790</v>
      </c>
      <c r="X1695" t="s">
        <v>791</v>
      </c>
      <c r="Y1695" s="316" t="s">
        <v>326</v>
      </c>
      <c r="Z1695" s="8">
        <v>2</v>
      </c>
      <c r="AA1695" s="202" t="str">
        <f t="shared" si="27"/>
        <v>Соль</v>
      </c>
    </row>
    <row r="1696" spans="1:27" ht="15" customHeight="1" x14ac:dyDescent="0.25">
      <c r="A1696" t="s">
        <v>153</v>
      </c>
      <c r="L1696"/>
      <c r="M1696"/>
      <c r="N1696"/>
      <c r="O1696"/>
      <c r="P1696"/>
      <c r="T1696">
        <v>1370</v>
      </c>
      <c r="U1696" s="7">
        <v>3</v>
      </c>
      <c r="V1696" t="s">
        <v>613</v>
      </c>
      <c r="W1696" s="257" t="s">
        <v>790</v>
      </c>
      <c r="X1696" t="s">
        <v>791</v>
      </c>
      <c r="Y1696" s="316" t="s">
        <v>61</v>
      </c>
      <c r="Z1696" s="8">
        <v>5</v>
      </c>
      <c r="AA1696" s="202" t="str">
        <f t="shared" si="27"/>
        <v>Масло растительное</v>
      </c>
    </row>
    <row r="1697" spans="1:27" ht="15" customHeight="1" x14ac:dyDescent="0.25">
      <c r="A1697" t="s">
        <v>153</v>
      </c>
      <c r="L1697"/>
      <c r="M1697"/>
      <c r="N1697"/>
      <c r="O1697"/>
      <c r="P1697"/>
      <c r="T1697">
        <v>1371</v>
      </c>
      <c r="U1697" s="7">
        <v>3</v>
      </c>
      <c r="V1697" t="s">
        <v>613</v>
      </c>
      <c r="W1697" s="257" t="s">
        <v>790</v>
      </c>
      <c r="X1697" t="s">
        <v>791</v>
      </c>
      <c r="Y1697" s="316" t="s">
        <v>434</v>
      </c>
      <c r="Z1697" s="8">
        <v>7</v>
      </c>
      <c r="AA1697" s="202" t="str">
        <f t="shared" si="27"/>
        <v>Мука пшеничная 1 с</v>
      </c>
    </row>
    <row r="1698" spans="1:27" ht="15" customHeight="1" x14ac:dyDescent="0.25">
      <c r="A1698" t="s">
        <v>153</v>
      </c>
      <c r="L1698"/>
      <c r="M1698"/>
      <c r="N1698"/>
      <c r="O1698"/>
      <c r="P1698"/>
      <c r="T1698">
        <v>1372</v>
      </c>
      <c r="U1698" s="7">
        <v>3</v>
      </c>
      <c r="V1698" t="s">
        <v>613</v>
      </c>
      <c r="W1698" s="257" t="s">
        <v>790</v>
      </c>
      <c r="X1698" t="s">
        <v>791</v>
      </c>
      <c r="Y1698" s="316" t="s">
        <v>484</v>
      </c>
      <c r="Z1698" s="8">
        <v>0.01</v>
      </c>
      <c r="AA1698" s="202" t="str">
        <f t="shared" si="27"/>
        <v>Перец черный</v>
      </c>
    </row>
    <row r="1699" spans="1:27" ht="15" customHeight="1" x14ac:dyDescent="0.25">
      <c r="A1699" t="s">
        <v>153</v>
      </c>
      <c r="L1699"/>
      <c r="M1699"/>
      <c r="N1699"/>
      <c r="O1699"/>
      <c r="P1699"/>
      <c r="T1699">
        <v>1373</v>
      </c>
      <c r="U1699" s="7">
        <v>3</v>
      </c>
      <c r="V1699" t="s">
        <v>613</v>
      </c>
      <c r="W1699" s="257" t="s">
        <v>790</v>
      </c>
      <c r="X1699" t="s">
        <v>791</v>
      </c>
      <c r="Y1699" s="316" t="s">
        <v>558</v>
      </c>
      <c r="Z1699" s="8">
        <v>87</v>
      </c>
      <c r="AA1699" s="202" t="str">
        <f t="shared" si="27"/>
        <v>Общая масса готового блюда, г</v>
      </c>
    </row>
    <row r="1700" spans="1:27" ht="15" customHeight="1" x14ac:dyDescent="0.25">
      <c r="A1700" t="s">
        <v>153</v>
      </c>
      <c r="L1700"/>
      <c r="M1700"/>
      <c r="N1700"/>
      <c r="O1700"/>
      <c r="P1700"/>
      <c r="T1700">
        <v>1373</v>
      </c>
      <c r="U1700" s="7">
        <v>3</v>
      </c>
      <c r="V1700" t="s">
        <v>613</v>
      </c>
      <c r="W1700" s="257" t="s">
        <v>790</v>
      </c>
      <c r="X1700" t="s">
        <v>791</v>
      </c>
      <c r="Y1700" s="316" t="s">
        <v>1214</v>
      </c>
      <c r="Z1700" s="8">
        <v>87</v>
      </c>
      <c r="AA1700" s="202" t="str">
        <f t="shared" si="27"/>
        <v>Масса мясных и рыбных порций, г</v>
      </c>
    </row>
    <row r="1701" spans="1:27" ht="15" customHeight="1" x14ac:dyDescent="0.25">
      <c r="A1701" t="s">
        <v>153</v>
      </c>
      <c r="L1701"/>
      <c r="M1701"/>
      <c r="N1701"/>
      <c r="O1701"/>
      <c r="P1701"/>
      <c r="T1701">
        <v>2465</v>
      </c>
      <c r="U1701" s="7">
        <v>3</v>
      </c>
      <c r="V1701" t="s">
        <v>613</v>
      </c>
      <c r="W1701" s="257" t="s">
        <v>792</v>
      </c>
      <c r="X1701" t="s">
        <v>793</v>
      </c>
      <c r="Y1701" t="s">
        <v>794</v>
      </c>
      <c r="Z1701" s="8">
        <v>156</v>
      </c>
      <c r="AA1701" s="202" t="str">
        <f t="shared" si="27"/>
        <v>Горбуша с/г</v>
      </c>
    </row>
    <row r="1702" spans="1:27" ht="15" customHeight="1" x14ac:dyDescent="0.25">
      <c r="A1702" t="s">
        <v>153</v>
      </c>
      <c r="L1702"/>
      <c r="M1702"/>
      <c r="N1702"/>
      <c r="O1702"/>
      <c r="P1702"/>
      <c r="T1702">
        <v>2465</v>
      </c>
      <c r="U1702" s="7">
        <v>3</v>
      </c>
      <c r="V1702" t="s">
        <v>613</v>
      </c>
      <c r="W1702" s="257" t="s">
        <v>792</v>
      </c>
      <c r="X1702" t="s">
        <v>793</v>
      </c>
      <c r="Y1702" s="316" t="s">
        <v>61</v>
      </c>
      <c r="Z1702" s="8">
        <v>5</v>
      </c>
      <c r="AA1702" s="202" t="str">
        <f t="shared" si="27"/>
        <v>Масло растительное</v>
      </c>
    </row>
    <row r="1703" spans="1:27" ht="15" customHeight="1" x14ac:dyDescent="0.25">
      <c r="A1703" t="s">
        <v>153</v>
      </c>
      <c r="L1703"/>
      <c r="M1703"/>
      <c r="N1703"/>
      <c r="O1703"/>
      <c r="P1703"/>
      <c r="T1703">
        <v>2465</v>
      </c>
      <c r="U1703" s="7">
        <v>3</v>
      </c>
      <c r="V1703" t="s">
        <v>613</v>
      </c>
      <c r="W1703" s="257" t="s">
        <v>792</v>
      </c>
      <c r="X1703" t="s">
        <v>793</v>
      </c>
      <c r="Y1703" s="316" t="s">
        <v>32</v>
      </c>
      <c r="Z1703" s="8">
        <v>20</v>
      </c>
      <c r="AA1703" s="202" t="str">
        <f t="shared" si="27"/>
        <v>Лук репчатый</v>
      </c>
    </row>
    <row r="1704" spans="1:27" ht="15" customHeight="1" x14ac:dyDescent="0.25">
      <c r="A1704" t="s">
        <v>153</v>
      </c>
      <c r="L1704"/>
      <c r="M1704"/>
      <c r="N1704"/>
      <c r="O1704"/>
      <c r="P1704"/>
      <c r="T1704">
        <v>2465</v>
      </c>
      <c r="U1704" s="7">
        <v>3</v>
      </c>
      <c r="V1704" t="s">
        <v>613</v>
      </c>
      <c r="W1704" s="257" t="s">
        <v>792</v>
      </c>
      <c r="X1704" t="s">
        <v>793</v>
      </c>
      <c r="Y1704" s="316" t="s">
        <v>434</v>
      </c>
      <c r="Z1704" s="8">
        <v>1</v>
      </c>
      <c r="AA1704" s="202" t="str">
        <f t="shared" si="27"/>
        <v>Мука пшеничная 1 с</v>
      </c>
    </row>
    <row r="1705" spans="1:27" ht="15" customHeight="1" x14ac:dyDescent="0.25">
      <c r="A1705" t="s">
        <v>153</v>
      </c>
      <c r="L1705"/>
      <c r="M1705"/>
      <c r="N1705"/>
      <c r="O1705"/>
      <c r="P1705"/>
      <c r="T1705">
        <v>2465</v>
      </c>
      <c r="U1705" s="7">
        <v>3</v>
      </c>
      <c r="V1705" t="s">
        <v>613</v>
      </c>
      <c r="W1705" s="257" t="s">
        <v>792</v>
      </c>
      <c r="X1705" t="s">
        <v>793</v>
      </c>
      <c r="Y1705" s="316" t="s">
        <v>326</v>
      </c>
      <c r="Z1705" s="8">
        <v>2</v>
      </c>
      <c r="AA1705" s="202" t="str">
        <f t="shared" si="27"/>
        <v>Соль</v>
      </c>
    </row>
    <row r="1706" spans="1:27" ht="15" customHeight="1" x14ac:dyDescent="0.25">
      <c r="A1706" t="s">
        <v>153</v>
      </c>
      <c r="L1706"/>
      <c r="M1706"/>
      <c r="N1706"/>
      <c r="O1706"/>
      <c r="P1706"/>
      <c r="T1706">
        <v>2465</v>
      </c>
      <c r="U1706" s="7">
        <v>3</v>
      </c>
      <c r="V1706" t="s">
        <v>613</v>
      </c>
      <c r="W1706" s="257" t="s">
        <v>792</v>
      </c>
      <c r="X1706" t="s">
        <v>793</v>
      </c>
      <c r="Y1706" s="316" t="s">
        <v>558</v>
      </c>
      <c r="Z1706" s="8">
        <v>98.820000000000007</v>
      </c>
      <c r="AA1706" s="202" t="str">
        <f t="shared" si="27"/>
        <v>Общая масса готового блюда, г</v>
      </c>
    </row>
    <row r="1707" spans="1:27" ht="15" customHeight="1" x14ac:dyDescent="0.25">
      <c r="A1707" t="s">
        <v>153</v>
      </c>
      <c r="L1707"/>
      <c r="M1707"/>
      <c r="N1707"/>
      <c r="O1707"/>
      <c r="P1707"/>
      <c r="T1707">
        <v>2465</v>
      </c>
      <c r="U1707" s="7">
        <v>3</v>
      </c>
      <c r="V1707" t="s">
        <v>613</v>
      </c>
      <c r="W1707" s="257" t="s">
        <v>792</v>
      </c>
      <c r="X1707" t="s">
        <v>793</v>
      </c>
      <c r="Y1707" s="316" t="s">
        <v>1214</v>
      </c>
      <c r="Z1707" s="8">
        <v>88</v>
      </c>
      <c r="AA1707" s="202" t="str">
        <f t="shared" si="27"/>
        <v>Масса мясных и рыбных порций, г</v>
      </c>
    </row>
    <row r="1708" spans="1:27" ht="15" customHeight="1" x14ac:dyDescent="0.25">
      <c r="A1708" t="s">
        <v>153</v>
      </c>
      <c r="L1708"/>
      <c r="M1708"/>
      <c r="N1708"/>
      <c r="O1708"/>
      <c r="P1708"/>
      <c r="T1708">
        <v>2465</v>
      </c>
      <c r="U1708" s="7">
        <v>3</v>
      </c>
      <c r="V1708" t="s">
        <v>613</v>
      </c>
      <c r="W1708" s="257" t="s">
        <v>795</v>
      </c>
      <c r="X1708" t="s">
        <v>796</v>
      </c>
      <c r="Y1708" t="s">
        <v>514</v>
      </c>
      <c r="Z1708" s="8">
        <v>130</v>
      </c>
      <c r="AA1708" s="202" t="str">
        <f t="shared" si="27"/>
        <v>Сом с/г</v>
      </c>
    </row>
    <row r="1709" spans="1:27" ht="15" customHeight="1" x14ac:dyDescent="0.25">
      <c r="A1709" t="s">
        <v>153</v>
      </c>
      <c r="L1709"/>
      <c r="M1709"/>
      <c r="N1709"/>
      <c r="O1709"/>
      <c r="P1709"/>
      <c r="T1709">
        <v>2465</v>
      </c>
      <c r="U1709" s="7">
        <v>3</v>
      </c>
      <c r="V1709" t="s">
        <v>613</v>
      </c>
      <c r="W1709" s="257" t="s">
        <v>795</v>
      </c>
      <c r="X1709" t="s">
        <v>796</v>
      </c>
      <c r="Y1709" s="316" t="s">
        <v>61</v>
      </c>
      <c r="Z1709" s="8">
        <v>5</v>
      </c>
      <c r="AA1709" s="202" t="str">
        <f t="shared" si="27"/>
        <v>Масло растительное</v>
      </c>
    </row>
    <row r="1710" spans="1:27" ht="15" customHeight="1" x14ac:dyDescent="0.25">
      <c r="A1710" t="s">
        <v>153</v>
      </c>
      <c r="L1710"/>
      <c r="M1710"/>
      <c r="N1710"/>
      <c r="O1710"/>
      <c r="P1710"/>
      <c r="T1710">
        <v>2465</v>
      </c>
      <c r="U1710" s="7">
        <v>3</v>
      </c>
      <c r="V1710" t="s">
        <v>613</v>
      </c>
      <c r="W1710" s="257" t="s">
        <v>795</v>
      </c>
      <c r="X1710" t="s">
        <v>796</v>
      </c>
      <c r="Y1710" s="316" t="s">
        <v>326</v>
      </c>
      <c r="Z1710" s="8">
        <v>2</v>
      </c>
      <c r="AA1710" s="202" t="str">
        <f t="shared" si="27"/>
        <v>Соль</v>
      </c>
    </row>
    <row r="1711" spans="1:27" ht="15" customHeight="1" x14ac:dyDescent="0.25">
      <c r="A1711" t="s">
        <v>153</v>
      </c>
      <c r="L1711"/>
      <c r="M1711"/>
      <c r="N1711"/>
      <c r="O1711"/>
      <c r="P1711"/>
      <c r="T1711">
        <v>2465</v>
      </c>
      <c r="U1711" s="7">
        <v>3</v>
      </c>
      <c r="V1711" t="s">
        <v>613</v>
      </c>
      <c r="W1711" s="257" t="s">
        <v>795</v>
      </c>
      <c r="X1711" t="s">
        <v>796</v>
      </c>
      <c r="Y1711" s="316" t="s">
        <v>438</v>
      </c>
      <c r="Z1711" s="8">
        <v>15</v>
      </c>
      <c r="AA1711" s="202" t="str">
        <f t="shared" si="27"/>
        <v>Хлеб из муки пш. 1 сорта</v>
      </c>
    </row>
    <row r="1712" spans="1:27" ht="15" customHeight="1" x14ac:dyDescent="0.25">
      <c r="A1712" t="s">
        <v>153</v>
      </c>
      <c r="L1712"/>
      <c r="M1712"/>
      <c r="N1712"/>
      <c r="O1712"/>
      <c r="P1712"/>
      <c r="T1712">
        <v>2465</v>
      </c>
      <c r="U1712" s="7">
        <v>3</v>
      </c>
      <c r="V1712" t="s">
        <v>613</v>
      </c>
      <c r="W1712" s="257" t="s">
        <v>795</v>
      </c>
      <c r="X1712" t="s">
        <v>796</v>
      </c>
      <c r="Y1712" t="s">
        <v>436</v>
      </c>
      <c r="Z1712" s="8">
        <v>7</v>
      </c>
      <c r="AA1712" s="202" t="str">
        <f t="shared" si="27"/>
        <v>Сухари</v>
      </c>
    </row>
    <row r="1713" spans="1:27" ht="15" customHeight="1" x14ac:dyDescent="0.25">
      <c r="A1713" t="s">
        <v>153</v>
      </c>
      <c r="L1713"/>
      <c r="M1713"/>
      <c r="N1713"/>
      <c r="O1713"/>
      <c r="P1713"/>
      <c r="T1713">
        <v>2465</v>
      </c>
      <c r="U1713" s="7">
        <v>3</v>
      </c>
      <c r="V1713" t="s">
        <v>613</v>
      </c>
      <c r="W1713" s="257" t="s">
        <v>795</v>
      </c>
      <c r="X1713" t="s">
        <v>796</v>
      </c>
      <c r="Y1713" s="316" t="s">
        <v>330</v>
      </c>
      <c r="Z1713" s="8">
        <v>17</v>
      </c>
      <c r="AA1713" s="202" t="str">
        <f t="shared" si="27"/>
        <v>Вода</v>
      </c>
    </row>
    <row r="1714" spans="1:27" ht="15" customHeight="1" x14ac:dyDescent="0.25">
      <c r="A1714" t="s">
        <v>153</v>
      </c>
      <c r="L1714"/>
      <c r="M1714"/>
      <c r="N1714"/>
      <c r="O1714"/>
      <c r="P1714"/>
      <c r="T1714">
        <v>2465</v>
      </c>
      <c r="U1714" s="7">
        <v>3</v>
      </c>
      <c r="V1714" t="s">
        <v>613</v>
      </c>
      <c r="W1714" s="257" t="s">
        <v>795</v>
      </c>
      <c r="X1714" t="s">
        <v>796</v>
      </c>
      <c r="Y1714" s="316" t="s">
        <v>558</v>
      </c>
      <c r="Z1714" s="8">
        <v>87.100000000000009</v>
      </c>
      <c r="AA1714" s="202" t="str">
        <f t="shared" si="27"/>
        <v>Общая масса готового блюда, г</v>
      </c>
    </row>
    <row r="1715" spans="1:27" ht="15" customHeight="1" x14ac:dyDescent="0.25">
      <c r="A1715" t="s">
        <v>153</v>
      </c>
      <c r="L1715"/>
      <c r="M1715"/>
      <c r="N1715"/>
      <c r="O1715"/>
      <c r="P1715"/>
      <c r="T1715">
        <v>2465</v>
      </c>
      <c r="U1715" s="7">
        <v>3</v>
      </c>
      <c r="V1715" t="s">
        <v>613</v>
      </c>
      <c r="W1715" s="257" t="s">
        <v>795</v>
      </c>
      <c r="X1715" t="s">
        <v>796</v>
      </c>
      <c r="Y1715" s="316" t="s">
        <v>1214</v>
      </c>
      <c r="Z1715" s="8">
        <v>87.100000000000009</v>
      </c>
      <c r="AA1715" s="202" t="str">
        <f t="shared" si="27"/>
        <v>Масса мясных и рыбных порций, г</v>
      </c>
    </row>
    <row r="1716" spans="1:27" ht="15" customHeight="1" x14ac:dyDescent="0.25">
      <c r="A1716" t="s">
        <v>153</v>
      </c>
      <c r="L1716"/>
      <c r="M1716"/>
      <c r="N1716"/>
      <c r="O1716"/>
      <c r="P1716"/>
      <c r="T1716">
        <v>2465</v>
      </c>
      <c r="U1716" s="7">
        <v>3</v>
      </c>
      <c r="V1716" t="s">
        <v>613</v>
      </c>
      <c r="W1716" s="257" t="s">
        <v>792</v>
      </c>
      <c r="X1716" t="s">
        <v>797</v>
      </c>
      <c r="Y1716" s="316" t="s">
        <v>508</v>
      </c>
      <c r="Z1716" s="8">
        <v>120</v>
      </c>
      <c r="AA1716" s="202" t="str">
        <f t="shared" si="27"/>
        <v>Пикша б/г</v>
      </c>
    </row>
    <row r="1717" spans="1:27" ht="15" customHeight="1" x14ac:dyDescent="0.25">
      <c r="A1717" t="s">
        <v>153</v>
      </c>
      <c r="L1717"/>
      <c r="M1717"/>
      <c r="N1717"/>
      <c r="O1717"/>
      <c r="P1717"/>
      <c r="T1717">
        <v>2465</v>
      </c>
      <c r="U1717" s="7">
        <v>3</v>
      </c>
      <c r="V1717" t="s">
        <v>613</v>
      </c>
      <c r="W1717" s="257" t="s">
        <v>792</v>
      </c>
      <c r="X1717" t="s">
        <v>797</v>
      </c>
      <c r="Y1717" s="316" t="s">
        <v>61</v>
      </c>
      <c r="Z1717" s="8">
        <v>5</v>
      </c>
      <c r="AA1717" s="202" t="str">
        <f t="shared" si="27"/>
        <v>Масло растительное</v>
      </c>
    </row>
    <row r="1718" spans="1:27" ht="15" customHeight="1" x14ac:dyDescent="0.25">
      <c r="A1718" t="s">
        <v>153</v>
      </c>
      <c r="L1718"/>
      <c r="M1718"/>
      <c r="N1718"/>
      <c r="O1718"/>
      <c r="P1718"/>
      <c r="T1718">
        <v>2465</v>
      </c>
      <c r="U1718" s="7">
        <v>3</v>
      </c>
      <c r="V1718" t="s">
        <v>613</v>
      </c>
      <c r="W1718" s="257" t="s">
        <v>792</v>
      </c>
      <c r="X1718" t="s">
        <v>797</v>
      </c>
      <c r="Y1718" s="316" t="s">
        <v>32</v>
      </c>
      <c r="Z1718" s="8">
        <v>20</v>
      </c>
      <c r="AA1718" s="202" t="str">
        <f t="shared" si="27"/>
        <v>Лук репчатый</v>
      </c>
    </row>
    <row r="1719" spans="1:27" ht="15" customHeight="1" x14ac:dyDescent="0.25">
      <c r="A1719" t="s">
        <v>153</v>
      </c>
      <c r="L1719"/>
      <c r="M1719"/>
      <c r="N1719"/>
      <c r="O1719"/>
      <c r="P1719"/>
      <c r="T1719">
        <v>2465</v>
      </c>
      <c r="U1719" s="7">
        <v>3</v>
      </c>
      <c r="V1719" t="s">
        <v>613</v>
      </c>
      <c r="W1719" s="257" t="s">
        <v>792</v>
      </c>
      <c r="X1719" t="s">
        <v>797</v>
      </c>
      <c r="Y1719" s="316" t="s">
        <v>434</v>
      </c>
      <c r="Z1719" s="8">
        <v>1</v>
      </c>
      <c r="AA1719" s="202" t="str">
        <f t="shared" si="27"/>
        <v>Мука пшеничная 1 с</v>
      </c>
    </row>
    <row r="1720" spans="1:27" ht="15" customHeight="1" x14ac:dyDescent="0.25">
      <c r="A1720" t="s">
        <v>153</v>
      </c>
      <c r="L1720"/>
      <c r="M1720"/>
      <c r="N1720"/>
      <c r="O1720"/>
      <c r="P1720"/>
      <c r="T1720">
        <v>2465</v>
      </c>
      <c r="U1720" s="7">
        <v>3</v>
      </c>
      <c r="V1720" t="s">
        <v>613</v>
      </c>
      <c r="W1720" s="257" t="s">
        <v>792</v>
      </c>
      <c r="X1720" t="s">
        <v>797</v>
      </c>
      <c r="Y1720" s="316" t="s">
        <v>326</v>
      </c>
      <c r="Z1720" s="8">
        <v>2</v>
      </c>
      <c r="AA1720" s="202" t="str">
        <f t="shared" si="27"/>
        <v>Соль</v>
      </c>
    </row>
    <row r="1721" spans="1:27" ht="15" customHeight="1" x14ac:dyDescent="0.25">
      <c r="A1721" t="s">
        <v>153</v>
      </c>
      <c r="L1721"/>
      <c r="M1721"/>
      <c r="N1721"/>
      <c r="O1721"/>
      <c r="P1721"/>
      <c r="T1721">
        <v>2465</v>
      </c>
      <c r="U1721" s="7">
        <v>3</v>
      </c>
      <c r="V1721" t="s">
        <v>613</v>
      </c>
      <c r="W1721" s="257" t="s">
        <v>792</v>
      </c>
      <c r="X1721" t="s">
        <v>797</v>
      </c>
      <c r="Y1721" s="316" t="s">
        <v>558</v>
      </c>
      <c r="Z1721" s="8">
        <v>74.819999999999993</v>
      </c>
      <c r="AA1721" s="202" t="str">
        <f t="shared" si="27"/>
        <v>Общая масса готового блюда, г</v>
      </c>
    </row>
    <row r="1722" spans="1:27" ht="15" customHeight="1" x14ac:dyDescent="0.25">
      <c r="A1722" t="s">
        <v>153</v>
      </c>
      <c r="L1722"/>
      <c r="M1722"/>
      <c r="N1722"/>
      <c r="O1722"/>
      <c r="P1722"/>
      <c r="T1722">
        <v>2465</v>
      </c>
      <c r="U1722" s="7">
        <v>3</v>
      </c>
      <c r="V1722" t="s">
        <v>613</v>
      </c>
      <c r="W1722" s="257" t="s">
        <v>792</v>
      </c>
      <c r="X1722" t="s">
        <v>797</v>
      </c>
      <c r="Y1722" s="316" t="s">
        <v>1214</v>
      </c>
      <c r="Z1722" s="8">
        <v>64</v>
      </c>
      <c r="AA1722" s="202" t="str">
        <f t="shared" si="27"/>
        <v>Масса мясных и рыбных порций, г</v>
      </c>
    </row>
    <row r="1723" spans="1:27" ht="15" customHeight="1" x14ac:dyDescent="0.25">
      <c r="A1723" t="s">
        <v>153</v>
      </c>
      <c r="L1723"/>
      <c r="M1723"/>
      <c r="N1723"/>
      <c r="O1723"/>
      <c r="P1723"/>
      <c r="T1723">
        <v>2465</v>
      </c>
      <c r="U1723" s="7">
        <v>3</v>
      </c>
      <c r="V1723" t="s">
        <v>613</v>
      </c>
      <c r="W1723" s="257" t="s">
        <v>792</v>
      </c>
      <c r="X1723" t="s">
        <v>798</v>
      </c>
      <c r="Y1723" s="316" t="s">
        <v>542</v>
      </c>
      <c r="Z1723" s="8">
        <v>120</v>
      </c>
      <c r="AA1723" s="202" t="str">
        <f t="shared" si="27"/>
        <v>Сайда б/г</v>
      </c>
    </row>
    <row r="1724" spans="1:27" ht="15" customHeight="1" x14ac:dyDescent="0.25">
      <c r="A1724" t="s">
        <v>153</v>
      </c>
      <c r="L1724"/>
      <c r="M1724"/>
      <c r="N1724"/>
      <c r="O1724"/>
      <c r="P1724"/>
      <c r="T1724">
        <v>2465</v>
      </c>
      <c r="U1724" s="7">
        <v>3</v>
      </c>
      <c r="V1724" t="s">
        <v>613</v>
      </c>
      <c r="W1724" s="257" t="s">
        <v>792</v>
      </c>
      <c r="X1724" t="s">
        <v>798</v>
      </c>
      <c r="Y1724" s="316" t="s">
        <v>61</v>
      </c>
      <c r="Z1724" s="8">
        <v>5</v>
      </c>
      <c r="AA1724" s="202" t="str">
        <f t="shared" si="27"/>
        <v>Масло растительное</v>
      </c>
    </row>
    <row r="1725" spans="1:27" ht="15" customHeight="1" x14ac:dyDescent="0.25">
      <c r="A1725" t="s">
        <v>153</v>
      </c>
      <c r="L1725"/>
      <c r="M1725"/>
      <c r="N1725"/>
      <c r="O1725"/>
      <c r="P1725"/>
      <c r="T1725">
        <v>2465</v>
      </c>
      <c r="U1725" s="7">
        <v>3</v>
      </c>
      <c r="V1725" t="s">
        <v>613</v>
      </c>
      <c r="W1725" s="257" t="s">
        <v>792</v>
      </c>
      <c r="X1725" t="s">
        <v>798</v>
      </c>
      <c r="Y1725" s="316" t="s">
        <v>32</v>
      </c>
      <c r="Z1725" s="8">
        <v>20</v>
      </c>
      <c r="AA1725" s="202" t="str">
        <f t="shared" si="27"/>
        <v>Лук репчатый</v>
      </c>
    </row>
    <row r="1726" spans="1:27" ht="15" customHeight="1" x14ac:dyDescent="0.25">
      <c r="A1726" t="s">
        <v>153</v>
      </c>
      <c r="L1726"/>
      <c r="M1726"/>
      <c r="N1726"/>
      <c r="O1726"/>
      <c r="P1726"/>
      <c r="T1726">
        <v>2465</v>
      </c>
      <c r="U1726" s="7">
        <v>3</v>
      </c>
      <c r="V1726" t="s">
        <v>613</v>
      </c>
      <c r="W1726" s="257" t="s">
        <v>792</v>
      </c>
      <c r="X1726" t="s">
        <v>798</v>
      </c>
      <c r="Y1726" s="316" t="s">
        <v>434</v>
      </c>
      <c r="Z1726" s="8">
        <v>1</v>
      </c>
      <c r="AA1726" s="202" t="str">
        <f t="shared" si="27"/>
        <v>Мука пшеничная 1 с</v>
      </c>
    </row>
    <row r="1727" spans="1:27" ht="15" customHeight="1" x14ac:dyDescent="0.25">
      <c r="A1727" t="s">
        <v>153</v>
      </c>
      <c r="L1727"/>
      <c r="M1727"/>
      <c r="N1727"/>
      <c r="O1727"/>
      <c r="P1727"/>
      <c r="T1727">
        <v>2465</v>
      </c>
      <c r="U1727" s="7">
        <v>3</v>
      </c>
      <c r="V1727" t="s">
        <v>613</v>
      </c>
      <c r="W1727" s="257" t="s">
        <v>792</v>
      </c>
      <c r="X1727" t="s">
        <v>798</v>
      </c>
      <c r="Y1727" s="316" t="s">
        <v>326</v>
      </c>
      <c r="Z1727" s="8">
        <v>2</v>
      </c>
      <c r="AA1727" s="202" t="str">
        <f t="shared" si="27"/>
        <v>Соль</v>
      </c>
    </row>
    <row r="1728" spans="1:27" ht="15" customHeight="1" x14ac:dyDescent="0.25">
      <c r="A1728" t="s">
        <v>153</v>
      </c>
      <c r="L1728"/>
      <c r="M1728"/>
      <c r="N1728"/>
      <c r="O1728"/>
      <c r="P1728"/>
      <c r="T1728">
        <v>2465</v>
      </c>
      <c r="U1728" s="7">
        <v>3</v>
      </c>
      <c r="V1728" t="s">
        <v>613</v>
      </c>
      <c r="W1728" s="257" t="s">
        <v>792</v>
      </c>
      <c r="X1728" t="s">
        <v>798</v>
      </c>
      <c r="Y1728" s="316" t="s">
        <v>558</v>
      </c>
      <c r="Z1728" s="8">
        <v>95.89</v>
      </c>
      <c r="AA1728" s="202" t="str">
        <f t="shared" si="27"/>
        <v>Общая масса готового блюда, г</v>
      </c>
    </row>
    <row r="1729" spans="1:27" ht="15" customHeight="1" x14ac:dyDescent="0.25">
      <c r="A1729" t="s">
        <v>153</v>
      </c>
      <c r="L1729"/>
      <c r="M1729"/>
      <c r="N1729"/>
      <c r="O1729"/>
      <c r="P1729"/>
      <c r="T1729">
        <v>2465</v>
      </c>
      <c r="U1729" s="7">
        <v>3</v>
      </c>
      <c r="V1729" t="s">
        <v>613</v>
      </c>
      <c r="W1729" s="257" t="s">
        <v>792</v>
      </c>
      <c r="X1729" t="s">
        <v>798</v>
      </c>
      <c r="Y1729" s="316" t="s">
        <v>1214</v>
      </c>
      <c r="Z1729" s="8">
        <v>85</v>
      </c>
      <c r="AA1729" s="202" t="str">
        <f t="shared" si="27"/>
        <v>Масса мясных и рыбных порций, г</v>
      </c>
    </row>
    <row r="1730" spans="1:27" ht="15" customHeight="1" x14ac:dyDescent="0.25">
      <c r="A1730" t="s">
        <v>153</v>
      </c>
      <c r="L1730"/>
      <c r="M1730"/>
      <c r="N1730"/>
      <c r="O1730"/>
      <c r="P1730"/>
      <c r="T1730">
        <v>2465</v>
      </c>
      <c r="U1730" s="7">
        <v>3</v>
      </c>
      <c r="V1730" t="s">
        <v>613</v>
      </c>
      <c r="W1730" s="257" t="s">
        <v>792</v>
      </c>
      <c r="X1730" t="s">
        <v>799</v>
      </c>
      <c r="Y1730" s="316" t="s">
        <v>543</v>
      </c>
      <c r="Z1730" s="8">
        <v>156</v>
      </c>
      <c r="AA1730" s="202" t="str">
        <f t="shared" ref="AA1730:AA1793" si="28">VLOOKUP(Y1730,O:P,2,FALSE)</f>
        <v>Сайда с/г</v>
      </c>
    </row>
    <row r="1731" spans="1:27" ht="15" customHeight="1" x14ac:dyDescent="0.25">
      <c r="A1731" t="s">
        <v>153</v>
      </c>
      <c r="L1731"/>
      <c r="M1731"/>
      <c r="N1731"/>
      <c r="O1731"/>
      <c r="P1731"/>
      <c r="T1731">
        <v>2465</v>
      </c>
      <c r="U1731" s="7">
        <v>3</v>
      </c>
      <c r="V1731" t="s">
        <v>613</v>
      </c>
      <c r="W1731" s="257" t="s">
        <v>792</v>
      </c>
      <c r="X1731" t="s">
        <v>799</v>
      </c>
      <c r="Y1731" s="316" t="s">
        <v>61</v>
      </c>
      <c r="Z1731" s="8">
        <v>5</v>
      </c>
      <c r="AA1731" s="202" t="str">
        <f t="shared" si="28"/>
        <v>Масло растительное</v>
      </c>
    </row>
    <row r="1732" spans="1:27" ht="15" customHeight="1" x14ac:dyDescent="0.25">
      <c r="A1732" t="s">
        <v>153</v>
      </c>
      <c r="L1732"/>
      <c r="M1732"/>
      <c r="N1732"/>
      <c r="O1732"/>
      <c r="P1732"/>
      <c r="T1732">
        <v>2465</v>
      </c>
      <c r="U1732" s="7">
        <v>3</v>
      </c>
      <c r="V1732" t="s">
        <v>613</v>
      </c>
      <c r="W1732" s="257" t="s">
        <v>792</v>
      </c>
      <c r="X1732" t="s">
        <v>799</v>
      </c>
      <c r="Y1732" s="316" t="s">
        <v>32</v>
      </c>
      <c r="Z1732" s="8">
        <v>20</v>
      </c>
      <c r="AA1732" s="202" t="str">
        <f t="shared" si="28"/>
        <v>Лук репчатый</v>
      </c>
    </row>
    <row r="1733" spans="1:27" ht="15" customHeight="1" x14ac:dyDescent="0.25">
      <c r="A1733" t="s">
        <v>153</v>
      </c>
      <c r="L1733"/>
      <c r="M1733"/>
      <c r="N1733"/>
      <c r="O1733"/>
      <c r="P1733"/>
      <c r="T1733">
        <v>2465</v>
      </c>
      <c r="U1733" s="7">
        <v>3</v>
      </c>
      <c r="V1733" t="s">
        <v>613</v>
      </c>
      <c r="W1733" s="257" t="s">
        <v>792</v>
      </c>
      <c r="X1733" t="s">
        <v>799</v>
      </c>
      <c r="Y1733" s="316" t="s">
        <v>434</v>
      </c>
      <c r="Z1733" s="8">
        <v>1</v>
      </c>
      <c r="AA1733" s="202" t="str">
        <f t="shared" si="28"/>
        <v>Мука пшеничная 1 с</v>
      </c>
    </row>
    <row r="1734" spans="1:27" ht="15" customHeight="1" x14ac:dyDescent="0.25">
      <c r="A1734" t="s">
        <v>153</v>
      </c>
      <c r="L1734"/>
      <c r="M1734"/>
      <c r="N1734"/>
      <c r="O1734"/>
      <c r="P1734"/>
      <c r="T1734">
        <v>2465</v>
      </c>
      <c r="U1734" s="7">
        <v>3</v>
      </c>
      <c r="V1734" t="s">
        <v>613</v>
      </c>
      <c r="W1734" s="257" t="s">
        <v>792</v>
      </c>
      <c r="X1734" t="s">
        <v>799</v>
      </c>
      <c r="Y1734" s="316" t="s">
        <v>326</v>
      </c>
      <c r="Z1734" s="8">
        <v>2</v>
      </c>
      <c r="AA1734" s="202" t="str">
        <f t="shared" si="28"/>
        <v>Соль</v>
      </c>
    </row>
    <row r="1735" spans="1:27" ht="15" customHeight="1" x14ac:dyDescent="0.25">
      <c r="A1735" t="s">
        <v>153</v>
      </c>
      <c r="L1735"/>
      <c r="M1735"/>
      <c r="N1735"/>
      <c r="O1735"/>
      <c r="P1735"/>
      <c r="T1735">
        <v>2465</v>
      </c>
      <c r="U1735" s="7">
        <v>3</v>
      </c>
      <c r="V1735" t="s">
        <v>613</v>
      </c>
      <c r="W1735" s="257" t="s">
        <v>792</v>
      </c>
      <c r="X1735" t="s">
        <v>799</v>
      </c>
      <c r="Y1735" s="316" t="s">
        <v>558</v>
      </c>
      <c r="Z1735" s="8">
        <v>95.89</v>
      </c>
      <c r="AA1735" s="202" t="str">
        <f t="shared" si="28"/>
        <v>Общая масса готового блюда, г</v>
      </c>
    </row>
    <row r="1736" spans="1:27" ht="15" customHeight="1" x14ac:dyDescent="0.25">
      <c r="A1736" t="s">
        <v>153</v>
      </c>
      <c r="L1736"/>
      <c r="M1736"/>
      <c r="N1736"/>
      <c r="O1736"/>
      <c r="P1736"/>
      <c r="T1736">
        <v>2465</v>
      </c>
      <c r="U1736" s="7">
        <v>3</v>
      </c>
      <c r="V1736" t="s">
        <v>613</v>
      </c>
      <c r="W1736" s="257" t="s">
        <v>792</v>
      </c>
      <c r="X1736" t="s">
        <v>799</v>
      </c>
      <c r="Y1736" s="316" t="s">
        <v>1214</v>
      </c>
      <c r="Z1736" s="8">
        <v>72</v>
      </c>
      <c r="AA1736" s="202" t="str">
        <f t="shared" si="28"/>
        <v>Масса мясных и рыбных порций, г</v>
      </c>
    </row>
    <row r="1737" spans="1:27" ht="15" customHeight="1" x14ac:dyDescent="0.25">
      <c r="A1737" t="s">
        <v>153</v>
      </c>
      <c r="L1737"/>
      <c r="M1737"/>
      <c r="N1737"/>
      <c r="O1737"/>
      <c r="P1737"/>
      <c r="T1737">
        <v>2465</v>
      </c>
      <c r="U1737" s="7">
        <v>3</v>
      </c>
      <c r="V1737" t="s">
        <v>613</v>
      </c>
      <c r="W1737" s="257" t="s">
        <v>795</v>
      </c>
      <c r="X1737" t="s">
        <v>1211</v>
      </c>
      <c r="Y1737" t="s">
        <v>1212</v>
      </c>
      <c r="Z1737" s="8">
        <v>130</v>
      </c>
      <c r="AA1737" s="202" t="str">
        <f t="shared" si="28"/>
        <v>Сом б/г</v>
      </c>
    </row>
    <row r="1738" spans="1:27" ht="15" customHeight="1" x14ac:dyDescent="0.25">
      <c r="A1738" t="s">
        <v>153</v>
      </c>
      <c r="L1738"/>
      <c r="M1738"/>
      <c r="N1738"/>
      <c r="O1738"/>
      <c r="P1738"/>
      <c r="T1738">
        <v>2465</v>
      </c>
      <c r="U1738" s="7">
        <v>3</v>
      </c>
      <c r="V1738" t="s">
        <v>613</v>
      </c>
      <c r="W1738" s="257" t="s">
        <v>795</v>
      </c>
      <c r="X1738" t="s">
        <v>1211</v>
      </c>
      <c r="Y1738" s="316" t="s">
        <v>61</v>
      </c>
      <c r="Z1738" s="8">
        <v>5</v>
      </c>
      <c r="AA1738" s="202" t="str">
        <f t="shared" si="28"/>
        <v>Масло растительное</v>
      </c>
    </row>
    <row r="1739" spans="1:27" ht="15" customHeight="1" x14ac:dyDescent="0.25">
      <c r="A1739" t="s">
        <v>153</v>
      </c>
      <c r="L1739"/>
      <c r="M1739"/>
      <c r="N1739"/>
      <c r="O1739"/>
      <c r="P1739"/>
      <c r="T1739">
        <v>2465</v>
      </c>
      <c r="U1739" s="7">
        <v>3</v>
      </c>
      <c r="V1739" t="s">
        <v>613</v>
      </c>
      <c r="W1739" s="257" t="s">
        <v>795</v>
      </c>
      <c r="X1739" t="s">
        <v>1211</v>
      </c>
      <c r="Y1739" s="316" t="s">
        <v>326</v>
      </c>
      <c r="Z1739" s="8">
        <v>2</v>
      </c>
      <c r="AA1739" s="202" t="str">
        <f t="shared" si="28"/>
        <v>Соль</v>
      </c>
    </row>
    <row r="1740" spans="1:27" ht="15" customHeight="1" x14ac:dyDescent="0.25">
      <c r="A1740" t="s">
        <v>153</v>
      </c>
      <c r="L1740"/>
      <c r="M1740"/>
      <c r="N1740"/>
      <c r="O1740"/>
      <c r="P1740"/>
      <c r="T1740">
        <v>2465</v>
      </c>
      <c r="U1740" s="7">
        <v>3</v>
      </c>
      <c r="V1740" t="s">
        <v>613</v>
      </c>
      <c r="W1740" s="257" t="s">
        <v>795</v>
      </c>
      <c r="X1740" t="s">
        <v>1211</v>
      </c>
      <c r="Y1740" s="316" t="s">
        <v>438</v>
      </c>
      <c r="Z1740" s="8">
        <v>15</v>
      </c>
      <c r="AA1740" s="202" t="str">
        <f t="shared" si="28"/>
        <v>Хлеб из муки пш. 1 сорта</v>
      </c>
    </row>
    <row r="1741" spans="1:27" ht="15" customHeight="1" x14ac:dyDescent="0.25">
      <c r="A1741" t="s">
        <v>153</v>
      </c>
      <c r="L1741"/>
      <c r="M1741"/>
      <c r="N1741"/>
      <c r="O1741"/>
      <c r="P1741"/>
      <c r="T1741">
        <v>2465</v>
      </c>
      <c r="U1741" s="7">
        <v>3</v>
      </c>
      <c r="V1741" t="s">
        <v>613</v>
      </c>
      <c r="W1741" s="257" t="s">
        <v>795</v>
      </c>
      <c r="X1741" t="s">
        <v>1211</v>
      </c>
      <c r="Y1741" t="s">
        <v>436</v>
      </c>
      <c r="Z1741" s="8">
        <v>7</v>
      </c>
      <c r="AA1741" s="202" t="str">
        <f t="shared" si="28"/>
        <v>Сухари</v>
      </c>
    </row>
    <row r="1742" spans="1:27" ht="15" customHeight="1" x14ac:dyDescent="0.25">
      <c r="A1742" t="s">
        <v>153</v>
      </c>
      <c r="L1742"/>
      <c r="M1742"/>
      <c r="N1742"/>
      <c r="O1742"/>
      <c r="P1742"/>
      <c r="T1742">
        <v>2465</v>
      </c>
      <c r="U1742" s="7">
        <v>3</v>
      </c>
      <c r="V1742" t="s">
        <v>613</v>
      </c>
      <c r="W1742" s="257" t="s">
        <v>795</v>
      </c>
      <c r="X1742" t="s">
        <v>1211</v>
      </c>
      <c r="Y1742" s="316" t="s">
        <v>330</v>
      </c>
      <c r="Z1742" s="8">
        <v>17</v>
      </c>
      <c r="AA1742" s="202" t="str">
        <f t="shared" si="28"/>
        <v>Вода</v>
      </c>
    </row>
    <row r="1743" spans="1:27" ht="15" customHeight="1" x14ac:dyDescent="0.25">
      <c r="A1743" t="s">
        <v>153</v>
      </c>
      <c r="L1743"/>
      <c r="M1743"/>
      <c r="N1743"/>
      <c r="O1743"/>
      <c r="P1743"/>
      <c r="T1743">
        <v>2465</v>
      </c>
      <c r="U1743" s="7">
        <v>3</v>
      </c>
      <c r="V1743" t="s">
        <v>613</v>
      </c>
      <c r="W1743" s="257" t="s">
        <v>795</v>
      </c>
      <c r="X1743" t="s">
        <v>1211</v>
      </c>
      <c r="Y1743" s="316" t="s">
        <v>558</v>
      </c>
      <c r="Z1743" s="8">
        <v>98.8</v>
      </c>
      <c r="AA1743" s="202" t="str">
        <f t="shared" si="28"/>
        <v>Общая масса готового блюда, г</v>
      </c>
    </row>
    <row r="1744" spans="1:27" ht="15" customHeight="1" x14ac:dyDescent="0.25">
      <c r="A1744" t="s">
        <v>153</v>
      </c>
      <c r="L1744"/>
      <c r="M1744"/>
      <c r="N1744"/>
      <c r="O1744"/>
      <c r="P1744"/>
      <c r="T1744">
        <v>2465</v>
      </c>
      <c r="U1744" s="7">
        <v>3</v>
      </c>
      <c r="V1744" t="s">
        <v>613</v>
      </c>
      <c r="W1744" s="257" t="s">
        <v>795</v>
      </c>
      <c r="X1744" t="s">
        <v>1211</v>
      </c>
      <c r="Y1744" s="316" t="s">
        <v>1214</v>
      </c>
      <c r="Z1744" s="8">
        <v>98.8</v>
      </c>
      <c r="AA1744" s="202" t="str">
        <f t="shared" si="28"/>
        <v>Масса мясных и рыбных порций, г</v>
      </c>
    </row>
    <row r="1745" spans="1:27" ht="15" customHeight="1" x14ac:dyDescent="0.25">
      <c r="A1745" t="s">
        <v>153</v>
      </c>
      <c r="L1745"/>
      <c r="M1745"/>
      <c r="N1745"/>
      <c r="O1745"/>
      <c r="P1745"/>
      <c r="T1745">
        <v>2465</v>
      </c>
      <c r="U1745" s="7">
        <v>3</v>
      </c>
      <c r="V1745" t="s">
        <v>613</v>
      </c>
      <c r="W1745" s="257" t="s">
        <v>792</v>
      </c>
      <c r="X1745" t="s">
        <v>800</v>
      </c>
      <c r="Y1745" t="s">
        <v>514</v>
      </c>
      <c r="Z1745" s="8">
        <v>156</v>
      </c>
      <c r="AA1745" s="202" t="str">
        <f t="shared" si="28"/>
        <v>Сом с/г</v>
      </c>
    </row>
    <row r="1746" spans="1:27" ht="15" customHeight="1" x14ac:dyDescent="0.25">
      <c r="A1746" t="s">
        <v>153</v>
      </c>
      <c r="L1746"/>
      <c r="M1746"/>
      <c r="N1746"/>
      <c r="O1746"/>
      <c r="P1746"/>
      <c r="T1746">
        <v>2465</v>
      </c>
      <c r="U1746" s="7">
        <v>3</v>
      </c>
      <c r="V1746" t="s">
        <v>613</v>
      </c>
      <c r="W1746" s="257" t="s">
        <v>792</v>
      </c>
      <c r="X1746" t="s">
        <v>800</v>
      </c>
      <c r="Y1746" s="316" t="s">
        <v>61</v>
      </c>
      <c r="Z1746" s="8">
        <v>5</v>
      </c>
      <c r="AA1746" s="202" t="str">
        <f t="shared" si="28"/>
        <v>Масло растительное</v>
      </c>
    </row>
    <row r="1747" spans="1:27" ht="15" customHeight="1" x14ac:dyDescent="0.25">
      <c r="A1747" t="s">
        <v>153</v>
      </c>
      <c r="L1747"/>
      <c r="M1747"/>
      <c r="N1747"/>
      <c r="O1747"/>
      <c r="P1747"/>
      <c r="T1747">
        <v>2465</v>
      </c>
      <c r="U1747" s="7">
        <v>3</v>
      </c>
      <c r="V1747" t="s">
        <v>613</v>
      </c>
      <c r="W1747" s="257" t="s">
        <v>792</v>
      </c>
      <c r="X1747" t="s">
        <v>800</v>
      </c>
      <c r="Y1747" s="316" t="s">
        <v>32</v>
      </c>
      <c r="Z1747" s="8">
        <v>20</v>
      </c>
      <c r="AA1747" s="202" t="str">
        <f t="shared" si="28"/>
        <v>Лук репчатый</v>
      </c>
    </row>
    <row r="1748" spans="1:27" ht="15" customHeight="1" x14ac:dyDescent="0.25">
      <c r="A1748" t="s">
        <v>153</v>
      </c>
      <c r="L1748"/>
      <c r="M1748"/>
      <c r="N1748"/>
      <c r="O1748"/>
      <c r="P1748"/>
      <c r="T1748">
        <v>2465</v>
      </c>
      <c r="U1748" s="7">
        <v>3</v>
      </c>
      <c r="V1748" t="s">
        <v>613</v>
      </c>
      <c r="W1748" s="257" t="s">
        <v>792</v>
      </c>
      <c r="X1748" t="s">
        <v>800</v>
      </c>
      <c r="Y1748" s="316" t="s">
        <v>434</v>
      </c>
      <c r="Z1748" s="8">
        <v>1</v>
      </c>
      <c r="AA1748" s="202" t="str">
        <f t="shared" si="28"/>
        <v>Мука пшеничная 1 с</v>
      </c>
    </row>
    <row r="1749" spans="1:27" ht="15" customHeight="1" x14ac:dyDescent="0.25">
      <c r="A1749" t="s">
        <v>153</v>
      </c>
      <c r="L1749"/>
      <c r="M1749"/>
      <c r="N1749"/>
      <c r="O1749"/>
      <c r="P1749"/>
      <c r="T1749">
        <v>2465</v>
      </c>
      <c r="U1749" s="7">
        <v>3</v>
      </c>
      <c r="V1749" t="s">
        <v>613</v>
      </c>
      <c r="W1749" s="257" t="s">
        <v>792</v>
      </c>
      <c r="X1749" t="s">
        <v>800</v>
      </c>
      <c r="Y1749" s="316" t="s">
        <v>326</v>
      </c>
      <c r="Z1749" s="8">
        <v>2</v>
      </c>
      <c r="AA1749" s="202" t="str">
        <f t="shared" si="28"/>
        <v>Соль</v>
      </c>
    </row>
    <row r="1750" spans="1:27" ht="15" customHeight="1" x14ac:dyDescent="0.25">
      <c r="A1750" t="s">
        <v>153</v>
      </c>
      <c r="L1750"/>
      <c r="M1750"/>
      <c r="N1750"/>
      <c r="O1750"/>
      <c r="P1750"/>
      <c r="T1750">
        <v>2465</v>
      </c>
      <c r="U1750" s="7">
        <v>3</v>
      </c>
      <c r="V1750" t="s">
        <v>613</v>
      </c>
      <c r="W1750" s="257" t="s">
        <v>792</v>
      </c>
      <c r="X1750" t="s">
        <v>800</v>
      </c>
      <c r="Y1750" s="316" t="s">
        <v>558</v>
      </c>
      <c r="Z1750" s="8">
        <v>92.3</v>
      </c>
      <c r="AA1750" s="202" t="str">
        <f t="shared" si="28"/>
        <v>Общая масса готового блюда, г</v>
      </c>
    </row>
    <row r="1751" spans="1:27" ht="15" customHeight="1" x14ac:dyDescent="0.25">
      <c r="A1751" t="s">
        <v>153</v>
      </c>
      <c r="L1751"/>
      <c r="M1751"/>
      <c r="N1751"/>
      <c r="O1751"/>
      <c r="P1751"/>
      <c r="T1751">
        <v>2465</v>
      </c>
      <c r="U1751" s="7">
        <v>3</v>
      </c>
      <c r="V1751" t="s">
        <v>613</v>
      </c>
      <c r="W1751" s="257" t="s">
        <v>792</v>
      </c>
      <c r="X1751" t="s">
        <v>800</v>
      </c>
      <c r="Y1751" s="316" t="s">
        <v>1214</v>
      </c>
      <c r="Z1751" s="8">
        <v>82</v>
      </c>
      <c r="AA1751" s="202" t="str">
        <f t="shared" si="28"/>
        <v>Масса мясных и рыбных порций, г</v>
      </c>
    </row>
    <row r="1752" spans="1:27" ht="15" customHeight="1" x14ac:dyDescent="0.25">
      <c r="A1752" t="s">
        <v>153</v>
      </c>
      <c r="L1752"/>
      <c r="M1752"/>
      <c r="N1752"/>
      <c r="O1752"/>
      <c r="P1752"/>
      <c r="T1752">
        <v>2465</v>
      </c>
      <c r="U1752" s="7">
        <v>3</v>
      </c>
      <c r="V1752" t="s">
        <v>613</v>
      </c>
      <c r="W1752" s="257" t="s">
        <v>795</v>
      </c>
      <c r="X1752" t="s">
        <v>801</v>
      </c>
      <c r="Y1752" s="316" t="s">
        <v>515</v>
      </c>
      <c r="Z1752" s="8">
        <v>130</v>
      </c>
      <c r="AA1752" s="202" t="str">
        <f t="shared" si="28"/>
        <v>Судак с/г</v>
      </c>
    </row>
    <row r="1753" spans="1:27" ht="15" customHeight="1" x14ac:dyDescent="0.25">
      <c r="A1753" t="s">
        <v>153</v>
      </c>
      <c r="L1753"/>
      <c r="M1753"/>
      <c r="N1753"/>
      <c r="O1753"/>
      <c r="P1753"/>
      <c r="T1753">
        <v>2465</v>
      </c>
      <c r="U1753" s="7">
        <v>3</v>
      </c>
      <c r="V1753" t="s">
        <v>613</v>
      </c>
      <c r="W1753" s="257" t="s">
        <v>795</v>
      </c>
      <c r="X1753" t="s">
        <v>801</v>
      </c>
      <c r="Y1753" s="316" t="s">
        <v>61</v>
      </c>
      <c r="Z1753" s="8">
        <v>5</v>
      </c>
      <c r="AA1753" s="202" t="str">
        <f t="shared" si="28"/>
        <v>Масло растительное</v>
      </c>
    </row>
    <row r="1754" spans="1:27" ht="15" customHeight="1" x14ac:dyDescent="0.25">
      <c r="A1754" t="s">
        <v>153</v>
      </c>
      <c r="L1754"/>
      <c r="M1754"/>
      <c r="N1754"/>
      <c r="O1754"/>
      <c r="P1754"/>
      <c r="T1754">
        <v>2465</v>
      </c>
      <c r="U1754" s="7">
        <v>3</v>
      </c>
      <c r="V1754" t="s">
        <v>613</v>
      </c>
      <c r="W1754" s="257" t="s">
        <v>795</v>
      </c>
      <c r="X1754" t="s">
        <v>801</v>
      </c>
      <c r="Y1754" s="316" t="s">
        <v>326</v>
      </c>
      <c r="Z1754" s="8">
        <v>2</v>
      </c>
      <c r="AA1754" s="202" t="str">
        <f t="shared" si="28"/>
        <v>Соль</v>
      </c>
    </row>
    <row r="1755" spans="1:27" ht="15" customHeight="1" x14ac:dyDescent="0.25">
      <c r="A1755" t="s">
        <v>153</v>
      </c>
      <c r="L1755"/>
      <c r="M1755"/>
      <c r="N1755"/>
      <c r="O1755"/>
      <c r="P1755"/>
      <c r="T1755">
        <v>2465</v>
      </c>
      <c r="U1755" s="7">
        <v>3</v>
      </c>
      <c r="V1755" t="s">
        <v>613</v>
      </c>
      <c r="W1755" s="257" t="s">
        <v>795</v>
      </c>
      <c r="X1755" t="s">
        <v>801</v>
      </c>
      <c r="Y1755" s="316" t="s">
        <v>438</v>
      </c>
      <c r="Z1755" s="8">
        <v>15</v>
      </c>
      <c r="AA1755" s="202" t="str">
        <f t="shared" si="28"/>
        <v>Хлеб из муки пш. 1 сорта</v>
      </c>
    </row>
    <row r="1756" spans="1:27" ht="15" customHeight="1" x14ac:dyDescent="0.25">
      <c r="A1756" t="s">
        <v>153</v>
      </c>
      <c r="L1756"/>
      <c r="M1756"/>
      <c r="N1756"/>
      <c r="O1756"/>
      <c r="P1756"/>
      <c r="T1756">
        <v>2465</v>
      </c>
      <c r="U1756" s="7">
        <v>3</v>
      </c>
      <c r="V1756" t="s">
        <v>613</v>
      </c>
      <c r="W1756" s="257" t="s">
        <v>795</v>
      </c>
      <c r="X1756" t="s">
        <v>801</v>
      </c>
      <c r="Y1756" t="s">
        <v>436</v>
      </c>
      <c r="Z1756" s="8">
        <v>7</v>
      </c>
      <c r="AA1756" s="202" t="str">
        <f t="shared" si="28"/>
        <v>Сухари</v>
      </c>
    </row>
    <row r="1757" spans="1:27" ht="15" customHeight="1" x14ac:dyDescent="0.25">
      <c r="A1757" t="s">
        <v>153</v>
      </c>
      <c r="L1757"/>
      <c r="M1757"/>
      <c r="N1757"/>
      <c r="O1757"/>
      <c r="P1757"/>
      <c r="T1757">
        <v>2465</v>
      </c>
      <c r="U1757" s="7">
        <v>3</v>
      </c>
      <c r="V1757" t="s">
        <v>613</v>
      </c>
      <c r="W1757" s="257" t="s">
        <v>795</v>
      </c>
      <c r="X1757" t="s">
        <v>801</v>
      </c>
      <c r="Y1757" s="316" t="s">
        <v>330</v>
      </c>
      <c r="Z1757" s="8">
        <v>17</v>
      </c>
      <c r="AA1757" s="202" t="str">
        <f t="shared" si="28"/>
        <v>Вода</v>
      </c>
    </row>
    <row r="1758" spans="1:27" ht="15" customHeight="1" x14ac:dyDescent="0.25">
      <c r="A1758" t="s">
        <v>153</v>
      </c>
      <c r="L1758"/>
      <c r="M1758"/>
      <c r="N1758"/>
      <c r="O1758"/>
      <c r="P1758"/>
      <c r="T1758">
        <v>2465</v>
      </c>
      <c r="U1758" s="7">
        <v>3</v>
      </c>
      <c r="V1758" t="s">
        <v>613</v>
      </c>
      <c r="W1758" s="257" t="s">
        <v>795</v>
      </c>
      <c r="X1758" t="s">
        <v>801</v>
      </c>
      <c r="Y1758" s="316" t="s">
        <v>558</v>
      </c>
      <c r="Z1758" s="8">
        <v>98.8</v>
      </c>
      <c r="AA1758" s="202" t="str">
        <f t="shared" si="28"/>
        <v>Общая масса готового блюда, г</v>
      </c>
    </row>
    <row r="1759" spans="1:27" ht="15" customHeight="1" x14ac:dyDescent="0.25">
      <c r="A1759" t="s">
        <v>153</v>
      </c>
      <c r="L1759"/>
      <c r="M1759"/>
      <c r="N1759"/>
      <c r="O1759"/>
      <c r="P1759"/>
      <c r="T1759">
        <v>2465</v>
      </c>
      <c r="U1759" s="7">
        <v>3</v>
      </c>
      <c r="V1759" t="s">
        <v>613</v>
      </c>
      <c r="W1759" s="257" t="s">
        <v>795</v>
      </c>
      <c r="X1759" t="s">
        <v>801</v>
      </c>
      <c r="Y1759" s="316" t="s">
        <v>1214</v>
      </c>
      <c r="Z1759" s="8">
        <v>98.8</v>
      </c>
      <c r="AA1759" s="202" t="str">
        <f t="shared" si="28"/>
        <v>Масса мясных и рыбных порций, г</v>
      </c>
    </row>
    <row r="1760" spans="1:27" ht="15" customHeight="1" x14ac:dyDescent="0.25">
      <c r="A1760" t="s">
        <v>153</v>
      </c>
      <c r="L1760"/>
      <c r="M1760"/>
      <c r="N1760"/>
      <c r="O1760"/>
      <c r="P1760"/>
      <c r="T1760">
        <v>2465</v>
      </c>
      <c r="U1760" s="7">
        <v>3</v>
      </c>
      <c r="V1760" t="s">
        <v>613</v>
      </c>
      <c r="W1760" s="257" t="s">
        <v>795</v>
      </c>
      <c r="X1760" t="s">
        <v>802</v>
      </c>
      <c r="Y1760" s="316" t="s">
        <v>544</v>
      </c>
      <c r="Z1760" s="8">
        <v>100</v>
      </c>
      <c r="AA1760" s="202" t="str">
        <f t="shared" si="28"/>
        <v>Треска б/г</v>
      </c>
    </row>
    <row r="1761" spans="1:27" ht="15" customHeight="1" x14ac:dyDescent="0.25">
      <c r="A1761" t="s">
        <v>153</v>
      </c>
      <c r="L1761"/>
      <c r="M1761"/>
      <c r="N1761"/>
      <c r="O1761"/>
      <c r="P1761"/>
      <c r="T1761">
        <v>2465</v>
      </c>
      <c r="U1761" s="7">
        <v>3</v>
      </c>
      <c r="V1761" t="s">
        <v>613</v>
      </c>
      <c r="W1761" s="257" t="s">
        <v>795</v>
      </c>
      <c r="X1761" t="s">
        <v>802</v>
      </c>
      <c r="Y1761" s="316" t="s">
        <v>61</v>
      </c>
      <c r="Z1761" s="8">
        <v>5</v>
      </c>
      <c r="AA1761" s="202" t="str">
        <f t="shared" si="28"/>
        <v>Масло растительное</v>
      </c>
    </row>
    <row r="1762" spans="1:27" ht="15" customHeight="1" x14ac:dyDescent="0.25">
      <c r="A1762" t="s">
        <v>153</v>
      </c>
      <c r="L1762"/>
      <c r="M1762"/>
      <c r="N1762"/>
      <c r="O1762"/>
      <c r="P1762"/>
      <c r="T1762">
        <v>2465</v>
      </c>
      <c r="U1762" s="7">
        <v>3</v>
      </c>
      <c r="V1762" t="s">
        <v>613</v>
      </c>
      <c r="W1762" s="257" t="s">
        <v>795</v>
      </c>
      <c r="X1762" t="s">
        <v>802</v>
      </c>
      <c r="Y1762" s="316" t="s">
        <v>326</v>
      </c>
      <c r="Z1762" s="8">
        <v>2</v>
      </c>
      <c r="AA1762" s="202" t="str">
        <f t="shared" si="28"/>
        <v>Соль</v>
      </c>
    </row>
    <row r="1763" spans="1:27" ht="15" customHeight="1" x14ac:dyDescent="0.25">
      <c r="A1763" t="s">
        <v>153</v>
      </c>
      <c r="L1763"/>
      <c r="M1763"/>
      <c r="N1763"/>
      <c r="O1763"/>
      <c r="P1763"/>
      <c r="T1763">
        <v>2465</v>
      </c>
      <c r="U1763" s="7">
        <v>3</v>
      </c>
      <c r="V1763" t="s">
        <v>613</v>
      </c>
      <c r="W1763" s="257" t="s">
        <v>795</v>
      </c>
      <c r="X1763" t="s">
        <v>802</v>
      </c>
      <c r="Y1763" s="316" t="s">
        <v>438</v>
      </c>
      <c r="Z1763" s="8">
        <v>15</v>
      </c>
      <c r="AA1763" s="202" t="str">
        <f t="shared" si="28"/>
        <v>Хлеб из муки пш. 1 сорта</v>
      </c>
    </row>
    <row r="1764" spans="1:27" ht="15" customHeight="1" x14ac:dyDescent="0.25">
      <c r="A1764" t="s">
        <v>153</v>
      </c>
      <c r="L1764"/>
      <c r="M1764"/>
      <c r="N1764"/>
      <c r="O1764"/>
      <c r="P1764"/>
      <c r="T1764">
        <v>2465</v>
      </c>
      <c r="U1764" s="7">
        <v>3</v>
      </c>
      <c r="V1764" t="s">
        <v>613</v>
      </c>
      <c r="W1764" s="257" t="s">
        <v>795</v>
      </c>
      <c r="X1764" t="s">
        <v>802</v>
      </c>
      <c r="Y1764" t="s">
        <v>436</v>
      </c>
      <c r="Z1764" s="8">
        <v>7</v>
      </c>
      <c r="AA1764" s="202" t="str">
        <f t="shared" si="28"/>
        <v>Сухари</v>
      </c>
    </row>
    <row r="1765" spans="1:27" ht="15" customHeight="1" x14ac:dyDescent="0.25">
      <c r="A1765" t="s">
        <v>153</v>
      </c>
      <c r="L1765"/>
      <c r="M1765"/>
      <c r="N1765"/>
      <c r="O1765"/>
      <c r="P1765"/>
      <c r="T1765">
        <v>2465</v>
      </c>
      <c r="U1765" s="7">
        <v>3</v>
      </c>
      <c r="V1765" t="s">
        <v>613</v>
      </c>
      <c r="W1765" s="257" t="s">
        <v>795</v>
      </c>
      <c r="X1765" t="s">
        <v>802</v>
      </c>
      <c r="Y1765" s="316" t="s">
        <v>330</v>
      </c>
      <c r="Z1765" s="8">
        <v>17</v>
      </c>
      <c r="AA1765" s="202" t="str">
        <f t="shared" si="28"/>
        <v>Вода</v>
      </c>
    </row>
    <row r="1766" spans="1:27" ht="15" customHeight="1" x14ac:dyDescent="0.25">
      <c r="A1766" t="s">
        <v>153</v>
      </c>
      <c r="L1766"/>
      <c r="M1766"/>
      <c r="N1766"/>
      <c r="O1766"/>
      <c r="P1766"/>
      <c r="T1766">
        <v>2465</v>
      </c>
      <c r="U1766" s="7">
        <v>3</v>
      </c>
      <c r="V1766" t="s">
        <v>613</v>
      </c>
      <c r="W1766" s="257" t="s">
        <v>795</v>
      </c>
      <c r="X1766" t="s">
        <v>802</v>
      </c>
      <c r="Y1766" s="316" t="s">
        <v>558</v>
      </c>
      <c r="Z1766" s="8">
        <v>98</v>
      </c>
      <c r="AA1766" s="202" t="str">
        <f t="shared" si="28"/>
        <v>Общая масса готового блюда, г</v>
      </c>
    </row>
    <row r="1767" spans="1:27" ht="15" customHeight="1" x14ac:dyDescent="0.25">
      <c r="A1767" t="s">
        <v>153</v>
      </c>
      <c r="L1767"/>
      <c r="M1767"/>
      <c r="N1767"/>
      <c r="O1767"/>
      <c r="P1767"/>
      <c r="T1767">
        <v>2465</v>
      </c>
      <c r="U1767" s="7">
        <v>3</v>
      </c>
      <c r="V1767" t="s">
        <v>613</v>
      </c>
      <c r="W1767" s="257" t="s">
        <v>795</v>
      </c>
      <c r="X1767" t="s">
        <v>802</v>
      </c>
      <c r="Y1767" s="316" t="s">
        <v>1214</v>
      </c>
      <c r="Z1767" s="8">
        <v>98</v>
      </c>
      <c r="AA1767" s="202" t="str">
        <f t="shared" si="28"/>
        <v>Масса мясных и рыбных порций, г</v>
      </c>
    </row>
    <row r="1768" spans="1:27" ht="15" customHeight="1" x14ac:dyDescent="0.25">
      <c r="A1768" t="s">
        <v>153</v>
      </c>
      <c r="L1768"/>
      <c r="M1768"/>
      <c r="N1768"/>
      <c r="O1768"/>
      <c r="P1768"/>
      <c r="T1768">
        <v>2465</v>
      </c>
      <c r="U1768" s="7">
        <v>3</v>
      </c>
      <c r="V1768" t="s">
        <v>613</v>
      </c>
      <c r="W1768" s="257" t="s">
        <v>792</v>
      </c>
      <c r="X1768" t="s">
        <v>803</v>
      </c>
      <c r="Y1768" s="316" t="s">
        <v>544</v>
      </c>
      <c r="Z1768" s="8">
        <v>120</v>
      </c>
      <c r="AA1768" s="202" t="str">
        <f t="shared" si="28"/>
        <v>Треска б/г</v>
      </c>
    </row>
    <row r="1769" spans="1:27" ht="15" customHeight="1" x14ac:dyDescent="0.25">
      <c r="A1769" t="s">
        <v>153</v>
      </c>
      <c r="L1769"/>
      <c r="M1769"/>
      <c r="N1769"/>
      <c r="O1769"/>
      <c r="P1769"/>
      <c r="T1769">
        <v>2465</v>
      </c>
      <c r="U1769" s="7">
        <v>3</v>
      </c>
      <c r="V1769" t="s">
        <v>613</v>
      </c>
      <c r="W1769" s="257" t="s">
        <v>792</v>
      </c>
      <c r="X1769" t="s">
        <v>803</v>
      </c>
      <c r="Y1769" s="316" t="s">
        <v>61</v>
      </c>
      <c r="Z1769" s="8">
        <v>5</v>
      </c>
      <c r="AA1769" s="202" t="str">
        <f t="shared" si="28"/>
        <v>Масло растительное</v>
      </c>
    </row>
    <row r="1770" spans="1:27" ht="15" customHeight="1" x14ac:dyDescent="0.25">
      <c r="A1770" t="s">
        <v>153</v>
      </c>
      <c r="L1770"/>
      <c r="M1770"/>
      <c r="N1770"/>
      <c r="O1770"/>
      <c r="P1770"/>
      <c r="T1770">
        <v>2465</v>
      </c>
      <c r="U1770" s="7">
        <v>3</v>
      </c>
      <c r="V1770" t="s">
        <v>613</v>
      </c>
      <c r="W1770" s="257" t="s">
        <v>792</v>
      </c>
      <c r="X1770" t="s">
        <v>803</v>
      </c>
      <c r="Y1770" s="316" t="s">
        <v>32</v>
      </c>
      <c r="Z1770" s="8">
        <v>20</v>
      </c>
      <c r="AA1770" s="202" t="str">
        <f t="shared" si="28"/>
        <v>Лук репчатый</v>
      </c>
    </row>
    <row r="1771" spans="1:27" ht="15" customHeight="1" x14ac:dyDescent="0.25">
      <c r="A1771" t="s">
        <v>153</v>
      </c>
      <c r="L1771"/>
      <c r="M1771"/>
      <c r="N1771"/>
      <c r="O1771"/>
      <c r="P1771"/>
      <c r="T1771">
        <v>2465</v>
      </c>
      <c r="U1771" s="7">
        <v>3</v>
      </c>
      <c r="V1771" t="s">
        <v>613</v>
      </c>
      <c r="W1771" s="257" t="s">
        <v>792</v>
      </c>
      <c r="X1771" t="s">
        <v>803</v>
      </c>
      <c r="Y1771" s="316" t="s">
        <v>434</v>
      </c>
      <c r="Z1771" s="8">
        <v>1</v>
      </c>
      <c r="AA1771" s="202" t="str">
        <f t="shared" si="28"/>
        <v>Мука пшеничная 1 с</v>
      </c>
    </row>
    <row r="1772" spans="1:27" ht="15" customHeight="1" x14ac:dyDescent="0.25">
      <c r="A1772" t="s">
        <v>153</v>
      </c>
      <c r="L1772"/>
      <c r="M1772"/>
      <c r="N1772"/>
      <c r="O1772"/>
      <c r="P1772"/>
      <c r="T1772">
        <v>2465</v>
      </c>
      <c r="U1772" s="7">
        <v>3</v>
      </c>
      <c r="V1772" t="s">
        <v>613</v>
      </c>
      <c r="W1772" s="257" t="s">
        <v>792</v>
      </c>
      <c r="X1772" t="s">
        <v>803</v>
      </c>
      <c r="Y1772" s="316" t="s">
        <v>326</v>
      </c>
      <c r="Z1772" s="8">
        <v>2</v>
      </c>
      <c r="AA1772" s="202" t="str">
        <f t="shared" si="28"/>
        <v>Соль</v>
      </c>
    </row>
    <row r="1773" spans="1:27" ht="15" customHeight="1" x14ac:dyDescent="0.25">
      <c r="A1773" t="s">
        <v>153</v>
      </c>
      <c r="L1773"/>
      <c r="M1773"/>
      <c r="N1773"/>
      <c r="O1773"/>
      <c r="P1773"/>
      <c r="T1773">
        <v>2465</v>
      </c>
      <c r="U1773" s="7">
        <v>3</v>
      </c>
      <c r="V1773" t="s">
        <v>613</v>
      </c>
      <c r="W1773" s="257" t="s">
        <v>792</v>
      </c>
      <c r="X1773" t="s">
        <v>803</v>
      </c>
      <c r="Y1773" s="316" t="s">
        <v>558</v>
      </c>
      <c r="Z1773" s="8">
        <v>74.819999999999993</v>
      </c>
      <c r="AA1773" s="202" t="str">
        <f t="shared" si="28"/>
        <v>Общая масса готового блюда, г</v>
      </c>
    </row>
    <row r="1774" spans="1:27" ht="15" customHeight="1" x14ac:dyDescent="0.25">
      <c r="A1774" t="s">
        <v>153</v>
      </c>
      <c r="L1774"/>
      <c r="M1774"/>
      <c r="N1774"/>
      <c r="O1774"/>
      <c r="P1774"/>
      <c r="T1774">
        <v>2465</v>
      </c>
      <c r="U1774" s="7">
        <v>3</v>
      </c>
      <c r="V1774" t="s">
        <v>613</v>
      </c>
      <c r="W1774" s="257" t="s">
        <v>792</v>
      </c>
      <c r="X1774" t="s">
        <v>803</v>
      </c>
      <c r="Y1774" s="316" t="s">
        <v>1214</v>
      </c>
      <c r="Z1774" s="8">
        <v>64</v>
      </c>
      <c r="AA1774" s="202" t="str">
        <f t="shared" si="28"/>
        <v>Масса мясных и рыбных порций, г</v>
      </c>
    </row>
    <row r="1775" spans="1:27" ht="15" customHeight="1" x14ac:dyDescent="0.25">
      <c r="A1775" t="s">
        <v>153</v>
      </c>
      <c r="L1775"/>
      <c r="M1775"/>
      <c r="N1775"/>
      <c r="O1775"/>
      <c r="P1775"/>
      <c r="T1775">
        <v>2465</v>
      </c>
      <c r="U1775" s="7">
        <v>3</v>
      </c>
      <c r="V1775" t="s">
        <v>613</v>
      </c>
      <c r="W1775" s="257" t="s">
        <v>792</v>
      </c>
      <c r="X1775" t="s">
        <v>804</v>
      </c>
      <c r="Y1775" s="316" t="s">
        <v>1225</v>
      </c>
      <c r="Z1775" s="8">
        <v>120</v>
      </c>
      <c r="AA1775" s="202" t="str">
        <f t="shared" si="28"/>
        <v>Хек б/г</v>
      </c>
    </row>
    <row r="1776" spans="1:27" ht="15" customHeight="1" x14ac:dyDescent="0.25">
      <c r="A1776" t="s">
        <v>153</v>
      </c>
      <c r="L1776"/>
      <c r="M1776"/>
      <c r="N1776"/>
      <c r="O1776"/>
      <c r="P1776"/>
      <c r="T1776">
        <v>2465</v>
      </c>
      <c r="U1776" s="7">
        <v>3</v>
      </c>
      <c r="V1776" t="s">
        <v>613</v>
      </c>
      <c r="W1776" s="257" t="s">
        <v>792</v>
      </c>
      <c r="X1776" t="s">
        <v>804</v>
      </c>
      <c r="Y1776" s="316" t="s">
        <v>61</v>
      </c>
      <c r="Z1776" s="8">
        <v>5</v>
      </c>
      <c r="AA1776" s="202" t="str">
        <f t="shared" si="28"/>
        <v>Масло растительное</v>
      </c>
    </row>
    <row r="1777" spans="1:27" ht="15" customHeight="1" x14ac:dyDescent="0.25">
      <c r="A1777" t="s">
        <v>153</v>
      </c>
      <c r="L1777"/>
      <c r="M1777"/>
      <c r="N1777"/>
      <c r="O1777"/>
      <c r="P1777"/>
      <c r="T1777">
        <v>2465</v>
      </c>
      <c r="U1777" s="7">
        <v>3</v>
      </c>
      <c r="V1777" t="s">
        <v>613</v>
      </c>
      <c r="W1777" s="257" t="s">
        <v>792</v>
      </c>
      <c r="X1777" t="s">
        <v>804</v>
      </c>
      <c r="Y1777" s="316" t="s">
        <v>32</v>
      </c>
      <c r="Z1777" s="8">
        <v>20</v>
      </c>
      <c r="AA1777" s="202" t="str">
        <f t="shared" si="28"/>
        <v>Лук репчатый</v>
      </c>
    </row>
    <row r="1778" spans="1:27" ht="15" customHeight="1" x14ac:dyDescent="0.25">
      <c r="A1778" t="s">
        <v>153</v>
      </c>
      <c r="L1778"/>
      <c r="M1778"/>
      <c r="N1778"/>
      <c r="O1778"/>
      <c r="P1778"/>
      <c r="T1778">
        <v>2465</v>
      </c>
      <c r="U1778" s="7">
        <v>3</v>
      </c>
      <c r="V1778" t="s">
        <v>613</v>
      </c>
      <c r="W1778" s="257" t="s">
        <v>792</v>
      </c>
      <c r="X1778" t="s">
        <v>804</v>
      </c>
      <c r="Y1778" s="316" t="s">
        <v>434</v>
      </c>
      <c r="Z1778" s="8">
        <v>1</v>
      </c>
      <c r="AA1778" s="202" t="str">
        <f t="shared" si="28"/>
        <v>Мука пшеничная 1 с</v>
      </c>
    </row>
    <row r="1779" spans="1:27" ht="15" customHeight="1" x14ac:dyDescent="0.25">
      <c r="A1779" t="s">
        <v>153</v>
      </c>
      <c r="L1779"/>
      <c r="M1779"/>
      <c r="N1779"/>
      <c r="O1779"/>
      <c r="P1779"/>
      <c r="T1779">
        <v>2465</v>
      </c>
      <c r="U1779" s="7">
        <v>3</v>
      </c>
      <c r="V1779" t="s">
        <v>613</v>
      </c>
      <c r="W1779" s="257" t="s">
        <v>792</v>
      </c>
      <c r="X1779" t="s">
        <v>804</v>
      </c>
      <c r="Y1779" s="316" t="s">
        <v>326</v>
      </c>
      <c r="Z1779" s="8">
        <v>2</v>
      </c>
      <c r="AA1779" s="202" t="str">
        <f t="shared" si="28"/>
        <v>Соль</v>
      </c>
    </row>
    <row r="1780" spans="1:27" ht="15" customHeight="1" x14ac:dyDescent="0.25">
      <c r="A1780" t="s">
        <v>153</v>
      </c>
      <c r="L1780"/>
      <c r="M1780"/>
      <c r="N1780"/>
      <c r="O1780"/>
      <c r="P1780"/>
      <c r="T1780">
        <v>2465</v>
      </c>
      <c r="U1780" s="7">
        <v>3</v>
      </c>
      <c r="V1780" t="s">
        <v>613</v>
      </c>
      <c r="W1780" s="257" t="s">
        <v>792</v>
      </c>
      <c r="X1780" t="s">
        <v>804</v>
      </c>
      <c r="Y1780" s="316" t="s">
        <v>558</v>
      </c>
      <c r="Z1780" s="8">
        <v>118.75</v>
      </c>
      <c r="AA1780" s="202" t="str">
        <f t="shared" si="28"/>
        <v>Общая масса готового блюда, г</v>
      </c>
    </row>
    <row r="1781" spans="1:27" ht="15" customHeight="1" x14ac:dyDescent="0.25">
      <c r="A1781" t="s">
        <v>153</v>
      </c>
      <c r="L1781"/>
      <c r="M1781"/>
      <c r="N1781"/>
      <c r="O1781"/>
      <c r="P1781"/>
      <c r="T1781">
        <v>2465</v>
      </c>
      <c r="U1781" s="7">
        <v>3</v>
      </c>
      <c r="V1781" t="s">
        <v>613</v>
      </c>
      <c r="W1781" s="257" t="s">
        <v>792</v>
      </c>
      <c r="X1781" t="s">
        <v>804</v>
      </c>
      <c r="Y1781" s="316" t="s">
        <v>1214</v>
      </c>
      <c r="Z1781" s="8">
        <v>108</v>
      </c>
      <c r="AA1781" s="202" t="str">
        <f t="shared" si="28"/>
        <v>Масса мясных и рыбных порций, г</v>
      </c>
    </row>
    <row r="1782" spans="1:27" ht="15" customHeight="1" x14ac:dyDescent="0.25">
      <c r="A1782" t="s">
        <v>153</v>
      </c>
      <c r="L1782"/>
      <c r="M1782"/>
      <c r="N1782"/>
      <c r="O1782"/>
      <c r="P1782"/>
      <c r="T1782">
        <v>2465</v>
      </c>
      <c r="U1782" s="7">
        <v>3</v>
      </c>
      <c r="V1782" t="s">
        <v>613</v>
      </c>
      <c r="W1782" s="257" t="s">
        <v>795</v>
      </c>
      <c r="X1782" t="s">
        <v>1213</v>
      </c>
      <c r="Y1782" s="316" t="s">
        <v>518</v>
      </c>
      <c r="Z1782" s="8">
        <v>130</v>
      </c>
      <c r="AA1782" s="202" t="str">
        <f t="shared" si="28"/>
        <v>Щука б/г</v>
      </c>
    </row>
    <row r="1783" spans="1:27" ht="15" customHeight="1" x14ac:dyDescent="0.25">
      <c r="A1783" t="s">
        <v>153</v>
      </c>
      <c r="L1783"/>
      <c r="M1783"/>
      <c r="N1783"/>
      <c r="O1783"/>
      <c r="P1783"/>
      <c r="T1783">
        <v>2465</v>
      </c>
      <c r="U1783" s="7">
        <v>3</v>
      </c>
      <c r="V1783" t="s">
        <v>613</v>
      </c>
      <c r="W1783" s="257" t="s">
        <v>795</v>
      </c>
      <c r="X1783" t="s">
        <v>1213</v>
      </c>
      <c r="Y1783" s="316" t="s">
        <v>61</v>
      </c>
      <c r="Z1783" s="8">
        <v>5</v>
      </c>
      <c r="AA1783" s="202" t="str">
        <f t="shared" si="28"/>
        <v>Масло растительное</v>
      </c>
    </row>
    <row r="1784" spans="1:27" ht="15" customHeight="1" x14ac:dyDescent="0.25">
      <c r="A1784" t="s">
        <v>153</v>
      </c>
      <c r="L1784"/>
      <c r="M1784"/>
      <c r="N1784"/>
      <c r="O1784"/>
      <c r="P1784"/>
      <c r="T1784">
        <v>2465</v>
      </c>
      <c r="U1784" s="7">
        <v>3</v>
      </c>
      <c r="V1784" t="s">
        <v>613</v>
      </c>
      <c r="W1784" s="257" t="s">
        <v>795</v>
      </c>
      <c r="X1784" t="s">
        <v>1213</v>
      </c>
      <c r="Y1784" s="316" t="s">
        <v>326</v>
      </c>
      <c r="Z1784" s="8">
        <v>2</v>
      </c>
      <c r="AA1784" s="202" t="str">
        <f t="shared" si="28"/>
        <v>Соль</v>
      </c>
    </row>
    <row r="1785" spans="1:27" ht="15" customHeight="1" x14ac:dyDescent="0.25">
      <c r="A1785" t="s">
        <v>153</v>
      </c>
      <c r="L1785"/>
      <c r="M1785"/>
      <c r="N1785"/>
      <c r="O1785"/>
      <c r="P1785"/>
      <c r="T1785">
        <v>2465</v>
      </c>
      <c r="U1785" s="7">
        <v>3</v>
      </c>
      <c r="V1785" t="s">
        <v>613</v>
      </c>
      <c r="W1785" s="257" t="s">
        <v>795</v>
      </c>
      <c r="X1785" t="s">
        <v>1213</v>
      </c>
      <c r="Y1785" s="316" t="s">
        <v>438</v>
      </c>
      <c r="Z1785" s="8">
        <v>15</v>
      </c>
      <c r="AA1785" s="202" t="str">
        <f t="shared" si="28"/>
        <v>Хлеб из муки пш. 1 сорта</v>
      </c>
    </row>
    <row r="1786" spans="1:27" ht="15" customHeight="1" x14ac:dyDescent="0.25">
      <c r="A1786" t="s">
        <v>153</v>
      </c>
      <c r="L1786"/>
      <c r="M1786"/>
      <c r="N1786"/>
      <c r="O1786"/>
      <c r="P1786"/>
      <c r="T1786">
        <v>2465</v>
      </c>
      <c r="U1786" s="7">
        <v>3</v>
      </c>
      <c r="V1786" t="s">
        <v>613</v>
      </c>
      <c r="W1786" s="257" t="s">
        <v>795</v>
      </c>
      <c r="X1786" t="s">
        <v>1213</v>
      </c>
      <c r="Y1786" t="s">
        <v>436</v>
      </c>
      <c r="Z1786" s="8">
        <v>7</v>
      </c>
      <c r="AA1786" s="202" t="str">
        <f t="shared" si="28"/>
        <v>Сухари</v>
      </c>
    </row>
    <row r="1787" spans="1:27" ht="15" customHeight="1" x14ac:dyDescent="0.25">
      <c r="A1787" t="s">
        <v>153</v>
      </c>
      <c r="L1787"/>
      <c r="M1787"/>
      <c r="N1787"/>
      <c r="O1787"/>
      <c r="P1787"/>
      <c r="T1787">
        <v>2465</v>
      </c>
      <c r="U1787" s="7">
        <v>3</v>
      </c>
      <c r="V1787" t="s">
        <v>613</v>
      </c>
      <c r="W1787" s="257" t="s">
        <v>795</v>
      </c>
      <c r="X1787" t="s">
        <v>1213</v>
      </c>
      <c r="Y1787" s="316" t="s">
        <v>330</v>
      </c>
      <c r="Z1787" s="8">
        <v>17</v>
      </c>
      <c r="AA1787" s="202" t="str">
        <f t="shared" si="28"/>
        <v>Вода</v>
      </c>
    </row>
    <row r="1788" spans="1:27" ht="15" customHeight="1" x14ac:dyDescent="0.25">
      <c r="A1788" t="s">
        <v>153</v>
      </c>
      <c r="L1788"/>
      <c r="M1788"/>
      <c r="N1788"/>
      <c r="O1788"/>
      <c r="P1788"/>
      <c r="T1788">
        <v>2465</v>
      </c>
      <c r="U1788" s="7">
        <v>3</v>
      </c>
      <c r="V1788" t="s">
        <v>613</v>
      </c>
      <c r="W1788" s="257" t="s">
        <v>795</v>
      </c>
      <c r="X1788" t="s">
        <v>1213</v>
      </c>
      <c r="Y1788" s="316" t="s">
        <v>558</v>
      </c>
      <c r="Z1788" s="8">
        <v>93.6</v>
      </c>
      <c r="AA1788" s="202" t="str">
        <f t="shared" si="28"/>
        <v>Общая масса готового блюда, г</v>
      </c>
    </row>
    <row r="1789" spans="1:27" ht="15" customHeight="1" x14ac:dyDescent="0.25">
      <c r="A1789" t="s">
        <v>153</v>
      </c>
      <c r="L1789"/>
      <c r="M1789"/>
      <c r="N1789"/>
      <c r="O1789"/>
      <c r="P1789"/>
      <c r="T1789">
        <v>2465</v>
      </c>
      <c r="U1789" s="7">
        <v>3</v>
      </c>
      <c r="V1789" t="s">
        <v>613</v>
      </c>
      <c r="W1789" s="257" t="s">
        <v>795</v>
      </c>
      <c r="X1789" t="s">
        <v>1213</v>
      </c>
      <c r="Y1789" s="316" t="s">
        <v>1214</v>
      </c>
      <c r="Z1789" s="8">
        <v>93.6</v>
      </c>
      <c r="AA1789" s="202" t="str">
        <f t="shared" si="28"/>
        <v>Масса мясных и рыбных порций, г</v>
      </c>
    </row>
    <row r="1790" spans="1:27" ht="15" customHeight="1" x14ac:dyDescent="0.25">
      <c r="A1790" t="s">
        <v>153</v>
      </c>
      <c r="L1790"/>
      <c r="M1790"/>
      <c r="N1790"/>
      <c r="O1790"/>
      <c r="P1790"/>
      <c r="T1790">
        <v>2465</v>
      </c>
      <c r="U1790" s="7">
        <v>3</v>
      </c>
      <c r="V1790" t="s">
        <v>613</v>
      </c>
      <c r="W1790" s="257" t="s">
        <v>792</v>
      </c>
      <c r="X1790" t="s">
        <v>805</v>
      </c>
      <c r="Y1790" s="316" t="s">
        <v>519</v>
      </c>
      <c r="Z1790" s="8">
        <v>156</v>
      </c>
      <c r="AA1790" s="202" t="str">
        <f t="shared" si="28"/>
        <v>Щука с/г</v>
      </c>
    </row>
    <row r="1791" spans="1:27" ht="15" customHeight="1" x14ac:dyDescent="0.25">
      <c r="A1791" t="s">
        <v>153</v>
      </c>
      <c r="L1791"/>
      <c r="M1791"/>
      <c r="N1791"/>
      <c r="O1791"/>
      <c r="P1791"/>
      <c r="T1791">
        <v>2465</v>
      </c>
      <c r="U1791" s="7">
        <v>3</v>
      </c>
      <c r="V1791" t="s">
        <v>613</v>
      </c>
      <c r="W1791" s="257" t="s">
        <v>792</v>
      </c>
      <c r="X1791" t="s">
        <v>805</v>
      </c>
      <c r="Y1791" s="316" t="s">
        <v>61</v>
      </c>
      <c r="Z1791" s="8">
        <v>5</v>
      </c>
      <c r="AA1791" s="202" t="str">
        <f t="shared" si="28"/>
        <v>Масло растительное</v>
      </c>
    </row>
    <row r="1792" spans="1:27" ht="15" customHeight="1" x14ac:dyDescent="0.25">
      <c r="A1792" t="s">
        <v>153</v>
      </c>
      <c r="L1792"/>
      <c r="M1792"/>
      <c r="N1792"/>
      <c r="O1792"/>
      <c r="P1792"/>
      <c r="T1792">
        <v>2465</v>
      </c>
      <c r="U1792" s="7">
        <v>3</v>
      </c>
      <c r="V1792" t="s">
        <v>613</v>
      </c>
      <c r="W1792" s="257" t="s">
        <v>792</v>
      </c>
      <c r="X1792" t="s">
        <v>805</v>
      </c>
      <c r="Y1792" s="316" t="s">
        <v>32</v>
      </c>
      <c r="Z1792" s="8">
        <v>20</v>
      </c>
      <c r="AA1792" s="202" t="str">
        <f t="shared" si="28"/>
        <v>Лук репчатый</v>
      </c>
    </row>
    <row r="1793" spans="1:27" ht="15" customHeight="1" x14ac:dyDescent="0.25">
      <c r="A1793" t="s">
        <v>153</v>
      </c>
      <c r="L1793"/>
      <c r="M1793"/>
      <c r="N1793"/>
      <c r="O1793"/>
      <c r="P1793"/>
      <c r="T1793">
        <v>2465</v>
      </c>
      <c r="U1793" s="7">
        <v>3</v>
      </c>
      <c r="V1793" t="s">
        <v>613</v>
      </c>
      <c r="W1793" s="257" t="s">
        <v>792</v>
      </c>
      <c r="X1793" t="s">
        <v>805</v>
      </c>
      <c r="Y1793" s="316" t="s">
        <v>434</v>
      </c>
      <c r="Z1793" s="8">
        <v>1</v>
      </c>
      <c r="AA1793" s="202" t="str">
        <f t="shared" si="28"/>
        <v>Мука пшеничная 1 с</v>
      </c>
    </row>
    <row r="1794" spans="1:27" ht="15" customHeight="1" x14ac:dyDescent="0.25">
      <c r="A1794" t="s">
        <v>153</v>
      </c>
      <c r="L1794"/>
      <c r="M1794"/>
      <c r="N1794"/>
      <c r="O1794"/>
      <c r="P1794"/>
      <c r="T1794">
        <v>2465</v>
      </c>
      <c r="U1794" s="7">
        <v>3</v>
      </c>
      <c r="V1794" t="s">
        <v>613</v>
      </c>
      <c r="W1794" s="257" t="s">
        <v>792</v>
      </c>
      <c r="X1794" t="s">
        <v>805</v>
      </c>
      <c r="Y1794" s="316" t="s">
        <v>326</v>
      </c>
      <c r="Z1794" s="8">
        <v>2</v>
      </c>
      <c r="AA1794" s="202" t="str">
        <f t="shared" ref="AA1794:AA1857" si="29">VLOOKUP(Y1794,O:P,2,FALSE)</f>
        <v>Соль</v>
      </c>
    </row>
    <row r="1795" spans="1:27" ht="15" customHeight="1" x14ac:dyDescent="0.25">
      <c r="A1795" t="s">
        <v>153</v>
      </c>
      <c r="L1795"/>
      <c r="M1795"/>
      <c r="N1795"/>
      <c r="O1795"/>
      <c r="P1795"/>
      <c r="T1795">
        <v>2465</v>
      </c>
      <c r="U1795" s="7">
        <v>3</v>
      </c>
      <c r="V1795" t="s">
        <v>613</v>
      </c>
      <c r="W1795" s="257" t="s">
        <v>792</v>
      </c>
      <c r="X1795" t="s">
        <v>805</v>
      </c>
      <c r="Y1795" s="316" t="s">
        <v>558</v>
      </c>
      <c r="Z1795" s="8">
        <v>92.3</v>
      </c>
      <c r="AA1795" s="202" t="str">
        <f t="shared" si="29"/>
        <v>Общая масса готового блюда, г</v>
      </c>
    </row>
    <row r="1796" spans="1:27" ht="15" customHeight="1" x14ac:dyDescent="0.25">
      <c r="A1796" t="s">
        <v>153</v>
      </c>
      <c r="L1796"/>
      <c r="M1796"/>
      <c r="N1796"/>
      <c r="O1796"/>
      <c r="P1796"/>
      <c r="T1796">
        <v>2465</v>
      </c>
      <c r="U1796" s="7">
        <v>3</v>
      </c>
      <c r="V1796" t="s">
        <v>613</v>
      </c>
      <c r="W1796" s="257" t="s">
        <v>792</v>
      </c>
      <c r="X1796" t="s">
        <v>805</v>
      </c>
      <c r="Y1796" s="316" t="s">
        <v>1214</v>
      </c>
      <c r="Z1796" s="8">
        <v>82</v>
      </c>
      <c r="AA1796" s="202" t="str">
        <f t="shared" si="29"/>
        <v>Масса мясных и рыбных порций, г</v>
      </c>
    </row>
    <row r="1797" spans="1:27" ht="15" customHeight="1" x14ac:dyDescent="0.25">
      <c r="A1797" t="s">
        <v>153</v>
      </c>
      <c r="L1797"/>
      <c r="M1797"/>
      <c r="N1797"/>
      <c r="O1797"/>
      <c r="P1797"/>
      <c r="T1797">
        <v>1506</v>
      </c>
      <c r="U1797" s="7">
        <v>3</v>
      </c>
      <c r="V1797" t="s">
        <v>613</v>
      </c>
      <c r="W1797" s="257">
        <v>3.5</v>
      </c>
      <c r="X1797" t="s">
        <v>806</v>
      </c>
      <c r="Y1797" s="316" t="s">
        <v>419</v>
      </c>
      <c r="Z1797" s="8">
        <v>120</v>
      </c>
      <c r="AA1797" s="202" t="str">
        <f t="shared" si="29"/>
        <v>Рыба с/м б/г</v>
      </c>
    </row>
    <row r="1798" spans="1:27" ht="15" customHeight="1" x14ac:dyDescent="0.25">
      <c r="A1798" t="s">
        <v>153</v>
      </c>
      <c r="L1798"/>
      <c r="M1798"/>
      <c r="N1798"/>
      <c r="O1798"/>
      <c r="P1798"/>
      <c r="T1798">
        <v>1507</v>
      </c>
      <c r="U1798" s="7">
        <v>3</v>
      </c>
      <c r="V1798" t="s">
        <v>613</v>
      </c>
      <c r="W1798" s="257">
        <v>3.5</v>
      </c>
      <c r="X1798" t="s">
        <v>806</v>
      </c>
      <c r="Y1798" s="316" t="s">
        <v>326</v>
      </c>
      <c r="Z1798" s="8">
        <v>2</v>
      </c>
      <c r="AA1798" s="202" t="str">
        <f t="shared" si="29"/>
        <v>Соль</v>
      </c>
    </row>
    <row r="1799" spans="1:27" ht="15" customHeight="1" x14ac:dyDescent="0.25">
      <c r="A1799" t="s">
        <v>153</v>
      </c>
      <c r="L1799"/>
      <c r="M1799"/>
      <c r="N1799"/>
      <c r="O1799"/>
      <c r="P1799"/>
      <c r="T1799">
        <v>1508</v>
      </c>
      <c r="U1799" s="7">
        <v>3</v>
      </c>
      <c r="V1799" t="s">
        <v>613</v>
      </c>
      <c r="W1799" s="257">
        <v>3.5</v>
      </c>
      <c r="X1799" t="s">
        <v>806</v>
      </c>
      <c r="Y1799" s="316" t="s">
        <v>61</v>
      </c>
      <c r="Z1799" s="8">
        <v>5</v>
      </c>
      <c r="AA1799" s="202" t="str">
        <f t="shared" si="29"/>
        <v>Масло растительное</v>
      </c>
    </row>
    <row r="1800" spans="1:27" ht="15" customHeight="1" x14ac:dyDescent="0.25">
      <c r="A1800" t="s">
        <v>153</v>
      </c>
      <c r="L1800"/>
      <c r="M1800"/>
      <c r="N1800"/>
      <c r="O1800"/>
      <c r="P1800"/>
      <c r="T1800">
        <v>1509</v>
      </c>
      <c r="U1800" s="7">
        <v>3</v>
      </c>
      <c r="V1800" t="s">
        <v>613</v>
      </c>
      <c r="W1800" s="257">
        <v>3.5</v>
      </c>
      <c r="X1800" t="s">
        <v>806</v>
      </c>
      <c r="Y1800" s="316" t="s">
        <v>434</v>
      </c>
      <c r="Z1800" s="8">
        <v>7</v>
      </c>
      <c r="AA1800" s="202" t="str">
        <f t="shared" si="29"/>
        <v>Мука пшеничная 1 с</v>
      </c>
    </row>
    <row r="1801" spans="1:27" ht="15" customHeight="1" x14ac:dyDescent="0.25">
      <c r="A1801" t="s">
        <v>153</v>
      </c>
      <c r="L1801"/>
      <c r="M1801"/>
      <c r="N1801"/>
      <c r="O1801"/>
      <c r="P1801"/>
      <c r="T1801">
        <v>1510</v>
      </c>
      <c r="U1801" s="7">
        <v>3</v>
      </c>
      <c r="V1801" t="s">
        <v>613</v>
      </c>
      <c r="W1801" s="257">
        <v>3.5</v>
      </c>
      <c r="X1801" t="s">
        <v>806</v>
      </c>
      <c r="Y1801" s="316" t="s">
        <v>46</v>
      </c>
      <c r="Z1801" s="8">
        <v>10</v>
      </c>
      <c r="AA1801" s="202" t="str">
        <f t="shared" si="29"/>
        <v>Морковь</v>
      </c>
    </row>
    <row r="1802" spans="1:27" ht="15" customHeight="1" x14ac:dyDescent="0.25">
      <c r="A1802" t="s">
        <v>153</v>
      </c>
      <c r="L1802"/>
      <c r="M1802"/>
      <c r="N1802"/>
      <c r="O1802"/>
      <c r="P1802"/>
      <c r="T1802">
        <v>1511</v>
      </c>
      <c r="U1802" s="7">
        <v>3</v>
      </c>
      <c r="V1802" t="s">
        <v>613</v>
      </c>
      <c r="W1802" s="257">
        <v>3.5</v>
      </c>
      <c r="X1802" t="s">
        <v>806</v>
      </c>
      <c r="Y1802" s="316" t="s">
        <v>445</v>
      </c>
      <c r="Z1802" s="8">
        <v>10</v>
      </c>
      <c r="AA1802" s="202" t="str">
        <f t="shared" si="29"/>
        <v>Огурцы консерв.</v>
      </c>
    </row>
    <row r="1803" spans="1:27" ht="15" customHeight="1" x14ac:dyDescent="0.25">
      <c r="A1803" t="s">
        <v>153</v>
      </c>
      <c r="L1803"/>
      <c r="M1803"/>
      <c r="N1803"/>
      <c r="O1803"/>
      <c r="P1803"/>
      <c r="T1803">
        <v>1512</v>
      </c>
      <c r="U1803" s="7">
        <v>3</v>
      </c>
      <c r="V1803" t="s">
        <v>613</v>
      </c>
      <c r="W1803" s="257">
        <v>3.5</v>
      </c>
      <c r="X1803" t="s">
        <v>806</v>
      </c>
      <c r="Y1803" s="316" t="s">
        <v>32</v>
      </c>
      <c r="Z1803" s="8">
        <v>10</v>
      </c>
      <c r="AA1803" s="202" t="str">
        <f t="shared" si="29"/>
        <v>Лук репчатый</v>
      </c>
    </row>
    <row r="1804" spans="1:27" ht="15" customHeight="1" x14ac:dyDescent="0.25">
      <c r="A1804" t="s">
        <v>153</v>
      </c>
      <c r="L1804"/>
      <c r="M1804"/>
      <c r="N1804"/>
      <c r="O1804"/>
      <c r="P1804"/>
      <c r="T1804">
        <v>1513</v>
      </c>
      <c r="U1804" s="7">
        <v>3</v>
      </c>
      <c r="V1804" t="s">
        <v>613</v>
      </c>
      <c r="W1804" s="257">
        <v>3.5</v>
      </c>
      <c r="X1804" t="s">
        <v>806</v>
      </c>
      <c r="Y1804" s="316" t="s">
        <v>76</v>
      </c>
      <c r="Z1804" s="8">
        <v>2</v>
      </c>
      <c r="AA1804" s="202" t="str">
        <f t="shared" si="29"/>
        <v>Томат-паста</v>
      </c>
    </row>
    <row r="1805" spans="1:27" ht="15" customHeight="1" x14ac:dyDescent="0.25">
      <c r="A1805" t="s">
        <v>153</v>
      </c>
      <c r="L1805"/>
      <c r="M1805"/>
      <c r="N1805"/>
      <c r="O1805"/>
      <c r="P1805"/>
      <c r="T1805">
        <v>1514</v>
      </c>
      <c r="U1805" s="7">
        <v>3</v>
      </c>
      <c r="V1805" t="s">
        <v>613</v>
      </c>
      <c r="W1805" s="257">
        <v>3.5</v>
      </c>
      <c r="X1805" t="s">
        <v>806</v>
      </c>
      <c r="Y1805" s="316" t="s">
        <v>484</v>
      </c>
      <c r="Z1805" s="8">
        <v>0.01</v>
      </c>
      <c r="AA1805" s="202" t="str">
        <f t="shared" si="29"/>
        <v>Перец черный</v>
      </c>
    </row>
    <row r="1806" spans="1:27" ht="15" customHeight="1" x14ac:dyDescent="0.25">
      <c r="A1806" t="s">
        <v>153</v>
      </c>
      <c r="L1806"/>
      <c r="M1806"/>
      <c r="N1806"/>
      <c r="O1806"/>
      <c r="P1806"/>
      <c r="T1806">
        <v>1515</v>
      </c>
      <c r="U1806" s="7">
        <v>3</v>
      </c>
      <c r="V1806" t="s">
        <v>613</v>
      </c>
      <c r="W1806" s="257">
        <v>3.5</v>
      </c>
      <c r="X1806" t="s">
        <v>806</v>
      </c>
      <c r="Y1806" s="316" t="s">
        <v>1215</v>
      </c>
      <c r="Z1806" s="8">
        <v>134</v>
      </c>
      <c r="AA1806" s="202" t="str">
        <f t="shared" si="29"/>
        <v>Общая масса готового блюда, г</v>
      </c>
    </row>
    <row r="1807" spans="1:27" ht="15" customHeight="1" x14ac:dyDescent="0.25">
      <c r="A1807" t="s">
        <v>153</v>
      </c>
      <c r="L1807"/>
      <c r="M1807"/>
      <c r="N1807"/>
      <c r="O1807"/>
      <c r="P1807"/>
      <c r="T1807">
        <v>1515</v>
      </c>
      <c r="U1807" s="7">
        <v>3</v>
      </c>
      <c r="V1807" t="s">
        <v>613</v>
      </c>
      <c r="W1807" s="257">
        <v>3.5</v>
      </c>
      <c r="X1807" t="s">
        <v>806</v>
      </c>
      <c r="Y1807" s="316" t="s">
        <v>1214</v>
      </c>
      <c r="Z1807" s="8">
        <v>134</v>
      </c>
      <c r="AA1807" s="202" t="str">
        <f t="shared" si="29"/>
        <v>Масса мясных и рыбных порций, г</v>
      </c>
    </row>
    <row r="1808" spans="1:27" ht="15" customHeight="1" x14ac:dyDescent="0.25">
      <c r="A1808" t="s">
        <v>153</v>
      </c>
      <c r="L1808"/>
      <c r="M1808"/>
      <c r="N1808"/>
      <c r="O1808"/>
      <c r="P1808"/>
      <c r="T1808">
        <v>1576</v>
      </c>
      <c r="U1808" s="7">
        <v>3</v>
      </c>
      <c r="V1808" t="s">
        <v>613</v>
      </c>
      <c r="W1808" s="257" t="s">
        <v>807</v>
      </c>
      <c r="X1808" t="s">
        <v>808</v>
      </c>
      <c r="Y1808" s="316" t="s">
        <v>464</v>
      </c>
      <c r="Z1808" s="8">
        <v>142</v>
      </c>
      <c r="AA1808" s="202" t="str">
        <f t="shared" si="29"/>
        <v>Горбуша б/г</v>
      </c>
    </row>
    <row r="1809" spans="1:27" ht="15" customHeight="1" x14ac:dyDescent="0.25">
      <c r="A1809" t="s">
        <v>153</v>
      </c>
      <c r="L1809"/>
      <c r="M1809"/>
      <c r="N1809"/>
      <c r="O1809"/>
      <c r="P1809"/>
      <c r="T1809">
        <v>1577</v>
      </c>
      <c r="U1809" s="7">
        <v>3</v>
      </c>
      <c r="V1809" t="s">
        <v>613</v>
      </c>
      <c r="W1809" s="257" t="s">
        <v>807</v>
      </c>
      <c r="X1809" t="s">
        <v>808</v>
      </c>
      <c r="Y1809" s="316" t="s">
        <v>326</v>
      </c>
      <c r="Z1809" s="8">
        <v>2</v>
      </c>
      <c r="AA1809" s="202" t="str">
        <f t="shared" si="29"/>
        <v>Соль</v>
      </c>
    </row>
    <row r="1810" spans="1:27" ht="15" customHeight="1" x14ac:dyDescent="0.25">
      <c r="A1810" t="s">
        <v>153</v>
      </c>
      <c r="L1810"/>
      <c r="M1810"/>
      <c r="N1810"/>
      <c r="O1810"/>
      <c r="P1810"/>
      <c r="T1810">
        <v>1578</v>
      </c>
      <c r="U1810" s="7">
        <v>3</v>
      </c>
      <c r="V1810" t="s">
        <v>613</v>
      </c>
      <c r="W1810" s="257" t="s">
        <v>807</v>
      </c>
      <c r="X1810" t="s">
        <v>808</v>
      </c>
      <c r="Y1810" s="316" t="s">
        <v>61</v>
      </c>
      <c r="Z1810" s="8">
        <v>5</v>
      </c>
      <c r="AA1810" s="202" t="str">
        <f t="shared" si="29"/>
        <v>Масло растительное</v>
      </c>
    </row>
    <row r="1811" spans="1:27" ht="15" customHeight="1" x14ac:dyDescent="0.25">
      <c r="A1811" t="s">
        <v>153</v>
      </c>
      <c r="L1811"/>
      <c r="M1811"/>
      <c r="N1811"/>
      <c r="O1811"/>
      <c r="P1811"/>
      <c r="T1811">
        <v>1579</v>
      </c>
      <c r="U1811" s="7">
        <v>3</v>
      </c>
      <c r="V1811" t="s">
        <v>613</v>
      </c>
      <c r="W1811" s="257" t="s">
        <v>807</v>
      </c>
      <c r="X1811" t="s">
        <v>808</v>
      </c>
      <c r="Y1811" s="316" t="s">
        <v>434</v>
      </c>
      <c r="Z1811" s="8">
        <v>7</v>
      </c>
      <c r="AA1811" s="202" t="str">
        <f t="shared" si="29"/>
        <v>Мука пшеничная 1 с</v>
      </c>
    </row>
    <row r="1812" spans="1:27" ht="15" customHeight="1" x14ac:dyDescent="0.25">
      <c r="A1812" t="s">
        <v>153</v>
      </c>
      <c r="L1812"/>
      <c r="M1812"/>
      <c r="N1812"/>
      <c r="O1812"/>
      <c r="P1812"/>
      <c r="T1812">
        <v>1580</v>
      </c>
      <c r="U1812" s="7">
        <v>3</v>
      </c>
      <c r="V1812" t="s">
        <v>613</v>
      </c>
      <c r="W1812" s="257" t="s">
        <v>807</v>
      </c>
      <c r="X1812" t="s">
        <v>808</v>
      </c>
      <c r="Y1812" s="316" t="s">
        <v>46</v>
      </c>
      <c r="Z1812" s="8">
        <v>10</v>
      </c>
      <c r="AA1812" s="202" t="str">
        <f t="shared" si="29"/>
        <v>Морковь</v>
      </c>
    </row>
    <row r="1813" spans="1:27" ht="15" customHeight="1" x14ac:dyDescent="0.25">
      <c r="A1813" t="s">
        <v>153</v>
      </c>
      <c r="L1813"/>
      <c r="M1813"/>
      <c r="N1813"/>
      <c r="O1813"/>
      <c r="P1813"/>
      <c r="T1813">
        <v>1581</v>
      </c>
      <c r="U1813" s="7">
        <v>3</v>
      </c>
      <c r="V1813" t="s">
        <v>613</v>
      </c>
      <c r="W1813" s="257" t="s">
        <v>807</v>
      </c>
      <c r="X1813" t="s">
        <v>808</v>
      </c>
      <c r="Y1813" s="316" t="s">
        <v>445</v>
      </c>
      <c r="Z1813" s="8">
        <v>10</v>
      </c>
      <c r="AA1813" s="202" t="str">
        <f t="shared" si="29"/>
        <v>Огурцы консерв.</v>
      </c>
    </row>
    <row r="1814" spans="1:27" ht="15" customHeight="1" x14ac:dyDescent="0.25">
      <c r="A1814" t="s">
        <v>153</v>
      </c>
      <c r="L1814"/>
      <c r="M1814"/>
      <c r="N1814"/>
      <c r="O1814"/>
      <c r="P1814"/>
      <c r="T1814">
        <v>1582</v>
      </c>
      <c r="U1814" s="7">
        <v>3</v>
      </c>
      <c r="V1814" t="s">
        <v>613</v>
      </c>
      <c r="W1814" s="257" t="s">
        <v>807</v>
      </c>
      <c r="X1814" t="s">
        <v>808</v>
      </c>
      <c r="Y1814" s="316" t="s">
        <v>32</v>
      </c>
      <c r="Z1814" s="8">
        <v>10</v>
      </c>
      <c r="AA1814" s="202" t="str">
        <f t="shared" si="29"/>
        <v>Лук репчатый</v>
      </c>
    </row>
    <row r="1815" spans="1:27" ht="15" customHeight="1" x14ac:dyDescent="0.25">
      <c r="A1815" t="s">
        <v>153</v>
      </c>
      <c r="L1815"/>
      <c r="M1815"/>
      <c r="N1815"/>
      <c r="O1815"/>
      <c r="P1815"/>
      <c r="T1815">
        <v>1583</v>
      </c>
      <c r="U1815" s="7">
        <v>3</v>
      </c>
      <c r="V1815" t="s">
        <v>613</v>
      </c>
      <c r="W1815" s="257" t="s">
        <v>807</v>
      </c>
      <c r="X1815" t="s">
        <v>808</v>
      </c>
      <c r="Y1815" s="316" t="s">
        <v>76</v>
      </c>
      <c r="Z1815" s="8">
        <v>2</v>
      </c>
      <c r="AA1815" s="202" t="str">
        <f t="shared" si="29"/>
        <v>Томат-паста</v>
      </c>
    </row>
    <row r="1816" spans="1:27" ht="15" customHeight="1" x14ac:dyDescent="0.25">
      <c r="A1816" t="s">
        <v>153</v>
      </c>
      <c r="L1816"/>
      <c r="M1816"/>
      <c r="N1816"/>
      <c r="O1816"/>
      <c r="P1816"/>
      <c r="T1816">
        <v>1584</v>
      </c>
      <c r="U1816" s="7">
        <v>3</v>
      </c>
      <c r="V1816" t="s">
        <v>613</v>
      </c>
      <c r="W1816" s="257" t="s">
        <v>807</v>
      </c>
      <c r="X1816" t="s">
        <v>808</v>
      </c>
      <c r="Y1816" s="316" t="s">
        <v>484</v>
      </c>
      <c r="Z1816" s="8">
        <v>0.01</v>
      </c>
      <c r="AA1816" s="202" t="str">
        <f t="shared" si="29"/>
        <v>Перец черный</v>
      </c>
    </row>
    <row r="1817" spans="1:27" ht="15" customHeight="1" x14ac:dyDescent="0.25">
      <c r="A1817" t="s">
        <v>153</v>
      </c>
      <c r="L1817"/>
      <c r="M1817"/>
      <c r="N1817"/>
      <c r="O1817"/>
      <c r="P1817"/>
      <c r="T1817">
        <v>1585</v>
      </c>
      <c r="U1817" s="7">
        <v>3</v>
      </c>
      <c r="V1817" t="s">
        <v>613</v>
      </c>
      <c r="W1817" s="257" t="s">
        <v>807</v>
      </c>
      <c r="X1817" t="s">
        <v>808</v>
      </c>
      <c r="Y1817" s="316" t="s">
        <v>558</v>
      </c>
      <c r="Z1817" s="8">
        <v>157.84000000000003</v>
      </c>
      <c r="AA1817" s="202" t="str">
        <f t="shared" si="29"/>
        <v>Общая масса готового блюда, г</v>
      </c>
    </row>
    <row r="1818" spans="1:27" ht="15" customHeight="1" x14ac:dyDescent="0.25">
      <c r="A1818" t="s">
        <v>153</v>
      </c>
      <c r="L1818"/>
      <c r="M1818"/>
      <c r="N1818"/>
      <c r="O1818"/>
      <c r="P1818"/>
      <c r="T1818">
        <v>1585</v>
      </c>
      <c r="U1818" s="7">
        <v>3</v>
      </c>
      <c r="V1818" t="s">
        <v>613</v>
      </c>
      <c r="W1818" s="257" t="s">
        <v>807</v>
      </c>
      <c r="X1818" t="s">
        <v>808</v>
      </c>
      <c r="Y1818" s="316" t="s">
        <v>1214</v>
      </c>
      <c r="Z1818" s="8">
        <v>107.8</v>
      </c>
      <c r="AA1818" s="202" t="str">
        <f t="shared" si="29"/>
        <v>Масса мясных и рыбных порций, г</v>
      </c>
    </row>
    <row r="1819" spans="1:27" ht="15" customHeight="1" x14ac:dyDescent="0.25">
      <c r="A1819" t="s">
        <v>153</v>
      </c>
      <c r="L1819"/>
      <c r="M1819"/>
      <c r="N1819"/>
      <c r="O1819"/>
      <c r="P1819"/>
      <c r="T1819">
        <v>1566</v>
      </c>
      <c r="U1819" s="7">
        <v>3</v>
      </c>
      <c r="V1819" t="s">
        <v>613</v>
      </c>
      <c r="W1819" s="257" t="s">
        <v>809</v>
      </c>
      <c r="X1819" t="s">
        <v>810</v>
      </c>
      <c r="Y1819" s="316" t="s">
        <v>465</v>
      </c>
      <c r="Z1819" s="8">
        <v>128.80000000000001</v>
      </c>
      <c r="AA1819" s="202" t="str">
        <f t="shared" si="29"/>
        <v>Горбуша с/г</v>
      </c>
    </row>
    <row r="1820" spans="1:27" ht="15" customHeight="1" x14ac:dyDescent="0.25">
      <c r="A1820" t="s">
        <v>153</v>
      </c>
      <c r="L1820"/>
      <c r="M1820"/>
      <c r="N1820"/>
      <c r="O1820"/>
      <c r="P1820"/>
      <c r="T1820">
        <v>1567</v>
      </c>
      <c r="U1820" s="7">
        <v>3</v>
      </c>
      <c r="V1820" t="s">
        <v>613</v>
      </c>
      <c r="W1820" s="257" t="s">
        <v>809</v>
      </c>
      <c r="X1820" t="s">
        <v>810</v>
      </c>
      <c r="Y1820" s="316" t="s">
        <v>326</v>
      </c>
      <c r="Z1820" s="8">
        <v>2</v>
      </c>
      <c r="AA1820" s="202" t="str">
        <f t="shared" si="29"/>
        <v>Соль</v>
      </c>
    </row>
    <row r="1821" spans="1:27" ht="15" customHeight="1" x14ac:dyDescent="0.25">
      <c r="A1821" t="s">
        <v>153</v>
      </c>
      <c r="L1821"/>
      <c r="M1821"/>
      <c r="N1821"/>
      <c r="O1821"/>
      <c r="P1821"/>
      <c r="T1821">
        <v>1568</v>
      </c>
      <c r="U1821" s="7">
        <v>3</v>
      </c>
      <c r="V1821" t="s">
        <v>613</v>
      </c>
      <c r="W1821" s="257" t="s">
        <v>809</v>
      </c>
      <c r="X1821" t="s">
        <v>810</v>
      </c>
      <c r="Y1821" s="316" t="s">
        <v>61</v>
      </c>
      <c r="Z1821" s="8">
        <v>5</v>
      </c>
      <c r="AA1821" s="202" t="str">
        <f t="shared" si="29"/>
        <v>Масло растительное</v>
      </c>
    </row>
    <row r="1822" spans="1:27" ht="15" customHeight="1" x14ac:dyDescent="0.25">
      <c r="A1822" t="s">
        <v>153</v>
      </c>
      <c r="L1822"/>
      <c r="M1822"/>
      <c r="N1822"/>
      <c r="O1822"/>
      <c r="P1822"/>
      <c r="T1822">
        <v>1569</v>
      </c>
      <c r="U1822" s="7">
        <v>3</v>
      </c>
      <c r="V1822" t="s">
        <v>613</v>
      </c>
      <c r="W1822" s="257" t="s">
        <v>809</v>
      </c>
      <c r="X1822" t="s">
        <v>810</v>
      </c>
      <c r="Y1822" s="316" t="s">
        <v>434</v>
      </c>
      <c r="Z1822" s="8">
        <v>7</v>
      </c>
      <c r="AA1822" s="202" t="str">
        <f t="shared" si="29"/>
        <v>Мука пшеничная 1 с</v>
      </c>
    </row>
    <row r="1823" spans="1:27" ht="15" customHeight="1" x14ac:dyDescent="0.25">
      <c r="A1823" t="s">
        <v>153</v>
      </c>
      <c r="L1823"/>
      <c r="M1823"/>
      <c r="N1823"/>
      <c r="O1823"/>
      <c r="P1823"/>
      <c r="T1823">
        <v>1570</v>
      </c>
      <c r="U1823" s="7">
        <v>3</v>
      </c>
      <c r="V1823" t="s">
        <v>613</v>
      </c>
      <c r="W1823" s="257" t="s">
        <v>809</v>
      </c>
      <c r="X1823" t="s">
        <v>810</v>
      </c>
      <c r="Y1823" s="316" t="s">
        <v>46</v>
      </c>
      <c r="Z1823" s="8">
        <v>10</v>
      </c>
      <c r="AA1823" s="202" t="str">
        <f t="shared" si="29"/>
        <v>Морковь</v>
      </c>
    </row>
    <row r="1824" spans="1:27" ht="15" customHeight="1" x14ac:dyDescent="0.25">
      <c r="A1824" t="s">
        <v>153</v>
      </c>
      <c r="L1824"/>
      <c r="M1824"/>
      <c r="N1824"/>
      <c r="O1824"/>
      <c r="P1824"/>
      <c r="T1824">
        <v>1571</v>
      </c>
      <c r="U1824" s="7">
        <v>3</v>
      </c>
      <c r="V1824" t="s">
        <v>613</v>
      </c>
      <c r="W1824" s="257" t="s">
        <v>809</v>
      </c>
      <c r="X1824" t="s">
        <v>810</v>
      </c>
      <c r="Y1824" s="316" t="s">
        <v>445</v>
      </c>
      <c r="Z1824" s="8">
        <v>10</v>
      </c>
      <c r="AA1824" s="202" t="str">
        <f t="shared" si="29"/>
        <v>Огурцы консерв.</v>
      </c>
    </row>
    <row r="1825" spans="1:27" ht="15" customHeight="1" x14ac:dyDescent="0.25">
      <c r="A1825" t="s">
        <v>153</v>
      </c>
      <c r="L1825"/>
      <c r="M1825"/>
      <c r="N1825"/>
      <c r="O1825"/>
      <c r="P1825"/>
      <c r="T1825">
        <v>1572</v>
      </c>
      <c r="U1825" s="7">
        <v>3</v>
      </c>
      <c r="V1825" t="s">
        <v>613</v>
      </c>
      <c r="W1825" s="257" t="s">
        <v>809</v>
      </c>
      <c r="X1825" t="s">
        <v>810</v>
      </c>
      <c r="Y1825" s="316" t="s">
        <v>32</v>
      </c>
      <c r="Z1825" s="8">
        <v>10</v>
      </c>
      <c r="AA1825" s="202" t="str">
        <f t="shared" si="29"/>
        <v>Лук репчатый</v>
      </c>
    </row>
    <row r="1826" spans="1:27" ht="15" customHeight="1" x14ac:dyDescent="0.25">
      <c r="A1826" t="s">
        <v>153</v>
      </c>
      <c r="L1826"/>
      <c r="M1826"/>
      <c r="N1826"/>
      <c r="O1826"/>
      <c r="P1826"/>
      <c r="T1826">
        <v>1573</v>
      </c>
      <c r="U1826" s="7">
        <v>3</v>
      </c>
      <c r="V1826" t="s">
        <v>613</v>
      </c>
      <c r="W1826" s="257" t="s">
        <v>809</v>
      </c>
      <c r="X1826" t="s">
        <v>810</v>
      </c>
      <c r="Y1826" s="316" t="s">
        <v>76</v>
      </c>
      <c r="Z1826" s="8">
        <v>2</v>
      </c>
      <c r="AA1826" s="202" t="str">
        <f t="shared" si="29"/>
        <v>Томат-паста</v>
      </c>
    </row>
    <row r="1827" spans="1:27" ht="15" customHeight="1" x14ac:dyDescent="0.25">
      <c r="A1827" t="s">
        <v>153</v>
      </c>
      <c r="L1827"/>
      <c r="M1827"/>
      <c r="N1827"/>
      <c r="O1827"/>
      <c r="P1827"/>
      <c r="T1827">
        <v>1574</v>
      </c>
      <c r="U1827" s="7">
        <v>3</v>
      </c>
      <c r="V1827" t="s">
        <v>613</v>
      </c>
      <c r="W1827" s="257" t="s">
        <v>809</v>
      </c>
      <c r="X1827" t="s">
        <v>810</v>
      </c>
      <c r="Y1827" s="316" t="s">
        <v>484</v>
      </c>
      <c r="Z1827" s="8">
        <v>0.01</v>
      </c>
      <c r="AA1827" s="202" t="str">
        <f t="shared" si="29"/>
        <v>Перец черный</v>
      </c>
    </row>
    <row r="1828" spans="1:27" ht="15" customHeight="1" x14ac:dyDescent="0.25">
      <c r="A1828" t="s">
        <v>153</v>
      </c>
      <c r="L1828"/>
      <c r="M1828"/>
      <c r="N1828"/>
      <c r="O1828"/>
      <c r="P1828"/>
      <c r="T1828">
        <v>1575</v>
      </c>
      <c r="U1828" s="7">
        <v>3</v>
      </c>
      <c r="V1828" t="s">
        <v>613</v>
      </c>
      <c r="W1828" s="257" t="s">
        <v>809</v>
      </c>
      <c r="X1828" t="s">
        <v>810</v>
      </c>
      <c r="Y1828" s="316" t="s">
        <v>558</v>
      </c>
      <c r="Z1828" s="8">
        <v>118.45440000000001</v>
      </c>
      <c r="AA1828" s="202" t="str">
        <f t="shared" si="29"/>
        <v>Общая масса готового блюда, г</v>
      </c>
    </row>
    <row r="1829" spans="1:27" ht="15" customHeight="1" x14ac:dyDescent="0.25">
      <c r="A1829" t="s">
        <v>153</v>
      </c>
      <c r="L1829"/>
      <c r="M1829"/>
      <c r="N1829"/>
      <c r="O1829"/>
      <c r="P1829"/>
      <c r="T1829">
        <v>1575</v>
      </c>
      <c r="U1829" s="7">
        <v>3</v>
      </c>
      <c r="V1829" t="s">
        <v>613</v>
      </c>
      <c r="W1829" s="257" t="s">
        <v>809</v>
      </c>
      <c r="X1829" t="s">
        <v>810</v>
      </c>
      <c r="Y1829" s="316" t="s">
        <v>1214</v>
      </c>
      <c r="Z1829" s="8">
        <v>68.5</v>
      </c>
      <c r="AA1829" s="202" t="str">
        <f t="shared" si="29"/>
        <v>Масса мясных и рыбных порций, г</v>
      </c>
    </row>
    <row r="1830" spans="1:27" ht="15" customHeight="1" x14ac:dyDescent="0.25">
      <c r="A1830" t="s">
        <v>153</v>
      </c>
      <c r="L1830"/>
      <c r="M1830"/>
      <c r="N1830"/>
      <c r="O1830"/>
      <c r="P1830"/>
      <c r="T1830">
        <v>1556</v>
      </c>
      <c r="U1830" s="7">
        <v>3</v>
      </c>
      <c r="V1830" t="s">
        <v>613</v>
      </c>
      <c r="W1830" s="257" t="s">
        <v>811</v>
      </c>
      <c r="X1830" t="s">
        <v>812</v>
      </c>
      <c r="Y1830" s="316" t="s">
        <v>1228</v>
      </c>
      <c r="Z1830" s="8">
        <v>140.85000000000002</v>
      </c>
      <c r="AA1830" s="202" t="str">
        <f t="shared" si="29"/>
        <v>Камбала с/г</v>
      </c>
    </row>
    <row r="1831" spans="1:27" ht="15" customHeight="1" x14ac:dyDescent="0.25">
      <c r="A1831" t="s">
        <v>153</v>
      </c>
      <c r="L1831"/>
      <c r="M1831"/>
      <c r="N1831"/>
      <c r="O1831"/>
      <c r="P1831"/>
      <c r="T1831">
        <v>1557</v>
      </c>
      <c r="U1831" s="7">
        <v>3</v>
      </c>
      <c r="V1831" t="s">
        <v>613</v>
      </c>
      <c r="W1831" s="257" t="s">
        <v>811</v>
      </c>
      <c r="X1831" t="s">
        <v>812</v>
      </c>
      <c r="Y1831" s="316" t="s">
        <v>326</v>
      </c>
      <c r="Z1831" s="8">
        <v>2</v>
      </c>
      <c r="AA1831" s="202" t="str">
        <f t="shared" si="29"/>
        <v>Соль</v>
      </c>
    </row>
    <row r="1832" spans="1:27" ht="15" customHeight="1" x14ac:dyDescent="0.25">
      <c r="A1832" t="s">
        <v>153</v>
      </c>
      <c r="L1832"/>
      <c r="M1832"/>
      <c r="N1832"/>
      <c r="O1832"/>
      <c r="P1832"/>
      <c r="T1832">
        <v>1558</v>
      </c>
      <c r="U1832" s="7">
        <v>3</v>
      </c>
      <c r="V1832" t="s">
        <v>613</v>
      </c>
      <c r="W1832" s="257" t="s">
        <v>811</v>
      </c>
      <c r="X1832" t="s">
        <v>812</v>
      </c>
      <c r="Y1832" s="316" t="s">
        <v>61</v>
      </c>
      <c r="Z1832" s="8">
        <v>5</v>
      </c>
      <c r="AA1832" s="202" t="str">
        <f t="shared" si="29"/>
        <v>Масло растительное</v>
      </c>
    </row>
    <row r="1833" spans="1:27" ht="15" customHeight="1" x14ac:dyDescent="0.25">
      <c r="A1833" t="s">
        <v>153</v>
      </c>
      <c r="L1833"/>
      <c r="M1833"/>
      <c r="N1833"/>
      <c r="O1833"/>
      <c r="P1833"/>
      <c r="T1833">
        <v>1559</v>
      </c>
      <c r="U1833" s="7">
        <v>3</v>
      </c>
      <c r="V1833" t="s">
        <v>613</v>
      </c>
      <c r="W1833" s="257" t="s">
        <v>811</v>
      </c>
      <c r="X1833" t="s">
        <v>812</v>
      </c>
      <c r="Y1833" s="316" t="s">
        <v>434</v>
      </c>
      <c r="Z1833" s="8">
        <v>7</v>
      </c>
      <c r="AA1833" s="202" t="str">
        <f t="shared" si="29"/>
        <v>Мука пшеничная 1 с</v>
      </c>
    </row>
    <row r="1834" spans="1:27" ht="15" customHeight="1" x14ac:dyDescent="0.25">
      <c r="A1834" t="s">
        <v>153</v>
      </c>
      <c r="L1834"/>
      <c r="M1834"/>
      <c r="N1834"/>
      <c r="O1834"/>
      <c r="P1834"/>
      <c r="T1834">
        <v>1560</v>
      </c>
      <c r="U1834" s="7">
        <v>3</v>
      </c>
      <c r="V1834" t="s">
        <v>613</v>
      </c>
      <c r="W1834" s="257" t="s">
        <v>811</v>
      </c>
      <c r="X1834" t="s">
        <v>812</v>
      </c>
      <c r="Y1834" s="316" t="s">
        <v>46</v>
      </c>
      <c r="Z1834" s="8">
        <v>10</v>
      </c>
      <c r="AA1834" s="202" t="str">
        <f t="shared" si="29"/>
        <v>Морковь</v>
      </c>
    </row>
    <row r="1835" spans="1:27" ht="15" customHeight="1" x14ac:dyDescent="0.25">
      <c r="A1835" t="s">
        <v>153</v>
      </c>
      <c r="L1835"/>
      <c r="M1835"/>
      <c r="N1835"/>
      <c r="O1835"/>
      <c r="P1835"/>
      <c r="T1835">
        <v>1561</v>
      </c>
      <c r="U1835" s="7">
        <v>3</v>
      </c>
      <c r="V1835" t="s">
        <v>613</v>
      </c>
      <c r="W1835" s="257" t="s">
        <v>811</v>
      </c>
      <c r="X1835" t="s">
        <v>812</v>
      </c>
      <c r="Y1835" s="316" t="s">
        <v>445</v>
      </c>
      <c r="Z1835" s="8">
        <v>10</v>
      </c>
      <c r="AA1835" s="202" t="str">
        <f t="shared" si="29"/>
        <v>Огурцы консерв.</v>
      </c>
    </row>
    <row r="1836" spans="1:27" ht="15" customHeight="1" x14ac:dyDescent="0.25">
      <c r="A1836" t="s">
        <v>153</v>
      </c>
      <c r="L1836"/>
      <c r="M1836"/>
      <c r="N1836"/>
      <c r="O1836"/>
      <c r="P1836"/>
      <c r="T1836">
        <v>1562</v>
      </c>
      <c r="U1836" s="7">
        <v>3</v>
      </c>
      <c r="V1836" t="s">
        <v>613</v>
      </c>
      <c r="W1836" s="257" t="s">
        <v>811</v>
      </c>
      <c r="X1836" t="s">
        <v>812</v>
      </c>
      <c r="Y1836" s="316" t="s">
        <v>32</v>
      </c>
      <c r="Z1836" s="8">
        <v>10</v>
      </c>
      <c r="AA1836" s="202" t="str">
        <f t="shared" si="29"/>
        <v>Лук репчатый</v>
      </c>
    </row>
    <row r="1837" spans="1:27" ht="15" customHeight="1" x14ac:dyDescent="0.25">
      <c r="A1837" t="s">
        <v>153</v>
      </c>
      <c r="L1837"/>
      <c r="M1837"/>
      <c r="N1837"/>
      <c r="O1837"/>
      <c r="P1837"/>
      <c r="T1837">
        <v>1563</v>
      </c>
      <c r="U1837" s="7">
        <v>3</v>
      </c>
      <c r="V1837" t="s">
        <v>613</v>
      </c>
      <c r="W1837" s="257" t="s">
        <v>811</v>
      </c>
      <c r="X1837" t="s">
        <v>812</v>
      </c>
      <c r="Y1837" s="316" t="s">
        <v>76</v>
      </c>
      <c r="Z1837" s="8">
        <v>2</v>
      </c>
      <c r="AA1837" s="202" t="str">
        <f t="shared" si="29"/>
        <v>Томат-паста</v>
      </c>
    </row>
    <row r="1838" spans="1:27" ht="15" customHeight="1" x14ac:dyDescent="0.25">
      <c r="A1838" t="s">
        <v>153</v>
      </c>
      <c r="L1838"/>
      <c r="M1838"/>
      <c r="N1838"/>
      <c r="O1838"/>
      <c r="P1838"/>
      <c r="T1838">
        <v>1564</v>
      </c>
      <c r="U1838" s="7">
        <v>3</v>
      </c>
      <c r="V1838" t="s">
        <v>613</v>
      </c>
      <c r="W1838" s="257" t="s">
        <v>811</v>
      </c>
      <c r="X1838" t="s">
        <v>812</v>
      </c>
      <c r="Y1838" s="316" t="s">
        <v>484</v>
      </c>
      <c r="Z1838" s="8">
        <v>0.01</v>
      </c>
      <c r="AA1838" s="202" t="str">
        <f t="shared" si="29"/>
        <v>Перец черный</v>
      </c>
    </row>
    <row r="1839" spans="1:27" ht="15" customHeight="1" x14ac:dyDescent="0.25">
      <c r="A1839" t="s">
        <v>153</v>
      </c>
      <c r="L1839"/>
      <c r="M1839"/>
      <c r="N1839"/>
      <c r="O1839"/>
      <c r="P1839"/>
      <c r="T1839">
        <v>1565</v>
      </c>
      <c r="U1839" s="7">
        <v>3</v>
      </c>
      <c r="V1839" t="s">
        <v>613</v>
      </c>
      <c r="W1839" s="257" t="s">
        <v>811</v>
      </c>
      <c r="X1839" t="s">
        <v>812</v>
      </c>
      <c r="Y1839" s="316" t="s">
        <v>558</v>
      </c>
      <c r="Z1839" s="8">
        <v>155.67435</v>
      </c>
      <c r="AA1839" s="202" t="str">
        <f t="shared" si="29"/>
        <v>Общая масса готового блюда, г</v>
      </c>
    </row>
    <row r="1840" spans="1:27" ht="15" customHeight="1" x14ac:dyDescent="0.25">
      <c r="A1840" t="s">
        <v>153</v>
      </c>
      <c r="L1840"/>
      <c r="M1840"/>
      <c r="N1840"/>
      <c r="O1840"/>
      <c r="P1840"/>
      <c r="T1840">
        <v>1565</v>
      </c>
      <c r="U1840" s="7">
        <v>3</v>
      </c>
      <c r="V1840" t="s">
        <v>613</v>
      </c>
      <c r="W1840" s="257" t="s">
        <v>811</v>
      </c>
      <c r="X1840" t="s">
        <v>812</v>
      </c>
      <c r="Y1840" s="316" t="s">
        <v>1214</v>
      </c>
      <c r="Z1840" s="8">
        <v>105.7</v>
      </c>
      <c r="AA1840" s="202" t="str">
        <f t="shared" si="29"/>
        <v>Масса мясных и рыбных порций, г</v>
      </c>
    </row>
    <row r="1841" spans="1:27" ht="15" customHeight="1" x14ac:dyDescent="0.25">
      <c r="A1841" t="s">
        <v>153</v>
      </c>
      <c r="L1841"/>
      <c r="M1841"/>
      <c r="N1841"/>
      <c r="O1841"/>
      <c r="P1841"/>
      <c r="T1841">
        <v>1536</v>
      </c>
      <c r="U1841" s="7">
        <v>3</v>
      </c>
      <c r="V1841" t="s">
        <v>613</v>
      </c>
      <c r="W1841" s="257" t="s">
        <v>813</v>
      </c>
      <c r="X1841" t="s">
        <v>814</v>
      </c>
      <c r="Y1841" s="316" t="s">
        <v>466</v>
      </c>
      <c r="Z1841" s="8">
        <v>120.75200000000001</v>
      </c>
      <c r="AA1841" s="202" t="str">
        <f t="shared" si="29"/>
        <v>Навага б/г</v>
      </c>
    </row>
    <row r="1842" spans="1:27" ht="15" customHeight="1" x14ac:dyDescent="0.25">
      <c r="A1842" t="s">
        <v>153</v>
      </c>
      <c r="L1842"/>
      <c r="M1842"/>
      <c r="N1842"/>
      <c r="O1842"/>
      <c r="P1842"/>
      <c r="T1842">
        <v>1537</v>
      </c>
      <c r="U1842" s="7">
        <v>3</v>
      </c>
      <c r="V1842" t="s">
        <v>613</v>
      </c>
      <c r="W1842" s="257" t="s">
        <v>813</v>
      </c>
      <c r="X1842" t="s">
        <v>814</v>
      </c>
      <c r="Y1842" s="316" t="s">
        <v>326</v>
      </c>
      <c r="Z1842" s="8">
        <v>2</v>
      </c>
      <c r="AA1842" s="202" t="str">
        <f t="shared" si="29"/>
        <v>Соль</v>
      </c>
    </row>
    <row r="1843" spans="1:27" ht="15" customHeight="1" x14ac:dyDescent="0.25">
      <c r="A1843" t="s">
        <v>153</v>
      </c>
      <c r="L1843"/>
      <c r="M1843"/>
      <c r="N1843"/>
      <c r="O1843"/>
      <c r="P1843"/>
      <c r="T1843">
        <v>1538</v>
      </c>
      <c r="U1843" s="7">
        <v>3</v>
      </c>
      <c r="V1843" t="s">
        <v>613</v>
      </c>
      <c r="W1843" s="257" t="s">
        <v>813</v>
      </c>
      <c r="X1843" t="s">
        <v>814</v>
      </c>
      <c r="Y1843" s="316" t="s">
        <v>61</v>
      </c>
      <c r="Z1843" s="8">
        <v>5</v>
      </c>
      <c r="AA1843" s="202" t="str">
        <f t="shared" si="29"/>
        <v>Масло растительное</v>
      </c>
    </row>
    <row r="1844" spans="1:27" ht="15" customHeight="1" x14ac:dyDescent="0.25">
      <c r="A1844" t="s">
        <v>153</v>
      </c>
      <c r="L1844"/>
      <c r="M1844"/>
      <c r="N1844"/>
      <c r="O1844"/>
      <c r="P1844"/>
      <c r="T1844">
        <v>1539</v>
      </c>
      <c r="U1844" s="7">
        <v>3</v>
      </c>
      <c r="V1844" t="s">
        <v>613</v>
      </c>
      <c r="W1844" s="257" t="s">
        <v>813</v>
      </c>
      <c r="X1844" t="s">
        <v>814</v>
      </c>
      <c r="Y1844" s="316" t="s">
        <v>434</v>
      </c>
      <c r="Z1844" s="8">
        <v>7</v>
      </c>
      <c r="AA1844" s="202" t="str">
        <f t="shared" si="29"/>
        <v>Мука пшеничная 1 с</v>
      </c>
    </row>
    <row r="1845" spans="1:27" ht="15" customHeight="1" x14ac:dyDescent="0.25">
      <c r="A1845" t="s">
        <v>153</v>
      </c>
      <c r="L1845"/>
      <c r="M1845"/>
      <c r="N1845"/>
      <c r="O1845"/>
      <c r="P1845"/>
      <c r="T1845">
        <v>1540</v>
      </c>
      <c r="U1845" s="7">
        <v>3</v>
      </c>
      <c r="V1845" t="s">
        <v>613</v>
      </c>
      <c r="W1845" s="257" t="s">
        <v>813</v>
      </c>
      <c r="X1845" t="s">
        <v>814</v>
      </c>
      <c r="Y1845" s="316" t="s">
        <v>46</v>
      </c>
      <c r="Z1845" s="8">
        <v>10</v>
      </c>
      <c r="AA1845" s="202" t="str">
        <f t="shared" si="29"/>
        <v>Морковь</v>
      </c>
    </row>
    <row r="1846" spans="1:27" ht="15" customHeight="1" x14ac:dyDescent="0.25">
      <c r="A1846" t="s">
        <v>153</v>
      </c>
      <c r="L1846"/>
      <c r="M1846"/>
      <c r="N1846"/>
      <c r="O1846"/>
      <c r="P1846"/>
      <c r="T1846">
        <v>1541</v>
      </c>
      <c r="U1846" s="7">
        <v>3</v>
      </c>
      <c r="V1846" t="s">
        <v>613</v>
      </c>
      <c r="W1846" s="257" t="s">
        <v>813</v>
      </c>
      <c r="X1846" t="s">
        <v>814</v>
      </c>
      <c r="Y1846" s="316" t="s">
        <v>445</v>
      </c>
      <c r="Z1846" s="8">
        <v>10</v>
      </c>
      <c r="AA1846" s="202" t="str">
        <f t="shared" si="29"/>
        <v>Огурцы консерв.</v>
      </c>
    </row>
    <row r="1847" spans="1:27" ht="15" customHeight="1" x14ac:dyDescent="0.25">
      <c r="A1847" t="s">
        <v>153</v>
      </c>
      <c r="L1847"/>
      <c r="M1847"/>
      <c r="N1847"/>
      <c r="O1847"/>
      <c r="P1847"/>
      <c r="T1847">
        <v>1542</v>
      </c>
      <c r="U1847" s="7">
        <v>3</v>
      </c>
      <c r="V1847" t="s">
        <v>613</v>
      </c>
      <c r="W1847" s="257" t="s">
        <v>813</v>
      </c>
      <c r="X1847" t="s">
        <v>814</v>
      </c>
      <c r="Y1847" s="316" t="s">
        <v>32</v>
      </c>
      <c r="Z1847" s="8">
        <v>10</v>
      </c>
      <c r="AA1847" s="202" t="str">
        <f t="shared" si="29"/>
        <v>Лук репчатый</v>
      </c>
    </row>
    <row r="1848" spans="1:27" ht="15" customHeight="1" x14ac:dyDescent="0.25">
      <c r="A1848" t="s">
        <v>153</v>
      </c>
      <c r="L1848"/>
      <c r="M1848"/>
      <c r="N1848"/>
      <c r="O1848"/>
      <c r="P1848"/>
      <c r="T1848">
        <v>1543</v>
      </c>
      <c r="U1848" s="7">
        <v>3</v>
      </c>
      <c r="V1848" t="s">
        <v>613</v>
      </c>
      <c r="W1848" s="257" t="s">
        <v>813</v>
      </c>
      <c r="X1848" t="s">
        <v>814</v>
      </c>
      <c r="Y1848" s="316" t="s">
        <v>76</v>
      </c>
      <c r="Z1848" s="8">
        <v>2</v>
      </c>
      <c r="AA1848" s="202" t="str">
        <f t="shared" si="29"/>
        <v>Томат-паста</v>
      </c>
    </row>
    <row r="1849" spans="1:27" ht="15" customHeight="1" x14ac:dyDescent="0.25">
      <c r="A1849" t="s">
        <v>153</v>
      </c>
      <c r="L1849"/>
      <c r="M1849"/>
      <c r="N1849"/>
      <c r="O1849"/>
      <c r="P1849"/>
      <c r="T1849">
        <v>1544</v>
      </c>
      <c r="U1849" s="7">
        <v>3</v>
      </c>
      <c r="V1849" t="s">
        <v>613</v>
      </c>
      <c r="W1849" s="257" t="s">
        <v>813</v>
      </c>
      <c r="X1849" t="s">
        <v>814</v>
      </c>
      <c r="Y1849" s="316" t="s">
        <v>484</v>
      </c>
      <c r="Z1849" s="8">
        <v>0.01</v>
      </c>
      <c r="AA1849" s="202" t="str">
        <f t="shared" si="29"/>
        <v>Перец черный</v>
      </c>
    </row>
    <row r="1850" spans="1:27" ht="15" customHeight="1" x14ac:dyDescent="0.25">
      <c r="A1850" t="s">
        <v>153</v>
      </c>
      <c r="L1850"/>
      <c r="M1850"/>
      <c r="N1850"/>
      <c r="O1850"/>
      <c r="P1850"/>
      <c r="T1850">
        <v>1545</v>
      </c>
      <c r="U1850" s="7">
        <v>3</v>
      </c>
      <c r="V1850" t="s">
        <v>613</v>
      </c>
      <c r="W1850" s="257" t="s">
        <v>813</v>
      </c>
      <c r="X1850" t="s">
        <v>814</v>
      </c>
      <c r="Y1850" s="316" t="s">
        <v>558</v>
      </c>
      <c r="Z1850" s="8">
        <v>121.1953792</v>
      </c>
      <c r="AA1850" s="202" t="str">
        <f t="shared" si="29"/>
        <v>Общая масса готового блюда, г</v>
      </c>
    </row>
    <row r="1851" spans="1:27" ht="15" customHeight="1" x14ac:dyDescent="0.25">
      <c r="A1851" t="s">
        <v>153</v>
      </c>
      <c r="L1851"/>
      <c r="M1851"/>
      <c r="N1851"/>
      <c r="O1851"/>
      <c r="P1851"/>
      <c r="T1851">
        <v>1545</v>
      </c>
      <c r="U1851" s="7">
        <v>3</v>
      </c>
      <c r="V1851" t="s">
        <v>613</v>
      </c>
      <c r="W1851" s="257" t="s">
        <v>813</v>
      </c>
      <c r="X1851" t="s">
        <v>814</v>
      </c>
      <c r="Y1851" s="316" t="s">
        <v>1214</v>
      </c>
      <c r="Z1851" s="8">
        <v>71.2</v>
      </c>
      <c r="AA1851" s="202" t="str">
        <f t="shared" si="29"/>
        <v>Масса мясных и рыбных порций, г</v>
      </c>
    </row>
    <row r="1852" spans="1:27" ht="15" customHeight="1" x14ac:dyDescent="0.25">
      <c r="A1852" t="s">
        <v>153</v>
      </c>
      <c r="L1852"/>
      <c r="M1852"/>
      <c r="N1852"/>
      <c r="O1852"/>
      <c r="P1852"/>
      <c r="T1852">
        <v>1526</v>
      </c>
      <c r="U1852" s="7">
        <v>3</v>
      </c>
      <c r="V1852" t="s">
        <v>613</v>
      </c>
      <c r="W1852" s="257" t="s">
        <v>815</v>
      </c>
      <c r="X1852" t="s">
        <v>816</v>
      </c>
      <c r="Y1852" s="316" t="s">
        <v>467</v>
      </c>
      <c r="Z1852" s="8">
        <v>137.19999999999999</v>
      </c>
      <c r="AA1852" s="202" t="str">
        <f t="shared" si="29"/>
        <v>Пикша б/г</v>
      </c>
    </row>
    <row r="1853" spans="1:27" ht="15" customHeight="1" x14ac:dyDescent="0.25">
      <c r="A1853" t="s">
        <v>153</v>
      </c>
      <c r="L1853"/>
      <c r="M1853"/>
      <c r="N1853"/>
      <c r="O1853"/>
      <c r="P1853"/>
      <c r="T1853">
        <v>1527</v>
      </c>
      <c r="U1853" s="7">
        <v>3</v>
      </c>
      <c r="V1853" t="s">
        <v>613</v>
      </c>
      <c r="W1853" s="257" t="s">
        <v>815</v>
      </c>
      <c r="X1853" t="s">
        <v>816</v>
      </c>
      <c r="Y1853" s="316" t="s">
        <v>326</v>
      </c>
      <c r="Z1853" s="8">
        <v>2</v>
      </c>
      <c r="AA1853" s="202" t="str">
        <f t="shared" si="29"/>
        <v>Соль</v>
      </c>
    </row>
    <row r="1854" spans="1:27" ht="15" customHeight="1" x14ac:dyDescent="0.25">
      <c r="A1854" t="s">
        <v>153</v>
      </c>
      <c r="L1854"/>
      <c r="M1854"/>
      <c r="N1854"/>
      <c r="O1854"/>
      <c r="P1854"/>
      <c r="T1854">
        <v>1528</v>
      </c>
      <c r="U1854" s="7">
        <v>3</v>
      </c>
      <c r="V1854" t="s">
        <v>613</v>
      </c>
      <c r="W1854" s="257" t="s">
        <v>815</v>
      </c>
      <c r="X1854" t="s">
        <v>816</v>
      </c>
      <c r="Y1854" s="316" t="s">
        <v>61</v>
      </c>
      <c r="Z1854" s="8">
        <v>5</v>
      </c>
      <c r="AA1854" s="202" t="str">
        <f t="shared" si="29"/>
        <v>Масло растительное</v>
      </c>
    </row>
    <row r="1855" spans="1:27" ht="15" customHeight="1" x14ac:dyDescent="0.25">
      <c r="A1855" t="s">
        <v>153</v>
      </c>
      <c r="L1855"/>
      <c r="M1855"/>
      <c r="N1855"/>
      <c r="O1855"/>
      <c r="P1855"/>
      <c r="T1855">
        <v>1529</v>
      </c>
      <c r="U1855" s="7">
        <v>3</v>
      </c>
      <c r="V1855" t="s">
        <v>613</v>
      </c>
      <c r="W1855" s="257" t="s">
        <v>815</v>
      </c>
      <c r="X1855" t="s">
        <v>816</v>
      </c>
      <c r="Y1855" s="316" t="s">
        <v>434</v>
      </c>
      <c r="Z1855" s="8">
        <v>7</v>
      </c>
      <c r="AA1855" s="202" t="str">
        <f t="shared" si="29"/>
        <v>Мука пшеничная 1 с</v>
      </c>
    </row>
    <row r="1856" spans="1:27" ht="15" customHeight="1" x14ac:dyDescent="0.25">
      <c r="A1856" t="s">
        <v>153</v>
      </c>
      <c r="L1856"/>
      <c r="M1856"/>
      <c r="N1856"/>
      <c r="O1856"/>
      <c r="P1856"/>
      <c r="T1856">
        <v>1530</v>
      </c>
      <c r="U1856" s="7">
        <v>3</v>
      </c>
      <c r="V1856" t="s">
        <v>613</v>
      </c>
      <c r="W1856" s="257" t="s">
        <v>815</v>
      </c>
      <c r="X1856" t="s">
        <v>816</v>
      </c>
      <c r="Y1856" s="316" t="s">
        <v>46</v>
      </c>
      <c r="Z1856" s="8">
        <v>10</v>
      </c>
      <c r="AA1856" s="202" t="str">
        <f t="shared" si="29"/>
        <v>Морковь</v>
      </c>
    </row>
    <row r="1857" spans="1:27" ht="15" customHeight="1" x14ac:dyDescent="0.25">
      <c r="A1857" t="s">
        <v>153</v>
      </c>
      <c r="L1857"/>
      <c r="M1857"/>
      <c r="N1857"/>
      <c r="O1857"/>
      <c r="P1857"/>
      <c r="T1857">
        <v>1531</v>
      </c>
      <c r="U1857" s="7">
        <v>3</v>
      </c>
      <c r="V1857" t="s">
        <v>613</v>
      </c>
      <c r="W1857" s="257" t="s">
        <v>815</v>
      </c>
      <c r="X1857" t="s">
        <v>816</v>
      </c>
      <c r="Y1857" s="316" t="s">
        <v>445</v>
      </c>
      <c r="Z1857" s="8">
        <v>10</v>
      </c>
      <c r="AA1857" s="202" t="str">
        <f t="shared" si="29"/>
        <v>Огурцы консерв.</v>
      </c>
    </row>
    <row r="1858" spans="1:27" ht="15" customHeight="1" x14ac:dyDescent="0.25">
      <c r="A1858" t="s">
        <v>153</v>
      </c>
      <c r="L1858"/>
      <c r="M1858"/>
      <c r="N1858"/>
      <c r="O1858"/>
      <c r="P1858"/>
      <c r="T1858">
        <v>1532</v>
      </c>
      <c r="U1858" s="7">
        <v>3</v>
      </c>
      <c r="V1858" t="s">
        <v>613</v>
      </c>
      <c r="W1858" s="257" t="s">
        <v>815</v>
      </c>
      <c r="X1858" t="s">
        <v>816</v>
      </c>
      <c r="Y1858" s="316" t="s">
        <v>32</v>
      </c>
      <c r="Z1858" s="8">
        <v>10</v>
      </c>
      <c r="AA1858" s="202" t="str">
        <f t="shared" ref="AA1858:AA1921" si="30">VLOOKUP(Y1858,O:P,2,FALSE)</f>
        <v>Лук репчатый</v>
      </c>
    </row>
    <row r="1859" spans="1:27" ht="15" customHeight="1" x14ac:dyDescent="0.25">
      <c r="A1859" t="s">
        <v>153</v>
      </c>
      <c r="L1859"/>
      <c r="M1859"/>
      <c r="N1859"/>
      <c r="O1859"/>
      <c r="P1859"/>
      <c r="T1859">
        <v>1533</v>
      </c>
      <c r="U1859" s="7">
        <v>3</v>
      </c>
      <c r="V1859" t="s">
        <v>613</v>
      </c>
      <c r="W1859" s="257" t="s">
        <v>815</v>
      </c>
      <c r="X1859" t="s">
        <v>816</v>
      </c>
      <c r="Y1859" s="316" t="s">
        <v>76</v>
      </c>
      <c r="Z1859" s="8">
        <v>2</v>
      </c>
      <c r="AA1859" s="202" t="str">
        <f t="shared" si="30"/>
        <v>Томат-паста</v>
      </c>
    </row>
    <row r="1860" spans="1:27" ht="15" customHeight="1" x14ac:dyDescent="0.25">
      <c r="A1860" t="s">
        <v>153</v>
      </c>
      <c r="L1860"/>
      <c r="M1860"/>
      <c r="N1860"/>
      <c r="O1860"/>
      <c r="P1860"/>
      <c r="T1860">
        <v>1534</v>
      </c>
      <c r="U1860" s="7">
        <v>3</v>
      </c>
      <c r="V1860" t="s">
        <v>613</v>
      </c>
      <c r="W1860" s="257" t="s">
        <v>815</v>
      </c>
      <c r="X1860" t="s">
        <v>816</v>
      </c>
      <c r="Y1860" s="316" t="s">
        <v>484</v>
      </c>
      <c r="Z1860" s="8">
        <v>0.01</v>
      </c>
      <c r="AA1860" s="202" t="str">
        <f t="shared" si="30"/>
        <v>Перец черный</v>
      </c>
    </row>
    <row r="1861" spans="1:27" ht="15" customHeight="1" x14ac:dyDescent="0.25">
      <c r="A1861" t="s">
        <v>153</v>
      </c>
      <c r="L1861"/>
      <c r="M1861"/>
      <c r="N1861"/>
      <c r="O1861"/>
      <c r="P1861"/>
      <c r="T1861">
        <v>1535</v>
      </c>
      <c r="U1861" s="7">
        <v>3</v>
      </c>
      <c r="V1861" t="s">
        <v>613</v>
      </c>
      <c r="W1861" s="257" t="s">
        <v>815</v>
      </c>
      <c r="X1861" t="s">
        <v>816</v>
      </c>
      <c r="Y1861" s="316" t="s">
        <v>558</v>
      </c>
      <c r="Z1861" s="8">
        <v>148.89600000000002</v>
      </c>
      <c r="AA1861" s="202" t="str">
        <f t="shared" si="30"/>
        <v>Общая масса готового блюда, г</v>
      </c>
    </row>
    <row r="1862" spans="1:27" ht="15" customHeight="1" x14ac:dyDescent="0.25">
      <c r="A1862" t="s">
        <v>153</v>
      </c>
      <c r="L1862"/>
      <c r="M1862"/>
      <c r="N1862"/>
      <c r="O1862"/>
      <c r="P1862"/>
      <c r="T1862">
        <v>1535</v>
      </c>
      <c r="U1862" s="7">
        <v>3</v>
      </c>
      <c r="V1862" t="s">
        <v>613</v>
      </c>
      <c r="W1862" s="257" t="s">
        <v>815</v>
      </c>
      <c r="X1862" t="s">
        <v>816</v>
      </c>
      <c r="Y1862" s="316" t="s">
        <v>1214</v>
      </c>
      <c r="Z1862" s="8">
        <v>98.9</v>
      </c>
      <c r="AA1862" s="202" t="str">
        <f t="shared" si="30"/>
        <v>Масса мясных и рыбных порций, г</v>
      </c>
    </row>
    <row r="1863" spans="1:27" ht="15" customHeight="1" x14ac:dyDescent="0.25">
      <c r="A1863" t="s">
        <v>153</v>
      </c>
      <c r="L1863"/>
      <c r="M1863"/>
      <c r="N1863"/>
      <c r="O1863"/>
      <c r="P1863"/>
      <c r="T1863">
        <v>1586</v>
      </c>
      <c r="U1863" s="7">
        <v>3</v>
      </c>
      <c r="V1863" t="s">
        <v>613</v>
      </c>
      <c r="W1863" s="257" t="s">
        <v>817</v>
      </c>
      <c r="X1863" t="s">
        <v>818</v>
      </c>
      <c r="Y1863" s="316" t="s">
        <v>469</v>
      </c>
      <c r="Z1863" s="8">
        <v>139.12</v>
      </c>
      <c r="AA1863" s="202" t="str">
        <f t="shared" si="30"/>
        <v>Сайда б/г</v>
      </c>
    </row>
    <row r="1864" spans="1:27" ht="15" customHeight="1" x14ac:dyDescent="0.25">
      <c r="A1864" t="s">
        <v>153</v>
      </c>
      <c r="L1864"/>
      <c r="M1864"/>
      <c r="N1864"/>
      <c r="O1864"/>
      <c r="P1864"/>
      <c r="T1864">
        <v>1587</v>
      </c>
      <c r="U1864" s="7">
        <v>3</v>
      </c>
      <c r="V1864" t="s">
        <v>613</v>
      </c>
      <c r="W1864" s="257" t="s">
        <v>817</v>
      </c>
      <c r="X1864" t="s">
        <v>818</v>
      </c>
      <c r="Y1864" s="316" t="s">
        <v>326</v>
      </c>
      <c r="Z1864" s="8">
        <v>2</v>
      </c>
      <c r="AA1864" s="202" t="str">
        <f t="shared" si="30"/>
        <v>Соль</v>
      </c>
    </row>
    <row r="1865" spans="1:27" ht="15" customHeight="1" x14ac:dyDescent="0.25">
      <c r="A1865" t="s">
        <v>153</v>
      </c>
      <c r="L1865"/>
      <c r="M1865"/>
      <c r="N1865"/>
      <c r="O1865"/>
      <c r="P1865"/>
      <c r="T1865">
        <v>1588</v>
      </c>
      <c r="U1865" s="7">
        <v>3</v>
      </c>
      <c r="V1865" t="s">
        <v>613</v>
      </c>
      <c r="W1865" s="257" t="s">
        <v>817</v>
      </c>
      <c r="X1865" t="s">
        <v>818</v>
      </c>
      <c r="Y1865" s="316" t="s">
        <v>61</v>
      </c>
      <c r="Z1865" s="8">
        <v>5</v>
      </c>
      <c r="AA1865" s="202" t="str">
        <f t="shared" si="30"/>
        <v>Масло растительное</v>
      </c>
    </row>
    <row r="1866" spans="1:27" ht="15" customHeight="1" x14ac:dyDescent="0.25">
      <c r="A1866" t="s">
        <v>153</v>
      </c>
      <c r="L1866"/>
      <c r="M1866"/>
      <c r="N1866"/>
      <c r="O1866"/>
      <c r="P1866"/>
      <c r="T1866">
        <v>1589</v>
      </c>
      <c r="U1866" s="7">
        <v>3</v>
      </c>
      <c r="V1866" t="s">
        <v>613</v>
      </c>
      <c r="W1866" s="257" t="s">
        <v>817</v>
      </c>
      <c r="X1866" t="s">
        <v>818</v>
      </c>
      <c r="Y1866" s="316" t="s">
        <v>434</v>
      </c>
      <c r="Z1866" s="8">
        <v>7</v>
      </c>
      <c r="AA1866" s="202" t="str">
        <f t="shared" si="30"/>
        <v>Мука пшеничная 1 с</v>
      </c>
    </row>
    <row r="1867" spans="1:27" ht="15" customHeight="1" x14ac:dyDescent="0.25">
      <c r="A1867" t="s">
        <v>153</v>
      </c>
      <c r="L1867"/>
      <c r="M1867"/>
      <c r="N1867"/>
      <c r="O1867"/>
      <c r="P1867"/>
      <c r="T1867">
        <v>1590</v>
      </c>
      <c r="U1867" s="7">
        <v>3</v>
      </c>
      <c r="V1867" t="s">
        <v>613</v>
      </c>
      <c r="W1867" s="257" t="s">
        <v>817</v>
      </c>
      <c r="X1867" t="s">
        <v>818</v>
      </c>
      <c r="Y1867" s="316" t="s">
        <v>46</v>
      </c>
      <c r="Z1867" s="8">
        <v>10</v>
      </c>
      <c r="AA1867" s="202" t="str">
        <f t="shared" si="30"/>
        <v>Морковь</v>
      </c>
    </row>
    <row r="1868" spans="1:27" ht="15" customHeight="1" x14ac:dyDescent="0.25">
      <c r="A1868" t="s">
        <v>153</v>
      </c>
      <c r="L1868"/>
      <c r="M1868"/>
      <c r="N1868"/>
      <c r="O1868"/>
      <c r="P1868"/>
      <c r="T1868">
        <v>1591</v>
      </c>
      <c r="U1868" s="7">
        <v>3</v>
      </c>
      <c r="V1868" t="s">
        <v>613</v>
      </c>
      <c r="W1868" s="257" t="s">
        <v>817</v>
      </c>
      <c r="X1868" t="s">
        <v>818</v>
      </c>
      <c r="Y1868" s="316" t="s">
        <v>445</v>
      </c>
      <c r="Z1868" s="8">
        <v>10</v>
      </c>
      <c r="AA1868" s="202" t="str">
        <f t="shared" si="30"/>
        <v>Огурцы консерв.</v>
      </c>
    </row>
    <row r="1869" spans="1:27" ht="15" customHeight="1" x14ac:dyDescent="0.25">
      <c r="A1869" t="s">
        <v>153</v>
      </c>
      <c r="L1869"/>
      <c r="M1869"/>
      <c r="N1869"/>
      <c r="O1869"/>
      <c r="P1869"/>
      <c r="T1869">
        <v>1592</v>
      </c>
      <c r="U1869" s="7">
        <v>3</v>
      </c>
      <c r="V1869" t="s">
        <v>613</v>
      </c>
      <c r="W1869" s="257" t="s">
        <v>817</v>
      </c>
      <c r="X1869" t="s">
        <v>818</v>
      </c>
      <c r="Y1869" s="316" t="s">
        <v>32</v>
      </c>
      <c r="Z1869" s="8">
        <v>10</v>
      </c>
      <c r="AA1869" s="202" t="str">
        <f t="shared" si="30"/>
        <v>Лук репчатый</v>
      </c>
    </row>
    <row r="1870" spans="1:27" ht="15" customHeight="1" x14ac:dyDescent="0.25">
      <c r="A1870" t="s">
        <v>153</v>
      </c>
      <c r="L1870"/>
      <c r="M1870"/>
      <c r="N1870"/>
      <c r="O1870"/>
      <c r="P1870"/>
      <c r="T1870">
        <v>1593</v>
      </c>
      <c r="U1870" s="7">
        <v>3</v>
      </c>
      <c r="V1870" t="s">
        <v>613</v>
      </c>
      <c r="W1870" s="257" t="s">
        <v>817</v>
      </c>
      <c r="X1870" t="s">
        <v>818</v>
      </c>
      <c r="Y1870" s="316" t="s">
        <v>76</v>
      </c>
      <c r="Z1870" s="8">
        <v>2</v>
      </c>
      <c r="AA1870" s="202" t="str">
        <f t="shared" si="30"/>
        <v>Томат-паста</v>
      </c>
    </row>
    <row r="1871" spans="1:27" ht="15" customHeight="1" x14ac:dyDescent="0.25">
      <c r="A1871" t="s">
        <v>153</v>
      </c>
      <c r="L1871"/>
      <c r="M1871"/>
      <c r="N1871"/>
      <c r="O1871"/>
      <c r="P1871"/>
      <c r="T1871">
        <v>1594</v>
      </c>
      <c r="U1871" s="7">
        <v>3</v>
      </c>
      <c r="V1871" t="s">
        <v>613</v>
      </c>
      <c r="W1871" s="257" t="s">
        <v>817</v>
      </c>
      <c r="X1871" t="s">
        <v>818</v>
      </c>
      <c r="Y1871" s="316" t="s">
        <v>484</v>
      </c>
      <c r="Z1871" s="8">
        <v>0.01</v>
      </c>
      <c r="AA1871" s="202" t="str">
        <f t="shared" si="30"/>
        <v>Перец черный</v>
      </c>
    </row>
    <row r="1872" spans="1:27" ht="15" customHeight="1" x14ac:dyDescent="0.25">
      <c r="A1872" t="s">
        <v>153</v>
      </c>
      <c r="L1872"/>
      <c r="M1872"/>
      <c r="N1872"/>
      <c r="O1872"/>
      <c r="P1872"/>
      <c r="T1872">
        <v>1595</v>
      </c>
      <c r="U1872" s="7">
        <v>3</v>
      </c>
      <c r="V1872" t="s">
        <v>613</v>
      </c>
      <c r="W1872" s="257" t="s">
        <v>817</v>
      </c>
      <c r="X1872" t="s">
        <v>818</v>
      </c>
      <c r="Y1872" s="316" t="s">
        <v>558</v>
      </c>
      <c r="Z1872" s="8">
        <v>152.42752000000002</v>
      </c>
      <c r="AA1872" s="202" t="str">
        <f t="shared" si="30"/>
        <v>Общая масса готового блюда, г</v>
      </c>
    </row>
    <row r="1873" spans="1:27" ht="15" customHeight="1" x14ac:dyDescent="0.25">
      <c r="A1873" t="s">
        <v>153</v>
      </c>
      <c r="L1873"/>
      <c r="M1873"/>
      <c r="N1873"/>
      <c r="O1873"/>
      <c r="P1873"/>
      <c r="T1873">
        <v>1595</v>
      </c>
      <c r="U1873" s="7">
        <v>3</v>
      </c>
      <c r="V1873" t="s">
        <v>613</v>
      </c>
      <c r="W1873" s="257" t="s">
        <v>817</v>
      </c>
      <c r="X1873" t="s">
        <v>818</v>
      </c>
      <c r="Y1873" s="316" t="s">
        <v>1214</v>
      </c>
      <c r="Z1873" s="8">
        <v>102.4</v>
      </c>
      <c r="AA1873" s="202" t="str">
        <f t="shared" si="30"/>
        <v>Масса мясных и рыбных порций, г</v>
      </c>
    </row>
    <row r="1874" spans="1:27" ht="15" customHeight="1" x14ac:dyDescent="0.25">
      <c r="A1874" t="s">
        <v>153</v>
      </c>
      <c r="L1874"/>
      <c r="M1874"/>
      <c r="N1874"/>
      <c r="O1874"/>
      <c r="P1874"/>
      <c r="T1874">
        <v>1546</v>
      </c>
      <c r="U1874" s="7">
        <v>3</v>
      </c>
      <c r="V1874" t="s">
        <v>613</v>
      </c>
      <c r="W1874" s="257" t="s">
        <v>819</v>
      </c>
      <c r="X1874" t="s">
        <v>820</v>
      </c>
      <c r="Y1874" t="s">
        <v>514</v>
      </c>
      <c r="Z1874" s="8">
        <v>127</v>
      </c>
      <c r="AA1874" s="202" t="str">
        <f t="shared" si="30"/>
        <v>Сом с/г</v>
      </c>
    </row>
    <row r="1875" spans="1:27" ht="15" customHeight="1" x14ac:dyDescent="0.25">
      <c r="A1875" t="s">
        <v>153</v>
      </c>
      <c r="L1875"/>
      <c r="M1875"/>
      <c r="N1875"/>
      <c r="O1875"/>
      <c r="P1875"/>
      <c r="T1875">
        <v>1547</v>
      </c>
      <c r="U1875" s="7">
        <v>3</v>
      </c>
      <c r="V1875" t="s">
        <v>613</v>
      </c>
      <c r="W1875" s="257" t="s">
        <v>819</v>
      </c>
      <c r="X1875" t="s">
        <v>820</v>
      </c>
      <c r="Y1875" s="316" t="s">
        <v>326</v>
      </c>
      <c r="Z1875" s="8">
        <v>2</v>
      </c>
      <c r="AA1875" s="202" t="str">
        <f t="shared" si="30"/>
        <v>Соль</v>
      </c>
    </row>
    <row r="1876" spans="1:27" ht="15" customHeight="1" x14ac:dyDescent="0.25">
      <c r="A1876" t="s">
        <v>153</v>
      </c>
      <c r="L1876"/>
      <c r="M1876"/>
      <c r="N1876"/>
      <c r="O1876"/>
      <c r="P1876"/>
      <c r="T1876">
        <v>1548</v>
      </c>
      <c r="U1876" s="7">
        <v>3</v>
      </c>
      <c r="V1876" t="s">
        <v>613</v>
      </c>
      <c r="W1876" s="257" t="s">
        <v>819</v>
      </c>
      <c r="X1876" t="s">
        <v>820</v>
      </c>
      <c r="Y1876" s="316" t="s">
        <v>61</v>
      </c>
      <c r="Z1876" s="8">
        <v>5</v>
      </c>
      <c r="AA1876" s="202" t="str">
        <f t="shared" si="30"/>
        <v>Масло растительное</v>
      </c>
    </row>
    <row r="1877" spans="1:27" ht="15" customHeight="1" x14ac:dyDescent="0.25">
      <c r="A1877" t="s">
        <v>153</v>
      </c>
      <c r="L1877"/>
      <c r="M1877"/>
      <c r="N1877"/>
      <c r="O1877"/>
      <c r="P1877"/>
      <c r="T1877">
        <v>1549</v>
      </c>
      <c r="U1877" s="7">
        <v>3</v>
      </c>
      <c r="V1877" t="s">
        <v>613</v>
      </c>
      <c r="W1877" s="257" t="s">
        <v>819</v>
      </c>
      <c r="X1877" t="s">
        <v>820</v>
      </c>
      <c r="Y1877" s="316" t="s">
        <v>434</v>
      </c>
      <c r="Z1877" s="8">
        <v>7</v>
      </c>
      <c r="AA1877" s="202" t="str">
        <f t="shared" si="30"/>
        <v>Мука пшеничная 1 с</v>
      </c>
    </row>
    <row r="1878" spans="1:27" ht="15" customHeight="1" x14ac:dyDescent="0.25">
      <c r="A1878" t="s">
        <v>153</v>
      </c>
      <c r="L1878"/>
      <c r="M1878"/>
      <c r="N1878"/>
      <c r="O1878"/>
      <c r="P1878"/>
      <c r="T1878">
        <v>1550</v>
      </c>
      <c r="U1878" s="7">
        <v>3</v>
      </c>
      <c r="V1878" t="s">
        <v>613</v>
      </c>
      <c r="W1878" s="257" t="s">
        <v>819</v>
      </c>
      <c r="X1878" t="s">
        <v>820</v>
      </c>
      <c r="Y1878" s="316" t="s">
        <v>46</v>
      </c>
      <c r="Z1878" s="8">
        <v>10</v>
      </c>
      <c r="AA1878" s="202" t="str">
        <f t="shared" si="30"/>
        <v>Морковь</v>
      </c>
    </row>
    <row r="1879" spans="1:27" ht="15" customHeight="1" x14ac:dyDescent="0.25">
      <c r="A1879" t="s">
        <v>153</v>
      </c>
      <c r="L1879"/>
      <c r="M1879"/>
      <c r="N1879"/>
      <c r="O1879"/>
      <c r="P1879"/>
      <c r="T1879">
        <v>1551</v>
      </c>
      <c r="U1879" s="7">
        <v>3</v>
      </c>
      <c r="V1879" t="s">
        <v>613</v>
      </c>
      <c r="W1879" s="257" t="s">
        <v>819</v>
      </c>
      <c r="X1879" t="s">
        <v>820</v>
      </c>
      <c r="Y1879" s="316" t="s">
        <v>445</v>
      </c>
      <c r="Z1879" s="8">
        <v>10</v>
      </c>
      <c r="AA1879" s="202" t="str">
        <f t="shared" si="30"/>
        <v>Огурцы консерв.</v>
      </c>
    </row>
    <row r="1880" spans="1:27" ht="15" customHeight="1" x14ac:dyDescent="0.25">
      <c r="A1880" t="s">
        <v>153</v>
      </c>
      <c r="L1880"/>
      <c r="M1880"/>
      <c r="N1880"/>
      <c r="O1880"/>
      <c r="P1880"/>
      <c r="T1880">
        <v>1552</v>
      </c>
      <c r="U1880" s="7">
        <v>3</v>
      </c>
      <c r="V1880" t="s">
        <v>613</v>
      </c>
      <c r="W1880" s="257" t="s">
        <v>819</v>
      </c>
      <c r="X1880" t="s">
        <v>820</v>
      </c>
      <c r="Y1880" s="316" t="s">
        <v>32</v>
      </c>
      <c r="Z1880" s="8">
        <v>10</v>
      </c>
      <c r="AA1880" s="202" t="str">
        <f t="shared" si="30"/>
        <v>Лук репчатый</v>
      </c>
    </row>
    <row r="1881" spans="1:27" ht="15" customHeight="1" x14ac:dyDescent="0.25">
      <c r="A1881" t="s">
        <v>153</v>
      </c>
      <c r="L1881"/>
      <c r="M1881"/>
      <c r="N1881"/>
      <c r="O1881"/>
      <c r="P1881"/>
      <c r="T1881">
        <v>1553</v>
      </c>
      <c r="U1881" s="7">
        <v>3</v>
      </c>
      <c r="V1881" t="s">
        <v>613</v>
      </c>
      <c r="W1881" s="257" t="s">
        <v>819</v>
      </c>
      <c r="X1881" t="s">
        <v>820</v>
      </c>
      <c r="Y1881" s="316" t="s">
        <v>76</v>
      </c>
      <c r="Z1881" s="8">
        <v>2</v>
      </c>
      <c r="AA1881" s="202" t="str">
        <f t="shared" si="30"/>
        <v>Томат-паста</v>
      </c>
    </row>
    <row r="1882" spans="1:27" ht="15" customHeight="1" x14ac:dyDescent="0.25">
      <c r="A1882" t="s">
        <v>153</v>
      </c>
      <c r="L1882"/>
      <c r="M1882"/>
      <c r="N1882"/>
      <c r="O1882"/>
      <c r="P1882"/>
      <c r="T1882">
        <v>1554</v>
      </c>
      <c r="U1882" s="7">
        <v>3</v>
      </c>
      <c r="V1882" t="s">
        <v>613</v>
      </c>
      <c r="W1882" s="257" t="s">
        <v>819</v>
      </c>
      <c r="X1882" t="s">
        <v>820</v>
      </c>
      <c r="Y1882" s="316" t="s">
        <v>484</v>
      </c>
      <c r="Z1882" s="8">
        <v>0.01</v>
      </c>
      <c r="AA1882" s="202" t="str">
        <f t="shared" si="30"/>
        <v>Перец черный</v>
      </c>
    </row>
    <row r="1883" spans="1:27" ht="15" customHeight="1" x14ac:dyDescent="0.25">
      <c r="A1883" t="s">
        <v>153</v>
      </c>
      <c r="L1883"/>
      <c r="M1883"/>
      <c r="N1883"/>
      <c r="O1883"/>
      <c r="P1883"/>
      <c r="T1883">
        <v>1555</v>
      </c>
      <c r="U1883" s="7">
        <v>3</v>
      </c>
      <c r="V1883" t="s">
        <v>613</v>
      </c>
      <c r="W1883" s="257" t="s">
        <v>819</v>
      </c>
      <c r="X1883" t="s">
        <v>820</v>
      </c>
      <c r="Y1883" s="316" t="s">
        <v>558</v>
      </c>
      <c r="Z1883" s="8">
        <v>116.0198</v>
      </c>
      <c r="AA1883" s="202" t="str">
        <f t="shared" si="30"/>
        <v>Общая масса готового блюда, г</v>
      </c>
    </row>
    <row r="1884" spans="1:27" ht="15" customHeight="1" x14ac:dyDescent="0.25">
      <c r="A1884" t="s">
        <v>153</v>
      </c>
      <c r="L1884"/>
      <c r="M1884"/>
      <c r="N1884"/>
      <c r="O1884"/>
      <c r="P1884"/>
      <c r="T1884">
        <v>1555</v>
      </c>
      <c r="U1884" s="7">
        <v>3</v>
      </c>
      <c r="V1884" t="s">
        <v>613</v>
      </c>
      <c r="W1884" s="257" t="s">
        <v>819</v>
      </c>
      <c r="X1884" t="s">
        <v>820</v>
      </c>
      <c r="Y1884" s="316" t="s">
        <v>1214</v>
      </c>
      <c r="Z1884" s="8">
        <v>66</v>
      </c>
      <c r="AA1884" s="202" t="str">
        <f t="shared" si="30"/>
        <v>Масса мясных и рыбных порций, г</v>
      </c>
    </row>
    <row r="1885" spans="1:27" ht="15" customHeight="1" x14ac:dyDescent="0.25">
      <c r="A1885" t="s">
        <v>153</v>
      </c>
      <c r="L1885"/>
      <c r="M1885"/>
      <c r="N1885"/>
      <c r="O1885"/>
      <c r="P1885"/>
      <c r="T1885">
        <v>1516</v>
      </c>
      <c r="U1885" s="7">
        <v>3</v>
      </c>
      <c r="V1885" t="s">
        <v>613</v>
      </c>
      <c r="W1885" s="257" t="s">
        <v>821</v>
      </c>
      <c r="X1885" t="s">
        <v>822</v>
      </c>
      <c r="Y1885" s="316" t="s">
        <v>544</v>
      </c>
      <c r="Z1885" s="8">
        <v>137.19999999999999</v>
      </c>
      <c r="AA1885" s="202" t="str">
        <f t="shared" si="30"/>
        <v>Треска б/г</v>
      </c>
    </row>
    <row r="1886" spans="1:27" ht="15" customHeight="1" x14ac:dyDescent="0.25">
      <c r="A1886" t="s">
        <v>153</v>
      </c>
      <c r="L1886"/>
      <c r="M1886"/>
      <c r="N1886"/>
      <c r="O1886"/>
      <c r="P1886"/>
      <c r="T1886">
        <v>1517</v>
      </c>
      <c r="U1886" s="7">
        <v>3</v>
      </c>
      <c r="V1886" t="s">
        <v>613</v>
      </c>
      <c r="W1886" s="257" t="s">
        <v>821</v>
      </c>
      <c r="X1886" t="s">
        <v>822</v>
      </c>
      <c r="Y1886" s="316" t="s">
        <v>326</v>
      </c>
      <c r="Z1886" s="8">
        <v>2</v>
      </c>
      <c r="AA1886" s="202" t="str">
        <f t="shared" si="30"/>
        <v>Соль</v>
      </c>
    </row>
    <row r="1887" spans="1:27" ht="15" customHeight="1" x14ac:dyDescent="0.25">
      <c r="A1887" t="s">
        <v>153</v>
      </c>
      <c r="L1887"/>
      <c r="M1887"/>
      <c r="N1887"/>
      <c r="O1887"/>
      <c r="P1887"/>
      <c r="T1887">
        <v>1518</v>
      </c>
      <c r="U1887" s="7">
        <v>3</v>
      </c>
      <c r="V1887" t="s">
        <v>613</v>
      </c>
      <c r="W1887" s="257" t="s">
        <v>821</v>
      </c>
      <c r="X1887" t="s">
        <v>822</v>
      </c>
      <c r="Y1887" s="316" t="s">
        <v>61</v>
      </c>
      <c r="Z1887" s="8">
        <v>5</v>
      </c>
      <c r="AA1887" s="202" t="str">
        <f t="shared" si="30"/>
        <v>Масло растительное</v>
      </c>
    </row>
    <row r="1888" spans="1:27" ht="15" customHeight="1" x14ac:dyDescent="0.25">
      <c r="A1888" t="s">
        <v>153</v>
      </c>
      <c r="L1888"/>
      <c r="M1888"/>
      <c r="N1888"/>
      <c r="O1888"/>
      <c r="P1888"/>
      <c r="T1888">
        <v>1519</v>
      </c>
      <c r="U1888" s="7">
        <v>3</v>
      </c>
      <c r="V1888" t="s">
        <v>613</v>
      </c>
      <c r="W1888" s="257" t="s">
        <v>821</v>
      </c>
      <c r="X1888" t="s">
        <v>822</v>
      </c>
      <c r="Y1888" s="316" t="s">
        <v>434</v>
      </c>
      <c r="Z1888" s="8">
        <v>7</v>
      </c>
      <c r="AA1888" s="202" t="str">
        <f t="shared" si="30"/>
        <v>Мука пшеничная 1 с</v>
      </c>
    </row>
    <row r="1889" spans="1:27" ht="15" customHeight="1" x14ac:dyDescent="0.25">
      <c r="A1889" t="s">
        <v>153</v>
      </c>
      <c r="L1889"/>
      <c r="M1889"/>
      <c r="N1889"/>
      <c r="O1889"/>
      <c r="P1889"/>
      <c r="T1889">
        <v>1520</v>
      </c>
      <c r="U1889" s="7">
        <v>3</v>
      </c>
      <c r="V1889" t="s">
        <v>613</v>
      </c>
      <c r="W1889" s="257" t="s">
        <v>821</v>
      </c>
      <c r="X1889" t="s">
        <v>822</v>
      </c>
      <c r="Y1889" s="316" t="s">
        <v>46</v>
      </c>
      <c r="Z1889" s="8">
        <v>10</v>
      </c>
      <c r="AA1889" s="202" t="str">
        <f t="shared" si="30"/>
        <v>Морковь</v>
      </c>
    </row>
    <row r="1890" spans="1:27" ht="15" customHeight="1" x14ac:dyDescent="0.25">
      <c r="A1890" t="s">
        <v>153</v>
      </c>
      <c r="L1890"/>
      <c r="M1890"/>
      <c r="N1890"/>
      <c r="O1890"/>
      <c r="P1890"/>
      <c r="T1890">
        <v>1521</v>
      </c>
      <c r="U1890" s="7">
        <v>3</v>
      </c>
      <c r="V1890" t="s">
        <v>613</v>
      </c>
      <c r="W1890" s="257" t="s">
        <v>821</v>
      </c>
      <c r="X1890" t="s">
        <v>822</v>
      </c>
      <c r="Y1890" s="316" t="s">
        <v>445</v>
      </c>
      <c r="Z1890" s="8">
        <v>10</v>
      </c>
      <c r="AA1890" s="202" t="str">
        <f t="shared" si="30"/>
        <v>Огурцы консерв.</v>
      </c>
    </row>
    <row r="1891" spans="1:27" ht="15" customHeight="1" x14ac:dyDescent="0.25">
      <c r="A1891" t="s">
        <v>153</v>
      </c>
      <c r="L1891"/>
      <c r="M1891"/>
      <c r="N1891"/>
      <c r="O1891"/>
      <c r="P1891"/>
      <c r="T1891">
        <v>1522</v>
      </c>
      <c r="U1891" s="7">
        <v>3</v>
      </c>
      <c r="V1891" t="s">
        <v>613</v>
      </c>
      <c r="W1891" s="257" t="s">
        <v>821</v>
      </c>
      <c r="X1891" t="s">
        <v>822</v>
      </c>
      <c r="Y1891" s="316" t="s">
        <v>32</v>
      </c>
      <c r="Z1891" s="8">
        <v>10</v>
      </c>
      <c r="AA1891" s="202" t="str">
        <f t="shared" si="30"/>
        <v>Лук репчатый</v>
      </c>
    </row>
    <row r="1892" spans="1:27" ht="15" customHeight="1" x14ac:dyDescent="0.25">
      <c r="A1892" t="s">
        <v>153</v>
      </c>
      <c r="L1892"/>
      <c r="M1892"/>
      <c r="N1892"/>
      <c r="O1892"/>
      <c r="P1892"/>
      <c r="T1892">
        <v>1523</v>
      </c>
      <c r="U1892" s="7">
        <v>3</v>
      </c>
      <c r="V1892" t="s">
        <v>613</v>
      </c>
      <c r="W1892" s="257" t="s">
        <v>821</v>
      </c>
      <c r="X1892" t="s">
        <v>822</v>
      </c>
      <c r="Y1892" s="316" t="s">
        <v>76</v>
      </c>
      <c r="Z1892" s="8">
        <v>2</v>
      </c>
      <c r="AA1892" s="202" t="str">
        <f t="shared" si="30"/>
        <v>Томат-паста</v>
      </c>
    </row>
    <row r="1893" spans="1:27" ht="15" customHeight="1" x14ac:dyDescent="0.25">
      <c r="A1893" t="s">
        <v>153</v>
      </c>
      <c r="L1893"/>
      <c r="M1893"/>
      <c r="N1893"/>
      <c r="O1893"/>
      <c r="P1893"/>
      <c r="T1893">
        <v>1524</v>
      </c>
      <c r="U1893" s="7">
        <v>3</v>
      </c>
      <c r="V1893" t="s">
        <v>613</v>
      </c>
      <c r="W1893" s="257" t="s">
        <v>821</v>
      </c>
      <c r="X1893" t="s">
        <v>822</v>
      </c>
      <c r="Y1893" s="316" t="s">
        <v>484</v>
      </c>
      <c r="Z1893" s="8">
        <v>0.01</v>
      </c>
      <c r="AA1893" s="202" t="str">
        <f t="shared" si="30"/>
        <v>Перец черный</v>
      </c>
    </row>
    <row r="1894" spans="1:27" ht="15" customHeight="1" x14ac:dyDescent="0.25">
      <c r="A1894" t="s">
        <v>153</v>
      </c>
      <c r="L1894"/>
      <c r="M1894"/>
      <c r="N1894"/>
      <c r="O1894"/>
      <c r="P1894"/>
      <c r="T1894">
        <v>1525</v>
      </c>
      <c r="U1894" s="7">
        <v>3</v>
      </c>
      <c r="V1894" t="s">
        <v>613</v>
      </c>
      <c r="W1894" s="257" t="s">
        <v>821</v>
      </c>
      <c r="X1894" t="s">
        <v>822</v>
      </c>
      <c r="Y1894" s="316" t="s">
        <v>558</v>
      </c>
      <c r="Z1894" s="8">
        <v>148.89600000000002</v>
      </c>
      <c r="AA1894" s="202" t="str">
        <f t="shared" si="30"/>
        <v>Общая масса готового блюда, г</v>
      </c>
    </row>
    <row r="1895" spans="1:27" ht="15" customHeight="1" x14ac:dyDescent="0.25">
      <c r="A1895" t="s">
        <v>153</v>
      </c>
      <c r="L1895"/>
      <c r="M1895"/>
      <c r="N1895"/>
      <c r="O1895"/>
      <c r="P1895"/>
      <c r="T1895">
        <v>1525</v>
      </c>
      <c r="U1895" s="7">
        <v>3</v>
      </c>
      <c r="V1895" t="s">
        <v>613</v>
      </c>
      <c r="W1895" s="257" t="s">
        <v>821</v>
      </c>
      <c r="X1895" t="s">
        <v>822</v>
      </c>
      <c r="Y1895" s="316" t="s">
        <v>1214</v>
      </c>
      <c r="Z1895" s="8">
        <v>98.9</v>
      </c>
      <c r="AA1895" s="202" t="str">
        <f t="shared" si="30"/>
        <v>Масса мясных и рыбных порций, г</v>
      </c>
    </row>
    <row r="1896" spans="1:27" ht="15" customHeight="1" x14ac:dyDescent="0.25">
      <c r="A1896" t="s">
        <v>153</v>
      </c>
      <c r="L1896"/>
      <c r="M1896"/>
      <c r="N1896"/>
      <c r="O1896"/>
      <c r="P1896"/>
      <c r="T1896">
        <v>1616</v>
      </c>
      <c r="U1896" s="7">
        <v>3</v>
      </c>
      <c r="V1896" t="s">
        <v>613</v>
      </c>
      <c r="W1896" s="257" t="s">
        <v>823</v>
      </c>
      <c r="X1896" t="s">
        <v>824</v>
      </c>
      <c r="Y1896" s="316" t="s">
        <v>517</v>
      </c>
      <c r="Z1896" s="8">
        <v>150.20400000000001</v>
      </c>
      <c r="AA1896" s="202" t="str">
        <f t="shared" si="30"/>
        <v>Хек б/г</v>
      </c>
    </row>
    <row r="1897" spans="1:27" ht="15" customHeight="1" x14ac:dyDescent="0.25">
      <c r="A1897" t="s">
        <v>153</v>
      </c>
      <c r="L1897"/>
      <c r="M1897"/>
      <c r="N1897"/>
      <c r="O1897"/>
      <c r="P1897"/>
      <c r="T1897">
        <v>1617</v>
      </c>
      <c r="U1897" s="7">
        <v>3</v>
      </c>
      <c r="V1897" t="s">
        <v>613</v>
      </c>
      <c r="W1897" s="257" t="s">
        <v>823</v>
      </c>
      <c r="X1897" t="s">
        <v>824</v>
      </c>
      <c r="Y1897" s="316" t="s">
        <v>326</v>
      </c>
      <c r="Z1897" s="8">
        <v>2</v>
      </c>
      <c r="AA1897" s="202" t="str">
        <f t="shared" si="30"/>
        <v>Соль</v>
      </c>
    </row>
    <row r="1898" spans="1:27" ht="15" customHeight="1" x14ac:dyDescent="0.25">
      <c r="A1898" t="s">
        <v>153</v>
      </c>
      <c r="L1898"/>
      <c r="M1898"/>
      <c r="N1898"/>
      <c r="O1898"/>
      <c r="P1898"/>
      <c r="T1898">
        <v>1618</v>
      </c>
      <c r="U1898" s="7">
        <v>3</v>
      </c>
      <c r="V1898" t="s">
        <v>613</v>
      </c>
      <c r="W1898" s="257" t="s">
        <v>823</v>
      </c>
      <c r="X1898" t="s">
        <v>824</v>
      </c>
      <c r="Y1898" s="316" t="s">
        <v>61</v>
      </c>
      <c r="Z1898" s="8">
        <v>5</v>
      </c>
      <c r="AA1898" s="202" t="str">
        <f t="shared" si="30"/>
        <v>Масло растительное</v>
      </c>
    </row>
    <row r="1899" spans="1:27" ht="15" customHeight="1" x14ac:dyDescent="0.25">
      <c r="A1899" t="s">
        <v>153</v>
      </c>
      <c r="L1899"/>
      <c r="M1899"/>
      <c r="N1899"/>
      <c r="O1899"/>
      <c r="P1899"/>
      <c r="T1899">
        <v>1619</v>
      </c>
      <c r="U1899" s="7">
        <v>3</v>
      </c>
      <c r="V1899" t="s">
        <v>613</v>
      </c>
      <c r="W1899" s="257" t="s">
        <v>823</v>
      </c>
      <c r="X1899" t="s">
        <v>824</v>
      </c>
      <c r="Y1899" s="316" t="s">
        <v>434</v>
      </c>
      <c r="Z1899" s="8">
        <v>7</v>
      </c>
      <c r="AA1899" s="202" t="str">
        <f t="shared" si="30"/>
        <v>Мука пшеничная 1 с</v>
      </c>
    </row>
    <row r="1900" spans="1:27" ht="15" customHeight="1" x14ac:dyDescent="0.25">
      <c r="A1900" t="s">
        <v>153</v>
      </c>
      <c r="L1900"/>
      <c r="M1900"/>
      <c r="N1900"/>
      <c r="O1900"/>
      <c r="P1900"/>
      <c r="T1900">
        <v>1620</v>
      </c>
      <c r="U1900" s="7">
        <v>3</v>
      </c>
      <c r="V1900" t="s">
        <v>613</v>
      </c>
      <c r="W1900" s="257" t="s">
        <v>823</v>
      </c>
      <c r="X1900" t="s">
        <v>824</v>
      </c>
      <c r="Y1900" s="316" t="s">
        <v>46</v>
      </c>
      <c r="Z1900" s="8">
        <v>10</v>
      </c>
      <c r="AA1900" s="202" t="str">
        <f t="shared" si="30"/>
        <v>Морковь</v>
      </c>
    </row>
    <row r="1901" spans="1:27" ht="15" customHeight="1" x14ac:dyDescent="0.25">
      <c r="A1901" t="s">
        <v>153</v>
      </c>
      <c r="L1901"/>
      <c r="M1901"/>
      <c r="N1901"/>
      <c r="O1901"/>
      <c r="P1901"/>
      <c r="T1901">
        <v>1621</v>
      </c>
      <c r="U1901" s="7">
        <v>3</v>
      </c>
      <c r="V1901" t="s">
        <v>613</v>
      </c>
      <c r="W1901" s="257" t="s">
        <v>823</v>
      </c>
      <c r="X1901" t="s">
        <v>824</v>
      </c>
      <c r="Y1901" s="316" t="s">
        <v>445</v>
      </c>
      <c r="Z1901" s="8">
        <v>10</v>
      </c>
      <c r="AA1901" s="202" t="str">
        <f t="shared" si="30"/>
        <v>Огурцы консерв.</v>
      </c>
    </row>
    <row r="1902" spans="1:27" ht="15" customHeight="1" x14ac:dyDescent="0.25">
      <c r="A1902" t="s">
        <v>153</v>
      </c>
      <c r="L1902"/>
      <c r="M1902"/>
      <c r="N1902"/>
      <c r="O1902"/>
      <c r="P1902"/>
      <c r="T1902">
        <v>1622</v>
      </c>
      <c r="U1902" s="7">
        <v>3</v>
      </c>
      <c r="V1902" t="s">
        <v>613</v>
      </c>
      <c r="W1902" s="257" t="s">
        <v>823</v>
      </c>
      <c r="X1902" t="s">
        <v>824</v>
      </c>
      <c r="Y1902" s="316" t="s">
        <v>32</v>
      </c>
      <c r="Z1902" s="8">
        <v>10</v>
      </c>
      <c r="AA1902" s="202" t="str">
        <f t="shared" si="30"/>
        <v>Лук репчатый</v>
      </c>
    </row>
    <row r="1903" spans="1:27" ht="15" customHeight="1" x14ac:dyDescent="0.25">
      <c r="A1903" t="s">
        <v>153</v>
      </c>
      <c r="L1903"/>
      <c r="M1903"/>
      <c r="N1903"/>
      <c r="O1903"/>
      <c r="P1903"/>
      <c r="T1903">
        <v>1623</v>
      </c>
      <c r="U1903" s="7">
        <v>3</v>
      </c>
      <c r="V1903" t="s">
        <v>613</v>
      </c>
      <c r="W1903" s="257" t="s">
        <v>823</v>
      </c>
      <c r="X1903" t="s">
        <v>824</v>
      </c>
      <c r="Y1903" s="316" t="s">
        <v>76</v>
      </c>
      <c r="Z1903" s="8">
        <v>2</v>
      </c>
      <c r="AA1903" s="202" t="str">
        <f t="shared" si="30"/>
        <v>Томат-паста</v>
      </c>
    </row>
    <row r="1904" spans="1:27" ht="15" customHeight="1" x14ac:dyDescent="0.25">
      <c r="A1904" t="s">
        <v>153</v>
      </c>
      <c r="L1904"/>
      <c r="M1904"/>
      <c r="N1904"/>
      <c r="O1904"/>
      <c r="P1904"/>
      <c r="T1904">
        <v>1624</v>
      </c>
      <c r="U1904" s="7">
        <v>3</v>
      </c>
      <c r="V1904" t="s">
        <v>613</v>
      </c>
      <c r="W1904" s="257" t="s">
        <v>823</v>
      </c>
      <c r="X1904" t="s">
        <v>824</v>
      </c>
      <c r="Y1904" s="316" t="s">
        <v>484</v>
      </c>
      <c r="Z1904" s="8">
        <v>0.01</v>
      </c>
      <c r="AA1904" s="202" t="str">
        <f t="shared" si="30"/>
        <v>Перец черный</v>
      </c>
    </row>
    <row r="1905" spans="1:27" ht="15" customHeight="1" x14ac:dyDescent="0.25">
      <c r="A1905" t="s">
        <v>153</v>
      </c>
      <c r="L1905"/>
      <c r="M1905"/>
      <c r="N1905"/>
      <c r="O1905"/>
      <c r="P1905"/>
      <c r="T1905">
        <v>1625</v>
      </c>
      <c r="U1905" s="7">
        <v>3</v>
      </c>
      <c r="V1905" t="s">
        <v>613</v>
      </c>
      <c r="W1905" s="257" t="s">
        <v>823</v>
      </c>
      <c r="X1905" t="s">
        <v>824</v>
      </c>
      <c r="Y1905" s="316" t="s">
        <v>558</v>
      </c>
      <c r="Z1905" s="8">
        <v>173.98058879999999</v>
      </c>
      <c r="AA1905" s="202" t="str">
        <f t="shared" si="30"/>
        <v>Общая масса готового блюда, г</v>
      </c>
    </row>
    <row r="1906" spans="1:27" ht="15" customHeight="1" x14ac:dyDescent="0.25">
      <c r="A1906" t="s">
        <v>153</v>
      </c>
      <c r="L1906"/>
      <c r="M1906"/>
      <c r="N1906"/>
      <c r="O1906"/>
      <c r="P1906"/>
      <c r="T1906">
        <v>1625</v>
      </c>
      <c r="U1906" s="7">
        <v>3</v>
      </c>
      <c r="V1906" t="s">
        <v>613</v>
      </c>
      <c r="W1906" s="257" t="s">
        <v>823</v>
      </c>
      <c r="X1906" t="s">
        <v>824</v>
      </c>
      <c r="Y1906" s="316" t="s">
        <v>1214</v>
      </c>
      <c r="Z1906" s="8">
        <v>124</v>
      </c>
      <c r="AA1906" s="202" t="str">
        <f t="shared" si="30"/>
        <v>Масса мясных и рыбных порций, г</v>
      </c>
    </row>
    <row r="1907" spans="1:27" ht="15" customHeight="1" x14ac:dyDescent="0.25">
      <c r="A1907" t="s">
        <v>153</v>
      </c>
      <c r="L1907"/>
      <c r="M1907"/>
      <c r="N1907"/>
      <c r="O1907"/>
      <c r="P1907"/>
      <c r="T1907">
        <v>1606</v>
      </c>
      <c r="U1907" s="7">
        <v>3</v>
      </c>
      <c r="V1907" t="s">
        <v>613</v>
      </c>
      <c r="W1907" s="257" t="s">
        <v>825</v>
      </c>
      <c r="X1907" t="s">
        <v>826</v>
      </c>
      <c r="Y1907" s="316" t="s">
        <v>518</v>
      </c>
      <c r="Z1907" s="8">
        <v>137.41199999999998</v>
      </c>
      <c r="AA1907" s="202" t="str">
        <f t="shared" si="30"/>
        <v>Щука б/г</v>
      </c>
    </row>
    <row r="1908" spans="1:27" ht="15" customHeight="1" x14ac:dyDescent="0.25">
      <c r="A1908" t="s">
        <v>153</v>
      </c>
      <c r="L1908"/>
      <c r="M1908"/>
      <c r="N1908"/>
      <c r="O1908"/>
      <c r="P1908"/>
      <c r="T1908">
        <v>1607</v>
      </c>
      <c r="U1908" s="7">
        <v>3</v>
      </c>
      <c r="V1908" t="s">
        <v>613</v>
      </c>
      <c r="W1908" s="257" t="s">
        <v>825</v>
      </c>
      <c r="X1908" t="s">
        <v>826</v>
      </c>
      <c r="Y1908" s="316" t="s">
        <v>326</v>
      </c>
      <c r="Z1908" s="8">
        <v>2</v>
      </c>
      <c r="AA1908" s="202" t="str">
        <f t="shared" si="30"/>
        <v>Соль</v>
      </c>
    </row>
    <row r="1909" spans="1:27" ht="15" customHeight="1" x14ac:dyDescent="0.25">
      <c r="A1909" t="s">
        <v>153</v>
      </c>
      <c r="L1909"/>
      <c r="M1909"/>
      <c r="N1909"/>
      <c r="O1909"/>
      <c r="P1909"/>
      <c r="T1909">
        <v>1608</v>
      </c>
      <c r="U1909" s="7">
        <v>3</v>
      </c>
      <c r="V1909" t="s">
        <v>613</v>
      </c>
      <c r="W1909" s="257" t="s">
        <v>825</v>
      </c>
      <c r="X1909" t="s">
        <v>826</v>
      </c>
      <c r="Y1909" s="316" t="s">
        <v>61</v>
      </c>
      <c r="Z1909" s="8">
        <v>5</v>
      </c>
      <c r="AA1909" s="202" t="str">
        <f t="shared" si="30"/>
        <v>Масло растительное</v>
      </c>
    </row>
    <row r="1910" spans="1:27" ht="15" customHeight="1" x14ac:dyDescent="0.25">
      <c r="A1910" t="s">
        <v>153</v>
      </c>
      <c r="L1910"/>
      <c r="M1910"/>
      <c r="N1910"/>
      <c r="O1910"/>
      <c r="P1910"/>
      <c r="T1910">
        <v>1609</v>
      </c>
      <c r="U1910" s="7">
        <v>3</v>
      </c>
      <c r="V1910" t="s">
        <v>613</v>
      </c>
      <c r="W1910" s="257" t="s">
        <v>825</v>
      </c>
      <c r="X1910" t="s">
        <v>826</v>
      </c>
      <c r="Y1910" s="316" t="s">
        <v>434</v>
      </c>
      <c r="Z1910" s="8">
        <v>7</v>
      </c>
      <c r="AA1910" s="202" t="str">
        <f t="shared" si="30"/>
        <v>Мука пшеничная 1 с</v>
      </c>
    </row>
    <row r="1911" spans="1:27" ht="15" customHeight="1" x14ac:dyDescent="0.25">
      <c r="A1911" t="s">
        <v>153</v>
      </c>
      <c r="L1911"/>
      <c r="M1911"/>
      <c r="N1911"/>
      <c r="O1911"/>
      <c r="P1911"/>
      <c r="T1911">
        <v>1610</v>
      </c>
      <c r="U1911" s="7">
        <v>3</v>
      </c>
      <c r="V1911" t="s">
        <v>613</v>
      </c>
      <c r="W1911" s="257" t="s">
        <v>825</v>
      </c>
      <c r="X1911" t="s">
        <v>826</v>
      </c>
      <c r="Y1911" s="316" t="s">
        <v>46</v>
      </c>
      <c r="Z1911" s="8">
        <v>10</v>
      </c>
      <c r="AA1911" s="202" t="str">
        <f t="shared" si="30"/>
        <v>Морковь</v>
      </c>
    </row>
    <row r="1912" spans="1:27" ht="15" customHeight="1" x14ac:dyDescent="0.25">
      <c r="A1912" t="s">
        <v>153</v>
      </c>
      <c r="L1912"/>
      <c r="M1912"/>
      <c r="N1912"/>
      <c r="O1912"/>
      <c r="P1912"/>
      <c r="T1912">
        <v>1611</v>
      </c>
      <c r="U1912" s="7">
        <v>3</v>
      </c>
      <c r="V1912" t="s">
        <v>613</v>
      </c>
      <c r="W1912" s="257" t="s">
        <v>825</v>
      </c>
      <c r="X1912" t="s">
        <v>826</v>
      </c>
      <c r="Y1912" s="316" t="s">
        <v>445</v>
      </c>
      <c r="Z1912" s="8">
        <v>10</v>
      </c>
      <c r="AA1912" s="202" t="str">
        <f t="shared" si="30"/>
        <v>Огурцы консерв.</v>
      </c>
    </row>
    <row r="1913" spans="1:27" ht="15" customHeight="1" x14ac:dyDescent="0.25">
      <c r="A1913" t="s">
        <v>153</v>
      </c>
      <c r="L1913"/>
      <c r="M1913"/>
      <c r="N1913"/>
      <c r="O1913"/>
      <c r="P1913"/>
      <c r="T1913">
        <v>1612</v>
      </c>
      <c r="U1913" s="7">
        <v>3</v>
      </c>
      <c r="V1913" t="s">
        <v>613</v>
      </c>
      <c r="W1913" s="257" t="s">
        <v>825</v>
      </c>
      <c r="X1913" t="s">
        <v>826</v>
      </c>
      <c r="Y1913" s="316" t="s">
        <v>32</v>
      </c>
      <c r="Z1913" s="8">
        <v>10</v>
      </c>
      <c r="AA1913" s="202" t="str">
        <f t="shared" si="30"/>
        <v>Лук репчатый</v>
      </c>
    </row>
    <row r="1914" spans="1:27" ht="15" customHeight="1" x14ac:dyDescent="0.25">
      <c r="A1914" t="s">
        <v>153</v>
      </c>
      <c r="L1914"/>
      <c r="M1914"/>
      <c r="N1914"/>
      <c r="O1914"/>
      <c r="P1914"/>
      <c r="T1914">
        <v>1613</v>
      </c>
      <c r="U1914" s="7">
        <v>3</v>
      </c>
      <c r="V1914" t="s">
        <v>613</v>
      </c>
      <c r="W1914" s="257" t="s">
        <v>825</v>
      </c>
      <c r="X1914" t="s">
        <v>826</v>
      </c>
      <c r="Y1914" s="316" t="s">
        <v>76</v>
      </c>
      <c r="Z1914" s="8">
        <v>2</v>
      </c>
      <c r="AA1914" s="202" t="str">
        <f t="shared" si="30"/>
        <v>Томат-паста</v>
      </c>
    </row>
    <row r="1915" spans="1:27" ht="15" customHeight="1" x14ac:dyDescent="0.25">
      <c r="A1915" t="s">
        <v>153</v>
      </c>
      <c r="L1915"/>
      <c r="M1915"/>
      <c r="N1915"/>
      <c r="O1915"/>
      <c r="P1915"/>
      <c r="T1915">
        <v>1614</v>
      </c>
      <c r="U1915" s="7">
        <v>3</v>
      </c>
      <c r="V1915" t="s">
        <v>613</v>
      </c>
      <c r="W1915" s="257" t="s">
        <v>825</v>
      </c>
      <c r="X1915" t="s">
        <v>826</v>
      </c>
      <c r="Y1915" s="316" t="s">
        <v>484</v>
      </c>
      <c r="Z1915" s="8">
        <v>0.01</v>
      </c>
      <c r="AA1915" s="202" t="str">
        <f t="shared" si="30"/>
        <v>Перец черный</v>
      </c>
    </row>
    <row r="1916" spans="1:27" ht="15" customHeight="1" x14ac:dyDescent="0.25">
      <c r="A1916" t="s">
        <v>153</v>
      </c>
      <c r="L1916"/>
      <c r="M1916"/>
      <c r="N1916"/>
      <c r="O1916"/>
      <c r="P1916"/>
      <c r="T1916">
        <v>1615</v>
      </c>
      <c r="U1916" s="7">
        <v>3</v>
      </c>
      <c r="V1916" t="s">
        <v>613</v>
      </c>
      <c r="W1916" s="257" t="s">
        <v>825</v>
      </c>
      <c r="X1916" t="s">
        <v>826</v>
      </c>
      <c r="Y1916" s="316" t="s">
        <v>558</v>
      </c>
      <c r="Z1916" s="8">
        <v>149.26260719999999</v>
      </c>
      <c r="AA1916" s="202" t="str">
        <f t="shared" si="30"/>
        <v>Общая масса готового блюда, г</v>
      </c>
    </row>
    <row r="1917" spans="1:27" ht="15" customHeight="1" x14ac:dyDescent="0.25">
      <c r="A1917" t="s">
        <v>153</v>
      </c>
      <c r="L1917"/>
      <c r="M1917"/>
      <c r="N1917"/>
      <c r="O1917"/>
      <c r="P1917"/>
      <c r="T1917">
        <v>1615</v>
      </c>
      <c r="U1917" s="7">
        <v>3</v>
      </c>
      <c r="V1917" t="s">
        <v>613</v>
      </c>
      <c r="W1917" s="257" t="s">
        <v>825</v>
      </c>
      <c r="X1917" t="s">
        <v>826</v>
      </c>
      <c r="Y1917" s="316" t="s">
        <v>1214</v>
      </c>
      <c r="Z1917" s="8">
        <v>99.3</v>
      </c>
      <c r="AA1917" s="202" t="str">
        <f t="shared" si="30"/>
        <v>Масса мясных и рыбных порций, г</v>
      </c>
    </row>
    <row r="1918" spans="1:27" ht="15" customHeight="1" x14ac:dyDescent="0.25">
      <c r="A1918" t="s">
        <v>153</v>
      </c>
      <c r="L1918"/>
      <c r="M1918"/>
      <c r="N1918"/>
      <c r="O1918"/>
      <c r="P1918"/>
      <c r="T1918">
        <v>1596</v>
      </c>
      <c r="U1918" s="7">
        <v>3</v>
      </c>
      <c r="V1918" t="s">
        <v>613</v>
      </c>
      <c r="W1918" s="257" t="s">
        <v>827</v>
      </c>
      <c r="X1918" t="s">
        <v>828</v>
      </c>
      <c r="Y1918" s="316" t="s">
        <v>519</v>
      </c>
      <c r="Z1918" s="8">
        <v>134.45999999999998</v>
      </c>
      <c r="AA1918" s="202" t="str">
        <f t="shared" si="30"/>
        <v>Щука с/г</v>
      </c>
    </row>
    <row r="1919" spans="1:27" ht="15" customHeight="1" x14ac:dyDescent="0.25">
      <c r="A1919" t="s">
        <v>153</v>
      </c>
      <c r="L1919"/>
      <c r="M1919"/>
      <c r="N1919"/>
      <c r="O1919"/>
      <c r="P1919"/>
      <c r="T1919">
        <v>1597</v>
      </c>
      <c r="U1919" s="7">
        <v>3</v>
      </c>
      <c r="V1919" t="s">
        <v>613</v>
      </c>
      <c r="W1919" s="257" t="s">
        <v>827</v>
      </c>
      <c r="X1919" t="s">
        <v>828</v>
      </c>
      <c r="Y1919" s="316" t="s">
        <v>326</v>
      </c>
      <c r="Z1919" s="8">
        <v>2</v>
      </c>
      <c r="AA1919" s="202" t="str">
        <f t="shared" si="30"/>
        <v>Соль</v>
      </c>
    </row>
    <row r="1920" spans="1:27" ht="15" customHeight="1" x14ac:dyDescent="0.25">
      <c r="A1920" t="s">
        <v>153</v>
      </c>
      <c r="L1920"/>
      <c r="M1920"/>
      <c r="N1920"/>
      <c r="O1920"/>
      <c r="P1920"/>
      <c r="T1920">
        <v>1598</v>
      </c>
      <c r="U1920" s="7">
        <v>3</v>
      </c>
      <c r="V1920" t="s">
        <v>613</v>
      </c>
      <c r="W1920" s="257" t="s">
        <v>827</v>
      </c>
      <c r="X1920" t="s">
        <v>828</v>
      </c>
      <c r="Y1920" s="316" t="s">
        <v>61</v>
      </c>
      <c r="Z1920" s="8">
        <v>5</v>
      </c>
      <c r="AA1920" s="202" t="str">
        <f t="shared" si="30"/>
        <v>Масло растительное</v>
      </c>
    </row>
    <row r="1921" spans="1:27" ht="15" customHeight="1" x14ac:dyDescent="0.25">
      <c r="A1921" t="s">
        <v>153</v>
      </c>
      <c r="L1921"/>
      <c r="M1921"/>
      <c r="N1921"/>
      <c r="O1921"/>
      <c r="P1921"/>
      <c r="T1921">
        <v>1599</v>
      </c>
      <c r="U1921" s="7">
        <v>3</v>
      </c>
      <c r="V1921" t="s">
        <v>613</v>
      </c>
      <c r="W1921" s="257" t="s">
        <v>827</v>
      </c>
      <c r="X1921" t="s">
        <v>828</v>
      </c>
      <c r="Y1921" s="316" t="s">
        <v>434</v>
      </c>
      <c r="Z1921" s="8">
        <v>7</v>
      </c>
      <c r="AA1921" s="202" t="str">
        <f t="shared" si="30"/>
        <v>Мука пшеничная 1 с</v>
      </c>
    </row>
    <row r="1922" spans="1:27" ht="15" customHeight="1" x14ac:dyDescent="0.25">
      <c r="A1922" t="s">
        <v>153</v>
      </c>
      <c r="L1922"/>
      <c r="M1922"/>
      <c r="N1922"/>
      <c r="O1922"/>
      <c r="P1922"/>
      <c r="T1922">
        <v>1600</v>
      </c>
      <c r="U1922" s="7">
        <v>3</v>
      </c>
      <c r="V1922" t="s">
        <v>613</v>
      </c>
      <c r="W1922" s="257" t="s">
        <v>827</v>
      </c>
      <c r="X1922" t="s">
        <v>828</v>
      </c>
      <c r="Y1922" s="316" t="s">
        <v>46</v>
      </c>
      <c r="Z1922" s="8">
        <v>10</v>
      </c>
      <c r="AA1922" s="202" t="str">
        <f t="shared" ref="AA1922:AA1985" si="31">VLOOKUP(Y1922,O:P,2,FALSE)</f>
        <v>Морковь</v>
      </c>
    </row>
    <row r="1923" spans="1:27" ht="15" customHeight="1" x14ac:dyDescent="0.25">
      <c r="A1923" t="s">
        <v>153</v>
      </c>
      <c r="L1923"/>
      <c r="M1923"/>
      <c r="N1923"/>
      <c r="O1923"/>
      <c r="P1923"/>
      <c r="T1923">
        <v>1601</v>
      </c>
      <c r="U1923" s="7">
        <v>3</v>
      </c>
      <c r="V1923" t="s">
        <v>613</v>
      </c>
      <c r="W1923" s="257" t="s">
        <v>827</v>
      </c>
      <c r="X1923" t="s">
        <v>828</v>
      </c>
      <c r="Y1923" s="316" t="s">
        <v>445</v>
      </c>
      <c r="Z1923" s="8">
        <v>10</v>
      </c>
      <c r="AA1923" s="202" t="str">
        <f t="shared" si="31"/>
        <v>Огурцы консерв.</v>
      </c>
    </row>
    <row r="1924" spans="1:27" ht="15" customHeight="1" x14ac:dyDescent="0.25">
      <c r="A1924" t="s">
        <v>153</v>
      </c>
      <c r="L1924"/>
      <c r="M1924"/>
      <c r="N1924"/>
      <c r="O1924"/>
      <c r="P1924"/>
      <c r="T1924">
        <v>1602</v>
      </c>
      <c r="U1924" s="7">
        <v>3</v>
      </c>
      <c r="V1924" t="s">
        <v>613</v>
      </c>
      <c r="W1924" s="257" t="s">
        <v>827</v>
      </c>
      <c r="X1924" t="s">
        <v>828</v>
      </c>
      <c r="Y1924" s="316" t="s">
        <v>32</v>
      </c>
      <c r="Z1924" s="8">
        <v>10</v>
      </c>
      <c r="AA1924" s="202" t="str">
        <f t="shared" si="31"/>
        <v>Лук репчатый</v>
      </c>
    </row>
    <row r="1925" spans="1:27" ht="15" customHeight="1" x14ac:dyDescent="0.25">
      <c r="A1925" t="s">
        <v>153</v>
      </c>
      <c r="L1925"/>
      <c r="M1925"/>
      <c r="N1925"/>
      <c r="O1925"/>
      <c r="P1925"/>
      <c r="T1925">
        <v>1603</v>
      </c>
      <c r="U1925" s="7">
        <v>3</v>
      </c>
      <c r="V1925" t="s">
        <v>613</v>
      </c>
      <c r="W1925" s="257" t="s">
        <v>827</v>
      </c>
      <c r="X1925" t="s">
        <v>828</v>
      </c>
      <c r="Y1925" s="316" t="s">
        <v>76</v>
      </c>
      <c r="Z1925" s="8">
        <v>2</v>
      </c>
      <c r="AA1925" s="202" t="str">
        <f t="shared" si="31"/>
        <v>Томат-паста</v>
      </c>
    </row>
    <row r="1926" spans="1:27" ht="15" customHeight="1" x14ac:dyDescent="0.25">
      <c r="A1926" t="s">
        <v>153</v>
      </c>
      <c r="L1926"/>
      <c r="M1926"/>
      <c r="N1926"/>
      <c r="O1926"/>
      <c r="P1926"/>
      <c r="T1926">
        <v>1604</v>
      </c>
      <c r="U1926" s="7">
        <v>3</v>
      </c>
      <c r="V1926" t="s">
        <v>613</v>
      </c>
      <c r="W1926" s="257" t="s">
        <v>827</v>
      </c>
      <c r="X1926" t="s">
        <v>828</v>
      </c>
      <c r="Y1926" s="316" t="s">
        <v>484</v>
      </c>
      <c r="Z1926" s="8">
        <v>0.01</v>
      </c>
      <c r="AA1926" s="202" t="str">
        <f t="shared" si="31"/>
        <v>Перец черный</v>
      </c>
    </row>
    <row r="1927" spans="1:27" ht="15" customHeight="1" x14ac:dyDescent="0.25">
      <c r="A1927" t="s">
        <v>153</v>
      </c>
      <c r="L1927"/>
      <c r="M1927"/>
      <c r="N1927"/>
      <c r="O1927"/>
      <c r="P1927"/>
      <c r="T1927">
        <v>1605</v>
      </c>
      <c r="U1927" s="7">
        <v>3</v>
      </c>
      <c r="V1927" t="s">
        <v>613</v>
      </c>
      <c r="W1927" s="257" t="s">
        <v>827</v>
      </c>
      <c r="X1927" t="s">
        <v>828</v>
      </c>
      <c r="Y1927" s="316" t="s">
        <v>558</v>
      </c>
      <c r="Z1927" s="8">
        <v>126.30460799999999</v>
      </c>
      <c r="AA1927" s="202" t="str">
        <f t="shared" si="31"/>
        <v>Общая масса готового блюда, г</v>
      </c>
    </row>
    <row r="1928" spans="1:27" ht="15" customHeight="1" x14ac:dyDescent="0.25">
      <c r="A1928" t="s">
        <v>153</v>
      </c>
      <c r="L1928"/>
      <c r="M1928"/>
      <c r="N1928"/>
      <c r="O1928"/>
      <c r="P1928"/>
      <c r="T1928">
        <v>1605</v>
      </c>
      <c r="U1928" s="7">
        <v>3</v>
      </c>
      <c r="V1928" t="s">
        <v>613</v>
      </c>
      <c r="W1928" s="257" t="s">
        <v>827</v>
      </c>
      <c r="X1928" t="s">
        <v>828</v>
      </c>
      <c r="Y1928" s="316" t="s">
        <v>1214</v>
      </c>
      <c r="Z1928" s="8">
        <v>76.3</v>
      </c>
      <c r="AA1928" s="202" t="str">
        <f t="shared" si="31"/>
        <v>Масса мясных и рыбных порций, г</v>
      </c>
    </row>
    <row r="1929" spans="1:27" ht="15" customHeight="1" x14ac:dyDescent="0.25">
      <c r="A1929" t="s">
        <v>153</v>
      </c>
      <c r="L1929"/>
      <c r="M1929"/>
      <c r="N1929"/>
      <c r="O1929"/>
      <c r="P1929"/>
      <c r="T1929">
        <v>2465</v>
      </c>
      <c r="U1929" s="7">
        <v>3</v>
      </c>
      <c r="V1929" t="s">
        <v>613</v>
      </c>
      <c r="W1929" s="257" t="s">
        <v>829</v>
      </c>
      <c r="X1929" t="s">
        <v>830</v>
      </c>
      <c r="Y1929" t="s">
        <v>794</v>
      </c>
      <c r="Z1929" s="8">
        <v>156</v>
      </c>
      <c r="AA1929" s="202" t="str">
        <f t="shared" si="31"/>
        <v>Горбуша с/г</v>
      </c>
    </row>
    <row r="1930" spans="1:27" ht="15" customHeight="1" x14ac:dyDescent="0.25">
      <c r="A1930" t="s">
        <v>153</v>
      </c>
      <c r="L1930"/>
      <c r="M1930"/>
      <c r="N1930"/>
      <c r="O1930"/>
      <c r="P1930"/>
      <c r="T1930">
        <v>2465</v>
      </c>
      <c r="U1930" s="7">
        <v>3</v>
      </c>
      <c r="V1930" t="s">
        <v>613</v>
      </c>
      <c r="W1930" s="257" t="s">
        <v>829</v>
      </c>
      <c r="X1930" t="s">
        <v>830</v>
      </c>
      <c r="Y1930" s="316" t="s">
        <v>45</v>
      </c>
      <c r="Z1930" s="8">
        <v>150</v>
      </c>
      <c r="AA1930" s="202" t="str">
        <f t="shared" si="31"/>
        <v>Картофель</v>
      </c>
    </row>
    <row r="1931" spans="1:27" ht="15" customHeight="1" x14ac:dyDescent="0.25">
      <c r="A1931" t="s">
        <v>153</v>
      </c>
      <c r="L1931"/>
      <c r="M1931"/>
      <c r="N1931"/>
      <c r="O1931"/>
      <c r="P1931"/>
      <c r="T1931">
        <v>2465</v>
      </c>
      <c r="U1931" s="7">
        <v>3</v>
      </c>
      <c r="V1931" t="s">
        <v>613</v>
      </c>
      <c r="W1931" s="257" t="s">
        <v>829</v>
      </c>
      <c r="X1931" t="s">
        <v>830</v>
      </c>
      <c r="Y1931" s="316" t="s">
        <v>61</v>
      </c>
      <c r="Z1931" s="8">
        <v>5</v>
      </c>
      <c r="AA1931" s="202" t="str">
        <f t="shared" si="31"/>
        <v>Масло растительное</v>
      </c>
    </row>
    <row r="1932" spans="1:27" ht="15" customHeight="1" x14ac:dyDescent="0.25">
      <c r="A1932" t="s">
        <v>153</v>
      </c>
      <c r="L1932"/>
      <c r="M1932"/>
      <c r="N1932"/>
      <c r="O1932"/>
      <c r="P1932"/>
      <c r="T1932">
        <v>2465</v>
      </c>
      <c r="U1932" s="7">
        <v>3</v>
      </c>
      <c r="V1932" t="s">
        <v>613</v>
      </c>
      <c r="W1932" s="257" t="s">
        <v>829</v>
      </c>
      <c r="X1932" t="s">
        <v>830</v>
      </c>
      <c r="Y1932" s="316" t="s">
        <v>32</v>
      </c>
      <c r="Z1932" s="8">
        <v>10</v>
      </c>
      <c r="AA1932" s="202" t="str">
        <f t="shared" si="31"/>
        <v>Лук репчатый</v>
      </c>
    </row>
    <row r="1933" spans="1:27" ht="15" customHeight="1" x14ac:dyDescent="0.25">
      <c r="A1933" t="s">
        <v>153</v>
      </c>
      <c r="L1933"/>
      <c r="M1933"/>
      <c r="N1933"/>
      <c r="O1933"/>
      <c r="P1933"/>
      <c r="T1933">
        <v>2465</v>
      </c>
      <c r="U1933" s="7">
        <v>3</v>
      </c>
      <c r="V1933" t="s">
        <v>613</v>
      </c>
      <c r="W1933" s="257" t="s">
        <v>829</v>
      </c>
      <c r="X1933" t="s">
        <v>830</v>
      </c>
      <c r="Y1933" s="316" t="s">
        <v>434</v>
      </c>
      <c r="Z1933" s="8">
        <v>5</v>
      </c>
      <c r="AA1933" s="202" t="str">
        <f t="shared" si="31"/>
        <v>Мука пшеничная 1 с</v>
      </c>
    </row>
    <row r="1934" spans="1:27" ht="15" customHeight="1" x14ac:dyDescent="0.25">
      <c r="A1934" t="s">
        <v>153</v>
      </c>
      <c r="L1934"/>
      <c r="M1934"/>
      <c r="N1934"/>
      <c r="O1934"/>
      <c r="P1934"/>
      <c r="T1934">
        <v>2465</v>
      </c>
      <c r="U1934" s="7">
        <v>3</v>
      </c>
      <c r="V1934" t="s">
        <v>613</v>
      </c>
      <c r="W1934" s="257" t="s">
        <v>829</v>
      </c>
      <c r="X1934" t="s">
        <v>830</v>
      </c>
      <c r="Y1934" s="316" t="s">
        <v>484</v>
      </c>
      <c r="Z1934" s="8">
        <v>0.01</v>
      </c>
      <c r="AA1934" s="202" t="str">
        <f t="shared" si="31"/>
        <v>Перец черный</v>
      </c>
    </row>
    <row r="1935" spans="1:27" ht="15" customHeight="1" x14ac:dyDescent="0.25">
      <c r="A1935" t="s">
        <v>153</v>
      </c>
      <c r="L1935"/>
      <c r="M1935"/>
      <c r="N1935"/>
      <c r="O1935"/>
      <c r="P1935"/>
      <c r="T1935">
        <v>2465</v>
      </c>
      <c r="U1935" s="7">
        <v>3</v>
      </c>
      <c r="V1935" t="s">
        <v>613</v>
      </c>
      <c r="W1935" s="257" t="s">
        <v>829</v>
      </c>
      <c r="X1935" t="s">
        <v>830</v>
      </c>
      <c r="Y1935" s="316" t="s">
        <v>326</v>
      </c>
      <c r="Z1935" s="8">
        <v>2</v>
      </c>
      <c r="AA1935" s="202" t="str">
        <f t="shared" si="31"/>
        <v>Соль</v>
      </c>
    </row>
    <row r="1936" spans="1:27" ht="15" customHeight="1" x14ac:dyDescent="0.25">
      <c r="A1936" t="s">
        <v>153</v>
      </c>
      <c r="L1936"/>
      <c r="M1936"/>
      <c r="N1936"/>
      <c r="O1936"/>
      <c r="P1936"/>
      <c r="T1936">
        <v>2465</v>
      </c>
      <c r="U1936" s="7">
        <v>3</v>
      </c>
      <c r="V1936" t="s">
        <v>613</v>
      </c>
      <c r="W1936" s="257" t="s">
        <v>829</v>
      </c>
      <c r="X1936" t="s">
        <v>830</v>
      </c>
      <c r="Y1936" t="s">
        <v>436</v>
      </c>
      <c r="Z1936" s="8">
        <v>5</v>
      </c>
      <c r="AA1936" s="202" t="str">
        <f t="shared" si="31"/>
        <v>Сухари</v>
      </c>
    </row>
    <row r="1937" spans="1:27" ht="15" customHeight="1" x14ac:dyDescent="0.25">
      <c r="A1937" t="s">
        <v>153</v>
      </c>
      <c r="L1937"/>
      <c r="M1937"/>
      <c r="N1937"/>
      <c r="O1937"/>
      <c r="P1937"/>
      <c r="T1937">
        <v>2465</v>
      </c>
      <c r="U1937" s="7">
        <v>3</v>
      </c>
      <c r="V1937" t="s">
        <v>613</v>
      </c>
      <c r="W1937" s="257" t="s">
        <v>829</v>
      </c>
      <c r="X1937" t="s">
        <v>830</v>
      </c>
      <c r="Y1937" s="316" t="s">
        <v>558</v>
      </c>
      <c r="Z1937" s="8">
        <v>241</v>
      </c>
      <c r="AA1937" s="202" t="str">
        <f t="shared" si="31"/>
        <v>Общая масса готового блюда, г</v>
      </c>
    </row>
    <row r="1938" spans="1:27" ht="15" customHeight="1" x14ac:dyDescent="0.25">
      <c r="A1938" t="s">
        <v>153</v>
      </c>
      <c r="L1938"/>
      <c r="M1938"/>
      <c r="N1938"/>
      <c r="O1938"/>
      <c r="P1938"/>
      <c r="T1938">
        <v>2465</v>
      </c>
      <c r="U1938" s="7">
        <v>3</v>
      </c>
      <c r="V1938" t="s">
        <v>613</v>
      </c>
      <c r="W1938" s="257" t="s">
        <v>829</v>
      </c>
      <c r="X1938" t="s">
        <v>830</v>
      </c>
      <c r="Y1938" s="316" t="s">
        <v>1214</v>
      </c>
      <c r="Z1938" s="8">
        <v>78</v>
      </c>
      <c r="AA1938" s="202" t="str">
        <f t="shared" si="31"/>
        <v>Масса мясных и рыбных порций, г</v>
      </c>
    </row>
    <row r="1939" spans="1:27" ht="15" customHeight="1" x14ac:dyDescent="0.25">
      <c r="A1939" t="s">
        <v>153</v>
      </c>
      <c r="L1939"/>
      <c r="M1939"/>
      <c r="N1939"/>
      <c r="O1939"/>
      <c r="P1939"/>
      <c r="T1939">
        <v>2465</v>
      </c>
      <c r="U1939" s="7">
        <v>3</v>
      </c>
      <c r="V1939" t="s">
        <v>613</v>
      </c>
      <c r="W1939" s="257" t="s">
        <v>829</v>
      </c>
      <c r="X1939" t="s">
        <v>831</v>
      </c>
      <c r="Y1939" s="316" t="s">
        <v>508</v>
      </c>
      <c r="Z1939" s="8">
        <v>120</v>
      </c>
      <c r="AA1939" s="202" t="str">
        <f t="shared" si="31"/>
        <v>Пикша б/г</v>
      </c>
    </row>
    <row r="1940" spans="1:27" ht="15" customHeight="1" x14ac:dyDescent="0.25">
      <c r="A1940" t="s">
        <v>153</v>
      </c>
      <c r="L1940"/>
      <c r="M1940"/>
      <c r="N1940"/>
      <c r="O1940"/>
      <c r="P1940"/>
      <c r="T1940">
        <v>2465</v>
      </c>
      <c r="U1940" s="7">
        <v>3</v>
      </c>
      <c r="V1940" t="s">
        <v>613</v>
      </c>
      <c r="W1940" s="257" t="s">
        <v>829</v>
      </c>
      <c r="X1940" t="s">
        <v>831</v>
      </c>
      <c r="Y1940" s="316" t="s">
        <v>45</v>
      </c>
      <c r="Z1940" s="8">
        <v>150</v>
      </c>
      <c r="AA1940" s="202" t="str">
        <f t="shared" si="31"/>
        <v>Картофель</v>
      </c>
    </row>
    <row r="1941" spans="1:27" ht="15" customHeight="1" x14ac:dyDescent="0.25">
      <c r="A1941" t="s">
        <v>153</v>
      </c>
      <c r="L1941"/>
      <c r="M1941"/>
      <c r="N1941"/>
      <c r="O1941"/>
      <c r="P1941"/>
      <c r="T1941">
        <v>2465</v>
      </c>
      <c r="U1941" s="7">
        <v>3</v>
      </c>
      <c r="V1941" t="s">
        <v>613</v>
      </c>
      <c r="W1941" s="257" t="s">
        <v>829</v>
      </c>
      <c r="X1941" t="s">
        <v>831</v>
      </c>
      <c r="Y1941" s="316" t="s">
        <v>61</v>
      </c>
      <c r="Z1941" s="8">
        <v>5</v>
      </c>
      <c r="AA1941" s="202" t="str">
        <f t="shared" si="31"/>
        <v>Масло растительное</v>
      </c>
    </row>
    <row r="1942" spans="1:27" ht="15" customHeight="1" x14ac:dyDescent="0.25">
      <c r="A1942" t="s">
        <v>153</v>
      </c>
      <c r="L1942"/>
      <c r="M1942"/>
      <c r="N1942"/>
      <c r="O1942"/>
      <c r="P1942"/>
      <c r="T1942">
        <v>2465</v>
      </c>
      <c r="U1942" s="7">
        <v>3</v>
      </c>
      <c r="V1942" t="s">
        <v>613</v>
      </c>
      <c r="W1942" s="257" t="s">
        <v>829</v>
      </c>
      <c r="X1942" t="s">
        <v>831</v>
      </c>
      <c r="Y1942" s="316" t="s">
        <v>32</v>
      </c>
      <c r="Z1942" s="8">
        <v>10</v>
      </c>
      <c r="AA1942" s="202" t="str">
        <f t="shared" si="31"/>
        <v>Лук репчатый</v>
      </c>
    </row>
    <row r="1943" spans="1:27" ht="15" customHeight="1" x14ac:dyDescent="0.25">
      <c r="A1943" t="s">
        <v>153</v>
      </c>
      <c r="L1943"/>
      <c r="M1943"/>
      <c r="N1943"/>
      <c r="O1943"/>
      <c r="P1943"/>
      <c r="T1943">
        <v>2465</v>
      </c>
      <c r="U1943" s="7">
        <v>3</v>
      </c>
      <c r="V1943" t="s">
        <v>613</v>
      </c>
      <c r="W1943" s="257" t="s">
        <v>829</v>
      </c>
      <c r="X1943" t="s">
        <v>831</v>
      </c>
      <c r="Y1943" s="316" t="s">
        <v>434</v>
      </c>
      <c r="Z1943" s="8">
        <v>5</v>
      </c>
      <c r="AA1943" s="202" t="str">
        <f t="shared" si="31"/>
        <v>Мука пшеничная 1 с</v>
      </c>
    </row>
    <row r="1944" spans="1:27" ht="15" customHeight="1" x14ac:dyDescent="0.25">
      <c r="A1944" t="s">
        <v>153</v>
      </c>
      <c r="L1944"/>
      <c r="M1944"/>
      <c r="N1944"/>
      <c r="O1944"/>
      <c r="P1944"/>
      <c r="T1944">
        <v>2465</v>
      </c>
      <c r="U1944" s="7">
        <v>3</v>
      </c>
      <c r="V1944" t="s">
        <v>613</v>
      </c>
      <c r="W1944" s="257" t="s">
        <v>829</v>
      </c>
      <c r="X1944" t="s">
        <v>831</v>
      </c>
      <c r="Y1944" s="316" t="s">
        <v>484</v>
      </c>
      <c r="Z1944" s="8">
        <v>0.01</v>
      </c>
      <c r="AA1944" s="202" t="str">
        <f t="shared" si="31"/>
        <v>Перец черный</v>
      </c>
    </row>
    <row r="1945" spans="1:27" ht="15" customHeight="1" x14ac:dyDescent="0.25">
      <c r="A1945" t="s">
        <v>153</v>
      </c>
      <c r="L1945"/>
      <c r="M1945"/>
      <c r="N1945"/>
      <c r="O1945"/>
      <c r="P1945"/>
      <c r="T1945">
        <v>2465</v>
      </c>
      <c r="U1945" s="7">
        <v>3</v>
      </c>
      <c r="V1945" t="s">
        <v>613</v>
      </c>
      <c r="W1945" s="257" t="s">
        <v>829</v>
      </c>
      <c r="X1945" t="s">
        <v>831</v>
      </c>
      <c r="Y1945" s="316" t="s">
        <v>326</v>
      </c>
      <c r="Z1945" s="8">
        <v>2</v>
      </c>
      <c r="AA1945" s="202" t="str">
        <f t="shared" si="31"/>
        <v>Соль</v>
      </c>
    </row>
    <row r="1946" spans="1:27" ht="15" customHeight="1" x14ac:dyDescent="0.25">
      <c r="A1946" t="s">
        <v>153</v>
      </c>
      <c r="L1946"/>
      <c r="M1946"/>
      <c r="N1946"/>
      <c r="O1946"/>
      <c r="P1946"/>
      <c r="T1946">
        <v>2465</v>
      </c>
      <c r="U1946" s="7">
        <v>3</v>
      </c>
      <c r="V1946" t="s">
        <v>613</v>
      </c>
      <c r="W1946" s="257" t="s">
        <v>829</v>
      </c>
      <c r="X1946" t="s">
        <v>831</v>
      </c>
      <c r="Y1946" t="s">
        <v>436</v>
      </c>
      <c r="Z1946" s="8">
        <v>5</v>
      </c>
      <c r="AA1946" s="202" t="str">
        <f t="shared" si="31"/>
        <v>Сухари</v>
      </c>
    </row>
    <row r="1947" spans="1:27" ht="15" customHeight="1" x14ac:dyDescent="0.25">
      <c r="A1947" t="s">
        <v>153</v>
      </c>
      <c r="L1947"/>
      <c r="M1947"/>
      <c r="N1947"/>
      <c r="O1947"/>
      <c r="P1947"/>
      <c r="T1947">
        <v>2465</v>
      </c>
      <c r="U1947" s="7">
        <v>3</v>
      </c>
      <c r="V1947" t="s">
        <v>613</v>
      </c>
      <c r="W1947" s="257" t="s">
        <v>829</v>
      </c>
      <c r="X1947" t="s">
        <v>831</v>
      </c>
      <c r="Y1947" s="316" t="s">
        <v>558</v>
      </c>
      <c r="Z1947" s="8">
        <v>236.2</v>
      </c>
      <c r="AA1947" s="202" t="str">
        <f t="shared" si="31"/>
        <v>Общая масса готового блюда, г</v>
      </c>
    </row>
    <row r="1948" spans="1:27" ht="15" customHeight="1" x14ac:dyDescent="0.25">
      <c r="A1948" t="s">
        <v>153</v>
      </c>
      <c r="L1948"/>
      <c r="M1948"/>
      <c r="N1948"/>
      <c r="O1948"/>
      <c r="P1948"/>
      <c r="T1948">
        <v>2465</v>
      </c>
      <c r="U1948" s="7">
        <v>3</v>
      </c>
      <c r="V1948" t="s">
        <v>613</v>
      </c>
      <c r="W1948" s="257" t="s">
        <v>829</v>
      </c>
      <c r="X1948" t="s">
        <v>831</v>
      </c>
      <c r="Y1948" s="316" t="s">
        <v>1214</v>
      </c>
      <c r="Z1948" s="8">
        <v>73</v>
      </c>
      <c r="AA1948" s="202" t="str">
        <f t="shared" si="31"/>
        <v>Масса мясных и рыбных порций, г</v>
      </c>
    </row>
    <row r="1949" spans="1:27" ht="15" customHeight="1" x14ac:dyDescent="0.25">
      <c r="A1949" t="s">
        <v>153</v>
      </c>
      <c r="L1949"/>
      <c r="M1949"/>
      <c r="N1949"/>
      <c r="O1949"/>
      <c r="P1949"/>
      <c r="T1949">
        <v>2465</v>
      </c>
      <c r="U1949" s="7">
        <v>3</v>
      </c>
      <c r="V1949" t="s">
        <v>613</v>
      </c>
      <c r="W1949" s="257" t="s">
        <v>829</v>
      </c>
      <c r="X1949" t="s">
        <v>832</v>
      </c>
      <c r="Y1949" t="s">
        <v>542</v>
      </c>
      <c r="Z1949" s="8">
        <v>120</v>
      </c>
      <c r="AA1949" s="202" t="str">
        <f t="shared" si="31"/>
        <v>Сайда б/г</v>
      </c>
    </row>
    <row r="1950" spans="1:27" ht="15" customHeight="1" x14ac:dyDescent="0.25">
      <c r="A1950" t="s">
        <v>153</v>
      </c>
      <c r="L1950"/>
      <c r="M1950"/>
      <c r="N1950"/>
      <c r="O1950"/>
      <c r="P1950"/>
      <c r="T1950">
        <v>2465</v>
      </c>
      <c r="U1950" s="7">
        <v>3</v>
      </c>
      <c r="V1950" t="s">
        <v>613</v>
      </c>
      <c r="W1950" s="257" t="s">
        <v>829</v>
      </c>
      <c r="X1950" t="s">
        <v>832</v>
      </c>
      <c r="Y1950" s="316" t="s">
        <v>45</v>
      </c>
      <c r="Z1950" s="8">
        <v>150</v>
      </c>
      <c r="AA1950" s="202" t="str">
        <f t="shared" si="31"/>
        <v>Картофель</v>
      </c>
    </row>
    <row r="1951" spans="1:27" ht="15" customHeight="1" x14ac:dyDescent="0.25">
      <c r="A1951" t="s">
        <v>153</v>
      </c>
      <c r="L1951"/>
      <c r="M1951"/>
      <c r="N1951"/>
      <c r="O1951"/>
      <c r="P1951"/>
      <c r="T1951">
        <v>2465</v>
      </c>
      <c r="U1951" s="7">
        <v>3</v>
      </c>
      <c r="V1951" t="s">
        <v>613</v>
      </c>
      <c r="W1951" s="257" t="s">
        <v>829</v>
      </c>
      <c r="X1951" t="s">
        <v>832</v>
      </c>
      <c r="Y1951" s="316" t="s">
        <v>61</v>
      </c>
      <c r="Z1951" s="8">
        <v>5</v>
      </c>
      <c r="AA1951" s="202" t="str">
        <f t="shared" si="31"/>
        <v>Масло растительное</v>
      </c>
    </row>
    <row r="1952" spans="1:27" ht="15" customHeight="1" x14ac:dyDescent="0.25">
      <c r="A1952" t="s">
        <v>153</v>
      </c>
      <c r="L1952"/>
      <c r="M1952"/>
      <c r="N1952"/>
      <c r="O1952"/>
      <c r="P1952"/>
      <c r="T1952">
        <v>2465</v>
      </c>
      <c r="U1952" s="7">
        <v>3</v>
      </c>
      <c r="V1952" t="s">
        <v>613</v>
      </c>
      <c r="W1952" s="257" t="s">
        <v>829</v>
      </c>
      <c r="X1952" t="s">
        <v>832</v>
      </c>
      <c r="Y1952" s="316" t="s">
        <v>32</v>
      </c>
      <c r="Z1952" s="8">
        <v>10</v>
      </c>
      <c r="AA1952" s="202" t="str">
        <f t="shared" si="31"/>
        <v>Лук репчатый</v>
      </c>
    </row>
    <row r="1953" spans="1:27" ht="15" customHeight="1" x14ac:dyDescent="0.25">
      <c r="A1953" t="s">
        <v>153</v>
      </c>
      <c r="L1953"/>
      <c r="M1953"/>
      <c r="N1953"/>
      <c r="O1953"/>
      <c r="P1953"/>
      <c r="T1953">
        <v>2465</v>
      </c>
      <c r="U1953" s="7">
        <v>3</v>
      </c>
      <c r="V1953" t="s">
        <v>613</v>
      </c>
      <c r="W1953" s="257" t="s">
        <v>829</v>
      </c>
      <c r="X1953" t="s">
        <v>832</v>
      </c>
      <c r="Y1953" s="316" t="s">
        <v>434</v>
      </c>
      <c r="Z1953" s="8">
        <v>5</v>
      </c>
      <c r="AA1953" s="202" t="str">
        <f t="shared" si="31"/>
        <v>Мука пшеничная 1 с</v>
      </c>
    </row>
    <row r="1954" spans="1:27" ht="15" customHeight="1" x14ac:dyDescent="0.25">
      <c r="A1954" t="s">
        <v>153</v>
      </c>
      <c r="L1954"/>
      <c r="M1954"/>
      <c r="N1954"/>
      <c r="O1954"/>
      <c r="P1954"/>
      <c r="T1954">
        <v>2465</v>
      </c>
      <c r="U1954" s="7">
        <v>3</v>
      </c>
      <c r="V1954" t="s">
        <v>613</v>
      </c>
      <c r="W1954" s="257" t="s">
        <v>829</v>
      </c>
      <c r="X1954" t="s">
        <v>832</v>
      </c>
      <c r="Y1954" s="316" t="s">
        <v>484</v>
      </c>
      <c r="Z1954" s="8">
        <v>0.01</v>
      </c>
      <c r="AA1954" s="202" t="str">
        <f t="shared" si="31"/>
        <v>Перец черный</v>
      </c>
    </row>
    <row r="1955" spans="1:27" ht="15" customHeight="1" x14ac:dyDescent="0.25">
      <c r="A1955" t="s">
        <v>153</v>
      </c>
      <c r="L1955"/>
      <c r="M1955"/>
      <c r="N1955"/>
      <c r="O1955"/>
      <c r="P1955"/>
      <c r="T1955">
        <v>2465</v>
      </c>
      <c r="U1955" s="7">
        <v>3</v>
      </c>
      <c r="V1955" t="s">
        <v>613</v>
      </c>
      <c r="W1955" s="257" t="s">
        <v>829</v>
      </c>
      <c r="X1955" t="s">
        <v>832</v>
      </c>
      <c r="Y1955" s="316" t="s">
        <v>326</v>
      </c>
      <c r="Z1955" s="8">
        <v>2</v>
      </c>
      <c r="AA1955" s="202" t="str">
        <f t="shared" si="31"/>
        <v>Соль</v>
      </c>
    </row>
    <row r="1956" spans="1:27" ht="15" customHeight="1" x14ac:dyDescent="0.25">
      <c r="A1956" t="s">
        <v>153</v>
      </c>
      <c r="L1956"/>
      <c r="M1956"/>
      <c r="N1956"/>
      <c r="O1956"/>
      <c r="P1956"/>
      <c r="T1956">
        <v>2465</v>
      </c>
      <c r="U1956" s="7">
        <v>3</v>
      </c>
      <c r="V1956" t="s">
        <v>613</v>
      </c>
      <c r="W1956" s="257" t="s">
        <v>829</v>
      </c>
      <c r="X1956" t="s">
        <v>832</v>
      </c>
      <c r="Y1956" t="s">
        <v>436</v>
      </c>
      <c r="Z1956" s="8">
        <v>5</v>
      </c>
      <c r="AA1956" s="202" t="str">
        <f t="shared" si="31"/>
        <v>Сухари</v>
      </c>
    </row>
    <row r="1957" spans="1:27" ht="15" customHeight="1" x14ac:dyDescent="0.25">
      <c r="A1957" t="s">
        <v>153</v>
      </c>
      <c r="L1957"/>
      <c r="M1957"/>
      <c r="N1957"/>
      <c r="O1957"/>
      <c r="P1957"/>
      <c r="T1957">
        <v>2465</v>
      </c>
      <c r="U1957" s="7">
        <v>3</v>
      </c>
      <c r="V1957" t="s">
        <v>613</v>
      </c>
      <c r="W1957" s="257" t="s">
        <v>829</v>
      </c>
      <c r="X1957" t="s">
        <v>832</v>
      </c>
      <c r="Y1957" s="316" t="s">
        <v>558</v>
      </c>
      <c r="Z1957" s="8">
        <v>238.6</v>
      </c>
      <c r="AA1957" s="202" t="str">
        <f t="shared" si="31"/>
        <v>Общая масса готового блюда, г</v>
      </c>
    </row>
    <row r="1958" spans="1:27" ht="15" customHeight="1" x14ac:dyDescent="0.25">
      <c r="A1958" t="s">
        <v>153</v>
      </c>
      <c r="L1958"/>
      <c r="M1958"/>
      <c r="N1958"/>
      <c r="O1958"/>
      <c r="P1958"/>
      <c r="T1958">
        <v>2465</v>
      </c>
      <c r="U1958" s="7">
        <v>3</v>
      </c>
      <c r="V1958" t="s">
        <v>613</v>
      </c>
      <c r="W1958" s="257" t="s">
        <v>829</v>
      </c>
      <c r="X1958" t="s">
        <v>832</v>
      </c>
      <c r="Y1958" s="316" t="s">
        <v>1214</v>
      </c>
      <c r="Z1958" s="8">
        <v>76</v>
      </c>
      <c r="AA1958" s="202" t="str">
        <f t="shared" si="31"/>
        <v>Масса мясных и рыбных порций, г</v>
      </c>
    </row>
    <row r="1959" spans="1:27" ht="15" customHeight="1" x14ac:dyDescent="0.25">
      <c r="A1959" t="s">
        <v>153</v>
      </c>
      <c r="L1959"/>
      <c r="M1959"/>
      <c r="N1959"/>
      <c r="O1959"/>
      <c r="P1959"/>
      <c r="T1959">
        <v>2465</v>
      </c>
      <c r="U1959" s="7">
        <v>3</v>
      </c>
      <c r="V1959" t="s">
        <v>613</v>
      </c>
      <c r="W1959" s="257" t="s">
        <v>829</v>
      </c>
      <c r="X1959" t="s">
        <v>833</v>
      </c>
      <c r="Y1959" t="s">
        <v>543</v>
      </c>
      <c r="Z1959" s="8">
        <v>156</v>
      </c>
      <c r="AA1959" s="202" t="str">
        <f t="shared" si="31"/>
        <v>Сайда с/г</v>
      </c>
    </row>
    <row r="1960" spans="1:27" ht="15" customHeight="1" x14ac:dyDescent="0.25">
      <c r="A1960" t="s">
        <v>153</v>
      </c>
      <c r="L1960"/>
      <c r="M1960"/>
      <c r="N1960"/>
      <c r="O1960"/>
      <c r="P1960"/>
      <c r="T1960">
        <v>2465</v>
      </c>
      <c r="U1960" s="7">
        <v>3</v>
      </c>
      <c r="V1960" t="s">
        <v>613</v>
      </c>
      <c r="W1960" s="257" t="s">
        <v>829</v>
      </c>
      <c r="X1960" t="s">
        <v>833</v>
      </c>
      <c r="Y1960" s="316" t="s">
        <v>45</v>
      </c>
      <c r="Z1960" s="8">
        <v>150</v>
      </c>
      <c r="AA1960" s="202" t="str">
        <f t="shared" si="31"/>
        <v>Картофель</v>
      </c>
    </row>
    <row r="1961" spans="1:27" ht="15" customHeight="1" x14ac:dyDescent="0.25">
      <c r="A1961" t="s">
        <v>153</v>
      </c>
      <c r="L1961"/>
      <c r="M1961"/>
      <c r="N1961"/>
      <c r="O1961"/>
      <c r="P1961"/>
      <c r="T1961">
        <v>2465</v>
      </c>
      <c r="U1961" s="7">
        <v>3</v>
      </c>
      <c r="V1961" t="s">
        <v>613</v>
      </c>
      <c r="W1961" s="257" t="s">
        <v>829</v>
      </c>
      <c r="X1961" t="s">
        <v>833</v>
      </c>
      <c r="Y1961" s="316" t="s">
        <v>61</v>
      </c>
      <c r="Z1961" s="8">
        <v>5</v>
      </c>
      <c r="AA1961" s="202" t="str">
        <f t="shared" si="31"/>
        <v>Масло растительное</v>
      </c>
    </row>
    <row r="1962" spans="1:27" ht="15" customHeight="1" x14ac:dyDescent="0.25">
      <c r="A1962" t="s">
        <v>153</v>
      </c>
      <c r="L1962"/>
      <c r="M1962"/>
      <c r="N1962"/>
      <c r="O1962"/>
      <c r="P1962"/>
      <c r="T1962">
        <v>2465</v>
      </c>
      <c r="U1962" s="7">
        <v>3</v>
      </c>
      <c r="V1962" t="s">
        <v>613</v>
      </c>
      <c r="W1962" s="257" t="s">
        <v>829</v>
      </c>
      <c r="X1962" t="s">
        <v>833</v>
      </c>
      <c r="Y1962" s="316" t="s">
        <v>32</v>
      </c>
      <c r="Z1962" s="8">
        <v>10</v>
      </c>
      <c r="AA1962" s="202" t="str">
        <f t="shared" si="31"/>
        <v>Лук репчатый</v>
      </c>
    </row>
    <row r="1963" spans="1:27" ht="15" customHeight="1" x14ac:dyDescent="0.25">
      <c r="A1963" t="s">
        <v>153</v>
      </c>
      <c r="L1963"/>
      <c r="M1963"/>
      <c r="N1963"/>
      <c r="O1963"/>
      <c r="P1963"/>
      <c r="T1963">
        <v>2465</v>
      </c>
      <c r="U1963" s="7">
        <v>3</v>
      </c>
      <c r="V1963" t="s">
        <v>613</v>
      </c>
      <c r="W1963" s="257" t="s">
        <v>829</v>
      </c>
      <c r="X1963" t="s">
        <v>833</v>
      </c>
      <c r="Y1963" s="316" t="s">
        <v>434</v>
      </c>
      <c r="Z1963" s="8">
        <v>5</v>
      </c>
      <c r="AA1963" s="202" t="str">
        <f t="shared" si="31"/>
        <v>Мука пшеничная 1 с</v>
      </c>
    </row>
    <row r="1964" spans="1:27" ht="15" customHeight="1" x14ac:dyDescent="0.25">
      <c r="A1964" t="s">
        <v>153</v>
      </c>
      <c r="L1964"/>
      <c r="M1964"/>
      <c r="N1964"/>
      <c r="O1964"/>
      <c r="P1964"/>
      <c r="T1964">
        <v>2465</v>
      </c>
      <c r="U1964" s="7">
        <v>3</v>
      </c>
      <c r="V1964" t="s">
        <v>613</v>
      </c>
      <c r="W1964" s="257" t="s">
        <v>829</v>
      </c>
      <c r="X1964" t="s">
        <v>833</v>
      </c>
      <c r="Y1964" s="316" t="s">
        <v>484</v>
      </c>
      <c r="Z1964" s="8">
        <v>0.01</v>
      </c>
      <c r="AA1964" s="202" t="str">
        <f t="shared" si="31"/>
        <v>Перец черный</v>
      </c>
    </row>
    <row r="1965" spans="1:27" ht="15" customHeight="1" x14ac:dyDescent="0.25">
      <c r="A1965" t="s">
        <v>153</v>
      </c>
      <c r="L1965"/>
      <c r="M1965"/>
      <c r="N1965"/>
      <c r="O1965"/>
      <c r="P1965"/>
      <c r="T1965">
        <v>2465</v>
      </c>
      <c r="U1965" s="7">
        <v>3</v>
      </c>
      <c r="V1965" t="s">
        <v>613</v>
      </c>
      <c r="W1965" s="257" t="s">
        <v>829</v>
      </c>
      <c r="X1965" t="s">
        <v>833</v>
      </c>
      <c r="Y1965" s="316" t="s">
        <v>326</v>
      </c>
      <c r="Z1965" s="8">
        <v>2</v>
      </c>
      <c r="AA1965" s="202" t="str">
        <f t="shared" si="31"/>
        <v>Соль</v>
      </c>
    </row>
    <row r="1966" spans="1:27" ht="15" customHeight="1" x14ac:dyDescent="0.25">
      <c r="A1966" t="s">
        <v>153</v>
      </c>
      <c r="L1966"/>
      <c r="M1966"/>
      <c r="N1966"/>
      <c r="O1966"/>
      <c r="P1966"/>
      <c r="T1966">
        <v>2465</v>
      </c>
      <c r="U1966" s="7">
        <v>3</v>
      </c>
      <c r="V1966" t="s">
        <v>613</v>
      </c>
      <c r="W1966" s="257" t="s">
        <v>829</v>
      </c>
      <c r="X1966" t="s">
        <v>833</v>
      </c>
      <c r="Y1966" t="s">
        <v>436</v>
      </c>
      <c r="Z1966" s="8">
        <v>5</v>
      </c>
      <c r="AA1966" s="202" t="str">
        <f t="shared" si="31"/>
        <v>Сухари</v>
      </c>
    </row>
    <row r="1967" spans="1:27" ht="15" customHeight="1" x14ac:dyDescent="0.25">
      <c r="A1967" t="s">
        <v>153</v>
      </c>
      <c r="L1967"/>
      <c r="M1967"/>
      <c r="N1967"/>
      <c r="O1967"/>
      <c r="P1967"/>
      <c r="T1967">
        <v>2465</v>
      </c>
      <c r="U1967" s="7">
        <v>3</v>
      </c>
      <c r="V1967" t="s">
        <v>613</v>
      </c>
      <c r="W1967" s="257" t="s">
        <v>829</v>
      </c>
      <c r="X1967" t="s">
        <v>833</v>
      </c>
      <c r="Y1967" s="316" t="s">
        <v>558</v>
      </c>
      <c r="Z1967" s="8">
        <v>223.84</v>
      </c>
      <c r="AA1967" s="202" t="str">
        <f t="shared" si="31"/>
        <v>Общая масса готового блюда, г</v>
      </c>
    </row>
    <row r="1968" spans="1:27" ht="15" customHeight="1" x14ac:dyDescent="0.25">
      <c r="A1968" t="s">
        <v>153</v>
      </c>
      <c r="L1968"/>
      <c r="M1968"/>
      <c r="N1968"/>
      <c r="O1968"/>
      <c r="P1968"/>
      <c r="T1968">
        <v>2465</v>
      </c>
      <c r="U1968" s="7">
        <v>3</v>
      </c>
      <c r="V1968" t="s">
        <v>613</v>
      </c>
      <c r="W1968" s="257" t="s">
        <v>829</v>
      </c>
      <c r="X1968" t="s">
        <v>833</v>
      </c>
      <c r="Y1968" s="316" t="s">
        <v>1214</v>
      </c>
      <c r="Z1968" s="8">
        <v>61</v>
      </c>
      <c r="AA1968" s="202" t="str">
        <f t="shared" si="31"/>
        <v>Масса мясных и рыбных порций, г</v>
      </c>
    </row>
    <row r="1969" spans="1:27" ht="15" customHeight="1" x14ac:dyDescent="0.25">
      <c r="A1969" t="s">
        <v>153</v>
      </c>
      <c r="L1969"/>
      <c r="M1969"/>
      <c r="N1969"/>
      <c r="O1969"/>
      <c r="P1969"/>
      <c r="T1969">
        <v>2465</v>
      </c>
      <c r="U1969" s="7">
        <v>3</v>
      </c>
      <c r="V1969" t="s">
        <v>613</v>
      </c>
      <c r="W1969" s="257" t="s">
        <v>829</v>
      </c>
      <c r="X1969" t="s">
        <v>834</v>
      </c>
      <c r="Y1969" t="s">
        <v>514</v>
      </c>
      <c r="Z1969" s="8">
        <v>156</v>
      </c>
      <c r="AA1969" s="202" t="str">
        <f t="shared" si="31"/>
        <v>Сом с/г</v>
      </c>
    </row>
    <row r="1970" spans="1:27" ht="15" customHeight="1" x14ac:dyDescent="0.25">
      <c r="A1970" t="s">
        <v>153</v>
      </c>
      <c r="L1970"/>
      <c r="M1970"/>
      <c r="N1970"/>
      <c r="O1970"/>
      <c r="P1970"/>
      <c r="T1970">
        <v>2465</v>
      </c>
      <c r="U1970" s="7">
        <v>3</v>
      </c>
      <c r="V1970" t="s">
        <v>613</v>
      </c>
      <c r="W1970" s="257" t="s">
        <v>829</v>
      </c>
      <c r="X1970" t="s">
        <v>834</v>
      </c>
      <c r="Y1970" s="316" t="s">
        <v>45</v>
      </c>
      <c r="Z1970" s="8">
        <v>150</v>
      </c>
      <c r="AA1970" s="202" t="str">
        <f t="shared" si="31"/>
        <v>Картофель</v>
      </c>
    </row>
    <row r="1971" spans="1:27" ht="15" customHeight="1" x14ac:dyDescent="0.25">
      <c r="A1971" t="s">
        <v>153</v>
      </c>
      <c r="L1971"/>
      <c r="M1971"/>
      <c r="N1971"/>
      <c r="O1971"/>
      <c r="P1971"/>
      <c r="T1971">
        <v>2465</v>
      </c>
      <c r="U1971" s="7">
        <v>3</v>
      </c>
      <c r="V1971" t="s">
        <v>613</v>
      </c>
      <c r="W1971" s="257" t="s">
        <v>829</v>
      </c>
      <c r="X1971" t="s">
        <v>834</v>
      </c>
      <c r="Y1971" s="316" t="s">
        <v>61</v>
      </c>
      <c r="Z1971" s="8">
        <v>5</v>
      </c>
      <c r="AA1971" s="202" t="str">
        <f t="shared" si="31"/>
        <v>Масло растительное</v>
      </c>
    </row>
    <row r="1972" spans="1:27" ht="15" customHeight="1" x14ac:dyDescent="0.25">
      <c r="A1972" t="s">
        <v>153</v>
      </c>
      <c r="L1972"/>
      <c r="M1972"/>
      <c r="N1972"/>
      <c r="O1972"/>
      <c r="P1972"/>
      <c r="T1972">
        <v>2465</v>
      </c>
      <c r="U1972" s="7">
        <v>3</v>
      </c>
      <c r="V1972" t="s">
        <v>613</v>
      </c>
      <c r="W1972" s="257" t="s">
        <v>829</v>
      </c>
      <c r="X1972" t="s">
        <v>834</v>
      </c>
      <c r="Y1972" s="316" t="s">
        <v>32</v>
      </c>
      <c r="Z1972" s="8">
        <v>10</v>
      </c>
      <c r="AA1972" s="202" t="str">
        <f t="shared" si="31"/>
        <v>Лук репчатый</v>
      </c>
    </row>
    <row r="1973" spans="1:27" ht="15" customHeight="1" x14ac:dyDescent="0.25">
      <c r="A1973" t="s">
        <v>153</v>
      </c>
      <c r="L1973"/>
      <c r="M1973"/>
      <c r="N1973"/>
      <c r="O1973"/>
      <c r="P1973"/>
      <c r="T1973">
        <v>2465</v>
      </c>
      <c r="U1973" s="7">
        <v>3</v>
      </c>
      <c r="V1973" t="s">
        <v>613</v>
      </c>
      <c r="W1973" s="257" t="s">
        <v>829</v>
      </c>
      <c r="X1973" t="s">
        <v>834</v>
      </c>
      <c r="Y1973" s="316" t="s">
        <v>434</v>
      </c>
      <c r="Z1973" s="8">
        <v>5</v>
      </c>
      <c r="AA1973" s="202" t="str">
        <f t="shared" si="31"/>
        <v>Мука пшеничная 1 с</v>
      </c>
    </row>
    <row r="1974" spans="1:27" ht="15" customHeight="1" x14ac:dyDescent="0.25">
      <c r="A1974" t="s">
        <v>153</v>
      </c>
      <c r="L1974"/>
      <c r="M1974"/>
      <c r="N1974"/>
      <c r="O1974"/>
      <c r="P1974"/>
      <c r="T1974">
        <v>2465</v>
      </c>
      <c r="U1974" s="7">
        <v>3</v>
      </c>
      <c r="V1974" t="s">
        <v>613</v>
      </c>
      <c r="W1974" s="257" t="s">
        <v>829</v>
      </c>
      <c r="X1974" t="s">
        <v>834</v>
      </c>
      <c r="Y1974" s="316" t="s">
        <v>484</v>
      </c>
      <c r="Z1974" s="8">
        <v>0.01</v>
      </c>
      <c r="AA1974" s="202" t="str">
        <f t="shared" si="31"/>
        <v>Перец черный</v>
      </c>
    </row>
    <row r="1975" spans="1:27" ht="15" customHeight="1" x14ac:dyDescent="0.25">
      <c r="A1975" t="s">
        <v>153</v>
      </c>
      <c r="L1975"/>
      <c r="M1975"/>
      <c r="N1975"/>
      <c r="O1975"/>
      <c r="P1975"/>
      <c r="T1975">
        <v>2465</v>
      </c>
      <c r="U1975" s="7">
        <v>3</v>
      </c>
      <c r="V1975" t="s">
        <v>613</v>
      </c>
      <c r="W1975" s="257" t="s">
        <v>829</v>
      </c>
      <c r="X1975" t="s">
        <v>834</v>
      </c>
      <c r="Y1975" s="316" t="s">
        <v>326</v>
      </c>
      <c r="Z1975" s="8">
        <v>2</v>
      </c>
      <c r="AA1975" s="202" t="str">
        <f t="shared" si="31"/>
        <v>Соль</v>
      </c>
    </row>
    <row r="1976" spans="1:27" ht="15" customHeight="1" x14ac:dyDescent="0.25">
      <c r="A1976" t="s">
        <v>153</v>
      </c>
      <c r="L1976"/>
      <c r="M1976"/>
      <c r="N1976"/>
      <c r="O1976"/>
      <c r="P1976"/>
      <c r="T1976">
        <v>2465</v>
      </c>
      <c r="U1976" s="7">
        <v>3</v>
      </c>
      <c r="V1976" t="s">
        <v>613</v>
      </c>
      <c r="W1976" s="257" t="s">
        <v>829</v>
      </c>
      <c r="X1976" t="s">
        <v>834</v>
      </c>
      <c r="Y1976" t="s">
        <v>436</v>
      </c>
      <c r="Z1976" s="8">
        <v>5</v>
      </c>
      <c r="AA1976" s="202" t="str">
        <f t="shared" si="31"/>
        <v>Сухари</v>
      </c>
    </row>
    <row r="1977" spans="1:27" ht="15" customHeight="1" x14ac:dyDescent="0.25">
      <c r="A1977" t="s">
        <v>153</v>
      </c>
      <c r="L1977"/>
      <c r="M1977"/>
      <c r="N1977"/>
      <c r="O1977"/>
      <c r="P1977"/>
      <c r="T1977">
        <v>2465</v>
      </c>
      <c r="U1977" s="7">
        <v>3</v>
      </c>
      <c r="V1977" t="s">
        <v>613</v>
      </c>
      <c r="W1977" s="257" t="s">
        <v>829</v>
      </c>
      <c r="X1977" t="s">
        <v>834</v>
      </c>
      <c r="Y1977" s="316" t="s">
        <v>558</v>
      </c>
      <c r="Z1977" s="8">
        <v>233.2</v>
      </c>
      <c r="AA1977" s="202" t="str">
        <f t="shared" si="31"/>
        <v>Общая масса готового блюда, г</v>
      </c>
    </row>
    <row r="1978" spans="1:27" ht="15" customHeight="1" x14ac:dyDescent="0.25">
      <c r="A1978" t="s">
        <v>153</v>
      </c>
      <c r="L1978"/>
      <c r="M1978"/>
      <c r="N1978"/>
      <c r="O1978"/>
      <c r="P1978"/>
      <c r="T1978">
        <v>2465</v>
      </c>
      <c r="U1978" s="7">
        <v>3</v>
      </c>
      <c r="V1978" t="s">
        <v>613</v>
      </c>
      <c r="W1978" s="257" t="s">
        <v>829</v>
      </c>
      <c r="X1978" t="s">
        <v>834</v>
      </c>
      <c r="Y1978" s="316" t="s">
        <v>1214</v>
      </c>
      <c r="Z1978" s="8">
        <v>70</v>
      </c>
      <c r="AA1978" s="202" t="str">
        <f t="shared" si="31"/>
        <v>Масса мясных и рыбных порций, г</v>
      </c>
    </row>
    <row r="1979" spans="1:27" ht="15" customHeight="1" x14ac:dyDescent="0.25">
      <c r="A1979" t="s">
        <v>153</v>
      </c>
      <c r="L1979"/>
      <c r="M1979"/>
      <c r="N1979"/>
      <c r="O1979"/>
      <c r="P1979"/>
      <c r="T1979">
        <v>2465</v>
      </c>
      <c r="U1979" s="7">
        <v>3</v>
      </c>
      <c r="V1979" t="s">
        <v>613</v>
      </c>
      <c r="W1979" s="257" t="s">
        <v>829</v>
      </c>
      <c r="X1979" t="s">
        <v>835</v>
      </c>
      <c r="Y1979" s="316" t="s">
        <v>544</v>
      </c>
      <c r="Z1979" s="8">
        <v>120</v>
      </c>
      <c r="AA1979" s="202" t="str">
        <f t="shared" si="31"/>
        <v>Треска б/г</v>
      </c>
    </row>
    <row r="1980" spans="1:27" ht="15" customHeight="1" x14ac:dyDescent="0.25">
      <c r="A1980" t="s">
        <v>153</v>
      </c>
      <c r="L1980"/>
      <c r="M1980"/>
      <c r="N1980"/>
      <c r="O1980"/>
      <c r="P1980"/>
      <c r="T1980">
        <v>2465</v>
      </c>
      <c r="U1980" s="7">
        <v>3</v>
      </c>
      <c r="V1980" t="s">
        <v>613</v>
      </c>
      <c r="W1980" s="257" t="s">
        <v>829</v>
      </c>
      <c r="X1980" t="s">
        <v>835</v>
      </c>
      <c r="Y1980" s="316" t="s">
        <v>45</v>
      </c>
      <c r="Z1980" s="8">
        <v>150</v>
      </c>
      <c r="AA1980" s="202" t="str">
        <f t="shared" si="31"/>
        <v>Картофель</v>
      </c>
    </row>
    <row r="1981" spans="1:27" ht="15" customHeight="1" x14ac:dyDescent="0.25">
      <c r="A1981" t="s">
        <v>153</v>
      </c>
      <c r="L1981"/>
      <c r="M1981"/>
      <c r="N1981"/>
      <c r="O1981"/>
      <c r="P1981"/>
      <c r="T1981">
        <v>2465</v>
      </c>
      <c r="U1981" s="7">
        <v>3</v>
      </c>
      <c r="V1981" t="s">
        <v>613</v>
      </c>
      <c r="W1981" s="257" t="s">
        <v>829</v>
      </c>
      <c r="X1981" t="s">
        <v>835</v>
      </c>
      <c r="Y1981" s="316" t="s">
        <v>61</v>
      </c>
      <c r="Z1981" s="8">
        <v>5</v>
      </c>
      <c r="AA1981" s="202" t="str">
        <f t="shared" si="31"/>
        <v>Масло растительное</v>
      </c>
    </row>
    <row r="1982" spans="1:27" ht="15" customHeight="1" x14ac:dyDescent="0.25">
      <c r="A1982" t="s">
        <v>153</v>
      </c>
      <c r="L1982"/>
      <c r="M1982"/>
      <c r="N1982"/>
      <c r="O1982"/>
      <c r="P1982"/>
      <c r="T1982">
        <v>2465</v>
      </c>
      <c r="U1982" s="7">
        <v>3</v>
      </c>
      <c r="V1982" t="s">
        <v>613</v>
      </c>
      <c r="W1982" s="257" t="s">
        <v>829</v>
      </c>
      <c r="X1982" t="s">
        <v>835</v>
      </c>
      <c r="Y1982" s="316" t="s">
        <v>32</v>
      </c>
      <c r="Z1982" s="8">
        <v>10</v>
      </c>
      <c r="AA1982" s="202" t="str">
        <f t="shared" si="31"/>
        <v>Лук репчатый</v>
      </c>
    </row>
    <row r="1983" spans="1:27" ht="15" customHeight="1" x14ac:dyDescent="0.25">
      <c r="A1983" t="s">
        <v>153</v>
      </c>
      <c r="L1983"/>
      <c r="M1983"/>
      <c r="N1983"/>
      <c r="O1983"/>
      <c r="P1983"/>
      <c r="T1983">
        <v>2465</v>
      </c>
      <c r="U1983" s="7">
        <v>3</v>
      </c>
      <c r="V1983" t="s">
        <v>613</v>
      </c>
      <c r="W1983" s="257" t="s">
        <v>829</v>
      </c>
      <c r="X1983" t="s">
        <v>835</v>
      </c>
      <c r="Y1983" s="316" t="s">
        <v>434</v>
      </c>
      <c r="Z1983" s="8">
        <v>5</v>
      </c>
      <c r="AA1983" s="202" t="str">
        <f t="shared" si="31"/>
        <v>Мука пшеничная 1 с</v>
      </c>
    </row>
    <row r="1984" spans="1:27" ht="15" customHeight="1" x14ac:dyDescent="0.25">
      <c r="A1984" t="s">
        <v>153</v>
      </c>
      <c r="L1984"/>
      <c r="M1984"/>
      <c r="N1984"/>
      <c r="O1984"/>
      <c r="P1984"/>
      <c r="T1984">
        <v>2465</v>
      </c>
      <c r="U1984" s="7">
        <v>3</v>
      </c>
      <c r="V1984" t="s">
        <v>613</v>
      </c>
      <c r="W1984" s="257" t="s">
        <v>829</v>
      </c>
      <c r="X1984" t="s">
        <v>835</v>
      </c>
      <c r="Y1984" s="316" t="s">
        <v>484</v>
      </c>
      <c r="Z1984" s="8">
        <v>0.01</v>
      </c>
      <c r="AA1984" s="202" t="str">
        <f t="shared" si="31"/>
        <v>Перец черный</v>
      </c>
    </row>
    <row r="1985" spans="1:27" ht="15" customHeight="1" x14ac:dyDescent="0.25">
      <c r="A1985" t="s">
        <v>153</v>
      </c>
      <c r="L1985"/>
      <c r="M1985"/>
      <c r="N1985"/>
      <c r="O1985"/>
      <c r="P1985"/>
      <c r="T1985">
        <v>2465</v>
      </c>
      <c r="U1985" s="7">
        <v>3</v>
      </c>
      <c r="V1985" t="s">
        <v>613</v>
      </c>
      <c r="W1985" s="257" t="s">
        <v>829</v>
      </c>
      <c r="X1985" t="s">
        <v>835</v>
      </c>
      <c r="Y1985" s="316" t="s">
        <v>326</v>
      </c>
      <c r="Z1985" s="8">
        <v>2</v>
      </c>
      <c r="AA1985" s="202" t="str">
        <f t="shared" si="31"/>
        <v>Соль</v>
      </c>
    </row>
    <row r="1986" spans="1:27" ht="15" customHeight="1" x14ac:dyDescent="0.25">
      <c r="A1986" t="s">
        <v>153</v>
      </c>
      <c r="L1986"/>
      <c r="M1986"/>
      <c r="N1986"/>
      <c r="O1986"/>
      <c r="P1986"/>
      <c r="T1986">
        <v>2465</v>
      </c>
      <c r="U1986" s="7">
        <v>3</v>
      </c>
      <c r="V1986" t="s">
        <v>613</v>
      </c>
      <c r="W1986" s="257" t="s">
        <v>829</v>
      </c>
      <c r="X1986" t="s">
        <v>835</v>
      </c>
      <c r="Y1986" t="s">
        <v>436</v>
      </c>
      <c r="Z1986" s="8">
        <v>5</v>
      </c>
      <c r="AA1986" s="202" t="str">
        <f t="shared" ref="AA1986:AA2049" si="32">VLOOKUP(Y1986,O:P,2,FALSE)</f>
        <v>Сухари</v>
      </c>
    </row>
    <row r="1987" spans="1:27" ht="15" customHeight="1" x14ac:dyDescent="0.25">
      <c r="A1987" t="s">
        <v>153</v>
      </c>
      <c r="L1987"/>
      <c r="M1987"/>
      <c r="N1987"/>
      <c r="O1987"/>
      <c r="P1987"/>
      <c r="T1987">
        <v>2465</v>
      </c>
      <c r="U1987" s="7">
        <v>3</v>
      </c>
      <c r="V1987" t="s">
        <v>613</v>
      </c>
      <c r="W1987" s="257" t="s">
        <v>829</v>
      </c>
      <c r="X1987" t="s">
        <v>835</v>
      </c>
      <c r="Y1987" s="316" t="s">
        <v>558</v>
      </c>
      <c r="Z1987" s="8">
        <v>236.2</v>
      </c>
      <c r="AA1987" s="202" t="str">
        <f t="shared" si="32"/>
        <v>Общая масса готового блюда, г</v>
      </c>
    </row>
    <row r="1988" spans="1:27" ht="15" customHeight="1" x14ac:dyDescent="0.25">
      <c r="A1988" t="s">
        <v>153</v>
      </c>
      <c r="L1988"/>
      <c r="M1988"/>
      <c r="N1988"/>
      <c r="O1988"/>
      <c r="P1988"/>
      <c r="T1988">
        <v>2465</v>
      </c>
      <c r="U1988" s="7">
        <v>3</v>
      </c>
      <c r="V1988" t="s">
        <v>613</v>
      </c>
      <c r="W1988" s="257" t="s">
        <v>829</v>
      </c>
      <c r="X1988" t="s">
        <v>835</v>
      </c>
      <c r="Y1988" s="316" t="s">
        <v>1214</v>
      </c>
      <c r="Z1988" s="8">
        <v>73</v>
      </c>
      <c r="AA1988" s="202" t="str">
        <f t="shared" si="32"/>
        <v>Масса мясных и рыбных порций, г</v>
      </c>
    </row>
    <row r="1989" spans="1:27" ht="15" customHeight="1" x14ac:dyDescent="0.25">
      <c r="A1989" t="s">
        <v>153</v>
      </c>
      <c r="L1989"/>
      <c r="M1989"/>
      <c r="N1989"/>
      <c r="O1989"/>
      <c r="P1989"/>
      <c r="T1989">
        <v>2465</v>
      </c>
      <c r="U1989" s="7">
        <v>3</v>
      </c>
      <c r="V1989" t="s">
        <v>613</v>
      </c>
      <c r="W1989" s="257" t="s">
        <v>829</v>
      </c>
      <c r="X1989" t="s">
        <v>836</v>
      </c>
      <c r="Y1989" s="316" t="s">
        <v>1225</v>
      </c>
      <c r="Z1989" s="8">
        <v>120</v>
      </c>
      <c r="AA1989" s="202" t="str">
        <f t="shared" si="32"/>
        <v>Хек б/г</v>
      </c>
    </row>
    <row r="1990" spans="1:27" ht="15" customHeight="1" x14ac:dyDescent="0.25">
      <c r="A1990" t="s">
        <v>153</v>
      </c>
      <c r="L1990"/>
      <c r="M1990"/>
      <c r="N1990"/>
      <c r="O1990"/>
      <c r="P1990"/>
      <c r="T1990">
        <v>2465</v>
      </c>
      <c r="U1990" s="7">
        <v>3</v>
      </c>
      <c r="V1990" t="s">
        <v>613</v>
      </c>
      <c r="W1990" s="257" t="s">
        <v>829</v>
      </c>
      <c r="X1990" t="s">
        <v>836</v>
      </c>
      <c r="Y1990" s="316" t="s">
        <v>45</v>
      </c>
      <c r="Z1990" s="8">
        <v>150</v>
      </c>
      <c r="AA1990" s="202" t="str">
        <f t="shared" si="32"/>
        <v>Картофель</v>
      </c>
    </row>
    <row r="1991" spans="1:27" ht="15" customHeight="1" x14ac:dyDescent="0.25">
      <c r="A1991" t="s">
        <v>153</v>
      </c>
      <c r="L1991"/>
      <c r="M1991"/>
      <c r="N1991"/>
      <c r="O1991"/>
      <c r="P1991"/>
      <c r="T1991">
        <v>2465</v>
      </c>
      <c r="U1991" s="7">
        <v>3</v>
      </c>
      <c r="V1991" t="s">
        <v>613</v>
      </c>
      <c r="W1991" s="257" t="s">
        <v>829</v>
      </c>
      <c r="X1991" t="s">
        <v>836</v>
      </c>
      <c r="Y1991" s="316" t="s">
        <v>61</v>
      </c>
      <c r="Z1991" s="8">
        <v>5</v>
      </c>
      <c r="AA1991" s="202" t="str">
        <f t="shared" si="32"/>
        <v>Масло растительное</v>
      </c>
    </row>
    <row r="1992" spans="1:27" ht="15" customHeight="1" x14ac:dyDescent="0.25">
      <c r="A1992" t="s">
        <v>153</v>
      </c>
      <c r="L1992"/>
      <c r="M1992"/>
      <c r="N1992"/>
      <c r="O1992"/>
      <c r="P1992"/>
      <c r="T1992">
        <v>2465</v>
      </c>
      <c r="U1992" s="7">
        <v>3</v>
      </c>
      <c r="V1992" t="s">
        <v>613</v>
      </c>
      <c r="W1992" s="257" t="s">
        <v>829</v>
      </c>
      <c r="X1992" t="s">
        <v>836</v>
      </c>
      <c r="Y1992" s="316" t="s">
        <v>32</v>
      </c>
      <c r="Z1992" s="8">
        <v>10</v>
      </c>
      <c r="AA1992" s="202" t="str">
        <f t="shared" si="32"/>
        <v>Лук репчатый</v>
      </c>
    </row>
    <row r="1993" spans="1:27" ht="15" customHeight="1" x14ac:dyDescent="0.25">
      <c r="A1993" t="s">
        <v>153</v>
      </c>
      <c r="L1993"/>
      <c r="M1993"/>
      <c r="N1993"/>
      <c r="O1993"/>
      <c r="P1993"/>
      <c r="T1993">
        <v>2465</v>
      </c>
      <c r="U1993" s="7">
        <v>3</v>
      </c>
      <c r="V1993" t="s">
        <v>613</v>
      </c>
      <c r="W1993" s="257" t="s">
        <v>829</v>
      </c>
      <c r="X1993" t="s">
        <v>836</v>
      </c>
      <c r="Y1993" s="316" t="s">
        <v>434</v>
      </c>
      <c r="Z1993" s="8">
        <v>5</v>
      </c>
      <c r="AA1993" s="202" t="str">
        <f t="shared" si="32"/>
        <v>Мука пшеничная 1 с</v>
      </c>
    </row>
    <row r="1994" spans="1:27" ht="15" customHeight="1" x14ac:dyDescent="0.25">
      <c r="A1994" t="s">
        <v>153</v>
      </c>
      <c r="L1994"/>
      <c r="M1994"/>
      <c r="N1994"/>
      <c r="O1994"/>
      <c r="P1994"/>
      <c r="T1994">
        <v>2465</v>
      </c>
      <c r="U1994" s="7">
        <v>3</v>
      </c>
      <c r="V1994" t="s">
        <v>613</v>
      </c>
      <c r="W1994" s="257" t="s">
        <v>829</v>
      </c>
      <c r="X1994" t="s">
        <v>836</v>
      </c>
      <c r="Y1994" s="316" t="s">
        <v>484</v>
      </c>
      <c r="Z1994" s="8">
        <v>0.01</v>
      </c>
      <c r="AA1994" s="202" t="str">
        <f t="shared" si="32"/>
        <v>Перец черный</v>
      </c>
    </row>
    <row r="1995" spans="1:27" ht="15" customHeight="1" x14ac:dyDescent="0.25">
      <c r="A1995" t="s">
        <v>153</v>
      </c>
      <c r="L1995"/>
      <c r="M1995"/>
      <c r="N1995"/>
      <c r="O1995"/>
      <c r="P1995"/>
      <c r="T1995">
        <v>2465</v>
      </c>
      <c r="U1995" s="7">
        <v>3</v>
      </c>
      <c r="V1995" t="s">
        <v>613</v>
      </c>
      <c r="W1995" s="257" t="s">
        <v>829</v>
      </c>
      <c r="X1995" t="s">
        <v>836</v>
      </c>
      <c r="Y1995" s="316" t="s">
        <v>326</v>
      </c>
      <c r="Z1995" s="8">
        <v>2</v>
      </c>
      <c r="AA1995" s="202" t="str">
        <f t="shared" si="32"/>
        <v>Соль</v>
      </c>
    </row>
    <row r="1996" spans="1:27" ht="15" customHeight="1" x14ac:dyDescent="0.25">
      <c r="A1996" t="s">
        <v>153</v>
      </c>
      <c r="L1996"/>
      <c r="M1996"/>
      <c r="N1996"/>
      <c r="O1996"/>
      <c r="P1996"/>
      <c r="T1996">
        <v>2465</v>
      </c>
      <c r="U1996" s="7">
        <v>3</v>
      </c>
      <c r="V1996" t="s">
        <v>613</v>
      </c>
      <c r="W1996" s="257" t="s">
        <v>829</v>
      </c>
      <c r="X1996" t="s">
        <v>836</v>
      </c>
      <c r="Y1996" t="s">
        <v>436</v>
      </c>
      <c r="Z1996" s="8">
        <v>5</v>
      </c>
      <c r="AA1996" s="202" t="str">
        <f t="shared" si="32"/>
        <v>Сухари</v>
      </c>
    </row>
    <row r="1997" spans="1:27" ht="15" customHeight="1" x14ac:dyDescent="0.25">
      <c r="A1997" t="s">
        <v>153</v>
      </c>
      <c r="L1997"/>
      <c r="M1997"/>
      <c r="N1997"/>
      <c r="O1997"/>
      <c r="P1997"/>
      <c r="T1997">
        <v>2465</v>
      </c>
      <c r="U1997" s="7">
        <v>3</v>
      </c>
      <c r="V1997" t="s">
        <v>613</v>
      </c>
      <c r="W1997" s="257" t="s">
        <v>829</v>
      </c>
      <c r="X1997" t="s">
        <v>836</v>
      </c>
      <c r="Y1997" s="316" t="s">
        <v>558</v>
      </c>
      <c r="Z1997" s="8">
        <v>248.2</v>
      </c>
      <c r="AA1997" s="202" t="str">
        <f t="shared" si="32"/>
        <v>Общая масса готового блюда, г</v>
      </c>
    </row>
    <row r="1998" spans="1:27" ht="15" customHeight="1" x14ac:dyDescent="0.25">
      <c r="A1998" t="s">
        <v>153</v>
      </c>
      <c r="L1998"/>
      <c r="M1998"/>
      <c r="N1998"/>
      <c r="O1998"/>
      <c r="P1998"/>
      <c r="T1998">
        <v>2465</v>
      </c>
      <c r="U1998" s="7">
        <v>3</v>
      </c>
      <c r="V1998" t="s">
        <v>613</v>
      </c>
      <c r="W1998" s="257" t="s">
        <v>829</v>
      </c>
      <c r="X1998" t="s">
        <v>836</v>
      </c>
      <c r="Y1998" s="316" t="s">
        <v>1214</v>
      </c>
      <c r="Z1998" s="8">
        <v>85</v>
      </c>
      <c r="AA1998" s="202" t="str">
        <f t="shared" si="32"/>
        <v>Масса мясных и рыбных порций, г</v>
      </c>
    </row>
    <row r="1999" spans="1:27" ht="15" customHeight="1" x14ac:dyDescent="0.25">
      <c r="A1999" t="s">
        <v>153</v>
      </c>
      <c r="L1999"/>
      <c r="M1999"/>
      <c r="N1999"/>
      <c r="O1999"/>
      <c r="P1999"/>
      <c r="T1999">
        <v>2465</v>
      </c>
      <c r="U1999" s="7">
        <v>3</v>
      </c>
      <c r="V1999" t="s">
        <v>613</v>
      </c>
      <c r="W1999" s="257" t="s">
        <v>829</v>
      </c>
      <c r="X1999" t="s">
        <v>837</v>
      </c>
      <c r="Y1999" s="316" t="s">
        <v>519</v>
      </c>
      <c r="Z1999" s="8">
        <v>156</v>
      </c>
      <c r="AA1999" s="202" t="str">
        <f t="shared" si="32"/>
        <v>Щука с/г</v>
      </c>
    </row>
    <row r="2000" spans="1:27" ht="15" customHeight="1" x14ac:dyDescent="0.25">
      <c r="A2000" t="s">
        <v>153</v>
      </c>
      <c r="L2000"/>
      <c r="M2000"/>
      <c r="N2000"/>
      <c r="O2000"/>
      <c r="P2000"/>
      <c r="T2000">
        <v>2465</v>
      </c>
      <c r="U2000" s="7">
        <v>3</v>
      </c>
      <c r="V2000" t="s">
        <v>613</v>
      </c>
      <c r="W2000" s="257" t="s">
        <v>829</v>
      </c>
      <c r="X2000" t="s">
        <v>837</v>
      </c>
      <c r="Y2000" s="316" t="s">
        <v>45</v>
      </c>
      <c r="Z2000" s="8">
        <v>150</v>
      </c>
      <c r="AA2000" s="202" t="str">
        <f t="shared" si="32"/>
        <v>Картофель</v>
      </c>
    </row>
    <row r="2001" spans="1:27" ht="15" customHeight="1" x14ac:dyDescent="0.25">
      <c r="A2001" t="s">
        <v>153</v>
      </c>
      <c r="L2001"/>
      <c r="M2001"/>
      <c r="N2001"/>
      <c r="O2001"/>
      <c r="P2001"/>
      <c r="T2001">
        <v>2465</v>
      </c>
      <c r="U2001" s="7">
        <v>3</v>
      </c>
      <c r="V2001" t="s">
        <v>613</v>
      </c>
      <c r="W2001" s="257" t="s">
        <v>829</v>
      </c>
      <c r="X2001" t="s">
        <v>837</v>
      </c>
      <c r="Y2001" s="316" t="s">
        <v>61</v>
      </c>
      <c r="Z2001" s="8">
        <v>5</v>
      </c>
      <c r="AA2001" s="202" t="str">
        <f t="shared" si="32"/>
        <v>Масло растительное</v>
      </c>
    </row>
    <row r="2002" spans="1:27" ht="15" customHeight="1" x14ac:dyDescent="0.25">
      <c r="A2002" t="s">
        <v>153</v>
      </c>
      <c r="L2002"/>
      <c r="M2002"/>
      <c r="N2002"/>
      <c r="O2002"/>
      <c r="P2002"/>
      <c r="T2002">
        <v>2465</v>
      </c>
      <c r="U2002" s="7">
        <v>3</v>
      </c>
      <c r="V2002" t="s">
        <v>613</v>
      </c>
      <c r="W2002" s="257" t="s">
        <v>829</v>
      </c>
      <c r="X2002" t="s">
        <v>837</v>
      </c>
      <c r="Y2002" s="316" t="s">
        <v>32</v>
      </c>
      <c r="Z2002" s="8">
        <v>10</v>
      </c>
      <c r="AA2002" s="202" t="str">
        <f t="shared" si="32"/>
        <v>Лук репчатый</v>
      </c>
    </row>
    <row r="2003" spans="1:27" ht="15" customHeight="1" x14ac:dyDescent="0.25">
      <c r="A2003" t="s">
        <v>153</v>
      </c>
      <c r="L2003"/>
      <c r="M2003"/>
      <c r="N2003"/>
      <c r="O2003"/>
      <c r="P2003"/>
      <c r="T2003">
        <v>2465</v>
      </c>
      <c r="U2003" s="7">
        <v>3</v>
      </c>
      <c r="V2003" t="s">
        <v>613</v>
      </c>
      <c r="W2003" s="257" t="s">
        <v>829</v>
      </c>
      <c r="X2003" t="s">
        <v>837</v>
      </c>
      <c r="Y2003" s="316" t="s">
        <v>434</v>
      </c>
      <c r="Z2003" s="8">
        <v>5</v>
      </c>
      <c r="AA2003" s="202" t="str">
        <f t="shared" si="32"/>
        <v>Мука пшеничная 1 с</v>
      </c>
    </row>
    <row r="2004" spans="1:27" ht="15" customHeight="1" x14ac:dyDescent="0.25">
      <c r="A2004" t="s">
        <v>153</v>
      </c>
      <c r="L2004"/>
      <c r="M2004"/>
      <c r="N2004"/>
      <c r="O2004"/>
      <c r="P2004"/>
      <c r="T2004">
        <v>2465</v>
      </c>
      <c r="U2004" s="7">
        <v>3</v>
      </c>
      <c r="V2004" t="s">
        <v>613</v>
      </c>
      <c r="W2004" s="257" t="s">
        <v>829</v>
      </c>
      <c r="X2004" t="s">
        <v>837</v>
      </c>
      <c r="Y2004" s="316" t="s">
        <v>484</v>
      </c>
      <c r="Z2004" s="8">
        <v>0.01</v>
      </c>
      <c r="AA2004" s="202" t="str">
        <f t="shared" si="32"/>
        <v>Перец черный</v>
      </c>
    </row>
    <row r="2005" spans="1:27" ht="15" customHeight="1" x14ac:dyDescent="0.25">
      <c r="A2005" t="s">
        <v>153</v>
      </c>
      <c r="L2005"/>
      <c r="M2005"/>
      <c r="N2005"/>
      <c r="O2005"/>
      <c r="P2005"/>
      <c r="T2005">
        <v>2465</v>
      </c>
      <c r="U2005" s="7">
        <v>3</v>
      </c>
      <c r="V2005" t="s">
        <v>613</v>
      </c>
      <c r="W2005" s="257" t="s">
        <v>829</v>
      </c>
      <c r="X2005" t="s">
        <v>837</v>
      </c>
      <c r="Y2005" s="316" t="s">
        <v>326</v>
      </c>
      <c r="Z2005" s="8">
        <v>2</v>
      </c>
      <c r="AA2005" s="202" t="str">
        <f t="shared" si="32"/>
        <v>Соль</v>
      </c>
    </row>
    <row r="2006" spans="1:27" ht="15" customHeight="1" x14ac:dyDescent="0.25">
      <c r="A2006" t="s">
        <v>153</v>
      </c>
      <c r="L2006"/>
      <c r="M2006"/>
      <c r="N2006"/>
      <c r="O2006"/>
      <c r="P2006"/>
      <c r="T2006">
        <v>2465</v>
      </c>
      <c r="U2006" s="7">
        <v>3</v>
      </c>
      <c r="V2006" t="s">
        <v>613</v>
      </c>
      <c r="W2006" s="257" t="s">
        <v>829</v>
      </c>
      <c r="X2006" t="s">
        <v>837</v>
      </c>
      <c r="Y2006" t="s">
        <v>436</v>
      </c>
      <c r="Z2006" s="8">
        <v>5</v>
      </c>
      <c r="AA2006" s="202" t="str">
        <f t="shared" si="32"/>
        <v>Сухари</v>
      </c>
    </row>
    <row r="2007" spans="1:27" ht="15" customHeight="1" x14ac:dyDescent="0.25">
      <c r="A2007" t="s">
        <v>153</v>
      </c>
      <c r="L2007"/>
      <c r="M2007"/>
      <c r="N2007"/>
      <c r="O2007"/>
      <c r="P2007"/>
      <c r="T2007">
        <v>2465</v>
      </c>
      <c r="U2007" s="7">
        <v>3</v>
      </c>
      <c r="V2007" t="s">
        <v>613</v>
      </c>
      <c r="W2007" s="257" t="s">
        <v>829</v>
      </c>
      <c r="X2007" t="s">
        <v>837</v>
      </c>
      <c r="Y2007" s="316" t="s">
        <v>558</v>
      </c>
      <c r="Z2007" s="8">
        <v>230.07999999999998</v>
      </c>
      <c r="AA2007" s="202" t="str">
        <f t="shared" si="32"/>
        <v>Общая масса готового блюда, г</v>
      </c>
    </row>
    <row r="2008" spans="1:27" ht="15" customHeight="1" x14ac:dyDescent="0.25">
      <c r="A2008" t="s">
        <v>153</v>
      </c>
      <c r="L2008"/>
      <c r="M2008"/>
      <c r="N2008"/>
      <c r="O2008"/>
      <c r="P2008"/>
      <c r="T2008">
        <v>2465</v>
      </c>
      <c r="U2008" s="7">
        <v>3</v>
      </c>
      <c r="V2008" t="s">
        <v>613</v>
      </c>
      <c r="W2008" s="257" t="s">
        <v>829</v>
      </c>
      <c r="X2008" t="s">
        <v>837</v>
      </c>
      <c r="Y2008" s="316" t="s">
        <v>1214</v>
      </c>
      <c r="Z2008" s="8">
        <v>67</v>
      </c>
      <c r="AA2008" s="202" t="str">
        <f t="shared" si="32"/>
        <v>Масса мясных и рыбных порций, г</v>
      </c>
    </row>
    <row r="2009" spans="1:27" ht="15" customHeight="1" x14ac:dyDescent="0.25">
      <c r="A2009" t="s">
        <v>153</v>
      </c>
      <c r="L2009"/>
      <c r="M2009"/>
      <c r="N2009"/>
      <c r="O2009"/>
      <c r="P2009"/>
      <c r="T2009">
        <v>1194</v>
      </c>
      <c r="U2009" s="7">
        <v>3</v>
      </c>
      <c r="V2009" t="s">
        <v>613</v>
      </c>
      <c r="W2009" s="257" t="s">
        <v>838</v>
      </c>
      <c r="X2009" t="s">
        <v>839</v>
      </c>
      <c r="Y2009" s="316" t="s">
        <v>419</v>
      </c>
      <c r="Z2009" s="8">
        <v>120</v>
      </c>
      <c r="AA2009" s="202" t="str">
        <f t="shared" si="32"/>
        <v>Рыба с/м б/г</v>
      </c>
    </row>
    <row r="2010" spans="1:27" ht="15" customHeight="1" x14ac:dyDescent="0.25">
      <c r="A2010" t="s">
        <v>153</v>
      </c>
      <c r="L2010"/>
      <c r="M2010"/>
      <c r="N2010"/>
      <c r="O2010"/>
      <c r="P2010"/>
      <c r="T2010">
        <v>1195</v>
      </c>
      <c r="U2010" s="7">
        <v>3</v>
      </c>
      <c r="V2010" t="s">
        <v>613</v>
      </c>
      <c r="W2010" s="257" t="s">
        <v>838</v>
      </c>
      <c r="X2010" t="s">
        <v>839</v>
      </c>
      <c r="Y2010" s="316" t="s">
        <v>326</v>
      </c>
      <c r="Z2010" s="8">
        <v>2</v>
      </c>
      <c r="AA2010" s="202" t="str">
        <f t="shared" si="32"/>
        <v>Соль</v>
      </c>
    </row>
    <row r="2011" spans="1:27" ht="15" customHeight="1" x14ac:dyDescent="0.25">
      <c r="A2011" t="s">
        <v>153</v>
      </c>
      <c r="L2011"/>
      <c r="M2011"/>
      <c r="N2011"/>
      <c r="O2011"/>
      <c r="P2011"/>
      <c r="T2011">
        <v>1196</v>
      </c>
      <c r="U2011" s="7">
        <v>3</v>
      </c>
      <c r="V2011" t="s">
        <v>613</v>
      </c>
      <c r="W2011" s="257" t="s">
        <v>838</v>
      </c>
      <c r="X2011" t="s">
        <v>839</v>
      </c>
      <c r="Y2011" s="316" t="s">
        <v>32</v>
      </c>
      <c r="Z2011" s="8">
        <v>10</v>
      </c>
      <c r="AA2011" s="202" t="str">
        <f t="shared" si="32"/>
        <v>Лук репчатый</v>
      </c>
    </row>
    <row r="2012" spans="1:27" ht="15" customHeight="1" x14ac:dyDescent="0.25">
      <c r="A2012" t="s">
        <v>153</v>
      </c>
      <c r="L2012"/>
      <c r="M2012"/>
      <c r="N2012"/>
      <c r="O2012"/>
      <c r="P2012"/>
      <c r="T2012">
        <v>1197</v>
      </c>
      <c r="U2012" s="7">
        <v>3</v>
      </c>
      <c r="V2012" t="s">
        <v>613</v>
      </c>
      <c r="W2012" s="257" t="s">
        <v>838</v>
      </c>
      <c r="X2012" t="s">
        <v>839</v>
      </c>
      <c r="Y2012" s="316" t="s">
        <v>558</v>
      </c>
      <c r="Z2012" s="8">
        <v>84</v>
      </c>
      <c r="AA2012" s="202" t="str">
        <f t="shared" si="32"/>
        <v>Общая масса готового блюда, г</v>
      </c>
    </row>
    <row r="2013" spans="1:27" ht="15" customHeight="1" x14ac:dyDescent="0.25">
      <c r="A2013" t="s">
        <v>153</v>
      </c>
      <c r="L2013"/>
      <c r="M2013"/>
      <c r="N2013"/>
      <c r="O2013"/>
      <c r="P2013"/>
      <c r="T2013">
        <v>1197</v>
      </c>
      <c r="U2013" s="7">
        <v>3</v>
      </c>
      <c r="V2013" t="s">
        <v>613</v>
      </c>
      <c r="W2013" s="257" t="s">
        <v>838</v>
      </c>
      <c r="X2013" t="s">
        <v>839</v>
      </c>
      <c r="Y2013" s="316" t="s">
        <v>1214</v>
      </c>
      <c r="Z2013" s="8">
        <v>84</v>
      </c>
      <c r="AA2013" s="202" t="str">
        <f t="shared" si="32"/>
        <v>Масса мясных и рыбных порций, г</v>
      </c>
    </row>
    <row r="2014" spans="1:27" ht="15" customHeight="1" x14ac:dyDescent="0.25">
      <c r="A2014" t="s">
        <v>153</v>
      </c>
      <c r="L2014"/>
      <c r="M2014"/>
      <c r="N2014"/>
      <c r="O2014"/>
      <c r="P2014"/>
      <c r="T2014">
        <v>1222</v>
      </c>
      <c r="U2014" s="7">
        <v>3</v>
      </c>
      <c r="V2014" t="s">
        <v>613</v>
      </c>
      <c r="W2014" s="257" t="s">
        <v>840</v>
      </c>
      <c r="X2014" t="s">
        <v>841</v>
      </c>
      <c r="Y2014" s="316" t="s">
        <v>464</v>
      </c>
      <c r="Z2014" s="8">
        <v>120</v>
      </c>
      <c r="AA2014" s="202" t="str">
        <f t="shared" si="32"/>
        <v>Горбуша б/г</v>
      </c>
    </row>
    <row r="2015" spans="1:27" ht="15" customHeight="1" x14ac:dyDescent="0.25">
      <c r="A2015" t="s">
        <v>153</v>
      </c>
      <c r="L2015"/>
      <c r="M2015"/>
      <c r="N2015"/>
      <c r="O2015"/>
      <c r="P2015"/>
      <c r="T2015">
        <v>1223</v>
      </c>
      <c r="U2015" s="7">
        <v>3</v>
      </c>
      <c r="V2015" t="s">
        <v>613</v>
      </c>
      <c r="W2015" s="257" t="s">
        <v>840</v>
      </c>
      <c r="X2015" t="s">
        <v>841</v>
      </c>
      <c r="Y2015" s="316" t="s">
        <v>326</v>
      </c>
      <c r="Z2015" s="8">
        <v>2</v>
      </c>
      <c r="AA2015" s="202" t="str">
        <f t="shared" si="32"/>
        <v>Соль</v>
      </c>
    </row>
    <row r="2016" spans="1:27" ht="15" customHeight="1" x14ac:dyDescent="0.25">
      <c r="A2016" t="s">
        <v>153</v>
      </c>
      <c r="L2016"/>
      <c r="M2016"/>
      <c r="N2016"/>
      <c r="O2016"/>
      <c r="P2016"/>
      <c r="T2016">
        <v>1224</v>
      </c>
      <c r="U2016" s="7">
        <v>3</v>
      </c>
      <c r="V2016" t="s">
        <v>613</v>
      </c>
      <c r="W2016" s="257" t="s">
        <v>840</v>
      </c>
      <c r="X2016" t="s">
        <v>841</v>
      </c>
      <c r="Y2016" s="316" t="s">
        <v>32</v>
      </c>
      <c r="Z2016" s="8">
        <v>10</v>
      </c>
      <c r="AA2016" s="202" t="str">
        <f t="shared" si="32"/>
        <v>Лук репчатый</v>
      </c>
    </row>
    <row r="2017" spans="1:27" ht="15" customHeight="1" x14ac:dyDescent="0.25">
      <c r="A2017" t="s">
        <v>153</v>
      </c>
      <c r="L2017"/>
      <c r="M2017"/>
      <c r="N2017"/>
      <c r="O2017"/>
      <c r="P2017"/>
      <c r="T2017">
        <v>1225</v>
      </c>
      <c r="U2017" s="7">
        <v>3</v>
      </c>
      <c r="V2017" t="s">
        <v>613</v>
      </c>
      <c r="W2017" s="257" t="s">
        <v>840</v>
      </c>
      <c r="X2017" t="s">
        <v>841</v>
      </c>
      <c r="Y2017" s="316" t="s">
        <v>558</v>
      </c>
      <c r="Z2017" s="8">
        <v>86.4</v>
      </c>
      <c r="AA2017" s="202" t="str">
        <f t="shared" si="32"/>
        <v>Общая масса готового блюда, г</v>
      </c>
    </row>
    <row r="2018" spans="1:27" ht="15" customHeight="1" x14ac:dyDescent="0.25">
      <c r="A2018" t="s">
        <v>153</v>
      </c>
      <c r="L2018"/>
      <c r="M2018"/>
      <c r="N2018"/>
      <c r="O2018"/>
      <c r="P2018"/>
      <c r="T2018">
        <v>1225</v>
      </c>
      <c r="U2018" s="7">
        <v>3</v>
      </c>
      <c r="V2018" t="s">
        <v>613</v>
      </c>
      <c r="W2018" s="257" t="s">
        <v>840</v>
      </c>
      <c r="X2018" t="s">
        <v>841</v>
      </c>
      <c r="Y2018" s="316" t="s">
        <v>1214</v>
      </c>
      <c r="Z2018" s="8">
        <v>86.4</v>
      </c>
      <c r="AA2018" s="202" t="str">
        <f t="shared" si="32"/>
        <v>Масса мясных и рыбных порций, г</v>
      </c>
    </row>
    <row r="2019" spans="1:27" ht="15" customHeight="1" x14ac:dyDescent="0.25">
      <c r="A2019" t="s">
        <v>153</v>
      </c>
      <c r="L2019"/>
      <c r="M2019"/>
      <c r="N2019"/>
      <c r="O2019"/>
      <c r="P2019"/>
      <c r="T2019">
        <v>1218</v>
      </c>
      <c r="U2019" s="7">
        <v>3</v>
      </c>
      <c r="V2019" t="s">
        <v>613</v>
      </c>
      <c r="W2019" s="257" t="s">
        <v>842</v>
      </c>
      <c r="X2019" t="s">
        <v>843</v>
      </c>
      <c r="Y2019" s="316" t="s">
        <v>465</v>
      </c>
      <c r="Z2019" s="8">
        <v>150</v>
      </c>
      <c r="AA2019" s="202" t="str">
        <f t="shared" si="32"/>
        <v>Горбуша с/г</v>
      </c>
    </row>
    <row r="2020" spans="1:27" ht="15" customHeight="1" x14ac:dyDescent="0.25">
      <c r="A2020" t="s">
        <v>153</v>
      </c>
      <c r="L2020"/>
      <c r="M2020"/>
      <c r="N2020"/>
      <c r="O2020"/>
      <c r="P2020"/>
      <c r="T2020">
        <v>1219</v>
      </c>
      <c r="U2020" s="7">
        <v>3</v>
      </c>
      <c r="V2020" t="s">
        <v>613</v>
      </c>
      <c r="W2020" s="257" t="s">
        <v>842</v>
      </c>
      <c r="X2020" t="s">
        <v>843</v>
      </c>
      <c r="Y2020" s="316" t="s">
        <v>326</v>
      </c>
      <c r="Z2020" s="8">
        <v>2</v>
      </c>
      <c r="AA2020" s="202" t="str">
        <f t="shared" si="32"/>
        <v>Соль</v>
      </c>
    </row>
    <row r="2021" spans="1:27" ht="15" customHeight="1" x14ac:dyDescent="0.25">
      <c r="A2021" t="s">
        <v>153</v>
      </c>
      <c r="L2021"/>
      <c r="M2021"/>
      <c r="N2021"/>
      <c r="O2021"/>
      <c r="P2021"/>
      <c r="T2021">
        <v>1220</v>
      </c>
      <c r="U2021" s="7">
        <v>3</v>
      </c>
      <c r="V2021" t="s">
        <v>613</v>
      </c>
      <c r="W2021" s="257" t="s">
        <v>842</v>
      </c>
      <c r="X2021" t="s">
        <v>843</v>
      </c>
      <c r="Y2021" s="316" t="s">
        <v>32</v>
      </c>
      <c r="Z2021" s="8">
        <v>10</v>
      </c>
      <c r="AA2021" s="202" t="str">
        <f t="shared" si="32"/>
        <v>Лук репчатый</v>
      </c>
    </row>
    <row r="2022" spans="1:27" ht="15" customHeight="1" x14ac:dyDescent="0.25">
      <c r="A2022" t="s">
        <v>153</v>
      </c>
      <c r="L2022"/>
      <c r="M2022"/>
      <c r="N2022"/>
      <c r="O2022"/>
      <c r="P2022"/>
      <c r="T2022">
        <v>1221</v>
      </c>
      <c r="U2022" s="7">
        <v>3</v>
      </c>
      <c r="V2022" t="s">
        <v>613</v>
      </c>
      <c r="W2022" s="257" t="s">
        <v>842</v>
      </c>
      <c r="X2022" t="s">
        <v>843</v>
      </c>
      <c r="Y2022" s="316" t="s">
        <v>558</v>
      </c>
      <c r="Z2022" s="8">
        <v>82.800000000000011</v>
      </c>
      <c r="AA2022" s="202" t="str">
        <f t="shared" si="32"/>
        <v>Общая масса готового блюда, г</v>
      </c>
    </row>
    <row r="2023" spans="1:27" ht="15" customHeight="1" x14ac:dyDescent="0.25">
      <c r="A2023" t="s">
        <v>153</v>
      </c>
      <c r="L2023"/>
      <c r="M2023"/>
      <c r="N2023"/>
      <c r="O2023"/>
      <c r="P2023"/>
      <c r="T2023">
        <v>1221</v>
      </c>
      <c r="U2023" s="7">
        <v>3</v>
      </c>
      <c r="V2023" t="s">
        <v>613</v>
      </c>
      <c r="W2023" s="257" t="s">
        <v>842</v>
      </c>
      <c r="X2023" t="s">
        <v>843</v>
      </c>
      <c r="Y2023" s="316" t="s">
        <v>1214</v>
      </c>
      <c r="Z2023" s="8">
        <v>82.800000000000011</v>
      </c>
      <c r="AA2023" s="202" t="str">
        <f t="shared" si="32"/>
        <v>Масса мясных и рыбных порций, г</v>
      </c>
    </row>
    <row r="2024" spans="1:27" ht="15" customHeight="1" x14ac:dyDescent="0.25">
      <c r="A2024" t="s">
        <v>153</v>
      </c>
      <c r="L2024"/>
      <c r="M2024"/>
      <c r="N2024"/>
      <c r="O2024"/>
      <c r="P2024"/>
      <c r="T2024">
        <v>1214</v>
      </c>
      <c r="U2024" s="7">
        <v>3</v>
      </c>
      <c r="V2024" t="s">
        <v>613</v>
      </c>
      <c r="W2024" s="257" t="s">
        <v>844</v>
      </c>
      <c r="X2024" t="s">
        <v>845</v>
      </c>
      <c r="Y2024" s="316" t="s">
        <v>1218</v>
      </c>
      <c r="Z2024" s="8">
        <v>120</v>
      </c>
      <c r="AA2024" s="202" t="str">
        <f t="shared" si="32"/>
        <v>Камбала б/г</v>
      </c>
    </row>
    <row r="2025" spans="1:27" ht="15" customHeight="1" x14ac:dyDescent="0.25">
      <c r="A2025" t="s">
        <v>153</v>
      </c>
      <c r="L2025"/>
      <c r="M2025"/>
      <c r="N2025"/>
      <c r="O2025"/>
      <c r="P2025"/>
      <c r="T2025">
        <v>1215</v>
      </c>
      <c r="U2025" s="7">
        <v>3</v>
      </c>
      <c r="V2025" t="s">
        <v>613</v>
      </c>
      <c r="W2025" s="257" t="s">
        <v>844</v>
      </c>
      <c r="X2025" t="s">
        <v>845</v>
      </c>
      <c r="Y2025" s="316" t="s">
        <v>326</v>
      </c>
      <c r="Z2025" s="8">
        <v>2</v>
      </c>
      <c r="AA2025" s="202" t="str">
        <f t="shared" si="32"/>
        <v>Соль</v>
      </c>
    </row>
    <row r="2026" spans="1:27" ht="15" customHeight="1" x14ac:dyDescent="0.25">
      <c r="A2026" t="s">
        <v>153</v>
      </c>
      <c r="L2026"/>
      <c r="M2026"/>
      <c r="N2026"/>
      <c r="O2026"/>
      <c r="P2026"/>
      <c r="T2026">
        <v>1216</v>
      </c>
      <c r="U2026" s="7">
        <v>3</v>
      </c>
      <c r="V2026" t="s">
        <v>613</v>
      </c>
      <c r="W2026" s="257" t="s">
        <v>844</v>
      </c>
      <c r="X2026" t="s">
        <v>845</v>
      </c>
      <c r="Y2026" s="316" t="s">
        <v>32</v>
      </c>
      <c r="Z2026" s="8">
        <v>10</v>
      </c>
      <c r="AA2026" s="202" t="str">
        <f t="shared" si="32"/>
        <v>Лук репчатый</v>
      </c>
    </row>
    <row r="2027" spans="1:27" ht="15" customHeight="1" x14ac:dyDescent="0.25">
      <c r="A2027" t="s">
        <v>153</v>
      </c>
      <c r="L2027"/>
      <c r="M2027"/>
      <c r="N2027"/>
      <c r="O2027"/>
      <c r="P2027"/>
      <c r="T2027">
        <v>1217</v>
      </c>
      <c r="U2027" s="7">
        <v>3</v>
      </c>
      <c r="V2027" t="s">
        <v>613</v>
      </c>
      <c r="W2027" s="257" t="s">
        <v>844</v>
      </c>
      <c r="X2027" t="s">
        <v>845</v>
      </c>
      <c r="Y2027" s="316" t="s">
        <v>558</v>
      </c>
      <c r="Z2027" s="8">
        <v>86.4</v>
      </c>
      <c r="AA2027" s="202" t="str">
        <f t="shared" si="32"/>
        <v>Общая масса готового блюда, г</v>
      </c>
    </row>
    <row r="2028" spans="1:27" ht="15" customHeight="1" x14ac:dyDescent="0.25">
      <c r="A2028" t="s">
        <v>153</v>
      </c>
      <c r="L2028"/>
      <c r="M2028"/>
      <c r="N2028"/>
      <c r="O2028"/>
      <c r="P2028"/>
      <c r="T2028">
        <v>1217</v>
      </c>
      <c r="U2028" s="7">
        <v>3</v>
      </c>
      <c r="V2028" t="s">
        <v>613</v>
      </c>
      <c r="W2028" s="257" t="s">
        <v>844</v>
      </c>
      <c r="X2028" t="s">
        <v>845</v>
      </c>
      <c r="Y2028" s="316" t="s">
        <v>1214</v>
      </c>
      <c r="Z2028" s="8">
        <v>86.4</v>
      </c>
      <c r="AA2028" s="202" t="str">
        <f t="shared" si="32"/>
        <v>Масса мясных и рыбных порций, г</v>
      </c>
    </row>
    <row r="2029" spans="1:27" ht="15" customHeight="1" x14ac:dyDescent="0.25">
      <c r="A2029" t="s">
        <v>153</v>
      </c>
      <c r="L2029"/>
      <c r="M2029"/>
      <c r="N2029"/>
      <c r="O2029"/>
      <c r="P2029"/>
      <c r="T2029">
        <v>1206</v>
      </c>
      <c r="U2029" s="7">
        <v>3</v>
      </c>
      <c r="V2029" t="s">
        <v>613</v>
      </c>
      <c r="W2029" s="257" t="s">
        <v>846</v>
      </c>
      <c r="X2029" t="s">
        <v>847</v>
      </c>
      <c r="Y2029" s="316" t="s">
        <v>466</v>
      </c>
      <c r="Z2029" s="8">
        <v>120</v>
      </c>
      <c r="AA2029" s="202" t="str">
        <f t="shared" si="32"/>
        <v>Навага б/г</v>
      </c>
    </row>
    <row r="2030" spans="1:27" ht="15" customHeight="1" x14ac:dyDescent="0.25">
      <c r="A2030" t="s">
        <v>153</v>
      </c>
      <c r="L2030"/>
      <c r="M2030"/>
      <c r="N2030"/>
      <c r="O2030"/>
      <c r="P2030"/>
      <c r="T2030">
        <v>1207</v>
      </c>
      <c r="U2030" s="7">
        <v>3</v>
      </c>
      <c r="V2030" t="s">
        <v>613</v>
      </c>
      <c r="W2030" s="257" t="s">
        <v>846</v>
      </c>
      <c r="X2030" t="s">
        <v>847</v>
      </c>
      <c r="Y2030" s="316" t="s">
        <v>326</v>
      </c>
      <c r="Z2030" s="8">
        <v>2</v>
      </c>
      <c r="AA2030" s="202" t="str">
        <f t="shared" si="32"/>
        <v>Соль</v>
      </c>
    </row>
    <row r="2031" spans="1:27" ht="15" customHeight="1" x14ac:dyDescent="0.25">
      <c r="A2031" t="s">
        <v>153</v>
      </c>
      <c r="L2031"/>
      <c r="M2031"/>
      <c r="N2031"/>
      <c r="O2031"/>
      <c r="P2031"/>
      <c r="T2031">
        <v>1208</v>
      </c>
      <c r="U2031" s="7">
        <v>3</v>
      </c>
      <c r="V2031" t="s">
        <v>613</v>
      </c>
      <c r="W2031" s="257" t="s">
        <v>846</v>
      </c>
      <c r="X2031" t="s">
        <v>847</v>
      </c>
      <c r="Y2031" s="316" t="s">
        <v>32</v>
      </c>
      <c r="Z2031" s="8">
        <v>10</v>
      </c>
      <c r="AA2031" s="202" t="str">
        <f t="shared" si="32"/>
        <v>Лук репчатый</v>
      </c>
    </row>
    <row r="2032" spans="1:27" ht="15" customHeight="1" x14ac:dyDescent="0.25">
      <c r="A2032" t="s">
        <v>153</v>
      </c>
      <c r="L2032"/>
      <c r="M2032"/>
      <c r="N2032"/>
      <c r="O2032"/>
      <c r="P2032"/>
      <c r="T2032">
        <v>1209</v>
      </c>
      <c r="U2032" s="7">
        <v>3</v>
      </c>
      <c r="V2032" t="s">
        <v>613</v>
      </c>
      <c r="W2032" s="257" t="s">
        <v>846</v>
      </c>
      <c r="X2032" t="s">
        <v>847</v>
      </c>
      <c r="Y2032" s="316" t="s">
        <v>558</v>
      </c>
      <c r="Z2032" s="8">
        <v>70.75200000000001</v>
      </c>
      <c r="AA2032" s="202" t="str">
        <f t="shared" si="32"/>
        <v>Общая масса готового блюда, г</v>
      </c>
    </row>
    <row r="2033" spans="1:27" ht="15" customHeight="1" x14ac:dyDescent="0.25">
      <c r="A2033" t="s">
        <v>153</v>
      </c>
      <c r="L2033"/>
      <c r="M2033"/>
      <c r="N2033"/>
      <c r="O2033"/>
      <c r="P2033"/>
      <c r="T2033">
        <v>1209</v>
      </c>
      <c r="U2033" s="7">
        <v>3</v>
      </c>
      <c r="V2033" t="s">
        <v>613</v>
      </c>
      <c r="W2033" s="257" t="s">
        <v>846</v>
      </c>
      <c r="X2033" t="s">
        <v>847</v>
      </c>
      <c r="Y2033" s="316" t="s">
        <v>1214</v>
      </c>
      <c r="Z2033" s="8">
        <v>70.75200000000001</v>
      </c>
      <c r="AA2033" s="202" t="str">
        <f t="shared" si="32"/>
        <v>Масса мясных и рыбных порций, г</v>
      </c>
    </row>
    <row r="2034" spans="1:27" ht="15" customHeight="1" x14ac:dyDescent="0.25">
      <c r="A2034" t="s">
        <v>153</v>
      </c>
      <c r="L2034"/>
      <c r="M2034"/>
      <c r="N2034"/>
      <c r="O2034"/>
      <c r="P2034"/>
      <c r="T2034">
        <v>1202</v>
      </c>
      <c r="U2034" s="7">
        <v>3</v>
      </c>
      <c r="V2034" t="s">
        <v>613</v>
      </c>
      <c r="W2034" s="257" t="s">
        <v>848</v>
      </c>
      <c r="X2034" t="s">
        <v>849</v>
      </c>
      <c r="Y2034" s="316" t="s">
        <v>467</v>
      </c>
      <c r="Z2034" s="8">
        <v>120</v>
      </c>
      <c r="AA2034" s="202" t="str">
        <f t="shared" si="32"/>
        <v>Пикша б/г</v>
      </c>
    </row>
    <row r="2035" spans="1:27" ht="15" customHeight="1" x14ac:dyDescent="0.25">
      <c r="A2035" t="s">
        <v>153</v>
      </c>
      <c r="L2035"/>
      <c r="M2035"/>
      <c r="N2035"/>
      <c r="O2035"/>
      <c r="P2035"/>
      <c r="T2035">
        <v>1203</v>
      </c>
      <c r="U2035" s="7">
        <v>3</v>
      </c>
      <c r="V2035" t="s">
        <v>613</v>
      </c>
      <c r="W2035" s="257" t="s">
        <v>848</v>
      </c>
      <c r="X2035" t="s">
        <v>849</v>
      </c>
      <c r="Y2035" s="316" t="s">
        <v>326</v>
      </c>
      <c r="Z2035" s="8">
        <v>2</v>
      </c>
      <c r="AA2035" s="202" t="str">
        <f t="shared" si="32"/>
        <v>Соль</v>
      </c>
    </row>
    <row r="2036" spans="1:27" ht="15" customHeight="1" x14ac:dyDescent="0.25">
      <c r="A2036" t="s">
        <v>153</v>
      </c>
      <c r="L2036"/>
      <c r="M2036"/>
      <c r="N2036"/>
      <c r="O2036"/>
      <c r="P2036"/>
      <c r="T2036">
        <v>1204</v>
      </c>
      <c r="U2036" s="7">
        <v>3</v>
      </c>
      <c r="V2036" t="s">
        <v>613</v>
      </c>
      <c r="W2036" s="257" t="s">
        <v>848</v>
      </c>
      <c r="X2036" t="s">
        <v>849</v>
      </c>
      <c r="Y2036" s="316" t="s">
        <v>32</v>
      </c>
      <c r="Z2036" s="8">
        <v>10</v>
      </c>
      <c r="AA2036" s="202" t="str">
        <f t="shared" si="32"/>
        <v>Лук репчатый</v>
      </c>
    </row>
    <row r="2037" spans="1:27" ht="15" customHeight="1" x14ac:dyDescent="0.25">
      <c r="A2037" t="s">
        <v>153</v>
      </c>
      <c r="L2037"/>
      <c r="M2037"/>
      <c r="N2037"/>
      <c r="O2037"/>
      <c r="P2037"/>
      <c r="T2037">
        <v>1205</v>
      </c>
      <c r="U2037" s="7">
        <v>3</v>
      </c>
      <c r="V2037" t="s">
        <v>613</v>
      </c>
      <c r="W2037" s="257" t="s">
        <v>848</v>
      </c>
      <c r="X2037" t="s">
        <v>849</v>
      </c>
      <c r="Y2037" s="316" t="s">
        <v>558</v>
      </c>
      <c r="Z2037" s="8">
        <v>83.64</v>
      </c>
      <c r="AA2037" s="202" t="str">
        <f t="shared" si="32"/>
        <v>Общая масса готового блюда, г</v>
      </c>
    </row>
    <row r="2038" spans="1:27" ht="15" customHeight="1" x14ac:dyDescent="0.25">
      <c r="A2038" t="s">
        <v>153</v>
      </c>
      <c r="L2038"/>
      <c r="M2038"/>
      <c r="N2038"/>
      <c r="O2038"/>
      <c r="P2038"/>
      <c r="T2038">
        <v>1205</v>
      </c>
      <c r="U2038" s="7">
        <v>3</v>
      </c>
      <c r="V2038" t="s">
        <v>613</v>
      </c>
      <c r="W2038" s="257" t="s">
        <v>848</v>
      </c>
      <c r="X2038" t="s">
        <v>849</v>
      </c>
      <c r="Y2038" s="316" t="s">
        <v>1214</v>
      </c>
      <c r="Z2038" s="8">
        <v>83.64</v>
      </c>
      <c r="AA2038" s="202" t="str">
        <f t="shared" si="32"/>
        <v>Масса мясных и рыбных порций, г</v>
      </c>
    </row>
    <row r="2039" spans="1:27" ht="15" customHeight="1" x14ac:dyDescent="0.25">
      <c r="A2039" t="s">
        <v>153</v>
      </c>
      <c r="L2039"/>
      <c r="M2039"/>
      <c r="N2039"/>
      <c r="O2039"/>
      <c r="P2039"/>
      <c r="T2039">
        <v>1226</v>
      </c>
      <c r="U2039" s="7">
        <v>3</v>
      </c>
      <c r="V2039" t="s">
        <v>613</v>
      </c>
      <c r="W2039" s="257" t="s">
        <v>850</v>
      </c>
      <c r="X2039" t="s">
        <v>851</v>
      </c>
      <c r="Y2039" s="316" t="s">
        <v>469</v>
      </c>
      <c r="Z2039" s="8">
        <v>120</v>
      </c>
      <c r="AA2039" s="202" t="str">
        <f t="shared" si="32"/>
        <v>Сайда б/г</v>
      </c>
    </row>
    <row r="2040" spans="1:27" ht="15" customHeight="1" x14ac:dyDescent="0.25">
      <c r="A2040" t="s">
        <v>153</v>
      </c>
      <c r="L2040"/>
      <c r="M2040"/>
      <c r="N2040"/>
      <c r="O2040"/>
      <c r="P2040"/>
      <c r="T2040">
        <v>1227</v>
      </c>
      <c r="U2040" s="7">
        <v>3</v>
      </c>
      <c r="V2040" t="s">
        <v>613</v>
      </c>
      <c r="W2040" s="257" t="s">
        <v>850</v>
      </c>
      <c r="X2040" t="s">
        <v>851</v>
      </c>
      <c r="Y2040" s="316" t="s">
        <v>326</v>
      </c>
      <c r="Z2040" s="8">
        <v>2</v>
      </c>
      <c r="AA2040" s="202" t="str">
        <f t="shared" si="32"/>
        <v>Соль</v>
      </c>
    </row>
    <row r="2041" spans="1:27" ht="15" customHeight="1" x14ac:dyDescent="0.25">
      <c r="A2041" t="s">
        <v>153</v>
      </c>
      <c r="L2041"/>
      <c r="M2041"/>
      <c r="N2041"/>
      <c r="O2041"/>
      <c r="P2041"/>
      <c r="T2041">
        <v>1228</v>
      </c>
      <c r="U2041" s="7">
        <v>3</v>
      </c>
      <c r="V2041" t="s">
        <v>613</v>
      </c>
      <c r="W2041" s="257" t="s">
        <v>850</v>
      </c>
      <c r="X2041" t="s">
        <v>851</v>
      </c>
      <c r="Y2041" s="316" t="s">
        <v>32</v>
      </c>
      <c r="Z2041" s="8">
        <v>10</v>
      </c>
      <c r="AA2041" s="202" t="str">
        <f t="shared" si="32"/>
        <v>Лук репчатый</v>
      </c>
    </row>
    <row r="2042" spans="1:27" ht="15" customHeight="1" x14ac:dyDescent="0.25">
      <c r="A2042" t="s">
        <v>153</v>
      </c>
      <c r="L2042"/>
      <c r="M2042"/>
      <c r="N2042"/>
      <c r="O2042"/>
      <c r="P2042"/>
      <c r="T2042">
        <v>1229</v>
      </c>
      <c r="U2042" s="7">
        <v>3</v>
      </c>
      <c r="V2042" t="s">
        <v>613</v>
      </c>
      <c r="W2042" s="257" t="s">
        <v>850</v>
      </c>
      <c r="X2042" t="s">
        <v>851</v>
      </c>
      <c r="Y2042" s="316" t="s">
        <v>558</v>
      </c>
      <c r="Z2042" s="8">
        <v>85.608000000000004</v>
      </c>
      <c r="AA2042" s="202" t="str">
        <f t="shared" si="32"/>
        <v>Общая масса готового блюда, г</v>
      </c>
    </row>
    <row r="2043" spans="1:27" ht="15" customHeight="1" x14ac:dyDescent="0.25">
      <c r="A2043" t="s">
        <v>153</v>
      </c>
      <c r="L2043"/>
      <c r="M2043"/>
      <c r="N2043"/>
      <c r="O2043"/>
      <c r="P2043"/>
      <c r="T2043">
        <v>1229</v>
      </c>
      <c r="U2043" s="7">
        <v>3</v>
      </c>
      <c r="V2043" t="s">
        <v>613</v>
      </c>
      <c r="W2043" s="257" t="s">
        <v>850</v>
      </c>
      <c r="X2043" t="s">
        <v>851</v>
      </c>
      <c r="Y2043" s="316" t="s">
        <v>1214</v>
      </c>
      <c r="Z2043" s="8">
        <v>85.608000000000004</v>
      </c>
      <c r="AA2043" s="202" t="str">
        <f t="shared" si="32"/>
        <v>Масса мясных и рыбных порций, г</v>
      </c>
    </row>
    <row r="2044" spans="1:27" ht="15" customHeight="1" x14ac:dyDescent="0.25">
      <c r="A2044" t="s">
        <v>153</v>
      </c>
      <c r="L2044"/>
      <c r="M2044"/>
      <c r="N2044"/>
      <c r="O2044"/>
      <c r="P2044"/>
      <c r="T2044">
        <v>1210</v>
      </c>
      <c r="U2044" s="7">
        <v>3</v>
      </c>
      <c r="V2044" t="s">
        <v>613</v>
      </c>
      <c r="W2044" s="257" t="s">
        <v>852</v>
      </c>
      <c r="X2044" t="s">
        <v>1216</v>
      </c>
      <c r="Y2044" t="s">
        <v>1212</v>
      </c>
      <c r="Z2044" s="8">
        <v>120</v>
      </c>
      <c r="AA2044" s="202" t="str">
        <f t="shared" si="32"/>
        <v>Сом б/г</v>
      </c>
    </row>
    <row r="2045" spans="1:27" ht="15" customHeight="1" x14ac:dyDescent="0.25">
      <c r="A2045" t="s">
        <v>153</v>
      </c>
      <c r="L2045"/>
      <c r="M2045"/>
      <c r="N2045"/>
      <c r="O2045"/>
      <c r="P2045"/>
      <c r="T2045">
        <v>1211</v>
      </c>
      <c r="U2045" s="7">
        <v>3</v>
      </c>
      <c r="V2045" t="s">
        <v>613</v>
      </c>
      <c r="W2045" s="257" t="s">
        <v>852</v>
      </c>
      <c r="X2045" t="s">
        <v>1216</v>
      </c>
      <c r="Y2045" s="316" t="s">
        <v>326</v>
      </c>
      <c r="Z2045" s="8">
        <v>2</v>
      </c>
      <c r="AA2045" s="202" t="str">
        <f t="shared" si="32"/>
        <v>Соль</v>
      </c>
    </row>
    <row r="2046" spans="1:27" ht="15" customHeight="1" x14ac:dyDescent="0.25">
      <c r="A2046" t="s">
        <v>153</v>
      </c>
      <c r="L2046"/>
      <c r="M2046"/>
      <c r="N2046"/>
      <c r="O2046"/>
      <c r="P2046"/>
      <c r="T2046">
        <v>1212</v>
      </c>
      <c r="U2046" s="7">
        <v>3</v>
      </c>
      <c r="V2046" t="s">
        <v>613</v>
      </c>
      <c r="W2046" s="257" t="s">
        <v>852</v>
      </c>
      <c r="X2046" t="s">
        <v>1216</v>
      </c>
      <c r="Y2046" s="316" t="s">
        <v>32</v>
      </c>
      <c r="Z2046" s="8">
        <v>10</v>
      </c>
      <c r="AA2046" s="202" t="str">
        <f t="shared" si="32"/>
        <v>Лук репчатый</v>
      </c>
    </row>
    <row r="2047" spans="1:27" ht="15" customHeight="1" x14ac:dyDescent="0.25">
      <c r="A2047" t="s">
        <v>153</v>
      </c>
      <c r="L2047"/>
      <c r="M2047"/>
      <c r="N2047"/>
      <c r="O2047"/>
      <c r="P2047"/>
      <c r="T2047">
        <v>1213</v>
      </c>
      <c r="U2047" s="7">
        <v>3</v>
      </c>
      <c r="V2047" t="s">
        <v>613</v>
      </c>
      <c r="W2047" s="257" t="s">
        <v>852</v>
      </c>
      <c r="X2047" t="s">
        <v>1216</v>
      </c>
      <c r="Y2047" s="316" t="s">
        <v>558</v>
      </c>
      <c r="Z2047" s="8">
        <v>58.032000000000004</v>
      </c>
      <c r="AA2047" s="202" t="str">
        <f t="shared" si="32"/>
        <v>Общая масса готового блюда, г</v>
      </c>
    </row>
    <row r="2048" spans="1:27" ht="15" customHeight="1" x14ac:dyDescent="0.25">
      <c r="A2048" t="s">
        <v>153</v>
      </c>
      <c r="L2048"/>
      <c r="M2048"/>
      <c r="N2048"/>
      <c r="O2048"/>
      <c r="P2048"/>
      <c r="T2048">
        <v>1213</v>
      </c>
      <c r="U2048" s="7">
        <v>3</v>
      </c>
      <c r="V2048" t="s">
        <v>613</v>
      </c>
      <c r="W2048" s="257" t="s">
        <v>852</v>
      </c>
      <c r="X2048" t="s">
        <v>1216</v>
      </c>
      <c r="Y2048" s="316" t="s">
        <v>1214</v>
      </c>
      <c r="Z2048" s="8">
        <v>58.032000000000004</v>
      </c>
      <c r="AA2048" s="202" t="str">
        <f t="shared" si="32"/>
        <v>Масса мясных и рыбных порций, г</v>
      </c>
    </row>
    <row r="2049" spans="1:27" ht="15" customHeight="1" x14ac:dyDescent="0.25">
      <c r="A2049" t="s">
        <v>153</v>
      </c>
      <c r="L2049"/>
      <c r="M2049"/>
      <c r="N2049"/>
      <c r="O2049"/>
      <c r="P2049"/>
      <c r="T2049">
        <v>1198</v>
      </c>
      <c r="U2049" s="7">
        <v>3</v>
      </c>
      <c r="V2049" t="s">
        <v>613</v>
      </c>
      <c r="W2049" s="257" t="s">
        <v>854</v>
      </c>
      <c r="X2049" t="s">
        <v>855</v>
      </c>
      <c r="Y2049" s="316" t="s">
        <v>544</v>
      </c>
      <c r="Z2049" s="8">
        <v>120</v>
      </c>
      <c r="AA2049" s="202" t="str">
        <f t="shared" si="32"/>
        <v>Треска б/г</v>
      </c>
    </row>
    <row r="2050" spans="1:27" ht="15" customHeight="1" x14ac:dyDescent="0.25">
      <c r="A2050" t="s">
        <v>153</v>
      </c>
      <c r="L2050"/>
      <c r="M2050"/>
      <c r="N2050"/>
      <c r="O2050"/>
      <c r="P2050"/>
      <c r="T2050">
        <v>1199</v>
      </c>
      <c r="U2050" s="7">
        <v>3</v>
      </c>
      <c r="V2050" t="s">
        <v>613</v>
      </c>
      <c r="W2050" s="257" t="s">
        <v>854</v>
      </c>
      <c r="X2050" t="s">
        <v>855</v>
      </c>
      <c r="Y2050" s="316" t="s">
        <v>326</v>
      </c>
      <c r="Z2050" s="8">
        <v>2</v>
      </c>
      <c r="AA2050" s="202" t="str">
        <f t="shared" ref="AA2050:AA2113" si="33">VLOOKUP(Y2050,O:P,2,FALSE)</f>
        <v>Соль</v>
      </c>
    </row>
    <row r="2051" spans="1:27" ht="15" customHeight="1" x14ac:dyDescent="0.25">
      <c r="A2051" t="s">
        <v>153</v>
      </c>
      <c r="L2051"/>
      <c r="M2051"/>
      <c r="N2051"/>
      <c r="O2051"/>
      <c r="P2051"/>
      <c r="T2051">
        <v>1200</v>
      </c>
      <c r="U2051" s="7">
        <v>3</v>
      </c>
      <c r="V2051" t="s">
        <v>613</v>
      </c>
      <c r="W2051" s="257" t="s">
        <v>854</v>
      </c>
      <c r="X2051" t="s">
        <v>855</v>
      </c>
      <c r="Y2051" s="316" t="s">
        <v>32</v>
      </c>
      <c r="Z2051" s="8">
        <v>10</v>
      </c>
      <c r="AA2051" s="202" t="str">
        <f t="shared" si="33"/>
        <v>Лук репчатый</v>
      </c>
    </row>
    <row r="2052" spans="1:27" ht="15" customHeight="1" x14ac:dyDescent="0.25">
      <c r="A2052" t="s">
        <v>153</v>
      </c>
      <c r="L2052"/>
      <c r="M2052"/>
      <c r="N2052"/>
      <c r="O2052"/>
      <c r="P2052"/>
      <c r="T2052">
        <v>1201</v>
      </c>
      <c r="U2052" s="7">
        <v>3</v>
      </c>
      <c r="V2052" t="s">
        <v>613</v>
      </c>
      <c r="W2052" s="257" t="s">
        <v>854</v>
      </c>
      <c r="X2052" t="s">
        <v>855</v>
      </c>
      <c r="Y2052" s="316" t="s">
        <v>558</v>
      </c>
      <c r="Z2052" s="8">
        <v>83.64</v>
      </c>
      <c r="AA2052" s="202" t="str">
        <f t="shared" si="33"/>
        <v>Общая масса готового блюда, г</v>
      </c>
    </row>
    <row r="2053" spans="1:27" ht="15" customHeight="1" x14ac:dyDescent="0.25">
      <c r="A2053" t="s">
        <v>153</v>
      </c>
      <c r="L2053"/>
      <c r="M2053"/>
      <c r="N2053"/>
      <c r="O2053"/>
      <c r="P2053"/>
      <c r="T2053">
        <v>1201</v>
      </c>
      <c r="U2053" s="7">
        <v>3</v>
      </c>
      <c r="V2053" t="s">
        <v>613</v>
      </c>
      <c r="W2053" s="257" t="s">
        <v>854</v>
      </c>
      <c r="X2053" t="s">
        <v>855</v>
      </c>
      <c r="Y2053" s="316" t="s">
        <v>1214</v>
      </c>
      <c r="Z2053" s="8">
        <v>83.64</v>
      </c>
      <c r="AA2053" s="202" t="str">
        <f t="shared" si="33"/>
        <v>Масса мясных и рыбных порций, г</v>
      </c>
    </row>
    <row r="2054" spans="1:27" ht="15" customHeight="1" x14ac:dyDescent="0.25">
      <c r="A2054" t="s">
        <v>153</v>
      </c>
      <c r="L2054"/>
      <c r="M2054"/>
      <c r="N2054"/>
      <c r="O2054"/>
      <c r="P2054"/>
      <c r="T2054">
        <v>1238</v>
      </c>
      <c r="U2054" s="7">
        <v>3</v>
      </c>
      <c r="V2054" t="s">
        <v>613</v>
      </c>
      <c r="W2054" s="257" t="s">
        <v>856</v>
      </c>
      <c r="X2054" t="s">
        <v>857</v>
      </c>
      <c r="Y2054" s="316" t="s">
        <v>517</v>
      </c>
      <c r="Z2054" s="8">
        <v>120</v>
      </c>
      <c r="AA2054" s="202" t="str">
        <f t="shared" si="33"/>
        <v>Хек б/г</v>
      </c>
    </row>
    <row r="2055" spans="1:27" ht="15" customHeight="1" x14ac:dyDescent="0.25">
      <c r="A2055" t="s">
        <v>153</v>
      </c>
      <c r="L2055"/>
      <c r="M2055"/>
      <c r="N2055"/>
      <c r="O2055"/>
      <c r="P2055"/>
      <c r="T2055">
        <v>1239</v>
      </c>
      <c r="U2055" s="7">
        <v>3</v>
      </c>
      <c r="V2055" t="s">
        <v>613</v>
      </c>
      <c r="W2055" s="257" t="s">
        <v>856</v>
      </c>
      <c r="X2055" t="s">
        <v>857</v>
      </c>
      <c r="Y2055" s="316" t="s">
        <v>326</v>
      </c>
      <c r="Z2055" s="8">
        <v>2</v>
      </c>
      <c r="AA2055" s="202" t="str">
        <f t="shared" si="33"/>
        <v>Соль</v>
      </c>
    </row>
    <row r="2056" spans="1:27" ht="15" customHeight="1" x14ac:dyDescent="0.25">
      <c r="A2056" t="s">
        <v>153</v>
      </c>
      <c r="L2056"/>
      <c r="M2056"/>
      <c r="N2056"/>
      <c r="O2056"/>
      <c r="P2056"/>
      <c r="T2056">
        <v>1240</v>
      </c>
      <c r="U2056" s="7">
        <v>3</v>
      </c>
      <c r="V2056" t="s">
        <v>613</v>
      </c>
      <c r="W2056" s="257" t="s">
        <v>856</v>
      </c>
      <c r="X2056" t="s">
        <v>857</v>
      </c>
      <c r="Y2056" s="316" t="s">
        <v>32</v>
      </c>
      <c r="Z2056" s="8">
        <v>10</v>
      </c>
      <c r="AA2056" s="202" t="str">
        <f t="shared" si="33"/>
        <v>Лук репчатый</v>
      </c>
    </row>
    <row r="2057" spans="1:27" ht="15" customHeight="1" x14ac:dyDescent="0.25">
      <c r="A2057" t="s">
        <v>153</v>
      </c>
      <c r="L2057"/>
      <c r="M2057"/>
      <c r="N2057"/>
      <c r="O2057"/>
      <c r="P2057"/>
      <c r="T2057">
        <v>1241</v>
      </c>
      <c r="U2057" s="7">
        <v>3</v>
      </c>
      <c r="V2057" t="s">
        <v>613</v>
      </c>
      <c r="W2057" s="257" t="s">
        <v>856</v>
      </c>
      <c r="X2057" t="s">
        <v>857</v>
      </c>
      <c r="Y2057" s="316" t="s">
        <v>558</v>
      </c>
      <c r="Z2057" s="8">
        <v>85.248000000000005</v>
      </c>
      <c r="AA2057" s="202" t="str">
        <f t="shared" si="33"/>
        <v>Общая масса готового блюда, г</v>
      </c>
    </row>
    <row r="2058" spans="1:27" ht="15" customHeight="1" x14ac:dyDescent="0.25">
      <c r="A2058" t="s">
        <v>153</v>
      </c>
      <c r="L2058"/>
      <c r="M2058"/>
      <c r="N2058"/>
      <c r="O2058"/>
      <c r="P2058"/>
      <c r="T2058">
        <v>1241</v>
      </c>
      <c r="U2058" s="7">
        <v>3</v>
      </c>
      <c r="V2058" t="s">
        <v>613</v>
      </c>
      <c r="W2058" s="257" t="s">
        <v>856</v>
      </c>
      <c r="X2058" t="s">
        <v>857</v>
      </c>
      <c r="Y2058" s="316" t="s">
        <v>1214</v>
      </c>
      <c r="Z2058" s="8">
        <v>85.248000000000005</v>
      </c>
      <c r="AA2058" s="202" t="str">
        <f t="shared" si="33"/>
        <v>Масса мясных и рыбных порций, г</v>
      </c>
    </row>
    <row r="2059" spans="1:27" ht="15" customHeight="1" x14ac:dyDescent="0.25">
      <c r="A2059" t="s">
        <v>153</v>
      </c>
      <c r="L2059"/>
      <c r="M2059"/>
      <c r="N2059"/>
      <c r="O2059"/>
      <c r="P2059"/>
      <c r="T2059">
        <v>1234</v>
      </c>
      <c r="U2059" s="7">
        <v>3</v>
      </c>
      <c r="V2059" t="s">
        <v>613</v>
      </c>
      <c r="W2059" s="257" t="s">
        <v>858</v>
      </c>
      <c r="X2059" t="s">
        <v>859</v>
      </c>
      <c r="Y2059" s="316" t="s">
        <v>518</v>
      </c>
      <c r="Z2059" s="8">
        <v>120</v>
      </c>
      <c r="AA2059" s="202" t="str">
        <f t="shared" si="33"/>
        <v>Щука б/г</v>
      </c>
    </row>
    <row r="2060" spans="1:27" ht="15" customHeight="1" x14ac:dyDescent="0.25">
      <c r="A2060" t="s">
        <v>153</v>
      </c>
      <c r="L2060"/>
      <c r="M2060"/>
      <c r="N2060"/>
      <c r="O2060"/>
      <c r="P2060"/>
      <c r="T2060">
        <v>1235</v>
      </c>
      <c r="U2060" s="7">
        <v>3</v>
      </c>
      <c r="V2060" t="s">
        <v>613</v>
      </c>
      <c r="W2060" s="257" t="s">
        <v>858</v>
      </c>
      <c r="X2060" t="s">
        <v>859</v>
      </c>
      <c r="Y2060" s="316" t="s">
        <v>326</v>
      </c>
      <c r="Z2060" s="8">
        <v>2</v>
      </c>
      <c r="AA2060" s="202" t="str">
        <f t="shared" si="33"/>
        <v>Соль</v>
      </c>
    </row>
    <row r="2061" spans="1:27" ht="15" customHeight="1" x14ac:dyDescent="0.25">
      <c r="A2061" t="s">
        <v>153</v>
      </c>
      <c r="L2061"/>
      <c r="M2061"/>
      <c r="N2061"/>
      <c r="O2061"/>
      <c r="P2061"/>
      <c r="T2061">
        <v>1236</v>
      </c>
      <c r="U2061" s="7">
        <v>3</v>
      </c>
      <c r="V2061" t="s">
        <v>613</v>
      </c>
      <c r="W2061" s="257" t="s">
        <v>858</v>
      </c>
      <c r="X2061" t="s">
        <v>859</v>
      </c>
      <c r="Y2061" s="316" t="s">
        <v>32</v>
      </c>
      <c r="Z2061" s="8">
        <v>10</v>
      </c>
      <c r="AA2061" s="202" t="str">
        <f t="shared" si="33"/>
        <v>Лук репчатый</v>
      </c>
    </row>
    <row r="2062" spans="1:27" ht="15" customHeight="1" x14ac:dyDescent="0.25">
      <c r="A2062" t="s">
        <v>153</v>
      </c>
      <c r="L2062"/>
      <c r="M2062"/>
      <c r="N2062"/>
      <c r="O2062"/>
      <c r="P2062"/>
      <c r="T2062">
        <v>1237</v>
      </c>
      <c r="U2062" s="7">
        <v>3</v>
      </c>
      <c r="V2062" t="s">
        <v>613</v>
      </c>
      <c r="W2062" s="257" t="s">
        <v>858</v>
      </c>
      <c r="X2062" t="s">
        <v>859</v>
      </c>
      <c r="Y2062" s="316" t="s">
        <v>558</v>
      </c>
      <c r="Z2062" s="8">
        <v>79.680000000000007</v>
      </c>
      <c r="AA2062" s="202" t="str">
        <f t="shared" si="33"/>
        <v>Общая масса готового блюда, г</v>
      </c>
    </row>
    <row r="2063" spans="1:27" ht="15" customHeight="1" x14ac:dyDescent="0.25">
      <c r="A2063" t="s">
        <v>153</v>
      </c>
      <c r="L2063"/>
      <c r="M2063"/>
      <c r="N2063"/>
      <c r="O2063"/>
      <c r="P2063"/>
      <c r="T2063">
        <v>1237</v>
      </c>
      <c r="U2063" s="7">
        <v>3</v>
      </c>
      <c r="V2063" t="s">
        <v>613</v>
      </c>
      <c r="W2063" s="257" t="s">
        <v>858</v>
      </c>
      <c r="X2063" t="s">
        <v>859</v>
      </c>
      <c r="Y2063" s="316" t="s">
        <v>1214</v>
      </c>
      <c r="Z2063" s="8">
        <v>79.680000000000007</v>
      </c>
      <c r="AA2063" s="202" t="str">
        <f t="shared" si="33"/>
        <v>Масса мясных и рыбных порций, г</v>
      </c>
    </row>
    <row r="2064" spans="1:27" ht="15" customHeight="1" x14ac:dyDescent="0.25">
      <c r="A2064" t="s">
        <v>153</v>
      </c>
      <c r="L2064"/>
      <c r="M2064"/>
      <c r="N2064"/>
      <c r="O2064"/>
      <c r="P2064"/>
      <c r="T2064">
        <v>1230</v>
      </c>
      <c r="U2064" s="7">
        <v>3</v>
      </c>
      <c r="V2064" t="s">
        <v>613</v>
      </c>
      <c r="W2064" s="257" t="s">
        <v>860</v>
      </c>
      <c r="X2064" t="s">
        <v>861</v>
      </c>
      <c r="Y2064" s="316" t="s">
        <v>519</v>
      </c>
      <c r="Z2064" s="8">
        <v>150</v>
      </c>
      <c r="AA2064" s="202" t="str">
        <f t="shared" si="33"/>
        <v>Щука с/г</v>
      </c>
    </row>
    <row r="2065" spans="1:27" ht="15" customHeight="1" x14ac:dyDescent="0.25">
      <c r="A2065" t="s">
        <v>153</v>
      </c>
      <c r="L2065"/>
      <c r="M2065"/>
      <c r="N2065"/>
      <c r="O2065"/>
      <c r="P2065"/>
      <c r="T2065">
        <v>1231</v>
      </c>
      <c r="U2065" s="7">
        <v>3</v>
      </c>
      <c r="V2065" t="s">
        <v>613</v>
      </c>
      <c r="W2065" s="257" t="s">
        <v>860</v>
      </c>
      <c r="X2065" t="s">
        <v>861</v>
      </c>
      <c r="Y2065" s="316" t="s">
        <v>326</v>
      </c>
      <c r="Z2065" s="8">
        <v>2</v>
      </c>
      <c r="AA2065" s="202" t="str">
        <f t="shared" si="33"/>
        <v>Соль</v>
      </c>
    </row>
    <row r="2066" spans="1:27" ht="15" customHeight="1" x14ac:dyDescent="0.25">
      <c r="A2066" t="s">
        <v>153</v>
      </c>
      <c r="L2066"/>
      <c r="M2066"/>
      <c r="N2066"/>
      <c r="O2066"/>
      <c r="P2066"/>
      <c r="T2066">
        <v>1232</v>
      </c>
      <c r="U2066" s="7">
        <v>3</v>
      </c>
      <c r="V2066" t="s">
        <v>613</v>
      </c>
      <c r="W2066" s="257" t="s">
        <v>860</v>
      </c>
      <c r="X2066" t="s">
        <v>861</v>
      </c>
      <c r="Y2066" s="316" t="s">
        <v>32</v>
      </c>
      <c r="Z2066" s="8">
        <v>10</v>
      </c>
      <c r="AA2066" s="202" t="str">
        <f t="shared" si="33"/>
        <v>Лук репчатый</v>
      </c>
    </row>
    <row r="2067" spans="1:27" ht="15" customHeight="1" x14ac:dyDescent="0.25">
      <c r="A2067" t="s">
        <v>153</v>
      </c>
      <c r="L2067"/>
      <c r="M2067"/>
      <c r="N2067"/>
      <c r="O2067"/>
      <c r="P2067"/>
      <c r="T2067">
        <v>1233</v>
      </c>
      <c r="U2067" s="7">
        <v>3</v>
      </c>
      <c r="V2067" t="s">
        <v>613</v>
      </c>
      <c r="W2067" s="257" t="s">
        <v>860</v>
      </c>
      <c r="X2067" t="s">
        <v>861</v>
      </c>
      <c r="Y2067" s="316" t="s">
        <v>558</v>
      </c>
      <c r="Z2067" s="8">
        <v>76.800000000000011</v>
      </c>
      <c r="AA2067" s="202" t="str">
        <f t="shared" si="33"/>
        <v>Общая масса готового блюда, г</v>
      </c>
    </row>
    <row r="2068" spans="1:27" ht="15" customHeight="1" x14ac:dyDescent="0.25">
      <c r="A2068" t="s">
        <v>153</v>
      </c>
      <c r="L2068"/>
      <c r="M2068"/>
      <c r="N2068"/>
      <c r="O2068"/>
      <c r="P2068"/>
      <c r="T2068">
        <v>1233</v>
      </c>
      <c r="U2068" s="7">
        <v>3</v>
      </c>
      <c r="V2068" t="s">
        <v>613</v>
      </c>
      <c r="W2068" s="257" t="s">
        <v>860</v>
      </c>
      <c r="X2068" t="s">
        <v>861</v>
      </c>
      <c r="Y2068" s="316" t="s">
        <v>1214</v>
      </c>
      <c r="Z2068" s="8">
        <v>76.800000000000011</v>
      </c>
      <c r="AA2068" s="202" t="str">
        <f t="shared" si="33"/>
        <v>Масса мясных и рыбных порций, г</v>
      </c>
    </row>
    <row r="2069" spans="1:27" ht="15" customHeight="1" x14ac:dyDescent="0.25">
      <c r="A2069" t="s">
        <v>153</v>
      </c>
      <c r="L2069"/>
      <c r="M2069"/>
      <c r="N2069"/>
      <c r="O2069"/>
      <c r="P2069"/>
      <c r="T2069">
        <v>1386</v>
      </c>
      <c r="U2069" s="7">
        <v>3</v>
      </c>
      <c r="V2069" t="s">
        <v>613</v>
      </c>
      <c r="W2069" s="257">
        <v>3.4</v>
      </c>
      <c r="X2069" t="s">
        <v>862</v>
      </c>
      <c r="Y2069" s="316" t="s">
        <v>419</v>
      </c>
      <c r="Z2069" s="8">
        <v>120</v>
      </c>
      <c r="AA2069" s="202" t="str">
        <f t="shared" si="33"/>
        <v>Рыба с/м б/г</v>
      </c>
    </row>
    <row r="2070" spans="1:27" ht="15" customHeight="1" x14ac:dyDescent="0.25">
      <c r="A2070" t="s">
        <v>153</v>
      </c>
      <c r="L2070"/>
      <c r="M2070"/>
      <c r="N2070"/>
      <c r="O2070"/>
      <c r="P2070"/>
      <c r="T2070">
        <v>1387</v>
      </c>
      <c r="U2070" s="7">
        <v>3</v>
      </c>
      <c r="V2070" t="s">
        <v>613</v>
      </c>
      <c r="W2070" s="257">
        <v>3.4</v>
      </c>
      <c r="X2070" t="s">
        <v>862</v>
      </c>
      <c r="Y2070" s="316" t="s">
        <v>326</v>
      </c>
      <c r="Z2070" s="8">
        <v>2</v>
      </c>
      <c r="AA2070" s="202" t="str">
        <f t="shared" si="33"/>
        <v>Соль</v>
      </c>
    </row>
    <row r="2071" spans="1:27" ht="15" customHeight="1" x14ac:dyDescent="0.25">
      <c r="A2071" t="s">
        <v>153</v>
      </c>
      <c r="L2071"/>
      <c r="M2071"/>
      <c r="N2071"/>
      <c r="O2071"/>
      <c r="P2071"/>
      <c r="T2071">
        <v>1388</v>
      </c>
      <c r="U2071" s="7">
        <v>3</v>
      </c>
      <c r="V2071" t="s">
        <v>613</v>
      </c>
      <c r="W2071" s="257">
        <v>3.4</v>
      </c>
      <c r="X2071" t="s">
        <v>862</v>
      </c>
      <c r="Y2071" s="316" t="s">
        <v>61</v>
      </c>
      <c r="Z2071" s="8">
        <v>5</v>
      </c>
      <c r="AA2071" s="202" t="str">
        <f t="shared" si="33"/>
        <v>Масло растительное</v>
      </c>
    </row>
    <row r="2072" spans="1:27" ht="15" customHeight="1" x14ac:dyDescent="0.25">
      <c r="A2072" t="s">
        <v>153</v>
      </c>
      <c r="L2072"/>
      <c r="M2072"/>
      <c r="N2072"/>
      <c r="O2072"/>
      <c r="P2072"/>
      <c r="T2072">
        <v>1389</v>
      </c>
      <c r="U2072" s="7">
        <v>3</v>
      </c>
      <c r="V2072" t="s">
        <v>613</v>
      </c>
      <c r="W2072" s="257">
        <v>3.4</v>
      </c>
      <c r="X2072" t="s">
        <v>862</v>
      </c>
      <c r="Y2072" s="316" t="s">
        <v>434</v>
      </c>
      <c r="Z2072" s="8">
        <v>7</v>
      </c>
      <c r="AA2072" s="202" t="str">
        <f t="shared" si="33"/>
        <v>Мука пшеничная 1 с</v>
      </c>
    </row>
    <row r="2073" spans="1:27" ht="15" customHeight="1" x14ac:dyDescent="0.25">
      <c r="A2073" t="s">
        <v>153</v>
      </c>
      <c r="L2073"/>
      <c r="M2073"/>
      <c r="N2073"/>
      <c r="O2073"/>
      <c r="P2073"/>
      <c r="T2073">
        <v>1390</v>
      </c>
      <c r="U2073" s="7">
        <v>3</v>
      </c>
      <c r="V2073" t="s">
        <v>613</v>
      </c>
      <c r="W2073" s="257">
        <v>3.4</v>
      </c>
      <c r="X2073" t="s">
        <v>862</v>
      </c>
      <c r="Y2073" s="316" t="s">
        <v>46</v>
      </c>
      <c r="Z2073" s="8">
        <v>10</v>
      </c>
      <c r="AA2073" s="202" t="str">
        <f t="shared" si="33"/>
        <v>Морковь</v>
      </c>
    </row>
    <row r="2074" spans="1:27" ht="15" customHeight="1" x14ac:dyDescent="0.25">
      <c r="A2074" t="s">
        <v>153</v>
      </c>
      <c r="L2074"/>
      <c r="M2074"/>
      <c r="N2074"/>
      <c r="O2074"/>
      <c r="P2074"/>
      <c r="T2074">
        <v>1391</v>
      </c>
      <c r="U2074" s="7">
        <v>3</v>
      </c>
      <c r="V2074" t="s">
        <v>613</v>
      </c>
      <c r="W2074" s="257">
        <v>3.4</v>
      </c>
      <c r="X2074" t="s">
        <v>862</v>
      </c>
      <c r="Y2074" s="316" t="s">
        <v>74</v>
      </c>
      <c r="Z2074" s="8">
        <v>0.2</v>
      </c>
      <c r="AA2074" s="202" t="str">
        <f t="shared" si="33"/>
        <v>Лавровый лист</v>
      </c>
    </row>
    <row r="2075" spans="1:27" ht="15" customHeight="1" x14ac:dyDescent="0.25">
      <c r="A2075" t="s">
        <v>153</v>
      </c>
      <c r="L2075"/>
      <c r="M2075"/>
      <c r="N2075"/>
      <c r="O2075"/>
      <c r="P2075"/>
      <c r="T2075">
        <v>1392</v>
      </c>
      <c r="U2075" s="7">
        <v>3</v>
      </c>
      <c r="V2075" t="s">
        <v>613</v>
      </c>
      <c r="W2075" s="257">
        <v>3.4</v>
      </c>
      <c r="X2075" t="s">
        <v>862</v>
      </c>
      <c r="Y2075" s="316" t="s">
        <v>32</v>
      </c>
      <c r="Z2075" s="8">
        <v>10</v>
      </c>
      <c r="AA2075" s="202" t="str">
        <f t="shared" si="33"/>
        <v>Лук репчатый</v>
      </c>
    </row>
    <row r="2076" spans="1:27" ht="15" customHeight="1" x14ac:dyDescent="0.25">
      <c r="A2076" t="s">
        <v>153</v>
      </c>
      <c r="L2076"/>
      <c r="M2076"/>
      <c r="N2076"/>
      <c r="O2076"/>
      <c r="P2076"/>
      <c r="T2076">
        <v>1393</v>
      </c>
      <c r="U2076" s="7">
        <v>3</v>
      </c>
      <c r="V2076" t="s">
        <v>613</v>
      </c>
      <c r="W2076" s="257">
        <v>3.4</v>
      </c>
      <c r="X2076" t="s">
        <v>862</v>
      </c>
      <c r="Y2076" s="316" t="s">
        <v>76</v>
      </c>
      <c r="Z2076" s="8">
        <v>2</v>
      </c>
      <c r="AA2076" s="202" t="str">
        <f t="shared" si="33"/>
        <v>Томат-паста</v>
      </c>
    </row>
    <row r="2077" spans="1:27" ht="15" customHeight="1" x14ac:dyDescent="0.25">
      <c r="A2077" t="s">
        <v>153</v>
      </c>
      <c r="L2077"/>
      <c r="M2077"/>
      <c r="N2077"/>
      <c r="O2077"/>
      <c r="P2077"/>
      <c r="T2077">
        <v>1394</v>
      </c>
      <c r="U2077" s="7">
        <v>3</v>
      </c>
      <c r="V2077" t="s">
        <v>613</v>
      </c>
      <c r="W2077" s="257">
        <v>3.4</v>
      </c>
      <c r="X2077" t="s">
        <v>862</v>
      </c>
      <c r="Y2077" s="316" t="s">
        <v>484</v>
      </c>
      <c r="Z2077" s="8">
        <v>0.01</v>
      </c>
      <c r="AA2077" s="202" t="str">
        <f t="shared" si="33"/>
        <v>Перец черный</v>
      </c>
    </row>
    <row r="2078" spans="1:27" ht="15" customHeight="1" x14ac:dyDescent="0.25">
      <c r="A2078" t="s">
        <v>153</v>
      </c>
      <c r="L2078"/>
      <c r="M2078"/>
      <c r="N2078"/>
      <c r="O2078"/>
      <c r="P2078"/>
      <c r="T2078">
        <v>1395</v>
      </c>
      <c r="U2078" s="7">
        <v>3</v>
      </c>
      <c r="V2078" t="s">
        <v>613</v>
      </c>
      <c r="W2078" s="257">
        <v>3.4</v>
      </c>
      <c r="X2078" t="s">
        <v>862</v>
      </c>
      <c r="Y2078" s="316" t="s">
        <v>1215</v>
      </c>
      <c r="Z2078" s="8">
        <v>134</v>
      </c>
      <c r="AA2078" s="202" t="str">
        <f t="shared" si="33"/>
        <v>Общая масса готового блюда, г</v>
      </c>
    </row>
    <row r="2079" spans="1:27" ht="15" customHeight="1" x14ac:dyDescent="0.25">
      <c r="A2079" t="s">
        <v>153</v>
      </c>
      <c r="L2079"/>
      <c r="M2079"/>
      <c r="N2079"/>
      <c r="O2079"/>
      <c r="P2079"/>
      <c r="T2079">
        <v>1395</v>
      </c>
      <c r="U2079" s="7">
        <v>3</v>
      </c>
      <c r="V2079" t="s">
        <v>613</v>
      </c>
      <c r="W2079" s="257">
        <v>3.4</v>
      </c>
      <c r="X2079" t="s">
        <v>862</v>
      </c>
      <c r="Y2079" s="316" t="s">
        <v>1214</v>
      </c>
      <c r="Z2079" s="8">
        <v>134</v>
      </c>
      <c r="AA2079" s="202" t="str">
        <f t="shared" si="33"/>
        <v>Масса мясных и рыбных порций, г</v>
      </c>
    </row>
    <row r="2080" spans="1:27" ht="15" customHeight="1" x14ac:dyDescent="0.25">
      <c r="A2080" t="s">
        <v>153</v>
      </c>
      <c r="L2080"/>
      <c r="M2080"/>
      <c r="N2080"/>
      <c r="O2080"/>
      <c r="P2080"/>
      <c r="T2080">
        <v>1456</v>
      </c>
      <c r="U2080" s="7">
        <v>3</v>
      </c>
      <c r="V2080" t="s">
        <v>613</v>
      </c>
      <c r="W2080" s="257" t="s">
        <v>863</v>
      </c>
      <c r="X2080" t="s">
        <v>864</v>
      </c>
      <c r="Y2080" s="316" t="s">
        <v>464</v>
      </c>
      <c r="Z2080" s="8">
        <v>120</v>
      </c>
      <c r="AA2080" s="202" t="str">
        <f t="shared" si="33"/>
        <v>Горбуша б/г</v>
      </c>
    </row>
    <row r="2081" spans="1:27" ht="15" customHeight="1" x14ac:dyDescent="0.25">
      <c r="A2081" t="s">
        <v>153</v>
      </c>
      <c r="L2081"/>
      <c r="M2081"/>
      <c r="N2081"/>
      <c r="O2081"/>
      <c r="P2081"/>
      <c r="T2081">
        <v>1457</v>
      </c>
      <c r="U2081" s="7">
        <v>3</v>
      </c>
      <c r="V2081" t="s">
        <v>613</v>
      </c>
      <c r="W2081" s="257" t="s">
        <v>863</v>
      </c>
      <c r="X2081" t="s">
        <v>864</v>
      </c>
      <c r="Y2081" s="316" t="s">
        <v>326</v>
      </c>
      <c r="Z2081" s="8">
        <v>2</v>
      </c>
      <c r="AA2081" s="202" t="str">
        <f t="shared" si="33"/>
        <v>Соль</v>
      </c>
    </row>
    <row r="2082" spans="1:27" ht="15" customHeight="1" x14ac:dyDescent="0.25">
      <c r="A2082" t="s">
        <v>153</v>
      </c>
      <c r="L2082"/>
      <c r="M2082"/>
      <c r="N2082"/>
      <c r="O2082"/>
      <c r="P2082"/>
      <c r="T2082">
        <v>1458</v>
      </c>
      <c r="U2082" s="7">
        <v>3</v>
      </c>
      <c r="V2082" t="s">
        <v>613</v>
      </c>
      <c r="W2082" s="257" t="s">
        <v>863</v>
      </c>
      <c r="X2082" t="s">
        <v>864</v>
      </c>
      <c r="Y2082" s="316" t="s">
        <v>61</v>
      </c>
      <c r="Z2082" s="8">
        <v>5</v>
      </c>
      <c r="AA2082" s="202" t="str">
        <f t="shared" si="33"/>
        <v>Масло растительное</v>
      </c>
    </row>
    <row r="2083" spans="1:27" ht="15" customHeight="1" x14ac:dyDescent="0.25">
      <c r="A2083" t="s">
        <v>153</v>
      </c>
      <c r="L2083"/>
      <c r="M2083"/>
      <c r="N2083"/>
      <c r="O2083"/>
      <c r="P2083"/>
      <c r="T2083">
        <v>1459</v>
      </c>
      <c r="U2083" s="7">
        <v>3</v>
      </c>
      <c r="V2083" t="s">
        <v>613</v>
      </c>
      <c r="W2083" s="257" t="s">
        <v>863</v>
      </c>
      <c r="X2083" t="s">
        <v>864</v>
      </c>
      <c r="Y2083" s="316" t="s">
        <v>434</v>
      </c>
      <c r="Z2083" s="8">
        <v>7</v>
      </c>
      <c r="AA2083" s="202" t="str">
        <f t="shared" si="33"/>
        <v>Мука пшеничная 1 с</v>
      </c>
    </row>
    <row r="2084" spans="1:27" ht="15" customHeight="1" x14ac:dyDescent="0.25">
      <c r="A2084" t="s">
        <v>153</v>
      </c>
      <c r="L2084"/>
      <c r="M2084"/>
      <c r="N2084"/>
      <c r="O2084"/>
      <c r="P2084"/>
      <c r="T2084">
        <v>1460</v>
      </c>
      <c r="U2084" s="7">
        <v>3</v>
      </c>
      <c r="V2084" t="s">
        <v>613</v>
      </c>
      <c r="W2084" s="257" t="s">
        <v>863</v>
      </c>
      <c r="X2084" t="s">
        <v>864</v>
      </c>
      <c r="Y2084" s="316" t="s">
        <v>46</v>
      </c>
      <c r="Z2084" s="8">
        <v>10</v>
      </c>
      <c r="AA2084" s="202" t="str">
        <f t="shared" si="33"/>
        <v>Морковь</v>
      </c>
    </row>
    <row r="2085" spans="1:27" ht="15" customHeight="1" x14ac:dyDescent="0.25">
      <c r="A2085" t="s">
        <v>153</v>
      </c>
      <c r="L2085"/>
      <c r="M2085"/>
      <c r="N2085"/>
      <c r="O2085"/>
      <c r="P2085"/>
      <c r="T2085">
        <v>1461</v>
      </c>
      <c r="U2085" s="7">
        <v>3</v>
      </c>
      <c r="V2085" t="s">
        <v>613</v>
      </c>
      <c r="W2085" s="257" t="s">
        <v>863</v>
      </c>
      <c r="X2085" t="s">
        <v>864</v>
      </c>
      <c r="Y2085" s="316" t="s">
        <v>74</v>
      </c>
      <c r="Z2085" s="8">
        <v>0.2</v>
      </c>
      <c r="AA2085" s="202" t="str">
        <f t="shared" si="33"/>
        <v>Лавровый лист</v>
      </c>
    </row>
    <row r="2086" spans="1:27" ht="15" customHeight="1" x14ac:dyDescent="0.25">
      <c r="A2086" t="s">
        <v>153</v>
      </c>
      <c r="L2086"/>
      <c r="M2086"/>
      <c r="N2086"/>
      <c r="O2086"/>
      <c r="P2086"/>
      <c r="T2086">
        <v>1462</v>
      </c>
      <c r="U2086" s="7">
        <v>3</v>
      </c>
      <c r="V2086" t="s">
        <v>613</v>
      </c>
      <c r="W2086" s="257" t="s">
        <v>863</v>
      </c>
      <c r="X2086" t="s">
        <v>864</v>
      </c>
      <c r="Y2086" s="316" t="s">
        <v>32</v>
      </c>
      <c r="Z2086" s="8">
        <v>10</v>
      </c>
      <c r="AA2086" s="202" t="str">
        <f t="shared" si="33"/>
        <v>Лук репчатый</v>
      </c>
    </row>
    <row r="2087" spans="1:27" ht="15" customHeight="1" x14ac:dyDescent="0.25">
      <c r="A2087" t="s">
        <v>153</v>
      </c>
      <c r="L2087"/>
      <c r="M2087"/>
      <c r="N2087"/>
      <c r="O2087"/>
      <c r="P2087"/>
      <c r="T2087">
        <v>1463</v>
      </c>
      <c r="U2087" s="7">
        <v>3</v>
      </c>
      <c r="V2087" t="s">
        <v>613</v>
      </c>
      <c r="W2087" s="257" t="s">
        <v>863</v>
      </c>
      <c r="X2087" t="s">
        <v>864</v>
      </c>
      <c r="Y2087" s="316" t="s">
        <v>76</v>
      </c>
      <c r="Z2087" s="8">
        <v>2</v>
      </c>
      <c r="AA2087" s="202" t="str">
        <f t="shared" si="33"/>
        <v>Томат-паста</v>
      </c>
    </row>
    <row r="2088" spans="1:27" ht="15" customHeight="1" x14ac:dyDescent="0.25">
      <c r="A2088" t="s">
        <v>153</v>
      </c>
      <c r="L2088"/>
      <c r="M2088"/>
      <c r="N2088"/>
      <c r="O2088"/>
      <c r="P2088"/>
      <c r="T2088">
        <v>1464</v>
      </c>
      <c r="U2088" s="7">
        <v>3</v>
      </c>
      <c r="V2088" t="s">
        <v>613</v>
      </c>
      <c r="W2088" s="257" t="s">
        <v>863</v>
      </c>
      <c r="X2088" t="s">
        <v>864</v>
      </c>
      <c r="Y2088" s="316" t="s">
        <v>484</v>
      </c>
      <c r="Z2088" s="8">
        <v>0.01</v>
      </c>
      <c r="AA2088" s="202" t="str">
        <f t="shared" si="33"/>
        <v>Перец черный</v>
      </c>
    </row>
    <row r="2089" spans="1:27" ht="15" customHeight="1" x14ac:dyDescent="0.25">
      <c r="A2089" t="s">
        <v>153</v>
      </c>
      <c r="L2089"/>
      <c r="M2089"/>
      <c r="N2089"/>
      <c r="O2089"/>
      <c r="P2089"/>
      <c r="T2089">
        <v>1465</v>
      </c>
      <c r="U2089" s="7">
        <v>3</v>
      </c>
      <c r="V2089" t="s">
        <v>613</v>
      </c>
      <c r="W2089" s="257" t="s">
        <v>863</v>
      </c>
      <c r="X2089" t="s">
        <v>864</v>
      </c>
      <c r="Y2089" s="316" t="s">
        <v>558</v>
      </c>
      <c r="Z2089" s="8">
        <v>142</v>
      </c>
      <c r="AA2089" s="202" t="str">
        <f t="shared" si="33"/>
        <v>Общая масса готового блюда, г</v>
      </c>
    </row>
    <row r="2090" spans="1:27" ht="15" customHeight="1" x14ac:dyDescent="0.25">
      <c r="A2090" t="s">
        <v>153</v>
      </c>
      <c r="L2090"/>
      <c r="M2090"/>
      <c r="N2090"/>
      <c r="O2090"/>
      <c r="P2090"/>
      <c r="T2090">
        <v>1465</v>
      </c>
      <c r="U2090" s="7">
        <v>3</v>
      </c>
      <c r="V2090" t="s">
        <v>613</v>
      </c>
      <c r="W2090" s="257" t="s">
        <v>863</v>
      </c>
      <c r="X2090" t="s">
        <v>864</v>
      </c>
      <c r="Y2090" s="316" t="s">
        <v>1214</v>
      </c>
      <c r="Z2090" s="8">
        <v>92</v>
      </c>
      <c r="AA2090" s="202" t="str">
        <f t="shared" si="33"/>
        <v>Масса мясных и рыбных порций, г</v>
      </c>
    </row>
    <row r="2091" spans="1:27" ht="15" customHeight="1" x14ac:dyDescent="0.25">
      <c r="A2091" t="s">
        <v>153</v>
      </c>
      <c r="L2091"/>
      <c r="M2091"/>
      <c r="N2091"/>
      <c r="O2091"/>
      <c r="P2091"/>
      <c r="T2091">
        <v>1446</v>
      </c>
      <c r="U2091" s="7">
        <v>3</v>
      </c>
      <c r="V2091" t="s">
        <v>613</v>
      </c>
      <c r="W2091" s="257" t="s">
        <v>865</v>
      </c>
      <c r="X2091" t="s">
        <v>866</v>
      </c>
      <c r="Y2091" s="316" t="s">
        <v>465</v>
      </c>
      <c r="Z2091" s="8">
        <v>150</v>
      </c>
      <c r="AA2091" s="202" t="str">
        <f t="shared" si="33"/>
        <v>Горбуша с/г</v>
      </c>
    </row>
    <row r="2092" spans="1:27" ht="15" customHeight="1" x14ac:dyDescent="0.25">
      <c r="A2092" t="s">
        <v>153</v>
      </c>
      <c r="L2092"/>
      <c r="M2092"/>
      <c r="N2092"/>
      <c r="O2092"/>
      <c r="P2092"/>
      <c r="T2092">
        <v>1447</v>
      </c>
      <c r="U2092" s="7">
        <v>3</v>
      </c>
      <c r="V2092" t="s">
        <v>613</v>
      </c>
      <c r="W2092" s="257" t="s">
        <v>865</v>
      </c>
      <c r="X2092" t="s">
        <v>866</v>
      </c>
      <c r="Y2092" s="316" t="s">
        <v>326</v>
      </c>
      <c r="Z2092" s="8">
        <v>2</v>
      </c>
      <c r="AA2092" s="202" t="str">
        <f t="shared" si="33"/>
        <v>Соль</v>
      </c>
    </row>
    <row r="2093" spans="1:27" ht="15" customHeight="1" x14ac:dyDescent="0.25">
      <c r="A2093" t="s">
        <v>153</v>
      </c>
      <c r="L2093"/>
      <c r="M2093"/>
      <c r="N2093"/>
      <c r="O2093"/>
      <c r="P2093"/>
      <c r="T2093">
        <v>1448</v>
      </c>
      <c r="U2093" s="7">
        <v>3</v>
      </c>
      <c r="V2093" t="s">
        <v>613</v>
      </c>
      <c r="W2093" s="257" t="s">
        <v>865</v>
      </c>
      <c r="X2093" t="s">
        <v>866</v>
      </c>
      <c r="Y2093" s="316" t="s">
        <v>61</v>
      </c>
      <c r="Z2093" s="8">
        <v>5</v>
      </c>
      <c r="AA2093" s="202" t="str">
        <f t="shared" si="33"/>
        <v>Масло растительное</v>
      </c>
    </row>
    <row r="2094" spans="1:27" ht="15" customHeight="1" x14ac:dyDescent="0.25">
      <c r="A2094" t="s">
        <v>153</v>
      </c>
      <c r="L2094"/>
      <c r="M2094"/>
      <c r="N2094"/>
      <c r="O2094"/>
      <c r="P2094"/>
      <c r="T2094">
        <v>1449</v>
      </c>
      <c r="U2094" s="7">
        <v>3</v>
      </c>
      <c r="V2094" t="s">
        <v>613</v>
      </c>
      <c r="W2094" s="257" t="s">
        <v>865</v>
      </c>
      <c r="X2094" t="s">
        <v>866</v>
      </c>
      <c r="Y2094" s="316" t="s">
        <v>434</v>
      </c>
      <c r="Z2094" s="8">
        <v>7</v>
      </c>
      <c r="AA2094" s="202" t="str">
        <f t="shared" si="33"/>
        <v>Мука пшеничная 1 с</v>
      </c>
    </row>
    <row r="2095" spans="1:27" ht="15" customHeight="1" x14ac:dyDescent="0.25">
      <c r="A2095" t="s">
        <v>153</v>
      </c>
      <c r="L2095"/>
      <c r="M2095"/>
      <c r="N2095"/>
      <c r="O2095"/>
      <c r="P2095"/>
      <c r="T2095">
        <v>1450</v>
      </c>
      <c r="U2095" s="7">
        <v>3</v>
      </c>
      <c r="V2095" t="s">
        <v>613</v>
      </c>
      <c r="W2095" s="257" t="s">
        <v>865</v>
      </c>
      <c r="X2095" t="s">
        <v>866</v>
      </c>
      <c r="Y2095" s="316" t="s">
        <v>46</v>
      </c>
      <c r="Z2095" s="8">
        <v>10</v>
      </c>
      <c r="AA2095" s="202" t="str">
        <f t="shared" si="33"/>
        <v>Морковь</v>
      </c>
    </row>
    <row r="2096" spans="1:27" ht="15" customHeight="1" x14ac:dyDescent="0.25">
      <c r="A2096" t="s">
        <v>153</v>
      </c>
      <c r="L2096"/>
      <c r="M2096"/>
      <c r="N2096"/>
      <c r="O2096"/>
      <c r="P2096"/>
      <c r="T2096">
        <v>1451</v>
      </c>
      <c r="U2096" s="7">
        <v>3</v>
      </c>
      <c r="V2096" t="s">
        <v>613</v>
      </c>
      <c r="W2096" s="257" t="s">
        <v>865</v>
      </c>
      <c r="X2096" t="s">
        <v>866</v>
      </c>
      <c r="Y2096" s="316" t="s">
        <v>74</v>
      </c>
      <c r="Z2096" s="8">
        <v>0.2</v>
      </c>
      <c r="AA2096" s="202" t="str">
        <f t="shared" si="33"/>
        <v>Лавровый лист</v>
      </c>
    </row>
    <row r="2097" spans="1:27" ht="15" customHeight="1" x14ac:dyDescent="0.25">
      <c r="A2097" t="s">
        <v>153</v>
      </c>
      <c r="L2097"/>
      <c r="M2097"/>
      <c r="N2097"/>
      <c r="O2097"/>
      <c r="P2097"/>
      <c r="T2097">
        <v>1452</v>
      </c>
      <c r="U2097" s="7">
        <v>3</v>
      </c>
      <c r="V2097" t="s">
        <v>613</v>
      </c>
      <c r="W2097" s="257" t="s">
        <v>865</v>
      </c>
      <c r="X2097" t="s">
        <v>866</v>
      </c>
      <c r="Y2097" s="316" t="s">
        <v>32</v>
      </c>
      <c r="Z2097" s="8">
        <v>10</v>
      </c>
      <c r="AA2097" s="202" t="str">
        <f t="shared" si="33"/>
        <v>Лук репчатый</v>
      </c>
    </row>
    <row r="2098" spans="1:27" ht="15" customHeight="1" x14ac:dyDescent="0.25">
      <c r="A2098" t="s">
        <v>153</v>
      </c>
      <c r="L2098"/>
      <c r="M2098"/>
      <c r="N2098"/>
      <c r="O2098"/>
      <c r="P2098"/>
      <c r="T2098">
        <v>1453</v>
      </c>
      <c r="U2098" s="7">
        <v>3</v>
      </c>
      <c r="V2098" t="s">
        <v>613</v>
      </c>
      <c r="W2098" s="257" t="s">
        <v>865</v>
      </c>
      <c r="X2098" t="s">
        <v>866</v>
      </c>
      <c r="Y2098" s="316" t="s">
        <v>76</v>
      </c>
      <c r="Z2098" s="8">
        <v>2</v>
      </c>
      <c r="AA2098" s="202" t="str">
        <f t="shared" si="33"/>
        <v>Томат-паста</v>
      </c>
    </row>
    <row r="2099" spans="1:27" ht="15" customHeight="1" x14ac:dyDescent="0.25">
      <c r="A2099" t="s">
        <v>153</v>
      </c>
      <c r="L2099"/>
      <c r="M2099"/>
      <c r="N2099"/>
      <c r="O2099"/>
      <c r="P2099"/>
      <c r="T2099">
        <v>1454</v>
      </c>
      <c r="U2099" s="7">
        <v>3</v>
      </c>
      <c r="V2099" t="s">
        <v>613</v>
      </c>
      <c r="W2099" s="257" t="s">
        <v>865</v>
      </c>
      <c r="X2099" t="s">
        <v>866</v>
      </c>
      <c r="Y2099" s="316" t="s">
        <v>484</v>
      </c>
      <c r="Z2099" s="8">
        <v>0.01</v>
      </c>
      <c r="AA2099" s="202" t="str">
        <f t="shared" si="33"/>
        <v>Перец черный</v>
      </c>
    </row>
    <row r="2100" spans="1:27" ht="15" customHeight="1" x14ac:dyDescent="0.25">
      <c r="A2100" t="s">
        <v>153</v>
      </c>
      <c r="L2100"/>
      <c r="M2100"/>
      <c r="N2100"/>
      <c r="O2100"/>
      <c r="P2100"/>
      <c r="T2100">
        <v>1455</v>
      </c>
      <c r="U2100" s="7">
        <v>3</v>
      </c>
      <c r="V2100" t="s">
        <v>613</v>
      </c>
      <c r="W2100" s="257" t="s">
        <v>865</v>
      </c>
      <c r="X2100" t="s">
        <v>866</v>
      </c>
      <c r="Y2100" s="316" t="s">
        <v>558</v>
      </c>
      <c r="Z2100" s="8">
        <v>141.5</v>
      </c>
      <c r="AA2100" s="202" t="str">
        <f t="shared" si="33"/>
        <v>Общая масса готового блюда, г</v>
      </c>
    </row>
    <row r="2101" spans="1:27" ht="15" customHeight="1" x14ac:dyDescent="0.25">
      <c r="A2101" t="s">
        <v>153</v>
      </c>
      <c r="L2101"/>
      <c r="M2101"/>
      <c r="N2101"/>
      <c r="O2101"/>
      <c r="P2101"/>
      <c r="T2101">
        <v>1455</v>
      </c>
      <c r="U2101" s="7">
        <v>3</v>
      </c>
      <c r="V2101" t="s">
        <v>613</v>
      </c>
      <c r="W2101" s="257" t="s">
        <v>865</v>
      </c>
      <c r="X2101" t="s">
        <v>866</v>
      </c>
      <c r="Y2101" s="316" t="s">
        <v>1214</v>
      </c>
      <c r="Z2101" s="8">
        <v>91.5</v>
      </c>
      <c r="AA2101" s="202" t="str">
        <f t="shared" si="33"/>
        <v>Масса мясных и рыбных порций, г</v>
      </c>
    </row>
    <row r="2102" spans="1:27" ht="15" customHeight="1" x14ac:dyDescent="0.25">
      <c r="A2102" t="s">
        <v>153</v>
      </c>
      <c r="L2102"/>
      <c r="M2102"/>
      <c r="N2102"/>
      <c r="O2102"/>
      <c r="P2102"/>
      <c r="T2102">
        <v>1436</v>
      </c>
      <c r="U2102" s="7">
        <v>3</v>
      </c>
      <c r="V2102" t="s">
        <v>613</v>
      </c>
      <c r="W2102" s="257" t="s">
        <v>867</v>
      </c>
      <c r="X2102" t="s">
        <v>868</v>
      </c>
      <c r="Y2102" s="316" t="s">
        <v>1218</v>
      </c>
      <c r="Z2102" s="8">
        <v>120</v>
      </c>
      <c r="AA2102" s="202" t="str">
        <f t="shared" si="33"/>
        <v>Камбала б/г</v>
      </c>
    </row>
    <row r="2103" spans="1:27" ht="15" customHeight="1" x14ac:dyDescent="0.25">
      <c r="A2103" t="s">
        <v>153</v>
      </c>
      <c r="L2103"/>
      <c r="M2103"/>
      <c r="N2103"/>
      <c r="O2103"/>
      <c r="P2103"/>
      <c r="T2103">
        <v>1437</v>
      </c>
      <c r="U2103" s="7">
        <v>3</v>
      </c>
      <c r="V2103" t="s">
        <v>613</v>
      </c>
      <c r="W2103" s="257" t="s">
        <v>867</v>
      </c>
      <c r="X2103" t="s">
        <v>868</v>
      </c>
      <c r="Y2103" s="316" t="s">
        <v>326</v>
      </c>
      <c r="Z2103" s="8">
        <v>2</v>
      </c>
      <c r="AA2103" s="202" t="str">
        <f t="shared" si="33"/>
        <v>Соль</v>
      </c>
    </row>
    <row r="2104" spans="1:27" ht="15" customHeight="1" x14ac:dyDescent="0.25">
      <c r="A2104" t="s">
        <v>153</v>
      </c>
      <c r="L2104"/>
      <c r="M2104"/>
      <c r="N2104"/>
      <c r="O2104"/>
      <c r="P2104"/>
      <c r="T2104">
        <v>1438</v>
      </c>
      <c r="U2104" s="7">
        <v>3</v>
      </c>
      <c r="V2104" t="s">
        <v>613</v>
      </c>
      <c r="W2104" s="257" t="s">
        <v>867</v>
      </c>
      <c r="X2104" t="s">
        <v>868</v>
      </c>
      <c r="Y2104" s="316" t="s">
        <v>61</v>
      </c>
      <c r="Z2104" s="8">
        <v>5</v>
      </c>
      <c r="AA2104" s="202" t="str">
        <f t="shared" si="33"/>
        <v>Масло растительное</v>
      </c>
    </row>
    <row r="2105" spans="1:27" ht="15" customHeight="1" x14ac:dyDescent="0.25">
      <c r="A2105" t="s">
        <v>153</v>
      </c>
      <c r="L2105"/>
      <c r="M2105"/>
      <c r="N2105"/>
      <c r="O2105"/>
      <c r="P2105"/>
      <c r="T2105">
        <v>1439</v>
      </c>
      <c r="U2105" s="7">
        <v>3</v>
      </c>
      <c r="V2105" t="s">
        <v>613</v>
      </c>
      <c r="W2105" s="257" t="s">
        <v>867</v>
      </c>
      <c r="X2105" t="s">
        <v>868</v>
      </c>
      <c r="Y2105" s="316" t="s">
        <v>434</v>
      </c>
      <c r="Z2105" s="8">
        <v>7</v>
      </c>
      <c r="AA2105" s="202" t="str">
        <f t="shared" si="33"/>
        <v>Мука пшеничная 1 с</v>
      </c>
    </row>
    <row r="2106" spans="1:27" ht="15" customHeight="1" x14ac:dyDescent="0.25">
      <c r="A2106" t="s">
        <v>153</v>
      </c>
      <c r="L2106"/>
      <c r="M2106"/>
      <c r="N2106"/>
      <c r="O2106"/>
      <c r="P2106"/>
      <c r="T2106">
        <v>1440</v>
      </c>
      <c r="U2106" s="7">
        <v>3</v>
      </c>
      <c r="V2106" t="s">
        <v>613</v>
      </c>
      <c r="W2106" s="257" t="s">
        <v>867</v>
      </c>
      <c r="X2106" t="s">
        <v>868</v>
      </c>
      <c r="Y2106" s="316" t="s">
        <v>46</v>
      </c>
      <c r="Z2106" s="8">
        <v>10</v>
      </c>
      <c r="AA2106" s="202" t="str">
        <f t="shared" si="33"/>
        <v>Морковь</v>
      </c>
    </row>
    <row r="2107" spans="1:27" ht="15" customHeight="1" x14ac:dyDescent="0.25">
      <c r="A2107" t="s">
        <v>153</v>
      </c>
      <c r="L2107"/>
      <c r="M2107"/>
      <c r="N2107"/>
      <c r="O2107"/>
      <c r="P2107"/>
      <c r="T2107">
        <v>1441</v>
      </c>
      <c r="U2107" s="7">
        <v>3</v>
      </c>
      <c r="V2107" t="s">
        <v>613</v>
      </c>
      <c r="W2107" s="257" t="s">
        <v>867</v>
      </c>
      <c r="X2107" t="s">
        <v>868</v>
      </c>
      <c r="Y2107" s="316" t="s">
        <v>74</v>
      </c>
      <c r="Z2107" s="8">
        <v>0.2</v>
      </c>
      <c r="AA2107" s="202" t="str">
        <f t="shared" si="33"/>
        <v>Лавровый лист</v>
      </c>
    </row>
    <row r="2108" spans="1:27" ht="15" customHeight="1" x14ac:dyDescent="0.25">
      <c r="A2108" t="s">
        <v>153</v>
      </c>
      <c r="L2108"/>
      <c r="M2108"/>
      <c r="N2108"/>
      <c r="O2108"/>
      <c r="P2108"/>
      <c r="T2108">
        <v>1442</v>
      </c>
      <c r="U2108" s="7">
        <v>3</v>
      </c>
      <c r="V2108" t="s">
        <v>613</v>
      </c>
      <c r="W2108" s="257" t="s">
        <v>867</v>
      </c>
      <c r="X2108" t="s">
        <v>868</v>
      </c>
      <c r="Y2108" s="316" t="s">
        <v>32</v>
      </c>
      <c r="Z2108" s="8">
        <v>10</v>
      </c>
      <c r="AA2108" s="202" t="str">
        <f t="shared" si="33"/>
        <v>Лук репчатый</v>
      </c>
    </row>
    <row r="2109" spans="1:27" ht="15" customHeight="1" x14ac:dyDescent="0.25">
      <c r="A2109" t="s">
        <v>153</v>
      </c>
      <c r="L2109"/>
      <c r="M2109"/>
      <c r="N2109"/>
      <c r="O2109"/>
      <c r="P2109"/>
      <c r="T2109">
        <v>1443</v>
      </c>
      <c r="U2109" s="7">
        <v>3</v>
      </c>
      <c r="V2109" t="s">
        <v>613</v>
      </c>
      <c r="W2109" s="257" t="s">
        <v>867</v>
      </c>
      <c r="X2109" t="s">
        <v>868</v>
      </c>
      <c r="Y2109" s="316" t="s">
        <v>76</v>
      </c>
      <c r="Z2109" s="8">
        <v>2</v>
      </c>
      <c r="AA2109" s="202" t="str">
        <f t="shared" si="33"/>
        <v>Томат-паста</v>
      </c>
    </row>
    <row r="2110" spans="1:27" ht="15" customHeight="1" x14ac:dyDescent="0.25">
      <c r="A2110" t="s">
        <v>153</v>
      </c>
      <c r="L2110"/>
      <c r="M2110"/>
      <c r="N2110"/>
      <c r="O2110"/>
      <c r="P2110"/>
      <c r="T2110">
        <v>1444</v>
      </c>
      <c r="U2110" s="7">
        <v>3</v>
      </c>
      <c r="V2110" t="s">
        <v>613</v>
      </c>
      <c r="W2110" s="257" t="s">
        <v>867</v>
      </c>
      <c r="X2110" t="s">
        <v>868</v>
      </c>
      <c r="Y2110" s="316" t="s">
        <v>484</v>
      </c>
      <c r="Z2110" s="8">
        <v>0.01</v>
      </c>
      <c r="AA2110" s="202" t="str">
        <f t="shared" si="33"/>
        <v>Перец черный</v>
      </c>
    </row>
    <row r="2111" spans="1:27" ht="15" customHeight="1" x14ac:dyDescent="0.25">
      <c r="A2111" t="s">
        <v>153</v>
      </c>
      <c r="L2111"/>
      <c r="M2111"/>
      <c r="N2111"/>
      <c r="O2111"/>
      <c r="P2111"/>
      <c r="T2111">
        <v>1445</v>
      </c>
      <c r="U2111" s="7">
        <v>3</v>
      </c>
      <c r="V2111" t="s">
        <v>613</v>
      </c>
      <c r="W2111" s="257" t="s">
        <v>867</v>
      </c>
      <c r="X2111" t="s">
        <v>868</v>
      </c>
      <c r="Y2111" s="316" t="s">
        <v>558</v>
      </c>
      <c r="Z2111" s="8">
        <v>142.4</v>
      </c>
      <c r="AA2111" s="202" t="str">
        <f t="shared" si="33"/>
        <v>Общая масса готового блюда, г</v>
      </c>
    </row>
    <row r="2112" spans="1:27" ht="15" customHeight="1" x14ac:dyDescent="0.25">
      <c r="A2112" t="s">
        <v>153</v>
      </c>
      <c r="L2112"/>
      <c r="M2112"/>
      <c r="N2112"/>
      <c r="O2112"/>
      <c r="P2112"/>
      <c r="T2112">
        <v>1445</v>
      </c>
      <c r="U2112" s="7">
        <v>3</v>
      </c>
      <c r="V2112" t="s">
        <v>613</v>
      </c>
      <c r="W2112" s="257" t="s">
        <v>867</v>
      </c>
      <c r="X2112" t="s">
        <v>868</v>
      </c>
      <c r="Y2112" s="316" t="s">
        <v>1214</v>
      </c>
      <c r="Z2112" s="8">
        <v>92.4</v>
      </c>
      <c r="AA2112" s="202" t="str">
        <f t="shared" si="33"/>
        <v>Масса мясных и рыбных порций, г</v>
      </c>
    </row>
    <row r="2113" spans="1:27" ht="15" customHeight="1" x14ac:dyDescent="0.25">
      <c r="A2113" t="s">
        <v>153</v>
      </c>
      <c r="L2113"/>
      <c r="M2113"/>
      <c r="N2113"/>
      <c r="O2113"/>
      <c r="P2113"/>
      <c r="T2113">
        <v>1416</v>
      </c>
      <c r="U2113" s="7">
        <v>3</v>
      </c>
      <c r="V2113" t="s">
        <v>613</v>
      </c>
      <c r="W2113" s="257" t="s">
        <v>869</v>
      </c>
      <c r="X2113" t="s">
        <v>870</v>
      </c>
      <c r="Y2113" s="316" t="s">
        <v>466</v>
      </c>
      <c r="Z2113" s="8">
        <v>120</v>
      </c>
      <c r="AA2113" s="202" t="str">
        <f t="shared" si="33"/>
        <v>Навага б/г</v>
      </c>
    </row>
    <row r="2114" spans="1:27" ht="15" customHeight="1" x14ac:dyDescent="0.25">
      <c r="A2114" t="s">
        <v>153</v>
      </c>
      <c r="L2114"/>
      <c r="M2114"/>
      <c r="N2114"/>
      <c r="O2114"/>
      <c r="P2114"/>
      <c r="T2114">
        <v>1417</v>
      </c>
      <c r="U2114" s="7">
        <v>3</v>
      </c>
      <c r="V2114" t="s">
        <v>613</v>
      </c>
      <c r="W2114" s="257" t="s">
        <v>869</v>
      </c>
      <c r="X2114" t="s">
        <v>870</v>
      </c>
      <c r="Y2114" s="316" t="s">
        <v>326</v>
      </c>
      <c r="Z2114" s="8">
        <v>2</v>
      </c>
      <c r="AA2114" s="202" t="str">
        <f t="shared" ref="AA2114:AA2177" si="34">VLOOKUP(Y2114,O:P,2,FALSE)</f>
        <v>Соль</v>
      </c>
    </row>
    <row r="2115" spans="1:27" ht="15" customHeight="1" x14ac:dyDescent="0.25">
      <c r="A2115" t="s">
        <v>153</v>
      </c>
      <c r="L2115"/>
      <c r="M2115"/>
      <c r="N2115"/>
      <c r="O2115"/>
      <c r="P2115"/>
      <c r="T2115">
        <v>1418</v>
      </c>
      <c r="U2115" s="7">
        <v>3</v>
      </c>
      <c r="V2115" t="s">
        <v>613</v>
      </c>
      <c r="W2115" s="257" t="s">
        <v>869</v>
      </c>
      <c r="X2115" t="s">
        <v>870</v>
      </c>
      <c r="Y2115" s="316" t="s">
        <v>61</v>
      </c>
      <c r="Z2115" s="8">
        <v>5</v>
      </c>
      <c r="AA2115" s="202" t="str">
        <f t="shared" si="34"/>
        <v>Масло растительное</v>
      </c>
    </row>
    <row r="2116" spans="1:27" ht="15" customHeight="1" x14ac:dyDescent="0.25">
      <c r="A2116" t="s">
        <v>153</v>
      </c>
      <c r="L2116"/>
      <c r="M2116"/>
      <c r="N2116"/>
      <c r="O2116"/>
      <c r="P2116"/>
      <c r="T2116">
        <v>1419</v>
      </c>
      <c r="U2116" s="7">
        <v>3</v>
      </c>
      <c r="V2116" t="s">
        <v>613</v>
      </c>
      <c r="W2116" s="257" t="s">
        <v>869</v>
      </c>
      <c r="X2116" t="s">
        <v>870</v>
      </c>
      <c r="Y2116" s="316" t="s">
        <v>434</v>
      </c>
      <c r="Z2116" s="8">
        <v>7</v>
      </c>
      <c r="AA2116" s="202" t="str">
        <f t="shared" si="34"/>
        <v>Мука пшеничная 1 с</v>
      </c>
    </row>
    <row r="2117" spans="1:27" ht="15" customHeight="1" x14ac:dyDescent="0.25">
      <c r="A2117" t="s">
        <v>153</v>
      </c>
      <c r="L2117"/>
      <c r="M2117"/>
      <c r="N2117"/>
      <c r="O2117"/>
      <c r="P2117"/>
      <c r="T2117">
        <v>1420</v>
      </c>
      <c r="U2117" s="7">
        <v>3</v>
      </c>
      <c r="V2117" t="s">
        <v>613</v>
      </c>
      <c r="W2117" s="257" t="s">
        <v>869</v>
      </c>
      <c r="X2117" t="s">
        <v>870</v>
      </c>
      <c r="Y2117" s="316" t="s">
        <v>46</v>
      </c>
      <c r="Z2117" s="8">
        <v>10</v>
      </c>
      <c r="AA2117" s="202" t="str">
        <f t="shared" si="34"/>
        <v>Морковь</v>
      </c>
    </row>
    <row r="2118" spans="1:27" ht="15" customHeight="1" x14ac:dyDescent="0.25">
      <c r="A2118" t="s">
        <v>153</v>
      </c>
      <c r="L2118"/>
      <c r="M2118"/>
      <c r="N2118"/>
      <c r="O2118"/>
      <c r="P2118"/>
      <c r="T2118">
        <v>1421</v>
      </c>
      <c r="U2118" s="7">
        <v>3</v>
      </c>
      <c r="V2118" t="s">
        <v>613</v>
      </c>
      <c r="W2118" s="257" t="s">
        <v>869</v>
      </c>
      <c r="X2118" t="s">
        <v>870</v>
      </c>
      <c r="Y2118" s="316" t="s">
        <v>74</v>
      </c>
      <c r="Z2118" s="8">
        <v>0.2</v>
      </c>
      <c r="AA2118" s="202" t="str">
        <f t="shared" si="34"/>
        <v>Лавровый лист</v>
      </c>
    </row>
    <row r="2119" spans="1:27" ht="15" customHeight="1" x14ac:dyDescent="0.25">
      <c r="A2119" t="s">
        <v>153</v>
      </c>
      <c r="L2119"/>
      <c r="M2119"/>
      <c r="N2119"/>
      <c r="O2119"/>
      <c r="P2119"/>
      <c r="T2119">
        <v>1422</v>
      </c>
      <c r="U2119" s="7">
        <v>3</v>
      </c>
      <c r="V2119" t="s">
        <v>613</v>
      </c>
      <c r="W2119" s="257" t="s">
        <v>869</v>
      </c>
      <c r="X2119" t="s">
        <v>870</v>
      </c>
      <c r="Y2119" s="316" t="s">
        <v>32</v>
      </c>
      <c r="Z2119" s="8">
        <v>10</v>
      </c>
      <c r="AA2119" s="202" t="str">
        <f t="shared" si="34"/>
        <v>Лук репчатый</v>
      </c>
    </row>
    <row r="2120" spans="1:27" ht="15" customHeight="1" x14ac:dyDescent="0.25">
      <c r="A2120" t="s">
        <v>153</v>
      </c>
      <c r="L2120"/>
      <c r="M2120"/>
      <c r="N2120"/>
      <c r="O2120"/>
      <c r="P2120"/>
      <c r="T2120">
        <v>1423</v>
      </c>
      <c r="U2120" s="7">
        <v>3</v>
      </c>
      <c r="V2120" t="s">
        <v>613</v>
      </c>
      <c r="W2120" s="257" t="s">
        <v>869</v>
      </c>
      <c r="X2120" t="s">
        <v>870</v>
      </c>
      <c r="Y2120" s="316" t="s">
        <v>76</v>
      </c>
      <c r="Z2120" s="8">
        <v>2</v>
      </c>
      <c r="AA2120" s="202" t="str">
        <f t="shared" si="34"/>
        <v>Томат-паста</v>
      </c>
    </row>
    <row r="2121" spans="1:27" ht="15" customHeight="1" x14ac:dyDescent="0.25">
      <c r="A2121" t="s">
        <v>153</v>
      </c>
      <c r="L2121"/>
      <c r="M2121"/>
      <c r="N2121"/>
      <c r="O2121"/>
      <c r="P2121"/>
      <c r="T2121">
        <v>1424</v>
      </c>
      <c r="U2121" s="7">
        <v>3</v>
      </c>
      <c r="V2121" t="s">
        <v>613</v>
      </c>
      <c r="W2121" s="257" t="s">
        <v>869</v>
      </c>
      <c r="X2121" t="s">
        <v>870</v>
      </c>
      <c r="Y2121" s="316" t="s">
        <v>484</v>
      </c>
      <c r="Z2121" s="8">
        <v>0.01</v>
      </c>
      <c r="AA2121" s="202" t="str">
        <f t="shared" si="34"/>
        <v>Перец черный</v>
      </c>
    </row>
    <row r="2122" spans="1:27" ht="15" customHeight="1" x14ac:dyDescent="0.25">
      <c r="A2122" t="s">
        <v>153</v>
      </c>
      <c r="L2122"/>
      <c r="M2122"/>
      <c r="N2122"/>
      <c r="O2122"/>
      <c r="P2122"/>
      <c r="T2122">
        <v>1425</v>
      </c>
      <c r="U2122" s="7">
        <v>3</v>
      </c>
      <c r="V2122" t="s">
        <v>613</v>
      </c>
      <c r="W2122" s="257" t="s">
        <v>869</v>
      </c>
      <c r="X2122" t="s">
        <v>870</v>
      </c>
      <c r="Y2122" s="316" t="s">
        <v>558</v>
      </c>
      <c r="Z2122" s="8">
        <v>120.75200000000001</v>
      </c>
      <c r="AA2122" s="202" t="str">
        <f t="shared" si="34"/>
        <v>Общая масса готового блюда, г</v>
      </c>
    </row>
    <row r="2123" spans="1:27" ht="15" customHeight="1" x14ac:dyDescent="0.25">
      <c r="A2123" t="s">
        <v>153</v>
      </c>
      <c r="L2123"/>
      <c r="M2123"/>
      <c r="N2123"/>
      <c r="O2123"/>
      <c r="P2123"/>
      <c r="T2123">
        <v>1425</v>
      </c>
      <c r="U2123" s="7">
        <v>3</v>
      </c>
      <c r="V2123" t="s">
        <v>613</v>
      </c>
      <c r="W2123" s="257" t="s">
        <v>869</v>
      </c>
      <c r="X2123" t="s">
        <v>870</v>
      </c>
      <c r="Y2123" s="316" t="s">
        <v>1214</v>
      </c>
      <c r="Z2123" s="8">
        <v>70.8</v>
      </c>
      <c r="AA2123" s="202" t="str">
        <f t="shared" si="34"/>
        <v>Масса мясных и рыбных порций, г</v>
      </c>
    </row>
    <row r="2124" spans="1:27" ht="15" customHeight="1" x14ac:dyDescent="0.25">
      <c r="A2124" t="s">
        <v>153</v>
      </c>
      <c r="L2124"/>
      <c r="M2124"/>
      <c r="N2124"/>
      <c r="O2124"/>
      <c r="P2124"/>
      <c r="T2124">
        <v>1406</v>
      </c>
      <c r="U2124" s="7">
        <v>3</v>
      </c>
      <c r="V2124" t="s">
        <v>613</v>
      </c>
      <c r="W2124" s="257" t="s">
        <v>871</v>
      </c>
      <c r="X2124" t="s">
        <v>872</v>
      </c>
      <c r="Y2124" s="316" t="s">
        <v>467</v>
      </c>
      <c r="Z2124" s="8">
        <v>120</v>
      </c>
      <c r="AA2124" s="202" t="str">
        <f t="shared" si="34"/>
        <v>Пикша б/г</v>
      </c>
    </row>
    <row r="2125" spans="1:27" ht="15" customHeight="1" x14ac:dyDescent="0.25">
      <c r="A2125" t="s">
        <v>153</v>
      </c>
      <c r="L2125"/>
      <c r="M2125"/>
      <c r="N2125"/>
      <c r="O2125"/>
      <c r="P2125"/>
      <c r="T2125">
        <v>1407</v>
      </c>
      <c r="U2125" s="7">
        <v>3</v>
      </c>
      <c r="V2125" t="s">
        <v>613</v>
      </c>
      <c r="W2125" s="257" t="s">
        <v>871</v>
      </c>
      <c r="X2125" t="s">
        <v>872</v>
      </c>
      <c r="Y2125" s="316" t="s">
        <v>326</v>
      </c>
      <c r="Z2125" s="8">
        <v>2</v>
      </c>
      <c r="AA2125" s="202" t="str">
        <f t="shared" si="34"/>
        <v>Соль</v>
      </c>
    </row>
    <row r="2126" spans="1:27" ht="15" customHeight="1" x14ac:dyDescent="0.25">
      <c r="A2126" t="s">
        <v>153</v>
      </c>
      <c r="L2126"/>
      <c r="M2126"/>
      <c r="N2126"/>
      <c r="O2126"/>
      <c r="P2126"/>
      <c r="T2126">
        <v>1408</v>
      </c>
      <c r="U2126" s="7">
        <v>3</v>
      </c>
      <c r="V2126" t="s">
        <v>613</v>
      </c>
      <c r="W2126" s="257" t="s">
        <v>871</v>
      </c>
      <c r="X2126" t="s">
        <v>872</v>
      </c>
      <c r="Y2126" s="316" t="s">
        <v>61</v>
      </c>
      <c r="Z2126" s="8">
        <v>5</v>
      </c>
      <c r="AA2126" s="202" t="str">
        <f t="shared" si="34"/>
        <v>Масло растительное</v>
      </c>
    </row>
    <row r="2127" spans="1:27" ht="15" customHeight="1" x14ac:dyDescent="0.25">
      <c r="A2127" t="s">
        <v>153</v>
      </c>
      <c r="L2127"/>
      <c r="M2127"/>
      <c r="N2127"/>
      <c r="O2127"/>
      <c r="P2127"/>
      <c r="T2127">
        <v>1409</v>
      </c>
      <c r="U2127" s="7">
        <v>3</v>
      </c>
      <c r="V2127" t="s">
        <v>613</v>
      </c>
      <c r="W2127" s="257" t="s">
        <v>871</v>
      </c>
      <c r="X2127" t="s">
        <v>872</v>
      </c>
      <c r="Y2127" s="316" t="s">
        <v>434</v>
      </c>
      <c r="Z2127" s="8">
        <v>7</v>
      </c>
      <c r="AA2127" s="202" t="str">
        <f t="shared" si="34"/>
        <v>Мука пшеничная 1 с</v>
      </c>
    </row>
    <row r="2128" spans="1:27" ht="15" customHeight="1" x14ac:dyDescent="0.25">
      <c r="A2128" t="s">
        <v>153</v>
      </c>
      <c r="L2128"/>
      <c r="M2128"/>
      <c r="N2128"/>
      <c r="O2128"/>
      <c r="P2128"/>
      <c r="T2128">
        <v>1410</v>
      </c>
      <c r="U2128" s="7">
        <v>3</v>
      </c>
      <c r="V2128" t="s">
        <v>613</v>
      </c>
      <c r="W2128" s="257" t="s">
        <v>871</v>
      </c>
      <c r="X2128" t="s">
        <v>872</v>
      </c>
      <c r="Y2128" s="316" t="s">
        <v>46</v>
      </c>
      <c r="Z2128" s="8">
        <v>10</v>
      </c>
      <c r="AA2128" s="202" t="str">
        <f t="shared" si="34"/>
        <v>Морковь</v>
      </c>
    </row>
    <row r="2129" spans="1:27" ht="15" customHeight="1" x14ac:dyDescent="0.25">
      <c r="A2129" t="s">
        <v>153</v>
      </c>
      <c r="L2129"/>
      <c r="M2129"/>
      <c r="N2129"/>
      <c r="O2129"/>
      <c r="P2129"/>
      <c r="T2129">
        <v>1411</v>
      </c>
      <c r="U2129" s="7">
        <v>3</v>
      </c>
      <c r="V2129" t="s">
        <v>613</v>
      </c>
      <c r="W2129" s="257" t="s">
        <v>871</v>
      </c>
      <c r="X2129" t="s">
        <v>872</v>
      </c>
      <c r="Y2129" s="316" t="s">
        <v>74</v>
      </c>
      <c r="Z2129" s="8">
        <v>0.2</v>
      </c>
      <c r="AA2129" s="202" t="str">
        <f t="shared" si="34"/>
        <v>Лавровый лист</v>
      </c>
    </row>
    <row r="2130" spans="1:27" ht="15" customHeight="1" x14ac:dyDescent="0.25">
      <c r="A2130" t="s">
        <v>153</v>
      </c>
      <c r="L2130"/>
      <c r="M2130"/>
      <c r="N2130"/>
      <c r="O2130"/>
      <c r="P2130"/>
      <c r="T2130">
        <v>1412</v>
      </c>
      <c r="U2130" s="7">
        <v>3</v>
      </c>
      <c r="V2130" t="s">
        <v>613</v>
      </c>
      <c r="W2130" s="257" t="s">
        <v>871</v>
      </c>
      <c r="X2130" t="s">
        <v>872</v>
      </c>
      <c r="Y2130" s="316" t="s">
        <v>32</v>
      </c>
      <c r="Z2130" s="8">
        <v>10</v>
      </c>
      <c r="AA2130" s="202" t="str">
        <f t="shared" si="34"/>
        <v>Лук репчатый</v>
      </c>
    </row>
    <row r="2131" spans="1:27" ht="15" customHeight="1" x14ac:dyDescent="0.25">
      <c r="A2131" t="s">
        <v>153</v>
      </c>
      <c r="L2131"/>
      <c r="M2131"/>
      <c r="N2131"/>
      <c r="O2131"/>
      <c r="P2131"/>
      <c r="T2131">
        <v>1413</v>
      </c>
      <c r="U2131" s="7">
        <v>3</v>
      </c>
      <c r="V2131" t="s">
        <v>613</v>
      </c>
      <c r="W2131" s="257" t="s">
        <v>871</v>
      </c>
      <c r="X2131" t="s">
        <v>872</v>
      </c>
      <c r="Y2131" s="316" t="s">
        <v>76</v>
      </c>
      <c r="Z2131" s="8">
        <v>2</v>
      </c>
      <c r="AA2131" s="202" t="str">
        <f t="shared" si="34"/>
        <v>Томат-паста</v>
      </c>
    </row>
    <row r="2132" spans="1:27" ht="15" customHeight="1" x14ac:dyDescent="0.25">
      <c r="A2132" t="s">
        <v>153</v>
      </c>
      <c r="L2132"/>
      <c r="M2132"/>
      <c r="N2132"/>
      <c r="O2132"/>
      <c r="P2132"/>
      <c r="T2132">
        <v>1414</v>
      </c>
      <c r="U2132" s="7">
        <v>3</v>
      </c>
      <c r="V2132" t="s">
        <v>613</v>
      </c>
      <c r="W2132" s="257" t="s">
        <v>871</v>
      </c>
      <c r="X2132" t="s">
        <v>872</v>
      </c>
      <c r="Y2132" s="316" t="s">
        <v>484</v>
      </c>
      <c r="Z2132" s="8">
        <v>0.01</v>
      </c>
      <c r="AA2132" s="202" t="str">
        <f t="shared" si="34"/>
        <v>Перец черный</v>
      </c>
    </row>
    <row r="2133" spans="1:27" ht="15" customHeight="1" x14ac:dyDescent="0.25">
      <c r="A2133" t="s">
        <v>153</v>
      </c>
      <c r="L2133"/>
      <c r="M2133"/>
      <c r="N2133"/>
      <c r="O2133"/>
      <c r="P2133"/>
      <c r="T2133">
        <v>1415</v>
      </c>
      <c r="U2133" s="7">
        <v>3</v>
      </c>
      <c r="V2133" t="s">
        <v>613</v>
      </c>
      <c r="W2133" s="257" t="s">
        <v>871</v>
      </c>
      <c r="X2133" t="s">
        <v>872</v>
      </c>
      <c r="Y2133" s="316" t="s">
        <v>558</v>
      </c>
      <c r="Z2133" s="8">
        <v>138.80000000000001</v>
      </c>
      <c r="AA2133" s="202" t="str">
        <f t="shared" si="34"/>
        <v>Общая масса готового блюда, г</v>
      </c>
    </row>
    <row r="2134" spans="1:27" ht="15" customHeight="1" x14ac:dyDescent="0.25">
      <c r="A2134" t="s">
        <v>153</v>
      </c>
      <c r="L2134"/>
      <c r="M2134"/>
      <c r="N2134"/>
      <c r="O2134"/>
      <c r="P2134"/>
      <c r="T2134">
        <v>1415</v>
      </c>
      <c r="U2134" s="7">
        <v>3</v>
      </c>
      <c r="V2134" t="s">
        <v>613</v>
      </c>
      <c r="W2134" s="257" t="s">
        <v>871</v>
      </c>
      <c r="X2134" t="s">
        <v>872</v>
      </c>
      <c r="Y2134" s="316" t="s">
        <v>1214</v>
      </c>
      <c r="Z2134" s="8">
        <v>88.8</v>
      </c>
      <c r="AA2134" s="202" t="str">
        <f t="shared" si="34"/>
        <v>Масса мясных и рыбных порций, г</v>
      </c>
    </row>
    <row r="2135" spans="1:27" ht="15" customHeight="1" x14ac:dyDescent="0.25">
      <c r="A2135" t="s">
        <v>153</v>
      </c>
      <c r="L2135"/>
      <c r="M2135"/>
      <c r="N2135"/>
      <c r="O2135"/>
      <c r="P2135"/>
      <c r="T2135">
        <v>1466</v>
      </c>
      <c r="U2135" s="7">
        <v>3</v>
      </c>
      <c r="V2135" t="s">
        <v>613</v>
      </c>
      <c r="W2135" s="257" t="s">
        <v>873</v>
      </c>
      <c r="X2135" t="s">
        <v>874</v>
      </c>
      <c r="Y2135" s="316" t="s">
        <v>469</v>
      </c>
      <c r="Z2135" s="8">
        <v>120</v>
      </c>
      <c r="AA2135" s="202" t="str">
        <f t="shared" si="34"/>
        <v>Сайда б/г</v>
      </c>
    </row>
    <row r="2136" spans="1:27" ht="15" customHeight="1" x14ac:dyDescent="0.25">
      <c r="A2136" t="s">
        <v>153</v>
      </c>
      <c r="L2136"/>
      <c r="M2136"/>
      <c r="N2136"/>
      <c r="O2136"/>
      <c r="P2136"/>
      <c r="T2136">
        <v>1467</v>
      </c>
      <c r="U2136" s="7">
        <v>3</v>
      </c>
      <c r="V2136" t="s">
        <v>613</v>
      </c>
      <c r="W2136" s="257" t="s">
        <v>873</v>
      </c>
      <c r="X2136" t="s">
        <v>874</v>
      </c>
      <c r="Y2136" s="316" t="s">
        <v>326</v>
      </c>
      <c r="Z2136" s="8">
        <v>2</v>
      </c>
      <c r="AA2136" s="202" t="str">
        <f t="shared" si="34"/>
        <v>Соль</v>
      </c>
    </row>
    <row r="2137" spans="1:27" ht="15" customHeight="1" x14ac:dyDescent="0.25">
      <c r="A2137" t="s">
        <v>153</v>
      </c>
      <c r="L2137"/>
      <c r="M2137"/>
      <c r="N2137"/>
      <c r="O2137"/>
      <c r="P2137"/>
      <c r="T2137">
        <v>1468</v>
      </c>
      <c r="U2137" s="7">
        <v>3</v>
      </c>
      <c r="V2137" t="s">
        <v>613</v>
      </c>
      <c r="W2137" s="257" t="s">
        <v>873</v>
      </c>
      <c r="X2137" t="s">
        <v>874</v>
      </c>
      <c r="Y2137" s="316" t="s">
        <v>61</v>
      </c>
      <c r="Z2137" s="8">
        <v>5</v>
      </c>
      <c r="AA2137" s="202" t="str">
        <f t="shared" si="34"/>
        <v>Масло растительное</v>
      </c>
    </row>
    <row r="2138" spans="1:27" ht="15" customHeight="1" x14ac:dyDescent="0.25">
      <c r="A2138" t="s">
        <v>153</v>
      </c>
      <c r="L2138"/>
      <c r="M2138"/>
      <c r="N2138"/>
      <c r="O2138"/>
      <c r="P2138"/>
      <c r="T2138">
        <v>1469</v>
      </c>
      <c r="U2138" s="7">
        <v>3</v>
      </c>
      <c r="V2138" t="s">
        <v>613</v>
      </c>
      <c r="W2138" s="257" t="s">
        <v>873</v>
      </c>
      <c r="X2138" t="s">
        <v>874</v>
      </c>
      <c r="Y2138" s="316" t="s">
        <v>434</v>
      </c>
      <c r="Z2138" s="8">
        <v>7</v>
      </c>
      <c r="AA2138" s="202" t="str">
        <f t="shared" si="34"/>
        <v>Мука пшеничная 1 с</v>
      </c>
    </row>
    <row r="2139" spans="1:27" ht="15" customHeight="1" x14ac:dyDescent="0.25">
      <c r="A2139" t="s">
        <v>153</v>
      </c>
      <c r="L2139"/>
      <c r="M2139"/>
      <c r="N2139"/>
      <c r="O2139"/>
      <c r="P2139"/>
      <c r="T2139">
        <v>1470</v>
      </c>
      <c r="U2139" s="7">
        <v>3</v>
      </c>
      <c r="V2139" t="s">
        <v>613</v>
      </c>
      <c r="W2139" s="257" t="s">
        <v>873</v>
      </c>
      <c r="X2139" t="s">
        <v>874</v>
      </c>
      <c r="Y2139" s="316" t="s">
        <v>46</v>
      </c>
      <c r="Z2139" s="8">
        <v>10</v>
      </c>
      <c r="AA2139" s="202" t="str">
        <f t="shared" si="34"/>
        <v>Морковь</v>
      </c>
    </row>
    <row r="2140" spans="1:27" ht="15" customHeight="1" x14ac:dyDescent="0.25">
      <c r="A2140" t="s">
        <v>153</v>
      </c>
      <c r="L2140"/>
      <c r="M2140"/>
      <c r="N2140"/>
      <c r="O2140"/>
      <c r="P2140"/>
      <c r="T2140">
        <v>1471</v>
      </c>
      <c r="U2140" s="7">
        <v>3</v>
      </c>
      <c r="V2140" t="s">
        <v>613</v>
      </c>
      <c r="W2140" s="257" t="s">
        <v>873</v>
      </c>
      <c r="X2140" t="s">
        <v>874</v>
      </c>
      <c r="Y2140" s="316" t="s">
        <v>74</v>
      </c>
      <c r="Z2140" s="8">
        <v>0.2</v>
      </c>
      <c r="AA2140" s="202" t="str">
        <f t="shared" si="34"/>
        <v>Лавровый лист</v>
      </c>
    </row>
    <row r="2141" spans="1:27" ht="15" customHeight="1" x14ac:dyDescent="0.25">
      <c r="A2141" t="s">
        <v>153</v>
      </c>
      <c r="L2141"/>
      <c r="M2141"/>
      <c r="N2141"/>
      <c r="O2141"/>
      <c r="P2141"/>
      <c r="T2141">
        <v>1472</v>
      </c>
      <c r="U2141" s="7">
        <v>3</v>
      </c>
      <c r="V2141" t="s">
        <v>613</v>
      </c>
      <c r="W2141" s="257" t="s">
        <v>873</v>
      </c>
      <c r="X2141" t="s">
        <v>874</v>
      </c>
      <c r="Y2141" s="316" t="s">
        <v>32</v>
      </c>
      <c r="Z2141" s="8">
        <v>10</v>
      </c>
      <c r="AA2141" s="202" t="str">
        <f t="shared" si="34"/>
        <v>Лук репчатый</v>
      </c>
    </row>
    <row r="2142" spans="1:27" ht="15" customHeight="1" x14ac:dyDescent="0.25">
      <c r="A2142" t="s">
        <v>153</v>
      </c>
      <c r="L2142"/>
      <c r="M2142"/>
      <c r="N2142"/>
      <c r="O2142"/>
      <c r="P2142"/>
      <c r="T2142">
        <v>1473</v>
      </c>
      <c r="U2142" s="7">
        <v>3</v>
      </c>
      <c r="V2142" t="s">
        <v>613</v>
      </c>
      <c r="W2142" s="257" t="s">
        <v>873</v>
      </c>
      <c r="X2142" t="s">
        <v>874</v>
      </c>
      <c r="Y2142" s="316" t="s">
        <v>76</v>
      </c>
      <c r="Z2142" s="8">
        <v>2</v>
      </c>
      <c r="AA2142" s="202" t="str">
        <f t="shared" si="34"/>
        <v>Томат-паста</v>
      </c>
    </row>
    <row r="2143" spans="1:27" ht="15" customHeight="1" x14ac:dyDescent="0.25">
      <c r="A2143" t="s">
        <v>153</v>
      </c>
      <c r="L2143"/>
      <c r="M2143"/>
      <c r="N2143"/>
      <c r="O2143"/>
      <c r="P2143"/>
      <c r="T2143">
        <v>1474</v>
      </c>
      <c r="U2143" s="7">
        <v>3</v>
      </c>
      <c r="V2143" t="s">
        <v>613</v>
      </c>
      <c r="W2143" s="257" t="s">
        <v>873</v>
      </c>
      <c r="X2143" t="s">
        <v>874</v>
      </c>
      <c r="Y2143" s="316" t="s">
        <v>484</v>
      </c>
      <c r="Z2143" s="8">
        <v>0.01</v>
      </c>
      <c r="AA2143" s="202" t="str">
        <f t="shared" si="34"/>
        <v>Перец черный</v>
      </c>
    </row>
    <row r="2144" spans="1:27" ht="15" customHeight="1" x14ac:dyDescent="0.25">
      <c r="A2144" t="s">
        <v>153</v>
      </c>
      <c r="L2144"/>
      <c r="M2144"/>
      <c r="N2144"/>
      <c r="O2144"/>
      <c r="P2144"/>
      <c r="T2144">
        <v>1475</v>
      </c>
      <c r="U2144" s="7">
        <v>3</v>
      </c>
      <c r="V2144" t="s">
        <v>613</v>
      </c>
      <c r="W2144" s="257" t="s">
        <v>873</v>
      </c>
      <c r="X2144" t="s">
        <v>874</v>
      </c>
      <c r="Y2144" s="316" t="s">
        <v>558</v>
      </c>
      <c r="Z2144" s="8">
        <v>140</v>
      </c>
      <c r="AA2144" s="202" t="str">
        <f t="shared" si="34"/>
        <v>Общая масса готового блюда, г</v>
      </c>
    </row>
    <row r="2145" spans="1:27" ht="15" customHeight="1" x14ac:dyDescent="0.25">
      <c r="A2145" t="s">
        <v>153</v>
      </c>
      <c r="L2145"/>
      <c r="M2145"/>
      <c r="N2145"/>
      <c r="O2145"/>
      <c r="P2145"/>
      <c r="T2145">
        <v>1475</v>
      </c>
      <c r="U2145" s="7">
        <v>3</v>
      </c>
      <c r="V2145" t="s">
        <v>613</v>
      </c>
      <c r="W2145" s="257" t="s">
        <v>873</v>
      </c>
      <c r="X2145" t="s">
        <v>874</v>
      </c>
      <c r="Y2145" s="316" t="s">
        <v>1214</v>
      </c>
      <c r="Z2145" s="8">
        <v>90</v>
      </c>
      <c r="AA2145" s="202" t="str">
        <f t="shared" si="34"/>
        <v>Масса мясных и рыбных порций, г</v>
      </c>
    </row>
    <row r="2146" spans="1:27" ht="15" customHeight="1" x14ac:dyDescent="0.25">
      <c r="A2146" t="s">
        <v>153</v>
      </c>
      <c r="L2146"/>
      <c r="M2146"/>
      <c r="N2146"/>
      <c r="O2146"/>
      <c r="P2146"/>
      <c r="T2146">
        <v>1426</v>
      </c>
      <c r="U2146" s="7">
        <v>3</v>
      </c>
      <c r="V2146" t="s">
        <v>613</v>
      </c>
      <c r="W2146" s="257" t="s">
        <v>875</v>
      </c>
      <c r="X2146" t="s">
        <v>876</v>
      </c>
      <c r="Y2146" t="s">
        <v>514</v>
      </c>
      <c r="Z2146" s="8">
        <v>150</v>
      </c>
      <c r="AA2146" s="202" t="str">
        <f t="shared" si="34"/>
        <v>Сом с/г</v>
      </c>
    </row>
    <row r="2147" spans="1:27" ht="15" customHeight="1" x14ac:dyDescent="0.25">
      <c r="A2147" t="s">
        <v>153</v>
      </c>
      <c r="L2147"/>
      <c r="M2147"/>
      <c r="N2147"/>
      <c r="O2147"/>
      <c r="P2147"/>
      <c r="T2147">
        <v>1427</v>
      </c>
      <c r="U2147" s="7">
        <v>3</v>
      </c>
      <c r="V2147" t="s">
        <v>613</v>
      </c>
      <c r="W2147" s="257" t="s">
        <v>875</v>
      </c>
      <c r="X2147" t="s">
        <v>876</v>
      </c>
      <c r="Y2147" s="316" t="s">
        <v>326</v>
      </c>
      <c r="Z2147" s="8">
        <v>2</v>
      </c>
      <c r="AA2147" s="202" t="str">
        <f t="shared" si="34"/>
        <v>Соль</v>
      </c>
    </row>
    <row r="2148" spans="1:27" ht="15" customHeight="1" x14ac:dyDescent="0.25">
      <c r="A2148" t="s">
        <v>153</v>
      </c>
      <c r="L2148"/>
      <c r="M2148"/>
      <c r="N2148"/>
      <c r="O2148"/>
      <c r="P2148"/>
      <c r="T2148">
        <v>1428</v>
      </c>
      <c r="U2148" s="7">
        <v>3</v>
      </c>
      <c r="V2148" t="s">
        <v>613</v>
      </c>
      <c r="W2148" s="257" t="s">
        <v>875</v>
      </c>
      <c r="X2148" t="s">
        <v>876</v>
      </c>
      <c r="Y2148" s="316" t="s">
        <v>61</v>
      </c>
      <c r="Z2148" s="8">
        <v>5</v>
      </c>
      <c r="AA2148" s="202" t="str">
        <f t="shared" si="34"/>
        <v>Масло растительное</v>
      </c>
    </row>
    <row r="2149" spans="1:27" ht="15" customHeight="1" x14ac:dyDescent="0.25">
      <c r="A2149" t="s">
        <v>153</v>
      </c>
      <c r="L2149"/>
      <c r="M2149"/>
      <c r="N2149"/>
      <c r="O2149"/>
      <c r="P2149"/>
      <c r="T2149">
        <v>1429</v>
      </c>
      <c r="U2149" s="7">
        <v>3</v>
      </c>
      <c r="V2149" t="s">
        <v>613</v>
      </c>
      <c r="W2149" s="257" t="s">
        <v>875</v>
      </c>
      <c r="X2149" t="s">
        <v>876</v>
      </c>
      <c r="Y2149" s="316" t="s">
        <v>434</v>
      </c>
      <c r="Z2149" s="8">
        <v>7</v>
      </c>
      <c r="AA2149" s="202" t="str">
        <f t="shared" si="34"/>
        <v>Мука пшеничная 1 с</v>
      </c>
    </row>
    <row r="2150" spans="1:27" ht="15" customHeight="1" x14ac:dyDescent="0.25">
      <c r="A2150" t="s">
        <v>153</v>
      </c>
      <c r="L2150"/>
      <c r="M2150"/>
      <c r="N2150"/>
      <c r="O2150"/>
      <c r="P2150"/>
      <c r="T2150">
        <v>1430</v>
      </c>
      <c r="U2150" s="7">
        <v>3</v>
      </c>
      <c r="V2150" t="s">
        <v>613</v>
      </c>
      <c r="W2150" s="257" t="s">
        <v>875</v>
      </c>
      <c r="X2150" t="s">
        <v>876</v>
      </c>
      <c r="Y2150" s="316" t="s">
        <v>46</v>
      </c>
      <c r="Z2150" s="8">
        <v>10</v>
      </c>
      <c r="AA2150" s="202" t="str">
        <f t="shared" si="34"/>
        <v>Морковь</v>
      </c>
    </row>
    <row r="2151" spans="1:27" ht="15" customHeight="1" x14ac:dyDescent="0.25">
      <c r="A2151" t="s">
        <v>153</v>
      </c>
      <c r="L2151"/>
      <c r="M2151"/>
      <c r="N2151"/>
      <c r="O2151"/>
      <c r="P2151"/>
      <c r="T2151">
        <v>1431</v>
      </c>
      <c r="U2151" s="7">
        <v>3</v>
      </c>
      <c r="V2151" t="s">
        <v>613</v>
      </c>
      <c r="W2151" s="257" t="s">
        <v>875</v>
      </c>
      <c r="X2151" t="s">
        <v>876</v>
      </c>
      <c r="Y2151" s="316" t="s">
        <v>74</v>
      </c>
      <c r="Z2151" s="8">
        <v>0.2</v>
      </c>
      <c r="AA2151" s="202" t="str">
        <f t="shared" si="34"/>
        <v>Лавровый лист</v>
      </c>
    </row>
    <row r="2152" spans="1:27" ht="15" customHeight="1" x14ac:dyDescent="0.25">
      <c r="A2152" t="s">
        <v>153</v>
      </c>
      <c r="L2152"/>
      <c r="M2152"/>
      <c r="N2152"/>
      <c r="O2152"/>
      <c r="P2152"/>
      <c r="T2152">
        <v>1432</v>
      </c>
      <c r="U2152" s="7">
        <v>3</v>
      </c>
      <c r="V2152" t="s">
        <v>613</v>
      </c>
      <c r="W2152" s="257" t="s">
        <v>875</v>
      </c>
      <c r="X2152" t="s">
        <v>876</v>
      </c>
      <c r="Y2152" s="316" t="s">
        <v>32</v>
      </c>
      <c r="Z2152" s="8">
        <v>10</v>
      </c>
      <c r="AA2152" s="202" t="str">
        <f t="shared" si="34"/>
        <v>Лук репчатый</v>
      </c>
    </row>
    <row r="2153" spans="1:27" ht="15" customHeight="1" x14ac:dyDescent="0.25">
      <c r="A2153" t="s">
        <v>153</v>
      </c>
      <c r="L2153"/>
      <c r="M2153"/>
      <c r="N2153"/>
      <c r="O2153"/>
      <c r="P2153"/>
      <c r="T2153">
        <v>1433</v>
      </c>
      <c r="U2153" s="7">
        <v>3</v>
      </c>
      <c r="V2153" t="s">
        <v>613</v>
      </c>
      <c r="W2153" s="257" t="s">
        <v>875</v>
      </c>
      <c r="X2153" t="s">
        <v>876</v>
      </c>
      <c r="Y2153" s="316" t="s">
        <v>76</v>
      </c>
      <c r="Z2153" s="8">
        <v>2</v>
      </c>
      <c r="AA2153" s="202" t="str">
        <f t="shared" si="34"/>
        <v>Томат-паста</v>
      </c>
    </row>
    <row r="2154" spans="1:27" ht="15" customHeight="1" x14ac:dyDescent="0.25">
      <c r="A2154" t="s">
        <v>153</v>
      </c>
      <c r="L2154"/>
      <c r="M2154"/>
      <c r="N2154"/>
      <c r="O2154"/>
      <c r="P2154"/>
      <c r="T2154">
        <v>1434</v>
      </c>
      <c r="U2154" s="7">
        <v>3</v>
      </c>
      <c r="V2154" t="s">
        <v>613</v>
      </c>
      <c r="W2154" s="257" t="s">
        <v>875</v>
      </c>
      <c r="X2154" t="s">
        <v>876</v>
      </c>
      <c r="Y2154" s="316" t="s">
        <v>484</v>
      </c>
      <c r="Z2154" s="8">
        <v>0.01</v>
      </c>
      <c r="AA2154" s="202" t="str">
        <f t="shared" si="34"/>
        <v>Перец черный</v>
      </c>
    </row>
    <row r="2155" spans="1:27" ht="15" customHeight="1" x14ac:dyDescent="0.25">
      <c r="A2155" t="s">
        <v>153</v>
      </c>
      <c r="L2155"/>
      <c r="M2155"/>
      <c r="N2155"/>
      <c r="O2155"/>
      <c r="P2155"/>
      <c r="T2155">
        <v>1435</v>
      </c>
      <c r="U2155" s="7">
        <v>3</v>
      </c>
      <c r="V2155" t="s">
        <v>613</v>
      </c>
      <c r="W2155" s="257" t="s">
        <v>875</v>
      </c>
      <c r="X2155" t="s">
        <v>876</v>
      </c>
      <c r="Y2155" s="316" t="s">
        <v>558</v>
      </c>
      <c r="Z2155" s="8">
        <v>104</v>
      </c>
      <c r="AA2155" s="202" t="str">
        <f t="shared" si="34"/>
        <v>Общая масса готового блюда, г</v>
      </c>
    </row>
    <row r="2156" spans="1:27" ht="15" customHeight="1" x14ac:dyDescent="0.25">
      <c r="A2156" t="s">
        <v>153</v>
      </c>
      <c r="L2156"/>
      <c r="M2156"/>
      <c r="N2156"/>
      <c r="O2156"/>
      <c r="P2156"/>
      <c r="T2156">
        <v>1435</v>
      </c>
      <c r="U2156" s="7">
        <v>3</v>
      </c>
      <c r="V2156" t="s">
        <v>613</v>
      </c>
      <c r="W2156" s="257" t="s">
        <v>875</v>
      </c>
      <c r="X2156" t="s">
        <v>876</v>
      </c>
      <c r="Y2156" s="316" t="s">
        <v>1214</v>
      </c>
      <c r="Z2156" s="8">
        <v>74</v>
      </c>
      <c r="AA2156" s="202" t="str">
        <f t="shared" si="34"/>
        <v>Масса мясных и рыбных порций, г</v>
      </c>
    </row>
    <row r="2157" spans="1:27" ht="15" customHeight="1" x14ac:dyDescent="0.25">
      <c r="A2157" t="s">
        <v>153</v>
      </c>
      <c r="L2157"/>
      <c r="M2157"/>
      <c r="N2157"/>
      <c r="O2157"/>
      <c r="P2157"/>
      <c r="T2157">
        <v>1396</v>
      </c>
      <c r="U2157" s="7">
        <v>3</v>
      </c>
      <c r="V2157" t="s">
        <v>613</v>
      </c>
      <c r="W2157" s="257" t="s">
        <v>877</v>
      </c>
      <c r="X2157" t="s">
        <v>878</v>
      </c>
      <c r="Y2157" s="316" t="s">
        <v>544</v>
      </c>
      <c r="Z2157" s="8">
        <v>120</v>
      </c>
      <c r="AA2157" s="202" t="str">
        <f t="shared" si="34"/>
        <v>Треска б/г</v>
      </c>
    </row>
    <row r="2158" spans="1:27" ht="15" customHeight="1" x14ac:dyDescent="0.25">
      <c r="A2158" t="s">
        <v>153</v>
      </c>
      <c r="L2158"/>
      <c r="M2158"/>
      <c r="N2158"/>
      <c r="O2158"/>
      <c r="P2158"/>
      <c r="T2158">
        <v>1397</v>
      </c>
      <c r="U2158" s="7">
        <v>3</v>
      </c>
      <c r="V2158" t="s">
        <v>613</v>
      </c>
      <c r="W2158" s="257" t="s">
        <v>877</v>
      </c>
      <c r="X2158" t="s">
        <v>878</v>
      </c>
      <c r="Y2158" s="316" t="s">
        <v>326</v>
      </c>
      <c r="Z2158" s="8">
        <v>2</v>
      </c>
      <c r="AA2158" s="202" t="str">
        <f t="shared" si="34"/>
        <v>Соль</v>
      </c>
    </row>
    <row r="2159" spans="1:27" ht="15" customHeight="1" x14ac:dyDescent="0.25">
      <c r="A2159" t="s">
        <v>153</v>
      </c>
      <c r="L2159"/>
      <c r="M2159"/>
      <c r="N2159"/>
      <c r="O2159"/>
      <c r="P2159"/>
      <c r="T2159">
        <v>1398</v>
      </c>
      <c r="U2159" s="7">
        <v>3</v>
      </c>
      <c r="V2159" t="s">
        <v>613</v>
      </c>
      <c r="W2159" s="257" t="s">
        <v>877</v>
      </c>
      <c r="X2159" t="s">
        <v>878</v>
      </c>
      <c r="Y2159" s="316" t="s">
        <v>61</v>
      </c>
      <c r="Z2159" s="8">
        <v>5</v>
      </c>
      <c r="AA2159" s="202" t="str">
        <f t="shared" si="34"/>
        <v>Масло растительное</v>
      </c>
    </row>
    <row r="2160" spans="1:27" ht="15" customHeight="1" x14ac:dyDescent="0.25">
      <c r="A2160" t="s">
        <v>153</v>
      </c>
      <c r="L2160"/>
      <c r="M2160"/>
      <c r="N2160"/>
      <c r="O2160"/>
      <c r="P2160"/>
      <c r="T2160">
        <v>1399</v>
      </c>
      <c r="U2160" s="7">
        <v>3</v>
      </c>
      <c r="V2160" t="s">
        <v>613</v>
      </c>
      <c r="W2160" s="257" t="s">
        <v>877</v>
      </c>
      <c r="X2160" t="s">
        <v>878</v>
      </c>
      <c r="Y2160" s="316" t="s">
        <v>434</v>
      </c>
      <c r="Z2160" s="8">
        <v>7</v>
      </c>
      <c r="AA2160" s="202" t="str">
        <f t="shared" si="34"/>
        <v>Мука пшеничная 1 с</v>
      </c>
    </row>
    <row r="2161" spans="1:27" ht="15" customHeight="1" x14ac:dyDescent="0.25">
      <c r="A2161" t="s">
        <v>153</v>
      </c>
      <c r="L2161"/>
      <c r="M2161"/>
      <c r="N2161"/>
      <c r="O2161"/>
      <c r="P2161"/>
      <c r="T2161">
        <v>1400</v>
      </c>
      <c r="U2161" s="7">
        <v>3</v>
      </c>
      <c r="V2161" t="s">
        <v>613</v>
      </c>
      <c r="W2161" s="257" t="s">
        <v>877</v>
      </c>
      <c r="X2161" t="s">
        <v>878</v>
      </c>
      <c r="Y2161" s="316" t="s">
        <v>46</v>
      </c>
      <c r="Z2161" s="8">
        <v>10</v>
      </c>
      <c r="AA2161" s="202" t="str">
        <f t="shared" si="34"/>
        <v>Морковь</v>
      </c>
    </row>
    <row r="2162" spans="1:27" ht="15" customHeight="1" x14ac:dyDescent="0.25">
      <c r="A2162" t="s">
        <v>153</v>
      </c>
      <c r="L2162"/>
      <c r="M2162"/>
      <c r="N2162"/>
      <c r="O2162"/>
      <c r="P2162"/>
      <c r="T2162">
        <v>1401</v>
      </c>
      <c r="U2162" s="7">
        <v>3</v>
      </c>
      <c r="V2162" t="s">
        <v>613</v>
      </c>
      <c r="W2162" s="257" t="s">
        <v>877</v>
      </c>
      <c r="X2162" t="s">
        <v>878</v>
      </c>
      <c r="Y2162" s="316" t="s">
        <v>74</v>
      </c>
      <c r="Z2162" s="8">
        <v>0.2</v>
      </c>
      <c r="AA2162" s="202" t="str">
        <f t="shared" si="34"/>
        <v>Лавровый лист</v>
      </c>
    </row>
    <row r="2163" spans="1:27" ht="15" customHeight="1" x14ac:dyDescent="0.25">
      <c r="A2163" t="s">
        <v>153</v>
      </c>
      <c r="L2163"/>
      <c r="M2163"/>
      <c r="N2163"/>
      <c r="O2163"/>
      <c r="P2163"/>
      <c r="T2163">
        <v>1402</v>
      </c>
      <c r="U2163" s="7">
        <v>3</v>
      </c>
      <c r="V2163" t="s">
        <v>613</v>
      </c>
      <c r="W2163" s="257" t="s">
        <v>877</v>
      </c>
      <c r="X2163" t="s">
        <v>878</v>
      </c>
      <c r="Y2163" s="316" t="s">
        <v>32</v>
      </c>
      <c r="Z2163" s="8">
        <v>10</v>
      </c>
      <c r="AA2163" s="202" t="str">
        <f t="shared" si="34"/>
        <v>Лук репчатый</v>
      </c>
    </row>
    <row r="2164" spans="1:27" ht="15" customHeight="1" x14ac:dyDescent="0.25">
      <c r="A2164" t="s">
        <v>153</v>
      </c>
      <c r="L2164"/>
      <c r="M2164"/>
      <c r="N2164"/>
      <c r="O2164"/>
      <c r="P2164"/>
      <c r="T2164">
        <v>1403</v>
      </c>
      <c r="U2164" s="7">
        <v>3</v>
      </c>
      <c r="V2164" t="s">
        <v>613</v>
      </c>
      <c r="W2164" s="257" t="s">
        <v>877</v>
      </c>
      <c r="X2164" t="s">
        <v>878</v>
      </c>
      <c r="Y2164" s="316" t="s">
        <v>76</v>
      </c>
      <c r="Z2164" s="8">
        <v>2</v>
      </c>
      <c r="AA2164" s="202" t="str">
        <f t="shared" si="34"/>
        <v>Томат-паста</v>
      </c>
    </row>
    <row r="2165" spans="1:27" ht="15" customHeight="1" x14ac:dyDescent="0.25">
      <c r="A2165" t="s">
        <v>153</v>
      </c>
      <c r="L2165"/>
      <c r="M2165"/>
      <c r="N2165"/>
      <c r="O2165"/>
      <c r="P2165"/>
      <c r="T2165">
        <v>1404</v>
      </c>
      <c r="U2165" s="7">
        <v>3</v>
      </c>
      <c r="V2165" t="s">
        <v>613</v>
      </c>
      <c r="W2165" s="257" t="s">
        <v>877</v>
      </c>
      <c r="X2165" t="s">
        <v>878</v>
      </c>
      <c r="Y2165" s="316" t="s">
        <v>484</v>
      </c>
      <c r="Z2165" s="8">
        <v>0.01</v>
      </c>
      <c r="AA2165" s="202" t="str">
        <f t="shared" si="34"/>
        <v>Перец черный</v>
      </c>
    </row>
    <row r="2166" spans="1:27" ht="15" customHeight="1" x14ac:dyDescent="0.25">
      <c r="A2166" t="s">
        <v>153</v>
      </c>
      <c r="L2166"/>
      <c r="M2166"/>
      <c r="N2166"/>
      <c r="O2166"/>
      <c r="P2166"/>
      <c r="T2166">
        <v>1405</v>
      </c>
      <c r="U2166" s="7">
        <v>3</v>
      </c>
      <c r="V2166" t="s">
        <v>613</v>
      </c>
      <c r="W2166" s="257" t="s">
        <v>877</v>
      </c>
      <c r="X2166" t="s">
        <v>878</v>
      </c>
      <c r="Y2166" s="316" t="s">
        <v>558</v>
      </c>
      <c r="Z2166" s="8">
        <v>138.80000000000001</v>
      </c>
      <c r="AA2166" s="202" t="str">
        <f t="shared" si="34"/>
        <v>Общая масса готового блюда, г</v>
      </c>
    </row>
    <row r="2167" spans="1:27" ht="15" customHeight="1" x14ac:dyDescent="0.25">
      <c r="A2167" t="s">
        <v>153</v>
      </c>
      <c r="L2167"/>
      <c r="M2167"/>
      <c r="N2167"/>
      <c r="O2167"/>
      <c r="P2167"/>
      <c r="T2167">
        <v>1405</v>
      </c>
      <c r="U2167" s="7">
        <v>3</v>
      </c>
      <c r="V2167" t="s">
        <v>613</v>
      </c>
      <c r="W2167" s="257" t="s">
        <v>877</v>
      </c>
      <c r="X2167" t="s">
        <v>878</v>
      </c>
      <c r="Y2167" s="316" t="s">
        <v>1214</v>
      </c>
      <c r="Z2167" s="8">
        <v>80.8</v>
      </c>
      <c r="AA2167" s="202" t="str">
        <f t="shared" si="34"/>
        <v>Масса мясных и рыбных порций, г</v>
      </c>
    </row>
    <row r="2168" spans="1:27" ht="15" customHeight="1" x14ac:dyDescent="0.25">
      <c r="A2168" t="s">
        <v>153</v>
      </c>
      <c r="L2168"/>
      <c r="M2168"/>
      <c r="N2168"/>
      <c r="O2168"/>
      <c r="P2168"/>
      <c r="T2168">
        <v>1496</v>
      </c>
      <c r="U2168" s="7">
        <v>3</v>
      </c>
      <c r="V2168" t="s">
        <v>613</v>
      </c>
      <c r="W2168" s="257" t="s">
        <v>879</v>
      </c>
      <c r="X2168" t="s">
        <v>880</v>
      </c>
      <c r="Y2168" s="316" t="s">
        <v>517</v>
      </c>
      <c r="Z2168" s="8">
        <v>120</v>
      </c>
      <c r="AA2168" s="202" t="str">
        <f t="shared" si="34"/>
        <v>Хек б/г</v>
      </c>
    </row>
    <row r="2169" spans="1:27" ht="15" customHeight="1" x14ac:dyDescent="0.25">
      <c r="A2169" t="s">
        <v>153</v>
      </c>
      <c r="L2169"/>
      <c r="M2169"/>
      <c r="N2169"/>
      <c r="O2169"/>
      <c r="P2169"/>
      <c r="T2169">
        <v>1497</v>
      </c>
      <c r="U2169" s="7">
        <v>3</v>
      </c>
      <c r="V2169" t="s">
        <v>613</v>
      </c>
      <c r="W2169" s="257" t="s">
        <v>879</v>
      </c>
      <c r="X2169" t="s">
        <v>880</v>
      </c>
      <c r="Y2169" s="316" t="s">
        <v>326</v>
      </c>
      <c r="Z2169" s="8">
        <v>2</v>
      </c>
      <c r="AA2169" s="202" t="str">
        <f t="shared" si="34"/>
        <v>Соль</v>
      </c>
    </row>
    <row r="2170" spans="1:27" ht="15" customHeight="1" x14ac:dyDescent="0.25">
      <c r="A2170" t="s">
        <v>153</v>
      </c>
      <c r="L2170"/>
      <c r="M2170"/>
      <c r="N2170"/>
      <c r="O2170"/>
      <c r="P2170"/>
      <c r="T2170">
        <v>1498</v>
      </c>
      <c r="U2170" s="7">
        <v>3</v>
      </c>
      <c r="V2170" t="s">
        <v>613</v>
      </c>
      <c r="W2170" s="257" t="s">
        <v>879</v>
      </c>
      <c r="X2170" t="s">
        <v>880</v>
      </c>
      <c r="Y2170" s="316" t="s">
        <v>61</v>
      </c>
      <c r="Z2170" s="8">
        <v>5</v>
      </c>
      <c r="AA2170" s="202" t="str">
        <f t="shared" si="34"/>
        <v>Масло растительное</v>
      </c>
    </row>
    <row r="2171" spans="1:27" ht="15" customHeight="1" x14ac:dyDescent="0.25">
      <c r="A2171" t="s">
        <v>153</v>
      </c>
      <c r="L2171"/>
      <c r="M2171"/>
      <c r="N2171"/>
      <c r="O2171"/>
      <c r="P2171"/>
      <c r="T2171">
        <v>1499</v>
      </c>
      <c r="U2171" s="7">
        <v>3</v>
      </c>
      <c r="V2171" t="s">
        <v>613</v>
      </c>
      <c r="W2171" s="257" t="s">
        <v>879</v>
      </c>
      <c r="X2171" t="s">
        <v>880</v>
      </c>
      <c r="Y2171" s="316" t="s">
        <v>434</v>
      </c>
      <c r="Z2171" s="8">
        <v>7</v>
      </c>
      <c r="AA2171" s="202" t="str">
        <f t="shared" si="34"/>
        <v>Мука пшеничная 1 с</v>
      </c>
    </row>
    <row r="2172" spans="1:27" ht="15" customHeight="1" x14ac:dyDescent="0.25">
      <c r="A2172" t="s">
        <v>153</v>
      </c>
      <c r="L2172"/>
      <c r="M2172"/>
      <c r="N2172"/>
      <c r="O2172"/>
      <c r="P2172"/>
      <c r="T2172">
        <v>1500</v>
      </c>
      <c r="U2172" s="7">
        <v>3</v>
      </c>
      <c r="V2172" t="s">
        <v>613</v>
      </c>
      <c r="W2172" s="257" t="s">
        <v>879</v>
      </c>
      <c r="X2172" t="s">
        <v>880</v>
      </c>
      <c r="Y2172" s="316" t="s">
        <v>46</v>
      </c>
      <c r="Z2172" s="8">
        <v>10</v>
      </c>
      <c r="AA2172" s="202" t="str">
        <f t="shared" si="34"/>
        <v>Морковь</v>
      </c>
    </row>
    <row r="2173" spans="1:27" ht="15" customHeight="1" x14ac:dyDescent="0.25">
      <c r="A2173" t="s">
        <v>153</v>
      </c>
      <c r="L2173"/>
      <c r="M2173"/>
      <c r="N2173"/>
      <c r="O2173"/>
      <c r="P2173"/>
      <c r="T2173">
        <v>1501</v>
      </c>
      <c r="U2173" s="7">
        <v>3</v>
      </c>
      <c r="V2173" t="s">
        <v>613</v>
      </c>
      <c r="W2173" s="257" t="s">
        <v>879</v>
      </c>
      <c r="X2173" t="s">
        <v>880</v>
      </c>
      <c r="Y2173" s="316" t="s">
        <v>74</v>
      </c>
      <c r="Z2173" s="8">
        <v>0.2</v>
      </c>
      <c r="AA2173" s="202" t="str">
        <f t="shared" si="34"/>
        <v>Лавровый лист</v>
      </c>
    </row>
    <row r="2174" spans="1:27" ht="15" customHeight="1" x14ac:dyDescent="0.25">
      <c r="A2174" t="s">
        <v>153</v>
      </c>
      <c r="L2174"/>
      <c r="M2174"/>
      <c r="N2174"/>
      <c r="O2174"/>
      <c r="P2174"/>
      <c r="T2174">
        <v>1502</v>
      </c>
      <c r="U2174" s="7">
        <v>3</v>
      </c>
      <c r="V2174" t="s">
        <v>613</v>
      </c>
      <c r="W2174" s="257" t="s">
        <v>879</v>
      </c>
      <c r="X2174" t="s">
        <v>880</v>
      </c>
      <c r="Y2174" s="316" t="s">
        <v>32</v>
      </c>
      <c r="Z2174" s="8">
        <v>10</v>
      </c>
      <c r="AA2174" s="202" t="str">
        <f t="shared" si="34"/>
        <v>Лук репчатый</v>
      </c>
    </row>
    <row r="2175" spans="1:27" ht="15" customHeight="1" x14ac:dyDescent="0.25">
      <c r="A2175" t="s">
        <v>153</v>
      </c>
      <c r="L2175"/>
      <c r="M2175"/>
      <c r="N2175"/>
      <c r="O2175"/>
      <c r="P2175"/>
      <c r="T2175">
        <v>1503</v>
      </c>
      <c r="U2175" s="7">
        <v>3</v>
      </c>
      <c r="V2175" t="s">
        <v>613</v>
      </c>
      <c r="W2175" s="257" t="s">
        <v>879</v>
      </c>
      <c r="X2175" t="s">
        <v>880</v>
      </c>
      <c r="Y2175" s="316" t="s">
        <v>76</v>
      </c>
      <c r="Z2175" s="8">
        <v>2</v>
      </c>
      <c r="AA2175" s="202" t="str">
        <f t="shared" si="34"/>
        <v>Томат-паста</v>
      </c>
    </row>
    <row r="2176" spans="1:27" ht="15" customHeight="1" x14ac:dyDescent="0.25">
      <c r="A2176" t="s">
        <v>153</v>
      </c>
      <c r="L2176"/>
      <c r="M2176"/>
      <c r="N2176"/>
      <c r="O2176"/>
      <c r="P2176"/>
      <c r="T2176">
        <v>1504</v>
      </c>
      <c r="U2176" s="7">
        <v>3</v>
      </c>
      <c r="V2176" t="s">
        <v>613</v>
      </c>
      <c r="W2176" s="257" t="s">
        <v>879</v>
      </c>
      <c r="X2176" t="s">
        <v>880</v>
      </c>
      <c r="Y2176" s="316" t="s">
        <v>484</v>
      </c>
      <c r="Z2176" s="8">
        <v>0.01</v>
      </c>
      <c r="AA2176" s="202" t="str">
        <f t="shared" si="34"/>
        <v>Перец черный</v>
      </c>
    </row>
    <row r="2177" spans="1:27" ht="15" customHeight="1" x14ac:dyDescent="0.25">
      <c r="A2177" t="s">
        <v>153</v>
      </c>
      <c r="L2177"/>
      <c r="M2177"/>
      <c r="N2177"/>
      <c r="O2177"/>
      <c r="P2177"/>
      <c r="T2177">
        <v>1505</v>
      </c>
      <c r="U2177" s="7">
        <v>3</v>
      </c>
      <c r="V2177" t="s">
        <v>613</v>
      </c>
      <c r="W2177" s="257" t="s">
        <v>879</v>
      </c>
      <c r="X2177" t="s">
        <v>880</v>
      </c>
      <c r="Y2177" s="316" t="s">
        <v>558</v>
      </c>
      <c r="Z2177" s="8">
        <v>150.20400000000001</v>
      </c>
      <c r="AA2177" s="202" t="str">
        <f t="shared" si="34"/>
        <v>Общая масса готового блюда, г</v>
      </c>
    </row>
    <row r="2178" spans="1:27" ht="15" customHeight="1" x14ac:dyDescent="0.25">
      <c r="A2178" t="s">
        <v>153</v>
      </c>
      <c r="L2178"/>
      <c r="M2178"/>
      <c r="N2178"/>
      <c r="O2178"/>
      <c r="P2178"/>
      <c r="T2178">
        <v>1505</v>
      </c>
      <c r="U2178" s="7">
        <v>3</v>
      </c>
      <c r="V2178" t="s">
        <v>613</v>
      </c>
      <c r="W2178" s="257" t="s">
        <v>879</v>
      </c>
      <c r="X2178" t="s">
        <v>880</v>
      </c>
      <c r="Y2178" s="316" t="s">
        <v>1214</v>
      </c>
      <c r="Z2178" s="8">
        <v>100.2</v>
      </c>
      <c r="AA2178" s="202" t="str">
        <f t="shared" ref="AA2178:AA2241" si="35">VLOOKUP(Y2178,O:P,2,FALSE)</f>
        <v>Масса мясных и рыбных порций, г</v>
      </c>
    </row>
    <row r="2179" spans="1:27" ht="15" customHeight="1" x14ac:dyDescent="0.25">
      <c r="A2179" t="s">
        <v>153</v>
      </c>
      <c r="L2179"/>
      <c r="M2179"/>
      <c r="N2179"/>
      <c r="O2179"/>
      <c r="P2179"/>
      <c r="T2179">
        <v>1486</v>
      </c>
      <c r="U2179" s="7">
        <v>3</v>
      </c>
      <c r="V2179" t="s">
        <v>613</v>
      </c>
      <c r="W2179" s="257" t="s">
        <v>881</v>
      </c>
      <c r="X2179" t="s">
        <v>882</v>
      </c>
      <c r="Y2179" s="316" t="s">
        <v>518</v>
      </c>
      <c r="Z2179" s="8">
        <v>120</v>
      </c>
      <c r="AA2179" s="202" t="str">
        <f t="shared" si="35"/>
        <v>Щука б/г</v>
      </c>
    </row>
    <row r="2180" spans="1:27" ht="15" customHeight="1" x14ac:dyDescent="0.25">
      <c r="A2180" t="s">
        <v>153</v>
      </c>
      <c r="L2180"/>
      <c r="M2180"/>
      <c r="N2180"/>
      <c r="O2180"/>
      <c r="P2180"/>
      <c r="T2180">
        <v>1487</v>
      </c>
      <c r="U2180" s="7">
        <v>3</v>
      </c>
      <c r="V2180" t="s">
        <v>613</v>
      </c>
      <c r="W2180" s="257" t="s">
        <v>881</v>
      </c>
      <c r="X2180" t="s">
        <v>882</v>
      </c>
      <c r="Y2180" s="316" t="s">
        <v>326</v>
      </c>
      <c r="Z2180" s="8">
        <v>2</v>
      </c>
      <c r="AA2180" s="202" t="str">
        <f t="shared" si="35"/>
        <v>Соль</v>
      </c>
    </row>
    <row r="2181" spans="1:27" ht="15" customHeight="1" x14ac:dyDescent="0.25">
      <c r="A2181" t="s">
        <v>153</v>
      </c>
      <c r="L2181"/>
      <c r="M2181"/>
      <c r="N2181"/>
      <c r="O2181"/>
      <c r="P2181"/>
      <c r="T2181">
        <v>1488</v>
      </c>
      <c r="U2181" s="7">
        <v>3</v>
      </c>
      <c r="V2181" t="s">
        <v>613</v>
      </c>
      <c r="W2181" s="257" t="s">
        <v>881</v>
      </c>
      <c r="X2181" t="s">
        <v>882</v>
      </c>
      <c r="Y2181" s="316" t="s">
        <v>61</v>
      </c>
      <c r="Z2181" s="8">
        <v>5</v>
      </c>
      <c r="AA2181" s="202" t="str">
        <f t="shared" si="35"/>
        <v>Масло растительное</v>
      </c>
    </row>
    <row r="2182" spans="1:27" ht="15" customHeight="1" x14ac:dyDescent="0.25">
      <c r="A2182" t="s">
        <v>153</v>
      </c>
      <c r="L2182"/>
      <c r="M2182"/>
      <c r="N2182"/>
      <c r="O2182"/>
      <c r="P2182"/>
      <c r="T2182">
        <v>1489</v>
      </c>
      <c r="U2182" s="7">
        <v>3</v>
      </c>
      <c r="V2182" t="s">
        <v>613</v>
      </c>
      <c r="W2182" s="257" t="s">
        <v>881</v>
      </c>
      <c r="X2182" t="s">
        <v>882</v>
      </c>
      <c r="Y2182" s="316" t="s">
        <v>434</v>
      </c>
      <c r="Z2182" s="8">
        <v>7</v>
      </c>
      <c r="AA2182" s="202" t="str">
        <f t="shared" si="35"/>
        <v>Мука пшеничная 1 с</v>
      </c>
    </row>
    <row r="2183" spans="1:27" ht="15" customHeight="1" x14ac:dyDescent="0.25">
      <c r="A2183" t="s">
        <v>153</v>
      </c>
      <c r="L2183"/>
      <c r="M2183"/>
      <c r="N2183"/>
      <c r="O2183"/>
      <c r="P2183"/>
      <c r="T2183">
        <v>1490</v>
      </c>
      <c r="U2183" s="7">
        <v>3</v>
      </c>
      <c r="V2183" t="s">
        <v>613</v>
      </c>
      <c r="W2183" s="257" t="s">
        <v>881</v>
      </c>
      <c r="X2183" t="s">
        <v>882</v>
      </c>
      <c r="Y2183" s="316" t="s">
        <v>46</v>
      </c>
      <c r="Z2183" s="8">
        <v>10</v>
      </c>
      <c r="AA2183" s="202" t="str">
        <f t="shared" si="35"/>
        <v>Морковь</v>
      </c>
    </row>
    <row r="2184" spans="1:27" ht="15" customHeight="1" x14ac:dyDescent="0.25">
      <c r="A2184" t="s">
        <v>153</v>
      </c>
      <c r="L2184"/>
      <c r="M2184"/>
      <c r="N2184"/>
      <c r="O2184"/>
      <c r="P2184"/>
      <c r="T2184">
        <v>1491</v>
      </c>
      <c r="U2184" s="7">
        <v>3</v>
      </c>
      <c r="V2184" t="s">
        <v>613</v>
      </c>
      <c r="W2184" s="257" t="s">
        <v>881</v>
      </c>
      <c r="X2184" t="s">
        <v>882</v>
      </c>
      <c r="Y2184" s="316" t="s">
        <v>74</v>
      </c>
      <c r="Z2184" s="8">
        <v>0.2</v>
      </c>
      <c r="AA2184" s="202" t="str">
        <f t="shared" si="35"/>
        <v>Лавровый лист</v>
      </c>
    </row>
    <row r="2185" spans="1:27" ht="15" customHeight="1" x14ac:dyDescent="0.25">
      <c r="A2185" t="s">
        <v>153</v>
      </c>
      <c r="L2185"/>
      <c r="M2185"/>
      <c r="N2185"/>
      <c r="O2185"/>
      <c r="P2185"/>
      <c r="T2185">
        <v>1492</v>
      </c>
      <c r="U2185" s="7">
        <v>3</v>
      </c>
      <c r="V2185" t="s">
        <v>613</v>
      </c>
      <c r="W2185" s="257" t="s">
        <v>881</v>
      </c>
      <c r="X2185" t="s">
        <v>882</v>
      </c>
      <c r="Y2185" s="316" t="s">
        <v>32</v>
      </c>
      <c r="Z2185" s="8">
        <v>10</v>
      </c>
      <c r="AA2185" s="202" t="str">
        <f t="shared" si="35"/>
        <v>Лук репчатый</v>
      </c>
    </row>
    <row r="2186" spans="1:27" ht="15" customHeight="1" x14ac:dyDescent="0.25">
      <c r="A2186" t="s">
        <v>153</v>
      </c>
      <c r="L2186"/>
      <c r="M2186"/>
      <c r="N2186"/>
      <c r="O2186"/>
      <c r="P2186"/>
      <c r="T2186">
        <v>1493</v>
      </c>
      <c r="U2186" s="7">
        <v>3</v>
      </c>
      <c r="V2186" t="s">
        <v>613</v>
      </c>
      <c r="W2186" s="257" t="s">
        <v>881</v>
      </c>
      <c r="X2186" t="s">
        <v>882</v>
      </c>
      <c r="Y2186" s="316" t="s">
        <v>76</v>
      </c>
      <c r="Z2186" s="8">
        <v>2</v>
      </c>
      <c r="AA2186" s="202" t="str">
        <f t="shared" si="35"/>
        <v>Томат-паста</v>
      </c>
    </row>
    <row r="2187" spans="1:27" ht="15" customHeight="1" x14ac:dyDescent="0.25">
      <c r="A2187" t="s">
        <v>153</v>
      </c>
      <c r="L2187"/>
      <c r="M2187"/>
      <c r="N2187"/>
      <c r="O2187"/>
      <c r="P2187"/>
      <c r="T2187">
        <v>1494</v>
      </c>
      <c r="U2187" s="7">
        <v>3</v>
      </c>
      <c r="V2187" t="s">
        <v>613</v>
      </c>
      <c r="W2187" s="257" t="s">
        <v>881</v>
      </c>
      <c r="X2187" t="s">
        <v>882</v>
      </c>
      <c r="Y2187" s="316" t="s">
        <v>484</v>
      </c>
      <c r="Z2187" s="8">
        <v>0.01</v>
      </c>
      <c r="AA2187" s="202" t="str">
        <f t="shared" si="35"/>
        <v>Перец черный</v>
      </c>
    </row>
    <row r="2188" spans="1:27" ht="15" customHeight="1" x14ac:dyDescent="0.25">
      <c r="A2188" t="s">
        <v>153</v>
      </c>
      <c r="L2188"/>
      <c r="M2188"/>
      <c r="N2188"/>
      <c r="O2188"/>
      <c r="P2188"/>
      <c r="T2188">
        <v>1495</v>
      </c>
      <c r="U2188" s="7">
        <v>3</v>
      </c>
      <c r="V2188" t="s">
        <v>613</v>
      </c>
      <c r="W2188" s="257" t="s">
        <v>881</v>
      </c>
      <c r="X2188" t="s">
        <v>882</v>
      </c>
      <c r="Y2188" s="316" t="s">
        <v>558</v>
      </c>
      <c r="Z2188" s="8">
        <v>137</v>
      </c>
      <c r="AA2188" s="202" t="str">
        <f t="shared" si="35"/>
        <v>Общая масса готового блюда, г</v>
      </c>
    </row>
    <row r="2189" spans="1:27" ht="15" customHeight="1" x14ac:dyDescent="0.25">
      <c r="A2189" t="s">
        <v>153</v>
      </c>
      <c r="L2189"/>
      <c r="M2189"/>
      <c r="N2189"/>
      <c r="O2189"/>
      <c r="P2189"/>
      <c r="T2189">
        <v>1495</v>
      </c>
      <c r="U2189" s="7">
        <v>3</v>
      </c>
      <c r="V2189" t="s">
        <v>613</v>
      </c>
      <c r="W2189" s="257" t="s">
        <v>881</v>
      </c>
      <c r="X2189" t="s">
        <v>882</v>
      </c>
      <c r="Y2189" s="316" t="s">
        <v>1214</v>
      </c>
      <c r="Z2189" s="8">
        <v>87</v>
      </c>
      <c r="AA2189" s="202" t="str">
        <f t="shared" si="35"/>
        <v>Масса мясных и рыбных порций, г</v>
      </c>
    </row>
    <row r="2190" spans="1:27" ht="15" customHeight="1" x14ac:dyDescent="0.25">
      <c r="A2190" t="s">
        <v>153</v>
      </c>
      <c r="L2190"/>
      <c r="M2190"/>
      <c r="N2190"/>
      <c r="O2190"/>
      <c r="P2190"/>
      <c r="T2190">
        <v>1476</v>
      </c>
      <c r="U2190" s="7">
        <v>3</v>
      </c>
      <c r="V2190" t="s">
        <v>613</v>
      </c>
      <c r="W2190" s="257" t="s">
        <v>883</v>
      </c>
      <c r="X2190" t="s">
        <v>884</v>
      </c>
      <c r="Y2190" s="316" t="s">
        <v>519</v>
      </c>
      <c r="Z2190" s="8">
        <v>150</v>
      </c>
      <c r="AA2190" s="202" t="str">
        <f t="shared" si="35"/>
        <v>Щука с/г</v>
      </c>
    </row>
    <row r="2191" spans="1:27" ht="15" customHeight="1" x14ac:dyDescent="0.25">
      <c r="A2191" t="s">
        <v>153</v>
      </c>
      <c r="L2191"/>
      <c r="M2191"/>
      <c r="N2191"/>
      <c r="O2191"/>
      <c r="P2191"/>
      <c r="T2191">
        <v>1477</v>
      </c>
      <c r="U2191" s="7">
        <v>3</v>
      </c>
      <c r="V2191" t="s">
        <v>613</v>
      </c>
      <c r="W2191" s="257" t="s">
        <v>883</v>
      </c>
      <c r="X2191" t="s">
        <v>884</v>
      </c>
      <c r="Y2191" s="316" t="s">
        <v>326</v>
      </c>
      <c r="Z2191" s="8">
        <v>2</v>
      </c>
      <c r="AA2191" s="202" t="str">
        <f t="shared" si="35"/>
        <v>Соль</v>
      </c>
    </row>
    <row r="2192" spans="1:27" ht="15" customHeight="1" x14ac:dyDescent="0.25">
      <c r="A2192" t="s">
        <v>153</v>
      </c>
      <c r="L2192"/>
      <c r="M2192"/>
      <c r="N2192"/>
      <c r="O2192"/>
      <c r="P2192"/>
      <c r="T2192">
        <v>1478</v>
      </c>
      <c r="U2192" s="7">
        <v>3</v>
      </c>
      <c r="V2192" t="s">
        <v>613</v>
      </c>
      <c r="W2192" s="257" t="s">
        <v>883</v>
      </c>
      <c r="X2192" t="s">
        <v>884</v>
      </c>
      <c r="Y2192" s="316" t="s">
        <v>61</v>
      </c>
      <c r="Z2192" s="8">
        <v>5</v>
      </c>
      <c r="AA2192" s="202" t="str">
        <f t="shared" si="35"/>
        <v>Масло растительное</v>
      </c>
    </row>
    <row r="2193" spans="1:27" ht="15" customHeight="1" x14ac:dyDescent="0.25">
      <c r="A2193" t="s">
        <v>153</v>
      </c>
      <c r="L2193"/>
      <c r="M2193"/>
      <c r="N2193"/>
      <c r="O2193"/>
      <c r="P2193"/>
      <c r="T2193">
        <v>1479</v>
      </c>
      <c r="U2193" s="7">
        <v>3</v>
      </c>
      <c r="V2193" t="s">
        <v>613</v>
      </c>
      <c r="W2193" s="257" t="s">
        <v>883</v>
      </c>
      <c r="X2193" t="s">
        <v>884</v>
      </c>
      <c r="Y2193" s="316" t="s">
        <v>434</v>
      </c>
      <c r="Z2193" s="8">
        <v>7</v>
      </c>
      <c r="AA2193" s="202" t="str">
        <f t="shared" si="35"/>
        <v>Мука пшеничная 1 с</v>
      </c>
    </row>
    <row r="2194" spans="1:27" ht="15" customHeight="1" x14ac:dyDescent="0.25">
      <c r="A2194" t="s">
        <v>153</v>
      </c>
      <c r="L2194"/>
      <c r="M2194"/>
      <c r="N2194"/>
      <c r="O2194"/>
      <c r="P2194"/>
      <c r="T2194">
        <v>1480</v>
      </c>
      <c r="U2194" s="7">
        <v>3</v>
      </c>
      <c r="V2194" t="s">
        <v>613</v>
      </c>
      <c r="W2194" s="257" t="s">
        <v>883</v>
      </c>
      <c r="X2194" t="s">
        <v>884</v>
      </c>
      <c r="Y2194" s="316" t="s">
        <v>46</v>
      </c>
      <c r="Z2194" s="8">
        <v>10</v>
      </c>
      <c r="AA2194" s="202" t="str">
        <f t="shared" si="35"/>
        <v>Морковь</v>
      </c>
    </row>
    <row r="2195" spans="1:27" ht="15" customHeight="1" x14ac:dyDescent="0.25">
      <c r="A2195" t="s">
        <v>153</v>
      </c>
      <c r="L2195"/>
      <c r="M2195"/>
      <c r="N2195"/>
      <c r="O2195"/>
      <c r="P2195"/>
      <c r="T2195">
        <v>1481</v>
      </c>
      <c r="U2195" s="7">
        <v>3</v>
      </c>
      <c r="V2195" t="s">
        <v>613</v>
      </c>
      <c r="W2195" s="257" t="s">
        <v>883</v>
      </c>
      <c r="X2195" t="s">
        <v>884</v>
      </c>
      <c r="Y2195" s="316" t="s">
        <v>74</v>
      </c>
      <c r="Z2195" s="8">
        <v>0.2</v>
      </c>
      <c r="AA2195" s="202" t="str">
        <f t="shared" si="35"/>
        <v>Лавровый лист</v>
      </c>
    </row>
    <row r="2196" spans="1:27" ht="15" customHeight="1" x14ac:dyDescent="0.25">
      <c r="A2196" t="s">
        <v>153</v>
      </c>
      <c r="L2196"/>
      <c r="M2196"/>
      <c r="N2196"/>
      <c r="O2196"/>
      <c r="P2196"/>
      <c r="T2196">
        <v>1482</v>
      </c>
      <c r="U2196" s="7">
        <v>3</v>
      </c>
      <c r="V2196" t="s">
        <v>613</v>
      </c>
      <c r="W2196" s="257" t="s">
        <v>883</v>
      </c>
      <c r="X2196" t="s">
        <v>884</v>
      </c>
      <c r="Y2196" s="316" t="s">
        <v>32</v>
      </c>
      <c r="Z2196" s="8">
        <v>10</v>
      </c>
      <c r="AA2196" s="202" t="str">
        <f t="shared" si="35"/>
        <v>Лук репчатый</v>
      </c>
    </row>
    <row r="2197" spans="1:27" ht="15" customHeight="1" x14ac:dyDescent="0.25">
      <c r="A2197" t="s">
        <v>153</v>
      </c>
      <c r="L2197"/>
      <c r="M2197"/>
      <c r="N2197"/>
      <c r="O2197"/>
      <c r="P2197"/>
      <c r="T2197">
        <v>1483</v>
      </c>
      <c r="U2197" s="7">
        <v>3</v>
      </c>
      <c r="V2197" t="s">
        <v>613</v>
      </c>
      <c r="W2197" s="257" t="s">
        <v>883</v>
      </c>
      <c r="X2197" t="s">
        <v>884</v>
      </c>
      <c r="Y2197" s="316" t="s">
        <v>76</v>
      </c>
      <c r="Z2197" s="8">
        <v>2</v>
      </c>
      <c r="AA2197" s="202" t="str">
        <f t="shared" si="35"/>
        <v>Томат-паста</v>
      </c>
    </row>
    <row r="2198" spans="1:27" ht="15" customHeight="1" x14ac:dyDescent="0.25">
      <c r="A2198" t="s">
        <v>153</v>
      </c>
      <c r="L2198"/>
      <c r="M2198"/>
      <c r="N2198"/>
      <c r="O2198"/>
      <c r="P2198"/>
      <c r="T2198">
        <v>1484</v>
      </c>
      <c r="U2198" s="7">
        <v>3</v>
      </c>
      <c r="V2198" t="s">
        <v>613</v>
      </c>
      <c r="W2198" s="257" t="s">
        <v>883</v>
      </c>
      <c r="X2198" t="s">
        <v>884</v>
      </c>
      <c r="Y2198" s="316" t="s">
        <v>484</v>
      </c>
      <c r="Z2198" s="8">
        <v>0.01</v>
      </c>
      <c r="AA2198" s="202" t="str">
        <f t="shared" si="35"/>
        <v>Перец черный</v>
      </c>
    </row>
    <row r="2199" spans="1:27" ht="15" customHeight="1" x14ac:dyDescent="0.25">
      <c r="A2199" t="s">
        <v>153</v>
      </c>
      <c r="L2199"/>
      <c r="M2199"/>
      <c r="N2199"/>
      <c r="O2199"/>
      <c r="P2199"/>
      <c r="T2199">
        <v>1485</v>
      </c>
      <c r="U2199" s="7">
        <v>3</v>
      </c>
      <c r="V2199" t="s">
        <v>613</v>
      </c>
      <c r="W2199" s="257" t="s">
        <v>883</v>
      </c>
      <c r="X2199" t="s">
        <v>884</v>
      </c>
      <c r="Y2199" s="316" t="s">
        <v>558</v>
      </c>
      <c r="Z2199" s="8">
        <v>137</v>
      </c>
      <c r="AA2199" s="202" t="str">
        <f t="shared" si="35"/>
        <v>Общая масса готового блюда, г</v>
      </c>
    </row>
    <row r="2200" spans="1:27" ht="15" customHeight="1" x14ac:dyDescent="0.25">
      <c r="A2200" t="s">
        <v>153</v>
      </c>
      <c r="L2200"/>
      <c r="M2200"/>
      <c r="N2200"/>
      <c r="O2200"/>
      <c r="P2200"/>
      <c r="T2200">
        <v>1485</v>
      </c>
      <c r="U2200" s="7">
        <v>3</v>
      </c>
      <c r="V2200" t="s">
        <v>613</v>
      </c>
      <c r="W2200" s="257" t="s">
        <v>883</v>
      </c>
      <c r="X2200" t="s">
        <v>884</v>
      </c>
      <c r="Y2200" s="316" t="s">
        <v>1214</v>
      </c>
      <c r="Z2200" s="8">
        <v>87</v>
      </c>
      <c r="AA2200" s="202" t="str">
        <f t="shared" si="35"/>
        <v>Масса мясных и рыбных порций, г</v>
      </c>
    </row>
    <row r="2201" spans="1:27" ht="15" customHeight="1" x14ac:dyDescent="0.25">
      <c r="A2201" t="s">
        <v>153</v>
      </c>
      <c r="L2201"/>
      <c r="M2201"/>
      <c r="N2201"/>
      <c r="O2201"/>
      <c r="P2201"/>
      <c r="T2201">
        <v>1242</v>
      </c>
      <c r="U2201" s="7">
        <v>3</v>
      </c>
      <c r="V2201" t="s">
        <v>613</v>
      </c>
      <c r="W2201" s="257">
        <v>3.2</v>
      </c>
      <c r="X2201" t="s">
        <v>885</v>
      </c>
      <c r="Y2201" s="316" t="s">
        <v>419</v>
      </c>
      <c r="Z2201" s="8">
        <v>120</v>
      </c>
      <c r="AA2201" s="202" t="str">
        <f t="shared" si="35"/>
        <v>Рыба с/м б/г</v>
      </c>
    </row>
    <row r="2202" spans="1:27" ht="15" customHeight="1" x14ac:dyDescent="0.25">
      <c r="A2202" t="s">
        <v>153</v>
      </c>
      <c r="L2202"/>
      <c r="M2202"/>
      <c r="N2202"/>
      <c r="O2202"/>
      <c r="P2202"/>
      <c r="T2202">
        <v>1243</v>
      </c>
      <c r="U2202" s="7">
        <v>3</v>
      </c>
      <c r="V2202" t="s">
        <v>613</v>
      </c>
      <c r="W2202" s="257">
        <v>3.2</v>
      </c>
      <c r="X2202" t="s">
        <v>885</v>
      </c>
      <c r="Y2202" s="316" t="s">
        <v>326</v>
      </c>
      <c r="Z2202" s="8">
        <v>2</v>
      </c>
      <c r="AA2202" s="202" t="str">
        <f t="shared" si="35"/>
        <v>Соль</v>
      </c>
    </row>
    <row r="2203" spans="1:27" ht="15" customHeight="1" x14ac:dyDescent="0.25">
      <c r="A2203" t="s">
        <v>153</v>
      </c>
      <c r="L2203"/>
      <c r="M2203"/>
      <c r="N2203"/>
      <c r="O2203"/>
      <c r="P2203"/>
      <c r="T2203">
        <v>1244</v>
      </c>
      <c r="U2203" s="7">
        <v>3</v>
      </c>
      <c r="V2203" t="s">
        <v>613</v>
      </c>
      <c r="W2203" s="257">
        <v>3.2</v>
      </c>
      <c r="X2203" t="s">
        <v>885</v>
      </c>
      <c r="Y2203" s="316" t="s">
        <v>32</v>
      </c>
      <c r="Z2203" s="8">
        <v>10</v>
      </c>
      <c r="AA2203" s="202" t="str">
        <f t="shared" si="35"/>
        <v>Лук репчатый</v>
      </c>
    </row>
    <row r="2204" spans="1:27" ht="15" customHeight="1" x14ac:dyDescent="0.25">
      <c r="A2204" t="s">
        <v>153</v>
      </c>
      <c r="L2204"/>
      <c r="M2204"/>
      <c r="N2204"/>
      <c r="O2204"/>
      <c r="P2204"/>
      <c r="T2204">
        <v>1245</v>
      </c>
      <c r="U2204" s="7">
        <v>3</v>
      </c>
      <c r="V2204" t="s">
        <v>613</v>
      </c>
      <c r="W2204" s="257">
        <v>3.2</v>
      </c>
      <c r="X2204" t="s">
        <v>885</v>
      </c>
      <c r="Y2204" s="316" t="s">
        <v>74</v>
      </c>
      <c r="Z2204" s="8">
        <v>0.01</v>
      </c>
      <c r="AA2204" s="202" t="str">
        <f t="shared" si="35"/>
        <v>Лавровый лист</v>
      </c>
    </row>
    <row r="2205" spans="1:27" ht="15" customHeight="1" x14ac:dyDescent="0.25">
      <c r="A2205" t="s">
        <v>153</v>
      </c>
      <c r="L2205"/>
      <c r="M2205"/>
      <c r="N2205"/>
      <c r="O2205"/>
      <c r="P2205"/>
      <c r="T2205">
        <v>1246</v>
      </c>
      <c r="U2205" s="7">
        <v>3</v>
      </c>
      <c r="V2205" t="s">
        <v>613</v>
      </c>
      <c r="W2205" s="257">
        <v>3.2</v>
      </c>
      <c r="X2205" t="s">
        <v>885</v>
      </c>
      <c r="Y2205" s="316" t="s">
        <v>484</v>
      </c>
      <c r="Z2205" s="8">
        <v>0.01</v>
      </c>
      <c r="AA2205" s="202" t="str">
        <f t="shared" si="35"/>
        <v>Перец черный</v>
      </c>
    </row>
    <row r="2206" spans="1:27" ht="15" customHeight="1" x14ac:dyDescent="0.25">
      <c r="A2206" t="s">
        <v>153</v>
      </c>
      <c r="L2206"/>
      <c r="M2206"/>
      <c r="N2206"/>
      <c r="O2206"/>
      <c r="P2206"/>
      <c r="T2206">
        <v>1247</v>
      </c>
      <c r="U2206" s="7">
        <v>3</v>
      </c>
      <c r="V2206" t="s">
        <v>613</v>
      </c>
      <c r="W2206" s="257">
        <v>3.2</v>
      </c>
      <c r="X2206" t="s">
        <v>885</v>
      </c>
      <c r="Y2206" s="316" t="s">
        <v>558</v>
      </c>
      <c r="Z2206" s="8">
        <v>84</v>
      </c>
      <c r="AA2206" s="202" t="str">
        <f t="shared" si="35"/>
        <v>Общая масса готового блюда, г</v>
      </c>
    </row>
    <row r="2207" spans="1:27" ht="15" customHeight="1" x14ac:dyDescent="0.25">
      <c r="A2207" t="s">
        <v>153</v>
      </c>
      <c r="L2207"/>
      <c r="M2207"/>
      <c r="N2207"/>
      <c r="O2207"/>
      <c r="P2207"/>
      <c r="T2207">
        <v>1247</v>
      </c>
      <c r="U2207" s="7">
        <v>3</v>
      </c>
      <c r="V2207" t="s">
        <v>613</v>
      </c>
      <c r="W2207" s="257">
        <v>3.2</v>
      </c>
      <c r="X2207" t="s">
        <v>885</v>
      </c>
      <c r="Y2207" s="316" t="s">
        <v>1214</v>
      </c>
      <c r="Z2207" s="8">
        <v>84</v>
      </c>
      <c r="AA2207" s="202" t="str">
        <f t="shared" si="35"/>
        <v>Масса мясных и рыбных порций, г</v>
      </c>
    </row>
    <row r="2208" spans="1:27" ht="15" customHeight="1" x14ac:dyDescent="0.25">
      <c r="A2208" t="s">
        <v>153</v>
      </c>
      <c r="L2208"/>
      <c r="M2208"/>
      <c r="N2208"/>
      <c r="O2208"/>
      <c r="P2208"/>
      <c r="T2208">
        <v>1284</v>
      </c>
      <c r="U2208" s="7">
        <v>3</v>
      </c>
      <c r="V2208" t="s">
        <v>613</v>
      </c>
      <c r="W2208" s="257" t="s">
        <v>886</v>
      </c>
      <c r="X2208" t="s">
        <v>887</v>
      </c>
      <c r="Y2208" s="316" t="s">
        <v>464</v>
      </c>
      <c r="Z2208" s="8">
        <v>120</v>
      </c>
      <c r="AA2208" s="202" t="str">
        <f t="shared" si="35"/>
        <v>Горбуша б/г</v>
      </c>
    </row>
    <row r="2209" spans="1:27" ht="15" customHeight="1" x14ac:dyDescent="0.25">
      <c r="A2209" t="s">
        <v>153</v>
      </c>
      <c r="L2209"/>
      <c r="M2209"/>
      <c r="N2209"/>
      <c r="O2209"/>
      <c r="P2209"/>
      <c r="T2209">
        <v>1285</v>
      </c>
      <c r="U2209" s="7">
        <v>3</v>
      </c>
      <c r="V2209" t="s">
        <v>613</v>
      </c>
      <c r="W2209" s="257" t="s">
        <v>886</v>
      </c>
      <c r="X2209" t="s">
        <v>887</v>
      </c>
      <c r="Y2209" s="316" t="s">
        <v>326</v>
      </c>
      <c r="Z2209" s="8">
        <v>2</v>
      </c>
      <c r="AA2209" s="202" t="str">
        <f t="shared" si="35"/>
        <v>Соль</v>
      </c>
    </row>
    <row r="2210" spans="1:27" ht="15" customHeight="1" x14ac:dyDescent="0.25">
      <c r="A2210" t="s">
        <v>153</v>
      </c>
      <c r="L2210"/>
      <c r="M2210"/>
      <c r="N2210"/>
      <c r="O2210"/>
      <c r="P2210"/>
      <c r="T2210">
        <v>1286</v>
      </c>
      <c r="U2210" s="7">
        <v>3</v>
      </c>
      <c r="V2210" t="s">
        <v>613</v>
      </c>
      <c r="W2210" s="257" t="s">
        <v>886</v>
      </c>
      <c r="X2210" t="s">
        <v>887</v>
      </c>
      <c r="Y2210" s="316" t="s">
        <v>32</v>
      </c>
      <c r="Z2210" s="8">
        <v>10</v>
      </c>
      <c r="AA2210" s="202" t="str">
        <f t="shared" si="35"/>
        <v>Лук репчатый</v>
      </c>
    </row>
    <row r="2211" spans="1:27" ht="15" customHeight="1" x14ac:dyDescent="0.25">
      <c r="A2211" t="s">
        <v>153</v>
      </c>
      <c r="L2211"/>
      <c r="M2211"/>
      <c r="N2211"/>
      <c r="O2211"/>
      <c r="P2211"/>
      <c r="T2211">
        <v>1287</v>
      </c>
      <c r="U2211" s="7">
        <v>3</v>
      </c>
      <c r="V2211" t="s">
        <v>613</v>
      </c>
      <c r="W2211" s="257" t="s">
        <v>886</v>
      </c>
      <c r="X2211" t="s">
        <v>887</v>
      </c>
      <c r="Y2211" s="316" t="s">
        <v>74</v>
      </c>
      <c r="Z2211" s="8">
        <v>0.01</v>
      </c>
      <c r="AA2211" s="202" t="str">
        <f t="shared" si="35"/>
        <v>Лавровый лист</v>
      </c>
    </row>
    <row r="2212" spans="1:27" ht="15" customHeight="1" x14ac:dyDescent="0.25">
      <c r="A2212" t="s">
        <v>153</v>
      </c>
      <c r="L2212"/>
      <c r="M2212"/>
      <c r="N2212"/>
      <c r="O2212"/>
      <c r="P2212"/>
      <c r="T2212">
        <v>1288</v>
      </c>
      <c r="U2212" s="7">
        <v>3</v>
      </c>
      <c r="V2212" t="s">
        <v>613</v>
      </c>
      <c r="W2212" s="257" t="s">
        <v>886</v>
      </c>
      <c r="X2212" t="s">
        <v>887</v>
      </c>
      <c r="Y2212" s="316" t="s">
        <v>484</v>
      </c>
      <c r="Z2212" s="8">
        <v>0.01</v>
      </c>
      <c r="AA2212" s="202" t="str">
        <f t="shared" si="35"/>
        <v>Перец черный</v>
      </c>
    </row>
    <row r="2213" spans="1:27" ht="15" customHeight="1" x14ac:dyDescent="0.25">
      <c r="A2213" t="s">
        <v>153</v>
      </c>
      <c r="L2213"/>
      <c r="M2213"/>
      <c r="N2213"/>
      <c r="O2213"/>
      <c r="P2213"/>
      <c r="T2213">
        <v>1289</v>
      </c>
      <c r="U2213" s="7">
        <v>3</v>
      </c>
      <c r="V2213" t="s">
        <v>613</v>
      </c>
      <c r="W2213" s="257" t="s">
        <v>886</v>
      </c>
      <c r="X2213" t="s">
        <v>887</v>
      </c>
      <c r="Y2213" s="316" t="s">
        <v>558</v>
      </c>
      <c r="Z2213" s="8">
        <v>86.4</v>
      </c>
      <c r="AA2213" s="202" t="str">
        <f t="shared" si="35"/>
        <v>Общая масса готового блюда, г</v>
      </c>
    </row>
    <row r="2214" spans="1:27" ht="15" customHeight="1" x14ac:dyDescent="0.25">
      <c r="A2214" t="s">
        <v>153</v>
      </c>
      <c r="L2214"/>
      <c r="M2214"/>
      <c r="N2214"/>
      <c r="O2214"/>
      <c r="P2214"/>
      <c r="T2214">
        <v>1289</v>
      </c>
      <c r="U2214" s="7">
        <v>3</v>
      </c>
      <c r="V2214" t="s">
        <v>613</v>
      </c>
      <c r="W2214" s="257" t="s">
        <v>886</v>
      </c>
      <c r="X2214" t="s">
        <v>887</v>
      </c>
      <c r="Y2214" s="316" t="s">
        <v>1214</v>
      </c>
      <c r="Z2214" s="8">
        <v>82.8</v>
      </c>
      <c r="AA2214" s="202" t="str">
        <f t="shared" si="35"/>
        <v>Масса мясных и рыбных порций, г</v>
      </c>
    </row>
    <row r="2215" spans="1:27" ht="15" customHeight="1" x14ac:dyDescent="0.25">
      <c r="A2215" t="s">
        <v>153</v>
      </c>
      <c r="L2215"/>
      <c r="M2215"/>
      <c r="N2215"/>
      <c r="O2215"/>
      <c r="P2215"/>
      <c r="T2215">
        <v>1278</v>
      </c>
      <c r="U2215" s="7">
        <v>3</v>
      </c>
      <c r="V2215" t="s">
        <v>613</v>
      </c>
      <c r="W2215" s="257" t="s">
        <v>888</v>
      </c>
      <c r="X2215" t="s">
        <v>889</v>
      </c>
      <c r="Y2215" s="316" t="s">
        <v>465</v>
      </c>
      <c r="Z2215" s="8">
        <v>150</v>
      </c>
      <c r="AA2215" s="202" t="str">
        <f t="shared" si="35"/>
        <v>Горбуша с/г</v>
      </c>
    </row>
    <row r="2216" spans="1:27" ht="15" customHeight="1" x14ac:dyDescent="0.25">
      <c r="A2216" t="s">
        <v>153</v>
      </c>
      <c r="L2216"/>
      <c r="M2216"/>
      <c r="N2216"/>
      <c r="O2216"/>
      <c r="P2216"/>
      <c r="T2216">
        <v>1279</v>
      </c>
      <c r="U2216" s="7">
        <v>3</v>
      </c>
      <c r="V2216" t="s">
        <v>613</v>
      </c>
      <c r="W2216" s="257" t="s">
        <v>888</v>
      </c>
      <c r="X2216" t="s">
        <v>889</v>
      </c>
      <c r="Y2216" s="316" t="s">
        <v>326</v>
      </c>
      <c r="Z2216" s="8">
        <v>2</v>
      </c>
      <c r="AA2216" s="202" t="str">
        <f t="shared" si="35"/>
        <v>Соль</v>
      </c>
    </row>
    <row r="2217" spans="1:27" ht="15" customHeight="1" x14ac:dyDescent="0.25">
      <c r="A2217" t="s">
        <v>153</v>
      </c>
      <c r="L2217"/>
      <c r="M2217"/>
      <c r="N2217"/>
      <c r="O2217"/>
      <c r="P2217"/>
      <c r="T2217">
        <v>1280</v>
      </c>
      <c r="U2217" s="7">
        <v>3</v>
      </c>
      <c r="V2217" t="s">
        <v>613</v>
      </c>
      <c r="W2217" s="257" t="s">
        <v>888</v>
      </c>
      <c r="X2217" t="s">
        <v>889</v>
      </c>
      <c r="Y2217" s="316" t="s">
        <v>32</v>
      </c>
      <c r="Z2217" s="8">
        <v>10</v>
      </c>
      <c r="AA2217" s="202" t="str">
        <f t="shared" si="35"/>
        <v>Лук репчатый</v>
      </c>
    </row>
    <row r="2218" spans="1:27" ht="15" customHeight="1" x14ac:dyDescent="0.25">
      <c r="A2218" t="s">
        <v>153</v>
      </c>
      <c r="L2218"/>
      <c r="M2218"/>
      <c r="N2218"/>
      <c r="O2218"/>
      <c r="P2218"/>
      <c r="T2218">
        <v>1281</v>
      </c>
      <c r="U2218" s="7">
        <v>3</v>
      </c>
      <c r="V2218" t="s">
        <v>613</v>
      </c>
      <c r="W2218" s="257" t="s">
        <v>888</v>
      </c>
      <c r="X2218" t="s">
        <v>889</v>
      </c>
      <c r="Y2218" s="316" t="s">
        <v>74</v>
      </c>
      <c r="Z2218" s="8">
        <v>0.01</v>
      </c>
      <c r="AA2218" s="202" t="str">
        <f t="shared" si="35"/>
        <v>Лавровый лист</v>
      </c>
    </row>
    <row r="2219" spans="1:27" ht="15" customHeight="1" x14ac:dyDescent="0.25">
      <c r="A2219" t="s">
        <v>153</v>
      </c>
      <c r="L2219"/>
      <c r="M2219"/>
      <c r="N2219"/>
      <c r="O2219"/>
      <c r="P2219"/>
      <c r="T2219">
        <v>1282</v>
      </c>
      <c r="U2219" s="7">
        <v>3</v>
      </c>
      <c r="V2219" t="s">
        <v>613</v>
      </c>
      <c r="W2219" s="257" t="s">
        <v>888</v>
      </c>
      <c r="X2219" t="s">
        <v>889</v>
      </c>
      <c r="Y2219" s="316" t="s">
        <v>484</v>
      </c>
      <c r="Z2219" s="8">
        <v>0.01</v>
      </c>
      <c r="AA2219" s="202" t="str">
        <f t="shared" si="35"/>
        <v>Перец черный</v>
      </c>
    </row>
    <row r="2220" spans="1:27" ht="15" customHeight="1" x14ac:dyDescent="0.25">
      <c r="A2220" t="s">
        <v>153</v>
      </c>
      <c r="L2220"/>
      <c r="M2220"/>
      <c r="N2220"/>
      <c r="O2220"/>
      <c r="P2220"/>
      <c r="T2220">
        <v>1283</v>
      </c>
      <c r="U2220" s="7">
        <v>3</v>
      </c>
      <c r="V2220" t="s">
        <v>613</v>
      </c>
      <c r="W2220" s="257" t="s">
        <v>888</v>
      </c>
      <c r="X2220" t="s">
        <v>889</v>
      </c>
      <c r="Y2220" s="316" t="s">
        <v>558</v>
      </c>
      <c r="Z2220" s="8">
        <v>82.8</v>
      </c>
      <c r="AA2220" s="202" t="str">
        <f t="shared" si="35"/>
        <v>Общая масса готового блюда, г</v>
      </c>
    </row>
    <row r="2221" spans="1:27" ht="15" customHeight="1" x14ac:dyDescent="0.25">
      <c r="A2221" t="s">
        <v>153</v>
      </c>
      <c r="L2221"/>
      <c r="M2221"/>
      <c r="N2221"/>
      <c r="O2221"/>
      <c r="P2221"/>
      <c r="T2221">
        <v>1283</v>
      </c>
      <c r="U2221" s="7">
        <v>3</v>
      </c>
      <c r="V2221" t="s">
        <v>613</v>
      </c>
      <c r="W2221" s="257" t="s">
        <v>888</v>
      </c>
      <c r="X2221" t="s">
        <v>889</v>
      </c>
      <c r="Y2221" s="316" t="s">
        <v>1214</v>
      </c>
      <c r="Z2221" s="8">
        <v>82.8</v>
      </c>
      <c r="AA2221" s="202" t="str">
        <f t="shared" si="35"/>
        <v>Масса мясных и рыбных порций, г</v>
      </c>
    </row>
    <row r="2222" spans="1:27" ht="15" customHeight="1" x14ac:dyDescent="0.25">
      <c r="A2222" t="s">
        <v>153</v>
      </c>
      <c r="L2222"/>
      <c r="M2222"/>
      <c r="N2222"/>
      <c r="O2222"/>
      <c r="P2222"/>
      <c r="T2222">
        <v>1272</v>
      </c>
      <c r="U2222" s="7">
        <v>3</v>
      </c>
      <c r="V2222" t="s">
        <v>613</v>
      </c>
      <c r="W2222" s="257" t="s">
        <v>890</v>
      </c>
      <c r="X2222" t="s">
        <v>891</v>
      </c>
      <c r="Y2222" s="316" t="s">
        <v>1218</v>
      </c>
      <c r="Z2222" s="8">
        <v>120</v>
      </c>
      <c r="AA2222" s="202" t="str">
        <f t="shared" si="35"/>
        <v>Камбала б/г</v>
      </c>
    </row>
    <row r="2223" spans="1:27" ht="15" customHeight="1" x14ac:dyDescent="0.25">
      <c r="A2223" t="s">
        <v>153</v>
      </c>
      <c r="L2223"/>
      <c r="M2223"/>
      <c r="N2223"/>
      <c r="O2223"/>
      <c r="P2223"/>
      <c r="T2223">
        <v>1273</v>
      </c>
      <c r="U2223" s="7">
        <v>3</v>
      </c>
      <c r="V2223" t="s">
        <v>613</v>
      </c>
      <c r="W2223" s="257" t="s">
        <v>890</v>
      </c>
      <c r="X2223" t="s">
        <v>891</v>
      </c>
      <c r="Y2223" s="316" t="s">
        <v>326</v>
      </c>
      <c r="Z2223" s="8">
        <v>2</v>
      </c>
      <c r="AA2223" s="202" t="str">
        <f t="shared" si="35"/>
        <v>Соль</v>
      </c>
    </row>
    <row r="2224" spans="1:27" ht="15" customHeight="1" x14ac:dyDescent="0.25">
      <c r="A2224" t="s">
        <v>153</v>
      </c>
      <c r="L2224"/>
      <c r="M2224"/>
      <c r="N2224"/>
      <c r="O2224"/>
      <c r="P2224"/>
      <c r="T2224">
        <v>1274</v>
      </c>
      <c r="U2224" s="7">
        <v>3</v>
      </c>
      <c r="V2224" t="s">
        <v>613</v>
      </c>
      <c r="W2224" s="257" t="s">
        <v>890</v>
      </c>
      <c r="X2224" t="s">
        <v>891</v>
      </c>
      <c r="Y2224" s="316" t="s">
        <v>32</v>
      </c>
      <c r="Z2224" s="8">
        <v>10</v>
      </c>
      <c r="AA2224" s="202" t="str">
        <f t="shared" si="35"/>
        <v>Лук репчатый</v>
      </c>
    </row>
    <row r="2225" spans="1:27" ht="15" customHeight="1" x14ac:dyDescent="0.25">
      <c r="A2225" t="s">
        <v>153</v>
      </c>
      <c r="L2225"/>
      <c r="M2225"/>
      <c r="N2225"/>
      <c r="O2225"/>
      <c r="P2225"/>
      <c r="T2225">
        <v>1275</v>
      </c>
      <c r="U2225" s="7">
        <v>3</v>
      </c>
      <c r="V2225" t="s">
        <v>613</v>
      </c>
      <c r="W2225" s="257" t="s">
        <v>890</v>
      </c>
      <c r="X2225" t="s">
        <v>891</v>
      </c>
      <c r="Y2225" s="316" t="s">
        <v>74</v>
      </c>
      <c r="Z2225" s="8">
        <v>0.01</v>
      </c>
      <c r="AA2225" s="202" t="str">
        <f t="shared" si="35"/>
        <v>Лавровый лист</v>
      </c>
    </row>
    <row r="2226" spans="1:27" ht="15" customHeight="1" x14ac:dyDescent="0.25">
      <c r="A2226" t="s">
        <v>153</v>
      </c>
      <c r="L2226"/>
      <c r="M2226"/>
      <c r="N2226"/>
      <c r="O2226"/>
      <c r="P2226"/>
      <c r="T2226">
        <v>1276</v>
      </c>
      <c r="U2226" s="7">
        <v>3</v>
      </c>
      <c r="V2226" t="s">
        <v>613</v>
      </c>
      <c r="W2226" s="257" t="s">
        <v>890</v>
      </c>
      <c r="X2226" t="s">
        <v>891</v>
      </c>
      <c r="Y2226" s="316" t="s">
        <v>484</v>
      </c>
      <c r="Z2226" s="8">
        <v>0.01</v>
      </c>
      <c r="AA2226" s="202" t="str">
        <f t="shared" si="35"/>
        <v>Перец черный</v>
      </c>
    </row>
    <row r="2227" spans="1:27" ht="15" customHeight="1" x14ac:dyDescent="0.25">
      <c r="A2227" t="s">
        <v>153</v>
      </c>
      <c r="L2227"/>
      <c r="M2227"/>
      <c r="N2227"/>
      <c r="O2227"/>
      <c r="P2227"/>
      <c r="T2227">
        <v>1277</v>
      </c>
      <c r="U2227" s="7">
        <v>3</v>
      </c>
      <c r="V2227" t="s">
        <v>613</v>
      </c>
      <c r="W2227" s="257" t="s">
        <v>890</v>
      </c>
      <c r="X2227" t="s">
        <v>891</v>
      </c>
      <c r="Y2227" s="316" t="s">
        <v>558</v>
      </c>
      <c r="Z2227" s="8">
        <v>86.399999999999991</v>
      </c>
      <c r="AA2227" s="202" t="str">
        <f t="shared" si="35"/>
        <v>Общая масса готового блюда, г</v>
      </c>
    </row>
    <row r="2228" spans="1:27" ht="15" customHeight="1" x14ac:dyDescent="0.25">
      <c r="A2228" t="s">
        <v>153</v>
      </c>
      <c r="L2228"/>
      <c r="M2228"/>
      <c r="N2228"/>
      <c r="O2228"/>
      <c r="P2228"/>
      <c r="T2228">
        <v>1277</v>
      </c>
      <c r="U2228" s="7">
        <v>3</v>
      </c>
      <c r="V2228" t="s">
        <v>613</v>
      </c>
      <c r="W2228" s="257" t="s">
        <v>890</v>
      </c>
      <c r="X2228" t="s">
        <v>891</v>
      </c>
      <c r="Y2228" s="316" t="s">
        <v>1214</v>
      </c>
      <c r="Z2228" s="8">
        <v>86.399999999999991</v>
      </c>
      <c r="AA2228" s="202" t="str">
        <f t="shared" si="35"/>
        <v>Масса мясных и рыбных порций, г</v>
      </c>
    </row>
    <row r="2229" spans="1:27" ht="15" customHeight="1" x14ac:dyDescent="0.25">
      <c r="A2229" t="s">
        <v>153</v>
      </c>
      <c r="L2229"/>
      <c r="M2229"/>
      <c r="N2229"/>
      <c r="O2229"/>
      <c r="P2229"/>
      <c r="T2229">
        <v>1260</v>
      </c>
      <c r="U2229" s="7">
        <v>3</v>
      </c>
      <c r="V2229" t="s">
        <v>613</v>
      </c>
      <c r="W2229" s="257" t="s">
        <v>892</v>
      </c>
      <c r="X2229" t="s">
        <v>893</v>
      </c>
      <c r="Y2229" s="316" t="s">
        <v>466</v>
      </c>
      <c r="Z2229" s="8">
        <v>120</v>
      </c>
      <c r="AA2229" s="202" t="str">
        <f t="shared" si="35"/>
        <v>Навага б/г</v>
      </c>
    </row>
    <row r="2230" spans="1:27" ht="15" customHeight="1" x14ac:dyDescent="0.25">
      <c r="A2230" t="s">
        <v>153</v>
      </c>
      <c r="L2230"/>
      <c r="M2230"/>
      <c r="N2230"/>
      <c r="O2230"/>
      <c r="P2230"/>
      <c r="T2230">
        <v>1261</v>
      </c>
      <c r="U2230" s="7">
        <v>3</v>
      </c>
      <c r="V2230" t="s">
        <v>613</v>
      </c>
      <c r="W2230" s="257" t="s">
        <v>892</v>
      </c>
      <c r="X2230" t="s">
        <v>893</v>
      </c>
      <c r="Y2230" s="316" t="s">
        <v>326</v>
      </c>
      <c r="Z2230" s="8">
        <v>2</v>
      </c>
      <c r="AA2230" s="202" t="str">
        <f t="shared" si="35"/>
        <v>Соль</v>
      </c>
    </row>
    <row r="2231" spans="1:27" ht="15" customHeight="1" x14ac:dyDescent="0.25">
      <c r="A2231" t="s">
        <v>153</v>
      </c>
      <c r="L2231"/>
      <c r="M2231"/>
      <c r="N2231"/>
      <c r="O2231"/>
      <c r="P2231"/>
      <c r="T2231">
        <v>1262</v>
      </c>
      <c r="U2231" s="7">
        <v>3</v>
      </c>
      <c r="V2231" t="s">
        <v>613</v>
      </c>
      <c r="W2231" s="257" t="s">
        <v>892</v>
      </c>
      <c r="X2231" t="s">
        <v>893</v>
      </c>
      <c r="Y2231" s="316" t="s">
        <v>32</v>
      </c>
      <c r="Z2231" s="8">
        <v>10</v>
      </c>
      <c r="AA2231" s="202" t="str">
        <f t="shared" si="35"/>
        <v>Лук репчатый</v>
      </c>
    </row>
    <row r="2232" spans="1:27" ht="15" customHeight="1" x14ac:dyDescent="0.25">
      <c r="A2232" t="s">
        <v>153</v>
      </c>
      <c r="L2232"/>
      <c r="M2232"/>
      <c r="N2232"/>
      <c r="O2232"/>
      <c r="P2232"/>
      <c r="T2232">
        <v>1263</v>
      </c>
      <c r="U2232" s="7">
        <v>3</v>
      </c>
      <c r="V2232" t="s">
        <v>613</v>
      </c>
      <c r="W2232" s="257" t="s">
        <v>892</v>
      </c>
      <c r="X2232" t="s">
        <v>893</v>
      </c>
      <c r="Y2232" s="316" t="s">
        <v>74</v>
      </c>
      <c r="Z2232" s="8">
        <v>0.01</v>
      </c>
      <c r="AA2232" s="202" t="str">
        <f t="shared" si="35"/>
        <v>Лавровый лист</v>
      </c>
    </row>
    <row r="2233" spans="1:27" ht="15" customHeight="1" x14ac:dyDescent="0.25">
      <c r="A2233" t="s">
        <v>153</v>
      </c>
      <c r="L2233"/>
      <c r="M2233"/>
      <c r="N2233"/>
      <c r="O2233"/>
      <c r="P2233"/>
      <c r="T2233">
        <v>1264</v>
      </c>
      <c r="U2233" s="7">
        <v>3</v>
      </c>
      <c r="V2233" t="s">
        <v>613</v>
      </c>
      <c r="W2233" s="257" t="s">
        <v>892</v>
      </c>
      <c r="X2233" t="s">
        <v>893</v>
      </c>
      <c r="Y2233" s="316" t="s">
        <v>484</v>
      </c>
      <c r="Z2233" s="8">
        <v>0.01</v>
      </c>
      <c r="AA2233" s="202" t="str">
        <f t="shared" si="35"/>
        <v>Перец черный</v>
      </c>
    </row>
    <row r="2234" spans="1:27" ht="15" customHeight="1" x14ac:dyDescent="0.25">
      <c r="A2234" t="s">
        <v>153</v>
      </c>
      <c r="L2234"/>
      <c r="M2234"/>
      <c r="N2234"/>
      <c r="O2234"/>
      <c r="P2234"/>
      <c r="T2234">
        <v>1265</v>
      </c>
      <c r="U2234" s="7">
        <v>3</v>
      </c>
      <c r="V2234" t="s">
        <v>613</v>
      </c>
      <c r="W2234" s="257" t="s">
        <v>892</v>
      </c>
      <c r="X2234" t="s">
        <v>893</v>
      </c>
      <c r="Y2234" s="316" t="s">
        <v>558</v>
      </c>
      <c r="Z2234" s="8">
        <v>70.75200000000001</v>
      </c>
      <c r="AA2234" s="202" t="str">
        <f t="shared" si="35"/>
        <v>Общая масса готового блюда, г</v>
      </c>
    </row>
    <row r="2235" spans="1:27" ht="15" customHeight="1" x14ac:dyDescent="0.25">
      <c r="A2235" t="s">
        <v>153</v>
      </c>
      <c r="L2235"/>
      <c r="M2235"/>
      <c r="N2235"/>
      <c r="O2235"/>
      <c r="P2235"/>
      <c r="T2235">
        <v>1265</v>
      </c>
      <c r="U2235" s="7">
        <v>3</v>
      </c>
      <c r="V2235" t="s">
        <v>613</v>
      </c>
      <c r="W2235" s="257" t="s">
        <v>892</v>
      </c>
      <c r="X2235" t="s">
        <v>893</v>
      </c>
      <c r="Y2235" s="316" t="s">
        <v>1214</v>
      </c>
      <c r="Z2235" s="8">
        <v>70.75200000000001</v>
      </c>
      <c r="AA2235" s="202" t="str">
        <f t="shared" si="35"/>
        <v>Масса мясных и рыбных порций, г</v>
      </c>
    </row>
    <row r="2236" spans="1:27" ht="15" customHeight="1" x14ac:dyDescent="0.25">
      <c r="A2236" t="s">
        <v>153</v>
      </c>
      <c r="L2236"/>
      <c r="M2236"/>
      <c r="N2236"/>
      <c r="O2236"/>
      <c r="P2236"/>
      <c r="T2236">
        <v>1254</v>
      </c>
      <c r="U2236" s="7">
        <v>3</v>
      </c>
      <c r="V2236" t="s">
        <v>613</v>
      </c>
      <c r="W2236" s="257" t="s">
        <v>894</v>
      </c>
      <c r="X2236" t="s">
        <v>895</v>
      </c>
      <c r="Y2236" s="316" t="s">
        <v>467</v>
      </c>
      <c r="Z2236" s="8">
        <v>120</v>
      </c>
      <c r="AA2236" s="202" t="str">
        <f t="shared" si="35"/>
        <v>Пикша б/г</v>
      </c>
    </row>
    <row r="2237" spans="1:27" ht="15" customHeight="1" x14ac:dyDescent="0.25">
      <c r="A2237" t="s">
        <v>153</v>
      </c>
      <c r="L2237"/>
      <c r="M2237"/>
      <c r="N2237"/>
      <c r="O2237"/>
      <c r="P2237"/>
      <c r="T2237">
        <v>1255</v>
      </c>
      <c r="U2237" s="7">
        <v>3</v>
      </c>
      <c r="V2237" t="s">
        <v>613</v>
      </c>
      <c r="W2237" s="257" t="s">
        <v>894</v>
      </c>
      <c r="X2237" t="s">
        <v>895</v>
      </c>
      <c r="Y2237" s="316" t="s">
        <v>326</v>
      </c>
      <c r="Z2237" s="8">
        <v>2</v>
      </c>
      <c r="AA2237" s="202" t="str">
        <f t="shared" si="35"/>
        <v>Соль</v>
      </c>
    </row>
    <row r="2238" spans="1:27" ht="15" customHeight="1" x14ac:dyDescent="0.25">
      <c r="A2238" t="s">
        <v>153</v>
      </c>
      <c r="L2238"/>
      <c r="M2238"/>
      <c r="N2238"/>
      <c r="O2238"/>
      <c r="P2238"/>
      <c r="T2238">
        <v>1256</v>
      </c>
      <c r="U2238" s="7">
        <v>3</v>
      </c>
      <c r="V2238" t="s">
        <v>613</v>
      </c>
      <c r="W2238" s="257" t="s">
        <v>894</v>
      </c>
      <c r="X2238" t="s">
        <v>895</v>
      </c>
      <c r="Y2238" s="316" t="s">
        <v>32</v>
      </c>
      <c r="Z2238" s="8">
        <v>10</v>
      </c>
      <c r="AA2238" s="202" t="str">
        <f t="shared" si="35"/>
        <v>Лук репчатый</v>
      </c>
    </row>
    <row r="2239" spans="1:27" ht="15" customHeight="1" x14ac:dyDescent="0.25">
      <c r="A2239" t="s">
        <v>153</v>
      </c>
      <c r="L2239"/>
      <c r="M2239"/>
      <c r="N2239"/>
      <c r="O2239"/>
      <c r="P2239"/>
      <c r="T2239">
        <v>1257</v>
      </c>
      <c r="U2239" s="7">
        <v>3</v>
      </c>
      <c r="V2239" t="s">
        <v>613</v>
      </c>
      <c r="W2239" s="257" t="s">
        <v>894</v>
      </c>
      <c r="X2239" t="s">
        <v>895</v>
      </c>
      <c r="Y2239" s="316" t="s">
        <v>74</v>
      </c>
      <c r="Z2239" s="8">
        <v>0.01</v>
      </c>
      <c r="AA2239" s="202" t="str">
        <f t="shared" si="35"/>
        <v>Лавровый лист</v>
      </c>
    </row>
    <row r="2240" spans="1:27" ht="15" customHeight="1" x14ac:dyDescent="0.25">
      <c r="A2240" t="s">
        <v>153</v>
      </c>
      <c r="L2240"/>
      <c r="M2240"/>
      <c r="N2240"/>
      <c r="O2240"/>
      <c r="P2240"/>
      <c r="T2240">
        <v>1258</v>
      </c>
      <c r="U2240" s="7">
        <v>3</v>
      </c>
      <c r="V2240" t="s">
        <v>613</v>
      </c>
      <c r="W2240" s="257" t="s">
        <v>894</v>
      </c>
      <c r="X2240" t="s">
        <v>895</v>
      </c>
      <c r="Y2240" s="316" t="s">
        <v>484</v>
      </c>
      <c r="Z2240" s="8">
        <v>0.01</v>
      </c>
      <c r="AA2240" s="202" t="str">
        <f t="shared" si="35"/>
        <v>Перец черный</v>
      </c>
    </row>
    <row r="2241" spans="1:27" ht="15" customHeight="1" x14ac:dyDescent="0.25">
      <c r="A2241" t="s">
        <v>153</v>
      </c>
      <c r="L2241"/>
      <c r="M2241"/>
      <c r="N2241"/>
      <c r="O2241"/>
      <c r="P2241"/>
      <c r="T2241">
        <v>1259</v>
      </c>
      <c r="U2241" s="7">
        <v>3</v>
      </c>
      <c r="V2241" t="s">
        <v>613</v>
      </c>
      <c r="W2241" s="257" t="s">
        <v>894</v>
      </c>
      <c r="X2241" t="s">
        <v>895</v>
      </c>
      <c r="Y2241" s="316" t="s">
        <v>558</v>
      </c>
      <c r="Z2241" s="8">
        <v>83.64</v>
      </c>
      <c r="AA2241" s="202" t="str">
        <f t="shared" si="35"/>
        <v>Общая масса готового блюда, г</v>
      </c>
    </row>
    <row r="2242" spans="1:27" ht="15" customHeight="1" x14ac:dyDescent="0.25">
      <c r="A2242" t="s">
        <v>153</v>
      </c>
      <c r="L2242"/>
      <c r="M2242"/>
      <c r="N2242"/>
      <c r="O2242"/>
      <c r="P2242"/>
      <c r="T2242">
        <v>1259</v>
      </c>
      <c r="U2242" s="7">
        <v>3</v>
      </c>
      <c r="V2242" t="s">
        <v>613</v>
      </c>
      <c r="W2242" s="257" t="s">
        <v>894</v>
      </c>
      <c r="X2242" t="s">
        <v>895</v>
      </c>
      <c r="Y2242" s="316" t="s">
        <v>1214</v>
      </c>
      <c r="Z2242" s="8">
        <v>83.64</v>
      </c>
      <c r="AA2242" s="202" t="str">
        <f t="shared" ref="AA2242:AA2305" si="36">VLOOKUP(Y2242,O:P,2,FALSE)</f>
        <v>Масса мясных и рыбных порций, г</v>
      </c>
    </row>
    <row r="2243" spans="1:27" ht="15" customHeight="1" x14ac:dyDescent="0.25">
      <c r="A2243" t="s">
        <v>153</v>
      </c>
      <c r="L2243"/>
      <c r="M2243"/>
      <c r="N2243"/>
      <c r="O2243"/>
      <c r="P2243"/>
      <c r="T2243">
        <v>1290</v>
      </c>
      <c r="U2243" s="7">
        <v>3</v>
      </c>
      <c r="V2243" t="s">
        <v>613</v>
      </c>
      <c r="W2243" s="257" t="s">
        <v>896</v>
      </c>
      <c r="X2243" t="s">
        <v>897</v>
      </c>
      <c r="Y2243" s="316" t="s">
        <v>469</v>
      </c>
      <c r="Z2243" s="8">
        <v>120</v>
      </c>
      <c r="AA2243" s="202" t="str">
        <f t="shared" si="36"/>
        <v>Сайда б/г</v>
      </c>
    </row>
    <row r="2244" spans="1:27" ht="15" customHeight="1" x14ac:dyDescent="0.25">
      <c r="A2244" t="s">
        <v>153</v>
      </c>
      <c r="L2244"/>
      <c r="M2244"/>
      <c r="N2244"/>
      <c r="O2244"/>
      <c r="P2244"/>
      <c r="T2244">
        <v>1291</v>
      </c>
      <c r="U2244" s="7">
        <v>3</v>
      </c>
      <c r="V2244" t="s">
        <v>613</v>
      </c>
      <c r="W2244" s="257" t="s">
        <v>896</v>
      </c>
      <c r="X2244" t="s">
        <v>897</v>
      </c>
      <c r="Y2244" s="316" t="s">
        <v>326</v>
      </c>
      <c r="Z2244" s="8">
        <v>2</v>
      </c>
      <c r="AA2244" s="202" t="str">
        <f t="shared" si="36"/>
        <v>Соль</v>
      </c>
    </row>
    <row r="2245" spans="1:27" ht="15" customHeight="1" x14ac:dyDescent="0.25">
      <c r="A2245" t="s">
        <v>153</v>
      </c>
      <c r="L2245"/>
      <c r="M2245"/>
      <c r="N2245"/>
      <c r="O2245"/>
      <c r="P2245"/>
      <c r="T2245">
        <v>1292</v>
      </c>
      <c r="U2245" s="7">
        <v>3</v>
      </c>
      <c r="V2245" t="s">
        <v>613</v>
      </c>
      <c r="W2245" s="257" t="s">
        <v>896</v>
      </c>
      <c r="X2245" t="s">
        <v>897</v>
      </c>
      <c r="Y2245" s="316" t="s">
        <v>32</v>
      </c>
      <c r="Z2245" s="8">
        <v>10</v>
      </c>
      <c r="AA2245" s="202" t="str">
        <f t="shared" si="36"/>
        <v>Лук репчатый</v>
      </c>
    </row>
    <row r="2246" spans="1:27" ht="15" customHeight="1" x14ac:dyDescent="0.25">
      <c r="A2246" t="s">
        <v>153</v>
      </c>
      <c r="L2246"/>
      <c r="M2246"/>
      <c r="N2246"/>
      <c r="O2246"/>
      <c r="P2246"/>
      <c r="T2246">
        <v>1293</v>
      </c>
      <c r="U2246" s="7">
        <v>3</v>
      </c>
      <c r="V2246" t="s">
        <v>613</v>
      </c>
      <c r="W2246" s="257" t="s">
        <v>896</v>
      </c>
      <c r="X2246" t="s">
        <v>897</v>
      </c>
      <c r="Y2246" s="316" t="s">
        <v>74</v>
      </c>
      <c r="Z2246" s="8">
        <v>0.01</v>
      </c>
      <c r="AA2246" s="202" t="str">
        <f t="shared" si="36"/>
        <v>Лавровый лист</v>
      </c>
    </row>
    <row r="2247" spans="1:27" ht="15" customHeight="1" x14ac:dyDescent="0.25">
      <c r="A2247" t="s">
        <v>153</v>
      </c>
      <c r="L2247"/>
      <c r="M2247"/>
      <c r="N2247"/>
      <c r="O2247"/>
      <c r="P2247"/>
      <c r="T2247">
        <v>1294</v>
      </c>
      <c r="U2247" s="7">
        <v>3</v>
      </c>
      <c r="V2247" t="s">
        <v>613</v>
      </c>
      <c r="W2247" s="257" t="s">
        <v>896</v>
      </c>
      <c r="X2247" t="s">
        <v>897</v>
      </c>
      <c r="Y2247" s="316" t="s">
        <v>484</v>
      </c>
      <c r="Z2247" s="8">
        <v>0.01</v>
      </c>
      <c r="AA2247" s="202" t="str">
        <f t="shared" si="36"/>
        <v>Перец черный</v>
      </c>
    </row>
    <row r="2248" spans="1:27" ht="15" customHeight="1" x14ac:dyDescent="0.25">
      <c r="A2248" t="s">
        <v>153</v>
      </c>
      <c r="L2248"/>
      <c r="M2248"/>
      <c r="N2248"/>
      <c r="O2248"/>
      <c r="P2248"/>
      <c r="T2248">
        <v>1295</v>
      </c>
      <c r="U2248" s="7">
        <v>3</v>
      </c>
      <c r="V2248" t="s">
        <v>613</v>
      </c>
      <c r="W2248" s="257" t="s">
        <v>896</v>
      </c>
      <c r="X2248" t="s">
        <v>897</v>
      </c>
      <c r="Y2248" s="316" t="s">
        <v>558</v>
      </c>
      <c r="Z2248" s="8">
        <v>85.608000000000004</v>
      </c>
      <c r="AA2248" s="202" t="str">
        <f t="shared" si="36"/>
        <v>Общая масса готового блюда, г</v>
      </c>
    </row>
    <row r="2249" spans="1:27" ht="15" customHeight="1" x14ac:dyDescent="0.25">
      <c r="A2249" t="s">
        <v>153</v>
      </c>
      <c r="L2249"/>
      <c r="M2249"/>
      <c r="N2249"/>
      <c r="O2249"/>
      <c r="P2249"/>
      <c r="T2249">
        <v>1295</v>
      </c>
      <c r="U2249" s="7">
        <v>3</v>
      </c>
      <c r="V2249" t="s">
        <v>613</v>
      </c>
      <c r="W2249" s="257" t="s">
        <v>896</v>
      </c>
      <c r="X2249" t="s">
        <v>897</v>
      </c>
      <c r="Y2249" s="316" t="s">
        <v>1214</v>
      </c>
      <c r="Z2249" s="8">
        <v>85.608000000000004</v>
      </c>
      <c r="AA2249" s="202" t="str">
        <f t="shared" si="36"/>
        <v>Масса мясных и рыбных порций, г</v>
      </c>
    </row>
    <row r="2250" spans="1:27" ht="15" customHeight="1" x14ac:dyDescent="0.25">
      <c r="A2250" t="s">
        <v>153</v>
      </c>
      <c r="L2250"/>
      <c r="M2250"/>
      <c r="N2250"/>
      <c r="O2250"/>
      <c r="P2250"/>
      <c r="T2250">
        <v>1266</v>
      </c>
      <c r="U2250" s="7">
        <v>3</v>
      </c>
      <c r="V2250" t="s">
        <v>613</v>
      </c>
      <c r="W2250" s="257" t="s">
        <v>898</v>
      </c>
      <c r="X2250" t="s">
        <v>1217</v>
      </c>
      <c r="Y2250" t="s">
        <v>514</v>
      </c>
      <c r="Z2250" s="8">
        <v>120</v>
      </c>
      <c r="AA2250" s="202" t="str">
        <f t="shared" si="36"/>
        <v>Сом с/г</v>
      </c>
    </row>
    <row r="2251" spans="1:27" ht="15" customHeight="1" x14ac:dyDescent="0.25">
      <c r="A2251" t="s">
        <v>153</v>
      </c>
      <c r="L2251"/>
      <c r="M2251"/>
      <c r="N2251"/>
      <c r="O2251"/>
      <c r="P2251"/>
      <c r="T2251">
        <v>1267</v>
      </c>
      <c r="U2251" s="7">
        <v>3</v>
      </c>
      <c r="V2251" t="s">
        <v>613</v>
      </c>
      <c r="W2251" s="257" t="s">
        <v>898</v>
      </c>
      <c r="X2251" t="s">
        <v>1217</v>
      </c>
      <c r="Y2251" s="316" t="s">
        <v>326</v>
      </c>
      <c r="Z2251" s="8">
        <v>2</v>
      </c>
      <c r="AA2251" s="202" t="str">
        <f t="shared" si="36"/>
        <v>Соль</v>
      </c>
    </row>
    <row r="2252" spans="1:27" ht="15" customHeight="1" x14ac:dyDescent="0.25">
      <c r="A2252" t="s">
        <v>153</v>
      </c>
      <c r="L2252"/>
      <c r="M2252"/>
      <c r="N2252"/>
      <c r="O2252"/>
      <c r="P2252"/>
      <c r="T2252">
        <v>1268</v>
      </c>
      <c r="U2252" s="7">
        <v>3</v>
      </c>
      <c r="V2252" t="s">
        <v>613</v>
      </c>
      <c r="W2252" s="257" t="s">
        <v>898</v>
      </c>
      <c r="X2252" t="s">
        <v>1217</v>
      </c>
      <c r="Y2252" s="316" t="s">
        <v>32</v>
      </c>
      <c r="Z2252" s="8">
        <v>10</v>
      </c>
      <c r="AA2252" s="202" t="str">
        <f t="shared" si="36"/>
        <v>Лук репчатый</v>
      </c>
    </row>
    <row r="2253" spans="1:27" ht="15" customHeight="1" x14ac:dyDescent="0.25">
      <c r="A2253" t="s">
        <v>153</v>
      </c>
      <c r="L2253"/>
      <c r="M2253"/>
      <c r="N2253"/>
      <c r="O2253"/>
      <c r="P2253"/>
      <c r="T2253">
        <v>1269</v>
      </c>
      <c r="U2253" s="7">
        <v>3</v>
      </c>
      <c r="V2253" t="s">
        <v>613</v>
      </c>
      <c r="W2253" s="257" t="s">
        <v>898</v>
      </c>
      <c r="X2253" t="s">
        <v>1217</v>
      </c>
      <c r="Y2253" s="316" t="s">
        <v>74</v>
      </c>
      <c r="Z2253" s="8">
        <v>0.01</v>
      </c>
      <c r="AA2253" s="202" t="str">
        <f t="shared" si="36"/>
        <v>Лавровый лист</v>
      </c>
    </row>
    <row r="2254" spans="1:27" ht="15" customHeight="1" x14ac:dyDescent="0.25">
      <c r="A2254" t="s">
        <v>153</v>
      </c>
      <c r="L2254"/>
      <c r="M2254"/>
      <c r="N2254"/>
      <c r="O2254"/>
      <c r="P2254"/>
      <c r="T2254">
        <v>1270</v>
      </c>
      <c r="U2254" s="7">
        <v>3</v>
      </c>
      <c r="V2254" t="s">
        <v>613</v>
      </c>
      <c r="W2254" s="257" t="s">
        <v>898</v>
      </c>
      <c r="X2254" t="s">
        <v>1217</v>
      </c>
      <c r="Y2254" s="316" t="s">
        <v>484</v>
      </c>
      <c r="Z2254" s="8">
        <v>0.01</v>
      </c>
      <c r="AA2254" s="202" t="str">
        <f t="shared" si="36"/>
        <v>Перец черный</v>
      </c>
    </row>
    <row r="2255" spans="1:27" ht="15" customHeight="1" x14ac:dyDescent="0.25">
      <c r="A2255" t="s">
        <v>153</v>
      </c>
      <c r="L2255"/>
      <c r="M2255"/>
      <c r="N2255"/>
      <c r="O2255"/>
      <c r="P2255"/>
      <c r="T2255">
        <v>1271</v>
      </c>
      <c r="U2255" s="7">
        <v>3</v>
      </c>
      <c r="V2255" t="s">
        <v>613</v>
      </c>
      <c r="W2255" s="257" t="s">
        <v>898</v>
      </c>
      <c r="X2255" t="s">
        <v>1217</v>
      </c>
      <c r="Y2255" s="316" t="s">
        <v>558</v>
      </c>
      <c r="Z2255" s="8">
        <v>58.032000000000004</v>
      </c>
      <c r="AA2255" s="202" t="str">
        <f t="shared" si="36"/>
        <v>Общая масса готового блюда, г</v>
      </c>
    </row>
    <row r="2256" spans="1:27" ht="15" customHeight="1" x14ac:dyDescent="0.25">
      <c r="A2256" t="s">
        <v>153</v>
      </c>
      <c r="L2256"/>
      <c r="M2256"/>
      <c r="N2256"/>
      <c r="O2256"/>
      <c r="P2256"/>
      <c r="T2256">
        <v>1271</v>
      </c>
      <c r="U2256" s="7">
        <v>3</v>
      </c>
      <c r="V2256" t="s">
        <v>613</v>
      </c>
      <c r="W2256" s="257" t="s">
        <v>898</v>
      </c>
      <c r="X2256" t="s">
        <v>1217</v>
      </c>
      <c r="Y2256" s="316" t="s">
        <v>1214</v>
      </c>
      <c r="Z2256" s="8">
        <v>58.032000000000004</v>
      </c>
      <c r="AA2256" s="202" t="str">
        <f t="shared" si="36"/>
        <v>Масса мясных и рыбных порций, г</v>
      </c>
    </row>
    <row r="2257" spans="1:27" ht="15" customHeight="1" x14ac:dyDescent="0.25">
      <c r="A2257" t="s">
        <v>153</v>
      </c>
      <c r="L2257"/>
      <c r="M2257"/>
      <c r="N2257"/>
      <c r="O2257"/>
      <c r="P2257"/>
      <c r="T2257">
        <v>1248</v>
      </c>
      <c r="U2257" s="7">
        <v>3</v>
      </c>
      <c r="V2257" t="s">
        <v>613</v>
      </c>
      <c r="W2257" s="257" t="s">
        <v>900</v>
      </c>
      <c r="X2257" t="s">
        <v>901</v>
      </c>
      <c r="Y2257" s="316" t="s">
        <v>544</v>
      </c>
      <c r="Z2257" s="8">
        <v>120</v>
      </c>
      <c r="AA2257" s="202" t="str">
        <f t="shared" si="36"/>
        <v>Треска б/г</v>
      </c>
    </row>
    <row r="2258" spans="1:27" ht="15" customHeight="1" x14ac:dyDescent="0.25">
      <c r="A2258" t="s">
        <v>153</v>
      </c>
      <c r="L2258"/>
      <c r="M2258"/>
      <c r="N2258"/>
      <c r="O2258"/>
      <c r="P2258"/>
      <c r="T2258">
        <v>1249</v>
      </c>
      <c r="U2258" s="7">
        <v>3</v>
      </c>
      <c r="V2258" t="s">
        <v>613</v>
      </c>
      <c r="W2258" s="257" t="s">
        <v>900</v>
      </c>
      <c r="X2258" t="s">
        <v>901</v>
      </c>
      <c r="Y2258" s="316" t="s">
        <v>326</v>
      </c>
      <c r="Z2258" s="8">
        <v>2</v>
      </c>
      <c r="AA2258" s="202" t="str">
        <f t="shared" si="36"/>
        <v>Соль</v>
      </c>
    </row>
    <row r="2259" spans="1:27" ht="15" customHeight="1" x14ac:dyDescent="0.25">
      <c r="A2259" t="s">
        <v>153</v>
      </c>
      <c r="L2259"/>
      <c r="M2259"/>
      <c r="N2259"/>
      <c r="O2259"/>
      <c r="P2259"/>
      <c r="T2259">
        <v>1250</v>
      </c>
      <c r="U2259" s="7">
        <v>3</v>
      </c>
      <c r="V2259" t="s">
        <v>613</v>
      </c>
      <c r="W2259" s="257" t="s">
        <v>900</v>
      </c>
      <c r="X2259" t="s">
        <v>901</v>
      </c>
      <c r="Y2259" s="316" t="s">
        <v>32</v>
      </c>
      <c r="Z2259" s="8">
        <v>10</v>
      </c>
      <c r="AA2259" s="202" t="str">
        <f t="shared" si="36"/>
        <v>Лук репчатый</v>
      </c>
    </row>
    <row r="2260" spans="1:27" ht="15" customHeight="1" x14ac:dyDescent="0.25">
      <c r="A2260" t="s">
        <v>153</v>
      </c>
      <c r="L2260"/>
      <c r="M2260"/>
      <c r="N2260"/>
      <c r="O2260"/>
      <c r="P2260"/>
      <c r="T2260">
        <v>1251</v>
      </c>
      <c r="U2260" s="7">
        <v>3</v>
      </c>
      <c r="V2260" t="s">
        <v>613</v>
      </c>
      <c r="W2260" s="257" t="s">
        <v>900</v>
      </c>
      <c r="X2260" t="s">
        <v>901</v>
      </c>
      <c r="Y2260" s="316" t="s">
        <v>74</v>
      </c>
      <c r="Z2260" s="8">
        <v>0.01</v>
      </c>
      <c r="AA2260" s="202" t="str">
        <f t="shared" si="36"/>
        <v>Лавровый лист</v>
      </c>
    </row>
    <row r="2261" spans="1:27" ht="15" customHeight="1" x14ac:dyDescent="0.25">
      <c r="A2261" t="s">
        <v>153</v>
      </c>
      <c r="L2261"/>
      <c r="M2261"/>
      <c r="N2261"/>
      <c r="O2261"/>
      <c r="P2261"/>
      <c r="T2261">
        <v>1252</v>
      </c>
      <c r="U2261" s="7">
        <v>3</v>
      </c>
      <c r="V2261" t="s">
        <v>613</v>
      </c>
      <c r="W2261" s="257" t="s">
        <v>900</v>
      </c>
      <c r="X2261" t="s">
        <v>901</v>
      </c>
      <c r="Y2261" s="316" t="s">
        <v>484</v>
      </c>
      <c r="Z2261" s="8">
        <v>0.01</v>
      </c>
      <c r="AA2261" s="202" t="str">
        <f t="shared" si="36"/>
        <v>Перец черный</v>
      </c>
    </row>
    <row r="2262" spans="1:27" ht="15" customHeight="1" x14ac:dyDescent="0.25">
      <c r="A2262" t="s">
        <v>153</v>
      </c>
      <c r="L2262"/>
      <c r="M2262"/>
      <c r="N2262"/>
      <c r="O2262"/>
      <c r="P2262"/>
      <c r="T2262">
        <v>1253</v>
      </c>
      <c r="U2262" s="7">
        <v>3</v>
      </c>
      <c r="V2262" t="s">
        <v>613</v>
      </c>
      <c r="W2262" s="257" t="s">
        <v>900</v>
      </c>
      <c r="X2262" t="s">
        <v>901</v>
      </c>
      <c r="Y2262" s="316" t="s">
        <v>558</v>
      </c>
      <c r="Z2262" s="8">
        <v>83.64</v>
      </c>
      <c r="AA2262" s="202" t="str">
        <f t="shared" si="36"/>
        <v>Общая масса готового блюда, г</v>
      </c>
    </row>
    <row r="2263" spans="1:27" ht="15" customHeight="1" x14ac:dyDescent="0.25">
      <c r="A2263" t="s">
        <v>153</v>
      </c>
      <c r="L2263"/>
      <c r="M2263"/>
      <c r="N2263"/>
      <c r="O2263"/>
      <c r="P2263"/>
      <c r="T2263">
        <v>1253</v>
      </c>
      <c r="U2263" s="7">
        <v>3</v>
      </c>
      <c r="V2263" t="s">
        <v>613</v>
      </c>
      <c r="W2263" s="257" t="s">
        <v>900</v>
      </c>
      <c r="X2263" t="s">
        <v>901</v>
      </c>
      <c r="Y2263" s="316" t="s">
        <v>1214</v>
      </c>
      <c r="Z2263" s="8">
        <v>83.64</v>
      </c>
      <c r="AA2263" s="202" t="str">
        <f t="shared" si="36"/>
        <v>Масса мясных и рыбных порций, г</v>
      </c>
    </row>
    <row r="2264" spans="1:27" ht="15" customHeight="1" x14ac:dyDescent="0.25">
      <c r="A2264" t="s">
        <v>153</v>
      </c>
      <c r="L2264"/>
      <c r="M2264"/>
      <c r="N2264"/>
      <c r="O2264"/>
      <c r="P2264"/>
      <c r="T2264">
        <v>1308</v>
      </c>
      <c r="U2264" s="7">
        <v>3</v>
      </c>
      <c r="V2264" t="s">
        <v>613</v>
      </c>
      <c r="W2264" s="257" t="s">
        <v>902</v>
      </c>
      <c r="X2264" t="s">
        <v>903</v>
      </c>
      <c r="Y2264" s="316" t="s">
        <v>517</v>
      </c>
      <c r="Z2264" s="8">
        <v>120</v>
      </c>
      <c r="AA2264" s="202" t="str">
        <f t="shared" si="36"/>
        <v>Хек б/г</v>
      </c>
    </row>
    <row r="2265" spans="1:27" ht="15" customHeight="1" x14ac:dyDescent="0.25">
      <c r="A2265" t="s">
        <v>153</v>
      </c>
      <c r="L2265"/>
      <c r="M2265"/>
      <c r="N2265"/>
      <c r="O2265"/>
      <c r="P2265"/>
      <c r="T2265">
        <v>1309</v>
      </c>
      <c r="U2265" s="7">
        <v>3</v>
      </c>
      <c r="V2265" t="s">
        <v>613</v>
      </c>
      <c r="W2265" s="257" t="s">
        <v>902</v>
      </c>
      <c r="X2265" t="s">
        <v>903</v>
      </c>
      <c r="Y2265" s="316" t="s">
        <v>326</v>
      </c>
      <c r="Z2265" s="8">
        <v>2</v>
      </c>
      <c r="AA2265" s="202" t="str">
        <f t="shared" si="36"/>
        <v>Соль</v>
      </c>
    </row>
    <row r="2266" spans="1:27" ht="15" customHeight="1" x14ac:dyDescent="0.25">
      <c r="A2266" t="s">
        <v>153</v>
      </c>
      <c r="L2266"/>
      <c r="M2266"/>
      <c r="N2266"/>
      <c r="O2266"/>
      <c r="P2266"/>
      <c r="T2266">
        <v>1310</v>
      </c>
      <c r="U2266" s="7">
        <v>3</v>
      </c>
      <c r="V2266" t="s">
        <v>613</v>
      </c>
      <c r="W2266" s="257" t="s">
        <v>902</v>
      </c>
      <c r="X2266" t="s">
        <v>903</v>
      </c>
      <c r="Y2266" s="316" t="s">
        <v>32</v>
      </c>
      <c r="Z2266" s="8">
        <v>10</v>
      </c>
      <c r="AA2266" s="202" t="str">
        <f t="shared" si="36"/>
        <v>Лук репчатый</v>
      </c>
    </row>
    <row r="2267" spans="1:27" ht="15" customHeight="1" x14ac:dyDescent="0.25">
      <c r="A2267" t="s">
        <v>153</v>
      </c>
      <c r="L2267"/>
      <c r="M2267"/>
      <c r="N2267"/>
      <c r="O2267"/>
      <c r="P2267"/>
      <c r="T2267">
        <v>1311</v>
      </c>
      <c r="U2267" s="7">
        <v>3</v>
      </c>
      <c r="V2267" t="s">
        <v>613</v>
      </c>
      <c r="W2267" s="257" t="s">
        <v>902</v>
      </c>
      <c r="X2267" t="s">
        <v>903</v>
      </c>
      <c r="Y2267" s="316" t="s">
        <v>74</v>
      </c>
      <c r="Z2267" s="8">
        <v>0.01</v>
      </c>
      <c r="AA2267" s="202" t="str">
        <f t="shared" si="36"/>
        <v>Лавровый лист</v>
      </c>
    </row>
    <row r="2268" spans="1:27" ht="15" customHeight="1" x14ac:dyDescent="0.25">
      <c r="A2268" t="s">
        <v>153</v>
      </c>
      <c r="L2268"/>
      <c r="M2268"/>
      <c r="N2268"/>
      <c r="O2268"/>
      <c r="P2268"/>
      <c r="T2268">
        <v>1312</v>
      </c>
      <c r="U2268" s="7">
        <v>3</v>
      </c>
      <c r="V2268" t="s">
        <v>613</v>
      </c>
      <c r="W2268" s="257" t="s">
        <v>902</v>
      </c>
      <c r="X2268" t="s">
        <v>903</v>
      </c>
      <c r="Y2268" s="316" t="s">
        <v>484</v>
      </c>
      <c r="Z2268" s="8">
        <v>0.01</v>
      </c>
      <c r="AA2268" s="202" t="str">
        <f t="shared" si="36"/>
        <v>Перец черный</v>
      </c>
    </row>
    <row r="2269" spans="1:27" ht="15" customHeight="1" x14ac:dyDescent="0.25">
      <c r="A2269" t="s">
        <v>153</v>
      </c>
      <c r="L2269"/>
      <c r="M2269"/>
      <c r="N2269"/>
      <c r="O2269"/>
      <c r="P2269"/>
      <c r="T2269">
        <v>1313</v>
      </c>
      <c r="U2269" s="7">
        <v>3</v>
      </c>
      <c r="V2269" t="s">
        <v>613</v>
      </c>
      <c r="W2269" s="257" t="s">
        <v>902</v>
      </c>
      <c r="X2269" t="s">
        <v>903</v>
      </c>
      <c r="Y2269" s="316" t="s">
        <v>558</v>
      </c>
      <c r="Z2269" s="8">
        <v>85.248000000000005</v>
      </c>
      <c r="AA2269" s="202" t="str">
        <f t="shared" si="36"/>
        <v>Общая масса готового блюда, г</v>
      </c>
    </row>
    <row r="2270" spans="1:27" ht="15" customHeight="1" x14ac:dyDescent="0.25">
      <c r="A2270" t="s">
        <v>153</v>
      </c>
      <c r="L2270"/>
      <c r="M2270"/>
      <c r="N2270"/>
      <c r="O2270"/>
      <c r="P2270"/>
      <c r="T2270">
        <v>1313</v>
      </c>
      <c r="U2270" s="7">
        <v>3</v>
      </c>
      <c r="V2270" t="s">
        <v>613</v>
      </c>
      <c r="W2270" s="257" t="s">
        <v>902</v>
      </c>
      <c r="X2270" t="s">
        <v>903</v>
      </c>
      <c r="Y2270" s="316" t="s">
        <v>1214</v>
      </c>
      <c r="Z2270" s="8">
        <v>85.248000000000005</v>
      </c>
      <c r="AA2270" s="202" t="str">
        <f t="shared" si="36"/>
        <v>Масса мясных и рыбных порций, г</v>
      </c>
    </row>
    <row r="2271" spans="1:27" ht="15" customHeight="1" x14ac:dyDescent="0.25">
      <c r="A2271" t="s">
        <v>153</v>
      </c>
      <c r="L2271"/>
      <c r="M2271"/>
      <c r="N2271"/>
      <c r="O2271"/>
      <c r="P2271"/>
      <c r="T2271">
        <v>1302</v>
      </c>
      <c r="U2271" s="7">
        <v>3</v>
      </c>
      <c r="V2271" t="s">
        <v>613</v>
      </c>
      <c r="W2271" s="257" t="s">
        <v>904</v>
      </c>
      <c r="X2271" t="s">
        <v>905</v>
      </c>
      <c r="Y2271" s="316" t="s">
        <v>518</v>
      </c>
      <c r="Z2271" s="8">
        <v>120</v>
      </c>
      <c r="AA2271" s="202" t="str">
        <f t="shared" si="36"/>
        <v>Щука б/г</v>
      </c>
    </row>
    <row r="2272" spans="1:27" ht="15" customHeight="1" x14ac:dyDescent="0.25">
      <c r="A2272" t="s">
        <v>153</v>
      </c>
      <c r="L2272"/>
      <c r="M2272"/>
      <c r="N2272"/>
      <c r="O2272"/>
      <c r="P2272"/>
      <c r="T2272">
        <v>1303</v>
      </c>
      <c r="U2272" s="7">
        <v>3</v>
      </c>
      <c r="V2272" t="s">
        <v>613</v>
      </c>
      <c r="W2272" s="257" t="s">
        <v>904</v>
      </c>
      <c r="X2272" t="s">
        <v>905</v>
      </c>
      <c r="Y2272" s="316" t="s">
        <v>326</v>
      </c>
      <c r="Z2272" s="8">
        <v>2</v>
      </c>
      <c r="AA2272" s="202" t="str">
        <f t="shared" si="36"/>
        <v>Соль</v>
      </c>
    </row>
    <row r="2273" spans="1:27" ht="15" customHeight="1" x14ac:dyDescent="0.25">
      <c r="A2273" t="s">
        <v>153</v>
      </c>
      <c r="L2273"/>
      <c r="M2273"/>
      <c r="N2273"/>
      <c r="O2273"/>
      <c r="P2273"/>
      <c r="T2273">
        <v>1304</v>
      </c>
      <c r="U2273" s="7">
        <v>3</v>
      </c>
      <c r="V2273" t="s">
        <v>613</v>
      </c>
      <c r="W2273" s="257" t="s">
        <v>904</v>
      </c>
      <c r="X2273" t="s">
        <v>905</v>
      </c>
      <c r="Y2273" s="316" t="s">
        <v>32</v>
      </c>
      <c r="Z2273" s="8">
        <v>10</v>
      </c>
      <c r="AA2273" s="202" t="str">
        <f t="shared" si="36"/>
        <v>Лук репчатый</v>
      </c>
    </row>
    <row r="2274" spans="1:27" ht="15" customHeight="1" x14ac:dyDescent="0.25">
      <c r="A2274" t="s">
        <v>153</v>
      </c>
      <c r="L2274"/>
      <c r="M2274"/>
      <c r="N2274"/>
      <c r="O2274"/>
      <c r="P2274"/>
      <c r="T2274">
        <v>1305</v>
      </c>
      <c r="U2274" s="7">
        <v>3</v>
      </c>
      <c r="V2274" t="s">
        <v>613</v>
      </c>
      <c r="W2274" s="257" t="s">
        <v>904</v>
      </c>
      <c r="X2274" t="s">
        <v>905</v>
      </c>
      <c r="Y2274" s="316" t="s">
        <v>74</v>
      </c>
      <c r="Z2274" s="8">
        <v>0.01</v>
      </c>
      <c r="AA2274" s="202" t="str">
        <f t="shared" si="36"/>
        <v>Лавровый лист</v>
      </c>
    </row>
    <row r="2275" spans="1:27" ht="15" customHeight="1" x14ac:dyDescent="0.25">
      <c r="A2275" t="s">
        <v>153</v>
      </c>
      <c r="L2275"/>
      <c r="M2275"/>
      <c r="N2275"/>
      <c r="O2275"/>
      <c r="P2275"/>
      <c r="T2275">
        <v>1306</v>
      </c>
      <c r="U2275" s="7">
        <v>3</v>
      </c>
      <c r="V2275" t="s">
        <v>613</v>
      </c>
      <c r="W2275" s="257" t="s">
        <v>904</v>
      </c>
      <c r="X2275" t="s">
        <v>905</v>
      </c>
      <c r="Y2275" s="316" t="s">
        <v>484</v>
      </c>
      <c r="Z2275" s="8">
        <v>0.01</v>
      </c>
      <c r="AA2275" s="202" t="str">
        <f t="shared" si="36"/>
        <v>Перец черный</v>
      </c>
    </row>
    <row r="2276" spans="1:27" ht="15" customHeight="1" x14ac:dyDescent="0.25">
      <c r="A2276" t="s">
        <v>153</v>
      </c>
      <c r="L2276"/>
      <c r="M2276"/>
      <c r="N2276"/>
      <c r="O2276"/>
      <c r="P2276"/>
      <c r="T2276">
        <v>1307</v>
      </c>
      <c r="U2276" s="7">
        <v>3</v>
      </c>
      <c r="V2276" t="s">
        <v>613</v>
      </c>
      <c r="W2276" s="257" t="s">
        <v>904</v>
      </c>
      <c r="X2276" t="s">
        <v>905</v>
      </c>
      <c r="Y2276" s="316" t="s">
        <v>558</v>
      </c>
      <c r="Z2276" s="8">
        <v>79.680000000000007</v>
      </c>
      <c r="AA2276" s="202" t="str">
        <f t="shared" si="36"/>
        <v>Общая масса готового блюда, г</v>
      </c>
    </row>
    <row r="2277" spans="1:27" ht="15" customHeight="1" x14ac:dyDescent="0.25">
      <c r="A2277" t="s">
        <v>153</v>
      </c>
      <c r="L2277"/>
      <c r="M2277"/>
      <c r="N2277"/>
      <c r="O2277"/>
      <c r="P2277"/>
      <c r="T2277">
        <v>1307</v>
      </c>
      <c r="U2277" s="7">
        <v>3</v>
      </c>
      <c r="V2277" t="s">
        <v>613</v>
      </c>
      <c r="W2277" s="257" t="s">
        <v>904</v>
      </c>
      <c r="X2277" t="s">
        <v>905</v>
      </c>
      <c r="Y2277" s="316" t="s">
        <v>1214</v>
      </c>
      <c r="Z2277" s="8">
        <v>76.800000000000011</v>
      </c>
      <c r="AA2277" s="202" t="str">
        <f t="shared" si="36"/>
        <v>Масса мясных и рыбных порций, г</v>
      </c>
    </row>
    <row r="2278" spans="1:27" ht="15" customHeight="1" x14ac:dyDescent="0.25">
      <c r="A2278" t="s">
        <v>153</v>
      </c>
      <c r="L2278"/>
      <c r="M2278"/>
      <c r="N2278"/>
      <c r="O2278"/>
      <c r="P2278"/>
      <c r="T2278">
        <v>1296</v>
      </c>
      <c r="U2278" s="7">
        <v>3</v>
      </c>
      <c r="V2278" t="s">
        <v>613</v>
      </c>
      <c r="W2278" s="257" t="s">
        <v>906</v>
      </c>
      <c r="X2278" t="s">
        <v>907</v>
      </c>
      <c r="Y2278" s="316" t="s">
        <v>519</v>
      </c>
      <c r="Z2278" s="8">
        <v>150</v>
      </c>
      <c r="AA2278" s="202" t="str">
        <f t="shared" si="36"/>
        <v>Щука с/г</v>
      </c>
    </row>
    <row r="2279" spans="1:27" ht="15" customHeight="1" x14ac:dyDescent="0.25">
      <c r="A2279" t="s">
        <v>153</v>
      </c>
      <c r="L2279"/>
      <c r="M2279"/>
      <c r="N2279"/>
      <c r="O2279"/>
      <c r="P2279"/>
      <c r="T2279">
        <v>1297</v>
      </c>
      <c r="U2279" s="7">
        <v>3</v>
      </c>
      <c r="V2279" t="s">
        <v>613</v>
      </c>
      <c r="W2279" s="257" t="s">
        <v>906</v>
      </c>
      <c r="X2279" t="s">
        <v>907</v>
      </c>
      <c r="Y2279" s="316" t="s">
        <v>326</v>
      </c>
      <c r="Z2279" s="8">
        <v>2</v>
      </c>
      <c r="AA2279" s="202" t="str">
        <f t="shared" si="36"/>
        <v>Соль</v>
      </c>
    </row>
    <row r="2280" spans="1:27" ht="15" customHeight="1" x14ac:dyDescent="0.25">
      <c r="A2280" t="s">
        <v>153</v>
      </c>
      <c r="L2280"/>
      <c r="M2280"/>
      <c r="N2280"/>
      <c r="O2280"/>
      <c r="P2280"/>
      <c r="T2280">
        <v>1298</v>
      </c>
      <c r="U2280" s="7">
        <v>3</v>
      </c>
      <c r="V2280" t="s">
        <v>613</v>
      </c>
      <c r="W2280" s="257" t="s">
        <v>906</v>
      </c>
      <c r="X2280" t="s">
        <v>907</v>
      </c>
      <c r="Y2280" s="316" t="s">
        <v>32</v>
      </c>
      <c r="Z2280" s="8">
        <v>10</v>
      </c>
      <c r="AA2280" s="202" t="str">
        <f t="shared" si="36"/>
        <v>Лук репчатый</v>
      </c>
    </row>
    <row r="2281" spans="1:27" ht="15" customHeight="1" x14ac:dyDescent="0.25">
      <c r="A2281" t="s">
        <v>153</v>
      </c>
      <c r="L2281"/>
      <c r="M2281"/>
      <c r="N2281"/>
      <c r="O2281"/>
      <c r="P2281"/>
      <c r="T2281">
        <v>1299</v>
      </c>
      <c r="U2281" s="7">
        <v>3</v>
      </c>
      <c r="V2281" t="s">
        <v>613</v>
      </c>
      <c r="W2281" s="257" t="s">
        <v>906</v>
      </c>
      <c r="X2281" t="s">
        <v>907</v>
      </c>
      <c r="Y2281" s="316" t="s">
        <v>74</v>
      </c>
      <c r="Z2281" s="8">
        <v>0.01</v>
      </c>
      <c r="AA2281" s="202" t="str">
        <f t="shared" si="36"/>
        <v>Лавровый лист</v>
      </c>
    </row>
    <row r="2282" spans="1:27" ht="15" customHeight="1" x14ac:dyDescent="0.25">
      <c r="A2282" t="s">
        <v>153</v>
      </c>
      <c r="L2282"/>
      <c r="M2282"/>
      <c r="N2282"/>
      <c r="O2282"/>
      <c r="P2282"/>
      <c r="T2282">
        <v>1300</v>
      </c>
      <c r="U2282" s="7">
        <v>3</v>
      </c>
      <c r="V2282" t="s">
        <v>613</v>
      </c>
      <c r="W2282" s="257" t="s">
        <v>906</v>
      </c>
      <c r="X2282" t="s">
        <v>907</v>
      </c>
      <c r="Y2282" s="316" t="s">
        <v>484</v>
      </c>
      <c r="Z2282" s="8">
        <v>0.01</v>
      </c>
      <c r="AA2282" s="202" t="str">
        <f t="shared" si="36"/>
        <v>Перец черный</v>
      </c>
    </row>
    <row r="2283" spans="1:27" ht="15" customHeight="1" x14ac:dyDescent="0.25">
      <c r="A2283" t="s">
        <v>153</v>
      </c>
      <c r="L2283"/>
      <c r="M2283"/>
      <c r="N2283"/>
      <c r="O2283"/>
      <c r="P2283"/>
      <c r="T2283">
        <v>1301</v>
      </c>
      <c r="U2283" s="7">
        <v>3</v>
      </c>
      <c r="V2283" t="s">
        <v>613</v>
      </c>
      <c r="W2283" s="257" t="s">
        <v>906</v>
      </c>
      <c r="X2283" t="s">
        <v>907</v>
      </c>
      <c r="Y2283" s="316" t="s">
        <v>558</v>
      </c>
      <c r="Z2283" s="8">
        <v>76.800000000000011</v>
      </c>
      <c r="AA2283" s="202" t="str">
        <f t="shared" si="36"/>
        <v>Общая масса готового блюда, г</v>
      </c>
    </row>
    <row r="2284" spans="1:27" ht="15" customHeight="1" x14ac:dyDescent="0.25">
      <c r="A2284" t="s">
        <v>153</v>
      </c>
      <c r="L2284"/>
      <c r="M2284"/>
      <c r="N2284"/>
      <c r="O2284"/>
      <c r="P2284"/>
      <c r="T2284">
        <v>1301</v>
      </c>
      <c r="U2284" s="7">
        <v>3</v>
      </c>
      <c r="V2284" t="s">
        <v>613</v>
      </c>
      <c r="W2284" s="257" t="s">
        <v>906</v>
      </c>
      <c r="X2284" t="s">
        <v>907</v>
      </c>
      <c r="Y2284" s="316" t="s">
        <v>1214</v>
      </c>
      <c r="Z2284" s="8">
        <v>76.800000000000011</v>
      </c>
      <c r="AA2284" s="202" t="str">
        <f t="shared" si="36"/>
        <v>Масса мясных и рыбных порций, г</v>
      </c>
    </row>
    <row r="2285" spans="1:27" ht="15" customHeight="1" x14ac:dyDescent="0.25">
      <c r="A2285" t="s">
        <v>153</v>
      </c>
      <c r="L2285"/>
      <c r="M2285"/>
      <c r="N2285"/>
      <c r="O2285"/>
      <c r="P2285"/>
      <c r="T2285">
        <v>1626</v>
      </c>
      <c r="U2285" s="7">
        <v>3</v>
      </c>
      <c r="V2285" t="s">
        <v>613</v>
      </c>
      <c r="W2285" s="257">
        <v>3.6</v>
      </c>
      <c r="X2285" t="s">
        <v>908</v>
      </c>
      <c r="Y2285" s="316" t="s">
        <v>419</v>
      </c>
      <c r="Z2285" s="8">
        <v>120</v>
      </c>
      <c r="AA2285" s="202" t="str">
        <f t="shared" si="36"/>
        <v>Рыба с/м б/г</v>
      </c>
    </row>
    <row r="2286" spans="1:27" ht="15" customHeight="1" x14ac:dyDescent="0.25">
      <c r="A2286" t="s">
        <v>153</v>
      </c>
      <c r="L2286"/>
      <c r="M2286"/>
      <c r="N2286"/>
      <c r="O2286"/>
      <c r="P2286"/>
      <c r="T2286">
        <v>1627</v>
      </c>
      <c r="U2286" s="7">
        <v>3</v>
      </c>
      <c r="V2286" t="s">
        <v>613</v>
      </c>
      <c r="W2286" s="257">
        <v>3.6</v>
      </c>
      <c r="X2286" t="s">
        <v>908</v>
      </c>
      <c r="Y2286" s="316" t="s">
        <v>326</v>
      </c>
      <c r="Z2286" s="8">
        <v>2</v>
      </c>
      <c r="AA2286" s="202" t="str">
        <f t="shared" si="36"/>
        <v>Соль</v>
      </c>
    </row>
    <row r="2287" spans="1:27" ht="15" customHeight="1" x14ac:dyDescent="0.25">
      <c r="A2287" t="s">
        <v>153</v>
      </c>
      <c r="L2287"/>
      <c r="M2287"/>
      <c r="N2287"/>
      <c r="O2287"/>
      <c r="P2287"/>
      <c r="T2287">
        <v>1628</v>
      </c>
      <c r="U2287" s="7">
        <v>3</v>
      </c>
      <c r="V2287" t="s">
        <v>613</v>
      </c>
      <c r="W2287" s="257">
        <v>3.6</v>
      </c>
      <c r="X2287" t="s">
        <v>908</v>
      </c>
      <c r="Y2287" s="316" t="s">
        <v>61</v>
      </c>
      <c r="Z2287" s="8">
        <v>5</v>
      </c>
      <c r="AA2287" s="202" t="str">
        <f t="shared" si="36"/>
        <v>Масло растительное</v>
      </c>
    </row>
    <row r="2288" spans="1:27" ht="15" customHeight="1" x14ac:dyDescent="0.25">
      <c r="A2288" t="s">
        <v>153</v>
      </c>
      <c r="L2288"/>
      <c r="M2288"/>
      <c r="N2288"/>
      <c r="O2288"/>
      <c r="P2288"/>
      <c r="T2288">
        <v>1629</v>
      </c>
      <c r="U2288" s="7">
        <v>3</v>
      </c>
      <c r="V2288" t="s">
        <v>613</v>
      </c>
      <c r="W2288" s="257">
        <v>3.6</v>
      </c>
      <c r="X2288" t="s">
        <v>908</v>
      </c>
      <c r="Y2288" s="316" t="s">
        <v>434</v>
      </c>
      <c r="Z2288" s="8">
        <v>7</v>
      </c>
      <c r="AA2288" s="202" t="str">
        <f t="shared" si="36"/>
        <v>Мука пшеничная 1 с</v>
      </c>
    </row>
    <row r="2289" spans="1:27" ht="15" customHeight="1" x14ac:dyDescent="0.25">
      <c r="A2289" t="s">
        <v>153</v>
      </c>
      <c r="L2289"/>
      <c r="M2289"/>
      <c r="N2289"/>
      <c r="O2289"/>
      <c r="P2289"/>
      <c r="T2289">
        <v>1630</v>
      </c>
      <c r="U2289" s="7">
        <v>3</v>
      </c>
      <c r="V2289" t="s">
        <v>613</v>
      </c>
      <c r="W2289" s="257">
        <v>3.6</v>
      </c>
      <c r="X2289" t="s">
        <v>908</v>
      </c>
      <c r="Y2289" s="316" t="s">
        <v>46</v>
      </c>
      <c r="Z2289" s="8">
        <v>10</v>
      </c>
      <c r="AA2289" s="202" t="str">
        <f t="shared" si="36"/>
        <v>Морковь</v>
      </c>
    </row>
    <row r="2290" spans="1:27" ht="15" customHeight="1" x14ac:dyDescent="0.25">
      <c r="A2290" t="s">
        <v>153</v>
      </c>
      <c r="L2290"/>
      <c r="M2290"/>
      <c r="N2290"/>
      <c r="O2290"/>
      <c r="P2290"/>
      <c r="T2290">
        <v>1631</v>
      </c>
      <c r="U2290" s="7">
        <v>3</v>
      </c>
      <c r="V2290" t="s">
        <v>613</v>
      </c>
      <c r="W2290" s="257">
        <v>3.6</v>
      </c>
      <c r="X2290" t="s">
        <v>908</v>
      </c>
      <c r="Y2290" s="316" t="s">
        <v>32</v>
      </c>
      <c r="Z2290" s="8">
        <v>10</v>
      </c>
      <c r="AA2290" s="202" t="str">
        <f t="shared" si="36"/>
        <v>Лук репчатый</v>
      </c>
    </row>
    <row r="2291" spans="1:27" ht="15" customHeight="1" x14ac:dyDescent="0.25">
      <c r="A2291" t="s">
        <v>153</v>
      </c>
      <c r="L2291"/>
      <c r="M2291"/>
      <c r="N2291"/>
      <c r="O2291"/>
      <c r="P2291"/>
      <c r="T2291">
        <v>1632</v>
      </c>
      <c r="U2291" s="7">
        <v>3</v>
      </c>
      <c r="V2291" t="s">
        <v>613</v>
      </c>
      <c r="W2291" s="257">
        <v>3.6</v>
      </c>
      <c r="X2291" t="s">
        <v>908</v>
      </c>
      <c r="Y2291" s="316" t="s">
        <v>76</v>
      </c>
      <c r="Z2291" s="8">
        <v>2</v>
      </c>
      <c r="AA2291" s="202" t="str">
        <f t="shared" si="36"/>
        <v>Томат-паста</v>
      </c>
    </row>
    <row r="2292" spans="1:27" ht="15" customHeight="1" x14ac:dyDescent="0.25">
      <c r="A2292" t="s">
        <v>153</v>
      </c>
      <c r="L2292"/>
      <c r="M2292"/>
      <c r="N2292"/>
      <c r="O2292"/>
      <c r="P2292"/>
      <c r="T2292">
        <v>1633</v>
      </c>
      <c r="U2292" s="7">
        <v>3</v>
      </c>
      <c r="V2292" t="s">
        <v>613</v>
      </c>
      <c r="W2292" s="257">
        <v>3.6</v>
      </c>
      <c r="X2292" t="s">
        <v>908</v>
      </c>
      <c r="Y2292" s="316" t="s">
        <v>484</v>
      </c>
      <c r="Z2292" s="8">
        <v>0.01</v>
      </c>
      <c r="AA2292" s="202" t="str">
        <f t="shared" si="36"/>
        <v>Перец черный</v>
      </c>
    </row>
    <row r="2293" spans="1:27" ht="15" customHeight="1" x14ac:dyDescent="0.25">
      <c r="A2293" t="s">
        <v>153</v>
      </c>
      <c r="L2293"/>
      <c r="M2293"/>
      <c r="N2293"/>
      <c r="O2293"/>
      <c r="P2293"/>
      <c r="T2293">
        <v>1634</v>
      </c>
      <c r="U2293" s="7">
        <v>3</v>
      </c>
      <c r="V2293" t="s">
        <v>613</v>
      </c>
      <c r="W2293" s="257">
        <v>3.6</v>
      </c>
      <c r="X2293" t="s">
        <v>908</v>
      </c>
      <c r="Y2293" s="316" t="s">
        <v>1215</v>
      </c>
      <c r="Z2293" s="8">
        <v>134</v>
      </c>
      <c r="AA2293" s="202" t="str">
        <f t="shared" si="36"/>
        <v>Общая масса готового блюда, г</v>
      </c>
    </row>
    <row r="2294" spans="1:27" ht="15" customHeight="1" x14ac:dyDescent="0.25">
      <c r="A2294" t="s">
        <v>153</v>
      </c>
      <c r="L2294"/>
      <c r="M2294"/>
      <c r="N2294"/>
      <c r="O2294"/>
      <c r="P2294"/>
      <c r="T2294">
        <v>1634</v>
      </c>
      <c r="U2294" s="7">
        <v>3</v>
      </c>
      <c r="V2294" t="s">
        <v>613</v>
      </c>
      <c r="W2294" s="257">
        <v>3.6</v>
      </c>
      <c r="X2294" t="s">
        <v>908</v>
      </c>
      <c r="Y2294" s="316" t="s">
        <v>1214</v>
      </c>
      <c r="Z2294" s="8">
        <v>134</v>
      </c>
      <c r="AA2294" s="202" t="str">
        <f t="shared" si="36"/>
        <v>Масса мясных и рыбных порций, г</v>
      </c>
    </row>
    <row r="2295" spans="1:27" ht="15" customHeight="1" x14ac:dyDescent="0.25">
      <c r="A2295" t="s">
        <v>153</v>
      </c>
      <c r="L2295"/>
      <c r="M2295"/>
      <c r="N2295"/>
      <c r="O2295"/>
      <c r="P2295"/>
      <c r="T2295">
        <v>1689</v>
      </c>
      <c r="U2295" s="7">
        <v>3</v>
      </c>
      <c r="V2295" t="s">
        <v>613</v>
      </c>
      <c r="W2295" s="257" t="s">
        <v>909</v>
      </c>
      <c r="X2295" t="s">
        <v>910</v>
      </c>
      <c r="Y2295" s="316" t="s">
        <v>464</v>
      </c>
      <c r="Z2295" s="8">
        <v>120</v>
      </c>
      <c r="AA2295" s="202" t="str">
        <f t="shared" si="36"/>
        <v>Горбуша б/г</v>
      </c>
    </row>
    <row r="2296" spans="1:27" ht="15" customHeight="1" x14ac:dyDescent="0.25">
      <c r="A2296" t="s">
        <v>153</v>
      </c>
      <c r="L2296"/>
      <c r="M2296"/>
      <c r="N2296"/>
      <c r="O2296"/>
      <c r="P2296"/>
      <c r="T2296">
        <v>1690</v>
      </c>
      <c r="U2296" s="7">
        <v>3</v>
      </c>
      <c r="V2296" t="s">
        <v>613</v>
      </c>
      <c r="W2296" s="257" t="s">
        <v>909</v>
      </c>
      <c r="X2296" t="s">
        <v>910</v>
      </c>
      <c r="Y2296" s="316" t="s">
        <v>326</v>
      </c>
      <c r="Z2296" s="8">
        <v>2</v>
      </c>
      <c r="AA2296" s="202" t="str">
        <f t="shared" si="36"/>
        <v>Соль</v>
      </c>
    </row>
    <row r="2297" spans="1:27" ht="15" customHeight="1" x14ac:dyDescent="0.25">
      <c r="A2297" t="s">
        <v>153</v>
      </c>
      <c r="L2297"/>
      <c r="M2297"/>
      <c r="N2297"/>
      <c r="O2297"/>
      <c r="P2297"/>
      <c r="T2297">
        <v>1691</v>
      </c>
      <c r="U2297" s="7">
        <v>3</v>
      </c>
      <c r="V2297" t="s">
        <v>613</v>
      </c>
      <c r="W2297" s="257" t="s">
        <v>909</v>
      </c>
      <c r="X2297" t="s">
        <v>910</v>
      </c>
      <c r="Y2297" s="316" t="s">
        <v>61</v>
      </c>
      <c r="Z2297" s="8">
        <v>5</v>
      </c>
      <c r="AA2297" s="202" t="str">
        <f t="shared" si="36"/>
        <v>Масло растительное</v>
      </c>
    </row>
    <row r="2298" spans="1:27" ht="15" customHeight="1" x14ac:dyDescent="0.25">
      <c r="A2298" t="s">
        <v>153</v>
      </c>
      <c r="L2298"/>
      <c r="M2298"/>
      <c r="N2298"/>
      <c r="O2298"/>
      <c r="P2298"/>
      <c r="T2298">
        <v>1692</v>
      </c>
      <c r="U2298" s="7">
        <v>3</v>
      </c>
      <c r="V2298" t="s">
        <v>613</v>
      </c>
      <c r="W2298" s="257" t="s">
        <v>909</v>
      </c>
      <c r="X2298" t="s">
        <v>910</v>
      </c>
      <c r="Y2298" s="316" t="s">
        <v>434</v>
      </c>
      <c r="Z2298" s="8">
        <v>7</v>
      </c>
      <c r="AA2298" s="202" t="str">
        <f t="shared" si="36"/>
        <v>Мука пшеничная 1 с</v>
      </c>
    </row>
    <row r="2299" spans="1:27" ht="15" customHeight="1" x14ac:dyDescent="0.25">
      <c r="A2299" t="s">
        <v>153</v>
      </c>
      <c r="L2299"/>
      <c r="M2299"/>
      <c r="N2299"/>
      <c r="O2299"/>
      <c r="P2299"/>
      <c r="T2299">
        <v>1693</v>
      </c>
      <c r="U2299" s="7">
        <v>3</v>
      </c>
      <c r="V2299" t="s">
        <v>613</v>
      </c>
      <c r="W2299" s="257" t="s">
        <v>909</v>
      </c>
      <c r="X2299" t="s">
        <v>910</v>
      </c>
      <c r="Y2299" s="316" t="s">
        <v>46</v>
      </c>
      <c r="Z2299" s="8">
        <v>10</v>
      </c>
      <c r="AA2299" s="202" t="str">
        <f t="shared" si="36"/>
        <v>Морковь</v>
      </c>
    </row>
    <row r="2300" spans="1:27" ht="15" customHeight="1" x14ac:dyDescent="0.25">
      <c r="A2300" t="s">
        <v>153</v>
      </c>
      <c r="L2300"/>
      <c r="M2300"/>
      <c r="N2300"/>
      <c r="O2300"/>
      <c r="P2300"/>
      <c r="T2300">
        <v>1694</v>
      </c>
      <c r="U2300" s="7">
        <v>3</v>
      </c>
      <c r="V2300" t="s">
        <v>613</v>
      </c>
      <c r="W2300" s="257" t="s">
        <v>909</v>
      </c>
      <c r="X2300" t="s">
        <v>910</v>
      </c>
      <c r="Y2300" s="316" t="s">
        <v>32</v>
      </c>
      <c r="Z2300" s="8">
        <v>10</v>
      </c>
      <c r="AA2300" s="202" t="str">
        <f t="shared" si="36"/>
        <v>Лук репчатый</v>
      </c>
    </row>
    <row r="2301" spans="1:27" ht="15" customHeight="1" x14ac:dyDescent="0.25">
      <c r="A2301" t="s">
        <v>153</v>
      </c>
      <c r="L2301"/>
      <c r="M2301"/>
      <c r="N2301"/>
      <c r="O2301"/>
      <c r="P2301"/>
      <c r="T2301">
        <v>1695</v>
      </c>
      <c r="U2301" s="7">
        <v>3</v>
      </c>
      <c r="V2301" t="s">
        <v>613</v>
      </c>
      <c r="W2301" s="257" t="s">
        <v>909</v>
      </c>
      <c r="X2301" t="s">
        <v>910</v>
      </c>
      <c r="Y2301" s="316" t="s">
        <v>76</v>
      </c>
      <c r="Z2301" s="8">
        <v>2</v>
      </c>
      <c r="AA2301" s="202" t="str">
        <f t="shared" si="36"/>
        <v>Томат-паста</v>
      </c>
    </row>
    <row r="2302" spans="1:27" ht="15" customHeight="1" x14ac:dyDescent="0.25">
      <c r="A2302" t="s">
        <v>153</v>
      </c>
      <c r="L2302"/>
      <c r="M2302"/>
      <c r="N2302"/>
      <c r="O2302"/>
      <c r="P2302"/>
      <c r="T2302">
        <v>1696</v>
      </c>
      <c r="U2302" s="7">
        <v>3</v>
      </c>
      <c r="V2302" t="s">
        <v>613</v>
      </c>
      <c r="W2302" s="257" t="s">
        <v>909</v>
      </c>
      <c r="X2302" t="s">
        <v>910</v>
      </c>
      <c r="Y2302" s="316" t="s">
        <v>484</v>
      </c>
      <c r="Z2302" s="8">
        <v>0.01</v>
      </c>
      <c r="AA2302" s="202" t="str">
        <f t="shared" si="36"/>
        <v>Перец черный</v>
      </c>
    </row>
    <row r="2303" spans="1:27" ht="15" customHeight="1" x14ac:dyDescent="0.25">
      <c r="A2303" t="s">
        <v>153</v>
      </c>
      <c r="L2303"/>
      <c r="M2303"/>
      <c r="N2303"/>
      <c r="O2303"/>
      <c r="P2303"/>
      <c r="T2303">
        <v>1697</v>
      </c>
      <c r="U2303" s="7">
        <v>3</v>
      </c>
      <c r="V2303" t="s">
        <v>613</v>
      </c>
      <c r="W2303" s="257" t="s">
        <v>909</v>
      </c>
      <c r="X2303" t="s">
        <v>910</v>
      </c>
      <c r="Y2303" s="316" t="s">
        <v>558</v>
      </c>
      <c r="Z2303" s="8">
        <v>142</v>
      </c>
      <c r="AA2303" s="202" t="str">
        <f t="shared" si="36"/>
        <v>Общая масса готового блюда, г</v>
      </c>
    </row>
    <row r="2304" spans="1:27" ht="15" customHeight="1" x14ac:dyDescent="0.25">
      <c r="A2304" t="s">
        <v>153</v>
      </c>
      <c r="L2304"/>
      <c r="M2304"/>
      <c r="N2304"/>
      <c r="O2304"/>
      <c r="P2304"/>
      <c r="T2304">
        <v>1697</v>
      </c>
      <c r="U2304" s="7">
        <v>3</v>
      </c>
      <c r="V2304" t="s">
        <v>613</v>
      </c>
      <c r="W2304" s="257" t="s">
        <v>909</v>
      </c>
      <c r="X2304" t="s">
        <v>910</v>
      </c>
      <c r="Y2304" s="316" t="s">
        <v>1214</v>
      </c>
      <c r="Z2304" s="8">
        <v>92</v>
      </c>
      <c r="AA2304" s="202" t="str">
        <f t="shared" si="36"/>
        <v>Масса мясных и рыбных порций, г</v>
      </c>
    </row>
    <row r="2305" spans="1:27" ht="15" customHeight="1" x14ac:dyDescent="0.25">
      <c r="A2305" t="s">
        <v>153</v>
      </c>
      <c r="L2305"/>
      <c r="M2305"/>
      <c r="N2305"/>
      <c r="O2305"/>
      <c r="P2305"/>
      <c r="T2305">
        <v>1680</v>
      </c>
      <c r="U2305" s="7">
        <v>3</v>
      </c>
      <c r="V2305" t="s">
        <v>613</v>
      </c>
      <c r="W2305" s="257" t="s">
        <v>911</v>
      </c>
      <c r="X2305" t="s">
        <v>912</v>
      </c>
      <c r="Y2305" s="316" t="s">
        <v>465</v>
      </c>
      <c r="Z2305" s="8">
        <v>150</v>
      </c>
      <c r="AA2305" s="202" t="str">
        <f t="shared" si="36"/>
        <v>Горбуша с/г</v>
      </c>
    </row>
    <row r="2306" spans="1:27" ht="15" customHeight="1" x14ac:dyDescent="0.25">
      <c r="A2306" t="s">
        <v>153</v>
      </c>
      <c r="L2306"/>
      <c r="M2306"/>
      <c r="N2306"/>
      <c r="O2306"/>
      <c r="P2306"/>
      <c r="T2306">
        <v>1681</v>
      </c>
      <c r="U2306" s="7">
        <v>3</v>
      </c>
      <c r="V2306" t="s">
        <v>613</v>
      </c>
      <c r="W2306" s="257" t="s">
        <v>911</v>
      </c>
      <c r="X2306" t="s">
        <v>912</v>
      </c>
      <c r="Y2306" s="316" t="s">
        <v>326</v>
      </c>
      <c r="Z2306" s="8">
        <v>2</v>
      </c>
      <c r="AA2306" s="202" t="str">
        <f t="shared" ref="AA2306:AA2369" si="37">VLOOKUP(Y2306,O:P,2,FALSE)</f>
        <v>Соль</v>
      </c>
    </row>
    <row r="2307" spans="1:27" ht="15" customHeight="1" x14ac:dyDescent="0.25">
      <c r="A2307" t="s">
        <v>153</v>
      </c>
      <c r="L2307"/>
      <c r="M2307"/>
      <c r="N2307"/>
      <c r="O2307"/>
      <c r="P2307"/>
      <c r="T2307">
        <v>1682</v>
      </c>
      <c r="U2307" s="7">
        <v>3</v>
      </c>
      <c r="V2307" t="s">
        <v>613</v>
      </c>
      <c r="W2307" s="257" t="s">
        <v>911</v>
      </c>
      <c r="X2307" t="s">
        <v>912</v>
      </c>
      <c r="Y2307" s="316" t="s">
        <v>61</v>
      </c>
      <c r="Z2307" s="8">
        <v>5</v>
      </c>
      <c r="AA2307" s="202" t="str">
        <f t="shared" si="37"/>
        <v>Масло растительное</v>
      </c>
    </row>
    <row r="2308" spans="1:27" ht="15" customHeight="1" x14ac:dyDescent="0.25">
      <c r="A2308" t="s">
        <v>153</v>
      </c>
      <c r="L2308"/>
      <c r="M2308"/>
      <c r="N2308"/>
      <c r="O2308"/>
      <c r="P2308"/>
      <c r="T2308">
        <v>1683</v>
      </c>
      <c r="U2308" s="7">
        <v>3</v>
      </c>
      <c r="V2308" t="s">
        <v>613</v>
      </c>
      <c r="W2308" s="257" t="s">
        <v>911</v>
      </c>
      <c r="X2308" t="s">
        <v>912</v>
      </c>
      <c r="Y2308" s="316" t="s">
        <v>434</v>
      </c>
      <c r="Z2308" s="8">
        <v>7</v>
      </c>
      <c r="AA2308" s="202" t="str">
        <f t="shared" si="37"/>
        <v>Мука пшеничная 1 с</v>
      </c>
    </row>
    <row r="2309" spans="1:27" ht="15" customHeight="1" x14ac:dyDescent="0.25">
      <c r="A2309" t="s">
        <v>153</v>
      </c>
      <c r="L2309"/>
      <c r="M2309"/>
      <c r="N2309"/>
      <c r="O2309"/>
      <c r="P2309"/>
      <c r="T2309">
        <v>1684</v>
      </c>
      <c r="U2309" s="7">
        <v>3</v>
      </c>
      <c r="V2309" t="s">
        <v>613</v>
      </c>
      <c r="W2309" s="257" t="s">
        <v>911</v>
      </c>
      <c r="X2309" t="s">
        <v>912</v>
      </c>
      <c r="Y2309" s="316" t="s">
        <v>46</v>
      </c>
      <c r="Z2309" s="8">
        <v>10</v>
      </c>
      <c r="AA2309" s="202" t="str">
        <f t="shared" si="37"/>
        <v>Морковь</v>
      </c>
    </row>
    <row r="2310" spans="1:27" ht="15" customHeight="1" x14ac:dyDescent="0.25">
      <c r="A2310" t="s">
        <v>153</v>
      </c>
      <c r="L2310"/>
      <c r="M2310"/>
      <c r="N2310"/>
      <c r="O2310"/>
      <c r="P2310"/>
      <c r="T2310">
        <v>1685</v>
      </c>
      <c r="U2310" s="7">
        <v>3</v>
      </c>
      <c r="V2310" t="s">
        <v>613</v>
      </c>
      <c r="W2310" s="257" t="s">
        <v>911</v>
      </c>
      <c r="X2310" t="s">
        <v>912</v>
      </c>
      <c r="Y2310" s="316" t="s">
        <v>32</v>
      </c>
      <c r="Z2310" s="8">
        <v>10</v>
      </c>
      <c r="AA2310" s="202" t="str">
        <f t="shared" si="37"/>
        <v>Лук репчатый</v>
      </c>
    </row>
    <row r="2311" spans="1:27" ht="15" customHeight="1" x14ac:dyDescent="0.25">
      <c r="A2311" t="s">
        <v>153</v>
      </c>
      <c r="L2311"/>
      <c r="M2311"/>
      <c r="N2311"/>
      <c r="O2311"/>
      <c r="P2311"/>
      <c r="T2311">
        <v>1686</v>
      </c>
      <c r="U2311" s="7">
        <v>3</v>
      </c>
      <c r="V2311" t="s">
        <v>613</v>
      </c>
      <c r="W2311" s="257" t="s">
        <v>911</v>
      </c>
      <c r="X2311" t="s">
        <v>912</v>
      </c>
      <c r="Y2311" s="316" t="s">
        <v>76</v>
      </c>
      <c r="Z2311" s="8">
        <v>2</v>
      </c>
      <c r="AA2311" s="202" t="str">
        <f t="shared" si="37"/>
        <v>Томат-паста</v>
      </c>
    </row>
    <row r="2312" spans="1:27" ht="15" customHeight="1" x14ac:dyDescent="0.25">
      <c r="A2312" t="s">
        <v>153</v>
      </c>
      <c r="L2312"/>
      <c r="M2312"/>
      <c r="N2312"/>
      <c r="O2312"/>
      <c r="P2312"/>
      <c r="T2312">
        <v>1687</v>
      </c>
      <c r="U2312" s="7">
        <v>3</v>
      </c>
      <c r="V2312" t="s">
        <v>613</v>
      </c>
      <c r="W2312" s="257" t="s">
        <v>911</v>
      </c>
      <c r="X2312" t="s">
        <v>912</v>
      </c>
      <c r="Y2312" s="316" t="s">
        <v>484</v>
      </c>
      <c r="Z2312" s="8">
        <v>0.01</v>
      </c>
      <c r="AA2312" s="202" t="str">
        <f t="shared" si="37"/>
        <v>Перец черный</v>
      </c>
    </row>
    <row r="2313" spans="1:27" ht="15" customHeight="1" x14ac:dyDescent="0.25">
      <c r="A2313" t="s">
        <v>153</v>
      </c>
      <c r="L2313"/>
      <c r="M2313"/>
      <c r="N2313"/>
      <c r="O2313"/>
      <c r="P2313"/>
      <c r="T2313">
        <v>1688</v>
      </c>
      <c r="U2313" s="7">
        <v>3</v>
      </c>
      <c r="V2313" t="s">
        <v>613</v>
      </c>
      <c r="W2313" s="257" t="s">
        <v>911</v>
      </c>
      <c r="X2313" t="s">
        <v>912</v>
      </c>
      <c r="Y2313" s="316" t="s">
        <v>558</v>
      </c>
      <c r="Z2313" s="8">
        <v>128.80000000000001</v>
      </c>
      <c r="AA2313" s="202" t="str">
        <f t="shared" si="37"/>
        <v>Общая масса готового блюда, г</v>
      </c>
    </row>
    <row r="2314" spans="1:27" ht="15" customHeight="1" x14ac:dyDescent="0.25">
      <c r="A2314" t="s">
        <v>153</v>
      </c>
      <c r="L2314"/>
      <c r="M2314"/>
      <c r="N2314"/>
      <c r="O2314"/>
      <c r="P2314"/>
      <c r="T2314">
        <v>1688</v>
      </c>
      <c r="U2314" s="7">
        <v>3</v>
      </c>
      <c r="V2314" t="s">
        <v>613</v>
      </c>
      <c r="W2314" s="257" t="s">
        <v>911</v>
      </c>
      <c r="X2314" t="s">
        <v>912</v>
      </c>
      <c r="Y2314" s="316" t="s">
        <v>1214</v>
      </c>
      <c r="Z2314" s="8">
        <v>78.8</v>
      </c>
      <c r="AA2314" s="202" t="str">
        <f t="shared" si="37"/>
        <v>Масса мясных и рыбных порций, г</v>
      </c>
    </row>
    <row r="2315" spans="1:27" ht="15" customHeight="1" x14ac:dyDescent="0.25">
      <c r="A2315" t="s">
        <v>153</v>
      </c>
      <c r="L2315"/>
      <c r="M2315"/>
      <c r="N2315"/>
      <c r="O2315"/>
      <c r="P2315"/>
      <c r="T2315">
        <v>1671</v>
      </c>
      <c r="U2315" s="7">
        <v>3</v>
      </c>
      <c r="V2315" t="s">
        <v>613</v>
      </c>
      <c r="W2315" s="257" t="s">
        <v>913</v>
      </c>
      <c r="X2315" t="s">
        <v>914</v>
      </c>
      <c r="Y2315" s="316" t="s">
        <v>1218</v>
      </c>
      <c r="Z2315" s="8">
        <v>120</v>
      </c>
      <c r="AA2315" s="202" t="str">
        <f t="shared" si="37"/>
        <v>Камбала б/г</v>
      </c>
    </row>
    <row r="2316" spans="1:27" ht="15" customHeight="1" x14ac:dyDescent="0.25">
      <c r="A2316" t="s">
        <v>153</v>
      </c>
      <c r="L2316"/>
      <c r="M2316"/>
      <c r="N2316"/>
      <c r="O2316"/>
      <c r="P2316"/>
      <c r="T2316">
        <v>1672</v>
      </c>
      <c r="U2316" s="7">
        <v>3</v>
      </c>
      <c r="V2316" t="s">
        <v>613</v>
      </c>
      <c r="W2316" s="257" t="s">
        <v>913</v>
      </c>
      <c r="X2316" t="s">
        <v>914</v>
      </c>
      <c r="Y2316" s="316" t="s">
        <v>326</v>
      </c>
      <c r="Z2316" s="8">
        <v>2</v>
      </c>
      <c r="AA2316" s="202" t="str">
        <f t="shared" si="37"/>
        <v>Соль</v>
      </c>
    </row>
    <row r="2317" spans="1:27" ht="15" customHeight="1" x14ac:dyDescent="0.25">
      <c r="A2317" t="s">
        <v>153</v>
      </c>
      <c r="L2317"/>
      <c r="M2317"/>
      <c r="N2317"/>
      <c r="O2317"/>
      <c r="P2317"/>
      <c r="T2317">
        <v>1673</v>
      </c>
      <c r="U2317" s="7">
        <v>3</v>
      </c>
      <c r="V2317" t="s">
        <v>613</v>
      </c>
      <c r="W2317" s="257" t="s">
        <v>913</v>
      </c>
      <c r="X2317" t="s">
        <v>914</v>
      </c>
      <c r="Y2317" s="316" t="s">
        <v>61</v>
      </c>
      <c r="Z2317" s="8">
        <v>5</v>
      </c>
      <c r="AA2317" s="202" t="str">
        <f t="shared" si="37"/>
        <v>Масло растительное</v>
      </c>
    </row>
    <row r="2318" spans="1:27" ht="15" customHeight="1" x14ac:dyDescent="0.25">
      <c r="A2318" t="s">
        <v>153</v>
      </c>
      <c r="L2318"/>
      <c r="M2318"/>
      <c r="N2318"/>
      <c r="O2318"/>
      <c r="P2318"/>
      <c r="T2318">
        <v>1674</v>
      </c>
      <c r="U2318" s="7">
        <v>3</v>
      </c>
      <c r="V2318" t="s">
        <v>613</v>
      </c>
      <c r="W2318" s="257" t="s">
        <v>913</v>
      </c>
      <c r="X2318" t="s">
        <v>914</v>
      </c>
      <c r="Y2318" s="316" t="s">
        <v>434</v>
      </c>
      <c r="Z2318" s="8">
        <v>7</v>
      </c>
      <c r="AA2318" s="202" t="str">
        <f t="shared" si="37"/>
        <v>Мука пшеничная 1 с</v>
      </c>
    </row>
    <row r="2319" spans="1:27" ht="15" customHeight="1" x14ac:dyDescent="0.25">
      <c r="A2319" t="s">
        <v>153</v>
      </c>
      <c r="L2319"/>
      <c r="M2319"/>
      <c r="N2319"/>
      <c r="O2319"/>
      <c r="P2319"/>
      <c r="T2319">
        <v>1675</v>
      </c>
      <c r="U2319" s="7">
        <v>3</v>
      </c>
      <c r="V2319" t="s">
        <v>613</v>
      </c>
      <c r="W2319" s="257" t="s">
        <v>913</v>
      </c>
      <c r="X2319" t="s">
        <v>914</v>
      </c>
      <c r="Y2319" s="316" t="s">
        <v>46</v>
      </c>
      <c r="Z2319" s="8">
        <v>10</v>
      </c>
      <c r="AA2319" s="202" t="str">
        <f t="shared" si="37"/>
        <v>Морковь</v>
      </c>
    </row>
    <row r="2320" spans="1:27" ht="15" customHeight="1" x14ac:dyDescent="0.25">
      <c r="A2320" t="s">
        <v>153</v>
      </c>
      <c r="L2320"/>
      <c r="M2320"/>
      <c r="N2320"/>
      <c r="O2320"/>
      <c r="P2320"/>
      <c r="T2320">
        <v>1676</v>
      </c>
      <c r="U2320" s="7">
        <v>3</v>
      </c>
      <c r="V2320" t="s">
        <v>613</v>
      </c>
      <c r="W2320" s="257" t="s">
        <v>913</v>
      </c>
      <c r="X2320" t="s">
        <v>914</v>
      </c>
      <c r="Y2320" s="316" t="s">
        <v>32</v>
      </c>
      <c r="Z2320" s="8">
        <v>10</v>
      </c>
      <c r="AA2320" s="202" t="str">
        <f t="shared" si="37"/>
        <v>Лук репчатый</v>
      </c>
    </row>
    <row r="2321" spans="1:27" ht="15" customHeight="1" x14ac:dyDescent="0.25">
      <c r="A2321" t="s">
        <v>153</v>
      </c>
      <c r="L2321"/>
      <c r="M2321"/>
      <c r="N2321"/>
      <c r="O2321"/>
      <c r="P2321"/>
      <c r="T2321">
        <v>1677</v>
      </c>
      <c r="U2321" s="7">
        <v>3</v>
      </c>
      <c r="V2321" t="s">
        <v>613</v>
      </c>
      <c r="W2321" s="257" t="s">
        <v>913</v>
      </c>
      <c r="X2321" t="s">
        <v>914</v>
      </c>
      <c r="Y2321" s="316" t="s">
        <v>76</v>
      </c>
      <c r="Z2321" s="8">
        <v>2</v>
      </c>
      <c r="AA2321" s="202" t="str">
        <f t="shared" si="37"/>
        <v>Томат-паста</v>
      </c>
    </row>
    <row r="2322" spans="1:27" ht="15" customHeight="1" x14ac:dyDescent="0.25">
      <c r="A2322" t="s">
        <v>153</v>
      </c>
      <c r="L2322"/>
      <c r="M2322"/>
      <c r="N2322"/>
      <c r="O2322"/>
      <c r="P2322"/>
      <c r="T2322">
        <v>1678</v>
      </c>
      <c r="U2322" s="7">
        <v>3</v>
      </c>
      <c r="V2322" t="s">
        <v>613</v>
      </c>
      <c r="W2322" s="257" t="s">
        <v>913</v>
      </c>
      <c r="X2322" t="s">
        <v>914</v>
      </c>
      <c r="Y2322" s="316" t="s">
        <v>484</v>
      </c>
      <c r="Z2322" s="8">
        <v>0.01</v>
      </c>
      <c r="AA2322" s="202" t="str">
        <f t="shared" si="37"/>
        <v>Перец черный</v>
      </c>
    </row>
    <row r="2323" spans="1:27" ht="15" customHeight="1" x14ac:dyDescent="0.25">
      <c r="A2323" t="s">
        <v>153</v>
      </c>
      <c r="L2323"/>
      <c r="M2323"/>
      <c r="N2323"/>
      <c r="O2323"/>
      <c r="P2323"/>
      <c r="T2323">
        <v>1679</v>
      </c>
      <c r="U2323" s="7">
        <v>3</v>
      </c>
      <c r="V2323" t="s">
        <v>613</v>
      </c>
      <c r="W2323" s="257" t="s">
        <v>913</v>
      </c>
      <c r="X2323" t="s">
        <v>914</v>
      </c>
      <c r="Y2323" s="316" t="s">
        <v>558</v>
      </c>
      <c r="Z2323" s="8">
        <v>140.85000000000002</v>
      </c>
      <c r="AA2323" s="202" t="str">
        <f t="shared" si="37"/>
        <v>Общая масса готового блюда, г</v>
      </c>
    </row>
    <row r="2324" spans="1:27" ht="15" customHeight="1" x14ac:dyDescent="0.25">
      <c r="A2324" t="s">
        <v>153</v>
      </c>
      <c r="L2324"/>
      <c r="M2324"/>
      <c r="N2324"/>
      <c r="O2324"/>
      <c r="P2324"/>
      <c r="T2324">
        <v>1679</v>
      </c>
      <c r="U2324" s="7">
        <v>3</v>
      </c>
      <c r="V2324" t="s">
        <v>613</v>
      </c>
      <c r="W2324" s="257" t="s">
        <v>913</v>
      </c>
      <c r="X2324" t="s">
        <v>914</v>
      </c>
      <c r="Y2324" s="316" t="s">
        <v>1214</v>
      </c>
      <c r="Z2324" s="8">
        <v>90.9</v>
      </c>
      <c r="AA2324" s="202" t="str">
        <f t="shared" si="37"/>
        <v>Масса мясных и рыбных порций, г</v>
      </c>
    </row>
    <row r="2325" spans="1:27" ht="15" customHeight="1" x14ac:dyDescent="0.25">
      <c r="A2325" t="s">
        <v>153</v>
      </c>
      <c r="L2325"/>
      <c r="M2325"/>
      <c r="N2325"/>
      <c r="O2325"/>
      <c r="P2325"/>
      <c r="T2325">
        <v>1653</v>
      </c>
      <c r="U2325" s="7">
        <v>3</v>
      </c>
      <c r="V2325" t="s">
        <v>613</v>
      </c>
      <c r="W2325" s="257" t="s">
        <v>915</v>
      </c>
      <c r="X2325" t="s">
        <v>916</v>
      </c>
      <c r="Y2325" s="316" t="s">
        <v>466</v>
      </c>
      <c r="Z2325" s="8">
        <v>120</v>
      </c>
      <c r="AA2325" s="202" t="str">
        <f t="shared" si="37"/>
        <v>Навага б/г</v>
      </c>
    </row>
    <row r="2326" spans="1:27" ht="15" customHeight="1" x14ac:dyDescent="0.25">
      <c r="A2326" t="s">
        <v>153</v>
      </c>
      <c r="L2326"/>
      <c r="M2326"/>
      <c r="N2326"/>
      <c r="O2326"/>
      <c r="P2326"/>
      <c r="T2326">
        <v>1654</v>
      </c>
      <c r="U2326" s="7">
        <v>3</v>
      </c>
      <c r="V2326" t="s">
        <v>613</v>
      </c>
      <c r="W2326" s="257" t="s">
        <v>915</v>
      </c>
      <c r="X2326" t="s">
        <v>916</v>
      </c>
      <c r="Y2326" s="316" t="s">
        <v>326</v>
      </c>
      <c r="Z2326" s="8">
        <v>2</v>
      </c>
      <c r="AA2326" s="202" t="str">
        <f t="shared" si="37"/>
        <v>Соль</v>
      </c>
    </row>
    <row r="2327" spans="1:27" ht="15" customHeight="1" x14ac:dyDescent="0.25">
      <c r="A2327" t="s">
        <v>153</v>
      </c>
      <c r="L2327"/>
      <c r="M2327"/>
      <c r="N2327"/>
      <c r="O2327"/>
      <c r="P2327"/>
      <c r="T2327">
        <v>1655</v>
      </c>
      <c r="U2327" s="7">
        <v>3</v>
      </c>
      <c r="V2327" t="s">
        <v>613</v>
      </c>
      <c r="W2327" s="257" t="s">
        <v>915</v>
      </c>
      <c r="X2327" t="s">
        <v>916</v>
      </c>
      <c r="Y2327" s="316" t="s">
        <v>61</v>
      </c>
      <c r="Z2327" s="8">
        <v>5</v>
      </c>
      <c r="AA2327" s="202" t="str">
        <f t="shared" si="37"/>
        <v>Масло растительное</v>
      </c>
    </row>
    <row r="2328" spans="1:27" ht="15" customHeight="1" x14ac:dyDescent="0.25">
      <c r="A2328" t="s">
        <v>153</v>
      </c>
      <c r="L2328"/>
      <c r="M2328"/>
      <c r="N2328"/>
      <c r="O2328"/>
      <c r="P2328"/>
      <c r="T2328">
        <v>1656</v>
      </c>
      <c r="U2328" s="7">
        <v>3</v>
      </c>
      <c r="V2328" t="s">
        <v>613</v>
      </c>
      <c r="W2328" s="257" t="s">
        <v>915</v>
      </c>
      <c r="X2328" t="s">
        <v>916</v>
      </c>
      <c r="Y2328" s="316" t="s">
        <v>434</v>
      </c>
      <c r="Z2328" s="8">
        <v>7</v>
      </c>
      <c r="AA2328" s="202" t="str">
        <f t="shared" si="37"/>
        <v>Мука пшеничная 1 с</v>
      </c>
    </row>
    <row r="2329" spans="1:27" ht="15" customHeight="1" x14ac:dyDescent="0.25">
      <c r="A2329" t="s">
        <v>153</v>
      </c>
      <c r="L2329"/>
      <c r="M2329"/>
      <c r="N2329"/>
      <c r="O2329"/>
      <c r="P2329"/>
      <c r="T2329">
        <v>1657</v>
      </c>
      <c r="U2329" s="7">
        <v>3</v>
      </c>
      <c r="V2329" t="s">
        <v>613</v>
      </c>
      <c r="W2329" s="257" t="s">
        <v>915</v>
      </c>
      <c r="X2329" t="s">
        <v>916</v>
      </c>
      <c r="Y2329" s="316" t="s">
        <v>46</v>
      </c>
      <c r="Z2329" s="8">
        <v>10</v>
      </c>
      <c r="AA2329" s="202" t="str">
        <f t="shared" si="37"/>
        <v>Морковь</v>
      </c>
    </row>
    <row r="2330" spans="1:27" ht="15" customHeight="1" x14ac:dyDescent="0.25">
      <c r="A2330" t="s">
        <v>153</v>
      </c>
      <c r="L2330"/>
      <c r="M2330"/>
      <c r="N2330"/>
      <c r="O2330"/>
      <c r="P2330"/>
      <c r="T2330">
        <v>1658</v>
      </c>
      <c r="U2330" s="7">
        <v>3</v>
      </c>
      <c r="V2330" t="s">
        <v>613</v>
      </c>
      <c r="W2330" s="257" t="s">
        <v>915</v>
      </c>
      <c r="X2330" t="s">
        <v>916</v>
      </c>
      <c r="Y2330" s="316" t="s">
        <v>32</v>
      </c>
      <c r="Z2330" s="8">
        <v>10</v>
      </c>
      <c r="AA2330" s="202" t="str">
        <f t="shared" si="37"/>
        <v>Лук репчатый</v>
      </c>
    </row>
    <row r="2331" spans="1:27" ht="15" customHeight="1" x14ac:dyDescent="0.25">
      <c r="A2331" t="s">
        <v>153</v>
      </c>
      <c r="L2331"/>
      <c r="M2331"/>
      <c r="N2331"/>
      <c r="O2331"/>
      <c r="P2331"/>
      <c r="T2331">
        <v>1659</v>
      </c>
      <c r="U2331" s="7">
        <v>3</v>
      </c>
      <c r="V2331" t="s">
        <v>613</v>
      </c>
      <c r="W2331" s="257" t="s">
        <v>915</v>
      </c>
      <c r="X2331" t="s">
        <v>916</v>
      </c>
      <c r="Y2331" s="316" t="s">
        <v>76</v>
      </c>
      <c r="Z2331" s="8">
        <v>2</v>
      </c>
      <c r="AA2331" s="202" t="str">
        <f t="shared" si="37"/>
        <v>Томат-паста</v>
      </c>
    </row>
    <row r="2332" spans="1:27" ht="15" customHeight="1" x14ac:dyDescent="0.25">
      <c r="A2332" t="s">
        <v>153</v>
      </c>
      <c r="L2332"/>
      <c r="M2332"/>
      <c r="N2332"/>
      <c r="O2332"/>
      <c r="P2332"/>
      <c r="T2332">
        <v>1660</v>
      </c>
      <c r="U2332" s="7">
        <v>3</v>
      </c>
      <c r="V2332" t="s">
        <v>613</v>
      </c>
      <c r="W2332" s="257" t="s">
        <v>915</v>
      </c>
      <c r="X2332" t="s">
        <v>916</v>
      </c>
      <c r="Y2332" s="316" t="s">
        <v>484</v>
      </c>
      <c r="Z2332" s="8">
        <v>0.01</v>
      </c>
      <c r="AA2332" s="202" t="str">
        <f t="shared" si="37"/>
        <v>Перец черный</v>
      </c>
    </row>
    <row r="2333" spans="1:27" ht="15" customHeight="1" x14ac:dyDescent="0.25">
      <c r="A2333" t="s">
        <v>153</v>
      </c>
      <c r="L2333"/>
      <c r="M2333"/>
      <c r="N2333"/>
      <c r="O2333"/>
      <c r="P2333"/>
      <c r="T2333">
        <v>1661</v>
      </c>
      <c r="U2333" s="7">
        <v>3</v>
      </c>
      <c r="V2333" t="s">
        <v>613</v>
      </c>
      <c r="W2333" s="257" t="s">
        <v>915</v>
      </c>
      <c r="X2333" t="s">
        <v>916</v>
      </c>
      <c r="Y2333" s="316" t="s">
        <v>558</v>
      </c>
      <c r="Z2333" s="8">
        <v>120.75200000000001</v>
      </c>
      <c r="AA2333" s="202" t="str">
        <f t="shared" si="37"/>
        <v>Общая масса готового блюда, г</v>
      </c>
    </row>
    <row r="2334" spans="1:27" ht="15" customHeight="1" x14ac:dyDescent="0.25">
      <c r="A2334" t="s">
        <v>153</v>
      </c>
      <c r="L2334"/>
      <c r="M2334"/>
      <c r="N2334"/>
      <c r="O2334"/>
      <c r="P2334"/>
      <c r="T2334">
        <v>1661</v>
      </c>
      <c r="U2334" s="7">
        <v>3</v>
      </c>
      <c r="V2334" t="s">
        <v>613</v>
      </c>
      <c r="W2334" s="257" t="s">
        <v>915</v>
      </c>
      <c r="X2334" t="s">
        <v>916</v>
      </c>
      <c r="Y2334" s="316" t="s">
        <v>1214</v>
      </c>
      <c r="Z2334" s="8">
        <v>70.8</v>
      </c>
      <c r="AA2334" s="202" t="str">
        <f t="shared" si="37"/>
        <v>Масса мясных и рыбных порций, г</v>
      </c>
    </row>
    <row r="2335" spans="1:27" ht="15" customHeight="1" x14ac:dyDescent="0.25">
      <c r="A2335" t="s">
        <v>153</v>
      </c>
      <c r="L2335"/>
      <c r="M2335"/>
      <c r="N2335"/>
      <c r="O2335"/>
      <c r="P2335"/>
      <c r="T2335">
        <v>1644</v>
      </c>
      <c r="U2335" s="7">
        <v>3</v>
      </c>
      <c r="V2335" t="s">
        <v>613</v>
      </c>
      <c r="W2335" s="257" t="s">
        <v>917</v>
      </c>
      <c r="X2335" t="s">
        <v>918</v>
      </c>
      <c r="Y2335" s="316" t="s">
        <v>467</v>
      </c>
      <c r="Z2335" s="8">
        <v>120</v>
      </c>
      <c r="AA2335" s="202" t="str">
        <f t="shared" si="37"/>
        <v>Пикша б/г</v>
      </c>
    </row>
    <row r="2336" spans="1:27" ht="15" customHeight="1" x14ac:dyDescent="0.25">
      <c r="A2336" t="s">
        <v>153</v>
      </c>
      <c r="L2336"/>
      <c r="M2336"/>
      <c r="N2336"/>
      <c r="O2336"/>
      <c r="P2336"/>
      <c r="T2336">
        <v>1645</v>
      </c>
      <c r="U2336" s="7">
        <v>3</v>
      </c>
      <c r="V2336" t="s">
        <v>613</v>
      </c>
      <c r="W2336" s="257" t="s">
        <v>917</v>
      </c>
      <c r="X2336" t="s">
        <v>918</v>
      </c>
      <c r="Y2336" s="316" t="s">
        <v>326</v>
      </c>
      <c r="Z2336" s="8">
        <v>2</v>
      </c>
      <c r="AA2336" s="202" t="str">
        <f t="shared" si="37"/>
        <v>Соль</v>
      </c>
    </row>
    <row r="2337" spans="1:27" ht="15" customHeight="1" x14ac:dyDescent="0.25">
      <c r="A2337" t="s">
        <v>153</v>
      </c>
      <c r="L2337"/>
      <c r="M2337"/>
      <c r="N2337"/>
      <c r="O2337"/>
      <c r="P2337"/>
      <c r="T2337">
        <v>1646</v>
      </c>
      <c r="U2337" s="7">
        <v>3</v>
      </c>
      <c r="V2337" t="s">
        <v>613</v>
      </c>
      <c r="W2337" s="257" t="s">
        <v>917</v>
      </c>
      <c r="X2337" t="s">
        <v>918</v>
      </c>
      <c r="Y2337" s="316" t="s">
        <v>61</v>
      </c>
      <c r="Z2337" s="8">
        <v>5</v>
      </c>
      <c r="AA2337" s="202" t="str">
        <f t="shared" si="37"/>
        <v>Масло растительное</v>
      </c>
    </row>
    <row r="2338" spans="1:27" ht="15" customHeight="1" x14ac:dyDescent="0.25">
      <c r="A2338" t="s">
        <v>153</v>
      </c>
      <c r="L2338"/>
      <c r="M2338"/>
      <c r="N2338"/>
      <c r="O2338"/>
      <c r="P2338"/>
      <c r="T2338">
        <v>1647</v>
      </c>
      <c r="U2338" s="7">
        <v>3</v>
      </c>
      <c r="V2338" t="s">
        <v>613</v>
      </c>
      <c r="W2338" s="257" t="s">
        <v>917</v>
      </c>
      <c r="X2338" t="s">
        <v>918</v>
      </c>
      <c r="Y2338" s="316" t="s">
        <v>434</v>
      </c>
      <c r="Z2338" s="8">
        <v>7</v>
      </c>
      <c r="AA2338" s="202" t="str">
        <f t="shared" si="37"/>
        <v>Мука пшеничная 1 с</v>
      </c>
    </row>
    <row r="2339" spans="1:27" ht="15" customHeight="1" x14ac:dyDescent="0.25">
      <c r="A2339" t="s">
        <v>153</v>
      </c>
      <c r="L2339"/>
      <c r="M2339"/>
      <c r="N2339"/>
      <c r="O2339"/>
      <c r="P2339"/>
      <c r="T2339">
        <v>1648</v>
      </c>
      <c r="U2339" s="7">
        <v>3</v>
      </c>
      <c r="V2339" t="s">
        <v>613</v>
      </c>
      <c r="W2339" s="257" t="s">
        <v>917</v>
      </c>
      <c r="X2339" t="s">
        <v>918</v>
      </c>
      <c r="Y2339" s="316" t="s">
        <v>46</v>
      </c>
      <c r="Z2339" s="8">
        <v>10</v>
      </c>
      <c r="AA2339" s="202" t="str">
        <f t="shared" si="37"/>
        <v>Морковь</v>
      </c>
    </row>
    <row r="2340" spans="1:27" ht="15" customHeight="1" x14ac:dyDescent="0.25">
      <c r="A2340" t="s">
        <v>153</v>
      </c>
      <c r="L2340"/>
      <c r="M2340"/>
      <c r="N2340"/>
      <c r="O2340"/>
      <c r="P2340"/>
      <c r="T2340">
        <v>1649</v>
      </c>
      <c r="U2340" s="7">
        <v>3</v>
      </c>
      <c r="V2340" t="s">
        <v>613</v>
      </c>
      <c r="W2340" s="257" t="s">
        <v>917</v>
      </c>
      <c r="X2340" t="s">
        <v>918</v>
      </c>
      <c r="Y2340" s="316" t="s">
        <v>32</v>
      </c>
      <c r="Z2340" s="8">
        <v>10</v>
      </c>
      <c r="AA2340" s="202" t="str">
        <f t="shared" si="37"/>
        <v>Лук репчатый</v>
      </c>
    </row>
    <row r="2341" spans="1:27" ht="15" customHeight="1" x14ac:dyDescent="0.25">
      <c r="A2341" t="s">
        <v>153</v>
      </c>
      <c r="L2341"/>
      <c r="M2341"/>
      <c r="N2341"/>
      <c r="O2341"/>
      <c r="P2341"/>
      <c r="T2341">
        <v>1650</v>
      </c>
      <c r="U2341" s="7">
        <v>3</v>
      </c>
      <c r="V2341" t="s">
        <v>613</v>
      </c>
      <c r="W2341" s="257" t="s">
        <v>917</v>
      </c>
      <c r="X2341" t="s">
        <v>918</v>
      </c>
      <c r="Y2341" s="316" t="s">
        <v>76</v>
      </c>
      <c r="Z2341" s="8">
        <v>2</v>
      </c>
      <c r="AA2341" s="202" t="str">
        <f t="shared" si="37"/>
        <v>Томат-паста</v>
      </c>
    </row>
    <row r="2342" spans="1:27" ht="15" customHeight="1" x14ac:dyDescent="0.25">
      <c r="A2342" t="s">
        <v>153</v>
      </c>
      <c r="L2342"/>
      <c r="M2342"/>
      <c r="N2342"/>
      <c r="O2342"/>
      <c r="P2342"/>
      <c r="T2342">
        <v>1651</v>
      </c>
      <c r="U2342" s="7">
        <v>3</v>
      </c>
      <c r="V2342" t="s">
        <v>613</v>
      </c>
      <c r="W2342" s="257" t="s">
        <v>917</v>
      </c>
      <c r="X2342" t="s">
        <v>918</v>
      </c>
      <c r="Y2342" s="316" t="s">
        <v>484</v>
      </c>
      <c r="Z2342" s="8">
        <v>0.01</v>
      </c>
      <c r="AA2342" s="202" t="str">
        <f t="shared" si="37"/>
        <v>Перец черный</v>
      </c>
    </row>
    <row r="2343" spans="1:27" ht="15" customHeight="1" x14ac:dyDescent="0.25">
      <c r="A2343" t="s">
        <v>153</v>
      </c>
      <c r="L2343"/>
      <c r="M2343"/>
      <c r="N2343"/>
      <c r="O2343"/>
      <c r="P2343"/>
      <c r="T2343">
        <v>1652</v>
      </c>
      <c r="U2343" s="7">
        <v>3</v>
      </c>
      <c r="V2343" t="s">
        <v>613</v>
      </c>
      <c r="W2343" s="257" t="s">
        <v>917</v>
      </c>
      <c r="X2343" t="s">
        <v>918</v>
      </c>
      <c r="Y2343" s="316" t="s">
        <v>558</v>
      </c>
      <c r="Z2343" s="8">
        <v>120.75200000000001</v>
      </c>
      <c r="AA2343" s="202" t="str">
        <f t="shared" si="37"/>
        <v>Общая масса готового блюда, г</v>
      </c>
    </row>
    <row r="2344" spans="1:27" ht="15" customHeight="1" x14ac:dyDescent="0.25">
      <c r="A2344" t="s">
        <v>153</v>
      </c>
      <c r="L2344"/>
      <c r="M2344"/>
      <c r="N2344"/>
      <c r="O2344"/>
      <c r="P2344"/>
      <c r="T2344">
        <v>1652</v>
      </c>
      <c r="U2344" s="7">
        <v>3</v>
      </c>
      <c r="V2344" t="s">
        <v>613</v>
      </c>
      <c r="W2344" s="257" t="s">
        <v>917</v>
      </c>
      <c r="X2344" t="s">
        <v>918</v>
      </c>
      <c r="Y2344" s="316" t="s">
        <v>1214</v>
      </c>
      <c r="Z2344" s="8">
        <v>70.8</v>
      </c>
      <c r="AA2344" s="202" t="str">
        <f t="shared" si="37"/>
        <v>Масса мясных и рыбных порций, г</v>
      </c>
    </row>
    <row r="2345" spans="1:27" ht="15" customHeight="1" x14ac:dyDescent="0.25">
      <c r="A2345" t="s">
        <v>153</v>
      </c>
      <c r="L2345"/>
      <c r="M2345"/>
      <c r="N2345"/>
      <c r="O2345"/>
      <c r="P2345"/>
      <c r="T2345">
        <v>1698</v>
      </c>
      <c r="U2345" s="7">
        <v>3</v>
      </c>
      <c r="V2345" t="s">
        <v>613</v>
      </c>
      <c r="W2345" s="257" t="s">
        <v>919</v>
      </c>
      <c r="X2345" t="s">
        <v>920</v>
      </c>
      <c r="Y2345" s="316" t="s">
        <v>469</v>
      </c>
      <c r="Z2345" s="8">
        <v>120</v>
      </c>
      <c r="AA2345" s="202" t="str">
        <f t="shared" si="37"/>
        <v>Сайда б/г</v>
      </c>
    </row>
    <row r="2346" spans="1:27" ht="15" customHeight="1" x14ac:dyDescent="0.25">
      <c r="A2346" t="s">
        <v>153</v>
      </c>
      <c r="L2346"/>
      <c r="M2346"/>
      <c r="N2346"/>
      <c r="O2346"/>
      <c r="P2346"/>
      <c r="T2346">
        <v>1699</v>
      </c>
      <c r="U2346" s="7">
        <v>3</v>
      </c>
      <c r="V2346" t="s">
        <v>613</v>
      </c>
      <c r="W2346" s="257" t="s">
        <v>919</v>
      </c>
      <c r="X2346" t="s">
        <v>920</v>
      </c>
      <c r="Y2346" s="316" t="s">
        <v>326</v>
      </c>
      <c r="Z2346" s="8">
        <v>2</v>
      </c>
      <c r="AA2346" s="202" t="str">
        <f t="shared" si="37"/>
        <v>Соль</v>
      </c>
    </row>
    <row r="2347" spans="1:27" ht="15" customHeight="1" x14ac:dyDescent="0.25">
      <c r="A2347" t="s">
        <v>153</v>
      </c>
      <c r="L2347"/>
      <c r="M2347"/>
      <c r="N2347"/>
      <c r="O2347"/>
      <c r="P2347"/>
      <c r="T2347">
        <v>1700</v>
      </c>
      <c r="U2347" s="7">
        <v>3</v>
      </c>
      <c r="V2347" t="s">
        <v>613</v>
      </c>
      <c r="W2347" s="257" t="s">
        <v>919</v>
      </c>
      <c r="X2347" t="s">
        <v>920</v>
      </c>
      <c r="Y2347" s="316" t="s">
        <v>61</v>
      </c>
      <c r="Z2347" s="8">
        <v>5</v>
      </c>
      <c r="AA2347" s="202" t="str">
        <f t="shared" si="37"/>
        <v>Масло растительное</v>
      </c>
    </row>
    <row r="2348" spans="1:27" ht="15" customHeight="1" x14ac:dyDescent="0.25">
      <c r="A2348" t="s">
        <v>153</v>
      </c>
      <c r="L2348"/>
      <c r="M2348"/>
      <c r="N2348"/>
      <c r="O2348"/>
      <c r="P2348"/>
      <c r="T2348">
        <v>1701</v>
      </c>
      <c r="U2348" s="7">
        <v>3</v>
      </c>
      <c r="V2348" t="s">
        <v>613</v>
      </c>
      <c r="W2348" s="257" t="s">
        <v>919</v>
      </c>
      <c r="X2348" t="s">
        <v>920</v>
      </c>
      <c r="Y2348" s="316" t="s">
        <v>434</v>
      </c>
      <c r="Z2348" s="8">
        <v>7</v>
      </c>
      <c r="AA2348" s="202" t="str">
        <f t="shared" si="37"/>
        <v>Мука пшеничная 1 с</v>
      </c>
    </row>
    <row r="2349" spans="1:27" ht="15" customHeight="1" x14ac:dyDescent="0.25">
      <c r="A2349" t="s">
        <v>153</v>
      </c>
      <c r="L2349"/>
      <c r="M2349"/>
      <c r="N2349"/>
      <c r="O2349"/>
      <c r="P2349"/>
      <c r="T2349">
        <v>1702</v>
      </c>
      <c r="U2349" s="7">
        <v>3</v>
      </c>
      <c r="V2349" t="s">
        <v>613</v>
      </c>
      <c r="W2349" s="257" t="s">
        <v>919</v>
      </c>
      <c r="X2349" t="s">
        <v>920</v>
      </c>
      <c r="Y2349" s="316" t="s">
        <v>46</v>
      </c>
      <c r="Z2349" s="8">
        <v>10</v>
      </c>
      <c r="AA2349" s="202" t="str">
        <f t="shared" si="37"/>
        <v>Морковь</v>
      </c>
    </row>
    <row r="2350" spans="1:27" ht="15" customHeight="1" x14ac:dyDescent="0.25">
      <c r="A2350" t="s">
        <v>153</v>
      </c>
      <c r="L2350"/>
      <c r="M2350"/>
      <c r="N2350"/>
      <c r="O2350"/>
      <c r="P2350"/>
      <c r="T2350">
        <v>1703</v>
      </c>
      <c r="U2350" s="7">
        <v>3</v>
      </c>
      <c r="V2350" t="s">
        <v>613</v>
      </c>
      <c r="W2350" s="257" t="s">
        <v>919</v>
      </c>
      <c r="X2350" t="s">
        <v>920</v>
      </c>
      <c r="Y2350" s="316" t="s">
        <v>32</v>
      </c>
      <c r="Z2350" s="8">
        <v>10</v>
      </c>
      <c r="AA2350" s="202" t="str">
        <f t="shared" si="37"/>
        <v>Лук репчатый</v>
      </c>
    </row>
    <row r="2351" spans="1:27" ht="15" customHeight="1" x14ac:dyDescent="0.25">
      <c r="A2351" t="s">
        <v>153</v>
      </c>
      <c r="L2351"/>
      <c r="M2351"/>
      <c r="N2351"/>
      <c r="O2351"/>
      <c r="P2351"/>
      <c r="T2351">
        <v>1704</v>
      </c>
      <c r="U2351" s="7">
        <v>3</v>
      </c>
      <c r="V2351" t="s">
        <v>613</v>
      </c>
      <c r="W2351" s="257" t="s">
        <v>919</v>
      </c>
      <c r="X2351" t="s">
        <v>920</v>
      </c>
      <c r="Y2351" s="316" t="s">
        <v>76</v>
      </c>
      <c r="Z2351" s="8">
        <v>2</v>
      </c>
      <c r="AA2351" s="202" t="str">
        <f t="shared" si="37"/>
        <v>Томат-паста</v>
      </c>
    </row>
    <row r="2352" spans="1:27" ht="15" customHeight="1" x14ac:dyDescent="0.25">
      <c r="A2352" t="s">
        <v>153</v>
      </c>
      <c r="L2352"/>
      <c r="M2352"/>
      <c r="N2352"/>
      <c r="O2352"/>
      <c r="P2352"/>
      <c r="T2352">
        <v>1705</v>
      </c>
      <c r="U2352" s="7">
        <v>3</v>
      </c>
      <c r="V2352" t="s">
        <v>613</v>
      </c>
      <c r="W2352" s="257" t="s">
        <v>919</v>
      </c>
      <c r="X2352" t="s">
        <v>920</v>
      </c>
      <c r="Y2352" s="316" t="s">
        <v>484</v>
      </c>
      <c r="Z2352" s="8">
        <v>0.01</v>
      </c>
      <c r="AA2352" s="202" t="str">
        <f t="shared" si="37"/>
        <v>Перец черный</v>
      </c>
    </row>
    <row r="2353" spans="1:27" ht="15" customHeight="1" x14ac:dyDescent="0.25">
      <c r="A2353" t="s">
        <v>153</v>
      </c>
      <c r="L2353"/>
      <c r="M2353"/>
      <c r="N2353"/>
      <c r="O2353"/>
      <c r="P2353"/>
      <c r="T2353">
        <v>1706</v>
      </c>
      <c r="U2353" s="7">
        <v>3</v>
      </c>
      <c r="V2353" t="s">
        <v>613</v>
      </c>
      <c r="W2353" s="257" t="s">
        <v>919</v>
      </c>
      <c r="X2353" t="s">
        <v>920</v>
      </c>
      <c r="Y2353" s="316" t="s">
        <v>558</v>
      </c>
      <c r="Z2353" s="8">
        <v>139.12</v>
      </c>
      <c r="AA2353" s="202" t="str">
        <f t="shared" si="37"/>
        <v>Общая масса готового блюда, г</v>
      </c>
    </row>
    <row r="2354" spans="1:27" ht="15" customHeight="1" x14ac:dyDescent="0.25">
      <c r="A2354" t="s">
        <v>153</v>
      </c>
      <c r="L2354"/>
      <c r="M2354"/>
      <c r="N2354"/>
      <c r="O2354"/>
      <c r="P2354"/>
      <c r="T2354">
        <v>1706</v>
      </c>
      <c r="U2354" s="7">
        <v>3</v>
      </c>
      <c r="V2354" t="s">
        <v>613</v>
      </c>
      <c r="W2354" s="257" t="s">
        <v>919</v>
      </c>
      <c r="X2354" t="s">
        <v>920</v>
      </c>
      <c r="Y2354" s="316" t="s">
        <v>1214</v>
      </c>
      <c r="Z2354" s="8">
        <v>89.1</v>
      </c>
      <c r="AA2354" s="202" t="str">
        <f t="shared" si="37"/>
        <v>Масса мясных и рыбных порций, г</v>
      </c>
    </row>
    <row r="2355" spans="1:27" ht="15" customHeight="1" x14ac:dyDescent="0.25">
      <c r="A2355" t="s">
        <v>153</v>
      </c>
      <c r="L2355"/>
      <c r="M2355"/>
      <c r="N2355"/>
      <c r="O2355"/>
      <c r="P2355"/>
      <c r="T2355">
        <v>1662</v>
      </c>
      <c r="U2355" s="7">
        <v>3</v>
      </c>
      <c r="V2355" t="s">
        <v>613</v>
      </c>
      <c r="W2355" s="257" t="s">
        <v>921</v>
      </c>
      <c r="X2355" t="s">
        <v>922</v>
      </c>
      <c r="Y2355" t="s">
        <v>514</v>
      </c>
      <c r="Z2355" s="8">
        <v>150</v>
      </c>
      <c r="AA2355" s="202" t="str">
        <f t="shared" si="37"/>
        <v>Сом с/г</v>
      </c>
    </row>
    <row r="2356" spans="1:27" ht="15" customHeight="1" x14ac:dyDescent="0.25">
      <c r="A2356" t="s">
        <v>153</v>
      </c>
      <c r="L2356"/>
      <c r="M2356"/>
      <c r="N2356"/>
      <c r="O2356"/>
      <c r="P2356"/>
      <c r="T2356">
        <v>1663</v>
      </c>
      <c r="U2356" s="7">
        <v>3</v>
      </c>
      <c r="V2356" t="s">
        <v>613</v>
      </c>
      <c r="W2356" s="257" t="s">
        <v>921</v>
      </c>
      <c r="X2356" t="s">
        <v>922</v>
      </c>
      <c r="Y2356" s="316" t="s">
        <v>326</v>
      </c>
      <c r="Z2356" s="8">
        <v>2</v>
      </c>
      <c r="AA2356" s="202" t="str">
        <f t="shared" si="37"/>
        <v>Соль</v>
      </c>
    </row>
    <row r="2357" spans="1:27" ht="15" customHeight="1" x14ac:dyDescent="0.25">
      <c r="A2357" t="s">
        <v>153</v>
      </c>
      <c r="L2357"/>
      <c r="M2357"/>
      <c r="N2357"/>
      <c r="O2357"/>
      <c r="P2357"/>
      <c r="T2357">
        <v>1664</v>
      </c>
      <c r="U2357" s="7">
        <v>3</v>
      </c>
      <c r="V2357" t="s">
        <v>613</v>
      </c>
      <c r="W2357" s="257" t="s">
        <v>921</v>
      </c>
      <c r="X2357" t="s">
        <v>922</v>
      </c>
      <c r="Y2357" s="316" t="s">
        <v>61</v>
      </c>
      <c r="Z2357" s="8">
        <v>5</v>
      </c>
      <c r="AA2357" s="202" t="str">
        <f t="shared" si="37"/>
        <v>Масло растительное</v>
      </c>
    </row>
    <row r="2358" spans="1:27" ht="15" customHeight="1" x14ac:dyDescent="0.25">
      <c r="A2358" t="s">
        <v>153</v>
      </c>
      <c r="L2358"/>
      <c r="M2358"/>
      <c r="N2358"/>
      <c r="O2358"/>
      <c r="P2358"/>
      <c r="T2358">
        <v>1665</v>
      </c>
      <c r="U2358" s="7">
        <v>3</v>
      </c>
      <c r="V2358" t="s">
        <v>613</v>
      </c>
      <c r="W2358" s="257" t="s">
        <v>921</v>
      </c>
      <c r="X2358" t="s">
        <v>922</v>
      </c>
      <c r="Y2358" s="316" t="s">
        <v>434</v>
      </c>
      <c r="Z2358" s="8">
        <v>7</v>
      </c>
      <c r="AA2358" s="202" t="str">
        <f t="shared" si="37"/>
        <v>Мука пшеничная 1 с</v>
      </c>
    </row>
    <row r="2359" spans="1:27" ht="15" customHeight="1" x14ac:dyDescent="0.25">
      <c r="A2359" t="s">
        <v>153</v>
      </c>
      <c r="L2359"/>
      <c r="M2359"/>
      <c r="N2359"/>
      <c r="O2359"/>
      <c r="P2359"/>
      <c r="T2359">
        <v>1666</v>
      </c>
      <c r="U2359" s="7">
        <v>3</v>
      </c>
      <c r="V2359" t="s">
        <v>613</v>
      </c>
      <c r="W2359" s="257" t="s">
        <v>921</v>
      </c>
      <c r="X2359" t="s">
        <v>922</v>
      </c>
      <c r="Y2359" s="316" t="s">
        <v>46</v>
      </c>
      <c r="Z2359" s="8">
        <v>10</v>
      </c>
      <c r="AA2359" s="202" t="str">
        <f t="shared" si="37"/>
        <v>Морковь</v>
      </c>
    </row>
    <row r="2360" spans="1:27" ht="15" customHeight="1" x14ac:dyDescent="0.25">
      <c r="A2360" t="s">
        <v>153</v>
      </c>
      <c r="L2360"/>
      <c r="M2360"/>
      <c r="N2360"/>
      <c r="O2360"/>
      <c r="P2360"/>
      <c r="T2360">
        <v>1667</v>
      </c>
      <c r="U2360" s="7">
        <v>3</v>
      </c>
      <c r="V2360" t="s">
        <v>613</v>
      </c>
      <c r="W2360" s="257" t="s">
        <v>921</v>
      </c>
      <c r="X2360" t="s">
        <v>922</v>
      </c>
      <c r="Y2360" s="316" t="s">
        <v>32</v>
      </c>
      <c r="Z2360" s="8">
        <v>10</v>
      </c>
      <c r="AA2360" s="202" t="str">
        <f t="shared" si="37"/>
        <v>Лук репчатый</v>
      </c>
    </row>
    <row r="2361" spans="1:27" ht="15" customHeight="1" x14ac:dyDescent="0.25">
      <c r="A2361" t="s">
        <v>153</v>
      </c>
      <c r="L2361"/>
      <c r="M2361"/>
      <c r="N2361"/>
      <c r="O2361"/>
      <c r="P2361"/>
      <c r="T2361">
        <v>1668</v>
      </c>
      <c r="U2361" s="7">
        <v>3</v>
      </c>
      <c r="V2361" t="s">
        <v>613</v>
      </c>
      <c r="W2361" s="257" t="s">
        <v>921</v>
      </c>
      <c r="X2361" t="s">
        <v>922</v>
      </c>
      <c r="Y2361" s="316" t="s">
        <v>76</v>
      </c>
      <c r="Z2361" s="8">
        <v>2</v>
      </c>
      <c r="AA2361" s="202" t="str">
        <f t="shared" si="37"/>
        <v>Томат-паста</v>
      </c>
    </row>
    <row r="2362" spans="1:27" ht="15" customHeight="1" x14ac:dyDescent="0.25">
      <c r="A2362" t="s">
        <v>153</v>
      </c>
      <c r="L2362"/>
      <c r="M2362"/>
      <c r="N2362"/>
      <c r="O2362"/>
      <c r="P2362"/>
      <c r="T2362">
        <v>1669</v>
      </c>
      <c r="U2362" s="7">
        <v>3</v>
      </c>
      <c r="V2362" t="s">
        <v>613</v>
      </c>
      <c r="W2362" s="257" t="s">
        <v>921</v>
      </c>
      <c r="X2362" t="s">
        <v>922</v>
      </c>
      <c r="Y2362" s="316" t="s">
        <v>484</v>
      </c>
      <c r="Z2362" s="8">
        <v>0.01</v>
      </c>
      <c r="AA2362" s="202" t="str">
        <f t="shared" si="37"/>
        <v>Перец черный</v>
      </c>
    </row>
    <row r="2363" spans="1:27" ht="15" customHeight="1" x14ac:dyDescent="0.25">
      <c r="A2363" t="s">
        <v>153</v>
      </c>
      <c r="L2363"/>
      <c r="M2363"/>
      <c r="N2363"/>
      <c r="O2363"/>
      <c r="P2363"/>
      <c r="T2363">
        <v>1670</v>
      </c>
      <c r="U2363" s="7">
        <v>3</v>
      </c>
      <c r="V2363" t="s">
        <v>613</v>
      </c>
      <c r="W2363" s="257" t="s">
        <v>921</v>
      </c>
      <c r="X2363" t="s">
        <v>922</v>
      </c>
      <c r="Y2363" s="316" t="s">
        <v>558</v>
      </c>
      <c r="Z2363" s="8">
        <v>127</v>
      </c>
      <c r="AA2363" s="202" t="str">
        <f t="shared" si="37"/>
        <v>Общая масса готового блюда, г</v>
      </c>
    </row>
    <row r="2364" spans="1:27" ht="15" customHeight="1" x14ac:dyDescent="0.25">
      <c r="A2364" t="s">
        <v>153</v>
      </c>
      <c r="L2364"/>
      <c r="M2364"/>
      <c r="N2364"/>
      <c r="O2364"/>
      <c r="P2364"/>
      <c r="T2364">
        <v>1670</v>
      </c>
      <c r="U2364" s="7">
        <v>3</v>
      </c>
      <c r="V2364" t="s">
        <v>613</v>
      </c>
      <c r="W2364" s="257" t="s">
        <v>921</v>
      </c>
      <c r="X2364" t="s">
        <v>922</v>
      </c>
      <c r="Y2364" s="316" t="s">
        <v>1214</v>
      </c>
      <c r="Z2364" s="8">
        <v>77</v>
      </c>
      <c r="AA2364" s="202" t="str">
        <f t="shared" si="37"/>
        <v>Масса мясных и рыбных порций, г</v>
      </c>
    </row>
    <row r="2365" spans="1:27" ht="15" customHeight="1" x14ac:dyDescent="0.25">
      <c r="A2365" t="s">
        <v>153</v>
      </c>
      <c r="L2365"/>
      <c r="M2365"/>
      <c r="N2365"/>
      <c r="O2365"/>
      <c r="P2365"/>
      <c r="T2365">
        <v>1635</v>
      </c>
      <c r="U2365" s="7">
        <v>3</v>
      </c>
      <c r="V2365" t="s">
        <v>613</v>
      </c>
      <c r="W2365" s="257" t="s">
        <v>923</v>
      </c>
      <c r="X2365" t="s">
        <v>924</v>
      </c>
      <c r="Y2365" s="316" t="s">
        <v>544</v>
      </c>
      <c r="Z2365" s="8">
        <v>120</v>
      </c>
      <c r="AA2365" s="202" t="str">
        <f t="shared" si="37"/>
        <v>Треска б/г</v>
      </c>
    </row>
    <row r="2366" spans="1:27" ht="15" customHeight="1" x14ac:dyDescent="0.25">
      <c r="A2366" t="s">
        <v>153</v>
      </c>
      <c r="L2366"/>
      <c r="M2366"/>
      <c r="N2366"/>
      <c r="O2366"/>
      <c r="P2366"/>
      <c r="T2366">
        <v>1636</v>
      </c>
      <c r="U2366" s="7">
        <v>3</v>
      </c>
      <c r="V2366" t="s">
        <v>613</v>
      </c>
      <c r="W2366" s="257" t="s">
        <v>923</v>
      </c>
      <c r="X2366" t="s">
        <v>924</v>
      </c>
      <c r="Y2366" s="316" t="s">
        <v>326</v>
      </c>
      <c r="Z2366" s="8">
        <v>2</v>
      </c>
      <c r="AA2366" s="202" t="str">
        <f t="shared" si="37"/>
        <v>Соль</v>
      </c>
    </row>
    <row r="2367" spans="1:27" ht="15" customHeight="1" x14ac:dyDescent="0.25">
      <c r="A2367" t="s">
        <v>153</v>
      </c>
      <c r="L2367"/>
      <c r="M2367"/>
      <c r="N2367"/>
      <c r="O2367"/>
      <c r="P2367"/>
      <c r="T2367">
        <v>1637</v>
      </c>
      <c r="U2367" s="7">
        <v>3</v>
      </c>
      <c r="V2367" t="s">
        <v>613</v>
      </c>
      <c r="W2367" s="257" t="s">
        <v>923</v>
      </c>
      <c r="X2367" t="s">
        <v>924</v>
      </c>
      <c r="Y2367" s="316" t="s">
        <v>61</v>
      </c>
      <c r="Z2367" s="8">
        <v>5</v>
      </c>
      <c r="AA2367" s="202" t="str">
        <f t="shared" si="37"/>
        <v>Масло растительное</v>
      </c>
    </row>
    <row r="2368" spans="1:27" ht="15" customHeight="1" x14ac:dyDescent="0.25">
      <c r="A2368" t="s">
        <v>153</v>
      </c>
      <c r="L2368"/>
      <c r="M2368"/>
      <c r="N2368"/>
      <c r="O2368"/>
      <c r="P2368"/>
      <c r="T2368">
        <v>1638</v>
      </c>
      <c r="U2368" s="7">
        <v>3</v>
      </c>
      <c r="V2368" t="s">
        <v>613</v>
      </c>
      <c r="W2368" s="257" t="s">
        <v>923</v>
      </c>
      <c r="X2368" t="s">
        <v>924</v>
      </c>
      <c r="Y2368" s="316" t="s">
        <v>434</v>
      </c>
      <c r="Z2368" s="8">
        <v>7</v>
      </c>
      <c r="AA2368" s="202" t="str">
        <f t="shared" si="37"/>
        <v>Мука пшеничная 1 с</v>
      </c>
    </row>
    <row r="2369" spans="1:27" ht="15" customHeight="1" x14ac:dyDescent="0.25">
      <c r="A2369" t="s">
        <v>153</v>
      </c>
      <c r="L2369"/>
      <c r="M2369"/>
      <c r="N2369"/>
      <c r="O2369"/>
      <c r="P2369"/>
      <c r="T2369">
        <v>1639</v>
      </c>
      <c r="U2369" s="7">
        <v>3</v>
      </c>
      <c r="V2369" t="s">
        <v>613</v>
      </c>
      <c r="W2369" s="257" t="s">
        <v>923</v>
      </c>
      <c r="X2369" t="s">
        <v>924</v>
      </c>
      <c r="Y2369" s="316" t="s">
        <v>46</v>
      </c>
      <c r="Z2369" s="8">
        <v>10</v>
      </c>
      <c r="AA2369" s="202" t="str">
        <f t="shared" si="37"/>
        <v>Морковь</v>
      </c>
    </row>
    <row r="2370" spans="1:27" ht="15" customHeight="1" x14ac:dyDescent="0.25">
      <c r="A2370" t="s">
        <v>153</v>
      </c>
      <c r="L2370"/>
      <c r="M2370"/>
      <c r="N2370"/>
      <c r="O2370"/>
      <c r="P2370"/>
      <c r="T2370">
        <v>1640</v>
      </c>
      <c r="U2370" s="7">
        <v>3</v>
      </c>
      <c r="V2370" t="s">
        <v>613</v>
      </c>
      <c r="W2370" s="257" t="s">
        <v>923</v>
      </c>
      <c r="X2370" t="s">
        <v>924</v>
      </c>
      <c r="Y2370" s="316" t="s">
        <v>32</v>
      </c>
      <c r="Z2370" s="8">
        <v>10</v>
      </c>
      <c r="AA2370" s="202" t="str">
        <f t="shared" ref="AA2370:AA2433" si="38">VLOOKUP(Y2370,O:P,2,FALSE)</f>
        <v>Лук репчатый</v>
      </c>
    </row>
    <row r="2371" spans="1:27" ht="15" customHeight="1" x14ac:dyDescent="0.25">
      <c r="A2371" t="s">
        <v>153</v>
      </c>
      <c r="L2371"/>
      <c r="M2371"/>
      <c r="N2371"/>
      <c r="O2371"/>
      <c r="P2371"/>
      <c r="T2371">
        <v>1641</v>
      </c>
      <c r="U2371" s="7">
        <v>3</v>
      </c>
      <c r="V2371" t="s">
        <v>613</v>
      </c>
      <c r="W2371" s="257" t="s">
        <v>923</v>
      </c>
      <c r="X2371" t="s">
        <v>924</v>
      </c>
      <c r="Y2371" s="316" t="s">
        <v>76</v>
      </c>
      <c r="Z2371" s="8">
        <v>2</v>
      </c>
      <c r="AA2371" s="202" t="str">
        <f t="shared" si="38"/>
        <v>Томат-паста</v>
      </c>
    </row>
    <row r="2372" spans="1:27" ht="15" customHeight="1" x14ac:dyDescent="0.25">
      <c r="A2372" t="s">
        <v>153</v>
      </c>
      <c r="L2372"/>
      <c r="M2372"/>
      <c r="N2372"/>
      <c r="O2372"/>
      <c r="P2372"/>
      <c r="T2372">
        <v>1642</v>
      </c>
      <c r="U2372" s="7">
        <v>3</v>
      </c>
      <c r="V2372" t="s">
        <v>613</v>
      </c>
      <c r="W2372" s="257" t="s">
        <v>923</v>
      </c>
      <c r="X2372" t="s">
        <v>924</v>
      </c>
      <c r="Y2372" s="316" t="s">
        <v>484</v>
      </c>
      <c r="Z2372" s="8">
        <v>0.01</v>
      </c>
      <c r="AA2372" s="202" t="str">
        <f t="shared" si="38"/>
        <v>Перец черный</v>
      </c>
    </row>
    <row r="2373" spans="1:27" ht="15" customHeight="1" x14ac:dyDescent="0.25">
      <c r="A2373" t="s">
        <v>153</v>
      </c>
      <c r="L2373"/>
      <c r="M2373"/>
      <c r="N2373"/>
      <c r="O2373"/>
      <c r="P2373"/>
      <c r="T2373">
        <v>1643</v>
      </c>
      <c r="U2373" s="7">
        <v>3</v>
      </c>
      <c r="V2373" t="s">
        <v>613</v>
      </c>
      <c r="W2373" s="257" t="s">
        <v>923</v>
      </c>
      <c r="X2373" t="s">
        <v>924</v>
      </c>
      <c r="Y2373" s="316" t="s">
        <v>558</v>
      </c>
      <c r="Z2373" s="8">
        <v>137.19999999999999</v>
      </c>
      <c r="AA2373" s="202" t="str">
        <f t="shared" si="38"/>
        <v>Общая масса готового блюда, г</v>
      </c>
    </row>
    <row r="2374" spans="1:27" ht="15" customHeight="1" x14ac:dyDescent="0.25">
      <c r="A2374" t="s">
        <v>153</v>
      </c>
      <c r="L2374"/>
      <c r="M2374"/>
      <c r="N2374"/>
      <c r="O2374"/>
      <c r="P2374"/>
      <c r="T2374">
        <v>1643</v>
      </c>
      <c r="U2374" s="7">
        <v>3</v>
      </c>
      <c r="V2374" t="s">
        <v>613</v>
      </c>
      <c r="W2374" s="257" t="s">
        <v>923</v>
      </c>
      <c r="X2374" t="s">
        <v>924</v>
      </c>
      <c r="Y2374" s="316" t="s">
        <v>1214</v>
      </c>
      <c r="Z2374" s="8">
        <v>87.2</v>
      </c>
      <c r="AA2374" s="202" t="str">
        <f t="shared" si="38"/>
        <v>Масса мясных и рыбных порций, г</v>
      </c>
    </row>
    <row r="2375" spans="1:27" ht="15" customHeight="1" x14ac:dyDescent="0.25">
      <c r="A2375" t="s">
        <v>153</v>
      </c>
      <c r="L2375"/>
      <c r="M2375"/>
      <c r="N2375"/>
      <c r="O2375"/>
      <c r="P2375"/>
      <c r="T2375">
        <v>1725</v>
      </c>
      <c r="U2375" s="7">
        <v>3</v>
      </c>
      <c r="V2375" t="s">
        <v>613</v>
      </c>
      <c r="W2375" s="257" t="s">
        <v>925</v>
      </c>
      <c r="X2375" t="s">
        <v>926</v>
      </c>
      <c r="Y2375" s="316" t="s">
        <v>517</v>
      </c>
      <c r="Z2375" s="8">
        <v>120</v>
      </c>
      <c r="AA2375" s="202" t="str">
        <f t="shared" si="38"/>
        <v>Хек б/г</v>
      </c>
    </row>
    <row r="2376" spans="1:27" ht="15" customHeight="1" x14ac:dyDescent="0.25">
      <c r="A2376" t="s">
        <v>153</v>
      </c>
      <c r="L2376"/>
      <c r="M2376"/>
      <c r="N2376"/>
      <c r="O2376"/>
      <c r="P2376"/>
      <c r="T2376">
        <v>1726</v>
      </c>
      <c r="U2376" s="7">
        <v>3</v>
      </c>
      <c r="V2376" t="s">
        <v>613</v>
      </c>
      <c r="W2376" s="257" t="s">
        <v>925</v>
      </c>
      <c r="X2376" t="s">
        <v>926</v>
      </c>
      <c r="Y2376" s="316" t="s">
        <v>326</v>
      </c>
      <c r="Z2376" s="8">
        <v>2</v>
      </c>
      <c r="AA2376" s="202" t="str">
        <f t="shared" si="38"/>
        <v>Соль</v>
      </c>
    </row>
    <row r="2377" spans="1:27" ht="15" customHeight="1" x14ac:dyDescent="0.25">
      <c r="A2377" t="s">
        <v>153</v>
      </c>
      <c r="L2377"/>
      <c r="M2377"/>
      <c r="N2377"/>
      <c r="O2377"/>
      <c r="P2377"/>
      <c r="T2377">
        <v>1727</v>
      </c>
      <c r="U2377" s="7">
        <v>3</v>
      </c>
      <c r="V2377" t="s">
        <v>613</v>
      </c>
      <c r="W2377" s="257" t="s">
        <v>925</v>
      </c>
      <c r="X2377" t="s">
        <v>926</v>
      </c>
      <c r="Y2377" s="316" t="s">
        <v>61</v>
      </c>
      <c r="Z2377" s="8">
        <v>5</v>
      </c>
      <c r="AA2377" s="202" t="str">
        <f t="shared" si="38"/>
        <v>Масло растительное</v>
      </c>
    </row>
    <row r="2378" spans="1:27" ht="15" customHeight="1" x14ac:dyDescent="0.25">
      <c r="A2378" t="s">
        <v>153</v>
      </c>
      <c r="L2378"/>
      <c r="M2378"/>
      <c r="N2378"/>
      <c r="O2378"/>
      <c r="P2378"/>
      <c r="T2378">
        <v>1728</v>
      </c>
      <c r="U2378" s="7">
        <v>3</v>
      </c>
      <c r="V2378" t="s">
        <v>613</v>
      </c>
      <c r="W2378" s="257" t="s">
        <v>925</v>
      </c>
      <c r="X2378" t="s">
        <v>926</v>
      </c>
      <c r="Y2378" s="316" t="s">
        <v>434</v>
      </c>
      <c r="Z2378" s="8">
        <v>7</v>
      </c>
      <c r="AA2378" s="202" t="str">
        <f t="shared" si="38"/>
        <v>Мука пшеничная 1 с</v>
      </c>
    </row>
    <row r="2379" spans="1:27" ht="15" customHeight="1" x14ac:dyDescent="0.25">
      <c r="A2379" t="s">
        <v>153</v>
      </c>
      <c r="L2379"/>
      <c r="M2379"/>
      <c r="N2379"/>
      <c r="O2379"/>
      <c r="P2379"/>
      <c r="T2379">
        <v>1729</v>
      </c>
      <c r="U2379" s="7">
        <v>3</v>
      </c>
      <c r="V2379" t="s">
        <v>613</v>
      </c>
      <c r="W2379" s="257" t="s">
        <v>925</v>
      </c>
      <c r="X2379" t="s">
        <v>926</v>
      </c>
      <c r="Y2379" s="316" t="s">
        <v>46</v>
      </c>
      <c r="Z2379" s="8">
        <v>10</v>
      </c>
      <c r="AA2379" s="202" t="str">
        <f t="shared" si="38"/>
        <v>Морковь</v>
      </c>
    </row>
    <row r="2380" spans="1:27" ht="15" customHeight="1" x14ac:dyDescent="0.25">
      <c r="A2380" t="s">
        <v>153</v>
      </c>
      <c r="L2380"/>
      <c r="M2380"/>
      <c r="N2380"/>
      <c r="O2380"/>
      <c r="P2380"/>
      <c r="T2380">
        <v>1730</v>
      </c>
      <c r="U2380" s="7">
        <v>3</v>
      </c>
      <c r="V2380" t="s">
        <v>613</v>
      </c>
      <c r="W2380" s="257" t="s">
        <v>925</v>
      </c>
      <c r="X2380" t="s">
        <v>926</v>
      </c>
      <c r="Y2380" s="316" t="s">
        <v>32</v>
      </c>
      <c r="Z2380" s="8">
        <v>10</v>
      </c>
      <c r="AA2380" s="202" t="str">
        <f t="shared" si="38"/>
        <v>Лук репчатый</v>
      </c>
    </row>
    <row r="2381" spans="1:27" ht="15" customHeight="1" x14ac:dyDescent="0.25">
      <c r="A2381" t="s">
        <v>153</v>
      </c>
      <c r="L2381"/>
      <c r="M2381"/>
      <c r="N2381"/>
      <c r="O2381"/>
      <c r="P2381"/>
      <c r="T2381">
        <v>1731</v>
      </c>
      <c r="U2381" s="7">
        <v>3</v>
      </c>
      <c r="V2381" t="s">
        <v>613</v>
      </c>
      <c r="W2381" s="257" t="s">
        <v>925</v>
      </c>
      <c r="X2381" t="s">
        <v>926</v>
      </c>
      <c r="Y2381" s="316" t="s">
        <v>76</v>
      </c>
      <c r="Z2381" s="8">
        <v>2</v>
      </c>
      <c r="AA2381" s="202" t="str">
        <f t="shared" si="38"/>
        <v>Томат-паста</v>
      </c>
    </row>
    <row r="2382" spans="1:27" ht="15" customHeight="1" x14ac:dyDescent="0.25">
      <c r="A2382" t="s">
        <v>153</v>
      </c>
      <c r="L2382"/>
      <c r="M2382"/>
      <c r="N2382"/>
      <c r="O2382"/>
      <c r="P2382"/>
      <c r="T2382">
        <v>1732</v>
      </c>
      <c r="U2382" s="7">
        <v>3</v>
      </c>
      <c r="V2382" t="s">
        <v>613</v>
      </c>
      <c r="W2382" s="257" t="s">
        <v>925</v>
      </c>
      <c r="X2382" t="s">
        <v>926</v>
      </c>
      <c r="Y2382" s="316" t="s">
        <v>484</v>
      </c>
      <c r="Z2382" s="8">
        <v>0.01</v>
      </c>
      <c r="AA2382" s="202" t="str">
        <f t="shared" si="38"/>
        <v>Перец черный</v>
      </c>
    </row>
    <row r="2383" spans="1:27" ht="15" customHeight="1" x14ac:dyDescent="0.25">
      <c r="A2383" t="s">
        <v>153</v>
      </c>
      <c r="L2383"/>
      <c r="M2383"/>
      <c r="N2383"/>
      <c r="O2383"/>
      <c r="P2383"/>
      <c r="T2383">
        <v>1733</v>
      </c>
      <c r="U2383" s="7">
        <v>3</v>
      </c>
      <c r="V2383" t="s">
        <v>613</v>
      </c>
      <c r="W2383" s="257" t="s">
        <v>925</v>
      </c>
      <c r="X2383" t="s">
        <v>926</v>
      </c>
      <c r="Y2383" s="316" t="s">
        <v>558</v>
      </c>
      <c r="Z2383" s="8">
        <v>150.20400000000001</v>
      </c>
      <c r="AA2383" s="202" t="str">
        <f t="shared" si="38"/>
        <v>Общая масса готового блюда, г</v>
      </c>
    </row>
    <row r="2384" spans="1:27" ht="15" customHeight="1" x14ac:dyDescent="0.25">
      <c r="A2384" t="s">
        <v>153</v>
      </c>
      <c r="L2384"/>
      <c r="M2384"/>
      <c r="N2384"/>
      <c r="O2384"/>
      <c r="P2384"/>
      <c r="T2384">
        <v>1733</v>
      </c>
      <c r="U2384" s="7">
        <v>3</v>
      </c>
      <c r="V2384" t="s">
        <v>613</v>
      </c>
      <c r="W2384" s="257" t="s">
        <v>925</v>
      </c>
      <c r="X2384" t="s">
        <v>926</v>
      </c>
      <c r="Y2384" s="316" t="s">
        <v>1214</v>
      </c>
      <c r="Z2384" s="8">
        <v>100.2</v>
      </c>
      <c r="AA2384" s="202" t="str">
        <f t="shared" si="38"/>
        <v>Масса мясных и рыбных порций, г</v>
      </c>
    </row>
    <row r="2385" spans="1:27" ht="15" customHeight="1" x14ac:dyDescent="0.25">
      <c r="A2385" t="s">
        <v>153</v>
      </c>
      <c r="L2385"/>
      <c r="M2385"/>
      <c r="N2385"/>
      <c r="O2385"/>
      <c r="P2385"/>
      <c r="T2385">
        <v>1716</v>
      </c>
      <c r="U2385" s="7">
        <v>3</v>
      </c>
      <c r="V2385" t="s">
        <v>613</v>
      </c>
      <c r="W2385" s="257" t="s">
        <v>927</v>
      </c>
      <c r="X2385" t="s">
        <v>928</v>
      </c>
      <c r="Y2385" s="316" t="s">
        <v>518</v>
      </c>
      <c r="Z2385" s="8">
        <v>120</v>
      </c>
      <c r="AA2385" s="202" t="str">
        <f t="shared" si="38"/>
        <v>Щука б/г</v>
      </c>
    </row>
    <row r="2386" spans="1:27" ht="15" customHeight="1" x14ac:dyDescent="0.25">
      <c r="A2386" t="s">
        <v>153</v>
      </c>
      <c r="L2386"/>
      <c r="M2386"/>
      <c r="N2386"/>
      <c r="O2386"/>
      <c r="P2386"/>
      <c r="T2386">
        <v>1717</v>
      </c>
      <c r="U2386" s="7">
        <v>3</v>
      </c>
      <c r="V2386" t="s">
        <v>613</v>
      </c>
      <c r="W2386" s="257" t="s">
        <v>927</v>
      </c>
      <c r="X2386" t="s">
        <v>928</v>
      </c>
      <c r="Y2386" s="316" t="s">
        <v>326</v>
      </c>
      <c r="Z2386" s="8">
        <v>2</v>
      </c>
      <c r="AA2386" s="202" t="str">
        <f t="shared" si="38"/>
        <v>Соль</v>
      </c>
    </row>
    <row r="2387" spans="1:27" ht="15" customHeight="1" x14ac:dyDescent="0.25">
      <c r="A2387" t="s">
        <v>153</v>
      </c>
      <c r="L2387"/>
      <c r="M2387"/>
      <c r="N2387"/>
      <c r="O2387"/>
      <c r="P2387"/>
      <c r="T2387">
        <v>1718</v>
      </c>
      <c r="U2387" s="7">
        <v>3</v>
      </c>
      <c r="V2387" t="s">
        <v>613</v>
      </c>
      <c r="W2387" s="257" t="s">
        <v>927</v>
      </c>
      <c r="X2387" t="s">
        <v>928</v>
      </c>
      <c r="Y2387" s="316" t="s">
        <v>61</v>
      </c>
      <c r="Z2387" s="8">
        <v>5</v>
      </c>
      <c r="AA2387" s="202" t="str">
        <f t="shared" si="38"/>
        <v>Масло растительное</v>
      </c>
    </row>
    <row r="2388" spans="1:27" ht="15" customHeight="1" x14ac:dyDescent="0.25">
      <c r="A2388" t="s">
        <v>153</v>
      </c>
      <c r="L2388"/>
      <c r="M2388"/>
      <c r="N2388"/>
      <c r="O2388"/>
      <c r="P2388"/>
      <c r="T2388">
        <v>1719</v>
      </c>
      <c r="U2388" s="7">
        <v>3</v>
      </c>
      <c r="V2388" t="s">
        <v>613</v>
      </c>
      <c r="W2388" s="257" t="s">
        <v>927</v>
      </c>
      <c r="X2388" t="s">
        <v>928</v>
      </c>
      <c r="Y2388" s="316" t="s">
        <v>434</v>
      </c>
      <c r="Z2388" s="8">
        <v>7</v>
      </c>
      <c r="AA2388" s="202" t="str">
        <f t="shared" si="38"/>
        <v>Мука пшеничная 1 с</v>
      </c>
    </row>
    <row r="2389" spans="1:27" ht="15" customHeight="1" x14ac:dyDescent="0.25">
      <c r="A2389" t="s">
        <v>153</v>
      </c>
      <c r="L2389"/>
      <c r="M2389"/>
      <c r="N2389"/>
      <c r="O2389"/>
      <c r="P2389"/>
      <c r="T2389">
        <v>1720</v>
      </c>
      <c r="U2389" s="7">
        <v>3</v>
      </c>
      <c r="V2389" t="s">
        <v>613</v>
      </c>
      <c r="W2389" s="257" t="s">
        <v>927</v>
      </c>
      <c r="X2389" t="s">
        <v>928</v>
      </c>
      <c r="Y2389" s="316" t="s">
        <v>46</v>
      </c>
      <c r="Z2389" s="8">
        <v>10</v>
      </c>
      <c r="AA2389" s="202" t="str">
        <f t="shared" si="38"/>
        <v>Морковь</v>
      </c>
    </row>
    <row r="2390" spans="1:27" ht="15" customHeight="1" x14ac:dyDescent="0.25">
      <c r="A2390" t="s">
        <v>153</v>
      </c>
      <c r="L2390"/>
      <c r="M2390"/>
      <c r="N2390"/>
      <c r="O2390"/>
      <c r="P2390"/>
      <c r="T2390">
        <v>1721</v>
      </c>
      <c r="U2390" s="7">
        <v>3</v>
      </c>
      <c r="V2390" t="s">
        <v>613</v>
      </c>
      <c r="W2390" s="257" t="s">
        <v>927</v>
      </c>
      <c r="X2390" t="s">
        <v>928</v>
      </c>
      <c r="Y2390" s="316" t="s">
        <v>32</v>
      </c>
      <c r="Z2390" s="8">
        <v>10</v>
      </c>
      <c r="AA2390" s="202" t="str">
        <f t="shared" si="38"/>
        <v>Лук репчатый</v>
      </c>
    </row>
    <row r="2391" spans="1:27" ht="15" customHeight="1" x14ac:dyDescent="0.25">
      <c r="A2391" t="s">
        <v>153</v>
      </c>
      <c r="L2391"/>
      <c r="M2391"/>
      <c r="N2391"/>
      <c r="O2391"/>
      <c r="P2391"/>
      <c r="T2391">
        <v>1722</v>
      </c>
      <c r="U2391" s="7">
        <v>3</v>
      </c>
      <c r="V2391" t="s">
        <v>613</v>
      </c>
      <c r="W2391" s="257" t="s">
        <v>927</v>
      </c>
      <c r="X2391" t="s">
        <v>928</v>
      </c>
      <c r="Y2391" s="316" t="s">
        <v>76</v>
      </c>
      <c r="Z2391" s="8">
        <v>2</v>
      </c>
      <c r="AA2391" s="202" t="str">
        <f t="shared" si="38"/>
        <v>Томат-паста</v>
      </c>
    </row>
    <row r="2392" spans="1:27" ht="15" customHeight="1" x14ac:dyDescent="0.25">
      <c r="A2392" t="s">
        <v>153</v>
      </c>
      <c r="L2392"/>
      <c r="M2392"/>
      <c r="N2392"/>
      <c r="O2392"/>
      <c r="P2392"/>
      <c r="T2392">
        <v>1723</v>
      </c>
      <c r="U2392" s="7">
        <v>3</v>
      </c>
      <c r="V2392" t="s">
        <v>613</v>
      </c>
      <c r="W2392" s="257" t="s">
        <v>927</v>
      </c>
      <c r="X2392" t="s">
        <v>928</v>
      </c>
      <c r="Y2392" s="316" t="s">
        <v>484</v>
      </c>
      <c r="Z2392" s="8">
        <v>0.01</v>
      </c>
      <c r="AA2392" s="202" t="str">
        <f t="shared" si="38"/>
        <v>Перец черный</v>
      </c>
    </row>
    <row r="2393" spans="1:27" ht="15" customHeight="1" x14ac:dyDescent="0.25">
      <c r="A2393" t="s">
        <v>153</v>
      </c>
      <c r="L2393"/>
      <c r="M2393"/>
      <c r="N2393"/>
      <c r="O2393"/>
      <c r="P2393"/>
      <c r="T2393">
        <v>1724</v>
      </c>
      <c r="U2393" s="7">
        <v>3</v>
      </c>
      <c r="V2393" t="s">
        <v>613</v>
      </c>
      <c r="W2393" s="257" t="s">
        <v>927</v>
      </c>
      <c r="X2393" t="s">
        <v>928</v>
      </c>
      <c r="Y2393" s="316" t="s">
        <v>558</v>
      </c>
      <c r="Z2393" s="8">
        <v>137.41199999999998</v>
      </c>
      <c r="AA2393" s="202" t="str">
        <f t="shared" si="38"/>
        <v>Общая масса готового блюда, г</v>
      </c>
    </row>
    <row r="2394" spans="1:27" ht="15" customHeight="1" x14ac:dyDescent="0.25">
      <c r="A2394" t="s">
        <v>153</v>
      </c>
      <c r="L2394"/>
      <c r="M2394"/>
      <c r="N2394"/>
      <c r="O2394"/>
      <c r="P2394"/>
      <c r="T2394">
        <v>1724</v>
      </c>
      <c r="U2394" s="7">
        <v>3</v>
      </c>
      <c r="V2394" t="s">
        <v>613</v>
      </c>
      <c r="W2394" s="257" t="s">
        <v>927</v>
      </c>
      <c r="X2394" t="s">
        <v>928</v>
      </c>
      <c r="Y2394" s="316" t="s">
        <v>1214</v>
      </c>
      <c r="Z2394" s="8">
        <v>87.4</v>
      </c>
      <c r="AA2394" s="202" t="str">
        <f t="shared" si="38"/>
        <v>Масса мясных и рыбных порций, г</v>
      </c>
    </row>
    <row r="2395" spans="1:27" ht="15" customHeight="1" x14ac:dyDescent="0.25">
      <c r="A2395" t="s">
        <v>153</v>
      </c>
      <c r="L2395"/>
      <c r="M2395"/>
      <c r="N2395"/>
      <c r="O2395"/>
      <c r="P2395"/>
      <c r="T2395">
        <v>1707</v>
      </c>
      <c r="U2395" s="7">
        <v>3</v>
      </c>
      <c r="V2395" t="s">
        <v>613</v>
      </c>
      <c r="W2395" s="257" t="s">
        <v>929</v>
      </c>
      <c r="X2395" t="s">
        <v>930</v>
      </c>
      <c r="Y2395" s="316" t="s">
        <v>519</v>
      </c>
      <c r="Z2395" s="8">
        <v>150</v>
      </c>
      <c r="AA2395" s="202" t="str">
        <f t="shared" si="38"/>
        <v>Щука с/г</v>
      </c>
    </row>
    <row r="2396" spans="1:27" ht="15" customHeight="1" x14ac:dyDescent="0.25">
      <c r="A2396" t="s">
        <v>153</v>
      </c>
      <c r="L2396"/>
      <c r="M2396"/>
      <c r="N2396"/>
      <c r="O2396"/>
      <c r="P2396"/>
      <c r="T2396">
        <v>1708</v>
      </c>
      <c r="U2396" s="7">
        <v>3</v>
      </c>
      <c r="V2396" t="s">
        <v>613</v>
      </c>
      <c r="W2396" s="257" t="s">
        <v>929</v>
      </c>
      <c r="X2396" t="s">
        <v>930</v>
      </c>
      <c r="Y2396" s="316" t="s">
        <v>326</v>
      </c>
      <c r="Z2396" s="8">
        <v>2</v>
      </c>
      <c r="AA2396" s="202" t="str">
        <f t="shared" si="38"/>
        <v>Соль</v>
      </c>
    </row>
    <row r="2397" spans="1:27" ht="15" customHeight="1" x14ac:dyDescent="0.25">
      <c r="A2397" t="s">
        <v>153</v>
      </c>
      <c r="L2397"/>
      <c r="M2397"/>
      <c r="N2397"/>
      <c r="O2397"/>
      <c r="P2397"/>
      <c r="T2397">
        <v>1709</v>
      </c>
      <c r="U2397" s="7">
        <v>3</v>
      </c>
      <c r="V2397" t="s">
        <v>613</v>
      </c>
      <c r="W2397" s="257" t="s">
        <v>929</v>
      </c>
      <c r="X2397" t="s">
        <v>930</v>
      </c>
      <c r="Y2397" s="316" t="s">
        <v>61</v>
      </c>
      <c r="Z2397" s="8">
        <v>5</v>
      </c>
      <c r="AA2397" s="202" t="str">
        <f t="shared" si="38"/>
        <v>Масло растительное</v>
      </c>
    </row>
    <row r="2398" spans="1:27" ht="15" customHeight="1" x14ac:dyDescent="0.25">
      <c r="A2398" t="s">
        <v>153</v>
      </c>
      <c r="L2398"/>
      <c r="M2398"/>
      <c r="N2398"/>
      <c r="O2398"/>
      <c r="P2398"/>
      <c r="T2398">
        <v>1710</v>
      </c>
      <c r="U2398" s="7">
        <v>3</v>
      </c>
      <c r="V2398" t="s">
        <v>613</v>
      </c>
      <c r="W2398" s="257" t="s">
        <v>929</v>
      </c>
      <c r="X2398" t="s">
        <v>930</v>
      </c>
      <c r="Y2398" s="316" t="s">
        <v>434</v>
      </c>
      <c r="Z2398" s="8">
        <v>7</v>
      </c>
      <c r="AA2398" s="202" t="str">
        <f t="shared" si="38"/>
        <v>Мука пшеничная 1 с</v>
      </c>
    </row>
    <row r="2399" spans="1:27" ht="15" customHeight="1" x14ac:dyDescent="0.25">
      <c r="A2399" t="s">
        <v>153</v>
      </c>
      <c r="L2399"/>
      <c r="M2399"/>
      <c r="N2399"/>
      <c r="O2399"/>
      <c r="P2399"/>
      <c r="T2399">
        <v>1711</v>
      </c>
      <c r="U2399" s="7">
        <v>3</v>
      </c>
      <c r="V2399" t="s">
        <v>613</v>
      </c>
      <c r="W2399" s="257" t="s">
        <v>929</v>
      </c>
      <c r="X2399" t="s">
        <v>930</v>
      </c>
      <c r="Y2399" s="316" t="s">
        <v>46</v>
      </c>
      <c r="Z2399" s="8">
        <v>10</v>
      </c>
      <c r="AA2399" s="202" t="str">
        <f t="shared" si="38"/>
        <v>Морковь</v>
      </c>
    </row>
    <row r="2400" spans="1:27" ht="15" customHeight="1" x14ac:dyDescent="0.25">
      <c r="A2400" t="s">
        <v>153</v>
      </c>
      <c r="L2400"/>
      <c r="M2400"/>
      <c r="N2400"/>
      <c r="O2400"/>
      <c r="P2400"/>
      <c r="T2400">
        <v>1712</v>
      </c>
      <c r="U2400" s="7">
        <v>3</v>
      </c>
      <c r="V2400" t="s">
        <v>613</v>
      </c>
      <c r="W2400" s="257" t="s">
        <v>929</v>
      </c>
      <c r="X2400" t="s">
        <v>930</v>
      </c>
      <c r="Y2400" s="316" t="s">
        <v>32</v>
      </c>
      <c r="Z2400" s="8">
        <v>10</v>
      </c>
      <c r="AA2400" s="202" t="str">
        <f t="shared" si="38"/>
        <v>Лук репчатый</v>
      </c>
    </row>
    <row r="2401" spans="1:27" ht="15" customHeight="1" x14ac:dyDescent="0.25">
      <c r="A2401" t="s">
        <v>153</v>
      </c>
      <c r="L2401"/>
      <c r="M2401"/>
      <c r="N2401"/>
      <c r="O2401"/>
      <c r="P2401"/>
      <c r="T2401">
        <v>1713</v>
      </c>
      <c r="U2401" s="7">
        <v>3</v>
      </c>
      <c r="V2401" t="s">
        <v>613</v>
      </c>
      <c r="W2401" s="257" t="s">
        <v>929</v>
      </c>
      <c r="X2401" t="s">
        <v>930</v>
      </c>
      <c r="Y2401" s="316" t="s">
        <v>76</v>
      </c>
      <c r="Z2401" s="8">
        <v>2</v>
      </c>
      <c r="AA2401" s="202" t="str">
        <f t="shared" si="38"/>
        <v>Томат-паста</v>
      </c>
    </row>
    <row r="2402" spans="1:27" ht="15" customHeight="1" x14ac:dyDescent="0.25">
      <c r="A2402" t="s">
        <v>153</v>
      </c>
      <c r="L2402"/>
      <c r="M2402"/>
      <c r="N2402"/>
      <c r="O2402"/>
      <c r="P2402"/>
      <c r="T2402">
        <v>1714</v>
      </c>
      <c r="U2402" s="7">
        <v>3</v>
      </c>
      <c r="V2402" t="s">
        <v>613</v>
      </c>
      <c r="W2402" s="257" t="s">
        <v>929</v>
      </c>
      <c r="X2402" t="s">
        <v>930</v>
      </c>
      <c r="Y2402" s="316" t="s">
        <v>484</v>
      </c>
      <c r="Z2402" s="8">
        <v>0.01</v>
      </c>
      <c r="AA2402" s="202" t="str">
        <f t="shared" si="38"/>
        <v>Перец черный</v>
      </c>
    </row>
    <row r="2403" spans="1:27" ht="15" customHeight="1" x14ac:dyDescent="0.25">
      <c r="A2403" t="s">
        <v>153</v>
      </c>
      <c r="L2403"/>
      <c r="M2403"/>
      <c r="N2403"/>
      <c r="O2403"/>
      <c r="P2403"/>
      <c r="T2403">
        <v>1715</v>
      </c>
      <c r="U2403" s="7">
        <v>3</v>
      </c>
      <c r="V2403" t="s">
        <v>613</v>
      </c>
      <c r="W2403" s="257" t="s">
        <v>929</v>
      </c>
      <c r="X2403" t="s">
        <v>930</v>
      </c>
      <c r="Y2403" s="316" t="s">
        <v>558</v>
      </c>
      <c r="Z2403" s="8">
        <v>134.45999999999998</v>
      </c>
      <c r="AA2403" s="202" t="str">
        <f t="shared" si="38"/>
        <v>Общая масса готового блюда, г</v>
      </c>
    </row>
    <row r="2404" spans="1:27" ht="15" customHeight="1" x14ac:dyDescent="0.25">
      <c r="A2404" t="s">
        <v>153</v>
      </c>
      <c r="L2404"/>
      <c r="M2404"/>
      <c r="N2404"/>
      <c r="O2404"/>
      <c r="P2404"/>
      <c r="T2404">
        <v>1715</v>
      </c>
      <c r="U2404" s="7">
        <v>3</v>
      </c>
      <c r="V2404" t="s">
        <v>613</v>
      </c>
      <c r="W2404" s="257" t="s">
        <v>929</v>
      </c>
      <c r="X2404" t="s">
        <v>930</v>
      </c>
      <c r="Y2404" s="316" t="s">
        <v>1214</v>
      </c>
      <c r="Z2404" s="8">
        <v>84.5</v>
      </c>
      <c r="AA2404" s="202" t="str">
        <f t="shared" si="38"/>
        <v>Масса мясных и рыбных порций, г</v>
      </c>
    </row>
    <row r="2405" spans="1:27" ht="15" customHeight="1" x14ac:dyDescent="0.25">
      <c r="A2405" t="s">
        <v>153</v>
      </c>
      <c r="L2405"/>
      <c r="M2405"/>
      <c r="N2405"/>
      <c r="O2405"/>
      <c r="P2405"/>
      <c r="T2405">
        <v>1165</v>
      </c>
      <c r="U2405" s="7">
        <v>3</v>
      </c>
      <c r="V2405" t="s">
        <v>1058</v>
      </c>
      <c r="W2405" s="257" t="s">
        <v>1074</v>
      </c>
      <c r="X2405" t="s">
        <v>1075</v>
      </c>
      <c r="Y2405" s="316" t="s">
        <v>490</v>
      </c>
      <c r="Z2405" s="8">
        <v>125</v>
      </c>
      <c r="AA2405" s="202" t="str">
        <f t="shared" si="38"/>
        <v>Капуста свежая</v>
      </c>
    </row>
    <row r="2406" spans="1:27" ht="15" customHeight="1" x14ac:dyDescent="0.25">
      <c r="A2406" t="s">
        <v>153</v>
      </c>
      <c r="L2406"/>
      <c r="M2406"/>
      <c r="N2406"/>
      <c r="O2406"/>
      <c r="P2406"/>
      <c r="T2406">
        <v>1166</v>
      </c>
      <c r="U2406" s="7">
        <v>3</v>
      </c>
      <c r="V2406" t="s">
        <v>1058</v>
      </c>
      <c r="W2406" s="257" t="s">
        <v>1074</v>
      </c>
      <c r="X2406" t="s">
        <v>1075</v>
      </c>
      <c r="Y2406" s="316" t="s">
        <v>441</v>
      </c>
      <c r="Z2406" s="8">
        <v>20</v>
      </c>
      <c r="AA2406" s="202" t="str">
        <f t="shared" si="38"/>
        <v>Кукуруза консерв.</v>
      </c>
    </row>
    <row r="2407" spans="1:27" ht="15" customHeight="1" x14ac:dyDescent="0.25">
      <c r="A2407" t="s">
        <v>153</v>
      </c>
      <c r="L2407"/>
      <c r="M2407"/>
      <c r="N2407"/>
      <c r="O2407"/>
      <c r="P2407"/>
      <c r="T2407">
        <v>1167</v>
      </c>
      <c r="U2407" s="7">
        <v>3</v>
      </c>
      <c r="V2407" t="s">
        <v>1058</v>
      </c>
      <c r="W2407" s="257" t="s">
        <v>1074</v>
      </c>
      <c r="X2407" t="s">
        <v>1075</v>
      </c>
      <c r="Y2407" s="316" t="s">
        <v>61</v>
      </c>
      <c r="Z2407" s="8">
        <v>8</v>
      </c>
      <c r="AA2407" s="202" t="str">
        <f t="shared" si="38"/>
        <v>Масло растительное</v>
      </c>
    </row>
    <row r="2408" spans="1:27" ht="15" customHeight="1" x14ac:dyDescent="0.25">
      <c r="A2408" t="s">
        <v>153</v>
      </c>
      <c r="L2408"/>
      <c r="M2408"/>
      <c r="N2408"/>
      <c r="O2408"/>
      <c r="P2408"/>
      <c r="T2408">
        <v>1168</v>
      </c>
      <c r="U2408" s="7">
        <v>3</v>
      </c>
      <c r="V2408" t="s">
        <v>1058</v>
      </c>
      <c r="W2408" s="257" t="s">
        <v>1074</v>
      </c>
      <c r="X2408" t="s">
        <v>1075</v>
      </c>
      <c r="Y2408" s="316" t="s">
        <v>486</v>
      </c>
      <c r="Z2408" s="8">
        <v>1</v>
      </c>
      <c r="AA2408" s="202" t="str">
        <f t="shared" si="38"/>
        <v>Уксус</v>
      </c>
    </row>
    <row r="2409" spans="1:27" ht="15" customHeight="1" x14ac:dyDescent="0.25">
      <c r="A2409" t="s">
        <v>153</v>
      </c>
      <c r="L2409"/>
      <c r="M2409"/>
      <c r="N2409"/>
      <c r="O2409"/>
      <c r="P2409"/>
      <c r="T2409">
        <v>1169</v>
      </c>
      <c r="U2409" s="7">
        <v>3</v>
      </c>
      <c r="V2409" t="s">
        <v>1058</v>
      </c>
      <c r="W2409" s="257" t="s">
        <v>1074</v>
      </c>
      <c r="X2409" t="s">
        <v>1075</v>
      </c>
      <c r="Y2409" s="316" t="s">
        <v>326</v>
      </c>
      <c r="Z2409" s="8">
        <v>2</v>
      </c>
      <c r="AA2409" s="202" t="str">
        <f t="shared" si="38"/>
        <v>Соль</v>
      </c>
    </row>
    <row r="2410" spans="1:27" ht="15" customHeight="1" x14ac:dyDescent="0.25">
      <c r="A2410" t="s">
        <v>153</v>
      </c>
      <c r="L2410"/>
      <c r="M2410"/>
      <c r="N2410"/>
      <c r="O2410"/>
      <c r="P2410"/>
      <c r="T2410">
        <v>1170</v>
      </c>
      <c r="U2410" s="7">
        <v>3</v>
      </c>
      <c r="V2410" t="s">
        <v>1058</v>
      </c>
      <c r="W2410" s="257" t="s">
        <v>1074</v>
      </c>
      <c r="X2410" t="s">
        <v>1075</v>
      </c>
      <c r="Y2410" s="316" t="s">
        <v>558</v>
      </c>
      <c r="Z2410" s="8">
        <v>110</v>
      </c>
      <c r="AA2410" s="202" t="str">
        <f t="shared" si="38"/>
        <v>Общая масса готового блюда, г</v>
      </c>
    </row>
    <row r="2411" spans="1:27" ht="15" customHeight="1" x14ac:dyDescent="0.25">
      <c r="A2411" t="s">
        <v>153</v>
      </c>
      <c r="L2411"/>
      <c r="M2411"/>
      <c r="N2411"/>
      <c r="O2411"/>
      <c r="P2411"/>
      <c r="T2411">
        <v>1171</v>
      </c>
      <c r="U2411" s="7">
        <v>3</v>
      </c>
      <c r="V2411" t="s">
        <v>1058</v>
      </c>
      <c r="W2411" s="257" t="s">
        <v>1074</v>
      </c>
      <c r="X2411" t="s">
        <v>1075</v>
      </c>
      <c r="Y2411" s="316" t="s">
        <v>109</v>
      </c>
      <c r="Z2411" s="8">
        <v>175</v>
      </c>
      <c r="AA2411" s="202" t="str">
        <f t="shared" si="38"/>
        <v>ОКГ</v>
      </c>
    </row>
    <row r="2412" spans="1:27" ht="15" customHeight="1" x14ac:dyDescent="0.25">
      <c r="A2412" t="s">
        <v>153</v>
      </c>
      <c r="L2412"/>
      <c r="M2412"/>
      <c r="N2412"/>
      <c r="O2412"/>
      <c r="P2412"/>
      <c r="T2412">
        <v>939</v>
      </c>
      <c r="U2412" s="7">
        <v>3</v>
      </c>
      <c r="V2412" t="s">
        <v>1058</v>
      </c>
      <c r="W2412" s="257" t="s">
        <v>1076</v>
      </c>
      <c r="X2412" t="s">
        <v>1077</v>
      </c>
      <c r="Y2412" s="316" t="s">
        <v>490</v>
      </c>
      <c r="Z2412" s="8">
        <v>140</v>
      </c>
      <c r="AA2412" s="202" t="str">
        <f t="shared" si="38"/>
        <v>Капуста свежая</v>
      </c>
    </row>
    <row r="2413" spans="1:27" ht="15" customHeight="1" x14ac:dyDescent="0.25">
      <c r="A2413" t="s">
        <v>153</v>
      </c>
      <c r="L2413"/>
      <c r="M2413"/>
      <c r="N2413"/>
      <c r="O2413"/>
      <c r="P2413"/>
      <c r="T2413">
        <v>940</v>
      </c>
      <c r="U2413" s="7">
        <v>3</v>
      </c>
      <c r="V2413" t="s">
        <v>1058</v>
      </c>
      <c r="W2413" s="257" t="s">
        <v>1076</v>
      </c>
      <c r="X2413" t="s">
        <v>1077</v>
      </c>
      <c r="Y2413" s="316" t="s">
        <v>61</v>
      </c>
      <c r="Z2413" s="8">
        <v>8</v>
      </c>
      <c r="AA2413" s="202" t="str">
        <f t="shared" si="38"/>
        <v>Масло растительное</v>
      </c>
    </row>
    <row r="2414" spans="1:27" ht="15" customHeight="1" x14ac:dyDescent="0.25">
      <c r="A2414" t="s">
        <v>153</v>
      </c>
      <c r="L2414"/>
      <c r="M2414"/>
      <c r="N2414"/>
      <c r="O2414"/>
      <c r="P2414"/>
      <c r="T2414">
        <v>941</v>
      </c>
      <c r="U2414" s="7">
        <v>3</v>
      </c>
      <c r="V2414" t="s">
        <v>1058</v>
      </c>
      <c r="W2414" s="257" t="s">
        <v>1076</v>
      </c>
      <c r="X2414" t="s">
        <v>1077</v>
      </c>
      <c r="Y2414" s="316" t="s">
        <v>46</v>
      </c>
      <c r="Z2414" s="8">
        <v>25</v>
      </c>
      <c r="AA2414" s="202" t="str">
        <f t="shared" si="38"/>
        <v>Морковь</v>
      </c>
    </row>
    <row r="2415" spans="1:27" ht="15" customHeight="1" x14ac:dyDescent="0.25">
      <c r="A2415" t="s">
        <v>153</v>
      </c>
      <c r="L2415"/>
      <c r="M2415"/>
      <c r="N2415"/>
      <c r="O2415"/>
      <c r="P2415"/>
      <c r="T2415">
        <v>942</v>
      </c>
      <c r="U2415" s="7">
        <v>3</v>
      </c>
      <c r="V2415" t="s">
        <v>1058</v>
      </c>
      <c r="W2415" s="257" t="s">
        <v>1076</v>
      </c>
      <c r="X2415" t="s">
        <v>1077</v>
      </c>
      <c r="Y2415" s="316" t="s">
        <v>32</v>
      </c>
      <c r="Z2415" s="8">
        <v>10</v>
      </c>
      <c r="AA2415" s="202" t="str">
        <f t="shared" si="38"/>
        <v>Лук репчатый</v>
      </c>
    </row>
    <row r="2416" spans="1:27" ht="15" customHeight="1" x14ac:dyDescent="0.25">
      <c r="A2416" t="s">
        <v>153</v>
      </c>
      <c r="L2416"/>
      <c r="M2416"/>
      <c r="N2416"/>
      <c r="O2416"/>
      <c r="P2416"/>
      <c r="T2416">
        <v>943</v>
      </c>
      <c r="U2416" s="7">
        <v>3</v>
      </c>
      <c r="V2416" t="s">
        <v>1058</v>
      </c>
      <c r="W2416" s="257" t="s">
        <v>1076</v>
      </c>
      <c r="X2416" t="s">
        <v>1077</v>
      </c>
      <c r="Y2416" s="316" t="s">
        <v>326</v>
      </c>
      <c r="Z2416" s="8">
        <v>2</v>
      </c>
      <c r="AA2416" s="202" t="str">
        <f t="shared" si="38"/>
        <v>Соль</v>
      </c>
    </row>
    <row r="2417" spans="1:27" ht="15" customHeight="1" x14ac:dyDescent="0.25">
      <c r="A2417" t="s">
        <v>153</v>
      </c>
      <c r="L2417"/>
      <c r="M2417"/>
      <c r="N2417"/>
      <c r="O2417"/>
      <c r="P2417"/>
      <c r="T2417">
        <v>944</v>
      </c>
      <c r="U2417" s="7">
        <v>3</v>
      </c>
      <c r="V2417" t="s">
        <v>1058</v>
      </c>
      <c r="W2417" s="257" t="s">
        <v>1076</v>
      </c>
      <c r="X2417" t="s">
        <v>1077</v>
      </c>
      <c r="Y2417" s="316" t="s">
        <v>486</v>
      </c>
      <c r="Z2417" s="8">
        <v>1</v>
      </c>
      <c r="AA2417" s="202" t="str">
        <f t="shared" si="38"/>
        <v>Уксус</v>
      </c>
    </row>
    <row r="2418" spans="1:27" ht="15" customHeight="1" x14ac:dyDescent="0.25">
      <c r="A2418" t="s">
        <v>153</v>
      </c>
      <c r="L2418"/>
      <c r="M2418"/>
      <c r="N2418"/>
      <c r="O2418"/>
      <c r="P2418"/>
      <c r="T2418">
        <v>945</v>
      </c>
      <c r="U2418" s="7">
        <v>3</v>
      </c>
      <c r="V2418" t="s">
        <v>1058</v>
      </c>
      <c r="W2418" s="257" t="s">
        <v>1076</v>
      </c>
      <c r="X2418" t="s">
        <v>1077</v>
      </c>
      <c r="Y2418" s="316" t="s">
        <v>558</v>
      </c>
      <c r="Z2418" s="8">
        <v>136</v>
      </c>
      <c r="AA2418" s="202" t="str">
        <f t="shared" si="38"/>
        <v>Общая масса готового блюда, г</v>
      </c>
    </row>
    <row r="2419" spans="1:27" ht="15" customHeight="1" x14ac:dyDescent="0.25">
      <c r="A2419" t="s">
        <v>153</v>
      </c>
      <c r="L2419"/>
      <c r="M2419"/>
      <c r="N2419"/>
      <c r="O2419"/>
      <c r="P2419"/>
      <c r="T2419">
        <v>946</v>
      </c>
      <c r="U2419" s="7">
        <v>3</v>
      </c>
      <c r="V2419" t="s">
        <v>1058</v>
      </c>
      <c r="W2419" s="257" t="s">
        <v>1076</v>
      </c>
      <c r="X2419" t="s">
        <v>1077</v>
      </c>
      <c r="Y2419" s="316" t="s">
        <v>109</v>
      </c>
      <c r="Z2419" s="8">
        <v>175</v>
      </c>
      <c r="AA2419" s="202" t="str">
        <f t="shared" si="38"/>
        <v>ОКГ</v>
      </c>
    </row>
    <row r="2420" spans="1:27" ht="15" customHeight="1" x14ac:dyDescent="0.25">
      <c r="A2420" t="s">
        <v>153</v>
      </c>
      <c r="L2420"/>
      <c r="M2420"/>
      <c r="N2420"/>
      <c r="O2420"/>
      <c r="P2420"/>
      <c r="T2420">
        <v>939</v>
      </c>
      <c r="U2420" s="7">
        <v>3</v>
      </c>
      <c r="V2420" t="s">
        <v>1058</v>
      </c>
      <c r="W2420" s="257" t="s">
        <v>1342</v>
      </c>
      <c r="X2420" t="s">
        <v>1343</v>
      </c>
      <c r="Y2420" s="316" t="s">
        <v>490</v>
      </c>
      <c r="Z2420" s="8">
        <v>70</v>
      </c>
      <c r="AA2420" s="202" t="str">
        <f t="shared" si="38"/>
        <v>Капуста свежая</v>
      </c>
    </row>
    <row r="2421" spans="1:27" ht="15" customHeight="1" x14ac:dyDescent="0.25">
      <c r="A2421" t="s">
        <v>153</v>
      </c>
      <c r="L2421"/>
      <c r="M2421"/>
      <c r="N2421"/>
      <c r="O2421"/>
      <c r="P2421"/>
      <c r="T2421">
        <v>940</v>
      </c>
      <c r="U2421" s="7">
        <v>3</v>
      </c>
      <c r="V2421" t="s">
        <v>1058</v>
      </c>
      <c r="W2421" s="257" t="s">
        <v>1342</v>
      </c>
      <c r="X2421" t="s">
        <v>1343</v>
      </c>
      <c r="Y2421" s="316" t="s">
        <v>61</v>
      </c>
      <c r="Z2421" s="8">
        <v>8</v>
      </c>
      <c r="AA2421" s="202" t="str">
        <f t="shared" si="38"/>
        <v>Масло растительное</v>
      </c>
    </row>
    <row r="2422" spans="1:27" ht="15" customHeight="1" x14ac:dyDescent="0.25">
      <c r="A2422" t="s">
        <v>153</v>
      </c>
      <c r="L2422"/>
      <c r="M2422"/>
      <c r="N2422"/>
      <c r="O2422"/>
      <c r="P2422"/>
      <c r="T2422">
        <v>941</v>
      </c>
      <c r="U2422" s="7">
        <v>3</v>
      </c>
      <c r="V2422" t="s">
        <v>1058</v>
      </c>
      <c r="W2422" s="257" t="s">
        <v>1342</v>
      </c>
      <c r="X2422" t="s">
        <v>1343</v>
      </c>
      <c r="Y2422" s="316" t="s">
        <v>46</v>
      </c>
      <c r="Z2422" s="8">
        <v>35</v>
      </c>
      <c r="AA2422" s="202" t="str">
        <f t="shared" si="38"/>
        <v>Морковь</v>
      </c>
    </row>
    <row r="2423" spans="1:27" ht="15" customHeight="1" x14ac:dyDescent="0.25">
      <c r="A2423" t="s">
        <v>153</v>
      </c>
      <c r="L2423"/>
      <c r="M2423"/>
      <c r="N2423"/>
      <c r="O2423"/>
      <c r="P2423"/>
      <c r="T2423">
        <v>942</v>
      </c>
      <c r="U2423" s="7">
        <v>3</v>
      </c>
      <c r="V2423" t="s">
        <v>1058</v>
      </c>
      <c r="W2423" s="257" t="s">
        <v>1342</v>
      </c>
      <c r="X2423" t="s">
        <v>1343</v>
      </c>
      <c r="Y2423" s="316" t="s">
        <v>32</v>
      </c>
      <c r="Z2423" s="8">
        <v>5</v>
      </c>
      <c r="AA2423" s="202" t="str">
        <f t="shared" si="38"/>
        <v>Лук репчатый</v>
      </c>
    </row>
    <row r="2424" spans="1:27" ht="15" customHeight="1" x14ac:dyDescent="0.25">
      <c r="A2424" t="s">
        <v>153</v>
      </c>
      <c r="L2424"/>
      <c r="M2424"/>
      <c r="N2424"/>
      <c r="O2424"/>
      <c r="P2424"/>
      <c r="T2424">
        <v>943</v>
      </c>
      <c r="U2424" s="7">
        <v>3</v>
      </c>
      <c r="V2424" t="s">
        <v>1058</v>
      </c>
      <c r="W2424" s="257" t="s">
        <v>1342</v>
      </c>
      <c r="X2424" t="s">
        <v>1343</v>
      </c>
      <c r="Y2424" s="316" t="s">
        <v>326</v>
      </c>
      <c r="Z2424" s="8">
        <v>2</v>
      </c>
      <c r="AA2424" s="202" t="str">
        <f t="shared" si="38"/>
        <v>Соль</v>
      </c>
    </row>
    <row r="2425" spans="1:27" ht="15" customHeight="1" x14ac:dyDescent="0.25">
      <c r="A2425" t="s">
        <v>153</v>
      </c>
      <c r="L2425"/>
      <c r="M2425"/>
      <c r="N2425"/>
      <c r="O2425"/>
      <c r="P2425"/>
      <c r="T2425">
        <v>944</v>
      </c>
      <c r="U2425" s="7">
        <v>3</v>
      </c>
      <c r="V2425" t="s">
        <v>1058</v>
      </c>
      <c r="W2425" s="257" t="s">
        <v>1342</v>
      </c>
      <c r="X2425" t="s">
        <v>1343</v>
      </c>
      <c r="Y2425" s="316" t="s">
        <v>486</v>
      </c>
      <c r="Z2425" s="8">
        <v>1</v>
      </c>
      <c r="AA2425" s="202" t="str">
        <f t="shared" si="38"/>
        <v>Уксус</v>
      </c>
    </row>
    <row r="2426" spans="1:27" ht="15" customHeight="1" x14ac:dyDescent="0.25">
      <c r="A2426" t="s">
        <v>153</v>
      </c>
      <c r="L2426"/>
      <c r="M2426"/>
      <c r="N2426"/>
      <c r="O2426"/>
      <c r="P2426"/>
      <c r="T2426">
        <v>945</v>
      </c>
      <c r="U2426" s="7">
        <v>3</v>
      </c>
      <c r="V2426" t="s">
        <v>1058</v>
      </c>
      <c r="W2426" s="257" t="s">
        <v>1342</v>
      </c>
      <c r="X2426" t="s">
        <v>1343</v>
      </c>
      <c r="Y2426" s="316" t="s">
        <v>558</v>
      </c>
      <c r="Z2426" s="8">
        <v>105</v>
      </c>
      <c r="AA2426" s="202" t="str">
        <f t="shared" si="38"/>
        <v>Общая масса готового блюда, г</v>
      </c>
    </row>
    <row r="2427" spans="1:27" ht="15" customHeight="1" x14ac:dyDescent="0.25">
      <c r="A2427" t="s">
        <v>153</v>
      </c>
      <c r="L2427"/>
      <c r="M2427"/>
      <c r="N2427"/>
      <c r="O2427"/>
      <c r="P2427"/>
      <c r="T2427">
        <v>946</v>
      </c>
      <c r="U2427" s="7">
        <v>3</v>
      </c>
      <c r="V2427" t="s">
        <v>1058</v>
      </c>
      <c r="W2427" s="257" t="s">
        <v>1342</v>
      </c>
      <c r="X2427" t="s">
        <v>1343</v>
      </c>
      <c r="Y2427" s="316" t="s">
        <v>109</v>
      </c>
      <c r="Z2427" s="8">
        <v>113</v>
      </c>
      <c r="AA2427" s="202" t="str">
        <f t="shared" si="38"/>
        <v>ОКГ</v>
      </c>
    </row>
    <row r="2428" spans="1:27" ht="15" customHeight="1" x14ac:dyDescent="0.25">
      <c r="A2428" t="s">
        <v>153</v>
      </c>
      <c r="L2428"/>
      <c r="M2428"/>
      <c r="N2428"/>
      <c r="O2428"/>
      <c r="P2428"/>
      <c r="T2428">
        <v>888</v>
      </c>
      <c r="U2428" s="7">
        <v>3</v>
      </c>
      <c r="V2428" t="s">
        <v>1058</v>
      </c>
      <c r="W2428" s="257" t="s">
        <v>1344</v>
      </c>
      <c r="X2428" t="s">
        <v>1345</v>
      </c>
      <c r="Y2428" s="316" t="s">
        <v>490</v>
      </c>
      <c r="Z2428" s="8">
        <v>100</v>
      </c>
      <c r="AA2428" s="202" t="str">
        <f t="shared" si="38"/>
        <v>Капуста свежая</v>
      </c>
    </row>
    <row r="2429" spans="1:27" ht="15" customHeight="1" x14ac:dyDescent="0.25">
      <c r="A2429" t="s">
        <v>153</v>
      </c>
      <c r="L2429"/>
      <c r="M2429"/>
      <c r="N2429"/>
      <c r="O2429"/>
      <c r="P2429"/>
      <c r="T2429">
        <v>889</v>
      </c>
      <c r="U2429" s="7">
        <v>3</v>
      </c>
      <c r="V2429" t="s">
        <v>1058</v>
      </c>
      <c r="W2429" s="257" t="s">
        <v>1344</v>
      </c>
      <c r="X2429" t="s">
        <v>1345</v>
      </c>
      <c r="Y2429" s="316" t="s">
        <v>46</v>
      </c>
      <c r="Z2429" s="8">
        <v>5</v>
      </c>
      <c r="AA2429" s="202" t="str">
        <f t="shared" si="38"/>
        <v>Морковь</v>
      </c>
    </row>
    <row r="2430" spans="1:27" ht="15" customHeight="1" x14ac:dyDescent="0.25">
      <c r="A2430" t="s">
        <v>153</v>
      </c>
      <c r="L2430"/>
      <c r="M2430"/>
      <c r="N2430"/>
      <c r="O2430"/>
      <c r="P2430"/>
      <c r="T2430">
        <v>890</v>
      </c>
      <c r="U2430" s="7">
        <v>3</v>
      </c>
      <c r="V2430" t="s">
        <v>1058</v>
      </c>
      <c r="W2430" s="257" t="s">
        <v>1344</v>
      </c>
      <c r="X2430" t="s">
        <v>1345</v>
      </c>
      <c r="Y2430" s="316" t="s">
        <v>32</v>
      </c>
      <c r="Z2430" s="8">
        <v>5</v>
      </c>
      <c r="AA2430" s="202" t="str">
        <f t="shared" si="38"/>
        <v>Лук репчатый</v>
      </c>
    </row>
    <row r="2431" spans="1:27" ht="15" customHeight="1" x14ac:dyDescent="0.25">
      <c r="A2431" t="s">
        <v>153</v>
      </c>
      <c r="L2431"/>
      <c r="M2431"/>
      <c r="N2431"/>
      <c r="O2431"/>
      <c r="P2431"/>
      <c r="T2431">
        <v>890</v>
      </c>
      <c r="U2431" s="7">
        <v>3</v>
      </c>
      <c r="V2431" t="s">
        <v>1058</v>
      </c>
      <c r="W2431" s="257" t="s">
        <v>1344</v>
      </c>
      <c r="X2431" t="s">
        <v>1345</v>
      </c>
      <c r="Y2431" s="316" t="s">
        <v>61</v>
      </c>
      <c r="Z2431" s="8">
        <v>8</v>
      </c>
      <c r="AA2431" s="202" t="str">
        <f t="shared" si="38"/>
        <v>Масло растительное</v>
      </c>
    </row>
    <row r="2432" spans="1:27" ht="15" customHeight="1" x14ac:dyDescent="0.25">
      <c r="A2432" t="s">
        <v>153</v>
      </c>
      <c r="L2432"/>
      <c r="M2432"/>
      <c r="N2432"/>
      <c r="O2432"/>
      <c r="P2432"/>
      <c r="T2432">
        <v>892</v>
      </c>
      <c r="U2432" s="7">
        <v>3</v>
      </c>
      <c r="V2432" t="s">
        <v>1058</v>
      </c>
      <c r="W2432" s="257" t="s">
        <v>1344</v>
      </c>
      <c r="X2432" t="s">
        <v>1345</v>
      </c>
      <c r="Y2432" s="316" t="s">
        <v>326</v>
      </c>
      <c r="Z2432" s="8">
        <v>2</v>
      </c>
      <c r="AA2432" s="202" t="str">
        <f t="shared" si="38"/>
        <v>Соль</v>
      </c>
    </row>
    <row r="2433" spans="1:27" ht="15" customHeight="1" x14ac:dyDescent="0.25">
      <c r="A2433" t="s">
        <v>153</v>
      </c>
      <c r="L2433"/>
      <c r="M2433"/>
      <c r="N2433"/>
      <c r="O2433"/>
      <c r="P2433"/>
      <c r="T2433">
        <v>894</v>
      </c>
      <c r="U2433" s="7">
        <v>3</v>
      </c>
      <c r="V2433" t="s">
        <v>1058</v>
      </c>
      <c r="W2433" s="257" t="s">
        <v>1344</v>
      </c>
      <c r="X2433" t="s">
        <v>1345</v>
      </c>
      <c r="Y2433" s="316" t="s">
        <v>558</v>
      </c>
      <c r="Z2433" s="8">
        <v>98</v>
      </c>
      <c r="AA2433" s="202" t="str">
        <f t="shared" si="38"/>
        <v>Общая масса готового блюда, г</v>
      </c>
    </row>
    <row r="2434" spans="1:27" ht="15" customHeight="1" x14ac:dyDescent="0.25">
      <c r="A2434" t="s">
        <v>153</v>
      </c>
      <c r="L2434"/>
      <c r="M2434"/>
      <c r="N2434"/>
      <c r="O2434"/>
      <c r="P2434"/>
      <c r="T2434">
        <v>895</v>
      </c>
      <c r="U2434" s="7">
        <v>3</v>
      </c>
      <c r="V2434" t="s">
        <v>1058</v>
      </c>
      <c r="W2434" s="257" t="s">
        <v>1344</v>
      </c>
      <c r="X2434" t="s">
        <v>1345</v>
      </c>
      <c r="Y2434" s="316" t="s">
        <v>109</v>
      </c>
      <c r="Z2434" s="8">
        <v>90</v>
      </c>
      <c r="AA2434" s="202" t="str">
        <f t="shared" ref="AA2434:AA2497" si="39">VLOOKUP(Y2434,O:P,2,FALSE)</f>
        <v>ОКГ</v>
      </c>
    </row>
    <row r="2435" spans="1:27" ht="15" customHeight="1" x14ac:dyDescent="0.25">
      <c r="A2435" t="s">
        <v>153</v>
      </c>
      <c r="L2435"/>
      <c r="M2435"/>
      <c r="N2435"/>
      <c r="O2435"/>
      <c r="P2435"/>
      <c r="T2435">
        <v>947</v>
      </c>
      <c r="U2435" s="7">
        <v>3</v>
      </c>
      <c r="V2435" t="s">
        <v>1058</v>
      </c>
      <c r="W2435" s="257" t="s">
        <v>1078</v>
      </c>
      <c r="X2435" t="s">
        <v>1079</v>
      </c>
      <c r="Y2435" s="316" t="s">
        <v>489</v>
      </c>
      <c r="Z2435" s="8">
        <v>155</v>
      </c>
      <c r="AA2435" s="202" t="str">
        <f t="shared" si="39"/>
        <v>Капуста консерв.</v>
      </c>
    </row>
    <row r="2436" spans="1:27" ht="15" customHeight="1" x14ac:dyDescent="0.25">
      <c r="A2436" t="s">
        <v>153</v>
      </c>
      <c r="L2436"/>
      <c r="M2436"/>
      <c r="N2436"/>
      <c r="O2436"/>
      <c r="P2436"/>
      <c r="T2436">
        <v>948</v>
      </c>
      <c r="U2436" s="7">
        <v>3</v>
      </c>
      <c r="V2436" t="s">
        <v>1058</v>
      </c>
      <c r="W2436" s="257" t="s">
        <v>1078</v>
      </c>
      <c r="X2436" t="s">
        <v>1079</v>
      </c>
      <c r="Y2436" s="316" t="s">
        <v>32</v>
      </c>
      <c r="Z2436" s="8">
        <v>20</v>
      </c>
      <c r="AA2436" s="202" t="str">
        <f t="shared" si="39"/>
        <v>Лук репчатый</v>
      </c>
    </row>
    <row r="2437" spans="1:27" ht="15" customHeight="1" x14ac:dyDescent="0.25">
      <c r="A2437" t="s">
        <v>153</v>
      </c>
      <c r="L2437"/>
      <c r="M2437"/>
      <c r="N2437"/>
      <c r="O2437"/>
      <c r="P2437"/>
      <c r="T2437">
        <v>949</v>
      </c>
      <c r="U2437" s="7">
        <v>3</v>
      </c>
      <c r="V2437" t="s">
        <v>1058</v>
      </c>
      <c r="W2437" s="257" t="s">
        <v>1078</v>
      </c>
      <c r="X2437" t="s">
        <v>1079</v>
      </c>
      <c r="Y2437" s="316" t="s">
        <v>61</v>
      </c>
      <c r="Z2437" s="8">
        <v>8</v>
      </c>
      <c r="AA2437" s="202" t="str">
        <f t="shared" si="39"/>
        <v>Масло растительное</v>
      </c>
    </row>
    <row r="2438" spans="1:27" ht="15" customHeight="1" x14ac:dyDescent="0.25">
      <c r="A2438" t="s">
        <v>153</v>
      </c>
      <c r="L2438"/>
      <c r="M2438"/>
      <c r="N2438"/>
      <c r="O2438"/>
      <c r="P2438"/>
      <c r="T2438">
        <v>950</v>
      </c>
      <c r="U2438" s="7">
        <v>3</v>
      </c>
      <c r="V2438" t="s">
        <v>1058</v>
      </c>
      <c r="W2438" s="257" t="s">
        <v>1078</v>
      </c>
      <c r="X2438" t="s">
        <v>1079</v>
      </c>
      <c r="Y2438" s="316" t="s">
        <v>558</v>
      </c>
      <c r="Z2438" s="8">
        <v>133</v>
      </c>
      <c r="AA2438" s="202" t="str">
        <f t="shared" si="39"/>
        <v>Общая масса готового блюда, г</v>
      </c>
    </row>
    <row r="2439" spans="1:27" ht="15" customHeight="1" x14ac:dyDescent="0.25">
      <c r="A2439" t="s">
        <v>153</v>
      </c>
      <c r="L2439"/>
      <c r="M2439"/>
      <c r="N2439"/>
      <c r="O2439"/>
      <c r="P2439"/>
      <c r="T2439">
        <v>951</v>
      </c>
      <c r="U2439" s="7">
        <v>3</v>
      </c>
      <c r="V2439" t="s">
        <v>1058</v>
      </c>
      <c r="W2439" s="257" t="s">
        <v>1078</v>
      </c>
      <c r="X2439" t="s">
        <v>1079</v>
      </c>
      <c r="Y2439" s="316" t="s">
        <v>109</v>
      </c>
      <c r="Z2439" s="8">
        <v>175</v>
      </c>
      <c r="AA2439" s="202" t="str">
        <f t="shared" si="39"/>
        <v>ОКГ</v>
      </c>
    </row>
    <row r="2440" spans="1:27" ht="15" customHeight="1" x14ac:dyDescent="0.25">
      <c r="A2440" t="s">
        <v>153</v>
      </c>
      <c r="L2440"/>
      <c r="M2440"/>
      <c r="N2440"/>
      <c r="O2440"/>
      <c r="P2440"/>
      <c r="T2440">
        <v>947</v>
      </c>
      <c r="U2440" s="7">
        <v>3</v>
      </c>
      <c r="V2440" t="s">
        <v>1058</v>
      </c>
      <c r="W2440" s="257" t="s">
        <v>1346</v>
      </c>
      <c r="X2440" t="s">
        <v>1347</v>
      </c>
      <c r="Y2440" s="316" t="s">
        <v>489</v>
      </c>
      <c r="Z2440" s="8">
        <v>155</v>
      </c>
      <c r="AA2440" s="202" t="str">
        <f t="shared" si="39"/>
        <v>Капуста консерв.</v>
      </c>
    </row>
    <row r="2441" spans="1:27" ht="15" customHeight="1" x14ac:dyDescent="0.25">
      <c r="A2441" t="s">
        <v>153</v>
      </c>
      <c r="L2441"/>
      <c r="M2441"/>
      <c r="N2441"/>
      <c r="O2441"/>
      <c r="P2441"/>
      <c r="T2441">
        <v>948</v>
      </c>
      <c r="U2441" s="7">
        <v>3</v>
      </c>
      <c r="V2441" t="s">
        <v>1058</v>
      </c>
      <c r="W2441" s="257" t="s">
        <v>1346</v>
      </c>
      <c r="X2441" t="s">
        <v>1347</v>
      </c>
      <c r="Y2441" s="316" t="s">
        <v>32</v>
      </c>
      <c r="Z2441" s="8">
        <v>20</v>
      </c>
      <c r="AA2441" s="202" t="str">
        <f t="shared" si="39"/>
        <v>Лук репчатый</v>
      </c>
    </row>
    <row r="2442" spans="1:27" ht="15" customHeight="1" x14ac:dyDescent="0.25">
      <c r="A2442" t="s">
        <v>153</v>
      </c>
      <c r="L2442"/>
      <c r="M2442"/>
      <c r="N2442"/>
      <c r="O2442"/>
      <c r="P2442"/>
      <c r="T2442">
        <v>949</v>
      </c>
      <c r="U2442" s="7">
        <v>3</v>
      </c>
      <c r="V2442" t="s">
        <v>1058</v>
      </c>
      <c r="W2442" s="257" t="s">
        <v>1346</v>
      </c>
      <c r="X2442" t="s">
        <v>1347</v>
      </c>
      <c r="Y2442" s="316" t="s">
        <v>61</v>
      </c>
      <c r="Z2442" s="8">
        <v>8</v>
      </c>
      <c r="AA2442" s="202" t="str">
        <f t="shared" si="39"/>
        <v>Масло растительное</v>
      </c>
    </row>
    <row r="2443" spans="1:27" ht="15" customHeight="1" x14ac:dyDescent="0.25">
      <c r="A2443" t="s">
        <v>153</v>
      </c>
      <c r="L2443"/>
      <c r="M2443"/>
      <c r="N2443"/>
      <c r="O2443"/>
      <c r="P2443"/>
      <c r="T2443">
        <v>950</v>
      </c>
      <c r="U2443" s="7">
        <v>3</v>
      </c>
      <c r="V2443" t="s">
        <v>1058</v>
      </c>
      <c r="W2443" s="257" t="s">
        <v>1346</v>
      </c>
      <c r="X2443" t="s">
        <v>1347</v>
      </c>
      <c r="Y2443" s="316" t="s">
        <v>558</v>
      </c>
      <c r="Z2443" s="8">
        <v>133</v>
      </c>
      <c r="AA2443" s="202" t="str">
        <f t="shared" si="39"/>
        <v>Общая масса готового блюда, г</v>
      </c>
    </row>
    <row r="2444" spans="1:27" ht="15" customHeight="1" x14ac:dyDescent="0.25">
      <c r="A2444" t="s">
        <v>153</v>
      </c>
      <c r="L2444"/>
      <c r="M2444"/>
      <c r="N2444"/>
      <c r="O2444"/>
      <c r="P2444"/>
      <c r="T2444">
        <v>951</v>
      </c>
      <c r="U2444" s="7">
        <v>3</v>
      </c>
      <c r="V2444" t="s">
        <v>1058</v>
      </c>
      <c r="W2444" s="257" t="s">
        <v>1346</v>
      </c>
      <c r="X2444" t="s">
        <v>1347</v>
      </c>
      <c r="Y2444" s="316" t="s">
        <v>109</v>
      </c>
      <c r="Z2444" s="8">
        <v>114</v>
      </c>
      <c r="AA2444" s="202" t="str">
        <f t="shared" si="39"/>
        <v>ОКГ</v>
      </c>
    </row>
    <row r="2445" spans="1:27" ht="15" customHeight="1" x14ac:dyDescent="0.25">
      <c r="A2445" t="s">
        <v>153</v>
      </c>
      <c r="L2445"/>
      <c r="M2445"/>
      <c r="N2445"/>
      <c r="O2445"/>
      <c r="P2445"/>
      <c r="T2445">
        <v>952</v>
      </c>
      <c r="U2445" s="7">
        <v>3</v>
      </c>
      <c r="V2445" t="s">
        <v>1058</v>
      </c>
      <c r="W2445" s="257" t="s">
        <v>1080</v>
      </c>
      <c r="X2445" t="s">
        <v>1081</v>
      </c>
      <c r="Y2445" s="316" t="s">
        <v>489</v>
      </c>
      <c r="Z2445" s="8">
        <v>115</v>
      </c>
      <c r="AA2445" s="202" t="str">
        <f t="shared" si="39"/>
        <v>Капуста консерв.</v>
      </c>
    </row>
    <row r="2446" spans="1:27" ht="15" customHeight="1" x14ac:dyDescent="0.25">
      <c r="A2446" t="s">
        <v>153</v>
      </c>
      <c r="L2446"/>
      <c r="M2446"/>
      <c r="N2446"/>
      <c r="O2446"/>
      <c r="P2446"/>
      <c r="T2446">
        <v>953</v>
      </c>
      <c r="U2446" s="7">
        <v>3</v>
      </c>
      <c r="V2446" t="s">
        <v>1058</v>
      </c>
      <c r="W2446" s="257" t="s">
        <v>1080</v>
      </c>
      <c r="X2446" t="s">
        <v>1081</v>
      </c>
      <c r="Y2446" s="316" t="s">
        <v>48</v>
      </c>
      <c r="Z2446" s="8">
        <v>45</v>
      </c>
      <c r="AA2446" s="202" t="str">
        <f t="shared" si="39"/>
        <v>Свекла</v>
      </c>
    </row>
    <row r="2447" spans="1:27" ht="15" customHeight="1" x14ac:dyDescent="0.25">
      <c r="A2447" t="s">
        <v>153</v>
      </c>
      <c r="L2447"/>
      <c r="M2447"/>
      <c r="N2447"/>
      <c r="O2447"/>
      <c r="P2447"/>
      <c r="T2447">
        <v>954</v>
      </c>
      <c r="U2447" s="7">
        <v>3</v>
      </c>
      <c r="V2447" t="s">
        <v>1058</v>
      </c>
      <c r="W2447" s="257" t="s">
        <v>1080</v>
      </c>
      <c r="X2447" t="s">
        <v>1081</v>
      </c>
      <c r="Y2447" s="316" t="s">
        <v>32</v>
      </c>
      <c r="Z2447" s="8">
        <v>15</v>
      </c>
      <c r="AA2447" s="202" t="str">
        <f t="shared" si="39"/>
        <v>Лук репчатый</v>
      </c>
    </row>
    <row r="2448" spans="1:27" ht="15" customHeight="1" x14ac:dyDescent="0.25">
      <c r="A2448" t="s">
        <v>153</v>
      </c>
      <c r="L2448"/>
      <c r="M2448"/>
      <c r="N2448"/>
      <c r="O2448"/>
      <c r="P2448"/>
      <c r="T2448">
        <v>955</v>
      </c>
      <c r="U2448" s="7">
        <v>3</v>
      </c>
      <c r="V2448" t="s">
        <v>1058</v>
      </c>
      <c r="W2448" s="257" t="s">
        <v>1080</v>
      </c>
      <c r="X2448" t="s">
        <v>1081</v>
      </c>
      <c r="Y2448" s="316" t="s">
        <v>61</v>
      </c>
      <c r="Z2448" s="8">
        <v>8</v>
      </c>
      <c r="AA2448" s="202" t="str">
        <f t="shared" si="39"/>
        <v>Масло растительное</v>
      </c>
    </row>
    <row r="2449" spans="1:27" ht="15" customHeight="1" x14ac:dyDescent="0.25">
      <c r="A2449" t="s">
        <v>153</v>
      </c>
      <c r="L2449"/>
      <c r="M2449"/>
      <c r="N2449"/>
      <c r="O2449"/>
      <c r="P2449"/>
      <c r="T2449">
        <v>956</v>
      </c>
      <c r="U2449" s="7">
        <v>3</v>
      </c>
      <c r="V2449" t="s">
        <v>1058</v>
      </c>
      <c r="W2449" s="257" t="s">
        <v>1080</v>
      </c>
      <c r="X2449" t="s">
        <v>1081</v>
      </c>
      <c r="Y2449" s="316" t="s">
        <v>486</v>
      </c>
      <c r="Z2449" s="8">
        <v>0.5</v>
      </c>
      <c r="AA2449" s="202" t="str">
        <f t="shared" si="39"/>
        <v>Уксус</v>
      </c>
    </row>
    <row r="2450" spans="1:27" ht="15" customHeight="1" x14ac:dyDescent="0.25">
      <c r="A2450" t="s">
        <v>153</v>
      </c>
      <c r="L2450"/>
      <c r="M2450"/>
      <c r="N2450"/>
      <c r="O2450"/>
      <c r="P2450"/>
      <c r="T2450">
        <v>958</v>
      </c>
      <c r="U2450" s="7">
        <v>3</v>
      </c>
      <c r="V2450" t="s">
        <v>1058</v>
      </c>
      <c r="W2450" s="257" t="s">
        <v>1080</v>
      </c>
      <c r="X2450" t="s">
        <v>1081</v>
      </c>
      <c r="Y2450" s="316" t="s">
        <v>558</v>
      </c>
      <c r="Z2450" s="8">
        <v>132</v>
      </c>
      <c r="AA2450" s="202" t="str">
        <f t="shared" si="39"/>
        <v>Общая масса готового блюда, г</v>
      </c>
    </row>
    <row r="2451" spans="1:27" ht="15" customHeight="1" x14ac:dyDescent="0.25">
      <c r="A2451" t="s">
        <v>153</v>
      </c>
      <c r="L2451"/>
      <c r="M2451"/>
      <c r="N2451"/>
      <c r="O2451"/>
      <c r="P2451"/>
      <c r="T2451">
        <v>959</v>
      </c>
      <c r="U2451" s="7">
        <v>3</v>
      </c>
      <c r="V2451" t="s">
        <v>1058</v>
      </c>
      <c r="W2451" s="257" t="s">
        <v>1080</v>
      </c>
      <c r="X2451" t="s">
        <v>1081</v>
      </c>
      <c r="Y2451" s="316" t="s">
        <v>109</v>
      </c>
      <c r="Z2451" s="8">
        <v>175</v>
      </c>
      <c r="AA2451" s="202" t="str">
        <f t="shared" si="39"/>
        <v>ОКГ</v>
      </c>
    </row>
    <row r="2452" spans="1:27" ht="15" customHeight="1" x14ac:dyDescent="0.25">
      <c r="A2452" t="s">
        <v>153</v>
      </c>
      <c r="L2452"/>
      <c r="M2452"/>
      <c r="N2452"/>
      <c r="O2452"/>
      <c r="P2452"/>
      <c r="T2452">
        <v>952</v>
      </c>
      <c r="U2452" s="7">
        <v>3</v>
      </c>
      <c r="V2452" t="s">
        <v>1058</v>
      </c>
      <c r="W2452" s="257" t="s">
        <v>1348</v>
      </c>
      <c r="X2452" t="s">
        <v>1349</v>
      </c>
      <c r="Y2452" s="316" t="s">
        <v>489</v>
      </c>
      <c r="Z2452" s="8">
        <v>70</v>
      </c>
      <c r="AA2452" s="202" t="str">
        <f t="shared" si="39"/>
        <v>Капуста консерв.</v>
      </c>
    </row>
    <row r="2453" spans="1:27" ht="15" customHeight="1" x14ac:dyDescent="0.25">
      <c r="A2453" t="s">
        <v>153</v>
      </c>
      <c r="L2453"/>
      <c r="M2453"/>
      <c r="N2453"/>
      <c r="O2453"/>
      <c r="P2453"/>
      <c r="T2453">
        <v>953</v>
      </c>
      <c r="U2453" s="7">
        <v>3</v>
      </c>
      <c r="V2453" t="s">
        <v>1058</v>
      </c>
      <c r="W2453" s="257" t="s">
        <v>1348</v>
      </c>
      <c r="X2453" t="s">
        <v>1349</v>
      </c>
      <c r="Y2453" s="316" t="s">
        <v>48</v>
      </c>
      <c r="Z2453" s="8">
        <v>35</v>
      </c>
      <c r="AA2453" s="202" t="str">
        <f t="shared" si="39"/>
        <v>Свекла</v>
      </c>
    </row>
    <row r="2454" spans="1:27" ht="15" customHeight="1" x14ac:dyDescent="0.25">
      <c r="A2454" t="s">
        <v>153</v>
      </c>
      <c r="L2454"/>
      <c r="M2454"/>
      <c r="N2454"/>
      <c r="O2454"/>
      <c r="P2454"/>
      <c r="T2454">
        <v>954</v>
      </c>
      <c r="U2454" s="7">
        <v>3</v>
      </c>
      <c r="V2454" t="s">
        <v>1058</v>
      </c>
      <c r="W2454" s="257" t="s">
        <v>1348</v>
      </c>
      <c r="X2454" t="s">
        <v>1349</v>
      </c>
      <c r="Y2454" s="316" t="s">
        <v>32</v>
      </c>
      <c r="Z2454" s="8">
        <v>5</v>
      </c>
      <c r="AA2454" s="202" t="str">
        <f t="shared" si="39"/>
        <v>Лук репчатый</v>
      </c>
    </row>
    <row r="2455" spans="1:27" ht="15" customHeight="1" x14ac:dyDescent="0.25">
      <c r="A2455" t="s">
        <v>153</v>
      </c>
      <c r="L2455"/>
      <c r="M2455"/>
      <c r="N2455"/>
      <c r="O2455"/>
      <c r="P2455"/>
      <c r="T2455">
        <v>955</v>
      </c>
      <c r="U2455" s="7">
        <v>3</v>
      </c>
      <c r="V2455" t="s">
        <v>1058</v>
      </c>
      <c r="W2455" s="257" t="s">
        <v>1348</v>
      </c>
      <c r="X2455" t="s">
        <v>1349</v>
      </c>
      <c r="Y2455" s="316" t="s">
        <v>61</v>
      </c>
      <c r="Z2455" s="8">
        <v>8</v>
      </c>
      <c r="AA2455" s="202" t="str">
        <f t="shared" si="39"/>
        <v>Масло растительное</v>
      </c>
    </row>
    <row r="2456" spans="1:27" ht="15" customHeight="1" x14ac:dyDescent="0.25">
      <c r="A2456" t="s">
        <v>153</v>
      </c>
      <c r="L2456"/>
      <c r="M2456"/>
      <c r="N2456"/>
      <c r="O2456"/>
      <c r="P2456"/>
      <c r="T2456">
        <v>956</v>
      </c>
      <c r="U2456" s="7">
        <v>3</v>
      </c>
      <c r="V2456" t="s">
        <v>1058</v>
      </c>
      <c r="W2456" s="257" t="s">
        <v>1348</v>
      </c>
      <c r="X2456" t="s">
        <v>1349</v>
      </c>
      <c r="Y2456" s="316" t="s">
        <v>486</v>
      </c>
      <c r="Z2456" s="8">
        <v>0.5</v>
      </c>
      <c r="AA2456" s="202" t="str">
        <f t="shared" si="39"/>
        <v>Уксус</v>
      </c>
    </row>
    <row r="2457" spans="1:27" ht="15" customHeight="1" x14ac:dyDescent="0.25">
      <c r="A2457" t="s">
        <v>153</v>
      </c>
      <c r="L2457"/>
      <c r="M2457"/>
      <c r="N2457"/>
      <c r="O2457"/>
      <c r="P2457"/>
      <c r="T2457">
        <v>958</v>
      </c>
      <c r="U2457" s="7">
        <v>3</v>
      </c>
      <c r="V2457" t="s">
        <v>1058</v>
      </c>
      <c r="W2457" s="257" t="s">
        <v>1348</v>
      </c>
      <c r="X2457" t="s">
        <v>1349</v>
      </c>
      <c r="Y2457" s="316" t="s">
        <v>558</v>
      </c>
      <c r="Z2457" s="8">
        <v>87</v>
      </c>
      <c r="AA2457" s="202" t="str">
        <f t="shared" si="39"/>
        <v>Общая масса готового блюда, г</v>
      </c>
    </row>
    <row r="2458" spans="1:27" ht="15" customHeight="1" x14ac:dyDescent="0.25">
      <c r="A2458" t="s">
        <v>153</v>
      </c>
      <c r="L2458"/>
      <c r="M2458"/>
      <c r="N2458"/>
      <c r="O2458"/>
      <c r="P2458"/>
      <c r="T2458">
        <v>959</v>
      </c>
      <c r="U2458" s="7">
        <v>3</v>
      </c>
      <c r="V2458" t="s">
        <v>1058</v>
      </c>
      <c r="W2458" s="257" t="s">
        <v>1348</v>
      </c>
      <c r="X2458" t="s">
        <v>1349</v>
      </c>
      <c r="Y2458" s="316" t="s">
        <v>109</v>
      </c>
      <c r="Z2458" s="8">
        <v>110</v>
      </c>
      <c r="AA2458" s="202" t="str">
        <f t="shared" si="39"/>
        <v>ОКГ</v>
      </c>
    </row>
    <row r="2459" spans="1:27" ht="15" customHeight="1" x14ac:dyDescent="0.25">
      <c r="A2459" t="s">
        <v>153</v>
      </c>
      <c r="L2459"/>
      <c r="M2459"/>
      <c r="N2459"/>
      <c r="O2459"/>
      <c r="P2459"/>
      <c r="T2459">
        <v>982</v>
      </c>
      <c r="U2459" s="7">
        <v>3</v>
      </c>
      <c r="V2459" t="s">
        <v>1058</v>
      </c>
      <c r="W2459" s="257" t="s">
        <v>1082</v>
      </c>
      <c r="X2459" t="s">
        <v>1083</v>
      </c>
      <c r="Y2459" s="316" t="s">
        <v>46</v>
      </c>
      <c r="Z2459" s="8">
        <v>115</v>
      </c>
      <c r="AA2459" s="202" t="str">
        <f t="shared" si="39"/>
        <v>Морковь</v>
      </c>
    </row>
    <row r="2460" spans="1:27" ht="15" customHeight="1" x14ac:dyDescent="0.25">
      <c r="A2460" t="s">
        <v>153</v>
      </c>
      <c r="L2460"/>
      <c r="M2460"/>
      <c r="N2460"/>
      <c r="O2460"/>
      <c r="P2460"/>
      <c r="T2460">
        <v>983</v>
      </c>
      <c r="U2460" s="7">
        <v>3</v>
      </c>
      <c r="V2460" t="s">
        <v>1058</v>
      </c>
      <c r="W2460" s="257" t="s">
        <v>1082</v>
      </c>
      <c r="X2460" t="s">
        <v>1083</v>
      </c>
      <c r="Y2460" s="316" t="s">
        <v>439</v>
      </c>
      <c r="Z2460" s="8">
        <v>20</v>
      </c>
      <c r="AA2460" s="202" t="str">
        <f t="shared" si="39"/>
        <v>Горошек консерв.</v>
      </c>
    </row>
    <row r="2461" spans="1:27" ht="15" customHeight="1" x14ac:dyDescent="0.25">
      <c r="A2461" t="s">
        <v>153</v>
      </c>
      <c r="L2461"/>
      <c r="M2461"/>
      <c r="N2461"/>
      <c r="O2461"/>
      <c r="P2461"/>
      <c r="T2461">
        <v>984</v>
      </c>
      <c r="U2461" s="7">
        <v>3</v>
      </c>
      <c r="V2461" t="s">
        <v>1058</v>
      </c>
      <c r="W2461" s="257" t="s">
        <v>1082</v>
      </c>
      <c r="X2461" t="s">
        <v>1083</v>
      </c>
      <c r="Y2461" s="316" t="s">
        <v>61</v>
      </c>
      <c r="Z2461" s="8">
        <v>8</v>
      </c>
      <c r="AA2461" s="202" t="str">
        <f t="shared" si="39"/>
        <v>Масло растительное</v>
      </c>
    </row>
    <row r="2462" spans="1:27" ht="15" customHeight="1" x14ac:dyDescent="0.25">
      <c r="A2462" t="s">
        <v>153</v>
      </c>
      <c r="L2462"/>
      <c r="M2462"/>
      <c r="N2462"/>
      <c r="O2462"/>
      <c r="P2462"/>
      <c r="T2462">
        <v>985</v>
      </c>
      <c r="U2462" s="7">
        <v>3</v>
      </c>
      <c r="V2462" t="s">
        <v>1058</v>
      </c>
      <c r="W2462" s="257" t="s">
        <v>1082</v>
      </c>
      <c r="X2462" t="s">
        <v>1083</v>
      </c>
      <c r="Y2462" s="316" t="s">
        <v>326</v>
      </c>
      <c r="Z2462" s="8">
        <v>2</v>
      </c>
      <c r="AA2462" s="202" t="str">
        <f t="shared" si="39"/>
        <v>Соль</v>
      </c>
    </row>
    <row r="2463" spans="1:27" ht="15" customHeight="1" x14ac:dyDescent="0.25">
      <c r="A2463" t="s">
        <v>153</v>
      </c>
      <c r="L2463"/>
      <c r="M2463"/>
      <c r="N2463"/>
      <c r="O2463"/>
      <c r="P2463"/>
      <c r="T2463">
        <v>987</v>
      </c>
      <c r="U2463" s="7">
        <v>3</v>
      </c>
      <c r="V2463" t="s">
        <v>1058</v>
      </c>
      <c r="W2463" s="257" t="s">
        <v>1082</v>
      </c>
      <c r="X2463" t="s">
        <v>1083</v>
      </c>
      <c r="Y2463" s="316" t="s">
        <v>558</v>
      </c>
      <c r="Z2463" s="8">
        <v>115</v>
      </c>
      <c r="AA2463" s="202" t="str">
        <f t="shared" si="39"/>
        <v>Общая масса готового блюда, г</v>
      </c>
    </row>
    <row r="2464" spans="1:27" ht="15" customHeight="1" x14ac:dyDescent="0.25">
      <c r="A2464" t="s">
        <v>153</v>
      </c>
      <c r="L2464"/>
      <c r="M2464"/>
      <c r="N2464"/>
      <c r="O2464"/>
      <c r="P2464"/>
      <c r="T2464">
        <v>988</v>
      </c>
      <c r="U2464" s="7">
        <v>3</v>
      </c>
      <c r="V2464" t="s">
        <v>1058</v>
      </c>
      <c r="W2464" s="257" t="s">
        <v>1082</v>
      </c>
      <c r="X2464" t="s">
        <v>1083</v>
      </c>
      <c r="Y2464" s="316" t="s">
        <v>109</v>
      </c>
      <c r="Z2464" s="8">
        <v>175</v>
      </c>
      <c r="AA2464" s="202" t="str">
        <f t="shared" si="39"/>
        <v>ОКГ</v>
      </c>
    </row>
    <row r="2465" spans="1:27" ht="15" customHeight="1" x14ac:dyDescent="0.25">
      <c r="A2465" t="s">
        <v>153</v>
      </c>
      <c r="L2465"/>
      <c r="M2465"/>
      <c r="N2465"/>
      <c r="O2465"/>
      <c r="P2465"/>
      <c r="T2465">
        <v>966</v>
      </c>
      <c r="U2465" s="7">
        <v>3</v>
      </c>
      <c r="V2465" t="s">
        <v>1058</v>
      </c>
      <c r="W2465" s="257" t="s">
        <v>1084</v>
      </c>
      <c r="X2465" t="s">
        <v>1085</v>
      </c>
      <c r="Y2465" s="316" t="s">
        <v>46</v>
      </c>
      <c r="Z2465" s="8">
        <v>155</v>
      </c>
      <c r="AA2465" s="202" t="str">
        <f t="shared" si="39"/>
        <v>Морковь</v>
      </c>
    </row>
    <row r="2466" spans="1:27" ht="15" customHeight="1" x14ac:dyDescent="0.25">
      <c r="A2466" t="s">
        <v>153</v>
      </c>
      <c r="L2466"/>
      <c r="M2466"/>
      <c r="N2466"/>
      <c r="O2466"/>
      <c r="P2466"/>
      <c r="T2466">
        <v>967</v>
      </c>
      <c r="U2466" s="7">
        <v>3</v>
      </c>
      <c r="V2466" t="s">
        <v>1058</v>
      </c>
      <c r="W2466" s="257" t="s">
        <v>1084</v>
      </c>
      <c r="X2466" t="s">
        <v>1085</v>
      </c>
      <c r="Y2466" s="316" t="s">
        <v>49</v>
      </c>
      <c r="Z2466" s="8">
        <v>2.5</v>
      </c>
      <c r="AA2466" s="202" t="str">
        <f t="shared" si="39"/>
        <v>Чеснок</v>
      </c>
    </row>
    <row r="2467" spans="1:27" ht="15" customHeight="1" x14ac:dyDescent="0.25">
      <c r="A2467" t="s">
        <v>153</v>
      </c>
      <c r="L2467"/>
      <c r="M2467"/>
      <c r="N2467"/>
      <c r="O2467"/>
      <c r="P2467"/>
      <c r="T2467">
        <v>968</v>
      </c>
      <c r="U2467" s="7">
        <v>3</v>
      </c>
      <c r="V2467" t="s">
        <v>1058</v>
      </c>
      <c r="W2467" s="257" t="s">
        <v>1084</v>
      </c>
      <c r="X2467" t="s">
        <v>1085</v>
      </c>
      <c r="Y2467" s="316" t="s">
        <v>61</v>
      </c>
      <c r="Z2467" s="8">
        <v>8</v>
      </c>
      <c r="AA2467" s="202" t="str">
        <f t="shared" si="39"/>
        <v>Масло растительное</v>
      </c>
    </row>
    <row r="2468" spans="1:27" ht="15" customHeight="1" x14ac:dyDescent="0.25">
      <c r="A2468" t="s">
        <v>153</v>
      </c>
      <c r="L2468"/>
      <c r="M2468"/>
      <c r="N2468"/>
      <c r="O2468"/>
      <c r="P2468"/>
      <c r="T2468">
        <v>969</v>
      </c>
      <c r="U2468" s="7">
        <v>3</v>
      </c>
      <c r="V2468" t="s">
        <v>1058</v>
      </c>
      <c r="W2468" s="257" t="s">
        <v>1084</v>
      </c>
      <c r="X2468" t="s">
        <v>1085</v>
      </c>
      <c r="Y2468" s="316" t="s">
        <v>326</v>
      </c>
      <c r="Z2468" s="8">
        <v>2</v>
      </c>
      <c r="AA2468" s="202" t="str">
        <f t="shared" si="39"/>
        <v>Соль</v>
      </c>
    </row>
    <row r="2469" spans="1:27" ht="15" customHeight="1" x14ac:dyDescent="0.25">
      <c r="A2469" t="s">
        <v>153</v>
      </c>
      <c r="L2469"/>
      <c r="M2469"/>
      <c r="N2469"/>
      <c r="O2469"/>
      <c r="P2469"/>
      <c r="T2469">
        <v>971</v>
      </c>
      <c r="U2469" s="7">
        <v>3</v>
      </c>
      <c r="V2469" t="s">
        <v>1058</v>
      </c>
      <c r="W2469" s="257" t="s">
        <v>1084</v>
      </c>
      <c r="X2469" t="s">
        <v>1085</v>
      </c>
      <c r="Y2469" s="316" t="s">
        <v>558</v>
      </c>
      <c r="Z2469" s="8">
        <v>134</v>
      </c>
      <c r="AA2469" s="202" t="str">
        <f t="shared" si="39"/>
        <v>Общая масса готового блюда, г</v>
      </c>
    </row>
    <row r="2470" spans="1:27" ht="15" customHeight="1" x14ac:dyDescent="0.25">
      <c r="A2470" t="s">
        <v>153</v>
      </c>
      <c r="L2470"/>
      <c r="M2470"/>
      <c r="N2470"/>
      <c r="O2470"/>
      <c r="P2470"/>
      <c r="T2470">
        <v>972</v>
      </c>
      <c r="U2470" s="7">
        <v>3</v>
      </c>
      <c r="V2470" t="s">
        <v>1058</v>
      </c>
      <c r="W2470" s="257" t="s">
        <v>1084</v>
      </c>
      <c r="X2470" t="s">
        <v>1085</v>
      </c>
      <c r="Y2470" s="316" t="s">
        <v>109</v>
      </c>
      <c r="Z2470" s="8">
        <v>175</v>
      </c>
      <c r="AA2470" s="202" t="str">
        <f t="shared" si="39"/>
        <v>ОКГ</v>
      </c>
    </row>
    <row r="2471" spans="1:27" ht="15" customHeight="1" x14ac:dyDescent="0.25">
      <c r="A2471" t="s">
        <v>153</v>
      </c>
      <c r="L2471"/>
      <c r="M2471"/>
      <c r="N2471"/>
      <c r="O2471"/>
      <c r="P2471"/>
      <c r="T2471">
        <v>888</v>
      </c>
      <c r="U2471" s="7">
        <v>3</v>
      </c>
      <c r="V2471" t="s">
        <v>1058</v>
      </c>
      <c r="W2471" s="257" t="s">
        <v>1086</v>
      </c>
      <c r="X2471" t="s">
        <v>1087</v>
      </c>
      <c r="Y2471" s="316" t="s">
        <v>490</v>
      </c>
      <c r="Z2471" s="8">
        <v>115</v>
      </c>
      <c r="AA2471" s="202" t="str">
        <f t="shared" si="39"/>
        <v>Капуста свежая</v>
      </c>
    </row>
    <row r="2472" spans="1:27" ht="15" customHeight="1" x14ac:dyDescent="0.25">
      <c r="A2472" t="s">
        <v>153</v>
      </c>
      <c r="L2472"/>
      <c r="M2472"/>
      <c r="N2472"/>
      <c r="O2472"/>
      <c r="P2472"/>
      <c r="T2472">
        <v>889</v>
      </c>
      <c r="U2472" s="7">
        <v>3</v>
      </c>
      <c r="V2472" t="s">
        <v>1058</v>
      </c>
      <c r="W2472" s="257" t="s">
        <v>1086</v>
      </c>
      <c r="X2472" t="s">
        <v>1087</v>
      </c>
      <c r="Y2472" s="316" t="s">
        <v>46</v>
      </c>
      <c r="Z2472" s="8">
        <v>30</v>
      </c>
      <c r="AA2472" s="202" t="str">
        <f t="shared" si="39"/>
        <v>Морковь</v>
      </c>
    </row>
    <row r="2473" spans="1:27" ht="15" customHeight="1" x14ac:dyDescent="0.25">
      <c r="A2473" t="s">
        <v>153</v>
      </c>
      <c r="L2473"/>
      <c r="M2473"/>
      <c r="N2473"/>
      <c r="O2473"/>
      <c r="P2473"/>
      <c r="T2473">
        <v>890</v>
      </c>
      <c r="U2473" s="7">
        <v>3</v>
      </c>
      <c r="V2473" t="s">
        <v>1058</v>
      </c>
      <c r="W2473" s="257" t="s">
        <v>1086</v>
      </c>
      <c r="X2473" t="s">
        <v>1087</v>
      </c>
      <c r="Y2473" s="316" t="s">
        <v>61</v>
      </c>
      <c r="Z2473" s="8">
        <v>8</v>
      </c>
      <c r="AA2473" s="202" t="str">
        <f t="shared" si="39"/>
        <v>Масло растительное</v>
      </c>
    </row>
    <row r="2474" spans="1:27" ht="15" customHeight="1" x14ac:dyDescent="0.25">
      <c r="A2474" t="s">
        <v>153</v>
      </c>
      <c r="L2474"/>
      <c r="M2474"/>
      <c r="N2474"/>
      <c r="O2474"/>
      <c r="P2474"/>
      <c r="T2474">
        <v>891</v>
      </c>
      <c r="U2474" s="7">
        <v>3</v>
      </c>
      <c r="V2474" t="s">
        <v>1058</v>
      </c>
      <c r="W2474" s="257" t="s">
        <v>1086</v>
      </c>
      <c r="X2474" t="s">
        <v>1087</v>
      </c>
      <c r="Y2474" s="316" t="s">
        <v>486</v>
      </c>
      <c r="Z2474" s="8">
        <v>1</v>
      </c>
      <c r="AA2474" s="202" t="str">
        <f t="shared" si="39"/>
        <v>Уксус</v>
      </c>
    </row>
    <row r="2475" spans="1:27" ht="15" customHeight="1" x14ac:dyDescent="0.25">
      <c r="A2475" t="s">
        <v>153</v>
      </c>
      <c r="L2475"/>
      <c r="M2475"/>
      <c r="N2475"/>
      <c r="O2475"/>
      <c r="P2475"/>
      <c r="T2475">
        <v>892</v>
      </c>
      <c r="U2475" s="7">
        <v>3</v>
      </c>
      <c r="V2475" t="s">
        <v>1058</v>
      </c>
      <c r="W2475" s="257" t="s">
        <v>1086</v>
      </c>
      <c r="X2475" t="s">
        <v>1087</v>
      </c>
      <c r="Y2475" s="316" t="s">
        <v>326</v>
      </c>
      <c r="Z2475" s="8">
        <v>2</v>
      </c>
      <c r="AA2475" s="202" t="str">
        <f t="shared" si="39"/>
        <v>Соль</v>
      </c>
    </row>
    <row r="2476" spans="1:27" ht="15" customHeight="1" x14ac:dyDescent="0.25">
      <c r="A2476" t="s">
        <v>153</v>
      </c>
      <c r="L2476"/>
      <c r="M2476"/>
      <c r="N2476"/>
      <c r="O2476"/>
      <c r="P2476"/>
      <c r="T2476">
        <v>894</v>
      </c>
      <c r="U2476" s="7">
        <v>3</v>
      </c>
      <c r="V2476" t="s">
        <v>1058</v>
      </c>
      <c r="W2476" s="257" t="s">
        <v>1086</v>
      </c>
      <c r="X2476" t="s">
        <v>1087</v>
      </c>
      <c r="Y2476" s="316" t="s">
        <v>558</v>
      </c>
      <c r="Z2476" s="8">
        <v>117</v>
      </c>
      <c r="AA2476" s="202" t="str">
        <f t="shared" si="39"/>
        <v>Общая масса готового блюда, г</v>
      </c>
    </row>
    <row r="2477" spans="1:27" ht="15" customHeight="1" x14ac:dyDescent="0.25">
      <c r="A2477" t="s">
        <v>153</v>
      </c>
      <c r="L2477"/>
      <c r="M2477"/>
      <c r="N2477"/>
      <c r="O2477"/>
      <c r="P2477"/>
      <c r="T2477">
        <v>895</v>
      </c>
      <c r="U2477" s="7">
        <v>3</v>
      </c>
      <c r="V2477" t="s">
        <v>1058</v>
      </c>
      <c r="W2477" s="257" t="s">
        <v>1086</v>
      </c>
      <c r="X2477" t="s">
        <v>1087</v>
      </c>
      <c r="Y2477" s="316" t="s">
        <v>109</v>
      </c>
      <c r="Z2477" s="8">
        <v>150</v>
      </c>
      <c r="AA2477" s="202" t="str">
        <f t="shared" si="39"/>
        <v>ОКГ</v>
      </c>
    </row>
    <row r="2478" spans="1:27" ht="15" customHeight="1" x14ac:dyDescent="0.25">
      <c r="A2478" t="s">
        <v>153</v>
      </c>
      <c r="L2478"/>
      <c r="M2478"/>
      <c r="N2478"/>
      <c r="O2478"/>
      <c r="P2478"/>
      <c r="T2478">
        <v>904</v>
      </c>
      <c r="U2478" s="7">
        <v>3</v>
      </c>
      <c r="V2478" t="s">
        <v>1058</v>
      </c>
      <c r="W2478" s="257" t="s">
        <v>1088</v>
      </c>
      <c r="X2478" t="s">
        <v>1089</v>
      </c>
      <c r="Y2478" s="316" t="s">
        <v>490</v>
      </c>
      <c r="Z2478" s="8">
        <v>140</v>
      </c>
      <c r="AA2478" s="202" t="str">
        <f t="shared" si="39"/>
        <v>Капуста свежая</v>
      </c>
    </row>
    <row r="2479" spans="1:27" ht="15" customHeight="1" x14ac:dyDescent="0.25">
      <c r="A2479" t="s">
        <v>153</v>
      </c>
      <c r="L2479"/>
      <c r="M2479"/>
      <c r="N2479"/>
      <c r="O2479"/>
      <c r="P2479"/>
      <c r="T2479">
        <v>905</v>
      </c>
      <c r="U2479" s="7">
        <v>3</v>
      </c>
      <c r="V2479" t="s">
        <v>1058</v>
      </c>
      <c r="W2479" s="257" t="s">
        <v>1088</v>
      </c>
      <c r="X2479" t="s">
        <v>1089</v>
      </c>
      <c r="Y2479" s="316" t="s">
        <v>49</v>
      </c>
      <c r="Z2479" s="8">
        <v>2.5</v>
      </c>
      <c r="AA2479" s="202" t="str">
        <f t="shared" si="39"/>
        <v>Чеснок</v>
      </c>
    </row>
    <row r="2480" spans="1:27" ht="15" customHeight="1" x14ac:dyDescent="0.25">
      <c r="A2480" t="s">
        <v>153</v>
      </c>
      <c r="L2480"/>
      <c r="M2480"/>
      <c r="N2480"/>
      <c r="O2480"/>
      <c r="P2480"/>
      <c r="T2480">
        <v>906</v>
      </c>
      <c r="U2480" s="7">
        <v>3</v>
      </c>
      <c r="V2480" t="s">
        <v>1058</v>
      </c>
      <c r="W2480" s="257" t="s">
        <v>1088</v>
      </c>
      <c r="X2480" t="s">
        <v>1089</v>
      </c>
      <c r="Y2480" s="316" t="s">
        <v>61</v>
      </c>
      <c r="Z2480" s="8">
        <v>8</v>
      </c>
      <c r="AA2480" s="202" t="str">
        <f t="shared" si="39"/>
        <v>Масло растительное</v>
      </c>
    </row>
    <row r="2481" spans="1:27" ht="15" customHeight="1" x14ac:dyDescent="0.25">
      <c r="A2481" t="s">
        <v>153</v>
      </c>
      <c r="L2481"/>
      <c r="M2481"/>
      <c r="N2481"/>
      <c r="O2481"/>
      <c r="P2481"/>
      <c r="T2481">
        <v>907</v>
      </c>
      <c r="U2481" s="7">
        <v>3</v>
      </c>
      <c r="V2481" t="s">
        <v>1058</v>
      </c>
      <c r="W2481" s="257" t="s">
        <v>1088</v>
      </c>
      <c r="X2481" t="s">
        <v>1089</v>
      </c>
      <c r="Y2481" s="316" t="s">
        <v>486</v>
      </c>
      <c r="Z2481" s="8">
        <v>1</v>
      </c>
      <c r="AA2481" s="202" t="str">
        <f t="shared" si="39"/>
        <v>Уксус</v>
      </c>
    </row>
    <row r="2482" spans="1:27" ht="15" customHeight="1" x14ac:dyDescent="0.25">
      <c r="A2482" t="s">
        <v>153</v>
      </c>
      <c r="L2482"/>
      <c r="M2482"/>
      <c r="N2482"/>
      <c r="O2482"/>
      <c r="P2482"/>
      <c r="T2482">
        <v>908</v>
      </c>
      <c r="U2482" s="7">
        <v>3</v>
      </c>
      <c r="V2482" t="s">
        <v>1058</v>
      </c>
      <c r="W2482" s="257" t="s">
        <v>1088</v>
      </c>
      <c r="X2482" t="s">
        <v>1089</v>
      </c>
      <c r="Y2482" s="316" t="s">
        <v>326</v>
      </c>
      <c r="Z2482" s="8">
        <v>2</v>
      </c>
      <c r="AA2482" s="202" t="str">
        <f t="shared" si="39"/>
        <v>Соль</v>
      </c>
    </row>
    <row r="2483" spans="1:27" ht="15" customHeight="1" x14ac:dyDescent="0.25">
      <c r="A2483" t="s">
        <v>153</v>
      </c>
      <c r="L2483"/>
      <c r="M2483"/>
      <c r="N2483"/>
      <c r="O2483"/>
      <c r="P2483"/>
      <c r="T2483">
        <v>909</v>
      </c>
      <c r="U2483" s="7">
        <v>3</v>
      </c>
      <c r="V2483" t="s">
        <v>1058</v>
      </c>
      <c r="W2483" s="257" t="s">
        <v>1088</v>
      </c>
      <c r="X2483" t="s">
        <v>1089</v>
      </c>
      <c r="Y2483" s="316" t="s">
        <v>558</v>
      </c>
      <c r="Z2483" s="8">
        <v>111</v>
      </c>
      <c r="AA2483" s="202" t="str">
        <f t="shared" si="39"/>
        <v>Общая масса готового блюда, г</v>
      </c>
    </row>
    <row r="2484" spans="1:27" ht="15" customHeight="1" x14ac:dyDescent="0.25">
      <c r="A2484" t="s">
        <v>153</v>
      </c>
      <c r="L2484"/>
      <c r="M2484"/>
      <c r="N2484"/>
      <c r="O2484"/>
      <c r="P2484"/>
      <c r="T2484">
        <v>910</v>
      </c>
      <c r="U2484" s="7">
        <v>3</v>
      </c>
      <c r="V2484" t="s">
        <v>1058</v>
      </c>
      <c r="W2484" s="257" t="s">
        <v>1088</v>
      </c>
      <c r="X2484" t="s">
        <v>1089</v>
      </c>
      <c r="Y2484" s="316" t="s">
        <v>109</v>
      </c>
      <c r="Z2484" s="8">
        <v>150</v>
      </c>
      <c r="AA2484" s="202" t="str">
        <f t="shared" si="39"/>
        <v>ОКГ</v>
      </c>
    </row>
    <row r="2485" spans="1:27" ht="15" customHeight="1" x14ac:dyDescent="0.25">
      <c r="A2485" t="s">
        <v>153</v>
      </c>
      <c r="L2485"/>
      <c r="M2485"/>
      <c r="N2485"/>
      <c r="O2485"/>
      <c r="P2485"/>
      <c r="T2485">
        <v>932</v>
      </c>
      <c r="U2485" s="7">
        <v>3</v>
      </c>
      <c r="V2485" t="s">
        <v>1058</v>
      </c>
      <c r="W2485" s="257" t="s">
        <v>1090</v>
      </c>
      <c r="X2485" t="s">
        <v>1091</v>
      </c>
      <c r="Y2485" s="316" t="s">
        <v>490</v>
      </c>
      <c r="Z2485" s="8">
        <v>100</v>
      </c>
      <c r="AA2485" s="202" t="str">
        <f t="shared" si="39"/>
        <v>Капуста свежая</v>
      </c>
    </row>
    <row r="2486" spans="1:27" ht="15" customHeight="1" x14ac:dyDescent="0.25">
      <c r="A2486" t="s">
        <v>153</v>
      </c>
      <c r="L2486"/>
      <c r="M2486"/>
      <c r="N2486"/>
      <c r="O2486"/>
      <c r="P2486"/>
      <c r="T2486">
        <v>933</v>
      </c>
      <c r="U2486" s="7">
        <v>3</v>
      </c>
      <c r="V2486" t="s">
        <v>1058</v>
      </c>
      <c r="W2486" s="257" t="s">
        <v>1090</v>
      </c>
      <c r="X2486" t="s">
        <v>1091</v>
      </c>
      <c r="Y2486" s="316" t="s">
        <v>440</v>
      </c>
      <c r="Z2486" s="8">
        <v>30</v>
      </c>
      <c r="AA2486" s="202" t="str">
        <f t="shared" si="39"/>
        <v>Горошек консерв.</v>
      </c>
    </row>
    <row r="2487" spans="1:27" ht="15" customHeight="1" x14ac:dyDescent="0.25">
      <c r="A2487" t="s">
        <v>153</v>
      </c>
      <c r="L2487"/>
      <c r="M2487"/>
      <c r="N2487"/>
      <c r="O2487"/>
      <c r="P2487"/>
      <c r="T2487">
        <v>934</v>
      </c>
      <c r="U2487" s="7">
        <v>3</v>
      </c>
      <c r="V2487" t="s">
        <v>1058</v>
      </c>
      <c r="W2487" s="257" t="s">
        <v>1090</v>
      </c>
      <c r="X2487" t="s">
        <v>1091</v>
      </c>
      <c r="Y2487" s="316" t="s">
        <v>61</v>
      </c>
      <c r="Z2487" s="8">
        <v>8</v>
      </c>
      <c r="AA2487" s="202" t="str">
        <f t="shared" si="39"/>
        <v>Масло растительное</v>
      </c>
    </row>
    <row r="2488" spans="1:27" ht="15" customHeight="1" x14ac:dyDescent="0.25">
      <c r="A2488" t="s">
        <v>153</v>
      </c>
      <c r="L2488"/>
      <c r="M2488"/>
      <c r="N2488"/>
      <c r="O2488"/>
      <c r="P2488"/>
      <c r="T2488">
        <v>935</v>
      </c>
      <c r="U2488" s="7">
        <v>3</v>
      </c>
      <c r="V2488" t="s">
        <v>1058</v>
      </c>
      <c r="W2488" s="257" t="s">
        <v>1090</v>
      </c>
      <c r="X2488" t="s">
        <v>1091</v>
      </c>
      <c r="Y2488" s="316" t="s">
        <v>486</v>
      </c>
      <c r="Z2488" s="8">
        <v>1</v>
      </c>
      <c r="AA2488" s="202" t="str">
        <f t="shared" si="39"/>
        <v>Уксус</v>
      </c>
    </row>
    <row r="2489" spans="1:27" ht="15" customHeight="1" x14ac:dyDescent="0.25">
      <c r="A2489" t="s">
        <v>153</v>
      </c>
      <c r="L2489"/>
      <c r="M2489"/>
      <c r="N2489"/>
      <c r="O2489"/>
      <c r="P2489"/>
      <c r="T2489">
        <v>936</v>
      </c>
      <c r="U2489" s="7">
        <v>3</v>
      </c>
      <c r="V2489" t="s">
        <v>1058</v>
      </c>
      <c r="W2489" s="257" t="s">
        <v>1090</v>
      </c>
      <c r="X2489" t="s">
        <v>1091</v>
      </c>
      <c r="Y2489" s="316" t="s">
        <v>326</v>
      </c>
      <c r="Z2489" s="8">
        <v>2</v>
      </c>
      <c r="AA2489" s="202" t="str">
        <f t="shared" si="39"/>
        <v>Соль</v>
      </c>
    </row>
    <row r="2490" spans="1:27" ht="15" customHeight="1" x14ac:dyDescent="0.25">
      <c r="A2490" t="s">
        <v>153</v>
      </c>
      <c r="L2490"/>
      <c r="M2490"/>
      <c r="N2490"/>
      <c r="O2490"/>
      <c r="P2490"/>
      <c r="T2490">
        <v>937</v>
      </c>
      <c r="U2490" s="7">
        <v>3</v>
      </c>
      <c r="V2490" t="s">
        <v>1058</v>
      </c>
      <c r="W2490" s="257" t="s">
        <v>1090</v>
      </c>
      <c r="X2490" t="s">
        <v>1091</v>
      </c>
      <c r="Y2490" s="316" t="s">
        <v>558</v>
      </c>
      <c r="Z2490" s="8">
        <v>100</v>
      </c>
      <c r="AA2490" s="202" t="str">
        <f t="shared" si="39"/>
        <v>Общая масса готового блюда, г</v>
      </c>
    </row>
    <row r="2491" spans="1:27" ht="15" customHeight="1" x14ac:dyDescent="0.25">
      <c r="A2491" t="s">
        <v>153</v>
      </c>
      <c r="L2491"/>
      <c r="M2491"/>
      <c r="N2491"/>
      <c r="O2491"/>
      <c r="P2491"/>
      <c r="T2491">
        <v>938</v>
      </c>
      <c r="U2491" s="7">
        <v>3</v>
      </c>
      <c r="V2491" t="s">
        <v>1058</v>
      </c>
      <c r="W2491" s="257" t="s">
        <v>1090</v>
      </c>
      <c r="X2491" t="s">
        <v>1091</v>
      </c>
      <c r="Y2491" s="316" t="s">
        <v>109</v>
      </c>
      <c r="Z2491" s="8">
        <v>175</v>
      </c>
      <c r="AA2491" s="202" t="str">
        <f t="shared" si="39"/>
        <v>ОКГ</v>
      </c>
    </row>
    <row r="2492" spans="1:27" ht="15" customHeight="1" x14ac:dyDescent="0.25">
      <c r="A2492" t="s">
        <v>153</v>
      </c>
      <c r="L2492"/>
      <c r="M2492"/>
      <c r="N2492"/>
      <c r="O2492"/>
      <c r="P2492"/>
      <c r="T2492">
        <v>918</v>
      </c>
      <c r="U2492" s="7">
        <v>3</v>
      </c>
      <c r="V2492" t="s">
        <v>1058</v>
      </c>
      <c r="W2492" s="257" t="s">
        <v>1092</v>
      </c>
      <c r="X2492" t="s">
        <v>1093</v>
      </c>
      <c r="Y2492" s="316" t="s">
        <v>490</v>
      </c>
      <c r="Z2492" s="8">
        <v>135</v>
      </c>
      <c r="AA2492" s="202" t="str">
        <f t="shared" si="39"/>
        <v>Капуста свежая</v>
      </c>
    </row>
    <row r="2493" spans="1:27" ht="15" customHeight="1" x14ac:dyDescent="0.25">
      <c r="A2493" t="s">
        <v>153</v>
      </c>
      <c r="L2493"/>
      <c r="M2493"/>
      <c r="N2493"/>
      <c r="O2493"/>
      <c r="P2493"/>
      <c r="T2493">
        <v>919</v>
      </c>
      <c r="U2493" s="7">
        <v>3</v>
      </c>
      <c r="V2493" t="s">
        <v>1058</v>
      </c>
      <c r="W2493" s="257" t="s">
        <v>1092</v>
      </c>
      <c r="X2493" t="s">
        <v>1093</v>
      </c>
      <c r="Y2493" s="316" t="s">
        <v>446</v>
      </c>
      <c r="Z2493" s="8">
        <v>40</v>
      </c>
      <c r="AA2493" s="202" t="str">
        <f t="shared" si="39"/>
        <v>Огурцы свежие</v>
      </c>
    </row>
    <row r="2494" spans="1:27" ht="15" customHeight="1" x14ac:dyDescent="0.25">
      <c r="A2494" t="s">
        <v>153</v>
      </c>
      <c r="L2494"/>
      <c r="M2494"/>
      <c r="N2494"/>
      <c r="O2494"/>
      <c r="P2494"/>
      <c r="T2494">
        <v>920</v>
      </c>
      <c r="U2494" s="7">
        <v>3</v>
      </c>
      <c r="V2494" t="s">
        <v>1058</v>
      </c>
      <c r="W2494" s="257" t="s">
        <v>1092</v>
      </c>
      <c r="X2494" t="s">
        <v>1093</v>
      </c>
      <c r="Y2494" s="316" t="s">
        <v>61</v>
      </c>
      <c r="Z2494" s="8">
        <v>8</v>
      </c>
      <c r="AA2494" s="202" t="str">
        <f t="shared" si="39"/>
        <v>Масло растительное</v>
      </c>
    </row>
    <row r="2495" spans="1:27" ht="15" customHeight="1" x14ac:dyDescent="0.25">
      <c r="A2495" t="s">
        <v>153</v>
      </c>
      <c r="L2495"/>
      <c r="M2495"/>
      <c r="N2495"/>
      <c r="O2495"/>
      <c r="P2495"/>
      <c r="T2495">
        <v>921</v>
      </c>
      <c r="U2495" s="7">
        <v>3</v>
      </c>
      <c r="V2495" t="s">
        <v>1058</v>
      </c>
      <c r="W2495" s="257" t="s">
        <v>1092</v>
      </c>
      <c r="X2495" t="s">
        <v>1093</v>
      </c>
      <c r="Y2495" s="316" t="s">
        <v>486</v>
      </c>
      <c r="Z2495" s="8">
        <v>1</v>
      </c>
      <c r="AA2495" s="202" t="str">
        <f t="shared" si="39"/>
        <v>Уксус</v>
      </c>
    </row>
    <row r="2496" spans="1:27" ht="15" customHeight="1" x14ac:dyDescent="0.25">
      <c r="A2496" t="s">
        <v>153</v>
      </c>
      <c r="L2496"/>
      <c r="M2496"/>
      <c r="N2496"/>
      <c r="O2496"/>
      <c r="P2496"/>
      <c r="T2496">
        <v>922</v>
      </c>
      <c r="U2496" s="7">
        <v>3</v>
      </c>
      <c r="V2496" t="s">
        <v>1058</v>
      </c>
      <c r="W2496" s="257" t="s">
        <v>1092</v>
      </c>
      <c r="X2496" t="s">
        <v>1093</v>
      </c>
      <c r="Y2496" s="316" t="s">
        <v>326</v>
      </c>
      <c r="Z2496" s="8">
        <v>2</v>
      </c>
      <c r="AA2496" s="202" t="str">
        <f t="shared" si="39"/>
        <v>Соль</v>
      </c>
    </row>
    <row r="2497" spans="1:27" ht="15" customHeight="1" x14ac:dyDescent="0.25">
      <c r="A2497" t="s">
        <v>153</v>
      </c>
      <c r="L2497"/>
      <c r="M2497"/>
      <c r="N2497"/>
      <c r="O2497"/>
      <c r="P2497"/>
      <c r="T2497">
        <v>923</v>
      </c>
      <c r="U2497" s="7">
        <v>3</v>
      </c>
      <c r="V2497" t="s">
        <v>1058</v>
      </c>
      <c r="W2497" s="257" t="s">
        <v>1092</v>
      </c>
      <c r="X2497" t="s">
        <v>1093</v>
      </c>
      <c r="Y2497" s="316" t="s">
        <v>558</v>
      </c>
      <c r="Z2497" s="8">
        <v>143</v>
      </c>
      <c r="AA2497" s="202" t="str">
        <f t="shared" si="39"/>
        <v>Общая масса готового блюда, г</v>
      </c>
    </row>
    <row r="2498" spans="1:27" ht="15" customHeight="1" x14ac:dyDescent="0.25">
      <c r="A2498" t="s">
        <v>153</v>
      </c>
      <c r="L2498"/>
      <c r="M2498"/>
      <c r="N2498"/>
      <c r="O2498"/>
      <c r="P2498"/>
      <c r="T2498">
        <v>924</v>
      </c>
      <c r="U2498" s="7">
        <v>3</v>
      </c>
      <c r="V2498" t="s">
        <v>1058</v>
      </c>
      <c r="W2498" s="257" t="s">
        <v>1092</v>
      </c>
      <c r="X2498" t="s">
        <v>1093</v>
      </c>
      <c r="Y2498" s="316" t="s">
        <v>109</v>
      </c>
      <c r="Z2498" s="8">
        <v>175</v>
      </c>
      <c r="AA2498" s="202" t="str">
        <f t="shared" ref="AA2498:AA2561" si="40">VLOOKUP(Y2498,O:P,2,FALSE)</f>
        <v>ОКГ</v>
      </c>
    </row>
    <row r="2499" spans="1:27" ht="15" customHeight="1" x14ac:dyDescent="0.25">
      <c r="A2499" t="s">
        <v>153</v>
      </c>
      <c r="L2499"/>
      <c r="M2499"/>
      <c r="N2499"/>
      <c r="O2499"/>
      <c r="P2499"/>
      <c r="T2499">
        <v>925</v>
      </c>
      <c r="U2499" s="7">
        <v>3</v>
      </c>
      <c r="V2499" t="s">
        <v>1058</v>
      </c>
      <c r="W2499" s="257" t="s">
        <v>1094</v>
      </c>
      <c r="X2499" t="s">
        <v>1095</v>
      </c>
      <c r="Y2499" s="316" t="s">
        <v>490</v>
      </c>
      <c r="Z2499" s="8">
        <v>130</v>
      </c>
      <c r="AA2499" s="202" t="str">
        <f t="shared" si="40"/>
        <v>Капуста свежая</v>
      </c>
    </row>
    <row r="2500" spans="1:27" ht="15" customHeight="1" x14ac:dyDescent="0.25">
      <c r="A2500" t="s">
        <v>153</v>
      </c>
      <c r="L2500"/>
      <c r="M2500"/>
      <c r="N2500"/>
      <c r="O2500"/>
      <c r="P2500"/>
      <c r="T2500">
        <v>926</v>
      </c>
      <c r="U2500" s="7">
        <v>3</v>
      </c>
      <c r="V2500" t="s">
        <v>1058</v>
      </c>
      <c r="W2500" s="257" t="s">
        <v>1094</v>
      </c>
      <c r="X2500" t="s">
        <v>1095</v>
      </c>
      <c r="Y2500" s="316" t="s">
        <v>447</v>
      </c>
      <c r="Z2500" s="8">
        <v>45</v>
      </c>
      <c r="AA2500" s="202" t="str">
        <f t="shared" si="40"/>
        <v>Перец сладкий</v>
      </c>
    </row>
    <row r="2501" spans="1:27" ht="15" customHeight="1" x14ac:dyDescent="0.25">
      <c r="A2501" t="s">
        <v>153</v>
      </c>
      <c r="L2501"/>
      <c r="M2501"/>
      <c r="N2501"/>
      <c r="O2501"/>
      <c r="P2501"/>
      <c r="T2501">
        <v>927</v>
      </c>
      <c r="U2501" s="7">
        <v>3</v>
      </c>
      <c r="V2501" t="s">
        <v>1058</v>
      </c>
      <c r="W2501" s="257" t="s">
        <v>1094</v>
      </c>
      <c r="X2501" t="s">
        <v>1095</v>
      </c>
      <c r="Y2501" s="316" t="s">
        <v>61</v>
      </c>
      <c r="Z2501" s="8">
        <v>8</v>
      </c>
      <c r="AA2501" s="202" t="str">
        <f t="shared" si="40"/>
        <v>Масло растительное</v>
      </c>
    </row>
    <row r="2502" spans="1:27" ht="15" customHeight="1" x14ac:dyDescent="0.25">
      <c r="A2502" t="s">
        <v>153</v>
      </c>
      <c r="L2502"/>
      <c r="M2502"/>
      <c r="N2502"/>
      <c r="O2502"/>
      <c r="P2502"/>
      <c r="T2502">
        <v>928</v>
      </c>
      <c r="U2502" s="7">
        <v>3</v>
      </c>
      <c r="V2502" t="s">
        <v>1058</v>
      </c>
      <c r="W2502" s="257" t="s">
        <v>1094</v>
      </c>
      <c r="X2502" t="s">
        <v>1095</v>
      </c>
      <c r="Y2502" s="316" t="s">
        <v>486</v>
      </c>
      <c r="Z2502" s="8">
        <v>1</v>
      </c>
      <c r="AA2502" s="202" t="str">
        <f t="shared" si="40"/>
        <v>Уксус</v>
      </c>
    </row>
    <row r="2503" spans="1:27" ht="15" customHeight="1" x14ac:dyDescent="0.25">
      <c r="A2503" t="s">
        <v>153</v>
      </c>
      <c r="L2503"/>
      <c r="M2503"/>
      <c r="N2503"/>
      <c r="O2503"/>
      <c r="P2503"/>
      <c r="T2503">
        <v>929</v>
      </c>
      <c r="U2503" s="7">
        <v>3</v>
      </c>
      <c r="V2503" t="s">
        <v>1058</v>
      </c>
      <c r="W2503" s="257" t="s">
        <v>1094</v>
      </c>
      <c r="X2503" t="s">
        <v>1095</v>
      </c>
      <c r="Y2503" s="316" t="s">
        <v>326</v>
      </c>
      <c r="Z2503" s="8">
        <v>2</v>
      </c>
      <c r="AA2503" s="202" t="str">
        <f t="shared" si="40"/>
        <v>Соль</v>
      </c>
    </row>
    <row r="2504" spans="1:27" ht="15" customHeight="1" x14ac:dyDescent="0.25">
      <c r="A2504" t="s">
        <v>153</v>
      </c>
      <c r="L2504"/>
      <c r="M2504"/>
      <c r="N2504"/>
      <c r="O2504"/>
      <c r="P2504"/>
      <c r="T2504">
        <v>930</v>
      </c>
      <c r="U2504" s="7">
        <v>3</v>
      </c>
      <c r="V2504" t="s">
        <v>1058</v>
      </c>
      <c r="W2504" s="257" t="s">
        <v>1094</v>
      </c>
      <c r="X2504" t="s">
        <v>1095</v>
      </c>
      <c r="Y2504" s="316" t="s">
        <v>558</v>
      </c>
      <c r="Z2504" s="8">
        <v>135</v>
      </c>
      <c r="AA2504" s="202" t="str">
        <f t="shared" si="40"/>
        <v>Общая масса готового блюда, г</v>
      </c>
    </row>
    <row r="2505" spans="1:27" ht="15" customHeight="1" x14ac:dyDescent="0.25">
      <c r="A2505" t="s">
        <v>153</v>
      </c>
      <c r="L2505"/>
      <c r="M2505"/>
      <c r="N2505"/>
      <c r="O2505"/>
      <c r="P2505"/>
      <c r="T2505">
        <v>931</v>
      </c>
      <c r="U2505" s="7">
        <v>3</v>
      </c>
      <c r="V2505" t="s">
        <v>1058</v>
      </c>
      <c r="W2505" s="257" t="s">
        <v>1094</v>
      </c>
      <c r="X2505" t="s">
        <v>1095</v>
      </c>
      <c r="Y2505" s="316" t="s">
        <v>109</v>
      </c>
      <c r="Z2505" s="8">
        <v>175</v>
      </c>
      <c r="AA2505" s="202" t="str">
        <f t="shared" si="40"/>
        <v>ОКГ</v>
      </c>
    </row>
    <row r="2506" spans="1:27" ht="15" customHeight="1" x14ac:dyDescent="0.25">
      <c r="A2506" t="s">
        <v>153</v>
      </c>
      <c r="L2506"/>
      <c r="M2506"/>
      <c r="N2506"/>
      <c r="O2506"/>
      <c r="P2506"/>
      <c r="T2506">
        <v>911</v>
      </c>
      <c r="U2506" s="7">
        <v>3</v>
      </c>
      <c r="V2506" t="s">
        <v>1058</v>
      </c>
      <c r="W2506" s="257" t="s">
        <v>1096</v>
      </c>
      <c r="X2506" t="s">
        <v>1097</v>
      </c>
      <c r="Y2506" s="316" t="s">
        <v>490</v>
      </c>
      <c r="Z2506" s="8">
        <v>140</v>
      </c>
      <c r="AA2506" s="202" t="str">
        <f t="shared" si="40"/>
        <v>Капуста свежая</v>
      </c>
    </row>
    <row r="2507" spans="1:27" ht="15" customHeight="1" x14ac:dyDescent="0.25">
      <c r="A2507" t="s">
        <v>153</v>
      </c>
      <c r="L2507"/>
      <c r="M2507"/>
      <c r="N2507"/>
      <c r="O2507"/>
      <c r="P2507"/>
      <c r="T2507">
        <v>912</v>
      </c>
      <c r="U2507" s="7">
        <v>3</v>
      </c>
      <c r="V2507" t="s">
        <v>1058</v>
      </c>
      <c r="W2507" s="257" t="s">
        <v>1096</v>
      </c>
      <c r="X2507" t="s">
        <v>1097</v>
      </c>
      <c r="Y2507" s="316" t="s">
        <v>448</v>
      </c>
      <c r="Z2507" s="8">
        <v>35</v>
      </c>
      <c r="AA2507" s="202" t="str">
        <f t="shared" si="40"/>
        <v>Помидоры свежие</v>
      </c>
    </row>
    <row r="2508" spans="1:27" ht="15" customHeight="1" x14ac:dyDescent="0.25">
      <c r="A2508" t="s">
        <v>153</v>
      </c>
      <c r="L2508"/>
      <c r="M2508"/>
      <c r="N2508"/>
      <c r="O2508"/>
      <c r="P2508"/>
      <c r="T2508">
        <v>913</v>
      </c>
      <c r="U2508" s="7">
        <v>3</v>
      </c>
      <c r="V2508" t="s">
        <v>1058</v>
      </c>
      <c r="W2508" s="257" t="s">
        <v>1096</v>
      </c>
      <c r="X2508" t="s">
        <v>1097</v>
      </c>
      <c r="Y2508" s="316" t="s">
        <v>61</v>
      </c>
      <c r="Z2508" s="8">
        <v>8</v>
      </c>
      <c r="AA2508" s="202" t="str">
        <f t="shared" si="40"/>
        <v>Масло растительное</v>
      </c>
    </row>
    <row r="2509" spans="1:27" ht="15" customHeight="1" x14ac:dyDescent="0.25">
      <c r="A2509" t="s">
        <v>153</v>
      </c>
      <c r="L2509"/>
      <c r="M2509"/>
      <c r="N2509"/>
      <c r="O2509"/>
      <c r="P2509"/>
      <c r="T2509">
        <v>914</v>
      </c>
      <c r="U2509" s="7">
        <v>3</v>
      </c>
      <c r="V2509" t="s">
        <v>1058</v>
      </c>
      <c r="W2509" s="257" t="s">
        <v>1096</v>
      </c>
      <c r="X2509" t="s">
        <v>1097</v>
      </c>
      <c r="Y2509" s="316" t="s">
        <v>326</v>
      </c>
      <c r="Z2509" s="8">
        <v>2</v>
      </c>
      <c r="AA2509" s="202" t="str">
        <f t="shared" si="40"/>
        <v>Соль</v>
      </c>
    </row>
    <row r="2510" spans="1:27" ht="15" customHeight="1" x14ac:dyDescent="0.25">
      <c r="A2510" t="s">
        <v>153</v>
      </c>
      <c r="L2510"/>
      <c r="M2510"/>
      <c r="N2510"/>
      <c r="O2510"/>
      <c r="P2510"/>
      <c r="T2510">
        <v>915</v>
      </c>
      <c r="U2510" s="7">
        <v>3</v>
      </c>
      <c r="V2510" t="s">
        <v>1058</v>
      </c>
      <c r="W2510" s="257" t="s">
        <v>1096</v>
      </c>
      <c r="X2510" t="s">
        <v>1097</v>
      </c>
      <c r="Y2510" s="316" t="s">
        <v>486</v>
      </c>
      <c r="Z2510" s="8">
        <v>1</v>
      </c>
      <c r="AA2510" s="202" t="str">
        <f t="shared" si="40"/>
        <v>Уксус</v>
      </c>
    </row>
    <row r="2511" spans="1:27" ht="15" customHeight="1" x14ac:dyDescent="0.25">
      <c r="A2511" t="s">
        <v>153</v>
      </c>
      <c r="L2511"/>
      <c r="M2511"/>
      <c r="N2511"/>
      <c r="O2511"/>
      <c r="P2511"/>
      <c r="T2511">
        <v>916</v>
      </c>
      <c r="U2511" s="7">
        <v>3</v>
      </c>
      <c r="V2511" t="s">
        <v>1058</v>
      </c>
      <c r="W2511" s="257" t="s">
        <v>1096</v>
      </c>
      <c r="X2511" t="s">
        <v>1097</v>
      </c>
      <c r="Y2511" s="316" t="s">
        <v>558</v>
      </c>
      <c r="Z2511" s="8">
        <v>139</v>
      </c>
      <c r="AA2511" s="202" t="str">
        <f t="shared" si="40"/>
        <v>Общая масса готового блюда, г</v>
      </c>
    </row>
    <row r="2512" spans="1:27" ht="15" customHeight="1" x14ac:dyDescent="0.25">
      <c r="A2512" t="s">
        <v>153</v>
      </c>
      <c r="L2512"/>
      <c r="M2512"/>
      <c r="N2512"/>
      <c r="O2512"/>
      <c r="P2512"/>
      <c r="T2512">
        <v>917</v>
      </c>
      <c r="U2512" s="7">
        <v>3</v>
      </c>
      <c r="V2512" t="s">
        <v>1058</v>
      </c>
      <c r="W2512" s="257" t="s">
        <v>1096</v>
      </c>
      <c r="X2512" t="s">
        <v>1097</v>
      </c>
      <c r="Y2512" s="316" t="s">
        <v>109</v>
      </c>
      <c r="Z2512" s="8">
        <v>175</v>
      </c>
      <c r="AA2512" s="202" t="str">
        <f t="shared" si="40"/>
        <v>ОКГ</v>
      </c>
    </row>
    <row r="2513" spans="1:27" ht="15" customHeight="1" x14ac:dyDescent="0.25">
      <c r="A2513" t="s">
        <v>153</v>
      </c>
      <c r="L2513"/>
      <c r="M2513"/>
      <c r="N2513"/>
      <c r="O2513"/>
      <c r="P2513"/>
      <c r="T2513">
        <v>896</v>
      </c>
      <c r="U2513" s="7">
        <v>3</v>
      </c>
      <c r="V2513" t="s">
        <v>1058</v>
      </c>
      <c r="W2513" s="257" t="s">
        <v>1098</v>
      </c>
      <c r="X2513" t="s">
        <v>1099</v>
      </c>
      <c r="Y2513" s="316" t="s">
        <v>490</v>
      </c>
      <c r="Z2513" s="8">
        <v>120</v>
      </c>
      <c r="AA2513" s="202" t="str">
        <f t="shared" si="40"/>
        <v>Капуста свежая</v>
      </c>
    </row>
    <row r="2514" spans="1:27" ht="15" customHeight="1" x14ac:dyDescent="0.25">
      <c r="A2514" t="s">
        <v>153</v>
      </c>
      <c r="L2514"/>
      <c r="M2514"/>
      <c r="N2514"/>
      <c r="O2514"/>
      <c r="P2514"/>
      <c r="T2514">
        <v>897</v>
      </c>
      <c r="U2514" s="7">
        <v>3</v>
      </c>
      <c r="V2514" t="s">
        <v>1058</v>
      </c>
      <c r="W2514" s="257" t="s">
        <v>1098</v>
      </c>
      <c r="X2514" t="s">
        <v>1099</v>
      </c>
      <c r="Y2514" s="316" t="s">
        <v>48</v>
      </c>
      <c r="Z2514" s="8">
        <v>32</v>
      </c>
      <c r="AA2514" s="202" t="str">
        <f t="shared" si="40"/>
        <v>Свекла</v>
      </c>
    </row>
    <row r="2515" spans="1:27" ht="15" customHeight="1" x14ac:dyDescent="0.25">
      <c r="A2515" t="s">
        <v>153</v>
      </c>
      <c r="L2515"/>
      <c r="M2515"/>
      <c r="N2515"/>
      <c r="O2515"/>
      <c r="P2515"/>
      <c r="T2515">
        <v>898</v>
      </c>
      <c r="U2515" s="7">
        <v>3</v>
      </c>
      <c r="V2515" t="s">
        <v>1058</v>
      </c>
      <c r="W2515" s="257" t="s">
        <v>1098</v>
      </c>
      <c r="X2515" t="s">
        <v>1099</v>
      </c>
      <c r="Y2515" s="316" t="s">
        <v>61</v>
      </c>
      <c r="Z2515" s="8">
        <v>8</v>
      </c>
      <c r="AA2515" s="202" t="str">
        <f t="shared" si="40"/>
        <v>Масло растительное</v>
      </c>
    </row>
    <row r="2516" spans="1:27" ht="15" customHeight="1" x14ac:dyDescent="0.25">
      <c r="A2516" t="s">
        <v>153</v>
      </c>
      <c r="L2516"/>
      <c r="M2516"/>
      <c r="N2516"/>
      <c r="O2516"/>
      <c r="P2516"/>
      <c r="T2516">
        <v>899</v>
      </c>
      <c r="U2516" s="7">
        <v>3</v>
      </c>
      <c r="V2516" t="s">
        <v>1058</v>
      </c>
      <c r="W2516" s="257" t="s">
        <v>1098</v>
      </c>
      <c r="X2516" t="s">
        <v>1099</v>
      </c>
      <c r="Y2516" s="316" t="s">
        <v>486</v>
      </c>
      <c r="Z2516" s="8">
        <v>2</v>
      </c>
      <c r="AA2516" s="202" t="str">
        <f t="shared" si="40"/>
        <v>Уксус</v>
      </c>
    </row>
    <row r="2517" spans="1:27" ht="15" customHeight="1" x14ac:dyDescent="0.25">
      <c r="A2517" t="s">
        <v>153</v>
      </c>
      <c r="L2517"/>
      <c r="M2517"/>
      <c r="N2517"/>
      <c r="O2517"/>
      <c r="P2517"/>
      <c r="T2517">
        <v>900</v>
      </c>
      <c r="U2517" s="7">
        <v>3</v>
      </c>
      <c r="V2517" t="s">
        <v>1058</v>
      </c>
      <c r="W2517" s="257" t="s">
        <v>1098</v>
      </c>
      <c r="X2517" t="s">
        <v>1099</v>
      </c>
      <c r="Y2517" s="316" t="s">
        <v>326</v>
      </c>
      <c r="Z2517" s="8">
        <v>2</v>
      </c>
      <c r="AA2517" s="202" t="str">
        <f t="shared" si="40"/>
        <v>Соль</v>
      </c>
    </row>
    <row r="2518" spans="1:27" ht="15" customHeight="1" x14ac:dyDescent="0.25">
      <c r="A2518" t="s">
        <v>153</v>
      </c>
      <c r="L2518"/>
      <c r="M2518"/>
      <c r="N2518"/>
      <c r="O2518"/>
      <c r="P2518"/>
      <c r="T2518">
        <v>902</v>
      </c>
      <c r="U2518" s="7">
        <v>3</v>
      </c>
      <c r="V2518" t="s">
        <v>1058</v>
      </c>
      <c r="W2518" s="257" t="s">
        <v>1098</v>
      </c>
      <c r="X2518" t="s">
        <v>1099</v>
      </c>
      <c r="Y2518" s="316" t="s">
        <v>558</v>
      </c>
      <c r="Z2518" s="8">
        <v>115</v>
      </c>
      <c r="AA2518" s="202" t="str">
        <f t="shared" si="40"/>
        <v>Общая масса готового блюда, г</v>
      </c>
    </row>
    <row r="2519" spans="1:27" ht="15" customHeight="1" x14ac:dyDescent="0.25">
      <c r="A2519" t="s">
        <v>153</v>
      </c>
      <c r="L2519"/>
      <c r="M2519"/>
      <c r="N2519"/>
      <c r="O2519"/>
      <c r="P2519"/>
      <c r="T2519">
        <v>903</v>
      </c>
      <c r="U2519" s="7">
        <v>3</v>
      </c>
      <c r="V2519" t="s">
        <v>1058</v>
      </c>
      <c r="W2519" s="257" t="s">
        <v>1098</v>
      </c>
      <c r="X2519" t="s">
        <v>1099</v>
      </c>
      <c r="Y2519" s="316" t="s">
        <v>109</v>
      </c>
      <c r="Z2519" s="8">
        <v>150</v>
      </c>
      <c r="AA2519" s="202" t="str">
        <f t="shared" si="40"/>
        <v>ОКГ</v>
      </c>
    </row>
    <row r="2520" spans="1:27" ht="15" customHeight="1" x14ac:dyDescent="0.25">
      <c r="A2520" t="s">
        <v>153</v>
      </c>
      <c r="L2520"/>
      <c r="M2520"/>
      <c r="N2520"/>
      <c r="O2520"/>
      <c r="P2520"/>
      <c r="T2520">
        <v>960</v>
      </c>
      <c r="U2520" s="7">
        <v>3</v>
      </c>
      <c r="V2520" t="s">
        <v>1058</v>
      </c>
      <c r="W2520" s="257" t="s">
        <v>1100</v>
      </c>
      <c r="X2520" t="s">
        <v>1101</v>
      </c>
      <c r="Y2520" s="316" t="s">
        <v>46</v>
      </c>
      <c r="Z2520" s="8">
        <v>160</v>
      </c>
      <c r="AA2520" s="202" t="str">
        <f t="shared" si="40"/>
        <v>Морковь</v>
      </c>
    </row>
    <row r="2521" spans="1:27" ht="15" customHeight="1" x14ac:dyDescent="0.25">
      <c r="A2521" t="s">
        <v>153</v>
      </c>
      <c r="L2521"/>
      <c r="M2521"/>
      <c r="N2521"/>
      <c r="O2521"/>
      <c r="P2521"/>
      <c r="T2521">
        <v>961</v>
      </c>
      <c r="U2521" s="7">
        <v>3</v>
      </c>
      <c r="V2521" t="s">
        <v>1058</v>
      </c>
      <c r="W2521" s="257" t="s">
        <v>1100</v>
      </c>
      <c r="X2521" t="s">
        <v>1101</v>
      </c>
      <c r="Y2521" s="316" t="s">
        <v>61</v>
      </c>
      <c r="Z2521" s="8">
        <v>8</v>
      </c>
      <c r="AA2521" s="202" t="str">
        <f t="shared" si="40"/>
        <v>Масло растительное</v>
      </c>
    </row>
    <row r="2522" spans="1:27" ht="15" customHeight="1" x14ac:dyDescent="0.25">
      <c r="A2522" t="s">
        <v>153</v>
      </c>
      <c r="L2522"/>
      <c r="M2522"/>
      <c r="N2522"/>
      <c r="O2522"/>
      <c r="P2522"/>
      <c r="T2522">
        <v>962</v>
      </c>
      <c r="U2522" s="7">
        <v>3</v>
      </c>
      <c r="V2522" t="s">
        <v>1058</v>
      </c>
      <c r="W2522" s="257" t="s">
        <v>1100</v>
      </c>
      <c r="X2522" t="s">
        <v>1101</v>
      </c>
      <c r="Y2522" s="316" t="s">
        <v>326</v>
      </c>
      <c r="Z2522" s="8">
        <v>2</v>
      </c>
      <c r="AA2522" s="202" t="str">
        <f t="shared" si="40"/>
        <v>Соль</v>
      </c>
    </row>
    <row r="2523" spans="1:27" ht="15" customHeight="1" x14ac:dyDescent="0.25">
      <c r="A2523" t="s">
        <v>153</v>
      </c>
      <c r="L2523"/>
      <c r="M2523"/>
      <c r="N2523"/>
      <c r="O2523"/>
      <c r="P2523"/>
      <c r="T2523">
        <v>964</v>
      </c>
      <c r="U2523" s="7">
        <v>3</v>
      </c>
      <c r="V2523" t="s">
        <v>1058</v>
      </c>
      <c r="W2523" s="257" t="s">
        <v>1100</v>
      </c>
      <c r="X2523" t="s">
        <v>1101</v>
      </c>
      <c r="Y2523" s="316" t="s">
        <v>558</v>
      </c>
      <c r="Z2523" s="8">
        <v>139</v>
      </c>
      <c r="AA2523" s="202" t="str">
        <f t="shared" si="40"/>
        <v>Общая масса готового блюда, г</v>
      </c>
    </row>
    <row r="2524" spans="1:27" ht="15" customHeight="1" x14ac:dyDescent="0.25">
      <c r="A2524" t="s">
        <v>153</v>
      </c>
      <c r="L2524"/>
      <c r="M2524"/>
      <c r="N2524"/>
      <c r="O2524"/>
      <c r="P2524"/>
      <c r="T2524">
        <v>965</v>
      </c>
      <c r="U2524" s="7">
        <v>3</v>
      </c>
      <c r="V2524" t="s">
        <v>1058</v>
      </c>
      <c r="W2524" s="257" t="s">
        <v>1100</v>
      </c>
      <c r="X2524" t="s">
        <v>1101</v>
      </c>
      <c r="Y2524" s="316" t="s">
        <v>109</v>
      </c>
      <c r="Z2524" s="8">
        <v>175</v>
      </c>
      <c r="AA2524" s="202" t="str">
        <f t="shared" si="40"/>
        <v>ОКГ</v>
      </c>
    </row>
    <row r="2525" spans="1:27" ht="15" customHeight="1" x14ac:dyDescent="0.25">
      <c r="A2525" t="s">
        <v>153</v>
      </c>
      <c r="L2525"/>
      <c r="M2525"/>
      <c r="N2525"/>
      <c r="O2525"/>
      <c r="P2525"/>
      <c r="T2525">
        <v>1008</v>
      </c>
      <c r="U2525" s="7">
        <v>3</v>
      </c>
      <c r="V2525" t="s">
        <v>1058</v>
      </c>
      <c r="W2525" s="257" t="s">
        <v>1102</v>
      </c>
      <c r="X2525" t="s">
        <v>1103</v>
      </c>
      <c r="Y2525" s="316" t="s">
        <v>448</v>
      </c>
      <c r="Z2525" s="8">
        <v>60</v>
      </c>
      <c r="AA2525" s="202" t="str">
        <f t="shared" si="40"/>
        <v>Помидоры свежие</v>
      </c>
    </row>
    <row r="2526" spans="1:27" ht="15" customHeight="1" x14ac:dyDescent="0.25">
      <c r="A2526" t="s">
        <v>153</v>
      </c>
      <c r="L2526"/>
      <c r="M2526"/>
      <c r="N2526"/>
      <c r="O2526"/>
      <c r="P2526"/>
      <c r="T2526">
        <v>1009</v>
      </c>
      <c r="U2526" s="7">
        <v>3</v>
      </c>
      <c r="V2526" t="s">
        <v>1058</v>
      </c>
      <c r="W2526" s="257" t="s">
        <v>1102</v>
      </c>
      <c r="X2526" t="s">
        <v>1103</v>
      </c>
      <c r="Y2526" s="316" t="s">
        <v>446</v>
      </c>
      <c r="Z2526" s="8">
        <v>60</v>
      </c>
      <c r="AA2526" s="202" t="str">
        <f t="shared" si="40"/>
        <v>Огурцы свежие</v>
      </c>
    </row>
    <row r="2527" spans="1:27" ht="15" customHeight="1" x14ac:dyDescent="0.25">
      <c r="A2527" t="s">
        <v>153</v>
      </c>
      <c r="L2527"/>
      <c r="M2527"/>
      <c r="N2527"/>
      <c r="O2527"/>
      <c r="P2527"/>
      <c r="T2527">
        <v>1010</v>
      </c>
      <c r="U2527" s="7">
        <v>3</v>
      </c>
      <c r="V2527" t="s">
        <v>1058</v>
      </c>
      <c r="W2527" s="257" t="s">
        <v>1102</v>
      </c>
      <c r="X2527" t="s">
        <v>1103</v>
      </c>
      <c r="Y2527" s="316" t="s">
        <v>447</v>
      </c>
      <c r="Z2527" s="8">
        <v>35</v>
      </c>
      <c r="AA2527" s="202" t="str">
        <f t="shared" si="40"/>
        <v>Перец сладкий</v>
      </c>
    </row>
    <row r="2528" spans="1:27" ht="15" customHeight="1" x14ac:dyDescent="0.25">
      <c r="A2528" t="s">
        <v>153</v>
      </c>
      <c r="L2528"/>
      <c r="M2528"/>
      <c r="N2528"/>
      <c r="O2528"/>
      <c r="P2528"/>
      <c r="T2528">
        <v>1011</v>
      </c>
      <c r="U2528" s="7">
        <v>3</v>
      </c>
      <c r="V2528" t="s">
        <v>1058</v>
      </c>
      <c r="W2528" s="257" t="s">
        <v>1102</v>
      </c>
      <c r="X2528" t="s">
        <v>1103</v>
      </c>
      <c r="Y2528" s="316" t="s">
        <v>444</v>
      </c>
      <c r="Z2528" s="8">
        <v>20</v>
      </c>
      <c r="AA2528" s="202" t="str">
        <f t="shared" si="40"/>
        <v>Лук репчатый</v>
      </c>
    </row>
    <row r="2529" spans="1:27" ht="15" customHeight="1" x14ac:dyDescent="0.25">
      <c r="A2529" t="s">
        <v>153</v>
      </c>
      <c r="L2529"/>
      <c r="M2529"/>
      <c r="N2529"/>
      <c r="O2529"/>
      <c r="P2529"/>
      <c r="T2529">
        <v>1012</v>
      </c>
      <c r="U2529" s="7">
        <v>3</v>
      </c>
      <c r="V2529" t="s">
        <v>1058</v>
      </c>
      <c r="W2529" s="257" t="s">
        <v>1102</v>
      </c>
      <c r="X2529" t="s">
        <v>1103</v>
      </c>
      <c r="Y2529" s="316" t="s">
        <v>61</v>
      </c>
      <c r="Z2529" s="8">
        <v>8</v>
      </c>
      <c r="AA2529" s="202" t="str">
        <f t="shared" si="40"/>
        <v>Масло растительное</v>
      </c>
    </row>
    <row r="2530" spans="1:27" ht="15" customHeight="1" x14ac:dyDescent="0.25">
      <c r="A2530" t="s">
        <v>153</v>
      </c>
      <c r="L2530"/>
      <c r="M2530"/>
      <c r="N2530"/>
      <c r="O2530"/>
      <c r="P2530"/>
      <c r="T2530">
        <v>1013</v>
      </c>
      <c r="U2530" s="7">
        <v>3</v>
      </c>
      <c r="V2530" t="s">
        <v>1058</v>
      </c>
      <c r="W2530" s="257" t="s">
        <v>1102</v>
      </c>
      <c r="X2530" t="s">
        <v>1103</v>
      </c>
      <c r="Y2530" s="316" t="s">
        <v>558</v>
      </c>
      <c r="Z2530" s="8">
        <v>159</v>
      </c>
      <c r="AA2530" s="202" t="str">
        <f t="shared" si="40"/>
        <v>Общая масса готового блюда, г</v>
      </c>
    </row>
    <row r="2531" spans="1:27" ht="15" customHeight="1" x14ac:dyDescent="0.25">
      <c r="A2531" t="s">
        <v>153</v>
      </c>
      <c r="L2531"/>
      <c r="M2531"/>
      <c r="N2531"/>
      <c r="O2531"/>
      <c r="P2531"/>
      <c r="T2531">
        <v>1014</v>
      </c>
      <c r="U2531" s="7">
        <v>3</v>
      </c>
      <c r="V2531" t="s">
        <v>1058</v>
      </c>
      <c r="W2531" s="257" t="s">
        <v>1102</v>
      </c>
      <c r="X2531" t="s">
        <v>1103</v>
      </c>
      <c r="Y2531" s="316" t="s">
        <v>109</v>
      </c>
      <c r="Z2531" s="8">
        <v>175</v>
      </c>
      <c r="AA2531" s="202" t="str">
        <f t="shared" si="40"/>
        <v>ОКГ</v>
      </c>
    </row>
    <row r="2532" spans="1:27" ht="15" customHeight="1" x14ac:dyDescent="0.25">
      <c r="A2532" t="s">
        <v>153</v>
      </c>
      <c r="L2532"/>
      <c r="M2532"/>
      <c r="N2532"/>
      <c r="O2532"/>
      <c r="P2532"/>
      <c r="T2532">
        <v>1008</v>
      </c>
      <c r="U2532" s="7">
        <v>3</v>
      </c>
      <c r="V2532" t="s">
        <v>1058</v>
      </c>
      <c r="W2532" s="257" t="s">
        <v>1350</v>
      </c>
      <c r="X2532" t="s">
        <v>1351</v>
      </c>
      <c r="Y2532" s="316" t="s">
        <v>448</v>
      </c>
      <c r="Z2532" s="8">
        <v>15</v>
      </c>
      <c r="AA2532" s="202" t="str">
        <f t="shared" si="40"/>
        <v>Помидоры свежие</v>
      </c>
    </row>
    <row r="2533" spans="1:27" ht="15" customHeight="1" x14ac:dyDescent="0.25">
      <c r="A2533" t="s">
        <v>153</v>
      </c>
      <c r="L2533"/>
      <c r="M2533"/>
      <c r="N2533"/>
      <c r="O2533"/>
      <c r="P2533"/>
      <c r="T2533">
        <v>1009</v>
      </c>
      <c r="U2533" s="7">
        <v>3</v>
      </c>
      <c r="V2533" t="s">
        <v>1058</v>
      </c>
      <c r="W2533" s="257" t="s">
        <v>1350</v>
      </c>
      <c r="X2533" t="s">
        <v>1351</v>
      </c>
      <c r="Y2533" s="316" t="s">
        <v>446</v>
      </c>
      <c r="Z2533" s="8">
        <v>10</v>
      </c>
      <c r="AA2533" s="202" t="str">
        <f t="shared" si="40"/>
        <v>Огурцы свежие</v>
      </c>
    </row>
    <row r="2534" spans="1:27" ht="15" customHeight="1" x14ac:dyDescent="0.25">
      <c r="A2534" t="s">
        <v>153</v>
      </c>
      <c r="L2534"/>
      <c r="M2534"/>
      <c r="N2534"/>
      <c r="O2534"/>
      <c r="P2534"/>
      <c r="T2534">
        <v>1010</v>
      </c>
      <c r="U2534" s="7">
        <v>3</v>
      </c>
      <c r="V2534" t="s">
        <v>1058</v>
      </c>
      <c r="W2534" s="257" t="s">
        <v>1350</v>
      </c>
      <c r="X2534" t="s">
        <v>1351</v>
      </c>
      <c r="Y2534" s="316" t="s">
        <v>490</v>
      </c>
      <c r="Z2534" s="8">
        <v>50</v>
      </c>
      <c r="AA2534" s="202" t="str">
        <f t="shared" si="40"/>
        <v>Капуста свежая</v>
      </c>
    </row>
    <row r="2535" spans="1:27" ht="15" customHeight="1" x14ac:dyDescent="0.25">
      <c r="A2535" t="s">
        <v>153</v>
      </c>
      <c r="L2535"/>
      <c r="M2535"/>
      <c r="N2535"/>
      <c r="O2535"/>
      <c r="P2535"/>
      <c r="T2535">
        <v>1011</v>
      </c>
      <c r="U2535" s="7">
        <v>3</v>
      </c>
      <c r="V2535" t="s">
        <v>1058</v>
      </c>
      <c r="W2535" s="257" t="s">
        <v>1350</v>
      </c>
      <c r="X2535" t="s">
        <v>1351</v>
      </c>
      <c r="Y2535" s="316" t="s">
        <v>444</v>
      </c>
      <c r="Z2535" s="8">
        <v>5</v>
      </c>
      <c r="AA2535" s="202" t="str">
        <f t="shared" si="40"/>
        <v>Лук репчатый</v>
      </c>
    </row>
    <row r="2536" spans="1:27" ht="15" customHeight="1" x14ac:dyDescent="0.25">
      <c r="A2536" t="s">
        <v>153</v>
      </c>
      <c r="L2536"/>
      <c r="M2536"/>
      <c r="N2536"/>
      <c r="O2536"/>
      <c r="P2536"/>
      <c r="T2536">
        <v>1012</v>
      </c>
      <c r="U2536" s="7">
        <v>3</v>
      </c>
      <c r="V2536" t="s">
        <v>1058</v>
      </c>
      <c r="W2536" s="257" t="s">
        <v>1350</v>
      </c>
      <c r="X2536" t="s">
        <v>1351</v>
      </c>
      <c r="Y2536" s="316" t="s">
        <v>61</v>
      </c>
      <c r="Z2536" s="8">
        <v>8</v>
      </c>
      <c r="AA2536" s="202" t="str">
        <f t="shared" si="40"/>
        <v>Масло растительное</v>
      </c>
    </row>
    <row r="2537" spans="1:27" ht="15" customHeight="1" x14ac:dyDescent="0.25">
      <c r="A2537" t="s">
        <v>153</v>
      </c>
      <c r="L2537"/>
      <c r="M2537"/>
      <c r="N2537"/>
      <c r="O2537"/>
      <c r="P2537"/>
      <c r="T2537">
        <v>1013</v>
      </c>
      <c r="U2537" s="7">
        <v>3</v>
      </c>
      <c r="V2537" t="s">
        <v>1058</v>
      </c>
      <c r="W2537" s="257" t="s">
        <v>1350</v>
      </c>
      <c r="X2537" t="s">
        <v>1351</v>
      </c>
      <c r="Y2537" s="316" t="s">
        <v>558</v>
      </c>
      <c r="Z2537" s="8">
        <v>80</v>
      </c>
      <c r="AA2537" s="202" t="str">
        <f t="shared" si="40"/>
        <v>Общая масса готового блюда, г</v>
      </c>
    </row>
    <row r="2538" spans="1:27" ht="15" customHeight="1" x14ac:dyDescent="0.25">
      <c r="A2538" t="s">
        <v>153</v>
      </c>
      <c r="L2538"/>
      <c r="M2538"/>
      <c r="N2538"/>
      <c r="O2538"/>
      <c r="P2538"/>
      <c r="T2538">
        <v>1014</v>
      </c>
      <c r="U2538" s="7">
        <v>3</v>
      </c>
      <c r="V2538" t="s">
        <v>1058</v>
      </c>
      <c r="W2538" s="257" t="s">
        <v>1350</v>
      </c>
      <c r="X2538" t="s">
        <v>1351</v>
      </c>
      <c r="Y2538" s="316" t="s">
        <v>109</v>
      </c>
      <c r="Z2538" s="8">
        <v>80</v>
      </c>
      <c r="AA2538" s="202" t="str">
        <f t="shared" si="40"/>
        <v>ОКГ</v>
      </c>
    </row>
    <row r="2539" spans="1:27" ht="15" customHeight="1" x14ac:dyDescent="0.25">
      <c r="A2539" t="s">
        <v>153</v>
      </c>
      <c r="L2539"/>
      <c r="M2539"/>
      <c r="N2539"/>
      <c r="O2539"/>
      <c r="P2539"/>
      <c r="T2539">
        <v>995</v>
      </c>
      <c r="U2539" s="7">
        <v>3</v>
      </c>
      <c r="V2539" t="s">
        <v>1058</v>
      </c>
      <c r="W2539" s="257" t="s">
        <v>1104</v>
      </c>
      <c r="X2539" t="s">
        <v>1105</v>
      </c>
      <c r="Y2539" s="316" t="s">
        <v>446</v>
      </c>
      <c r="Z2539" s="8">
        <v>150</v>
      </c>
      <c r="AA2539" s="202" t="str">
        <f t="shared" si="40"/>
        <v>Огурцы свежие</v>
      </c>
    </row>
    <row r="2540" spans="1:27" ht="15" customHeight="1" x14ac:dyDescent="0.25">
      <c r="A2540" t="s">
        <v>153</v>
      </c>
      <c r="L2540"/>
      <c r="M2540"/>
      <c r="N2540"/>
      <c r="O2540"/>
      <c r="P2540"/>
      <c r="T2540">
        <v>996</v>
      </c>
      <c r="U2540" s="7">
        <v>3</v>
      </c>
      <c r="V2540" t="s">
        <v>1058</v>
      </c>
      <c r="W2540" s="257" t="s">
        <v>1104</v>
      </c>
      <c r="X2540" t="s">
        <v>1105</v>
      </c>
      <c r="Y2540" s="316" t="s">
        <v>61</v>
      </c>
      <c r="Z2540" s="8">
        <v>8</v>
      </c>
      <c r="AA2540" s="202" t="str">
        <f t="shared" si="40"/>
        <v>Масло растительное</v>
      </c>
    </row>
    <row r="2541" spans="1:27" ht="15" customHeight="1" x14ac:dyDescent="0.25">
      <c r="A2541" t="s">
        <v>153</v>
      </c>
      <c r="L2541"/>
      <c r="M2541"/>
      <c r="N2541"/>
      <c r="O2541"/>
      <c r="P2541"/>
      <c r="T2541">
        <v>997</v>
      </c>
      <c r="U2541" s="7">
        <v>3</v>
      </c>
      <c r="V2541" t="s">
        <v>1058</v>
      </c>
      <c r="W2541" s="257" t="s">
        <v>1104</v>
      </c>
      <c r="X2541" t="s">
        <v>1105</v>
      </c>
      <c r="Y2541" s="316" t="s">
        <v>444</v>
      </c>
      <c r="Z2541" s="8">
        <v>25</v>
      </c>
      <c r="AA2541" s="202" t="str">
        <f t="shared" si="40"/>
        <v>Лук репчатый</v>
      </c>
    </row>
    <row r="2542" spans="1:27" ht="15" customHeight="1" x14ac:dyDescent="0.25">
      <c r="A2542" t="s">
        <v>153</v>
      </c>
      <c r="L2542"/>
      <c r="M2542"/>
      <c r="N2542"/>
      <c r="O2542"/>
      <c r="P2542"/>
      <c r="T2542">
        <v>998</v>
      </c>
      <c r="U2542" s="7">
        <v>3</v>
      </c>
      <c r="V2542" t="s">
        <v>1058</v>
      </c>
      <c r="W2542" s="257" t="s">
        <v>1104</v>
      </c>
      <c r="X2542" t="s">
        <v>1105</v>
      </c>
      <c r="Y2542" s="316" t="s">
        <v>326</v>
      </c>
      <c r="Z2542" s="8">
        <v>2</v>
      </c>
      <c r="AA2542" s="202" t="str">
        <f t="shared" si="40"/>
        <v>Соль</v>
      </c>
    </row>
    <row r="2543" spans="1:27" ht="15" customHeight="1" x14ac:dyDescent="0.25">
      <c r="A2543" t="s">
        <v>153</v>
      </c>
      <c r="L2543"/>
      <c r="M2543"/>
      <c r="N2543"/>
      <c r="O2543"/>
      <c r="P2543"/>
      <c r="T2543">
        <v>999</v>
      </c>
      <c r="U2543" s="7">
        <v>3</v>
      </c>
      <c r="V2543" t="s">
        <v>1058</v>
      </c>
      <c r="W2543" s="257" t="s">
        <v>1104</v>
      </c>
      <c r="X2543" t="s">
        <v>1105</v>
      </c>
      <c r="Y2543" s="316" t="s">
        <v>558</v>
      </c>
      <c r="Z2543" s="8">
        <v>151</v>
      </c>
      <c r="AA2543" s="202" t="str">
        <f t="shared" si="40"/>
        <v>Общая масса готового блюда, г</v>
      </c>
    </row>
    <row r="2544" spans="1:27" ht="15" customHeight="1" x14ac:dyDescent="0.25">
      <c r="A2544" t="s">
        <v>153</v>
      </c>
      <c r="L2544"/>
      <c r="M2544"/>
      <c r="N2544"/>
      <c r="O2544"/>
      <c r="P2544"/>
      <c r="T2544">
        <v>1000</v>
      </c>
      <c r="U2544" s="7">
        <v>3</v>
      </c>
      <c r="V2544" t="s">
        <v>1058</v>
      </c>
      <c r="W2544" s="257" t="s">
        <v>1104</v>
      </c>
      <c r="X2544" t="s">
        <v>1105</v>
      </c>
      <c r="Y2544" s="316" t="s">
        <v>109</v>
      </c>
      <c r="Z2544" s="8">
        <v>175</v>
      </c>
      <c r="AA2544" s="202" t="str">
        <f t="shared" si="40"/>
        <v>ОКГ</v>
      </c>
    </row>
    <row r="2545" spans="1:27" ht="15" customHeight="1" x14ac:dyDescent="0.25">
      <c r="A2545" t="s">
        <v>153</v>
      </c>
      <c r="L2545"/>
      <c r="M2545"/>
      <c r="N2545"/>
      <c r="O2545"/>
      <c r="P2545"/>
      <c r="T2545">
        <v>1003</v>
      </c>
      <c r="U2545" s="7">
        <v>3</v>
      </c>
      <c r="V2545" t="s">
        <v>1058</v>
      </c>
      <c r="W2545" s="257" t="s">
        <v>1104</v>
      </c>
      <c r="X2545" t="s">
        <v>1105</v>
      </c>
      <c r="Y2545" s="316" t="s">
        <v>444</v>
      </c>
      <c r="Z2545" s="8">
        <v>15</v>
      </c>
      <c r="AA2545" s="202" t="str">
        <f t="shared" si="40"/>
        <v>Лук репчатый</v>
      </c>
    </row>
    <row r="2546" spans="1:27" ht="15" customHeight="1" x14ac:dyDescent="0.25">
      <c r="A2546" t="s">
        <v>153</v>
      </c>
      <c r="L2546"/>
      <c r="M2546"/>
      <c r="N2546"/>
      <c r="O2546"/>
      <c r="P2546"/>
      <c r="T2546">
        <v>989</v>
      </c>
      <c r="U2546" s="7">
        <v>3</v>
      </c>
      <c r="V2546" t="s">
        <v>1058</v>
      </c>
      <c r="W2546" s="257" t="s">
        <v>1106</v>
      </c>
      <c r="X2546" t="s">
        <v>1107</v>
      </c>
      <c r="Y2546" s="316" t="s">
        <v>448</v>
      </c>
      <c r="Z2546" s="8">
        <v>150</v>
      </c>
      <c r="AA2546" s="202" t="str">
        <f t="shared" si="40"/>
        <v>Помидоры свежие</v>
      </c>
    </row>
    <row r="2547" spans="1:27" ht="15" customHeight="1" x14ac:dyDescent="0.25">
      <c r="A2547" t="s">
        <v>153</v>
      </c>
      <c r="L2547"/>
      <c r="M2547"/>
      <c r="N2547"/>
      <c r="O2547"/>
      <c r="P2547"/>
      <c r="T2547">
        <v>990</v>
      </c>
      <c r="U2547" s="7">
        <v>3</v>
      </c>
      <c r="V2547" t="s">
        <v>1058</v>
      </c>
      <c r="W2547" s="257" t="s">
        <v>1106</v>
      </c>
      <c r="X2547" t="s">
        <v>1107</v>
      </c>
      <c r="Y2547" s="316" t="s">
        <v>61</v>
      </c>
      <c r="Z2547" s="8">
        <v>8</v>
      </c>
      <c r="AA2547" s="202" t="str">
        <f t="shared" si="40"/>
        <v>Масло растительное</v>
      </c>
    </row>
    <row r="2548" spans="1:27" ht="15" customHeight="1" x14ac:dyDescent="0.25">
      <c r="A2548" t="s">
        <v>153</v>
      </c>
      <c r="L2548"/>
      <c r="M2548"/>
      <c r="N2548"/>
      <c r="O2548"/>
      <c r="P2548"/>
      <c r="T2548">
        <v>991</v>
      </c>
      <c r="U2548" s="7">
        <v>3</v>
      </c>
      <c r="V2548" t="s">
        <v>1058</v>
      </c>
      <c r="W2548" s="257" t="s">
        <v>1106</v>
      </c>
      <c r="X2548" t="s">
        <v>1107</v>
      </c>
      <c r="Y2548" s="316" t="s">
        <v>444</v>
      </c>
      <c r="Z2548" s="8">
        <v>25</v>
      </c>
      <c r="AA2548" s="202" t="str">
        <f t="shared" si="40"/>
        <v>Лук репчатый</v>
      </c>
    </row>
    <row r="2549" spans="1:27" ht="15" customHeight="1" x14ac:dyDescent="0.25">
      <c r="A2549" t="s">
        <v>153</v>
      </c>
      <c r="L2549"/>
      <c r="M2549"/>
      <c r="N2549"/>
      <c r="O2549"/>
      <c r="P2549"/>
      <c r="T2549">
        <v>992</v>
      </c>
      <c r="U2549" s="7">
        <v>3</v>
      </c>
      <c r="V2549" t="s">
        <v>1058</v>
      </c>
      <c r="W2549" s="257" t="s">
        <v>1106</v>
      </c>
      <c r="X2549" t="s">
        <v>1107</v>
      </c>
      <c r="Y2549" s="316" t="s">
        <v>326</v>
      </c>
      <c r="Z2549" s="8">
        <v>2</v>
      </c>
      <c r="AA2549" s="202" t="str">
        <f t="shared" si="40"/>
        <v>Соль</v>
      </c>
    </row>
    <row r="2550" spans="1:27" ht="15" customHeight="1" x14ac:dyDescent="0.25">
      <c r="A2550" t="s">
        <v>153</v>
      </c>
      <c r="L2550"/>
      <c r="M2550"/>
      <c r="N2550"/>
      <c r="O2550"/>
      <c r="P2550"/>
      <c r="T2550">
        <v>993</v>
      </c>
      <c r="U2550" s="7">
        <v>3</v>
      </c>
      <c r="V2550" t="s">
        <v>1058</v>
      </c>
      <c r="W2550" s="257" t="s">
        <v>1106</v>
      </c>
      <c r="X2550" t="s">
        <v>1107</v>
      </c>
      <c r="Y2550" s="316" t="s">
        <v>558</v>
      </c>
      <c r="Z2550" s="8">
        <v>157</v>
      </c>
      <c r="AA2550" s="202" t="str">
        <f t="shared" si="40"/>
        <v>Общая масса готового блюда, г</v>
      </c>
    </row>
    <row r="2551" spans="1:27" ht="15" customHeight="1" x14ac:dyDescent="0.25">
      <c r="A2551" t="s">
        <v>153</v>
      </c>
      <c r="L2551"/>
      <c r="M2551"/>
      <c r="N2551"/>
      <c r="O2551"/>
      <c r="P2551"/>
      <c r="T2551">
        <v>994</v>
      </c>
      <c r="U2551" s="7">
        <v>3</v>
      </c>
      <c r="V2551" t="s">
        <v>1058</v>
      </c>
      <c r="W2551" s="257" t="s">
        <v>1106</v>
      </c>
      <c r="X2551" t="s">
        <v>1107</v>
      </c>
      <c r="Y2551" s="316" t="s">
        <v>109</v>
      </c>
      <c r="Z2551" s="8">
        <v>175</v>
      </c>
      <c r="AA2551" s="202" t="str">
        <f t="shared" si="40"/>
        <v>ОКГ</v>
      </c>
    </row>
    <row r="2552" spans="1:27" ht="15" customHeight="1" x14ac:dyDescent="0.25">
      <c r="A2552" t="s">
        <v>153</v>
      </c>
      <c r="L2552"/>
      <c r="M2552"/>
      <c r="N2552"/>
      <c r="O2552"/>
      <c r="P2552"/>
      <c r="T2552">
        <v>1004</v>
      </c>
      <c r="U2552" s="7">
        <v>3</v>
      </c>
      <c r="V2552" t="s">
        <v>1058</v>
      </c>
      <c r="W2552" s="257" t="s">
        <v>1108</v>
      </c>
      <c r="X2552" t="s">
        <v>1109</v>
      </c>
      <c r="Y2552" s="316" t="s">
        <v>61</v>
      </c>
      <c r="Z2552" s="8">
        <v>8</v>
      </c>
      <c r="AA2552" s="202" t="str">
        <f t="shared" si="40"/>
        <v>Масло растительное</v>
      </c>
    </row>
    <row r="2553" spans="1:27" ht="15" customHeight="1" x14ac:dyDescent="0.25">
      <c r="A2553" t="s">
        <v>153</v>
      </c>
      <c r="L2553"/>
      <c r="M2553"/>
      <c r="N2553"/>
      <c r="O2553"/>
      <c r="P2553"/>
      <c r="T2553">
        <v>1005</v>
      </c>
      <c r="U2553" s="7">
        <v>3</v>
      </c>
      <c r="V2553" t="s">
        <v>1058</v>
      </c>
      <c r="W2553" s="257" t="s">
        <v>1108</v>
      </c>
      <c r="X2553" t="s">
        <v>1109</v>
      </c>
      <c r="Y2553" s="316" t="s">
        <v>326</v>
      </c>
      <c r="Z2553" s="8">
        <v>2</v>
      </c>
      <c r="AA2553" s="202" t="str">
        <f t="shared" si="40"/>
        <v>Соль</v>
      </c>
    </row>
    <row r="2554" spans="1:27" ht="15" customHeight="1" x14ac:dyDescent="0.25">
      <c r="A2554" t="s">
        <v>153</v>
      </c>
      <c r="L2554"/>
      <c r="M2554"/>
      <c r="N2554"/>
      <c r="O2554"/>
      <c r="P2554"/>
      <c r="T2554">
        <v>1006</v>
      </c>
      <c r="U2554" s="7">
        <v>3</v>
      </c>
      <c r="V2554" t="s">
        <v>1058</v>
      </c>
      <c r="W2554" s="257" t="s">
        <v>1108</v>
      </c>
      <c r="X2554" t="s">
        <v>1109</v>
      </c>
      <c r="Y2554" s="316" t="s">
        <v>558</v>
      </c>
      <c r="Z2554" s="8">
        <v>165</v>
      </c>
      <c r="AA2554" s="202" t="str">
        <f t="shared" si="40"/>
        <v>Общая масса готового блюда, г</v>
      </c>
    </row>
    <row r="2555" spans="1:27" ht="15" customHeight="1" x14ac:dyDescent="0.25">
      <c r="A2555" t="s">
        <v>153</v>
      </c>
      <c r="L2555"/>
      <c r="M2555"/>
      <c r="N2555"/>
      <c r="O2555"/>
      <c r="P2555"/>
      <c r="T2555">
        <v>1007</v>
      </c>
      <c r="U2555" s="7">
        <v>3</v>
      </c>
      <c r="V2555" t="s">
        <v>1058</v>
      </c>
      <c r="W2555" s="257" t="s">
        <v>1108</v>
      </c>
      <c r="X2555" t="s">
        <v>1109</v>
      </c>
      <c r="Y2555" s="316" t="s">
        <v>109</v>
      </c>
      <c r="Z2555" s="8">
        <v>175</v>
      </c>
      <c r="AA2555" s="202" t="str">
        <f t="shared" si="40"/>
        <v>ОКГ</v>
      </c>
    </row>
    <row r="2556" spans="1:27" ht="15" customHeight="1" x14ac:dyDescent="0.25">
      <c r="A2556" t="s">
        <v>153</v>
      </c>
      <c r="L2556"/>
      <c r="M2556"/>
      <c r="N2556"/>
      <c r="O2556"/>
      <c r="P2556"/>
      <c r="T2556">
        <v>1025</v>
      </c>
      <c r="U2556" s="7">
        <v>3</v>
      </c>
      <c r="V2556" t="s">
        <v>1058</v>
      </c>
      <c r="W2556" s="257" t="s">
        <v>1110</v>
      </c>
      <c r="X2556" t="s">
        <v>1111</v>
      </c>
      <c r="Y2556" s="316" t="s">
        <v>48</v>
      </c>
      <c r="Z2556" s="8">
        <v>160</v>
      </c>
      <c r="AA2556" s="202" t="str">
        <f t="shared" si="40"/>
        <v>Свекла</v>
      </c>
    </row>
    <row r="2557" spans="1:27" ht="15" customHeight="1" x14ac:dyDescent="0.25">
      <c r="A2557" t="s">
        <v>153</v>
      </c>
      <c r="L2557"/>
      <c r="M2557"/>
      <c r="N2557"/>
      <c r="O2557"/>
      <c r="P2557"/>
      <c r="T2557">
        <v>1026</v>
      </c>
      <c r="U2557" s="7">
        <v>3</v>
      </c>
      <c r="V2557" t="s">
        <v>1058</v>
      </c>
      <c r="W2557" s="257" t="s">
        <v>1110</v>
      </c>
      <c r="X2557" t="s">
        <v>1111</v>
      </c>
      <c r="Y2557" s="316" t="s">
        <v>486</v>
      </c>
      <c r="Z2557" s="8">
        <v>1</v>
      </c>
      <c r="AA2557" s="202" t="str">
        <f t="shared" si="40"/>
        <v>Уксус</v>
      </c>
    </row>
    <row r="2558" spans="1:27" ht="15" customHeight="1" x14ac:dyDescent="0.25">
      <c r="A2558" t="s">
        <v>153</v>
      </c>
      <c r="L2558"/>
      <c r="M2558"/>
      <c r="N2558"/>
      <c r="O2558"/>
      <c r="P2558"/>
      <c r="T2558">
        <v>1027</v>
      </c>
      <c r="U2558" s="7">
        <v>3</v>
      </c>
      <c r="V2558" t="s">
        <v>1058</v>
      </c>
      <c r="W2558" s="257" t="s">
        <v>1110</v>
      </c>
      <c r="X2558" t="s">
        <v>1111</v>
      </c>
      <c r="Y2558" s="316" t="s">
        <v>61</v>
      </c>
      <c r="Z2558" s="8">
        <v>8</v>
      </c>
      <c r="AA2558" s="202" t="str">
        <f t="shared" si="40"/>
        <v>Масло растительное</v>
      </c>
    </row>
    <row r="2559" spans="1:27" ht="15" customHeight="1" x14ac:dyDescent="0.25">
      <c r="A2559" t="s">
        <v>153</v>
      </c>
      <c r="L2559"/>
      <c r="M2559"/>
      <c r="N2559"/>
      <c r="O2559"/>
      <c r="P2559"/>
      <c r="T2559">
        <v>1028</v>
      </c>
      <c r="U2559" s="7">
        <v>3</v>
      </c>
      <c r="V2559" t="s">
        <v>1058</v>
      </c>
      <c r="W2559" s="257" t="s">
        <v>1110</v>
      </c>
      <c r="X2559" t="s">
        <v>1111</v>
      </c>
      <c r="Y2559" s="316" t="s">
        <v>326</v>
      </c>
      <c r="Z2559" s="8">
        <v>2</v>
      </c>
      <c r="AA2559" s="202" t="str">
        <f t="shared" si="40"/>
        <v>Соль</v>
      </c>
    </row>
    <row r="2560" spans="1:27" ht="15" customHeight="1" x14ac:dyDescent="0.25">
      <c r="A2560" t="s">
        <v>153</v>
      </c>
      <c r="L2560"/>
      <c r="M2560"/>
      <c r="N2560"/>
      <c r="O2560"/>
      <c r="P2560"/>
      <c r="T2560">
        <v>1030</v>
      </c>
      <c r="U2560" s="7">
        <v>3</v>
      </c>
      <c r="V2560" t="s">
        <v>1058</v>
      </c>
      <c r="W2560" s="257" t="s">
        <v>1110</v>
      </c>
      <c r="X2560" t="s">
        <v>1111</v>
      </c>
      <c r="Y2560" s="316" t="s">
        <v>558</v>
      </c>
      <c r="Z2560" s="8">
        <v>129</v>
      </c>
      <c r="AA2560" s="202" t="str">
        <f t="shared" si="40"/>
        <v>Общая масса готового блюда, г</v>
      </c>
    </row>
    <row r="2561" spans="1:27" ht="15" customHeight="1" x14ac:dyDescent="0.25">
      <c r="A2561" t="s">
        <v>153</v>
      </c>
      <c r="L2561"/>
      <c r="M2561"/>
      <c r="N2561"/>
      <c r="O2561"/>
      <c r="P2561"/>
      <c r="T2561">
        <v>1031</v>
      </c>
      <c r="U2561" s="7">
        <v>3</v>
      </c>
      <c r="V2561" t="s">
        <v>1058</v>
      </c>
      <c r="W2561" s="257" t="s">
        <v>1110</v>
      </c>
      <c r="X2561" t="s">
        <v>1111</v>
      </c>
      <c r="Y2561" s="316" t="s">
        <v>109</v>
      </c>
      <c r="Z2561" s="8">
        <v>175</v>
      </c>
      <c r="AA2561" s="202" t="str">
        <f t="shared" si="40"/>
        <v>ОКГ</v>
      </c>
    </row>
    <row r="2562" spans="1:27" ht="15" customHeight="1" x14ac:dyDescent="0.25">
      <c r="A2562" t="s">
        <v>153</v>
      </c>
      <c r="L2562"/>
      <c r="M2562"/>
      <c r="N2562"/>
      <c r="O2562"/>
      <c r="P2562"/>
      <c r="T2562">
        <v>1025</v>
      </c>
      <c r="U2562" s="7">
        <v>3</v>
      </c>
      <c r="V2562" t="s">
        <v>1058</v>
      </c>
      <c r="W2562" s="257" t="s">
        <v>1352</v>
      </c>
      <c r="X2562" t="s">
        <v>1353</v>
      </c>
      <c r="Y2562" s="316" t="s">
        <v>48</v>
      </c>
      <c r="Z2562" s="8">
        <v>110</v>
      </c>
      <c r="AA2562" s="202" t="str">
        <f t="shared" ref="AA2562:AA2625" si="41">VLOOKUP(Y2562,O:P,2,FALSE)</f>
        <v>Свекла</v>
      </c>
    </row>
    <row r="2563" spans="1:27" ht="15" customHeight="1" x14ac:dyDescent="0.25">
      <c r="A2563" t="s">
        <v>153</v>
      </c>
      <c r="L2563"/>
      <c r="M2563"/>
      <c r="N2563"/>
      <c r="O2563"/>
      <c r="P2563"/>
      <c r="T2563">
        <v>1026</v>
      </c>
      <c r="U2563" s="7">
        <v>3</v>
      </c>
      <c r="V2563" t="s">
        <v>1058</v>
      </c>
      <c r="W2563" s="257" t="s">
        <v>1352</v>
      </c>
      <c r="X2563" t="s">
        <v>1353</v>
      </c>
      <c r="Y2563" s="316" t="s">
        <v>486</v>
      </c>
      <c r="Z2563" s="8">
        <v>1</v>
      </c>
      <c r="AA2563" s="202" t="str">
        <f t="shared" si="41"/>
        <v>Уксус</v>
      </c>
    </row>
    <row r="2564" spans="1:27" ht="15" customHeight="1" x14ac:dyDescent="0.25">
      <c r="A2564" t="s">
        <v>153</v>
      </c>
      <c r="L2564"/>
      <c r="M2564"/>
      <c r="N2564"/>
      <c r="O2564"/>
      <c r="P2564"/>
      <c r="T2564">
        <v>1027</v>
      </c>
      <c r="U2564" s="7">
        <v>3</v>
      </c>
      <c r="V2564" t="s">
        <v>1058</v>
      </c>
      <c r="W2564" s="257" t="s">
        <v>1352</v>
      </c>
      <c r="X2564" t="s">
        <v>1353</v>
      </c>
      <c r="Y2564" s="316" t="s">
        <v>61</v>
      </c>
      <c r="Z2564" s="8">
        <v>8</v>
      </c>
      <c r="AA2564" s="202" t="str">
        <f t="shared" si="41"/>
        <v>Масло растительное</v>
      </c>
    </row>
    <row r="2565" spans="1:27" ht="15" customHeight="1" x14ac:dyDescent="0.25">
      <c r="A2565" t="s">
        <v>153</v>
      </c>
      <c r="L2565"/>
      <c r="M2565"/>
      <c r="N2565"/>
      <c r="O2565"/>
      <c r="P2565"/>
      <c r="T2565">
        <v>1028</v>
      </c>
      <c r="U2565" s="7">
        <v>3</v>
      </c>
      <c r="V2565" t="s">
        <v>1058</v>
      </c>
      <c r="W2565" s="257" t="s">
        <v>1352</v>
      </c>
      <c r="X2565" t="s">
        <v>1353</v>
      </c>
      <c r="Y2565" s="316" t="s">
        <v>326</v>
      </c>
      <c r="Z2565" s="8">
        <v>2</v>
      </c>
      <c r="AA2565" s="202" t="str">
        <f t="shared" si="41"/>
        <v>Соль</v>
      </c>
    </row>
    <row r="2566" spans="1:27" ht="15" customHeight="1" x14ac:dyDescent="0.25">
      <c r="A2566" t="s">
        <v>153</v>
      </c>
      <c r="L2566"/>
      <c r="M2566"/>
      <c r="N2566"/>
      <c r="O2566"/>
      <c r="P2566"/>
      <c r="T2566">
        <v>1030</v>
      </c>
      <c r="U2566" s="7">
        <v>3</v>
      </c>
      <c r="V2566" t="s">
        <v>1058</v>
      </c>
      <c r="W2566" s="257" t="s">
        <v>1352</v>
      </c>
      <c r="X2566" t="s">
        <v>1353</v>
      </c>
      <c r="Y2566" s="316" t="s">
        <v>558</v>
      </c>
      <c r="Z2566" s="8">
        <v>91</v>
      </c>
      <c r="AA2566" s="202" t="str">
        <f t="shared" si="41"/>
        <v>Общая масса готового блюда, г</v>
      </c>
    </row>
    <row r="2567" spans="1:27" ht="15" customHeight="1" x14ac:dyDescent="0.25">
      <c r="A2567" t="s">
        <v>153</v>
      </c>
      <c r="L2567"/>
      <c r="M2567"/>
      <c r="N2567"/>
      <c r="O2567"/>
      <c r="P2567"/>
      <c r="T2567">
        <v>1031</v>
      </c>
      <c r="U2567" s="7">
        <v>3</v>
      </c>
      <c r="V2567" t="s">
        <v>1058</v>
      </c>
      <c r="W2567" s="257" t="s">
        <v>1352</v>
      </c>
      <c r="X2567" t="s">
        <v>1353</v>
      </c>
      <c r="Y2567" s="316" t="s">
        <v>109</v>
      </c>
      <c r="Z2567" s="8">
        <v>115</v>
      </c>
      <c r="AA2567" s="202" t="str">
        <f t="shared" si="41"/>
        <v>ОКГ</v>
      </c>
    </row>
    <row r="2568" spans="1:27" ht="15" customHeight="1" x14ac:dyDescent="0.25">
      <c r="A2568" t="s">
        <v>153</v>
      </c>
      <c r="L2568"/>
      <c r="M2568"/>
      <c r="N2568"/>
      <c r="O2568"/>
      <c r="P2568"/>
      <c r="T2568">
        <v>1048</v>
      </c>
      <c r="U2568" s="7">
        <v>3</v>
      </c>
      <c r="V2568" t="s">
        <v>1058</v>
      </c>
      <c r="W2568" s="257" t="s">
        <v>1112</v>
      </c>
      <c r="X2568" t="s">
        <v>1113</v>
      </c>
      <c r="Y2568" s="316" t="s">
        <v>48</v>
      </c>
      <c r="Z2568" s="8">
        <v>135</v>
      </c>
      <c r="AA2568" s="202" t="str">
        <f t="shared" si="41"/>
        <v>Свекла</v>
      </c>
    </row>
    <row r="2569" spans="1:27" ht="15" customHeight="1" x14ac:dyDescent="0.25">
      <c r="A2569" t="s">
        <v>153</v>
      </c>
      <c r="L2569"/>
      <c r="M2569"/>
      <c r="N2569"/>
      <c r="O2569"/>
      <c r="P2569"/>
      <c r="T2569">
        <v>1049</v>
      </c>
      <c r="U2569" s="7">
        <v>3</v>
      </c>
      <c r="V2569" t="s">
        <v>1058</v>
      </c>
      <c r="W2569" s="257" t="s">
        <v>1112</v>
      </c>
      <c r="X2569" t="s">
        <v>1113</v>
      </c>
      <c r="Y2569" s="316" t="s">
        <v>439</v>
      </c>
      <c r="Z2569" s="8">
        <v>10</v>
      </c>
      <c r="AA2569" s="202" t="str">
        <f t="shared" si="41"/>
        <v>Горошек консерв.</v>
      </c>
    </row>
    <row r="2570" spans="1:27" ht="15" customHeight="1" x14ac:dyDescent="0.25">
      <c r="A2570" t="s">
        <v>153</v>
      </c>
      <c r="L2570"/>
      <c r="M2570"/>
      <c r="N2570"/>
      <c r="O2570"/>
      <c r="P2570"/>
      <c r="T2570">
        <v>1050</v>
      </c>
      <c r="U2570" s="7">
        <v>3</v>
      </c>
      <c r="V2570" t="s">
        <v>1058</v>
      </c>
      <c r="W2570" s="257" t="s">
        <v>1112</v>
      </c>
      <c r="X2570" t="s">
        <v>1113</v>
      </c>
      <c r="Y2570" s="316" t="s">
        <v>486</v>
      </c>
      <c r="Z2570" s="8">
        <v>0.5</v>
      </c>
      <c r="AA2570" s="202" t="str">
        <f t="shared" si="41"/>
        <v>Уксус</v>
      </c>
    </row>
    <row r="2571" spans="1:27" ht="15" customHeight="1" x14ac:dyDescent="0.25">
      <c r="A2571" t="s">
        <v>153</v>
      </c>
      <c r="L2571"/>
      <c r="M2571"/>
      <c r="N2571"/>
      <c r="O2571"/>
      <c r="P2571"/>
      <c r="T2571">
        <v>1051</v>
      </c>
      <c r="U2571" s="7">
        <v>3</v>
      </c>
      <c r="V2571" t="s">
        <v>1058</v>
      </c>
      <c r="W2571" s="257" t="s">
        <v>1112</v>
      </c>
      <c r="X2571" t="s">
        <v>1113</v>
      </c>
      <c r="Y2571" s="316" t="s">
        <v>61</v>
      </c>
      <c r="Z2571" s="8">
        <v>8</v>
      </c>
      <c r="AA2571" s="202" t="str">
        <f t="shared" si="41"/>
        <v>Масло растительное</v>
      </c>
    </row>
    <row r="2572" spans="1:27" ht="15" customHeight="1" x14ac:dyDescent="0.25">
      <c r="A2572" t="s">
        <v>153</v>
      </c>
      <c r="L2572"/>
      <c r="M2572"/>
      <c r="N2572"/>
      <c r="O2572"/>
      <c r="P2572"/>
      <c r="T2572">
        <v>1052</v>
      </c>
      <c r="U2572" s="7">
        <v>3</v>
      </c>
      <c r="V2572" t="s">
        <v>1058</v>
      </c>
      <c r="W2572" s="257" t="s">
        <v>1112</v>
      </c>
      <c r="X2572" t="s">
        <v>1113</v>
      </c>
      <c r="Y2572" s="316" t="s">
        <v>326</v>
      </c>
      <c r="Z2572" s="8">
        <v>2</v>
      </c>
      <c r="AA2572" s="202" t="str">
        <f t="shared" si="41"/>
        <v>Соль</v>
      </c>
    </row>
    <row r="2573" spans="1:27" ht="15" customHeight="1" x14ac:dyDescent="0.25">
      <c r="A2573" t="s">
        <v>153</v>
      </c>
      <c r="L2573"/>
      <c r="M2573"/>
      <c r="N2573"/>
      <c r="O2573"/>
      <c r="P2573"/>
      <c r="T2573">
        <v>1055</v>
      </c>
      <c r="U2573" s="7">
        <v>3</v>
      </c>
      <c r="V2573" t="s">
        <v>1058</v>
      </c>
      <c r="W2573" s="257" t="s">
        <v>1112</v>
      </c>
      <c r="X2573" t="s">
        <v>1113</v>
      </c>
      <c r="Y2573" s="316" t="s">
        <v>558</v>
      </c>
      <c r="Z2573" s="8">
        <v>119</v>
      </c>
      <c r="AA2573" s="202" t="str">
        <f t="shared" si="41"/>
        <v>Общая масса готового блюда, г</v>
      </c>
    </row>
    <row r="2574" spans="1:27" ht="15" customHeight="1" x14ac:dyDescent="0.25">
      <c r="A2574" t="s">
        <v>153</v>
      </c>
      <c r="L2574"/>
      <c r="M2574"/>
      <c r="N2574"/>
      <c r="O2574"/>
      <c r="P2574"/>
      <c r="T2574">
        <v>1056</v>
      </c>
      <c r="U2574" s="7">
        <v>3</v>
      </c>
      <c r="V2574" t="s">
        <v>1058</v>
      </c>
      <c r="W2574" s="257" t="s">
        <v>1112</v>
      </c>
      <c r="X2574" t="s">
        <v>1113</v>
      </c>
      <c r="Y2574" s="316" t="s">
        <v>109</v>
      </c>
      <c r="Z2574" s="8">
        <v>175</v>
      </c>
      <c r="AA2574" s="202" t="str">
        <f t="shared" si="41"/>
        <v>ОКГ</v>
      </c>
    </row>
    <row r="2575" spans="1:27" ht="15" customHeight="1" x14ac:dyDescent="0.25">
      <c r="A2575" t="s">
        <v>153</v>
      </c>
      <c r="L2575"/>
      <c r="M2575"/>
      <c r="N2575"/>
      <c r="O2575"/>
      <c r="P2575"/>
      <c r="T2575">
        <v>1057</v>
      </c>
      <c r="U2575" s="7">
        <v>3</v>
      </c>
      <c r="V2575" t="s">
        <v>1058</v>
      </c>
      <c r="W2575" s="257" t="s">
        <v>1114</v>
      </c>
      <c r="X2575" t="s">
        <v>1115</v>
      </c>
      <c r="Y2575" s="316" t="s">
        <v>48</v>
      </c>
      <c r="Z2575" s="8">
        <v>130</v>
      </c>
      <c r="AA2575" s="202" t="str">
        <f t="shared" si="41"/>
        <v>Свекла</v>
      </c>
    </row>
    <row r="2576" spans="1:27" ht="15" customHeight="1" x14ac:dyDescent="0.25">
      <c r="A2576" t="s">
        <v>153</v>
      </c>
      <c r="L2576"/>
      <c r="M2576"/>
      <c r="N2576"/>
      <c r="O2576"/>
      <c r="P2576"/>
      <c r="T2576">
        <v>1058</v>
      </c>
      <c r="U2576" s="7">
        <v>3</v>
      </c>
      <c r="V2576" t="s">
        <v>1058</v>
      </c>
      <c r="W2576" s="257" t="s">
        <v>1114</v>
      </c>
      <c r="X2576" t="s">
        <v>1115</v>
      </c>
      <c r="Y2576" s="316" t="s">
        <v>445</v>
      </c>
      <c r="Z2576" s="8">
        <v>40</v>
      </c>
      <c r="AA2576" s="202" t="str">
        <f t="shared" si="41"/>
        <v>Огурцы консерв.</v>
      </c>
    </row>
    <row r="2577" spans="1:27" ht="15" customHeight="1" x14ac:dyDescent="0.25">
      <c r="A2577" t="s">
        <v>153</v>
      </c>
      <c r="L2577"/>
      <c r="M2577"/>
      <c r="N2577"/>
      <c r="O2577"/>
      <c r="P2577"/>
      <c r="T2577">
        <v>1059</v>
      </c>
      <c r="U2577" s="7">
        <v>3</v>
      </c>
      <c r="V2577" t="s">
        <v>1058</v>
      </c>
      <c r="W2577" s="257" t="s">
        <v>1114</v>
      </c>
      <c r="X2577" t="s">
        <v>1115</v>
      </c>
      <c r="Y2577" s="316" t="s">
        <v>61</v>
      </c>
      <c r="Z2577" s="8">
        <v>8</v>
      </c>
      <c r="AA2577" s="202" t="str">
        <f t="shared" si="41"/>
        <v>Масло растительное</v>
      </c>
    </row>
    <row r="2578" spans="1:27" ht="15" customHeight="1" x14ac:dyDescent="0.25">
      <c r="A2578" t="s">
        <v>153</v>
      </c>
      <c r="L2578"/>
      <c r="M2578"/>
      <c r="N2578"/>
      <c r="O2578"/>
      <c r="P2578"/>
      <c r="T2578">
        <v>1060</v>
      </c>
      <c r="U2578" s="7">
        <v>3</v>
      </c>
      <c r="V2578" t="s">
        <v>1058</v>
      </c>
      <c r="W2578" s="257" t="s">
        <v>1114</v>
      </c>
      <c r="X2578" t="s">
        <v>1115</v>
      </c>
      <c r="Y2578" s="316" t="s">
        <v>486</v>
      </c>
      <c r="Z2578" s="8">
        <v>0.5</v>
      </c>
      <c r="AA2578" s="202" t="str">
        <f t="shared" si="41"/>
        <v>Уксус</v>
      </c>
    </row>
    <row r="2579" spans="1:27" ht="15" customHeight="1" x14ac:dyDescent="0.25">
      <c r="A2579" t="s">
        <v>153</v>
      </c>
      <c r="L2579"/>
      <c r="M2579"/>
      <c r="N2579"/>
      <c r="O2579"/>
      <c r="P2579"/>
      <c r="T2579">
        <v>1061</v>
      </c>
      <c r="U2579" s="7">
        <v>3</v>
      </c>
      <c r="V2579" t="s">
        <v>1058</v>
      </c>
      <c r="W2579" s="257" t="s">
        <v>1114</v>
      </c>
      <c r="X2579" t="s">
        <v>1115</v>
      </c>
      <c r="Y2579" s="316" t="s">
        <v>326</v>
      </c>
      <c r="Z2579" s="8">
        <v>2</v>
      </c>
      <c r="AA2579" s="202" t="str">
        <f t="shared" si="41"/>
        <v>Соль</v>
      </c>
    </row>
    <row r="2580" spans="1:27" ht="15" customHeight="1" x14ac:dyDescent="0.25">
      <c r="A2580" t="s">
        <v>153</v>
      </c>
      <c r="L2580"/>
      <c r="M2580"/>
      <c r="N2580"/>
      <c r="O2580"/>
      <c r="P2580"/>
      <c r="T2580">
        <v>1063</v>
      </c>
      <c r="U2580" s="7">
        <v>3</v>
      </c>
      <c r="V2580" t="s">
        <v>1058</v>
      </c>
      <c r="W2580" s="257" t="s">
        <v>1114</v>
      </c>
      <c r="X2580" t="s">
        <v>1115</v>
      </c>
      <c r="Y2580" s="316" t="s">
        <v>558</v>
      </c>
      <c r="Z2580" s="8">
        <v>123</v>
      </c>
      <c r="AA2580" s="202" t="str">
        <f t="shared" si="41"/>
        <v>Общая масса готового блюда, г</v>
      </c>
    </row>
    <row r="2581" spans="1:27" ht="15" customHeight="1" x14ac:dyDescent="0.25">
      <c r="A2581" t="s">
        <v>153</v>
      </c>
      <c r="L2581"/>
      <c r="M2581"/>
      <c r="N2581"/>
      <c r="O2581"/>
      <c r="P2581"/>
      <c r="T2581">
        <v>1064</v>
      </c>
      <c r="U2581" s="7">
        <v>3</v>
      </c>
      <c r="V2581" t="s">
        <v>1058</v>
      </c>
      <c r="W2581" s="257" t="s">
        <v>1114</v>
      </c>
      <c r="X2581" t="s">
        <v>1115</v>
      </c>
      <c r="Y2581" s="316" t="s">
        <v>109</v>
      </c>
      <c r="Z2581" s="8">
        <v>175</v>
      </c>
      <c r="AA2581" s="202" t="str">
        <f t="shared" si="41"/>
        <v>ОКГ</v>
      </c>
    </row>
    <row r="2582" spans="1:27" ht="15" customHeight="1" x14ac:dyDescent="0.25">
      <c r="A2582" t="s">
        <v>153</v>
      </c>
      <c r="L2582"/>
      <c r="M2582"/>
      <c r="N2582"/>
      <c r="O2582"/>
      <c r="P2582"/>
      <c r="T2582">
        <v>1032</v>
      </c>
      <c r="U2582" s="7">
        <v>3</v>
      </c>
      <c r="V2582" t="s">
        <v>1058</v>
      </c>
      <c r="W2582" s="257" t="s">
        <v>1116</v>
      </c>
      <c r="X2582" t="s">
        <v>1117</v>
      </c>
      <c r="Y2582" s="316" t="s">
        <v>48</v>
      </c>
      <c r="Z2582" s="8">
        <v>165</v>
      </c>
      <c r="AA2582" s="202" t="str">
        <f t="shared" si="41"/>
        <v>Свекла</v>
      </c>
    </row>
    <row r="2583" spans="1:27" ht="15" customHeight="1" x14ac:dyDescent="0.25">
      <c r="A2583" t="s">
        <v>153</v>
      </c>
      <c r="L2583"/>
      <c r="M2583"/>
      <c r="N2583"/>
      <c r="O2583"/>
      <c r="P2583"/>
      <c r="T2583">
        <v>1033</v>
      </c>
      <c r="U2583" s="7">
        <v>3</v>
      </c>
      <c r="V2583" t="s">
        <v>1058</v>
      </c>
      <c r="W2583" s="257" t="s">
        <v>1116</v>
      </c>
      <c r="X2583" t="s">
        <v>1117</v>
      </c>
      <c r="Y2583" s="316" t="s">
        <v>49</v>
      </c>
      <c r="Z2583" s="8">
        <v>2.5</v>
      </c>
      <c r="AA2583" s="202" t="str">
        <f t="shared" si="41"/>
        <v>Чеснок</v>
      </c>
    </row>
    <row r="2584" spans="1:27" ht="15" customHeight="1" x14ac:dyDescent="0.25">
      <c r="A2584" t="s">
        <v>153</v>
      </c>
      <c r="L2584"/>
      <c r="M2584"/>
      <c r="N2584"/>
      <c r="O2584"/>
      <c r="P2584"/>
      <c r="T2584">
        <v>1034</v>
      </c>
      <c r="U2584" s="7">
        <v>3</v>
      </c>
      <c r="V2584" t="s">
        <v>1058</v>
      </c>
      <c r="W2584" s="257" t="s">
        <v>1116</v>
      </c>
      <c r="X2584" t="s">
        <v>1117</v>
      </c>
      <c r="Y2584" s="316" t="s">
        <v>61</v>
      </c>
      <c r="Z2584" s="8">
        <v>8</v>
      </c>
      <c r="AA2584" s="202" t="str">
        <f t="shared" si="41"/>
        <v>Масло растительное</v>
      </c>
    </row>
    <row r="2585" spans="1:27" ht="15" customHeight="1" x14ac:dyDescent="0.25">
      <c r="A2585" t="s">
        <v>153</v>
      </c>
      <c r="L2585"/>
      <c r="M2585"/>
      <c r="N2585"/>
      <c r="O2585"/>
      <c r="P2585"/>
      <c r="T2585">
        <v>1035</v>
      </c>
      <c r="U2585" s="7">
        <v>3</v>
      </c>
      <c r="V2585" t="s">
        <v>1058</v>
      </c>
      <c r="W2585" s="257" t="s">
        <v>1116</v>
      </c>
      <c r="X2585" t="s">
        <v>1117</v>
      </c>
      <c r="Y2585" s="316" t="s">
        <v>486</v>
      </c>
      <c r="Z2585" s="8">
        <v>0.5</v>
      </c>
      <c r="AA2585" s="202" t="str">
        <f t="shared" si="41"/>
        <v>Уксус</v>
      </c>
    </row>
    <row r="2586" spans="1:27" ht="15" customHeight="1" x14ac:dyDescent="0.25">
      <c r="A2586" t="s">
        <v>153</v>
      </c>
      <c r="L2586"/>
      <c r="M2586"/>
      <c r="N2586"/>
      <c r="O2586"/>
      <c r="P2586"/>
      <c r="T2586">
        <v>1036</v>
      </c>
      <c r="U2586" s="7">
        <v>3</v>
      </c>
      <c r="V2586" t="s">
        <v>1058</v>
      </c>
      <c r="W2586" s="257" t="s">
        <v>1116</v>
      </c>
      <c r="X2586" t="s">
        <v>1117</v>
      </c>
      <c r="Y2586" s="316" t="s">
        <v>326</v>
      </c>
      <c r="Z2586" s="8">
        <v>2</v>
      </c>
      <c r="AA2586" s="202" t="str">
        <f t="shared" si="41"/>
        <v>Соль</v>
      </c>
    </row>
    <row r="2587" spans="1:27" ht="15" customHeight="1" x14ac:dyDescent="0.25">
      <c r="A2587" t="s">
        <v>153</v>
      </c>
      <c r="L2587"/>
      <c r="M2587"/>
      <c r="N2587"/>
      <c r="O2587"/>
      <c r="P2587"/>
      <c r="T2587">
        <v>1037</v>
      </c>
      <c r="U2587" s="7">
        <v>3</v>
      </c>
      <c r="V2587" t="s">
        <v>1058</v>
      </c>
      <c r="W2587" s="257" t="s">
        <v>1116</v>
      </c>
      <c r="X2587" t="s">
        <v>1117</v>
      </c>
      <c r="Y2587" s="316" t="s">
        <v>48</v>
      </c>
      <c r="Z2587" s="8">
        <v>140</v>
      </c>
      <c r="AA2587" s="202" t="str">
        <f t="shared" si="41"/>
        <v>Свекла</v>
      </c>
    </row>
    <row r="2588" spans="1:27" ht="15" customHeight="1" x14ac:dyDescent="0.25">
      <c r="A2588" t="s">
        <v>153</v>
      </c>
      <c r="L2588"/>
      <c r="M2588"/>
      <c r="N2588"/>
      <c r="O2588"/>
      <c r="P2588"/>
      <c r="T2588">
        <v>1038</v>
      </c>
      <c r="U2588" s="7">
        <v>3</v>
      </c>
      <c r="V2588" t="s">
        <v>1058</v>
      </c>
      <c r="W2588" s="257" t="s">
        <v>1116</v>
      </c>
      <c r="X2588" t="s">
        <v>1117</v>
      </c>
      <c r="Y2588" s="316" t="s">
        <v>558</v>
      </c>
      <c r="Z2588" s="8">
        <v>124</v>
      </c>
      <c r="AA2588" s="202" t="str">
        <f t="shared" si="41"/>
        <v>Общая масса готового блюда, г</v>
      </c>
    </row>
    <row r="2589" spans="1:27" ht="15" customHeight="1" x14ac:dyDescent="0.25">
      <c r="A2589" t="s">
        <v>153</v>
      </c>
      <c r="L2589"/>
      <c r="M2589"/>
      <c r="N2589"/>
      <c r="O2589"/>
      <c r="P2589"/>
      <c r="T2589">
        <v>1039</v>
      </c>
      <c r="U2589" s="7">
        <v>3</v>
      </c>
      <c r="V2589" t="s">
        <v>1058</v>
      </c>
      <c r="W2589" s="257" t="s">
        <v>1116</v>
      </c>
      <c r="X2589" t="s">
        <v>1117</v>
      </c>
      <c r="Y2589" s="316" t="s">
        <v>109</v>
      </c>
      <c r="Z2589" s="8">
        <v>175</v>
      </c>
      <c r="AA2589" s="202" t="str">
        <f t="shared" si="41"/>
        <v>ОКГ</v>
      </c>
    </row>
    <row r="2590" spans="1:27" ht="15" customHeight="1" x14ac:dyDescent="0.25">
      <c r="A2590" t="s">
        <v>153</v>
      </c>
      <c r="L2590"/>
      <c r="M2590"/>
      <c r="N2590"/>
      <c r="O2590"/>
      <c r="P2590"/>
      <c r="T2590">
        <v>1015</v>
      </c>
      <c r="U2590" s="7">
        <v>3</v>
      </c>
      <c r="V2590" t="s">
        <v>1058</v>
      </c>
      <c r="W2590" s="257" t="s">
        <v>1118</v>
      </c>
      <c r="X2590" t="s">
        <v>1119</v>
      </c>
      <c r="Y2590" s="316" t="s">
        <v>445</v>
      </c>
      <c r="Z2590" s="8">
        <v>155</v>
      </c>
      <c r="AA2590" s="202" t="str">
        <f t="shared" si="41"/>
        <v>Огурцы консерв.</v>
      </c>
    </row>
    <row r="2591" spans="1:27" ht="15" customHeight="1" x14ac:dyDescent="0.25">
      <c r="A2591" t="s">
        <v>153</v>
      </c>
      <c r="L2591"/>
      <c r="M2591"/>
      <c r="N2591"/>
      <c r="O2591"/>
      <c r="P2591"/>
      <c r="T2591">
        <v>1016</v>
      </c>
      <c r="U2591" s="7">
        <v>3</v>
      </c>
      <c r="V2591" t="s">
        <v>1058</v>
      </c>
      <c r="W2591" s="257" t="s">
        <v>1118</v>
      </c>
      <c r="X2591" t="s">
        <v>1119</v>
      </c>
      <c r="Y2591" s="316" t="s">
        <v>32</v>
      </c>
      <c r="Z2591" s="8">
        <v>20</v>
      </c>
      <c r="AA2591" s="202" t="str">
        <f t="shared" si="41"/>
        <v>Лук репчатый</v>
      </c>
    </row>
    <row r="2592" spans="1:27" ht="15" customHeight="1" x14ac:dyDescent="0.25">
      <c r="A2592" t="s">
        <v>153</v>
      </c>
      <c r="L2592"/>
      <c r="M2592"/>
      <c r="N2592"/>
      <c r="O2592"/>
      <c r="P2592"/>
      <c r="T2592">
        <v>1017</v>
      </c>
      <c r="U2592" s="7">
        <v>3</v>
      </c>
      <c r="V2592" t="s">
        <v>1058</v>
      </c>
      <c r="W2592" s="257" t="s">
        <v>1118</v>
      </c>
      <c r="X2592" t="s">
        <v>1119</v>
      </c>
      <c r="Y2592" s="316" t="s">
        <v>61</v>
      </c>
      <c r="Z2592" s="8">
        <v>8</v>
      </c>
      <c r="AA2592" s="202" t="str">
        <f t="shared" si="41"/>
        <v>Масло растительное</v>
      </c>
    </row>
    <row r="2593" spans="1:27" ht="15" customHeight="1" x14ac:dyDescent="0.25">
      <c r="A2593" t="s">
        <v>153</v>
      </c>
      <c r="L2593"/>
      <c r="M2593"/>
      <c r="N2593"/>
      <c r="O2593"/>
      <c r="P2593"/>
      <c r="T2593">
        <v>1018</v>
      </c>
      <c r="U2593" s="7">
        <v>3</v>
      </c>
      <c r="V2593" t="s">
        <v>1058</v>
      </c>
      <c r="W2593" s="257" t="s">
        <v>1118</v>
      </c>
      <c r="X2593" t="s">
        <v>1119</v>
      </c>
      <c r="Y2593" s="316" t="s">
        <v>558</v>
      </c>
      <c r="Z2593" s="8">
        <v>102</v>
      </c>
      <c r="AA2593" s="202" t="str">
        <f t="shared" si="41"/>
        <v>Общая масса готового блюда, г</v>
      </c>
    </row>
    <row r="2594" spans="1:27" ht="15" customHeight="1" x14ac:dyDescent="0.25">
      <c r="A2594" t="s">
        <v>153</v>
      </c>
      <c r="L2594"/>
      <c r="M2594"/>
      <c r="N2594"/>
      <c r="O2594"/>
      <c r="P2594"/>
      <c r="T2594">
        <v>1019</v>
      </c>
      <c r="U2594" s="7">
        <v>3</v>
      </c>
      <c r="V2594" t="s">
        <v>1058</v>
      </c>
      <c r="W2594" s="257" t="s">
        <v>1118</v>
      </c>
      <c r="X2594" t="s">
        <v>1119</v>
      </c>
      <c r="Y2594" s="316" t="s">
        <v>109</v>
      </c>
      <c r="Z2594" s="8">
        <v>175</v>
      </c>
      <c r="AA2594" s="202" t="str">
        <f t="shared" si="41"/>
        <v>ОКГ</v>
      </c>
    </row>
    <row r="2595" spans="1:27" ht="15" customHeight="1" x14ac:dyDescent="0.25">
      <c r="A2595" t="s">
        <v>153</v>
      </c>
      <c r="L2595"/>
      <c r="M2595"/>
      <c r="N2595"/>
      <c r="O2595"/>
      <c r="P2595"/>
      <c r="T2595">
        <v>1015</v>
      </c>
      <c r="U2595" s="7">
        <v>3</v>
      </c>
      <c r="V2595" t="s">
        <v>1058</v>
      </c>
      <c r="W2595" s="257" t="s">
        <v>1354</v>
      </c>
      <c r="X2595" t="s">
        <v>1355</v>
      </c>
      <c r="Y2595" s="316" t="s">
        <v>445</v>
      </c>
      <c r="Z2595" s="8">
        <v>105</v>
      </c>
      <c r="AA2595" s="202" t="str">
        <f t="shared" si="41"/>
        <v>Огурцы консерв.</v>
      </c>
    </row>
    <row r="2596" spans="1:27" ht="15" customHeight="1" x14ac:dyDescent="0.25">
      <c r="A2596" t="s">
        <v>153</v>
      </c>
      <c r="L2596"/>
      <c r="M2596"/>
      <c r="N2596"/>
      <c r="O2596"/>
      <c r="P2596"/>
      <c r="T2596">
        <v>1016</v>
      </c>
      <c r="U2596" s="7">
        <v>3</v>
      </c>
      <c r="V2596" t="s">
        <v>1058</v>
      </c>
      <c r="W2596" s="257" t="s">
        <v>1354</v>
      </c>
      <c r="X2596" t="s">
        <v>1355</v>
      </c>
      <c r="Y2596" s="316" t="s">
        <v>32</v>
      </c>
      <c r="Z2596" s="8">
        <v>5</v>
      </c>
      <c r="AA2596" s="202" t="str">
        <f t="shared" si="41"/>
        <v>Лук репчатый</v>
      </c>
    </row>
    <row r="2597" spans="1:27" ht="15" customHeight="1" x14ac:dyDescent="0.25">
      <c r="A2597" t="s">
        <v>153</v>
      </c>
      <c r="L2597"/>
      <c r="M2597"/>
      <c r="N2597"/>
      <c r="O2597"/>
      <c r="P2597"/>
      <c r="T2597">
        <v>1017</v>
      </c>
      <c r="U2597" s="7">
        <v>3</v>
      </c>
      <c r="V2597" t="s">
        <v>1058</v>
      </c>
      <c r="W2597" s="257" t="s">
        <v>1354</v>
      </c>
      <c r="X2597" t="s">
        <v>1355</v>
      </c>
      <c r="Y2597" s="316" t="s">
        <v>61</v>
      </c>
      <c r="Z2597" s="8">
        <v>8</v>
      </c>
      <c r="AA2597" s="202" t="str">
        <f t="shared" si="41"/>
        <v>Масло растительное</v>
      </c>
    </row>
    <row r="2598" spans="1:27" ht="15" customHeight="1" x14ac:dyDescent="0.25">
      <c r="A2598" t="s">
        <v>153</v>
      </c>
      <c r="L2598"/>
      <c r="M2598"/>
      <c r="N2598"/>
      <c r="O2598"/>
      <c r="P2598"/>
      <c r="T2598">
        <v>1018</v>
      </c>
      <c r="U2598" s="7">
        <v>3</v>
      </c>
      <c r="V2598" t="s">
        <v>1058</v>
      </c>
      <c r="W2598" s="257" t="s">
        <v>1354</v>
      </c>
      <c r="X2598" t="s">
        <v>1355</v>
      </c>
      <c r="Y2598" s="316" t="s">
        <v>558</v>
      </c>
      <c r="Z2598" s="8">
        <v>65</v>
      </c>
      <c r="AA2598" s="202" t="str">
        <f t="shared" si="41"/>
        <v>Общая масса готового блюда, г</v>
      </c>
    </row>
    <row r="2599" spans="1:27" ht="15" customHeight="1" x14ac:dyDescent="0.25">
      <c r="A2599" t="s">
        <v>153</v>
      </c>
      <c r="L2599"/>
      <c r="M2599"/>
      <c r="N2599"/>
      <c r="O2599"/>
      <c r="P2599"/>
      <c r="T2599">
        <v>1019</v>
      </c>
      <c r="U2599" s="7">
        <v>3</v>
      </c>
      <c r="V2599" t="s">
        <v>1058</v>
      </c>
      <c r="W2599" s="257" t="s">
        <v>1354</v>
      </c>
      <c r="X2599" t="s">
        <v>1355</v>
      </c>
      <c r="Y2599" s="316" t="s">
        <v>109</v>
      </c>
      <c r="Z2599" s="8">
        <v>110</v>
      </c>
      <c r="AA2599" s="202" t="str">
        <f t="shared" si="41"/>
        <v>ОКГ</v>
      </c>
    </row>
    <row r="2600" spans="1:27" ht="15" customHeight="1" x14ac:dyDescent="0.25">
      <c r="A2600" t="s">
        <v>153</v>
      </c>
      <c r="L2600"/>
      <c r="M2600"/>
      <c r="N2600"/>
      <c r="O2600"/>
      <c r="P2600"/>
      <c r="T2600">
        <v>1020</v>
      </c>
      <c r="U2600" s="7">
        <v>3</v>
      </c>
      <c r="V2600" t="s">
        <v>1058</v>
      </c>
      <c r="W2600" s="257" t="s">
        <v>1356</v>
      </c>
      <c r="X2600" t="s">
        <v>1357</v>
      </c>
      <c r="Y2600" s="316" t="s">
        <v>449</v>
      </c>
      <c r="Z2600" s="8">
        <v>105</v>
      </c>
      <c r="AA2600" s="202" t="str">
        <f t="shared" si="41"/>
        <v>Помидоры консерв.</v>
      </c>
    </row>
    <row r="2601" spans="1:27" ht="15" customHeight="1" x14ac:dyDescent="0.25">
      <c r="A2601" t="s">
        <v>153</v>
      </c>
      <c r="L2601"/>
      <c r="M2601"/>
      <c r="N2601"/>
      <c r="O2601"/>
      <c r="P2601"/>
      <c r="T2601">
        <v>1021</v>
      </c>
      <c r="U2601" s="7">
        <v>3</v>
      </c>
      <c r="V2601" t="s">
        <v>1058</v>
      </c>
      <c r="W2601" s="257" t="s">
        <v>1356</v>
      </c>
      <c r="X2601" t="s">
        <v>1357</v>
      </c>
      <c r="Y2601" s="316" t="s">
        <v>32</v>
      </c>
      <c r="Z2601" s="8">
        <v>5</v>
      </c>
      <c r="AA2601" s="202" t="str">
        <f t="shared" si="41"/>
        <v>Лук репчатый</v>
      </c>
    </row>
    <row r="2602" spans="1:27" ht="15" customHeight="1" x14ac:dyDescent="0.25">
      <c r="A2602" t="s">
        <v>153</v>
      </c>
      <c r="L2602"/>
      <c r="M2602"/>
      <c r="N2602"/>
      <c r="O2602"/>
      <c r="P2602"/>
      <c r="T2602">
        <v>1022</v>
      </c>
      <c r="U2602" s="7">
        <v>3</v>
      </c>
      <c r="V2602" t="s">
        <v>1058</v>
      </c>
      <c r="W2602" s="257" t="s">
        <v>1356</v>
      </c>
      <c r="X2602" t="s">
        <v>1357</v>
      </c>
      <c r="Y2602" s="316" t="s">
        <v>61</v>
      </c>
      <c r="Z2602" s="8">
        <v>8</v>
      </c>
      <c r="AA2602" s="202" t="str">
        <f t="shared" si="41"/>
        <v>Масло растительное</v>
      </c>
    </row>
    <row r="2603" spans="1:27" ht="15" customHeight="1" x14ac:dyDescent="0.25">
      <c r="A2603" t="s">
        <v>153</v>
      </c>
      <c r="L2603"/>
      <c r="M2603"/>
      <c r="N2603"/>
      <c r="O2603"/>
      <c r="P2603"/>
      <c r="T2603">
        <v>1023</v>
      </c>
      <c r="U2603" s="7">
        <v>3</v>
      </c>
      <c r="V2603" t="s">
        <v>1058</v>
      </c>
      <c r="W2603" s="257" t="s">
        <v>1356</v>
      </c>
      <c r="X2603" t="s">
        <v>1357</v>
      </c>
      <c r="Y2603" s="316" t="s">
        <v>558</v>
      </c>
      <c r="Z2603" s="8">
        <v>110</v>
      </c>
      <c r="AA2603" s="202" t="str">
        <f t="shared" si="41"/>
        <v>Общая масса готового блюда, г</v>
      </c>
    </row>
    <row r="2604" spans="1:27" ht="15" customHeight="1" x14ac:dyDescent="0.25">
      <c r="A2604" t="s">
        <v>153</v>
      </c>
      <c r="L2604"/>
      <c r="M2604"/>
      <c r="N2604"/>
      <c r="O2604"/>
      <c r="P2604"/>
      <c r="T2604">
        <v>1024</v>
      </c>
      <c r="U2604" s="7">
        <v>3</v>
      </c>
      <c r="V2604" t="s">
        <v>1058</v>
      </c>
      <c r="W2604" s="257" t="s">
        <v>1356</v>
      </c>
      <c r="X2604" t="s">
        <v>1357</v>
      </c>
      <c r="Y2604" s="316" t="s">
        <v>109</v>
      </c>
      <c r="Z2604" s="8">
        <v>62</v>
      </c>
      <c r="AA2604" s="202" t="str">
        <f t="shared" si="41"/>
        <v>ОКГ</v>
      </c>
    </row>
    <row r="2605" spans="1:27" ht="15" customHeight="1" x14ac:dyDescent="0.25">
      <c r="A2605" t="s">
        <v>153</v>
      </c>
      <c r="L2605"/>
      <c r="M2605"/>
      <c r="N2605"/>
      <c r="O2605"/>
      <c r="P2605"/>
      <c r="T2605">
        <v>1020</v>
      </c>
      <c r="U2605" s="7">
        <v>3</v>
      </c>
      <c r="V2605" t="s">
        <v>1058</v>
      </c>
      <c r="W2605" s="257" t="s">
        <v>1120</v>
      </c>
      <c r="X2605" t="s">
        <v>1121</v>
      </c>
      <c r="Y2605" s="316" t="s">
        <v>449</v>
      </c>
      <c r="Z2605" s="8">
        <v>150</v>
      </c>
      <c r="AA2605" s="202" t="str">
        <f t="shared" si="41"/>
        <v>Помидоры консерв.</v>
      </c>
    </row>
    <row r="2606" spans="1:27" ht="15" customHeight="1" x14ac:dyDescent="0.25">
      <c r="A2606" t="s">
        <v>153</v>
      </c>
      <c r="L2606"/>
      <c r="M2606"/>
      <c r="N2606"/>
      <c r="O2606"/>
      <c r="P2606"/>
      <c r="T2606">
        <v>1021</v>
      </c>
      <c r="U2606" s="7">
        <v>3</v>
      </c>
      <c r="V2606" t="s">
        <v>1058</v>
      </c>
      <c r="W2606" s="257" t="s">
        <v>1120</v>
      </c>
      <c r="X2606" t="s">
        <v>1121</v>
      </c>
      <c r="Y2606" s="316" t="s">
        <v>32</v>
      </c>
      <c r="Z2606" s="8">
        <v>25</v>
      </c>
      <c r="AA2606" s="202" t="str">
        <f t="shared" si="41"/>
        <v>Лук репчатый</v>
      </c>
    </row>
    <row r="2607" spans="1:27" ht="15" customHeight="1" x14ac:dyDescent="0.25">
      <c r="A2607" t="s">
        <v>153</v>
      </c>
      <c r="L2607"/>
      <c r="M2607"/>
      <c r="N2607"/>
      <c r="O2607"/>
      <c r="P2607"/>
      <c r="T2607">
        <v>1022</v>
      </c>
      <c r="U2607" s="7">
        <v>3</v>
      </c>
      <c r="V2607" t="s">
        <v>1058</v>
      </c>
      <c r="W2607" s="257" t="s">
        <v>1120</v>
      </c>
      <c r="X2607" t="s">
        <v>1121</v>
      </c>
      <c r="Y2607" s="316" t="s">
        <v>61</v>
      </c>
      <c r="Z2607" s="8">
        <v>8</v>
      </c>
      <c r="AA2607" s="202" t="str">
        <f t="shared" si="41"/>
        <v>Масло растительное</v>
      </c>
    </row>
    <row r="2608" spans="1:27" ht="15" customHeight="1" x14ac:dyDescent="0.25">
      <c r="A2608" t="s">
        <v>153</v>
      </c>
      <c r="L2608"/>
      <c r="M2608"/>
      <c r="N2608"/>
      <c r="O2608"/>
      <c r="P2608"/>
      <c r="T2608">
        <v>1023</v>
      </c>
      <c r="U2608" s="7">
        <v>3</v>
      </c>
      <c r="V2608" t="s">
        <v>1058</v>
      </c>
      <c r="W2608" s="257" t="s">
        <v>1120</v>
      </c>
      <c r="X2608" t="s">
        <v>1121</v>
      </c>
      <c r="Y2608" s="316" t="s">
        <v>558</v>
      </c>
      <c r="Z2608" s="8">
        <v>99</v>
      </c>
      <c r="AA2608" s="202" t="str">
        <f t="shared" si="41"/>
        <v>Общая масса готового блюда, г</v>
      </c>
    </row>
    <row r="2609" spans="1:27" ht="15" customHeight="1" x14ac:dyDescent="0.25">
      <c r="A2609" t="s">
        <v>153</v>
      </c>
      <c r="L2609"/>
      <c r="M2609"/>
      <c r="N2609"/>
      <c r="O2609"/>
      <c r="P2609"/>
      <c r="T2609">
        <v>1024</v>
      </c>
      <c r="U2609" s="7">
        <v>3</v>
      </c>
      <c r="V2609" t="s">
        <v>1058</v>
      </c>
      <c r="W2609" s="257" t="s">
        <v>1120</v>
      </c>
      <c r="X2609" t="s">
        <v>1121</v>
      </c>
      <c r="Y2609" s="316" t="s">
        <v>109</v>
      </c>
      <c r="Z2609" s="8">
        <v>175</v>
      </c>
      <c r="AA2609" s="202" t="str">
        <f t="shared" si="41"/>
        <v>ОКГ</v>
      </c>
    </row>
    <row r="2610" spans="1:27" ht="15" customHeight="1" x14ac:dyDescent="0.25">
      <c r="A2610" t="s">
        <v>153</v>
      </c>
      <c r="L2610"/>
      <c r="M2610"/>
      <c r="N2610"/>
      <c r="O2610"/>
      <c r="P2610"/>
      <c r="T2610">
        <v>1065</v>
      </c>
      <c r="U2610" s="7">
        <v>3</v>
      </c>
      <c r="V2610" t="s">
        <v>1058</v>
      </c>
      <c r="W2610" s="257" t="s">
        <v>1358</v>
      </c>
      <c r="X2610" t="s">
        <v>1359</v>
      </c>
      <c r="Y2610" s="316" t="s">
        <v>45</v>
      </c>
      <c r="Z2610" s="8">
        <v>105</v>
      </c>
      <c r="AA2610" s="202" t="str">
        <f t="shared" si="41"/>
        <v>Картофель</v>
      </c>
    </row>
    <row r="2611" spans="1:27" ht="15" customHeight="1" x14ac:dyDescent="0.25">
      <c r="A2611" t="s">
        <v>153</v>
      </c>
      <c r="L2611"/>
      <c r="M2611"/>
      <c r="N2611"/>
      <c r="O2611"/>
      <c r="P2611"/>
      <c r="T2611">
        <v>1066</v>
      </c>
      <c r="U2611" s="7">
        <v>3</v>
      </c>
      <c r="V2611" t="s">
        <v>1058</v>
      </c>
      <c r="W2611" s="257" t="s">
        <v>1358</v>
      </c>
      <c r="X2611" t="s">
        <v>1359</v>
      </c>
      <c r="Y2611" s="316" t="s">
        <v>32</v>
      </c>
      <c r="Z2611" s="8">
        <v>5</v>
      </c>
      <c r="AA2611" s="202" t="str">
        <f t="shared" si="41"/>
        <v>Лук репчатый</v>
      </c>
    </row>
    <row r="2612" spans="1:27" ht="15" customHeight="1" x14ac:dyDescent="0.25">
      <c r="A2612" t="s">
        <v>153</v>
      </c>
      <c r="L2612"/>
      <c r="M2612"/>
      <c r="N2612"/>
      <c r="O2612"/>
      <c r="P2612"/>
      <c r="T2612">
        <v>1067</v>
      </c>
      <c r="U2612" s="7">
        <v>3</v>
      </c>
      <c r="V2612" t="s">
        <v>1058</v>
      </c>
      <c r="W2612" s="257" t="s">
        <v>1358</v>
      </c>
      <c r="X2612" t="s">
        <v>1359</v>
      </c>
      <c r="Y2612" s="316" t="s">
        <v>61</v>
      </c>
      <c r="Z2612" s="8">
        <v>8</v>
      </c>
      <c r="AA2612" s="202" t="str">
        <f t="shared" si="41"/>
        <v>Масло растительное</v>
      </c>
    </row>
    <row r="2613" spans="1:27" ht="15" customHeight="1" x14ac:dyDescent="0.25">
      <c r="A2613" t="s">
        <v>153</v>
      </c>
      <c r="L2613"/>
      <c r="M2613"/>
      <c r="N2613"/>
      <c r="O2613"/>
      <c r="P2613"/>
      <c r="T2613">
        <v>1069</v>
      </c>
      <c r="U2613" s="7">
        <v>3</v>
      </c>
      <c r="V2613" t="s">
        <v>1058</v>
      </c>
      <c r="W2613" s="257" t="s">
        <v>1358</v>
      </c>
      <c r="X2613" t="s">
        <v>1359</v>
      </c>
      <c r="Y2613" s="316" t="s">
        <v>326</v>
      </c>
      <c r="Z2613" s="8">
        <v>2</v>
      </c>
      <c r="AA2613" s="202" t="str">
        <f t="shared" si="41"/>
        <v>Соль</v>
      </c>
    </row>
    <row r="2614" spans="1:27" ht="15" customHeight="1" x14ac:dyDescent="0.25">
      <c r="A2614" t="s">
        <v>153</v>
      </c>
      <c r="L2614"/>
      <c r="M2614"/>
      <c r="N2614"/>
      <c r="O2614"/>
      <c r="P2614"/>
      <c r="T2614">
        <v>1070</v>
      </c>
      <c r="U2614" s="7">
        <v>3</v>
      </c>
      <c r="V2614" t="s">
        <v>1058</v>
      </c>
      <c r="W2614" s="257" t="s">
        <v>1358</v>
      </c>
      <c r="X2614" t="s">
        <v>1359</v>
      </c>
      <c r="Y2614" s="316" t="s">
        <v>558</v>
      </c>
      <c r="Z2614" s="8">
        <v>98</v>
      </c>
      <c r="AA2614" s="202" t="str">
        <f t="shared" si="41"/>
        <v>Общая масса готового блюда, г</v>
      </c>
    </row>
    <row r="2615" spans="1:27" ht="15" customHeight="1" x14ac:dyDescent="0.25">
      <c r="A2615" t="s">
        <v>153</v>
      </c>
      <c r="L2615"/>
      <c r="M2615"/>
      <c r="N2615"/>
      <c r="O2615"/>
      <c r="P2615"/>
      <c r="T2615">
        <v>1071</v>
      </c>
      <c r="U2615" s="7">
        <v>3</v>
      </c>
      <c r="V2615" t="s">
        <v>1058</v>
      </c>
      <c r="W2615" s="257" t="s">
        <v>1358</v>
      </c>
      <c r="X2615" t="s">
        <v>1359</v>
      </c>
      <c r="Y2615" s="316" t="s">
        <v>109</v>
      </c>
      <c r="Z2615" s="8">
        <v>95</v>
      </c>
      <c r="AA2615" s="202" t="str">
        <f t="shared" si="41"/>
        <v>ОКГ</v>
      </c>
    </row>
    <row r="2616" spans="1:27" ht="15" customHeight="1" x14ac:dyDescent="0.25">
      <c r="A2616" t="s">
        <v>153</v>
      </c>
      <c r="L2616"/>
      <c r="M2616"/>
      <c r="N2616"/>
      <c r="O2616"/>
      <c r="P2616"/>
      <c r="T2616">
        <v>1081</v>
      </c>
      <c r="U2616" s="7">
        <v>3</v>
      </c>
      <c r="V2616" t="s">
        <v>1058</v>
      </c>
      <c r="W2616" s="257" t="s">
        <v>1122</v>
      </c>
      <c r="X2616" t="s">
        <v>1123</v>
      </c>
      <c r="Y2616" s="316" t="s">
        <v>440</v>
      </c>
      <c r="Z2616" s="8">
        <v>20</v>
      </c>
      <c r="AA2616" s="202" t="str">
        <f t="shared" si="41"/>
        <v>Горошек консерв.</v>
      </c>
    </row>
    <row r="2617" spans="1:27" ht="15" customHeight="1" x14ac:dyDescent="0.25">
      <c r="A2617" t="s">
        <v>153</v>
      </c>
      <c r="L2617"/>
      <c r="M2617"/>
      <c r="N2617"/>
      <c r="O2617"/>
      <c r="P2617"/>
      <c r="T2617">
        <v>1082</v>
      </c>
      <c r="U2617" s="7">
        <v>3</v>
      </c>
      <c r="V2617" t="s">
        <v>1058</v>
      </c>
      <c r="W2617" s="257" t="s">
        <v>1122</v>
      </c>
      <c r="X2617" t="s">
        <v>1123</v>
      </c>
      <c r="Y2617" s="316" t="s">
        <v>61</v>
      </c>
      <c r="Z2617" s="8">
        <v>8</v>
      </c>
      <c r="AA2617" s="202" t="str">
        <f t="shared" si="41"/>
        <v>Масло растительное</v>
      </c>
    </row>
    <row r="2618" spans="1:27" ht="15" customHeight="1" x14ac:dyDescent="0.25">
      <c r="A2618" t="s">
        <v>153</v>
      </c>
      <c r="L2618"/>
      <c r="M2618"/>
      <c r="N2618"/>
      <c r="O2618"/>
      <c r="P2618"/>
      <c r="T2618">
        <v>1083</v>
      </c>
      <c r="U2618" s="7">
        <v>3</v>
      </c>
      <c r="V2618" t="s">
        <v>1058</v>
      </c>
      <c r="W2618" s="257" t="s">
        <v>1122</v>
      </c>
      <c r="X2618" t="s">
        <v>1123</v>
      </c>
      <c r="Y2618" s="316" t="s">
        <v>326</v>
      </c>
      <c r="Z2618" s="8">
        <v>2</v>
      </c>
      <c r="AA2618" s="202" t="str">
        <f t="shared" si="41"/>
        <v>Соль</v>
      </c>
    </row>
    <row r="2619" spans="1:27" ht="15" customHeight="1" x14ac:dyDescent="0.25">
      <c r="A2619" t="s">
        <v>153</v>
      </c>
      <c r="L2619"/>
      <c r="M2619"/>
      <c r="N2619"/>
      <c r="O2619"/>
      <c r="P2619"/>
      <c r="T2619">
        <v>1084</v>
      </c>
      <c r="U2619" s="7">
        <v>3</v>
      </c>
      <c r="V2619" t="s">
        <v>1058</v>
      </c>
      <c r="W2619" s="257" t="s">
        <v>1122</v>
      </c>
      <c r="X2619" t="s">
        <v>1123</v>
      </c>
      <c r="Y2619" s="316" t="s">
        <v>45</v>
      </c>
      <c r="Z2619" s="8">
        <v>100</v>
      </c>
      <c r="AA2619" s="202" t="str">
        <f t="shared" si="41"/>
        <v>Картофель</v>
      </c>
    </row>
    <row r="2620" spans="1:27" ht="15" customHeight="1" x14ac:dyDescent="0.25">
      <c r="A2620" t="s">
        <v>153</v>
      </c>
      <c r="L2620"/>
      <c r="M2620"/>
      <c r="N2620"/>
      <c r="O2620"/>
      <c r="P2620"/>
      <c r="T2620">
        <v>1085</v>
      </c>
      <c r="U2620" s="7">
        <v>3</v>
      </c>
      <c r="V2620" t="s">
        <v>1058</v>
      </c>
      <c r="W2620" s="257" t="s">
        <v>1122</v>
      </c>
      <c r="X2620" t="s">
        <v>1123</v>
      </c>
      <c r="Y2620" s="316" t="s">
        <v>558</v>
      </c>
      <c r="Z2620" s="8">
        <v>104</v>
      </c>
      <c r="AA2620" s="202" t="str">
        <f t="shared" si="41"/>
        <v>Общая масса готового блюда, г</v>
      </c>
    </row>
    <row r="2621" spans="1:27" ht="15" customHeight="1" x14ac:dyDescent="0.25">
      <c r="A2621" t="s">
        <v>153</v>
      </c>
      <c r="L2621"/>
      <c r="M2621"/>
      <c r="N2621"/>
      <c r="O2621"/>
      <c r="P2621"/>
      <c r="T2621">
        <v>1086</v>
      </c>
      <c r="U2621" s="7">
        <v>3</v>
      </c>
      <c r="V2621" t="s">
        <v>1058</v>
      </c>
      <c r="W2621" s="257" t="s">
        <v>1122</v>
      </c>
      <c r="X2621" t="s">
        <v>1123</v>
      </c>
      <c r="Y2621" s="316" t="s">
        <v>109</v>
      </c>
      <c r="Z2621" s="8">
        <v>175</v>
      </c>
      <c r="AA2621" s="202" t="str">
        <f t="shared" si="41"/>
        <v>ОКГ</v>
      </c>
    </row>
    <row r="2622" spans="1:27" ht="15" customHeight="1" x14ac:dyDescent="0.25">
      <c r="A2622" t="s">
        <v>153</v>
      </c>
      <c r="L2622"/>
      <c r="M2622"/>
      <c r="N2622"/>
      <c r="O2622"/>
      <c r="P2622"/>
      <c r="T2622">
        <v>1065</v>
      </c>
      <c r="U2622" s="7">
        <v>3</v>
      </c>
      <c r="V2622" t="s">
        <v>1058</v>
      </c>
      <c r="W2622" s="257" t="s">
        <v>1124</v>
      </c>
      <c r="X2622" t="s">
        <v>1125</v>
      </c>
      <c r="Y2622" s="316" t="s">
        <v>45</v>
      </c>
      <c r="Z2622" s="8">
        <v>100</v>
      </c>
      <c r="AA2622" s="202" t="str">
        <f t="shared" si="41"/>
        <v>Картофель</v>
      </c>
    </row>
    <row r="2623" spans="1:27" ht="15" customHeight="1" x14ac:dyDescent="0.25">
      <c r="A2623" t="s">
        <v>153</v>
      </c>
      <c r="L2623"/>
      <c r="M2623"/>
      <c r="N2623"/>
      <c r="O2623"/>
      <c r="P2623"/>
      <c r="T2623">
        <v>1066</v>
      </c>
      <c r="U2623" s="7">
        <v>3</v>
      </c>
      <c r="V2623" t="s">
        <v>1058</v>
      </c>
      <c r="W2623" s="257" t="s">
        <v>1124</v>
      </c>
      <c r="X2623" t="s">
        <v>1125</v>
      </c>
      <c r="Y2623" s="316" t="s">
        <v>32</v>
      </c>
      <c r="Z2623" s="8">
        <v>35</v>
      </c>
      <c r="AA2623" s="202" t="str">
        <f t="shared" si="41"/>
        <v>Лук репчатый</v>
      </c>
    </row>
    <row r="2624" spans="1:27" ht="15" customHeight="1" x14ac:dyDescent="0.25">
      <c r="A2624" t="s">
        <v>153</v>
      </c>
      <c r="L2624"/>
      <c r="M2624"/>
      <c r="N2624"/>
      <c r="O2624"/>
      <c r="P2624"/>
      <c r="T2624">
        <v>1067</v>
      </c>
      <c r="U2624" s="7">
        <v>3</v>
      </c>
      <c r="V2624" t="s">
        <v>1058</v>
      </c>
      <c r="W2624" s="257" t="s">
        <v>1124</v>
      </c>
      <c r="X2624" t="s">
        <v>1125</v>
      </c>
      <c r="Y2624" s="316" t="s">
        <v>61</v>
      </c>
      <c r="Z2624" s="8">
        <v>8</v>
      </c>
      <c r="AA2624" s="202" t="str">
        <f t="shared" si="41"/>
        <v>Масло растительное</v>
      </c>
    </row>
    <row r="2625" spans="1:27" ht="15" customHeight="1" x14ac:dyDescent="0.25">
      <c r="A2625" t="s">
        <v>153</v>
      </c>
      <c r="L2625"/>
      <c r="M2625"/>
      <c r="N2625"/>
      <c r="O2625"/>
      <c r="P2625"/>
      <c r="T2625">
        <v>1068</v>
      </c>
      <c r="U2625" s="7">
        <v>3</v>
      </c>
      <c r="V2625" t="s">
        <v>1058</v>
      </c>
      <c r="W2625" s="257" t="s">
        <v>1124</v>
      </c>
      <c r="X2625" t="s">
        <v>1125</v>
      </c>
      <c r="Y2625" s="316" t="s">
        <v>46</v>
      </c>
      <c r="Z2625" s="8">
        <v>40</v>
      </c>
      <c r="AA2625" s="202" t="str">
        <f t="shared" si="41"/>
        <v>Морковь</v>
      </c>
    </row>
    <row r="2626" spans="1:27" ht="15" customHeight="1" x14ac:dyDescent="0.25">
      <c r="A2626" t="s">
        <v>153</v>
      </c>
      <c r="L2626"/>
      <c r="M2626"/>
      <c r="N2626"/>
      <c r="O2626"/>
      <c r="P2626"/>
      <c r="T2626">
        <v>1069</v>
      </c>
      <c r="U2626" s="7">
        <v>3</v>
      </c>
      <c r="V2626" t="s">
        <v>1058</v>
      </c>
      <c r="W2626" s="257" t="s">
        <v>1124</v>
      </c>
      <c r="X2626" t="s">
        <v>1125</v>
      </c>
      <c r="Y2626" s="316" t="s">
        <v>326</v>
      </c>
      <c r="Z2626" s="8">
        <v>2</v>
      </c>
      <c r="AA2626" s="202" t="str">
        <f t="shared" ref="AA2626:AA2689" si="42">VLOOKUP(Y2626,O:P,2,FALSE)</f>
        <v>Соль</v>
      </c>
    </row>
    <row r="2627" spans="1:27" ht="15" customHeight="1" x14ac:dyDescent="0.25">
      <c r="A2627" t="s">
        <v>153</v>
      </c>
      <c r="L2627"/>
      <c r="M2627"/>
      <c r="N2627"/>
      <c r="O2627"/>
      <c r="P2627"/>
      <c r="T2627">
        <v>1070</v>
      </c>
      <c r="U2627" s="7">
        <v>3</v>
      </c>
      <c r="V2627" t="s">
        <v>1058</v>
      </c>
      <c r="W2627" s="257" t="s">
        <v>1124</v>
      </c>
      <c r="X2627" t="s">
        <v>1125</v>
      </c>
      <c r="Y2627" s="316" t="s">
        <v>558</v>
      </c>
      <c r="Z2627" s="8">
        <v>130</v>
      </c>
      <c r="AA2627" s="202" t="str">
        <f t="shared" si="42"/>
        <v>Общая масса готового блюда, г</v>
      </c>
    </row>
    <row r="2628" spans="1:27" ht="15" customHeight="1" x14ac:dyDescent="0.25">
      <c r="A2628" t="s">
        <v>153</v>
      </c>
      <c r="L2628"/>
      <c r="M2628"/>
      <c r="N2628"/>
      <c r="O2628"/>
      <c r="P2628"/>
      <c r="T2628">
        <v>1071</v>
      </c>
      <c r="U2628" s="7">
        <v>3</v>
      </c>
      <c r="V2628" t="s">
        <v>1058</v>
      </c>
      <c r="W2628" s="257" t="s">
        <v>1124</v>
      </c>
      <c r="X2628" t="s">
        <v>1125</v>
      </c>
      <c r="Y2628" s="316" t="s">
        <v>109</v>
      </c>
      <c r="Z2628" s="8">
        <v>175</v>
      </c>
      <c r="AA2628" s="202" t="str">
        <f t="shared" si="42"/>
        <v>ОКГ</v>
      </c>
    </row>
    <row r="2629" spans="1:27" ht="15" customHeight="1" x14ac:dyDescent="0.25">
      <c r="A2629" t="s">
        <v>153</v>
      </c>
      <c r="L2629"/>
      <c r="M2629"/>
      <c r="N2629"/>
      <c r="O2629"/>
      <c r="P2629"/>
      <c r="T2629">
        <v>1072</v>
      </c>
      <c r="U2629" s="7">
        <v>3</v>
      </c>
      <c r="V2629" t="s">
        <v>1058</v>
      </c>
      <c r="W2629" s="257" t="s">
        <v>1360</v>
      </c>
      <c r="X2629" t="s">
        <v>1361</v>
      </c>
      <c r="Y2629" s="316" t="s">
        <v>45</v>
      </c>
      <c r="Z2629" s="8">
        <v>60</v>
      </c>
      <c r="AA2629" s="202" t="str">
        <f t="shared" si="42"/>
        <v>Картофель</v>
      </c>
    </row>
    <row r="2630" spans="1:27" ht="15" customHeight="1" x14ac:dyDescent="0.25">
      <c r="A2630" t="s">
        <v>153</v>
      </c>
      <c r="L2630"/>
      <c r="M2630"/>
      <c r="N2630"/>
      <c r="O2630"/>
      <c r="P2630"/>
      <c r="T2630">
        <v>1073</v>
      </c>
      <c r="U2630" s="7">
        <v>3</v>
      </c>
      <c r="V2630" t="s">
        <v>1058</v>
      </c>
      <c r="W2630" s="257" t="s">
        <v>1360</v>
      </c>
      <c r="X2630" t="s">
        <v>1361</v>
      </c>
      <c r="Y2630" s="316" t="s">
        <v>446</v>
      </c>
      <c r="Z2630" s="8">
        <v>45</v>
      </c>
      <c r="AA2630" s="202" t="str">
        <f t="shared" si="42"/>
        <v>Огурцы свежие</v>
      </c>
    </row>
    <row r="2631" spans="1:27" ht="15" customHeight="1" x14ac:dyDescent="0.25">
      <c r="A2631" t="s">
        <v>153</v>
      </c>
      <c r="L2631"/>
      <c r="M2631"/>
      <c r="N2631"/>
      <c r="O2631"/>
      <c r="P2631"/>
      <c r="T2631">
        <v>1074</v>
      </c>
      <c r="U2631" s="7">
        <v>3</v>
      </c>
      <c r="V2631" t="s">
        <v>1058</v>
      </c>
      <c r="W2631" s="257" t="s">
        <v>1360</v>
      </c>
      <c r="X2631" t="s">
        <v>1361</v>
      </c>
      <c r="Y2631" s="316" t="s">
        <v>32</v>
      </c>
      <c r="Z2631" s="8">
        <v>5</v>
      </c>
      <c r="AA2631" s="202" t="str">
        <f t="shared" si="42"/>
        <v>Лук репчатый</v>
      </c>
    </row>
    <row r="2632" spans="1:27" ht="15" customHeight="1" x14ac:dyDescent="0.25">
      <c r="A2632" t="s">
        <v>153</v>
      </c>
      <c r="L2632"/>
      <c r="M2632"/>
      <c r="N2632"/>
      <c r="O2632"/>
      <c r="P2632"/>
      <c r="T2632">
        <v>1075</v>
      </c>
      <c r="U2632" s="7">
        <v>3</v>
      </c>
      <c r="V2632" t="s">
        <v>1058</v>
      </c>
      <c r="W2632" s="257" t="s">
        <v>1360</v>
      </c>
      <c r="X2632" t="s">
        <v>1361</v>
      </c>
      <c r="Y2632" s="316" t="s">
        <v>61</v>
      </c>
      <c r="Z2632" s="8">
        <v>8</v>
      </c>
      <c r="AA2632" s="202" t="str">
        <f t="shared" si="42"/>
        <v>Масло растительное</v>
      </c>
    </row>
    <row r="2633" spans="1:27" ht="15" customHeight="1" x14ac:dyDescent="0.25">
      <c r="A2633" t="s">
        <v>153</v>
      </c>
      <c r="L2633"/>
      <c r="M2633"/>
      <c r="N2633"/>
      <c r="O2633"/>
      <c r="P2633"/>
      <c r="T2633">
        <v>1076</v>
      </c>
      <c r="U2633" s="7">
        <v>3</v>
      </c>
      <c r="V2633" t="s">
        <v>1058</v>
      </c>
      <c r="W2633" s="257" t="s">
        <v>1360</v>
      </c>
      <c r="X2633" t="s">
        <v>1361</v>
      </c>
      <c r="Y2633" s="316" t="s">
        <v>326</v>
      </c>
      <c r="Z2633" s="8">
        <v>2</v>
      </c>
      <c r="AA2633" s="202" t="str">
        <f t="shared" si="42"/>
        <v>Соль</v>
      </c>
    </row>
    <row r="2634" spans="1:27" ht="15" customHeight="1" x14ac:dyDescent="0.25">
      <c r="A2634" t="s">
        <v>153</v>
      </c>
      <c r="L2634"/>
      <c r="M2634"/>
      <c r="N2634"/>
      <c r="O2634"/>
      <c r="P2634"/>
      <c r="T2634">
        <v>1078</v>
      </c>
      <c r="U2634" s="7">
        <v>3</v>
      </c>
      <c r="V2634" t="s">
        <v>1058</v>
      </c>
      <c r="W2634" s="257" t="s">
        <v>1360</v>
      </c>
      <c r="X2634" t="s">
        <v>1361</v>
      </c>
      <c r="Y2634" s="316" t="s">
        <v>558</v>
      </c>
      <c r="Z2634" s="8">
        <f>110/1.1</f>
        <v>99.999999999999986</v>
      </c>
      <c r="AA2634" s="202" t="str">
        <f t="shared" si="42"/>
        <v>Общая масса готового блюда, г</v>
      </c>
    </row>
    <row r="2635" spans="1:27" ht="15" customHeight="1" x14ac:dyDescent="0.25">
      <c r="A2635" t="s">
        <v>153</v>
      </c>
      <c r="L2635"/>
      <c r="M2635"/>
      <c r="N2635"/>
      <c r="O2635"/>
      <c r="P2635"/>
      <c r="T2635">
        <v>1079</v>
      </c>
      <c r="U2635" s="7">
        <v>3</v>
      </c>
      <c r="V2635" t="s">
        <v>1058</v>
      </c>
      <c r="W2635" s="257" t="s">
        <v>1360</v>
      </c>
      <c r="X2635" t="s">
        <v>1361</v>
      </c>
      <c r="Y2635" s="316" t="s">
        <v>109</v>
      </c>
      <c r="Z2635" s="8">
        <f>110/1.1</f>
        <v>99.999999999999986</v>
      </c>
      <c r="AA2635" s="202" t="str">
        <f t="shared" si="42"/>
        <v>ОКГ</v>
      </c>
    </row>
    <row r="2636" spans="1:27" ht="15" customHeight="1" x14ac:dyDescent="0.25">
      <c r="A2636" t="s">
        <v>153</v>
      </c>
      <c r="L2636"/>
      <c r="M2636"/>
      <c r="N2636"/>
      <c r="O2636"/>
      <c r="P2636"/>
      <c r="T2636">
        <v>1072</v>
      </c>
      <c r="U2636" s="7">
        <v>3</v>
      </c>
      <c r="V2636" t="s">
        <v>1058</v>
      </c>
      <c r="W2636" s="257" t="s">
        <v>1126</v>
      </c>
      <c r="X2636" t="s">
        <v>1127</v>
      </c>
      <c r="Y2636" s="316" t="s">
        <v>45</v>
      </c>
      <c r="Z2636" s="8">
        <v>100</v>
      </c>
      <c r="AA2636" s="202" t="str">
        <f t="shared" si="42"/>
        <v>Картофель</v>
      </c>
    </row>
    <row r="2637" spans="1:27" ht="15" customHeight="1" x14ac:dyDescent="0.25">
      <c r="A2637" t="s">
        <v>153</v>
      </c>
      <c r="L2637"/>
      <c r="M2637"/>
      <c r="N2637"/>
      <c r="O2637"/>
      <c r="P2637"/>
      <c r="T2637">
        <v>1073</v>
      </c>
      <c r="U2637" s="7">
        <v>3</v>
      </c>
      <c r="V2637" t="s">
        <v>1058</v>
      </c>
      <c r="W2637" s="257" t="s">
        <v>1126</v>
      </c>
      <c r="X2637" t="s">
        <v>1127</v>
      </c>
      <c r="Y2637" s="316" t="s">
        <v>445</v>
      </c>
      <c r="Z2637" s="8">
        <v>50</v>
      </c>
      <c r="AA2637" s="202" t="str">
        <f t="shared" si="42"/>
        <v>Огурцы консерв.</v>
      </c>
    </row>
    <row r="2638" spans="1:27" ht="15" customHeight="1" x14ac:dyDescent="0.25">
      <c r="A2638" t="s">
        <v>153</v>
      </c>
      <c r="L2638"/>
      <c r="M2638"/>
      <c r="N2638"/>
      <c r="O2638"/>
      <c r="P2638"/>
      <c r="T2638">
        <v>1074</v>
      </c>
      <c r="U2638" s="7">
        <v>3</v>
      </c>
      <c r="V2638" t="s">
        <v>1058</v>
      </c>
      <c r="W2638" s="257" t="s">
        <v>1126</v>
      </c>
      <c r="X2638" t="s">
        <v>1127</v>
      </c>
      <c r="Y2638" s="316" t="s">
        <v>32</v>
      </c>
      <c r="Z2638" s="8">
        <v>20</v>
      </c>
      <c r="AA2638" s="202" t="str">
        <f t="shared" si="42"/>
        <v>Лук репчатый</v>
      </c>
    </row>
    <row r="2639" spans="1:27" ht="15" customHeight="1" x14ac:dyDescent="0.25">
      <c r="A2639" t="s">
        <v>153</v>
      </c>
      <c r="L2639"/>
      <c r="M2639"/>
      <c r="N2639"/>
      <c r="O2639"/>
      <c r="P2639"/>
      <c r="T2639">
        <v>1075</v>
      </c>
      <c r="U2639" s="7">
        <v>3</v>
      </c>
      <c r="V2639" t="s">
        <v>1058</v>
      </c>
      <c r="W2639" s="257" t="s">
        <v>1126</v>
      </c>
      <c r="X2639" t="s">
        <v>1127</v>
      </c>
      <c r="Y2639" s="316" t="s">
        <v>61</v>
      </c>
      <c r="Z2639" s="8">
        <v>8</v>
      </c>
      <c r="AA2639" s="202" t="str">
        <f t="shared" si="42"/>
        <v>Масло растительное</v>
      </c>
    </row>
    <row r="2640" spans="1:27" ht="15" customHeight="1" x14ac:dyDescent="0.25">
      <c r="A2640" t="s">
        <v>153</v>
      </c>
      <c r="L2640"/>
      <c r="M2640"/>
      <c r="N2640"/>
      <c r="O2640"/>
      <c r="P2640"/>
      <c r="T2640">
        <v>1076</v>
      </c>
      <c r="U2640" s="7">
        <v>3</v>
      </c>
      <c r="V2640" t="s">
        <v>1058</v>
      </c>
      <c r="W2640" s="257" t="s">
        <v>1126</v>
      </c>
      <c r="X2640" t="s">
        <v>1127</v>
      </c>
      <c r="Y2640" s="316" t="s">
        <v>326</v>
      </c>
      <c r="Z2640" s="8">
        <v>2</v>
      </c>
      <c r="AA2640" s="202" t="str">
        <f t="shared" si="42"/>
        <v>Соль</v>
      </c>
    </row>
    <row r="2641" spans="1:27" ht="15" customHeight="1" x14ac:dyDescent="0.25">
      <c r="A2641" t="s">
        <v>153</v>
      </c>
      <c r="L2641"/>
      <c r="M2641"/>
      <c r="N2641"/>
      <c r="O2641"/>
      <c r="P2641"/>
      <c r="T2641">
        <v>1078</v>
      </c>
      <c r="U2641" s="7">
        <v>3</v>
      </c>
      <c r="V2641" t="s">
        <v>1058</v>
      </c>
      <c r="W2641" s="257" t="s">
        <v>1126</v>
      </c>
      <c r="X2641" t="s">
        <v>1127</v>
      </c>
      <c r="Y2641" s="316" t="s">
        <v>558</v>
      </c>
      <c r="Z2641" s="8">
        <v>123</v>
      </c>
      <c r="AA2641" s="202" t="str">
        <f t="shared" si="42"/>
        <v>Общая масса готового блюда, г</v>
      </c>
    </row>
    <row r="2642" spans="1:27" ht="15" customHeight="1" x14ac:dyDescent="0.25">
      <c r="A2642" t="s">
        <v>153</v>
      </c>
      <c r="L2642"/>
      <c r="M2642"/>
      <c r="N2642"/>
      <c r="O2642"/>
      <c r="P2642"/>
      <c r="T2642">
        <v>1079</v>
      </c>
      <c r="U2642" s="7">
        <v>3</v>
      </c>
      <c r="V2642" t="s">
        <v>1058</v>
      </c>
      <c r="W2642" s="257" t="s">
        <v>1126</v>
      </c>
      <c r="X2642" t="s">
        <v>1127</v>
      </c>
      <c r="Y2642" s="316" t="s">
        <v>109</v>
      </c>
      <c r="Z2642" s="8">
        <v>175</v>
      </c>
      <c r="AA2642" s="202" t="str">
        <f t="shared" si="42"/>
        <v>ОКГ</v>
      </c>
    </row>
    <row r="2643" spans="1:27" ht="15" customHeight="1" x14ac:dyDescent="0.25">
      <c r="A2643" t="s">
        <v>153</v>
      </c>
      <c r="L2643"/>
      <c r="M2643"/>
      <c r="N2643"/>
      <c r="O2643"/>
      <c r="P2643"/>
      <c r="T2643">
        <v>1172</v>
      </c>
      <c r="U2643" s="7">
        <v>3</v>
      </c>
      <c r="V2643" t="s">
        <v>1058</v>
      </c>
      <c r="W2643" s="257" t="s">
        <v>1128</v>
      </c>
      <c r="X2643" t="s">
        <v>1129</v>
      </c>
      <c r="Y2643" s="316" t="s">
        <v>45</v>
      </c>
      <c r="Z2643" s="8">
        <v>100</v>
      </c>
      <c r="AA2643" s="202" t="str">
        <f t="shared" si="42"/>
        <v>Картофель</v>
      </c>
    </row>
    <row r="2644" spans="1:27" ht="15" customHeight="1" x14ac:dyDescent="0.25">
      <c r="A2644" t="s">
        <v>153</v>
      </c>
      <c r="L2644"/>
      <c r="M2644"/>
      <c r="N2644"/>
      <c r="O2644"/>
      <c r="P2644"/>
      <c r="T2644">
        <v>1173</v>
      </c>
      <c r="U2644" s="7">
        <v>3</v>
      </c>
      <c r="V2644" t="s">
        <v>1058</v>
      </c>
      <c r="W2644" s="257" t="s">
        <v>1128</v>
      </c>
      <c r="X2644" t="s">
        <v>1129</v>
      </c>
      <c r="Y2644" s="316" t="s">
        <v>32</v>
      </c>
      <c r="Z2644" s="8">
        <v>20</v>
      </c>
      <c r="AA2644" s="202" t="str">
        <f t="shared" si="42"/>
        <v>Лук репчатый</v>
      </c>
    </row>
    <row r="2645" spans="1:27" ht="15" customHeight="1" x14ac:dyDescent="0.25">
      <c r="A2645" t="s">
        <v>153</v>
      </c>
      <c r="L2645"/>
      <c r="M2645"/>
      <c r="N2645"/>
      <c r="O2645"/>
      <c r="P2645"/>
      <c r="T2645">
        <v>1174</v>
      </c>
      <c r="U2645" s="7">
        <v>3</v>
      </c>
      <c r="V2645" t="s">
        <v>1058</v>
      </c>
      <c r="W2645" s="257" t="s">
        <v>1128</v>
      </c>
      <c r="X2645" t="s">
        <v>1129</v>
      </c>
      <c r="Y2645" s="316" t="s">
        <v>61</v>
      </c>
      <c r="Z2645" s="8">
        <v>8</v>
      </c>
      <c r="AA2645" s="202" t="str">
        <f t="shared" si="42"/>
        <v>Масло растительное</v>
      </c>
    </row>
    <row r="2646" spans="1:27" ht="15" customHeight="1" x14ac:dyDescent="0.25">
      <c r="A2646" t="s">
        <v>153</v>
      </c>
      <c r="L2646"/>
      <c r="M2646"/>
      <c r="N2646"/>
      <c r="O2646"/>
      <c r="P2646"/>
      <c r="T2646">
        <v>1175</v>
      </c>
      <c r="U2646" s="7">
        <v>3</v>
      </c>
      <c r="V2646" t="s">
        <v>1058</v>
      </c>
      <c r="W2646" s="257" t="s">
        <v>1128</v>
      </c>
      <c r="X2646" t="s">
        <v>1129</v>
      </c>
      <c r="Y2646" s="316" t="s">
        <v>443</v>
      </c>
      <c r="Z2646" s="8">
        <v>50</v>
      </c>
      <c r="AA2646" s="202" t="str">
        <f t="shared" si="42"/>
        <v>Капуста консерв.</v>
      </c>
    </row>
    <row r="2647" spans="1:27" ht="15" customHeight="1" x14ac:dyDescent="0.25">
      <c r="A2647" t="s">
        <v>153</v>
      </c>
      <c r="L2647"/>
      <c r="M2647"/>
      <c r="N2647"/>
      <c r="O2647"/>
      <c r="P2647"/>
      <c r="T2647">
        <v>1177</v>
      </c>
      <c r="U2647" s="7">
        <v>3</v>
      </c>
      <c r="V2647" t="s">
        <v>1058</v>
      </c>
      <c r="W2647" s="257" t="s">
        <v>1128</v>
      </c>
      <c r="X2647" t="s">
        <v>1129</v>
      </c>
      <c r="Y2647" s="316" t="s">
        <v>558</v>
      </c>
      <c r="Z2647" s="8">
        <v>126</v>
      </c>
      <c r="AA2647" s="202" t="str">
        <f t="shared" si="42"/>
        <v>Общая масса готового блюда, г</v>
      </c>
    </row>
    <row r="2648" spans="1:27" ht="15" customHeight="1" x14ac:dyDescent="0.25">
      <c r="A2648" t="s">
        <v>153</v>
      </c>
      <c r="L2648"/>
      <c r="M2648"/>
      <c r="N2648"/>
      <c r="O2648"/>
      <c r="P2648"/>
      <c r="T2648">
        <v>1178</v>
      </c>
      <c r="U2648" s="7">
        <v>3</v>
      </c>
      <c r="V2648" t="s">
        <v>1058</v>
      </c>
      <c r="W2648" s="257" t="s">
        <v>1128</v>
      </c>
      <c r="X2648" t="s">
        <v>1129</v>
      </c>
      <c r="Y2648" s="316" t="s">
        <v>109</v>
      </c>
      <c r="Z2648" s="8">
        <v>175</v>
      </c>
      <c r="AA2648" s="202" t="str">
        <f t="shared" si="42"/>
        <v>ОКГ</v>
      </c>
    </row>
    <row r="2649" spans="1:27" ht="15" customHeight="1" x14ac:dyDescent="0.25">
      <c r="A2649" t="s">
        <v>153</v>
      </c>
      <c r="L2649"/>
      <c r="M2649"/>
      <c r="N2649"/>
      <c r="O2649"/>
      <c r="P2649"/>
      <c r="T2649">
        <v>1154</v>
      </c>
      <c r="U2649" s="7">
        <v>3</v>
      </c>
      <c r="V2649" t="s">
        <v>1058</v>
      </c>
      <c r="W2649" s="257" t="s">
        <v>1242</v>
      </c>
      <c r="X2649" t="s">
        <v>1243</v>
      </c>
      <c r="Y2649" s="316" t="s">
        <v>454</v>
      </c>
      <c r="Z2649" s="8">
        <v>22.5</v>
      </c>
      <c r="AA2649" s="202" t="str">
        <f t="shared" si="42"/>
        <v>Говядина б/к</v>
      </c>
    </row>
    <row r="2650" spans="1:27" ht="15" customHeight="1" x14ac:dyDescent="0.25">
      <c r="A2650" t="s">
        <v>153</v>
      </c>
      <c r="L2650"/>
      <c r="M2650"/>
      <c r="N2650"/>
      <c r="O2650"/>
      <c r="P2650"/>
      <c r="T2650">
        <v>1154</v>
      </c>
      <c r="U2650" s="7">
        <v>3</v>
      </c>
      <c r="V2650" t="s">
        <v>1058</v>
      </c>
      <c r="W2650" s="257" t="s">
        <v>1242</v>
      </c>
      <c r="X2650" t="s">
        <v>1243</v>
      </c>
      <c r="Y2650" s="316" t="s">
        <v>1214</v>
      </c>
      <c r="Z2650" s="8">
        <v>13.69</v>
      </c>
      <c r="AA2650" s="202" t="str">
        <f t="shared" si="42"/>
        <v>Масса мясных и рыбных порций, г</v>
      </c>
    </row>
    <row r="2651" spans="1:27" ht="15" customHeight="1" x14ac:dyDescent="0.25">
      <c r="A2651" t="s">
        <v>153</v>
      </c>
      <c r="L2651"/>
      <c r="M2651"/>
      <c r="N2651"/>
      <c r="O2651"/>
      <c r="P2651"/>
      <c r="T2651">
        <v>1155</v>
      </c>
      <c r="U2651" s="7">
        <v>3</v>
      </c>
      <c r="V2651" t="s">
        <v>1058</v>
      </c>
      <c r="W2651" s="257" t="s">
        <v>1242</v>
      </c>
      <c r="X2651" t="s">
        <v>1243</v>
      </c>
      <c r="Y2651" s="316" t="s">
        <v>45</v>
      </c>
      <c r="Z2651" s="8">
        <v>90</v>
      </c>
      <c r="AA2651" s="202" t="str">
        <f t="shared" si="42"/>
        <v>Картофель</v>
      </c>
    </row>
    <row r="2652" spans="1:27" ht="15" customHeight="1" x14ac:dyDescent="0.25">
      <c r="A2652" t="s">
        <v>153</v>
      </c>
      <c r="L2652"/>
      <c r="M2652"/>
      <c r="N2652"/>
      <c r="O2652"/>
      <c r="P2652"/>
      <c r="T2652">
        <v>1156</v>
      </c>
      <c r="U2652" s="7">
        <v>3</v>
      </c>
      <c r="V2652" t="s">
        <v>1058</v>
      </c>
      <c r="W2652" s="257" t="s">
        <v>1242</v>
      </c>
      <c r="X2652" t="s">
        <v>1243</v>
      </c>
      <c r="Y2652" s="316" t="s">
        <v>445</v>
      </c>
      <c r="Z2652" s="8">
        <v>30</v>
      </c>
      <c r="AA2652" s="202" t="str">
        <f t="shared" si="42"/>
        <v>Огурцы консерв.</v>
      </c>
    </row>
    <row r="2653" spans="1:27" ht="15" customHeight="1" x14ac:dyDescent="0.25">
      <c r="A2653" t="s">
        <v>153</v>
      </c>
      <c r="L2653"/>
      <c r="M2653"/>
      <c r="N2653"/>
      <c r="O2653"/>
      <c r="P2653"/>
      <c r="T2653">
        <v>1157</v>
      </c>
      <c r="U2653" s="7">
        <v>3</v>
      </c>
      <c r="V2653" t="s">
        <v>1058</v>
      </c>
      <c r="W2653" s="257" t="s">
        <v>1242</v>
      </c>
      <c r="X2653" t="s">
        <v>1243</v>
      </c>
      <c r="Y2653" s="316" t="s">
        <v>440</v>
      </c>
      <c r="Z2653" s="8">
        <v>10</v>
      </c>
      <c r="AA2653" s="202" t="str">
        <f t="shared" si="42"/>
        <v>Горошек консерв.</v>
      </c>
    </row>
    <row r="2654" spans="1:27" ht="15" customHeight="1" x14ac:dyDescent="0.25">
      <c r="A2654" t="s">
        <v>153</v>
      </c>
      <c r="L2654"/>
      <c r="M2654"/>
      <c r="N2654"/>
      <c r="O2654"/>
      <c r="P2654"/>
      <c r="T2654">
        <v>1158</v>
      </c>
      <c r="U2654" s="7">
        <v>3</v>
      </c>
      <c r="V2654" t="s">
        <v>1058</v>
      </c>
      <c r="W2654" s="257" t="s">
        <v>1242</v>
      </c>
      <c r="X2654" t="s">
        <v>1243</v>
      </c>
      <c r="Y2654" s="316" t="s">
        <v>46</v>
      </c>
      <c r="Z2654" s="8">
        <v>20</v>
      </c>
      <c r="AA2654" s="202" t="str">
        <f t="shared" si="42"/>
        <v>Морковь</v>
      </c>
    </row>
    <row r="2655" spans="1:27" ht="15" customHeight="1" x14ac:dyDescent="0.25">
      <c r="A2655" t="s">
        <v>153</v>
      </c>
      <c r="L2655"/>
      <c r="M2655"/>
      <c r="N2655"/>
      <c r="O2655"/>
      <c r="P2655"/>
      <c r="T2655">
        <v>1159</v>
      </c>
      <c r="U2655" s="7">
        <v>3</v>
      </c>
      <c r="V2655" t="s">
        <v>1058</v>
      </c>
      <c r="W2655" s="257" t="s">
        <v>1242</v>
      </c>
      <c r="X2655" t="s">
        <v>1243</v>
      </c>
      <c r="Y2655" s="316" t="s">
        <v>61</v>
      </c>
      <c r="Z2655" s="8">
        <v>8</v>
      </c>
      <c r="AA2655" s="202" t="str">
        <f t="shared" si="42"/>
        <v>Масло растительное</v>
      </c>
    </row>
    <row r="2656" spans="1:27" ht="15" customHeight="1" x14ac:dyDescent="0.25">
      <c r="A2656" t="s">
        <v>153</v>
      </c>
      <c r="L2656"/>
      <c r="M2656"/>
      <c r="N2656"/>
      <c r="O2656"/>
      <c r="P2656"/>
      <c r="T2656">
        <v>1160</v>
      </c>
      <c r="U2656" s="7">
        <v>3</v>
      </c>
      <c r="V2656" t="s">
        <v>1058</v>
      </c>
      <c r="W2656" s="257" t="s">
        <v>1242</v>
      </c>
      <c r="X2656" t="s">
        <v>1243</v>
      </c>
      <c r="Y2656" s="316" t="s">
        <v>326</v>
      </c>
      <c r="Z2656" s="8">
        <v>2</v>
      </c>
      <c r="AA2656" s="202" t="str">
        <f t="shared" si="42"/>
        <v>Соль</v>
      </c>
    </row>
    <row r="2657" spans="1:27" ht="15" customHeight="1" x14ac:dyDescent="0.25">
      <c r="A2657" t="s">
        <v>153</v>
      </c>
      <c r="L2657"/>
      <c r="M2657"/>
      <c r="N2657"/>
      <c r="O2657"/>
      <c r="P2657"/>
      <c r="T2657">
        <v>1161</v>
      </c>
      <c r="U2657" s="7">
        <v>3</v>
      </c>
      <c r="V2657" t="s">
        <v>1058</v>
      </c>
      <c r="W2657" s="257" t="s">
        <v>1242</v>
      </c>
      <c r="X2657" t="s">
        <v>1243</v>
      </c>
      <c r="Y2657" s="316" t="s">
        <v>481</v>
      </c>
      <c r="Z2657" s="8">
        <v>5</v>
      </c>
      <c r="AA2657" s="202" t="str">
        <f t="shared" si="42"/>
        <v>Горчица</v>
      </c>
    </row>
    <row r="2658" spans="1:27" ht="15" customHeight="1" x14ac:dyDescent="0.25">
      <c r="A2658" t="s">
        <v>153</v>
      </c>
      <c r="L2658"/>
      <c r="M2658"/>
      <c r="N2658"/>
      <c r="O2658"/>
      <c r="P2658"/>
      <c r="T2658">
        <v>1163</v>
      </c>
      <c r="U2658" s="7">
        <v>3</v>
      </c>
      <c r="V2658" t="s">
        <v>1058</v>
      </c>
      <c r="W2658" s="257" t="s">
        <v>1242</v>
      </c>
      <c r="X2658" t="s">
        <v>1243</v>
      </c>
      <c r="Y2658" s="316" t="s">
        <v>558</v>
      </c>
      <c r="Z2658" s="8">
        <v>110</v>
      </c>
      <c r="AA2658" s="202" t="str">
        <f t="shared" si="42"/>
        <v>Общая масса готового блюда, г</v>
      </c>
    </row>
    <row r="2659" spans="1:27" ht="15" customHeight="1" x14ac:dyDescent="0.25">
      <c r="A2659" t="s">
        <v>153</v>
      </c>
      <c r="L2659"/>
      <c r="M2659"/>
      <c r="N2659"/>
      <c r="O2659"/>
      <c r="P2659"/>
      <c r="T2659">
        <v>1164</v>
      </c>
      <c r="U2659" s="7">
        <v>3</v>
      </c>
      <c r="V2659" t="s">
        <v>1058</v>
      </c>
      <c r="W2659" s="257" t="s">
        <v>1242</v>
      </c>
      <c r="X2659" t="s">
        <v>1243</v>
      </c>
      <c r="Y2659" s="316" t="s">
        <v>109</v>
      </c>
      <c r="Z2659" s="8">
        <v>175</v>
      </c>
      <c r="AA2659" s="202" t="str">
        <f t="shared" si="42"/>
        <v>ОКГ</v>
      </c>
    </row>
    <row r="2660" spans="1:27" ht="15" customHeight="1" x14ac:dyDescent="0.25">
      <c r="A2660" t="s">
        <v>153</v>
      </c>
      <c r="L2660"/>
      <c r="M2660"/>
      <c r="N2660"/>
      <c r="O2660"/>
      <c r="P2660"/>
      <c r="T2660">
        <v>1153</v>
      </c>
      <c r="U2660" s="7">
        <v>3</v>
      </c>
      <c r="V2660" t="s">
        <v>1058</v>
      </c>
      <c r="W2660" s="257" t="s">
        <v>1241</v>
      </c>
      <c r="X2660" t="s">
        <v>1244</v>
      </c>
      <c r="Y2660" s="316" t="s">
        <v>455</v>
      </c>
      <c r="Z2660" s="8">
        <v>30</v>
      </c>
      <c r="AA2660" s="202" t="str">
        <f t="shared" si="42"/>
        <v>Говядина н/к</v>
      </c>
    </row>
    <row r="2661" spans="1:27" ht="15" customHeight="1" x14ac:dyDescent="0.25">
      <c r="A2661" t="s">
        <v>153</v>
      </c>
      <c r="L2661"/>
      <c r="M2661"/>
      <c r="N2661"/>
      <c r="O2661"/>
      <c r="P2661"/>
      <c r="T2661">
        <v>1153</v>
      </c>
      <c r="U2661" s="7">
        <v>3</v>
      </c>
      <c r="V2661" t="s">
        <v>1058</v>
      </c>
      <c r="W2661" s="257" t="s">
        <v>1241</v>
      </c>
      <c r="X2661" t="s">
        <v>1244</v>
      </c>
      <c r="Y2661" s="316" t="s">
        <v>1214</v>
      </c>
      <c r="Z2661" s="8">
        <v>13.69</v>
      </c>
      <c r="AA2661" s="202" t="str">
        <f t="shared" si="42"/>
        <v>Масса мясных и рыбных порций, г</v>
      </c>
    </row>
    <row r="2662" spans="1:27" ht="15" customHeight="1" x14ac:dyDescent="0.25">
      <c r="A2662" t="s">
        <v>153</v>
      </c>
      <c r="L2662"/>
      <c r="M2662"/>
      <c r="N2662"/>
      <c r="O2662"/>
      <c r="P2662"/>
      <c r="T2662">
        <v>1155</v>
      </c>
      <c r="U2662" s="7">
        <v>3</v>
      </c>
      <c r="V2662" t="s">
        <v>1058</v>
      </c>
      <c r="W2662" s="257" t="s">
        <v>1241</v>
      </c>
      <c r="X2662" t="s">
        <v>1244</v>
      </c>
      <c r="Y2662" s="316" t="s">
        <v>45</v>
      </c>
      <c r="Z2662" s="8">
        <v>90</v>
      </c>
      <c r="AA2662" s="202" t="str">
        <f t="shared" si="42"/>
        <v>Картофель</v>
      </c>
    </row>
    <row r="2663" spans="1:27" ht="15" customHeight="1" x14ac:dyDescent="0.25">
      <c r="A2663" t="s">
        <v>153</v>
      </c>
      <c r="L2663"/>
      <c r="M2663"/>
      <c r="N2663"/>
      <c r="O2663"/>
      <c r="P2663"/>
      <c r="T2663">
        <v>1156</v>
      </c>
      <c r="U2663" s="7">
        <v>3</v>
      </c>
      <c r="V2663" t="s">
        <v>1058</v>
      </c>
      <c r="W2663" s="257" t="s">
        <v>1241</v>
      </c>
      <c r="X2663" t="s">
        <v>1244</v>
      </c>
      <c r="Y2663" s="316" t="s">
        <v>445</v>
      </c>
      <c r="Z2663" s="8">
        <v>30</v>
      </c>
      <c r="AA2663" s="202" t="str">
        <f t="shared" si="42"/>
        <v>Огурцы консерв.</v>
      </c>
    </row>
    <row r="2664" spans="1:27" ht="15" customHeight="1" x14ac:dyDescent="0.25">
      <c r="A2664" t="s">
        <v>153</v>
      </c>
      <c r="L2664"/>
      <c r="M2664"/>
      <c r="N2664"/>
      <c r="O2664"/>
      <c r="P2664"/>
      <c r="T2664">
        <v>1157</v>
      </c>
      <c r="U2664" s="7">
        <v>3</v>
      </c>
      <c r="V2664" t="s">
        <v>1058</v>
      </c>
      <c r="W2664" s="257" t="s">
        <v>1241</v>
      </c>
      <c r="X2664" t="s">
        <v>1244</v>
      </c>
      <c r="Y2664" s="316" t="s">
        <v>440</v>
      </c>
      <c r="Z2664" s="8">
        <v>10</v>
      </c>
      <c r="AA2664" s="202" t="str">
        <f t="shared" si="42"/>
        <v>Горошек консерв.</v>
      </c>
    </row>
    <row r="2665" spans="1:27" ht="15" customHeight="1" x14ac:dyDescent="0.25">
      <c r="A2665" t="s">
        <v>153</v>
      </c>
      <c r="L2665"/>
      <c r="M2665"/>
      <c r="N2665"/>
      <c r="O2665"/>
      <c r="P2665"/>
      <c r="T2665">
        <v>1158</v>
      </c>
      <c r="U2665" s="7">
        <v>3</v>
      </c>
      <c r="V2665" t="s">
        <v>1058</v>
      </c>
      <c r="W2665" s="257" t="s">
        <v>1241</v>
      </c>
      <c r="X2665" t="s">
        <v>1244</v>
      </c>
      <c r="Y2665" s="316" t="s">
        <v>46</v>
      </c>
      <c r="Z2665" s="8">
        <v>20</v>
      </c>
      <c r="AA2665" s="202" t="str">
        <f t="shared" si="42"/>
        <v>Морковь</v>
      </c>
    </row>
    <row r="2666" spans="1:27" ht="15" customHeight="1" x14ac:dyDescent="0.25">
      <c r="A2666" t="s">
        <v>153</v>
      </c>
      <c r="L2666"/>
      <c r="M2666"/>
      <c r="N2666"/>
      <c r="O2666"/>
      <c r="P2666"/>
      <c r="T2666">
        <v>1159</v>
      </c>
      <c r="U2666" s="7">
        <v>3</v>
      </c>
      <c r="V2666" t="s">
        <v>1058</v>
      </c>
      <c r="W2666" s="257" t="s">
        <v>1241</v>
      </c>
      <c r="X2666" t="s">
        <v>1244</v>
      </c>
      <c r="Y2666" s="316" t="s">
        <v>61</v>
      </c>
      <c r="Z2666" s="8">
        <v>8</v>
      </c>
      <c r="AA2666" s="202" t="str">
        <f t="shared" si="42"/>
        <v>Масло растительное</v>
      </c>
    </row>
    <row r="2667" spans="1:27" ht="15" customHeight="1" x14ac:dyDescent="0.25">
      <c r="A2667" t="s">
        <v>153</v>
      </c>
      <c r="L2667"/>
      <c r="M2667"/>
      <c r="N2667"/>
      <c r="O2667"/>
      <c r="P2667"/>
      <c r="T2667">
        <v>1160</v>
      </c>
      <c r="U2667" s="7">
        <v>3</v>
      </c>
      <c r="V2667" t="s">
        <v>1058</v>
      </c>
      <c r="W2667" s="257" t="s">
        <v>1241</v>
      </c>
      <c r="X2667" t="s">
        <v>1244</v>
      </c>
      <c r="Y2667" s="316" t="s">
        <v>326</v>
      </c>
      <c r="Z2667" s="8">
        <v>2</v>
      </c>
      <c r="AA2667" s="202" t="str">
        <f t="shared" si="42"/>
        <v>Соль</v>
      </c>
    </row>
    <row r="2668" spans="1:27" ht="15" customHeight="1" x14ac:dyDescent="0.25">
      <c r="A2668" t="s">
        <v>153</v>
      </c>
      <c r="L2668"/>
      <c r="M2668"/>
      <c r="N2668"/>
      <c r="O2668"/>
      <c r="P2668"/>
      <c r="T2668">
        <v>1161</v>
      </c>
      <c r="U2668" s="7">
        <v>3</v>
      </c>
      <c r="V2668" t="s">
        <v>1058</v>
      </c>
      <c r="W2668" s="257" t="s">
        <v>1241</v>
      </c>
      <c r="X2668" t="s">
        <v>1244</v>
      </c>
      <c r="Y2668" s="316" t="s">
        <v>481</v>
      </c>
      <c r="Z2668" s="8">
        <v>5</v>
      </c>
      <c r="AA2668" s="202" t="str">
        <f t="shared" si="42"/>
        <v>Горчица</v>
      </c>
    </row>
    <row r="2669" spans="1:27" ht="15" customHeight="1" x14ac:dyDescent="0.25">
      <c r="A2669" t="s">
        <v>153</v>
      </c>
      <c r="L2669"/>
      <c r="M2669"/>
      <c r="N2669"/>
      <c r="O2669"/>
      <c r="P2669"/>
      <c r="T2669">
        <v>1163</v>
      </c>
      <c r="U2669" s="7">
        <v>3</v>
      </c>
      <c r="V2669" t="s">
        <v>1058</v>
      </c>
      <c r="W2669" s="257" t="s">
        <v>1241</v>
      </c>
      <c r="X2669" t="s">
        <v>1244</v>
      </c>
      <c r="Y2669" s="316" t="s">
        <v>558</v>
      </c>
      <c r="Z2669" s="8">
        <v>110</v>
      </c>
      <c r="AA2669" s="202" t="str">
        <f t="shared" si="42"/>
        <v>Общая масса готового блюда, г</v>
      </c>
    </row>
    <row r="2670" spans="1:27" ht="15" customHeight="1" x14ac:dyDescent="0.25">
      <c r="A2670" t="s">
        <v>153</v>
      </c>
      <c r="L2670"/>
      <c r="M2670"/>
      <c r="N2670"/>
      <c r="O2670"/>
      <c r="P2670"/>
      <c r="T2670">
        <v>1164</v>
      </c>
      <c r="U2670" s="7">
        <v>3</v>
      </c>
      <c r="V2670" t="s">
        <v>1058</v>
      </c>
      <c r="W2670" s="257" t="s">
        <v>1241</v>
      </c>
      <c r="X2670" t="s">
        <v>1244</v>
      </c>
      <c r="Y2670" s="316" t="s">
        <v>109</v>
      </c>
      <c r="Z2670" s="8">
        <v>175</v>
      </c>
      <c r="AA2670" s="202" t="str">
        <f t="shared" si="42"/>
        <v>ОКГ</v>
      </c>
    </row>
    <row r="2671" spans="1:27" ht="15" customHeight="1" x14ac:dyDescent="0.25">
      <c r="A2671" t="s">
        <v>153</v>
      </c>
      <c r="L2671"/>
      <c r="M2671"/>
      <c r="N2671"/>
      <c r="O2671"/>
      <c r="P2671"/>
      <c r="T2671">
        <v>1096</v>
      </c>
      <c r="U2671" s="7">
        <v>3</v>
      </c>
      <c r="V2671" t="s">
        <v>1058</v>
      </c>
      <c r="W2671" s="257" t="s">
        <v>1131</v>
      </c>
      <c r="X2671" t="s">
        <v>1132</v>
      </c>
      <c r="Y2671" s="316" t="s">
        <v>45</v>
      </c>
      <c r="Z2671" s="8">
        <v>100</v>
      </c>
      <c r="AA2671" s="202" t="str">
        <f t="shared" si="42"/>
        <v>Картофель</v>
      </c>
    </row>
    <row r="2672" spans="1:27" ht="15" customHeight="1" x14ac:dyDescent="0.25">
      <c r="A2672" t="s">
        <v>153</v>
      </c>
      <c r="L2672"/>
      <c r="M2672"/>
      <c r="N2672"/>
      <c r="O2672"/>
      <c r="P2672"/>
      <c r="T2672">
        <v>1097</v>
      </c>
      <c r="U2672" s="7">
        <v>3</v>
      </c>
      <c r="V2672" t="s">
        <v>1058</v>
      </c>
      <c r="W2672" s="257" t="s">
        <v>1131</v>
      </c>
      <c r="X2672" t="s">
        <v>1132</v>
      </c>
      <c r="Y2672" s="316" t="s">
        <v>490</v>
      </c>
      <c r="Z2672" s="8">
        <v>40</v>
      </c>
      <c r="AA2672" s="202" t="str">
        <f t="shared" si="42"/>
        <v>Капуста свежая</v>
      </c>
    </row>
    <row r="2673" spans="1:27" ht="15" customHeight="1" x14ac:dyDescent="0.25">
      <c r="A2673" t="s">
        <v>153</v>
      </c>
      <c r="L2673"/>
      <c r="M2673"/>
      <c r="N2673"/>
      <c r="O2673"/>
      <c r="P2673"/>
      <c r="T2673">
        <v>1098</v>
      </c>
      <c r="U2673" s="7">
        <v>3</v>
      </c>
      <c r="V2673" t="s">
        <v>1058</v>
      </c>
      <c r="W2673" s="257" t="s">
        <v>1131</v>
      </c>
      <c r="X2673" t="s">
        <v>1132</v>
      </c>
      <c r="Y2673" s="316" t="s">
        <v>61</v>
      </c>
      <c r="Z2673" s="8">
        <v>8</v>
      </c>
      <c r="AA2673" s="202" t="str">
        <f t="shared" si="42"/>
        <v>Масло растительное</v>
      </c>
    </row>
    <row r="2674" spans="1:27" ht="15" customHeight="1" x14ac:dyDescent="0.25">
      <c r="A2674" t="s">
        <v>153</v>
      </c>
      <c r="L2674"/>
      <c r="M2674"/>
      <c r="N2674"/>
      <c r="O2674"/>
      <c r="P2674"/>
      <c r="T2674">
        <v>1099</v>
      </c>
      <c r="U2674" s="7">
        <v>3</v>
      </c>
      <c r="V2674" t="s">
        <v>1058</v>
      </c>
      <c r="W2674" s="257" t="s">
        <v>1131</v>
      </c>
      <c r="X2674" t="s">
        <v>1132</v>
      </c>
      <c r="Y2674" s="316" t="s">
        <v>46</v>
      </c>
      <c r="Z2674" s="8">
        <v>18</v>
      </c>
      <c r="AA2674" s="202" t="str">
        <f t="shared" si="42"/>
        <v>Морковь</v>
      </c>
    </row>
    <row r="2675" spans="1:27" ht="15" customHeight="1" x14ac:dyDescent="0.25">
      <c r="A2675" t="s">
        <v>153</v>
      </c>
      <c r="L2675"/>
      <c r="M2675"/>
      <c r="N2675"/>
      <c r="O2675"/>
      <c r="P2675"/>
      <c r="T2675">
        <v>1100</v>
      </c>
      <c r="U2675" s="7">
        <v>3</v>
      </c>
      <c r="V2675" t="s">
        <v>1058</v>
      </c>
      <c r="W2675" s="257" t="s">
        <v>1131</v>
      </c>
      <c r="X2675" t="s">
        <v>1132</v>
      </c>
      <c r="Y2675" s="316" t="s">
        <v>32</v>
      </c>
      <c r="Z2675" s="8">
        <v>10</v>
      </c>
      <c r="AA2675" s="202" t="str">
        <f t="shared" si="42"/>
        <v>Лук репчатый</v>
      </c>
    </row>
    <row r="2676" spans="1:27" ht="15" customHeight="1" x14ac:dyDescent="0.25">
      <c r="A2676" t="s">
        <v>153</v>
      </c>
      <c r="L2676"/>
      <c r="M2676"/>
      <c r="N2676"/>
      <c r="O2676"/>
      <c r="P2676"/>
      <c r="T2676">
        <v>1101</v>
      </c>
      <c r="U2676" s="7">
        <v>3</v>
      </c>
      <c r="V2676" t="s">
        <v>1058</v>
      </c>
      <c r="W2676" s="257" t="s">
        <v>1131</v>
      </c>
      <c r="X2676" t="s">
        <v>1132</v>
      </c>
      <c r="Y2676" s="316" t="s">
        <v>442</v>
      </c>
      <c r="Z2676" s="8">
        <v>10</v>
      </c>
      <c r="AA2676" s="202" t="str">
        <f t="shared" si="42"/>
        <v>Лук зеленый</v>
      </c>
    </row>
    <row r="2677" spans="1:27" ht="15" customHeight="1" x14ac:dyDescent="0.25">
      <c r="A2677" t="s">
        <v>153</v>
      </c>
      <c r="L2677"/>
      <c r="M2677"/>
      <c r="N2677"/>
      <c r="O2677"/>
      <c r="P2677"/>
      <c r="T2677">
        <v>1102</v>
      </c>
      <c r="U2677" s="7">
        <v>3</v>
      </c>
      <c r="V2677" t="s">
        <v>1058</v>
      </c>
      <c r="W2677" s="257" t="s">
        <v>1131</v>
      </c>
      <c r="X2677" t="s">
        <v>1132</v>
      </c>
      <c r="Y2677" s="316" t="s">
        <v>326</v>
      </c>
      <c r="Z2677" s="8">
        <v>1</v>
      </c>
      <c r="AA2677" s="202" t="str">
        <f t="shared" si="42"/>
        <v>Соль</v>
      </c>
    </row>
    <row r="2678" spans="1:27" ht="15" customHeight="1" x14ac:dyDescent="0.25">
      <c r="A2678" t="s">
        <v>153</v>
      </c>
      <c r="L2678"/>
      <c r="M2678"/>
      <c r="N2678"/>
      <c r="O2678"/>
      <c r="P2678"/>
      <c r="T2678">
        <v>1104</v>
      </c>
      <c r="U2678" s="7">
        <v>3</v>
      </c>
      <c r="V2678" t="s">
        <v>1058</v>
      </c>
      <c r="W2678" s="257" t="s">
        <v>1131</v>
      </c>
      <c r="X2678" t="s">
        <v>1132</v>
      </c>
      <c r="Y2678" s="316" t="s">
        <v>558</v>
      </c>
      <c r="Z2678" s="8">
        <v>116</v>
      </c>
      <c r="AA2678" s="202" t="str">
        <f t="shared" si="42"/>
        <v>Общая масса готового блюда, г</v>
      </c>
    </row>
    <row r="2679" spans="1:27" ht="15" customHeight="1" x14ac:dyDescent="0.25">
      <c r="A2679" t="s">
        <v>153</v>
      </c>
      <c r="L2679"/>
      <c r="M2679"/>
      <c r="N2679"/>
      <c r="O2679"/>
      <c r="P2679"/>
      <c r="T2679">
        <v>1105</v>
      </c>
      <c r="U2679" s="7">
        <v>3</v>
      </c>
      <c r="V2679" t="s">
        <v>1058</v>
      </c>
      <c r="W2679" s="257" t="s">
        <v>1131</v>
      </c>
      <c r="X2679" t="s">
        <v>1132</v>
      </c>
      <c r="Y2679" s="316" t="s">
        <v>109</v>
      </c>
      <c r="Z2679" s="8">
        <v>175</v>
      </c>
      <c r="AA2679" s="202" t="str">
        <f t="shared" si="42"/>
        <v>ОКГ</v>
      </c>
    </row>
    <row r="2680" spans="1:27" ht="15" customHeight="1" x14ac:dyDescent="0.25">
      <c r="A2680" t="s">
        <v>153</v>
      </c>
      <c r="L2680"/>
      <c r="M2680"/>
      <c r="N2680"/>
      <c r="O2680"/>
      <c r="P2680"/>
      <c r="T2680">
        <v>1096</v>
      </c>
      <c r="U2680" s="7">
        <v>3</v>
      </c>
      <c r="V2680" t="s">
        <v>1058</v>
      </c>
      <c r="W2680" s="257" t="s">
        <v>1362</v>
      </c>
      <c r="X2680" t="s">
        <v>1363</v>
      </c>
      <c r="Y2680" s="316" t="s">
        <v>45</v>
      </c>
      <c r="Z2680" s="8">
        <v>80</v>
      </c>
      <c r="AA2680" s="202" t="str">
        <f t="shared" si="42"/>
        <v>Картофель</v>
      </c>
    </row>
    <row r="2681" spans="1:27" ht="15" customHeight="1" x14ac:dyDescent="0.25">
      <c r="A2681" t="s">
        <v>153</v>
      </c>
      <c r="L2681"/>
      <c r="M2681"/>
      <c r="N2681"/>
      <c r="O2681"/>
      <c r="P2681"/>
      <c r="T2681">
        <v>1097</v>
      </c>
      <c r="U2681" s="7">
        <v>3</v>
      </c>
      <c r="V2681" t="s">
        <v>1058</v>
      </c>
      <c r="W2681" s="257" t="s">
        <v>1362</v>
      </c>
      <c r="X2681" t="s">
        <v>1363</v>
      </c>
      <c r="Y2681" s="316" t="s">
        <v>490</v>
      </c>
      <c r="Z2681" s="8">
        <v>10</v>
      </c>
      <c r="AA2681" s="202" t="str">
        <f t="shared" si="42"/>
        <v>Капуста свежая</v>
      </c>
    </row>
    <row r="2682" spans="1:27" ht="15" customHeight="1" x14ac:dyDescent="0.25">
      <c r="A2682" t="s">
        <v>153</v>
      </c>
      <c r="L2682"/>
      <c r="M2682"/>
      <c r="N2682"/>
      <c r="O2682"/>
      <c r="P2682"/>
      <c r="T2682">
        <v>1098</v>
      </c>
      <c r="U2682" s="7">
        <v>3</v>
      </c>
      <c r="V2682" t="s">
        <v>1058</v>
      </c>
      <c r="W2682" s="257" t="s">
        <v>1362</v>
      </c>
      <c r="X2682" t="s">
        <v>1363</v>
      </c>
      <c r="Y2682" s="316" t="s">
        <v>61</v>
      </c>
      <c r="Z2682" s="8">
        <v>8</v>
      </c>
      <c r="AA2682" s="202" t="str">
        <f t="shared" si="42"/>
        <v>Масло растительное</v>
      </c>
    </row>
    <row r="2683" spans="1:27" ht="15" customHeight="1" x14ac:dyDescent="0.25">
      <c r="A2683" t="s">
        <v>153</v>
      </c>
      <c r="L2683"/>
      <c r="M2683"/>
      <c r="N2683"/>
      <c r="O2683"/>
      <c r="P2683"/>
      <c r="T2683">
        <v>1099</v>
      </c>
      <c r="U2683" s="7">
        <v>3</v>
      </c>
      <c r="V2683" t="s">
        <v>1058</v>
      </c>
      <c r="W2683" s="257" t="s">
        <v>1362</v>
      </c>
      <c r="X2683" t="s">
        <v>1363</v>
      </c>
      <c r="Y2683" s="316" t="s">
        <v>46</v>
      </c>
      <c r="Z2683" s="8">
        <v>10</v>
      </c>
      <c r="AA2683" s="202" t="str">
        <f t="shared" si="42"/>
        <v>Морковь</v>
      </c>
    </row>
    <row r="2684" spans="1:27" ht="15" customHeight="1" x14ac:dyDescent="0.25">
      <c r="A2684" t="s">
        <v>153</v>
      </c>
      <c r="L2684"/>
      <c r="M2684"/>
      <c r="N2684"/>
      <c r="O2684"/>
      <c r="P2684"/>
      <c r="T2684">
        <v>1100</v>
      </c>
      <c r="U2684" s="7">
        <v>3</v>
      </c>
      <c r="V2684" t="s">
        <v>1058</v>
      </c>
      <c r="W2684" s="257" t="s">
        <v>1362</v>
      </c>
      <c r="X2684" t="s">
        <v>1363</v>
      </c>
      <c r="Y2684" s="316" t="s">
        <v>32</v>
      </c>
      <c r="Z2684" s="8">
        <v>10</v>
      </c>
      <c r="AA2684" s="202" t="str">
        <f t="shared" si="42"/>
        <v>Лук репчатый</v>
      </c>
    </row>
    <row r="2685" spans="1:27" ht="15" customHeight="1" x14ac:dyDescent="0.25">
      <c r="A2685" t="s">
        <v>153</v>
      </c>
      <c r="L2685"/>
      <c r="M2685"/>
      <c r="N2685"/>
      <c r="O2685"/>
      <c r="P2685"/>
      <c r="T2685">
        <v>1101</v>
      </c>
      <c r="U2685" s="7">
        <v>3</v>
      </c>
      <c r="V2685" t="s">
        <v>1058</v>
      </c>
      <c r="W2685" s="257" t="s">
        <v>1362</v>
      </c>
      <c r="X2685" t="s">
        <v>1363</v>
      </c>
      <c r="Y2685" s="316" t="s">
        <v>442</v>
      </c>
      <c r="AA2685" s="202" t="str">
        <f t="shared" si="42"/>
        <v>Лук зеленый</v>
      </c>
    </row>
    <row r="2686" spans="1:27" ht="15" customHeight="1" x14ac:dyDescent="0.25">
      <c r="A2686" t="s">
        <v>153</v>
      </c>
      <c r="L2686"/>
      <c r="M2686"/>
      <c r="N2686"/>
      <c r="O2686"/>
      <c r="P2686"/>
      <c r="T2686">
        <v>1102</v>
      </c>
      <c r="U2686" s="7">
        <v>3</v>
      </c>
      <c r="V2686" t="s">
        <v>1058</v>
      </c>
      <c r="W2686" s="257" t="s">
        <v>1362</v>
      </c>
      <c r="X2686" t="s">
        <v>1363</v>
      </c>
      <c r="Y2686" s="316" t="s">
        <v>326</v>
      </c>
      <c r="Z2686" s="8">
        <v>1</v>
      </c>
      <c r="AA2686" s="202" t="str">
        <f t="shared" si="42"/>
        <v>Соль</v>
      </c>
    </row>
    <row r="2687" spans="1:27" ht="15" customHeight="1" x14ac:dyDescent="0.25">
      <c r="A2687" t="s">
        <v>153</v>
      </c>
      <c r="L2687"/>
      <c r="M2687"/>
      <c r="N2687"/>
      <c r="O2687"/>
      <c r="P2687"/>
      <c r="T2687">
        <v>1104</v>
      </c>
      <c r="U2687" s="7">
        <v>3</v>
      </c>
      <c r="V2687" t="s">
        <v>1058</v>
      </c>
      <c r="W2687" s="257" t="s">
        <v>1362</v>
      </c>
      <c r="X2687" t="s">
        <v>1363</v>
      </c>
      <c r="Y2687" s="316" t="s">
        <v>558</v>
      </c>
      <c r="Z2687" s="8">
        <v>74</v>
      </c>
      <c r="AA2687" s="202" t="str">
        <f t="shared" si="42"/>
        <v>Общая масса готового блюда, г</v>
      </c>
    </row>
    <row r="2688" spans="1:27" ht="15" customHeight="1" x14ac:dyDescent="0.25">
      <c r="A2688" t="s">
        <v>153</v>
      </c>
      <c r="L2688"/>
      <c r="M2688"/>
      <c r="N2688"/>
      <c r="O2688"/>
      <c r="P2688"/>
      <c r="T2688">
        <v>1105</v>
      </c>
      <c r="U2688" s="7">
        <v>3</v>
      </c>
      <c r="V2688" t="s">
        <v>1058</v>
      </c>
      <c r="W2688" s="257" t="s">
        <v>1362</v>
      </c>
      <c r="X2688" t="s">
        <v>1363</v>
      </c>
      <c r="Y2688" s="316" t="s">
        <v>109</v>
      </c>
      <c r="Z2688" s="8">
        <v>110</v>
      </c>
      <c r="AA2688" s="202" t="str">
        <f t="shared" si="42"/>
        <v>ОКГ</v>
      </c>
    </row>
    <row r="2689" spans="1:27" ht="15" customHeight="1" x14ac:dyDescent="0.25">
      <c r="A2689" t="s">
        <v>153</v>
      </c>
      <c r="L2689"/>
      <c r="M2689"/>
      <c r="N2689"/>
      <c r="O2689"/>
      <c r="P2689"/>
      <c r="T2689">
        <v>1087</v>
      </c>
      <c r="U2689" s="7">
        <v>3</v>
      </c>
      <c r="V2689" t="s">
        <v>1058</v>
      </c>
      <c r="W2689" s="257" t="s">
        <v>1133</v>
      </c>
      <c r="X2689" t="s">
        <v>1134</v>
      </c>
      <c r="Y2689" s="316" t="s">
        <v>45</v>
      </c>
      <c r="Z2689" s="8">
        <v>75</v>
      </c>
      <c r="AA2689" s="202" t="str">
        <f t="shared" si="42"/>
        <v>Картофель</v>
      </c>
    </row>
    <row r="2690" spans="1:27" ht="15" customHeight="1" x14ac:dyDescent="0.25">
      <c r="A2690" t="s">
        <v>153</v>
      </c>
      <c r="L2690"/>
      <c r="M2690"/>
      <c r="N2690"/>
      <c r="O2690"/>
      <c r="P2690"/>
      <c r="T2690">
        <v>1088</v>
      </c>
      <c r="U2690" s="7">
        <v>3</v>
      </c>
      <c r="V2690" t="s">
        <v>1058</v>
      </c>
      <c r="W2690" s="257" t="s">
        <v>1133</v>
      </c>
      <c r="X2690" t="s">
        <v>1134</v>
      </c>
      <c r="Y2690" s="316" t="s">
        <v>440</v>
      </c>
      <c r="Z2690" s="8">
        <v>20</v>
      </c>
      <c r="AA2690" s="202" t="str">
        <f t="shared" ref="AA2690:AA2753" si="43">VLOOKUP(Y2690,O:P,2,FALSE)</f>
        <v>Горошек консерв.</v>
      </c>
    </row>
    <row r="2691" spans="1:27" ht="15" customHeight="1" x14ac:dyDescent="0.25">
      <c r="A2691" t="s">
        <v>153</v>
      </c>
      <c r="L2691"/>
      <c r="M2691"/>
      <c r="N2691"/>
      <c r="O2691"/>
      <c r="P2691"/>
      <c r="T2691">
        <v>1089</v>
      </c>
      <c r="U2691" s="7">
        <v>3</v>
      </c>
      <c r="V2691" t="s">
        <v>1058</v>
      </c>
      <c r="W2691" s="257" t="s">
        <v>1133</v>
      </c>
      <c r="X2691" t="s">
        <v>1134</v>
      </c>
      <c r="Y2691" s="316" t="s">
        <v>61</v>
      </c>
      <c r="Z2691" s="8">
        <v>8</v>
      </c>
      <c r="AA2691" s="202" t="str">
        <f t="shared" si="43"/>
        <v>Масло растительное</v>
      </c>
    </row>
    <row r="2692" spans="1:27" ht="15" customHeight="1" x14ac:dyDescent="0.25">
      <c r="A2692" t="s">
        <v>153</v>
      </c>
      <c r="L2692"/>
      <c r="M2692"/>
      <c r="N2692"/>
      <c r="O2692"/>
      <c r="P2692"/>
      <c r="T2692">
        <v>1090</v>
      </c>
      <c r="U2692" s="7">
        <v>3</v>
      </c>
      <c r="V2692" t="s">
        <v>1058</v>
      </c>
      <c r="W2692" s="257" t="s">
        <v>1133</v>
      </c>
      <c r="X2692" t="s">
        <v>1134</v>
      </c>
      <c r="Y2692" s="316" t="s">
        <v>46</v>
      </c>
      <c r="Z2692" s="8">
        <v>20</v>
      </c>
      <c r="AA2692" s="202" t="str">
        <f t="shared" si="43"/>
        <v>Морковь</v>
      </c>
    </row>
    <row r="2693" spans="1:27" ht="15" customHeight="1" x14ac:dyDescent="0.25">
      <c r="A2693" t="s">
        <v>153</v>
      </c>
      <c r="L2693"/>
      <c r="M2693"/>
      <c r="N2693"/>
      <c r="O2693"/>
      <c r="P2693"/>
      <c r="T2693">
        <v>1091</v>
      </c>
      <c r="U2693" s="7">
        <v>3</v>
      </c>
      <c r="V2693" t="s">
        <v>1058</v>
      </c>
      <c r="W2693" s="257" t="s">
        <v>1133</v>
      </c>
      <c r="X2693" t="s">
        <v>1134</v>
      </c>
      <c r="Y2693" s="316" t="s">
        <v>445</v>
      </c>
      <c r="Z2693" s="8">
        <v>20</v>
      </c>
      <c r="AA2693" s="202" t="str">
        <f t="shared" si="43"/>
        <v>Огурцы консерв.</v>
      </c>
    </row>
    <row r="2694" spans="1:27" ht="15" customHeight="1" x14ac:dyDescent="0.25">
      <c r="A2694" t="s">
        <v>153</v>
      </c>
      <c r="L2694"/>
      <c r="M2694"/>
      <c r="N2694"/>
      <c r="O2694"/>
      <c r="P2694"/>
      <c r="T2694">
        <v>1092</v>
      </c>
      <c r="U2694" s="7">
        <v>3</v>
      </c>
      <c r="V2694" t="s">
        <v>1058</v>
      </c>
      <c r="W2694" s="257" t="s">
        <v>1133</v>
      </c>
      <c r="X2694" t="s">
        <v>1134</v>
      </c>
      <c r="Y2694" s="316" t="s">
        <v>444</v>
      </c>
      <c r="Z2694" s="8">
        <v>10</v>
      </c>
      <c r="AA2694" s="202" t="str">
        <f t="shared" si="43"/>
        <v>Лук репчатый</v>
      </c>
    </row>
    <row r="2695" spans="1:27" ht="15" customHeight="1" x14ac:dyDescent="0.25">
      <c r="A2695" t="s">
        <v>153</v>
      </c>
      <c r="L2695"/>
      <c r="M2695"/>
      <c r="N2695"/>
      <c r="O2695"/>
      <c r="P2695"/>
      <c r="T2695">
        <v>1093</v>
      </c>
      <c r="U2695" s="7">
        <v>3</v>
      </c>
      <c r="V2695" t="s">
        <v>1058</v>
      </c>
      <c r="W2695" s="257" t="s">
        <v>1133</v>
      </c>
      <c r="X2695" t="s">
        <v>1134</v>
      </c>
      <c r="Y2695" s="316" t="s">
        <v>444</v>
      </c>
      <c r="Z2695" s="8">
        <v>15</v>
      </c>
      <c r="AA2695" s="202" t="str">
        <f t="shared" si="43"/>
        <v>Лук репчатый</v>
      </c>
    </row>
    <row r="2696" spans="1:27" ht="15" customHeight="1" x14ac:dyDescent="0.25">
      <c r="A2696" t="s">
        <v>153</v>
      </c>
      <c r="L2696"/>
      <c r="M2696"/>
      <c r="N2696"/>
      <c r="O2696"/>
      <c r="P2696"/>
      <c r="T2696">
        <v>1094</v>
      </c>
      <c r="U2696" s="7">
        <v>3</v>
      </c>
      <c r="V2696" t="s">
        <v>1058</v>
      </c>
      <c r="W2696" s="257" t="s">
        <v>1133</v>
      </c>
      <c r="X2696" t="s">
        <v>1134</v>
      </c>
      <c r="Y2696" s="316" t="s">
        <v>558</v>
      </c>
      <c r="Z2696" s="8">
        <v>103</v>
      </c>
      <c r="AA2696" s="202" t="str">
        <f t="shared" si="43"/>
        <v>Общая масса готового блюда, г</v>
      </c>
    </row>
    <row r="2697" spans="1:27" ht="15" customHeight="1" x14ac:dyDescent="0.25">
      <c r="A2697" t="s">
        <v>153</v>
      </c>
      <c r="L2697"/>
      <c r="M2697"/>
      <c r="N2697"/>
      <c r="O2697"/>
      <c r="P2697"/>
      <c r="T2697">
        <v>1095</v>
      </c>
      <c r="U2697" s="7">
        <v>3</v>
      </c>
      <c r="V2697" t="s">
        <v>1058</v>
      </c>
      <c r="W2697" s="257" t="s">
        <v>1133</v>
      </c>
      <c r="X2697" t="s">
        <v>1134</v>
      </c>
      <c r="Y2697" s="316" t="s">
        <v>109</v>
      </c>
      <c r="Z2697" s="8">
        <v>175</v>
      </c>
      <c r="AA2697" s="202" t="str">
        <f t="shared" si="43"/>
        <v>ОКГ</v>
      </c>
    </row>
    <row r="2698" spans="1:27" ht="15" customHeight="1" x14ac:dyDescent="0.25">
      <c r="A2698" t="s">
        <v>153</v>
      </c>
      <c r="L2698"/>
      <c r="M2698"/>
      <c r="N2698"/>
      <c r="O2698"/>
      <c r="P2698"/>
      <c r="T2698">
        <v>1129</v>
      </c>
      <c r="U2698" s="7">
        <v>3</v>
      </c>
      <c r="V2698" t="s">
        <v>1058</v>
      </c>
      <c r="W2698" s="257" t="s">
        <v>1135</v>
      </c>
      <c r="X2698" t="s">
        <v>1136</v>
      </c>
      <c r="Y2698" s="316" t="s">
        <v>460</v>
      </c>
      <c r="Z2698" s="8">
        <v>24</v>
      </c>
      <c r="AA2698" s="202" t="str">
        <f t="shared" si="43"/>
        <v>Консервы рыбные</v>
      </c>
    </row>
    <row r="2699" spans="1:27" ht="15" customHeight="1" x14ac:dyDescent="0.25">
      <c r="A2699" t="s">
        <v>153</v>
      </c>
      <c r="L2699"/>
      <c r="M2699"/>
      <c r="N2699"/>
      <c r="O2699"/>
      <c r="P2699"/>
      <c r="T2699">
        <v>1129</v>
      </c>
      <c r="U2699" s="7">
        <v>3</v>
      </c>
      <c r="V2699" t="s">
        <v>1058</v>
      </c>
      <c r="W2699" s="257" t="s">
        <v>1135</v>
      </c>
      <c r="X2699" t="s">
        <v>1136</v>
      </c>
      <c r="Y2699" s="316" t="s">
        <v>1214</v>
      </c>
      <c r="Z2699" s="8">
        <v>21.6</v>
      </c>
      <c r="AA2699" s="202" t="str">
        <f t="shared" si="43"/>
        <v>Масса мясных и рыбных порций, г</v>
      </c>
    </row>
    <row r="2700" spans="1:27" ht="15" customHeight="1" x14ac:dyDescent="0.25">
      <c r="A2700" t="s">
        <v>153</v>
      </c>
      <c r="L2700"/>
      <c r="M2700"/>
      <c r="N2700"/>
      <c r="O2700"/>
      <c r="P2700"/>
      <c r="T2700">
        <v>1130</v>
      </c>
      <c r="U2700" s="7">
        <v>3</v>
      </c>
      <c r="V2700" t="s">
        <v>1058</v>
      </c>
      <c r="W2700" s="257" t="s">
        <v>1135</v>
      </c>
      <c r="X2700" t="s">
        <v>1136</v>
      </c>
      <c r="Y2700" s="316" t="s">
        <v>45</v>
      </c>
      <c r="Z2700" s="8">
        <v>85</v>
      </c>
      <c r="AA2700" s="202" t="str">
        <f t="shared" si="43"/>
        <v>Картофель</v>
      </c>
    </row>
    <row r="2701" spans="1:27" ht="15" customHeight="1" x14ac:dyDescent="0.25">
      <c r="A2701" t="s">
        <v>153</v>
      </c>
      <c r="L2701"/>
      <c r="M2701"/>
      <c r="N2701"/>
      <c r="O2701"/>
      <c r="P2701"/>
      <c r="T2701">
        <v>1131</v>
      </c>
      <c r="U2701" s="7">
        <v>3</v>
      </c>
      <c r="V2701" t="s">
        <v>1058</v>
      </c>
      <c r="W2701" s="257" t="s">
        <v>1135</v>
      </c>
      <c r="X2701" t="s">
        <v>1136</v>
      </c>
      <c r="Y2701" s="316" t="s">
        <v>46</v>
      </c>
      <c r="Z2701" s="8">
        <v>15</v>
      </c>
      <c r="AA2701" s="202" t="str">
        <f t="shared" si="43"/>
        <v>Морковь</v>
      </c>
    </row>
    <row r="2702" spans="1:27" ht="15" customHeight="1" x14ac:dyDescent="0.25">
      <c r="A2702" t="s">
        <v>153</v>
      </c>
      <c r="L2702"/>
      <c r="M2702"/>
      <c r="N2702"/>
      <c r="O2702"/>
      <c r="P2702"/>
      <c r="T2702">
        <v>1132</v>
      </c>
      <c r="U2702" s="7">
        <v>3</v>
      </c>
      <c r="V2702" t="s">
        <v>1058</v>
      </c>
      <c r="W2702" s="257" t="s">
        <v>1135</v>
      </c>
      <c r="X2702" t="s">
        <v>1136</v>
      </c>
      <c r="Y2702" s="316" t="s">
        <v>32</v>
      </c>
      <c r="Z2702" s="8">
        <v>15</v>
      </c>
      <c r="AA2702" s="202" t="str">
        <f t="shared" si="43"/>
        <v>Лук репчатый</v>
      </c>
    </row>
    <row r="2703" spans="1:27" ht="15" customHeight="1" x14ac:dyDescent="0.25">
      <c r="A2703" t="s">
        <v>153</v>
      </c>
      <c r="L2703"/>
      <c r="M2703"/>
      <c r="N2703"/>
      <c r="O2703"/>
      <c r="P2703"/>
      <c r="T2703">
        <v>1133</v>
      </c>
      <c r="U2703" s="7">
        <v>3</v>
      </c>
      <c r="V2703" t="s">
        <v>1058</v>
      </c>
      <c r="W2703" s="257" t="s">
        <v>1135</v>
      </c>
      <c r="X2703" t="s">
        <v>1136</v>
      </c>
      <c r="Y2703" s="316" t="s">
        <v>441</v>
      </c>
      <c r="Z2703" s="8">
        <v>20</v>
      </c>
      <c r="AA2703" s="202" t="str">
        <f t="shared" si="43"/>
        <v>Кукуруза консерв.</v>
      </c>
    </row>
    <row r="2704" spans="1:27" ht="15" customHeight="1" x14ac:dyDescent="0.25">
      <c r="A2704" t="s">
        <v>153</v>
      </c>
      <c r="L2704"/>
      <c r="M2704"/>
      <c r="N2704"/>
      <c r="O2704"/>
      <c r="P2704"/>
      <c r="T2704">
        <v>1134</v>
      </c>
      <c r="U2704" s="7">
        <v>3</v>
      </c>
      <c r="V2704" t="s">
        <v>1058</v>
      </c>
      <c r="W2704" s="257" t="s">
        <v>1135</v>
      </c>
      <c r="X2704" t="s">
        <v>1136</v>
      </c>
      <c r="Y2704" s="316" t="s">
        <v>61</v>
      </c>
      <c r="Z2704" s="8">
        <v>8</v>
      </c>
      <c r="AA2704" s="202" t="str">
        <f t="shared" si="43"/>
        <v>Масло растительное</v>
      </c>
    </row>
    <row r="2705" spans="1:27" ht="15" customHeight="1" x14ac:dyDescent="0.25">
      <c r="A2705" t="s">
        <v>153</v>
      </c>
      <c r="L2705"/>
      <c r="M2705"/>
      <c r="N2705"/>
      <c r="O2705"/>
      <c r="P2705"/>
      <c r="T2705">
        <v>1135</v>
      </c>
      <c r="U2705" s="7">
        <v>3</v>
      </c>
      <c r="V2705" t="s">
        <v>1058</v>
      </c>
      <c r="W2705" s="257" t="s">
        <v>1135</v>
      </c>
      <c r="X2705" t="s">
        <v>1136</v>
      </c>
      <c r="Y2705" s="316" t="s">
        <v>326</v>
      </c>
      <c r="Z2705" s="8">
        <v>2</v>
      </c>
      <c r="AA2705" s="202" t="str">
        <f t="shared" si="43"/>
        <v>Соль</v>
      </c>
    </row>
    <row r="2706" spans="1:27" ht="15" customHeight="1" x14ac:dyDescent="0.25">
      <c r="A2706" t="s">
        <v>153</v>
      </c>
      <c r="L2706"/>
      <c r="M2706"/>
      <c r="N2706"/>
      <c r="O2706"/>
      <c r="P2706"/>
      <c r="T2706">
        <v>1136</v>
      </c>
      <c r="U2706" s="7">
        <v>3</v>
      </c>
      <c r="V2706" t="s">
        <v>1058</v>
      </c>
      <c r="W2706" s="257" t="s">
        <v>1135</v>
      </c>
      <c r="X2706" t="s">
        <v>1136</v>
      </c>
      <c r="Y2706" s="316" t="s">
        <v>481</v>
      </c>
      <c r="Z2706" s="8">
        <v>5</v>
      </c>
      <c r="AA2706" s="202" t="str">
        <f t="shared" si="43"/>
        <v>Горчица</v>
      </c>
    </row>
    <row r="2707" spans="1:27" ht="15" customHeight="1" x14ac:dyDescent="0.25">
      <c r="A2707" t="s">
        <v>153</v>
      </c>
      <c r="L2707"/>
      <c r="M2707"/>
      <c r="N2707"/>
      <c r="O2707"/>
      <c r="P2707"/>
      <c r="T2707">
        <v>1139</v>
      </c>
      <c r="U2707" s="7">
        <v>3</v>
      </c>
      <c r="V2707" t="s">
        <v>1058</v>
      </c>
      <c r="W2707" s="257" t="s">
        <v>1135</v>
      </c>
      <c r="X2707" t="s">
        <v>1136</v>
      </c>
      <c r="Y2707" s="316" t="s">
        <v>558</v>
      </c>
      <c r="Z2707" s="8">
        <v>127</v>
      </c>
      <c r="AA2707" s="202" t="str">
        <f t="shared" si="43"/>
        <v>Общая масса готового блюда, г</v>
      </c>
    </row>
    <row r="2708" spans="1:27" ht="15" customHeight="1" x14ac:dyDescent="0.25">
      <c r="A2708" t="s">
        <v>153</v>
      </c>
      <c r="L2708"/>
      <c r="M2708"/>
      <c r="N2708"/>
      <c r="O2708"/>
      <c r="P2708"/>
      <c r="T2708">
        <v>1140</v>
      </c>
      <c r="U2708" s="7">
        <v>3</v>
      </c>
      <c r="V2708" t="s">
        <v>1058</v>
      </c>
      <c r="W2708" s="257" t="s">
        <v>1135</v>
      </c>
      <c r="X2708" t="s">
        <v>1136</v>
      </c>
      <c r="Y2708" s="316" t="s">
        <v>109</v>
      </c>
      <c r="Z2708" s="8">
        <v>175</v>
      </c>
      <c r="AA2708" s="202" t="str">
        <f t="shared" si="43"/>
        <v>ОКГ</v>
      </c>
    </row>
    <row r="2709" spans="1:27" ht="15" customHeight="1" x14ac:dyDescent="0.25">
      <c r="A2709" t="s">
        <v>153</v>
      </c>
      <c r="L2709"/>
      <c r="M2709"/>
      <c r="N2709"/>
      <c r="O2709"/>
      <c r="P2709"/>
      <c r="T2709">
        <v>1141</v>
      </c>
      <c r="U2709" s="7">
        <v>3</v>
      </c>
      <c r="V2709" t="s">
        <v>1058</v>
      </c>
      <c r="W2709" s="257" t="s">
        <v>1137</v>
      </c>
      <c r="X2709" t="s">
        <v>1138</v>
      </c>
      <c r="Y2709" s="316" t="s">
        <v>460</v>
      </c>
      <c r="Z2709" s="8">
        <v>24</v>
      </c>
      <c r="AA2709" s="202" t="str">
        <f t="shared" si="43"/>
        <v>Консервы рыбные</v>
      </c>
    </row>
    <row r="2710" spans="1:27" ht="15" customHeight="1" x14ac:dyDescent="0.25">
      <c r="A2710" t="s">
        <v>153</v>
      </c>
      <c r="L2710"/>
      <c r="M2710"/>
      <c r="N2710"/>
      <c r="O2710"/>
      <c r="P2710"/>
      <c r="T2710">
        <v>1141</v>
      </c>
      <c r="U2710" s="7">
        <v>3</v>
      </c>
      <c r="V2710" t="s">
        <v>1058</v>
      </c>
      <c r="W2710" s="257" t="s">
        <v>1137</v>
      </c>
      <c r="X2710" t="s">
        <v>1138</v>
      </c>
      <c r="Y2710" s="316" t="s">
        <v>1214</v>
      </c>
      <c r="Z2710" s="8">
        <v>21.6</v>
      </c>
      <c r="AA2710" s="202" t="str">
        <f t="shared" si="43"/>
        <v>Масса мясных и рыбных порций, г</v>
      </c>
    </row>
    <row r="2711" spans="1:27" ht="15" customHeight="1" x14ac:dyDescent="0.25">
      <c r="A2711" t="s">
        <v>153</v>
      </c>
      <c r="L2711"/>
      <c r="M2711"/>
      <c r="N2711"/>
      <c r="O2711"/>
      <c r="P2711"/>
      <c r="T2711">
        <v>1142</v>
      </c>
      <c r="U2711" s="7">
        <v>3</v>
      </c>
      <c r="V2711" t="s">
        <v>1058</v>
      </c>
      <c r="W2711" s="257" t="s">
        <v>1137</v>
      </c>
      <c r="X2711" t="s">
        <v>1138</v>
      </c>
      <c r="Y2711" s="316" t="s">
        <v>432</v>
      </c>
      <c r="Z2711" s="8">
        <v>20</v>
      </c>
      <c r="AA2711" s="202" t="str">
        <f t="shared" si="43"/>
        <v>Рис</v>
      </c>
    </row>
    <row r="2712" spans="1:27" ht="15" customHeight="1" x14ac:dyDescent="0.25">
      <c r="A2712" t="s">
        <v>153</v>
      </c>
      <c r="L2712"/>
      <c r="M2712"/>
      <c r="N2712"/>
      <c r="O2712"/>
      <c r="P2712"/>
      <c r="T2712">
        <v>1143</v>
      </c>
      <c r="U2712" s="7">
        <v>3</v>
      </c>
      <c r="V2712" t="s">
        <v>1058</v>
      </c>
      <c r="W2712" s="257" t="s">
        <v>1137</v>
      </c>
      <c r="X2712" t="s">
        <v>1138</v>
      </c>
      <c r="Y2712" s="316" t="s">
        <v>46</v>
      </c>
      <c r="Z2712" s="8">
        <v>12</v>
      </c>
      <c r="AA2712" s="202" t="str">
        <f t="shared" si="43"/>
        <v>Морковь</v>
      </c>
    </row>
    <row r="2713" spans="1:27" ht="15" customHeight="1" x14ac:dyDescent="0.25">
      <c r="A2713" t="s">
        <v>153</v>
      </c>
      <c r="L2713"/>
      <c r="M2713"/>
      <c r="N2713"/>
      <c r="O2713"/>
      <c r="P2713"/>
      <c r="T2713">
        <v>1144</v>
      </c>
      <c r="U2713" s="7">
        <v>3</v>
      </c>
      <c r="V2713" t="s">
        <v>1058</v>
      </c>
      <c r="W2713" s="257" t="s">
        <v>1137</v>
      </c>
      <c r="X2713" t="s">
        <v>1138</v>
      </c>
      <c r="Y2713" s="316" t="s">
        <v>32</v>
      </c>
      <c r="Z2713" s="8">
        <v>10</v>
      </c>
      <c r="AA2713" s="202" t="str">
        <f t="shared" si="43"/>
        <v>Лук репчатый</v>
      </c>
    </row>
    <row r="2714" spans="1:27" ht="15" customHeight="1" x14ac:dyDescent="0.25">
      <c r="A2714" t="s">
        <v>153</v>
      </c>
      <c r="L2714"/>
      <c r="M2714"/>
      <c r="N2714"/>
      <c r="O2714"/>
      <c r="P2714"/>
      <c r="T2714">
        <v>1145</v>
      </c>
      <c r="U2714" s="7">
        <v>3</v>
      </c>
      <c r="V2714" t="s">
        <v>1058</v>
      </c>
      <c r="W2714" s="257" t="s">
        <v>1137</v>
      </c>
      <c r="X2714" t="s">
        <v>1138</v>
      </c>
      <c r="Y2714" s="316" t="s">
        <v>441</v>
      </c>
      <c r="Z2714" s="8">
        <v>20</v>
      </c>
      <c r="AA2714" s="202" t="str">
        <f t="shared" si="43"/>
        <v>Кукуруза консерв.</v>
      </c>
    </row>
    <row r="2715" spans="1:27" ht="15" customHeight="1" x14ac:dyDescent="0.25">
      <c r="A2715" t="s">
        <v>153</v>
      </c>
      <c r="L2715"/>
      <c r="M2715"/>
      <c r="N2715"/>
      <c r="O2715"/>
      <c r="P2715"/>
      <c r="T2715">
        <v>1146</v>
      </c>
      <c r="U2715" s="7">
        <v>3</v>
      </c>
      <c r="V2715" t="s">
        <v>1058</v>
      </c>
      <c r="W2715" s="257" t="s">
        <v>1137</v>
      </c>
      <c r="X2715" t="s">
        <v>1138</v>
      </c>
      <c r="Y2715" s="316" t="s">
        <v>61</v>
      </c>
      <c r="Z2715" s="8">
        <v>8</v>
      </c>
      <c r="AA2715" s="202" t="str">
        <f t="shared" si="43"/>
        <v>Масло растительное</v>
      </c>
    </row>
    <row r="2716" spans="1:27" ht="15" customHeight="1" x14ac:dyDescent="0.25">
      <c r="A2716" t="s">
        <v>153</v>
      </c>
      <c r="L2716"/>
      <c r="M2716"/>
      <c r="N2716"/>
      <c r="O2716"/>
      <c r="P2716"/>
      <c r="T2716">
        <v>1147</v>
      </c>
      <c r="U2716" s="7">
        <v>3</v>
      </c>
      <c r="V2716" t="s">
        <v>1058</v>
      </c>
      <c r="W2716" s="257" t="s">
        <v>1137</v>
      </c>
      <c r="X2716" t="s">
        <v>1138</v>
      </c>
      <c r="Y2716" s="316" t="s">
        <v>326</v>
      </c>
      <c r="Z2716" s="8">
        <v>2</v>
      </c>
      <c r="AA2716" s="202" t="str">
        <f t="shared" si="43"/>
        <v>Соль</v>
      </c>
    </row>
    <row r="2717" spans="1:27" ht="15" customHeight="1" x14ac:dyDescent="0.25">
      <c r="A2717" t="s">
        <v>153</v>
      </c>
      <c r="L2717"/>
      <c r="M2717"/>
      <c r="N2717"/>
      <c r="O2717"/>
      <c r="P2717"/>
      <c r="T2717">
        <v>1148</v>
      </c>
      <c r="U2717" s="7">
        <v>3</v>
      </c>
      <c r="V2717" t="s">
        <v>1058</v>
      </c>
      <c r="W2717" s="257" t="s">
        <v>1137</v>
      </c>
      <c r="X2717" t="s">
        <v>1138</v>
      </c>
      <c r="Y2717" s="316" t="s">
        <v>481</v>
      </c>
      <c r="Z2717" s="8">
        <v>5</v>
      </c>
      <c r="AA2717" s="202" t="str">
        <f t="shared" si="43"/>
        <v>Горчица</v>
      </c>
    </row>
    <row r="2718" spans="1:27" ht="15" customHeight="1" x14ac:dyDescent="0.25">
      <c r="A2718" t="s">
        <v>153</v>
      </c>
      <c r="L2718"/>
      <c r="M2718"/>
      <c r="N2718"/>
      <c r="O2718"/>
      <c r="P2718"/>
      <c r="T2718">
        <v>1150</v>
      </c>
      <c r="U2718" s="7">
        <v>3</v>
      </c>
      <c r="V2718" t="s">
        <v>1058</v>
      </c>
      <c r="W2718" s="257" t="s">
        <v>1137</v>
      </c>
      <c r="X2718" t="s">
        <v>1138</v>
      </c>
      <c r="Y2718" s="316" t="s">
        <v>109</v>
      </c>
      <c r="Z2718" s="8">
        <v>175</v>
      </c>
      <c r="AA2718" s="202" t="str">
        <f t="shared" si="43"/>
        <v>ОКГ</v>
      </c>
    </row>
    <row r="2719" spans="1:27" ht="15" customHeight="1" x14ac:dyDescent="0.25">
      <c r="A2719" t="s">
        <v>153</v>
      </c>
      <c r="L2719"/>
      <c r="M2719"/>
      <c r="N2719"/>
      <c r="O2719"/>
      <c r="P2719"/>
      <c r="T2719">
        <v>1151</v>
      </c>
      <c r="U2719" s="7">
        <v>3</v>
      </c>
      <c r="V2719" t="s">
        <v>1058</v>
      </c>
      <c r="W2719" s="257" t="s">
        <v>1137</v>
      </c>
      <c r="X2719" t="s">
        <v>1138</v>
      </c>
      <c r="Y2719" s="316" t="s">
        <v>558</v>
      </c>
      <c r="Z2719" s="8">
        <v>116</v>
      </c>
      <c r="AA2719" s="202" t="str">
        <f t="shared" si="43"/>
        <v>Общая масса готового блюда, г</v>
      </c>
    </row>
    <row r="2720" spans="1:27" ht="15" customHeight="1" x14ac:dyDescent="0.25">
      <c r="A2720" t="s">
        <v>153</v>
      </c>
      <c r="L2720"/>
      <c r="M2720"/>
      <c r="N2720"/>
      <c r="O2720"/>
      <c r="P2720"/>
      <c r="T2720">
        <v>2883</v>
      </c>
      <c r="U2720" s="7">
        <v>3</v>
      </c>
      <c r="V2720" t="s">
        <v>1192</v>
      </c>
      <c r="W2720" s="257" t="s">
        <v>165</v>
      </c>
      <c r="X2720" t="s">
        <v>165</v>
      </c>
      <c r="Y2720" s="316" t="s">
        <v>62</v>
      </c>
      <c r="Z2720" s="8">
        <v>15</v>
      </c>
      <c r="AA2720" s="202" t="str">
        <f t="shared" si="43"/>
        <v>Сало-шпик</v>
      </c>
    </row>
    <row r="2721" spans="1:27" ht="15" customHeight="1" x14ac:dyDescent="0.25">
      <c r="A2721" t="s">
        <v>153</v>
      </c>
      <c r="L2721"/>
      <c r="M2721"/>
      <c r="N2721"/>
      <c r="O2721"/>
      <c r="P2721"/>
      <c r="T2721">
        <v>2884</v>
      </c>
      <c r="U2721" s="7">
        <v>3</v>
      </c>
      <c r="V2721" t="s">
        <v>1192</v>
      </c>
      <c r="W2721" s="257" t="s">
        <v>165</v>
      </c>
      <c r="X2721" t="s">
        <v>165</v>
      </c>
      <c r="Y2721" s="316" t="s">
        <v>558</v>
      </c>
      <c r="Z2721" s="8">
        <v>15</v>
      </c>
      <c r="AA2721" s="202" t="str">
        <f t="shared" si="43"/>
        <v>Общая масса готового блюда, г</v>
      </c>
    </row>
    <row r="2722" spans="1:27" ht="15" customHeight="1" x14ac:dyDescent="0.25">
      <c r="A2722" t="s">
        <v>153</v>
      </c>
      <c r="L2722"/>
      <c r="M2722"/>
      <c r="N2722"/>
      <c r="O2722"/>
      <c r="P2722"/>
      <c r="T2722">
        <v>2275</v>
      </c>
      <c r="U2722" s="7">
        <v>3</v>
      </c>
      <c r="V2722" t="s">
        <v>613</v>
      </c>
      <c r="W2722" s="257" t="s">
        <v>937</v>
      </c>
      <c r="X2722" t="s">
        <v>1193</v>
      </c>
      <c r="Y2722" s="316" t="s">
        <v>475</v>
      </c>
      <c r="Z2722" s="8">
        <v>80</v>
      </c>
      <c r="AA2722" s="202" t="str">
        <f t="shared" si="43"/>
        <v>Сардельки</v>
      </c>
    </row>
    <row r="2723" spans="1:27" ht="15" customHeight="1" x14ac:dyDescent="0.25">
      <c r="A2723" t="s">
        <v>153</v>
      </c>
      <c r="L2723"/>
      <c r="M2723"/>
      <c r="N2723"/>
      <c r="O2723"/>
      <c r="P2723"/>
      <c r="T2723">
        <v>2276</v>
      </c>
      <c r="U2723" s="7">
        <v>3</v>
      </c>
      <c r="V2723" t="s">
        <v>613</v>
      </c>
      <c r="W2723" s="257" t="s">
        <v>937</v>
      </c>
      <c r="X2723" t="s">
        <v>1193</v>
      </c>
      <c r="Y2723" s="316" t="s">
        <v>558</v>
      </c>
      <c r="Z2723" s="8">
        <v>78</v>
      </c>
      <c r="AA2723" s="202" t="str">
        <f t="shared" si="43"/>
        <v>Общая масса готового блюда, г</v>
      </c>
    </row>
    <row r="2724" spans="1:27" ht="15" customHeight="1" x14ac:dyDescent="0.25">
      <c r="A2724" t="s">
        <v>153</v>
      </c>
      <c r="L2724"/>
      <c r="M2724"/>
      <c r="N2724"/>
      <c r="O2724"/>
      <c r="P2724"/>
      <c r="T2724">
        <v>2276</v>
      </c>
      <c r="U2724" s="7">
        <v>3</v>
      </c>
      <c r="V2724" t="s">
        <v>613</v>
      </c>
      <c r="W2724" s="257" t="s">
        <v>937</v>
      </c>
      <c r="X2724" t="s">
        <v>1193</v>
      </c>
      <c r="Y2724" s="316" t="s">
        <v>1214</v>
      </c>
      <c r="Z2724" s="8">
        <v>78</v>
      </c>
      <c r="AA2724" s="202" t="str">
        <f t="shared" si="43"/>
        <v>Масса мясных и рыбных порций, г</v>
      </c>
    </row>
    <row r="2725" spans="1:27" ht="15" customHeight="1" x14ac:dyDescent="0.25">
      <c r="A2725" t="s">
        <v>153</v>
      </c>
      <c r="L2725"/>
      <c r="M2725"/>
      <c r="N2725"/>
      <c r="O2725"/>
      <c r="P2725"/>
      <c r="T2725">
        <v>2885</v>
      </c>
      <c r="U2725" s="7">
        <v>3</v>
      </c>
      <c r="V2725" t="s">
        <v>1192</v>
      </c>
      <c r="W2725" s="257" t="s">
        <v>53</v>
      </c>
      <c r="X2725" t="s">
        <v>53</v>
      </c>
      <c r="Y2725" s="316" t="s">
        <v>53</v>
      </c>
      <c r="Z2725" s="8">
        <v>25</v>
      </c>
      <c r="AA2725" s="202" t="str">
        <f t="shared" si="43"/>
        <v>Сахар</v>
      </c>
    </row>
    <row r="2726" spans="1:27" ht="15" customHeight="1" x14ac:dyDescent="0.25">
      <c r="A2726" t="s">
        <v>153</v>
      </c>
      <c r="L2726"/>
      <c r="M2726"/>
      <c r="N2726"/>
      <c r="O2726"/>
      <c r="P2726"/>
      <c r="T2726">
        <v>2886</v>
      </c>
      <c r="U2726" s="7">
        <v>3</v>
      </c>
      <c r="V2726" t="s">
        <v>1192</v>
      </c>
      <c r="W2726" s="257" t="s">
        <v>53</v>
      </c>
      <c r="X2726" t="s">
        <v>53</v>
      </c>
      <c r="Y2726" s="316" t="s">
        <v>558</v>
      </c>
      <c r="Z2726" s="8">
        <v>25</v>
      </c>
      <c r="AA2726" s="202" t="str">
        <f t="shared" si="43"/>
        <v>Общая масса готового блюда, г</v>
      </c>
    </row>
    <row r="2727" spans="1:27" ht="15" customHeight="1" x14ac:dyDescent="0.25">
      <c r="A2727" t="s">
        <v>153</v>
      </c>
      <c r="L2727"/>
      <c r="M2727"/>
      <c r="N2727"/>
      <c r="O2727"/>
      <c r="P2727"/>
      <c r="T2727">
        <v>796</v>
      </c>
      <c r="U2727" s="7">
        <v>3</v>
      </c>
      <c r="V2727" t="s">
        <v>966</v>
      </c>
      <c r="W2727" s="257" t="s">
        <v>1050</v>
      </c>
      <c r="X2727" t="s">
        <v>1051</v>
      </c>
      <c r="Y2727" s="316" t="s">
        <v>48</v>
      </c>
      <c r="Z2727" s="8">
        <v>368</v>
      </c>
      <c r="AA2727" s="202" t="str">
        <f t="shared" si="43"/>
        <v>Свекла</v>
      </c>
    </row>
    <row r="2728" spans="1:27" ht="15" customHeight="1" x14ac:dyDescent="0.25">
      <c r="A2728" t="s">
        <v>153</v>
      </c>
      <c r="L2728"/>
      <c r="M2728"/>
      <c r="N2728"/>
      <c r="O2728"/>
      <c r="P2728"/>
      <c r="T2728">
        <v>797</v>
      </c>
      <c r="U2728" s="7">
        <v>3</v>
      </c>
      <c r="V2728" t="s">
        <v>966</v>
      </c>
      <c r="W2728" s="257" t="s">
        <v>1050</v>
      </c>
      <c r="X2728" t="s">
        <v>1051</v>
      </c>
      <c r="Y2728" s="316" t="s">
        <v>54</v>
      </c>
      <c r="Z2728" s="8">
        <v>10</v>
      </c>
      <c r="AA2728" s="202" t="str">
        <f t="shared" si="43"/>
        <v>Сметана</v>
      </c>
    </row>
    <row r="2729" spans="1:27" ht="15" customHeight="1" x14ac:dyDescent="0.25">
      <c r="A2729" t="s">
        <v>153</v>
      </c>
      <c r="L2729"/>
      <c r="M2729"/>
      <c r="N2729"/>
      <c r="O2729"/>
      <c r="P2729"/>
      <c r="T2729">
        <v>798</v>
      </c>
      <c r="U2729" s="7">
        <v>3</v>
      </c>
      <c r="V2729" t="s">
        <v>966</v>
      </c>
      <c r="W2729" s="257" t="s">
        <v>1050</v>
      </c>
      <c r="X2729" t="s">
        <v>1051</v>
      </c>
      <c r="Y2729" s="316" t="s">
        <v>32</v>
      </c>
      <c r="Z2729" s="8">
        <v>30</v>
      </c>
      <c r="AA2729" s="202" t="str">
        <f t="shared" si="43"/>
        <v>Лук репчатый</v>
      </c>
    </row>
    <row r="2730" spans="1:27" ht="15" customHeight="1" x14ac:dyDescent="0.25">
      <c r="A2730" t="s">
        <v>153</v>
      </c>
      <c r="L2730"/>
      <c r="M2730"/>
      <c r="N2730"/>
      <c r="O2730"/>
      <c r="P2730"/>
      <c r="T2730">
        <v>799</v>
      </c>
      <c r="U2730" s="7">
        <v>3</v>
      </c>
      <c r="V2730" t="s">
        <v>966</v>
      </c>
      <c r="W2730" s="257" t="s">
        <v>1050</v>
      </c>
      <c r="X2730" t="s">
        <v>1051</v>
      </c>
      <c r="Y2730" s="316" t="s">
        <v>434</v>
      </c>
      <c r="Z2730" s="8">
        <v>2</v>
      </c>
      <c r="AA2730" s="202" t="str">
        <f t="shared" si="43"/>
        <v>Мука пшеничная 1 с</v>
      </c>
    </row>
    <row r="2731" spans="1:27" ht="15" customHeight="1" x14ac:dyDescent="0.25">
      <c r="A2731" t="s">
        <v>153</v>
      </c>
      <c r="L2731"/>
      <c r="M2731"/>
      <c r="N2731"/>
      <c r="O2731"/>
      <c r="P2731"/>
      <c r="T2731">
        <v>800</v>
      </c>
      <c r="U2731" s="7">
        <v>3</v>
      </c>
      <c r="V2731" t="s">
        <v>966</v>
      </c>
      <c r="W2731" s="257" t="s">
        <v>1050</v>
      </c>
      <c r="X2731" t="s">
        <v>1051</v>
      </c>
      <c r="Y2731" s="316" t="s">
        <v>480</v>
      </c>
      <c r="Z2731" s="8">
        <v>50</v>
      </c>
      <c r="AA2731" s="202" t="str">
        <f t="shared" si="43"/>
        <v>Вода или бульон</v>
      </c>
    </row>
    <row r="2732" spans="1:27" ht="15" customHeight="1" x14ac:dyDescent="0.25">
      <c r="A2732" t="s">
        <v>153</v>
      </c>
      <c r="L2732"/>
      <c r="M2732"/>
      <c r="N2732"/>
      <c r="O2732"/>
      <c r="P2732"/>
      <c r="T2732">
        <v>801</v>
      </c>
      <c r="U2732" s="7">
        <v>3</v>
      </c>
      <c r="V2732" t="s">
        <v>966</v>
      </c>
      <c r="W2732" s="257" t="s">
        <v>1050</v>
      </c>
      <c r="X2732" t="s">
        <v>1051</v>
      </c>
      <c r="Y2732" s="316" t="s">
        <v>61</v>
      </c>
      <c r="Z2732" s="8">
        <v>4</v>
      </c>
      <c r="AA2732" s="202" t="str">
        <f t="shared" si="43"/>
        <v>Масло растительное</v>
      </c>
    </row>
    <row r="2733" spans="1:27" ht="15" customHeight="1" x14ac:dyDescent="0.25">
      <c r="A2733" t="s">
        <v>153</v>
      </c>
      <c r="L2733"/>
      <c r="M2733"/>
      <c r="N2733"/>
      <c r="O2733"/>
      <c r="P2733"/>
      <c r="T2733">
        <v>802</v>
      </c>
      <c r="U2733" s="7">
        <v>3</v>
      </c>
      <c r="V2733" t="s">
        <v>966</v>
      </c>
      <c r="W2733" s="257" t="s">
        <v>1050</v>
      </c>
      <c r="X2733" t="s">
        <v>1051</v>
      </c>
      <c r="Y2733" s="316" t="s">
        <v>326</v>
      </c>
      <c r="Z2733" s="8">
        <v>3</v>
      </c>
      <c r="AA2733" s="202" t="str">
        <f t="shared" si="43"/>
        <v>Соль</v>
      </c>
    </row>
    <row r="2734" spans="1:27" ht="15" customHeight="1" x14ac:dyDescent="0.25">
      <c r="A2734" t="s">
        <v>153</v>
      </c>
      <c r="L2734"/>
      <c r="M2734"/>
      <c r="N2734"/>
      <c r="O2734"/>
      <c r="P2734"/>
      <c r="T2734">
        <v>803</v>
      </c>
      <c r="U2734" s="7">
        <v>3</v>
      </c>
      <c r="V2734" t="s">
        <v>966</v>
      </c>
      <c r="W2734" s="257" t="s">
        <v>1050</v>
      </c>
      <c r="X2734" t="s">
        <v>1051</v>
      </c>
      <c r="Y2734" s="316" t="s">
        <v>74</v>
      </c>
      <c r="Z2734" s="8">
        <v>0.02</v>
      </c>
      <c r="AA2734" s="202" t="str">
        <f t="shared" si="43"/>
        <v>Лавровый лист</v>
      </c>
    </row>
    <row r="2735" spans="1:27" ht="15" customHeight="1" x14ac:dyDescent="0.25">
      <c r="A2735" t="s">
        <v>153</v>
      </c>
      <c r="L2735"/>
      <c r="M2735"/>
      <c r="N2735"/>
      <c r="O2735"/>
      <c r="P2735"/>
      <c r="T2735">
        <v>804</v>
      </c>
      <c r="U2735" s="7">
        <v>3</v>
      </c>
      <c r="V2735" t="s">
        <v>966</v>
      </c>
      <c r="W2735" s="257" t="s">
        <v>1050</v>
      </c>
      <c r="X2735" t="s">
        <v>1051</v>
      </c>
      <c r="Y2735" s="316" t="s">
        <v>484</v>
      </c>
      <c r="Z2735" s="8">
        <v>0.05</v>
      </c>
      <c r="AA2735" s="202" t="str">
        <f t="shared" si="43"/>
        <v>Перец черный</v>
      </c>
    </row>
    <row r="2736" spans="1:27" ht="15" customHeight="1" x14ac:dyDescent="0.25">
      <c r="A2736" t="s">
        <v>153</v>
      </c>
      <c r="L2736"/>
      <c r="M2736"/>
      <c r="N2736"/>
      <c r="O2736"/>
      <c r="P2736"/>
      <c r="T2736">
        <v>805</v>
      </c>
      <c r="U2736" s="7">
        <v>3</v>
      </c>
      <c r="V2736" t="s">
        <v>966</v>
      </c>
      <c r="W2736" s="257" t="s">
        <v>1050</v>
      </c>
      <c r="X2736" t="s">
        <v>1051</v>
      </c>
      <c r="Y2736" s="316" t="s">
        <v>558</v>
      </c>
      <c r="Z2736" s="8">
        <v>324</v>
      </c>
      <c r="AA2736" s="202" t="str">
        <f t="shared" si="43"/>
        <v>Общая масса готового блюда, г</v>
      </c>
    </row>
    <row r="2737" spans="1:27" ht="15" customHeight="1" x14ac:dyDescent="0.25">
      <c r="A2737" t="s">
        <v>153</v>
      </c>
      <c r="L2737"/>
      <c r="M2737"/>
      <c r="N2737"/>
      <c r="O2737"/>
      <c r="P2737"/>
      <c r="T2737">
        <v>805</v>
      </c>
      <c r="U2737" s="7">
        <v>3</v>
      </c>
      <c r="V2737" t="s">
        <v>966</v>
      </c>
      <c r="W2737" s="257" t="s">
        <v>1050</v>
      </c>
      <c r="X2737" t="s">
        <v>1051</v>
      </c>
      <c r="Y2737" s="316" t="s">
        <v>109</v>
      </c>
      <c r="Z2737" s="8">
        <v>415</v>
      </c>
      <c r="AA2737" s="202" t="str">
        <f t="shared" si="43"/>
        <v>ОКГ</v>
      </c>
    </row>
    <row r="2738" spans="1:27" ht="15" customHeight="1" x14ac:dyDescent="0.25">
      <c r="A2738" t="s">
        <v>153</v>
      </c>
      <c r="L2738"/>
      <c r="M2738"/>
      <c r="N2738"/>
      <c r="O2738"/>
      <c r="P2738"/>
      <c r="T2738">
        <v>1115</v>
      </c>
      <c r="U2738" s="7">
        <v>3</v>
      </c>
      <c r="V2738" t="s">
        <v>1058</v>
      </c>
      <c r="W2738" s="257" t="s">
        <v>1139</v>
      </c>
      <c r="X2738" t="s">
        <v>1140</v>
      </c>
      <c r="Y2738" s="316" t="s">
        <v>1239</v>
      </c>
      <c r="Z2738" s="8">
        <v>30</v>
      </c>
      <c r="AA2738" s="202" t="str">
        <f t="shared" si="43"/>
        <v>Сельдь с/г</v>
      </c>
    </row>
    <row r="2739" spans="1:27" ht="15" customHeight="1" x14ac:dyDescent="0.25">
      <c r="A2739" t="s">
        <v>153</v>
      </c>
      <c r="L2739"/>
      <c r="M2739"/>
      <c r="N2739"/>
      <c r="O2739"/>
      <c r="P2739"/>
      <c r="T2739">
        <v>1115</v>
      </c>
      <c r="U2739" s="7">
        <v>3</v>
      </c>
      <c r="V2739" t="s">
        <v>1058</v>
      </c>
      <c r="W2739" s="257" t="s">
        <v>1139</v>
      </c>
      <c r="X2739" t="s">
        <v>1140</v>
      </c>
      <c r="Y2739" s="316" t="s">
        <v>1214</v>
      </c>
      <c r="Z2739" s="8">
        <v>14.4</v>
      </c>
      <c r="AA2739" s="202" t="str">
        <f t="shared" si="43"/>
        <v>Масса мясных и рыбных порций, г</v>
      </c>
    </row>
    <row r="2740" spans="1:27" ht="15" customHeight="1" x14ac:dyDescent="0.25">
      <c r="A2740" t="s">
        <v>153</v>
      </c>
      <c r="L2740"/>
      <c r="M2740"/>
      <c r="N2740"/>
      <c r="O2740"/>
      <c r="P2740"/>
      <c r="T2740">
        <v>1116</v>
      </c>
      <c r="U2740" s="7">
        <v>3</v>
      </c>
      <c r="V2740" t="s">
        <v>1058</v>
      </c>
      <c r="W2740" s="257" t="s">
        <v>1139</v>
      </c>
      <c r="X2740" t="s">
        <v>1140</v>
      </c>
      <c r="Y2740" s="316" t="s">
        <v>45</v>
      </c>
      <c r="Z2740" s="8">
        <v>85</v>
      </c>
      <c r="AA2740" s="202" t="str">
        <f t="shared" si="43"/>
        <v>Картофель</v>
      </c>
    </row>
    <row r="2741" spans="1:27" ht="15" customHeight="1" x14ac:dyDescent="0.25">
      <c r="A2741" t="s">
        <v>153</v>
      </c>
      <c r="L2741"/>
      <c r="M2741"/>
      <c r="N2741"/>
      <c r="O2741"/>
      <c r="P2741"/>
      <c r="T2741">
        <v>1117</v>
      </c>
      <c r="U2741" s="7">
        <v>3</v>
      </c>
      <c r="V2741" t="s">
        <v>1058</v>
      </c>
      <c r="W2741" s="257" t="s">
        <v>1139</v>
      </c>
      <c r="X2741" t="s">
        <v>1140</v>
      </c>
      <c r="Y2741" s="316" t="s">
        <v>46</v>
      </c>
      <c r="Z2741" s="8">
        <v>25</v>
      </c>
      <c r="AA2741" s="202" t="str">
        <f t="shared" si="43"/>
        <v>Морковь</v>
      </c>
    </row>
    <row r="2742" spans="1:27" ht="15" customHeight="1" x14ac:dyDescent="0.25">
      <c r="A2742" t="s">
        <v>153</v>
      </c>
      <c r="L2742"/>
      <c r="M2742"/>
      <c r="N2742"/>
      <c r="O2742"/>
      <c r="P2742"/>
      <c r="T2742">
        <v>1118</v>
      </c>
      <c r="U2742" s="7">
        <v>3</v>
      </c>
      <c r="V2742" t="s">
        <v>1058</v>
      </c>
      <c r="W2742" s="257" t="s">
        <v>1139</v>
      </c>
      <c r="X2742" t="s">
        <v>1140</v>
      </c>
      <c r="Y2742" s="316" t="s">
        <v>48</v>
      </c>
      <c r="Z2742" s="8">
        <v>42</v>
      </c>
      <c r="AA2742" s="202" t="str">
        <f t="shared" si="43"/>
        <v>Свекла</v>
      </c>
    </row>
    <row r="2743" spans="1:27" ht="15" customHeight="1" x14ac:dyDescent="0.25">
      <c r="A2743" t="s">
        <v>153</v>
      </c>
      <c r="L2743"/>
      <c r="M2743"/>
      <c r="N2743"/>
      <c r="O2743"/>
      <c r="P2743"/>
      <c r="T2743">
        <v>1119</v>
      </c>
      <c r="U2743" s="7">
        <v>3</v>
      </c>
      <c r="V2743" t="s">
        <v>1058</v>
      </c>
      <c r="W2743" s="257" t="s">
        <v>1139</v>
      </c>
      <c r="X2743" t="s">
        <v>1140</v>
      </c>
      <c r="Y2743" s="316" t="s">
        <v>32</v>
      </c>
      <c r="Z2743" s="8">
        <v>10</v>
      </c>
      <c r="AA2743" s="202" t="str">
        <f t="shared" si="43"/>
        <v>Лук репчатый</v>
      </c>
    </row>
    <row r="2744" spans="1:27" ht="15" customHeight="1" x14ac:dyDescent="0.25">
      <c r="A2744" t="s">
        <v>153</v>
      </c>
      <c r="L2744"/>
      <c r="M2744"/>
      <c r="N2744"/>
      <c r="O2744"/>
      <c r="P2744"/>
      <c r="T2744">
        <v>1120</v>
      </c>
      <c r="U2744" s="7">
        <v>3</v>
      </c>
      <c r="V2744" t="s">
        <v>1058</v>
      </c>
      <c r="W2744" s="257" t="s">
        <v>1139</v>
      </c>
      <c r="X2744" t="s">
        <v>1140</v>
      </c>
      <c r="Y2744" s="316" t="s">
        <v>61</v>
      </c>
      <c r="Z2744" s="8">
        <v>8</v>
      </c>
      <c r="AA2744" s="202" t="str">
        <f t="shared" si="43"/>
        <v>Масло растительное</v>
      </c>
    </row>
    <row r="2745" spans="1:27" ht="15" customHeight="1" x14ac:dyDescent="0.25">
      <c r="A2745" t="s">
        <v>153</v>
      </c>
      <c r="L2745"/>
      <c r="M2745"/>
      <c r="N2745"/>
      <c r="O2745"/>
      <c r="P2745"/>
      <c r="T2745">
        <v>1121</v>
      </c>
      <c r="U2745" s="7">
        <v>3</v>
      </c>
      <c r="V2745" t="s">
        <v>1058</v>
      </c>
      <c r="W2745" s="257" t="s">
        <v>1139</v>
      </c>
      <c r="X2745" t="s">
        <v>1140</v>
      </c>
      <c r="Y2745" s="316" t="s">
        <v>481</v>
      </c>
      <c r="Z2745" s="8">
        <v>5</v>
      </c>
      <c r="AA2745" s="202" t="str">
        <f t="shared" si="43"/>
        <v>Горчица</v>
      </c>
    </row>
    <row r="2746" spans="1:27" ht="15" customHeight="1" x14ac:dyDescent="0.25">
      <c r="A2746" t="s">
        <v>153</v>
      </c>
      <c r="L2746"/>
      <c r="M2746"/>
      <c r="N2746"/>
      <c r="O2746"/>
      <c r="P2746"/>
      <c r="T2746">
        <v>1122</v>
      </c>
      <c r="U2746" s="7">
        <v>3</v>
      </c>
      <c r="V2746" t="s">
        <v>1058</v>
      </c>
      <c r="W2746" s="257" t="s">
        <v>1139</v>
      </c>
      <c r="X2746" t="s">
        <v>1140</v>
      </c>
      <c r="Y2746" s="316" t="s">
        <v>326</v>
      </c>
      <c r="Z2746" s="8">
        <v>2</v>
      </c>
      <c r="AA2746" s="202" t="str">
        <f t="shared" si="43"/>
        <v>Соль</v>
      </c>
    </row>
    <row r="2747" spans="1:27" ht="15" customHeight="1" x14ac:dyDescent="0.25">
      <c r="A2747" t="s">
        <v>153</v>
      </c>
      <c r="L2747"/>
      <c r="M2747"/>
      <c r="N2747"/>
      <c r="O2747"/>
      <c r="P2747"/>
      <c r="T2747">
        <v>1123</v>
      </c>
      <c r="U2747" s="7">
        <v>3</v>
      </c>
      <c r="V2747" t="s">
        <v>1058</v>
      </c>
      <c r="W2747" s="257" t="s">
        <v>1139</v>
      </c>
      <c r="X2747" t="s">
        <v>1140</v>
      </c>
      <c r="Y2747" s="316" t="s">
        <v>70</v>
      </c>
      <c r="Z2747" s="8">
        <v>3</v>
      </c>
      <c r="AA2747" s="202" t="str">
        <f t="shared" si="43"/>
        <v>Зелень</v>
      </c>
    </row>
    <row r="2748" spans="1:27" ht="15" customHeight="1" x14ac:dyDescent="0.25">
      <c r="A2748" t="s">
        <v>153</v>
      </c>
      <c r="L2748"/>
      <c r="M2748"/>
      <c r="N2748"/>
      <c r="O2748"/>
      <c r="P2748"/>
      <c r="T2748">
        <v>1127</v>
      </c>
      <c r="U2748" s="7">
        <v>3</v>
      </c>
      <c r="V2748" t="s">
        <v>1058</v>
      </c>
      <c r="W2748" s="257" t="s">
        <v>1139</v>
      </c>
      <c r="X2748" t="s">
        <v>1140</v>
      </c>
      <c r="Y2748" s="316" t="s">
        <v>558</v>
      </c>
      <c r="Z2748" s="8">
        <v>139</v>
      </c>
      <c r="AA2748" s="202" t="str">
        <f t="shared" si="43"/>
        <v>Общая масса готового блюда, г</v>
      </c>
    </row>
    <row r="2749" spans="1:27" ht="15" customHeight="1" x14ac:dyDescent="0.25">
      <c r="A2749" t="s">
        <v>153</v>
      </c>
      <c r="L2749"/>
      <c r="M2749"/>
      <c r="N2749"/>
      <c r="O2749"/>
      <c r="P2749"/>
      <c r="T2749">
        <v>1128</v>
      </c>
      <c r="U2749" s="7">
        <v>3</v>
      </c>
      <c r="V2749" t="s">
        <v>1058</v>
      </c>
      <c r="W2749" s="257" t="s">
        <v>1139</v>
      </c>
      <c r="X2749" t="s">
        <v>1140</v>
      </c>
      <c r="Y2749" s="316" t="s">
        <v>109</v>
      </c>
      <c r="Z2749" s="8">
        <v>175</v>
      </c>
      <c r="AA2749" s="202" t="str">
        <f t="shared" si="43"/>
        <v>ОКГ</v>
      </c>
    </row>
    <row r="2750" spans="1:27" ht="15" customHeight="1" x14ac:dyDescent="0.25">
      <c r="A2750" t="s">
        <v>153</v>
      </c>
      <c r="L2750"/>
      <c r="M2750"/>
      <c r="N2750"/>
      <c r="O2750"/>
      <c r="P2750"/>
      <c r="T2750">
        <v>866</v>
      </c>
      <c r="U2750" s="7">
        <v>3</v>
      </c>
      <c r="V2750" t="s">
        <v>1058</v>
      </c>
      <c r="W2750" s="257" t="s">
        <v>1141</v>
      </c>
      <c r="X2750" t="s">
        <v>1142</v>
      </c>
      <c r="Y2750" s="316" t="s">
        <v>32</v>
      </c>
      <c r="Z2750" s="8">
        <v>8</v>
      </c>
      <c r="AA2750" s="202" t="str">
        <f t="shared" si="43"/>
        <v>Лук репчатый</v>
      </c>
    </row>
    <row r="2751" spans="1:27" ht="15" customHeight="1" x14ac:dyDescent="0.25">
      <c r="A2751" t="s">
        <v>153</v>
      </c>
      <c r="L2751"/>
      <c r="M2751"/>
      <c r="N2751"/>
      <c r="O2751"/>
      <c r="P2751"/>
      <c r="T2751">
        <v>867</v>
      </c>
      <c r="U2751" s="7">
        <v>3</v>
      </c>
      <c r="V2751" t="s">
        <v>1058</v>
      </c>
      <c r="W2751" s="257" t="s">
        <v>1141</v>
      </c>
      <c r="X2751" t="s">
        <v>1142</v>
      </c>
      <c r="Y2751" s="316" t="s">
        <v>61</v>
      </c>
      <c r="Z2751" s="8">
        <v>8</v>
      </c>
      <c r="AA2751" s="202" t="str">
        <f t="shared" si="43"/>
        <v>Масло растительное</v>
      </c>
    </row>
    <row r="2752" spans="1:27" ht="15" customHeight="1" x14ac:dyDescent="0.25">
      <c r="A2752" t="s">
        <v>153</v>
      </c>
      <c r="L2752"/>
      <c r="M2752"/>
      <c r="N2752"/>
      <c r="O2752"/>
      <c r="P2752"/>
      <c r="T2752">
        <v>868</v>
      </c>
      <c r="U2752" s="7">
        <v>3</v>
      </c>
      <c r="V2752" t="s">
        <v>1058</v>
      </c>
      <c r="W2752" s="257" t="s">
        <v>1141</v>
      </c>
      <c r="X2752" t="s">
        <v>1142</v>
      </c>
      <c r="Y2752" s="316" t="s">
        <v>486</v>
      </c>
      <c r="Z2752" s="8">
        <v>1</v>
      </c>
      <c r="AA2752" s="202" t="str">
        <f t="shared" si="43"/>
        <v>Уксус</v>
      </c>
    </row>
    <row r="2753" spans="1:27" ht="15" customHeight="1" x14ac:dyDescent="0.25">
      <c r="A2753" t="s">
        <v>153</v>
      </c>
      <c r="L2753"/>
      <c r="M2753"/>
      <c r="N2753"/>
      <c r="O2753"/>
      <c r="P2753"/>
      <c r="T2753">
        <v>869</v>
      </c>
      <c r="U2753" s="7">
        <v>3</v>
      </c>
      <c r="V2753" t="s">
        <v>1058</v>
      </c>
      <c r="W2753" s="257" t="s">
        <v>1141</v>
      </c>
      <c r="X2753" t="s">
        <v>1142</v>
      </c>
      <c r="Y2753" s="316" t="s">
        <v>326</v>
      </c>
      <c r="Z2753" s="8">
        <v>2</v>
      </c>
      <c r="AA2753" s="202" t="str">
        <f t="shared" si="43"/>
        <v>Соль</v>
      </c>
    </row>
    <row r="2754" spans="1:27" ht="15" customHeight="1" x14ac:dyDescent="0.25">
      <c r="A2754" t="s">
        <v>153</v>
      </c>
      <c r="L2754"/>
      <c r="M2754"/>
      <c r="N2754"/>
      <c r="O2754"/>
      <c r="P2754"/>
      <c r="T2754">
        <v>870</v>
      </c>
      <c r="U2754" s="7">
        <v>3</v>
      </c>
      <c r="V2754" t="s">
        <v>1058</v>
      </c>
      <c r="W2754" s="257" t="s">
        <v>1141</v>
      </c>
      <c r="X2754" t="s">
        <v>1142</v>
      </c>
      <c r="Y2754" s="316" t="s">
        <v>45</v>
      </c>
      <c r="Z2754" s="8">
        <v>65</v>
      </c>
      <c r="AA2754" s="202" t="str">
        <f t="shared" ref="AA2754:AA2817" si="44">VLOOKUP(Y2754,O:P,2,FALSE)</f>
        <v>Картофель</v>
      </c>
    </row>
    <row r="2755" spans="1:27" ht="15" customHeight="1" x14ac:dyDescent="0.25">
      <c r="A2755" t="s">
        <v>153</v>
      </c>
      <c r="L2755"/>
      <c r="M2755"/>
      <c r="N2755"/>
      <c r="O2755"/>
      <c r="P2755"/>
      <c r="T2755">
        <v>871</v>
      </c>
      <c r="U2755" s="7">
        <v>3</v>
      </c>
      <c r="V2755" t="s">
        <v>1058</v>
      </c>
      <c r="W2755" s="257" t="s">
        <v>1141</v>
      </c>
      <c r="X2755" t="s">
        <v>1142</v>
      </c>
      <c r="Y2755" s="316" t="s">
        <v>46</v>
      </c>
      <c r="Z2755" s="8">
        <v>20</v>
      </c>
      <c r="AA2755" s="202" t="str">
        <f t="shared" si="44"/>
        <v>Морковь</v>
      </c>
    </row>
    <row r="2756" spans="1:27" ht="15" customHeight="1" x14ac:dyDescent="0.25">
      <c r="A2756" t="s">
        <v>153</v>
      </c>
      <c r="L2756"/>
      <c r="M2756"/>
      <c r="N2756"/>
      <c r="O2756"/>
      <c r="P2756"/>
      <c r="T2756">
        <v>872</v>
      </c>
      <c r="U2756" s="7">
        <v>3</v>
      </c>
      <c r="V2756" t="s">
        <v>1058</v>
      </c>
      <c r="W2756" s="257" t="s">
        <v>1141</v>
      </c>
      <c r="X2756" t="s">
        <v>1142</v>
      </c>
      <c r="Y2756" s="316" t="s">
        <v>48</v>
      </c>
      <c r="Z2756" s="8">
        <v>40</v>
      </c>
      <c r="AA2756" s="202" t="str">
        <f t="shared" si="44"/>
        <v>Свекла</v>
      </c>
    </row>
    <row r="2757" spans="1:27" ht="15" customHeight="1" x14ac:dyDescent="0.25">
      <c r="A2757" t="s">
        <v>153</v>
      </c>
      <c r="L2757"/>
      <c r="M2757"/>
      <c r="N2757"/>
      <c r="O2757"/>
      <c r="P2757"/>
      <c r="T2757">
        <v>873</v>
      </c>
      <c r="U2757" s="7">
        <v>3</v>
      </c>
      <c r="V2757" t="s">
        <v>1058</v>
      </c>
      <c r="W2757" s="257" t="s">
        <v>1141</v>
      </c>
      <c r="X2757" t="s">
        <v>1142</v>
      </c>
      <c r="Y2757" s="316" t="s">
        <v>558</v>
      </c>
      <c r="Z2757" s="8">
        <v>126</v>
      </c>
      <c r="AA2757" s="202" t="str">
        <f t="shared" si="44"/>
        <v>Общая масса готового блюда, г</v>
      </c>
    </row>
    <row r="2758" spans="1:27" ht="15" customHeight="1" x14ac:dyDescent="0.25">
      <c r="A2758" t="s">
        <v>153</v>
      </c>
      <c r="L2758"/>
      <c r="M2758"/>
      <c r="N2758"/>
      <c r="O2758"/>
      <c r="P2758"/>
      <c r="T2758">
        <v>874</v>
      </c>
      <c r="U2758" s="7">
        <v>3</v>
      </c>
      <c r="V2758" t="s">
        <v>1058</v>
      </c>
      <c r="W2758" s="257" t="s">
        <v>1141</v>
      </c>
      <c r="X2758" t="s">
        <v>1142</v>
      </c>
      <c r="Y2758" s="316" t="s">
        <v>109</v>
      </c>
      <c r="Z2758" s="8">
        <v>150</v>
      </c>
      <c r="AA2758" s="202" t="str">
        <f t="shared" si="44"/>
        <v>ОКГ</v>
      </c>
    </row>
    <row r="2759" spans="1:27" ht="15" customHeight="1" x14ac:dyDescent="0.25">
      <c r="A2759" t="s">
        <v>153</v>
      </c>
      <c r="L2759"/>
      <c r="M2759"/>
      <c r="N2759"/>
      <c r="O2759"/>
      <c r="P2759"/>
      <c r="T2759">
        <v>1106</v>
      </c>
      <c r="U2759" s="7">
        <v>3</v>
      </c>
      <c r="V2759" t="s">
        <v>1058</v>
      </c>
      <c r="W2759" s="257" t="s">
        <v>1143</v>
      </c>
      <c r="X2759" t="s">
        <v>1144</v>
      </c>
      <c r="Y2759" s="316" t="s">
        <v>1239</v>
      </c>
      <c r="Z2759" s="8">
        <v>30</v>
      </c>
      <c r="AA2759" s="202" t="str">
        <f t="shared" si="44"/>
        <v>Сельдь с/г</v>
      </c>
    </row>
    <row r="2760" spans="1:27" ht="15" customHeight="1" x14ac:dyDescent="0.25">
      <c r="A2760" t="s">
        <v>153</v>
      </c>
      <c r="L2760"/>
      <c r="M2760"/>
      <c r="N2760"/>
      <c r="O2760"/>
      <c r="P2760"/>
      <c r="T2760">
        <v>1106</v>
      </c>
      <c r="U2760" s="7">
        <v>3</v>
      </c>
      <c r="V2760" t="s">
        <v>1058</v>
      </c>
      <c r="W2760" s="257" t="s">
        <v>1143</v>
      </c>
      <c r="X2760" t="s">
        <v>1144</v>
      </c>
      <c r="Y2760" s="316" t="s">
        <v>1214</v>
      </c>
      <c r="Z2760" s="8">
        <v>19.5</v>
      </c>
      <c r="AA2760" s="202" t="str">
        <f t="shared" si="44"/>
        <v>Масса мясных и рыбных порций, г</v>
      </c>
    </row>
    <row r="2761" spans="1:27" ht="15" customHeight="1" x14ac:dyDescent="0.25">
      <c r="A2761" t="s">
        <v>153</v>
      </c>
      <c r="L2761"/>
      <c r="M2761"/>
      <c r="N2761"/>
      <c r="O2761"/>
      <c r="P2761"/>
      <c r="T2761">
        <v>1107</v>
      </c>
      <c r="U2761" s="7">
        <v>3</v>
      </c>
      <c r="V2761" t="s">
        <v>1058</v>
      </c>
      <c r="W2761" s="257" t="s">
        <v>1143</v>
      </c>
      <c r="X2761" t="s">
        <v>1144</v>
      </c>
      <c r="Y2761" s="316" t="s">
        <v>45</v>
      </c>
      <c r="Z2761" s="8">
        <v>110</v>
      </c>
      <c r="AA2761" s="202" t="str">
        <f t="shared" si="44"/>
        <v>Картофель</v>
      </c>
    </row>
    <row r="2762" spans="1:27" ht="15" customHeight="1" x14ac:dyDescent="0.25">
      <c r="A2762" t="s">
        <v>153</v>
      </c>
      <c r="L2762"/>
      <c r="M2762"/>
      <c r="N2762"/>
      <c r="O2762"/>
      <c r="P2762"/>
      <c r="T2762">
        <v>1108</v>
      </c>
      <c r="U2762" s="7">
        <v>3</v>
      </c>
      <c r="V2762" t="s">
        <v>1058</v>
      </c>
      <c r="W2762" s="257" t="s">
        <v>1143</v>
      </c>
      <c r="X2762" t="s">
        <v>1144</v>
      </c>
      <c r="Y2762" s="316" t="s">
        <v>46</v>
      </c>
      <c r="Z2762" s="8">
        <v>40</v>
      </c>
      <c r="AA2762" s="202" t="str">
        <f t="shared" si="44"/>
        <v>Морковь</v>
      </c>
    </row>
    <row r="2763" spans="1:27" ht="15" customHeight="1" x14ac:dyDescent="0.25">
      <c r="A2763" t="s">
        <v>153</v>
      </c>
      <c r="L2763"/>
      <c r="M2763"/>
      <c r="N2763"/>
      <c r="O2763"/>
      <c r="P2763"/>
      <c r="T2763">
        <v>1109</v>
      </c>
      <c r="U2763" s="7">
        <v>3</v>
      </c>
      <c r="V2763" t="s">
        <v>1058</v>
      </c>
      <c r="W2763" s="257" t="s">
        <v>1143</v>
      </c>
      <c r="X2763" t="s">
        <v>1144</v>
      </c>
      <c r="Y2763" s="316" t="s">
        <v>444</v>
      </c>
      <c r="Z2763" s="8">
        <v>15</v>
      </c>
      <c r="AA2763" s="202" t="str">
        <f t="shared" si="44"/>
        <v>Лук репчатый</v>
      </c>
    </row>
    <row r="2764" spans="1:27" ht="15" customHeight="1" x14ac:dyDescent="0.25">
      <c r="A2764" t="s">
        <v>153</v>
      </c>
      <c r="L2764"/>
      <c r="M2764"/>
      <c r="N2764"/>
      <c r="O2764"/>
      <c r="P2764"/>
      <c r="T2764">
        <v>1110</v>
      </c>
      <c r="U2764" s="7">
        <v>3</v>
      </c>
      <c r="V2764" t="s">
        <v>1058</v>
      </c>
      <c r="W2764" s="257" t="s">
        <v>1143</v>
      </c>
      <c r="X2764" t="s">
        <v>1144</v>
      </c>
      <c r="Y2764" s="316" t="s">
        <v>442</v>
      </c>
      <c r="Z2764" s="8">
        <v>15</v>
      </c>
      <c r="AA2764" s="202" t="str">
        <f t="shared" si="44"/>
        <v>Лук зеленый</v>
      </c>
    </row>
    <row r="2765" spans="1:27" ht="15" customHeight="1" x14ac:dyDescent="0.25">
      <c r="A2765" t="s">
        <v>153</v>
      </c>
      <c r="L2765"/>
      <c r="M2765"/>
      <c r="N2765"/>
      <c r="O2765"/>
      <c r="P2765"/>
      <c r="T2765">
        <v>1111</v>
      </c>
      <c r="U2765" s="7">
        <v>3</v>
      </c>
      <c r="V2765" t="s">
        <v>1058</v>
      </c>
      <c r="W2765" s="257" t="s">
        <v>1143</v>
      </c>
      <c r="X2765" t="s">
        <v>1144</v>
      </c>
      <c r="Y2765" s="316" t="s">
        <v>61</v>
      </c>
      <c r="Z2765" s="8">
        <v>8</v>
      </c>
      <c r="AA2765" s="202" t="str">
        <f t="shared" si="44"/>
        <v>Масло растительное</v>
      </c>
    </row>
    <row r="2766" spans="1:27" ht="15" customHeight="1" x14ac:dyDescent="0.25">
      <c r="A2766" t="s">
        <v>153</v>
      </c>
      <c r="L2766"/>
      <c r="M2766"/>
      <c r="N2766"/>
      <c r="O2766"/>
      <c r="P2766"/>
      <c r="T2766">
        <v>1113</v>
      </c>
      <c r="U2766" s="7">
        <v>3</v>
      </c>
      <c r="V2766" t="s">
        <v>1058</v>
      </c>
      <c r="W2766" s="257" t="s">
        <v>1143</v>
      </c>
      <c r="X2766" t="s">
        <v>1144</v>
      </c>
      <c r="Y2766" s="316" t="s">
        <v>558</v>
      </c>
      <c r="Z2766" s="8">
        <v>146</v>
      </c>
      <c r="AA2766" s="202" t="str">
        <f t="shared" si="44"/>
        <v>Общая масса готового блюда, г</v>
      </c>
    </row>
    <row r="2767" spans="1:27" ht="15" customHeight="1" x14ac:dyDescent="0.25">
      <c r="A2767" t="s">
        <v>153</v>
      </c>
      <c r="L2767"/>
      <c r="M2767"/>
      <c r="N2767"/>
      <c r="O2767"/>
      <c r="P2767"/>
      <c r="T2767">
        <v>1114</v>
      </c>
      <c r="U2767" s="7">
        <v>3</v>
      </c>
      <c r="V2767" t="s">
        <v>1058</v>
      </c>
      <c r="W2767" s="257" t="s">
        <v>1143</v>
      </c>
      <c r="X2767" t="s">
        <v>1144</v>
      </c>
      <c r="Y2767" s="316" t="s">
        <v>109</v>
      </c>
      <c r="Z2767" s="8">
        <v>175</v>
      </c>
      <c r="AA2767" s="202" t="str">
        <f t="shared" si="44"/>
        <v>ОКГ</v>
      </c>
    </row>
    <row r="2768" spans="1:27" ht="15" customHeight="1" x14ac:dyDescent="0.25">
      <c r="A2768" t="s">
        <v>153</v>
      </c>
      <c r="L2768"/>
      <c r="M2768"/>
      <c r="N2768"/>
      <c r="O2768"/>
      <c r="P2768"/>
      <c r="T2768">
        <v>2255</v>
      </c>
      <c r="U2768" s="7">
        <v>3</v>
      </c>
      <c r="V2768" t="s">
        <v>613</v>
      </c>
      <c r="W2768" s="257" t="s">
        <v>931</v>
      </c>
      <c r="X2768" t="s">
        <v>932</v>
      </c>
      <c r="Y2768" s="316" t="s">
        <v>459</v>
      </c>
      <c r="Z2768" s="8">
        <v>100</v>
      </c>
      <c r="AA2768" s="202" t="str">
        <f t="shared" si="44"/>
        <v>Сердце</v>
      </c>
    </row>
    <row r="2769" spans="1:27" ht="15" customHeight="1" x14ac:dyDescent="0.25">
      <c r="A2769" t="s">
        <v>153</v>
      </c>
      <c r="L2769"/>
      <c r="M2769"/>
      <c r="N2769"/>
      <c r="O2769"/>
      <c r="P2769"/>
      <c r="T2769">
        <v>2256</v>
      </c>
      <c r="U2769" s="7">
        <v>3</v>
      </c>
      <c r="V2769" t="s">
        <v>613</v>
      </c>
      <c r="W2769" s="257" t="s">
        <v>931</v>
      </c>
      <c r="X2769" t="s">
        <v>932</v>
      </c>
      <c r="Y2769" s="316" t="s">
        <v>61</v>
      </c>
      <c r="Z2769" s="8">
        <v>5</v>
      </c>
      <c r="AA2769" s="202" t="str">
        <f t="shared" si="44"/>
        <v>Масло растительное</v>
      </c>
    </row>
    <row r="2770" spans="1:27" ht="15" customHeight="1" x14ac:dyDescent="0.25">
      <c r="A2770" t="s">
        <v>153</v>
      </c>
      <c r="L2770"/>
      <c r="M2770"/>
      <c r="N2770"/>
      <c r="O2770"/>
      <c r="P2770"/>
      <c r="T2770">
        <v>2257</v>
      </c>
      <c r="U2770" s="7">
        <v>3</v>
      </c>
      <c r="V2770" t="s">
        <v>613</v>
      </c>
      <c r="W2770" s="257" t="s">
        <v>931</v>
      </c>
      <c r="X2770" t="s">
        <v>932</v>
      </c>
      <c r="Y2770" s="316" t="s">
        <v>76</v>
      </c>
      <c r="Z2770" s="8">
        <v>2</v>
      </c>
      <c r="AA2770" s="202" t="str">
        <f t="shared" si="44"/>
        <v>Томат-паста</v>
      </c>
    </row>
    <row r="2771" spans="1:27" ht="15" customHeight="1" x14ac:dyDescent="0.25">
      <c r="A2771" t="s">
        <v>153</v>
      </c>
      <c r="L2771"/>
      <c r="M2771"/>
      <c r="N2771"/>
      <c r="O2771"/>
      <c r="P2771"/>
      <c r="T2771">
        <v>2258</v>
      </c>
      <c r="U2771" s="7">
        <v>3</v>
      </c>
      <c r="V2771" t="s">
        <v>613</v>
      </c>
      <c r="W2771" s="257" t="s">
        <v>931</v>
      </c>
      <c r="X2771" t="s">
        <v>932</v>
      </c>
      <c r="Y2771" s="316" t="s">
        <v>434</v>
      </c>
      <c r="Z2771" s="8">
        <v>2</v>
      </c>
      <c r="AA2771" s="202" t="str">
        <f t="shared" si="44"/>
        <v>Мука пшеничная 1 с</v>
      </c>
    </row>
    <row r="2772" spans="1:27" ht="15" customHeight="1" x14ac:dyDescent="0.25">
      <c r="A2772" t="s">
        <v>153</v>
      </c>
      <c r="L2772"/>
      <c r="M2772"/>
      <c r="N2772"/>
      <c r="O2772"/>
      <c r="P2772"/>
      <c r="T2772">
        <v>2259</v>
      </c>
      <c r="U2772" s="7">
        <v>3</v>
      </c>
      <c r="V2772" t="s">
        <v>613</v>
      </c>
      <c r="W2772" s="257" t="s">
        <v>931</v>
      </c>
      <c r="X2772" t="s">
        <v>932</v>
      </c>
      <c r="Y2772" s="316" t="s">
        <v>32</v>
      </c>
      <c r="Z2772" s="8">
        <v>10</v>
      </c>
      <c r="AA2772" s="202" t="str">
        <f t="shared" si="44"/>
        <v>Лук репчатый</v>
      </c>
    </row>
    <row r="2773" spans="1:27" ht="15" customHeight="1" x14ac:dyDescent="0.25">
      <c r="A2773" t="s">
        <v>153</v>
      </c>
      <c r="L2773"/>
      <c r="M2773"/>
      <c r="N2773"/>
      <c r="O2773"/>
      <c r="P2773"/>
      <c r="T2773">
        <v>2260</v>
      </c>
      <c r="U2773" s="7">
        <v>3</v>
      </c>
      <c r="V2773" t="s">
        <v>613</v>
      </c>
      <c r="W2773" s="257" t="s">
        <v>931</v>
      </c>
      <c r="X2773" t="s">
        <v>932</v>
      </c>
      <c r="Y2773" s="316" t="s">
        <v>46</v>
      </c>
      <c r="Z2773" s="8">
        <v>10</v>
      </c>
      <c r="AA2773" s="202" t="str">
        <f t="shared" si="44"/>
        <v>Морковь</v>
      </c>
    </row>
    <row r="2774" spans="1:27" ht="15" customHeight="1" x14ac:dyDescent="0.25">
      <c r="A2774" t="s">
        <v>153</v>
      </c>
      <c r="L2774"/>
      <c r="M2774"/>
      <c r="N2774"/>
      <c r="O2774"/>
      <c r="P2774"/>
      <c r="T2774">
        <v>2261</v>
      </c>
      <c r="U2774" s="7">
        <v>3</v>
      </c>
      <c r="V2774" t="s">
        <v>613</v>
      </c>
      <c r="W2774" s="257" t="s">
        <v>931</v>
      </c>
      <c r="X2774" t="s">
        <v>932</v>
      </c>
      <c r="Y2774" s="316" t="s">
        <v>326</v>
      </c>
      <c r="Z2774" s="8">
        <v>2</v>
      </c>
      <c r="AA2774" s="202" t="str">
        <f t="shared" si="44"/>
        <v>Соль</v>
      </c>
    </row>
    <row r="2775" spans="1:27" ht="15" customHeight="1" x14ac:dyDescent="0.25">
      <c r="A2775" t="s">
        <v>153</v>
      </c>
      <c r="L2775"/>
      <c r="M2775"/>
      <c r="N2775"/>
      <c r="O2775"/>
      <c r="P2775"/>
      <c r="T2775">
        <v>2262</v>
      </c>
      <c r="U2775" s="7">
        <v>3</v>
      </c>
      <c r="V2775" t="s">
        <v>613</v>
      </c>
      <c r="W2775" s="257" t="s">
        <v>931</v>
      </c>
      <c r="X2775" t="s">
        <v>932</v>
      </c>
      <c r="Y2775" s="316" t="s">
        <v>74</v>
      </c>
      <c r="Z2775" s="8">
        <v>0.01</v>
      </c>
      <c r="AA2775" s="202" t="str">
        <f t="shared" si="44"/>
        <v>Лавровый лист</v>
      </c>
    </row>
    <row r="2776" spans="1:27" ht="15" customHeight="1" x14ac:dyDescent="0.25">
      <c r="A2776" t="s">
        <v>153</v>
      </c>
      <c r="L2776"/>
      <c r="M2776"/>
      <c r="N2776"/>
      <c r="O2776"/>
      <c r="P2776"/>
      <c r="T2776">
        <v>2263</v>
      </c>
      <c r="U2776" s="7">
        <v>3</v>
      </c>
      <c r="V2776" t="s">
        <v>613</v>
      </c>
      <c r="W2776" s="257" t="s">
        <v>931</v>
      </c>
      <c r="X2776" t="s">
        <v>932</v>
      </c>
      <c r="Y2776" s="316" t="s">
        <v>484</v>
      </c>
      <c r="Z2776" s="8">
        <v>0.01</v>
      </c>
      <c r="AA2776" s="202" t="str">
        <f t="shared" si="44"/>
        <v>Перец черный</v>
      </c>
    </row>
    <row r="2777" spans="1:27" ht="15" customHeight="1" x14ac:dyDescent="0.25">
      <c r="A2777" t="s">
        <v>153</v>
      </c>
      <c r="L2777"/>
      <c r="M2777"/>
      <c r="N2777"/>
      <c r="O2777"/>
      <c r="P2777"/>
      <c r="T2777">
        <v>2264</v>
      </c>
      <c r="U2777" s="7">
        <v>3</v>
      </c>
      <c r="V2777" t="s">
        <v>613</v>
      </c>
      <c r="W2777" s="257" t="s">
        <v>931</v>
      </c>
      <c r="X2777" t="s">
        <v>932</v>
      </c>
      <c r="Y2777" s="316" t="s">
        <v>1215</v>
      </c>
      <c r="Z2777" s="8">
        <v>101</v>
      </c>
      <c r="AA2777" s="202" t="str">
        <f t="shared" si="44"/>
        <v>Общая масса готового блюда, г</v>
      </c>
    </row>
    <row r="2778" spans="1:27" ht="15" customHeight="1" x14ac:dyDescent="0.25">
      <c r="A2778" t="s">
        <v>153</v>
      </c>
      <c r="L2778"/>
      <c r="M2778"/>
      <c r="N2778"/>
      <c r="O2778"/>
      <c r="P2778"/>
      <c r="T2778">
        <v>2264</v>
      </c>
      <c r="U2778" s="7">
        <v>3</v>
      </c>
      <c r="V2778" t="s">
        <v>613</v>
      </c>
      <c r="W2778" s="257" t="s">
        <v>931</v>
      </c>
      <c r="X2778" t="s">
        <v>932</v>
      </c>
      <c r="Y2778" s="316" t="s">
        <v>1214</v>
      </c>
      <c r="Z2778" s="8">
        <v>51</v>
      </c>
      <c r="AA2778" s="202" t="str">
        <f t="shared" si="44"/>
        <v>Масса мясных и рыбных порций, г</v>
      </c>
    </row>
    <row r="2779" spans="1:27" ht="15" customHeight="1" x14ac:dyDescent="0.25">
      <c r="A2779" t="s">
        <v>153</v>
      </c>
      <c r="L2779"/>
      <c r="M2779"/>
      <c r="N2779"/>
      <c r="O2779"/>
      <c r="P2779"/>
      <c r="T2779">
        <v>2268</v>
      </c>
      <c r="U2779" s="7">
        <v>3</v>
      </c>
      <c r="V2779" t="s">
        <v>613</v>
      </c>
      <c r="W2779" s="257" t="s">
        <v>933</v>
      </c>
      <c r="X2779" t="s">
        <v>934</v>
      </c>
      <c r="Y2779" s="316" t="s">
        <v>459</v>
      </c>
      <c r="Z2779" s="8">
        <v>100</v>
      </c>
      <c r="AA2779" s="202" t="str">
        <f t="shared" si="44"/>
        <v>Сердце</v>
      </c>
    </row>
    <row r="2780" spans="1:27" ht="15" customHeight="1" x14ac:dyDescent="0.25">
      <c r="A2780" t="s">
        <v>153</v>
      </c>
      <c r="L2780"/>
      <c r="M2780"/>
      <c r="N2780"/>
      <c r="O2780"/>
      <c r="P2780"/>
      <c r="T2780">
        <v>2269</v>
      </c>
      <c r="U2780" s="7">
        <v>3</v>
      </c>
      <c r="V2780" t="s">
        <v>613</v>
      </c>
      <c r="W2780" s="257" t="s">
        <v>933</v>
      </c>
      <c r="X2780" t="s">
        <v>934</v>
      </c>
      <c r="Y2780" s="316" t="s">
        <v>484</v>
      </c>
      <c r="Z2780" s="8">
        <v>0.01</v>
      </c>
      <c r="AA2780" s="202" t="str">
        <f t="shared" si="44"/>
        <v>Перец черный</v>
      </c>
    </row>
    <row r="2781" spans="1:27" ht="15" customHeight="1" x14ac:dyDescent="0.25">
      <c r="A2781" t="s">
        <v>153</v>
      </c>
      <c r="L2781"/>
      <c r="M2781"/>
      <c r="N2781"/>
      <c r="O2781"/>
      <c r="P2781"/>
      <c r="T2781">
        <v>2270</v>
      </c>
      <c r="U2781" s="7">
        <v>3</v>
      </c>
      <c r="V2781" t="s">
        <v>613</v>
      </c>
      <c r="W2781" s="257" t="s">
        <v>933</v>
      </c>
      <c r="X2781" t="s">
        <v>934</v>
      </c>
      <c r="Y2781" s="316" t="s">
        <v>326</v>
      </c>
      <c r="Z2781" s="8">
        <v>2</v>
      </c>
      <c r="AA2781" s="202" t="str">
        <f t="shared" si="44"/>
        <v>Соль</v>
      </c>
    </row>
    <row r="2782" spans="1:27" ht="15" customHeight="1" x14ac:dyDescent="0.25">
      <c r="A2782" t="s">
        <v>153</v>
      </c>
      <c r="L2782"/>
      <c r="M2782"/>
      <c r="N2782"/>
      <c r="O2782"/>
      <c r="P2782"/>
      <c r="T2782">
        <v>2271</v>
      </c>
      <c r="U2782" s="7">
        <v>3</v>
      </c>
      <c r="V2782" t="s">
        <v>613</v>
      </c>
      <c r="W2782" s="257" t="s">
        <v>933</v>
      </c>
      <c r="X2782" t="s">
        <v>934</v>
      </c>
      <c r="Y2782" s="316" t="s">
        <v>74</v>
      </c>
      <c r="Z2782" s="8">
        <v>0.01</v>
      </c>
      <c r="AA2782" s="202" t="str">
        <f t="shared" si="44"/>
        <v>Лавровый лист</v>
      </c>
    </row>
    <row r="2783" spans="1:27" ht="15" customHeight="1" x14ac:dyDescent="0.25">
      <c r="A2783" t="s">
        <v>153</v>
      </c>
      <c r="L2783"/>
      <c r="M2783"/>
      <c r="N2783"/>
      <c r="O2783"/>
      <c r="P2783"/>
      <c r="T2783">
        <v>2272</v>
      </c>
      <c r="U2783" s="7">
        <v>3</v>
      </c>
      <c r="V2783" t="s">
        <v>613</v>
      </c>
      <c r="W2783" s="257" t="s">
        <v>933</v>
      </c>
      <c r="X2783" t="s">
        <v>934</v>
      </c>
      <c r="Y2783" s="316" t="s">
        <v>558</v>
      </c>
      <c r="Z2783" s="8">
        <v>51</v>
      </c>
      <c r="AA2783" s="202" t="str">
        <f t="shared" si="44"/>
        <v>Общая масса готового блюда, г</v>
      </c>
    </row>
    <row r="2784" spans="1:27" ht="15" customHeight="1" x14ac:dyDescent="0.25">
      <c r="A2784" t="s">
        <v>153</v>
      </c>
      <c r="L2784"/>
      <c r="M2784"/>
      <c r="N2784"/>
      <c r="O2784"/>
      <c r="P2784"/>
      <c r="T2784">
        <v>2272</v>
      </c>
      <c r="U2784" s="7">
        <v>3</v>
      </c>
      <c r="V2784" t="s">
        <v>613</v>
      </c>
      <c r="W2784" s="257" t="s">
        <v>933</v>
      </c>
      <c r="X2784" t="s">
        <v>934</v>
      </c>
      <c r="Y2784" s="316" t="s">
        <v>1214</v>
      </c>
      <c r="Z2784" s="8">
        <v>51</v>
      </c>
      <c r="AA2784" s="202" t="str">
        <f t="shared" si="44"/>
        <v>Масса мясных и рыбных порций, г</v>
      </c>
    </row>
    <row r="2785" spans="1:27" ht="15" customHeight="1" x14ac:dyDescent="0.25">
      <c r="A2785" t="s">
        <v>153</v>
      </c>
      <c r="L2785"/>
      <c r="M2785"/>
      <c r="N2785"/>
      <c r="O2785"/>
      <c r="P2785"/>
      <c r="T2785">
        <v>2887</v>
      </c>
      <c r="U2785" s="7">
        <v>3</v>
      </c>
      <c r="V2785" t="s">
        <v>1147</v>
      </c>
      <c r="W2785" s="257" t="s">
        <v>75</v>
      </c>
      <c r="X2785" t="s">
        <v>75</v>
      </c>
      <c r="Y2785" s="316" t="s">
        <v>75</v>
      </c>
      <c r="Z2785" s="8">
        <v>200</v>
      </c>
      <c r="AA2785" s="202" t="str">
        <f t="shared" si="44"/>
        <v>Сок п/я</v>
      </c>
    </row>
    <row r="2786" spans="1:27" ht="15" customHeight="1" x14ac:dyDescent="0.25">
      <c r="A2786" t="s">
        <v>153</v>
      </c>
      <c r="L2786"/>
      <c r="M2786"/>
      <c r="N2786"/>
      <c r="O2786"/>
      <c r="P2786"/>
      <c r="T2786">
        <v>2888</v>
      </c>
      <c r="U2786" s="7">
        <v>3</v>
      </c>
      <c r="V2786" t="s">
        <v>1147</v>
      </c>
      <c r="W2786" s="257" t="s">
        <v>75</v>
      </c>
      <c r="X2786" t="s">
        <v>75</v>
      </c>
      <c r="Y2786" s="316" t="s">
        <v>558</v>
      </c>
      <c r="Z2786" s="8">
        <v>200</v>
      </c>
      <c r="AA2786" s="202" t="str">
        <f t="shared" si="44"/>
        <v>Общая масса готового блюда, г</v>
      </c>
    </row>
    <row r="2787" spans="1:27" ht="15" customHeight="1" x14ac:dyDescent="0.25">
      <c r="A2787" t="s">
        <v>153</v>
      </c>
      <c r="L2787"/>
      <c r="M2787"/>
      <c r="N2787"/>
      <c r="O2787"/>
      <c r="P2787"/>
      <c r="T2787">
        <v>411</v>
      </c>
      <c r="U2787" s="7">
        <v>3</v>
      </c>
      <c r="V2787" t="s">
        <v>555</v>
      </c>
      <c r="W2787" s="257" t="s">
        <v>580</v>
      </c>
      <c r="X2787" t="s">
        <v>581</v>
      </c>
      <c r="Y2787" s="316" t="s">
        <v>476</v>
      </c>
      <c r="Z2787" s="8">
        <v>16</v>
      </c>
      <c r="AA2787" s="202" t="str">
        <f t="shared" si="44"/>
        <v>Сосиски</v>
      </c>
    </row>
    <row r="2788" spans="1:27" ht="15" customHeight="1" x14ac:dyDescent="0.25">
      <c r="A2788" t="s">
        <v>153</v>
      </c>
      <c r="L2788"/>
      <c r="M2788"/>
      <c r="N2788"/>
      <c r="O2788"/>
      <c r="P2788"/>
      <c r="T2788">
        <v>411</v>
      </c>
      <c r="U2788" s="7">
        <v>3</v>
      </c>
      <c r="V2788" t="s">
        <v>555</v>
      </c>
      <c r="W2788" s="257" t="s">
        <v>580</v>
      </c>
      <c r="X2788" t="s">
        <v>581</v>
      </c>
      <c r="Y2788" s="316" t="s">
        <v>1214</v>
      </c>
      <c r="Z2788" s="8">
        <v>33.06</v>
      </c>
      <c r="AA2788" s="202" t="str">
        <f t="shared" si="44"/>
        <v>Масса мясных и рыбных порций, г</v>
      </c>
    </row>
    <row r="2789" spans="1:27" ht="15" customHeight="1" x14ac:dyDescent="0.25">
      <c r="A2789" t="s">
        <v>153</v>
      </c>
      <c r="L2789"/>
      <c r="M2789"/>
      <c r="N2789"/>
      <c r="O2789"/>
      <c r="P2789"/>
      <c r="T2789">
        <v>412</v>
      </c>
      <c r="U2789" s="7">
        <v>3</v>
      </c>
      <c r="V2789" t="s">
        <v>555</v>
      </c>
      <c r="W2789" s="257" t="s">
        <v>580</v>
      </c>
      <c r="X2789" t="s">
        <v>581</v>
      </c>
      <c r="Y2789" s="316" t="s">
        <v>64</v>
      </c>
      <c r="Z2789" s="8">
        <v>18</v>
      </c>
      <c r="AA2789" s="202" t="str">
        <f t="shared" si="44"/>
        <v>Колбаса п/к</v>
      </c>
    </row>
    <row r="2790" spans="1:27" ht="15" customHeight="1" x14ac:dyDescent="0.25">
      <c r="A2790" t="s">
        <v>153</v>
      </c>
      <c r="L2790"/>
      <c r="M2790"/>
      <c r="N2790"/>
      <c r="O2790"/>
      <c r="P2790"/>
      <c r="T2790">
        <v>413</v>
      </c>
      <c r="U2790" s="7">
        <v>3</v>
      </c>
      <c r="V2790" t="s">
        <v>555</v>
      </c>
      <c r="W2790" s="257" t="s">
        <v>580</v>
      </c>
      <c r="X2790" t="s">
        <v>581</v>
      </c>
      <c r="Y2790" s="316" t="s">
        <v>45</v>
      </c>
      <c r="Z2790" s="8">
        <v>220</v>
      </c>
      <c r="AA2790" s="202" t="str">
        <f t="shared" si="44"/>
        <v>Картофель</v>
      </c>
    </row>
    <row r="2791" spans="1:27" ht="15" customHeight="1" x14ac:dyDescent="0.25">
      <c r="A2791" t="s">
        <v>153</v>
      </c>
      <c r="L2791"/>
      <c r="M2791"/>
      <c r="N2791"/>
      <c r="O2791"/>
      <c r="P2791"/>
      <c r="T2791">
        <v>414</v>
      </c>
      <c r="U2791" s="7">
        <v>3</v>
      </c>
      <c r="V2791" t="s">
        <v>555</v>
      </c>
      <c r="W2791" s="257" t="s">
        <v>580</v>
      </c>
      <c r="X2791" t="s">
        <v>581</v>
      </c>
      <c r="Y2791" s="316" t="s">
        <v>32</v>
      </c>
      <c r="Z2791" s="8">
        <v>10</v>
      </c>
      <c r="AA2791" s="202" t="str">
        <f t="shared" si="44"/>
        <v>Лук репчатый</v>
      </c>
    </row>
    <row r="2792" spans="1:27" ht="15" customHeight="1" x14ac:dyDescent="0.25">
      <c r="A2792" t="s">
        <v>153</v>
      </c>
      <c r="L2792"/>
      <c r="M2792"/>
      <c r="N2792"/>
      <c r="O2792"/>
      <c r="P2792"/>
      <c r="T2792">
        <v>415</v>
      </c>
      <c r="U2792" s="7">
        <v>3</v>
      </c>
      <c r="V2792" t="s">
        <v>555</v>
      </c>
      <c r="W2792" s="257" t="s">
        <v>580</v>
      </c>
      <c r="X2792" t="s">
        <v>581</v>
      </c>
      <c r="Y2792" s="316" t="s">
        <v>445</v>
      </c>
      <c r="Z2792" s="8">
        <v>35</v>
      </c>
      <c r="AA2792" s="202" t="str">
        <f t="shared" si="44"/>
        <v>Огурцы консерв.</v>
      </c>
    </row>
    <row r="2793" spans="1:27" ht="15" customHeight="1" x14ac:dyDescent="0.25">
      <c r="A2793" t="s">
        <v>153</v>
      </c>
      <c r="L2793"/>
      <c r="M2793"/>
      <c r="N2793"/>
      <c r="O2793"/>
      <c r="P2793"/>
      <c r="T2793">
        <v>416</v>
      </c>
      <c r="U2793" s="7">
        <v>3</v>
      </c>
      <c r="V2793" t="s">
        <v>555</v>
      </c>
      <c r="W2793" s="257" t="s">
        <v>580</v>
      </c>
      <c r="X2793" t="s">
        <v>581</v>
      </c>
      <c r="Y2793" s="316" t="s">
        <v>61</v>
      </c>
      <c r="Z2793" s="8">
        <v>5</v>
      </c>
      <c r="AA2793" s="202" t="str">
        <f t="shared" si="44"/>
        <v>Масло растительное</v>
      </c>
    </row>
    <row r="2794" spans="1:27" ht="15" customHeight="1" x14ac:dyDescent="0.25">
      <c r="A2794" t="s">
        <v>153</v>
      </c>
      <c r="L2794"/>
      <c r="M2794"/>
      <c r="N2794"/>
      <c r="O2794"/>
      <c r="P2794"/>
      <c r="T2794">
        <v>417</v>
      </c>
      <c r="U2794" s="7">
        <v>3</v>
      </c>
      <c r="V2794" t="s">
        <v>555</v>
      </c>
      <c r="W2794" s="257" t="s">
        <v>580</v>
      </c>
      <c r="X2794" t="s">
        <v>581</v>
      </c>
      <c r="Y2794" s="316" t="s">
        <v>76</v>
      </c>
      <c r="Z2794" s="8">
        <v>4</v>
      </c>
      <c r="AA2794" s="202" t="str">
        <f t="shared" si="44"/>
        <v>Томат-паста</v>
      </c>
    </row>
    <row r="2795" spans="1:27" ht="15" customHeight="1" x14ac:dyDescent="0.25">
      <c r="A2795" t="s">
        <v>153</v>
      </c>
      <c r="L2795"/>
      <c r="M2795"/>
      <c r="N2795"/>
      <c r="O2795"/>
      <c r="P2795"/>
      <c r="T2795">
        <v>418</v>
      </c>
      <c r="U2795" s="7">
        <v>3</v>
      </c>
      <c r="V2795" t="s">
        <v>555</v>
      </c>
      <c r="W2795" s="257" t="s">
        <v>580</v>
      </c>
      <c r="X2795" t="s">
        <v>581</v>
      </c>
      <c r="Y2795" s="316" t="s">
        <v>54</v>
      </c>
      <c r="Z2795" s="8">
        <v>5</v>
      </c>
      <c r="AA2795" s="202" t="str">
        <f t="shared" si="44"/>
        <v>Сметана</v>
      </c>
    </row>
    <row r="2796" spans="1:27" ht="15" customHeight="1" x14ac:dyDescent="0.25">
      <c r="A2796" t="s">
        <v>153</v>
      </c>
      <c r="L2796"/>
      <c r="M2796"/>
      <c r="N2796"/>
      <c r="O2796"/>
      <c r="P2796"/>
      <c r="T2796">
        <v>419</v>
      </c>
      <c r="U2796" s="7">
        <v>3</v>
      </c>
      <c r="V2796" t="s">
        <v>555</v>
      </c>
      <c r="W2796" s="257" t="s">
        <v>580</v>
      </c>
      <c r="X2796" t="s">
        <v>581</v>
      </c>
      <c r="Y2796" s="316" t="s">
        <v>479</v>
      </c>
      <c r="Z2796" s="8">
        <v>400</v>
      </c>
      <c r="AA2796" s="202" t="str">
        <f t="shared" si="44"/>
        <v>Вода или бульон</v>
      </c>
    </row>
    <row r="2797" spans="1:27" ht="15" customHeight="1" x14ac:dyDescent="0.25">
      <c r="A2797" t="s">
        <v>153</v>
      </c>
      <c r="L2797"/>
      <c r="M2797"/>
      <c r="N2797"/>
      <c r="O2797"/>
      <c r="P2797"/>
      <c r="T2797">
        <v>420</v>
      </c>
      <c r="U2797" s="7">
        <v>3</v>
      </c>
      <c r="V2797" t="s">
        <v>555</v>
      </c>
      <c r="W2797" s="257" t="s">
        <v>580</v>
      </c>
      <c r="X2797" t="s">
        <v>581</v>
      </c>
      <c r="Y2797" s="316" t="s">
        <v>70</v>
      </c>
      <c r="Z2797" s="8">
        <v>5</v>
      </c>
      <c r="AA2797" s="202" t="str">
        <f t="shared" si="44"/>
        <v>Зелень</v>
      </c>
    </row>
    <row r="2798" spans="1:27" ht="15" customHeight="1" x14ac:dyDescent="0.25">
      <c r="A2798" t="s">
        <v>153</v>
      </c>
      <c r="L2798"/>
      <c r="M2798"/>
      <c r="N2798"/>
      <c r="O2798"/>
      <c r="P2798"/>
      <c r="T2798">
        <v>421</v>
      </c>
      <c r="U2798" s="7">
        <v>3</v>
      </c>
      <c r="V2798" t="s">
        <v>555</v>
      </c>
      <c r="W2798" s="257" t="s">
        <v>580</v>
      </c>
      <c r="X2798" t="s">
        <v>581</v>
      </c>
      <c r="Y2798" s="316" t="s">
        <v>326</v>
      </c>
      <c r="Z2798" s="8">
        <v>4</v>
      </c>
      <c r="AA2798" s="202" t="str">
        <f t="shared" si="44"/>
        <v>Соль</v>
      </c>
    </row>
    <row r="2799" spans="1:27" ht="15" customHeight="1" x14ac:dyDescent="0.25">
      <c r="A2799" t="s">
        <v>153</v>
      </c>
      <c r="L2799"/>
      <c r="M2799"/>
      <c r="N2799"/>
      <c r="O2799"/>
      <c r="P2799"/>
      <c r="T2799">
        <v>422</v>
      </c>
      <c r="U2799" s="7">
        <v>3</v>
      </c>
      <c r="V2799" t="s">
        <v>555</v>
      </c>
      <c r="W2799" s="257" t="s">
        <v>580</v>
      </c>
      <c r="X2799" t="s">
        <v>581</v>
      </c>
      <c r="Y2799" s="316" t="s">
        <v>558</v>
      </c>
      <c r="Z2799" s="8">
        <v>500</v>
      </c>
      <c r="AA2799" s="202" t="str">
        <f t="shared" si="44"/>
        <v>Общая масса готового блюда, г</v>
      </c>
    </row>
    <row r="2800" spans="1:27" ht="15" customHeight="1" x14ac:dyDescent="0.25">
      <c r="A2800" t="s">
        <v>153</v>
      </c>
      <c r="L2800"/>
      <c r="M2800"/>
      <c r="N2800"/>
      <c r="O2800"/>
      <c r="P2800"/>
      <c r="T2800">
        <v>423</v>
      </c>
      <c r="U2800" s="7">
        <v>3</v>
      </c>
      <c r="V2800" t="s">
        <v>555</v>
      </c>
      <c r="W2800" s="257" t="s">
        <v>580</v>
      </c>
      <c r="X2800" t="s">
        <v>581</v>
      </c>
      <c r="Y2800" s="316" t="s">
        <v>109</v>
      </c>
      <c r="Z2800" s="8">
        <v>250</v>
      </c>
      <c r="AA2800" s="202" t="str">
        <f t="shared" si="44"/>
        <v>ОКГ</v>
      </c>
    </row>
    <row r="2801" spans="1:27" ht="15" customHeight="1" x14ac:dyDescent="0.25">
      <c r="A2801" t="s">
        <v>153</v>
      </c>
      <c r="L2801"/>
      <c r="M2801"/>
      <c r="N2801"/>
      <c r="O2801"/>
      <c r="P2801"/>
      <c r="T2801">
        <v>424</v>
      </c>
      <c r="U2801" s="7">
        <v>3</v>
      </c>
      <c r="V2801" t="s">
        <v>555</v>
      </c>
      <c r="W2801" s="257" t="s">
        <v>580</v>
      </c>
      <c r="X2801" t="s">
        <v>581</v>
      </c>
      <c r="Y2801" s="316" t="s">
        <v>74</v>
      </c>
      <c r="Z2801" s="8">
        <v>0.02</v>
      </c>
      <c r="AA2801" s="202" t="str">
        <f t="shared" si="44"/>
        <v>Лавровый лист</v>
      </c>
    </row>
    <row r="2802" spans="1:27" ht="15" customHeight="1" x14ac:dyDescent="0.25">
      <c r="A2802" t="s">
        <v>153</v>
      </c>
      <c r="L2802"/>
      <c r="M2802"/>
      <c r="N2802"/>
      <c r="O2802"/>
      <c r="P2802"/>
      <c r="T2802">
        <v>425</v>
      </c>
      <c r="U2802" s="7">
        <v>3</v>
      </c>
      <c r="V2802" t="s">
        <v>555</v>
      </c>
      <c r="W2802" s="257" t="s">
        <v>580</v>
      </c>
      <c r="X2802" t="s">
        <v>581</v>
      </c>
      <c r="Y2802" s="316" t="s">
        <v>484</v>
      </c>
      <c r="Z2802" s="8">
        <v>0.05</v>
      </c>
      <c r="AA2802" s="202" t="str">
        <f t="shared" si="44"/>
        <v>Перец черный</v>
      </c>
    </row>
    <row r="2803" spans="1:27" ht="15" customHeight="1" x14ac:dyDescent="0.25">
      <c r="A2803" t="s">
        <v>153</v>
      </c>
      <c r="L2803"/>
      <c r="M2803"/>
      <c r="N2803"/>
      <c r="O2803"/>
      <c r="P2803"/>
      <c r="T2803">
        <v>784</v>
      </c>
      <c r="U2803" s="7">
        <v>3</v>
      </c>
      <c r="V2803" t="s">
        <v>966</v>
      </c>
      <c r="W2803" s="257" t="s">
        <v>1052</v>
      </c>
      <c r="X2803" t="s">
        <v>1053</v>
      </c>
      <c r="Y2803" s="316" t="s">
        <v>490</v>
      </c>
      <c r="Z2803" s="8">
        <v>335</v>
      </c>
      <c r="AA2803" s="202" t="str">
        <f t="shared" si="44"/>
        <v>Капуста свежая</v>
      </c>
    </row>
    <row r="2804" spans="1:27" ht="15" customHeight="1" x14ac:dyDescent="0.25">
      <c r="A2804" t="s">
        <v>153</v>
      </c>
      <c r="L2804"/>
      <c r="M2804"/>
      <c r="N2804"/>
      <c r="O2804"/>
      <c r="P2804"/>
      <c r="T2804">
        <v>785</v>
      </c>
      <c r="U2804" s="7">
        <v>3</v>
      </c>
      <c r="V2804" t="s">
        <v>966</v>
      </c>
      <c r="W2804" s="257" t="s">
        <v>1052</v>
      </c>
      <c r="X2804" t="s">
        <v>1053</v>
      </c>
      <c r="Y2804" s="316" t="s">
        <v>46</v>
      </c>
      <c r="Z2804" s="8">
        <v>20</v>
      </c>
      <c r="AA2804" s="202" t="str">
        <f t="shared" si="44"/>
        <v>Морковь</v>
      </c>
    </row>
    <row r="2805" spans="1:27" ht="15" customHeight="1" x14ac:dyDescent="0.25">
      <c r="A2805" t="s">
        <v>153</v>
      </c>
      <c r="L2805"/>
      <c r="M2805"/>
      <c r="N2805"/>
      <c r="O2805"/>
      <c r="P2805"/>
      <c r="T2805">
        <v>786</v>
      </c>
      <c r="U2805" s="7">
        <v>3</v>
      </c>
      <c r="V2805" t="s">
        <v>966</v>
      </c>
      <c r="W2805" s="257" t="s">
        <v>1052</v>
      </c>
      <c r="X2805" t="s">
        <v>1053</v>
      </c>
      <c r="Y2805" s="316" t="s">
        <v>32</v>
      </c>
      <c r="Z2805" s="8">
        <v>20</v>
      </c>
      <c r="AA2805" s="202" t="str">
        <f t="shared" si="44"/>
        <v>Лук репчатый</v>
      </c>
    </row>
    <row r="2806" spans="1:27" ht="15" customHeight="1" x14ac:dyDescent="0.25">
      <c r="A2806" t="s">
        <v>153</v>
      </c>
      <c r="L2806"/>
      <c r="M2806"/>
      <c r="N2806"/>
      <c r="O2806"/>
      <c r="P2806"/>
      <c r="T2806">
        <v>787</v>
      </c>
      <c r="U2806" s="7">
        <v>3</v>
      </c>
      <c r="V2806" t="s">
        <v>966</v>
      </c>
      <c r="W2806" s="257" t="s">
        <v>1052</v>
      </c>
      <c r="X2806" t="s">
        <v>1053</v>
      </c>
      <c r="Y2806" s="316" t="s">
        <v>445</v>
      </c>
      <c r="Z2806" s="8">
        <v>40</v>
      </c>
      <c r="AA2806" s="202" t="str">
        <f t="shared" si="44"/>
        <v>Огурцы консерв.</v>
      </c>
    </row>
    <row r="2807" spans="1:27" ht="15" customHeight="1" x14ac:dyDescent="0.25">
      <c r="A2807" t="s">
        <v>153</v>
      </c>
      <c r="L2807"/>
      <c r="M2807"/>
      <c r="N2807"/>
      <c r="O2807"/>
      <c r="P2807"/>
      <c r="T2807">
        <v>788</v>
      </c>
      <c r="U2807" s="7">
        <v>3</v>
      </c>
      <c r="V2807" t="s">
        <v>966</v>
      </c>
      <c r="W2807" s="257" t="s">
        <v>1052</v>
      </c>
      <c r="X2807" t="s">
        <v>1053</v>
      </c>
      <c r="Y2807" s="316" t="s">
        <v>61</v>
      </c>
      <c r="Z2807" s="8">
        <v>2</v>
      </c>
      <c r="AA2807" s="202" t="str">
        <f t="shared" si="44"/>
        <v>Масло растительное</v>
      </c>
    </row>
    <row r="2808" spans="1:27" ht="15" customHeight="1" x14ac:dyDescent="0.25">
      <c r="A2808" t="s">
        <v>153</v>
      </c>
      <c r="L2808"/>
      <c r="M2808"/>
      <c r="N2808"/>
      <c r="O2808"/>
      <c r="P2808"/>
      <c r="T2808">
        <v>789</v>
      </c>
      <c r="U2808" s="7">
        <v>3</v>
      </c>
      <c r="V2808" t="s">
        <v>966</v>
      </c>
      <c r="W2808" s="257" t="s">
        <v>1052</v>
      </c>
      <c r="X2808" t="s">
        <v>1053</v>
      </c>
      <c r="Y2808" s="316" t="s">
        <v>451</v>
      </c>
      <c r="Z2808" s="8">
        <v>10</v>
      </c>
      <c r="AA2808" s="202" t="str">
        <f t="shared" si="44"/>
        <v>Сыр</v>
      </c>
    </row>
    <row r="2809" spans="1:27" ht="15" customHeight="1" x14ac:dyDescent="0.25">
      <c r="A2809" t="s">
        <v>153</v>
      </c>
      <c r="L2809"/>
      <c r="M2809"/>
      <c r="N2809"/>
      <c r="O2809"/>
      <c r="P2809"/>
      <c r="T2809">
        <v>790</v>
      </c>
      <c r="U2809" s="7">
        <v>3</v>
      </c>
      <c r="V2809" t="s">
        <v>966</v>
      </c>
      <c r="W2809" s="257" t="s">
        <v>1052</v>
      </c>
      <c r="X2809" t="s">
        <v>1053</v>
      </c>
      <c r="Y2809" s="316" t="s">
        <v>76</v>
      </c>
      <c r="Z2809" s="8">
        <v>2</v>
      </c>
      <c r="AA2809" s="202" t="str">
        <f t="shared" si="44"/>
        <v>Томат-паста</v>
      </c>
    </row>
    <row r="2810" spans="1:27" ht="15" customHeight="1" x14ac:dyDescent="0.25">
      <c r="A2810" t="s">
        <v>153</v>
      </c>
      <c r="L2810"/>
      <c r="M2810"/>
      <c r="N2810"/>
      <c r="O2810"/>
      <c r="P2810"/>
      <c r="T2810">
        <v>791</v>
      </c>
      <c r="U2810" s="7">
        <v>3</v>
      </c>
      <c r="V2810" t="s">
        <v>966</v>
      </c>
      <c r="W2810" s="257" t="s">
        <v>1052</v>
      </c>
      <c r="X2810" t="s">
        <v>1053</v>
      </c>
      <c r="Y2810" s="316" t="s">
        <v>486</v>
      </c>
      <c r="Z2810" s="8">
        <v>1</v>
      </c>
      <c r="AA2810" s="202" t="str">
        <f t="shared" si="44"/>
        <v>Уксус</v>
      </c>
    </row>
    <row r="2811" spans="1:27" ht="15" customHeight="1" x14ac:dyDescent="0.25">
      <c r="A2811" t="s">
        <v>153</v>
      </c>
      <c r="L2811"/>
      <c r="M2811"/>
      <c r="N2811"/>
      <c r="O2811"/>
      <c r="P2811"/>
      <c r="T2811">
        <v>792</v>
      </c>
      <c r="U2811" s="7">
        <v>3</v>
      </c>
      <c r="V2811" t="s">
        <v>966</v>
      </c>
      <c r="W2811" s="257" t="s">
        <v>1052</v>
      </c>
      <c r="X2811" t="s">
        <v>1053</v>
      </c>
      <c r="Y2811" s="316" t="s">
        <v>326</v>
      </c>
      <c r="Z2811" s="8">
        <v>3</v>
      </c>
      <c r="AA2811" s="202" t="str">
        <f t="shared" si="44"/>
        <v>Соль</v>
      </c>
    </row>
    <row r="2812" spans="1:27" ht="15" customHeight="1" x14ac:dyDescent="0.25">
      <c r="A2812" t="s">
        <v>153</v>
      </c>
      <c r="L2812"/>
      <c r="M2812"/>
      <c r="N2812"/>
      <c r="O2812"/>
      <c r="P2812"/>
      <c r="T2812">
        <v>793</v>
      </c>
      <c r="U2812" s="7">
        <v>3</v>
      </c>
      <c r="V2812" t="s">
        <v>966</v>
      </c>
      <c r="W2812" s="257" t="s">
        <v>1052</v>
      </c>
      <c r="X2812" t="s">
        <v>1053</v>
      </c>
      <c r="Y2812" s="316" t="s">
        <v>74</v>
      </c>
      <c r="Z2812" s="8">
        <v>0.02</v>
      </c>
      <c r="AA2812" s="202" t="str">
        <f t="shared" si="44"/>
        <v>Лавровый лист</v>
      </c>
    </row>
    <row r="2813" spans="1:27" ht="15" customHeight="1" x14ac:dyDescent="0.25">
      <c r="A2813" t="s">
        <v>153</v>
      </c>
      <c r="L2813"/>
      <c r="M2813"/>
      <c r="N2813"/>
      <c r="O2813"/>
      <c r="P2813"/>
      <c r="T2813">
        <v>794</v>
      </c>
      <c r="U2813" s="7">
        <v>3</v>
      </c>
      <c r="V2813" t="s">
        <v>966</v>
      </c>
      <c r="W2813" s="257" t="s">
        <v>1052</v>
      </c>
      <c r="X2813" t="s">
        <v>1053</v>
      </c>
      <c r="Y2813" s="316" t="s">
        <v>484</v>
      </c>
      <c r="Z2813" s="8">
        <v>0.05</v>
      </c>
      <c r="AA2813" s="202" t="str">
        <f t="shared" si="44"/>
        <v>Перец черный</v>
      </c>
    </row>
    <row r="2814" spans="1:27" ht="15" customHeight="1" x14ac:dyDescent="0.25">
      <c r="A2814" t="s">
        <v>153</v>
      </c>
      <c r="L2814"/>
      <c r="M2814"/>
      <c r="N2814"/>
      <c r="O2814"/>
      <c r="P2814"/>
      <c r="T2814">
        <v>795</v>
      </c>
      <c r="U2814" s="7">
        <v>3</v>
      </c>
      <c r="V2814" t="s">
        <v>966</v>
      </c>
      <c r="W2814" s="257" t="s">
        <v>1052</v>
      </c>
      <c r="X2814" t="s">
        <v>1053</v>
      </c>
      <c r="Y2814" s="316" t="s">
        <v>558</v>
      </c>
      <c r="Z2814" s="8">
        <v>266</v>
      </c>
      <c r="AA2814" s="202" t="str">
        <f t="shared" si="44"/>
        <v>Общая масса готового блюда, г</v>
      </c>
    </row>
    <row r="2815" spans="1:27" ht="15" customHeight="1" x14ac:dyDescent="0.25">
      <c r="A2815" t="s">
        <v>153</v>
      </c>
      <c r="L2815"/>
      <c r="M2815"/>
      <c r="N2815"/>
      <c r="O2815"/>
      <c r="P2815"/>
      <c r="T2815">
        <v>795</v>
      </c>
      <c r="U2815" s="7">
        <v>3</v>
      </c>
      <c r="V2815" t="s">
        <v>966</v>
      </c>
      <c r="W2815" s="257" t="s">
        <v>1052</v>
      </c>
      <c r="X2815" t="s">
        <v>1053</v>
      </c>
      <c r="Y2815" s="316" t="s">
        <v>109</v>
      </c>
      <c r="Z2815" s="8">
        <v>415</v>
      </c>
      <c r="AA2815" s="202" t="str">
        <f t="shared" si="44"/>
        <v>ОКГ</v>
      </c>
    </row>
    <row r="2816" spans="1:27" ht="15" customHeight="1" x14ac:dyDescent="0.25">
      <c r="A2816" t="s">
        <v>153</v>
      </c>
      <c r="L2816"/>
      <c r="M2816"/>
      <c r="N2816"/>
      <c r="O2816"/>
      <c r="P2816"/>
      <c r="T2816">
        <v>2273</v>
      </c>
      <c r="U2816" s="7">
        <v>3</v>
      </c>
      <c r="V2816" t="s">
        <v>613</v>
      </c>
      <c r="W2816" s="257" t="s">
        <v>935</v>
      </c>
      <c r="X2816" t="s">
        <v>936</v>
      </c>
      <c r="Y2816" s="316" t="s">
        <v>476</v>
      </c>
      <c r="Z2816" s="8">
        <v>80</v>
      </c>
      <c r="AA2816" s="202" t="str">
        <f t="shared" si="44"/>
        <v>Сосиски</v>
      </c>
    </row>
    <row r="2817" spans="1:27" ht="15" customHeight="1" x14ac:dyDescent="0.25">
      <c r="A2817" t="s">
        <v>153</v>
      </c>
      <c r="L2817"/>
      <c r="M2817"/>
      <c r="N2817"/>
      <c r="O2817"/>
      <c r="P2817"/>
      <c r="T2817">
        <v>2274</v>
      </c>
      <c r="U2817" s="7">
        <v>3</v>
      </c>
      <c r="V2817" t="s">
        <v>613</v>
      </c>
      <c r="W2817" s="257" t="s">
        <v>935</v>
      </c>
      <c r="X2817" t="s">
        <v>936</v>
      </c>
      <c r="Y2817" s="316" t="s">
        <v>558</v>
      </c>
      <c r="Z2817" s="8">
        <v>78</v>
      </c>
      <c r="AA2817" s="202" t="str">
        <f t="shared" si="44"/>
        <v>Общая масса готового блюда, г</v>
      </c>
    </row>
    <row r="2818" spans="1:27" ht="15" customHeight="1" x14ac:dyDescent="0.25">
      <c r="A2818" t="s">
        <v>153</v>
      </c>
      <c r="L2818"/>
      <c r="M2818"/>
      <c r="N2818"/>
      <c r="O2818"/>
      <c r="P2818"/>
      <c r="T2818">
        <v>2274</v>
      </c>
      <c r="U2818" s="7">
        <v>3</v>
      </c>
      <c r="V2818" t="s">
        <v>613</v>
      </c>
      <c r="W2818" s="257" t="s">
        <v>935</v>
      </c>
      <c r="X2818" t="s">
        <v>936</v>
      </c>
      <c r="Y2818" s="316" t="s">
        <v>1214</v>
      </c>
      <c r="Z2818" s="8">
        <v>78</v>
      </c>
      <c r="AA2818" s="202" t="str">
        <f t="shared" ref="AA2818:AA2881" si="45">VLOOKUP(Y2818,O:P,2,FALSE)</f>
        <v>Масса мясных и рыбных порций, г</v>
      </c>
    </row>
    <row r="2819" spans="1:27" ht="15" customHeight="1" x14ac:dyDescent="0.25">
      <c r="A2819" t="s">
        <v>153</v>
      </c>
      <c r="L2819"/>
      <c r="M2819"/>
      <c r="N2819"/>
      <c r="O2819"/>
      <c r="P2819"/>
      <c r="T2819">
        <v>2842</v>
      </c>
      <c r="U2819" s="7">
        <v>3</v>
      </c>
      <c r="V2819" t="s">
        <v>1165</v>
      </c>
      <c r="W2819" s="6" t="s">
        <v>1168</v>
      </c>
      <c r="X2819" t="s">
        <v>1169</v>
      </c>
      <c r="Y2819" t="s">
        <v>479</v>
      </c>
      <c r="Z2819" s="8">
        <v>24</v>
      </c>
      <c r="AA2819" s="202" t="str">
        <f t="shared" si="45"/>
        <v>Вода или бульон</v>
      </c>
    </row>
    <row r="2820" spans="1:27" ht="15" customHeight="1" x14ac:dyDescent="0.25">
      <c r="A2820" t="s">
        <v>153</v>
      </c>
      <c r="L2820"/>
      <c r="M2820"/>
      <c r="N2820"/>
      <c r="O2820"/>
      <c r="P2820"/>
      <c r="T2820">
        <v>2843</v>
      </c>
      <c r="U2820" s="7">
        <v>3</v>
      </c>
      <c r="V2820" t="s">
        <v>1165</v>
      </c>
      <c r="W2820" s="6" t="s">
        <v>1168</v>
      </c>
      <c r="X2820" t="s">
        <v>1169</v>
      </c>
      <c r="Y2820" s="316" t="s">
        <v>32</v>
      </c>
      <c r="Z2820" s="8">
        <v>4</v>
      </c>
      <c r="AA2820" s="202" t="str">
        <f t="shared" si="45"/>
        <v>Лук репчатый</v>
      </c>
    </row>
    <row r="2821" spans="1:27" ht="15" customHeight="1" x14ac:dyDescent="0.25">
      <c r="A2821" t="s">
        <v>153</v>
      </c>
      <c r="L2821"/>
      <c r="M2821"/>
      <c r="N2821"/>
      <c r="O2821"/>
      <c r="P2821"/>
      <c r="T2821">
        <v>2844</v>
      </c>
      <c r="U2821" s="7">
        <v>3</v>
      </c>
      <c r="V2821" t="s">
        <v>1165</v>
      </c>
      <c r="W2821" s="6" t="s">
        <v>1168</v>
      </c>
      <c r="X2821" t="s">
        <v>1169</v>
      </c>
      <c r="Y2821" s="316" t="s">
        <v>434</v>
      </c>
      <c r="Z2821" s="8">
        <v>2</v>
      </c>
      <c r="AA2821" s="202" t="str">
        <f t="shared" si="45"/>
        <v>Мука пшеничная 1 с</v>
      </c>
    </row>
    <row r="2822" spans="1:27" ht="15" customHeight="1" x14ac:dyDescent="0.25">
      <c r="A2822" t="s">
        <v>153</v>
      </c>
      <c r="L2822"/>
      <c r="M2822"/>
      <c r="N2822"/>
      <c r="O2822"/>
      <c r="P2822"/>
      <c r="T2822">
        <v>2845</v>
      </c>
      <c r="U2822" s="7">
        <v>3</v>
      </c>
      <c r="V2822" t="s">
        <v>1165</v>
      </c>
      <c r="W2822" s="6" t="s">
        <v>1168</v>
      </c>
      <c r="X2822" t="s">
        <v>1169</v>
      </c>
      <c r="Y2822" s="316" t="s">
        <v>61</v>
      </c>
      <c r="Z2822" s="8">
        <v>2</v>
      </c>
      <c r="AA2822" s="202" t="str">
        <f t="shared" si="45"/>
        <v>Масло растительное</v>
      </c>
    </row>
    <row r="2823" spans="1:27" ht="15" customHeight="1" x14ac:dyDescent="0.25">
      <c r="A2823" t="s">
        <v>153</v>
      </c>
      <c r="L2823"/>
      <c r="M2823"/>
      <c r="N2823"/>
      <c r="O2823"/>
      <c r="P2823"/>
      <c r="T2823">
        <v>2846</v>
      </c>
      <c r="U2823" s="7">
        <v>3</v>
      </c>
      <c r="V2823" t="s">
        <v>1165</v>
      </c>
      <c r="W2823" s="6" t="s">
        <v>1168</v>
      </c>
      <c r="X2823" t="s">
        <v>1169</v>
      </c>
      <c r="Y2823" s="316" t="s">
        <v>326</v>
      </c>
      <c r="Z2823" s="8">
        <v>0.2</v>
      </c>
      <c r="AA2823" s="202" t="str">
        <f t="shared" si="45"/>
        <v>Соль</v>
      </c>
    </row>
    <row r="2824" spans="1:27" ht="15" customHeight="1" x14ac:dyDescent="0.25">
      <c r="A2824" t="s">
        <v>153</v>
      </c>
      <c r="L2824"/>
      <c r="M2824"/>
      <c r="N2824"/>
      <c r="O2824"/>
      <c r="P2824"/>
      <c r="T2824">
        <v>2847</v>
      </c>
      <c r="U2824" s="7">
        <v>3</v>
      </c>
      <c r="V2824" t="s">
        <v>1165</v>
      </c>
      <c r="W2824" s="6" t="s">
        <v>1168</v>
      </c>
      <c r="X2824" t="s">
        <v>1169</v>
      </c>
      <c r="Y2824" s="316" t="s">
        <v>484</v>
      </c>
      <c r="Z2824" s="8">
        <v>0.01</v>
      </c>
      <c r="AA2824" s="202" t="str">
        <f t="shared" si="45"/>
        <v>Перец черный</v>
      </c>
    </row>
    <row r="2825" spans="1:27" ht="15" customHeight="1" x14ac:dyDescent="0.25">
      <c r="A2825" t="s">
        <v>153</v>
      </c>
      <c r="L2825"/>
      <c r="M2825"/>
      <c r="N2825"/>
      <c r="O2825"/>
      <c r="P2825"/>
      <c r="T2825">
        <v>2848</v>
      </c>
      <c r="U2825" s="7">
        <v>3</v>
      </c>
      <c r="V2825" t="s">
        <v>1165</v>
      </c>
      <c r="W2825" s="6" t="s">
        <v>1168</v>
      </c>
      <c r="X2825" t="s">
        <v>1169</v>
      </c>
      <c r="Y2825" s="316" t="s">
        <v>74</v>
      </c>
      <c r="Z2825" s="8">
        <v>4.0000000000000001E-3</v>
      </c>
      <c r="AA2825" s="202" t="str">
        <f t="shared" si="45"/>
        <v>Лавровый лист</v>
      </c>
    </row>
    <row r="2826" spans="1:27" ht="15" customHeight="1" x14ac:dyDescent="0.25">
      <c r="A2826" t="s">
        <v>153</v>
      </c>
      <c r="L2826"/>
      <c r="M2826"/>
      <c r="N2826"/>
      <c r="O2826"/>
      <c r="P2826"/>
      <c r="T2826">
        <v>2849</v>
      </c>
      <c r="U2826" s="7">
        <v>3</v>
      </c>
      <c r="V2826" t="s">
        <v>1165</v>
      </c>
      <c r="W2826" s="6" t="s">
        <v>1168</v>
      </c>
      <c r="X2826" t="s">
        <v>1169</v>
      </c>
      <c r="Y2826" s="316" t="s">
        <v>558</v>
      </c>
      <c r="Z2826" s="8">
        <v>20</v>
      </c>
      <c r="AA2826" s="202" t="str">
        <f t="shared" si="45"/>
        <v>Общая масса готового блюда, г</v>
      </c>
    </row>
    <row r="2827" spans="1:27" ht="15" customHeight="1" x14ac:dyDescent="0.25">
      <c r="A2827" t="s">
        <v>153</v>
      </c>
      <c r="L2827"/>
      <c r="M2827"/>
      <c r="N2827"/>
      <c r="O2827"/>
      <c r="P2827"/>
      <c r="T2827">
        <v>2812</v>
      </c>
      <c r="U2827" s="7">
        <v>3</v>
      </c>
      <c r="V2827" t="s">
        <v>1165</v>
      </c>
      <c r="W2827" s="6" t="s">
        <v>1170</v>
      </c>
      <c r="X2827" t="s">
        <v>1171</v>
      </c>
      <c r="Y2827" t="s">
        <v>479</v>
      </c>
      <c r="Z2827" s="8">
        <v>16</v>
      </c>
      <c r="AA2827" s="202" t="str">
        <f t="shared" si="45"/>
        <v>Вода или бульон</v>
      </c>
    </row>
    <row r="2828" spans="1:27" ht="15" customHeight="1" x14ac:dyDescent="0.25">
      <c r="A2828" t="s">
        <v>153</v>
      </c>
      <c r="L2828"/>
      <c r="M2828"/>
      <c r="N2828"/>
      <c r="O2828"/>
      <c r="P2828"/>
      <c r="T2828">
        <v>2813</v>
      </c>
      <c r="U2828" s="7">
        <v>3</v>
      </c>
      <c r="V2828" t="s">
        <v>1165</v>
      </c>
      <c r="W2828" s="6" t="s">
        <v>1170</v>
      </c>
      <c r="X2828" t="s">
        <v>1171</v>
      </c>
      <c r="Y2828" s="316" t="s">
        <v>46</v>
      </c>
      <c r="Z2828" s="8">
        <v>4</v>
      </c>
      <c r="AA2828" s="202" t="str">
        <f t="shared" si="45"/>
        <v>Морковь</v>
      </c>
    </row>
    <row r="2829" spans="1:27" ht="15" customHeight="1" x14ac:dyDescent="0.25">
      <c r="A2829" t="s">
        <v>153</v>
      </c>
      <c r="L2829"/>
      <c r="M2829"/>
      <c r="N2829"/>
      <c r="O2829"/>
      <c r="P2829"/>
      <c r="T2829">
        <v>2814</v>
      </c>
      <c r="U2829" s="7">
        <v>3</v>
      </c>
      <c r="V2829" t="s">
        <v>1165</v>
      </c>
      <c r="W2829" s="6" t="s">
        <v>1170</v>
      </c>
      <c r="X2829" t="s">
        <v>1171</v>
      </c>
      <c r="Y2829" s="316" t="s">
        <v>32</v>
      </c>
      <c r="Z2829" s="8">
        <v>4</v>
      </c>
      <c r="AA2829" s="202" t="str">
        <f t="shared" si="45"/>
        <v>Лук репчатый</v>
      </c>
    </row>
    <row r="2830" spans="1:27" ht="15" customHeight="1" x14ac:dyDescent="0.25">
      <c r="A2830" t="s">
        <v>153</v>
      </c>
      <c r="L2830"/>
      <c r="M2830"/>
      <c r="N2830"/>
      <c r="O2830"/>
      <c r="P2830"/>
      <c r="T2830">
        <v>2815</v>
      </c>
      <c r="U2830" s="7">
        <v>3</v>
      </c>
      <c r="V2830" t="s">
        <v>1165</v>
      </c>
      <c r="W2830" s="6" t="s">
        <v>1170</v>
      </c>
      <c r="X2830" t="s">
        <v>1171</v>
      </c>
      <c r="Y2830" t="s">
        <v>76</v>
      </c>
      <c r="Z2830" s="8">
        <v>0.8</v>
      </c>
      <c r="AA2830" s="202" t="str">
        <f t="shared" si="45"/>
        <v>Томат-паста</v>
      </c>
    </row>
    <row r="2831" spans="1:27" ht="15" customHeight="1" x14ac:dyDescent="0.25">
      <c r="A2831" t="s">
        <v>153</v>
      </c>
      <c r="L2831"/>
      <c r="M2831"/>
      <c r="N2831"/>
      <c r="O2831"/>
      <c r="P2831"/>
      <c r="T2831">
        <v>2816</v>
      </c>
      <c r="U2831" s="7">
        <v>3</v>
      </c>
      <c r="V2831" t="s">
        <v>1165</v>
      </c>
      <c r="W2831" s="6" t="s">
        <v>1170</v>
      </c>
      <c r="X2831" t="s">
        <v>1171</v>
      </c>
      <c r="Y2831" s="316" t="s">
        <v>434</v>
      </c>
      <c r="Z2831" s="8">
        <v>0.8</v>
      </c>
      <c r="AA2831" s="202" t="str">
        <f t="shared" si="45"/>
        <v>Мука пшеничная 1 с</v>
      </c>
    </row>
    <row r="2832" spans="1:27" ht="15" customHeight="1" x14ac:dyDescent="0.25">
      <c r="A2832" t="s">
        <v>153</v>
      </c>
      <c r="L2832"/>
      <c r="M2832"/>
      <c r="N2832"/>
      <c r="O2832"/>
      <c r="P2832"/>
      <c r="T2832">
        <v>2817</v>
      </c>
      <c r="U2832" s="7">
        <v>3</v>
      </c>
      <c r="V2832" t="s">
        <v>1165</v>
      </c>
      <c r="W2832" s="6" t="s">
        <v>1170</v>
      </c>
      <c r="X2832" t="s">
        <v>1171</v>
      </c>
      <c r="Y2832" s="316" t="s">
        <v>61</v>
      </c>
      <c r="Z2832" s="8">
        <v>0.8</v>
      </c>
      <c r="AA2832" s="202" t="str">
        <f t="shared" si="45"/>
        <v>Масло растительное</v>
      </c>
    </row>
    <row r="2833" spans="1:27" ht="15" customHeight="1" x14ac:dyDescent="0.25">
      <c r="A2833" t="s">
        <v>153</v>
      </c>
      <c r="L2833"/>
      <c r="M2833"/>
      <c r="N2833"/>
      <c r="O2833"/>
      <c r="P2833"/>
      <c r="T2833">
        <v>2818</v>
      </c>
      <c r="U2833" s="7">
        <v>3</v>
      </c>
      <c r="V2833" t="s">
        <v>1165</v>
      </c>
      <c r="W2833" s="6" t="s">
        <v>1170</v>
      </c>
      <c r="X2833" t="s">
        <v>1171</v>
      </c>
      <c r="Y2833" s="316" t="s">
        <v>484</v>
      </c>
      <c r="Z2833" s="8">
        <v>0.01</v>
      </c>
      <c r="AA2833" s="202" t="str">
        <f t="shared" si="45"/>
        <v>Перец черный</v>
      </c>
    </row>
    <row r="2834" spans="1:27" ht="15" customHeight="1" x14ac:dyDescent="0.25">
      <c r="A2834" t="s">
        <v>153</v>
      </c>
      <c r="L2834"/>
      <c r="M2834"/>
      <c r="N2834"/>
      <c r="O2834"/>
      <c r="P2834"/>
      <c r="T2834">
        <v>2819</v>
      </c>
      <c r="U2834" s="7">
        <v>3</v>
      </c>
      <c r="V2834" t="s">
        <v>1165</v>
      </c>
      <c r="W2834" s="6" t="s">
        <v>1170</v>
      </c>
      <c r="X2834" t="s">
        <v>1171</v>
      </c>
      <c r="Y2834" s="316" t="s">
        <v>74</v>
      </c>
      <c r="Z2834" s="8">
        <v>4.0000000000000001E-3</v>
      </c>
      <c r="AA2834" s="202" t="str">
        <f t="shared" si="45"/>
        <v>Лавровый лист</v>
      </c>
    </row>
    <row r="2835" spans="1:27" ht="15" customHeight="1" x14ac:dyDescent="0.25">
      <c r="A2835" t="s">
        <v>153</v>
      </c>
      <c r="L2835"/>
      <c r="M2835"/>
      <c r="N2835"/>
      <c r="O2835"/>
      <c r="P2835"/>
      <c r="T2835">
        <v>2820</v>
      </c>
      <c r="U2835" s="7">
        <v>3</v>
      </c>
      <c r="V2835" t="s">
        <v>1165</v>
      </c>
      <c r="W2835" s="6" t="s">
        <v>1170</v>
      </c>
      <c r="X2835" t="s">
        <v>1171</v>
      </c>
      <c r="Y2835" s="316" t="s">
        <v>326</v>
      </c>
      <c r="Z2835" s="8">
        <v>0.2</v>
      </c>
      <c r="AA2835" s="202" t="str">
        <f t="shared" si="45"/>
        <v>Соль</v>
      </c>
    </row>
    <row r="2836" spans="1:27" ht="15" customHeight="1" x14ac:dyDescent="0.25">
      <c r="A2836" t="s">
        <v>153</v>
      </c>
      <c r="L2836"/>
      <c r="M2836"/>
      <c r="N2836"/>
      <c r="O2836"/>
      <c r="P2836"/>
      <c r="T2836">
        <v>2821</v>
      </c>
      <c r="U2836" s="7">
        <v>3</v>
      </c>
      <c r="V2836" t="s">
        <v>1165</v>
      </c>
      <c r="W2836" s="6" t="s">
        <v>1170</v>
      </c>
      <c r="X2836" t="s">
        <v>1171</v>
      </c>
      <c r="Y2836" s="316" t="s">
        <v>558</v>
      </c>
      <c r="Z2836" s="8">
        <v>20</v>
      </c>
      <c r="AA2836" s="202" t="str">
        <f t="shared" si="45"/>
        <v>Общая масса готового блюда, г</v>
      </c>
    </row>
    <row r="2837" spans="1:27" ht="15" customHeight="1" x14ac:dyDescent="0.25">
      <c r="A2837" t="s">
        <v>153</v>
      </c>
      <c r="L2837"/>
      <c r="M2837"/>
      <c r="N2837"/>
      <c r="O2837"/>
      <c r="P2837"/>
      <c r="T2837">
        <v>2835</v>
      </c>
      <c r="U2837" s="7">
        <v>3</v>
      </c>
      <c r="V2837" t="s">
        <v>1165</v>
      </c>
      <c r="W2837" s="6" t="s">
        <v>1172</v>
      </c>
      <c r="X2837" t="s">
        <v>1173</v>
      </c>
      <c r="Y2837" t="s">
        <v>479</v>
      </c>
      <c r="Z2837" s="8">
        <v>12.8</v>
      </c>
      <c r="AA2837" s="202" t="str">
        <f t="shared" si="45"/>
        <v>Вода или бульон</v>
      </c>
    </row>
    <row r="2838" spans="1:27" ht="15" customHeight="1" x14ac:dyDescent="0.25">
      <c r="A2838" t="s">
        <v>153</v>
      </c>
      <c r="L2838"/>
      <c r="M2838"/>
      <c r="N2838"/>
      <c r="O2838"/>
      <c r="P2838"/>
      <c r="T2838">
        <v>2835</v>
      </c>
      <c r="U2838" s="7">
        <v>3</v>
      </c>
      <c r="V2838" t="s">
        <v>1165</v>
      </c>
      <c r="W2838" s="6" t="s">
        <v>1172</v>
      </c>
      <c r="X2838" t="s">
        <v>1173</v>
      </c>
      <c r="Y2838" s="316" t="s">
        <v>46</v>
      </c>
      <c r="Z2838" s="8">
        <v>3.2</v>
      </c>
      <c r="AA2838" s="202" t="str">
        <f t="shared" si="45"/>
        <v>Морковь</v>
      </c>
    </row>
    <row r="2839" spans="1:27" ht="15" customHeight="1" x14ac:dyDescent="0.25">
      <c r="A2839" t="s">
        <v>153</v>
      </c>
      <c r="L2839"/>
      <c r="M2839"/>
      <c r="N2839"/>
      <c r="O2839"/>
      <c r="P2839"/>
      <c r="T2839">
        <v>2835</v>
      </c>
      <c r="U2839" s="7">
        <v>3</v>
      </c>
      <c r="V2839" t="s">
        <v>1165</v>
      </c>
      <c r="W2839" s="6" t="s">
        <v>1172</v>
      </c>
      <c r="X2839" t="s">
        <v>1173</v>
      </c>
      <c r="Y2839" t="s">
        <v>76</v>
      </c>
      <c r="Z2839" s="8">
        <v>0.64</v>
      </c>
      <c r="AA2839" s="202" t="str">
        <f t="shared" si="45"/>
        <v>Томат-паста</v>
      </c>
    </row>
    <row r="2840" spans="1:27" ht="15" customHeight="1" x14ac:dyDescent="0.25">
      <c r="A2840" t="s">
        <v>153</v>
      </c>
      <c r="L2840"/>
      <c r="M2840"/>
      <c r="N2840"/>
      <c r="O2840"/>
      <c r="P2840"/>
      <c r="T2840">
        <v>2835</v>
      </c>
      <c r="U2840" s="7">
        <v>3</v>
      </c>
      <c r="V2840" t="s">
        <v>1165</v>
      </c>
      <c r="W2840" s="6" t="s">
        <v>1172</v>
      </c>
      <c r="X2840" t="s">
        <v>1173</v>
      </c>
      <c r="Y2840" s="316" t="s">
        <v>434</v>
      </c>
      <c r="Z2840" s="8">
        <v>0.64</v>
      </c>
      <c r="AA2840" s="202" t="str">
        <f t="shared" si="45"/>
        <v>Мука пшеничная 1 с</v>
      </c>
    </row>
    <row r="2841" spans="1:27" ht="15" customHeight="1" x14ac:dyDescent="0.25">
      <c r="A2841" t="s">
        <v>153</v>
      </c>
      <c r="L2841"/>
      <c r="M2841"/>
      <c r="N2841"/>
      <c r="O2841"/>
      <c r="P2841"/>
      <c r="T2841">
        <v>2835</v>
      </c>
      <c r="U2841" s="7">
        <v>3</v>
      </c>
      <c r="V2841" t="s">
        <v>1165</v>
      </c>
      <c r="W2841" s="6" t="s">
        <v>1172</v>
      </c>
      <c r="X2841" t="s">
        <v>1173</v>
      </c>
      <c r="Y2841" s="316" t="s">
        <v>326</v>
      </c>
      <c r="Z2841" s="8">
        <v>0.16</v>
      </c>
      <c r="AA2841" s="202" t="str">
        <f t="shared" si="45"/>
        <v>Соль</v>
      </c>
    </row>
    <row r="2842" spans="1:27" ht="15" customHeight="1" x14ac:dyDescent="0.25">
      <c r="A2842" t="s">
        <v>153</v>
      </c>
      <c r="L2842"/>
      <c r="M2842"/>
      <c r="N2842"/>
      <c r="O2842"/>
      <c r="P2842"/>
      <c r="T2842">
        <v>2835</v>
      </c>
      <c r="U2842" s="7">
        <v>3</v>
      </c>
      <c r="V2842" t="s">
        <v>1165</v>
      </c>
      <c r="W2842" s="6" t="s">
        <v>1172</v>
      </c>
      <c r="X2842" t="s">
        <v>1173</v>
      </c>
      <c r="Y2842" s="316" t="s">
        <v>32</v>
      </c>
      <c r="Z2842" s="8">
        <v>7.2</v>
      </c>
      <c r="AA2842" s="202" t="str">
        <f t="shared" si="45"/>
        <v>Лук репчатый</v>
      </c>
    </row>
    <row r="2843" spans="1:27" ht="15" customHeight="1" x14ac:dyDescent="0.25">
      <c r="A2843" t="s">
        <v>153</v>
      </c>
      <c r="L2843"/>
      <c r="M2843"/>
      <c r="N2843"/>
      <c r="O2843"/>
      <c r="P2843"/>
      <c r="T2843">
        <v>2836</v>
      </c>
      <c r="U2843" s="7">
        <v>3</v>
      </c>
      <c r="V2843" t="s">
        <v>1165</v>
      </c>
      <c r="W2843" s="6" t="s">
        <v>1172</v>
      </c>
      <c r="X2843" t="s">
        <v>1173</v>
      </c>
      <c r="Y2843" t="s">
        <v>445</v>
      </c>
      <c r="Z2843" s="8">
        <v>4</v>
      </c>
      <c r="AA2843" s="202" t="str">
        <f t="shared" si="45"/>
        <v>Огурцы консерв.</v>
      </c>
    </row>
    <row r="2844" spans="1:27" ht="15" customHeight="1" x14ac:dyDescent="0.25">
      <c r="A2844" t="s">
        <v>153</v>
      </c>
      <c r="L2844"/>
      <c r="M2844"/>
      <c r="N2844"/>
      <c r="O2844"/>
      <c r="P2844"/>
      <c r="T2844">
        <v>2837</v>
      </c>
      <c r="U2844" s="7">
        <v>3</v>
      </c>
      <c r="V2844" t="s">
        <v>1165</v>
      </c>
      <c r="W2844" s="6" t="s">
        <v>1172</v>
      </c>
      <c r="X2844" t="s">
        <v>1173</v>
      </c>
      <c r="Y2844" s="316" t="s">
        <v>61</v>
      </c>
      <c r="Z2844" s="8">
        <v>1.44</v>
      </c>
      <c r="AA2844" s="202" t="str">
        <f t="shared" si="45"/>
        <v>Масло растительное</v>
      </c>
    </row>
    <row r="2845" spans="1:27" ht="15" customHeight="1" x14ac:dyDescent="0.25">
      <c r="A2845" t="s">
        <v>153</v>
      </c>
      <c r="L2845"/>
      <c r="M2845"/>
      <c r="N2845"/>
      <c r="O2845"/>
      <c r="P2845"/>
      <c r="T2845">
        <v>2838</v>
      </c>
      <c r="U2845" s="7">
        <v>3</v>
      </c>
      <c r="V2845" t="s">
        <v>1165</v>
      </c>
      <c r="W2845" s="6" t="s">
        <v>1172</v>
      </c>
      <c r="X2845" t="s">
        <v>1173</v>
      </c>
      <c r="Y2845" s="316" t="s">
        <v>486</v>
      </c>
      <c r="Z2845" s="8">
        <v>0.8</v>
      </c>
      <c r="AA2845" s="202" t="str">
        <f t="shared" si="45"/>
        <v>Уксус</v>
      </c>
    </row>
    <row r="2846" spans="1:27" ht="15" customHeight="1" x14ac:dyDescent="0.25">
      <c r="A2846" t="s">
        <v>153</v>
      </c>
      <c r="L2846"/>
      <c r="M2846"/>
      <c r="N2846"/>
      <c r="O2846"/>
      <c r="P2846"/>
      <c r="T2846">
        <v>2839</v>
      </c>
      <c r="U2846" s="7">
        <v>3</v>
      </c>
      <c r="V2846" t="s">
        <v>1165</v>
      </c>
      <c r="W2846" s="6" t="s">
        <v>1172</v>
      </c>
      <c r="X2846" t="s">
        <v>1173</v>
      </c>
      <c r="Y2846" s="316" t="s">
        <v>484</v>
      </c>
      <c r="Z2846" s="8">
        <v>1.7999999999999999E-2</v>
      </c>
      <c r="AA2846" s="202" t="str">
        <f t="shared" si="45"/>
        <v>Перец черный</v>
      </c>
    </row>
    <row r="2847" spans="1:27" ht="15" customHeight="1" x14ac:dyDescent="0.25">
      <c r="A2847" t="s">
        <v>153</v>
      </c>
      <c r="L2847"/>
      <c r="M2847"/>
      <c r="N2847"/>
      <c r="O2847"/>
      <c r="P2847"/>
      <c r="T2847">
        <v>2840</v>
      </c>
      <c r="U2847" s="7">
        <v>3</v>
      </c>
      <c r="V2847" t="s">
        <v>1165</v>
      </c>
      <c r="W2847" s="6" t="s">
        <v>1172</v>
      </c>
      <c r="X2847" t="s">
        <v>1173</v>
      </c>
      <c r="Y2847" s="316" t="s">
        <v>74</v>
      </c>
      <c r="Z2847" s="8">
        <v>7.1999999999999998E-3</v>
      </c>
      <c r="AA2847" s="202" t="str">
        <f t="shared" si="45"/>
        <v>Лавровый лист</v>
      </c>
    </row>
    <row r="2848" spans="1:27" ht="15" customHeight="1" x14ac:dyDescent="0.25">
      <c r="A2848" t="s">
        <v>153</v>
      </c>
      <c r="L2848"/>
      <c r="M2848"/>
      <c r="N2848"/>
      <c r="O2848"/>
      <c r="P2848"/>
      <c r="T2848">
        <v>2841</v>
      </c>
      <c r="U2848" s="7">
        <v>3</v>
      </c>
      <c r="V2848" t="s">
        <v>1165</v>
      </c>
      <c r="W2848" s="6" t="s">
        <v>1172</v>
      </c>
      <c r="X2848" t="s">
        <v>1173</v>
      </c>
      <c r="Y2848" s="316" t="s">
        <v>558</v>
      </c>
      <c r="Z2848" s="8">
        <v>20</v>
      </c>
      <c r="AA2848" s="202" t="str">
        <f t="shared" si="45"/>
        <v>Общая масса готового блюда, г</v>
      </c>
    </row>
    <row r="2849" spans="1:27" ht="15" customHeight="1" x14ac:dyDescent="0.25">
      <c r="A2849" t="s">
        <v>153</v>
      </c>
      <c r="L2849"/>
      <c r="M2849"/>
      <c r="N2849"/>
      <c r="O2849"/>
      <c r="P2849"/>
      <c r="T2849">
        <v>2822</v>
      </c>
      <c r="U2849" s="7">
        <v>3</v>
      </c>
      <c r="V2849" t="s">
        <v>1165</v>
      </c>
      <c r="W2849" s="6" t="s">
        <v>1174</v>
      </c>
      <c r="X2849" t="s">
        <v>1175</v>
      </c>
      <c r="Y2849" s="316" t="s">
        <v>32</v>
      </c>
      <c r="Z2849" s="8">
        <v>7.6</v>
      </c>
      <c r="AA2849" s="202" t="str">
        <f t="shared" si="45"/>
        <v>Лук репчатый</v>
      </c>
    </row>
    <row r="2850" spans="1:27" ht="15" customHeight="1" x14ac:dyDescent="0.25">
      <c r="A2850" t="s">
        <v>153</v>
      </c>
      <c r="L2850"/>
      <c r="M2850"/>
      <c r="N2850"/>
      <c r="O2850"/>
      <c r="P2850"/>
      <c r="T2850">
        <v>2823</v>
      </c>
      <c r="U2850" s="7">
        <v>3</v>
      </c>
      <c r="V2850" t="s">
        <v>1165</v>
      </c>
      <c r="W2850" s="6" t="s">
        <v>1174</v>
      </c>
      <c r="X2850" t="s">
        <v>1175</v>
      </c>
      <c r="Y2850" s="316" t="s">
        <v>486</v>
      </c>
      <c r="Z2850" s="8">
        <v>0.8</v>
      </c>
      <c r="AA2850" s="202" t="str">
        <f t="shared" si="45"/>
        <v>Уксус</v>
      </c>
    </row>
    <row r="2851" spans="1:27" ht="15" customHeight="1" x14ac:dyDescent="0.25">
      <c r="A2851" t="s">
        <v>153</v>
      </c>
      <c r="L2851"/>
      <c r="M2851"/>
      <c r="N2851"/>
      <c r="O2851"/>
      <c r="P2851"/>
      <c r="T2851">
        <v>2824</v>
      </c>
      <c r="U2851" s="7">
        <v>3</v>
      </c>
      <c r="V2851" t="s">
        <v>1165</v>
      </c>
      <c r="W2851" s="6" t="s">
        <v>1174</v>
      </c>
      <c r="X2851" t="s">
        <v>1175</v>
      </c>
      <c r="Y2851" s="316" t="s">
        <v>61</v>
      </c>
      <c r="Z2851" s="8">
        <v>1.52</v>
      </c>
      <c r="AA2851" s="202" t="str">
        <f t="shared" si="45"/>
        <v>Масло растительное</v>
      </c>
    </row>
    <row r="2852" spans="1:27" ht="15" customHeight="1" x14ac:dyDescent="0.25">
      <c r="A2852" t="s">
        <v>153</v>
      </c>
      <c r="L2852"/>
      <c r="M2852"/>
      <c r="N2852"/>
      <c r="O2852"/>
      <c r="P2852"/>
      <c r="T2852">
        <v>2825</v>
      </c>
      <c r="U2852" s="7">
        <v>3</v>
      </c>
      <c r="V2852" t="s">
        <v>1165</v>
      </c>
      <c r="W2852" s="6" t="s">
        <v>1174</v>
      </c>
      <c r="X2852" t="s">
        <v>1175</v>
      </c>
      <c r="Y2852" s="316" t="s">
        <v>484</v>
      </c>
      <c r="Z2852" s="8">
        <v>1.9E-2</v>
      </c>
      <c r="AA2852" s="202" t="str">
        <f t="shared" si="45"/>
        <v>Перец черный</v>
      </c>
    </row>
    <row r="2853" spans="1:27" ht="15" customHeight="1" x14ac:dyDescent="0.25">
      <c r="A2853" t="s">
        <v>153</v>
      </c>
      <c r="L2853"/>
      <c r="M2853"/>
      <c r="N2853"/>
      <c r="O2853"/>
      <c r="P2853"/>
      <c r="T2853">
        <v>2826</v>
      </c>
      <c r="U2853" s="7">
        <v>3</v>
      </c>
      <c r="V2853" t="s">
        <v>1165</v>
      </c>
      <c r="W2853" s="6" t="s">
        <v>1174</v>
      </c>
      <c r="X2853" t="s">
        <v>1175</v>
      </c>
      <c r="Y2853" s="316" t="s">
        <v>74</v>
      </c>
      <c r="Z2853" s="8">
        <v>7.6E-3</v>
      </c>
      <c r="AA2853" s="202" t="str">
        <f t="shared" si="45"/>
        <v>Лавровый лист</v>
      </c>
    </row>
    <row r="2854" spans="1:27" ht="15" customHeight="1" x14ac:dyDescent="0.25">
      <c r="A2854" t="s">
        <v>153</v>
      </c>
      <c r="L2854"/>
      <c r="M2854"/>
      <c r="N2854"/>
      <c r="O2854"/>
      <c r="P2854"/>
      <c r="T2854">
        <v>2827</v>
      </c>
      <c r="U2854" s="7">
        <v>3</v>
      </c>
      <c r="V2854" t="s">
        <v>1165</v>
      </c>
      <c r="W2854" s="6" t="s">
        <v>1174</v>
      </c>
      <c r="X2854" t="s">
        <v>1175</v>
      </c>
      <c r="Y2854" t="s">
        <v>479</v>
      </c>
      <c r="Z2854" s="8">
        <v>14.4</v>
      </c>
      <c r="AA2854" s="202" t="str">
        <f t="shared" si="45"/>
        <v>Вода или бульон</v>
      </c>
    </row>
    <row r="2855" spans="1:27" ht="15" customHeight="1" x14ac:dyDescent="0.25">
      <c r="A2855" t="s">
        <v>153</v>
      </c>
      <c r="L2855"/>
      <c r="M2855"/>
      <c r="N2855"/>
      <c r="O2855"/>
      <c r="P2855"/>
      <c r="T2855">
        <v>2828</v>
      </c>
      <c r="U2855" s="7">
        <v>3</v>
      </c>
      <c r="V2855" t="s">
        <v>1165</v>
      </c>
      <c r="W2855" s="6" t="s">
        <v>1174</v>
      </c>
      <c r="X2855" t="s">
        <v>1175</v>
      </c>
      <c r="Y2855" s="316" t="s">
        <v>46</v>
      </c>
      <c r="Z2855" s="8">
        <v>3.6</v>
      </c>
      <c r="AA2855" s="202" t="str">
        <f t="shared" si="45"/>
        <v>Морковь</v>
      </c>
    </row>
    <row r="2856" spans="1:27" ht="15" customHeight="1" x14ac:dyDescent="0.25">
      <c r="A2856" t="s">
        <v>153</v>
      </c>
      <c r="L2856"/>
      <c r="M2856"/>
      <c r="N2856"/>
      <c r="O2856"/>
      <c r="P2856"/>
      <c r="T2856">
        <v>2828</v>
      </c>
      <c r="U2856" s="7">
        <v>3</v>
      </c>
      <c r="V2856" t="s">
        <v>1165</v>
      </c>
      <c r="W2856" s="6" t="s">
        <v>1174</v>
      </c>
      <c r="X2856" t="s">
        <v>1175</v>
      </c>
      <c r="Y2856" t="s">
        <v>76</v>
      </c>
      <c r="Z2856" s="8">
        <v>0.72</v>
      </c>
      <c r="AA2856" s="202" t="str">
        <f t="shared" si="45"/>
        <v>Томат-паста</v>
      </c>
    </row>
    <row r="2857" spans="1:27" ht="15" customHeight="1" x14ac:dyDescent="0.25">
      <c r="A2857" t="s">
        <v>153</v>
      </c>
      <c r="L2857"/>
      <c r="M2857"/>
      <c r="N2857"/>
      <c r="O2857"/>
      <c r="P2857"/>
      <c r="T2857">
        <v>2828</v>
      </c>
      <c r="U2857" s="7">
        <v>3</v>
      </c>
      <c r="V2857" t="s">
        <v>1165</v>
      </c>
      <c r="W2857" s="6" t="s">
        <v>1174</v>
      </c>
      <c r="X2857" t="s">
        <v>1175</v>
      </c>
      <c r="Y2857" s="316" t="s">
        <v>434</v>
      </c>
      <c r="Z2857" s="8">
        <v>0.72</v>
      </c>
      <c r="AA2857" s="202" t="str">
        <f t="shared" si="45"/>
        <v>Мука пшеничная 1 с</v>
      </c>
    </row>
    <row r="2858" spans="1:27" ht="15" customHeight="1" x14ac:dyDescent="0.25">
      <c r="A2858" t="s">
        <v>153</v>
      </c>
      <c r="L2858"/>
      <c r="M2858"/>
      <c r="N2858"/>
      <c r="O2858"/>
      <c r="P2858"/>
      <c r="T2858">
        <v>2828</v>
      </c>
      <c r="U2858" s="7">
        <v>3</v>
      </c>
      <c r="V2858" t="s">
        <v>1165</v>
      </c>
      <c r="W2858" s="6" t="s">
        <v>1174</v>
      </c>
      <c r="X2858" t="s">
        <v>1175</v>
      </c>
      <c r="Y2858" s="316" t="s">
        <v>326</v>
      </c>
      <c r="Z2858" s="8">
        <v>0.18</v>
      </c>
      <c r="AA2858" s="202" t="str">
        <f t="shared" si="45"/>
        <v>Соль</v>
      </c>
    </row>
    <row r="2859" spans="1:27" ht="15" customHeight="1" x14ac:dyDescent="0.25">
      <c r="A2859" t="s">
        <v>153</v>
      </c>
      <c r="L2859"/>
      <c r="M2859"/>
      <c r="N2859"/>
      <c r="O2859"/>
      <c r="P2859"/>
      <c r="T2859">
        <v>2828</v>
      </c>
      <c r="U2859" s="7">
        <v>3</v>
      </c>
      <c r="V2859" t="s">
        <v>1165</v>
      </c>
      <c r="W2859" s="6" t="s">
        <v>1174</v>
      </c>
      <c r="X2859" t="s">
        <v>1175</v>
      </c>
      <c r="Y2859" s="316" t="s">
        <v>558</v>
      </c>
      <c r="Z2859" s="8">
        <v>20</v>
      </c>
      <c r="AA2859" s="202" t="str">
        <f t="shared" si="45"/>
        <v>Общая масса готового блюда, г</v>
      </c>
    </row>
    <row r="2860" spans="1:27" ht="15" customHeight="1" x14ac:dyDescent="0.25">
      <c r="A2860" t="s">
        <v>153</v>
      </c>
      <c r="L2860"/>
      <c r="M2860"/>
      <c r="N2860"/>
      <c r="O2860"/>
      <c r="P2860"/>
      <c r="T2860">
        <v>2832</v>
      </c>
      <c r="U2860" s="7">
        <v>3</v>
      </c>
      <c r="V2860" t="s">
        <v>1165</v>
      </c>
      <c r="W2860" s="6" t="s">
        <v>1176</v>
      </c>
      <c r="X2860" t="s">
        <v>1177</v>
      </c>
      <c r="Y2860" t="s">
        <v>479</v>
      </c>
      <c r="Z2860" s="8">
        <v>14.4</v>
      </c>
      <c r="AA2860" s="202" t="str">
        <f t="shared" si="45"/>
        <v>Вода или бульон</v>
      </c>
    </row>
    <row r="2861" spans="1:27" ht="15" customHeight="1" x14ac:dyDescent="0.25">
      <c r="A2861" t="s">
        <v>153</v>
      </c>
      <c r="L2861"/>
      <c r="M2861"/>
      <c r="N2861"/>
      <c r="O2861"/>
      <c r="P2861"/>
      <c r="T2861">
        <v>2832</v>
      </c>
      <c r="U2861" s="7">
        <v>3</v>
      </c>
      <c r="V2861" t="s">
        <v>1165</v>
      </c>
      <c r="W2861" s="6" t="s">
        <v>1176</v>
      </c>
      <c r="X2861" t="s">
        <v>1177</v>
      </c>
      <c r="Y2861" s="316" t="s">
        <v>46</v>
      </c>
      <c r="Z2861" s="8">
        <v>3.6</v>
      </c>
      <c r="AA2861" s="202" t="str">
        <f t="shared" si="45"/>
        <v>Морковь</v>
      </c>
    </row>
    <row r="2862" spans="1:27" ht="15" customHeight="1" x14ac:dyDescent="0.25">
      <c r="A2862" t="s">
        <v>153</v>
      </c>
      <c r="L2862"/>
      <c r="M2862"/>
      <c r="N2862"/>
      <c r="O2862"/>
      <c r="P2862"/>
      <c r="T2862">
        <v>2832</v>
      </c>
      <c r="U2862" s="7">
        <v>3</v>
      </c>
      <c r="V2862" t="s">
        <v>1165</v>
      </c>
      <c r="W2862" s="6" t="s">
        <v>1176</v>
      </c>
      <c r="X2862" t="s">
        <v>1177</v>
      </c>
      <c r="Y2862" s="316" t="s">
        <v>32</v>
      </c>
      <c r="Z2862" s="8">
        <v>7.6</v>
      </c>
      <c r="AA2862" s="202" t="str">
        <f t="shared" si="45"/>
        <v>Лук репчатый</v>
      </c>
    </row>
    <row r="2863" spans="1:27" ht="15" customHeight="1" x14ac:dyDescent="0.25">
      <c r="A2863" t="s">
        <v>153</v>
      </c>
      <c r="L2863"/>
      <c r="M2863"/>
      <c r="N2863"/>
      <c r="O2863"/>
      <c r="P2863"/>
      <c r="T2863">
        <v>2832</v>
      </c>
      <c r="U2863" s="7">
        <v>3</v>
      </c>
      <c r="V2863" t="s">
        <v>1165</v>
      </c>
      <c r="W2863" s="6" t="s">
        <v>1176</v>
      </c>
      <c r="X2863" t="s">
        <v>1177</v>
      </c>
      <c r="Y2863" t="s">
        <v>76</v>
      </c>
      <c r="Z2863" s="8">
        <v>0.72</v>
      </c>
      <c r="AA2863" s="202" t="str">
        <f t="shared" si="45"/>
        <v>Томат-паста</v>
      </c>
    </row>
    <row r="2864" spans="1:27" ht="15" customHeight="1" x14ac:dyDescent="0.25">
      <c r="A2864" t="s">
        <v>153</v>
      </c>
      <c r="L2864"/>
      <c r="M2864"/>
      <c r="N2864"/>
      <c r="O2864"/>
      <c r="P2864"/>
      <c r="T2864">
        <v>2832</v>
      </c>
      <c r="U2864" s="7">
        <v>3</v>
      </c>
      <c r="V2864" t="s">
        <v>1165</v>
      </c>
      <c r="W2864" s="6" t="s">
        <v>1176</v>
      </c>
      <c r="X2864" t="s">
        <v>1177</v>
      </c>
      <c r="Y2864" s="316" t="s">
        <v>434</v>
      </c>
      <c r="Z2864" s="8">
        <v>0.72</v>
      </c>
      <c r="AA2864" s="202" t="str">
        <f t="shared" si="45"/>
        <v>Мука пшеничная 1 с</v>
      </c>
    </row>
    <row r="2865" spans="1:27" ht="15" customHeight="1" x14ac:dyDescent="0.25">
      <c r="A2865" t="s">
        <v>153</v>
      </c>
      <c r="L2865"/>
      <c r="M2865"/>
      <c r="N2865"/>
      <c r="O2865"/>
      <c r="P2865"/>
      <c r="T2865">
        <v>2832</v>
      </c>
      <c r="U2865" s="7">
        <v>3</v>
      </c>
      <c r="V2865" t="s">
        <v>1165</v>
      </c>
      <c r="W2865" s="6" t="s">
        <v>1176</v>
      </c>
      <c r="X2865" t="s">
        <v>1177</v>
      </c>
      <c r="Y2865" s="316" t="s">
        <v>61</v>
      </c>
      <c r="Z2865" s="8">
        <v>1.52</v>
      </c>
      <c r="AA2865" s="202" t="str">
        <f t="shared" si="45"/>
        <v>Масло растительное</v>
      </c>
    </row>
    <row r="2866" spans="1:27" ht="15" customHeight="1" x14ac:dyDescent="0.25">
      <c r="A2866" t="s">
        <v>153</v>
      </c>
      <c r="L2866"/>
      <c r="M2866"/>
      <c r="N2866"/>
      <c r="O2866"/>
      <c r="P2866"/>
      <c r="T2866">
        <v>2832</v>
      </c>
      <c r="U2866" s="7">
        <v>3</v>
      </c>
      <c r="V2866" t="s">
        <v>1165</v>
      </c>
      <c r="W2866" s="6" t="s">
        <v>1176</v>
      </c>
      <c r="X2866" t="s">
        <v>1177</v>
      </c>
      <c r="Y2866" s="316" t="s">
        <v>484</v>
      </c>
      <c r="Z2866" s="8">
        <v>9.0000000000000011E-3</v>
      </c>
      <c r="AA2866" s="202" t="str">
        <f t="shared" si="45"/>
        <v>Перец черный</v>
      </c>
    </row>
    <row r="2867" spans="1:27" ht="15" customHeight="1" x14ac:dyDescent="0.25">
      <c r="A2867" t="s">
        <v>153</v>
      </c>
      <c r="L2867"/>
      <c r="M2867"/>
      <c r="N2867"/>
      <c r="O2867"/>
      <c r="P2867"/>
      <c r="T2867">
        <v>2832</v>
      </c>
      <c r="U2867" s="7">
        <v>3</v>
      </c>
      <c r="V2867" t="s">
        <v>1165</v>
      </c>
      <c r="W2867" s="6" t="s">
        <v>1176</v>
      </c>
      <c r="X2867" t="s">
        <v>1177</v>
      </c>
      <c r="Y2867" s="316" t="s">
        <v>74</v>
      </c>
      <c r="Z2867" s="8">
        <v>3.6000000000000003E-3</v>
      </c>
      <c r="AA2867" s="202" t="str">
        <f t="shared" si="45"/>
        <v>Лавровый лист</v>
      </c>
    </row>
    <row r="2868" spans="1:27" ht="15" customHeight="1" x14ac:dyDescent="0.25">
      <c r="A2868" t="s">
        <v>153</v>
      </c>
      <c r="L2868"/>
      <c r="M2868"/>
      <c r="N2868"/>
      <c r="O2868"/>
      <c r="P2868"/>
      <c r="T2868">
        <v>2832</v>
      </c>
      <c r="U2868" s="7">
        <v>3</v>
      </c>
      <c r="V2868" t="s">
        <v>1165</v>
      </c>
      <c r="W2868" s="6" t="s">
        <v>1176</v>
      </c>
      <c r="X2868" t="s">
        <v>1177</v>
      </c>
      <c r="Y2868" s="316" t="s">
        <v>326</v>
      </c>
      <c r="Z2868" s="8">
        <v>0.18</v>
      </c>
      <c r="AA2868" s="202" t="str">
        <f t="shared" si="45"/>
        <v>Соль</v>
      </c>
    </row>
    <row r="2869" spans="1:27" ht="15" customHeight="1" x14ac:dyDescent="0.25">
      <c r="A2869" t="s">
        <v>153</v>
      </c>
      <c r="L2869"/>
      <c r="M2869"/>
      <c r="N2869"/>
      <c r="O2869"/>
      <c r="P2869"/>
      <c r="T2869">
        <v>2832</v>
      </c>
      <c r="U2869" s="7">
        <v>3</v>
      </c>
      <c r="V2869" t="s">
        <v>1165</v>
      </c>
      <c r="W2869" s="6" t="s">
        <v>1176</v>
      </c>
      <c r="X2869" t="s">
        <v>1177</v>
      </c>
      <c r="Y2869" s="316" t="s">
        <v>481</v>
      </c>
      <c r="Z2869" s="8">
        <v>0.5</v>
      </c>
      <c r="AA2869" s="202" t="str">
        <f t="shared" si="45"/>
        <v>Горчица</v>
      </c>
    </row>
    <row r="2870" spans="1:27" ht="15" customHeight="1" x14ac:dyDescent="0.25">
      <c r="A2870" t="s">
        <v>153</v>
      </c>
      <c r="L2870"/>
      <c r="M2870"/>
      <c r="N2870"/>
      <c r="O2870"/>
      <c r="P2870"/>
      <c r="T2870">
        <v>2833</v>
      </c>
      <c r="U2870" s="7">
        <v>3</v>
      </c>
      <c r="V2870" t="s">
        <v>1165</v>
      </c>
      <c r="W2870" s="6" t="s">
        <v>1176</v>
      </c>
      <c r="X2870" t="s">
        <v>1177</v>
      </c>
      <c r="Y2870" s="316" t="s">
        <v>558</v>
      </c>
      <c r="Z2870" s="8">
        <v>20</v>
      </c>
      <c r="AA2870" s="202" t="str">
        <f t="shared" si="45"/>
        <v>Общая масса готового блюда, г</v>
      </c>
    </row>
    <row r="2871" spans="1:27" ht="15" customHeight="1" x14ac:dyDescent="0.25">
      <c r="A2871" t="s">
        <v>153</v>
      </c>
      <c r="L2871"/>
      <c r="M2871"/>
      <c r="N2871"/>
      <c r="O2871"/>
      <c r="P2871"/>
      <c r="T2871">
        <v>2871</v>
      </c>
      <c r="U2871" s="7">
        <v>3</v>
      </c>
      <c r="V2871" t="s">
        <v>1165</v>
      </c>
      <c r="W2871" s="6" t="s">
        <v>1178</v>
      </c>
      <c r="X2871" t="s">
        <v>1179</v>
      </c>
      <c r="Y2871" s="316" t="s">
        <v>330</v>
      </c>
      <c r="Z2871" s="8">
        <v>10</v>
      </c>
      <c r="AA2871" s="202" t="str">
        <f t="shared" si="45"/>
        <v>Вода</v>
      </c>
    </row>
    <row r="2872" spans="1:27" ht="15" customHeight="1" x14ac:dyDescent="0.25">
      <c r="A2872" t="s">
        <v>153</v>
      </c>
      <c r="L2872"/>
      <c r="M2872"/>
      <c r="N2872"/>
      <c r="O2872"/>
      <c r="P2872"/>
      <c r="T2872">
        <v>2872</v>
      </c>
      <c r="U2872" s="7">
        <v>3</v>
      </c>
      <c r="V2872" t="s">
        <v>1165</v>
      </c>
      <c r="W2872" s="6" t="s">
        <v>1178</v>
      </c>
      <c r="X2872" t="s">
        <v>1179</v>
      </c>
      <c r="Y2872" s="316" t="s">
        <v>453</v>
      </c>
      <c r="Z2872" s="8">
        <v>10</v>
      </c>
      <c r="AA2872" s="202" t="str">
        <f t="shared" si="45"/>
        <v>Молоко коровье</v>
      </c>
    </row>
    <row r="2873" spans="1:27" ht="15" customHeight="1" x14ac:dyDescent="0.25">
      <c r="A2873" t="s">
        <v>153</v>
      </c>
      <c r="L2873"/>
      <c r="M2873"/>
      <c r="N2873"/>
      <c r="O2873"/>
      <c r="P2873"/>
      <c r="T2873">
        <v>2873</v>
      </c>
      <c r="U2873" s="7">
        <v>3</v>
      </c>
      <c r="V2873" t="s">
        <v>1165</v>
      </c>
      <c r="W2873" s="6" t="s">
        <v>1178</v>
      </c>
      <c r="X2873" t="s">
        <v>1179</v>
      </c>
      <c r="Y2873" s="316" t="s">
        <v>434</v>
      </c>
      <c r="Z2873" s="8">
        <v>0.8</v>
      </c>
      <c r="AA2873" s="202" t="str">
        <f t="shared" si="45"/>
        <v>Мука пшеничная 1 с</v>
      </c>
    </row>
    <row r="2874" spans="1:27" ht="15" customHeight="1" x14ac:dyDescent="0.25">
      <c r="A2874" t="s">
        <v>153</v>
      </c>
      <c r="L2874"/>
      <c r="M2874"/>
      <c r="N2874"/>
      <c r="O2874"/>
      <c r="P2874"/>
      <c r="T2874">
        <v>2874</v>
      </c>
      <c r="U2874" s="7">
        <v>3</v>
      </c>
      <c r="V2874" t="s">
        <v>1165</v>
      </c>
      <c r="W2874" s="6" t="s">
        <v>1178</v>
      </c>
      <c r="X2874" t="s">
        <v>1179</v>
      </c>
      <c r="Y2874" s="316" t="s">
        <v>326</v>
      </c>
      <c r="Z2874" s="8">
        <v>0.2</v>
      </c>
      <c r="AA2874" s="202" t="str">
        <f t="shared" si="45"/>
        <v>Соль</v>
      </c>
    </row>
    <row r="2875" spans="1:27" ht="15" customHeight="1" x14ac:dyDescent="0.25">
      <c r="A2875" t="s">
        <v>153</v>
      </c>
      <c r="L2875"/>
      <c r="M2875"/>
      <c r="N2875"/>
      <c r="O2875"/>
      <c r="P2875"/>
      <c r="T2875">
        <v>2875</v>
      </c>
      <c r="U2875" s="7">
        <v>3</v>
      </c>
      <c r="V2875" t="s">
        <v>1165</v>
      </c>
      <c r="W2875" s="6" t="s">
        <v>1178</v>
      </c>
      <c r="X2875" t="s">
        <v>1179</v>
      </c>
      <c r="Y2875" s="316" t="s">
        <v>558</v>
      </c>
      <c r="Z2875" s="8">
        <v>20</v>
      </c>
      <c r="AA2875" s="202" t="str">
        <f t="shared" si="45"/>
        <v>Общая масса готового блюда, г</v>
      </c>
    </row>
    <row r="2876" spans="1:27" ht="15" customHeight="1" x14ac:dyDescent="0.25">
      <c r="A2876" t="s">
        <v>153</v>
      </c>
      <c r="L2876"/>
      <c r="M2876"/>
      <c r="N2876"/>
      <c r="O2876"/>
      <c r="P2876"/>
      <c r="T2876">
        <v>2877</v>
      </c>
      <c r="U2876" s="7">
        <v>3</v>
      </c>
      <c r="V2876" t="s">
        <v>1165</v>
      </c>
      <c r="W2876" s="6" t="s">
        <v>1180</v>
      </c>
      <c r="X2876" t="s">
        <v>1181</v>
      </c>
      <c r="Y2876" t="s">
        <v>479</v>
      </c>
      <c r="Z2876" s="8">
        <v>12</v>
      </c>
      <c r="AA2876" s="202" t="str">
        <f t="shared" si="45"/>
        <v>Вода или бульон</v>
      </c>
    </row>
    <row r="2877" spans="1:27" ht="15" customHeight="1" x14ac:dyDescent="0.25">
      <c r="A2877" t="s">
        <v>153</v>
      </c>
      <c r="L2877"/>
      <c r="M2877"/>
      <c r="N2877"/>
      <c r="O2877"/>
      <c r="P2877"/>
      <c r="T2877">
        <v>2877</v>
      </c>
      <c r="U2877" s="7">
        <v>3</v>
      </c>
      <c r="V2877" t="s">
        <v>1165</v>
      </c>
      <c r="W2877" s="6" t="s">
        <v>1180</v>
      </c>
      <c r="X2877" t="s">
        <v>1181</v>
      </c>
      <c r="Y2877" s="316" t="s">
        <v>32</v>
      </c>
      <c r="Z2877" s="8">
        <v>2</v>
      </c>
      <c r="AA2877" s="202" t="str">
        <f t="shared" si="45"/>
        <v>Лук репчатый</v>
      </c>
    </row>
    <row r="2878" spans="1:27" ht="15" customHeight="1" x14ac:dyDescent="0.25">
      <c r="A2878" t="s">
        <v>153</v>
      </c>
      <c r="L2878"/>
      <c r="M2878"/>
      <c r="N2878"/>
      <c r="O2878"/>
      <c r="P2878"/>
      <c r="T2878">
        <v>2877</v>
      </c>
      <c r="U2878" s="7">
        <v>3</v>
      </c>
      <c r="V2878" t="s">
        <v>1165</v>
      </c>
      <c r="W2878" s="6" t="s">
        <v>1180</v>
      </c>
      <c r="X2878" t="s">
        <v>1181</v>
      </c>
      <c r="Y2878" s="316" t="s">
        <v>434</v>
      </c>
      <c r="Z2878" s="8">
        <v>1</v>
      </c>
      <c r="AA2878" s="202" t="str">
        <f t="shared" si="45"/>
        <v>Мука пшеничная 1 с</v>
      </c>
    </row>
    <row r="2879" spans="1:27" ht="15" customHeight="1" x14ac:dyDescent="0.25">
      <c r="A2879" t="s">
        <v>153</v>
      </c>
      <c r="L2879"/>
      <c r="M2879"/>
      <c r="N2879"/>
      <c r="O2879"/>
      <c r="P2879"/>
      <c r="T2879">
        <v>2877</v>
      </c>
      <c r="U2879" s="7">
        <v>3</v>
      </c>
      <c r="V2879" t="s">
        <v>1165</v>
      </c>
      <c r="W2879" s="6" t="s">
        <v>1180</v>
      </c>
      <c r="X2879" t="s">
        <v>1181</v>
      </c>
      <c r="Y2879" s="316" t="s">
        <v>61</v>
      </c>
      <c r="Z2879" s="8">
        <v>1</v>
      </c>
      <c r="AA2879" s="202" t="str">
        <f t="shared" si="45"/>
        <v>Масло растительное</v>
      </c>
    </row>
    <row r="2880" spans="1:27" ht="15" customHeight="1" x14ac:dyDescent="0.25">
      <c r="A2880" t="s">
        <v>153</v>
      </c>
      <c r="L2880"/>
      <c r="M2880"/>
      <c r="N2880"/>
      <c r="O2880"/>
      <c r="P2880"/>
      <c r="T2880">
        <v>2877</v>
      </c>
      <c r="U2880" s="7">
        <v>3</v>
      </c>
      <c r="V2880" t="s">
        <v>1165</v>
      </c>
      <c r="W2880" s="6" t="s">
        <v>1180</v>
      </c>
      <c r="X2880" t="s">
        <v>1181</v>
      </c>
      <c r="Y2880" s="316" t="s">
        <v>326</v>
      </c>
      <c r="Z2880" s="8">
        <v>0.1</v>
      </c>
      <c r="AA2880" s="202" t="str">
        <f t="shared" si="45"/>
        <v>Соль</v>
      </c>
    </row>
    <row r="2881" spans="1:27" ht="15" customHeight="1" x14ac:dyDescent="0.25">
      <c r="A2881" t="s">
        <v>153</v>
      </c>
      <c r="L2881"/>
      <c r="M2881"/>
      <c r="N2881"/>
      <c r="O2881"/>
      <c r="P2881"/>
      <c r="T2881">
        <v>2877</v>
      </c>
      <c r="U2881" s="7">
        <v>3</v>
      </c>
      <c r="V2881" t="s">
        <v>1165</v>
      </c>
      <c r="W2881" s="6" t="s">
        <v>1180</v>
      </c>
      <c r="X2881" t="s">
        <v>1181</v>
      </c>
      <c r="Y2881" s="316" t="s">
        <v>484</v>
      </c>
      <c r="Z2881" s="8">
        <v>5.0000000000000001E-3</v>
      </c>
      <c r="AA2881" s="202" t="str">
        <f t="shared" si="45"/>
        <v>Перец черный</v>
      </c>
    </row>
    <row r="2882" spans="1:27" ht="15" customHeight="1" x14ac:dyDescent="0.25">
      <c r="A2882" t="s">
        <v>153</v>
      </c>
      <c r="L2882"/>
      <c r="M2882"/>
      <c r="N2882"/>
      <c r="O2882"/>
      <c r="P2882"/>
      <c r="T2882">
        <v>2877</v>
      </c>
      <c r="U2882" s="7">
        <v>3</v>
      </c>
      <c r="V2882" t="s">
        <v>1165</v>
      </c>
      <c r="W2882" s="6" t="s">
        <v>1180</v>
      </c>
      <c r="X2882" t="s">
        <v>1181</v>
      </c>
      <c r="Y2882" s="316" t="s">
        <v>74</v>
      </c>
      <c r="Z2882" s="8">
        <v>2E-3</v>
      </c>
      <c r="AA2882" s="202" t="str">
        <f t="shared" ref="AA2882:AA2945" si="46">VLOOKUP(Y2882,O:P,2,FALSE)</f>
        <v>Лавровый лист</v>
      </c>
    </row>
    <row r="2883" spans="1:27" ht="15" customHeight="1" x14ac:dyDescent="0.25">
      <c r="A2883" t="s">
        <v>153</v>
      </c>
      <c r="L2883"/>
      <c r="M2883"/>
      <c r="N2883"/>
      <c r="O2883"/>
      <c r="P2883"/>
      <c r="T2883">
        <v>2877</v>
      </c>
      <c r="U2883" s="7">
        <v>3</v>
      </c>
      <c r="V2883" t="s">
        <v>1165</v>
      </c>
      <c r="W2883" s="6" t="s">
        <v>1180</v>
      </c>
      <c r="X2883" t="s">
        <v>1181</v>
      </c>
      <c r="Y2883" s="316" t="s">
        <v>79</v>
      </c>
      <c r="Z2883" s="8">
        <v>0.08</v>
      </c>
      <c r="AA2883" s="202" t="str">
        <f t="shared" si="46"/>
        <v>Яйцо (шт)</v>
      </c>
    </row>
    <row r="2884" spans="1:27" ht="15" customHeight="1" x14ac:dyDescent="0.25">
      <c r="A2884" t="s">
        <v>153</v>
      </c>
      <c r="L2884"/>
      <c r="M2884"/>
      <c r="N2884"/>
      <c r="O2884"/>
      <c r="P2884"/>
      <c r="T2884">
        <v>2878</v>
      </c>
      <c r="U2884" s="7">
        <v>3</v>
      </c>
      <c r="V2884" t="s">
        <v>1165</v>
      </c>
      <c r="W2884" s="6" t="s">
        <v>1180</v>
      </c>
      <c r="X2884" t="s">
        <v>1181</v>
      </c>
      <c r="Y2884" s="316" t="s">
        <v>452</v>
      </c>
      <c r="Z2884" s="8">
        <v>2</v>
      </c>
      <c r="AA2884" s="202" t="str">
        <f t="shared" si="46"/>
        <v>Масло коровье</v>
      </c>
    </row>
    <row r="2885" spans="1:27" ht="15" customHeight="1" x14ac:dyDescent="0.25">
      <c r="A2885" t="s">
        <v>153</v>
      </c>
      <c r="L2885"/>
      <c r="M2885"/>
      <c r="N2885"/>
      <c r="O2885"/>
      <c r="P2885"/>
      <c r="T2885">
        <v>2879</v>
      </c>
      <c r="U2885" s="7">
        <v>3</v>
      </c>
      <c r="V2885" t="s">
        <v>1165</v>
      </c>
      <c r="W2885" s="6" t="s">
        <v>1180</v>
      </c>
      <c r="X2885" t="s">
        <v>1181</v>
      </c>
      <c r="Y2885" s="316" t="s">
        <v>70</v>
      </c>
      <c r="Z2885" s="8">
        <v>0.8</v>
      </c>
      <c r="AA2885" s="202" t="str">
        <f t="shared" si="46"/>
        <v>Зелень</v>
      </c>
    </row>
    <row r="2886" spans="1:27" ht="15" customHeight="1" x14ac:dyDescent="0.25">
      <c r="A2886" t="s">
        <v>153</v>
      </c>
      <c r="L2886"/>
      <c r="M2886"/>
      <c r="N2886"/>
      <c r="O2886"/>
      <c r="P2886"/>
      <c r="T2886">
        <v>2880</v>
      </c>
      <c r="U2886" s="7">
        <v>3</v>
      </c>
      <c r="V2886" t="s">
        <v>1165</v>
      </c>
      <c r="W2886" s="6" t="s">
        <v>1180</v>
      </c>
      <c r="X2886" t="s">
        <v>1181</v>
      </c>
      <c r="Y2886" s="316" t="s">
        <v>326</v>
      </c>
      <c r="Z2886" s="8">
        <v>0.1</v>
      </c>
      <c r="AA2886" s="202" t="str">
        <f t="shared" si="46"/>
        <v>Соль</v>
      </c>
    </row>
    <row r="2887" spans="1:27" ht="15" customHeight="1" x14ac:dyDescent="0.25">
      <c r="A2887" t="s">
        <v>153</v>
      </c>
      <c r="L2887"/>
      <c r="M2887"/>
      <c r="N2887"/>
      <c r="O2887"/>
      <c r="P2887"/>
      <c r="T2887">
        <v>2881</v>
      </c>
      <c r="U2887" s="7">
        <v>3</v>
      </c>
      <c r="V2887" t="s">
        <v>1165</v>
      </c>
      <c r="W2887" s="6" t="s">
        <v>1180</v>
      </c>
      <c r="X2887" t="s">
        <v>1181</v>
      </c>
      <c r="Y2887" s="316" t="s">
        <v>558</v>
      </c>
      <c r="Z2887" s="8">
        <v>20</v>
      </c>
      <c r="AA2887" s="202" t="str">
        <f t="shared" si="46"/>
        <v>Общая масса готового блюда, г</v>
      </c>
    </row>
    <row r="2888" spans="1:27" ht="15" customHeight="1" x14ac:dyDescent="0.25">
      <c r="A2888" t="s">
        <v>153</v>
      </c>
      <c r="L2888"/>
      <c r="M2888"/>
      <c r="N2888"/>
      <c r="O2888"/>
      <c r="P2888"/>
      <c r="T2888">
        <v>2861</v>
      </c>
      <c r="U2888" s="7">
        <v>3</v>
      </c>
      <c r="V2888" t="s">
        <v>1165</v>
      </c>
      <c r="W2888" s="6" t="s">
        <v>1182</v>
      </c>
      <c r="X2888" t="s">
        <v>1183</v>
      </c>
      <c r="Y2888" s="316" t="s">
        <v>54</v>
      </c>
      <c r="Z2888" s="8">
        <v>8</v>
      </c>
      <c r="AA2888" s="202" t="str">
        <f t="shared" si="46"/>
        <v>Сметана</v>
      </c>
    </row>
    <row r="2889" spans="1:27" ht="15" customHeight="1" x14ac:dyDescent="0.25">
      <c r="A2889" t="s">
        <v>153</v>
      </c>
      <c r="L2889"/>
      <c r="M2889"/>
      <c r="N2889"/>
      <c r="O2889"/>
      <c r="P2889"/>
      <c r="T2889">
        <v>2861</v>
      </c>
      <c r="U2889" s="7">
        <v>3</v>
      </c>
      <c r="V2889" t="s">
        <v>1165</v>
      </c>
      <c r="W2889" s="6" t="s">
        <v>1182</v>
      </c>
      <c r="X2889" t="s">
        <v>1183</v>
      </c>
      <c r="Y2889" t="s">
        <v>479</v>
      </c>
      <c r="Z2889" s="8">
        <v>14.399999999999999</v>
      </c>
      <c r="AA2889" s="202" t="str">
        <f t="shared" si="46"/>
        <v>Вода или бульон</v>
      </c>
    </row>
    <row r="2890" spans="1:27" ht="15" customHeight="1" x14ac:dyDescent="0.25">
      <c r="A2890" t="s">
        <v>153</v>
      </c>
      <c r="L2890"/>
      <c r="M2890"/>
      <c r="N2890"/>
      <c r="O2890"/>
      <c r="P2890"/>
      <c r="T2890">
        <v>2861</v>
      </c>
      <c r="U2890" s="7">
        <v>3</v>
      </c>
      <c r="V2890" t="s">
        <v>1165</v>
      </c>
      <c r="W2890" s="6" t="s">
        <v>1182</v>
      </c>
      <c r="X2890" t="s">
        <v>1183</v>
      </c>
      <c r="Y2890" s="316" t="s">
        <v>32</v>
      </c>
      <c r="Z2890" s="8">
        <v>2.4000000000000004</v>
      </c>
      <c r="AA2890" s="202" t="str">
        <f t="shared" si="46"/>
        <v>Лук репчатый</v>
      </c>
    </row>
    <row r="2891" spans="1:27" ht="15" customHeight="1" x14ac:dyDescent="0.25">
      <c r="A2891" t="s">
        <v>153</v>
      </c>
      <c r="L2891"/>
      <c r="M2891"/>
      <c r="N2891"/>
      <c r="O2891"/>
      <c r="P2891"/>
      <c r="T2891">
        <v>2861</v>
      </c>
      <c r="U2891" s="7">
        <v>3</v>
      </c>
      <c r="V2891" t="s">
        <v>1165</v>
      </c>
      <c r="W2891" s="6" t="s">
        <v>1182</v>
      </c>
      <c r="X2891" t="s">
        <v>1183</v>
      </c>
      <c r="Y2891" s="316" t="s">
        <v>434</v>
      </c>
      <c r="Z2891" s="8">
        <v>1.2000000000000002</v>
      </c>
      <c r="AA2891" s="202" t="str">
        <f t="shared" si="46"/>
        <v>Мука пшеничная 1 с</v>
      </c>
    </row>
    <row r="2892" spans="1:27" ht="15" customHeight="1" x14ac:dyDescent="0.25">
      <c r="A2892" t="s">
        <v>153</v>
      </c>
      <c r="L2892"/>
      <c r="M2892"/>
      <c r="N2892"/>
      <c r="O2892"/>
      <c r="P2892"/>
      <c r="T2892">
        <v>2861</v>
      </c>
      <c r="U2892" s="7">
        <v>3</v>
      </c>
      <c r="V2892" t="s">
        <v>1165</v>
      </c>
      <c r="W2892" s="6" t="s">
        <v>1182</v>
      </c>
      <c r="X2892" t="s">
        <v>1183</v>
      </c>
      <c r="Y2892" s="316" t="s">
        <v>61</v>
      </c>
      <c r="Z2892" s="8">
        <v>1.2000000000000002</v>
      </c>
      <c r="AA2892" s="202" t="str">
        <f t="shared" si="46"/>
        <v>Масло растительное</v>
      </c>
    </row>
    <row r="2893" spans="1:27" ht="15" customHeight="1" x14ac:dyDescent="0.25">
      <c r="A2893" t="s">
        <v>153</v>
      </c>
      <c r="L2893"/>
      <c r="M2893"/>
      <c r="N2893"/>
      <c r="O2893"/>
      <c r="P2893"/>
      <c r="T2893">
        <v>2861</v>
      </c>
      <c r="U2893" s="7">
        <v>3</v>
      </c>
      <c r="V2893" t="s">
        <v>1165</v>
      </c>
      <c r="W2893" s="6" t="s">
        <v>1182</v>
      </c>
      <c r="X2893" t="s">
        <v>1183</v>
      </c>
      <c r="Y2893" s="316" t="s">
        <v>326</v>
      </c>
      <c r="Z2893" s="8">
        <v>0.2</v>
      </c>
      <c r="AA2893" s="202" t="str">
        <f t="shared" si="46"/>
        <v>Соль</v>
      </c>
    </row>
    <row r="2894" spans="1:27" ht="15" customHeight="1" x14ac:dyDescent="0.25">
      <c r="A2894" t="s">
        <v>153</v>
      </c>
      <c r="L2894"/>
      <c r="M2894"/>
      <c r="N2894"/>
      <c r="O2894"/>
      <c r="P2894"/>
      <c r="T2894">
        <v>2862</v>
      </c>
      <c r="U2894" s="7">
        <v>3</v>
      </c>
      <c r="V2894" t="s">
        <v>1165</v>
      </c>
      <c r="W2894" s="6" t="s">
        <v>1182</v>
      </c>
      <c r="X2894" t="s">
        <v>1183</v>
      </c>
      <c r="Y2894" s="316" t="s">
        <v>484</v>
      </c>
      <c r="Z2894" s="8">
        <v>1.6E-2</v>
      </c>
      <c r="AA2894" s="202" t="str">
        <f t="shared" si="46"/>
        <v>Перец черный</v>
      </c>
    </row>
    <row r="2895" spans="1:27" ht="15" customHeight="1" x14ac:dyDescent="0.25">
      <c r="A2895" t="s">
        <v>153</v>
      </c>
      <c r="L2895"/>
      <c r="M2895"/>
      <c r="N2895"/>
      <c r="O2895"/>
      <c r="P2895"/>
      <c r="T2895">
        <v>2862</v>
      </c>
      <c r="U2895" s="7">
        <v>3</v>
      </c>
      <c r="V2895" t="s">
        <v>1165</v>
      </c>
      <c r="W2895" s="6" t="s">
        <v>1182</v>
      </c>
      <c r="X2895" t="s">
        <v>1183</v>
      </c>
      <c r="Y2895" s="316" t="s">
        <v>74</v>
      </c>
      <c r="Z2895" s="8">
        <v>2.4000000000000002E-3</v>
      </c>
      <c r="AA2895" s="202" t="str">
        <f t="shared" si="46"/>
        <v>Лавровый лист</v>
      </c>
    </row>
    <row r="2896" spans="1:27" ht="15" customHeight="1" x14ac:dyDescent="0.25">
      <c r="A2896" t="s">
        <v>153</v>
      </c>
      <c r="L2896"/>
      <c r="M2896"/>
      <c r="N2896"/>
      <c r="O2896"/>
      <c r="P2896"/>
      <c r="T2896">
        <v>2863</v>
      </c>
      <c r="U2896" s="7">
        <v>3</v>
      </c>
      <c r="V2896" t="s">
        <v>1165</v>
      </c>
      <c r="W2896" s="6" t="s">
        <v>1182</v>
      </c>
      <c r="X2896" t="s">
        <v>1183</v>
      </c>
      <c r="Y2896" s="316" t="s">
        <v>558</v>
      </c>
      <c r="Z2896" s="8">
        <v>20</v>
      </c>
      <c r="AA2896" s="202" t="str">
        <f t="shared" si="46"/>
        <v>Общая масса готового блюда, г</v>
      </c>
    </row>
    <row r="2897" spans="1:27" ht="15" customHeight="1" x14ac:dyDescent="0.25">
      <c r="A2897" t="s">
        <v>153</v>
      </c>
      <c r="L2897"/>
      <c r="M2897"/>
      <c r="N2897"/>
      <c r="O2897"/>
      <c r="P2897"/>
      <c r="T2897">
        <v>2864</v>
      </c>
      <c r="U2897" s="7">
        <v>3</v>
      </c>
      <c r="V2897" t="s">
        <v>1165</v>
      </c>
      <c r="W2897" s="6" t="s">
        <v>1184</v>
      </c>
      <c r="X2897" t="s">
        <v>1185</v>
      </c>
      <c r="Y2897" t="s">
        <v>479</v>
      </c>
      <c r="Z2897" s="8">
        <v>14.399999999999999</v>
      </c>
      <c r="AA2897" s="202" t="str">
        <f t="shared" si="46"/>
        <v>Вода или бульон</v>
      </c>
    </row>
    <row r="2898" spans="1:27" ht="15" customHeight="1" x14ac:dyDescent="0.25">
      <c r="A2898" t="s">
        <v>153</v>
      </c>
      <c r="L2898"/>
      <c r="M2898"/>
      <c r="N2898"/>
      <c r="O2898"/>
      <c r="P2898"/>
      <c r="T2898">
        <v>2864</v>
      </c>
      <c r="U2898" s="7">
        <v>3</v>
      </c>
      <c r="V2898" t="s">
        <v>1165</v>
      </c>
      <c r="W2898" s="6" t="s">
        <v>1184</v>
      </c>
      <c r="X2898" t="s">
        <v>1185</v>
      </c>
      <c r="Y2898" s="316" t="s">
        <v>54</v>
      </c>
      <c r="Z2898" s="8">
        <v>8</v>
      </c>
      <c r="AA2898" s="202" t="str">
        <f t="shared" si="46"/>
        <v>Сметана</v>
      </c>
    </row>
    <row r="2899" spans="1:27" ht="15" customHeight="1" x14ac:dyDescent="0.25">
      <c r="A2899" t="s">
        <v>153</v>
      </c>
      <c r="L2899"/>
      <c r="M2899"/>
      <c r="N2899"/>
      <c r="O2899"/>
      <c r="P2899"/>
      <c r="T2899">
        <v>2864</v>
      </c>
      <c r="U2899" s="7">
        <v>3</v>
      </c>
      <c r="V2899" t="s">
        <v>1165</v>
      </c>
      <c r="W2899" s="6" t="s">
        <v>1184</v>
      </c>
      <c r="X2899" t="s">
        <v>1185</v>
      </c>
      <c r="Y2899" s="316" t="s">
        <v>74</v>
      </c>
      <c r="Z2899" s="8">
        <v>2.4000000000000002E-3</v>
      </c>
      <c r="AA2899" s="202" t="str">
        <f t="shared" si="46"/>
        <v>Лавровый лист</v>
      </c>
    </row>
    <row r="2900" spans="1:27" ht="15" customHeight="1" x14ac:dyDescent="0.25">
      <c r="A2900" t="s">
        <v>153</v>
      </c>
      <c r="L2900"/>
      <c r="M2900"/>
      <c r="N2900"/>
      <c r="O2900"/>
      <c r="P2900"/>
      <c r="T2900">
        <v>2864</v>
      </c>
      <c r="U2900" s="7">
        <v>3</v>
      </c>
      <c r="V2900" t="s">
        <v>1165</v>
      </c>
      <c r="W2900" s="6" t="s">
        <v>1184</v>
      </c>
      <c r="X2900" t="s">
        <v>1185</v>
      </c>
      <c r="Y2900" s="316" t="s">
        <v>326</v>
      </c>
      <c r="Z2900" s="8">
        <v>0.2</v>
      </c>
      <c r="AA2900" s="202" t="str">
        <f t="shared" si="46"/>
        <v>Соль</v>
      </c>
    </row>
    <row r="2901" spans="1:27" ht="15" customHeight="1" x14ac:dyDescent="0.25">
      <c r="A2901" t="s">
        <v>153</v>
      </c>
      <c r="L2901"/>
      <c r="M2901"/>
      <c r="N2901"/>
      <c r="O2901"/>
      <c r="P2901"/>
      <c r="T2901">
        <v>2865</v>
      </c>
      <c r="U2901" s="7">
        <v>3</v>
      </c>
      <c r="V2901" t="s">
        <v>1165</v>
      </c>
      <c r="W2901" s="6" t="s">
        <v>1184</v>
      </c>
      <c r="X2901" t="s">
        <v>1185</v>
      </c>
      <c r="Y2901" s="316" t="s">
        <v>32</v>
      </c>
      <c r="Z2901" s="8">
        <v>6.4</v>
      </c>
      <c r="AA2901" s="202" t="str">
        <f t="shared" si="46"/>
        <v>Лук репчатый</v>
      </c>
    </row>
    <row r="2902" spans="1:27" ht="15" customHeight="1" x14ac:dyDescent="0.25">
      <c r="A2902" t="s">
        <v>153</v>
      </c>
      <c r="L2902"/>
      <c r="M2902"/>
      <c r="N2902"/>
      <c r="O2902"/>
      <c r="P2902"/>
      <c r="T2902">
        <v>2866</v>
      </c>
      <c r="U2902" s="7">
        <v>3</v>
      </c>
      <c r="V2902" t="s">
        <v>1165</v>
      </c>
      <c r="W2902" s="6" t="s">
        <v>1184</v>
      </c>
      <c r="X2902" t="s">
        <v>1185</v>
      </c>
      <c r="Y2902" t="s">
        <v>76</v>
      </c>
      <c r="Z2902" s="8">
        <v>1.6</v>
      </c>
      <c r="AA2902" s="202" t="str">
        <f t="shared" si="46"/>
        <v>Томат-паста</v>
      </c>
    </row>
    <row r="2903" spans="1:27" ht="15" customHeight="1" x14ac:dyDescent="0.25">
      <c r="A2903" t="s">
        <v>153</v>
      </c>
      <c r="L2903"/>
      <c r="M2903"/>
      <c r="N2903"/>
      <c r="O2903"/>
      <c r="P2903"/>
      <c r="T2903">
        <v>2867</v>
      </c>
      <c r="U2903" s="7">
        <v>3</v>
      </c>
      <c r="V2903" t="s">
        <v>1165</v>
      </c>
      <c r="W2903" s="6" t="s">
        <v>1184</v>
      </c>
      <c r="X2903" t="s">
        <v>1185</v>
      </c>
      <c r="Y2903" s="316" t="s">
        <v>434</v>
      </c>
      <c r="Z2903" s="8">
        <v>2</v>
      </c>
      <c r="AA2903" s="202" t="str">
        <f t="shared" si="46"/>
        <v>Мука пшеничная 1 с</v>
      </c>
    </row>
    <row r="2904" spans="1:27" ht="15" customHeight="1" x14ac:dyDescent="0.25">
      <c r="A2904" t="s">
        <v>153</v>
      </c>
      <c r="L2904"/>
      <c r="M2904"/>
      <c r="N2904"/>
      <c r="O2904"/>
      <c r="P2904"/>
      <c r="T2904">
        <v>2868</v>
      </c>
      <c r="U2904" s="7">
        <v>3</v>
      </c>
      <c r="V2904" t="s">
        <v>1165</v>
      </c>
      <c r="W2904" s="6" t="s">
        <v>1184</v>
      </c>
      <c r="X2904" t="s">
        <v>1185</v>
      </c>
      <c r="Y2904" s="316" t="s">
        <v>61</v>
      </c>
      <c r="Z2904" s="8">
        <v>2</v>
      </c>
      <c r="AA2904" s="202" t="str">
        <f t="shared" si="46"/>
        <v>Масло растительное</v>
      </c>
    </row>
    <row r="2905" spans="1:27" ht="15" customHeight="1" x14ac:dyDescent="0.25">
      <c r="A2905" t="s">
        <v>153</v>
      </c>
      <c r="L2905"/>
      <c r="M2905"/>
      <c r="N2905"/>
      <c r="O2905"/>
      <c r="P2905"/>
      <c r="T2905">
        <v>2869</v>
      </c>
      <c r="U2905" s="7">
        <v>3</v>
      </c>
      <c r="V2905" t="s">
        <v>1165</v>
      </c>
      <c r="W2905" s="6" t="s">
        <v>1184</v>
      </c>
      <c r="X2905" t="s">
        <v>1185</v>
      </c>
      <c r="Y2905" s="316" t="s">
        <v>484</v>
      </c>
      <c r="Z2905" s="8">
        <v>2.5999999999999999E-2</v>
      </c>
      <c r="AA2905" s="202" t="str">
        <f t="shared" si="46"/>
        <v>Перец черный</v>
      </c>
    </row>
    <row r="2906" spans="1:27" ht="15" customHeight="1" x14ac:dyDescent="0.25">
      <c r="A2906" t="s">
        <v>153</v>
      </c>
      <c r="L2906"/>
      <c r="M2906"/>
      <c r="N2906"/>
      <c r="O2906"/>
      <c r="P2906"/>
      <c r="T2906">
        <v>2870</v>
      </c>
      <c r="U2906" s="7">
        <v>3</v>
      </c>
      <c r="V2906" t="s">
        <v>1165</v>
      </c>
      <c r="W2906" s="6" t="s">
        <v>1184</v>
      </c>
      <c r="X2906" t="s">
        <v>1185</v>
      </c>
      <c r="Y2906" s="316" t="s">
        <v>558</v>
      </c>
      <c r="Z2906" s="8">
        <v>20</v>
      </c>
      <c r="AA2906" s="202" t="str">
        <f t="shared" si="46"/>
        <v>Общая масса готового блюда, г</v>
      </c>
    </row>
    <row r="2907" spans="1:27" ht="15" customHeight="1" x14ac:dyDescent="0.25">
      <c r="A2907" t="s">
        <v>153</v>
      </c>
      <c r="L2907"/>
      <c r="M2907"/>
      <c r="N2907"/>
      <c r="O2907"/>
      <c r="P2907"/>
      <c r="T2907">
        <v>2842</v>
      </c>
      <c r="U2907" s="7">
        <v>3</v>
      </c>
      <c r="V2907" t="s">
        <v>1165</v>
      </c>
      <c r="W2907" s="6" t="s">
        <v>1186</v>
      </c>
      <c r="X2907" t="s">
        <v>1187</v>
      </c>
      <c r="Y2907" t="s">
        <v>479</v>
      </c>
      <c r="Z2907" s="8">
        <v>19.2</v>
      </c>
      <c r="AA2907" s="202" t="str">
        <f t="shared" si="46"/>
        <v>Вода или бульон</v>
      </c>
    </row>
    <row r="2908" spans="1:27" ht="15" customHeight="1" x14ac:dyDescent="0.25">
      <c r="A2908" t="s">
        <v>153</v>
      </c>
      <c r="L2908"/>
      <c r="M2908"/>
      <c r="N2908"/>
      <c r="O2908"/>
      <c r="P2908"/>
      <c r="T2908">
        <v>2844</v>
      </c>
      <c r="U2908" s="7">
        <v>3</v>
      </c>
      <c r="V2908" t="s">
        <v>1165</v>
      </c>
      <c r="W2908" s="6" t="s">
        <v>1186</v>
      </c>
      <c r="X2908" t="s">
        <v>1187</v>
      </c>
      <c r="Y2908" s="316" t="s">
        <v>434</v>
      </c>
      <c r="Z2908" s="8">
        <v>1.6</v>
      </c>
      <c r="AA2908" s="202" t="str">
        <f t="shared" si="46"/>
        <v>Мука пшеничная 1 с</v>
      </c>
    </row>
    <row r="2909" spans="1:27" ht="15" customHeight="1" x14ac:dyDescent="0.25">
      <c r="A2909" t="s">
        <v>153</v>
      </c>
      <c r="L2909"/>
      <c r="M2909"/>
      <c r="N2909"/>
      <c r="O2909"/>
      <c r="P2909"/>
      <c r="T2909">
        <v>2851</v>
      </c>
      <c r="U2909" s="7">
        <v>3</v>
      </c>
      <c r="V2909" t="s">
        <v>1165</v>
      </c>
      <c r="W2909" s="6" t="s">
        <v>1186</v>
      </c>
      <c r="X2909" t="s">
        <v>1187</v>
      </c>
      <c r="Y2909" s="316" t="s">
        <v>32</v>
      </c>
      <c r="Z2909" s="8">
        <v>7.2</v>
      </c>
      <c r="AA2909" s="202" t="str">
        <f t="shared" si="46"/>
        <v>Лук репчатый</v>
      </c>
    </row>
    <row r="2910" spans="1:27" ht="15" customHeight="1" x14ac:dyDescent="0.25">
      <c r="A2910" t="s">
        <v>153</v>
      </c>
      <c r="L2910"/>
      <c r="M2910"/>
      <c r="N2910"/>
      <c r="O2910"/>
      <c r="P2910"/>
      <c r="T2910">
        <v>2852</v>
      </c>
      <c r="U2910" s="7">
        <v>3</v>
      </c>
      <c r="V2910" t="s">
        <v>1165</v>
      </c>
      <c r="W2910" s="6" t="s">
        <v>1186</v>
      </c>
      <c r="X2910" t="s">
        <v>1187</v>
      </c>
      <c r="Y2910" s="316" t="s">
        <v>46</v>
      </c>
      <c r="Z2910" s="8">
        <v>4</v>
      </c>
      <c r="AA2910" s="202" t="str">
        <f t="shared" si="46"/>
        <v>Морковь</v>
      </c>
    </row>
    <row r="2911" spans="1:27" ht="15" customHeight="1" x14ac:dyDescent="0.25">
      <c r="A2911" t="s">
        <v>153</v>
      </c>
      <c r="L2911"/>
      <c r="M2911"/>
      <c r="N2911"/>
      <c r="O2911"/>
      <c r="P2911"/>
      <c r="T2911">
        <v>2853</v>
      </c>
      <c r="U2911" s="7">
        <v>3</v>
      </c>
      <c r="V2911" t="s">
        <v>1165</v>
      </c>
      <c r="W2911" s="6" t="s">
        <v>1186</v>
      </c>
      <c r="X2911" t="s">
        <v>1187</v>
      </c>
      <c r="Y2911" t="s">
        <v>76</v>
      </c>
      <c r="Z2911" s="8">
        <v>1.6</v>
      </c>
      <c r="AA2911" s="202" t="str">
        <f t="shared" si="46"/>
        <v>Томат-паста</v>
      </c>
    </row>
    <row r="2912" spans="1:27" ht="15" customHeight="1" x14ac:dyDescent="0.25">
      <c r="A2912" t="s">
        <v>153</v>
      </c>
      <c r="L2912"/>
      <c r="M2912"/>
      <c r="N2912"/>
      <c r="O2912"/>
      <c r="P2912"/>
      <c r="T2912">
        <v>2854</v>
      </c>
      <c r="U2912" s="7">
        <v>3</v>
      </c>
      <c r="V2912" t="s">
        <v>1165</v>
      </c>
      <c r="W2912" s="6" t="s">
        <v>1186</v>
      </c>
      <c r="X2912" t="s">
        <v>1187</v>
      </c>
      <c r="Y2912" s="316" t="s">
        <v>61</v>
      </c>
      <c r="Z2912" s="8">
        <v>2.4</v>
      </c>
      <c r="AA2912" s="202" t="str">
        <f t="shared" si="46"/>
        <v>Масло растительное</v>
      </c>
    </row>
    <row r="2913" spans="1:27" ht="15" customHeight="1" x14ac:dyDescent="0.25">
      <c r="A2913" t="s">
        <v>153</v>
      </c>
      <c r="L2913"/>
      <c r="M2913"/>
      <c r="N2913"/>
      <c r="O2913"/>
      <c r="P2913"/>
      <c r="T2913">
        <v>2855</v>
      </c>
      <c r="U2913" s="7">
        <v>3</v>
      </c>
      <c r="V2913" t="s">
        <v>1165</v>
      </c>
      <c r="W2913" s="6" t="s">
        <v>1186</v>
      </c>
      <c r="X2913" t="s">
        <v>1187</v>
      </c>
      <c r="Y2913" s="316" t="s">
        <v>326</v>
      </c>
      <c r="Z2913" s="8">
        <v>0.2</v>
      </c>
      <c r="AA2913" s="202" t="str">
        <f t="shared" si="46"/>
        <v>Соль</v>
      </c>
    </row>
    <row r="2914" spans="1:27" ht="15" customHeight="1" x14ac:dyDescent="0.25">
      <c r="A2914" t="s">
        <v>153</v>
      </c>
      <c r="L2914"/>
      <c r="M2914"/>
      <c r="N2914"/>
      <c r="O2914"/>
      <c r="P2914"/>
      <c r="T2914">
        <v>2856</v>
      </c>
      <c r="U2914" s="7">
        <v>3</v>
      </c>
      <c r="V2914" t="s">
        <v>1165</v>
      </c>
      <c r="W2914" s="6" t="s">
        <v>1186</v>
      </c>
      <c r="X2914" t="s">
        <v>1187</v>
      </c>
      <c r="Y2914" s="316" t="s">
        <v>484</v>
      </c>
      <c r="Z2914" s="8">
        <v>1.7999999999999999E-2</v>
      </c>
      <c r="AA2914" s="202" t="str">
        <f t="shared" si="46"/>
        <v>Перец черный</v>
      </c>
    </row>
    <row r="2915" spans="1:27" ht="15" customHeight="1" x14ac:dyDescent="0.25">
      <c r="A2915" t="s">
        <v>153</v>
      </c>
      <c r="L2915"/>
      <c r="M2915"/>
      <c r="N2915"/>
      <c r="O2915"/>
      <c r="P2915"/>
      <c r="T2915">
        <v>2857</v>
      </c>
      <c r="U2915" s="7">
        <v>3</v>
      </c>
      <c r="V2915" t="s">
        <v>1165</v>
      </c>
      <c r="W2915" s="6" t="s">
        <v>1186</v>
      </c>
      <c r="X2915" t="s">
        <v>1187</v>
      </c>
      <c r="Y2915" s="316" t="s">
        <v>74</v>
      </c>
      <c r="Z2915" s="8">
        <v>7.1999999999999998E-3</v>
      </c>
      <c r="AA2915" s="202" t="str">
        <f t="shared" si="46"/>
        <v>Лавровый лист</v>
      </c>
    </row>
    <row r="2916" spans="1:27" ht="15" customHeight="1" x14ac:dyDescent="0.25">
      <c r="A2916" t="s">
        <v>153</v>
      </c>
      <c r="L2916"/>
      <c r="M2916"/>
      <c r="N2916"/>
      <c r="O2916"/>
      <c r="P2916"/>
      <c r="T2916">
        <v>2858</v>
      </c>
      <c r="U2916" s="7">
        <v>3</v>
      </c>
      <c r="V2916" t="s">
        <v>1165</v>
      </c>
      <c r="W2916" s="6" t="s">
        <v>1186</v>
      </c>
      <c r="X2916" t="s">
        <v>1187</v>
      </c>
      <c r="Y2916" s="316" t="s">
        <v>558</v>
      </c>
      <c r="Z2916" s="8">
        <v>20</v>
      </c>
      <c r="AA2916" s="202" t="str">
        <f t="shared" si="46"/>
        <v>Общая масса готового блюда, г</v>
      </c>
    </row>
    <row r="2917" spans="1:27" ht="15" customHeight="1" x14ac:dyDescent="0.25">
      <c r="A2917" t="s">
        <v>153</v>
      </c>
      <c r="L2917"/>
      <c r="M2917"/>
      <c r="N2917"/>
      <c r="O2917"/>
      <c r="P2917"/>
      <c r="T2917">
        <v>245</v>
      </c>
      <c r="U2917" s="7">
        <v>3</v>
      </c>
      <c r="V2917" t="s">
        <v>555</v>
      </c>
      <c r="W2917" s="257" t="s">
        <v>582</v>
      </c>
      <c r="X2917" t="s">
        <v>1255</v>
      </c>
      <c r="Y2917" s="316" t="s">
        <v>45</v>
      </c>
      <c r="Z2917" s="8">
        <v>125</v>
      </c>
      <c r="AA2917" s="202" t="str">
        <f t="shared" si="46"/>
        <v>Картофель</v>
      </c>
    </row>
    <row r="2918" spans="1:27" ht="15" customHeight="1" x14ac:dyDescent="0.25">
      <c r="A2918" t="s">
        <v>153</v>
      </c>
      <c r="L2918"/>
      <c r="M2918"/>
      <c r="N2918"/>
      <c r="O2918"/>
      <c r="P2918"/>
      <c r="T2918">
        <v>246</v>
      </c>
      <c r="U2918" s="7">
        <v>3</v>
      </c>
      <c r="V2918" t="s">
        <v>555</v>
      </c>
      <c r="W2918" s="257" t="s">
        <v>582</v>
      </c>
      <c r="X2918" t="s">
        <v>1255</v>
      </c>
      <c r="Y2918" s="316" t="s">
        <v>32</v>
      </c>
      <c r="Z2918" s="8">
        <v>10</v>
      </c>
      <c r="AA2918" s="202" t="str">
        <f t="shared" si="46"/>
        <v>Лук репчатый</v>
      </c>
    </row>
    <row r="2919" spans="1:27" ht="15" customHeight="1" x14ac:dyDescent="0.25">
      <c r="A2919" t="s">
        <v>153</v>
      </c>
      <c r="L2919"/>
      <c r="M2919"/>
      <c r="N2919"/>
      <c r="O2919"/>
      <c r="P2919"/>
      <c r="T2919">
        <v>247</v>
      </c>
      <c r="U2919" s="7">
        <v>3</v>
      </c>
      <c r="V2919" t="s">
        <v>555</v>
      </c>
      <c r="W2919" s="257" t="s">
        <v>582</v>
      </c>
      <c r="X2919" t="s">
        <v>1255</v>
      </c>
      <c r="Y2919" s="316" t="s">
        <v>46</v>
      </c>
      <c r="Z2919" s="8">
        <v>10</v>
      </c>
      <c r="AA2919" s="202" t="str">
        <f t="shared" si="46"/>
        <v>Морковь</v>
      </c>
    </row>
    <row r="2920" spans="1:27" ht="15" customHeight="1" x14ac:dyDescent="0.25">
      <c r="A2920" t="s">
        <v>153</v>
      </c>
      <c r="L2920"/>
      <c r="M2920"/>
      <c r="N2920"/>
      <c r="O2920"/>
      <c r="P2920"/>
      <c r="T2920">
        <v>248</v>
      </c>
      <c r="U2920" s="7">
        <v>3</v>
      </c>
      <c r="V2920" t="s">
        <v>555</v>
      </c>
      <c r="W2920" s="257" t="s">
        <v>582</v>
      </c>
      <c r="X2920" t="s">
        <v>1255</v>
      </c>
      <c r="Y2920" s="316" t="s">
        <v>208</v>
      </c>
      <c r="Z2920" s="8">
        <v>20</v>
      </c>
      <c r="AA2920" s="202" t="str">
        <f t="shared" si="46"/>
        <v>Перловая</v>
      </c>
    </row>
    <row r="2921" spans="1:27" ht="15" customHeight="1" x14ac:dyDescent="0.25">
      <c r="A2921" t="s">
        <v>153</v>
      </c>
      <c r="L2921"/>
      <c r="M2921"/>
      <c r="N2921"/>
      <c r="O2921"/>
      <c r="P2921"/>
      <c r="T2921">
        <v>249</v>
      </c>
      <c r="U2921" s="7">
        <v>3</v>
      </c>
      <c r="V2921" t="s">
        <v>555</v>
      </c>
      <c r="W2921" s="257" t="s">
        <v>582</v>
      </c>
      <c r="X2921" t="s">
        <v>1255</v>
      </c>
      <c r="Y2921" s="316" t="s">
        <v>61</v>
      </c>
      <c r="Z2921" s="8">
        <v>4</v>
      </c>
      <c r="AA2921" s="202" t="str">
        <f t="shared" si="46"/>
        <v>Масло растительное</v>
      </c>
    </row>
    <row r="2922" spans="1:27" ht="15" customHeight="1" x14ac:dyDescent="0.25">
      <c r="A2922" t="s">
        <v>153</v>
      </c>
      <c r="L2922"/>
      <c r="M2922"/>
      <c r="N2922"/>
      <c r="O2922"/>
      <c r="P2922"/>
      <c r="T2922">
        <v>250</v>
      </c>
      <c r="U2922" s="7">
        <v>3</v>
      </c>
      <c r="V2922" t="s">
        <v>555</v>
      </c>
      <c r="W2922" s="257" t="s">
        <v>582</v>
      </c>
      <c r="X2922" t="s">
        <v>1255</v>
      </c>
      <c r="Y2922" s="316" t="s">
        <v>479</v>
      </c>
      <c r="Z2922" s="8">
        <v>400</v>
      </c>
      <c r="AA2922" s="202" t="str">
        <f t="shared" si="46"/>
        <v>Вода или бульон</v>
      </c>
    </row>
    <row r="2923" spans="1:27" ht="15" customHeight="1" x14ac:dyDescent="0.25">
      <c r="A2923" t="s">
        <v>153</v>
      </c>
      <c r="L2923"/>
      <c r="M2923"/>
      <c r="N2923"/>
      <c r="O2923"/>
      <c r="P2923"/>
      <c r="T2923">
        <v>251</v>
      </c>
      <c r="U2923" s="7">
        <v>3</v>
      </c>
      <c r="V2923" t="s">
        <v>555</v>
      </c>
      <c r="W2923" s="257" t="s">
        <v>582</v>
      </c>
      <c r="X2923" t="s">
        <v>1255</v>
      </c>
      <c r="Y2923" s="316" t="s">
        <v>70</v>
      </c>
      <c r="Z2923" s="8">
        <v>5</v>
      </c>
      <c r="AA2923" s="202" t="str">
        <f t="shared" si="46"/>
        <v>Зелень</v>
      </c>
    </row>
    <row r="2924" spans="1:27" ht="15" customHeight="1" x14ac:dyDescent="0.25">
      <c r="A2924" t="s">
        <v>153</v>
      </c>
      <c r="L2924"/>
      <c r="M2924"/>
      <c r="N2924"/>
      <c r="O2924"/>
      <c r="P2924"/>
      <c r="T2924">
        <v>252</v>
      </c>
      <c r="U2924" s="7">
        <v>3</v>
      </c>
      <c r="V2924" t="s">
        <v>555</v>
      </c>
      <c r="W2924" s="257" t="s">
        <v>582</v>
      </c>
      <c r="X2924" t="s">
        <v>1255</v>
      </c>
      <c r="Y2924" s="316" t="s">
        <v>326</v>
      </c>
      <c r="Z2924" s="8">
        <v>4</v>
      </c>
      <c r="AA2924" s="202" t="str">
        <f t="shared" si="46"/>
        <v>Соль</v>
      </c>
    </row>
    <row r="2925" spans="1:27" ht="15" customHeight="1" x14ac:dyDescent="0.25">
      <c r="A2925" t="s">
        <v>153</v>
      </c>
      <c r="L2925"/>
      <c r="M2925"/>
      <c r="N2925"/>
      <c r="O2925"/>
      <c r="P2925"/>
      <c r="T2925">
        <v>253</v>
      </c>
      <c r="U2925" s="7">
        <v>3</v>
      </c>
      <c r="V2925" t="s">
        <v>555</v>
      </c>
      <c r="W2925" s="257" t="s">
        <v>582</v>
      </c>
      <c r="X2925" t="s">
        <v>1255</v>
      </c>
      <c r="Y2925" s="316" t="s">
        <v>558</v>
      </c>
      <c r="Z2925" s="8">
        <v>500</v>
      </c>
      <c r="AA2925" s="202" t="str">
        <f t="shared" si="46"/>
        <v>Общая масса готового блюда, г</v>
      </c>
    </row>
    <row r="2926" spans="1:27" ht="15" customHeight="1" x14ac:dyDescent="0.25">
      <c r="A2926" t="s">
        <v>153</v>
      </c>
      <c r="L2926"/>
      <c r="M2926"/>
      <c r="N2926"/>
      <c r="O2926"/>
      <c r="P2926"/>
      <c r="T2926">
        <v>254</v>
      </c>
      <c r="U2926" s="7">
        <v>3</v>
      </c>
      <c r="V2926" t="s">
        <v>555</v>
      </c>
      <c r="W2926" s="257" t="s">
        <v>582</v>
      </c>
      <c r="X2926" t="s">
        <v>1255</v>
      </c>
      <c r="Y2926" s="316" t="s">
        <v>109</v>
      </c>
      <c r="Z2926" s="8">
        <v>250</v>
      </c>
      <c r="AA2926" s="202" t="str">
        <f t="shared" si="46"/>
        <v>ОКГ</v>
      </c>
    </row>
    <row r="2927" spans="1:27" ht="15" customHeight="1" x14ac:dyDescent="0.25">
      <c r="A2927" t="s">
        <v>153</v>
      </c>
      <c r="L2927"/>
      <c r="M2927"/>
      <c r="N2927"/>
      <c r="O2927"/>
      <c r="P2927"/>
      <c r="T2927">
        <v>255</v>
      </c>
      <c r="U2927" s="7">
        <v>3</v>
      </c>
      <c r="V2927" t="s">
        <v>555</v>
      </c>
      <c r="W2927" s="257" t="s">
        <v>582</v>
      </c>
      <c r="X2927" t="s">
        <v>1255</v>
      </c>
      <c r="Y2927" s="316" t="s">
        <v>74</v>
      </c>
      <c r="Z2927" s="8">
        <v>0.02</v>
      </c>
      <c r="AA2927" s="202" t="str">
        <f t="shared" si="46"/>
        <v>Лавровый лист</v>
      </c>
    </row>
    <row r="2928" spans="1:27" ht="15" customHeight="1" x14ac:dyDescent="0.25">
      <c r="A2928" t="s">
        <v>153</v>
      </c>
      <c r="L2928"/>
      <c r="M2928"/>
      <c r="N2928"/>
      <c r="O2928"/>
      <c r="P2928"/>
      <c r="T2928">
        <v>256</v>
      </c>
      <c r="U2928" s="7">
        <v>3</v>
      </c>
      <c r="V2928" t="s">
        <v>555</v>
      </c>
      <c r="W2928" s="257" t="s">
        <v>582</v>
      </c>
      <c r="X2928" t="s">
        <v>1255</v>
      </c>
      <c r="Y2928" s="316" t="s">
        <v>484</v>
      </c>
      <c r="Z2928" s="8">
        <v>0.05</v>
      </c>
      <c r="AA2928" s="202" t="str">
        <f t="shared" si="46"/>
        <v>Перец черный</v>
      </c>
    </row>
    <row r="2929" spans="1:27" ht="15" customHeight="1" x14ac:dyDescent="0.25">
      <c r="A2929" t="s">
        <v>153</v>
      </c>
      <c r="L2929"/>
      <c r="M2929"/>
      <c r="N2929"/>
      <c r="O2929"/>
      <c r="P2929"/>
      <c r="T2929">
        <v>245</v>
      </c>
      <c r="U2929" s="7">
        <v>3</v>
      </c>
      <c r="V2929" t="s">
        <v>555</v>
      </c>
      <c r="W2929" s="257" t="s">
        <v>582</v>
      </c>
      <c r="X2929" t="s">
        <v>1254</v>
      </c>
      <c r="Y2929" s="316" t="s">
        <v>45</v>
      </c>
      <c r="Z2929" s="8">
        <v>125</v>
      </c>
      <c r="AA2929" s="202" t="str">
        <f t="shared" si="46"/>
        <v>Картофель</v>
      </c>
    </row>
    <row r="2930" spans="1:27" ht="15" customHeight="1" x14ac:dyDescent="0.25">
      <c r="A2930" t="s">
        <v>153</v>
      </c>
      <c r="L2930"/>
      <c r="M2930"/>
      <c r="N2930"/>
      <c r="O2930"/>
      <c r="P2930"/>
      <c r="T2930">
        <v>246</v>
      </c>
      <c r="U2930" s="7">
        <v>3</v>
      </c>
      <c r="V2930" t="s">
        <v>555</v>
      </c>
      <c r="W2930" s="257" t="s">
        <v>582</v>
      </c>
      <c r="X2930" t="s">
        <v>1254</v>
      </c>
      <c r="Y2930" s="316" t="s">
        <v>32</v>
      </c>
      <c r="Z2930" s="8">
        <v>10</v>
      </c>
      <c r="AA2930" s="202" t="str">
        <f t="shared" si="46"/>
        <v>Лук репчатый</v>
      </c>
    </row>
    <row r="2931" spans="1:27" ht="15" customHeight="1" x14ac:dyDescent="0.25">
      <c r="A2931" t="s">
        <v>153</v>
      </c>
      <c r="L2931"/>
      <c r="M2931"/>
      <c r="N2931"/>
      <c r="O2931"/>
      <c r="P2931"/>
      <c r="T2931">
        <v>247</v>
      </c>
      <c r="U2931" s="7">
        <v>3</v>
      </c>
      <c r="V2931" t="s">
        <v>555</v>
      </c>
      <c r="W2931" s="257" t="s">
        <v>582</v>
      </c>
      <c r="X2931" t="s">
        <v>1254</v>
      </c>
      <c r="Y2931" s="316" t="s">
        <v>46</v>
      </c>
      <c r="Z2931" s="8">
        <v>10</v>
      </c>
      <c r="AA2931" s="202" t="str">
        <f t="shared" si="46"/>
        <v>Морковь</v>
      </c>
    </row>
    <row r="2932" spans="1:27" ht="15" customHeight="1" x14ac:dyDescent="0.25">
      <c r="A2932" t="s">
        <v>153</v>
      </c>
      <c r="L2932"/>
      <c r="M2932"/>
      <c r="N2932"/>
      <c r="O2932"/>
      <c r="P2932"/>
      <c r="T2932">
        <v>248</v>
      </c>
      <c r="U2932" s="7">
        <v>3</v>
      </c>
      <c r="V2932" t="s">
        <v>555</v>
      </c>
      <c r="W2932" s="257" t="s">
        <v>582</v>
      </c>
      <c r="X2932" t="s">
        <v>1254</v>
      </c>
      <c r="Y2932" s="316" t="s">
        <v>33</v>
      </c>
      <c r="Z2932" s="8">
        <v>20</v>
      </c>
      <c r="AA2932" s="202" t="str">
        <f t="shared" si="46"/>
        <v>Пшено</v>
      </c>
    </row>
    <row r="2933" spans="1:27" ht="15" customHeight="1" x14ac:dyDescent="0.25">
      <c r="A2933" t="s">
        <v>153</v>
      </c>
      <c r="L2933"/>
      <c r="M2933"/>
      <c r="N2933"/>
      <c r="O2933"/>
      <c r="P2933"/>
      <c r="T2933">
        <v>249</v>
      </c>
      <c r="U2933" s="7">
        <v>3</v>
      </c>
      <c r="V2933" t="s">
        <v>555</v>
      </c>
      <c r="W2933" s="257" t="s">
        <v>582</v>
      </c>
      <c r="X2933" t="s">
        <v>1254</v>
      </c>
      <c r="Y2933" s="316" t="s">
        <v>61</v>
      </c>
      <c r="Z2933" s="8">
        <v>4</v>
      </c>
      <c r="AA2933" s="202" t="str">
        <f t="shared" si="46"/>
        <v>Масло растительное</v>
      </c>
    </row>
    <row r="2934" spans="1:27" ht="15" customHeight="1" x14ac:dyDescent="0.25">
      <c r="A2934" t="s">
        <v>153</v>
      </c>
      <c r="L2934"/>
      <c r="M2934"/>
      <c r="N2934"/>
      <c r="O2934"/>
      <c r="P2934"/>
      <c r="T2934">
        <v>250</v>
      </c>
      <c r="U2934" s="7">
        <v>3</v>
      </c>
      <c r="V2934" t="s">
        <v>555</v>
      </c>
      <c r="W2934" s="257" t="s">
        <v>582</v>
      </c>
      <c r="X2934" t="s">
        <v>1254</v>
      </c>
      <c r="Y2934" s="316" t="s">
        <v>479</v>
      </c>
      <c r="Z2934" s="8">
        <v>400</v>
      </c>
      <c r="AA2934" s="202" t="str">
        <f t="shared" si="46"/>
        <v>Вода или бульон</v>
      </c>
    </row>
    <row r="2935" spans="1:27" ht="15" customHeight="1" x14ac:dyDescent="0.25">
      <c r="A2935" t="s">
        <v>153</v>
      </c>
      <c r="L2935"/>
      <c r="M2935"/>
      <c r="N2935"/>
      <c r="O2935"/>
      <c r="P2935"/>
      <c r="T2935">
        <v>251</v>
      </c>
      <c r="U2935" s="7">
        <v>3</v>
      </c>
      <c r="V2935" t="s">
        <v>555</v>
      </c>
      <c r="W2935" s="257" t="s">
        <v>582</v>
      </c>
      <c r="X2935" t="s">
        <v>1254</v>
      </c>
      <c r="Y2935" s="316" t="s">
        <v>70</v>
      </c>
      <c r="Z2935" s="8">
        <v>5</v>
      </c>
      <c r="AA2935" s="202" t="str">
        <f t="shared" si="46"/>
        <v>Зелень</v>
      </c>
    </row>
    <row r="2936" spans="1:27" ht="15" customHeight="1" x14ac:dyDescent="0.25">
      <c r="A2936" t="s">
        <v>153</v>
      </c>
      <c r="L2936"/>
      <c r="M2936"/>
      <c r="N2936"/>
      <c r="O2936"/>
      <c r="P2936"/>
      <c r="T2936">
        <v>252</v>
      </c>
      <c r="U2936" s="7">
        <v>3</v>
      </c>
      <c r="V2936" t="s">
        <v>555</v>
      </c>
      <c r="W2936" s="257" t="s">
        <v>582</v>
      </c>
      <c r="X2936" t="s">
        <v>1254</v>
      </c>
      <c r="Y2936" s="316" t="s">
        <v>326</v>
      </c>
      <c r="Z2936" s="8">
        <v>4</v>
      </c>
      <c r="AA2936" s="202" t="str">
        <f t="shared" si="46"/>
        <v>Соль</v>
      </c>
    </row>
    <row r="2937" spans="1:27" ht="15" customHeight="1" x14ac:dyDescent="0.25">
      <c r="A2937" t="s">
        <v>153</v>
      </c>
      <c r="L2937"/>
      <c r="M2937"/>
      <c r="N2937"/>
      <c r="O2937"/>
      <c r="P2937"/>
      <c r="T2937">
        <v>253</v>
      </c>
      <c r="U2937" s="7">
        <v>3</v>
      </c>
      <c r="V2937" t="s">
        <v>555</v>
      </c>
      <c r="W2937" s="257" t="s">
        <v>582</v>
      </c>
      <c r="X2937" t="s">
        <v>1254</v>
      </c>
      <c r="Y2937" s="316" t="s">
        <v>558</v>
      </c>
      <c r="Z2937" s="8">
        <v>500</v>
      </c>
      <c r="AA2937" s="202" t="str">
        <f t="shared" si="46"/>
        <v>Общая масса готового блюда, г</v>
      </c>
    </row>
    <row r="2938" spans="1:27" ht="15" customHeight="1" x14ac:dyDescent="0.25">
      <c r="A2938" t="s">
        <v>153</v>
      </c>
      <c r="L2938"/>
      <c r="M2938"/>
      <c r="N2938"/>
      <c r="O2938"/>
      <c r="P2938"/>
      <c r="T2938">
        <v>254</v>
      </c>
      <c r="U2938" s="7">
        <v>3</v>
      </c>
      <c r="V2938" t="s">
        <v>555</v>
      </c>
      <c r="W2938" s="257" t="s">
        <v>582</v>
      </c>
      <c r="X2938" t="s">
        <v>1254</v>
      </c>
      <c r="Y2938" s="316" t="s">
        <v>109</v>
      </c>
      <c r="Z2938" s="8">
        <v>250</v>
      </c>
      <c r="AA2938" s="202" t="str">
        <f t="shared" si="46"/>
        <v>ОКГ</v>
      </c>
    </row>
    <row r="2939" spans="1:27" ht="15" customHeight="1" x14ac:dyDescent="0.25">
      <c r="A2939" t="s">
        <v>153</v>
      </c>
      <c r="L2939"/>
      <c r="M2939"/>
      <c r="N2939"/>
      <c r="O2939"/>
      <c r="P2939"/>
      <c r="T2939">
        <v>255</v>
      </c>
      <c r="U2939" s="7">
        <v>3</v>
      </c>
      <c r="V2939" t="s">
        <v>555</v>
      </c>
      <c r="W2939" s="257" t="s">
        <v>582</v>
      </c>
      <c r="X2939" t="s">
        <v>1254</v>
      </c>
      <c r="Y2939" s="316" t="s">
        <v>74</v>
      </c>
      <c r="Z2939" s="8">
        <v>0.02</v>
      </c>
      <c r="AA2939" s="202" t="str">
        <f t="shared" si="46"/>
        <v>Лавровый лист</v>
      </c>
    </row>
    <row r="2940" spans="1:27" ht="15" customHeight="1" x14ac:dyDescent="0.25">
      <c r="A2940" t="s">
        <v>153</v>
      </c>
      <c r="L2940"/>
      <c r="M2940"/>
      <c r="N2940"/>
      <c r="O2940"/>
      <c r="P2940"/>
      <c r="T2940">
        <v>256</v>
      </c>
      <c r="U2940" s="7">
        <v>3</v>
      </c>
      <c r="V2940" t="s">
        <v>555</v>
      </c>
      <c r="W2940" s="257" t="s">
        <v>582</v>
      </c>
      <c r="X2940" t="s">
        <v>1254</v>
      </c>
      <c r="Y2940" s="316" t="s">
        <v>484</v>
      </c>
      <c r="Z2940" s="8">
        <v>0.05</v>
      </c>
      <c r="AA2940" s="202" t="str">
        <f t="shared" si="46"/>
        <v>Перец черный</v>
      </c>
    </row>
    <row r="2941" spans="1:27" ht="15" customHeight="1" x14ac:dyDescent="0.25">
      <c r="A2941" t="s">
        <v>153</v>
      </c>
      <c r="L2941"/>
      <c r="M2941"/>
      <c r="N2941"/>
      <c r="O2941"/>
      <c r="P2941"/>
      <c r="T2941">
        <v>245</v>
      </c>
      <c r="U2941" s="7">
        <v>3</v>
      </c>
      <c r="V2941" t="s">
        <v>555</v>
      </c>
      <c r="W2941" s="257" t="s">
        <v>582</v>
      </c>
      <c r="X2941" t="s">
        <v>1253</v>
      </c>
      <c r="Y2941" s="316" t="s">
        <v>45</v>
      </c>
      <c r="Z2941" s="8">
        <v>125</v>
      </c>
      <c r="AA2941" s="202" t="str">
        <f t="shared" si="46"/>
        <v>Картофель</v>
      </c>
    </row>
    <row r="2942" spans="1:27" ht="15" customHeight="1" x14ac:dyDescent="0.25">
      <c r="A2942" t="s">
        <v>153</v>
      </c>
      <c r="L2942"/>
      <c r="M2942"/>
      <c r="N2942"/>
      <c r="O2942"/>
      <c r="P2942"/>
      <c r="T2942">
        <v>246</v>
      </c>
      <c r="U2942" s="7">
        <v>3</v>
      </c>
      <c r="V2942" t="s">
        <v>555</v>
      </c>
      <c r="W2942" s="257" t="s">
        <v>582</v>
      </c>
      <c r="X2942" t="s">
        <v>1253</v>
      </c>
      <c r="Y2942" s="316" t="s">
        <v>32</v>
      </c>
      <c r="Z2942" s="8">
        <v>10</v>
      </c>
      <c r="AA2942" s="202" t="str">
        <f t="shared" si="46"/>
        <v>Лук репчатый</v>
      </c>
    </row>
    <row r="2943" spans="1:27" ht="15" customHeight="1" x14ac:dyDescent="0.25">
      <c r="A2943" t="s">
        <v>153</v>
      </c>
      <c r="L2943"/>
      <c r="M2943"/>
      <c r="N2943"/>
      <c r="O2943"/>
      <c r="P2943"/>
      <c r="T2943">
        <v>247</v>
      </c>
      <c r="U2943" s="7">
        <v>3</v>
      </c>
      <c r="V2943" t="s">
        <v>555</v>
      </c>
      <c r="W2943" s="257" t="s">
        <v>582</v>
      </c>
      <c r="X2943" t="s">
        <v>1253</v>
      </c>
      <c r="Y2943" s="316" t="s">
        <v>46</v>
      </c>
      <c r="Z2943" s="8">
        <v>10</v>
      </c>
      <c r="AA2943" s="202" t="str">
        <f t="shared" si="46"/>
        <v>Морковь</v>
      </c>
    </row>
    <row r="2944" spans="1:27" ht="15" customHeight="1" x14ac:dyDescent="0.25">
      <c r="A2944" t="s">
        <v>153</v>
      </c>
      <c r="L2944"/>
      <c r="M2944"/>
      <c r="N2944"/>
      <c r="O2944"/>
      <c r="P2944"/>
      <c r="T2944">
        <v>248</v>
      </c>
      <c r="U2944" s="7">
        <v>3</v>
      </c>
      <c r="V2944" t="s">
        <v>555</v>
      </c>
      <c r="W2944" s="257" t="s">
        <v>582</v>
      </c>
      <c r="X2944" t="s">
        <v>1253</v>
      </c>
      <c r="Y2944" s="316" t="s">
        <v>27</v>
      </c>
      <c r="Z2944" s="8">
        <v>20</v>
      </c>
      <c r="AA2944" s="202" t="str">
        <f t="shared" si="46"/>
        <v>Рис</v>
      </c>
    </row>
    <row r="2945" spans="1:27" ht="15" customHeight="1" x14ac:dyDescent="0.25">
      <c r="A2945" t="s">
        <v>153</v>
      </c>
      <c r="L2945"/>
      <c r="M2945"/>
      <c r="N2945"/>
      <c r="O2945"/>
      <c r="P2945"/>
      <c r="T2945">
        <v>249</v>
      </c>
      <c r="U2945" s="7">
        <v>3</v>
      </c>
      <c r="V2945" t="s">
        <v>555</v>
      </c>
      <c r="W2945" s="257" t="s">
        <v>582</v>
      </c>
      <c r="X2945" t="s">
        <v>1253</v>
      </c>
      <c r="Y2945" s="316" t="s">
        <v>61</v>
      </c>
      <c r="Z2945" s="8">
        <v>4</v>
      </c>
      <c r="AA2945" s="202" t="str">
        <f t="shared" si="46"/>
        <v>Масло растительное</v>
      </c>
    </row>
    <row r="2946" spans="1:27" ht="15" customHeight="1" x14ac:dyDescent="0.25">
      <c r="A2946" t="s">
        <v>153</v>
      </c>
      <c r="L2946"/>
      <c r="M2946"/>
      <c r="N2946"/>
      <c r="O2946"/>
      <c r="P2946"/>
      <c r="T2946">
        <v>250</v>
      </c>
      <c r="U2946" s="7">
        <v>3</v>
      </c>
      <c r="V2946" t="s">
        <v>555</v>
      </c>
      <c r="W2946" s="257" t="s">
        <v>582</v>
      </c>
      <c r="X2946" t="s">
        <v>1253</v>
      </c>
      <c r="Y2946" s="316" t="s">
        <v>479</v>
      </c>
      <c r="Z2946" s="8">
        <v>400</v>
      </c>
      <c r="AA2946" s="202" t="str">
        <f t="shared" ref="AA2946:AA3009" si="47">VLOOKUP(Y2946,O:P,2,FALSE)</f>
        <v>Вода или бульон</v>
      </c>
    </row>
    <row r="2947" spans="1:27" ht="15" customHeight="1" x14ac:dyDescent="0.25">
      <c r="A2947" t="s">
        <v>153</v>
      </c>
      <c r="L2947"/>
      <c r="M2947"/>
      <c r="N2947"/>
      <c r="O2947"/>
      <c r="P2947"/>
      <c r="T2947">
        <v>251</v>
      </c>
      <c r="U2947" s="7">
        <v>3</v>
      </c>
      <c r="V2947" t="s">
        <v>555</v>
      </c>
      <c r="W2947" s="257" t="s">
        <v>582</v>
      </c>
      <c r="X2947" t="s">
        <v>1253</v>
      </c>
      <c r="Y2947" s="316" t="s">
        <v>70</v>
      </c>
      <c r="Z2947" s="8">
        <v>5</v>
      </c>
      <c r="AA2947" s="202" t="str">
        <f t="shared" si="47"/>
        <v>Зелень</v>
      </c>
    </row>
    <row r="2948" spans="1:27" ht="15" customHeight="1" x14ac:dyDescent="0.25">
      <c r="A2948" t="s">
        <v>153</v>
      </c>
      <c r="L2948"/>
      <c r="M2948"/>
      <c r="N2948"/>
      <c r="O2948"/>
      <c r="P2948"/>
      <c r="T2948">
        <v>252</v>
      </c>
      <c r="U2948" s="7">
        <v>3</v>
      </c>
      <c r="V2948" t="s">
        <v>555</v>
      </c>
      <c r="W2948" s="257" t="s">
        <v>582</v>
      </c>
      <c r="X2948" t="s">
        <v>1253</v>
      </c>
      <c r="Y2948" s="316" t="s">
        <v>326</v>
      </c>
      <c r="Z2948" s="8">
        <v>4</v>
      </c>
      <c r="AA2948" s="202" t="str">
        <f t="shared" si="47"/>
        <v>Соль</v>
      </c>
    </row>
    <row r="2949" spans="1:27" ht="15" customHeight="1" x14ac:dyDescent="0.25">
      <c r="A2949" t="s">
        <v>153</v>
      </c>
      <c r="L2949"/>
      <c r="M2949"/>
      <c r="N2949"/>
      <c r="O2949"/>
      <c r="P2949"/>
      <c r="T2949">
        <v>253</v>
      </c>
      <c r="U2949" s="7">
        <v>3</v>
      </c>
      <c r="V2949" t="s">
        <v>555</v>
      </c>
      <c r="W2949" s="257" t="s">
        <v>582</v>
      </c>
      <c r="X2949" t="s">
        <v>1253</v>
      </c>
      <c r="Y2949" s="316" t="s">
        <v>558</v>
      </c>
      <c r="Z2949" s="8">
        <v>500</v>
      </c>
      <c r="AA2949" s="202" t="str">
        <f t="shared" si="47"/>
        <v>Общая масса готового блюда, г</v>
      </c>
    </row>
    <row r="2950" spans="1:27" ht="15" customHeight="1" x14ac:dyDescent="0.25">
      <c r="A2950" t="s">
        <v>153</v>
      </c>
      <c r="L2950"/>
      <c r="M2950"/>
      <c r="N2950"/>
      <c r="O2950"/>
      <c r="P2950"/>
      <c r="T2950">
        <v>254</v>
      </c>
      <c r="U2950" s="7">
        <v>3</v>
      </c>
      <c r="V2950" t="s">
        <v>555</v>
      </c>
      <c r="W2950" s="257" t="s">
        <v>582</v>
      </c>
      <c r="X2950" t="s">
        <v>1253</v>
      </c>
      <c r="Y2950" s="316" t="s">
        <v>109</v>
      </c>
      <c r="Z2950" s="8">
        <v>250</v>
      </c>
      <c r="AA2950" s="202" t="str">
        <f t="shared" si="47"/>
        <v>ОКГ</v>
      </c>
    </row>
    <row r="2951" spans="1:27" ht="15" customHeight="1" x14ac:dyDescent="0.25">
      <c r="A2951" t="s">
        <v>153</v>
      </c>
      <c r="L2951"/>
      <c r="M2951"/>
      <c r="N2951"/>
      <c r="O2951"/>
      <c r="P2951"/>
      <c r="T2951">
        <v>255</v>
      </c>
      <c r="U2951" s="7">
        <v>3</v>
      </c>
      <c r="V2951" t="s">
        <v>555</v>
      </c>
      <c r="W2951" s="257" t="s">
        <v>582</v>
      </c>
      <c r="X2951" t="s">
        <v>1253</v>
      </c>
      <c r="Y2951" s="316" t="s">
        <v>74</v>
      </c>
      <c r="Z2951" s="8">
        <v>0.02</v>
      </c>
      <c r="AA2951" s="202" t="str">
        <f t="shared" si="47"/>
        <v>Лавровый лист</v>
      </c>
    </row>
    <row r="2952" spans="1:27" ht="15" customHeight="1" x14ac:dyDescent="0.25">
      <c r="A2952" t="s">
        <v>153</v>
      </c>
      <c r="L2952"/>
      <c r="M2952"/>
      <c r="N2952"/>
      <c r="O2952"/>
      <c r="P2952"/>
      <c r="T2952">
        <v>256</v>
      </c>
      <c r="U2952" s="7">
        <v>3</v>
      </c>
      <c r="V2952" t="s">
        <v>555</v>
      </c>
      <c r="W2952" s="257" t="s">
        <v>582</v>
      </c>
      <c r="X2952" t="s">
        <v>1253</v>
      </c>
      <c r="Y2952" s="316" t="s">
        <v>484</v>
      </c>
      <c r="Z2952" s="8">
        <v>0.05</v>
      </c>
      <c r="AA2952" s="202" t="str">
        <f t="shared" si="47"/>
        <v>Перец черный</v>
      </c>
    </row>
    <row r="2953" spans="1:27" ht="15" customHeight="1" x14ac:dyDescent="0.25">
      <c r="A2953" t="s">
        <v>153</v>
      </c>
      <c r="L2953"/>
      <c r="M2953"/>
      <c r="N2953"/>
      <c r="O2953"/>
      <c r="P2953"/>
      <c r="T2953">
        <v>234</v>
      </c>
      <c r="U2953" s="7">
        <v>3</v>
      </c>
      <c r="V2953" t="s">
        <v>555</v>
      </c>
      <c r="W2953" s="257" t="s">
        <v>583</v>
      </c>
      <c r="X2953" t="s">
        <v>584</v>
      </c>
      <c r="Y2953" s="316" t="s">
        <v>45</v>
      </c>
      <c r="Z2953" s="8">
        <v>250</v>
      </c>
      <c r="AA2953" s="202" t="str">
        <f t="shared" si="47"/>
        <v>Картофель</v>
      </c>
    </row>
    <row r="2954" spans="1:27" ht="15" customHeight="1" x14ac:dyDescent="0.25">
      <c r="A2954" t="s">
        <v>153</v>
      </c>
      <c r="L2954"/>
      <c r="M2954"/>
      <c r="N2954"/>
      <c r="O2954"/>
      <c r="P2954"/>
      <c r="T2954">
        <v>235</v>
      </c>
      <c r="U2954" s="7">
        <v>3</v>
      </c>
      <c r="V2954" t="s">
        <v>555</v>
      </c>
      <c r="W2954" s="257" t="s">
        <v>583</v>
      </c>
      <c r="X2954" t="s">
        <v>584</v>
      </c>
      <c r="Y2954" s="316" t="s">
        <v>32</v>
      </c>
      <c r="Z2954" s="8">
        <v>10</v>
      </c>
      <c r="AA2954" s="202" t="str">
        <f t="shared" si="47"/>
        <v>Лук репчатый</v>
      </c>
    </row>
    <row r="2955" spans="1:27" ht="15" customHeight="1" x14ac:dyDescent="0.25">
      <c r="A2955" t="s">
        <v>153</v>
      </c>
      <c r="L2955"/>
      <c r="M2955"/>
      <c r="N2955"/>
      <c r="O2955"/>
      <c r="P2955"/>
      <c r="T2955">
        <v>236</v>
      </c>
      <c r="U2955" s="7">
        <v>3</v>
      </c>
      <c r="V2955" t="s">
        <v>555</v>
      </c>
      <c r="W2955" s="257" t="s">
        <v>583</v>
      </c>
      <c r="X2955" t="s">
        <v>584</v>
      </c>
      <c r="Y2955" s="316" t="s">
        <v>46</v>
      </c>
      <c r="Z2955" s="8">
        <v>10</v>
      </c>
      <c r="AA2955" s="202" t="str">
        <f t="shared" si="47"/>
        <v>Морковь</v>
      </c>
    </row>
    <row r="2956" spans="1:27" ht="15" customHeight="1" x14ac:dyDescent="0.25">
      <c r="A2956" t="s">
        <v>153</v>
      </c>
      <c r="L2956"/>
      <c r="M2956"/>
      <c r="N2956"/>
      <c r="O2956"/>
      <c r="P2956"/>
      <c r="T2956">
        <v>237</v>
      </c>
      <c r="U2956" s="7">
        <v>3</v>
      </c>
      <c r="V2956" t="s">
        <v>555</v>
      </c>
      <c r="W2956" s="257" t="s">
        <v>583</v>
      </c>
      <c r="X2956" t="s">
        <v>584</v>
      </c>
      <c r="Y2956" s="316" t="s">
        <v>61</v>
      </c>
      <c r="Z2956" s="8">
        <v>4</v>
      </c>
      <c r="AA2956" s="202" t="str">
        <f t="shared" si="47"/>
        <v>Масло растительное</v>
      </c>
    </row>
    <row r="2957" spans="1:27" ht="15" customHeight="1" x14ac:dyDescent="0.25">
      <c r="A2957" t="s">
        <v>153</v>
      </c>
      <c r="L2957"/>
      <c r="M2957"/>
      <c r="N2957"/>
      <c r="O2957"/>
      <c r="P2957"/>
      <c r="T2957">
        <v>238</v>
      </c>
      <c r="U2957" s="7">
        <v>3</v>
      </c>
      <c r="V2957" t="s">
        <v>555</v>
      </c>
      <c r="W2957" s="257" t="s">
        <v>583</v>
      </c>
      <c r="X2957" t="s">
        <v>584</v>
      </c>
      <c r="Y2957" s="316" t="s">
        <v>479</v>
      </c>
      <c r="Z2957" s="8">
        <v>400</v>
      </c>
      <c r="AA2957" s="202" t="str">
        <f t="shared" si="47"/>
        <v>Вода или бульон</v>
      </c>
    </row>
    <row r="2958" spans="1:27" ht="15" customHeight="1" x14ac:dyDescent="0.25">
      <c r="A2958" t="s">
        <v>153</v>
      </c>
      <c r="L2958"/>
      <c r="M2958"/>
      <c r="N2958"/>
      <c r="O2958"/>
      <c r="P2958"/>
      <c r="T2958">
        <v>239</v>
      </c>
      <c r="U2958" s="7">
        <v>3</v>
      </c>
      <c r="V2958" t="s">
        <v>555</v>
      </c>
      <c r="W2958" s="257" t="s">
        <v>583</v>
      </c>
      <c r="X2958" t="s">
        <v>584</v>
      </c>
      <c r="Y2958" s="316" t="s">
        <v>70</v>
      </c>
      <c r="Z2958" s="8">
        <v>5</v>
      </c>
      <c r="AA2958" s="202" t="str">
        <f t="shared" si="47"/>
        <v>Зелень</v>
      </c>
    </row>
    <row r="2959" spans="1:27" ht="15" customHeight="1" x14ac:dyDescent="0.25">
      <c r="A2959" t="s">
        <v>153</v>
      </c>
      <c r="L2959"/>
      <c r="M2959"/>
      <c r="N2959"/>
      <c r="O2959"/>
      <c r="P2959"/>
      <c r="T2959">
        <v>240</v>
      </c>
      <c r="U2959" s="7">
        <v>3</v>
      </c>
      <c r="V2959" t="s">
        <v>555</v>
      </c>
      <c r="W2959" s="257" t="s">
        <v>583</v>
      </c>
      <c r="X2959" t="s">
        <v>584</v>
      </c>
      <c r="Y2959" s="316" t="s">
        <v>326</v>
      </c>
      <c r="Z2959" s="8">
        <v>4</v>
      </c>
      <c r="AA2959" s="202" t="str">
        <f t="shared" si="47"/>
        <v>Соль</v>
      </c>
    </row>
    <row r="2960" spans="1:27" ht="15" customHeight="1" x14ac:dyDescent="0.25">
      <c r="A2960" t="s">
        <v>153</v>
      </c>
      <c r="L2960"/>
      <c r="M2960"/>
      <c r="N2960"/>
      <c r="O2960"/>
      <c r="P2960"/>
      <c r="T2960">
        <v>241</v>
      </c>
      <c r="U2960" s="7">
        <v>3</v>
      </c>
      <c r="V2960" t="s">
        <v>555</v>
      </c>
      <c r="W2960" s="257" t="s">
        <v>583</v>
      </c>
      <c r="X2960" t="s">
        <v>584</v>
      </c>
      <c r="Y2960" s="316" t="s">
        <v>558</v>
      </c>
      <c r="Z2960" s="8">
        <v>500</v>
      </c>
      <c r="AA2960" s="202" t="str">
        <f t="shared" si="47"/>
        <v>Общая масса готового блюда, г</v>
      </c>
    </row>
    <row r="2961" spans="1:27" ht="15" customHeight="1" x14ac:dyDescent="0.25">
      <c r="A2961" t="s">
        <v>153</v>
      </c>
      <c r="L2961"/>
      <c r="M2961"/>
      <c r="N2961"/>
      <c r="O2961"/>
      <c r="P2961"/>
      <c r="T2961">
        <v>242</v>
      </c>
      <c r="U2961" s="7">
        <v>3</v>
      </c>
      <c r="V2961" t="s">
        <v>555</v>
      </c>
      <c r="W2961" s="257" t="s">
        <v>583</v>
      </c>
      <c r="X2961" t="s">
        <v>584</v>
      </c>
      <c r="Y2961" s="316" t="s">
        <v>109</v>
      </c>
      <c r="Z2961" s="8">
        <v>250</v>
      </c>
      <c r="AA2961" s="202" t="str">
        <f t="shared" si="47"/>
        <v>ОКГ</v>
      </c>
    </row>
    <row r="2962" spans="1:27" ht="15" customHeight="1" x14ac:dyDescent="0.25">
      <c r="A2962" t="s">
        <v>153</v>
      </c>
      <c r="L2962"/>
      <c r="M2962"/>
      <c r="N2962"/>
      <c r="O2962"/>
      <c r="P2962"/>
      <c r="T2962">
        <v>243</v>
      </c>
      <c r="U2962" s="7">
        <v>3</v>
      </c>
      <c r="V2962" t="s">
        <v>555</v>
      </c>
      <c r="W2962" s="257" t="s">
        <v>583</v>
      </c>
      <c r="X2962" t="s">
        <v>584</v>
      </c>
      <c r="Y2962" s="316" t="s">
        <v>74</v>
      </c>
      <c r="Z2962" s="8">
        <v>0.02</v>
      </c>
      <c r="AA2962" s="202" t="str">
        <f t="shared" si="47"/>
        <v>Лавровый лист</v>
      </c>
    </row>
    <row r="2963" spans="1:27" ht="15" customHeight="1" x14ac:dyDescent="0.25">
      <c r="A2963" t="s">
        <v>153</v>
      </c>
      <c r="L2963"/>
      <c r="M2963"/>
      <c r="N2963"/>
      <c r="O2963"/>
      <c r="P2963"/>
      <c r="T2963">
        <v>244</v>
      </c>
      <c r="U2963" s="7">
        <v>3</v>
      </c>
      <c r="V2963" t="s">
        <v>555</v>
      </c>
      <c r="W2963" s="257" t="s">
        <v>583</v>
      </c>
      <c r="X2963" t="s">
        <v>584</v>
      </c>
      <c r="Y2963" s="316" t="s">
        <v>484</v>
      </c>
      <c r="Z2963" s="8">
        <v>0.05</v>
      </c>
      <c r="AA2963" s="202" t="str">
        <f t="shared" si="47"/>
        <v>Перец черный</v>
      </c>
    </row>
    <row r="2964" spans="1:27" ht="15" customHeight="1" x14ac:dyDescent="0.25">
      <c r="A2964" t="s">
        <v>153</v>
      </c>
      <c r="L2964"/>
      <c r="M2964"/>
      <c r="N2964"/>
      <c r="O2964"/>
      <c r="P2964"/>
      <c r="T2964">
        <v>234</v>
      </c>
      <c r="U2964" s="7">
        <v>3</v>
      </c>
      <c r="V2964" t="s">
        <v>555</v>
      </c>
      <c r="W2964" s="257" t="s">
        <v>1317</v>
      </c>
      <c r="X2964" t="s">
        <v>1318</v>
      </c>
      <c r="Y2964" s="316" t="s">
        <v>45</v>
      </c>
      <c r="Z2964" s="8">
        <v>230</v>
      </c>
      <c r="AA2964" s="202" t="str">
        <f t="shared" si="47"/>
        <v>Картофель</v>
      </c>
    </row>
    <row r="2965" spans="1:27" ht="15" customHeight="1" x14ac:dyDescent="0.25">
      <c r="A2965" t="s">
        <v>153</v>
      </c>
      <c r="L2965"/>
      <c r="M2965"/>
      <c r="N2965"/>
      <c r="O2965"/>
      <c r="P2965"/>
      <c r="T2965">
        <v>235</v>
      </c>
      <c r="U2965" s="7">
        <v>3</v>
      </c>
      <c r="V2965" t="s">
        <v>555</v>
      </c>
      <c r="W2965" s="257" t="s">
        <v>1317</v>
      </c>
      <c r="X2965" t="s">
        <v>1318</v>
      </c>
      <c r="Y2965" s="316" t="s">
        <v>32</v>
      </c>
      <c r="Z2965" s="8">
        <v>10</v>
      </c>
      <c r="AA2965" s="202" t="str">
        <f t="shared" si="47"/>
        <v>Лук репчатый</v>
      </c>
    </row>
    <row r="2966" spans="1:27" ht="15" customHeight="1" x14ac:dyDescent="0.25">
      <c r="A2966" t="s">
        <v>153</v>
      </c>
      <c r="L2966"/>
      <c r="M2966"/>
      <c r="N2966"/>
      <c r="O2966"/>
      <c r="P2966"/>
      <c r="T2966">
        <v>236</v>
      </c>
      <c r="U2966" s="7">
        <v>3</v>
      </c>
      <c r="V2966" t="s">
        <v>555</v>
      </c>
      <c r="W2966" s="257" t="s">
        <v>1317</v>
      </c>
      <c r="X2966" t="s">
        <v>1318</v>
      </c>
      <c r="Y2966" s="316" t="s">
        <v>46</v>
      </c>
      <c r="Z2966" s="8">
        <v>10</v>
      </c>
      <c r="AA2966" s="202" t="str">
        <f t="shared" si="47"/>
        <v>Морковь</v>
      </c>
    </row>
    <row r="2967" spans="1:27" ht="15" customHeight="1" x14ac:dyDescent="0.25">
      <c r="A2967" t="s">
        <v>153</v>
      </c>
      <c r="L2967"/>
      <c r="M2967"/>
      <c r="N2967"/>
      <c r="O2967"/>
      <c r="P2967"/>
      <c r="T2967">
        <v>237</v>
      </c>
      <c r="U2967" s="7">
        <v>3</v>
      </c>
      <c r="V2967" t="s">
        <v>555</v>
      </c>
      <c r="W2967" s="257" t="s">
        <v>1317</v>
      </c>
      <c r="X2967" t="s">
        <v>1318</v>
      </c>
      <c r="Y2967" s="316" t="s">
        <v>61</v>
      </c>
      <c r="Z2967" s="8">
        <v>4</v>
      </c>
      <c r="AA2967" s="202" t="str">
        <f t="shared" si="47"/>
        <v>Масло растительное</v>
      </c>
    </row>
    <row r="2968" spans="1:27" ht="15" customHeight="1" x14ac:dyDescent="0.25">
      <c r="A2968" t="s">
        <v>153</v>
      </c>
      <c r="L2968"/>
      <c r="M2968"/>
      <c r="N2968"/>
      <c r="O2968"/>
      <c r="P2968"/>
      <c r="T2968">
        <v>238</v>
      </c>
      <c r="U2968" s="7">
        <v>3</v>
      </c>
      <c r="V2968" t="s">
        <v>555</v>
      </c>
      <c r="W2968" s="257" t="s">
        <v>1317</v>
      </c>
      <c r="X2968" t="s">
        <v>1318</v>
      </c>
      <c r="Y2968" s="316" t="s">
        <v>479</v>
      </c>
      <c r="Z2968" s="8">
        <v>400</v>
      </c>
      <c r="AA2968" s="202" t="str">
        <f t="shared" si="47"/>
        <v>Вода или бульон</v>
      </c>
    </row>
    <row r="2969" spans="1:27" ht="15" customHeight="1" x14ac:dyDescent="0.25">
      <c r="A2969" t="s">
        <v>153</v>
      </c>
      <c r="L2969"/>
      <c r="M2969"/>
      <c r="N2969"/>
      <c r="O2969"/>
      <c r="P2969"/>
      <c r="T2969">
        <v>239</v>
      </c>
      <c r="U2969" s="7">
        <v>3</v>
      </c>
      <c r="V2969" t="s">
        <v>555</v>
      </c>
      <c r="W2969" s="257" t="s">
        <v>1317</v>
      </c>
      <c r="X2969" t="s">
        <v>1318</v>
      </c>
      <c r="Y2969" s="316" t="s">
        <v>70</v>
      </c>
      <c r="Z2969" s="8">
        <v>5</v>
      </c>
      <c r="AA2969" s="202" t="str">
        <f t="shared" si="47"/>
        <v>Зелень</v>
      </c>
    </row>
    <row r="2970" spans="1:27" ht="15" customHeight="1" x14ac:dyDescent="0.25">
      <c r="A2970" t="s">
        <v>153</v>
      </c>
      <c r="L2970"/>
      <c r="M2970"/>
      <c r="N2970"/>
      <c r="O2970"/>
      <c r="P2970"/>
      <c r="T2970">
        <v>240</v>
      </c>
      <c r="U2970" s="7">
        <v>3</v>
      </c>
      <c r="V2970" t="s">
        <v>555</v>
      </c>
      <c r="W2970" s="257" t="s">
        <v>1317</v>
      </c>
      <c r="X2970" t="s">
        <v>1318</v>
      </c>
      <c r="Y2970" s="316" t="s">
        <v>326</v>
      </c>
      <c r="Z2970" s="8">
        <v>4</v>
      </c>
      <c r="AA2970" s="202" t="str">
        <f t="shared" si="47"/>
        <v>Соль</v>
      </c>
    </row>
    <row r="2971" spans="1:27" ht="15" customHeight="1" x14ac:dyDescent="0.25">
      <c r="A2971" t="s">
        <v>153</v>
      </c>
      <c r="L2971"/>
      <c r="M2971"/>
      <c r="N2971"/>
      <c r="O2971"/>
      <c r="P2971"/>
      <c r="T2971">
        <v>241</v>
      </c>
      <c r="U2971" s="7">
        <v>3</v>
      </c>
      <c r="V2971" t="s">
        <v>555</v>
      </c>
      <c r="W2971" s="257" t="s">
        <v>1317</v>
      </c>
      <c r="X2971" t="s">
        <v>1318</v>
      </c>
      <c r="Y2971" s="316" t="s">
        <v>558</v>
      </c>
      <c r="Z2971" s="8">
        <v>463</v>
      </c>
      <c r="AA2971" s="202" t="str">
        <f t="shared" si="47"/>
        <v>Общая масса готового блюда, г</v>
      </c>
    </row>
    <row r="2972" spans="1:27" ht="15" customHeight="1" x14ac:dyDescent="0.25">
      <c r="A2972" t="s">
        <v>153</v>
      </c>
      <c r="L2972"/>
      <c r="M2972"/>
      <c r="N2972"/>
      <c r="O2972"/>
      <c r="P2972"/>
      <c r="T2972">
        <v>242</v>
      </c>
      <c r="U2972" s="7">
        <v>3</v>
      </c>
      <c r="V2972" t="s">
        <v>555</v>
      </c>
      <c r="W2972" s="257" t="s">
        <v>1317</v>
      </c>
      <c r="X2972" t="s">
        <v>1318</v>
      </c>
      <c r="Y2972" s="316" t="s">
        <v>109</v>
      </c>
      <c r="Z2972" s="8">
        <v>231</v>
      </c>
      <c r="AA2972" s="202" t="str">
        <f t="shared" si="47"/>
        <v>ОКГ</v>
      </c>
    </row>
    <row r="2973" spans="1:27" ht="15" customHeight="1" x14ac:dyDescent="0.25">
      <c r="A2973" t="s">
        <v>153</v>
      </c>
      <c r="L2973"/>
      <c r="M2973"/>
      <c r="N2973"/>
      <c r="O2973"/>
      <c r="P2973"/>
      <c r="T2973">
        <v>243</v>
      </c>
      <c r="U2973" s="7">
        <v>3</v>
      </c>
      <c r="V2973" t="s">
        <v>555</v>
      </c>
      <c r="W2973" s="257" t="s">
        <v>1317</v>
      </c>
      <c r="X2973" t="s">
        <v>1318</v>
      </c>
      <c r="Y2973" s="316" t="s">
        <v>74</v>
      </c>
      <c r="Z2973" s="8">
        <v>0.02</v>
      </c>
      <c r="AA2973" s="202" t="str">
        <f t="shared" si="47"/>
        <v>Лавровый лист</v>
      </c>
    </row>
    <row r="2974" spans="1:27" ht="15" customHeight="1" x14ac:dyDescent="0.25">
      <c r="A2974" t="s">
        <v>153</v>
      </c>
      <c r="L2974"/>
      <c r="M2974"/>
      <c r="N2974"/>
      <c r="O2974"/>
      <c r="P2974"/>
      <c r="T2974">
        <v>244</v>
      </c>
      <c r="U2974" s="7">
        <v>3</v>
      </c>
      <c r="V2974" t="s">
        <v>555</v>
      </c>
      <c r="W2974" s="257" t="s">
        <v>1317</v>
      </c>
      <c r="X2974" t="s">
        <v>1318</v>
      </c>
      <c r="Y2974" s="316" t="s">
        <v>484</v>
      </c>
      <c r="Z2974" s="8">
        <v>0.05</v>
      </c>
      <c r="AA2974" s="202" t="str">
        <f t="shared" si="47"/>
        <v>Перец черный</v>
      </c>
    </row>
    <row r="2975" spans="1:27" ht="15" customHeight="1" x14ac:dyDescent="0.25">
      <c r="A2975" t="s">
        <v>153</v>
      </c>
      <c r="L2975"/>
      <c r="M2975"/>
      <c r="N2975"/>
      <c r="O2975"/>
      <c r="P2975"/>
      <c r="T2975">
        <v>269</v>
      </c>
      <c r="U2975" s="7">
        <v>3</v>
      </c>
      <c r="V2975" t="s">
        <v>555</v>
      </c>
      <c r="W2975" s="257" t="s">
        <v>585</v>
      </c>
      <c r="X2975" t="s">
        <v>586</v>
      </c>
      <c r="Y2975" s="316" t="s">
        <v>25</v>
      </c>
      <c r="Z2975" s="8">
        <v>20</v>
      </c>
      <c r="AA2975" s="202" t="str">
        <f t="shared" si="47"/>
        <v>Горох</v>
      </c>
    </row>
    <row r="2976" spans="1:27" ht="15" customHeight="1" x14ac:dyDescent="0.25">
      <c r="A2976" t="s">
        <v>153</v>
      </c>
      <c r="L2976"/>
      <c r="M2976"/>
      <c r="N2976"/>
      <c r="O2976"/>
      <c r="P2976"/>
      <c r="T2976">
        <v>270</v>
      </c>
      <c r="U2976" s="7">
        <v>3</v>
      </c>
      <c r="V2976" t="s">
        <v>555</v>
      </c>
      <c r="W2976" s="257" t="s">
        <v>585</v>
      </c>
      <c r="X2976" t="s">
        <v>586</v>
      </c>
      <c r="Y2976" s="316" t="s">
        <v>45</v>
      </c>
      <c r="Z2976" s="8">
        <v>150</v>
      </c>
      <c r="AA2976" s="202" t="str">
        <f t="shared" si="47"/>
        <v>Картофель</v>
      </c>
    </row>
    <row r="2977" spans="1:27" ht="15" customHeight="1" x14ac:dyDescent="0.25">
      <c r="A2977" t="s">
        <v>153</v>
      </c>
      <c r="L2977"/>
      <c r="M2977"/>
      <c r="N2977"/>
      <c r="O2977"/>
      <c r="P2977"/>
      <c r="T2977">
        <v>271</v>
      </c>
      <c r="U2977" s="7">
        <v>3</v>
      </c>
      <c r="V2977" t="s">
        <v>555</v>
      </c>
      <c r="W2977" s="257" t="s">
        <v>585</v>
      </c>
      <c r="X2977" t="s">
        <v>586</v>
      </c>
      <c r="Y2977" s="316" t="s">
        <v>32</v>
      </c>
      <c r="Z2977" s="8">
        <v>10</v>
      </c>
      <c r="AA2977" s="202" t="str">
        <f t="shared" si="47"/>
        <v>Лук репчатый</v>
      </c>
    </row>
    <row r="2978" spans="1:27" ht="15" customHeight="1" x14ac:dyDescent="0.25">
      <c r="A2978" t="s">
        <v>153</v>
      </c>
      <c r="L2978"/>
      <c r="M2978"/>
      <c r="N2978"/>
      <c r="O2978"/>
      <c r="P2978"/>
      <c r="T2978">
        <v>272</v>
      </c>
      <c r="U2978" s="7">
        <v>3</v>
      </c>
      <c r="V2978" t="s">
        <v>555</v>
      </c>
      <c r="W2978" s="257" t="s">
        <v>585</v>
      </c>
      <c r="X2978" t="s">
        <v>586</v>
      </c>
      <c r="Y2978" s="316" t="s">
        <v>46</v>
      </c>
      <c r="Z2978" s="8">
        <v>10</v>
      </c>
      <c r="AA2978" s="202" t="str">
        <f t="shared" si="47"/>
        <v>Морковь</v>
      </c>
    </row>
    <row r="2979" spans="1:27" ht="15" customHeight="1" x14ac:dyDescent="0.25">
      <c r="A2979" t="s">
        <v>153</v>
      </c>
      <c r="L2979"/>
      <c r="M2979"/>
      <c r="N2979"/>
      <c r="O2979"/>
      <c r="P2979"/>
      <c r="T2979">
        <v>273</v>
      </c>
      <c r="U2979" s="7">
        <v>3</v>
      </c>
      <c r="V2979" t="s">
        <v>555</v>
      </c>
      <c r="W2979" s="257" t="s">
        <v>585</v>
      </c>
      <c r="X2979" t="s">
        <v>586</v>
      </c>
      <c r="Y2979" s="316" t="s">
        <v>70</v>
      </c>
      <c r="Z2979" s="8">
        <v>5</v>
      </c>
      <c r="AA2979" s="202" t="str">
        <f t="shared" si="47"/>
        <v>Зелень</v>
      </c>
    </row>
    <row r="2980" spans="1:27" ht="15" customHeight="1" x14ac:dyDescent="0.25">
      <c r="A2980" t="s">
        <v>153</v>
      </c>
      <c r="L2980"/>
      <c r="M2980"/>
      <c r="N2980"/>
      <c r="O2980"/>
      <c r="P2980"/>
      <c r="T2980">
        <v>274</v>
      </c>
      <c r="U2980" s="7">
        <v>3</v>
      </c>
      <c r="V2980" t="s">
        <v>555</v>
      </c>
      <c r="W2980" s="257" t="s">
        <v>585</v>
      </c>
      <c r="X2980" t="s">
        <v>586</v>
      </c>
      <c r="Y2980" s="316" t="s">
        <v>61</v>
      </c>
      <c r="Z2980" s="8">
        <v>4</v>
      </c>
      <c r="AA2980" s="202" t="str">
        <f t="shared" si="47"/>
        <v>Масло растительное</v>
      </c>
    </row>
    <row r="2981" spans="1:27" ht="15" customHeight="1" x14ac:dyDescent="0.25">
      <c r="A2981" t="s">
        <v>153</v>
      </c>
      <c r="L2981"/>
      <c r="M2981"/>
      <c r="N2981"/>
      <c r="O2981"/>
      <c r="P2981"/>
      <c r="T2981">
        <v>275</v>
      </c>
      <c r="U2981" s="7">
        <v>3</v>
      </c>
      <c r="V2981" t="s">
        <v>555</v>
      </c>
      <c r="W2981" s="257" t="s">
        <v>585</v>
      </c>
      <c r="X2981" t="s">
        <v>586</v>
      </c>
      <c r="Y2981" s="316" t="s">
        <v>479</v>
      </c>
      <c r="Z2981" s="8">
        <v>400</v>
      </c>
      <c r="AA2981" s="202" t="str">
        <f t="shared" si="47"/>
        <v>Вода или бульон</v>
      </c>
    </row>
    <row r="2982" spans="1:27" ht="15" customHeight="1" x14ac:dyDescent="0.25">
      <c r="A2982" t="s">
        <v>153</v>
      </c>
      <c r="L2982"/>
      <c r="M2982"/>
      <c r="N2982"/>
      <c r="O2982"/>
      <c r="P2982"/>
      <c r="T2982">
        <v>276</v>
      </c>
      <c r="U2982" s="7">
        <v>3</v>
      </c>
      <c r="V2982" t="s">
        <v>555</v>
      </c>
      <c r="W2982" s="257" t="s">
        <v>585</v>
      </c>
      <c r="X2982" t="s">
        <v>586</v>
      </c>
      <c r="Y2982" s="316" t="s">
        <v>326</v>
      </c>
      <c r="Z2982" s="8">
        <v>4</v>
      </c>
      <c r="AA2982" s="202" t="str">
        <f t="shared" si="47"/>
        <v>Соль</v>
      </c>
    </row>
    <row r="2983" spans="1:27" ht="15" customHeight="1" x14ac:dyDescent="0.25">
      <c r="A2983" t="s">
        <v>153</v>
      </c>
      <c r="L2983"/>
      <c r="M2983"/>
      <c r="N2983"/>
      <c r="O2983"/>
      <c r="P2983"/>
      <c r="T2983">
        <v>277</v>
      </c>
      <c r="U2983" s="7">
        <v>3</v>
      </c>
      <c r="V2983" t="s">
        <v>555</v>
      </c>
      <c r="W2983" s="257" t="s">
        <v>585</v>
      </c>
      <c r="X2983" t="s">
        <v>586</v>
      </c>
      <c r="Y2983" s="316" t="s">
        <v>558</v>
      </c>
      <c r="Z2983" s="8">
        <v>500</v>
      </c>
      <c r="AA2983" s="202" t="str">
        <f t="shared" si="47"/>
        <v>Общая масса готового блюда, г</v>
      </c>
    </row>
    <row r="2984" spans="1:27" ht="15" customHeight="1" x14ac:dyDescent="0.25">
      <c r="A2984" t="s">
        <v>153</v>
      </c>
      <c r="L2984"/>
      <c r="M2984"/>
      <c r="N2984"/>
      <c r="O2984"/>
      <c r="P2984"/>
      <c r="T2984">
        <v>278</v>
      </c>
      <c r="U2984" s="7">
        <v>3</v>
      </c>
      <c r="V2984" t="s">
        <v>555</v>
      </c>
      <c r="W2984" s="257" t="s">
        <v>585</v>
      </c>
      <c r="X2984" t="s">
        <v>586</v>
      </c>
      <c r="Y2984" s="316" t="s">
        <v>109</v>
      </c>
      <c r="Z2984" s="8">
        <v>250</v>
      </c>
      <c r="AA2984" s="202" t="str">
        <f t="shared" si="47"/>
        <v>ОКГ</v>
      </c>
    </row>
    <row r="2985" spans="1:27" ht="15" customHeight="1" x14ac:dyDescent="0.25">
      <c r="A2985" t="s">
        <v>153</v>
      </c>
      <c r="L2985"/>
      <c r="M2985"/>
      <c r="N2985"/>
      <c r="O2985"/>
      <c r="P2985"/>
      <c r="T2985">
        <v>269</v>
      </c>
      <c r="U2985" s="7">
        <v>3</v>
      </c>
      <c r="V2985" t="s">
        <v>555</v>
      </c>
      <c r="W2985" s="257" t="s">
        <v>1319</v>
      </c>
      <c r="X2985" t="s">
        <v>1320</v>
      </c>
      <c r="Y2985" s="316" t="s">
        <v>38</v>
      </c>
      <c r="Z2985" s="8">
        <v>20</v>
      </c>
      <c r="AA2985" s="202" t="str">
        <f t="shared" si="47"/>
        <v>Гречневая</v>
      </c>
    </row>
    <row r="2986" spans="1:27" ht="15" customHeight="1" x14ac:dyDescent="0.25">
      <c r="A2986" t="s">
        <v>153</v>
      </c>
      <c r="L2986"/>
      <c r="M2986"/>
      <c r="N2986"/>
      <c r="O2986"/>
      <c r="P2986"/>
      <c r="T2986">
        <v>270</v>
      </c>
      <c r="U2986" s="7">
        <v>3</v>
      </c>
      <c r="V2986" t="s">
        <v>555</v>
      </c>
      <c r="W2986" s="257" t="s">
        <v>1319</v>
      </c>
      <c r="X2986" t="s">
        <v>1320</v>
      </c>
      <c r="Y2986" s="316" t="s">
        <v>45</v>
      </c>
      <c r="Z2986" s="8">
        <v>190</v>
      </c>
      <c r="AA2986" s="202" t="str">
        <f t="shared" si="47"/>
        <v>Картофель</v>
      </c>
    </row>
    <row r="2987" spans="1:27" ht="15" customHeight="1" x14ac:dyDescent="0.25">
      <c r="A2987" t="s">
        <v>153</v>
      </c>
      <c r="L2987"/>
      <c r="M2987"/>
      <c r="N2987"/>
      <c r="O2987"/>
      <c r="P2987"/>
      <c r="T2987">
        <v>271</v>
      </c>
      <c r="U2987" s="7">
        <v>3</v>
      </c>
      <c r="V2987" t="s">
        <v>555</v>
      </c>
      <c r="W2987" s="257" t="s">
        <v>1319</v>
      </c>
      <c r="X2987" t="s">
        <v>1320</v>
      </c>
      <c r="Y2987" s="316" t="s">
        <v>32</v>
      </c>
      <c r="Z2987" s="8">
        <v>5</v>
      </c>
      <c r="AA2987" s="202" t="str">
        <f t="shared" si="47"/>
        <v>Лук репчатый</v>
      </c>
    </row>
    <row r="2988" spans="1:27" ht="15" customHeight="1" x14ac:dyDescent="0.25">
      <c r="A2988" t="s">
        <v>153</v>
      </c>
      <c r="L2988"/>
      <c r="M2988"/>
      <c r="N2988"/>
      <c r="O2988"/>
      <c r="P2988"/>
      <c r="T2988">
        <v>272</v>
      </c>
      <c r="U2988" s="7">
        <v>3</v>
      </c>
      <c r="V2988" t="s">
        <v>555</v>
      </c>
      <c r="W2988" s="257" t="s">
        <v>1319</v>
      </c>
      <c r="X2988" t="s">
        <v>1320</v>
      </c>
      <c r="Y2988" s="316" t="s">
        <v>46</v>
      </c>
      <c r="Z2988" s="8">
        <v>5</v>
      </c>
      <c r="AA2988" s="202" t="str">
        <f t="shared" si="47"/>
        <v>Морковь</v>
      </c>
    </row>
    <row r="2989" spans="1:27" ht="15" customHeight="1" x14ac:dyDescent="0.25">
      <c r="A2989" t="s">
        <v>153</v>
      </c>
      <c r="L2989"/>
      <c r="M2989"/>
      <c r="N2989"/>
      <c r="O2989"/>
      <c r="P2989"/>
      <c r="T2989">
        <v>273</v>
      </c>
      <c r="U2989" s="7">
        <v>3</v>
      </c>
      <c r="V2989" t="s">
        <v>555</v>
      </c>
      <c r="W2989" s="257" t="s">
        <v>1319</v>
      </c>
      <c r="X2989" t="s">
        <v>1320</v>
      </c>
      <c r="Y2989" s="316" t="s">
        <v>70</v>
      </c>
      <c r="Z2989" s="8">
        <v>5</v>
      </c>
      <c r="AA2989" s="202" t="str">
        <f t="shared" si="47"/>
        <v>Зелень</v>
      </c>
    </row>
    <row r="2990" spans="1:27" ht="15" customHeight="1" x14ac:dyDescent="0.25">
      <c r="A2990" t="s">
        <v>153</v>
      </c>
      <c r="L2990"/>
      <c r="M2990"/>
      <c r="N2990"/>
      <c r="O2990"/>
      <c r="P2990"/>
      <c r="T2990">
        <v>274</v>
      </c>
      <c r="U2990" s="7">
        <v>3</v>
      </c>
      <c r="V2990" t="s">
        <v>555</v>
      </c>
      <c r="W2990" s="257" t="s">
        <v>1319</v>
      </c>
      <c r="X2990" t="s">
        <v>1320</v>
      </c>
      <c r="Y2990" s="316" t="s">
        <v>61</v>
      </c>
      <c r="Z2990" s="8">
        <v>4</v>
      </c>
      <c r="AA2990" s="202" t="str">
        <f t="shared" si="47"/>
        <v>Масло растительное</v>
      </c>
    </row>
    <row r="2991" spans="1:27" ht="15" customHeight="1" x14ac:dyDescent="0.25">
      <c r="A2991" t="s">
        <v>153</v>
      </c>
      <c r="L2991"/>
      <c r="M2991"/>
      <c r="N2991"/>
      <c r="O2991"/>
      <c r="P2991"/>
      <c r="T2991">
        <v>275</v>
      </c>
      <c r="U2991" s="7">
        <v>3</v>
      </c>
      <c r="V2991" t="s">
        <v>555</v>
      </c>
      <c r="W2991" s="257" t="s">
        <v>1319</v>
      </c>
      <c r="X2991" t="s">
        <v>1320</v>
      </c>
      <c r="Y2991" s="316" t="s">
        <v>479</v>
      </c>
      <c r="Z2991" s="8">
        <v>400</v>
      </c>
      <c r="AA2991" s="202" t="str">
        <f t="shared" si="47"/>
        <v>Вода или бульон</v>
      </c>
    </row>
    <row r="2992" spans="1:27" ht="15" customHeight="1" x14ac:dyDescent="0.25">
      <c r="A2992" t="s">
        <v>153</v>
      </c>
      <c r="L2992"/>
      <c r="M2992"/>
      <c r="N2992"/>
      <c r="O2992"/>
      <c r="P2992"/>
      <c r="T2992">
        <v>276</v>
      </c>
      <c r="U2992" s="7">
        <v>3</v>
      </c>
      <c r="V2992" t="s">
        <v>555</v>
      </c>
      <c r="W2992" s="257" t="s">
        <v>1319</v>
      </c>
      <c r="X2992" t="s">
        <v>1320</v>
      </c>
      <c r="Y2992" s="316" t="s">
        <v>326</v>
      </c>
      <c r="Z2992" s="8">
        <v>4</v>
      </c>
      <c r="AA2992" s="202" t="str">
        <f t="shared" si="47"/>
        <v>Соль</v>
      </c>
    </row>
    <row r="2993" spans="1:27" ht="15" customHeight="1" x14ac:dyDescent="0.25">
      <c r="A2993" t="s">
        <v>153</v>
      </c>
      <c r="L2993"/>
      <c r="M2993"/>
      <c r="N2993"/>
      <c r="O2993"/>
      <c r="P2993"/>
      <c r="T2993">
        <v>277</v>
      </c>
      <c r="U2993" s="7">
        <v>3</v>
      </c>
      <c r="V2993" t="s">
        <v>555</v>
      </c>
      <c r="W2993" s="257" t="s">
        <v>1319</v>
      </c>
      <c r="X2993" t="s">
        <v>1320</v>
      </c>
      <c r="Y2993" s="316" t="s">
        <v>558</v>
      </c>
      <c r="Z2993" s="8">
        <v>525</v>
      </c>
      <c r="AA2993" s="202" t="str">
        <f t="shared" si="47"/>
        <v>Общая масса готового блюда, г</v>
      </c>
    </row>
    <row r="2994" spans="1:27" ht="15" customHeight="1" x14ac:dyDescent="0.25">
      <c r="A2994" t="s">
        <v>153</v>
      </c>
      <c r="L2994"/>
      <c r="M2994"/>
      <c r="N2994"/>
      <c r="O2994"/>
      <c r="P2994"/>
      <c r="T2994">
        <v>278</v>
      </c>
      <c r="U2994" s="7">
        <v>3</v>
      </c>
      <c r="V2994" t="s">
        <v>555</v>
      </c>
      <c r="W2994" s="257" t="s">
        <v>1319</v>
      </c>
      <c r="X2994" t="s">
        <v>1320</v>
      </c>
      <c r="Y2994" s="316" t="s">
        <v>109</v>
      </c>
      <c r="Z2994" s="8">
        <v>263</v>
      </c>
      <c r="AA2994" s="202" t="str">
        <f t="shared" si="47"/>
        <v>ОКГ</v>
      </c>
    </row>
    <row r="2995" spans="1:27" ht="15" customHeight="1" x14ac:dyDescent="0.25">
      <c r="A2995" t="s">
        <v>153</v>
      </c>
      <c r="L2995"/>
      <c r="M2995"/>
      <c r="N2995"/>
      <c r="O2995"/>
      <c r="P2995"/>
      <c r="T2995">
        <v>257</v>
      </c>
      <c r="U2995" s="7">
        <v>3</v>
      </c>
      <c r="V2995" t="s">
        <v>555</v>
      </c>
      <c r="W2995" s="257" t="s">
        <v>587</v>
      </c>
      <c r="X2995" t="s">
        <v>588</v>
      </c>
      <c r="Y2995" s="316" t="s">
        <v>45</v>
      </c>
      <c r="Z2995" s="8">
        <v>125</v>
      </c>
      <c r="AA2995" s="202" t="str">
        <f t="shared" si="47"/>
        <v>Картофель</v>
      </c>
    </row>
    <row r="2996" spans="1:27" ht="15" customHeight="1" x14ac:dyDescent="0.25">
      <c r="A2996" t="s">
        <v>153</v>
      </c>
      <c r="L2996"/>
      <c r="M2996"/>
      <c r="N2996"/>
      <c r="O2996"/>
      <c r="P2996"/>
      <c r="T2996">
        <v>258</v>
      </c>
      <c r="U2996" s="7">
        <v>3</v>
      </c>
      <c r="V2996" t="s">
        <v>555</v>
      </c>
      <c r="W2996" s="257" t="s">
        <v>587</v>
      </c>
      <c r="X2996" t="s">
        <v>588</v>
      </c>
      <c r="Y2996" s="316" t="s">
        <v>32</v>
      </c>
      <c r="Z2996" s="8">
        <v>10</v>
      </c>
      <c r="AA2996" s="202" t="str">
        <f t="shared" si="47"/>
        <v>Лук репчатый</v>
      </c>
    </row>
    <row r="2997" spans="1:27" ht="15" customHeight="1" x14ac:dyDescent="0.25">
      <c r="A2997" t="s">
        <v>153</v>
      </c>
      <c r="L2997"/>
      <c r="M2997"/>
      <c r="N2997"/>
      <c r="O2997"/>
      <c r="P2997"/>
      <c r="T2997">
        <v>259</v>
      </c>
      <c r="U2997" s="7">
        <v>3</v>
      </c>
      <c r="V2997" t="s">
        <v>555</v>
      </c>
      <c r="W2997" s="257" t="s">
        <v>587</v>
      </c>
      <c r="X2997" t="s">
        <v>588</v>
      </c>
      <c r="Y2997" s="316" t="s">
        <v>46</v>
      </c>
      <c r="Z2997" s="8">
        <v>10</v>
      </c>
      <c r="AA2997" s="202" t="str">
        <f t="shared" si="47"/>
        <v>Морковь</v>
      </c>
    </row>
    <row r="2998" spans="1:27" ht="15" customHeight="1" x14ac:dyDescent="0.25">
      <c r="A2998" t="s">
        <v>153</v>
      </c>
      <c r="L2998"/>
      <c r="M2998"/>
      <c r="N2998"/>
      <c r="O2998"/>
      <c r="P2998"/>
      <c r="T2998">
        <v>260</v>
      </c>
      <c r="U2998" s="7">
        <v>3</v>
      </c>
      <c r="V2998" t="s">
        <v>555</v>
      </c>
      <c r="W2998" s="257" t="s">
        <v>587</v>
      </c>
      <c r="X2998" t="s">
        <v>588</v>
      </c>
      <c r="Y2998" s="316" t="s">
        <v>41</v>
      </c>
      <c r="Z2998" s="8">
        <v>20</v>
      </c>
      <c r="AA2998" s="202" t="str">
        <f t="shared" si="47"/>
        <v>Макаронные изделия</v>
      </c>
    </row>
    <row r="2999" spans="1:27" ht="15" customHeight="1" x14ac:dyDescent="0.25">
      <c r="A2999" t="s">
        <v>153</v>
      </c>
      <c r="L2999"/>
      <c r="M2999"/>
      <c r="N2999"/>
      <c r="O2999"/>
      <c r="P2999"/>
      <c r="T2999">
        <v>261</v>
      </c>
      <c r="U2999" s="7">
        <v>3</v>
      </c>
      <c r="V2999" t="s">
        <v>555</v>
      </c>
      <c r="W2999" s="257" t="s">
        <v>587</v>
      </c>
      <c r="X2999" t="s">
        <v>588</v>
      </c>
      <c r="Y2999" s="316" t="s">
        <v>61</v>
      </c>
      <c r="Z2999" s="8">
        <v>4</v>
      </c>
      <c r="AA2999" s="202" t="str">
        <f t="shared" si="47"/>
        <v>Масло растительное</v>
      </c>
    </row>
    <row r="3000" spans="1:27" ht="15" customHeight="1" x14ac:dyDescent="0.25">
      <c r="A3000" t="s">
        <v>153</v>
      </c>
      <c r="L3000"/>
      <c r="M3000"/>
      <c r="N3000"/>
      <c r="O3000"/>
      <c r="P3000"/>
      <c r="T3000">
        <v>262</v>
      </c>
      <c r="U3000" s="7">
        <v>3</v>
      </c>
      <c r="V3000" t="s">
        <v>555</v>
      </c>
      <c r="W3000" s="257" t="s">
        <v>587</v>
      </c>
      <c r="X3000" t="s">
        <v>588</v>
      </c>
      <c r="Y3000" s="316" t="s">
        <v>479</v>
      </c>
      <c r="Z3000" s="8">
        <v>400</v>
      </c>
      <c r="AA3000" s="202" t="str">
        <f t="shared" si="47"/>
        <v>Вода или бульон</v>
      </c>
    </row>
    <row r="3001" spans="1:27" ht="15" customHeight="1" x14ac:dyDescent="0.25">
      <c r="A3001" t="s">
        <v>153</v>
      </c>
      <c r="L3001"/>
      <c r="M3001"/>
      <c r="N3001"/>
      <c r="O3001"/>
      <c r="P3001"/>
      <c r="T3001">
        <v>263</v>
      </c>
      <c r="U3001" s="7">
        <v>3</v>
      </c>
      <c r="V3001" t="s">
        <v>555</v>
      </c>
      <c r="W3001" s="257" t="s">
        <v>587</v>
      </c>
      <c r="X3001" t="s">
        <v>588</v>
      </c>
      <c r="Y3001" s="316" t="s">
        <v>70</v>
      </c>
      <c r="Z3001" s="8">
        <v>5</v>
      </c>
      <c r="AA3001" s="202" t="str">
        <f t="shared" si="47"/>
        <v>Зелень</v>
      </c>
    </row>
    <row r="3002" spans="1:27" ht="15" customHeight="1" x14ac:dyDescent="0.25">
      <c r="A3002" t="s">
        <v>153</v>
      </c>
      <c r="L3002"/>
      <c r="M3002"/>
      <c r="N3002"/>
      <c r="O3002"/>
      <c r="P3002"/>
      <c r="T3002">
        <v>264</v>
      </c>
      <c r="U3002" s="7">
        <v>3</v>
      </c>
      <c r="V3002" t="s">
        <v>555</v>
      </c>
      <c r="W3002" s="257" t="s">
        <v>587</v>
      </c>
      <c r="X3002" t="s">
        <v>588</v>
      </c>
      <c r="Y3002" s="316" t="s">
        <v>326</v>
      </c>
      <c r="Z3002" s="8">
        <v>4</v>
      </c>
      <c r="AA3002" s="202" t="str">
        <f t="shared" si="47"/>
        <v>Соль</v>
      </c>
    </row>
    <row r="3003" spans="1:27" ht="15" customHeight="1" x14ac:dyDescent="0.25">
      <c r="A3003" t="s">
        <v>153</v>
      </c>
      <c r="L3003"/>
      <c r="M3003"/>
      <c r="N3003"/>
      <c r="O3003"/>
      <c r="P3003"/>
      <c r="T3003">
        <v>265</v>
      </c>
      <c r="U3003" s="7">
        <v>3</v>
      </c>
      <c r="V3003" t="s">
        <v>555</v>
      </c>
      <c r="W3003" s="257" t="s">
        <v>587</v>
      </c>
      <c r="X3003" t="s">
        <v>588</v>
      </c>
      <c r="Y3003" s="316" t="s">
        <v>558</v>
      </c>
      <c r="Z3003" s="8">
        <v>500</v>
      </c>
      <c r="AA3003" s="202" t="str">
        <f t="shared" si="47"/>
        <v>Общая масса готового блюда, г</v>
      </c>
    </row>
    <row r="3004" spans="1:27" ht="15" customHeight="1" x14ac:dyDescent="0.25">
      <c r="A3004" t="s">
        <v>153</v>
      </c>
      <c r="L3004"/>
      <c r="M3004"/>
      <c r="N3004"/>
      <c r="O3004"/>
      <c r="P3004"/>
      <c r="T3004">
        <v>266</v>
      </c>
      <c r="U3004" s="7">
        <v>3</v>
      </c>
      <c r="V3004" t="s">
        <v>555</v>
      </c>
      <c r="W3004" s="257" t="s">
        <v>587</v>
      </c>
      <c r="X3004" t="s">
        <v>588</v>
      </c>
      <c r="Y3004" s="316" t="s">
        <v>109</v>
      </c>
      <c r="Z3004" s="8">
        <v>250</v>
      </c>
      <c r="AA3004" s="202" t="str">
        <f t="shared" si="47"/>
        <v>ОКГ</v>
      </c>
    </row>
    <row r="3005" spans="1:27" ht="15" customHeight="1" x14ac:dyDescent="0.25">
      <c r="A3005" t="s">
        <v>153</v>
      </c>
      <c r="L3005"/>
      <c r="M3005"/>
      <c r="N3005"/>
      <c r="O3005"/>
      <c r="P3005"/>
      <c r="T3005">
        <v>267</v>
      </c>
      <c r="U3005" s="7">
        <v>3</v>
      </c>
      <c r="V3005" t="s">
        <v>555</v>
      </c>
      <c r="W3005" s="257" t="s">
        <v>587</v>
      </c>
      <c r="X3005" t="s">
        <v>588</v>
      </c>
      <c r="Y3005" s="316" t="s">
        <v>74</v>
      </c>
      <c r="Z3005" s="8">
        <v>0.02</v>
      </c>
      <c r="AA3005" s="202" t="str">
        <f t="shared" si="47"/>
        <v>Лавровый лист</v>
      </c>
    </row>
    <row r="3006" spans="1:27" ht="15" customHeight="1" x14ac:dyDescent="0.25">
      <c r="A3006" t="s">
        <v>153</v>
      </c>
      <c r="L3006"/>
      <c r="M3006"/>
      <c r="N3006"/>
      <c r="O3006"/>
      <c r="P3006"/>
      <c r="T3006">
        <v>268</v>
      </c>
      <c r="U3006" s="7">
        <v>3</v>
      </c>
      <c r="V3006" t="s">
        <v>555</v>
      </c>
      <c r="W3006" s="257" t="s">
        <v>587</v>
      </c>
      <c r="X3006" t="s">
        <v>588</v>
      </c>
      <c r="Y3006" s="316" t="s">
        <v>484</v>
      </c>
      <c r="Z3006" s="8">
        <v>0.05</v>
      </c>
      <c r="AA3006" s="202" t="str">
        <f t="shared" si="47"/>
        <v>Перец черный</v>
      </c>
    </row>
    <row r="3007" spans="1:27" ht="15" customHeight="1" x14ac:dyDescent="0.25">
      <c r="A3007" t="s">
        <v>153</v>
      </c>
      <c r="L3007"/>
      <c r="M3007"/>
      <c r="N3007"/>
      <c r="O3007"/>
      <c r="P3007"/>
      <c r="T3007">
        <v>257</v>
      </c>
      <c r="U3007" s="7">
        <v>3</v>
      </c>
      <c r="V3007" t="s">
        <v>555</v>
      </c>
      <c r="W3007" s="257" t="s">
        <v>1321</v>
      </c>
      <c r="X3007" t="s">
        <v>1322</v>
      </c>
      <c r="Y3007" s="316" t="s">
        <v>45</v>
      </c>
      <c r="Z3007" s="8">
        <v>155</v>
      </c>
      <c r="AA3007" s="202" t="str">
        <f t="shared" si="47"/>
        <v>Картофель</v>
      </c>
    </row>
    <row r="3008" spans="1:27" ht="15" customHeight="1" x14ac:dyDescent="0.25">
      <c r="A3008" t="s">
        <v>153</v>
      </c>
      <c r="L3008"/>
      <c r="M3008"/>
      <c r="N3008"/>
      <c r="O3008"/>
      <c r="P3008"/>
      <c r="T3008">
        <v>258</v>
      </c>
      <c r="U3008" s="7">
        <v>3</v>
      </c>
      <c r="V3008" t="s">
        <v>555</v>
      </c>
      <c r="W3008" s="257" t="s">
        <v>1321</v>
      </c>
      <c r="X3008" t="s">
        <v>1322</v>
      </c>
      <c r="Y3008" s="316" t="s">
        <v>32</v>
      </c>
      <c r="Z3008" s="8">
        <v>5</v>
      </c>
      <c r="AA3008" s="202" t="str">
        <f t="shared" si="47"/>
        <v>Лук репчатый</v>
      </c>
    </row>
    <row r="3009" spans="1:27" ht="15" customHeight="1" x14ac:dyDescent="0.25">
      <c r="A3009" t="s">
        <v>153</v>
      </c>
      <c r="L3009"/>
      <c r="M3009"/>
      <c r="N3009"/>
      <c r="O3009"/>
      <c r="P3009"/>
      <c r="T3009">
        <v>259</v>
      </c>
      <c r="U3009" s="7">
        <v>3</v>
      </c>
      <c r="V3009" t="s">
        <v>555</v>
      </c>
      <c r="W3009" s="257" t="s">
        <v>1321</v>
      </c>
      <c r="X3009" t="s">
        <v>1322</v>
      </c>
      <c r="Y3009" s="316" t="s">
        <v>46</v>
      </c>
      <c r="Z3009" s="8">
        <v>15</v>
      </c>
      <c r="AA3009" s="202" t="str">
        <f t="shared" si="47"/>
        <v>Морковь</v>
      </c>
    </row>
    <row r="3010" spans="1:27" ht="15" customHeight="1" x14ac:dyDescent="0.25">
      <c r="A3010" t="s">
        <v>153</v>
      </c>
      <c r="L3010"/>
      <c r="M3010"/>
      <c r="N3010"/>
      <c r="O3010"/>
      <c r="P3010"/>
      <c r="T3010">
        <v>260</v>
      </c>
      <c r="U3010" s="7">
        <v>3</v>
      </c>
      <c r="V3010" t="s">
        <v>555</v>
      </c>
      <c r="W3010" s="257" t="s">
        <v>1321</v>
      </c>
      <c r="X3010" t="s">
        <v>1322</v>
      </c>
      <c r="Y3010" s="316" t="s">
        <v>41</v>
      </c>
      <c r="Z3010" s="8">
        <v>25</v>
      </c>
      <c r="AA3010" s="202" t="str">
        <f t="shared" ref="AA3010:AA3073" si="48">VLOOKUP(Y3010,O:P,2,FALSE)</f>
        <v>Макаронные изделия</v>
      </c>
    </row>
    <row r="3011" spans="1:27" ht="15" customHeight="1" x14ac:dyDescent="0.25">
      <c r="A3011" t="s">
        <v>153</v>
      </c>
      <c r="L3011"/>
      <c r="M3011"/>
      <c r="N3011"/>
      <c r="O3011"/>
      <c r="P3011"/>
      <c r="T3011">
        <v>261</v>
      </c>
      <c r="U3011" s="7">
        <v>3</v>
      </c>
      <c r="V3011" t="s">
        <v>555</v>
      </c>
      <c r="W3011" s="257" t="s">
        <v>1321</v>
      </c>
      <c r="X3011" t="s">
        <v>1322</v>
      </c>
      <c r="Y3011" s="316" t="s">
        <v>61</v>
      </c>
      <c r="Z3011" s="8">
        <v>4</v>
      </c>
      <c r="AA3011" s="202" t="str">
        <f t="shared" si="48"/>
        <v>Масло растительное</v>
      </c>
    </row>
    <row r="3012" spans="1:27" ht="15" customHeight="1" x14ac:dyDescent="0.25">
      <c r="A3012" t="s">
        <v>153</v>
      </c>
      <c r="L3012"/>
      <c r="M3012"/>
      <c r="N3012"/>
      <c r="O3012"/>
      <c r="P3012"/>
      <c r="T3012">
        <v>262</v>
      </c>
      <c r="U3012" s="7">
        <v>3</v>
      </c>
      <c r="V3012" t="s">
        <v>555</v>
      </c>
      <c r="W3012" s="257" t="s">
        <v>1321</v>
      </c>
      <c r="X3012" t="s">
        <v>1322</v>
      </c>
      <c r="Y3012" s="316" t="s">
        <v>479</v>
      </c>
      <c r="Z3012" s="8">
        <v>400</v>
      </c>
      <c r="AA3012" s="202" t="str">
        <f t="shared" si="48"/>
        <v>Вода или бульон</v>
      </c>
    </row>
    <row r="3013" spans="1:27" ht="15" customHeight="1" x14ac:dyDescent="0.25">
      <c r="A3013" t="s">
        <v>153</v>
      </c>
      <c r="L3013"/>
      <c r="M3013"/>
      <c r="N3013"/>
      <c r="O3013"/>
      <c r="P3013"/>
      <c r="T3013">
        <v>263</v>
      </c>
      <c r="U3013" s="7">
        <v>3</v>
      </c>
      <c r="V3013" t="s">
        <v>555</v>
      </c>
      <c r="W3013" s="257" t="s">
        <v>1321</v>
      </c>
      <c r="X3013" t="s">
        <v>1322</v>
      </c>
      <c r="Y3013" s="316" t="s">
        <v>70</v>
      </c>
      <c r="Z3013" s="8">
        <v>5</v>
      </c>
      <c r="AA3013" s="202" t="str">
        <f t="shared" si="48"/>
        <v>Зелень</v>
      </c>
    </row>
    <row r="3014" spans="1:27" ht="15" customHeight="1" x14ac:dyDescent="0.25">
      <c r="A3014" t="s">
        <v>153</v>
      </c>
      <c r="L3014"/>
      <c r="M3014"/>
      <c r="N3014"/>
      <c r="O3014"/>
      <c r="P3014"/>
      <c r="T3014">
        <v>264</v>
      </c>
      <c r="U3014" s="7">
        <v>3</v>
      </c>
      <c r="V3014" t="s">
        <v>555</v>
      </c>
      <c r="W3014" s="257" t="s">
        <v>1321</v>
      </c>
      <c r="X3014" t="s">
        <v>1322</v>
      </c>
      <c r="Y3014" s="316" t="s">
        <v>326</v>
      </c>
      <c r="Z3014" s="8">
        <v>4</v>
      </c>
      <c r="AA3014" s="202" t="str">
        <f t="shared" si="48"/>
        <v>Соль</v>
      </c>
    </row>
    <row r="3015" spans="1:27" ht="15" customHeight="1" x14ac:dyDescent="0.25">
      <c r="A3015" t="s">
        <v>153</v>
      </c>
      <c r="L3015"/>
      <c r="M3015"/>
      <c r="N3015"/>
      <c r="O3015"/>
      <c r="P3015"/>
      <c r="T3015">
        <v>265</v>
      </c>
      <c r="U3015" s="7">
        <v>3</v>
      </c>
      <c r="V3015" t="s">
        <v>555</v>
      </c>
      <c r="W3015" s="257" t="s">
        <v>1321</v>
      </c>
      <c r="X3015" t="s">
        <v>1322</v>
      </c>
      <c r="Y3015" s="316" t="s">
        <v>558</v>
      </c>
      <c r="Z3015" s="8">
        <v>606</v>
      </c>
      <c r="AA3015" s="202" t="str">
        <f t="shared" si="48"/>
        <v>Общая масса готового блюда, г</v>
      </c>
    </row>
    <row r="3016" spans="1:27" ht="15" customHeight="1" x14ac:dyDescent="0.25">
      <c r="A3016" t="s">
        <v>153</v>
      </c>
      <c r="L3016"/>
      <c r="M3016"/>
      <c r="N3016"/>
      <c r="O3016"/>
      <c r="P3016"/>
      <c r="T3016">
        <v>266</v>
      </c>
      <c r="U3016" s="7">
        <v>3</v>
      </c>
      <c r="V3016" t="s">
        <v>555</v>
      </c>
      <c r="W3016" s="257" t="s">
        <v>1321</v>
      </c>
      <c r="X3016" t="s">
        <v>1322</v>
      </c>
      <c r="Y3016" s="316" t="s">
        <v>109</v>
      </c>
      <c r="Z3016" s="8">
        <v>303</v>
      </c>
      <c r="AA3016" s="202" t="str">
        <f t="shared" si="48"/>
        <v>ОКГ</v>
      </c>
    </row>
    <row r="3017" spans="1:27" ht="15" customHeight="1" x14ac:dyDescent="0.25">
      <c r="A3017" t="s">
        <v>153</v>
      </c>
      <c r="L3017"/>
      <c r="M3017"/>
      <c r="N3017"/>
      <c r="O3017"/>
      <c r="P3017"/>
      <c r="T3017">
        <v>267</v>
      </c>
      <c r="U3017" s="7">
        <v>3</v>
      </c>
      <c r="V3017" t="s">
        <v>555</v>
      </c>
      <c r="W3017" s="257" t="s">
        <v>1321</v>
      </c>
      <c r="X3017" t="s">
        <v>1322</v>
      </c>
      <c r="Y3017" s="316" t="s">
        <v>74</v>
      </c>
      <c r="Z3017" s="8">
        <v>0.02</v>
      </c>
      <c r="AA3017" s="202" t="str">
        <f t="shared" si="48"/>
        <v>Лавровый лист</v>
      </c>
    </row>
    <row r="3018" spans="1:27" ht="15" customHeight="1" x14ac:dyDescent="0.25">
      <c r="A3018" t="s">
        <v>153</v>
      </c>
      <c r="L3018"/>
      <c r="M3018"/>
      <c r="N3018"/>
      <c r="O3018"/>
      <c r="P3018"/>
      <c r="T3018">
        <v>268</v>
      </c>
      <c r="U3018" s="7">
        <v>3</v>
      </c>
      <c r="V3018" t="s">
        <v>555</v>
      </c>
      <c r="W3018" s="257" t="s">
        <v>1321</v>
      </c>
      <c r="X3018" t="s">
        <v>1322</v>
      </c>
      <c r="Y3018" s="316" t="s">
        <v>484</v>
      </c>
      <c r="Z3018" s="8">
        <v>0.05</v>
      </c>
      <c r="AA3018" s="202" t="str">
        <f t="shared" si="48"/>
        <v>Перец черный</v>
      </c>
    </row>
    <row r="3019" spans="1:27" ht="15" customHeight="1" x14ac:dyDescent="0.25">
      <c r="A3019" t="s">
        <v>153</v>
      </c>
      <c r="L3019"/>
      <c r="M3019"/>
      <c r="N3019"/>
      <c r="O3019"/>
      <c r="P3019"/>
      <c r="T3019">
        <v>279</v>
      </c>
      <c r="U3019" s="7">
        <v>3</v>
      </c>
      <c r="V3019" t="s">
        <v>555</v>
      </c>
      <c r="W3019" s="257" t="s">
        <v>589</v>
      </c>
      <c r="X3019" t="s">
        <v>590</v>
      </c>
      <c r="Y3019" s="316" t="s">
        <v>45</v>
      </c>
      <c r="Z3019" s="8">
        <v>150</v>
      </c>
      <c r="AA3019" s="202" t="str">
        <f t="shared" si="48"/>
        <v>Картофель</v>
      </c>
    </row>
    <row r="3020" spans="1:27" ht="15" customHeight="1" x14ac:dyDescent="0.25">
      <c r="A3020" t="s">
        <v>153</v>
      </c>
      <c r="L3020"/>
      <c r="M3020"/>
      <c r="N3020"/>
      <c r="O3020"/>
      <c r="P3020"/>
      <c r="T3020">
        <v>280</v>
      </c>
      <c r="U3020" s="7">
        <v>3</v>
      </c>
      <c r="V3020" t="s">
        <v>555</v>
      </c>
      <c r="W3020" s="257" t="s">
        <v>589</v>
      </c>
      <c r="X3020" t="s">
        <v>590</v>
      </c>
      <c r="Y3020" s="316" t="s">
        <v>433</v>
      </c>
      <c r="Z3020" s="8">
        <v>20</v>
      </c>
      <c r="AA3020" s="202" t="str">
        <f t="shared" si="48"/>
        <v>Фасоль</v>
      </c>
    </row>
    <row r="3021" spans="1:27" ht="15" customHeight="1" x14ac:dyDescent="0.25">
      <c r="A3021" t="s">
        <v>153</v>
      </c>
      <c r="L3021"/>
      <c r="M3021"/>
      <c r="N3021"/>
      <c r="O3021"/>
      <c r="P3021"/>
      <c r="T3021">
        <v>281</v>
      </c>
      <c r="U3021" s="7">
        <v>3</v>
      </c>
      <c r="V3021" t="s">
        <v>555</v>
      </c>
      <c r="W3021" s="257" t="s">
        <v>589</v>
      </c>
      <c r="X3021" t="s">
        <v>590</v>
      </c>
      <c r="Y3021" s="316" t="s">
        <v>32</v>
      </c>
      <c r="Z3021" s="8">
        <v>10</v>
      </c>
      <c r="AA3021" s="202" t="str">
        <f t="shared" si="48"/>
        <v>Лук репчатый</v>
      </c>
    </row>
    <row r="3022" spans="1:27" ht="15" customHeight="1" x14ac:dyDescent="0.25">
      <c r="A3022" t="s">
        <v>153</v>
      </c>
      <c r="L3022"/>
      <c r="M3022"/>
      <c r="N3022"/>
      <c r="O3022"/>
      <c r="P3022"/>
      <c r="T3022">
        <v>282</v>
      </c>
      <c r="U3022" s="7">
        <v>3</v>
      </c>
      <c r="V3022" t="s">
        <v>555</v>
      </c>
      <c r="W3022" s="257" t="s">
        <v>589</v>
      </c>
      <c r="X3022" t="s">
        <v>590</v>
      </c>
      <c r="Y3022" s="316" t="s">
        <v>46</v>
      </c>
      <c r="Z3022" s="8">
        <v>10</v>
      </c>
      <c r="AA3022" s="202" t="str">
        <f t="shared" si="48"/>
        <v>Морковь</v>
      </c>
    </row>
    <row r="3023" spans="1:27" ht="15" customHeight="1" x14ac:dyDescent="0.25">
      <c r="A3023" t="s">
        <v>153</v>
      </c>
      <c r="L3023"/>
      <c r="M3023"/>
      <c r="N3023"/>
      <c r="O3023"/>
      <c r="P3023"/>
      <c r="T3023">
        <v>283</v>
      </c>
      <c r="U3023" s="7">
        <v>3</v>
      </c>
      <c r="V3023" t="s">
        <v>555</v>
      </c>
      <c r="W3023" s="257" t="s">
        <v>589</v>
      </c>
      <c r="X3023" t="s">
        <v>590</v>
      </c>
      <c r="Y3023" s="316" t="s">
        <v>61</v>
      </c>
      <c r="Z3023" s="8">
        <v>4</v>
      </c>
      <c r="AA3023" s="202" t="str">
        <f t="shared" si="48"/>
        <v>Масло растительное</v>
      </c>
    </row>
    <row r="3024" spans="1:27" ht="15" customHeight="1" x14ac:dyDescent="0.25">
      <c r="A3024" t="s">
        <v>153</v>
      </c>
      <c r="L3024"/>
      <c r="M3024"/>
      <c r="N3024"/>
      <c r="O3024"/>
      <c r="P3024"/>
      <c r="T3024">
        <v>284</v>
      </c>
      <c r="U3024" s="7">
        <v>3</v>
      </c>
      <c r="V3024" t="s">
        <v>555</v>
      </c>
      <c r="W3024" s="257" t="s">
        <v>589</v>
      </c>
      <c r="X3024" t="s">
        <v>590</v>
      </c>
      <c r="Y3024" s="316" t="s">
        <v>70</v>
      </c>
      <c r="Z3024" s="8">
        <v>5</v>
      </c>
      <c r="AA3024" s="202" t="str">
        <f t="shared" si="48"/>
        <v>Зелень</v>
      </c>
    </row>
    <row r="3025" spans="1:27" ht="15" customHeight="1" x14ac:dyDescent="0.25">
      <c r="A3025" t="s">
        <v>153</v>
      </c>
      <c r="L3025"/>
      <c r="M3025"/>
      <c r="N3025"/>
      <c r="O3025"/>
      <c r="P3025"/>
      <c r="T3025">
        <v>285</v>
      </c>
      <c r="U3025" s="7">
        <v>3</v>
      </c>
      <c r="V3025" t="s">
        <v>555</v>
      </c>
      <c r="W3025" s="257" t="s">
        <v>589</v>
      </c>
      <c r="X3025" t="s">
        <v>590</v>
      </c>
      <c r="Y3025" s="316" t="s">
        <v>479</v>
      </c>
      <c r="Z3025" s="8">
        <v>400</v>
      </c>
      <c r="AA3025" s="202" t="str">
        <f t="shared" si="48"/>
        <v>Вода или бульон</v>
      </c>
    </row>
    <row r="3026" spans="1:27" ht="15" customHeight="1" x14ac:dyDescent="0.25">
      <c r="A3026" t="s">
        <v>153</v>
      </c>
      <c r="L3026"/>
      <c r="M3026"/>
      <c r="N3026"/>
      <c r="O3026"/>
      <c r="P3026"/>
      <c r="T3026">
        <v>286</v>
      </c>
      <c r="U3026" s="7">
        <v>3</v>
      </c>
      <c r="V3026" t="s">
        <v>555</v>
      </c>
      <c r="W3026" s="257" t="s">
        <v>589</v>
      </c>
      <c r="X3026" t="s">
        <v>590</v>
      </c>
      <c r="Y3026" s="316" t="s">
        <v>326</v>
      </c>
      <c r="Z3026" s="8">
        <v>4</v>
      </c>
      <c r="AA3026" s="202" t="str">
        <f t="shared" si="48"/>
        <v>Соль</v>
      </c>
    </row>
    <row r="3027" spans="1:27" ht="15" customHeight="1" x14ac:dyDescent="0.25">
      <c r="A3027" t="s">
        <v>153</v>
      </c>
      <c r="L3027"/>
      <c r="M3027"/>
      <c r="N3027"/>
      <c r="O3027"/>
      <c r="P3027"/>
      <c r="T3027">
        <v>287</v>
      </c>
      <c r="U3027" s="7">
        <v>3</v>
      </c>
      <c r="V3027" t="s">
        <v>555</v>
      </c>
      <c r="W3027" s="257" t="s">
        <v>589</v>
      </c>
      <c r="X3027" t="s">
        <v>590</v>
      </c>
      <c r="Y3027" s="316" t="s">
        <v>558</v>
      </c>
      <c r="Z3027" s="8">
        <v>500</v>
      </c>
      <c r="AA3027" s="202" t="str">
        <f t="shared" si="48"/>
        <v>Общая масса готового блюда, г</v>
      </c>
    </row>
    <row r="3028" spans="1:27" ht="15" customHeight="1" x14ac:dyDescent="0.25">
      <c r="A3028" t="s">
        <v>153</v>
      </c>
      <c r="L3028"/>
      <c r="M3028"/>
      <c r="N3028"/>
      <c r="O3028"/>
      <c r="P3028"/>
      <c r="T3028">
        <v>288</v>
      </c>
      <c r="U3028" s="7">
        <v>3</v>
      </c>
      <c r="V3028" t="s">
        <v>555</v>
      </c>
      <c r="W3028" s="257" t="s">
        <v>589</v>
      </c>
      <c r="X3028" t="s">
        <v>590</v>
      </c>
      <c r="Y3028" s="316" t="s">
        <v>109</v>
      </c>
      <c r="Z3028" s="8">
        <v>250</v>
      </c>
      <c r="AA3028" s="202" t="str">
        <f t="shared" si="48"/>
        <v>ОКГ</v>
      </c>
    </row>
    <row r="3029" spans="1:27" ht="15" customHeight="1" x14ac:dyDescent="0.25">
      <c r="A3029" t="s">
        <v>153</v>
      </c>
      <c r="L3029"/>
      <c r="M3029"/>
      <c r="N3029"/>
      <c r="O3029"/>
      <c r="P3029"/>
      <c r="T3029">
        <v>289</v>
      </c>
      <c r="U3029" s="7">
        <v>3</v>
      </c>
      <c r="V3029" t="s">
        <v>555</v>
      </c>
      <c r="W3029" s="257" t="s">
        <v>589</v>
      </c>
      <c r="X3029" t="s">
        <v>590</v>
      </c>
      <c r="Y3029" s="316" t="s">
        <v>74</v>
      </c>
      <c r="Z3029" s="8">
        <v>0.02</v>
      </c>
      <c r="AA3029" s="202" t="str">
        <f t="shared" si="48"/>
        <v>Лавровый лист</v>
      </c>
    </row>
    <row r="3030" spans="1:27" ht="15" customHeight="1" x14ac:dyDescent="0.25">
      <c r="A3030" t="s">
        <v>153</v>
      </c>
      <c r="L3030"/>
      <c r="M3030"/>
      <c r="N3030"/>
      <c r="O3030"/>
      <c r="P3030"/>
      <c r="T3030">
        <v>290</v>
      </c>
      <c r="U3030" s="7">
        <v>3</v>
      </c>
      <c r="V3030" t="s">
        <v>555</v>
      </c>
      <c r="W3030" s="257" t="s">
        <v>589</v>
      </c>
      <c r="X3030" t="s">
        <v>590</v>
      </c>
      <c r="Y3030" s="316" t="s">
        <v>484</v>
      </c>
      <c r="Z3030" s="8">
        <v>0.05</v>
      </c>
      <c r="AA3030" s="202" t="str">
        <f t="shared" si="48"/>
        <v>Перец черный</v>
      </c>
    </row>
    <row r="3031" spans="1:27" ht="15" customHeight="1" x14ac:dyDescent="0.25">
      <c r="A3031" t="s">
        <v>153</v>
      </c>
      <c r="L3031"/>
      <c r="M3031"/>
      <c r="N3031"/>
      <c r="O3031"/>
      <c r="P3031"/>
      <c r="T3031">
        <v>221</v>
      </c>
      <c r="U3031" s="7">
        <v>3</v>
      </c>
      <c r="V3031" t="s">
        <v>555</v>
      </c>
      <c r="W3031" s="257" t="s">
        <v>1323</v>
      </c>
      <c r="X3031" t="s">
        <v>1324</v>
      </c>
      <c r="Y3031" s="316" t="s">
        <v>490</v>
      </c>
      <c r="Z3031" s="8">
        <v>70</v>
      </c>
      <c r="AA3031" s="202" t="str">
        <f t="shared" si="48"/>
        <v>Капуста свежая</v>
      </c>
    </row>
    <row r="3032" spans="1:27" ht="15" customHeight="1" x14ac:dyDescent="0.25">
      <c r="A3032" t="s">
        <v>153</v>
      </c>
      <c r="L3032"/>
      <c r="M3032"/>
      <c r="N3032"/>
      <c r="O3032"/>
      <c r="P3032"/>
      <c r="T3032">
        <v>222</v>
      </c>
      <c r="U3032" s="7">
        <v>3</v>
      </c>
      <c r="V3032" t="s">
        <v>555</v>
      </c>
      <c r="W3032" s="257" t="s">
        <v>1323</v>
      </c>
      <c r="X3032" t="s">
        <v>1324</v>
      </c>
      <c r="Y3032" s="316" t="s">
        <v>45</v>
      </c>
      <c r="Z3032" s="8">
        <v>100</v>
      </c>
      <c r="AA3032" s="202" t="str">
        <f t="shared" si="48"/>
        <v>Картофель</v>
      </c>
    </row>
    <row r="3033" spans="1:27" ht="15" customHeight="1" x14ac:dyDescent="0.25">
      <c r="A3033" t="s">
        <v>153</v>
      </c>
      <c r="L3033"/>
      <c r="M3033"/>
      <c r="N3033"/>
      <c r="O3033"/>
      <c r="P3033"/>
      <c r="T3033">
        <v>223</v>
      </c>
      <c r="U3033" s="7">
        <v>3</v>
      </c>
      <c r="V3033" t="s">
        <v>555</v>
      </c>
      <c r="W3033" s="257" t="s">
        <v>1323</v>
      </c>
      <c r="X3033" t="s">
        <v>1324</v>
      </c>
      <c r="Y3033" s="316" t="s">
        <v>38</v>
      </c>
      <c r="Z3033" s="8">
        <v>20</v>
      </c>
      <c r="AA3033" s="202" t="str">
        <f t="shared" si="48"/>
        <v>Гречневая</v>
      </c>
    </row>
    <row r="3034" spans="1:27" ht="15" customHeight="1" x14ac:dyDescent="0.25">
      <c r="A3034" t="s">
        <v>153</v>
      </c>
      <c r="L3034"/>
      <c r="M3034"/>
      <c r="N3034"/>
      <c r="O3034"/>
      <c r="P3034"/>
      <c r="T3034">
        <v>224</v>
      </c>
      <c r="U3034" s="7">
        <v>3</v>
      </c>
      <c r="V3034" t="s">
        <v>555</v>
      </c>
      <c r="W3034" s="257" t="s">
        <v>1323</v>
      </c>
      <c r="X3034" t="s">
        <v>1324</v>
      </c>
      <c r="Y3034" s="316" t="s">
        <v>46</v>
      </c>
      <c r="Z3034" s="8">
        <v>20</v>
      </c>
      <c r="AA3034" s="202" t="str">
        <f t="shared" si="48"/>
        <v>Морковь</v>
      </c>
    </row>
    <row r="3035" spans="1:27" ht="15" customHeight="1" x14ac:dyDescent="0.25">
      <c r="A3035" t="s">
        <v>153</v>
      </c>
      <c r="L3035"/>
      <c r="M3035"/>
      <c r="N3035"/>
      <c r="O3035"/>
      <c r="P3035"/>
      <c r="T3035">
        <v>225</v>
      </c>
      <c r="U3035" s="7">
        <v>3</v>
      </c>
      <c r="V3035" t="s">
        <v>555</v>
      </c>
      <c r="W3035" s="257" t="s">
        <v>1323</v>
      </c>
      <c r="X3035" t="s">
        <v>1324</v>
      </c>
      <c r="Y3035" s="316" t="s">
        <v>32</v>
      </c>
      <c r="Z3035" s="8">
        <v>10</v>
      </c>
      <c r="AA3035" s="202" t="str">
        <f t="shared" si="48"/>
        <v>Лук репчатый</v>
      </c>
    </row>
    <row r="3036" spans="1:27" ht="15" customHeight="1" x14ac:dyDescent="0.25">
      <c r="A3036" t="s">
        <v>153</v>
      </c>
      <c r="L3036"/>
      <c r="M3036"/>
      <c r="N3036"/>
      <c r="O3036"/>
      <c r="P3036"/>
      <c r="T3036">
        <v>226</v>
      </c>
      <c r="U3036" s="7">
        <v>3</v>
      </c>
      <c r="V3036" t="s">
        <v>555</v>
      </c>
      <c r="W3036" s="257" t="s">
        <v>1323</v>
      </c>
      <c r="X3036" t="s">
        <v>1324</v>
      </c>
      <c r="Y3036" s="316" t="s">
        <v>61</v>
      </c>
      <c r="Z3036" s="8">
        <v>5</v>
      </c>
      <c r="AA3036" s="202" t="str">
        <f t="shared" si="48"/>
        <v>Масло растительное</v>
      </c>
    </row>
    <row r="3037" spans="1:27" ht="15" customHeight="1" x14ac:dyDescent="0.25">
      <c r="A3037" t="s">
        <v>153</v>
      </c>
      <c r="L3037"/>
      <c r="M3037"/>
      <c r="N3037"/>
      <c r="O3037"/>
      <c r="P3037"/>
      <c r="T3037">
        <v>227</v>
      </c>
      <c r="U3037" s="7">
        <v>3</v>
      </c>
      <c r="V3037" t="s">
        <v>555</v>
      </c>
      <c r="W3037" s="257" t="s">
        <v>1323</v>
      </c>
      <c r="X3037" t="s">
        <v>1324</v>
      </c>
      <c r="Y3037" s="316" t="s">
        <v>479</v>
      </c>
      <c r="Z3037" s="8">
        <v>400</v>
      </c>
      <c r="AA3037" s="202" t="str">
        <f t="shared" si="48"/>
        <v>Вода или бульон</v>
      </c>
    </row>
    <row r="3038" spans="1:27" ht="15" customHeight="1" x14ac:dyDescent="0.25">
      <c r="A3038" t="s">
        <v>153</v>
      </c>
      <c r="L3038"/>
      <c r="M3038"/>
      <c r="N3038"/>
      <c r="O3038"/>
      <c r="P3038"/>
      <c r="T3038">
        <v>228</v>
      </c>
      <c r="U3038" s="7">
        <v>3</v>
      </c>
      <c r="V3038" t="s">
        <v>555</v>
      </c>
      <c r="W3038" s="257" t="s">
        <v>1323</v>
      </c>
      <c r="X3038" t="s">
        <v>1324</v>
      </c>
      <c r="Y3038" s="316" t="s">
        <v>70</v>
      </c>
      <c r="Z3038" s="8">
        <v>5</v>
      </c>
      <c r="AA3038" s="202" t="str">
        <f t="shared" si="48"/>
        <v>Зелень</v>
      </c>
    </row>
    <row r="3039" spans="1:27" ht="15" customHeight="1" x14ac:dyDescent="0.25">
      <c r="A3039" t="s">
        <v>153</v>
      </c>
      <c r="L3039"/>
      <c r="M3039"/>
      <c r="N3039"/>
      <c r="O3039"/>
      <c r="P3039"/>
      <c r="T3039">
        <v>229</v>
      </c>
      <c r="U3039" s="7">
        <v>3</v>
      </c>
      <c r="V3039" t="s">
        <v>555</v>
      </c>
      <c r="W3039" s="257" t="s">
        <v>1323</v>
      </c>
      <c r="X3039" t="s">
        <v>1324</v>
      </c>
      <c r="Y3039" s="316" t="s">
        <v>326</v>
      </c>
      <c r="Z3039" s="8">
        <v>4</v>
      </c>
      <c r="AA3039" s="202" t="str">
        <f t="shared" si="48"/>
        <v>Соль</v>
      </c>
    </row>
    <row r="3040" spans="1:27" ht="15" customHeight="1" x14ac:dyDescent="0.25">
      <c r="A3040" t="s">
        <v>153</v>
      </c>
      <c r="L3040"/>
      <c r="M3040"/>
      <c r="N3040"/>
      <c r="O3040"/>
      <c r="P3040"/>
      <c r="T3040">
        <v>230</v>
      </c>
      <c r="U3040" s="7">
        <v>3</v>
      </c>
      <c r="V3040" t="s">
        <v>555</v>
      </c>
      <c r="W3040" s="257" t="s">
        <v>1323</v>
      </c>
      <c r="X3040" t="s">
        <v>1324</v>
      </c>
      <c r="Y3040" s="316" t="s">
        <v>558</v>
      </c>
      <c r="Z3040" s="8">
        <v>530</v>
      </c>
      <c r="AA3040" s="202" t="str">
        <f t="shared" si="48"/>
        <v>Общая масса готового блюда, г</v>
      </c>
    </row>
    <row r="3041" spans="1:27" ht="15" customHeight="1" x14ac:dyDescent="0.25">
      <c r="A3041" t="s">
        <v>153</v>
      </c>
      <c r="L3041"/>
      <c r="M3041"/>
      <c r="N3041"/>
      <c r="O3041"/>
      <c r="P3041"/>
      <c r="T3041">
        <v>231</v>
      </c>
      <c r="U3041" s="7">
        <v>3</v>
      </c>
      <c r="V3041" t="s">
        <v>555</v>
      </c>
      <c r="W3041" s="257" t="s">
        <v>1323</v>
      </c>
      <c r="X3041" t="s">
        <v>1324</v>
      </c>
      <c r="Y3041" s="316" t="s">
        <v>109</v>
      </c>
      <c r="Z3041" s="8">
        <v>265</v>
      </c>
      <c r="AA3041" s="202" t="str">
        <f t="shared" si="48"/>
        <v>ОКГ</v>
      </c>
    </row>
    <row r="3042" spans="1:27" ht="15" customHeight="1" x14ac:dyDescent="0.25">
      <c r="A3042" t="s">
        <v>153</v>
      </c>
      <c r="L3042"/>
      <c r="M3042"/>
      <c r="N3042"/>
      <c r="O3042"/>
      <c r="P3042"/>
      <c r="T3042">
        <v>232</v>
      </c>
      <c r="U3042" s="7">
        <v>3</v>
      </c>
      <c r="V3042" t="s">
        <v>555</v>
      </c>
      <c r="W3042" s="257" t="s">
        <v>1323</v>
      </c>
      <c r="X3042" t="s">
        <v>1324</v>
      </c>
      <c r="Y3042" s="316" t="s">
        <v>74</v>
      </c>
      <c r="Z3042" s="8">
        <v>0.02</v>
      </c>
      <c r="AA3042" s="202" t="str">
        <f t="shared" si="48"/>
        <v>Лавровый лист</v>
      </c>
    </row>
    <row r="3043" spans="1:27" ht="15" customHeight="1" x14ac:dyDescent="0.25">
      <c r="A3043" t="s">
        <v>153</v>
      </c>
      <c r="L3043"/>
      <c r="M3043"/>
      <c r="N3043"/>
      <c r="O3043"/>
      <c r="P3043"/>
      <c r="T3043">
        <v>233</v>
      </c>
      <c r="U3043" s="7">
        <v>3</v>
      </c>
      <c r="V3043" t="s">
        <v>555</v>
      </c>
      <c r="W3043" s="257" t="s">
        <v>1323</v>
      </c>
      <c r="X3043" t="s">
        <v>1324</v>
      </c>
      <c r="Y3043" s="316" t="s">
        <v>484</v>
      </c>
      <c r="Z3043" s="8">
        <v>0.05</v>
      </c>
      <c r="AA3043" s="202" t="str">
        <f t="shared" si="48"/>
        <v>Перец черный</v>
      </c>
    </row>
    <row r="3044" spans="1:27" ht="15" customHeight="1" x14ac:dyDescent="0.25">
      <c r="A3044" t="s">
        <v>153</v>
      </c>
      <c r="L3044"/>
      <c r="M3044"/>
      <c r="N3044"/>
      <c r="O3044"/>
      <c r="P3044"/>
      <c r="T3044">
        <v>221</v>
      </c>
      <c r="U3044" s="7">
        <v>3</v>
      </c>
      <c r="V3044" t="s">
        <v>555</v>
      </c>
      <c r="W3044" s="257" t="s">
        <v>591</v>
      </c>
      <c r="X3044" t="s">
        <v>1256</v>
      </c>
      <c r="Y3044" s="316" t="s">
        <v>490</v>
      </c>
      <c r="Z3044" s="8">
        <v>80</v>
      </c>
      <c r="AA3044" s="202" t="str">
        <f t="shared" si="48"/>
        <v>Капуста свежая</v>
      </c>
    </row>
    <row r="3045" spans="1:27" ht="15" customHeight="1" x14ac:dyDescent="0.25">
      <c r="A3045" t="s">
        <v>153</v>
      </c>
      <c r="L3045"/>
      <c r="M3045"/>
      <c r="N3045"/>
      <c r="O3045"/>
      <c r="P3045"/>
      <c r="T3045">
        <v>222</v>
      </c>
      <c r="U3045" s="7">
        <v>3</v>
      </c>
      <c r="V3045" t="s">
        <v>555</v>
      </c>
      <c r="W3045" s="257" t="s">
        <v>591</v>
      </c>
      <c r="X3045" t="s">
        <v>1256</v>
      </c>
      <c r="Y3045" s="316" t="s">
        <v>45</v>
      </c>
      <c r="Z3045" s="8">
        <v>70</v>
      </c>
      <c r="AA3045" s="202" t="str">
        <f t="shared" si="48"/>
        <v>Картофель</v>
      </c>
    </row>
    <row r="3046" spans="1:27" ht="15" customHeight="1" x14ac:dyDescent="0.25">
      <c r="A3046" t="s">
        <v>153</v>
      </c>
      <c r="L3046"/>
      <c r="M3046"/>
      <c r="N3046"/>
      <c r="O3046"/>
      <c r="P3046"/>
      <c r="T3046">
        <v>223</v>
      </c>
      <c r="U3046" s="7">
        <v>3</v>
      </c>
      <c r="V3046" t="s">
        <v>555</v>
      </c>
      <c r="W3046" s="257" t="s">
        <v>591</v>
      </c>
      <c r="X3046" t="s">
        <v>1256</v>
      </c>
      <c r="Y3046" s="316" t="s">
        <v>208</v>
      </c>
      <c r="Z3046" s="8">
        <v>15</v>
      </c>
      <c r="AA3046" s="202" t="str">
        <f t="shared" si="48"/>
        <v>Перловая</v>
      </c>
    </row>
    <row r="3047" spans="1:27" ht="15" customHeight="1" x14ac:dyDescent="0.25">
      <c r="A3047" t="s">
        <v>153</v>
      </c>
      <c r="L3047"/>
      <c r="M3047"/>
      <c r="N3047"/>
      <c r="O3047"/>
      <c r="P3047"/>
      <c r="T3047">
        <v>224</v>
      </c>
      <c r="U3047" s="7">
        <v>3</v>
      </c>
      <c r="V3047" t="s">
        <v>555</v>
      </c>
      <c r="W3047" s="257" t="s">
        <v>591</v>
      </c>
      <c r="X3047" t="s">
        <v>1256</v>
      </c>
      <c r="Y3047" s="316" t="s">
        <v>46</v>
      </c>
      <c r="Z3047" s="8">
        <v>10</v>
      </c>
      <c r="AA3047" s="202" t="str">
        <f t="shared" si="48"/>
        <v>Морковь</v>
      </c>
    </row>
    <row r="3048" spans="1:27" ht="15" customHeight="1" x14ac:dyDescent="0.25">
      <c r="A3048" t="s">
        <v>153</v>
      </c>
      <c r="L3048"/>
      <c r="M3048"/>
      <c r="N3048"/>
      <c r="O3048"/>
      <c r="P3048"/>
      <c r="T3048">
        <v>225</v>
      </c>
      <c r="U3048" s="7">
        <v>3</v>
      </c>
      <c r="V3048" t="s">
        <v>555</v>
      </c>
      <c r="W3048" s="257" t="s">
        <v>591</v>
      </c>
      <c r="X3048" t="s">
        <v>1256</v>
      </c>
      <c r="Y3048" s="316" t="s">
        <v>32</v>
      </c>
      <c r="Z3048" s="8">
        <v>10</v>
      </c>
      <c r="AA3048" s="202" t="str">
        <f t="shared" si="48"/>
        <v>Лук репчатый</v>
      </c>
    </row>
    <row r="3049" spans="1:27" ht="15" customHeight="1" x14ac:dyDescent="0.25">
      <c r="A3049" t="s">
        <v>153</v>
      </c>
      <c r="L3049"/>
      <c r="M3049"/>
      <c r="N3049"/>
      <c r="O3049"/>
      <c r="P3049"/>
      <c r="T3049">
        <v>226</v>
      </c>
      <c r="U3049" s="7">
        <v>3</v>
      </c>
      <c r="V3049" t="s">
        <v>555</v>
      </c>
      <c r="W3049" s="257" t="s">
        <v>591</v>
      </c>
      <c r="X3049" t="s">
        <v>1256</v>
      </c>
      <c r="Y3049" s="316" t="s">
        <v>61</v>
      </c>
      <c r="Z3049" s="8">
        <v>5</v>
      </c>
      <c r="AA3049" s="202" t="str">
        <f t="shared" si="48"/>
        <v>Масло растительное</v>
      </c>
    </row>
    <row r="3050" spans="1:27" ht="15" customHeight="1" x14ac:dyDescent="0.25">
      <c r="A3050" t="s">
        <v>153</v>
      </c>
      <c r="L3050"/>
      <c r="M3050"/>
      <c r="N3050"/>
      <c r="O3050"/>
      <c r="P3050"/>
      <c r="T3050">
        <v>227</v>
      </c>
      <c r="U3050" s="7">
        <v>3</v>
      </c>
      <c r="V3050" t="s">
        <v>555</v>
      </c>
      <c r="W3050" s="257" t="s">
        <v>591</v>
      </c>
      <c r="X3050" t="s">
        <v>1256</v>
      </c>
      <c r="Y3050" s="316" t="s">
        <v>479</v>
      </c>
      <c r="Z3050" s="8">
        <v>400</v>
      </c>
      <c r="AA3050" s="202" t="str">
        <f t="shared" si="48"/>
        <v>Вода или бульон</v>
      </c>
    </row>
    <row r="3051" spans="1:27" ht="15" customHeight="1" x14ac:dyDescent="0.25">
      <c r="A3051" t="s">
        <v>153</v>
      </c>
      <c r="L3051"/>
      <c r="M3051"/>
      <c r="N3051"/>
      <c r="O3051"/>
      <c r="P3051"/>
      <c r="T3051">
        <v>228</v>
      </c>
      <c r="U3051" s="7">
        <v>3</v>
      </c>
      <c r="V3051" t="s">
        <v>555</v>
      </c>
      <c r="W3051" s="257" t="s">
        <v>591</v>
      </c>
      <c r="X3051" t="s">
        <v>1256</v>
      </c>
      <c r="Y3051" s="316" t="s">
        <v>70</v>
      </c>
      <c r="Z3051" s="8">
        <v>5</v>
      </c>
      <c r="AA3051" s="202" t="str">
        <f t="shared" si="48"/>
        <v>Зелень</v>
      </c>
    </row>
    <row r="3052" spans="1:27" ht="15" customHeight="1" x14ac:dyDescent="0.25">
      <c r="A3052" t="s">
        <v>153</v>
      </c>
      <c r="L3052"/>
      <c r="M3052"/>
      <c r="N3052"/>
      <c r="O3052"/>
      <c r="P3052"/>
      <c r="T3052">
        <v>229</v>
      </c>
      <c r="U3052" s="7">
        <v>3</v>
      </c>
      <c r="V3052" t="s">
        <v>555</v>
      </c>
      <c r="W3052" s="257" t="s">
        <v>591</v>
      </c>
      <c r="X3052" t="s">
        <v>1256</v>
      </c>
      <c r="Y3052" s="316" t="s">
        <v>326</v>
      </c>
      <c r="Z3052" s="8">
        <v>4</v>
      </c>
      <c r="AA3052" s="202" t="str">
        <f t="shared" si="48"/>
        <v>Соль</v>
      </c>
    </row>
    <row r="3053" spans="1:27" ht="15" customHeight="1" x14ac:dyDescent="0.25">
      <c r="A3053" t="s">
        <v>153</v>
      </c>
      <c r="L3053"/>
      <c r="M3053"/>
      <c r="N3053"/>
      <c r="O3053"/>
      <c r="P3053"/>
      <c r="T3053">
        <v>230</v>
      </c>
      <c r="U3053" s="7">
        <v>3</v>
      </c>
      <c r="V3053" t="s">
        <v>555</v>
      </c>
      <c r="W3053" s="257" t="s">
        <v>591</v>
      </c>
      <c r="X3053" t="s">
        <v>1256</v>
      </c>
      <c r="Y3053" s="316" t="s">
        <v>558</v>
      </c>
      <c r="Z3053" s="8">
        <v>500</v>
      </c>
      <c r="AA3053" s="202" t="str">
        <f t="shared" si="48"/>
        <v>Общая масса готового блюда, г</v>
      </c>
    </row>
    <row r="3054" spans="1:27" ht="15" customHeight="1" x14ac:dyDescent="0.25">
      <c r="A3054" t="s">
        <v>153</v>
      </c>
      <c r="L3054"/>
      <c r="M3054"/>
      <c r="N3054"/>
      <c r="O3054"/>
      <c r="P3054"/>
      <c r="T3054">
        <v>231</v>
      </c>
      <c r="U3054" s="7">
        <v>3</v>
      </c>
      <c r="V3054" t="s">
        <v>555</v>
      </c>
      <c r="W3054" s="257" t="s">
        <v>591</v>
      </c>
      <c r="X3054" t="s">
        <v>1256</v>
      </c>
      <c r="Y3054" s="316" t="s">
        <v>109</v>
      </c>
      <c r="Z3054" s="8">
        <v>250</v>
      </c>
      <c r="AA3054" s="202" t="str">
        <f t="shared" si="48"/>
        <v>ОКГ</v>
      </c>
    </row>
    <row r="3055" spans="1:27" ht="15" customHeight="1" x14ac:dyDescent="0.25">
      <c r="A3055" t="s">
        <v>153</v>
      </c>
      <c r="L3055"/>
      <c r="M3055"/>
      <c r="N3055"/>
      <c r="O3055"/>
      <c r="P3055"/>
      <c r="T3055">
        <v>232</v>
      </c>
      <c r="U3055" s="7">
        <v>3</v>
      </c>
      <c r="V3055" t="s">
        <v>555</v>
      </c>
      <c r="W3055" s="257" t="s">
        <v>591</v>
      </c>
      <c r="X3055" t="s">
        <v>1256</v>
      </c>
      <c r="Y3055" s="316" t="s">
        <v>74</v>
      </c>
      <c r="Z3055" s="8">
        <v>0.02</v>
      </c>
      <c r="AA3055" s="202" t="str">
        <f t="shared" si="48"/>
        <v>Лавровый лист</v>
      </c>
    </row>
    <row r="3056" spans="1:27" ht="15" customHeight="1" x14ac:dyDescent="0.25">
      <c r="A3056" t="s">
        <v>153</v>
      </c>
      <c r="L3056"/>
      <c r="M3056"/>
      <c r="N3056"/>
      <c r="O3056"/>
      <c r="P3056"/>
      <c r="T3056">
        <v>233</v>
      </c>
      <c r="U3056" s="7">
        <v>3</v>
      </c>
      <c r="V3056" t="s">
        <v>555</v>
      </c>
      <c r="W3056" s="257" t="s">
        <v>591</v>
      </c>
      <c r="X3056" t="s">
        <v>1256</v>
      </c>
      <c r="Y3056" s="316" t="s">
        <v>484</v>
      </c>
      <c r="Z3056" s="8">
        <v>0.05</v>
      </c>
      <c r="AA3056" s="202" t="str">
        <f t="shared" si="48"/>
        <v>Перец черный</v>
      </c>
    </row>
    <row r="3057" spans="1:27" ht="15" customHeight="1" x14ac:dyDescent="0.25">
      <c r="A3057" t="s">
        <v>153</v>
      </c>
      <c r="L3057"/>
      <c r="M3057"/>
      <c r="N3057"/>
      <c r="O3057"/>
      <c r="P3057"/>
      <c r="T3057">
        <v>221</v>
      </c>
      <c r="U3057" s="7">
        <v>3</v>
      </c>
      <c r="V3057" t="s">
        <v>555</v>
      </c>
      <c r="W3057" s="257" t="s">
        <v>591</v>
      </c>
      <c r="X3057" t="s">
        <v>1257</v>
      </c>
      <c r="Y3057" s="316" t="s">
        <v>490</v>
      </c>
      <c r="Z3057" s="8">
        <v>80</v>
      </c>
      <c r="AA3057" s="202" t="str">
        <f t="shared" si="48"/>
        <v>Капуста свежая</v>
      </c>
    </row>
    <row r="3058" spans="1:27" ht="15" customHeight="1" x14ac:dyDescent="0.25">
      <c r="A3058" t="s">
        <v>153</v>
      </c>
      <c r="L3058"/>
      <c r="M3058"/>
      <c r="N3058"/>
      <c r="O3058"/>
      <c r="P3058"/>
      <c r="T3058">
        <v>222</v>
      </c>
      <c r="U3058" s="7">
        <v>3</v>
      </c>
      <c r="V3058" t="s">
        <v>555</v>
      </c>
      <c r="W3058" s="257" t="s">
        <v>591</v>
      </c>
      <c r="X3058" t="s">
        <v>1257</v>
      </c>
      <c r="Y3058" s="316" t="s">
        <v>45</v>
      </c>
      <c r="Z3058" s="8">
        <v>70</v>
      </c>
      <c r="AA3058" s="202" t="str">
        <f t="shared" si="48"/>
        <v>Картофель</v>
      </c>
    </row>
    <row r="3059" spans="1:27" ht="15" customHeight="1" x14ac:dyDescent="0.25">
      <c r="A3059" t="s">
        <v>153</v>
      </c>
      <c r="L3059"/>
      <c r="M3059"/>
      <c r="N3059"/>
      <c r="O3059"/>
      <c r="P3059"/>
      <c r="T3059">
        <v>223</v>
      </c>
      <c r="U3059" s="7">
        <v>3</v>
      </c>
      <c r="V3059" t="s">
        <v>555</v>
      </c>
      <c r="W3059" s="257" t="s">
        <v>591</v>
      </c>
      <c r="X3059" t="s">
        <v>1257</v>
      </c>
      <c r="Y3059" s="316" t="s">
        <v>33</v>
      </c>
      <c r="Z3059" s="8">
        <v>15</v>
      </c>
      <c r="AA3059" s="202" t="str">
        <f t="shared" si="48"/>
        <v>Пшено</v>
      </c>
    </row>
    <row r="3060" spans="1:27" ht="15" customHeight="1" x14ac:dyDescent="0.25">
      <c r="A3060" t="s">
        <v>153</v>
      </c>
      <c r="L3060"/>
      <c r="M3060"/>
      <c r="N3060"/>
      <c r="O3060"/>
      <c r="P3060"/>
      <c r="T3060">
        <v>224</v>
      </c>
      <c r="U3060" s="7">
        <v>3</v>
      </c>
      <c r="V3060" t="s">
        <v>555</v>
      </c>
      <c r="W3060" s="257" t="s">
        <v>591</v>
      </c>
      <c r="X3060" t="s">
        <v>1257</v>
      </c>
      <c r="Y3060" s="316" t="s">
        <v>46</v>
      </c>
      <c r="Z3060" s="8">
        <v>10</v>
      </c>
      <c r="AA3060" s="202" t="str">
        <f t="shared" si="48"/>
        <v>Морковь</v>
      </c>
    </row>
    <row r="3061" spans="1:27" ht="15" customHeight="1" x14ac:dyDescent="0.25">
      <c r="A3061" t="s">
        <v>153</v>
      </c>
      <c r="L3061"/>
      <c r="M3061"/>
      <c r="N3061"/>
      <c r="O3061"/>
      <c r="P3061"/>
      <c r="T3061">
        <v>225</v>
      </c>
      <c r="U3061" s="7">
        <v>3</v>
      </c>
      <c r="V3061" t="s">
        <v>555</v>
      </c>
      <c r="W3061" s="257" t="s">
        <v>591</v>
      </c>
      <c r="X3061" t="s">
        <v>1257</v>
      </c>
      <c r="Y3061" s="316" t="s">
        <v>32</v>
      </c>
      <c r="Z3061" s="8">
        <v>10</v>
      </c>
      <c r="AA3061" s="202" t="str">
        <f t="shared" si="48"/>
        <v>Лук репчатый</v>
      </c>
    </row>
    <row r="3062" spans="1:27" ht="15" customHeight="1" x14ac:dyDescent="0.25">
      <c r="A3062" t="s">
        <v>153</v>
      </c>
      <c r="L3062"/>
      <c r="M3062"/>
      <c r="N3062"/>
      <c r="O3062"/>
      <c r="P3062"/>
      <c r="T3062">
        <v>226</v>
      </c>
      <c r="U3062" s="7">
        <v>3</v>
      </c>
      <c r="V3062" t="s">
        <v>555</v>
      </c>
      <c r="W3062" s="257" t="s">
        <v>591</v>
      </c>
      <c r="X3062" t="s">
        <v>1257</v>
      </c>
      <c r="Y3062" s="316" t="s">
        <v>61</v>
      </c>
      <c r="Z3062" s="8">
        <v>5</v>
      </c>
      <c r="AA3062" s="202" t="str">
        <f t="shared" si="48"/>
        <v>Масло растительное</v>
      </c>
    </row>
    <row r="3063" spans="1:27" ht="15" customHeight="1" x14ac:dyDescent="0.25">
      <c r="A3063" t="s">
        <v>153</v>
      </c>
      <c r="L3063"/>
      <c r="M3063"/>
      <c r="N3063"/>
      <c r="O3063"/>
      <c r="P3063"/>
      <c r="T3063">
        <v>227</v>
      </c>
      <c r="U3063" s="7">
        <v>3</v>
      </c>
      <c r="V3063" t="s">
        <v>555</v>
      </c>
      <c r="W3063" s="257" t="s">
        <v>591</v>
      </c>
      <c r="X3063" t="s">
        <v>1257</v>
      </c>
      <c r="Y3063" s="316" t="s">
        <v>479</v>
      </c>
      <c r="Z3063" s="8">
        <v>400</v>
      </c>
      <c r="AA3063" s="202" t="str">
        <f t="shared" si="48"/>
        <v>Вода или бульон</v>
      </c>
    </row>
    <row r="3064" spans="1:27" ht="15" customHeight="1" x14ac:dyDescent="0.25">
      <c r="A3064" t="s">
        <v>153</v>
      </c>
      <c r="L3064"/>
      <c r="M3064"/>
      <c r="N3064"/>
      <c r="O3064"/>
      <c r="P3064"/>
      <c r="T3064">
        <v>228</v>
      </c>
      <c r="U3064" s="7">
        <v>3</v>
      </c>
      <c r="V3064" t="s">
        <v>555</v>
      </c>
      <c r="W3064" s="257" t="s">
        <v>591</v>
      </c>
      <c r="X3064" t="s">
        <v>1257</v>
      </c>
      <c r="Y3064" s="316" t="s">
        <v>70</v>
      </c>
      <c r="Z3064" s="8">
        <v>5</v>
      </c>
      <c r="AA3064" s="202" t="str">
        <f t="shared" si="48"/>
        <v>Зелень</v>
      </c>
    </row>
    <row r="3065" spans="1:27" ht="15" customHeight="1" x14ac:dyDescent="0.25">
      <c r="A3065" t="s">
        <v>153</v>
      </c>
      <c r="L3065"/>
      <c r="M3065"/>
      <c r="N3065"/>
      <c r="O3065"/>
      <c r="P3065"/>
      <c r="T3065">
        <v>229</v>
      </c>
      <c r="U3065" s="7">
        <v>3</v>
      </c>
      <c r="V3065" t="s">
        <v>555</v>
      </c>
      <c r="W3065" s="257" t="s">
        <v>591</v>
      </c>
      <c r="X3065" t="s">
        <v>1257</v>
      </c>
      <c r="Y3065" s="316" t="s">
        <v>326</v>
      </c>
      <c r="Z3065" s="8">
        <v>4</v>
      </c>
      <c r="AA3065" s="202" t="str">
        <f t="shared" si="48"/>
        <v>Соль</v>
      </c>
    </row>
    <row r="3066" spans="1:27" x14ac:dyDescent="0.25">
      <c r="A3066" t="s">
        <v>153</v>
      </c>
      <c r="L3066"/>
      <c r="M3066"/>
      <c r="N3066"/>
      <c r="O3066"/>
      <c r="P3066"/>
      <c r="T3066">
        <v>230</v>
      </c>
      <c r="U3066" s="7">
        <v>3</v>
      </c>
      <c r="V3066" t="s">
        <v>555</v>
      </c>
      <c r="W3066" s="257" t="s">
        <v>591</v>
      </c>
      <c r="X3066" t="s">
        <v>1257</v>
      </c>
      <c r="Y3066" s="316" t="s">
        <v>558</v>
      </c>
      <c r="Z3066" s="8">
        <v>500</v>
      </c>
      <c r="AA3066" s="202" t="str">
        <f t="shared" si="48"/>
        <v>Общая масса готового блюда, г</v>
      </c>
    </row>
    <row r="3067" spans="1:27" ht="15" customHeight="1" x14ac:dyDescent="0.25">
      <c r="A3067" t="s">
        <v>153</v>
      </c>
      <c r="L3067"/>
      <c r="M3067"/>
      <c r="N3067"/>
      <c r="O3067"/>
      <c r="P3067"/>
      <c r="T3067">
        <v>231</v>
      </c>
      <c r="U3067" s="7">
        <v>3</v>
      </c>
      <c r="V3067" t="s">
        <v>555</v>
      </c>
      <c r="W3067" s="257" t="s">
        <v>591</v>
      </c>
      <c r="X3067" t="s">
        <v>1257</v>
      </c>
      <c r="Y3067" s="316" t="s">
        <v>109</v>
      </c>
      <c r="Z3067" s="8">
        <v>250</v>
      </c>
      <c r="AA3067" s="202" t="str">
        <f t="shared" si="48"/>
        <v>ОКГ</v>
      </c>
    </row>
    <row r="3068" spans="1:27" ht="15" customHeight="1" x14ac:dyDescent="0.25">
      <c r="A3068" t="s">
        <v>153</v>
      </c>
      <c r="L3068"/>
      <c r="M3068"/>
      <c r="N3068"/>
      <c r="O3068"/>
      <c r="P3068"/>
      <c r="T3068">
        <v>232</v>
      </c>
      <c r="U3068" s="7">
        <v>3</v>
      </c>
      <c r="V3068" t="s">
        <v>555</v>
      </c>
      <c r="W3068" s="257" t="s">
        <v>591</v>
      </c>
      <c r="X3068" t="s">
        <v>1257</v>
      </c>
      <c r="Y3068" s="316" t="s">
        <v>74</v>
      </c>
      <c r="Z3068" s="8">
        <v>0.02</v>
      </c>
      <c r="AA3068" s="202" t="str">
        <f t="shared" si="48"/>
        <v>Лавровый лист</v>
      </c>
    </row>
    <row r="3069" spans="1:27" ht="15" customHeight="1" x14ac:dyDescent="0.25">
      <c r="A3069" t="s">
        <v>153</v>
      </c>
      <c r="L3069"/>
      <c r="M3069"/>
      <c r="N3069"/>
      <c r="O3069"/>
      <c r="P3069"/>
      <c r="T3069">
        <v>233</v>
      </c>
      <c r="U3069" s="7">
        <v>3</v>
      </c>
      <c r="V3069" t="s">
        <v>555</v>
      </c>
      <c r="W3069" s="257" t="s">
        <v>591</v>
      </c>
      <c r="X3069" t="s">
        <v>1257</v>
      </c>
      <c r="Y3069" s="316" t="s">
        <v>484</v>
      </c>
      <c r="Z3069" s="8">
        <v>0.05</v>
      </c>
      <c r="AA3069" s="202" t="str">
        <f t="shared" si="48"/>
        <v>Перец черный</v>
      </c>
    </row>
    <row r="3070" spans="1:27" ht="15" customHeight="1" x14ac:dyDescent="0.25">
      <c r="A3070" t="s">
        <v>153</v>
      </c>
      <c r="L3070"/>
      <c r="M3070"/>
      <c r="N3070"/>
      <c r="O3070"/>
      <c r="P3070"/>
      <c r="T3070">
        <v>426</v>
      </c>
      <c r="U3070" s="7">
        <v>3</v>
      </c>
      <c r="V3070" t="s">
        <v>555</v>
      </c>
      <c r="W3070" s="257" t="s">
        <v>594</v>
      </c>
      <c r="X3070" t="s">
        <v>595</v>
      </c>
      <c r="Y3070" s="316" t="s">
        <v>453</v>
      </c>
      <c r="Z3070" s="8">
        <v>200</v>
      </c>
      <c r="AA3070" s="202" t="str">
        <f t="shared" si="48"/>
        <v>Молоко коровье</v>
      </c>
    </row>
    <row r="3071" spans="1:27" ht="15" customHeight="1" x14ac:dyDescent="0.25">
      <c r="A3071" t="s">
        <v>153</v>
      </c>
      <c r="L3071"/>
      <c r="M3071"/>
      <c r="N3071"/>
      <c r="O3071"/>
      <c r="P3071"/>
      <c r="T3071">
        <v>427</v>
      </c>
      <c r="U3071" s="7">
        <v>3</v>
      </c>
      <c r="V3071" t="s">
        <v>555</v>
      </c>
      <c r="W3071" s="257" t="s">
        <v>594</v>
      </c>
      <c r="X3071" t="s">
        <v>595</v>
      </c>
      <c r="Y3071" s="316" t="s">
        <v>330</v>
      </c>
      <c r="Z3071" s="8">
        <v>280</v>
      </c>
      <c r="AA3071" s="202" t="str">
        <f t="shared" si="48"/>
        <v>Вода</v>
      </c>
    </row>
    <row r="3072" spans="1:27" ht="15" customHeight="1" x14ac:dyDescent="0.25">
      <c r="A3072" t="s">
        <v>153</v>
      </c>
      <c r="L3072"/>
      <c r="M3072"/>
      <c r="N3072"/>
      <c r="O3072"/>
      <c r="P3072"/>
      <c r="T3072">
        <v>428</v>
      </c>
      <c r="U3072" s="7">
        <v>3</v>
      </c>
      <c r="V3072" t="s">
        <v>555</v>
      </c>
      <c r="W3072" s="257" t="s">
        <v>594</v>
      </c>
      <c r="X3072" t="s">
        <v>595</v>
      </c>
      <c r="Y3072" s="316" t="s">
        <v>41</v>
      </c>
      <c r="Z3072" s="8">
        <v>40</v>
      </c>
      <c r="AA3072" s="202" t="str">
        <f t="shared" si="48"/>
        <v>Макаронные изделия</v>
      </c>
    </row>
    <row r="3073" spans="1:27" ht="15" customHeight="1" x14ac:dyDescent="0.25">
      <c r="A3073" t="s">
        <v>153</v>
      </c>
      <c r="L3073"/>
      <c r="M3073"/>
      <c r="N3073"/>
      <c r="O3073"/>
      <c r="P3073"/>
      <c r="T3073">
        <v>429</v>
      </c>
      <c r="U3073" s="7">
        <v>3</v>
      </c>
      <c r="V3073" t="s">
        <v>555</v>
      </c>
      <c r="W3073" s="257" t="s">
        <v>594</v>
      </c>
      <c r="X3073" t="s">
        <v>595</v>
      </c>
      <c r="Y3073" s="316" t="s">
        <v>452</v>
      </c>
      <c r="Z3073" s="8">
        <v>5</v>
      </c>
      <c r="AA3073" s="202" t="str">
        <f t="shared" si="48"/>
        <v>Масло коровье</v>
      </c>
    </row>
    <row r="3074" spans="1:27" x14ac:dyDescent="0.25">
      <c r="A3074" t="s">
        <v>153</v>
      </c>
      <c r="L3074"/>
      <c r="M3074"/>
      <c r="N3074"/>
      <c r="O3074"/>
      <c r="P3074"/>
      <c r="T3074">
        <v>430</v>
      </c>
      <c r="U3074" s="7">
        <v>3</v>
      </c>
      <c r="V3074" t="s">
        <v>555</v>
      </c>
      <c r="W3074" s="257" t="s">
        <v>594</v>
      </c>
      <c r="X3074" t="s">
        <v>595</v>
      </c>
      <c r="Y3074" s="316" t="s">
        <v>53</v>
      </c>
      <c r="Z3074" s="8">
        <v>5</v>
      </c>
      <c r="AA3074" s="202" t="str">
        <f t="shared" ref="AA3074:AA3137" si="49">VLOOKUP(Y3074,O:P,2,FALSE)</f>
        <v>Сахар</v>
      </c>
    </row>
    <row r="3075" spans="1:27" ht="15" customHeight="1" x14ac:dyDescent="0.25">
      <c r="A3075" t="s">
        <v>153</v>
      </c>
      <c r="L3075"/>
      <c r="M3075"/>
      <c r="N3075"/>
      <c r="O3075"/>
      <c r="P3075"/>
      <c r="T3075">
        <v>431</v>
      </c>
      <c r="U3075" s="7">
        <v>3</v>
      </c>
      <c r="V3075" t="s">
        <v>555</v>
      </c>
      <c r="W3075" s="257" t="s">
        <v>594</v>
      </c>
      <c r="X3075" t="s">
        <v>595</v>
      </c>
      <c r="Y3075" s="316" t="s">
        <v>326</v>
      </c>
      <c r="Z3075" s="8">
        <v>2</v>
      </c>
      <c r="AA3075" s="202" t="str">
        <f t="shared" si="49"/>
        <v>Соль</v>
      </c>
    </row>
    <row r="3076" spans="1:27" ht="15" customHeight="1" x14ac:dyDescent="0.25">
      <c r="A3076" t="s">
        <v>153</v>
      </c>
      <c r="L3076"/>
      <c r="M3076"/>
      <c r="N3076"/>
      <c r="O3076"/>
      <c r="P3076"/>
      <c r="T3076">
        <v>432</v>
      </c>
      <c r="U3076" s="7">
        <v>3</v>
      </c>
      <c r="V3076" t="s">
        <v>555</v>
      </c>
      <c r="W3076" s="257" t="s">
        <v>594</v>
      </c>
      <c r="X3076" t="s">
        <v>595</v>
      </c>
      <c r="Y3076" s="316" t="s">
        <v>558</v>
      </c>
      <c r="Z3076" s="8">
        <v>500</v>
      </c>
      <c r="AA3076" s="202" t="str">
        <f t="shared" si="49"/>
        <v>Общая масса готового блюда, г</v>
      </c>
    </row>
    <row r="3077" spans="1:27" ht="15" customHeight="1" x14ac:dyDescent="0.25">
      <c r="A3077" t="s">
        <v>153</v>
      </c>
      <c r="L3077"/>
      <c r="M3077"/>
      <c r="N3077"/>
      <c r="O3077"/>
      <c r="P3077"/>
      <c r="T3077">
        <v>433</v>
      </c>
      <c r="U3077" s="7">
        <v>3</v>
      </c>
      <c r="V3077" t="s">
        <v>555</v>
      </c>
      <c r="W3077" s="257" t="s">
        <v>594</v>
      </c>
      <c r="X3077" t="s">
        <v>595</v>
      </c>
      <c r="Y3077" s="316" t="s">
        <v>109</v>
      </c>
      <c r="Z3077" s="8">
        <v>200</v>
      </c>
      <c r="AA3077" s="202" t="str">
        <f t="shared" si="49"/>
        <v>ОКГ</v>
      </c>
    </row>
    <row r="3078" spans="1:27" ht="15" customHeight="1" x14ac:dyDescent="0.25">
      <c r="A3078" t="s">
        <v>153</v>
      </c>
      <c r="L3078"/>
      <c r="M3078"/>
      <c r="N3078"/>
      <c r="O3078"/>
      <c r="P3078"/>
      <c r="T3078">
        <v>434</v>
      </c>
      <c r="U3078" s="7">
        <v>3</v>
      </c>
      <c r="V3078" t="s">
        <v>555</v>
      </c>
      <c r="W3078" s="257" t="s">
        <v>592</v>
      </c>
      <c r="X3078" t="s">
        <v>1265</v>
      </c>
      <c r="Y3078" s="316" t="s">
        <v>453</v>
      </c>
      <c r="Z3078" s="8">
        <v>200</v>
      </c>
      <c r="AA3078" s="202" t="str">
        <f t="shared" si="49"/>
        <v>Молоко коровье</v>
      </c>
    </row>
    <row r="3079" spans="1:27" ht="15" customHeight="1" x14ac:dyDescent="0.25">
      <c r="A3079" t="s">
        <v>153</v>
      </c>
      <c r="L3079"/>
      <c r="M3079"/>
      <c r="N3079"/>
      <c r="O3079"/>
      <c r="P3079"/>
      <c r="T3079">
        <v>435</v>
      </c>
      <c r="U3079" s="7">
        <v>3</v>
      </c>
      <c r="V3079" t="s">
        <v>555</v>
      </c>
      <c r="W3079" s="257" t="s">
        <v>592</v>
      </c>
      <c r="X3079" t="s">
        <v>1265</v>
      </c>
      <c r="Y3079" s="316" t="s">
        <v>33</v>
      </c>
      <c r="Z3079" s="8">
        <v>40</v>
      </c>
      <c r="AA3079" s="202" t="str">
        <f t="shared" si="49"/>
        <v>Пшено</v>
      </c>
    </row>
    <row r="3080" spans="1:27" ht="15" customHeight="1" x14ac:dyDescent="0.25">
      <c r="A3080" t="s">
        <v>153</v>
      </c>
      <c r="L3080"/>
      <c r="M3080"/>
      <c r="N3080"/>
      <c r="O3080"/>
      <c r="P3080"/>
      <c r="T3080">
        <v>436</v>
      </c>
      <c r="U3080" s="7">
        <v>3</v>
      </c>
      <c r="V3080" t="s">
        <v>555</v>
      </c>
      <c r="W3080" s="257" t="s">
        <v>592</v>
      </c>
      <c r="X3080" t="s">
        <v>1265</v>
      </c>
      <c r="Y3080" s="316" t="s">
        <v>452</v>
      </c>
      <c r="Z3080" s="8">
        <v>5</v>
      </c>
      <c r="AA3080" s="202" t="str">
        <f t="shared" si="49"/>
        <v>Масло коровье</v>
      </c>
    </row>
    <row r="3081" spans="1:27" x14ac:dyDescent="0.25">
      <c r="A3081" t="s">
        <v>153</v>
      </c>
      <c r="L3081"/>
      <c r="M3081"/>
      <c r="N3081"/>
      <c r="O3081"/>
      <c r="P3081"/>
      <c r="T3081">
        <v>437</v>
      </c>
      <c r="U3081" s="7">
        <v>3</v>
      </c>
      <c r="V3081" t="s">
        <v>555</v>
      </c>
      <c r="W3081" s="257" t="s">
        <v>592</v>
      </c>
      <c r="X3081" t="s">
        <v>1265</v>
      </c>
      <c r="Y3081" s="316" t="s">
        <v>53</v>
      </c>
      <c r="Z3081" s="8">
        <v>5</v>
      </c>
      <c r="AA3081" s="202" t="str">
        <f t="shared" si="49"/>
        <v>Сахар</v>
      </c>
    </row>
    <row r="3082" spans="1:27" ht="15" customHeight="1" x14ac:dyDescent="0.25">
      <c r="A3082" t="s">
        <v>153</v>
      </c>
      <c r="L3082"/>
      <c r="M3082"/>
      <c r="N3082"/>
      <c r="O3082"/>
      <c r="P3082"/>
      <c r="T3082">
        <v>438</v>
      </c>
      <c r="U3082" s="7">
        <v>3</v>
      </c>
      <c r="V3082" t="s">
        <v>555</v>
      </c>
      <c r="W3082" s="257" t="s">
        <v>592</v>
      </c>
      <c r="X3082" t="s">
        <v>1265</v>
      </c>
      <c r="Y3082" s="316" t="s">
        <v>330</v>
      </c>
      <c r="Z3082" s="8">
        <v>280</v>
      </c>
      <c r="AA3082" s="202" t="str">
        <f t="shared" si="49"/>
        <v>Вода</v>
      </c>
    </row>
    <row r="3083" spans="1:27" ht="15" customHeight="1" x14ac:dyDescent="0.25">
      <c r="A3083" t="s">
        <v>153</v>
      </c>
      <c r="L3083"/>
      <c r="M3083"/>
      <c r="N3083"/>
      <c r="O3083"/>
      <c r="P3083"/>
      <c r="T3083">
        <v>439</v>
      </c>
      <c r="U3083" s="7">
        <v>3</v>
      </c>
      <c r="V3083" t="s">
        <v>555</v>
      </c>
      <c r="W3083" s="257" t="s">
        <v>592</v>
      </c>
      <c r="X3083" t="s">
        <v>1265</v>
      </c>
      <c r="Y3083" s="316" t="s">
        <v>326</v>
      </c>
      <c r="Z3083" s="8">
        <v>3</v>
      </c>
      <c r="AA3083" s="202" t="str">
        <f t="shared" si="49"/>
        <v>Соль</v>
      </c>
    </row>
    <row r="3084" spans="1:27" ht="15" customHeight="1" x14ac:dyDescent="0.25">
      <c r="A3084" t="s">
        <v>153</v>
      </c>
      <c r="L3084"/>
      <c r="M3084"/>
      <c r="N3084"/>
      <c r="O3084"/>
      <c r="P3084"/>
      <c r="T3084">
        <v>440</v>
      </c>
      <c r="U3084" s="7">
        <v>3</v>
      </c>
      <c r="V3084" t="s">
        <v>555</v>
      </c>
      <c r="W3084" s="257" t="s">
        <v>592</v>
      </c>
      <c r="X3084" t="s">
        <v>1265</v>
      </c>
      <c r="Y3084" s="316" t="s">
        <v>558</v>
      </c>
      <c r="Z3084" s="8">
        <v>500</v>
      </c>
      <c r="AA3084" s="202" t="str">
        <f t="shared" si="49"/>
        <v>Общая масса готового блюда, г</v>
      </c>
    </row>
    <row r="3085" spans="1:27" ht="15" customHeight="1" x14ac:dyDescent="0.25">
      <c r="A3085" t="s">
        <v>153</v>
      </c>
      <c r="L3085"/>
      <c r="M3085"/>
      <c r="N3085"/>
      <c r="O3085"/>
      <c r="P3085"/>
      <c r="T3085">
        <v>441</v>
      </c>
      <c r="U3085" s="7">
        <v>3</v>
      </c>
      <c r="V3085" t="s">
        <v>555</v>
      </c>
      <c r="W3085" s="257" t="s">
        <v>592</v>
      </c>
      <c r="X3085" t="s">
        <v>1265</v>
      </c>
      <c r="Y3085" s="316" t="s">
        <v>109</v>
      </c>
      <c r="Z3085" s="8">
        <v>200</v>
      </c>
      <c r="AA3085" s="202" t="str">
        <f t="shared" si="49"/>
        <v>ОКГ</v>
      </c>
    </row>
    <row r="3086" spans="1:27" ht="15" customHeight="1" x14ac:dyDescent="0.25">
      <c r="A3086" t="s">
        <v>153</v>
      </c>
      <c r="L3086"/>
      <c r="M3086"/>
      <c r="N3086"/>
      <c r="O3086"/>
      <c r="P3086"/>
      <c r="T3086">
        <v>434</v>
      </c>
      <c r="U3086" s="7">
        <v>3</v>
      </c>
      <c r="V3086" t="s">
        <v>555</v>
      </c>
      <c r="W3086" s="257" t="s">
        <v>592</v>
      </c>
      <c r="X3086" t="s">
        <v>1266</v>
      </c>
      <c r="Y3086" s="316" t="s">
        <v>453</v>
      </c>
      <c r="Z3086" s="8">
        <v>200</v>
      </c>
      <c r="AA3086" s="202" t="str">
        <f t="shared" si="49"/>
        <v>Молоко коровье</v>
      </c>
    </row>
    <row r="3087" spans="1:27" ht="15" customHeight="1" x14ac:dyDescent="0.25">
      <c r="A3087" t="s">
        <v>153</v>
      </c>
      <c r="L3087"/>
      <c r="M3087"/>
      <c r="N3087"/>
      <c r="O3087"/>
      <c r="P3087"/>
      <c r="T3087">
        <v>435</v>
      </c>
      <c r="U3087" s="7">
        <v>3</v>
      </c>
      <c r="V3087" t="s">
        <v>555</v>
      </c>
      <c r="W3087" s="257" t="s">
        <v>592</v>
      </c>
      <c r="X3087" t="s">
        <v>1266</v>
      </c>
      <c r="Y3087" s="316" t="s">
        <v>27</v>
      </c>
      <c r="Z3087" s="8">
        <v>40</v>
      </c>
      <c r="AA3087" s="202" t="str">
        <f t="shared" si="49"/>
        <v>Рис</v>
      </c>
    </row>
    <row r="3088" spans="1:27" ht="15" customHeight="1" x14ac:dyDescent="0.25">
      <c r="A3088" t="s">
        <v>153</v>
      </c>
      <c r="L3088"/>
      <c r="M3088"/>
      <c r="N3088"/>
      <c r="O3088"/>
      <c r="P3088"/>
      <c r="T3088">
        <v>436</v>
      </c>
      <c r="U3088" s="7">
        <v>3</v>
      </c>
      <c r="V3088" t="s">
        <v>555</v>
      </c>
      <c r="W3088" s="257" t="s">
        <v>592</v>
      </c>
      <c r="X3088" t="s">
        <v>1266</v>
      </c>
      <c r="Y3088" s="316" t="s">
        <v>452</v>
      </c>
      <c r="Z3088" s="8">
        <v>5</v>
      </c>
      <c r="AA3088" s="202" t="str">
        <f t="shared" si="49"/>
        <v>Масло коровье</v>
      </c>
    </row>
    <row r="3089" spans="1:27" ht="15" customHeight="1" x14ac:dyDescent="0.25">
      <c r="A3089" t="s">
        <v>153</v>
      </c>
      <c r="L3089"/>
      <c r="M3089"/>
      <c r="N3089"/>
      <c r="O3089"/>
      <c r="P3089"/>
      <c r="T3089">
        <v>437</v>
      </c>
      <c r="U3089" s="7">
        <v>3</v>
      </c>
      <c r="V3089" t="s">
        <v>555</v>
      </c>
      <c r="W3089" s="257" t="s">
        <v>592</v>
      </c>
      <c r="X3089" t="s">
        <v>1266</v>
      </c>
      <c r="Y3089" s="316" t="s">
        <v>53</v>
      </c>
      <c r="Z3089" s="8">
        <v>5</v>
      </c>
      <c r="AA3089" s="202" t="str">
        <f t="shared" si="49"/>
        <v>Сахар</v>
      </c>
    </row>
    <row r="3090" spans="1:27" ht="15" customHeight="1" x14ac:dyDescent="0.25">
      <c r="A3090" t="s">
        <v>153</v>
      </c>
      <c r="L3090"/>
      <c r="M3090"/>
      <c r="N3090"/>
      <c r="O3090"/>
      <c r="P3090"/>
      <c r="T3090">
        <v>438</v>
      </c>
      <c r="U3090" s="7">
        <v>3</v>
      </c>
      <c r="V3090" t="s">
        <v>555</v>
      </c>
      <c r="W3090" s="257" t="s">
        <v>592</v>
      </c>
      <c r="X3090" t="s">
        <v>1266</v>
      </c>
      <c r="Y3090" s="316" t="s">
        <v>330</v>
      </c>
      <c r="Z3090" s="8">
        <v>280</v>
      </c>
      <c r="AA3090" s="202" t="str">
        <f t="shared" si="49"/>
        <v>Вода</v>
      </c>
    </row>
    <row r="3091" spans="1:27" x14ac:dyDescent="0.25">
      <c r="A3091" t="s">
        <v>153</v>
      </c>
      <c r="L3091"/>
      <c r="M3091"/>
      <c r="N3091"/>
      <c r="O3091"/>
      <c r="P3091"/>
      <c r="T3091">
        <v>439</v>
      </c>
      <c r="U3091" s="7">
        <v>3</v>
      </c>
      <c r="V3091" t="s">
        <v>555</v>
      </c>
      <c r="W3091" s="257" t="s">
        <v>592</v>
      </c>
      <c r="X3091" t="s">
        <v>1266</v>
      </c>
      <c r="Y3091" s="316" t="s">
        <v>326</v>
      </c>
      <c r="Z3091" s="8">
        <v>3</v>
      </c>
      <c r="AA3091" s="202" t="str">
        <f t="shared" si="49"/>
        <v>Соль</v>
      </c>
    </row>
    <row r="3092" spans="1:27" ht="15" customHeight="1" x14ac:dyDescent="0.25">
      <c r="A3092" t="s">
        <v>153</v>
      </c>
      <c r="L3092"/>
      <c r="M3092"/>
      <c r="N3092"/>
      <c r="O3092"/>
      <c r="P3092"/>
      <c r="T3092">
        <v>440</v>
      </c>
      <c r="U3092" s="7">
        <v>3</v>
      </c>
      <c r="V3092" t="s">
        <v>555</v>
      </c>
      <c r="W3092" s="257" t="s">
        <v>592</v>
      </c>
      <c r="X3092" t="s">
        <v>1266</v>
      </c>
      <c r="Y3092" s="316" t="s">
        <v>558</v>
      </c>
      <c r="Z3092" s="8">
        <v>500</v>
      </c>
      <c r="AA3092" s="202" t="str">
        <f t="shared" si="49"/>
        <v>Общая масса готового блюда, г</v>
      </c>
    </row>
    <row r="3093" spans="1:27" ht="15" customHeight="1" x14ac:dyDescent="0.25">
      <c r="A3093" t="s">
        <v>153</v>
      </c>
      <c r="L3093"/>
      <c r="M3093"/>
      <c r="N3093"/>
      <c r="O3093"/>
      <c r="P3093"/>
      <c r="T3093">
        <v>441</v>
      </c>
      <c r="U3093" s="7">
        <v>3</v>
      </c>
      <c r="V3093" t="s">
        <v>555</v>
      </c>
      <c r="W3093" s="257" t="s">
        <v>592</v>
      </c>
      <c r="X3093" t="s">
        <v>1266</v>
      </c>
      <c r="Y3093" s="316" t="s">
        <v>109</v>
      </c>
      <c r="Z3093" s="8">
        <v>200</v>
      </c>
      <c r="AA3093" s="202" t="str">
        <f t="shared" si="49"/>
        <v>ОКГ</v>
      </c>
    </row>
    <row r="3094" spans="1:27" ht="15" customHeight="1" x14ac:dyDescent="0.25">
      <c r="A3094" t="s">
        <v>153</v>
      </c>
      <c r="L3094"/>
      <c r="M3094"/>
      <c r="N3094"/>
      <c r="O3094"/>
      <c r="P3094"/>
      <c r="T3094">
        <v>291</v>
      </c>
      <c r="U3094" s="7">
        <v>3</v>
      </c>
      <c r="V3094" t="s">
        <v>555</v>
      </c>
      <c r="W3094" s="257" t="s">
        <v>596</v>
      </c>
      <c r="X3094" t="s">
        <v>597</v>
      </c>
      <c r="Y3094" s="316" t="s">
        <v>490</v>
      </c>
      <c r="Z3094" s="8">
        <v>110</v>
      </c>
      <c r="AA3094" s="202" t="str">
        <f t="shared" si="49"/>
        <v>Капуста свежая</v>
      </c>
    </row>
    <row r="3095" spans="1:27" ht="15" customHeight="1" x14ac:dyDescent="0.25">
      <c r="A3095" t="s">
        <v>153</v>
      </c>
      <c r="L3095"/>
      <c r="M3095"/>
      <c r="N3095"/>
      <c r="O3095"/>
      <c r="P3095"/>
      <c r="T3095">
        <v>292</v>
      </c>
      <c r="U3095" s="7">
        <v>3</v>
      </c>
      <c r="V3095" t="s">
        <v>555</v>
      </c>
      <c r="W3095" s="257" t="s">
        <v>596</v>
      </c>
      <c r="X3095" t="s">
        <v>597</v>
      </c>
      <c r="Y3095" s="316" t="s">
        <v>45</v>
      </c>
      <c r="Z3095" s="8">
        <v>100</v>
      </c>
      <c r="AA3095" s="202" t="str">
        <f t="shared" si="49"/>
        <v>Картофель</v>
      </c>
    </row>
    <row r="3096" spans="1:27" ht="15" customHeight="1" x14ac:dyDescent="0.25">
      <c r="A3096" t="s">
        <v>153</v>
      </c>
      <c r="L3096"/>
      <c r="M3096"/>
      <c r="N3096"/>
      <c r="O3096"/>
      <c r="P3096"/>
      <c r="T3096">
        <v>293</v>
      </c>
      <c r="U3096" s="7">
        <v>3</v>
      </c>
      <c r="V3096" t="s">
        <v>555</v>
      </c>
      <c r="W3096" s="257" t="s">
        <v>596</v>
      </c>
      <c r="X3096" t="s">
        <v>597</v>
      </c>
      <c r="Y3096" s="316" t="s">
        <v>32</v>
      </c>
      <c r="Z3096" s="8">
        <v>10</v>
      </c>
      <c r="AA3096" s="202" t="str">
        <f t="shared" si="49"/>
        <v>Лук репчатый</v>
      </c>
    </row>
    <row r="3097" spans="1:27" x14ac:dyDescent="0.25">
      <c r="A3097" t="s">
        <v>153</v>
      </c>
      <c r="L3097"/>
      <c r="M3097"/>
      <c r="N3097"/>
      <c r="O3097"/>
      <c r="P3097"/>
      <c r="T3097">
        <v>294</v>
      </c>
      <c r="U3097" s="7">
        <v>3</v>
      </c>
      <c r="V3097" t="s">
        <v>555</v>
      </c>
      <c r="W3097" s="257" t="s">
        <v>596</v>
      </c>
      <c r="X3097" t="s">
        <v>597</v>
      </c>
      <c r="Y3097" s="316" t="s">
        <v>70</v>
      </c>
      <c r="Z3097" s="8">
        <v>5</v>
      </c>
      <c r="AA3097" s="202" t="str">
        <f t="shared" si="49"/>
        <v>Зелень</v>
      </c>
    </row>
    <row r="3098" spans="1:27" ht="15" customHeight="1" x14ac:dyDescent="0.25">
      <c r="A3098" t="s">
        <v>153</v>
      </c>
      <c r="L3098"/>
      <c r="M3098"/>
      <c r="N3098"/>
      <c r="O3098"/>
      <c r="P3098"/>
      <c r="T3098">
        <v>295</v>
      </c>
      <c r="U3098" s="7">
        <v>3</v>
      </c>
      <c r="V3098" t="s">
        <v>555</v>
      </c>
      <c r="W3098" s="257" t="s">
        <v>596</v>
      </c>
      <c r="X3098" t="s">
        <v>597</v>
      </c>
      <c r="Y3098" s="316" t="s">
        <v>46</v>
      </c>
      <c r="Z3098" s="8">
        <v>18</v>
      </c>
      <c r="AA3098" s="202" t="str">
        <f t="shared" si="49"/>
        <v>Морковь</v>
      </c>
    </row>
    <row r="3099" spans="1:27" ht="15" customHeight="1" x14ac:dyDescent="0.25">
      <c r="A3099" t="s">
        <v>153</v>
      </c>
      <c r="L3099"/>
      <c r="M3099"/>
      <c r="N3099"/>
      <c r="O3099"/>
      <c r="P3099"/>
      <c r="T3099">
        <v>296</v>
      </c>
      <c r="U3099" s="7">
        <v>3</v>
      </c>
      <c r="V3099" t="s">
        <v>555</v>
      </c>
      <c r="W3099" s="257" t="s">
        <v>596</v>
      </c>
      <c r="X3099" t="s">
        <v>597</v>
      </c>
      <c r="Y3099" s="316" t="s">
        <v>61</v>
      </c>
      <c r="Z3099" s="8">
        <v>4</v>
      </c>
      <c r="AA3099" s="202" t="str">
        <f t="shared" si="49"/>
        <v>Масло растительное</v>
      </c>
    </row>
    <row r="3100" spans="1:27" ht="15" customHeight="1" x14ac:dyDescent="0.25">
      <c r="A3100" t="s">
        <v>153</v>
      </c>
      <c r="L3100"/>
      <c r="M3100"/>
      <c r="N3100"/>
      <c r="O3100"/>
      <c r="P3100"/>
      <c r="T3100">
        <v>297</v>
      </c>
      <c r="U3100" s="7">
        <v>3</v>
      </c>
      <c r="V3100" t="s">
        <v>555</v>
      </c>
      <c r="W3100" s="257" t="s">
        <v>596</v>
      </c>
      <c r="X3100" t="s">
        <v>597</v>
      </c>
      <c r="Y3100" s="316" t="s">
        <v>479</v>
      </c>
      <c r="Z3100" s="8">
        <v>400</v>
      </c>
      <c r="AA3100" s="202" t="str">
        <f t="shared" si="49"/>
        <v>Вода или бульон</v>
      </c>
    </row>
    <row r="3101" spans="1:27" ht="15" customHeight="1" x14ac:dyDescent="0.25">
      <c r="A3101" t="s">
        <v>153</v>
      </c>
      <c r="L3101"/>
      <c r="M3101"/>
      <c r="N3101"/>
      <c r="O3101"/>
      <c r="P3101"/>
      <c r="T3101">
        <v>298</v>
      </c>
      <c r="U3101" s="7">
        <v>3</v>
      </c>
      <c r="V3101" t="s">
        <v>555</v>
      </c>
      <c r="W3101" s="257" t="s">
        <v>596</v>
      </c>
      <c r="X3101" t="s">
        <v>597</v>
      </c>
      <c r="Y3101" s="316" t="s">
        <v>326</v>
      </c>
      <c r="Z3101" s="8">
        <v>4</v>
      </c>
      <c r="AA3101" s="202" t="str">
        <f t="shared" si="49"/>
        <v>Соль</v>
      </c>
    </row>
    <row r="3102" spans="1:27" ht="15" customHeight="1" x14ac:dyDescent="0.25">
      <c r="A3102" t="s">
        <v>153</v>
      </c>
      <c r="L3102"/>
      <c r="M3102"/>
      <c r="N3102"/>
      <c r="O3102"/>
      <c r="P3102"/>
      <c r="T3102">
        <v>301</v>
      </c>
      <c r="U3102" s="7">
        <v>3</v>
      </c>
      <c r="V3102" t="s">
        <v>555</v>
      </c>
      <c r="W3102" s="257" t="s">
        <v>596</v>
      </c>
      <c r="X3102" t="s">
        <v>597</v>
      </c>
      <c r="Y3102" s="316" t="s">
        <v>558</v>
      </c>
      <c r="Z3102" s="8">
        <v>500</v>
      </c>
      <c r="AA3102" s="202" t="str">
        <f t="shared" si="49"/>
        <v>Общая масса готового блюда, г</v>
      </c>
    </row>
    <row r="3103" spans="1:27" ht="15" customHeight="1" x14ac:dyDescent="0.25">
      <c r="A3103" t="s">
        <v>153</v>
      </c>
      <c r="L3103"/>
      <c r="M3103"/>
      <c r="N3103"/>
      <c r="O3103"/>
      <c r="P3103"/>
      <c r="T3103">
        <v>302</v>
      </c>
      <c r="U3103" s="7">
        <v>3</v>
      </c>
      <c r="V3103" t="s">
        <v>555</v>
      </c>
      <c r="W3103" s="257" t="s">
        <v>596</v>
      </c>
      <c r="X3103" t="s">
        <v>597</v>
      </c>
      <c r="Y3103" s="316" t="s">
        <v>109</v>
      </c>
      <c r="Z3103" s="8">
        <v>250</v>
      </c>
      <c r="AA3103" s="202" t="str">
        <f t="shared" si="49"/>
        <v>ОКГ</v>
      </c>
    </row>
    <row r="3104" spans="1:27" ht="15" customHeight="1" x14ac:dyDescent="0.25">
      <c r="A3104" t="s">
        <v>153</v>
      </c>
      <c r="L3104"/>
      <c r="M3104"/>
      <c r="N3104"/>
      <c r="O3104"/>
      <c r="P3104"/>
      <c r="T3104">
        <v>303</v>
      </c>
      <c r="U3104" s="7">
        <v>3</v>
      </c>
      <c r="V3104" t="s">
        <v>555</v>
      </c>
      <c r="W3104" s="257" t="s">
        <v>596</v>
      </c>
      <c r="X3104" t="s">
        <v>597</v>
      </c>
      <c r="Y3104" s="316" t="s">
        <v>74</v>
      </c>
      <c r="Z3104" s="8">
        <v>0.02</v>
      </c>
      <c r="AA3104" s="202" t="str">
        <f t="shared" si="49"/>
        <v>Лавровый лист</v>
      </c>
    </row>
    <row r="3105" spans="1:27" ht="15" customHeight="1" x14ac:dyDescent="0.25">
      <c r="A3105" t="s">
        <v>153</v>
      </c>
      <c r="L3105"/>
      <c r="M3105"/>
      <c r="N3105"/>
      <c r="O3105"/>
      <c r="P3105"/>
      <c r="T3105">
        <v>304</v>
      </c>
      <c r="U3105" s="7">
        <v>3</v>
      </c>
      <c r="V3105" t="s">
        <v>555</v>
      </c>
      <c r="W3105" s="257" t="s">
        <v>596</v>
      </c>
      <c r="X3105" t="s">
        <v>597</v>
      </c>
      <c r="Y3105" s="316" t="s">
        <v>484</v>
      </c>
      <c r="Z3105" s="8">
        <v>0.05</v>
      </c>
      <c r="AA3105" s="202" t="str">
        <f t="shared" si="49"/>
        <v>Перец черный</v>
      </c>
    </row>
    <row r="3106" spans="1:27" ht="15" customHeight="1" x14ac:dyDescent="0.25">
      <c r="A3106" t="s">
        <v>153</v>
      </c>
      <c r="L3106"/>
      <c r="M3106"/>
      <c r="N3106"/>
      <c r="O3106"/>
      <c r="P3106"/>
      <c r="T3106">
        <v>291</v>
      </c>
      <c r="U3106" s="7">
        <v>3</v>
      </c>
      <c r="V3106" t="s">
        <v>555</v>
      </c>
      <c r="W3106" s="257" t="s">
        <v>1325</v>
      </c>
      <c r="X3106" t="s">
        <v>1326</v>
      </c>
      <c r="Y3106" s="316" t="s">
        <v>490</v>
      </c>
      <c r="Z3106" s="8">
        <v>100</v>
      </c>
      <c r="AA3106" s="202" t="str">
        <f t="shared" si="49"/>
        <v>Капуста свежая</v>
      </c>
    </row>
    <row r="3107" spans="1:27" ht="15" customHeight="1" x14ac:dyDescent="0.25">
      <c r="A3107" t="s">
        <v>153</v>
      </c>
      <c r="L3107"/>
      <c r="M3107"/>
      <c r="N3107"/>
      <c r="O3107"/>
      <c r="P3107"/>
      <c r="T3107">
        <v>292</v>
      </c>
      <c r="U3107" s="7">
        <v>3</v>
      </c>
      <c r="V3107" t="s">
        <v>555</v>
      </c>
      <c r="W3107" s="257" t="s">
        <v>1325</v>
      </c>
      <c r="X3107" t="s">
        <v>1326</v>
      </c>
      <c r="Y3107" s="316" t="s">
        <v>45</v>
      </c>
      <c r="Z3107" s="8">
        <v>145</v>
      </c>
      <c r="AA3107" s="202" t="str">
        <f t="shared" si="49"/>
        <v>Картофель</v>
      </c>
    </row>
    <row r="3108" spans="1:27" ht="15" customHeight="1" x14ac:dyDescent="0.25">
      <c r="A3108" t="s">
        <v>153</v>
      </c>
      <c r="L3108"/>
      <c r="M3108"/>
      <c r="N3108"/>
      <c r="O3108"/>
      <c r="P3108"/>
      <c r="T3108">
        <v>293</v>
      </c>
      <c r="U3108" s="7">
        <v>3</v>
      </c>
      <c r="V3108" t="s">
        <v>555</v>
      </c>
      <c r="W3108" s="257" t="s">
        <v>1325</v>
      </c>
      <c r="X3108" t="s">
        <v>1326</v>
      </c>
      <c r="Y3108" s="316" t="s">
        <v>32</v>
      </c>
      <c r="Z3108" s="8">
        <v>5</v>
      </c>
      <c r="AA3108" s="202" t="str">
        <f t="shared" si="49"/>
        <v>Лук репчатый</v>
      </c>
    </row>
    <row r="3109" spans="1:27" x14ac:dyDescent="0.25">
      <c r="A3109" t="s">
        <v>153</v>
      </c>
      <c r="L3109"/>
      <c r="M3109"/>
      <c r="N3109"/>
      <c r="O3109"/>
      <c r="P3109"/>
      <c r="T3109">
        <v>294</v>
      </c>
      <c r="U3109" s="7">
        <v>3</v>
      </c>
      <c r="V3109" t="s">
        <v>555</v>
      </c>
      <c r="W3109" s="257" t="s">
        <v>1325</v>
      </c>
      <c r="X3109" t="s">
        <v>1326</v>
      </c>
      <c r="Y3109" s="316" t="s">
        <v>70</v>
      </c>
      <c r="Z3109" s="8">
        <v>5</v>
      </c>
      <c r="AA3109" s="202" t="str">
        <f t="shared" si="49"/>
        <v>Зелень</v>
      </c>
    </row>
    <row r="3110" spans="1:27" ht="15" customHeight="1" x14ac:dyDescent="0.25">
      <c r="A3110" t="s">
        <v>153</v>
      </c>
      <c r="L3110"/>
      <c r="M3110"/>
      <c r="N3110"/>
      <c r="O3110"/>
      <c r="P3110"/>
      <c r="T3110">
        <v>295</v>
      </c>
      <c r="U3110" s="7">
        <v>3</v>
      </c>
      <c r="V3110" t="s">
        <v>555</v>
      </c>
      <c r="W3110" s="257" t="s">
        <v>1325</v>
      </c>
      <c r="X3110" t="s">
        <v>1326</v>
      </c>
      <c r="Y3110" s="316" t="s">
        <v>46</v>
      </c>
      <c r="Z3110" s="8">
        <v>25</v>
      </c>
      <c r="AA3110" s="202" t="str">
        <f t="shared" si="49"/>
        <v>Морковь</v>
      </c>
    </row>
    <row r="3111" spans="1:27" ht="15" customHeight="1" x14ac:dyDescent="0.25">
      <c r="A3111" t="s">
        <v>153</v>
      </c>
      <c r="L3111"/>
      <c r="M3111"/>
      <c r="N3111"/>
      <c r="O3111"/>
      <c r="P3111"/>
      <c r="T3111">
        <v>296</v>
      </c>
      <c r="U3111" s="7">
        <v>3</v>
      </c>
      <c r="V3111" t="s">
        <v>555</v>
      </c>
      <c r="W3111" s="257" t="s">
        <v>1325</v>
      </c>
      <c r="X3111" t="s">
        <v>1326</v>
      </c>
      <c r="Y3111" s="316" t="s">
        <v>61</v>
      </c>
      <c r="Z3111" s="8">
        <v>4</v>
      </c>
      <c r="AA3111" s="202" t="str">
        <f t="shared" si="49"/>
        <v>Масло растительное</v>
      </c>
    </row>
    <row r="3112" spans="1:27" ht="15" customHeight="1" x14ac:dyDescent="0.25">
      <c r="A3112" t="s">
        <v>153</v>
      </c>
      <c r="L3112"/>
      <c r="M3112"/>
      <c r="N3112"/>
      <c r="O3112"/>
      <c r="P3112"/>
      <c r="T3112">
        <v>297</v>
      </c>
      <c r="U3112" s="7">
        <v>3</v>
      </c>
      <c r="V3112" t="s">
        <v>555</v>
      </c>
      <c r="W3112" s="257" t="s">
        <v>1325</v>
      </c>
      <c r="X3112" t="s">
        <v>1326</v>
      </c>
      <c r="Y3112" s="316" t="s">
        <v>479</v>
      </c>
      <c r="Z3112" s="8">
        <v>400</v>
      </c>
      <c r="AA3112" s="202" t="str">
        <f t="shared" si="49"/>
        <v>Вода или бульон</v>
      </c>
    </row>
    <row r="3113" spans="1:27" ht="15" customHeight="1" x14ac:dyDescent="0.25">
      <c r="A3113" t="s">
        <v>153</v>
      </c>
      <c r="L3113"/>
      <c r="M3113"/>
      <c r="N3113"/>
      <c r="O3113"/>
      <c r="P3113"/>
      <c r="T3113">
        <v>298</v>
      </c>
      <c r="U3113" s="7">
        <v>3</v>
      </c>
      <c r="V3113" t="s">
        <v>555</v>
      </c>
      <c r="W3113" s="257" t="s">
        <v>1325</v>
      </c>
      <c r="X3113" t="s">
        <v>1326</v>
      </c>
      <c r="Y3113" s="316" t="s">
        <v>326</v>
      </c>
      <c r="Z3113" s="8">
        <v>4</v>
      </c>
      <c r="AA3113" s="202" t="str">
        <f t="shared" si="49"/>
        <v>Соль</v>
      </c>
    </row>
    <row r="3114" spans="1:27" ht="15" customHeight="1" x14ac:dyDescent="0.25">
      <c r="A3114" t="s">
        <v>153</v>
      </c>
      <c r="L3114"/>
      <c r="M3114"/>
      <c r="N3114"/>
      <c r="O3114"/>
      <c r="P3114"/>
      <c r="T3114">
        <v>301</v>
      </c>
      <c r="U3114" s="7">
        <v>3</v>
      </c>
      <c r="V3114" t="s">
        <v>555</v>
      </c>
      <c r="W3114" s="257" t="s">
        <v>1325</v>
      </c>
      <c r="X3114" t="s">
        <v>1326</v>
      </c>
      <c r="Y3114" s="316" t="s">
        <v>558</v>
      </c>
      <c r="Z3114" s="8">
        <v>532</v>
      </c>
      <c r="AA3114" s="202" t="str">
        <f t="shared" si="49"/>
        <v>Общая масса готового блюда, г</v>
      </c>
    </row>
    <row r="3115" spans="1:27" ht="15" customHeight="1" x14ac:dyDescent="0.25">
      <c r="A3115" t="s">
        <v>153</v>
      </c>
      <c r="L3115"/>
      <c r="M3115"/>
      <c r="N3115"/>
      <c r="O3115"/>
      <c r="P3115"/>
      <c r="T3115">
        <v>302</v>
      </c>
      <c r="U3115" s="7">
        <v>3</v>
      </c>
      <c r="V3115" t="s">
        <v>555</v>
      </c>
      <c r="W3115" s="257" t="s">
        <v>1325</v>
      </c>
      <c r="X3115" t="s">
        <v>1326</v>
      </c>
      <c r="Y3115" s="316" t="s">
        <v>109</v>
      </c>
      <c r="Z3115" s="8">
        <v>266</v>
      </c>
      <c r="AA3115" s="202" t="str">
        <f t="shared" si="49"/>
        <v>ОКГ</v>
      </c>
    </row>
    <row r="3116" spans="1:27" ht="15" customHeight="1" x14ac:dyDescent="0.25">
      <c r="A3116" t="s">
        <v>153</v>
      </c>
      <c r="L3116"/>
      <c r="M3116"/>
      <c r="N3116"/>
      <c r="O3116"/>
      <c r="P3116"/>
      <c r="T3116">
        <v>303</v>
      </c>
      <c r="U3116" s="7">
        <v>3</v>
      </c>
      <c r="V3116" t="s">
        <v>555</v>
      </c>
      <c r="W3116" s="257" t="s">
        <v>1325</v>
      </c>
      <c r="X3116" t="s">
        <v>1326</v>
      </c>
      <c r="Y3116" s="316" t="s">
        <v>74</v>
      </c>
      <c r="Z3116" s="8">
        <v>0.02</v>
      </c>
      <c r="AA3116" s="202" t="str">
        <f t="shared" si="49"/>
        <v>Лавровый лист</v>
      </c>
    </row>
    <row r="3117" spans="1:27" ht="15" customHeight="1" x14ac:dyDescent="0.25">
      <c r="A3117" t="s">
        <v>153</v>
      </c>
      <c r="L3117"/>
      <c r="M3117"/>
      <c r="N3117"/>
      <c r="O3117"/>
      <c r="P3117"/>
      <c r="T3117">
        <v>304</v>
      </c>
      <c r="U3117" s="7">
        <v>3</v>
      </c>
      <c r="V3117" t="s">
        <v>555</v>
      </c>
      <c r="W3117" s="257" t="s">
        <v>1325</v>
      </c>
      <c r="X3117" t="s">
        <v>1326</v>
      </c>
      <c r="Y3117" s="316" t="s">
        <v>484</v>
      </c>
      <c r="Z3117" s="8">
        <v>0.05</v>
      </c>
      <c r="AA3117" s="202" t="str">
        <f t="shared" si="49"/>
        <v>Перец черный</v>
      </c>
    </row>
    <row r="3118" spans="1:27" ht="15" customHeight="1" x14ac:dyDescent="0.25">
      <c r="A3118" t="s">
        <v>153</v>
      </c>
      <c r="L3118"/>
      <c r="M3118"/>
      <c r="N3118"/>
      <c r="O3118"/>
      <c r="P3118"/>
      <c r="T3118">
        <v>305</v>
      </c>
      <c r="U3118" s="7">
        <v>3</v>
      </c>
      <c r="V3118" t="s">
        <v>555</v>
      </c>
      <c r="W3118" s="257" t="s">
        <v>598</v>
      </c>
      <c r="X3118" t="s">
        <v>599</v>
      </c>
      <c r="Y3118" s="316" t="s">
        <v>490</v>
      </c>
      <c r="Z3118" s="8">
        <v>85</v>
      </c>
      <c r="AA3118" s="202" t="str">
        <f t="shared" si="49"/>
        <v>Капуста свежая</v>
      </c>
    </row>
    <row r="3119" spans="1:27" ht="15" customHeight="1" x14ac:dyDescent="0.25">
      <c r="A3119" t="s">
        <v>153</v>
      </c>
      <c r="L3119"/>
      <c r="M3119"/>
      <c r="N3119"/>
      <c r="O3119"/>
      <c r="P3119"/>
      <c r="T3119">
        <v>306</v>
      </c>
      <c r="U3119" s="7">
        <v>3</v>
      </c>
      <c r="V3119" t="s">
        <v>555</v>
      </c>
      <c r="W3119" s="257" t="s">
        <v>598</v>
      </c>
      <c r="X3119" t="s">
        <v>599</v>
      </c>
      <c r="Y3119" s="316" t="s">
        <v>45</v>
      </c>
      <c r="Z3119" s="8">
        <v>100</v>
      </c>
      <c r="AA3119" s="202" t="str">
        <f t="shared" si="49"/>
        <v>Картофель</v>
      </c>
    </row>
    <row r="3120" spans="1:27" ht="15" customHeight="1" x14ac:dyDescent="0.25">
      <c r="A3120" t="s">
        <v>153</v>
      </c>
      <c r="L3120"/>
      <c r="M3120"/>
      <c r="N3120"/>
      <c r="O3120"/>
      <c r="P3120"/>
      <c r="T3120">
        <v>307</v>
      </c>
      <c r="U3120" s="7">
        <v>3</v>
      </c>
      <c r="V3120" t="s">
        <v>555</v>
      </c>
      <c r="W3120" s="257" t="s">
        <v>598</v>
      </c>
      <c r="X3120" t="s">
        <v>599</v>
      </c>
      <c r="Y3120" s="316" t="s">
        <v>32</v>
      </c>
      <c r="Z3120" s="8">
        <v>10</v>
      </c>
      <c r="AA3120" s="202" t="str">
        <f t="shared" si="49"/>
        <v>Лук репчатый</v>
      </c>
    </row>
    <row r="3121" spans="1:27" ht="15" customHeight="1" x14ac:dyDescent="0.25">
      <c r="A3121" t="s">
        <v>153</v>
      </c>
      <c r="L3121"/>
      <c r="M3121"/>
      <c r="N3121"/>
      <c r="O3121"/>
      <c r="P3121"/>
      <c r="T3121">
        <v>308</v>
      </c>
      <c r="U3121" s="7">
        <v>3</v>
      </c>
      <c r="V3121" t="s">
        <v>555</v>
      </c>
      <c r="W3121" s="257" t="s">
        <v>598</v>
      </c>
      <c r="X3121" t="s">
        <v>599</v>
      </c>
      <c r="Y3121" s="316" t="s">
        <v>70</v>
      </c>
      <c r="Z3121" s="8">
        <v>5</v>
      </c>
      <c r="AA3121" s="202" t="str">
        <f t="shared" si="49"/>
        <v>Зелень</v>
      </c>
    </row>
    <row r="3122" spans="1:27" ht="15" customHeight="1" x14ac:dyDescent="0.25">
      <c r="A3122" t="s">
        <v>153</v>
      </c>
      <c r="L3122"/>
      <c r="M3122"/>
      <c r="N3122"/>
      <c r="O3122"/>
      <c r="P3122"/>
      <c r="T3122">
        <v>309</v>
      </c>
      <c r="U3122" s="7">
        <v>3</v>
      </c>
      <c r="V3122" t="s">
        <v>555</v>
      </c>
      <c r="W3122" s="257" t="s">
        <v>598</v>
      </c>
      <c r="X3122" t="s">
        <v>599</v>
      </c>
      <c r="Y3122" s="316" t="s">
        <v>440</v>
      </c>
      <c r="Z3122" s="8">
        <v>20</v>
      </c>
      <c r="AA3122" s="202" t="str">
        <f t="shared" si="49"/>
        <v>Горошек консерв.</v>
      </c>
    </row>
    <row r="3123" spans="1:27" ht="15" customHeight="1" x14ac:dyDescent="0.25">
      <c r="A3123" t="s">
        <v>153</v>
      </c>
      <c r="L3123"/>
      <c r="M3123"/>
      <c r="N3123"/>
      <c r="O3123"/>
      <c r="P3123"/>
      <c r="T3123">
        <v>310</v>
      </c>
      <c r="U3123" s="7">
        <v>3</v>
      </c>
      <c r="V3123" t="s">
        <v>555</v>
      </c>
      <c r="W3123" s="257" t="s">
        <v>598</v>
      </c>
      <c r="X3123" t="s">
        <v>599</v>
      </c>
      <c r="Y3123" s="316" t="s">
        <v>46</v>
      </c>
      <c r="Z3123" s="8">
        <v>15</v>
      </c>
      <c r="AA3123" s="202" t="str">
        <f t="shared" si="49"/>
        <v>Морковь</v>
      </c>
    </row>
    <row r="3124" spans="1:27" ht="15" customHeight="1" x14ac:dyDescent="0.25">
      <c r="A3124" t="s">
        <v>153</v>
      </c>
      <c r="L3124"/>
      <c r="M3124"/>
      <c r="N3124"/>
      <c r="O3124"/>
      <c r="P3124"/>
      <c r="T3124">
        <v>311</v>
      </c>
      <c r="U3124" s="7">
        <v>3</v>
      </c>
      <c r="V3124" t="s">
        <v>555</v>
      </c>
      <c r="W3124" s="257" t="s">
        <v>598</v>
      </c>
      <c r="X3124" t="s">
        <v>599</v>
      </c>
      <c r="Y3124" s="316" t="s">
        <v>61</v>
      </c>
      <c r="Z3124" s="8">
        <v>4</v>
      </c>
      <c r="AA3124" s="202" t="str">
        <f t="shared" si="49"/>
        <v>Масло растительное</v>
      </c>
    </row>
    <row r="3125" spans="1:27" ht="15" customHeight="1" x14ac:dyDescent="0.25">
      <c r="A3125" t="s">
        <v>153</v>
      </c>
      <c r="L3125"/>
      <c r="M3125"/>
      <c r="N3125"/>
      <c r="O3125"/>
      <c r="P3125"/>
      <c r="T3125">
        <v>312</v>
      </c>
      <c r="U3125" s="7">
        <v>3</v>
      </c>
      <c r="V3125" t="s">
        <v>555</v>
      </c>
      <c r="W3125" s="257" t="s">
        <v>598</v>
      </c>
      <c r="X3125" t="s">
        <v>599</v>
      </c>
      <c r="Y3125" s="316" t="s">
        <v>479</v>
      </c>
      <c r="Z3125" s="8">
        <v>400</v>
      </c>
      <c r="AA3125" s="202" t="str">
        <f t="shared" si="49"/>
        <v>Вода или бульон</v>
      </c>
    </row>
    <row r="3126" spans="1:27" ht="15" customHeight="1" x14ac:dyDescent="0.25">
      <c r="A3126" t="s">
        <v>153</v>
      </c>
      <c r="L3126"/>
      <c r="M3126"/>
      <c r="N3126"/>
      <c r="O3126"/>
      <c r="P3126"/>
      <c r="T3126">
        <v>313</v>
      </c>
      <c r="U3126" s="7">
        <v>3</v>
      </c>
      <c r="V3126" t="s">
        <v>555</v>
      </c>
      <c r="W3126" s="257" t="s">
        <v>598</v>
      </c>
      <c r="X3126" t="s">
        <v>599</v>
      </c>
      <c r="Y3126" s="316" t="s">
        <v>54</v>
      </c>
      <c r="Z3126" s="8">
        <v>5</v>
      </c>
      <c r="AA3126" s="202" t="str">
        <f t="shared" si="49"/>
        <v>Сметана</v>
      </c>
    </row>
    <row r="3127" spans="1:27" ht="15" customHeight="1" x14ac:dyDescent="0.25">
      <c r="A3127" t="s">
        <v>153</v>
      </c>
      <c r="L3127"/>
      <c r="M3127"/>
      <c r="N3127"/>
      <c r="O3127"/>
      <c r="P3127"/>
      <c r="T3127">
        <v>314</v>
      </c>
      <c r="U3127" s="7">
        <v>3</v>
      </c>
      <c r="V3127" t="s">
        <v>555</v>
      </c>
      <c r="W3127" s="257" t="s">
        <v>598</v>
      </c>
      <c r="X3127" t="s">
        <v>599</v>
      </c>
      <c r="Y3127" s="316" t="s">
        <v>326</v>
      </c>
      <c r="Z3127" s="8">
        <v>4</v>
      </c>
      <c r="AA3127" s="202" t="str">
        <f t="shared" si="49"/>
        <v>Соль</v>
      </c>
    </row>
    <row r="3128" spans="1:27" ht="15" customHeight="1" x14ac:dyDescent="0.25">
      <c r="A3128" t="s">
        <v>153</v>
      </c>
      <c r="L3128"/>
      <c r="M3128"/>
      <c r="N3128"/>
      <c r="O3128"/>
      <c r="P3128"/>
      <c r="T3128">
        <v>316</v>
      </c>
      <c r="U3128" s="7">
        <v>3</v>
      </c>
      <c r="V3128" t="s">
        <v>555</v>
      </c>
      <c r="W3128" s="257" t="s">
        <v>598</v>
      </c>
      <c r="X3128" t="s">
        <v>599</v>
      </c>
      <c r="Y3128" s="316" t="s">
        <v>558</v>
      </c>
      <c r="Z3128" s="8">
        <v>500</v>
      </c>
      <c r="AA3128" s="202" t="str">
        <f t="shared" si="49"/>
        <v>Общая масса готового блюда, г</v>
      </c>
    </row>
    <row r="3129" spans="1:27" ht="15" customHeight="1" x14ac:dyDescent="0.25">
      <c r="A3129" t="s">
        <v>153</v>
      </c>
      <c r="L3129"/>
      <c r="M3129"/>
      <c r="N3129"/>
      <c r="O3129"/>
      <c r="P3129"/>
      <c r="T3129">
        <v>317</v>
      </c>
      <c r="U3129" s="7">
        <v>3</v>
      </c>
      <c r="V3129" t="s">
        <v>555</v>
      </c>
      <c r="W3129" s="257" t="s">
        <v>598</v>
      </c>
      <c r="X3129" t="s">
        <v>599</v>
      </c>
      <c r="Y3129" s="316" t="s">
        <v>109</v>
      </c>
      <c r="Z3129" s="8">
        <v>250</v>
      </c>
      <c r="AA3129" s="202" t="str">
        <f t="shared" si="49"/>
        <v>ОКГ</v>
      </c>
    </row>
    <row r="3130" spans="1:27" ht="15" customHeight="1" x14ac:dyDescent="0.25">
      <c r="A3130" t="s">
        <v>153</v>
      </c>
      <c r="L3130"/>
      <c r="M3130"/>
      <c r="N3130"/>
      <c r="O3130"/>
      <c r="P3130"/>
      <c r="T3130">
        <v>318</v>
      </c>
      <c r="U3130" s="7">
        <v>3</v>
      </c>
      <c r="V3130" t="s">
        <v>555</v>
      </c>
      <c r="W3130" s="257" t="s">
        <v>598</v>
      </c>
      <c r="X3130" t="s">
        <v>599</v>
      </c>
      <c r="Y3130" s="316" t="s">
        <v>74</v>
      </c>
      <c r="Z3130" s="8">
        <v>0.02</v>
      </c>
      <c r="AA3130" s="202" t="str">
        <f t="shared" si="49"/>
        <v>Лавровый лист</v>
      </c>
    </row>
    <row r="3131" spans="1:27" ht="15" customHeight="1" x14ac:dyDescent="0.25">
      <c r="A3131" t="s">
        <v>153</v>
      </c>
      <c r="L3131"/>
      <c r="M3131"/>
      <c r="N3131"/>
      <c r="O3131"/>
      <c r="P3131"/>
      <c r="T3131">
        <v>319</v>
      </c>
      <c r="U3131" s="7">
        <v>3</v>
      </c>
      <c r="V3131" t="s">
        <v>555</v>
      </c>
      <c r="W3131" s="257" t="s">
        <v>598</v>
      </c>
      <c r="X3131" t="s">
        <v>599</v>
      </c>
      <c r="Y3131" s="316" t="s">
        <v>484</v>
      </c>
      <c r="Z3131" s="8">
        <v>0.05</v>
      </c>
      <c r="AA3131" s="202" t="str">
        <f t="shared" si="49"/>
        <v>Перец черный</v>
      </c>
    </row>
    <row r="3132" spans="1:27" ht="15" customHeight="1" x14ac:dyDescent="0.25">
      <c r="A3132" t="s">
        <v>153</v>
      </c>
      <c r="L3132"/>
      <c r="M3132"/>
      <c r="N3132"/>
      <c r="O3132"/>
      <c r="P3132"/>
      <c r="T3132">
        <v>221</v>
      </c>
      <c r="U3132" s="7">
        <v>3</v>
      </c>
      <c r="V3132" t="s">
        <v>555</v>
      </c>
      <c r="W3132" s="257" t="s">
        <v>1323</v>
      </c>
      <c r="X3132" t="s">
        <v>1327</v>
      </c>
      <c r="Y3132" s="316" t="s">
        <v>490</v>
      </c>
      <c r="Z3132" s="8">
        <v>80</v>
      </c>
      <c r="AA3132" s="202" t="str">
        <f t="shared" si="49"/>
        <v>Капуста свежая</v>
      </c>
    </row>
    <row r="3133" spans="1:27" ht="15" customHeight="1" x14ac:dyDescent="0.25">
      <c r="A3133" t="s">
        <v>153</v>
      </c>
      <c r="L3133"/>
      <c r="M3133"/>
      <c r="N3133"/>
      <c r="O3133"/>
      <c r="P3133"/>
      <c r="T3133">
        <v>222</v>
      </c>
      <c r="U3133" s="7">
        <v>3</v>
      </c>
      <c r="V3133" t="s">
        <v>555</v>
      </c>
      <c r="W3133" s="257" t="s">
        <v>1323</v>
      </c>
      <c r="X3133" t="s">
        <v>1327</v>
      </c>
      <c r="Y3133" s="316" t="s">
        <v>45</v>
      </c>
      <c r="Z3133" s="8">
        <v>185</v>
      </c>
      <c r="AA3133" s="202" t="str">
        <f t="shared" si="49"/>
        <v>Картофель</v>
      </c>
    </row>
    <row r="3134" spans="1:27" ht="15" customHeight="1" x14ac:dyDescent="0.25">
      <c r="A3134" t="s">
        <v>153</v>
      </c>
      <c r="L3134"/>
      <c r="M3134"/>
      <c r="N3134"/>
      <c r="O3134"/>
      <c r="P3134"/>
      <c r="T3134">
        <v>223</v>
      </c>
      <c r="U3134" s="7">
        <v>3</v>
      </c>
      <c r="V3134" t="s">
        <v>555</v>
      </c>
      <c r="W3134" s="257" t="s">
        <v>1323</v>
      </c>
      <c r="X3134" t="s">
        <v>1327</v>
      </c>
      <c r="Y3134" s="316" t="s">
        <v>25</v>
      </c>
      <c r="Z3134" s="8">
        <v>10</v>
      </c>
      <c r="AA3134" s="202" t="str">
        <f t="shared" si="49"/>
        <v>Горох</v>
      </c>
    </row>
    <row r="3135" spans="1:27" ht="15" customHeight="1" x14ac:dyDescent="0.25">
      <c r="A3135" t="s">
        <v>153</v>
      </c>
      <c r="L3135"/>
      <c r="M3135"/>
      <c r="N3135"/>
      <c r="O3135"/>
      <c r="P3135"/>
      <c r="T3135">
        <v>224</v>
      </c>
      <c r="U3135" s="7">
        <v>3</v>
      </c>
      <c r="V3135" t="s">
        <v>555</v>
      </c>
      <c r="W3135" s="257" t="s">
        <v>1323</v>
      </c>
      <c r="X3135" t="s">
        <v>1327</v>
      </c>
      <c r="Y3135" s="316" t="s">
        <v>33</v>
      </c>
      <c r="Z3135" s="8">
        <v>10</v>
      </c>
      <c r="AA3135" s="202" t="str">
        <f t="shared" si="49"/>
        <v>Пшено</v>
      </c>
    </row>
    <row r="3136" spans="1:27" ht="15" customHeight="1" x14ac:dyDescent="0.25">
      <c r="A3136" t="s">
        <v>153</v>
      </c>
      <c r="L3136"/>
      <c r="M3136"/>
      <c r="N3136"/>
      <c r="O3136"/>
      <c r="P3136"/>
      <c r="T3136">
        <v>224</v>
      </c>
      <c r="U3136" s="7">
        <v>3</v>
      </c>
      <c r="V3136" t="s">
        <v>555</v>
      </c>
      <c r="W3136" s="257" t="s">
        <v>1323</v>
      </c>
      <c r="X3136" t="s">
        <v>1327</v>
      </c>
      <c r="Y3136" s="316" t="s">
        <v>46</v>
      </c>
      <c r="Z3136" s="8">
        <v>10</v>
      </c>
      <c r="AA3136" s="202" t="str">
        <f t="shared" si="49"/>
        <v>Морковь</v>
      </c>
    </row>
    <row r="3137" spans="1:27" ht="15" customHeight="1" x14ac:dyDescent="0.25">
      <c r="A3137" t="s">
        <v>153</v>
      </c>
      <c r="L3137"/>
      <c r="M3137"/>
      <c r="N3137"/>
      <c r="O3137"/>
      <c r="P3137"/>
      <c r="T3137">
        <v>225</v>
      </c>
      <c r="U3137" s="7">
        <v>3</v>
      </c>
      <c r="V3137" t="s">
        <v>555</v>
      </c>
      <c r="W3137" s="257" t="s">
        <v>1323</v>
      </c>
      <c r="X3137" t="s">
        <v>1327</v>
      </c>
      <c r="Y3137" s="316" t="s">
        <v>32</v>
      </c>
      <c r="Z3137" s="8">
        <v>5</v>
      </c>
      <c r="AA3137" s="202" t="str">
        <f t="shared" si="49"/>
        <v>Лук репчатый</v>
      </c>
    </row>
    <row r="3138" spans="1:27" ht="15" customHeight="1" x14ac:dyDescent="0.25">
      <c r="A3138" t="s">
        <v>153</v>
      </c>
      <c r="L3138"/>
      <c r="M3138"/>
      <c r="N3138"/>
      <c r="O3138"/>
      <c r="P3138"/>
      <c r="T3138">
        <v>226</v>
      </c>
      <c r="U3138" s="7">
        <v>3</v>
      </c>
      <c r="V3138" t="s">
        <v>555</v>
      </c>
      <c r="W3138" s="257" t="s">
        <v>1323</v>
      </c>
      <c r="X3138" t="s">
        <v>1327</v>
      </c>
      <c r="Y3138" s="316" t="s">
        <v>61</v>
      </c>
      <c r="Z3138" s="8">
        <v>5</v>
      </c>
      <c r="AA3138" s="202" t="str">
        <f t="shared" ref="AA3138:AA3201" si="50">VLOOKUP(Y3138,O:P,2,FALSE)</f>
        <v>Масло растительное</v>
      </c>
    </row>
    <row r="3139" spans="1:27" ht="15" customHeight="1" x14ac:dyDescent="0.25">
      <c r="A3139" t="s">
        <v>153</v>
      </c>
      <c r="L3139"/>
      <c r="M3139"/>
      <c r="N3139"/>
      <c r="O3139"/>
      <c r="P3139"/>
      <c r="T3139">
        <v>227</v>
      </c>
      <c r="U3139" s="7">
        <v>3</v>
      </c>
      <c r="V3139" t="s">
        <v>555</v>
      </c>
      <c r="W3139" s="257" t="s">
        <v>1323</v>
      </c>
      <c r="X3139" t="s">
        <v>1327</v>
      </c>
      <c r="Y3139" s="316" t="s">
        <v>479</v>
      </c>
      <c r="Z3139" s="8">
        <v>400</v>
      </c>
      <c r="AA3139" s="202" t="str">
        <f t="shared" si="50"/>
        <v>Вода или бульон</v>
      </c>
    </row>
    <row r="3140" spans="1:27" ht="15" customHeight="1" x14ac:dyDescent="0.25">
      <c r="A3140" t="s">
        <v>153</v>
      </c>
      <c r="L3140"/>
      <c r="M3140"/>
      <c r="N3140"/>
      <c r="O3140"/>
      <c r="P3140"/>
      <c r="T3140">
        <v>228</v>
      </c>
      <c r="U3140" s="7">
        <v>3</v>
      </c>
      <c r="V3140" t="s">
        <v>555</v>
      </c>
      <c r="W3140" s="257" t="s">
        <v>1323</v>
      </c>
      <c r="X3140" t="s">
        <v>1327</v>
      </c>
      <c r="Y3140" s="316" t="s">
        <v>70</v>
      </c>
      <c r="Z3140" s="8">
        <v>5</v>
      </c>
      <c r="AA3140" s="202" t="str">
        <f t="shared" si="50"/>
        <v>Зелень</v>
      </c>
    </row>
    <row r="3141" spans="1:27" ht="15" customHeight="1" x14ac:dyDescent="0.25">
      <c r="A3141" t="s">
        <v>153</v>
      </c>
      <c r="L3141"/>
      <c r="M3141"/>
      <c r="N3141"/>
      <c r="O3141"/>
      <c r="P3141"/>
      <c r="T3141">
        <v>229</v>
      </c>
      <c r="U3141" s="7">
        <v>3</v>
      </c>
      <c r="V3141" t="s">
        <v>555</v>
      </c>
      <c r="W3141" s="257" t="s">
        <v>1323</v>
      </c>
      <c r="X3141" t="s">
        <v>1327</v>
      </c>
      <c r="Y3141" s="316" t="s">
        <v>326</v>
      </c>
      <c r="Z3141" s="8">
        <v>4</v>
      </c>
      <c r="AA3141" s="202" t="str">
        <f t="shared" si="50"/>
        <v>Соль</v>
      </c>
    </row>
    <row r="3142" spans="1:27" ht="15" customHeight="1" x14ac:dyDescent="0.25">
      <c r="A3142" t="s">
        <v>153</v>
      </c>
      <c r="L3142"/>
      <c r="M3142"/>
      <c r="N3142"/>
      <c r="O3142"/>
      <c r="P3142"/>
      <c r="T3142">
        <v>230</v>
      </c>
      <c r="U3142" s="7">
        <v>3</v>
      </c>
      <c r="V3142" t="s">
        <v>555</v>
      </c>
      <c r="W3142" s="257" t="s">
        <v>1323</v>
      </c>
      <c r="X3142" t="s">
        <v>1327</v>
      </c>
      <c r="Y3142" s="316" t="s">
        <v>558</v>
      </c>
      <c r="Z3142" s="8">
        <v>613</v>
      </c>
      <c r="AA3142" s="202" t="str">
        <f t="shared" si="50"/>
        <v>Общая масса готового блюда, г</v>
      </c>
    </row>
    <row r="3143" spans="1:27" ht="15" customHeight="1" x14ac:dyDescent="0.25">
      <c r="A3143" t="s">
        <v>153</v>
      </c>
      <c r="L3143"/>
      <c r="M3143"/>
      <c r="N3143"/>
      <c r="O3143"/>
      <c r="P3143"/>
      <c r="T3143">
        <v>231</v>
      </c>
      <c r="U3143" s="7">
        <v>3</v>
      </c>
      <c r="V3143" t="s">
        <v>555</v>
      </c>
      <c r="W3143" s="257" t="s">
        <v>1323</v>
      </c>
      <c r="X3143" t="s">
        <v>1327</v>
      </c>
      <c r="Y3143" s="316" t="s">
        <v>109</v>
      </c>
      <c r="Z3143" s="8">
        <v>306</v>
      </c>
      <c r="AA3143" s="202" t="str">
        <f t="shared" si="50"/>
        <v>ОКГ</v>
      </c>
    </row>
    <row r="3144" spans="1:27" ht="15" customHeight="1" x14ac:dyDescent="0.25">
      <c r="A3144" t="s">
        <v>153</v>
      </c>
      <c r="L3144"/>
      <c r="M3144"/>
      <c r="N3144"/>
      <c r="O3144"/>
      <c r="P3144"/>
      <c r="T3144">
        <v>232</v>
      </c>
      <c r="U3144" s="7">
        <v>3</v>
      </c>
      <c r="V3144" t="s">
        <v>555</v>
      </c>
      <c r="W3144" s="257" t="s">
        <v>1323</v>
      </c>
      <c r="X3144" t="s">
        <v>1327</v>
      </c>
      <c r="Y3144" s="316" t="s">
        <v>74</v>
      </c>
      <c r="Z3144" s="8">
        <v>0.02</v>
      </c>
      <c r="AA3144" s="202" t="str">
        <f t="shared" si="50"/>
        <v>Лавровый лист</v>
      </c>
    </row>
    <row r="3145" spans="1:27" ht="15" customHeight="1" x14ac:dyDescent="0.25">
      <c r="A3145" t="s">
        <v>153</v>
      </c>
      <c r="L3145"/>
      <c r="M3145"/>
      <c r="N3145"/>
      <c r="O3145"/>
      <c r="P3145"/>
      <c r="T3145">
        <v>233</v>
      </c>
      <c r="U3145" s="7">
        <v>3</v>
      </c>
      <c r="V3145" t="s">
        <v>555</v>
      </c>
      <c r="W3145" s="257" t="s">
        <v>1323</v>
      </c>
      <c r="X3145" t="s">
        <v>1327</v>
      </c>
      <c r="Y3145" s="316" t="s">
        <v>484</v>
      </c>
      <c r="Z3145" s="8">
        <v>0.05</v>
      </c>
      <c r="AA3145" s="202" t="str">
        <f t="shared" si="50"/>
        <v>Перец черный</v>
      </c>
    </row>
    <row r="3146" spans="1:27" ht="15" customHeight="1" x14ac:dyDescent="0.25">
      <c r="A3146" t="s">
        <v>153</v>
      </c>
      <c r="L3146"/>
      <c r="M3146"/>
      <c r="N3146"/>
      <c r="O3146"/>
      <c r="P3146"/>
      <c r="T3146">
        <v>386</v>
      </c>
      <c r="U3146" s="7">
        <v>3</v>
      </c>
      <c r="V3146" t="s">
        <v>555</v>
      </c>
      <c r="W3146" s="257" t="s">
        <v>600</v>
      </c>
      <c r="X3146" t="s">
        <v>601</v>
      </c>
      <c r="Y3146" s="316" t="s">
        <v>1214</v>
      </c>
      <c r="Z3146" s="8">
        <v>24</v>
      </c>
      <c r="AA3146" s="202" t="str">
        <f t="shared" si="50"/>
        <v>Масса мясных и рыбных порций, г</v>
      </c>
    </row>
    <row r="3147" spans="1:27" ht="15" customHeight="1" x14ac:dyDescent="0.25">
      <c r="A3147" t="s">
        <v>153</v>
      </c>
      <c r="L3147"/>
      <c r="M3147"/>
      <c r="N3147"/>
      <c r="O3147"/>
      <c r="P3147"/>
      <c r="T3147">
        <v>386</v>
      </c>
      <c r="U3147" s="7">
        <v>3</v>
      </c>
      <c r="V3147" t="s">
        <v>555</v>
      </c>
      <c r="W3147" s="257" t="s">
        <v>600</v>
      </c>
      <c r="X3147" t="s">
        <v>1258</v>
      </c>
      <c r="Y3147" s="316" t="s">
        <v>460</v>
      </c>
      <c r="Z3147" s="8">
        <v>24</v>
      </c>
      <c r="AA3147" s="202" t="str">
        <f t="shared" si="50"/>
        <v>Консервы рыбные</v>
      </c>
    </row>
    <row r="3148" spans="1:27" ht="15" customHeight="1" x14ac:dyDescent="0.25">
      <c r="A3148" t="s">
        <v>153</v>
      </c>
      <c r="L3148"/>
      <c r="M3148"/>
      <c r="N3148"/>
      <c r="O3148"/>
      <c r="P3148"/>
      <c r="T3148">
        <v>386</v>
      </c>
      <c r="U3148" s="7">
        <v>3</v>
      </c>
      <c r="V3148" t="s">
        <v>555</v>
      </c>
      <c r="W3148" s="257" t="s">
        <v>600</v>
      </c>
      <c r="X3148" t="s">
        <v>1258</v>
      </c>
      <c r="Y3148" s="316" t="s">
        <v>1214</v>
      </c>
      <c r="Z3148" s="8">
        <v>24</v>
      </c>
      <c r="AA3148" s="202" t="str">
        <f t="shared" si="50"/>
        <v>Масса мясных и рыбных порций, г</v>
      </c>
    </row>
    <row r="3149" spans="1:27" ht="15" customHeight="1" x14ac:dyDescent="0.25">
      <c r="A3149" t="s">
        <v>153</v>
      </c>
      <c r="L3149"/>
      <c r="M3149"/>
      <c r="N3149"/>
      <c r="O3149"/>
      <c r="P3149"/>
      <c r="T3149">
        <v>387</v>
      </c>
      <c r="U3149" s="7">
        <v>3</v>
      </c>
      <c r="V3149" t="s">
        <v>555</v>
      </c>
      <c r="W3149" s="257" t="s">
        <v>600</v>
      </c>
      <c r="X3149" t="s">
        <v>1258</v>
      </c>
      <c r="Y3149" s="316" t="s">
        <v>45</v>
      </c>
      <c r="Z3149" s="8">
        <v>125</v>
      </c>
      <c r="AA3149" s="202" t="str">
        <f t="shared" si="50"/>
        <v>Картофель</v>
      </c>
    </row>
    <row r="3150" spans="1:27" ht="15" customHeight="1" x14ac:dyDescent="0.25">
      <c r="A3150" t="s">
        <v>153</v>
      </c>
      <c r="L3150"/>
      <c r="M3150"/>
      <c r="N3150"/>
      <c r="O3150"/>
      <c r="P3150"/>
      <c r="T3150">
        <v>388</v>
      </c>
      <c r="U3150" s="7">
        <v>3</v>
      </c>
      <c r="V3150" t="s">
        <v>555</v>
      </c>
      <c r="W3150" s="257" t="s">
        <v>600</v>
      </c>
      <c r="X3150" t="s">
        <v>1258</v>
      </c>
      <c r="Y3150" s="316" t="s">
        <v>32</v>
      </c>
      <c r="Z3150" s="8">
        <v>10</v>
      </c>
      <c r="AA3150" s="202" t="str">
        <f t="shared" si="50"/>
        <v>Лук репчатый</v>
      </c>
    </row>
    <row r="3151" spans="1:27" ht="15" customHeight="1" x14ac:dyDescent="0.25">
      <c r="A3151" t="s">
        <v>153</v>
      </c>
      <c r="L3151"/>
      <c r="M3151"/>
      <c r="N3151"/>
      <c r="O3151"/>
      <c r="P3151"/>
      <c r="T3151">
        <v>389</v>
      </c>
      <c r="U3151" s="7">
        <v>3</v>
      </c>
      <c r="V3151" t="s">
        <v>555</v>
      </c>
      <c r="W3151" s="257" t="s">
        <v>600</v>
      </c>
      <c r="X3151" t="s">
        <v>1258</v>
      </c>
      <c r="Y3151" s="316" t="s">
        <v>46</v>
      </c>
      <c r="Z3151" s="8">
        <v>10</v>
      </c>
      <c r="AA3151" s="202" t="str">
        <f t="shared" si="50"/>
        <v>Морковь</v>
      </c>
    </row>
    <row r="3152" spans="1:27" ht="15" customHeight="1" x14ac:dyDescent="0.25">
      <c r="A3152" t="s">
        <v>153</v>
      </c>
      <c r="L3152"/>
      <c r="M3152"/>
      <c r="N3152"/>
      <c r="O3152"/>
      <c r="P3152"/>
      <c r="T3152">
        <v>390</v>
      </c>
      <c r="U3152" s="7">
        <v>3</v>
      </c>
      <c r="V3152" t="s">
        <v>555</v>
      </c>
      <c r="W3152" s="257" t="s">
        <v>600</v>
      </c>
      <c r="X3152" t="s">
        <v>1258</v>
      </c>
      <c r="Y3152" s="316" t="s">
        <v>208</v>
      </c>
      <c r="Z3152" s="8">
        <v>20</v>
      </c>
      <c r="AA3152" s="202" t="str">
        <f t="shared" si="50"/>
        <v>Перловая</v>
      </c>
    </row>
    <row r="3153" spans="1:27" ht="15" customHeight="1" x14ac:dyDescent="0.25">
      <c r="A3153" t="s">
        <v>153</v>
      </c>
      <c r="L3153"/>
      <c r="M3153"/>
      <c r="N3153"/>
      <c r="O3153"/>
      <c r="P3153"/>
      <c r="T3153">
        <v>391</v>
      </c>
      <c r="U3153" s="7">
        <v>3</v>
      </c>
      <c r="V3153" t="s">
        <v>555</v>
      </c>
      <c r="W3153" s="257" t="s">
        <v>600</v>
      </c>
      <c r="X3153" t="s">
        <v>1258</v>
      </c>
      <c r="Y3153" s="316" t="s">
        <v>479</v>
      </c>
      <c r="Z3153" s="8">
        <v>400</v>
      </c>
      <c r="AA3153" s="202" t="str">
        <f t="shared" si="50"/>
        <v>Вода или бульон</v>
      </c>
    </row>
    <row r="3154" spans="1:27" ht="15" customHeight="1" x14ac:dyDescent="0.25">
      <c r="A3154" t="s">
        <v>153</v>
      </c>
      <c r="L3154"/>
      <c r="M3154"/>
      <c r="N3154"/>
      <c r="O3154"/>
      <c r="P3154"/>
      <c r="T3154">
        <v>392</v>
      </c>
      <c r="U3154" s="7">
        <v>3</v>
      </c>
      <c r="V3154" t="s">
        <v>555</v>
      </c>
      <c r="W3154" s="257" t="s">
        <v>600</v>
      </c>
      <c r="X3154" t="s">
        <v>1258</v>
      </c>
      <c r="Y3154" s="316" t="s">
        <v>61</v>
      </c>
      <c r="Z3154" s="8">
        <v>4</v>
      </c>
      <c r="AA3154" s="202" t="str">
        <f t="shared" si="50"/>
        <v>Масло растительное</v>
      </c>
    </row>
    <row r="3155" spans="1:27" ht="15" customHeight="1" x14ac:dyDescent="0.25">
      <c r="A3155" t="s">
        <v>153</v>
      </c>
      <c r="L3155"/>
      <c r="M3155"/>
      <c r="N3155"/>
      <c r="O3155"/>
      <c r="P3155"/>
      <c r="T3155">
        <v>393</v>
      </c>
      <c r="U3155" s="7">
        <v>3</v>
      </c>
      <c r="V3155" t="s">
        <v>555</v>
      </c>
      <c r="W3155" s="257" t="s">
        <v>600</v>
      </c>
      <c r="X3155" t="s">
        <v>1258</v>
      </c>
      <c r="Y3155" s="316" t="s">
        <v>70</v>
      </c>
      <c r="Z3155" s="8">
        <v>5</v>
      </c>
      <c r="AA3155" s="202" t="str">
        <f t="shared" si="50"/>
        <v>Зелень</v>
      </c>
    </row>
    <row r="3156" spans="1:27" ht="15" customHeight="1" x14ac:dyDescent="0.25">
      <c r="A3156" t="s">
        <v>153</v>
      </c>
      <c r="L3156"/>
      <c r="M3156"/>
      <c r="N3156"/>
      <c r="O3156"/>
      <c r="P3156"/>
      <c r="T3156">
        <v>394</v>
      </c>
      <c r="U3156" s="7">
        <v>3</v>
      </c>
      <c r="V3156" t="s">
        <v>555</v>
      </c>
      <c r="W3156" s="257" t="s">
        <v>600</v>
      </c>
      <c r="X3156" t="s">
        <v>1258</v>
      </c>
      <c r="Y3156" s="316" t="s">
        <v>326</v>
      </c>
      <c r="Z3156" s="8">
        <v>4</v>
      </c>
      <c r="AA3156" s="202" t="str">
        <f t="shared" si="50"/>
        <v>Соль</v>
      </c>
    </row>
    <row r="3157" spans="1:27" ht="15" customHeight="1" x14ac:dyDescent="0.25">
      <c r="A3157" t="s">
        <v>153</v>
      </c>
      <c r="L3157"/>
      <c r="M3157"/>
      <c r="N3157"/>
      <c r="O3157"/>
      <c r="P3157"/>
      <c r="T3157">
        <v>395</v>
      </c>
      <c r="U3157" s="7">
        <v>3</v>
      </c>
      <c r="V3157" t="s">
        <v>555</v>
      </c>
      <c r="W3157" s="257" t="s">
        <v>600</v>
      </c>
      <c r="X3157" t="s">
        <v>1258</v>
      </c>
      <c r="Y3157" s="316" t="s">
        <v>558</v>
      </c>
      <c r="Z3157" s="8">
        <v>500</v>
      </c>
      <c r="AA3157" s="202" t="str">
        <f t="shared" si="50"/>
        <v>Общая масса готового блюда, г</v>
      </c>
    </row>
    <row r="3158" spans="1:27" ht="15" customHeight="1" x14ac:dyDescent="0.25">
      <c r="A3158" t="s">
        <v>153</v>
      </c>
      <c r="L3158"/>
      <c r="M3158"/>
      <c r="N3158"/>
      <c r="O3158"/>
      <c r="P3158"/>
      <c r="T3158">
        <v>396</v>
      </c>
      <c r="U3158" s="7">
        <v>3</v>
      </c>
      <c r="V3158" t="s">
        <v>555</v>
      </c>
      <c r="W3158" s="257" t="s">
        <v>600</v>
      </c>
      <c r="X3158" t="s">
        <v>1258</v>
      </c>
      <c r="Y3158" s="316" t="s">
        <v>109</v>
      </c>
      <c r="Z3158" s="8">
        <v>250</v>
      </c>
      <c r="AA3158" s="202" t="str">
        <f t="shared" si="50"/>
        <v>ОКГ</v>
      </c>
    </row>
    <row r="3159" spans="1:27" ht="15" customHeight="1" x14ac:dyDescent="0.25">
      <c r="A3159" t="s">
        <v>153</v>
      </c>
      <c r="L3159"/>
      <c r="M3159"/>
      <c r="N3159"/>
      <c r="O3159"/>
      <c r="P3159"/>
      <c r="T3159">
        <v>397</v>
      </c>
      <c r="U3159" s="7">
        <v>3</v>
      </c>
      <c r="V3159" t="s">
        <v>555</v>
      </c>
      <c r="W3159" s="257" t="s">
        <v>600</v>
      </c>
      <c r="X3159" t="s">
        <v>1258</v>
      </c>
      <c r="Y3159" s="316" t="s">
        <v>74</v>
      </c>
      <c r="Z3159" s="8">
        <v>0.02</v>
      </c>
      <c r="AA3159" s="202" t="str">
        <f t="shared" si="50"/>
        <v>Лавровый лист</v>
      </c>
    </row>
    <row r="3160" spans="1:27" ht="15" customHeight="1" x14ac:dyDescent="0.25">
      <c r="A3160" t="s">
        <v>153</v>
      </c>
      <c r="L3160"/>
      <c r="M3160"/>
      <c r="N3160"/>
      <c r="O3160"/>
      <c r="P3160"/>
      <c r="T3160">
        <v>398</v>
      </c>
      <c r="U3160" s="7">
        <v>3</v>
      </c>
      <c r="V3160" t="s">
        <v>555</v>
      </c>
      <c r="W3160" s="257" t="s">
        <v>600</v>
      </c>
      <c r="X3160" t="s">
        <v>1258</v>
      </c>
      <c r="Y3160" s="316" t="s">
        <v>484</v>
      </c>
      <c r="Z3160" s="8">
        <v>0.05</v>
      </c>
      <c r="AA3160" s="202" t="str">
        <f t="shared" si="50"/>
        <v>Перец черный</v>
      </c>
    </row>
    <row r="3161" spans="1:27" ht="15" customHeight="1" x14ac:dyDescent="0.25">
      <c r="A3161" t="s">
        <v>153</v>
      </c>
      <c r="L3161"/>
      <c r="M3161"/>
      <c r="N3161"/>
      <c r="O3161"/>
      <c r="P3161"/>
      <c r="T3161">
        <v>386</v>
      </c>
      <c r="U3161" s="7">
        <v>3</v>
      </c>
      <c r="V3161" t="s">
        <v>555</v>
      </c>
      <c r="W3161" s="257" t="s">
        <v>600</v>
      </c>
      <c r="X3161" t="s">
        <v>1259</v>
      </c>
      <c r="Y3161" s="316" t="s">
        <v>460</v>
      </c>
      <c r="Z3161" s="8">
        <v>24</v>
      </c>
      <c r="AA3161" s="202" t="str">
        <f t="shared" si="50"/>
        <v>Консервы рыбные</v>
      </c>
    </row>
    <row r="3162" spans="1:27" ht="15" customHeight="1" x14ac:dyDescent="0.25">
      <c r="A3162" t="s">
        <v>153</v>
      </c>
      <c r="L3162"/>
      <c r="M3162"/>
      <c r="N3162"/>
      <c r="O3162"/>
      <c r="P3162"/>
      <c r="T3162">
        <v>386</v>
      </c>
      <c r="U3162" s="7">
        <v>3</v>
      </c>
      <c r="V3162" t="s">
        <v>555</v>
      </c>
      <c r="W3162" s="257" t="s">
        <v>600</v>
      </c>
      <c r="X3162" t="s">
        <v>1259</v>
      </c>
      <c r="Y3162" s="316" t="s">
        <v>1214</v>
      </c>
      <c r="Z3162" s="8">
        <v>24</v>
      </c>
      <c r="AA3162" s="202" t="str">
        <f t="shared" si="50"/>
        <v>Масса мясных и рыбных порций, г</v>
      </c>
    </row>
    <row r="3163" spans="1:27" ht="15" customHeight="1" x14ac:dyDescent="0.25">
      <c r="A3163" t="s">
        <v>153</v>
      </c>
      <c r="L3163"/>
      <c r="M3163"/>
      <c r="N3163"/>
      <c r="O3163"/>
      <c r="P3163"/>
      <c r="T3163">
        <v>387</v>
      </c>
      <c r="U3163" s="7">
        <v>3</v>
      </c>
      <c r="V3163" t="s">
        <v>555</v>
      </c>
      <c r="W3163" s="257" t="s">
        <v>600</v>
      </c>
      <c r="X3163" t="s">
        <v>1259</v>
      </c>
      <c r="Y3163" s="316" t="s">
        <v>45</v>
      </c>
      <c r="Z3163" s="8">
        <v>125</v>
      </c>
      <c r="AA3163" s="202" t="str">
        <f t="shared" si="50"/>
        <v>Картофель</v>
      </c>
    </row>
    <row r="3164" spans="1:27" ht="15" customHeight="1" x14ac:dyDescent="0.25">
      <c r="A3164" t="s">
        <v>153</v>
      </c>
      <c r="L3164"/>
      <c r="M3164"/>
      <c r="N3164"/>
      <c r="O3164"/>
      <c r="P3164"/>
      <c r="T3164">
        <v>388</v>
      </c>
      <c r="U3164" s="7">
        <v>3</v>
      </c>
      <c r="V3164" t="s">
        <v>555</v>
      </c>
      <c r="W3164" s="257" t="s">
        <v>600</v>
      </c>
      <c r="X3164" t="s">
        <v>1259</v>
      </c>
      <c r="Y3164" s="316" t="s">
        <v>32</v>
      </c>
      <c r="Z3164" s="8">
        <v>10</v>
      </c>
      <c r="AA3164" s="202" t="str">
        <f t="shared" si="50"/>
        <v>Лук репчатый</v>
      </c>
    </row>
    <row r="3165" spans="1:27" ht="15" customHeight="1" x14ac:dyDescent="0.25">
      <c r="A3165" t="s">
        <v>153</v>
      </c>
      <c r="L3165"/>
      <c r="M3165"/>
      <c r="N3165"/>
      <c r="O3165"/>
      <c r="P3165"/>
      <c r="T3165">
        <v>389</v>
      </c>
      <c r="U3165" s="7">
        <v>3</v>
      </c>
      <c r="V3165" t="s">
        <v>555</v>
      </c>
      <c r="W3165" s="257" t="s">
        <v>600</v>
      </c>
      <c r="X3165" t="s">
        <v>1259</v>
      </c>
      <c r="Y3165" s="316" t="s">
        <v>46</v>
      </c>
      <c r="Z3165" s="8">
        <v>10</v>
      </c>
      <c r="AA3165" s="202" t="str">
        <f t="shared" si="50"/>
        <v>Морковь</v>
      </c>
    </row>
    <row r="3166" spans="1:27" ht="15" customHeight="1" x14ac:dyDescent="0.25">
      <c r="A3166" t="s">
        <v>153</v>
      </c>
      <c r="L3166"/>
      <c r="M3166"/>
      <c r="N3166"/>
      <c r="O3166"/>
      <c r="P3166"/>
      <c r="T3166">
        <v>390</v>
      </c>
      <c r="U3166" s="7">
        <v>3</v>
      </c>
      <c r="V3166" t="s">
        <v>555</v>
      </c>
      <c r="W3166" s="257" t="s">
        <v>600</v>
      </c>
      <c r="X3166" t="s">
        <v>1259</v>
      </c>
      <c r="Y3166" s="316" t="s">
        <v>33</v>
      </c>
      <c r="Z3166" s="8">
        <v>20</v>
      </c>
      <c r="AA3166" s="202" t="str">
        <f t="shared" si="50"/>
        <v>Пшено</v>
      </c>
    </row>
    <row r="3167" spans="1:27" ht="15" customHeight="1" x14ac:dyDescent="0.25">
      <c r="A3167" t="s">
        <v>153</v>
      </c>
      <c r="L3167"/>
      <c r="M3167"/>
      <c r="N3167"/>
      <c r="O3167"/>
      <c r="P3167"/>
      <c r="T3167">
        <v>391</v>
      </c>
      <c r="U3167" s="7">
        <v>3</v>
      </c>
      <c r="V3167" t="s">
        <v>555</v>
      </c>
      <c r="W3167" s="257" t="s">
        <v>600</v>
      </c>
      <c r="X3167" t="s">
        <v>1259</v>
      </c>
      <c r="Y3167" s="316" t="s">
        <v>479</v>
      </c>
      <c r="Z3167" s="8">
        <v>400</v>
      </c>
      <c r="AA3167" s="202" t="str">
        <f t="shared" si="50"/>
        <v>Вода или бульон</v>
      </c>
    </row>
    <row r="3168" spans="1:27" ht="15" customHeight="1" x14ac:dyDescent="0.25">
      <c r="A3168" t="s">
        <v>153</v>
      </c>
      <c r="L3168"/>
      <c r="M3168"/>
      <c r="N3168"/>
      <c r="O3168"/>
      <c r="P3168"/>
      <c r="T3168">
        <v>392</v>
      </c>
      <c r="U3168" s="7">
        <v>3</v>
      </c>
      <c r="V3168" t="s">
        <v>555</v>
      </c>
      <c r="W3168" s="257" t="s">
        <v>600</v>
      </c>
      <c r="X3168" t="s">
        <v>1259</v>
      </c>
      <c r="Y3168" s="316" t="s">
        <v>61</v>
      </c>
      <c r="Z3168" s="8">
        <v>4</v>
      </c>
      <c r="AA3168" s="202" t="str">
        <f t="shared" si="50"/>
        <v>Масло растительное</v>
      </c>
    </row>
    <row r="3169" spans="1:27" ht="15" customHeight="1" x14ac:dyDescent="0.25">
      <c r="A3169" t="s">
        <v>153</v>
      </c>
      <c r="L3169"/>
      <c r="M3169"/>
      <c r="N3169"/>
      <c r="O3169"/>
      <c r="P3169"/>
      <c r="T3169">
        <v>393</v>
      </c>
      <c r="U3169" s="7">
        <v>3</v>
      </c>
      <c r="V3169" t="s">
        <v>555</v>
      </c>
      <c r="W3169" s="257" t="s">
        <v>600</v>
      </c>
      <c r="X3169" t="s">
        <v>1259</v>
      </c>
      <c r="Y3169" s="316" t="s">
        <v>70</v>
      </c>
      <c r="Z3169" s="8">
        <v>5</v>
      </c>
      <c r="AA3169" s="202" t="str">
        <f t="shared" si="50"/>
        <v>Зелень</v>
      </c>
    </row>
    <row r="3170" spans="1:27" ht="15" customHeight="1" x14ac:dyDescent="0.25">
      <c r="A3170" t="s">
        <v>153</v>
      </c>
      <c r="L3170"/>
      <c r="M3170"/>
      <c r="N3170"/>
      <c r="O3170"/>
      <c r="P3170"/>
      <c r="T3170">
        <v>394</v>
      </c>
      <c r="U3170" s="7">
        <v>3</v>
      </c>
      <c r="V3170" t="s">
        <v>555</v>
      </c>
      <c r="W3170" s="257" t="s">
        <v>600</v>
      </c>
      <c r="X3170" t="s">
        <v>1259</v>
      </c>
      <c r="Y3170" s="316" t="s">
        <v>326</v>
      </c>
      <c r="Z3170" s="8">
        <v>4</v>
      </c>
      <c r="AA3170" s="202" t="str">
        <f t="shared" si="50"/>
        <v>Соль</v>
      </c>
    </row>
    <row r="3171" spans="1:27" ht="15" customHeight="1" x14ac:dyDescent="0.25">
      <c r="A3171" t="s">
        <v>153</v>
      </c>
      <c r="L3171"/>
      <c r="M3171"/>
      <c r="N3171"/>
      <c r="O3171"/>
      <c r="P3171"/>
      <c r="T3171">
        <v>395</v>
      </c>
      <c r="U3171" s="7">
        <v>3</v>
      </c>
      <c r="V3171" t="s">
        <v>555</v>
      </c>
      <c r="W3171" s="257" t="s">
        <v>600</v>
      </c>
      <c r="X3171" t="s">
        <v>1259</v>
      </c>
      <c r="Y3171" s="316" t="s">
        <v>558</v>
      </c>
      <c r="Z3171" s="8">
        <v>500</v>
      </c>
      <c r="AA3171" s="202" t="str">
        <f t="shared" si="50"/>
        <v>Общая масса готового блюда, г</v>
      </c>
    </row>
    <row r="3172" spans="1:27" ht="15" customHeight="1" x14ac:dyDescent="0.25">
      <c r="A3172" t="s">
        <v>153</v>
      </c>
      <c r="L3172"/>
      <c r="M3172"/>
      <c r="N3172"/>
      <c r="O3172"/>
      <c r="P3172"/>
      <c r="T3172">
        <v>396</v>
      </c>
      <c r="U3172" s="7">
        <v>3</v>
      </c>
      <c r="V3172" t="s">
        <v>555</v>
      </c>
      <c r="W3172" s="257" t="s">
        <v>600</v>
      </c>
      <c r="X3172" t="s">
        <v>1259</v>
      </c>
      <c r="Y3172" s="316" t="s">
        <v>109</v>
      </c>
      <c r="Z3172" s="8">
        <v>250</v>
      </c>
      <c r="AA3172" s="202" t="str">
        <f t="shared" si="50"/>
        <v>ОКГ</v>
      </c>
    </row>
    <row r="3173" spans="1:27" ht="15" customHeight="1" x14ac:dyDescent="0.25">
      <c r="A3173" t="s">
        <v>153</v>
      </c>
      <c r="L3173"/>
      <c r="M3173"/>
      <c r="N3173"/>
      <c r="O3173"/>
      <c r="P3173"/>
      <c r="T3173">
        <v>397</v>
      </c>
      <c r="U3173" s="7">
        <v>3</v>
      </c>
      <c r="V3173" t="s">
        <v>555</v>
      </c>
      <c r="W3173" s="257" t="s">
        <v>600</v>
      </c>
      <c r="X3173" t="s">
        <v>1259</v>
      </c>
      <c r="Y3173" s="316" t="s">
        <v>74</v>
      </c>
      <c r="Z3173" s="8">
        <v>0.02</v>
      </c>
      <c r="AA3173" s="202" t="str">
        <f t="shared" si="50"/>
        <v>Лавровый лист</v>
      </c>
    </row>
    <row r="3174" spans="1:27" ht="15" customHeight="1" x14ac:dyDescent="0.25">
      <c r="A3174" t="s">
        <v>153</v>
      </c>
      <c r="L3174"/>
      <c r="M3174"/>
      <c r="N3174"/>
      <c r="O3174"/>
      <c r="P3174"/>
      <c r="T3174">
        <v>398</v>
      </c>
      <c r="U3174" s="7">
        <v>3</v>
      </c>
      <c r="V3174" t="s">
        <v>555</v>
      </c>
      <c r="W3174" s="257" t="s">
        <v>600</v>
      </c>
      <c r="X3174" t="s">
        <v>1259</v>
      </c>
      <c r="Y3174" s="316" t="s">
        <v>484</v>
      </c>
      <c r="Z3174" s="8">
        <v>0.05</v>
      </c>
      <c r="AA3174" s="202" t="str">
        <f t="shared" si="50"/>
        <v>Перец черный</v>
      </c>
    </row>
    <row r="3175" spans="1:27" ht="15" customHeight="1" x14ac:dyDescent="0.25">
      <c r="A3175" t="s">
        <v>153</v>
      </c>
      <c r="L3175"/>
      <c r="M3175"/>
      <c r="N3175"/>
      <c r="O3175"/>
      <c r="P3175"/>
      <c r="T3175">
        <v>386</v>
      </c>
      <c r="U3175" s="7">
        <v>3</v>
      </c>
      <c r="V3175" t="s">
        <v>555</v>
      </c>
      <c r="W3175" s="257" t="s">
        <v>600</v>
      </c>
      <c r="X3175" t="s">
        <v>1260</v>
      </c>
      <c r="Y3175" s="316" t="s">
        <v>460</v>
      </c>
      <c r="Z3175" s="8">
        <v>24</v>
      </c>
      <c r="AA3175" s="202" t="str">
        <f t="shared" si="50"/>
        <v>Консервы рыбные</v>
      </c>
    </row>
    <row r="3176" spans="1:27" ht="15" customHeight="1" x14ac:dyDescent="0.25">
      <c r="A3176" t="s">
        <v>153</v>
      </c>
      <c r="L3176"/>
      <c r="M3176"/>
      <c r="N3176"/>
      <c r="O3176"/>
      <c r="P3176"/>
      <c r="T3176">
        <v>387</v>
      </c>
      <c r="U3176" s="7">
        <v>3</v>
      </c>
      <c r="V3176" t="s">
        <v>555</v>
      </c>
      <c r="W3176" s="257" t="s">
        <v>600</v>
      </c>
      <c r="X3176" t="s">
        <v>1260</v>
      </c>
      <c r="Y3176" s="316" t="s">
        <v>45</v>
      </c>
      <c r="Z3176" s="8">
        <v>125</v>
      </c>
      <c r="AA3176" s="202" t="str">
        <f t="shared" si="50"/>
        <v>Картофель</v>
      </c>
    </row>
    <row r="3177" spans="1:27" ht="15" customHeight="1" x14ac:dyDescent="0.25">
      <c r="A3177" t="s">
        <v>153</v>
      </c>
      <c r="L3177"/>
      <c r="M3177"/>
      <c r="N3177"/>
      <c r="O3177"/>
      <c r="P3177"/>
      <c r="T3177">
        <v>388</v>
      </c>
      <c r="U3177" s="7">
        <v>3</v>
      </c>
      <c r="V3177" t="s">
        <v>555</v>
      </c>
      <c r="W3177" s="257" t="s">
        <v>600</v>
      </c>
      <c r="X3177" t="s">
        <v>1260</v>
      </c>
      <c r="Y3177" s="316" t="s">
        <v>32</v>
      </c>
      <c r="Z3177" s="8">
        <v>10</v>
      </c>
      <c r="AA3177" s="202" t="str">
        <f t="shared" si="50"/>
        <v>Лук репчатый</v>
      </c>
    </row>
    <row r="3178" spans="1:27" ht="15" customHeight="1" x14ac:dyDescent="0.25">
      <c r="A3178" t="s">
        <v>153</v>
      </c>
      <c r="L3178"/>
      <c r="M3178"/>
      <c r="N3178"/>
      <c r="O3178"/>
      <c r="P3178"/>
      <c r="T3178">
        <v>389</v>
      </c>
      <c r="U3178" s="7">
        <v>3</v>
      </c>
      <c r="V3178" t="s">
        <v>555</v>
      </c>
      <c r="W3178" s="257" t="s">
        <v>600</v>
      </c>
      <c r="X3178" t="s">
        <v>1260</v>
      </c>
      <c r="Y3178" s="316" t="s">
        <v>46</v>
      </c>
      <c r="Z3178" s="8">
        <v>10</v>
      </c>
      <c r="AA3178" s="202" t="str">
        <f t="shared" si="50"/>
        <v>Морковь</v>
      </c>
    </row>
    <row r="3179" spans="1:27" ht="15" customHeight="1" x14ac:dyDescent="0.25">
      <c r="A3179" t="s">
        <v>153</v>
      </c>
      <c r="L3179"/>
      <c r="M3179"/>
      <c r="N3179"/>
      <c r="O3179"/>
      <c r="P3179"/>
      <c r="T3179">
        <v>390</v>
      </c>
      <c r="U3179" s="7">
        <v>3</v>
      </c>
      <c r="V3179" t="s">
        <v>555</v>
      </c>
      <c r="W3179" s="257" t="s">
        <v>600</v>
      </c>
      <c r="X3179" t="s">
        <v>1260</v>
      </c>
      <c r="Y3179" s="316" t="s">
        <v>27</v>
      </c>
      <c r="Z3179" s="8">
        <v>20</v>
      </c>
      <c r="AA3179" s="202" t="str">
        <f t="shared" si="50"/>
        <v>Рис</v>
      </c>
    </row>
    <row r="3180" spans="1:27" ht="15" customHeight="1" x14ac:dyDescent="0.25">
      <c r="A3180" t="s">
        <v>153</v>
      </c>
      <c r="L3180"/>
      <c r="M3180"/>
      <c r="N3180"/>
      <c r="O3180"/>
      <c r="P3180"/>
      <c r="T3180">
        <v>391</v>
      </c>
      <c r="U3180" s="7">
        <v>3</v>
      </c>
      <c r="V3180" t="s">
        <v>555</v>
      </c>
      <c r="W3180" s="257" t="s">
        <v>600</v>
      </c>
      <c r="X3180" t="s">
        <v>1260</v>
      </c>
      <c r="Y3180" s="316" t="s">
        <v>479</v>
      </c>
      <c r="Z3180" s="8">
        <v>400</v>
      </c>
      <c r="AA3180" s="202" t="str">
        <f t="shared" si="50"/>
        <v>Вода или бульон</v>
      </c>
    </row>
    <row r="3181" spans="1:27" ht="15" customHeight="1" x14ac:dyDescent="0.25">
      <c r="A3181" t="s">
        <v>153</v>
      </c>
      <c r="L3181"/>
      <c r="M3181"/>
      <c r="N3181"/>
      <c r="O3181"/>
      <c r="P3181"/>
      <c r="T3181">
        <v>392</v>
      </c>
      <c r="U3181" s="7">
        <v>3</v>
      </c>
      <c r="V3181" t="s">
        <v>555</v>
      </c>
      <c r="W3181" s="257" t="s">
        <v>600</v>
      </c>
      <c r="X3181" t="s">
        <v>1260</v>
      </c>
      <c r="Y3181" s="316" t="s">
        <v>61</v>
      </c>
      <c r="Z3181" s="8">
        <v>4</v>
      </c>
      <c r="AA3181" s="202" t="str">
        <f t="shared" si="50"/>
        <v>Масло растительное</v>
      </c>
    </row>
    <row r="3182" spans="1:27" ht="15" customHeight="1" x14ac:dyDescent="0.25">
      <c r="A3182" t="s">
        <v>153</v>
      </c>
      <c r="L3182"/>
      <c r="M3182"/>
      <c r="N3182"/>
      <c r="O3182"/>
      <c r="P3182"/>
      <c r="T3182">
        <v>393</v>
      </c>
      <c r="U3182" s="7">
        <v>3</v>
      </c>
      <c r="V3182" t="s">
        <v>555</v>
      </c>
      <c r="W3182" s="257" t="s">
        <v>600</v>
      </c>
      <c r="X3182" t="s">
        <v>1260</v>
      </c>
      <c r="Y3182" s="316" t="s">
        <v>70</v>
      </c>
      <c r="Z3182" s="8">
        <v>5</v>
      </c>
      <c r="AA3182" s="202" t="str">
        <f t="shared" si="50"/>
        <v>Зелень</v>
      </c>
    </row>
    <row r="3183" spans="1:27" ht="15" customHeight="1" x14ac:dyDescent="0.25">
      <c r="A3183" t="s">
        <v>153</v>
      </c>
      <c r="L3183"/>
      <c r="M3183"/>
      <c r="N3183"/>
      <c r="O3183"/>
      <c r="P3183"/>
      <c r="T3183">
        <v>394</v>
      </c>
      <c r="U3183" s="7">
        <v>3</v>
      </c>
      <c r="V3183" t="s">
        <v>555</v>
      </c>
      <c r="W3183" s="257" t="s">
        <v>600</v>
      </c>
      <c r="X3183" t="s">
        <v>1260</v>
      </c>
      <c r="Y3183" s="316" t="s">
        <v>326</v>
      </c>
      <c r="Z3183" s="8">
        <v>4</v>
      </c>
      <c r="AA3183" s="202" t="str">
        <f t="shared" si="50"/>
        <v>Соль</v>
      </c>
    </row>
    <row r="3184" spans="1:27" ht="15" customHeight="1" x14ac:dyDescent="0.25">
      <c r="A3184" t="s">
        <v>153</v>
      </c>
      <c r="L3184"/>
      <c r="M3184"/>
      <c r="N3184"/>
      <c r="O3184"/>
      <c r="P3184"/>
      <c r="T3184">
        <v>395</v>
      </c>
      <c r="U3184" s="7">
        <v>3</v>
      </c>
      <c r="V3184" t="s">
        <v>555</v>
      </c>
      <c r="W3184" s="257" t="s">
        <v>600</v>
      </c>
      <c r="X3184" t="s">
        <v>1260</v>
      </c>
      <c r="Y3184" s="316" t="s">
        <v>558</v>
      </c>
      <c r="Z3184" s="8">
        <v>500</v>
      </c>
      <c r="AA3184" s="202" t="str">
        <f t="shared" si="50"/>
        <v>Общая масса готового блюда, г</v>
      </c>
    </row>
    <row r="3185" spans="1:27" ht="15" customHeight="1" x14ac:dyDescent="0.25">
      <c r="A3185" t="s">
        <v>153</v>
      </c>
      <c r="L3185"/>
      <c r="M3185"/>
      <c r="N3185"/>
      <c r="O3185"/>
      <c r="P3185"/>
      <c r="T3185">
        <v>396</v>
      </c>
      <c r="U3185" s="7">
        <v>3</v>
      </c>
      <c r="V3185" t="s">
        <v>555</v>
      </c>
      <c r="W3185" s="257" t="s">
        <v>600</v>
      </c>
      <c r="X3185" t="s">
        <v>1260</v>
      </c>
      <c r="Y3185" s="316" t="s">
        <v>109</v>
      </c>
      <c r="Z3185" s="8">
        <v>250</v>
      </c>
      <c r="AA3185" s="202" t="str">
        <f t="shared" si="50"/>
        <v>ОКГ</v>
      </c>
    </row>
    <row r="3186" spans="1:27" ht="15" customHeight="1" x14ac:dyDescent="0.25">
      <c r="A3186" t="s">
        <v>153</v>
      </c>
      <c r="L3186"/>
      <c r="M3186"/>
      <c r="N3186"/>
      <c r="O3186"/>
      <c r="P3186"/>
      <c r="T3186">
        <v>397</v>
      </c>
      <c r="U3186" s="7">
        <v>3</v>
      </c>
      <c r="V3186" t="s">
        <v>555</v>
      </c>
      <c r="W3186" s="257" t="s">
        <v>600</v>
      </c>
      <c r="X3186" t="s">
        <v>1260</v>
      </c>
      <c r="Y3186" s="316" t="s">
        <v>74</v>
      </c>
      <c r="Z3186" s="8">
        <v>0.02</v>
      </c>
      <c r="AA3186" s="202" t="str">
        <f t="shared" si="50"/>
        <v>Лавровый лист</v>
      </c>
    </row>
    <row r="3187" spans="1:27" ht="15" customHeight="1" x14ac:dyDescent="0.25">
      <c r="A3187" t="s">
        <v>153</v>
      </c>
      <c r="L3187"/>
      <c r="M3187"/>
      <c r="N3187"/>
      <c r="O3187"/>
      <c r="P3187"/>
      <c r="T3187">
        <v>398</v>
      </c>
      <c r="U3187" s="7">
        <v>3</v>
      </c>
      <c r="V3187" t="s">
        <v>555</v>
      </c>
      <c r="W3187" s="257" t="s">
        <v>600</v>
      </c>
      <c r="X3187" t="s">
        <v>1260</v>
      </c>
      <c r="Y3187" s="316" t="s">
        <v>484</v>
      </c>
      <c r="Z3187" s="8">
        <v>0.05</v>
      </c>
      <c r="AA3187" s="202" t="str">
        <f t="shared" si="50"/>
        <v>Перец черный</v>
      </c>
    </row>
    <row r="3188" spans="1:27" ht="15" customHeight="1" x14ac:dyDescent="0.25">
      <c r="A3188" t="s">
        <v>153</v>
      </c>
      <c r="L3188"/>
      <c r="M3188"/>
      <c r="N3188"/>
      <c r="O3188"/>
      <c r="P3188"/>
      <c r="T3188">
        <v>320</v>
      </c>
      <c r="U3188" s="7">
        <v>3</v>
      </c>
      <c r="V3188" t="s">
        <v>555</v>
      </c>
      <c r="W3188" s="257" t="s">
        <v>602</v>
      </c>
      <c r="X3188" t="s">
        <v>603</v>
      </c>
      <c r="Y3188" s="316" t="s">
        <v>65</v>
      </c>
      <c r="Z3188" s="8">
        <v>30</v>
      </c>
      <c r="AA3188" s="202" t="str">
        <f t="shared" si="50"/>
        <v>Мясо птицы</v>
      </c>
    </row>
    <row r="3189" spans="1:27" ht="15" customHeight="1" x14ac:dyDescent="0.25">
      <c r="A3189" t="s">
        <v>153</v>
      </c>
      <c r="L3189"/>
      <c r="M3189"/>
      <c r="N3189"/>
      <c r="O3189"/>
      <c r="P3189"/>
      <c r="T3189">
        <v>320</v>
      </c>
      <c r="U3189" s="7">
        <v>3</v>
      </c>
      <c r="V3189" t="s">
        <v>555</v>
      </c>
      <c r="W3189" s="257" t="s">
        <v>602</v>
      </c>
      <c r="X3189" t="s">
        <v>603</v>
      </c>
      <c r="Y3189" s="316" t="s">
        <v>1214</v>
      </c>
      <c r="Z3189" s="8">
        <v>26.67</v>
      </c>
      <c r="AA3189" s="202" t="str">
        <f t="shared" si="50"/>
        <v>Масса мясных и рыбных порций, г</v>
      </c>
    </row>
    <row r="3190" spans="1:27" ht="15" customHeight="1" x14ac:dyDescent="0.25">
      <c r="A3190" t="s">
        <v>153</v>
      </c>
      <c r="L3190"/>
      <c r="M3190"/>
      <c r="N3190"/>
      <c r="O3190"/>
      <c r="P3190"/>
      <c r="T3190">
        <v>321</v>
      </c>
      <c r="U3190" s="7">
        <v>3</v>
      </c>
      <c r="V3190" t="s">
        <v>555</v>
      </c>
      <c r="W3190" s="257" t="s">
        <v>602</v>
      </c>
      <c r="X3190" t="s">
        <v>603</v>
      </c>
      <c r="Y3190" s="316" t="s">
        <v>45</v>
      </c>
      <c r="Z3190" s="8">
        <v>100</v>
      </c>
      <c r="AA3190" s="202" t="str">
        <f t="shared" si="50"/>
        <v>Картофель</v>
      </c>
    </row>
    <row r="3191" spans="1:27" ht="15" customHeight="1" x14ac:dyDescent="0.25">
      <c r="A3191" t="s">
        <v>153</v>
      </c>
      <c r="L3191"/>
      <c r="M3191"/>
      <c r="N3191"/>
      <c r="O3191"/>
      <c r="P3191"/>
      <c r="T3191">
        <v>322</v>
      </c>
      <c r="U3191" s="7">
        <v>3</v>
      </c>
      <c r="V3191" t="s">
        <v>555</v>
      </c>
      <c r="W3191" s="257" t="s">
        <v>602</v>
      </c>
      <c r="X3191" t="s">
        <v>603</v>
      </c>
      <c r="Y3191" s="316" t="s">
        <v>32</v>
      </c>
      <c r="Z3191" s="8">
        <v>10</v>
      </c>
      <c r="AA3191" s="202" t="str">
        <f t="shared" si="50"/>
        <v>Лук репчатый</v>
      </c>
    </row>
    <row r="3192" spans="1:27" ht="15" customHeight="1" x14ac:dyDescent="0.25">
      <c r="A3192" t="s">
        <v>153</v>
      </c>
      <c r="L3192"/>
      <c r="M3192"/>
      <c r="N3192"/>
      <c r="O3192"/>
      <c r="P3192"/>
      <c r="T3192">
        <v>323</v>
      </c>
      <c r="U3192" s="7">
        <v>3</v>
      </c>
      <c r="V3192" t="s">
        <v>555</v>
      </c>
      <c r="W3192" s="257" t="s">
        <v>602</v>
      </c>
      <c r="X3192" t="s">
        <v>603</v>
      </c>
      <c r="Y3192" s="316" t="s">
        <v>46</v>
      </c>
      <c r="Z3192" s="8">
        <v>10</v>
      </c>
      <c r="AA3192" s="202" t="str">
        <f t="shared" si="50"/>
        <v>Морковь</v>
      </c>
    </row>
    <row r="3193" spans="1:27" ht="15" customHeight="1" x14ac:dyDescent="0.25">
      <c r="A3193" t="s">
        <v>153</v>
      </c>
      <c r="L3193"/>
      <c r="M3193"/>
      <c r="N3193"/>
      <c r="O3193"/>
      <c r="P3193"/>
      <c r="T3193">
        <v>324</v>
      </c>
      <c r="U3193" s="7">
        <v>3</v>
      </c>
      <c r="V3193" t="s">
        <v>555</v>
      </c>
      <c r="W3193" s="257" t="s">
        <v>602</v>
      </c>
      <c r="X3193" t="s">
        <v>603</v>
      </c>
      <c r="Y3193" s="316" t="s">
        <v>79</v>
      </c>
      <c r="Z3193" s="8">
        <v>0.66700000000000004</v>
      </c>
      <c r="AA3193" s="202" t="str">
        <f t="shared" si="50"/>
        <v>Яйцо (шт)</v>
      </c>
    </row>
    <row r="3194" spans="1:27" ht="15" customHeight="1" x14ac:dyDescent="0.25">
      <c r="A3194" t="s">
        <v>153</v>
      </c>
      <c r="L3194"/>
      <c r="M3194"/>
      <c r="N3194"/>
      <c r="O3194"/>
      <c r="P3194"/>
      <c r="T3194">
        <v>325</v>
      </c>
      <c r="U3194" s="7">
        <v>3</v>
      </c>
      <c r="V3194" t="s">
        <v>555</v>
      </c>
      <c r="W3194" s="257" t="s">
        <v>602</v>
      </c>
      <c r="X3194" t="s">
        <v>603</v>
      </c>
      <c r="Y3194" s="316" t="s">
        <v>434</v>
      </c>
      <c r="Z3194" s="8">
        <v>20</v>
      </c>
      <c r="AA3194" s="202" t="str">
        <f t="shared" si="50"/>
        <v>Мука пшеничная 1 с</v>
      </c>
    </row>
    <row r="3195" spans="1:27" ht="15" customHeight="1" x14ac:dyDescent="0.25">
      <c r="A3195" t="s">
        <v>153</v>
      </c>
      <c r="L3195"/>
      <c r="M3195"/>
      <c r="N3195"/>
      <c r="O3195"/>
      <c r="P3195"/>
      <c r="T3195">
        <v>326</v>
      </c>
      <c r="U3195" s="7">
        <v>3</v>
      </c>
      <c r="V3195" t="s">
        <v>555</v>
      </c>
      <c r="W3195" s="257" t="s">
        <v>602</v>
      </c>
      <c r="X3195" t="s">
        <v>603</v>
      </c>
      <c r="Y3195" s="316" t="s">
        <v>61</v>
      </c>
      <c r="Z3195" s="8">
        <v>4</v>
      </c>
      <c r="AA3195" s="202" t="str">
        <f t="shared" si="50"/>
        <v>Масло растительное</v>
      </c>
    </row>
    <row r="3196" spans="1:27" ht="15" customHeight="1" x14ac:dyDescent="0.25">
      <c r="A3196" t="s">
        <v>153</v>
      </c>
      <c r="L3196"/>
      <c r="M3196"/>
      <c r="N3196"/>
      <c r="O3196"/>
      <c r="P3196"/>
      <c r="T3196">
        <v>327</v>
      </c>
      <c r="U3196" s="7">
        <v>3</v>
      </c>
      <c r="V3196" t="s">
        <v>555</v>
      </c>
      <c r="W3196" s="257" t="s">
        <v>602</v>
      </c>
      <c r="X3196" t="s">
        <v>603</v>
      </c>
      <c r="Y3196" s="316" t="s">
        <v>452</v>
      </c>
      <c r="Z3196" s="8">
        <v>5</v>
      </c>
      <c r="AA3196" s="202" t="str">
        <f t="shared" si="50"/>
        <v>Масло коровье</v>
      </c>
    </row>
    <row r="3197" spans="1:27" ht="15" customHeight="1" x14ac:dyDescent="0.25">
      <c r="A3197" t="s">
        <v>153</v>
      </c>
      <c r="L3197"/>
      <c r="M3197"/>
      <c r="N3197"/>
      <c r="O3197"/>
      <c r="P3197"/>
      <c r="T3197">
        <v>328</v>
      </c>
      <c r="U3197" s="7">
        <v>3</v>
      </c>
      <c r="V3197" t="s">
        <v>555</v>
      </c>
      <c r="W3197" s="257" t="s">
        <v>602</v>
      </c>
      <c r="X3197" t="s">
        <v>603</v>
      </c>
      <c r="Y3197" s="316" t="s">
        <v>70</v>
      </c>
      <c r="Z3197" s="8">
        <v>5</v>
      </c>
      <c r="AA3197" s="202" t="str">
        <f t="shared" si="50"/>
        <v>Зелень</v>
      </c>
    </row>
    <row r="3198" spans="1:27" ht="15" customHeight="1" x14ac:dyDescent="0.25">
      <c r="A3198" t="s">
        <v>153</v>
      </c>
      <c r="L3198"/>
      <c r="M3198"/>
      <c r="N3198"/>
      <c r="O3198"/>
      <c r="P3198"/>
      <c r="T3198">
        <v>329</v>
      </c>
      <c r="U3198" s="7">
        <v>3</v>
      </c>
      <c r="V3198" t="s">
        <v>555</v>
      </c>
      <c r="W3198" s="257" t="s">
        <v>602</v>
      </c>
      <c r="X3198" t="s">
        <v>603</v>
      </c>
      <c r="Y3198" s="316" t="s">
        <v>479</v>
      </c>
      <c r="Z3198" s="8">
        <v>400</v>
      </c>
      <c r="AA3198" s="202" t="str">
        <f t="shared" si="50"/>
        <v>Вода или бульон</v>
      </c>
    </row>
    <row r="3199" spans="1:27" ht="15" customHeight="1" x14ac:dyDescent="0.25">
      <c r="A3199" t="s">
        <v>153</v>
      </c>
      <c r="L3199"/>
      <c r="M3199"/>
      <c r="N3199"/>
      <c r="O3199"/>
      <c r="P3199"/>
      <c r="T3199">
        <v>330</v>
      </c>
      <c r="U3199" s="7">
        <v>3</v>
      </c>
      <c r="V3199" t="s">
        <v>555</v>
      </c>
      <c r="W3199" s="257" t="s">
        <v>602</v>
      </c>
      <c r="X3199" t="s">
        <v>603</v>
      </c>
      <c r="Y3199" s="316" t="s">
        <v>326</v>
      </c>
      <c r="Z3199" s="8">
        <v>4</v>
      </c>
      <c r="AA3199" s="202" t="str">
        <f t="shared" si="50"/>
        <v>Соль</v>
      </c>
    </row>
    <row r="3200" spans="1:27" ht="15" customHeight="1" x14ac:dyDescent="0.25">
      <c r="A3200" t="s">
        <v>153</v>
      </c>
      <c r="L3200"/>
      <c r="M3200"/>
      <c r="N3200"/>
      <c r="O3200"/>
      <c r="P3200"/>
      <c r="T3200">
        <v>331</v>
      </c>
      <c r="U3200" s="7">
        <v>3</v>
      </c>
      <c r="V3200" t="s">
        <v>555</v>
      </c>
      <c r="W3200" s="257" t="s">
        <v>602</v>
      </c>
      <c r="X3200" t="s">
        <v>603</v>
      </c>
      <c r="Y3200" s="316" t="s">
        <v>558</v>
      </c>
      <c r="Z3200" s="8">
        <v>500</v>
      </c>
      <c r="AA3200" s="202" t="str">
        <f t="shared" si="50"/>
        <v>Общая масса готового блюда, г</v>
      </c>
    </row>
    <row r="3201" spans="1:27" ht="15" customHeight="1" x14ac:dyDescent="0.25">
      <c r="A3201" t="s">
        <v>153</v>
      </c>
      <c r="L3201"/>
      <c r="M3201"/>
      <c r="N3201"/>
      <c r="O3201"/>
      <c r="P3201"/>
      <c r="T3201">
        <v>332</v>
      </c>
      <c r="U3201" s="7">
        <v>3</v>
      </c>
      <c r="V3201" t="s">
        <v>555</v>
      </c>
      <c r="W3201" s="257" t="s">
        <v>602</v>
      </c>
      <c r="X3201" t="s">
        <v>603</v>
      </c>
      <c r="Y3201" s="316" t="s">
        <v>109</v>
      </c>
      <c r="Z3201" s="8">
        <v>250</v>
      </c>
      <c r="AA3201" s="202" t="str">
        <f t="shared" si="50"/>
        <v>ОКГ</v>
      </c>
    </row>
    <row r="3202" spans="1:27" ht="15" customHeight="1" x14ac:dyDescent="0.25">
      <c r="A3202" t="s">
        <v>153</v>
      </c>
      <c r="L3202"/>
      <c r="M3202"/>
      <c r="N3202"/>
      <c r="O3202"/>
      <c r="P3202"/>
      <c r="T3202">
        <v>333</v>
      </c>
      <c r="U3202" s="7">
        <v>3</v>
      </c>
      <c r="V3202" t="s">
        <v>555</v>
      </c>
      <c r="W3202" s="257" t="s">
        <v>602</v>
      </c>
      <c r="X3202" t="s">
        <v>603</v>
      </c>
      <c r="Y3202" s="316" t="s">
        <v>74</v>
      </c>
      <c r="Z3202" s="8">
        <v>0.02</v>
      </c>
      <c r="AA3202" s="202" t="str">
        <f t="shared" ref="AA3202:AA3265" si="51">VLOOKUP(Y3202,O:P,2,FALSE)</f>
        <v>Лавровый лист</v>
      </c>
    </row>
    <row r="3203" spans="1:27" ht="15" customHeight="1" x14ac:dyDescent="0.25">
      <c r="A3203" t="s">
        <v>153</v>
      </c>
      <c r="L3203"/>
      <c r="M3203"/>
      <c r="N3203"/>
      <c r="O3203"/>
      <c r="P3203"/>
      <c r="T3203">
        <v>334</v>
      </c>
      <c r="U3203" s="7">
        <v>3</v>
      </c>
      <c r="V3203" t="s">
        <v>555</v>
      </c>
      <c r="W3203" s="257" t="s">
        <v>602</v>
      </c>
      <c r="X3203" t="s">
        <v>603</v>
      </c>
      <c r="Y3203" s="316" t="s">
        <v>484</v>
      </c>
      <c r="Z3203" s="8">
        <v>0.05</v>
      </c>
      <c r="AA3203" s="202" t="str">
        <f t="shared" si="51"/>
        <v>Перец черный</v>
      </c>
    </row>
    <row r="3204" spans="1:27" ht="15" customHeight="1" x14ac:dyDescent="0.25">
      <c r="A3204" t="s">
        <v>153</v>
      </c>
      <c r="L3204"/>
      <c r="M3204"/>
      <c r="N3204"/>
      <c r="O3204"/>
      <c r="P3204"/>
      <c r="T3204">
        <v>335</v>
      </c>
      <c r="U3204" s="7">
        <v>3</v>
      </c>
      <c r="V3204" t="s">
        <v>555</v>
      </c>
      <c r="W3204" s="257" t="s">
        <v>604</v>
      </c>
      <c r="X3204" t="s">
        <v>167</v>
      </c>
      <c r="Y3204" s="316" t="s">
        <v>455</v>
      </c>
      <c r="Z3204" s="8">
        <v>50</v>
      </c>
      <c r="AA3204" s="202" t="str">
        <f t="shared" si="51"/>
        <v>Говядина н/к</v>
      </c>
    </row>
    <row r="3205" spans="1:27" ht="15" customHeight="1" x14ac:dyDescent="0.25">
      <c r="A3205" t="s">
        <v>153</v>
      </c>
      <c r="L3205"/>
      <c r="M3205"/>
      <c r="N3205"/>
      <c r="O3205"/>
      <c r="P3205"/>
      <c r="T3205">
        <v>335</v>
      </c>
      <c r="U3205" s="7">
        <v>3</v>
      </c>
      <c r="V3205" t="s">
        <v>555</v>
      </c>
      <c r="W3205" s="257" t="s">
        <v>604</v>
      </c>
      <c r="X3205" t="s">
        <v>167</v>
      </c>
      <c r="Y3205" s="316" t="s">
        <v>1214</v>
      </c>
      <c r="Z3205" s="8">
        <v>23</v>
      </c>
      <c r="AA3205" s="202" t="str">
        <f t="shared" si="51"/>
        <v>Масса мясных и рыбных порций, г</v>
      </c>
    </row>
    <row r="3206" spans="1:27" ht="15" customHeight="1" x14ac:dyDescent="0.25">
      <c r="A3206" t="s">
        <v>153</v>
      </c>
      <c r="L3206"/>
      <c r="M3206"/>
      <c r="N3206"/>
      <c r="O3206"/>
      <c r="P3206"/>
      <c r="T3206">
        <v>336</v>
      </c>
      <c r="U3206" s="7">
        <v>3</v>
      </c>
      <c r="V3206" t="s">
        <v>555</v>
      </c>
      <c r="W3206" s="257" t="s">
        <v>604</v>
      </c>
      <c r="X3206" t="s">
        <v>167</v>
      </c>
      <c r="Y3206" s="316" t="s">
        <v>45</v>
      </c>
      <c r="Z3206" s="8">
        <v>250</v>
      </c>
      <c r="AA3206" s="202" t="str">
        <f t="shared" si="51"/>
        <v>Картофель</v>
      </c>
    </row>
    <row r="3207" spans="1:27" ht="15" customHeight="1" x14ac:dyDescent="0.25">
      <c r="A3207" t="s">
        <v>153</v>
      </c>
      <c r="L3207"/>
      <c r="M3207"/>
      <c r="N3207"/>
      <c r="O3207"/>
      <c r="P3207"/>
      <c r="T3207">
        <v>337</v>
      </c>
      <c r="U3207" s="7">
        <v>3</v>
      </c>
      <c r="V3207" t="s">
        <v>555</v>
      </c>
      <c r="W3207" s="257" t="s">
        <v>604</v>
      </c>
      <c r="X3207" t="s">
        <v>167</v>
      </c>
      <c r="Y3207" s="316" t="s">
        <v>32</v>
      </c>
      <c r="Z3207" s="8">
        <v>10</v>
      </c>
      <c r="AA3207" s="202" t="str">
        <f t="shared" si="51"/>
        <v>Лук репчатый</v>
      </c>
    </row>
    <row r="3208" spans="1:27" ht="15" customHeight="1" x14ac:dyDescent="0.25">
      <c r="A3208" t="s">
        <v>153</v>
      </c>
      <c r="L3208"/>
      <c r="M3208"/>
      <c r="N3208"/>
      <c r="O3208"/>
      <c r="P3208"/>
      <c r="T3208">
        <v>338</v>
      </c>
      <c r="U3208" s="7">
        <v>3</v>
      </c>
      <c r="V3208" t="s">
        <v>555</v>
      </c>
      <c r="W3208" s="257" t="s">
        <v>604</v>
      </c>
      <c r="X3208" t="s">
        <v>167</v>
      </c>
      <c r="Y3208" s="316" t="s">
        <v>46</v>
      </c>
      <c r="Z3208" s="8">
        <v>10</v>
      </c>
      <c r="AA3208" s="202" t="str">
        <f t="shared" si="51"/>
        <v>Морковь</v>
      </c>
    </row>
    <row r="3209" spans="1:27" ht="15" customHeight="1" x14ac:dyDescent="0.25">
      <c r="A3209" t="s">
        <v>153</v>
      </c>
      <c r="L3209"/>
      <c r="M3209"/>
      <c r="N3209"/>
      <c r="O3209"/>
      <c r="P3209"/>
      <c r="T3209">
        <v>339</v>
      </c>
      <c r="U3209" s="7">
        <v>3</v>
      </c>
      <c r="V3209" t="s">
        <v>555</v>
      </c>
      <c r="W3209" s="257" t="s">
        <v>604</v>
      </c>
      <c r="X3209" t="s">
        <v>167</v>
      </c>
      <c r="Y3209" s="316" t="s">
        <v>61</v>
      </c>
      <c r="Z3209" s="8">
        <v>4</v>
      </c>
      <c r="AA3209" s="202" t="str">
        <f t="shared" si="51"/>
        <v>Масло растительное</v>
      </c>
    </row>
    <row r="3210" spans="1:27" ht="15" customHeight="1" x14ac:dyDescent="0.25">
      <c r="A3210" t="s">
        <v>153</v>
      </c>
      <c r="L3210"/>
      <c r="M3210"/>
      <c r="N3210"/>
      <c r="O3210"/>
      <c r="P3210"/>
      <c r="T3210">
        <v>340</v>
      </c>
      <c r="U3210" s="7">
        <v>3</v>
      </c>
      <c r="V3210" t="s">
        <v>555</v>
      </c>
      <c r="W3210" s="257" t="s">
        <v>604</v>
      </c>
      <c r="X3210" t="s">
        <v>167</v>
      </c>
      <c r="Y3210" s="316" t="s">
        <v>479</v>
      </c>
      <c r="Z3210" s="8">
        <v>400</v>
      </c>
      <c r="AA3210" s="202" t="str">
        <f t="shared" si="51"/>
        <v>Вода или бульон</v>
      </c>
    </row>
    <row r="3211" spans="1:27" ht="15" customHeight="1" x14ac:dyDescent="0.25">
      <c r="A3211" t="s">
        <v>153</v>
      </c>
      <c r="L3211"/>
      <c r="M3211"/>
      <c r="N3211"/>
      <c r="O3211"/>
      <c r="P3211"/>
      <c r="T3211">
        <v>341</v>
      </c>
      <c r="U3211" s="7">
        <v>3</v>
      </c>
      <c r="V3211" t="s">
        <v>555</v>
      </c>
      <c r="W3211" s="257" t="s">
        <v>604</v>
      </c>
      <c r="X3211" t="s">
        <v>167</v>
      </c>
      <c r="Y3211" s="316" t="s">
        <v>70</v>
      </c>
      <c r="Z3211" s="8">
        <v>5</v>
      </c>
      <c r="AA3211" s="202" t="str">
        <f t="shared" si="51"/>
        <v>Зелень</v>
      </c>
    </row>
    <row r="3212" spans="1:27" ht="15" customHeight="1" x14ac:dyDescent="0.25">
      <c r="A3212" t="s">
        <v>153</v>
      </c>
      <c r="L3212"/>
      <c r="M3212"/>
      <c r="N3212"/>
      <c r="O3212"/>
      <c r="P3212"/>
      <c r="T3212">
        <v>342</v>
      </c>
      <c r="U3212" s="7">
        <v>3</v>
      </c>
      <c r="V3212" t="s">
        <v>555</v>
      </c>
      <c r="W3212" s="257" t="s">
        <v>604</v>
      </c>
      <c r="X3212" t="s">
        <v>167</v>
      </c>
      <c r="Y3212" s="316" t="s">
        <v>326</v>
      </c>
      <c r="Z3212" s="8">
        <v>4</v>
      </c>
      <c r="AA3212" s="202" t="str">
        <f t="shared" si="51"/>
        <v>Соль</v>
      </c>
    </row>
    <row r="3213" spans="1:27" ht="15" customHeight="1" x14ac:dyDescent="0.25">
      <c r="A3213" t="s">
        <v>153</v>
      </c>
      <c r="L3213"/>
      <c r="M3213"/>
      <c r="N3213"/>
      <c r="O3213"/>
      <c r="P3213"/>
      <c r="T3213">
        <v>343</v>
      </c>
      <c r="U3213" s="7">
        <v>3</v>
      </c>
      <c r="V3213" t="s">
        <v>555</v>
      </c>
      <c r="W3213" s="257" t="s">
        <v>604</v>
      </c>
      <c r="X3213" t="s">
        <v>167</v>
      </c>
      <c r="Y3213" s="316" t="s">
        <v>558</v>
      </c>
      <c r="Z3213" s="8">
        <v>500</v>
      </c>
      <c r="AA3213" s="202" t="str">
        <f t="shared" si="51"/>
        <v>Общая масса готового блюда, г</v>
      </c>
    </row>
    <row r="3214" spans="1:27" ht="15" customHeight="1" x14ac:dyDescent="0.25">
      <c r="A3214" t="s">
        <v>153</v>
      </c>
      <c r="L3214"/>
      <c r="M3214"/>
      <c r="N3214"/>
      <c r="O3214"/>
      <c r="P3214"/>
      <c r="T3214">
        <v>344</v>
      </c>
      <c r="U3214" s="7">
        <v>3</v>
      </c>
      <c r="V3214" t="s">
        <v>555</v>
      </c>
      <c r="W3214" s="257" t="s">
        <v>604</v>
      </c>
      <c r="X3214" t="s">
        <v>167</v>
      </c>
      <c r="Y3214" s="316" t="s">
        <v>109</v>
      </c>
      <c r="Z3214" s="8">
        <v>250</v>
      </c>
      <c r="AA3214" s="202" t="str">
        <f t="shared" si="51"/>
        <v>ОКГ</v>
      </c>
    </row>
    <row r="3215" spans="1:27" ht="15" customHeight="1" x14ac:dyDescent="0.25">
      <c r="A3215" t="s">
        <v>153</v>
      </c>
      <c r="L3215"/>
      <c r="M3215"/>
      <c r="N3215"/>
      <c r="O3215"/>
      <c r="P3215"/>
      <c r="T3215">
        <v>345</v>
      </c>
      <c r="U3215" s="7">
        <v>3</v>
      </c>
      <c r="V3215" t="s">
        <v>555</v>
      </c>
      <c r="W3215" s="257" t="s">
        <v>604</v>
      </c>
      <c r="X3215" t="s">
        <v>167</v>
      </c>
      <c r="Y3215" s="316" t="s">
        <v>74</v>
      </c>
      <c r="Z3215" s="8">
        <v>0.02</v>
      </c>
      <c r="AA3215" s="202" t="str">
        <f t="shared" si="51"/>
        <v>Лавровый лист</v>
      </c>
    </row>
    <row r="3216" spans="1:27" ht="15" customHeight="1" x14ac:dyDescent="0.25">
      <c r="A3216" t="s">
        <v>153</v>
      </c>
      <c r="L3216"/>
      <c r="M3216"/>
      <c r="N3216"/>
      <c r="O3216"/>
      <c r="P3216"/>
      <c r="T3216">
        <v>346</v>
      </c>
      <c r="U3216" s="7">
        <v>3</v>
      </c>
      <c r="V3216" t="s">
        <v>555</v>
      </c>
      <c r="W3216" s="257" t="s">
        <v>604</v>
      </c>
      <c r="X3216" t="s">
        <v>167</v>
      </c>
      <c r="Y3216" s="316" t="s">
        <v>484</v>
      </c>
      <c r="Z3216" s="8">
        <v>0.05</v>
      </c>
      <c r="AA3216" s="202" t="str">
        <f t="shared" si="51"/>
        <v>Перец черный</v>
      </c>
    </row>
    <row r="3217" spans="1:27" ht="15" customHeight="1" x14ac:dyDescent="0.25">
      <c r="A3217" t="s">
        <v>153</v>
      </c>
      <c r="L3217"/>
      <c r="M3217"/>
      <c r="N3217"/>
      <c r="O3217"/>
      <c r="P3217"/>
      <c r="T3217">
        <v>347</v>
      </c>
      <c r="U3217" s="7">
        <v>3</v>
      </c>
      <c r="V3217" t="s">
        <v>555</v>
      </c>
      <c r="W3217" s="257" t="s">
        <v>605</v>
      </c>
      <c r="X3217" t="s">
        <v>606</v>
      </c>
      <c r="Y3217" s="316" t="s">
        <v>455</v>
      </c>
      <c r="Z3217" s="8">
        <v>30</v>
      </c>
      <c r="AA3217" s="202" t="str">
        <f t="shared" si="51"/>
        <v>Говядина н/к</v>
      </c>
    </row>
    <row r="3218" spans="1:27" ht="15" customHeight="1" x14ac:dyDescent="0.25">
      <c r="A3218" t="s">
        <v>153</v>
      </c>
      <c r="L3218"/>
      <c r="M3218"/>
      <c r="N3218"/>
      <c r="O3218"/>
      <c r="P3218"/>
      <c r="T3218">
        <v>347</v>
      </c>
      <c r="U3218" s="7">
        <v>3</v>
      </c>
      <c r="V3218" t="s">
        <v>555</v>
      </c>
      <c r="W3218" s="257" t="s">
        <v>605</v>
      </c>
      <c r="X3218" t="s">
        <v>606</v>
      </c>
      <c r="Y3218" s="316" t="s">
        <v>1214</v>
      </c>
      <c r="Z3218" s="8">
        <v>22.08</v>
      </c>
      <c r="AA3218" s="202" t="str">
        <f t="shared" si="51"/>
        <v>Масса мясных и рыбных порций, г</v>
      </c>
    </row>
    <row r="3219" spans="1:27" ht="15" customHeight="1" x14ac:dyDescent="0.25">
      <c r="A3219" t="s">
        <v>153</v>
      </c>
      <c r="L3219"/>
      <c r="M3219"/>
      <c r="N3219"/>
      <c r="O3219"/>
      <c r="P3219"/>
      <c r="T3219">
        <v>348</v>
      </c>
      <c r="U3219" s="7">
        <v>3</v>
      </c>
      <c r="V3219" t="s">
        <v>555</v>
      </c>
      <c r="W3219" s="257" t="s">
        <v>605</v>
      </c>
      <c r="X3219" t="s">
        <v>606</v>
      </c>
      <c r="Y3219" s="316" t="s">
        <v>32</v>
      </c>
      <c r="Z3219" s="8">
        <v>10</v>
      </c>
      <c r="AA3219" s="202" t="str">
        <f t="shared" si="51"/>
        <v>Лук репчатый</v>
      </c>
    </row>
    <row r="3220" spans="1:27" ht="15" customHeight="1" x14ac:dyDescent="0.25">
      <c r="A3220" t="s">
        <v>153</v>
      </c>
      <c r="L3220"/>
      <c r="M3220"/>
      <c r="N3220"/>
      <c r="O3220"/>
      <c r="P3220"/>
      <c r="T3220">
        <v>349</v>
      </c>
      <c r="U3220" s="7">
        <v>3</v>
      </c>
      <c r="V3220" t="s">
        <v>555</v>
      </c>
      <c r="W3220" s="257" t="s">
        <v>605</v>
      </c>
      <c r="X3220" t="s">
        <v>606</v>
      </c>
      <c r="Y3220" s="316" t="s">
        <v>61</v>
      </c>
      <c r="Z3220" s="8">
        <v>5</v>
      </c>
      <c r="AA3220" s="202" t="str">
        <f t="shared" si="51"/>
        <v>Масло растительное</v>
      </c>
    </row>
    <row r="3221" spans="1:27" ht="15" customHeight="1" x14ac:dyDescent="0.25">
      <c r="A3221" t="s">
        <v>153</v>
      </c>
      <c r="L3221"/>
      <c r="M3221"/>
      <c r="N3221"/>
      <c r="O3221"/>
      <c r="P3221"/>
      <c r="T3221">
        <v>350</v>
      </c>
      <c r="U3221" s="7">
        <v>3</v>
      </c>
      <c r="V3221" t="s">
        <v>555</v>
      </c>
      <c r="W3221" s="257" t="s">
        <v>605</v>
      </c>
      <c r="X3221" t="s">
        <v>606</v>
      </c>
      <c r="Y3221" s="316" t="s">
        <v>479</v>
      </c>
      <c r="Z3221" s="8">
        <v>400</v>
      </c>
      <c r="AA3221" s="202" t="str">
        <f t="shared" si="51"/>
        <v>Вода или бульон</v>
      </c>
    </row>
    <row r="3222" spans="1:27" ht="15" customHeight="1" x14ac:dyDescent="0.25">
      <c r="A3222" t="s">
        <v>153</v>
      </c>
      <c r="L3222"/>
      <c r="M3222"/>
      <c r="N3222"/>
      <c r="O3222"/>
      <c r="P3222"/>
      <c r="T3222">
        <v>351</v>
      </c>
      <c r="U3222" s="7">
        <v>3</v>
      </c>
      <c r="V3222" t="s">
        <v>555</v>
      </c>
      <c r="W3222" s="257" t="s">
        <v>605</v>
      </c>
      <c r="X3222" t="s">
        <v>606</v>
      </c>
      <c r="Y3222" s="316" t="s">
        <v>27</v>
      </c>
      <c r="Z3222" s="8">
        <v>45</v>
      </c>
      <c r="AA3222" s="202" t="str">
        <f t="shared" si="51"/>
        <v>Рис</v>
      </c>
    </row>
    <row r="3223" spans="1:27" ht="15" customHeight="1" x14ac:dyDescent="0.25">
      <c r="A3223" t="s">
        <v>153</v>
      </c>
      <c r="L3223"/>
      <c r="M3223"/>
      <c r="N3223"/>
      <c r="O3223"/>
      <c r="P3223"/>
      <c r="T3223">
        <v>352</v>
      </c>
      <c r="U3223" s="7">
        <v>3</v>
      </c>
      <c r="V3223" t="s">
        <v>555</v>
      </c>
      <c r="W3223" s="257" t="s">
        <v>605</v>
      </c>
      <c r="X3223" t="s">
        <v>606</v>
      </c>
      <c r="Y3223" s="316" t="s">
        <v>76</v>
      </c>
      <c r="Z3223" s="8">
        <v>5</v>
      </c>
      <c r="AA3223" s="202" t="str">
        <f t="shared" si="51"/>
        <v>Томат-паста</v>
      </c>
    </row>
    <row r="3224" spans="1:27" ht="15" customHeight="1" x14ac:dyDescent="0.25">
      <c r="A3224" t="s">
        <v>153</v>
      </c>
      <c r="L3224"/>
      <c r="M3224"/>
      <c r="N3224"/>
      <c r="O3224"/>
      <c r="P3224"/>
      <c r="T3224">
        <v>353</v>
      </c>
      <c r="U3224" s="7">
        <v>3</v>
      </c>
      <c r="V3224" t="s">
        <v>555</v>
      </c>
      <c r="W3224" s="257" t="s">
        <v>605</v>
      </c>
      <c r="X3224" t="s">
        <v>606</v>
      </c>
      <c r="Y3224" s="316" t="s">
        <v>70</v>
      </c>
      <c r="Z3224" s="8">
        <v>5</v>
      </c>
      <c r="AA3224" s="202" t="str">
        <f t="shared" si="51"/>
        <v>Зелень</v>
      </c>
    </row>
    <row r="3225" spans="1:27" ht="15" customHeight="1" x14ac:dyDescent="0.25">
      <c r="A3225" t="s">
        <v>153</v>
      </c>
      <c r="L3225"/>
      <c r="M3225"/>
      <c r="N3225"/>
      <c r="O3225"/>
      <c r="P3225"/>
      <c r="T3225">
        <v>354</v>
      </c>
      <c r="U3225" s="7">
        <v>3</v>
      </c>
      <c r="V3225" t="s">
        <v>555</v>
      </c>
      <c r="W3225" s="257" t="s">
        <v>605</v>
      </c>
      <c r="X3225" t="s">
        <v>606</v>
      </c>
      <c r="Y3225" s="316" t="s">
        <v>49</v>
      </c>
      <c r="Z3225" s="8">
        <v>2.5</v>
      </c>
      <c r="AA3225" s="202" t="str">
        <f t="shared" si="51"/>
        <v>Чеснок</v>
      </c>
    </row>
    <row r="3226" spans="1:27" ht="15" customHeight="1" x14ac:dyDescent="0.25">
      <c r="A3226" t="s">
        <v>153</v>
      </c>
      <c r="L3226"/>
      <c r="M3226"/>
      <c r="N3226"/>
      <c r="O3226"/>
      <c r="P3226"/>
      <c r="T3226">
        <v>355</v>
      </c>
      <c r="U3226" s="7">
        <v>3</v>
      </c>
      <c r="V3226" t="s">
        <v>555</v>
      </c>
      <c r="W3226" s="257" t="s">
        <v>605</v>
      </c>
      <c r="X3226" t="s">
        <v>606</v>
      </c>
      <c r="Y3226" s="316" t="s">
        <v>326</v>
      </c>
      <c r="Z3226" s="8">
        <v>4</v>
      </c>
      <c r="AA3226" s="202" t="str">
        <f t="shared" si="51"/>
        <v>Соль</v>
      </c>
    </row>
    <row r="3227" spans="1:27" ht="15" customHeight="1" x14ac:dyDescent="0.25">
      <c r="A3227" t="s">
        <v>153</v>
      </c>
      <c r="L3227"/>
      <c r="M3227"/>
      <c r="N3227"/>
      <c r="O3227"/>
      <c r="P3227"/>
      <c r="T3227">
        <v>356</v>
      </c>
      <c r="U3227" s="7">
        <v>3</v>
      </c>
      <c r="V3227" t="s">
        <v>555</v>
      </c>
      <c r="W3227" s="257" t="s">
        <v>605</v>
      </c>
      <c r="X3227" t="s">
        <v>606</v>
      </c>
      <c r="Y3227" s="316" t="s">
        <v>558</v>
      </c>
      <c r="Z3227" s="8">
        <v>500</v>
      </c>
      <c r="AA3227" s="202" t="str">
        <f t="shared" si="51"/>
        <v>Общая масса готового блюда, г</v>
      </c>
    </row>
    <row r="3228" spans="1:27" ht="15" customHeight="1" x14ac:dyDescent="0.25">
      <c r="A3228" t="s">
        <v>153</v>
      </c>
      <c r="L3228"/>
      <c r="M3228"/>
      <c r="N3228"/>
      <c r="O3228"/>
      <c r="P3228"/>
      <c r="T3228">
        <v>357</v>
      </c>
      <c r="U3228" s="7">
        <v>3</v>
      </c>
      <c r="V3228" t="s">
        <v>555</v>
      </c>
      <c r="W3228" s="257" t="s">
        <v>605</v>
      </c>
      <c r="X3228" t="s">
        <v>606</v>
      </c>
      <c r="Y3228" s="316" t="s">
        <v>109</v>
      </c>
      <c r="Z3228" s="8">
        <v>250</v>
      </c>
      <c r="AA3228" s="202" t="str">
        <f t="shared" si="51"/>
        <v>ОКГ</v>
      </c>
    </row>
    <row r="3229" spans="1:27" ht="15" customHeight="1" x14ac:dyDescent="0.25">
      <c r="A3229" t="s">
        <v>153</v>
      </c>
      <c r="L3229"/>
      <c r="M3229"/>
      <c r="N3229"/>
      <c r="O3229"/>
      <c r="P3229"/>
      <c r="T3229">
        <v>358</v>
      </c>
      <c r="U3229" s="7">
        <v>3</v>
      </c>
      <c r="V3229" t="s">
        <v>555</v>
      </c>
      <c r="W3229" s="257" t="s">
        <v>605</v>
      </c>
      <c r="X3229" t="s">
        <v>606</v>
      </c>
      <c r="Y3229" s="316" t="s">
        <v>74</v>
      </c>
      <c r="Z3229" s="8">
        <v>0.04</v>
      </c>
      <c r="AA3229" s="202" t="str">
        <f t="shared" si="51"/>
        <v>Лавровый лист</v>
      </c>
    </row>
    <row r="3230" spans="1:27" ht="15" customHeight="1" x14ac:dyDescent="0.25">
      <c r="A3230" t="s">
        <v>153</v>
      </c>
      <c r="L3230"/>
      <c r="M3230"/>
      <c r="N3230"/>
      <c r="O3230"/>
      <c r="P3230"/>
      <c r="T3230">
        <v>359</v>
      </c>
      <c r="U3230" s="7">
        <v>3</v>
      </c>
      <c r="V3230" t="s">
        <v>555</v>
      </c>
      <c r="W3230" s="257" t="s">
        <v>605</v>
      </c>
      <c r="X3230" t="s">
        <v>606</v>
      </c>
      <c r="Y3230" s="316" t="s">
        <v>484</v>
      </c>
      <c r="Z3230" s="8">
        <v>0.1</v>
      </c>
      <c r="AA3230" s="202" t="str">
        <f t="shared" si="51"/>
        <v>Перец черный</v>
      </c>
    </row>
    <row r="3231" spans="1:27" ht="15" customHeight="1" x14ac:dyDescent="0.25">
      <c r="A3231" t="s">
        <v>153</v>
      </c>
      <c r="L3231"/>
      <c r="M3231"/>
      <c r="N3231"/>
      <c r="O3231"/>
      <c r="P3231"/>
      <c r="T3231">
        <v>2000</v>
      </c>
      <c r="U3231" s="7">
        <v>3</v>
      </c>
      <c r="V3231" t="s">
        <v>1192</v>
      </c>
      <c r="W3231" s="257" t="s">
        <v>321</v>
      </c>
      <c r="X3231" t="s">
        <v>321</v>
      </c>
      <c r="Y3231" s="316" t="s">
        <v>321</v>
      </c>
      <c r="Z3231" s="8">
        <v>25</v>
      </c>
      <c r="AA3231" s="202" t="str">
        <f t="shared" si="51"/>
        <v>Сыр</v>
      </c>
    </row>
    <row r="3232" spans="1:27" ht="15" customHeight="1" x14ac:dyDescent="0.25">
      <c r="A3232" t="s">
        <v>153</v>
      </c>
      <c r="L3232"/>
      <c r="M3232"/>
      <c r="N3232"/>
      <c r="O3232"/>
      <c r="P3232"/>
      <c r="T3232">
        <v>2000</v>
      </c>
      <c r="U3232" s="7">
        <v>3</v>
      </c>
      <c r="V3232" t="s">
        <v>1192</v>
      </c>
      <c r="W3232" s="257" t="s">
        <v>321</v>
      </c>
      <c r="X3232" t="s">
        <v>321</v>
      </c>
      <c r="Y3232" s="316" t="s">
        <v>558</v>
      </c>
      <c r="Z3232" s="8">
        <v>25</v>
      </c>
      <c r="AA3232" s="202" t="str">
        <f t="shared" si="51"/>
        <v>Общая масса готового блюда, г</v>
      </c>
    </row>
    <row r="3233" spans="1:27" ht="15" customHeight="1" x14ac:dyDescent="0.25">
      <c r="A3233" t="s">
        <v>153</v>
      </c>
      <c r="L3233"/>
      <c r="M3233"/>
      <c r="N3233"/>
      <c r="O3233"/>
      <c r="P3233"/>
      <c r="T3233">
        <v>2889</v>
      </c>
      <c r="U3233" s="7">
        <v>3</v>
      </c>
      <c r="V3233" t="s">
        <v>1192</v>
      </c>
      <c r="W3233" s="257" t="s">
        <v>56</v>
      </c>
      <c r="X3233" t="s">
        <v>56</v>
      </c>
      <c r="Y3233" s="316" t="s">
        <v>56</v>
      </c>
      <c r="Z3233" s="8">
        <v>22</v>
      </c>
      <c r="AA3233" s="202" t="str">
        <f t="shared" si="51"/>
        <v>Сыр плавленный</v>
      </c>
    </row>
    <row r="3234" spans="1:27" ht="15" customHeight="1" x14ac:dyDescent="0.25">
      <c r="A3234" t="s">
        <v>153</v>
      </c>
      <c r="L3234"/>
      <c r="M3234"/>
      <c r="N3234"/>
      <c r="O3234"/>
      <c r="P3234"/>
      <c r="T3234">
        <v>2890</v>
      </c>
      <c r="U3234" s="7">
        <v>3</v>
      </c>
      <c r="V3234" t="s">
        <v>1192</v>
      </c>
      <c r="W3234" s="257" t="s">
        <v>56</v>
      </c>
      <c r="X3234" t="s">
        <v>56</v>
      </c>
      <c r="Y3234" s="316" t="s">
        <v>558</v>
      </c>
      <c r="Z3234" s="8">
        <v>22</v>
      </c>
      <c r="AA3234" s="202" t="str">
        <f t="shared" si="51"/>
        <v>Общая масса готового блюда, г</v>
      </c>
    </row>
    <row r="3235" spans="1:27" ht="15" customHeight="1" x14ac:dyDescent="0.25">
      <c r="A3235" t="s">
        <v>153</v>
      </c>
      <c r="L3235"/>
      <c r="M3235"/>
      <c r="N3235"/>
      <c r="O3235"/>
      <c r="P3235"/>
      <c r="T3235">
        <v>1756</v>
      </c>
      <c r="U3235" s="7">
        <v>3</v>
      </c>
      <c r="V3235" t="s">
        <v>613</v>
      </c>
      <c r="W3235" s="257" t="s">
        <v>938</v>
      </c>
      <c r="X3235" t="s">
        <v>939</v>
      </c>
      <c r="Y3235" s="316" t="s">
        <v>419</v>
      </c>
      <c r="Z3235" s="8">
        <v>120</v>
      </c>
      <c r="AA3235" s="202" t="str">
        <f t="shared" si="51"/>
        <v>Рыба с/м б/г</v>
      </c>
    </row>
    <row r="3236" spans="1:27" ht="15" customHeight="1" x14ac:dyDescent="0.25">
      <c r="A3236" t="s">
        <v>153</v>
      </c>
      <c r="L3236"/>
      <c r="M3236"/>
      <c r="N3236"/>
      <c r="O3236"/>
      <c r="P3236"/>
      <c r="T3236">
        <v>1757</v>
      </c>
      <c r="U3236" s="7">
        <v>3</v>
      </c>
      <c r="V3236" t="s">
        <v>613</v>
      </c>
      <c r="W3236" s="257" t="s">
        <v>938</v>
      </c>
      <c r="X3236" t="s">
        <v>939</v>
      </c>
      <c r="Y3236" s="316" t="s">
        <v>61</v>
      </c>
      <c r="Z3236" s="8">
        <v>5</v>
      </c>
      <c r="AA3236" s="202" t="str">
        <f t="shared" si="51"/>
        <v>Масло растительное</v>
      </c>
    </row>
    <row r="3237" spans="1:27" ht="15" customHeight="1" x14ac:dyDescent="0.25">
      <c r="A3237" t="s">
        <v>153</v>
      </c>
      <c r="L3237"/>
      <c r="M3237"/>
      <c r="N3237"/>
      <c r="O3237"/>
      <c r="P3237"/>
      <c r="T3237">
        <v>1758</v>
      </c>
      <c r="U3237" s="7">
        <v>3</v>
      </c>
      <c r="V3237" t="s">
        <v>613</v>
      </c>
      <c r="W3237" s="257" t="s">
        <v>938</v>
      </c>
      <c r="X3237" t="s">
        <v>939</v>
      </c>
      <c r="Y3237" s="316" t="s">
        <v>326</v>
      </c>
      <c r="Z3237" s="8">
        <v>2</v>
      </c>
      <c r="AA3237" s="202" t="str">
        <f t="shared" si="51"/>
        <v>Соль</v>
      </c>
    </row>
    <row r="3238" spans="1:27" ht="15" customHeight="1" x14ac:dyDescent="0.25">
      <c r="A3238" t="s">
        <v>153</v>
      </c>
      <c r="L3238"/>
      <c r="M3238"/>
      <c r="N3238"/>
      <c r="O3238"/>
      <c r="P3238"/>
      <c r="T3238">
        <v>1759</v>
      </c>
      <c r="U3238" s="7">
        <v>3</v>
      </c>
      <c r="V3238" t="s">
        <v>613</v>
      </c>
      <c r="W3238" s="257" t="s">
        <v>938</v>
      </c>
      <c r="X3238" t="s">
        <v>939</v>
      </c>
      <c r="Y3238" s="316" t="s">
        <v>438</v>
      </c>
      <c r="Z3238" s="8">
        <v>18</v>
      </c>
      <c r="AA3238" s="202" t="str">
        <f t="shared" si="51"/>
        <v>Хлеб из муки пш. 1 сорта</v>
      </c>
    </row>
    <row r="3239" spans="1:27" ht="15" customHeight="1" x14ac:dyDescent="0.25">
      <c r="A3239" t="s">
        <v>153</v>
      </c>
      <c r="L3239"/>
      <c r="M3239"/>
      <c r="N3239"/>
      <c r="O3239"/>
      <c r="P3239"/>
      <c r="T3239">
        <v>1760</v>
      </c>
      <c r="U3239" s="7">
        <v>3</v>
      </c>
      <c r="V3239" t="s">
        <v>613</v>
      </c>
      <c r="W3239" s="257" t="s">
        <v>938</v>
      </c>
      <c r="X3239" t="s">
        <v>939</v>
      </c>
      <c r="Y3239" s="316" t="s">
        <v>434</v>
      </c>
      <c r="Z3239" s="8">
        <v>6</v>
      </c>
      <c r="AA3239" s="202" t="str">
        <f t="shared" si="51"/>
        <v>Мука пшеничная 1 с</v>
      </c>
    </row>
    <row r="3240" spans="1:27" ht="15" customHeight="1" x14ac:dyDescent="0.25">
      <c r="A3240" t="s">
        <v>153</v>
      </c>
      <c r="L3240"/>
      <c r="M3240"/>
      <c r="N3240"/>
      <c r="O3240"/>
      <c r="P3240"/>
      <c r="T3240">
        <v>1761</v>
      </c>
      <c r="U3240" s="7">
        <v>3</v>
      </c>
      <c r="V3240" t="s">
        <v>613</v>
      </c>
      <c r="W3240" s="257" t="s">
        <v>938</v>
      </c>
      <c r="X3240" t="s">
        <v>939</v>
      </c>
      <c r="Y3240" s="316" t="s">
        <v>330</v>
      </c>
      <c r="Z3240" s="8">
        <v>20.399999999999999</v>
      </c>
      <c r="AA3240" s="202" t="str">
        <f t="shared" si="51"/>
        <v>Вода</v>
      </c>
    </row>
    <row r="3241" spans="1:27" ht="15" customHeight="1" x14ac:dyDescent="0.25">
      <c r="A3241" t="s">
        <v>153</v>
      </c>
      <c r="L3241"/>
      <c r="M3241"/>
      <c r="N3241"/>
      <c r="O3241"/>
      <c r="P3241"/>
      <c r="T3241">
        <v>1762</v>
      </c>
      <c r="U3241" s="7">
        <v>3</v>
      </c>
      <c r="V3241" t="s">
        <v>613</v>
      </c>
      <c r="W3241" s="257" t="s">
        <v>938</v>
      </c>
      <c r="X3241" t="s">
        <v>939</v>
      </c>
      <c r="Y3241" s="316" t="s">
        <v>32</v>
      </c>
      <c r="Z3241" s="8">
        <v>13.92</v>
      </c>
      <c r="AA3241" s="202" t="str">
        <f t="shared" si="51"/>
        <v>Лук репчатый</v>
      </c>
    </row>
    <row r="3242" spans="1:27" ht="15" customHeight="1" x14ac:dyDescent="0.25">
      <c r="A3242" t="s">
        <v>153</v>
      </c>
      <c r="L3242"/>
      <c r="M3242"/>
      <c r="N3242"/>
      <c r="O3242"/>
      <c r="P3242"/>
      <c r="T3242">
        <v>1763</v>
      </c>
      <c r="U3242" s="7">
        <v>3</v>
      </c>
      <c r="V3242" t="s">
        <v>613</v>
      </c>
      <c r="W3242" s="257" t="s">
        <v>938</v>
      </c>
      <c r="X3242" t="s">
        <v>939</v>
      </c>
      <c r="Y3242" s="316" t="s">
        <v>46</v>
      </c>
      <c r="Z3242" s="8">
        <v>10</v>
      </c>
      <c r="AA3242" s="202" t="str">
        <f t="shared" si="51"/>
        <v>Морковь</v>
      </c>
    </row>
    <row r="3243" spans="1:27" ht="15" customHeight="1" x14ac:dyDescent="0.25">
      <c r="A3243" t="s">
        <v>153</v>
      </c>
      <c r="L3243"/>
      <c r="M3243"/>
      <c r="N3243"/>
      <c r="O3243"/>
      <c r="P3243"/>
      <c r="T3243">
        <v>1764</v>
      </c>
      <c r="U3243" s="7">
        <v>3</v>
      </c>
      <c r="V3243" t="s">
        <v>613</v>
      </c>
      <c r="W3243" s="257" t="s">
        <v>938</v>
      </c>
      <c r="X3243" t="s">
        <v>939</v>
      </c>
      <c r="Y3243" s="316" t="s">
        <v>76</v>
      </c>
      <c r="Z3243" s="8">
        <v>3</v>
      </c>
      <c r="AA3243" s="202" t="str">
        <f t="shared" si="51"/>
        <v>Томат-паста</v>
      </c>
    </row>
    <row r="3244" spans="1:27" ht="15" customHeight="1" x14ac:dyDescent="0.25">
      <c r="A3244" t="s">
        <v>153</v>
      </c>
      <c r="L3244"/>
      <c r="M3244"/>
      <c r="N3244"/>
      <c r="O3244"/>
      <c r="P3244"/>
      <c r="T3244">
        <v>1765</v>
      </c>
      <c r="U3244" s="7">
        <v>3</v>
      </c>
      <c r="V3244" t="s">
        <v>613</v>
      </c>
      <c r="W3244" s="257" t="s">
        <v>938</v>
      </c>
      <c r="X3244" t="s">
        <v>939</v>
      </c>
      <c r="Y3244" s="316" t="s">
        <v>32</v>
      </c>
      <c r="Z3244" s="8">
        <v>10</v>
      </c>
      <c r="AA3244" s="202" t="str">
        <f t="shared" si="51"/>
        <v>Лук репчатый</v>
      </c>
    </row>
    <row r="3245" spans="1:27" ht="15" customHeight="1" x14ac:dyDescent="0.25">
      <c r="A3245" t="s">
        <v>153</v>
      </c>
      <c r="L3245"/>
      <c r="M3245"/>
      <c r="N3245"/>
      <c r="O3245"/>
      <c r="P3245"/>
      <c r="T3245">
        <v>1766</v>
      </c>
      <c r="U3245" s="7">
        <v>3</v>
      </c>
      <c r="V3245" t="s">
        <v>613</v>
      </c>
      <c r="W3245" s="257" t="s">
        <v>938</v>
      </c>
      <c r="X3245" t="s">
        <v>939</v>
      </c>
      <c r="Y3245" s="316" t="s">
        <v>1214</v>
      </c>
      <c r="Z3245" s="8">
        <v>98.678799999999995</v>
      </c>
      <c r="AA3245" s="202" t="str">
        <f t="shared" si="51"/>
        <v>Масса мясных и рыбных порций, г</v>
      </c>
    </row>
    <row r="3246" spans="1:27" ht="15" customHeight="1" x14ac:dyDescent="0.25">
      <c r="A3246" t="s">
        <v>153</v>
      </c>
      <c r="L3246"/>
      <c r="M3246"/>
      <c r="N3246"/>
      <c r="O3246"/>
      <c r="P3246"/>
      <c r="T3246">
        <v>1766</v>
      </c>
      <c r="U3246" s="7">
        <v>3</v>
      </c>
      <c r="V3246" t="s">
        <v>613</v>
      </c>
      <c r="W3246" s="257" t="s">
        <v>938</v>
      </c>
      <c r="X3246" t="s">
        <v>939</v>
      </c>
      <c r="Y3246" s="316" t="s">
        <v>1215</v>
      </c>
      <c r="Z3246" s="8">
        <v>148.68</v>
      </c>
      <c r="AA3246" s="202" t="str">
        <f t="shared" si="51"/>
        <v>Общая масса готового блюда, г</v>
      </c>
    </row>
    <row r="3247" spans="1:27" ht="15" customHeight="1" x14ac:dyDescent="0.25">
      <c r="A3247" t="s">
        <v>153</v>
      </c>
      <c r="L3247"/>
      <c r="M3247"/>
      <c r="N3247"/>
      <c r="O3247"/>
      <c r="P3247"/>
      <c r="T3247">
        <v>1756</v>
      </c>
      <c r="U3247" s="7">
        <v>3</v>
      </c>
      <c r="V3247" t="s">
        <v>613</v>
      </c>
      <c r="W3247" s="257" t="s">
        <v>938</v>
      </c>
      <c r="X3247" t="s">
        <v>940</v>
      </c>
      <c r="Y3247" s="316" t="s">
        <v>419</v>
      </c>
      <c r="Z3247" s="8">
        <v>120</v>
      </c>
      <c r="AA3247" s="202" t="str">
        <f t="shared" si="51"/>
        <v>Рыба с/м б/г</v>
      </c>
    </row>
    <row r="3248" spans="1:27" ht="15" customHeight="1" x14ac:dyDescent="0.25">
      <c r="A3248" t="s">
        <v>153</v>
      </c>
      <c r="L3248"/>
      <c r="M3248"/>
      <c r="N3248"/>
      <c r="O3248"/>
      <c r="P3248"/>
      <c r="T3248">
        <v>1757</v>
      </c>
      <c r="U3248" s="7">
        <v>3</v>
      </c>
      <c r="V3248" t="s">
        <v>613</v>
      </c>
      <c r="W3248" s="257" t="s">
        <v>938</v>
      </c>
      <c r="X3248" t="s">
        <v>940</v>
      </c>
      <c r="Y3248" s="316" t="s">
        <v>61</v>
      </c>
      <c r="Z3248" s="8">
        <v>5</v>
      </c>
      <c r="AA3248" s="202" t="str">
        <f t="shared" si="51"/>
        <v>Масло растительное</v>
      </c>
    </row>
    <row r="3249" spans="1:27" ht="15" customHeight="1" x14ac:dyDescent="0.25">
      <c r="A3249" t="s">
        <v>153</v>
      </c>
      <c r="L3249"/>
      <c r="M3249"/>
      <c r="N3249"/>
      <c r="O3249"/>
      <c r="P3249"/>
      <c r="T3249">
        <v>1758</v>
      </c>
      <c r="U3249" s="7">
        <v>3</v>
      </c>
      <c r="V3249" t="s">
        <v>613</v>
      </c>
      <c r="W3249" s="257" t="s">
        <v>938</v>
      </c>
      <c r="X3249" t="s">
        <v>940</v>
      </c>
      <c r="Y3249" s="316" t="s">
        <v>326</v>
      </c>
      <c r="Z3249" s="8">
        <v>2</v>
      </c>
      <c r="AA3249" s="202" t="str">
        <f t="shared" si="51"/>
        <v>Соль</v>
      </c>
    </row>
    <row r="3250" spans="1:27" ht="15" customHeight="1" x14ac:dyDescent="0.25">
      <c r="A3250" t="s">
        <v>153</v>
      </c>
      <c r="L3250"/>
      <c r="M3250"/>
      <c r="N3250"/>
      <c r="O3250"/>
      <c r="P3250"/>
      <c r="T3250">
        <v>1759</v>
      </c>
      <c r="U3250" s="7">
        <v>3</v>
      </c>
      <c r="V3250" t="s">
        <v>613</v>
      </c>
      <c r="W3250" s="257" t="s">
        <v>938</v>
      </c>
      <c r="X3250" t="s">
        <v>940</v>
      </c>
      <c r="Y3250" s="316" t="s">
        <v>438</v>
      </c>
      <c r="Z3250" s="8">
        <v>18</v>
      </c>
      <c r="AA3250" s="202" t="str">
        <f t="shared" si="51"/>
        <v>Хлеб из муки пш. 1 сорта</v>
      </c>
    </row>
    <row r="3251" spans="1:27" ht="15" customHeight="1" x14ac:dyDescent="0.25">
      <c r="A3251" t="s">
        <v>153</v>
      </c>
      <c r="L3251"/>
      <c r="M3251"/>
      <c r="N3251"/>
      <c r="O3251"/>
      <c r="P3251"/>
      <c r="T3251">
        <v>1760</v>
      </c>
      <c r="U3251" s="7">
        <v>3</v>
      </c>
      <c r="V3251" t="s">
        <v>613</v>
      </c>
      <c r="W3251" s="257" t="s">
        <v>938</v>
      </c>
      <c r="X3251" t="s">
        <v>940</v>
      </c>
      <c r="Y3251" s="316" t="s">
        <v>434</v>
      </c>
      <c r="Z3251" s="8">
        <v>6</v>
      </c>
      <c r="AA3251" s="202" t="str">
        <f t="shared" si="51"/>
        <v>Мука пшеничная 1 с</v>
      </c>
    </row>
    <row r="3252" spans="1:27" ht="15" customHeight="1" x14ac:dyDescent="0.25">
      <c r="A3252" t="s">
        <v>153</v>
      </c>
      <c r="L3252"/>
      <c r="M3252"/>
      <c r="N3252"/>
      <c r="O3252"/>
      <c r="P3252"/>
      <c r="T3252">
        <v>1761</v>
      </c>
      <c r="U3252" s="7">
        <v>3</v>
      </c>
      <c r="V3252" t="s">
        <v>613</v>
      </c>
      <c r="W3252" s="257" t="s">
        <v>938</v>
      </c>
      <c r="X3252" t="s">
        <v>940</v>
      </c>
      <c r="Y3252" s="316" t="s">
        <v>330</v>
      </c>
      <c r="Z3252" s="8">
        <v>20.399999999999999</v>
      </c>
      <c r="AA3252" s="202" t="str">
        <f t="shared" si="51"/>
        <v>Вода</v>
      </c>
    </row>
    <row r="3253" spans="1:27" ht="15" customHeight="1" x14ac:dyDescent="0.25">
      <c r="A3253" t="s">
        <v>153</v>
      </c>
      <c r="L3253"/>
      <c r="M3253"/>
      <c r="N3253"/>
      <c r="O3253"/>
      <c r="P3253"/>
      <c r="T3253">
        <v>1762</v>
      </c>
      <c r="U3253" s="7">
        <v>3</v>
      </c>
      <c r="V3253" t="s">
        <v>613</v>
      </c>
      <c r="W3253" s="257" t="s">
        <v>938</v>
      </c>
      <c r="X3253" t="s">
        <v>940</v>
      </c>
      <c r="Y3253" s="316" t="s">
        <v>32</v>
      </c>
      <c r="Z3253" s="8">
        <v>13.92</v>
      </c>
      <c r="AA3253" s="202" t="str">
        <f t="shared" si="51"/>
        <v>Лук репчатый</v>
      </c>
    </row>
    <row r="3254" spans="1:27" ht="15" customHeight="1" x14ac:dyDescent="0.25">
      <c r="A3254" t="s">
        <v>153</v>
      </c>
      <c r="L3254"/>
      <c r="M3254"/>
      <c r="N3254"/>
      <c r="O3254"/>
      <c r="P3254"/>
      <c r="T3254">
        <v>1763</v>
      </c>
      <c r="U3254" s="7">
        <v>3</v>
      </c>
      <c r="V3254" t="s">
        <v>613</v>
      </c>
      <c r="W3254" s="257" t="s">
        <v>938</v>
      </c>
      <c r="X3254" t="s">
        <v>940</v>
      </c>
      <c r="Y3254" s="316" t="s">
        <v>46</v>
      </c>
      <c r="Z3254" s="8">
        <v>10</v>
      </c>
      <c r="AA3254" s="202" t="str">
        <f t="shared" si="51"/>
        <v>Морковь</v>
      </c>
    </row>
    <row r="3255" spans="1:27" ht="15" customHeight="1" x14ac:dyDescent="0.25">
      <c r="A3255" t="s">
        <v>153</v>
      </c>
      <c r="L3255"/>
      <c r="M3255"/>
      <c r="N3255"/>
      <c r="O3255"/>
      <c r="P3255"/>
      <c r="T3255">
        <v>1764</v>
      </c>
      <c r="U3255" s="7">
        <v>3</v>
      </c>
      <c r="V3255" t="s">
        <v>613</v>
      </c>
      <c r="W3255" s="257" t="s">
        <v>938</v>
      </c>
      <c r="X3255" t="s">
        <v>940</v>
      </c>
      <c r="Y3255" s="316" t="s">
        <v>76</v>
      </c>
      <c r="Z3255" s="8">
        <v>3</v>
      </c>
      <c r="AA3255" s="202" t="str">
        <f t="shared" si="51"/>
        <v>Томат-паста</v>
      </c>
    </row>
    <row r="3256" spans="1:27" ht="15" customHeight="1" x14ac:dyDescent="0.25">
      <c r="A3256" t="s">
        <v>153</v>
      </c>
      <c r="L3256"/>
      <c r="M3256"/>
      <c r="N3256"/>
      <c r="O3256"/>
      <c r="P3256"/>
      <c r="T3256">
        <v>1765</v>
      </c>
      <c r="U3256" s="7">
        <v>3</v>
      </c>
      <c r="V3256" t="s">
        <v>613</v>
      </c>
      <c r="W3256" s="257" t="s">
        <v>938</v>
      </c>
      <c r="X3256" t="s">
        <v>940</v>
      </c>
      <c r="Y3256" s="316" t="s">
        <v>32</v>
      </c>
      <c r="Z3256" s="8">
        <v>10</v>
      </c>
      <c r="AA3256" s="202" t="str">
        <f t="shared" si="51"/>
        <v>Лук репчатый</v>
      </c>
    </row>
    <row r="3257" spans="1:27" ht="15" customHeight="1" x14ac:dyDescent="0.25">
      <c r="A3257" t="s">
        <v>153</v>
      </c>
      <c r="L3257"/>
      <c r="M3257"/>
      <c r="N3257"/>
      <c r="O3257"/>
      <c r="P3257"/>
      <c r="T3257">
        <v>1766</v>
      </c>
      <c r="U3257" s="7">
        <v>3</v>
      </c>
      <c r="V3257" t="s">
        <v>613</v>
      </c>
      <c r="W3257" s="257" t="s">
        <v>938</v>
      </c>
      <c r="X3257" t="s">
        <v>940</v>
      </c>
      <c r="Y3257" s="316" t="s">
        <v>1214</v>
      </c>
      <c r="Z3257" s="8">
        <v>124.8</v>
      </c>
      <c r="AA3257" s="202" t="str">
        <f t="shared" si="51"/>
        <v>Масса мясных и рыбных порций, г</v>
      </c>
    </row>
    <row r="3258" spans="1:27" ht="15" customHeight="1" x14ac:dyDescent="0.25">
      <c r="A3258" t="s">
        <v>153</v>
      </c>
      <c r="L3258"/>
      <c r="M3258"/>
      <c r="N3258"/>
      <c r="O3258"/>
      <c r="P3258"/>
      <c r="T3258">
        <v>1766</v>
      </c>
      <c r="U3258" s="7">
        <v>3</v>
      </c>
      <c r="V3258" t="s">
        <v>613</v>
      </c>
      <c r="W3258" s="257" t="s">
        <v>938</v>
      </c>
      <c r="X3258" t="s">
        <v>940</v>
      </c>
      <c r="Y3258" s="316" t="s">
        <v>1215</v>
      </c>
      <c r="Z3258" s="8">
        <v>174.8</v>
      </c>
      <c r="AA3258" s="202" t="str">
        <f t="shared" si="51"/>
        <v>Общая масса готового блюда, г</v>
      </c>
    </row>
    <row r="3259" spans="1:27" ht="15" customHeight="1" x14ac:dyDescent="0.25">
      <c r="A3259" t="s">
        <v>153</v>
      </c>
      <c r="L3259"/>
      <c r="M3259"/>
      <c r="N3259"/>
      <c r="O3259"/>
      <c r="P3259"/>
      <c r="T3259">
        <v>1767</v>
      </c>
      <c r="U3259" s="7">
        <v>3</v>
      </c>
      <c r="V3259" t="s">
        <v>613</v>
      </c>
      <c r="W3259" s="257" t="s">
        <v>941</v>
      </c>
      <c r="X3259" t="s">
        <v>942</v>
      </c>
      <c r="Y3259" s="316" t="s">
        <v>419</v>
      </c>
      <c r="Z3259" s="8">
        <v>120</v>
      </c>
      <c r="AA3259" s="202" t="str">
        <f t="shared" si="51"/>
        <v>Рыба с/м б/г</v>
      </c>
    </row>
    <row r="3260" spans="1:27" ht="15" customHeight="1" x14ac:dyDescent="0.25">
      <c r="A3260" t="s">
        <v>153</v>
      </c>
      <c r="L3260"/>
      <c r="M3260"/>
      <c r="N3260"/>
      <c r="O3260"/>
      <c r="P3260"/>
      <c r="T3260">
        <v>1768</v>
      </c>
      <c r="U3260" s="7">
        <v>3</v>
      </c>
      <c r="V3260" t="s">
        <v>613</v>
      </c>
      <c r="W3260" s="257" t="s">
        <v>941</v>
      </c>
      <c r="X3260" t="s">
        <v>942</v>
      </c>
      <c r="Y3260" s="316" t="s">
        <v>61</v>
      </c>
      <c r="Z3260" s="8">
        <v>5</v>
      </c>
      <c r="AA3260" s="202" t="str">
        <f t="shared" si="51"/>
        <v>Масло растительное</v>
      </c>
    </row>
    <row r="3261" spans="1:27" ht="15" customHeight="1" x14ac:dyDescent="0.25">
      <c r="A3261" t="s">
        <v>153</v>
      </c>
      <c r="L3261"/>
      <c r="M3261"/>
      <c r="N3261"/>
      <c r="O3261"/>
      <c r="P3261"/>
      <c r="T3261">
        <v>1769</v>
      </c>
      <c r="U3261" s="7">
        <v>3</v>
      </c>
      <c r="V3261" t="s">
        <v>613</v>
      </c>
      <c r="W3261" s="257" t="s">
        <v>941</v>
      </c>
      <c r="X3261" t="s">
        <v>942</v>
      </c>
      <c r="Y3261" s="316" t="s">
        <v>326</v>
      </c>
      <c r="Z3261" s="8">
        <v>2</v>
      </c>
      <c r="AA3261" s="202" t="str">
        <f t="shared" si="51"/>
        <v>Соль</v>
      </c>
    </row>
    <row r="3262" spans="1:27" ht="15" customHeight="1" x14ac:dyDescent="0.25">
      <c r="A3262" t="s">
        <v>153</v>
      </c>
      <c r="L3262"/>
      <c r="M3262"/>
      <c r="N3262"/>
      <c r="O3262"/>
      <c r="P3262"/>
      <c r="T3262">
        <v>1770</v>
      </c>
      <c r="U3262" s="7">
        <v>3</v>
      </c>
      <c r="V3262" t="s">
        <v>613</v>
      </c>
      <c r="W3262" s="257" t="s">
        <v>941</v>
      </c>
      <c r="X3262" t="s">
        <v>942</v>
      </c>
      <c r="Y3262" s="316" t="s">
        <v>438</v>
      </c>
      <c r="Z3262" s="8">
        <v>18</v>
      </c>
      <c r="AA3262" s="202" t="str">
        <f t="shared" si="51"/>
        <v>Хлеб из муки пш. 1 сорта</v>
      </c>
    </row>
    <row r="3263" spans="1:27" ht="15" customHeight="1" x14ac:dyDescent="0.25">
      <c r="A3263" t="s">
        <v>153</v>
      </c>
      <c r="L3263"/>
      <c r="M3263"/>
      <c r="N3263"/>
      <c r="O3263"/>
      <c r="P3263"/>
      <c r="T3263">
        <v>1771</v>
      </c>
      <c r="U3263" s="7">
        <v>3</v>
      </c>
      <c r="V3263" t="s">
        <v>613</v>
      </c>
      <c r="W3263" s="257" t="s">
        <v>941</v>
      </c>
      <c r="X3263" t="s">
        <v>942</v>
      </c>
      <c r="Y3263" s="316" t="s">
        <v>434</v>
      </c>
      <c r="Z3263" s="8">
        <v>6</v>
      </c>
      <c r="AA3263" s="202" t="str">
        <f t="shared" si="51"/>
        <v>Мука пшеничная 1 с</v>
      </c>
    </row>
    <row r="3264" spans="1:27" ht="15" customHeight="1" x14ac:dyDescent="0.25">
      <c r="A3264" t="s">
        <v>153</v>
      </c>
      <c r="L3264"/>
      <c r="M3264"/>
      <c r="N3264"/>
      <c r="O3264"/>
      <c r="P3264"/>
      <c r="T3264">
        <v>1772</v>
      </c>
      <c r="U3264" s="7">
        <v>3</v>
      </c>
      <c r="V3264" t="s">
        <v>613</v>
      </c>
      <c r="W3264" s="257" t="s">
        <v>941</v>
      </c>
      <c r="X3264" t="s">
        <v>942</v>
      </c>
      <c r="Y3264" s="316" t="s">
        <v>330</v>
      </c>
      <c r="Z3264" s="8">
        <v>20.399999999999999</v>
      </c>
      <c r="AA3264" s="202" t="str">
        <f t="shared" si="51"/>
        <v>Вода</v>
      </c>
    </row>
    <row r="3265" spans="1:27" ht="15" customHeight="1" x14ac:dyDescent="0.25">
      <c r="A3265" t="s">
        <v>153</v>
      </c>
      <c r="L3265"/>
      <c r="M3265"/>
      <c r="N3265"/>
      <c r="O3265"/>
      <c r="P3265"/>
      <c r="T3265">
        <v>1773</v>
      </c>
      <c r="U3265" s="7">
        <v>3</v>
      </c>
      <c r="V3265" t="s">
        <v>613</v>
      </c>
      <c r="W3265" s="257" t="s">
        <v>941</v>
      </c>
      <c r="X3265" t="s">
        <v>942</v>
      </c>
      <c r="Y3265" s="316" t="s">
        <v>32</v>
      </c>
      <c r="Z3265" s="8">
        <v>13.92</v>
      </c>
      <c r="AA3265" s="202" t="str">
        <f t="shared" si="51"/>
        <v>Лук репчатый</v>
      </c>
    </row>
    <row r="3266" spans="1:27" ht="15" customHeight="1" x14ac:dyDescent="0.25">
      <c r="A3266" t="s">
        <v>153</v>
      </c>
      <c r="L3266"/>
      <c r="M3266"/>
      <c r="N3266"/>
      <c r="O3266"/>
      <c r="P3266"/>
      <c r="T3266">
        <v>1774</v>
      </c>
      <c r="U3266" s="7">
        <v>3</v>
      </c>
      <c r="V3266" t="s">
        <v>613</v>
      </c>
      <c r="W3266" s="257" t="s">
        <v>941</v>
      </c>
      <c r="X3266" t="s">
        <v>942</v>
      </c>
      <c r="Y3266" s="316" t="s">
        <v>46</v>
      </c>
      <c r="Z3266" s="8">
        <v>10</v>
      </c>
      <c r="AA3266" s="202" t="str">
        <f t="shared" ref="AA3266:AA3329" si="52">VLOOKUP(Y3266,O:P,2,FALSE)</f>
        <v>Морковь</v>
      </c>
    </row>
    <row r="3267" spans="1:27" ht="15" customHeight="1" x14ac:dyDescent="0.25">
      <c r="A3267" t="s">
        <v>153</v>
      </c>
      <c r="L3267"/>
      <c r="M3267"/>
      <c r="N3267"/>
      <c r="O3267"/>
      <c r="P3267"/>
      <c r="T3267">
        <v>1775</v>
      </c>
      <c r="U3267" s="7">
        <v>3</v>
      </c>
      <c r="V3267" t="s">
        <v>613</v>
      </c>
      <c r="W3267" s="257" t="s">
        <v>941</v>
      </c>
      <c r="X3267" t="s">
        <v>942</v>
      </c>
      <c r="Y3267" s="316" t="s">
        <v>76</v>
      </c>
      <c r="Z3267" s="8">
        <v>3</v>
      </c>
      <c r="AA3267" s="202" t="str">
        <f t="shared" si="52"/>
        <v>Томат-паста</v>
      </c>
    </row>
    <row r="3268" spans="1:27" ht="15" customHeight="1" x14ac:dyDescent="0.25">
      <c r="A3268" t="s">
        <v>153</v>
      </c>
      <c r="L3268"/>
      <c r="M3268"/>
      <c r="N3268"/>
      <c r="O3268"/>
      <c r="P3268"/>
      <c r="T3268">
        <v>1776</v>
      </c>
      <c r="U3268" s="7">
        <v>3</v>
      </c>
      <c r="V3268" t="s">
        <v>613</v>
      </c>
      <c r="W3268" s="257" t="s">
        <v>941</v>
      </c>
      <c r="X3268" t="s">
        <v>942</v>
      </c>
      <c r="Y3268" s="316" t="s">
        <v>32</v>
      </c>
      <c r="Z3268" s="8">
        <v>10</v>
      </c>
      <c r="AA3268" s="202" t="str">
        <f t="shared" si="52"/>
        <v>Лук репчатый</v>
      </c>
    </row>
    <row r="3269" spans="1:27" ht="15" customHeight="1" x14ac:dyDescent="0.25">
      <c r="A3269" t="s">
        <v>153</v>
      </c>
      <c r="L3269"/>
      <c r="M3269"/>
      <c r="N3269"/>
      <c r="O3269"/>
      <c r="P3269"/>
      <c r="T3269">
        <v>1777</v>
      </c>
      <c r="U3269" s="7">
        <v>3</v>
      </c>
      <c r="V3269" t="s">
        <v>613</v>
      </c>
      <c r="W3269" s="257" t="s">
        <v>941</v>
      </c>
      <c r="X3269" t="s">
        <v>942</v>
      </c>
      <c r="Y3269" s="316" t="s">
        <v>558</v>
      </c>
      <c r="Z3269" s="8">
        <v>125.19888</v>
      </c>
      <c r="AA3269" s="202" t="str">
        <f t="shared" si="52"/>
        <v>Общая масса готового блюда, г</v>
      </c>
    </row>
    <row r="3270" spans="1:27" ht="15" customHeight="1" x14ac:dyDescent="0.25">
      <c r="A3270" t="s">
        <v>153</v>
      </c>
      <c r="L3270"/>
      <c r="M3270"/>
      <c r="N3270"/>
      <c r="O3270"/>
      <c r="P3270"/>
      <c r="T3270">
        <v>1777</v>
      </c>
      <c r="U3270" s="7">
        <v>3</v>
      </c>
      <c r="V3270" t="s">
        <v>613</v>
      </c>
      <c r="W3270" s="257" t="s">
        <v>941</v>
      </c>
      <c r="X3270" t="s">
        <v>942</v>
      </c>
      <c r="Y3270" s="316" t="s">
        <v>1214</v>
      </c>
      <c r="Z3270" s="8">
        <v>75.2</v>
      </c>
      <c r="AA3270" s="202" t="str">
        <f t="shared" si="52"/>
        <v>Масса мясных и рыбных порций, г</v>
      </c>
    </row>
    <row r="3271" spans="1:27" ht="15" customHeight="1" x14ac:dyDescent="0.25">
      <c r="A3271" t="s">
        <v>153</v>
      </c>
      <c r="L3271"/>
      <c r="M3271"/>
      <c r="N3271"/>
      <c r="O3271"/>
      <c r="P3271"/>
      <c r="T3271">
        <v>1756</v>
      </c>
      <c r="U3271" s="7">
        <v>3</v>
      </c>
      <c r="V3271" t="s">
        <v>613</v>
      </c>
      <c r="W3271" s="257" t="s">
        <v>938</v>
      </c>
      <c r="X3271" t="s">
        <v>943</v>
      </c>
      <c r="Y3271" s="316" t="s">
        <v>419</v>
      </c>
      <c r="Z3271" s="8">
        <v>156</v>
      </c>
      <c r="AA3271" s="202" t="str">
        <f t="shared" si="52"/>
        <v>Рыба с/м б/г</v>
      </c>
    </row>
    <row r="3272" spans="1:27" ht="15" customHeight="1" x14ac:dyDescent="0.25">
      <c r="A3272" t="s">
        <v>153</v>
      </c>
      <c r="L3272"/>
      <c r="M3272"/>
      <c r="N3272"/>
      <c r="O3272"/>
      <c r="P3272"/>
      <c r="T3272">
        <v>1757</v>
      </c>
      <c r="U3272" s="7">
        <v>3</v>
      </c>
      <c r="V3272" t="s">
        <v>613</v>
      </c>
      <c r="W3272" s="257" t="s">
        <v>938</v>
      </c>
      <c r="X3272" t="s">
        <v>943</v>
      </c>
      <c r="Y3272" s="316" t="s">
        <v>61</v>
      </c>
      <c r="Z3272" s="8">
        <v>5</v>
      </c>
      <c r="AA3272" s="202" t="str">
        <f t="shared" si="52"/>
        <v>Масло растительное</v>
      </c>
    </row>
    <row r="3273" spans="1:27" ht="15" customHeight="1" x14ac:dyDescent="0.25">
      <c r="A3273" t="s">
        <v>153</v>
      </c>
      <c r="L3273"/>
      <c r="M3273"/>
      <c r="N3273"/>
      <c r="O3273"/>
      <c r="P3273"/>
      <c r="T3273">
        <v>1758</v>
      </c>
      <c r="U3273" s="7">
        <v>3</v>
      </c>
      <c r="V3273" t="s">
        <v>613</v>
      </c>
      <c r="W3273" s="257" t="s">
        <v>938</v>
      </c>
      <c r="X3273" t="s">
        <v>943</v>
      </c>
      <c r="Y3273" s="316" t="s">
        <v>326</v>
      </c>
      <c r="Z3273" s="8">
        <v>2</v>
      </c>
      <c r="AA3273" s="202" t="str">
        <f t="shared" si="52"/>
        <v>Соль</v>
      </c>
    </row>
    <row r="3274" spans="1:27" ht="15" customHeight="1" x14ac:dyDescent="0.25">
      <c r="A3274" t="s">
        <v>153</v>
      </c>
      <c r="L3274"/>
      <c r="M3274"/>
      <c r="N3274"/>
      <c r="O3274"/>
      <c r="P3274"/>
      <c r="T3274">
        <v>1759</v>
      </c>
      <c r="U3274" s="7">
        <v>3</v>
      </c>
      <c r="V3274" t="s">
        <v>613</v>
      </c>
      <c r="W3274" s="257" t="s">
        <v>938</v>
      </c>
      <c r="X3274" t="s">
        <v>943</v>
      </c>
      <c r="Y3274" s="316" t="s">
        <v>438</v>
      </c>
      <c r="Z3274" s="8">
        <v>18</v>
      </c>
      <c r="AA3274" s="202" t="str">
        <f t="shared" si="52"/>
        <v>Хлеб из муки пш. 1 сорта</v>
      </c>
    </row>
    <row r="3275" spans="1:27" ht="15" customHeight="1" x14ac:dyDescent="0.25">
      <c r="A3275" t="s">
        <v>153</v>
      </c>
      <c r="L3275"/>
      <c r="M3275"/>
      <c r="N3275"/>
      <c r="O3275"/>
      <c r="P3275"/>
      <c r="T3275">
        <v>1760</v>
      </c>
      <c r="U3275" s="7">
        <v>3</v>
      </c>
      <c r="V3275" t="s">
        <v>613</v>
      </c>
      <c r="W3275" s="257" t="s">
        <v>938</v>
      </c>
      <c r="X3275" t="s">
        <v>943</v>
      </c>
      <c r="Y3275" s="316" t="s">
        <v>434</v>
      </c>
      <c r="Z3275" s="8">
        <v>6</v>
      </c>
      <c r="AA3275" s="202" t="str">
        <f t="shared" si="52"/>
        <v>Мука пшеничная 1 с</v>
      </c>
    </row>
    <row r="3276" spans="1:27" ht="15" customHeight="1" x14ac:dyDescent="0.25">
      <c r="A3276" t="s">
        <v>153</v>
      </c>
      <c r="L3276"/>
      <c r="M3276"/>
      <c r="N3276"/>
      <c r="O3276"/>
      <c r="P3276"/>
      <c r="T3276">
        <v>1761</v>
      </c>
      <c r="U3276" s="7">
        <v>3</v>
      </c>
      <c r="V3276" t="s">
        <v>613</v>
      </c>
      <c r="W3276" s="257" t="s">
        <v>938</v>
      </c>
      <c r="X3276" t="s">
        <v>943</v>
      </c>
      <c r="Y3276" s="316" t="s">
        <v>330</v>
      </c>
      <c r="Z3276" s="8">
        <v>20.399999999999999</v>
      </c>
      <c r="AA3276" s="202" t="str">
        <f t="shared" si="52"/>
        <v>Вода</v>
      </c>
    </row>
    <row r="3277" spans="1:27" ht="15" customHeight="1" x14ac:dyDescent="0.25">
      <c r="A3277" t="s">
        <v>153</v>
      </c>
      <c r="L3277"/>
      <c r="M3277"/>
      <c r="N3277"/>
      <c r="O3277"/>
      <c r="P3277"/>
      <c r="T3277">
        <v>1762</v>
      </c>
      <c r="U3277" s="7">
        <v>3</v>
      </c>
      <c r="V3277" t="s">
        <v>613</v>
      </c>
      <c r="W3277" s="257" t="s">
        <v>938</v>
      </c>
      <c r="X3277" t="s">
        <v>943</v>
      </c>
      <c r="Y3277" s="316" t="s">
        <v>32</v>
      </c>
      <c r="Z3277" s="8">
        <v>13.92</v>
      </c>
      <c r="AA3277" s="202" t="str">
        <f t="shared" si="52"/>
        <v>Лук репчатый</v>
      </c>
    </row>
    <row r="3278" spans="1:27" ht="15" customHeight="1" x14ac:dyDescent="0.25">
      <c r="A3278" t="s">
        <v>153</v>
      </c>
      <c r="L3278"/>
      <c r="M3278"/>
      <c r="N3278"/>
      <c r="O3278"/>
      <c r="P3278"/>
      <c r="T3278">
        <v>1763</v>
      </c>
      <c r="U3278" s="7">
        <v>3</v>
      </c>
      <c r="V3278" t="s">
        <v>613</v>
      </c>
      <c r="W3278" s="257" t="s">
        <v>938</v>
      </c>
      <c r="X3278" t="s">
        <v>943</v>
      </c>
      <c r="Y3278" s="316" t="s">
        <v>46</v>
      </c>
      <c r="Z3278" s="8">
        <v>10</v>
      </c>
      <c r="AA3278" s="202" t="str">
        <f t="shared" si="52"/>
        <v>Морковь</v>
      </c>
    </row>
    <row r="3279" spans="1:27" ht="15" customHeight="1" x14ac:dyDescent="0.25">
      <c r="A3279" t="s">
        <v>153</v>
      </c>
      <c r="L3279"/>
      <c r="M3279"/>
      <c r="N3279"/>
      <c r="O3279"/>
      <c r="P3279"/>
      <c r="T3279">
        <v>1764</v>
      </c>
      <c r="U3279" s="7">
        <v>3</v>
      </c>
      <c r="V3279" t="s">
        <v>613</v>
      </c>
      <c r="W3279" s="257" t="s">
        <v>938</v>
      </c>
      <c r="X3279" t="s">
        <v>943</v>
      </c>
      <c r="Y3279" s="316" t="s">
        <v>76</v>
      </c>
      <c r="Z3279" s="8">
        <v>3</v>
      </c>
      <c r="AA3279" s="202" t="str">
        <f t="shared" si="52"/>
        <v>Томат-паста</v>
      </c>
    </row>
    <row r="3280" spans="1:27" ht="15" customHeight="1" x14ac:dyDescent="0.25">
      <c r="A3280" t="s">
        <v>153</v>
      </c>
      <c r="L3280"/>
      <c r="M3280"/>
      <c r="N3280"/>
      <c r="O3280"/>
      <c r="P3280"/>
      <c r="T3280">
        <v>1765</v>
      </c>
      <c r="U3280" s="7">
        <v>3</v>
      </c>
      <c r="V3280" t="s">
        <v>613</v>
      </c>
      <c r="W3280" s="257" t="s">
        <v>938</v>
      </c>
      <c r="X3280" t="s">
        <v>943</v>
      </c>
      <c r="Y3280" s="316" t="s">
        <v>32</v>
      </c>
      <c r="Z3280" s="8">
        <v>10</v>
      </c>
      <c r="AA3280" s="202" t="str">
        <f t="shared" si="52"/>
        <v>Лук репчатый</v>
      </c>
    </row>
    <row r="3281" spans="1:27" ht="15" customHeight="1" x14ac:dyDescent="0.25">
      <c r="A3281" t="s">
        <v>153</v>
      </c>
      <c r="L3281"/>
      <c r="M3281"/>
      <c r="N3281"/>
      <c r="O3281"/>
      <c r="P3281"/>
      <c r="T3281">
        <v>1766</v>
      </c>
      <c r="U3281" s="7">
        <v>3</v>
      </c>
      <c r="V3281" t="s">
        <v>613</v>
      </c>
      <c r="W3281" s="257" t="s">
        <v>938</v>
      </c>
      <c r="X3281" t="s">
        <v>943</v>
      </c>
      <c r="Y3281" s="316" t="s">
        <v>1214</v>
      </c>
      <c r="Z3281" s="8">
        <v>127.91999999999999</v>
      </c>
      <c r="AA3281" s="202" t="str">
        <f t="shared" si="52"/>
        <v>Масса мясных и рыбных порций, г</v>
      </c>
    </row>
    <row r="3282" spans="1:27" ht="15" customHeight="1" x14ac:dyDescent="0.25">
      <c r="A3282" t="s">
        <v>153</v>
      </c>
      <c r="L3282"/>
      <c r="M3282"/>
      <c r="N3282"/>
      <c r="O3282"/>
      <c r="P3282"/>
      <c r="T3282">
        <v>1766</v>
      </c>
      <c r="U3282" s="7">
        <v>3</v>
      </c>
      <c r="V3282" t="s">
        <v>613</v>
      </c>
      <c r="W3282" s="257" t="s">
        <v>938</v>
      </c>
      <c r="X3282" t="s">
        <v>943</v>
      </c>
      <c r="Y3282" s="316" t="s">
        <v>1215</v>
      </c>
      <c r="Z3282" s="8">
        <v>177.9</v>
      </c>
      <c r="AA3282" s="202" t="str">
        <f t="shared" si="52"/>
        <v>Общая масса готового блюда, г</v>
      </c>
    </row>
    <row r="3283" spans="1:27" ht="15" customHeight="1" x14ac:dyDescent="0.25">
      <c r="A3283" t="s">
        <v>153</v>
      </c>
      <c r="L3283"/>
      <c r="M3283"/>
      <c r="N3283"/>
      <c r="O3283"/>
      <c r="P3283"/>
      <c r="T3283">
        <v>1756</v>
      </c>
      <c r="U3283" s="7">
        <v>3</v>
      </c>
      <c r="V3283" t="s">
        <v>613</v>
      </c>
      <c r="W3283" s="257" t="s">
        <v>938</v>
      </c>
      <c r="X3283" t="s">
        <v>944</v>
      </c>
      <c r="Y3283" s="316" t="s">
        <v>419</v>
      </c>
      <c r="Z3283" s="8">
        <v>120</v>
      </c>
      <c r="AA3283" s="202" t="str">
        <f t="shared" si="52"/>
        <v>Рыба с/м б/г</v>
      </c>
    </row>
    <row r="3284" spans="1:27" ht="15" customHeight="1" x14ac:dyDescent="0.25">
      <c r="A3284" t="s">
        <v>153</v>
      </c>
      <c r="L3284"/>
      <c r="M3284"/>
      <c r="N3284"/>
      <c r="O3284"/>
      <c r="P3284"/>
      <c r="T3284">
        <v>1757</v>
      </c>
      <c r="U3284" s="7">
        <v>3</v>
      </c>
      <c r="V3284" t="s">
        <v>613</v>
      </c>
      <c r="W3284" s="257" t="s">
        <v>938</v>
      </c>
      <c r="X3284" t="s">
        <v>944</v>
      </c>
      <c r="Y3284" s="316" t="s">
        <v>61</v>
      </c>
      <c r="Z3284" s="8">
        <v>5</v>
      </c>
      <c r="AA3284" s="202" t="str">
        <f t="shared" si="52"/>
        <v>Масло растительное</v>
      </c>
    </row>
    <row r="3285" spans="1:27" ht="15" customHeight="1" x14ac:dyDescent="0.25">
      <c r="A3285" t="s">
        <v>153</v>
      </c>
      <c r="L3285"/>
      <c r="M3285"/>
      <c r="N3285"/>
      <c r="O3285"/>
      <c r="P3285"/>
      <c r="T3285">
        <v>1758</v>
      </c>
      <c r="U3285" s="7">
        <v>3</v>
      </c>
      <c r="V3285" t="s">
        <v>613</v>
      </c>
      <c r="W3285" s="257" t="s">
        <v>938</v>
      </c>
      <c r="X3285" t="s">
        <v>944</v>
      </c>
      <c r="Y3285" s="316" t="s">
        <v>326</v>
      </c>
      <c r="Z3285" s="8">
        <v>2</v>
      </c>
      <c r="AA3285" s="202" t="str">
        <f t="shared" si="52"/>
        <v>Соль</v>
      </c>
    </row>
    <row r="3286" spans="1:27" ht="15" customHeight="1" x14ac:dyDescent="0.25">
      <c r="A3286" t="s">
        <v>153</v>
      </c>
      <c r="L3286"/>
      <c r="M3286"/>
      <c r="N3286"/>
      <c r="O3286"/>
      <c r="P3286"/>
      <c r="T3286">
        <v>1759</v>
      </c>
      <c r="U3286" s="7">
        <v>3</v>
      </c>
      <c r="V3286" t="s">
        <v>613</v>
      </c>
      <c r="W3286" s="257" t="s">
        <v>938</v>
      </c>
      <c r="X3286" t="s">
        <v>944</v>
      </c>
      <c r="Y3286" s="316" t="s">
        <v>438</v>
      </c>
      <c r="Z3286" s="8">
        <v>18</v>
      </c>
      <c r="AA3286" s="202" t="str">
        <f t="shared" si="52"/>
        <v>Хлеб из муки пш. 1 сорта</v>
      </c>
    </row>
    <row r="3287" spans="1:27" ht="15" customHeight="1" x14ac:dyDescent="0.25">
      <c r="A3287" t="s">
        <v>153</v>
      </c>
      <c r="L3287"/>
      <c r="M3287"/>
      <c r="N3287"/>
      <c r="O3287"/>
      <c r="P3287"/>
      <c r="T3287">
        <v>1760</v>
      </c>
      <c r="U3287" s="7">
        <v>3</v>
      </c>
      <c r="V3287" t="s">
        <v>613</v>
      </c>
      <c r="W3287" s="257" t="s">
        <v>938</v>
      </c>
      <c r="X3287" t="s">
        <v>944</v>
      </c>
      <c r="Y3287" s="316" t="s">
        <v>434</v>
      </c>
      <c r="Z3287" s="8">
        <v>6</v>
      </c>
      <c r="AA3287" s="202" t="str">
        <f t="shared" si="52"/>
        <v>Мука пшеничная 1 с</v>
      </c>
    </row>
    <row r="3288" spans="1:27" ht="15" customHeight="1" x14ac:dyDescent="0.25">
      <c r="A3288" t="s">
        <v>153</v>
      </c>
      <c r="L3288"/>
      <c r="M3288"/>
      <c r="N3288"/>
      <c r="O3288"/>
      <c r="P3288"/>
      <c r="T3288">
        <v>1761</v>
      </c>
      <c r="U3288" s="7">
        <v>3</v>
      </c>
      <c r="V3288" t="s">
        <v>613</v>
      </c>
      <c r="W3288" s="257" t="s">
        <v>938</v>
      </c>
      <c r="X3288" t="s">
        <v>944</v>
      </c>
      <c r="Y3288" s="316" t="s">
        <v>330</v>
      </c>
      <c r="Z3288" s="8">
        <v>20.399999999999999</v>
      </c>
      <c r="AA3288" s="202" t="str">
        <f t="shared" si="52"/>
        <v>Вода</v>
      </c>
    </row>
    <row r="3289" spans="1:27" ht="15" customHeight="1" x14ac:dyDescent="0.25">
      <c r="A3289" t="s">
        <v>153</v>
      </c>
      <c r="L3289"/>
      <c r="M3289"/>
      <c r="N3289"/>
      <c r="O3289"/>
      <c r="P3289"/>
      <c r="T3289">
        <v>1762</v>
      </c>
      <c r="U3289" s="7">
        <v>3</v>
      </c>
      <c r="V3289" t="s">
        <v>613</v>
      </c>
      <c r="W3289" s="257" t="s">
        <v>938</v>
      </c>
      <c r="X3289" t="s">
        <v>944</v>
      </c>
      <c r="Y3289" s="316" t="s">
        <v>32</v>
      </c>
      <c r="Z3289" s="8">
        <v>13.92</v>
      </c>
      <c r="AA3289" s="202" t="str">
        <f t="shared" si="52"/>
        <v>Лук репчатый</v>
      </c>
    </row>
    <row r="3290" spans="1:27" ht="15" customHeight="1" x14ac:dyDescent="0.25">
      <c r="A3290" t="s">
        <v>153</v>
      </c>
      <c r="L3290"/>
      <c r="M3290"/>
      <c r="N3290"/>
      <c r="O3290"/>
      <c r="P3290"/>
      <c r="T3290">
        <v>1763</v>
      </c>
      <c r="U3290" s="7">
        <v>3</v>
      </c>
      <c r="V3290" t="s">
        <v>613</v>
      </c>
      <c r="W3290" s="257" t="s">
        <v>938</v>
      </c>
      <c r="X3290" t="s">
        <v>944</v>
      </c>
      <c r="Y3290" s="316" t="s">
        <v>46</v>
      </c>
      <c r="Z3290" s="8">
        <v>10</v>
      </c>
      <c r="AA3290" s="202" t="str">
        <f t="shared" si="52"/>
        <v>Морковь</v>
      </c>
    </row>
    <row r="3291" spans="1:27" ht="15" customHeight="1" x14ac:dyDescent="0.25">
      <c r="A3291" t="s">
        <v>153</v>
      </c>
      <c r="L3291"/>
      <c r="M3291"/>
      <c r="N3291"/>
      <c r="O3291"/>
      <c r="P3291"/>
      <c r="T3291">
        <v>1764</v>
      </c>
      <c r="U3291" s="7">
        <v>3</v>
      </c>
      <c r="V3291" t="s">
        <v>613</v>
      </c>
      <c r="W3291" s="257" t="s">
        <v>938</v>
      </c>
      <c r="X3291" t="s">
        <v>944</v>
      </c>
      <c r="Y3291" s="316" t="s">
        <v>76</v>
      </c>
      <c r="Z3291" s="8">
        <v>3</v>
      </c>
      <c r="AA3291" s="202" t="str">
        <f t="shared" si="52"/>
        <v>Томат-паста</v>
      </c>
    </row>
    <row r="3292" spans="1:27" ht="15" customHeight="1" x14ac:dyDescent="0.25">
      <c r="A3292" t="s">
        <v>153</v>
      </c>
      <c r="L3292"/>
      <c r="M3292"/>
      <c r="N3292"/>
      <c r="O3292"/>
      <c r="P3292"/>
      <c r="T3292">
        <v>1765</v>
      </c>
      <c r="U3292" s="7">
        <v>3</v>
      </c>
      <c r="V3292" t="s">
        <v>613</v>
      </c>
      <c r="W3292" s="257" t="s">
        <v>938</v>
      </c>
      <c r="X3292" t="s">
        <v>944</v>
      </c>
      <c r="Y3292" s="316" t="s">
        <v>32</v>
      </c>
      <c r="Z3292" s="8">
        <v>10</v>
      </c>
      <c r="AA3292" s="202" t="str">
        <f t="shared" si="52"/>
        <v>Лук репчатый</v>
      </c>
    </row>
    <row r="3293" spans="1:27" ht="15" customHeight="1" x14ac:dyDescent="0.25">
      <c r="A3293" t="s">
        <v>153</v>
      </c>
      <c r="L3293"/>
      <c r="M3293"/>
      <c r="N3293"/>
      <c r="O3293"/>
      <c r="P3293"/>
      <c r="T3293">
        <v>1766</v>
      </c>
      <c r="U3293" s="7">
        <v>3</v>
      </c>
      <c r="V3293" t="s">
        <v>613</v>
      </c>
      <c r="W3293" s="257" t="s">
        <v>938</v>
      </c>
      <c r="X3293" t="s">
        <v>944</v>
      </c>
      <c r="Y3293" s="316" t="s">
        <v>558</v>
      </c>
      <c r="Z3293" s="8">
        <v>124.8</v>
      </c>
      <c r="AA3293" s="202" t="str">
        <f t="shared" si="52"/>
        <v>Общая масса готового блюда, г</v>
      </c>
    </row>
    <row r="3294" spans="1:27" ht="15" customHeight="1" x14ac:dyDescent="0.25">
      <c r="A3294" t="s">
        <v>153</v>
      </c>
      <c r="L3294"/>
      <c r="M3294"/>
      <c r="N3294"/>
      <c r="O3294"/>
      <c r="P3294"/>
      <c r="T3294">
        <v>1766</v>
      </c>
      <c r="U3294" s="7">
        <v>3</v>
      </c>
      <c r="V3294" t="s">
        <v>613</v>
      </c>
      <c r="W3294" s="257" t="s">
        <v>938</v>
      </c>
      <c r="X3294" t="s">
        <v>944</v>
      </c>
      <c r="Y3294" s="316" t="s">
        <v>1214</v>
      </c>
      <c r="Z3294" s="8">
        <v>174.8</v>
      </c>
      <c r="AA3294" s="202" t="str">
        <f t="shared" si="52"/>
        <v>Масса мясных и рыбных порций, г</v>
      </c>
    </row>
    <row r="3295" spans="1:27" ht="15" customHeight="1" x14ac:dyDescent="0.25">
      <c r="A3295" t="s">
        <v>153</v>
      </c>
      <c r="L3295"/>
      <c r="M3295"/>
      <c r="N3295"/>
      <c r="O3295"/>
      <c r="P3295"/>
      <c r="T3295">
        <v>1767</v>
      </c>
      <c r="U3295" s="7">
        <v>3</v>
      </c>
      <c r="V3295" t="s">
        <v>613</v>
      </c>
      <c r="W3295" s="257" t="s">
        <v>941</v>
      </c>
      <c r="X3295" t="s">
        <v>945</v>
      </c>
      <c r="Y3295" s="316" t="s">
        <v>419</v>
      </c>
      <c r="Z3295" s="8">
        <v>120</v>
      </c>
      <c r="AA3295" s="202" t="str">
        <f t="shared" si="52"/>
        <v>Рыба с/м б/г</v>
      </c>
    </row>
    <row r="3296" spans="1:27" ht="15" customHeight="1" x14ac:dyDescent="0.25">
      <c r="A3296" t="s">
        <v>153</v>
      </c>
      <c r="L3296"/>
      <c r="M3296"/>
      <c r="N3296"/>
      <c r="O3296"/>
      <c r="P3296"/>
      <c r="T3296">
        <v>1768</v>
      </c>
      <c r="U3296" s="7">
        <v>3</v>
      </c>
      <c r="V3296" t="s">
        <v>613</v>
      </c>
      <c r="W3296" s="257" t="s">
        <v>941</v>
      </c>
      <c r="X3296" t="s">
        <v>945</v>
      </c>
      <c r="Y3296" s="316" t="s">
        <v>61</v>
      </c>
      <c r="Z3296" s="8">
        <v>5</v>
      </c>
      <c r="AA3296" s="202" t="str">
        <f t="shared" si="52"/>
        <v>Масло растительное</v>
      </c>
    </row>
    <row r="3297" spans="1:27" ht="15" customHeight="1" x14ac:dyDescent="0.25">
      <c r="A3297" t="s">
        <v>153</v>
      </c>
      <c r="L3297"/>
      <c r="M3297"/>
      <c r="N3297"/>
      <c r="O3297"/>
      <c r="P3297"/>
      <c r="T3297">
        <v>1769</v>
      </c>
      <c r="U3297" s="7">
        <v>3</v>
      </c>
      <c r="V3297" t="s">
        <v>613</v>
      </c>
      <c r="W3297" s="257" t="s">
        <v>941</v>
      </c>
      <c r="X3297" t="s">
        <v>945</v>
      </c>
      <c r="Y3297" s="316" t="s">
        <v>326</v>
      </c>
      <c r="Z3297" s="8">
        <v>2</v>
      </c>
      <c r="AA3297" s="202" t="str">
        <f t="shared" si="52"/>
        <v>Соль</v>
      </c>
    </row>
    <row r="3298" spans="1:27" ht="15" customHeight="1" x14ac:dyDescent="0.25">
      <c r="A3298" t="s">
        <v>153</v>
      </c>
      <c r="L3298"/>
      <c r="M3298"/>
      <c r="N3298"/>
      <c r="O3298"/>
      <c r="P3298"/>
      <c r="T3298">
        <v>1770</v>
      </c>
      <c r="U3298" s="7">
        <v>3</v>
      </c>
      <c r="V3298" t="s">
        <v>613</v>
      </c>
      <c r="W3298" s="257" t="s">
        <v>941</v>
      </c>
      <c r="X3298" t="s">
        <v>945</v>
      </c>
      <c r="Y3298" s="316" t="s">
        <v>438</v>
      </c>
      <c r="Z3298" s="8">
        <v>18</v>
      </c>
      <c r="AA3298" s="202" t="str">
        <f t="shared" si="52"/>
        <v>Хлеб из муки пш. 1 сорта</v>
      </c>
    </row>
    <row r="3299" spans="1:27" ht="15" customHeight="1" x14ac:dyDescent="0.25">
      <c r="A3299" t="s">
        <v>153</v>
      </c>
      <c r="L3299"/>
      <c r="M3299"/>
      <c r="N3299"/>
      <c r="O3299"/>
      <c r="P3299"/>
      <c r="T3299">
        <v>1771</v>
      </c>
      <c r="U3299" s="7">
        <v>3</v>
      </c>
      <c r="V3299" t="s">
        <v>613</v>
      </c>
      <c r="W3299" s="257" t="s">
        <v>941</v>
      </c>
      <c r="X3299" t="s">
        <v>945</v>
      </c>
      <c r="Y3299" s="316" t="s">
        <v>434</v>
      </c>
      <c r="Z3299" s="8">
        <v>6</v>
      </c>
      <c r="AA3299" s="202" t="str">
        <f t="shared" si="52"/>
        <v>Мука пшеничная 1 с</v>
      </c>
    </row>
    <row r="3300" spans="1:27" ht="15" customHeight="1" x14ac:dyDescent="0.25">
      <c r="A3300" t="s">
        <v>153</v>
      </c>
      <c r="L3300"/>
      <c r="M3300"/>
      <c r="N3300"/>
      <c r="O3300"/>
      <c r="P3300"/>
      <c r="T3300">
        <v>1772</v>
      </c>
      <c r="U3300" s="7">
        <v>3</v>
      </c>
      <c r="V3300" t="s">
        <v>613</v>
      </c>
      <c r="W3300" s="257" t="s">
        <v>941</v>
      </c>
      <c r="X3300" t="s">
        <v>945</v>
      </c>
      <c r="Y3300" s="316" t="s">
        <v>330</v>
      </c>
      <c r="Z3300" s="8">
        <v>20.399999999999999</v>
      </c>
      <c r="AA3300" s="202" t="str">
        <f t="shared" si="52"/>
        <v>Вода</v>
      </c>
    </row>
    <row r="3301" spans="1:27" ht="15" customHeight="1" x14ac:dyDescent="0.25">
      <c r="A3301" t="s">
        <v>153</v>
      </c>
      <c r="L3301"/>
      <c r="M3301"/>
      <c r="N3301"/>
      <c r="O3301"/>
      <c r="P3301"/>
      <c r="T3301">
        <v>1773</v>
      </c>
      <c r="U3301" s="7">
        <v>3</v>
      </c>
      <c r="V3301" t="s">
        <v>613</v>
      </c>
      <c r="W3301" s="257" t="s">
        <v>941</v>
      </c>
      <c r="X3301" t="s">
        <v>945</v>
      </c>
      <c r="Y3301" s="316" t="s">
        <v>32</v>
      </c>
      <c r="Z3301" s="8">
        <v>13.92</v>
      </c>
      <c r="AA3301" s="202" t="str">
        <f t="shared" si="52"/>
        <v>Лук репчатый</v>
      </c>
    </row>
    <row r="3302" spans="1:27" ht="15" customHeight="1" x14ac:dyDescent="0.25">
      <c r="A3302" t="s">
        <v>153</v>
      </c>
      <c r="L3302"/>
      <c r="M3302"/>
      <c r="N3302"/>
      <c r="O3302"/>
      <c r="P3302"/>
      <c r="T3302">
        <v>1774</v>
      </c>
      <c r="U3302" s="7">
        <v>3</v>
      </c>
      <c r="V3302" t="s">
        <v>613</v>
      </c>
      <c r="W3302" s="257" t="s">
        <v>941</v>
      </c>
      <c r="X3302" t="s">
        <v>945</v>
      </c>
      <c r="Y3302" s="316" t="s">
        <v>46</v>
      </c>
      <c r="Z3302" s="8">
        <v>10</v>
      </c>
      <c r="AA3302" s="202" t="str">
        <f t="shared" si="52"/>
        <v>Морковь</v>
      </c>
    </row>
    <row r="3303" spans="1:27" ht="15" customHeight="1" x14ac:dyDescent="0.25">
      <c r="A3303" t="s">
        <v>153</v>
      </c>
      <c r="L3303"/>
      <c r="M3303"/>
      <c r="N3303"/>
      <c r="O3303"/>
      <c r="P3303"/>
      <c r="T3303">
        <v>1775</v>
      </c>
      <c r="U3303" s="7">
        <v>3</v>
      </c>
      <c r="V3303" t="s">
        <v>613</v>
      </c>
      <c r="W3303" s="257" t="s">
        <v>941</v>
      </c>
      <c r="X3303" t="s">
        <v>945</v>
      </c>
      <c r="Y3303" s="316" t="s">
        <v>76</v>
      </c>
      <c r="Z3303" s="8">
        <v>3</v>
      </c>
      <c r="AA3303" s="202" t="str">
        <f t="shared" si="52"/>
        <v>Томат-паста</v>
      </c>
    </row>
    <row r="3304" spans="1:27" ht="15" customHeight="1" x14ac:dyDescent="0.25">
      <c r="A3304" t="s">
        <v>153</v>
      </c>
      <c r="L3304"/>
      <c r="M3304"/>
      <c r="N3304"/>
      <c r="O3304"/>
      <c r="P3304"/>
      <c r="T3304">
        <v>1776</v>
      </c>
      <c r="U3304" s="7">
        <v>3</v>
      </c>
      <c r="V3304" t="s">
        <v>613</v>
      </c>
      <c r="W3304" s="257" t="s">
        <v>941</v>
      </c>
      <c r="X3304" t="s">
        <v>945</v>
      </c>
      <c r="Y3304" s="316" t="s">
        <v>32</v>
      </c>
      <c r="Z3304" s="8">
        <v>10</v>
      </c>
      <c r="AA3304" s="202" t="str">
        <f t="shared" si="52"/>
        <v>Лук репчатый</v>
      </c>
    </row>
    <row r="3305" spans="1:27" ht="15" customHeight="1" x14ac:dyDescent="0.25">
      <c r="A3305" t="s">
        <v>153</v>
      </c>
      <c r="L3305"/>
      <c r="M3305"/>
      <c r="N3305"/>
      <c r="O3305"/>
      <c r="P3305"/>
      <c r="T3305">
        <v>1777</v>
      </c>
      <c r="U3305" s="7">
        <v>3</v>
      </c>
      <c r="V3305" t="s">
        <v>613</v>
      </c>
      <c r="W3305" s="257" t="s">
        <v>941</v>
      </c>
      <c r="X3305" t="s">
        <v>945</v>
      </c>
      <c r="Y3305" s="316" t="s">
        <v>558</v>
      </c>
      <c r="Z3305" s="8">
        <v>120.09887999999999</v>
      </c>
      <c r="AA3305" s="202" t="str">
        <f t="shared" si="52"/>
        <v>Общая масса готового блюда, г</v>
      </c>
    </row>
    <row r="3306" spans="1:27" ht="15" customHeight="1" x14ac:dyDescent="0.25">
      <c r="A3306" t="s">
        <v>153</v>
      </c>
      <c r="L3306"/>
      <c r="M3306"/>
      <c r="N3306"/>
      <c r="O3306"/>
      <c r="P3306"/>
      <c r="T3306">
        <v>1777</v>
      </c>
      <c r="U3306" s="7">
        <v>3</v>
      </c>
      <c r="V3306" t="s">
        <v>613</v>
      </c>
      <c r="W3306" s="257" t="s">
        <v>941</v>
      </c>
      <c r="X3306" t="s">
        <v>945</v>
      </c>
      <c r="Y3306" s="316" t="s">
        <v>1214</v>
      </c>
      <c r="Z3306" s="8">
        <v>70.099999999999994</v>
      </c>
      <c r="AA3306" s="202" t="str">
        <f t="shared" si="52"/>
        <v>Масса мясных и рыбных порций, г</v>
      </c>
    </row>
    <row r="3307" spans="1:27" ht="15" customHeight="1" x14ac:dyDescent="0.25">
      <c r="A3307" t="s">
        <v>153</v>
      </c>
      <c r="L3307"/>
      <c r="M3307"/>
      <c r="N3307"/>
      <c r="O3307"/>
      <c r="P3307"/>
      <c r="T3307">
        <v>1756</v>
      </c>
      <c r="U3307" s="7">
        <v>3</v>
      </c>
      <c r="V3307" t="s">
        <v>613</v>
      </c>
      <c r="W3307" s="257" t="s">
        <v>938</v>
      </c>
      <c r="X3307" t="s">
        <v>946</v>
      </c>
      <c r="Y3307" s="316" t="s">
        <v>419</v>
      </c>
      <c r="Z3307" s="8">
        <v>156</v>
      </c>
      <c r="AA3307" s="202" t="str">
        <f t="shared" si="52"/>
        <v>Рыба с/м б/г</v>
      </c>
    </row>
    <row r="3308" spans="1:27" ht="15" customHeight="1" x14ac:dyDescent="0.25">
      <c r="A3308" t="s">
        <v>153</v>
      </c>
      <c r="L3308"/>
      <c r="M3308"/>
      <c r="N3308"/>
      <c r="O3308"/>
      <c r="P3308"/>
      <c r="T3308">
        <v>1757</v>
      </c>
      <c r="U3308" s="7">
        <v>3</v>
      </c>
      <c r="V3308" t="s">
        <v>613</v>
      </c>
      <c r="W3308" s="257" t="s">
        <v>938</v>
      </c>
      <c r="X3308" t="s">
        <v>946</v>
      </c>
      <c r="Y3308" s="316" t="s">
        <v>61</v>
      </c>
      <c r="Z3308" s="8">
        <v>5</v>
      </c>
      <c r="AA3308" s="202" t="str">
        <f t="shared" si="52"/>
        <v>Масло растительное</v>
      </c>
    </row>
    <row r="3309" spans="1:27" ht="15" customHeight="1" x14ac:dyDescent="0.25">
      <c r="A3309" t="s">
        <v>153</v>
      </c>
      <c r="L3309"/>
      <c r="M3309"/>
      <c r="N3309"/>
      <c r="O3309"/>
      <c r="P3309"/>
      <c r="T3309">
        <v>1758</v>
      </c>
      <c r="U3309" s="7">
        <v>3</v>
      </c>
      <c r="V3309" t="s">
        <v>613</v>
      </c>
      <c r="W3309" s="257" t="s">
        <v>938</v>
      </c>
      <c r="X3309" t="s">
        <v>946</v>
      </c>
      <c r="Y3309" s="316" t="s">
        <v>326</v>
      </c>
      <c r="Z3309" s="8">
        <v>2</v>
      </c>
      <c r="AA3309" s="202" t="str">
        <f t="shared" si="52"/>
        <v>Соль</v>
      </c>
    </row>
    <row r="3310" spans="1:27" ht="15" customHeight="1" x14ac:dyDescent="0.25">
      <c r="A3310" t="s">
        <v>153</v>
      </c>
      <c r="L3310"/>
      <c r="M3310"/>
      <c r="N3310"/>
      <c r="O3310"/>
      <c r="P3310"/>
      <c r="T3310">
        <v>1759</v>
      </c>
      <c r="U3310" s="7">
        <v>3</v>
      </c>
      <c r="V3310" t="s">
        <v>613</v>
      </c>
      <c r="W3310" s="257" t="s">
        <v>938</v>
      </c>
      <c r="X3310" t="s">
        <v>946</v>
      </c>
      <c r="Y3310" s="316" t="s">
        <v>438</v>
      </c>
      <c r="Z3310" s="8">
        <v>18</v>
      </c>
      <c r="AA3310" s="202" t="str">
        <f t="shared" si="52"/>
        <v>Хлеб из муки пш. 1 сорта</v>
      </c>
    </row>
    <row r="3311" spans="1:27" ht="15" customHeight="1" x14ac:dyDescent="0.25">
      <c r="A3311" t="s">
        <v>153</v>
      </c>
      <c r="L3311"/>
      <c r="M3311"/>
      <c r="N3311"/>
      <c r="O3311"/>
      <c r="P3311"/>
      <c r="T3311">
        <v>1760</v>
      </c>
      <c r="U3311" s="7">
        <v>3</v>
      </c>
      <c r="V3311" t="s">
        <v>613</v>
      </c>
      <c r="W3311" s="257" t="s">
        <v>938</v>
      </c>
      <c r="X3311" t="s">
        <v>946</v>
      </c>
      <c r="Y3311" s="316" t="s">
        <v>434</v>
      </c>
      <c r="Z3311" s="8">
        <v>6</v>
      </c>
      <c r="AA3311" s="202" t="str">
        <f t="shared" si="52"/>
        <v>Мука пшеничная 1 с</v>
      </c>
    </row>
    <row r="3312" spans="1:27" ht="15" customHeight="1" x14ac:dyDescent="0.25">
      <c r="A3312" t="s">
        <v>153</v>
      </c>
      <c r="L3312"/>
      <c r="M3312"/>
      <c r="N3312"/>
      <c r="O3312"/>
      <c r="P3312"/>
      <c r="T3312">
        <v>1761</v>
      </c>
      <c r="U3312" s="7">
        <v>3</v>
      </c>
      <c r="V3312" t="s">
        <v>613</v>
      </c>
      <c r="W3312" s="257" t="s">
        <v>938</v>
      </c>
      <c r="X3312" t="s">
        <v>946</v>
      </c>
      <c r="Y3312" s="316" t="s">
        <v>330</v>
      </c>
      <c r="Z3312" s="8">
        <v>20.399999999999999</v>
      </c>
      <c r="AA3312" s="202" t="str">
        <f t="shared" si="52"/>
        <v>Вода</v>
      </c>
    </row>
    <row r="3313" spans="1:27" ht="15" customHeight="1" x14ac:dyDescent="0.25">
      <c r="A3313" t="s">
        <v>153</v>
      </c>
      <c r="L3313"/>
      <c r="M3313"/>
      <c r="N3313"/>
      <c r="O3313"/>
      <c r="P3313"/>
      <c r="T3313">
        <v>1762</v>
      </c>
      <c r="U3313" s="7">
        <v>3</v>
      </c>
      <c r="V3313" t="s">
        <v>613</v>
      </c>
      <c r="W3313" s="257" t="s">
        <v>938</v>
      </c>
      <c r="X3313" t="s">
        <v>946</v>
      </c>
      <c r="Y3313" s="316" t="s">
        <v>32</v>
      </c>
      <c r="Z3313" s="8">
        <v>13.92</v>
      </c>
      <c r="AA3313" s="202" t="str">
        <f t="shared" si="52"/>
        <v>Лук репчатый</v>
      </c>
    </row>
    <row r="3314" spans="1:27" ht="15" customHeight="1" x14ac:dyDescent="0.25">
      <c r="A3314" t="s">
        <v>153</v>
      </c>
      <c r="L3314"/>
      <c r="M3314"/>
      <c r="N3314"/>
      <c r="O3314"/>
      <c r="P3314"/>
      <c r="T3314">
        <v>1763</v>
      </c>
      <c r="U3314" s="7">
        <v>3</v>
      </c>
      <c r="V3314" t="s">
        <v>613</v>
      </c>
      <c r="W3314" s="257" t="s">
        <v>938</v>
      </c>
      <c r="X3314" t="s">
        <v>946</v>
      </c>
      <c r="Y3314" s="316" t="s">
        <v>46</v>
      </c>
      <c r="Z3314" s="8">
        <v>10</v>
      </c>
      <c r="AA3314" s="202" t="str">
        <f t="shared" si="52"/>
        <v>Морковь</v>
      </c>
    </row>
    <row r="3315" spans="1:27" ht="15" customHeight="1" x14ac:dyDescent="0.25">
      <c r="A3315" t="s">
        <v>153</v>
      </c>
      <c r="L3315"/>
      <c r="M3315"/>
      <c r="N3315"/>
      <c r="O3315"/>
      <c r="P3315"/>
      <c r="T3315">
        <v>1764</v>
      </c>
      <c r="U3315" s="7">
        <v>3</v>
      </c>
      <c r="V3315" t="s">
        <v>613</v>
      </c>
      <c r="W3315" s="257" t="s">
        <v>938</v>
      </c>
      <c r="X3315" t="s">
        <v>946</v>
      </c>
      <c r="Y3315" s="316" t="s">
        <v>76</v>
      </c>
      <c r="Z3315" s="8">
        <v>3</v>
      </c>
      <c r="AA3315" s="202" t="str">
        <f t="shared" si="52"/>
        <v>Томат-паста</v>
      </c>
    </row>
    <row r="3316" spans="1:27" ht="15" customHeight="1" x14ac:dyDescent="0.25">
      <c r="A3316" t="s">
        <v>153</v>
      </c>
      <c r="L3316"/>
      <c r="M3316"/>
      <c r="N3316"/>
      <c r="O3316"/>
      <c r="P3316"/>
      <c r="T3316">
        <v>1765</v>
      </c>
      <c r="U3316" s="7">
        <v>3</v>
      </c>
      <c r="V3316" t="s">
        <v>613</v>
      </c>
      <c r="W3316" s="257" t="s">
        <v>938</v>
      </c>
      <c r="X3316" t="s">
        <v>946</v>
      </c>
      <c r="Y3316" s="316" t="s">
        <v>32</v>
      </c>
      <c r="Z3316" s="8">
        <v>10</v>
      </c>
      <c r="AA3316" s="202" t="str">
        <f t="shared" si="52"/>
        <v>Лук репчатый</v>
      </c>
    </row>
    <row r="3317" spans="1:27" ht="15" customHeight="1" x14ac:dyDescent="0.25">
      <c r="A3317" t="s">
        <v>153</v>
      </c>
      <c r="L3317"/>
      <c r="M3317"/>
      <c r="N3317"/>
      <c r="O3317"/>
      <c r="P3317"/>
      <c r="T3317">
        <v>1766</v>
      </c>
      <c r="U3317" s="7">
        <v>3</v>
      </c>
      <c r="V3317" t="s">
        <v>613</v>
      </c>
      <c r="W3317" s="257" t="s">
        <v>938</v>
      </c>
      <c r="X3317" t="s">
        <v>946</v>
      </c>
      <c r="Y3317" s="316" t="s">
        <v>558</v>
      </c>
      <c r="Z3317" s="8">
        <v>123.24000000000001</v>
      </c>
      <c r="AA3317" s="202" t="str">
        <f t="shared" si="52"/>
        <v>Общая масса готового блюда, г</v>
      </c>
    </row>
    <row r="3318" spans="1:27" ht="15" customHeight="1" x14ac:dyDescent="0.25">
      <c r="A3318" t="s">
        <v>153</v>
      </c>
      <c r="L3318"/>
      <c r="M3318"/>
      <c r="N3318"/>
      <c r="O3318"/>
      <c r="P3318"/>
      <c r="T3318">
        <v>1766</v>
      </c>
      <c r="U3318" s="7">
        <v>3</v>
      </c>
      <c r="V3318" t="s">
        <v>613</v>
      </c>
      <c r="W3318" s="257" t="s">
        <v>938</v>
      </c>
      <c r="X3318" t="s">
        <v>946</v>
      </c>
      <c r="Y3318" s="316" t="s">
        <v>1214</v>
      </c>
      <c r="Z3318" s="8">
        <v>173.2</v>
      </c>
      <c r="AA3318" s="202" t="str">
        <f t="shared" si="52"/>
        <v>Масса мясных и рыбных порций, г</v>
      </c>
    </row>
    <row r="3319" spans="1:27" ht="15" customHeight="1" x14ac:dyDescent="0.25">
      <c r="A3319" t="s">
        <v>153</v>
      </c>
      <c r="L3319"/>
      <c r="M3319"/>
      <c r="N3319"/>
      <c r="O3319"/>
      <c r="P3319"/>
      <c r="T3319">
        <v>2152</v>
      </c>
      <c r="U3319" s="7">
        <v>3</v>
      </c>
      <c r="V3319" t="s">
        <v>613</v>
      </c>
      <c r="W3319" s="257" t="s">
        <v>947</v>
      </c>
      <c r="X3319" t="s">
        <v>948</v>
      </c>
      <c r="Y3319" s="316" t="s">
        <v>462</v>
      </c>
      <c r="Z3319" s="8">
        <v>100</v>
      </c>
      <c r="AA3319" s="202" t="str">
        <f t="shared" si="52"/>
        <v>Свинина на кости</v>
      </c>
    </row>
    <row r="3320" spans="1:27" ht="15" customHeight="1" x14ac:dyDescent="0.25">
      <c r="A3320" t="s">
        <v>153</v>
      </c>
      <c r="L3320"/>
      <c r="M3320"/>
      <c r="N3320"/>
      <c r="O3320"/>
      <c r="P3320"/>
      <c r="T3320">
        <v>2153</v>
      </c>
      <c r="U3320" s="7">
        <v>3</v>
      </c>
      <c r="V3320" t="s">
        <v>613</v>
      </c>
      <c r="W3320" s="257" t="s">
        <v>947</v>
      </c>
      <c r="X3320" t="s">
        <v>948</v>
      </c>
      <c r="Y3320" s="316" t="s">
        <v>438</v>
      </c>
      <c r="Z3320" s="8">
        <v>18</v>
      </c>
      <c r="AA3320" s="202" t="str">
        <f t="shared" si="52"/>
        <v>Хлеб из муки пш. 1 сорта</v>
      </c>
    </row>
    <row r="3321" spans="1:27" ht="15" customHeight="1" x14ac:dyDescent="0.25">
      <c r="A3321" t="s">
        <v>153</v>
      </c>
      <c r="L3321"/>
      <c r="M3321"/>
      <c r="N3321"/>
      <c r="O3321"/>
      <c r="P3321"/>
      <c r="T3321">
        <v>2154</v>
      </c>
      <c r="U3321" s="7">
        <v>3</v>
      </c>
      <c r="V3321" t="s">
        <v>613</v>
      </c>
      <c r="W3321" s="257" t="s">
        <v>947</v>
      </c>
      <c r="X3321" t="s">
        <v>948</v>
      </c>
      <c r="Y3321" s="316" t="s">
        <v>330</v>
      </c>
      <c r="Z3321" s="8">
        <v>22</v>
      </c>
      <c r="AA3321" s="202" t="str">
        <f t="shared" si="52"/>
        <v>Вода</v>
      </c>
    </row>
    <row r="3322" spans="1:27" ht="15" customHeight="1" x14ac:dyDescent="0.25">
      <c r="A3322" t="s">
        <v>153</v>
      </c>
      <c r="L3322"/>
      <c r="M3322"/>
      <c r="N3322"/>
      <c r="O3322"/>
      <c r="P3322"/>
      <c r="T3322">
        <v>2155</v>
      </c>
      <c r="U3322" s="7">
        <v>3</v>
      </c>
      <c r="V3322" t="s">
        <v>613</v>
      </c>
      <c r="W3322" s="257" t="s">
        <v>947</v>
      </c>
      <c r="X3322" t="s">
        <v>948</v>
      </c>
      <c r="Y3322" s="316" t="s">
        <v>32</v>
      </c>
      <c r="Z3322" s="8">
        <v>12</v>
      </c>
      <c r="AA3322" s="202" t="str">
        <f t="shared" si="52"/>
        <v>Лук репчатый</v>
      </c>
    </row>
    <row r="3323" spans="1:27" ht="15" customHeight="1" x14ac:dyDescent="0.25">
      <c r="A3323" t="s">
        <v>153</v>
      </c>
      <c r="L3323"/>
      <c r="M3323"/>
      <c r="N3323"/>
      <c r="O3323"/>
      <c r="P3323"/>
      <c r="T3323">
        <v>2156</v>
      </c>
      <c r="U3323" s="7">
        <v>3</v>
      </c>
      <c r="V3323" t="s">
        <v>613</v>
      </c>
      <c r="W3323" s="257" t="s">
        <v>947</v>
      </c>
      <c r="X3323" t="s">
        <v>948</v>
      </c>
      <c r="Y3323" s="316" t="s">
        <v>434</v>
      </c>
      <c r="Z3323" s="8">
        <v>5</v>
      </c>
      <c r="AA3323" s="202" t="str">
        <f t="shared" si="52"/>
        <v>Мука пшеничная 1 с</v>
      </c>
    </row>
    <row r="3324" spans="1:27" ht="15" customHeight="1" x14ac:dyDescent="0.25">
      <c r="A3324" t="s">
        <v>153</v>
      </c>
      <c r="L3324"/>
      <c r="M3324"/>
      <c r="N3324"/>
      <c r="O3324"/>
      <c r="P3324"/>
      <c r="T3324">
        <v>2157</v>
      </c>
      <c r="U3324" s="7">
        <v>3</v>
      </c>
      <c r="V3324" t="s">
        <v>613</v>
      </c>
      <c r="W3324" s="257" t="s">
        <v>947</v>
      </c>
      <c r="X3324" t="s">
        <v>948</v>
      </c>
      <c r="Y3324" s="316" t="s">
        <v>32</v>
      </c>
      <c r="Z3324" s="8">
        <v>10</v>
      </c>
      <c r="AA3324" s="202" t="str">
        <f t="shared" si="52"/>
        <v>Лук репчатый</v>
      </c>
    </row>
    <row r="3325" spans="1:27" ht="15" customHeight="1" x14ac:dyDescent="0.25">
      <c r="A3325" t="s">
        <v>153</v>
      </c>
      <c r="L3325"/>
      <c r="M3325"/>
      <c r="N3325"/>
      <c r="O3325"/>
      <c r="P3325"/>
      <c r="T3325">
        <v>2158</v>
      </c>
      <c r="U3325" s="7">
        <v>3</v>
      </c>
      <c r="V3325" t="s">
        <v>613</v>
      </c>
      <c r="W3325" s="257" t="s">
        <v>947</v>
      </c>
      <c r="X3325" t="s">
        <v>948</v>
      </c>
      <c r="Y3325" s="316" t="s">
        <v>46</v>
      </c>
      <c r="Z3325" s="8">
        <v>10</v>
      </c>
      <c r="AA3325" s="202" t="str">
        <f t="shared" si="52"/>
        <v>Морковь</v>
      </c>
    </row>
    <row r="3326" spans="1:27" ht="15" customHeight="1" x14ac:dyDescent="0.25">
      <c r="A3326" t="s">
        <v>153</v>
      </c>
      <c r="L3326"/>
      <c r="M3326"/>
      <c r="N3326"/>
      <c r="O3326"/>
      <c r="P3326"/>
      <c r="T3326">
        <v>2159</v>
      </c>
      <c r="U3326" s="7">
        <v>3</v>
      </c>
      <c r="V3326" t="s">
        <v>613</v>
      </c>
      <c r="W3326" s="257" t="s">
        <v>947</v>
      </c>
      <c r="X3326" t="s">
        <v>948</v>
      </c>
      <c r="Y3326" s="316" t="s">
        <v>76</v>
      </c>
      <c r="Z3326" s="8">
        <v>5</v>
      </c>
      <c r="AA3326" s="202" t="str">
        <f t="shared" si="52"/>
        <v>Томат-паста</v>
      </c>
    </row>
    <row r="3327" spans="1:27" ht="15" customHeight="1" x14ac:dyDescent="0.25">
      <c r="A3327" t="s">
        <v>153</v>
      </c>
      <c r="L3327"/>
      <c r="M3327"/>
      <c r="N3327"/>
      <c r="O3327"/>
      <c r="P3327"/>
      <c r="T3327">
        <v>2160</v>
      </c>
      <c r="U3327" s="7">
        <v>3</v>
      </c>
      <c r="V3327" t="s">
        <v>613</v>
      </c>
      <c r="W3327" s="257" t="s">
        <v>947</v>
      </c>
      <c r="X3327" t="s">
        <v>948</v>
      </c>
      <c r="Y3327" s="316" t="s">
        <v>61</v>
      </c>
      <c r="Z3327" s="8">
        <v>5</v>
      </c>
      <c r="AA3327" s="202" t="str">
        <f t="shared" si="52"/>
        <v>Масло растительное</v>
      </c>
    </row>
    <row r="3328" spans="1:27" ht="15" customHeight="1" x14ac:dyDescent="0.25">
      <c r="A3328" t="s">
        <v>153</v>
      </c>
      <c r="L3328"/>
      <c r="M3328"/>
      <c r="N3328"/>
      <c r="O3328"/>
      <c r="P3328"/>
      <c r="T3328">
        <v>2161</v>
      </c>
      <c r="U3328" s="7">
        <v>3</v>
      </c>
      <c r="V3328" t="s">
        <v>613</v>
      </c>
      <c r="W3328" s="257" t="s">
        <v>947</v>
      </c>
      <c r="X3328" t="s">
        <v>948</v>
      </c>
      <c r="Y3328" s="316" t="s">
        <v>326</v>
      </c>
      <c r="Z3328" s="8">
        <v>4</v>
      </c>
      <c r="AA3328" s="202" t="str">
        <f t="shared" si="52"/>
        <v>Соль</v>
      </c>
    </row>
    <row r="3329" spans="1:27" ht="15" customHeight="1" x14ac:dyDescent="0.25">
      <c r="A3329" t="s">
        <v>153</v>
      </c>
      <c r="L3329"/>
      <c r="M3329"/>
      <c r="N3329"/>
      <c r="O3329"/>
      <c r="P3329"/>
      <c r="T3329">
        <v>2162</v>
      </c>
      <c r="U3329" s="7">
        <v>3</v>
      </c>
      <c r="V3329" t="s">
        <v>613</v>
      </c>
      <c r="W3329" s="257" t="s">
        <v>947</v>
      </c>
      <c r="X3329" t="s">
        <v>948</v>
      </c>
      <c r="Y3329" s="316" t="s">
        <v>1215</v>
      </c>
      <c r="Z3329" s="8">
        <v>170</v>
      </c>
      <c r="AA3329" s="202" t="str">
        <f t="shared" si="52"/>
        <v>Общая масса готового блюда, г</v>
      </c>
    </row>
    <row r="3330" spans="1:27" ht="15" customHeight="1" x14ac:dyDescent="0.25">
      <c r="A3330" t="s">
        <v>153</v>
      </c>
      <c r="L3330"/>
      <c r="M3330"/>
      <c r="N3330"/>
      <c r="O3330"/>
      <c r="P3330"/>
      <c r="T3330">
        <v>2162</v>
      </c>
      <c r="U3330" s="7">
        <v>3</v>
      </c>
      <c r="V3330" t="s">
        <v>613</v>
      </c>
      <c r="W3330" s="257" t="s">
        <v>947</v>
      </c>
      <c r="X3330" t="s">
        <v>948</v>
      </c>
      <c r="Y3330" s="316" t="s">
        <v>1214</v>
      </c>
      <c r="Z3330" s="8">
        <v>85.2</v>
      </c>
      <c r="AA3330" s="202" t="str">
        <f t="shared" ref="AA3330:AA3393" si="53">VLOOKUP(Y3330,O:P,2,FALSE)</f>
        <v>Масса мясных и рыбных порций, г</v>
      </c>
    </row>
    <row r="3331" spans="1:27" ht="15" customHeight="1" x14ac:dyDescent="0.25">
      <c r="A3331" t="s">
        <v>153</v>
      </c>
      <c r="L3331"/>
      <c r="M3331"/>
      <c r="N3331"/>
      <c r="O3331"/>
      <c r="P3331"/>
      <c r="T3331">
        <v>2040</v>
      </c>
      <c r="U3331" s="7">
        <v>3</v>
      </c>
      <c r="V3331" t="s">
        <v>613</v>
      </c>
      <c r="W3331" s="257" t="s">
        <v>949</v>
      </c>
      <c r="X3331" t="s">
        <v>950</v>
      </c>
      <c r="Y3331" s="316" t="s">
        <v>454</v>
      </c>
      <c r="Z3331" s="8">
        <v>112.5</v>
      </c>
      <c r="AA3331" s="202" t="str">
        <f t="shared" si="53"/>
        <v>Говядина б/к</v>
      </c>
    </row>
    <row r="3332" spans="1:27" ht="15" customHeight="1" x14ac:dyDescent="0.25">
      <c r="A3332" t="s">
        <v>153</v>
      </c>
      <c r="L3332"/>
      <c r="M3332"/>
      <c r="N3332"/>
      <c r="O3332"/>
      <c r="P3332"/>
      <c r="T3332">
        <v>2041</v>
      </c>
      <c r="U3332" s="7">
        <v>3</v>
      </c>
      <c r="V3332" t="s">
        <v>613</v>
      </c>
      <c r="W3332" s="257" t="s">
        <v>949</v>
      </c>
      <c r="X3332" t="s">
        <v>950</v>
      </c>
      <c r="Y3332" s="316" t="s">
        <v>438</v>
      </c>
      <c r="Z3332" s="8">
        <v>18</v>
      </c>
      <c r="AA3332" s="202" t="str">
        <f t="shared" si="53"/>
        <v>Хлеб из муки пш. 1 сорта</v>
      </c>
    </row>
    <row r="3333" spans="1:27" ht="15" customHeight="1" x14ac:dyDescent="0.25">
      <c r="A3333" t="s">
        <v>153</v>
      </c>
      <c r="L3333"/>
      <c r="M3333"/>
      <c r="N3333"/>
      <c r="O3333"/>
      <c r="P3333"/>
      <c r="T3333">
        <v>2042</v>
      </c>
      <c r="U3333" s="7">
        <v>3</v>
      </c>
      <c r="V3333" t="s">
        <v>613</v>
      </c>
      <c r="W3333" s="257" t="s">
        <v>949</v>
      </c>
      <c r="X3333" t="s">
        <v>950</v>
      </c>
      <c r="Y3333" s="316" t="s">
        <v>330</v>
      </c>
      <c r="Z3333" s="8">
        <v>22</v>
      </c>
      <c r="AA3333" s="202" t="str">
        <f t="shared" si="53"/>
        <v>Вода</v>
      </c>
    </row>
    <row r="3334" spans="1:27" ht="15" customHeight="1" x14ac:dyDescent="0.25">
      <c r="A3334" t="s">
        <v>153</v>
      </c>
      <c r="L3334"/>
      <c r="M3334"/>
      <c r="N3334"/>
      <c r="O3334"/>
      <c r="P3334"/>
      <c r="T3334">
        <v>2043</v>
      </c>
      <c r="U3334" s="7">
        <v>3</v>
      </c>
      <c r="V3334" t="s">
        <v>613</v>
      </c>
      <c r="W3334" s="257" t="s">
        <v>949</v>
      </c>
      <c r="X3334" t="s">
        <v>950</v>
      </c>
      <c r="Y3334" s="316" t="s">
        <v>434</v>
      </c>
      <c r="Z3334" s="8">
        <v>5</v>
      </c>
      <c r="AA3334" s="202" t="str">
        <f t="shared" si="53"/>
        <v>Мука пшеничная 1 с</v>
      </c>
    </row>
    <row r="3335" spans="1:27" ht="15" customHeight="1" x14ac:dyDescent="0.25">
      <c r="A3335" t="s">
        <v>153</v>
      </c>
      <c r="L3335"/>
      <c r="M3335"/>
      <c r="N3335"/>
      <c r="O3335"/>
      <c r="P3335"/>
      <c r="T3335">
        <v>2044</v>
      </c>
      <c r="U3335" s="7">
        <v>3</v>
      </c>
      <c r="V3335" t="s">
        <v>613</v>
      </c>
      <c r="W3335" s="257" t="s">
        <v>949</v>
      </c>
      <c r="X3335" t="s">
        <v>950</v>
      </c>
      <c r="Y3335" s="316" t="s">
        <v>32</v>
      </c>
      <c r="Z3335" s="8">
        <v>12</v>
      </c>
      <c r="AA3335" s="202" t="str">
        <f t="shared" si="53"/>
        <v>Лук репчатый</v>
      </c>
    </row>
    <row r="3336" spans="1:27" ht="15" customHeight="1" x14ac:dyDescent="0.25">
      <c r="A3336" t="s">
        <v>153</v>
      </c>
      <c r="L3336"/>
      <c r="M3336"/>
      <c r="N3336"/>
      <c r="O3336"/>
      <c r="P3336"/>
      <c r="T3336">
        <v>2045</v>
      </c>
      <c r="U3336" s="7">
        <v>3</v>
      </c>
      <c r="V3336" t="s">
        <v>613</v>
      </c>
      <c r="W3336" s="257" t="s">
        <v>949</v>
      </c>
      <c r="X3336" t="s">
        <v>950</v>
      </c>
      <c r="Y3336" s="316" t="s">
        <v>484</v>
      </c>
      <c r="Z3336" s="8">
        <v>0.01</v>
      </c>
      <c r="AA3336" s="202" t="str">
        <f t="shared" si="53"/>
        <v>Перец черный</v>
      </c>
    </row>
    <row r="3337" spans="1:27" ht="15" customHeight="1" x14ac:dyDescent="0.25">
      <c r="A3337" t="s">
        <v>153</v>
      </c>
      <c r="L3337"/>
      <c r="M3337"/>
      <c r="N3337"/>
      <c r="O3337"/>
      <c r="P3337"/>
      <c r="T3337">
        <v>2046</v>
      </c>
      <c r="U3337" s="7">
        <v>3</v>
      </c>
      <c r="V3337" t="s">
        <v>613</v>
      </c>
      <c r="W3337" s="257" t="s">
        <v>949</v>
      </c>
      <c r="X3337" t="s">
        <v>950</v>
      </c>
      <c r="Y3337" s="316" t="s">
        <v>46</v>
      </c>
      <c r="Z3337" s="8">
        <v>10</v>
      </c>
      <c r="AA3337" s="202" t="str">
        <f t="shared" si="53"/>
        <v>Морковь</v>
      </c>
    </row>
    <row r="3338" spans="1:27" ht="15" customHeight="1" x14ac:dyDescent="0.25">
      <c r="A3338" t="s">
        <v>153</v>
      </c>
      <c r="L3338"/>
      <c r="M3338"/>
      <c r="N3338"/>
      <c r="O3338"/>
      <c r="P3338"/>
      <c r="T3338">
        <v>2047</v>
      </c>
      <c r="U3338" s="7">
        <v>3</v>
      </c>
      <c r="V3338" t="s">
        <v>613</v>
      </c>
      <c r="W3338" s="257" t="s">
        <v>949</v>
      </c>
      <c r="X3338" t="s">
        <v>950</v>
      </c>
      <c r="Y3338" s="316" t="s">
        <v>76</v>
      </c>
      <c r="Z3338" s="8">
        <v>5</v>
      </c>
      <c r="AA3338" s="202" t="str">
        <f t="shared" si="53"/>
        <v>Томат-паста</v>
      </c>
    </row>
    <row r="3339" spans="1:27" ht="15" customHeight="1" x14ac:dyDescent="0.25">
      <c r="A3339" t="s">
        <v>153</v>
      </c>
      <c r="L3339"/>
      <c r="M3339"/>
      <c r="N3339"/>
      <c r="O3339"/>
      <c r="P3339"/>
      <c r="T3339">
        <v>2048</v>
      </c>
      <c r="U3339" s="7">
        <v>3</v>
      </c>
      <c r="V3339" t="s">
        <v>613</v>
      </c>
      <c r="W3339" s="257" t="s">
        <v>949</v>
      </c>
      <c r="X3339" t="s">
        <v>950</v>
      </c>
      <c r="Y3339" s="316" t="s">
        <v>61</v>
      </c>
      <c r="Z3339" s="8">
        <v>5</v>
      </c>
      <c r="AA3339" s="202" t="str">
        <f t="shared" si="53"/>
        <v>Масло растительное</v>
      </c>
    </row>
    <row r="3340" spans="1:27" ht="15" customHeight="1" x14ac:dyDescent="0.25">
      <c r="A3340" t="s">
        <v>153</v>
      </c>
      <c r="L3340"/>
      <c r="M3340"/>
      <c r="N3340"/>
      <c r="O3340"/>
      <c r="P3340"/>
      <c r="T3340">
        <v>2049</v>
      </c>
      <c r="U3340" s="7">
        <v>3</v>
      </c>
      <c r="V3340" t="s">
        <v>613</v>
      </c>
      <c r="W3340" s="257" t="s">
        <v>949</v>
      </c>
      <c r="X3340" t="s">
        <v>950</v>
      </c>
      <c r="Y3340" s="316" t="s">
        <v>326</v>
      </c>
      <c r="Z3340" s="8">
        <v>4</v>
      </c>
      <c r="AA3340" s="202" t="str">
        <f t="shared" si="53"/>
        <v>Соль</v>
      </c>
    </row>
    <row r="3341" spans="1:27" ht="15" customHeight="1" x14ac:dyDescent="0.25">
      <c r="A3341" t="s">
        <v>153</v>
      </c>
      <c r="L3341"/>
      <c r="M3341"/>
      <c r="N3341"/>
      <c r="O3341"/>
      <c r="P3341"/>
      <c r="T3341">
        <v>2050</v>
      </c>
      <c r="U3341" s="7">
        <v>3</v>
      </c>
      <c r="V3341" t="s">
        <v>613</v>
      </c>
      <c r="W3341" s="257" t="s">
        <v>949</v>
      </c>
      <c r="X3341" t="s">
        <v>950</v>
      </c>
      <c r="Y3341" s="316" t="s">
        <v>1214</v>
      </c>
      <c r="Z3341" s="8">
        <v>110</v>
      </c>
      <c r="AA3341" s="202" t="str">
        <f t="shared" si="53"/>
        <v>Масса мясных и рыбных порций, г</v>
      </c>
    </row>
    <row r="3342" spans="1:27" ht="15" customHeight="1" x14ac:dyDescent="0.25">
      <c r="A3342" t="s">
        <v>153</v>
      </c>
      <c r="L3342"/>
      <c r="M3342"/>
      <c r="N3342"/>
      <c r="O3342"/>
      <c r="P3342"/>
      <c r="T3342">
        <v>2050</v>
      </c>
      <c r="U3342" s="7">
        <v>3</v>
      </c>
      <c r="V3342" t="s">
        <v>613</v>
      </c>
      <c r="W3342" s="257" t="s">
        <v>949</v>
      </c>
      <c r="X3342" t="s">
        <v>950</v>
      </c>
      <c r="Y3342" s="316" t="s">
        <v>1215</v>
      </c>
      <c r="Z3342" s="8">
        <v>160</v>
      </c>
      <c r="AA3342" s="202" t="str">
        <f t="shared" si="53"/>
        <v>Общая масса готового блюда, г</v>
      </c>
    </row>
    <row r="3343" spans="1:27" ht="15" customHeight="1" x14ac:dyDescent="0.25">
      <c r="A3343" t="s">
        <v>153</v>
      </c>
      <c r="L3343"/>
      <c r="M3343"/>
      <c r="N3343"/>
      <c r="O3343"/>
      <c r="P3343"/>
      <c r="T3343">
        <v>2029</v>
      </c>
      <c r="U3343" s="7">
        <v>3</v>
      </c>
      <c r="V3343" t="s">
        <v>613</v>
      </c>
      <c r="W3343" s="257" t="s">
        <v>951</v>
      </c>
      <c r="X3343" t="s">
        <v>952</v>
      </c>
      <c r="Y3343" s="316" t="s">
        <v>455</v>
      </c>
      <c r="Z3343" s="8">
        <v>100</v>
      </c>
      <c r="AA3343" s="202" t="str">
        <f t="shared" si="53"/>
        <v>Говядина н/к</v>
      </c>
    </row>
    <row r="3344" spans="1:27" ht="15" customHeight="1" x14ac:dyDescent="0.25">
      <c r="A3344" t="s">
        <v>153</v>
      </c>
      <c r="L3344"/>
      <c r="M3344"/>
      <c r="N3344"/>
      <c r="O3344"/>
      <c r="P3344"/>
      <c r="T3344">
        <v>2030</v>
      </c>
      <c r="U3344" s="7">
        <v>3</v>
      </c>
      <c r="V3344" t="s">
        <v>613</v>
      </c>
      <c r="W3344" s="257" t="s">
        <v>951</v>
      </c>
      <c r="X3344" t="s">
        <v>952</v>
      </c>
      <c r="Y3344" s="316" t="s">
        <v>438</v>
      </c>
      <c r="Z3344" s="8">
        <v>18</v>
      </c>
      <c r="AA3344" s="202" t="str">
        <f t="shared" si="53"/>
        <v>Хлеб из муки пш. 1 сорта</v>
      </c>
    </row>
    <row r="3345" spans="1:27" ht="15" customHeight="1" x14ac:dyDescent="0.25">
      <c r="A3345" t="s">
        <v>153</v>
      </c>
      <c r="L3345"/>
      <c r="M3345"/>
      <c r="N3345"/>
      <c r="O3345"/>
      <c r="P3345"/>
      <c r="T3345">
        <v>2031</v>
      </c>
      <c r="U3345" s="7">
        <v>3</v>
      </c>
      <c r="V3345" t="s">
        <v>613</v>
      </c>
      <c r="W3345" s="257" t="s">
        <v>951</v>
      </c>
      <c r="X3345" t="s">
        <v>952</v>
      </c>
      <c r="Y3345" s="316" t="s">
        <v>330</v>
      </c>
      <c r="Z3345" s="8">
        <v>22</v>
      </c>
      <c r="AA3345" s="202" t="str">
        <f t="shared" si="53"/>
        <v>Вода</v>
      </c>
    </row>
    <row r="3346" spans="1:27" ht="15" customHeight="1" x14ac:dyDescent="0.25">
      <c r="A3346" t="s">
        <v>153</v>
      </c>
      <c r="L3346"/>
      <c r="M3346"/>
      <c r="N3346"/>
      <c r="O3346"/>
      <c r="P3346"/>
      <c r="T3346">
        <v>2032</v>
      </c>
      <c r="U3346" s="7">
        <v>3</v>
      </c>
      <c r="V3346" t="s">
        <v>613</v>
      </c>
      <c r="W3346" s="257" t="s">
        <v>951</v>
      </c>
      <c r="X3346" t="s">
        <v>952</v>
      </c>
      <c r="Y3346" s="316" t="s">
        <v>434</v>
      </c>
      <c r="Z3346" s="8">
        <v>5</v>
      </c>
      <c r="AA3346" s="202" t="str">
        <f t="shared" si="53"/>
        <v>Мука пшеничная 1 с</v>
      </c>
    </row>
    <row r="3347" spans="1:27" ht="15" customHeight="1" x14ac:dyDescent="0.25">
      <c r="A3347" t="s">
        <v>153</v>
      </c>
      <c r="L3347"/>
      <c r="M3347"/>
      <c r="N3347"/>
      <c r="O3347"/>
      <c r="P3347"/>
      <c r="T3347">
        <v>2033</v>
      </c>
      <c r="U3347" s="7">
        <v>3</v>
      </c>
      <c r="V3347" t="s">
        <v>613</v>
      </c>
      <c r="W3347" s="257" t="s">
        <v>951</v>
      </c>
      <c r="X3347" t="s">
        <v>952</v>
      </c>
      <c r="Y3347" s="316" t="s">
        <v>32</v>
      </c>
      <c r="Z3347" s="8">
        <v>12</v>
      </c>
      <c r="AA3347" s="202" t="str">
        <f t="shared" si="53"/>
        <v>Лук репчатый</v>
      </c>
    </row>
    <row r="3348" spans="1:27" ht="15" customHeight="1" x14ac:dyDescent="0.25">
      <c r="A3348" t="s">
        <v>153</v>
      </c>
      <c r="L3348"/>
      <c r="M3348"/>
      <c r="N3348"/>
      <c r="O3348"/>
      <c r="P3348"/>
      <c r="T3348">
        <v>2034</v>
      </c>
      <c r="U3348" s="7">
        <v>3</v>
      </c>
      <c r="V3348" t="s">
        <v>613</v>
      </c>
      <c r="W3348" s="257" t="s">
        <v>951</v>
      </c>
      <c r="X3348" t="s">
        <v>952</v>
      </c>
      <c r="Y3348" s="316" t="s">
        <v>484</v>
      </c>
      <c r="Z3348" s="8">
        <v>0.01</v>
      </c>
      <c r="AA3348" s="202" t="str">
        <f t="shared" si="53"/>
        <v>Перец черный</v>
      </c>
    </row>
    <row r="3349" spans="1:27" ht="15" customHeight="1" x14ac:dyDescent="0.25">
      <c r="A3349" t="s">
        <v>153</v>
      </c>
      <c r="L3349"/>
      <c r="M3349"/>
      <c r="N3349"/>
      <c r="O3349"/>
      <c r="P3349"/>
      <c r="T3349">
        <v>2035</v>
      </c>
      <c r="U3349" s="7">
        <v>3</v>
      </c>
      <c r="V3349" t="s">
        <v>613</v>
      </c>
      <c r="W3349" s="257" t="s">
        <v>951</v>
      </c>
      <c r="X3349" t="s">
        <v>952</v>
      </c>
      <c r="Y3349" s="316" t="s">
        <v>46</v>
      </c>
      <c r="Z3349" s="8">
        <v>10</v>
      </c>
      <c r="AA3349" s="202" t="str">
        <f t="shared" si="53"/>
        <v>Морковь</v>
      </c>
    </row>
    <row r="3350" spans="1:27" ht="15" customHeight="1" x14ac:dyDescent="0.25">
      <c r="A3350" t="s">
        <v>153</v>
      </c>
      <c r="L3350"/>
      <c r="M3350"/>
      <c r="N3350"/>
      <c r="O3350"/>
      <c r="P3350"/>
      <c r="T3350">
        <v>2036</v>
      </c>
      <c r="U3350" s="7">
        <v>3</v>
      </c>
      <c r="V3350" t="s">
        <v>613</v>
      </c>
      <c r="W3350" s="257" t="s">
        <v>951</v>
      </c>
      <c r="X3350" t="s">
        <v>952</v>
      </c>
      <c r="Y3350" s="316" t="s">
        <v>76</v>
      </c>
      <c r="Z3350" s="8">
        <v>5</v>
      </c>
      <c r="AA3350" s="202" t="str">
        <f t="shared" si="53"/>
        <v>Томат-паста</v>
      </c>
    </row>
    <row r="3351" spans="1:27" ht="15" customHeight="1" x14ac:dyDescent="0.25">
      <c r="A3351" t="s">
        <v>153</v>
      </c>
      <c r="L3351"/>
      <c r="M3351"/>
      <c r="N3351"/>
      <c r="O3351"/>
      <c r="P3351"/>
      <c r="T3351">
        <v>2037</v>
      </c>
      <c r="U3351" s="7">
        <v>3</v>
      </c>
      <c r="V3351" t="s">
        <v>613</v>
      </c>
      <c r="W3351" s="257" t="s">
        <v>951</v>
      </c>
      <c r="X3351" t="s">
        <v>952</v>
      </c>
      <c r="Y3351" s="316" t="s">
        <v>61</v>
      </c>
      <c r="Z3351" s="8">
        <v>5</v>
      </c>
      <c r="AA3351" s="202" t="str">
        <f t="shared" si="53"/>
        <v>Масло растительное</v>
      </c>
    </row>
    <row r="3352" spans="1:27" ht="15" customHeight="1" x14ac:dyDescent="0.25">
      <c r="A3352" t="s">
        <v>153</v>
      </c>
      <c r="L3352"/>
      <c r="M3352"/>
      <c r="N3352"/>
      <c r="O3352"/>
      <c r="P3352"/>
      <c r="T3352">
        <v>2038</v>
      </c>
      <c r="U3352" s="7">
        <v>3</v>
      </c>
      <c r="V3352" t="s">
        <v>613</v>
      </c>
      <c r="W3352" s="257" t="s">
        <v>951</v>
      </c>
      <c r="X3352" t="s">
        <v>952</v>
      </c>
      <c r="Y3352" s="316" t="s">
        <v>326</v>
      </c>
      <c r="Z3352" s="8">
        <v>4</v>
      </c>
      <c r="AA3352" s="202" t="str">
        <f t="shared" si="53"/>
        <v>Соль</v>
      </c>
    </row>
    <row r="3353" spans="1:27" ht="15" customHeight="1" x14ac:dyDescent="0.25">
      <c r="A3353" t="s">
        <v>153</v>
      </c>
      <c r="L3353"/>
      <c r="M3353"/>
      <c r="N3353"/>
      <c r="O3353"/>
      <c r="P3353"/>
      <c r="T3353">
        <v>2039</v>
      </c>
      <c r="U3353" s="7">
        <v>3</v>
      </c>
      <c r="V3353" t="s">
        <v>613</v>
      </c>
      <c r="W3353" s="257" t="s">
        <v>951</v>
      </c>
      <c r="X3353" t="s">
        <v>952</v>
      </c>
      <c r="Y3353" s="316" t="s">
        <v>1214</v>
      </c>
      <c r="Z3353" s="8">
        <v>110</v>
      </c>
      <c r="AA3353" s="202" t="str">
        <f t="shared" si="53"/>
        <v>Масса мясных и рыбных порций, г</v>
      </c>
    </row>
    <row r="3354" spans="1:27" ht="15" customHeight="1" x14ac:dyDescent="0.25">
      <c r="A3354" t="s">
        <v>153</v>
      </c>
      <c r="L3354"/>
      <c r="M3354"/>
      <c r="N3354"/>
      <c r="O3354"/>
      <c r="P3354"/>
      <c r="T3354">
        <v>2039</v>
      </c>
      <c r="U3354" s="7">
        <v>3</v>
      </c>
      <c r="V3354" t="s">
        <v>613</v>
      </c>
      <c r="W3354" s="257" t="s">
        <v>951</v>
      </c>
      <c r="X3354" t="s">
        <v>952</v>
      </c>
      <c r="Y3354" s="316" t="s">
        <v>1215</v>
      </c>
      <c r="Z3354" s="8">
        <v>160</v>
      </c>
      <c r="AA3354" s="202" t="str">
        <f t="shared" si="53"/>
        <v>Общая масса готового блюда, г</v>
      </c>
    </row>
    <row r="3355" spans="1:27" ht="15" customHeight="1" x14ac:dyDescent="0.25">
      <c r="A3355" t="s">
        <v>153</v>
      </c>
      <c r="L3355"/>
      <c r="M3355"/>
      <c r="N3355"/>
      <c r="O3355"/>
      <c r="P3355"/>
      <c r="T3355">
        <v>399</v>
      </c>
      <c r="U3355" s="7">
        <v>3</v>
      </c>
      <c r="V3355" t="s">
        <v>555</v>
      </c>
      <c r="W3355" s="257" t="s">
        <v>607</v>
      </c>
      <c r="X3355" t="s">
        <v>1267</v>
      </c>
      <c r="Y3355" s="316" t="s">
        <v>508</v>
      </c>
      <c r="Z3355" s="8">
        <v>50</v>
      </c>
      <c r="AA3355" s="202" t="str">
        <f t="shared" si="53"/>
        <v>Пикша б/г</v>
      </c>
    </row>
    <row r="3356" spans="1:27" ht="15" customHeight="1" x14ac:dyDescent="0.25">
      <c r="A3356" t="s">
        <v>153</v>
      </c>
      <c r="L3356"/>
      <c r="M3356"/>
      <c r="N3356"/>
      <c r="O3356"/>
      <c r="P3356"/>
      <c r="T3356">
        <v>399</v>
      </c>
      <c r="U3356" s="7">
        <v>3</v>
      </c>
      <c r="V3356" t="s">
        <v>555</v>
      </c>
      <c r="W3356" s="257" t="s">
        <v>607</v>
      </c>
      <c r="X3356" t="s">
        <v>1267</v>
      </c>
      <c r="Y3356" s="316" t="s">
        <v>1214</v>
      </c>
      <c r="Z3356" s="8">
        <v>42.5</v>
      </c>
      <c r="AA3356" s="202" t="str">
        <f t="shared" si="53"/>
        <v>Масса мясных и рыбных порций, г</v>
      </c>
    </row>
    <row r="3357" spans="1:27" ht="15" customHeight="1" x14ac:dyDescent="0.25">
      <c r="A3357" t="s">
        <v>153</v>
      </c>
      <c r="L3357"/>
      <c r="M3357"/>
      <c r="N3357"/>
      <c r="O3357"/>
      <c r="P3357"/>
      <c r="T3357">
        <v>400</v>
      </c>
      <c r="U3357" s="7">
        <v>3</v>
      </c>
      <c r="V3357" t="s">
        <v>555</v>
      </c>
      <c r="W3357" s="257" t="s">
        <v>607</v>
      </c>
      <c r="X3357" t="s">
        <v>1267</v>
      </c>
      <c r="Y3357" s="316" t="s">
        <v>45</v>
      </c>
      <c r="Z3357" s="8">
        <v>250</v>
      </c>
      <c r="AA3357" s="202" t="str">
        <f t="shared" si="53"/>
        <v>Картофель</v>
      </c>
    </row>
    <row r="3358" spans="1:27" ht="15" customHeight="1" x14ac:dyDescent="0.25">
      <c r="A3358" t="s">
        <v>153</v>
      </c>
      <c r="L3358"/>
      <c r="M3358"/>
      <c r="N3358"/>
      <c r="O3358"/>
      <c r="P3358"/>
      <c r="T3358">
        <v>401</v>
      </c>
      <c r="U3358" s="7">
        <v>3</v>
      </c>
      <c r="V3358" t="s">
        <v>555</v>
      </c>
      <c r="W3358" s="257" t="s">
        <v>607</v>
      </c>
      <c r="X3358" t="s">
        <v>1267</v>
      </c>
      <c r="Y3358" s="316" t="s">
        <v>61</v>
      </c>
      <c r="Z3358" s="8">
        <v>4</v>
      </c>
      <c r="AA3358" s="202" t="str">
        <f t="shared" si="53"/>
        <v>Масло растительное</v>
      </c>
    </row>
    <row r="3359" spans="1:27" ht="15" customHeight="1" x14ac:dyDescent="0.25">
      <c r="A3359" t="s">
        <v>153</v>
      </c>
      <c r="L3359"/>
      <c r="M3359"/>
      <c r="N3359"/>
      <c r="O3359"/>
      <c r="P3359"/>
      <c r="T3359">
        <v>402</v>
      </c>
      <c r="U3359" s="7">
        <v>3</v>
      </c>
      <c r="V3359" t="s">
        <v>555</v>
      </c>
      <c r="W3359" s="257" t="s">
        <v>607</v>
      </c>
      <c r="X3359" t="s">
        <v>1267</v>
      </c>
      <c r="Y3359" s="316" t="s">
        <v>32</v>
      </c>
      <c r="Z3359" s="8">
        <v>10</v>
      </c>
      <c r="AA3359" s="202" t="str">
        <f t="shared" si="53"/>
        <v>Лук репчатый</v>
      </c>
    </row>
    <row r="3360" spans="1:27" ht="15" customHeight="1" x14ac:dyDescent="0.25">
      <c r="A3360" t="s">
        <v>153</v>
      </c>
      <c r="L3360"/>
      <c r="M3360"/>
      <c r="N3360"/>
      <c r="O3360"/>
      <c r="P3360"/>
      <c r="T3360">
        <v>403</v>
      </c>
      <c r="U3360" s="7">
        <v>3</v>
      </c>
      <c r="V3360" t="s">
        <v>555</v>
      </c>
      <c r="W3360" s="257" t="s">
        <v>607</v>
      </c>
      <c r="X3360" t="s">
        <v>1267</v>
      </c>
      <c r="Y3360" s="316" t="s">
        <v>46</v>
      </c>
      <c r="Z3360" s="8">
        <v>10</v>
      </c>
      <c r="AA3360" s="202" t="str">
        <f t="shared" si="53"/>
        <v>Морковь</v>
      </c>
    </row>
    <row r="3361" spans="1:27" ht="15" customHeight="1" x14ac:dyDescent="0.25">
      <c r="A3361" t="s">
        <v>153</v>
      </c>
      <c r="L3361"/>
      <c r="M3361"/>
      <c r="N3361"/>
      <c r="O3361"/>
      <c r="P3361"/>
      <c r="T3361">
        <v>404</v>
      </c>
      <c r="U3361" s="7">
        <v>3</v>
      </c>
      <c r="V3361" t="s">
        <v>555</v>
      </c>
      <c r="W3361" s="257" t="s">
        <v>607</v>
      </c>
      <c r="X3361" t="s">
        <v>1267</v>
      </c>
      <c r="Y3361" s="316" t="s">
        <v>479</v>
      </c>
      <c r="Z3361" s="8">
        <v>400</v>
      </c>
      <c r="AA3361" s="202" t="str">
        <f t="shared" si="53"/>
        <v>Вода или бульон</v>
      </c>
    </row>
    <row r="3362" spans="1:27" ht="15" customHeight="1" x14ac:dyDescent="0.25">
      <c r="A3362" t="s">
        <v>153</v>
      </c>
      <c r="L3362"/>
      <c r="M3362"/>
      <c r="N3362"/>
      <c r="O3362"/>
      <c r="P3362"/>
      <c r="T3362">
        <v>405</v>
      </c>
      <c r="U3362" s="7">
        <v>3</v>
      </c>
      <c r="V3362" t="s">
        <v>555</v>
      </c>
      <c r="W3362" s="257" t="s">
        <v>607</v>
      </c>
      <c r="X3362" t="s">
        <v>1267</v>
      </c>
      <c r="Y3362" s="316" t="s">
        <v>70</v>
      </c>
      <c r="Z3362" s="8">
        <v>5</v>
      </c>
      <c r="AA3362" s="202" t="str">
        <f t="shared" si="53"/>
        <v>Зелень</v>
      </c>
    </row>
    <row r="3363" spans="1:27" ht="15" customHeight="1" x14ac:dyDescent="0.25">
      <c r="A3363" t="s">
        <v>153</v>
      </c>
      <c r="L3363"/>
      <c r="M3363"/>
      <c r="N3363"/>
      <c r="O3363"/>
      <c r="P3363"/>
      <c r="T3363">
        <v>406</v>
      </c>
      <c r="U3363" s="7">
        <v>3</v>
      </c>
      <c r="V3363" t="s">
        <v>555</v>
      </c>
      <c r="W3363" s="257" t="s">
        <v>607</v>
      </c>
      <c r="X3363" t="s">
        <v>1267</v>
      </c>
      <c r="Y3363" s="316" t="s">
        <v>326</v>
      </c>
      <c r="Z3363" s="8">
        <v>4</v>
      </c>
      <c r="AA3363" s="202" t="str">
        <f t="shared" si="53"/>
        <v>Соль</v>
      </c>
    </row>
    <row r="3364" spans="1:27" ht="15" customHeight="1" x14ac:dyDescent="0.25">
      <c r="A3364" t="s">
        <v>153</v>
      </c>
      <c r="L3364"/>
      <c r="M3364"/>
      <c r="N3364"/>
      <c r="O3364"/>
      <c r="P3364"/>
      <c r="T3364">
        <v>407</v>
      </c>
      <c r="U3364" s="7">
        <v>3</v>
      </c>
      <c r="V3364" t="s">
        <v>555</v>
      </c>
      <c r="W3364" s="257" t="s">
        <v>607</v>
      </c>
      <c r="X3364" t="s">
        <v>1267</v>
      </c>
      <c r="Y3364" s="316" t="s">
        <v>558</v>
      </c>
      <c r="Z3364" s="8">
        <v>500</v>
      </c>
      <c r="AA3364" s="202" t="str">
        <f t="shared" si="53"/>
        <v>Общая масса готового блюда, г</v>
      </c>
    </row>
    <row r="3365" spans="1:27" ht="15" customHeight="1" x14ac:dyDescent="0.25">
      <c r="A3365" t="s">
        <v>153</v>
      </c>
      <c r="L3365"/>
      <c r="M3365"/>
      <c r="N3365"/>
      <c r="O3365"/>
      <c r="P3365"/>
      <c r="T3365">
        <v>408</v>
      </c>
      <c r="U3365" s="7">
        <v>3</v>
      </c>
      <c r="V3365" t="s">
        <v>555</v>
      </c>
      <c r="W3365" s="257" t="s">
        <v>607</v>
      </c>
      <c r="X3365" t="s">
        <v>1267</v>
      </c>
      <c r="Y3365" s="316" t="s">
        <v>109</v>
      </c>
      <c r="Z3365" s="8">
        <v>250</v>
      </c>
      <c r="AA3365" s="202" t="str">
        <f t="shared" si="53"/>
        <v>ОКГ</v>
      </c>
    </row>
    <row r="3366" spans="1:27" ht="15" customHeight="1" x14ac:dyDescent="0.25">
      <c r="A3366" t="s">
        <v>153</v>
      </c>
      <c r="L3366"/>
      <c r="M3366"/>
      <c r="N3366"/>
      <c r="O3366"/>
      <c r="P3366"/>
      <c r="T3366">
        <v>409</v>
      </c>
      <c r="U3366" s="7">
        <v>3</v>
      </c>
      <c r="V3366" t="s">
        <v>555</v>
      </c>
      <c r="W3366" s="257" t="s">
        <v>607</v>
      </c>
      <c r="X3366" t="s">
        <v>1267</v>
      </c>
      <c r="Y3366" s="316" t="s">
        <v>74</v>
      </c>
      <c r="Z3366" s="8">
        <v>0.02</v>
      </c>
      <c r="AA3366" s="202" t="str">
        <f t="shared" si="53"/>
        <v>Лавровый лист</v>
      </c>
    </row>
    <row r="3367" spans="1:27" ht="15" customHeight="1" x14ac:dyDescent="0.25">
      <c r="A3367" t="s">
        <v>153</v>
      </c>
      <c r="L3367"/>
      <c r="M3367"/>
      <c r="N3367"/>
      <c r="O3367"/>
      <c r="P3367"/>
      <c r="T3367">
        <v>410</v>
      </c>
      <c r="U3367" s="7">
        <v>3</v>
      </c>
      <c r="V3367" t="s">
        <v>555</v>
      </c>
      <c r="W3367" s="257" t="s">
        <v>607</v>
      </c>
      <c r="X3367" t="s">
        <v>1267</v>
      </c>
      <c r="Y3367" s="316" t="s">
        <v>484</v>
      </c>
      <c r="Z3367" s="8">
        <v>0.05</v>
      </c>
      <c r="AA3367" s="202" t="str">
        <f t="shared" si="53"/>
        <v>Перец черный</v>
      </c>
    </row>
    <row r="3368" spans="1:27" ht="15" customHeight="1" x14ac:dyDescent="0.25">
      <c r="A3368" t="s">
        <v>153</v>
      </c>
      <c r="L3368"/>
      <c r="M3368"/>
      <c r="N3368"/>
      <c r="O3368"/>
      <c r="P3368"/>
      <c r="T3368">
        <v>399</v>
      </c>
      <c r="U3368" s="7">
        <v>3</v>
      </c>
      <c r="V3368" t="s">
        <v>555</v>
      </c>
      <c r="W3368" s="257" t="s">
        <v>607</v>
      </c>
      <c r="X3368" t="s">
        <v>1268</v>
      </c>
      <c r="Y3368" s="316" t="s">
        <v>544</v>
      </c>
      <c r="Z3368" s="8">
        <v>50</v>
      </c>
      <c r="AA3368" s="202" t="str">
        <f t="shared" si="53"/>
        <v>Треска б/г</v>
      </c>
    </row>
    <row r="3369" spans="1:27" ht="15" customHeight="1" x14ac:dyDescent="0.25">
      <c r="A3369" t="s">
        <v>153</v>
      </c>
      <c r="L3369"/>
      <c r="M3369"/>
      <c r="N3369"/>
      <c r="O3369"/>
      <c r="P3369"/>
      <c r="T3369">
        <v>399</v>
      </c>
      <c r="U3369" s="7">
        <v>3</v>
      </c>
      <c r="V3369" t="s">
        <v>555</v>
      </c>
      <c r="W3369" s="257" t="s">
        <v>607</v>
      </c>
      <c r="X3369" t="s">
        <v>1268</v>
      </c>
      <c r="Y3369" s="316" t="s">
        <v>1214</v>
      </c>
      <c r="Z3369" s="8">
        <v>42.5</v>
      </c>
      <c r="AA3369" s="202" t="str">
        <f t="shared" si="53"/>
        <v>Масса мясных и рыбных порций, г</v>
      </c>
    </row>
    <row r="3370" spans="1:27" ht="15" customHeight="1" x14ac:dyDescent="0.25">
      <c r="A3370" t="s">
        <v>153</v>
      </c>
      <c r="L3370"/>
      <c r="M3370"/>
      <c r="N3370"/>
      <c r="O3370"/>
      <c r="P3370"/>
      <c r="T3370">
        <v>400</v>
      </c>
      <c r="U3370" s="7">
        <v>3</v>
      </c>
      <c r="V3370" t="s">
        <v>555</v>
      </c>
      <c r="W3370" s="257" t="s">
        <v>607</v>
      </c>
      <c r="X3370" t="s">
        <v>1268</v>
      </c>
      <c r="Y3370" s="316" t="s">
        <v>45</v>
      </c>
      <c r="Z3370" s="8">
        <v>250</v>
      </c>
      <c r="AA3370" s="202" t="str">
        <f t="shared" si="53"/>
        <v>Картофель</v>
      </c>
    </row>
    <row r="3371" spans="1:27" ht="15" customHeight="1" x14ac:dyDescent="0.25">
      <c r="A3371" t="s">
        <v>153</v>
      </c>
      <c r="L3371"/>
      <c r="M3371"/>
      <c r="N3371"/>
      <c r="O3371"/>
      <c r="P3371"/>
      <c r="T3371">
        <v>401</v>
      </c>
      <c r="U3371" s="7">
        <v>3</v>
      </c>
      <c r="V3371" t="s">
        <v>555</v>
      </c>
      <c r="W3371" s="257" t="s">
        <v>607</v>
      </c>
      <c r="X3371" t="s">
        <v>1268</v>
      </c>
      <c r="Y3371" s="316" t="s">
        <v>61</v>
      </c>
      <c r="Z3371" s="8">
        <v>4</v>
      </c>
      <c r="AA3371" s="202" t="str">
        <f t="shared" si="53"/>
        <v>Масло растительное</v>
      </c>
    </row>
    <row r="3372" spans="1:27" ht="15" customHeight="1" x14ac:dyDescent="0.25">
      <c r="A3372" t="s">
        <v>153</v>
      </c>
      <c r="L3372"/>
      <c r="M3372"/>
      <c r="N3372"/>
      <c r="O3372"/>
      <c r="P3372"/>
      <c r="T3372">
        <v>402</v>
      </c>
      <c r="U3372" s="7">
        <v>3</v>
      </c>
      <c r="V3372" t="s">
        <v>555</v>
      </c>
      <c r="W3372" s="257" t="s">
        <v>607</v>
      </c>
      <c r="X3372" t="s">
        <v>1268</v>
      </c>
      <c r="Y3372" s="316" t="s">
        <v>32</v>
      </c>
      <c r="Z3372" s="8">
        <v>10</v>
      </c>
      <c r="AA3372" s="202" t="str">
        <f t="shared" si="53"/>
        <v>Лук репчатый</v>
      </c>
    </row>
    <row r="3373" spans="1:27" ht="15" customHeight="1" x14ac:dyDescent="0.25">
      <c r="A3373" t="s">
        <v>153</v>
      </c>
      <c r="L3373"/>
      <c r="M3373"/>
      <c r="N3373"/>
      <c r="O3373"/>
      <c r="P3373"/>
      <c r="T3373">
        <v>403</v>
      </c>
      <c r="U3373" s="7">
        <v>3</v>
      </c>
      <c r="V3373" t="s">
        <v>555</v>
      </c>
      <c r="W3373" s="257" t="s">
        <v>607</v>
      </c>
      <c r="X3373" t="s">
        <v>1268</v>
      </c>
      <c r="Y3373" s="316" t="s">
        <v>46</v>
      </c>
      <c r="Z3373" s="8">
        <v>10</v>
      </c>
      <c r="AA3373" s="202" t="str">
        <f t="shared" si="53"/>
        <v>Морковь</v>
      </c>
    </row>
    <row r="3374" spans="1:27" ht="15" customHeight="1" x14ac:dyDescent="0.25">
      <c r="A3374" t="s">
        <v>153</v>
      </c>
      <c r="L3374"/>
      <c r="M3374"/>
      <c r="N3374"/>
      <c r="O3374"/>
      <c r="P3374"/>
      <c r="T3374">
        <v>404</v>
      </c>
      <c r="U3374" s="7">
        <v>3</v>
      </c>
      <c r="V3374" t="s">
        <v>555</v>
      </c>
      <c r="W3374" s="257" t="s">
        <v>607</v>
      </c>
      <c r="X3374" t="s">
        <v>1268</v>
      </c>
      <c r="Y3374" s="316" t="s">
        <v>479</v>
      </c>
      <c r="Z3374" s="8">
        <v>400</v>
      </c>
      <c r="AA3374" s="202" t="str">
        <f t="shared" si="53"/>
        <v>Вода или бульон</v>
      </c>
    </row>
    <row r="3375" spans="1:27" ht="15" customHeight="1" x14ac:dyDescent="0.25">
      <c r="A3375" t="s">
        <v>153</v>
      </c>
      <c r="L3375"/>
      <c r="M3375"/>
      <c r="N3375"/>
      <c r="O3375"/>
      <c r="P3375"/>
      <c r="T3375">
        <v>405</v>
      </c>
      <c r="U3375" s="7">
        <v>3</v>
      </c>
      <c r="V3375" t="s">
        <v>555</v>
      </c>
      <c r="W3375" s="257" t="s">
        <v>607</v>
      </c>
      <c r="X3375" t="s">
        <v>1268</v>
      </c>
      <c r="Y3375" s="316" t="s">
        <v>70</v>
      </c>
      <c r="Z3375" s="8">
        <v>5</v>
      </c>
      <c r="AA3375" s="202" t="str">
        <f t="shared" si="53"/>
        <v>Зелень</v>
      </c>
    </row>
    <row r="3376" spans="1:27" ht="15" customHeight="1" x14ac:dyDescent="0.25">
      <c r="A3376" t="s">
        <v>153</v>
      </c>
      <c r="L3376"/>
      <c r="M3376"/>
      <c r="N3376"/>
      <c r="O3376"/>
      <c r="P3376"/>
      <c r="T3376">
        <v>406</v>
      </c>
      <c r="U3376" s="7">
        <v>3</v>
      </c>
      <c r="V3376" t="s">
        <v>555</v>
      </c>
      <c r="W3376" s="257" t="s">
        <v>607</v>
      </c>
      <c r="X3376" t="s">
        <v>1268</v>
      </c>
      <c r="Y3376" s="316" t="s">
        <v>326</v>
      </c>
      <c r="Z3376" s="8">
        <v>4</v>
      </c>
      <c r="AA3376" s="202" t="str">
        <f t="shared" si="53"/>
        <v>Соль</v>
      </c>
    </row>
    <row r="3377" spans="1:27" ht="15" customHeight="1" x14ac:dyDescent="0.25">
      <c r="A3377" t="s">
        <v>153</v>
      </c>
      <c r="L3377"/>
      <c r="M3377"/>
      <c r="N3377"/>
      <c r="O3377"/>
      <c r="P3377"/>
      <c r="T3377">
        <v>407</v>
      </c>
      <c r="U3377" s="7">
        <v>3</v>
      </c>
      <c r="V3377" t="s">
        <v>555</v>
      </c>
      <c r="W3377" s="257" t="s">
        <v>607</v>
      </c>
      <c r="X3377" t="s">
        <v>1268</v>
      </c>
      <c r="Y3377" s="316" t="s">
        <v>558</v>
      </c>
      <c r="Z3377" s="8">
        <v>500</v>
      </c>
      <c r="AA3377" s="202" t="str">
        <f t="shared" si="53"/>
        <v>Общая масса готового блюда, г</v>
      </c>
    </row>
    <row r="3378" spans="1:27" ht="15" customHeight="1" x14ac:dyDescent="0.25">
      <c r="A3378" t="s">
        <v>153</v>
      </c>
      <c r="L3378"/>
      <c r="M3378"/>
      <c r="N3378"/>
      <c r="O3378"/>
      <c r="P3378"/>
      <c r="T3378">
        <v>408</v>
      </c>
      <c r="U3378" s="7">
        <v>3</v>
      </c>
      <c r="V3378" t="s">
        <v>555</v>
      </c>
      <c r="W3378" s="257" t="s">
        <v>607</v>
      </c>
      <c r="X3378" t="s">
        <v>1268</v>
      </c>
      <c r="Y3378" s="316" t="s">
        <v>109</v>
      </c>
      <c r="Z3378" s="8">
        <v>250</v>
      </c>
      <c r="AA3378" s="202" t="str">
        <f t="shared" si="53"/>
        <v>ОКГ</v>
      </c>
    </row>
    <row r="3379" spans="1:27" ht="15" customHeight="1" x14ac:dyDescent="0.25">
      <c r="A3379" t="s">
        <v>153</v>
      </c>
      <c r="L3379"/>
      <c r="M3379"/>
      <c r="N3379"/>
      <c r="O3379"/>
      <c r="P3379"/>
      <c r="T3379">
        <v>409</v>
      </c>
      <c r="U3379" s="7">
        <v>3</v>
      </c>
      <c r="V3379" t="s">
        <v>555</v>
      </c>
      <c r="W3379" s="257" t="s">
        <v>607</v>
      </c>
      <c r="X3379" t="s">
        <v>1268</v>
      </c>
      <c r="Y3379" s="316" t="s">
        <v>74</v>
      </c>
      <c r="Z3379" s="8">
        <v>0.02</v>
      </c>
      <c r="AA3379" s="202" t="str">
        <f t="shared" si="53"/>
        <v>Лавровый лист</v>
      </c>
    </row>
    <row r="3380" spans="1:27" ht="15" customHeight="1" x14ac:dyDescent="0.25">
      <c r="A3380" t="s">
        <v>153</v>
      </c>
      <c r="L3380"/>
      <c r="M3380"/>
      <c r="N3380"/>
      <c r="O3380"/>
      <c r="P3380"/>
      <c r="T3380">
        <v>410</v>
      </c>
      <c r="U3380" s="7">
        <v>3</v>
      </c>
      <c r="V3380" t="s">
        <v>555</v>
      </c>
      <c r="W3380" s="257" t="s">
        <v>607</v>
      </c>
      <c r="X3380" t="s">
        <v>1268</v>
      </c>
      <c r="Y3380" s="316" t="s">
        <v>484</v>
      </c>
      <c r="Z3380" s="8">
        <v>0.05</v>
      </c>
      <c r="AA3380" s="202" t="str">
        <f t="shared" si="53"/>
        <v>Перец черный</v>
      </c>
    </row>
    <row r="3381" spans="1:27" ht="15" customHeight="1" x14ac:dyDescent="0.25">
      <c r="A3381" t="s">
        <v>153</v>
      </c>
      <c r="L3381"/>
      <c r="M3381"/>
      <c r="N3381"/>
      <c r="O3381"/>
      <c r="P3381"/>
      <c r="T3381">
        <v>558</v>
      </c>
      <c r="U3381" s="7">
        <v>3</v>
      </c>
      <c r="V3381" t="s">
        <v>966</v>
      </c>
      <c r="W3381" s="257" t="s">
        <v>1054</v>
      </c>
      <c r="X3381" t="s">
        <v>1055</v>
      </c>
      <c r="Y3381" s="316" t="s">
        <v>318</v>
      </c>
      <c r="Z3381" s="8">
        <v>77</v>
      </c>
      <c r="AA3381" s="202" t="str">
        <f t="shared" si="53"/>
        <v>Фасоль</v>
      </c>
    </row>
    <row r="3382" spans="1:27" ht="15" customHeight="1" x14ac:dyDescent="0.25">
      <c r="A3382" t="s">
        <v>153</v>
      </c>
      <c r="L3382"/>
      <c r="M3382"/>
      <c r="N3382"/>
      <c r="O3382"/>
      <c r="P3382"/>
      <c r="T3382">
        <v>559</v>
      </c>
      <c r="U3382" s="7">
        <v>3</v>
      </c>
      <c r="V3382" t="s">
        <v>966</v>
      </c>
      <c r="W3382" s="257" t="s">
        <v>1054</v>
      </c>
      <c r="X3382" t="s">
        <v>1055</v>
      </c>
      <c r="Y3382" s="316" t="s">
        <v>330</v>
      </c>
      <c r="Z3382" s="8">
        <v>123.2</v>
      </c>
      <c r="AA3382" s="202" t="str">
        <f t="shared" si="53"/>
        <v>Вода</v>
      </c>
    </row>
    <row r="3383" spans="1:27" ht="15" customHeight="1" x14ac:dyDescent="0.25">
      <c r="A3383" t="s">
        <v>153</v>
      </c>
      <c r="L3383"/>
      <c r="M3383"/>
      <c r="N3383"/>
      <c r="O3383"/>
      <c r="P3383"/>
      <c r="T3383">
        <v>560</v>
      </c>
      <c r="U3383" s="7">
        <v>3</v>
      </c>
      <c r="V3383" t="s">
        <v>966</v>
      </c>
      <c r="W3383" s="257" t="s">
        <v>1054</v>
      </c>
      <c r="X3383" t="s">
        <v>1055</v>
      </c>
      <c r="Y3383" s="316" t="s">
        <v>32</v>
      </c>
      <c r="Z3383" s="8">
        <v>15</v>
      </c>
      <c r="AA3383" s="202" t="str">
        <f t="shared" si="53"/>
        <v>Лук репчатый</v>
      </c>
    </row>
    <row r="3384" spans="1:27" ht="15" customHeight="1" x14ac:dyDescent="0.25">
      <c r="A3384" t="s">
        <v>153</v>
      </c>
      <c r="L3384"/>
      <c r="M3384"/>
      <c r="N3384"/>
      <c r="O3384"/>
      <c r="P3384"/>
      <c r="T3384">
        <v>561</v>
      </c>
      <c r="U3384" s="7">
        <v>3</v>
      </c>
      <c r="V3384" t="s">
        <v>966</v>
      </c>
      <c r="W3384" s="257" t="s">
        <v>1054</v>
      </c>
      <c r="X3384" t="s">
        <v>1055</v>
      </c>
      <c r="Y3384" s="316" t="s">
        <v>46</v>
      </c>
      <c r="Z3384" s="8">
        <v>12</v>
      </c>
      <c r="AA3384" s="202" t="str">
        <f t="shared" si="53"/>
        <v>Морковь</v>
      </c>
    </row>
    <row r="3385" spans="1:27" ht="15" customHeight="1" x14ac:dyDescent="0.25">
      <c r="A3385" t="s">
        <v>153</v>
      </c>
      <c r="L3385"/>
      <c r="M3385"/>
      <c r="N3385"/>
      <c r="O3385"/>
      <c r="P3385"/>
      <c r="T3385">
        <v>562</v>
      </c>
      <c r="U3385" s="7">
        <v>3</v>
      </c>
      <c r="V3385" t="s">
        <v>966</v>
      </c>
      <c r="W3385" s="257" t="s">
        <v>1054</v>
      </c>
      <c r="X3385" t="s">
        <v>1055</v>
      </c>
      <c r="Y3385" s="316" t="s">
        <v>61</v>
      </c>
      <c r="Z3385" s="8">
        <v>2</v>
      </c>
      <c r="AA3385" s="202" t="str">
        <f t="shared" si="53"/>
        <v>Масло растительное</v>
      </c>
    </row>
    <row r="3386" spans="1:27" ht="15" customHeight="1" x14ac:dyDescent="0.25">
      <c r="A3386" t="s">
        <v>153</v>
      </c>
      <c r="L3386"/>
      <c r="M3386"/>
      <c r="N3386"/>
      <c r="O3386"/>
      <c r="P3386"/>
      <c r="T3386">
        <v>563</v>
      </c>
      <c r="U3386" s="7">
        <v>3</v>
      </c>
      <c r="V3386" t="s">
        <v>966</v>
      </c>
      <c r="W3386" s="257" t="s">
        <v>1054</v>
      </c>
      <c r="X3386" t="s">
        <v>1055</v>
      </c>
      <c r="Y3386" s="316" t="s">
        <v>76</v>
      </c>
      <c r="Z3386" s="8">
        <v>3</v>
      </c>
      <c r="AA3386" s="202" t="str">
        <f t="shared" si="53"/>
        <v>Томат-паста</v>
      </c>
    </row>
    <row r="3387" spans="1:27" ht="15" customHeight="1" x14ac:dyDescent="0.25">
      <c r="A3387" t="s">
        <v>153</v>
      </c>
      <c r="L3387"/>
      <c r="M3387"/>
      <c r="N3387"/>
      <c r="O3387"/>
      <c r="P3387"/>
      <c r="T3387">
        <v>564</v>
      </c>
      <c r="U3387" s="7">
        <v>3</v>
      </c>
      <c r="V3387" t="s">
        <v>966</v>
      </c>
      <c r="W3387" s="257" t="s">
        <v>1054</v>
      </c>
      <c r="X3387" t="s">
        <v>1055</v>
      </c>
      <c r="Y3387" s="316" t="s">
        <v>434</v>
      </c>
      <c r="Z3387" s="8">
        <v>2</v>
      </c>
      <c r="AA3387" s="202" t="str">
        <f t="shared" si="53"/>
        <v>Мука пшеничная 1 с</v>
      </c>
    </row>
    <row r="3388" spans="1:27" ht="15" customHeight="1" x14ac:dyDescent="0.25">
      <c r="A3388" t="s">
        <v>153</v>
      </c>
      <c r="L3388"/>
      <c r="M3388"/>
      <c r="N3388"/>
      <c r="O3388"/>
      <c r="P3388"/>
      <c r="T3388">
        <v>565</v>
      </c>
      <c r="U3388" s="7">
        <v>3</v>
      </c>
      <c r="V3388" t="s">
        <v>966</v>
      </c>
      <c r="W3388" s="257" t="s">
        <v>1054</v>
      </c>
      <c r="X3388" t="s">
        <v>1055</v>
      </c>
      <c r="Y3388" s="316" t="s">
        <v>49</v>
      </c>
      <c r="Z3388" s="8">
        <v>2.5</v>
      </c>
      <c r="AA3388" s="202" t="str">
        <f t="shared" si="53"/>
        <v>Чеснок</v>
      </c>
    </row>
    <row r="3389" spans="1:27" ht="15" customHeight="1" x14ac:dyDescent="0.25">
      <c r="A3389" t="s">
        <v>153</v>
      </c>
      <c r="L3389"/>
      <c r="M3389"/>
      <c r="N3389"/>
      <c r="O3389"/>
      <c r="P3389"/>
      <c r="T3389">
        <v>566</v>
      </c>
      <c r="U3389" s="7">
        <v>3</v>
      </c>
      <c r="V3389" t="s">
        <v>966</v>
      </c>
      <c r="W3389" s="257" t="s">
        <v>1054</v>
      </c>
      <c r="X3389" t="s">
        <v>1055</v>
      </c>
      <c r="Y3389" s="316" t="s">
        <v>326</v>
      </c>
      <c r="Z3389" s="8">
        <v>3</v>
      </c>
      <c r="AA3389" s="202" t="str">
        <f t="shared" si="53"/>
        <v>Соль</v>
      </c>
    </row>
    <row r="3390" spans="1:27" ht="15" customHeight="1" x14ac:dyDescent="0.25">
      <c r="A3390" t="s">
        <v>153</v>
      </c>
      <c r="L3390"/>
      <c r="M3390"/>
      <c r="N3390"/>
      <c r="O3390"/>
      <c r="P3390"/>
      <c r="T3390">
        <v>567</v>
      </c>
      <c r="U3390" s="7">
        <v>3</v>
      </c>
      <c r="V3390" t="s">
        <v>966</v>
      </c>
      <c r="W3390" s="257" t="s">
        <v>1054</v>
      </c>
      <c r="X3390" t="s">
        <v>1055</v>
      </c>
      <c r="Y3390" s="316" t="s">
        <v>478</v>
      </c>
      <c r="Z3390" s="8">
        <v>50</v>
      </c>
      <c r="AA3390" s="202" t="str">
        <f t="shared" si="53"/>
        <v>Вода</v>
      </c>
    </row>
    <row r="3391" spans="1:27" ht="15" customHeight="1" x14ac:dyDescent="0.25">
      <c r="A3391" t="s">
        <v>153</v>
      </c>
      <c r="L3391"/>
      <c r="M3391"/>
      <c r="N3391"/>
      <c r="O3391"/>
      <c r="P3391"/>
      <c r="T3391">
        <v>568</v>
      </c>
      <c r="U3391" s="7">
        <v>3</v>
      </c>
      <c r="V3391" t="s">
        <v>966</v>
      </c>
      <c r="W3391" s="257" t="s">
        <v>1054</v>
      </c>
      <c r="X3391" t="s">
        <v>1055</v>
      </c>
      <c r="Y3391" s="316" t="s">
        <v>558</v>
      </c>
      <c r="Z3391" s="8">
        <v>176</v>
      </c>
      <c r="AA3391" s="202" t="str">
        <f t="shared" si="53"/>
        <v>Общая масса готового блюда, г</v>
      </c>
    </row>
    <row r="3392" spans="1:27" ht="15" customHeight="1" x14ac:dyDescent="0.25">
      <c r="A3392" t="s">
        <v>153</v>
      </c>
      <c r="L3392"/>
      <c r="M3392"/>
      <c r="N3392"/>
      <c r="O3392"/>
      <c r="P3392"/>
      <c r="T3392">
        <v>569</v>
      </c>
      <c r="U3392" s="7">
        <v>3</v>
      </c>
      <c r="V3392" t="s">
        <v>966</v>
      </c>
      <c r="W3392" s="257" t="s">
        <v>1054</v>
      </c>
      <c r="X3392" t="s">
        <v>1055</v>
      </c>
      <c r="Y3392" s="316" t="s">
        <v>74</v>
      </c>
      <c r="Z3392" s="8">
        <v>0.02</v>
      </c>
      <c r="AA3392" s="202" t="str">
        <f t="shared" si="53"/>
        <v>Лавровый лист</v>
      </c>
    </row>
    <row r="3393" spans="1:27" ht="15" customHeight="1" x14ac:dyDescent="0.25">
      <c r="A3393" t="s">
        <v>153</v>
      </c>
      <c r="L3393"/>
      <c r="M3393"/>
      <c r="N3393"/>
      <c r="O3393"/>
      <c r="P3393"/>
      <c r="T3393">
        <v>570</v>
      </c>
      <c r="U3393" s="7">
        <v>3</v>
      </c>
      <c r="V3393" t="s">
        <v>966</v>
      </c>
      <c r="W3393" s="257" t="s">
        <v>1054</v>
      </c>
      <c r="X3393" t="s">
        <v>1055</v>
      </c>
      <c r="Y3393" s="316" t="s">
        <v>484</v>
      </c>
      <c r="Z3393" s="8">
        <v>0.05</v>
      </c>
      <c r="AA3393" s="202" t="str">
        <f t="shared" si="53"/>
        <v>Перец черный</v>
      </c>
    </row>
    <row r="3394" spans="1:27" ht="15" customHeight="1" x14ac:dyDescent="0.25">
      <c r="A3394" t="s">
        <v>153</v>
      </c>
      <c r="L3394"/>
      <c r="M3394"/>
      <c r="N3394"/>
      <c r="O3394"/>
      <c r="P3394"/>
      <c r="T3394">
        <v>570</v>
      </c>
      <c r="U3394" s="7">
        <v>3</v>
      </c>
      <c r="V3394" t="s">
        <v>966</v>
      </c>
      <c r="W3394" s="257" t="s">
        <v>1054</v>
      </c>
      <c r="X3394" t="s">
        <v>1055</v>
      </c>
      <c r="Y3394" s="316" t="s">
        <v>109</v>
      </c>
      <c r="Z3394" s="8">
        <v>415</v>
      </c>
      <c r="AA3394" s="202" t="str">
        <f t="shared" ref="AA3394:AA3457" si="54">VLOOKUP(Y3394,O:P,2,FALSE)</f>
        <v>ОКГ</v>
      </c>
    </row>
    <row r="3395" spans="1:27" ht="15" customHeight="1" x14ac:dyDescent="0.25">
      <c r="A3395" t="s">
        <v>153</v>
      </c>
      <c r="L3395"/>
      <c r="M3395"/>
      <c r="N3395"/>
      <c r="O3395"/>
      <c r="P3395"/>
      <c r="T3395">
        <v>2891</v>
      </c>
      <c r="U3395" s="7">
        <v>3</v>
      </c>
      <c r="V3395" t="s">
        <v>1192</v>
      </c>
      <c r="W3395" s="257" t="s">
        <v>141</v>
      </c>
      <c r="X3395" t="s">
        <v>141</v>
      </c>
      <c r="Y3395" t="s">
        <v>501</v>
      </c>
      <c r="Z3395" s="8">
        <v>20</v>
      </c>
      <c r="AA3395" s="202" t="str">
        <f t="shared" si="54"/>
        <v>Фасоль консерв.</v>
      </c>
    </row>
    <row r="3396" spans="1:27" ht="15" customHeight="1" x14ac:dyDescent="0.25">
      <c r="A3396" t="s">
        <v>153</v>
      </c>
      <c r="L3396"/>
      <c r="M3396"/>
      <c r="N3396"/>
      <c r="O3396"/>
      <c r="P3396"/>
      <c r="T3396">
        <v>2892</v>
      </c>
      <c r="U3396" s="7">
        <v>3</v>
      </c>
      <c r="V3396" t="s">
        <v>1192</v>
      </c>
      <c r="W3396" s="257" t="s">
        <v>141</v>
      </c>
      <c r="X3396" t="s">
        <v>141</v>
      </c>
      <c r="Y3396" s="316" t="s">
        <v>558</v>
      </c>
      <c r="Z3396" s="8">
        <v>20</v>
      </c>
      <c r="AA3396" s="202" t="str">
        <f t="shared" si="54"/>
        <v>Общая масса готового блюда, г</v>
      </c>
    </row>
    <row r="3397" spans="1:27" ht="15" customHeight="1" x14ac:dyDescent="0.25">
      <c r="A3397" t="s">
        <v>153</v>
      </c>
      <c r="L3397"/>
      <c r="M3397"/>
      <c r="N3397"/>
      <c r="O3397"/>
      <c r="P3397"/>
      <c r="T3397">
        <v>554</v>
      </c>
      <c r="U3397" s="7">
        <v>3</v>
      </c>
      <c r="V3397" t="s">
        <v>966</v>
      </c>
      <c r="W3397" s="257" t="s">
        <v>1056</v>
      </c>
      <c r="X3397" t="s">
        <v>1057</v>
      </c>
      <c r="Y3397" s="316" t="s">
        <v>433</v>
      </c>
      <c r="Z3397" s="8">
        <v>83</v>
      </c>
      <c r="AA3397" s="202" t="str">
        <f t="shared" si="54"/>
        <v>Фасоль</v>
      </c>
    </row>
    <row r="3398" spans="1:27" ht="15" customHeight="1" x14ac:dyDescent="0.25">
      <c r="A3398" t="s">
        <v>153</v>
      </c>
      <c r="L3398"/>
      <c r="M3398"/>
      <c r="N3398"/>
      <c r="O3398"/>
      <c r="P3398"/>
      <c r="T3398">
        <v>555</v>
      </c>
      <c r="U3398" s="7">
        <v>3</v>
      </c>
      <c r="V3398" t="s">
        <v>966</v>
      </c>
      <c r="W3398" s="257" t="s">
        <v>1056</v>
      </c>
      <c r="X3398" t="s">
        <v>1057</v>
      </c>
      <c r="Y3398" s="316" t="s">
        <v>330</v>
      </c>
      <c r="Z3398" s="8">
        <v>132.80000000000001</v>
      </c>
      <c r="AA3398" s="202" t="str">
        <f t="shared" si="54"/>
        <v>Вода</v>
      </c>
    </row>
    <row r="3399" spans="1:27" ht="15" customHeight="1" x14ac:dyDescent="0.25">
      <c r="A3399" t="s">
        <v>153</v>
      </c>
      <c r="L3399"/>
      <c r="M3399"/>
      <c r="N3399"/>
      <c r="O3399"/>
      <c r="P3399"/>
      <c r="T3399">
        <v>556</v>
      </c>
      <c r="U3399" s="7">
        <v>3</v>
      </c>
      <c r="V3399" t="s">
        <v>966</v>
      </c>
      <c r="W3399" s="257" t="s">
        <v>1056</v>
      </c>
      <c r="X3399" t="s">
        <v>1057</v>
      </c>
      <c r="Y3399" s="316" t="s">
        <v>326</v>
      </c>
      <c r="Z3399" s="8">
        <v>4</v>
      </c>
      <c r="AA3399" s="202" t="str">
        <f t="shared" si="54"/>
        <v>Соль</v>
      </c>
    </row>
    <row r="3400" spans="1:27" ht="15" customHeight="1" x14ac:dyDescent="0.25">
      <c r="A3400" t="s">
        <v>153</v>
      </c>
      <c r="L3400"/>
      <c r="M3400"/>
      <c r="N3400"/>
      <c r="O3400"/>
      <c r="P3400"/>
      <c r="T3400">
        <v>557</v>
      </c>
      <c r="U3400" s="7">
        <v>3</v>
      </c>
      <c r="V3400" t="s">
        <v>966</v>
      </c>
      <c r="W3400" s="257" t="s">
        <v>1056</v>
      </c>
      <c r="X3400" t="s">
        <v>1057</v>
      </c>
      <c r="Y3400" s="316" t="s">
        <v>558</v>
      </c>
      <c r="Z3400" s="8">
        <v>116</v>
      </c>
      <c r="AA3400" s="202" t="str">
        <f t="shared" si="54"/>
        <v>Общая масса готового блюда, г</v>
      </c>
    </row>
    <row r="3401" spans="1:27" ht="15" customHeight="1" x14ac:dyDescent="0.25">
      <c r="A3401" t="s">
        <v>153</v>
      </c>
      <c r="L3401"/>
      <c r="M3401"/>
      <c r="N3401"/>
      <c r="O3401"/>
      <c r="P3401"/>
      <c r="T3401">
        <v>557</v>
      </c>
      <c r="U3401" s="7">
        <v>3</v>
      </c>
      <c r="V3401" t="s">
        <v>966</v>
      </c>
      <c r="W3401" s="257" t="s">
        <v>1056</v>
      </c>
      <c r="X3401" t="s">
        <v>1057</v>
      </c>
      <c r="Y3401" s="316" t="s">
        <v>109</v>
      </c>
      <c r="Z3401" s="8">
        <v>415</v>
      </c>
      <c r="AA3401" s="202" t="str">
        <f t="shared" si="54"/>
        <v>ОКГ</v>
      </c>
    </row>
    <row r="3402" spans="1:27" ht="15" customHeight="1" x14ac:dyDescent="0.25">
      <c r="A3402" t="s">
        <v>153</v>
      </c>
      <c r="L3402"/>
      <c r="M3402"/>
      <c r="N3402"/>
      <c r="O3402"/>
      <c r="P3402"/>
      <c r="T3402">
        <v>2370</v>
      </c>
      <c r="U3402" s="7">
        <v>3</v>
      </c>
      <c r="V3402" t="s">
        <v>613</v>
      </c>
      <c r="W3402" s="257" t="s">
        <v>953</v>
      </c>
      <c r="X3402" t="s">
        <v>954</v>
      </c>
      <c r="Y3402" s="316" t="s">
        <v>456</v>
      </c>
      <c r="Z3402" s="8">
        <v>75</v>
      </c>
      <c r="AA3402" s="202" t="str">
        <f t="shared" si="54"/>
        <v>Говядина консерв.</v>
      </c>
    </row>
    <row r="3403" spans="1:27" ht="15" customHeight="1" x14ac:dyDescent="0.25">
      <c r="A3403" t="s">
        <v>153</v>
      </c>
      <c r="L3403"/>
      <c r="M3403"/>
      <c r="N3403"/>
      <c r="O3403"/>
      <c r="P3403"/>
      <c r="T3403">
        <v>2371</v>
      </c>
      <c r="U3403" s="7">
        <v>3</v>
      </c>
      <c r="V3403" t="s">
        <v>613</v>
      </c>
      <c r="W3403" s="257" t="s">
        <v>953</v>
      </c>
      <c r="X3403" t="s">
        <v>954</v>
      </c>
      <c r="Y3403" s="316" t="s">
        <v>61</v>
      </c>
      <c r="Z3403" s="8">
        <v>2</v>
      </c>
      <c r="AA3403" s="202" t="str">
        <f t="shared" si="54"/>
        <v>Масло растительное</v>
      </c>
    </row>
    <row r="3404" spans="1:27" ht="15" customHeight="1" x14ac:dyDescent="0.25">
      <c r="A3404" t="s">
        <v>153</v>
      </c>
      <c r="L3404"/>
      <c r="M3404"/>
      <c r="N3404"/>
      <c r="O3404"/>
      <c r="P3404"/>
      <c r="T3404">
        <v>2372</v>
      </c>
      <c r="U3404" s="7">
        <v>3</v>
      </c>
      <c r="V3404" t="s">
        <v>613</v>
      </c>
      <c r="W3404" s="257" t="s">
        <v>953</v>
      </c>
      <c r="X3404" t="s">
        <v>954</v>
      </c>
      <c r="Y3404" s="316" t="s">
        <v>46</v>
      </c>
      <c r="Z3404" s="8">
        <v>20</v>
      </c>
      <c r="AA3404" s="202" t="str">
        <f t="shared" si="54"/>
        <v>Морковь</v>
      </c>
    </row>
    <row r="3405" spans="1:27" ht="15" customHeight="1" x14ac:dyDescent="0.25">
      <c r="A3405" t="s">
        <v>153</v>
      </c>
      <c r="L3405"/>
      <c r="M3405"/>
      <c r="N3405"/>
      <c r="O3405"/>
      <c r="P3405"/>
      <c r="T3405">
        <v>2373</v>
      </c>
      <c r="U3405" s="7">
        <v>3</v>
      </c>
      <c r="V3405" t="s">
        <v>613</v>
      </c>
      <c r="W3405" s="257" t="s">
        <v>953</v>
      </c>
      <c r="X3405" t="s">
        <v>954</v>
      </c>
      <c r="Y3405" s="316" t="s">
        <v>32</v>
      </c>
      <c r="Z3405" s="8">
        <v>10</v>
      </c>
      <c r="AA3405" s="202" t="str">
        <f t="shared" si="54"/>
        <v>Лук репчатый</v>
      </c>
    </row>
    <row r="3406" spans="1:27" ht="15" customHeight="1" x14ac:dyDescent="0.25">
      <c r="A3406" t="s">
        <v>153</v>
      </c>
      <c r="L3406"/>
      <c r="M3406"/>
      <c r="N3406"/>
      <c r="O3406"/>
      <c r="P3406"/>
      <c r="T3406">
        <v>2374</v>
      </c>
      <c r="U3406" s="7">
        <v>3</v>
      </c>
      <c r="V3406" t="s">
        <v>613</v>
      </c>
      <c r="W3406" s="257" t="s">
        <v>953</v>
      </c>
      <c r="X3406" t="s">
        <v>954</v>
      </c>
      <c r="Y3406" s="316" t="s">
        <v>76</v>
      </c>
      <c r="Z3406" s="8">
        <v>3</v>
      </c>
      <c r="AA3406" s="202" t="str">
        <f t="shared" si="54"/>
        <v>Томат-паста</v>
      </c>
    </row>
    <row r="3407" spans="1:27" ht="15" customHeight="1" x14ac:dyDescent="0.25">
      <c r="A3407" t="s">
        <v>153</v>
      </c>
      <c r="L3407"/>
      <c r="M3407"/>
      <c r="N3407"/>
      <c r="O3407"/>
      <c r="P3407"/>
      <c r="T3407">
        <v>2375</v>
      </c>
      <c r="U3407" s="7">
        <v>3</v>
      </c>
      <c r="V3407" t="s">
        <v>613</v>
      </c>
      <c r="W3407" s="257" t="s">
        <v>953</v>
      </c>
      <c r="X3407" t="s">
        <v>954</v>
      </c>
      <c r="Y3407" s="316" t="s">
        <v>434</v>
      </c>
      <c r="Z3407" s="8">
        <v>3</v>
      </c>
      <c r="AA3407" s="202" t="str">
        <f t="shared" si="54"/>
        <v>Мука пшеничная 1 с</v>
      </c>
    </row>
    <row r="3408" spans="1:27" ht="15" customHeight="1" x14ac:dyDescent="0.25">
      <c r="A3408" t="s">
        <v>153</v>
      </c>
      <c r="L3408"/>
      <c r="M3408"/>
      <c r="N3408"/>
      <c r="O3408"/>
      <c r="P3408"/>
      <c r="T3408">
        <v>2376</v>
      </c>
      <c r="U3408" s="7">
        <v>3</v>
      </c>
      <c r="V3408" t="s">
        <v>613</v>
      </c>
      <c r="W3408" s="257" t="s">
        <v>953</v>
      </c>
      <c r="X3408" t="s">
        <v>954</v>
      </c>
      <c r="Y3408" s="316" t="s">
        <v>326</v>
      </c>
      <c r="Z3408" s="8">
        <v>2</v>
      </c>
      <c r="AA3408" s="202" t="str">
        <f t="shared" si="54"/>
        <v>Соль</v>
      </c>
    </row>
    <row r="3409" spans="1:27" ht="15" customHeight="1" x14ac:dyDescent="0.25">
      <c r="A3409" t="s">
        <v>153</v>
      </c>
      <c r="L3409"/>
      <c r="M3409"/>
      <c r="N3409"/>
      <c r="O3409"/>
      <c r="P3409"/>
      <c r="T3409">
        <v>2377</v>
      </c>
      <c r="U3409" s="7">
        <v>3</v>
      </c>
      <c r="V3409" t="s">
        <v>613</v>
      </c>
      <c r="W3409" s="257" t="s">
        <v>953</v>
      </c>
      <c r="X3409" t="s">
        <v>954</v>
      </c>
      <c r="Y3409" s="316" t="s">
        <v>484</v>
      </c>
      <c r="Z3409" s="8">
        <v>0.1</v>
      </c>
      <c r="AA3409" s="202" t="str">
        <f t="shared" si="54"/>
        <v>Перец черный</v>
      </c>
    </row>
    <row r="3410" spans="1:27" ht="15" customHeight="1" x14ac:dyDescent="0.25">
      <c r="A3410" t="s">
        <v>153</v>
      </c>
      <c r="L3410"/>
      <c r="M3410"/>
      <c r="N3410"/>
      <c r="O3410"/>
      <c r="P3410"/>
      <c r="T3410">
        <v>2378</v>
      </c>
      <c r="U3410" s="7">
        <v>3</v>
      </c>
      <c r="V3410" t="s">
        <v>613</v>
      </c>
      <c r="W3410" s="257" t="s">
        <v>953</v>
      </c>
      <c r="X3410" t="s">
        <v>954</v>
      </c>
      <c r="Y3410" s="316" t="s">
        <v>318</v>
      </c>
      <c r="Z3410" s="8">
        <v>77</v>
      </c>
      <c r="AA3410" s="202" t="str">
        <f t="shared" si="54"/>
        <v>Фасоль</v>
      </c>
    </row>
    <row r="3411" spans="1:27" ht="15" customHeight="1" x14ac:dyDescent="0.25">
      <c r="A3411" t="s">
        <v>153</v>
      </c>
      <c r="L3411"/>
      <c r="M3411"/>
      <c r="N3411"/>
      <c r="O3411"/>
      <c r="P3411"/>
      <c r="T3411">
        <v>2379</v>
      </c>
      <c r="U3411" s="7">
        <v>3</v>
      </c>
      <c r="V3411" t="s">
        <v>613</v>
      </c>
      <c r="W3411" s="257" t="s">
        <v>953</v>
      </c>
      <c r="X3411" t="s">
        <v>954</v>
      </c>
      <c r="Y3411" s="316" t="s">
        <v>74</v>
      </c>
      <c r="Z3411" s="8">
        <v>0.05</v>
      </c>
      <c r="AA3411" s="202" t="str">
        <f t="shared" si="54"/>
        <v>Лавровый лист</v>
      </c>
    </row>
    <row r="3412" spans="1:27" ht="15" customHeight="1" x14ac:dyDescent="0.25">
      <c r="A3412" t="s">
        <v>153</v>
      </c>
      <c r="L3412"/>
      <c r="M3412"/>
      <c r="N3412"/>
      <c r="O3412"/>
      <c r="P3412"/>
      <c r="T3412">
        <v>2380</v>
      </c>
      <c r="U3412" s="7">
        <v>3</v>
      </c>
      <c r="V3412" t="s">
        <v>613</v>
      </c>
      <c r="W3412" s="257" t="s">
        <v>953</v>
      </c>
      <c r="X3412" t="s">
        <v>954</v>
      </c>
      <c r="Y3412" s="316" t="s">
        <v>109</v>
      </c>
      <c r="Z3412" s="8">
        <v>415</v>
      </c>
      <c r="AA3412" s="202" t="str">
        <f t="shared" si="54"/>
        <v>ОКГ</v>
      </c>
    </row>
    <row r="3413" spans="1:27" ht="15" customHeight="1" x14ac:dyDescent="0.25">
      <c r="A3413" t="s">
        <v>153</v>
      </c>
      <c r="L3413"/>
      <c r="M3413"/>
      <c r="N3413"/>
      <c r="O3413"/>
      <c r="P3413"/>
      <c r="T3413">
        <v>2381</v>
      </c>
      <c r="U3413" s="7">
        <v>3</v>
      </c>
      <c r="V3413" t="s">
        <v>613</v>
      </c>
      <c r="W3413" s="257" t="s">
        <v>953</v>
      </c>
      <c r="X3413" t="s">
        <v>954</v>
      </c>
      <c r="Y3413" s="316" t="s">
        <v>558</v>
      </c>
      <c r="Z3413" s="8">
        <v>198.2</v>
      </c>
      <c r="AA3413" s="202" t="str">
        <f t="shared" si="54"/>
        <v>Общая масса готового блюда, г</v>
      </c>
    </row>
    <row r="3414" spans="1:27" ht="15" customHeight="1" x14ac:dyDescent="0.25">
      <c r="A3414" t="s">
        <v>153</v>
      </c>
      <c r="L3414"/>
      <c r="M3414"/>
      <c r="N3414"/>
      <c r="O3414"/>
      <c r="P3414"/>
      <c r="T3414">
        <v>2381</v>
      </c>
      <c r="U3414" s="7">
        <v>3</v>
      </c>
      <c r="V3414" t="s">
        <v>613</v>
      </c>
      <c r="W3414" s="257" t="s">
        <v>953</v>
      </c>
      <c r="X3414" t="s">
        <v>954</v>
      </c>
      <c r="Y3414" s="316" t="s">
        <v>1214</v>
      </c>
      <c r="Z3414" s="8">
        <v>75</v>
      </c>
      <c r="AA3414" s="202" t="str">
        <f t="shared" si="54"/>
        <v>Масса мясных и рыбных порций, г</v>
      </c>
    </row>
    <row r="3415" spans="1:27" ht="15" customHeight="1" x14ac:dyDescent="0.25">
      <c r="A3415" t="s">
        <v>153</v>
      </c>
      <c r="L3415"/>
      <c r="M3415"/>
      <c r="N3415"/>
      <c r="O3415"/>
      <c r="P3415"/>
      <c r="T3415">
        <v>2394</v>
      </c>
      <c r="U3415" s="7">
        <v>3</v>
      </c>
      <c r="V3415" t="s">
        <v>613</v>
      </c>
      <c r="W3415" s="257" t="s">
        <v>955</v>
      </c>
      <c r="X3415" t="s">
        <v>956</v>
      </c>
      <c r="Y3415" s="316" t="s">
        <v>461</v>
      </c>
      <c r="Z3415" s="8">
        <v>75</v>
      </c>
      <c r="AA3415" s="202" t="str">
        <f t="shared" si="54"/>
        <v>Мясо птицы консерв.</v>
      </c>
    </row>
    <row r="3416" spans="1:27" ht="15" customHeight="1" x14ac:dyDescent="0.25">
      <c r="A3416" t="s">
        <v>153</v>
      </c>
      <c r="L3416"/>
      <c r="M3416"/>
      <c r="N3416"/>
      <c r="O3416"/>
      <c r="P3416"/>
      <c r="T3416">
        <v>2395</v>
      </c>
      <c r="U3416" s="7">
        <v>3</v>
      </c>
      <c r="V3416" t="s">
        <v>613</v>
      </c>
      <c r="W3416" s="257" t="s">
        <v>955</v>
      </c>
      <c r="X3416" t="s">
        <v>956</v>
      </c>
      <c r="Y3416" s="316" t="s">
        <v>61</v>
      </c>
      <c r="Z3416" s="8">
        <v>2</v>
      </c>
      <c r="AA3416" s="202" t="str">
        <f t="shared" si="54"/>
        <v>Масло растительное</v>
      </c>
    </row>
    <row r="3417" spans="1:27" ht="15" customHeight="1" x14ac:dyDescent="0.25">
      <c r="A3417" t="s">
        <v>153</v>
      </c>
      <c r="L3417"/>
      <c r="M3417"/>
      <c r="N3417"/>
      <c r="O3417"/>
      <c r="P3417"/>
      <c r="T3417">
        <v>2396</v>
      </c>
      <c r="U3417" s="7">
        <v>3</v>
      </c>
      <c r="V3417" t="s">
        <v>613</v>
      </c>
      <c r="W3417" s="257" t="s">
        <v>955</v>
      </c>
      <c r="X3417" t="s">
        <v>956</v>
      </c>
      <c r="Y3417" s="316" t="s">
        <v>46</v>
      </c>
      <c r="Z3417" s="8">
        <v>20</v>
      </c>
      <c r="AA3417" s="202" t="str">
        <f t="shared" si="54"/>
        <v>Морковь</v>
      </c>
    </row>
    <row r="3418" spans="1:27" ht="15" customHeight="1" x14ac:dyDescent="0.25">
      <c r="A3418" t="s">
        <v>153</v>
      </c>
      <c r="L3418"/>
      <c r="M3418"/>
      <c r="N3418"/>
      <c r="O3418"/>
      <c r="P3418"/>
      <c r="T3418">
        <v>2397</v>
      </c>
      <c r="U3418" s="7">
        <v>3</v>
      </c>
      <c r="V3418" t="s">
        <v>613</v>
      </c>
      <c r="W3418" s="257" t="s">
        <v>955</v>
      </c>
      <c r="X3418" t="s">
        <v>956</v>
      </c>
      <c r="Y3418" s="316" t="s">
        <v>32</v>
      </c>
      <c r="Z3418" s="8">
        <v>10</v>
      </c>
      <c r="AA3418" s="202" t="str">
        <f t="shared" si="54"/>
        <v>Лук репчатый</v>
      </c>
    </row>
    <row r="3419" spans="1:27" ht="15" customHeight="1" x14ac:dyDescent="0.25">
      <c r="A3419" t="s">
        <v>153</v>
      </c>
      <c r="L3419"/>
      <c r="M3419"/>
      <c r="N3419"/>
      <c r="O3419"/>
      <c r="P3419"/>
      <c r="T3419">
        <v>2398</v>
      </c>
      <c r="U3419" s="7">
        <v>3</v>
      </c>
      <c r="V3419" t="s">
        <v>613</v>
      </c>
      <c r="W3419" s="257" t="s">
        <v>955</v>
      </c>
      <c r="X3419" t="s">
        <v>956</v>
      </c>
      <c r="Y3419" s="316" t="s">
        <v>76</v>
      </c>
      <c r="Z3419" s="8">
        <v>3</v>
      </c>
      <c r="AA3419" s="202" t="str">
        <f t="shared" si="54"/>
        <v>Томат-паста</v>
      </c>
    </row>
    <row r="3420" spans="1:27" ht="15" customHeight="1" x14ac:dyDescent="0.25">
      <c r="A3420" t="s">
        <v>153</v>
      </c>
      <c r="L3420"/>
      <c r="M3420"/>
      <c r="N3420"/>
      <c r="O3420"/>
      <c r="P3420"/>
      <c r="T3420">
        <v>2399</v>
      </c>
      <c r="U3420" s="7">
        <v>3</v>
      </c>
      <c r="V3420" t="s">
        <v>613</v>
      </c>
      <c r="W3420" s="257" t="s">
        <v>955</v>
      </c>
      <c r="X3420" t="s">
        <v>956</v>
      </c>
      <c r="Y3420" s="316" t="s">
        <v>434</v>
      </c>
      <c r="Z3420" s="8">
        <v>3</v>
      </c>
      <c r="AA3420" s="202" t="str">
        <f t="shared" si="54"/>
        <v>Мука пшеничная 1 с</v>
      </c>
    </row>
    <row r="3421" spans="1:27" ht="15" customHeight="1" x14ac:dyDescent="0.25">
      <c r="A3421" t="s">
        <v>153</v>
      </c>
      <c r="L3421"/>
      <c r="M3421"/>
      <c r="N3421"/>
      <c r="O3421"/>
      <c r="P3421"/>
      <c r="T3421">
        <v>2400</v>
      </c>
      <c r="U3421" s="7">
        <v>3</v>
      </c>
      <c r="V3421" t="s">
        <v>613</v>
      </c>
      <c r="W3421" s="257" t="s">
        <v>955</v>
      </c>
      <c r="X3421" t="s">
        <v>956</v>
      </c>
      <c r="Y3421" s="316" t="s">
        <v>326</v>
      </c>
      <c r="Z3421" s="8">
        <v>2</v>
      </c>
      <c r="AA3421" s="202" t="str">
        <f t="shared" si="54"/>
        <v>Соль</v>
      </c>
    </row>
    <row r="3422" spans="1:27" ht="15" customHeight="1" x14ac:dyDescent="0.25">
      <c r="A3422" t="s">
        <v>153</v>
      </c>
      <c r="L3422"/>
      <c r="M3422"/>
      <c r="N3422"/>
      <c r="O3422"/>
      <c r="P3422"/>
      <c r="T3422">
        <v>2401</v>
      </c>
      <c r="U3422" s="7">
        <v>3</v>
      </c>
      <c r="V3422" t="s">
        <v>613</v>
      </c>
      <c r="W3422" s="257" t="s">
        <v>955</v>
      </c>
      <c r="X3422" t="s">
        <v>956</v>
      </c>
      <c r="Y3422" s="316" t="s">
        <v>484</v>
      </c>
      <c r="Z3422" s="8">
        <v>0.1</v>
      </c>
      <c r="AA3422" s="202" t="str">
        <f t="shared" si="54"/>
        <v>Перец черный</v>
      </c>
    </row>
    <row r="3423" spans="1:27" ht="15" customHeight="1" x14ac:dyDescent="0.25">
      <c r="A3423" t="s">
        <v>153</v>
      </c>
      <c r="L3423"/>
      <c r="M3423"/>
      <c r="N3423"/>
      <c r="O3423"/>
      <c r="P3423"/>
      <c r="T3423">
        <v>2402</v>
      </c>
      <c r="U3423" s="7">
        <v>3</v>
      </c>
      <c r="V3423" t="s">
        <v>613</v>
      </c>
      <c r="W3423" s="257" t="s">
        <v>955</v>
      </c>
      <c r="X3423" t="s">
        <v>956</v>
      </c>
      <c r="Y3423" s="316" t="s">
        <v>318</v>
      </c>
      <c r="Z3423" s="8">
        <v>77</v>
      </c>
      <c r="AA3423" s="202" t="str">
        <f t="shared" si="54"/>
        <v>Фасоль</v>
      </c>
    </row>
    <row r="3424" spans="1:27" ht="15" customHeight="1" x14ac:dyDescent="0.25">
      <c r="A3424" t="s">
        <v>153</v>
      </c>
      <c r="L3424"/>
      <c r="M3424"/>
      <c r="N3424"/>
      <c r="O3424"/>
      <c r="P3424"/>
      <c r="T3424">
        <v>2403</v>
      </c>
      <c r="U3424" s="7">
        <v>3</v>
      </c>
      <c r="V3424" t="s">
        <v>613</v>
      </c>
      <c r="W3424" s="257" t="s">
        <v>955</v>
      </c>
      <c r="X3424" t="s">
        <v>956</v>
      </c>
      <c r="Y3424" s="316" t="s">
        <v>74</v>
      </c>
      <c r="Z3424" s="8">
        <v>0.05</v>
      </c>
      <c r="AA3424" s="202" t="str">
        <f t="shared" si="54"/>
        <v>Лавровый лист</v>
      </c>
    </row>
    <row r="3425" spans="1:27" ht="15" customHeight="1" x14ac:dyDescent="0.25">
      <c r="A3425" t="s">
        <v>153</v>
      </c>
      <c r="L3425"/>
      <c r="M3425"/>
      <c r="N3425"/>
      <c r="O3425"/>
      <c r="P3425"/>
      <c r="T3425">
        <v>2404</v>
      </c>
      <c r="U3425" s="7">
        <v>3</v>
      </c>
      <c r="V3425" t="s">
        <v>613</v>
      </c>
      <c r="W3425" s="257" t="s">
        <v>955</v>
      </c>
      <c r="X3425" t="s">
        <v>956</v>
      </c>
      <c r="Y3425" s="316" t="s">
        <v>109</v>
      </c>
      <c r="Z3425" s="8">
        <v>415</v>
      </c>
      <c r="AA3425" s="202" t="str">
        <f t="shared" si="54"/>
        <v>ОКГ</v>
      </c>
    </row>
    <row r="3426" spans="1:27" ht="15" customHeight="1" x14ac:dyDescent="0.25">
      <c r="A3426" t="s">
        <v>153</v>
      </c>
      <c r="L3426"/>
      <c r="M3426"/>
      <c r="N3426"/>
      <c r="O3426"/>
      <c r="P3426"/>
      <c r="T3426">
        <v>2405</v>
      </c>
      <c r="U3426" s="7">
        <v>3</v>
      </c>
      <c r="V3426" t="s">
        <v>613</v>
      </c>
      <c r="W3426" s="257" t="s">
        <v>955</v>
      </c>
      <c r="X3426" t="s">
        <v>956</v>
      </c>
      <c r="Y3426" s="316" t="s">
        <v>558</v>
      </c>
      <c r="Z3426" s="8">
        <v>198.2</v>
      </c>
      <c r="AA3426" s="202" t="str">
        <f t="shared" si="54"/>
        <v>Общая масса готового блюда, г</v>
      </c>
    </row>
    <row r="3427" spans="1:27" ht="15" customHeight="1" x14ac:dyDescent="0.25">
      <c r="A3427" t="s">
        <v>153</v>
      </c>
      <c r="L3427"/>
      <c r="M3427"/>
      <c r="N3427"/>
      <c r="O3427"/>
      <c r="P3427"/>
      <c r="T3427">
        <v>2405</v>
      </c>
      <c r="U3427" s="7">
        <v>3</v>
      </c>
      <c r="V3427" t="s">
        <v>613</v>
      </c>
      <c r="W3427" s="257" t="s">
        <v>955</v>
      </c>
      <c r="X3427" t="s">
        <v>956</v>
      </c>
      <c r="Y3427" s="316" t="s">
        <v>1214</v>
      </c>
      <c r="Z3427" s="8">
        <v>75</v>
      </c>
      <c r="AA3427" s="202" t="str">
        <f t="shared" si="54"/>
        <v>Масса мясных и рыбных порций, г</v>
      </c>
    </row>
    <row r="3428" spans="1:27" ht="15" customHeight="1" x14ac:dyDescent="0.25">
      <c r="A3428" t="s">
        <v>153</v>
      </c>
      <c r="L3428"/>
      <c r="M3428"/>
      <c r="N3428"/>
      <c r="O3428"/>
      <c r="P3428"/>
      <c r="T3428">
        <v>2382</v>
      </c>
      <c r="U3428" s="7">
        <v>3</v>
      </c>
      <c r="V3428" t="s">
        <v>613</v>
      </c>
      <c r="W3428" s="257" t="s">
        <v>957</v>
      </c>
      <c r="X3428" t="s">
        <v>958</v>
      </c>
      <c r="Y3428" s="316" t="s">
        <v>477</v>
      </c>
      <c r="Z3428" s="8">
        <v>75</v>
      </c>
      <c r="AA3428" s="202" t="str">
        <f t="shared" si="54"/>
        <v>Свинина консерв.</v>
      </c>
    </row>
    <row r="3429" spans="1:27" ht="15" customHeight="1" x14ac:dyDescent="0.25">
      <c r="A3429" t="s">
        <v>153</v>
      </c>
      <c r="L3429"/>
      <c r="M3429"/>
      <c r="N3429"/>
      <c r="O3429"/>
      <c r="P3429"/>
      <c r="T3429">
        <v>2383</v>
      </c>
      <c r="U3429" s="7">
        <v>3</v>
      </c>
      <c r="V3429" t="s">
        <v>613</v>
      </c>
      <c r="W3429" s="257" t="s">
        <v>957</v>
      </c>
      <c r="X3429" t="s">
        <v>958</v>
      </c>
      <c r="Y3429" s="316" t="s">
        <v>61</v>
      </c>
      <c r="Z3429" s="8">
        <v>2</v>
      </c>
      <c r="AA3429" s="202" t="str">
        <f t="shared" si="54"/>
        <v>Масло растительное</v>
      </c>
    </row>
    <row r="3430" spans="1:27" ht="15" customHeight="1" x14ac:dyDescent="0.25">
      <c r="A3430" t="s">
        <v>153</v>
      </c>
      <c r="L3430"/>
      <c r="M3430"/>
      <c r="N3430"/>
      <c r="O3430"/>
      <c r="P3430"/>
      <c r="T3430">
        <v>2384</v>
      </c>
      <c r="U3430" s="7">
        <v>3</v>
      </c>
      <c r="V3430" t="s">
        <v>613</v>
      </c>
      <c r="W3430" s="257" t="s">
        <v>957</v>
      </c>
      <c r="X3430" t="s">
        <v>958</v>
      </c>
      <c r="Y3430" s="316" t="s">
        <v>46</v>
      </c>
      <c r="Z3430" s="8">
        <v>20</v>
      </c>
      <c r="AA3430" s="202" t="str">
        <f t="shared" si="54"/>
        <v>Морковь</v>
      </c>
    </row>
    <row r="3431" spans="1:27" ht="15" customHeight="1" x14ac:dyDescent="0.25">
      <c r="A3431" t="s">
        <v>153</v>
      </c>
      <c r="L3431"/>
      <c r="M3431"/>
      <c r="N3431"/>
      <c r="O3431"/>
      <c r="P3431"/>
      <c r="T3431">
        <v>2385</v>
      </c>
      <c r="U3431" s="7">
        <v>3</v>
      </c>
      <c r="V3431" t="s">
        <v>613</v>
      </c>
      <c r="W3431" s="257" t="s">
        <v>957</v>
      </c>
      <c r="X3431" t="s">
        <v>958</v>
      </c>
      <c r="Y3431" s="316" t="s">
        <v>32</v>
      </c>
      <c r="Z3431" s="8">
        <v>10</v>
      </c>
      <c r="AA3431" s="202" t="str">
        <f t="shared" si="54"/>
        <v>Лук репчатый</v>
      </c>
    </row>
    <row r="3432" spans="1:27" ht="15" customHeight="1" x14ac:dyDescent="0.25">
      <c r="A3432" t="s">
        <v>153</v>
      </c>
      <c r="L3432"/>
      <c r="M3432"/>
      <c r="N3432"/>
      <c r="O3432"/>
      <c r="P3432"/>
      <c r="T3432">
        <v>2386</v>
      </c>
      <c r="U3432" s="7">
        <v>3</v>
      </c>
      <c r="V3432" t="s">
        <v>613</v>
      </c>
      <c r="W3432" s="257" t="s">
        <v>957</v>
      </c>
      <c r="X3432" t="s">
        <v>958</v>
      </c>
      <c r="Y3432" s="316" t="s">
        <v>76</v>
      </c>
      <c r="Z3432" s="8">
        <v>3</v>
      </c>
      <c r="AA3432" s="202" t="str">
        <f t="shared" si="54"/>
        <v>Томат-паста</v>
      </c>
    </row>
    <row r="3433" spans="1:27" ht="15" customHeight="1" x14ac:dyDescent="0.25">
      <c r="A3433" t="s">
        <v>153</v>
      </c>
      <c r="L3433"/>
      <c r="M3433"/>
      <c r="N3433"/>
      <c r="O3433"/>
      <c r="P3433"/>
      <c r="T3433">
        <v>2387</v>
      </c>
      <c r="U3433" s="7">
        <v>3</v>
      </c>
      <c r="V3433" t="s">
        <v>613</v>
      </c>
      <c r="W3433" s="257" t="s">
        <v>957</v>
      </c>
      <c r="X3433" t="s">
        <v>958</v>
      </c>
      <c r="Y3433" s="316" t="s">
        <v>434</v>
      </c>
      <c r="Z3433" s="8">
        <v>3</v>
      </c>
      <c r="AA3433" s="202" t="str">
        <f t="shared" si="54"/>
        <v>Мука пшеничная 1 с</v>
      </c>
    </row>
    <row r="3434" spans="1:27" ht="15" customHeight="1" x14ac:dyDescent="0.25">
      <c r="A3434" t="s">
        <v>153</v>
      </c>
      <c r="L3434"/>
      <c r="M3434"/>
      <c r="N3434"/>
      <c r="O3434"/>
      <c r="P3434"/>
      <c r="T3434">
        <v>2388</v>
      </c>
      <c r="U3434" s="7">
        <v>3</v>
      </c>
      <c r="V3434" t="s">
        <v>613</v>
      </c>
      <c r="W3434" s="257" t="s">
        <v>957</v>
      </c>
      <c r="X3434" t="s">
        <v>958</v>
      </c>
      <c r="Y3434" s="316" t="s">
        <v>326</v>
      </c>
      <c r="Z3434" s="8">
        <v>2</v>
      </c>
      <c r="AA3434" s="202" t="str">
        <f t="shared" si="54"/>
        <v>Соль</v>
      </c>
    </row>
    <row r="3435" spans="1:27" ht="15" customHeight="1" x14ac:dyDescent="0.25">
      <c r="A3435" t="s">
        <v>153</v>
      </c>
      <c r="L3435"/>
      <c r="M3435"/>
      <c r="N3435"/>
      <c r="O3435"/>
      <c r="P3435"/>
      <c r="T3435">
        <v>2389</v>
      </c>
      <c r="U3435" s="7">
        <v>3</v>
      </c>
      <c r="V3435" t="s">
        <v>613</v>
      </c>
      <c r="W3435" s="257" t="s">
        <v>957</v>
      </c>
      <c r="X3435" t="s">
        <v>958</v>
      </c>
      <c r="Y3435" s="316" t="s">
        <v>484</v>
      </c>
      <c r="Z3435" s="8">
        <v>0.1</v>
      </c>
      <c r="AA3435" s="202" t="str">
        <f t="shared" si="54"/>
        <v>Перец черный</v>
      </c>
    </row>
    <row r="3436" spans="1:27" ht="15" customHeight="1" x14ac:dyDescent="0.25">
      <c r="A3436" t="s">
        <v>153</v>
      </c>
      <c r="L3436"/>
      <c r="M3436"/>
      <c r="N3436"/>
      <c r="O3436"/>
      <c r="P3436"/>
      <c r="T3436">
        <v>2390</v>
      </c>
      <c r="U3436" s="7">
        <v>3</v>
      </c>
      <c r="V3436" t="s">
        <v>613</v>
      </c>
      <c r="W3436" s="257" t="s">
        <v>957</v>
      </c>
      <c r="X3436" t="s">
        <v>958</v>
      </c>
      <c r="Y3436" s="316" t="s">
        <v>318</v>
      </c>
      <c r="Z3436" s="8">
        <v>77</v>
      </c>
      <c r="AA3436" s="202" t="str">
        <f t="shared" si="54"/>
        <v>Фасоль</v>
      </c>
    </row>
    <row r="3437" spans="1:27" ht="15" customHeight="1" x14ac:dyDescent="0.25">
      <c r="A3437" t="s">
        <v>153</v>
      </c>
      <c r="L3437"/>
      <c r="M3437"/>
      <c r="N3437"/>
      <c r="O3437"/>
      <c r="P3437"/>
      <c r="T3437">
        <v>2391</v>
      </c>
      <c r="U3437" s="7">
        <v>3</v>
      </c>
      <c r="V3437" t="s">
        <v>613</v>
      </c>
      <c r="W3437" s="257" t="s">
        <v>957</v>
      </c>
      <c r="X3437" t="s">
        <v>958</v>
      </c>
      <c r="Y3437" s="316" t="s">
        <v>74</v>
      </c>
      <c r="Z3437" s="8">
        <v>0.05</v>
      </c>
      <c r="AA3437" s="202" t="str">
        <f t="shared" si="54"/>
        <v>Лавровый лист</v>
      </c>
    </row>
    <row r="3438" spans="1:27" ht="15" customHeight="1" x14ac:dyDescent="0.25">
      <c r="A3438" t="s">
        <v>153</v>
      </c>
      <c r="L3438"/>
      <c r="M3438"/>
      <c r="N3438"/>
      <c r="O3438"/>
      <c r="P3438"/>
      <c r="T3438">
        <v>2392</v>
      </c>
      <c r="U3438" s="7">
        <v>3</v>
      </c>
      <c r="V3438" t="s">
        <v>613</v>
      </c>
      <c r="W3438" s="257" t="s">
        <v>957</v>
      </c>
      <c r="X3438" t="s">
        <v>958</v>
      </c>
      <c r="Y3438" s="316" t="s">
        <v>109</v>
      </c>
      <c r="Z3438" s="8">
        <v>415</v>
      </c>
      <c r="AA3438" s="202" t="str">
        <f t="shared" si="54"/>
        <v>ОКГ</v>
      </c>
    </row>
    <row r="3439" spans="1:27" ht="15" customHeight="1" x14ac:dyDescent="0.25">
      <c r="A3439" t="s">
        <v>153</v>
      </c>
      <c r="L3439"/>
      <c r="M3439"/>
      <c r="N3439"/>
      <c r="O3439"/>
      <c r="P3439"/>
      <c r="T3439">
        <v>2393</v>
      </c>
      <c r="U3439" s="7">
        <v>3</v>
      </c>
      <c r="V3439" t="s">
        <v>613</v>
      </c>
      <c r="W3439" s="257" t="s">
        <v>957</v>
      </c>
      <c r="X3439" t="s">
        <v>958</v>
      </c>
      <c r="Y3439" s="316" t="s">
        <v>558</v>
      </c>
      <c r="Z3439" s="8">
        <v>198.2</v>
      </c>
      <c r="AA3439" s="202" t="str">
        <f t="shared" si="54"/>
        <v>Общая масса готового блюда, г</v>
      </c>
    </row>
    <row r="3440" spans="1:27" ht="15" customHeight="1" x14ac:dyDescent="0.25">
      <c r="A3440" t="s">
        <v>153</v>
      </c>
      <c r="L3440"/>
      <c r="M3440"/>
      <c r="N3440"/>
      <c r="O3440"/>
      <c r="P3440"/>
      <c r="T3440">
        <v>2393</v>
      </c>
      <c r="U3440" s="7">
        <v>3</v>
      </c>
      <c r="V3440" t="s">
        <v>613</v>
      </c>
      <c r="W3440" s="257" t="s">
        <v>957</v>
      </c>
      <c r="X3440" t="s">
        <v>958</v>
      </c>
      <c r="Y3440" s="316" t="s">
        <v>1214</v>
      </c>
      <c r="Z3440" s="8">
        <v>75</v>
      </c>
      <c r="AA3440" s="202" t="str">
        <f t="shared" si="54"/>
        <v>Масса мясных и рыбных порций, г</v>
      </c>
    </row>
    <row r="3441" spans="1:27" ht="15" customHeight="1" x14ac:dyDescent="0.25">
      <c r="A3441" t="s">
        <v>153</v>
      </c>
      <c r="L3441"/>
      <c r="M3441"/>
      <c r="N3441"/>
      <c r="O3441"/>
      <c r="P3441"/>
      <c r="T3441">
        <v>2465</v>
      </c>
      <c r="U3441" s="7">
        <v>3</v>
      </c>
      <c r="V3441" t="s">
        <v>613</v>
      </c>
      <c r="W3441" s="257" t="s">
        <v>959</v>
      </c>
      <c r="X3441" t="s">
        <v>960</v>
      </c>
      <c r="Y3441" t="s">
        <v>65</v>
      </c>
      <c r="Z3441" s="8">
        <v>100</v>
      </c>
      <c r="AA3441" s="202" t="str">
        <f t="shared" si="54"/>
        <v>Мясо птицы</v>
      </c>
    </row>
    <row r="3442" spans="1:27" ht="15" customHeight="1" x14ac:dyDescent="0.25">
      <c r="A3442" t="s">
        <v>153</v>
      </c>
      <c r="L3442"/>
      <c r="M3442"/>
      <c r="N3442"/>
      <c r="O3442"/>
      <c r="P3442"/>
      <c r="T3442">
        <v>2465</v>
      </c>
      <c r="U3442" s="7">
        <v>3</v>
      </c>
      <c r="V3442" t="s">
        <v>613</v>
      </c>
      <c r="W3442" s="257" t="s">
        <v>959</v>
      </c>
      <c r="X3442" t="s">
        <v>960</v>
      </c>
      <c r="Y3442" s="316" t="s">
        <v>61</v>
      </c>
      <c r="Z3442" s="8">
        <v>4</v>
      </c>
      <c r="AA3442" s="202" t="str">
        <f t="shared" si="54"/>
        <v>Масло растительное</v>
      </c>
    </row>
    <row r="3443" spans="1:27" ht="15" customHeight="1" x14ac:dyDescent="0.25">
      <c r="A3443" t="s">
        <v>153</v>
      </c>
      <c r="L3443"/>
      <c r="M3443"/>
      <c r="N3443"/>
      <c r="O3443"/>
      <c r="P3443"/>
      <c r="T3443">
        <v>2465</v>
      </c>
      <c r="U3443" s="7">
        <v>3</v>
      </c>
      <c r="V3443" t="s">
        <v>613</v>
      </c>
      <c r="W3443" s="257" t="s">
        <v>959</v>
      </c>
      <c r="X3443" t="s">
        <v>960</v>
      </c>
      <c r="Y3443" s="316" t="s">
        <v>326</v>
      </c>
      <c r="Z3443" s="8">
        <v>3</v>
      </c>
      <c r="AA3443" s="202" t="str">
        <f t="shared" si="54"/>
        <v>Соль</v>
      </c>
    </row>
    <row r="3444" spans="1:27" ht="15" customHeight="1" x14ac:dyDescent="0.25">
      <c r="A3444" t="s">
        <v>153</v>
      </c>
      <c r="L3444"/>
      <c r="M3444"/>
      <c r="N3444"/>
      <c r="O3444"/>
      <c r="P3444"/>
      <c r="T3444">
        <v>2465</v>
      </c>
      <c r="U3444" s="7">
        <v>3</v>
      </c>
      <c r="V3444" t="s">
        <v>613</v>
      </c>
      <c r="W3444" s="257" t="s">
        <v>959</v>
      </c>
      <c r="X3444" t="s">
        <v>960</v>
      </c>
      <c r="Y3444" s="316" t="s">
        <v>484</v>
      </c>
      <c r="Z3444" s="8">
        <v>0.5</v>
      </c>
      <c r="AA3444" s="202" t="str">
        <f t="shared" si="54"/>
        <v>Перец черный</v>
      </c>
    </row>
    <row r="3445" spans="1:27" ht="15" customHeight="1" x14ac:dyDescent="0.25">
      <c r="A3445" t="s">
        <v>153</v>
      </c>
      <c r="L3445"/>
      <c r="M3445"/>
      <c r="N3445"/>
      <c r="O3445"/>
      <c r="P3445"/>
      <c r="T3445">
        <v>2465</v>
      </c>
      <c r="U3445" s="7">
        <v>3</v>
      </c>
      <c r="V3445" t="s">
        <v>613</v>
      </c>
      <c r="W3445" s="257" t="s">
        <v>959</v>
      </c>
      <c r="X3445" t="s">
        <v>960</v>
      </c>
      <c r="Y3445" t="s">
        <v>76</v>
      </c>
      <c r="Z3445" s="8">
        <v>2</v>
      </c>
      <c r="AA3445" s="202" t="str">
        <f t="shared" si="54"/>
        <v>Томат-паста</v>
      </c>
    </row>
    <row r="3446" spans="1:27" ht="15" customHeight="1" x14ac:dyDescent="0.25">
      <c r="A3446" t="s">
        <v>153</v>
      </c>
      <c r="L3446"/>
      <c r="M3446"/>
      <c r="N3446"/>
      <c r="O3446"/>
      <c r="P3446"/>
      <c r="T3446">
        <v>2465</v>
      </c>
      <c r="U3446" s="7">
        <v>3</v>
      </c>
      <c r="V3446" t="s">
        <v>613</v>
      </c>
      <c r="W3446" s="257" t="s">
        <v>959</v>
      </c>
      <c r="X3446" t="s">
        <v>960</v>
      </c>
      <c r="Y3446" s="316" t="s">
        <v>434</v>
      </c>
      <c r="Z3446" s="8">
        <v>4</v>
      </c>
      <c r="AA3446" s="202" t="str">
        <f t="shared" si="54"/>
        <v>Мука пшеничная 1 с</v>
      </c>
    </row>
    <row r="3447" spans="1:27" ht="15" customHeight="1" x14ac:dyDescent="0.25">
      <c r="A3447" t="s">
        <v>153</v>
      </c>
      <c r="L3447"/>
      <c r="M3447"/>
      <c r="N3447"/>
      <c r="O3447"/>
      <c r="P3447"/>
      <c r="T3447">
        <v>2465</v>
      </c>
      <c r="U3447" s="7">
        <v>3</v>
      </c>
      <c r="V3447" t="s">
        <v>613</v>
      </c>
      <c r="W3447" s="257" t="s">
        <v>959</v>
      </c>
      <c r="X3447" t="s">
        <v>960</v>
      </c>
      <c r="Y3447" s="316" t="s">
        <v>32</v>
      </c>
      <c r="Z3447" s="8">
        <v>20</v>
      </c>
      <c r="AA3447" s="202" t="str">
        <f t="shared" si="54"/>
        <v>Лук репчатый</v>
      </c>
    </row>
    <row r="3448" spans="1:27" ht="15" customHeight="1" x14ac:dyDescent="0.25">
      <c r="A3448" t="s">
        <v>153</v>
      </c>
      <c r="L3448"/>
      <c r="M3448"/>
      <c r="N3448"/>
      <c r="O3448"/>
      <c r="P3448"/>
      <c r="T3448">
        <v>2465</v>
      </c>
      <c r="U3448" s="7">
        <v>3</v>
      </c>
      <c r="V3448" t="s">
        <v>613</v>
      </c>
      <c r="W3448" s="257" t="s">
        <v>959</v>
      </c>
      <c r="X3448" t="s">
        <v>960</v>
      </c>
      <c r="Y3448" s="316" t="s">
        <v>54</v>
      </c>
      <c r="Z3448" s="8">
        <v>20</v>
      </c>
      <c r="AA3448" s="202" t="str">
        <f t="shared" si="54"/>
        <v>Сметана</v>
      </c>
    </row>
    <row r="3449" spans="1:27" ht="15" customHeight="1" x14ac:dyDescent="0.25">
      <c r="A3449" t="s">
        <v>153</v>
      </c>
      <c r="L3449"/>
      <c r="M3449"/>
      <c r="N3449"/>
      <c r="O3449"/>
      <c r="P3449"/>
      <c r="T3449">
        <v>2465</v>
      </c>
      <c r="U3449" s="7">
        <v>3</v>
      </c>
      <c r="V3449" t="s">
        <v>613</v>
      </c>
      <c r="W3449" s="257" t="s">
        <v>959</v>
      </c>
      <c r="X3449" t="s">
        <v>960</v>
      </c>
      <c r="Y3449" s="316" t="s">
        <v>1215</v>
      </c>
      <c r="Z3449" s="8">
        <v>91</v>
      </c>
      <c r="AA3449" s="202" t="str">
        <f t="shared" si="54"/>
        <v>Общая масса готового блюда, г</v>
      </c>
    </row>
    <row r="3450" spans="1:27" ht="15" customHeight="1" x14ac:dyDescent="0.25">
      <c r="A3450" t="s">
        <v>153</v>
      </c>
      <c r="L3450"/>
      <c r="M3450"/>
      <c r="N3450"/>
      <c r="O3450"/>
      <c r="P3450"/>
      <c r="T3450">
        <v>2465</v>
      </c>
      <c r="U3450" s="7">
        <v>3</v>
      </c>
      <c r="V3450" t="s">
        <v>613</v>
      </c>
      <c r="W3450" s="257" t="s">
        <v>959</v>
      </c>
      <c r="X3450" t="s">
        <v>960</v>
      </c>
      <c r="Y3450" s="316" t="s">
        <v>1214</v>
      </c>
      <c r="Z3450" s="8">
        <v>41</v>
      </c>
      <c r="AA3450" s="202" t="str">
        <f t="shared" si="54"/>
        <v>Масса мясных и рыбных порций, г</v>
      </c>
    </row>
    <row r="3451" spans="1:27" ht="15" customHeight="1" x14ac:dyDescent="0.25">
      <c r="A3451" t="s">
        <v>153</v>
      </c>
      <c r="L3451"/>
      <c r="M3451"/>
      <c r="N3451"/>
      <c r="O3451"/>
      <c r="P3451"/>
      <c r="T3451">
        <v>2893</v>
      </c>
      <c r="U3451" s="7">
        <v>3</v>
      </c>
      <c r="V3451" t="s">
        <v>1192</v>
      </c>
      <c r="W3451" s="257" t="s">
        <v>50</v>
      </c>
      <c r="X3451" t="s">
        <v>50</v>
      </c>
      <c r="Y3451" s="316" t="s">
        <v>51</v>
      </c>
      <c r="Z3451" s="8">
        <v>50</v>
      </c>
      <c r="AA3451" s="202" t="str">
        <f t="shared" si="54"/>
        <v>Хлеб дарницкий</v>
      </c>
    </row>
    <row r="3452" spans="1:27" ht="15" customHeight="1" x14ac:dyDescent="0.25">
      <c r="A3452" t="s">
        <v>153</v>
      </c>
      <c r="L3452"/>
      <c r="M3452"/>
      <c r="N3452"/>
      <c r="O3452"/>
      <c r="P3452"/>
      <c r="T3452">
        <v>2894</v>
      </c>
      <c r="U3452" s="7">
        <v>3</v>
      </c>
      <c r="V3452" t="s">
        <v>1192</v>
      </c>
      <c r="W3452" s="257" t="s">
        <v>50</v>
      </c>
      <c r="X3452" t="s">
        <v>50</v>
      </c>
      <c r="Y3452" s="316" t="s">
        <v>411</v>
      </c>
      <c r="Z3452" s="8">
        <v>100</v>
      </c>
      <c r="AA3452" s="202" t="str">
        <f t="shared" si="54"/>
        <v>Хлеб из муки пш. 1 сорта</v>
      </c>
    </row>
    <row r="3453" spans="1:27" ht="15" customHeight="1" x14ac:dyDescent="0.25">
      <c r="A3453" t="s">
        <v>153</v>
      </c>
      <c r="L3453"/>
      <c r="M3453"/>
      <c r="N3453"/>
      <c r="O3453"/>
      <c r="P3453"/>
      <c r="T3453">
        <v>2895</v>
      </c>
      <c r="U3453" s="7">
        <v>3</v>
      </c>
      <c r="V3453" t="s">
        <v>1192</v>
      </c>
      <c r="W3453" s="257" t="s">
        <v>50</v>
      </c>
      <c r="X3453" t="s">
        <v>50</v>
      </c>
      <c r="Y3453" s="316" t="s">
        <v>558</v>
      </c>
      <c r="Z3453" s="8">
        <v>150</v>
      </c>
      <c r="AA3453" s="202" t="str">
        <f t="shared" si="54"/>
        <v>Общая масса готового блюда, г</v>
      </c>
    </row>
    <row r="3454" spans="1:27" ht="15" customHeight="1" x14ac:dyDescent="0.25">
      <c r="A3454" t="s">
        <v>153</v>
      </c>
      <c r="L3454"/>
      <c r="M3454"/>
      <c r="N3454"/>
      <c r="O3454"/>
      <c r="P3454"/>
      <c r="T3454">
        <v>471</v>
      </c>
      <c r="U3454" s="7">
        <v>3</v>
      </c>
      <c r="V3454" t="s">
        <v>1147</v>
      </c>
      <c r="W3454" s="257" t="s">
        <v>1163</v>
      </c>
      <c r="X3454" t="s">
        <v>1164</v>
      </c>
      <c r="Y3454" s="316" t="s">
        <v>487</v>
      </c>
      <c r="Z3454" s="8">
        <v>1</v>
      </c>
      <c r="AA3454" s="202" t="str">
        <f t="shared" si="54"/>
        <v>Чай</v>
      </c>
    </row>
    <row r="3455" spans="1:27" ht="15" customHeight="1" x14ac:dyDescent="0.25">
      <c r="A3455" t="s">
        <v>153</v>
      </c>
      <c r="L3455"/>
      <c r="M3455"/>
      <c r="N3455"/>
      <c r="O3455"/>
      <c r="P3455"/>
      <c r="T3455">
        <v>472</v>
      </c>
      <c r="U3455" s="7">
        <v>3</v>
      </c>
      <c r="V3455" t="s">
        <v>1147</v>
      </c>
      <c r="W3455" s="257" t="s">
        <v>1163</v>
      </c>
      <c r="X3455" t="s">
        <v>1164</v>
      </c>
      <c r="Y3455" s="316" t="s">
        <v>53</v>
      </c>
      <c r="Z3455" s="8">
        <v>25</v>
      </c>
      <c r="AA3455" s="202" t="str">
        <f t="shared" si="54"/>
        <v>Сахар</v>
      </c>
    </row>
    <row r="3456" spans="1:27" ht="15" customHeight="1" x14ac:dyDescent="0.25">
      <c r="A3456" t="s">
        <v>153</v>
      </c>
      <c r="L3456"/>
      <c r="M3456"/>
      <c r="N3456"/>
      <c r="O3456"/>
      <c r="P3456"/>
      <c r="T3456">
        <v>473</v>
      </c>
      <c r="U3456" s="7">
        <v>3</v>
      </c>
      <c r="V3456" t="s">
        <v>1147</v>
      </c>
      <c r="W3456" s="257" t="s">
        <v>1163</v>
      </c>
      <c r="X3456" t="s">
        <v>1164</v>
      </c>
      <c r="Y3456" s="316" t="s">
        <v>330</v>
      </c>
      <c r="Z3456" s="8">
        <v>250</v>
      </c>
      <c r="AA3456" s="202" t="str">
        <f t="shared" si="54"/>
        <v>Вода</v>
      </c>
    </row>
    <row r="3457" spans="1:27" ht="15" customHeight="1" x14ac:dyDescent="0.25">
      <c r="A3457" t="s">
        <v>153</v>
      </c>
      <c r="L3457"/>
      <c r="M3457"/>
      <c r="N3457"/>
      <c r="O3457"/>
      <c r="P3457"/>
      <c r="T3457">
        <v>474</v>
      </c>
      <c r="U3457" s="7">
        <v>3</v>
      </c>
      <c r="V3457" t="s">
        <v>1147</v>
      </c>
      <c r="W3457" s="257" t="s">
        <v>1163</v>
      </c>
      <c r="X3457" t="s">
        <v>1164</v>
      </c>
      <c r="Y3457" s="316" t="s">
        <v>558</v>
      </c>
      <c r="Z3457" s="8">
        <v>250</v>
      </c>
      <c r="AA3457" s="202" t="str">
        <f t="shared" si="54"/>
        <v>Общая масса готового блюда, г</v>
      </c>
    </row>
    <row r="3458" spans="1:27" ht="15" customHeight="1" x14ac:dyDescent="0.25">
      <c r="A3458" t="s">
        <v>153</v>
      </c>
      <c r="L3458"/>
      <c r="M3458"/>
      <c r="N3458"/>
      <c r="O3458"/>
      <c r="P3458"/>
      <c r="T3458">
        <v>2191</v>
      </c>
      <c r="U3458" s="7">
        <v>3</v>
      </c>
      <c r="V3458" t="s">
        <v>613</v>
      </c>
      <c r="W3458" s="257" t="s">
        <v>961</v>
      </c>
      <c r="X3458" t="s">
        <v>962</v>
      </c>
      <c r="Y3458" s="316" t="s">
        <v>32</v>
      </c>
      <c r="Z3458" s="8">
        <v>10</v>
      </c>
      <c r="AA3458" s="202" t="str">
        <f t="shared" ref="AA3458:AA3521" si="55">VLOOKUP(Y3458,O:P,2,FALSE)</f>
        <v>Лук репчатый</v>
      </c>
    </row>
    <row r="3459" spans="1:27" ht="15" customHeight="1" x14ac:dyDescent="0.25">
      <c r="A3459" t="s">
        <v>153</v>
      </c>
      <c r="L3459"/>
      <c r="M3459"/>
      <c r="N3459"/>
      <c r="O3459"/>
      <c r="P3459"/>
      <c r="T3459">
        <v>2192</v>
      </c>
      <c r="U3459" s="7">
        <v>3</v>
      </c>
      <c r="V3459" t="s">
        <v>613</v>
      </c>
      <c r="W3459" s="257" t="s">
        <v>961</v>
      </c>
      <c r="X3459" t="s">
        <v>962</v>
      </c>
      <c r="Y3459" s="316" t="s">
        <v>76</v>
      </c>
      <c r="Z3459" s="8">
        <v>3</v>
      </c>
      <c r="AA3459" s="202" t="str">
        <f t="shared" si="55"/>
        <v>Томат-паста</v>
      </c>
    </row>
    <row r="3460" spans="1:27" ht="15" customHeight="1" x14ac:dyDescent="0.25">
      <c r="A3460" t="s">
        <v>153</v>
      </c>
      <c r="L3460"/>
      <c r="M3460"/>
      <c r="N3460"/>
      <c r="O3460"/>
      <c r="P3460"/>
      <c r="T3460">
        <v>2193</v>
      </c>
      <c r="U3460" s="7">
        <v>3</v>
      </c>
      <c r="V3460" t="s">
        <v>613</v>
      </c>
      <c r="W3460" s="257" t="s">
        <v>961</v>
      </c>
      <c r="X3460" t="s">
        <v>962</v>
      </c>
      <c r="Y3460" s="316" t="s">
        <v>49</v>
      </c>
      <c r="Z3460" s="8">
        <v>2.5</v>
      </c>
      <c r="AA3460" s="202" t="str">
        <f t="shared" si="55"/>
        <v>Чеснок</v>
      </c>
    </row>
    <row r="3461" spans="1:27" ht="15" customHeight="1" x14ac:dyDescent="0.25">
      <c r="A3461" t="s">
        <v>153</v>
      </c>
      <c r="L3461"/>
      <c r="M3461"/>
      <c r="N3461"/>
      <c r="O3461"/>
      <c r="P3461"/>
      <c r="T3461">
        <v>2194</v>
      </c>
      <c r="U3461" s="7">
        <v>3</v>
      </c>
      <c r="V3461" t="s">
        <v>613</v>
      </c>
      <c r="W3461" s="257" t="s">
        <v>961</v>
      </c>
      <c r="X3461" t="s">
        <v>962</v>
      </c>
      <c r="Y3461" s="316" t="s">
        <v>434</v>
      </c>
      <c r="Z3461" s="8">
        <v>2</v>
      </c>
      <c r="AA3461" s="202" t="str">
        <f t="shared" si="55"/>
        <v>Мука пшеничная 1 с</v>
      </c>
    </row>
    <row r="3462" spans="1:27" ht="15" customHeight="1" x14ac:dyDescent="0.25">
      <c r="A3462" t="s">
        <v>153</v>
      </c>
      <c r="L3462"/>
      <c r="M3462"/>
      <c r="N3462"/>
      <c r="O3462"/>
      <c r="P3462"/>
      <c r="T3462">
        <v>2195</v>
      </c>
      <c r="U3462" s="7">
        <v>3</v>
      </c>
      <c r="V3462" t="s">
        <v>613</v>
      </c>
      <c r="W3462" s="257" t="s">
        <v>961</v>
      </c>
      <c r="X3462" t="s">
        <v>962</v>
      </c>
      <c r="Y3462" s="316" t="s">
        <v>70</v>
      </c>
      <c r="Z3462" s="8">
        <v>3</v>
      </c>
      <c r="AA3462" s="202" t="str">
        <f t="shared" si="55"/>
        <v>Зелень</v>
      </c>
    </row>
    <row r="3463" spans="1:27" ht="15" customHeight="1" x14ac:dyDescent="0.25">
      <c r="A3463" t="s">
        <v>153</v>
      </c>
      <c r="L3463"/>
      <c r="M3463"/>
      <c r="N3463"/>
      <c r="O3463"/>
      <c r="P3463"/>
      <c r="T3463">
        <v>2196</v>
      </c>
      <c r="U3463" s="7">
        <v>3</v>
      </c>
      <c r="V3463" t="s">
        <v>613</v>
      </c>
      <c r="W3463" s="257" t="s">
        <v>961</v>
      </c>
      <c r="X3463" t="s">
        <v>962</v>
      </c>
      <c r="Y3463" s="316" t="s">
        <v>61</v>
      </c>
      <c r="Z3463" s="8">
        <v>5</v>
      </c>
      <c r="AA3463" s="202" t="str">
        <f t="shared" si="55"/>
        <v>Масло растительное</v>
      </c>
    </row>
    <row r="3464" spans="1:27" ht="15" customHeight="1" x14ac:dyDescent="0.25">
      <c r="A3464" t="s">
        <v>153</v>
      </c>
      <c r="L3464"/>
      <c r="M3464"/>
      <c r="N3464"/>
      <c r="O3464"/>
      <c r="P3464"/>
      <c r="T3464">
        <v>2197</v>
      </c>
      <c r="U3464" s="7">
        <v>3</v>
      </c>
      <c r="V3464" t="s">
        <v>613</v>
      </c>
      <c r="W3464" s="257" t="s">
        <v>961</v>
      </c>
      <c r="X3464" t="s">
        <v>962</v>
      </c>
      <c r="Y3464" s="316" t="s">
        <v>326</v>
      </c>
      <c r="Z3464" s="8">
        <v>2</v>
      </c>
      <c r="AA3464" s="202" t="str">
        <f t="shared" si="55"/>
        <v>Соль</v>
      </c>
    </row>
    <row r="3465" spans="1:27" ht="15" customHeight="1" x14ac:dyDescent="0.25">
      <c r="A3465" t="s">
        <v>153</v>
      </c>
      <c r="L3465"/>
      <c r="M3465"/>
      <c r="N3465"/>
      <c r="O3465"/>
      <c r="P3465"/>
      <c r="T3465">
        <v>2198</v>
      </c>
      <c r="U3465" s="7">
        <v>3</v>
      </c>
      <c r="V3465" t="s">
        <v>613</v>
      </c>
      <c r="W3465" s="257" t="s">
        <v>961</v>
      </c>
      <c r="X3465" t="s">
        <v>962</v>
      </c>
      <c r="Y3465" s="316" t="s">
        <v>484</v>
      </c>
      <c r="Z3465" s="8">
        <v>0.01</v>
      </c>
      <c r="AA3465" s="202" t="str">
        <f t="shared" si="55"/>
        <v>Перец черный</v>
      </c>
    </row>
    <row r="3466" spans="1:27" ht="15" customHeight="1" x14ac:dyDescent="0.25">
      <c r="A3466" t="s">
        <v>153</v>
      </c>
      <c r="L3466"/>
      <c r="M3466"/>
      <c r="N3466"/>
      <c r="O3466"/>
      <c r="P3466"/>
      <c r="T3466">
        <v>2199</v>
      </c>
      <c r="U3466" s="7">
        <v>3</v>
      </c>
      <c r="V3466" t="s">
        <v>613</v>
      </c>
      <c r="W3466" s="257" t="s">
        <v>961</v>
      </c>
      <c r="X3466" t="s">
        <v>962</v>
      </c>
      <c r="Y3466" s="316" t="s">
        <v>1215</v>
      </c>
      <c r="Z3466" s="8">
        <v>61.3</v>
      </c>
      <c r="AA3466" s="202" t="str">
        <f t="shared" si="55"/>
        <v>Общая масса готового блюда, г</v>
      </c>
    </row>
    <row r="3467" spans="1:27" ht="15" customHeight="1" x14ac:dyDescent="0.25">
      <c r="A3467" t="s">
        <v>153</v>
      </c>
      <c r="L3467"/>
      <c r="M3467"/>
      <c r="N3467"/>
      <c r="O3467"/>
      <c r="P3467"/>
      <c r="T3467">
        <v>2199</v>
      </c>
      <c r="U3467" s="7">
        <v>3</v>
      </c>
      <c r="V3467" t="s">
        <v>613</v>
      </c>
      <c r="W3467" s="257" t="s">
        <v>961</v>
      </c>
      <c r="X3467" t="s">
        <v>962</v>
      </c>
      <c r="Y3467" s="316" t="s">
        <v>1214</v>
      </c>
      <c r="Z3467" s="8">
        <v>61.3</v>
      </c>
      <c r="AA3467" s="202" t="str">
        <f t="shared" si="55"/>
        <v>Масса мясных и рыбных порций, г</v>
      </c>
    </row>
    <row r="3468" spans="1:27" ht="15" customHeight="1" x14ac:dyDescent="0.25">
      <c r="A3468" t="s">
        <v>153</v>
      </c>
      <c r="L3468"/>
      <c r="M3468"/>
      <c r="N3468"/>
      <c r="O3468"/>
      <c r="P3468"/>
      <c r="T3468">
        <v>2465</v>
      </c>
      <c r="U3468" s="7">
        <v>3</v>
      </c>
      <c r="V3468" t="s">
        <v>613</v>
      </c>
      <c r="W3468" s="257" t="s">
        <v>627</v>
      </c>
      <c r="X3468" t="s">
        <v>963</v>
      </c>
      <c r="Y3468" s="316" t="s">
        <v>462</v>
      </c>
      <c r="Z3468" s="8">
        <v>100</v>
      </c>
      <c r="AA3468" s="202" t="str">
        <f t="shared" si="55"/>
        <v>Свинина на кости</v>
      </c>
    </row>
    <row r="3469" spans="1:27" ht="15" customHeight="1" x14ac:dyDescent="0.25">
      <c r="A3469" t="s">
        <v>153</v>
      </c>
      <c r="L3469"/>
      <c r="M3469"/>
      <c r="N3469"/>
      <c r="O3469"/>
      <c r="P3469"/>
      <c r="T3469">
        <v>2465</v>
      </c>
      <c r="U3469" s="7">
        <v>3</v>
      </c>
      <c r="V3469" t="s">
        <v>613</v>
      </c>
      <c r="W3469" s="257" t="s">
        <v>627</v>
      </c>
      <c r="X3469" t="s">
        <v>963</v>
      </c>
      <c r="Y3469" s="316" t="s">
        <v>61</v>
      </c>
      <c r="Z3469" s="8">
        <v>5</v>
      </c>
      <c r="AA3469" s="202" t="str">
        <f t="shared" si="55"/>
        <v>Масло растительное</v>
      </c>
    </row>
    <row r="3470" spans="1:27" ht="15" customHeight="1" x14ac:dyDescent="0.25">
      <c r="A3470" t="s">
        <v>153</v>
      </c>
      <c r="L3470"/>
      <c r="M3470"/>
      <c r="N3470"/>
      <c r="O3470"/>
      <c r="P3470"/>
      <c r="T3470">
        <v>2465</v>
      </c>
      <c r="U3470" s="7">
        <v>3</v>
      </c>
      <c r="V3470" t="s">
        <v>613</v>
      </c>
      <c r="W3470" s="257" t="s">
        <v>627</v>
      </c>
      <c r="X3470" t="s">
        <v>963</v>
      </c>
      <c r="Y3470" s="316" t="s">
        <v>326</v>
      </c>
      <c r="Z3470" s="8">
        <v>2</v>
      </c>
      <c r="AA3470" s="202" t="str">
        <f t="shared" si="55"/>
        <v>Соль</v>
      </c>
    </row>
    <row r="3471" spans="1:27" ht="15" customHeight="1" x14ac:dyDescent="0.25">
      <c r="A3471" t="s">
        <v>153</v>
      </c>
      <c r="L3471"/>
      <c r="M3471"/>
      <c r="N3471"/>
      <c r="O3471"/>
      <c r="P3471"/>
      <c r="T3471">
        <v>2465</v>
      </c>
      <c r="U3471" s="7">
        <v>3</v>
      </c>
      <c r="V3471" t="s">
        <v>613</v>
      </c>
      <c r="W3471" s="257" t="s">
        <v>627</v>
      </c>
      <c r="X3471" t="s">
        <v>963</v>
      </c>
      <c r="Y3471" s="316" t="s">
        <v>484</v>
      </c>
      <c r="Z3471" s="8">
        <v>1</v>
      </c>
      <c r="AA3471" s="202" t="str">
        <f t="shared" si="55"/>
        <v>Перец черный</v>
      </c>
    </row>
    <row r="3472" spans="1:27" ht="15" customHeight="1" x14ac:dyDescent="0.25">
      <c r="A3472" t="s">
        <v>153</v>
      </c>
      <c r="L3472"/>
      <c r="M3472"/>
      <c r="N3472"/>
      <c r="O3472"/>
      <c r="P3472"/>
      <c r="T3472">
        <v>2465</v>
      </c>
      <c r="U3472" s="7">
        <v>3</v>
      </c>
      <c r="V3472" t="s">
        <v>613</v>
      </c>
      <c r="W3472" s="257" t="s">
        <v>627</v>
      </c>
      <c r="X3472" t="s">
        <v>963</v>
      </c>
      <c r="Y3472" t="s">
        <v>436</v>
      </c>
      <c r="Z3472" s="8">
        <v>6</v>
      </c>
      <c r="AA3472" s="202" t="str">
        <f t="shared" si="55"/>
        <v>Сухари</v>
      </c>
    </row>
    <row r="3473" spans="1:27" ht="15" customHeight="1" x14ac:dyDescent="0.25">
      <c r="A3473" t="s">
        <v>153</v>
      </c>
      <c r="L3473"/>
      <c r="M3473"/>
      <c r="N3473"/>
      <c r="O3473"/>
      <c r="P3473"/>
      <c r="T3473">
        <v>2465</v>
      </c>
      <c r="U3473" s="7">
        <v>3</v>
      </c>
      <c r="V3473" t="s">
        <v>613</v>
      </c>
      <c r="W3473" s="257" t="s">
        <v>627</v>
      </c>
      <c r="X3473" t="s">
        <v>963</v>
      </c>
      <c r="Y3473" s="316" t="s">
        <v>79</v>
      </c>
      <c r="Z3473" s="8">
        <v>0.05</v>
      </c>
      <c r="AA3473" s="202" t="str">
        <f t="shared" si="55"/>
        <v>Яйцо (шт)</v>
      </c>
    </row>
    <row r="3474" spans="1:27" ht="15" customHeight="1" x14ac:dyDescent="0.25">
      <c r="A3474" t="s">
        <v>153</v>
      </c>
      <c r="L3474"/>
      <c r="M3474"/>
      <c r="N3474"/>
      <c r="O3474"/>
      <c r="P3474"/>
      <c r="T3474">
        <v>2465</v>
      </c>
      <c r="U3474" s="7">
        <v>3</v>
      </c>
      <c r="V3474" t="s">
        <v>613</v>
      </c>
      <c r="W3474" s="257" t="s">
        <v>627</v>
      </c>
      <c r="X3474" t="s">
        <v>963</v>
      </c>
      <c r="Y3474" s="316" t="s">
        <v>558</v>
      </c>
      <c r="Z3474" s="8">
        <v>68</v>
      </c>
      <c r="AA3474" s="202" t="str">
        <f t="shared" si="55"/>
        <v>Общая масса готового блюда, г</v>
      </c>
    </row>
    <row r="3475" spans="1:27" ht="15" customHeight="1" x14ac:dyDescent="0.25">
      <c r="A3475" t="s">
        <v>153</v>
      </c>
      <c r="L3475"/>
      <c r="M3475"/>
      <c r="N3475"/>
      <c r="O3475"/>
      <c r="P3475"/>
      <c r="T3475">
        <v>2465</v>
      </c>
      <c r="U3475" s="7">
        <v>3</v>
      </c>
      <c r="V3475" t="s">
        <v>613</v>
      </c>
      <c r="W3475" s="257" t="s">
        <v>627</v>
      </c>
      <c r="X3475" t="s">
        <v>963</v>
      </c>
      <c r="Y3475" s="316" t="s">
        <v>1214</v>
      </c>
      <c r="Z3475" s="8">
        <v>68</v>
      </c>
      <c r="AA3475" s="202" t="str">
        <f t="shared" si="55"/>
        <v>Масса мясных и рыбных порций, г</v>
      </c>
    </row>
    <row r="3476" spans="1:27" ht="15" customHeight="1" x14ac:dyDescent="0.25">
      <c r="A3476" t="s">
        <v>153</v>
      </c>
      <c r="L3476"/>
      <c r="M3476"/>
      <c r="N3476"/>
      <c r="O3476"/>
      <c r="P3476"/>
      <c r="T3476">
        <v>166</v>
      </c>
      <c r="U3476" s="7">
        <v>3</v>
      </c>
      <c r="V3476" t="s">
        <v>555</v>
      </c>
      <c r="W3476" s="257" t="s">
        <v>1328</v>
      </c>
      <c r="X3476" t="s">
        <v>1329</v>
      </c>
      <c r="Y3476" s="316" t="s">
        <v>31</v>
      </c>
      <c r="Z3476" s="8">
        <v>20</v>
      </c>
      <c r="AA3476" s="202" t="str">
        <f t="shared" si="55"/>
        <v>Перловая</v>
      </c>
    </row>
    <row r="3477" spans="1:27" ht="15" customHeight="1" x14ac:dyDescent="0.25">
      <c r="A3477" t="s">
        <v>153</v>
      </c>
      <c r="L3477"/>
      <c r="M3477"/>
      <c r="N3477"/>
      <c r="O3477"/>
      <c r="P3477"/>
      <c r="T3477">
        <v>167</v>
      </c>
      <c r="U3477" s="7">
        <v>3</v>
      </c>
      <c r="V3477" t="s">
        <v>555</v>
      </c>
      <c r="W3477" s="257" t="s">
        <v>1328</v>
      </c>
      <c r="X3477" t="s">
        <v>1329</v>
      </c>
      <c r="Y3477" s="316" t="s">
        <v>76</v>
      </c>
      <c r="Z3477" s="8">
        <v>4</v>
      </c>
      <c r="AA3477" s="202" t="str">
        <f t="shared" si="55"/>
        <v>Томат-паста</v>
      </c>
    </row>
    <row r="3478" spans="1:27" ht="15" customHeight="1" x14ac:dyDescent="0.25">
      <c r="A3478" t="s">
        <v>153</v>
      </c>
      <c r="L3478"/>
      <c r="M3478"/>
      <c r="N3478"/>
      <c r="O3478"/>
      <c r="P3478"/>
      <c r="T3478">
        <v>168</v>
      </c>
      <c r="U3478" s="7">
        <v>3</v>
      </c>
      <c r="V3478" t="s">
        <v>555</v>
      </c>
      <c r="W3478" s="257" t="s">
        <v>1328</v>
      </c>
      <c r="X3478" t="s">
        <v>1329</v>
      </c>
      <c r="Y3478" s="316" t="s">
        <v>489</v>
      </c>
      <c r="Z3478" s="8">
        <v>115</v>
      </c>
      <c r="AA3478" s="202" t="str">
        <f t="shared" si="55"/>
        <v>Капуста консерв.</v>
      </c>
    </row>
    <row r="3479" spans="1:27" ht="15" customHeight="1" x14ac:dyDescent="0.25">
      <c r="A3479" t="s">
        <v>153</v>
      </c>
      <c r="L3479"/>
      <c r="M3479"/>
      <c r="N3479"/>
      <c r="O3479"/>
      <c r="P3479"/>
      <c r="T3479">
        <v>169</v>
      </c>
      <c r="U3479" s="7">
        <v>3</v>
      </c>
      <c r="V3479" t="s">
        <v>555</v>
      </c>
      <c r="W3479" s="257" t="s">
        <v>1328</v>
      </c>
      <c r="X3479" t="s">
        <v>1329</v>
      </c>
      <c r="Y3479" s="316" t="s">
        <v>46</v>
      </c>
      <c r="Z3479" s="8">
        <v>5</v>
      </c>
      <c r="AA3479" s="202" t="str">
        <f t="shared" si="55"/>
        <v>Морковь</v>
      </c>
    </row>
    <row r="3480" spans="1:27" ht="15" customHeight="1" x14ac:dyDescent="0.25">
      <c r="A3480" t="s">
        <v>153</v>
      </c>
      <c r="L3480"/>
      <c r="M3480"/>
      <c r="N3480"/>
      <c r="O3480"/>
      <c r="P3480"/>
      <c r="T3480">
        <v>170</v>
      </c>
      <c r="U3480" s="7">
        <v>3</v>
      </c>
      <c r="V3480" t="s">
        <v>555</v>
      </c>
      <c r="W3480" s="257" t="s">
        <v>1328</v>
      </c>
      <c r="X3480" t="s">
        <v>1329</v>
      </c>
      <c r="Y3480" s="316" t="s">
        <v>32</v>
      </c>
      <c r="Z3480" s="8">
        <v>5</v>
      </c>
      <c r="AA3480" s="202" t="str">
        <f t="shared" si="55"/>
        <v>Лук репчатый</v>
      </c>
    </row>
    <row r="3481" spans="1:27" ht="15" customHeight="1" x14ac:dyDescent="0.25">
      <c r="A3481" t="s">
        <v>153</v>
      </c>
      <c r="L3481"/>
      <c r="M3481"/>
      <c r="N3481"/>
      <c r="O3481"/>
      <c r="P3481"/>
      <c r="T3481">
        <v>171</v>
      </c>
      <c r="U3481" s="7">
        <v>3</v>
      </c>
      <c r="V3481" t="s">
        <v>555</v>
      </c>
      <c r="W3481" s="257" t="s">
        <v>1328</v>
      </c>
      <c r="X3481" t="s">
        <v>1329</v>
      </c>
      <c r="Y3481" s="316" t="s">
        <v>61</v>
      </c>
      <c r="Z3481" s="8">
        <v>4</v>
      </c>
      <c r="AA3481" s="202" t="str">
        <f t="shared" si="55"/>
        <v>Масло растительное</v>
      </c>
    </row>
    <row r="3482" spans="1:27" ht="15" customHeight="1" x14ac:dyDescent="0.25">
      <c r="A3482" t="s">
        <v>153</v>
      </c>
      <c r="L3482"/>
      <c r="M3482"/>
      <c r="N3482"/>
      <c r="O3482"/>
      <c r="P3482"/>
      <c r="T3482">
        <v>172</v>
      </c>
      <c r="U3482" s="7">
        <v>3</v>
      </c>
      <c r="V3482" t="s">
        <v>555</v>
      </c>
      <c r="W3482" s="257" t="s">
        <v>1328</v>
      </c>
      <c r="X3482" t="s">
        <v>1329</v>
      </c>
      <c r="Y3482" s="316" t="s">
        <v>479</v>
      </c>
      <c r="Z3482" s="8">
        <v>400</v>
      </c>
      <c r="AA3482" s="202" t="str">
        <f t="shared" si="55"/>
        <v>Вода или бульон</v>
      </c>
    </row>
    <row r="3483" spans="1:27" ht="15" customHeight="1" x14ac:dyDescent="0.25">
      <c r="A3483" t="s">
        <v>153</v>
      </c>
      <c r="L3483"/>
      <c r="M3483"/>
      <c r="N3483"/>
      <c r="O3483"/>
      <c r="P3483"/>
      <c r="T3483">
        <v>173</v>
      </c>
      <c r="U3483" s="7">
        <v>3</v>
      </c>
      <c r="V3483" t="s">
        <v>555</v>
      </c>
      <c r="W3483" s="257" t="s">
        <v>1328</v>
      </c>
      <c r="X3483" t="s">
        <v>1329</v>
      </c>
      <c r="Y3483" s="316" t="s">
        <v>70</v>
      </c>
      <c r="Z3483" s="8">
        <v>5</v>
      </c>
      <c r="AA3483" s="202" t="str">
        <f t="shared" si="55"/>
        <v>Зелень</v>
      </c>
    </row>
    <row r="3484" spans="1:27" ht="15" customHeight="1" x14ac:dyDescent="0.25">
      <c r="A3484" t="s">
        <v>153</v>
      </c>
      <c r="L3484"/>
      <c r="M3484"/>
      <c r="N3484"/>
      <c r="O3484"/>
      <c r="P3484"/>
      <c r="T3484">
        <v>174</v>
      </c>
      <c r="U3484" s="7">
        <v>3</v>
      </c>
      <c r="V3484" t="s">
        <v>555</v>
      </c>
      <c r="W3484" s="257" t="s">
        <v>1328</v>
      </c>
      <c r="X3484" t="s">
        <v>1329</v>
      </c>
      <c r="Y3484" s="316" t="s">
        <v>54</v>
      </c>
      <c r="Z3484" s="8">
        <v>5</v>
      </c>
      <c r="AA3484" s="202" t="str">
        <f t="shared" si="55"/>
        <v>Сметана</v>
      </c>
    </row>
    <row r="3485" spans="1:27" ht="15" customHeight="1" x14ac:dyDescent="0.25">
      <c r="A3485" t="s">
        <v>153</v>
      </c>
      <c r="L3485"/>
      <c r="M3485"/>
      <c r="N3485"/>
      <c r="O3485"/>
      <c r="P3485"/>
      <c r="T3485">
        <v>175</v>
      </c>
      <c r="U3485" s="7">
        <v>3</v>
      </c>
      <c r="V3485" t="s">
        <v>555</v>
      </c>
      <c r="W3485" s="257" t="s">
        <v>1328</v>
      </c>
      <c r="X3485" t="s">
        <v>1329</v>
      </c>
      <c r="Y3485" s="316" t="s">
        <v>326</v>
      </c>
      <c r="Z3485" s="8">
        <v>4</v>
      </c>
      <c r="AA3485" s="202" t="str">
        <f t="shared" si="55"/>
        <v>Соль</v>
      </c>
    </row>
    <row r="3486" spans="1:27" ht="15" customHeight="1" x14ac:dyDescent="0.25">
      <c r="A3486" t="s">
        <v>153</v>
      </c>
      <c r="L3486"/>
      <c r="M3486"/>
      <c r="N3486"/>
      <c r="O3486"/>
      <c r="P3486"/>
      <c r="T3486">
        <v>176</v>
      </c>
      <c r="U3486" s="7">
        <v>3</v>
      </c>
      <c r="V3486" t="s">
        <v>555</v>
      </c>
      <c r="W3486" s="257" t="s">
        <v>1328</v>
      </c>
      <c r="X3486" t="s">
        <v>1329</v>
      </c>
      <c r="Y3486" s="316" t="s">
        <v>558</v>
      </c>
      <c r="Z3486" s="8">
        <v>442</v>
      </c>
      <c r="AA3486" s="202" t="str">
        <f t="shared" si="55"/>
        <v>Общая масса готового блюда, г</v>
      </c>
    </row>
    <row r="3487" spans="1:27" ht="15" customHeight="1" x14ac:dyDescent="0.25">
      <c r="A3487" t="s">
        <v>153</v>
      </c>
      <c r="L3487"/>
      <c r="M3487"/>
      <c r="N3487"/>
      <c r="O3487"/>
      <c r="P3487"/>
      <c r="T3487">
        <v>177</v>
      </c>
      <c r="U3487" s="7">
        <v>3</v>
      </c>
      <c r="V3487" t="s">
        <v>555</v>
      </c>
      <c r="W3487" s="257" t="s">
        <v>1328</v>
      </c>
      <c r="X3487" t="s">
        <v>1329</v>
      </c>
      <c r="Y3487" s="316" t="s">
        <v>109</v>
      </c>
      <c r="Z3487" s="8">
        <v>221</v>
      </c>
      <c r="AA3487" s="202" t="str">
        <f t="shared" si="55"/>
        <v>ОКГ</v>
      </c>
    </row>
    <row r="3488" spans="1:27" ht="15" customHeight="1" x14ac:dyDescent="0.25">
      <c r="A3488" t="s">
        <v>153</v>
      </c>
      <c r="L3488"/>
      <c r="M3488"/>
      <c r="N3488"/>
      <c r="O3488"/>
      <c r="P3488"/>
      <c r="T3488">
        <v>178</v>
      </c>
      <c r="U3488" s="7">
        <v>3</v>
      </c>
      <c r="V3488" t="s">
        <v>555</v>
      </c>
      <c r="W3488" s="257" t="s">
        <v>1328</v>
      </c>
      <c r="X3488" t="s">
        <v>1329</v>
      </c>
      <c r="Y3488" s="316" t="s">
        <v>74</v>
      </c>
      <c r="Z3488" s="8">
        <v>0.02</v>
      </c>
      <c r="AA3488" s="202" t="str">
        <f t="shared" si="55"/>
        <v>Лавровый лист</v>
      </c>
    </row>
    <row r="3489" spans="1:27" ht="15" customHeight="1" x14ac:dyDescent="0.25">
      <c r="A3489" t="s">
        <v>153</v>
      </c>
      <c r="L3489"/>
      <c r="M3489"/>
      <c r="N3489"/>
      <c r="O3489"/>
      <c r="P3489"/>
      <c r="T3489">
        <v>179</v>
      </c>
      <c r="U3489" s="7">
        <v>3</v>
      </c>
      <c r="V3489" t="s">
        <v>555</v>
      </c>
      <c r="W3489" s="257" t="s">
        <v>1328</v>
      </c>
      <c r="X3489" t="s">
        <v>1329</v>
      </c>
      <c r="Y3489" s="316" t="s">
        <v>484</v>
      </c>
      <c r="Z3489" s="8">
        <v>0.05</v>
      </c>
      <c r="AA3489" s="202" t="str">
        <f t="shared" si="55"/>
        <v>Перец черный</v>
      </c>
    </row>
    <row r="3490" spans="1:27" ht="15" customHeight="1" x14ac:dyDescent="0.25">
      <c r="A3490" t="s">
        <v>153</v>
      </c>
      <c r="L3490"/>
      <c r="M3490"/>
      <c r="N3490"/>
      <c r="O3490"/>
      <c r="P3490"/>
      <c r="T3490">
        <v>152</v>
      </c>
      <c r="U3490" s="7">
        <v>3</v>
      </c>
      <c r="V3490" t="s">
        <v>555</v>
      </c>
      <c r="W3490" s="257" t="s">
        <v>608</v>
      </c>
      <c r="X3490" t="s">
        <v>609</v>
      </c>
      <c r="Y3490" s="316" t="s">
        <v>489</v>
      </c>
      <c r="Z3490" s="8">
        <v>115</v>
      </c>
      <c r="AA3490" s="202" t="str">
        <f t="shared" si="55"/>
        <v>Капуста консерв.</v>
      </c>
    </row>
    <row r="3491" spans="1:27" ht="15" customHeight="1" x14ac:dyDescent="0.25">
      <c r="A3491" t="s">
        <v>153</v>
      </c>
      <c r="L3491"/>
      <c r="M3491"/>
      <c r="N3491"/>
      <c r="O3491"/>
      <c r="P3491"/>
      <c r="T3491">
        <v>153</v>
      </c>
      <c r="U3491" s="7">
        <v>3</v>
      </c>
      <c r="V3491" t="s">
        <v>555</v>
      </c>
      <c r="W3491" s="257" t="s">
        <v>608</v>
      </c>
      <c r="X3491" t="s">
        <v>609</v>
      </c>
      <c r="Y3491" s="316" t="s">
        <v>46</v>
      </c>
      <c r="Z3491" s="8">
        <v>10</v>
      </c>
      <c r="AA3491" s="202" t="str">
        <f t="shared" si="55"/>
        <v>Морковь</v>
      </c>
    </row>
    <row r="3492" spans="1:27" ht="15" customHeight="1" x14ac:dyDescent="0.25">
      <c r="A3492" t="s">
        <v>153</v>
      </c>
      <c r="L3492"/>
      <c r="M3492"/>
      <c r="N3492"/>
      <c r="O3492"/>
      <c r="P3492"/>
      <c r="T3492">
        <v>154</v>
      </c>
      <c r="U3492" s="7">
        <v>3</v>
      </c>
      <c r="V3492" t="s">
        <v>555</v>
      </c>
      <c r="W3492" s="257" t="s">
        <v>608</v>
      </c>
      <c r="X3492" t="s">
        <v>609</v>
      </c>
      <c r="Y3492" s="316" t="s">
        <v>45</v>
      </c>
      <c r="Z3492" s="8">
        <v>120</v>
      </c>
      <c r="AA3492" s="202" t="str">
        <f t="shared" si="55"/>
        <v>Картофель</v>
      </c>
    </row>
    <row r="3493" spans="1:27" ht="15" customHeight="1" x14ac:dyDescent="0.25">
      <c r="A3493" t="s">
        <v>153</v>
      </c>
      <c r="L3493"/>
      <c r="M3493"/>
      <c r="N3493"/>
      <c r="O3493"/>
      <c r="P3493"/>
      <c r="T3493">
        <v>155</v>
      </c>
      <c r="U3493" s="7">
        <v>3</v>
      </c>
      <c r="V3493" t="s">
        <v>555</v>
      </c>
      <c r="W3493" s="257" t="s">
        <v>608</v>
      </c>
      <c r="X3493" t="s">
        <v>609</v>
      </c>
      <c r="Y3493" s="316" t="s">
        <v>32</v>
      </c>
      <c r="Z3493" s="8">
        <v>10</v>
      </c>
      <c r="AA3493" s="202" t="str">
        <f t="shared" si="55"/>
        <v>Лук репчатый</v>
      </c>
    </row>
    <row r="3494" spans="1:27" ht="15" customHeight="1" x14ac:dyDescent="0.25">
      <c r="A3494" t="s">
        <v>153</v>
      </c>
      <c r="L3494"/>
      <c r="M3494"/>
      <c r="N3494"/>
      <c r="O3494"/>
      <c r="P3494"/>
      <c r="T3494">
        <v>156</v>
      </c>
      <c r="U3494" s="7">
        <v>3</v>
      </c>
      <c r="V3494" t="s">
        <v>555</v>
      </c>
      <c r="W3494" s="257" t="s">
        <v>608</v>
      </c>
      <c r="X3494" t="s">
        <v>609</v>
      </c>
      <c r="Y3494" s="316" t="s">
        <v>76</v>
      </c>
      <c r="Z3494" s="8">
        <v>3</v>
      </c>
      <c r="AA3494" s="202" t="str">
        <f t="shared" si="55"/>
        <v>Томат-паста</v>
      </c>
    </row>
    <row r="3495" spans="1:27" ht="15" customHeight="1" x14ac:dyDescent="0.25">
      <c r="A3495" t="s">
        <v>153</v>
      </c>
      <c r="L3495"/>
      <c r="M3495"/>
      <c r="N3495"/>
      <c r="O3495"/>
      <c r="P3495"/>
      <c r="T3495">
        <v>157</v>
      </c>
      <c r="U3495" s="7">
        <v>3</v>
      </c>
      <c r="V3495" t="s">
        <v>555</v>
      </c>
      <c r="W3495" s="257" t="s">
        <v>608</v>
      </c>
      <c r="X3495" t="s">
        <v>609</v>
      </c>
      <c r="Y3495" s="316" t="s">
        <v>61</v>
      </c>
      <c r="Z3495" s="8">
        <v>5</v>
      </c>
      <c r="AA3495" s="202" t="str">
        <f t="shared" si="55"/>
        <v>Масло растительное</v>
      </c>
    </row>
    <row r="3496" spans="1:27" ht="15" customHeight="1" x14ac:dyDescent="0.25">
      <c r="A3496" t="s">
        <v>153</v>
      </c>
      <c r="L3496"/>
      <c r="M3496"/>
      <c r="N3496"/>
      <c r="O3496"/>
      <c r="P3496"/>
      <c r="T3496">
        <v>158</v>
      </c>
      <c r="U3496" s="7">
        <v>3</v>
      </c>
      <c r="V3496" t="s">
        <v>555</v>
      </c>
      <c r="W3496" s="257" t="s">
        <v>608</v>
      </c>
      <c r="X3496" t="s">
        <v>609</v>
      </c>
      <c r="Y3496" s="316" t="s">
        <v>479</v>
      </c>
      <c r="Z3496" s="8">
        <v>400</v>
      </c>
      <c r="AA3496" s="202" t="str">
        <f t="shared" si="55"/>
        <v>Вода или бульон</v>
      </c>
    </row>
    <row r="3497" spans="1:27" ht="15" customHeight="1" x14ac:dyDescent="0.25">
      <c r="A3497" t="s">
        <v>153</v>
      </c>
      <c r="L3497"/>
      <c r="M3497"/>
      <c r="N3497"/>
      <c r="O3497"/>
      <c r="P3497"/>
      <c r="T3497">
        <v>159</v>
      </c>
      <c r="U3497" s="7">
        <v>3</v>
      </c>
      <c r="V3497" t="s">
        <v>555</v>
      </c>
      <c r="W3497" s="257" t="s">
        <v>608</v>
      </c>
      <c r="X3497" t="s">
        <v>609</v>
      </c>
      <c r="Y3497" s="316" t="s">
        <v>70</v>
      </c>
      <c r="Z3497" s="8">
        <v>5</v>
      </c>
      <c r="AA3497" s="202" t="str">
        <f t="shared" si="55"/>
        <v>Зелень</v>
      </c>
    </row>
    <row r="3498" spans="1:27" ht="15" customHeight="1" x14ac:dyDescent="0.25">
      <c r="A3498" t="s">
        <v>153</v>
      </c>
      <c r="L3498"/>
      <c r="M3498"/>
      <c r="N3498"/>
      <c r="O3498"/>
      <c r="P3498"/>
      <c r="T3498">
        <v>160</v>
      </c>
      <c r="U3498" s="7">
        <v>3</v>
      </c>
      <c r="V3498" t="s">
        <v>555</v>
      </c>
      <c r="W3498" s="257" t="s">
        <v>608</v>
      </c>
      <c r="X3498" t="s">
        <v>609</v>
      </c>
      <c r="Y3498" s="316" t="s">
        <v>54</v>
      </c>
      <c r="Z3498" s="8">
        <v>5</v>
      </c>
      <c r="AA3498" s="202" t="str">
        <f t="shared" si="55"/>
        <v>Сметана</v>
      </c>
    </row>
    <row r="3499" spans="1:27" ht="15" customHeight="1" x14ac:dyDescent="0.25">
      <c r="A3499" t="s">
        <v>153</v>
      </c>
      <c r="L3499"/>
      <c r="M3499"/>
      <c r="N3499"/>
      <c r="O3499"/>
      <c r="P3499"/>
      <c r="T3499">
        <v>161</v>
      </c>
      <c r="U3499" s="7">
        <v>3</v>
      </c>
      <c r="V3499" t="s">
        <v>555</v>
      </c>
      <c r="W3499" s="257" t="s">
        <v>608</v>
      </c>
      <c r="X3499" t="s">
        <v>609</v>
      </c>
      <c r="Y3499" s="316" t="s">
        <v>326</v>
      </c>
      <c r="Z3499" s="8">
        <v>4</v>
      </c>
      <c r="AA3499" s="202" t="str">
        <f t="shared" si="55"/>
        <v>Соль</v>
      </c>
    </row>
    <row r="3500" spans="1:27" ht="15" customHeight="1" x14ac:dyDescent="0.25">
      <c r="A3500" t="s">
        <v>153</v>
      </c>
      <c r="L3500"/>
      <c r="M3500"/>
      <c r="N3500"/>
      <c r="O3500"/>
      <c r="P3500"/>
      <c r="T3500">
        <v>162</v>
      </c>
      <c r="U3500" s="7">
        <v>3</v>
      </c>
      <c r="V3500" t="s">
        <v>555</v>
      </c>
      <c r="W3500" s="257" t="s">
        <v>608</v>
      </c>
      <c r="X3500" t="s">
        <v>609</v>
      </c>
      <c r="Y3500" s="316" t="s">
        <v>558</v>
      </c>
      <c r="Z3500" s="8">
        <v>500</v>
      </c>
      <c r="AA3500" s="202" t="str">
        <f t="shared" si="55"/>
        <v>Общая масса готового блюда, г</v>
      </c>
    </row>
    <row r="3501" spans="1:27" ht="15" customHeight="1" x14ac:dyDescent="0.25">
      <c r="A3501" t="s">
        <v>153</v>
      </c>
      <c r="L3501"/>
      <c r="M3501"/>
      <c r="N3501"/>
      <c r="O3501"/>
      <c r="P3501"/>
      <c r="T3501">
        <v>163</v>
      </c>
      <c r="U3501" s="7">
        <v>3</v>
      </c>
      <c r="V3501" t="s">
        <v>555</v>
      </c>
      <c r="W3501" s="257" t="s">
        <v>608</v>
      </c>
      <c r="X3501" t="s">
        <v>609</v>
      </c>
      <c r="Y3501" s="316" t="s">
        <v>109</v>
      </c>
      <c r="Z3501" s="8">
        <v>250</v>
      </c>
      <c r="AA3501" s="202" t="str">
        <f t="shared" si="55"/>
        <v>ОКГ</v>
      </c>
    </row>
    <row r="3502" spans="1:27" ht="15" customHeight="1" x14ac:dyDescent="0.25">
      <c r="A3502" t="s">
        <v>153</v>
      </c>
      <c r="L3502"/>
      <c r="M3502"/>
      <c r="N3502"/>
      <c r="O3502"/>
      <c r="P3502"/>
      <c r="T3502">
        <v>164</v>
      </c>
      <c r="U3502" s="7">
        <v>3</v>
      </c>
      <c r="V3502" t="s">
        <v>555</v>
      </c>
      <c r="W3502" s="257" t="s">
        <v>608</v>
      </c>
      <c r="X3502" t="s">
        <v>609</v>
      </c>
      <c r="Y3502" s="316" t="s">
        <v>74</v>
      </c>
      <c r="Z3502" s="8">
        <v>0.02</v>
      </c>
      <c r="AA3502" s="202" t="str">
        <f t="shared" si="55"/>
        <v>Лавровый лист</v>
      </c>
    </row>
    <row r="3503" spans="1:27" ht="15" customHeight="1" x14ac:dyDescent="0.25">
      <c r="A3503" t="s">
        <v>153</v>
      </c>
      <c r="L3503"/>
      <c r="M3503"/>
      <c r="N3503"/>
      <c r="O3503"/>
      <c r="P3503"/>
      <c r="T3503">
        <v>165</v>
      </c>
      <c r="U3503" s="7">
        <v>3</v>
      </c>
      <c r="V3503" t="s">
        <v>555</v>
      </c>
      <c r="W3503" s="257" t="s">
        <v>608</v>
      </c>
      <c r="X3503" t="s">
        <v>609</v>
      </c>
      <c r="Y3503" s="316" t="s">
        <v>484</v>
      </c>
      <c r="Z3503" s="8">
        <v>0.05</v>
      </c>
      <c r="AA3503" s="202" t="str">
        <f t="shared" si="55"/>
        <v>Перец черный</v>
      </c>
    </row>
    <row r="3504" spans="1:27" ht="15" customHeight="1" x14ac:dyDescent="0.25">
      <c r="A3504" t="s">
        <v>153</v>
      </c>
      <c r="L3504"/>
      <c r="M3504"/>
      <c r="N3504"/>
      <c r="O3504"/>
      <c r="P3504"/>
      <c r="T3504">
        <v>152</v>
      </c>
      <c r="U3504" s="7">
        <v>3</v>
      </c>
      <c r="V3504" t="s">
        <v>555</v>
      </c>
      <c r="W3504" s="257" t="s">
        <v>1330</v>
      </c>
      <c r="X3504" t="s">
        <v>1331</v>
      </c>
      <c r="Y3504" s="316" t="s">
        <v>489</v>
      </c>
      <c r="Z3504" s="8">
        <v>140</v>
      </c>
      <c r="AA3504" s="202" t="str">
        <f t="shared" si="55"/>
        <v>Капуста консерв.</v>
      </c>
    </row>
    <row r="3505" spans="1:27" ht="15" customHeight="1" x14ac:dyDescent="0.25">
      <c r="A3505" t="s">
        <v>153</v>
      </c>
      <c r="L3505"/>
      <c r="M3505"/>
      <c r="N3505"/>
      <c r="O3505"/>
      <c r="P3505"/>
      <c r="T3505">
        <v>153</v>
      </c>
      <c r="U3505" s="7">
        <v>3</v>
      </c>
      <c r="V3505" t="s">
        <v>555</v>
      </c>
      <c r="W3505" s="257" t="s">
        <v>1330</v>
      </c>
      <c r="X3505" t="s">
        <v>1331</v>
      </c>
      <c r="Y3505" s="316" t="s">
        <v>46</v>
      </c>
      <c r="Z3505" s="8">
        <v>10</v>
      </c>
      <c r="AA3505" s="202" t="str">
        <f t="shared" si="55"/>
        <v>Морковь</v>
      </c>
    </row>
    <row r="3506" spans="1:27" ht="15" customHeight="1" x14ac:dyDescent="0.25">
      <c r="A3506" t="s">
        <v>153</v>
      </c>
      <c r="L3506"/>
      <c r="M3506"/>
      <c r="N3506"/>
      <c r="O3506"/>
      <c r="P3506"/>
      <c r="T3506">
        <v>154</v>
      </c>
      <c r="U3506" s="7">
        <v>3</v>
      </c>
      <c r="V3506" t="s">
        <v>555</v>
      </c>
      <c r="W3506" s="257" t="s">
        <v>1330</v>
      </c>
      <c r="X3506" t="s">
        <v>1331</v>
      </c>
      <c r="Y3506" s="316" t="s">
        <v>45</v>
      </c>
      <c r="Z3506" s="8">
        <v>120</v>
      </c>
      <c r="AA3506" s="202" t="str">
        <f t="shared" si="55"/>
        <v>Картофель</v>
      </c>
    </row>
    <row r="3507" spans="1:27" ht="15" customHeight="1" x14ac:dyDescent="0.25">
      <c r="A3507" t="s">
        <v>153</v>
      </c>
      <c r="L3507"/>
      <c r="M3507"/>
      <c r="N3507"/>
      <c r="O3507"/>
      <c r="P3507"/>
      <c r="T3507">
        <v>155</v>
      </c>
      <c r="U3507" s="7">
        <v>3</v>
      </c>
      <c r="V3507" t="s">
        <v>555</v>
      </c>
      <c r="W3507" s="257" t="s">
        <v>1330</v>
      </c>
      <c r="X3507" t="s">
        <v>1331</v>
      </c>
      <c r="Y3507" s="316" t="s">
        <v>32</v>
      </c>
      <c r="Z3507" s="8">
        <v>5</v>
      </c>
      <c r="AA3507" s="202" t="str">
        <f t="shared" si="55"/>
        <v>Лук репчатый</v>
      </c>
    </row>
    <row r="3508" spans="1:27" ht="15" customHeight="1" x14ac:dyDescent="0.25">
      <c r="A3508" t="s">
        <v>153</v>
      </c>
      <c r="L3508"/>
      <c r="M3508"/>
      <c r="N3508"/>
      <c r="O3508"/>
      <c r="P3508"/>
      <c r="T3508">
        <v>156</v>
      </c>
      <c r="U3508" s="7">
        <v>3</v>
      </c>
      <c r="V3508" t="s">
        <v>555</v>
      </c>
      <c r="W3508" s="257" t="s">
        <v>1330</v>
      </c>
      <c r="X3508" t="s">
        <v>1331</v>
      </c>
      <c r="Y3508" s="316" t="s">
        <v>76</v>
      </c>
      <c r="Z3508" s="8">
        <v>3</v>
      </c>
      <c r="AA3508" s="202" t="str">
        <f t="shared" si="55"/>
        <v>Томат-паста</v>
      </c>
    </row>
    <row r="3509" spans="1:27" ht="15" customHeight="1" x14ac:dyDescent="0.25">
      <c r="A3509" t="s">
        <v>153</v>
      </c>
      <c r="L3509"/>
      <c r="M3509"/>
      <c r="N3509"/>
      <c r="O3509"/>
      <c r="P3509"/>
      <c r="T3509">
        <v>157</v>
      </c>
      <c r="U3509" s="7">
        <v>3</v>
      </c>
      <c r="V3509" t="s">
        <v>555</v>
      </c>
      <c r="W3509" s="257" t="s">
        <v>1330</v>
      </c>
      <c r="X3509" t="s">
        <v>1331</v>
      </c>
      <c r="Y3509" s="316" t="s">
        <v>61</v>
      </c>
      <c r="Z3509" s="8">
        <v>5</v>
      </c>
      <c r="AA3509" s="202" t="str">
        <f t="shared" si="55"/>
        <v>Масло растительное</v>
      </c>
    </row>
    <row r="3510" spans="1:27" ht="15" customHeight="1" x14ac:dyDescent="0.25">
      <c r="A3510" t="s">
        <v>153</v>
      </c>
      <c r="L3510"/>
      <c r="M3510"/>
      <c r="N3510"/>
      <c r="O3510"/>
      <c r="P3510"/>
      <c r="T3510">
        <v>158</v>
      </c>
      <c r="U3510" s="7">
        <v>3</v>
      </c>
      <c r="V3510" t="s">
        <v>555</v>
      </c>
      <c r="W3510" s="257" t="s">
        <v>1330</v>
      </c>
      <c r="X3510" t="s">
        <v>1331</v>
      </c>
      <c r="Y3510" s="316" t="s">
        <v>479</v>
      </c>
      <c r="Z3510" s="8">
        <v>400</v>
      </c>
      <c r="AA3510" s="202" t="str">
        <f t="shared" si="55"/>
        <v>Вода или бульон</v>
      </c>
    </row>
    <row r="3511" spans="1:27" ht="15" customHeight="1" x14ac:dyDescent="0.25">
      <c r="A3511" t="s">
        <v>153</v>
      </c>
      <c r="L3511"/>
      <c r="M3511"/>
      <c r="N3511"/>
      <c r="O3511"/>
      <c r="P3511"/>
      <c r="T3511">
        <v>159</v>
      </c>
      <c r="U3511" s="7">
        <v>3</v>
      </c>
      <c r="V3511" t="s">
        <v>555</v>
      </c>
      <c r="W3511" s="257" t="s">
        <v>1330</v>
      </c>
      <c r="X3511" t="s">
        <v>1331</v>
      </c>
      <c r="Y3511" s="316" t="s">
        <v>70</v>
      </c>
      <c r="Z3511" s="8">
        <v>5</v>
      </c>
      <c r="AA3511" s="202" t="str">
        <f t="shared" si="55"/>
        <v>Зелень</v>
      </c>
    </row>
    <row r="3512" spans="1:27" ht="15" customHeight="1" x14ac:dyDescent="0.25">
      <c r="A3512" t="s">
        <v>153</v>
      </c>
      <c r="L3512"/>
      <c r="M3512"/>
      <c r="N3512"/>
      <c r="O3512"/>
      <c r="P3512"/>
      <c r="T3512">
        <v>160</v>
      </c>
      <c r="U3512" s="7">
        <v>3</v>
      </c>
      <c r="V3512" t="s">
        <v>555</v>
      </c>
      <c r="W3512" s="257" t="s">
        <v>1330</v>
      </c>
      <c r="X3512" t="s">
        <v>1331</v>
      </c>
      <c r="Y3512" s="316" t="s">
        <v>54</v>
      </c>
      <c r="Z3512" s="8">
        <v>5</v>
      </c>
      <c r="AA3512" s="202" t="str">
        <f t="shared" si="55"/>
        <v>Сметана</v>
      </c>
    </row>
    <row r="3513" spans="1:27" ht="15" customHeight="1" x14ac:dyDescent="0.25">
      <c r="A3513" t="s">
        <v>153</v>
      </c>
      <c r="L3513"/>
      <c r="M3513"/>
      <c r="N3513"/>
      <c r="O3513"/>
      <c r="P3513"/>
      <c r="T3513">
        <v>161</v>
      </c>
      <c r="U3513" s="7">
        <v>3</v>
      </c>
      <c r="V3513" t="s">
        <v>555</v>
      </c>
      <c r="W3513" s="257" t="s">
        <v>1330</v>
      </c>
      <c r="X3513" t="s">
        <v>1331</v>
      </c>
      <c r="Y3513" s="316" t="s">
        <v>326</v>
      </c>
      <c r="Z3513" s="8">
        <v>4</v>
      </c>
      <c r="AA3513" s="202" t="str">
        <f t="shared" si="55"/>
        <v>Соль</v>
      </c>
    </row>
    <row r="3514" spans="1:27" ht="15" customHeight="1" x14ac:dyDescent="0.25">
      <c r="A3514" t="s">
        <v>153</v>
      </c>
      <c r="L3514"/>
      <c r="M3514"/>
      <c r="N3514"/>
      <c r="O3514"/>
      <c r="P3514"/>
      <c r="T3514">
        <v>162</v>
      </c>
      <c r="U3514" s="7">
        <v>3</v>
      </c>
      <c r="V3514" t="s">
        <v>555</v>
      </c>
      <c r="W3514" s="257" t="s">
        <v>1330</v>
      </c>
      <c r="X3514" t="s">
        <v>1331</v>
      </c>
      <c r="Y3514" s="316" t="s">
        <v>558</v>
      </c>
      <c r="Z3514" s="8">
        <v>537</v>
      </c>
      <c r="AA3514" s="202" t="str">
        <f t="shared" si="55"/>
        <v>Общая масса готового блюда, г</v>
      </c>
    </row>
    <row r="3515" spans="1:27" ht="15" customHeight="1" x14ac:dyDescent="0.25">
      <c r="A3515" t="s">
        <v>153</v>
      </c>
      <c r="L3515"/>
      <c r="M3515"/>
      <c r="N3515"/>
      <c r="O3515"/>
      <c r="P3515"/>
      <c r="T3515">
        <v>163</v>
      </c>
      <c r="U3515" s="7">
        <v>3</v>
      </c>
      <c r="V3515" t="s">
        <v>555</v>
      </c>
      <c r="W3515" s="257" t="s">
        <v>1330</v>
      </c>
      <c r="X3515" t="s">
        <v>1331</v>
      </c>
      <c r="Y3515" s="316" t="s">
        <v>109</v>
      </c>
      <c r="Z3515" s="8">
        <v>269</v>
      </c>
      <c r="AA3515" s="202" t="str">
        <f t="shared" si="55"/>
        <v>ОКГ</v>
      </c>
    </row>
    <row r="3516" spans="1:27" ht="15" customHeight="1" x14ac:dyDescent="0.25">
      <c r="A3516" t="s">
        <v>153</v>
      </c>
      <c r="L3516"/>
      <c r="M3516"/>
      <c r="N3516"/>
      <c r="O3516"/>
      <c r="P3516"/>
      <c r="T3516">
        <v>164</v>
      </c>
      <c r="U3516" s="7">
        <v>3</v>
      </c>
      <c r="V3516" t="s">
        <v>555</v>
      </c>
      <c r="W3516" s="257" t="s">
        <v>1330</v>
      </c>
      <c r="X3516" t="s">
        <v>1331</v>
      </c>
      <c r="Y3516" s="316" t="s">
        <v>74</v>
      </c>
      <c r="Z3516" s="8">
        <v>0.02</v>
      </c>
      <c r="AA3516" s="202" t="str">
        <f t="shared" si="55"/>
        <v>Лавровый лист</v>
      </c>
    </row>
    <row r="3517" spans="1:27" ht="15" customHeight="1" x14ac:dyDescent="0.25">
      <c r="A3517" t="s">
        <v>153</v>
      </c>
      <c r="L3517"/>
      <c r="M3517"/>
      <c r="N3517"/>
      <c r="O3517"/>
      <c r="P3517"/>
      <c r="T3517">
        <v>165</v>
      </c>
      <c r="U3517" s="7">
        <v>3</v>
      </c>
      <c r="V3517" t="s">
        <v>555</v>
      </c>
      <c r="W3517" s="257" t="s">
        <v>1330</v>
      </c>
      <c r="X3517" t="s">
        <v>1331</v>
      </c>
      <c r="Y3517" s="316" t="s">
        <v>484</v>
      </c>
      <c r="Z3517" s="8">
        <v>0.05</v>
      </c>
      <c r="AA3517" s="202" t="str">
        <f t="shared" si="55"/>
        <v>Перец черный</v>
      </c>
    </row>
    <row r="3518" spans="1:27" ht="15" customHeight="1" x14ac:dyDescent="0.25">
      <c r="A3518" t="s">
        <v>153</v>
      </c>
      <c r="L3518"/>
      <c r="M3518"/>
      <c r="N3518"/>
      <c r="O3518"/>
      <c r="P3518"/>
      <c r="T3518">
        <v>138</v>
      </c>
      <c r="U3518" s="7">
        <v>3</v>
      </c>
      <c r="V3518" t="s">
        <v>555</v>
      </c>
      <c r="W3518" s="257" t="s">
        <v>610</v>
      </c>
      <c r="X3518" t="s">
        <v>611</v>
      </c>
      <c r="Y3518" s="316" t="s">
        <v>490</v>
      </c>
      <c r="Z3518" s="8">
        <v>115</v>
      </c>
      <c r="AA3518" s="202" t="str">
        <f t="shared" si="55"/>
        <v>Капуста свежая</v>
      </c>
    </row>
    <row r="3519" spans="1:27" ht="15" customHeight="1" x14ac:dyDescent="0.25">
      <c r="A3519" t="s">
        <v>153</v>
      </c>
      <c r="L3519"/>
      <c r="M3519"/>
      <c r="N3519"/>
      <c r="O3519"/>
      <c r="P3519"/>
      <c r="T3519">
        <v>139</v>
      </c>
      <c r="U3519" s="7">
        <v>3</v>
      </c>
      <c r="V3519" t="s">
        <v>555</v>
      </c>
      <c r="W3519" s="257" t="s">
        <v>610</v>
      </c>
      <c r="X3519" t="s">
        <v>611</v>
      </c>
      <c r="Y3519" s="316" t="s">
        <v>46</v>
      </c>
      <c r="Z3519" s="8">
        <v>10</v>
      </c>
      <c r="AA3519" s="202" t="str">
        <f t="shared" si="55"/>
        <v>Морковь</v>
      </c>
    </row>
    <row r="3520" spans="1:27" ht="15" customHeight="1" x14ac:dyDescent="0.25">
      <c r="A3520" t="s">
        <v>153</v>
      </c>
      <c r="L3520"/>
      <c r="M3520"/>
      <c r="N3520"/>
      <c r="O3520"/>
      <c r="P3520"/>
      <c r="T3520">
        <v>140</v>
      </c>
      <c r="U3520" s="7">
        <v>3</v>
      </c>
      <c r="V3520" t="s">
        <v>555</v>
      </c>
      <c r="W3520" s="257" t="s">
        <v>610</v>
      </c>
      <c r="X3520" t="s">
        <v>611</v>
      </c>
      <c r="Y3520" s="316" t="s">
        <v>45</v>
      </c>
      <c r="Z3520" s="8">
        <v>120</v>
      </c>
      <c r="AA3520" s="202" t="str">
        <f t="shared" si="55"/>
        <v>Картофель</v>
      </c>
    </row>
    <row r="3521" spans="1:27" ht="15" customHeight="1" x14ac:dyDescent="0.25">
      <c r="A3521" t="s">
        <v>153</v>
      </c>
      <c r="L3521"/>
      <c r="M3521"/>
      <c r="N3521"/>
      <c r="O3521"/>
      <c r="P3521"/>
      <c r="T3521">
        <v>141</v>
      </c>
      <c r="U3521" s="7">
        <v>3</v>
      </c>
      <c r="V3521" t="s">
        <v>555</v>
      </c>
      <c r="W3521" s="257" t="s">
        <v>610</v>
      </c>
      <c r="X3521" t="s">
        <v>611</v>
      </c>
      <c r="Y3521" s="316" t="s">
        <v>32</v>
      </c>
      <c r="Z3521" s="8">
        <v>10</v>
      </c>
      <c r="AA3521" s="202" t="str">
        <f t="shared" si="55"/>
        <v>Лук репчатый</v>
      </c>
    </row>
    <row r="3522" spans="1:27" ht="15" customHeight="1" x14ac:dyDescent="0.25">
      <c r="A3522" t="s">
        <v>153</v>
      </c>
      <c r="L3522"/>
      <c r="M3522"/>
      <c r="N3522"/>
      <c r="O3522"/>
      <c r="P3522"/>
      <c r="T3522">
        <v>142</v>
      </c>
      <c r="U3522" s="7">
        <v>3</v>
      </c>
      <c r="V3522" t="s">
        <v>555</v>
      </c>
      <c r="W3522" s="257" t="s">
        <v>610</v>
      </c>
      <c r="X3522" t="s">
        <v>611</v>
      </c>
      <c r="Y3522" s="316" t="s">
        <v>76</v>
      </c>
      <c r="Z3522" s="8">
        <v>3</v>
      </c>
      <c r="AA3522" s="202" t="str">
        <f t="shared" ref="AA3522:AA3583" si="56">VLOOKUP(Y3522,O:P,2,FALSE)</f>
        <v>Томат-паста</v>
      </c>
    </row>
    <row r="3523" spans="1:27" ht="15" customHeight="1" x14ac:dyDescent="0.25">
      <c r="A3523" t="s">
        <v>153</v>
      </c>
      <c r="L3523"/>
      <c r="M3523"/>
      <c r="N3523"/>
      <c r="O3523"/>
      <c r="P3523"/>
      <c r="T3523">
        <v>143</v>
      </c>
      <c r="U3523" s="7">
        <v>3</v>
      </c>
      <c r="V3523" t="s">
        <v>555</v>
      </c>
      <c r="W3523" s="257" t="s">
        <v>610</v>
      </c>
      <c r="X3523" t="s">
        <v>611</v>
      </c>
      <c r="Y3523" s="316" t="s">
        <v>61</v>
      </c>
      <c r="Z3523" s="8">
        <v>5</v>
      </c>
      <c r="AA3523" s="202" t="str">
        <f t="shared" si="56"/>
        <v>Масло растительное</v>
      </c>
    </row>
    <row r="3524" spans="1:27" ht="15" customHeight="1" x14ac:dyDescent="0.25">
      <c r="A3524" t="s">
        <v>153</v>
      </c>
      <c r="L3524"/>
      <c r="M3524"/>
      <c r="N3524"/>
      <c r="O3524"/>
      <c r="P3524"/>
      <c r="T3524">
        <v>144</v>
      </c>
      <c r="U3524" s="7">
        <v>3</v>
      </c>
      <c r="V3524" t="s">
        <v>555</v>
      </c>
      <c r="W3524" s="257" t="s">
        <v>610</v>
      </c>
      <c r="X3524" t="s">
        <v>611</v>
      </c>
      <c r="Y3524" s="316" t="s">
        <v>479</v>
      </c>
      <c r="Z3524" s="8">
        <v>400</v>
      </c>
      <c r="AA3524" s="202" t="str">
        <f t="shared" si="56"/>
        <v>Вода или бульон</v>
      </c>
    </row>
    <row r="3525" spans="1:27" ht="15" customHeight="1" x14ac:dyDescent="0.25">
      <c r="A3525" t="s">
        <v>153</v>
      </c>
      <c r="L3525"/>
      <c r="M3525"/>
      <c r="N3525"/>
      <c r="O3525"/>
      <c r="P3525"/>
      <c r="T3525">
        <v>145</v>
      </c>
      <c r="U3525" s="7">
        <v>3</v>
      </c>
      <c r="V3525" t="s">
        <v>555</v>
      </c>
      <c r="W3525" s="257" t="s">
        <v>610</v>
      </c>
      <c r="X3525" t="s">
        <v>611</v>
      </c>
      <c r="Y3525" s="316" t="s">
        <v>54</v>
      </c>
      <c r="Z3525" s="8">
        <v>5</v>
      </c>
      <c r="AA3525" s="202" t="str">
        <f t="shared" si="56"/>
        <v>Сметана</v>
      </c>
    </row>
    <row r="3526" spans="1:27" ht="15" customHeight="1" x14ac:dyDescent="0.25">
      <c r="A3526" t="s">
        <v>153</v>
      </c>
      <c r="L3526"/>
      <c r="M3526"/>
      <c r="N3526"/>
      <c r="O3526"/>
      <c r="P3526"/>
      <c r="T3526">
        <v>146</v>
      </c>
      <c r="U3526" s="7">
        <v>3</v>
      </c>
      <c r="V3526" t="s">
        <v>555</v>
      </c>
      <c r="W3526" s="257" t="s">
        <v>610</v>
      </c>
      <c r="X3526" t="s">
        <v>611</v>
      </c>
      <c r="Y3526" s="316" t="s">
        <v>70</v>
      </c>
      <c r="Z3526" s="8">
        <v>5</v>
      </c>
      <c r="AA3526" s="202" t="str">
        <f t="shared" si="56"/>
        <v>Зелень</v>
      </c>
    </row>
    <row r="3527" spans="1:27" ht="15" customHeight="1" x14ac:dyDescent="0.25">
      <c r="A3527" t="s">
        <v>153</v>
      </c>
      <c r="L3527"/>
      <c r="M3527"/>
      <c r="N3527"/>
      <c r="O3527"/>
      <c r="P3527"/>
      <c r="T3527">
        <v>147</v>
      </c>
      <c r="U3527" s="7">
        <v>3</v>
      </c>
      <c r="V3527" t="s">
        <v>555</v>
      </c>
      <c r="W3527" s="257" t="s">
        <v>610</v>
      </c>
      <c r="X3527" t="s">
        <v>611</v>
      </c>
      <c r="Y3527" s="316" t="s">
        <v>326</v>
      </c>
      <c r="Z3527" s="8">
        <v>4</v>
      </c>
      <c r="AA3527" s="202" t="str">
        <f t="shared" si="56"/>
        <v>Соль</v>
      </c>
    </row>
    <row r="3528" spans="1:27" ht="15" customHeight="1" x14ac:dyDescent="0.25">
      <c r="A3528" t="s">
        <v>153</v>
      </c>
      <c r="L3528"/>
      <c r="M3528"/>
      <c r="N3528"/>
      <c r="O3528"/>
      <c r="P3528"/>
      <c r="T3528">
        <v>148</v>
      </c>
      <c r="U3528" s="7">
        <v>3</v>
      </c>
      <c r="V3528" t="s">
        <v>555</v>
      </c>
      <c r="W3528" s="257" t="s">
        <v>610</v>
      </c>
      <c r="X3528" t="s">
        <v>611</v>
      </c>
      <c r="Y3528" s="316" t="s">
        <v>558</v>
      </c>
      <c r="Z3528" s="8">
        <v>500</v>
      </c>
      <c r="AA3528" s="202" t="str">
        <f t="shared" si="56"/>
        <v>Общая масса готового блюда, г</v>
      </c>
    </row>
    <row r="3529" spans="1:27" ht="15" customHeight="1" x14ac:dyDescent="0.25">
      <c r="A3529" t="s">
        <v>153</v>
      </c>
      <c r="L3529"/>
      <c r="M3529"/>
      <c r="N3529"/>
      <c r="O3529"/>
      <c r="P3529"/>
      <c r="T3529">
        <v>149</v>
      </c>
      <c r="U3529" s="7">
        <v>3</v>
      </c>
      <c r="V3529" t="s">
        <v>555</v>
      </c>
      <c r="W3529" s="257" t="s">
        <v>610</v>
      </c>
      <c r="X3529" t="s">
        <v>611</v>
      </c>
      <c r="Y3529" s="316" t="s">
        <v>109</v>
      </c>
      <c r="Z3529" s="8">
        <v>250</v>
      </c>
      <c r="AA3529" s="202" t="str">
        <f t="shared" si="56"/>
        <v>ОКГ</v>
      </c>
    </row>
    <row r="3530" spans="1:27" ht="15" customHeight="1" x14ac:dyDescent="0.25">
      <c r="A3530" t="s">
        <v>153</v>
      </c>
      <c r="L3530"/>
      <c r="M3530"/>
      <c r="N3530"/>
      <c r="O3530"/>
      <c r="P3530"/>
      <c r="T3530">
        <v>150</v>
      </c>
      <c r="U3530" s="7">
        <v>3</v>
      </c>
      <c r="V3530" t="s">
        <v>555</v>
      </c>
      <c r="W3530" s="257" t="s">
        <v>610</v>
      </c>
      <c r="X3530" t="s">
        <v>611</v>
      </c>
      <c r="Y3530" s="316" t="s">
        <v>74</v>
      </c>
      <c r="Z3530" s="8">
        <v>0.02</v>
      </c>
      <c r="AA3530" s="202" t="str">
        <f t="shared" si="56"/>
        <v>Лавровый лист</v>
      </c>
    </row>
    <row r="3531" spans="1:27" ht="15" customHeight="1" x14ac:dyDescent="0.25">
      <c r="A3531" t="s">
        <v>153</v>
      </c>
      <c r="L3531"/>
      <c r="M3531"/>
      <c r="N3531"/>
      <c r="O3531"/>
      <c r="P3531"/>
      <c r="T3531">
        <v>151</v>
      </c>
      <c r="U3531" s="7">
        <v>3</v>
      </c>
      <c r="V3531" t="s">
        <v>555</v>
      </c>
      <c r="W3531" s="257" t="s">
        <v>610</v>
      </c>
      <c r="X3531" t="s">
        <v>611</v>
      </c>
      <c r="Y3531" s="316" t="s">
        <v>484</v>
      </c>
      <c r="Z3531" s="8">
        <v>0.05</v>
      </c>
      <c r="AA3531" s="202" t="str">
        <f t="shared" si="56"/>
        <v>Перец черный</v>
      </c>
    </row>
    <row r="3532" spans="1:27" ht="15" customHeight="1" x14ac:dyDescent="0.25">
      <c r="A3532" t="s">
        <v>153</v>
      </c>
      <c r="L3532"/>
      <c r="M3532"/>
      <c r="N3532"/>
      <c r="O3532"/>
      <c r="P3532"/>
      <c r="T3532">
        <v>138</v>
      </c>
      <c r="U3532" s="7">
        <v>3</v>
      </c>
      <c r="V3532" t="s">
        <v>555</v>
      </c>
      <c r="W3532" s="257" t="s">
        <v>1332</v>
      </c>
      <c r="X3532" t="s">
        <v>1333</v>
      </c>
      <c r="Y3532" s="316" t="s">
        <v>490</v>
      </c>
      <c r="Z3532" s="8">
        <v>140</v>
      </c>
      <c r="AA3532" s="202" t="str">
        <f t="shared" si="56"/>
        <v>Капуста свежая</v>
      </c>
    </row>
    <row r="3533" spans="1:27" ht="15" customHeight="1" x14ac:dyDescent="0.25">
      <c r="A3533" t="s">
        <v>153</v>
      </c>
      <c r="L3533"/>
      <c r="M3533"/>
      <c r="N3533"/>
      <c r="O3533"/>
      <c r="P3533"/>
      <c r="T3533">
        <v>139</v>
      </c>
      <c r="U3533" s="7">
        <v>3</v>
      </c>
      <c r="V3533" t="s">
        <v>555</v>
      </c>
      <c r="W3533" s="257" t="s">
        <v>1332</v>
      </c>
      <c r="X3533" t="s">
        <v>1333</v>
      </c>
      <c r="Y3533" s="316" t="s">
        <v>46</v>
      </c>
      <c r="Z3533" s="8">
        <v>15</v>
      </c>
      <c r="AA3533" s="202" t="str">
        <f t="shared" si="56"/>
        <v>Морковь</v>
      </c>
    </row>
    <row r="3534" spans="1:27" ht="15" customHeight="1" x14ac:dyDescent="0.25">
      <c r="A3534" t="s">
        <v>153</v>
      </c>
      <c r="L3534"/>
      <c r="M3534"/>
      <c r="N3534"/>
      <c r="O3534"/>
      <c r="P3534"/>
      <c r="T3534">
        <v>140</v>
      </c>
      <c r="U3534" s="7">
        <v>3</v>
      </c>
      <c r="V3534" t="s">
        <v>555</v>
      </c>
      <c r="W3534" s="257" t="s">
        <v>1332</v>
      </c>
      <c r="X3534" t="s">
        <v>1333</v>
      </c>
      <c r="Y3534" s="316" t="s">
        <v>45</v>
      </c>
      <c r="Z3534" s="8">
        <v>110</v>
      </c>
      <c r="AA3534" s="202" t="str">
        <f t="shared" si="56"/>
        <v>Картофель</v>
      </c>
    </row>
    <row r="3535" spans="1:27" ht="15" customHeight="1" x14ac:dyDescent="0.25">
      <c r="A3535" t="s">
        <v>153</v>
      </c>
      <c r="L3535"/>
      <c r="M3535"/>
      <c r="N3535"/>
      <c r="O3535"/>
      <c r="P3535"/>
      <c r="T3535">
        <v>141</v>
      </c>
      <c r="U3535" s="7">
        <v>3</v>
      </c>
      <c r="V3535" t="s">
        <v>555</v>
      </c>
      <c r="W3535" s="257" t="s">
        <v>1332</v>
      </c>
      <c r="X3535" t="s">
        <v>1333</v>
      </c>
      <c r="Y3535" s="316" t="s">
        <v>32</v>
      </c>
      <c r="Z3535" s="8">
        <v>10</v>
      </c>
      <c r="AA3535" s="202" t="str">
        <f t="shared" si="56"/>
        <v>Лук репчатый</v>
      </c>
    </row>
    <row r="3536" spans="1:27" ht="15" customHeight="1" x14ac:dyDescent="0.25">
      <c r="A3536" t="s">
        <v>153</v>
      </c>
      <c r="L3536"/>
      <c r="M3536"/>
      <c r="N3536"/>
      <c r="O3536"/>
      <c r="P3536"/>
      <c r="T3536">
        <v>142</v>
      </c>
      <c r="U3536" s="7">
        <v>3</v>
      </c>
      <c r="V3536" t="s">
        <v>555</v>
      </c>
      <c r="W3536" s="257" t="s">
        <v>1332</v>
      </c>
      <c r="X3536" t="s">
        <v>1333</v>
      </c>
      <c r="Y3536" s="316" t="s">
        <v>76</v>
      </c>
      <c r="Z3536" s="8">
        <v>3</v>
      </c>
      <c r="AA3536" s="202" t="str">
        <f t="shared" si="56"/>
        <v>Томат-паста</v>
      </c>
    </row>
    <row r="3537" spans="1:27" ht="15" customHeight="1" x14ac:dyDescent="0.25">
      <c r="A3537" t="s">
        <v>153</v>
      </c>
      <c r="L3537"/>
      <c r="M3537"/>
      <c r="N3537"/>
      <c r="O3537"/>
      <c r="P3537"/>
      <c r="T3537">
        <v>143</v>
      </c>
      <c r="U3537" s="7">
        <v>3</v>
      </c>
      <c r="V3537" t="s">
        <v>555</v>
      </c>
      <c r="W3537" s="257" t="s">
        <v>1332</v>
      </c>
      <c r="X3537" t="s">
        <v>1333</v>
      </c>
      <c r="Y3537" s="316" t="s">
        <v>61</v>
      </c>
      <c r="Z3537" s="8">
        <v>5</v>
      </c>
      <c r="AA3537" s="202" t="str">
        <f t="shared" si="56"/>
        <v>Масло растительное</v>
      </c>
    </row>
    <row r="3538" spans="1:27" ht="15" customHeight="1" x14ac:dyDescent="0.25">
      <c r="A3538" t="s">
        <v>153</v>
      </c>
      <c r="L3538"/>
      <c r="M3538"/>
      <c r="N3538"/>
      <c r="O3538"/>
      <c r="P3538"/>
      <c r="T3538">
        <v>144</v>
      </c>
      <c r="U3538" s="7">
        <v>3</v>
      </c>
      <c r="V3538" t="s">
        <v>555</v>
      </c>
      <c r="W3538" s="257" t="s">
        <v>1332</v>
      </c>
      <c r="X3538" t="s">
        <v>1333</v>
      </c>
      <c r="Y3538" s="316" t="s">
        <v>479</v>
      </c>
      <c r="Z3538" s="8">
        <v>400</v>
      </c>
      <c r="AA3538" s="202" t="str">
        <f t="shared" si="56"/>
        <v>Вода или бульон</v>
      </c>
    </row>
    <row r="3539" spans="1:27" ht="15" customHeight="1" x14ac:dyDescent="0.25">
      <c r="A3539" t="s">
        <v>153</v>
      </c>
      <c r="L3539"/>
      <c r="M3539"/>
      <c r="N3539"/>
      <c r="O3539"/>
      <c r="P3539"/>
      <c r="T3539">
        <v>145</v>
      </c>
      <c r="U3539" s="7">
        <v>3</v>
      </c>
      <c r="V3539" t="s">
        <v>555</v>
      </c>
      <c r="W3539" s="257" t="s">
        <v>1332</v>
      </c>
      <c r="X3539" t="s">
        <v>1333</v>
      </c>
      <c r="Y3539" s="316" t="s">
        <v>54</v>
      </c>
      <c r="Z3539" s="8">
        <v>5</v>
      </c>
      <c r="AA3539" s="202" t="str">
        <f t="shared" si="56"/>
        <v>Сметана</v>
      </c>
    </row>
    <row r="3540" spans="1:27" ht="15" customHeight="1" x14ac:dyDescent="0.25">
      <c r="A3540" t="s">
        <v>153</v>
      </c>
      <c r="L3540"/>
      <c r="M3540"/>
      <c r="N3540"/>
      <c r="O3540"/>
      <c r="P3540"/>
      <c r="T3540">
        <v>146</v>
      </c>
      <c r="U3540" s="7">
        <v>3</v>
      </c>
      <c r="V3540" t="s">
        <v>555</v>
      </c>
      <c r="W3540" s="257" t="s">
        <v>1332</v>
      </c>
      <c r="X3540" t="s">
        <v>1333</v>
      </c>
      <c r="Y3540" s="316" t="s">
        <v>70</v>
      </c>
      <c r="Z3540" s="8">
        <v>5</v>
      </c>
      <c r="AA3540" s="202" t="str">
        <f t="shared" si="56"/>
        <v>Зелень</v>
      </c>
    </row>
    <row r="3541" spans="1:27" ht="15" customHeight="1" x14ac:dyDescent="0.25">
      <c r="A3541" t="s">
        <v>153</v>
      </c>
      <c r="L3541"/>
      <c r="M3541"/>
      <c r="N3541"/>
      <c r="O3541"/>
      <c r="P3541"/>
      <c r="T3541">
        <v>147</v>
      </c>
      <c r="U3541" s="7">
        <v>3</v>
      </c>
      <c r="V3541" t="s">
        <v>555</v>
      </c>
      <c r="W3541" s="257" t="s">
        <v>1332</v>
      </c>
      <c r="X3541" t="s">
        <v>1333</v>
      </c>
      <c r="Y3541" s="316" t="s">
        <v>326</v>
      </c>
      <c r="Z3541" s="8">
        <v>4</v>
      </c>
      <c r="AA3541" s="202" t="str">
        <f t="shared" si="56"/>
        <v>Соль</v>
      </c>
    </row>
    <row r="3542" spans="1:27" ht="15" customHeight="1" x14ac:dyDescent="0.25">
      <c r="A3542" t="s">
        <v>153</v>
      </c>
      <c r="L3542"/>
      <c r="M3542"/>
      <c r="N3542"/>
      <c r="O3542"/>
      <c r="P3542"/>
      <c r="T3542">
        <v>148</v>
      </c>
      <c r="U3542" s="7">
        <v>3</v>
      </c>
      <c r="V3542" t="s">
        <v>555</v>
      </c>
      <c r="W3542" s="257" t="s">
        <v>1332</v>
      </c>
      <c r="X3542" t="s">
        <v>1333</v>
      </c>
      <c r="Y3542" s="316" t="s">
        <v>558</v>
      </c>
      <c r="Z3542" s="8">
        <v>538</v>
      </c>
      <c r="AA3542" s="202" t="str">
        <f t="shared" si="56"/>
        <v>Общая масса готового блюда, г</v>
      </c>
    </row>
    <row r="3543" spans="1:27" ht="15" customHeight="1" x14ac:dyDescent="0.25">
      <c r="A3543" t="s">
        <v>153</v>
      </c>
      <c r="L3543"/>
      <c r="M3543"/>
      <c r="N3543"/>
      <c r="O3543"/>
      <c r="P3543"/>
      <c r="T3543">
        <v>149</v>
      </c>
      <c r="U3543" s="7">
        <v>3</v>
      </c>
      <c r="V3543" t="s">
        <v>555</v>
      </c>
      <c r="W3543" s="257" t="s">
        <v>1332</v>
      </c>
      <c r="X3543" t="s">
        <v>1333</v>
      </c>
      <c r="Y3543" s="316" t="s">
        <v>109</v>
      </c>
      <c r="Z3543" s="8">
        <v>270</v>
      </c>
      <c r="AA3543" s="202" t="str">
        <f t="shared" si="56"/>
        <v>ОКГ</v>
      </c>
    </row>
    <row r="3544" spans="1:27" ht="15" customHeight="1" x14ac:dyDescent="0.25">
      <c r="A3544" t="s">
        <v>153</v>
      </c>
      <c r="L3544"/>
      <c r="M3544"/>
      <c r="N3544"/>
      <c r="O3544"/>
      <c r="P3544"/>
      <c r="T3544">
        <v>150</v>
      </c>
      <c r="U3544" s="7">
        <v>3</v>
      </c>
      <c r="V3544" t="s">
        <v>555</v>
      </c>
      <c r="W3544" s="257" t="s">
        <v>1332</v>
      </c>
      <c r="X3544" t="s">
        <v>1333</v>
      </c>
      <c r="Y3544" s="316" t="s">
        <v>74</v>
      </c>
      <c r="Z3544" s="8">
        <v>0.02</v>
      </c>
      <c r="AA3544" s="202" t="str">
        <f t="shared" si="56"/>
        <v>Лавровый лист</v>
      </c>
    </row>
    <row r="3545" spans="1:27" ht="15" customHeight="1" x14ac:dyDescent="0.25">
      <c r="A3545" t="s">
        <v>153</v>
      </c>
      <c r="L3545"/>
      <c r="M3545"/>
      <c r="N3545"/>
      <c r="O3545"/>
      <c r="P3545"/>
      <c r="T3545">
        <v>151</v>
      </c>
      <c r="U3545" s="7">
        <v>3</v>
      </c>
      <c r="V3545" t="s">
        <v>555</v>
      </c>
      <c r="W3545" s="257" t="s">
        <v>1332</v>
      </c>
      <c r="X3545" t="s">
        <v>1333</v>
      </c>
      <c r="Y3545" s="316" t="s">
        <v>484</v>
      </c>
      <c r="Z3545" s="8">
        <v>0.05</v>
      </c>
      <c r="AA3545" s="202" t="str">
        <f t="shared" si="56"/>
        <v>Перец черный</v>
      </c>
    </row>
    <row r="3546" spans="1:27" ht="15" customHeight="1" x14ac:dyDescent="0.25">
      <c r="A3546" t="s">
        <v>153</v>
      </c>
      <c r="L3546"/>
      <c r="M3546"/>
      <c r="N3546"/>
      <c r="O3546"/>
      <c r="P3546"/>
      <c r="T3546">
        <v>166</v>
      </c>
      <c r="U3546" s="7">
        <v>3</v>
      </c>
      <c r="V3546" t="s">
        <v>555</v>
      </c>
      <c r="W3546" s="257" t="s">
        <v>612</v>
      </c>
      <c r="X3546" t="s">
        <v>1262</v>
      </c>
      <c r="Y3546" s="316" t="s">
        <v>208</v>
      </c>
      <c r="Z3546" s="8">
        <v>20</v>
      </c>
      <c r="AA3546" s="202" t="str">
        <f t="shared" si="56"/>
        <v>Перловая</v>
      </c>
    </row>
    <row r="3547" spans="1:27" ht="15" customHeight="1" x14ac:dyDescent="0.25">
      <c r="A3547" t="s">
        <v>153</v>
      </c>
      <c r="L3547"/>
      <c r="M3547"/>
      <c r="N3547"/>
      <c r="O3547"/>
      <c r="P3547"/>
      <c r="T3547">
        <v>167</v>
      </c>
      <c r="U3547" s="7">
        <v>3</v>
      </c>
      <c r="V3547" t="s">
        <v>555</v>
      </c>
      <c r="W3547" s="257" t="s">
        <v>612</v>
      </c>
      <c r="X3547" t="s">
        <v>1262</v>
      </c>
      <c r="Y3547" s="316" t="s">
        <v>76</v>
      </c>
      <c r="Z3547" s="8">
        <v>4</v>
      </c>
      <c r="AA3547" s="202" t="str">
        <f t="shared" si="56"/>
        <v>Томат-паста</v>
      </c>
    </row>
    <row r="3548" spans="1:27" ht="15" customHeight="1" x14ac:dyDescent="0.25">
      <c r="A3548" t="s">
        <v>153</v>
      </c>
      <c r="L3548"/>
      <c r="M3548"/>
      <c r="N3548"/>
      <c r="O3548"/>
      <c r="P3548"/>
      <c r="T3548">
        <v>168</v>
      </c>
      <c r="U3548" s="7">
        <v>3</v>
      </c>
      <c r="V3548" t="s">
        <v>555</v>
      </c>
      <c r="W3548" s="257" t="s">
        <v>612</v>
      </c>
      <c r="X3548" t="s">
        <v>1262</v>
      </c>
      <c r="Y3548" s="316" t="s">
        <v>489</v>
      </c>
      <c r="Z3548" s="8">
        <v>125</v>
      </c>
      <c r="AA3548" s="202" t="str">
        <f t="shared" si="56"/>
        <v>Капуста консерв.</v>
      </c>
    </row>
    <row r="3549" spans="1:27" ht="15" customHeight="1" x14ac:dyDescent="0.25">
      <c r="A3549" t="s">
        <v>153</v>
      </c>
      <c r="L3549"/>
      <c r="M3549"/>
      <c r="N3549"/>
      <c r="O3549"/>
      <c r="P3549"/>
      <c r="T3549">
        <v>169</v>
      </c>
      <c r="U3549" s="7">
        <v>3</v>
      </c>
      <c r="V3549" t="s">
        <v>555</v>
      </c>
      <c r="W3549" s="257" t="s">
        <v>612</v>
      </c>
      <c r="X3549" t="s">
        <v>1262</v>
      </c>
      <c r="Y3549" s="316" t="s">
        <v>46</v>
      </c>
      <c r="Z3549" s="8">
        <v>10</v>
      </c>
      <c r="AA3549" s="202" t="str">
        <f t="shared" si="56"/>
        <v>Морковь</v>
      </c>
    </row>
    <row r="3550" spans="1:27" ht="15" customHeight="1" x14ac:dyDescent="0.25">
      <c r="A3550" t="s">
        <v>153</v>
      </c>
      <c r="L3550"/>
      <c r="M3550"/>
      <c r="N3550"/>
      <c r="O3550"/>
      <c r="P3550"/>
      <c r="T3550">
        <v>170</v>
      </c>
      <c r="U3550" s="7">
        <v>3</v>
      </c>
      <c r="V3550" t="s">
        <v>555</v>
      </c>
      <c r="W3550" s="257" t="s">
        <v>612</v>
      </c>
      <c r="X3550" t="s">
        <v>1262</v>
      </c>
      <c r="Y3550" s="316" t="s">
        <v>32</v>
      </c>
      <c r="Z3550" s="8">
        <v>10</v>
      </c>
      <c r="AA3550" s="202" t="str">
        <f t="shared" si="56"/>
        <v>Лук репчатый</v>
      </c>
    </row>
    <row r="3551" spans="1:27" ht="15" customHeight="1" x14ac:dyDescent="0.25">
      <c r="A3551" t="s">
        <v>153</v>
      </c>
      <c r="L3551"/>
      <c r="M3551"/>
      <c r="N3551"/>
      <c r="O3551"/>
      <c r="P3551"/>
      <c r="T3551">
        <v>171</v>
      </c>
      <c r="U3551" s="7">
        <v>3</v>
      </c>
      <c r="V3551" t="s">
        <v>555</v>
      </c>
      <c r="W3551" s="257" t="s">
        <v>612</v>
      </c>
      <c r="X3551" t="s">
        <v>1262</v>
      </c>
      <c r="Y3551" s="316" t="s">
        <v>61</v>
      </c>
      <c r="Z3551" s="8">
        <v>4</v>
      </c>
      <c r="AA3551" s="202" t="str">
        <f t="shared" si="56"/>
        <v>Масло растительное</v>
      </c>
    </row>
    <row r="3552" spans="1:27" ht="15" customHeight="1" x14ac:dyDescent="0.25">
      <c r="A3552" t="s">
        <v>153</v>
      </c>
      <c r="L3552"/>
      <c r="M3552"/>
      <c r="N3552"/>
      <c r="O3552"/>
      <c r="P3552"/>
      <c r="T3552">
        <v>172</v>
      </c>
      <c r="U3552" s="7">
        <v>3</v>
      </c>
      <c r="V3552" t="s">
        <v>555</v>
      </c>
      <c r="W3552" s="257" t="s">
        <v>612</v>
      </c>
      <c r="X3552" t="s">
        <v>1262</v>
      </c>
      <c r="Y3552" s="316" t="s">
        <v>479</v>
      </c>
      <c r="Z3552" s="8">
        <v>400</v>
      </c>
      <c r="AA3552" s="202" t="str">
        <f t="shared" si="56"/>
        <v>Вода или бульон</v>
      </c>
    </row>
    <row r="3553" spans="1:27" ht="15" customHeight="1" x14ac:dyDescent="0.25">
      <c r="A3553" t="s">
        <v>153</v>
      </c>
      <c r="L3553"/>
      <c r="M3553"/>
      <c r="N3553"/>
      <c r="O3553"/>
      <c r="P3553"/>
      <c r="T3553">
        <v>173</v>
      </c>
      <c r="U3553" s="7">
        <v>3</v>
      </c>
      <c r="V3553" t="s">
        <v>555</v>
      </c>
      <c r="W3553" s="257" t="s">
        <v>612</v>
      </c>
      <c r="X3553" t="s">
        <v>1262</v>
      </c>
      <c r="Y3553" s="316" t="s">
        <v>70</v>
      </c>
      <c r="Z3553" s="8">
        <v>5</v>
      </c>
      <c r="AA3553" s="202" t="str">
        <f t="shared" si="56"/>
        <v>Зелень</v>
      </c>
    </row>
    <row r="3554" spans="1:27" ht="15" customHeight="1" x14ac:dyDescent="0.25">
      <c r="A3554" t="s">
        <v>153</v>
      </c>
      <c r="L3554"/>
      <c r="M3554"/>
      <c r="N3554"/>
      <c r="O3554"/>
      <c r="P3554"/>
      <c r="T3554">
        <v>174</v>
      </c>
      <c r="U3554" s="7">
        <v>3</v>
      </c>
      <c r="V3554" t="s">
        <v>555</v>
      </c>
      <c r="W3554" s="257" t="s">
        <v>612</v>
      </c>
      <c r="X3554" t="s">
        <v>1262</v>
      </c>
      <c r="Y3554" s="316" t="s">
        <v>54</v>
      </c>
      <c r="Z3554" s="8">
        <v>5</v>
      </c>
      <c r="AA3554" s="202" t="str">
        <f t="shared" si="56"/>
        <v>Сметана</v>
      </c>
    </row>
    <row r="3555" spans="1:27" ht="15" customHeight="1" x14ac:dyDescent="0.25">
      <c r="A3555" t="s">
        <v>153</v>
      </c>
      <c r="L3555"/>
      <c r="M3555"/>
      <c r="N3555"/>
      <c r="O3555"/>
      <c r="P3555"/>
      <c r="T3555">
        <v>175</v>
      </c>
      <c r="U3555" s="7">
        <v>3</v>
      </c>
      <c r="V3555" t="s">
        <v>555</v>
      </c>
      <c r="W3555" s="257" t="s">
        <v>612</v>
      </c>
      <c r="X3555" t="s">
        <v>1262</v>
      </c>
      <c r="Y3555" s="316" t="s">
        <v>326</v>
      </c>
      <c r="Z3555" s="8">
        <v>4</v>
      </c>
      <c r="AA3555" s="202" t="str">
        <f t="shared" si="56"/>
        <v>Соль</v>
      </c>
    </row>
    <row r="3556" spans="1:27" ht="15" customHeight="1" x14ac:dyDescent="0.25">
      <c r="A3556" t="s">
        <v>153</v>
      </c>
      <c r="L3556"/>
      <c r="M3556"/>
      <c r="N3556"/>
      <c r="O3556"/>
      <c r="P3556"/>
      <c r="T3556">
        <v>176</v>
      </c>
      <c r="U3556" s="7">
        <v>3</v>
      </c>
      <c r="V3556" t="s">
        <v>555</v>
      </c>
      <c r="W3556" s="257" t="s">
        <v>612</v>
      </c>
      <c r="X3556" t="s">
        <v>1262</v>
      </c>
      <c r="Y3556" s="316" t="s">
        <v>558</v>
      </c>
      <c r="Z3556" s="8">
        <v>500</v>
      </c>
      <c r="AA3556" s="202" t="str">
        <f t="shared" si="56"/>
        <v>Общая масса готового блюда, г</v>
      </c>
    </row>
    <row r="3557" spans="1:27" ht="15" customHeight="1" x14ac:dyDescent="0.25">
      <c r="A3557" t="s">
        <v>153</v>
      </c>
      <c r="L3557"/>
      <c r="M3557"/>
      <c r="N3557"/>
      <c r="O3557"/>
      <c r="P3557"/>
      <c r="T3557">
        <v>177</v>
      </c>
      <c r="U3557" s="7">
        <v>3</v>
      </c>
      <c r="V3557" t="s">
        <v>555</v>
      </c>
      <c r="W3557" s="257" t="s">
        <v>612</v>
      </c>
      <c r="X3557" t="s">
        <v>1262</v>
      </c>
      <c r="Y3557" s="316" t="s">
        <v>109</v>
      </c>
      <c r="Z3557" s="8">
        <v>250</v>
      </c>
      <c r="AA3557" s="202" t="str">
        <f t="shared" si="56"/>
        <v>ОКГ</v>
      </c>
    </row>
    <row r="3558" spans="1:27" ht="15" customHeight="1" x14ac:dyDescent="0.25">
      <c r="A3558" t="s">
        <v>153</v>
      </c>
      <c r="L3558"/>
      <c r="M3558"/>
      <c r="N3558"/>
      <c r="O3558"/>
      <c r="P3558"/>
      <c r="T3558">
        <v>178</v>
      </c>
      <c r="U3558" s="7">
        <v>3</v>
      </c>
      <c r="V3558" t="s">
        <v>555</v>
      </c>
      <c r="W3558" s="257" t="s">
        <v>612</v>
      </c>
      <c r="X3558" t="s">
        <v>1262</v>
      </c>
      <c r="Y3558" s="316" t="s">
        <v>74</v>
      </c>
      <c r="Z3558" s="8">
        <v>0.02</v>
      </c>
      <c r="AA3558" s="202" t="str">
        <f t="shared" si="56"/>
        <v>Лавровый лист</v>
      </c>
    </row>
    <row r="3559" spans="1:27" ht="15" customHeight="1" x14ac:dyDescent="0.25">
      <c r="A3559" t="s">
        <v>153</v>
      </c>
      <c r="L3559"/>
      <c r="M3559"/>
      <c r="N3559"/>
      <c r="O3559"/>
      <c r="P3559"/>
      <c r="T3559">
        <v>179</v>
      </c>
      <c r="U3559" s="7">
        <v>3</v>
      </c>
      <c r="V3559" t="s">
        <v>555</v>
      </c>
      <c r="W3559" s="257" t="s">
        <v>612</v>
      </c>
      <c r="X3559" t="s">
        <v>1262</v>
      </c>
      <c r="Y3559" s="316" t="s">
        <v>484</v>
      </c>
      <c r="Z3559" s="8">
        <v>0.05</v>
      </c>
      <c r="AA3559" s="202" t="str">
        <f t="shared" si="56"/>
        <v>Перец черный</v>
      </c>
    </row>
    <row r="3560" spans="1:27" ht="15" customHeight="1" x14ac:dyDescent="0.25">
      <c r="A3560" t="s">
        <v>153</v>
      </c>
      <c r="L3560"/>
      <c r="M3560"/>
      <c r="N3560"/>
      <c r="O3560"/>
      <c r="P3560"/>
      <c r="T3560">
        <v>166</v>
      </c>
      <c r="U3560" s="7">
        <v>3</v>
      </c>
      <c r="V3560" t="s">
        <v>555</v>
      </c>
      <c r="W3560" s="257" t="s">
        <v>612</v>
      </c>
      <c r="X3560" t="s">
        <v>1261</v>
      </c>
      <c r="Y3560" s="316" t="s">
        <v>33</v>
      </c>
      <c r="Z3560" s="8">
        <v>20</v>
      </c>
      <c r="AA3560" s="202" t="str">
        <f t="shared" si="56"/>
        <v>Пшено</v>
      </c>
    </row>
    <row r="3561" spans="1:27" ht="15" customHeight="1" x14ac:dyDescent="0.25">
      <c r="A3561" t="s">
        <v>153</v>
      </c>
      <c r="L3561"/>
      <c r="M3561"/>
      <c r="N3561"/>
      <c r="O3561"/>
      <c r="P3561"/>
      <c r="T3561">
        <v>167</v>
      </c>
      <c r="U3561" s="7">
        <v>3</v>
      </c>
      <c r="V3561" t="s">
        <v>555</v>
      </c>
      <c r="W3561" s="257" t="s">
        <v>612</v>
      </c>
      <c r="X3561" t="s">
        <v>1261</v>
      </c>
      <c r="Y3561" s="316" t="s">
        <v>76</v>
      </c>
      <c r="Z3561" s="8">
        <v>4</v>
      </c>
      <c r="AA3561" s="202" t="str">
        <f t="shared" si="56"/>
        <v>Томат-паста</v>
      </c>
    </row>
    <row r="3562" spans="1:27" ht="15" customHeight="1" x14ac:dyDescent="0.25">
      <c r="A3562" t="s">
        <v>153</v>
      </c>
      <c r="L3562"/>
      <c r="M3562"/>
      <c r="N3562"/>
      <c r="O3562"/>
      <c r="P3562"/>
      <c r="T3562">
        <v>168</v>
      </c>
      <c r="U3562" s="7">
        <v>3</v>
      </c>
      <c r="V3562" t="s">
        <v>555</v>
      </c>
      <c r="W3562" s="257" t="s">
        <v>612</v>
      </c>
      <c r="X3562" t="s">
        <v>1261</v>
      </c>
      <c r="Y3562" s="316" t="s">
        <v>489</v>
      </c>
      <c r="Z3562" s="8">
        <v>125</v>
      </c>
      <c r="AA3562" s="202" t="str">
        <f t="shared" si="56"/>
        <v>Капуста консерв.</v>
      </c>
    </row>
    <row r="3563" spans="1:27" ht="15" customHeight="1" x14ac:dyDescent="0.25">
      <c r="A3563" t="s">
        <v>153</v>
      </c>
      <c r="L3563"/>
      <c r="M3563"/>
      <c r="N3563"/>
      <c r="O3563"/>
      <c r="P3563"/>
      <c r="T3563">
        <v>169</v>
      </c>
      <c r="U3563" s="7">
        <v>3</v>
      </c>
      <c r="V3563" t="s">
        <v>555</v>
      </c>
      <c r="W3563" s="257" t="s">
        <v>612</v>
      </c>
      <c r="X3563" t="s">
        <v>1261</v>
      </c>
      <c r="Y3563" s="316" t="s">
        <v>46</v>
      </c>
      <c r="Z3563" s="8">
        <v>10</v>
      </c>
      <c r="AA3563" s="202" t="str">
        <f t="shared" si="56"/>
        <v>Морковь</v>
      </c>
    </row>
    <row r="3564" spans="1:27" ht="15" customHeight="1" x14ac:dyDescent="0.25">
      <c r="A3564" t="s">
        <v>153</v>
      </c>
      <c r="L3564"/>
      <c r="M3564"/>
      <c r="N3564"/>
      <c r="O3564"/>
      <c r="P3564"/>
      <c r="T3564">
        <v>170</v>
      </c>
      <c r="U3564" s="7">
        <v>3</v>
      </c>
      <c r="V3564" t="s">
        <v>555</v>
      </c>
      <c r="W3564" s="257" t="s">
        <v>612</v>
      </c>
      <c r="X3564" t="s">
        <v>1261</v>
      </c>
      <c r="Y3564" s="316" t="s">
        <v>32</v>
      </c>
      <c r="Z3564" s="8">
        <v>10</v>
      </c>
      <c r="AA3564" s="202" t="str">
        <f t="shared" si="56"/>
        <v>Лук репчатый</v>
      </c>
    </row>
    <row r="3565" spans="1:27" ht="15" customHeight="1" x14ac:dyDescent="0.25">
      <c r="A3565" t="s">
        <v>153</v>
      </c>
      <c r="L3565"/>
      <c r="M3565"/>
      <c r="N3565"/>
      <c r="O3565"/>
      <c r="P3565"/>
      <c r="T3565">
        <v>171</v>
      </c>
      <c r="U3565" s="7">
        <v>3</v>
      </c>
      <c r="V3565" t="s">
        <v>555</v>
      </c>
      <c r="W3565" s="257" t="s">
        <v>612</v>
      </c>
      <c r="X3565" t="s">
        <v>1261</v>
      </c>
      <c r="Y3565" s="316" t="s">
        <v>61</v>
      </c>
      <c r="Z3565" s="8">
        <v>4</v>
      </c>
      <c r="AA3565" s="202" t="str">
        <f t="shared" si="56"/>
        <v>Масло растительное</v>
      </c>
    </row>
    <row r="3566" spans="1:27" ht="15" customHeight="1" x14ac:dyDescent="0.25">
      <c r="A3566" t="s">
        <v>153</v>
      </c>
      <c r="L3566"/>
      <c r="M3566"/>
      <c r="N3566"/>
      <c r="O3566"/>
      <c r="P3566"/>
      <c r="T3566">
        <v>172</v>
      </c>
      <c r="U3566" s="7">
        <v>3</v>
      </c>
      <c r="V3566" t="s">
        <v>555</v>
      </c>
      <c r="W3566" s="257" t="s">
        <v>612</v>
      </c>
      <c r="X3566" t="s">
        <v>1261</v>
      </c>
      <c r="Y3566" s="316" t="s">
        <v>479</v>
      </c>
      <c r="Z3566" s="8">
        <v>400</v>
      </c>
      <c r="AA3566" s="202" t="str">
        <f t="shared" si="56"/>
        <v>Вода или бульон</v>
      </c>
    </row>
    <row r="3567" spans="1:27" ht="15" customHeight="1" x14ac:dyDescent="0.25">
      <c r="A3567" t="s">
        <v>153</v>
      </c>
      <c r="L3567"/>
      <c r="M3567"/>
      <c r="N3567"/>
      <c r="O3567"/>
      <c r="P3567"/>
      <c r="T3567">
        <v>173</v>
      </c>
      <c r="U3567" s="7">
        <v>3</v>
      </c>
      <c r="V3567" t="s">
        <v>555</v>
      </c>
      <c r="W3567" s="257" t="s">
        <v>612</v>
      </c>
      <c r="X3567" t="s">
        <v>1261</v>
      </c>
      <c r="Y3567" s="316" t="s">
        <v>70</v>
      </c>
      <c r="Z3567" s="8">
        <v>5</v>
      </c>
      <c r="AA3567" s="202" t="str">
        <f t="shared" si="56"/>
        <v>Зелень</v>
      </c>
    </row>
    <row r="3568" spans="1:27" ht="15" customHeight="1" x14ac:dyDescent="0.25">
      <c r="A3568" t="s">
        <v>153</v>
      </c>
      <c r="L3568"/>
      <c r="M3568"/>
      <c r="N3568"/>
      <c r="O3568"/>
      <c r="P3568"/>
      <c r="T3568">
        <v>174</v>
      </c>
      <c r="U3568" s="7">
        <v>3</v>
      </c>
      <c r="V3568" t="s">
        <v>555</v>
      </c>
      <c r="W3568" s="257" t="s">
        <v>612</v>
      </c>
      <c r="X3568" t="s">
        <v>1261</v>
      </c>
      <c r="Y3568" s="316" t="s">
        <v>54</v>
      </c>
      <c r="Z3568" s="8">
        <v>5</v>
      </c>
      <c r="AA3568" s="202" t="str">
        <f t="shared" si="56"/>
        <v>Сметана</v>
      </c>
    </row>
    <row r="3569" spans="1:27" ht="15" customHeight="1" x14ac:dyDescent="0.25">
      <c r="A3569" t="s">
        <v>153</v>
      </c>
      <c r="L3569"/>
      <c r="M3569"/>
      <c r="N3569"/>
      <c r="O3569"/>
      <c r="P3569"/>
      <c r="T3569">
        <v>175</v>
      </c>
      <c r="U3569" s="7">
        <v>3</v>
      </c>
      <c r="V3569" t="s">
        <v>555</v>
      </c>
      <c r="W3569" s="257" t="s">
        <v>612</v>
      </c>
      <c r="X3569" t="s">
        <v>1261</v>
      </c>
      <c r="Y3569" s="316" t="s">
        <v>326</v>
      </c>
      <c r="Z3569" s="8">
        <v>4</v>
      </c>
      <c r="AA3569" s="202" t="str">
        <f t="shared" si="56"/>
        <v>Соль</v>
      </c>
    </row>
    <row r="3570" spans="1:27" ht="15" customHeight="1" x14ac:dyDescent="0.25">
      <c r="A3570" t="s">
        <v>153</v>
      </c>
      <c r="L3570"/>
      <c r="M3570"/>
      <c r="N3570"/>
      <c r="O3570"/>
      <c r="P3570"/>
      <c r="T3570">
        <v>176</v>
      </c>
      <c r="U3570" s="7">
        <v>3</v>
      </c>
      <c r="V3570" t="s">
        <v>555</v>
      </c>
      <c r="W3570" s="257" t="s">
        <v>612</v>
      </c>
      <c r="X3570" t="s">
        <v>1261</v>
      </c>
      <c r="Y3570" s="316" t="s">
        <v>558</v>
      </c>
      <c r="Z3570" s="8">
        <v>500</v>
      </c>
      <c r="AA3570" s="202" t="str">
        <f t="shared" si="56"/>
        <v>Общая масса готового блюда, г</v>
      </c>
    </row>
    <row r="3571" spans="1:27" ht="15" customHeight="1" x14ac:dyDescent="0.25">
      <c r="A3571" t="s">
        <v>153</v>
      </c>
      <c r="L3571"/>
      <c r="M3571"/>
      <c r="N3571"/>
      <c r="O3571"/>
      <c r="P3571"/>
      <c r="T3571">
        <v>177</v>
      </c>
      <c r="U3571" s="7">
        <v>3</v>
      </c>
      <c r="V3571" t="s">
        <v>555</v>
      </c>
      <c r="W3571" s="257" t="s">
        <v>612</v>
      </c>
      <c r="X3571" t="s">
        <v>1261</v>
      </c>
      <c r="Y3571" s="316" t="s">
        <v>109</v>
      </c>
      <c r="Z3571" s="8">
        <v>250</v>
      </c>
      <c r="AA3571" s="202" t="str">
        <f t="shared" si="56"/>
        <v>ОКГ</v>
      </c>
    </row>
    <row r="3572" spans="1:27" ht="15" customHeight="1" x14ac:dyDescent="0.25">
      <c r="A3572" t="s">
        <v>153</v>
      </c>
      <c r="L3572"/>
      <c r="M3572"/>
      <c r="N3572"/>
      <c r="O3572"/>
      <c r="P3572"/>
      <c r="T3572">
        <v>178</v>
      </c>
      <c r="U3572" s="7">
        <v>3</v>
      </c>
      <c r="V3572" t="s">
        <v>555</v>
      </c>
      <c r="W3572" s="257" t="s">
        <v>612</v>
      </c>
      <c r="X3572" t="s">
        <v>1261</v>
      </c>
      <c r="Y3572" s="316" t="s">
        <v>74</v>
      </c>
      <c r="Z3572" s="8">
        <v>0.02</v>
      </c>
      <c r="AA3572" s="202" t="str">
        <f t="shared" si="56"/>
        <v>Лавровый лист</v>
      </c>
    </row>
    <row r="3573" spans="1:27" ht="15" customHeight="1" x14ac:dyDescent="0.25">
      <c r="A3573" t="s">
        <v>153</v>
      </c>
      <c r="L3573"/>
      <c r="M3573"/>
      <c r="N3573"/>
      <c r="O3573"/>
      <c r="P3573"/>
      <c r="T3573">
        <v>179</v>
      </c>
      <c r="U3573" s="7">
        <v>3</v>
      </c>
      <c r="V3573" t="s">
        <v>555</v>
      </c>
      <c r="W3573" s="257" t="s">
        <v>612</v>
      </c>
      <c r="X3573" t="s">
        <v>1261</v>
      </c>
      <c r="Y3573" s="316" t="s">
        <v>484</v>
      </c>
      <c r="Z3573" s="8">
        <v>0.05</v>
      </c>
      <c r="AA3573" s="202" t="str">
        <f t="shared" si="56"/>
        <v>Перец черный</v>
      </c>
    </row>
    <row r="3574" spans="1:27" ht="15" customHeight="1" x14ac:dyDescent="0.25">
      <c r="A3574" t="s">
        <v>153</v>
      </c>
      <c r="L3574"/>
      <c r="M3574"/>
      <c r="N3574"/>
      <c r="O3574"/>
      <c r="P3574"/>
      <c r="T3574">
        <v>2465</v>
      </c>
      <c r="U3574" s="7">
        <v>3</v>
      </c>
      <c r="V3574" t="s">
        <v>613</v>
      </c>
      <c r="W3574" s="257" t="s">
        <v>964</v>
      </c>
      <c r="X3574" t="s">
        <v>965</v>
      </c>
      <c r="Y3574" s="316" t="s">
        <v>462</v>
      </c>
      <c r="Z3574" s="8">
        <v>100</v>
      </c>
      <c r="AA3574" s="202" t="str">
        <f t="shared" si="56"/>
        <v>Свинина на кости</v>
      </c>
    </row>
    <row r="3575" spans="1:27" ht="15" customHeight="1" x14ac:dyDescent="0.25">
      <c r="A3575" t="s">
        <v>153</v>
      </c>
      <c r="L3575"/>
      <c r="M3575"/>
      <c r="N3575"/>
      <c r="O3575"/>
      <c r="P3575"/>
      <c r="T3575">
        <v>2465</v>
      </c>
      <c r="U3575" s="7">
        <v>3</v>
      </c>
      <c r="V3575" t="s">
        <v>613</v>
      </c>
      <c r="W3575" s="257" t="s">
        <v>964</v>
      </c>
      <c r="X3575" t="s">
        <v>965</v>
      </c>
      <c r="Y3575" s="316" t="s">
        <v>61</v>
      </c>
      <c r="Z3575" s="8">
        <v>3</v>
      </c>
      <c r="AA3575" s="202" t="str">
        <f t="shared" si="56"/>
        <v>Масло растительное</v>
      </c>
    </row>
    <row r="3576" spans="1:27" ht="15" customHeight="1" x14ac:dyDescent="0.25">
      <c r="A3576" t="s">
        <v>153</v>
      </c>
      <c r="L3576"/>
      <c r="M3576"/>
      <c r="N3576"/>
      <c r="O3576"/>
      <c r="P3576"/>
      <c r="T3576">
        <v>2465</v>
      </c>
      <c r="U3576" s="7">
        <v>3</v>
      </c>
      <c r="V3576" t="s">
        <v>613</v>
      </c>
      <c r="W3576" s="257" t="s">
        <v>964</v>
      </c>
      <c r="X3576" t="s">
        <v>965</v>
      </c>
      <c r="Y3576" s="316" t="s">
        <v>326</v>
      </c>
      <c r="Z3576" s="8">
        <v>2</v>
      </c>
      <c r="AA3576" s="202" t="str">
        <f t="shared" si="56"/>
        <v>Соль</v>
      </c>
    </row>
    <row r="3577" spans="1:27" ht="15" customHeight="1" x14ac:dyDescent="0.25">
      <c r="A3577" t="s">
        <v>153</v>
      </c>
      <c r="L3577"/>
      <c r="M3577"/>
      <c r="N3577"/>
      <c r="O3577"/>
      <c r="P3577"/>
      <c r="T3577">
        <v>2465</v>
      </c>
      <c r="U3577" s="7">
        <v>3</v>
      </c>
      <c r="V3577" t="s">
        <v>613</v>
      </c>
      <c r="W3577" s="257" t="s">
        <v>964</v>
      </c>
      <c r="X3577" t="s">
        <v>965</v>
      </c>
      <c r="Y3577" s="316" t="s">
        <v>484</v>
      </c>
      <c r="Z3577" s="8">
        <v>1</v>
      </c>
      <c r="AA3577" s="202" t="str">
        <f t="shared" si="56"/>
        <v>Перец черный</v>
      </c>
    </row>
    <row r="3578" spans="1:27" ht="15" customHeight="1" x14ac:dyDescent="0.25">
      <c r="A3578" t="s">
        <v>153</v>
      </c>
      <c r="L3578"/>
      <c r="M3578"/>
      <c r="N3578"/>
      <c r="O3578"/>
      <c r="P3578"/>
      <c r="T3578">
        <v>2465</v>
      </c>
      <c r="U3578" s="7">
        <v>3</v>
      </c>
      <c r="V3578" t="s">
        <v>613</v>
      </c>
      <c r="W3578" s="257" t="s">
        <v>964</v>
      </c>
      <c r="X3578" t="s">
        <v>965</v>
      </c>
      <c r="Y3578" s="316" t="s">
        <v>558</v>
      </c>
      <c r="Z3578" s="8">
        <v>58</v>
      </c>
      <c r="AA3578" s="202" t="str">
        <f t="shared" si="56"/>
        <v>Общая масса готового блюда, г</v>
      </c>
    </row>
    <row r="3579" spans="1:27" ht="15" customHeight="1" x14ac:dyDescent="0.25">
      <c r="A3579" t="s">
        <v>153</v>
      </c>
      <c r="L3579"/>
      <c r="M3579"/>
      <c r="N3579"/>
      <c r="O3579"/>
      <c r="P3579"/>
      <c r="T3579">
        <v>2465</v>
      </c>
      <c r="U3579" s="7">
        <v>3</v>
      </c>
      <c r="V3579" t="s">
        <v>613</v>
      </c>
      <c r="W3579" s="257" t="s">
        <v>964</v>
      </c>
      <c r="X3579" t="s">
        <v>965</v>
      </c>
      <c r="Y3579" s="316" t="s">
        <v>434</v>
      </c>
      <c r="Z3579" s="8">
        <v>7</v>
      </c>
      <c r="AA3579" s="202" t="str">
        <f t="shared" si="56"/>
        <v>Мука пшеничная 1 с</v>
      </c>
    </row>
    <row r="3580" spans="1:27" ht="15" customHeight="1" x14ac:dyDescent="0.25">
      <c r="A3580" t="s">
        <v>153</v>
      </c>
      <c r="L3580"/>
      <c r="M3580"/>
      <c r="N3580"/>
      <c r="O3580"/>
      <c r="P3580"/>
      <c r="T3580">
        <v>2465</v>
      </c>
      <c r="U3580" s="7">
        <v>3</v>
      </c>
      <c r="V3580" t="s">
        <v>613</v>
      </c>
      <c r="W3580" s="257" t="s">
        <v>964</v>
      </c>
      <c r="X3580" t="s">
        <v>965</v>
      </c>
      <c r="Y3580" s="316" t="s">
        <v>1214</v>
      </c>
      <c r="Z3580" s="8">
        <v>58</v>
      </c>
      <c r="AA3580" s="202" t="str">
        <f t="shared" si="56"/>
        <v>Масса мясных и рыбных порций, г</v>
      </c>
    </row>
    <row r="3581" spans="1:27" ht="15" customHeight="1" x14ac:dyDescent="0.25">
      <c r="A3581" t="s">
        <v>153</v>
      </c>
      <c r="L3581"/>
      <c r="M3581"/>
      <c r="N3581"/>
      <c r="O3581"/>
      <c r="P3581"/>
      <c r="T3581">
        <v>1179</v>
      </c>
      <c r="U3581" s="7">
        <v>3</v>
      </c>
      <c r="V3581" t="s">
        <v>1192</v>
      </c>
      <c r="W3581" s="257" t="s">
        <v>1145</v>
      </c>
      <c r="X3581" t="s">
        <v>1146</v>
      </c>
      <c r="Y3581" s="316" t="s">
        <v>79</v>
      </c>
      <c r="Z3581" s="8">
        <v>1</v>
      </c>
      <c r="AA3581" s="202" t="str">
        <f t="shared" si="56"/>
        <v>Яйцо (шт)</v>
      </c>
    </row>
    <row r="3582" spans="1:27" ht="15" customHeight="1" x14ac:dyDescent="0.25">
      <c r="A3582" t="s">
        <v>153</v>
      </c>
      <c r="L3582"/>
      <c r="M3582"/>
      <c r="N3582"/>
      <c r="O3582"/>
      <c r="P3582"/>
      <c r="T3582">
        <v>1180</v>
      </c>
      <c r="U3582" s="7">
        <v>3</v>
      </c>
      <c r="V3582" t="s">
        <v>1192</v>
      </c>
      <c r="W3582" s="257" t="s">
        <v>1145</v>
      </c>
      <c r="X3582" t="s">
        <v>1146</v>
      </c>
      <c r="Y3582" s="316" t="s">
        <v>326</v>
      </c>
      <c r="Z3582" s="8">
        <v>2</v>
      </c>
      <c r="AA3582" s="202" t="str">
        <f t="shared" si="56"/>
        <v>Соль</v>
      </c>
    </row>
    <row r="3583" spans="1:27" ht="15" customHeight="1" x14ac:dyDescent="0.25">
      <c r="A3583" t="s">
        <v>153</v>
      </c>
      <c r="L3583"/>
      <c r="M3583"/>
      <c r="N3583"/>
      <c r="O3583"/>
      <c r="P3583"/>
      <c r="T3583">
        <v>1181</v>
      </c>
      <c r="U3583" s="7">
        <v>3</v>
      </c>
      <c r="V3583" t="s">
        <v>1192</v>
      </c>
      <c r="W3583" s="257" t="s">
        <v>1145</v>
      </c>
      <c r="X3583" t="s">
        <v>1146</v>
      </c>
      <c r="Y3583" s="316" t="s">
        <v>558</v>
      </c>
      <c r="Z3583" s="8">
        <v>40</v>
      </c>
      <c r="AA3583" s="202" t="str">
        <f t="shared" si="56"/>
        <v>Общая масса готового блюда, г</v>
      </c>
    </row>
    <row r="3584" spans="1:27" ht="15" customHeight="1" x14ac:dyDescent="0.25">
      <c r="A3584" t="s">
        <v>153</v>
      </c>
      <c r="L3584"/>
      <c r="M3584"/>
      <c r="N3584"/>
      <c r="O3584"/>
      <c r="P3584"/>
    </row>
    <row r="3585" spans="1:16" ht="15" customHeight="1" x14ac:dyDescent="0.25">
      <c r="A3585" t="s">
        <v>153</v>
      </c>
      <c r="L3585"/>
      <c r="M3585"/>
      <c r="N3585"/>
      <c r="O3585"/>
      <c r="P3585"/>
    </row>
    <row r="3586" spans="1:16" ht="15" customHeight="1" x14ac:dyDescent="0.25">
      <c r="A3586" t="s">
        <v>153</v>
      </c>
      <c r="L3586"/>
      <c r="M3586"/>
      <c r="N3586"/>
      <c r="O3586"/>
      <c r="P3586"/>
    </row>
    <row r="3587" spans="1:16" ht="15" customHeight="1" x14ac:dyDescent="0.25">
      <c r="A3587" t="s">
        <v>153</v>
      </c>
      <c r="L3587"/>
      <c r="M3587"/>
      <c r="N3587"/>
      <c r="O3587"/>
      <c r="P3587"/>
    </row>
    <row r="3588" spans="1:16" ht="15" customHeight="1" x14ac:dyDescent="0.25">
      <c r="A3588" t="s">
        <v>153</v>
      </c>
      <c r="L3588"/>
      <c r="M3588"/>
      <c r="N3588"/>
      <c r="O3588"/>
      <c r="P3588"/>
    </row>
    <row r="3589" spans="1:16" ht="15" customHeight="1" x14ac:dyDescent="0.25">
      <c r="A3589" t="s">
        <v>153</v>
      </c>
      <c r="L3589"/>
      <c r="M3589"/>
      <c r="N3589"/>
      <c r="O3589"/>
      <c r="P3589"/>
    </row>
    <row r="3590" spans="1:16" ht="15" customHeight="1" x14ac:dyDescent="0.25">
      <c r="A3590" t="s">
        <v>153</v>
      </c>
      <c r="L3590"/>
      <c r="M3590"/>
      <c r="N3590"/>
      <c r="O3590"/>
      <c r="P3590"/>
    </row>
    <row r="3591" spans="1:16" ht="15" customHeight="1" x14ac:dyDescent="0.25">
      <c r="A3591" t="s">
        <v>153</v>
      </c>
      <c r="L3591"/>
      <c r="M3591"/>
      <c r="N3591"/>
      <c r="O3591"/>
      <c r="P3591"/>
    </row>
    <row r="3592" spans="1:16" ht="15" customHeight="1" x14ac:dyDescent="0.25">
      <c r="A3592" t="s">
        <v>153</v>
      </c>
      <c r="L3592"/>
      <c r="M3592"/>
      <c r="N3592"/>
      <c r="O3592"/>
      <c r="P3592"/>
    </row>
    <row r="3593" spans="1:16" ht="15" customHeight="1" x14ac:dyDescent="0.25">
      <c r="A3593" t="s">
        <v>153</v>
      </c>
      <c r="L3593"/>
      <c r="M3593"/>
      <c r="N3593"/>
      <c r="O3593"/>
      <c r="P3593"/>
    </row>
    <row r="3594" spans="1:16" ht="15" customHeight="1" x14ac:dyDescent="0.25">
      <c r="A3594" t="s">
        <v>153</v>
      </c>
      <c r="L3594"/>
      <c r="M3594"/>
      <c r="N3594"/>
      <c r="O3594"/>
      <c r="P3594"/>
    </row>
    <row r="3595" spans="1:16" ht="15" customHeight="1" x14ac:dyDescent="0.25">
      <c r="A3595" t="s">
        <v>153</v>
      </c>
      <c r="L3595"/>
      <c r="M3595"/>
      <c r="N3595"/>
      <c r="O3595"/>
      <c r="P3595"/>
    </row>
    <row r="3596" spans="1:16" ht="15" customHeight="1" x14ac:dyDescent="0.25">
      <c r="A3596" t="s">
        <v>153</v>
      </c>
      <c r="L3596"/>
      <c r="M3596"/>
      <c r="N3596"/>
      <c r="O3596"/>
      <c r="P3596"/>
    </row>
    <row r="3597" spans="1:16" ht="15" customHeight="1" x14ac:dyDescent="0.25">
      <c r="A3597" t="s">
        <v>153</v>
      </c>
      <c r="L3597"/>
      <c r="M3597"/>
      <c r="N3597"/>
      <c r="O3597"/>
      <c r="P3597"/>
    </row>
    <row r="3598" spans="1:16" ht="15" customHeight="1" x14ac:dyDescent="0.25">
      <c r="A3598" t="s">
        <v>153</v>
      </c>
      <c r="L3598"/>
      <c r="M3598"/>
      <c r="N3598"/>
      <c r="O3598"/>
      <c r="P3598"/>
    </row>
    <row r="3599" spans="1:16" ht="15" customHeight="1" x14ac:dyDescent="0.25">
      <c r="A3599" t="s">
        <v>153</v>
      </c>
      <c r="L3599"/>
      <c r="M3599"/>
      <c r="N3599"/>
      <c r="O3599"/>
      <c r="P3599"/>
    </row>
    <row r="3600" spans="1:16" ht="15" customHeight="1" x14ac:dyDescent="0.25">
      <c r="A3600" t="s">
        <v>153</v>
      </c>
      <c r="L3600"/>
      <c r="M3600"/>
      <c r="N3600"/>
      <c r="O3600"/>
      <c r="P3600"/>
    </row>
    <row r="3601" spans="1:16" ht="15" customHeight="1" x14ac:dyDescent="0.25">
      <c r="A3601" t="s">
        <v>153</v>
      </c>
      <c r="L3601"/>
      <c r="M3601"/>
      <c r="N3601"/>
      <c r="O3601"/>
      <c r="P3601"/>
    </row>
    <row r="3602" spans="1:16" ht="15" customHeight="1" x14ac:dyDescent="0.25">
      <c r="A3602" t="s">
        <v>153</v>
      </c>
      <c r="L3602"/>
      <c r="M3602"/>
      <c r="N3602"/>
      <c r="O3602"/>
      <c r="P3602"/>
    </row>
    <row r="3603" spans="1:16" ht="15" customHeight="1" x14ac:dyDescent="0.25">
      <c r="A3603" t="s">
        <v>153</v>
      </c>
      <c r="L3603"/>
      <c r="M3603"/>
      <c r="N3603"/>
      <c r="O3603"/>
      <c r="P3603"/>
    </row>
    <row r="3604" spans="1:16" ht="15" customHeight="1" x14ac:dyDescent="0.25">
      <c r="A3604" t="s">
        <v>153</v>
      </c>
      <c r="L3604"/>
      <c r="M3604"/>
      <c r="N3604"/>
      <c r="O3604"/>
      <c r="P3604"/>
    </row>
    <row r="3605" spans="1:16" ht="15" customHeight="1" x14ac:dyDescent="0.25">
      <c r="A3605" t="s">
        <v>153</v>
      </c>
      <c r="L3605"/>
      <c r="M3605"/>
      <c r="N3605"/>
      <c r="O3605"/>
      <c r="P3605"/>
    </row>
    <row r="3606" spans="1:16" ht="15" customHeight="1" x14ac:dyDescent="0.25">
      <c r="A3606" t="s">
        <v>153</v>
      </c>
      <c r="L3606"/>
      <c r="M3606"/>
      <c r="N3606"/>
      <c r="O3606"/>
      <c r="P3606"/>
    </row>
    <row r="3607" spans="1:16" ht="15" customHeight="1" x14ac:dyDescent="0.25">
      <c r="A3607" t="s">
        <v>153</v>
      </c>
      <c r="L3607"/>
      <c r="M3607"/>
      <c r="N3607"/>
      <c r="O3607"/>
      <c r="P3607"/>
    </row>
    <row r="3608" spans="1:16" ht="15" customHeight="1" x14ac:dyDescent="0.25">
      <c r="A3608" t="s">
        <v>153</v>
      </c>
      <c r="L3608"/>
      <c r="M3608"/>
      <c r="N3608"/>
      <c r="O3608"/>
      <c r="P3608"/>
    </row>
    <row r="3609" spans="1:16" ht="15" customHeight="1" x14ac:dyDescent="0.25">
      <c r="A3609" t="s">
        <v>153</v>
      </c>
      <c r="L3609"/>
      <c r="M3609"/>
      <c r="N3609"/>
      <c r="O3609"/>
      <c r="P3609"/>
    </row>
    <row r="3610" spans="1:16" ht="15" customHeight="1" x14ac:dyDescent="0.25">
      <c r="A3610" t="s">
        <v>153</v>
      </c>
      <c r="L3610"/>
      <c r="M3610"/>
      <c r="N3610"/>
      <c r="O3610"/>
      <c r="P3610"/>
    </row>
    <row r="3611" spans="1:16" ht="15" customHeight="1" x14ac:dyDescent="0.25">
      <c r="A3611" t="s">
        <v>153</v>
      </c>
      <c r="L3611"/>
      <c r="M3611"/>
      <c r="N3611"/>
      <c r="O3611"/>
      <c r="P3611"/>
    </row>
    <row r="3612" spans="1:16" ht="15" customHeight="1" x14ac:dyDescent="0.25">
      <c r="A3612" t="s">
        <v>153</v>
      </c>
      <c r="L3612"/>
      <c r="M3612"/>
      <c r="N3612"/>
      <c r="O3612"/>
      <c r="P3612"/>
    </row>
    <row r="3613" spans="1:16" ht="15" customHeight="1" x14ac:dyDescent="0.25">
      <c r="A3613" t="s">
        <v>153</v>
      </c>
      <c r="L3613"/>
      <c r="M3613"/>
      <c r="N3613"/>
      <c r="O3613"/>
      <c r="P3613"/>
    </row>
    <row r="3614" spans="1:16" ht="15" customHeight="1" x14ac:dyDescent="0.25">
      <c r="A3614" t="s">
        <v>153</v>
      </c>
      <c r="L3614"/>
      <c r="M3614"/>
      <c r="N3614"/>
      <c r="O3614"/>
      <c r="P3614"/>
    </row>
    <row r="3615" spans="1:16" ht="15" customHeight="1" x14ac:dyDescent="0.25">
      <c r="A3615" t="s">
        <v>153</v>
      </c>
      <c r="L3615"/>
      <c r="M3615"/>
      <c r="N3615"/>
      <c r="O3615"/>
      <c r="P3615"/>
    </row>
    <row r="3616" spans="1:16" ht="15" customHeight="1" x14ac:dyDescent="0.25">
      <c r="A3616" t="s">
        <v>153</v>
      </c>
      <c r="L3616"/>
      <c r="M3616"/>
      <c r="N3616"/>
      <c r="O3616"/>
      <c r="P3616"/>
    </row>
    <row r="3617" spans="1:16" ht="15" customHeight="1" x14ac:dyDescent="0.25">
      <c r="A3617" t="s">
        <v>153</v>
      </c>
      <c r="L3617"/>
      <c r="M3617"/>
      <c r="N3617"/>
      <c r="O3617"/>
      <c r="P3617"/>
    </row>
    <row r="3618" spans="1:16" ht="15" customHeight="1" x14ac:dyDescent="0.25">
      <c r="A3618" t="s">
        <v>153</v>
      </c>
      <c r="L3618"/>
      <c r="M3618"/>
      <c r="N3618"/>
      <c r="O3618"/>
      <c r="P3618"/>
    </row>
    <row r="3619" spans="1:16" ht="15" customHeight="1" x14ac:dyDescent="0.25">
      <c r="A3619" t="s">
        <v>153</v>
      </c>
      <c r="L3619"/>
      <c r="M3619"/>
      <c r="N3619"/>
      <c r="O3619"/>
      <c r="P3619"/>
    </row>
    <row r="3620" spans="1:16" ht="15" customHeight="1" x14ac:dyDescent="0.25">
      <c r="A3620" t="s">
        <v>153</v>
      </c>
      <c r="L3620"/>
      <c r="M3620"/>
      <c r="N3620"/>
      <c r="O3620"/>
      <c r="P3620"/>
    </row>
    <row r="3621" spans="1:16" ht="15" customHeight="1" x14ac:dyDescent="0.25">
      <c r="A3621" t="s">
        <v>153</v>
      </c>
      <c r="L3621"/>
      <c r="M3621"/>
      <c r="N3621"/>
      <c r="O3621"/>
      <c r="P3621"/>
    </row>
    <row r="3622" spans="1:16" ht="15" customHeight="1" x14ac:dyDescent="0.25">
      <c r="A3622" t="s">
        <v>153</v>
      </c>
      <c r="L3622"/>
      <c r="M3622"/>
      <c r="N3622"/>
      <c r="O3622"/>
      <c r="P3622"/>
    </row>
    <row r="3623" spans="1:16" ht="15" customHeight="1" x14ac:dyDescent="0.25">
      <c r="A3623" t="s">
        <v>153</v>
      </c>
      <c r="L3623"/>
      <c r="M3623"/>
      <c r="N3623"/>
      <c r="O3623"/>
      <c r="P3623"/>
    </row>
    <row r="3624" spans="1:16" ht="15" customHeight="1" x14ac:dyDescent="0.25">
      <c r="A3624" t="s">
        <v>153</v>
      </c>
      <c r="L3624"/>
      <c r="M3624"/>
      <c r="N3624"/>
      <c r="O3624"/>
      <c r="P3624"/>
    </row>
    <row r="3625" spans="1:16" ht="15" customHeight="1" x14ac:dyDescent="0.25">
      <c r="A3625" t="s">
        <v>153</v>
      </c>
      <c r="L3625"/>
      <c r="M3625"/>
      <c r="N3625"/>
      <c r="O3625"/>
      <c r="P3625"/>
    </row>
    <row r="3626" spans="1:16" ht="15" customHeight="1" x14ac:dyDescent="0.25">
      <c r="A3626" t="s">
        <v>153</v>
      </c>
      <c r="L3626"/>
      <c r="M3626"/>
      <c r="N3626"/>
      <c r="O3626"/>
      <c r="P3626"/>
    </row>
    <row r="3627" spans="1:16" ht="15" customHeight="1" x14ac:dyDescent="0.25">
      <c r="A3627" t="s">
        <v>153</v>
      </c>
      <c r="L3627"/>
      <c r="M3627"/>
      <c r="N3627"/>
      <c r="O3627"/>
      <c r="P3627"/>
    </row>
    <row r="3628" spans="1:16" ht="15" customHeight="1" x14ac:dyDescent="0.25">
      <c r="A3628" t="s">
        <v>153</v>
      </c>
      <c r="L3628"/>
      <c r="M3628"/>
      <c r="N3628"/>
      <c r="O3628"/>
      <c r="P3628"/>
    </row>
    <row r="3629" spans="1:16" ht="15" customHeight="1" x14ac:dyDescent="0.25">
      <c r="A3629" t="s">
        <v>153</v>
      </c>
      <c r="L3629"/>
      <c r="M3629"/>
      <c r="N3629"/>
      <c r="O3629"/>
      <c r="P3629"/>
    </row>
    <row r="3630" spans="1:16" ht="15" customHeight="1" x14ac:dyDescent="0.25">
      <c r="A3630" t="s">
        <v>153</v>
      </c>
      <c r="L3630"/>
      <c r="M3630"/>
      <c r="N3630"/>
      <c r="O3630"/>
      <c r="P3630"/>
    </row>
    <row r="3631" spans="1:16" ht="15" customHeight="1" x14ac:dyDescent="0.25">
      <c r="A3631" t="s">
        <v>153</v>
      </c>
      <c r="L3631"/>
      <c r="M3631"/>
      <c r="N3631"/>
      <c r="O3631"/>
      <c r="P3631"/>
    </row>
    <row r="3632" spans="1:16" ht="15" customHeight="1" x14ac:dyDescent="0.25">
      <c r="A3632" t="s">
        <v>153</v>
      </c>
      <c r="L3632"/>
      <c r="M3632"/>
      <c r="N3632"/>
      <c r="O3632"/>
      <c r="P3632"/>
    </row>
    <row r="3633" spans="1:16" ht="15" customHeight="1" x14ac:dyDescent="0.25">
      <c r="A3633" t="s">
        <v>153</v>
      </c>
      <c r="L3633"/>
      <c r="M3633"/>
      <c r="N3633"/>
      <c r="O3633"/>
      <c r="P3633"/>
    </row>
    <row r="3634" spans="1:16" ht="15" customHeight="1" x14ac:dyDescent="0.25">
      <c r="A3634" t="s">
        <v>153</v>
      </c>
      <c r="L3634"/>
      <c r="M3634"/>
      <c r="N3634"/>
      <c r="O3634"/>
      <c r="P3634"/>
    </row>
    <row r="3635" spans="1:16" ht="15" customHeight="1" x14ac:dyDescent="0.25">
      <c r="A3635" t="s">
        <v>153</v>
      </c>
      <c r="L3635"/>
      <c r="M3635"/>
      <c r="N3635"/>
      <c r="O3635"/>
      <c r="P3635"/>
    </row>
    <row r="3636" spans="1:16" ht="15" customHeight="1" x14ac:dyDescent="0.25">
      <c r="A3636" t="s">
        <v>153</v>
      </c>
      <c r="L3636"/>
      <c r="M3636"/>
      <c r="N3636"/>
      <c r="O3636"/>
      <c r="P3636"/>
    </row>
    <row r="3637" spans="1:16" ht="15" customHeight="1" x14ac:dyDescent="0.25">
      <c r="A3637" t="s">
        <v>153</v>
      </c>
      <c r="L3637"/>
      <c r="M3637"/>
      <c r="N3637"/>
      <c r="O3637"/>
      <c r="P3637"/>
    </row>
    <row r="3638" spans="1:16" ht="15" customHeight="1" x14ac:dyDescent="0.25">
      <c r="A3638" t="s">
        <v>153</v>
      </c>
      <c r="L3638"/>
      <c r="M3638"/>
      <c r="N3638"/>
      <c r="O3638"/>
      <c r="P3638"/>
    </row>
    <row r="3639" spans="1:16" ht="15" customHeight="1" x14ac:dyDescent="0.25">
      <c r="A3639" t="s">
        <v>153</v>
      </c>
      <c r="L3639"/>
      <c r="M3639"/>
      <c r="N3639"/>
      <c r="O3639"/>
      <c r="P3639"/>
    </row>
    <row r="3640" spans="1:16" ht="15" customHeight="1" x14ac:dyDescent="0.25">
      <c r="A3640" t="s">
        <v>153</v>
      </c>
      <c r="L3640"/>
      <c r="M3640"/>
      <c r="N3640"/>
      <c r="O3640"/>
      <c r="P3640"/>
    </row>
    <row r="3641" spans="1:16" ht="15" customHeight="1" x14ac:dyDescent="0.25">
      <c r="A3641" t="s">
        <v>153</v>
      </c>
      <c r="L3641"/>
      <c r="M3641"/>
      <c r="N3641"/>
      <c r="O3641"/>
      <c r="P3641"/>
    </row>
    <row r="3642" spans="1:16" ht="15" customHeight="1" x14ac:dyDescent="0.25">
      <c r="A3642" t="s">
        <v>153</v>
      </c>
      <c r="L3642"/>
      <c r="M3642"/>
      <c r="N3642"/>
      <c r="O3642"/>
      <c r="P3642"/>
    </row>
    <row r="3643" spans="1:16" ht="15" customHeight="1" x14ac:dyDescent="0.25">
      <c r="A3643" t="s">
        <v>153</v>
      </c>
      <c r="L3643"/>
      <c r="M3643"/>
      <c r="N3643"/>
      <c r="O3643"/>
      <c r="P3643"/>
    </row>
    <row r="3644" spans="1:16" ht="15" customHeight="1" x14ac:dyDescent="0.25">
      <c r="A3644" t="s">
        <v>153</v>
      </c>
      <c r="L3644"/>
      <c r="M3644"/>
      <c r="N3644"/>
      <c r="O3644"/>
      <c r="P3644"/>
    </row>
    <row r="3645" spans="1:16" ht="15" customHeight="1" x14ac:dyDescent="0.25">
      <c r="A3645" t="s">
        <v>153</v>
      </c>
      <c r="L3645"/>
      <c r="M3645"/>
      <c r="N3645"/>
      <c r="O3645"/>
      <c r="P3645"/>
    </row>
    <row r="3646" spans="1:16" ht="15" customHeight="1" x14ac:dyDescent="0.25">
      <c r="A3646" t="s">
        <v>153</v>
      </c>
      <c r="L3646"/>
      <c r="M3646"/>
      <c r="N3646"/>
      <c r="O3646"/>
      <c r="P3646"/>
    </row>
    <row r="3647" spans="1:16" ht="15" customHeight="1" x14ac:dyDescent="0.25">
      <c r="A3647" t="s">
        <v>153</v>
      </c>
      <c r="L3647"/>
      <c r="M3647"/>
      <c r="N3647"/>
      <c r="O3647"/>
      <c r="P3647"/>
    </row>
    <row r="3648" spans="1:16" ht="15" customHeight="1" x14ac:dyDescent="0.25">
      <c r="A3648" t="s">
        <v>153</v>
      </c>
      <c r="L3648"/>
      <c r="M3648"/>
      <c r="N3648"/>
      <c r="O3648"/>
      <c r="P3648"/>
    </row>
    <row r="3649" spans="1:16" ht="15" customHeight="1" x14ac:dyDescent="0.25">
      <c r="A3649" t="s">
        <v>153</v>
      </c>
      <c r="L3649"/>
      <c r="M3649"/>
      <c r="N3649"/>
      <c r="O3649"/>
      <c r="P3649"/>
    </row>
    <row r="3650" spans="1:16" ht="15" customHeight="1" x14ac:dyDescent="0.25">
      <c r="A3650" t="s">
        <v>153</v>
      </c>
      <c r="L3650"/>
      <c r="M3650"/>
      <c r="N3650"/>
      <c r="O3650"/>
      <c r="P3650"/>
    </row>
    <row r="3651" spans="1:16" ht="15" customHeight="1" x14ac:dyDescent="0.25">
      <c r="A3651" t="s">
        <v>153</v>
      </c>
      <c r="L3651"/>
      <c r="M3651"/>
      <c r="N3651"/>
      <c r="O3651"/>
      <c r="P3651"/>
    </row>
    <row r="3652" spans="1:16" ht="15" customHeight="1" x14ac:dyDescent="0.25">
      <c r="A3652" t="s">
        <v>153</v>
      </c>
      <c r="L3652"/>
      <c r="M3652"/>
      <c r="N3652"/>
      <c r="O3652"/>
      <c r="P3652"/>
    </row>
    <row r="3653" spans="1:16" ht="15" customHeight="1" x14ac:dyDescent="0.25">
      <c r="A3653" t="s">
        <v>153</v>
      </c>
      <c r="L3653"/>
      <c r="M3653"/>
      <c r="N3653"/>
      <c r="O3653"/>
      <c r="P3653"/>
    </row>
    <row r="3654" spans="1:16" ht="15" customHeight="1" x14ac:dyDescent="0.25">
      <c r="A3654" t="s">
        <v>153</v>
      </c>
      <c r="L3654"/>
      <c r="M3654"/>
      <c r="N3654"/>
      <c r="O3654"/>
      <c r="P3654"/>
    </row>
    <row r="3655" spans="1:16" ht="15" customHeight="1" x14ac:dyDescent="0.25">
      <c r="A3655" t="s">
        <v>153</v>
      </c>
      <c r="L3655"/>
      <c r="M3655"/>
      <c r="N3655"/>
      <c r="O3655"/>
      <c r="P3655"/>
    </row>
    <row r="3656" spans="1:16" ht="15" customHeight="1" x14ac:dyDescent="0.25">
      <c r="A3656" t="s">
        <v>153</v>
      </c>
      <c r="L3656"/>
      <c r="M3656"/>
      <c r="N3656"/>
      <c r="O3656"/>
      <c r="P3656"/>
    </row>
    <row r="3657" spans="1:16" ht="15" customHeight="1" x14ac:dyDescent="0.25">
      <c r="A3657" t="s">
        <v>153</v>
      </c>
      <c r="L3657"/>
      <c r="M3657"/>
      <c r="N3657"/>
      <c r="O3657"/>
      <c r="P3657"/>
    </row>
    <row r="3658" spans="1:16" ht="15" customHeight="1" x14ac:dyDescent="0.25">
      <c r="A3658" t="s">
        <v>153</v>
      </c>
      <c r="L3658"/>
      <c r="M3658"/>
      <c r="N3658"/>
      <c r="O3658"/>
      <c r="P3658"/>
    </row>
    <row r="3659" spans="1:16" ht="15" customHeight="1" x14ac:dyDescent="0.25">
      <c r="A3659" t="s">
        <v>153</v>
      </c>
      <c r="L3659"/>
      <c r="M3659"/>
      <c r="N3659"/>
      <c r="O3659"/>
      <c r="P3659"/>
    </row>
    <row r="3660" spans="1:16" ht="15" customHeight="1" x14ac:dyDescent="0.25">
      <c r="A3660" t="s">
        <v>153</v>
      </c>
      <c r="L3660"/>
      <c r="M3660"/>
      <c r="N3660"/>
      <c r="O3660"/>
      <c r="P3660"/>
    </row>
    <row r="3661" spans="1:16" ht="15" customHeight="1" x14ac:dyDescent="0.25">
      <c r="A3661" t="s">
        <v>153</v>
      </c>
      <c r="L3661"/>
      <c r="M3661"/>
      <c r="N3661"/>
      <c r="O3661"/>
      <c r="P3661"/>
    </row>
    <row r="3662" spans="1:16" ht="15" customHeight="1" x14ac:dyDescent="0.25">
      <c r="A3662" t="s">
        <v>153</v>
      </c>
      <c r="L3662"/>
      <c r="M3662"/>
      <c r="N3662"/>
      <c r="O3662"/>
      <c r="P3662"/>
    </row>
    <row r="3663" spans="1:16" ht="15" customHeight="1" x14ac:dyDescent="0.25">
      <c r="A3663" t="s">
        <v>153</v>
      </c>
      <c r="L3663"/>
      <c r="M3663"/>
      <c r="N3663"/>
      <c r="O3663"/>
      <c r="P3663"/>
    </row>
    <row r="3664" spans="1:16" ht="15" customHeight="1" x14ac:dyDescent="0.25">
      <c r="A3664" t="s">
        <v>153</v>
      </c>
      <c r="L3664"/>
      <c r="M3664"/>
      <c r="N3664"/>
      <c r="O3664"/>
      <c r="P3664"/>
    </row>
    <row r="3665" spans="1:16" ht="15" customHeight="1" x14ac:dyDescent="0.25">
      <c r="A3665" t="s">
        <v>153</v>
      </c>
      <c r="L3665"/>
      <c r="M3665"/>
      <c r="N3665"/>
      <c r="O3665"/>
      <c r="P3665"/>
    </row>
    <row r="3666" spans="1:16" ht="15" customHeight="1" x14ac:dyDescent="0.25">
      <c r="A3666" t="s">
        <v>153</v>
      </c>
      <c r="L3666"/>
      <c r="M3666"/>
      <c r="N3666"/>
      <c r="O3666"/>
      <c r="P3666"/>
    </row>
    <row r="3667" spans="1:16" ht="15" customHeight="1" x14ac:dyDescent="0.25">
      <c r="A3667" t="s">
        <v>153</v>
      </c>
      <c r="L3667"/>
      <c r="M3667"/>
      <c r="N3667"/>
      <c r="O3667"/>
      <c r="P3667"/>
    </row>
    <row r="3668" spans="1:16" ht="15" customHeight="1" x14ac:dyDescent="0.25">
      <c r="A3668" t="s">
        <v>153</v>
      </c>
      <c r="L3668"/>
      <c r="M3668"/>
      <c r="N3668"/>
      <c r="O3668"/>
      <c r="P3668"/>
    </row>
    <row r="3669" spans="1:16" ht="15" customHeight="1" x14ac:dyDescent="0.25">
      <c r="A3669" t="s">
        <v>153</v>
      </c>
      <c r="L3669"/>
      <c r="M3669"/>
      <c r="N3669"/>
      <c r="O3669"/>
      <c r="P3669"/>
    </row>
    <row r="3670" spans="1:16" ht="15" customHeight="1" x14ac:dyDescent="0.25">
      <c r="A3670" t="s">
        <v>153</v>
      </c>
      <c r="L3670"/>
      <c r="M3670"/>
      <c r="N3670"/>
      <c r="O3670"/>
      <c r="P3670"/>
    </row>
    <row r="3671" spans="1:16" ht="15" customHeight="1" x14ac:dyDescent="0.25">
      <c r="A3671" t="s">
        <v>153</v>
      </c>
      <c r="L3671"/>
      <c r="M3671"/>
      <c r="N3671"/>
      <c r="O3671"/>
      <c r="P3671"/>
    </row>
    <row r="3672" spans="1:16" ht="15" customHeight="1" x14ac:dyDescent="0.25">
      <c r="A3672" t="s">
        <v>153</v>
      </c>
      <c r="L3672"/>
      <c r="M3672"/>
      <c r="N3672"/>
      <c r="O3672"/>
      <c r="P3672"/>
    </row>
    <row r="3673" spans="1:16" ht="15" customHeight="1" x14ac:dyDescent="0.25">
      <c r="A3673" t="s">
        <v>153</v>
      </c>
      <c r="L3673"/>
      <c r="M3673"/>
      <c r="N3673"/>
      <c r="O3673"/>
      <c r="P3673"/>
    </row>
    <row r="3674" spans="1:16" ht="15" customHeight="1" x14ac:dyDescent="0.25">
      <c r="A3674" t="s">
        <v>153</v>
      </c>
      <c r="L3674"/>
      <c r="M3674"/>
      <c r="N3674"/>
      <c r="O3674"/>
      <c r="P3674"/>
    </row>
    <row r="3675" spans="1:16" ht="15" customHeight="1" x14ac:dyDescent="0.25">
      <c r="A3675" t="s">
        <v>153</v>
      </c>
      <c r="L3675"/>
      <c r="M3675"/>
      <c r="N3675"/>
      <c r="O3675"/>
      <c r="P3675"/>
    </row>
    <row r="3676" spans="1:16" ht="15" customHeight="1" x14ac:dyDescent="0.25">
      <c r="A3676" t="s">
        <v>153</v>
      </c>
      <c r="L3676"/>
      <c r="M3676"/>
      <c r="N3676"/>
      <c r="O3676"/>
      <c r="P3676"/>
    </row>
    <row r="3677" spans="1:16" ht="15" customHeight="1" x14ac:dyDescent="0.25">
      <c r="A3677" t="s">
        <v>153</v>
      </c>
      <c r="L3677"/>
      <c r="M3677"/>
      <c r="N3677"/>
      <c r="O3677"/>
      <c r="P3677"/>
    </row>
    <row r="3678" spans="1:16" ht="15" customHeight="1" x14ac:dyDescent="0.25">
      <c r="A3678" t="s">
        <v>153</v>
      </c>
      <c r="L3678"/>
      <c r="M3678"/>
      <c r="N3678"/>
      <c r="O3678"/>
      <c r="P3678"/>
    </row>
    <row r="3679" spans="1:16" ht="15" customHeight="1" x14ac:dyDescent="0.25">
      <c r="A3679" t="s">
        <v>153</v>
      </c>
      <c r="L3679"/>
      <c r="M3679"/>
      <c r="N3679"/>
      <c r="O3679"/>
      <c r="P3679"/>
    </row>
    <row r="3680" spans="1:16" ht="15" customHeight="1" x14ac:dyDescent="0.25">
      <c r="A3680" t="s">
        <v>153</v>
      </c>
      <c r="L3680"/>
      <c r="M3680"/>
      <c r="N3680"/>
      <c r="O3680"/>
      <c r="P3680"/>
    </row>
    <row r="3681" spans="1:16" ht="15" customHeight="1" x14ac:dyDescent="0.25">
      <c r="A3681" t="s">
        <v>153</v>
      </c>
      <c r="L3681"/>
      <c r="M3681"/>
      <c r="N3681"/>
      <c r="O3681"/>
      <c r="P3681"/>
    </row>
    <row r="3682" spans="1:16" ht="15" customHeight="1" x14ac:dyDescent="0.25">
      <c r="A3682" t="s">
        <v>153</v>
      </c>
      <c r="L3682"/>
      <c r="M3682"/>
      <c r="N3682"/>
      <c r="O3682"/>
      <c r="P3682"/>
    </row>
    <row r="3683" spans="1:16" ht="15" customHeight="1" x14ac:dyDescent="0.25">
      <c r="A3683" t="s">
        <v>153</v>
      </c>
      <c r="L3683"/>
      <c r="M3683"/>
      <c r="N3683"/>
      <c r="O3683"/>
      <c r="P3683"/>
    </row>
    <row r="3684" spans="1:16" ht="15" customHeight="1" x14ac:dyDescent="0.25">
      <c r="A3684" t="s">
        <v>153</v>
      </c>
      <c r="L3684"/>
      <c r="M3684"/>
      <c r="N3684"/>
      <c r="O3684"/>
      <c r="P3684"/>
    </row>
    <row r="3685" spans="1:16" ht="15" customHeight="1" x14ac:dyDescent="0.25">
      <c r="A3685" t="s">
        <v>153</v>
      </c>
      <c r="L3685"/>
      <c r="M3685"/>
      <c r="N3685"/>
      <c r="O3685"/>
      <c r="P3685"/>
    </row>
    <row r="3686" spans="1:16" ht="15" customHeight="1" x14ac:dyDescent="0.25">
      <c r="A3686" t="s">
        <v>153</v>
      </c>
      <c r="L3686"/>
      <c r="M3686"/>
      <c r="N3686"/>
      <c r="O3686"/>
      <c r="P3686"/>
    </row>
    <row r="3687" spans="1:16" ht="15" customHeight="1" x14ac:dyDescent="0.25">
      <c r="A3687" t="s">
        <v>153</v>
      </c>
      <c r="L3687"/>
      <c r="M3687"/>
      <c r="N3687"/>
      <c r="O3687"/>
      <c r="P3687"/>
    </row>
    <row r="3688" spans="1:16" ht="15" customHeight="1" x14ac:dyDescent="0.25">
      <c r="A3688" t="s">
        <v>153</v>
      </c>
      <c r="L3688"/>
      <c r="M3688"/>
      <c r="N3688"/>
      <c r="O3688"/>
      <c r="P3688"/>
    </row>
    <row r="3689" spans="1:16" ht="15" customHeight="1" x14ac:dyDescent="0.25">
      <c r="A3689" t="s">
        <v>153</v>
      </c>
      <c r="L3689"/>
      <c r="M3689"/>
      <c r="N3689"/>
      <c r="O3689"/>
      <c r="P3689"/>
    </row>
    <row r="3690" spans="1:16" ht="15" customHeight="1" x14ac:dyDescent="0.25">
      <c r="A3690" t="s">
        <v>153</v>
      </c>
      <c r="L3690"/>
      <c r="M3690"/>
      <c r="N3690"/>
      <c r="O3690"/>
      <c r="P3690"/>
    </row>
    <row r="3691" spans="1:16" ht="15" customHeight="1" x14ac:dyDescent="0.25">
      <c r="A3691" t="s">
        <v>153</v>
      </c>
      <c r="L3691"/>
      <c r="M3691"/>
      <c r="N3691"/>
      <c r="O3691"/>
      <c r="P3691"/>
    </row>
    <row r="3692" spans="1:16" ht="15" customHeight="1" x14ac:dyDescent="0.25">
      <c r="A3692" t="s">
        <v>153</v>
      </c>
      <c r="L3692"/>
      <c r="M3692"/>
      <c r="N3692"/>
      <c r="O3692"/>
      <c r="P3692"/>
    </row>
    <row r="3693" spans="1:16" ht="15" customHeight="1" x14ac:dyDescent="0.25">
      <c r="A3693" t="s">
        <v>153</v>
      </c>
      <c r="L3693"/>
      <c r="M3693"/>
      <c r="N3693"/>
      <c r="O3693"/>
      <c r="P3693"/>
    </row>
    <row r="3694" spans="1:16" ht="15" customHeight="1" x14ac:dyDescent="0.25">
      <c r="A3694" t="s">
        <v>153</v>
      </c>
      <c r="L3694"/>
      <c r="M3694"/>
      <c r="N3694"/>
      <c r="O3694"/>
      <c r="P3694"/>
    </row>
    <row r="3695" spans="1:16" ht="15" customHeight="1" x14ac:dyDescent="0.25">
      <c r="A3695" t="s">
        <v>153</v>
      </c>
      <c r="L3695"/>
      <c r="M3695"/>
      <c r="N3695"/>
      <c r="O3695"/>
      <c r="P3695"/>
    </row>
    <row r="3696" spans="1:16" ht="15" customHeight="1" x14ac:dyDescent="0.25">
      <c r="A3696" t="s">
        <v>153</v>
      </c>
      <c r="L3696"/>
      <c r="M3696"/>
      <c r="N3696"/>
      <c r="O3696"/>
      <c r="P3696"/>
    </row>
    <row r="3697" spans="1:16" ht="15" customHeight="1" x14ac:dyDescent="0.25">
      <c r="A3697" t="s">
        <v>153</v>
      </c>
      <c r="L3697"/>
      <c r="M3697"/>
      <c r="N3697"/>
      <c r="O3697"/>
      <c r="P3697"/>
    </row>
    <row r="3698" spans="1:16" ht="15" customHeight="1" x14ac:dyDescent="0.25">
      <c r="A3698" t="s">
        <v>153</v>
      </c>
      <c r="L3698"/>
      <c r="M3698"/>
      <c r="N3698"/>
      <c r="O3698"/>
      <c r="P3698"/>
    </row>
    <row r="3699" spans="1:16" ht="15" customHeight="1" x14ac:dyDescent="0.25">
      <c r="A3699" t="s">
        <v>153</v>
      </c>
      <c r="L3699"/>
      <c r="M3699"/>
      <c r="N3699"/>
      <c r="O3699"/>
      <c r="P3699"/>
    </row>
    <row r="3700" spans="1:16" ht="15" customHeight="1" x14ac:dyDescent="0.25">
      <c r="A3700" t="s">
        <v>153</v>
      </c>
      <c r="L3700"/>
      <c r="M3700"/>
      <c r="N3700"/>
      <c r="O3700"/>
      <c r="P3700"/>
    </row>
    <row r="3701" spans="1:16" ht="15" customHeight="1" x14ac:dyDescent="0.25">
      <c r="A3701" t="s">
        <v>153</v>
      </c>
      <c r="L3701"/>
      <c r="M3701"/>
      <c r="N3701"/>
      <c r="O3701"/>
      <c r="P3701"/>
    </row>
    <row r="3702" spans="1:16" ht="15" customHeight="1" x14ac:dyDescent="0.25">
      <c r="A3702" t="s">
        <v>153</v>
      </c>
      <c r="L3702"/>
      <c r="M3702"/>
      <c r="N3702"/>
      <c r="O3702"/>
      <c r="P3702"/>
    </row>
    <row r="3703" spans="1:16" ht="15" customHeight="1" x14ac:dyDescent="0.25">
      <c r="A3703" t="s">
        <v>153</v>
      </c>
      <c r="L3703"/>
      <c r="M3703"/>
      <c r="N3703"/>
      <c r="O3703"/>
      <c r="P3703"/>
    </row>
    <row r="3704" spans="1:16" ht="15" customHeight="1" x14ac:dyDescent="0.25">
      <c r="A3704" t="s">
        <v>153</v>
      </c>
      <c r="L3704"/>
      <c r="M3704"/>
      <c r="N3704"/>
      <c r="O3704"/>
      <c r="P3704"/>
    </row>
    <row r="3705" spans="1:16" ht="15" customHeight="1" x14ac:dyDescent="0.25">
      <c r="A3705" t="s">
        <v>153</v>
      </c>
      <c r="L3705"/>
      <c r="M3705"/>
      <c r="N3705"/>
      <c r="O3705"/>
      <c r="P3705"/>
    </row>
    <row r="3706" spans="1:16" ht="15" customHeight="1" x14ac:dyDescent="0.25">
      <c r="A3706" t="s">
        <v>153</v>
      </c>
      <c r="L3706"/>
      <c r="M3706"/>
      <c r="N3706"/>
      <c r="O3706"/>
      <c r="P3706"/>
    </row>
    <row r="3707" spans="1:16" ht="15" customHeight="1" x14ac:dyDescent="0.25">
      <c r="A3707" t="s">
        <v>153</v>
      </c>
      <c r="L3707"/>
      <c r="M3707"/>
      <c r="N3707"/>
      <c r="O3707"/>
      <c r="P3707"/>
    </row>
    <row r="3708" spans="1:16" ht="15" customHeight="1" x14ac:dyDescent="0.25">
      <c r="A3708" t="s">
        <v>153</v>
      </c>
      <c r="L3708"/>
      <c r="M3708"/>
      <c r="N3708"/>
      <c r="O3708"/>
      <c r="P3708"/>
    </row>
    <row r="3709" spans="1:16" ht="15" customHeight="1" x14ac:dyDescent="0.25">
      <c r="A3709" t="s">
        <v>153</v>
      </c>
      <c r="L3709"/>
      <c r="M3709"/>
      <c r="N3709"/>
      <c r="O3709"/>
      <c r="P3709"/>
    </row>
    <row r="3710" spans="1:16" ht="15" customHeight="1" x14ac:dyDescent="0.25">
      <c r="A3710" t="s">
        <v>153</v>
      </c>
      <c r="L3710"/>
      <c r="M3710"/>
      <c r="N3710"/>
      <c r="O3710"/>
      <c r="P3710"/>
    </row>
    <row r="3711" spans="1:16" ht="15" customHeight="1" x14ac:dyDescent="0.25">
      <c r="A3711" t="s">
        <v>153</v>
      </c>
      <c r="L3711"/>
      <c r="M3711"/>
      <c r="N3711"/>
      <c r="O3711"/>
      <c r="P3711"/>
    </row>
    <row r="3712" spans="1:16" ht="15" customHeight="1" x14ac:dyDescent="0.25">
      <c r="A3712" t="s">
        <v>153</v>
      </c>
      <c r="L3712"/>
      <c r="M3712"/>
      <c r="N3712"/>
      <c r="O3712"/>
      <c r="P3712"/>
    </row>
    <row r="3713" spans="1:16" ht="15" customHeight="1" x14ac:dyDescent="0.25">
      <c r="A3713" t="s">
        <v>153</v>
      </c>
      <c r="L3713"/>
      <c r="M3713"/>
      <c r="N3713"/>
      <c r="O3713"/>
      <c r="P3713"/>
    </row>
    <row r="3714" spans="1:16" ht="15" customHeight="1" x14ac:dyDescent="0.25">
      <c r="A3714" t="s">
        <v>153</v>
      </c>
      <c r="L3714"/>
      <c r="M3714"/>
      <c r="N3714"/>
      <c r="O3714"/>
      <c r="P3714"/>
    </row>
    <row r="3715" spans="1:16" ht="15" customHeight="1" x14ac:dyDescent="0.25">
      <c r="A3715" t="s">
        <v>153</v>
      </c>
      <c r="L3715"/>
      <c r="M3715"/>
      <c r="N3715"/>
      <c r="O3715"/>
      <c r="P3715"/>
    </row>
    <row r="3716" spans="1:16" ht="15" customHeight="1" x14ac:dyDescent="0.25">
      <c r="A3716" t="s">
        <v>153</v>
      </c>
      <c r="L3716"/>
      <c r="M3716"/>
      <c r="N3716"/>
      <c r="O3716"/>
      <c r="P3716"/>
    </row>
    <row r="3717" spans="1:16" ht="15" customHeight="1" x14ac:dyDescent="0.25">
      <c r="A3717" t="s">
        <v>153</v>
      </c>
      <c r="L3717"/>
      <c r="M3717"/>
      <c r="N3717"/>
      <c r="O3717"/>
      <c r="P3717"/>
    </row>
    <row r="3718" spans="1:16" ht="15" customHeight="1" x14ac:dyDescent="0.25">
      <c r="A3718" t="s">
        <v>153</v>
      </c>
      <c r="L3718"/>
      <c r="M3718"/>
      <c r="N3718"/>
      <c r="O3718"/>
      <c r="P3718"/>
    </row>
    <row r="3719" spans="1:16" ht="15" customHeight="1" x14ac:dyDescent="0.25">
      <c r="A3719" t="s">
        <v>153</v>
      </c>
      <c r="L3719"/>
      <c r="M3719"/>
      <c r="N3719"/>
      <c r="O3719"/>
      <c r="P3719"/>
    </row>
    <row r="3720" spans="1:16" ht="15" customHeight="1" x14ac:dyDescent="0.25">
      <c r="A3720" t="s">
        <v>153</v>
      </c>
      <c r="L3720"/>
      <c r="M3720"/>
      <c r="N3720"/>
      <c r="O3720"/>
      <c r="P3720"/>
    </row>
    <row r="3721" spans="1:16" ht="15" customHeight="1" x14ac:dyDescent="0.25">
      <c r="A3721" t="s">
        <v>153</v>
      </c>
      <c r="L3721"/>
      <c r="M3721"/>
      <c r="N3721"/>
      <c r="O3721"/>
      <c r="P3721"/>
    </row>
    <row r="3722" spans="1:16" ht="15" customHeight="1" x14ac:dyDescent="0.25">
      <c r="A3722" t="s">
        <v>153</v>
      </c>
      <c r="L3722"/>
      <c r="M3722"/>
      <c r="N3722"/>
      <c r="O3722"/>
      <c r="P3722"/>
    </row>
    <row r="3723" spans="1:16" ht="15" customHeight="1" x14ac:dyDescent="0.25">
      <c r="A3723" t="s">
        <v>153</v>
      </c>
      <c r="L3723"/>
      <c r="M3723"/>
      <c r="N3723"/>
      <c r="O3723"/>
      <c r="P3723"/>
    </row>
    <row r="3724" spans="1:16" ht="15" customHeight="1" x14ac:dyDescent="0.25">
      <c r="A3724" t="s">
        <v>153</v>
      </c>
      <c r="L3724"/>
      <c r="M3724"/>
      <c r="N3724"/>
      <c r="O3724"/>
      <c r="P3724"/>
    </row>
    <row r="3725" spans="1:16" ht="15" customHeight="1" x14ac:dyDescent="0.25">
      <c r="A3725" t="s">
        <v>153</v>
      </c>
      <c r="L3725"/>
      <c r="M3725"/>
      <c r="N3725"/>
      <c r="O3725"/>
      <c r="P3725"/>
    </row>
    <row r="3726" spans="1:16" ht="15" customHeight="1" x14ac:dyDescent="0.25">
      <c r="A3726" t="s">
        <v>153</v>
      </c>
      <c r="L3726"/>
      <c r="M3726"/>
      <c r="N3726"/>
      <c r="O3726"/>
      <c r="P3726"/>
    </row>
    <row r="3727" spans="1:16" ht="15" customHeight="1" x14ac:dyDescent="0.25">
      <c r="A3727" t="s">
        <v>153</v>
      </c>
      <c r="L3727"/>
      <c r="M3727"/>
      <c r="N3727"/>
      <c r="O3727"/>
      <c r="P3727"/>
    </row>
    <row r="3728" spans="1:16" ht="15" customHeight="1" x14ac:dyDescent="0.25">
      <c r="A3728" t="s">
        <v>153</v>
      </c>
      <c r="L3728"/>
      <c r="M3728"/>
      <c r="N3728"/>
      <c r="O3728"/>
      <c r="P3728"/>
    </row>
    <row r="3729" spans="1:16" ht="15" customHeight="1" x14ac:dyDescent="0.25">
      <c r="A3729" t="s">
        <v>153</v>
      </c>
      <c r="L3729"/>
      <c r="M3729"/>
      <c r="N3729"/>
      <c r="O3729"/>
      <c r="P3729"/>
    </row>
    <row r="3730" spans="1:16" ht="15" customHeight="1" x14ac:dyDescent="0.25">
      <c r="A3730" t="s">
        <v>153</v>
      </c>
      <c r="L3730"/>
      <c r="M3730"/>
      <c r="N3730"/>
      <c r="O3730"/>
      <c r="P3730"/>
    </row>
    <row r="3731" spans="1:16" ht="15" customHeight="1" x14ac:dyDescent="0.25">
      <c r="A3731" t="s">
        <v>153</v>
      </c>
      <c r="L3731"/>
      <c r="M3731"/>
      <c r="N3731"/>
      <c r="O3731"/>
      <c r="P3731"/>
    </row>
    <row r="3732" spans="1:16" ht="15" customHeight="1" x14ac:dyDescent="0.25">
      <c r="A3732" t="s">
        <v>153</v>
      </c>
      <c r="L3732"/>
      <c r="M3732"/>
      <c r="N3732"/>
      <c r="O3732"/>
      <c r="P3732"/>
    </row>
    <row r="3733" spans="1:16" ht="15" customHeight="1" x14ac:dyDescent="0.25">
      <c r="A3733" t="s">
        <v>153</v>
      </c>
      <c r="L3733"/>
      <c r="M3733"/>
      <c r="N3733"/>
      <c r="O3733"/>
      <c r="P3733"/>
    </row>
    <row r="3734" spans="1:16" ht="15" customHeight="1" x14ac:dyDescent="0.25">
      <c r="A3734" t="s">
        <v>153</v>
      </c>
      <c r="L3734"/>
      <c r="M3734"/>
      <c r="N3734"/>
      <c r="O3734"/>
      <c r="P3734"/>
    </row>
    <row r="3735" spans="1:16" ht="15" customHeight="1" x14ac:dyDescent="0.25">
      <c r="A3735" t="s">
        <v>153</v>
      </c>
      <c r="L3735"/>
      <c r="M3735"/>
      <c r="N3735"/>
      <c r="O3735"/>
      <c r="P3735"/>
    </row>
    <row r="3736" spans="1:16" ht="15" customHeight="1" x14ac:dyDescent="0.25">
      <c r="A3736" t="s">
        <v>153</v>
      </c>
      <c r="L3736"/>
      <c r="M3736"/>
      <c r="N3736"/>
      <c r="O3736"/>
      <c r="P3736"/>
    </row>
    <row r="3737" spans="1:16" ht="15" customHeight="1" x14ac:dyDescent="0.25">
      <c r="A3737" t="s">
        <v>153</v>
      </c>
      <c r="L3737"/>
      <c r="M3737"/>
      <c r="N3737"/>
      <c r="O3737"/>
      <c r="P3737"/>
    </row>
    <row r="3738" spans="1:16" ht="15" customHeight="1" x14ac:dyDescent="0.25">
      <c r="A3738" t="s">
        <v>153</v>
      </c>
      <c r="L3738"/>
      <c r="M3738"/>
      <c r="N3738"/>
      <c r="O3738"/>
      <c r="P3738"/>
    </row>
    <row r="3739" spans="1:16" ht="15" customHeight="1" x14ac:dyDescent="0.25">
      <c r="A3739" t="s">
        <v>153</v>
      </c>
      <c r="L3739"/>
      <c r="M3739"/>
      <c r="N3739"/>
      <c r="O3739"/>
      <c r="P3739"/>
    </row>
    <row r="3740" spans="1:16" ht="15" customHeight="1" x14ac:dyDescent="0.25">
      <c r="A3740" t="s">
        <v>153</v>
      </c>
      <c r="L3740"/>
      <c r="M3740"/>
      <c r="N3740"/>
      <c r="O3740"/>
      <c r="P3740"/>
    </row>
    <row r="3741" spans="1:16" ht="15" customHeight="1" x14ac:dyDescent="0.25">
      <c r="A3741" t="s">
        <v>153</v>
      </c>
      <c r="L3741"/>
      <c r="M3741"/>
      <c r="N3741"/>
      <c r="O3741"/>
      <c r="P3741"/>
    </row>
    <row r="3742" spans="1:16" ht="15" customHeight="1" x14ac:dyDescent="0.25">
      <c r="A3742" t="s">
        <v>153</v>
      </c>
      <c r="L3742"/>
      <c r="M3742"/>
      <c r="N3742"/>
      <c r="O3742"/>
      <c r="P3742"/>
    </row>
    <row r="3743" spans="1:16" ht="15" customHeight="1" x14ac:dyDescent="0.25">
      <c r="A3743" t="s">
        <v>153</v>
      </c>
      <c r="L3743"/>
      <c r="M3743"/>
      <c r="N3743"/>
      <c r="O3743"/>
      <c r="P3743"/>
    </row>
    <row r="3744" spans="1:16" ht="15" customHeight="1" x14ac:dyDescent="0.25">
      <c r="A3744" t="s">
        <v>153</v>
      </c>
      <c r="L3744"/>
      <c r="M3744"/>
      <c r="N3744"/>
      <c r="O3744"/>
      <c r="P3744"/>
    </row>
    <row r="3745" spans="1:16" ht="15" customHeight="1" x14ac:dyDescent="0.25">
      <c r="A3745" t="s">
        <v>153</v>
      </c>
      <c r="L3745"/>
      <c r="M3745"/>
      <c r="N3745"/>
      <c r="O3745"/>
      <c r="P3745"/>
    </row>
    <row r="3746" spans="1:16" ht="15" customHeight="1" x14ac:dyDescent="0.25">
      <c r="A3746" t="s">
        <v>153</v>
      </c>
      <c r="L3746"/>
      <c r="M3746"/>
      <c r="N3746"/>
      <c r="O3746"/>
      <c r="P3746"/>
    </row>
    <row r="3747" spans="1:16" ht="15" customHeight="1" x14ac:dyDescent="0.25">
      <c r="A3747" t="s">
        <v>153</v>
      </c>
      <c r="L3747"/>
      <c r="M3747"/>
      <c r="N3747"/>
      <c r="O3747"/>
      <c r="P3747"/>
    </row>
    <row r="3748" spans="1:16" ht="15" customHeight="1" x14ac:dyDescent="0.25">
      <c r="A3748" t="s">
        <v>153</v>
      </c>
      <c r="L3748"/>
      <c r="M3748"/>
      <c r="N3748"/>
      <c r="O3748"/>
      <c r="P3748"/>
    </row>
    <row r="3749" spans="1:16" ht="15" customHeight="1" x14ac:dyDescent="0.25">
      <c r="A3749" t="s">
        <v>153</v>
      </c>
      <c r="L3749"/>
      <c r="M3749"/>
      <c r="N3749"/>
      <c r="O3749"/>
      <c r="P3749"/>
    </row>
    <row r="3750" spans="1:16" ht="15" customHeight="1" x14ac:dyDescent="0.25">
      <c r="A3750" t="s">
        <v>153</v>
      </c>
      <c r="L3750"/>
      <c r="M3750"/>
      <c r="N3750"/>
      <c r="O3750"/>
      <c r="P3750"/>
    </row>
    <row r="3751" spans="1:16" ht="15" customHeight="1" x14ac:dyDescent="0.25">
      <c r="A3751" t="s">
        <v>153</v>
      </c>
      <c r="L3751"/>
      <c r="M3751"/>
      <c r="N3751"/>
      <c r="O3751"/>
      <c r="P3751"/>
    </row>
    <row r="3752" spans="1:16" ht="15" customHeight="1" x14ac:dyDescent="0.25">
      <c r="A3752" t="s">
        <v>153</v>
      </c>
      <c r="L3752"/>
      <c r="M3752"/>
      <c r="N3752"/>
      <c r="O3752"/>
      <c r="P3752"/>
    </row>
    <row r="3753" spans="1:16" ht="15" customHeight="1" x14ac:dyDescent="0.25">
      <c r="A3753" t="s">
        <v>153</v>
      </c>
      <c r="L3753"/>
      <c r="M3753"/>
      <c r="N3753"/>
      <c r="O3753"/>
      <c r="P3753"/>
    </row>
    <row r="3754" spans="1:16" ht="15" customHeight="1" x14ac:dyDescent="0.25">
      <c r="A3754" t="s">
        <v>153</v>
      </c>
      <c r="L3754"/>
      <c r="M3754"/>
      <c r="N3754"/>
      <c r="O3754"/>
      <c r="P3754"/>
    </row>
    <row r="3755" spans="1:16" ht="15" customHeight="1" x14ac:dyDescent="0.25">
      <c r="A3755" t="s">
        <v>153</v>
      </c>
      <c r="L3755"/>
      <c r="M3755"/>
      <c r="N3755"/>
      <c r="O3755"/>
      <c r="P3755"/>
    </row>
    <row r="3756" spans="1:16" ht="15" customHeight="1" x14ac:dyDescent="0.25">
      <c r="A3756" t="s">
        <v>153</v>
      </c>
      <c r="L3756"/>
      <c r="M3756"/>
      <c r="N3756"/>
      <c r="O3756"/>
      <c r="P3756"/>
    </row>
    <row r="3757" spans="1:16" ht="15" customHeight="1" x14ac:dyDescent="0.25">
      <c r="A3757" t="s">
        <v>153</v>
      </c>
      <c r="L3757"/>
      <c r="M3757"/>
      <c r="N3757"/>
      <c r="O3757"/>
      <c r="P3757"/>
    </row>
    <row r="3758" spans="1:16" ht="15" customHeight="1" x14ac:dyDescent="0.25">
      <c r="A3758" t="s">
        <v>153</v>
      </c>
      <c r="L3758"/>
      <c r="M3758"/>
      <c r="N3758"/>
      <c r="O3758"/>
      <c r="P3758"/>
    </row>
    <row r="3759" spans="1:16" ht="15" customHeight="1" x14ac:dyDescent="0.25">
      <c r="A3759" t="s">
        <v>153</v>
      </c>
      <c r="L3759"/>
      <c r="M3759"/>
      <c r="N3759"/>
      <c r="O3759"/>
      <c r="P3759"/>
    </row>
    <row r="3760" spans="1:16" ht="15" customHeight="1" x14ac:dyDescent="0.25">
      <c r="A3760" t="s">
        <v>153</v>
      </c>
      <c r="L3760"/>
      <c r="M3760"/>
      <c r="N3760"/>
      <c r="O3760"/>
      <c r="P3760"/>
    </row>
    <row r="3761" spans="1:16" ht="15" customHeight="1" x14ac:dyDescent="0.25">
      <c r="A3761" t="s">
        <v>153</v>
      </c>
      <c r="L3761"/>
      <c r="M3761"/>
      <c r="N3761"/>
      <c r="O3761"/>
      <c r="P3761"/>
    </row>
    <row r="3762" spans="1:16" ht="15" customHeight="1" x14ac:dyDescent="0.25">
      <c r="A3762" t="s">
        <v>153</v>
      </c>
      <c r="L3762"/>
      <c r="M3762"/>
      <c r="N3762"/>
      <c r="O3762"/>
      <c r="P3762"/>
    </row>
    <row r="3763" spans="1:16" ht="15" customHeight="1" x14ac:dyDescent="0.25">
      <c r="A3763" t="s">
        <v>153</v>
      </c>
      <c r="L3763"/>
      <c r="M3763"/>
      <c r="N3763"/>
      <c r="O3763"/>
      <c r="P3763"/>
    </row>
    <row r="3764" spans="1:16" ht="15" customHeight="1" x14ac:dyDescent="0.25">
      <c r="A3764" t="s">
        <v>153</v>
      </c>
      <c r="L3764"/>
      <c r="M3764"/>
      <c r="N3764"/>
      <c r="O3764"/>
      <c r="P3764"/>
    </row>
    <row r="3765" spans="1:16" ht="15" customHeight="1" x14ac:dyDescent="0.25">
      <c r="A3765" t="s">
        <v>153</v>
      </c>
      <c r="L3765"/>
      <c r="M3765"/>
      <c r="N3765"/>
      <c r="O3765"/>
      <c r="P3765"/>
    </row>
    <row r="3766" spans="1:16" ht="15" customHeight="1" x14ac:dyDescent="0.25">
      <c r="A3766" t="s">
        <v>153</v>
      </c>
      <c r="L3766"/>
      <c r="M3766"/>
      <c r="N3766"/>
      <c r="O3766"/>
      <c r="P3766"/>
    </row>
    <row r="3767" spans="1:16" ht="15" customHeight="1" x14ac:dyDescent="0.25">
      <c r="A3767" t="s">
        <v>153</v>
      </c>
      <c r="L3767"/>
      <c r="M3767"/>
      <c r="N3767"/>
      <c r="O3767"/>
      <c r="P3767"/>
    </row>
    <row r="3768" spans="1:16" ht="15" customHeight="1" x14ac:dyDescent="0.25">
      <c r="A3768" t="s">
        <v>153</v>
      </c>
      <c r="L3768"/>
      <c r="M3768"/>
      <c r="N3768"/>
      <c r="O3768"/>
      <c r="P3768"/>
    </row>
    <row r="3769" spans="1:16" ht="15" customHeight="1" x14ac:dyDescent="0.25">
      <c r="A3769" t="s">
        <v>153</v>
      </c>
      <c r="L3769"/>
      <c r="M3769"/>
      <c r="N3769"/>
      <c r="O3769"/>
      <c r="P3769"/>
    </row>
    <row r="3770" spans="1:16" ht="15" customHeight="1" x14ac:dyDescent="0.25">
      <c r="A3770" t="s">
        <v>153</v>
      </c>
      <c r="L3770"/>
      <c r="M3770"/>
      <c r="N3770"/>
      <c r="O3770"/>
      <c r="P3770"/>
    </row>
    <row r="3771" spans="1:16" ht="15" customHeight="1" x14ac:dyDescent="0.25">
      <c r="A3771" t="s">
        <v>153</v>
      </c>
      <c r="L3771"/>
      <c r="M3771"/>
      <c r="N3771"/>
      <c r="O3771"/>
      <c r="P3771"/>
    </row>
    <row r="3772" spans="1:16" ht="15" customHeight="1" x14ac:dyDescent="0.25">
      <c r="A3772" t="s">
        <v>153</v>
      </c>
      <c r="L3772"/>
      <c r="M3772"/>
      <c r="N3772"/>
      <c r="O3772"/>
      <c r="P3772"/>
    </row>
    <row r="3773" spans="1:16" ht="15" customHeight="1" x14ac:dyDescent="0.25">
      <c r="A3773" t="s">
        <v>153</v>
      </c>
      <c r="L3773"/>
      <c r="M3773"/>
      <c r="N3773"/>
      <c r="O3773"/>
      <c r="P3773"/>
    </row>
    <row r="3774" spans="1:16" ht="15" customHeight="1" x14ac:dyDescent="0.25">
      <c r="A3774" t="s">
        <v>153</v>
      </c>
      <c r="L3774"/>
      <c r="M3774"/>
      <c r="N3774"/>
      <c r="O3774"/>
      <c r="P3774"/>
    </row>
    <row r="3775" spans="1:16" ht="15" customHeight="1" x14ac:dyDescent="0.25">
      <c r="A3775" t="s">
        <v>153</v>
      </c>
      <c r="L3775"/>
      <c r="M3775"/>
      <c r="N3775"/>
      <c r="O3775"/>
      <c r="P3775"/>
    </row>
    <row r="3776" spans="1:16" ht="15" customHeight="1" x14ac:dyDescent="0.25">
      <c r="A3776" t="s">
        <v>153</v>
      </c>
      <c r="L3776"/>
      <c r="M3776"/>
      <c r="N3776"/>
      <c r="O3776"/>
      <c r="P3776"/>
    </row>
    <row r="3777" spans="1:16" ht="15" customHeight="1" x14ac:dyDescent="0.25">
      <c r="A3777" t="s">
        <v>153</v>
      </c>
      <c r="L3777"/>
      <c r="M3777"/>
      <c r="N3777"/>
      <c r="O3777"/>
      <c r="P3777"/>
    </row>
    <row r="3778" spans="1:16" ht="15" customHeight="1" x14ac:dyDescent="0.25">
      <c r="A3778" t="s">
        <v>153</v>
      </c>
      <c r="L3778"/>
      <c r="M3778"/>
      <c r="N3778"/>
      <c r="O3778"/>
      <c r="P3778"/>
    </row>
    <row r="3779" spans="1:16" ht="15" customHeight="1" x14ac:dyDescent="0.25">
      <c r="A3779" t="s">
        <v>153</v>
      </c>
      <c r="L3779"/>
      <c r="M3779"/>
      <c r="N3779"/>
      <c r="O3779"/>
      <c r="P3779"/>
    </row>
    <row r="3780" spans="1:16" ht="15" customHeight="1" x14ac:dyDescent="0.25">
      <c r="A3780" t="s">
        <v>153</v>
      </c>
      <c r="L3780"/>
      <c r="M3780"/>
      <c r="N3780"/>
      <c r="O3780"/>
      <c r="P3780"/>
    </row>
    <row r="3781" spans="1:16" ht="15" customHeight="1" x14ac:dyDescent="0.25">
      <c r="A3781" t="s">
        <v>153</v>
      </c>
      <c r="L3781"/>
      <c r="M3781"/>
      <c r="N3781"/>
      <c r="O3781"/>
      <c r="P3781"/>
    </row>
    <row r="3782" spans="1:16" ht="15" customHeight="1" x14ac:dyDescent="0.25">
      <c r="A3782" t="s">
        <v>153</v>
      </c>
      <c r="L3782"/>
      <c r="M3782"/>
      <c r="N3782"/>
      <c r="O3782"/>
      <c r="P3782"/>
    </row>
    <row r="3783" spans="1:16" ht="15" customHeight="1" x14ac:dyDescent="0.25">
      <c r="A3783" t="s">
        <v>153</v>
      </c>
      <c r="L3783"/>
      <c r="M3783"/>
      <c r="N3783"/>
      <c r="O3783"/>
      <c r="P3783"/>
    </row>
    <row r="3784" spans="1:16" ht="15" customHeight="1" x14ac:dyDescent="0.25">
      <c r="A3784" t="s">
        <v>153</v>
      </c>
      <c r="L3784"/>
      <c r="M3784"/>
      <c r="N3784"/>
      <c r="O3784"/>
      <c r="P3784"/>
    </row>
    <row r="3785" spans="1:16" ht="15" customHeight="1" x14ac:dyDescent="0.25">
      <c r="A3785" t="s">
        <v>153</v>
      </c>
      <c r="L3785"/>
      <c r="M3785"/>
      <c r="N3785"/>
      <c r="O3785"/>
      <c r="P3785"/>
    </row>
    <row r="3786" spans="1:16" ht="15" customHeight="1" x14ac:dyDescent="0.25">
      <c r="A3786" t="s">
        <v>153</v>
      </c>
      <c r="L3786"/>
      <c r="M3786"/>
      <c r="N3786"/>
      <c r="O3786"/>
      <c r="P3786"/>
    </row>
    <row r="3787" spans="1:16" ht="15" customHeight="1" x14ac:dyDescent="0.25">
      <c r="A3787" t="s">
        <v>153</v>
      </c>
      <c r="L3787"/>
      <c r="M3787"/>
      <c r="N3787"/>
      <c r="O3787"/>
      <c r="P3787"/>
    </row>
    <row r="3788" spans="1:16" ht="15" customHeight="1" x14ac:dyDescent="0.25">
      <c r="A3788" t="s">
        <v>153</v>
      </c>
      <c r="L3788"/>
      <c r="M3788"/>
      <c r="N3788"/>
      <c r="O3788"/>
      <c r="P3788"/>
    </row>
    <row r="3789" spans="1:16" ht="15" customHeight="1" x14ac:dyDescent="0.25">
      <c r="A3789" t="s">
        <v>153</v>
      </c>
      <c r="L3789"/>
      <c r="M3789"/>
      <c r="N3789"/>
      <c r="O3789"/>
      <c r="P3789"/>
    </row>
    <row r="3790" spans="1:16" ht="15" customHeight="1" x14ac:dyDescent="0.25">
      <c r="A3790" t="s">
        <v>153</v>
      </c>
      <c r="L3790"/>
      <c r="M3790"/>
      <c r="N3790"/>
      <c r="O3790"/>
      <c r="P3790"/>
    </row>
    <row r="3791" spans="1:16" ht="15" customHeight="1" x14ac:dyDescent="0.25">
      <c r="A3791" t="s">
        <v>153</v>
      </c>
      <c r="L3791"/>
      <c r="M3791"/>
      <c r="N3791"/>
      <c r="O3791"/>
      <c r="P3791"/>
    </row>
    <row r="3792" spans="1:16" ht="15" customHeight="1" x14ac:dyDescent="0.25">
      <c r="A3792" t="s">
        <v>153</v>
      </c>
      <c r="L3792"/>
      <c r="M3792"/>
      <c r="N3792"/>
      <c r="O3792"/>
      <c r="P3792"/>
    </row>
    <row r="3793" spans="1:16" ht="15" customHeight="1" x14ac:dyDescent="0.25">
      <c r="A3793" t="s">
        <v>153</v>
      </c>
      <c r="L3793"/>
      <c r="M3793"/>
      <c r="N3793"/>
      <c r="O3793"/>
      <c r="P3793"/>
    </row>
    <row r="3794" spans="1:16" ht="15" customHeight="1" x14ac:dyDescent="0.25">
      <c r="A3794" t="s">
        <v>153</v>
      </c>
      <c r="L3794"/>
      <c r="M3794"/>
      <c r="N3794"/>
      <c r="O3794"/>
      <c r="P3794"/>
    </row>
    <row r="3795" spans="1:16" ht="15" customHeight="1" x14ac:dyDescent="0.25">
      <c r="A3795" t="s">
        <v>153</v>
      </c>
      <c r="L3795"/>
      <c r="M3795"/>
      <c r="N3795"/>
      <c r="O3795"/>
      <c r="P3795"/>
    </row>
    <row r="3796" spans="1:16" ht="15" customHeight="1" x14ac:dyDescent="0.25">
      <c r="A3796" t="s">
        <v>153</v>
      </c>
      <c r="L3796"/>
      <c r="M3796"/>
      <c r="N3796"/>
      <c r="O3796"/>
      <c r="P3796"/>
    </row>
    <row r="3797" spans="1:16" ht="15" customHeight="1" x14ac:dyDescent="0.25">
      <c r="A3797" t="s">
        <v>153</v>
      </c>
      <c r="L3797"/>
      <c r="M3797"/>
      <c r="N3797"/>
      <c r="O3797"/>
      <c r="P3797"/>
    </row>
    <row r="3798" spans="1:16" ht="15" customHeight="1" x14ac:dyDescent="0.25">
      <c r="A3798" t="s">
        <v>153</v>
      </c>
      <c r="L3798"/>
      <c r="M3798"/>
      <c r="N3798"/>
      <c r="O3798"/>
      <c r="P3798"/>
    </row>
    <row r="3799" spans="1:16" ht="15" customHeight="1" x14ac:dyDescent="0.25">
      <c r="A3799" t="s">
        <v>153</v>
      </c>
      <c r="L3799"/>
      <c r="M3799"/>
      <c r="N3799"/>
      <c r="O3799"/>
      <c r="P3799"/>
    </row>
    <row r="3800" spans="1:16" ht="15" customHeight="1" x14ac:dyDescent="0.25">
      <c r="A3800" t="s">
        <v>153</v>
      </c>
      <c r="L3800"/>
      <c r="M3800"/>
      <c r="N3800"/>
      <c r="O3800"/>
      <c r="P3800"/>
    </row>
    <row r="3801" spans="1:16" ht="15" customHeight="1" x14ac:dyDescent="0.25">
      <c r="A3801" t="s">
        <v>153</v>
      </c>
      <c r="L3801"/>
      <c r="M3801"/>
      <c r="N3801"/>
      <c r="O3801"/>
      <c r="P3801"/>
    </row>
    <row r="3802" spans="1:16" ht="15" customHeight="1" x14ac:dyDescent="0.25">
      <c r="A3802" t="s">
        <v>153</v>
      </c>
      <c r="L3802"/>
      <c r="M3802"/>
      <c r="N3802"/>
      <c r="O3802"/>
      <c r="P3802"/>
    </row>
    <row r="3803" spans="1:16" ht="15" customHeight="1" x14ac:dyDescent="0.25">
      <c r="A3803" t="s">
        <v>153</v>
      </c>
      <c r="L3803"/>
      <c r="M3803"/>
      <c r="N3803"/>
      <c r="O3803"/>
      <c r="P3803"/>
    </row>
    <row r="3804" spans="1:16" ht="15" customHeight="1" x14ac:dyDescent="0.25">
      <c r="A3804" t="s">
        <v>153</v>
      </c>
      <c r="L3804"/>
      <c r="M3804"/>
      <c r="N3804"/>
      <c r="O3804"/>
      <c r="P3804"/>
    </row>
    <row r="3805" spans="1:16" ht="15" customHeight="1" x14ac:dyDescent="0.25">
      <c r="A3805" t="s">
        <v>153</v>
      </c>
      <c r="L3805"/>
      <c r="M3805"/>
      <c r="N3805"/>
      <c r="O3805"/>
      <c r="P3805"/>
    </row>
    <row r="3806" spans="1:16" ht="15" customHeight="1" x14ac:dyDescent="0.25">
      <c r="A3806" t="s">
        <v>153</v>
      </c>
      <c r="L3806"/>
      <c r="M3806"/>
      <c r="N3806"/>
      <c r="O3806"/>
      <c r="P3806"/>
    </row>
    <row r="3807" spans="1:16" ht="15" customHeight="1" x14ac:dyDescent="0.25">
      <c r="A3807" t="s">
        <v>153</v>
      </c>
      <c r="L3807"/>
      <c r="M3807"/>
      <c r="N3807"/>
      <c r="O3807"/>
      <c r="P3807"/>
    </row>
    <row r="3808" spans="1:16" ht="15" customHeight="1" x14ac:dyDescent="0.25">
      <c r="A3808" t="s">
        <v>153</v>
      </c>
      <c r="L3808"/>
      <c r="M3808"/>
      <c r="N3808"/>
      <c r="O3808"/>
      <c r="P3808"/>
    </row>
    <row r="3809" spans="1:16" ht="15" customHeight="1" x14ac:dyDescent="0.25">
      <c r="A3809" t="s">
        <v>153</v>
      </c>
      <c r="L3809"/>
      <c r="M3809"/>
      <c r="N3809"/>
      <c r="O3809"/>
      <c r="P3809"/>
    </row>
    <row r="3810" spans="1:16" ht="15" customHeight="1" x14ac:dyDescent="0.25">
      <c r="A3810" t="s">
        <v>153</v>
      </c>
      <c r="L3810"/>
      <c r="M3810"/>
      <c r="N3810"/>
      <c r="O3810"/>
      <c r="P3810"/>
    </row>
    <row r="3811" spans="1:16" ht="15" customHeight="1" x14ac:dyDescent="0.25">
      <c r="A3811" t="s">
        <v>153</v>
      </c>
      <c r="L3811"/>
      <c r="M3811"/>
      <c r="N3811"/>
      <c r="O3811"/>
      <c r="P3811"/>
    </row>
    <row r="3812" spans="1:16" ht="15" customHeight="1" x14ac:dyDescent="0.25">
      <c r="A3812" t="s">
        <v>153</v>
      </c>
      <c r="L3812"/>
      <c r="M3812"/>
      <c r="N3812"/>
      <c r="O3812"/>
      <c r="P3812"/>
    </row>
    <row r="3813" spans="1:16" ht="15" customHeight="1" x14ac:dyDescent="0.25">
      <c r="A3813" t="s">
        <v>153</v>
      </c>
      <c r="L3813"/>
      <c r="M3813"/>
      <c r="N3813"/>
      <c r="O3813"/>
      <c r="P3813"/>
    </row>
    <row r="3814" spans="1:16" ht="15" customHeight="1" x14ac:dyDescent="0.25">
      <c r="A3814" t="s">
        <v>153</v>
      </c>
      <c r="L3814"/>
      <c r="M3814"/>
      <c r="N3814"/>
      <c r="O3814"/>
      <c r="P3814"/>
    </row>
    <row r="3815" spans="1:16" ht="15" customHeight="1" x14ac:dyDescent="0.25">
      <c r="A3815" t="s">
        <v>153</v>
      </c>
      <c r="L3815"/>
      <c r="M3815"/>
      <c r="N3815"/>
      <c r="O3815"/>
      <c r="P3815"/>
    </row>
    <row r="3816" spans="1:16" ht="15" customHeight="1" x14ac:dyDescent="0.25">
      <c r="A3816" t="s">
        <v>153</v>
      </c>
      <c r="L3816"/>
      <c r="M3816"/>
      <c r="N3816"/>
      <c r="O3816"/>
      <c r="P3816"/>
    </row>
    <row r="3817" spans="1:16" ht="15" customHeight="1" x14ac:dyDescent="0.25">
      <c r="A3817" t="s">
        <v>153</v>
      </c>
      <c r="L3817"/>
      <c r="M3817"/>
      <c r="N3817"/>
      <c r="O3817"/>
      <c r="P3817"/>
    </row>
    <row r="3818" spans="1:16" ht="15" customHeight="1" x14ac:dyDescent="0.25">
      <c r="A3818" t="s">
        <v>153</v>
      </c>
      <c r="L3818"/>
      <c r="M3818"/>
      <c r="N3818"/>
      <c r="O3818"/>
      <c r="P3818"/>
    </row>
    <row r="3819" spans="1:16" ht="15" customHeight="1" x14ac:dyDescent="0.25">
      <c r="A3819" t="s">
        <v>153</v>
      </c>
      <c r="L3819"/>
      <c r="M3819"/>
      <c r="N3819"/>
      <c r="O3819"/>
      <c r="P3819"/>
    </row>
    <row r="3820" spans="1:16" ht="15" customHeight="1" x14ac:dyDescent="0.25">
      <c r="A3820" t="s">
        <v>153</v>
      </c>
      <c r="L3820"/>
      <c r="M3820"/>
      <c r="N3820"/>
      <c r="O3820"/>
      <c r="P3820"/>
    </row>
    <row r="3821" spans="1:16" ht="15" customHeight="1" x14ac:dyDescent="0.25">
      <c r="A3821" t="s">
        <v>153</v>
      </c>
      <c r="L3821"/>
      <c r="M3821"/>
      <c r="N3821"/>
      <c r="O3821"/>
      <c r="P3821"/>
    </row>
    <row r="3822" spans="1:16" ht="15" customHeight="1" x14ac:dyDescent="0.25">
      <c r="A3822" t="s">
        <v>153</v>
      </c>
      <c r="L3822"/>
      <c r="M3822"/>
      <c r="N3822"/>
      <c r="O3822"/>
      <c r="P3822"/>
    </row>
    <row r="3823" spans="1:16" ht="15" customHeight="1" x14ac:dyDescent="0.25">
      <c r="A3823" t="s">
        <v>153</v>
      </c>
      <c r="L3823"/>
      <c r="M3823"/>
      <c r="N3823"/>
      <c r="O3823"/>
      <c r="P3823"/>
    </row>
    <row r="3824" spans="1:16" ht="15" customHeight="1" x14ac:dyDescent="0.25">
      <c r="A3824" t="s">
        <v>153</v>
      </c>
      <c r="L3824"/>
      <c r="M3824"/>
      <c r="N3824"/>
      <c r="O3824"/>
      <c r="P3824"/>
    </row>
    <row r="3825" spans="1:16" ht="15" customHeight="1" x14ac:dyDescent="0.25">
      <c r="A3825" t="s">
        <v>153</v>
      </c>
      <c r="L3825"/>
      <c r="M3825"/>
      <c r="N3825"/>
      <c r="O3825"/>
      <c r="P3825"/>
    </row>
    <row r="3826" spans="1:16" ht="15" customHeight="1" x14ac:dyDescent="0.25">
      <c r="A3826" t="s">
        <v>153</v>
      </c>
      <c r="L3826"/>
      <c r="M3826"/>
      <c r="N3826"/>
      <c r="O3826"/>
      <c r="P3826"/>
    </row>
    <row r="3827" spans="1:16" ht="15" customHeight="1" x14ac:dyDescent="0.25">
      <c r="A3827" t="s">
        <v>153</v>
      </c>
      <c r="L3827"/>
      <c r="M3827"/>
      <c r="N3827"/>
      <c r="O3827"/>
      <c r="P3827"/>
    </row>
    <row r="3828" spans="1:16" ht="15" customHeight="1" x14ac:dyDescent="0.25">
      <c r="A3828" t="s">
        <v>153</v>
      </c>
      <c r="L3828"/>
      <c r="M3828"/>
      <c r="N3828"/>
      <c r="O3828"/>
      <c r="P3828"/>
    </row>
    <row r="3829" spans="1:16" ht="15" customHeight="1" x14ac:dyDescent="0.25">
      <c r="A3829" t="s">
        <v>153</v>
      </c>
      <c r="L3829"/>
      <c r="M3829"/>
      <c r="N3829"/>
      <c r="O3829"/>
      <c r="P3829"/>
    </row>
    <row r="3830" spans="1:16" ht="15" customHeight="1" x14ac:dyDescent="0.25">
      <c r="A3830" t="s">
        <v>153</v>
      </c>
      <c r="L3830"/>
      <c r="M3830"/>
      <c r="N3830"/>
      <c r="O3830"/>
      <c r="P3830"/>
    </row>
    <row r="3831" spans="1:16" ht="15" customHeight="1" x14ac:dyDescent="0.25">
      <c r="A3831" t="s">
        <v>153</v>
      </c>
      <c r="L3831"/>
      <c r="M3831"/>
      <c r="N3831"/>
      <c r="O3831"/>
      <c r="P3831"/>
    </row>
    <row r="3832" spans="1:16" ht="15" customHeight="1" x14ac:dyDescent="0.25">
      <c r="A3832" t="s">
        <v>153</v>
      </c>
      <c r="L3832"/>
      <c r="M3832"/>
      <c r="N3832"/>
      <c r="O3832"/>
      <c r="P3832"/>
    </row>
    <row r="3833" spans="1:16" ht="15" customHeight="1" x14ac:dyDescent="0.25">
      <c r="A3833" t="s">
        <v>153</v>
      </c>
      <c r="L3833"/>
      <c r="M3833"/>
      <c r="N3833"/>
      <c r="O3833"/>
      <c r="P3833"/>
    </row>
    <row r="3834" spans="1:16" ht="15" customHeight="1" x14ac:dyDescent="0.25">
      <c r="A3834" t="s">
        <v>153</v>
      </c>
      <c r="L3834"/>
      <c r="M3834"/>
      <c r="N3834"/>
      <c r="O3834"/>
      <c r="P3834"/>
    </row>
    <row r="3835" spans="1:16" ht="15" customHeight="1" x14ac:dyDescent="0.25">
      <c r="A3835" t="s">
        <v>153</v>
      </c>
      <c r="L3835"/>
      <c r="M3835"/>
      <c r="N3835"/>
      <c r="O3835"/>
      <c r="P3835"/>
    </row>
    <row r="3836" spans="1:16" ht="15" customHeight="1" x14ac:dyDescent="0.25">
      <c r="A3836" t="s">
        <v>153</v>
      </c>
      <c r="L3836"/>
      <c r="M3836"/>
      <c r="N3836"/>
      <c r="O3836"/>
      <c r="P3836"/>
    </row>
    <row r="3837" spans="1:16" ht="15" customHeight="1" x14ac:dyDescent="0.25">
      <c r="A3837" t="s">
        <v>153</v>
      </c>
      <c r="L3837"/>
      <c r="M3837"/>
      <c r="N3837"/>
      <c r="O3837"/>
      <c r="P3837"/>
    </row>
    <row r="3838" spans="1:16" ht="15" customHeight="1" x14ac:dyDescent="0.25">
      <c r="A3838" t="s">
        <v>153</v>
      </c>
      <c r="L3838"/>
      <c r="M3838"/>
      <c r="N3838"/>
      <c r="O3838"/>
      <c r="P3838"/>
    </row>
    <row r="3839" spans="1:16" ht="15" customHeight="1" x14ac:dyDescent="0.25">
      <c r="A3839" t="s">
        <v>153</v>
      </c>
      <c r="L3839"/>
      <c r="M3839"/>
      <c r="N3839"/>
      <c r="O3839"/>
      <c r="P3839"/>
    </row>
    <row r="3840" spans="1:16" ht="15" customHeight="1" x14ac:dyDescent="0.25">
      <c r="A3840" t="s">
        <v>153</v>
      </c>
      <c r="L3840"/>
      <c r="M3840"/>
      <c r="N3840"/>
      <c r="O3840"/>
      <c r="P3840"/>
    </row>
    <row r="3841" spans="1:16" ht="15" customHeight="1" x14ac:dyDescent="0.25">
      <c r="A3841" t="s">
        <v>153</v>
      </c>
      <c r="L3841"/>
      <c r="M3841"/>
      <c r="N3841"/>
      <c r="O3841"/>
      <c r="P3841"/>
    </row>
    <row r="3842" spans="1:16" ht="15" customHeight="1" x14ac:dyDescent="0.25">
      <c r="A3842" t="s">
        <v>153</v>
      </c>
      <c r="L3842"/>
      <c r="M3842"/>
      <c r="N3842"/>
      <c r="O3842"/>
      <c r="P3842"/>
    </row>
    <row r="3843" spans="1:16" ht="15" customHeight="1" x14ac:dyDescent="0.25">
      <c r="A3843" t="s">
        <v>153</v>
      </c>
      <c r="L3843"/>
      <c r="M3843"/>
      <c r="N3843"/>
      <c r="O3843"/>
      <c r="P3843"/>
    </row>
    <row r="3844" spans="1:16" ht="15" customHeight="1" x14ac:dyDescent="0.25">
      <c r="A3844" t="s">
        <v>153</v>
      </c>
      <c r="L3844"/>
      <c r="M3844"/>
      <c r="N3844"/>
      <c r="O3844"/>
      <c r="P3844"/>
    </row>
    <row r="3845" spans="1:16" ht="15" customHeight="1" x14ac:dyDescent="0.25">
      <c r="A3845" t="s">
        <v>153</v>
      </c>
      <c r="L3845"/>
      <c r="M3845"/>
      <c r="N3845"/>
      <c r="O3845"/>
      <c r="P3845"/>
    </row>
    <row r="3846" spans="1:16" ht="15" customHeight="1" x14ac:dyDescent="0.25">
      <c r="A3846" t="s">
        <v>153</v>
      </c>
      <c r="L3846"/>
      <c r="M3846"/>
      <c r="N3846"/>
      <c r="O3846"/>
      <c r="P3846"/>
    </row>
    <row r="3847" spans="1:16" ht="15" customHeight="1" x14ac:dyDescent="0.25">
      <c r="A3847" t="s">
        <v>153</v>
      </c>
      <c r="L3847"/>
      <c r="M3847"/>
      <c r="N3847"/>
      <c r="O3847"/>
      <c r="P3847"/>
    </row>
    <row r="3848" spans="1:16" ht="15" customHeight="1" x14ac:dyDescent="0.25">
      <c r="A3848" t="s">
        <v>153</v>
      </c>
      <c r="L3848"/>
      <c r="M3848"/>
      <c r="N3848"/>
      <c r="O3848"/>
      <c r="P3848"/>
    </row>
    <row r="3849" spans="1:16" ht="15" customHeight="1" x14ac:dyDescent="0.25">
      <c r="A3849" t="s">
        <v>153</v>
      </c>
      <c r="L3849"/>
      <c r="M3849"/>
      <c r="N3849"/>
      <c r="O3849"/>
      <c r="P3849"/>
    </row>
    <row r="3850" spans="1:16" ht="15" customHeight="1" x14ac:dyDescent="0.25">
      <c r="A3850" t="s">
        <v>153</v>
      </c>
      <c r="L3850"/>
      <c r="M3850"/>
      <c r="N3850"/>
      <c r="O3850"/>
      <c r="P3850"/>
    </row>
    <row r="3851" spans="1:16" ht="15" customHeight="1" x14ac:dyDescent="0.25">
      <c r="A3851" t="s">
        <v>153</v>
      </c>
      <c r="L3851"/>
      <c r="M3851"/>
      <c r="N3851"/>
      <c r="O3851"/>
      <c r="P3851"/>
    </row>
    <row r="3852" spans="1:16" ht="15" customHeight="1" x14ac:dyDescent="0.25">
      <c r="A3852" t="s">
        <v>153</v>
      </c>
      <c r="L3852"/>
      <c r="M3852"/>
      <c r="N3852"/>
      <c r="O3852"/>
      <c r="P3852"/>
    </row>
    <row r="3853" spans="1:16" ht="15" customHeight="1" x14ac:dyDescent="0.25">
      <c r="A3853" t="s">
        <v>153</v>
      </c>
      <c r="L3853"/>
      <c r="M3853"/>
      <c r="N3853"/>
      <c r="O3853"/>
      <c r="P3853"/>
    </row>
    <row r="3854" spans="1:16" ht="15" customHeight="1" x14ac:dyDescent="0.25">
      <c r="A3854" t="s">
        <v>153</v>
      </c>
      <c r="L3854"/>
      <c r="M3854"/>
      <c r="N3854"/>
      <c r="O3854"/>
      <c r="P3854"/>
    </row>
    <row r="3855" spans="1:16" ht="15" customHeight="1" x14ac:dyDescent="0.25">
      <c r="A3855" t="s">
        <v>153</v>
      </c>
      <c r="L3855"/>
      <c r="M3855"/>
      <c r="N3855"/>
      <c r="O3855"/>
      <c r="P3855"/>
    </row>
    <row r="3856" spans="1:16" ht="15" customHeight="1" x14ac:dyDescent="0.25">
      <c r="A3856" t="s">
        <v>153</v>
      </c>
      <c r="L3856"/>
      <c r="M3856"/>
      <c r="N3856"/>
      <c r="O3856"/>
      <c r="P3856"/>
    </row>
    <row r="3857" spans="1:16" ht="15" customHeight="1" x14ac:dyDescent="0.25">
      <c r="A3857" t="s">
        <v>153</v>
      </c>
      <c r="L3857"/>
      <c r="M3857"/>
      <c r="N3857"/>
      <c r="O3857"/>
      <c r="P3857"/>
    </row>
    <row r="3858" spans="1:16" ht="15" customHeight="1" x14ac:dyDescent="0.25">
      <c r="A3858" t="s">
        <v>153</v>
      </c>
      <c r="L3858"/>
      <c r="M3858"/>
      <c r="N3858"/>
      <c r="O3858"/>
      <c r="P3858"/>
    </row>
    <row r="3859" spans="1:16" ht="15" customHeight="1" x14ac:dyDescent="0.25">
      <c r="A3859" t="s">
        <v>153</v>
      </c>
      <c r="L3859"/>
      <c r="M3859"/>
      <c r="N3859"/>
      <c r="O3859"/>
      <c r="P3859"/>
    </row>
    <row r="3860" spans="1:16" ht="15" customHeight="1" x14ac:dyDescent="0.25">
      <c r="A3860" t="s">
        <v>153</v>
      </c>
      <c r="L3860"/>
      <c r="M3860"/>
      <c r="N3860"/>
      <c r="O3860"/>
      <c r="P3860"/>
    </row>
    <row r="3861" spans="1:16" ht="15" customHeight="1" x14ac:dyDescent="0.25">
      <c r="A3861" t="s">
        <v>153</v>
      </c>
      <c r="L3861"/>
      <c r="M3861"/>
      <c r="N3861"/>
      <c r="O3861"/>
      <c r="P3861"/>
    </row>
    <row r="3862" spans="1:16" ht="15" customHeight="1" x14ac:dyDescent="0.25">
      <c r="A3862" t="s">
        <v>153</v>
      </c>
      <c r="L3862"/>
      <c r="M3862"/>
      <c r="N3862"/>
      <c r="O3862"/>
      <c r="P3862"/>
    </row>
    <row r="3863" spans="1:16" ht="15" customHeight="1" x14ac:dyDescent="0.25">
      <c r="A3863" t="s">
        <v>153</v>
      </c>
      <c r="L3863"/>
      <c r="M3863"/>
      <c r="N3863"/>
      <c r="O3863"/>
      <c r="P3863"/>
    </row>
    <row r="3864" spans="1:16" ht="15" customHeight="1" x14ac:dyDescent="0.25">
      <c r="A3864" t="s">
        <v>153</v>
      </c>
      <c r="L3864"/>
      <c r="M3864"/>
      <c r="N3864"/>
      <c r="O3864"/>
      <c r="P3864"/>
    </row>
    <row r="3865" spans="1:16" ht="15" customHeight="1" x14ac:dyDescent="0.25">
      <c r="A3865" t="s">
        <v>153</v>
      </c>
      <c r="L3865"/>
      <c r="M3865"/>
      <c r="N3865"/>
      <c r="O3865"/>
      <c r="P3865"/>
    </row>
    <row r="3866" spans="1:16" ht="15" customHeight="1" x14ac:dyDescent="0.25">
      <c r="A3866" t="s">
        <v>153</v>
      </c>
      <c r="L3866"/>
      <c r="M3866"/>
      <c r="N3866"/>
      <c r="O3866"/>
      <c r="P3866"/>
    </row>
    <row r="3867" spans="1:16" ht="15" customHeight="1" x14ac:dyDescent="0.25">
      <c r="A3867" t="s">
        <v>153</v>
      </c>
      <c r="L3867"/>
      <c r="M3867"/>
      <c r="N3867"/>
      <c r="O3867"/>
      <c r="P3867"/>
    </row>
    <row r="3868" spans="1:16" ht="15" customHeight="1" x14ac:dyDescent="0.25">
      <c r="A3868" t="s">
        <v>153</v>
      </c>
      <c r="L3868"/>
      <c r="M3868"/>
      <c r="N3868"/>
      <c r="O3868"/>
      <c r="P3868"/>
    </row>
    <row r="3869" spans="1:16" ht="15" customHeight="1" x14ac:dyDescent="0.25">
      <c r="A3869" t="s">
        <v>153</v>
      </c>
      <c r="L3869"/>
      <c r="M3869"/>
      <c r="N3869"/>
      <c r="O3869"/>
      <c r="P3869"/>
    </row>
    <row r="3870" spans="1:16" ht="15" customHeight="1" x14ac:dyDescent="0.25">
      <c r="A3870" t="s">
        <v>153</v>
      </c>
      <c r="L3870"/>
      <c r="M3870"/>
      <c r="N3870"/>
      <c r="O3870"/>
      <c r="P3870"/>
    </row>
    <row r="3871" spans="1:16" ht="15" customHeight="1" x14ac:dyDescent="0.25">
      <c r="A3871" t="s">
        <v>153</v>
      </c>
      <c r="L3871"/>
      <c r="M3871"/>
      <c r="N3871"/>
      <c r="O3871"/>
      <c r="P3871"/>
    </row>
    <row r="3872" spans="1:16" ht="15" customHeight="1" x14ac:dyDescent="0.25">
      <c r="A3872" t="s">
        <v>153</v>
      </c>
      <c r="L3872"/>
      <c r="M3872"/>
      <c r="N3872"/>
      <c r="O3872"/>
      <c r="P3872"/>
    </row>
    <row r="3873" spans="1:16" ht="15" customHeight="1" x14ac:dyDescent="0.25">
      <c r="A3873" t="s">
        <v>153</v>
      </c>
      <c r="L3873"/>
      <c r="M3873"/>
      <c r="N3873"/>
      <c r="O3873"/>
      <c r="P3873"/>
    </row>
    <row r="3874" spans="1:16" ht="15" customHeight="1" x14ac:dyDescent="0.25">
      <c r="A3874" t="s">
        <v>153</v>
      </c>
      <c r="L3874"/>
      <c r="M3874"/>
      <c r="N3874"/>
      <c r="O3874"/>
      <c r="P3874"/>
    </row>
    <row r="3875" spans="1:16" ht="15" customHeight="1" x14ac:dyDescent="0.25">
      <c r="A3875" t="s">
        <v>153</v>
      </c>
      <c r="L3875"/>
      <c r="M3875"/>
      <c r="N3875"/>
      <c r="O3875"/>
      <c r="P3875"/>
    </row>
    <row r="3876" spans="1:16" ht="15" customHeight="1" x14ac:dyDescent="0.25">
      <c r="A3876" t="s">
        <v>153</v>
      </c>
      <c r="L3876"/>
      <c r="M3876"/>
      <c r="N3876"/>
      <c r="O3876"/>
      <c r="P3876"/>
    </row>
    <row r="3877" spans="1:16" ht="15" customHeight="1" x14ac:dyDescent="0.25">
      <c r="A3877" t="s">
        <v>153</v>
      </c>
      <c r="L3877"/>
      <c r="M3877"/>
      <c r="N3877"/>
      <c r="O3877"/>
      <c r="P3877"/>
    </row>
    <row r="3878" spans="1:16" ht="15" customHeight="1" x14ac:dyDescent="0.25">
      <c r="A3878" t="s">
        <v>153</v>
      </c>
      <c r="L3878"/>
      <c r="M3878"/>
      <c r="N3878"/>
      <c r="O3878"/>
      <c r="P3878"/>
    </row>
    <row r="3879" spans="1:16" ht="15" customHeight="1" x14ac:dyDescent="0.25">
      <c r="A3879" t="s">
        <v>153</v>
      </c>
      <c r="L3879"/>
      <c r="M3879"/>
      <c r="N3879"/>
      <c r="O3879"/>
      <c r="P3879"/>
    </row>
    <row r="3880" spans="1:16" ht="15" customHeight="1" x14ac:dyDescent="0.25">
      <c r="A3880" t="s">
        <v>153</v>
      </c>
      <c r="L3880"/>
      <c r="M3880"/>
      <c r="N3880"/>
      <c r="O3880"/>
      <c r="P3880"/>
    </row>
    <row r="3881" spans="1:16" ht="15" customHeight="1" x14ac:dyDescent="0.25">
      <c r="A3881" t="s">
        <v>153</v>
      </c>
      <c r="L3881"/>
      <c r="M3881"/>
      <c r="N3881"/>
      <c r="O3881"/>
      <c r="P3881"/>
    </row>
    <row r="3882" spans="1:16" ht="15" customHeight="1" x14ac:dyDescent="0.25">
      <c r="A3882" t="s">
        <v>153</v>
      </c>
      <c r="L3882"/>
      <c r="M3882"/>
      <c r="N3882"/>
      <c r="O3882"/>
      <c r="P3882"/>
    </row>
    <row r="3883" spans="1:16" ht="15" customHeight="1" x14ac:dyDescent="0.25">
      <c r="A3883" t="s">
        <v>153</v>
      </c>
      <c r="L3883"/>
      <c r="M3883"/>
      <c r="N3883"/>
      <c r="O3883"/>
      <c r="P3883"/>
    </row>
    <row r="3884" spans="1:16" ht="15" customHeight="1" x14ac:dyDescent="0.25">
      <c r="A3884" t="s">
        <v>153</v>
      </c>
      <c r="L3884"/>
      <c r="M3884"/>
      <c r="N3884"/>
      <c r="O3884"/>
      <c r="P3884"/>
    </row>
    <row r="3885" spans="1:16" ht="15" customHeight="1" x14ac:dyDescent="0.25">
      <c r="A3885" t="s">
        <v>153</v>
      </c>
      <c r="L3885"/>
      <c r="M3885"/>
      <c r="N3885"/>
      <c r="O3885"/>
      <c r="P3885"/>
    </row>
    <row r="3886" spans="1:16" ht="15" customHeight="1" x14ac:dyDescent="0.25">
      <c r="A3886" t="s">
        <v>153</v>
      </c>
      <c r="L3886"/>
      <c r="M3886"/>
      <c r="N3886"/>
      <c r="O3886"/>
      <c r="P3886"/>
    </row>
    <row r="3887" spans="1:16" ht="15" customHeight="1" x14ac:dyDescent="0.25">
      <c r="A3887" t="s">
        <v>153</v>
      </c>
      <c r="L3887"/>
      <c r="M3887"/>
      <c r="N3887"/>
      <c r="O3887"/>
      <c r="P3887"/>
    </row>
    <row r="3888" spans="1:16" ht="15" customHeight="1" x14ac:dyDescent="0.25">
      <c r="A3888" t="s">
        <v>153</v>
      </c>
      <c r="L3888"/>
      <c r="M3888"/>
      <c r="N3888"/>
      <c r="O3888"/>
      <c r="P3888"/>
    </row>
    <row r="3889" spans="1:16" ht="15" customHeight="1" x14ac:dyDescent="0.25">
      <c r="A3889" t="s">
        <v>153</v>
      </c>
      <c r="L3889"/>
      <c r="M3889"/>
      <c r="N3889"/>
      <c r="O3889"/>
      <c r="P3889"/>
    </row>
    <row r="3890" spans="1:16" ht="15" customHeight="1" x14ac:dyDescent="0.25">
      <c r="A3890" t="s">
        <v>153</v>
      </c>
      <c r="L3890"/>
      <c r="M3890"/>
      <c r="N3890"/>
      <c r="O3890"/>
      <c r="P3890"/>
    </row>
    <row r="3891" spans="1:16" ht="15" customHeight="1" x14ac:dyDescent="0.25">
      <c r="A3891" t="s">
        <v>153</v>
      </c>
      <c r="L3891"/>
      <c r="M3891"/>
      <c r="N3891"/>
      <c r="O3891"/>
      <c r="P3891"/>
    </row>
    <row r="3892" spans="1:16" ht="15" customHeight="1" x14ac:dyDescent="0.25">
      <c r="A3892" t="s">
        <v>153</v>
      </c>
      <c r="L3892"/>
      <c r="M3892"/>
      <c r="N3892"/>
      <c r="O3892"/>
      <c r="P3892"/>
    </row>
    <row r="3893" spans="1:16" ht="15" customHeight="1" x14ac:dyDescent="0.25">
      <c r="A3893" t="s">
        <v>153</v>
      </c>
      <c r="L3893"/>
      <c r="M3893"/>
      <c r="N3893"/>
      <c r="O3893"/>
      <c r="P3893"/>
    </row>
    <row r="3894" spans="1:16" ht="15" customHeight="1" x14ac:dyDescent="0.25">
      <c r="A3894" t="s">
        <v>153</v>
      </c>
      <c r="L3894"/>
      <c r="M3894"/>
      <c r="N3894"/>
      <c r="O3894"/>
      <c r="P3894"/>
    </row>
    <row r="3895" spans="1:16" ht="15" customHeight="1" x14ac:dyDescent="0.25">
      <c r="A3895" t="s">
        <v>153</v>
      </c>
      <c r="L3895"/>
      <c r="M3895"/>
      <c r="N3895"/>
      <c r="O3895"/>
      <c r="P3895"/>
    </row>
    <row r="3896" spans="1:16" ht="15" customHeight="1" x14ac:dyDescent="0.25">
      <c r="A3896" t="s">
        <v>153</v>
      </c>
      <c r="L3896"/>
      <c r="M3896"/>
      <c r="N3896"/>
      <c r="O3896"/>
      <c r="P3896"/>
    </row>
    <row r="3897" spans="1:16" ht="15" customHeight="1" x14ac:dyDescent="0.25">
      <c r="A3897" t="s">
        <v>153</v>
      </c>
      <c r="L3897"/>
      <c r="M3897"/>
      <c r="N3897"/>
      <c r="O3897"/>
      <c r="P3897"/>
    </row>
    <row r="3898" spans="1:16" ht="15" customHeight="1" x14ac:dyDescent="0.25">
      <c r="A3898" t="s">
        <v>153</v>
      </c>
      <c r="L3898"/>
      <c r="M3898"/>
      <c r="N3898"/>
      <c r="O3898"/>
      <c r="P3898"/>
    </row>
    <row r="3899" spans="1:16" ht="15" customHeight="1" x14ac:dyDescent="0.25">
      <c r="A3899" t="s">
        <v>153</v>
      </c>
      <c r="L3899"/>
      <c r="M3899"/>
      <c r="N3899"/>
      <c r="O3899"/>
      <c r="P3899"/>
    </row>
    <row r="3900" spans="1:16" ht="15" customHeight="1" x14ac:dyDescent="0.25">
      <c r="A3900" t="s">
        <v>153</v>
      </c>
      <c r="L3900"/>
      <c r="M3900"/>
      <c r="N3900"/>
      <c r="O3900"/>
      <c r="P3900"/>
    </row>
    <row r="3901" spans="1:16" ht="15" customHeight="1" x14ac:dyDescent="0.25">
      <c r="A3901" t="s">
        <v>153</v>
      </c>
      <c r="L3901"/>
      <c r="M3901"/>
      <c r="N3901"/>
      <c r="O3901"/>
      <c r="P3901"/>
    </row>
    <row r="3902" spans="1:16" ht="15" customHeight="1" x14ac:dyDescent="0.25">
      <c r="A3902" t="s">
        <v>153</v>
      </c>
      <c r="L3902"/>
      <c r="M3902"/>
      <c r="N3902"/>
      <c r="O3902"/>
      <c r="P3902"/>
    </row>
    <row r="3903" spans="1:16" ht="15" customHeight="1" x14ac:dyDescent="0.25">
      <c r="A3903" t="s">
        <v>153</v>
      </c>
      <c r="L3903"/>
      <c r="M3903"/>
      <c r="N3903"/>
      <c r="O3903"/>
      <c r="P3903"/>
    </row>
    <row r="3904" spans="1:16" ht="15" customHeight="1" x14ac:dyDescent="0.25">
      <c r="A3904" t="s">
        <v>153</v>
      </c>
      <c r="L3904"/>
      <c r="M3904"/>
      <c r="N3904"/>
      <c r="O3904"/>
      <c r="P3904"/>
    </row>
    <row r="3905" spans="1:16" ht="15" customHeight="1" x14ac:dyDescent="0.25">
      <c r="A3905" t="s">
        <v>153</v>
      </c>
      <c r="L3905"/>
      <c r="M3905"/>
      <c r="N3905"/>
      <c r="O3905"/>
      <c r="P3905"/>
    </row>
    <row r="3906" spans="1:16" ht="15" customHeight="1" x14ac:dyDescent="0.25">
      <c r="A3906" t="s">
        <v>153</v>
      </c>
      <c r="L3906"/>
      <c r="M3906"/>
      <c r="N3906"/>
      <c r="O3906"/>
      <c r="P3906"/>
    </row>
    <row r="3907" spans="1:16" ht="15" customHeight="1" x14ac:dyDescent="0.25">
      <c r="A3907" t="s">
        <v>153</v>
      </c>
      <c r="L3907"/>
      <c r="M3907"/>
      <c r="N3907"/>
      <c r="O3907"/>
      <c r="P3907"/>
    </row>
    <row r="3908" spans="1:16" ht="15" customHeight="1" x14ac:dyDescent="0.25">
      <c r="A3908" t="s">
        <v>153</v>
      </c>
      <c r="L3908"/>
      <c r="M3908"/>
      <c r="N3908"/>
      <c r="O3908"/>
      <c r="P3908"/>
    </row>
    <row r="3909" spans="1:16" ht="15" customHeight="1" x14ac:dyDescent="0.25">
      <c r="A3909" t="s">
        <v>153</v>
      </c>
      <c r="L3909"/>
      <c r="M3909"/>
      <c r="N3909"/>
      <c r="O3909"/>
      <c r="P3909"/>
    </row>
    <row r="3910" spans="1:16" ht="15" customHeight="1" x14ac:dyDescent="0.25">
      <c r="A3910" t="s">
        <v>153</v>
      </c>
      <c r="L3910"/>
      <c r="M3910"/>
      <c r="N3910"/>
      <c r="O3910"/>
      <c r="P3910"/>
    </row>
    <row r="3911" spans="1:16" ht="15" customHeight="1" x14ac:dyDescent="0.25">
      <c r="A3911" t="s">
        <v>153</v>
      </c>
      <c r="L3911"/>
      <c r="M3911"/>
      <c r="N3911"/>
      <c r="O3911"/>
      <c r="P3911"/>
    </row>
    <row r="3912" spans="1:16" ht="15" customHeight="1" x14ac:dyDescent="0.25">
      <c r="A3912" t="s">
        <v>153</v>
      </c>
      <c r="L3912"/>
      <c r="M3912"/>
      <c r="N3912"/>
      <c r="O3912"/>
      <c r="P3912"/>
    </row>
    <row r="3913" spans="1:16" ht="15" customHeight="1" x14ac:dyDescent="0.25">
      <c r="A3913" t="s">
        <v>153</v>
      </c>
      <c r="L3913"/>
      <c r="M3913"/>
      <c r="N3913"/>
      <c r="O3913"/>
      <c r="P3913"/>
    </row>
    <row r="3914" spans="1:16" ht="15" customHeight="1" x14ac:dyDescent="0.25">
      <c r="A3914" t="s">
        <v>153</v>
      </c>
      <c r="L3914"/>
      <c r="M3914"/>
      <c r="N3914"/>
      <c r="O3914"/>
      <c r="P3914"/>
    </row>
    <row r="3915" spans="1:16" ht="15" customHeight="1" x14ac:dyDescent="0.25">
      <c r="A3915" t="s">
        <v>153</v>
      </c>
      <c r="L3915"/>
      <c r="M3915"/>
      <c r="N3915"/>
      <c r="O3915"/>
      <c r="P3915"/>
    </row>
    <row r="3916" spans="1:16" ht="15" customHeight="1" x14ac:dyDescent="0.25">
      <c r="A3916" t="s">
        <v>153</v>
      </c>
      <c r="L3916"/>
      <c r="M3916"/>
      <c r="N3916"/>
      <c r="O3916"/>
      <c r="P3916"/>
    </row>
    <row r="3917" spans="1:16" ht="15" customHeight="1" x14ac:dyDescent="0.25">
      <c r="A3917" t="s">
        <v>153</v>
      </c>
      <c r="L3917"/>
      <c r="M3917"/>
      <c r="N3917"/>
      <c r="O3917"/>
      <c r="P3917"/>
    </row>
    <row r="3918" spans="1:16" ht="15" customHeight="1" x14ac:dyDescent="0.25">
      <c r="A3918" t="s">
        <v>153</v>
      </c>
      <c r="L3918"/>
      <c r="M3918"/>
      <c r="N3918"/>
      <c r="O3918"/>
      <c r="P3918"/>
    </row>
    <row r="3919" spans="1:16" ht="15" customHeight="1" x14ac:dyDescent="0.25">
      <c r="A3919" t="s">
        <v>153</v>
      </c>
      <c r="L3919"/>
      <c r="M3919"/>
      <c r="N3919"/>
      <c r="O3919"/>
      <c r="P3919"/>
    </row>
    <row r="3920" spans="1:16" ht="15" customHeight="1" x14ac:dyDescent="0.25">
      <c r="A3920" t="s">
        <v>153</v>
      </c>
      <c r="L3920"/>
      <c r="M3920"/>
      <c r="N3920"/>
      <c r="O3920"/>
      <c r="P3920"/>
    </row>
    <row r="3921" spans="1:16" ht="15" customHeight="1" x14ac:dyDescent="0.25">
      <c r="A3921" t="s">
        <v>153</v>
      </c>
      <c r="L3921"/>
      <c r="M3921"/>
      <c r="N3921"/>
      <c r="O3921"/>
      <c r="P3921"/>
    </row>
    <row r="3922" spans="1:16" ht="15" customHeight="1" x14ac:dyDescent="0.25">
      <c r="A3922" t="s">
        <v>153</v>
      </c>
      <c r="L3922"/>
      <c r="M3922"/>
      <c r="N3922"/>
      <c r="O3922"/>
      <c r="P3922"/>
    </row>
    <row r="3923" spans="1:16" ht="15" customHeight="1" x14ac:dyDescent="0.25">
      <c r="A3923" t="s">
        <v>153</v>
      </c>
      <c r="L3923"/>
      <c r="M3923"/>
      <c r="N3923"/>
      <c r="O3923"/>
      <c r="P3923"/>
    </row>
    <row r="3924" spans="1:16" ht="15" customHeight="1" x14ac:dyDescent="0.25">
      <c r="A3924" t="s">
        <v>153</v>
      </c>
      <c r="L3924"/>
      <c r="M3924"/>
      <c r="N3924"/>
      <c r="O3924"/>
      <c r="P3924"/>
    </row>
    <row r="3925" spans="1:16" ht="15" customHeight="1" x14ac:dyDescent="0.25">
      <c r="A3925" t="s">
        <v>153</v>
      </c>
      <c r="L3925"/>
      <c r="M3925"/>
      <c r="N3925"/>
      <c r="O3925"/>
      <c r="P3925"/>
    </row>
    <row r="3926" spans="1:16" ht="15" customHeight="1" x14ac:dyDescent="0.25">
      <c r="A3926" t="s">
        <v>153</v>
      </c>
      <c r="L3926"/>
      <c r="M3926"/>
      <c r="N3926"/>
      <c r="O3926"/>
      <c r="P3926"/>
    </row>
    <row r="3927" spans="1:16" ht="15" customHeight="1" x14ac:dyDescent="0.25">
      <c r="A3927" t="s">
        <v>153</v>
      </c>
      <c r="L3927"/>
      <c r="M3927"/>
      <c r="N3927"/>
      <c r="O3927"/>
      <c r="P3927"/>
    </row>
    <row r="3928" spans="1:16" ht="15" customHeight="1" x14ac:dyDescent="0.25">
      <c r="A3928" t="s">
        <v>153</v>
      </c>
      <c r="L3928"/>
      <c r="M3928"/>
      <c r="N3928"/>
      <c r="O3928"/>
      <c r="P3928"/>
    </row>
    <row r="3929" spans="1:16" ht="15" customHeight="1" x14ac:dyDescent="0.25">
      <c r="A3929" t="s">
        <v>153</v>
      </c>
      <c r="L3929"/>
      <c r="M3929"/>
      <c r="N3929"/>
      <c r="O3929"/>
      <c r="P3929"/>
    </row>
    <row r="3930" spans="1:16" ht="15" customHeight="1" x14ac:dyDescent="0.25">
      <c r="A3930" t="s">
        <v>153</v>
      </c>
      <c r="L3930"/>
      <c r="M3930"/>
      <c r="N3930"/>
      <c r="O3930"/>
      <c r="P3930"/>
    </row>
    <row r="3931" spans="1:16" ht="15" customHeight="1" x14ac:dyDescent="0.25">
      <c r="A3931" t="s">
        <v>153</v>
      </c>
      <c r="L3931"/>
      <c r="M3931"/>
      <c r="N3931"/>
      <c r="O3931"/>
      <c r="P3931"/>
    </row>
    <row r="3932" spans="1:16" ht="15" customHeight="1" x14ac:dyDescent="0.25">
      <c r="A3932" t="s">
        <v>153</v>
      </c>
      <c r="L3932"/>
      <c r="M3932"/>
      <c r="N3932"/>
      <c r="O3932"/>
      <c r="P3932"/>
    </row>
    <row r="3933" spans="1:16" ht="15" customHeight="1" x14ac:dyDescent="0.25">
      <c r="A3933" t="s">
        <v>153</v>
      </c>
      <c r="L3933"/>
      <c r="M3933"/>
      <c r="N3933"/>
      <c r="O3933"/>
      <c r="P3933"/>
    </row>
    <row r="3934" spans="1:16" ht="15" customHeight="1" x14ac:dyDescent="0.25">
      <c r="A3934" t="s">
        <v>153</v>
      </c>
      <c r="L3934"/>
      <c r="M3934"/>
      <c r="N3934"/>
      <c r="O3934"/>
      <c r="P3934"/>
    </row>
    <row r="3935" spans="1:16" ht="15" customHeight="1" x14ac:dyDescent="0.25">
      <c r="A3935" t="s">
        <v>153</v>
      </c>
      <c r="L3935"/>
      <c r="M3935"/>
      <c r="N3935"/>
      <c r="O3935"/>
      <c r="P3935"/>
    </row>
    <row r="3936" spans="1:16" ht="15" customHeight="1" x14ac:dyDescent="0.25">
      <c r="A3936" t="s">
        <v>153</v>
      </c>
      <c r="L3936"/>
      <c r="M3936"/>
      <c r="N3936"/>
      <c r="O3936"/>
      <c r="P3936"/>
    </row>
    <row r="3937" spans="1:16" ht="15" customHeight="1" x14ac:dyDescent="0.25">
      <c r="A3937" t="s">
        <v>153</v>
      </c>
      <c r="L3937"/>
      <c r="M3937"/>
      <c r="N3937"/>
      <c r="O3937"/>
      <c r="P3937"/>
    </row>
    <row r="3938" spans="1:16" ht="15" customHeight="1" x14ac:dyDescent="0.25">
      <c r="A3938" t="s">
        <v>153</v>
      </c>
      <c r="L3938"/>
      <c r="M3938"/>
      <c r="N3938"/>
      <c r="O3938"/>
      <c r="P3938"/>
    </row>
    <row r="3939" spans="1:16" ht="15" customHeight="1" x14ac:dyDescent="0.25">
      <c r="A3939" t="s">
        <v>153</v>
      </c>
      <c r="L3939"/>
      <c r="M3939"/>
      <c r="N3939"/>
      <c r="O3939"/>
      <c r="P3939"/>
    </row>
    <row r="3940" spans="1:16" ht="15" customHeight="1" x14ac:dyDescent="0.25">
      <c r="A3940" t="s">
        <v>153</v>
      </c>
      <c r="L3940"/>
      <c r="M3940"/>
      <c r="N3940"/>
      <c r="O3940"/>
      <c r="P3940"/>
    </row>
    <row r="3941" spans="1:16" ht="15" customHeight="1" x14ac:dyDescent="0.25">
      <c r="A3941" t="s">
        <v>153</v>
      </c>
      <c r="L3941"/>
      <c r="M3941"/>
      <c r="N3941"/>
      <c r="O3941"/>
      <c r="P3941"/>
    </row>
    <row r="3942" spans="1:16" ht="15" customHeight="1" x14ac:dyDescent="0.25">
      <c r="A3942" t="s">
        <v>153</v>
      </c>
      <c r="L3942"/>
      <c r="M3942"/>
      <c r="N3942"/>
      <c r="O3942"/>
      <c r="P3942"/>
    </row>
    <row r="3943" spans="1:16" ht="15" customHeight="1" x14ac:dyDescent="0.25">
      <c r="A3943" t="s">
        <v>153</v>
      </c>
      <c r="L3943"/>
      <c r="M3943"/>
      <c r="N3943"/>
      <c r="O3943"/>
      <c r="P3943"/>
    </row>
    <row r="3944" spans="1:16" ht="15" customHeight="1" x14ac:dyDescent="0.25">
      <c r="A3944" t="s">
        <v>153</v>
      </c>
      <c r="L3944"/>
      <c r="M3944"/>
      <c r="N3944"/>
      <c r="O3944"/>
      <c r="P3944"/>
    </row>
    <row r="3945" spans="1:16" ht="15" customHeight="1" x14ac:dyDescent="0.25">
      <c r="A3945" t="s">
        <v>153</v>
      </c>
      <c r="L3945"/>
      <c r="M3945"/>
      <c r="N3945"/>
      <c r="O3945"/>
      <c r="P3945"/>
    </row>
    <row r="3946" spans="1:16" ht="15" customHeight="1" x14ac:dyDescent="0.25">
      <c r="A3946" t="s">
        <v>153</v>
      </c>
      <c r="L3946"/>
      <c r="M3946"/>
      <c r="N3946"/>
      <c r="O3946"/>
      <c r="P3946"/>
    </row>
    <row r="3947" spans="1:16" ht="15" customHeight="1" x14ac:dyDescent="0.25">
      <c r="A3947" t="s">
        <v>153</v>
      </c>
      <c r="L3947"/>
      <c r="M3947"/>
      <c r="N3947"/>
      <c r="O3947"/>
      <c r="P3947"/>
    </row>
    <row r="3948" spans="1:16" ht="15" customHeight="1" x14ac:dyDescent="0.25">
      <c r="A3948" t="s">
        <v>153</v>
      </c>
      <c r="L3948"/>
      <c r="M3948"/>
      <c r="N3948"/>
      <c r="O3948"/>
      <c r="P3948"/>
    </row>
    <row r="3949" spans="1:16" ht="15" customHeight="1" x14ac:dyDescent="0.25">
      <c r="A3949" t="s">
        <v>153</v>
      </c>
      <c r="L3949"/>
      <c r="M3949"/>
      <c r="N3949"/>
      <c r="O3949"/>
      <c r="P3949"/>
    </row>
    <row r="3950" spans="1:16" ht="15" customHeight="1" x14ac:dyDescent="0.25">
      <c r="A3950" t="s">
        <v>153</v>
      </c>
      <c r="L3950"/>
      <c r="M3950"/>
      <c r="N3950"/>
      <c r="O3950"/>
      <c r="P3950"/>
    </row>
    <row r="3951" spans="1:16" ht="15" customHeight="1" x14ac:dyDescent="0.25">
      <c r="A3951" t="s">
        <v>153</v>
      </c>
      <c r="L3951"/>
      <c r="M3951"/>
      <c r="N3951"/>
      <c r="O3951"/>
      <c r="P3951"/>
    </row>
    <row r="3952" spans="1:16" ht="15" customHeight="1" x14ac:dyDescent="0.25">
      <c r="A3952" t="s">
        <v>153</v>
      </c>
      <c r="L3952"/>
      <c r="M3952"/>
      <c r="N3952"/>
      <c r="O3952"/>
      <c r="P3952"/>
    </row>
    <row r="3953" spans="1:16" ht="15" customHeight="1" x14ac:dyDescent="0.25">
      <c r="A3953" t="s">
        <v>153</v>
      </c>
      <c r="L3953"/>
      <c r="M3953"/>
      <c r="N3953"/>
      <c r="O3953"/>
      <c r="P3953"/>
    </row>
    <row r="3954" spans="1:16" ht="15" customHeight="1" x14ac:dyDescent="0.25">
      <c r="A3954" t="s">
        <v>153</v>
      </c>
      <c r="L3954"/>
      <c r="M3954"/>
      <c r="N3954"/>
      <c r="O3954"/>
      <c r="P3954"/>
    </row>
    <row r="3955" spans="1:16" ht="15" customHeight="1" x14ac:dyDescent="0.25">
      <c r="A3955" t="s">
        <v>153</v>
      </c>
      <c r="L3955"/>
      <c r="M3955"/>
      <c r="N3955"/>
      <c r="O3955"/>
      <c r="P3955"/>
    </row>
    <row r="3956" spans="1:16" ht="15" customHeight="1" x14ac:dyDescent="0.25">
      <c r="A3956" t="s">
        <v>153</v>
      </c>
      <c r="L3956"/>
      <c r="M3956"/>
      <c r="N3956"/>
      <c r="O3956"/>
      <c r="P3956"/>
    </row>
    <row r="3957" spans="1:16" ht="15" customHeight="1" x14ac:dyDescent="0.25">
      <c r="A3957" t="s">
        <v>153</v>
      </c>
      <c r="L3957"/>
      <c r="M3957"/>
      <c r="N3957"/>
      <c r="O3957"/>
      <c r="P3957"/>
    </row>
    <row r="3958" spans="1:16" ht="15" customHeight="1" x14ac:dyDescent="0.25">
      <c r="A3958" t="s">
        <v>153</v>
      </c>
      <c r="L3958"/>
      <c r="M3958"/>
      <c r="N3958"/>
      <c r="O3958"/>
      <c r="P3958"/>
    </row>
    <row r="3959" spans="1:16" ht="15" customHeight="1" x14ac:dyDescent="0.25">
      <c r="A3959" t="s">
        <v>153</v>
      </c>
      <c r="L3959"/>
      <c r="M3959"/>
      <c r="N3959"/>
      <c r="O3959"/>
      <c r="P3959"/>
    </row>
    <row r="3960" spans="1:16" ht="15" customHeight="1" x14ac:dyDescent="0.25">
      <c r="A3960" t="s">
        <v>153</v>
      </c>
      <c r="L3960"/>
      <c r="M3960"/>
      <c r="N3960"/>
      <c r="O3960"/>
      <c r="P3960"/>
    </row>
    <row r="3961" spans="1:16" ht="15" customHeight="1" x14ac:dyDescent="0.25">
      <c r="A3961" t="s">
        <v>153</v>
      </c>
      <c r="L3961"/>
      <c r="M3961"/>
      <c r="N3961"/>
      <c r="O3961"/>
      <c r="P3961"/>
    </row>
    <row r="3962" spans="1:16" ht="15" customHeight="1" x14ac:dyDescent="0.25">
      <c r="A3962" t="s">
        <v>153</v>
      </c>
      <c r="L3962"/>
      <c r="M3962"/>
      <c r="N3962"/>
      <c r="O3962"/>
      <c r="P3962"/>
    </row>
    <row r="3963" spans="1:16" ht="15" customHeight="1" x14ac:dyDescent="0.25">
      <c r="A3963" t="s">
        <v>153</v>
      </c>
      <c r="L3963"/>
      <c r="M3963"/>
      <c r="N3963"/>
      <c r="O3963"/>
      <c r="P3963"/>
    </row>
    <row r="3964" spans="1:16" ht="15" customHeight="1" x14ac:dyDescent="0.25">
      <c r="A3964" t="s">
        <v>153</v>
      </c>
      <c r="L3964"/>
      <c r="M3964"/>
      <c r="N3964"/>
      <c r="O3964"/>
      <c r="P3964"/>
    </row>
    <row r="3965" spans="1:16" ht="15" customHeight="1" x14ac:dyDescent="0.25">
      <c r="A3965" t="s">
        <v>153</v>
      </c>
      <c r="L3965"/>
      <c r="M3965"/>
      <c r="N3965"/>
      <c r="O3965"/>
      <c r="P3965"/>
    </row>
    <row r="3966" spans="1:16" ht="15" customHeight="1" x14ac:dyDescent="0.25">
      <c r="A3966" t="s">
        <v>153</v>
      </c>
      <c r="L3966"/>
      <c r="M3966"/>
      <c r="N3966"/>
      <c r="O3966"/>
      <c r="P3966"/>
    </row>
    <row r="3967" spans="1:16" ht="15" customHeight="1" x14ac:dyDescent="0.25">
      <c r="A3967" t="s">
        <v>153</v>
      </c>
      <c r="L3967"/>
      <c r="M3967"/>
      <c r="N3967"/>
      <c r="O3967"/>
      <c r="P3967"/>
    </row>
    <row r="3968" spans="1:16" ht="15" customHeight="1" x14ac:dyDescent="0.25">
      <c r="A3968" t="s">
        <v>153</v>
      </c>
      <c r="L3968"/>
      <c r="M3968"/>
      <c r="N3968"/>
      <c r="O3968"/>
      <c r="P3968"/>
    </row>
    <row r="3969" spans="1:16" ht="15" customHeight="1" x14ac:dyDescent="0.25">
      <c r="A3969" t="s">
        <v>153</v>
      </c>
      <c r="L3969"/>
      <c r="M3969"/>
      <c r="N3969"/>
      <c r="O3969"/>
      <c r="P3969"/>
    </row>
    <row r="3970" spans="1:16" ht="15" customHeight="1" x14ac:dyDescent="0.25">
      <c r="A3970" t="s">
        <v>153</v>
      </c>
      <c r="L3970"/>
      <c r="M3970"/>
      <c r="N3970"/>
      <c r="O3970"/>
      <c r="P3970"/>
    </row>
    <row r="3971" spans="1:16" ht="15" customHeight="1" x14ac:dyDescent="0.25">
      <c r="A3971" t="s">
        <v>153</v>
      </c>
      <c r="L3971"/>
      <c r="M3971"/>
      <c r="N3971"/>
      <c r="O3971"/>
      <c r="P3971"/>
    </row>
    <row r="3972" spans="1:16" ht="15" customHeight="1" x14ac:dyDescent="0.25">
      <c r="A3972" t="s">
        <v>153</v>
      </c>
      <c r="L3972"/>
      <c r="M3972"/>
      <c r="N3972"/>
      <c r="O3972"/>
      <c r="P3972"/>
    </row>
    <row r="3973" spans="1:16" ht="15" customHeight="1" x14ac:dyDescent="0.25">
      <c r="A3973" t="s">
        <v>153</v>
      </c>
      <c r="L3973"/>
      <c r="M3973"/>
      <c r="N3973"/>
      <c r="O3973"/>
      <c r="P3973"/>
    </row>
    <row r="3974" spans="1:16" ht="15" customHeight="1" x14ac:dyDescent="0.25">
      <c r="A3974" t="s">
        <v>153</v>
      </c>
      <c r="L3974"/>
      <c r="M3974"/>
      <c r="N3974"/>
      <c r="O3974"/>
      <c r="P3974"/>
    </row>
    <row r="3975" spans="1:16" ht="15" customHeight="1" x14ac:dyDescent="0.25">
      <c r="A3975" t="s">
        <v>153</v>
      </c>
      <c r="L3975"/>
      <c r="M3975"/>
      <c r="N3975"/>
      <c r="O3975"/>
      <c r="P3975"/>
    </row>
    <row r="3976" spans="1:16" ht="15" customHeight="1" x14ac:dyDescent="0.25">
      <c r="A3976" t="s">
        <v>153</v>
      </c>
      <c r="L3976"/>
      <c r="M3976"/>
      <c r="N3976"/>
      <c r="O3976"/>
      <c r="P3976"/>
    </row>
    <row r="3977" spans="1:16" ht="15" customHeight="1" x14ac:dyDescent="0.25">
      <c r="A3977" t="s">
        <v>153</v>
      </c>
      <c r="L3977"/>
      <c r="M3977"/>
      <c r="N3977"/>
      <c r="O3977"/>
      <c r="P3977"/>
    </row>
    <row r="3978" spans="1:16" ht="15" customHeight="1" x14ac:dyDescent="0.25">
      <c r="A3978" t="s">
        <v>153</v>
      </c>
      <c r="L3978"/>
      <c r="M3978"/>
      <c r="N3978"/>
      <c r="O3978"/>
      <c r="P3978"/>
    </row>
    <row r="3979" spans="1:16" ht="15" customHeight="1" x14ac:dyDescent="0.25">
      <c r="A3979" t="s">
        <v>153</v>
      </c>
      <c r="L3979"/>
      <c r="M3979"/>
      <c r="N3979"/>
      <c r="O3979"/>
      <c r="P3979"/>
    </row>
    <row r="3980" spans="1:16" ht="15" customHeight="1" x14ac:dyDescent="0.25">
      <c r="A3980" t="s">
        <v>153</v>
      </c>
      <c r="L3980"/>
      <c r="M3980"/>
      <c r="N3980"/>
      <c r="O3980"/>
      <c r="P3980"/>
    </row>
    <row r="3981" spans="1:16" ht="15" customHeight="1" x14ac:dyDescent="0.25">
      <c r="A3981" t="s">
        <v>153</v>
      </c>
      <c r="L3981"/>
      <c r="M3981"/>
      <c r="N3981"/>
      <c r="O3981"/>
      <c r="P3981"/>
    </row>
    <row r="3982" spans="1:16" ht="15" customHeight="1" x14ac:dyDescent="0.25">
      <c r="A3982" t="s">
        <v>153</v>
      </c>
      <c r="L3982"/>
      <c r="M3982"/>
      <c r="N3982"/>
      <c r="O3982"/>
      <c r="P3982"/>
    </row>
    <row r="3983" spans="1:16" ht="15" customHeight="1" x14ac:dyDescent="0.25">
      <c r="A3983" t="s">
        <v>153</v>
      </c>
      <c r="L3983"/>
      <c r="M3983"/>
      <c r="N3983"/>
      <c r="O3983"/>
      <c r="P3983"/>
    </row>
    <row r="3984" spans="1:16" ht="15" customHeight="1" x14ac:dyDescent="0.25">
      <c r="A3984" t="s">
        <v>153</v>
      </c>
      <c r="L3984"/>
      <c r="M3984"/>
      <c r="N3984"/>
      <c r="O3984"/>
      <c r="P3984"/>
    </row>
    <row r="3985" spans="1:16" ht="15" customHeight="1" x14ac:dyDescent="0.25">
      <c r="A3985" t="s">
        <v>153</v>
      </c>
      <c r="L3985"/>
      <c r="M3985"/>
      <c r="N3985"/>
      <c r="O3985"/>
      <c r="P3985"/>
    </row>
    <row r="3986" spans="1:16" ht="15" customHeight="1" x14ac:dyDescent="0.25">
      <c r="A3986" t="s">
        <v>153</v>
      </c>
      <c r="L3986"/>
      <c r="M3986"/>
      <c r="N3986"/>
      <c r="O3986"/>
      <c r="P3986"/>
    </row>
    <row r="3987" spans="1:16" ht="15" customHeight="1" x14ac:dyDescent="0.25">
      <c r="A3987" t="s">
        <v>153</v>
      </c>
      <c r="L3987"/>
      <c r="M3987"/>
      <c r="N3987"/>
      <c r="O3987"/>
      <c r="P3987"/>
    </row>
    <row r="3988" spans="1:16" ht="15" customHeight="1" x14ac:dyDescent="0.25">
      <c r="A3988" t="s">
        <v>153</v>
      </c>
      <c r="L3988"/>
      <c r="M3988"/>
      <c r="N3988"/>
      <c r="O3988"/>
      <c r="P3988"/>
    </row>
    <row r="3989" spans="1:16" ht="15" customHeight="1" x14ac:dyDescent="0.25">
      <c r="A3989" t="s">
        <v>153</v>
      </c>
      <c r="L3989"/>
      <c r="M3989"/>
      <c r="N3989"/>
      <c r="O3989"/>
      <c r="P3989"/>
    </row>
    <row r="3990" spans="1:16" ht="15" customHeight="1" x14ac:dyDescent="0.25">
      <c r="A3990" t="s">
        <v>153</v>
      </c>
      <c r="L3990"/>
      <c r="M3990"/>
      <c r="N3990"/>
      <c r="O3990"/>
      <c r="P3990"/>
    </row>
    <row r="3991" spans="1:16" ht="15" customHeight="1" x14ac:dyDescent="0.25">
      <c r="A3991" t="s">
        <v>153</v>
      </c>
      <c r="L3991"/>
      <c r="M3991"/>
      <c r="N3991"/>
      <c r="O3991"/>
      <c r="P3991"/>
    </row>
    <row r="3992" spans="1:16" ht="15" customHeight="1" x14ac:dyDescent="0.25">
      <c r="A3992" t="s">
        <v>153</v>
      </c>
      <c r="L3992"/>
      <c r="M3992"/>
      <c r="N3992"/>
      <c r="O3992"/>
      <c r="P3992"/>
    </row>
    <row r="3993" spans="1:16" ht="15" customHeight="1" x14ac:dyDescent="0.25">
      <c r="A3993" t="s">
        <v>153</v>
      </c>
      <c r="L3993"/>
      <c r="M3993"/>
      <c r="N3993"/>
      <c r="O3993"/>
      <c r="P3993"/>
    </row>
    <row r="3994" spans="1:16" ht="15" customHeight="1" x14ac:dyDescent="0.25">
      <c r="A3994" t="s">
        <v>153</v>
      </c>
      <c r="L3994"/>
      <c r="M3994"/>
      <c r="N3994"/>
      <c r="O3994"/>
      <c r="P3994"/>
    </row>
    <row r="3995" spans="1:16" ht="15" customHeight="1" x14ac:dyDescent="0.25">
      <c r="A3995" t="s">
        <v>153</v>
      </c>
      <c r="L3995"/>
      <c r="M3995"/>
      <c r="N3995"/>
      <c r="O3995"/>
      <c r="P3995"/>
    </row>
    <row r="3996" spans="1:16" ht="15" customHeight="1" x14ac:dyDescent="0.25">
      <c r="A3996" t="s">
        <v>153</v>
      </c>
      <c r="L3996"/>
      <c r="M3996"/>
      <c r="N3996"/>
      <c r="O3996"/>
      <c r="P3996"/>
    </row>
    <row r="3997" spans="1:16" ht="15" customHeight="1" x14ac:dyDescent="0.25">
      <c r="A3997" t="s">
        <v>153</v>
      </c>
      <c r="L3997"/>
      <c r="M3997"/>
      <c r="N3997"/>
      <c r="O3997"/>
      <c r="P3997"/>
    </row>
    <row r="3998" spans="1:16" ht="15" customHeight="1" x14ac:dyDescent="0.25">
      <c r="A3998" t="s">
        <v>153</v>
      </c>
      <c r="L3998"/>
      <c r="M3998"/>
      <c r="N3998"/>
      <c r="O3998"/>
      <c r="P3998"/>
    </row>
    <row r="3999" spans="1:16" ht="15" customHeight="1" x14ac:dyDescent="0.25">
      <c r="A3999" t="s">
        <v>153</v>
      </c>
      <c r="L3999"/>
      <c r="M3999"/>
      <c r="N3999"/>
      <c r="O3999"/>
      <c r="P3999"/>
    </row>
    <row r="4000" spans="1:16" ht="15" customHeight="1" x14ac:dyDescent="0.25">
      <c r="A4000" t="s">
        <v>153</v>
      </c>
      <c r="L4000"/>
      <c r="M4000"/>
      <c r="N4000"/>
      <c r="O4000"/>
      <c r="P4000"/>
    </row>
    <row r="4001" spans="1:16" ht="15" customHeight="1" x14ac:dyDescent="0.25">
      <c r="A4001" t="s">
        <v>153</v>
      </c>
      <c r="L4001"/>
      <c r="M4001"/>
      <c r="N4001"/>
      <c r="O4001"/>
      <c r="P4001"/>
    </row>
    <row r="4002" spans="1:16" ht="15" customHeight="1" x14ac:dyDescent="0.25">
      <c r="A4002" t="s">
        <v>153</v>
      </c>
      <c r="L4002"/>
      <c r="M4002"/>
      <c r="N4002"/>
      <c r="O4002"/>
      <c r="P4002"/>
    </row>
    <row r="4003" spans="1:16" ht="15" customHeight="1" x14ac:dyDescent="0.25">
      <c r="A4003" t="s">
        <v>153</v>
      </c>
      <c r="L4003"/>
      <c r="M4003"/>
      <c r="N4003"/>
      <c r="O4003"/>
      <c r="P4003"/>
    </row>
    <row r="4004" spans="1:16" ht="15" customHeight="1" x14ac:dyDescent="0.25">
      <c r="A4004" t="s">
        <v>153</v>
      </c>
      <c r="L4004"/>
      <c r="M4004"/>
      <c r="N4004"/>
      <c r="O4004"/>
      <c r="P4004"/>
    </row>
    <row r="4005" spans="1:16" ht="15" customHeight="1" x14ac:dyDescent="0.25">
      <c r="A4005" t="s">
        <v>153</v>
      </c>
      <c r="L4005"/>
      <c r="M4005"/>
      <c r="N4005"/>
      <c r="O4005"/>
      <c r="P4005"/>
    </row>
    <row r="4006" spans="1:16" ht="15" customHeight="1" x14ac:dyDescent="0.25">
      <c r="A4006" t="s">
        <v>153</v>
      </c>
      <c r="L4006"/>
      <c r="M4006"/>
      <c r="N4006"/>
      <c r="O4006"/>
      <c r="P4006"/>
    </row>
    <row r="4007" spans="1:16" ht="15" customHeight="1" x14ac:dyDescent="0.25">
      <c r="A4007" t="s">
        <v>153</v>
      </c>
      <c r="L4007"/>
      <c r="M4007"/>
      <c r="N4007"/>
      <c r="O4007"/>
      <c r="P4007"/>
    </row>
    <row r="4008" spans="1:16" ht="15" customHeight="1" x14ac:dyDescent="0.25">
      <c r="A4008" t="s">
        <v>153</v>
      </c>
      <c r="L4008"/>
      <c r="M4008"/>
      <c r="N4008"/>
      <c r="O4008"/>
      <c r="P4008"/>
    </row>
    <row r="4009" spans="1:16" ht="15" customHeight="1" x14ac:dyDescent="0.25">
      <c r="A4009" t="s">
        <v>153</v>
      </c>
      <c r="L4009"/>
      <c r="M4009"/>
      <c r="N4009"/>
      <c r="O4009"/>
      <c r="P4009"/>
    </row>
    <row r="4010" spans="1:16" ht="15" customHeight="1" x14ac:dyDescent="0.25">
      <c r="A4010" t="s">
        <v>153</v>
      </c>
      <c r="L4010"/>
      <c r="M4010"/>
      <c r="N4010"/>
      <c r="O4010"/>
      <c r="P4010"/>
    </row>
    <row r="4011" spans="1:16" ht="15" customHeight="1" x14ac:dyDescent="0.25">
      <c r="A4011" t="s">
        <v>153</v>
      </c>
      <c r="L4011"/>
      <c r="M4011"/>
      <c r="N4011"/>
      <c r="O4011"/>
      <c r="P4011"/>
    </row>
    <row r="4012" spans="1:16" ht="15" customHeight="1" x14ac:dyDescent="0.25">
      <c r="A4012" t="s">
        <v>153</v>
      </c>
      <c r="L4012"/>
      <c r="M4012"/>
      <c r="N4012"/>
      <c r="O4012"/>
      <c r="P4012"/>
    </row>
    <row r="4013" spans="1:16" ht="15" customHeight="1" x14ac:dyDescent="0.25">
      <c r="A4013" t="s">
        <v>153</v>
      </c>
      <c r="L4013"/>
      <c r="M4013"/>
      <c r="N4013"/>
      <c r="O4013"/>
      <c r="P4013"/>
    </row>
    <row r="4014" spans="1:16" ht="15" customHeight="1" x14ac:dyDescent="0.25">
      <c r="A4014" t="s">
        <v>153</v>
      </c>
      <c r="L4014"/>
      <c r="M4014"/>
      <c r="N4014"/>
      <c r="O4014"/>
      <c r="P4014"/>
    </row>
    <row r="4015" spans="1:16" ht="15" customHeight="1" x14ac:dyDescent="0.25">
      <c r="A4015" t="s">
        <v>153</v>
      </c>
      <c r="L4015"/>
      <c r="M4015"/>
      <c r="N4015"/>
      <c r="O4015"/>
      <c r="P4015"/>
    </row>
    <row r="4016" spans="1:16" ht="15" customHeight="1" x14ac:dyDescent="0.25">
      <c r="A4016" t="s">
        <v>153</v>
      </c>
      <c r="L4016"/>
      <c r="M4016"/>
      <c r="N4016"/>
      <c r="O4016"/>
      <c r="P4016"/>
    </row>
    <row r="4017" spans="1:16" ht="15" customHeight="1" x14ac:dyDescent="0.25">
      <c r="A4017" t="s">
        <v>153</v>
      </c>
      <c r="L4017"/>
      <c r="M4017"/>
      <c r="N4017"/>
      <c r="O4017"/>
      <c r="P4017"/>
    </row>
    <row r="4018" spans="1:16" ht="15" customHeight="1" x14ac:dyDescent="0.25">
      <c r="A4018" t="s">
        <v>153</v>
      </c>
      <c r="L4018"/>
      <c r="M4018"/>
      <c r="N4018"/>
      <c r="O4018"/>
      <c r="P4018"/>
    </row>
    <row r="4019" spans="1:16" ht="15" customHeight="1" x14ac:dyDescent="0.25">
      <c r="A4019" t="s">
        <v>153</v>
      </c>
      <c r="L4019"/>
      <c r="M4019"/>
      <c r="N4019"/>
      <c r="O4019"/>
      <c r="P4019"/>
    </row>
    <row r="4020" spans="1:16" ht="15" customHeight="1" x14ac:dyDescent="0.25">
      <c r="A4020" t="s">
        <v>153</v>
      </c>
      <c r="L4020"/>
      <c r="M4020"/>
      <c r="N4020"/>
      <c r="O4020"/>
      <c r="P4020"/>
    </row>
    <row r="4021" spans="1:16" ht="15" customHeight="1" x14ac:dyDescent="0.25">
      <c r="A4021" t="s">
        <v>153</v>
      </c>
      <c r="L4021"/>
      <c r="M4021"/>
      <c r="N4021"/>
      <c r="O4021"/>
      <c r="P4021"/>
    </row>
    <row r="4022" spans="1:16" ht="15" customHeight="1" x14ac:dyDescent="0.25">
      <c r="A4022" t="s">
        <v>153</v>
      </c>
      <c r="L4022"/>
      <c r="M4022"/>
      <c r="N4022"/>
      <c r="O4022"/>
      <c r="P4022"/>
    </row>
    <row r="4023" spans="1:16" ht="15" customHeight="1" x14ac:dyDescent="0.25">
      <c r="A4023" t="s">
        <v>153</v>
      </c>
      <c r="L4023"/>
      <c r="M4023"/>
      <c r="N4023"/>
      <c r="O4023"/>
      <c r="P4023"/>
    </row>
    <row r="4024" spans="1:16" ht="15" customHeight="1" x14ac:dyDescent="0.25">
      <c r="A4024" t="s">
        <v>153</v>
      </c>
      <c r="L4024"/>
      <c r="M4024"/>
      <c r="N4024"/>
      <c r="O4024"/>
      <c r="P4024"/>
    </row>
    <row r="4025" spans="1:16" ht="15" customHeight="1" x14ac:dyDescent="0.25">
      <c r="A4025" t="s">
        <v>153</v>
      </c>
      <c r="L4025"/>
      <c r="M4025"/>
      <c r="N4025"/>
      <c r="O4025"/>
      <c r="P4025"/>
    </row>
    <row r="4026" spans="1:16" ht="15" customHeight="1" x14ac:dyDescent="0.25">
      <c r="A4026" t="s">
        <v>153</v>
      </c>
      <c r="L4026"/>
      <c r="M4026"/>
      <c r="N4026"/>
      <c r="O4026"/>
      <c r="P4026"/>
    </row>
    <row r="4027" spans="1:16" ht="15" customHeight="1" x14ac:dyDescent="0.25">
      <c r="A4027" t="s">
        <v>153</v>
      </c>
      <c r="L4027"/>
      <c r="M4027"/>
      <c r="N4027"/>
      <c r="O4027"/>
      <c r="P4027"/>
    </row>
    <row r="4028" spans="1:16" ht="15" customHeight="1" x14ac:dyDescent="0.25">
      <c r="A4028" t="s">
        <v>153</v>
      </c>
      <c r="L4028"/>
      <c r="M4028"/>
      <c r="N4028"/>
      <c r="O4028"/>
      <c r="P4028"/>
    </row>
    <row r="4029" spans="1:16" ht="15" customHeight="1" x14ac:dyDescent="0.25">
      <c r="A4029" t="s">
        <v>153</v>
      </c>
      <c r="L4029"/>
      <c r="M4029"/>
      <c r="N4029"/>
      <c r="O4029"/>
      <c r="P4029"/>
    </row>
    <row r="4030" spans="1:16" ht="15" customHeight="1" x14ac:dyDescent="0.25">
      <c r="A4030" t="s">
        <v>153</v>
      </c>
      <c r="L4030"/>
      <c r="M4030"/>
      <c r="N4030"/>
      <c r="O4030"/>
      <c r="P4030"/>
    </row>
    <row r="4031" spans="1:16" ht="15" customHeight="1" x14ac:dyDescent="0.25">
      <c r="A4031" t="s">
        <v>153</v>
      </c>
      <c r="L4031"/>
      <c r="M4031"/>
      <c r="N4031"/>
      <c r="O4031"/>
      <c r="P4031"/>
    </row>
    <row r="4032" spans="1:16" ht="15" customHeight="1" x14ac:dyDescent="0.25">
      <c r="A4032" t="s">
        <v>153</v>
      </c>
      <c r="L4032"/>
      <c r="M4032"/>
      <c r="N4032"/>
      <c r="O4032"/>
      <c r="P4032"/>
    </row>
    <row r="4033" spans="1:16" ht="15" customHeight="1" x14ac:dyDescent="0.25">
      <c r="A4033" t="s">
        <v>153</v>
      </c>
      <c r="L4033"/>
      <c r="M4033"/>
      <c r="N4033"/>
      <c r="O4033"/>
      <c r="P4033"/>
    </row>
    <row r="4034" spans="1:16" ht="15" customHeight="1" x14ac:dyDescent="0.25">
      <c r="A4034" t="s">
        <v>153</v>
      </c>
      <c r="L4034"/>
      <c r="M4034"/>
      <c r="N4034"/>
      <c r="O4034"/>
      <c r="P4034"/>
    </row>
    <row r="4035" spans="1:16" ht="15" customHeight="1" x14ac:dyDescent="0.25">
      <c r="A4035" t="s">
        <v>153</v>
      </c>
      <c r="L4035"/>
      <c r="M4035"/>
      <c r="N4035"/>
      <c r="O4035"/>
      <c r="P4035"/>
    </row>
    <row r="4036" spans="1:16" ht="15" customHeight="1" x14ac:dyDescent="0.25">
      <c r="A4036" t="s">
        <v>153</v>
      </c>
      <c r="L4036"/>
      <c r="M4036"/>
      <c r="N4036"/>
      <c r="O4036"/>
      <c r="P4036"/>
    </row>
    <row r="4037" spans="1:16" ht="15" customHeight="1" x14ac:dyDescent="0.25">
      <c r="A4037" t="s">
        <v>153</v>
      </c>
      <c r="L4037"/>
      <c r="M4037"/>
      <c r="N4037"/>
      <c r="O4037"/>
      <c r="P4037"/>
    </row>
    <row r="4038" spans="1:16" ht="15" customHeight="1" x14ac:dyDescent="0.25">
      <c r="A4038" t="s">
        <v>153</v>
      </c>
      <c r="L4038"/>
      <c r="M4038"/>
      <c r="N4038"/>
      <c r="O4038"/>
      <c r="P4038"/>
    </row>
    <row r="4039" spans="1:16" ht="15" customHeight="1" x14ac:dyDescent="0.25">
      <c r="A4039" t="s">
        <v>153</v>
      </c>
      <c r="L4039"/>
      <c r="M4039"/>
      <c r="N4039"/>
      <c r="O4039"/>
      <c r="P4039"/>
    </row>
    <row r="4040" spans="1:16" ht="15" customHeight="1" x14ac:dyDescent="0.25">
      <c r="A4040" t="s">
        <v>153</v>
      </c>
      <c r="L4040"/>
      <c r="M4040"/>
      <c r="N4040"/>
      <c r="O4040"/>
      <c r="P4040"/>
    </row>
    <row r="4041" spans="1:16" ht="15" customHeight="1" x14ac:dyDescent="0.25">
      <c r="A4041" t="s">
        <v>153</v>
      </c>
      <c r="L4041"/>
      <c r="M4041"/>
      <c r="N4041"/>
      <c r="O4041"/>
      <c r="P4041"/>
    </row>
    <row r="4042" spans="1:16" ht="15" customHeight="1" x14ac:dyDescent="0.25">
      <c r="A4042" t="s">
        <v>153</v>
      </c>
      <c r="L4042"/>
      <c r="M4042"/>
      <c r="N4042"/>
      <c r="O4042"/>
      <c r="P4042"/>
    </row>
    <row r="4043" spans="1:16" ht="15" customHeight="1" x14ac:dyDescent="0.25">
      <c r="A4043" t="s">
        <v>153</v>
      </c>
      <c r="L4043"/>
      <c r="M4043"/>
      <c r="N4043"/>
      <c r="O4043"/>
      <c r="P4043"/>
    </row>
    <row r="4044" spans="1:16" ht="15" customHeight="1" x14ac:dyDescent="0.25">
      <c r="A4044" t="s">
        <v>153</v>
      </c>
      <c r="L4044"/>
      <c r="M4044"/>
      <c r="N4044"/>
      <c r="O4044"/>
      <c r="P4044"/>
    </row>
    <row r="4045" spans="1:16" ht="15" customHeight="1" x14ac:dyDescent="0.25">
      <c r="A4045" t="s">
        <v>153</v>
      </c>
      <c r="L4045"/>
      <c r="M4045"/>
      <c r="N4045"/>
      <c r="O4045"/>
      <c r="P4045"/>
    </row>
    <row r="4046" spans="1:16" ht="15" customHeight="1" x14ac:dyDescent="0.25">
      <c r="A4046" t="s">
        <v>153</v>
      </c>
      <c r="L4046"/>
      <c r="M4046"/>
      <c r="N4046"/>
      <c r="O4046"/>
      <c r="P4046"/>
    </row>
    <row r="4047" spans="1:16" ht="15" customHeight="1" x14ac:dyDescent="0.25">
      <c r="A4047" t="s">
        <v>153</v>
      </c>
      <c r="L4047"/>
      <c r="M4047"/>
      <c r="N4047"/>
      <c r="O4047"/>
      <c r="P4047"/>
    </row>
    <row r="4048" spans="1:16" ht="15" customHeight="1" x14ac:dyDescent="0.25">
      <c r="A4048" t="s">
        <v>153</v>
      </c>
      <c r="L4048"/>
      <c r="M4048"/>
      <c r="N4048"/>
      <c r="O4048"/>
      <c r="P4048"/>
    </row>
    <row r="4049" spans="1:16" ht="15" customHeight="1" x14ac:dyDescent="0.25">
      <c r="A4049" t="s">
        <v>153</v>
      </c>
      <c r="L4049"/>
      <c r="M4049"/>
      <c r="N4049"/>
      <c r="O4049"/>
      <c r="P4049"/>
    </row>
    <row r="4050" spans="1:16" ht="15" customHeight="1" x14ac:dyDescent="0.25">
      <c r="A4050" t="s">
        <v>153</v>
      </c>
      <c r="L4050"/>
      <c r="M4050"/>
      <c r="N4050"/>
      <c r="O4050"/>
      <c r="P4050"/>
    </row>
    <row r="4051" spans="1:16" ht="15" customHeight="1" x14ac:dyDescent="0.25">
      <c r="A4051" t="s">
        <v>153</v>
      </c>
      <c r="L4051"/>
      <c r="M4051"/>
      <c r="N4051"/>
      <c r="O4051"/>
      <c r="P4051"/>
    </row>
    <row r="4052" spans="1:16" ht="15" customHeight="1" x14ac:dyDescent="0.25">
      <c r="A4052" t="s">
        <v>153</v>
      </c>
      <c r="L4052"/>
      <c r="M4052"/>
      <c r="N4052"/>
      <c r="O4052"/>
      <c r="P4052"/>
    </row>
    <row r="4053" spans="1:16" ht="15" customHeight="1" x14ac:dyDescent="0.25">
      <c r="A4053" t="s">
        <v>153</v>
      </c>
      <c r="L4053"/>
      <c r="M4053"/>
      <c r="N4053"/>
      <c r="O4053"/>
      <c r="P4053"/>
    </row>
    <row r="4054" spans="1:16" ht="15" customHeight="1" x14ac:dyDescent="0.25">
      <c r="A4054" t="s">
        <v>153</v>
      </c>
      <c r="L4054"/>
      <c r="M4054"/>
      <c r="N4054"/>
      <c r="O4054"/>
      <c r="P4054"/>
    </row>
    <row r="4055" spans="1:16" ht="15" customHeight="1" x14ac:dyDescent="0.25">
      <c r="A4055" t="s">
        <v>153</v>
      </c>
      <c r="L4055"/>
      <c r="M4055"/>
      <c r="N4055"/>
      <c r="O4055"/>
      <c r="P4055"/>
    </row>
    <row r="4056" spans="1:16" ht="15" customHeight="1" x14ac:dyDescent="0.25">
      <c r="A4056" t="s">
        <v>153</v>
      </c>
      <c r="L4056"/>
      <c r="M4056"/>
      <c r="N4056"/>
      <c r="O4056"/>
      <c r="P4056"/>
    </row>
    <row r="4057" spans="1:16" ht="15" customHeight="1" x14ac:dyDescent="0.25">
      <c r="A4057" t="s">
        <v>153</v>
      </c>
      <c r="L4057"/>
      <c r="M4057"/>
      <c r="N4057"/>
      <c r="O4057"/>
      <c r="P4057"/>
    </row>
    <row r="4058" spans="1:16" ht="15" customHeight="1" x14ac:dyDescent="0.25">
      <c r="A4058" t="s">
        <v>153</v>
      </c>
      <c r="L4058"/>
      <c r="M4058"/>
      <c r="N4058"/>
      <c r="O4058"/>
      <c r="P4058"/>
    </row>
    <row r="4059" spans="1:16" ht="15" customHeight="1" x14ac:dyDescent="0.25">
      <c r="A4059" t="s">
        <v>153</v>
      </c>
      <c r="L4059"/>
      <c r="M4059"/>
      <c r="N4059"/>
      <c r="O4059"/>
      <c r="P4059"/>
    </row>
    <row r="4060" spans="1:16" ht="15" customHeight="1" x14ac:dyDescent="0.25">
      <c r="A4060" t="s">
        <v>153</v>
      </c>
      <c r="L4060"/>
      <c r="M4060"/>
      <c r="N4060"/>
      <c r="O4060"/>
      <c r="P4060"/>
    </row>
    <row r="4061" spans="1:16" ht="15" customHeight="1" x14ac:dyDescent="0.25">
      <c r="A4061" t="s">
        <v>153</v>
      </c>
      <c r="L4061"/>
      <c r="M4061"/>
      <c r="N4061"/>
      <c r="O4061"/>
      <c r="P4061"/>
    </row>
    <row r="4062" spans="1:16" ht="15" customHeight="1" x14ac:dyDescent="0.25">
      <c r="A4062" t="s">
        <v>153</v>
      </c>
      <c r="L4062"/>
      <c r="M4062"/>
      <c r="N4062"/>
      <c r="O4062"/>
      <c r="P4062"/>
    </row>
    <row r="4063" spans="1:16" ht="15" customHeight="1" x14ac:dyDescent="0.25">
      <c r="A4063" t="s">
        <v>153</v>
      </c>
      <c r="L4063"/>
      <c r="M4063"/>
      <c r="N4063"/>
      <c r="O4063"/>
      <c r="P4063"/>
    </row>
    <row r="4064" spans="1:16" ht="15" customHeight="1" x14ac:dyDescent="0.25">
      <c r="A4064" t="s">
        <v>153</v>
      </c>
      <c r="L4064"/>
      <c r="M4064"/>
      <c r="N4064"/>
      <c r="O4064"/>
      <c r="P4064"/>
    </row>
    <row r="4065" spans="1:16" ht="15" customHeight="1" x14ac:dyDescent="0.25">
      <c r="A4065" t="s">
        <v>153</v>
      </c>
      <c r="L4065"/>
      <c r="M4065"/>
      <c r="N4065"/>
      <c r="O4065"/>
      <c r="P4065"/>
    </row>
    <row r="4066" spans="1:16" ht="15" customHeight="1" x14ac:dyDescent="0.25">
      <c r="A4066" t="s">
        <v>153</v>
      </c>
      <c r="L4066"/>
      <c r="M4066"/>
      <c r="N4066"/>
      <c r="O4066"/>
      <c r="P4066"/>
    </row>
    <row r="4067" spans="1:16" ht="15" customHeight="1" x14ac:dyDescent="0.25">
      <c r="A4067" t="s">
        <v>153</v>
      </c>
      <c r="L4067"/>
      <c r="M4067"/>
      <c r="N4067"/>
      <c r="O4067"/>
      <c r="P4067"/>
    </row>
    <row r="4068" spans="1:16" ht="15" customHeight="1" x14ac:dyDescent="0.25">
      <c r="A4068" t="s">
        <v>153</v>
      </c>
      <c r="L4068"/>
      <c r="M4068"/>
      <c r="N4068"/>
      <c r="O4068"/>
      <c r="P4068"/>
    </row>
    <row r="4069" spans="1:16" ht="15" customHeight="1" x14ac:dyDescent="0.25">
      <c r="A4069" t="s">
        <v>153</v>
      </c>
      <c r="L4069"/>
      <c r="M4069"/>
      <c r="N4069"/>
      <c r="O4069"/>
      <c r="P4069"/>
    </row>
    <row r="4070" spans="1:16" ht="15" customHeight="1" x14ac:dyDescent="0.25">
      <c r="A4070" t="s">
        <v>153</v>
      </c>
      <c r="L4070"/>
      <c r="M4070"/>
      <c r="N4070"/>
      <c r="O4070"/>
      <c r="P4070"/>
    </row>
    <row r="4071" spans="1:16" ht="15" customHeight="1" x14ac:dyDescent="0.25">
      <c r="A4071" t="s">
        <v>153</v>
      </c>
      <c r="L4071"/>
      <c r="M4071"/>
      <c r="N4071"/>
      <c r="O4071"/>
      <c r="P4071"/>
    </row>
    <row r="4072" spans="1:16" ht="15" customHeight="1" x14ac:dyDescent="0.25">
      <c r="A4072" t="s">
        <v>153</v>
      </c>
      <c r="L4072"/>
      <c r="M4072"/>
      <c r="N4072"/>
      <c r="O4072"/>
      <c r="P4072"/>
    </row>
    <row r="4073" spans="1:16" ht="15" customHeight="1" x14ac:dyDescent="0.25">
      <c r="A4073" t="s">
        <v>153</v>
      </c>
      <c r="L4073"/>
      <c r="M4073"/>
      <c r="N4073"/>
      <c r="O4073"/>
      <c r="P4073"/>
    </row>
    <row r="4074" spans="1:16" ht="15" customHeight="1" x14ac:dyDescent="0.25">
      <c r="A4074" t="s">
        <v>153</v>
      </c>
      <c r="L4074"/>
      <c r="M4074"/>
      <c r="N4074"/>
      <c r="O4074"/>
      <c r="P4074"/>
    </row>
    <row r="4075" spans="1:16" ht="15" customHeight="1" x14ac:dyDescent="0.25">
      <c r="A4075" t="s">
        <v>153</v>
      </c>
      <c r="L4075"/>
      <c r="M4075"/>
      <c r="N4075"/>
      <c r="O4075"/>
      <c r="P4075"/>
    </row>
    <row r="4076" spans="1:16" ht="15" customHeight="1" x14ac:dyDescent="0.25">
      <c r="A4076" t="s">
        <v>153</v>
      </c>
      <c r="L4076"/>
      <c r="M4076"/>
      <c r="N4076"/>
      <c r="O4076"/>
      <c r="P4076"/>
    </row>
    <row r="4077" spans="1:16" ht="15" customHeight="1" x14ac:dyDescent="0.25">
      <c r="A4077" t="s">
        <v>153</v>
      </c>
      <c r="L4077"/>
      <c r="M4077"/>
      <c r="N4077"/>
      <c r="O4077"/>
      <c r="P4077"/>
    </row>
    <row r="4078" spans="1:16" ht="15" customHeight="1" x14ac:dyDescent="0.25">
      <c r="A4078" t="s">
        <v>153</v>
      </c>
      <c r="L4078"/>
      <c r="M4078"/>
      <c r="N4078"/>
      <c r="O4078"/>
      <c r="P4078"/>
    </row>
    <row r="4079" spans="1:16" ht="15" customHeight="1" x14ac:dyDescent="0.25">
      <c r="A4079" t="s">
        <v>153</v>
      </c>
      <c r="L4079"/>
      <c r="M4079"/>
      <c r="N4079"/>
      <c r="O4079"/>
      <c r="P4079"/>
    </row>
    <row r="4080" spans="1:16" ht="15" customHeight="1" x14ac:dyDescent="0.25">
      <c r="A4080" t="s">
        <v>153</v>
      </c>
      <c r="L4080"/>
      <c r="M4080"/>
      <c r="N4080"/>
      <c r="O4080"/>
      <c r="P4080"/>
    </row>
    <row r="4081" spans="1:16" ht="15" customHeight="1" x14ac:dyDescent="0.25">
      <c r="A4081" t="s">
        <v>153</v>
      </c>
      <c r="L4081"/>
      <c r="M4081"/>
      <c r="N4081"/>
      <c r="O4081"/>
      <c r="P4081"/>
    </row>
    <row r="4082" spans="1:16" ht="15" customHeight="1" x14ac:dyDescent="0.25">
      <c r="A4082" t="s">
        <v>153</v>
      </c>
      <c r="L4082"/>
      <c r="M4082"/>
      <c r="N4082"/>
      <c r="O4082"/>
      <c r="P4082"/>
    </row>
    <row r="4083" spans="1:16" ht="15" customHeight="1" x14ac:dyDescent="0.25">
      <c r="A4083" t="s">
        <v>153</v>
      </c>
      <c r="L4083"/>
      <c r="M4083"/>
      <c r="N4083"/>
      <c r="O4083"/>
      <c r="P4083"/>
    </row>
    <row r="4084" spans="1:16" ht="15" customHeight="1" x14ac:dyDescent="0.25">
      <c r="A4084" t="s">
        <v>153</v>
      </c>
      <c r="L4084"/>
      <c r="M4084"/>
      <c r="N4084"/>
      <c r="O4084"/>
      <c r="P4084"/>
    </row>
    <row r="4085" spans="1:16" ht="15" customHeight="1" x14ac:dyDescent="0.25">
      <c r="A4085" t="s">
        <v>153</v>
      </c>
      <c r="L4085"/>
      <c r="M4085"/>
      <c r="N4085"/>
      <c r="O4085"/>
      <c r="P4085"/>
    </row>
    <row r="4086" spans="1:16" ht="15" customHeight="1" x14ac:dyDescent="0.25">
      <c r="A4086" t="s">
        <v>153</v>
      </c>
      <c r="L4086"/>
      <c r="M4086"/>
      <c r="N4086"/>
      <c r="O4086"/>
      <c r="P4086"/>
    </row>
    <row r="4087" spans="1:16" ht="15" customHeight="1" x14ac:dyDescent="0.25">
      <c r="A4087" t="s">
        <v>153</v>
      </c>
      <c r="L4087"/>
      <c r="M4087"/>
      <c r="N4087"/>
      <c r="O4087"/>
      <c r="P4087"/>
    </row>
    <row r="4088" spans="1:16" ht="15" customHeight="1" x14ac:dyDescent="0.25">
      <c r="A4088" t="s">
        <v>153</v>
      </c>
      <c r="L4088"/>
      <c r="M4088"/>
      <c r="N4088"/>
      <c r="O4088"/>
      <c r="P4088"/>
    </row>
    <row r="4089" spans="1:16" ht="15" customHeight="1" x14ac:dyDescent="0.25">
      <c r="A4089" t="s">
        <v>153</v>
      </c>
      <c r="L4089"/>
      <c r="M4089"/>
      <c r="N4089"/>
      <c r="O4089"/>
      <c r="P4089"/>
    </row>
    <row r="4090" spans="1:16" ht="15" customHeight="1" x14ac:dyDescent="0.25">
      <c r="A4090" t="s">
        <v>153</v>
      </c>
      <c r="L4090"/>
      <c r="M4090"/>
      <c r="N4090"/>
      <c r="O4090"/>
      <c r="P4090"/>
    </row>
    <row r="4091" spans="1:16" ht="15" customHeight="1" x14ac:dyDescent="0.25">
      <c r="A4091" t="s">
        <v>153</v>
      </c>
      <c r="L4091"/>
      <c r="M4091"/>
      <c r="N4091"/>
      <c r="O4091"/>
      <c r="P4091"/>
    </row>
    <row r="4092" spans="1:16" ht="15" customHeight="1" x14ac:dyDescent="0.25">
      <c r="A4092" t="s">
        <v>153</v>
      </c>
      <c r="L4092"/>
      <c r="M4092"/>
      <c r="N4092"/>
      <c r="O4092"/>
      <c r="P4092"/>
    </row>
    <row r="4093" spans="1:16" ht="15" customHeight="1" x14ac:dyDescent="0.25">
      <c r="A4093" t="s">
        <v>153</v>
      </c>
      <c r="L4093"/>
      <c r="M4093"/>
      <c r="N4093"/>
      <c r="O4093"/>
      <c r="P4093"/>
    </row>
    <row r="4094" spans="1:16" ht="15" customHeight="1" x14ac:dyDescent="0.25">
      <c r="A4094" t="s">
        <v>153</v>
      </c>
      <c r="L4094"/>
      <c r="M4094"/>
      <c r="N4094"/>
      <c r="O4094"/>
      <c r="P4094"/>
    </row>
    <row r="4095" spans="1:16" ht="15" customHeight="1" x14ac:dyDescent="0.25">
      <c r="A4095" t="s">
        <v>153</v>
      </c>
      <c r="L4095"/>
      <c r="M4095"/>
      <c r="N4095"/>
      <c r="O4095"/>
      <c r="P4095"/>
    </row>
    <row r="4096" spans="1:16" ht="15" customHeight="1" x14ac:dyDescent="0.25">
      <c r="A4096" t="s">
        <v>153</v>
      </c>
      <c r="L4096"/>
      <c r="M4096"/>
      <c r="N4096"/>
      <c r="O4096"/>
      <c r="P4096"/>
    </row>
    <row r="4097" spans="1:16" ht="15" customHeight="1" x14ac:dyDescent="0.25">
      <c r="A4097" t="s">
        <v>153</v>
      </c>
      <c r="L4097"/>
      <c r="M4097"/>
      <c r="N4097"/>
      <c r="O4097"/>
      <c r="P4097"/>
    </row>
    <row r="4098" spans="1:16" ht="15" customHeight="1" x14ac:dyDescent="0.25">
      <c r="A4098" t="s">
        <v>153</v>
      </c>
      <c r="L4098"/>
      <c r="M4098"/>
      <c r="N4098"/>
      <c r="O4098"/>
      <c r="P4098"/>
    </row>
    <row r="4099" spans="1:16" ht="15" customHeight="1" x14ac:dyDescent="0.25">
      <c r="A4099" t="s">
        <v>153</v>
      </c>
      <c r="L4099"/>
      <c r="M4099"/>
      <c r="N4099"/>
      <c r="O4099"/>
      <c r="P4099"/>
    </row>
    <row r="4100" spans="1:16" ht="15" customHeight="1" x14ac:dyDescent="0.25">
      <c r="A4100" t="s">
        <v>153</v>
      </c>
      <c r="L4100"/>
      <c r="M4100"/>
      <c r="N4100"/>
      <c r="O4100"/>
      <c r="P4100"/>
    </row>
    <row r="4101" spans="1:16" ht="15" customHeight="1" x14ac:dyDescent="0.25">
      <c r="A4101" t="s">
        <v>153</v>
      </c>
      <c r="L4101"/>
      <c r="M4101"/>
      <c r="N4101"/>
      <c r="O4101"/>
      <c r="P4101"/>
    </row>
    <row r="4102" spans="1:16" ht="15" customHeight="1" x14ac:dyDescent="0.25">
      <c r="A4102" t="s">
        <v>153</v>
      </c>
      <c r="L4102"/>
      <c r="M4102"/>
      <c r="N4102"/>
      <c r="O4102"/>
      <c r="P4102"/>
    </row>
    <row r="4103" spans="1:16" ht="15" customHeight="1" x14ac:dyDescent="0.25">
      <c r="A4103" t="s">
        <v>153</v>
      </c>
      <c r="L4103"/>
      <c r="M4103"/>
      <c r="N4103"/>
      <c r="O4103"/>
      <c r="P4103"/>
    </row>
    <row r="4104" spans="1:16" ht="15" customHeight="1" x14ac:dyDescent="0.25">
      <c r="A4104" t="s">
        <v>153</v>
      </c>
      <c r="L4104"/>
      <c r="M4104"/>
      <c r="N4104"/>
      <c r="O4104"/>
      <c r="P4104"/>
    </row>
    <row r="4105" spans="1:16" ht="15" customHeight="1" x14ac:dyDescent="0.25">
      <c r="A4105" t="s">
        <v>153</v>
      </c>
      <c r="L4105"/>
      <c r="M4105"/>
      <c r="N4105"/>
      <c r="O4105"/>
      <c r="P4105"/>
    </row>
    <row r="4106" spans="1:16" ht="15" customHeight="1" x14ac:dyDescent="0.25">
      <c r="A4106" t="s">
        <v>153</v>
      </c>
      <c r="L4106"/>
      <c r="M4106"/>
      <c r="N4106"/>
      <c r="O4106"/>
      <c r="P4106"/>
    </row>
    <row r="4107" spans="1:16" ht="15" customHeight="1" x14ac:dyDescent="0.25">
      <c r="A4107" t="s">
        <v>153</v>
      </c>
      <c r="L4107"/>
      <c r="M4107"/>
      <c r="N4107"/>
      <c r="O4107"/>
      <c r="P4107"/>
    </row>
    <row r="4108" spans="1:16" ht="15" customHeight="1" x14ac:dyDescent="0.25">
      <c r="A4108" t="s">
        <v>153</v>
      </c>
      <c r="L4108"/>
      <c r="M4108"/>
      <c r="N4108"/>
      <c r="O4108"/>
      <c r="P4108"/>
    </row>
    <row r="4109" spans="1:16" ht="15" customHeight="1" x14ac:dyDescent="0.25">
      <c r="A4109" t="s">
        <v>153</v>
      </c>
      <c r="L4109"/>
      <c r="M4109"/>
      <c r="N4109"/>
      <c r="O4109"/>
      <c r="P4109"/>
    </row>
    <row r="4110" spans="1:16" ht="15" customHeight="1" x14ac:dyDescent="0.25">
      <c r="A4110" t="s">
        <v>153</v>
      </c>
      <c r="L4110"/>
      <c r="M4110"/>
      <c r="N4110"/>
      <c r="O4110"/>
      <c r="P4110"/>
    </row>
    <row r="4111" spans="1:16" ht="15" customHeight="1" x14ac:dyDescent="0.25">
      <c r="A4111" t="s">
        <v>153</v>
      </c>
      <c r="L4111"/>
      <c r="M4111"/>
      <c r="N4111"/>
      <c r="O4111"/>
      <c r="P4111"/>
    </row>
    <row r="4112" spans="1:16" ht="15" customHeight="1" x14ac:dyDescent="0.25">
      <c r="A4112" t="s">
        <v>153</v>
      </c>
      <c r="L4112"/>
      <c r="M4112"/>
      <c r="N4112"/>
      <c r="O4112"/>
      <c r="P4112"/>
    </row>
    <row r="4113" spans="1:16" ht="15" customHeight="1" x14ac:dyDescent="0.25">
      <c r="A4113" t="s">
        <v>153</v>
      </c>
      <c r="L4113"/>
      <c r="M4113"/>
      <c r="N4113"/>
      <c r="O4113"/>
      <c r="P4113"/>
    </row>
    <row r="4114" spans="1:16" ht="15" customHeight="1" x14ac:dyDescent="0.25">
      <c r="A4114" t="s">
        <v>153</v>
      </c>
      <c r="L4114"/>
      <c r="M4114"/>
      <c r="N4114"/>
      <c r="O4114"/>
      <c r="P4114"/>
    </row>
    <row r="4115" spans="1:16" ht="15" customHeight="1" x14ac:dyDescent="0.25">
      <c r="A4115" t="s">
        <v>153</v>
      </c>
      <c r="L4115"/>
      <c r="M4115"/>
      <c r="N4115"/>
      <c r="O4115"/>
      <c r="P4115"/>
    </row>
    <row r="4116" spans="1:16" ht="15" customHeight="1" x14ac:dyDescent="0.25">
      <c r="A4116" t="s">
        <v>153</v>
      </c>
      <c r="L4116"/>
      <c r="M4116"/>
      <c r="N4116"/>
      <c r="O4116"/>
      <c r="P4116"/>
    </row>
    <row r="4117" spans="1:16" ht="15" customHeight="1" x14ac:dyDescent="0.25">
      <c r="A4117" t="s">
        <v>153</v>
      </c>
      <c r="L4117"/>
      <c r="M4117"/>
      <c r="N4117"/>
      <c r="O4117"/>
      <c r="P4117"/>
    </row>
    <row r="4118" spans="1:16" ht="15" customHeight="1" x14ac:dyDescent="0.25">
      <c r="A4118" t="s">
        <v>153</v>
      </c>
      <c r="L4118"/>
      <c r="M4118"/>
      <c r="N4118"/>
      <c r="O4118"/>
      <c r="P4118"/>
    </row>
    <row r="4119" spans="1:16" ht="15" customHeight="1" x14ac:dyDescent="0.25">
      <c r="A4119" t="s">
        <v>153</v>
      </c>
      <c r="L4119"/>
      <c r="M4119"/>
      <c r="N4119"/>
      <c r="O4119"/>
      <c r="P4119"/>
    </row>
    <row r="4120" spans="1:16" ht="15" customHeight="1" x14ac:dyDescent="0.25">
      <c r="A4120" t="s">
        <v>153</v>
      </c>
      <c r="L4120"/>
      <c r="M4120"/>
      <c r="N4120"/>
      <c r="O4120"/>
      <c r="P4120"/>
    </row>
    <row r="4121" spans="1:16" ht="15" customHeight="1" x14ac:dyDescent="0.25">
      <c r="A4121" t="s">
        <v>153</v>
      </c>
      <c r="L4121"/>
      <c r="M4121"/>
      <c r="N4121"/>
      <c r="O4121"/>
      <c r="P4121"/>
    </row>
    <row r="4122" spans="1:16" ht="15" customHeight="1" x14ac:dyDescent="0.25">
      <c r="A4122" t="s">
        <v>153</v>
      </c>
      <c r="L4122"/>
      <c r="M4122"/>
      <c r="N4122"/>
      <c r="O4122"/>
      <c r="P4122"/>
    </row>
    <row r="4123" spans="1:16" ht="15" customHeight="1" x14ac:dyDescent="0.25">
      <c r="A4123" t="s">
        <v>153</v>
      </c>
      <c r="L4123"/>
      <c r="M4123"/>
      <c r="N4123"/>
      <c r="O4123"/>
      <c r="P4123"/>
    </row>
    <row r="4124" spans="1:16" ht="15" customHeight="1" x14ac:dyDescent="0.25">
      <c r="A4124" t="s">
        <v>153</v>
      </c>
      <c r="L4124"/>
      <c r="M4124"/>
      <c r="N4124"/>
      <c r="O4124"/>
      <c r="P4124"/>
    </row>
    <row r="4125" spans="1:16" ht="15" customHeight="1" x14ac:dyDescent="0.25">
      <c r="A4125" t="s">
        <v>153</v>
      </c>
      <c r="L4125"/>
      <c r="M4125"/>
      <c r="N4125"/>
      <c r="O4125"/>
      <c r="P4125"/>
    </row>
    <row r="4126" spans="1:16" ht="15" customHeight="1" x14ac:dyDescent="0.25">
      <c r="A4126" t="s">
        <v>153</v>
      </c>
      <c r="L4126"/>
      <c r="M4126"/>
      <c r="N4126"/>
      <c r="O4126"/>
      <c r="P4126"/>
    </row>
    <row r="4127" spans="1:16" ht="15" customHeight="1" x14ac:dyDescent="0.25">
      <c r="A4127" t="s">
        <v>153</v>
      </c>
      <c r="L4127"/>
      <c r="M4127"/>
      <c r="N4127"/>
      <c r="O4127"/>
      <c r="P4127"/>
    </row>
    <row r="4128" spans="1:16" ht="15" customHeight="1" x14ac:dyDescent="0.25">
      <c r="A4128" t="s">
        <v>153</v>
      </c>
      <c r="L4128"/>
      <c r="M4128"/>
      <c r="N4128"/>
      <c r="O4128"/>
      <c r="P4128"/>
    </row>
    <row r="4129" spans="1:16" ht="15" customHeight="1" x14ac:dyDescent="0.25">
      <c r="A4129" t="s">
        <v>153</v>
      </c>
      <c r="L4129"/>
      <c r="M4129"/>
      <c r="N4129"/>
      <c r="O4129"/>
      <c r="P4129"/>
    </row>
    <row r="4130" spans="1:16" ht="15" customHeight="1" x14ac:dyDescent="0.25">
      <c r="A4130" t="s">
        <v>153</v>
      </c>
      <c r="L4130"/>
      <c r="M4130"/>
      <c r="N4130"/>
      <c r="O4130"/>
      <c r="P4130"/>
    </row>
    <row r="4131" spans="1:16" ht="15" customHeight="1" x14ac:dyDescent="0.25">
      <c r="A4131" t="s">
        <v>153</v>
      </c>
      <c r="L4131"/>
      <c r="M4131"/>
      <c r="N4131"/>
      <c r="O4131"/>
      <c r="P4131"/>
    </row>
    <row r="4132" spans="1:16" ht="15" customHeight="1" x14ac:dyDescent="0.25">
      <c r="A4132" t="s">
        <v>153</v>
      </c>
      <c r="L4132"/>
      <c r="M4132"/>
      <c r="N4132"/>
      <c r="O4132"/>
      <c r="P4132"/>
    </row>
    <row r="4133" spans="1:16" ht="15" customHeight="1" x14ac:dyDescent="0.25">
      <c r="A4133" t="s">
        <v>153</v>
      </c>
      <c r="L4133"/>
      <c r="M4133"/>
      <c r="N4133"/>
      <c r="O4133"/>
      <c r="P4133"/>
    </row>
    <row r="4134" spans="1:16" ht="15" customHeight="1" x14ac:dyDescent="0.25">
      <c r="A4134" t="s">
        <v>153</v>
      </c>
      <c r="L4134"/>
      <c r="M4134"/>
      <c r="N4134"/>
      <c r="O4134"/>
      <c r="P4134"/>
    </row>
    <row r="4135" spans="1:16" ht="15" customHeight="1" x14ac:dyDescent="0.25">
      <c r="A4135" t="s">
        <v>153</v>
      </c>
      <c r="L4135"/>
      <c r="M4135"/>
      <c r="N4135"/>
      <c r="O4135"/>
      <c r="P4135"/>
    </row>
    <row r="4136" spans="1:16" ht="15" customHeight="1" x14ac:dyDescent="0.25">
      <c r="A4136" t="s">
        <v>153</v>
      </c>
      <c r="L4136"/>
      <c r="M4136"/>
      <c r="N4136"/>
      <c r="O4136"/>
      <c r="P4136"/>
    </row>
    <row r="4137" spans="1:16" ht="15" customHeight="1" x14ac:dyDescent="0.25">
      <c r="A4137" t="s">
        <v>153</v>
      </c>
      <c r="L4137"/>
      <c r="M4137"/>
      <c r="N4137"/>
      <c r="O4137"/>
      <c r="P4137"/>
    </row>
    <row r="4138" spans="1:16" ht="15" customHeight="1" x14ac:dyDescent="0.25">
      <c r="A4138" t="s">
        <v>153</v>
      </c>
      <c r="L4138"/>
      <c r="M4138"/>
      <c r="N4138"/>
      <c r="O4138"/>
      <c r="P4138"/>
    </row>
    <row r="4139" spans="1:16" ht="15" customHeight="1" x14ac:dyDescent="0.25">
      <c r="A4139" t="s">
        <v>153</v>
      </c>
      <c r="L4139"/>
      <c r="M4139"/>
      <c r="N4139"/>
      <c r="O4139"/>
      <c r="P4139"/>
    </row>
    <row r="4140" spans="1:16" ht="15" customHeight="1" x14ac:dyDescent="0.25">
      <c r="A4140" t="s">
        <v>153</v>
      </c>
      <c r="L4140"/>
      <c r="M4140"/>
      <c r="N4140"/>
      <c r="O4140"/>
      <c r="P4140"/>
    </row>
    <row r="4141" spans="1:16" ht="15" customHeight="1" x14ac:dyDescent="0.25">
      <c r="A4141" t="s">
        <v>153</v>
      </c>
      <c r="L4141"/>
      <c r="M4141"/>
      <c r="N4141"/>
      <c r="O4141"/>
      <c r="P4141"/>
    </row>
    <row r="4142" spans="1:16" ht="15" customHeight="1" x14ac:dyDescent="0.25">
      <c r="A4142" t="s">
        <v>153</v>
      </c>
      <c r="L4142"/>
      <c r="M4142"/>
      <c r="N4142"/>
      <c r="O4142"/>
      <c r="P4142"/>
    </row>
    <row r="4143" spans="1:16" ht="15" customHeight="1" x14ac:dyDescent="0.25">
      <c r="A4143" t="s">
        <v>153</v>
      </c>
      <c r="L4143"/>
      <c r="M4143"/>
      <c r="N4143"/>
      <c r="O4143"/>
      <c r="P4143"/>
    </row>
    <row r="4144" spans="1:16" ht="15" customHeight="1" x14ac:dyDescent="0.25">
      <c r="A4144" t="s">
        <v>153</v>
      </c>
      <c r="L4144"/>
      <c r="M4144"/>
      <c r="N4144"/>
      <c r="O4144"/>
      <c r="P4144"/>
    </row>
    <row r="4145" spans="1:16" ht="15" customHeight="1" x14ac:dyDescent="0.25">
      <c r="A4145" t="s">
        <v>153</v>
      </c>
      <c r="L4145"/>
      <c r="M4145"/>
      <c r="N4145"/>
      <c r="O4145"/>
      <c r="P4145"/>
    </row>
    <row r="4146" spans="1:16" ht="15" customHeight="1" x14ac:dyDescent="0.25">
      <c r="A4146" t="s">
        <v>153</v>
      </c>
      <c r="L4146"/>
      <c r="M4146"/>
      <c r="N4146"/>
      <c r="O4146"/>
      <c r="P4146"/>
    </row>
    <row r="4147" spans="1:16" ht="15" customHeight="1" x14ac:dyDescent="0.25">
      <c r="A4147" t="s">
        <v>153</v>
      </c>
      <c r="L4147"/>
      <c r="M4147"/>
      <c r="N4147"/>
      <c r="O4147"/>
      <c r="P4147"/>
    </row>
    <row r="4148" spans="1:16" ht="15" customHeight="1" x14ac:dyDescent="0.25">
      <c r="A4148" t="s">
        <v>153</v>
      </c>
      <c r="L4148"/>
      <c r="M4148"/>
      <c r="N4148"/>
      <c r="O4148"/>
      <c r="P4148"/>
    </row>
    <row r="4149" spans="1:16" ht="15" customHeight="1" x14ac:dyDescent="0.25">
      <c r="A4149" t="s">
        <v>153</v>
      </c>
      <c r="L4149"/>
      <c r="M4149"/>
      <c r="N4149"/>
      <c r="O4149"/>
      <c r="P4149"/>
    </row>
    <row r="4150" spans="1:16" ht="15" customHeight="1" x14ac:dyDescent="0.25">
      <c r="A4150" t="s">
        <v>153</v>
      </c>
      <c r="L4150"/>
      <c r="M4150"/>
      <c r="N4150"/>
      <c r="O4150"/>
      <c r="P4150"/>
    </row>
    <row r="4151" spans="1:16" ht="15" customHeight="1" x14ac:dyDescent="0.25">
      <c r="A4151" t="s">
        <v>153</v>
      </c>
      <c r="L4151"/>
      <c r="M4151"/>
      <c r="N4151"/>
      <c r="O4151"/>
      <c r="P4151"/>
    </row>
    <row r="4152" spans="1:16" ht="15" customHeight="1" x14ac:dyDescent="0.25">
      <c r="A4152" t="s">
        <v>153</v>
      </c>
      <c r="L4152"/>
      <c r="M4152"/>
      <c r="N4152"/>
      <c r="O4152"/>
      <c r="P4152"/>
    </row>
    <row r="4153" spans="1:16" ht="15" customHeight="1" x14ac:dyDescent="0.25">
      <c r="A4153" t="s">
        <v>153</v>
      </c>
      <c r="L4153"/>
      <c r="M4153"/>
      <c r="N4153"/>
      <c r="O4153"/>
      <c r="P4153"/>
    </row>
    <row r="4154" spans="1:16" ht="15" customHeight="1" x14ac:dyDescent="0.25">
      <c r="A4154" t="s">
        <v>153</v>
      </c>
      <c r="L4154"/>
      <c r="M4154"/>
      <c r="N4154"/>
      <c r="O4154"/>
      <c r="P4154"/>
    </row>
    <row r="4155" spans="1:16" ht="15" customHeight="1" x14ac:dyDescent="0.25">
      <c r="A4155" t="s">
        <v>153</v>
      </c>
      <c r="L4155"/>
      <c r="M4155"/>
      <c r="N4155"/>
      <c r="O4155"/>
      <c r="P4155"/>
    </row>
    <row r="4156" spans="1:16" ht="15" customHeight="1" x14ac:dyDescent="0.25">
      <c r="A4156" t="s">
        <v>153</v>
      </c>
      <c r="L4156"/>
      <c r="M4156"/>
      <c r="N4156"/>
      <c r="O4156"/>
      <c r="P4156"/>
    </row>
    <row r="4157" spans="1:16" ht="15" customHeight="1" x14ac:dyDescent="0.25">
      <c r="A4157" t="s">
        <v>153</v>
      </c>
      <c r="L4157"/>
      <c r="M4157"/>
      <c r="N4157"/>
      <c r="O4157"/>
      <c r="P4157"/>
    </row>
    <row r="4158" spans="1:16" ht="15" customHeight="1" x14ac:dyDescent="0.25">
      <c r="A4158" t="s">
        <v>153</v>
      </c>
      <c r="L4158"/>
      <c r="M4158"/>
      <c r="N4158"/>
      <c r="O4158"/>
      <c r="P4158"/>
    </row>
    <row r="4159" spans="1:16" ht="15" customHeight="1" x14ac:dyDescent="0.25">
      <c r="A4159" t="s">
        <v>153</v>
      </c>
      <c r="L4159"/>
      <c r="M4159"/>
      <c r="N4159"/>
      <c r="O4159"/>
      <c r="P4159"/>
    </row>
    <row r="4160" spans="1:16" ht="15" customHeight="1" x14ac:dyDescent="0.25">
      <c r="A4160" t="s">
        <v>153</v>
      </c>
      <c r="L4160"/>
      <c r="M4160"/>
      <c r="N4160"/>
      <c r="O4160"/>
      <c r="P4160"/>
    </row>
    <row r="4161" spans="1:16" ht="15" customHeight="1" x14ac:dyDescent="0.25">
      <c r="A4161" t="s">
        <v>153</v>
      </c>
      <c r="L4161"/>
      <c r="M4161"/>
      <c r="N4161"/>
      <c r="O4161"/>
      <c r="P4161"/>
    </row>
    <row r="4162" spans="1:16" ht="15" customHeight="1" x14ac:dyDescent="0.25">
      <c r="A4162" t="s">
        <v>153</v>
      </c>
      <c r="L4162"/>
      <c r="M4162"/>
      <c r="N4162"/>
      <c r="O4162"/>
      <c r="P4162"/>
    </row>
    <row r="4163" spans="1:16" ht="15" customHeight="1" x14ac:dyDescent="0.25">
      <c r="A4163" t="s">
        <v>153</v>
      </c>
      <c r="L4163"/>
      <c r="M4163"/>
      <c r="N4163"/>
      <c r="O4163"/>
      <c r="P4163"/>
    </row>
    <row r="4164" spans="1:16" ht="15" customHeight="1" x14ac:dyDescent="0.25">
      <c r="A4164" t="s">
        <v>153</v>
      </c>
      <c r="L4164"/>
      <c r="M4164"/>
      <c r="N4164"/>
      <c r="O4164"/>
      <c r="P4164"/>
    </row>
    <row r="4165" spans="1:16" ht="15" customHeight="1" x14ac:dyDescent="0.25">
      <c r="A4165" t="s">
        <v>153</v>
      </c>
      <c r="L4165"/>
      <c r="M4165"/>
      <c r="N4165"/>
      <c r="O4165"/>
      <c r="P4165"/>
    </row>
    <row r="4166" spans="1:16" ht="15" customHeight="1" x14ac:dyDescent="0.25">
      <c r="A4166" t="s">
        <v>153</v>
      </c>
      <c r="L4166"/>
      <c r="M4166"/>
      <c r="N4166"/>
      <c r="O4166"/>
      <c r="P4166"/>
    </row>
    <row r="4167" spans="1:16" ht="15" customHeight="1" x14ac:dyDescent="0.25">
      <c r="A4167" t="s">
        <v>153</v>
      </c>
      <c r="L4167"/>
      <c r="M4167"/>
      <c r="N4167"/>
      <c r="O4167"/>
      <c r="P4167"/>
    </row>
    <row r="4168" spans="1:16" ht="15" customHeight="1" x14ac:dyDescent="0.25">
      <c r="A4168" t="s">
        <v>153</v>
      </c>
      <c r="L4168"/>
      <c r="M4168"/>
      <c r="N4168"/>
      <c r="O4168"/>
      <c r="P4168"/>
    </row>
    <row r="4169" spans="1:16" ht="15" customHeight="1" x14ac:dyDescent="0.25">
      <c r="A4169" t="s">
        <v>153</v>
      </c>
      <c r="L4169"/>
      <c r="M4169"/>
      <c r="N4169"/>
      <c r="O4169"/>
      <c r="P4169"/>
    </row>
    <row r="4170" spans="1:16" ht="15" customHeight="1" x14ac:dyDescent="0.25">
      <c r="A4170" t="s">
        <v>153</v>
      </c>
      <c r="L4170"/>
      <c r="M4170"/>
      <c r="N4170"/>
      <c r="O4170"/>
      <c r="P4170"/>
    </row>
    <row r="4171" spans="1:16" ht="15" customHeight="1" x14ac:dyDescent="0.25">
      <c r="A4171" t="s">
        <v>153</v>
      </c>
      <c r="L4171"/>
      <c r="M4171"/>
      <c r="N4171"/>
      <c r="O4171"/>
      <c r="P4171"/>
    </row>
    <row r="4172" spans="1:16" ht="15" customHeight="1" x14ac:dyDescent="0.25">
      <c r="A4172" t="s">
        <v>153</v>
      </c>
      <c r="L4172"/>
      <c r="M4172"/>
      <c r="N4172"/>
      <c r="O4172"/>
      <c r="P4172"/>
    </row>
    <row r="4173" spans="1:16" ht="15" customHeight="1" x14ac:dyDescent="0.25">
      <c r="A4173" t="s">
        <v>153</v>
      </c>
      <c r="L4173"/>
      <c r="M4173"/>
      <c r="N4173"/>
      <c r="O4173"/>
      <c r="P4173"/>
    </row>
    <row r="4174" spans="1:16" ht="15" customHeight="1" x14ac:dyDescent="0.25">
      <c r="A4174" t="s">
        <v>153</v>
      </c>
      <c r="L4174"/>
      <c r="M4174"/>
      <c r="N4174"/>
      <c r="O4174"/>
      <c r="P4174"/>
    </row>
    <row r="4175" spans="1:16" ht="15" customHeight="1" x14ac:dyDescent="0.25">
      <c r="A4175" t="s">
        <v>153</v>
      </c>
      <c r="L4175"/>
      <c r="M4175"/>
      <c r="N4175"/>
      <c r="O4175"/>
      <c r="P4175"/>
    </row>
    <row r="4176" spans="1:16" ht="15" customHeight="1" x14ac:dyDescent="0.25">
      <c r="A4176" t="s">
        <v>153</v>
      </c>
      <c r="L4176"/>
      <c r="M4176"/>
      <c r="N4176"/>
      <c r="O4176"/>
      <c r="P4176"/>
    </row>
    <row r="4177" spans="1:16" ht="15" customHeight="1" x14ac:dyDescent="0.25">
      <c r="A4177" t="s">
        <v>153</v>
      </c>
      <c r="L4177"/>
      <c r="M4177"/>
      <c r="N4177"/>
      <c r="O4177"/>
      <c r="P4177"/>
    </row>
    <row r="4178" spans="1:16" ht="15" customHeight="1" x14ac:dyDescent="0.25">
      <c r="A4178" t="s">
        <v>153</v>
      </c>
      <c r="L4178"/>
      <c r="M4178"/>
      <c r="N4178"/>
      <c r="O4178"/>
      <c r="P4178"/>
    </row>
    <row r="4179" spans="1:16" ht="15" customHeight="1" x14ac:dyDescent="0.25">
      <c r="A4179" t="s">
        <v>153</v>
      </c>
      <c r="L4179"/>
      <c r="M4179"/>
      <c r="N4179"/>
      <c r="O4179"/>
      <c r="P4179"/>
    </row>
    <row r="4180" spans="1:16" ht="15" customHeight="1" x14ac:dyDescent="0.25">
      <c r="A4180" t="s">
        <v>153</v>
      </c>
      <c r="L4180"/>
      <c r="M4180"/>
      <c r="N4180"/>
      <c r="O4180"/>
      <c r="P4180"/>
    </row>
    <row r="4181" spans="1:16" ht="15" customHeight="1" x14ac:dyDescent="0.25">
      <c r="A4181" t="s">
        <v>153</v>
      </c>
      <c r="L4181"/>
      <c r="M4181"/>
      <c r="N4181"/>
      <c r="O4181"/>
      <c r="P4181"/>
    </row>
    <row r="4182" spans="1:16" ht="15" customHeight="1" x14ac:dyDescent="0.25">
      <c r="A4182" t="s">
        <v>153</v>
      </c>
      <c r="L4182"/>
      <c r="M4182"/>
      <c r="N4182"/>
      <c r="O4182"/>
      <c r="P4182"/>
    </row>
    <row r="4183" spans="1:16" ht="15" customHeight="1" x14ac:dyDescent="0.25">
      <c r="A4183" t="s">
        <v>153</v>
      </c>
      <c r="L4183"/>
      <c r="M4183"/>
      <c r="N4183"/>
      <c r="O4183"/>
      <c r="P4183"/>
    </row>
    <row r="4184" spans="1:16" ht="15" customHeight="1" x14ac:dyDescent="0.25">
      <c r="A4184" t="s">
        <v>153</v>
      </c>
      <c r="L4184"/>
      <c r="M4184"/>
      <c r="N4184"/>
      <c r="O4184"/>
      <c r="P4184"/>
    </row>
    <row r="4185" spans="1:16" ht="15" customHeight="1" x14ac:dyDescent="0.25">
      <c r="A4185" t="s">
        <v>153</v>
      </c>
      <c r="L4185"/>
      <c r="M4185"/>
      <c r="N4185"/>
      <c r="O4185"/>
      <c r="P4185"/>
    </row>
    <row r="4186" spans="1:16" ht="15" customHeight="1" x14ac:dyDescent="0.25">
      <c r="A4186" t="s">
        <v>153</v>
      </c>
      <c r="L4186"/>
      <c r="M4186"/>
      <c r="N4186"/>
      <c r="O4186"/>
      <c r="P4186"/>
    </row>
    <row r="4187" spans="1:16" ht="15" customHeight="1" x14ac:dyDescent="0.25">
      <c r="A4187" t="s">
        <v>153</v>
      </c>
      <c r="L4187"/>
      <c r="M4187"/>
      <c r="N4187"/>
      <c r="O4187"/>
      <c r="P4187"/>
    </row>
    <row r="4188" spans="1:16" ht="15" customHeight="1" x14ac:dyDescent="0.25">
      <c r="A4188" t="s">
        <v>153</v>
      </c>
      <c r="L4188"/>
      <c r="M4188"/>
      <c r="N4188"/>
      <c r="O4188"/>
      <c r="P4188"/>
    </row>
    <row r="4189" spans="1:16" ht="15" customHeight="1" x14ac:dyDescent="0.25">
      <c r="A4189" t="s">
        <v>153</v>
      </c>
      <c r="L4189"/>
      <c r="M4189"/>
      <c r="N4189"/>
      <c r="O4189"/>
      <c r="P4189"/>
    </row>
    <row r="4190" spans="1:16" ht="15" customHeight="1" x14ac:dyDescent="0.25">
      <c r="A4190" t="s">
        <v>153</v>
      </c>
      <c r="L4190"/>
      <c r="M4190"/>
      <c r="N4190"/>
      <c r="O4190"/>
      <c r="P4190"/>
    </row>
    <row r="4191" spans="1:16" ht="15" customHeight="1" x14ac:dyDescent="0.25">
      <c r="A4191" t="s">
        <v>153</v>
      </c>
      <c r="L4191"/>
      <c r="M4191"/>
      <c r="N4191"/>
      <c r="O4191"/>
      <c r="P4191"/>
    </row>
    <row r="4192" spans="1:16" ht="15" customHeight="1" x14ac:dyDescent="0.25">
      <c r="A4192" t="s">
        <v>153</v>
      </c>
      <c r="L4192"/>
      <c r="M4192"/>
      <c r="N4192"/>
      <c r="O4192"/>
      <c r="P4192"/>
    </row>
    <row r="4193" spans="1:16" ht="15" customHeight="1" x14ac:dyDescent="0.25">
      <c r="A4193" t="s">
        <v>153</v>
      </c>
      <c r="L4193"/>
      <c r="M4193"/>
      <c r="N4193"/>
      <c r="O4193"/>
      <c r="P4193"/>
    </row>
    <row r="4194" spans="1:16" ht="15" customHeight="1" x14ac:dyDescent="0.25">
      <c r="A4194" t="s">
        <v>153</v>
      </c>
      <c r="L4194"/>
      <c r="M4194"/>
      <c r="N4194"/>
      <c r="O4194"/>
      <c r="P4194"/>
    </row>
    <row r="4195" spans="1:16" ht="15" customHeight="1" x14ac:dyDescent="0.25">
      <c r="A4195" t="s">
        <v>153</v>
      </c>
      <c r="L4195"/>
      <c r="M4195"/>
      <c r="N4195"/>
      <c r="O4195"/>
      <c r="P4195"/>
    </row>
    <row r="4196" spans="1:16" ht="15" customHeight="1" x14ac:dyDescent="0.25">
      <c r="A4196" t="s">
        <v>153</v>
      </c>
      <c r="L4196"/>
      <c r="M4196"/>
      <c r="N4196"/>
      <c r="O4196"/>
      <c r="P4196"/>
    </row>
    <row r="4197" spans="1:16" ht="15" customHeight="1" x14ac:dyDescent="0.25">
      <c r="A4197" t="s">
        <v>153</v>
      </c>
      <c r="L4197"/>
      <c r="M4197"/>
      <c r="N4197"/>
      <c r="O4197"/>
      <c r="P4197"/>
    </row>
    <row r="4198" spans="1:16" ht="15" customHeight="1" x14ac:dyDescent="0.25">
      <c r="A4198" t="s">
        <v>153</v>
      </c>
      <c r="L4198"/>
      <c r="M4198"/>
      <c r="N4198"/>
      <c r="O4198"/>
      <c r="P4198"/>
    </row>
    <row r="4199" spans="1:16" ht="15" customHeight="1" x14ac:dyDescent="0.25">
      <c r="A4199" t="s">
        <v>153</v>
      </c>
      <c r="L4199"/>
      <c r="M4199"/>
      <c r="N4199"/>
      <c r="O4199"/>
      <c r="P4199"/>
    </row>
    <row r="4200" spans="1:16" ht="15" customHeight="1" x14ac:dyDescent="0.25">
      <c r="A4200" t="s">
        <v>153</v>
      </c>
      <c r="L4200"/>
      <c r="M4200"/>
      <c r="N4200"/>
      <c r="O4200"/>
      <c r="P4200"/>
    </row>
    <row r="4201" spans="1:16" ht="15" customHeight="1" x14ac:dyDescent="0.25">
      <c r="A4201" t="s">
        <v>153</v>
      </c>
      <c r="L4201"/>
      <c r="M4201"/>
      <c r="N4201"/>
      <c r="O4201"/>
      <c r="P4201"/>
    </row>
    <row r="4202" spans="1:16" ht="15" customHeight="1" x14ac:dyDescent="0.25">
      <c r="A4202" t="s">
        <v>153</v>
      </c>
      <c r="L4202"/>
      <c r="M4202"/>
      <c r="N4202"/>
      <c r="O4202"/>
      <c r="P4202"/>
    </row>
    <row r="4203" spans="1:16" ht="15" customHeight="1" x14ac:dyDescent="0.25">
      <c r="A4203" t="s">
        <v>153</v>
      </c>
      <c r="L4203"/>
      <c r="M4203"/>
      <c r="N4203"/>
      <c r="O4203"/>
      <c r="P4203"/>
    </row>
    <row r="4204" spans="1:16" ht="15" customHeight="1" x14ac:dyDescent="0.25">
      <c r="A4204" t="s">
        <v>153</v>
      </c>
      <c r="L4204"/>
      <c r="M4204"/>
      <c r="N4204"/>
      <c r="O4204"/>
      <c r="P4204"/>
    </row>
    <row r="4205" spans="1:16" ht="15" customHeight="1" x14ac:dyDescent="0.25">
      <c r="A4205" t="s">
        <v>153</v>
      </c>
      <c r="L4205"/>
      <c r="M4205"/>
      <c r="N4205"/>
      <c r="O4205"/>
      <c r="P4205"/>
    </row>
    <row r="4206" spans="1:16" ht="15" customHeight="1" x14ac:dyDescent="0.25">
      <c r="A4206" t="s">
        <v>153</v>
      </c>
      <c r="L4206"/>
      <c r="M4206"/>
      <c r="N4206"/>
      <c r="O4206"/>
      <c r="P4206"/>
    </row>
    <row r="4207" spans="1:16" ht="15" customHeight="1" x14ac:dyDescent="0.25">
      <c r="A4207" t="s">
        <v>153</v>
      </c>
      <c r="L4207"/>
      <c r="M4207"/>
      <c r="N4207"/>
      <c r="O4207"/>
      <c r="P4207"/>
    </row>
    <row r="4208" spans="1:16" ht="15" customHeight="1" x14ac:dyDescent="0.25">
      <c r="A4208" t="s">
        <v>153</v>
      </c>
      <c r="L4208"/>
      <c r="M4208"/>
      <c r="N4208"/>
      <c r="O4208"/>
      <c r="P4208"/>
    </row>
    <row r="4209" spans="1:16" ht="15" customHeight="1" x14ac:dyDescent="0.25">
      <c r="A4209" t="s">
        <v>153</v>
      </c>
      <c r="L4209"/>
      <c r="M4209"/>
      <c r="N4209"/>
      <c r="O4209"/>
      <c r="P4209"/>
    </row>
    <row r="4210" spans="1:16" ht="15" customHeight="1" x14ac:dyDescent="0.25">
      <c r="A4210" t="s">
        <v>153</v>
      </c>
      <c r="L4210"/>
      <c r="M4210"/>
      <c r="N4210"/>
      <c r="O4210"/>
      <c r="P4210"/>
    </row>
    <row r="4211" spans="1:16" ht="15" customHeight="1" x14ac:dyDescent="0.25">
      <c r="A4211" t="s">
        <v>153</v>
      </c>
      <c r="L4211"/>
      <c r="M4211"/>
      <c r="N4211"/>
      <c r="O4211"/>
      <c r="P4211"/>
    </row>
    <row r="4212" spans="1:16" ht="15" customHeight="1" x14ac:dyDescent="0.25">
      <c r="A4212" t="s">
        <v>153</v>
      </c>
      <c r="L4212"/>
      <c r="M4212"/>
      <c r="N4212"/>
      <c r="O4212"/>
      <c r="P4212"/>
    </row>
    <row r="4213" spans="1:16" ht="15" customHeight="1" x14ac:dyDescent="0.25">
      <c r="A4213" t="s">
        <v>153</v>
      </c>
      <c r="L4213"/>
      <c r="M4213"/>
      <c r="N4213"/>
      <c r="O4213"/>
      <c r="P4213"/>
    </row>
    <row r="4214" spans="1:16" ht="15" customHeight="1" x14ac:dyDescent="0.25">
      <c r="A4214" t="s">
        <v>153</v>
      </c>
      <c r="L4214"/>
      <c r="M4214"/>
      <c r="N4214"/>
      <c r="O4214"/>
      <c r="P4214"/>
    </row>
    <row r="4215" spans="1:16" ht="15" customHeight="1" x14ac:dyDescent="0.25">
      <c r="A4215" t="s">
        <v>153</v>
      </c>
      <c r="L4215"/>
      <c r="M4215"/>
      <c r="N4215"/>
      <c r="O4215"/>
      <c r="P4215"/>
    </row>
    <row r="4216" spans="1:16" ht="15" customHeight="1" x14ac:dyDescent="0.25">
      <c r="A4216" t="s">
        <v>153</v>
      </c>
      <c r="L4216"/>
      <c r="M4216"/>
      <c r="N4216"/>
      <c r="O4216"/>
      <c r="P4216"/>
    </row>
    <row r="4217" spans="1:16" ht="15" customHeight="1" x14ac:dyDescent="0.25">
      <c r="A4217" t="s">
        <v>153</v>
      </c>
      <c r="L4217"/>
      <c r="M4217"/>
      <c r="N4217"/>
      <c r="O4217"/>
      <c r="P4217"/>
    </row>
    <row r="4218" spans="1:16" ht="15" customHeight="1" x14ac:dyDescent="0.25">
      <c r="A4218" t="s">
        <v>153</v>
      </c>
      <c r="L4218"/>
      <c r="M4218"/>
      <c r="N4218"/>
      <c r="O4218"/>
      <c r="P4218"/>
    </row>
    <row r="4219" spans="1:16" ht="15" customHeight="1" x14ac:dyDescent="0.25">
      <c r="A4219" t="s">
        <v>153</v>
      </c>
      <c r="L4219"/>
      <c r="M4219"/>
      <c r="N4219"/>
      <c r="O4219"/>
      <c r="P4219"/>
    </row>
    <row r="4220" spans="1:16" ht="15" customHeight="1" x14ac:dyDescent="0.25">
      <c r="A4220" t="s">
        <v>153</v>
      </c>
      <c r="L4220"/>
      <c r="M4220"/>
      <c r="N4220"/>
      <c r="O4220"/>
      <c r="P4220"/>
    </row>
    <row r="4221" spans="1:16" ht="15" customHeight="1" x14ac:dyDescent="0.25">
      <c r="A4221" t="s">
        <v>153</v>
      </c>
      <c r="L4221"/>
      <c r="M4221"/>
      <c r="N4221"/>
      <c r="O4221"/>
      <c r="P4221"/>
    </row>
    <row r="4222" spans="1:16" ht="15" customHeight="1" x14ac:dyDescent="0.25">
      <c r="A4222" t="s">
        <v>153</v>
      </c>
      <c r="L4222"/>
      <c r="M4222"/>
      <c r="N4222"/>
      <c r="O4222"/>
      <c r="P4222"/>
    </row>
    <row r="4223" spans="1:16" ht="15" customHeight="1" x14ac:dyDescent="0.25">
      <c r="A4223" t="s">
        <v>153</v>
      </c>
      <c r="L4223"/>
      <c r="M4223"/>
      <c r="N4223"/>
      <c r="O4223"/>
      <c r="P4223"/>
    </row>
    <row r="4224" spans="1:16" ht="15" customHeight="1" x14ac:dyDescent="0.25">
      <c r="A4224" t="s">
        <v>153</v>
      </c>
      <c r="L4224"/>
      <c r="M4224"/>
      <c r="N4224"/>
      <c r="O4224"/>
      <c r="P4224"/>
    </row>
    <row r="4225" spans="1:16" ht="15" customHeight="1" x14ac:dyDescent="0.25">
      <c r="A4225" t="s">
        <v>153</v>
      </c>
      <c r="L4225"/>
      <c r="M4225"/>
      <c r="N4225"/>
      <c r="O4225"/>
      <c r="P4225"/>
    </row>
    <row r="4226" spans="1:16" ht="15" customHeight="1" x14ac:dyDescent="0.25">
      <c r="A4226" t="s">
        <v>153</v>
      </c>
      <c r="L4226"/>
      <c r="M4226"/>
      <c r="N4226"/>
      <c r="O4226"/>
      <c r="P4226"/>
    </row>
    <row r="4227" spans="1:16" ht="15" customHeight="1" x14ac:dyDescent="0.25">
      <c r="A4227" t="s">
        <v>153</v>
      </c>
      <c r="L4227"/>
      <c r="M4227"/>
      <c r="N4227"/>
      <c r="O4227"/>
      <c r="P4227"/>
    </row>
    <row r="4228" spans="1:16" ht="15" customHeight="1" x14ac:dyDescent="0.25">
      <c r="A4228" t="s">
        <v>153</v>
      </c>
      <c r="L4228"/>
      <c r="M4228"/>
      <c r="N4228"/>
      <c r="O4228"/>
      <c r="P4228"/>
    </row>
    <row r="4229" spans="1:16" ht="15" customHeight="1" x14ac:dyDescent="0.25">
      <c r="A4229" t="s">
        <v>153</v>
      </c>
      <c r="L4229"/>
      <c r="M4229"/>
      <c r="N4229"/>
      <c r="O4229"/>
      <c r="P4229"/>
    </row>
    <row r="4230" spans="1:16" ht="15" customHeight="1" x14ac:dyDescent="0.25">
      <c r="A4230" t="s">
        <v>153</v>
      </c>
      <c r="L4230"/>
      <c r="M4230"/>
      <c r="N4230"/>
      <c r="O4230"/>
      <c r="P4230"/>
    </row>
    <row r="4231" spans="1:16" ht="15" customHeight="1" x14ac:dyDescent="0.25">
      <c r="A4231" t="s">
        <v>153</v>
      </c>
      <c r="L4231"/>
      <c r="M4231"/>
      <c r="N4231"/>
      <c r="O4231"/>
      <c r="P4231"/>
    </row>
    <row r="4232" spans="1:16" ht="15" customHeight="1" x14ac:dyDescent="0.25">
      <c r="A4232" t="s">
        <v>153</v>
      </c>
      <c r="L4232"/>
      <c r="M4232"/>
      <c r="N4232"/>
      <c r="O4232"/>
      <c r="P4232"/>
    </row>
    <row r="4233" spans="1:16" ht="15" customHeight="1" x14ac:dyDescent="0.25">
      <c r="A4233" t="s">
        <v>153</v>
      </c>
      <c r="L4233"/>
      <c r="M4233"/>
      <c r="N4233"/>
      <c r="O4233"/>
      <c r="P4233"/>
    </row>
    <row r="4234" spans="1:16" ht="15" customHeight="1" x14ac:dyDescent="0.25">
      <c r="A4234" t="s">
        <v>153</v>
      </c>
      <c r="L4234"/>
      <c r="M4234"/>
      <c r="N4234"/>
      <c r="O4234"/>
      <c r="P4234"/>
    </row>
    <row r="4235" spans="1:16" ht="15" customHeight="1" x14ac:dyDescent="0.25">
      <c r="A4235" t="s">
        <v>153</v>
      </c>
      <c r="L4235"/>
      <c r="M4235"/>
      <c r="N4235"/>
      <c r="O4235"/>
      <c r="P4235"/>
    </row>
    <row r="4236" spans="1:16" ht="15" customHeight="1" x14ac:dyDescent="0.25">
      <c r="A4236" t="s">
        <v>153</v>
      </c>
      <c r="L4236"/>
      <c r="M4236"/>
      <c r="N4236"/>
      <c r="O4236"/>
      <c r="P4236"/>
    </row>
    <row r="4237" spans="1:16" ht="15" customHeight="1" x14ac:dyDescent="0.25">
      <c r="A4237" t="s">
        <v>153</v>
      </c>
      <c r="L4237"/>
      <c r="M4237"/>
      <c r="N4237"/>
      <c r="O4237"/>
      <c r="P4237"/>
    </row>
    <row r="4238" spans="1:16" ht="15" customHeight="1" x14ac:dyDescent="0.25">
      <c r="A4238" t="s">
        <v>153</v>
      </c>
      <c r="L4238"/>
      <c r="M4238"/>
      <c r="N4238"/>
      <c r="O4238"/>
      <c r="P4238"/>
    </row>
    <row r="4239" spans="1:16" ht="15" customHeight="1" x14ac:dyDescent="0.25">
      <c r="A4239" t="s">
        <v>153</v>
      </c>
      <c r="L4239"/>
      <c r="M4239"/>
      <c r="N4239"/>
      <c r="O4239"/>
      <c r="P4239"/>
    </row>
    <row r="4240" spans="1:16" ht="15" customHeight="1" x14ac:dyDescent="0.25">
      <c r="A4240" t="s">
        <v>153</v>
      </c>
      <c r="L4240"/>
      <c r="M4240"/>
      <c r="N4240"/>
      <c r="O4240"/>
      <c r="P4240"/>
    </row>
    <row r="4241" spans="1:16" ht="15" customHeight="1" x14ac:dyDescent="0.25">
      <c r="A4241" t="s">
        <v>153</v>
      </c>
      <c r="L4241"/>
      <c r="M4241"/>
      <c r="N4241"/>
      <c r="O4241"/>
      <c r="P4241"/>
    </row>
    <row r="4242" spans="1:16" ht="15" customHeight="1" x14ac:dyDescent="0.25">
      <c r="A4242" t="s">
        <v>153</v>
      </c>
      <c r="L4242"/>
      <c r="M4242"/>
      <c r="N4242"/>
      <c r="O4242"/>
      <c r="P4242"/>
    </row>
    <row r="4243" spans="1:16" ht="15" customHeight="1" x14ac:dyDescent="0.25">
      <c r="A4243" t="s">
        <v>153</v>
      </c>
      <c r="L4243"/>
      <c r="M4243"/>
      <c r="N4243"/>
      <c r="O4243"/>
      <c r="P4243"/>
    </row>
    <row r="4244" spans="1:16" ht="15" customHeight="1" x14ac:dyDescent="0.25">
      <c r="A4244" t="s">
        <v>153</v>
      </c>
      <c r="L4244"/>
      <c r="M4244"/>
      <c r="N4244"/>
      <c r="O4244"/>
      <c r="P4244"/>
    </row>
    <row r="4245" spans="1:16" ht="15" customHeight="1" x14ac:dyDescent="0.25">
      <c r="A4245" t="s">
        <v>153</v>
      </c>
      <c r="L4245"/>
      <c r="M4245"/>
      <c r="N4245"/>
      <c r="O4245"/>
      <c r="P4245"/>
    </row>
    <row r="4246" spans="1:16" ht="15" customHeight="1" x14ac:dyDescent="0.25">
      <c r="A4246" t="s">
        <v>153</v>
      </c>
      <c r="L4246"/>
      <c r="M4246"/>
      <c r="N4246"/>
      <c r="O4246"/>
      <c r="P4246"/>
    </row>
    <row r="4247" spans="1:16" ht="15" customHeight="1" x14ac:dyDescent="0.25">
      <c r="A4247" t="s">
        <v>153</v>
      </c>
      <c r="L4247"/>
      <c r="M4247"/>
      <c r="N4247"/>
      <c r="O4247"/>
      <c r="P4247"/>
    </row>
    <row r="4248" spans="1:16" ht="15" customHeight="1" x14ac:dyDescent="0.25">
      <c r="A4248" t="s">
        <v>153</v>
      </c>
      <c r="L4248"/>
      <c r="M4248"/>
      <c r="N4248"/>
      <c r="O4248"/>
      <c r="P4248"/>
    </row>
    <row r="4249" spans="1:16" ht="15" customHeight="1" x14ac:dyDescent="0.25">
      <c r="A4249" t="s">
        <v>153</v>
      </c>
      <c r="L4249"/>
      <c r="M4249"/>
      <c r="N4249"/>
      <c r="O4249"/>
      <c r="P4249"/>
    </row>
    <row r="4250" spans="1:16" ht="15" customHeight="1" x14ac:dyDescent="0.25">
      <c r="A4250" t="s">
        <v>153</v>
      </c>
      <c r="L4250"/>
      <c r="M4250"/>
      <c r="N4250"/>
      <c r="O4250"/>
      <c r="P4250"/>
    </row>
    <row r="4251" spans="1:16" ht="15" customHeight="1" x14ac:dyDescent="0.25">
      <c r="A4251" t="s">
        <v>153</v>
      </c>
      <c r="L4251"/>
      <c r="M4251"/>
      <c r="N4251"/>
      <c r="O4251"/>
      <c r="P4251"/>
    </row>
    <row r="4252" spans="1:16" ht="15" customHeight="1" x14ac:dyDescent="0.25">
      <c r="A4252" t="s">
        <v>153</v>
      </c>
      <c r="L4252"/>
      <c r="M4252"/>
      <c r="N4252"/>
      <c r="O4252"/>
      <c r="P4252"/>
    </row>
    <row r="4253" spans="1:16" ht="15" customHeight="1" x14ac:dyDescent="0.25">
      <c r="A4253" t="s">
        <v>153</v>
      </c>
      <c r="L4253"/>
      <c r="M4253"/>
      <c r="N4253"/>
      <c r="O4253"/>
      <c r="P4253"/>
    </row>
    <row r="4254" spans="1:16" ht="15" customHeight="1" x14ac:dyDescent="0.25">
      <c r="A4254" t="s">
        <v>153</v>
      </c>
      <c r="L4254"/>
      <c r="M4254"/>
      <c r="N4254"/>
      <c r="O4254"/>
      <c r="P4254"/>
    </row>
    <row r="4255" spans="1:16" ht="15" customHeight="1" x14ac:dyDescent="0.25">
      <c r="A4255" t="s">
        <v>153</v>
      </c>
      <c r="L4255"/>
      <c r="M4255"/>
      <c r="N4255"/>
      <c r="O4255"/>
      <c r="P4255"/>
    </row>
    <row r="4256" spans="1:16" ht="15" customHeight="1" x14ac:dyDescent="0.25">
      <c r="A4256" t="s">
        <v>153</v>
      </c>
      <c r="L4256"/>
      <c r="M4256"/>
      <c r="N4256"/>
      <c r="O4256"/>
      <c r="P4256"/>
    </row>
    <row r="4257" spans="1:16" ht="15" customHeight="1" x14ac:dyDescent="0.25">
      <c r="A4257" t="s">
        <v>153</v>
      </c>
      <c r="L4257"/>
      <c r="M4257"/>
      <c r="N4257"/>
      <c r="O4257"/>
      <c r="P4257"/>
    </row>
    <row r="4258" spans="1:16" ht="15" customHeight="1" x14ac:dyDescent="0.25">
      <c r="A4258" t="s">
        <v>153</v>
      </c>
      <c r="L4258"/>
      <c r="M4258"/>
      <c r="N4258"/>
      <c r="O4258"/>
      <c r="P4258"/>
    </row>
    <row r="4259" spans="1:16" ht="15" customHeight="1" x14ac:dyDescent="0.25">
      <c r="A4259" t="s">
        <v>153</v>
      </c>
      <c r="L4259"/>
      <c r="M4259"/>
      <c r="N4259"/>
      <c r="O4259"/>
      <c r="P4259"/>
    </row>
    <row r="4260" spans="1:16" ht="15" customHeight="1" x14ac:dyDescent="0.25">
      <c r="A4260" t="s">
        <v>153</v>
      </c>
      <c r="L4260"/>
      <c r="M4260"/>
      <c r="N4260"/>
      <c r="O4260"/>
      <c r="P4260"/>
    </row>
    <row r="4261" spans="1:16" ht="15" customHeight="1" x14ac:dyDescent="0.25">
      <c r="A4261" t="s">
        <v>153</v>
      </c>
      <c r="L4261"/>
      <c r="M4261"/>
      <c r="N4261"/>
      <c r="O4261"/>
      <c r="P4261"/>
    </row>
    <row r="4262" spans="1:16" ht="15" customHeight="1" x14ac:dyDescent="0.25">
      <c r="A4262" t="s">
        <v>153</v>
      </c>
      <c r="L4262"/>
      <c r="M4262"/>
      <c r="N4262"/>
      <c r="O4262"/>
      <c r="P4262"/>
    </row>
    <row r="4263" spans="1:16" ht="15" customHeight="1" x14ac:dyDescent="0.25">
      <c r="A4263" t="s">
        <v>153</v>
      </c>
      <c r="L4263"/>
      <c r="M4263"/>
      <c r="N4263"/>
      <c r="O4263"/>
      <c r="P4263"/>
    </row>
    <row r="4264" spans="1:16" ht="15" customHeight="1" x14ac:dyDescent="0.25">
      <c r="A4264" t="s">
        <v>153</v>
      </c>
      <c r="L4264"/>
      <c r="M4264"/>
      <c r="N4264"/>
      <c r="O4264"/>
      <c r="P4264"/>
    </row>
    <row r="4265" spans="1:16" ht="15" customHeight="1" x14ac:dyDescent="0.25">
      <c r="A4265" t="s">
        <v>153</v>
      </c>
      <c r="L4265"/>
      <c r="M4265"/>
      <c r="N4265"/>
      <c r="O4265"/>
      <c r="P4265"/>
    </row>
    <row r="4266" spans="1:16" ht="15" customHeight="1" x14ac:dyDescent="0.25">
      <c r="A4266" t="s">
        <v>153</v>
      </c>
      <c r="L4266"/>
      <c r="M4266"/>
      <c r="N4266"/>
      <c r="O4266"/>
      <c r="P4266"/>
    </row>
    <row r="4267" spans="1:16" ht="15" customHeight="1" x14ac:dyDescent="0.25">
      <c r="A4267" t="s">
        <v>153</v>
      </c>
      <c r="L4267"/>
      <c r="M4267"/>
      <c r="N4267"/>
      <c r="O4267"/>
      <c r="P4267"/>
    </row>
    <row r="4268" spans="1:16" ht="15" customHeight="1" x14ac:dyDescent="0.25">
      <c r="A4268" t="s">
        <v>153</v>
      </c>
      <c r="L4268"/>
      <c r="M4268"/>
      <c r="N4268"/>
      <c r="O4268"/>
      <c r="P4268"/>
    </row>
    <row r="4269" spans="1:16" ht="15" customHeight="1" x14ac:dyDescent="0.25">
      <c r="A4269" t="s">
        <v>153</v>
      </c>
      <c r="L4269"/>
      <c r="M4269"/>
      <c r="N4269"/>
      <c r="O4269"/>
      <c r="P4269"/>
    </row>
    <row r="4270" spans="1:16" ht="15" customHeight="1" x14ac:dyDescent="0.25">
      <c r="A4270" t="s">
        <v>153</v>
      </c>
      <c r="L4270"/>
      <c r="M4270"/>
      <c r="N4270"/>
      <c r="O4270"/>
      <c r="P4270"/>
    </row>
    <row r="4271" spans="1:16" ht="15" customHeight="1" x14ac:dyDescent="0.25">
      <c r="A4271" t="s">
        <v>153</v>
      </c>
      <c r="L4271"/>
      <c r="M4271"/>
      <c r="N4271"/>
      <c r="O4271"/>
      <c r="P4271"/>
    </row>
    <row r="4272" spans="1:16" ht="15" customHeight="1" x14ac:dyDescent="0.25">
      <c r="A4272" t="s">
        <v>153</v>
      </c>
      <c r="L4272"/>
      <c r="M4272"/>
      <c r="N4272"/>
      <c r="O4272"/>
      <c r="P4272"/>
    </row>
    <row r="4273" spans="1:16" ht="15" customHeight="1" x14ac:dyDescent="0.25">
      <c r="A4273" t="s">
        <v>153</v>
      </c>
      <c r="L4273"/>
      <c r="M4273"/>
      <c r="N4273"/>
      <c r="O4273"/>
      <c r="P4273"/>
    </row>
    <row r="4274" spans="1:16" ht="15" customHeight="1" x14ac:dyDescent="0.25">
      <c r="A4274" t="s">
        <v>153</v>
      </c>
      <c r="L4274"/>
      <c r="M4274"/>
      <c r="N4274"/>
      <c r="O4274"/>
      <c r="P4274"/>
    </row>
    <row r="4275" spans="1:16" ht="15" customHeight="1" x14ac:dyDescent="0.25">
      <c r="A4275" t="s">
        <v>153</v>
      </c>
      <c r="L4275"/>
      <c r="M4275"/>
      <c r="N4275"/>
      <c r="O4275"/>
      <c r="P4275"/>
    </row>
    <row r="4276" spans="1:16" ht="15" customHeight="1" x14ac:dyDescent="0.25">
      <c r="A4276" t="s">
        <v>153</v>
      </c>
      <c r="L4276"/>
      <c r="M4276"/>
      <c r="N4276"/>
      <c r="O4276"/>
      <c r="P4276"/>
    </row>
    <row r="4277" spans="1:16" ht="15" customHeight="1" x14ac:dyDescent="0.25">
      <c r="A4277" t="s">
        <v>153</v>
      </c>
      <c r="L4277"/>
      <c r="M4277"/>
      <c r="N4277"/>
      <c r="O4277"/>
      <c r="P4277"/>
    </row>
    <row r="4278" spans="1:16" ht="15" customHeight="1" x14ac:dyDescent="0.25">
      <c r="A4278" t="s">
        <v>153</v>
      </c>
      <c r="L4278"/>
      <c r="M4278"/>
      <c r="N4278"/>
      <c r="O4278"/>
      <c r="P4278"/>
    </row>
    <row r="4279" spans="1:16" ht="15" customHeight="1" x14ac:dyDescent="0.25">
      <c r="A4279" t="s">
        <v>153</v>
      </c>
      <c r="L4279"/>
      <c r="M4279"/>
      <c r="N4279"/>
      <c r="O4279"/>
      <c r="P4279"/>
    </row>
    <row r="4280" spans="1:16" ht="15" customHeight="1" x14ac:dyDescent="0.25">
      <c r="A4280" t="s">
        <v>153</v>
      </c>
      <c r="L4280"/>
      <c r="M4280"/>
      <c r="N4280"/>
      <c r="O4280"/>
      <c r="P4280"/>
    </row>
    <row r="4281" spans="1:16" ht="15" customHeight="1" x14ac:dyDescent="0.25">
      <c r="A4281" t="s">
        <v>153</v>
      </c>
      <c r="L4281"/>
      <c r="M4281"/>
      <c r="N4281"/>
      <c r="O4281"/>
      <c r="P4281"/>
    </row>
    <row r="4282" spans="1:16" ht="15" customHeight="1" x14ac:dyDescent="0.25">
      <c r="A4282" t="s">
        <v>153</v>
      </c>
      <c r="L4282"/>
      <c r="M4282"/>
      <c r="N4282"/>
      <c r="O4282"/>
      <c r="P4282"/>
    </row>
    <row r="4283" spans="1:16" ht="15" customHeight="1" x14ac:dyDescent="0.25">
      <c r="A4283" t="s">
        <v>153</v>
      </c>
      <c r="L4283"/>
      <c r="M4283"/>
      <c r="N4283"/>
      <c r="O4283"/>
      <c r="P4283"/>
    </row>
    <row r="4284" spans="1:16" ht="15" customHeight="1" x14ac:dyDescent="0.25">
      <c r="A4284" t="s">
        <v>153</v>
      </c>
      <c r="L4284"/>
      <c r="M4284"/>
      <c r="N4284"/>
      <c r="O4284"/>
      <c r="P4284"/>
    </row>
    <row r="4285" spans="1:16" ht="15" customHeight="1" x14ac:dyDescent="0.25">
      <c r="A4285" t="s">
        <v>153</v>
      </c>
      <c r="L4285"/>
      <c r="M4285"/>
      <c r="N4285"/>
      <c r="O4285"/>
      <c r="P4285"/>
    </row>
    <row r="4286" spans="1:16" ht="15" customHeight="1" x14ac:dyDescent="0.25">
      <c r="A4286" t="s">
        <v>153</v>
      </c>
      <c r="L4286"/>
      <c r="M4286"/>
      <c r="N4286"/>
      <c r="O4286"/>
      <c r="P4286"/>
    </row>
    <row r="4287" spans="1:16" ht="15" customHeight="1" x14ac:dyDescent="0.25">
      <c r="A4287" t="s">
        <v>153</v>
      </c>
      <c r="L4287"/>
      <c r="M4287"/>
      <c r="N4287"/>
      <c r="O4287"/>
      <c r="P4287"/>
    </row>
    <row r="4288" spans="1:16" ht="15" customHeight="1" x14ac:dyDescent="0.25">
      <c r="A4288" t="s">
        <v>153</v>
      </c>
      <c r="L4288"/>
      <c r="M4288"/>
      <c r="N4288"/>
      <c r="O4288"/>
      <c r="P4288"/>
    </row>
    <row r="4289" spans="1:16" ht="15" customHeight="1" x14ac:dyDescent="0.25">
      <c r="A4289" t="s">
        <v>153</v>
      </c>
      <c r="L4289"/>
      <c r="M4289"/>
      <c r="N4289"/>
      <c r="O4289"/>
      <c r="P4289"/>
    </row>
    <row r="4290" spans="1:16" ht="15" customHeight="1" x14ac:dyDescent="0.25">
      <c r="A4290" t="s">
        <v>153</v>
      </c>
      <c r="L4290"/>
      <c r="M4290"/>
      <c r="N4290"/>
      <c r="O4290"/>
      <c r="P4290"/>
    </row>
    <row r="4291" spans="1:16" ht="15" customHeight="1" x14ac:dyDescent="0.25">
      <c r="A4291" t="s">
        <v>153</v>
      </c>
      <c r="L4291"/>
      <c r="M4291"/>
      <c r="N4291"/>
      <c r="O4291"/>
      <c r="P4291"/>
    </row>
    <row r="4292" spans="1:16" ht="15" customHeight="1" x14ac:dyDescent="0.25">
      <c r="A4292" t="s">
        <v>153</v>
      </c>
      <c r="L4292"/>
      <c r="M4292"/>
      <c r="N4292"/>
      <c r="O4292"/>
      <c r="P4292"/>
    </row>
    <row r="4293" spans="1:16" ht="15" customHeight="1" x14ac:dyDescent="0.25">
      <c r="A4293" t="s">
        <v>153</v>
      </c>
      <c r="L4293"/>
      <c r="M4293"/>
      <c r="N4293"/>
      <c r="O4293"/>
      <c r="P4293"/>
    </row>
    <row r="4294" spans="1:16" ht="15" customHeight="1" x14ac:dyDescent="0.25">
      <c r="A4294" t="s">
        <v>153</v>
      </c>
      <c r="L4294"/>
      <c r="M4294"/>
      <c r="N4294"/>
      <c r="O4294"/>
      <c r="P4294"/>
    </row>
    <row r="4295" spans="1:16" ht="15" customHeight="1" x14ac:dyDescent="0.25">
      <c r="A4295" t="s">
        <v>153</v>
      </c>
      <c r="L4295"/>
      <c r="M4295"/>
      <c r="N4295"/>
      <c r="O4295"/>
      <c r="P4295"/>
    </row>
    <row r="4296" spans="1:16" ht="15" customHeight="1" x14ac:dyDescent="0.25">
      <c r="A4296" t="s">
        <v>153</v>
      </c>
      <c r="L4296"/>
      <c r="M4296"/>
      <c r="N4296"/>
      <c r="O4296"/>
      <c r="P4296"/>
    </row>
    <row r="4297" spans="1:16" ht="15" customHeight="1" x14ac:dyDescent="0.25">
      <c r="A4297" t="s">
        <v>153</v>
      </c>
      <c r="L4297"/>
      <c r="M4297"/>
      <c r="N4297"/>
      <c r="O4297"/>
      <c r="P4297"/>
    </row>
    <row r="4298" spans="1:16" ht="15" customHeight="1" x14ac:dyDescent="0.25">
      <c r="A4298" t="s">
        <v>153</v>
      </c>
      <c r="L4298"/>
      <c r="M4298"/>
      <c r="N4298"/>
      <c r="O4298"/>
      <c r="P4298"/>
    </row>
    <row r="4299" spans="1:16" ht="15" customHeight="1" x14ac:dyDescent="0.25">
      <c r="A4299" t="s">
        <v>153</v>
      </c>
      <c r="L4299"/>
      <c r="M4299"/>
      <c r="N4299"/>
      <c r="O4299"/>
      <c r="P4299"/>
    </row>
    <row r="4300" spans="1:16" ht="15" customHeight="1" x14ac:dyDescent="0.25">
      <c r="A4300" t="s">
        <v>153</v>
      </c>
      <c r="L4300"/>
      <c r="M4300"/>
      <c r="N4300"/>
      <c r="O4300"/>
      <c r="P4300"/>
    </row>
    <row r="4301" spans="1:16" ht="15" customHeight="1" x14ac:dyDescent="0.25">
      <c r="A4301" t="s">
        <v>153</v>
      </c>
      <c r="L4301"/>
      <c r="M4301"/>
      <c r="N4301"/>
      <c r="O4301"/>
      <c r="P4301"/>
    </row>
    <row r="4302" spans="1:16" ht="15" customHeight="1" x14ac:dyDescent="0.25">
      <c r="A4302" t="s">
        <v>153</v>
      </c>
      <c r="L4302"/>
      <c r="M4302"/>
      <c r="N4302"/>
      <c r="O4302"/>
      <c r="P4302"/>
    </row>
    <row r="4303" spans="1:16" ht="15" customHeight="1" x14ac:dyDescent="0.25">
      <c r="A4303" t="s">
        <v>153</v>
      </c>
      <c r="L4303"/>
      <c r="M4303"/>
      <c r="N4303"/>
      <c r="O4303"/>
      <c r="P4303"/>
    </row>
    <row r="4304" spans="1:16" ht="15" customHeight="1" x14ac:dyDescent="0.25">
      <c r="A4304" t="s">
        <v>153</v>
      </c>
      <c r="L4304"/>
      <c r="M4304"/>
      <c r="N4304"/>
      <c r="O4304"/>
      <c r="P4304"/>
    </row>
    <row r="4305" spans="1:16" ht="15" customHeight="1" x14ac:dyDescent="0.25">
      <c r="A4305" t="s">
        <v>153</v>
      </c>
      <c r="L4305"/>
      <c r="M4305"/>
      <c r="N4305"/>
      <c r="O4305"/>
      <c r="P4305"/>
    </row>
    <row r="4306" spans="1:16" ht="15" customHeight="1" x14ac:dyDescent="0.25">
      <c r="A4306" t="s">
        <v>153</v>
      </c>
      <c r="L4306"/>
      <c r="M4306"/>
      <c r="N4306"/>
      <c r="O4306"/>
      <c r="P4306"/>
    </row>
    <row r="4307" spans="1:16" ht="15" customHeight="1" x14ac:dyDescent="0.25">
      <c r="A4307" t="s">
        <v>153</v>
      </c>
      <c r="L4307"/>
      <c r="M4307"/>
      <c r="N4307"/>
      <c r="O4307"/>
      <c r="P4307"/>
    </row>
    <row r="4308" spans="1:16" ht="15" customHeight="1" x14ac:dyDescent="0.25">
      <c r="A4308" t="s">
        <v>153</v>
      </c>
      <c r="L4308"/>
      <c r="M4308"/>
      <c r="N4308"/>
      <c r="O4308"/>
      <c r="P4308"/>
    </row>
    <row r="4309" spans="1:16" ht="15" customHeight="1" x14ac:dyDescent="0.25">
      <c r="A4309" t="s">
        <v>153</v>
      </c>
      <c r="L4309"/>
      <c r="M4309"/>
      <c r="N4309"/>
      <c r="O4309"/>
      <c r="P4309"/>
    </row>
    <row r="4310" spans="1:16" ht="15" customHeight="1" x14ac:dyDescent="0.25">
      <c r="A4310" t="s">
        <v>153</v>
      </c>
      <c r="L4310"/>
      <c r="M4310"/>
      <c r="N4310"/>
      <c r="O4310"/>
      <c r="P4310"/>
    </row>
    <row r="4311" spans="1:16" ht="15" customHeight="1" x14ac:dyDescent="0.25">
      <c r="A4311" t="s">
        <v>153</v>
      </c>
      <c r="L4311"/>
      <c r="M4311"/>
      <c r="N4311"/>
      <c r="O4311"/>
      <c r="P4311"/>
    </row>
    <row r="4312" spans="1:16" ht="15" customHeight="1" x14ac:dyDescent="0.25">
      <c r="A4312" t="s">
        <v>153</v>
      </c>
      <c r="L4312"/>
      <c r="M4312"/>
      <c r="N4312"/>
      <c r="O4312"/>
      <c r="P4312"/>
    </row>
    <row r="4313" spans="1:16" ht="15" customHeight="1" x14ac:dyDescent="0.25">
      <c r="A4313" t="s">
        <v>153</v>
      </c>
      <c r="L4313"/>
      <c r="M4313"/>
      <c r="N4313"/>
      <c r="O4313"/>
      <c r="P4313"/>
    </row>
    <row r="4314" spans="1:16" ht="15" customHeight="1" x14ac:dyDescent="0.25">
      <c r="A4314" t="s">
        <v>153</v>
      </c>
      <c r="L4314"/>
      <c r="M4314"/>
      <c r="N4314"/>
      <c r="O4314"/>
      <c r="P4314"/>
    </row>
    <row r="4315" spans="1:16" ht="15" customHeight="1" x14ac:dyDescent="0.25">
      <c r="A4315" t="s">
        <v>153</v>
      </c>
      <c r="L4315"/>
      <c r="M4315"/>
      <c r="N4315"/>
      <c r="O4315"/>
      <c r="P4315"/>
    </row>
    <row r="4316" spans="1:16" ht="15" customHeight="1" x14ac:dyDescent="0.25">
      <c r="A4316" t="s">
        <v>153</v>
      </c>
      <c r="L4316"/>
      <c r="M4316"/>
      <c r="N4316"/>
      <c r="O4316"/>
      <c r="P4316"/>
    </row>
    <row r="4317" spans="1:16" ht="15" customHeight="1" x14ac:dyDescent="0.25">
      <c r="A4317" t="s">
        <v>153</v>
      </c>
      <c r="L4317"/>
      <c r="M4317"/>
      <c r="N4317"/>
      <c r="O4317"/>
      <c r="P4317"/>
    </row>
    <row r="4318" spans="1:16" ht="15" customHeight="1" x14ac:dyDescent="0.25">
      <c r="A4318" t="s">
        <v>153</v>
      </c>
      <c r="L4318"/>
      <c r="M4318"/>
      <c r="N4318"/>
      <c r="O4318"/>
      <c r="P4318"/>
    </row>
    <row r="4319" spans="1:16" ht="15" customHeight="1" x14ac:dyDescent="0.25">
      <c r="A4319" t="s">
        <v>153</v>
      </c>
      <c r="L4319"/>
      <c r="M4319"/>
      <c r="N4319"/>
      <c r="O4319"/>
      <c r="P4319"/>
    </row>
    <row r="4320" spans="1:16" ht="15" customHeight="1" x14ac:dyDescent="0.25">
      <c r="A4320" t="s">
        <v>153</v>
      </c>
      <c r="L4320"/>
      <c r="M4320"/>
      <c r="N4320"/>
      <c r="O4320"/>
      <c r="P4320"/>
    </row>
    <row r="4321" spans="1:16" ht="15" customHeight="1" x14ac:dyDescent="0.25">
      <c r="A4321" t="s">
        <v>153</v>
      </c>
      <c r="L4321"/>
      <c r="M4321"/>
      <c r="N4321"/>
      <c r="O4321"/>
      <c r="P4321"/>
    </row>
    <row r="4322" spans="1:16" ht="15" customHeight="1" x14ac:dyDescent="0.25">
      <c r="A4322" t="s">
        <v>153</v>
      </c>
      <c r="L4322"/>
      <c r="M4322"/>
      <c r="N4322"/>
      <c r="O4322"/>
      <c r="P4322"/>
    </row>
    <row r="4323" spans="1:16" ht="15" customHeight="1" x14ac:dyDescent="0.25">
      <c r="A4323" t="s">
        <v>153</v>
      </c>
      <c r="L4323"/>
      <c r="M4323"/>
      <c r="N4323"/>
      <c r="O4323"/>
      <c r="P4323"/>
    </row>
    <row r="4324" spans="1:16" ht="15" customHeight="1" x14ac:dyDescent="0.25">
      <c r="A4324" t="s">
        <v>153</v>
      </c>
      <c r="L4324"/>
      <c r="M4324"/>
      <c r="N4324"/>
      <c r="O4324"/>
      <c r="P4324"/>
    </row>
    <row r="4325" spans="1:16" ht="15" customHeight="1" x14ac:dyDescent="0.25">
      <c r="A4325" t="s">
        <v>153</v>
      </c>
      <c r="L4325"/>
      <c r="M4325"/>
      <c r="N4325"/>
      <c r="O4325"/>
      <c r="P4325"/>
    </row>
    <row r="4326" spans="1:16" ht="15" customHeight="1" x14ac:dyDescent="0.25">
      <c r="A4326" t="s">
        <v>153</v>
      </c>
      <c r="L4326"/>
      <c r="M4326"/>
      <c r="N4326"/>
      <c r="O4326"/>
      <c r="P4326"/>
    </row>
    <row r="4327" spans="1:16" ht="15" customHeight="1" x14ac:dyDescent="0.25">
      <c r="A4327" t="s">
        <v>153</v>
      </c>
      <c r="L4327"/>
      <c r="M4327"/>
      <c r="N4327"/>
      <c r="O4327"/>
      <c r="P4327"/>
    </row>
    <row r="4328" spans="1:16" ht="15" customHeight="1" x14ac:dyDescent="0.25">
      <c r="A4328" t="s">
        <v>153</v>
      </c>
      <c r="L4328"/>
      <c r="M4328"/>
      <c r="N4328"/>
      <c r="O4328"/>
      <c r="P4328"/>
    </row>
    <row r="4329" spans="1:16" ht="15" customHeight="1" x14ac:dyDescent="0.25">
      <c r="A4329" t="s">
        <v>153</v>
      </c>
      <c r="L4329"/>
      <c r="M4329"/>
      <c r="N4329"/>
      <c r="O4329"/>
      <c r="P4329"/>
    </row>
    <row r="4330" spans="1:16" ht="15" customHeight="1" x14ac:dyDescent="0.25">
      <c r="A4330" t="s">
        <v>153</v>
      </c>
      <c r="L4330"/>
      <c r="M4330"/>
      <c r="N4330"/>
      <c r="O4330"/>
      <c r="P4330"/>
    </row>
    <row r="4331" spans="1:16" ht="15" customHeight="1" x14ac:dyDescent="0.25">
      <c r="A4331" t="s">
        <v>153</v>
      </c>
      <c r="L4331"/>
      <c r="M4331"/>
      <c r="N4331"/>
      <c r="O4331"/>
      <c r="P4331"/>
    </row>
    <row r="4332" spans="1:16" ht="15" customHeight="1" x14ac:dyDescent="0.25">
      <c r="A4332" t="s">
        <v>153</v>
      </c>
      <c r="L4332"/>
      <c r="M4332"/>
      <c r="N4332"/>
      <c r="O4332"/>
      <c r="P4332"/>
    </row>
    <row r="4333" spans="1:16" ht="15" customHeight="1" x14ac:dyDescent="0.25">
      <c r="A4333" t="s">
        <v>153</v>
      </c>
      <c r="L4333"/>
      <c r="M4333"/>
      <c r="N4333"/>
      <c r="O4333"/>
      <c r="P4333"/>
    </row>
    <row r="4334" spans="1:16" ht="15" customHeight="1" x14ac:dyDescent="0.25">
      <c r="A4334" t="s">
        <v>153</v>
      </c>
      <c r="L4334"/>
      <c r="M4334"/>
      <c r="N4334"/>
      <c r="O4334"/>
      <c r="P4334"/>
    </row>
    <row r="4335" spans="1:16" ht="15" customHeight="1" x14ac:dyDescent="0.25">
      <c r="A4335" t="s">
        <v>153</v>
      </c>
      <c r="L4335"/>
      <c r="M4335"/>
      <c r="N4335"/>
      <c r="O4335"/>
      <c r="P4335"/>
    </row>
    <row r="4336" spans="1:16" ht="15" customHeight="1" x14ac:dyDescent="0.25">
      <c r="A4336" t="s">
        <v>153</v>
      </c>
      <c r="L4336"/>
      <c r="M4336"/>
      <c r="N4336"/>
      <c r="O4336"/>
      <c r="P4336"/>
    </row>
    <row r="4337" spans="1:16" ht="15" customHeight="1" x14ac:dyDescent="0.25">
      <c r="A4337" t="s">
        <v>153</v>
      </c>
      <c r="L4337"/>
      <c r="M4337"/>
      <c r="N4337"/>
      <c r="O4337"/>
      <c r="P4337"/>
    </row>
    <row r="4338" spans="1:16" ht="15" customHeight="1" x14ac:dyDescent="0.25">
      <c r="A4338" t="s">
        <v>153</v>
      </c>
      <c r="L4338"/>
      <c r="M4338"/>
      <c r="N4338"/>
      <c r="O4338"/>
      <c r="P4338"/>
    </row>
    <row r="4339" spans="1:16" ht="15" customHeight="1" x14ac:dyDescent="0.25">
      <c r="A4339" t="s">
        <v>153</v>
      </c>
      <c r="L4339"/>
      <c r="M4339"/>
      <c r="N4339"/>
      <c r="O4339"/>
      <c r="P4339"/>
    </row>
    <row r="4340" spans="1:16" ht="15" customHeight="1" x14ac:dyDescent="0.25">
      <c r="A4340" t="s">
        <v>153</v>
      </c>
      <c r="L4340"/>
      <c r="M4340"/>
      <c r="N4340"/>
      <c r="O4340"/>
      <c r="P4340"/>
    </row>
    <row r="4341" spans="1:16" ht="15" customHeight="1" x14ac:dyDescent="0.25">
      <c r="A4341" t="s">
        <v>153</v>
      </c>
      <c r="L4341"/>
      <c r="M4341"/>
      <c r="N4341"/>
      <c r="O4341"/>
      <c r="P4341"/>
    </row>
    <row r="4342" spans="1:16" ht="15" customHeight="1" x14ac:dyDescent="0.25">
      <c r="A4342" t="s">
        <v>153</v>
      </c>
      <c r="L4342"/>
      <c r="M4342"/>
      <c r="N4342"/>
      <c r="O4342"/>
      <c r="P4342"/>
    </row>
    <row r="4343" spans="1:16" ht="15" customHeight="1" x14ac:dyDescent="0.25">
      <c r="A4343" t="s">
        <v>153</v>
      </c>
      <c r="L4343"/>
      <c r="M4343"/>
      <c r="N4343"/>
      <c r="O4343"/>
      <c r="P4343"/>
    </row>
    <row r="4344" spans="1:16" ht="15" customHeight="1" x14ac:dyDescent="0.25">
      <c r="A4344" t="s">
        <v>153</v>
      </c>
      <c r="L4344"/>
      <c r="M4344"/>
      <c r="N4344"/>
      <c r="O4344"/>
      <c r="P4344"/>
    </row>
    <row r="4345" spans="1:16" ht="15" customHeight="1" x14ac:dyDescent="0.25">
      <c r="A4345" t="s">
        <v>153</v>
      </c>
      <c r="L4345"/>
      <c r="M4345"/>
      <c r="N4345"/>
      <c r="O4345"/>
      <c r="P4345"/>
    </row>
    <row r="4346" spans="1:16" ht="15" customHeight="1" x14ac:dyDescent="0.25">
      <c r="A4346" t="s">
        <v>153</v>
      </c>
      <c r="L4346"/>
      <c r="M4346"/>
      <c r="N4346"/>
      <c r="O4346"/>
      <c r="P4346"/>
    </row>
    <row r="4347" spans="1:16" ht="15" customHeight="1" x14ac:dyDescent="0.25">
      <c r="A4347" t="s">
        <v>153</v>
      </c>
      <c r="L4347"/>
      <c r="M4347"/>
      <c r="N4347"/>
      <c r="O4347"/>
      <c r="P4347"/>
    </row>
    <row r="4348" spans="1:16" ht="15" customHeight="1" x14ac:dyDescent="0.25">
      <c r="A4348" t="s">
        <v>153</v>
      </c>
      <c r="L4348"/>
      <c r="M4348"/>
      <c r="N4348"/>
      <c r="O4348"/>
      <c r="P4348"/>
    </row>
    <row r="4349" spans="1:16" ht="15" customHeight="1" x14ac:dyDescent="0.25">
      <c r="A4349" t="s">
        <v>153</v>
      </c>
      <c r="L4349"/>
      <c r="M4349"/>
      <c r="N4349"/>
      <c r="O4349"/>
      <c r="P4349"/>
    </row>
    <row r="4350" spans="1:16" ht="15" customHeight="1" x14ac:dyDescent="0.25">
      <c r="A4350" t="s">
        <v>153</v>
      </c>
      <c r="L4350"/>
      <c r="M4350"/>
      <c r="N4350"/>
      <c r="O4350"/>
      <c r="P4350"/>
    </row>
    <row r="4351" spans="1:16" ht="15" customHeight="1" x14ac:dyDescent="0.25">
      <c r="A4351" t="s">
        <v>153</v>
      </c>
      <c r="L4351"/>
      <c r="M4351"/>
      <c r="N4351"/>
      <c r="O4351"/>
      <c r="P4351"/>
    </row>
    <row r="4352" spans="1:16" ht="15" customHeight="1" x14ac:dyDescent="0.25">
      <c r="A4352" t="s">
        <v>153</v>
      </c>
      <c r="L4352"/>
      <c r="M4352"/>
      <c r="N4352"/>
      <c r="O4352"/>
      <c r="P4352"/>
    </row>
    <row r="4353" spans="1:16" ht="15" customHeight="1" x14ac:dyDescent="0.25">
      <c r="A4353" t="s">
        <v>153</v>
      </c>
      <c r="L4353"/>
      <c r="M4353"/>
      <c r="N4353"/>
      <c r="O4353"/>
      <c r="P4353"/>
    </row>
    <row r="4354" spans="1:16" ht="15" customHeight="1" x14ac:dyDescent="0.25">
      <c r="A4354" t="s">
        <v>153</v>
      </c>
      <c r="L4354"/>
      <c r="M4354"/>
      <c r="N4354"/>
      <c r="O4354"/>
      <c r="P4354"/>
    </row>
    <row r="4355" spans="1:16" ht="15" customHeight="1" x14ac:dyDescent="0.25">
      <c r="A4355" t="s">
        <v>153</v>
      </c>
      <c r="L4355"/>
      <c r="M4355"/>
      <c r="N4355"/>
      <c r="O4355"/>
      <c r="P4355"/>
    </row>
    <row r="4356" spans="1:16" ht="15" customHeight="1" x14ac:dyDescent="0.25">
      <c r="A4356" t="s">
        <v>153</v>
      </c>
      <c r="L4356"/>
      <c r="M4356"/>
      <c r="N4356"/>
      <c r="O4356"/>
      <c r="P4356"/>
    </row>
    <row r="4357" spans="1:16" ht="15" customHeight="1" x14ac:dyDescent="0.25">
      <c r="A4357" t="s">
        <v>153</v>
      </c>
      <c r="L4357"/>
      <c r="M4357"/>
      <c r="N4357"/>
      <c r="O4357"/>
      <c r="P4357"/>
    </row>
    <row r="4358" spans="1:16" ht="15" customHeight="1" x14ac:dyDescent="0.25">
      <c r="A4358" t="s">
        <v>153</v>
      </c>
      <c r="L4358"/>
      <c r="M4358"/>
      <c r="N4358"/>
      <c r="O4358"/>
      <c r="P4358"/>
    </row>
    <row r="4359" spans="1:16" ht="15" customHeight="1" x14ac:dyDescent="0.25">
      <c r="A4359" t="s">
        <v>153</v>
      </c>
      <c r="L4359"/>
      <c r="M4359"/>
      <c r="N4359"/>
      <c r="O4359"/>
      <c r="P4359"/>
    </row>
    <row r="4360" spans="1:16" ht="15" customHeight="1" x14ac:dyDescent="0.25">
      <c r="A4360" t="s">
        <v>153</v>
      </c>
      <c r="L4360"/>
      <c r="M4360"/>
      <c r="N4360"/>
      <c r="O4360"/>
      <c r="P4360"/>
    </row>
    <row r="4361" spans="1:16" ht="15" customHeight="1" x14ac:dyDescent="0.25">
      <c r="A4361" t="s">
        <v>153</v>
      </c>
      <c r="L4361"/>
      <c r="M4361"/>
      <c r="N4361"/>
      <c r="O4361"/>
      <c r="P4361"/>
    </row>
    <row r="4362" spans="1:16" ht="15" customHeight="1" x14ac:dyDescent="0.25">
      <c r="A4362" t="s">
        <v>153</v>
      </c>
      <c r="L4362"/>
      <c r="M4362"/>
      <c r="N4362"/>
      <c r="O4362"/>
      <c r="P4362"/>
    </row>
    <row r="4363" spans="1:16" ht="15" customHeight="1" x14ac:dyDescent="0.25">
      <c r="A4363" t="s">
        <v>153</v>
      </c>
      <c r="L4363"/>
      <c r="M4363"/>
      <c r="N4363"/>
      <c r="O4363"/>
      <c r="P4363"/>
    </row>
    <row r="4364" spans="1:16" ht="15" customHeight="1" x14ac:dyDescent="0.25">
      <c r="A4364" t="s">
        <v>153</v>
      </c>
      <c r="L4364"/>
      <c r="M4364"/>
      <c r="N4364"/>
      <c r="O4364"/>
      <c r="P4364"/>
    </row>
    <row r="4365" spans="1:16" ht="15" customHeight="1" x14ac:dyDescent="0.25">
      <c r="A4365" t="s">
        <v>153</v>
      </c>
      <c r="L4365"/>
      <c r="M4365"/>
      <c r="N4365"/>
      <c r="O4365"/>
      <c r="P4365"/>
    </row>
    <row r="4366" spans="1:16" ht="15" customHeight="1" x14ac:dyDescent="0.25">
      <c r="A4366" t="s">
        <v>153</v>
      </c>
      <c r="L4366"/>
      <c r="M4366"/>
      <c r="N4366"/>
      <c r="O4366"/>
      <c r="P4366"/>
    </row>
    <row r="4367" spans="1:16" ht="15" customHeight="1" x14ac:dyDescent="0.25">
      <c r="A4367" t="s">
        <v>153</v>
      </c>
      <c r="L4367"/>
      <c r="M4367"/>
      <c r="N4367"/>
      <c r="O4367"/>
      <c r="P4367"/>
    </row>
    <row r="4368" spans="1:16" ht="15" customHeight="1" x14ac:dyDescent="0.25">
      <c r="A4368" t="s">
        <v>153</v>
      </c>
      <c r="L4368"/>
      <c r="M4368"/>
      <c r="N4368"/>
      <c r="O4368"/>
      <c r="P4368"/>
    </row>
    <row r="4369" spans="1:16" ht="15" customHeight="1" x14ac:dyDescent="0.25">
      <c r="A4369" t="s">
        <v>153</v>
      </c>
      <c r="L4369"/>
      <c r="M4369"/>
      <c r="N4369"/>
      <c r="O4369"/>
      <c r="P4369"/>
    </row>
    <row r="4370" spans="1:16" ht="15" customHeight="1" x14ac:dyDescent="0.25">
      <c r="A4370" t="s">
        <v>153</v>
      </c>
      <c r="L4370"/>
      <c r="M4370"/>
      <c r="N4370"/>
      <c r="O4370"/>
      <c r="P4370"/>
    </row>
    <row r="4371" spans="1:16" ht="15" customHeight="1" x14ac:dyDescent="0.25">
      <c r="A4371" t="s">
        <v>153</v>
      </c>
      <c r="L4371"/>
      <c r="M4371"/>
      <c r="N4371"/>
      <c r="O4371"/>
      <c r="P4371"/>
    </row>
    <row r="4372" spans="1:16" ht="15" customHeight="1" x14ac:dyDescent="0.25">
      <c r="A4372" t="s">
        <v>153</v>
      </c>
      <c r="L4372"/>
      <c r="M4372"/>
      <c r="N4372"/>
      <c r="O4372"/>
      <c r="P4372"/>
    </row>
    <row r="4373" spans="1:16" ht="15" customHeight="1" x14ac:dyDescent="0.25">
      <c r="A4373" t="s">
        <v>153</v>
      </c>
      <c r="L4373"/>
      <c r="M4373"/>
      <c r="N4373"/>
      <c r="O4373"/>
      <c r="P4373"/>
    </row>
    <row r="4374" spans="1:16" ht="15" customHeight="1" x14ac:dyDescent="0.25">
      <c r="A4374" t="s">
        <v>153</v>
      </c>
      <c r="L4374"/>
      <c r="M4374"/>
      <c r="N4374"/>
      <c r="O4374"/>
      <c r="P4374"/>
    </row>
    <row r="4375" spans="1:16" ht="15" customHeight="1" x14ac:dyDescent="0.25">
      <c r="A4375" t="s">
        <v>153</v>
      </c>
      <c r="L4375"/>
      <c r="M4375"/>
      <c r="N4375"/>
      <c r="O4375"/>
      <c r="P4375"/>
    </row>
    <row r="4376" spans="1:16" ht="15" customHeight="1" x14ac:dyDescent="0.25">
      <c r="A4376" t="s">
        <v>153</v>
      </c>
      <c r="L4376"/>
      <c r="M4376"/>
      <c r="N4376"/>
      <c r="O4376"/>
      <c r="P4376"/>
    </row>
    <row r="4377" spans="1:16" ht="15" customHeight="1" x14ac:dyDescent="0.25">
      <c r="A4377" t="s">
        <v>153</v>
      </c>
      <c r="L4377"/>
      <c r="M4377"/>
      <c r="N4377"/>
      <c r="O4377"/>
      <c r="P4377"/>
    </row>
    <row r="4378" spans="1:16" ht="15" customHeight="1" x14ac:dyDescent="0.25">
      <c r="A4378" t="s">
        <v>153</v>
      </c>
      <c r="L4378"/>
      <c r="M4378"/>
      <c r="N4378"/>
      <c r="O4378"/>
      <c r="P4378"/>
    </row>
    <row r="4379" spans="1:16" ht="15" customHeight="1" x14ac:dyDescent="0.25">
      <c r="A4379" t="s">
        <v>153</v>
      </c>
      <c r="L4379"/>
      <c r="M4379"/>
      <c r="N4379"/>
      <c r="O4379"/>
      <c r="P4379"/>
    </row>
    <row r="4380" spans="1:16" ht="15" customHeight="1" x14ac:dyDescent="0.25">
      <c r="A4380" t="s">
        <v>153</v>
      </c>
      <c r="L4380"/>
      <c r="M4380"/>
      <c r="N4380"/>
      <c r="O4380"/>
      <c r="P4380"/>
    </row>
    <row r="4381" spans="1:16" ht="15" customHeight="1" x14ac:dyDescent="0.25">
      <c r="A4381" t="s">
        <v>153</v>
      </c>
      <c r="L4381"/>
      <c r="M4381"/>
      <c r="N4381"/>
      <c r="O4381"/>
      <c r="P4381"/>
    </row>
    <row r="4382" spans="1:16" ht="15" customHeight="1" x14ac:dyDescent="0.25">
      <c r="A4382" t="s">
        <v>153</v>
      </c>
      <c r="L4382"/>
      <c r="M4382"/>
      <c r="N4382"/>
      <c r="O4382"/>
      <c r="P4382"/>
    </row>
    <row r="4383" spans="1:16" ht="15" customHeight="1" x14ac:dyDescent="0.25">
      <c r="A4383" t="s">
        <v>153</v>
      </c>
      <c r="L4383"/>
      <c r="M4383"/>
      <c r="N4383"/>
      <c r="O4383"/>
      <c r="P4383"/>
    </row>
    <row r="4384" spans="1:16" ht="15" customHeight="1" x14ac:dyDescent="0.25">
      <c r="A4384" t="s">
        <v>153</v>
      </c>
      <c r="L4384"/>
      <c r="M4384"/>
      <c r="N4384"/>
      <c r="O4384"/>
      <c r="P4384"/>
    </row>
    <row r="4385" spans="1:16" ht="15" customHeight="1" x14ac:dyDescent="0.25">
      <c r="A4385" t="s">
        <v>153</v>
      </c>
      <c r="L4385"/>
      <c r="M4385"/>
      <c r="N4385"/>
      <c r="O4385"/>
      <c r="P4385"/>
    </row>
    <row r="4386" spans="1:16" ht="15" customHeight="1" x14ac:dyDescent="0.25">
      <c r="A4386" t="s">
        <v>153</v>
      </c>
      <c r="L4386"/>
      <c r="M4386"/>
      <c r="N4386"/>
      <c r="O4386"/>
      <c r="P4386"/>
    </row>
    <row r="4387" spans="1:16" ht="15" customHeight="1" x14ac:dyDescent="0.25">
      <c r="A4387" t="s">
        <v>153</v>
      </c>
      <c r="L4387"/>
      <c r="M4387"/>
      <c r="N4387"/>
      <c r="O4387"/>
      <c r="P4387"/>
    </row>
    <row r="4388" spans="1:16" ht="15" customHeight="1" x14ac:dyDescent="0.25">
      <c r="A4388" t="s">
        <v>153</v>
      </c>
      <c r="L4388"/>
      <c r="M4388"/>
      <c r="N4388"/>
      <c r="O4388"/>
      <c r="P4388"/>
    </row>
    <row r="4389" spans="1:16" ht="15" customHeight="1" x14ac:dyDescent="0.25">
      <c r="A4389" t="s">
        <v>153</v>
      </c>
      <c r="L4389"/>
      <c r="M4389"/>
      <c r="N4389"/>
      <c r="O4389"/>
      <c r="P4389"/>
    </row>
    <row r="4390" spans="1:16" ht="15" customHeight="1" x14ac:dyDescent="0.25">
      <c r="A4390" t="s">
        <v>153</v>
      </c>
      <c r="L4390"/>
      <c r="M4390"/>
      <c r="N4390"/>
      <c r="O4390"/>
      <c r="P4390"/>
    </row>
    <row r="4391" spans="1:16" ht="15" customHeight="1" x14ac:dyDescent="0.25">
      <c r="A4391" t="s">
        <v>153</v>
      </c>
      <c r="L4391"/>
      <c r="M4391"/>
      <c r="N4391"/>
      <c r="O4391"/>
      <c r="P4391"/>
    </row>
    <row r="4392" spans="1:16" ht="15" customHeight="1" x14ac:dyDescent="0.25">
      <c r="A4392" t="s">
        <v>153</v>
      </c>
      <c r="L4392"/>
      <c r="M4392"/>
      <c r="N4392"/>
      <c r="O4392"/>
      <c r="P4392"/>
    </row>
    <row r="4393" spans="1:16" ht="15" customHeight="1" x14ac:dyDescent="0.25">
      <c r="A4393" t="s">
        <v>153</v>
      </c>
      <c r="L4393"/>
      <c r="M4393"/>
      <c r="N4393"/>
      <c r="O4393"/>
      <c r="P4393"/>
    </row>
    <row r="4394" spans="1:16" ht="15" customHeight="1" x14ac:dyDescent="0.25">
      <c r="A4394" t="s">
        <v>153</v>
      </c>
      <c r="L4394"/>
      <c r="M4394"/>
      <c r="N4394"/>
      <c r="O4394"/>
      <c r="P4394"/>
    </row>
    <row r="4395" spans="1:16" ht="15" customHeight="1" x14ac:dyDescent="0.25">
      <c r="A4395" t="s">
        <v>153</v>
      </c>
      <c r="L4395"/>
      <c r="M4395"/>
      <c r="N4395"/>
      <c r="O4395"/>
      <c r="P4395"/>
    </row>
    <row r="4396" spans="1:16" ht="15" customHeight="1" x14ac:dyDescent="0.25">
      <c r="A4396" t="s">
        <v>153</v>
      </c>
      <c r="L4396"/>
      <c r="M4396"/>
      <c r="N4396"/>
      <c r="O4396"/>
      <c r="P4396"/>
    </row>
    <row r="4397" spans="1:16" ht="15" customHeight="1" x14ac:dyDescent="0.25">
      <c r="A4397" t="s">
        <v>153</v>
      </c>
      <c r="L4397"/>
      <c r="M4397"/>
      <c r="N4397"/>
      <c r="O4397"/>
      <c r="P4397"/>
    </row>
    <row r="4398" spans="1:16" ht="15" customHeight="1" x14ac:dyDescent="0.25">
      <c r="A4398" t="s">
        <v>153</v>
      </c>
      <c r="L4398"/>
      <c r="M4398"/>
      <c r="N4398"/>
      <c r="O4398"/>
      <c r="P4398"/>
    </row>
    <row r="4399" spans="1:16" ht="15" customHeight="1" x14ac:dyDescent="0.25">
      <c r="A4399" t="s">
        <v>153</v>
      </c>
      <c r="L4399"/>
      <c r="M4399"/>
      <c r="N4399"/>
      <c r="O4399"/>
      <c r="P4399"/>
    </row>
    <row r="4400" spans="1:16" ht="15" customHeight="1" x14ac:dyDescent="0.25">
      <c r="A4400" t="s">
        <v>153</v>
      </c>
      <c r="L4400"/>
      <c r="M4400"/>
      <c r="N4400"/>
      <c r="O4400"/>
      <c r="P4400"/>
    </row>
    <row r="4401" spans="1:16" ht="15" customHeight="1" x14ac:dyDescent="0.25">
      <c r="A4401" t="s">
        <v>153</v>
      </c>
      <c r="L4401"/>
      <c r="M4401"/>
      <c r="N4401"/>
      <c r="O4401"/>
      <c r="P4401"/>
    </row>
    <row r="4402" spans="1:16" ht="15" customHeight="1" x14ac:dyDescent="0.25">
      <c r="A4402" t="s">
        <v>153</v>
      </c>
      <c r="L4402"/>
      <c r="M4402"/>
      <c r="N4402"/>
      <c r="O4402"/>
      <c r="P4402"/>
    </row>
    <row r="4403" spans="1:16" ht="15" customHeight="1" x14ac:dyDescent="0.25">
      <c r="A4403" t="s">
        <v>153</v>
      </c>
      <c r="L4403"/>
      <c r="M4403"/>
      <c r="N4403"/>
      <c r="O4403"/>
      <c r="P4403"/>
    </row>
    <row r="4404" spans="1:16" ht="15" customHeight="1" x14ac:dyDescent="0.25">
      <c r="A4404" t="s">
        <v>153</v>
      </c>
      <c r="L4404"/>
      <c r="M4404"/>
      <c r="N4404"/>
      <c r="O4404"/>
      <c r="P4404"/>
    </row>
    <row r="4405" spans="1:16" ht="15" customHeight="1" x14ac:dyDescent="0.25">
      <c r="A4405" t="s">
        <v>153</v>
      </c>
      <c r="L4405"/>
      <c r="M4405"/>
      <c r="N4405"/>
      <c r="O4405"/>
      <c r="P4405"/>
    </row>
    <row r="4406" spans="1:16" ht="15" customHeight="1" x14ac:dyDescent="0.25">
      <c r="A4406" t="s">
        <v>153</v>
      </c>
      <c r="L4406"/>
      <c r="M4406"/>
      <c r="N4406"/>
      <c r="O4406"/>
      <c r="P4406"/>
    </row>
    <row r="4407" spans="1:16" ht="15" customHeight="1" x14ac:dyDescent="0.25">
      <c r="A4407" t="s">
        <v>153</v>
      </c>
      <c r="L4407"/>
      <c r="M4407"/>
      <c r="N4407"/>
      <c r="O4407"/>
      <c r="P4407"/>
    </row>
    <row r="4408" spans="1:16" ht="15" customHeight="1" x14ac:dyDescent="0.25">
      <c r="A4408" t="s">
        <v>153</v>
      </c>
      <c r="L4408"/>
      <c r="M4408"/>
      <c r="N4408"/>
      <c r="O4408"/>
      <c r="P4408"/>
    </row>
    <row r="4409" spans="1:16" ht="15" customHeight="1" x14ac:dyDescent="0.25">
      <c r="A4409" t="s">
        <v>153</v>
      </c>
      <c r="L4409"/>
      <c r="M4409"/>
      <c r="N4409"/>
      <c r="O4409"/>
      <c r="P4409"/>
    </row>
    <row r="4410" spans="1:16" ht="15" customHeight="1" x14ac:dyDescent="0.25">
      <c r="A4410" t="s">
        <v>153</v>
      </c>
      <c r="L4410"/>
      <c r="M4410"/>
      <c r="N4410"/>
      <c r="O4410"/>
      <c r="P4410"/>
    </row>
    <row r="4411" spans="1:16" ht="15" customHeight="1" x14ac:dyDescent="0.25">
      <c r="A4411" t="s">
        <v>153</v>
      </c>
      <c r="L4411"/>
      <c r="M4411"/>
      <c r="N4411"/>
      <c r="O4411"/>
      <c r="P4411"/>
    </row>
    <row r="4412" spans="1:16" ht="15" customHeight="1" x14ac:dyDescent="0.25">
      <c r="A4412" t="s">
        <v>153</v>
      </c>
      <c r="L4412"/>
      <c r="M4412"/>
      <c r="N4412"/>
      <c r="O4412"/>
      <c r="P4412"/>
    </row>
    <row r="4413" spans="1:16" ht="15" customHeight="1" x14ac:dyDescent="0.25">
      <c r="A4413" t="s">
        <v>153</v>
      </c>
      <c r="L4413"/>
      <c r="M4413"/>
      <c r="N4413"/>
      <c r="O4413"/>
      <c r="P4413"/>
    </row>
    <row r="4414" spans="1:16" ht="15" customHeight="1" x14ac:dyDescent="0.25">
      <c r="A4414" t="s">
        <v>153</v>
      </c>
      <c r="L4414"/>
      <c r="M4414"/>
      <c r="N4414"/>
      <c r="O4414"/>
      <c r="P4414"/>
    </row>
    <row r="4415" spans="1:16" ht="15" customHeight="1" x14ac:dyDescent="0.25">
      <c r="A4415" t="s">
        <v>153</v>
      </c>
      <c r="L4415"/>
      <c r="M4415"/>
      <c r="N4415"/>
      <c r="O4415"/>
      <c r="P4415"/>
    </row>
    <row r="4416" spans="1:16" ht="15" customHeight="1" x14ac:dyDescent="0.25">
      <c r="A4416" t="s">
        <v>153</v>
      </c>
      <c r="L4416"/>
      <c r="M4416"/>
      <c r="N4416"/>
      <c r="O4416"/>
      <c r="P4416"/>
    </row>
    <row r="4417" spans="1:16" ht="15" customHeight="1" x14ac:dyDescent="0.25">
      <c r="A4417" t="s">
        <v>153</v>
      </c>
      <c r="L4417"/>
      <c r="M4417"/>
      <c r="N4417"/>
      <c r="O4417"/>
      <c r="P4417"/>
    </row>
    <row r="4418" spans="1:16" ht="15" customHeight="1" x14ac:dyDescent="0.25">
      <c r="A4418" t="s">
        <v>153</v>
      </c>
      <c r="L4418"/>
      <c r="M4418"/>
      <c r="N4418"/>
      <c r="O4418"/>
      <c r="P4418"/>
    </row>
    <row r="4419" spans="1:16" ht="15" customHeight="1" x14ac:dyDescent="0.25">
      <c r="A4419" t="s">
        <v>153</v>
      </c>
      <c r="L4419"/>
      <c r="M4419"/>
      <c r="N4419"/>
      <c r="O4419"/>
      <c r="P4419"/>
    </row>
    <row r="4420" spans="1:16" ht="15" customHeight="1" x14ac:dyDescent="0.25">
      <c r="A4420" t="s">
        <v>153</v>
      </c>
      <c r="L4420"/>
      <c r="M4420"/>
      <c r="N4420"/>
      <c r="O4420"/>
      <c r="P4420"/>
    </row>
    <row r="4421" spans="1:16" ht="15" customHeight="1" x14ac:dyDescent="0.25">
      <c r="A4421" t="s">
        <v>153</v>
      </c>
      <c r="L4421"/>
      <c r="M4421"/>
      <c r="N4421"/>
      <c r="O4421"/>
      <c r="P4421"/>
    </row>
    <row r="4422" spans="1:16" ht="15" customHeight="1" x14ac:dyDescent="0.25">
      <c r="A4422" t="s">
        <v>153</v>
      </c>
      <c r="L4422"/>
      <c r="M4422"/>
      <c r="N4422"/>
      <c r="O4422"/>
      <c r="P4422"/>
    </row>
    <row r="4423" spans="1:16" ht="15" customHeight="1" x14ac:dyDescent="0.25">
      <c r="A4423" t="s">
        <v>153</v>
      </c>
      <c r="L4423"/>
      <c r="M4423"/>
      <c r="N4423"/>
      <c r="O4423"/>
      <c r="P4423"/>
    </row>
    <row r="4424" spans="1:16" ht="15" customHeight="1" x14ac:dyDescent="0.25">
      <c r="A4424" t="s">
        <v>153</v>
      </c>
      <c r="L4424"/>
      <c r="M4424"/>
      <c r="N4424"/>
      <c r="O4424"/>
      <c r="P4424"/>
    </row>
    <row r="4425" spans="1:16" ht="15" customHeight="1" x14ac:dyDescent="0.25">
      <c r="A4425" t="s">
        <v>153</v>
      </c>
      <c r="L4425"/>
      <c r="M4425"/>
      <c r="N4425"/>
      <c r="O4425"/>
      <c r="P4425"/>
    </row>
    <row r="4426" spans="1:16" ht="15" customHeight="1" x14ac:dyDescent="0.25">
      <c r="A4426" t="s">
        <v>153</v>
      </c>
      <c r="L4426"/>
      <c r="M4426"/>
      <c r="N4426"/>
      <c r="O4426"/>
      <c r="P4426"/>
    </row>
    <row r="4427" spans="1:16" ht="15" customHeight="1" x14ac:dyDescent="0.25">
      <c r="A4427" t="s">
        <v>153</v>
      </c>
      <c r="L4427"/>
      <c r="M4427"/>
      <c r="N4427"/>
      <c r="O4427"/>
      <c r="P4427"/>
    </row>
    <row r="4428" spans="1:16" ht="15" customHeight="1" x14ac:dyDescent="0.25">
      <c r="A4428" t="s">
        <v>153</v>
      </c>
      <c r="L4428"/>
      <c r="M4428"/>
      <c r="N4428"/>
      <c r="O4428"/>
      <c r="P4428"/>
    </row>
    <row r="4429" spans="1:16" ht="15" customHeight="1" x14ac:dyDescent="0.25">
      <c r="A4429" t="s">
        <v>153</v>
      </c>
      <c r="L4429"/>
      <c r="M4429"/>
      <c r="N4429"/>
      <c r="O4429"/>
      <c r="P4429"/>
    </row>
    <row r="4430" spans="1:16" ht="15" customHeight="1" x14ac:dyDescent="0.25">
      <c r="A4430" t="s">
        <v>153</v>
      </c>
      <c r="L4430"/>
      <c r="M4430"/>
      <c r="N4430"/>
      <c r="O4430"/>
      <c r="P4430"/>
    </row>
    <row r="4431" spans="1:16" ht="15" customHeight="1" x14ac:dyDescent="0.25">
      <c r="A4431" t="s">
        <v>153</v>
      </c>
      <c r="L4431"/>
      <c r="M4431"/>
      <c r="N4431"/>
      <c r="O4431"/>
      <c r="P4431"/>
    </row>
    <row r="4432" spans="1:16" ht="15" customHeight="1" x14ac:dyDescent="0.25">
      <c r="A4432" t="s">
        <v>153</v>
      </c>
      <c r="L4432"/>
      <c r="M4432"/>
      <c r="N4432"/>
      <c r="O4432"/>
      <c r="P4432"/>
    </row>
    <row r="4433" spans="1:16" ht="15" customHeight="1" x14ac:dyDescent="0.25">
      <c r="A4433" t="s">
        <v>153</v>
      </c>
      <c r="L4433"/>
      <c r="M4433"/>
      <c r="N4433"/>
      <c r="O4433"/>
      <c r="P4433"/>
    </row>
    <row r="4434" spans="1:16" ht="15" customHeight="1" x14ac:dyDescent="0.25">
      <c r="A4434" t="s">
        <v>153</v>
      </c>
      <c r="L4434"/>
      <c r="M4434"/>
      <c r="N4434"/>
      <c r="O4434"/>
      <c r="P4434"/>
    </row>
    <row r="4435" spans="1:16" ht="15" customHeight="1" x14ac:dyDescent="0.25">
      <c r="A4435" t="s">
        <v>153</v>
      </c>
      <c r="L4435"/>
      <c r="M4435"/>
      <c r="N4435"/>
      <c r="O4435"/>
      <c r="P4435"/>
    </row>
    <row r="4436" spans="1:16" ht="15" customHeight="1" x14ac:dyDescent="0.25">
      <c r="A4436" t="s">
        <v>153</v>
      </c>
      <c r="L4436"/>
      <c r="M4436"/>
      <c r="N4436"/>
      <c r="O4436"/>
      <c r="P4436"/>
    </row>
    <row r="4437" spans="1:16" ht="15" customHeight="1" x14ac:dyDescent="0.25">
      <c r="A4437" t="s">
        <v>153</v>
      </c>
      <c r="L4437"/>
      <c r="M4437"/>
      <c r="N4437"/>
      <c r="O4437"/>
      <c r="P4437"/>
    </row>
    <row r="4438" spans="1:16" ht="15" customHeight="1" x14ac:dyDescent="0.25">
      <c r="A4438" t="s">
        <v>153</v>
      </c>
      <c r="L4438"/>
      <c r="M4438"/>
      <c r="N4438"/>
      <c r="O4438"/>
      <c r="P4438"/>
    </row>
    <row r="4439" spans="1:16" ht="15" customHeight="1" x14ac:dyDescent="0.25">
      <c r="A4439" t="s">
        <v>153</v>
      </c>
      <c r="L4439"/>
      <c r="M4439"/>
      <c r="N4439"/>
      <c r="O4439"/>
      <c r="P4439"/>
    </row>
    <row r="4440" spans="1:16" ht="15" customHeight="1" x14ac:dyDescent="0.25">
      <c r="A4440" t="s">
        <v>153</v>
      </c>
      <c r="L4440"/>
      <c r="M4440"/>
      <c r="N4440"/>
      <c r="O4440"/>
      <c r="P4440"/>
    </row>
    <row r="4441" spans="1:16" ht="15" customHeight="1" x14ac:dyDescent="0.25">
      <c r="A4441" t="s">
        <v>153</v>
      </c>
      <c r="L4441"/>
      <c r="M4441"/>
      <c r="N4441"/>
      <c r="O4441"/>
      <c r="P4441"/>
    </row>
    <row r="4442" spans="1:16" ht="15" customHeight="1" x14ac:dyDescent="0.25">
      <c r="A4442" t="s">
        <v>153</v>
      </c>
      <c r="L4442"/>
      <c r="M4442"/>
      <c r="N4442"/>
      <c r="O4442"/>
      <c r="P4442"/>
    </row>
    <row r="4443" spans="1:16" ht="15" customHeight="1" x14ac:dyDescent="0.25">
      <c r="A4443" t="s">
        <v>153</v>
      </c>
      <c r="L4443"/>
      <c r="M4443"/>
      <c r="N4443"/>
      <c r="O4443"/>
      <c r="P4443"/>
    </row>
    <row r="4444" spans="1:16" ht="15" customHeight="1" x14ac:dyDescent="0.25">
      <c r="A4444" t="s">
        <v>153</v>
      </c>
      <c r="L4444"/>
      <c r="M4444"/>
      <c r="N4444"/>
      <c r="O4444"/>
      <c r="P4444"/>
    </row>
    <row r="4445" spans="1:16" ht="15" customHeight="1" x14ac:dyDescent="0.25">
      <c r="A4445" t="s">
        <v>153</v>
      </c>
      <c r="L4445"/>
      <c r="M4445"/>
      <c r="N4445"/>
      <c r="O4445"/>
      <c r="P4445"/>
    </row>
    <row r="4446" spans="1:16" ht="15" customHeight="1" x14ac:dyDescent="0.25">
      <c r="A4446" t="s">
        <v>153</v>
      </c>
      <c r="L4446"/>
      <c r="M4446"/>
      <c r="N4446"/>
      <c r="O4446"/>
      <c r="P4446"/>
    </row>
    <row r="4447" spans="1:16" ht="15" customHeight="1" x14ac:dyDescent="0.25">
      <c r="A4447" t="s">
        <v>153</v>
      </c>
      <c r="L4447"/>
      <c r="M4447"/>
      <c r="N4447"/>
      <c r="O4447"/>
      <c r="P4447"/>
    </row>
    <row r="4448" spans="1:16" ht="15" customHeight="1" x14ac:dyDescent="0.25">
      <c r="A4448" t="s">
        <v>153</v>
      </c>
      <c r="L4448"/>
      <c r="M4448"/>
      <c r="N4448"/>
      <c r="O4448"/>
      <c r="P4448"/>
    </row>
    <row r="4449" spans="1:16" ht="15" customHeight="1" x14ac:dyDescent="0.25">
      <c r="A4449" t="s">
        <v>153</v>
      </c>
      <c r="L4449"/>
      <c r="M4449"/>
      <c r="N4449"/>
      <c r="O4449"/>
      <c r="P4449"/>
    </row>
    <row r="4450" spans="1:16" ht="15" customHeight="1" x14ac:dyDescent="0.25">
      <c r="A4450" t="s">
        <v>153</v>
      </c>
      <c r="L4450"/>
      <c r="M4450"/>
      <c r="N4450"/>
      <c r="O4450"/>
      <c r="P4450"/>
    </row>
    <row r="4451" spans="1:16" ht="15" customHeight="1" x14ac:dyDescent="0.25">
      <c r="A4451" t="s">
        <v>153</v>
      </c>
      <c r="L4451"/>
      <c r="M4451"/>
      <c r="N4451"/>
      <c r="O4451"/>
      <c r="P4451"/>
    </row>
    <row r="4452" spans="1:16" ht="15" customHeight="1" x14ac:dyDescent="0.25">
      <c r="A4452" t="s">
        <v>153</v>
      </c>
      <c r="L4452"/>
      <c r="M4452"/>
      <c r="N4452"/>
      <c r="O4452"/>
      <c r="P4452"/>
    </row>
    <row r="4453" spans="1:16" ht="15" customHeight="1" x14ac:dyDescent="0.25">
      <c r="A4453" t="s">
        <v>153</v>
      </c>
      <c r="L4453"/>
      <c r="M4453"/>
      <c r="N4453"/>
      <c r="O4453"/>
      <c r="P4453"/>
    </row>
    <row r="4454" spans="1:16" ht="15" customHeight="1" x14ac:dyDescent="0.25">
      <c r="A4454" t="s">
        <v>153</v>
      </c>
      <c r="L4454"/>
      <c r="M4454"/>
      <c r="N4454"/>
      <c r="O4454"/>
      <c r="P4454"/>
    </row>
    <row r="4455" spans="1:16" ht="15" customHeight="1" x14ac:dyDescent="0.25">
      <c r="A4455" t="s">
        <v>153</v>
      </c>
      <c r="L4455"/>
      <c r="M4455"/>
      <c r="N4455"/>
      <c r="O4455"/>
      <c r="P4455"/>
    </row>
    <row r="4456" spans="1:16" ht="15" customHeight="1" x14ac:dyDescent="0.25">
      <c r="A4456" t="s">
        <v>153</v>
      </c>
      <c r="L4456"/>
      <c r="M4456"/>
      <c r="N4456"/>
      <c r="O4456"/>
      <c r="P4456"/>
    </row>
    <row r="4457" spans="1:16" ht="15" customHeight="1" x14ac:dyDescent="0.25">
      <c r="A4457" t="s">
        <v>153</v>
      </c>
      <c r="L4457"/>
      <c r="M4457"/>
      <c r="N4457"/>
      <c r="O4457"/>
      <c r="P4457"/>
    </row>
    <row r="4458" spans="1:16" ht="15" customHeight="1" x14ac:dyDescent="0.25">
      <c r="A4458" t="s">
        <v>153</v>
      </c>
      <c r="L4458"/>
      <c r="M4458"/>
      <c r="N4458"/>
      <c r="O4458"/>
      <c r="P4458"/>
    </row>
    <row r="4459" spans="1:16" ht="15" customHeight="1" x14ac:dyDescent="0.25">
      <c r="A4459" t="s">
        <v>153</v>
      </c>
      <c r="L4459"/>
      <c r="M4459"/>
      <c r="N4459"/>
      <c r="O4459"/>
      <c r="P4459"/>
    </row>
    <row r="4460" spans="1:16" ht="15" customHeight="1" x14ac:dyDescent="0.25">
      <c r="A4460" t="s">
        <v>153</v>
      </c>
      <c r="L4460"/>
      <c r="M4460"/>
      <c r="N4460"/>
      <c r="O4460"/>
      <c r="P4460"/>
    </row>
    <row r="4461" spans="1:16" ht="15" customHeight="1" x14ac:dyDescent="0.25">
      <c r="A4461" t="s">
        <v>153</v>
      </c>
      <c r="L4461"/>
      <c r="M4461"/>
      <c r="N4461"/>
      <c r="O4461"/>
      <c r="P4461"/>
    </row>
    <row r="4462" spans="1:16" ht="15" customHeight="1" x14ac:dyDescent="0.25">
      <c r="A4462" t="s">
        <v>153</v>
      </c>
      <c r="L4462"/>
      <c r="M4462"/>
      <c r="N4462"/>
      <c r="O4462"/>
      <c r="P4462"/>
    </row>
    <row r="4463" spans="1:16" ht="15" customHeight="1" x14ac:dyDescent="0.25">
      <c r="A4463" t="s">
        <v>153</v>
      </c>
      <c r="L4463"/>
      <c r="M4463"/>
      <c r="N4463"/>
      <c r="O4463"/>
      <c r="P4463"/>
    </row>
    <row r="4464" spans="1:16" ht="15" customHeight="1" x14ac:dyDescent="0.25">
      <c r="A4464" t="s">
        <v>153</v>
      </c>
      <c r="L4464"/>
      <c r="M4464"/>
      <c r="N4464"/>
      <c r="O4464"/>
      <c r="P4464"/>
    </row>
    <row r="4465" spans="1:16" ht="15" customHeight="1" x14ac:dyDescent="0.25">
      <c r="A4465" t="s">
        <v>153</v>
      </c>
      <c r="L4465"/>
      <c r="M4465"/>
      <c r="N4465"/>
      <c r="O4465"/>
      <c r="P4465"/>
    </row>
    <row r="4466" spans="1:16" ht="15" customHeight="1" x14ac:dyDescent="0.25">
      <c r="A4466" t="s">
        <v>153</v>
      </c>
      <c r="L4466"/>
      <c r="M4466"/>
      <c r="N4466"/>
      <c r="O4466"/>
      <c r="P4466"/>
    </row>
    <row r="4467" spans="1:16" ht="15" customHeight="1" x14ac:dyDescent="0.25">
      <c r="A4467" t="s">
        <v>153</v>
      </c>
      <c r="L4467"/>
      <c r="M4467"/>
      <c r="N4467"/>
      <c r="O4467"/>
      <c r="P4467"/>
    </row>
    <row r="4468" spans="1:16" ht="15" customHeight="1" x14ac:dyDescent="0.25">
      <c r="A4468" t="s">
        <v>153</v>
      </c>
      <c r="L4468"/>
      <c r="M4468"/>
      <c r="N4468"/>
      <c r="O4468"/>
      <c r="P4468"/>
    </row>
    <row r="4469" spans="1:16" ht="15" customHeight="1" x14ac:dyDescent="0.25">
      <c r="A4469" t="s">
        <v>153</v>
      </c>
      <c r="L4469"/>
      <c r="M4469"/>
      <c r="N4469"/>
      <c r="O4469"/>
      <c r="P4469"/>
    </row>
    <row r="4470" spans="1:16" ht="15" customHeight="1" x14ac:dyDescent="0.25">
      <c r="A4470" t="s">
        <v>153</v>
      </c>
      <c r="L4470"/>
      <c r="M4470"/>
      <c r="N4470"/>
      <c r="O4470"/>
      <c r="P4470"/>
    </row>
    <row r="4471" spans="1:16" ht="15" customHeight="1" x14ac:dyDescent="0.25">
      <c r="A4471" t="s">
        <v>153</v>
      </c>
      <c r="L4471"/>
      <c r="M4471"/>
      <c r="N4471"/>
      <c r="O4471"/>
      <c r="P4471"/>
    </row>
    <row r="4472" spans="1:16" ht="15" customHeight="1" x14ac:dyDescent="0.25">
      <c r="A4472" t="s">
        <v>153</v>
      </c>
      <c r="L4472"/>
      <c r="M4472"/>
      <c r="N4472"/>
      <c r="O4472"/>
      <c r="P4472"/>
    </row>
    <row r="4473" spans="1:16" ht="15" customHeight="1" x14ac:dyDescent="0.25">
      <c r="A4473" t="s">
        <v>153</v>
      </c>
      <c r="L4473"/>
      <c r="M4473"/>
      <c r="N4473"/>
      <c r="O4473"/>
      <c r="P4473"/>
    </row>
    <row r="4474" spans="1:16" ht="15" customHeight="1" x14ac:dyDescent="0.25">
      <c r="A4474" t="s">
        <v>153</v>
      </c>
      <c r="L4474"/>
      <c r="M4474"/>
      <c r="N4474"/>
      <c r="O4474"/>
      <c r="P4474"/>
    </row>
    <row r="4475" spans="1:16" ht="15" customHeight="1" x14ac:dyDescent="0.25">
      <c r="A4475" t="s">
        <v>153</v>
      </c>
      <c r="L4475"/>
      <c r="M4475"/>
      <c r="N4475"/>
      <c r="O4475"/>
      <c r="P4475"/>
    </row>
    <row r="4476" spans="1:16" ht="15" customHeight="1" x14ac:dyDescent="0.25">
      <c r="A4476" t="s">
        <v>153</v>
      </c>
      <c r="L4476"/>
      <c r="M4476"/>
      <c r="N4476"/>
      <c r="O4476"/>
      <c r="P4476"/>
    </row>
    <row r="4477" spans="1:16" ht="15" customHeight="1" x14ac:dyDescent="0.25">
      <c r="A4477" t="s">
        <v>153</v>
      </c>
      <c r="L4477"/>
      <c r="M4477"/>
      <c r="N4477"/>
      <c r="O4477"/>
      <c r="P4477"/>
    </row>
    <row r="4478" spans="1:16" ht="15" customHeight="1" x14ac:dyDescent="0.25">
      <c r="A4478" t="s">
        <v>153</v>
      </c>
      <c r="L4478"/>
      <c r="M4478"/>
      <c r="N4478"/>
      <c r="O4478"/>
      <c r="P4478"/>
    </row>
    <row r="4479" spans="1:16" ht="15" customHeight="1" x14ac:dyDescent="0.25">
      <c r="A4479" t="s">
        <v>153</v>
      </c>
      <c r="L4479"/>
      <c r="M4479"/>
      <c r="N4479"/>
      <c r="O4479"/>
      <c r="P4479"/>
    </row>
    <row r="4480" spans="1:16" ht="15" customHeight="1" x14ac:dyDescent="0.25">
      <c r="A4480" t="s">
        <v>153</v>
      </c>
      <c r="L4480"/>
      <c r="M4480"/>
      <c r="N4480"/>
      <c r="O4480"/>
      <c r="P4480"/>
    </row>
    <row r="4481" spans="1:16" ht="15" customHeight="1" x14ac:dyDescent="0.25">
      <c r="A4481" t="s">
        <v>153</v>
      </c>
      <c r="L4481"/>
      <c r="M4481"/>
      <c r="N4481"/>
      <c r="O4481"/>
      <c r="P4481"/>
    </row>
    <row r="4482" spans="1:16" ht="15" customHeight="1" x14ac:dyDescent="0.25">
      <c r="A4482" t="s">
        <v>153</v>
      </c>
      <c r="L4482"/>
      <c r="M4482"/>
      <c r="N4482"/>
      <c r="O4482"/>
      <c r="P4482"/>
    </row>
    <row r="4483" spans="1:16" ht="15" customHeight="1" x14ac:dyDescent="0.25">
      <c r="A4483" t="s">
        <v>153</v>
      </c>
      <c r="L4483"/>
      <c r="M4483"/>
      <c r="N4483"/>
      <c r="O4483"/>
      <c r="P4483"/>
    </row>
    <row r="4484" spans="1:16" ht="15" customHeight="1" x14ac:dyDescent="0.25">
      <c r="A4484" t="s">
        <v>153</v>
      </c>
      <c r="L4484"/>
      <c r="M4484"/>
      <c r="N4484"/>
      <c r="O4484"/>
      <c r="P4484"/>
    </row>
    <row r="4485" spans="1:16" ht="15" customHeight="1" x14ac:dyDescent="0.25">
      <c r="A4485" t="s">
        <v>153</v>
      </c>
      <c r="L4485"/>
      <c r="M4485"/>
      <c r="N4485"/>
      <c r="O4485"/>
      <c r="P4485"/>
    </row>
    <row r="4486" spans="1:16" ht="15" customHeight="1" x14ac:dyDescent="0.25">
      <c r="A4486" t="s">
        <v>153</v>
      </c>
      <c r="L4486"/>
      <c r="M4486"/>
      <c r="N4486"/>
      <c r="O4486"/>
      <c r="P4486"/>
    </row>
    <row r="4487" spans="1:16" ht="15" customHeight="1" x14ac:dyDescent="0.25">
      <c r="A4487" t="s">
        <v>153</v>
      </c>
      <c r="L4487"/>
      <c r="M4487"/>
      <c r="N4487"/>
      <c r="O4487"/>
      <c r="P4487"/>
    </row>
    <row r="4488" spans="1:16" ht="15" customHeight="1" x14ac:dyDescent="0.25">
      <c r="A4488" t="s">
        <v>153</v>
      </c>
      <c r="L4488"/>
      <c r="M4488"/>
      <c r="N4488"/>
      <c r="O4488"/>
      <c r="P4488"/>
    </row>
    <row r="4489" spans="1:16" ht="15" customHeight="1" x14ac:dyDescent="0.25">
      <c r="A4489" t="s">
        <v>153</v>
      </c>
      <c r="L4489"/>
      <c r="M4489"/>
      <c r="N4489"/>
      <c r="O4489"/>
      <c r="P4489"/>
    </row>
    <row r="4490" spans="1:16" ht="15" customHeight="1" x14ac:dyDescent="0.25">
      <c r="A4490" t="s">
        <v>153</v>
      </c>
      <c r="L4490"/>
      <c r="M4490"/>
      <c r="N4490"/>
      <c r="O4490"/>
      <c r="P4490"/>
    </row>
    <row r="4491" spans="1:16" ht="15" customHeight="1" x14ac:dyDescent="0.25">
      <c r="A4491" t="s">
        <v>153</v>
      </c>
      <c r="L4491"/>
      <c r="M4491"/>
      <c r="N4491"/>
      <c r="O4491"/>
      <c r="P4491"/>
    </row>
    <row r="4492" spans="1:16" ht="15" customHeight="1" x14ac:dyDescent="0.25">
      <c r="A4492" t="s">
        <v>153</v>
      </c>
      <c r="L4492"/>
      <c r="M4492"/>
      <c r="N4492"/>
      <c r="O4492"/>
      <c r="P4492"/>
    </row>
    <row r="4493" spans="1:16" ht="15" customHeight="1" x14ac:dyDescent="0.25">
      <c r="A4493" t="s">
        <v>153</v>
      </c>
      <c r="L4493"/>
      <c r="M4493"/>
      <c r="N4493"/>
      <c r="O4493"/>
      <c r="P4493"/>
    </row>
    <row r="4494" spans="1:16" ht="15" customHeight="1" x14ac:dyDescent="0.25">
      <c r="A4494" t="s">
        <v>153</v>
      </c>
      <c r="L4494"/>
      <c r="M4494"/>
      <c r="N4494"/>
      <c r="O4494"/>
      <c r="P4494"/>
    </row>
    <row r="4495" spans="1:16" ht="15" customHeight="1" x14ac:dyDescent="0.25">
      <c r="A4495" t="s">
        <v>153</v>
      </c>
      <c r="L4495"/>
      <c r="M4495"/>
      <c r="N4495"/>
      <c r="O4495"/>
      <c r="P4495"/>
    </row>
    <row r="4496" spans="1:16" ht="15" customHeight="1" x14ac:dyDescent="0.25">
      <c r="A4496" t="s">
        <v>153</v>
      </c>
      <c r="L4496"/>
      <c r="M4496"/>
      <c r="N4496"/>
      <c r="O4496"/>
      <c r="P4496"/>
    </row>
    <row r="4497" spans="1:16" ht="15" customHeight="1" x14ac:dyDescent="0.25">
      <c r="A4497" t="s">
        <v>153</v>
      </c>
      <c r="L4497"/>
      <c r="M4497"/>
      <c r="N4497"/>
      <c r="O4497"/>
      <c r="P4497"/>
    </row>
    <row r="4498" spans="1:16" ht="15" customHeight="1" x14ac:dyDescent="0.25">
      <c r="A4498" t="s">
        <v>153</v>
      </c>
      <c r="L4498"/>
      <c r="M4498"/>
      <c r="N4498"/>
      <c r="O4498"/>
      <c r="P4498"/>
    </row>
    <row r="4499" spans="1:16" ht="15" customHeight="1" x14ac:dyDescent="0.25">
      <c r="A4499" t="s">
        <v>153</v>
      </c>
      <c r="L4499"/>
      <c r="M4499"/>
      <c r="N4499"/>
      <c r="O4499"/>
      <c r="P4499"/>
    </row>
    <row r="4500" spans="1:16" ht="15" customHeight="1" x14ac:dyDescent="0.25">
      <c r="A4500" t="s">
        <v>153</v>
      </c>
      <c r="L4500"/>
      <c r="M4500"/>
      <c r="N4500"/>
      <c r="O4500"/>
      <c r="P4500"/>
    </row>
    <row r="4501" spans="1:16" ht="15" customHeight="1" x14ac:dyDescent="0.25">
      <c r="A4501" t="s">
        <v>153</v>
      </c>
      <c r="L4501"/>
      <c r="M4501"/>
      <c r="N4501"/>
      <c r="O4501"/>
      <c r="P4501"/>
    </row>
    <row r="4502" spans="1:16" ht="15" customHeight="1" x14ac:dyDescent="0.25">
      <c r="A4502" t="s">
        <v>153</v>
      </c>
      <c r="L4502"/>
      <c r="M4502"/>
      <c r="N4502"/>
      <c r="O4502"/>
      <c r="P4502"/>
    </row>
    <row r="4503" spans="1:16" ht="15" customHeight="1" x14ac:dyDescent="0.25">
      <c r="A4503" t="s">
        <v>153</v>
      </c>
      <c r="L4503"/>
      <c r="M4503"/>
      <c r="N4503"/>
      <c r="O4503"/>
      <c r="P4503"/>
    </row>
    <row r="4504" spans="1:16" ht="15" customHeight="1" x14ac:dyDescent="0.25">
      <c r="A4504" t="s">
        <v>153</v>
      </c>
      <c r="L4504"/>
      <c r="M4504"/>
      <c r="N4504"/>
      <c r="O4504"/>
      <c r="P4504"/>
    </row>
    <row r="4505" spans="1:16" ht="15" customHeight="1" x14ac:dyDescent="0.25">
      <c r="A4505" t="s">
        <v>153</v>
      </c>
      <c r="L4505"/>
      <c r="M4505"/>
      <c r="N4505"/>
      <c r="O4505"/>
      <c r="P4505"/>
    </row>
    <row r="4506" spans="1:16" ht="15" customHeight="1" x14ac:dyDescent="0.25">
      <c r="A4506" t="s">
        <v>153</v>
      </c>
      <c r="L4506"/>
      <c r="M4506"/>
      <c r="N4506"/>
      <c r="O4506"/>
      <c r="P4506"/>
    </row>
    <row r="4507" spans="1:16" ht="15" customHeight="1" x14ac:dyDescent="0.25">
      <c r="A4507" t="s">
        <v>153</v>
      </c>
      <c r="L4507"/>
      <c r="M4507"/>
      <c r="N4507"/>
      <c r="O4507"/>
      <c r="P4507"/>
    </row>
    <row r="4508" spans="1:16" ht="15" customHeight="1" x14ac:dyDescent="0.25">
      <c r="A4508" t="s">
        <v>153</v>
      </c>
      <c r="L4508"/>
      <c r="M4508"/>
      <c r="N4508"/>
      <c r="O4508"/>
      <c r="P4508"/>
    </row>
    <row r="4509" spans="1:16" ht="15" customHeight="1" x14ac:dyDescent="0.25">
      <c r="A4509" t="s">
        <v>153</v>
      </c>
      <c r="L4509"/>
      <c r="M4509"/>
      <c r="N4509"/>
      <c r="O4509"/>
      <c r="P4509"/>
    </row>
    <row r="4510" spans="1:16" ht="15" customHeight="1" x14ac:dyDescent="0.25">
      <c r="A4510" t="s">
        <v>153</v>
      </c>
      <c r="L4510"/>
      <c r="M4510"/>
      <c r="N4510"/>
      <c r="O4510"/>
      <c r="P4510"/>
    </row>
    <row r="4511" spans="1:16" ht="15" customHeight="1" x14ac:dyDescent="0.25">
      <c r="A4511" t="s">
        <v>153</v>
      </c>
      <c r="L4511"/>
      <c r="M4511"/>
      <c r="N4511"/>
      <c r="O4511"/>
      <c r="P4511"/>
    </row>
    <row r="4512" spans="1:16" ht="15" customHeight="1" x14ac:dyDescent="0.25">
      <c r="A4512" t="s">
        <v>153</v>
      </c>
      <c r="L4512"/>
      <c r="M4512"/>
      <c r="N4512"/>
      <c r="O4512"/>
      <c r="P4512"/>
    </row>
    <row r="4513" spans="1:16" ht="15" customHeight="1" x14ac:dyDescent="0.25">
      <c r="A4513" t="s">
        <v>153</v>
      </c>
      <c r="L4513"/>
      <c r="M4513"/>
      <c r="N4513"/>
      <c r="O4513"/>
      <c r="P4513"/>
    </row>
    <row r="4514" spans="1:16" ht="15" customHeight="1" x14ac:dyDescent="0.25">
      <c r="A4514" t="s">
        <v>153</v>
      </c>
      <c r="L4514"/>
      <c r="M4514"/>
      <c r="N4514"/>
      <c r="O4514"/>
      <c r="P4514"/>
    </row>
    <row r="4515" spans="1:16" ht="15" customHeight="1" x14ac:dyDescent="0.25">
      <c r="A4515" t="s">
        <v>153</v>
      </c>
      <c r="L4515"/>
      <c r="M4515"/>
      <c r="N4515"/>
      <c r="O4515"/>
      <c r="P4515"/>
    </row>
    <row r="4516" spans="1:16" ht="15" customHeight="1" x14ac:dyDescent="0.25">
      <c r="A4516" t="s">
        <v>153</v>
      </c>
      <c r="L4516"/>
      <c r="M4516"/>
      <c r="N4516"/>
      <c r="O4516"/>
      <c r="P4516"/>
    </row>
    <row r="4517" spans="1:16" ht="15" customHeight="1" x14ac:dyDescent="0.25">
      <c r="A4517" t="s">
        <v>153</v>
      </c>
      <c r="L4517"/>
      <c r="M4517"/>
      <c r="N4517"/>
      <c r="O4517"/>
      <c r="P4517"/>
    </row>
    <row r="4518" spans="1:16" ht="15" customHeight="1" x14ac:dyDescent="0.25">
      <c r="A4518" t="s">
        <v>153</v>
      </c>
      <c r="L4518"/>
      <c r="M4518"/>
      <c r="N4518"/>
      <c r="O4518"/>
      <c r="P4518"/>
    </row>
    <row r="4519" spans="1:16" ht="15" customHeight="1" x14ac:dyDescent="0.25">
      <c r="A4519" t="s">
        <v>153</v>
      </c>
      <c r="L4519"/>
      <c r="M4519"/>
      <c r="N4519"/>
      <c r="O4519"/>
      <c r="P4519"/>
    </row>
    <row r="4520" spans="1:16" ht="15" customHeight="1" x14ac:dyDescent="0.25">
      <c r="A4520" t="s">
        <v>153</v>
      </c>
      <c r="L4520"/>
      <c r="M4520"/>
      <c r="N4520"/>
      <c r="O4520"/>
      <c r="P4520"/>
    </row>
    <row r="4521" spans="1:16" ht="15" customHeight="1" x14ac:dyDescent="0.25">
      <c r="A4521" t="s">
        <v>153</v>
      </c>
      <c r="L4521"/>
      <c r="M4521"/>
      <c r="N4521"/>
      <c r="O4521"/>
      <c r="P4521"/>
    </row>
    <row r="4522" spans="1:16" ht="15" customHeight="1" x14ac:dyDescent="0.25">
      <c r="A4522" t="s">
        <v>153</v>
      </c>
      <c r="L4522"/>
      <c r="M4522"/>
      <c r="N4522"/>
      <c r="O4522"/>
      <c r="P4522"/>
    </row>
    <row r="4523" spans="1:16" ht="15" customHeight="1" x14ac:dyDescent="0.25">
      <c r="A4523" t="s">
        <v>153</v>
      </c>
      <c r="L4523"/>
      <c r="M4523"/>
      <c r="N4523"/>
      <c r="O4523"/>
      <c r="P4523"/>
    </row>
    <row r="4524" spans="1:16" ht="15" customHeight="1" x14ac:dyDescent="0.25">
      <c r="A4524" t="s">
        <v>153</v>
      </c>
      <c r="L4524"/>
      <c r="M4524"/>
      <c r="N4524"/>
      <c r="O4524"/>
      <c r="P4524"/>
    </row>
    <row r="4525" spans="1:16" ht="15" customHeight="1" x14ac:dyDescent="0.25">
      <c r="A4525" t="s">
        <v>153</v>
      </c>
      <c r="L4525"/>
      <c r="M4525"/>
      <c r="N4525"/>
      <c r="O4525"/>
      <c r="P4525"/>
    </row>
    <row r="4526" spans="1:16" ht="15" customHeight="1" x14ac:dyDescent="0.25">
      <c r="A4526" t="s">
        <v>153</v>
      </c>
      <c r="L4526"/>
      <c r="M4526"/>
      <c r="N4526"/>
      <c r="O4526"/>
      <c r="P4526"/>
    </row>
    <row r="4527" spans="1:16" ht="15" customHeight="1" x14ac:dyDescent="0.25">
      <c r="A4527" t="s">
        <v>153</v>
      </c>
      <c r="L4527"/>
      <c r="M4527"/>
      <c r="N4527"/>
      <c r="O4527"/>
      <c r="P4527"/>
    </row>
    <row r="4528" spans="1:16" x14ac:dyDescent="0.25">
      <c r="L4528"/>
      <c r="M4528"/>
      <c r="N4528"/>
      <c r="O4528"/>
      <c r="P4528"/>
    </row>
    <row r="4529" spans="12:16" x14ac:dyDescent="0.25">
      <c r="L4529"/>
      <c r="M4529"/>
      <c r="N4529"/>
      <c r="O4529"/>
      <c r="P4529"/>
    </row>
    <row r="4530" spans="12:16" x14ac:dyDescent="0.25">
      <c r="L4530"/>
      <c r="M4530"/>
      <c r="N4530"/>
      <c r="O4530"/>
      <c r="P4530"/>
    </row>
    <row r="4531" spans="12:16" x14ac:dyDescent="0.25">
      <c r="L4531"/>
      <c r="M4531"/>
      <c r="N4531"/>
      <c r="O4531"/>
      <c r="P4531"/>
    </row>
    <row r="4532" spans="12:16" x14ac:dyDescent="0.25">
      <c r="L4532"/>
      <c r="M4532"/>
      <c r="N4532"/>
      <c r="O4532"/>
      <c r="P4532"/>
    </row>
    <row r="4533" spans="12:16" x14ac:dyDescent="0.25">
      <c r="L4533"/>
      <c r="M4533"/>
      <c r="N4533"/>
      <c r="O4533"/>
      <c r="P4533"/>
    </row>
    <row r="4534" spans="12:16" x14ac:dyDescent="0.25">
      <c r="L4534"/>
      <c r="M4534"/>
      <c r="N4534"/>
      <c r="O4534"/>
      <c r="P4534"/>
    </row>
    <row r="4535" spans="12:16" x14ac:dyDescent="0.25">
      <c r="L4535"/>
      <c r="M4535"/>
      <c r="N4535"/>
      <c r="O4535"/>
      <c r="P4535"/>
    </row>
    <row r="4536" spans="12:16" x14ac:dyDescent="0.25">
      <c r="L4536"/>
      <c r="M4536"/>
      <c r="N4536"/>
      <c r="O4536"/>
      <c r="P4536"/>
    </row>
    <row r="4537" spans="12:16" x14ac:dyDescent="0.25">
      <c r="L4537"/>
      <c r="M4537"/>
      <c r="N4537"/>
      <c r="O4537"/>
      <c r="P4537"/>
    </row>
    <row r="4538" spans="12:16" x14ac:dyDescent="0.25">
      <c r="L4538"/>
      <c r="M4538"/>
      <c r="N4538"/>
      <c r="O4538"/>
      <c r="P4538"/>
    </row>
    <row r="4539" spans="12:16" x14ac:dyDescent="0.25">
      <c r="L4539"/>
      <c r="M4539"/>
      <c r="N4539"/>
      <c r="O4539"/>
      <c r="P4539"/>
    </row>
    <row r="4540" spans="12:16" x14ac:dyDescent="0.25">
      <c r="L4540"/>
      <c r="M4540"/>
      <c r="N4540"/>
      <c r="O4540"/>
      <c r="P4540"/>
    </row>
    <row r="4541" spans="12:16" x14ac:dyDescent="0.25">
      <c r="L4541"/>
      <c r="M4541"/>
      <c r="N4541"/>
      <c r="O4541"/>
      <c r="P4541"/>
    </row>
    <row r="4542" spans="12:16" x14ac:dyDescent="0.25">
      <c r="L4542"/>
      <c r="M4542"/>
      <c r="N4542"/>
      <c r="O4542"/>
      <c r="P4542"/>
    </row>
    <row r="4543" spans="12:16" x14ac:dyDescent="0.25">
      <c r="L4543"/>
      <c r="M4543"/>
      <c r="N4543"/>
      <c r="O4543"/>
      <c r="P4543"/>
    </row>
    <row r="4544" spans="12:16" x14ac:dyDescent="0.25">
      <c r="L4544"/>
      <c r="M4544"/>
      <c r="N4544"/>
      <c r="O4544"/>
      <c r="P4544"/>
    </row>
    <row r="4545" spans="12:25" x14ac:dyDescent="0.25">
      <c r="L4545"/>
      <c r="M4545"/>
      <c r="N4545"/>
      <c r="O4545"/>
      <c r="P4545"/>
      <c r="W4545" s="6"/>
    </row>
    <row r="4546" spans="12:25" x14ac:dyDescent="0.25">
      <c r="L4546"/>
      <c r="M4546"/>
      <c r="N4546"/>
      <c r="O4546"/>
      <c r="P4546"/>
      <c r="W4546" s="6"/>
    </row>
    <row r="4547" spans="12:25" x14ac:dyDescent="0.25">
      <c r="L4547"/>
      <c r="M4547"/>
      <c r="N4547"/>
      <c r="O4547"/>
      <c r="P4547"/>
      <c r="W4547" s="6"/>
    </row>
    <row r="4548" spans="12:25" x14ac:dyDescent="0.25">
      <c r="L4548"/>
      <c r="M4548"/>
      <c r="N4548"/>
      <c r="O4548"/>
      <c r="P4548"/>
      <c r="W4548" s="6"/>
    </row>
    <row r="4549" spans="12:25" x14ac:dyDescent="0.25">
      <c r="L4549"/>
      <c r="M4549"/>
      <c r="N4549"/>
      <c r="O4549"/>
      <c r="P4549"/>
      <c r="W4549" s="6"/>
    </row>
    <row r="4550" spans="12:25" x14ac:dyDescent="0.25">
      <c r="L4550"/>
      <c r="M4550"/>
      <c r="N4550"/>
      <c r="O4550"/>
      <c r="P4550"/>
      <c r="W4550" s="6"/>
    </row>
    <row r="4551" spans="12:25" x14ac:dyDescent="0.25">
      <c r="L4551"/>
      <c r="M4551"/>
      <c r="N4551"/>
      <c r="O4551"/>
      <c r="P4551"/>
      <c r="W4551" s="6"/>
    </row>
    <row r="4552" spans="12:25" x14ac:dyDescent="0.25">
      <c r="L4552"/>
      <c r="M4552"/>
      <c r="N4552"/>
      <c r="O4552"/>
      <c r="P4552"/>
      <c r="W4552" s="6"/>
    </row>
    <row r="4553" spans="12:25" x14ac:dyDescent="0.25">
      <c r="L4553"/>
      <c r="M4553"/>
      <c r="N4553"/>
      <c r="O4553"/>
      <c r="P4553"/>
      <c r="W4553" s="6"/>
    </row>
    <row r="4554" spans="12:25" x14ac:dyDescent="0.25">
      <c r="L4554"/>
      <c r="M4554"/>
      <c r="N4554"/>
      <c r="O4554"/>
      <c r="P4554"/>
      <c r="W4554" s="6"/>
    </row>
    <row r="4555" spans="12:25" x14ac:dyDescent="0.25">
      <c r="L4555"/>
      <c r="M4555"/>
      <c r="N4555"/>
      <c r="O4555"/>
      <c r="P4555"/>
      <c r="W4555" s="6"/>
      <c r="Y4555"/>
    </row>
    <row r="4556" spans="12:25" x14ac:dyDescent="0.25">
      <c r="L4556"/>
      <c r="M4556"/>
      <c r="N4556"/>
      <c r="O4556"/>
      <c r="P4556"/>
      <c r="W4556" s="6"/>
    </row>
    <row r="4557" spans="12:25" x14ac:dyDescent="0.25">
      <c r="L4557"/>
      <c r="M4557"/>
      <c r="N4557"/>
      <c r="O4557"/>
      <c r="P4557"/>
      <c r="W4557" s="6"/>
    </row>
    <row r="4558" spans="12:25" x14ac:dyDescent="0.25">
      <c r="L4558"/>
      <c r="M4558"/>
      <c r="N4558"/>
      <c r="O4558"/>
      <c r="P4558"/>
      <c r="W4558" s="6"/>
      <c r="Y4558"/>
    </row>
    <row r="4559" spans="12:25" x14ac:dyDescent="0.25">
      <c r="L4559"/>
      <c r="M4559"/>
      <c r="N4559"/>
      <c r="O4559"/>
      <c r="P4559"/>
      <c r="W4559" s="6"/>
    </row>
    <row r="4560" spans="12:25" x14ac:dyDescent="0.25">
      <c r="L4560"/>
      <c r="M4560"/>
      <c r="N4560"/>
      <c r="O4560"/>
      <c r="P4560"/>
      <c r="W4560" s="6"/>
    </row>
    <row r="4561" spans="12:25" x14ac:dyDescent="0.25">
      <c r="L4561"/>
      <c r="M4561"/>
      <c r="N4561"/>
      <c r="O4561"/>
      <c r="P4561"/>
      <c r="W4561" s="6"/>
    </row>
    <row r="4562" spans="12:25" x14ac:dyDescent="0.25">
      <c r="L4562"/>
      <c r="M4562"/>
      <c r="N4562"/>
      <c r="O4562"/>
      <c r="P4562"/>
      <c r="W4562" s="6"/>
    </row>
    <row r="4563" spans="12:25" x14ac:dyDescent="0.25">
      <c r="L4563"/>
      <c r="M4563"/>
      <c r="N4563"/>
      <c r="O4563"/>
      <c r="P4563"/>
      <c r="W4563" s="6"/>
    </row>
    <row r="4564" spans="12:25" x14ac:dyDescent="0.25">
      <c r="L4564"/>
      <c r="M4564"/>
      <c r="N4564"/>
      <c r="O4564"/>
      <c r="P4564"/>
      <c r="W4564" s="6"/>
    </row>
    <row r="4565" spans="12:25" x14ac:dyDescent="0.25">
      <c r="L4565"/>
      <c r="M4565"/>
      <c r="N4565"/>
      <c r="O4565"/>
      <c r="P4565"/>
      <c r="W4565" s="6"/>
    </row>
    <row r="4566" spans="12:25" x14ac:dyDescent="0.25">
      <c r="L4566"/>
      <c r="M4566"/>
      <c r="N4566"/>
      <c r="O4566"/>
      <c r="P4566"/>
      <c r="W4566" s="6"/>
    </row>
    <row r="4567" spans="12:25" x14ac:dyDescent="0.25">
      <c r="L4567"/>
      <c r="M4567"/>
      <c r="N4567"/>
      <c r="O4567"/>
      <c r="P4567"/>
      <c r="W4567" s="6"/>
    </row>
    <row r="4568" spans="12:25" x14ac:dyDescent="0.25">
      <c r="L4568"/>
      <c r="M4568"/>
      <c r="N4568"/>
      <c r="O4568"/>
      <c r="P4568"/>
      <c r="W4568" s="6"/>
    </row>
    <row r="4569" spans="12:25" x14ac:dyDescent="0.25">
      <c r="L4569"/>
      <c r="M4569"/>
      <c r="N4569"/>
      <c r="O4569"/>
      <c r="P4569"/>
      <c r="W4569" s="6"/>
    </row>
    <row r="4570" spans="12:25" x14ac:dyDescent="0.25">
      <c r="L4570"/>
      <c r="M4570"/>
      <c r="N4570"/>
      <c r="O4570"/>
      <c r="P4570"/>
      <c r="W4570" s="6"/>
    </row>
    <row r="4571" spans="12:25" x14ac:dyDescent="0.25">
      <c r="L4571"/>
      <c r="M4571"/>
      <c r="N4571"/>
      <c r="O4571"/>
      <c r="P4571"/>
      <c r="W4571" s="6"/>
      <c r="Y4571"/>
    </row>
    <row r="4572" spans="12:25" x14ac:dyDescent="0.25">
      <c r="L4572"/>
      <c r="M4572"/>
      <c r="N4572"/>
      <c r="O4572"/>
      <c r="P4572"/>
      <c r="W4572" s="6"/>
    </row>
    <row r="4573" spans="12:25" x14ac:dyDescent="0.25">
      <c r="L4573"/>
      <c r="M4573"/>
      <c r="N4573"/>
      <c r="O4573"/>
      <c r="P4573"/>
      <c r="W4573" s="6"/>
      <c r="Y4573"/>
    </row>
    <row r="4574" spans="12:25" x14ac:dyDescent="0.25">
      <c r="L4574"/>
      <c r="M4574"/>
      <c r="N4574"/>
      <c r="O4574"/>
      <c r="P4574"/>
      <c r="W4574" s="6"/>
    </row>
    <row r="4575" spans="12:25" x14ac:dyDescent="0.25">
      <c r="L4575"/>
      <c r="M4575"/>
      <c r="N4575"/>
      <c r="O4575"/>
      <c r="P4575"/>
      <c r="W4575" s="6"/>
    </row>
    <row r="4576" spans="12:25" x14ac:dyDescent="0.25">
      <c r="L4576"/>
      <c r="M4576"/>
      <c r="N4576"/>
      <c r="O4576"/>
      <c r="P4576"/>
      <c r="W4576" s="6"/>
    </row>
    <row r="4577" spans="12:25" x14ac:dyDescent="0.25">
      <c r="L4577"/>
      <c r="M4577"/>
      <c r="N4577"/>
      <c r="O4577"/>
      <c r="P4577"/>
      <c r="W4577" s="6"/>
      <c r="Y4577"/>
    </row>
    <row r="4578" spans="12:25" x14ac:dyDescent="0.25">
      <c r="L4578"/>
      <c r="M4578"/>
      <c r="N4578"/>
      <c r="O4578"/>
      <c r="P4578"/>
      <c r="W4578" s="6"/>
    </row>
    <row r="4579" spans="12:25" x14ac:dyDescent="0.25">
      <c r="L4579"/>
      <c r="M4579"/>
      <c r="N4579"/>
      <c r="O4579"/>
      <c r="P4579"/>
      <c r="W4579" s="6"/>
      <c r="Y4579"/>
    </row>
    <row r="4580" spans="12:25" x14ac:dyDescent="0.25">
      <c r="L4580"/>
      <c r="M4580"/>
      <c r="N4580"/>
      <c r="O4580"/>
      <c r="P4580"/>
      <c r="W4580" s="6"/>
    </row>
    <row r="4581" spans="12:25" x14ac:dyDescent="0.25">
      <c r="L4581"/>
      <c r="M4581"/>
      <c r="N4581"/>
      <c r="O4581"/>
      <c r="P4581"/>
      <c r="W4581" s="6"/>
    </row>
    <row r="4582" spans="12:25" x14ac:dyDescent="0.25">
      <c r="L4582"/>
      <c r="M4582"/>
      <c r="N4582"/>
      <c r="O4582"/>
      <c r="P4582"/>
      <c r="W4582" s="6"/>
    </row>
    <row r="4583" spans="12:25" x14ac:dyDescent="0.25">
      <c r="L4583"/>
      <c r="M4583"/>
      <c r="N4583"/>
      <c r="O4583"/>
      <c r="P4583"/>
      <c r="W4583" s="6"/>
      <c r="Y4583"/>
    </row>
    <row r="4584" spans="12:25" x14ac:dyDescent="0.25">
      <c r="L4584"/>
      <c r="M4584"/>
      <c r="N4584"/>
      <c r="O4584"/>
      <c r="P4584"/>
      <c r="W4584" s="6"/>
    </row>
    <row r="4585" spans="12:25" x14ac:dyDescent="0.25">
      <c r="L4585"/>
      <c r="M4585"/>
      <c r="N4585"/>
      <c r="O4585"/>
      <c r="P4585"/>
      <c r="W4585" s="6"/>
    </row>
    <row r="4586" spans="12:25" x14ac:dyDescent="0.25">
      <c r="L4586"/>
      <c r="M4586"/>
      <c r="N4586"/>
      <c r="O4586"/>
      <c r="P4586"/>
      <c r="W4586" s="6"/>
    </row>
    <row r="4587" spans="12:25" x14ac:dyDescent="0.25">
      <c r="L4587"/>
      <c r="M4587"/>
      <c r="N4587"/>
      <c r="O4587"/>
      <c r="P4587"/>
      <c r="W4587" s="6"/>
    </row>
    <row r="4588" spans="12:25" x14ac:dyDescent="0.25">
      <c r="W4588" s="6"/>
    </row>
  </sheetData>
  <sortState xmlns:xlrd2="http://schemas.microsoft.com/office/spreadsheetml/2017/richdata2" ref="T2:AA4588">
    <sortCondition ref="X2:X4588"/>
    <sortCondition ref="T2:T4588"/>
  </sortState>
  <pageMargins left="0.7" right="0.7" top="0.75" bottom="0.75" header="0.3" footer="0.3"/>
  <pageSetup paperSize="9" orientation="portrait" horizontalDpi="200" verticalDpi="200" r:id="rId1"/>
  <tableParts count="16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"/>
  <dimension ref="A1:QD215"/>
  <sheetViews>
    <sheetView showGridLines="0" zoomScaleNormal="100" workbookViewId="0">
      <pane ySplit="11" topLeftCell="A12" activePane="bottomLeft" state="frozen"/>
      <selection pane="bottomLeft" activeCell="B12" sqref="B12:QD37"/>
    </sheetView>
  </sheetViews>
  <sheetFormatPr defaultRowHeight="15" x14ac:dyDescent="0.25"/>
  <cols>
    <col min="1" max="1" width="1" customWidth="1"/>
    <col min="2" max="2" width="12.42578125" customWidth="1"/>
    <col min="6" max="446" width="4.7109375" customWidth="1"/>
    <col min="447" max="449" width="3.85546875" customWidth="1"/>
  </cols>
  <sheetData>
    <row r="1" spans="1:446" ht="15" customHeight="1" x14ac:dyDescent="0.25">
      <c r="A1" s="660">
        <v>1</v>
      </c>
      <c r="B1" s="1132" t="s">
        <v>15</v>
      </c>
      <c r="C1" s="1133" t="s">
        <v>17</v>
      </c>
      <c r="D1" s="1132" t="s">
        <v>92</v>
      </c>
      <c r="E1" s="1132" t="s">
        <v>20</v>
      </c>
      <c r="F1" s="1129" t="s">
        <v>93</v>
      </c>
      <c r="G1" s="1130"/>
      <c r="H1" s="1130"/>
      <c r="I1" s="1130"/>
      <c r="J1" s="1130"/>
      <c r="K1" s="1130"/>
      <c r="L1" s="1130"/>
      <c r="M1" s="1130"/>
      <c r="N1" s="1130"/>
      <c r="O1" s="1130"/>
      <c r="P1" s="1130"/>
      <c r="Q1" s="1130"/>
      <c r="R1" s="1130"/>
      <c r="S1" s="1130"/>
      <c r="T1" s="1130"/>
      <c r="U1" s="1130"/>
      <c r="V1" s="1130"/>
      <c r="W1" s="1130"/>
      <c r="X1" s="1130"/>
      <c r="Y1" s="1130"/>
      <c r="Z1" s="1130"/>
      <c r="AA1" s="1130"/>
      <c r="AB1" s="1130"/>
      <c r="AC1" s="1130"/>
      <c r="AD1" s="1130"/>
      <c r="AE1" s="1130"/>
      <c r="AF1" s="1130"/>
      <c r="AG1" s="1130"/>
      <c r="AH1" s="1130"/>
      <c r="AI1" s="1130"/>
      <c r="AJ1" s="1130"/>
      <c r="AK1" s="1130"/>
      <c r="AL1" s="1130"/>
      <c r="AM1" s="1130"/>
      <c r="AN1" s="1130"/>
      <c r="AO1" s="1130"/>
      <c r="AP1" s="1130"/>
      <c r="AQ1" s="1130"/>
      <c r="AR1" s="1130"/>
      <c r="AS1" s="1130"/>
      <c r="AT1" s="1130"/>
      <c r="AU1" s="1130"/>
      <c r="AV1" s="1130"/>
      <c r="AW1" s="1130"/>
      <c r="AX1" s="1131"/>
      <c r="AY1" s="1129" t="s">
        <v>93</v>
      </c>
      <c r="AZ1" s="1130"/>
      <c r="BA1" s="1130"/>
      <c r="BB1" s="1130"/>
      <c r="BC1" s="1130"/>
      <c r="BD1" s="1130"/>
      <c r="BE1" s="1130"/>
      <c r="BF1" s="1130"/>
      <c r="BG1" s="1130"/>
      <c r="BH1" s="1130"/>
      <c r="BI1" s="1130"/>
      <c r="BJ1" s="1130"/>
      <c r="BK1" s="1130"/>
      <c r="BL1" s="1130"/>
      <c r="BM1" s="1130"/>
      <c r="BN1" s="1130"/>
      <c r="BO1" s="1130"/>
      <c r="BP1" s="1130"/>
      <c r="BQ1" s="1130"/>
      <c r="BR1" s="1130"/>
      <c r="BS1" s="1130"/>
      <c r="BT1" s="1130"/>
      <c r="BU1" s="1130"/>
      <c r="BV1" s="1130"/>
      <c r="BW1" s="1130"/>
      <c r="BX1" s="1130"/>
      <c r="BY1" s="1130"/>
      <c r="BZ1" s="1130"/>
      <c r="CA1" s="1130"/>
      <c r="CB1" s="1130"/>
      <c r="CC1" s="1130"/>
      <c r="CD1" s="1130"/>
      <c r="CE1" s="1130"/>
      <c r="CF1" s="1130"/>
      <c r="CG1" s="1130"/>
      <c r="CH1" s="1130"/>
      <c r="CI1" s="1130"/>
      <c r="CJ1" s="1130"/>
      <c r="CK1" s="1130"/>
      <c r="CL1" s="1130"/>
      <c r="CM1" s="1130"/>
      <c r="CN1" s="1130"/>
      <c r="CO1" s="1130"/>
      <c r="CP1" s="1130"/>
      <c r="CQ1" s="1131"/>
    </row>
    <row r="2" spans="1:446" ht="21" customHeight="1" x14ac:dyDescent="0.25">
      <c r="A2" s="660">
        <v>1</v>
      </c>
      <c r="B2" s="1132"/>
      <c r="C2" s="1134"/>
      <c r="D2" s="1132"/>
      <c r="E2" s="1132"/>
      <c r="F2" s="1129" t="s">
        <v>25</v>
      </c>
      <c r="G2" s="1130"/>
      <c r="H2" s="1131"/>
      <c r="I2" s="1129" t="s">
        <v>38</v>
      </c>
      <c r="J2" s="1130"/>
      <c r="K2" s="1131"/>
      <c r="L2" s="1129" t="s">
        <v>39</v>
      </c>
      <c r="M2" s="1130"/>
      <c r="N2" s="1131"/>
      <c r="O2" s="1129" t="s">
        <v>26</v>
      </c>
      <c r="P2" s="1130"/>
      <c r="Q2" s="1131"/>
      <c r="R2" s="1129" t="s">
        <v>1247</v>
      </c>
      <c r="S2" s="1130"/>
      <c r="T2" s="1131"/>
      <c r="U2" s="1129" t="s">
        <v>31</v>
      </c>
      <c r="V2" s="1130"/>
      <c r="W2" s="1131"/>
      <c r="X2" s="1129" t="s">
        <v>33</v>
      </c>
      <c r="Y2" s="1130"/>
      <c r="Z2" s="1131"/>
      <c r="AA2" s="1129" t="str">
        <f>инфо!$D9</f>
        <v>Рис</v>
      </c>
      <c r="AB2" s="1130"/>
      <c r="AC2" s="1131"/>
      <c r="AD2" s="1129" t="str">
        <f>инфо!$D10</f>
        <v>Фасоль</v>
      </c>
      <c r="AE2" s="1130"/>
      <c r="AF2" s="1131"/>
      <c r="AG2" s="1128" t="str">
        <f>инфо!$D11</f>
        <v>Ячневая</v>
      </c>
      <c r="AH2" s="1128"/>
      <c r="AI2" s="1128"/>
      <c r="AJ2" s="1128" t="str">
        <f>инфо!$D12</f>
        <v>Крупа 1</v>
      </c>
      <c r="AK2" s="1128"/>
      <c r="AL2" s="1128"/>
      <c r="AM2" s="1128" t="str">
        <f>инфо!$D13</f>
        <v>Крупа 2</v>
      </c>
      <c r="AN2" s="1128"/>
      <c r="AO2" s="1128"/>
      <c r="AP2" s="1128" t="str">
        <f>инфо!$D14</f>
        <v>Макаронные изделия</v>
      </c>
      <c r="AQ2" s="1128"/>
      <c r="AR2" s="1128"/>
      <c r="AS2" s="1128" t="str">
        <f>инфо!$D15</f>
        <v>Мука в/с</v>
      </c>
      <c r="AT2" s="1128"/>
      <c r="AU2" s="1128"/>
      <c r="AV2" s="1128" t="str">
        <f>инфо!$D16</f>
        <v>Мука пшеничная 1 с</v>
      </c>
      <c r="AW2" s="1128"/>
      <c r="AX2" s="1128"/>
      <c r="AY2" s="1128" t="str">
        <f>инфо!$D17</f>
        <v>Сухари</v>
      </c>
      <c r="AZ2" s="1128"/>
      <c r="BA2" s="1128"/>
      <c r="BB2" s="1128" t="str">
        <f>инфо!$D18</f>
        <v>Хлеб дарницкий</v>
      </c>
      <c r="BC2" s="1128"/>
      <c r="BD2" s="1128"/>
      <c r="BE2" s="1128" t="str">
        <f>инфо!$D19</f>
        <v>Хлеб из муки пш. 1 сорта</v>
      </c>
      <c r="BF2" s="1128"/>
      <c r="BG2" s="1128"/>
      <c r="BH2" s="1128" t="str">
        <f>инфо!$D20</f>
        <v>Мучное 1</v>
      </c>
      <c r="BI2" s="1128"/>
      <c r="BJ2" s="1128"/>
      <c r="BK2" s="1128" t="str">
        <f>инфо!$D21</f>
        <v>Мучное 2</v>
      </c>
      <c r="BL2" s="1128"/>
      <c r="BM2" s="1128"/>
      <c r="BN2" s="1128" t="str">
        <f>инфо!$D22</f>
        <v>Картофель</v>
      </c>
      <c r="BO2" s="1128"/>
      <c r="BP2" s="1128"/>
      <c r="BQ2" s="1128" t="str">
        <f>инфо!$D23</f>
        <v>Капуста свежая</v>
      </c>
      <c r="BR2" s="1128"/>
      <c r="BS2" s="1128"/>
      <c r="BT2" s="1128" t="str">
        <f>инфо!$D24</f>
        <v>Морковь</v>
      </c>
      <c r="BU2" s="1128"/>
      <c r="BV2" s="1128"/>
      <c r="BW2" s="1128" t="str">
        <f>инфо!$D25</f>
        <v>Лук репчатый</v>
      </c>
      <c r="BX2" s="1128"/>
      <c r="BY2" s="1128"/>
      <c r="BZ2" s="1128" t="str">
        <f>инфо!$D26</f>
        <v>Огурцы свежие</v>
      </c>
      <c r="CA2" s="1128"/>
      <c r="CB2" s="1128"/>
      <c r="CC2" s="1128" t="str">
        <f>инфо!$D27</f>
        <v>Помидоры свежие</v>
      </c>
      <c r="CD2" s="1128"/>
      <c r="CE2" s="1128"/>
      <c r="CF2" s="1128" t="str">
        <f>инфо!$D28</f>
        <v>Свекла</v>
      </c>
      <c r="CG2" s="1128"/>
      <c r="CH2" s="1128"/>
      <c r="CI2" s="1128" t="str">
        <f>инфо!$D29</f>
        <v>Редис</v>
      </c>
      <c r="CJ2" s="1128"/>
      <c r="CK2" s="1128"/>
      <c r="CL2" s="1128" t="str">
        <f>инфо!$D30</f>
        <v>Перец сладкий</v>
      </c>
      <c r="CM2" s="1128"/>
      <c r="CN2" s="1128"/>
      <c r="CO2" s="1128" t="str">
        <f>инфо!$D31</f>
        <v>Баклажан</v>
      </c>
      <c r="CP2" s="1128"/>
      <c r="CQ2" s="1128"/>
      <c r="CR2" s="1128" t="str">
        <f>инфо!$D32</f>
        <v>Кабачки</v>
      </c>
      <c r="CS2" s="1128"/>
      <c r="CT2" s="1128"/>
      <c r="CU2" s="1128" t="str">
        <f>инфо!$D33</f>
        <v>Зелень</v>
      </c>
      <c r="CV2" s="1128"/>
      <c r="CW2" s="1128"/>
      <c r="CX2" s="1128" t="str">
        <f>инфо!$D34</f>
        <v>Лук зеленый</v>
      </c>
      <c r="CY2" s="1128"/>
      <c r="CZ2" s="1128"/>
      <c r="DA2" s="1128" t="str">
        <f>инфо!$D35</f>
        <v>Укроп</v>
      </c>
      <c r="DB2" s="1128"/>
      <c r="DC2" s="1128"/>
      <c r="DD2" s="1128" t="str">
        <f>инфо!$D36</f>
        <v>Чеснок</v>
      </c>
      <c r="DE2" s="1128"/>
      <c r="DF2" s="1128"/>
      <c r="DG2" s="1128" t="str">
        <f>инфо!$D37</f>
        <v>Горошек консерв.</v>
      </c>
      <c r="DH2" s="1128"/>
      <c r="DI2" s="1128"/>
      <c r="DJ2" s="1128" t="str">
        <f>инфо!$D38</f>
        <v>Кукуруза консерв.</v>
      </c>
      <c r="DK2" s="1128"/>
      <c r="DL2" s="1128"/>
      <c r="DM2" s="1128" t="str">
        <f>инфо!$D39</f>
        <v>Фасоль консерв.</v>
      </c>
      <c r="DN2" s="1128"/>
      <c r="DO2" s="1128"/>
      <c r="DP2" s="1128" t="str">
        <f>инфо!$D40</f>
        <v>Огурцы консерв.</v>
      </c>
      <c r="DQ2" s="1128"/>
      <c r="DR2" s="1128"/>
      <c r="DS2" s="1128" t="str">
        <f>инфо!$D41</f>
        <v>Капуста консерв.</v>
      </c>
      <c r="DT2" s="1128"/>
      <c r="DU2" s="1128"/>
      <c r="DV2" s="1128" t="str">
        <f>инфо!$D42</f>
        <v>Помидоры консерв.</v>
      </c>
      <c r="DW2" s="1128"/>
      <c r="DX2" s="1128"/>
      <c r="DY2" s="1128" t="str">
        <f>инфо!$D43</f>
        <v>Морковь консерв.</v>
      </c>
      <c r="DZ2" s="1128"/>
      <c r="EA2" s="1128"/>
      <c r="EB2" s="1128" t="str">
        <f>инфо!$D44</f>
        <v>Свекла консерв.</v>
      </c>
      <c r="EC2" s="1128"/>
      <c r="ED2" s="1128"/>
      <c r="EE2" s="1128" t="str">
        <f>инфо!$D45</f>
        <v>Кабачки консерв.</v>
      </c>
      <c r="EF2" s="1128"/>
      <c r="EG2" s="1128"/>
      <c r="EH2" s="1128" t="str">
        <f>инфо!$D46</f>
        <v>Консервы овощ. закусочные, лечо</v>
      </c>
      <c r="EI2" s="1128"/>
      <c r="EJ2" s="1128"/>
      <c r="EK2" s="1128" t="str">
        <f>инфо!$D47</f>
        <v>Овощи 1</v>
      </c>
      <c r="EL2" s="1128"/>
      <c r="EM2" s="1128"/>
      <c r="EN2" s="1128" t="str">
        <f>инфо!$D48</f>
        <v>Овощи 2</v>
      </c>
      <c r="EO2" s="1128"/>
      <c r="EP2" s="1128"/>
      <c r="EQ2" s="1128" t="str">
        <f>инфо!$D49</f>
        <v>Молоко коровье</v>
      </c>
      <c r="ER2" s="1128"/>
      <c r="ES2" s="1128"/>
      <c r="ET2" s="1128" t="str">
        <f>инфо!$D50</f>
        <v>Кефир</v>
      </c>
      <c r="EU2" s="1128"/>
      <c r="EV2" s="1128"/>
      <c r="EW2" s="1128" t="str">
        <f>инфо!$D51</f>
        <v>Творог</v>
      </c>
      <c r="EX2" s="1128"/>
      <c r="EY2" s="1128"/>
      <c r="EZ2" s="1128" t="str">
        <f>инфо!$D52</f>
        <v>Сыр плавленный</v>
      </c>
      <c r="FA2" s="1128"/>
      <c r="FB2" s="1128"/>
      <c r="FC2" s="1128" t="str">
        <f>инфо!$D53</f>
        <v>Молоко сгущ.</v>
      </c>
      <c r="FD2" s="1128"/>
      <c r="FE2" s="1128"/>
      <c r="FF2" s="1128" t="str">
        <f>инфо!$D54</f>
        <v>Сметана</v>
      </c>
      <c r="FG2" s="1128"/>
      <c r="FH2" s="1128"/>
      <c r="FI2" s="1128" t="str">
        <f>инфо!$D55</f>
        <v>Сыр</v>
      </c>
      <c r="FJ2" s="1128"/>
      <c r="FK2" s="1128"/>
      <c r="FL2" s="1128" t="str">
        <f>инфо!$D56</f>
        <v>Молочное 1</v>
      </c>
      <c r="FM2" s="1128"/>
      <c r="FN2" s="1128"/>
      <c r="FO2" s="1128" t="str">
        <f>инфо!$D57</f>
        <v>Молочное 2</v>
      </c>
      <c r="FP2" s="1128"/>
      <c r="FQ2" s="1128"/>
      <c r="FR2" s="1128" t="str">
        <f>инфо!$D58</f>
        <v>Масло коровье</v>
      </c>
      <c r="FS2" s="1128"/>
      <c r="FT2" s="1128"/>
      <c r="FU2" s="1128" t="str">
        <f>инфо!$D59</f>
        <v>Масло растительное</v>
      </c>
      <c r="FV2" s="1128"/>
      <c r="FW2" s="1128"/>
      <c r="FX2" s="1128" t="str">
        <f>инфо!$D60</f>
        <v>Сало-шпик</v>
      </c>
      <c r="FY2" s="1128"/>
      <c r="FZ2" s="1128"/>
      <c r="GA2" s="1128" t="str">
        <f>инфо!$D61</f>
        <v>Жиры 1</v>
      </c>
      <c r="GB2" s="1128"/>
      <c r="GC2" s="1128"/>
      <c r="GD2" s="1128" t="str">
        <f>инфо!$D62</f>
        <v>Жиры 2</v>
      </c>
      <c r="GE2" s="1128"/>
      <c r="GF2" s="1128"/>
      <c r="GG2" s="1128" t="str">
        <f>инфо!$D63</f>
        <v>Говядина б/к</v>
      </c>
      <c r="GH2" s="1128"/>
      <c r="GI2" s="1128"/>
      <c r="GJ2" s="1128" t="str">
        <f>инфо!$D64</f>
        <v>Говядина консерв.</v>
      </c>
      <c r="GK2" s="1128"/>
      <c r="GL2" s="1128"/>
      <c r="GM2" s="1128" t="str">
        <f>инфо!$D65</f>
        <v>Говядина н/к</v>
      </c>
      <c r="GN2" s="1128"/>
      <c r="GO2" s="1128"/>
      <c r="GP2" s="1128" t="str">
        <f>инфо!$D66</f>
        <v>Говядина на кости</v>
      </c>
      <c r="GQ2" s="1128"/>
      <c r="GR2" s="1128"/>
      <c r="GS2" s="1128" t="str">
        <f>инфо!$D67</f>
        <v>Мясо птицы</v>
      </c>
      <c r="GT2" s="1128"/>
      <c r="GU2" s="1128"/>
      <c r="GV2" s="1128" t="str">
        <f>инфо!$D68</f>
        <v>Свинина б/к</v>
      </c>
      <c r="GW2" s="1128"/>
      <c r="GX2" s="1128"/>
      <c r="GY2" s="1128" t="str">
        <f>инфо!$D69</f>
        <v>Свинина консерв.</v>
      </c>
      <c r="GZ2" s="1128"/>
      <c r="HA2" s="1128"/>
      <c r="HB2" s="1128" t="str">
        <f>инфо!$D70</f>
        <v>Свинина на кости</v>
      </c>
      <c r="HC2" s="1128"/>
      <c r="HD2" s="1128"/>
      <c r="HE2" s="1128" t="str">
        <f>инфо!$D71</f>
        <v>Мясо птицы консерв.</v>
      </c>
      <c r="HF2" s="1128"/>
      <c r="HG2" s="1128"/>
      <c r="HH2" s="1128" t="str">
        <f>инфо!$D72</f>
        <v>Мясо 1</v>
      </c>
      <c r="HI2" s="1128"/>
      <c r="HJ2" s="1128"/>
      <c r="HK2" s="1128" t="str">
        <f>инфо!$D73</f>
        <v>Колбаса вареная</v>
      </c>
      <c r="HL2" s="1128"/>
      <c r="HM2" s="1128"/>
      <c r="HN2" s="1128" t="str">
        <f>инфо!$D74</f>
        <v>Колбаса п/к</v>
      </c>
      <c r="HO2" s="1128"/>
      <c r="HP2" s="1128"/>
      <c r="HQ2" s="1128" t="str">
        <f>инфо!$D75</f>
        <v>Колбаса с/к</v>
      </c>
      <c r="HR2" s="1128"/>
      <c r="HS2" s="1128"/>
      <c r="HT2" s="1128" t="str">
        <f>инфо!$D76</f>
        <v>Сосиски</v>
      </c>
      <c r="HU2" s="1128"/>
      <c r="HV2" s="1128"/>
      <c r="HW2" s="1128" t="str">
        <f>инфо!$D77</f>
        <v>Сардельки</v>
      </c>
      <c r="HX2" s="1128"/>
      <c r="HY2" s="1128"/>
      <c r="HZ2" s="1128" t="str">
        <f>инфо!$D78</f>
        <v>Пельмени</v>
      </c>
      <c r="IA2" s="1128"/>
      <c r="IB2" s="1128"/>
      <c r="IC2" s="1128" t="str">
        <f>инфо!$D79</f>
        <v>Печень</v>
      </c>
      <c r="ID2" s="1128"/>
      <c r="IE2" s="1128"/>
      <c r="IF2" s="1128" t="str">
        <f>инфо!$D80</f>
        <v>Сердце</v>
      </c>
      <c r="IG2" s="1128"/>
      <c r="IH2" s="1128"/>
      <c r="II2" s="1128" t="str">
        <f>инфо!$D81</f>
        <v>Полуфабрикаты 1</v>
      </c>
      <c r="IJ2" s="1128"/>
      <c r="IK2" s="1128"/>
      <c r="IL2" s="1128" t="str">
        <f>инфо!$D82</f>
        <v>Консервы рыбные</v>
      </c>
      <c r="IM2" s="1128"/>
      <c r="IN2" s="1128"/>
      <c r="IO2" s="1128" t="str">
        <f>инфо!$D83</f>
        <v>Хек б/г</v>
      </c>
      <c r="IP2" s="1128"/>
      <c r="IQ2" s="1128"/>
      <c r="IR2" s="1128" t="str">
        <f>инфо!$D84</f>
        <v>Хек с/г</v>
      </c>
      <c r="IS2" s="1128"/>
      <c r="IT2" s="1128"/>
      <c r="IU2" s="1128" t="str">
        <f>инфо!$D85</f>
        <v>Треска б/г</v>
      </c>
      <c r="IV2" s="1128"/>
      <c r="IW2" s="1128"/>
      <c r="IX2" s="1128" t="str">
        <f>инфо!$D86</f>
        <v>Треска с/г</v>
      </c>
      <c r="IY2" s="1128"/>
      <c r="IZ2" s="1128"/>
      <c r="JA2" s="1128" t="str">
        <f>инфо!$D87</f>
        <v>Сельдь б/г</v>
      </c>
      <c r="JB2" s="1128"/>
      <c r="JC2" s="1128"/>
      <c r="JD2" s="1128" t="str">
        <f>инфо!$D88</f>
        <v>Сельдь с/г</v>
      </c>
      <c r="JE2" s="1128"/>
      <c r="JF2" s="1128"/>
      <c r="JG2" s="1128" t="str">
        <f>инфо!$D89</f>
        <v>Минтай б/г</v>
      </c>
      <c r="JH2" s="1128"/>
      <c r="JI2" s="1128"/>
      <c r="JJ2" s="1128" t="str">
        <f>инфо!$D90</f>
        <v>Минтай с/г</v>
      </c>
      <c r="JK2" s="1128"/>
      <c r="JL2" s="1128"/>
      <c r="JM2" s="1128" t="str">
        <f>инфо!$D91</f>
        <v>Навага б/г</v>
      </c>
      <c r="JN2" s="1128"/>
      <c r="JO2" s="1128"/>
      <c r="JP2" s="1128" t="str">
        <f>инфо!$D92</f>
        <v>Навага с/г</v>
      </c>
      <c r="JQ2" s="1128"/>
      <c r="JR2" s="1128"/>
      <c r="JS2" s="1128" t="str">
        <f>инфо!$D93</f>
        <v>Камбала б/г</v>
      </c>
      <c r="JT2" s="1128"/>
      <c r="JU2" s="1128"/>
      <c r="JV2" s="1128" t="str">
        <f>инфо!$D94</f>
        <v>Камбала с/г</v>
      </c>
      <c r="JW2" s="1128"/>
      <c r="JX2" s="1128"/>
      <c r="JY2" s="1128" t="str">
        <f>инфо!$D95</f>
        <v>Горбуша б/г</v>
      </c>
      <c r="JZ2" s="1128"/>
      <c r="KA2" s="1128"/>
      <c r="KB2" s="1128" t="str">
        <f>инфо!$D96</f>
        <v>Горбуша с/г</v>
      </c>
      <c r="KC2" s="1128"/>
      <c r="KD2" s="1128"/>
      <c r="KE2" s="1128" t="str">
        <f>инфо!$D97</f>
        <v>Налим б/г</v>
      </c>
      <c r="KF2" s="1128"/>
      <c r="KG2" s="1128"/>
      <c r="KH2" s="1128" t="str">
        <f>инфо!$D98</f>
        <v>Пикша б/г</v>
      </c>
      <c r="KI2" s="1128"/>
      <c r="KJ2" s="1128"/>
      <c r="KK2" s="1128" t="str">
        <f>инфо!$D99</f>
        <v>Пикша с/г</v>
      </c>
      <c r="KL2" s="1128"/>
      <c r="KM2" s="1128"/>
      <c r="KN2" s="1128" t="str">
        <f>инфо!$D100</f>
        <v>Сайда б/г</v>
      </c>
      <c r="KO2" s="1128"/>
      <c r="KP2" s="1128"/>
      <c r="KQ2" s="1128" t="str">
        <f>инфо!$D101</f>
        <v>Сайда с/г</v>
      </c>
      <c r="KR2" s="1128"/>
      <c r="KS2" s="1128"/>
      <c r="KT2" s="1128" t="str">
        <f>инфо!$D102</f>
        <v>Сом б/г</v>
      </c>
      <c r="KU2" s="1128"/>
      <c r="KV2" s="1128"/>
      <c r="KW2" s="1128" t="str">
        <f>инфо!$D103</f>
        <v>Сом с/г</v>
      </c>
      <c r="KX2" s="1128"/>
      <c r="KY2" s="1128"/>
      <c r="KZ2" s="1128" t="str">
        <f>инфо!$D104</f>
        <v>Судак б/г</v>
      </c>
      <c r="LA2" s="1128"/>
      <c r="LB2" s="1128"/>
      <c r="LC2" s="1128" t="str">
        <f>инфо!$D105</f>
        <v>Судак с/г</v>
      </c>
      <c r="LD2" s="1128"/>
      <c r="LE2" s="1128"/>
      <c r="LF2" s="1128" t="str">
        <f>инфо!$D106</f>
        <v>Щука б/г</v>
      </c>
      <c r="LG2" s="1128"/>
      <c r="LH2" s="1128"/>
      <c r="LI2" s="1128" t="str">
        <f>инфо!$D107</f>
        <v>Щука с/г</v>
      </c>
      <c r="LJ2" s="1128"/>
      <c r="LK2" s="1128"/>
      <c r="LL2" s="1128" t="str">
        <f>инфо!$D108</f>
        <v>Рыба с/м б/г</v>
      </c>
      <c r="LM2" s="1128"/>
      <c r="LN2" s="1128"/>
      <c r="LO2" s="1128" t="str">
        <f>инфо!$D109</f>
        <v>Рыба 1</v>
      </c>
      <c r="LP2" s="1128"/>
      <c r="LQ2" s="1128"/>
      <c r="LR2" s="1128" t="str">
        <f>инфо!$D110</f>
        <v>Яйцо (шт)</v>
      </c>
      <c r="LS2" s="1128"/>
      <c r="LT2" s="1128"/>
      <c r="LU2" s="1128" t="str">
        <f>инфо!$D111</f>
        <v>Сахар</v>
      </c>
      <c r="LV2" s="1128"/>
      <c r="LW2" s="1128"/>
      <c r="LX2" s="1128" t="str">
        <f>инфо!$D112</f>
        <v>Соль</v>
      </c>
      <c r="LY2" s="1128"/>
      <c r="LZ2" s="1128"/>
      <c r="MA2" s="1128" t="str">
        <f>инфо!$D113</f>
        <v>Лавровый лист</v>
      </c>
      <c r="MB2" s="1128"/>
      <c r="MC2" s="1128"/>
      <c r="MD2" s="1128" t="str">
        <f>инфо!$D114</f>
        <v>Перец черный</v>
      </c>
      <c r="ME2" s="1128"/>
      <c r="MF2" s="1128"/>
      <c r="MG2" s="1128" t="str">
        <f>инфо!$D115</f>
        <v>Томат-паста</v>
      </c>
      <c r="MH2" s="1128"/>
      <c r="MI2" s="1128"/>
      <c r="MJ2" s="1128" t="str">
        <f>инфо!$D116</f>
        <v>Горчица</v>
      </c>
      <c r="MK2" s="1128"/>
      <c r="ML2" s="1128"/>
      <c r="MM2" s="1128" t="str">
        <f>инфо!$D116</f>
        <v>Горчица</v>
      </c>
      <c r="MN2" s="1128"/>
      <c r="MO2" s="1128"/>
      <c r="MP2" s="1128" t="str">
        <f>инфо!$D117</f>
        <v>Горчичный порошок</v>
      </c>
      <c r="MQ2" s="1128"/>
      <c r="MR2" s="1128"/>
      <c r="MS2" s="1128" t="str">
        <f>инфо!$D118</f>
        <v>Дрожжи</v>
      </c>
      <c r="MT2" s="1128"/>
      <c r="MU2" s="1128"/>
      <c r="MV2" s="1128" t="str">
        <f>инфо!$D120</f>
        <v>Яйцо и специи 1</v>
      </c>
      <c r="MW2" s="1128"/>
      <c r="MX2" s="1128"/>
      <c r="MY2" s="1128" t="str">
        <f>инфо!$D121</f>
        <v>Яйцо и специи 2</v>
      </c>
      <c r="MZ2" s="1128"/>
      <c r="NA2" s="1128"/>
      <c r="NB2" s="1128" t="str">
        <f>инфо!$D122</f>
        <v>Яйцо и специи 3</v>
      </c>
      <c r="NC2" s="1128"/>
      <c r="ND2" s="1128"/>
      <c r="NE2" s="1128" t="str">
        <f>инфо!$D123</f>
        <v>Вода</v>
      </c>
      <c r="NF2" s="1128"/>
      <c r="NG2" s="1128"/>
      <c r="NH2" s="1128" t="str">
        <f>инфо!$D124</f>
        <v>Вода или бульон</v>
      </c>
      <c r="NI2" s="1128"/>
      <c r="NJ2" s="1128"/>
      <c r="NK2" s="1128" t="str">
        <f>инфо!$D125</f>
        <v>Сок п/я</v>
      </c>
      <c r="NL2" s="1128"/>
      <c r="NM2" s="1128"/>
      <c r="NN2" s="1128" t="str">
        <f>инфо!$D126</f>
        <v>Чай</v>
      </c>
      <c r="NO2" s="1128"/>
      <c r="NP2" s="1128"/>
      <c r="NQ2" s="1128" t="str">
        <f>инфо!$D127</f>
        <v>Кофе БС</v>
      </c>
      <c r="NR2" s="1128"/>
      <c r="NS2" s="1128"/>
      <c r="NT2" s="1128" t="str">
        <f>инфо!$D128</f>
        <v>Кофе растворимый</v>
      </c>
      <c r="NU2" s="1128"/>
      <c r="NV2" s="1128"/>
      <c r="NW2" s="1128" t="str">
        <f>инфо!$D129</f>
        <v>Какао</v>
      </c>
      <c r="NX2" s="1128"/>
      <c r="NY2" s="1128"/>
      <c r="NZ2" s="1128" t="str">
        <f>инфо!$D130</f>
        <v>Гексавит</v>
      </c>
      <c r="OA2" s="1128"/>
      <c r="OB2" s="1128"/>
      <c r="OC2" s="1128" t="str">
        <f>инфо!$D131</f>
        <v>Изюм</v>
      </c>
      <c r="OD2" s="1128"/>
      <c r="OE2" s="1128"/>
      <c r="OF2" s="1128" t="str">
        <f>инфо!$D132</f>
        <v>Курага</v>
      </c>
      <c r="OG2" s="1128"/>
      <c r="OH2" s="1128"/>
      <c r="OI2" s="1128" t="str">
        <f>инфо!$D133</f>
        <v>Чернослив</v>
      </c>
      <c r="OJ2" s="1128"/>
      <c r="OK2" s="1128"/>
      <c r="OL2" s="1128" t="str">
        <f>инфо!$D134</f>
        <v>Смесь сухофруктов</v>
      </c>
      <c r="OM2" s="1128"/>
      <c r="ON2" s="1128"/>
      <c r="OO2" s="1128" t="str">
        <f>инфо!$D135</f>
        <v>Сок яблочный</v>
      </c>
      <c r="OP2" s="1128"/>
      <c r="OQ2" s="1128"/>
      <c r="OR2" s="1128" t="str">
        <f>инфо!$D136</f>
        <v>Прочие 2</v>
      </c>
      <c r="OS2" s="1128"/>
      <c r="OT2" s="1128"/>
      <c r="OU2" s="1128" t="str">
        <f>инфо!$D137</f>
        <v>Карамель</v>
      </c>
      <c r="OV2" s="1128"/>
      <c r="OW2" s="1128"/>
      <c r="OX2" s="1128" t="str">
        <f>инфо!$D138</f>
        <v>Печенье</v>
      </c>
      <c r="OY2" s="1128"/>
      <c r="OZ2" s="1128"/>
      <c r="PA2" s="1128" t="str">
        <f>инфо!$D139</f>
        <v>Пряники</v>
      </c>
      <c r="PB2" s="1128"/>
      <c r="PC2" s="1128"/>
      <c r="PD2" s="1128" t="str">
        <f>инфо!$D140</f>
        <v>Вафли</v>
      </c>
      <c r="PE2" s="1128"/>
      <c r="PF2" s="1128"/>
      <c r="PG2" s="1128" t="str">
        <f>инфо!$D141</f>
        <v>Печенье БС</v>
      </c>
      <c r="PH2" s="1128"/>
      <c r="PI2" s="1128"/>
      <c r="PJ2" s="1128" t="str">
        <f>инфо!$D142</f>
        <v>Яблоки свежие</v>
      </c>
      <c r="PK2" s="1128"/>
      <c r="PL2" s="1128"/>
      <c r="PM2" s="1128" t="str">
        <f>инфо!$D143</f>
        <v>Апельсины</v>
      </c>
      <c r="PN2" s="1128"/>
      <c r="PO2" s="1128"/>
      <c r="PP2" s="1128" t="str">
        <f>инфо!$D144</f>
        <v>Груши свежие</v>
      </c>
      <c r="PQ2" s="1128"/>
      <c r="PR2" s="1128"/>
      <c r="PS2" s="1128" t="str">
        <f>инфо!$D145</f>
        <v>Конфеты шоколадные</v>
      </c>
      <c r="PT2" s="1128"/>
      <c r="PU2" s="1128"/>
      <c r="PV2" s="1128" t="str">
        <f>инфо!$D146</f>
        <v>Сладости и фрукты 1</v>
      </c>
      <c r="PW2" s="1128"/>
      <c r="PX2" s="1128"/>
      <c r="PY2" s="1128" t="str">
        <f>инфо!$D147</f>
        <v>Сладости и фрукты 2</v>
      </c>
      <c r="PZ2" s="1128"/>
      <c r="QA2" s="1128"/>
      <c r="QB2" s="1128" t="str">
        <f>инфо!$D148</f>
        <v>Сладости и фрукты 3</v>
      </c>
      <c r="QC2" s="1128"/>
      <c r="QD2" s="1128"/>
    </row>
    <row r="3" spans="1:446" ht="12" customHeight="1" x14ac:dyDescent="0.25">
      <c r="A3" s="660">
        <v>1</v>
      </c>
      <c r="B3" s="1132"/>
      <c r="C3" s="1134"/>
      <c r="D3" s="1132"/>
      <c r="E3" s="1132"/>
      <c r="F3" s="1129" t="s">
        <v>21</v>
      </c>
      <c r="G3" s="1130"/>
      <c r="H3" s="1130"/>
      <c r="I3" s="1130"/>
      <c r="J3" s="1130"/>
      <c r="K3" s="1130"/>
      <c r="L3" s="1130"/>
      <c r="M3" s="1130"/>
      <c r="N3" s="1130"/>
      <c r="O3" s="1130"/>
      <c r="P3" s="1130"/>
      <c r="Q3" s="1130"/>
      <c r="R3" s="1130"/>
      <c r="S3" s="1130"/>
      <c r="T3" s="1130"/>
      <c r="U3" s="1130"/>
      <c r="V3" s="1130"/>
      <c r="W3" s="1130"/>
      <c r="X3" s="1130"/>
      <c r="Y3" s="1130"/>
      <c r="Z3" s="1130"/>
      <c r="AA3" s="1130"/>
      <c r="AB3" s="1130"/>
      <c r="AC3" s="1130"/>
      <c r="AD3" s="1130"/>
      <c r="AE3" s="1130"/>
      <c r="AF3" s="1130"/>
      <c r="AG3" s="1130"/>
      <c r="AH3" s="1130"/>
      <c r="AI3" s="1130"/>
      <c r="AJ3" s="1130"/>
      <c r="AK3" s="1130"/>
      <c r="AL3" s="1130"/>
      <c r="AM3" s="1130"/>
      <c r="AN3" s="1130"/>
      <c r="AO3" s="1130"/>
      <c r="AP3" s="1130"/>
      <c r="AQ3" s="1130"/>
      <c r="AR3" s="1130"/>
      <c r="AS3" s="1130"/>
      <c r="AT3" s="1130"/>
      <c r="AU3" s="1130"/>
      <c r="AV3" s="1130"/>
      <c r="AW3" s="1130"/>
      <c r="AX3" s="1131"/>
      <c r="AY3" s="1129" t="s">
        <v>21</v>
      </c>
      <c r="AZ3" s="1130"/>
      <c r="BA3" s="1130"/>
      <c r="BB3" s="1130"/>
      <c r="BC3" s="1130"/>
      <c r="BD3" s="1130"/>
      <c r="BE3" s="1130"/>
      <c r="BF3" s="1130"/>
      <c r="BG3" s="1130"/>
      <c r="BH3" s="1130"/>
      <c r="BI3" s="1130"/>
      <c r="BJ3" s="1130"/>
      <c r="BK3" s="1130"/>
      <c r="BL3" s="1130"/>
      <c r="BM3" s="1130"/>
      <c r="BN3" s="1130"/>
      <c r="BO3" s="1130"/>
      <c r="BP3" s="1130"/>
      <c r="BQ3" s="1130"/>
      <c r="BR3" s="1130"/>
      <c r="BS3" s="1130"/>
      <c r="BT3" s="1130"/>
      <c r="BU3" s="1130"/>
      <c r="BV3" s="1130"/>
      <c r="BW3" s="1130"/>
      <c r="BX3" s="1130"/>
      <c r="BY3" s="1130"/>
      <c r="BZ3" s="1130"/>
      <c r="CA3" s="1130"/>
      <c r="CB3" s="1130"/>
      <c r="CC3" s="1130"/>
      <c r="CD3" s="1130"/>
      <c r="CE3" s="1130"/>
      <c r="CF3" s="1130"/>
      <c r="CG3" s="1130"/>
      <c r="CH3" s="1130"/>
      <c r="CI3" s="1130"/>
      <c r="CJ3" s="1130"/>
      <c r="CK3" s="1130"/>
      <c r="CL3" s="1130"/>
      <c r="CM3" s="1130"/>
      <c r="CN3" s="1130"/>
      <c r="CO3" s="1130"/>
      <c r="CP3" s="1130"/>
      <c r="CQ3" s="1131"/>
      <c r="CR3" s="1129" t="s">
        <v>21</v>
      </c>
      <c r="CS3" s="1130"/>
      <c r="CT3" s="1130"/>
      <c r="CU3" s="1130"/>
      <c r="CV3" s="1130"/>
      <c r="CW3" s="1130"/>
      <c r="CX3" s="1130"/>
      <c r="CY3" s="1130"/>
      <c r="CZ3" s="1130"/>
      <c r="DA3" s="1130"/>
      <c r="DB3" s="1130"/>
      <c r="DC3" s="1130"/>
      <c r="DD3" s="1130"/>
      <c r="DE3" s="1130"/>
      <c r="DF3" s="1130"/>
      <c r="DG3" s="1130"/>
      <c r="DH3" s="1130"/>
      <c r="DI3" s="1130"/>
      <c r="DJ3" s="1130"/>
      <c r="DK3" s="1130"/>
      <c r="DL3" s="1130"/>
      <c r="DM3" s="1130"/>
      <c r="DN3" s="1130"/>
      <c r="DO3" s="1130"/>
      <c r="DP3" s="1130"/>
      <c r="DQ3" s="1130"/>
      <c r="DR3" s="1130"/>
      <c r="DS3" s="1130"/>
      <c r="DT3" s="1130"/>
      <c r="DU3" s="1130"/>
      <c r="DV3" s="1130"/>
      <c r="DW3" s="1130"/>
      <c r="DX3" s="1130"/>
      <c r="DY3" s="1130"/>
      <c r="DZ3" s="1130"/>
      <c r="EA3" s="1130"/>
      <c r="EB3" s="1130"/>
      <c r="EC3" s="1130"/>
      <c r="ED3" s="1130"/>
      <c r="EE3" s="1130"/>
      <c r="EF3" s="1130"/>
      <c r="EG3" s="1130"/>
      <c r="EH3" s="1130"/>
      <c r="EI3" s="1130"/>
      <c r="EJ3" s="1131"/>
      <c r="EK3" s="1129" t="s">
        <v>21</v>
      </c>
      <c r="EL3" s="1130"/>
      <c r="EM3" s="1130"/>
      <c r="EN3" s="1130"/>
      <c r="EO3" s="1130"/>
      <c r="EP3" s="1130"/>
      <c r="EQ3" s="1130"/>
      <c r="ER3" s="1130"/>
      <c r="ES3" s="1130"/>
      <c r="ET3" s="1130"/>
      <c r="EU3" s="1130"/>
      <c r="EV3" s="1130"/>
      <c r="EW3" s="1130"/>
      <c r="EX3" s="1130"/>
      <c r="EY3" s="1130"/>
      <c r="EZ3" s="1130"/>
      <c r="FA3" s="1130"/>
      <c r="FB3" s="1130"/>
      <c r="FC3" s="1130"/>
      <c r="FD3" s="1130"/>
      <c r="FE3" s="1130"/>
      <c r="FF3" s="1130"/>
      <c r="FG3" s="1130"/>
      <c r="FH3" s="1130"/>
      <c r="FI3" s="1130"/>
      <c r="FJ3" s="1130"/>
      <c r="FK3" s="1130"/>
      <c r="FL3" s="1130"/>
      <c r="FM3" s="1130"/>
      <c r="FN3" s="1130"/>
      <c r="FO3" s="1130"/>
      <c r="FP3" s="1130"/>
      <c r="FQ3" s="1130"/>
      <c r="FR3" s="1130"/>
      <c r="FS3" s="1130"/>
      <c r="FT3" s="1130"/>
      <c r="FU3" s="1130"/>
      <c r="FV3" s="1130"/>
      <c r="FW3" s="1130"/>
      <c r="FX3" s="1130"/>
      <c r="FY3" s="1130"/>
      <c r="FZ3" s="1130"/>
      <c r="GA3" s="1130"/>
      <c r="GB3" s="1130"/>
      <c r="GC3" s="1131"/>
      <c r="GD3" s="1129" t="s">
        <v>21</v>
      </c>
      <c r="GE3" s="1130"/>
      <c r="GF3" s="1130"/>
      <c r="GG3" s="1130"/>
      <c r="GH3" s="1130"/>
      <c r="GI3" s="1130"/>
      <c r="GJ3" s="1130"/>
      <c r="GK3" s="1130"/>
      <c r="GL3" s="1130"/>
      <c r="GM3" s="1130"/>
      <c r="GN3" s="1130"/>
      <c r="GO3" s="1130"/>
      <c r="GP3" s="1130"/>
      <c r="GQ3" s="1130"/>
      <c r="GR3" s="1130"/>
      <c r="GS3" s="1130"/>
      <c r="GT3" s="1130"/>
      <c r="GU3" s="1130"/>
      <c r="GV3" s="1130"/>
      <c r="GW3" s="1130"/>
      <c r="GX3" s="1130"/>
      <c r="GY3" s="1130"/>
      <c r="GZ3" s="1130"/>
      <c r="HA3" s="1130"/>
      <c r="HB3" s="1130"/>
      <c r="HC3" s="1130"/>
      <c r="HD3" s="1130"/>
      <c r="HE3" s="1130"/>
      <c r="HF3" s="1130"/>
      <c r="HG3" s="1130"/>
      <c r="HH3" s="1130"/>
      <c r="HI3" s="1130"/>
      <c r="HJ3" s="1130"/>
      <c r="HK3" s="1130"/>
      <c r="HL3" s="1130"/>
      <c r="HM3" s="1130"/>
      <c r="HN3" s="1130"/>
      <c r="HO3" s="1130"/>
      <c r="HP3" s="1130"/>
      <c r="HQ3" s="1130"/>
      <c r="HR3" s="1130"/>
      <c r="HS3" s="1130"/>
      <c r="HT3" s="1130"/>
      <c r="HU3" s="1130"/>
      <c r="HV3" s="1131"/>
      <c r="HW3" s="1129" t="s">
        <v>21</v>
      </c>
      <c r="HX3" s="1130"/>
      <c r="HY3" s="1130"/>
      <c r="HZ3" s="1130"/>
      <c r="IA3" s="1130"/>
      <c r="IB3" s="1130"/>
      <c r="IC3" s="1130"/>
      <c r="ID3" s="1130"/>
      <c r="IE3" s="1130"/>
      <c r="IF3" s="1130"/>
      <c r="IG3" s="1130"/>
      <c r="IH3" s="1130"/>
      <c r="II3" s="1130"/>
      <c r="IJ3" s="1130"/>
      <c r="IK3" s="1130"/>
      <c r="IL3" s="1130"/>
      <c r="IM3" s="1130"/>
      <c r="IN3" s="1130"/>
      <c r="IO3" s="1130"/>
      <c r="IP3" s="1130"/>
      <c r="IQ3" s="1130"/>
      <c r="IR3" s="1130"/>
      <c r="IS3" s="1130"/>
      <c r="IT3" s="1130"/>
      <c r="IU3" s="1130"/>
      <c r="IV3" s="1130"/>
      <c r="IW3" s="1130"/>
      <c r="IX3" s="1130"/>
      <c r="IY3" s="1130"/>
      <c r="IZ3" s="1130"/>
      <c r="JA3" s="1130"/>
      <c r="JB3" s="1130"/>
      <c r="JC3" s="1130"/>
      <c r="JD3" s="1130"/>
      <c r="JE3" s="1130"/>
      <c r="JF3" s="1130"/>
      <c r="JG3" s="1130"/>
      <c r="JH3" s="1130"/>
      <c r="JI3" s="1130"/>
      <c r="JJ3" s="1130"/>
      <c r="JK3" s="1130"/>
      <c r="JL3" s="1130"/>
      <c r="JM3" s="1130"/>
      <c r="JN3" s="1130"/>
      <c r="JO3" s="1131"/>
      <c r="JP3" s="1129" t="s">
        <v>21</v>
      </c>
      <c r="JQ3" s="1130"/>
      <c r="JR3" s="1130"/>
      <c r="JS3" s="1130"/>
      <c r="JT3" s="1130"/>
      <c r="JU3" s="1130"/>
      <c r="JV3" s="1130"/>
      <c r="JW3" s="1130"/>
      <c r="JX3" s="1130"/>
      <c r="JY3" s="1130"/>
      <c r="JZ3" s="1130"/>
      <c r="KA3" s="1130"/>
      <c r="KB3" s="1130"/>
      <c r="KC3" s="1130"/>
      <c r="KD3" s="1130"/>
      <c r="KE3" s="1130"/>
      <c r="KF3" s="1130"/>
      <c r="KG3" s="1130"/>
      <c r="KH3" s="1130"/>
      <c r="KI3" s="1130"/>
      <c r="KJ3" s="1130"/>
      <c r="KK3" s="1130"/>
      <c r="KL3" s="1130"/>
      <c r="KM3" s="1130"/>
      <c r="KN3" s="1130"/>
      <c r="KO3" s="1130"/>
      <c r="KP3" s="1130"/>
      <c r="KQ3" s="1130"/>
      <c r="KR3" s="1130"/>
      <c r="KS3" s="1130"/>
      <c r="KT3" s="1130"/>
      <c r="KU3" s="1130"/>
      <c r="KV3" s="1130"/>
      <c r="KW3" s="1130"/>
      <c r="KX3" s="1130"/>
      <c r="KY3" s="1130"/>
      <c r="KZ3" s="1130"/>
      <c r="LA3" s="1130"/>
      <c r="LB3" s="1130"/>
      <c r="LC3" s="1130"/>
      <c r="LD3" s="1130"/>
      <c r="LE3" s="1130"/>
      <c r="LF3" s="1130"/>
      <c r="LG3" s="1130"/>
      <c r="LH3" s="1131"/>
      <c r="LI3" s="1129" t="s">
        <v>21</v>
      </c>
      <c r="LJ3" s="1130"/>
      <c r="LK3" s="1130"/>
      <c r="LL3" s="1130"/>
      <c r="LM3" s="1130"/>
      <c r="LN3" s="1130"/>
      <c r="LO3" s="1130"/>
      <c r="LP3" s="1130"/>
      <c r="LQ3" s="1130"/>
      <c r="LR3" s="1130"/>
      <c r="LS3" s="1130"/>
      <c r="LT3" s="1130"/>
      <c r="LU3" s="1130"/>
      <c r="LV3" s="1130"/>
      <c r="LW3" s="1130"/>
      <c r="LX3" s="1130"/>
      <c r="LY3" s="1130"/>
      <c r="LZ3" s="1130"/>
      <c r="MA3" s="1130"/>
      <c r="MB3" s="1130"/>
      <c r="MC3" s="1130"/>
      <c r="MD3" s="1130"/>
      <c r="ME3" s="1130"/>
      <c r="MF3" s="1130"/>
      <c r="MG3" s="1130"/>
      <c r="MH3" s="1130"/>
      <c r="MI3" s="1130"/>
      <c r="MJ3" s="1130"/>
      <c r="MK3" s="1130"/>
      <c r="ML3" s="1130"/>
      <c r="MM3" s="1130"/>
      <c r="MN3" s="1130"/>
      <c r="MO3" s="1130"/>
      <c r="MP3" s="1130"/>
      <c r="MQ3" s="1130"/>
      <c r="MR3" s="1130"/>
      <c r="MS3" s="1130"/>
      <c r="MT3" s="1130"/>
      <c r="MU3" s="1130"/>
      <c r="MV3" s="1130"/>
      <c r="MW3" s="1130"/>
      <c r="MX3" s="1130"/>
      <c r="MY3" s="1130"/>
      <c r="MZ3" s="1130"/>
      <c r="NA3" s="1131"/>
      <c r="NB3" s="1129" t="s">
        <v>21</v>
      </c>
      <c r="NC3" s="1130"/>
      <c r="ND3" s="1130"/>
      <c r="NE3" s="1130"/>
      <c r="NF3" s="1130"/>
      <c r="NG3" s="1130"/>
      <c r="NH3" s="1130"/>
      <c r="NI3" s="1130"/>
      <c r="NJ3" s="1130"/>
      <c r="NK3" s="1130"/>
      <c r="NL3" s="1130"/>
      <c r="NM3" s="1130"/>
      <c r="NN3" s="1130"/>
      <c r="NO3" s="1130"/>
      <c r="NP3" s="1130"/>
      <c r="NQ3" s="1130"/>
      <c r="NR3" s="1130"/>
      <c r="NS3" s="1130"/>
      <c r="NT3" s="1130"/>
      <c r="NU3" s="1130"/>
      <c r="NV3" s="1130"/>
      <c r="NW3" s="1130"/>
      <c r="NX3" s="1130"/>
      <c r="NY3" s="1130"/>
      <c r="NZ3" s="1130"/>
      <c r="OA3" s="1130"/>
      <c r="OB3" s="1130"/>
      <c r="OC3" s="1130"/>
      <c r="OD3" s="1130"/>
      <c r="OE3" s="1130"/>
      <c r="OF3" s="1130"/>
      <c r="OG3" s="1130"/>
      <c r="OH3" s="1130"/>
      <c r="OI3" s="1130"/>
      <c r="OJ3" s="1130"/>
      <c r="OK3" s="1130"/>
      <c r="OL3" s="1130"/>
      <c r="OM3" s="1130"/>
      <c r="ON3" s="1130"/>
      <c r="OO3" s="1130"/>
      <c r="OP3" s="1130"/>
      <c r="OQ3" s="1130"/>
      <c r="OR3" s="1130"/>
      <c r="OS3" s="1130"/>
      <c r="OT3" s="1131"/>
      <c r="OU3" s="1129" t="s">
        <v>21</v>
      </c>
      <c r="OV3" s="1130"/>
      <c r="OW3" s="1130"/>
      <c r="OX3" s="1130"/>
      <c r="OY3" s="1130"/>
      <c r="OZ3" s="1130"/>
      <c r="PA3" s="1130"/>
      <c r="PB3" s="1130"/>
      <c r="PC3" s="1130"/>
      <c r="PD3" s="1130"/>
      <c r="PE3" s="1130"/>
      <c r="PF3" s="1130"/>
      <c r="PG3" s="1130"/>
      <c r="PH3" s="1130"/>
      <c r="PI3" s="1130"/>
      <c r="PJ3" s="1130"/>
      <c r="PK3" s="1130"/>
      <c r="PL3" s="1130"/>
      <c r="PM3" s="1130"/>
      <c r="PN3" s="1130"/>
      <c r="PO3" s="1130"/>
      <c r="PP3" s="1130"/>
      <c r="PQ3" s="1130"/>
      <c r="PR3" s="1130"/>
      <c r="PS3" s="1130"/>
      <c r="PT3" s="1130"/>
      <c r="PU3" s="1130"/>
      <c r="PV3" s="1130"/>
      <c r="PW3" s="1130"/>
      <c r="PX3" s="1130"/>
      <c r="PY3" s="1130"/>
      <c r="PZ3" s="1130"/>
      <c r="QA3" s="1130"/>
      <c r="QB3" s="1130"/>
      <c r="QC3" s="1130"/>
      <c r="QD3" s="1131"/>
    </row>
    <row r="4" spans="1:446" ht="12" customHeight="1" x14ac:dyDescent="0.25">
      <c r="A4" s="660">
        <v>1</v>
      </c>
      <c r="B4" s="1132"/>
      <c r="C4" s="1134"/>
      <c r="D4" s="1132"/>
      <c r="E4" s="1132"/>
      <c r="F4" s="1128"/>
      <c r="G4" s="1128"/>
      <c r="H4" s="1128"/>
      <c r="I4" s="1128"/>
      <c r="J4" s="1128"/>
      <c r="K4" s="1128"/>
      <c r="L4" s="1128"/>
      <c r="M4" s="1128"/>
      <c r="N4" s="1128"/>
      <c r="O4" s="1128"/>
      <c r="P4" s="1128"/>
      <c r="Q4" s="1128"/>
      <c r="R4" s="1128"/>
      <c r="S4" s="1128"/>
      <c r="T4" s="1128"/>
      <c r="U4" s="1128"/>
      <c r="V4" s="1128"/>
      <c r="W4" s="1128"/>
      <c r="X4" s="1128"/>
      <c r="Y4" s="1128"/>
      <c r="Z4" s="1128"/>
      <c r="AA4" s="1128"/>
      <c r="AB4" s="1128"/>
      <c r="AC4" s="1128"/>
      <c r="AD4" s="1128"/>
      <c r="AE4" s="1128"/>
      <c r="AF4" s="1128"/>
      <c r="AG4" s="1128"/>
      <c r="AH4" s="1128"/>
      <c r="AI4" s="1128"/>
      <c r="AJ4" s="1128"/>
      <c r="AK4" s="1128"/>
      <c r="AL4" s="1128"/>
      <c r="AM4" s="1128"/>
      <c r="AN4" s="1128"/>
      <c r="AO4" s="1128"/>
      <c r="AP4" s="1128"/>
      <c r="AQ4" s="1128"/>
      <c r="AR4" s="1128"/>
      <c r="AS4" s="1128"/>
      <c r="AT4" s="1128"/>
      <c r="AU4" s="1128"/>
      <c r="AV4" s="1128"/>
      <c r="AW4" s="1128"/>
      <c r="AX4" s="1128"/>
      <c r="AY4" s="1128"/>
      <c r="AZ4" s="1128"/>
      <c r="BA4" s="1128"/>
      <c r="BB4" s="1128"/>
      <c r="BC4" s="1128"/>
      <c r="BD4" s="1128"/>
      <c r="BE4" s="1128"/>
      <c r="BF4" s="1128"/>
      <c r="BG4" s="1128"/>
      <c r="BH4" s="1128"/>
      <c r="BI4" s="1128"/>
      <c r="BJ4" s="1128"/>
      <c r="BK4" s="1128"/>
      <c r="BL4" s="1128"/>
      <c r="BM4" s="1128"/>
      <c r="BN4" s="1128"/>
      <c r="BO4" s="1128"/>
      <c r="BP4" s="1128"/>
      <c r="BQ4" s="1128"/>
      <c r="BR4" s="1128"/>
      <c r="BS4" s="1128"/>
      <c r="BT4" s="1128"/>
      <c r="BU4" s="1128"/>
      <c r="BV4" s="1128"/>
      <c r="BW4" s="1128"/>
      <c r="BX4" s="1128"/>
      <c r="BY4" s="1128"/>
      <c r="BZ4" s="1128"/>
      <c r="CA4" s="1128"/>
      <c r="CB4" s="1128"/>
      <c r="CC4" s="1128"/>
      <c r="CD4" s="1128"/>
      <c r="CE4" s="1128"/>
      <c r="CF4" s="1128"/>
      <c r="CG4" s="1128"/>
      <c r="CH4" s="1128"/>
      <c r="CI4" s="1128"/>
      <c r="CJ4" s="1128"/>
      <c r="CK4" s="1128"/>
      <c r="CL4" s="1128"/>
      <c r="CM4" s="1128"/>
      <c r="CN4" s="1128"/>
      <c r="CO4" s="1128"/>
      <c r="CP4" s="1128"/>
      <c r="CQ4" s="1128"/>
      <c r="CR4" s="1128"/>
      <c r="CS4" s="1128"/>
      <c r="CT4" s="1128"/>
      <c r="CU4" s="1128"/>
      <c r="CV4" s="1128"/>
      <c r="CW4" s="1128"/>
      <c r="CX4" s="1128"/>
      <c r="CY4" s="1128"/>
      <c r="CZ4" s="1128"/>
      <c r="DA4" s="1128"/>
      <c r="DB4" s="1128"/>
      <c r="DC4" s="1128"/>
      <c r="DD4" s="1128"/>
      <c r="DE4" s="1128"/>
      <c r="DF4" s="1128"/>
      <c r="DG4" s="1128"/>
      <c r="DH4" s="1128"/>
      <c r="DI4" s="1128"/>
      <c r="DJ4" s="1128"/>
      <c r="DK4" s="1128"/>
      <c r="DL4" s="1128"/>
      <c r="DM4" s="1128"/>
      <c r="DN4" s="1128"/>
      <c r="DO4" s="1128"/>
      <c r="DP4" s="1128"/>
      <c r="DQ4" s="1128"/>
      <c r="DR4" s="1128"/>
      <c r="DS4" s="1128"/>
      <c r="DT4" s="1128"/>
      <c r="DU4" s="1128"/>
      <c r="DV4" s="1128"/>
      <c r="DW4" s="1128"/>
      <c r="DX4" s="1128"/>
      <c r="DY4" s="1128"/>
      <c r="DZ4" s="1128"/>
      <c r="EA4" s="1128"/>
      <c r="EB4" s="1128"/>
      <c r="EC4" s="1128"/>
      <c r="ED4" s="1128"/>
      <c r="EE4" s="1128"/>
      <c r="EF4" s="1128"/>
      <c r="EG4" s="1128"/>
      <c r="EH4" s="1128"/>
      <c r="EI4" s="1128"/>
      <c r="EJ4" s="1128"/>
      <c r="EK4" s="1128"/>
      <c r="EL4" s="1128"/>
      <c r="EM4" s="1128"/>
      <c r="EN4" s="1128"/>
      <c r="EO4" s="1128"/>
      <c r="EP4" s="1128"/>
      <c r="EQ4" s="1128"/>
      <c r="ER4" s="1128"/>
      <c r="ES4" s="1128"/>
      <c r="ET4" s="1128"/>
      <c r="EU4" s="1128"/>
      <c r="EV4" s="1128"/>
      <c r="EW4" s="1128"/>
      <c r="EX4" s="1128"/>
      <c r="EY4" s="1128"/>
      <c r="EZ4" s="1128"/>
      <c r="FA4" s="1128"/>
      <c r="FB4" s="1128"/>
      <c r="FC4" s="1128"/>
      <c r="FD4" s="1128"/>
      <c r="FE4" s="1128"/>
      <c r="FF4" s="1128"/>
      <c r="FG4" s="1128"/>
      <c r="FH4" s="1128"/>
      <c r="FI4" s="1128"/>
      <c r="FJ4" s="1128"/>
      <c r="FK4" s="1128"/>
      <c r="FL4" s="1128"/>
      <c r="FM4" s="1128"/>
      <c r="FN4" s="1128"/>
      <c r="FO4" s="1128"/>
      <c r="FP4" s="1128"/>
      <c r="FQ4" s="1128"/>
      <c r="FR4" s="1128"/>
      <c r="FS4" s="1128"/>
      <c r="FT4" s="1128"/>
      <c r="FU4" s="1128"/>
      <c r="FV4" s="1128"/>
      <c r="FW4" s="1128"/>
      <c r="FX4" s="1128"/>
      <c r="FY4" s="1128"/>
      <c r="FZ4" s="1128"/>
      <c r="GA4" s="1128"/>
      <c r="GB4" s="1128"/>
      <c r="GC4" s="1128"/>
      <c r="GD4" s="1128"/>
      <c r="GE4" s="1128"/>
      <c r="GF4" s="1128"/>
      <c r="GG4" s="1128"/>
      <c r="GH4" s="1128"/>
      <c r="GI4" s="1128"/>
      <c r="GJ4" s="1128"/>
      <c r="GK4" s="1128"/>
      <c r="GL4" s="1128"/>
      <c r="GM4" s="1128"/>
      <c r="GN4" s="1128"/>
      <c r="GO4" s="1128"/>
      <c r="GP4" s="1128"/>
      <c r="GQ4" s="1128"/>
      <c r="GR4" s="1128"/>
      <c r="GS4" s="1128"/>
      <c r="GT4" s="1128"/>
      <c r="GU4" s="1128"/>
      <c r="GV4" s="1128"/>
      <c r="GW4" s="1128"/>
      <c r="GX4" s="1128"/>
      <c r="GY4" s="1128"/>
      <c r="GZ4" s="1128"/>
      <c r="HA4" s="1128"/>
      <c r="HB4" s="1128"/>
      <c r="HC4" s="1128"/>
      <c r="HD4" s="1128"/>
      <c r="HE4" s="1128"/>
      <c r="HF4" s="1128"/>
      <c r="HG4" s="1128"/>
      <c r="HH4" s="1128"/>
      <c r="HI4" s="1128"/>
      <c r="HJ4" s="1128"/>
      <c r="HK4" s="1128"/>
      <c r="HL4" s="1128"/>
      <c r="HM4" s="1128"/>
      <c r="HN4" s="1128"/>
      <c r="HO4" s="1128"/>
      <c r="HP4" s="1128"/>
      <c r="HQ4" s="1128"/>
      <c r="HR4" s="1128"/>
      <c r="HS4" s="1128"/>
      <c r="HT4" s="1128"/>
      <c r="HU4" s="1128"/>
      <c r="HV4" s="1128"/>
      <c r="HW4" s="1128"/>
      <c r="HX4" s="1128"/>
      <c r="HY4" s="1128"/>
      <c r="HZ4" s="1128"/>
      <c r="IA4" s="1128"/>
      <c r="IB4" s="1128"/>
      <c r="IC4" s="1128"/>
      <c r="ID4" s="1128"/>
      <c r="IE4" s="1128"/>
      <c r="IF4" s="1128"/>
      <c r="IG4" s="1128"/>
      <c r="IH4" s="1128"/>
      <c r="II4" s="1128"/>
      <c r="IJ4" s="1128"/>
      <c r="IK4" s="1128"/>
      <c r="IL4" s="1128"/>
      <c r="IM4" s="1128"/>
      <c r="IN4" s="1128"/>
      <c r="IO4" s="1128"/>
      <c r="IP4" s="1128"/>
      <c r="IQ4" s="1128"/>
      <c r="IR4" s="1128"/>
      <c r="IS4" s="1128"/>
      <c r="IT4" s="1128"/>
      <c r="IU4" s="1128"/>
      <c r="IV4" s="1128"/>
      <c r="IW4" s="1128"/>
      <c r="IX4" s="1128"/>
      <c r="IY4" s="1128"/>
      <c r="IZ4" s="1128"/>
      <c r="JA4" s="1128"/>
      <c r="JB4" s="1128"/>
      <c r="JC4" s="1128"/>
      <c r="JD4" s="1128"/>
      <c r="JE4" s="1128"/>
      <c r="JF4" s="1128"/>
      <c r="JG4" s="1128"/>
      <c r="JH4" s="1128"/>
      <c r="JI4" s="1128"/>
      <c r="JJ4" s="1128"/>
      <c r="JK4" s="1128"/>
      <c r="JL4" s="1128"/>
      <c r="JM4" s="1128"/>
      <c r="JN4" s="1128"/>
      <c r="JO4" s="1128"/>
      <c r="JP4" s="1128"/>
      <c r="JQ4" s="1128"/>
      <c r="JR4" s="1128"/>
      <c r="JS4" s="1128"/>
      <c r="JT4" s="1128"/>
      <c r="JU4" s="1128"/>
      <c r="JV4" s="1128"/>
      <c r="JW4" s="1128"/>
      <c r="JX4" s="1128"/>
      <c r="JY4" s="1128"/>
      <c r="JZ4" s="1128"/>
      <c r="KA4" s="1128"/>
      <c r="KB4" s="1128"/>
      <c r="KC4" s="1128"/>
      <c r="KD4" s="1128"/>
      <c r="KE4" s="1128"/>
      <c r="KF4" s="1128"/>
      <c r="KG4" s="1128"/>
      <c r="KH4" s="1128"/>
      <c r="KI4" s="1128"/>
      <c r="KJ4" s="1128"/>
      <c r="KK4" s="1128"/>
      <c r="KL4" s="1128"/>
      <c r="KM4" s="1128"/>
      <c r="KN4" s="1128"/>
      <c r="KO4" s="1128"/>
      <c r="KP4" s="1128"/>
      <c r="KQ4" s="1128"/>
      <c r="KR4" s="1128"/>
      <c r="KS4" s="1128"/>
      <c r="KT4" s="1128"/>
      <c r="KU4" s="1128"/>
      <c r="KV4" s="1128"/>
      <c r="KW4" s="1128"/>
      <c r="KX4" s="1128"/>
      <c r="KY4" s="1128"/>
      <c r="KZ4" s="1128"/>
      <c r="LA4" s="1128"/>
      <c r="LB4" s="1128"/>
      <c r="LC4" s="1128"/>
      <c r="LD4" s="1128"/>
      <c r="LE4" s="1128"/>
      <c r="LF4" s="1128"/>
      <c r="LG4" s="1128"/>
      <c r="LH4" s="1128"/>
      <c r="LI4" s="1128"/>
      <c r="LJ4" s="1128"/>
      <c r="LK4" s="1128"/>
      <c r="LL4" s="1128"/>
      <c r="LM4" s="1128"/>
      <c r="LN4" s="1128"/>
      <c r="LO4" s="1128"/>
      <c r="LP4" s="1128"/>
      <c r="LQ4" s="1128"/>
      <c r="LR4" s="1128"/>
      <c r="LS4" s="1128"/>
      <c r="LT4" s="1128"/>
      <c r="LU4" s="1128"/>
      <c r="LV4" s="1128"/>
      <c r="LW4" s="1128"/>
      <c r="LX4" s="1128"/>
      <c r="LY4" s="1128"/>
      <c r="LZ4" s="1128"/>
      <c r="MA4" s="1128"/>
      <c r="MB4" s="1128"/>
      <c r="MC4" s="1128"/>
      <c r="MD4" s="1128"/>
      <c r="ME4" s="1128"/>
      <c r="MF4" s="1128"/>
      <c r="MG4" s="1128"/>
      <c r="MH4" s="1128"/>
      <c r="MI4" s="1128"/>
      <c r="MJ4" s="1128"/>
      <c r="MK4" s="1128"/>
      <c r="ML4" s="1128"/>
      <c r="MM4" s="1128"/>
      <c r="MN4" s="1128"/>
      <c r="MO4" s="1128"/>
      <c r="MP4" s="1128"/>
      <c r="MQ4" s="1128"/>
      <c r="MR4" s="1128"/>
      <c r="MS4" s="1128"/>
      <c r="MT4" s="1128"/>
      <c r="MU4" s="1128"/>
      <c r="MV4" s="1128"/>
      <c r="MW4" s="1128"/>
      <c r="MX4" s="1128"/>
      <c r="MY4" s="1128"/>
      <c r="MZ4" s="1128"/>
      <c r="NA4" s="1128"/>
      <c r="NB4" s="1128"/>
      <c r="NC4" s="1128"/>
      <c r="ND4" s="1128"/>
      <c r="NE4" s="1128"/>
      <c r="NF4" s="1128"/>
      <c r="NG4" s="1128"/>
      <c r="NH4" s="1128"/>
      <c r="NI4" s="1128"/>
      <c r="NJ4" s="1128"/>
      <c r="NK4" s="1128"/>
      <c r="NL4" s="1128"/>
      <c r="NM4" s="1128"/>
      <c r="NN4" s="1128"/>
      <c r="NO4" s="1128"/>
      <c r="NP4" s="1128"/>
      <c r="NQ4" s="1128"/>
      <c r="NR4" s="1128"/>
      <c r="NS4" s="1128"/>
      <c r="NT4" s="1128"/>
      <c r="NU4" s="1128"/>
      <c r="NV4" s="1128"/>
      <c r="NW4" s="1128"/>
      <c r="NX4" s="1128"/>
      <c r="NY4" s="1128"/>
      <c r="NZ4" s="1128"/>
      <c r="OA4" s="1128"/>
      <c r="OB4" s="1128"/>
      <c r="OC4" s="1128"/>
      <c r="OD4" s="1128"/>
      <c r="OE4" s="1128"/>
      <c r="OF4" s="1128"/>
      <c r="OG4" s="1128"/>
      <c r="OH4" s="1128"/>
      <c r="OI4" s="1128"/>
      <c r="OJ4" s="1128"/>
      <c r="OK4" s="1128"/>
      <c r="OL4" s="1128"/>
      <c r="OM4" s="1128"/>
      <c r="ON4" s="1128"/>
      <c r="OO4" s="1128"/>
      <c r="OP4" s="1128"/>
      <c r="OQ4" s="1128"/>
      <c r="OR4" s="1128"/>
      <c r="OS4" s="1128"/>
      <c r="OT4" s="1128"/>
      <c r="OU4" s="1128"/>
      <c r="OV4" s="1128"/>
      <c r="OW4" s="1128"/>
      <c r="OX4" s="1128"/>
      <c r="OY4" s="1128"/>
      <c r="OZ4" s="1128"/>
      <c r="PA4" s="1128"/>
      <c r="PB4" s="1128"/>
      <c r="PC4" s="1128"/>
      <c r="PD4" s="1128"/>
      <c r="PE4" s="1128"/>
      <c r="PF4" s="1128"/>
      <c r="PG4" s="1128"/>
      <c r="PH4" s="1128"/>
      <c r="PI4" s="1128"/>
      <c r="PJ4" s="1128"/>
      <c r="PK4" s="1128"/>
      <c r="PL4" s="1128"/>
      <c r="PM4" s="1128"/>
      <c r="PN4" s="1128"/>
      <c r="PO4" s="1128"/>
      <c r="PP4" s="1128"/>
      <c r="PQ4" s="1128"/>
      <c r="PR4" s="1128"/>
      <c r="PS4" s="1128"/>
      <c r="PT4" s="1128"/>
      <c r="PU4" s="1128"/>
      <c r="PV4" s="1128"/>
      <c r="PW4" s="1128"/>
      <c r="PX4" s="1128"/>
      <c r="PY4" s="1128"/>
      <c r="PZ4" s="1128"/>
      <c r="QA4" s="1128"/>
      <c r="QB4" s="1128"/>
      <c r="QC4" s="1128"/>
      <c r="QD4" s="1128"/>
    </row>
    <row r="5" spans="1:446" ht="12" customHeight="1" x14ac:dyDescent="0.25">
      <c r="A5" s="660">
        <v>1</v>
      </c>
      <c r="B5" s="1132"/>
      <c r="C5" s="1134"/>
      <c r="D5" s="1132"/>
      <c r="E5" s="1132"/>
      <c r="F5" s="1129" t="s">
        <v>94</v>
      </c>
      <c r="G5" s="1130"/>
      <c r="H5" s="1130"/>
      <c r="I5" s="1130"/>
      <c r="J5" s="1130"/>
      <c r="K5" s="1130"/>
      <c r="L5" s="1130"/>
      <c r="M5" s="1130"/>
      <c r="N5" s="1130"/>
      <c r="O5" s="1130"/>
      <c r="P5" s="1130"/>
      <c r="Q5" s="1130"/>
      <c r="R5" s="1130"/>
      <c r="S5" s="1130"/>
      <c r="T5" s="1130"/>
      <c r="U5" s="1130"/>
      <c r="V5" s="1130"/>
      <c r="W5" s="1130"/>
      <c r="X5" s="1130"/>
      <c r="Y5" s="1130"/>
      <c r="Z5" s="1130"/>
      <c r="AA5" s="1130"/>
      <c r="AB5" s="1130"/>
      <c r="AC5" s="1130"/>
      <c r="AD5" s="1130"/>
      <c r="AE5" s="1130"/>
      <c r="AF5" s="1130"/>
      <c r="AG5" s="1130"/>
      <c r="AH5" s="1130"/>
      <c r="AI5" s="1130"/>
      <c r="AJ5" s="1130"/>
      <c r="AK5" s="1130"/>
      <c r="AL5" s="1130"/>
      <c r="AM5" s="1130"/>
      <c r="AN5" s="1130"/>
      <c r="AO5" s="1130"/>
      <c r="AP5" s="1130"/>
      <c r="AQ5" s="1130"/>
      <c r="AR5" s="1130"/>
      <c r="AS5" s="1130"/>
      <c r="AT5" s="1130"/>
      <c r="AU5" s="1130"/>
      <c r="AV5" s="1130"/>
      <c r="AW5" s="1130"/>
      <c r="AX5" s="1131"/>
      <c r="AY5" s="1129" t="s">
        <v>94</v>
      </c>
      <c r="AZ5" s="1130"/>
      <c r="BA5" s="1130"/>
      <c r="BB5" s="1130"/>
      <c r="BC5" s="1130"/>
      <c r="BD5" s="1130"/>
      <c r="BE5" s="1130"/>
      <c r="BF5" s="1130"/>
      <c r="BG5" s="1130"/>
      <c r="BH5" s="1130"/>
      <c r="BI5" s="1130"/>
      <c r="BJ5" s="1130"/>
      <c r="BK5" s="1130"/>
      <c r="BL5" s="1130"/>
      <c r="BM5" s="1130"/>
      <c r="BN5" s="1130"/>
      <c r="BO5" s="1130"/>
      <c r="BP5" s="1130"/>
      <c r="BQ5" s="1130"/>
      <c r="BR5" s="1130"/>
      <c r="BS5" s="1130"/>
      <c r="BT5" s="1130"/>
      <c r="BU5" s="1130"/>
      <c r="BV5" s="1130"/>
      <c r="BW5" s="1130"/>
      <c r="BX5" s="1130"/>
      <c r="BY5" s="1130"/>
      <c r="BZ5" s="1130"/>
      <c r="CA5" s="1130"/>
      <c r="CB5" s="1130"/>
      <c r="CC5" s="1130"/>
      <c r="CD5" s="1130"/>
      <c r="CE5" s="1130"/>
      <c r="CF5" s="1130"/>
      <c r="CG5" s="1130"/>
      <c r="CH5" s="1130"/>
      <c r="CI5" s="1130"/>
      <c r="CJ5" s="1130"/>
      <c r="CK5" s="1130"/>
      <c r="CL5" s="1130"/>
      <c r="CM5" s="1130"/>
      <c r="CN5" s="1130"/>
      <c r="CO5" s="1130"/>
      <c r="CP5" s="1130"/>
      <c r="CQ5" s="1131"/>
      <c r="CR5" s="1129" t="s">
        <v>94</v>
      </c>
      <c r="CS5" s="1130"/>
      <c r="CT5" s="1130"/>
      <c r="CU5" s="1130"/>
      <c r="CV5" s="1130"/>
      <c r="CW5" s="1130"/>
      <c r="CX5" s="1130"/>
      <c r="CY5" s="1130"/>
      <c r="CZ5" s="1130"/>
      <c r="DA5" s="1130"/>
      <c r="DB5" s="1130"/>
      <c r="DC5" s="1130"/>
      <c r="DD5" s="1130"/>
      <c r="DE5" s="1130"/>
      <c r="DF5" s="1130"/>
      <c r="DG5" s="1130"/>
      <c r="DH5" s="1130"/>
      <c r="DI5" s="1130"/>
      <c r="DJ5" s="1130"/>
      <c r="DK5" s="1130"/>
      <c r="DL5" s="1130"/>
      <c r="DM5" s="1130"/>
      <c r="DN5" s="1130"/>
      <c r="DO5" s="1130"/>
      <c r="DP5" s="1130"/>
      <c r="DQ5" s="1130"/>
      <c r="DR5" s="1130"/>
      <c r="DS5" s="1130"/>
      <c r="DT5" s="1130"/>
      <c r="DU5" s="1130"/>
      <c r="DV5" s="1130"/>
      <c r="DW5" s="1130"/>
      <c r="DX5" s="1130"/>
      <c r="DY5" s="1130"/>
      <c r="DZ5" s="1130"/>
      <c r="EA5" s="1130"/>
      <c r="EB5" s="1130"/>
      <c r="EC5" s="1130"/>
      <c r="ED5" s="1130"/>
      <c r="EE5" s="1130"/>
      <c r="EF5" s="1130"/>
      <c r="EG5" s="1130"/>
      <c r="EH5" s="1130"/>
      <c r="EI5" s="1130"/>
      <c r="EJ5" s="1131"/>
      <c r="EK5" s="1129" t="s">
        <v>94</v>
      </c>
      <c r="EL5" s="1130"/>
      <c r="EM5" s="1130"/>
      <c r="EN5" s="1130"/>
      <c r="EO5" s="1130"/>
      <c r="EP5" s="1130"/>
      <c r="EQ5" s="1130"/>
      <c r="ER5" s="1130"/>
      <c r="ES5" s="1130"/>
      <c r="ET5" s="1130"/>
      <c r="EU5" s="1130"/>
      <c r="EV5" s="1130"/>
      <c r="EW5" s="1130"/>
      <c r="EX5" s="1130"/>
      <c r="EY5" s="1130"/>
      <c r="EZ5" s="1130"/>
      <c r="FA5" s="1130"/>
      <c r="FB5" s="1130"/>
      <c r="FC5" s="1130"/>
      <c r="FD5" s="1130"/>
      <c r="FE5" s="1130"/>
      <c r="FF5" s="1130"/>
      <c r="FG5" s="1130"/>
      <c r="FH5" s="1130"/>
      <c r="FI5" s="1130"/>
      <c r="FJ5" s="1130"/>
      <c r="FK5" s="1130"/>
      <c r="FL5" s="1130"/>
      <c r="FM5" s="1130"/>
      <c r="FN5" s="1130"/>
      <c r="FO5" s="1130"/>
      <c r="FP5" s="1130"/>
      <c r="FQ5" s="1130"/>
      <c r="FR5" s="1130"/>
      <c r="FS5" s="1130"/>
      <c r="FT5" s="1130"/>
      <c r="FU5" s="1130"/>
      <c r="FV5" s="1130"/>
      <c r="FW5" s="1130"/>
      <c r="FX5" s="1130"/>
      <c r="FY5" s="1130"/>
      <c r="FZ5" s="1130"/>
      <c r="GA5" s="1130"/>
      <c r="GB5" s="1130"/>
      <c r="GC5" s="1131"/>
      <c r="GD5" s="1129" t="s">
        <v>94</v>
      </c>
      <c r="GE5" s="1130"/>
      <c r="GF5" s="1130"/>
      <c r="GG5" s="1130"/>
      <c r="GH5" s="1130"/>
      <c r="GI5" s="1130"/>
      <c r="GJ5" s="1130"/>
      <c r="GK5" s="1130"/>
      <c r="GL5" s="1130"/>
      <c r="GM5" s="1130"/>
      <c r="GN5" s="1130"/>
      <c r="GO5" s="1130"/>
      <c r="GP5" s="1130"/>
      <c r="GQ5" s="1130"/>
      <c r="GR5" s="1130"/>
      <c r="GS5" s="1130"/>
      <c r="GT5" s="1130"/>
      <c r="GU5" s="1130"/>
      <c r="GV5" s="1130"/>
      <c r="GW5" s="1130"/>
      <c r="GX5" s="1130"/>
      <c r="GY5" s="1130"/>
      <c r="GZ5" s="1130"/>
      <c r="HA5" s="1130"/>
      <c r="HB5" s="1130"/>
      <c r="HC5" s="1130"/>
      <c r="HD5" s="1130"/>
      <c r="HE5" s="1130"/>
      <c r="HF5" s="1130"/>
      <c r="HG5" s="1130"/>
      <c r="HH5" s="1130"/>
      <c r="HI5" s="1130"/>
      <c r="HJ5" s="1130"/>
      <c r="HK5" s="1130"/>
      <c r="HL5" s="1130"/>
      <c r="HM5" s="1130"/>
      <c r="HN5" s="1130"/>
      <c r="HO5" s="1130"/>
      <c r="HP5" s="1130"/>
      <c r="HQ5" s="1130"/>
      <c r="HR5" s="1130"/>
      <c r="HS5" s="1130"/>
      <c r="HT5" s="1130"/>
      <c r="HU5" s="1130"/>
      <c r="HV5" s="1131"/>
      <c r="HW5" s="1129" t="s">
        <v>94</v>
      </c>
      <c r="HX5" s="1130"/>
      <c r="HY5" s="1130"/>
      <c r="HZ5" s="1130"/>
      <c r="IA5" s="1130"/>
      <c r="IB5" s="1130"/>
      <c r="IC5" s="1130"/>
      <c r="ID5" s="1130"/>
      <c r="IE5" s="1130"/>
      <c r="IF5" s="1130"/>
      <c r="IG5" s="1130"/>
      <c r="IH5" s="1130"/>
      <c r="II5" s="1130"/>
      <c r="IJ5" s="1130"/>
      <c r="IK5" s="1130"/>
      <c r="IL5" s="1130"/>
      <c r="IM5" s="1130"/>
      <c r="IN5" s="1130"/>
      <c r="IO5" s="1130"/>
      <c r="IP5" s="1130"/>
      <c r="IQ5" s="1130"/>
      <c r="IR5" s="1130"/>
      <c r="IS5" s="1130"/>
      <c r="IT5" s="1130"/>
      <c r="IU5" s="1130"/>
      <c r="IV5" s="1130"/>
      <c r="IW5" s="1130"/>
      <c r="IX5" s="1130"/>
      <c r="IY5" s="1130"/>
      <c r="IZ5" s="1130"/>
      <c r="JA5" s="1130"/>
      <c r="JB5" s="1130"/>
      <c r="JC5" s="1130"/>
      <c r="JD5" s="1130"/>
      <c r="JE5" s="1130"/>
      <c r="JF5" s="1130"/>
      <c r="JG5" s="1130"/>
      <c r="JH5" s="1130"/>
      <c r="JI5" s="1130"/>
      <c r="JJ5" s="1130"/>
      <c r="JK5" s="1130"/>
      <c r="JL5" s="1130"/>
      <c r="JM5" s="1130"/>
      <c r="JN5" s="1130"/>
      <c r="JO5" s="1131"/>
      <c r="JP5" s="1129" t="s">
        <v>94</v>
      </c>
      <c r="JQ5" s="1130"/>
      <c r="JR5" s="1130"/>
      <c r="JS5" s="1130"/>
      <c r="JT5" s="1130"/>
      <c r="JU5" s="1130"/>
      <c r="JV5" s="1130"/>
      <c r="JW5" s="1130"/>
      <c r="JX5" s="1130"/>
      <c r="JY5" s="1130"/>
      <c r="JZ5" s="1130"/>
      <c r="KA5" s="1130"/>
      <c r="KB5" s="1130"/>
      <c r="KC5" s="1130"/>
      <c r="KD5" s="1130"/>
      <c r="KE5" s="1130"/>
      <c r="KF5" s="1130"/>
      <c r="KG5" s="1130"/>
      <c r="KH5" s="1130"/>
      <c r="KI5" s="1130"/>
      <c r="KJ5" s="1130"/>
      <c r="KK5" s="1130"/>
      <c r="KL5" s="1130"/>
      <c r="KM5" s="1130"/>
      <c r="KN5" s="1130"/>
      <c r="KO5" s="1130"/>
      <c r="KP5" s="1130"/>
      <c r="KQ5" s="1130"/>
      <c r="KR5" s="1130"/>
      <c r="KS5" s="1130"/>
      <c r="KT5" s="1130"/>
      <c r="KU5" s="1130"/>
      <c r="KV5" s="1130"/>
      <c r="KW5" s="1130"/>
      <c r="KX5" s="1130"/>
      <c r="KY5" s="1130"/>
      <c r="KZ5" s="1130"/>
      <c r="LA5" s="1130"/>
      <c r="LB5" s="1130"/>
      <c r="LC5" s="1130"/>
      <c r="LD5" s="1130"/>
      <c r="LE5" s="1130"/>
      <c r="LF5" s="1130"/>
      <c r="LG5" s="1130"/>
      <c r="LH5" s="1131"/>
      <c r="LI5" s="1129" t="s">
        <v>94</v>
      </c>
      <c r="LJ5" s="1130"/>
      <c r="LK5" s="1130"/>
      <c r="LL5" s="1130"/>
      <c r="LM5" s="1130"/>
      <c r="LN5" s="1130"/>
      <c r="LO5" s="1130"/>
      <c r="LP5" s="1130"/>
      <c r="LQ5" s="1130"/>
      <c r="LR5" s="1130"/>
      <c r="LS5" s="1130"/>
      <c r="LT5" s="1130"/>
      <c r="LU5" s="1130"/>
      <c r="LV5" s="1130"/>
      <c r="LW5" s="1130"/>
      <c r="LX5" s="1130"/>
      <c r="LY5" s="1130"/>
      <c r="LZ5" s="1130"/>
      <c r="MA5" s="1130"/>
      <c r="MB5" s="1130"/>
      <c r="MC5" s="1130"/>
      <c r="MD5" s="1130"/>
      <c r="ME5" s="1130"/>
      <c r="MF5" s="1130"/>
      <c r="MG5" s="1130"/>
      <c r="MH5" s="1130"/>
      <c r="MI5" s="1130"/>
      <c r="MJ5" s="1130"/>
      <c r="MK5" s="1130"/>
      <c r="ML5" s="1130"/>
      <c r="MM5" s="1130"/>
      <c r="MN5" s="1130"/>
      <c r="MO5" s="1130"/>
      <c r="MP5" s="1130"/>
      <c r="MQ5" s="1130"/>
      <c r="MR5" s="1130"/>
      <c r="MS5" s="1130"/>
      <c r="MT5" s="1130"/>
      <c r="MU5" s="1130"/>
      <c r="MV5" s="1130"/>
      <c r="MW5" s="1130"/>
      <c r="MX5" s="1130"/>
      <c r="MY5" s="1130"/>
      <c r="MZ5" s="1130"/>
      <c r="NA5" s="1131"/>
      <c r="NB5" s="1129" t="s">
        <v>94</v>
      </c>
      <c r="NC5" s="1130"/>
      <c r="ND5" s="1130"/>
      <c r="NE5" s="1130"/>
      <c r="NF5" s="1130"/>
      <c r="NG5" s="1130"/>
      <c r="NH5" s="1130"/>
      <c r="NI5" s="1130"/>
      <c r="NJ5" s="1130"/>
      <c r="NK5" s="1130"/>
      <c r="NL5" s="1130"/>
      <c r="NM5" s="1130"/>
      <c r="NN5" s="1130"/>
      <c r="NO5" s="1130"/>
      <c r="NP5" s="1130"/>
      <c r="NQ5" s="1130"/>
      <c r="NR5" s="1130"/>
      <c r="NS5" s="1130"/>
      <c r="NT5" s="1130"/>
      <c r="NU5" s="1130"/>
      <c r="NV5" s="1130"/>
      <c r="NW5" s="1130"/>
      <c r="NX5" s="1130"/>
      <c r="NY5" s="1130"/>
      <c r="NZ5" s="1130"/>
      <c r="OA5" s="1130"/>
      <c r="OB5" s="1130"/>
      <c r="OC5" s="1130"/>
      <c r="OD5" s="1130"/>
      <c r="OE5" s="1130"/>
      <c r="OF5" s="1130"/>
      <c r="OG5" s="1130"/>
      <c r="OH5" s="1130"/>
      <c r="OI5" s="1130"/>
      <c r="OJ5" s="1130"/>
      <c r="OK5" s="1130"/>
      <c r="OL5" s="1130"/>
      <c r="OM5" s="1130"/>
      <c r="ON5" s="1130"/>
      <c r="OO5" s="1130"/>
      <c r="OP5" s="1130"/>
      <c r="OQ5" s="1130"/>
      <c r="OR5" s="1130"/>
      <c r="OS5" s="1130"/>
      <c r="OT5" s="1131"/>
      <c r="OU5" s="1129" t="s">
        <v>94</v>
      </c>
      <c r="OV5" s="1130"/>
      <c r="OW5" s="1130"/>
      <c r="OX5" s="1130"/>
      <c r="OY5" s="1130"/>
      <c r="OZ5" s="1130"/>
      <c r="PA5" s="1130"/>
      <c r="PB5" s="1130"/>
      <c r="PC5" s="1130"/>
      <c r="PD5" s="1130"/>
      <c r="PE5" s="1130"/>
      <c r="PF5" s="1130"/>
      <c r="PG5" s="1130"/>
      <c r="PH5" s="1130"/>
      <c r="PI5" s="1130"/>
      <c r="PJ5" s="1130"/>
      <c r="PK5" s="1130"/>
      <c r="PL5" s="1130"/>
      <c r="PM5" s="1130"/>
      <c r="PN5" s="1130"/>
      <c r="PO5" s="1130"/>
      <c r="PP5" s="1130"/>
      <c r="PQ5" s="1130"/>
      <c r="PR5" s="1130"/>
      <c r="PS5" s="1130"/>
      <c r="PT5" s="1130"/>
      <c r="PU5" s="1130"/>
      <c r="PV5" s="1130"/>
      <c r="PW5" s="1130"/>
      <c r="PX5" s="1130"/>
      <c r="PY5" s="1130"/>
      <c r="PZ5" s="1130"/>
      <c r="QA5" s="1130"/>
      <c r="QB5" s="1130"/>
      <c r="QC5" s="1130"/>
      <c r="QD5" s="1131"/>
    </row>
    <row r="6" spans="1:446" ht="12" customHeight="1" x14ac:dyDescent="0.25">
      <c r="A6" s="660">
        <v>1</v>
      </c>
      <c r="B6" s="1132"/>
      <c r="C6" s="1134"/>
      <c r="D6" s="1132"/>
      <c r="E6" s="1132"/>
      <c r="F6" s="1128"/>
      <c r="G6" s="1128"/>
      <c r="H6" s="1128"/>
      <c r="I6" s="1128"/>
      <c r="J6" s="1128"/>
      <c r="K6" s="1128"/>
      <c r="L6" s="1128"/>
      <c r="M6" s="1128"/>
      <c r="N6" s="1128"/>
      <c r="O6" s="1128"/>
      <c r="P6" s="1128"/>
      <c r="Q6" s="1128"/>
      <c r="R6" s="1128"/>
      <c r="S6" s="1128"/>
      <c r="T6" s="1128"/>
      <c r="U6" s="1128"/>
      <c r="V6" s="1128"/>
      <c r="W6" s="1128"/>
      <c r="X6" s="1128"/>
      <c r="Y6" s="1128"/>
      <c r="Z6" s="1128"/>
      <c r="AA6" s="1128"/>
      <c r="AB6" s="1128"/>
      <c r="AC6" s="1128"/>
      <c r="AD6" s="1128"/>
      <c r="AE6" s="1128"/>
      <c r="AF6" s="1128"/>
      <c r="AG6" s="1128"/>
      <c r="AH6" s="1128"/>
      <c r="AI6" s="1128"/>
      <c r="AJ6" s="1128"/>
      <c r="AK6" s="1128"/>
      <c r="AL6" s="1128"/>
      <c r="AM6" s="1128"/>
      <c r="AN6" s="1128"/>
      <c r="AO6" s="1128"/>
      <c r="AP6" s="1128"/>
      <c r="AQ6" s="1128"/>
      <c r="AR6" s="1128"/>
      <c r="AS6" s="1128"/>
      <c r="AT6" s="1128"/>
      <c r="AU6" s="1128"/>
      <c r="AV6" s="1128"/>
      <c r="AW6" s="1128"/>
      <c r="AX6" s="1128"/>
      <c r="AY6" s="1128"/>
      <c r="AZ6" s="1128"/>
      <c r="BA6" s="1128"/>
      <c r="BB6" s="1128"/>
      <c r="BC6" s="1128"/>
      <c r="BD6" s="1128"/>
      <c r="BE6" s="1128"/>
      <c r="BF6" s="1128"/>
      <c r="BG6" s="1128"/>
      <c r="BH6" s="1128"/>
      <c r="BI6" s="1128"/>
      <c r="BJ6" s="1128"/>
      <c r="BK6" s="1128"/>
      <c r="BL6" s="1128"/>
      <c r="BM6" s="1128"/>
      <c r="BN6" s="1128"/>
      <c r="BO6" s="1128"/>
      <c r="BP6" s="1128"/>
      <c r="BQ6" s="1128"/>
      <c r="BR6" s="1128"/>
      <c r="BS6" s="1128"/>
      <c r="BT6" s="1128"/>
      <c r="BU6" s="1128"/>
      <c r="BV6" s="1128"/>
      <c r="BW6" s="1128"/>
      <c r="BX6" s="1128"/>
      <c r="BY6" s="1128"/>
      <c r="BZ6" s="1128"/>
      <c r="CA6" s="1128"/>
      <c r="CB6" s="1128"/>
      <c r="CC6" s="1128"/>
      <c r="CD6" s="1128"/>
      <c r="CE6" s="1128"/>
      <c r="CF6" s="1128"/>
      <c r="CG6" s="1128"/>
      <c r="CH6" s="1128"/>
      <c r="CI6" s="1128"/>
      <c r="CJ6" s="1128"/>
      <c r="CK6" s="1128"/>
      <c r="CL6" s="1128"/>
      <c r="CM6" s="1128"/>
      <c r="CN6" s="1128"/>
      <c r="CO6" s="1128"/>
      <c r="CP6" s="1128"/>
      <c r="CQ6" s="1128"/>
      <c r="CR6" s="1128"/>
      <c r="CS6" s="1128"/>
      <c r="CT6" s="1128"/>
      <c r="CU6" s="1128"/>
      <c r="CV6" s="1128"/>
      <c r="CW6" s="1128"/>
      <c r="CX6" s="1128"/>
      <c r="CY6" s="1128"/>
      <c r="CZ6" s="1128"/>
      <c r="DA6" s="1128"/>
      <c r="DB6" s="1128"/>
      <c r="DC6" s="1128"/>
      <c r="DD6" s="1128"/>
      <c r="DE6" s="1128"/>
      <c r="DF6" s="1128"/>
      <c r="DG6" s="1128"/>
      <c r="DH6" s="1128"/>
      <c r="DI6" s="1128"/>
      <c r="DJ6" s="1128"/>
      <c r="DK6" s="1128"/>
      <c r="DL6" s="1128"/>
      <c r="DM6" s="1128"/>
      <c r="DN6" s="1128"/>
      <c r="DO6" s="1128"/>
      <c r="DP6" s="1128"/>
      <c r="DQ6" s="1128"/>
      <c r="DR6" s="1128"/>
      <c r="DS6" s="1128"/>
      <c r="DT6" s="1128"/>
      <c r="DU6" s="1128"/>
      <c r="DV6" s="1128"/>
      <c r="DW6" s="1128"/>
      <c r="DX6" s="1128"/>
      <c r="DY6" s="1128"/>
      <c r="DZ6" s="1128"/>
      <c r="EA6" s="1128"/>
      <c r="EB6" s="1128"/>
      <c r="EC6" s="1128"/>
      <c r="ED6" s="1128"/>
      <c r="EE6" s="1128"/>
      <c r="EF6" s="1128"/>
      <c r="EG6" s="1128"/>
      <c r="EH6" s="1128"/>
      <c r="EI6" s="1128"/>
      <c r="EJ6" s="1128"/>
      <c r="EK6" s="1128"/>
      <c r="EL6" s="1128"/>
      <c r="EM6" s="1128"/>
      <c r="EN6" s="1128"/>
      <c r="EO6" s="1128"/>
      <c r="EP6" s="1128"/>
      <c r="EQ6" s="1128"/>
      <c r="ER6" s="1128"/>
      <c r="ES6" s="1128"/>
      <c r="ET6" s="1128"/>
      <c r="EU6" s="1128"/>
      <c r="EV6" s="1128"/>
      <c r="EW6" s="1128"/>
      <c r="EX6" s="1128"/>
      <c r="EY6" s="1128"/>
      <c r="EZ6" s="1128"/>
      <c r="FA6" s="1128"/>
      <c r="FB6" s="1128"/>
      <c r="FC6" s="1128"/>
      <c r="FD6" s="1128"/>
      <c r="FE6" s="1128"/>
      <c r="FF6" s="1128"/>
      <c r="FG6" s="1128"/>
      <c r="FH6" s="1128"/>
      <c r="FI6" s="1128"/>
      <c r="FJ6" s="1128"/>
      <c r="FK6" s="1128"/>
      <c r="FL6" s="1128"/>
      <c r="FM6" s="1128"/>
      <c r="FN6" s="1128"/>
      <c r="FO6" s="1128"/>
      <c r="FP6" s="1128"/>
      <c r="FQ6" s="1128"/>
      <c r="FR6" s="1128"/>
      <c r="FS6" s="1128"/>
      <c r="FT6" s="1128"/>
      <c r="FU6" s="1128"/>
      <c r="FV6" s="1128"/>
      <c r="FW6" s="1128"/>
      <c r="FX6" s="1128"/>
      <c r="FY6" s="1128"/>
      <c r="FZ6" s="1128"/>
      <c r="GA6" s="1128"/>
      <c r="GB6" s="1128"/>
      <c r="GC6" s="1128"/>
      <c r="GD6" s="1128"/>
      <c r="GE6" s="1128"/>
      <c r="GF6" s="1128"/>
      <c r="GG6" s="1128"/>
      <c r="GH6" s="1128"/>
      <c r="GI6" s="1128"/>
      <c r="GJ6" s="1128"/>
      <c r="GK6" s="1128"/>
      <c r="GL6" s="1128"/>
      <c r="GM6" s="1128"/>
      <c r="GN6" s="1128"/>
      <c r="GO6" s="1128"/>
      <c r="GP6" s="1128"/>
      <c r="GQ6" s="1128"/>
      <c r="GR6" s="1128"/>
      <c r="GS6" s="1128"/>
      <c r="GT6" s="1128"/>
      <c r="GU6" s="1128"/>
      <c r="GV6" s="1128"/>
      <c r="GW6" s="1128"/>
      <c r="GX6" s="1128"/>
      <c r="GY6" s="1128"/>
      <c r="GZ6" s="1128"/>
      <c r="HA6" s="1128"/>
      <c r="HB6" s="1128"/>
      <c r="HC6" s="1128"/>
      <c r="HD6" s="1128"/>
      <c r="HE6" s="1128"/>
      <c r="HF6" s="1128"/>
      <c r="HG6" s="1128"/>
      <c r="HH6" s="1128"/>
      <c r="HI6" s="1128"/>
      <c r="HJ6" s="1128"/>
      <c r="HK6" s="1128"/>
      <c r="HL6" s="1128"/>
      <c r="HM6" s="1128"/>
      <c r="HN6" s="1128"/>
      <c r="HO6" s="1128"/>
      <c r="HP6" s="1128"/>
      <c r="HQ6" s="1128"/>
      <c r="HR6" s="1128"/>
      <c r="HS6" s="1128"/>
      <c r="HT6" s="1128"/>
      <c r="HU6" s="1128"/>
      <c r="HV6" s="1128"/>
      <c r="HW6" s="1128"/>
      <c r="HX6" s="1128"/>
      <c r="HY6" s="1128"/>
      <c r="HZ6" s="1128"/>
      <c r="IA6" s="1128"/>
      <c r="IB6" s="1128"/>
      <c r="IC6" s="1128"/>
      <c r="ID6" s="1128"/>
      <c r="IE6" s="1128"/>
      <c r="IF6" s="1128"/>
      <c r="IG6" s="1128"/>
      <c r="IH6" s="1128"/>
      <c r="II6" s="1128"/>
      <c r="IJ6" s="1128"/>
      <c r="IK6" s="1128"/>
      <c r="IL6" s="1128"/>
      <c r="IM6" s="1128"/>
      <c r="IN6" s="1128"/>
      <c r="IO6" s="1128"/>
      <c r="IP6" s="1128"/>
      <c r="IQ6" s="1128"/>
      <c r="IR6" s="1128"/>
      <c r="IS6" s="1128"/>
      <c r="IT6" s="1128"/>
      <c r="IU6" s="1128"/>
      <c r="IV6" s="1128"/>
      <c r="IW6" s="1128"/>
      <c r="IX6" s="1128"/>
      <c r="IY6" s="1128"/>
      <c r="IZ6" s="1128"/>
      <c r="JA6" s="1128"/>
      <c r="JB6" s="1128"/>
      <c r="JC6" s="1128"/>
      <c r="JD6" s="1128"/>
      <c r="JE6" s="1128"/>
      <c r="JF6" s="1128"/>
      <c r="JG6" s="1128"/>
      <c r="JH6" s="1128"/>
      <c r="JI6" s="1128"/>
      <c r="JJ6" s="1128"/>
      <c r="JK6" s="1128"/>
      <c r="JL6" s="1128"/>
      <c r="JM6" s="1128"/>
      <c r="JN6" s="1128"/>
      <c r="JO6" s="1128"/>
      <c r="JP6" s="1128"/>
      <c r="JQ6" s="1128"/>
      <c r="JR6" s="1128"/>
      <c r="JS6" s="1128"/>
      <c r="JT6" s="1128"/>
      <c r="JU6" s="1128"/>
      <c r="JV6" s="1128"/>
      <c r="JW6" s="1128"/>
      <c r="JX6" s="1128"/>
      <c r="JY6" s="1128"/>
      <c r="JZ6" s="1128"/>
      <c r="KA6" s="1128"/>
      <c r="KB6" s="1128"/>
      <c r="KC6" s="1128"/>
      <c r="KD6" s="1128"/>
      <c r="KE6" s="1128"/>
      <c r="KF6" s="1128"/>
      <c r="KG6" s="1128"/>
      <c r="KH6" s="1128"/>
      <c r="KI6" s="1128"/>
      <c r="KJ6" s="1128"/>
      <c r="KK6" s="1128"/>
      <c r="KL6" s="1128"/>
      <c r="KM6" s="1128"/>
      <c r="KN6" s="1128"/>
      <c r="KO6" s="1128"/>
      <c r="KP6" s="1128"/>
      <c r="KQ6" s="1128"/>
      <c r="KR6" s="1128"/>
      <c r="KS6" s="1128"/>
      <c r="KT6" s="1128"/>
      <c r="KU6" s="1128"/>
      <c r="KV6" s="1128"/>
      <c r="KW6" s="1128"/>
      <c r="KX6" s="1128"/>
      <c r="KY6" s="1128"/>
      <c r="KZ6" s="1128"/>
      <c r="LA6" s="1128"/>
      <c r="LB6" s="1128"/>
      <c r="LC6" s="1128"/>
      <c r="LD6" s="1128"/>
      <c r="LE6" s="1128"/>
      <c r="LF6" s="1128"/>
      <c r="LG6" s="1128"/>
      <c r="LH6" s="1128"/>
      <c r="LI6" s="1128"/>
      <c r="LJ6" s="1128"/>
      <c r="LK6" s="1128"/>
      <c r="LL6" s="1128"/>
      <c r="LM6" s="1128"/>
      <c r="LN6" s="1128"/>
      <c r="LO6" s="1128"/>
      <c r="LP6" s="1128"/>
      <c r="LQ6" s="1128"/>
      <c r="LR6" s="1128"/>
      <c r="LS6" s="1128"/>
      <c r="LT6" s="1128"/>
      <c r="LU6" s="1128"/>
      <c r="LV6" s="1128"/>
      <c r="LW6" s="1128"/>
      <c r="LX6" s="1128"/>
      <c r="LY6" s="1128"/>
      <c r="LZ6" s="1128"/>
      <c r="MA6" s="1128"/>
      <c r="MB6" s="1128"/>
      <c r="MC6" s="1128"/>
      <c r="MD6" s="1128"/>
      <c r="ME6" s="1128"/>
      <c r="MF6" s="1128"/>
      <c r="MG6" s="1128"/>
      <c r="MH6" s="1128"/>
      <c r="MI6" s="1128"/>
      <c r="MJ6" s="1128"/>
      <c r="MK6" s="1128"/>
      <c r="ML6" s="1128"/>
      <c r="MM6" s="1128"/>
      <c r="MN6" s="1128"/>
      <c r="MO6" s="1128"/>
      <c r="MP6" s="1128"/>
      <c r="MQ6" s="1128"/>
      <c r="MR6" s="1128"/>
      <c r="MS6" s="1128"/>
      <c r="MT6" s="1128"/>
      <c r="MU6" s="1128"/>
      <c r="MV6" s="1128"/>
      <c r="MW6" s="1128"/>
      <c r="MX6" s="1128"/>
      <c r="MY6" s="1128"/>
      <c r="MZ6" s="1128"/>
      <c r="NA6" s="1128"/>
      <c r="NB6" s="1128"/>
      <c r="NC6" s="1128"/>
      <c r="ND6" s="1128"/>
      <c r="NE6" s="1128"/>
      <c r="NF6" s="1128"/>
      <c r="NG6" s="1128"/>
      <c r="NH6" s="1128"/>
      <c r="NI6" s="1128"/>
      <c r="NJ6" s="1128"/>
      <c r="NK6" s="1128"/>
      <c r="NL6" s="1128"/>
      <c r="NM6" s="1128"/>
      <c r="NN6" s="1128"/>
      <c r="NO6" s="1128"/>
      <c r="NP6" s="1128"/>
      <c r="NQ6" s="1128"/>
      <c r="NR6" s="1128"/>
      <c r="NS6" s="1128"/>
      <c r="NT6" s="1128"/>
      <c r="NU6" s="1128"/>
      <c r="NV6" s="1128"/>
      <c r="NW6" s="1128"/>
      <c r="NX6" s="1128"/>
      <c r="NY6" s="1128"/>
      <c r="NZ6" s="1128"/>
      <c r="OA6" s="1128"/>
      <c r="OB6" s="1128"/>
      <c r="OC6" s="1128"/>
      <c r="OD6" s="1128"/>
      <c r="OE6" s="1128"/>
      <c r="OF6" s="1128"/>
      <c r="OG6" s="1128"/>
      <c r="OH6" s="1128"/>
      <c r="OI6" s="1128"/>
      <c r="OJ6" s="1128"/>
      <c r="OK6" s="1128"/>
      <c r="OL6" s="1128"/>
      <c r="OM6" s="1128"/>
      <c r="ON6" s="1128"/>
      <c r="OO6" s="1128"/>
      <c r="OP6" s="1128"/>
      <c r="OQ6" s="1128"/>
      <c r="OR6" s="1128"/>
      <c r="OS6" s="1128"/>
      <c r="OT6" s="1128"/>
      <c r="OU6" s="1128"/>
      <c r="OV6" s="1128"/>
      <c r="OW6" s="1128"/>
      <c r="OX6" s="1128"/>
      <c r="OY6" s="1128"/>
      <c r="OZ6" s="1128"/>
      <c r="PA6" s="1128"/>
      <c r="PB6" s="1128"/>
      <c r="PC6" s="1128"/>
      <c r="PD6" s="1128"/>
      <c r="PE6" s="1128"/>
      <c r="PF6" s="1128"/>
      <c r="PG6" s="1128"/>
      <c r="PH6" s="1128"/>
      <c r="PI6" s="1128"/>
      <c r="PJ6" s="1128"/>
      <c r="PK6" s="1128"/>
      <c r="PL6" s="1128"/>
      <c r="PM6" s="1128"/>
      <c r="PN6" s="1128"/>
      <c r="PO6" s="1128"/>
      <c r="PP6" s="1128"/>
      <c r="PQ6" s="1128"/>
      <c r="PR6" s="1128"/>
      <c r="PS6" s="1128"/>
      <c r="PT6" s="1128"/>
      <c r="PU6" s="1128"/>
      <c r="PV6" s="1128"/>
      <c r="PW6" s="1128"/>
      <c r="PX6" s="1128"/>
      <c r="PY6" s="1128"/>
      <c r="PZ6" s="1128"/>
      <c r="QA6" s="1128"/>
      <c r="QB6" s="1128"/>
      <c r="QC6" s="1128"/>
      <c r="QD6" s="1128"/>
    </row>
    <row r="7" spans="1:446" ht="12" customHeight="1" x14ac:dyDescent="0.25">
      <c r="A7" s="660">
        <v>1</v>
      </c>
      <c r="B7" s="1132"/>
      <c r="C7" s="1134"/>
      <c r="D7" s="1132"/>
      <c r="E7" s="1132"/>
      <c r="F7" s="1129" t="s">
        <v>95</v>
      </c>
      <c r="G7" s="1130"/>
      <c r="H7" s="1130"/>
      <c r="I7" s="1130"/>
      <c r="J7" s="1130"/>
      <c r="K7" s="1130"/>
      <c r="L7" s="1130"/>
      <c r="M7" s="1130"/>
      <c r="N7" s="1130"/>
      <c r="O7" s="1130"/>
      <c r="P7" s="1130"/>
      <c r="Q7" s="1130"/>
      <c r="R7" s="1130"/>
      <c r="S7" s="1130"/>
      <c r="T7" s="1130"/>
      <c r="U7" s="1130"/>
      <c r="V7" s="1130"/>
      <c r="W7" s="1130"/>
      <c r="X7" s="1130"/>
      <c r="Y7" s="1130"/>
      <c r="Z7" s="1130"/>
      <c r="AA7" s="1130"/>
      <c r="AB7" s="1130"/>
      <c r="AC7" s="1130"/>
      <c r="AD7" s="1130"/>
      <c r="AE7" s="1130"/>
      <c r="AF7" s="1130"/>
      <c r="AG7" s="1130"/>
      <c r="AH7" s="1130"/>
      <c r="AI7" s="1130"/>
      <c r="AJ7" s="1130"/>
      <c r="AK7" s="1130"/>
      <c r="AL7" s="1130"/>
      <c r="AM7" s="1130"/>
      <c r="AN7" s="1130"/>
      <c r="AO7" s="1130"/>
      <c r="AP7" s="1130"/>
      <c r="AQ7" s="1130"/>
      <c r="AR7" s="1130"/>
      <c r="AS7" s="1130"/>
      <c r="AT7" s="1130"/>
      <c r="AU7" s="1130"/>
      <c r="AV7" s="1130"/>
      <c r="AW7" s="1130"/>
      <c r="AX7" s="1131"/>
      <c r="AY7" s="1129" t="s">
        <v>95</v>
      </c>
      <c r="AZ7" s="1130"/>
      <c r="BA7" s="1130"/>
      <c r="BB7" s="1130"/>
      <c r="BC7" s="1130"/>
      <c r="BD7" s="1130"/>
      <c r="BE7" s="1130"/>
      <c r="BF7" s="1130"/>
      <c r="BG7" s="1130"/>
      <c r="BH7" s="1130"/>
      <c r="BI7" s="1130"/>
      <c r="BJ7" s="1130"/>
      <c r="BK7" s="1130"/>
      <c r="BL7" s="1130"/>
      <c r="BM7" s="1130"/>
      <c r="BN7" s="1130"/>
      <c r="BO7" s="1130"/>
      <c r="BP7" s="1130"/>
      <c r="BQ7" s="1130"/>
      <c r="BR7" s="1130"/>
      <c r="BS7" s="1130"/>
      <c r="BT7" s="1130"/>
      <c r="BU7" s="1130"/>
      <c r="BV7" s="1130"/>
      <c r="BW7" s="1130"/>
      <c r="BX7" s="1130"/>
      <c r="BY7" s="1130"/>
      <c r="BZ7" s="1130"/>
      <c r="CA7" s="1130"/>
      <c r="CB7" s="1130"/>
      <c r="CC7" s="1130"/>
      <c r="CD7" s="1130"/>
      <c r="CE7" s="1130"/>
      <c r="CF7" s="1130"/>
      <c r="CG7" s="1130"/>
      <c r="CH7" s="1130"/>
      <c r="CI7" s="1130"/>
      <c r="CJ7" s="1130"/>
      <c r="CK7" s="1130"/>
      <c r="CL7" s="1130"/>
      <c r="CM7" s="1130"/>
      <c r="CN7" s="1130"/>
      <c r="CO7" s="1130"/>
      <c r="CP7" s="1130"/>
      <c r="CQ7" s="1131"/>
      <c r="CR7" s="1129" t="s">
        <v>95</v>
      </c>
      <c r="CS7" s="1130"/>
      <c r="CT7" s="1130"/>
      <c r="CU7" s="1130"/>
      <c r="CV7" s="1130"/>
      <c r="CW7" s="1130"/>
      <c r="CX7" s="1130"/>
      <c r="CY7" s="1130"/>
      <c r="CZ7" s="1130"/>
      <c r="DA7" s="1130"/>
      <c r="DB7" s="1130"/>
      <c r="DC7" s="1130"/>
      <c r="DD7" s="1130"/>
      <c r="DE7" s="1130"/>
      <c r="DF7" s="1130"/>
      <c r="DG7" s="1130"/>
      <c r="DH7" s="1130"/>
      <c r="DI7" s="1130"/>
      <c r="DJ7" s="1130"/>
      <c r="DK7" s="1130"/>
      <c r="DL7" s="1130"/>
      <c r="DM7" s="1130"/>
      <c r="DN7" s="1130"/>
      <c r="DO7" s="1130"/>
      <c r="DP7" s="1130"/>
      <c r="DQ7" s="1130"/>
      <c r="DR7" s="1130"/>
      <c r="DS7" s="1130"/>
      <c r="DT7" s="1130"/>
      <c r="DU7" s="1130"/>
      <c r="DV7" s="1130"/>
      <c r="DW7" s="1130"/>
      <c r="DX7" s="1130"/>
      <c r="DY7" s="1130"/>
      <c r="DZ7" s="1130"/>
      <c r="EA7" s="1130"/>
      <c r="EB7" s="1130"/>
      <c r="EC7" s="1130"/>
      <c r="ED7" s="1130"/>
      <c r="EE7" s="1130"/>
      <c r="EF7" s="1130"/>
      <c r="EG7" s="1130"/>
      <c r="EH7" s="1130"/>
      <c r="EI7" s="1130"/>
      <c r="EJ7" s="1131"/>
      <c r="EK7" s="1129" t="s">
        <v>95</v>
      </c>
      <c r="EL7" s="1130"/>
      <c r="EM7" s="1130"/>
      <c r="EN7" s="1130"/>
      <c r="EO7" s="1130"/>
      <c r="EP7" s="1130"/>
      <c r="EQ7" s="1130"/>
      <c r="ER7" s="1130"/>
      <c r="ES7" s="1130"/>
      <c r="ET7" s="1130"/>
      <c r="EU7" s="1130"/>
      <c r="EV7" s="1130"/>
      <c r="EW7" s="1130"/>
      <c r="EX7" s="1130"/>
      <c r="EY7" s="1130"/>
      <c r="EZ7" s="1130"/>
      <c r="FA7" s="1130"/>
      <c r="FB7" s="1130"/>
      <c r="FC7" s="1130"/>
      <c r="FD7" s="1130"/>
      <c r="FE7" s="1130"/>
      <c r="FF7" s="1130"/>
      <c r="FG7" s="1130"/>
      <c r="FH7" s="1130"/>
      <c r="FI7" s="1130"/>
      <c r="FJ7" s="1130"/>
      <c r="FK7" s="1130"/>
      <c r="FL7" s="1130"/>
      <c r="FM7" s="1130"/>
      <c r="FN7" s="1130"/>
      <c r="FO7" s="1130"/>
      <c r="FP7" s="1130"/>
      <c r="FQ7" s="1130"/>
      <c r="FR7" s="1130"/>
      <c r="FS7" s="1130"/>
      <c r="FT7" s="1130"/>
      <c r="FU7" s="1130"/>
      <c r="FV7" s="1130"/>
      <c r="FW7" s="1130"/>
      <c r="FX7" s="1130"/>
      <c r="FY7" s="1130"/>
      <c r="FZ7" s="1130"/>
      <c r="GA7" s="1130"/>
      <c r="GB7" s="1130"/>
      <c r="GC7" s="1131"/>
      <c r="GD7" s="1129" t="s">
        <v>95</v>
      </c>
      <c r="GE7" s="1130"/>
      <c r="GF7" s="1130"/>
      <c r="GG7" s="1130"/>
      <c r="GH7" s="1130"/>
      <c r="GI7" s="1130"/>
      <c r="GJ7" s="1130"/>
      <c r="GK7" s="1130"/>
      <c r="GL7" s="1130"/>
      <c r="GM7" s="1130"/>
      <c r="GN7" s="1130"/>
      <c r="GO7" s="1130"/>
      <c r="GP7" s="1130"/>
      <c r="GQ7" s="1130"/>
      <c r="GR7" s="1130"/>
      <c r="GS7" s="1130"/>
      <c r="GT7" s="1130"/>
      <c r="GU7" s="1130"/>
      <c r="GV7" s="1130"/>
      <c r="GW7" s="1130"/>
      <c r="GX7" s="1130"/>
      <c r="GY7" s="1130"/>
      <c r="GZ7" s="1130"/>
      <c r="HA7" s="1130"/>
      <c r="HB7" s="1130"/>
      <c r="HC7" s="1130"/>
      <c r="HD7" s="1130"/>
      <c r="HE7" s="1130"/>
      <c r="HF7" s="1130"/>
      <c r="HG7" s="1130"/>
      <c r="HH7" s="1130"/>
      <c r="HI7" s="1130"/>
      <c r="HJ7" s="1130"/>
      <c r="HK7" s="1130"/>
      <c r="HL7" s="1130"/>
      <c r="HM7" s="1130"/>
      <c r="HN7" s="1130"/>
      <c r="HO7" s="1130"/>
      <c r="HP7" s="1130"/>
      <c r="HQ7" s="1130"/>
      <c r="HR7" s="1130"/>
      <c r="HS7" s="1130"/>
      <c r="HT7" s="1130"/>
      <c r="HU7" s="1130"/>
      <c r="HV7" s="1131"/>
      <c r="HW7" s="1129" t="s">
        <v>95</v>
      </c>
      <c r="HX7" s="1130"/>
      <c r="HY7" s="1130"/>
      <c r="HZ7" s="1130"/>
      <c r="IA7" s="1130"/>
      <c r="IB7" s="1130"/>
      <c r="IC7" s="1130"/>
      <c r="ID7" s="1130"/>
      <c r="IE7" s="1130"/>
      <c r="IF7" s="1130"/>
      <c r="IG7" s="1130"/>
      <c r="IH7" s="1130"/>
      <c r="II7" s="1130"/>
      <c r="IJ7" s="1130"/>
      <c r="IK7" s="1130"/>
      <c r="IL7" s="1130"/>
      <c r="IM7" s="1130"/>
      <c r="IN7" s="1130"/>
      <c r="IO7" s="1130"/>
      <c r="IP7" s="1130"/>
      <c r="IQ7" s="1130"/>
      <c r="IR7" s="1130"/>
      <c r="IS7" s="1130"/>
      <c r="IT7" s="1130"/>
      <c r="IU7" s="1130"/>
      <c r="IV7" s="1130"/>
      <c r="IW7" s="1130"/>
      <c r="IX7" s="1130"/>
      <c r="IY7" s="1130"/>
      <c r="IZ7" s="1130"/>
      <c r="JA7" s="1130"/>
      <c r="JB7" s="1130"/>
      <c r="JC7" s="1130"/>
      <c r="JD7" s="1130"/>
      <c r="JE7" s="1130"/>
      <c r="JF7" s="1130"/>
      <c r="JG7" s="1130"/>
      <c r="JH7" s="1130"/>
      <c r="JI7" s="1130"/>
      <c r="JJ7" s="1130"/>
      <c r="JK7" s="1130"/>
      <c r="JL7" s="1130"/>
      <c r="JM7" s="1130"/>
      <c r="JN7" s="1130"/>
      <c r="JO7" s="1131"/>
      <c r="JP7" s="1129" t="s">
        <v>95</v>
      </c>
      <c r="JQ7" s="1130"/>
      <c r="JR7" s="1130"/>
      <c r="JS7" s="1130"/>
      <c r="JT7" s="1130"/>
      <c r="JU7" s="1130"/>
      <c r="JV7" s="1130"/>
      <c r="JW7" s="1130"/>
      <c r="JX7" s="1130"/>
      <c r="JY7" s="1130"/>
      <c r="JZ7" s="1130"/>
      <c r="KA7" s="1130"/>
      <c r="KB7" s="1130"/>
      <c r="KC7" s="1130"/>
      <c r="KD7" s="1130"/>
      <c r="KE7" s="1130"/>
      <c r="KF7" s="1130"/>
      <c r="KG7" s="1130"/>
      <c r="KH7" s="1130"/>
      <c r="KI7" s="1130"/>
      <c r="KJ7" s="1130"/>
      <c r="KK7" s="1130"/>
      <c r="KL7" s="1130"/>
      <c r="KM7" s="1130"/>
      <c r="KN7" s="1130"/>
      <c r="KO7" s="1130"/>
      <c r="KP7" s="1130"/>
      <c r="KQ7" s="1130"/>
      <c r="KR7" s="1130"/>
      <c r="KS7" s="1130"/>
      <c r="KT7" s="1130"/>
      <c r="KU7" s="1130"/>
      <c r="KV7" s="1130"/>
      <c r="KW7" s="1130"/>
      <c r="KX7" s="1130"/>
      <c r="KY7" s="1130"/>
      <c r="KZ7" s="1130"/>
      <c r="LA7" s="1130"/>
      <c r="LB7" s="1130"/>
      <c r="LC7" s="1130"/>
      <c r="LD7" s="1130"/>
      <c r="LE7" s="1130"/>
      <c r="LF7" s="1130"/>
      <c r="LG7" s="1130"/>
      <c r="LH7" s="1131"/>
      <c r="LI7" s="1129" t="s">
        <v>95</v>
      </c>
      <c r="LJ7" s="1130"/>
      <c r="LK7" s="1130"/>
      <c r="LL7" s="1130"/>
      <c r="LM7" s="1130"/>
      <c r="LN7" s="1130"/>
      <c r="LO7" s="1130"/>
      <c r="LP7" s="1130"/>
      <c r="LQ7" s="1130"/>
      <c r="LR7" s="1130"/>
      <c r="LS7" s="1130"/>
      <c r="LT7" s="1130"/>
      <c r="LU7" s="1130"/>
      <c r="LV7" s="1130"/>
      <c r="LW7" s="1130"/>
      <c r="LX7" s="1130"/>
      <c r="LY7" s="1130"/>
      <c r="LZ7" s="1130"/>
      <c r="MA7" s="1130"/>
      <c r="MB7" s="1130"/>
      <c r="MC7" s="1130"/>
      <c r="MD7" s="1130"/>
      <c r="ME7" s="1130"/>
      <c r="MF7" s="1130"/>
      <c r="MG7" s="1130"/>
      <c r="MH7" s="1130"/>
      <c r="MI7" s="1130"/>
      <c r="MJ7" s="1130"/>
      <c r="MK7" s="1130"/>
      <c r="ML7" s="1130"/>
      <c r="MM7" s="1130"/>
      <c r="MN7" s="1130"/>
      <c r="MO7" s="1130"/>
      <c r="MP7" s="1130"/>
      <c r="MQ7" s="1130"/>
      <c r="MR7" s="1130"/>
      <c r="MS7" s="1130"/>
      <c r="MT7" s="1130"/>
      <c r="MU7" s="1130"/>
      <c r="MV7" s="1130"/>
      <c r="MW7" s="1130"/>
      <c r="MX7" s="1130"/>
      <c r="MY7" s="1130"/>
      <c r="MZ7" s="1130"/>
      <c r="NA7" s="1131"/>
      <c r="NB7" s="1129" t="s">
        <v>95</v>
      </c>
      <c r="NC7" s="1130"/>
      <c r="ND7" s="1130"/>
      <c r="NE7" s="1130"/>
      <c r="NF7" s="1130"/>
      <c r="NG7" s="1130"/>
      <c r="NH7" s="1130"/>
      <c r="NI7" s="1130"/>
      <c r="NJ7" s="1130"/>
      <c r="NK7" s="1130"/>
      <c r="NL7" s="1130"/>
      <c r="NM7" s="1130"/>
      <c r="NN7" s="1130"/>
      <c r="NO7" s="1130"/>
      <c r="NP7" s="1130"/>
      <c r="NQ7" s="1130"/>
      <c r="NR7" s="1130"/>
      <c r="NS7" s="1130"/>
      <c r="NT7" s="1130"/>
      <c r="NU7" s="1130"/>
      <c r="NV7" s="1130"/>
      <c r="NW7" s="1130"/>
      <c r="NX7" s="1130"/>
      <c r="NY7" s="1130"/>
      <c r="NZ7" s="1130"/>
      <c r="OA7" s="1130"/>
      <c r="OB7" s="1130"/>
      <c r="OC7" s="1130"/>
      <c r="OD7" s="1130"/>
      <c r="OE7" s="1130"/>
      <c r="OF7" s="1130"/>
      <c r="OG7" s="1130"/>
      <c r="OH7" s="1130"/>
      <c r="OI7" s="1130"/>
      <c r="OJ7" s="1130"/>
      <c r="OK7" s="1130"/>
      <c r="OL7" s="1130"/>
      <c r="OM7" s="1130"/>
      <c r="ON7" s="1130"/>
      <c r="OO7" s="1130"/>
      <c r="OP7" s="1130"/>
      <c r="OQ7" s="1130"/>
      <c r="OR7" s="1130"/>
      <c r="OS7" s="1130"/>
      <c r="OT7" s="1131"/>
      <c r="OU7" s="1129" t="s">
        <v>21</v>
      </c>
      <c r="OV7" s="1130"/>
      <c r="OW7" s="1130"/>
      <c r="OX7" s="1130"/>
      <c r="OY7" s="1130"/>
      <c r="OZ7" s="1130"/>
      <c r="PA7" s="1130"/>
      <c r="PB7" s="1130"/>
      <c r="PC7" s="1130"/>
      <c r="PD7" s="1130"/>
      <c r="PE7" s="1130"/>
      <c r="PF7" s="1130"/>
      <c r="PG7" s="1130"/>
      <c r="PH7" s="1130"/>
      <c r="PI7" s="1130"/>
      <c r="PJ7" s="1130"/>
      <c r="PK7" s="1130"/>
      <c r="PL7" s="1130"/>
      <c r="PM7" s="1130"/>
      <c r="PN7" s="1130"/>
      <c r="PO7" s="1130"/>
      <c r="PP7" s="1130"/>
      <c r="PQ7" s="1130"/>
      <c r="PR7" s="1130"/>
      <c r="PS7" s="1130"/>
      <c r="PT7" s="1130"/>
      <c r="PU7" s="1130"/>
      <c r="PV7" s="1130"/>
      <c r="PW7" s="1130"/>
      <c r="PX7" s="1130"/>
      <c r="PY7" s="1130"/>
      <c r="PZ7" s="1130"/>
      <c r="QA7" s="1130"/>
      <c r="QB7" s="1130"/>
      <c r="QC7" s="1130"/>
      <c r="QD7" s="1131"/>
    </row>
    <row r="8" spans="1:446" ht="12" customHeight="1" x14ac:dyDescent="0.25">
      <c r="A8" s="660">
        <v>1</v>
      </c>
      <c r="B8" s="1132"/>
      <c r="C8" s="1134"/>
      <c r="D8" s="1132"/>
      <c r="E8" s="1132"/>
      <c r="F8" s="1128"/>
      <c r="G8" s="1128"/>
      <c r="H8" s="1128"/>
      <c r="I8" s="1128"/>
      <c r="J8" s="1128"/>
      <c r="K8" s="1128"/>
      <c r="L8" s="1128"/>
      <c r="M8" s="1128"/>
      <c r="N8" s="1128"/>
      <c r="O8" s="1128"/>
      <c r="P8" s="1128"/>
      <c r="Q8" s="1128"/>
      <c r="R8" s="1128"/>
      <c r="S8" s="1128"/>
      <c r="T8" s="1128"/>
      <c r="U8" s="1128"/>
      <c r="V8" s="1128"/>
      <c r="W8" s="1128"/>
      <c r="X8" s="1128"/>
      <c r="Y8" s="1128"/>
      <c r="Z8" s="1128"/>
      <c r="AA8" s="1128"/>
      <c r="AB8" s="1128"/>
      <c r="AC8" s="1128"/>
      <c r="AD8" s="1128"/>
      <c r="AE8" s="1128"/>
      <c r="AF8" s="1128"/>
      <c r="AG8" s="1128"/>
      <c r="AH8" s="1128"/>
      <c r="AI8" s="1128"/>
      <c r="AJ8" s="1128"/>
      <c r="AK8" s="1128"/>
      <c r="AL8" s="1128"/>
      <c r="AM8" s="1128"/>
      <c r="AN8" s="1128"/>
      <c r="AO8" s="1128"/>
      <c r="AP8" s="1128"/>
      <c r="AQ8" s="1128"/>
      <c r="AR8" s="1128"/>
      <c r="AS8" s="1128"/>
      <c r="AT8" s="1128"/>
      <c r="AU8" s="1128"/>
      <c r="AV8" s="1128"/>
      <c r="AW8" s="1128"/>
      <c r="AX8" s="1128"/>
      <c r="AY8" s="1128"/>
      <c r="AZ8" s="1128"/>
      <c r="BA8" s="1128"/>
      <c r="BB8" s="1128"/>
      <c r="BC8" s="1128"/>
      <c r="BD8" s="1128"/>
      <c r="BE8" s="1128"/>
      <c r="BF8" s="1128"/>
      <c r="BG8" s="1128"/>
      <c r="BH8" s="1128"/>
      <c r="BI8" s="1128"/>
      <c r="BJ8" s="1128"/>
      <c r="BK8" s="1128"/>
      <c r="BL8" s="1128"/>
      <c r="BM8" s="1128"/>
      <c r="BN8" s="1128"/>
      <c r="BO8" s="1128"/>
      <c r="BP8" s="1128"/>
      <c r="BQ8" s="1128"/>
      <c r="BR8" s="1128"/>
      <c r="BS8" s="1128"/>
      <c r="BT8" s="1128"/>
      <c r="BU8" s="1128"/>
      <c r="BV8" s="1128"/>
      <c r="BW8" s="1128"/>
      <c r="BX8" s="1128"/>
      <c r="BY8" s="1128"/>
      <c r="BZ8" s="1128"/>
      <c r="CA8" s="1128"/>
      <c r="CB8" s="1128"/>
      <c r="CC8" s="1128"/>
      <c r="CD8" s="1128"/>
      <c r="CE8" s="1128"/>
      <c r="CF8" s="1128"/>
      <c r="CG8" s="1128"/>
      <c r="CH8" s="1128"/>
      <c r="CI8" s="1128"/>
      <c r="CJ8" s="1128"/>
      <c r="CK8" s="1128"/>
      <c r="CL8" s="1128"/>
      <c r="CM8" s="1128"/>
      <c r="CN8" s="1128"/>
      <c r="CO8" s="1128"/>
      <c r="CP8" s="1128"/>
      <c r="CQ8" s="1128"/>
      <c r="CR8" s="1128"/>
      <c r="CS8" s="1128"/>
      <c r="CT8" s="1128"/>
      <c r="CU8" s="1128"/>
      <c r="CV8" s="1128"/>
      <c r="CW8" s="1128"/>
      <c r="CX8" s="1128"/>
      <c r="CY8" s="1128"/>
      <c r="CZ8" s="1128"/>
      <c r="DA8" s="1128"/>
      <c r="DB8" s="1128"/>
      <c r="DC8" s="1128"/>
      <c r="DD8" s="1128"/>
      <c r="DE8" s="1128"/>
      <c r="DF8" s="1128"/>
      <c r="DG8" s="1128"/>
      <c r="DH8" s="1128"/>
      <c r="DI8" s="1128"/>
      <c r="DJ8" s="1128"/>
      <c r="DK8" s="1128"/>
      <c r="DL8" s="1128"/>
      <c r="DM8" s="1128"/>
      <c r="DN8" s="1128"/>
      <c r="DO8" s="1128"/>
      <c r="DP8" s="1128"/>
      <c r="DQ8" s="1128"/>
      <c r="DR8" s="1128"/>
      <c r="DS8" s="1128"/>
      <c r="DT8" s="1128"/>
      <c r="DU8" s="1128"/>
      <c r="DV8" s="1128"/>
      <c r="DW8" s="1128"/>
      <c r="DX8" s="1128"/>
      <c r="DY8" s="1128"/>
      <c r="DZ8" s="1128"/>
      <c r="EA8" s="1128"/>
      <c r="EB8" s="1128"/>
      <c r="EC8" s="1128"/>
      <c r="ED8" s="1128"/>
      <c r="EE8" s="1128"/>
      <c r="EF8" s="1128"/>
      <c r="EG8" s="1128"/>
      <c r="EH8" s="1128"/>
      <c r="EI8" s="1128"/>
      <c r="EJ8" s="1128"/>
      <c r="EK8" s="1128"/>
      <c r="EL8" s="1128"/>
      <c r="EM8" s="1128"/>
      <c r="EN8" s="1128"/>
      <c r="EO8" s="1128"/>
      <c r="EP8" s="1128"/>
      <c r="EQ8" s="1128"/>
      <c r="ER8" s="1128"/>
      <c r="ES8" s="1128"/>
      <c r="ET8" s="1128"/>
      <c r="EU8" s="1128"/>
      <c r="EV8" s="1128"/>
      <c r="EW8" s="1128"/>
      <c r="EX8" s="1128"/>
      <c r="EY8" s="1128"/>
      <c r="EZ8" s="1128"/>
      <c r="FA8" s="1128"/>
      <c r="FB8" s="1128"/>
      <c r="FC8" s="1128"/>
      <c r="FD8" s="1128"/>
      <c r="FE8" s="1128"/>
      <c r="FF8" s="1128"/>
      <c r="FG8" s="1128"/>
      <c r="FH8" s="1128"/>
      <c r="FI8" s="1128"/>
      <c r="FJ8" s="1128"/>
      <c r="FK8" s="1128"/>
      <c r="FL8" s="1128"/>
      <c r="FM8" s="1128"/>
      <c r="FN8" s="1128"/>
      <c r="FO8" s="1128"/>
      <c r="FP8" s="1128"/>
      <c r="FQ8" s="1128"/>
      <c r="FR8" s="1128"/>
      <c r="FS8" s="1128"/>
      <c r="FT8" s="1128"/>
      <c r="FU8" s="1128"/>
      <c r="FV8" s="1128"/>
      <c r="FW8" s="1128"/>
      <c r="FX8" s="1128"/>
      <c r="FY8" s="1128"/>
      <c r="FZ8" s="1128"/>
      <c r="GA8" s="1128"/>
      <c r="GB8" s="1128"/>
      <c r="GC8" s="1128"/>
      <c r="GD8" s="1128"/>
      <c r="GE8" s="1128"/>
      <c r="GF8" s="1128"/>
      <c r="GG8" s="1128"/>
      <c r="GH8" s="1128"/>
      <c r="GI8" s="1128"/>
      <c r="GJ8" s="1128"/>
      <c r="GK8" s="1128"/>
      <c r="GL8" s="1128"/>
      <c r="GM8" s="1128"/>
      <c r="GN8" s="1128"/>
      <c r="GO8" s="1128"/>
      <c r="GP8" s="1128"/>
      <c r="GQ8" s="1128"/>
      <c r="GR8" s="1128"/>
      <c r="GS8" s="1128"/>
      <c r="GT8" s="1128"/>
      <c r="GU8" s="1128"/>
      <c r="GV8" s="1128"/>
      <c r="GW8" s="1128"/>
      <c r="GX8" s="1128"/>
      <c r="GY8" s="1128"/>
      <c r="GZ8" s="1128"/>
      <c r="HA8" s="1128"/>
      <c r="HB8" s="1128"/>
      <c r="HC8" s="1128"/>
      <c r="HD8" s="1128"/>
      <c r="HE8" s="1128"/>
      <c r="HF8" s="1128"/>
      <c r="HG8" s="1128"/>
      <c r="HH8" s="1128"/>
      <c r="HI8" s="1128"/>
      <c r="HJ8" s="1128"/>
      <c r="HK8" s="1128"/>
      <c r="HL8" s="1128"/>
      <c r="HM8" s="1128"/>
      <c r="HN8" s="1128"/>
      <c r="HO8" s="1128"/>
      <c r="HP8" s="1128"/>
      <c r="HQ8" s="1128"/>
      <c r="HR8" s="1128"/>
      <c r="HS8" s="1128"/>
      <c r="HT8" s="1128"/>
      <c r="HU8" s="1128"/>
      <c r="HV8" s="1128"/>
      <c r="HW8" s="1128"/>
      <c r="HX8" s="1128"/>
      <c r="HY8" s="1128"/>
      <c r="HZ8" s="1128"/>
      <c r="IA8" s="1128"/>
      <c r="IB8" s="1128"/>
      <c r="IC8" s="1128"/>
      <c r="ID8" s="1128"/>
      <c r="IE8" s="1128"/>
      <c r="IF8" s="1128"/>
      <c r="IG8" s="1128"/>
      <c r="IH8" s="1128"/>
      <c r="II8" s="1128"/>
      <c r="IJ8" s="1128"/>
      <c r="IK8" s="1128"/>
      <c r="IL8" s="1128"/>
      <c r="IM8" s="1128"/>
      <c r="IN8" s="1128"/>
      <c r="IO8" s="1128"/>
      <c r="IP8" s="1128"/>
      <c r="IQ8" s="1128"/>
      <c r="IR8" s="1128"/>
      <c r="IS8" s="1128"/>
      <c r="IT8" s="1128"/>
      <c r="IU8" s="1128"/>
      <c r="IV8" s="1128"/>
      <c r="IW8" s="1128"/>
      <c r="IX8" s="1128"/>
      <c r="IY8" s="1128"/>
      <c r="IZ8" s="1128"/>
      <c r="JA8" s="1128"/>
      <c r="JB8" s="1128"/>
      <c r="JC8" s="1128"/>
      <c r="JD8" s="1128"/>
      <c r="JE8" s="1128"/>
      <c r="JF8" s="1128"/>
      <c r="JG8" s="1128"/>
      <c r="JH8" s="1128"/>
      <c r="JI8" s="1128"/>
      <c r="JJ8" s="1128"/>
      <c r="JK8" s="1128"/>
      <c r="JL8" s="1128"/>
      <c r="JM8" s="1128"/>
      <c r="JN8" s="1128"/>
      <c r="JO8" s="1128"/>
      <c r="JP8" s="1128"/>
      <c r="JQ8" s="1128"/>
      <c r="JR8" s="1128"/>
      <c r="JS8" s="1128"/>
      <c r="JT8" s="1128"/>
      <c r="JU8" s="1128"/>
      <c r="JV8" s="1128"/>
      <c r="JW8" s="1128"/>
      <c r="JX8" s="1128"/>
      <c r="JY8" s="1128"/>
      <c r="JZ8" s="1128"/>
      <c r="KA8" s="1128"/>
      <c r="KB8" s="1128"/>
      <c r="KC8" s="1128"/>
      <c r="KD8" s="1128"/>
      <c r="KE8" s="1128"/>
      <c r="KF8" s="1128"/>
      <c r="KG8" s="1128"/>
      <c r="KH8" s="1128"/>
      <c r="KI8" s="1128"/>
      <c r="KJ8" s="1128"/>
      <c r="KK8" s="1128"/>
      <c r="KL8" s="1128"/>
      <c r="KM8" s="1128"/>
      <c r="KN8" s="1128"/>
      <c r="KO8" s="1128"/>
      <c r="KP8" s="1128"/>
      <c r="KQ8" s="1128"/>
      <c r="KR8" s="1128"/>
      <c r="KS8" s="1128"/>
      <c r="KT8" s="1128"/>
      <c r="KU8" s="1128"/>
      <c r="KV8" s="1128"/>
      <c r="KW8" s="1128"/>
      <c r="KX8" s="1128"/>
      <c r="KY8" s="1128"/>
      <c r="KZ8" s="1128"/>
      <c r="LA8" s="1128"/>
      <c r="LB8" s="1128"/>
      <c r="LC8" s="1128"/>
      <c r="LD8" s="1128"/>
      <c r="LE8" s="1128"/>
      <c r="LF8" s="1128"/>
      <c r="LG8" s="1128"/>
      <c r="LH8" s="1128"/>
      <c r="LI8" s="1128"/>
      <c r="LJ8" s="1128"/>
      <c r="LK8" s="1128"/>
      <c r="LL8" s="1128"/>
      <c r="LM8" s="1128"/>
      <c r="LN8" s="1128"/>
      <c r="LO8" s="1128"/>
      <c r="LP8" s="1128"/>
      <c r="LQ8" s="1128"/>
      <c r="LR8" s="1128"/>
      <c r="LS8" s="1128"/>
      <c r="LT8" s="1128"/>
      <c r="LU8" s="1128"/>
      <c r="LV8" s="1128"/>
      <c r="LW8" s="1128"/>
      <c r="LX8" s="1128"/>
      <c r="LY8" s="1128"/>
      <c r="LZ8" s="1128"/>
      <c r="MA8" s="1128"/>
      <c r="MB8" s="1128"/>
      <c r="MC8" s="1128"/>
      <c r="MD8" s="1128"/>
      <c r="ME8" s="1128"/>
      <c r="MF8" s="1128"/>
      <c r="MG8" s="1128"/>
      <c r="MH8" s="1128"/>
      <c r="MI8" s="1128"/>
      <c r="MJ8" s="1128"/>
      <c r="MK8" s="1128"/>
      <c r="ML8" s="1128"/>
      <c r="MM8" s="1128"/>
      <c r="MN8" s="1128"/>
      <c r="MO8" s="1128"/>
      <c r="MP8" s="1128"/>
      <c r="MQ8" s="1128"/>
      <c r="MR8" s="1128"/>
      <c r="MS8" s="1128"/>
      <c r="MT8" s="1128"/>
      <c r="MU8" s="1128"/>
      <c r="MV8" s="1128"/>
      <c r="MW8" s="1128"/>
      <c r="MX8" s="1128"/>
      <c r="MY8" s="1128"/>
      <c r="MZ8" s="1128"/>
      <c r="NA8" s="1128"/>
      <c r="NB8" s="1128"/>
      <c r="NC8" s="1128"/>
      <c r="ND8" s="1128"/>
      <c r="NE8" s="1128"/>
      <c r="NF8" s="1128"/>
      <c r="NG8" s="1128"/>
      <c r="NH8" s="1128"/>
      <c r="NI8" s="1128"/>
      <c r="NJ8" s="1128"/>
      <c r="NK8" s="1128"/>
      <c r="NL8" s="1128"/>
      <c r="NM8" s="1128"/>
      <c r="NN8" s="1128"/>
      <c r="NO8" s="1128"/>
      <c r="NP8" s="1128"/>
      <c r="NQ8" s="1128"/>
      <c r="NR8" s="1128"/>
      <c r="NS8" s="1128"/>
      <c r="NT8" s="1128"/>
      <c r="NU8" s="1128"/>
      <c r="NV8" s="1128"/>
      <c r="NW8" s="1128"/>
      <c r="NX8" s="1128"/>
      <c r="NY8" s="1128"/>
      <c r="NZ8" s="1128"/>
      <c r="OA8" s="1128"/>
      <c r="OB8" s="1128"/>
      <c r="OC8" s="1128"/>
      <c r="OD8" s="1128"/>
      <c r="OE8" s="1128"/>
      <c r="OF8" s="1128"/>
      <c r="OG8" s="1128"/>
      <c r="OH8" s="1128"/>
      <c r="OI8" s="1128"/>
      <c r="OJ8" s="1128"/>
      <c r="OK8" s="1128"/>
      <c r="OL8" s="1128"/>
      <c r="OM8" s="1128"/>
      <c r="ON8" s="1128"/>
      <c r="OO8" s="1128"/>
      <c r="OP8" s="1128"/>
      <c r="OQ8" s="1128"/>
      <c r="OR8" s="1128"/>
      <c r="OS8" s="1128"/>
      <c r="OT8" s="1128"/>
      <c r="OU8" s="1128"/>
      <c r="OV8" s="1128"/>
      <c r="OW8" s="1128"/>
      <c r="OX8" s="1128"/>
      <c r="OY8" s="1128"/>
      <c r="OZ8" s="1128"/>
      <c r="PA8" s="1128"/>
      <c r="PB8" s="1128"/>
      <c r="PC8" s="1128"/>
      <c r="PD8" s="1128"/>
      <c r="PE8" s="1128"/>
      <c r="PF8" s="1128"/>
      <c r="PG8" s="1128"/>
      <c r="PH8" s="1128"/>
      <c r="PI8" s="1128"/>
      <c r="PJ8" s="1128"/>
      <c r="PK8" s="1128"/>
      <c r="PL8" s="1128"/>
      <c r="PM8" s="1128"/>
      <c r="PN8" s="1128"/>
      <c r="PO8" s="1128"/>
      <c r="PP8" s="1128"/>
      <c r="PQ8" s="1128"/>
      <c r="PR8" s="1128"/>
      <c r="PS8" s="1128"/>
      <c r="PT8" s="1128"/>
      <c r="PU8" s="1128"/>
      <c r="PV8" s="1128"/>
      <c r="PW8" s="1128"/>
      <c r="PX8" s="1128"/>
      <c r="PY8" s="1128"/>
      <c r="PZ8" s="1128"/>
      <c r="QA8" s="1128"/>
      <c r="QB8" s="1128"/>
      <c r="QC8" s="1128"/>
      <c r="QD8" s="1128"/>
    </row>
    <row r="9" spans="1:446" ht="50.25" customHeight="1" x14ac:dyDescent="0.25">
      <c r="A9" s="660">
        <v>1</v>
      </c>
      <c r="B9" s="1132"/>
      <c r="C9" s="1135"/>
      <c r="D9" s="1132"/>
      <c r="E9" s="1132"/>
      <c r="F9" s="9" t="s">
        <v>96</v>
      </c>
      <c r="G9" s="9" t="s">
        <v>97</v>
      </c>
      <c r="H9" s="9" t="s">
        <v>98</v>
      </c>
      <c r="I9" s="9" t="s">
        <v>96</v>
      </c>
      <c r="J9" s="9" t="s">
        <v>97</v>
      </c>
      <c r="K9" s="9" t="s">
        <v>98</v>
      </c>
      <c r="L9" s="9" t="s">
        <v>96</v>
      </c>
      <c r="M9" s="9" t="s">
        <v>97</v>
      </c>
      <c r="N9" s="9" t="s">
        <v>98</v>
      </c>
      <c r="O9" s="9" t="s">
        <v>96</v>
      </c>
      <c r="P9" s="9" t="s">
        <v>97</v>
      </c>
      <c r="Q9" s="9" t="s">
        <v>98</v>
      </c>
      <c r="R9" s="9" t="s">
        <v>96</v>
      </c>
      <c r="S9" s="9" t="s">
        <v>97</v>
      </c>
      <c r="T9" s="9" t="s">
        <v>98</v>
      </c>
      <c r="U9" s="9" t="s">
        <v>96</v>
      </c>
      <c r="V9" s="9" t="s">
        <v>97</v>
      </c>
      <c r="W9" s="9" t="s">
        <v>98</v>
      </c>
      <c r="X9" s="9" t="s">
        <v>96</v>
      </c>
      <c r="Y9" s="9" t="s">
        <v>97</v>
      </c>
      <c r="Z9" s="9" t="s">
        <v>98</v>
      </c>
      <c r="AA9" s="599" t="s">
        <v>96</v>
      </c>
      <c r="AB9" s="599" t="s">
        <v>97</v>
      </c>
      <c r="AC9" s="599" t="s">
        <v>98</v>
      </c>
      <c r="AD9" s="599" t="s">
        <v>96</v>
      </c>
      <c r="AE9" s="599" t="s">
        <v>97</v>
      </c>
      <c r="AF9" s="599" t="s">
        <v>98</v>
      </c>
      <c r="AG9" s="599" t="s">
        <v>96</v>
      </c>
      <c r="AH9" s="599" t="s">
        <v>97</v>
      </c>
      <c r="AI9" s="599" t="s">
        <v>98</v>
      </c>
      <c r="AJ9" s="599" t="s">
        <v>96</v>
      </c>
      <c r="AK9" s="599" t="s">
        <v>97</v>
      </c>
      <c r="AL9" s="599" t="s">
        <v>98</v>
      </c>
      <c r="AM9" s="599" t="s">
        <v>96</v>
      </c>
      <c r="AN9" s="599" t="s">
        <v>97</v>
      </c>
      <c r="AO9" s="599" t="s">
        <v>98</v>
      </c>
      <c r="AP9" s="599" t="s">
        <v>96</v>
      </c>
      <c r="AQ9" s="599" t="s">
        <v>97</v>
      </c>
      <c r="AR9" s="599" t="s">
        <v>98</v>
      </c>
      <c r="AS9" s="599" t="s">
        <v>96</v>
      </c>
      <c r="AT9" s="599" t="s">
        <v>97</v>
      </c>
      <c r="AU9" s="599" t="s">
        <v>98</v>
      </c>
      <c r="AV9" s="9" t="s">
        <v>96</v>
      </c>
      <c r="AW9" s="9" t="s">
        <v>97</v>
      </c>
      <c r="AX9" s="9" t="s">
        <v>98</v>
      </c>
      <c r="AY9" s="599" t="s">
        <v>96</v>
      </c>
      <c r="AZ9" s="599" t="s">
        <v>97</v>
      </c>
      <c r="BA9" s="599" t="s">
        <v>98</v>
      </c>
      <c r="BB9" s="599" t="s">
        <v>96</v>
      </c>
      <c r="BC9" s="599" t="s">
        <v>97</v>
      </c>
      <c r="BD9" s="599" t="s">
        <v>98</v>
      </c>
      <c r="BE9" s="599" t="s">
        <v>96</v>
      </c>
      <c r="BF9" s="599" t="s">
        <v>97</v>
      </c>
      <c r="BG9" s="599" t="s">
        <v>98</v>
      </c>
      <c r="BH9" s="599" t="s">
        <v>96</v>
      </c>
      <c r="BI9" s="599" t="s">
        <v>97</v>
      </c>
      <c r="BJ9" s="599" t="s">
        <v>98</v>
      </c>
      <c r="BK9" s="599" t="s">
        <v>96</v>
      </c>
      <c r="BL9" s="599" t="s">
        <v>97</v>
      </c>
      <c r="BM9" s="599" t="s">
        <v>98</v>
      </c>
      <c r="BN9" s="599" t="s">
        <v>96</v>
      </c>
      <c r="BO9" s="599" t="s">
        <v>97</v>
      </c>
      <c r="BP9" s="599" t="s">
        <v>98</v>
      </c>
      <c r="BQ9" s="599" t="s">
        <v>96</v>
      </c>
      <c r="BR9" s="599" t="s">
        <v>97</v>
      </c>
      <c r="BS9" s="599" t="s">
        <v>98</v>
      </c>
      <c r="BT9" s="599" t="s">
        <v>96</v>
      </c>
      <c r="BU9" s="599" t="s">
        <v>97</v>
      </c>
      <c r="BV9" s="599" t="s">
        <v>98</v>
      </c>
      <c r="BW9" s="599" t="s">
        <v>96</v>
      </c>
      <c r="BX9" s="599" t="s">
        <v>97</v>
      </c>
      <c r="BY9" s="599" t="s">
        <v>98</v>
      </c>
      <c r="BZ9" s="599" t="s">
        <v>96</v>
      </c>
      <c r="CA9" s="599" t="s">
        <v>97</v>
      </c>
      <c r="CB9" s="599" t="s">
        <v>98</v>
      </c>
      <c r="CC9" s="599" t="s">
        <v>96</v>
      </c>
      <c r="CD9" s="599" t="s">
        <v>97</v>
      </c>
      <c r="CE9" s="599" t="s">
        <v>98</v>
      </c>
      <c r="CF9" s="599" t="s">
        <v>96</v>
      </c>
      <c r="CG9" s="599" t="s">
        <v>97</v>
      </c>
      <c r="CH9" s="599" t="s">
        <v>98</v>
      </c>
      <c r="CI9" s="599" t="s">
        <v>96</v>
      </c>
      <c r="CJ9" s="599" t="s">
        <v>97</v>
      </c>
      <c r="CK9" s="599" t="s">
        <v>98</v>
      </c>
      <c r="CL9" s="599" t="s">
        <v>96</v>
      </c>
      <c r="CM9" s="599" t="s">
        <v>97</v>
      </c>
      <c r="CN9" s="599" t="s">
        <v>98</v>
      </c>
      <c r="CO9" s="599" t="s">
        <v>96</v>
      </c>
      <c r="CP9" s="599" t="s">
        <v>97</v>
      </c>
      <c r="CQ9" s="599" t="s">
        <v>98</v>
      </c>
      <c r="CR9" s="599" t="s">
        <v>96</v>
      </c>
      <c r="CS9" s="599" t="s">
        <v>97</v>
      </c>
      <c r="CT9" s="599" t="s">
        <v>98</v>
      </c>
      <c r="CU9" s="599" t="s">
        <v>96</v>
      </c>
      <c r="CV9" s="599" t="s">
        <v>97</v>
      </c>
      <c r="CW9" s="599" t="s">
        <v>98</v>
      </c>
      <c r="CX9" s="599" t="s">
        <v>96</v>
      </c>
      <c r="CY9" s="599" t="s">
        <v>97</v>
      </c>
      <c r="CZ9" s="599" t="s">
        <v>98</v>
      </c>
      <c r="DA9" s="599" t="s">
        <v>96</v>
      </c>
      <c r="DB9" s="599" t="s">
        <v>97</v>
      </c>
      <c r="DC9" s="599" t="s">
        <v>98</v>
      </c>
      <c r="DD9" s="599" t="s">
        <v>96</v>
      </c>
      <c r="DE9" s="599" t="s">
        <v>97</v>
      </c>
      <c r="DF9" s="599" t="s">
        <v>98</v>
      </c>
      <c r="DG9" s="599" t="s">
        <v>96</v>
      </c>
      <c r="DH9" s="599" t="s">
        <v>97</v>
      </c>
      <c r="DI9" s="599" t="s">
        <v>98</v>
      </c>
      <c r="DJ9" s="599" t="s">
        <v>96</v>
      </c>
      <c r="DK9" s="599" t="s">
        <v>97</v>
      </c>
      <c r="DL9" s="599" t="s">
        <v>98</v>
      </c>
      <c r="DM9" s="599" t="s">
        <v>96</v>
      </c>
      <c r="DN9" s="599" t="s">
        <v>97</v>
      </c>
      <c r="DO9" s="599" t="s">
        <v>98</v>
      </c>
      <c r="DP9" s="599" t="s">
        <v>96</v>
      </c>
      <c r="DQ9" s="599" t="s">
        <v>97</v>
      </c>
      <c r="DR9" s="599" t="s">
        <v>98</v>
      </c>
      <c r="DS9" s="599" t="s">
        <v>96</v>
      </c>
      <c r="DT9" s="599" t="s">
        <v>97</v>
      </c>
      <c r="DU9" s="599" t="s">
        <v>98</v>
      </c>
      <c r="DV9" s="599" t="s">
        <v>96</v>
      </c>
      <c r="DW9" s="599" t="s">
        <v>97</v>
      </c>
      <c r="DX9" s="599" t="s">
        <v>98</v>
      </c>
      <c r="DY9" s="599" t="s">
        <v>96</v>
      </c>
      <c r="DZ9" s="599" t="s">
        <v>97</v>
      </c>
      <c r="EA9" s="599" t="s">
        <v>98</v>
      </c>
      <c r="EB9" s="599" t="s">
        <v>96</v>
      </c>
      <c r="EC9" s="599" t="s">
        <v>97</v>
      </c>
      <c r="ED9" s="599" t="s">
        <v>98</v>
      </c>
      <c r="EE9" s="599" t="s">
        <v>96</v>
      </c>
      <c r="EF9" s="599" t="s">
        <v>97</v>
      </c>
      <c r="EG9" s="599" t="s">
        <v>98</v>
      </c>
      <c r="EH9" s="599" t="s">
        <v>96</v>
      </c>
      <c r="EI9" s="599" t="s">
        <v>97</v>
      </c>
      <c r="EJ9" s="599" t="s">
        <v>98</v>
      </c>
      <c r="EK9" s="599" t="s">
        <v>96</v>
      </c>
      <c r="EL9" s="599" t="s">
        <v>97</v>
      </c>
      <c r="EM9" s="599" t="s">
        <v>98</v>
      </c>
      <c r="EN9" s="599" t="s">
        <v>96</v>
      </c>
      <c r="EO9" s="599" t="s">
        <v>97</v>
      </c>
      <c r="EP9" s="599" t="s">
        <v>98</v>
      </c>
      <c r="EQ9" s="599" t="s">
        <v>96</v>
      </c>
      <c r="ER9" s="599" t="s">
        <v>97</v>
      </c>
      <c r="ES9" s="599" t="s">
        <v>98</v>
      </c>
      <c r="ET9" s="599" t="s">
        <v>96</v>
      </c>
      <c r="EU9" s="599" t="s">
        <v>97</v>
      </c>
      <c r="EV9" s="599" t="s">
        <v>98</v>
      </c>
      <c r="EW9" s="599" t="s">
        <v>96</v>
      </c>
      <c r="EX9" s="599" t="s">
        <v>97</v>
      </c>
      <c r="EY9" s="599" t="s">
        <v>98</v>
      </c>
      <c r="EZ9" s="599" t="s">
        <v>96</v>
      </c>
      <c r="FA9" s="599" t="s">
        <v>97</v>
      </c>
      <c r="FB9" s="599" t="s">
        <v>98</v>
      </c>
      <c r="FC9" s="599" t="s">
        <v>96</v>
      </c>
      <c r="FD9" s="599" t="s">
        <v>97</v>
      </c>
      <c r="FE9" s="599" t="s">
        <v>98</v>
      </c>
      <c r="FF9" s="599" t="s">
        <v>96</v>
      </c>
      <c r="FG9" s="599" t="s">
        <v>97</v>
      </c>
      <c r="FH9" s="599" t="s">
        <v>98</v>
      </c>
      <c r="FI9" s="599" t="s">
        <v>96</v>
      </c>
      <c r="FJ9" s="599" t="s">
        <v>97</v>
      </c>
      <c r="FK9" s="599" t="s">
        <v>98</v>
      </c>
      <c r="FL9" s="599" t="s">
        <v>96</v>
      </c>
      <c r="FM9" s="599" t="s">
        <v>97</v>
      </c>
      <c r="FN9" s="599" t="s">
        <v>98</v>
      </c>
      <c r="FO9" s="599" t="s">
        <v>96</v>
      </c>
      <c r="FP9" s="599" t="s">
        <v>97</v>
      </c>
      <c r="FQ9" s="599" t="s">
        <v>98</v>
      </c>
      <c r="FR9" s="599" t="s">
        <v>96</v>
      </c>
      <c r="FS9" s="599" t="s">
        <v>97</v>
      </c>
      <c r="FT9" s="599" t="s">
        <v>98</v>
      </c>
      <c r="FU9" s="599" t="s">
        <v>96</v>
      </c>
      <c r="FV9" s="599" t="s">
        <v>97</v>
      </c>
      <c r="FW9" s="599" t="s">
        <v>98</v>
      </c>
      <c r="FX9" s="599" t="s">
        <v>96</v>
      </c>
      <c r="FY9" s="599" t="s">
        <v>97</v>
      </c>
      <c r="FZ9" s="599" t="s">
        <v>98</v>
      </c>
      <c r="GA9" s="599" t="s">
        <v>96</v>
      </c>
      <c r="GB9" s="599" t="s">
        <v>97</v>
      </c>
      <c r="GC9" s="599" t="s">
        <v>98</v>
      </c>
      <c r="GD9" s="599" t="s">
        <v>96</v>
      </c>
      <c r="GE9" s="599" t="s">
        <v>97</v>
      </c>
      <c r="GF9" s="599" t="s">
        <v>98</v>
      </c>
      <c r="GG9" s="599" t="s">
        <v>96</v>
      </c>
      <c r="GH9" s="599" t="s">
        <v>97</v>
      </c>
      <c r="GI9" s="599" t="s">
        <v>98</v>
      </c>
      <c r="GJ9" s="599" t="s">
        <v>96</v>
      </c>
      <c r="GK9" s="599" t="s">
        <v>97</v>
      </c>
      <c r="GL9" s="599" t="s">
        <v>98</v>
      </c>
      <c r="GM9" s="599" t="s">
        <v>96</v>
      </c>
      <c r="GN9" s="599" t="s">
        <v>97</v>
      </c>
      <c r="GO9" s="599" t="s">
        <v>98</v>
      </c>
      <c r="GP9" s="599" t="s">
        <v>96</v>
      </c>
      <c r="GQ9" s="599" t="s">
        <v>97</v>
      </c>
      <c r="GR9" s="599" t="s">
        <v>98</v>
      </c>
      <c r="GS9" s="599" t="s">
        <v>96</v>
      </c>
      <c r="GT9" s="599" t="s">
        <v>97</v>
      </c>
      <c r="GU9" s="599" t="s">
        <v>98</v>
      </c>
      <c r="GV9" s="599" t="s">
        <v>96</v>
      </c>
      <c r="GW9" s="599" t="s">
        <v>97</v>
      </c>
      <c r="GX9" s="599" t="s">
        <v>98</v>
      </c>
      <c r="GY9" s="599" t="s">
        <v>96</v>
      </c>
      <c r="GZ9" s="599" t="s">
        <v>97</v>
      </c>
      <c r="HA9" s="599" t="s">
        <v>98</v>
      </c>
      <c r="HB9" s="599" t="s">
        <v>96</v>
      </c>
      <c r="HC9" s="599" t="s">
        <v>97</v>
      </c>
      <c r="HD9" s="599" t="s">
        <v>98</v>
      </c>
      <c r="HE9" s="599" t="s">
        <v>96</v>
      </c>
      <c r="HF9" s="599" t="s">
        <v>97</v>
      </c>
      <c r="HG9" s="599" t="s">
        <v>98</v>
      </c>
      <c r="HH9" s="599" t="s">
        <v>96</v>
      </c>
      <c r="HI9" s="599" t="s">
        <v>97</v>
      </c>
      <c r="HJ9" s="599" t="s">
        <v>98</v>
      </c>
      <c r="HK9" s="599" t="s">
        <v>96</v>
      </c>
      <c r="HL9" s="599" t="s">
        <v>97</v>
      </c>
      <c r="HM9" s="599" t="s">
        <v>98</v>
      </c>
      <c r="HN9" s="599" t="s">
        <v>96</v>
      </c>
      <c r="HO9" s="599" t="s">
        <v>97</v>
      </c>
      <c r="HP9" s="599" t="s">
        <v>98</v>
      </c>
      <c r="HQ9" s="599" t="s">
        <v>96</v>
      </c>
      <c r="HR9" s="599" t="s">
        <v>97</v>
      </c>
      <c r="HS9" s="599" t="s">
        <v>98</v>
      </c>
      <c r="HT9" s="599" t="s">
        <v>96</v>
      </c>
      <c r="HU9" s="599" t="s">
        <v>97</v>
      </c>
      <c r="HV9" s="599" t="s">
        <v>98</v>
      </c>
      <c r="HW9" s="599" t="s">
        <v>96</v>
      </c>
      <c r="HX9" s="599" t="s">
        <v>97</v>
      </c>
      <c r="HY9" s="599" t="s">
        <v>98</v>
      </c>
      <c r="HZ9" s="599" t="s">
        <v>96</v>
      </c>
      <c r="IA9" s="599" t="s">
        <v>97</v>
      </c>
      <c r="IB9" s="599" t="s">
        <v>98</v>
      </c>
      <c r="IC9" s="599" t="s">
        <v>96</v>
      </c>
      <c r="ID9" s="599" t="s">
        <v>97</v>
      </c>
      <c r="IE9" s="599" t="s">
        <v>98</v>
      </c>
      <c r="IF9" s="599" t="s">
        <v>96</v>
      </c>
      <c r="IG9" s="599" t="s">
        <v>97</v>
      </c>
      <c r="IH9" s="599" t="s">
        <v>98</v>
      </c>
      <c r="II9" s="599" t="s">
        <v>96</v>
      </c>
      <c r="IJ9" s="599" t="s">
        <v>97</v>
      </c>
      <c r="IK9" s="599" t="s">
        <v>98</v>
      </c>
      <c r="IL9" s="599" t="s">
        <v>96</v>
      </c>
      <c r="IM9" s="599" t="s">
        <v>97</v>
      </c>
      <c r="IN9" s="599" t="s">
        <v>98</v>
      </c>
      <c r="IO9" s="599" t="s">
        <v>96</v>
      </c>
      <c r="IP9" s="599" t="s">
        <v>97</v>
      </c>
      <c r="IQ9" s="599" t="s">
        <v>98</v>
      </c>
      <c r="IR9" s="599" t="s">
        <v>96</v>
      </c>
      <c r="IS9" s="599" t="s">
        <v>97</v>
      </c>
      <c r="IT9" s="599" t="s">
        <v>98</v>
      </c>
      <c r="IU9" s="599" t="s">
        <v>96</v>
      </c>
      <c r="IV9" s="599" t="s">
        <v>97</v>
      </c>
      <c r="IW9" s="599" t="s">
        <v>98</v>
      </c>
      <c r="IX9" s="599" t="s">
        <v>96</v>
      </c>
      <c r="IY9" s="599" t="s">
        <v>97</v>
      </c>
      <c r="IZ9" s="599" t="s">
        <v>98</v>
      </c>
      <c r="JA9" s="599" t="s">
        <v>96</v>
      </c>
      <c r="JB9" s="599" t="s">
        <v>97</v>
      </c>
      <c r="JC9" s="599" t="s">
        <v>98</v>
      </c>
      <c r="JD9" s="599" t="s">
        <v>96</v>
      </c>
      <c r="JE9" s="599" t="s">
        <v>97</v>
      </c>
      <c r="JF9" s="599" t="s">
        <v>98</v>
      </c>
      <c r="JG9" s="599" t="s">
        <v>96</v>
      </c>
      <c r="JH9" s="599" t="s">
        <v>97</v>
      </c>
      <c r="JI9" s="599" t="s">
        <v>98</v>
      </c>
      <c r="JJ9" s="599" t="s">
        <v>96</v>
      </c>
      <c r="JK9" s="599" t="s">
        <v>97</v>
      </c>
      <c r="JL9" s="599" t="s">
        <v>98</v>
      </c>
      <c r="JM9" s="599" t="s">
        <v>96</v>
      </c>
      <c r="JN9" s="599" t="s">
        <v>97</v>
      </c>
      <c r="JO9" s="599" t="s">
        <v>98</v>
      </c>
      <c r="JP9" s="599" t="s">
        <v>96</v>
      </c>
      <c r="JQ9" s="599" t="s">
        <v>97</v>
      </c>
      <c r="JR9" s="599" t="s">
        <v>98</v>
      </c>
      <c r="JS9" s="599" t="s">
        <v>96</v>
      </c>
      <c r="JT9" s="599" t="s">
        <v>97</v>
      </c>
      <c r="JU9" s="599" t="s">
        <v>98</v>
      </c>
      <c r="JV9" s="599" t="s">
        <v>96</v>
      </c>
      <c r="JW9" s="599" t="s">
        <v>97</v>
      </c>
      <c r="JX9" s="599" t="s">
        <v>98</v>
      </c>
      <c r="JY9" s="599" t="s">
        <v>96</v>
      </c>
      <c r="JZ9" s="599" t="s">
        <v>97</v>
      </c>
      <c r="KA9" s="599" t="s">
        <v>98</v>
      </c>
      <c r="KB9" s="599" t="s">
        <v>96</v>
      </c>
      <c r="KC9" s="599" t="s">
        <v>97</v>
      </c>
      <c r="KD9" s="599" t="s">
        <v>98</v>
      </c>
      <c r="KE9" s="599" t="s">
        <v>96</v>
      </c>
      <c r="KF9" s="599" t="s">
        <v>97</v>
      </c>
      <c r="KG9" s="599" t="s">
        <v>98</v>
      </c>
      <c r="KH9" s="599" t="s">
        <v>96</v>
      </c>
      <c r="KI9" s="599" t="s">
        <v>97</v>
      </c>
      <c r="KJ9" s="599" t="s">
        <v>98</v>
      </c>
      <c r="KK9" s="599" t="s">
        <v>96</v>
      </c>
      <c r="KL9" s="599" t="s">
        <v>97</v>
      </c>
      <c r="KM9" s="599" t="s">
        <v>98</v>
      </c>
      <c r="KN9" s="599" t="s">
        <v>96</v>
      </c>
      <c r="KO9" s="599" t="s">
        <v>97</v>
      </c>
      <c r="KP9" s="599" t="s">
        <v>98</v>
      </c>
      <c r="KQ9" s="599" t="s">
        <v>96</v>
      </c>
      <c r="KR9" s="599" t="s">
        <v>97</v>
      </c>
      <c r="KS9" s="599" t="s">
        <v>98</v>
      </c>
      <c r="KT9" s="599" t="s">
        <v>96</v>
      </c>
      <c r="KU9" s="599" t="s">
        <v>97</v>
      </c>
      <c r="KV9" s="599" t="s">
        <v>98</v>
      </c>
      <c r="KW9" s="599" t="s">
        <v>96</v>
      </c>
      <c r="KX9" s="599" t="s">
        <v>97</v>
      </c>
      <c r="KY9" s="599" t="s">
        <v>98</v>
      </c>
      <c r="KZ9" s="599" t="s">
        <v>96</v>
      </c>
      <c r="LA9" s="599" t="s">
        <v>97</v>
      </c>
      <c r="LB9" s="599" t="s">
        <v>98</v>
      </c>
      <c r="LC9" s="599" t="s">
        <v>96</v>
      </c>
      <c r="LD9" s="599" t="s">
        <v>97</v>
      </c>
      <c r="LE9" s="599" t="s">
        <v>98</v>
      </c>
      <c r="LF9" s="599" t="s">
        <v>96</v>
      </c>
      <c r="LG9" s="599" t="s">
        <v>97</v>
      </c>
      <c r="LH9" s="599" t="s">
        <v>98</v>
      </c>
      <c r="LI9" s="599" t="s">
        <v>96</v>
      </c>
      <c r="LJ9" s="599" t="s">
        <v>97</v>
      </c>
      <c r="LK9" s="599" t="s">
        <v>98</v>
      </c>
      <c r="LL9" s="599" t="s">
        <v>96</v>
      </c>
      <c r="LM9" s="599" t="s">
        <v>97</v>
      </c>
      <c r="LN9" s="599" t="s">
        <v>98</v>
      </c>
      <c r="LO9" s="599" t="s">
        <v>96</v>
      </c>
      <c r="LP9" s="599" t="s">
        <v>97</v>
      </c>
      <c r="LQ9" s="599" t="s">
        <v>98</v>
      </c>
      <c r="LR9" s="599" t="s">
        <v>96</v>
      </c>
      <c r="LS9" s="599" t="s">
        <v>97</v>
      </c>
      <c r="LT9" s="599" t="s">
        <v>98</v>
      </c>
      <c r="LU9" s="599" t="s">
        <v>96</v>
      </c>
      <c r="LV9" s="599" t="s">
        <v>97</v>
      </c>
      <c r="LW9" s="599" t="s">
        <v>98</v>
      </c>
      <c r="LX9" s="599" t="s">
        <v>96</v>
      </c>
      <c r="LY9" s="599" t="s">
        <v>97</v>
      </c>
      <c r="LZ9" s="599" t="s">
        <v>98</v>
      </c>
      <c r="MA9" s="599" t="s">
        <v>96</v>
      </c>
      <c r="MB9" s="599" t="s">
        <v>97</v>
      </c>
      <c r="MC9" s="599" t="s">
        <v>98</v>
      </c>
      <c r="MD9" s="599" t="s">
        <v>96</v>
      </c>
      <c r="ME9" s="599" t="s">
        <v>97</v>
      </c>
      <c r="MF9" s="599" t="s">
        <v>98</v>
      </c>
      <c r="MG9" s="599" t="s">
        <v>96</v>
      </c>
      <c r="MH9" s="599" t="s">
        <v>97</v>
      </c>
      <c r="MI9" s="599" t="s">
        <v>98</v>
      </c>
      <c r="MJ9" s="599" t="s">
        <v>96</v>
      </c>
      <c r="MK9" s="599" t="s">
        <v>97</v>
      </c>
      <c r="ML9" s="599" t="s">
        <v>98</v>
      </c>
      <c r="MM9" s="599" t="s">
        <v>96</v>
      </c>
      <c r="MN9" s="599" t="s">
        <v>97</v>
      </c>
      <c r="MO9" s="599" t="s">
        <v>98</v>
      </c>
      <c r="MP9" s="599" t="s">
        <v>96</v>
      </c>
      <c r="MQ9" s="599" t="s">
        <v>97</v>
      </c>
      <c r="MR9" s="599" t="s">
        <v>98</v>
      </c>
      <c r="MS9" s="599" t="s">
        <v>96</v>
      </c>
      <c r="MT9" s="599" t="s">
        <v>97</v>
      </c>
      <c r="MU9" s="599" t="s">
        <v>98</v>
      </c>
      <c r="MV9" s="599" t="s">
        <v>96</v>
      </c>
      <c r="MW9" s="599" t="s">
        <v>97</v>
      </c>
      <c r="MX9" s="599" t="s">
        <v>98</v>
      </c>
      <c r="MY9" s="599" t="s">
        <v>96</v>
      </c>
      <c r="MZ9" s="599" t="s">
        <v>97</v>
      </c>
      <c r="NA9" s="599" t="s">
        <v>98</v>
      </c>
      <c r="NB9" s="599" t="s">
        <v>96</v>
      </c>
      <c r="NC9" s="599" t="s">
        <v>97</v>
      </c>
      <c r="ND9" s="599" t="s">
        <v>98</v>
      </c>
      <c r="NE9" s="599" t="s">
        <v>96</v>
      </c>
      <c r="NF9" s="599" t="s">
        <v>97</v>
      </c>
      <c r="NG9" s="599" t="s">
        <v>98</v>
      </c>
      <c r="NH9" s="599" t="s">
        <v>96</v>
      </c>
      <c r="NI9" s="599" t="s">
        <v>97</v>
      </c>
      <c r="NJ9" s="599" t="s">
        <v>98</v>
      </c>
      <c r="NK9" s="599" t="s">
        <v>96</v>
      </c>
      <c r="NL9" s="599" t="s">
        <v>97</v>
      </c>
      <c r="NM9" s="599" t="s">
        <v>98</v>
      </c>
      <c r="NN9" s="599" t="s">
        <v>96</v>
      </c>
      <c r="NO9" s="599" t="s">
        <v>97</v>
      </c>
      <c r="NP9" s="599" t="s">
        <v>98</v>
      </c>
      <c r="NQ9" s="599" t="s">
        <v>96</v>
      </c>
      <c r="NR9" s="599" t="s">
        <v>97</v>
      </c>
      <c r="NS9" s="599" t="s">
        <v>98</v>
      </c>
      <c r="NT9" s="599" t="s">
        <v>96</v>
      </c>
      <c r="NU9" s="599" t="s">
        <v>97</v>
      </c>
      <c r="NV9" s="599" t="s">
        <v>98</v>
      </c>
      <c r="NW9" s="599" t="s">
        <v>96</v>
      </c>
      <c r="NX9" s="599" t="s">
        <v>97</v>
      </c>
      <c r="NY9" s="599" t="s">
        <v>98</v>
      </c>
      <c r="NZ9" s="599" t="s">
        <v>96</v>
      </c>
      <c r="OA9" s="599" t="s">
        <v>97</v>
      </c>
      <c r="OB9" s="599" t="s">
        <v>98</v>
      </c>
      <c r="OC9" s="599" t="s">
        <v>96</v>
      </c>
      <c r="OD9" s="599" t="s">
        <v>97</v>
      </c>
      <c r="OE9" s="599" t="s">
        <v>98</v>
      </c>
      <c r="OF9" s="599" t="s">
        <v>96</v>
      </c>
      <c r="OG9" s="599" t="s">
        <v>97</v>
      </c>
      <c r="OH9" s="599" t="s">
        <v>98</v>
      </c>
      <c r="OI9" s="599" t="s">
        <v>96</v>
      </c>
      <c r="OJ9" s="599" t="s">
        <v>97</v>
      </c>
      <c r="OK9" s="599" t="s">
        <v>98</v>
      </c>
      <c r="OL9" s="599" t="s">
        <v>96</v>
      </c>
      <c r="OM9" s="599" t="s">
        <v>97</v>
      </c>
      <c r="ON9" s="599" t="s">
        <v>98</v>
      </c>
      <c r="OO9" s="599" t="s">
        <v>96</v>
      </c>
      <c r="OP9" s="599" t="s">
        <v>97</v>
      </c>
      <c r="OQ9" s="599" t="s">
        <v>98</v>
      </c>
      <c r="OR9" s="599" t="s">
        <v>96</v>
      </c>
      <c r="OS9" s="599" t="s">
        <v>97</v>
      </c>
      <c r="OT9" s="599" t="s">
        <v>98</v>
      </c>
      <c r="OU9" s="599" t="s">
        <v>96</v>
      </c>
      <c r="OV9" s="599" t="s">
        <v>97</v>
      </c>
      <c r="OW9" s="599" t="s">
        <v>98</v>
      </c>
      <c r="OX9" s="599" t="s">
        <v>96</v>
      </c>
      <c r="OY9" s="599" t="s">
        <v>97</v>
      </c>
      <c r="OZ9" s="599" t="s">
        <v>98</v>
      </c>
      <c r="PA9" s="599" t="s">
        <v>96</v>
      </c>
      <c r="PB9" s="599" t="s">
        <v>97</v>
      </c>
      <c r="PC9" s="599" t="s">
        <v>98</v>
      </c>
      <c r="PD9" s="599" t="s">
        <v>96</v>
      </c>
      <c r="PE9" s="599" t="s">
        <v>97</v>
      </c>
      <c r="PF9" s="599" t="s">
        <v>98</v>
      </c>
      <c r="PG9" s="599" t="s">
        <v>96</v>
      </c>
      <c r="PH9" s="599" t="s">
        <v>97</v>
      </c>
      <c r="PI9" s="599" t="s">
        <v>98</v>
      </c>
      <c r="PJ9" s="599" t="s">
        <v>96</v>
      </c>
      <c r="PK9" s="599" t="s">
        <v>97</v>
      </c>
      <c r="PL9" s="599" t="s">
        <v>98</v>
      </c>
      <c r="PM9" s="599" t="s">
        <v>96</v>
      </c>
      <c r="PN9" s="599" t="s">
        <v>97</v>
      </c>
      <c r="PO9" s="599" t="s">
        <v>98</v>
      </c>
      <c r="PP9" s="599" t="s">
        <v>96</v>
      </c>
      <c r="PQ9" s="599" t="s">
        <v>97</v>
      </c>
      <c r="PR9" s="599" t="s">
        <v>98</v>
      </c>
      <c r="PS9" s="599" t="s">
        <v>96</v>
      </c>
      <c r="PT9" s="599" t="s">
        <v>97</v>
      </c>
      <c r="PU9" s="599" t="s">
        <v>98</v>
      </c>
      <c r="PV9" s="599" t="s">
        <v>96</v>
      </c>
      <c r="PW9" s="599" t="s">
        <v>97</v>
      </c>
      <c r="PX9" s="599" t="s">
        <v>98</v>
      </c>
      <c r="PY9" s="599" t="s">
        <v>96</v>
      </c>
      <c r="PZ9" s="599" t="s">
        <v>97</v>
      </c>
      <c r="QA9" s="599" t="s">
        <v>98</v>
      </c>
      <c r="QB9" s="599" t="s">
        <v>96</v>
      </c>
      <c r="QC9" s="599" t="s">
        <v>97</v>
      </c>
      <c r="QD9" s="599" t="s">
        <v>98</v>
      </c>
    </row>
    <row r="10" spans="1:446" s="680" customFormat="1" ht="6" customHeight="1" x14ac:dyDescent="0.2">
      <c r="A10" s="680">
        <v>1</v>
      </c>
      <c r="B10" s="681">
        <v>1</v>
      </c>
      <c r="C10" s="681">
        <v>2</v>
      </c>
      <c r="D10" s="681">
        <v>3</v>
      </c>
      <c r="E10" s="681">
        <v>4</v>
      </c>
      <c r="F10" s="681">
        <v>5</v>
      </c>
      <c r="G10" s="681">
        <v>6</v>
      </c>
      <c r="H10" s="681">
        <v>7</v>
      </c>
      <c r="I10" s="681">
        <v>8</v>
      </c>
      <c r="J10" s="681">
        <v>9</v>
      </c>
      <c r="K10" s="681">
        <v>10</v>
      </c>
      <c r="L10" s="681">
        <v>11</v>
      </c>
      <c r="M10" s="681">
        <v>12</v>
      </c>
      <c r="N10" s="681">
        <v>13</v>
      </c>
      <c r="O10" s="681">
        <v>14</v>
      </c>
      <c r="P10" s="681">
        <v>15</v>
      </c>
      <c r="Q10" s="681">
        <v>16</v>
      </c>
      <c r="R10" s="681">
        <v>17</v>
      </c>
      <c r="S10" s="681">
        <v>18</v>
      </c>
      <c r="T10" s="681">
        <v>19</v>
      </c>
      <c r="U10" s="681">
        <v>20</v>
      </c>
      <c r="V10" s="681">
        <v>21</v>
      </c>
      <c r="W10" s="681">
        <v>22</v>
      </c>
      <c r="X10" s="681">
        <v>23</v>
      </c>
      <c r="Y10" s="681">
        <v>24</v>
      </c>
      <c r="Z10" s="681">
        <v>25</v>
      </c>
      <c r="AA10" s="681">
        <v>26</v>
      </c>
      <c r="AB10" s="681">
        <v>27</v>
      </c>
      <c r="AC10" s="681">
        <v>28</v>
      </c>
      <c r="AD10" s="681">
        <v>29</v>
      </c>
      <c r="AE10" s="681">
        <v>30</v>
      </c>
      <c r="AF10" s="681">
        <v>31</v>
      </c>
      <c r="AG10" s="681">
        <v>32</v>
      </c>
      <c r="AH10" s="681">
        <v>33</v>
      </c>
      <c r="AI10" s="681">
        <v>34</v>
      </c>
      <c r="AJ10" s="681">
        <v>35</v>
      </c>
      <c r="AK10" s="681">
        <v>36</v>
      </c>
      <c r="AL10" s="681">
        <v>37</v>
      </c>
      <c r="AM10" s="681">
        <v>38</v>
      </c>
      <c r="AN10" s="681">
        <v>39</v>
      </c>
      <c r="AO10" s="681">
        <v>40</v>
      </c>
      <c r="AP10" s="681">
        <v>41</v>
      </c>
      <c r="AQ10" s="681">
        <v>42</v>
      </c>
      <c r="AR10" s="681">
        <v>43</v>
      </c>
      <c r="AS10" s="681">
        <v>44</v>
      </c>
      <c r="AT10" s="681">
        <v>45</v>
      </c>
      <c r="AU10" s="681">
        <v>46</v>
      </c>
      <c r="AV10" s="681">
        <v>47</v>
      </c>
      <c r="AW10" s="681">
        <v>48</v>
      </c>
      <c r="AX10" s="681">
        <v>49</v>
      </c>
      <c r="AY10" s="681">
        <v>50</v>
      </c>
      <c r="AZ10" s="681">
        <v>51</v>
      </c>
      <c r="BA10" s="681">
        <v>52</v>
      </c>
      <c r="BB10" s="681">
        <v>53</v>
      </c>
      <c r="BC10" s="681">
        <v>54</v>
      </c>
      <c r="BD10" s="681">
        <v>55</v>
      </c>
      <c r="BE10" s="681">
        <v>56</v>
      </c>
      <c r="BF10" s="681">
        <v>57</v>
      </c>
      <c r="BG10" s="681">
        <v>58</v>
      </c>
      <c r="BH10" s="681">
        <v>59</v>
      </c>
      <c r="BI10" s="681">
        <v>60</v>
      </c>
      <c r="BJ10" s="681">
        <v>61</v>
      </c>
      <c r="BK10" s="681">
        <v>62</v>
      </c>
      <c r="BL10" s="681">
        <v>63</v>
      </c>
      <c r="BM10" s="681">
        <v>64</v>
      </c>
      <c r="BN10" s="681">
        <v>65</v>
      </c>
      <c r="BO10" s="681">
        <v>66</v>
      </c>
      <c r="BP10" s="681">
        <v>67</v>
      </c>
      <c r="BQ10" s="681">
        <v>68</v>
      </c>
      <c r="BR10" s="681">
        <v>69</v>
      </c>
      <c r="BS10" s="681">
        <v>70</v>
      </c>
      <c r="BT10" s="681">
        <v>71</v>
      </c>
      <c r="BU10" s="681">
        <v>72</v>
      </c>
      <c r="BV10" s="681">
        <v>73</v>
      </c>
      <c r="BW10" s="681">
        <v>74</v>
      </c>
      <c r="BX10" s="681">
        <v>75</v>
      </c>
      <c r="BY10" s="681">
        <v>76</v>
      </c>
      <c r="BZ10" s="681">
        <v>77</v>
      </c>
      <c r="CA10" s="681">
        <v>78</v>
      </c>
      <c r="CB10" s="681">
        <v>79</v>
      </c>
      <c r="CC10" s="681">
        <v>80</v>
      </c>
      <c r="CD10" s="681">
        <v>81</v>
      </c>
      <c r="CE10" s="681">
        <v>82</v>
      </c>
      <c r="CF10" s="681">
        <v>83</v>
      </c>
      <c r="CG10" s="681">
        <v>84</v>
      </c>
      <c r="CH10" s="681">
        <v>85</v>
      </c>
      <c r="CI10" s="681">
        <v>86</v>
      </c>
      <c r="CJ10" s="681">
        <v>87</v>
      </c>
      <c r="CK10" s="681">
        <v>88</v>
      </c>
      <c r="CL10" s="681">
        <v>89</v>
      </c>
      <c r="CM10" s="681">
        <v>90</v>
      </c>
      <c r="CN10" s="681">
        <v>91</v>
      </c>
      <c r="CO10" s="681">
        <v>92</v>
      </c>
      <c r="CP10" s="681">
        <v>93</v>
      </c>
      <c r="CQ10" s="681">
        <v>94</v>
      </c>
      <c r="CR10" s="681">
        <v>95</v>
      </c>
      <c r="CS10" s="681">
        <v>96</v>
      </c>
      <c r="CT10" s="681">
        <v>97</v>
      </c>
      <c r="CU10" s="681">
        <v>98</v>
      </c>
      <c r="CV10" s="681">
        <v>99</v>
      </c>
      <c r="CW10" s="681">
        <v>100</v>
      </c>
      <c r="CX10" s="681">
        <v>101</v>
      </c>
      <c r="CY10" s="681">
        <v>102</v>
      </c>
      <c r="CZ10" s="681">
        <v>103</v>
      </c>
      <c r="DA10" s="681">
        <v>104</v>
      </c>
      <c r="DB10" s="681">
        <v>105</v>
      </c>
      <c r="DC10" s="681">
        <v>106</v>
      </c>
      <c r="DD10" s="681">
        <v>107</v>
      </c>
      <c r="DE10" s="681">
        <v>108</v>
      </c>
      <c r="DF10" s="681">
        <v>109</v>
      </c>
      <c r="DG10" s="681">
        <v>110</v>
      </c>
      <c r="DH10" s="681">
        <v>111</v>
      </c>
      <c r="DI10" s="681">
        <v>112</v>
      </c>
      <c r="DJ10" s="681">
        <v>113</v>
      </c>
      <c r="DK10" s="681">
        <v>114</v>
      </c>
      <c r="DL10" s="681">
        <v>115</v>
      </c>
      <c r="DM10" s="681">
        <v>116</v>
      </c>
      <c r="DN10" s="681">
        <v>117</v>
      </c>
      <c r="DO10" s="681">
        <v>118</v>
      </c>
      <c r="DP10" s="681">
        <v>119</v>
      </c>
      <c r="DQ10" s="681">
        <v>120</v>
      </c>
      <c r="DR10" s="681">
        <v>121</v>
      </c>
      <c r="DS10" s="681">
        <v>122</v>
      </c>
      <c r="DT10" s="681">
        <v>123</v>
      </c>
      <c r="DU10" s="681">
        <v>124</v>
      </c>
      <c r="DV10" s="681">
        <v>125</v>
      </c>
      <c r="DW10" s="681">
        <v>126</v>
      </c>
      <c r="DX10" s="681">
        <v>127</v>
      </c>
      <c r="DY10" s="681">
        <v>128</v>
      </c>
      <c r="DZ10" s="681">
        <v>129</v>
      </c>
      <c r="EA10" s="681">
        <v>130</v>
      </c>
      <c r="EB10" s="681">
        <v>131</v>
      </c>
      <c r="EC10" s="681">
        <v>132</v>
      </c>
      <c r="ED10" s="681">
        <v>133</v>
      </c>
      <c r="EE10" s="681">
        <v>134</v>
      </c>
      <c r="EF10" s="681">
        <v>135</v>
      </c>
      <c r="EG10" s="681">
        <v>136</v>
      </c>
      <c r="EH10" s="681">
        <v>137</v>
      </c>
      <c r="EI10" s="681">
        <v>138</v>
      </c>
      <c r="EJ10" s="681">
        <v>139</v>
      </c>
      <c r="EK10" s="681">
        <v>140</v>
      </c>
      <c r="EL10" s="681">
        <v>141</v>
      </c>
      <c r="EM10" s="681">
        <v>142</v>
      </c>
      <c r="EN10" s="681">
        <v>143</v>
      </c>
      <c r="EO10" s="681">
        <v>144</v>
      </c>
      <c r="EP10" s="681">
        <v>145</v>
      </c>
      <c r="EQ10" s="681">
        <v>146</v>
      </c>
      <c r="ER10" s="681">
        <v>147</v>
      </c>
      <c r="ES10" s="681">
        <v>148</v>
      </c>
      <c r="ET10" s="681">
        <v>149</v>
      </c>
      <c r="EU10" s="681">
        <v>150</v>
      </c>
      <c r="EV10" s="681">
        <v>151</v>
      </c>
      <c r="EW10" s="681">
        <v>152</v>
      </c>
      <c r="EX10" s="681">
        <v>153</v>
      </c>
      <c r="EY10" s="681">
        <v>154</v>
      </c>
      <c r="EZ10" s="681">
        <v>155</v>
      </c>
      <c r="FA10" s="681">
        <v>156</v>
      </c>
      <c r="FB10" s="681">
        <v>157</v>
      </c>
      <c r="FC10" s="681">
        <v>158</v>
      </c>
      <c r="FD10" s="681">
        <v>159</v>
      </c>
      <c r="FE10" s="681">
        <v>160</v>
      </c>
      <c r="FF10" s="681">
        <v>161</v>
      </c>
      <c r="FG10" s="681">
        <v>162</v>
      </c>
      <c r="FH10" s="681">
        <v>163</v>
      </c>
      <c r="FI10" s="681">
        <v>164</v>
      </c>
      <c r="FJ10" s="681">
        <v>165</v>
      </c>
      <c r="FK10" s="681">
        <v>166</v>
      </c>
      <c r="FL10" s="681">
        <v>167</v>
      </c>
      <c r="FM10" s="681">
        <v>168</v>
      </c>
      <c r="FN10" s="681">
        <v>169</v>
      </c>
      <c r="FO10" s="681">
        <v>170</v>
      </c>
      <c r="FP10" s="681">
        <v>171</v>
      </c>
      <c r="FQ10" s="681">
        <v>172</v>
      </c>
      <c r="FR10" s="681">
        <v>173</v>
      </c>
      <c r="FS10" s="681">
        <v>174</v>
      </c>
      <c r="FT10" s="681">
        <v>175</v>
      </c>
      <c r="FU10" s="681">
        <v>176</v>
      </c>
      <c r="FV10" s="681">
        <v>177</v>
      </c>
      <c r="FW10" s="681">
        <v>178</v>
      </c>
      <c r="FX10" s="681">
        <v>179</v>
      </c>
      <c r="FY10" s="681">
        <v>180</v>
      </c>
      <c r="FZ10" s="681">
        <v>181</v>
      </c>
      <c r="GA10" s="681">
        <v>182</v>
      </c>
      <c r="GB10" s="681">
        <v>183</v>
      </c>
      <c r="GC10" s="681">
        <v>184</v>
      </c>
      <c r="GD10" s="681">
        <v>185</v>
      </c>
      <c r="GE10" s="681">
        <v>186</v>
      </c>
      <c r="GF10" s="681">
        <v>187</v>
      </c>
      <c r="GG10" s="681">
        <v>188</v>
      </c>
      <c r="GH10" s="681">
        <v>189</v>
      </c>
      <c r="GI10" s="681">
        <v>190</v>
      </c>
      <c r="GJ10" s="681">
        <v>191</v>
      </c>
      <c r="GK10" s="681">
        <v>192</v>
      </c>
      <c r="GL10" s="681">
        <v>193</v>
      </c>
      <c r="GM10" s="681">
        <v>194</v>
      </c>
      <c r="GN10" s="681">
        <v>195</v>
      </c>
      <c r="GO10" s="681">
        <v>196</v>
      </c>
      <c r="GP10" s="681">
        <v>197</v>
      </c>
      <c r="GQ10" s="681">
        <v>198</v>
      </c>
      <c r="GR10" s="681">
        <v>199</v>
      </c>
      <c r="GS10" s="681">
        <v>200</v>
      </c>
      <c r="GT10" s="681">
        <v>201</v>
      </c>
      <c r="GU10" s="681">
        <v>202</v>
      </c>
      <c r="GV10" s="681">
        <v>203</v>
      </c>
      <c r="GW10" s="681">
        <v>204</v>
      </c>
      <c r="GX10" s="681">
        <v>205</v>
      </c>
      <c r="GY10" s="681">
        <v>206</v>
      </c>
      <c r="GZ10" s="681">
        <v>207</v>
      </c>
      <c r="HA10" s="681">
        <v>208</v>
      </c>
      <c r="HB10" s="681">
        <v>209</v>
      </c>
      <c r="HC10" s="681">
        <v>210</v>
      </c>
      <c r="HD10" s="681">
        <v>211</v>
      </c>
      <c r="HE10" s="681">
        <v>212</v>
      </c>
      <c r="HF10" s="681">
        <v>213</v>
      </c>
      <c r="HG10" s="681">
        <v>214</v>
      </c>
      <c r="HH10" s="681">
        <v>215</v>
      </c>
      <c r="HI10" s="681">
        <v>216</v>
      </c>
      <c r="HJ10" s="681">
        <v>217</v>
      </c>
      <c r="HK10" s="681">
        <v>218</v>
      </c>
      <c r="HL10" s="681">
        <v>219</v>
      </c>
      <c r="HM10" s="681">
        <v>220</v>
      </c>
      <c r="HN10" s="681">
        <v>221</v>
      </c>
      <c r="HO10" s="681">
        <v>222</v>
      </c>
      <c r="HP10" s="681">
        <v>223</v>
      </c>
      <c r="HQ10" s="681">
        <v>224</v>
      </c>
      <c r="HR10" s="681">
        <v>225</v>
      </c>
      <c r="HS10" s="681">
        <v>226</v>
      </c>
      <c r="HT10" s="681">
        <v>227</v>
      </c>
      <c r="HU10" s="681">
        <v>228</v>
      </c>
      <c r="HV10" s="681">
        <v>229</v>
      </c>
      <c r="HW10" s="681">
        <v>230</v>
      </c>
      <c r="HX10" s="681">
        <v>231</v>
      </c>
      <c r="HY10" s="681">
        <v>232</v>
      </c>
      <c r="HZ10" s="681">
        <v>233</v>
      </c>
      <c r="IA10" s="681">
        <v>234</v>
      </c>
      <c r="IB10" s="681">
        <v>235</v>
      </c>
      <c r="IC10" s="681">
        <v>236</v>
      </c>
      <c r="ID10" s="681">
        <v>237</v>
      </c>
      <c r="IE10" s="681">
        <v>238</v>
      </c>
      <c r="IF10" s="681">
        <v>239</v>
      </c>
      <c r="IG10" s="681">
        <v>240</v>
      </c>
      <c r="IH10" s="681">
        <v>241</v>
      </c>
      <c r="II10" s="681">
        <v>242</v>
      </c>
      <c r="IJ10" s="681">
        <v>243</v>
      </c>
      <c r="IK10" s="681">
        <v>244</v>
      </c>
      <c r="IL10" s="681">
        <v>245</v>
      </c>
      <c r="IM10" s="681">
        <v>246</v>
      </c>
      <c r="IN10" s="681">
        <v>247</v>
      </c>
      <c r="IO10" s="681">
        <v>248</v>
      </c>
      <c r="IP10" s="681">
        <v>249</v>
      </c>
      <c r="IQ10" s="681">
        <v>250</v>
      </c>
      <c r="IR10" s="681">
        <v>251</v>
      </c>
      <c r="IS10" s="681">
        <v>252</v>
      </c>
      <c r="IT10" s="681">
        <v>253</v>
      </c>
      <c r="IU10" s="681">
        <v>254</v>
      </c>
      <c r="IV10" s="681">
        <v>255</v>
      </c>
      <c r="IW10" s="681">
        <v>256</v>
      </c>
      <c r="IX10" s="681">
        <v>257</v>
      </c>
      <c r="IY10" s="681">
        <v>258</v>
      </c>
      <c r="IZ10" s="681">
        <v>259</v>
      </c>
      <c r="JA10" s="681">
        <v>260</v>
      </c>
      <c r="JB10" s="681">
        <v>261</v>
      </c>
      <c r="JC10" s="681">
        <v>262</v>
      </c>
      <c r="JD10" s="681">
        <v>263</v>
      </c>
      <c r="JE10" s="681">
        <v>264</v>
      </c>
      <c r="JF10" s="681">
        <v>265</v>
      </c>
      <c r="JG10" s="681">
        <v>266</v>
      </c>
      <c r="JH10" s="681">
        <v>267</v>
      </c>
      <c r="JI10" s="681">
        <v>268</v>
      </c>
      <c r="JJ10" s="681">
        <v>269</v>
      </c>
      <c r="JK10" s="681">
        <v>270</v>
      </c>
      <c r="JL10" s="681">
        <v>271</v>
      </c>
      <c r="JM10" s="681">
        <v>272</v>
      </c>
      <c r="JN10" s="681">
        <v>273</v>
      </c>
      <c r="JO10" s="681">
        <v>274</v>
      </c>
      <c r="JP10" s="681">
        <v>275</v>
      </c>
      <c r="JQ10" s="681">
        <v>276</v>
      </c>
      <c r="JR10" s="681">
        <v>277</v>
      </c>
      <c r="JS10" s="681">
        <v>278</v>
      </c>
      <c r="JT10" s="681">
        <v>279</v>
      </c>
      <c r="JU10" s="681">
        <v>280</v>
      </c>
      <c r="JV10" s="681">
        <v>281</v>
      </c>
      <c r="JW10" s="681">
        <v>282</v>
      </c>
      <c r="JX10" s="681">
        <v>283</v>
      </c>
      <c r="JY10" s="681">
        <v>284</v>
      </c>
      <c r="JZ10" s="681">
        <v>285</v>
      </c>
      <c r="KA10" s="681">
        <v>286</v>
      </c>
      <c r="KB10" s="681">
        <v>287</v>
      </c>
      <c r="KC10" s="681">
        <v>288</v>
      </c>
      <c r="KD10" s="681">
        <v>289</v>
      </c>
      <c r="KE10" s="681">
        <v>290</v>
      </c>
      <c r="KF10" s="681">
        <v>291</v>
      </c>
      <c r="KG10" s="681">
        <v>292</v>
      </c>
      <c r="KH10" s="681">
        <v>293</v>
      </c>
      <c r="KI10" s="681">
        <v>294</v>
      </c>
      <c r="KJ10" s="681">
        <v>295</v>
      </c>
      <c r="KK10" s="681">
        <v>296</v>
      </c>
      <c r="KL10" s="681">
        <v>297</v>
      </c>
      <c r="KM10" s="681">
        <v>298</v>
      </c>
      <c r="KN10" s="681">
        <v>299</v>
      </c>
      <c r="KO10" s="681">
        <v>300</v>
      </c>
      <c r="KP10" s="681">
        <v>301</v>
      </c>
      <c r="KQ10" s="681">
        <v>302</v>
      </c>
      <c r="KR10" s="681">
        <v>303</v>
      </c>
      <c r="KS10" s="681">
        <v>304</v>
      </c>
      <c r="KT10" s="681">
        <v>305</v>
      </c>
      <c r="KU10" s="681">
        <v>306</v>
      </c>
      <c r="KV10" s="681">
        <v>307</v>
      </c>
      <c r="KW10" s="681">
        <v>308</v>
      </c>
      <c r="KX10" s="681">
        <v>309</v>
      </c>
      <c r="KY10" s="681">
        <v>310</v>
      </c>
      <c r="KZ10" s="681">
        <v>311</v>
      </c>
      <c r="LA10" s="681">
        <v>312</v>
      </c>
      <c r="LB10" s="681">
        <v>313</v>
      </c>
      <c r="LC10" s="681">
        <v>314</v>
      </c>
      <c r="LD10" s="681">
        <v>315</v>
      </c>
      <c r="LE10" s="681">
        <v>316</v>
      </c>
      <c r="LF10" s="681">
        <v>317</v>
      </c>
      <c r="LG10" s="681">
        <v>318</v>
      </c>
      <c r="LH10" s="681">
        <v>319</v>
      </c>
      <c r="LI10" s="681">
        <v>320</v>
      </c>
      <c r="LJ10" s="681">
        <v>321</v>
      </c>
      <c r="LK10" s="681">
        <v>322</v>
      </c>
      <c r="LL10" s="681">
        <v>323</v>
      </c>
      <c r="LM10" s="681">
        <v>324</v>
      </c>
      <c r="LN10" s="681">
        <v>325</v>
      </c>
      <c r="LO10" s="681">
        <v>326</v>
      </c>
      <c r="LP10" s="681">
        <v>327</v>
      </c>
      <c r="LQ10" s="681">
        <v>328</v>
      </c>
      <c r="LR10" s="681">
        <v>329</v>
      </c>
      <c r="LS10" s="681">
        <v>330</v>
      </c>
      <c r="LT10" s="681">
        <v>331</v>
      </c>
      <c r="LU10" s="681">
        <v>332</v>
      </c>
      <c r="LV10" s="681">
        <v>333</v>
      </c>
      <c r="LW10" s="681">
        <v>334</v>
      </c>
      <c r="LX10" s="681">
        <v>335</v>
      </c>
      <c r="LY10" s="681">
        <v>336</v>
      </c>
      <c r="LZ10" s="681">
        <v>337</v>
      </c>
      <c r="MA10" s="681">
        <v>338</v>
      </c>
      <c r="MB10" s="681">
        <v>339</v>
      </c>
      <c r="MC10" s="681">
        <v>340</v>
      </c>
      <c r="MD10" s="681">
        <v>341</v>
      </c>
      <c r="ME10" s="681">
        <v>342</v>
      </c>
      <c r="MF10" s="681">
        <v>343</v>
      </c>
      <c r="MG10" s="681">
        <v>344</v>
      </c>
      <c r="MH10" s="681">
        <v>345</v>
      </c>
      <c r="MI10" s="681">
        <v>346</v>
      </c>
      <c r="MJ10" s="681">
        <v>347</v>
      </c>
      <c r="MK10" s="681">
        <v>348</v>
      </c>
      <c r="ML10" s="681">
        <v>349</v>
      </c>
      <c r="MM10" s="681">
        <v>350</v>
      </c>
      <c r="MN10" s="681">
        <v>351</v>
      </c>
      <c r="MO10" s="681">
        <v>352</v>
      </c>
      <c r="MP10" s="681">
        <v>353</v>
      </c>
      <c r="MQ10" s="681">
        <v>354</v>
      </c>
      <c r="MR10" s="681">
        <v>355</v>
      </c>
      <c r="MS10" s="681">
        <v>356</v>
      </c>
      <c r="MT10" s="681">
        <v>357</v>
      </c>
      <c r="MU10" s="681">
        <v>358</v>
      </c>
      <c r="MV10" s="681">
        <v>359</v>
      </c>
      <c r="MW10" s="681">
        <v>360</v>
      </c>
      <c r="MX10" s="681">
        <v>361</v>
      </c>
      <c r="MY10" s="681">
        <v>362</v>
      </c>
      <c r="MZ10" s="681">
        <v>363</v>
      </c>
      <c r="NA10" s="681">
        <v>364</v>
      </c>
      <c r="NB10" s="681">
        <v>365</v>
      </c>
      <c r="NC10" s="681">
        <v>366</v>
      </c>
      <c r="ND10" s="681">
        <v>367</v>
      </c>
      <c r="NE10" s="681">
        <v>368</v>
      </c>
      <c r="NF10" s="681">
        <v>369</v>
      </c>
      <c r="NG10" s="681">
        <v>370</v>
      </c>
      <c r="NH10" s="681">
        <v>371</v>
      </c>
      <c r="NI10" s="681">
        <v>372</v>
      </c>
      <c r="NJ10" s="681">
        <v>373</v>
      </c>
      <c r="NK10" s="681">
        <v>374</v>
      </c>
      <c r="NL10" s="681">
        <v>375</v>
      </c>
      <c r="NM10" s="681">
        <v>376</v>
      </c>
      <c r="NN10" s="681">
        <v>377</v>
      </c>
      <c r="NO10" s="681">
        <v>378</v>
      </c>
      <c r="NP10" s="681">
        <v>379</v>
      </c>
      <c r="NQ10" s="681">
        <v>380</v>
      </c>
      <c r="NR10" s="681">
        <v>381</v>
      </c>
      <c r="NS10" s="681">
        <v>382</v>
      </c>
      <c r="NT10" s="681">
        <v>383</v>
      </c>
      <c r="NU10" s="681">
        <v>384</v>
      </c>
      <c r="NV10" s="681">
        <v>385</v>
      </c>
      <c r="NW10" s="681">
        <v>386</v>
      </c>
      <c r="NX10" s="681">
        <v>387</v>
      </c>
      <c r="NY10" s="681">
        <v>388</v>
      </c>
      <c r="NZ10" s="681">
        <v>389</v>
      </c>
      <c r="OA10" s="681">
        <v>390</v>
      </c>
      <c r="OB10" s="681">
        <v>391</v>
      </c>
      <c r="OC10" s="681">
        <v>392</v>
      </c>
      <c r="OD10" s="681">
        <v>393</v>
      </c>
      <c r="OE10" s="681">
        <v>394</v>
      </c>
      <c r="OF10" s="681">
        <v>395</v>
      </c>
      <c r="OG10" s="681">
        <v>396</v>
      </c>
      <c r="OH10" s="681">
        <v>397</v>
      </c>
      <c r="OI10" s="681">
        <v>398</v>
      </c>
      <c r="OJ10" s="681">
        <v>399</v>
      </c>
      <c r="OK10" s="681">
        <v>400</v>
      </c>
      <c r="OL10" s="681">
        <v>401</v>
      </c>
      <c r="OM10" s="681">
        <v>402</v>
      </c>
      <c r="ON10" s="681">
        <v>403</v>
      </c>
      <c r="OO10" s="681">
        <v>404</v>
      </c>
      <c r="OP10" s="681">
        <v>405</v>
      </c>
      <c r="OQ10" s="681">
        <v>406</v>
      </c>
      <c r="OR10" s="681">
        <v>407</v>
      </c>
      <c r="OS10" s="681">
        <v>408</v>
      </c>
      <c r="OT10" s="681">
        <v>409</v>
      </c>
      <c r="OU10" s="681">
        <v>410</v>
      </c>
      <c r="OV10" s="681">
        <v>411</v>
      </c>
      <c r="OW10" s="681">
        <v>412</v>
      </c>
      <c r="OX10" s="681">
        <v>413</v>
      </c>
      <c r="OY10" s="681">
        <v>414</v>
      </c>
      <c r="OZ10" s="681">
        <v>415</v>
      </c>
      <c r="PA10" s="681">
        <v>416</v>
      </c>
      <c r="PB10" s="681">
        <v>417</v>
      </c>
      <c r="PC10" s="681">
        <v>418</v>
      </c>
      <c r="PD10" s="681">
        <v>419</v>
      </c>
      <c r="PE10" s="681">
        <v>420</v>
      </c>
      <c r="PF10" s="681">
        <v>421</v>
      </c>
      <c r="PG10" s="681">
        <v>422</v>
      </c>
      <c r="PH10" s="681">
        <v>423</v>
      </c>
      <c r="PI10" s="681">
        <v>424</v>
      </c>
      <c r="PJ10" s="681">
        <v>425</v>
      </c>
      <c r="PK10" s="681">
        <v>426</v>
      </c>
      <c r="PL10" s="681">
        <v>427</v>
      </c>
      <c r="PM10" s="681">
        <v>428</v>
      </c>
      <c r="PN10" s="681">
        <v>429</v>
      </c>
      <c r="PO10" s="681">
        <v>430</v>
      </c>
      <c r="PP10" s="681">
        <v>431</v>
      </c>
      <c r="PQ10" s="681">
        <v>432</v>
      </c>
      <c r="PR10" s="681">
        <v>433</v>
      </c>
      <c r="PS10" s="681">
        <v>434</v>
      </c>
      <c r="PT10" s="681">
        <v>435</v>
      </c>
      <c r="PU10" s="681">
        <v>436</v>
      </c>
      <c r="PV10" s="681">
        <v>437</v>
      </c>
      <c r="PW10" s="681">
        <v>438</v>
      </c>
      <c r="PX10" s="681">
        <v>439</v>
      </c>
      <c r="PY10" s="681">
        <v>440</v>
      </c>
      <c r="PZ10" s="681">
        <v>441</v>
      </c>
      <c r="QA10" s="681">
        <v>442</v>
      </c>
      <c r="QB10" s="681">
        <v>443</v>
      </c>
      <c r="QC10" s="681">
        <v>444</v>
      </c>
      <c r="QD10" s="681">
        <v>445</v>
      </c>
    </row>
    <row r="11" spans="1:446" s="955" customFormat="1" ht="14.1" customHeight="1" x14ac:dyDescent="0.2">
      <c r="A11" s="952">
        <v>1</v>
      </c>
      <c r="B11" s="953" t="s">
        <v>1308</v>
      </c>
      <c r="C11" s="954"/>
      <c r="D11" s="954"/>
      <c r="E11" s="954"/>
      <c r="F11" s="954">
        <f>SUM(F12:F500)</f>
        <v>90</v>
      </c>
      <c r="G11" s="954">
        <f>SUM(G12:G500)</f>
        <v>164.98554999999999</v>
      </c>
      <c r="H11" s="954"/>
      <c r="I11" s="954">
        <f>SUM(I12:I500)</f>
        <v>132</v>
      </c>
      <c r="J11" s="954">
        <f>SUM(J12:J500)</f>
        <v>124.48444000000001</v>
      </c>
      <c r="K11" s="954"/>
      <c r="L11" s="954">
        <f>SUM(L12:L500)</f>
        <v>234</v>
      </c>
      <c r="M11" s="954">
        <f>SUM(M12:M500)</f>
        <v>181.48410500000003</v>
      </c>
      <c r="N11" s="954"/>
      <c r="O11" s="954">
        <f>SUM(O12:O500)</f>
        <v>388</v>
      </c>
      <c r="P11" s="954">
        <f>SUM(P12:P500)</f>
        <v>197.98266000000001</v>
      </c>
      <c r="Q11" s="954"/>
      <c r="R11" s="954">
        <f>SUM(R12:R500)</f>
        <v>376</v>
      </c>
      <c r="S11" s="954">
        <f>SUM(S12:S500)</f>
        <v>230.97977</v>
      </c>
      <c r="T11" s="954"/>
      <c r="U11" s="954">
        <f>SUM(U12:U500)</f>
        <v>153</v>
      </c>
      <c r="V11" s="954">
        <f>SUM(V12:V500)</f>
        <v>82.492774999999995</v>
      </c>
      <c r="W11" s="954"/>
      <c r="X11" s="954">
        <f>SUM(X12:X500)</f>
        <v>196</v>
      </c>
      <c r="Y11" s="954">
        <f>SUM(Y12:Y500)</f>
        <v>164.98554999999999</v>
      </c>
      <c r="Z11" s="954"/>
      <c r="AA11" s="954">
        <f>SUM(AA12:AA500)</f>
        <v>149</v>
      </c>
      <c r="AB11" s="954">
        <f>SUM(AB12:AB500)</f>
        <v>7.5039999999999996</v>
      </c>
      <c r="AC11" s="954"/>
      <c r="AD11" s="954">
        <f>SUM(AD12:AD500)</f>
        <v>99</v>
      </c>
      <c r="AE11" s="954">
        <f>SUM(AE12:AE500)</f>
        <v>10.318</v>
      </c>
      <c r="AF11" s="954"/>
      <c r="AG11" s="954">
        <f>SUM(AG12:AG500)</f>
        <v>164</v>
      </c>
      <c r="AH11" s="954">
        <f>SUM(AH12:AH500)</f>
        <v>11.256</v>
      </c>
      <c r="AI11" s="954"/>
      <c r="AJ11" s="954">
        <f>SUM(AJ12:AJ500)</f>
        <v>0</v>
      </c>
      <c r="AK11" s="954">
        <f>SUM(AK12:AK500)</f>
        <v>0</v>
      </c>
      <c r="AL11" s="954"/>
      <c r="AM11" s="954">
        <f>SUM(AM12:AM500)</f>
        <v>0</v>
      </c>
      <c r="AN11" s="954">
        <f>SUM(AN12:AN500)</f>
        <v>0</v>
      </c>
      <c r="AO11" s="954"/>
      <c r="AP11" s="954">
        <f>SUM(AP12:AP500)</f>
        <v>926</v>
      </c>
      <c r="AQ11" s="954">
        <f>SUM(AQ12:AQ500)</f>
        <v>230.97977</v>
      </c>
      <c r="AR11" s="954"/>
      <c r="AS11" s="954">
        <f>SUM(AS12:AS500)</f>
        <v>359</v>
      </c>
      <c r="AT11" s="954">
        <f>SUM(AT12:AT500)</f>
        <v>16.498555</v>
      </c>
      <c r="AU11" s="954"/>
      <c r="AV11" s="954">
        <f>SUM(AV12:AV500)</f>
        <v>454</v>
      </c>
      <c r="AW11" s="954">
        <f>SUM(AW12:AW500)</f>
        <v>98.991330000000005</v>
      </c>
      <c r="AX11" s="954"/>
      <c r="AY11" s="954">
        <f>SUM(AY12:AY500)</f>
        <v>18</v>
      </c>
      <c r="AZ11" s="954">
        <f>SUM(AZ12:AZ500)</f>
        <v>32.997109999999999</v>
      </c>
      <c r="BA11" s="954"/>
      <c r="BB11" s="954">
        <f>SUM(BB12:BB500)</f>
        <v>160</v>
      </c>
      <c r="BC11" s="954">
        <f>SUM(BC12:BC500)</f>
        <v>164.98554999999999</v>
      </c>
      <c r="BD11" s="954"/>
      <c r="BE11" s="954">
        <f>SUM(BE12:BE500)</f>
        <v>108</v>
      </c>
      <c r="BF11" s="954">
        <f>SUM(BF12:BF500)</f>
        <v>197.98266000000001</v>
      </c>
      <c r="BG11" s="954"/>
      <c r="BH11" s="954">
        <f>SUM(BH12:BH500)</f>
        <v>0</v>
      </c>
      <c r="BI11" s="954">
        <f>SUM(BI12:BI500)</f>
        <v>0</v>
      </c>
      <c r="BJ11" s="954"/>
      <c r="BK11" s="954">
        <f>SUM(BK12:BK500)</f>
        <v>0</v>
      </c>
      <c r="BL11" s="954">
        <f>SUM(BL12:BL500)</f>
        <v>0</v>
      </c>
      <c r="BM11" s="954"/>
      <c r="BN11" s="954">
        <f>SUM(BN12:BN500)</f>
        <v>144</v>
      </c>
      <c r="BO11" s="954">
        <f>SUM(BO12:BO500)</f>
        <v>248.96888000000001</v>
      </c>
      <c r="BP11" s="954"/>
      <c r="BQ11" s="954">
        <f>SUM(BQ12:BQ500)</f>
        <v>146</v>
      </c>
      <c r="BR11" s="954">
        <f>SUM(BR12:BR500)</f>
        <v>217.84777</v>
      </c>
      <c r="BS11" s="954"/>
      <c r="BT11" s="954">
        <f>SUM(BT12:BT500)</f>
        <v>427</v>
      </c>
      <c r="BU11" s="954">
        <f>SUM(BU12:BU500)</f>
        <v>197.98266000000001</v>
      </c>
      <c r="BV11" s="954"/>
      <c r="BW11" s="954">
        <f>SUM(BW12:BW500)</f>
        <v>190</v>
      </c>
      <c r="BX11" s="954">
        <f>SUM(BX12:BX500)</f>
        <v>20</v>
      </c>
      <c r="BY11" s="954"/>
      <c r="BZ11" s="954">
        <f>SUM(BZ12:BZ500)</f>
        <v>104</v>
      </c>
      <c r="CA11" s="954">
        <f>SUM(CA12:CA500)</f>
        <v>0</v>
      </c>
      <c r="CB11" s="954"/>
      <c r="CC11" s="954">
        <f>SUM(CC12:CC500)</f>
        <v>162</v>
      </c>
      <c r="CD11" s="954">
        <f>SUM(CD12:CD500)</f>
        <v>9.379999999999999</v>
      </c>
      <c r="CE11" s="954"/>
      <c r="CF11" s="954">
        <f>SUM(CF12:CF500)</f>
        <v>149</v>
      </c>
      <c r="CG11" s="954">
        <f>SUM(CG12:CG500)</f>
        <v>7.5039999999999996</v>
      </c>
      <c r="CH11" s="954"/>
      <c r="CI11" s="954">
        <f>SUM(CI12:CI500)</f>
        <v>28</v>
      </c>
      <c r="CJ11" s="954">
        <f>SUM(CJ12:CJ500)</f>
        <v>32.997109999999999</v>
      </c>
      <c r="CK11" s="954"/>
      <c r="CL11" s="954">
        <f>SUM(CL12:CL500)</f>
        <v>31.2</v>
      </c>
      <c r="CM11" s="954">
        <f>SUM(CM12:CM500)</f>
        <v>20.750399999999999</v>
      </c>
      <c r="CN11" s="954"/>
      <c r="CO11" s="954">
        <f>SUM(CO12:CO500)</f>
        <v>12.6</v>
      </c>
      <c r="CP11" s="954">
        <f>SUM(CP12:CP500)</f>
        <v>23.097977</v>
      </c>
      <c r="CQ11" s="954"/>
      <c r="CR11" s="954">
        <f>SUM(CR12:CR500)</f>
        <v>14.4</v>
      </c>
      <c r="CS11" s="954">
        <f>SUM(CS12:CS500)</f>
        <v>24.896888000000001</v>
      </c>
      <c r="CT11" s="954"/>
      <c r="CU11" s="954">
        <f>SUM(CU12:CU500)</f>
        <v>7.2</v>
      </c>
      <c r="CV11" s="954">
        <f>SUM(CV12:CV500)</f>
        <v>13.198844000000001</v>
      </c>
      <c r="CW11" s="954"/>
      <c r="CX11" s="954">
        <f>SUM(CX12:CX500)</f>
        <v>46.8</v>
      </c>
      <c r="CY11" s="954">
        <f>SUM(CY12:CY500)</f>
        <v>19.798265999999998</v>
      </c>
      <c r="CZ11" s="954"/>
      <c r="DA11" s="954">
        <f>SUM(DA12:DA500)</f>
        <v>5.4</v>
      </c>
      <c r="DB11" s="954">
        <f>SUM(DB12:DB500)</f>
        <v>9.8991329999999991</v>
      </c>
      <c r="DC11" s="954"/>
      <c r="DD11" s="954">
        <f>SUM(DD12:DD500)</f>
        <v>18.399999999999999</v>
      </c>
      <c r="DE11" s="954">
        <f>SUM(DE12:DE500)</f>
        <v>9.8991329999999991</v>
      </c>
      <c r="DF11" s="954"/>
      <c r="DG11" s="954">
        <f>SUM(DG12:DG500)</f>
        <v>161</v>
      </c>
      <c r="DH11" s="954">
        <f>SUM(DH12:DH500)</f>
        <v>8.4420000000000002</v>
      </c>
      <c r="DI11" s="954"/>
      <c r="DJ11" s="954">
        <f>SUM(DJ12:DJ500)</f>
        <v>98</v>
      </c>
      <c r="DK11" s="954">
        <f>SUM(DK12:DK500)</f>
        <v>6.5659999999999998</v>
      </c>
      <c r="DL11" s="954"/>
      <c r="DM11" s="954">
        <f>SUM(DM12:DM500)</f>
        <v>79.2</v>
      </c>
      <c r="DN11" s="954">
        <f>SUM(DN12:DN500)</f>
        <v>8.2544000000000004</v>
      </c>
      <c r="DO11" s="954"/>
      <c r="DP11" s="954">
        <f>SUM(DP12:DP500)</f>
        <v>152</v>
      </c>
      <c r="DQ11" s="954">
        <f>SUM(DQ12:DQ500)</f>
        <v>54</v>
      </c>
      <c r="DR11" s="954"/>
      <c r="DS11" s="954">
        <f>SUM(DS12:DS500)</f>
        <v>131</v>
      </c>
      <c r="DT11" s="954">
        <f>SUM(DT12:DT500)</f>
        <v>148.48699500000001</v>
      </c>
      <c r="DU11" s="954"/>
      <c r="DV11" s="954">
        <f>SUM(DV12:DV500)</f>
        <v>276</v>
      </c>
      <c r="DW11" s="954">
        <f>SUM(DW12:DW500)</f>
        <v>115.489885</v>
      </c>
      <c r="DX11" s="954"/>
      <c r="DY11" s="954">
        <f>SUM(DY12:DY500)</f>
        <v>369.2</v>
      </c>
      <c r="DZ11" s="954">
        <f>SUM(DZ12:DZ500)</f>
        <v>145.18728400000001</v>
      </c>
      <c r="EA11" s="954"/>
      <c r="EB11" s="954">
        <f>SUM(EB12:EB500)</f>
        <v>172</v>
      </c>
      <c r="EC11" s="954">
        <f>SUM(EC12:EC500)</f>
        <v>131.98844</v>
      </c>
      <c r="ED11" s="954"/>
      <c r="EE11" s="954">
        <f>SUM(EE12:EE500)</f>
        <v>285</v>
      </c>
      <c r="EF11" s="954">
        <f>SUM(EF12:EF500)</f>
        <v>140.044995</v>
      </c>
      <c r="EG11" s="954"/>
      <c r="EH11" s="954">
        <f>SUM(EH12:EH500)</f>
        <v>114</v>
      </c>
      <c r="EI11" s="954">
        <f>SUM(EI12:EI500)</f>
        <v>108.923885</v>
      </c>
      <c r="EJ11" s="954"/>
      <c r="EK11" s="954">
        <f>SUM(EK12:EK500)</f>
        <v>0</v>
      </c>
      <c r="EL11" s="954">
        <f>SUM(EL12:EL500)</f>
        <v>0</v>
      </c>
      <c r="EM11" s="954"/>
      <c r="EN11" s="954">
        <f>SUM(EN12:EN500)</f>
        <v>0</v>
      </c>
      <c r="EO11" s="954">
        <f>SUM(EO12:EO500)</f>
        <v>0</v>
      </c>
      <c r="EP11" s="954"/>
      <c r="EQ11" s="954">
        <f>SUM(EQ12:EQ500)</f>
        <v>373.2</v>
      </c>
      <c r="ER11" s="954">
        <f>SUM(ER12:ER500)</f>
        <v>136.932884</v>
      </c>
      <c r="ES11" s="954"/>
      <c r="ET11" s="954">
        <f>SUM(ET12:ET500)</f>
        <v>97</v>
      </c>
      <c r="EU11" s="954">
        <f>SUM(EU12:EU500)</f>
        <v>7.5039999999999996</v>
      </c>
      <c r="EV11" s="954"/>
      <c r="EW11" s="954">
        <f>SUM(EW12:EW500)</f>
        <v>54</v>
      </c>
      <c r="EX11" s="954">
        <f>SUM(EX12:EX500)</f>
        <v>0</v>
      </c>
      <c r="EY11" s="954"/>
      <c r="EZ11" s="954">
        <f>SUM(EZ12:EZ500)</f>
        <v>90</v>
      </c>
      <c r="FA11" s="954">
        <f>SUM(FA12:FA500)</f>
        <v>155.60554999999999</v>
      </c>
      <c r="FB11" s="954"/>
      <c r="FC11" s="954">
        <f>SUM(FC12:FC500)</f>
        <v>267</v>
      </c>
      <c r="FD11" s="954">
        <f>SUM(FD12:FD500)</f>
        <v>93.363330000000005</v>
      </c>
      <c r="FE11" s="954"/>
      <c r="FF11" s="954">
        <f>SUM(FF12:FF500)</f>
        <v>65</v>
      </c>
      <c r="FG11" s="954">
        <f>SUM(FG12:FG500)</f>
        <v>31.121110000000002</v>
      </c>
      <c r="FH11" s="954"/>
      <c r="FI11" s="954">
        <f>SUM(FI12:FI500)</f>
        <v>72</v>
      </c>
      <c r="FJ11" s="954">
        <f>SUM(FJ12:FJ500)</f>
        <v>131.98844</v>
      </c>
      <c r="FK11" s="954"/>
      <c r="FL11" s="954">
        <f>SUM(FL12:FL500)</f>
        <v>0</v>
      </c>
      <c r="FM11" s="954">
        <f>SUM(FM12:FM500)</f>
        <v>0</v>
      </c>
      <c r="FN11" s="954"/>
      <c r="FO11" s="954">
        <f>SUM(FO12:FO500)</f>
        <v>0</v>
      </c>
      <c r="FP11" s="954">
        <f>SUM(FP12:FP500)</f>
        <v>0</v>
      </c>
      <c r="FQ11" s="954"/>
      <c r="FR11" s="954">
        <f>SUM(FR12:FR500)</f>
        <v>522</v>
      </c>
      <c r="FS11" s="954">
        <f>SUM(FS12:FS500)</f>
        <v>193.16055</v>
      </c>
      <c r="FT11" s="954"/>
      <c r="FU11" s="954">
        <f>SUM(FU12:FU500)</f>
        <v>537</v>
      </c>
      <c r="FV11" s="954">
        <f>SUM(FV12:FV500)</f>
        <v>230.97977</v>
      </c>
      <c r="FW11" s="954"/>
      <c r="FX11" s="954">
        <f>SUM(FX12:FX500)</f>
        <v>36</v>
      </c>
      <c r="FY11" s="954">
        <f>SUM(FY12:FY500)</f>
        <v>65.994219999999999</v>
      </c>
      <c r="FZ11" s="954"/>
      <c r="GA11" s="954">
        <f>SUM(GA12:GA500)</f>
        <v>0</v>
      </c>
      <c r="GB11" s="954">
        <f>SUM(GB12:GB500)</f>
        <v>0</v>
      </c>
      <c r="GC11" s="954"/>
      <c r="GD11" s="954">
        <f>SUM(GD12:GD500)</f>
        <v>0</v>
      </c>
      <c r="GE11" s="954">
        <f>SUM(GE12:GE500)</f>
        <v>0</v>
      </c>
      <c r="GF11" s="954"/>
      <c r="GG11" s="954">
        <f>SUM(GG12:GG500)</f>
        <v>72</v>
      </c>
      <c r="GH11" s="954">
        <f>SUM(GH12:GH500)</f>
        <v>131.98844</v>
      </c>
      <c r="GI11" s="954"/>
      <c r="GJ11" s="954">
        <f>SUM(GJ12:GJ500)</f>
        <v>54</v>
      </c>
      <c r="GK11" s="954">
        <f>SUM(GK12:GK500)</f>
        <v>98.991330000000005</v>
      </c>
      <c r="GL11" s="954"/>
      <c r="GM11" s="954">
        <f>SUM(GM12:GM500)</f>
        <v>590</v>
      </c>
      <c r="GN11" s="954">
        <f>SUM(GN12:GN500)</f>
        <v>164.98554999999999</v>
      </c>
      <c r="GO11" s="954"/>
      <c r="GP11" s="954">
        <f>SUM(GP12:GP500)</f>
        <v>272</v>
      </c>
      <c r="GQ11" s="954">
        <f>SUM(GQ12:GQ500)</f>
        <v>131.98844</v>
      </c>
      <c r="GR11" s="954"/>
      <c r="GS11" s="954">
        <f>SUM(GS12:GS500)</f>
        <v>138</v>
      </c>
      <c r="GT11" s="954">
        <f>SUM(GT12:GT500)</f>
        <v>202.48266000000001</v>
      </c>
      <c r="GU11" s="954"/>
      <c r="GV11" s="954">
        <f>SUM(GV12:GV500)</f>
        <v>108</v>
      </c>
      <c r="GW11" s="954">
        <f>SUM(GW12:GW500)</f>
        <v>11.256</v>
      </c>
      <c r="GX11" s="954"/>
      <c r="GY11" s="954">
        <f>SUM(GY12:GY500)</f>
        <v>220</v>
      </c>
      <c r="GZ11" s="954">
        <f>SUM(GZ12:GZ500)</f>
        <v>7.5039999999999996</v>
      </c>
      <c r="HA11" s="954"/>
      <c r="HB11" s="954">
        <f>SUM(HB12:HB500)</f>
        <v>170</v>
      </c>
      <c r="HC11" s="954">
        <f>SUM(HC12:HC500)</f>
        <v>9.379999999999999</v>
      </c>
      <c r="HD11" s="954"/>
      <c r="HE11" s="954">
        <f>SUM(HE12:HE500)</f>
        <v>0</v>
      </c>
      <c r="HF11" s="954">
        <f>SUM(HF12:HF500)</f>
        <v>0</v>
      </c>
      <c r="HG11" s="954"/>
      <c r="HH11" s="954">
        <f>SUM(HH12:HH500)</f>
        <v>0</v>
      </c>
      <c r="HI11" s="954">
        <f>SUM(HI12:HI500)</f>
        <v>0</v>
      </c>
      <c r="HJ11" s="954"/>
      <c r="HK11" s="954">
        <f>SUM(HK12:HK500)</f>
        <v>154</v>
      </c>
      <c r="HL11" s="954">
        <f>SUM(HL12:HL500)</f>
        <v>98.991330000000005</v>
      </c>
      <c r="HM11" s="954"/>
      <c r="HN11" s="954">
        <f>SUM(HN12:HN500)</f>
        <v>52</v>
      </c>
      <c r="HO11" s="954">
        <f>SUM(HO12:HO500)</f>
        <v>65.994219999999999</v>
      </c>
      <c r="HP11" s="954"/>
      <c r="HQ11" s="954">
        <f>SUM(HQ12:HQ500)</f>
        <v>56</v>
      </c>
      <c r="HR11" s="954">
        <f>SUM(HR12:HR500)</f>
        <v>65.994219999999999</v>
      </c>
      <c r="HS11" s="954"/>
      <c r="HT11" s="954">
        <f>SUM(HT12:HT500)</f>
        <v>113</v>
      </c>
      <c r="HU11" s="954">
        <f>SUM(HU12:HU500)</f>
        <v>131.98844</v>
      </c>
      <c r="HV11" s="954"/>
      <c r="HW11" s="954">
        <f>SUM(HW12:HW500)</f>
        <v>72</v>
      </c>
      <c r="HX11" s="954">
        <f>SUM(HX12:HX500)</f>
        <v>131.98844</v>
      </c>
      <c r="HY11" s="954"/>
      <c r="HZ11" s="954">
        <f>SUM(HZ12:HZ500)</f>
        <v>140</v>
      </c>
      <c r="IA11" s="954">
        <f>SUM(IA12:IA500)</f>
        <v>9.379999999999999</v>
      </c>
      <c r="IB11" s="954"/>
      <c r="IC11" s="954">
        <f>SUM(IC12:IC500)</f>
        <v>214</v>
      </c>
      <c r="ID11" s="954">
        <f>SUM(ID12:ID500)</f>
        <v>32.997109999999999</v>
      </c>
      <c r="IE11" s="954"/>
      <c r="IF11" s="954">
        <f>SUM(IF12:IF500)</f>
        <v>69.599999999999994</v>
      </c>
      <c r="IG11" s="954">
        <f>SUM(IG12:IG500)</f>
        <v>72.593642000000003</v>
      </c>
      <c r="IH11" s="954"/>
      <c r="II11" s="954">
        <f>SUM(II12:II500)</f>
        <v>0</v>
      </c>
      <c r="IJ11" s="954">
        <f>SUM(IJ12:IJ500)</f>
        <v>0</v>
      </c>
      <c r="IK11" s="954"/>
      <c r="IL11" s="954">
        <f>SUM(IL12:IL500)</f>
        <v>114</v>
      </c>
      <c r="IM11" s="954">
        <f>SUM(IM12:IM500)</f>
        <v>6.5659999999999998</v>
      </c>
      <c r="IN11" s="954"/>
      <c r="IO11" s="954">
        <f>SUM(IO12:IO500)</f>
        <v>90</v>
      </c>
      <c r="IP11" s="954">
        <f>SUM(IP12:IP500)</f>
        <v>0</v>
      </c>
      <c r="IQ11" s="954"/>
      <c r="IR11" s="954">
        <f>SUM(IR12:IR500)</f>
        <v>72</v>
      </c>
      <c r="IS11" s="954">
        <f>SUM(IS12:IS500)</f>
        <v>0</v>
      </c>
      <c r="IT11" s="954"/>
      <c r="IU11" s="954">
        <f>SUM(IU12:IU500)</f>
        <v>81</v>
      </c>
      <c r="IV11" s="954">
        <f>SUM(IV12:IV500)</f>
        <v>148.48699500000001</v>
      </c>
      <c r="IW11" s="954"/>
      <c r="IX11" s="954">
        <f>SUM(IX12:IX500)</f>
        <v>90</v>
      </c>
      <c r="IY11" s="954">
        <f>SUM(IY12:IY500)</f>
        <v>9.379999999999999</v>
      </c>
      <c r="IZ11" s="954"/>
      <c r="JA11" s="954">
        <f>SUM(JA12:JA500)</f>
        <v>72</v>
      </c>
      <c r="JB11" s="954">
        <f>SUM(JB12:JB500)</f>
        <v>7.5039999999999996</v>
      </c>
      <c r="JC11" s="954"/>
      <c r="JD11" s="954">
        <f>SUM(JD12:JD500)</f>
        <v>81</v>
      </c>
      <c r="JE11" s="954">
        <f>SUM(JE12:JE500)</f>
        <v>148.48699500000001</v>
      </c>
      <c r="JF11" s="954"/>
      <c r="JG11" s="954">
        <f>SUM(JG12:JG500)</f>
        <v>200</v>
      </c>
      <c r="JH11" s="954">
        <f>SUM(JH12:JH500)</f>
        <v>164.98554999999999</v>
      </c>
      <c r="JI11" s="954"/>
      <c r="JJ11" s="954">
        <f>SUM(JJ12:JJ500)</f>
        <v>142</v>
      </c>
      <c r="JK11" s="954">
        <f>SUM(JK12:JK500)</f>
        <v>131.98844</v>
      </c>
      <c r="JL11" s="954"/>
      <c r="JM11" s="954">
        <f>SUM(JM12:JM500)</f>
        <v>261</v>
      </c>
      <c r="JN11" s="954">
        <f>SUM(JN12:JN500)</f>
        <v>140.044995</v>
      </c>
      <c r="JO11" s="954"/>
      <c r="JP11" s="954">
        <f>SUM(JP12:JP500)</f>
        <v>340</v>
      </c>
      <c r="JQ11" s="954">
        <f>SUM(JQ12:JQ500)</f>
        <v>155.60554999999999</v>
      </c>
      <c r="JR11" s="954"/>
      <c r="JS11" s="954">
        <f>SUM(JS12:JS500)</f>
        <v>72</v>
      </c>
      <c r="JT11" s="954">
        <f>SUM(JT12:JT500)</f>
        <v>124.48444000000001</v>
      </c>
      <c r="JU11" s="954"/>
      <c r="JV11" s="954">
        <f>SUM(JV12:JV500)</f>
        <v>86</v>
      </c>
      <c r="JW11" s="954">
        <f>SUM(JW12:JW500)</f>
        <v>148.48699500000001</v>
      </c>
      <c r="JX11" s="954"/>
      <c r="JY11" s="954">
        <f>SUM(JY12:JY500)</f>
        <v>110</v>
      </c>
      <c r="JZ11" s="954">
        <f>SUM(JZ12:JZ500)</f>
        <v>164.98554999999999</v>
      </c>
      <c r="KA11" s="954"/>
      <c r="KB11" s="954">
        <f>SUM(KB12:KB500)</f>
        <v>72</v>
      </c>
      <c r="KC11" s="954">
        <f>SUM(KC12:KC500)</f>
        <v>131.98844</v>
      </c>
      <c r="KD11" s="954"/>
      <c r="KE11" s="954">
        <f>SUM(KE12:KE500)</f>
        <v>126</v>
      </c>
      <c r="KF11" s="954">
        <f>SUM(KF12:KF500)</f>
        <v>8.4420000000000002</v>
      </c>
      <c r="KG11" s="954"/>
      <c r="KH11" s="954">
        <f>SUM(KH12:KH500)</f>
        <v>205</v>
      </c>
      <c r="KI11" s="954">
        <f>SUM(KI12:KI500)</f>
        <v>9.379999999999999</v>
      </c>
      <c r="KJ11" s="954"/>
      <c r="KK11" s="954">
        <f>SUM(KK12:KK500)</f>
        <v>144</v>
      </c>
      <c r="KL11" s="954">
        <f>SUM(KL12:KL500)</f>
        <v>7.5039999999999996</v>
      </c>
      <c r="KM11" s="954"/>
      <c r="KN11" s="954">
        <f>SUM(KN12:KN500)</f>
        <v>271</v>
      </c>
      <c r="KO11" s="954">
        <f>SUM(KO12:KO500)</f>
        <v>148.48699500000001</v>
      </c>
      <c r="KP11" s="954"/>
      <c r="KQ11" s="954">
        <f>SUM(KQ12:KQ500)</f>
        <v>90</v>
      </c>
      <c r="KR11" s="954">
        <f>SUM(KR12:KR500)</f>
        <v>164.98554999999999</v>
      </c>
      <c r="KS11" s="954"/>
      <c r="KT11" s="954">
        <f>SUM(KT12:KT500)</f>
        <v>72</v>
      </c>
      <c r="KU11" s="954">
        <f>SUM(KU12:KU500)</f>
        <v>131.98844</v>
      </c>
      <c r="KV11" s="954"/>
      <c r="KW11" s="954">
        <f>SUM(KW12:KW500)</f>
        <v>247</v>
      </c>
      <c r="KX11" s="954">
        <f>SUM(KX12:KX500)</f>
        <v>148.48699500000001</v>
      </c>
      <c r="KY11" s="954"/>
      <c r="KZ11" s="954">
        <f>SUM(KZ12:KZ500)</f>
        <v>260</v>
      </c>
      <c r="LA11" s="954">
        <f>SUM(LA12:LA500)</f>
        <v>164.98554999999999</v>
      </c>
      <c r="LB11" s="954"/>
      <c r="LC11" s="954">
        <f>SUM(LC12:LC500)</f>
        <v>72</v>
      </c>
      <c r="LD11" s="954">
        <f>SUM(LD12:LD500)</f>
        <v>131.98844</v>
      </c>
      <c r="LE11" s="954"/>
      <c r="LF11" s="954">
        <f>SUM(LF12:LF500)</f>
        <v>111</v>
      </c>
      <c r="LG11" s="954">
        <f>SUM(LG12:LG500)</f>
        <v>12.442</v>
      </c>
      <c r="LH11" s="954"/>
      <c r="LI11" s="954">
        <f>SUM(LI12:LI500)</f>
        <v>96</v>
      </c>
      <c r="LJ11" s="954">
        <f>SUM(LJ12:LJ500)</f>
        <v>5</v>
      </c>
      <c r="LK11" s="954"/>
      <c r="LL11" s="954">
        <f>SUM(LL12:LL500)</f>
        <v>160</v>
      </c>
      <c r="LM11" s="954">
        <f>SUM(LM12:LM500)</f>
        <v>124.48444000000001</v>
      </c>
      <c r="LN11" s="954"/>
      <c r="LO11" s="954">
        <f>SUM(LO12:LO500)</f>
        <v>0</v>
      </c>
      <c r="LP11" s="954">
        <f>SUM(LP12:LP500)</f>
        <v>0</v>
      </c>
      <c r="LQ11" s="954"/>
      <c r="LR11" s="954">
        <f>SUM(LR12:LR500)</f>
        <v>1740</v>
      </c>
      <c r="LS11" s="954">
        <f>SUM(LS12:LS500)</f>
        <v>150.07999999999998</v>
      </c>
      <c r="LT11" s="954"/>
      <c r="LU11" s="954">
        <f>SUM(LU12:LU500)</f>
        <v>270</v>
      </c>
      <c r="LV11" s="954">
        <f>SUM(LV12:LV500)</f>
        <v>21.759999999999998</v>
      </c>
      <c r="LW11" s="954"/>
      <c r="LX11" s="954">
        <f>SUM(LX12:LX500)</f>
        <v>41</v>
      </c>
      <c r="LY11" s="954">
        <f>SUM(LY12:LY500)</f>
        <v>3.7519999999999998</v>
      </c>
      <c r="LZ11" s="954"/>
      <c r="MA11" s="954">
        <f>SUM(MA12:MA500)</f>
        <v>30</v>
      </c>
      <c r="MB11" s="954">
        <f>SUM(MB12:MB500)</f>
        <v>1.8759999999999999</v>
      </c>
      <c r="MC11" s="954"/>
      <c r="MD11" s="954">
        <f>SUM(MD12:MD500)</f>
        <v>21.8</v>
      </c>
      <c r="ME11" s="954">
        <f>SUM(ME12:ME500)</f>
        <v>1.1255999999999999</v>
      </c>
      <c r="MF11" s="954"/>
      <c r="MG11" s="954">
        <f>SUM(MG12:MG500)</f>
        <v>58</v>
      </c>
      <c r="MH11" s="954">
        <f>SUM(MH12:MH500)</f>
        <v>98.991330000000005</v>
      </c>
      <c r="MI11" s="954"/>
      <c r="MJ11" s="954">
        <f>SUM(MJ12:MJ500)</f>
        <v>18</v>
      </c>
      <c r="MK11" s="954">
        <f>SUM(MK12:MK500)</f>
        <v>1.8759999999999999</v>
      </c>
      <c r="ML11" s="954"/>
      <c r="MM11" s="954">
        <f>SUM(MM12:MM500)</f>
        <v>18</v>
      </c>
      <c r="MN11" s="954">
        <f>SUM(MN12:MN500)</f>
        <v>1.8759999999999999</v>
      </c>
      <c r="MO11" s="954"/>
      <c r="MP11" s="954">
        <f>SUM(MP12:MP500)</f>
        <v>21.6</v>
      </c>
      <c r="MQ11" s="954">
        <f>SUM(MQ12:MQ500)</f>
        <v>2.2511999999999999</v>
      </c>
      <c r="MR11" s="954"/>
      <c r="MS11" s="954">
        <f>SUM(MS12:MS500)</f>
        <v>14.4</v>
      </c>
      <c r="MT11" s="954">
        <f>SUM(MT12:MT500)</f>
        <v>26.397688000000002</v>
      </c>
      <c r="MU11" s="954"/>
      <c r="MV11" s="954">
        <f>SUM(MV12:MV500)</f>
        <v>0</v>
      </c>
      <c r="MW11" s="954">
        <f>SUM(MW12:MW500)</f>
        <v>0</v>
      </c>
      <c r="MX11" s="954"/>
      <c r="MY11" s="954">
        <f>SUM(MY12:MY500)</f>
        <v>0</v>
      </c>
      <c r="MZ11" s="954">
        <f>SUM(MZ12:MZ500)</f>
        <v>0</v>
      </c>
      <c r="NA11" s="954"/>
      <c r="NB11" s="954">
        <f>SUM(NB12:NB500)</f>
        <v>0</v>
      </c>
      <c r="NC11" s="954">
        <f>SUM(NC12:NC500)</f>
        <v>0</v>
      </c>
      <c r="ND11" s="954"/>
      <c r="NE11" s="954">
        <f>SUM(NE12:NE500)</f>
        <v>900</v>
      </c>
      <c r="NF11" s="954">
        <f>SUM(NF12:NF500)</f>
        <v>1649.8554999999999</v>
      </c>
      <c r="NG11" s="954"/>
      <c r="NH11" s="954">
        <f>SUM(NH12:NH500)</f>
        <v>560</v>
      </c>
      <c r="NI11" s="954">
        <f>SUM(NI12:NI500)</f>
        <v>740.71019999999999</v>
      </c>
      <c r="NJ11" s="954"/>
      <c r="NK11" s="954">
        <f>SUM(NK12:NK500)</f>
        <v>430</v>
      </c>
      <c r="NL11" s="954">
        <f>SUM(NL12:NL500)</f>
        <v>0</v>
      </c>
      <c r="NM11" s="954"/>
      <c r="NN11" s="954">
        <f>SUM(NN12:NN500)</f>
        <v>29.4</v>
      </c>
      <c r="NO11" s="954">
        <f>SUM(NO12:NO500)</f>
        <v>0</v>
      </c>
      <c r="NP11" s="954"/>
      <c r="NQ11" s="954">
        <f>SUM(NQ12:NQ500)</f>
        <v>22.4</v>
      </c>
      <c r="NR11" s="954">
        <f>SUM(NR12:NR500)</f>
        <v>24.896888000000001</v>
      </c>
      <c r="NS11" s="954"/>
      <c r="NT11" s="954">
        <f>SUM(NT12:NT500)</f>
        <v>30.4</v>
      </c>
      <c r="NU11" s="954">
        <f>SUM(NU12:NU500)</f>
        <v>26.397688000000002</v>
      </c>
      <c r="NV11" s="954"/>
      <c r="NW11" s="954">
        <f>SUM(NW12:NW500)</f>
        <v>18</v>
      </c>
      <c r="NX11" s="954">
        <f>SUM(NX12:NX500)</f>
        <v>32.997109999999999</v>
      </c>
      <c r="NY11" s="954"/>
      <c r="NZ11" s="954">
        <f>SUM(NZ12:NZ500)</f>
        <v>54</v>
      </c>
      <c r="OA11" s="954">
        <f>SUM(OA12:OA500)</f>
        <v>98.991330000000005</v>
      </c>
      <c r="OB11" s="954"/>
      <c r="OC11" s="954">
        <f>SUM(OC12:OC500)</f>
        <v>33</v>
      </c>
      <c r="OD11" s="954">
        <f>SUM(OD12:OD500)</f>
        <v>1.8759999999999999</v>
      </c>
      <c r="OE11" s="954"/>
      <c r="OF11" s="954">
        <f>SUM(OF12:OF500)</f>
        <v>64.2</v>
      </c>
      <c r="OG11" s="954">
        <f>SUM(OG12:OG500)</f>
        <v>2.6263999999999998</v>
      </c>
      <c r="OH11" s="954"/>
      <c r="OI11" s="954">
        <f>SUM(OI12:OI500)</f>
        <v>79.400000000000006</v>
      </c>
      <c r="OJ11" s="954">
        <f>SUM(OJ12:OJ500)</f>
        <v>42.896242999999998</v>
      </c>
      <c r="OK11" s="954"/>
      <c r="OL11" s="954">
        <f>SUM(OL12:OL500)</f>
        <v>50</v>
      </c>
      <c r="OM11" s="954">
        <f>SUM(OM12:OM500)</f>
        <v>65.994219999999999</v>
      </c>
      <c r="ON11" s="954"/>
      <c r="OO11" s="954">
        <f>SUM(OO12:OO500)</f>
        <v>220</v>
      </c>
      <c r="OP11" s="954">
        <f>SUM(OP12:OP500)</f>
        <v>0</v>
      </c>
      <c r="OQ11" s="954"/>
      <c r="OR11" s="954">
        <f>SUM(OR12:OR500)</f>
        <v>0</v>
      </c>
      <c r="OS11" s="954">
        <f>SUM(OS12:OS500)</f>
        <v>0</v>
      </c>
      <c r="OT11" s="954"/>
      <c r="OU11" s="954">
        <f>SUM(OU12:OU500)</f>
        <v>72</v>
      </c>
      <c r="OV11" s="954">
        <f>SUM(OV12:OV500)</f>
        <v>7.5039999999999996</v>
      </c>
      <c r="OW11" s="954"/>
      <c r="OX11" s="954">
        <f>SUM(OX12:OX500)</f>
        <v>84</v>
      </c>
      <c r="OY11" s="954">
        <f>SUM(OY12:OY500)</f>
        <v>5.6280000000000001</v>
      </c>
      <c r="OZ11" s="954"/>
      <c r="PA11" s="954">
        <f>SUM(PA12:PA500)</f>
        <v>118</v>
      </c>
      <c r="PB11" s="954">
        <f>SUM(PB12:PB500)</f>
        <v>6.5659999999999998</v>
      </c>
      <c r="PC11" s="954"/>
      <c r="PD11" s="954">
        <f>SUM(PD12:PD500)</f>
        <v>63</v>
      </c>
      <c r="PE11" s="954">
        <f>SUM(PE12:PE500)</f>
        <v>0</v>
      </c>
      <c r="PF11" s="954"/>
      <c r="PG11" s="954">
        <f>SUM(PG12:PG500)</f>
        <v>61.6</v>
      </c>
      <c r="PH11" s="954">
        <f>SUM(PH12:PH500)</f>
        <v>0</v>
      </c>
      <c r="PI11" s="954"/>
      <c r="PJ11" s="954">
        <f>SUM(PJ12:PJ500)</f>
        <v>90</v>
      </c>
      <c r="PK11" s="954">
        <f>SUM(PK12:PK500)</f>
        <v>9.379999999999999</v>
      </c>
      <c r="PL11" s="954"/>
      <c r="PM11" s="954">
        <f>SUM(PM12:PM500)</f>
        <v>114</v>
      </c>
      <c r="PN11" s="954">
        <f>SUM(PN12:PN500)</f>
        <v>17</v>
      </c>
      <c r="PO11" s="954"/>
      <c r="PP11" s="954">
        <f>SUM(PP12:PP500)</f>
        <v>36</v>
      </c>
      <c r="PQ11" s="954">
        <f>SUM(PQ12:PQ500)</f>
        <v>3.7519999999999998</v>
      </c>
      <c r="PR11" s="954"/>
      <c r="PS11" s="954">
        <f>SUM(PS12:PS500)</f>
        <v>36</v>
      </c>
      <c r="PT11" s="954">
        <f>SUM(PT12:PT500)</f>
        <v>3.7519999999999998</v>
      </c>
      <c r="PU11" s="954"/>
      <c r="PV11" s="954">
        <f>SUM(PV12:PV500)</f>
        <v>0</v>
      </c>
      <c r="PW11" s="954">
        <f>SUM(PW12:PW500)</f>
        <v>0</v>
      </c>
      <c r="PX11" s="954"/>
      <c r="PY11" s="954">
        <f>SUM(PY12:PY500)</f>
        <v>0</v>
      </c>
      <c r="PZ11" s="954">
        <f>SUM(PZ12:PZ500)</f>
        <v>0</v>
      </c>
      <c r="QA11" s="954"/>
      <c r="QB11" s="954">
        <f>SUM(QB12:QB500)</f>
        <v>0</v>
      </c>
      <c r="QC11" s="954">
        <f>SUM(QC12:QC500)</f>
        <v>0</v>
      </c>
      <c r="QD11" s="954"/>
    </row>
    <row r="12" spans="1:446" s="671" customFormat="1" ht="14.1" customHeight="1" x14ac:dyDescent="0.2">
      <c r="A12" s="675">
        <v>1</v>
      </c>
      <c r="B12" s="676">
        <v>45108</v>
      </c>
      <c r="C12" s="674"/>
      <c r="D12" s="674"/>
      <c r="E12" s="674"/>
      <c r="F12" s="670"/>
      <c r="G12" s="670"/>
      <c r="H12" s="670"/>
      <c r="I12" s="670"/>
      <c r="J12" s="670"/>
      <c r="K12" s="670"/>
      <c r="L12" s="670">
        <v>55</v>
      </c>
      <c r="M12" s="670">
        <v>0</v>
      </c>
      <c r="N12" s="670">
        <v>55</v>
      </c>
      <c r="O12" s="670">
        <v>13</v>
      </c>
      <c r="P12" s="670">
        <v>11.256</v>
      </c>
      <c r="Q12" s="670">
        <v>1.7439999999999998</v>
      </c>
      <c r="R12" s="670">
        <v>250</v>
      </c>
      <c r="S12" s="670">
        <v>13.132</v>
      </c>
      <c r="T12" s="670">
        <v>236.86799999999999</v>
      </c>
      <c r="U12" s="670">
        <v>20</v>
      </c>
      <c r="V12" s="670">
        <v>4.6899999999999995</v>
      </c>
      <c r="W12" s="670">
        <v>15.31</v>
      </c>
      <c r="X12" s="670"/>
      <c r="Y12" s="670"/>
      <c r="Z12" s="670"/>
      <c r="AA12" s="670"/>
      <c r="AB12" s="670"/>
      <c r="AC12" s="670"/>
      <c r="AD12" s="670"/>
      <c r="AE12" s="670"/>
      <c r="AF12" s="670"/>
      <c r="AG12" s="670"/>
      <c r="AH12" s="670"/>
      <c r="AI12" s="670"/>
      <c r="AJ12" s="670"/>
      <c r="AK12" s="670"/>
      <c r="AL12" s="670"/>
      <c r="AM12" s="670"/>
      <c r="AN12" s="670"/>
      <c r="AO12" s="670"/>
      <c r="AP12" s="670">
        <v>700</v>
      </c>
      <c r="AQ12" s="670">
        <v>217.84777</v>
      </c>
      <c r="AR12" s="670">
        <v>482.15223000000003</v>
      </c>
      <c r="AS12" s="670"/>
      <c r="AT12" s="670"/>
      <c r="AU12" s="670"/>
      <c r="AV12" s="670"/>
      <c r="AW12" s="670"/>
      <c r="AX12" s="670"/>
      <c r="AY12" s="670"/>
      <c r="AZ12" s="670"/>
      <c r="BA12" s="670"/>
      <c r="BB12" s="670"/>
      <c r="BC12" s="670"/>
      <c r="BD12" s="670"/>
      <c r="BE12" s="670"/>
      <c r="BF12" s="670"/>
      <c r="BG12" s="670"/>
      <c r="BH12" s="670"/>
      <c r="BI12" s="670"/>
      <c r="BJ12" s="670"/>
      <c r="BK12" s="670"/>
      <c r="BL12" s="670"/>
      <c r="BM12" s="670"/>
      <c r="BN12" s="670"/>
      <c r="BO12" s="670"/>
      <c r="BP12" s="670"/>
      <c r="BQ12" s="670"/>
      <c r="BR12" s="670"/>
      <c r="BS12" s="670"/>
      <c r="BT12" s="670"/>
      <c r="BU12" s="670"/>
      <c r="BV12" s="670"/>
      <c r="BW12" s="670">
        <v>50</v>
      </c>
      <c r="BX12" s="670">
        <v>0</v>
      </c>
      <c r="BY12" s="670">
        <v>50</v>
      </c>
      <c r="BZ12" s="670"/>
      <c r="CA12" s="670"/>
      <c r="CB12" s="670"/>
      <c r="CC12" s="670">
        <v>22</v>
      </c>
      <c r="CD12" s="670">
        <v>9.379999999999999</v>
      </c>
      <c r="CE12" s="670">
        <v>12.620000000000001</v>
      </c>
      <c r="CF12" s="670">
        <v>0</v>
      </c>
      <c r="CG12" s="670">
        <v>7.5039999999999996</v>
      </c>
      <c r="CH12" s="670">
        <v>112.496</v>
      </c>
      <c r="CI12" s="670"/>
      <c r="CJ12" s="670"/>
      <c r="CK12" s="670"/>
      <c r="CL12" s="670"/>
      <c r="CM12" s="670"/>
      <c r="CN12" s="670"/>
      <c r="CO12" s="670"/>
      <c r="CP12" s="670"/>
      <c r="CQ12" s="670"/>
      <c r="CR12" s="670"/>
      <c r="CS12" s="670"/>
      <c r="CT12" s="670"/>
      <c r="CU12" s="670">
        <v>0</v>
      </c>
      <c r="CV12" s="670">
        <v>0.75039999999999996</v>
      </c>
      <c r="CW12" s="670">
        <v>119.2496</v>
      </c>
      <c r="CX12" s="670">
        <v>36</v>
      </c>
      <c r="CY12" s="670">
        <v>1.1255999999999999</v>
      </c>
      <c r="CZ12" s="670">
        <v>34.874400000000001</v>
      </c>
      <c r="DA12" s="670"/>
      <c r="DB12" s="670"/>
      <c r="DC12" s="670"/>
      <c r="DD12" s="670"/>
      <c r="DE12" s="670"/>
      <c r="DF12" s="670"/>
      <c r="DG12" s="670"/>
      <c r="DH12" s="670"/>
      <c r="DI12" s="670"/>
      <c r="DJ12" s="670">
        <v>35</v>
      </c>
      <c r="DK12" s="670">
        <v>0</v>
      </c>
      <c r="DL12" s="670">
        <v>35</v>
      </c>
      <c r="DM12" s="670"/>
      <c r="DN12" s="670"/>
      <c r="DO12" s="670"/>
      <c r="DP12" s="670"/>
      <c r="DQ12" s="670"/>
      <c r="DR12" s="670"/>
      <c r="DS12" s="670">
        <v>0</v>
      </c>
      <c r="DT12" s="670">
        <v>8.4420000000000002</v>
      </c>
      <c r="DU12" s="670">
        <v>121.55799999999999</v>
      </c>
      <c r="DV12" s="670">
        <v>8</v>
      </c>
      <c r="DW12" s="670">
        <v>6.5659999999999998</v>
      </c>
      <c r="DX12" s="670">
        <v>1.4340000000000002</v>
      </c>
      <c r="DY12" s="670"/>
      <c r="DZ12" s="670"/>
      <c r="EA12" s="670"/>
      <c r="EB12" s="670"/>
      <c r="EC12" s="670"/>
      <c r="ED12" s="670"/>
      <c r="EE12" s="670"/>
      <c r="EF12" s="670"/>
      <c r="EG12" s="670"/>
      <c r="EH12" s="670"/>
      <c r="EI12" s="670"/>
      <c r="EJ12" s="670"/>
      <c r="EK12" s="670"/>
      <c r="EL12" s="670"/>
      <c r="EM12" s="670"/>
      <c r="EN12" s="670"/>
      <c r="EO12" s="670"/>
      <c r="EP12" s="670"/>
      <c r="EQ12" s="670"/>
      <c r="ER12" s="670"/>
      <c r="ES12" s="670"/>
      <c r="ET12" s="670"/>
      <c r="EU12" s="670"/>
      <c r="EV12" s="670"/>
      <c r="EW12" s="670"/>
      <c r="EX12" s="670"/>
      <c r="EY12" s="670"/>
      <c r="EZ12" s="670"/>
      <c r="FA12" s="670"/>
      <c r="FB12" s="670"/>
      <c r="FC12" s="670"/>
      <c r="FD12" s="670"/>
      <c r="FE12" s="670"/>
      <c r="FF12" s="670"/>
      <c r="FG12" s="670"/>
      <c r="FH12" s="670"/>
      <c r="FI12" s="670">
        <v>0</v>
      </c>
      <c r="FJ12" s="670">
        <v>7.5039999999999996</v>
      </c>
      <c r="FK12" s="670">
        <v>132.49600000000001</v>
      </c>
      <c r="FL12" s="670"/>
      <c r="FM12" s="670"/>
      <c r="FN12" s="670"/>
      <c r="FO12" s="670"/>
      <c r="FP12" s="670"/>
      <c r="FQ12" s="670"/>
      <c r="FR12" s="670">
        <v>250</v>
      </c>
      <c r="FS12" s="670">
        <v>9.379999999999999</v>
      </c>
      <c r="FT12" s="670">
        <v>240.62</v>
      </c>
      <c r="FU12" s="670">
        <v>370</v>
      </c>
      <c r="FV12" s="670">
        <v>0</v>
      </c>
      <c r="FW12" s="670">
        <v>370</v>
      </c>
      <c r="FX12" s="670"/>
      <c r="FY12" s="670"/>
      <c r="FZ12" s="670"/>
      <c r="GA12" s="670"/>
      <c r="GB12" s="670"/>
      <c r="GC12" s="670"/>
      <c r="GD12" s="670"/>
      <c r="GE12" s="670"/>
      <c r="GF12" s="670"/>
      <c r="GG12" s="670"/>
      <c r="GH12" s="670"/>
      <c r="GI12" s="670"/>
      <c r="GJ12" s="670"/>
      <c r="GK12" s="670"/>
      <c r="GL12" s="670"/>
      <c r="GM12" s="670"/>
      <c r="GN12" s="670"/>
      <c r="GO12" s="670"/>
      <c r="GP12" s="670"/>
      <c r="GQ12" s="670"/>
      <c r="GR12" s="670"/>
      <c r="GS12" s="670">
        <v>0</v>
      </c>
      <c r="GT12" s="670">
        <v>11.256</v>
      </c>
      <c r="GU12" s="670">
        <v>288.74400000000003</v>
      </c>
      <c r="GV12" s="670">
        <v>0</v>
      </c>
      <c r="GW12" s="670">
        <v>11.256</v>
      </c>
      <c r="GX12" s="670">
        <v>150.744</v>
      </c>
      <c r="GY12" s="670"/>
      <c r="GZ12" s="670"/>
      <c r="HA12" s="670"/>
      <c r="HB12" s="670"/>
      <c r="HC12" s="670"/>
      <c r="HD12" s="670"/>
      <c r="HE12" s="670"/>
      <c r="HF12" s="670"/>
      <c r="HG12" s="670"/>
      <c r="HH12" s="670"/>
      <c r="HI12" s="670"/>
      <c r="HJ12" s="670"/>
      <c r="HK12" s="670"/>
      <c r="HL12" s="670"/>
      <c r="HM12" s="670"/>
      <c r="HN12" s="670"/>
      <c r="HO12" s="670"/>
      <c r="HP12" s="670"/>
      <c r="HQ12" s="670"/>
      <c r="HR12" s="670"/>
      <c r="HS12" s="670"/>
      <c r="HT12" s="670">
        <v>0</v>
      </c>
      <c r="HU12" s="670">
        <v>124.48444000000001</v>
      </c>
      <c r="HV12" s="670">
        <v>215.51555999999999</v>
      </c>
      <c r="HW12" s="670">
        <v>0</v>
      </c>
      <c r="HX12" s="670">
        <v>7.5039999999999996</v>
      </c>
      <c r="HY12" s="670">
        <v>212.49600000000001</v>
      </c>
      <c r="HZ12" s="670">
        <v>0</v>
      </c>
      <c r="IA12" s="670">
        <v>9.379999999999999</v>
      </c>
      <c r="IB12" s="670">
        <v>35.014450000000011</v>
      </c>
      <c r="IC12" s="670">
        <v>5</v>
      </c>
      <c r="ID12" s="670">
        <v>1.8759999999999999</v>
      </c>
      <c r="IE12" s="670">
        <v>3.1240000000000001</v>
      </c>
      <c r="IF12" s="670"/>
      <c r="IG12" s="670"/>
      <c r="IH12" s="670"/>
      <c r="II12" s="670"/>
      <c r="IJ12" s="670"/>
      <c r="IK12" s="670"/>
      <c r="IL12" s="670"/>
      <c r="IM12" s="670"/>
      <c r="IN12" s="670"/>
      <c r="IO12" s="670"/>
      <c r="IP12" s="670"/>
      <c r="IQ12" s="670"/>
      <c r="IR12" s="670"/>
      <c r="IS12" s="670"/>
      <c r="IT12" s="670"/>
      <c r="IU12" s="670"/>
      <c r="IV12" s="670"/>
      <c r="IW12" s="670"/>
      <c r="IX12" s="670"/>
      <c r="IY12" s="670"/>
      <c r="IZ12" s="670"/>
      <c r="JA12" s="670"/>
      <c r="JB12" s="670"/>
      <c r="JC12" s="670"/>
      <c r="JD12" s="670">
        <v>0</v>
      </c>
      <c r="JE12" s="670">
        <v>8.4420000000000002</v>
      </c>
      <c r="JF12" s="670">
        <v>140.55799999999999</v>
      </c>
      <c r="JG12" s="670">
        <v>110</v>
      </c>
      <c r="JH12" s="670">
        <v>9.379999999999999</v>
      </c>
      <c r="JI12" s="670">
        <v>100.62</v>
      </c>
      <c r="JJ12" s="670"/>
      <c r="JK12" s="670"/>
      <c r="JL12" s="670"/>
      <c r="JM12" s="670"/>
      <c r="JN12" s="670"/>
      <c r="JO12" s="670"/>
      <c r="JP12" s="670"/>
      <c r="JQ12" s="670"/>
      <c r="JR12" s="670"/>
      <c r="JS12" s="670"/>
      <c r="JT12" s="670"/>
      <c r="JU12" s="670"/>
      <c r="JV12" s="670"/>
      <c r="JW12" s="670"/>
      <c r="JX12" s="670"/>
      <c r="JY12" s="670">
        <v>0</v>
      </c>
      <c r="JZ12" s="670">
        <v>9.379999999999999</v>
      </c>
      <c r="KA12" s="670">
        <v>140.62</v>
      </c>
      <c r="KB12" s="670">
        <v>0</v>
      </c>
      <c r="KC12" s="670">
        <v>7.5039999999999996</v>
      </c>
      <c r="KD12" s="670">
        <v>132.49600000000001</v>
      </c>
      <c r="KE12" s="670"/>
      <c r="KF12" s="670"/>
      <c r="KG12" s="670"/>
      <c r="KH12" s="670"/>
      <c r="KI12" s="670"/>
      <c r="KJ12" s="670"/>
      <c r="KK12" s="670"/>
      <c r="KL12" s="670"/>
      <c r="KM12" s="670"/>
      <c r="KN12" s="670">
        <v>190</v>
      </c>
      <c r="KO12" s="670">
        <v>8.4420000000000002</v>
      </c>
      <c r="KP12" s="670">
        <v>181.55799999999999</v>
      </c>
      <c r="KQ12" s="670">
        <v>0</v>
      </c>
      <c r="KR12" s="670">
        <v>9.379999999999999</v>
      </c>
      <c r="KS12" s="670">
        <v>160.62</v>
      </c>
      <c r="KT12" s="670"/>
      <c r="KU12" s="670"/>
      <c r="KV12" s="670"/>
      <c r="KW12" s="670"/>
      <c r="KX12" s="670"/>
      <c r="KY12" s="670"/>
      <c r="KZ12" s="670"/>
      <c r="LA12" s="670"/>
      <c r="LB12" s="670"/>
      <c r="LC12" s="670"/>
      <c r="LD12" s="670"/>
      <c r="LE12" s="670"/>
      <c r="LF12" s="670"/>
      <c r="LG12" s="670"/>
      <c r="LH12" s="670"/>
      <c r="LI12" s="670"/>
      <c r="LJ12" s="670"/>
      <c r="LK12" s="670"/>
      <c r="LL12" s="670"/>
      <c r="LM12" s="670"/>
      <c r="LN12" s="670"/>
      <c r="LO12" s="670"/>
      <c r="LP12" s="670"/>
      <c r="LQ12" s="670"/>
      <c r="LR12" s="670"/>
      <c r="LS12" s="670"/>
      <c r="LT12" s="670"/>
      <c r="LU12" s="670"/>
      <c r="LV12" s="670"/>
      <c r="LW12" s="670"/>
      <c r="LX12" s="670"/>
      <c r="LY12" s="670"/>
      <c r="LZ12" s="670"/>
      <c r="MA12" s="670">
        <v>10</v>
      </c>
      <c r="MB12" s="670">
        <v>0</v>
      </c>
      <c r="MC12" s="670">
        <v>10</v>
      </c>
      <c r="MD12" s="670"/>
      <c r="ME12" s="670"/>
      <c r="MF12" s="670"/>
      <c r="MG12" s="670"/>
      <c r="MH12" s="670"/>
      <c r="MI12" s="670"/>
      <c r="MJ12" s="670"/>
      <c r="MK12" s="670"/>
      <c r="ML12" s="670"/>
      <c r="MM12" s="670"/>
      <c r="MN12" s="670"/>
      <c r="MO12" s="670"/>
      <c r="MP12" s="670"/>
      <c r="MQ12" s="670"/>
      <c r="MR12" s="670"/>
      <c r="MS12" s="670"/>
      <c r="MT12" s="670"/>
      <c r="MU12" s="670"/>
      <c r="MV12" s="670"/>
      <c r="MW12" s="670"/>
      <c r="MX12" s="670"/>
      <c r="MY12" s="670"/>
      <c r="MZ12" s="670"/>
      <c r="NA12" s="670"/>
      <c r="NB12" s="670"/>
      <c r="NC12" s="670"/>
      <c r="ND12" s="670"/>
      <c r="NE12" s="670"/>
      <c r="NF12" s="670"/>
      <c r="NG12" s="670"/>
      <c r="NH12" s="670"/>
      <c r="NI12" s="670"/>
      <c r="NJ12" s="670"/>
      <c r="NK12" s="670"/>
      <c r="NL12" s="670"/>
      <c r="NM12" s="670"/>
      <c r="NN12" s="670"/>
      <c r="NO12" s="670"/>
      <c r="NP12" s="670"/>
      <c r="NQ12" s="670">
        <v>8</v>
      </c>
      <c r="NR12" s="670">
        <v>0</v>
      </c>
      <c r="NS12" s="670">
        <v>30</v>
      </c>
      <c r="NT12" s="670">
        <v>8</v>
      </c>
      <c r="NU12" s="670">
        <v>0</v>
      </c>
      <c r="NV12" s="670">
        <v>8</v>
      </c>
      <c r="NW12" s="670"/>
      <c r="NX12" s="670"/>
      <c r="NY12" s="670"/>
      <c r="NZ12" s="670"/>
      <c r="OA12" s="670"/>
      <c r="OB12" s="670"/>
      <c r="OC12" s="670"/>
      <c r="OD12" s="670"/>
      <c r="OE12" s="670"/>
      <c r="OF12" s="670">
        <v>35</v>
      </c>
      <c r="OG12" s="670">
        <v>0</v>
      </c>
      <c r="OH12" s="670">
        <v>35</v>
      </c>
      <c r="OI12" s="670"/>
      <c r="OJ12" s="670"/>
      <c r="OK12" s="670"/>
      <c r="OL12" s="670"/>
      <c r="OM12" s="670"/>
      <c r="ON12" s="670"/>
      <c r="OO12" s="670"/>
      <c r="OP12" s="670"/>
      <c r="OQ12" s="670"/>
      <c r="OR12" s="670"/>
      <c r="OS12" s="670"/>
      <c r="OT12" s="670"/>
      <c r="OU12" s="670"/>
      <c r="OV12" s="670"/>
      <c r="OW12" s="670"/>
      <c r="OX12" s="670"/>
      <c r="OY12" s="670"/>
      <c r="OZ12" s="670"/>
      <c r="PA12" s="670"/>
      <c r="PB12" s="670"/>
      <c r="PC12" s="670"/>
      <c r="PD12" s="670"/>
      <c r="PE12" s="670"/>
      <c r="PF12" s="670"/>
      <c r="PG12" s="670"/>
      <c r="PH12" s="670"/>
      <c r="PI12" s="670"/>
      <c r="PJ12" s="670"/>
      <c r="PK12" s="670"/>
      <c r="PL12" s="670"/>
      <c r="PM12" s="670"/>
      <c r="PN12" s="670"/>
      <c r="PO12" s="670"/>
      <c r="PP12" s="670"/>
      <c r="PQ12" s="670"/>
      <c r="PR12" s="670"/>
      <c r="PS12" s="670"/>
      <c r="PT12" s="670"/>
      <c r="PU12" s="670"/>
      <c r="PV12" s="670"/>
      <c r="PW12" s="670"/>
      <c r="PX12" s="670"/>
      <c r="PY12" s="670"/>
      <c r="PZ12" s="670"/>
      <c r="QA12" s="670"/>
      <c r="QB12" s="670"/>
      <c r="QC12" s="670"/>
      <c r="QD12" s="670"/>
    </row>
    <row r="13" spans="1:446" s="672" customFormat="1" ht="14.1" customHeight="1" x14ac:dyDescent="0.2">
      <c r="A13" s="677">
        <v>1</v>
      </c>
      <c r="B13" s="676">
        <v>45109</v>
      </c>
      <c r="C13" s="674"/>
      <c r="D13" s="674"/>
      <c r="E13" s="674"/>
      <c r="F13" s="670"/>
      <c r="G13" s="670"/>
      <c r="H13" s="670"/>
      <c r="I13" s="670"/>
      <c r="J13" s="670"/>
      <c r="K13" s="670"/>
      <c r="L13" s="670"/>
      <c r="M13" s="670"/>
      <c r="N13" s="670"/>
      <c r="O13" s="670"/>
      <c r="P13" s="670"/>
      <c r="Q13" s="670"/>
      <c r="R13" s="670"/>
      <c r="S13" s="670"/>
      <c r="T13" s="670"/>
      <c r="U13" s="670"/>
      <c r="V13" s="670"/>
      <c r="W13" s="670"/>
      <c r="X13" s="670"/>
      <c r="Y13" s="670"/>
      <c r="Z13" s="670"/>
      <c r="AA13" s="670"/>
      <c r="AB13" s="670"/>
      <c r="AC13" s="670"/>
      <c r="AD13" s="670"/>
      <c r="AE13" s="670"/>
      <c r="AF13" s="670"/>
      <c r="AG13" s="670"/>
      <c r="AH13" s="670"/>
      <c r="AI13" s="670"/>
      <c r="AJ13" s="670"/>
      <c r="AK13" s="670"/>
      <c r="AL13" s="670"/>
      <c r="AM13" s="670"/>
      <c r="AN13" s="670"/>
      <c r="AO13" s="670"/>
      <c r="AP13" s="670"/>
      <c r="AQ13" s="670"/>
      <c r="AR13" s="670"/>
      <c r="AS13" s="670">
        <v>30</v>
      </c>
      <c r="AT13" s="670">
        <v>15.560555000000001</v>
      </c>
      <c r="AU13" s="670">
        <v>14.439444999999999</v>
      </c>
      <c r="AV13" s="670"/>
      <c r="AW13" s="670"/>
      <c r="AX13" s="670"/>
      <c r="AY13" s="670"/>
      <c r="AZ13" s="670"/>
      <c r="BA13" s="670"/>
      <c r="BB13" s="670"/>
      <c r="BC13" s="670"/>
      <c r="BD13" s="670"/>
      <c r="BE13" s="670"/>
      <c r="BF13" s="670"/>
      <c r="BG13" s="670"/>
      <c r="BH13" s="670"/>
      <c r="BI13" s="670"/>
      <c r="BJ13" s="670"/>
      <c r="BK13" s="670"/>
      <c r="BL13" s="670"/>
      <c r="BM13" s="670"/>
      <c r="BN13" s="670"/>
      <c r="BO13" s="670"/>
      <c r="BP13" s="670"/>
      <c r="BQ13" s="670"/>
      <c r="BR13" s="670"/>
      <c r="BS13" s="670"/>
      <c r="BT13" s="670"/>
      <c r="BU13" s="670"/>
      <c r="BV13" s="670"/>
      <c r="BW13" s="670"/>
      <c r="BX13" s="670"/>
      <c r="BY13" s="670"/>
      <c r="BZ13" s="670"/>
      <c r="CA13" s="670"/>
      <c r="CB13" s="670"/>
      <c r="CC13" s="670"/>
      <c r="CD13" s="670"/>
      <c r="CE13" s="670"/>
      <c r="CF13" s="670"/>
      <c r="CG13" s="670"/>
      <c r="CH13" s="670"/>
      <c r="CI13" s="670"/>
      <c r="CJ13" s="670"/>
      <c r="CK13" s="670"/>
      <c r="CL13" s="670"/>
      <c r="CM13" s="670"/>
      <c r="CN13" s="670"/>
      <c r="CO13" s="670"/>
      <c r="CP13" s="670"/>
      <c r="CQ13" s="670"/>
      <c r="CR13" s="670"/>
      <c r="CS13" s="670"/>
      <c r="CT13" s="670"/>
      <c r="CU13" s="670"/>
      <c r="CV13" s="670"/>
      <c r="CW13" s="670"/>
      <c r="CX13" s="670"/>
      <c r="CY13" s="670"/>
      <c r="CZ13" s="670"/>
      <c r="DA13" s="670"/>
      <c r="DB13" s="670"/>
      <c r="DC13" s="670"/>
      <c r="DD13" s="670"/>
      <c r="DE13" s="670"/>
      <c r="DF13" s="670"/>
      <c r="DG13" s="670"/>
      <c r="DH13" s="670"/>
      <c r="DI13" s="670"/>
      <c r="DJ13" s="670"/>
      <c r="DK13" s="670"/>
      <c r="DL13" s="670"/>
      <c r="DM13" s="670"/>
      <c r="DN13" s="670"/>
      <c r="DO13" s="670"/>
      <c r="DP13" s="670"/>
      <c r="DQ13" s="670"/>
      <c r="DR13" s="670"/>
      <c r="DS13" s="670"/>
      <c r="DT13" s="670"/>
      <c r="DU13" s="670"/>
      <c r="DV13" s="670"/>
      <c r="DW13" s="670"/>
      <c r="DX13" s="670"/>
      <c r="DY13" s="670"/>
      <c r="DZ13" s="670"/>
      <c r="EA13" s="670"/>
      <c r="EB13" s="670"/>
      <c r="EC13" s="670"/>
      <c r="ED13" s="670"/>
      <c r="EE13" s="670"/>
      <c r="EF13" s="670"/>
      <c r="EG13" s="670"/>
      <c r="EH13" s="670"/>
      <c r="EI13" s="670"/>
      <c r="EJ13" s="670"/>
      <c r="EK13" s="670"/>
      <c r="EL13" s="670"/>
      <c r="EM13" s="670"/>
      <c r="EN13" s="670"/>
      <c r="EO13" s="670"/>
      <c r="EP13" s="670"/>
      <c r="EQ13" s="670"/>
      <c r="ER13" s="670"/>
      <c r="ES13" s="670"/>
      <c r="ET13" s="670"/>
      <c r="EU13" s="670"/>
      <c r="EV13" s="670"/>
      <c r="EW13" s="670"/>
      <c r="EX13" s="670"/>
      <c r="EY13" s="670"/>
      <c r="EZ13" s="670"/>
      <c r="FA13" s="670"/>
      <c r="FB13" s="670"/>
      <c r="FC13" s="670"/>
      <c r="FD13" s="670"/>
      <c r="FE13" s="670"/>
      <c r="FF13" s="670"/>
      <c r="FG13" s="670"/>
      <c r="FH13" s="670"/>
      <c r="FI13" s="670"/>
      <c r="FJ13" s="670"/>
      <c r="FK13" s="670"/>
      <c r="FL13" s="670"/>
      <c r="FM13" s="670"/>
      <c r="FN13" s="670"/>
      <c r="FO13" s="670"/>
      <c r="FP13" s="670"/>
      <c r="FQ13" s="670"/>
      <c r="FR13" s="670"/>
      <c r="FS13" s="670"/>
      <c r="FT13" s="670"/>
      <c r="FU13" s="670"/>
      <c r="FV13" s="670"/>
      <c r="FW13" s="670"/>
      <c r="FX13" s="670"/>
      <c r="FY13" s="670"/>
      <c r="FZ13" s="670"/>
      <c r="GA13" s="670"/>
      <c r="GB13" s="670"/>
      <c r="GC13" s="670"/>
      <c r="GD13" s="670"/>
      <c r="GE13" s="670"/>
      <c r="GF13" s="670"/>
      <c r="GG13" s="670"/>
      <c r="GH13" s="670"/>
      <c r="GI13" s="670"/>
      <c r="GJ13" s="670"/>
      <c r="GK13" s="670"/>
      <c r="GL13" s="670"/>
      <c r="GM13" s="670"/>
      <c r="GN13" s="670"/>
      <c r="GO13" s="670"/>
      <c r="GP13" s="670">
        <v>200</v>
      </c>
      <c r="GQ13" s="670">
        <v>124.48444000000001</v>
      </c>
      <c r="GR13" s="670">
        <v>75.515559999999994</v>
      </c>
      <c r="GS13" s="670"/>
      <c r="GT13" s="670"/>
      <c r="GU13" s="670"/>
      <c r="GV13" s="670"/>
      <c r="GW13" s="670"/>
      <c r="GX13" s="670"/>
      <c r="GY13" s="670"/>
      <c r="GZ13" s="670"/>
      <c r="HA13" s="670"/>
      <c r="HB13" s="670"/>
      <c r="HC13" s="670"/>
      <c r="HD13" s="670"/>
      <c r="HE13" s="670"/>
      <c r="HF13" s="670"/>
      <c r="HG13" s="670"/>
      <c r="HH13" s="670"/>
      <c r="HI13" s="670"/>
      <c r="HJ13" s="670"/>
      <c r="HK13" s="670"/>
      <c r="HL13" s="670"/>
      <c r="HM13" s="670"/>
      <c r="HN13" s="670"/>
      <c r="HO13" s="670"/>
      <c r="HP13" s="670"/>
      <c r="HQ13" s="670"/>
      <c r="HR13" s="670"/>
      <c r="HS13" s="670"/>
      <c r="HT13" s="670"/>
      <c r="HU13" s="670"/>
      <c r="HV13" s="670"/>
      <c r="HW13" s="670"/>
      <c r="HX13" s="670"/>
      <c r="HY13" s="670"/>
      <c r="HZ13" s="670"/>
      <c r="IA13" s="670"/>
      <c r="IB13" s="670"/>
      <c r="IC13" s="670"/>
      <c r="ID13" s="670"/>
      <c r="IE13" s="670"/>
      <c r="IF13" s="670"/>
      <c r="IG13" s="670"/>
      <c r="IH13" s="670"/>
      <c r="II13" s="670"/>
      <c r="IJ13" s="670"/>
      <c r="IK13" s="670"/>
      <c r="IL13" s="670"/>
      <c r="IM13" s="670"/>
      <c r="IN13" s="670"/>
      <c r="IO13" s="670"/>
      <c r="IP13" s="670"/>
      <c r="IQ13" s="670"/>
      <c r="IR13" s="670"/>
      <c r="IS13" s="670"/>
      <c r="IT13" s="670"/>
      <c r="IU13" s="670"/>
      <c r="IV13" s="670"/>
      <c r="IW13" s="670"/>
      <c r="IX13" s="670"/>
      <c r="IY13" s="670"/>
      <c r="IZ13" s="670"/>
      <c r="JA13" s="670"/>
      <c r="JB13" s="670"/>
      <c r="JC13" s="670"/>
      <c r="JD13" s="670"/>
      <c r="JE13" s="670"/>
      <c r="JF13" s="670"/>
      <c r="JG13" s="670"/>
      <c r="JH13" s="670"/>
      <c r="JI13" s="670"/>
      <c r="JJ13" s="670"/>
      <c r="JK13" s="670"/>
      <c r="JL13" s="670"/>
      <c r="JM13" s="670"/>
      <c r="JN13" s="670"/>
      <c r="JO13" s="670"/>
      <c r="JP13" s="670"/>
      <c r="JQ13" s="670"/>
      <c r="JR13" s="670"/>
      <c r="JS13" s="670"/>
      <c r="JT13" s="670"/>
      <c r="JU13" s="670"/>
      <c r="JV13" s="670"/>
      <c r="JW13" s="670"/>
      <c r="JX13" s="670"/>
      <c r="JY13" s="670"/>
      <c r="JZ13" s="670"/>
      <c r="KA13" s="670"/>
      <c r="KB13" s="670"/>
      <c r="KC13" s="670"/>
      <c r="KD13" s="670"/>
      <c r="KE13" s="670"/>
      <c r="KF13" s="670"/>
      <c r="KG13" s="670"/>
      <c r="KH13" s="670"/>
      <c r="KI13" s="670"/>
      <c r="KJ13" s="670"/>
      <c r="KK13" s="670"/>
      <c r="KL13" s="670"/>
      <c r="KM13" s="670"/>
      <c r="KN13" s="670"/>
      <c r="KO13" s="670"/>
      <c r="KP13" s="670"/>
      <c r="KQ13" s="670"/>
      <c r="KR13" s="670"/>
      <c r="KS13" s="670"/>
      <c r="KT13" s="670"/>
      <c r="KU13" s="670"/>
      <c r="KV13" s="670"/>
      <c r="KW13" s="670"/>
      <c r="KX13" s="670"/>
      <c r="KY13" s="670"/>
      <c r="KZ13" s="670"/>
      <c r="LA13" s="670"/>
      <c r="LB13" s="670"/>
      <c r="LC13" s="670"/>
      <c r="LD13" s="670"/>
      <c r="LE13" s="670"/>
      <c r="LF13" s="670"/>
      <c r="LG13" s="670"/>
      <c r="LH13" s="670"/>
      <c r="LI13" s="670"/>
      <c r="LJ13" s="670"/>
      <c r="LK13" s="670"/>
      <c r="LL13" s="670"/>
      <c r="LM13" s="670"/>
      <c r="LN13" s="670"/>
      <c r="LO13" s="670"/>
      <c r="LP13" s="670"/>
      <c r="LQ13" s="670"/>
      <c r="LR13" s="670"/>
      <c r="LS13" s="670"/>
      <c r="LT13" s="670"/>
      <c r="LU13" s="670"/>
      <c r="LV13" s="670"/>
      <c r="LW13" s="670"/>
      <c r="LX13" s="670"/>
      <c r="LY13" s="670"/>
      <c r="LZ13" s="670"/>
      <c r="MA13" s="670"/>
      <c r="MB13" s="670"/>
      <c r="MC13" s="670"/>
      <c r="MD13" s="670"/>
      <c r="ME13" s="670"/>
      <c r="MF13" s="670"/>
      <c r="MG13" s="670"/>
      <c r="MH13" s="670"/>
      <c r="MI13" s="670"/>
      <c r="MJ13" s="670"/>
      <c r="MK13" s="670"/>
      <c r="ML13" s="670"/>
      <c r="MM13" s="670"/>
      <c r="MN13" s="670"/>
      <c r="MO13" s="670"/>
      <c r="MP13" s="670"/>
      <c r="MQ13" s="670"/>
      <c r="MR13" s="670"/>
      <c r="MS13" s="670"/>
      <c r="MT13" s="670"/>
      <c r="MU13" s="670"/>
      <c r="MV13" s="670"/>
      <c r="MW13" s="670"/>
      <c r="MX13" s="670"/>
      <c r="MY13" s="670"/>
      <c r="MZ13" s="670"/>
      <c r="NA13" s="670"/>
      <c r="NB13" s="670"/>
      <c r="NC13" s="670"/>
      <c r="ND13" s="670"/>
      <c r="NE13" s="670"/>
      <c r="NF13" s="670"/>
      <c r="NG13" s="670"/>
      <c r="NH13" s="670"/>
      <c r="NI13" s="670"/>
      <c r="NJ13" s="670"/>
      <c r="NK13" s="670"/>
      <c r="NL13" s="670"/>
      <c r="NM13" s="670"/>
      <c r="NN13" s="670"/>
      <c r="NO13" s="670"/>
      <c r="NP13" s="670"/>
      <c r="NQ13" s="670"/>
      <c r="NR13" s="670"/>
      <c r="NS13" s="670"/>
      <c r="NT13" s="670"/>
      <c r="NU13" s="670"/>
      <c r="NV13" s="670"/>
      <c r="NW13" s="670"/>
      <c r="NX13" s="670"/>
      <c r="NY13" s="670"/>
      <c r="NZ13" s="670"/>
      <c r="OA13" s="670"/>
      <c r="OB13" s="670"/>
      <c r="OC13" s="670"/>
      <c r="OD13" s="670"/>
      <c r="OE13" s="670"/>
      <c r="OF13" s="670"/>
      <c r="OG13" s="670"/>
      <c r="OH13" s="670"/>
      <c r="OI13" s="670"/>
      <c r="OJ13" s="670"/>
      <c r="OK13" s="670"/>
      <c r="OL13" s="670"/>
      <c r="OM13" s="670"/>
      <c r="ON13" s="670"/>
      <c r="OO13" s="670"/>
      <c r="OP13" s="670"/>
      <c r="OQ13" s="670"/>
      <c r="OR13" s="670"/>
      <c r="OS13" s="670"/>
      <c r="OT13" s="670"/>
      <c r="OU13" s="670"/>
      <c r="OV13" s="670"/>
      <c r="OW13" s="670"/>
      <c r="OX13" s="670"/>
      <c r="OY13" s="670"/>
      <c r="OZ13" s="670"/>
      <c r="PA13" s="670"/>
      <c r="PB13" s="670"/>
      <c r="PC13" s="670"/>
      <c r="PD13" s="670"/>
      <c r="PE13" s="670"/>
      <c r="PF13" s="670"/>
      <c r="PG13" s="670"/>
      <c r="PH13" s="670"/>
      <c r="PI13" s="670"/>
      <c r="PJ13" s="670"/>
      <c r="PK13" s="670"/>
      <c r="PL13" s="670"/>
      <c r="PM13" s="670"/>
      <c r="PN13" s="670"/>
      <c r="PO13" s="670"/>
      <c r="PP13" s="670"/>
      <c r="PQ13" s="670"/>
      <c r="PR13" s="670"/>
      <c r="PS13" s="670"/>
      <c r="PT13" s="670"/>
      <c r="PU13" s="670"/>
      <c r="PV13" s="670"/>
      <c r="PW13" s="670"/>
      <c r="PX13" s="670"/>
      <c r="PY13" s="670"/>
      <c r="PZ13" s="670"/>
      <c r="QA13" s="670"/>
      <c r="QB13" s="670"/>
      <c r="QC13" s="670"/>
      <c r="QD13" s="670"/>
    </row>
    <row r="14" spans="1:446" s="673" customFormat="1" ht="14.1" customHeight="1" x14ac:dyDescent="0.25">
      <c r="A14" s="678">
        <v>1</v>
      </c>
      <c r="B14" s="676">
        <v>45110</v>
      </c>
      <c r="C14" s="674"/>
      <c r="D14" s="674"/>
      <c r="E14" s="674"/>
      <c r="F14" s="670"/>
      <c r="G14" s="670"/>
      <c r="H14" s="670"/>
      <c r="I14" s="670"/>
      <c r="J14" s="670"/>
      <c r="K14" s="670"/>
      <c r="L14" s="670"/>
      <c r="M14" s="670"/>
      <c r="N14" s="670"/>
      <c r="O14" s="670">
        <v>200</v>
      </c>
      <c r="P14" s="670">
        <v>186.72666000000001</v>
      </c>
      <c r="Q14" s="670">
        <v>15.01733999999999</v>
      </c>
      <c r="R14" s="670">
        <v>0</v>
      </c>
      <c r="S14" s="670">
        <v>217.84777</v>
      </c>
      <c r="T14" s="670">
        <v>19.020229999999998</v>
      </c>
      <c r="U14" s="670">
        <v>88</v>
      </c>
      <c r="V14" s="670">
        <v>77.802774999999997</v>
      </c>
      <c r="W14" s="670">
        <v>25.507225000000005</v>
      </c>
      <c r="X14" s="670">
        <v>106</v>
      </c>
      <c r="Y14" s="670">
        <v>9.379999999999999</v>
      </c>
      <c r="Z14" s="670">
        <v>96.62</v>
      </c>
      <c r="AA14" s="670"/>
      <c r="AB14" s="670"/>
      <c r="AC14" s="670"/>
      <c r="AD14" s="670"/>
      <c r="AE14" s="670"/>
      <c r="AF14" s="670"/>
      <c r="AG14" s="670"/>
      <c r="AH14" s="670"/>
      <c r="AI14" s="670"/>
      <c r="AJ14" s="670"/>
      <c r="AK14" s="670"/>
      <c r="AL14" s="670"/>
      <c r="AM14" s="670"/>
      <c r="AN14" s="670"/>
      <c r="AO14" s="670"/>
      <c r="AP14" s="670">
        <v>100</v>
      </c>
      <c r="AQ14" s="670">
        <v>0</v>
      </c>
      <c r="AR14" s="670">
        <v>582.15223000000003</v>
      </c>
      <c r="AS14" s="670">
        <v>300</v>
      </c>
      <c r="AT14" s="670">
        <v>0</v>
      </c>
      <c r="AU14" s="670">
        <v>314.43944499999998</v>
      </c>
      <c r="AV14" s="670">
        <v>400</v>
      </c>
      <c r="AW14" s="670">
        <v>93.363330000000005</v>
      </c>
      <c r="AX14" s="670">
        <v>306.63666999999998</v>
      </c>
      <c r="AY14" s="670"/>
      <c r="AZ14" s="670"/>
      <c r="BA14" s="670"/>
      <c r="BB14" s="670">
        <v>70</v>
      </c>
      <c r="BC14" s="670">
        <v>0</v>
      </c>
      <c r="BD14" s="670">
        <v>507</v>
      </c>
      <c r="BE14" s="670"/>
      <c r="BF14" s="670"/>
      <c r="BG14" s="670"/>
      <c r="BH14" s="670"/>
      <c r="BI14" s="670"/>
      <c r="BJ14" s="670"/>
      <c r="BK14" s="670"/>
      <c r="BL14" s="670"/>
      <c r="BM14" s="670"/>
      <c r="BN14" s="670"/>
      <c r="BO14" s="670"/>
      <c r="BP14" s="670"/>
      <c r="BQ14" s="670"/>
      <c r="BR14" s="670"/>
      <c r="BS14" s="670"/>
      <c r="BT14" s="670">
        <v>60</v>
      </c>
      <c r="BU14" s="670">
        <v>0</v>
      </c>
      <c r="BV14" s="670">
        <v>60</v>
      </c>
      <c r="BW14" s="670"/>
      <c r="BX14" s="670"/>
      <c r="BY14" s="670"/>
      <c r="BZ14" s="670">
        <v>50</v>
      </c>
      <c r="CA14" s="670">
        <v>0</v>
      </c>
      <c r="CB14" s="670">
        <v>50</v>
      </c>
      <c r="CC14" s="670">
        <v>50</v>
      </c>
      <c r="CD14" s="670">
        <v>0</v>
      </c>
      <c r="CE14" s="670">
        <v>62.620000000000005</v>
      </c>
      <c r="CF14" s="670"/>
      <c r="CG14" s="670"/>
      <c r="CH14" s="670"/>
      <c r="CI14" s="670"/>
      <c r="CJ14" s="670"/>
      <c r="CK14" s="670"/>
      <c r="CL14" s="670">
        <v>24</v>
      </c>
      <c r="CM14" s="670">
        <v>0</v>
      </c>
      <c r="CN14" s="670">
        <v>24</v>
      </c>
      <c r="CO14" s="670"/>
      <c r="CP14" s="670"/>
      <c r="CQ14" s="670"/>
      <c r="CR14" s="670"/>
      <c r="CS14" s="670"/>
      <c r="CT14" s="670"/>
      <c r="CU14" s="670"/>
      <c r="CV14" s="670"/>
      <c r="CW14" s="670"/>
      <c r="CX14" s="670">
        <v>0</v>
      </c>
      <c r="CY14" s="670">
        <v>18.672666</v>
      </c>
      <c r="CZ14" s="670">
        <v>16.201734000000002</v>
      </c>
      <c r="DA14" s="670">
        <v>0</v>
      </c>
      <c r="DB14" s="670">
        <v>9.8991329999999991</v>
      </c>
      <c r="DC14" s="670">
        <v>120.10086699999999</v>
      </c>
      <c r="DD14" s="670">
        <v>13</v>
      </c>
      <c r="DE14" s="670">
        <v>0</v>
      </c>
      <c r="DF14" s="670">
        <v>143</v>
      </c>
      <c r="DG14" s="670">
        <v>80</v>
      </c>
      <c r="DH14" s="670">
        <v>0</v>
      </c>
      <c r="DI14" s="670">
        <v>80</v>
      </c>
      <c r="DJ14" s="670">
        <v>0</v>
      </c>
      <c r="DK14" s="670">
        <v>6.5659999999999998</v>
      </c>
      <c r="DL14" s="670">
        <v>28.434000000000001</v>
      </c>
      <c r="DM14" s="670"/>
      <c r="DN14" s="670"/>
      <c r="DO14" s="670"/>
      <c r="DP14" s="670">
        <v>80</v>
      </c>
      <c r="DQ14" s="670">
        <v>54</v>
      </c>
      <c r="DR14" s="670">
        <v>26</v>
      </c>
      <c r="DS14" s="670"/>
      <c r="DT14" s="670"/>
      <c r="DU14" s="670"/>
      <c r="DV14" s="670">
        <v>135</v>
      </c>
      <c r="DW14" s="670">
        <v>108.923885</v>
      </c>
      <c r="DX14" s="670">
        <v>27.510114999999999</v>
      </c>
      <c r="DY14" s="670">
        <v>250</v>
      </c>
      <c r="DZ14" s="670">
        <v>136.932884</v>
      </c>
      <c r="EA14" s="670">
        <v>113.067116</v>
      </c>
      <c r="EB14" s="670">
        <v>20</v>
      </c>
      <c r="EC14" s="670">
        <v>7.5039999999999996</v>
      </c>
      <c r="ED14" s="670">
        <v>12.496</v>
      </c>
      <c r="EE14" s="670">
        <v>204</v>
      </c>
      <c r="EF14" s="670">
        <v>140.044995</v>
      </c>
      <c r="EG14" s="670">
        <v>63.955005</v>
      </c>
      <c r="EH14" s="670">
        <v>0</v>
      </c>
      <c r="EI14" s="670">
        <v>108.923885</v>
      </c>
      <c r="EJ14" s="670">
        <v>91.076115000000001</v>
      </c>
      <c r="EK14" s="670"/>
      <c r="EL14" s="670"/>
      <c r="EM14" s="670"/>
      <c r="EN14" s="670"/>
      <c r="EO14" s="670"/>
      <c r="EP14" s="670"/>
      <c r="EQ14" s="670">
        <v>144</v>
      </c>
      <c r="ER14" s="670">
        <v>0</v>
      </c>
      <c r="ES14" s="670">
        <v>144</v>
      </c>
      <c r="ET14" s="670">
        <v>0</v>
      </c>
      <c r="EU14" s="670">
        <v>7.5039999999999996</v>
      </c>
      <c r="EV14" s="670">
        <v>32.496000000000002</v>
      </c>
      <c r="EW14" s="670"/>
      <c r="EX14" s="670"/>
      <c r="EY14" s="670"/>
      <c r="EZ14" s="670">
        <v>0</v>
      </c>
      <c r="FA14" s="670">
        <v>155.60554999999999</v>
      </c>
      <c r="FB14" s="670">
        <v>64.394450000000006</v>
      </c>
      <c r="FC14" s="670">
        <v>213</v>
      </c>
      <c r="FD14" s="670">
        <v>93.363330000000005</v>
      </c>
      <c r="FE14" s="670">
        <v>156.63666999999998</v>
      </c>
      <c r="FF14" s="670"/>
      <c r="FG14" s="670"/>
      <c r="FH14" s="670"/>
      <c r="FI14" s="670"/>
      <c r="FJ14" s="670"/>
      <c r="FK14" s="670"/>
      <c r="FL14" s="670"/>
      <c r="FM14" s="670"/>
      <c r="FN14" s="670"/>
      <c r="FO14" s="670"/>
      <c r="FP14" s="670"/>
      <c r="FQ14" s="670"/>
      <c r="FR14" s="670">
        <v>22</v>
      </c>
      <c r="FS14" s="670">
        <v>0</v>
      </c>
      <c r="FT14" s="670">
        <v>262.62</v>
      </c>
      <c r="FU14" s="670">
        <v>0</v>
      </c>
      <c r="FV14" s="670">
        <v>13.132</v>
      </c>
      <c r="FW14" s="670">
        <v>356.86799999999999</v>
      </c>
      <c r="FX14" s="670"/>
      <c r="FY14" s="670"/>
      <c r="FZ14" s="670"/>
      <c r="GA14" s="670"/>
      <c r="GB14" s="670"/>
      <c r="GC14" s="670"/>
      <c r="GD14" s="670"/>
      <c r="GE14" s="670"/>
      <c r="GF14" s="670"/>
      <c r="GG14" s="670"/>
      <c r="GH14" s="670"/>
      <c r="GI14" s="670"/>
      <c r="GJ14" s="670">
        <v>0</v>
      </c>
      <c r="GK14" s="670">
        <v>5.6280000000000001</v>
      </c>
      <c r="GL14" s="670">
        <v>124.372</v>
      </c>
      <c r="GM14" s="670"/>
      <c r="GN14" s="670"/>
      <c r="GO14" s="670"/>
      <c r="GP14" s="670"/>
      <c r="GQ14" s="670"/>
      <c r="GR14" s="670"/>
      <c r="GS14" s="670"/>
      <c r="GT14" s="670"/>
      <c r="GU14" s="670"/>
      <c r="GV14" s="670"/>
      <c r="GW14" s="670"/>
      <c r="GX14" s="670"/>
      <c r="GY14" s="670"/>
      <c r="GZ14" s="670"/>
      <c r="HA14" s="670"/>
      <c r="HB14" s="670"/>
      <c r="HC14" s="670"/>
      <c r="HD14" s="670"/>
      <c r="HE14" s="670"/>
      <c r="HF14" s="670"/>
      <c r="HG14" s="670"/>
      <c r="HH14" s="670"/>
      <c r="HI14" s="670"/>
      <c r="HJ14" s="670"/>
      <c r="HK14" s="670">
        <v>0</v>
      </c>
      <c r="HL14" s="670">
        <v>5.6280000000000001</v>
      </c>
      <c r="HM14" s="670">
        <v>24.372</v>
      </c>
      <c r="HN14" s="670"/>
      <c r="HO14" s="670"/>
      <c r="HP14" s="670"/>
      <c r="HQ14" s="670"/>
      <c r="HR14" s="670"/>
      <c r="HS14" s="670"/>
      <c r="HT14" s="670">
        <v>0</v>
      </c>
      <c r="HU14" s="670">
        <v>7.5039999999999996</v>
      </c>
      <c r="HV14" s="670">
        <v>208.01156</v>
      </c>
      <c r="HW14" s="670"/>
      <c r="HX14" s="670"/>
      <c r="HY14" s="670"/>
      <c r="HZ14" s="670">
        <v>50</v>
      </c>
      <c r="IA14" s="670">
        <v>0</v>
      </c>
      <c r="IB14" s="670">
        <v>85.014450000000011</v>
      </c>
      <c r="IC14" s="670">
        <v>120</v>
      </c>
      <c r="ID14" s="670">
        <v>0</v>
      </c>
      <c r="IE14" s="670">
        <v>123.124</v>
      </c>
      <c r="IF14" s="670"/>
      <c r="IG14" s="670"/>
      <c r="IH14" s="670"/>
      <c r="II14" s="670"/>
      <c r="IJ14" s="670"/>
      <c r="IK14" s="670"/>
      <c r="IL14" s="670"/>
      <c r="IM14" s="670"/>
      <c r="IN14" s="670"/>
      <c r="IO14" s="670"/>
      <c r="IP14" s="670"/>
      <c r="IQ14" s="670"/>
      <c r="IR14" s="670"/>
      <c r="IS14" s="670"/>
      <c r="IT14" s="670"/>
      <c r="IU14" s="670">
        <v>0</v>
      </c>
      <c r="IV14" s="670">
        <v>8.4420000000000002</v>
      </c>
      <c r="IW14" s="670">
        <v>136.55799999999999</v>
      </c>
      <c r="IX14" s="670">
        <v>0</v>
      </c>
      <c r="IY14" s="670">
        <v>9.379999999999999</v>
      </c>
      <c r="IZ14" s="670">
        <v>15.014450000000007</v>
      </c>
      <c r="JA14" s="670"/>
      <c r="JB14" s="670"/>
      <c r="JC14" s="670"/>
      <c r="JD14" s="670"/>
      <c r="JE14" s="670"/>
      <c r="JF14" s="670"/>
      <c r="JG14" s="670"/>
      <c r="JH14" s="670"/>
      <c r="JI14" s="670"/>
      <c r="JJ14" s="670"/>
      <c r="JK14" s="670"/>
      <c r="JL14" s="670"/>
      <c r="JM14" s="670"/>
      <c r="JN14" s="670"/>
      <c r="JO14" s="670"/>
      <c r="JP14" s="670">
        <v>250</v>
      </c>
      <c r="JQ14" s="670">
        <v>0</v>
      </c>
      <c r="JR14" s="670">
        <v>250</v>
      </c>
      <c r="JS14" s="670"/>
      <c r="JT14" s="670"/>
      <c r="JU14" s="670"/>
      <c r="JV14" s="670"/>
      <c r="JW14" s="670"/>
      <c r="JX14" s="670"/>
      <c r="JY14" s="670"/>
      <c r="JZ14" s="670"/>
      <c r="KA14" s="670"/>
      <c r="KB14" s="670"/>
      <c r="KC14" s="670"/>
      <c r="KD14" s="670"/>
      <c r="KE14" s="670">
        <v>45</v>
      </c>
      <c r="KF14" s="670">
        <v>8.4420000000000002</v>
      </c>
      <c r="KG14" s="670">
        <v>36.558</v>
      </c>
      <c r="KH14" s="670">
        <v>50</v>
      </c>
      <c r="KI14" s="670">
        <v>0</v>
      </c>
      <c r="KJ14" s="670">
        <v>50</v>
      </c>
      <c r="KK14" s="670">
        <v>72</v>
      </c>
      <c r="KL14" s="670">
        <v>7.5039999999999996</v>
      </c>
      <c r="KM14" s="670">
        <v>64.495999999999995</v>
      </c>
      <c r="KN14" s="670"/>
      <c r="KO14" s="670"/>
      <c r="KP14" s="670"/>
      <c r="KQ14" s="670"/>
      <c r="KR14" s="670"/>
      <c r="KS14" s="670"/>
      <c r="KT14" s="670"/>
      <c r="KU14" s="670"/>
      <c r="KV14" s="670"/>
      <c r="KW14" s="670">
        <v>166</v>
      </c>
      <c r="KX14" s="670">
        <v>8.4420000000000002</v>
      </c>
      <c r="KY14" s="670">
        <v>157.55799999999999</v>
      </c>
      <c r="KZ14" s="670"/>
      <c r="LA14" s="670"/>
      <c r="LB14" s="670"/>
      <c r="LC14" s="670"/>
      <c r="LD14" s="670"/>
      <c r="LE14" s="670"/>
      <c r="LF14" s="670"/>
      <c r="LG14" s="670"/>
      <c r="LH14" s="670"/>
      <c r="LI14" s="670"/>
      <c r="LJ14" s="670"/>
      <c r="LK14" s="670"/>
      <c r="LL14" s="670"/>
      <c r="LM14" s="670"/>
      <c r="LN14" s="670"/>
      <c r="LO14" s="670"/>
      <c r="LP14" s="670"/>
      <c r="LQ14" s="670"/>
      <c r="LR14" s="670">
        <v>300</v>
      </c>
      <c r="LS14" s="670">
        <v>56.279999999999994</v>
      </c>
      <c r="LT14" s="670">
        <v>343.72</v>
      </c>
      <c r="LU14" s="670"/>
      <c r="LV14" s="670"/>
      <c r="LW14" s="670"/>
      <c r="LX14" s="670">
        <v>0</v>
      </c>
      <c r="LY14" s="670">
        <v>3.7519999999999998</v>
      </c>
      <c r="LZ14" s="670">
        <v>16.248000000000001</v>
      </c>
      <c r="MA14" s="670">
        <v>2</v>
      </c>
      <c r="MB14" s="670">
        <v>0</v>
      </c>
      <c r="MC14" s="670">
        <v>12</v>
      </c>
      <c r="MD14" s="670">
        <v>6</v>
      </c>
      <c r="ME14" s="670">
        <v>1.1255999999999999</v>
      </c>
      <c r="MF14" s="670">
        <v>5.7744</v>
      </c>
      <c r="MG14" s="670"/>
      <c r="MH14" s="670"/>
      <c r="MI14" s="670"/>
      <c r="MJ14" s="670"/>
      <c r="MK14" s="670"/>
      <c r="ML14" s="670"/>
      <c r="MM14" s="670"/>
      <c r="MN14" s="670"/>
      <c r="MO14" s="670"/>
      <c r="MP14" s="670"/>
      <c r="MQ14" s="670"/>
      <c r="MR14" s="670"/>
      <c r="MS14" s="670">
        <v>0</v>
      </c>
      <c r="MT14" s="670">
        <v>1.5007999999999999</v>
      </c>
      <c r="MU14" s="670">
        <v>106.4992</v>
      </c>
      <c r="MV14" s="670"/>
      <c r="MW14" s="670"/>
      <c r="MX14" s="670"/>
      <c r="MY14" s="670"/>
      <c r="MZ14" s="670"/>
      <c r="NA14" s="670"/>
      <c r="NB14" s="670"/>
      <c r="NC14" s="670"/>
      <c r="ND14" s="670"/>
      <c r="NE14" s="670"/>
      <c r="NF14" s="670"/>
      <c r="NG14" s="670"/>
      <c r="NH14" s="670"/>
      <c r="NI14" s="670"/>
      <c r="NJ14" s="670"/>
      <c r="NK14" s="670"/>
      <c r="NL14" s="670"/>
      <c r="NM14" s="670"/>
      <c r="NN14" s="670"/>
      <c r="NO14" s="670"/>
      <c r="NP14" s="670"/>
      <c r="NQ14" s="670"/>
      <c r="NR14" s="670"/>
      <c r="NS14" s="670"/>
      <c r="NT14" s="670">
        <v>8</v>
      </c>
      <c r="NU14" s="670">
        <v>0</v>
      </c>
      <c r="NV14" s="670">
        <v>16</v>
      </c>
      <c r="NW14" s="670"/>
      <c r="NX14" s="670"/>
      <c r="NY14" s="670"/>
      <c r="NZ14" s="670"/>
      <c r="OA14" s="670"/>
      <c r="OB14" s="670"/>
      <c r="OC14" s="670"/>
      <c r="OD14" s="670"/>
      <c r="OE14" s="670"/>
      <c r="OF14" s="670">
        <v>4</v>
      </c>
      <c r="OG14" s="670">
        <v>2.6263999999999998</v>
      </c>
      <c r="OH14" s="670">
        <v>36.373600000000003</v>
      </c>
      <c r="OI14" s="670">
        <v>56</v>
      </c>
      <c r="OJ14" s="670">
        <v>0</v>
      </c>
      <c r="OK14" s="670">
        <v>169</v>
      </c>
      <c r="OL14" s="670">
        <v>0</v>
      </c>
      <c r="OM14" s="670">
        <v>3.7519999999999998</v>
      </c>
      <c r="ON14" s="670">
        <v>16.248000000000001</v>
      </c>
      <c r="OO14" s="670">
        <v>40</v>
      </c>
      <c r="OP14" s="670">
        <v>0</v>
      </c>
      <c r="OQ14" s="670">
        <v>140</v>
      </c>
      <c r="OR14" s="670"/>
      <c r="OS14" s="670"/>
      <c r="OT14" s="670"/>
      <c r="OU14" s="670">
        <v>0</v>
      </c>
      <c r="OV14" s="670">
        <v>7.5039999999999996</v>
      </c>
      <c r="OW14" s="670">
        <v>88.011559999999989</v>
      </c>
      <c r="OX14" s="670">
        <v>30</v>
      </c>
      <c r="OY14" s="670">
        <v>0</v>
      </c>
      <c r="OZ14" s="670">
        <v>264</v>
      </c>
      <c r="PA14" s="670">
        <v>55</v>
      </c>
      <c r="PB14" s="670">
        <v>0</v>
      </c>
      <c r="PC14" s="670">
        <v>20</v>
      </c>
      <c r="PD14" s="670"/>
      <c r="PE14" s="670"/>
      <c r="PF14" s="670"/>
      <c r="PG14" s="670"/>
      <c r="PH14" s="670"/>
      <c r="PI14" s="670"/>
      <c r="PJ14" s="670">
        <v>0</v>
      </c>
      <c r="PK14" s="670">
        <v>9.379999999999999</v>
      </c>
      <c r="PL14" s="670">
        <v>125.01445000000001</v>
      </c>
      <c r="PM14" s="670">
        <v>6</v>
      </c>
      <c r="PN14" s="670">
        <v>2</v>
      </c>
      <c r="PO14" s="670">
        <v>4</v>
      </c>
      <c r="PP14" s="670">
        <v>0</v>
      </c>
      <c r="PQ14" s="670">
        <v>3.7519999999999998</v>
      </c>
      <c r="PR14" s="670">
        <v>4.005779999999997</v>
      </c>
      <c r="PS14" s="670"/>
      <c r="PT14" s="670"/>
      <c r="PU14" s="670"/>
      <c r="PV14" s="670"/>
      <c r="PW14" s="670"/>
      <c r="PX14" s="670"/>
      <c r="PY14" s="670"/>
      <c r="PZ14" s="670"/>
      <c r="QA14" s="670"/>
      <c r="QB14" s="670"/>
      <c r="QC14" s="670"/>
      <c r="QD14" s="670"/>
    </row>
    <row r="15" spans="1:446" s="673" customFormat="1" ht="14.1" customHeight="1" x14ac:dyDescent="0.25">
      <c r="A15" s="678">
        <v>1</v>
      </c>
      <c r="B15" s="676">
        <v>45111</v>
      </c>
      <c r="C15" s="674"/>
      <c r="D15" s="674"/>
      <c r="E15" s="674"/>
      <c r="F15" s="670"/>
      <c r="G15" s="670"/>
      <c r="H15" s="670"/>
      <c r="I15" s="670"/>
      <c r="J15" s="670"/>
      <c r="K15" s="670"/>
      <c r="L15" s="670"/>
      <c r="M15" s="670"/>
      <c r="N15" s="670"/>
      <c r="O15" s="670"/>
      <c r="P15" s="670"/>
      <c r="Q15" s="670"/>
      <c r="R15" s="670"/>
      <c r="S15" s="670"/>
      <c r="T15" s="670"/>
      <c r="U15" s="670"/>
      <c r="V15" s="670"/>
      <c r="W15" s="670"/>
      <c r="X15" s="670"/>
      <c r="Y15" s="670"/>
      <c r="Z15" s="670"/>
      <c r="AA15" s="670"/>
      <c r="AB15" s="670"/>
      <c r="AC15" s="670"/>
      <c r="AD15" s="670"/>
      <c r="AE15" s="670"/>
      <c r="AF15" s="670"/>
      <c r="AG15" s="670"/>
      <c r="AH15" s="670"/>
      <c r="AI15" s="670"/>
      <c r="AJ15" s="670"/>
      <c r="AK15" s="670"/>
      <c r="AL15" s="670"/>
      <c r="AM15" s="670"/>
      <c r="AN15" s="670"/>
      <c r="AO15" s="670"/>
      <c r="AP15" s="670"/>
      <c r="AQ15" s="670"/>
      <c r="AR15" s="670"/>
      <c r="AS15" s="670"/>
      <c r="AT15" s="670"/>
      <c r="AU15" s="670"/>
      <c r="AV15" s="670"/>
      <c r="AW15" s="670"/>
      <c r="AX15" s="670"/>
      <c r="AY15" s="670"/>
      <c r="AZ15" s="670"/>
      <c r="BA15" s="670"/>
      <c r="BB15" s="670"/>
      <c r="BC15" s="670"/>
      <c r="BD15" s="670"/>
      <c r="BE15" s="670"/>
      <c r="BF15" s="670"/>
      <c r="BG15" s="670"/>
      <c r="BH15" s="670"/>
      <c r="BI15" s="670"/>
      <c r="BJ15" s="670"/>
      <c r="BK15" s="670"/>
      <c r="BL15" s="670"/>
      <c r="BM15" s="670"/>
      <c r="BN15" s="670"/>
      <c r="BO15" s="670"/>
      <c r="BP15" s="670"/>
      <c r="BQ15" s="670"/>
      <c r="BR15" s="670"/>
      <c r="BS15" s="670"/>
      <c r="BT15" s="670"/>
      <c r="BU15" s="670"/>
      <c r="BV15" s="670"/>
      <c r="BW15" s="670"/>
      <c r="BX15" s="670"/>
      <c r="BY15" s="670"/>
      <c r="BZ15" s="670"/>
      <c r="CA15" s="670"/>
      <c r="CB15" s="670"/>
      <c r="CC15" s="670"/>
      <c r="CD15" s="670"/>
      <c r="CE15" s="670"/>
      <c r="CF15" s="670"/>
      <c r="CG15" s="670"/>
      <c r="CH15" s="670"/>
      <c r="CI15" s="670"/>
      <c r="CJ15" s="670"/>
      <c r="CK15" s="670"/>
      <c r="CL15" s="670"/>
      <c r="CM15" s="670"/>
      <c r="CN15" s="670"/>
      <c r="CO15" s="670"/>
      <c r="CP15" s="670"/>
      <c r="CQ15" s="670"/>
      <c r="CR15" s="670"/>
      <c r="CS15" s="670"/>
      <c r="CT15" s="670"/>
      <c r="CU15" s="670"/>
      <c r="CV15" s="670"/>
      <c r="CW15" s="670"/>
      <c r="CX15" s="670"/>
      <c r="CY15" s="670"/>
      <c r="CZ15" s="670"/>
      <c r="DA15" s="670"/>
      <c r="DB15" s="670"/>
      <c r="DC15" s="670"/>
      <c r="DD15" s="670"/>
      <c r="DE15" s="670"/>
      <c r="DF15" s="670"/>
      <c r="DG15" s="670"/>
      <c r="DH15" s="670"/>
      <c r="DI15" s="670"/>
      <c r="DJ15" s="670"/>
      <c r="DK15" s="670"/>
      <c r="DL15" s="670"/>
      <c r="DM15" s="670"/>
      <c r="DN15" s="670"/>
      <c r="DO15" s="670"/>
      <c r="DP15" s="670"/>
      <c r="DQ15" s="670"/>
      <c r="DR15" s="670"/>
      <c r="DS15" s="670"/>
      <c r="DT15" s="670"/>
      <c r="DU15" s="670"/>
      <c r="DV15" s="670"/>
      <c r="DW15" s="670"/>
      <c r="DX15" s="670"/>
      <c r="DY15" s="670"/>
      <c r="DZ15" s="670"/>
      <c r="EA15" s="670"/>
      <c r="EB15" s="670"/>
      <c r="EC15" s="670"/>
      <c r="ED15" s="670"/>
      <c r="EE15" s="670"/>
      <c r="EF15" s="670"/>
      <c r="EG15" s="670"/>
      <c r="EH15" s="670"/>
      <c r="EI15" s="670"/>
      <c r="EJ15" s="670"/>
      <c r="EK15" s="670"/>
      <c r="EL15" s="670"/>
      <c r="EM15" s="670"/>
      <c r="EN15" s="670"/>
      <c r="EO15" s="670"/>
      <c r="EP15" s="670"/>
      <c r="EQ15" s="670"/>
      <c r="ER15" s="670"/>
      <c r="ES15" s="670"/>
      <c r="ET15" s="670"/>
      <c r="EU15" s="670"/>
      <c r="EV15" s="670"/>
      <c r="EW15" s="670"/>
      <c r="EX15" s="670"/>
      <c r="EY15" s="670"/>
      <c r="EZ15" s="670"/>
      <c r="FA15" s="670"/>
      <c r="FB15" s="670"/>
      <c r="FC15" s="670"/>
      <c r="FD15" s="670"/>
      <c r="FE15" s="670"/>
      <c r="FF15" s="670"/>
      <c r="FG15" s="670"/>
      <c r="FH15" s="670"/>
      <c r="FI15" s="670"/>
      <c r="FJ15" s="670"/>
      <c r="FK15" s="670"/>
      <c r="FL15" s="670"/>
      <c r="FM15" s="670"/>
      <c r="FN15" s="670"/>
      <c r="FO15" s="670"/>
      <c r="FP15" s="670"/>
      <c r="FQ15" s="670"/>
      <c r="FR15" s="670"/>
      <c r="FS15" s="670"/>
      <c r="FT15" s="670"/>
      <c r="FU15" s="670"/>
      <c r="FV15" s="670"/>
      <c r="FW15" s="670"/>
      <c r="FX15" s="670"/>
      <c r="FY15" s="670"/>
      <c r="FZ15" s="670"/>
      <c r="GA15" s="670"/>
      <c r="GB15" s="670"/>
      <c r="GC15" s="670"/>
      <c r="GD15" s="670"/>
      <c r="GE15" s="670"/>
      <c r="GF15" s="670"/>
      <c r="GG15" s="670"/>
      <c r="GH15" s="670"/>
      <c r="GI15" s="670"/>
      <c r="GJ15" s="670"/>
      <c r="GK15" s="670"/>
      <c r="GL15" s="670"/>
      <c r="GM15" s="670">
        <v>500</v>
      </c>
      <c r="GN15" s="670">
        <v>155.60554999999999</v>
      </c>
      <c r="GO15" s="670">
        <v>344.39445000000001</v>
      </c>
      <c r="GP15" s="670"/>
      <c r="GQ15" s="670"/>
      <c r="GR15" s="670"/>
      <c r="GS15" s="670"/>
      <c r="GT15" s="670"/>
      <c r="GU15" s="670"/>
      <c r="GV15" s="670"/>
      <c r="GW15" s="670"/>
      <c r="GX15" s="670"/>
      <c r="GY15" s="670"/>
      <c r="GZ15" s="670"/>
      <c r="HA15" s="670"/>
      <c r="HB15" s="670"/>
      <c r="HC15" s="670"/>
      <c r="HD15" s="670"/>
      <c r="HE15" s="670"/>
      <c r="HF15" s="670"/>
      <c r="HG15" s="670"/>
      <c r="HH15" s="670"/>
      <c r="HI15" s="670"/>
      <c r="HJ15" s="670"/>
      <c r="HK15" s="670"/>
      <c r="HL15" s="670"/>
      <c r="HM15" s="670"/>
      <c r="HN15" s="670"/>
      <c r="HO15" s="670"/>
      <c r="HP15" s="670"/>
      <c r="HQ15" s="670"/>
      <c r="HR15" s="670"/>
      <c r="HS15" s="670"/>
      <c r="HT15" s="670"/>
      <c r="HU15" s="670"/>
      <c r="HV15" s="670"/>
      <c r="HW15" s="670"/>
      <c r="HX15" s="670"/>
      <c r="HY15" s="670"/>
      <c r="HZ15" s="670"/>
      <c r="IA15" s="670"/>
      <c r="IB15" s="670"/>
      <c r="IC15" s="670"/>
      <c r="ID15" s="670"/>
      <c r="IE15" s="670"/>
      <c r="IF15" s="670"/>
      <c r="IG15" s="670"/>
      <c r="IH15" s="670"/>
      <c r="II15" s="670"/>
      <c r="IJ15" s="670"/>
      <c r="IK15" s="670"/>
      <c r="IL15" s="670"/>
      <c r="IM15" s="670"/>
      <c r="IN15" s="670"/>
      <c r="IO15" s="670"/>
      <c r="IP15" s="670"/>
      <c r="IQ15" s="670"/>
      <c r="IR15" s="670"/>
      <c r="IS15" s="670"/>
      <c r="IT15" s="670"/>
      <c r="IU15" s="670"/>
      <c r="IV15" s="670"/>
      <c r="IW15" s="670"/>
      <c r="IX15" s="670"/>
      <c r="IY15" s="670"/>
      <c r="IZ15" s="670"/>
      <c r="JA15" s="670"/>
      <c r="JB15" s="670"/>
      <c r="JC15" s="670"/>
      <c r="JD15" s="670"/>
      <c r="JE15" s="670"/>
      <c r="JF15" s="670"/>
      <c r="JG15" s="670"/>
      <c r="JH15" s="670"/>
      <c r="JI15" s="670"/>
      <c r="JJ15" s="670"/>
      <c r="JK15" s="670"/>
      <c r="JL15" s="670"/>
      <c r="JM15" s="670">
        <v>180</v>
      </c>
      <c r="JN15" s="670">
        <v>140.044995</v>
      </c>
      <c r="JO15" s="670">
        <v>39.955005</v>
      </c>
      <c r="JP15" s="670">
        <v>0</v>
      </c>
      <c r="JQ15" s="670">
        <v>155.60554999999999</v>
      </c>
      <c r="JR15" s="670">
        <v>94.394450000000006</v>
      </c>
      <c r="JS15" s="670"/>
      <c r="JT15" s="670"/>
      <c r="JU15" s="670"/>
      <c r="JV15" s="670">
        <v>0</v>
      </c>
      <c r="JW15" s="670">
        <v>140.044995</v>
      </c>
      <c r="JX15" s="670">
        <v>4.9550049999999999</v>
      </c>
      <c r="JY15" s="670">
        <v>20</v>
      </c>
      <c r="JZ15" s="670">
        <v>155.60554999999999</v>
      </c>
      <c r="KA15" s="670">
        <v>5.0144500000000107</v>
      </c>
      <c r="KB15" s="670">
        <v>0</v>
      </c>
      <c r="KC15" s="670">
        <v>124.48444000000001</v>
      </c>
      <c r="KD15" s="670">
        <v>8.0115600000000029</v>
      </c>
      <c r="KE15" s="670"/>
      <c r="KF15" s="670"/>
      <c r="KG15" s="670"/>
      <c r="KH15" s="670"/>
      <c r="KI15" s="670"/>
      <c r="KJ15" s="670"/>
      <c r="KK15" s="670"/>
      <c r="KL15" s="670"/>
      <c r="KM15" s="670"/>
      <c r="KN15" s="670">
        <v>0</v>
      </c>
      <c r="KO15" s="670">
        <v>140.044995</v>
      </c>
      <c r="KP15" s="670">
        <v>41.513004999999993</v>
      </c>
      <c r="KQ15" s="670">
        <v>0</v>
      </c>
      <c r="KR15" s="670">
        <v>155.60554999999999</v>
      </c>
      <c r="KS15" s="670">
        <v>5.0144500000000107</v>
      </c>
      <c r="KT15" s="670">
        <v>0</v>
      </c>
      <c r="KU15" s="670">
        <v>124.48444000000001</v>
      </c>
      <c r="KV15" s="670">
        <v>155.51555999999999</v>
      </c>
      <c r="KW15" s="670">
        <v>0</v>
      </c>
      <c r="KX15" s="670">
        <v>140.044995</v>
      </c>
      <c r="KY15" s="670">
        <v>17.513004999999993</v>
      </c>
      <c r="KZ15" s="670">
        <v>170</v>
      </c>
      <c r="LA15" s="670">
        <v>155.60554999999999</v>
      </c>
      <c r="LB15" s="670">
        <v>14.394450000000006</v>
      </c>
      <c r="LC15" s="670">
        <v>0</v>
      </c>
      <c r="LD15" s="670">
        <v>124.48444000000001</v>
      </c>
      <c r="LE15" s="670">
        <v>85.515559999999994</v>
      </c>
      <c r="LF15" s="670">
        <v>30</v>
      </c>
      <c r="LG15" s="670">
        <v>4</v>
      </c>
      <c r="LH15" s="670">
        <v>26</v>
      </c>
      <c r="LI15" s="670">
        <v>6</v>
      </c>
      <c r="LJ15" s="670">
        <v>5</v>
      </c>
      <c r="LK15" s="670">
        <v>1</v>
      </c>
      <c r="LL15" s="670">
        <v>0</v>
      </c>
      <c r="LM15" s="670">
        <v>124.48444000000001</v>
      </c>
      <c r="LN15" s="670">
        <v>25.515559999999994</v>
      </c>
      <c r="LO15" s="670"/>
      <c r="LP15" s="670"/>
      <c r="LQ15" s="670"/>
      <c r="LR15" s="670">
        <v>1440</v>
      </c>
      <c r="LS15" s="670">
        <v>0</v>
      </c>
      <c r="LT15" s="670">
        <v>883.72</v>
      </c>
      <c r="LU15" s="670">
        <v>180</v>
      </c>
      <c r="LV15" s="670">
        <v>0</v>
      </c>
      <c r="LW15" s="670">
        <v>567</v>
      </c>
      <c r="LX15" s="670">
        <v>36</v>
      </c>
      <c r="LY15" s="670">
        <v>0</v>
      </c>
      <c r="LZ15" s="670">
        <v>52.247999999999998</v>
      </c>
      <c r="MA15" s="670">
        <v>18</v>
      </c>
      <c r="MB15" s="670">
        <v>0</v>
      </c>
      <c r="MC15" s="670">
        <v>30</v>
      </c>
      <c r="MD15" s="670">
        <v>10.8</v>
      </c>
      <c r="ME15" s="670">
        <v>0</v>
      </c>
      <c r="MF15" s="670">
        <v>16.574400000000001</v>
      </c>
      <c r="MG15" s="670">
        <v>54</v>
      </c>
      <c r="MH15" s="670">
        <v>93.363330000000005</v>
      </c>
      <c r="MI15" s="670">
        <v>90.636669999999995</v>
      </c>
      <c r="MJ15" s="670">
        <v>18</v>
      </c>
      <c r="MK15" s="670">
        <v>0</v>
      </c>
      <c r="ML15" s="670">
        <v>96.878889999999998</v>
      </c>
      <c r="MM15" s="670">
        <v>18</v>
      </c>
      <c r="MN15" s="670">
        <v>0</v>
      </c>
      <c r="MO15" s="670">
        <v>96.878889999999998</v>
      </c>
      <c r="MP15" s="670">
        <v>21.6</v>
      </c>
      <c r="MQ15" s="670">
        <v>0</v>
      </c>
      <c r="MR15" s="670">
        <v>101.254668</v>
      </c>
      <c r="MS15" s="670">
        <v>14.4</v>
      </c>
      <c r="MT15" s="670">
        <v>24.896888000000001</v>
      </c>
      <c r="MU15" s="670">
        <v>96.002312000000003</v>
      </c>
      <c r="MV15" s="670"/>
      <c r="MW15" s="670"/>
      <c r="MX15" s="670"/>
      <c r="MY15" s="670"/>
      <c r="MZ15" s="670"/>
      <c r="NA15" s="670"/>
      <c r="NB15" s="670"/>
      <c r="NC15" s="670"/>
      <c r="ND15" s="670"/>
      <c r="NE15" s="670">
        <v>900</v>
      </c>
      <c r="NF15" s="670">
        <v>1556.0554999999999</v>
      </c>
      <c r="NG15" s="670">
        <v>99343.944499999998</v>
      </c>
      <c r="NH15" s="670">
        <v>360</v>
      </c>
      <c r="NI15" s="670">
        <v>622.42219999999998</v>
      </c>
      <c r="NJ15" s="670">
        <v>737.57780000000002</v>
      </c>
      <c r="NK15" s="670">
        <v>360</v>
      </c>
      <c r="NL15" s="670">
        <v>0</v>
      </c>
      <c r="NM15" s="670">
        <v>560</v>
      </c>
      <c r="NN15" s="670">
        <v>14.4</v>
      </c>
      <c r="NO15" s="670">
        <v>0</v>
      </c>
      <c r="NP15" s="670">
        <v>122.4</v>
      </c>
      <c r="NQ15" s="670">
        <v>14.4</v>
      </c>
      <c r="NR15" s="670">
        <v>0</v>
      </c>
      <c r="NS15" s="670">
        <v>44.4</v>
      </c>
      <c r="NT15" s="670">
        <v>14.4</v>
      </c>
      <c r="NU15" s="670">
        <v>0</v>
      </c>
      <c r="NV15" s="670">
        <v>30.4</v>
      </c>
      <c r="NW15" s="670">
        <v>18</v>
      </c>
      <c r="NX15" s="670">
        <v>0</v>
      </c>
      <c r="NY15" s="670">
        <v>128</v>
      </c>
      <c r="NZ15" s="670"/>
      <c r="OA15" s="670"/>
      <c r="OB15" s="670"/>
      <c r="OC15" s="670"/>
      <c r="OD15" s="670"/>
      <c r="OE15" s="670"/>
      <c r="OF15" s="670"/>
      <c r="OG15" s="670"/>
      <c r="OH15" s="670"/>
      <c r="OI15" s="670"/>
      <c r="OJ15" s="670"/>
      <c r="OK15" s="670"/>
      <c r="OL15" s="670"/>
      <c r="OM15" s="670"/>
      <c r="ON15" s="670"/>
      <c r="OO15" s="670"/>
      <c r="OP15" s="670"/>
      <c r="OQ15" s="670"/>
      <c r="OR15" s="670"/>
      <c r="OS15" s="670"/>
      <c r="OT15" s="670"/>
      <c r="OU15" s="670"/>
      <c r="OV15" s="670"/>
      <c r="OW15" s="670"/>
      <c r="OX15" s="670"/>
      <c r="OY15" s="670"/>
      <c r="OZ15" s="670"/>
      <c r="PA15" s="670"/>
      <c r="PB15" s="670"/>
      <c r="PC15" s="670"/>
      <c r="PD15" s="670"/>
      <c r="PE15" s="670"/>
      <c r="PF15" s="670"/>
      <c r="PG15" s="670"/>
      <c r="PH15" s="670"/>
      <c r="PI15" s="670"/>
      <c r="PJ15" s="670"/>
      <c r="PK15" s="670"/>
      <c r="PL15" s="670"/>
      <c r="PM15" s="670"/>
      <c r="PN15" s="670"/>
      <c r="PO15" s="670"/>
      <c r="PP15" s="670"/>
      <c r="PQ15" s="670"/>
      <c r="PR15" s="670"/>
      <c r="PS15" s="670"/>
      <c r="PT15" s="670"/>
      <c r="PU15" s="670"/>
      <c r="PV15" s="670"/>
      <c r="PW15" s="670"/>
      <c r="PX15" s="670"/>
      <c r="PY15" s="670"/>
      <c r="PZ15" s="670"/>
      <c r="QA15" s="670"/>
      <c r="QB15" s="670"/>
      <c r="QC15" s="670"/>
      <c r="QD15" s="670"/>
    </row>
    <row r="16" spans="1:446" s="673" customFormat="1" ht="14.1" customHeight="1" x14ac:dyDescent="0.25">
      <c r="A16" s="678">
        <v>1</v>
      </c>
      <c r="B16" s="676">
        <v>45112</v>
      </c>
      <c r="C16" s="674"/>
      <c r="D16" s="674"/>
      <c r="E16" s="674"/>
      <c r="F16" s="670"/>
      <c r="G16" s="670"/>
      <c r="H16" s="670"/>
      <c r="I16" s="670"/>
      <c r="J16" s="670"/>
      <c r="K16" s="670"/>
      <c r="L16" s="670"/>
      <c r="M16" s="670"/>
      <c r="N16" s="670"/>
      <c r="O16" s="670"/>
      <c r="P16" s="670"/>
      <c r="Q16" s="670"/>
      <c r="R16" s="670"/>
      <c r="S16" s="670"/>
      <c r="T16" s="670"/>
      <c r="U16" s="670"/>
      <c r="V16" s="670"/>
      <c r="W16" s="670"/>
      <c r="X16" s="670"/>
      <c r="Y16" s="670"/>
      <c r="Z16" s="670"/>
      <c r="AA16" s="670">
        <v>0</v>
      </c>
      <c r="AB16" s="670">
        <v>7.5039999999999996</v>
      </c>
      <c r="AC16" s="670">
        <v>139.49600000000001</v>
      </c>
      <c r="AD16" s="670"/>
      <c r="AE16" s="670"/>
      <c r="AF16" s="670"/>
      <c r="AG16" s="670">
        <v>0</v>
      </c>
      <c r="AH16" s="670">
        <v>11.256</v>
      </c>
      <c r="AI16" s="670">
        <v>148.744</v>
      </c>
      <c r="AJ16" s="670"/>
      <c r="AK16" s="670"/>
      <c r="AL16" s="670"/>
      <c r="AM16" s="670"/>
      <c r="AN16" s="670"/>
      <c r="AO16" s="670"/>
      <c r="AP16" s="670">
        <v>0</v>
      </c>
      <c r="AQ16" s="670">
        <v>13.132</v>
      </c>
      <c r="AR16" s="670">
        <v>569.02023000000008</v>
      </c>
      <c r="AS16" s="670">
        <v>0</v>
      </c>
      <c r="AT16" s="670">
        <v>0.93799999999999994</v>
      </c>
      <c r="AU16" s="670">
        <v>313.50144499999999</v>
      </c>
      <c r="AV16" s="670">
        <v>0</v>
      </c>
      <c r="AW16" s="670">
        <v>5.6280000000000001</v>
      </c>
      <c r="AX16" s="670">
        <v>301.00867</v>
      </c>
      <c r="AY16" s="670">
        <v>0</v>
      </c>
      <c r="AZ16" s="670">
        <v>1.8759999999999999</v>
      </c>
      <c r="BA16" s="670">
        <v>108.124</v>
      </c>
      <c r="BB16" s="670"/>
      <c r="BC16" s="670"/>
      <c r="BD16" s="670"/>
      <c r="BE16" s="670"/>
      <c r="BF16" s="670"/>
      <c r="BG16" s="670"/>
      <c r="BH16" s="670"/>
      <c r="BI16" s="670"/>
      <c r="BJ16" s="670"/>
      <c r="BK16" s="670"/>
      <c r="BL16" s="670"/>
      <c r="BM16" s="670"/>
      <c r="BN16" s="670"/>
      <c r="BO16" s="670"/>
      <c r="BP16" s="670"/>
      <c r="BQ16" s="670"/>
      <c r="BR16" s="670"/>
      <c r="BS16" s="670"/>
      <c r="BT16" s="670"/>
      <c r="BU16" s="670"/>
      <c r="BV16" s="670"/>
      <c r="BW16" s="670"/>
      <c r="BX16" s="670"/>
      <c r="BY16" s="670"/>
      <c r="BZ16" s="670"/>
      <c r="CA16" s="670"/>
      <c r="CB16" s="670"/>
      <c r="CC16" s="670"/>
      <c r="CD16" s="670"/>
      <c r="CE16" s="670"/>
      <c r="CF16" s="670"/>
      <c r="CG16" s="670"/>
      <c r="CH16" s="670"/>
      <c r="CI16" s="670">
        <v>0</v>
      </c>
      <c r="CJ16" s="670">
        <v>1.8759999999999999</v>
      </c>
      <c r="CK16" s="670">
        <v>8.1240000000000006</v>
      </c>
      <c r="CL16" s="670">
        <v>0</v>
      </c>
      <c r="CM16" s="670">
        <v>0.75039999999999996</v>
      </c>
      <c r="CN16" s="670">
        <v>23.249600000000001</v>
      </c>
      <c r="CO16" s="670">
        <v>0</v>
      </c>
      <c r="CP16" s="670">
        <v>1.3131999999999999</v>
      </c>
      <c r="CQ16" s="670">
        <v>105.68680000000001</v>
      </c>
      <c r="CR16" s="670"/>
      <c r="CS16" s="670"/>
      <c r="CT16" s="670"/>
      <c r="CU16" s="670"/>
      <c r="CV16" s="670"/>
      <c r="CW16" s="670"/>
      <c r="CX16" s="670"/>
      <c r="CY16" s="670"/>
      <c r="CZ16" s="670"/>
      <c r="DA16" s="670"/>
      <c r="DB16" s="670"/>
      <c r="DC16" s="670"/>
      <c r="DD16" s="670"/>
      <c r="DE16" s="670"/>
      <c r="DF16" s="670"/>
      <c r="DG16" s="670"/>
      <c r="DH16" s="670"/>
      <c r="DI16" s="670"/>
      <c r="DJ16" s="670"/>
      <c r="DK16" s="670"/>
      <c r="DL16" s="670"/>
      <c r="DM16" s="670"/>
      <c r="DN16" s="670"/>
      <c r="DO16" s="670"/>
      <c r="DP16" s="670"/>
      <c r="DQ16" s="670"/>
      <c r="DR16" s="670"/>
      <c r="DS16" s="670"/>
      <c r="DT16" s="670"/>
      <c r="DU16" s="670"/>
      <c r="DV16" s="670"/>
      <c r="DW16" s="670"/>
      <c r="DX16" s="670"/>
      <c r="DY16" s="670"/>
      <c r="DZ16" s="670"/>
      <c r="EA16" s="670"/>
      <c r="EB16" s="670"/>
      <c r="EC16" s="670"/>
      <c r="ED16" s="670"/>
      <c r="EE16" s="670"/>
      <c r="EF16" s="670"/>
      <c r="EG16" s="670"/>
      <c r="EH16" s="670"/>
      <c r="EI16" s="670"/>
      <c r="EJ16" s="670"/>
      <c r="EK16" s="670"/>
      <c r="EL16" s="670"/>
      <c r="EM16" s="670"/>
      <c r="EN16" s="670"/>
      <c r="EO16" s="670"/>
      <c r="EP16" s="670"/>
      <c r="EQ16" s="670"/>
      <c r="ER16" s="670"/>
      <c r="ES16" s="670"/>
      <c r="ET16" s="670"/>
      <c r="EU16" s="670"/>
      <c r="EV16" s="670"/>
      <c r="EW16" s="670"/>
      <c r="EX16" s="670"/>
      <c r="EY16" s="670"/>
      <c r="EZ16" s="670"/>
      <c r="FA16" s="670"/>
      <c r="FB16" s="670"/>
      <c r="FC16" s="670"/>
      <c r="FD16" s="670"/>
      <c r="FE16" s="670"/>
      <c r="FF16" s="670"/>
      <c r="FG16" s="670"/>
      <c r="FH16" s="670"/>
      <c r="FI16" s="670"/>
      <c r="FJ16" s="670"/>
      <c r="FK16" s="670"/>
      <c r="FL16" s="670"/>
      <c r="FM16" s="670"/>
      <c r="FN16" s="670"/>
      <c r="FO16" s="670"/>
      <c r="FP16" s="670"/>
      <c r="FQ16" s="670"/>
      <c r="FR16" s="670"/>
      <c r="FS16" s="670"/>
      <c r="FT16" s="670"/>
      <c r="FU16" s="670"/>
      <c r="FV16" s="670"/>
      <c r="FW16" s="670"/>
      <c r="FX16" s="670"/>
      <c r="FY16" s="670"/>
      <c r="FZ16" s="670"/>
      <c r="GA16" s="670"/>
      <c r="GB16" s="670"/>
      <c r="GC16" s="670"/>
      <c r="GD16" s="670"/>
      <c r="GE16" s="670"/>
      <c r="GF16" s="670"/>
      <c r="GG16" s="670"/>
      <c r="GH16" s="670"/>
      <c r="GI16" s="670"/>
      <c r="GJ16" s="670"/>
      <c r="GK16" s="670"/>
      <c r="GL16" s="670"/>
      <c r="GM16" s="670"/>
      <c r="GN16" s="670"/>
      <c r="GO16" s="670"/>
      <c r="GP16" s="670"/>
      <c r="GQ16" s="670"/>
      <c r="GR16" s="670"/>
      <c r="GS16" s="670"/>
      <c r="GT16" s="670"/>
      <c r="GU16" s="670"/>
      <c r="GV16" s="670"/>
      <c r="GW16" s="670"/>
      <c r="GX16" s="670"/>
      <c r="GY16" s="670"/>
      <c r="GZ16" s="670"/>
      <c r="HA16" s="670"/>
      <c r="HB16" s="670"/>
      <c r="HC16" s="670"/>
      <c r="HD16" s="670"/>
      <c r="HE16" s="670"/>
      <c r="HF16" s="670"/>
      <c r="HG16" s="670"/>
      <c r="HH16" s="670"/>
      <c r="HI16" s="670"/>
      <c r="HJ16" s="670"/>
      <c r="HK16" s="670"/>
      <c r="HL16" s="670"/>
      <c r="HM16" s="670"/>
      <c r="HN16" s="670"/>
      <c r="HO16" s="670"/>
      <c r="HP16" s="670"/>
      <c r="HQ16" s="670"/>
      <c r="HR16" s="670"/>
      <c r="HS16" s="670"/>
      <c r="HT16" s="670"/>
      <c r="HU16" s="670"/>
      <c r="HV16" s="670"/>
      <c r="HW16" s="670"/>
      <c r="HX16" s="670"/>
      <c r="HY16" s="670"/>
      <c r="HZ16" s="670"/>
      <c r="IA16" s="670"/>
      <c r="IB16" s="670"/>
      <c r="IC16" s="670"/>
      <c r="ID16" s="670"/>
      <c r="IE16" s="670"/>
      <c r="IF16" s="670"/>
      <c r="IG16" s="670"/>
      <c r="IH16" s="670"/>
      <c r="II16" s="670"/>
      <c r="IJ16" s="670"/>
      <c r="IK16" s="670"/>
      <c r="IL16" s="670"/>
      <c r="IM16" s="670"/>
      <c r="IN16" s="670"/>
      <c r="IO16" s="670"/>
      <c r="IP16" s="670"/>
      <c r="IQ16" s="670"/>
      <c r="IR16" s="670"/>
      <c r="IS16" s="670"/>
      <c r="IT16" s="670"/>
      <c r="IU16" s="670"/>
      <c r="IV16" s="670"/>
      <c r="IW16" s="670"/>
      <c r="IX16" s="670"/>
      <c r="IY16" s="670"/>
      <c r="IZ16" s="670"/>
      <c r="JA16" s="670"/>
      <c r="JB16" s="670"/>
      <c r="JC16" s="670"/>
      <c r="JD16" s="670"/>
      <c r="JE16" s="670"/>
      <c r="JF16" s="670"/>
      <c r="JG16" s="670"/>
      <c r="JH16" s="670"/>
      <c r="JI16" s="670"/>
      <c r="JJ16" s="670"/>
      <c r="JK16" s="670"/>
      <c r="JL16" s="670"/>
      <c r="JM16" s="670"/>
      <c r="JN16" s="670"/>
      <c r="JO16" s="670"/>
      <c r="JP16" s="670"/>
      <c r="JQ16" s="670"/>
      <c r="JR16" s="670"/>
      <c r="JS16" s="670"/>
      <c r="JT16" s="670"/>
      <c r="JU16" s="670"/>
      <c r="JV16" s="670"/>
      <c r="JW16" s="670"/>
      <c r="JX16" s="670"/>
      <c r="JY16" s="670"/>
      <c r="JZ16" s="670"/>
      <c r="KA16" s="670"/>
      <c r="KB16" s="670"/>
      <c r="KC16" s="670"/>
      <c r="KD16" s="670"/>
      <c r="KE16" s="670"/>
      <c r="KF16" s="670"/>
      <c r="KG16" s="670"/>
      <c r="KH16" s="670"/>
      <c r="KI16" s="670"/>
      <c r="KJ16" s="670"/>
      <c r="KK16" s="670"/>
      <c r="KL16" s="670"/>
      <c r="KM16" s="670"/>
      <c r="KN16" s="670"/>
      <c r="KO16" s="670"/>
      <c r="KP16" s="670"/>
      <c r="KQ16" s="670"/>
      <c r="KR16" s="670"/>
      <c r="KS16" s="670"/>
      <c r="KT16" s="670"/>
      <c r="KU16" s="670"/>
      <c r="KV16" s="670"/>
      <c r="KW16" s="670"/>
      <c r="KX16" s="670"/>
      <c r="KY16" s="670"/>
      <c r="KZ16" s="670"/>
      <c r="LA16" s="670"/>
      <c r="LB16" s="670"/>
      <c r="LC16" s="670"/>
      <c r="LD16" s="670"/>
      <c r="LE16" s="670"/>
      <c r="LF16" s="670"/>
      <c r="LG16" s="670"/>
      <c r="LH16" s="670"/>
      <c r="LI16" s="670"/>
      <c r="LJ16" s="670"/>
      <c r="LK16" s="670"/>
      <c r="LL16" s="670"/>
      <c r="LM16" s="670"/>
      <c r="LN16" s="670"/>
      <c r="LO16" s="670"/>
      <c r="LP16" s="670"/>
      <c r="LQ16" s="670"/>
      <c r="LR16" s="670"/>
      <c r="LS16" s="670"/>
      <c r="LT16" s="670"/>
      <c r="LU16" s="670"/>
      <c r="LV16" s="670"/>
      <c r="LW16" s="670"/>
      <c r="LX16" s="670"/>
      <c r="LY16" s="670"/>
      <c r="LZ16" s="670"/>
      <c r="MA16" s="670"/>
      <c r="MB16" s="670"/>
      <c r="MC16" s="670"/>
      <c r="MD16" s="670"/>
      <c r="ME16" s="670"/>
      <c r="MF16" s="670"/>
      <c r="MG16" s="670"/>
      <c r="MH16" s="670"/>
      <c r="MI16" s="670"/>
      <c r="MJ16" s="670"/>
      <c r="MK16" s="670"/>
      <c r="ML16" s="670"/>
      <c r="MM16" s="670"/>
      <c r="MN16" s="670"/>
      <c r="MO16" s="670"/>
      <c r="MP16" s="670"/>
      <c r="MQ16" s="670"/>
      <c r="MR16" s="670"/>
      <c r="MS16" s="670"/>
      <c r="MT16" s="670"/>
      <c r="MU16" s="670"/>
      <c r="MV16" s="670"/>
      <c r="MW16" s="670"/>
      <c r="MX16" s="670"/>
      <c r="MY16" s="670"/>
      <c r="MZ16" s="670"/>
      <c r="NA16" s="670"/>
      <c r="NB16" s="670"/>
      <c r="NC16" s="670"/>
      <c r="ND16" s="670"/>
      <c r="NE16" s="670"/>
      <c r="NF16" s="670"/>
      <c r="NG16" s="670"/>
      <c r="NH16" s="670"/>
      <c r="NI16" s="670"/>
      <c r="NJ16" s="670"/>
      <c r="NK16" s="670"/>
      <c r="NL16" s="670"/>
      <c r="NM16" s="670"/>
      <c r="NN16" s="670"/>
      <c r="NO16" s="670"/>
      <c r="NP16" s="670"/>
      <c r="NQ16" s="670"/>
      <c r="NR16" s="670"/>
      <c r="NS16" s="670"/>
      <c r="NT16" s="670"/>
      <c r="NU16" s="670"/>
      <c r="NV16" s="670"/>
      <c r="NW16" s="670"/>
      <c r="NX16" s="670"/>
      <c r="NY16" s="670"/>
      <c r="NZ16" s="670"/>
      <c r="OA16" s="670"/>
      <c r="OB16" s="670"/>
      <c r="OC16" s="670"/>
      <c r="OD16" s="670"/>
      <c r="OE16" s="670"/>
      <c r="OF16" s="670"/>
      <c r="OG16" s="670"/>
      <c r="OH16" s="670"/>
      <c r="OI16" s="670"/>
      <c r="OJ16" s="670"/>
      <c r="OK16" s="670"/>
      <c r="OL16" s="670"/>
      <c r="OM16" s="670"/>
      <c r="ON16" s="670"/>
      <c r="OO16" s="670"/>
      <c r="OP16" s="670"/>
      <c r="OQ16" s="670"/>
      <c r="OR16" s="670"/>
      <c r="OS16" s="670"/>
      <c r="OT16" s="670"/>
      <c r="OU16" s="670"/>
      <c r="OV16" s="670"/>
      <c r="OW16" s="670"/>
      <c r="OX16" s="670"/>
      <c r="OY16" s="670"/>
      <c r="OZ16" s="670"/>
      <c r="PA16" s="670"/>
      <c r="PB16" s="670"/>
      <c r="PC16" s="670"/>
      <c r="PD16" s="670"/>
      <c r="PE16" s="670"/>
      <c r="PF16" s="670"/>
      <c r="PG16" s="670"/>
      <c r="PH16" s="670"/>
      <c r="PI16" s="670"/>
      <c r="PJ16" s="670"/>
      <c r="PK16" s="670"/>
      <c r="PL16" s="670"/>
      <c r="PM16" s="670"/>
      <c r="PN16" s="670"/>
      <c r="PO16" s="670"/>
      <c r="PP16" s="670"/>
      <c r="PQ16" s="670"/>
      <c r="PR16" s="670"/>
      <c r="PS16" s="670"/>
      <c r="PT16" s="670"/>
      <c r="PU16" s="670"/>
      <c r="PV16" s="670"/>
      <c r="PW16" s="670"/>
      <c r="PX16" s="670"/>
      <c r="PY16" s="670"/>
      <c r="PZ16" s="670"/>
      <c r="QA16" s="670"/>
      <c r="QB16" s="670"/>
      <c r="QC16" s="670"/>
      <c r="QD16" s="670"/>
    </row>
    <row r="17" spans="1:446" s="673" customFormat="1" ht="14.1" customHeight="1" x14ac:dyDescent="0.25">
      <c r="A17" s="678">
        <v>1</v>
      </c>
      <c r="B17" s="676">
        <v>45113</v>
      </c>
      <c r="C17" s="674"/>
      <c r="D17" s="674"/>
      <c r="E17" s="674"/>
      <c r="F17" s="670"/>
      <c r="G17" s="670"/>
      <c r="H17" s="670"/>
      <c r="I17" s="670"/>
      <c r="J17" s="670"/>
      <c r="K17" s="670"/>
      <c r="L17" s="670"/>
      <c r="M17" s="670"/>
      <c r="N17" s="670"/>
      <c r="O17" s="670"/>
      <c r="P17" s="670"/>
      <c r="Q17" s="670"/>
      <c r="R17" s="670"/>
      <c r="S17" s="670"/>
      <c r="T17" s="670"/>
      <c r="U17" s="670"/>
      <c r="V17" s="670"/>
      <c r="W17" s="670"/>
      <c r="X17" s="670"/>
      <c r="Y17" s="670"/>
      <c r="Z17" s="670"/>
      <c r="AA17" s="670"/>
      <c r="AB17" s="670"/>
      <c r="AC17" s="670"/>
      <c r="AD17" s="670">
        <v>0</v>
      </c>
      <c r="AE17" s="670">
        <v>10.318</v>
      </c>
      <c r="AF17" s="670">
        <v>144.68199999999999</v>
      </c>
      <c r="AG17" s="670"/>
      <c r="AH17" s="670"/>
      <c r="AI17" s="670"/>
      <c r="AJ17" s="670"/>
      <c r="AK17" s="670"/>
      <c r="AL17" s="670"/>
      <c r="AM17" s="670"/>
      <c r="AN17" s="670"/>
      <c r="AO17" s="670"/>
      <c r="AP17" s="670"/>
      <c r="AQ17" s="670"/>
      <c r="AR17" s="670"/>
      <c r="AS17" s="670"/>
      <c r="AT17" s="670"/>
      <c r="AU17" s="670"/>
      <c r="AV17" s="670"/>
      <c r="AW17" s="670"/>
      <c r="AX17" s="670"/>
      <c r="AY17" s="670"/>
      <c r="AZ17" s="670"/>
      <c r="BA17" s="670"/>
      <c r="BB17" s="670"/>
      <c r="BC17" s="670"/>
      <c r="BD17" s="670"/>
      <c r="BE17" s="670"/>
      <c r="BF17" s="670"/>
      <c r="BG17" s="670"/>
      <c r="BH17" s="670"/>
      <c r="BI17" s="670"/>
      <c r="BJ17" s="670"/>
      <c r="BK17" s="670"/>
      <c r="BL17" s="670"/>
      <c r="BM17" s="670"/>
      <c r="BN17" s="670"/>
      <c r="BO17" s="670"/>
      <c r="BP17" s="670"/>
      <c r="BQ17" s="670"/>
      <c r="BR17" s="670"/>
      <c r="BS17" s="670"/>
      <c r="BT17" s="670"/>
      <c r="BU17" s="670"/>
      <c r="BV17" s="670"/>
      <c r="BW17" s="670"/>
      <c r="BX17" s="670"/>
      <c r="BY17" s="670"/>
      <c r="BZ17" s="670"/>
      <c r="CA17" s="670"/>
      <c r="CB17" s="670"/>
      <c r="CC17" s="670"/>
      <c r="CD17" s="670"/>
      <c r="CE17" s="670"/>
      <c r="CF17" s="670"/>
      <c r="CG17" s="670"/>
      <c r="CH17" s="670"/>
      <c r="CI17" s="670"/>
      <c r="CJ17" s="670"/>
      <c r="CK17" s="670"/>
      <c r="CL17" s="670"/>
      <c r="CM17" s="670"/>
      <c r="CN17" s="670"/>
      <c r="CO17" s="670"/>
      <c r="CP17" s="670"/>
      <c r="CQ17" s="670"/>
      <c r="CR17" s="670"/>
      <c r="CS17" s="670"/>
      <c r="CT17" s="670"/>
      <c r="CU17" s="670"/>
      <c r="CV17" s="670"/>
      <c r="CW17" s="670"/>
      <c r="CX17" s="670"/>
      <c r="CY17" s="670"/>
      <c r="CZ17" s="670"/>
      <c r="DA17" s="670"/>
      <c r="DB17" s="670"/>
      <c r="DC17" s="670"/>
      <c r="DD17" s="670"/>
      <c r="DE17" s="670"/>
      <c r="DF17" s="670"/>
      <c r="DG17" s="670"/>
      <c r="DH17" s="670"/>
      <c r="DI17" s="670"/>
      <c r="DJ17" s="670"/>
      <c r="DK17" s="670"/>
      <c r="DL17" s="670"/>
      <c r="DM17" s="670"/>
      <c r="DN17" s="670"/>
      <c r="DO17" s="670"/>
      <c r="DP17" s="670"/>
      <c r="DQ17" s="670"/>
      <c r="DR17" s="670"/>
      <c r="DS17" s="670"/>
      <c r="DT17" s="670"/>
      <c r="DU17" s="670"/>
      <c r="DV17" s="670"/>
      <c r="DW17" s="670"/>
      <c r="DX17" s="670"/>
      <c r="DY17" s="670"/>
      <c r="DZ17" s="670"/>
      <c r="EA17" s="670"/>
      <c r="EB17" s="670"/>
      <c r="EC17" s="670"/>
      <c r="ED17" s="670"/>
      <c r="EE17" s="670"/>
      <c r="EF17" s="670"/>
      <c r="EG17" s="670"/>
      <c r="EH17" s="670"/>
      <c r="EI17" s="670"/>
      <c r="EJ17" s="670"/>
      <c r="EK17" s="670"/>
      <c r="EL17" s="670"/>
      <c r="EM17" s="670"/>
      <c r="EN17" s="670"/>
      <c r="EO17" s="670"/>
      <c r="EP17" s="670"/>
      <c r="EQ17" s="670"/>
      <c r="ER17" s="670"/>
      <c r="ES17" s="670"/>
      <c r="ET17" s="670"/>
      <c r="EU17" s="670"/>
      <c r="EV17" s="670"/>
      <c r="EW17" s="670"/>
      <c r="EX17" s="670"/>
      <c r="EY17" s="670"/>
      <c r="EZ17" s="670"/>
      <c r="FA17" s="670"/>
      <c r="FB17" s="670"/>
      <c r="FC17" s="670"/>
      <c r="FD17" s="670"/>
      <c r="FE17" s="670"/>
      <c r="FF17" s="670"/>
      <c r="FG17" s="670"/>
      <c r="FH17" s="670"/>
      <c r="FI17" s="670"/>
      <c r="FJ17" s="670"/>
      <c r="FK17" s="670"/>
      <c r="FL17" s="670"/>
      <c r="FM17" s="670"/>
      <c r="FN17" s="670"/>
      <c r="FO17" s="670"/>
      <c r="FP17" s="670"/>
      <c r="FQ17" s="670"/>
      <c r="FR17" s="670"/>
      <c r="FS17" s="670"/>
      <c r="FT17" s="670"/>
      <c r="FU17" s="670"/>
      <c r="FV17" s="670"/>
      <c r="FW17" s="670"/>
      <c r="FX17" s="670"/>
      <c r="FY17" s="670"/>
      <c r="FZ17" s="670"/>
      <c r="GA17" s="670"/>
      <c r="GB17" s="670"/>
      <c r="GC17" s="670"/>
      <c r="GD17" s="670"/>
      <c r="GE17" s="670"/>
      <c r="GF17" s="670"/>
      <c r="GG17" s="670"/>
      <c r="GH17" s="670"/>
      <c r="GI17" s="670"/>
      <c r="GJ17" s="670"/>
      <c r="GK17" s="670"/>
      <c r="GL17" s="670"/>
      <c r="GM17" s="670"/>
      <c r="GN17" s="670"/>
      <c r="GO17" s="670"/>
      <c r="GP17" s="670"/>
      <c r="GQ17" s="670"/>
      <c r="GR17" s="670"/>
      <c r="GS17" s="670"/>
      <c r="GT17" s="670"/>
      <c r="GU17" s="670"/>
      <c r="GV17" s="670"/>
      <c r="GW17" s="670"/>
      <c r="GX17" s="670"/>
      <c r="GY17" s="670"/>
      <c r="GZ17" s="670"/>
      <c r="HA17" s="670"/>
      <c r="HB17" s="670"/>
      <c r="HC17" s="670"/>
      <c r="HD17" s="670"/>
      <c r="HE17" s="670"/>
      <c r="HF17" s="670"/>
      <c r="HG17" s="670"/>
      <c r="HH17" s="670"/>
      <c r="HI17" s="670"/>
      <c r="HJ17" s="670"/>
      <c r="HK17" s="670"/>
      <c r="HL17" s="670"/>
      <c r="HM17" s="670"/>
      <c r="HN17" s="670"/>
      <c r="HO17" s="670"/>
      <c r="HP17" s="670"/>
      <c r="HQ17" s="670"/>
      <c r="HR17" s="670"/>
      <c r="HS17" s="670"/>
      <c r="HT17" s="670"/>
      <c r="HU17" s="670"/>
      <c r="HV17" s="670"/>
      <c r="HW17" s="670">
        <v>0</v>
      </c>
      <c r="HX17" s="670">
        <v>124.48444000000001</v>
      </c>
      <c r="HY17" s="670">
        <v>88.011560000000003</v>
      </c>
      <c r="HZ17" s="670"/>
      <c r="IA17" s="670"/>
      <c r="IB17" s="670"/>
      <c r="IC17" s="670"/>
      <c r="ID17" s="670"/>
      <c r="IE17" s="670"/>
      <c r="IF17" s="670"/>
      <c r="IG17" s="670"/>
      <c r="IH17" s="670"/>
      <c r="II17" s="670"/>
      <c r="IJ17" s="670"/>
      <c r="IK17" s="670"/>
      <c r="IL17" s="670"/>
      <c r="IM17" s="670"/>
      <c r="IN17" s="670"/>
      <c r="IO17" s="670"/>
      <c r="IP17" s="670"/>
      <c r="IQ17" s="670"/>
      <c r="IR17" s="670"/>
      <c r="IS17" s="670"/>
      <c r="IT17" s="670"/>
      <c r="IU17" s="670"/>
      <c r="IV17" s="670"/>
      <c r="IW17" s="670"/>
      <c r="IX17" s="670"/>
      <c r="IY17" s="670"/>
      <c r="IZ17" s="670"/>
      <c r="JA17" s="670"/>
      <c r="JB17" s="670"/>
      <c r="JC17" s="670"/>
      <c r="JD17" s="670"/>
      <c r="JE17" s="670"/>
      <c r="JF17" s="670"/>
      <c r="JG17" s="670"/>
      <c r="JH17" s="670"/>
      <c r="JI17" s="670"/>
      <c r="JJ17" s="670"/>
      <c r="JK17" s="670"/>
      <c r="JL17" s="670"/>
      <c r="JM17" s="670"/>
      <c r="JN17" s="670"/>
      <c r="JO17" s="670"/>
      <c r="JP17" s="670"/>
      <c r="JQ17" s="670"/>
      <c r="JR17" s="670"/>
      <c r="JS17" s="670"/>
      <c r="JT17" s="670"/>
      <c r="JU17" s="670"/>
      <c r="JV17" s="670"/>
      <c r="JW17" s="670"/>
      <c r="JX17" s="670"/>
      <c r="JY17" s="670"/>
      <c r="JZ17" s="670"/>
      <c r="KA17" s="670"/>
      <c r="KB17" s="670"/>
      <c r="KC17" s="670"/>
      <c r="KD17" s="670"/>
      <c r="KE17" s="670"/>
      <c r="KF17" s="670"/>
      <c r="KG17" s="670"/>
      <c r="KH17" s="670"/>
      <c r="KI17" s="670"/>
      <c r="KJ17" s="670"/>
      <c r="KK17" s="670"/>
      <c r="KL17" s="670"/>
      <c r="KM17" s="670"/>
      <c r="KN17" s="670"/>
      <c r="KO17" s="670"/>
      <c r="KP17" s="670"/>
      <c r="KQ17" s="670"/>
      <c r="KR17" s="670"/>
      <c r="KS17" s="670"/>
      <c r="KT17" s="670"/>
      <c r="KU17" s="670"/>
      <c r="KV17" s="670"/>
      <c r="KW17" s="670"/>
      <c r="KX17" s="670"/>
      <c r="KY17" s="670"/>
      <c r="KZ17" s="670"/>
      <c r="LA17" s="670"/>
      <c r="LB17" s="670"/>
      <c r="LC17" s="670"/>
      <c r="LD17" s="670"/>
      <c r="LE17" s="670"/>
      <c r="LF17" s="670"/>
      <c r="LG17" s="670"/>
      <c r="LH17" s="670"/>
      <c r="LI17" s="670"/>
      <c r="LJ17" s="670"/>
      <c r="LK17" s="670"/>
      <c r="LL17" s="670"/>
      <c r="LM17" s="670"/>
      <c r="LN17" s="670"/>
      <c r="LO17" s="670"/>
      <c r="LP17" s="670"/>
      <c r="LQ17" s="670"/>
      <c r="LR17" s="670"/>
      <c r="LS17" s="670"/>
      <c r="LT17" s="670"/>
      <c r="LU17" s="670"/>
      <c r="LV17" s="670"/>
      <c r="LW17" s="670"/>
      <c r="LX17" s="670"/>
      <c r="LY17" s="670"/>
      <c r="LZ17" s="670"/>
      <c r="MA17" s="670"/>
      <c r="MB17" s="670"/>
      <c r="MC17" s="670"/>
      <c r="MD17" s="670"/>
      <c r="ME17" s="670"/>
      <c r="MF17" s="670"/>
      <c r="MG17" s="670"/>
      <c r="MH17" s="670"/>
      <c r="MI17" s="670"/>
      <c r="MJ17" s="670"/>
      <c r="MK17" s="670"/>
      <c r="ML17" s="670"/>
      <c r="MM17" s="670"/>
      <c r="MN17" s="670"/>
      <c r="MO17" s="670"/>
      <c r="MP17" s="670"/>
      <c r="MQ17" s="670"/>
      <c r="MR17" s="670"/>
      <c r="MS17" s="670"/>
      <c r="MT17" s="670"/>
      <c r="MU17" s="670"/>
      <c r="MV17" s="670"/>
      <c r="MW17" s="670"/>
      <c r="MX17" s="670"/>
      <c r="MY17" s="670"/>
      <c r="MZ17" s="670"/>
      <c r="NA17" s="670"/>
      <c r="NB17" s="670"/>
      <c r="NC17" s="670"/>
      <c r="ND17" s="670"/>
      <c r="NE17" s="670"/>
      <c r="NF17" s="670"/>
      <c r="NG17" s="670"/>
      <c r="NH17" s="670"/>
      <c r="NI17" s="670"/>
      <c r="NJ17" s="670"/>
      <c r="NK17" s="670"/>
      <c r="NL17" s="670"/>
      <c r="NM17" s="670"/>
      <c r="NN17" s="670"/>
      <c r="NO17" s="670"/>
      <c r="NP17" s="670"/>
      <c r="NQ17" s="670"/>
      <c r="NR17" s="670"/>
      <c r="NS17" s="670"/>
      <c r="NT17" s="670"/>
      <c r="NU17" s="670"/>
      <c r="NV17" s="670"/>
      <c r="NW17" s="670"/>
      <c r="NX17" s="670"/>
      <c r="NY17" s="670"/>
      <c r="NZ17" s="670"/>
      <c r="OA17" s="670"/>
      <c r="OB17" s="670"/>
      <c r="OC17" s="670"/>
      <c r="OD17" s="670"/>
      <c r="OE17" s="670"/>
      <c r="OF17" s="670"/>
      <c r="OG17" s="670"/>
      <c r="OH17" s="670"/>
      <c r="OI17" s="670"/>
      <c r="OJ17" s="670"/>
      <c r="OK17" s="670"/>
      <c r="OL17" s="670"/>
      <c r="OM17" s="670"/>
      <c r="ON17" s="670"/>
      <c r="OO17" s="670"/>
      <c r="OP17" s="670"/>
      <c r="OQ17" s="670"/>
      <c r="OR17" s="670"/>
      <c r="OS17" s="670"/>
      <c r="OT17" s="670"/>
      <c r="OU17" s="670"/>
      <c r="OV17" s="670"/>
      <c r="OW17" s="670"/>
      <c r="OX17" s="670"/>
      <c r="OY17" s="670"/>
      <c r="OZ17" s="670"/>
      <c r="PA17" s="670"/>
      <c r="PB17" s="670"/>
      <c r="PC17" s="670"/>
      <c r="PD17" s="670"/>
      <c r="PE17" s="670"/>
      <c r="PF17" s="670"/>
      <c r="PG17" s="670"/>
      <c r="PH17" s="670"/>
      <c r="PI17" s="670"/>
      <c r="PJ17" s="670"/>
      <c r="PK17" s="670"/>
      <c r="PL17" s="670"/>
      <c r="PM17" s="670"/>
      <c r="PN17" s="670"/>
      <c r="PO17" s="670"/>
      <c r="PP17" s="670"/>
      <c r="PQ17" s="670"/>
      <c r="PR17" s="670"/>
      <c r="PS17" s="670"/>
      <c r="PT17" s="670"/>
      <c r="PU17" s="670"/>
      <c r="PV17" s="670"/>
      <c r="PW17" s="670"/>
      <c r="PX17" s="670"/>
      <c r="PY17" s="670"/>
      <c r="PZ17" s="670"/>
      <c r="QA17" s="670"/>
      <c r="QB17" s="670"/>
      <c r="QC17" s="670"/>
      <c r="QD17" s="670"/>
    </row>
    <row r="18" spans="1:446" s="673" customFormat="1" ht="14.1" customHeight="1" x14ac:dyDescent="0.25">
      <c r="A18" s="678">
        <v>1</v>
      </c>
      <c r="B18" s="676">
        <v>45114</v>
      </c>
      <c r="C18" s="674"/>
      <c r="D18" s="674"/>
      <c r="E18" s="674"/>
      <c r="F18" s="670"/>
      <c r="G18" s="670"/>
      <c r="H18" s="670"/>
      <c r="I18" s="670"/>
      <c r="J18" s="670"/>
      <c r="K18" s="670"/>
      <c r="L18" s="670"/>
      <c r="M18" s="670"/>
      <c r="N18" s="670"/>
      <c r="O18" s="670"/>
      <c r="P18" s="670"/>
      <c r="Q18" s="670"/>
      <c r="R18" s="670"/>
      <c r="S18" s="670"/>
      <c r="T18" s="670"/>
      <c r="U18" s="670"/>
      <c r="V18" s="670"/>
      <c r="W18" s="670"/>
      <c r="X18" s="670"/>
      <c r="Y18" s="670"/>
      <c r="Z18" s="670"/>
      <c r="AA18" s="670"/>
      <c r="AB18" s="670"/>
      <c r="AC18" s="670"/>
      <c r="AD18" s="670"/>
      <c r="AE18" s="670"/>
      <c r="AF18" s="670"/>
      <c r="AG18" s="670"/>
      <c r="AH18" s="670"/>
      <c r="AI18" s="670"/>
      <c r="AJ18" s="670"/>
      <c r="AK18" s="670"/>
      <c r="AL18" s="670"/>
      <c r="AM18" s="670"/>
      <c r="AN18" s="670"/>
      <c r="AO18" s="670"/>
      <c r="AP18" s="670"/>
      <c r="AQ18" s="670"/>
      <c r="AR18" s="670"/>
      <c r="AS18" s="670"/>
      <c r="AT18" s="670"/>
      <c r="AU18" s="670"/>
      <c r="AV18" s="670"/>
      <c r="AW18" s="670"/>
      <c r="AX18" s="670"/>
      <c r="AY18" s="670"/>
      <c r="AZ18" s="670"/>
      <c r="BA18" s="670"/>
      <c r="BB18" s="670"/>
      <c r="BC18" s="670"/>
      <c r="BD18" s="670"/>
      <c r="BE18" s="670"/>
      <c r="BF18" s="670"/>
      <c r="BG18" s="670"/>
      <c r="BH18" s="670"/>
      <c r="BI18" s="670"/>
      <c r="BJ18" s="670"/>
      <c r="BK18" s="670"/>
      <c r="BL18" s="670"/>
      <c r="BM18" s="670"/>
      <c r="BN18" s="670"/>
      <c r="BO18" s="670"/>
      <c r="BP18" s="670"/>
      <c r="BQ18" s="670"/>
      <c r="BR18" s="670"/>
      <c r="BS18" s="670"/>
      <c r="BT18" s="670"/>
      <c r="BU18" s="670"/>
      <c r="BV18" s="670"/>
      <c r="BW18" s="670"/>
      <c r="BX18" s="670"/>
      <c r="BY18" s="670"/>
      <c r="BZ18" s="670"/>
      <c r="CA18" s="670"/>
      <c r="CB18" s="670"/>
      <c r="CC18" s="670"/>
      <c r="CD18" s="670"/>
      <c r="CE18" s="670"/>
      <c r="CF18" s="670"/>
      <c r="CG18" s="670"/>
      <c r="CH18" s="670"/>
      <c r="CI18" s="670"/>
      <c r="CJ18" s="670"/>
      <c r="CK18" s="670"/>
      <c r="CL18" s="670"/>
      <c r="CM18" s="670"/>
      <c r="CN18" s="670"/>
      <c r="CO18" s="670"/>
      <c r="CP18" s="670"/>
      <c r="CQ18" s="670"/>
      <c r="CR18" s="670"/>
      <c r="CS18" s="670"/>
      <c r="CT18" s="670"/>
      <c r="CU18" s="670"/>
      <c r="CV18" s="670"/>
      <c r="CW18" s="670"/>
      <c r="CX18" s="670"/>
      <c r="CY18" s="670"/>
      <c r="CZ18" s="670"/>
      <c r="DA18" s="670"/>
      <c r="DB18" s="670"/>
      <c r="DC18" s="670"/>
      <c r="DD18" s="670"/>
      <c r="DE18" s="670"/>
      <c r="DF18" s="670"/>
      <c r="DG18" s="670"/>
      <c r="DH18" s="670"/>
      <c r="DI18" s="670"/>
      <c r="DJ18" s="670"/>
      <c r="DK18" s="670"/>
      <c r="DL18" s="670"/>
      <c r="DM18" s="670"/>
      <c r="DN18" s="670"/>
      <c r="DO18" s="670"/>
      <c r="DP18" s="670"/>
      <c r="DQ18" s="670"/>
      <c r="DR18" s="670"/>
      <c r="DS18" s="670"/>
      <c r="DT18" s="670"/>
      <c r="DU18" s="670"/>
      <c r="DV18" s="670"/>
      <c r="DW18" s="670"/>
      <c r="DX18" s="670"/>
      <c r="DY18" s="670"/>
      <c r="DZ18" s="670"/>
      <c r="EA18" s="670"/>
      <c r="EB18" s="670"/>
      <c r="EC18" s="670"/>
      <c r="ED18" s="670"/>
      <c r="EE18" s="670"/>
      <c r="EF18" s="670"/>
      <c r="EG18" s="670"/>
      <c r="EH18" s="670"/>
      <c r="EI18" s="670"/>
      <c r="EJ18" s="670"/>
      <c r="EK18" s="670"/>
      <c r="EL18" s="670"/>
      <c r="EM18" s="670"/>
      <c r="EN18" s="670"/>
      <c r="EO18" s="670"/>
      <c r="EP18" s="670"/>
      <c r="EQ18" s="670"/>
      <c r="ER18" s="670"/>
      <c r="ES18" s="670"/>
      <c r="ET18" s="670"/>
      <c r="EU18" s="670"/>
      <c r="EV18" s="670"/>
      <c r="EW18" s="670"/>
      <c r="EX18" s="670"/>
      <c r="EY18" s="670"/>
      <c r="EZ18" s="670"/>
      <c r="FA18" s="670"/>
      <c r="FB18" s="670"/>
      <c r="FC18" s="670"/>
      <c r="FD18" s="670"/>
      <c r="FE18" s="670"/>
      <c r="FF18" s="670"/>
      <c r="FG18" s="670"/>
      <c r="FH18" s="670"/>
      <c r="FI18" s="670"/>
      <c r="FJ18" s="670"/>
      <c r="FK18" s="670"/>
      <c r="FL18" s="670"/>
      <c r="FM18" s="670"/>
      <c r="FN18" s="670"/>
      <c r="FO18" s="670"/>
      <c r="FP18" s="670"/>
      <c r="FQ18" s="670"/>
      <c r="FR18" s="670"/>
      <c r="FS18" s="670"/>
      <c r="FT18" s="670"/>
      <c r="FU18" s="670"/>
      <c r="FV18" s="670"/>
      <c r="FW18" s="670"/>
      <c r="FX18" s="670"/>
      <c r="FY18" s="670"/>
      <c r="FZ18" s="670"/>
      <c r="GA18" s="670"/>
      <c r="GB18" s="670"/>
      <c r="GC18" s="670"/>
      <c r="GD18" s="670"/>
      <c r="GE18" s="670"/>
      <c r="GF18" s="670"/>
      <c r="GG18" s="670"/>
      <c r="GH18" s="670"/>
      <c r="GI18" s="670"/>
      <c r="GJ18" s="670"/>
      <c r="GK18" s="670"/>
      <c r="GL18" s="670"/>
      <c r="GM18" s="670"/>
      <c r="GN18" s="670"/>
      <c r="GO18" s="670"/>
      <c r="GP18" s="670"/>
      <c r="GQ18" s="670"/>
      <c r="GR18" s="670"/>
      <c r="GS18" s="670"/>
      <c r="GT18" s="670"/>
      <c r="GU18" s="670"/>
      <c r="GV18" s="670"/>
      <c r="GW18" s="670"/>
      <c r="GX18" s="670"/>
      <c r="GY18" s="670"/>
      <c r="GZ18" s="670"/>
      <c r="HA18" s="670"/>
      <c r="HB18" s="670"/>
      <c r="HC18" s="670"/>
      <c r="HD18" s="670"/>
      <c r="HE18" s="670"/>
      <c r="HF18" s="670"/>
      <c r="HG18" s="670"/>
      <c r="HH18" s="670"/>
      <c r="HI18" s="670"/>
      <c r="HJ18" s="670"/>
      <c r="HK18" s="670"/>
      <c r="HL18" s="670"/>
      <c r="HM18" s="670"/>
      <c r="HN18" s="670"/>
      <c r="HO18" s="670"/>
      <c r="HP18" s="670"/>
      <c r="HQ18" s="670"/>
      <c r="HR18" s="670"/>
      <c r="HS18" s="670"/>
      <c r="HT18" s="670"/>
      <c r="HU18" s="670"/>
      <c r="HV18" s="670"/>
      <c r="HW18" s="670"/>
      <c r="HX18" s="670"/>
      <c r="HY18" s="670"/>
      <c r="HZ18" s="670"/>
      <c r="IA18" s="670"/>
      <c r="IB18" s="670"/>
      <c r="IC18" s="670"/>
      <c r="ID18" s="670"/>
      <c r="IE18" s="670"/>
      <c r="IF18" s="670"/>
      <c r="IG18" s="670"/>
      <c r="IH18" s="670"/>
      <c r="II18" s="670"/>
      <c r="IJ18" s="670"/>
      <c r="IK18" s="670"/>
      <c r="IL18" s="670"/>
      <c r="IM18" s="670"/>
      <c r="IN18" s="670"/>
      <c r="IO18" s="670"/>
      <c r="IP18" s="670"/>
      <c r="IQ18" s="670"/>
      <c r="IR18" s="670"/>
      <c r="IS18" s="670"/>
      <c r="IT18" s="670"/>
      <c r="IU18" s="670"/>
      <c r="IV18" s="670"/>
      <c r="IW18" s="670"/>
      <c r="IX18" s="670"/>
      <c r="IY18" s="670"/>
      <c r="IZ18" s="670"/>
      <c r="JA18" s="670"/>
      <c r="JB18" s="670"/>
      <c r="JC18" s="670"/>
      <c r="JD18" s="670"/>
      <c r="JE18" s="670"/>
      <c r="JF18" s="670"/>
      <c r="JG18" s="670"/>
      <c r="JH18" s="670"/>
      <c r="JI18" s="670"/>
      <c r="JJ18" s="670"/>
      <c r="JK18" s="670"/>
      <c r="JL18" s="670"/>
      <c r="JM18" s="670"/>
      <c r="JN18" s="670"/>
      <c r="JO18" s="670"/>
      <c r="JP18" s="670"/>
      <c r="JQ18" s="670"/>
      <c r="JR18" s="670"/>
      <c r="JS18" s="670"/>
      <c r="JT18" s="670"/>
      <c r="JU18" s="670"/>
      <c r="JV18" s="670"/>
      <c r="JW18" s="670"/>
      <c r="JX18" s="670"/>
      <c r="JY18" s="670"/>
      <c r="JZ18" s="670"/>
      <c r="KA18" s="670"/>
      <c r="KB18" s="670"/>
      <c r="KC18" s="670"/>
      <c r="KD18" s="670"/>
      <c r="KE18" s="670"/>
      <c r="KF18" s="670"/>
      <c r="KG18" s="670"/>
      <c r="KH18" s="670"/>
      <c r="KI18" s="670"/>
      <c r="KJ18" s="670"/>
      <c r="KK18" s="670"/>
      <c r="KL18" s="670"/>
      <c r="KM18" s="670"/>
      <c r="KN18" s="670"/>
      <c r="KO18" s="670"/>
      <c r="KP18" s="670"/>
      <c r="KQ18" s="670"/>
      <c r="KR18" s="670"/>
      <c r="KS18" s="670"/>
      <c r="KT18" s="670"/>
      <c r="KU18" s="670"/>
      <c r="KV18" s="670"/>
      <c r="KW18" s="670"/>
      <c r="KX18" s="670"/>
      <c r="KY18" s="670"/>
      <c r="KZ18" s="670"/>
      <c r="LA18" s="670"/>
      <c r="LB18" s="670"/>
      <c r="LC18" s="670"/>
      <c r="LD18" s="670"/>
      <c r="LE18" s="670"/>
      <c r="LF18" s="670"/>
      <c r="LG18" s="670"/>
      <c r="LH18" s="670"/>
      <c r="LI18" s="670"/>
      <c r="LJ18" s="670"/>
      <c r="LK18" s="670"/>
      <c r="LL18" s="670"/>
      <c r="LM18" s="670"/>
      <c r="LN18" s="670"/>
      <c r="LO18" s="670"/>
      <c r="LP18" s="670"/>
      <c r="LQ18" s="670"/>
      <c r="LR18" s="670"/>
      <c r="LS18" s="670"/>
      <c r="LT18" s="670"/>
      <c r="LU18" s="670"/>
      <c r="LV18" s="670"/>
      <c r="LW18" s="670"/>
      <c r="LX18" s="670"/>
      <c r="LY18" s="670"/>
      <c r="LZ18" s="670"/>
      <c r="MA18" s="670"/>
      <c r="MB18" s="670"/>
      <c r="MC18" s="670"/>
      <c r="MD18" s="670"/>
      <c r="ME18" s="670"/>
      <c r="MF18" s="670"/>
      <c r="MG18" s="670"/>
      <c r="MH18" s="670"/>
      <c r="MI18" s="670"/>
      <c r="MJ18" s="670"/>
      <c r="MK18" s="670"/>
      <c r="ML18" s="670"/>
      <c r="MM18" s="670"/>
      <c r="MN18" s="670"/>
      <c r="MO18" s="670"/>
      <c r="MP18" s="670"/>
      <c r="MQ18" s="670"/>
      <c r="MR18" s="670"/>
      <c r="MS18" s="670"/>
      <c r="MT18" s="670"/>
      <c r="MU18" s="670"/>
      <c r="MV18" s="670"/>
      <c r="MW18" s="670"/>
      <c r="MX18" s="670"/>
      <c r="MY18" s="670"/>
      <c r="MZ18" s="670"/>
      <c r="NA18" s="670"/>
      <c r="NB18" s="670"/>
      <c r="NC18" s="670"/>
      <c r="ND18" s="670"/>
      <c r="NE18" s="670"/>
      <c r="NF18" s="670"/>
      <c r="NG18" s="670"/>
      <c r="NH18" s="670"/>
      <c r="NI18" s="670"/>
      <c r="NJ18" s="670"/>
      <c r="NK18" s="670"/>
      <c r="NL18" s="670"/>
      <c r="NM18" s="670"/>
      <c r="NN18" s="670"/>
      <c r="NO18" s="670"/>
      <c r="NP18" s="670"/>
      <c r="NQ18" s="670"/>
      <c r="NR18" s="670"/>
      <c r="NS18" s="670"/>
      <c r="NT18" s="670"/>
      <c r="NU18" s="670"/>
      <c r="NV18" s="670"/>
      <c r="NW18" s="670"/>
      <c r="NX18" s="670"/>
      <c r="NY18" s="670"/>
      <c r="NZ18" s="670"/>
      <c r="OA18" s="670"/>
      <c r="OB18" s="670"/>
      <c r="OC18" s="670"/>
      <c r="OD18" s="670"/>
      <c r="OE18" s="670"/>
      <c r="OF18" s="670"/>
      <c r="OG18" s="670"/>
      <c r="OH18" s="670"/>
      <c r="OI18" s="670"/>
      <c r="OJ18" s="670"/>
      <c r="OK18" s="670"/>
      <c r="OL18" s="670"/>
      <c r="OM18" s="670"/>
      <c r="ON18" s="670"/>
      <c r="OO18" s="670"/>
      <c r="OP18" s="670"/>
      <c r="OQ18" s="670"/>
      <c r="OR18" s="670"/>
      <c r="OS18" s="670"/>
      <c r="OT18" s="670"/>
      <c r="OU18" s="670"/>
      <c r="OV18" s="670"/>
      <c r="OW18" s="670"/>
      <c r="OX18" s="670"/>
      <c r="OY18" s="670"/>
      <c r="OZ18" s="670"/>
      <c r="PA18" s="670"/>
      <c r="PB18" s="670"/>
      <c r="PC18" s="670"/>
      <c r="PD18" s="670"/>
      <c r="PE18" s="670"/>
      <c r="PF18" s="670"/>
      <c r="PG18" s="670"/>
      <c r="PH18" s="670"/>
      <c r="PI18" s="670"/>
      <c r="PJ18" s="670"/>
      <c r="PK18" s="670"/>
      <c r="PL18" s="670"/>
      <c r="PM18" s="670"/>
      <c r="PN18" s="670"/>
      <c r="PO18" s="670"/>
      <c r="PP18" s="670"/>
      <c r="PQ18" s="670"/>
      <c r="PR18" s="670"/>
      <c r="PS18" s="670"/>
      <c r="PT18" s="670"/>
      <c r="PU18" s="670"/>
      <c r="PV18" s="670"/>
      <c r="PW18" s="670"/>
      <c r="PX18" s="670"/>
      <c r="PY18" s="670"/>
      <c r="PZ18" s="670"/>
      <c r="QA18" s="670"/>
      <c r="QB18" s="670"/>
      <c r="QC18" s="670"/>
      <c r="QD18" s="670"/>
    </row>
    <row r="19" spans="1:446" s="673" customFormat="1" ht="14.1" customHeight="1" x14ac:dyDescent="0.25">
      <c r="A19" s="678">
        <v>1</v>
      </c>
      <c r="B19" s="676">
        <v>45115</v>
      </c>
      <c r="C19" s="674"/>
      <c r="D19" s="674"/>
      <c r="E19" s="674"/>
      <c r="F19" s="670"/>
      <c r="G19" s="670"/>
      <c r="H19" s="670"/>
      <c r="I19" s="670"/>
      <c r="J19" s="670"/>
      <c r="K19" s="670"/>
      <c r="L19" s="670"/>
      <c r="M19" s="670"/>
      <c r="N19" s="670"/>
      <c r="O19" s="670"/>
      <c r="P19" s="670"/>
      <c r="Q19" s="670"/>
      <c r="R19" s="670"/>
      <c r="S19" s="670"/>
      <c r="T19" s="670"/>
      <c r="U19" s="670"/>
      <c r="V19" s="670"/>
      <c r="W19" s="670"/>
      <c r="X19" s="670"/>
      <c r="Y19" s="670"/>
      <c r="Z19" s="670"/>
      <c r="AA19" s="670"/>
      <c r="AB19" s="670"/>
      <c r="AC19" s="670"/>
      <c r="AD19" s="670"/>
      <c r="AE19" s="670"/>
      <c r="AF19" s="670"/>
      <c r="AG19" s="670"/>
      <c r="AH19" s="670"/>
      <c r="AI19" s="670"/>
      <c r="AJ19" s="670"/>
      <c r="AK19" s="670"/>
      <c r="AL19" s="670"/>
      <c r="AM19" s="670"/>
      <c r="AN19" s="670"/>
      <c r="AO19" s="670"/>
      <c r="AP19" s="670"/>
      <c r="AQ19" s="670"/>
      <c r="AR19" s="670"/>
      <c r="AS19" s="670"/>
      <c r="AT19" s="670"/>
      <c r="AU19" s="670"/>
      <c r="AV19" s="670"/>
      <c r="AW19" s="670"/>
      <c r="AX19" s="670"/>
      <c r="AY19" s="670"/>
      <c r="AZ19" s="670"/>
      <c r="BA19" s="670"/>
      <c r="BB19" s="670"/>
      <c r="BC19" s="670"/>
      <c r="BD19" s="670"/>
      <c r="BE19" s="670"/>
      <c r="BF19" s="670"/>
      <c r="BG19" s="670"/>
      <c r="BH19" s="670"/>
      <c r="BI19" s="670"/>
      <c r="BJ19" s="670"/>
      <c r="BK19" s="670"/>
      <c r="BL19" s="670"/>
      <c r="BM19" s="670"/>
      <c r="BN19" s="670"/>
      <c r="BO19" s="670"/>
      <c r="BP19" s="670"/>
      <c r="BQ19" s="670"/>
      <c r="BR19" s="670"/>
      <c r="BS19" s="670"/>
      <c r="BT19" s="670"/>
      <c r="BU19" s="670"/>
      <c r="BV19" s="670"/>
      <c r="BW19" s="670"/>
      <c r="BX19" s="670"/>
      <c r="BY19" s="670"/>
      <c r="BZ19" s="670"/>
      <c r="CA19" s="670"/>
      <c r="CB19" s="670"/>
      <c r="CC19" s="670"/>
      <c r="CD19" s="670"/>
      <c r="CE19" s="670"/>
      <c r="CF19" s="670"/>
      <c r="CG19" s="670"/>
      <c r="CH19" s="670"/>
      <c r="CI19" s="670"/>
      <c r="CJ19" s="670"/>
      <c r="CK19" s="670"/>
      <c r="CL19" s="670"/>
      <c r="CM19" s="670"/>
      <c r="CN19" s="670"/>
      <c r="CO19" s="670"/>
      <c r="CP19" s="670"/>
      <c r="CQ19" s="670"/>
      <c r="CR19" s="670"/>
      <c r="CS19" s="670"/>
      <c r="CT19" s="670"/>
      <c r="CU19" s="670"/>
      <c r="CV19" s="670"/>
      <c r="CW19" s="670"/>
      <c r="CX19" s="670"/>
      <c r="CY19" s="670"/>
      <c r="CZ19" s="670"/>
      <c r="DA19" s="670"/>
      <c r="DB19" s="670"/>
      <c r="DC19" s="670"/>
      <c r="DD19" s="670"/>
      <c r="DE19" s="670"/>
      <c r="DF19" s="670"/>
      <c r="DG19" s="670"/>
      <c r="DH19" s="670"/>
      <c r="DI19" s="670"/>
      <c r="DJ19" s="670"/>
      <c r="DK19" s="670"/>
      <c r="DL19" s="670"/>
      <c r="DM19" s="670"/>
      <c r="DN19" s="670"/>
      <c r="DO19" s="670"/>
      <c r="DP19" s="670"/>
      <c r="DQ19" s="670"/>
      <c r="DR19" s="670"/>
      <c r="DS19" s="670"/>
      <c r="DT19" s="670"/>
      <c r="DU19" s="670"/>
      <c r="DV19" s="670"/>
      <c r="DW19" s="670"/>
      <c r="DX19" s="670"/>
      <c r="DY19" s="670"/>
      <c r="DZ19" s="670"/>
      <c r="EA19" s="670"/>
      <c r="EB19" s="670"/>
      <c r="EC19" s="670"/>
      <c r="ED19" s="670"/>
      <c r="EE19" s="670"/>
      <c r="EF19" s="670"/>
      <c r="EG19" s="670"/>
      <c r="EH19" s="670"/>
      <c r="EI19" s="670"/>
      <c r="EJ19" s="670"/>
      <c r="EK19" s="670"/>
      <c r="EL19" s="670"/>
      <c r="EM19" s="670"/>
      <c r="EN19" s="670"/>
      <c r="EO19" s="670"/>
      <c r="EP19" s="670"/>
      <c r="EQ19" s="670"/>
      <c r="ER19" s="670"/>
      <c r="ES19" s="670"/>
      <c r="ET19" s="670"/>
      <c r="EU19" s="670"/>
      <c r="EV19" s="670"/>
      <c r="EW19" s="670"/>
      <c r="EX19" s="670"/>
      <c r="EY19" s="670"/>
      <c r="EZ19" s="670"/>
      <c r="FA19" s="670"/>
      <c r="FB19" s="670"/>
      <c r="FC19" s="670"/>
      <c r="FD19" s="670"/>
      <c r="FE19" s="670"/>
      <c r="FF19" s="670"/>
      <c r="FG19" s="670"/>
      <c r="FH19" s="670"/>
      <c r="FI19" s="670"/>
      <c r="FJ19" s="670"/>
      <c r="FK19" s="670"/>
      <c r="FL19" s="670"/>
      <c r="FM19" s="670"/>
      <c r="FN19" s="670"/>
      <c r="FO19" s="670"/>
      <c r="FP19" s="670"/>
      <c r="FQ19" s="670"/>
      <c r="FR19" s="670"/>
      <c r="FS19" s="670"/>
      <c r="FT19" s="670"/>
      <c r="FU19" s="670"/>
      <c r="FV19" s="670"/>
      <c r="FW19" s="670"/>
      <c r="FX19" s="670"/>
      <c r="FY19" s="670"/>
      <c r="FZ19" s="670"/>
      <c r="GA19" s="670"/>
      <c r="GB19" s="670"/>
      <c r="GC19" s="670"/>
      <c r="GD19" s="670"/>
      <c r="GE19" s="670"/>
      <c r="GF19" s="670"/>
      <c r="GG19" s="670"/>
      <c r="GH19" s="670"/>
      <c r="GI19" s="670"/>
      <c r="GJ19" s="670"/>
      <c r="GK19" s="670"/>
      <c r="GL19" s="670"/>
      <c r="GM19" s="670"/>
      <c r="GN19" s="670"/>
      <c r="GO19" s="670"/>
      <c r="GP19" s="670"/>
      <c r="GQ19" s="670"/>
      <c r="GR19" s="670"/>
      <c r="GS19" s="670"/>
      <c r="GT19" s="670"/>
      <c r="GU19" s="670"/>
      <c r="GV19" s="670"/>
      <c r="GW19" s="670"/>
      <c r="GX19" s="670"/>
      <c r="GY19" s="670"/>
      <c r="GZ19" s="670"/>
      <c r="HA19" s="670"/>
      <c r="HB19" s="670"/>
      <c r="HC19" s="670"/>
      <c r="HD19" s="670"/>
      <c r="HE19" s="670"/>
      <c r="HF19" s="670"/>
      <c r="HG19" s="670"/>
      <c r="HH19" s="670"/>
      <c r="HI19" s="670"/>
      <c r="HJ19" s="670"/>
      <c r="HK19" s="670"/>
      <c r="HL19" s="670"/>
      <c r="HM19" s="670"/>
      <c r="HN19" s="670"/>
      <c r="HO19" s="670"/>
      <c r="HP19" s="670"/>
      <c r="HQ19" s="670"/>
      <c r="HR19" s="670"/>
      <c r="HS19" s="670"/>
      <c r="HT19" s="670"/>
      <c r="HU19" s="670"/>
      <c r="HV19" s="670"/>
      <c r="HW19" s="670"/>
      <c r="HX19" s="670"/>
      <c r="HY19" s="670"/>
      <c r="HZ19" s="670"/>
      <c r="IA19" s="670"/>
      <c r="IB19" s="670"/>
      <c r="IC19" s="670"/>
      <c r="ID19" s="670"/>
      <c r="IE19" s="670"/>
      <c r="IF19" s="670"/>
      <c r="IG19" s="670"/>
      <c r="IH19" s="670"/>
      <c r="II19" s="670"/>
      <c r="IJ19" s="670"/>
      <c r="IK19" s="670"/>
      <c r="IL19" s="670"/>
      <c r="IM19" s="670"/>
      <c r="IN19" s="670"/>
      <c r="IO19" s="670"/>
      <c r="IP19" s="670"/>
      <c r="IQ19" s="670"/>
      <c r="IR19" s="670"/>
      <c r="IS19" s="670"/>
      <c r="IT19" s="670"/>
      <c r="IU19" s="670"/>
      <c r="IV19" s="670"/>
      <c r="IW19" s="670"/>
      <c r="IX19" s="670"/>
      <c r="IY19" s="670"/>
      <c r="IZ19" s="670"/>
      <c r="JA19" s="670"/>
      <c r="JB19" s="670"/>
      <c r="JC19" s="670"/>
      <c r="JD19" s="670"/>
      <c r="JE19" s="670"/>
      <c r="JF19" s="670"/>
      <c r="JG19" s="670"/>
      <c r="JH19" s="670"/>
      <c r="JI19" s="670"/>
      <c r="JJ19" s="670"/>
      <c r="JK19" s="670"/>
      <c r="JL19" s="670"/>
      <c r="JM19" s="670"/>
      <c r="JN19" s="670"/>
      <c r="JO19" s="670"/>
      <c r="JP19" s="670"/>
      <c r="JQ19" s="670"/>
      <c r="JR19" s="670"/>
      <c r="JS19" s="670"/>
      <c r="JT19" s="670"/>
      <c r="JU19" s="670"/>
      <c r="JV19" s="670"/>
      <c r="JW19" s="670"/>
      <c r="JX19" s="670"/>
      <c r="JY19" s="670"/>
      <c r="JZ19" s="670"/>
      <c r="KA19" s="670"/>
      <c r="KB19" s="670"/>
      <c r="KC19" s="670"/>
      <c r="KD19" s="670"/>
      <c r="KE19" s="670"/>
      <c r="KF19" s="670"/>
      <c r="KG19" s="670"/>
      <c r="KH19" s="670"/>
      <c r="KI19" s="670"/>
      <c r="KJ19" s="670"/>
      <c r="KK19" s="670"/>
      <c r="KL19" s="670"/>
      <c r="KM19" s="670"/>
      <c r="KN19" s="670"/>
      <c r="KO19" s="670"/>
      <c r="KP19" s="670"/>
      <c r="KQ19" s="670"/>
      <c r="KR19" s="670"/>
      <c r="KS19" s="670"/>
      <c r="KT19" s="670"/>
      <c r="KU19" s="670"/>
      <c r="KV19" s="670"/>
      <c r="KW19" s="670"/>
      <c r="KX19" s="670"/>
      <c r="KY19" s="670"/>
      <c r="KZ19" s="670"/>
      <c r="LA19" s="670"/>
      <c r="LB19" s="670"/>
      <c r="LC19" s="670"/>
      <c r="LD19" s="670"/>
      <c r="LE19" s="670"/>
      <c r="LF19" s="670"/>
      <c r="LG19" s="670"/>
      <c r="LH19" s="670"/>
      <c r="LI19" s="670"/>
      <c r="LJ19" s="670"/>
      <c r="LK19" s="670"/>
      <c r="LL19" s="670"/>
      <c r="LM19" s="670"/>
      <c r="LN19" s="670"/>
      <c r="LO19" s="670"/>
      <c r="LP19" s="670"/>
      <c r="LQ19" s="670"/>
      <c r="LR19" s="670"/>
      <c r="LS19" s="670"/>
      <c r="LT19" s="670"/>
      <c r="LU19" s="670"/>
      <c r="LV19" s="670"/>
      <c r="LW19" s="670"/>
      <c r="LX19" s="670"/>
      <c r="LY19" s="670"/>
      <c r="LZ19" s="670"/>
      <c r="MA19" s="670"/>
      <c r="MB19" s="670"/>
      <c r="MC19" s="670"/>
      <c r="MD19" s="670"/>
      <c r="ME19" s="670"/>
      <c r="MF19" s="670"/>
      <c r="MG19" s="670"/>
      <c r="MH19" s="670"/>
      <c r="MI19" s="670"/>
      <c r="MJ19" s="670"/>
      <c r="MK19" s="670"/>
      <c r="ML19" s="670"/>
      <c r="MM19" s="670"/>
      <c r="MN19" s="670"/>
      <c r="MO19" s="670"/>
      <c r="MP19" s="670"/>
      <c r="MQ19" s="670"/>
      <c r="MR19" s="670"/>
      <c r="MS19" s="670"/>
      <c r="MT19" s="670"/>
      <c r="MU19" s="670"/>
      <c r="MV19" s="670"/>
      <c r="MW19" s="670"/>
      <c r="MX19" s="670"/>
      <c r="MY19" s="670"/>
      <c r="MZ19" s="670"/>
      <c r="NA19" s="670"/>
      <c r="NB19" s="670"/>
      <c r="NC19" s="670"/>
      <c r="ND19" s="670"/>
      <c r="NE19" s="670"/>
      <c r="NF19" s="670"/>
      <c r="NG19" s="670"/>
      <c r="NH19" s="670"/>
      <c r="NI19" s="670"/>
      <c r="NJ19" s="670"/>
      <c r="NK19" s="670"/>
      <c r="NL19" s="670"/>
      <c r="NM19" s="670"/>
      <c r="NN19" s="670"/>
      <c r="NO19" s="670"/>
      <c r="NP19" s="670"/>
      <c r="NQ19" s="670"/>
      <c r="NR19" s="670"/>
      <c r="NS19" s="670"/>
      <c r="NT19" s="670"/>
      <c r="NU19" s="670"/>
      <c r="NV19" s="670"/>
      <c r="NW19" s="670"/>
      <c r="NX19" s="670"/>
      <c r="NY19" s="670"/>
      <c r="NZ19" s="670"/>
      <c r="OA19" s="670"/>
      <c r="OB19" s="670"/>
      <c r="OC19" s="670"/>
      <c r="OD19" s="670"/>
      <c r="OE19" s="670"/>
      <c r="OF19" s="670"/>
      <c r="OG19" s="670"/>
      <c r="OH19" s="670"/>
      <c r="OI19" s="670"/>
      <c r="OJ19" s="670"/>
      <c r="OK19" s="670"/>
      <c r="OL19" s="670"/>
      <c r="OM19" s="670"/>
      <c r="ON19" s="670"/>
      <c r="OO19" s="670"/>
      <c r="OP19" s="670"/>
      <c r="OQ19" s="670"/>
      <c r="OR19" s="670"/>
      <c r="OS19" s="670"/>
      <c r="OT19" s="670"/>
      <c r="OU19" s="670"/>
      <c r="OV19" s="670"/>
      <c r="OW19" s="670"/>
      <c r="OX19" s="670"/>
      <c r="OY19" s="670"/>
      <c r="OZ19" s="670"/>
      <c r="PA19" s="670"/>
      <c r="PB19" s="670"/>
      <c r="PC19" s="670"/>
      <c r="PD19" s="670"/>
      <c r="PE19" s="670"/>
      <c r="PF19" s="670"/>
      <c r="PG19" s="670"/>
      <c r="PH19" s="670"/>
      <c r="PI19" s="670"/>
      <c r="PJ19" s="670"/>
      <c r="PK19" s="670"/>
      <c r="PL19" s="670"/>
      <c r="PM19" s="670"/>
      <c r="PN19" s="670"/>
      <c r="PO19" s="670"/>
      <c r="PP19" s="670"/>
      <c r="PQ19" s="670"/>
      <c r="PR19" s="670"/>
      <c r="PS19" s="670"/>
      <c r="PT19" s="670"/>
      <c r="PU19" s="670"/>
      <c r="PV19" s="670"/>
      <c r="PW19" s="670"/>
      <c r="PX19" s="670"/>
      <c r="PY19" s="670"/>
      <c r="PZ19" s="670"/>
      <c r="QA19" s="670"/>
      <c r="QB19" s="670"/>
      <c r="QC19" s="670"/>
      <c r="QD19" s="670"/>
    </row>
    <row r="20" spans="1:446" s="673" customFormat="1" ht="14.1" customHeight="1" x14ac:dyDescent="0.25">
      <c r="A20" s="678">
        <v>1</v>
      </c>
      <c r="B20" s="676">
        <v>45116</v>
      </c>
      <c r="C20" s="674"/>
      <c r="D20" s="674"/>
      <c r="E20" s="674"/>
      <c r="F20" s="670"/>
      <c r="G20" s="670"/>
      <c r="H20" s="670"/>
      <c r="I20" s="670"/>
      <c r="J20" s="670"/>
      <c r="K20" s="670"/>
      <c r="L20" s="670"/>
      <c r="M20" s="670"/>
      <c r="N20" s="670"/>
      <c r="O20" s="670"/>
      <c r="P20" s="670"/>
      <c r="Q20" s="670"/>
      <c r="R20" s="670"/>
      <c r="S20" s="670"/>
      <c r="T20" s="670"/>
      <c r="U20" s="670"/>
      <c r="V20" s="670"/>
      <c r="W20" s="670"/>
      <c r="X20" s="670"/>
      <c r="Y20" s="670"/>
      <c r="Z20" s="670"/>
      <c r="AA20" s="670"/>
      <c r="AB20" s="670"/>
      <c r="AC20" s="670"/>
      <c r="AD20" s="670"/>
      <c r="AE20" s="670"/>
      <c r="AF20" s="670"/>
      <c r="AG20" s="670"/>
      <c r="AH20" s="670"/>
      <c r="AI20" s="670"/>
      <c r="AJ20" s="670"/>
      <c r="AK20" s="670"/>
      <c r="AL20" s="670"/>
      <c r="AM20" s="670"/>
      <c r="AN20" s="670"/>
      <c r="AO20" s="670"/>
      <c r="AP20" s="670"/>
      <c r="AQ20" s="670"/>
      <c r="AR20" s="670"/>
      <c r="AS20" s="670"/>
      <c r="AT20" s="670"/>
      <c r="AU20" s="670"/>
      <c r="AV20" s="670"/>
      <c r="AW20" s="670"/>
      <c r="AX20" s="670"/>
      <c r="AY20" s="670"/>
      <c r="AZ20" s="670"/>
      <c r="BA20" s="670"/>
      <c r="BB20" s="670"/>
      <c r="BC20" s="670"/>
      <c r="BD20" s="670"/>
      <c r="BE20" s="670"/>
      <c r="BF20" s="670"/>
      <c r="BG20" s="670"/>
      <c r="BH20" s="670"/>
      <c r="BI20" s="670"/>
      <c r="BJ20" s="670"/>
      <c r="BK20" s="670"/>
      <c r="BL20" s="670"/>
      <c r="BM20" s="670"/>
      <c r="BN20" s="670"/>
      <c r="BO20" s="670"/>
      <c r="BP20" s="670"/>
      <c r="BQ20" s="670"/>
      <c r="BR20" s="670"/>
      <c r="BS20" s="670"/>
      <c r="BT20" s="670"/>
      <c r="BU20" s="670"/>
      <c r="BV20" s="670"/>
      <c r="BW20" s="670"/>
      <c r="BX20" s="670"/>
      <c r="BY20" s="670"/>
      <c r="BZ20" s="670"/>
      <c r="CA20" s="670"/>
      <c r="CB20" s="670"/>
      <c r="CC20" s="670"/>
      <c r="CD20" s="670"/>
      <c r="CE20" s="670"/>
      <c r="CF20" s="670"/>
      <c r="CG20" s="670"/>
      <c r="CH20" s="670"/>
      <c r="CI20" s="670"/>
      <c r="CJ20" s="670"/>
      <c r="CK20" s="670"/>
      <c r="CL20" s="670"/>
      <c r="CM20" s="670"/>
      <c r="CN20" s="670"/>
      <c r="CO20" s="670"/>
      <c r="CP20" s="670"/>
      <c r="CQ20" s="670"/>
      <c r="CR20" s="670"/>
      <c r="CS20" s="670"/>
      <c r="CT20" s="670"/>
      <c r="CU20" s="670"/>
      <c r="CV20" s="670"/>
      <c r="CW20" s="670"/>
      <c r="CX20" s="670"/>
      <c r="CY20" s="670"/>
      <c r="CZ20" s="670"/>
      <c r="DA20" s="670"/>
      <c r="DB20" s="670"/>
      <c r="DC20" s="670"/>
      <c r="DD20" s="670"/>
      <c r="DE20" s="670"/>
      <c r="DF20" s="670"/>
      <c r="DG20" s="670"/>
      <c r="DH20" s="670"/>
      <c r="DI20" s="670"/>
      <c r="DJ20" s="670"/>
      <c r="DK20" s="670"/>
      <c r="DL20" s="670"/>
      <c r="DM20" s="670"/>
      <c r="DN20" s="670"/>
      <c r="DO20" s="670"/>
      <c r="DP20" s="670"/>
      <c r="DQ20" s="670"/>
      <c r="DR20" s="670"/>
      <c r="DS20" s="670"/>
      <c r="DT20" s="670"/>
      <c r="DU20" s="670"/>
      <c r="DV20" s="670"/>
      <c r="DW20" s="670"/>
      <c r="DX20" s="670"/>
      <c r="DY20" s="670"/>
      <c r="DZ20" s="670"/>
      <c r="EA20" s="670"/>
      <c r="EB20" s="670"/>
      <c r="EC20" s="670"/>
      <c r="ED20" s="670"/>
      <c r="EE20" s="670"/>
      <c r="EF20" s="670"/>
      <c r="EG20" s="670"/>
      <c r="EH20" s="670"/>
      <c r="EI20" s="670"/>
      <c r="EJ20" s="670"/>
      <c r="EK20" s="670"/>
      <c r="EL20" s="670"/>
      <c r="EM20" s="670"/>
      <c r="EN20" s="670"/>
      <c r="EO20" s="670"/>
      <c r="EP20" s="670"/>
      <c r="EQ20" s="670"/>
      <c r="ER20" s="670"/>
      <c r="ES20" s="670"/>
      <c r="ET20" s="670"/>
      <c r="EU20" s="670"/>
      <c r="EV20" s="670"/>
      <c r="EW20" s="670"/>
      <c r="EX20" s="670"/>
      <c r="EY20" s="670"/>
      <c r="EZ20" s="670"/>
      <c r="FA20" s="670"/>
      <c r="FB20" s="670"/>
      <c r="FC20" s="670"/>
      <c r="FD20" s="670"/>
      <c r="FE20" s="670"/>
      <c r="FF20" s="670"/>
      <c r="FG20" s="670"/>
      <c r="FH20" s="670"/>
      <c r="FI20" s="670"/>
      <c r="FJ20" s="670"/>
      <c r="FK20" s="670"/>
      <c r="FL20" s="670"/>
      <c r="FM20" s="670"/>
      <c r="FN20" s="670"/>
      <c r="FO20" s="670"/>
      <c r="FP20" s="670"/>
      <c r="FQ20" s="670"/>
      <c r="FR20" s="670"/>
      <c r="FS20" s="670"/>
      <c r="FT20" s="670"/>
      <c r="FU20" s="670"/>
      <c r="FV20" s="670"/>
      <c r="FW20" s="670"/>
      <c r="FX20" s="670"/>
      <c r="FY20" s="670"/>
      <c r="FZ20" s="670"/>
      <c r="GA20" s="670"/>
      <c r="GB20" s="670"/>
      <c r="GC20" s="670"/>
      <c r="GD20" s="670"/>
      <c r="GE20" s="670"/>
      <c r="GF20" s="670"/>
      <c r="GG20" s="670"/>
      <c r="GH20" s="670"/>
      <c r="GI20" s="670"/>
      <c r="GJ20" s="670"/>
      <c r="GK20" s="670"/>
      <c r="GL20" s="670"/>
      <c r="GM20" s="670"/>
      <c r="GN20" s="670"/>
      <c r="GO20" s="670"/>
      <c r="GP20" s="670"/>
      <c r="GQ20" s="670"/>
      <c r="GR20" s="670"/>
      <c r="GS20" s="670"/>
      <c r="GT20" s="670"/>
      <c r="GU20" s="670"/>
      <c r="GV20" s="670"/>
      <c r="GW20" s="670"/>
      <c r="GX20" s="670"/>
      <c r="GY20" s="670"/>
      <c r="GZ20" s="670"/>
      <c r="HA20" s="670"/>
      <c r="HB20" s="670"/>
      <c r="HC20" s="670"/>
      <c r="HD20" s="670"/>
      <c r="HE20" s="670"/>
      <c r="HF20" s="670"/>
      <c r="HG20" s="670"/>
      <c r="HH20" s="670"/>
      <c r="HI20" s="670"/>
      <c r="HJ20" s="670"/>
      <c r="HK20" s="670"/>
      <c r="HL20" s="670"/>
      <c r="HM20" s="670"/>
      <c r="HN20" s="670"/>
      <c r="HO20" s="670"/>
      <c r="HP20" s="670"/>
      <c r="HQ20" s="670"/>
      <c r="HR20" s="670"/>
      <c r="HS20" s="670"/>
      <c r="HT20" s="670"/>
      <c r="HU20" s="670"/>
      <c r="HV20" s="670"/>
      <c r="HW20" s="670"/>
      <c r="HX20" s="670"/>
      <c r="HY20" s="670"/>
      <c r="HZ20" s="670"/>
      <c r="IA20" s="670"/>
      <c r="IB20" s="670"/>
      <c r="IC20" s="670"/>
      <c r="ID20" s="670"/>
      <c r="IE20" s="670"/>
      <c r="IF20" s="670"/>
      <c r="IG20" s="670"/>
      <c r="IH20" s="670"/>
      <c r="II20" s="670"/>
      <c r="IJ20" s="670"/>
      <c r="IK20" s="670"/>
      <c r="IL20" s="670"/>
      <c r="IM20" s="670"/>
      <c r="IN20" s="670"/>
      <c r="IO20" s="670"/>
      <c r="IP20" s="670"/>
      <c r="IQ20" s="670"/>
      <c r="IR20" s="670"/>
      <c r="IS20" s="670"/>
      <c r="IT20" s="670"/>
      <c r="IU20" s="670"/>
      <c r="IV20" s="670"/>
      <c r="IW20" s="670"/>
      <c r="IX20" s="670"/>
      <c r="IY20" s="670"/>
      <c r="IZ20" s="670"/>
      <c r="JA20" s="670"/>
      <c r="JB20" s="670"/>
      <c r="JC20" s="670"/>
      <c r="JD20" s="670"/>
      <c r="JE20" s="670"/>
      <c r="JF20" s="670"/>
      <c r="JG20" s="670"/>
      <c r="JH20" s="670"/>
      <c r="JI20" s="670"/>
      <c r="JJ20" s="670"/>
      <c r="JK20" s="670"/>
      <c r="JL20" s="670"/>
      <c r="JM20" s="670"/>
      <c r="JN20" s="670"/>
      <c r="JO20" s="670"/>
      <c r="JP20" s="670"/>
      <c r="JQ20" s="670"/>
      <c r="JR20" s="670"/>
      <c r="JS20" s="670"/>
      <c r="JT20" s="670"/>
      <c r="JU20" s="670"/>
      <c r="JV20" s="670"/>
      <c r="JW20" s="670"/>
      <c r="JX20" s="670"/>
      <c r="JY20" s="670"/>
      <c r="JZ20" s="670"/>
      <c r="KA20" s="670"/>
      <c r="KB20" s="670"/>
      <c r="KC20" s="670"/>
      <c r="KD20" s="670"/>
      <c r="KE20" s="670"/>
      <c r="KF20" s="670"/>
      <c r="KG20" s="670"/>
      <c r="KH20" s="670"/>
      <c r="KI20" s="670"/>
      <c r="KJ20" s="670"/>
      <c r="KK20" s="670"/>
      <c r="KL20" s="670"/>
      <c r="KM20" s="670"/>
      <c r="KN20" s="670"/>
      <c r="KO20" s="670"/>
      <c r="KP20" s="670"/>
      <c r="KQ20" s="670"/>
      <c r="KR20" s="670"/>
      <c r="KS20" s="670"/>
      <c r="KT20" s="670"/>
      <c r="KU20" s="670"/>
      <c r="KV20" s="670"/>
      <c r="KW20" s="670"/>
      <c r="KX20" s="670"/>
      <c r="KY20" s="670"/>
      <c r="KZ20" s="670"/>
      <c r="LA20" s="670"/>
      <c r="LB20" s="670"/>
      <c r="LC20" s="670"/>
      <c r="LD20" s="670"/>
      <c r="LE20" s="670"/>
      <c r="LF20" s="670"/>
      <c r="LG20" s="670"/>
      <c r="LH20" s="670"/>
      <c r="LI20" s="670"/>
      <c r="LJ20" s="670"/>
      <c r="LK20" s="670"/>
      <c r="LL20" s="670"/>
      <c r="LM20" s="670"/>
      <c r="LN20" s="670"/>
      <c r="LO20" s="670"/>
      <c r="LP20" s="670"/>
      <c r="LQ20" s="670"/>
      <c r="LR20" s="670"/>
      <c r="LS20" s="670"/>
      <c r="LT20" s="670"/>
      <c r="LU20" s="670"/>
      <c r="LV20" s="670"/>
      <c r="LW20" s="670"/>
      <c r="LX20" s="670"/>
      <c r="LY20" s="670"/>
      <c r="LZ20" s="670"/>
      <c r="MA20" s="670"/>
      <c r="MB20" s="670"/>
      <c r="MC20" s="670"/>
      <c r="MD20" s="670"/>
      <c r="ME20" s="670"/>
      <c r="MF20" s="670"/>
      <c r="MG20" s="670"/>
      <c r="MH20" s="670"/>
      <c r="MI20" s="670"/>
      <c r="MJ20" s="670"/>
      <c r="MK20" s="670"/>
      <c r="ML20" s="670"/>
      <c r="MM20" s="670"/>
      <c r="MN20" s="670"/>
      <c r="MO20" s="670"/>
      <c r="MP20" s="670"/>
      <c r="MQ20" s="670"/>
      <c r="MR20" s="670"/>
      <c r="MS20" s="670"/>
      <c r="MT20" s="670"/>
      <c r="MU20" s="670"/>
      <c r="MV20" s="670"/>
      <c r="MW20" s="670"/>
      <c r="MX20" s="670"/>
      <c r="MY20" s="670"/>
      <c r="MZ20" s="670"/>
      <c r="NA20" s="670"/>
      <c r="NB20" s="670"/>
      <c r="NC20" s="670"/>
      <c r="ND20" s="670"/>
      <c r="NE20" s="670"/>
      <c r="NF20" s="670"/>
      <c r="NG20" s="670"/>
      <c r="NH20" s="670"/>
      <c r="NI20" s="670"/>
      <c r="NJ20" s="670"/>
      <c r="NK20" s="670"/>
      <c r="NL20" s="670"/>
      <c r="NM20" s="670"/>
      <c r="NN20" s="670"/>
      <c r="NO20" s="670"/>
      <c r="NP20" s="670"/>
      <c r="NQ20" s="670"/>
      <c r="NR20" s="670"/>
      <c r="NS20" s="670"/>
      <c r="NT20" s="670"/>
      <c r="NU20" s="670"/>
      <c r="NV20" s="670"/>
      <c r="NW20" s="670"/>
      <c r="NX20" s="670"/>
      <c r="NY20" s="670"/>
      <c r="NZ20" s="670"/>
      <c r="OA20" s="670"/>
      <c r="OB20" s="670"/>
      <c r="OC20" s="670"/>
      <c r="OD20" s="670"/>
      <c r="OE20" s="670"/>
      <c r="OF20" s="670"/>
      <c r="OG20" s="670"/>
      <c r="OH20" s="670"/>
      <c r="OI20" s="670"/>
      <c r="OJ20" s="670"/>
      <c r="OK20" s="670"/>
      <c r="OL20" s="670"/>
      <c r="OM20" s="670"/>
      <c r="ON20" s="670"/>
      <c r="OO20" s="670"/>
      <c r="OP20" s="670"/>
      <c r="OQ20" s="670"/>
      <c r="OR20" s="670"/>
      <c r="OS20" s="670"/>
      <c r="OT20" s="670"/>
      <c r="OU20" s="670"/>
      <c r="OV20" s="670"/>
      <c r="OW20" s="670"/>
      <c r="OX20" s="670"/>
      <c r="OY20" s="670"/>
      <c r="OZ20" s="670"/>
      <c r="PA20" s="670"/>
      <c r="PB20" s="670"/>
      <c r="PC20" s="670"/>
      <c r="PD20" s="670"/>
      <c r="PE20" s="670"/>
      <c r="PF20" s="670"/>
      <c r="PG20" s="670"/>
      <c r="PH20" s="670"/>
      <c r="PI20" s="670"/>
      <c r="PJ20" s="670"/>
      <c r="PK20" s="670"/>
      <c r="PL20" s="670"/>
      <c r="PM20" s="670"/>
      <c r="PN20" s="670"/>
      <c r="PO20" s="670"/>
      <c r="PP20" s="670"/>
      <c r="PQ20" s="670"/>
      <c r="PR20" s="670"/>
      <c r="PS20" s="670"/>
      <c r="PT20" s="670"/>
      <c r="PU20" s="670"/>
      <c r="PV20" s="670"/>
      <c r="PW20" s="670"/>
      <c r="PX20" s="670"/>
      <c r="PY20" s="670"/>
      <c r="PZ20" s="670"/>
      <c r="QA20" s="670"/>
      <c r="QB20" s="670"/>
      <c r="QC20" s="670"/>
      <c r="QD20" s="670"/>
    </row>
    <row r="21" spans="1:446" s="673" customFormat="1" ht="14.1" customHeight="1" x14ac:dyDescent="0.25">
      <c r="A21" s="678">
        <v>1</v>
      </c>
      <c r="B21" s="676">
        <v>45117</v>
      </c>
      <c r="C21" s="674"/>
      <c r="D21" s="674"/>
      <c r="E21" s="674"/>
      <c r="F21" s="670"/>
      <c r="G21" s="670"/>
      <c r="H21" s="670"/>
      <c r="I21" s="670">
        <v>60</v>
      </c>
      <c r="J21" s="670">
        <v>0</v>
      </c>
      <c r="K21" s="670">
        <v>200</v>
      </c>
      <c r="L21" s="670">
        <v>40</v>
      </c>
      <c r="M21" s="670">
        <v>0</v>
      </c>
      <c r="N21" s="670">
        <v>95</v>
      </c>
      <c r="O21" s="670">
        <v>67</v>
      </c>
      <c r="P21" s="670">
        <v>0</v>
      </c>
      <c r="Q21" s="670">
        <v>82.01733999999999</v>
      </c>
      <c r="R21" s="670"/>
      <c r="S21" s="670"/>
      <c r="T21" s="670"/>
      <c r="U21" s="670"/>
      <c r="V21" s="670"/>
      <c r="W21" s="670"/>
      <c r="X21" s="670"/>
      <c r="Y21" s="670"/>
      <c r="Z21" s="670"/>
      <c r="AA21" s="670">
        <v>77</v>
      </c>
      <c r="AB21" s="670">
        <v>0</v>
      </c>
      <c r="AC21" s="670">
        <v>216.49600000000001</v>
      </c>
      <c r="AD21" s="670"/>
      <c r="AE21" s="670"/>
      <c r="AF21" s="670"/>
      <c r="AG21" s="670">
        <v>56</v>
      </c>
      <c r="AH21" s="670">
        <v>0</v>
      </c>
      <c r="AI21" s="670">
        <v>204.744</v>
      </c>
      <c r="AJ21" s="670"/>
      <c r="AK21" s="670"/>
      <c r="AL21" s="670"/>
      <c r="AM21" s="670"/>
      <c r="AN21" s="670"/>
      <c r="AO21" s="670"/>
      <c r="AP21" s="670"/>
      <c r="AQ21" s="670"/>
      <c r="AR21" s="670"/>
      <c r="AS21" s="670"/>
      <c r="AT21" s="670"/>
      <c r="AU21" s="670"/>
      <c r="AV21" s="670"/>
      <c r="AW21" s="670"/>
      <c r="AX21" s="670"/>
      <c r="AY21" s="670"/>
      <c r="AZ21" s="670"/>
      <c r="BA21" s="670"/>
      <c r="BB21" s="670"/>
      <c r="BC21" s="670"/>
      <c r="BD21" s="670"/>
      <c r="BE21" s="670"/>
      <c r="BF21" s="670"/>
      <c r="BG21" s="670"/>
      <c r="BH21" s="670"/>
      <c r="BI21" s="670"/>
      <c r="BJ21" s="670"/>
      <c r="BK21" s="670"/>
      <c r="BL21" s="670"/>
      <c r="BM21" s="670"/>
      <c r="BN21" s="670"/>
      <c r="BO21" s="670"/>
      <c r="BP21" s="670"/>
      <c r="BQ21" s="670"/>
      <c r="BR21" s="670"/>
      <c r="BS21" s="670"/>
      <c r="BT21" s="670">
        <v>259</v>
      </c>
      <c r="BU21" s="670">
        <v>0</v>
      </c>
      <c r="BV21" s="670">
        <v>319</v>
      </c>
      <c r="BW21" s="670">
        <v>50</v>
      </c>
      <c r="BX21" s="670">
        <v>0</v>
      </c>
      <c r="BY21" s="670">
        <v>100</v>
      </c>
      <c r="BZ21" s="670"/>
      <c r="CA21" s="670"/>
      <c r="CB21" s="670"/>
      <c r="CC21" s="670"/>
      <c r="CD21" s="670"/>
      <c r="CE21" s="670"/>
      <c r="CF21" s="670">
        <v>77</v>
      </c>
      <c r="CG21" s="670">
        <v>0</v>
      </c>
      <c r="CH21" s="670">
        <v>189.49600000000001</v>
      </c>
      <c r="CI21" s="670"/>
      <c r="CJ21" s="670"/>
      <c r="CK21" s="670"/>
      <c r="CL21" s="670"/>
      <c r="CM21" s="670"/>
      <c r="CN21" s="670"/>
      <c r="CO21" s="670"/>
      <c r="CP21" s="670"/>
      <c r="CQ21" s="670"/>
      <c r="CR21" s="670"/>
      <c r="CS21" s="670"/>
      <c r="CT21" s="670"/>
      <c r="CU21" s="670"/>
      <c r="CV21" s="670"/>
      <c r="CW21" s="670"/>
      <c r="CX21" s="670"/>
      <c r="CY21" s="670"/>
      <c r="CZ21" s="670"/>
      <c r="DA21" s="670"/>
      <c r="DB21" s="670"/>
      <c r="DC21" s="670"/>
      <c r="DD21" s="670"/>
      <c r="DE21" s="670"/>
      <c r="DF21" s="670"/>
      <c r="DG21" s="670"/>
      <c r="DH21" s="670"/>
      <c r="DI21" s="670"/>
      <c r="DJ21" s="670"/>
      <c r="DK21" s="670"/>
      <c r="DL21" s="670"/>
      <c r="DM21" s="670"/>
      <c r="DN21" s="670"/>
      <c r="DO21" s="670"/>
      <c r="DP21" s="670"/>
      <c r="DQ21" s="670"/>
      <c r="DR21" s="670"/>
      <c r="DS21" s="670">
        <v>50</v>
      </c>
      <c r="DT21" s="670">
        <v>0</v>
      </c>
      <c r="DU21" s="670">
        <v>50</v>
      </c>
      <c r="DV21" s="670">
        <v>70</v>
      </c>
      <c r="DW21" s="670">
        <v>0</v>
      </c>
      <c r="DX21" s="670">
        <v>70</v>
      </c>
      <c r="DY21" s="670"/>
      <c r="DZ21" s="670"/>
      <c r="EA21" s="670"/>
      <c r="EB21" s="670"/>
      <c r="EC21" s="670"/>
      <c r="ED21" s="670"/>
      <c r="EE21" s="670"/>
      <c r="EF21" s="670"/>
      <c r="EG21" s="670"/>
      <c r="EH21" s="670">
        <v>51</v>
      </c>
      <c r="EI21" s="670">
        <v>0</v>
      </c>
      <c r="EJ21" s="670">
        <v>142.07611500000002</v>
      </c>
      <c r="EK21" s="670"/>
      <c r="EL21" s="670"/>
      <c r="EM21" s="670"/>
      <c r="EN21" s="670"/>
      <c r="EO21" s="670"/>
      <c r="EP21" s="670"/>
      <c r="EQ21" s="670">
        <v>150</v>
      </c>
      <c r="ER21" s="670">
        <v>0</v>
      </c>
      <c r="ES21" s="670">
        <v>294</v>
      </c>
      <c r="ET21" s="670">
        <v>25</v>
      </c>
      <c r="EU21" s="670">
        <v>0</v>
      </c>
      <c r="EV21" s="670">
        <v>57.496000000000002</v>
      </c>
      <c r="EW21" s="670"/>
      <c r="EX21" s="670"/>
      <c r="EY21" s="670"/>
      <c r="EZ21" s="670"/>
      <c r="FA21" s="670"/>
      <c r="FB21" s="670"/>
      <c r="FC21" s="670"/>
      <c r="FD21" s="670"/>
      <c r="FE21" s="670"/>
      <c r="FF21" s="670">
        <v>22</v>
      </c>
      <c r="FG21" s="670">
        <v>0</v>
      </c>
      <c r="FH21" s="670">
        <v>32</v>
      </c>
      <c r="FI21" s="670"/>
      <c r="FJ21" s="670"/>
      <c r="FK21" s="670"/>
      <c r="FL21" s="670"/>
      <c r="FM21" s="670"/>
      <c r="FN21" s="670"/>
      <c r="FO21" s="670"/>
      <c r="FP21" s="670"/>
      <c r="FQ21" s="670"/>
      <c r="FR21" s="670"/>
      <c r="FS21" s="670"/>
      <c r="FT21" s="670"/>
      <c r="FU21" s="670">
        <v>41</v>
      </c>
      <c r="FV21" s="670">
        <v>0</v>
      </c>
      <c r="FW21" s="670">
        <v>397.86799999999999</v>
      </c>
      <c r="FX21" s="670"/>
      <c r="FY21" s="670"/>
      <c r="FZ21" s="670"/>
      <c r="GA21" s="670"/>
      <c r="GB21" s="670"/>
      <c r="GC21" s="670"/>
      <c r="GD21" s="670"/>
      <c r="GE21" s="670"/>
      <c r="GF21" s="670"/>
      <c r="GG21" s="670"/>
      <c r="GH21" s="670"/>
      <c r="GI21" s="670"/>
      <c r="GJ21" s="670"/>
      <c r="GK21" s="670"/>
      <c r="GL21" s="670"/>
      <c r="GM21" s="670"/>
      <c r="GN21" s="670"/>
      <c r="GO21" s="670"/>
      <c r="GP21" s="670"/>
      <c r="GQ21" s="670"/>
      <c r="GR21" s="670"/>
      <c r="GS21" s="670"/>
      <c r="GT21" s="670"/>
      <c r="GU21" s="670"/>
      <c r="GV21" s="670"/>
      <c r="GW21" s="670"/>
      <c r="GX21" s="670"/>
      <c r="GY21" s="670"/>
      <c r="GZ21" s="670"/>
      <c r="HA21" s="670"/>
      <c r="HB21" s="670"/>
      <c r="HC21" s="670"/>
      <c r="HD21" s="670"/>
      <c r="HE21" s="670"/>
      <c r="HF21" s="670"/>
      <c r="HG21" s="670"/>
      <c r="HH21" s="670"/>
      <c r="HI21" s="670"/>
      <c r="HJ21" s="670"/>
      <c r="HK21" s="670"/>
      <c r="HL21" s="670"/>
      <c r="HM21" s="670"/>
      <c r="HN21" s="670">
        <v>16</v>
      </c>
      <c r="HO21" s="670">
        <v>0</v>
      </c>
      <c r="HP21" s="670">
        <v>36</v>
      </c>
      <c r="HQ21" s="670">
        <v>20</v>
      </c>
      <c r="HR21" s="670">
        <v>0</v>
      </c>
      <c r="HS21" s="670">
        <v>40</v>
      </c>
      <c r="HT21" s="670">
        <v>41</v>
      </c>
      <c r="HU21" s="670">
        <v>0</v>
      </c>
      <c r="HV21" s="670">
        <v>41</v>
      </c>
      <c r="HW21" s="670"/>
      <c r="HX21" s="670"/>
      <c r="HY21" s="670"/>
      <c r="HZ21" s="670"/>
      <c r="IA21" s="670"/>
      <c r="IB21" s="670"/>
      <c r="IC21" s="670">
        <v>71</v>
      </c>
      <c r="ID21" s="670">
        <v>0</v>
      </c>
      <c r="IE21" s="670">
        <v>71</v>
      </c>
      <c r="IF21" s="670"/>
      <c r="IG21" s="670"/>
      <c r="IH21" s="670"/>
      <c r="II21" s="670"/>
      <c r="IJ21" s="670"/>
      <c r="IK21" s="670"/>
      <c r="IL21" s="670">
        <v>51</v>
      </c>
      <c r="IM21" s="670">
        <v>0</v>
      </c>
      <c r="IN21" s="670">
        <v>86</v>
      </c>
      <c r="IO21" s="670"/>
      <c r="IP21" s="670"/>
      <c r="IQ21" s="670"/>
      <c r="IR21" s="670"/>
      <c r="IS21" s="670"/>
      <c r="IT21" s="670"/>
      <c r="IU21" s="670"/>
      <c r="IV21" s="670"/>
      <c r="IW21" s="670"/>
      <c r="IX21" s="670"/>
      <c r="IY21" s="670"/>
      <c r="IZ21" s="670"/>
      <c r="JA21" s="670"/>
      <c r="JB21" s="670"/>
      <c r="JC21" s="670"/>
      <c r="JD21" s="670"/>
      <c r="JE21" s="670"/>
      <c r="JF21" s="670"/>
      <c r="JG21" s="670"/>
      <c r="JH21" s="670"/>
      <c r="JI21" s="670"/>
      <c r="JJ21" s="670"/>
      <c r="JK21" s="670"/>
      <c r="JL21" s="670"/>
      <c r="JM21" s="670"/>
      <c r="JN21" s="670"/>
      <c r="JO21" s="670"/>
      <c r="JP21" s="670"/>
      <c r="JQ21" s="670"/>
      <c r="JR21" s="670"/>
      <c r="JS21" s="670"/>
      <c r="JT21" s="670"/>
      <c r="JU21" s="670"/>
      <c r="JV21" s="670"/>
      <c r="JW21" s="670"/>
      <c r="JX21" s="670"/>
      <c r="JY21" s="670"/>
      <c r="JZ21" s="670"/>
      <c r="KA21" s="670"/>
      <c r="KB21" s="670"/>
      <c r="KC21" s="670"/>
      <c r="KD21" s="670"/>
      <c r="KE21" s="670"/>
      <c r="KF21" s="670"/>
      <c r="KG21" s="670"/>
      <c r="KH21" s="670"/>
      <c r="KI21" s="670"/>
      <c r="KJ21" s="670"/>
      <c r="KK21" s="670"/>
      <c r="KL21" s="670"/>
      <c r="KM21" s="670"/>
      <c r="KN21" s="670"/>
      <c r="KO21" s="670"/>
      <c r="KP21" s="670"/>
      <c r="KQ21" s="670"/>
      <c r="KR21" s="670"/>
      <c r="KS21" s="670"/>
      <c r="KT21" s="670"/>
      <c r="KU21" s="670"/>
      <c r="KV21" s="670"/>
      <c r="KW21" s="670"/>
      <c r="KX21" s="670"/>
      <c r="KY21" s="670"/>
      <c r="KZ21" s="670"/>
      <c r="LA21" s="670"/>
      <c r="LB21" s="670"/>
      <c r="LC21" s="670"/>
      <c r="LD21" s="670"/>
      <c r="LE21" s="670"/>
      <c r="LF21" s="670"/>
      <c r="LG21" s="670"/>
      <c r="LH21" s="670"/>
      <c r="LI21" s="670"/>
      <c r="LJ21" s="670"/>
      <c r="LK21" s="670"/>
      <c r="LL21" s="670">
        <v>88</v>
      </c>
      <c r="LM21" s="670">
        <v>0</v>
      </c>
      <c r="LN21" s="670">
        <v>88</v>
      </c>
      <c r="LO21" s="670"/>
      <c r="LP21" s="670"/>
      <c r="LQ21" s="670"/>
      <c r="LR21" s="670"/>
      <c r="LS21" s="670"/>
      <c r="LT21" s="670"/>
      <c r="LU21" s="670">
        <v>90</v>
      </c>
      <c r="LV21" s="670">
        <v>0</v>
      </c>
      <c r="LW21" s="670">
        <v>657</v>
      </c>
      <c r="LX21" s="670">
        <v>5</v>
      </c>
      <c r="LY21" s="670">
        <v>0</v>
      </c>
      <c r="LZ21" s="670">
        <v>5</v>
      </c>
      <c r="MA21" s="670"/>
      <c r="MB21" s="670"/>
      <c r="MC21" s="670"/>
      <c r="MD21" s="670">
        <v>5</v>
      </c>
      <c r="ME21" s="670">
        <v>0</v>
      </c>
      <c r="MF21" s="670">
        <v>21.574400000000001</v>
      </c>
      <c r="MG21" s="670">
        <v>4</v>
      </c>
      <c r="MH21" s="670">
        <v>0</v>
      </c>
      <c r="MI21" s="670">
        <v>94.636669999999995</v>
      </c>
      <c r="MJ21" s="670"/>
      <c r="MK21" s="670"/>
      <c r="ML21" s="670"/>
      <c r="MM21" s="670"/>
      <c r="MN21" s="670"/>
      <c r="MO21" s="670"/>
      <c r="MP21" s="670"/>
      <c r="MQ21" s="670"/>
      <c r="MR21" s="670"/>
      <c r="MS21" s="670"/>
      <c r="MT21" s="670"/>
      <c r="MU21" s="670"/>
      <c r="MV21" s="670"/>
      <c r="MW21" s="670"/>
      <c r="MX21" s="670"/>
      <c r="MY21" s="670"/>
      <c r="MZ21" s="670"/>
      <c r="NA21" s="670"/>
      <c r="NB21" s="670"/>
      <c r="NC21" s="670"/>
      <c r="ND21" s="670"/>
      <c r="NE21" s="670"/>
      <c r="NF21" s="670"/>
      <c r="NG21" s="670"/>
      <c r="NH21" s="670"/>
      <c r="NI21" s="670"/>
      <c r="NJ21" s="670"/>
      <c r="NK21" s="670">
        <v>70</v>
      </c>
      <c r="NL21" s="670">
        <v>0</v>
      </c>
      <c r="NM21" s="670">
        <v>630</v>
      </c>
      <c r="NN21" s="670">
        <v>15</v>
      </c>
      <c r="NO21" s="670">
        <v>0</v>
      </c>
      <c r="NP21" s="670">
        <v>137.4</v>
      </c>
      <c r="NQ21" s="670"/>
      <c r="NR21" s="670"/>
      <c r="NS21" s="670"/>
      <c r="NT21" s="670"/>
      <c r="NU21" s="670"/>
      <c r="NV21" s="670"/>
      <c r="NW21" s="670"/>
      <c r="NX21" s="670"/>
      <c r="NY21" s="670"/>
      <c r="NZ21" s="670"/>
      <c r="OA21" s="670"/>
      <c r="OB21" s="670"/>
      <c r="OC21" s="670">
        <v>15</v>
      </c>
      <c r="OD21" s="670">
        <v>0</v>
      </c>
      <c r="OE21" s="670">
        <v>93.878889999999998</v>
      </c>
      <c r="OF21" s="670"/>
      <c r="OG21" s="670"/>
      <c r="OH21" s="670"/>
      <c r="OI21" s="670"/>
      <c r="OJ21" s="670"/>
      <c r="OK21" s="670"/>
      <c r="OL21" s="670"/>
      <c r="OM21" s="670"/>
      <c r="ON21" s="670"/>
      <c r="OO21" s="670"/>
      <c r="OP21" s="670"/>
      <c r="OQ21" s="670"/>
      <c r="OR21" s="670"/>
      <c r="OS21" s="670"/>
      <c r="OT21" s="670"/>
      <c r="OU21" s="670"/>
      <c r="OV21" s="670"/>
      <c r="OW21" s="670"/>
      <c r="OX21" s="670"/>
      <c r="OY21" s="670"/>
      <c r="OZ21" s="670"/>
      <c r="PA21" s="670"/>
      <c r="PB21" s="670"/>
      <c r="PC21" s="670"/>
      <c r="PD21" s="670">
        <v>27</v>
      </c>
      <c r="PE21" s="670">
        <v>0</v>
      </c>
      <c r="PF21" s="670">
        <v>147</v>
      </c>
      <c r="PG21" s="670">
        <v>13</v>
      </c>
      <c r="PH21" s="670">
        <v>0</v>
      </c>
      <c r="PI21" s="670">
        <v>13</v>
      </c>
      <c r="PJ21" s="670"/>
      <c r="PK21" s="670"/>
      <c r="PL21" s="670"/>
      <c r="PM21" s="670"/>
      <c r="PN21" s="670"/>
      <c r="PO21" s="670"/>
      <c r="PP21" s="670"/>
      <c r="PQ21" s="670"/>
      <c r="PR21" s="670"/>
      <c r="PS21" s="670"/>
      <c r="PT21" s="670"/>
      <c r="PU21" s="670"/>
      <c r="PV21" s="670"/>
      <c r="PW21" s="670"/>
      <c r="PX21" s="670"/>
      <c r="PY21" s="670"/>
      <c r="PZ21" s="670"/>
      <c r="QA21" s="670"/>
      <c r="QB21" s="670"/>
      <c r="QC21" s="670"/>
      <c r="QD21" s="670"/>
    </row>
    <row r="22" spans="1:446" s="673" customFormat="1" ht="14.1" customHeight="1" x14ac:dyDescent="0.25">
      <c r="A22" s="678">
        <v>1</v>
      </c>
      <c r="B22" s="676">
        <v>45118</v>
      </c>
      <c r="C22" s="674"/>
      <c r="D22" s="674"/>
      <c r="E22" s="674"/>
      <c r="F22" s="670"/>
      <c r="G22" s="670"/>
      <c r="H22" s="670"/>
      <c r="I22" s="670"/>
      <c r="J22" s="670"/>
      <c r="K22" s="670"/>
      <c r="L22" s="670"/>
      <c r="M22" s="670"/>
      <c r="N22" s="670"/>
      <c r="O22" s="670"/>
      <c r="P22" s="670"/>
      <c r="Q22" s="670"/>
      <c r="R22" s="670"/>
      <c r="S22" s="670"/>
      <c r="T22" s="670"/>
      <c r="U22" s="670"/>
      <c r="V22" s="670"/>
      <c r="W22" s="670"/>
      <c r="X22" s="670"/>
      <c r="Y22" s="670"/>
      <c r="Z22" s="670"/>
      <c r="AA22" s="670"/>
      <c r="AB22" s="670"/>
      <c r="AC22" s="670"/>
      <c r="AD22" s="670"/>
      <c r="AE22" s="670"/>
      <c r="AF22" s="670"/>
      <c r="AG22" s="670"/>
      <c r="AH22" s="670"/>
      <c r="AI22" s="670"/>
      <c r="AJ22" s="670"/>
      <c r="AK22" s="670"/>
      <c r="AL22" s="670"/>
      <c r="AM22" s="670"/>
      <c r="AN22" s="670"/>
      <c r="AO22" s="670"/>
      <c r="AP22" s="670"/>
      <c r="AQ22" s="670"/>
      <c r="AR22" s="670"/>
      <c r="AS22" s="670"/>
      <c r="AT22" s="670"/>
      <c r="AU22" s="670"/>
      <c r="AV22" s="670"/>
      <c r="AW22" s="670"/>
      <c r="AX22" s="670"/>
      <c r="AY22" s="670"/>
      <c r="AZ22" s="670"/>
      <c r="BA22" s="670"/>
      <c r="BB22" s="670"/>
      <c r="BC22" s="670"/>
      <c r="BD22" s="670"/>
      <c r="BE22" s="670"/>
      <c r="BF22" s="670"/>
      <c r="BG22" s="670"/>
      <c r="BH22" s="670"/>
      <c r="BI22" s="670"/>
      <c r="BJ22" s="670"/>
      <c r="BK22" s="670"/>
      <c r="BL22" s="670"/>
      <c r="BM22" s="670"/>
      <c r="BN22" s="670"/>
      <c r="BO22" s="670"/>
      <c r="BP22" s="670"/>
      <c r="BQ22" s="670"/>
      <c r="BR22" s="670"/>
      <c r="BS22" s="670"/>
      <c r="BT22" s="670"/>
      <c r="BU22" s="670"/>
      <c r="BV22" s="670"/>
      <c r="BW22" s="670"/>
      <c r="BX22" s="670"/>
      <c r="BY22" s="670"/>
      <c r="BZ22" s="670"/>
      <c r="CA22" s="670"/>
      <c r="CB22" s="670"/>
      <c r="CC22" s="670"/>
      <c r="CD22" s="670"/>
      <c r="CE22" s="670"/>
      <c r="CF22" s="670"/>
      <c r="CG22" s="670"/>
      <c r="CH22" s="670"/>
      <c r="CI22" s="670"/>
      <c r="CJ22" s="670"/>
      <c r="CK22" s="670"/>
      <c r="CL22" s="670"/>
      <c r="CM22" s="670"/>
      <c r="CN22" s="670"/>
      <c r="CO22" s="670"/>
      <c r="CP22" s="670"/>
      <c r="CQ22" s="670"/>
      <c r="CR22" s="670"/>
      <c r="CS22" s="670"/>
      <c r="CT22" s="670"/>
      <c r="CU22" s="670"/>
      <c r="CV22" s="670"/>
      <c r="CW22" s="670"/>
      <c r="CX22" s="670"/>
      <c r="CY22" s="670"/>
      <c r="CZ22" s="670"/>
      <c r="DA22" s="670"/>
      <c r="DB22" s="670"/>
      <c r="DC22" s="670"/>
      <c r="DD22" s="670"/>
      <c r="DE22" s="670"/>
      <c r="DF22" s="670"/>
      <c r="DG22" s="670"/>
      <c r="DH22" s="670"/>
      <c r="DI22" s="670"/>
      <c r="DJ22" s="670"/>
      <c r="DK22" s="670"/>
      <c r="DL22" s="670"/>
      <c r="DM22" s="670"/>
      <c r="DN22" s="670"/>
      <c r="DO22" s="670"/>
      <c r="DP22" s="670"/>
      <c r="DQ22" s="670"/>
      <c r="DR22" s="670"/>
      <c r="DS22" s="670"/>
      <c r="DT22" s="670"/>
      <c r="DU22" s="670"/>
      <c r="DV22" s="670"/>
      <c r="DW22" s="670"/>
      <c r="DX22" s="670"/>
      <c r="DY22" s="670"/>
      <c r="DZ22" s="670"/>
      <c r="EA22" s="670"/>
      <c r="EB22" s="670"/>
      <c r="EC22" s="670"/>
      <c r="ED22" s="670"/>
      <c r="EE22" s="670"/>
      <c r="EF22" s="670"/>
      <c r="EG22" s="670"/>
      <c r="EH22" s="670"/>
      <c r="EI22" s="670"/>
      <c r="EJ22" s="670"/>
      <c r="EK22" s="670"/>
      <c r="EL22" s="670"/>
      <c r="EM22" s="670"/>
      <c r="EN22" s="670"/>
      <c r="EO22" s="670"/>
      <c r="EP22" s="670"/>
      <c r="EQ22" s="670"/>
      <c r="ER22" s="670"/>
      <c r="ES22" s="670"/>
      <c r="ET22" s="670"/>
      <c r="EU22" s="670"/>
      <c r="EV22" s="670"/>
      <c r="EW22" s="670"/>
      <c r="EX22" s="670"/>
      <c r="EY22" s="670"/>
      <c r="EZ22" s="670"/>
      <c r="FA22" s="670"/>
      <c r="FB22" s="670"/>
      <c r="FC22" s="670"/>
      <c r="FD22" s="670"/>
      <c r="FE22" s="670"/>
      <c r="FF22" s="670"/>
      <c r="FG22" s="670"/>
      <c r="FH22" s="670"/>
      <c r="FI22" s="670"/>
      <c r="FJ22" s="670"/>
      <c r="FK22" s="670"/>
      <c r="FL22" s="670"/>
      <c r="FM22" s="670"/>
      <c r="FN22" s="670"/>
      <c r="FO22" s="670"/>
      <c r="FP22" s="670"/>
      <c r="FQ22" s="670"/>
      <c r="FR22" s="670"/>
      <c r="FS22" s="670"/>
      <c r="FT22" s="670"/>
      <c r="FU22" s="670"/>
      <c r="FV22" s="670"/>
      <c r="FW22" s="670"/>
      <c r="FX22" s="670"/>
      <c r="FY22" s="670"/>
      <c r="FZ22" s="670"/>
      <c r="GA22" s="670"/>
      <c r="GB22" s="670"/>
      <c r="GC22" s="670"/>
      <c r="GD22" s="670"/>
      <c r="GE22" s="670"/>
      <c r="GF22" s="670"/>
      <c r="GG22" s="670"/>
      <c r="GH22" s="670"/>
      <c r="GI22" s="670"/>
      <c r="GJ22" s="670"/>
      <c r="GK22" s="670"/>
      <c r="GL22" s="670"/>
      <c r="GM22" s="670"/>
      <c r="GN22" s="670"/>
      <c r="GO22" s="670"/>
      <c r="GP22" s="670"/>
      <c r="GQ22" s="670"/>
      <c r="GR22" s="670"/>
      <c r="GS22" s="670"/>
      <c r="GT22" s="670"/>
      <c r="GU22" s="670"/>
      <c r="GV22" s="670"/>
      <c r="GW22" s="670"/>
      <c r="GX22" s="670"/>
      <c r="GY22" s="670"/>
      <c r="GZ22" s="670"/>
      <c r="HA22" s="670"/>
      <c r="HB22" s="670"/>
      <c r="HC22" s="670"/>
      <c r="HD22" s="670"/>
      <c r="HE22" s="670"/>
      <c r="HF22" s="670"/>
      <c r="HG22" s="670"/>
      <c r="HH22" s="670"/>
      <c r="HI22" s="670"/>
      <c r="HJ22" s="670"/>
      <c r="HK22" s="670"/>
      <c r="HL22" s="670"/>
      <c r="HM22" s="670"/>
      <c r="HN22" s="670"/>
      <c r="HO22" s="670"/>
      <c r="HP22" s="670"/>
      <c r="HQ22" s="670"/>
      <c r="HR22" s="670"/>
      <c r="HS22" s="670"/>
      <c r="HT22" s="670"/>
      <c r="HU22" s="670"/>
      <c r="HV22" s="670"/>
      <c r="HW22" s="670"/>
      <c r="HX22" s="670"/>
      <c r="HY22" s="670"/>
      <c r="HZ22" s="670"/>
      <c r="IA22" s="670"/>
      <c r="IB22" s="670"/>
      <c r="IC22" s="670"/>
      <c r="ID22" s="670"/>
      <c r="IE22" s="670"/>
      <c r="IF22" s="670"/>
      <c r="IG22" s="670"/>
      <c r="IH22" s="670"/>
      <c r="II22" s="670"/>
      <c r="IJ22" s="670"/>
      <c r="IK22" s="670"/>
      <c r="IL22" s="670"/>
      <c r="IM22" s="670"/>
      <c r="IN22" s="670"/>
      <c r="IO22" s="670"/>
      <c r="IP22" s="670"/>
      <c r="IQ22" s="670"/>
      <c r="IR22" s="670"/>
      <c r="IS22" s="670"/>
      <c r="IT22" s="670"/>
      <c r="IU22" s="670"/>
      <c r="IV22" s="670"/>
      <c r="IW22" s="670"/>
      <c r="IX22" s="670"/>
      <c r="IY22" s="670"/>
      <c r="IZ22" s="670"/>
      <c r="JA22" s="670"/>
      <c r="JB22" s="670"/>
      <c r="JC22" s="670"/>
      <c r="JD22" s="670"/>
      <c r="JE22" s="670"/>
      <c r="JF22" s="670"/>
      <c r="JG22" s="670"/>
      <c r="JH22" s="670"/>
      <c r="JI22" s="670"/>
      <c r="JJ22" s="670"/>
      <c r="JK22" s="670"/>
      <c r="JL22" s="670"/>
      <c r="JM22" s="670"/>
      <c r="JN22" s="670"/>
      <c r="JO22" s="670"/>
      <c r="JP22" s="670"/>
      <c r="JQ22" s="670"/>
      <c r="JR22" s="670"/>
      <c r="JS22" s="670"/>
      <c r="JT22" s="670"/>
      <c r="JU22" s="670"/>
      <c r="JV22" s="670"/>
      <c r="JW22" s="670"/>
      <c r="JX22" s="670"/>
      <c r="JY22" s="670"/>
      <c r="JZ22" s="670"/>
      <c r="KA22" s="670"/>
      <c r="KB22" s="670"/>
      <c r="KC22" s="670"/>
      <c r="KD22" s="670"/>
      <c r="KE22" s="670"/>
      <c r="KF22" s="670"/>
      <c r="KG22" s="670"/>
      <c r="KH22" s="670"/>
      <c r="KI22" s="670"/>
      <c r="KJ22" s="670"/>
      <c r="KK22" s="670"/>
      <c r="KL22" s="670"/>
      <c r="KM22" s="670"/>
      <c r="KN22" s="670"/>
      <c r="KO22" s="670"/>
      <c r="KP22" s="670"/>
      <c r="KQ22" s="670"/>
      <c r="KR22" s="670"/>
      <c r="KS22" s="670"/>
      <c r="KT22" s="670"/>
      <c r="KU22" s="670"/>
      <c r="KV22" s="670"/>
      <c r="KW22" s="670"/>
      <c r="KX22" s="670"/>
      <c r="KY22" s="670"/>
      <c r="KZ22" s="670"/>
      <c r="LA22" s="670"/>
      <c r="LB22" s="670"/>
      <c r="LC22" s="670"/>
      <c r="LD22" s="670"/>
      <c r="LE22" s="670"/>
      <c r="LF22" s="670"/>
      <c r="LG22" s="670"/>
      <c r="LH22" s="670"/>
      <c r="LI22" s="670"/>
      <c r="LJ22" s="670"/>
      <c r="LK22" s="670"/>
      <c r="LL22" s="670"/>
      <c r="LM22" s="670"/>
      <c r="LN22" s="670"/>
      <c r="LO22" s="670"/>
      <c r="LP22" s="670"/>
      <c r="LQ22" s="670"/>
      <c r="LR22" s="670"/>
      <c r="LS22" s="670"/>
      <c r="LT22" s="670"/>
      <c r="LU22" s="670"/>
      <c r="LV22" s="670"/>
      <c r="LW22" s="670"/>
      <c r="LX22" s="670"/>
      <c r="LY22" s="670"/>
      <c r="LZ22" s="670"/>
      <c r="MA22" s="670"/>
      <c r="MB22" s="670"/>
      <c r="MC22" s="670"/>
      <c r="MD22" s="670"/>
      <c r="ME22" s="670"/>
      <c r="MF22" s="670"/>
      <c r="MG22" s="670"/>
      <c r="MH22" s="670"/>
      <c r="MI22" s="670"/>
      <c r="MJ22" s="670"/>
      <c r="MK22" s="670"/>
      <c r="ML22" s="670"/>
      <c r="MM22" s="670"/>
      <c r="MN22" s="670"/>
      <c r="MO22" s="670"/>
      <c r="MP22" s="670"/>
      <c r="MQ22" s="670"/>
      <c r="MR22" s="670"/>
      <c r="MS22" s="670"/>
      <c r="MT22" s="670"/>
      <c r="MU22" s="670"/>
      <c r="MV22" s="670"/>
      <c r="MW22" s="670"/>
      <c r="MX22" s="670"/>
      <c r="MY22" s="670"/>
      <c r="MZ22" s="670"/>
      <c r="NA22" s="670"/>
      <c r="NB22" s="670"/>
      <c r="NC22" s="670"/>
      <c r="ND22" s="670"/>
      <c r="NE22" s="670"/>
      <c r="NF22" s="670"/>
      <c r="NG22" s="670"/>
      <c r="NH22" s="670"/>
      <c r="NI22" s="670"/>
      <c r="NJ22" s="670"/>
      <c r="NK22" s="670"/>
      <c r="NL22" s="670"/>
      <c r="NM22" s="670"/>
      <c r="NN22" s="670"/>
      <c r="NO22" s="670"/>
      <c r="NP22" s="670"/>
      <c r="NQ22" s="670"/>
      <c r="NR22" s="670"/>
      <c r="NS22" s="670"/>
      <c r="NT22" s="670"/>
      <c r="NU22" s="670"/>
      <c r="NV22" s="670"/>
      <c r="NW22" s="670"/>
      <c r="NX22" s="670"/>
      <c r="NY22" s="670"/>
      <c r="NZ22" s="670"/>
      <c r="OA22" s="670"/>
      <c r="OB22" s="670"/>
      <c r="OC22" s="670"/>
      <c r="OD22" s="670"/>
      <c r="OE22" s="670"/>
      <c r="OF22" s="670"/>
      <c r="OG22" s="670"/>
      <c r="OH22" s="670"/>
      <c r="OI22" s="670"/>
      <c r="OJ22" s="670"/>
      <c r="OK22" s="670"/>
      <c r="OL22" s="670"/>
      <c r="OM22" s="670"/>
      <c r="ON22" s="670"/>
      <c r="OO22" s="670"/>
      <c r="OP22" s="670"/>
      <c r="OQ22" s="670"/>
      <c r="OR22" s="670"/>
      <c r="OS22" s="670"/>
      <c r="OT22" s="670"/>
      <c r="OU22" s="670"/>
      <c r="OV22" s="670"/>
      <c r="OW22" s="670"/>
      <c r="OX22" s="670"/>
      <c r="OY22" s="670"/>
      <c r="OZ22" s="670"/>
      <c r="PA22" s="670"/>
      <c r="PB22" s="670"/>
      <c r="PC22" s="670"/>
      <c r="PD22" s="670"/>
      <c r="PE22" s="670"/>
      <c r="PF22" s="670"/>
      <c r="PG22" s="670"/>
      <c r="PH22" s="670"/>
      <c r="PI22" s="670"/>
      <c r="PJ22" s="670"/>
      <c r="PK22" s="670"/>
      <c r="PL22" s="670"/>
      <c r="PM22" s="670"/>
      <c r="PN22" s="670"/>
      <c r="PO22" s="670"/>
      <c r="PP22" s="670"/>
      <c r="PQ22" s="670"/>
      <c r="PR22" s="670"/>
      <c r="PS22" s="670"/>
      <c r="PT22" s="670"/>
      <c r="PU22" s="670"/>
      <c r="PV22" s="670"/>
      <c r="PW22" s="670"/>
      <c r="PX22" s="670"/>
      <c r="PY22" s="670"/>
      <c r="PZ22" s="670"/>
      <c r="QA22" s="670"/>
      <c r="QB22" s="670"/>
      <c r="QC22" s="670"/>
      <c r="QD22" s="670"/>
    </row>
    <row r="23" spans="1:446" s="673" customFormat="1" ht="14.1" customHeight="1" x14ac:dyDescent="0.25">
      <c r="A23" s="678">
        <v>1</v>
      </c>
      <c r="B23" s="676">
        <v>45119</v>
      </c>
      <c r="C23" s="674"/>
      <c r="D23" s="674"/>
      <c r="E23" s="674"/>
      <c r="F23" s="670"/>
      <c r="G23" s="670"/>
      <c r="H23" s="670"/>
      <c r="I23" s="670"/>
      <c r="J23" s="670"/>
      <c r="K23" s="670"/>
      <c r="L23" s="670"/>
      <c r="M23" s="670"/>
      <c r="N23" s="670"/>
      <c r="O23" s="670"/>
      <c r="P23" s="670"/>
      <c r="Q23" s="670"/>
      <c r="R23" s="670"/>
      <c r="S23" s="670"/>
      <c r="T23" s="670"/>
      <c r="U23" s="670"/>
      <c r="V23" s="670"/>
      <c r="W23" s="670"/>
      <c r="X23" s="670"/>
      <c r="Y23" s="670"/>
      <c r="Z23" s="670"/>
      <c r="AA23" s="670"/>
      <c r="AB23" s="670"/>
      <c r="AC23" s="670"/>
      <c r="AD23" s="670"/>
      <c r="AE23" s="670"/>
      <c r="AF23" s="670"/>
      <c r="AG23" s="670"/>
      <c r="AH23" s="670"/>
      <c r="AI23" s="670"/>
      <c r="AJ23" s="670"/>
      <c r="AK23" s="670"/>
      <c r="AL23" s="670"/>
      <c r="AM23" s="670"/>
      <c r="AN23" s="670"/>
      <c r="AO23" s="670"/>
      <c r="AP23" s="670"/>
      <c r="AQ23" s="670"/>
      <c r="AR23" s="670"/>
      <c r="AS23" s="670"/>
      <c r="AT23" s="670"/>
      <c r="AU23" s="670"/>
      <c r="AV23" s="670"/>
      <c r="AW23" s="670"/>
      <c r="AX23" s="670"/>
      <c r="AY23" s="670"/>
      <c r="AZ23" s="670"/>
      <c r="BA23" s="670"/>
      <c r="BB23" s="670"/>
      <c r="BC23" s="670"/>
      <c r="BD23" s="670"/>
      <c r="BE23" s="670"/>
      <c r="BF23" s="670"/>
      <c r="BG23" s="670"/>
      <c r="BH23" s="670"/>
      <c r="BI23" s="670"/>
      <c r="BJ23" s="670"/>
      <c r="BK23" s="670"/>
      <c r="BL23" s="670"/>
      <c r="BM23" s="670"/>
      <c r="BN23" s="670"/>
      <c r="BO23" s="670"/>
      <c r="BP23" s="670"/>
      <c r="BQ23" s="670"/>
      <c r="BR23" s="670"/>
      <c r="BS23" s="670"/>
      <c r="BT23" s="670"/>
      <c r="BU23" s="670"/>
      <c r="BV23" s="670"/>
      <c r="BW23" s="670"/>
      <c r="BX23" s="670"/>
      <c r="BY23" s="670"/>
      <c r="BZ23" s="670"/>
      <c r="CA23" s="670"/>
      <c r="CB23" s="670"/>
      <c r="CC23" s="670"/>
      <c r="CD23" s="670"/>
      <c r="CE23" s="670"/>
      <c r="CF23" s="670"/>
      <c r="CG23" s="670"/>
      <c r="CH23" s="670"/>
      <c r="CI23" s="670"/>
      <c r="CJ23" s="670"/>
      <c r="CK23" s="670"/>
      <c r="CL23" s="670"/>
      <c r="CM23" s="670"/>
      <c r="CN23" s="670"/>
      <c r="CO23" s="670"/>
      <c r="CP23" s="670"/>
      <c r="CQ23" s="670"/>
      <c r="CR23" s="670"/>
      <c r="CS23" s="670"/>
      <c r="CT23" s="670"/>
      <c r="CU23" s="670"/>
      <c r="CV23" s="670"/>
      <c r="CW23" s="670"/>
      <c r="CX23" s="670"/>
      <c r="CY23" s="670"/>
      <c r="CZ23" s="670"/>
      <c r="DA23" s="670"/>
      <c r="DB23" s="670"/>
      <c r="DC23" s="670"/>
      <c r="DD23" s="670"/>
      <c r="DE23" s="670"/>
      <c r="DF23" s="670"/>
      <c r="DG23" s="670"/>
      <c r="DH23" s="670"/>
      <c r="DI23" s="670"/>
      <c r="DJ23" s="670"/>
      <c r="DK23" s="670"/>
      <c r="DL23" s="670"/>
      <c r="DM23" s="670"/>
      <c r="DN23" s="670"/>
      <c r="DO23" s="670"/>
      <c r="DP23" s="670"/>
      <c r="DQ23" s="670"/>
      <c r="DR23" s="670"/>
      <c r="DS23" s="670"/>
      <c r="DT23" s="670"/>
      <c r="DU23" s="670"/>
      <c r="DV23" s="670"/>
      <c r="DW23" s="670"/>
      <c r="DX23" s="670"/>
      <c r="DY23" s="670"/>
      <c r="DZ23" s="670"/>
      <c r="EA23" s="670"/>
      <c r="EB23" s="670"/>
      <c r="EC23" s="670"/>
      <c r="ED23" s="670"/>
      <c r="EE23" s="670"/>
      <c r="EF23" s="670"/>
      <c r="EG23" s="670"/>
      <c r="EH23" s="670"/>
      <c r="EI23" s="670"/>
      <c r="EJ23" s="670"/>
      <c r="EK23" s="670"/>
      <c r="EL23" s="670"/>
      <c r="EM23" s="670"/>
      <c r="EN23" s="670"/>
      <c r="EO23" s="670"/>
      <c r="EP23" s="670"/>
      <c r="EQ23" s="670"/>
      <c r="ER23" s="670"/>
      <c r="ES23" s="670"/>
      <c r="ET23" s="670"/>
      <c r="EU23" s="670"/>
      <c r="EV23" s="670"/>
      <c r="EW23" s="670"/>
      <c r="EX23" s="670"/>
      <c r="EY23" s="670"/>
      <c r="EZ23" s="670"/>
      <c r="FA23" s="670"/>
      <c r="FB23" s="670"/>
      <c r="FC23" s="670"/>
      <c r="FD23" s="670"/>
      <c r="FE23" s="670"/>
      <c r="FF23" s="670"/>
      <c r="FG23" s="670"/>
      <c r="FH23" s="670"/>
      <c r="FI23" s="670"/>
      <c r="FJ23" s="670"/>
      <c r="FK23" s="670"/>
      <c r="FL23" s="670"/>
      <c r="FM23" s="670"/>
      <c r="FN23" s="670"/>
      <c r="FO23" s="670"/>
      <c r="FP23" s="670"/>
      <c r="FQ23" s="670"/>
      <c r="FR23" s="670"/>
      <c r="FS23" s="670"/>
      <c r="FT23" s="670"/>
      <c r="FU23" s="670"/>
      <c r="FV23" s="670"/>
      <c r="FW23" s="670"/>
      <c r="FX23" s="670"/>
      <c r="FY23" s="670"/>
      <c r="FZ23" s="670"/>
      <c r="GA23" s="670"/>
      <c r="GB23" s="670"/>
      <c r="GC23" s="670"/>
      <c r="GD23" s="670"/>
      <c r="GE23" s="670"/>
      <c r="GF23" s="670"/>
      <c r="GG23" s="670"/>
      <c r="GH23" s="670"/>
      <c r="GI23" s="670"/>
      <c r="GJ23" s="670"/>
      <c r="GK23" s="670"/>
      <c r="GL23" s="670"/>
      <c r="GM23" s="670"/>
      <c r="GN23" s="670"/>
      <c r="GO23" s="670"/>
      <c r="GP23" s="670"/>
      <c r="GQ23" s="670"/>
      <c r="GR23" s="670"/>
      <c r="GS23" s="670"/>
      <c r="GT23" s="670"/>
      <c r="GU23" s="670"/>
      <c r="GV23" s="670"/>
      <c r="GW23" s="670"/>
      <c r="GX23" s="670"/>
      <c r="GY23" s="670"/>
      <c r="GZ23" s="670"/>
      <c r="HA23" s="670"/>
      <c r="HB23" s="670"/>
      <c r="HC23" s="670"/>
      <c r="HD23" s="670"/>
      <c r="HE23" s="670"/>
      <c r="HF23" s="670"/>
      <c r="HG23" s="670"/>
      <c r="HH23" s="670"/>
      <c r="HI23" s="670"/>
      <c r="HJ23" s="670"/>
      <c r="HK23" s="670"/>
      <c r="HL23" s="670"/>
      <c r="HM23" s="670"/>
      <c r="HN23" s="670"/>
      <c r="HO23" s="670"/>
      <c r="HP23" s="670"/>
      <c r="HQ23" s="670"/>
      <c r="HR23" s="670"/>
      <c r="HS23" s="670"/>
      <c r="HT23" s="670"/>
      <c r="HU23" s="670"/>
      <c r="HV23" s="670"/>
      <c r="HW23" s="670"/>
      <c r="HX23" s="670"/>
      <c r="HY23" s="670"/>
      <c r="HZ23" s="670"/>
      <c r="IA23" s="670"/>
      <c r="IB23" s="670"/>
      <c r="IC23" s="670"/>
      <c r="ID23" s="670"/>
      <c r="IE23" s="670"/>
      <c r="IF23" s="670"/>
      <c r="IG23" s="670"/>
      <c r="IH23" s="670"/>
      <c r="II23" s="670"/>
      <c r="IJ23" s="670"/>
      <c r="IK23" s="670"/>
      <c r="IL23" s="670"/>
      <c r="IM23" s="670"/>
      <c r="IN23" s="670"/>
      <c r="IO23" s="670"/>
      <c r="IP23" s="670"/>
      <c r="IQ23" s="670"/>
      <c r="IR23" s="670"/>
      <c r="IS23" s="670"/>
      <c r="IT23" s="670"/>
      <c r="IU23" s="670"/>
      <c r="IV23" s="670"/>
      <c r="IW23" s="670"/>
      <c r="IX23" s="670"/>
      <c r="IY23" s="670"/>
      <c r="IZ23" s="670"/>
      <c r="JA23" s="670"/>
      <c r="JB23" s="670"/>
      <c r="JC23" s="670"/>
      <c r="JD23" s="670"/>
      <c r="JE23" s="670"/>
      <c r="JF23" s="670"/>
      <c r="JG23" s="670"/>
      <c r="JH23" s="670"/>
      <c r="JI23" s="670"/>
      <c r="JJ23" s="670"/>
      <c r="JK23" s="670"/>
      <c r="JL23" s="670"/>
      <c r="JM23" s="670"/>
      <c r="JN23" s="670"/>
      <c r="JO23" s="670"/>
      <c r="JP23" s="670"/>
      <c r="JQ23" s="670"/>
      <c r="JR23" s="670"/>
      <c r="JS23" s="670"/>
      <c r="JT23" s="670"/>
      <c r="JU23" s="670"/>
      <c r="JV23" s="670"/>
      <c r="JW23" s="670"/>
      <c r="JX23" s="670"/>
      <c r="JY23" s="670"/>
      <c r="JZ23" s="670"/>
      <c r="KA23" s="670"/>
      <c r="KB23" s="670"/>
      <c r="KC23" s="670"/>
      <c r="KD23" s="670"/>
      <c r="KE23" s="670"/>
      <c r="KF23" s="670"/>
      <c r="KG23" s="670"/>
      <c r="KH23" s="670"/>
      <c r="KI23" s="670"/>
      <c r="KJ23" s="670"/>
      <c r="KK23" s="670"/>
      <c r="KL23" s="670"/>
      <c r="KM23" s="670"/>
      <c r="KN23" s="670"/>
      <c r="KO23" s="670"/>
      <c r="KP23" s="670"/>
      <c r="KQ23" s="670"/>
      <c r="KR23" s="670"/>
      <c r="KS23" s="670"/>
      <c r="KT23" s="670"/>
      <c r="KU23" s="670"/>
      <c r="KV23" s="670"/>
      <c r="KW23" s="670"/>
      <c r="KX23" s="670"/>
      <c r="KY23" s="670"/>
      <c r="KZ23" s="670"/>
      <c r="LA23" s="670"/>
      <c r="LB23" s="670"/>
      <c r="LC23" s="670"/>
      <c r="LD23" s="670"/>
      <c r="LE23" s="670"/>
      <c r="LF23" s="670"/>
      <c r="LG23" s="670"/>
      <c r="LH23" s="670"/>
      <c r="LI23" s="670"/>
      <c r="LJ23" s="670"/>
      <c r="LK23" s="670"/>
      <c r="LL23" s="670"/>
      <c r="LM23" s="670"/>
      <c r="LN23" s="670"/>
      <c r="LO23" s="670"/>
      <c r="LP23" s="670"/>
      <c r="LQ23" s="670"/>
      <c r="LR23" s="670"/>
      <c r="LS23" s="670"/>
      <c r="LT23" s="670"/>
      <c r="LU23" s="670"/>
      <c r="LV23" s="670"/>
      <c r="LW23" s="670"/>
      <c r="LX23" s="670"/>
      <c r="LY23" s="670"/>
      <c r="LZ23" s="670"/>
      <c r="MA23" s="670"/>
      <c r="MB23" s="670"/>
      <c r="MC23" s="670"/>
      <c r="MD23" s="670"/>
      <c r="ME23" s="670"/>
      <c r="MF23" s="670"/>
      <c r="MG23" s="670"/>
      <c r="MH23" s="670"/>
      <c r="MI23" s="670"/>
      <c r="MJ23" s="670"/>
      <c r="MK23" s="670"/>
      <c r="ML23" s="670"/>
      <c r="MM23" s="670"/>
      <c r="MN23" s="670"/>
      <c r="MO23" s="670"/>
      <c r="MP23" s="670"/>
      <c r="MQ23" s="670"/>
      <c r="MR23" s="670"/>
      <c r="MS23" s="670"/>
      <c r="MT23" s="670"/>
      <c r="MU23" s="670"/>
      <c r="MV23" s="670"/>
      <c r="MW23" s="670"/>
      <c r="MX23" s="670"/>
      <c r="MY23" s="670"/>
      <c r="MZ23" s="670"/>
      <c r="NA23" s="670"/>
      <c r="NB23" s="670"/>
      <c r="NC23" s="670"/>
      <c r="ND23" s="670"/>
      <c r="NE23" s="670"/>
      <c r="NF23" s="670"/>
      <c r="NG23" s="670"/>
      <c r="NH23" s="670"/>
      <c r="NI23" s="670"/>
      <c r="NJ23" s="670"/>
      <c r="NK23" s="670"/>
      <c r="NL23" s="670"/>
      <c r="NM23" s="670"/>
      <c r="NN23" s="670"/>
      <c r="NO23" s="670"/>
      <c r="NP23" s="670"/>
      <c r="NQ23" s="670"/>
      <c r="NR23" s="670"/>
      <c r="NS23" s="670"/>
      <c r="NT23" s="670"/>
      <c r="NU23" s="670"/>
      <c r="NV23" s="670"/>
      <c r="NW23" s="670"/>
      <c r="NX23" s="670"/>
      <c r="NY23" s="670"/>
      <c r="NZ23" s="670"/>
      <c r="OA23" s="670"/>
      <c r="OB23" s="670"/>
      <c r="OC23" s="670"/>
      <c r="OD23" s="670"/>
      <c r="OE23" s="670"/>
      <c r="OF23" s="670"/>
      <c r="OG23" s="670"/>
      <c r="OH23" s="670"/>
      <c r="OI23" s="670"/>
      <c r="OJ23" s="670"/>
      <c r="OK23" s="670"/>
      <c r="OL23" s="670"/>
      <c r="OM23" s="670"/>
      <c r="ON23" s="670"/>
      <c r="OO23" s="670"/>
      <c r="OP23" s="670"/>
      <c r="OQ23" s="670"/>
      <c r="OR23" s="670"/>
      <c r="OS23" s="670"/>
      <c r="OT23" s="670"/>
      <c r="OU23" s="670"/>
      <c r="OV23" s="670"/>
      <c r="OW23" s="670"/>
      <c r="OX23" s="670"/>
      <c r="OY23" s="670"/>
      <c r="OZ23" s="670"/>
      <c r="PA23" s="670"/>
      <c r="PB23" s="670"/>
      <c r="PC23" s="670"/>
      <c r="PD23" s="670"/>
      <c r="PE23" s="670"/>
      <c r="PF23" s="670"/>
      <c r="PG23" s="670"/>
      <c r="PH23" s="670"/>
      <c r="PI23" s="670"/>
      <c r="PJ23" s="670"/>
      <c r="PK23" s="670"/>
      <c r="PL23" s="670"/>
      <c r="PM23" s="670"/>
      <c r="PN23" s="670"/>
      <c r="PO23" s="670"/>
      <c r="PP23" s="670"/>
      <c r="PQ23" s="670"/>
      <c r="PR23" s="670"/>
      <c r="PS23" s="670"/>
      <c r="PT23" s="670"/>
      <c r="PU23" s="670"/>
      <c r="PV23" s="670"/>
      <c r="PW23" s="670"/>
      <c r="PX23" s="670"/>
      <c r="PY23" s="670"/>
      <c r="PZ23" s="670"/>
      <c r="QA23" s="670"/>
      <c r="QB23" s="670"/>
      <c r="QC23" s="670"/>
      <c r="QD23" s="670"/>
    </row>
    <row r="24" spans="1:446" s="673" customFormat="1" ht="14.1" customHeight="1" x14ac:dyDescent="0.25">
      <c r="A24" s="678">
        <v>1</v>
      </c>
      <c r="B24" s="676">
        <v>45120</v>
      </c>
      <c r="C24" s="674"/>
      <c r="D24" s="674"/>
      <c r="E24" s="674"/>
      <c r="F24" s="670"/>
      <c r="G24" s="670"/>
      <c r="H24" s="670"/>
      <c r="I24" s="670"/>
      <c r="J24" s="670"/>
      <c r="K24" s="670"/>
      <c r="L24" s="670"/>
      <c r="M24" s="670"/>
      <c r="N24" s="670"/>
      <c r="O24" s="670"/>
      <c r="P24" s="670"/>
      <c r="Q24" s="670"/>
      <c r="R24" s="670"/>
      <c r="S24" s="670"/>
      <c r="T24" s="670"/>
      <c r="U24" s="670"/>
      <c r="V24" s="670"/>
      <c r="W24" s="670"/>
      <c r="X24" s="670"/>
      <c r="Y24" s="670"/>
      <c r="Z24" s="670"/>
      <c r="AA24" s="670"/>
      <c r="AB24" s="670"/>
      <c r="AC24" s="670"/>
      <c r="AD24" s="670"/>
      <c r="AE24" s="670"/>
      <c r="AF24" s="670"/>
      <c r="AG24" s="670"/>
      <c r="AH24" s="670"/>
      <c r="AI24" s="670"/>
      <c r="AJ24" s="670"/>
      <c r="AK24" s="670"/>
      <c r="AL24" s="670"/>
      <c r="AM24" s="670"/>
      <c r="AN24" s="670"/>
      <c r="AO24" s="670"/>
      <c r="AP24" s="670"/>
      <c r="AQ24" s="670"/>
      <c r="AR24" s="670"/>
      <c r="AS24" s="670"/>
      <c r="AT24" s="670"/>
      <c r="AU24" s="670"/>
      <c r="AV24" s="670"/>
      <c r="AW24" s="670"/>
      <c r="AX24" s="670"/>
      <c r="AY24" s="670"/>
      <c r="AZ24" s="670"/>
      <c r="BA24" s="670"/>
      <c r="BB24" s="670"/>
      <c r="BC24" s="670"/>
      <c r="BD24" s="670"/>
      <c r="BE24" s="670"/>
      <c r="BF24" s="670"/>
      <c r="BG24" s="670"/>
      <c r="BH24" s="670"/>
      <c r="BI24" s="670"/>
      <c r="BJ24" s="670"/>
      <c r="BK24" s="670"/>
      <c r="BL24" s="670"/>
      <c r="BM24" s="670"/>
      <c r="BN24" s="670"/>
      <c r="BO24" s="670"/>
      <c r="BP24" s="670"/>
      <c r="BQ24" s="670"/>
      <c r="BR24" s="670"/>
      <c r="BS24" s="670"/>
      <c r="BT24" s="670"/>
      <c r="BU24" s="670"/>
      <c r="BV24" s="670"/>
      <c r="BW24" s="670"/>
      <c r="BX24" s="670"/>
      <c r="BY24" s="670"/>
      <c r="BZ24" s="670"/>
      <c r="CA24" s="670"/>
      <c r="CB24" s="670"/>
      <c r="CC24" s="670"/>
      <c r="CD24" s="670"/>
      <c r="CE24" s="670"/>
      <c r="CF24" s="670"/>
      <c r="CG24" s="670"/>
      <c r="CH24" s="670"/>
      <c r="CI24" s="670"/>
      <c r="CJ24" s="670"/>
      <c r="CK24" s="670"/>
      <c r="CL24" s="670"/>
      <c r="CM24" s="670"/>
      <c r="CN24" s="670"/>
      <c r="CO24" s="670"/>
      <c r="CP24" s="670"/>
      <c r="CQ24" s="670"/>
      <c r="CR24" s="670"/>
      <c r="CS24" s="670"/>
      <c r="CT24" s="670"/>
      <c r="CU24" s="670"/>
      <c r="CV24" s="670"/>
      <c r="CW24" s="670"/>
      <c r="CX24" s="670"/>
      <c r="CY24" s="670"/>
      <c r="CZ24" s="670"/>
      <c r="DA24" s="670"/>
      <c r="DB24" s="670"/>
      <c r="DC24" s="670"/>
      <c r="DD24" s="670"/>
      <c r="DE24" s="670"/>
      <c r="DF24" s="670"/>
      <c r="DG24" s="670"/>
      <c r="DH24" s="670"/>
      <c r="DI24" s="670"/>
      <c r="DJ24" s="670"/>
      <c r="DK24" s="670"/>
      <c r="DL24" s="670"/>
      <c r="DM24" s="670"/>
      <c r="DN24" s="670"/>
      <c r="DO24" s="670"/>
      <c r="DP24" s="670"/>
      <c r="DQ24" s="670"/>
      <c r="DR24" s="670"/>
      <c r="DS24" s="670"/>
      <c r="DT24" s="670"/>
      <c r="DU24" s="670"/>
      <c r="DV24" s="670"/>
      <c r="DW24" s="670"/>
      <c r="DX24" s="670"/>
      <c r="DY24" s="670"/>
      <c r="DZ24" s="670"/>
      <c r="EA24" s="670"/>
      <c r="EB24" s="670"/>
      <c r="EC24" s="670"/>
      <c r="ED24" s="670"/>
      <c r="EE24" s="670"/>
      <c r="EF24" s="670"/>
      <c r="EG24" s="670"/>
      <c r="EH24" s="670"/>
      <c r="EI24" s="670"/>
      <c r="EJ24" s="670"/>
      <c r="EK24" s="670"/>
      <c r="EL24" s="670"/>
      <c r="EM24" s="670"/>
      <c r="EN24" s="670"/>
      <c r="EO24" s="670"/>
      <c r="EP24" s="670"/>
      <c r="EQ24" s="670"/>
      <c r="ER24" s="670"/>
      <c r="ES24" s="670"/>
      <c r="ET24" s="670"/>
      <c r="EU24" s="670"/>
      <c r="EV24" s="670"/>
      <c r="EW24" s="670"/>
      <c r="EX24" s="670"/>
      <c r="EY24" s="670"/>
      <c r="EZ24" s="670"/>
      <c r="FA24" s="670"/>
      <c r="FB24" s="670"/>
      <c r="FC24" s="670"/>
      <c r="FD24" s="670"/>
      <c r="FE24" s="670"/>
      <c r="FF24" s="670"/>
      <c r="FG24" s="670"/>
      <c r="FH24" s="670"/>
      <c r="FI24" s="670"/>
      <c r="FJ24" s="670"/>
      <c r="FK24" s="670"/>
      <c r="FL24" s="670"/>
      <c r="FM24" s="670"/>
      <c r="FN24" s="670"/>
      <c r="FO24" s="670"/>
      <c r="FP24" s="670"/>
      <c r="FQ24" s="670"/>
      <c r="FR24" s="670"/>
      <c r="FS24" s="670"/>
      <c r="FT24" s="670"/>
      <c r="FU24" s="670"/>
      <c r="FV24" s="670"/>
      <c r="FW24" s="670"/>
      <c r="FX24" s="670"/>
      <c r="FY24" s="670"/>
      <c r="FZ24" s="670"/>
      <c r="GA24" s="670"/>
      <c r="GB24" s="670"/>
      <c r="GC24" s="670"/>
      <c r="GD24" s="670"/>
      <c r="GE24" s="670"/>
      <c r="GF24" s="670"/>
      <c r="GG24" s="670"/>
      <c r="GH24" s="670"/>
      <c r="GI24" s="670"/>
      <c r="GJ24" s="670"/>
      <c r="GK24" s="670"/>
      <c r="GL24" s="670"/>
      <c r="GM24" s="670"/>
      <c r="GN24" s="670"/>
      <c r="GO24" s="670"/>
      <c r="GP24" s="670"/>
      <c r="GQ24" s="670"/>
      <c r="GR24" s="670"/>
      <c r="GS24" s="670"/>
      <c r="GT24" s="670"/>
      <c r="GU24" s="670"/>
      <c r="GV24" s="670"/>
      <c r="GW24" s="670"/>
      <c r="GX24" s="670"/>
      <c r="GY24" s="670"/>
      <c r="GZ24" s="670"/>
      <c r="HA24" s="670"/>
      <c r="HB24" s="670"/>
      <c r="HC24" s="670"/>
      <c r="HD24" s="670"/>
      <c r="HE24" s="670"/>
      <c r="HF24" s="670"/>
      <c r="HG24" s="670"/>
      <c r="HH24" s="670"/>
      <c r="HI24" s="670"/>
      <c r="HJ24" s="670"/>
      <c r="HK24" s="670"/>
      <c r="HL24" s="670"/>
      <c r="HM24" s="670"/>
      <c r="HN24" s="670"/>
      <c r="HO24" s="670"/>
      <c r="HP24" s="670"/>
      <c r="HQ24" s="670"/>
      <c r="HR24" s="670"/>
      <c r="HS24" s="670"/>
      <c r="HT24" s="670"/>
      <c r="HU24" s="670"/>
      <c r="HV24" s="670"/>
      <c r="HW24" s="670"/>
      <c r="HX24" s="670"/>
      <c r="HY24" s="670"/>
      <c r="HZ24" s="670"/>
      <c r="IA24" s="670"/>
      <c r="IB24" s="670"/>
      <c r="IC24" s="670"/>
      <c r="ID24" s="670"/>
      <c r="IE24" s="670"/>
      <c r="IF24" s="670"/>
      <c r="IG24" s="670"/>
      <c r="IH24" s="670"/>
      <c r="II24" s="670"/>
      <c r="IJ24" s="670"/>
      <c r="IK24" s="670"/>
      <c r="IL24" s="670"/>
      <c r="IM24" s="670"/>
      <c r="IN24" s="670"/>
      <c r="IO24" s="670"/>
      <c r="IP24" s="670"/>
      <c r="IQ24" s="670"/>
      <c r="IR24" s="670"/>
      <c r="IS24" s="670"/>
      <c r="IT24" s="670"/>
      <c r="IU24" s="670"/>
      <c r="IV24" s="670"/>
      <c r="IW24" s="670"/>
      <c r="IX24" s="670"/>
      <c r="IY24" s="670"/>
      <c r="IZ24" s="670"/>
      <c r="JA24" s="670"/>
      <c r="JB24" s="670"/>
      <c r="JC24" s="670"/>
      <c r="JD24" s="670"/>
      <c r="JE24" s="670"/>
      <c r="JF24" s="670"/>
      <c r="JG24" s="670"/>
      <c r="JH24" s="670"/>
      <c r="JI24" s="670"/>
      <c r="JJ24" s="670"/>
      <c r="JK24" s="670"/>
      <c r="JL24" s="670"/>
      <c r="JM24" s="670"/>
      <c r="JN24" s="670"/>
      <c r="JO24" s="670"/>
      <c r="JP24" s="670"/>
      <c r="JQ24" s="670"/>
      <c r="JR24" s="670"/>
      <c r="JS24" s="670"/>
      <c r="JT24" s="670"/>
      <c r="JU24" s="670"/>
      <c r="JV24" s="670"/>
      <c r="JW24" s="670"/>
      <c r="JX24" s="670"/>
      <c r="JY24" s="670"/>
      <c r="JZ24" s="670"/>
      <c r="KA24" s="670"/>
      <c r="KB24" s="670"/>
      <c r="KC24" s="670"/>
      <c r="KD24" s="670"/>
      <c r="KE24" s="670"/>
      <c r="KF24" s="670"/>
      <c r="KG24" s="670"/>
      <c r="KH24" s="670"/>
      <c r="KI24" s="670"/>
      <c r="KJ24" s="670"/>
      <c r="KK24" s="670"/>
      <c r="KL24" s="670"/>
      <c r="KM24" s="670"/>
      <c r="KN24" s="670"/>
      <c r="KO24" s="670"/>
      <c r="KP24" s="670"/>
      <c r="KQ24" s="670"/>
      <c r="KR24" s="670"/>
      <c r="KS24" s="670"/>
      <c r="KT24" s="670"/>
      <c r="KU24" s="670"/>
      <c r="KV24" s="670"/>
      <c r="KW24" s="670"/>
      <c r="KX24" s="670"/>
      <c r="KY24" s="670"/>
      <c r="KZ24" s="670"/>
      <c r="LA24" s="670"/>
      <c r="LB24" s="670"/>
      <c r="LC24" s="670"/>
      <c r="LD24" s="670"/>
      <c r="LE24" s="670"/>
      <c r="LF24" s="670"/>
      <c r="LG24" s="670"/>
      <c r="LH24" s="670"/>
      <c r="LI24" s="670"/>
      <c r="LJ24" s="670"/>
      <c r="LK24" s="670"/>
      <c r="LL24" s="670"/>
      <c r="LM24" s="670"/>
      <c r="LN24" s="670"/>
      <c r="LO24" s="670"/>
      <c r="LP24" s="670"/>
      <c r="LQ24" s="670"/>
      <c r="LR24" s="670"/>
      <c r="LS24" s="670"/>
      <c r="LT24" s="670"/>
      <c r="LU24" s="670"/>
      <c r="LV24" s="670"/>
      <c r="LW24" s="670"/>
      <c r="LX24" s="670"/>
      <c r="LY24" s="670"/>
      <c r="LZ24" s="670"/>
      <c r="MA24" s="670"/>
      <c r="MB24" s="670"/>
      <c r="MC24" s="670"/>
      <c r="MD24" s="670"/>
      <c r="ME24" s="670"/>
      <c r="MF24" s="670"/>
      <c r="MG24" s="670"/>
      <c r="MH24" s="670"/>
      <c r="MI24" s="670"/>
      <c r="MJ24" s="670"/>
      <c r="MK24" s="670"/>
      <c r="ML24" s="670"/>
      <c r="MM24" s="670"/>
      <c r="MN24" s="670"/>
      <c r="MO24" s="670"/>
      <c r="MP24" s="670"/>
      <c r="MQ24" s="670"/>
      <c r="MR24" s="670"/>
      <c r="MS24" s="670"/>
      <c r="MT24" s="670"/>
      <c r="MU24" s="670"/>
      <c r="MV24" s="670"/>
      <c r="MW24" s="670"/>
      <c r="MX24" s="670"/>
      <c r="MY24" s="670"/>
      <c r="MZ24" s="670"/>
      <c r="NA24" s="670"/>
      <c r="NB24" s="670"/>
      <c r="NC24" s="670"/>
      <c r="ND24" s="670"/>
      <c r="NE24" s="670"/>
      <c r="NF24" s="670"/>
      <c r="NG24" s="670"/>
      <c r="NH24" s="670"/>
      <c r="NI24" s="670"/>
      <c r="NJ24" s="670"/>
      <c r="NK24" s="670"/>
      <c r="NL24" s="670"/>
      <c r="NM24" s="670"/>
      <c r="NN24" s="670"/>
      <c r="NO24" s="670"/>
      <c r="NP24" s="670"/>
      <c r="NQ24" s="670"/>
      <c r="NR24" s="670"/>
      <c r="NS24" s="670"/>
      <c r="NT24" s="670"/>
      <c r="NU24" s="670"/>
      <c r="NV24" s="670"/>
      <c r="NW24" s="670"/>
      <c r="NX24" s="670"/>
      <c r="NY24" s="670"/>
      <c r="NZ24" s="670"/>
      <c r="OA24" s="670"/>
      <c r="OB24" s="670"/>
      <c r="OC24" s="670"/>
      <c r="OD24" s="670"/>
      <c r="OE24" s="670"/>
      <c r="OF24" s="670"/>
      <c r="OG24" s="670"/>
      <c r="OH24" s="670"/>
      <c r="OI24" s="670"/>
      <c r="OJ24" s="670"/>
      <c r="OK24" s="670"/>
      <c r="OL24" s="670"/>
      <c r="OM24" s="670"/>
      <c r="ON24" s="670"/>
      <c r="OO24" s="670"/>
      <c r="OP24" s="670"/>
      <c r="OQ24" s="670"/>
      <c r="OR24" s="670"/>
      <c r="OS24" s="670"/>
      <c r="OT24" s="670"/>
      <c r="OU24" s="670"/>
      <c r="OV24" s="670"/>
      <c r="OW24" s="670"/>
      <c r="OX24" s="670"/>
      <c r="OY24" s="670"/>
      <c r="OZ24" s="670"/>
      <c r="PA24" s="670"/>
      <c r="PB24" s="670"/>
      <c r="PC24" s="670"/>
      <c r="PD24" s="670"/>
      <c r="PE24" s="670"/>
      <c r="PF24" s="670"/>
      <c r="PG24" s="670"/>
      <c r="PH24" s="670"/>
      <c r="PI24" s="670"/>
      <c r="PJ24" s="670"/>
      <c r="PK24" s="670"/>
      <c r="PL24" s="670"/>
      <c r="PM24" s="670"/>
      <c r="PN24" s="670"/>
      <c r="PO24" s="670"/>
      <c r="PP24" s="670"/>
      <c r="PQ24" s="670"/>
      <c r="PR24" s="670"/>
      <c r="PS24" s="670"/>
      <c r="PT24" s="670"/>
      <c r="PU24" s="670"/>
      <c r="PV24" s="670"/>
      <c r="PW24" s="670"/>
      <c r="PX24" s="670"/>
      <c r="PY24" s="670"/>
      <c r="PZ24" s="670"/>
      <c r="QA24" s="670"/>
      <c r="QB24" s="670"/>
      <c r="QC24" s="670"/>
      <c r="QD24" s="670"/>
    </row>
    <row r="25" spans="1:446" s="673" customFormat="1" ht="14.1" customHeight="1" x14ac:dyDescent="0.25">
      <c r="A25" s="678">
        <v>1</v>
      </c>
      <c r="B25" s="676">
        <v>45121</v>
      </c>
      <c r="C25" s="674"/>
      <c r="D25" s="674"/>
      <c r="E25" s="674"/>
      <c r="F25" s="670"/>
      <c r="G25" s="670"/>
      <c r="H25" s="670"/>
      <c r="I25" s="670"/>
      <c r="J25" s="670"/>
      <c r="K25" s="670"/>
      <c r="L25" s="670"/>
      <c r="M25" s="670"/>
      <c r="N25" s="670"/>
      <c r="O25" s="670"/>
      <c r="P25" s="670"/>
      <c r="Q25" s="670"/>
      <c r="R25" s="670"/>
      <c r="S25" s="670"/>
      <c r="T25" s="670"/>
      <c r="U25" s="670"/>
      <c r="V25" s="670"/>
      <c r="W25" s="670"/>
      <c r="X25" s="670"/>
      <c r="Y25" s="670"/>
      <c r="Z25" s="670"/>
      <c r="AA25" s="670"/>
      <c r="AB25" s="670"/>
      <c r="AC25" s="670"/>
      <c r="AD25" s="670"/>
      <c r="AE25" s="670"/>
      <c r="AF25" s="670"/>
      <c r="AG25" s="670"/>
      <c r="AH25" s="670"/>
      <c r="AI25" s="670"/>
      <c r="AJ25" s="670"/>
      <c r="AK25" s="670"/>
      <c r="AL25" s="670"/>
      <c r="AM25" s="670"/>
      <c r="AN25" s="670"/>
      <c r="AO25" s="670"/>
      <c r="AP25" s="670"/>
      <c r="AQ25" s="670"/>
      <c r="AR25" s="670"/>
      <c r="AS25" s="670"/>
      <c r="AT25" s="670"/>
      <c r="AU25" s="670"/>
      <c r="AV25" s="670"/>
      <c r="AW25" s="670"/>
      <c r="AX25" s="670"/>
      <c r="AY25" s="670"/>
      <c r="AZ25" s="670"/>
      <c r="BA25" s="670"/>
      <c r="BB25" s="670"/>
      <c r="BC25" s="670"/>
      <c r="BD25" s="670"/>
      <c r="BE25" s="670"/>
      <c r="BF25" s="670"/>
      <c r="BG25" s="670"/>
      <c r="BH25" s="670"/>
      <c r="BI25" s="670"/>
      <c r="BJ25" s="670"/>
      <c r="BK25" s="670"/>
      <c r="BL25" s="670"/>
      <c r="BM25" s="670"/>
      <c r="BN25" s="670">
        <v>0</v>
      </c>
      <c r="BO25" s="670">
        <v>248.96888000000001</v>
      </c>
      <c r="BP25" s="670">
        <v>705.03111999999999</v>
      </c>
      <c r="BQ25" s="670">
        <v>20</v>
      </c>
      <c r="BR25" s="670">
        <v>217.84777</v>
      </c>
      <c r="BS25" s="670">
        <v>302.15223000000003</v>
      </c>
      <c r="BT25" s="670">
        <v>0</v>
      </c>
      <c r="BU25" s="670">
        <v>186.72666000000001</v>
      </c>
      <c r="BV25" s="670">
        <v>132.27333999999999</v>
      </c>
      <c r="BW25" s="670">
        <v>0</v>
      </c>
      <c r="BX25" s="670">
        <v>20</v>
      </c>
      <c r="BY25" s="670">
        <v>80</v>
      </c>
      <c r="BZ25" s="670"/>
      <c r="CA25" s="670"/>
      <c r="CB25" s="670"/>
      <c r="CC25" s="670"/>
      <c r="CD25" s="670"/>
      <c r="CE25" s="670"/>
      <c r="CF25" s="670"/>
      <c r="CG25" s="670"/>
      <c r="CH25" s="670"/>
      <c r="CI25" s="670"/>
      <c r="CJ25" s="670"/>
      <c r="CK25" s="670"/>
      <c r="CL25" s="670"/>
      <c r="CM25" s="670"/>
      <c r="CN25" s="670"/>
      <c r="CO25" s="670"/>
      <c r="CP25" s="670"/>
      <c r="CQ25" s="670"/>
      <c r="CR25" s="670"/>
      <c r="CS25" s="670"/>
      <c r="CT25" s="670"/>
      <c r="CU25" s="670"/>
      <c r="CV25" s="670"/>
      <c r="CW25" s="670"/>
      <c r="CX25" s="670"/>
      <c r="CY25" s="670"/>
      <c r="CZ25" s="670"/>
      <c r="DA25" s="670"/>
      <c r="DB25" s="670"/>
      <c r="DC25" s="670"/>
      <c r="DD25" s="670">
        <v>0</v>
      </c>
      <c r="DE25" s="670">
        <v>0.56279999999999997</v>
      </c>
      <c r="DF25" s="670">
        <v>142.43719999999999</v>
      </c>
      <c r="DG25" s="670">
        <v>0</v>
      </c>
      <c r="DH25" s="670">
        <v>8.4420000000000002</v>
      </c>
      <c r="DI25" s="670">
        <v>136.55799999999999</v>
      </c>
      <c r="DJ25" s="670"/>
      <c r="DK25" s="670"/>
      <c r="DL25" s="670"/>
      <c r="DM25" s="670">
        <v>0</v>
      </c>
      <c r="DN25" s="670">
        <v>8.2544000000000004</v>
      </c>
      <c r="DO25" s="670">
        <v>135.7456</v>
      </c>
      <c r="DP25" s="670"/>
      <c r="DQ25" s="670"/>
      <c r="DR25" s="670"/>
      <c r="DS25" s="670"/>
      <c r="DT25" s="670"/>
      <c r="DU25" s="670"/>
      <c r="DV25" s="670"/>
      <c r="DW25" s="670"/>
      <c r="DX25" s="670"/>
      <c r="DY25" s="670">
        <v>40</v>
      </c>
      <c r="DZ25" s="670">
        <v>8.2544000000000004</v>
      </c>
      <c r="EA25" s="670">
        <v>144.81271599999999</v>
      </c>
      <c r="EB25" s="670"/>
      <c r="EC25" s="670"/>
      <c r="ED25" s="670"/>
      <c r="EE25" s="670"/>
      <c r="EF25" s="670"/>
      <c r="EG25" s="670"/>
      <c r="EH25" s="670"/>
      <c r="EI25" s="670"/>
      <c r="EJ25" s="670"/>
      <c r="EK25" s="670"/>
      <c r="EL25" s="670"/>
      <c r="EM25" s="670"/>
      <c r="EN25" s="670"/>
      <c r="EO25" s="670"/>
      <c r="EP25" s="670"/>
      <c r="EQ25" s="670"/>
      <c r="ER25" s="670"/>
      <c r="ES25" s="670"/>
      <c r="ET25" s="670"/>
      <c r="EU25" s="670"/>
      <c r="EV25" s="670"/>
      <c r="EW25" s="670"/>
      <c r="EX25" s="670"/>
      <c r="EY25" s="670"/>
      <c r="EZ25" s="670"/>
      <c r="FA25" s="670"/>
      <c r="FB25" s="670"/>
      <c r="FC25" s="670"/>
      <c r="FD25" s="670"/>
      <c r="FE25" s="670"/>
      <c r="FF25" s="670"/>
      <c r="FG25" s="670"/>
      <c r="FH25" s="670"/>
      <c r="FI25" s="670"/>
      <c r="FJ25" s="670"/>
      <c r="FK25" s="670"/>
      <c r="FL25" s="670"/>
      <c r="FM25" s="670"/>
      <c r="FN25" s="670"/>
      <c r="FO25" s="670"/>
      <c r="FP25" s="670"/>
      <c r="FQ25" s="670"/>
      <c r="FR25" s="670"/>
      <c r="FS25" s="670"/>
      <c r="FT25" s="670"/>
      <c r="FU25" s="670"/>
      <c r="FV25" s="670"/>
      <c r="FW25" s="670"/>
      <c r="FX25" s="670">
        <v>0</v>
      </c>
      <c r="FY25" s="670">
        <v>3.7519999999999998</v>
      </c>
      <c r="FZ25" s="670">
        <v>132.24799999999999</v>
      </c>
      <c r="GA25" s="670"/>
      <c r="GB25" s="670"/>
      <c r="GC25" s="670"/>
      <c r="GD25" s="670"/>
      <c r="GE25" s="670"/>
      <c r="GF25" s="670"/>
      <c r="GG25" s="670">
        <v>0</v>
      </c>
      <c r="GH25" s="670">
        <v>7.5039999999999996</v>
      </c>
      <c r="GI25" s="670">
        <v>132.49600000000001</v>
      </c>
      <c r="GJ25" s="670"/>
      <c r="GK25" s="670"/>
      <c r="GL25" s="670"/>
      <c r="GM25" s="670">
        <v>0</v>
      </c>
      <c r="GN25" s="670">
        <v>9.379999999999999</v>
      </c>
      <c r="GO25" s="670">
        <v>335.01445000000001</v>
      </c>
      <c r="GP25" s="670">
        <v>0</v>
      </c>
      <c r="GQ25" s="670">
        <v>7.5039999999999996</v>
      </c>
      <c r="GR25" s="670">
        <v>68.011559999999989</v>
      </c>
      <c r="GS25" s="670"/>
      <c r="GT25" s="670"/>
      <c r="GU25" s="670"/>
      <c r="GV25" s="670"/>
      <c r="GW25" s="670"/>
      <c r="GX25" s="670"/>
      <c r="GY25" s="670">
        <v>70</v>
      </c>
      <c r="GZ25" s="670">
        <v>7.5039999999999996</v>
      </c>
      <c r="HA25" s="670">
        <v>62.496000000000002</v>
      </c>
      <c r="HB25" s="670">
        <v>0</v>
      </c>
      <c r="HC25" s="670">
        <v>9.379999999999999</v>
      </c>
      <c r="HD25" s="670">
        <v>40.620000000000005</v>
      </c>
      <c r="HE25" s="670"/>
      <c r="HF25" s="670"/>
      <c r="HG25" s="670"/>
      <c r="HH25" s="670"/>
      <c r="HI25" s="670"/>
      <c r="HJ25" s="670"/>
      <c r="HK25" s="670"/>
      <c r="HL25" s="670"/>
      <c r="HM25" s="670"/>
      <c r="HN25" s="670">
        <v>0</v>
      </c>
      <c r="HO25" s="670">
        <v>3.7519999999999998</v>
      </c>
      <c r="HP25" s="670">
        <v>32.247999999999998</v>
      </c>
      <c r="HQ25" s="670">
        <v>0</v>
      </c>
      <c r="HR25" s="670">
        <v>3.7519999999999998</v>
      </c>
      <c r="HS25" s="670">
        <v>36.247999999999998</v>
      </c>
      <c r="HT25" s="670"/>
      <c r="HU25" s="670"/>
      <c r="HV25" s="670"/>
      <c r="HW25" s="670"/>
      <c r="HX25" s="670"/>
      <c r="HY25" s="670"/>
      <c r="HZ25" s="670"/>
      <c r="IA25" s="670"/>
      <c r="IB25" s="670"/>
      <c r="IC25" s="670"/>
      <c r="ID25" s="670"/>
      <c r="IE25" s="670"/>
      <c r="IF25" s="670">
        <v>0</v>
      </c>
      <c r="IG25" s="670">
        <v>4.1272000000000002</v>
      </c>
      <c r="IH25" s="670">
        <v>17.872799999999998</v>
      </c>
      <c r="II25" s="670"/>
      <c r="IJ25" s="670"/>
      <c r="IK25" s="670"/>
      <c r="IL25" s="670">
        <v>0</v>
      </c>
      <c r="IM25" s="670">
        <v>6.5659999999999998</v>
      </c>
      <c r="IN25" s="670">
        <v>79.433999999999997</v>
      </c>
      <c r="IO25" s="670"/>
      <c r="IP25" s="670"/>
      <c r="IQ25" s="670"/>
      <c r="IR25" s="670"/>
      <c r="IS25" s="670"/>
      <c r="IT25" s="670"/>
      <c r="IU25" s="670"/>
      <c r="IV25" s="670"/>
      <c r="IW25" s="670"/>
      <c r="IX25" s="670"/>
      <c r="IY25" s="670"/>
      <c r="IZ25" s="670"/>
      <c r="JA25" s="670">
        <v>0</v>
      </c>
      <c r="JB25" s="670">
        <v>7.5039999999999996</v>
      </c>
      <c r="JC25" s="670">
        <v>58.011559999999996</v>
      </c>
      <c r="JD25" s="670"/>
      <c r="JE25" s="670"/>
      <c r="JF25" s="670"/>
      <c r="JG25" s="670"/>
      <c r="JH25" s="670"/>
      <c r="JI25" s="670"/>
      <c r="JJ25" s="670">
        <v>70</v>
      </c>
      <c r="JK25" s="670">
        <v>7.5039999999999996</v>
      </c>
      <c r="JL25" s="670">
        <v>62.496000000000002</v>
      </c>
      <c r="JM25" s="670"/>
      <c r="JN25" s="670"/>
      <c r="JO25" s="670"/>
      <c r="JP25" s="670"/>
      <c r="JQ25" s="670"/>
      <c r="JR25" s="670"/>
      <c r="JS25" s="670"/>
      <c r="JT25" s="670"/>
      <c r="JU25" s="670"/>
      <c r="JV25" s="670">
        <v>5</v>
      </c>
      <c r="JW25" s="670">
        <v>8.4420000000000002</v>
      </c>
      <c r="JX25" s="670">
        <v>1.5130049999999997</v>
      </c>
      <c r="JY25" s="670"/>
      <c r="JZ25" s="670"/>
      <c r="KA25" s="670"/>
      <c r="KB25" s="670"/>
      <c r="KC25" s="670"/>
      <c r="KD25" s="670"/>
      <c r="KE25" s="670"/>
      <c r="KF25" s="670"/>
      <c r="KG25" s="670"/>
      <c r="KH25" s="670">
        <v>0</v>
      </c>
      <c r="KI25" s="670">
        <v>9.379999999999999</v>
      </c>
      <c r="KJ25" s="670">
        <v>40.620000000000005</v>
      </c>
      <c r="KK25" s="670"/>
      <c r="KL25" s="670"/>
      <c r="KM25" s="670"/>
      <c r="KN25" s="670"/>
      <c r="KO25" s="670"/>
      <c r="KP25" s="670"/>
      <c r="KQ25" s="670"/>
      <c r="KR25" s="670"/>
      <c r="KS25" s="670"/>
      <c r="KT25" s="670">
        <v>0</v>
      </c>
      <c r="KU25" s="670">
        <v>7.5039999999999996</v>
      </c>
      <c r="KV25" s="670">
        <v>148.01156</v>
      </c>
      <c r="KW25" s="670"/>
      <c r="KX25" s="670"/>
      <c r="KY25" s="670"/>
      <c r="KZ25" s="670">
        <v>0</v>
      </c>
      <c r="LA25" s="670">
        <v>9.379999999999999</v>
      </c>
      <c r="LB25" s="670">
        <v>5.0144500000000072</v>
      </c>
      <c r="LC25" s="670">
        <v>0</v>
      </c>
      <c r="LD25" s="670">
        <v>7.5039999999999996</v>
      </c>
      <c r="LE25" s="670">
        <v>78.011559999999989</v>
      </c>
      <c r="LF25" s="670">
        <v>0</v>
      </c>
      <c r="LG25" s="670">
        <v>8.4420000000000002</v>
      </c>
      <c r="LH25" s="670">
        <v>17.558</v>
      </c>
      <c r="LI25" s="670"/>
      <c r="LJ25" s="670"/>
      <c r="LK25" s="670"/>
      <c r="LL25" s="670"/>
      <c r="LM25" s="670"/>
      <c r="LN25" s="670"/>
      <c r="LO25" s="670"/>
      <c r="LP25" s="670"/>
      <c r="LQ25" s="670"/>
      <c r="LR25" s="670">
        <v>0</v>
      </c>
      <c r="LS25" s="670">
        <v>93.8</v>
      </c>
      <c r="LT25" s="670">
        <v>1256.2</v>
      </c>
      <c r="LU25" s="670">
        <v>0</v>
      </c>
      <c r="LV25" s="670">
        <v>18.759999999999998</v>
      </c>
      <c r="LW25" s="670">
        <v>638.24</v>
      </c>
      <c r="LX25" s="670"/>
      <c r="LY25" s="670"/>
      <c r="LZ25" s="670"/>
      <c r="MA25" s="670">
        <v>0</v>
      </c>
      <c r="MB25" s="670">
        <v>1.8759999999999999</v>
      </c>
      <c r="MC25" s="670">
        <v>28.123999999999999</v>
      </c>
      <c r="MD25" s="670"/>
      <c r="ME25" s="670"/>
      <c r="MF25" s="670"/>
      <c r="MG25" s="670"/>
      <c r="MH25" s="670"/>
      <c r="MI25" s="670"/>
      <c r="MJ25" s="670"/>
      <c r="MK25" s="670"/>
      <c r="ML25" s="670"/>
      <c r="MM25" s="670"/>
      <c r="MN25" s="670"/>
      <c r="MO25" s="670"/>
      <c r="MP25" s="670"/>
      <c r="MQ25" s="670"/>
      <c r="MR25" s="670"/>
      <c r="MS25" s="670"/>
      <c r="MT25" s="670"/>
      <c r="MU25" s="670"/>
      <c r="MV25" s="670"/>
      <c r="MW25" s="670"/>
      <c r="MX25" s="670"/>
      <c r="MY25" s="670"/>
      <c r="MZ25" s="670"/>
      <c r="NA25" s="670"/>
      <c r="NB25" s="670"/>
      <c r="NC25" s="670"/>
      <c r="ND25" s="670"/>
      <c r="NE25" s="670"/>
      <c r="NF25" s="670"/>
      <c r="NG25" s="670"/>
      <c r="NH25" s="670"/>
      <c r="NI25" s="670"/>
      <c r="NJ25" s="670"/>
      <c r="NK25" s="670"/>
      <c r="NL25" s="670"/>
      <c r="NM25" s="670"/>
      <c r="NN25" s="670"/>
      <c r="NO25" s="670"/>
      <c r="NP25" s="670"/>
      <c r="NQ25" s="670">
        <v>0</v>
      </c>
      <c r="NR25" s="670">
        <v>24.896888000000001</v>
      </c>
      <c r="NS25" s="670">
        <v>19.503111999999998</v>
      </c>
      <c r="NT25" s="670">
        <v>0</v>
      </c>
      <c r="NU25" s="670">
        <v>24.896888000000001</v>
      </c>
      <c r="NV25" s="670">
        <v>5.503111999999998</v>
      </c>
      <c r="NW25" s="670">
        <v>0</v>
      </c>
      <c r="NX25" s="670">
        <v>31.121110000000002</v>
      </c>
      <c r="NY25" s="670">
        <v>96.878889999999998</v>
      </c>
      <c r="NZ25" s="670">
        <v>54</v>
      </c>
      <c r="OA25" s="670">
        <v>93.363330000000005</v>
      </c>
      <c r="OB25" s="670">
        <v>124.63667</v>
      </c>
      <c r="OC25" s="670">
        <v>18</v>
      </c>
      <c r="OD25" s="670">
        <v>0</v>
      </c>
      <c r="OE25" s="670">
        <v>111.87889</v>
      </c>
      <c r="OF25" s="670">
        <v>25.2</v>
      </c>
      <c r="OG25" s="670">
        <v>0</v>
      </c>
      <c r="OH25" s="670">
        <v>61.573599999999999</v>
      </c>
      <c r="OI25" s="670">
        <v>23.400000000000002</v>
      </c>
      <c r="OJ25" s="670">
        <v>40.457442999999998</v>
      </c>
      <c r="OK25" s="670">
        <v>151.94255700000002</v>
      </c>
      <c r="OL25" s="670">
        <v>50</v>
      </c>
      <c r="OM25" s="670">
        <v>62.242220000000003</v>
      </c>
      <c r="ON25" s="670">
        <v>4.0057800000000015</v>
      </c>
      <c r="OO25" s="670">
        <v>180</v>
      </c>
      <c r="OP25" s="670">
        <v>0</v>
      </c>
      <c r="OQ25" s="670">
        <v>320</v>
      </c>
      <c r="OR25" s="670"/>
      <c r="OS25" s="670"/>
      <c r="OT25" s="670"/>
      <c r="OU25" s="670">
        <v>72</v>
      </c>
      <c r="OV25" s="670">
        <v>0</v>
      </c>
      <c r="OW25" s="670">
        <v>160.01156</v>
      </c>
      <c r="OX25" s="670">
        <v>54</v>
      </c>
      <c r="OY25" s="670">
        <v>0</v>
      </c>
      <c r="OZ25" s="670">
        <v>318</v>
      </c>
      <c r="PA25" s="670">
        <v>63</v>
      </c>
      <c r="PB25" s="670">
        <v>0</v>
      </c>
      <c r="PC25" s="670">
        <v>98</v>
      </c>
      <c r="PD25" s="670">
        <v>36</v>
      </c>
      <c r="PE25" s="670">
        <v>0</v>
      </c>
      <c r="PF25" s="670">
        <v>183</v>
      </c>
      <c r="PG25" s="670">
        <v>48.6</v>
      </c>
      <c r="PH25" s="670">
        <v>0</v>
      </c>
      <c r="PI25" s="670">
        <v>61.599999999999994</v>
      </c>
      <c r="PJ25" s="670">
        <v>90</v>
      </c>
      <c r="PK25" s="670">
        <v>0</v>
      </c>
      <c r="PL25" s="670">
        <v>215.01445000000001</v>
      </c>
      <c r="PM25" s="670">
        <v>108</v>
      </c>
      <c r="PN25" s="670">
        <v>15</v>
      </c>
      <c r="PO25" s="670">
        <v>97</v>
      </c>
      <c r="PP25" s="670">
        <v>36</v>
      </c>
      <c r="PQ25" s="670">
        <v>0</v>
      </c>
      <c r="PR25" s="670">
        <v>40.005780000000001</v>
      </c>
      <c r="PS25" s="670">
        <v>36</v>
      </c>
      <c r="PT25" s="670">
        <v>0</v>
      </c>
      <c r="PU25" s="670">
        <v>145</v>
      </c>
      <c r="PV25" s="670"/>
      <c r="PW25" s="670"/>
      <c r="PX25" s="670"/>
      <c r="PY25" s="670"/>
      <c r="PZ25" s="670"/>
      <c r="QA25" s="670"/>
      <c r="QB25" s="670"/>
      <c r="QC25" s="670"/>
      <c r="QD25" s="670"/>
    </row>
    <row r="26" spans="1:446" s="673" customFormat="1" ht="14.1" customHeight="1" x14ac:dyDescent="0.25">
      <c r="A26" s="678">
        <v>1</v>
      </c>
      <c r="B26" s="676">
        <v>45122</v>
      </c>
      <c r="C26" s="674"/>
      <c r="D26" s="674"/>
      <c r="E26" s="674"/>
      <c r="F26" s="670"/>
      <c r="G26" s="670"/>
      <c r="H26" s="670"/>
      <c r="I26" s="670"/>
      <c r="J26" s="670"/>
      <c r="K26" s="670"/>
      <c r="L26" s="670"/>
      <c r="M26" s="670"/>
      <c r="N26" s="670"/>
      <c r="O26" s="670"/>
      <c r="P26" s="670"/>
      <c r="Q26" s="670"/>
      <c r="R26" s="670"/>
      <c r="S26" s="670"/>
      <c r="T26" s="670"/>
      <c r="U26" s="670"/>
      <c r="V26" s="670"/>
      <c r="W26" s="670"/>
      <c r="X26" s="670"/>
      <c r="Y26" s="670"/>
      <c r="Z26" s="670"/>
      <c r="AA26" s="670"/>
      <c r="AB26" s="670"/>
      <c r="AC26" s="670"/>
      <c r="AD26" s="670"/>
      <c r="AE26" s="670"/>
      <c r="AF26" s="670"/>
      <c r="AG26" s="670"/>
      <c r="AH26" s="670"/>
      <c r="AI26" s="670"/>
      <c r="AJ26" s="670"/>
      <c r="AK26" s="670"/>
      <c r="AL26" s="670"/>
      <c r="AM26" s="670"/>
      <c r="AN26" s="670"/>
      <c r="AO26" s="670"/>
      <c r="AP26" s="670"/>
      <c r="AQ26" s="670"/>
      <c r="AR26" s="670"/>
      <c r="AS26" s="670"/>
      <c r="AT26" s="670"/>
      <c r="AU26" s="670"/>
      <c r="AV26" s="670"/>
      <c r="AW26" s="670"/>
      <c r="AX26" s="670"/>
      <c r="AY26" s="670"/>
      <c r="AZ26" s="670"/>
      <c r="BA26" s="670"/>
      <c r="BB26" s="670"/>
      <c r="BC26" s="670"/>
      <c r="BD26" s="670"/>
      <c r="BE26" s="670"/>
      <c r="BF26" s="670"/>
      <c r="BG26" s="670"/>
      <c r="BH26" s="670"/>
      <c r="BI26" s="670"/>
      <c r="BJ26" s="670"/>
      <c r="BK26" s="670"/>
      <c r="BL26" s="670"/>
      <c r="BM26" s="670"/>
      <c r="BN26" s="670"/>
      <c r="BO26" s="670"/>
      <c r="BP26" s="670"/>
      <c r="BQ26" s="670"/>
      <c r="BR26" s="670"/>
      <c r="BS26" s="670"/>
      <c r="BT26" s="670"/>
      <c r="BU26" s="670"/>
      <c r="BV26" s="670"/>
      <c r="BW26" s="670"/>
      <c r="BX26" s="670"/>
      <c r="BY26" s="670"/>
      <c r="BZ26" s="670"/>
      <c r="CA26" s="670"/>
      <c r="CB26" s="670"/>
      <c r="CC26" s="670"/>
      <c r="CD26" s="670"/>
      <c r="CE26" s="670"/>
      <c r="CF26" s="670"/>
      <c r="CG26" s="670"/>
      <c r="CH26" s="670"/>
      <c r="CI26" s="670"/>
      <c r="CJ26" s="670"/>
      <c r="CK26" s="670"/>
      <c r="CL26" s="670"/>
      <c r="CM26" s="670"/>
      <c r="CN26" s="670"/>
      <c r="CO26" s="670"/>
      <c r="CP26" s="670"/>
      <c r="CQ26" s="670"/>
      <c r="CR26" s="670"/>
      <c r="CS26" s="670"/>
      <c r="CT26" s="670"/>
      <c r="CU26" s="670"/>
      <c r="CV26" s="670"/>
      <c r="CW26" s="670"/>
      <c r="CX26" s="670"/>
      <c r="CY26" s="670"/>
      <c r="CZ26" s="670"/>
      <c r="DA26" s="670"/>
      <c r="DB26" s="670"/>
      <c r="DC26" s="670"/>
      <c r="DD26" s="670"/>
      <c r="DE26" s="670"/>
      <c r="DF26" s="670"/>
      <c r="DG26" s="670"/>
      <c r="DH26" s="670"/>
      <c r="DI26" s="670"/>
      <c r="DJ26" s="670"/>
      <c r="DK26" s="670"/>
      <c r="DL26" s="670"/>
      <c r="DM26" s="670"/>
      <c r="DN26" s="670"/>
      <c r="DO26" s="670"/>
      <c r="DP26" s="670"/>
      <c r="DQ26" s="670"/>
      <c r="DR26" s="670"/>
      <c r="DS26" s="670"/>
      <c r="DT26" s="670"/>
      <c r="DU26" s="670"/>
      <c r="DV26" s="670"/>
      <c r="DW26" s="670"/>
      <c r="DX26" s="670"/>
      <c r="DY26" s="670"/>
      <c r="DZ26" s="670"/>
      <c r="EA26" s="670"/>
      <c r="EB26" s="670"/>
      <c r="EC26" s="670"/>
      <c r="ED26" s="670"/>
      <c r="EE26" s="670"/>
      <c r="EF26" s="670"/>
      <c r="EG26" s="670"/>
      <c r="EH26" s="670"/>
      <c r="EI26" s="670"/>
      <c r="EJ26" s="670"/>
      <c r="EK26" s="670"/>
      <c r="EL26" s="670"/>
      <c r="EM26" s="670"/>
      <c r="EN26" s="670"/>
      <c r="EO26" s="670"/>
      <c r="EP26" s="670"/>
      <c r="EQ26" s="670"/>
      <c r="ER26" s="670"/>
      <c r="ES26" s="670"/>
      <c r="ET26" s="670"/>
      <c r="EU26" s="670"/>
      <c r="EV26" s="670"/>
      <c r="EW26" s="670"/>
      <c r="EX26" s="670"/>
      <c r="EY26" s="670"/>
      <c r="EZ26" s="670"/>
      <c r="FA26" s="670"/>
      <c r="FB26" s="670"/>
      <c r="FC26" s="670"/>
      <c r="FD26" s="670"/>
      <c r="FE26" s="670"/>
      <c r="FF26" s="670"/>
      <c r="FG26" s="670"/>
      <c r="FH26" s="670"/>
      <c r="FI26" s="670"/>
      <c r="FJ26" s="670"/>
      <c r="FK26" s="670"/>
      <c r="FL26" s="670"/>
      <c r="FM26" s="670"/>
      <c r="FN26" s="670"/>
      <c r="FO26" s="670"/>
      <c r="FP26" s="670"/>
      <c r="FQ26" s="670"/>
      <c r="FR26" s="670"/>
      <c r="FS26" s="670"/>
      <c r="FT26" s="670"/>
      <c r="FU26" s="670"/>
      <c r="FV26" s="670"/>
      <c r="FW26" s="670"/>
      <c r="FX26" s="670"/>
      <c r="FY26" s="670"/>
      <c r="FZ26" s="670"/>
      <c r="GA26" s="670"/>
      <c r="GB26" s="670"/>
      <c r="GC26" s="670"/>
      <c r="GD26" s="670"/>
      <c r="GE26" s="670"/>
      <c r="GF26" s="670"/>
      <c r="GG26" s="670"/>
      <c r="GH26" s="670"/>
      <c r="GI26" s="670"/>
      <c r="GJ26" s="670"/>
      <c r="GK26" s="670"/>
      <c r="GL26" s="670"/>
      <c r="GM26" s="670"/>
      <c r="GN26" s="670"/>
      <c r="GO26" s="670"/>
      <c r="GP26" s="670"/>
      <c r="GQ26" s="670"/>
      <c r="GR26" s="670"/>
      <c r="GS26" s="670"/>
      <c r="GT26" s="670"/>
      <c r="GU26" s="670"/>
      <c r="GV26" s="670"/>
      <c r="GW26" s="670"/>
      <c r="GX26" s="670"/>
      <c r="GY26" s="670"/>
      <c r="GZ26" s="670"/>
      <c r="HA26" s="670"/>
      <c r="HB26" s="670"/>
      <c r="HC26" s="670"/>
      <c r="HD26" s="670"/>
      <c r="HE26" s="670"/>
      <c r="HF26" s="670"/>
      <c r="HG26" s="670"/>
      <c r="HH26" s="670"/>
      <c r="HI26" s="670"/>
      <c r="HJ26" s="670"/>
      <c r="HK26" s="670"/>
      <c r="HL26" s="670"/>
      <c r="HM26" s="670"/>
      <c r="HN26" s="670"/>
      <c r="HO26" s="670"/>
      <c r="HP26" s="670"/>
      <c r="HQ26" s="670"/>
      <c r="HR26" s="670"/>
      <c r="HS26" s="670"/>
      <c r="HT26" s="670"/>
      <c r="HU26" s="670"/>
      <c r="HV26" s="670"/>
      <c r="HW26" s="670"/>
      <c r="HX26" s="670"/>
      <c r="HY26" s="670"/>
      <c r="HZ26" s="670"/>
      <c r="IA26" s="670"/>
      <c r="IB26" s="670"/>
      <c r="IC26" s="670"/>
      <c r="ID26" s="670"/>
      <c r="IE26" s="670"/>
      <c r="IF26" s="670"/>
      <c r="IG26" s="670"/>
      <c r="IH26" s="670"/>
      <c r="II26" s="670"/>
      <c r="IJ26" s="670"/>
      <c r="IK26" s="670"/>
      <c r="IL26" s="670"/>
      <c r="IM26" s="670"/>
      <c r="IN26" s="670"/>
      <c r="IO26" s="670"/>
      <c r="IP26" s="670"/>
      <c r="IQ26" s="670"/>
      <c r="IR26" s="670"/>
      <c r="IS26" s="670"/>
      <c r="IT26" s="670"/>
      <c r="IU26" s="670"/>
      <c r="IV26" s="670"/>
      <c r="IW26" s="670"/>
      <c r="IX26" s="670"/>
      <c r="IY26" s="670"/>
      <c r="IZ26" s="670"/>
      <c r="JA26" s="670"/>
      <c r="JB26" s="670"/>
      <c r="JC26" s="670"/>
      <c r="JD26" s="670"/>
      <c r="JE26" s="670"/>
      <c r="JF26" s="670"/>
      <c r="JG26" s="670"/>
      <c r="JH26" s="670"/>
      <c r="JI26" s="670"/>
      <c r="JJ26" s="670"/>
      <c r="JK26" s="670"/>
      <c r="JL26" s="670"/>
      <c r="JM26" s="670"/>
      <c r="JN26" s="670"/>
      <c r="JO26" s="670"/>
      <c r="JP26" s="670"/>
      <c r="JQ26" s="670"/>
      <c r="JR26" s="670"/>
      <c r="JS26" s="670"/>
      <c r="JT26" s="670"/>
      <c r="JU26" s="670"/>
      <c r="JV26" s="670"/>
      <c r="JW26" s="670"/>
      <c r="JX26" s="670"/>
      <c r="JY26" s="670"/>
      <c r="JZ26" s="670"/>
      <c r="KA26" s="670"/>
      <c r="KB26" s="670"/>
      <c r="KC26" s="670"/>
      <c r="KD26" s="670"/>
      <c r="KE26" s="670"/>
      <c r="KF26" s="670"/>
      <c r="KG26" s="670"/>
      <c r="KH26" s="670"/>
      <c r="KI26" s="670"/>
      <c r="KJ26" s="670"/>
      <c r="KK26" s="670"/>
      <c r="KL26" s="670"/>
      <c r="KM26" s="670"/>
      <c r="KN26" s="670"/>
      <c r="KO26" s="670"/>
      <c r="KP26" s="670"/>
      <c r="KQ26" s="670"/>
      <c r="KR26" s="670"/>
      <c r="KS26" s="670"/>
      <c r="KT26" s="670"/>
      <c r="KU26" s="670"/>
      <c r="KV26" s="670"/>
      <c r="KW26" s="670"/>
      <c r="KX26" s="670"/>
      <c r="KY26" s="670"/>
      <c r="KZ26" s="670"/>
      <c r="LA26" s="670"/>
      <c r="LB26" s="670"/>
      <c r="LC26" s="670"/>
      <c r="LD26" s="670"/>
      <c r="LE26" s="670"/>
      <c r="LF26" s="670"/>
      <c r="LG26" s="670"/>
      <c r="LH26" s="670"/>
      <c r="LI26" s="670"/>
      <c r="LJ26" s="670"/>
      <c r="LK26" s="670"/>
      <c r="LL26" s="670"/>
      <c r="LM26" s="670"/>
      <c r="LN26" s="670"/>
      <c r="LO26" s="670"/>
      <c r="LP26" s="670"/>
      <c r="LQ26" s="670"/>
      <c r="LR26" s="670"/>
      <c r="LS26" s="670"/>
      <c r="LT26" s="670"/>
      <c r="LU26" s="670"/>
      <c r="LV26" s="670"/>
      <c r="LW26" s="670"/>
      <c r="LX26" s="670"/>
      <c r="LY26" s="670"/>
      <c r="LZ26" s="670"/>
      <c r="MA26" s="670"/>
      <c r="MB26" s="670"/>
      <c r="MC26" s="670"/>
      <c r="MD26" s="670"/>
      <c r="ME26" s="670"/>
      <c r="MF26" s="670"/>
      <c r="MG26" s="670"/>
      <c r="MH26" s="670"/>
      <c r="MI26" s="670"/>
      <c r="MJ26" s="670"/>
      <c r="MK26" s="670"/>
      <c r="ML26" s="670"/>
      <c r="MM26" s="670"/>
      <c r="MN26" s="670"/>
      <c r="MO26" s="670"/>
      <c r="MP26" s="670"/>
      <c r="MQ26" s="670"/>
      <c r="MR26" s="670"/>
      <c r="MS26" s="670"/>
      <c r="MT26" s="670"/>
      <c r="MU26" s="670"/>
      <c r="MV26" s="670"/>
      <c r="MW26" s="670"/>
      <c r="MX26" s="670"/>
      <c r="MY26" s="670"/>
      <c r="MZ26" s="670"/>
      <c r="NA26" s="670"/>
      <c r="NB26" s="670"/>
      <c r="NC26" s="670"/>
      <c r="ND26" s="670"/>
      <c r="NE26" s="670"/>
      <c r="NF26" s="670"/>
      <c r="NG26" s="670"/>
      <c r="NH26" s="670"/>
      <c r="NI26" s="670"/>
      <c r="NJ26" s="670"/>
      <c r="NK26" s="670"/>
      <c r="NL26" s="670"/>
      <c r="NM26" s="670"/>
      <c r="NN26" s="670"/>
      <c r="NO26" s="670"/>
      <c r="NP26" s="670"/>
      <c r="NQ26" s="670"/>
      <c r="NR26" s="670"/>
      <c r="NS26" s="670"/>
      <c r="NT26" s="670"/>
      <c r="NU26" s="670"/>
      <c r="NV26" s="670"/>
      <c r="NW26" s="670"/>
      <c r="NX26" s="670"/>
      <c r="NY26" s="670"/>
      <c r="NZ26" s="670"/>
      <c r="OA26" s="670"/>
      <c r="OB26" s="670"/>
      <c r="OC26" s="670"/>
      <c r="OD26" s="670"/>
      <c r="OE26" s="670"/>
      <c r="OF26" s="670"/>
      <c r="OG26" s="670"/>
      <c r="OH26" s="670"/>
      <c r="OI26" s="670"/>
      <c r="OJ26" s="670"/>
      <c r="OK26" s="670"/>
      <c r="OL26" s="670"/>
      <c r="OM26" s="670"/>
      <c r="ON26" s="670"/>
      <c r="OO26" s="670"/>
      <c r="OP26" s="670"/>
      <c r="OQ26" s="670"/>
      <c r="OR26" s="670"/>
      <c r="OS26" s="670"/>
      <c r="OT26" s="670"/>
      <c r="OU26" s="670"/>
      <c r="OV26" s="670"/>
      <c r="OW26" s="670"/>
      <c r="OX26" s="670"/>
      <c r="OY26" s="670"/>
      <c r="OZ26" s="670"/>
      <c r="PA26" s="670"/>
      <c r="PB26" s="670"/>
      <c r="PC26" s="670"/>
      <c r="PD26" s="670"/>
      <c r="PE26" s="670"/>
      <c r="PF26" s="670"/>
      <c r="PG26" s="670"/>
      <c r="PH26" s="670"/>
      <c r="PI26" s="670"/>
      <c r="PJ26" s="670"/>
      <c r="PK26" s="670"/>
      <c r="PL26" s="670"/>
      <c r="PM26" s="670"/>
      <c r="PN26" s="670"/>
      <c r="PO26" s="670"/>
      <c r="PP26" s="670"/>
      <c r="PQ26" s="670"/>
      <c r="PR26" s="670"/>
      <c r="PS26" s="670"/>
      <c r="PT26" s="670"/>
      <c r="PU26" s="670"/>
      <c r="PV26" s="670"/>
      <c r="PW26" s="670"/>
      <c r="PX26" s="670"/>
      <c r="PY26" s="670"/>
      <c r="PZ26" s="670"/>
      <c r="QA26" s="670"/>
      <c r="QB26" s="670"/>
      <c r="QC26" s="670"/>
      <c r="QD26" s="670"/>
    </row>
    <row r="27" spans="1:446" s="673" customFormat="1" ht="14.1" customHeight="1" x14ac:dyDescent="0.25">
      <c r="A27" s="678">
        <v>1</v>
      </c>
      <c r="B27" s="676">
        <v>45123</v>
      </c>
      <c r="C27" s="674"/>
      <c r="D27" s="674"/>
      <c r="E27" s="674"/>
      <c r="F27" s="670"/>
      <c r="G27" s="670"/>
      <c r="H27" s="670"/>
      <c r="I27" s="670"/>
      <c r="J27" s="670"/>
      <c r="K27" s="670"/>
      <c r="L27" s="670"/>
      <c r="M27" s="670"/>
      <c r="N27" s="670"/>
      <c r="O27" s="670"/>
      <c r="P27" s="670"/>
      <c r="Q27" s="670"/>
      <c r="R27" s="670"/>
      <c r="S27" s="670"/>
      <c r="T27" s="670"/>
      <c r="U27" s="670"/>
      <c r="V27" s="670"/>
      <c r="W27" s="670"/>
      <c r="X27" s="670"/>
      <c r="Y27" s="670"/>
      <c r="Z27" s="670"/>
      <c r="AA27" s="670"/>
      <c r="AB27" s="670"/>
      <c r="AC27" s="670"/>
      <c r="AD27" s="670"/>
      <c r="AE27" s="670"/>
      <c r="AF27" s="670"/>
      <c r="AG27" s="670"/>
      <c r="AH27" s="670"/>
      <c r="AI27" s="670"/>
      <c r="AJ27" s="670"/>
      <c r="AK27" s="670"/>
      <c r="AL27" s="670"/>
      <c r="AM27" s="670"/>
      <c r="AN27" s="670"/>
      <c r="AO27" s="670"/>
      <c r="AP27" s="670"/>
      <c r="AQ27" s="670"/>
      <c r="AR27" s="670"/>
      <c r="AS27" s="670"/>
      <c r="AT27" s="670"/>
      <c r="AU27" s="670"/>
      <c r="AV27" s="670"/>
      <c r="AW27" s="670"/>
      <c r="AX27" s="670"/>
      <c r="AY27" s="670"/>
      <c r="AZ27" s="670"/>
      <c r="BA27" s="670"/>
      <c r="BB27" s="670"/>
      <c r="BC27" s="670"/>
      <c r="BD27" s="670"/>
      <c r="BE27" s="670"/>
      <c r="BF27" s="670"/>
      <c r="BG27" s="670"/>
      <c r="BH27" s="670"/>
      <c r="BI27" s="670"/>
      <c r="BJ27" s="670"/>
      <c r="BK27" s="670"/>
      <c r="BL27" s="670"/>
      <c r="BM27" s="670"/>
      <c r="BN27" s="670"/>
      <c r="BO27" s="670"/>
      <c r="BP27" s="670"/>
      <c r="BQ27" s="670"/>
      <c r="BR27" s="670"/>
      <c r="BS27" s="670"/>
      <c r="BT27" s="670"/>
      <c r="BU27" s="670"/>
      <c r="BV27" s="670"/>
      <c r="BW27" s="670"/>
      <c r="BX27" s="670"/>
      <c r="BY27" s="670"/>
      <c r="BZ27" s="670"/>
      <c r="CA27" s="670"/>
      <c r="CB27" s="670"/>
      <c r="CC27" s="670"/>
      <c r="CD27" s="670"/>
      <c r="CE27" s="670"/>
      <c r="CF27" s="670"/>
      <c r="CG27" s="670"/>
      <c r="CH27" s="670"/>
      <c r="CI27" s="670"/>
      <c r="CJ27" s="670"/>
      <c r="CK27" s="670"/>
      <c r="CL27" s="670"/>
      <c r="CM27" s="670"/>
      <c r="CN27" s="670"/>
      <c r="CO27" s="670"/>
      <c r="CP27" s="670"/>
      <c r="CQ27" s="670"/>
      <c r="CR27" s="670"/>
      <c r="CS27" s="670"/>
      <c r="CT27" s="670"/>
      <c r="CU27" s="670"/>
      <c r="CV27" s="670"/>
      <c r="CW27" s="670"/>
      <c r="CX27" s="670"/>
      <c r="CY27" s="670"/>
      <c r="CZ27" s="670"/>
      <c r="DA27" s="670"/>
      <c r="DB27" s="670"/>
      <c r="DC27" s="670"/>
      <c r="DD27" s="670"/>
      <c r="DE27" s="670"/>
      <c r="DF27" s="670"/>
      <c r="DG27" s="670"/>
      <c r="DH27" s="670"/>
      <c r="DI27" s="670"/>
      <c r="DJ27" s="670"/>
      <c r="DK27" s="670"/>
      <c r="DL27" s="670"/>
      <c r="DM27" s="670"/>
      <c r="DN27" s="670"/>
      <c r="DO27" s="670"/>
      <c r="DP27" s="670"/>
      <c r="DQ27" s="670"/>
      <c r="DR27" s="670"/>
      <c r="DS27" s="670"/>
      <c r="DT27" s="670"/>
      <c r="DU27" s="670"/>
      <c r="DV27" s="670"/>
      <c r="DW27" s="670"/>
      <c r="DX27" s="670"/>
      <c r="DY27" s="670"/>
      <c r="DZ27" s="670"/>
      <c r="EA27" s="670"/>
      <c r="EB27" s="670"/>
      <c r="EC27" s="670"/>
      <c r="ED27" s="670"/>
      <c r="EE27" s="670"/>
      <c r="EF27" s="670"/>
      <c r="EG27" s="670"/>
      <c r="EH27" s="670"/>
      <c r="EI27" s="670"/>
      <c r="EJ27" s="670"/>
      <c r="EK27" s="670"/>
      <c r="EL27" s="670"/>
      <c r="EM27" s="670"/>
      <c r="EN27" s="670"/>
      <c r="EO27" s="670"/>
      <c r="EP27" s="670"/>
      <c r="EQ27" s="670"/>
      <c r="ER27" s="670"/>
      <c r="ES27" s="670"/>
      <c r="ET27" s="670"/>
      <c r="EU27" s="670"/>
      <c r="EV27" s="670"/>
      <c r="EW27" s="670"/>
      <c r="EX27" s="670"/>
      <c r="EY27" s="670"/>
      <c r="EZ27" s="670"/>
      <c r="FA27" s="670"/>
      <c r="FB27" s="670"/>
      <c r="FC27" s="670"/>
      <c r="FD27" s="670"/>
      <c r="FE27" s="670"/>
      <c r="FF27" s="670"/>
      <c r="FG27" s="670"/>
      <c r="FH27" s="670"/>
      <c r="FI27" s="670"/>
      <c r="FJ27" s="670"/>
      <c r="FK27" s="670"/>
      <c r="FL27" s="670"/>
      <c r="FM27" s="670"/>
      <c r="FN27" s="670"/>
      <c r="FO27" s="670"/>
      <c r="FP27" s="670"/>
      <c r="FQ27" s="670"/>
      <c r="FR27" s="670"/>
      <c r="FS27" s="670"/>
      <c r="FT27" s="670"/>
      <c r="FU27" s="670"/>
      <c r="FV27" s="670"/>
      <c r="FW27" s="670"/>
      <c r="FX27" s="670"/>
      <c r="FY27" s="670"/>
      <c r="FZ27" s="670"/>
      <c r="GA27" s="670"/>
      <c r="GB27" s="670"/>
      <c r="GC27" s="670"/>
      <c r="GD27" s="670"/>
      <c r="GE27" s="670"/>
      <c r="GF27" s="670"/>
      <c r="GG27" s="670"/>
      <c r="GH27" s="670"/>
      <c r="GI27" s="670"/>
      <c r="GJ27" s="670"/>
      <c r="GK27" s="670"/>
      <c r="GL27" s="670"/>
      <c r="GM27" s="670"/>
      <c r="GN27" s="670"/>
      <c r="GO27" s="670"/>
      <c r="GP27" s="670"/>
      <c r="GQ27" s="670"/>
      <c r="GR27" s="670"/>
      <c r="GS27" s="670"/>
      <c r="GT27" s="670"/>
      <c r="GU27" s="670"/>
      <c r="GV27" s="670"/>
      <c r="GW27" s="670"/>
      <c r="GX27" s="670"/>
      <c r="GY27" s="670"/>
      <c r="GZ27" s="670"/>
      <c r="HA27" s="670"/>
      <c r="HB27" s="670"/>
      <c r="HC27" s="670"/>
      <c r="HD27" s="670"/>
      <c r="HE27" s="670"/>
      <c r="HF27" s="670"/>
      <c r="HG27" s="670"/>
      <c r="HH27" s="670"/>
      <c r="HI27" s="670"/>
      <c r="HJ27" s="670"/>
      <c r="HK27" s="670"/>
      <c r="HL27" s="670"/>
      <c r="HM27" s="670"/>
      <c r="HN27" s="670"/>
      <c r="HO27" s="670"/>
      <c r="HP27" s="670"/>
      <c r="HQ27" s="670"/>
      <c r="HR27" s="670"/>
      <c r="HS27" s="670"/>
      <c r="HT27" s="670"/>
      <c r="HU27" s="670"/>
      <c r="HV27" s="670"/>
      <c r="HW27" s="670"/>
      <c r="HX27" s="670"/>
      <c r="HY27" s="670"/>
      <c r="HZ27" s="670"/>
      <c r="IA27" s="670"/>
      <c r="IB27" s="670"/>
      <c r="IC27" s="670"/>
      <c r="ID27" s="670"/>
      <c r="IE27" s="670"/>
      <c r="IF27" s="670"/>
      <c r="IG27" s="670"/>
      <c r="IH27" s="670"/>
      <c r="II27" s="670"/>
      <c r="IJ27" s="670"/>
      <c r="IK27" s="670"/>
      <c r="IL27" s="670"/>
      <c r="IM27" s="670"/>
      <c r="IN27" s="670"/>
      <c r="IO27" s="670"/>
      <c r="IP27" s="670"/>
      <c r="IQ27" s="670"/>
      <c r="IR27" s="670"/>
      <c r="IS27" s="670"/>
      <c r="IT27" s="670"/>
      <c r="IU27" s="670"/>
      <c r="IV27" s="670"/>
      <c r="IW27" s="670"/>
      <c r="IX27" s="670"/>
      <c r="IY27" s="670"/>
      <c r="IZ27" s="670"/>
      <c r="JA27" s="670"/>
      <c r="JB27" s="670"/>
      <c r="JC27" s="670"/>
      <c r="JD27" s="670"/>
      <c r="JE27" s="670"/>
      <c r="JF27" s="670"/>
      <c r="JG27" s="670"/>
      <c r="JH27" s="670"/>
      <c r="JI27" s="670"/>
      <c r="JJ27" s="670"/>
      <c r="JK27" s="670"/>
      <c r="JL27" s="670"/>
      <c r="JM27" s="670"/>
      <c r="JN27" s="670"/>
      <c r="JO27" s="670"/>
      <c r="JP27" s="670"/>
      <c r="JQ27" s="670"/>
      <c r="JR27" s="670"/>
      <c r="JS27" s="670"/>
      <c r="JT27" s="670"/>
      <c r="JU27" s="670"/>
      <c r="JV27" s="670"/>
      <c r="JW27" s="670"/>
      <c r="JX27" s="670"/>
      <c r="JY27" s="670"/>
      <c r="JZ27" s="670"/>
      <c r="KA27" s="670"/>
      <c r="KB27" s="670"/>
      <c r="KC27" s="670"/>
      <c r="KD27" s="670"/>
      <c r="KE27" s="670"/>
      <c r="KF27" s="670"/>
      <c r="KG27" s="670"/>
      <c r="KH27" s="670"/>
      <c r="KI27" s="670"/>
      <c r="KJ27" s="670"/>
      <c r="KK27" s="670"/>
      <c r="KL27" s="670"/>
      <c r="KM27" s="670"/>
      <c r="KN27" s="670"/>
      <c r="KO27" s="670"/>
      <c r="KP27" s="670"/>
      <c r="KQ27" s="670"/>
      <c r="KR27" s="670"/>
      <c r="KS27" s="670"/>
      <c r="KT27" s="670"/>
      <c r="KU27" s="670"/>
      <c r="KV27" s="670"/>
      <c r="KW27" s="670"/>
      <c r="KX27" s="670"/>
      <c r="KY27" s="670"/>
      <c r="KZ27" s="670"/>
      <c r="LA27" s="670"/>
      <c r="LB27" s="670"/>
      <c r="LC27" s="670"/>
      <c r="LD27" s="670"/>
      <c r="LE27" s="670"/>
      <c r="LF27" s="670"/>
      <c r="LG27" s="670"/>
      <c r="LH27" s="670"/>
      <c r="LI27" s="670"/>
      <c r="LJ27" s="670"/>
      <c r="LK27" s="670"/>
      <c r="LL27" s="670"/>
      <c r="LM27" s="670"/>
      <c r="LN27" s="670"/>
      <c r="LO27" s="670"/>
      <c r="LP27" s="670"/>
      <c r="LQ27" s="670"/>
      <c r="LR27" s="670"/>
      <c r="LS27" s="670"/>
      <c r="LT27" s="670"/>
      <c r="LU27" s="670"/>
      <c r="LV27" s="670"/>
      <c r="LW27" s="670"/>
      <c r="LX27" s="670"/>
      <c r="LY27" s="670"/>
      <c r="LZ27" s="670"/>
      <c r="MA27" s="670"/>
      <c r="MB27" s="670"/>
      <c r="MC27" s="670"/>
      <c r="MD27" s="670"/>
      <c r="ME27" s="670"/>
      <c r="MF27" s="670"/>
      <c r="MG27" s="670"/>
      <c r="MH27" s="670"/>
      <c r="MI27" s="670"/>
      <c r="MJ27" s="670"/>
      <c r="MK27" s="670"/>
      <c r="ML27" s="670"/>
      <c r="MM27" s="670"/>
      <c r="MN27" s="670"/>
      <c r="MO27" s="670"/>
      <c r="MP27" s="670"/>
      <c r="MQ27" s="670"/>
      <c r="MR27" s="670"/>
      <c r="MS27" s="670"/>
      <c r="MT27" s="670"/>
      <c r="MU27" s="670"/>
      <c r="MV27" s="670"/>
      <c r="MW27" s="670"/>
      <c r="MX27" s="670"/>
      <c r="MY27" s="670"/>
      <c r="MZ27" s="670"/>
      <c r="NA27" s="670"/>
      <c r="NB27" s="670"/>
      <c r="NC27" s="670"/>
      <c r="ND27" s="670"/>
      <c r="NE27" s="670"/>
      <c r="NF27" s="670"/>
      <c r="NG27" s="670"/>
      <c r="NH27" s="670"/>
      <c r="NI27" s="670"/>
      <c r="NJ27" s="670"/>
      <c r="NK27" s="670"/>
      <c r="NL27" s="670"/>
      <c r="NM27" s="670"/>
      <c r="NN27" s="670"/>
      <c r="NO27" s="670"/>
      <c r="NP27" s="670"/>
      <c r="NQ27" s="670"/>
      <c r="NR27" s="670"/>
      <c r="NS27" s="670"/>
      <c r="NT27" s="670"/>
      <c r="NU27" s="670"/>
      <c r="NV27" s="670"/>
      <c r="NW27" s="670"/>
      <c r="NX27" s="670"/>
      <c r="NY27" s="670"/>
      <c r="NZ27" s="670"/>
      <c r="OA27" s="670"/>
      <c r="OB27" s="670"/>
      <c r="OC27" s="670"/>
      <c r="OD27" s="670"/>
      <c r="OE27" s="670"/>
      <c r="OF27" s="670"/>
      <c r="OG27" s="670"/>
      <c r="OH27" s="670"/>
      <c r="OI27" s="670"/>
      <c r="OJ27" s="670"/>
      <c r="OK27" s="670"/>
      <c r="OL27" s="670"/>
      <c r="OM27" s="670"/>
      <c r="ON27" s="670"/>
      <c r="OO27" s="670"/>
      <c r="OP27" s="670"/>
      <c r="OQ27" s="670"/>
      <c r="OR27" s="670"/>
      <c r="OS27" s="670"/>
      <c r="OT27" s="670"/>
      <c r="OU27" s="670"/>
      <c r="OV27" s="670"/>
      <c r="OW27" s="670"/>
      <c r="OX27" s="670"/>
      <c r="OY27" s="670"/>
      <c r="OZ27" s="670"/>
      <c r="PA27" s="670"/>
      <c r="PB27" s="670"/>
      <c r="PC27" s="670"/>
      <c r="PD27" s="670"/>
      <c r="PE27" s="670"/>
      <c r="PF27" s="670"/>
      <c r="PG27" s="670"/>
      <c r="PH27" s="670"/>
      <c r="PI27" s="670"/>
      <c r="PJ27" s="670"/>
      <c r="PK27" s="670"/>
      <c r="PL27" s="670"/>
      <c r="PM27" s="670"/>
      <c r="PN27" s="670"/>
      <c r="PO27" s="670"/>
      <c r="PP27" s="670"/>
      <c r="PQ27" s="670"/>
      <c r="PR27" s="670"/>
      <c r="PS27" s="670"/>
      <c r="PT27" s="670"/>
      <c r="PU27" s="670"/>
      <c r="PV27" s="670"/>
      <c r="PW27" s="670"/>
      <c r="PX27" s="670"/>
      <c r="PY27" s="670"/>
      <c r="PZ27" s="670"/>
      <c r="QA27" s="670"/>
      <c r="QB27" s="670"/>
      <c r="QC27" s="670"/>
      <c r="QD27" s="670"/>
    </row>
    <row r="28" spans="1:446" s="673" customFormat="1" ht="14.1" customHeight="1" x14ac:dyDescent="0.25">
      <c r="A28" s="678">
        <v>1</v>
      </c>
      <c r="B28" s="676">
        <v>45124</v>
      </c>
      <c r="C28" s="674"/>
      <c r="D28" s="674"/>
      <c r="E28" s="674"/>
      <c r="F28" s="670"/>
      <c r="G28" s="670"/>
      <c r="H28" s="670"/>
      <c r="I28" s="670"/>
      <c r="J28" s="670"/>
      <c r="K28" s="670"/>
      <c r="L28" s="670"/>
      <c r="M28" s="670"/>
      <c r="N28" s="670"/>
      <c r="O28" s="670"/>
      <c r="P28" s="670"/>
      <c r="Q28" s="670"/>
      <c r="R28" s="670"/>
      <c r="S28" s="670"/>
      <c r="T28" s="670"/>
      <c r="U28" s="670"/>
      <c r="V28" s="670"/>
      <c r="W28" s="670"/>
      <c r="X28" s="670"/>
      <c r="Y28" s="670"/>
      <c r="Z28" s="670"/>
      <c r="AA28" s="670"/>
      <c r="AB28" s="670"/>
      <c r="AC28" s="670"/>
      <c r="AD28" s="670"/>
      <c r="AE28" s="670"/>
      <c r="AF28" s="670"/>
      <c r="AG28" s="670"/>
      <c r="AH28" s="670"/>
      <c r="AI28" s="670"/>
      <c r="AJ28" s="670"/>
      <c r="AK28" s="670"/>
      <c r="AL28" s="670"/>
      <c r="AM28" s="670"/>
      <c r="AN28" s="670"/>
      <c r="AO28" s="670"/>
      <c r="AP28" s="670"/>
      <c r="AQ28" s="670"/>
      <c r="AR28" s="670"/>
      <c r="AS28" s="670"/>
      <c r="AT28" s="670"/>
      <c r="AU28" s="670"/>
      <c r="AV28" s="670"/>
      <c r="AW28" s="670"/>
      <c r="AX28" s="670"/>
      <c r="AY28" s="670"/>
      <c r="AZ28" s="670"/>
      <c r="BA28" s="670"/>
      <c r="BB28" s="670"/>
      <c r="BC28" s="670"/>
      <c r="BD28" s="670"/>
      <c r="BE28" s="670"/>
      <c r="BF28" s="670"/>
      <c r="BG28" s="670"/>
      <c r="BH28" s="670"/>
      <c r="BI28" s="670"/>
      <c r="BJ28" s="670"/>
      <c r="BK28" s="670"/>
      <c r="BL28" s="670"/>
      <c r="BM28" s="670"/>
      <c r="BN28" s="670"/>
      <c r="BO28" s="670"/>
      <c r="BP28" s="670"/>
      <c r="BQ28" s="670"/>
      <c r="BR28" s="670"/>
      <c r="BS28" s="670"/>
      <c r="BT28" s="670"/>
      <c r="BU28" s="670"/>
      <c r="BV28" s="670"/>
      <c r="BW28" s="670"/>
      <c r="BX28" s="670"/>
      <c r="BY28" s="670"/>
      <c r="BZ28" s="670"/>
      <c r="CA28" s="670"/>
      <c r="CB28" s="670"/>
      <c r="CC28" s="670"/>
      <c r="CD28" s="670"/>
      <c r="CE28" s="670"/>
      <c r="CF28" s="670"/>
      <c r="CG28" s="670"/>
      <c r="CH28" s="670"/>
      <c r="CI28" s="670"/>
      <c r="CJ28" s="670"/>
      <c r="CK28" s="670"/>
      <c r="CL28" s="670"/>
      <c r="CM28" s="670"/>
      <c r="CN28" s="670"/>
      <c r="CO28" s="670"/>
      <c r="CP28" s="670"/>
      <c r="CQ28" s="670"/>
      <c r="CR28" s="670"/>
      <c r="CS28" s="670"/>
      <c r="CT28" s="670"/>
      <c r="CU28" s="670"/>
      <c r="CV28" s="670"/>
      <c r="CW28" s="670"/>
      <c r="CX28" s="670"/>
      <c r="CY28" s="670"/>
      <c r="CZ28" s="670"/>
      <c r="DA28" s="670"/>
      <c r="DB28" s="670"/>
      <c r="DC28" s="670"/>
      <c r="DD28" s="670"/>
      <c r="DE28" s="670"/>
      <c r="DF28" s="670"/>
      <c r="DG28" s="670"/>
      <c r="DH28" s="670"/>
      <c r="DI28" s="670"/>
      <c r="DJ28" s="670"/>
      <c r="DK28" s="670"/>
      <c r="DL28" s="670"/>
      <c r="DM28" s="670"/>
      <c r="DN28" s="670"/>
      <c r="DO28" s="670"/>
      <c r="DP28" s="670"/>
      <c r="DQ28" s="670"/>
      <c r="DR28" s="670"/>
      <c r="DS28" s="670"/>
      <c r="DT28" s="670"/>
      <c r="DU28" s="670"/>
      <c r="DV28" s="670"/>
      <c r="DW28" s="670"/>
      <c r="DX28" s="670"/>
      <c r="DY28" s="670"/>
      <c r="DZ28" s="670"/>
      <c r="EA28" s="670"/>
      <c r="EB28" s="670"/>
      <c r="EC28" s="670"/>
      <c r="ED28" s="670"/>
      <c r="EE28" s="670"/>
      <c r="EF28" s="670"/>
      <c r="EG28" s="670"/>
      <c r="EH28" s="670"/>
      <c r="EI28" s="670"/>
      <c r="EJ28" s="670"/>
      <c r="EK28" s="670"/>
      <c r="EL28" s="670"/>
      <c r="EM28" s="670"/>
      <c r="EN28" s="670"/>
      <c r="EO28" s="670"/>
      <c r="EP28" s="670"/>
      <c r="EQ28" s="670"/>
      <c r="ER28" s="670"/>
      <c r="ES28" s="670"/>
      <c r="ET28" s="670"/>
      <c r="EU28" s="670"/>
      <c r="EV28" s="670"/>
      <c r="EW28" s="670"/>
      <c r="EX28" s="670"/>
      <c r="EY28" s="670"/>
      <c r="EZ28" s="670"/>
      <c r="FA28" s="670"/>
      <c r="FB28" s="670"/>
      <c r="FC28" s="670"/>
      <c r="FD28" s="670"/>
      <c r="FE28" s="670"/>
      <c r="FF28" s="670"/>
      <c r="FG28" s="670"/>
      <c r="FH28" s="670"/>
      <c r="FI28" s="670"/>
      <c r="FJ28" s="670"/>
      <c r="FK28" s="670"/>
      <c r="FL28" s="670"/>
      <c r="FM28" s="670"/>
      <c r="FN28" s="670"/>
      <c r="FO28" s="670"/>
      <c r="FP28" s="670"/>
      <c r="FQ28" s="670"/>
      <c r="FR28" s="670"/>
      <c r="FS28" s="670"/>
      <c r="FT28" s="670"/>
      <c r="FU28" s="670">
        <v>0</v>
      </c>
      <c r="FV28" s="670">
        <v>217.84777</v>
      </c>
      <c r="FW28" s="670">
        <v>180.02023</v>
      </c>
      <c r="FX28" s="670">
        <v>0</v>
      </c>
      <c r="FY28" s="670">
        <v>62.242220000000003</v>
      </c>
      <c r="FZ28" s="670">
        <v>70.005779999999987</v>
      </c>
      <c r="GA28" s="670"/>
      <c r="GB28" s="670"/>
      <c r="GC28" s="670"/>
      <c r="GD28" s="670"/>
      <c r="GE28" s="670"/>
      <c r="GF28" s="670"/>
      <c r="GG28" s="670"/>
      <c r="GH28" s="670"/>
      <c r="GI28" s="670"/>
      <c r="GJ28" s="670"/>
      <c r="GK28" s="670"/>
      <c r="GL28" s="670"/>
      <c r="GM28" s="670"/>
      <c r="GN28" s="670"/>
      <c r="GO28" s="670"/>
      <c r="GP28" s="670"/>
      <c r="GQ28" s="670"/>
      <c r="GR28" s="670"/>
      <c r="GS28" s="670">
        <v>108</v>
      </c>
      <c r="GT28" s="670">
        <v>186.72666000000001</v>
      </c>
      <c r="GU28" s="670">
        <v>210.01734000000002</v>
      </c>
      <c r="GV28" s="670">
        <v>108</v>
      </c>
      <c r="GW28" s="670">
        <v>0</v>
      </c>
      <c r="GX28" s="670">
        <v>258.74400000000003</v>
      </c>
      <c r="GY28" s="670">
        <v>150</v>
      </c>
      <c r="GZ28" s="670">
        <v>0</v>
      </c>
      <c r="HA28" s="670">
        <v>212.49600000000001</v>
      </c>
      <c r="HB28" s="670">
        <v>170</v>
      </c>
      <c r="HC28" s="670">
        <v>0</v>
      </c>
      <c r="HD28" s="670">
        <v>210.62</v>
      </c>
      <c r="HE28" s="670"/>
      <c r="HF28" s="670"/>
      <c r="HG28" s="670"/>
      <c r="HH28" s="670"/>
      <c r="HI28" s="670"/>
      <c r="HJ28" s="670"/>
      <c r="HK28" s="670">
        <v>54</v>
      </c>
      <c r="HL28" s="670">
        <v>0</v>
      </c>
      <c r="HM28" s="670">
        <v>78.372</v>
      </c>
      <c r="HN28" s="670">
        <v>36</v>
      </c>
      <c r="HO28" s="670">
        <v>0</v>
      </c>
      <c r="HP28" s="670">
        <v>68.248000000000005</v>
      </c>
      <c r="HQ28" s="670">
        <v>36</v>
      </c>
      <c r="HR28" s="670">
        <v>0</v>
      </c>
      <c r="HS28" s="670">
        <v>72.248000000000005</v>
      </c>
      <c r="HT28" s="670">
        <v>72</v>
      </c>
      <c r="HU28" s="670">
        <v>0</v>
      </c>
      <c r="HV28" s="670">
        <v>280.01156000000003</v>
      </c>
      <c r="HW28" s="670">
        <v>72</v>
      </c>
      <c r="HX28" s="670">
        <v>0</v>
      </c>
      <c r="HY28" s="670">
        <v>160.01156</v>
      </c>
      <c r="HZ28" s="670">
        <v>90</v>
      </c>
      <c r="IA28" s="670">
        <v>0</v>
      </c>
      <c r="IB28" s="670">
        <v>175.01445000000001</v>
      </c>
      <c r="IC28" s="670">
        <v>18</v>
      </c>
      <c r="ID28" s="670">
        <v>0</v>
      </c>
      <c r="IE28" s="670">
        <v>141.124</v>
      </c>
      <c r="IF28" s="670">
        <v>39.6</v>
      </c>
      <c r="IG28" s="670">
        <v>0</v>
      </c>
      <c r="IH28" s="670">
        <v>57.472799999999999</v>
      </c>
      <c r="II28" s="670"/>
      <c r="IJ28" s="670"/>
      <c r="IK28" s="670"/>
      <c r="IL28" s="670">
        <v>63</v>
      </c>
      <c r="IM28" s="670">
        <v>0</v>
      </c>
      <c r="IN28" s="670">
        <v>142.434</v>
      </c>
      <c r="IO28" s="670">
        <v>90</v>
      </c>
      <c r="IP28" s="670">
        <v>0</v>
      </c>
      <c r="IQ28" s="670">
        <v>240</v>
      </c>
      <c r="IR28" s="670">
        <v>72</v>
      </c>
      <c r="IS28" s="670">
        <v>0</v>
      </c>
      <c r="IT28" s="670">
        <v>212</v>
      </c>
      <c r="IU28" s="670">
        <v>81</v>
      </c>
      <c r="IV28" s="670">
        <v>0</v>
      </c>
      <c r="IW28" s="670">
        <v>217.55799999999999</v>
      </c>
      <c r="IX28" s="670">
        <v>90</v>
      </c>
      <c r="IY28" s="670">
        <v>0</v>
      </c>
      <c r="IZ28" s="670">
        <v>105.01445000000001</v>
      </c>
      <c r="JA28" s="670">
        <v>72</v>
      </c>
      <c r="JB28" s="670">
        <v>0</v>
      </c>
      <c r="JC28" s="670">
        <v>130.01156</v>
      </c>
      <c r="JD28" s="670">
        <v>81</v>
      </c>
      <c r="JE28" s="670">
        <v>0</v>
      </c>
      <c r="JF28" s="670">
        <v>221.55799999999999</v>
      </c>
      <c r="JG28" s="670">
        <v>90</v>
      </c>
      <c r="JH28" s="670">
        <v>0</v>
      </c>
      <c r="JI28" s="670">
        <v>190.62</v>
      </c>
      <c r="JJ28" s="670">
        <v>72</v>
      </c>
      <c r="JK28" s="670">
        <v>0</v>
      </c>
      <c r="JL28" s="670">
        <v>134.49600000000001</v>
      </c>
      <c r="JM28" s="670">
        <v>81</v>
      </c>
      <c r="JN28" s="670">
        <v>0</v>
      </c>
      <c r="JO28" s="670">
        <v>120.955005</v>
      </c>
      <c r="JP28" s="670">
        <v>90</v>
      </c>
      <c r="JQ28" s="670">
        <v>0</v>
      </c>
      <c r="JR28" s="670">
        <v>184.39445000000001</v>
      </c>
      <c r="JS28" s="670">
        <v>72</v>
      </c>
      <c r="JT28" s="670">
        <v>0</v>
      </c>
      <c r="JU28" s="670">
        <v>212</v>
      </c>
      <c r="JV28" s="670">
        <v>81</v>
      </c>
      <c r="JW28" s="670">
        <v>0</v>
      </c>
      <c r="JX28" s="670">
        <v>82.513004999999993</v>
      </c>
      <c r="JY28" s="670">
        <v>90</v>
      </c>
      <c r="JZ28" s="670">
        <v>0</v>
      </c>
      <c r="KA28" s="670">
        <v>95.014450000000011</v>
      </c>
      <c r="KB28" s="670">
        <v>72</v>
      </c>
      <c r="KC28" s="670">
        <v>0</v>
      </c>
      <c r="KD28" s="670">
        <v>80.011560000000003</v>
      </c>
      <c r="KE28" s="670">
        <v>81</v>
      </c>
      <c r="KF28" s="670">
        <v>0</v>
      </c>
      <c r="KG28" s="670">
        <v>117.55799999999999</v>
      </c>
      <c r="KH28" s="670">
        <v>155</v>
      </c>
      <c r="KI28" s="670">
        <v>0</v>
      </c>
      <c r="KJ28" s="670">
        <v>195.62</v>
      </c>
      <c r="KK28" s="670">
        <v>72</v>
      </c>
      <c r="KL28" s="670">
        <v>0</v>
      </c>
      <c r="KM28" s="670">
        <v>136.49600000000001</v>
      </c>
      <c r="KN28" s="670">
        <v>81</v>
      </c>
      <c r="KO28" s="670">
        <v>0</v>
      </c>
      <c r="KP28" s="670">
        <v>122.51300499999999</v>
      </c>
      <c r="KQ28" s="670">
        <v>90</v>
      </c>
      <c r="KR28" s="670">
        <v>0</v>
      </c>
      <c r="KS28" s="670">
        <v>95.014450000000011</v>
      </c>
      <c r="KT28" s="670">
        <v>72</v>
      </c>
      <c r="KU28" s="670">
        <v>0</v>
      </c>
      <c r="KV28" s="670">
        <v>220.01156</v>
      </c>
      <c r="KW28" s="670">
        <v>81</v>
      </c>
      <c r="KX28" s="670">
        <v>0</v>
      </c>
      <c r="KY28" s="670">
        <v>98.513004999999993</v>
      </c>
      <c r="KZ28" s="670">
        <v>90</v>
      </c>
      <c r="LA28" s="670">
        <v>0</v>
      </c>
      <c r="LB28" s="670">
        <v>95.014450000000011</v>
      </c>
      <c r="LC28" s="670">
        <v>72</v>
      </c>
      <c r="LD28" s="670">
        <v>0</v>
      </c>
      <c r="LE28" s="670">
        <v>150.01156</v>
      </c>
      <c r="LF28" s="670">
        <v>81</v>
      </c>
      <c r="LG28" s="670">
        <v>0</v>
      </c>
      <c r="LH28" s="670">
        <v>98.557999999999993</v>
      </c>
      <c r="LI28" s="670">
        <v>90</v>
      </c>
      <c r="LJ28" s="670">
        <v>0</v>
      </c>
      <c r="LK28" s="670">
        <v>91</v>
      </c>
      <c r="LL28" s="670">
        <v>72</v>
      </c>
      <c r="LM28" s="670">
        <v>0</v>
      </c>
      <c r="LN28" s="670">
        <v>97.515559999999994</v>
      </c>
      <c r="LO28" s="670"/>
      <c r="LP28" s="670"/>
      <c r="LQ28" s="670"/>
      <c r="LR28" s="670"/>
      <c r="LS28" s="670"/>
      <c r="LT28" s="670"/>
      <c r="LU28" s="670"/>
      <c r="LV28" s="670"/>
      <c r="LW28" s="670"/>
      <c r="LX28" s="670"/>
      <c r="LY28" s="670"/>
      <c r="LZ28" s="670"/>
      <c r="MA28" s="670"/>
      <c r="MB28" s="670"/>
      <c r="MC28" s="670"/>
      <c r="MD28" s="670"/>
      <c r="ME28" s="670"/>
      <c r="MF28" s="670"/>
      <c r="MG28" s="670"/>
      <c r="MH28" s="670"/>
      <c r="MI28" s="670"/>
      <c r="MJ28" s="670"/>
      <c r="MK28" s="670"/>
      <c r="ML28" s="670"/>
      <c r="MM28" s="670"/>
      <c r="MN28" s="670"/>
      <c r="MO28" s="670"/>
      <c r="MP28" s="670"/>
      <c r="MQ28" s="670"/>
      <c r="MR28" s="670"/>
      <c r="MS28" s="670"/>
      <c r="MT28" s="670"/>
      <c r="MU28" s="670"/>
      <c r="MV28" s="670"/>
      <c r="MW28" s="670"/>
      <c r="MX28" s="670"/>
      <c r="MY28" s="670"/>
      <c r="MZ28" s="670"/>
      <c r="NA28" s="670"/>
      <c r="NB28" s="670"/>
      <c r="NC28" s="670"/>
      <c r="ND28" s="670"/>
      <c r="NE28" s="670"/>
      <c r="NF28" s="670"/>
      <c r="NG28" s="670"/>
      <c r="NH28" s="670"/>
      <c r="NI28" s="670"/>
      <c r="NJ28" s="670"/>
      <c r="NK28" s="670"/>
      <c r="NL28" s="670"/>
      <c r="NM28" s="670"/>
      <c r="NN28" s="670"/>
      <c r="NO28" s="670"/>
      <c r="NP28" s="670"/>
      <c r="NQ28" s="670"/>
      <c r="NR28" s="670"/>
      <c r="NS28" s="670"/>
      <c r="NT28" s="670"/>
      <c r="NU28" s="670"/>
      <c r="NV28" s="670"/>
      <c r="NW28" s="670"/>
      <c r="NX28" s="670"/>
      <c r="NY28" s="670"/>
      <c r="NZ28" s="670"/>
      <c r="OA28" s="670"/>
      <c r="OB28" s="670"/>
      <c r="OC28" s="670"/>
      <c r="OD28" s="670"/>
      <c r="OE28" s="670"/>
      <c r="OF28" s="670"/>
      <c r="OG28" s="670"/>
      <c r="OH28" s="670"/>
      <c r="OI28" s="670"/>
      <c r="OJ28" s="670"/>
      <c r="OK28" s="670"/>
      <c r="OL28" s="670"/>
      <c r="OM28" s="670"/>
      <c r="ON28" s="670"/>
      <c r="OO28" s="670"/>
      <c r="OP28" s="670"/>
      <c r="OQ28" s="670"/>
      <c r="OR28" s="670"/>
      <c r="OS28" s="670"/>
      <c r="OT28" s="670"/>
      <c r="OU28" s="670"/>
      <c r="OV28" s="670"/>
      <c r="OW28" s="670"/>
      <c r="OX28" s="670"/>
      <c r="OY28" s="670"/>
      <c r="OZ28" s="670"/>
      <c r="PA28" s="670"/>
      <c r="PB28" s="670"/>
      <c r="PC28" s="670"/>
      <c r="PD28" s="670"/>
      <c r="PE28" s="670"/>
      <c r="PF28" s="670"/>
      <c r="PG28" s="670"/>
      <c r="PH28" s="670"/>
      <c r="PI28" s="670"/>
      <c r="PJ28" s="670"/>
      <c r="PK28" s="670"/>
      <c r="PL28" s="670"/>
      <c r="PM28" s="670"/>
      <c r="PN28" s="670"/>
      <c r="PO28" s="670"/>
      <c r="PP28" s="670"/>
      <c r="PQ28" s="670"/>
      <c r="PR28" s="670"/>
      <c r="PS28" s="670"/>
      <c r="PT28" s="670"/>
      <c r="PU28" s="670"/>
      <c r="PV28" s="670"/>
      <c r="PW28" s="670"/>
      <c r="PX28" s="670"/>
      <c r="PY28" s="670"/>
      <c r="PZ28" s="670"/>
      <c r="QA28" s="670"/>
      <c r="QB28" s="670"/>
      <c r="QC28" s="670"/>
      <c r="QD28" s="670"/>
    </row>
    <row r="29" spans="1:446" s="673" customFormat="1" ht="14.1" customHeight="1" x14ac:dyDescent="0.25">
      <c r="A29" s="678">
        <v>1</v>
      </c>
      <c r="B29" s="676">
        <v>45125</v>
      </c>
      <c r="C29" s="674"/>
      <c r="D29" s="674"/>
      <c r="E29" s="674"/>
      <c r="F29" s="670"/>
      <c r="G29" s="670"/>
      <c r="H29" s="670"/>
      <c r="I29" s="670"/>
      <c r="J29" s="670"/>
      <c r="K29" s="670"/>
      <c r="L29" s="670"/>
      <c r="M29" s="670"/>
      <c r="N29" s="670"/>
      <c r="O29" s="670"/>
      <c r="P29" s="670"/>
      <c r="Q29" s="670"/>
      <c r="R29" s="670"/>
      <c r="S29" s="670"/>
      <c r="T29" s="670"/>
      <c r="U29" s="670"/>
      <c r="V29" s="670"/>
      <c r="W29" s="670"/>
      <c r="X29" s="670"/>
      <c r="Y29" s="670"/>
      <c r="Z29" s="670"/>
      <c r="AA29" s="670"/>
      <c r="AB29" s="670"/>
      <c r="AC29" s="670"/>
      <c r="AD29" s="670"/>
      <c r="AE29" s="670"/>
      <c r="AF29" s="670"/>
      <c r="AG29" s="670"/>
      <c r="AH29" s="670"/>
      <c r="AI29" s="670"/>
      <c r="AJ29" s="670"/>
      <c r="AK29" s="670"/>
      <c r="AL29" s="670"/>
      <c r="AM29" s="670"/>
      <c r="AN29" s="670"/>
      <c r="AO29" s="670"/>
      <c r="AP29" s="670"/>
      <c r="AQ29" s="670"/>
      <c r="AR29" s="670"/>
      <c r="AS29" s="670"/>
      <c r="AT29" s="670"/>
      <c r="AU29" s="670"/>
      <c r="AV29" s="670"/>
      <c r="AW29" s="670"/>
      <c r="AX29" s="670"/>
      <c r="AY29" s="670"/>
      <c r="AZ29" s="670"/>
      <c r="BA29" s="670"/>
      <c r="BB29" s="670"/>
      <c r="BC29" s="670"/>
      <c r="BD29" s="670"/>
      <c r="BE29" s="670"/>
      <c r="BF29" s="670"/>
      <c r="BG29" s="670"/>
      <c r="BH29" s="670"/>
      <c r="BI29" s="670"/>
      <c r="BJ29" s="670"/>
      <c r="BK29" s="670"/>
      <c r="BL29" s="670"/>
      <c r="BM29" s="670"/>
      <c r="BN29" s="670"/>
      <c r="BO29" s="670"/>
      <c r="BP29" s="670"/>
      <c r="BQ29" s="670"/>
      <c r="BR29" s="670"/>
      <c r="BS29" s="670"/>
      <c r="BT29" s="670"/>
      <c r="BU29" s="670"/>
      <c r="BV29" s="670"/>
      <c r="BW29" s="670"/>
      <c r="BX29" s="670"/>
      <c r="BY29" s="670"/>
      <c r="BZ29" s="670"/>
      <c r="CA29" s="670"/>
      <c r="CB29" s="670"/>
      <c r="CC29" s="670"/>
      <c r="CD29" s="670"/>
      <c r="CE29" s="670"/>
      <c r="CF29" s="670"/>
      <c r="CG29" s="670"/>
      <c r="CH29" s="670"/>
      <c r="CI29" s="670"/>
      <c r="CJ29" s="670"/>
      <c r="CK29" s="670"/>
      <c r="CL29" s="670"/>
      <c r="CM29" s="670"/>
      <c r="CN29" s="670"/>
      <c r="CO29" s="670"/>
      <c r="CP29" s="670"/>
      <c r="CQ29" s="670"/>
      <c r="CR29" s="670"/>
      <c r="CS29" s="670"/>
      <c r="CT29" s="670"/>
      <c r="CU29" s="670"/>
      <c r="CV29" s="670"/>
      <c r="CW29" s="670"/>
      <c r="CX29" s="670"/>
      <c r="CY29" s="670"/>
      <c r="CZ29" s="670"/>
      <c r="DA29" s="670"/>
      <c r="DB29" s="670"/>
      <c r="DC29" s="670"/>
      <c r="DD29" s="670"/>
      <c r="DE29" s="670"/>
      <c r="DF29" s="670"/>
      <c r="DG29" s="670"/>
      <c r="DH29" s="670"/>
      <c r="DI29" s="670"/>
      <c r="DJ29" s="670"/>
      <c r="DK29" s="670"/>
      <c r="DL29" s="670"/>
      <c r="DM29" s="670"/>
      <c r="DN29" s="670"/>
      <c r="DO29" s="670"/>
      <c r="DP29" s="670"/>
      <c r="DQ29" s="670"/>
      <c r="DR29" s="670"/>
      <c r="DS29" s="670"/>
      <c r="DT29" s="670"/>
      <c r="DU29" s="670"/>
      <c r="DV29" s="670"/>
      <c r="DW29" s="670"/>
      <c r="DX29" s="670"/>
      <c r="DY29" s="670"/>
      <c r="DZ29" s="670"/>
      <c r="EA29" s="670"/>
      <c r="EB29" s="670"/>
      <c r="EC29" s="670"/>
      <c r="ED29" s="670"/>
      <c r="EE29" s="670"/>
      <c r="EF29" s="670"/>
      <c r="EG29" s="670"/>
      <c r="EH29" s="670"/>
      <c r="EI29" s="670"/>
      <c r="EJ29" s="670"/>
      <c r="EK29" s="670"/>
      <c r="EL29" s="670"/>
      <c r="EM29" s="670"/>
      <c r="EN29" s="670"/>
      <c r="EO29" s="670"/>
      <c r="EP29" s="670"/>
      <c r="EQ29" s="670"/>
      <c r="ER29" s="670"/>
      <c r="ES29" s="670"/>
      <c r="ET29" s="670"/>
      <c r="EU29" s="670"/>
      <c r="EV29" s="670"/>
      <c r="EW29" s="670"/>
      <c r="EX29" s="670"/>
      <c r="EY29" s="670"/>
      <c r="EZ29" s="670"/>
      <c r="FA29" s="670"/>
      <c r="FB29" s="670"/>
      <c r="FC29" s="670"/>
      <c r="FD29" s="670"/>
      <c r="FE29" s="670"/>
      <c r="FF29" s="670"/>
      <c r="FG29" s="670"/>
      <c r="FH29" s="670"/>
      <c r="FI29" s="670"/>
      <c r="FJ29" s="670"/>
      <c r="FK29" s="670"/>
      <c r="FL29" s="670"/>
      <c r="FM29" s="670"/>
      <c r="FN29" s="670"/>
      <c r="FO29" s="670"/>
      <c r="FP29" s="670"/>
      <c r="FQ29" s="670"/>
      <c r="FR29" s="670"/>
      <c r="FS29" s="670"/>
      <c r="FT29" s="670"/>
      <c r="FU29" s="670"/>
      <c r="FV29" s="670"/>
      <c r="FW29" s="670"/>
      <c r="FX29" s="670"/>
      <c r="FY29" s="670"/>
      <c r="FZ29" s="670"/>
      <c r="GA29" s="670"/>
      <c r="GB29" s="670"/>
      <c r="GC29" s="670"/>
      <c r="GD29" s="670"/>
      <c r="GE29" s="670"/>
      <c r="GF29" s="670"/>
      <c r="GG29" s="670"/>
      <c r="GH29" s="670"/>
      <c r="GI29" s="670"/>
      <c r="GJ29" s="670"/>
      <c r="GK29" s="670"/>
      <c r="GL29" s="670"/>
      <c r="GM29" s="670"/>
      <c r="GN29" s="670"/>
      <c r="GO29" s="670"/>
      <c r="GP29" s="670"/>
      <c r="GQ29" s="670"/>
      <c r="GR29" s="670"/>
      <c r="GS29" s="670"/>
      <c r="GT29" s="670"/>
      <c r="GU29" s="670"/>
      <c r="GV29" s="670"/>
      <c r="GW29" s="670"/>
      <c r="GX29" s="670"/>
      <c r="GY29" s="670"/>
      <c r="GZ29" s="670"/>
      <c r="HA29" s="670"/>
      <c r="HB29" s="670"/>
      <c r="HC29" s="670"/>
      <c r="HD29" s="670"/>
      <c r="HE29" s="670"/>
      <c r="HF29" s="670"/>
      <c r="HG29" s="670"/>
      <c r="HH29" s="670"/>
      <c r="HI29" s="670"/>
      <c r="HJ29" s="670"/>
      <c r="HK29" s="670"/>
      <c r="HL29" s="670"/>
      <c r="HM29" s="670"/>
      <c r="HN29" s="670"/>
      <c r="HO29" s="670"/>
      <c r="HP29" s="670"/>
      <c r="HQ29" s="670"/>
      <c r="HR29" s="670"/>
      <c r="HS29" s="670"/>
      <c r="HT29" s="670"/>
      <c r="HU29" s="670"/>
      <c r="HV29" s="670"/>
      <c r="HW29" s="670"/>
      <c r="HX29" s="670"/>
      <c r="HY29" s="670"/>
      <c r="HZ29" s="670"/>
      <c r="IA29" s="670"/>
      <c r="IB29" s="670"/>
      <c r="IC29" s="670"/>
      <c r="ID29" s="670"/>
      <c r="IE29" s="670"/>
      <c r="IF29" s="670"/>
      <c r="IG29" s="670"/>
      <c r="IH29" s="670"/>
      <c r="II29" s="670"/>
      <c r="IJ29" s="670"/>
      <c r="IK29" s="670"/>
      <c r="IL29" s="670"/>
      <c r="IM29" s="670"/>
      <c r="IN29" s="670"/>
      <c r="IO29" s="670"/>
      <c r="IP29" s="670"/>
      <c r="IQ29" s="670"/>
      <c r="IR29" s="670"/>
      <c r="IS29" s="670"/>
      <c r="IT29" s="670"/>
      <c r="IU29" s="670"/>
      <c r="IV29" s="670"/>
      <c r="IW29" s="670"/>
      <c r="IX29" s="670"/>
      <c r="IY29" s="670"/>
      <c r="IZ29" s="670"/>
      <c r="JA29" s="670"/>
      <c r="JB29" s="670"/>
      <c r="JC29" s="670"/>
      <c r="JD29" s="670"/>
      <c r="JE29" s="670"/>
      <c r="JF29" s="670"/>
      <c r="JG29" s="670"/>
      <c r="JH29" s="670"/>
      <c r="JI29" s="670"/>
      <c r="JJ29" s="670"/>
      <c r="JK29" s="670"/>
      <c r="JL29" s="670"/>
      <c r="JM29" s="670"/>
      <c r="JN29" s="670"/>
      <c r="JO29" s="670"/>
      <c r="JP29" s="670"/>
      <c r="JQ29" s="670"/>
      <c r="JR29" s="670"/>
      <c r="JS29" s="670"/>
      <c r="JT29" s="670"/>
      <c r="JU29" s="670"/>
      <c r="JV29" s="670"/>
      <c r="JW29" s="670"/>
      <c r="JX29" s="670"/>
      <c r="JY29" s="670"/>
      <c r="JZ29" s="670"/>
      <c r="KA29" s="670"/>
      <c r="KB29" s="670"/>
      <c r="KC29" s="670"/>
      <c r="KD29" s="670"/>
      <c r="KE29" s="670"/>
      <c r="KF29" s="670"/>
      <c r="KG29" s="670"/>
      <c r="KH29" s="670"/>
      <c r="KI29" s="670"/>
      <c r="KJ29" s="670"/>
      <c r="KK29" s="670"/>
      <c r="KL29" s="670"/>
      <c r="KM29" s="670"/>
      <c r="KN29" s="670"/>
      <c r="KO29" s="670"/>
      <c r="KP29" s="670"/>
      <c r="KQ29" s="670"/>
      <c r="KR29" s="670"/>
      <c r="KS29" s="670"/>
      <c r="KT29" s="670"/>
      <c r="KU29" s="670"/>
      <c r="KV29" s="670"/>
      <c r="KW29" s="670"/>
      <c r="KX29" s="670"/>
      <c r="KY29" s="670"/>
      <c r="KZ29" s="670"/>
      <c r="LA29" s="670"/>
      <c r="LB29" s="670"/>
      <c r="LC29" s="670"/>
      <c r="LD29" s="670"/>
      <c r="LE29" s="670"/>
      <c r="LF29" s="670"/>
      <c r="LG29" s="670"/>
      <c r="LH29" s="670"/>
      <c r="LI29" s="670"/>
      <c r="LJ29" s="670"/>
      <c r="LK29" s="670"/>
      <c r="LL29" s="670"/>
      <c r="LM29" s="670"/>
      <c r="LN29" s="670"/>
      <c r="LO29" s="670"/>
      <c r="LP29" s="670"/>
      <c r="LQ29" s="670"/>
      <c r="LR29" s="670"/>
      <c r="LS29" s="670"/>
      <c r="LT29" s="670"/>
      <c r="LU29" s="670"/>
      <c r="LV29" s="670"/>
      <c r="LW29" s="670"/>
      <c r="LX29" s="670"/>
      <c r="LY29" s="670"/>
      <c r="LZ29" s="670"/>
      <c r="MA29" s="670"/>
      <c r="MB29" s="670"/>
      <c r="MC29" s="670"/>
      <c r="MD29" s="670"/>
      <c r="ME29" s="670"/>
      <c r="MF29" s="670"/>
      <c r="MG29" s="670"/>
      <c r="MH29" s="670"/>
      <c r="MI29" s="670"/>
      <c r="MJ29" s="670"/>
      <c r="MK29" s="670"/>
      <c r="ML29" s="670"/>
      <c r="MM29" s="670"/>
      <c r="MN29" s="670"/>
      <c r="MO29" s="670"/>
      <c r="MP29" s="670"/>
      <c r="MQ29" s="670"/>
      <c r="MR29" s="670"/>
      <c r="MS29" s="670"/>
      <c r="MT29" s="670"/>
      <c r="MU29" s="670"/>
      <c r="MV29" s="670"/>
      <c r="MW29" s="670"/>
      <c r="MX29" s="670"/>
      <c r="MY29" s="670"/>
      <c r="MZ29" s="670"/>
      <c r="NA29" s="670"/>
      <c r="NB29" s="670"/>
      <c r="NC29" s="670"/>
      <c r="ND29" s="670"/>
      <c r="NE29" s="670"/>
      <c r="NF29" s="670"/>
      <c r="NG29" s="670"/>
      <c r="NH29" s="670"/>
      <c r="NI29" s="670"/>
      <c r="NJ29" s="670"/>
      <c r="NK29" s="670"/>
      <c r="NL29" s="670"/>
      <c r="NM29" s="670"/>
      <c r="NN29" s="670"/>
      <c r="NO29" s="670"/>
      <c r="NP29" s="670"/>
      <c r="NQ29" s="670"/>
      <c r="NR29" s="670"/>
      <c r="NS29" s="670"/>
      <c r="NT29" s="670"/>
      <c r="NU29" s="670"/>
      <c r="NV29" s="670"/>
      <c r="NW29" s="670"/>
      <c r="NX29" s="670"/>
      <c r="NY29" s="670"/>
      <c r="NZ29" s="670"/>
      <c r="OA29" s="670"/>
      <c r="OB29" s="670"/>
      <c r="OC29" s="670"/>
      <c r="OD29" s="670"/>
      <c r="OE29" s="670"/>
      <c r="OF29" s="670"/>
      <c r="OG29" s="670"/>
      <c r="OH29" s="670"/>
      <c r="OI29" s="670"/>
      <c r="OJ29" s="670"/>
      <c r="OK29" s="670"/>
      <c r="OL29" s="670"/>
      <c r="OM29" s="670"/>
      <c r="ON29" s="670"/>
      <c r="OO29" s="670"/>
      <c r="OP29" s="670"/>
      <c r="OQ29" s="670"/>
      <c r="OR29" s="670"/>
      <c r="OS29" s="670"/>
      <c r="OT29" s="670"/>
      <c r="OU29" s="670"/>
      <c r="OV29" s="670"/>
      <c r="OW29" s="670"/>
      <c r="OX29" s="670"/>
      <c r="OY29" s="670"/>
      <c r="OZ29" s="670"/>
      <c r="PA29" s="670"/>
      <c r="PB29" s="670"/>
      <c r="PC29" s="670"/>
      <c r="PD29" s="670"/>
      <c r="PE29" s="670"/>
      <c r="PF29" s="670"/>
      <c r="PG29" s="670"/>
      <c r="PH29" s="670"/>
      <c r="PI29" s="670"/>
      <c r="PJ29" s="670"/>
      <c r="PK29" s="670"/>
      <c r="PL29" s="670"/>
      <c r="PM29" s="670"/>
      <c r="PN29" s="670"/>
      <c r="PO29" s="670"/>
      <c r="PP29" s="670"/>
      <c r="PQ29" s="670"/>
      <c r="PR29" s="670"/>
      <c r="PS29" s="670"/>
      <c r="PT29" s="670"/>
      <c r="PU29" s="670"/>
      <c r="PV29" s="670"/>
      <c r="PW29" s="670"/>
      <c r="PX29" s="670"/>
      <c r="PY29" s="670"/>
      <c r="PZ29" s="670"/>
      <c r="QA29" s="670"/>
      <c r="QB29" s="670"/>
      <c r="QC29" s="670"/>
      <c r="QD29" s="670"/>
    </row>
    <row r="30" spans="1:446" s="673" customFormat="1" ht="14.1" customHeight="1" x14ac:dyDescent="0.25">
      <c r="A30" s="678">
        <v>1</v>
      </c>
      <c r="B30" s="676">
        <v>45126</v>
      </c>
      <c r="C30" s="670"/>
      <c r="D30" s="670"/>
      <c r="E30" s="670"/>
      <c r="F30" s="670"/>
      <c r="G30" s="670"/>
      <c r="H30" s="670"/>
      <c r="I30" s="670"/>
      <c r="J30" s="670"/>
      <c r="K30" s="670"/>
      <c r="L30" s="670"/>
      <c r="M30" s="670"/>
      <c r="N30" s="670"/>
      <c r="O30" s="670"/>
      <c r="P30" s="670"/>
      <c r="Q30" s="670"/>
      <c r="R30" s="670"/>
      <c r="S30" s="670"/>
      <c r="T30" s="670"/>
      <c r="U30" s="670"/>
      <c r="V30" s="670"/>
      <c r="W30" s="670"/>
      <c r="X30" s="670"/>
      <c r="Y30" s="670"/>
      <c r="Z30" s="670"/>
      <c r="AA30" s="670"/>
      <c r="AB30" s="670"/>
      <c r="AC30" s="670"/>
      <c r="AD30" s="670"/>
      <c r="AE30" s="670"/>
      <c r="AF30" s="670"/>
      <c r="AG30" s="670"/>
      <c r="AH30" s="670"/>
      <c r="AI30" s="670"/>
      <c r="AJ30" s="670"/>
      <c r="AK30" s="670"/>
      <c r="AL30" s="670"/>
      <c r="AM30" s="670"/>
      <c r="AN30" s="670"/>
      <c r="AO30" s="670"/>
      <c r="AP30" s="670"/>
      <c r="AQ30" s="670"/>
      <c r="AR30" s="670"/>
      <c r="AS30" s="670"/>
      <c r="AT30" s="670"/>
      <c r="AU30" s="670"/>
      <c r="AV30" s="670"/>
      <c r="AW30" s="670"/>
      <c r="AX30" s="670"/>
      <c r="AY30" s="670"/>
      <c r="AZ30" s="670"/>
      <c r="BA30" s="670"/>
      <c r="BB30" s="670"/>
      <c r="BC30" s="670"/>
      <c r="BD30" s="670"/>
      <c r="BE30" s="670"/>
      <c r="BF30" s="670"/>
      <c r="BG30" s="670"/>
      <c r="BH30" s="670"/>
      <c r="BI30" s="670"/>
      <c r="BJ30" s="670"/>
      <c r="BK30" s="670"/>
      <c r="BL30" s="670"/>
      <c r="BM30" s="670"/>
      <c r="BN30" s="670"/>
      <c r="BO30" s="670"/>
      <c r="BP30" s="670"/>
      <c r="BQ30" s="670"/>
      <c r="BR30" s="670"/>
      <c r="BS30" s="670"/>
      <c r="BT30" s="670"/>
      <c r="BU30" s="670"/>
      <c r="BV30" s="670"/>
      <c r="BW30" s="670"/>
      <c r="BX30" s="670"/>
      <c r="BY30" s="670"/>
      <c r="BZ30" s="670"/>
      <c r="CA30" s="670"/>
      <c r="CB30" s="670"/>
      <c r="CC30" s="670"/>
      <c r="CD30" s="670"/>
      <c r="CE30" s="670"/>
      <c r="CF30" s="670"/>
      <c r="CG30" s="670"/>
      <c r="CH30" s="670"/>
      <c r="CI30" s="670"/>
      <c r="CJ30" s="670"/>
      <c r="CK30" s="670"/>
      <c r="CL30" s="670"/>
      <c r="CM30" s="670"/>
      <c r="CN30" s="670"/>
      <c r="CO30" s="670"/>
      <c r="CP30" s="670"/>
      <c r="CQ30" s="670"/>
      <c r="CR30" s="670"/>
      <c r="CS30" s="670"/>
      <c r="CT30" s="670"/>
      <c r="CU30" s="670"/>
      <c r="CV30" s="670"/>
      <c r="CW30" s="670"/>
      <c r="CX30" s="670"/>
      <c r="CY30" s="670"/>
      <c r="CZ30" s="670"/>
      <c r="DA30" s="670"/>
      <c r="DB30" s="670"/>
      <c r="DC30" s="670"/>
      <c r="DD30" s="670"/>
      <c r="DE30" s="670"/>
      <c r="DF30" s="670"/>
      <c r="DG30" s="670"/>
      <c r="DH30" s="670"/>
      <c r="DI30" s="670"/>
      <c r="DJ30" s="670"/>
      <c r="DK30" s="670"/>
      <c r="DL30" s="670"/>
      <c r="DM30" s="670"/>
      <c r="DN30" s="670"/>
      <c r="DO30" s="670"/>
      <c r="DP30" s="670"/>
      <c r="DQ30" s="670"/>
      <c r="DR30" s="670"/>
      <c r="DS30" s="670"/>
      <c r="DT30" s="670"/>
      <c r="DU30" s="670"/>
      <c r="DV30" s="670"/>
      <c r="DW30" s="670"/>
      <c r="DX30" s="670"/>
      <c r="DY30" s="670"/>
      <c r="DZ30" s="670"/>
      <c r="EA30" s="670"/>
      <c r="EB30" s="670"/>
      <c r="EC30" s="670"/>
      <c r="ED30" s="670"/>
      <c r="EE30" s="670"/>
      <c r="EF30" s="670"/>
      <c r="EG30" s="670"/>
      <c r="EH30" s="670"/>
      <c r="EI30" s="670"/>
      <c r="EJ30" s="670"/>
      <c r="EK30" s="670"/>
      <c r="EL30" s="670"/>
      <c r="EM30" s="670"/>
      <c r="EN30" s="670"/>
      <c r="EO30" s="670"/>
      <c r="EP30" s="670"/>
      <c r="EQ30" s="670"/>
      <c r="ER30" s="670"/>
      <c r="ES30" s="670"/>
      <c r="ET30" s="670"/>
      <c r="EU30" s="670"/>
      <c r="EV30" s="670"/>
      <c r="EW30" s="670"/>
      <c r="EX30" s="670"/>
      <c r="EY30" s="670"/>
      <c r="EZ30" s="670"/>
      <c r="FA30" s="670"/>
      <c r="FB30" s="670"/>
      <c r="FC30" s="670"/>
      <c r="FD30" s="670"/>
      <c r="FE30" s="670"/>
      <c r="FF30" s="670"/>
      <c r="FG30" s="670"/>
      <c r="FH30" s="670"/>
      <c r="FI30" s="670"/>
      <c r="FJ30" s="670"/>
      <c r="FK30" s="670"/>
      <c r="FL30" s="670"/>
      <c r="FM30" s="670"/>
      <c r="FN30" s="670"/>
      <c r="FO30" s="670"/>
      <c r="FP30" s="670"/>
      <c r="FQ30" s="670"/>
      <c r="FR30" s="670"/>
      <c r="FS30" s="670"/>
      <c r="FT30" s="670"/>
      <c r="FU30" s="670"/>
      <c r="FV30" s="670"/>
      <c r="FW30" s="670"/>
      <c r="FX30" s="670"/>
      <c r="FY30" s="670"/>
      <c r="FZ30" s="670"/>
      <c r="GA30" s="670"/>
      <c r="GB30" s="670"/>
      <c r="GC30" s="670"/>
      <c r="GD30" s="670"/>
      <c r="GE30" s="670"/>
      <c r="GF30" s="670"/>
      <c r="GG30" s="670"/>
      <c r="GH30" s="670"/>
      <c r="GI30" s="670"/>
      <c r="GJ30" s="670"/>
      <c r="GK30" s="670"/>
      <c r="GL30" s="670"/>
      <c r="GM30" s="670"/>
      <c r="GN30" s="670"/>
      <c r="GO30" s="670"/>
      <c r="GP30" s="670"/>
      <c r="GQ30" s="670"/>
      <c r="GR30" s="670"/>
      <c r="GS30" s="670"/>
      <c r="GT30" s="670"/>
      <c r="GU30" s="670"/>
      <c r="GV30" s="670"/>
      <c r="GW30" s="670"/>
      <c r="GX30" s="670"/>
      <c r="GY30" s="670"/>
      <c r="GZ30" s="670"/>
      <c r="HA30" s="670"/>
      <c r="HB30" s="670"/>
      <c r="HC30" s="670"/>
      <c r="HD30" s="670"/>
      <c r="HE30" s="670"/>
      <c r="HF30" s="670"/>
      <c r="HG30" s="670"/>
      <c r="HH30" s="670"/>
      <c r="HI30" s="670"/>
      <c r="HJ30" s="670"/>
      <c r="HK30" s="670"/>
      <c r="HL30" s="670"/>
      <c r="HM30" s="670"/>
      <c r="HN30" s="670"/>
      <c r="HO30" s="670"/>
      <c r="HP30" s="670"/>
      <c r="HQ30" s="670"/>
      <c r="HR30" s="670"/>
      <c r="HS30" s="670"/>
      <c r="HT30" s="670"/>
      <c r="HU30" s="670"/>
      <c r="HV30" s="670"/>
      <c r="HW30" s="670"/>
      <c r="HX30" s="670"/>
      <c r="HY30" s="670"/>
      <c r="HZ30" s="670"/>
      <c r="IA30" s="670"/>
      <c r="IB30" s="670"/>
      <c r="IC30" s="670"/>
      <c r="ID30" s="670"/>
      <c r="IE30" s="670"/>
      <c r="IF30" s="670"/>
      <c r="IG30" s="670"/>
      <c r="IH30" s="670"/>
      <c r="II30" s="670"/>
      <c r="IJ30" s="670"/>
      <c r="IK30" s="670"/>
      <c r="IL30" s="670"/>
      <c r="IM30" s="670"/>
      <c r="IN30" s="670"/>
      <c r="IO30" s="670"/>
      <c r="IP30" s="670"/>
      <c r="IQ30" s="670"/>
      <c r="IR30" s="670"/>
      <c r="IS30" s="670"/>
      <c r="IT30" s="670"/>
      <c r="IU30" s="670"/>
      <c r="IV30" s="670"/>
      <c r="IW30" s="670"/>
      <c r="IX30" s="670"/>
      <c r="IY30" s="670"/>
      <c r="IZ30" s="670"/>
      <c r="JA30" s="670"/>
      <c r="JB30" s="670"/>
      <c r="JC30" s="670"/>
      <c r="JD30" s="670"/>
      <c r="JE30" s="670"/>
      <c r="JF30" s="670"/>
      <c r="JG30" s="670"/>
      <c r="JH30" s="670"/>
      <c r="JI30" s="670"/>
      <c r="JJ30" s="670"/>
      <c r="JK30" s="670"/>
      <c r="JL30" s="670"/>
      <c r="JM30" s="670"/>
      <c r="JN30" s="670"/>
      <c r="JO30" s="670"/>
      <c r="JP30" s="670"/>
      <c r="JQ30" s="670"/>
      <c r="JR30" s="670"/>
      <c r="JS30" s="670"/>
      <c r="JT30" s="670"/>
      <c r="JU30" s="670"/>
      <c r="JV30" s="670"/>
      <c r="JW30" s="670"/>
      <c r="JX30" s="670"/>
      <c r="JY30" s="670"/>
      <c r="JZ30" s="670"/>
      <c r="KA30" s="670"/>
      <c r="KB30" s="670"/>
      <c r="KC30" s="670"/>
      <c r="KD30" s="670"/>
      <c r="KE30" s="670"/>
      <c r="KF30" s="670"/>
      <c r="KG30" s="670"/>
      <c r="KH30" s="670"/>
      <c r="KI30" s="670"/>
      <c r="KJ30" s="670"/>
      <c r="KK30" s="670"/>
      <c r="KL30" s="670"/>
      <c r="KM30" s="670"/>
      <c r="KN30" s="670"/>
      <c r="KO30" s="670"/>
      <c r="KP30" s="670"/>
      <c r="KQ30" s="670"/>
      <c r="KR30" s="670"/>
      <c r="KS30" s="670"/>
      <c r="KT30" s="670"/>
      <c r="KU30" s="670"/>
      <c r="KV30" s="670"/>
      <c r="KW30" s="670"/>
      <c r="KX30" s="670"/>
      <c r="KY30" s="670"/>
      <c r="KZ30" s="670"/>
      <c r="LA30" s="670"/>
      <c r="LB30" s="670"/>
      <c r="LC30" s="670"/>
      <c r="LD30" s="670"/>
      <c r="LE30" s="670"/>
      <c r="LF30" s="670"/>
      <c r="LG30" s="670"/>
      <c r="LH30" s="670"/>
      <c r="LI30" s="670"/>
      <c r="LJ30" s="670"/>
      <c r="LK30" s="670"/>
      <c r="LL30" s="670"/>
      <c r="LM30" s="670"/>
      <c r="LN30" s="670"/>
      <c r="LO30" s="670"/>
      <c r="LP30" s="670"/>
      <c r="LQ30" s="670"/>
      <c r="LR30" s="670"/>
      <c r="LS30" s="670"/>
      <c r="LT30" s="670"/>
      <c r="LU30" s="670"/>
      <c r="LV30" s="670"/>
      <c r="LW30" s="670"/>
      <c r="LX30" s="670"/>
      <c r="LY30" s="670"/>
      <c r="LZ30" s="670"/>
      <c r="MA30" s="670"/>
      <c r="MB30" s="670"/>
      <c r="MC30" s="670"/>
      <c r="MD30" s="670"/>
      <c r="ME30" s="670"/>
      <c r="MF30" s="670"/>
      <c r="MG30" s="670"/>
      <c r="MH30" s="670"/>
      <c r="MI30" s="670"/>
      <c r="MJ30" s="670"/>
      <c r="MK30" s="670"/>
      <c r="ML30" s="670"/>
      <c r="MM30" s="670"/>
      <c r="MN30" s="670"/>
      <c r="MO30" s="670"/>
      <c r="MP30" s="670"/>
      <c r="MQ30" s="670"/>
      <c r="MR30" s="670"/>
      <c r="MS30" s="670"/>
      <c r="MT30" s="670"/>
      <c r="MU30" s="670"/>
      <c r="MV30" s="670"/>
      <c r="MW30" s="670"/>
      <c r="MX30" s="670"/>
      <c r="MY30" s="670"/>
      <c r="MZ30" s="670"/>
      <c r="NA30" s="670"/>
      <c r="NB30" s="670"/>
      <c r="NC30" s="670"/>
      <c r="ND30" s="670"/>
      <c r="NE30" s="670"/>
      <c r="NF30" s="670"/>
      <c r="NG30" s="670"/>
      <c r="NH30" s="670"/>
      <c r="NI30" s="670"/>
      <c r="NJ30" s="670"/>
      <c r="NK30" s="670"/>
      <c r="NL30" s="670"/>
      <c r="NM30" s="670"/>
      <c r="NN30" s="670"/>
      <c r="NO30" s="670"/>
      <c r="NP30" s="670"/>
      <c r="NQ30" s="670"/>
      <c r="NR30" s="670"/>
      <c r="NS30" s="670"/>
      <c r="NT30" s="670"/>
      <c r="NU30" s="670"/>
      <c r="NV30" s="670"/>
      <c r="NW30" s="670"/>
      <c r="NX30" s="670"/>
      <c r="NY30" s="670"/>
      <c r="NZ30" s="670"/>
      <c r="OA30" s="670"/>
      <c r="OB30" s="670"/>
      <c r="OC30" s="670"/>
      <c r="OD30" s="670"/>
      <c r="OE30" s="670"/>
      <c r="OF30" s="670"/>
      <c r="OG30" s="670"/>
      <c r="OH30" s="670"/>
      <c r="OI30" s="670"/>
      <c r="OJ30" s="670"/>
      <c r="OK30" s="670"/>
      <c r="OL30" s="670"/>
      <c r="OM30" s="670"/>
      <c r="ON30" s="670"/>
      <c r="OO30" s="670"/>
      <c r="OP30" s="670"/>
      <c r="OQ30" s="670"/>
      <c r="OR30" s="670"/>
      <c r="OS30" s="670"/>
      <c r="OT30" s="670"/>
      <c r="OU30" s="670"/>
      <c r="OV30" s="670"/>
      <c r="OW30" s="670"/>
      <c r="OX30" s="670"/>
      <c r="OY30" s="670"/>
      <c r="OZ30" s="670"/>
      <c r="PA30" s="670"/>
      <c r="PB30" s="670"/>
      <c r="PC30" s="670"/>
      <c r="PD30" s="670"/>
      <c r="PE30" s="670"/>
      <c r="PF30" s="670"/>
      <c r="PG30" s="670"/>
      <c r="PH30" s="670"/>
      <c r="PI30" s="670"/>
      <c r="PJ30" s="670"/>
      <c r="PK30" s="670"/>
      <c r="PL30" s="670"/>
      <c r="PM30" s="670"/>
      <c r="PN30" s="670"/>
      <c r="PO30" s="670"/>
      <c r="PP30" s="670"/>
      <c r="PQ30" s="670"/>
      <c r="PR30" s="670"/>
      <c r="PS30" s="670"/>
      <c r="PT30" s="670"/>
      <c r="PU30" s="670"/>
      <c r="PV30" s="670"/>
      <c r="PW30" s="670"/>
      <c r="PX30" s="670"/>
      <c r="PY30" s="670"/>
      <c r="PZ30" s="670"/>
      <c r="QA30" s="670"/>
      <c r="QB30" s="670"/>
      <c r="QC30" s="670"/>
      <c r="QD30" s="670"/>
    </row>
    <row r="31" spans="1:446" s="116" customFormat="1" x14ac:dyDescent="0.25">
      <c r="A31" s="678">
        <v>1</v>
      </c>
      <c r="B31" s="965">
        <v>45127</v>
      </c>
      <c r="C31" s="966"/>
      <c r="D31" s="966"/>
      <c r="E31" s="965"/>
      <c r="F31" s="966"/>
      <c r="G31" s="966"/>
      <c r="H31" s="966"/>
      <c r="I31" s="966"/>
      <c r="J31" s="966"/>
      <c r="K31" s="966"/>
      <c r="L31" s="966"/>
      <c r="M31" s="966"/>
      <c r="N31" s="966"/>
      <c r="O31" s="966"/>
      <c r="P31" s="966"/>
      <c r="Q31" s="966"/>
      <c r="R31" s="966"/>
      <c r="S31" s="966"/>
      <c r="T31" s="966"/>
      <c r="U31" s="966"/>
      <c r="V31" s="966"/>
      <c r="W31" s="966"/>
      <c r="X31" s="966"/>
      <c r="Y31" s="966"/>
      <c r="Z31" s="966"/>
      <c r="AA31" s="966"/>
      <c r="AB31" s="966"/>
      <c r="AC31" s="966"/>
      <c r="AD31" s="966"/>
      <c r="AE31" s="966"/>
      <c r="AF31" s="966"/>
      <c r="AG31" s="966"/>
      <c r="AH31" s="966"/>
      <c r="AI31" s="966"/>
      <c r="AJ31" s="966"/>
      <c r="AK31" s="966"/>
      <c r="AL31" s="966"/>
      <c r="AM31" s="966"/>
      <c r="AN31" s="966"/>
      <c r="AO31" s="966"/>
      <c r="AP31" s="966"/>
      <c r="AQ31" s="966"/>
      <c r="AR31" s="966"/>
      <c r="AS31" s="966"/>
      <c r="AT31" s="966"/>
      <c r="AU31" s="966"/>
      <c r="AV31" s="966"/>
      <c r="AW31" s="966"/>
      <c r="AX31" s="966"/>
      <c r="AY31" s="966"/>
      <c r="AZ31" s="966"/>
      <c r="BA31" s="966"/>
      <c r="BB31" s="966"/>
      <c r="BC31" s="966"/>
      <c r="BD31" s="966"/>
      <c r="BE31" s="966"/>
      <c r="BF31" s="966"/>
      <c r="BG31" s="966"/>
      <c r="BH31" s="966"/>
      <c r="BI31" s="966"/>
      <c r="BJ31" s="966"/>
      <c r="BK31" s="966"/>
      <c r="BL31" s="966"/>
      <c r="BM31" s="966"/>
      <c r="BN31" s="966"/>
      <c r="BO31" s="966"/>
      <c r="BP31" s="966"/>
      <c r="BQ31" s="966"/>
      <c r="BR31" s="966"/>
      <c r="BS31" s="966"/>
      <c r="BT31" s="966"/>
      <c r="BU31" s="966"/>
      <c r="BV31" s="966"/>
      <c r="BW31" s="966"/>
      <c r="BX31" s="966"/>
      <c r="BY31" s="966"/>
      <c r="BZ31" s="966"/>
      <c r="CA31" s="966"/>
      <c r="CB31" s="966"/>
      <c r="CC31" s="966"/>
      <c r="CD31" s="966"/>
      <c r="CE31" s="966"/>
      <c r="CF31" s="966"/>
      <c r="CG31" s="966"/>
      <c r="CH31" s="966"/>
      <c r="CI31" s="966"/>
      <c r="CJ31" s="966"/>
      <c r="CK31" s="966"/>
      <c r="CL31" s="966"/>
      <c r="CM31" s="966"/>
      <c r="CN31" s="966"/>
      <c r="CO31" s="966"/>
      <c r="CP31" s="966"/>
      <c r="CQ31" s="966"/>
      <c r="CR31" s="966"/>
      <c r="CS31" s="966"/>
      <c r="CT31" s="966"/>
      <c r="CU31" s="966"/>
      <c r="CV31" s="966"/>
      <c r="CW31" s="966"/>
      <c r="CX31" s="966"/>
      <c r="CY31" s="966"/>
      <c r="CZ31" s="966"/>
      <c r="DA31" s="966"/>
      <c r="DB31" s="966"/>
      <c r="DC31" s="966"/>
      <c r="DD31" s="966"/>
      <c r="DE31" s="966"/>
      <c r="DF31" s="966"/>
      <c r="DG31" s="966"/>
      <c r="DH31" s="966"/>
      <c r="DI31" s="966"/>
      <c r="DJ31" s="966"/>
      <c r="DK31" s="966"/>
      <c r="DL31" s="966"/>
      <c r="DM31" s="966"/>
      <c r="DN31" s="966"/>
      <c r="DO31" s="966"/>
      <c r="DP31" s="966"/>
      <c r="DQ31" s="966"/>
      <c r="DR31" s="966"/>
      <c r="DS31" s="966"/>
      <c r="DT31" s="966"/>
      <c r="DU31" s="966"/>
      <c r="DV31" s="966"/>
      <c r="DW31" s="966"/>
      <c r="DX31" s="966"/>
      <c r="DY31" s="966"/>
      <c r="DZ31" s="966"/>
      <c r="EA31" s="966"/>
      <c r="EB31" s="966"/>
      <c r="EC31" s="966"/>
      <c r="ED31" s="966"/>
      <c r="EE31" s="966"/>
      <c r="EF31" s="966"/>
      <c r="EG31" s="966"/>
      <c r="EH31" s="966"/>
      <c r="EI31" s="966"/>
      <c r="EJ31" s="966"/>
      <c r="EK31" s="966"/>
      <c r="EL31" s="966"/>
      <c r="EM31" s="966"/>
      <c r="EN31" s="966"/>
      <c r="EO31" s="966"/>
      <c r="EP31" s="966"/>
      <c r="EQ31" s="966"/>
      <c r="ER31" s="966"/>
      <c r="ES31" s="966"/>
      <c r="ET31" s="966"/>
      <c r="EU31" s="966"/>
      <c r="EV31" s="966"/>
      <c r="EW31" s="966"/>
      <c r="EX31" s="966"/>
      <c r="EY31" s="966"/>
      <c r="EZ31" s="966"/>
      <c r="FA31" s="966"/>
      <c r="FB31" s="966"/>
      <c r="FC31" s="966"/>
      <c r="FD31" s="966"/>
      <c r="FE31" s="966"/>
      <c r="FF31" s="966"/>
      <c r="FG31" s="966"/>
      <c r="FH31" s="966"/>
      <c r="FI31" s="966"/>
      <c r="FJ31" s="966"/>
      <c r="FK31" s="966"/>
      <c r="FL31" s="966"/>
      <c r="FM31" s="966"/>
      <c r="FN31" s="966"/>
      <c r="FO31" s="966"/>
      <c r="FP31" s="966"/>
      <c r="FQ31" s="966"/>
      <c r="FR31" s="966"/>
      <c r="FS31" s="966"/>
      <c r="FT31" s="966"/>
      <c r="FU31" s="966"/>
      <c r="FV31" s="966"/>
      <c r="FW31" s="966"/>
      <c r="FX31" s="966"/>
      <c r="FY31" s="966"/>
      <c r="FZ31" s="966"/>
      <c r="GA31" s="966"/>
      <c r="GB31" s="966"/>
      <c r="GC31" s="966"/>
      <c r="GD31" s="966"/>
      <c r="GE31" s="966"/>
      <c r="GF31" s="966"/>
      <c r="GG31" s="966"/>
      <c r="GH31" s="966"/>
      <c r="GI31" s="966"/>
      <c r="GJ31" s="966"/>
      <c r="GK31" s="966"/>
      <c r="GL31" s="966"/>
      <c r="GM31" s="966"/>
      <c r="GN31" s="966"/>
      <c r="GO31" s="966"/>
      <c r="GP31" s="966"/>
      <c r="GQ31" s="966"/>
      <c r="GR31" s="966"/>
      <c r="GS31" s="966"/>
      <c r="GT31" s="966"/>
      <c r="GU31" s="966"/>
      <c r="GV31" s="966"/>
      <c r="GW31" s="966"/>
      <c r="GX31" s="966"/>
      <c r="GY31" s="966"/>
      <c r="GZ31" s="966"/>
      <c r="HA31" s="966"/>
      <c r="HB31" s="966"/>
      <c r="HC31" s="966"/>
      <c r="HD31" s="966"/>
      <c r="HE31" s="966"/>
      <c r="HF31" s="966"/>
      <c r="HG31" s="966"/>
      <c r="HH31" s="966"/>
      <c r="HI31" s="966"/>
      <c r="HJ31" s="966"/>
      <c r="HK31" s="966"/>
      <c r="HL31" s="966"/>
      <c r="HM31" s="966"/>
      <c r="HN31" s="966"/>
      <c r="HO31" s="966"/>
      <c r="HP31" s="966"/>
      <c r="HQ31" s="966"/>
      <c r="HR31" s="966"/>
      <c r="HS31" s="966"/>
      <c r="HT31" s="966"/>
      <c r="HU31" s="966"/>
      <c r="HV31" s="966"/>
      <c r="HW31" s="966"/>
      <c r="HX31" s="966"/>
      <c r="HY31" s="966"/>
      <c r="HZ31" s="966"/>
      <c r="IA31" s="966"/>
      <c r="IB31" s="966"/>
      <c r="IC31" s="966"/>
      <c r="ID31" s="966"/>
      <c r="IE31" s="966"/>
      <c r="IF31" s="966"/>
      <c r="IG31" s="966"/>
      <c r="IH31" s="966"/>
      <c r="II31" s="966"/>
      <c r="IJ31" s="966"/>
      <c r="IK31" s="966"/>
      <c r="IL31" s="966"/>
      <c r="IM31" s="966"/>
      <c r="IN31" s="966"/>
      <c r="IO31" s="966"/>
      <c r="IP31" s="966"/>
      <c r="IQ31" s="966"/>
      <c r="IR31" s="966"/>
      <c r="IS31" s="966"/>
      <c r="IT31" s="966"/>
      <c r="IU31" s="966"/>
      <c r="IV31" s="966"/>
      <c r="IW31" s="966"/>
      <c r="IX31" s="966"/>
      <c r="IY31" s="966"/>
      <c r="IZ31" s="966"/>
      <c r="JA31" s="966"/>
      <c r="JB31" s="966"/>
      <c r="JC31" s="966"/>
      <c r="JD31" s="966"/>
      <c r="JE31" s="966"/>
      <c r="JF31" s="966"/>
      <c r="JG31" s="966"/>
      <c r="JH31" s="966"/>
      <c r="JI31" s="966"/>
      <c r="JJ31" s="966"/>
      <c r="JK31" s="966"/>
      <c r="JL31" s="966"/>
      <c r="JM31" s="966"/>
      <c r="JN31" s="966"/>
      <c r="JO31" s="966"/>
      <c r="JP31" s="966"/>
      <c r="JQ31" s="966"/>
      <c r="JR31" s="966"/>
      <c r="JS31" s="966"/>
      <c r="JT31" s="966"/>
      <c r="JU31" s="966"/>
      <c r="JV31" s="966"/>
      <c r="JW31" s="966"/>
      <c r="JX31" s="966"/>
      <c r="JY31" s="966"/>
      <c r="JZ31" s="966"/>
      <c r="KA31" s="966"/>
      <c r="KB31" s="966"/>
      <c r="KC31" s="966"/>
      <c r="KD31" s="966"/>
      <c r="KE31" s="966"/>
      <c r="KF31" s="966"/>
      <c r="KG31" s="966"/>
      <c r="KH31" s="966"/>
      <c r="KI31" s="966"/>
      <c r="KJ31" s="966"/>
      <c r="KK31" s="966"/>
      <c r="KL31" s="966"/>
      <c r="KM31" s="966"/>
      <c r="KN31" s="966"/>
      <c r="KO31" s="966"/>
      <c r="KP31" s="966"/>
      <c r="KQ31" s="966"/>
      <c r="KR31" s="966"/>
      <c r="KS31" s="966"/>
      <c r="KT31" s="966"/>
      <c r="KU31" s="966"/>
      <c r="KV31" s="966"/>
      <c r="KW31" s="966"/>
      <c r="KX31" s="966"/>
      <c r="KY31" s="966"/>
      <c r="KZ31" s="966"/>
      <c r="LA31" s="966"/>
      <c r="LB31" s="966"/>
      <c r="LC31" s="966"/>
      <c r="LD31" s="966"/>
      <c r="LE31" s="966"/>
      <c r="LF31" s="966"/>
      <c r="LG31" s="966"/>
      <c r="LH31" s="966"/>
      <c r="LI31" s="966"/>
      <c r="LJ31" s="966"/>
      <c r="LK31" s="966"/>
      <c r="LL31" s="966"/>
      <c r="LM31" s="966"/>
      <c r="LN31" s="966"/>
      <c r="LO31" s="966"/>
      <c r="LP31" s="966"/>
      <c r="LQ31" s="966"/>
      <c r="LR31" s="966"/>
      <c r="LS31" s="966"/>
      <c r="LT31" s="966"/>
      <c r="LU31" s="966"/>
      <c r="LV31" s="966"/>
      <c r="LW31" s="966"/>
      <c r="LX31" s="966"/>
      <c r="LY31" s="966"/>
      <c r="LZ31" s="966"/>
      <c r="MA31" s="966"/>
      <c r="MB31" s="966"/>
      <c r="MC31" s="966"/>
      <c r="MD31" s="966"/>
      <c r="ME31" s="966"/>
      <c r="MF31" s="966"/>
      <c r="MG31" s="966"/>
      <c r="MH31" s="966"/>
      <c r="MI31" s="966"/>
      <c r="MJ31" s="966"/>
      <c r="MK31" s="966"/>
      <c r="ML31" s="966"/>
      <c r="MM31" s="966"/>
      <c r="MN31" s="966"/>
      <c r="MO31" s="966"/>
      <c r="MP31" s="966"/>
      <c r="MQ31" s="966"/>
      <c r="MR31" s="966"/>
      <c r="MS31" s="966"/>
      <c r="MT31" s="966"/>
      <c r="MU31" s="966"/>
      <c r="MV31" s="966"/>
      <c r="MW31" s="966"/>
      <c r="MX31" s="966"/>
      <c r="MY31" s="966"/>
      <c r="MZ31" s="966"/>
      <c r="NA31" s="966"/>
      <c r="NB31" s="966"/>
      <c r="NC31" s="966"/>
      <c r="ND31" s="966"/>
      <c r="NE31" s="966"/>
      <c r="NF31" s="966"/>
      <c r="NG31" s="966"/>
      <c r="NH31" s="966"/>
      <c r="NI31" s="966"/>
      <c r="NJ31" s="966"/>
      <c r="NK31" s="966"/>
      <c r="NL31" s="966"/>
      <c r="NM31" s="966"/>
      <c r="NN31" s="966"/>
      <c r="NO31" s="966"/>
      <c r="NP31" s="966"/>
      <c r="NQ31" s="966"/>
      <c r="NR31" s="966"/>
      <c r="NS31" s="966"/>
      <c r="NT31" s="966"/>
      <c r="NU31" s="966"/>
      <c r="NV31" s="966"/>
      <c r="NW31" s="966"/>
      <c r="NX31" s="966"/>
      <c r="NY31" s="966"/>
      <c r="NZ31" s="966"/>
      <c r="OA31" s="966"/>
      <c r="OB31" s="966"/>
      <c r="OC31" s="966"/>
      <c r="OD31" s="966"/>
      <c r="OE31" s="966"/>
      <c r="OF31" s="966"/>
      <c r="OG31" s="966"/>
      <c r="OH31" s="966"/>
      <c r="OI31" s="966"/>
      <c r="OJ31" s="966"/>
      <c r="OK31" s="966"/>
      <c r="OL31" s="966"/>
      <c r="OM31" s="966"/>
      <c r="ON31" s="966"/>
      <c r="OO31" s="966"/>
      <c r="OP31" s="966"/>
      <c r="OQ31" s="966"/>
      <c r="OR31" s="966"/>
      <c r="OS31" s="966"/>
      <c r="OT31" s="966"/>
      <c r="OU31" s="966"/>
      <c r="OV31" s="966"/>
      <c r="OW31" s="966"/>
      <c r="OX31" s="966"/>
      <c r="OY31" s="966"/>
      <c r="OZ31" s="966"/>
      <c r="PA31" s="966"/>
      <c r="PB31" s="966"/>
      <c r="PC31" s="966"/>
      <c r="PD31" s="966"/>
      <c r="PE31" s="966"/>
      <c r="PF31" s="966"/>
      <c r="PG31" s="966"/>
      <c r="PH31" s="966"/>
      <c r="PI31" s="966"/>
      <c r="PJ31" s="966"/>
      <c r="PK31" s="966"/>
      <c r="PL31" s="966"/>
      <c r="PM31" s="966"/>
      <c r="PN31" s="966"/>
      <c r="PO31" s="966"/>
      <c r="PP31" s="966"/>
      <c r="PQ31" s="966"/>
      <c r="PR31" s="966"/>
      <c r="PS31" s="966"/>
      <c r="PT31" s="966"/>
      <c r="PU31" s="966"/>
      <c r="PV31" s="966"/>
      <c r="PW31" s="966"/>
      <c r="PX31" s="966"/>
      <c r="PY31" s="966"/>
      <c r="PZ31" s="966"/>
      <c r="QA31" s="966"/>
      <c r="QB31" s="966"/>
      <c r="QC31" s="966"/>
      <c r="QD31" s="966"/>
    </row>
    <row r="32" spans="1:446" s="116" customFormat="1" x14ac:dyDescent="0.25">
      <c r="A32" s="678">
        <v>1</v>
      </c>
      <c r="B32" s="965">
        <v>45128</v>
      </c>
      <c r="C32" s="966"/>
      <c r="D32" s="966"/>
      <c r="E32" s="965"/>
      <c r="F32" s="966">
        <v>90</v>
      </c>
      <c r="G32" s="966">
        <v>155.60554999999999</v>
      </c>
      <c r="H32" s="966">
        <v>234.39445000000001</v>
      </c>
      <c r="I32" s="966">
        <v>72</v>
      </c>
      <c r="J32" s="966">
        <v>124.48444000000001</v>
      </c>
      <c r="K32" s="966">
        <v>147.51555999999999</v>
      </c>
      <c r="L32" s="966">
        <v>99</v>
      </c>
      <c r="M32" s="966">
        <v>171.16610500000002</v>
      </c>
      <c r="N32" s="966">
        <v>22.833894999999984</v>
      </c>
      <c r="O32" s="966">
        <v>108</v>
      </c>
      <c r="P32" s="966">
        <v>0</v>
      </c>
      <c r="Q32" s="966">
        <v>190.01733999999999</v>
      </c>
      <c r="R32" s="966">
        <v>126</v>
      </c>
      <c r="S32" s="966">
        <v>0</v>
      </c>
      <c r="T32" s="966">
        <v>145.02023</v>
      </c>
      <c r="U32" s="966">
        <v>45</v>
      </c>
      <c r="V32" s="966">
        <v>0</v>
      </c>
      <c r="W32" s="966">
        <v>70.507225000000005</v>
      </c>
      <c r="X32" s="966">
        <v>90</v>
      </c>
      <c r="Y32" s="966">
        <v>155.60554999999999</v>
      </c>
      <c r="Z32" s="966">
        <v>31.014450000000011</v>
      </c>
      <c r="AA32" s="966">
        <v>72</v>
      </c>
      <c r="AB32" s="966">
        <v>0</v>
      </c>
      <c r="AC32" s="966">
        <v>288.49599999999998</v>
      </c>
      <c r="AD32" s="966">
        <v>99</v>
      </c>
      <c r="AE32" s="966">
        <v>0</v>
      </c>
      <c r="AF32" s="966">
        <v>243.68199999999999</v>
      </c>
      <c r="AG32" s="966">
        <v>108</v>
      </c>
      <c r="AH32" s="966">
        <v>0</v>
      </c>
      <c r="AI32" s="966">
        <v>312.74400000000003</v>
      </c>
      <c r="AJ32" s="966"/>
      <c r="AK32" s="966"/>
      <c r="AL32" s="966"/>
      <c r="AM32" s="966"/>
      <c r="AN32" s="966"/>
      <c r="AO32" s="966"/>
      <c r="AP32" s="966">
        <v>126</v>
      </c>
      <c r="AQ32" s="966">
        <v>0</v>
      </c>
      <c r="AR32" s="966">
        <v>695.02022999999997</v>
      </c>
      <c r="AS32" s="966">
        <v>29</v>
      </c>
      <c r="AT32" s="966">
        <v>0</v>
      </c>
      <c r="AU32" s="966">
        <v>342.50144499999999</v>
      </c>
      <c r="AV32" s="966">
        <v>54</v>
      </c>
      <c r="AW32" s="966">
        <v>0</v>
      </c>
      <c r="AX32" s="966">
        <v>355.00867</v>
      </c>
      <c r="AY32" s="966">
        <v>18</v>
      </c>
      <c r="AZ32" s="966">
        <v>31.121110000000002</v>
      </c>
      <c r="BA32" s="966">
        <v>95.002889999999994</v>
      </c>
      <c r="BB32" s="966">
        <v>90</v>
      </c>
      <c r="BC32" s="966">
        <v>155.60554999999999</v>
      </c>
      <c r="BD32" s="966">
        <v>441.39445000000001</v>
      </c>
      <c r="BE32" s="966">
        <v>108</v>
      </c>
      <c r="BF32" s="966">
        <v>186.72666000000001</v>
      </c>
      <c r="BG32" s="966">
        <v>460.27333999999996</v>
      </c>
      <c r="BH32" s="966"/>
      <c r="BI32" s="966"/>
      <c r="BJ32" s="966"/>
      <c r="BK32" s="966"/>
      <c r="BL32" s="966"/>
      <c r="BM32" s="966"/>
      <c r="BN32" s="966">
        <v>144</v>
      </c>
      <c r="BO32" s="966">
        <v>0</v>
      </c>
      <c r="BP32" s="966">
        <v>849.03111999999999</v>
      </c>
      <c r="BQ32" s="966">
        <v>126</v>
      </c>
      <c r="BR32" s="966">
        <v>0</v>
      </c>
      <c r="BS32" s="966">
        <v>428.15223000000003</v>
      </c>
      <c r="BT32" s="966">
        <v>108</v>
      </c>
      <c r="BU32" s="966">
        <v>0</v>
      </c>
      <c r="BV32" s="966">
        <v>240.27333999999999</v>
      </c>
      <c r="BW32" s="966">
        <v>90</v>
      </c>
      <c r="BX32" s="966">
        <v>0</v>
      </c>
      <c r="BY32" s="966">
        <v>170</v>
      </c>
      <c r="BZ32" s="966">
        <v>54</v>
      </c>
      <c r="CA32" s="966">
        <v>0</v>
      </c>
      <c r="CB32" s="966">
        <v>104</v>
      </c>
      <c r="CC32" s="966">
        <v>90</v>
      </c>
      <c r="CD32" s="966">
        <v>0</v>
      </c>
      <c r="CE32" s="966">
        <v>152.62</v>
      </c>
      <c r="CF32" s="966">
        <v>72</v>
      </c>
      <c r="CG32" s="966">
        <v>0</v>
      </c>
      <c r="CH32" s="966">
        <v>261.49599999999998</v>
      </c>
      <c r="CI32" s="966">
        <v>28</v>
      </c>
      <c r="CJ32" s="966">
        <v>31.121110000000002</v>
      </c>
      <c r="CK32" s="966">
        <v>5.0028900000000007</v>
      </c>
      <c r="CL32" s="966">
        <v>7.2</v>
      </c>
      <c r="CM32" s="966">
        <v>20</v>
      </c>
      <c r="CN32" s="966">
        <v>10.4496</v>
      </c>
      <c r="CO32" s="966">
        <v>12.6</v>
      </c>
      <c r="CP32" s="966">
        <v>21.784777000000002</v>
      </c>
      <c r="CQ32" s="966">
        <v>96.502022999999994</v>
      </c>
      <c r="CR32" s="966">
        <v>14.4</v>
      </c>
      <c r="CS32" s="966">
        <v>24.896888000000001</v>
      </c>
      <c r="CT32" s="966">
        <v>97.503112000000002</v>
      </c>
      <c r="CU32" s="966">
        <v>7.2</v>
      </c>
      <c r="CV32" s="966">
        <v>12.448444</v>
      </c>
      <c r="CW32" s="966">
        <v>114.00115600000001</v>
      </c>
      <c r="CX32" s="966">
        <v>10.8</v>
      </c>
      <c r="CY32" s="966">
        <v>0</v>
      </c>
      <c r="CZ32" s="966">
        <v>27.001733999999999</v>
      </c>
      <c r="DA32" s="966">
        <v>5.4</v>
      </c>
      <c r="DB32" s="966">
        <v>0</v>
      </c>
      <c r="DC32" s="966">
        <v>125.500867</v>
      </c>
      <c r="DD32" s="966">
        <v>5.4</v>
      </c>
      <c r="DE32" s="966">
        <v>9.3363329999999998</v>
      </c>
      <c r="DF32" s="966">
        <v>138.500867</v>
      </c>
      <c r="DG32" s="966">
        <v>81</v>
      </c>
      <c r="DH32" s="966">
        <v>0</v>
      </c>
      <c r="DI32" s="966">
        <v>217.55799999999999</v>
      </c>
      <c r="DJ32" s="966">
        <v>63</v>
      </c>
      <c r="DK32" s="966">
        <v>0</v>
      </c>
      <c r="DL32" s="966">
        <v>91.433999999999997</v>
      </c>
      <c r="DM32" s="966">
        <v>79.2</v>
      </c>
      <c r="DN32" s="966">
        <v>0</v>
      </c>
      <c r="DO32" s="966">
        <v>214.94559999999998</v>
      </c>
      <c r="DP32" s="966">
        <v>72</v>
      </c>
      <c r="DQ32" s="966">
        <v>0</v>
      </c>
      <c r="DR32" s="966">
        <v>98</v>
      </c>
      <c r="DS32" s="966">
        <v>81</v>
      </c>
      <c r="DT32" s="966">
        <v>140.044995</v>
      </c>
      <c r="DU32" s="966">
        <v>62.513004999999993</v>
      </c>
      <c r="DV32" s="966">
        <v>63</v>
      </c>
      <c r="DW32" s="966">
        <v>0</v>
      </c>
      <c r="DX32" s="966">
        <v>90.510114999999999</v>
      </c>
      <c r="DY32" s="966">
        <v>79.2</v>
      </c>
      <c r="DZ32" s="966">
        <v>0</v>
      </c>
      <c r="EA32" s="966">
        <v>224.01271599999998</v>
      </c>
      <c r="EB32" s="966">
        <v>152</v>
      </c>
      <c r="EC32" s="966">
        <v>124.48444000000001</v>
      </c>
      <c r="ED32" s="966">
        <v>40.011560000000003</v>
      </c>
      <c r="EE32" s="966"/>
      <c r="EF32" s="966"/>
      <c r="EG32" s="966"/>
      <c r="EH32" s="966"/>
      <c r="EI32" s="966"/>
      <c r="EJ32" s="966"/>
      <c r="EK32" s="966"/>
      <c r="EL32" s="966"/>
      <c r="EM32" s="966"/>
      <c r="EN32" s="966"/>
      <c r="EO32" s="966"/>
      <c r="EP32" s="966"/>
      <c r="EQ32" s="966">
        <v>0</v>
      </c>
      <c r="ER32" s="966">
        <v>136.932884</v>
      </c>
      <c r="ES32" s="966">
        <v>157.067116</v>
      </c>
      <c r="ET32" s="966"/>
      <c r="EU32" s="966"/>
      <c r="EV32" s="966"/>
      <c r="EW32" s="966"/>
      <c r="EX32" s="966"/>
      <c r="EY32" s="966"/>
      <c r="EZ32" s="966"/>
      <c r="FA32" s="966"/>
      <c r="FB32" s="966"/>
      <c r="FC32" s="966"/>
      <c r="FD32" s="966"/>
      <c r="FE32" s="966"/>
      <c r="FF32" s="966">
        <v>25</v>
      </c>
      <c r="FG32" s="966">
        <v>31.121110000000002</v>
      </c>
      <c r="FH32" s="966">
        <v>25.878889999999998</v>
      </c>
      <c r="FI32" s="966">
        <v>0</v>
      </c>
      <c r="FJ32" s="966">
        <v>124.48444000000001</v>
      </c>
      <c r="FK32" s="966">
        <v>8.0115600000000029</v>
      </c>
      <c r="FL32" s="966"/>
      <c r="FM32" s="966"/>
      <c r="FN32" s="966"/>
      <c r="FO32" s="966"/>
      <c r="FP32" s="966"/>
      <c r="FQ32" s="966"/>
      <c r="FR32" s="966">
        <v>110</v>
      </c>
      <c r="FS32" s="966">
        <v>155.60554999999999</v>
      </c>
      <c r="FT32" s="966">
        <v>217.01445000000001</v>
      </c>
      <c r="FU32" s="966"/>
      <c r="FV32" s="966"/>
      <c r="FW32" s="966"/>
      <c r="FX32" s="966"/>
      <c r="FY32" s="966"/>
      <c r="FZ32" s="966"/>
      <c r="GA32" s="966"/>
      <c r="GB32" s="966"/>
      <c r="GC32" s="966"/>
      <c r="GD32" s="966"/>
      <c r="GE32" s="966"/>
      <c r="GF32" s="966"/>
      <c r="GG32" s="966">
        <v>0</v>
      </c>
      <c r="GH32" s="966">
        <v>124.48444000000001</v>
      </c>
      <c r="GI32" s="966">
        <v>8.0115600000000029</v>
      </c>
      <c r="GJ32" s="966">
        <v>0</v>
      </c>
      <c r="GK32" s="966">
        <v>93.363330000000005</v>
      </c>
      <c r="GL32" s="966">
        <v>31.008669999999995</v>
      </c>
      <c r="GM32" s="966"/>
      <c r="GN32" s="966"/>
      <c r="GO32" s="966"/>
      <c r="GP32" s="966"/>
      <c r="GQ32" s="966"/>
      <c r="GR32" s="966"/>
      <c r="GS32" s="966"/>
      <c r="GT32" s="966"/>
      <c r="GU32" s="966"/>
      <c r="GV32" s="966"/>
      <c r="GW32" s="966"/>
      <c r="GX32" s="966"/>
      <c r="GY32" s="966"/>
      <c r="GZ32" s="966"/>
      <c r="HA32" s="966"/>
      <c r="HB32" s="966"/>
      <c r="HC32" s="966"/>
      <c r="HD32" s="966"/>
      <c r="HE32" s="966"/>
      <c r="HF32" s="966"/>
      <c r="HG32" s="966"/>
      <c r="HH32" s="966"/>
      <c r="HI32" s="966"/>
      <c r="HJ32" s="966"/>
      <c r="HK32" s="966">
        <v>100</v>
      </c>
      <c r="HL32" s="966">
        <v>93.363330000000005</v>
      </c>
      <c r="HM32" s="966">
        <v>85.008670000000009</v>
      </c>
      <c r="HN32" s="966">
        <v>0</v>
      </c>
      <c r="HO32" s="966">
        <v>62.242220000000003</v>
      </c>
      <c r="HP32" s="966">
        <v>6.0057800000000015</v>
      </c>
      <c r="HQ32" s="966">
        <v>0</v>
      </c>
      <c r="HR32" s="966">
        <v>62.242220000000003</v>
      </c>
      <c r="HS32" s="966">
        <v>10.005780000000001</v>
      </c>
      <c r="HT32" s="966"/>
      <c r="HU32" s="966"/>
      <c r="HV32" s="966"/>
      <c r="HW32" s="966"/>
      <c r="HX32" s="966"/>
      <c r="HY32" s="966"/>
      <c r="HZ32" s="966"/>
      <c r="IA32" s="966"/>
      <c r="IB32" s="966"/>
      <c r="IC32" s="966">
        <v>0</v>
      </c>
      <c r="ID32" s="966">
        <v>31.121110000000002</v>
      </c>
      <c r="IE32" s="966">
        <v>110.00288999999999</v>
      </c>
      <c r="IF32" s="966">
        <v>30</v>
      </c>
      <c r="IG32" s="966">
        <v>68.466442000000001</v>
      </c>
      <c r="IH32" s="966">
        <v>19.006357999999992</v>
      </c>
      <c r="II32" s="966"/>
      <c r="IJ32" s="966"/>
      <c r="IK32" s="966"/>
      <c r="IL32" s="966"/>
      <c r="IM32" s="966"/>
      <c r="IN32" s="966"/>
      <c r="IO32" s="966"/>
      <c r="IP32" s="966"/>
      <c r="IQ32" s="966"/>
      <c r="IR32" s="966"/>
      <c r="IS32" s="966"/>
      <c r="IT32" s="966"/>
      <c r="IU32" s="966">
        <v>0</v>
      </c>
      <c r="IV32" s="966">
        <v>140.044995</v>
      </c>
      <c r="IW32" s="966">
        <v>77.513004999999993</v>
      </c>
      <c r="IX32" s="966"/>
      <c r="IY32" s="966"/>
      <c r="IZ32" s="966"/>
      <c r="JA32" s="966"/>
      <c r="JB32" s="966"/>
      <c r="JC32" s="966"/>
      <c r="JD32" s="966">
        <v>0</v>
      </c>
      <c r="JE32" s="966">
        <v>140.044995</v>
      </c>
      <c r="JF32" s="966">
        <v>81.513004999999993</v>
      </c>
      <c r="JG32" s="966">
        <v>0</v>
      </c>
      <c r="JH32" s="966">
        <v>155.60554999999999</v>
      </c>
      <c r="JI32" s="966">
        <v>35.014450000000011</v>
      </c>
      <c r="JJ32" s="966">
        <v>0</v>
      </c>
      <c r="JK32" s="966">
        <v>124.48444000000001</v>
      </c>
      <c r="JL32" s="966">
        <v>10.011560000000003</v>
      </c>
      <c r="JM32" s="966"/>
      <c r="JN32" s="966"/>
      <c r="JO32" s="966"/>
      <c r="JP32" s="966"/>
      <c r="JQ32" s="966"/>
      <c r="JR32" s="966"/>
      <c r="JS32" s="966">
        <v>0</v>
      </c>
      <c r="JT32" s="966">
        <v>124.48444000000001</v>
      </c>
      <c r="JU32" s="966">
        <v>87.515559999999994</v>
      </c>
      <c r="JV32" s="966"/>
      <c r="JW32" s="966"/>
      <c r="JX32" s="966"/>
      <c r="JY32" s="966"/>
      <c r="JZ32" s="966"/>
      <c r="KA32" s="966"/>
      <c r="KB32" s="966"/>
      <c r="KC32" s="966"/>
      <c r="KD32" s="966"/>
      <c r="KE32" s="966"/>
      <c r="KF32" s="966"/>
      <c r="KG32" s="966"/>
      <c r="KH32" s="966"/>
      <c r="KI32" s="966"/>
      <c r="KJ32" s="966"/>
      <c r="KK32" s="966"/>
      <c r="KL32" s="966"/>
      <c r="KM32" s="966"/>
      <c r="KN32" s="966"/>
      <c r="KO32" s="966"/>
      <c r="KP32" s="966"/>
      <c r="KQ32" s="966"/>
      <c r="KR32" s="966"/>
      <c r="KS32" s="966"/>
      <c r="KT32" s="966"/>
      <c r="KU32" s="966"/>
      <c r="KV32" s="966"/>
      <c r="KW32" s="966"/>
      <c r="KX32" s="966"/>
      <c r="KY32" s="966"/>
      <c r="KZ32" s="966"/>
      <c r="LA32" s="966"/>
      <c r="LB32" s="966"/>
      <c r="LC32" s="966"/>
      <c r="LD32" s="966"/>
      <c r="LE32" s="966"/>
      <c r="LF32" s="966"/>
      <c r="LG32" s="966"/>
      <c r="LH32" s="966"/>
      <c r="LI32" s="966"/>
      <c r="LJ32" s="966"/>
      <c r="LK32" s="966"/>
      <c r="LL32" s="966"/>
      <c r="LM32" s="966"/>
      <c r="LN32" s="966"/>
      <c r="LO32" s="966"/>
      <c r="LP32" s="966"/>
      <c r="LQ32" s="966"/>
      <c r="LR32" s="966"/>
      <c r="LS32" s="966"/>
      <c r="LT32" s="966"/>
      <c r="LU32" s="966">
        <v>0</v>
      </c>
      <c r="LV32" s="966">
        <v>3</v>
      </c>
      <c r="LW32" s="966">
        <v>635.24</v>
      </c>
      <c r="LX32" s="966"/>
      <c r="LY32" s="966"/>
      <c r="LZ32" s="966"/>
      <c r="MA32" s="966"/>
      <c r="MB32" s="966"/>
      <c r="MC32" s="966"/>
      <c r="MD32" s="966"/>
      <c r="ME32" s="966"/>
      <c r="MF32" s="966"/>
      <c r="MG32" s="966">
        <v>0</v>
      </c>
      <c r="MH32" s="966">
        <v>5.6280000000000001</v>
      </c>
      <c r="MI32" s="966">
        <v>89.008669999999995</v>
      </c>
      <c r="MJ32" s="966">
        <v>0</v>
      </c>
      <c r="MK32" s="966">
        <v>1.8759999999999999</v>
      </c>
      <c r="ML32" s="966">
        <v>95.002889999999994</v>
      </c>
      <c r="MM32" s="966">
        <v>0</v>
      </c>
      <c r="MN32" s="966">
        <v>1.8759999999999999</v>
      </c>
      <c r="MO32" s="966">
        <v>95.002889999999994</v>
      </c>
      <c r="MP32" s="966">
        <v>0</v>
      </c>
      <c r="MQ32" s="966">
        <v>2.2511999999999999</v>
      </c>
      <c r="MR32" s="966">
        <v>99.003467999999998</v>
      </c>
      <c r="MS32" s="966"/>
      <c r="MT32" s="966"/>
      <c r="MU32" s="966"/>
      <c r="MV32" s="966"/>
      <c r="MW32" s="966"/>
      <c r="MX32" s="966"/>
      <c r="MY32" s="966"/>
      <c r="MZ32" s="966"/>
      <c r="NA32" s="966"/>
      <c r="NB32" s="966"/>
      <c r="NC32" s="966"/>
      <c r="ND32" s="966"/>
      <c r="NE32" s="966">
        <v>0</v>
      </c>
      <c r="NF32" s="966">
        <v>93.8</v>
      </c>
      <c r="NG32" s="966">
        <v>99250.144499999995</v>
      </c>
      <c r="NH32" s="966">
        <v>0</v>
      </c>
      <c r="NI32" s="966">
        <v>37.519999999999996</v>
      </c>
      <c r="NJ32" s="966">
        <v>700.05780000000004</v>
      </c>
      <c r="NK32" s="966"/>
      <c r="NL32" s="966"/>
      <c r="NM32" s="966"/>
      <c r="NN32" s="966"/>
      <c r="NO32" s="966"/>
      <c r="NP32" s="966"/>
      <c r="NQ32" s="966"/>
      <c r="NR32" s="966"/>
      <c r="NS32" s="966"/>
      <c r="NT32" s="966">
        <v>0</v>
      </c>
      <c r="NU32" s="966">
        <v>1.5007999999999999</v>
      </c>
      <c r="NV32" s="966">
        <v>4.0023119999999981</v>
      </c>
      <c r="NW32" s="966">
        <v>0</v>
      </c>
      <c r="NX32" s="966">
        <v>1.8759999999999999</v>
      </c>
      <c r="NY32" s="966">
        <v>95.002889999999994</v>
      </c>
      <c r="NZ32" s="966">
        <v>0</v>
      </c>
      <c r="OA32" s="966">
        <v>5.6280000000000001</v>
      </c>
      <c r="OB32" s="966">
        <v>119.00867</v>
      </c>
      <c r="OC32" s="966">
        <v>0</v>
      </c>
      <c r="OD32" s="966">
        <v>1.8759999999999999</v>
      </c>
      <c r="OE32" s="966">
        <v>110.00288999999999</v>
      </c>
      <c r="OF32" s="966"/>
      <c r="OG32" s="966"/>
      <c r="OH32" s="966"/>
      <c r="OI32" s="966">
        <v>0</v>
      </c>
      <c r="OJ32" s="966">
        <v>2.4387999999999996</v>
      </c>
      <c r="OK32" s="966">
        <v>149.50375700000004</v>
      </c>
      <c r="OL32" s="966"/>
      <c r="OM32" s="966"/>
      <c r="ON32" s="966"/>
      <c r="OO32" s="966"/>
      <c r="OP32" s="966"/>
      <c r="OQ32" s="966"/>
      <c r="OR32" s="966"/>
      <c r="OS32" s="966"/>
      <c r="OT32" s="966"/>
      <c r="OU32" s="966"/>
      <c r="OV32" s="966"/>
      <c r="OW32" s="966"/>
      <c r="OX32" s="966">
        <v>0</v>
      </c>
      <c r="OY32" s="966">
        <v>5.6280000000000001</v>
      </c>
      <c r="OZ32" s="966">
        <v>312.37200000000001</v>
      </c>
      <c r="PA32" s="966">
        <v>0</v>
      </c>
      <c r="PB32" s="966">
        <v>6.5659999999999998</v>
      </c>
      <c r="PC32" s="966">
        <v>91.433999999999997</v>
      </c>
      <c r="PD32" s="966"/>
      <c r="PE32" s="966"/>
      <c r="PF32" s="966"/>
      <c r="PG32" s="966"/>
      <c r="PH32" s="966"/>
      <c r="PI32" s="966"/>
      <c r="PJ32" s="966"/>
      <c r="PK32" s="966"/>
      <c r="PL32" s="966"/>
      <c r="PM32" s="966"/>
      <c r="PN32" s="966"/>
      <c r="PO32" s="966"/>
      <c r="PP32" s="966"/>
      <c r="PQ32" s="966"/>
      <c r="PR32" s="966"/>
      <c r="PS32" s="966">
        <v>0</v>
      </c>
      <c r="PT32" s="966">
        <v>3.7519999999999998</v>
      </c>
      <c r="PU32" s="966">
        <v>141.24799999999999</v>
      </c>
      <c r="PV32" s="966"/>
      <c r="PW32" s="966"/>
      <c r="PX32" s="966"/>
      <c r="PY32" s="966"/>
      <c r="PZ32" s="966"/>
      <c r="QA32" s="966"/>
      <c r="QB32" s="966"/>
      <c r="QC32" s="966"/>
      <c r="QD32" s="966"/>
    </row>
    <row r="33" spans="1:446" s="116" customFormat="1" x14ac:dyDescent="0.25">
      <c r="A33" s="678">
        <v>1</v>
      </c>
      <c r="B33" s="965">
        <v>45129</v>
      </c>
      <c r="C33" s="966"/>
      <c r="D33" s="966"/>
      <c r="E33" s="965"/>
      <c r="F33" s="966"/>
      <c r="G33" s="966"/>
      <c r="H33" s="966"/>
      <c r="I33" s="966"/>
      <c r="J33" s="966"/>
      <c r="K33" s="966"/>
      <c r="L33" s="966"/>
      <c r="M33" s="966"/>
      <c r="N33" s="966"/>
      <c r="O33" s="966"/>
      <c r="P33" s="966"/>
      <c r="Q33" s="966"/>
      <c r="R33" s="966"/>
      <c r="S33" s="966"/>
      <c r="T33" s="966"/>
      <c r="U33" s="966"/>
      <c r="V33" s="966"/>
      <c r="W33" s="966"/>
      <c r="X33" s="966"/>
      <c r="Y33" s="966"/>
      <c r="Z33" s="966"/>
      <c r="AA33" s="966"/>
      <c r="AB33" s="966"/>
      <c r="AC33" s="966"/>
      <c r="AD33" s="966"/>
      <c r="AE33" s="966"/>
      <c r="AF33" s="966"/>
      <c r="AG33" s="966"/>
      <c r="AH33" s="966"/>
      <c r="AI33" s="966"/>
      <c r="AJ33" s="966"/>
      <c r="AK33" s="966"/>
      <c r="AL33" s="966"/>
      <c r="AM33" s="966"/>
      <c r="AN33" s="966"/>
      <c r="AO33" s="966"/>
      <c r="AP33" s="966"/>
      <c r="AQ33" s="966"/>
      <c r="AR33" s="966"/>
      <c r="AS33" s="966"/>
      <c r="AT33" s="966"/>
      <c r="AU33" s="966"/>
      <c r="AV33" s="966"/>
      <c r="AW33" s="966"/>
      <c r="AX33" s="966"/>
      <c r="AY33" s="966"/>
      <c r="AZ33" s="966"/>
      <c r="BA33" s="966"/>
      <c r="BB33" s="966"/>
      <c r="BC33" s="966"/>
      <c r="BD33" s="966"/>
      <c r="BE33" s="966"/>
      <c r="BF33" s="966"/>
      <c r="BG33" s="966"/>
      <c r="BH33" s="966"/>
      <c r="BI33" s="966"/>
      <c r="BJ33" s="966"/>
      <c r="BK33" s="966"/>
      <c r="BL33" s="966"/>
      <c r="BM33" s="966"/>
      <c r="BN33" s="966"/>
      <c r="BO33" s="966"/>
      <c r="BP33" s="966"/>
      <c r="BQ33" s="966"/>
      <c r="BR33" s="966"/>
      <c r="BS33" s="966"/>
      <c r="BT33" s="966"/>
      <c r="BU33" s="966"/>
      <c r="BV33" s="966"/>
      <c r="BW33" s="966"/>
      <c r="BX33" s="966"/>
      <c r="BY33" s="966"/>
      <c r="BZ33" s="966"/>
      <c r="CA33" s="966"/>
      <c r="CB33" s="966"/>
      <c r="CC33" s="966"/>
      <c r="CD33" s="966"/>
      <c r="CE33" s="966"/>
      <c r="CF33" s="966"/>
      <c r="CG33" s="966"/>
      <c r="CH33" s="966"/>
      <c r="CI33" s="966"/>
      <c r="CJ33" s="966"/>
      <c r="CK33" s="966"/>
      <c r="CL33" s="966"/>
      <c r="CM33" s="966"/>
      <c r="CN33" s="966"/>
      <c r="CO33" s="966"/>
      <c r="CP33" s="966"/>
      <c r="CQ33" s="966"/>
      <c r="CR33" s="966"/>
      <c r="CS33" s="966"/>
      <c r="CT33" s="966"/>
      <c r="CU33" s="966"/>
      <c r="CV33" s="966"/>
      <c r="CW33" s="966"/>
      <c r="CX33" s="966"/>
      <c r="CY33" s="966"/>
      <c r="CZ33" s="966"/>
      <c r="DA33" s="966"/>
      <c r="DB33" s="966"/>
      <c r="DC33" s="966"/>
      <c r="DD33" s="966"/>
      <c r="DE33" s="966"/>
      <c r="DF33" s="966"/>
      <c r="DG33" s="966"/>
      <c r="DH33" s="966"/>
      <c r="DI33" s="966"/>
      <c r="DJ33" s="966"/>
      <c r="DK33" s="966"/>
      <c r="DL33" s="966"/>
      <c r="DM33" s="966"/>
      <c r="DN33" s="966"/>
      <c r="DO33" s="966"/>
      <c r="DP33" s="966"/>
      <c r="DQ33" s="966"/>
      <c r="DR33" s="966"/>
      <c r="DS33" s="966"/>
      <c r="DT33" s="966"/>
      <c r="DU33" s="966"/>
      <c r="DV33" s="966"/>
      <c r="DW33" s="966"/>
      <c r="DX33" s="966"/>
      <c r="DY33" s="966"/>
      <c r="DZ33" s="966"/>
      <c r="EA33" s="966"/>
      <c r="EB33" s="966"/>
      <c r="EC33" s="966"/>
      <c r="ED33" s="966"/>
      <c r="EE33" s="966"/>
      <c r="EF33" s="966"/>
      <c r="EG33" s="966"/>
      <c r="EH33" s="966"/>
      <c r="EI33" s="966"/>
      <c r="EJ33" s="966"/>
      <c r="EK33" s="966"/>
      <c r="EL33" s="966"/>
      <c r="EM33" s="966"/>
      <c r="EN33" s="966"/>
      <c r="EO33" s="966"/>
      <c r="EP33" s="966"/>
      <c r="EQ33" s="966"/>
      <c r="ER33" s="966"/>
      <c r="ES33" s="966"/>
      <c r="ET33" s="966"/>
      <c r="EU33" s="966"/>
      <c r="EV33" s="966"/>
      <c r="EW33" s="966"/>
      <c r="EX33" s="966"/>
      <c r="EY33" s="966"/>
      <c r="EZ33" s="966"/>
      <c r="FA33" s="966"/>
      <c r="FB33" s="966"/>
      <c r="FC33" s="966"/>
      <c r="FD33" s="966"/>
      <c r="FE33" s="966"/>
      <c r="FF33" s="966"/>
      <c r="FG33" s="966"/>
      <c r="FH33" s="966"/>
      <c r="FI33" s="966"/>
      <c r="FJ33" s="966"/>
      <c r="FK33" s="966"/>
      <c r="FL33" s="966"/>
      <c r="FM33" s="966"/>
      <c r="FN33" s="966"/>
      <c r="FO33" s="966"/>
      <c r="FP33" s="966"/>
      <c r="FQ33" s="966"/>
      <c r="FR33" s="966">
        <v>50</v>
      </c>
      <c r="FS33" s="966">
        <v>28.175000000000004</v>
      </c>
      <c r="FT33" s="966">
        <v>238.83945</v>
      </c>
      <c r="FU33" s="966"/>
      <c r="FV33" s="966"/>
      <c r="FW33" s="966"/>
      <c r="FX33" s="966"/>
      <c r="FY33" s="966"/>
      <c r="FZ33" s="966"/>
      <c r="GA33" s="966"/>
      <c r="GB33" s="966"/>
      <c r="GC33" s="966"/>
      <c r="GD33" s="966"/>
      <c r="GE33" s="966"/>
      <c r="GF33" s="966"/>
      <c r="GG33" s="966"/>
      <c r="GH33" s="966"/>
      <c r="GI33" s="966"/>
      <c r="GJ33" s="966"/>
      <c r="GK33" s="966"/>
      <c r="GL33" s="966"/>
      <c r="GM33" s="966"/>
      <c r="GN33" s="966"/>
      <c r="GO33" s="966"/>
      <c r="GP33" s="966"/>
      <c r="GQ33" s="966"/>
      <c r="GR33" s="966"/>
      <c r="GS33" s="966"/>
      <c r="GT33" s="966"/>
      <c r="GU33" s="966"/>
      <c r="GV33" s="966"/>
      <c r="GW33" s="966"/>
      <c r="GX33" s="966"/>
      <c r="GY33" s="966"/>
      <c r="GZ33" s="966"/>
      <c r="HA33" s="966"/>
      <c r="HB33" s="966"/>
      <c r="HC33" s="966"/>
      <c r="HD33" s="966"/>
      <c r="HE33" s="966"/>
      <c r="HF33" s="966"/>
      <c r="HG33" s="966"/>
      <c r="HH33" s="966"/>
      <c r="HI33" s="966"/>
      <c r="HJ33" s="966"/>
      <c r="HK33" s="966"/>
      <c r="HL33" s="966"/>
      <c r="HM33" s="966"/>
      <c r="HN33" s="966"/>
      <c r="HO33" s="966"/>
      <c r="HP33" s="966"/>
      <c r="HQ33" s="966"/>
      <c r="HR33" s="966"/>
      <c r="HS33" s="966"/>
      <c r="HT33" s="966"/>
      <c r="HU33" s="966"/>
      <c r="HV33" s="966"/>
      <c r="HW33" s="966"/>
      <c r="HX33" s="966"/>
      <c r="HY33" s="966"/>
      <c r="HZ33" s="966"/>
      <c r="IA33" s="966"/>
      <c r="IB33" s="966"/>
      <c r="IC33" s="966"/>
      <c r="ID33" s="966"/>
      <c r="IE33" s="966"/>
      <c r="IF33" s="966"/>
      <c r="IG33" s="966"/>
      <c r="IH33" s="966"/>
      <c r="II33" s="966"/>
      <c r="IJ33" s="966"/>
      <c r="IK33" s="966"/>
      <c r="IL33" s="966"/>
      <c r="IM33" s="966"/>
      <c r="IN33" s="966"/>
      <c r="IO33" s="966"/>
      <c r="IP33" s="966"/>
      <c r="IQ33" s="966"/>
      <c r="IR33" s="966"/>
      <c r="IS33" s="966"/>
      <c r="IT33" s="966"/>
      <c r="IU33" s="966"/>
      <c r="IV33" s="966"/>
      <c r="IW33" s="966"/>
      <c r="IX33" s="966"/>
      <c r="IY33" s="966"/>
      <c r="IZ33" s="966"/>
      <c r="JA33" s="966"/>
      <c r="JB33" s="966"/>
      <c r="JC33" s="966"/>
      <c r="JD33" s="966"/>
      <c r="JE33" s="966"/>
      <c r="JF33" s="966"/>
      <c r="JG33" s="966"/>
      <c r="JH33" s="966"/>
      <c r="JI33" s="966"/>
      <c r="JJ33" s="966"/>
      <c r="JK33" s="966"/>
      <c r="JL33" s="966"/>
      <c r="JM33" s="966"/>
      <c r="JN33" s="966"/>
      <c r="JO33" s="966"/>
      <c r="JP33" s="966"/>
      <c r="JQ33" s="966"/>
      <c r="JR33" s="966"/>
      <c r="JS33" s="966"/>
      <c r="JT33" s="966"/>
      <c r="JU33" s="966"/>
      <c r="JV33" s="966"/>
      <c r="JW33" s="966"/>
      <c r="JX33" s="966"/>
      <c r="JY33" s="966"/>
      <c r="JZ33" s="966"/>
      <c r="KA33" s="966"/>
      <c r="KB33" s="966"/>
      <c r="KC33" s="966"/>
      <c r="KD33" s="966"/>
      <c r="KE33" s="966"/>
      <c r="KF33" s="966"/>
      <c r="KG33" s="966"/>
      <c r="KH33" s="966"/>
      <c r="KI33" s="966"/>
      <c r="KJ33" s="966"/>
      <c r="KK33" s="966"/>
      <c r="KL33" s="966"/>
      <c r="KM33" s="966"/>
      <c r="KN33" s="966"/>
      <c r="KO33" s="966"/>
      <c r="KP33" s="966"/>
      <c r="KQ33" s="966"/>
      <c r="KR33" s="966"/>
      <c r="KS33" s="966"/>
      <c r="KT33" s="966"/>
      <c r="KU33" s="966"/>
      <c r="KV33" s="966"/>
      <c r="KW33" s="966"/>
      <c r="KX33" s="966"/>
      <c r="KY33" s="966"/>
      <c r="KZ33" s="966"/>
      <c r="LA33" s="966"/>
      <c r="LB33" s="966"/>
      <c r="LC33" s="966"/>
      <c r="LD33" s="966"/>
      <c r="LE33" s="966"/>
      <c r="LF33" s="966"/>
      <c r="LG33" s="966"/>
      <c r="LH33" s="966"/>
      <c r="LI33" s="966"/>
      <c r="LJ33" s="966"/>
      <c r="LK33" s="966"/>
      <c r="LL33" s="966"/>
      <c r="LM33" s="966"/>
      <c r="LN33" s="966"/>
      <c r="LO33" s="966"/>
      <c r="LP33" s="966"/>
      <c r="LQ33" s="966"/>
      <c r="LR33" s="966"/>
      <c r="LS33" s="966"/>
      <c r="LT33" s="966"/>
      <c r="LU33" s="966"/>
      <c r="LV33" s="966"/>
      <c r="LW33" s="966"/>
      <c r="LX33" s="966"/>
      <c r="LY33" s="966"/>
      <c r="LZ33" s="966"/>
      <c r="MA33" s="966"/>
      <c r="MB33" s="966"/>
      <c r="MC33" s="966"/>
      <c r="MD33" s="966"/>
      <c r="ME33" s="966"/>
      <c r="MF33" s="966"/>
      <c r="MG33" s="966"/>
      <c r="MH33" s="966"/>
      <c r="MI33" s="966"/>
      <c r="MJ33" s="966"/>
      <c r="MK33" s="966"/>
      <c r="ML33" s="966"/>
      <c r="MM33" s="966"/>
      <c r="MN33" s="966"/>
      <c r="MO33" s="966"/>
      <c r="MP33" s="966"/>
      <c r="MQ33" s="966"/>
      <c r="MR33" s="966"/>
      <c r="MS33" s="966"/>
      <c r="MT33" s="966"/>
      <c r="MU33" s="966"/>
      <c r="MV33" s="966"/>
      <c r="MW33" s="966"/>
      <c r="MX33" s="966"/>
      <c r="MY33" s="966"/>
      <c r="MZ33" s="966"/>
      <c r="NA33" s="966"/>
      <c r="NB33" s="966"/>
      <c r="NC33" s="966"/>
      <c r="ND33" s="966"/>
      <c r="NE33" s="966"/>
      <c r="NF33" s="966"/>
      <c r="NG33" s="966"/>
      <c r="NH33" s="966"/>
      <c r="NI33" s="966"/>
      <c r="NJ33" s="966"/>
      <c r="NK33" s="966"/>
      <c r="NL33" s="966"/>
      <c r="NM33" s="966"/>
      <c r="NN33" s="966"/>
      <c r="NO33" s="966"/>
      <c r="NP33" s="966"/>
      <c r="NQ33" s="966"/>
      <c r="NR33" s="966"/>
      <c r="NS33" s="966"/>
      <c r="NT33" s="966"/>
      <c r="NU33" s="966"/>
      <c r="NV33" s="966"/>
      <c r="NW33" s="966"/>
      <c r="NX33" s="966"/>
      <c r="NY33" s="966"/>
      <c r="NZ33" s="966"/>
      <c r="OA33" s="966"/>
      <c r="OB33" s="966"/>
      <c r="OC33" s="966"/>
      <c r="OD33" s="966"/>
      <c r="OE33" s="966"/>
      <c r="OF33" s="966"/>
      <c r="OG33" s="966"/>
      <c r="OH33" s="966"/>
      <c r="OI33" s="966"/>
      <c r="OJ33" s="966"/>
      <c r="OK33" s="966"/>
      <c r="OL33" s="966"/>
      <c r="OM33" s="966"/>
      <c r="ON33" s="966"/>
      <c r="OO33" s="966"/>
      <c r="OP33" s="966"/>
      <c r="OQ33" s="966"/>
      <c r="OR33" s="966"/>
      <c r="OS33" s="966"/>
      <c r="OT33" s="966"/>
      <c r="OU33" s="966"/>
      <c r="OV33" s="966"/>
      <c r="OW33" s="966"/>
      <c r="OX33" s="966"/>
      <c r="OY33" s="966"/>
      <c r="OZ33" s="966"/>
      <c r="PA33" s="966"/>
      <c r="PB33" s="966"/>
      <c r="PC33" s="966"/>
      <c r="PD33" s="966"/>
      <c r="PE33" s="966"/>
      <c r="PF33" s="966"/>
      <c r="PG33" s="966"/>
      <c r="PH33" s="966"/>
      <c r="PI33" s="966"/>
      <c r="PJ33" s="966"/>
      <c r="PK33" s="966"/>
      <c r="PL33" s="966"/>
      <c r="PM33" s="966"/>
      <c r="PN33" s="966"/>
      <c r="PO33" s="966"/>
      <c r="PP33" s="966"/>
      <c r="PQ33" s="966"/>
      <c r="PR33" s="966"/>
      <c r="PS33" s="966"/>
      <c r="PT33" s="966"/>
      <c r="PU33" s="966"/>
      <c r="PV33" s="966"/>
      <c r="PW33" s="966"/>
      <c r="PX33" s="966"/>
      <c r="PY33" s="966"/>
      <c r="PZ33" s="966"/>
      <c r="QA33" s="966"/>
      <c r="QB33" s="966"/>
      <c r="QC33" s="966"/>
      <c r="QD33" s="966"/>
    </row>
    <row r="34" spans="1:446" s="116" customFormat="1" x14ac:dyDescent="0.25">
      <c r="A34" s="678">
        <v>1</v>
      </c>
      <c r="B34" s="965">
        <v>45130</v>
      </c>
      <c r="C34" s="966"/>
      <c r="D34" s="966"/>
      <c r="E34" s="965"/>
      <c r="F34" s="966"/>
      <c r="G34" s="966"/>
      <c r="H34" s="966"/>
      <c r="I34" s="966"/>
      <c r="J34" s="966"/>
      <c r="K34" s="966"/>
      <c r="L34" s="966"/>
      <c r="M34" s="966"/>
      <c r="N34" s="966"/>
      <c r="O34" s="966"/>
      <c r="P34" s="966"/>
      <c r="Q34" s="966"/>
      <c r="R34" s="966"/>
      <c r="S34" s="966"/>
      <c r="T34" s="966"/>
      <c r="U34" s="966"/>
      <c r="V34" s="966"/>
      <c r="W34" s="966"/>
      <c r="X34" s="966"/>
      <c r="Y34" s="966"/>
      <c r="Z34" s="966"/>
      <c r="AA34" s="966"/>
      <c r="AB34" s="966"/>
      <c r="AC34" s="966"/>
      <c r="AD34" s="966"/>
      <c r="AE34" s="966"/>
      <c r="AF34" s="966"/>
      <c r="AG34" s="966"/>
      <c r="AH34" s="966"/>
      <c r="AI34" s="966"/>
      <c r="AJ34" s="966"/>
      <c r="AK34" s="966"/>
      <c r="AL34" s="966"/>
      <c r="AM34" s="966"/>
      <c r="AN34" s="966"/>
      <c r="AO34" s="966"/>
      <c r="AP34" s="966"/>
      <c r="AQ34" s="966"/>
      <c r="AR34" s="966"/>
      <c r="AS34" s="966"/>
      <c r="AT34" s="966"/>
      <c r="AU34" s="966"/>
      <c r="AV34" s="966"/>
      <c r="AW34" s="966"/>
      <c r="AX34" s="966"/>
      <c r="AY34" s="966"/>
      <c r="AZ34" s="966"/>
      <c r="BA34" s="966"/>
      <c r="BB34" s="966"/>
      <c r="BC34" s="966"/>
      <c r="BD34" s="966"/>
      <c r="BE34" s="966"/>
      <c r="BF34" s="966"/>
      <c r="BG34" s="966"/>
      <c r="BH34" s="966"/>
      <c r="BI34" s="966"/>
      <c r="BJ34" s="966"/>
      <c r="BK34" s="966"/>
      <c r="BL34" s="966"/>
      <c r="BM34" s="966"/>
      <c r="BN34" s="966"/>
      <c r="BO34" s="966"/>
      <c r="BP34" s="966"/>
      <c r="BQ34" s="966"/>
      <c r="BR34" s="966"/>
      <c r="BS34" s="966"/>
      <c r="BT34" s="966"/>
      <c r="BU34" s="966"/>
      <c r="BV34" s="966"/>
      <c r="BW34" s="966"/>
      <c r="BX34" s="966"/>
      <c r="BY34" s="966"/>
      <c r="BZ34" s="966"/>
      <c r="CA34" s="966"/>
      <c r="CB34" s="966"/>
      <c r="CC34" s="966"/>
      <c r="CD34" s="966"/>
      <c r="CE34" s="966"/>
      <c r="CF34" s="966"/>
      <c r="CG34" s="966"/>
      <c r="CH34" s="966"/>
      <c r="CI34" s="966"/>
      <c r="CJ34" s="966"/>
      <c r="CK34" s="966"/>
      <c r="CL34" s="966"/>
      <c r="CM34" s="966"/>
      <c r="CN34" s="966"/>
      <c r="CO34" s="966"/>
      <c r="CP34" s="966"/>
      <c r="CQ34" s="966"/>
      <c r="CR34" s="966"/>
      <c r="CS34" s="966"/>
      <c r="CT34" s="966"/>
      <c r="CU34" s="966"/>
      <c r="CV34" s="966"/>
      <c r="CW34" s="966"/>
      <c r="CX34" s="966"/>
      <c r="CY34" s="966"/>
      <c r="CZ34" s="966"/>
      <c r="DA34" s="966"/>
      <c r="DB34" s="966"/>
      <c r="DC34" s="966"/>
      <c r="DD34" s="966"/>
      <c r="DE34" s="966"/>
      <c r="DF34" s="966"/>
      <c r="DG34" s="966"/>
      <c r="DH34" s="966"/>
      <c r="DI34" s="966"/>
      <c r="DJ34" s="966"/>
      <c r="DK34" s="966"/>
      <c r="DL34" s="966"/>
      <c r="DM34" s="966"/>
      <c r="DN34" s="966"/>
      <c r="DO34" s="966"/>
      <c r="DP34" s="966"/>
      <c r="DQ34" s="966"/>
      <c r="DR34" s="966"/>
      <c r="DS34" s="966"/>
      <c r="DT34" s="966"/>
      <c r="DU34" s="966"/>
      <c r="DV34" s="966"/>
      <c r="DW34" s="966"/>
      <c r="DX34" s="966"/>
      <c r="DY34" s="966"/>
      <c r="DZ34" s="966"/>
      <c r="EA34" s="966"/>
      <c r="EB34" s="966"/>
      <c r="EC34" s="966"/>
      <c r="ED34" s="966"/>
      <c r="EE34" s="966"/>
      <c r="EF34" s="966"/>
      <c r="EG34" s="966"/>
      <c r="EH34" s="966"/>
      <c r="EI34" s="966"/>
      <c r="EJ34" s="966"/>
      <c r="EK34" s="966"/>
      <c r="EL34" s="966"/>
      <c r="EM34" s="966"/>
      <c r="EN34" s="966"/>
      <c r="EO34" s="966"/>
      <c r="EP34" s="966"/>
      <c r="EQ34" s="966"/>
      <c r="ER34" s="966"/>
      <c r="ES34" s="966"/>
      <c r="ET34" s="966"/>
      <c r="EU34" s="966"/>
      <c r="EV34" s="966"/>
      <c r="EW34" s="966"/>
      <c r="EX34" s="966"/>
      <c r="EY34" s="966"/>
      <c r="EZ34" s="966"/>
      <c r="FA34" s="966"/>
      <c r="FB34" s="966"/>
      <c r="FC34" s="966"/>
      <c r="FD34" s="966"/>
      <c r="FE34" s="966"/>
      <c r="FF34" s="966"/>
      <c r="FG34" s="966"/>
      <c r="FH34" s="966"/>
      <c r="FI34" s="966"/>
      <c r="FJ34" s="966"/>
      <c r="FK34" s="966"/>
      <c r="FL34" s="966"/>
      <c r="FM34" s="966"/>
      <c r="FN34" s="966"/>
      <c r="FO34" s="966"/>
      <c r="FP34" s="966"/>
      <c r="FQ34" s="966"/>
      <c r="FR34" s="966"/>
      <c r="FS34" s="966"/>
      <c r="FT34" s="966"/>
      <c r="FU34" s="966"/>
      <c r="FV34" s="966"/>
      <c r="FW34" s="966"/>
      <c r="FX34" s="966"/>
      <c r="FY34" s="966"/>
      <c r="FZ34" s="966"/>
      <c r="GA34" s="966"/>
      <c r="GB34" s="966"/>
      <c r="GC34" s="966"/>
      <c r="GD34" s="966"/>
      <c r="GE34" s="966"/>
      <c r="GF34" s="966"/>
      <c r="GG34" s="966"/>
      <c r="GH34" s="966"/>
      <c r="GI34" s="966"/>
      <c r="GJ34" s="966"/>
      <c r="GK34" s="966"/>
      <c r="GL34" s="966"/>
      <c r="GM34" s="966"/>
      <c r="GN34" s="966"/>
      <c r="GO34" s="966"/>
      <c r="GP34" s="966"/>
      <c r="GQ34" s="966"/>
      <c r="GR34" s="966"/>
      <c r="GS34" s="966"/>
      <c r="GT34" s="966"/>
      <c r="GU34" s="966"/>
      <c r="GV34" s="966"/>
      <c r="GW34" s="966"/>
      <c r="GX34" s="966"/>
      <c r="GY34" s="966"/>
      <c r="GZ34" s="966"/>
      <c r="HA34" s="966"/>
      <c r="HB34" s="966"/>
      <c r="HC34" s="966"/>
      <c r="HD34" s="966"/>
      <c r="HE34" s="966"/>
      <c r="HF34" s="966"/>
      <c r="HG34" s="966"/>
      <c r="HH34" s="966"/>
      <c r="HI34" s="966"/>
      <c r="HJ34" s="966"/>
      <c r="HK34" s="966"/>
      <c r="HL34" s="966"/>
      <c r="HM34" s="966"/>
      <c r="HN34" s="966"/>
      <c r="HO34" s="966"/>
      <c r="HP34" s="966"/>
      <c r="HQ34" s="966"/>
      <c r="HR34" s="966"/>
      <c r="HS34" s="966"/>
      <c r="HT34" s="966"/>
      <c r="HU34" s="966"/>
      <c r="HV34" s="966"/>
      <c r="HW34" s="966"/>
      <c r="HX34" s="966"/>
      <c r="HY34" s="966"/>
      <c r="HZ34" s="966"/>
      <c r="IA34" s="966"/>
      <c r="IB34" s="966"/>
      <c r="IC34" s="966"/>
      <c r="ID34" s="966"/>
      <c r="IE34" s="966"/>
      <c r="IF34" s="966"/>
      <c r="IG34" s="966"/>
      <c r="IH34" s="966"/>
      <c r="II34" s="966"/>
      <c r="IJ34" s="966"/>
      <c r="IK34" s="966"/>
      <c r="IL34" s="966"/>
      <c r="IM34" s="966"/>
      <c r="IN34" s="966"/>
      <c r="IO34" s="966"/>
      <c r="IP34" s="966"/>
      <c r="IQ34" s="966"/>
      <c r="IR34" s="966"/>
      <c r="IS34" s="966"/>
      <c r="IT34" s="966"/>
      <c r="IU34" s="966"/>
      <c r="IV34" s="966"/>
      <c r="IW34" s="966"/>
      <c r="IX34" s="966"/>
      <c r="IY34" s="966"/>
      <c r="IZ34" s="966"/>
      <c r="JA34" s="966"/>
      <c r="JB34" s="966"/>
      <c r="JC34" s="966"/>
      <c r="JD34" s="966"/>
      <c r="JE34" s="966"/>
      <c r="JF34" s="966"/>
      <c r="JG34" s="966"/>
      <c r="JH34" s="966"/>
      <c r="JI34" s="966"/>
      <c r="JJ34" s="966"/>
      <c r="JK34" s="966"/>
      <c r="JL34" s="966"/>
      <c r="JM34" s="966"/>
      <c r="JN34" s="966"/>
      <c r="JO34" s="966"/>
      <c r="JP34" s="966"/>
      <c r="JQ34" s="966"/>
      <c r="JR34" s="966"/>
      <c r="JS34" s="966"/>
      <c r="JT34" s="966"/>
      <c r="JU34" s="966"/>
      <c r="JV34" s="966"/>
      <c r="JW34" s="966"/>
      <c r="JX34" s="966"/>
      <c r="JY34" s="966"/>
      <c r="JZ34" s="966"/>
      <c r="KA34" s="966"/>
      <c r="KB34" s="966"/>
      <c r="KC34" s="966"/>
      <c r="KD34" s="966"/>
      <c r="KE34" s="966"/>
      <c r="KF34" s="966"/>
      <c r="KG34" s="966"/>
      <c r="KH34" s="966"/>
      <c r="KI34" s="966"/>
      <c r="KJ34" s="966"/>
      <c r="KK34" s="966"/>
      <c r="KL34" s="966"/>
      <c r="KM34" s="966"/>
      <c r="KN34" s="966"/>
      <c r="KO34" s="966"/>
      <c r="KP34" s="966"/>
      <c r="KQ34" s="966"/>
      <c r="KR34" s="966"/>
      <c r="KS34" s="966"/>
      <c r="KT34" s="966"/>
      <c r="KU34" s="966"/>
      <c r="KV34" s="966"/>
      <c r="KW34" s="966"/>
      <c r="KX34" s="966"/>
      <c r="KY34" s="966"/>
      <c r="KZ34" s="966"/>
      <c r="LA34" s="966"/>
      <c r="LB34" s="966"/>
      <c r="LC34" s="966"/>
      <c r="LD34" s="966"/>
      <c r="LE34" s="966"/>
      <c r="LF34" s="966"/>
      <c r="LG34" s="966"/>
      <c r="LH34" s="966"/>
      <c r="LI34" s="966"/>
      <c r="LJ34" s="966"/>
      <c r="LK34" s="966"/>
      <c r="LL34" s="966"/>
      <c r="LM34" s="966"/>
      <c r="LN34" s="966"/>
      <c r="LO34" s="966"/>
      <c r="LP34" s="966"/>
      <c r="LQ34" s="966"/>
      <c r="LR34" s="966"/>
      <c r="LS34" s="966"/>
      <c r="LT34" s="966"/>
      <c r="LU34" s="966"/>
      <c r="LV34" s="966"/>
      <c r="LW34" s="966"/>
      <c r="LX34" s="966"/>
      <c r="LY34" s="966"/>
      <c r="LZ34" s="966"/>
      <c r="MA34" s="966"/>
      <c r="MB34" s="966"/>
      <c r="MC34" s="966"/>
      <c r="MD34" s="966"/>
      <c r="ME34" s="966"/>
      <c r="MF34" s="966"/>
      <c r="MG34" s="966"/>
      <c r="MH34" s="966"/>
      <c r="MI34" s="966"/>
      <c r="MJ34" s="966"/>
      <c r="MK34" s="966"/>
      <c r="ML34" s="966"/>
      <c r="MM34" s="966"/>
      <c r="MN34" s="966"/>
      <c r="MO34" s="966"/>
      <c r="MP34" s="966"/>
      <c r="MQ34" s="966"/>
      <c r="MR34" s="966"/>
      <c r="MS34" s="966"/>
      <c r="MT34" s="966"/>
      <c r="MU34" s="966"/>
      <c r="MV34" s="966"/>
      <c r="MW34" s="966"/>
      <c r="MX34" s="966"/>
      <c r="MY34" s="966"/>
      <c r="MZ34" s="966"/>
      <c r="NA34" s="966"/>
      <c r="NB34" s="966"/>
      <c r="NC34" s="966"/>
      <c r="ND34" s="966"/>
      <c r="NE34" s="966"/>
      <c r="NF34" s="966"/>
      <c r="NG34" s="966"/>
      <c r="NH34" s="966">
        <v>200</v>
      </c>
      <c r="NI34" s="966">
        <v>80.768000000000001</v>
      </c>
      <c r="NJ34" s="966">
        <v>819.28980000000001</v>
      </c>
      <c r="NK34" s="966"/>
      <c r="NL34" s="966"/>
      <c r="NM34" s="966"/>
      <c r="NN34" s="966"/>
      <c r="NO34" s="966"/>
      <c r="NP34" s="966"/>
      <c r="NQ34" s="966"/>
      <c r="NR34" s="966"/>
      <c r="NS34" s="966"/>
      <c r="NT34" s="966"/>
      <c r="NU34" s="966"/>
      <c r="NV34" s="966"/>
      <c r="NW34" s="966"/>
      <c r="NX34" s="966"/>
      <c r="NY34" s="966"/>
      <c r="NZ34" s="966"/>
      <c r="OA34" s="966"/>
      <c r="OB34" s="966"/>
      <c r="OC34" s="966"/>
      <c r="OD34" s="966"/>
      <c r="OE34" s="966"/>
      <c r="OF34" s="966"/>
      <c r="OG34" s="966"/>
      <c r="OH34" s="966"/>
      <c r="OI34" s="966"/>
      <c r="OJ34" s="966"/>
      <c r="OK34" s="966"/>
      <c r="OL34" s="966"/>
      <c r="OM34" s="966"/>
      <c r="ON34" s="966"/>
      <c r="OO34" s="966"/>
      <c r="OP34" s="966"/>
      <c r="OQ34" s="966"/>
      <c r="OR34" s="966"/>
      <c r="OS34" s="966"/>
      <c r="OT34" s="966"/>
      <c r="OU34" s="966"/>
      <c r="OV34" s="966"/>
      <c r="OW34" s="966"/>
      <c r="OX34" s="966"/>
      <c r="OY34" s="966"/>
      <c r="OZ34" s="966"/>
      <c r="PA34" s="966"/>
      <c r="PB34" s="966"/>
      <c r="PC34" s="966"/>
      <c r="PD34" s="966"/>
      <c r="PE34" s="966"/>
      <c r="PF34" s="966"/>
      <c r="PG34" s="966"/>
      <c r="PH34" s="966"/>
      <c r="PI34" s="966"/>
      <c r="PJ34" s="966"/>
      <c r="PK34" s="966"/>
      <c r="PL34" s="966"/>
      <c r="PM34" s="966"/>
      <c r="PN34" s="966"/>
      <c r="PO34" s="966"/>
      <c r="PP34" s="966"/>
      <c r="PQ34" s="966"/>
      <c r="PR34" s="966"/>
      <c r="PS34" s="966"/>
      <c r="PT34" s="966"/>
      <c r="PU34" s="966"/>
      <c r="PV34" s="966"/>
      <c r="PW34" s="966"/>
      <c r="PX34" s="966"/>
      <c r="PY34" s="966"/>
      <c r="PZ34" s="966"/>
      <c r="QA34" s="966"/>
      <c r="QB34" s="966"/>
      <c r="QC34" s="966"/>
      <c r="QD34" s="966"/>
    </row>
    <row r="35" spans="1:446" s="116" customFormat="1" x14ac:dyDescent="0.25">
      <c r="A35" s="678">
        <v>1</v>
      </c>
      <c r="B35" s="965">
        <v>45131</v>
      </c>
      <c r="C35" s="966"/>
      <c r="D35" s="966"/>
      <c r="E35" s="965"/>
      <c r="F35" s="966"/>
      <c r="G35" s="966"/>
      <c r="H35" s="966"/>
      <c r="I35" s="966"/>
      <c r="J35" s="966"/>
      <c r="K35" s="966"/>
      <c r="L35" s="966"/>
      <c r="M35" s="966"/>
      <c r="N35" s="966"/>
      <c r="O35" s="966"/>
      <c r="P35" s="966"/>
      <c r="Q35" s="966"/>
      <c r="R35" s="966"/>
      <c r="S35" s="966"/>
      <c r="T35" s="966"/>
      <c r="U35" s="966"/>
      <c r="V35" s="966"/>
      <c r="W35" s="966"/>
      <c r="X35" s="966"/>
      <c r="Y35" s="966"/>
      <c r="Z35" s="966"/>
      <c r="AA35" s="966"/>
      <c r="AB35" s="966"/>
      <c r="AC35" s="966"/>
      <c r="AD35" s="966"/>
      <c r="AE35" s="966"/>
      <c r="AF35" s="966"/>
      <c r="AG35" s="966"/>
      <c r="AH35" s="966"/>
      <c r="AI35" s="966"/>
      <c r="AJ35" s="966"/>
      <c r="AK35" s="966"/>
      <c r="AL35" s="966"/>
      <c r="AM35" s="966"/>
      <c r="AN35" s="966"/>
      <c r="AO35" s="966"/>
      <c r="AP35" s="966"/>
      <c r="AQ35" s="966"/>
      <c r="AR35" s="966"/>
      <c r="AS35" s="966"/>
      <c r="AT35" s="966"/>
      <c r="AU35" s="966"/>
      <c r="AV35" s="966"/>
      <c r="AW35" s="966"/>
      <c r="AX35" s="966"/>
      <c r="AY35" s="966"/>
      <c r="AZ35" s="966"/>
      <c r="BA35" s="966"/>
      <c r="BB35" s="966"/>
      <c r="BC35" s="966"/>
      <c r="BD35" s="966"/>
      <c r="BE35" s="966"/>
      <c r="BF35" s="966"/>
      <c r="BG35" s="966"/>
      <c r="BH35" s="966"/>
      <c r="BI35" s="966"/>
      <c r="BJ35" s="966"/>
      <c r="BK35" s="966"/>
      <c r="BL35" s="966"/>
      <c r="BM35" s="966"/>
      <c r="BN35" s="966"/>
      <c r="BO35" s="966"/>
      <c r="BP35" s="966"/>
      <c r="BQ35" s="966"/>
      <c r="BR35" s="966"/>
      <c r="BS35" s="966"/>
      <c r="BT35" s="966"/>
      <c r="BU35" s="966"/>
      <c r="BV35" s="966"/>
      <c r="BW35" s="966"/>
      <c r="BX35" s="966"/>
      <c r="BY35" s="966"/>
      <c r="BZ35" s="966"/>
      <c r="CA35" s="966"/>
      <c r="CB35" s="966"/>
      <c r="CC35" s="966"/>
      <c r="CD35" s="966"/>
      <c r="CE35" s="966"/>
      <c r="CF35" s="966"/>
      <c r="CG35" s="966"/>
      <c r="CH35" s="966"/>
      <c r="CI35" s="966"/>
      <c r="CJ35" s="966"/>
      <c r="CK35" s="966"/>
      <c r="CL35" s="966"/>
      <c r="CM35" s="966"/>
      <c r="CN35" s="966"/>
      <c r="CO35" s="966"/>
      <c r="CP35" s="966"/>
      <c r="CQ35" s="966"/>
      <c r="CR35" s="966"/>
      <c r="CS35" s="966"/>
      <c r="CT35" s="966"/>
      <c r="CU35" s="966"/>
      <c r="CV35" s="966"/>
      <c r="CW35" s="966"/>
      <c r="CX35" s="966"/>
      <c r="CY35" s="966"/>
      <c r="CZ35" s="966"/>
      <c r="DA35" s="966"/>
      <c r="DB35" s="966"/>
      <c r="DC35" s="966"/>
      <c r="DD35" s="966"/>
      <c r="DE35" s="966"/>
      <c r="DF35" s="966"/>
      <c r="DG35" s="966"/>
      <c r="DH35" s="966"/>
      <c r="DI35" s="966"/>
      <c r="DJ35" s="966"/>
      <c r="DK35" s="966"/>
      <c r="DL35" s="966"/>
      <c r="DM35" s="966"/>
      <c r="DN35" s="966"/>
      <c r="DO35" s="966"/>
      <c r="DP35" s="966"/>
      <c r="DQ35" s="966"/>
      <c r="DR35" s="966"/>
      <c r="DS35" s="966"/>
      <c r="DT35" s="966"/>
      <c r="DU35" s="966"/>
      <c r="DV35" s="966"/>
      <c r="DW35" s="966"/>
      <c r="DX35" s="966"/>
      <c r="DY35" s="966"/>
      <c r="DZ35" s="966"/>
      <c r="EA35" s="966"/>
      <c r="EB35" s="966"/>
      <c r="EC35" s="966"/>
      <c r="ED35" s="966"/>
      <c r="EE35" s="966">
        <v>81</v>
      </c>
      <c r="EF35" s="966">
        <v>0</v>
      </c>
      <c r="EG35" s="966">
        <v>144.955005</v>
      </c>
      <c r="EH35" s="966">
        <v>63</v>
      </c>
      <c r="EI35" s="966">
        <v>0</v>
      </c>
      <c r="EJ35" s="966">
        <v>205.07611500000002</v>
      </c>
      <c r="EK35" s="966"/>
      <c r="EL35" s="966"/>
      <c r="EM35" s="966"/>
      <c r="EN35" s="966"/>
      <c r="EO35" s="966"/>
      <c r="EP35" s="966"/>
      <c r="EQ35" s="966">
        <v>79.2</v>
      </c>
      <c r="ER35" s="966">
        <v>0</v>
      </c>
      <c r="ES35" s="966">
        <v>236.26711599999999</v>
      </c>
      <c r="ET35" s="966">
        <v>72</v>
      </c>
      <c r="EU35" s="966">
        <v>0</v>
      </c>
      <c r="EV35" s="966">
        <v>129.49600000000001</v>
      </c>
      <c r="EW35" s="966">
        <v>54</v>
      </c>
      <c r="EX35" s="966">
        <v>0</v>
      </c>
      <c r="EY35" s="966">
        <v>184</v>
      </c>
      <c r="EZ35" s="966">
        <v>90</v>
      </c>
      <c r="FA35" s="966">
        <v>0</v>
      </c>
      <c r="FB35" s="966">
        <v>154.39445000000001</v>
      </c>
      <c r="FC35" s="966">
        <v>54</v>
      </c>
      <c r="FD35" s="966">
        <v>0</v>
      </c>
      <c r="FE35" s="966">
        <v>210.63666999999998</v>
      </c>
      <c r="FF35" s="966">
        <v>18</v>
      </c>
      <c r="FG35" s="966">
        <v>0</v>
      </c>
      <c r="FH35" s="966">
        <v>43.878889999999998</v>
      </c>
      <c r="FI35" s="966">
        <v>72</v>
      </c>
      <c r="FJ35" s="966">
        <v>0</v>
      </c>
      <c r="FK35" s="966">
        <v>80.011560000000003</v>
      </c>
      <c r="FL35" s="966"/>
      <c r="FM35" s="966"/>
      <c r="FN35" s="966"/>
      <c r="FO35" s="966"/>
      <c r="FP35" s="966"/>
      <c r="FQ35" s="966"/>
      <c r="FR35" s="966">
        <v>90</v>
      </c>
      <c r="FS35" s="966">
        <v>0</v>
      </c>
      <c r="FT35" s="966">
        <v>328.83945</v>
      </c>
      <c r="FU35" s="966">
        <v>126</v>
      </c>
      <c r="FV35" s="966">
        <v>0</v>
      </c>
      <c r="FW35" s="966">
        <v>306.02022999999997</v>
      </c>
      <c r="FX35" s="966">
        <v>36</v>
      </c>
      <c r="FY35" s="966">
        <v>0</v>
      </c>
      <c r="FZ35" s="966">
        <v>106.00578</v>
      </c>
      <c r="GA35" s="966"/>
      <c r="GB35" s="966"/>
      <c r="GC35" s="966"/>
      <c r="GD35" s="966"/>
      <c r="GE35" s="966"/>
      <c r="GF35" s="966"/>
      <c r="GG35" s="966">
        <v>72</v>
      </c>
      <c r="GH35" s="966">
        <v>0</v>
      </c>
      <c r="GI35" s="966">
        <v>80.011560000000003</v>
      </c>
      <c r="GJ35" s="966">
        <v>54</v>
      </c>
      <c r="GK35" s="966">
        <v>0</v>
      </c>
      <c r="GL35" s="966">
        <v>85.008669999999995</v>
      </c>
      <c r="GM35" s="966">
        <v>90</v>
      </c>
      <c r="GN35" s="966">
        <v>0</v>
      </c>
      <c r="GO35" s="966">
        <v>425.01445000000001</v>
      </c>
      <c r="GP35" s="966">
        <v>72</v>
      </c>
      <c r="GQ35" s="966">
        <v>0</v>
      </c>
      <c r="GR35" s="966">
        <v>140.01156</v>
      </c>
      <c r="GS35" s="966"/>
      <c r="GT35" s="966"/>
      <c r="GU35" s="966"/>
      <c r="GV35" s="966"/>
      <c r="GW35" s="966"/>
      <c r="GX35" s="966"/>
      <c r="GY35" s="966"/>
      <c r="GZ35" s="966"/>
      <c r="HA35" s="966"/>
      <c r="HB35" s="966"/>
      <c r="HC35" s="966"/>
      <c r="HD35" s="966"/>
      <c r="HE35" s="966"/>
      <c r="HF35" s="966"/>
      <c r="HG35" s="966"/>
      <c r="HH35" s="966"/>
      <c r="HI35" s="966"/>
      <c r="HJ35" s="966"/>
      <c r="HK35" s="966"/>
      <c r="HL35" s="966"/>
      <c r="HM35" s="966"/>
      <c r="HN35" s="966"/>
      <c r="HO35" s="966"/>
      <c r="HP35" s="966"/>
      <c r="HQ35" s="966"/>
      <c r="HR35" s="966"/>
      <c r="HS35" s="966"/>
      <c r="HT35" s="966"/>
      <c r="HU35" s="966"/>
      <c r="HV35" s="966"/>
      <c r="HW35" s="966"/>
      <c r="HX35" s="966"/>
      <c r="HY35" s="966"/>
      <c r="HZ35" s="966"/>
      <c r="IA35" s="966"/>
      <c r="IB35" s="966"/>
      <c r="IC35" s="966"/>
      <c r="ID35" s="966"/>
      <c r="IE35" s="966"/>
      <c r="IF35" s="966"/>
      <c r="IG35" s="966"/>
      <c r="IH35" s="966"/>
      <c r="II35" s="966"/>
      <c r="IJ35" s="966"/>
      <c r="IK35" s="966"/>
      <c r="IL35" s="966"/>
      <c r="IM35" s="966"/>
      <c r="IN35" s="966"/>
      <c r="IO35" s="966"/>
      <c r="IP35" s="966"/>
      <c r="IQ35" s="966"/>
      <c r="IR35" s="966"/>
      <c r="IS35" s="966"/>
      <c r="IT35" s="966"/>
      <c r="IU35" s="966"/>
      <c r="IV35" s="966"/>
      <c r="IW35" s="966"/>
      <c r="IX35" s="966"/>
      <c r="IY35" s="966"/>
      <c r="IZ35" s="966"/>
      <c r="JA35" s="966"/>
      <c r="JB35" s="966"/>
      <c r="JC35" s="966"/>
      <c r="JD35" s="966"/>
      <c r="JE35" s="966"/>
      <c r="JF35" s="966"/>
      <c r="JG35" s="966"/>
      <c r="JH35" s="966"/>
      <c r="JI35" s="966"/>
      <c r="JJ35" s="966"/>
      <c r="JK35" s="966"/>
      <c r="JL35" s="966"/>
      <c r="JM35" s="966"/>
      <c r="JN35" s="966"/>
      <c r="JO35" s="966"/>
      <c r="JP35" s="966"/>
      <c r="JQ35" s="966"/>
      <c r="JR35" s="966"/>
      <c r="JS35" s="966"/>
      <c r="JT35" s="966"/>
      <c r="JU35" s="966"/>
      <c r="JV35" s="966"/>
      <c r="JW35" s="966"/>
      <c r="JX35" s="966"/>
      <c r="JY35" s="966"/>
      <c r="JZ35" s="966"/>
      <c r="KA35" s="966"/>
      <c r="KB35" s="966"/>
      <c r="KC35" s="966"/>
      <c r="KD35" s="966"/>
      <c r="KE35" s="966"/>
      <c r="KF35" s="966"/>
      <c r="KG35" s="966"/>
      <c r="KH35" s="966"/>
      <c r="KI35" s="966"/>
      <c r="KJ35" s="966"/>
      <c r="KK35" s="966"/>
      <c r="KL35" s="966"/>
      <c r="KM35" s="966"/>
      <c r="KN35" s="966"/>
      <c r="KO35" s="966"/>
      <c r="KP35" s="966"/>
      <c r="KQ35" s="966"/>
      <c r="KR35" s="966"/>
      <c r="KS35" s="966"/>
      <c r="KT35" s="966"/>
      <c r="KU35" s="966"/>
      <c r="KV35" s="966"/>
      <c r="KW35" s="966"/>
      <c r="KX35" s="966"/>
      <c r="KY35" s="966"/>
      <c r="KZ35" s="966"/>
      <c r="LA35" s="966"/>
      <c r="LB35" s="966"/>
      <c r="LC35" s="966"/>
      <c r="LD35" s="966"/>
      <c r="LE35" s="966"/>
      <c r="LF35" s="966"/>
      <c r="LG35" s="966"/>
      <c r="LH35" s="966"/>
      <c r="LI35" s="966"/>
      <c r="LJ35" s="966"/>
      <c r="LK35" s="966"/>
      <c r="LL35" s="966"/>
      <c r="LM35" s="966"/>
      <c r="LN35" s="966"/>
      <c r="LO35" s="966"/>
      <c r="LP35" s="966"/>
      <c r="LQ35" s="966"/>
      <c r="LR35" s="966"/>
      <c r="LS35" s="966"/>
      <c r="LT35" s="966"/>
      <c r="LU35" s="966"/>
      <c r="LV35" s="966"/>
      <c r="LW35" s="966"/>
      <c r="LX35" s="966"/>
      <c r="LY35" s="966"/>
      <c r="LZ35" s="966"/>
      <c r="MA35" s="966"/>
      <c r="MB35" s="966"/>
      <c r="MC35" s="966"/>
      <c r="MD35" s="966"/>
      <c r="ME35" s="966"/>
      <c r="MF35" s="966"/>
      <c r="MG35" s="966"/>
      <c r="MH35" s="966"/>
      <c r="MI35" s="966"/>
      <c r="MJ35" s="966"/>
      <c r="MK35" s="966"/>
      <c r="ML35" s="966"/>
      <c r="MM35" s="966"/>
      <c r="MN35" s="966"/>
      <c r="MO35" s="966"/>
      <c r="MP35" s="966"/>
      <c r="MQ35" s="966"/>
      <c r="MR35" s="966"/>
      <c r="MS35" s="966"/>
      <c r="MT35" s="966"/>
      <c r="MU35" s="966"/>
      <c r="MV35" s="966"/>
      <c r="MW35" s="966"/>
      <c r="MX35" s="966"/>
      <c r="MY35" s="966"/>
      <c r="MZ35" s="966"/>
      <c r="NA35" s="966"/>
      <c r="NB35" s="966"/>
      <c r="NC35" s="966"/>
      <c r="ND35" s="966"/>
      <c r="NE35" s="966"/>
      <c r="NF35" s="966"/>
      <c r="NG35" s="966"/>
      <c r="NH35" s="966"/>
      <c r="NI35" s="966"/>
      <c r="NJ35" s="966"/>
      <c r="NK35" s="966"/>
      <c r="NL35" s="966"/>
      <c r="NM35" s="966"/>
      <c r="NN35" s="966"/>
      <c r="NO35" s="966"/>
      <c r="NP35" s="966"/>
      <c r="NQ35" s="966"/>
      <c r="NR35" s="966"/>
      <c r="NS35" s="966"/>
      <c r="NT35" s="966"/>
      <c r="NU35" s="966"/>
      <c r="NV35" s="966"/>
      <c r="NW35" s="966"/>
      <c r="NX35" s="966"/>
      <c r="NY35" s="966"/>
      <c r="NZ35" s="966"/>
      <c r="OA35" s="966"/>
      <c r="OB35" s="966"/>
      <c r="OC35" s="966"/>
      <c r="OD35" s="966"/>
      <c r="OE35" s="966"/>
      <c r="OF35" s="966"/>
      <c r="OG35" s="966"/>
      <c r="OH35" s="966"/>
      <c r="OI35" s="966"/>
      <c r="OJ35" s="966"/>
      <c r="OK35" s="966"/>
      <c r="OL35" s="966"/>
      <c r="OM35" s="966"/>
      <c r="ON35" s="966"/>
      <c r="OO35" s="966"/>
      <c r="OP35" s="966"/>
      <c r="OQ35" s="966"/>
      <c r="OR35" s="966"/>
      <c r="OS35" s="966"/>
      <c r="OT35" s="966"/>
      <c r="OU35" s="966"/>
      <c r="OV35" s="966"/>
      <c r="OW35" s="966"/>
      <c r="OX35" s="966"/>
      <c r="OY35" s="966"/>
      <c r="OZ35" s="966"/>
      <c r="PA35" s="966"/>
      <c r="PB35" s="966"/>
      <c r="PC35" s="966"/>
      <c r="PD35" s="966"/>
      <c r="PE35" s="966"/>
      <c r="PF35" s="966"/>
      <c r="PG35" s="966"/>
      <c r="PH35" s="966"/>
      <c r="PI35" s="966"/>
      <c r="PJ35" s="966"/>
      <c r="PK35" s="966"/>
      <c r="PL35" s="966"/>
      <c r="PM35" s="966"/>
      <c r="PN35" s="966"/>
      <c r="PO35" s="966"/>
      <c r="PP35" s="966"/>
      <c r="PQ35" s="966"/>
      <c r="PR35" s="966"/>
      <c r="PS35" s="966"/>
      <c r="PT35" s="966"/>
      <c r="PU35" s="966"/>
      <c r="PV35" s="966"/>
      <c r="PW35" s="966"/>
      <c r="PX35" s="966"/>
      <c r="PY35" s="966"/>
      <c r="PZ35" s="966"/>
      <c r="QA35" s="966"/>
      <c r="QB35" s="966"/>
      <c r="QC35" s="966"/>
      <c r="QD35" s="966"/>
    </row>
    <row r="36" spans="1:446" s="116" customFormat="1" x14ac:dyDescent="0.25">
      <c r="A36" s="678">
        <v>1</v>
      </c>
      <c r="B36" s="965">
        <v>45132</v>
      </c>
      <c r="C36" s="966"/>
      <c r="D36" s="966"/>
      <c r="E36" s="965"/>
      <c r="F36" s="966">
        <v>0</v>
      </c>
      <c r="G36" s="966">
        <v>9.379999999999999</v>
      </c>
      <c r="H36" s="966">
        <v>225.01445000000001</v>
      </c>
      <c r="I36" s="966"/>
      <c r="J36" s="966"/>
      <c r="K36" s="966"/>
      <c r="L36" s="966">
        <v>40</v>
      </c>
      <c r="M36" s="966">
        <v>10.318</v>
      </c>
      <c r="N36" s="966">
        <v>52.515894999999986</v>
      </c>
      <c r="O36" s="966"/>
      <c r="P36" s="966"/>
      <c r="Q36" s="966"/>
      <c r="R36" s="966"/>
      <c r="S36" s="966"/>
      <c r="T36" s="966"/>
      <c r="U36" s="966"/>
      <c r="V36" s="966"/>
      <c r="W36" s="966"/>
      <c r="X36" s="966"/>
      <c r="Y36" s="966"/>
      <c r="Z36" s="966"/>
      <c r="AA36" s="966"/>
      <c r="AB36" s="966"/>
      <c r="AC36" s="966"/>
      <c r="AD36" s="966"/>
      <c r="AE36" s="966"/>
      <c r="AF36" s="966"/>
      <c r="AG36" s="966"/>
      <c r="AH36" s="966"/>
      <c r="AI36" s="966"/>
      <c r="AJ36" s="966"/>
      <c r="AK36" s="966"/>
      <c r="AL36" s="966"/>
      <c r="AM36" s="966"/>
      <c r="AN36" s="966"/>
      <c r="AO36" s="966"/>
      <c r="AP36" s="966"/>
      <c r="AQ36" s="966"/>
      <c r="AR36" s="966"/>
      <c r="AS36" s="966"/>
      <c r="AT36" s="966"/>
      <c r="AU36" s="966"/>
      <c r="AV36" s="966"/>
      <c r="AW36" s="966"/>
      <c r="AX36" s="966"/>
      <c r="AY36" s="966"/>
      <c r="AZ36" s="966"/>
      <c r="BA36" s="966"/>
      <c r="BB36" s="966">
        <v>0</v>
      </c>
      <c r="BC36" s="966">
        <v>9.379999999999999</v>
      </c>
      <c r="BD36" s="966">
        <v>432.01445000000001</v>
      </c>
      <c r="BE36" s="966">
        <v>0</v>
      </c>
      <c r="BF36" s="966">
        <v>11.256</v>
      </c>
      <c r="BG36" s="966">
        <v>449.01733999999999</v>
      </c>
      <c r="BH36" s="966"/>
      <c r="BI36" s="966"/>
      <c r="BJ36" s="966"/>
      <c r="BK36" s="966"/>
      <c r="BL36" s="966"/>
      <c r="BM36" s="966"/>
      <c r="BN36" s="966"/>
      <c r="BO36" s="966"/>
      <c r="BP36" s="966"/>
      <c r="BQ36" s="966"/>
      <c r="BR36" s="966"/>
      <c r="BS36" s="966"/>
      <c r="BT36" s="966">
        <v>0</v>
      </c>
      <c r="BU36" s="966">
        <v>11.256</v>
      </c>
      <c r="BV36" s="966">
        <v>229.01733999999999</v>
      </c>
      <c r="BW36" s="966"/>
      <c r="BX36" s="966"/>
      <c r="BY36" s="966"/>
      <c r="BZ36" s="966"/>
      <c r="CA36" s="966"/>
      <c r="CB36" s="966"/>
      <c r="CC36" s="966"/>
      <c r="CD36" s="966"/>
      <c r="CE36" s="966"/>
      <c r="CF36" s="966"/>
      <c r="CG36" s="966"/>
      <c r="CH36" s="966"/>
      <c r="CI36" s="966"/>
      <c r="CJ36" s="966"/>
      <c r="CK36" s="966"/>
      <c r="CL36" s="966"/>
      <c r="CM36" s="966"/>
      <c r="CN36" s="966"/>
      <c r="CO36" s="966"/>
      <c r="CP36" s="966"/>
      <c r="CQ36" s="966"/>
      <c r="CR36" s="966"/>
      <c r="CS36" s="966"/>
      <c r="CT36" s="966"/>
      <c r="CU36" s="966"/>
      <c r="CV36" s="966"/>
      <c r="CW36" s="966"/>
      <c r="CX36" s="966"/>
      <c r="CY36" s="966"/>
      <c r="CZ36" s="966"/>
      <c r="DA36" s="966"/>
      <c r="DB36" s="966"/>
      <c r="DC36" s="966"/>
      <c r="DD36" s="966"/>
      <c r="DE36" s="966"/>
      <c r="DF36" s="966"/>
      <c r="DG36" s="966"/>
      <c r="DH36" s="966"/>
      <c r="DI36" s="966"/>
      <c r="DJ36" s="966"/>
      <c r="DK36" s="966"/>
      <c r="DL36" s="966"/>
      <c r="DM36" s="966"/>
      <c r="DN36" s="966"/>
      <c r="DO36" s="966"/>
      <c r="DP36" s="966"/>
      <c r="DQ36" s="966"/>
      <c r="DR36" s="966"/>
      <c r="DS36" s="966"/>
      <c r="DT36" s="966"/>
      <c r="DU36" s="966"/>
      <c r="DV36" s="966"/>
      <c r="DW36" s="966"/>
      <c r="DX36" s="966"/>
      <c r="DY36" s="966"/>
      <c r="DZ36" s="966"/>
      <c r="EA36" s="966"/>
      <c r="EB36" s="966"/>
      <c r="EC36" s="966"/>
      <c r="ED36" s="966"/>
      <c r="EE36" s="966"/>
      <c r="EF36" s="966"/>
      <c r="EG36" s="966"/>
      <c r="EH36" s="966"/>
      <c r="EI36" s="966"/>
      <c r="EJ36" s="966"/>
      <c r="EK36" s="966"/>
      <c r="EL36" s="966"/>
      <c r="EM36" s="966"/>
      <c r="EN36" s="966"/>
      <c r="EO36" s="966"/>
      <c r="EP36" s="966"/>
      <c r="EQ36" s="966"/>
      <c r="ER36" s="966"/>
      <c r="ES36" s="966"/>
      <c r="ET36" s="966"/>
      <c r="EU36" s="966"/>
      <c r="EV36" s="966"/>
      <c r="EW36" s="966"/>
      <c r="EX36" s="966"/>
      <c r="EY36" s="966"/>
      <c r="EZ36" s="966"/>
      <c r="FA36" s="966"/>
      <c r="FB36" s="966"/>
      <c r="FC36" s="966"/>
      <c r="FD36" s="966"/>
      <c r="FE36" s="966"/>
      <c r="FF36" s="966"/>
      <c r="FG36" s="966"/>
      <c r="FH36" s="966"/>
      <c r="FI36" s="966"/>
      <c r="FJ36" s="966"/>
      <c r="FK36" s="966"/>
      <c r="FL36" s="966"/>
      <c r="FM36" s="966"/>
      <c r="FN36" s="966"/>
      <c r="FO36" s="966"/>
      <c r="FP36" s="966"/>
      <c r="FQ36" s="966"/>
      <c r="FR36" s="966"/>
      <c r="FS36" s="966"/>
      <c r="FT36" s="966"/>
      <c r="FU36" s="966"/>
      <c r="FV36" s="966"/>
      <c r="FW36" s="966"/>
      <c r="FX36" s="966"/>
      <c r="FY36" s="966"/>
      <c r="FZ36" s="966"/>
      <c r="GA36" s="966"/>
      <c r="GB36" s="966"/>
      <c r="GC36" s="966"/>
      <c r="GD36" s="966"/>
      <c r="GE36" s="966"/>
      <c r="GF36" s="966"/>
      <c r="GG36" s="966"/>
      <c r="GH36" s="966"/>
      <c r="GI36" s="966"/>
      <c r="GJ36" s="966"/>
      <c r="GK36" s="966"/>
      <c r="GL36" s="966"/>
      <c r="GM36" s="966"/>
      <c r="GN36" s="966"/>
      <c r="GO36" s="966"/>
      <c r="GP36" s="966"/>
      <c r="GQ36" s="966"/>
      <c r="GR36" s="966"/>
      <c r="GS36" s="966">
        <v>30</v>
      </c>
      <c r="GT36" s="966">
        <v>4.5</v>
      </c>
      <c r="GU36" s="966">
        <v>235.51733999999999</v>
      </c>
      <c r="GV36" s="966"/>
      <c r="GW36" s="966"/>
      <c r="GX36" s="966"/>
      <c r="GY36" s="966"/>
      <c r="GZ36" s="966"/>
      <c r="HA36" s="966"/>
      <c r="HB36" s="966"/>
      <c r="HC36" s="966"/>
      <c r="HD36" s="966"/>
      <c r="HE36" s="966"/>
      <c r="HF36" s="966"/>
      <c r="HG36" s="966"/>
      <c r="HH36" s="966"/>
      <c r="HI36" s="966"/>
      <c r="HJ36" s="966"/>
      <c r="HK36" s="966"/>
      <c r="HL36" s="966"/>
      <c r="HM36" s="966"/>
      <c r="HN36" s="966"/>
      <c r="HO36" s="966"/>
      <c r="HP36" s="966"/>
      <c r="HQ36" s="966"/>
      <c r="HR36" s="966"/>
      <c r="HS36" s="966"/>
      <c r="HT36" s="966"/>
      <c r="HU36" s="966"/>
      <c r="HV36" s="966"/>
      <c r="HW36" s="966"/>
      <c r="HX36" s="966"/>
      <c r="HY36" s="966"/>
      <c r="HZ36" s="966"/>
      <c r="IA36" s="966"/>
      <c r="IB36" s="966"/>
      <c r="IC36" s="966"/>
      <c r="ID36" s="966"/>
      <c r="IE36" s="966"/>
      <c r="IF36" s="966"/>
      <c r="IG36" s="966"/>
      <c r="IH36" s="966"/>
      <c r="II36" s="966"/>
      <c r="IJ36" s="966"/>
      <c r="IK36" s="966"/>
      <c r="IL36" s="966"/>
      <c r="IM36" s="966"/>
      <c r="IN36" s="966"/>
      <c r="IO36" s="966"/>
      <c r="IP36" s="966"/>
      <c r="IQ36" s="966"/>
      <c r="IR36" s="966"/>
      <c r="IS36" s="966"/>
      <c r="IT36" s="966"/>
      <c r="IU36" s="966"/>
      <c r="IV36" s="966"/>
      <c r="IW36" s="966"/>
      <c r="IX36" s="966"/>
      <c r="IY36" s="966"/>
      <c r="IZ36" s="966"/>
      <c r="JA36" s="966"/>
      <c r="JB36" s="966"/>
      <c r="JC36" s="966"/>
      <c r="JD36" s="966"/>
      <c r="JE36" s="966"/>
      <c r="JF36" s="966"/>
      <c r="JG36" s="966"/>
      <c r="JH36" s="966"/>
      <c r="JI36" s="966"/>
      <c r="JJ36" s="966"/>
      <c r="JK36" s="966"/>
      <c r="JL36" s="966"/>
      <c r="JM36" s="966"/>
      <c r="JN36" s="966"/>
      <c r="JO36" s="966"/>
      <c r="JP36" s="966"/>
      <c r="JQ36" s="966"/>
      <c r="JR36" s="966"/>
      <c r="JS36" s="966"/>
      <c r="JT36" s="966"/>
      <c r="JU36" s="966"/>
      <c r="JV36" s="966"/>
      <c r="JW36" s="966"/>
      <c r="JX36" s="966"/>
      <c r="JY36" s="966"/>
      <c r="JZ36" s="966"/>
      <c r="KA36" s="966"/>
      <c r="KB36" s="966"/>
      <c r="KC36" s="966"/>
      <c r="KD36" s="966"/>
      <c r="KE36" s="966"/>
      <c r="KF36" s="966"/>
      <c r="KG36" s="966"/>
      <c r="KH36" s="966"/>
      <c r="KI36" s="966"/>
      <c r="KJ36" s="966"/>
      <c r="KK36" s="966"/>
      <c r="KL36" s="966"/>
      <c r="KM36" s="966"/>
      <c r="KN36" s="966"/>
      <c r="KO36" s="966"/>
      <c r="KP36" s="966"/>
      <c r="KQ36" s="966"/>
      <c r="KR36" s="966"/>
      <c r="KS36" s="966"/>
      <c r="KT36" s="966"/>
      <c r="KU36" s="966"/>
      <c r="KV36" s="966"/>
      <c r="KW36" s="966"/>
      <c r="KX36" s="966"/>
      <c r="KY36" s="966"/>
      <c r="KZ36" s="966"/>
      <c r="LA36" s="966"/>
      <c r="LB36" s="966"/>
      <c r="LC36" s="966"/>
      <c r="LD36" s="966"/>
      <c r="LE36" s="966"/>
      <c r="LF36" s="966"/>
      <c r="LG36" s="966"/>
      <c r="LH36" s="966"/>
      <c r="LI36" s="966"/>
      <c r="LJ36" s="966"/>
      <c r="LK36" s="966"/>
      <c r="LL36" s="966"/>
      <c r="LM36" s="966"/>
      <c r="LN36" s="966"/>
      <c r="LO36" s="966"/>
      <c r="LP36" s="966"/>
      <c r="LQ36" s="966"/>
      <c r="LR36" s="966"/>
      <c r="LS36" s="966"/>
      <c r="LT36" s="966"/>
      <c r="LU36" s="966"/>
      <c r="LV36" s="966"/>
      <c r="LW36" s="966"/>
      <c r="LX36" s="966"/>
      <c r="LY36" s="966"/>
      <c r="LZ36" s="966"/>
      <c r="MA36" s="966"/>
      <c r="MB36" s="966"/>
      <c r="MC36" s="966"/>
      <c r="MD36" s="966"/>
      <c r="ME36" s="966"/>
      <c r="MF36" s="966"/>
      <c r="MG36" s="966"/>
      <c r="MH36" s="966"/>
      <c r="MI36" s="966"/>
      <c r="MJ36" s="966"/>
      <c r="MK36" s="966"/>
      <c r="ML36" s="966"/>
      <c r="MM36" s="966"/>
      <c r="MN36" s="966"/>
      <c r="MO36" s="966"/>
      <c r="MP36" s="966"/>
      <c r="MQ36" s="966"/>
      <c r="MR36" s="966"/>
      <c r="MS36" s="966"/>
      <c r="MT36" s="966"/>
      <c r="MU36" s="966"/>
      <c r="MV36" s="966"/>
      <c r="MW36" s="966"/>
      <c r="MX36" s="966"/>
      <c r="MY36" s="966"/>
      <c r="MZ36" s="966"/>
      <c r="NA36" s="966"/>
      <c r="NB36" s="966"/>
      <c r="NC36" s="966"/>
      <c r="ND36" s="966"/>
      <c r="NE36" s="966"/>
      <c r="NF36" s="966"/>
      <c r="NG36" s="966"/>
      <c r="NH36" s="966"/>
      <c r="NI36" s="966"/>
      <c r="NJ36" s="966"/>
      <c r="NK36" s="966"/>
      <c r="NL36" s="966"/>
      <c r="NM36" s="966"/>
      <c r="NN36" s="966"/>
      <c r="NO36" s="966"/>
      <c r="NP36" s="966"/>
      <c r="NQ36" s="966"/>
      <c r="NR36" s="966"/>
      <c r="NS36" s="966"/>
      <c r="NT36" s="966"/>
      <c r="NU36" s="966"/>
      <c r="NV36" s="966"/>
      <c r="NW36" s="966"/>
      <c r="NX36" s="966"/>
      <c r="NY36" s="966"/>
      <c r="NZ36" s="966"/>
      <c r="OA36" s="966"/>
      <c r="OB36" s="966"/>
      <c r="OC36" s="966"/>
      <c r="OD36" s="966"/>
      <c r="OE36" s="966"/>
      <c r="OF36" s="966"/>
      <c r="OG36" s="966"/>
      <c r="OH36" s="966"/>
      <c r="OI36" s="966"/>
      <c r="OJ36" s="966"/>
      <c r="OK36" s="966"/>
      <c r="OL36" s="966"/>
      <c r="OM36" s="966"/>
      <c r="ON36" s="966"/>
      <c r="OO36" s="966"/>
      <c r="OP36" s="966"/>
      <c r="OQ36" s="966"/>
      <c r="OR36" s="966"/>
      <c r="OS36" s="966"/>
      <c r="OT36" s="966"/>
      <c r="OU36" s="966"/>
      <c r="OV36" s="966"/>
      <c r="OW36" s="966"/>
      <c r="OX36" s="966"/>
      <c r="OY36" s="966"/>
      <c r="OZ36" s="966"/>
      <c r="PA36" s="966"/>
      <c r="PB36" s="966"/>
      <c r="PC36" s="966"/>
      <c r="PD36" s="966"/>
      <c r="PE36" s="966"/>
      <c r="PF36" s="966"/>
      <c r="PG36" s="966"/>
      <c r="PH36" s="966"/>
      <c r="PI36" s="966"/>
      <c r="PJ36" s="966"/>
      <c r="PK36" s="966"/>
      <c r="PL36" s="966"/>
      <c r="PM36" s="966"/>
      <c r="PN36" s="966"/>
      <c r="PO36" s="966"/>
      <c r="PP36" s="966"/>
      <c r="PQ36" s="966"/>
      <c r="PR36" s="966"/>
      <c r="PS36" s="966"/>
      <c r="PT36" s="966"/>
      <c r="PU36" s="966"/>
      <c r="PV36" s="966"/>
      <c r="PW36" s="966"/>
      <c r="PX36" s="966"/>
      <c r="PY36" s="966"/>
      <c r="PZ36" s="966"/>
      <c r="QA36" s="966"/>
      <c r="QB36" s="966"/>
      <c r="QC36" s="966"/>
      <c r="QD36" s="966"/>
    </row>
    <row r="37" spans="1:446" s="116" customFormat="1" x14ac:dyDescent="0.25">
      <c r="A37" s="678">
        <v>1</v>
      </c>
      <c r="B37" s="965"/>
      <c r="C37" s="966"/>
      <c r="D37" s="966"/>
      <c r="E37" s="965"/>
      <c r="F37" s="966"/>
      <c r="G37" s="966"/>
      <c r="H37" s="966"/>
      <c r="I37" s="966"/>
      <c r="J37" s="966"/>
      <c r="K37" s="966"/>
      <c r="L37" s="966"/>
      <c r="M37" s="966"/>
      <c r="N37" s="966"/>
      <c r="O37" s="966"/>
      <c r="P37" s="966"/>
      <c r="Q37" s="966"/>
      <c r="R37" s="966"/>
      <c r="S37" s="966"/>
      <c r="T37" s="966"/>
      <c r="U37" s="966"/>
      <c r="V37" s="966"/>
      <c r="W37" s="966"/>
      <c r="X37" s="966"/>
      <c r="Y37" s="966"/>
      <c r="Z37" s="966"/>
      <c r="AA37" s="966"/>
      <c r="AB37" s="966"/>
      <c r="AC37" s="966"/>
      <c r="AD37" s="966"/>
      <c r="AE37" s="966"/>
      <c r="AF37" s="966"/>
      <c r="AG37" s="966"/>
      <c r="AH37" s="966"/>
      <c r="AI37" s="966"/>
      <c r="AJ37" s="966"/>
      <c r="AK37" s="966"/>
      <c r="AL37" s="966"/>
      <c r="AM37" s="966"/>
      <c r="AN37" s="966"/>
      <c r="AO37" s="966"/>
      <c r="AP37" s="966"/>
      <c r="AQ37" s="966"/>
      <c r="AR37" s="966"/>
      <c r="AS37" s="966"/>
      <c r="AT37" s="966"/>
      <c r="AU37" s="966"/>
      <c r="AV37" s="966"/>
      <c r="AW37" s="966"/>
      <c r="AX37" s="966"/>
      <c r="AY37" s="966"/>
      <c r="AZ37" s="966"/>
      <c r="BA37" s="966"/>
      <c r="BB37" s="966"/>
      <c r="BC37" s="966"/>
      <c r="BD37" s="966"/>
      <c r="BE37" s="966"/>
      <c r="BF37" s="966"/>
      <c r="BG37" s="966"/>
      <c r="BH37" s="966"/>
      <c r="BI37" s="966"/>
      <c r="BJ37" s="966"/>
      <c r="BK37" s="966"/>
      <c r="BL37" s="966"/>
      <c r="BM37" s="966"/>
      <c r="BN37" s="966"/>
      <c r="BO37" s="966"/>
      <c r="BP37" s="966"/>
      <c r="BQ37" s="966"/>
      <c r="BR37" s="966"/>
      <c r="BS37" s="966"/>
      <c r="BT37" s="966"/>
      <c r="BU37" s="966"/>
      <c r="BV37" s="966"/>
      <c r="BW37" s="966"/>
      <c r="BX37" s="966"/>
      <c r="BY37" s="966"/>
      <c r="BZ37" s="966"/>
      <c r="CA37" s="966"/>
      <c r="CB37" s="966"/>
      <c r="CC37" s="966"/>
      <c r="CD37" s="966"/>
      <c r="CE37" s="966"/>
      <c r="CF37" s="966"/>
      <c r="CG37" s="966"/>
      <c r="CH37" s="966"/>
      <c r="CI37" s="966"/>
      <c r="CJ37" s="966"/>
      <c r="CK37" s="966"/>
      <c r="CL37" s="966"/>
      <c r="CM37" s="966"/>
      <c r="CN37" s="966"/>
      <c r="CO37" s="966"/>
      <c r="CP37" s="966"/>
      <c r="CQ37" s="966"/>
      <c r="CR37" s="966"/>
      <c r="CS37" s="966"/>
      <c r="CT37" s="966"/>
      <c r="CU37" s="966"/>
      <c r="CV37" s="966"/>
      <c r="CW37" s="966"/>
      <c r="CX37" s="966"/>
      <c r="CY37" s="966"/>
      <c r="CZ37" s="966"/>
      <c r="DA37" s="966"/>
      <c r="DB37" s="966"/>
      <c r="DC37" s="966"/>
      <c r="DD37" s="966"/>
      <c r="DE37" s="966"/>
      <c r="DF37" s="966"/>
      <c r="DG37" s="966"/>
      <c r="DH37" s="966"/>
      <c r="DI37" s="966"/>
      <c r="DJ37" s="966"/>
      <c r="DK37" s="966"/>
      <c r="DL37" s="966"/>
      <c r="DM37" s="966"/>
      <c r="DN37" s="966"/>
      <c r="DO37" s="966"/>
      <c r="DP37" s="966"/>
      <c r="DQ37" s="966"/>
      <c r="DR37" s="966"/>
      <c r="DS37" s="966"/>
      <c r="DT37" s="966"/>
      <c r="DU37" s="966"/>
      <c r="DV37" s="966"/>
      <c r="DW37" s="966"/>
      <c r="DX37" s="966"/>
      <c r="DY37" s="966"/>
      <c r="DZ37" s="966"/>
      <c r="EA37" s="966"/>
      <c r="EB37" s="966"/>
      <c r="EC37" s="966"/>
      <c r="ED37" s="966"/>
      <c r="EE37" s="966"/>
      <c r="EF37" s="966"/>
      <c r="EG37" s="966"/>
      <c r="EH37" s="966"/>
      <c r="EI37" s="966"/>
      <c r="EJ37" s="966"/>
      <c r="EK37" s="966"/>
      <c r="EL37" s="966"/>
      <c r="EM37" s="966"/>
      <c r="EN37" s="966"/>
      <c r="EO37" s="966"/>
      <c r="EP37" s="966"/>
      <c r="EQ37" s="966"/>
      <c r="ER37" s="966"/>
      <c r="ES37" s="966"/>
      <c r="ET37" s="966"/>
      <c r="EU37" s="966"/>
      <c r="EV37" s="966"/>
      <c r="EW37" s="966"/>
      <c r="EX37" s="966"/>
      <c r="EY37" s="966"/>
      <c r="EZ37" s="966"/>
      <c r="FA37" s="966"/>
      <c r="FB37" s="966"/>
      <c r="FC37" s="966"/>
      <c r="FD37" s="966"/>
      <c r="FE37" s="966"/>
      <c r="FF37" s="966"/>
      <c r="FG37" s="966"/>
      <c r="FH37" s="966"/>
      <c r="FI37" s="966"/>
      <c r="FJ37" s="966"/>
      <c r="FK37" s="966"/>
      <c r="FL37" s="966"/>
      <c r="FM37" s="966"/>
      <c r="FN37" s="966"/>
      <c r="FO37" s="966"/>
      <c r="FP37" s="966"/>
      <c r="FQ37" s="966"/>
      <c r="FR37" s="966"/>
      <c r="FS37" s="966"/>
      <c r="FT37" s="966"/>
      <c r="FU37" s="966"/>
      <c r="FV37" s="966"/>
      <c r="FW37" s="966"/>
      <c r="FX37" s="966"/>
      <c r="FY37" s="966"/>
      <c r="FZ37" s="966"/>
      <c r="GA37" s="966"/>
      <c r="GB37" s="966"/>
      <c r="GC37" s="966"/>
      <c r="GD37" s="966"/>
      <c r="GE37" s="966"/>
      <c r="GF37" s="966"/>
      <c r="GG37" s="966"/>
      <c r="GH37" s="966"/>
      <c r="GI37" s="966"/>
      <c r="GJ37" s="966"/>
      <c r="GK37" s="966"/>
      <c r="GL37" s="966"/>
      <c r="GM37" s="966"/>
      <c r="GN37" s="966"/>
      <c r="GO37" s="966"/>
      <c r="GP37" s="966"/>
      <c r="GQ37" s="966"/>
      <c r="GR37" s="966"/>
      <c r="GS37" s="966"/>
      <c r="GT37" s="966"/>
      <c r="GU37" s="966"/>
      <c r="GV37" s="966"/>
      <c r="GW37" s="966"/>
      <c r="GX37" s="966"/>
      <c r="GY37" s="966"/>
      <c r="GZ37" s="966"/>
      <c r="HA37" s="966"/>
      <c r="HB37" s="966"/>
      <c r="HC37" s="966"/>
      <c r="HD37" s="966"/>
      <c r="HE37" s="966"/>
      <c r="HF37" s="966"/>
      <c r="HG37" s="966"/>
      <c r="HH37" s="966"/>
      <c r="HI37" s="966"/>
      <c r="HJ37" s="966"/>
      <c r="HK37" s="966"/>
      <c r="HL37" s="966"/>
      <c r="HM37" s="966"/>
      <c r="HN37" s="966"/>
      <c r="HO37" s="966"/>
      <c r="HP37" s="966"/>
      <c r="HQ37" s="966"/>
      <c r="HR37" s="966"/>
      <c r="HS37" s="966"/>
      <c r="HT37" s="966"/>
      <c r="HU37" s="966"/>
      <c r="HV37" s="966"/>
      <c r="HW37" s="966"/>
      <c r="HX37" s="966"/>
      <c r="HY37" s="966"/>
      <c r="HZ37" s="966"/>
      <c r="IA37" s="966"/>
      <c r="IB37" s="966"/>
      <c r="IC37" s="966"/>
      <c r="ID37" s="966"/>
      <c r="IE37" s="966"/>
      <c r="IF37" s="966"/>
      <c r="IG37" s="966"/>
      <c r="IH37" s="966"/>
      <c r="II37" s="966"/>
      <c r="IJ37" s="966"/>
      <c r="IK37" s="966"/>
      <c r="IL37" s="966"/>
      <c r="IM37" s="966"/>
      <c r="IN37" s="966"/>
      <c r="IO37" s="966"/>
      <c r="IP37" s="966"/>
      <c r="IQ37" s="966"/>
      <c r="IR37" s="966"/>
      <c r="IS37" s="966"/>
      <c r="IT37" s="966"/>
      <c r="IU37" s="966"/>
      <c r="IV37" s="966"/>
      <c r="IW37" s="966"/>
      <c r="IX37" s="966"/>
      <c r="IY37" s="966"/>
      <c r="IZ37" s="966"/>
      <c r="JA37" s="966"/>
      <c r="JB37" s="966"/>
      <c r="JC37" s="966"/>
      <c r="JD37" s="966"/>
      <c r="JE37" s="966"/>
      <c r="JF37" s="966"/>
      <c r="JG37" s="966"/>
      <c r="JH37" s="966"/>
      <c r="JI37" s="966"/>
      <c r="JJ37" s="966"/>
      <c r="JK37" s="966"/>
      <c r="JL37" s="966"/>
      <c r="JM37" s="966"/>
      <c r="JN37" s="966"/>
      <c r="JO37" s="966"/>
      <c r="JP37" s="966"/>
      <c r="JQ37" s="966"/>
      <c r="JR37" s="966"/>
      <c r="JS37" s="966"/>
      <c r="JT37" s="966"/>
      <c r="JU37" s="966"/>
      <c r="JV37" s="966"/>
      <c r="JW37" s="966"/>
      <c r="JX37" s="966"/>
      <c r="JY37" s="966"/>
      <c r="JZ37" s="966"/>
      <c r="KA37" s="966"/>
      <c r="KB37" s="966"/>
      <c r="KC37" s="966"/>
      <c r="KD37" s="966"/>
      <c r="KE37" s="966"/>
      <c r="KF37" s="966"/>
      <c r="KG37" s="966"/>
      <c r="KH37" s="966"/>
      <c r="KI37" s="966"/>
      <c r="KJ37" s="966"/>
      <c r="KK37" s="966"/>
      <c r="KL37" s="966"/>
      <c r="KM37" s="966"/>
      <c r="KN37" s="966"/>
      <c r="KO37" s="966"/>
      <c r="KP37" s="966"/>
      <c r="KQ37" s="966"/>
      <c r="KR37" s="966"/>
      <c r="KS37" s="966"/>
      <c r="KT37" s="966"/>
      <c r="KU37" s="966"/>
      <c r="KV37" s="966"/>
      <c r="KW37" s="966"/>
      <c r="KX37" s="966"/>
      <c r="KY37" s="966"/>
      <c r="KZ37" s="966"/>
      <c r="LA37" s="966"/>
      <c r="LB37" s="966"/>
      <c r="LC37" s="966"/>
      <c r="LD37" s="966"/>
      <c r="LE37" s="966"/>
      <c r="LF37" s="966"/>
      <c r="LG37" s="966"/>
      <c r="LH37" s="966"/>
      <c r="LI37" s="966"/>
      <c r="LJ37" s="966"/>
      <c r="LK37" s="966"/>
      <c r="LL37" s="966"/>
      <c r="LM37" s="966"/>
      <c r="LN37" s="966"/>
      <c r="LO37" s="966"/>
      <c r="LP37" s="966"/>
      <c r="LQ37" s="966"/>
      <c r="LR37" s="966"/>
      <c r="LS37" s="966"/>
      <c r="LT37" s="966"/>
      <c r="LU37" s="966"/>
      <c r="LV37" s="966"/>
      <c r="LW37" s="966"/>
      <c r="LX37" s="966"/>
      <c r="LY37" s="966"/>
      <c r="LZ37" s="966"/>
      <c r="MA37" s="966"/>
      <c r="MB37" s="966"/>
      <c r="MC37" s="966"/>
      <c r="MD37" s="966"/>
      <c r="ME37" s="966"/>
      <c r="MF37" s="966"/>
      <c r="MG37" s="966"/>
      <c r="MH37" s="966"/>
      <c r="MI37" s="966"/>
      <c r="MJ37" s="966"/>
      <c r="MK37" s="966"/>
      <c r="ML37" s="966"/>
      <c r="MM37" s="966"/>
      <c r="MN37" s="966"/>
      <c r="MO37" s="966"/>
      <c r="MP37" s="966"/>
      <c r="MQ37" s="966"/>
      <c r="MR37" s="966"/>
      <c r="MS37" s="966"/>
      <c r="MT37" s="966"/>
      <c r="MU37" s="966"/>
      <c r="MV37" s="966"/>
      <c r="MW37" s="966"/>
      <c r="MX37" s="966"/>
      <c r="MY37" s="966"/>
      <c r="MZ37" s="966"/>
      <c r="NA37" s="966"/>
      <c r="NB37" s="966"/>
      <c r="NC37" s="966"/>
      <c r="ND37" s="966"/>
      <c r="NE37" s="966"/>
      <c r="NF37" s="966"/>
      <c r="NG37" s="966"/>
      <c r="NH37" s="966"/>
      <c r="NI37" s="966"/>
      <c r="NJ37" s="966"/>
      <c r="NK37" s="966"/>
      <c r="NL37" s="966"/>
      <c r="NM37" s="966"/>
      <c r="NN37" s="966"/>
      <c r="NO37" s="966"/>
      <c r="NP37" s="966"/>
      <c r="NQ37" s="966"/>
      <c r="NR37" s="966"/>
      <c r="NS37" s="966"/>
      <c r="NT37" s="966"/>
      <c r="NU37" s="966"/>
      <c r="NV37" s="966"/>
      <c r="NW37" s="966"/>
      <c r="NX37" s="966"/>
      <c r="NY37" s="966"/>
      <c r="NZ37" s="966"/>
      <c r="OA37" s="966"/>
      <c r="OB37" s="966"/>
      <c r="OC37" s="966"/>
      <c r="OD37" s="966"/>
      <c r="OE37" s="966"/>
      <c r="OF37" s="966"/>
      <c r="OG37" s="966"/>
      <c r="OH37" s="966"/>
      <c r="OI37" s="966"/>
      <c r="OJ37" s="966"/>
      <c r="OK37" s="966"/>
      <c r="OL37" s="966"/>
      <c r="OM37" s="966"/>
      <c r="ON37" s="966"/>
      <c r="OO37" s="966"/>
      <c r="OP37" s="966"/>
      <c r="OQ37" s="966"/>
      <c r="OR37" s="966"/>
      <c r="OS37" s="966"/>
      <c r="OT37" s="966"/>
      <c r="OU37" s="966"/>
      <c r="OV37" s="966"/>
      <c r="OW37" s="966"/>
      <c r="OX37" s="966"/>
      <c r="OY37" s="966"/>
      <c r="OZ37" s="966"/>
      <c r="PA37" s="966"/>
      <c r="PB37" s="966"/>
      <c r="PC37" s="966"/>
      <c r="PD37" s="966"/>
      <c r="PE37" s="966"/>
      <c r="PF37" s="966"/>
      <c r="PG37" s="966"/>
      <c r="PH37" s="966"/>
      <c r="PI37" s="966"/>
      <c r="PJ37" s="966"/>
      <c r="PK37" s="966"/>
      <c r="PL37" s="966"/>
      <c r="PM37" s="966"/>
      <c r="PN37" s="966"/>
      <c r="PO37" s="966"/>
      <c r="PP37" s="966"/>
      <c r="PQ37" s="966"/>
      <c r="PR37" s="966"/>
      <c r="PS37" s="966"/>
      <c r="PT37" s="966"/>
      <c r="PU37" s="966"/>
      <c r="PV37" s="966"/>
      <c r="PW37" s="966"/>
      <c r="PX37" s="966"/>
      <c r="PY37" s="966"/>
      <c r="PZ37" s="966"/>
      <c r="QA37" s="966"/>
      <c r="QB37" s="966"/>
      <c r="QC37" s="966"/>
      <c r="QD37" s="966"/>
    </row>
    <row r="38" spans="1:446" s="116" customFormat="1" x14ac:dyDescent="0.25">
      <c r="A38" s="678">
        <v>1</v>
      </c>
      <c r="B38" s="668"/>
      <c r="C38" s="669"/>
      <c r="D38" s="669"/>
      <c r="E38" s="668"/>
      <c r="F38" s="669"/>
      <c r="G38" s="669"/>
      <c r="H38" s="669"/>
      <c r="I38" s="669"/>
      <c r="J38" s="669"/>
      <c r="K38" s="669"/>
      <c r="L38" s="669"/>
      <c r="M38" s="669"/>
      <c r="N38" s="669"/>
      <c r="O38" s="669"/>
      <c r="P38" s="669"/>
      <c r="Q38" s="669"/>
      <c r="R38" s="669"/>
      <c r="S38" s="669"/>
      <c r="T38" s="669"/>
      <c r="U38" s="669"/>
      <c r="V38" s="669"/>
      <c r="W38" s="669"/>
      <c r="X38" s="669"/>
      <c r="Y38" s="669"/>
      <c r="Z38" s="669"/>
      <c r="AA38" s="669"/>
      <c r="AB38" s="669"/>
      <c r="AC38" s="669"/>
      <c r="AD38" s="669"/>
      <c r="AE38" s="669"/>
      <c r="AF38" s="669"/>
      <c r="AG38" s="669"/>
      <c r="AH38" s="669"/>
      <c r="AI38" s="669"/>
      <c r="AJ38" s="669"/>
      <c r="AK38" s="669"/>
      <c r="AL38" s="669"/>
      <c r="AM38" s="669"/>
      <c r="AN38" s="669"/>
      <c r="AO38" s="669"/>
      <c r="AP38" s="669"/>
      <c r="AQ38" s="669"/>
      <c r="AR38" s="669"/>
      <c r="AS38" s="669"/>
      <c r="AT38" s="669"/>
      <c r="AU38" s="669"/>
      <c r="AV38" s="669"/>
      <c r="AW38" s="669"/>
      <c r="AX38" s="669"/>
      <c r="AY38" s="669"/>
      <c r="AZ38" s="669"/>
      <c r="BA38" s="669"/>
      <c r="BB38" s="669"/>
      <c r="BC38" s="669"/>
      <c r="BD38" s="669"/>
      <c r="BE38" s="669"/>
      <c r="BF38" s="669"/>
      <c r="BG38" s="669"/>
      <c r="BH38" s="669"/>
      <c r="BI38" s="669"/>
      <c r="BJ38" s="669"/>
      <c r="BK38" s="669"/>
      <c r="BL38" s="669"/>
      <c r="BM38" s="669"/>
      <c r="BN38" s="669"/>
      <c r="BO38" s="669"/>
      <c r="BP38" s="669"/>
      <c r="BQ38" s="669"/>
      <c r="BR38" s="669"/>
      <c r="BS38" s="669"/>
      <c r="BT38" s="669"/>
      <c r="BU38" s="669"/>
      <c r="BV38" s="669"/>
      <c r="BW38" s="669"/>
      <c r="BX38" s="669"/>
      <c r="BY38" s="669"/>
      <c r="BZ38" s="669"/>
      <c r="CA38" s="669"/>
      <c r="CB38" s="669"/>
      <c r="CC38" s="669"/>
      <c r="CD38" s="669"/>
      <c r="CE38" s="669"/>
      <c r="CF38" s="669"/>
      <c r="CG38" s="669"/>
      <c r="CH38" s="669"/>
      <c r="CI38" s="669"/>
      <c r="CJ38" s="669"/>
      <c r="CK38" s="669"/>
      <c r="CL38" s="669"/>
      <c r="CM38" s="669"/>
      <c r="CN38" s="669"/>
      <c r="CO38" s="669"/>
      <c r="CP38" s="669"/>
      <c r="CQ38" s="669"/>
      <c r="CR38" s="669"/>
      <c r="CS38" s="669"/>
      <c r="CT38" s="669"/>
      <c r="CU38" s="669"/>
      <c r="CV38" s="669"/>
      <c r="CW38" s="669"/>
      <c r="CX38" s="669"/>
      <c r="CY38" s="669"/>
      <c r="CZ38" s="669"/>
      <c r="DA38" s="669"/>
      <c r="DB38" s="669"/>
      <c r="DC38" s="669"/>
      <c r="DD38" s="669"/>
      <c r="DE38" s="669"/>
      <c r="DF38" s="669"/>
      <c r="DG38" s="669"/>
      <c r="DH38" s="669"/>
      <c r="DI38" s="669"/>
      <c r="DJ38" s="669"/>
      <c r="DK38" s="669"/>
      <c r="DL38" s="669"/>
      <c r="DM38" s="669"/>
      <c r="DN38" s="669"/>
      <c r="DO38" s="669"/>
      <c r="DP38" s="669"/>
      <c r="DQ38" s="669"/>
      <c r="DR38" s="669"/>
      <c r="DS38" s="669"/>
      <c r="DT38" s="669"/>
      <c r="DU38" s="669"/>
      <c r="DV38" s="669"/>
      <c r="DW38" s="669"/>
      <c r="DX38" s="669"/>
      <c r="DY38" s="669"/>
      <c r="DZ38" s="669"/>
      <c r="EA38" s="669"/>
      <c r="EB38" s="669"/>
      <c r="EC38" s="669"/>
      <c r="ED38" s="669"/>
      <c r="EE38" s="669"/>
      <c r="EF38" s="669"/>
      <c r="EG38" s="669"/>
      <c r="EH38" s="669"/>
      <c r="EI38" s="669"/>
      <c r="EJ38" s="669"/>
      <c r="EK38" s="669"/>
      <c r="EL38" s="669"/>
      <c r="EM38" s="669"/>
      <c r="EN38" s="669"/>
      <c r="EO38" s="669"/>
      <c r="EP38" s="669"/>
      <c r="EQ38" s="669"/>
      <c r="ER38" s="669"/>
      <c r="ES38" s="669"/>
      <c r="ET38" s="669"/>
      <c r="EU38" s="669"/>
      <c r="EV38" s="669"/>
      <c r="EW38" s="669"/>
      <c r="EX38" s="669"/>
      <c r="EY38" s="669"/>
      <c r="EZ38" s="669"/>
      <c r="FA38" s="669"/>
      <c r="FB38" s="669"/>
      <c r="FC38" s="669"/>
      <c r="FD38" s="669"/>
      <c r="FE38" s="669"/>
      <c r="FF38" s="669"/>
      <c r="FG38" s="669"/>
      <c r="FH38" s="669"/>
      <c r="FI38" s="669"/>
      <c r="FJ38" s="669"/>
      <c r="FK38" s="669"/>
      <c r="FL38" s="669"/>
      <c r="FM38" s="669"/>
      <c r="FN38" s="669"/>
      <c r="FO38" s="669"/>
      <c r="FP38" s="669"/>
      <c r="FQ38" s="669"/>
      <c r="FR38" s="669"/>
      <c r="FS38" s="669"/>
      <c r="FT38" s="669"/>
      <c r="FU38" s="669"/>
      <c r="FV38" s="669"/>
      <c r="FW38" s="669"/>
      <c r="FX38" s="669"/>
      <c r="FY38" s="669"/>
      <c r="FZ38" s="669"/>
      <c r="GA38" s="669"/>
      <c r="GB38" s="669"/>
      <c r="GC38" s="669"/>
      <c r="GD38" s="669"/>
      <c r="GE38" s="669"/>
      <c r="GF38" s="669"/>
      <c r="GG38" s="669"/>
      <c r="GH38" s="669"/>
      <c r="GI38" s="669"/>
      <c r="GJ38" s="669"/>
      <c r="GK38" s="669"/>
      <c r="GL38" s="669"/>
      <c r="GM38" s="669"/>
      <c r="GN38" s="669"/>
      <c r="GO38" s="669"/>
      <c r="GP38" s="669"/>
      <c r="GQ38" s="669"/>
      <c r="GR38" s="669"/>
      <c r="GS38" s="669"/>
      <c r="GT38" s="669"/>
      <c r="GU38" s="669"/>
      <c r="GV38" s="669"/>
      <c r="GW38" s="669"/>
      <c r="GX38" s="669"/>
      <c r="GY38" s="669"/>
      <c r="GZ38" s="669"/>
      <c r="HA38" s="669"/>
      <c r="HB38" s="669"/>
      <c r="HC38" s="669"/>
      <c r="HD38" s="669"/>
      <c r="HE38" s="669"/>
      <c r="HF38" s="669"/>
      <c r="HG38" s="669"/>
      <c r="HH38" s="669"/>
      <c r="HI38" s="669"/>
      <c r="HJ38" s="669"/>
      <c r="HK38" s="669"/>
      <c r="HL38" s="669"/>
      <c r="HM38" s="669"/>
      <c r="HN38" s="669"/>
      <c r="HO38" s="669"/>
      <c r="HP38" s="669"/>
      <c r="HQ38" s="669"/>
      <c r="HR38" s="669"/>
      <c r="HS38" s="669"/>
      <c r="HT38" s="669"/>
      <c r="HU38" s="669"/>
      <c r="HV38" s="669"/>
      <c r="HW38" s="669"/>
      <c r="HX38" s="669"/>
      <c r="HY38" s="669"/>
      <c r="HZ38" s="669"/>
      <c r="IA38" s="669"/>
      <c r="IB38" s="669"/>
      <c r="IC38" s="669"/>
      <c r="ID38" s="669"/>
      <c r="IE38" s="669"/>
      <c r="IF38" s="669"/>
      <c r="IG38" s="669"/>
      <c r="IH38" s="669"/>
      <c r="II38" s="669"/>
      <c r="IJ38" s="669"/>
      <c r="IK38" s="669"/>
      <c r="IL38" s="669"/>
      <c r="IM38" s="669"/>
      <c r="IN38" s="669"/>
      <c r="IO38" s="669"/>
      <c r="IP38" s="669"/>
      <c r="IQ38" s="669"/>
      <c r="IR38" s="669"/>
      <c r="IS38" s="669"/>
      <c r="IT38" s="669"/>
      <c r="IU38" s="669"/>
      <c r="IV38" s="669"/>
      <c r="IW38" s="669"/>
      <c r="IX38" s="669"/>
      <c r="IY38" s="669"/>
      <c r="IZ38" s="669"/>
      <c r="JA38" s="669"/>
      <c r="JB38" s="669"/>
      <c r="JC38" s="669"/>
      <c r="JD38" s="669"/>
      <c r="JE38" s="669"/>
      <c r="JF38" s="669"/>
      <c r="JG38" s="669"/>
      <c r="JH38" s="669"/>
      <c r="JI38" s="669"/>
      <c r="JJ38" s="669"/>
      <c r="JK38" s="669"/>
      <c r="JL38" s="669"/>
      <c r="JM38" s="669"/>
      <c r="JN38" s="669"/>
      <c r="JO38" s="669"/>
      <c r="JP38" s="669"/>
      <c r="JQ38" s="669"/>
      <c r="JR38" s="669"/>
      <c r="JS38" s="669"/>
      <c r="JT38" s="669"/>
      <c r="JU38" s="669"/>
      <c r="JV38" s="669"/>
      <c r="JW38" s="669"/>
      <c r="JX38" s="669"/>
      <c r="JY38" s="669"/>
      <c r="JZ38" s="669"/>
      <c r="KA38" s="669"/>
      <c r="KB38" s="669"/>
      <c r="KC38" s="669"/>
      <c r="KD38" s="669"/>
      <c r="KE38" s="669"/>
      <c r="KF38" s="669"/>
      <c r="KG38" s="669"/>
      <c r="KH38" s="669"/>
      <c r="KI38" s="669"/>
      <c r="KJ38" s="669"/>
      <c r="KK38" s="669"/>
      <c r="KL38" s="669"/>
      <c r="KM38" s="669"/>
      <c r="KN38" s="669"/>
      <c r="KO38" s="669"/>
      <c r="KP38" s="669"/>
      <c r="KQ38" s="669"/>
      <c r="KR38" s="669"/>
      <c r="KS38" s="669"/>
      <c r="KT38" s="669"/>
      <c r="KU38" s="669"/>
      <c r="KV38" s="669"/>
      <c r="KW38" s="669"/>
      <c r="KX38" s="669"/>
      <c r="KY38" s="669"/>
      <c r="KZ38" s="669"/>
      <c r="LA38" s="669"/>
      <c r="LB38" s="669"/>
      <c r="LC38" s="669"/>
      <c r="LD38" s="669"/>
      <c r="LE38" s="669"/>
      <c r="LF38" s="669"/>
      <c r="LG38" s="669"/>
      <c r="LH38" s="669"/>
      <c r="LI38" s="669"/>
      <c r="LJ38" s="669"/>
      <c r="LK38" s="669"/>
      <c r="LL38" s="669"/>
      <c r="LM38" s="669"/>
      <c r="LN38" s="669"/>
      <c r="LO38" s="669"/>
      <c r="LP38" s="669"/>
      <c r="LQ38" s="669"/>
      <c r="LR38" s="669"/>
      <c r="LS38" s="669"/>
      <c r="LT38" s="669"/>
      <c r="LU38" s="669"/>
      <c r="LV38" s="669"/>
      <c r="LW38" s="669"/>
      <c r="LX38" s="669"/>
      <c r="LY38" s="669"/>
      <c r="LZ38" s="669"/>
      <c r="MA38" s="669"/>
      <c r="MB38" s="669"/>
      <c r="MC38" s="669"/>
      <c r="MD38" s="669"/>
      <c r="ME38" s="669"/>
      <c r="MF38" s="669"/>
      <c r="MG38" s="669"/>
      <c r="MH38" s="669"/>
      <c r="MI38" s="669"/>
      <c r="MJ38" s="669"/>
      <c r="MK38" s="669"/>
      <c r="ML38" s="669"/>
      <c r="MM38" s="669"/>
      <c r="MN38" s="669"/>
      <c r="MO38" s="669"/>
      <c r="MP38" s="669"/>
      <c r="MQ38" s="669"/>
      <c r="MR38" s="669"/>
      <c r="MS38" s="669"/>
      <c r="MT38" s="669"/>
      <c r="MU38" s="669"/>
      <c r="MV38" s="669"/>
      <c r="MW38" s="669"/>
      <c r="MX38" s="669"/>
      <c r="MY38" s="669"/>
      <c r="MZ38" s="669"/>
      <c r="NA38" s="669"/>
      <c r="NB38" s="669"/>
      <c r="NC38" s="669"/>
      <c r="ND38" s="669"/>
      <c r="NE38" s="669"/>
      <c r="NF38" s="669"/>
      <c r="NG38" s="669"/>
      <c r="NH38" s="669"/>
      <c r="NI38" s="669"/>
      <c r="NJ38" s="669"/>
      <c r="NK38" s="669"/>
      <c r="NL38" s="669"/>
      <c r="NM38" s="669"/>
      <c r="NN38" s="669"/>
      <c r="NO38" s="669"/>
      <c r="NP38" s="669"/>
      <c r="NQ38" s="669"/>
      <c r="NR38" s="669"/>
      <c r="NS38" s="669"/>
      <c r="NT38" s="669"/>
      <c r="NU38" s="669"/>
      <c r="NV38" s="669"/>
      <c r="NW38" s="669"/>
      <c r="NX38" s="669"/>
      <c r="NY38" s="669"/>
      <c r="NZ38" s="669"/>
      <c r="OA38" s="669"/>
      <c r="OB38" s="669"/>
      <c r="OC38" s="669"/>
      <c r="OD38" s="669"/>
      <c r="OE38" s="669"/>
      <c r="OF38" s="669"/>
      <c r="OG38" s="669"/>
      <c r="OH38" s="669"/>
      <c r="OI38" s="669"/>
      <c r="OJ38" s="669"/>
      <c r="OK38" s="669"/>
      <c r="OL38" s="669"/>
      <c r="OM38" s="669"/>
      <c r="ON38" s="669"/>
      <c r="OO38" s="669"/>
      <c r="OP38" s="669"/>
      <c r="OQ38" s="669"/>
      <c r="OR38" s="669"/>
      <c r="OS38" s="669"/>
      <c r="OT38" s="669"/>
      <c r="OU38" s="669"/>
      <c r="OV38" s="669"/>
      <c r="OW38" s="669"/>
      <c r="OX38" s="669"/>
      <c r="OY38" s="669"/>
      <c r="OZ38" s="669"/>
      <c r="PA38" s="669"/>
      <c r="PB38" s="669"/>
      <c r="PC38" s="669"/>
      <c r="PD38" s="669"/>
      <c r="PE38" s="669"/>
      <c r="PF38" s="669"/>
      <c r="PG38" s="669"/>
      <c r="PH38" s="669"/>
      <c r="PI38" s="669"/>
      <c r="PJ38" s="669"/>
      <c r="PK38" s="669"/>
      <c r="PL38" s="669"/>
      <c r="PM38" s="669"/>
      <c r="PN38" s="669"/>
      <c r="PO38" s="669"/>
      <c r="PP38" s="669"/>
      <c r="PQ38" s="669"/>
      <c r="PR38" s="669"/>
      <c r="PS38" s="669"/>
      <c r="PT38" s="669"/>
      <c r="PU38" s="669"/>
      <c r="PV38" s="669"/>
      <c r="PW38" s="669"/>
      <c r="PX38" s="669"/>
      <c r="PY38" s="669"/>
      <c r="PZ38" s="669"/>
      <c r="QA38" s="669"/>
      <c r="QB38" s="669"/>
      <c r="QC38" s="669"/>
      <c r="QD38" s="669"/>
    </row>
    <row r="39" spans="1:446" s="116" customFormat="1" x14ac:dyDescent="0.25">
      <c r="A39" s="678">
        <v>1</v>
      </c>
      <c r="B39" s="668"/>
      <c r="C39" s="669"/>
      <c r="D39" s="669"/>
      <c r="E39" s="668"/>
      <c r="F39" s="669"/>
      <c r="G39" s="669"/>
      <c r="H39" s="669"/>
      <c r="I39" s="669"/>
      <c r="J39" s="669"/>
      <c r="K39" s="669"/>
      <c r="L39" s="669"/>
      <c r="M39" s="669"/>
      <c r="N39" s="669"/>
      <c r="O39" s="669"/>
      <c r="P39" s="669"/>
      <c r="Q39" s="669"/>
      <c r="R39" s="669"/>
      <c r="S39" s="669"/>
      <c r="T39" s="669"/>
      <c r="U39" s="669"/>
      <c r="V39" s="669"/>
      <c r="W39" s="669"/>
      <c r="X39" s="669"/>
      <c r="Y39" s="669"/>
      <c r="Z39" s="669"/>
      <c r="AA39" s="669"/>
      <c r="AB39" s="669"/>
      <c r="AC39" s="669"/>
      <c r="AD39" s="669"/>
      <c r="AE39" s="669"/>
      <c r="AF39" s="669"/>
      <c r="AG39" s="669"/>
      <c r="AH39" s="669"/>
      <c r="AI39" s="669"/>
      <c r="AJ39" s="669"/>
      <c r="AK39" s="669"/>
      <c r="AL39" s="669"/>
      <c r="AM39" s="669"/>
      <c r="AN39" s="669"/>
      <c r="AO39" s="669"/>
      <c r="AP39" s="669"/>
      <c r="AQ39" s="669"/>
      <c r="AR39" s="669"/>
      <c r="AS39" s="669"/>
      <c r="AT39" s="669"/>
      <c r="AU39" s="669"/>
      <c r="AV39" s="669"/>
      <c r="AW39" s="669"/>
      <c r="AX39" s="669"/>
      <c r="AY39" s="669"/>
      <c r="AZ39" s="669"/>
      <c r="BA39" s="669"/>
      <c r="BB39" s="669"/>
      <c r="BC39" s="669"/>
      <c r="BD39" s="669"/>
      <c r="BE39" s="669"/>
      <c r="BF39" s="669"/>
      <c r="BG39" s="669"/>
      <c r="BH39" s="669"/>
      <c r="BI39" s="669"/>
      <c r="BJ39" s="669"/>
      <c r="BK39" s="669"/>
      <c r="BL39" s="669"/>
      <c r="BM39" s="669"/>
      <c r="BN39" s="669"/>
      <c r="BO39" s="669"/>
      <c r="BP39" s="669"/>
      <c r="BQ39" s="669"/>
      <c r="BR39" s="669"/>
      <c r="BS39" s="669"/>
      <c r="BT39" s="669"/>
      <c r="BU39" s="669"/>
      <c r="BV39" s="669"/>
      <c r="BW39" s="669"/>
      <c r="BX39" s="669"/>
      <c r="BY39" s="669"/>
      <c r="BZ39" s="669"/>
      <c r="CA39" s="669"/>
      <c r="CB39" s="669"/>
      <c r="CC39" s="669"/>
      <c r="CD39" s="669"/>
      <c r="CE39" s="669"/>
      <c r="CF39" s="669"/>
      <c r="CG39" s="669"/>
      <c r="CH39" s="669"/>
      <c r="CI39" s="669"/>
      <c r="CJ39" s="669"/>
      <c r="CK39" s="669"/>
      <c r="CL39" s="669"/>
      <c r="CM39" s="669"/>
      <c r="CN39" s="669"/>
      <c r="CO39" s="669"/>
      <c r="CP39" s="669"/>
      <c r="CQ39" s="669"/>
      <c r="CR39" s="669"/>
      <c r="CS39" s="669"/>
      <c r="CT39" s="669"/>
      <c r="CU39" s="669"/>
      <c r="CV39" s="669"/>
      <c r="CW39" s="669"/>
      <c r="CX39" s="669"/>
      <c r="CY39" s="669"/>
      <c r="CZ39" s="669"/>
      <c r="DA39" s="669"/>
      <c r="DB39" s="669"/>
      <c r="DC39" s="669"/>
      <c r="DD39" s="669"/>
      <c r="DE39" s="669"/>
      <c r="DF39" s="669"/>
      <c r="DG39" s="669"/>
      <c r="DH39" s="669"/>
      <c r="DI39" s="669"/>
      <c r="DJ39" s="669"/>
      <c r="DK39" s="669"/>
      <c r="DL39" s="669"/>
      <c r="DM39" s="669"/>
      <c r="DN39" s="669"/>
      <c r="DO39" s="669"/>
      <c r="DP39" s="669"/>
      <c r="DQ39" s="669"/>
      <c r="DR39" s="669"/>
      <c r="DS39" s="669"/>
      <c r="DT39" s="669"/>
      <c r="DU39" s="669"/>
      <c r="DV39" s="669"/>
      <c r="DW39" s="669"/>
      <c r="DX39" s="669"/>
      <c r="DY39" s="669"/>
      <c r="DZ39" s="669"/>
      <c r="EA39" s="669"/>
      <c r="EB39" s="669"/>
      <c r="EC39" s="669"/>
      <c r="ED39" s="669"/>
      <c r="EE39" s="669"/>
      <c r="EF39" s="669"/>
      <c r="EG39" s="669"/>
      <c r="EH39" s="669"/>
      <c r="EI39" s="669"/>
      <c r="EJ39" s="669"/>
      <c r="EK39" s="669"/>
      <c r="EL39" s="669"/>
      <c r="EM39" s="669"/>
      <c r="EN39" s="669"/>
      <c r="EO39" s="669"/>
      <c r="EP39" s="669"/>
      <c r="EQ39" s="669"/>
      <c r="ER39" s="669"/>
      <c r="ES39" s="669"/>
      <c r="ET39" s="669"/>
      <c r="EU39" s="669"/>
      <c r="EV39" s="669"/>
      <c r="EW39" s="669"/>
      <c r="EX39" s="669"/>
      <c r="EY39" s="669"/>
      <c r="EZ39" s="669"/>
      <c r="FA39" s="669"/>
      <c r="FB39" s="669"/>
      <c r="FC39" s="669"/>
      <c r="FD39" s="669"/>
      <c r="FE39" s="669"/>
      <c r="FF39" s="669"/>
      <c r="FG39" s="669"/>
      <c r="FH39" s="669"/>
      <c r="FI39" s="669"/>
      <c r="FJ39" s="669"/>
      <c r="FK39" s="669"/>
      <c r="FL39" s="669"/>
      <c r="FM39" s="669"/>
      <c r="FN39" s="669"/>
      <c r="FO39" s="669"/>
      <c r="FP39" s="669"/>
      <c r="FQ39" s="669"/>
      <c r="FR39" s="669"/>
      <c r="FS39" s="669"/>
      <c r="FT39" s="669"/>
      <c r="FU39" s="669"/>
      <c r="FV39" s="669"/>
      <c r="FW39" s="669"/>
      <c r="FX39" s="669"/>
      <c r="FY39" s="669"/>
      <c r="FZ39" s="669"/>
      <c r="GA39" s="669"/>
      <c r="GB39" s="669"/>
      <c r="GC39" s="669"/>
      <c r="GD39" s="669"/>
      <c r="GE39" s="669"/>
      <c r="GF39" s="669"/>
      <c r="GG39" s="669"/>
      <c r="GH39" s="669"/>
      <c r="GI39" s="669"/>
      <c r="GJ39" s="669"/>
      <c r="GK39" s="669"/>
      <c r="GL39" s="669"/>
      <c r="GM39" s="669"/>
      <c r="GN39" s="669"/>
      <c r="GO39" s="669"/>
      <c r="GP39" s="669"/>
      <c r="GQ39" s="669"/>
      <c r="GR39" s="669"/>
      <c r="GS39" s="669"/>
      <c r="GT39" s="669"/>
      <c r="GU39" s="669"/>
      <c r="GV39" s="669"/>
      <c r="GW39" s="669"/>
      <c r="GX39" s="669"/>
      <c r="GY39" s="669"/>
      <c r="GZ39" s="669"/>
      <c r="HA39" s="669"/>
      <c r="HB39" s="669"/>
      <c r="HC39" s="669"/>
      <c r="HD39" s="669"/>
      <c r="HE39" s="669"/>
      <c r="HF39" s="669"/>
      <c r="HG39" s="669"/>
      <c r="HH39" s="669"/>
      <c r="HI39" s="669"/>
      <c r="HJ39" s="669"/>
      <c r="HK39" s="669"/>
      <c r="HL39" s="669"/>
      <c r="HM39" s="669"/>
      <c r="HN39" s="669"/>
      <c r="HO39" s="669"/>
      <c r="HP39" s="669"/>
      <c r="HQ39" s="669"/>
      <c r="HR39" s="669"/>
      <c r="HS39" s="669"/>
      <c r="HT39" s="669"/>
      <c r="HU39" s="669"/>
      <c r="HV39" s="669"/>
      <c r="HW39" s="669"/>
      <c r="HX39" s="669"/>
      <c r="HY39" s="669"/>
      <c r="HZ39" s="669"/>
      <c r="IA39" s="669"/>
      <c r="IB39" s="669"/>
      <c r="IC39" s="669"/>
      <c r="ID39" s="669"/>
      <c r="IE39" s="669"/>
      <c r="IF39" s="669"/>
      <c r="IG39" s="669"/>
      <c r="IH39" s="669"/>
      <c r="II39" s="669"/>
      <c r="IJ39" s="669"/>
      <c r="IK39" s="669"/>
      <c r="IL39" s="669"/>
      <c r="IM39" s="669"/>
      <c r="IN39" s="669"/>
      <c r="IO39" s="669"/>
      <c r="IP39" s="669"/>
      <c r="IQ39" s="669"/>
      <c r="IR39" s="669"/>
      <c r="IS39" s="669"/>
      <c r="IT39" s="669"/>
      <c r="IU39" s="669"/>
      <c r="IV39" s="669"/>
      <c r="IW39" s="669"/>
      <c r="IX39" s="669"/>
      <c r="IY39" s="669"/>
      <c r="IZ39" s="669"/>
      <c r="JA39" s="669"/>
      <c r="JB39" s="669"/>
      <c r="JC39" s="669"/>
      <c r="JD39" s="669"/>
      <c r="JE39" s="669"/>
      <c r="JF39" s="669"/>
      <c r="JG39" s="669"/>
      <c r="JH39" s="669"/>
      <c r="JI39" s="669"/>
      <c r="JJ39" s="669"/>
      <c r="JK39" s="669"/>
      <c r="JL39" s="669"/>
      <c r="JM39" s="669"/>
      <c r="JN39" s="669"/>
      <c r="JO39" s="669"/>
      <c r="JP39" s="669"/>
      <c r="JQ39" s="669"/>
      <c r="JR39" s="669"/>
      <c r="JS39" s="669"/>
      <c r="JT39" s="669"/>
      <c r="JU39" s="669"/>
      <c r="JV39" s="669"/>
      <c r="JW39" s="669"/>
      <c r="JX39" s="669"/>
      <c r="JY39" s="669"/>
      <c r="JZ39" s="669"/>
      <c r="KA39" s="669"/>
      <c r="KB39" s="669"/>
      <c r="KC39" s="669"/>
      <c r="KD39" s="669"/>
      <c r="KE39" s="669"/>
      <c r="KF39" s="669"/>
      <c r="KG39" s="669"/>
      <c r="KH39" s="669"/>
      <c r="KI39" s="669"/>
      <c r="KJ39" s="669"/>
      <c r="KK39" s="669"/>
      <c r="KL39" s="669"/>
      <c r="KM39" s="669"/>
      <c r="KN39" s="669"/>
      <c r="KO39" s="669"/>
      <c r="KP39" s="669"/>
      <c r="KQ39" s="669"/>
      <c r="KR39" s="669"/>
      <c r="KS39" s="669"/>
      <c r="KT39" s="669"/>
      <c r="KU39" s="669"/>
      <c r="KV39" s="669"/>
      <c r="KW39" s="669"/>
      <c r="KX39" s="669"/>
      <c r="KY39" s="669"/>
      <c r="KZ39" s="669"/>
      <c r="LA39" s="669"/>
      <c r="LB39" s="669"/>
      <c r="LC39" s="669"/>
      <c r="LD39" s="669"/>
      <c r="LE39" s="669"/>
      <c r="LF39" s="669"/>
      <c r="LG39" s="669"/>
      <c r="LH39" s="669"/>
      <c r="LI39" s="669"/>
      <c r="LJ39" s="669"/>
      <c r="LK39" s="669"/>
      <c r="LL39" s="669"/>
      <c r="LM39" s="669"/>
      <c r="LN39" s="669"/>
      <c r="LO39" s="669"/>
      <c r="LP39" s="669"/>
      <c r="LQ39" s="669"/>
      <c r="LR39" s="669"/>
      <c r="LS39" s="669"/>
      <c r="LT39" s="669"/>
      <c r="LU39" s="669"/>
      <c r="LV39" s="669"/>
      <c r="LW39" s="669"/>
      <c r="LX39" s="669"/>
      <c r="LY39" s="669"/>
      <c r="LZ39" s="669"/>
      <c r="MA39" s="669"/>
      <c r="MB39" s="669"/>
      <c r="MC39" s="669"/>
      <c r="MD39" s="669"/>
      <c r="ME39" s="669"/>
      <c r="MF39" s="669"/>
      <c r="MG39" s="669"/>
      <c r="MH39" s="669"/>
      <c r="MI39" s="669"/>
      <c r="MJ39" s="669"/>
      <c r="MK39" s="669"/>
      <c r="ML39" s="669"/>
      <c r="MM39" s="669"/>
      <c r="MN39" s="669"/>
      <c r="MO39" s="669"/>
      <c r="MP39" s="669"/>
      <c r="MQ39" s="669"/>
      <c r="MR39" s="669"/>
      <c r="MS39" s="669"/>
      <c r="MT39" s="669"/>
      <c r="MU39" s="669"/>
      <c r="MV39" s="669"/>
      <c r="MW39" s="669"/>
      <c r="MX39" s="669"/>
      <c r="MY39" s="669"/>
      <c r="MZ39" s="669"/>
      <c r="NA39" s="669"/>
      <c r="NB39" s="669"/>
      <c r="NC39" s="669"/>
      <c r="ND39" s="669"/>
      <c r="NE39" s="669"/>
      <c r="NF39" s="669"/>
      <c r="NG39" s="669"/>
      <c r="NH39" s="669"/>
      <c r="NI39" s="669"/>
      <c r="NJ39" s="669"/>
      <c r="NK39" s="669"/>
      <c r="NL39" s="669"/>
      <c r="NM39" s="669"/>
      <c r="NN39" s="669"/>
      <c r="NO39" s="669"/>
      <c r="NP39" s="669"/>
      <c r="NQ39" s="669"/>
      <c r="NR39" s="669"/>
      <c r="NS39" s="669"/>
      <c r="NT39" s="669"/>
      <c r="NU39" s="669"/>
      <c r="NV39" s="669"/>
      <c r="NW39" s="669"/>
      <c r="NX39" s="669"/>
      <c r="NY39" s="669"/>
      <c r="NZ39" s="669"/>
      <c r="OA39" s="669"/>
      <c r="OB39" s="669"/>
      <c r="OC39" s="669"/>
      <c r="OD39" s="669"/>
      <c r="OE39" s="669"/>
      <c r="OF39" s="669"/>
      <c r="OG39" s="669"/>
      <c r="OH39" s="669"/>
      <c r="OI39" s="669"/>
      <c r="OJ39" s="669"/>
      <c r="OK39" s="669"/>
      <c r="OL39" s="669"/>
      <c r="OM39" s="669"/>
      <c r="ON39" s="669"/>
      <c r="OO39" s="669"/>
      <c r="OP39" s="669"/>
      <c r="OQ39" s="669"/>
      <c r="OR39" s="669"/>
      <c r="OS39" s="669"/>
      <c r="OT39" s="669"/>
      <c r="OU39" s="669"/>
      <c r="OV39" s="669"/>
      <c r="OW39" s="669"/>
      <c r="OX39" s="669"/>
      <c r="OY39" s="669"/>
      <c r="OZ39" s="669"/>
      <c r="PA39" s="669"/>
      <c r="PB39" s="669"/>
      <c r="PC39" s="669"/>
      <c r="PD39" s="669"/>
      <c r="PE39" s="669"/>
      <c r="PF39" s="669"/>
      <c r="PG39" s="669"/>
      <c r="PH39" s="669"/>
      <c r="PI39" s="669"/>
      <c r="PJ39" s="669"/>
      <c r="PK39" s="669"/>
      <c r="PL39" s="669"/>
      <c r="PM39" s="669"/>
      <c r="PN39" s="669"/>
      <c r="PO39" s="669"/>
      <c r="PP39" s="669"/>
      <c r="PQ39" s="669"/>
      <c r="PR39" s="669"/>
      <c r="PS39" s="669"/>
      <c r="PT39" s="669"/>
      <c r="PU39" s="669"/>
      <c r="PV39" s="669"/>
      <c r="PW39" s="669"/>
      <c r="PX39" s="669"/>
      <c r="PY39" s="669"/>
      <c r="PZ39" s="669"/>
      <c r="QA39" s="669"/>
      <c r="QB39" s="669"/>
      <c r="QC39" s="669"/>
      <c r="QD39" s="669"/>
    </row>
    <row r="40" spans="1:446" s="116" customFormat="1" x14ac:dyDescent="0.25">
      <c r="A40" s="678">
        <v>1</v>
      </c>
      <c r="B40" s="668"/>
      <c r="C40" s="669"/>
      <c r="D40" s="669"/>
      <c r="E40" s="668"/>
      <c r="F40" s="669"/>
      <c r="G40" s="669"/>
      <c r="H40" s="669"/>
      <c r="I40" s="669"/>
      <c r="J40" s="669"/>
      <c r="K40" s="669"/>
      <c r="L40" s="669"/>
      <c r="M40" s="669"/>
      <c r="N40" s="669"/>
      <c r="O40" s="669"/>
      <c r="P40" s="669"/>
      <c r="Q40" s="669"/>
      <c r="R40" s="669"/>
      <c r="S40" s="669"/>
      <c r="T40" s="669"/>
      <c r="U40" s="669"/>
      <c r="V40" s="669"/>
      <c r="W40" s="669"/>
      <c r="X40" s="669"/>
      <c r="Y40" s="669"/>
      <c r="Z40" s="669"/>
      <c r="AA40" s="669"/>
      <c r="AB40" s="669"/>
      <c r="AC40" s="669"/>
      <c r="AD40" s="669"/>
      <c r="AE40" s="669"/>
      <c r="AF40" s="669"/>
      <c r="AG40" s="669"/>
      <c r="AH40" s="669"/>
      <c r="AI40" s="669"/>
      <c r="AJ40" s="669"/>
      <c r="AK40" s="669"/>
      <c r="AL40" s="669"/>
      <c r="AM40" s="669"/>
      <c r="AN40" s="669"/>
      <c r="AO40" s="669"/>
      <c r="AP40" s="669"/>
      <c r="AQ40" s="669"/>
      <c r="AR40" s="669"/>
      <c r="AS40" s="669"/>
      <c r="AT40" s="669"/>
      <c r="AU40" s="669"/>
      <c r="AV40" s="669"/>
      <c r="AW40" s="669"/>
      <c r="AX40" s="669"/>
      <c r="AY40" s="669"/>
      <c r="AZ40" s="669"/>
      <c r="BA40" s="669"/>
      <c r="BB40" s="669"/>
      <c r="BC40" s="669"/>
      <c r="BD40" s="669"/>
      <c r="BE40" s="669"/>
      <c r="BF40" s="669"/>
      <c r="BG40" s="669"/>
      <c r="BH40" s="669"/>
      <c r="BI40" s="669"/>
      <c r="BJ40" s="669"/>
      <c r="BK40" s="669"/>
      <c r="BL40" s="669"/>
      <c r="BM40" s="669"/>
      <c r="BN40" s="669"/>
      <c r="BO40" s="669"/>
      <c r="BP40" s="669"/>
      <c r="BQ40" s="669"/>
      <c r="BR40" s="669"/>
      <c r="BS40" s="669"/>
      <c r="BT40" s="669"/>
      <c r="BU40" s="669"/>
      <c r="BV40" s="669"/>
      <c r="BW40" s="669"/>
      <c r="BX40" s="669"/>
      <c r="BY40" s="669"/>
      <c r="BZ40" s="669"/>
      <c r="CA40" s="669"/>
      <c r="CB40" s="669"/>
      <c r="CC40" s="669"/>
      <c r="CD40" s="669"/>
      <c r="CE40" s="669"/>
      <c r="CF40" s="669"/>
      <c r="CG40" s="669"/>
      <c r="CH40" s="669"/>
      <c r="CI40" s="669"/>
      <c r="CJ40" s="669"/>
      <c r="CK40" s="669"/>
      <c r="CL40" s="669"/>
      <c r="CM40" s="669"/>
      <c r="CN40" s="669"/>
      <c r="CO40" s="669"/>
      <c r="CP40" s="669"/>
      <c r="CQ40" s="669"/>
      <c r="CR40" s="669"/>
      <c r="CS40" s="669"/>
      <c r="CT40" s="669"/>
      <c r="CU40" s="669"/>
      <c r="CV40" s="669"/>
      <c r="CW40" s="669"/>
      <c r="CX40" s="669"/>
      <c r="CY40" s="669"/>
      <c r="CZ40" s="669"/>
      <c r="DA40" s="669"/>
      <c r="DB40" s="669"/>
      <c r="DC40" s="669"/>
      <c r="DD40" s="669"/>
      <c r="DE40" s="669"/>
      <c r="DF40" s="669"/>
      <c r="DG40" s="669"/>
      <c r="DH40" s="669"/>
      <c r="DI40" s="669"/>
      <c r="DJ40" s="669"/>
      <c r="DK40" s="669"/>
      <c r="DL40" s="669"/>
      <c r="DM40" s="669"/>
      <c r="DN40" s="669"/>
      <c r="DO40" s="669"/>
      <c r="DP40" s="669"/>
      <c r="DQ40" s="669"/>
      <c r="DR40" s="669"/>
      <c r="DS40" s="669"/>
      <c r="DT40" s="669"/>
      <c r="DU40" s="669"/>
      <c r="DV40" s="669"/>
      <c r="DW40" s="669"/>
      <c r="DX40" s="669"/>
      <c r="DY40" s="669"/>
      <c r="DZ40" s="669"/>
      <c r="EA40" s="669"/>
      <c r="EB40" s="669"/>
      <c r="EC40" s="669"/>
      <c r="ED40" s="669"/>
      <c r="EE40" s="669"/>
      <c r="EF40" s="669"/>
      <c r="EG40" s="669"/>
      <c r="EH40" s="669"/>
      <c r="EI40" s="669"/>
      <c r="EJ40" s="669"/>
      <c r="EK40" s="669"/>
      <c r="EL40" s="669"/>
      <c r="EM40" s="669"/>
      <c r="EN40" s="669"/>
      <c r="EO40" s="669"/>
      <c r="EP40" s="669"/>
      <c r="EQ40" s="669"/>
      <c r="ER40" s="669"/>
      <c r="ES40" s="669"/>
      <c r="ET40" s="669"/>
      <c r="EU40" s="669"/>
      <c r="EV40" s="669"/>
      <c r="EW40" s="669"/>
      <c r="EX40" s="669"/>
      <c r="EY40" s="669"/>
      <c r="EZ40" s="669"/>
      <c r="FA40" s="669"/>
      <c r="FB40" s="669"/>
      <c r="FC40" s="669"/>
      <c r="FD40" s="669"/>
      <c r="FE40" s="669"/>
      <c r="FF40" s="669"/>
      <c r="FG40" s="669"/>
      <c r="FH40" s="669"/>
      <c r="FI40" s="669"/>
      <c r="FJ40" s="669"/>
      <c r="FK40" s="669"/>
      <c r="FL40" s="669"/>
      <c r="FM40" s="669"/>
      <c r="FN40" s="669"/>
      <c r="FO40" s="669"/>
      <c r="FP40" s="669"/>
      <c r="FQ40" s="669"/>
      <c r="FR40" s="669"/>
      <c r="FS40" s="669"/>
      <c r="FT40" s="669"/>
      <c r="FU40" s="669"/>
      <c r="FV40" s="669"/>
      <c r="FW40" s="669"/>
      <c r="FX40" s="669"/>
      <c r="FY40" s="669"/>
      <c r="FZ40" s="669"/>
      <c r="GA40" s="669"/>
      <c r="GB40" s="669"/>
      <c r="GC40" s="669"/>
      <c r="GD40" s="669"/>
      <c r="GE40" s="669"/>
      <c r="GF40" s="669"/>
      <c r="GG40" s="669"/>
      <c r="GH40" s="669"/>
      <c r="GI40" s="669"/>
      <c r="GJ40" s="669"/>
      <c r="GK40" s="669"/>
      <c r="GL40" s="669"/>
      <c r="GM40" s="669"/>
      <c r="GN40" s="669"/>
      <c r="GO40" s="669"/>
      <c r="GP40" s="669"/>
      <c r="GQ40" s="669"/>
      <c r="GR40" s="669"/>
      <c r="GS40" s="669"/>
      <c r="GT40" s="669"/>
      <c r="GU40" s="669"/>
      <c r="GV40" s="669"/>
      <c r="GW40" s="669"/>
      <c r="GX40" s="669"/>
      <c r="GY40" s="669"/>
      <c r="GZ40" s="669"/>
      <c r="HA40" s="669"/>
      <c r="HB40" s="669"/>
      <c r="HC40" s="669"/>
      <c r="HD40" s="669"/>
      <c r="HE40" s="669"/>
      <c r="HF40" s="669"/>
      <c r="HG40" s="669"/>
      <c r="HH40" s="669"/>
      <c r="HI40" s="669"/>
      <c r="HJ40" s="669"/>
      <c r="HK40" s="669"/>
      <c r="HL40" s="669"/>
      <c r="HM40" s="669"/>
      <c r="HN40" s="669"/>
      <c r="HO40" s="669"/>
      <c r="HP40" s="669"/>
      <c r="HQ40" s="669"/>
      <c r="HR40" s="669"/>
      <c r="HS40" s="669"/>
      <c r="HT40" s="669"/>
      <c r="HU40" s="669"/>
      <c r="HV40" s="669"/>
      <c r="HW40" s="669"/>
      <c r="HX40" s="669"/>
      <c r="HY40" s="669"/>
      <c r="HZ40" s="669"/>
      <c r="IA40" s="669"/>
      <c r="IB40" s="669"/>
      <c r="IC40" s="669"/>
      <c r="ID40" s="669"/>
      <c r="IE40" s="669"/>
      <c r="IF40" s="669"/>
      <c r="IG40" s="669"/>
      <c r="IH40" s="669"/>
      <c r="II40" s="669"/>
      <c r="IJ40" s="669"/>
      <c r="IK40" s="669"/>
      <c r="IL40" s="669"/>
      <c r="IM40" s="669"/>
      <c r="IN40" s="669"/>
      <c r="IO40" s="669"/>
      <c r="IP40" s="669"/>
      <c r="IQ40" s="669"/>
      <c r="IR40" s="669"/>
      <c r="IS40" s="669"/>
      <c r="IT40" s="669"/>
      <c r="IU40" s="669"/>
      <c r="IV40" s="669"/>
      <c r="IW40" s="669"/>
      <c r="IX40" s="669"/>
      <c r="IY40" s="669"/>
      <c r="IZ40" s="669"/>
      <c r="JA40" s="669"/>
      <c r="JB40" s="669"/>
      <c r="JC40" s="669"/>
      <c r="JD40" s="669"/>
      <c r="JE40" s="669"/>
      <c r="JF40" s="669"/>
      <c r="JG40" s="669"/>
      <c r="JH40" s="669"/>
      <c r="JI40" s="669"/>
      <c r="JJ40" s="669"/>
      <c r="JK40" s="669"/>
      <c r="JL40" s="669"/>
      <c r="JM40" s="669"/>
      <c r="JN40" s="669"/>
      <c r="JO40" s="669"/>
      <c r="JP40" s="669"/>
      <c r="JQ40" s="669"/>
      <c r="JR40" s="669"/>
      <c r="JS40" s="669"/>
      <c r="JT40" s="669"/>
      <c r="JU40" s="669"/>
      <c r="JV40" s="669"/>
      <c r="JW40" s="669"/>
      <c r="JX40" s="669"/>
      <c r="JY40" s="669"/>
      <c r="JZ40" s="669"/>
      <c r="KA40" s="669"/>
      <c r="KB40" s="669"/>
      <c r="KC40" s="669"/>
      <c r="KD40" s="669"/>
      <c r="KE40" s="669"/>
      <c r="KF40" s="669"/>
      <c r="KG40" s="669"/>
      <c r="KH40" s="669"/>
      <c r="KI40" s="669"/>
      <c r="KJ40" s="669"/>
      <c r="KK40" s="669"/>
      <c r="KL40" s="669"/>
      <c r="KM40" s="669"/>
      <c r="KN40" s="669"/>
      <c r="KO40" s="669"/>
      <c r="KP40" s="669"/>
      <c r="KQ40" s="669"/>
      <c r="KR40" s="669"/>
      <c r="KS40" s="669"/>
      <c r="KT40" s="669"/>
      <c r="KU40" s="669"/>
      <c r="KV40" s="669"/>
      <c r="KW40" s="669"/>
      <c r="KX40" s="669"/>
      <c r="KY40" s="669"/>
      <c r="KZ40" s="669"/>
      <c r="LA40" s="669"/>
      <c r="LB40" s="669"/>
      <c r="LC40" s="669"/>
      <c r="LD40" s="669"/>
      <c r="LE40" s="669"/>
      <c r="LF40" s="669"/>
      <c r="LG40" s="669"/>
      <c r="LH40" s="669"/>
      <c r="LI40" s="669"/>
      <c r="LJ40" s="669"/>
      <c r="LK40" s="669"/>
      <c r="LL40" s="669"/>
      <c r="LM40" s="669"/>
      <c r="LN40" s="669"/>
      <c r="LO40" s="669"/>
      <c r="LP40" s="669"/>
      <c r="LQ40" s="669"/>
      <c r="LR40" s="669"/>
      <c r="LS40" s="669"/>
      <c r="LT40" s="669"/>
      <c r="LU40" s="669"/>
      <c r="LV40" s="669"/>
      <c r="LW40" s="669"/>
      <c r="LX40" s="669"/>
      <c r="LY40" s="669"/>
      <c r="LZ40" s="669"/>
      <c r="MA40" s="669"/>
      <c r="MB40" s="669"/>
      <c r="MC40" s="669"/>
      <c r="MD40" s="669"/>
      <c r="ME40" s="669"/>
      <c r="MF40" s="669"/>
      <c r="MG40" s="669"/>
      <c r="MH40" s="669"/>
      <c r="MI40" s="669"/>
      <c r="MJ40" s="669"/>
      <c r="MK40" s="669"/>
      <c r="ML40" s="669"/>
      <c r="MM40" s="669"/>
      <c r="MN40" s="669"/>
      <c r="MO40" s="669"/>
      <c r="MP40" s="669"/>
      <c r="MQ40" s="669"/>
      <c r="MR40" s="669"/>
      <c r="MS40" s="669"/>
      <c r="MT40" s="669"/>
      <c r="MU40" s="669"/>
      <c r="MV40" s="669"/>
      <c r="MW40" s="669"/>
      <c r="MX40" s="669"/>
      <c r="MY40" s="669"/>
      <c r="MZ40" s="669"/>
      <c r="NA40" s="669"/>
      <c r="NB40" s="669"/>
      <c r="NC40" s="669"/>
      <c r="ND40" s="669"/>
      <c r="NE40" s="669"/>
      <c r="NF40" s="669"/>
      <c r="NG40" s="669"/>
      <c r="NH40" s="669"/>
      <c r="NI40" s="669"/>
      <c r="NJ40" s="669"/>
      <c r="NK40" s="669"/>
      <c r="NL40" s="669"/>
      <c r="NM40" s="669"/>
      <c r="NN40" s="669"/>
      <c r="NO40" s="669"/>
      <c r="NP40" s="669"/>
      <c r="NQ40" s="669"/>
      <c r="NR40" s="669"/>
      <c r="NS40" s="669"/>
      <c r="NT40" s="669"/>
      <c r="NU40" s="669"/>
      <c r="NV40" s="669"/>
      <c r="NW40" s="669"/>
      <c r="NX40" s="669"/>
      <c r="NY40" s="669"/>
      <c r="NZ40" s="669"/>
      <c r="OA40" s="669"/>
      <c r="OB40" s="669"/>
      <c r="OC40" s="669"/>
      <c r="OD40" s="669"/>
      <c r="OE40" s="669"/>
      <c r="OF40" s="669"/>
      <c r="OG40" s="669"/>
      <c r="OH40" s="669"/>
      <c r="OI40" s="669"/>
      <c r="OJ40" s="669"/>
      <c r="OK40" s="669"/>
      <c r="OL40" s="669"/>
      <c r="OM40" s="669"/>
      <c r="ON40" s="669"/>
      <c r="OO40" s="669"/>
      <c r="OP40" s="669"/>
      <c r="OQ40" s="669"/>
      <c r="OR40" s="669"/>
      <c r="OS40" s="669"/>
      <c r="OT40" s="669"/>
      <c r="OU40" s="669"/>
      <c r="OV40" s="669"/>
      <c r="OW40" s="669"/>
      <c r="OX40" s="669"/>
      <c r="OY40" s="669"/>
      <c r="OZ40" s="669"/>
      <c r="PA40" s="669"/>
      <c r="PB40" s="669"/>
      <c r="PC40" s="669"/>
      <c r="PD40" s="669"/>
      <c r="PE40" s="669"/>
      <c r="PF40" s="669"/>
      <c r="PG40" s="669"/>
      <c r="PH40" s="669"/>
      <c r="PI40" s="669"/>
      <c r="PJ40" s="669"/>
      <c r="PK40" s="669"/>
      <c r="PL40" s="669"/>
      <c r="PM40" s="669"/>
      <c r="PN40" s="669"/>
      <c r="PO40" s="669"/>
      <c r="PP40" s="669"/>
      <c r="PQ40" s="669"/>
      <c r="PR40" s="669"/>
      <c r="PS40" s="669"/>
      <c r="PT40" s="669"/>
      <c r="PU40" s="669"/>
      <c r="PV40" s="669"/>
      <c r="PW40" s="669"/>
      <c r="PX40" s="669"/>
      <c r="PY40" s="669"/>
      <c r="PZ40" s="669"/>
      <c r="QA40" s="669"/>
      <c r="QB40" s="669"/>
      <c r="QC40" s="669"/>
      <c r="QD40" s="669"/>
    </row>
    <row r="41" spans="1:446" s="116" customFormat="1" x14ac:dyDescent="0.25">
      <c r="A41" s="678">
        <v>1</v>
      </c>
      <c r="B41" s="668"/>
      <c r="C41" s="669"/>
      <c r="D41" s="669"/>
      <c r="E41" s="668"/>
      <c r="F41" s="669"/>
      <c r="G41" s="669"/>
      <c r="H41" s="669"/>
      <c r="I41" s="669"/>
      <c r="J41" s="669"/>
      <c r="K41" s="669"/>
      <c r="L41" s="669"/>
      <c r="M41" s="669"/>
      <c r="N41" s="669"/>
      <c r="O41" s="669"/>
      <c r="P41" s="669"/>
      <c r="Q41" s="669"/>
      <c r="R41" s="669"/>
      <c r="S41" s="669"/>
      <c r="T41" s="669"/>
      <c r="U41" s="669"/>
      <c r="V41" s="669"/>
      <c r="W41" s="669"/>
      <c r="X41" s="669"/>
      <c r="Y41" s="669"/>
      <c r="Z41" s="669"/>
      <c r="AA41" s="669"/>
      <c r="AB41" s="669"/>
      <c r="AC41" s="669"/>
      <c r="AD41" s="669"/>
      <c r="AE41" s="669"/>
      <c r="AF41" s="669"/>
      <c r="AG41" s="669"/>
      <c r="AH41" s="669"/>
      <c r="AI41" s="669"/>
      <c r="AJ41" s="669"/>
      <c r="AK41" s="669"/>
      <c r="AL41" s="669"/>
      <c r="AM41" s="669"/>
      <c r="AN41" s="669"/>
      <c r="AO41" s="669"/>
      <c r="AP41" s="669"/>
      <c r="AQ41" s="669"/>
      <c r="AR41" s="669"/>
      <c r="AS41" s="669"/>
      <c r="AT41" s="669"/>
      <c r="AU41" s="669"/>
      <c r="AV41" s="669"/>
      <c r="AW41" s="669"/>
      <c r="AX41" s="669"/>
      <c r="AY41" s="669"/>
      <c r="AZ41" s="669"/>
      <c r="BA41" s="669"/>
      <c r="BB41" s="669"/>
      <c r="BC41" s="669"/>
      <c r="BD41" s="669"/>
      <c r="BE41" s="669"/>
      <c r="BF41" s="669"/>
      <c r="BG41" s="669"/>
      <c r="BH41" s="669"/>
      <c r="BI41" s="669"/>
      <c r="BJ41" s="669"/>
      <c r="BK41" s="669"/>
      <c r="BL41" s="669"/>
      <c r="BM41" s="669"/>
      <c r="BN41" s="669"/>
      <c r="BO41" s="669"/>
      <c r="BP41" s="669"/>
      <c r="BQ41" s="669"/>
      <c r="BR41" s="669"/>
      <c r="BS41" s="669"/>
      <c r="BT41" s="669"/>
      <c r="BU41" s="669"/>
      <c r="BV41" s="669"/>
      <c r="BW41" s="669"/>
      <c r="BX41" s="669"/>
      <c r="BY41" s="669"/>
      <c r="BZ41" s="669"/>
      <c r="CA41" s="669"/>
      <c r="CB41" s="669"/>
      <c r="CC41" s="669"/>
      <c r="CD41" s="669"/>
      <c r="CE41" s="669"/>
      <c r="CF41" s="669"/>
      <c r="CG41" s="669"/>
      <c r="CH41" s="669"/>
      <c r="CI41" s="669"/>
      <c r="CJ41" s="669"/>
      <c r="CK41" s="669"/>
      <c r="CL41" s="669"/>
      <c r="CM41" s="669"/>
      <c r="CN41" s="669"/>
      <c r="CO41" s="669"/>
      <c r="CP41" s="669"/>
      <c r="CQ41" s="669"/>
      <c r="CR41" s="669"/>
      <c r="CS41" s="669"/>
      <c r="CT41" s="669"/>
      <c r="CU41" s="669"/>
      <c r="CV41" s="669"/>
      <c r="CW41" s="669"/>
      <c r="CX41" s="669"/>
      <c r="CY41" s="669"/>
      <c r="CZ41" s="669"/>
      <c r="DA41" s="669"/>
      <c r="DB41" s="669"/>
      <c r="DC41" s="669"/>
      <c r="DD41" s="669"/>
      <c r="DE41" s="669"/>
      <c r="DF41" s="669"/>
      <c r="DG41" s="669"/>
      <c r="DH41" s="669"/>
      <c r="DI41" s="669"/>
      <c r="DJ41" s="669"/>
      <c r="DK41" s="669"/>
      <c r="DL41" s="669"/>
      <c r="DM41" s="669"/>
      <c r="DN41" s="669"/>
      <c r="DO41" s="669"/>
      <c r="DP41" s="669"/>
      <c r="DQ41" s="669"/>
      <c r="DR41" s="669"/>
      <c r="DS41" s="669"/>
      <c r="DT41" s="669"/>
      <c r="DU41" s="669"/>
      <c r="DV41" s="669"/>
      <c r="DW41" s="669"/>
      <c r="DX41" s="669"/>
      <c r="DY41" s="669"/>
      <c r="DZ41" s="669"/>
      <c r="EA41" s="669"/>
      <c r="EB41" s="669"/>
      <c r="EC41" s="669"/>
      <c r="ED41" s="669"/>
      <c r="EE41" s="669"/>
      <c r="EF41" s="669"/>
      <c r="EG41" s="669"/>
      <c r="EH41" s="669"/>
      <c r="EI41" s="669"/>
      <c r="EJ41" s="669"/>
      <c r="EK41" s="669"/>
      <c r="EL41" s="669"/>
      <c r="EM41" s="669"/>
      <c r="EN41" s="669"/>
      <c r="EO41" s="669"/>
      <c r="EP41" s="669"/>
      <c r="EQ41" s="669"/>
      <c r="ER41" s="669"/>
      <c r="ES41" s="669"/>
      <c r="ET41" s="669"/>
      <c r="EU41" s="669"/>
      <c r="EV41" s="669"/>
      <c r="EW41" s="669"/>
      <c r="EX41" s="669"/>
      <c r="EY41" s="669"/>
      <c r="EZ41" s="669"/>
      <c r="FA41" s="669"/>
      <c r="FB41" s="669"/>
      <c r="FC41" s="669"/>
      <c r="FD41" s="669"/>
      <c r="FE41" s="669"/>
      <c r="FF41" s="669"/>
      <c r="FG41" s="669"/>
      <c r="FH41" s="669"/>
      <c r="FI41" s="669"/>
      <c r="FJ41" s="669"/>
      <c r="FK41" s="669"/>
      <c r="FL41" s="669"/>
      <c r="FM41" s="669"/>
      <c r="FN41" s="669"/>
      <c r="FO41" s="669"/>
      <c r="FP41" s="669"/>
      <c r="FQ41" s="669"/>
      <c r="FR41" s="669"/>
      <c r="FS41" s="669"/>
      <c r="FT41" s="669"/>
      <c r="FU41" s="669"/>
      <c r="FV41" s="669"/>
      <c r="FW41" s="669"/>
      <c r="FX41" s="669"/>
      <c r="FY41" s="669"/>
      <c r="FZ41" s="669"/>
      <c r="GA41" s="669"/>
      <c r="GB41" s="669"/>
      <c r="GC41" s="669"/>
      <c r="GD41" s="669"/>
      <c r="GE41" s="669"/>
      <c r="GF41" s="669"/>
      <c r="GG41" s="669"/>
      <c r="GH41" s="669"/>
      <c r="GI41" s="669"/>
      <c r="GJ41" s="669"/>
      <c r="GK41" s="669"/>
      <c r="GL41" s="669"/>
      <c r="GM41" s="669"/>
      <c r="GN41" s="669"/>
      <c r="GO41" s="669"/>
      <c r="GP41" s="669"/>
      <c r="GQ41" s="669"/>
      <c r="GR41" s="669"/>
      <c r="GS41" s="669"/>
      <c r="GT41" s="669"/>
      <c r="GU41" s="669"/>
      <c r="GV41" s="669"/>
      <c r="GW41" s="669"/>
      <c r="GX41" s="669"/>
      <c r="GY41" s="669"/>
      <c r="GZ41" s="669"/>
      <c r="HA41" s="669"/>
      <c r="HB41" s="669"/>
      <c r="HC41" s="669"/>
      <c r="HD41" s="669"/>
      <c r="HE41" s="669"/>
      <c r="HF41" s="669"/>
      <c r="HG41" s="669"/>
      <c r="HH41" s="669"/>
      <c r="HI41" s="669"/>
      <c r="HJ41" s="669"/>
      <c r="HK41" s="669"/>
      <c r="HL41" s="669"/>
      <c r="HM41" s="669"/>
      <c r="HN41" s="669"/>
      <c r="HO41" s="669"/>
      <c r="HP41" s="669"/>
      <c r="HQ41" s="669"/>
      <c r="HR41" s="669"/>
      <c r="HS41" s="669"/>
      <c r="HT41" s="669"/>
      <c r="HU41" s="669"/>
      <c r="HV41" s="669"/>
      <c r="HW41" s="669"/>
      <c r="HX41" s="669"/>
      <c r="HY41" s="669"/>
      <c r="HZ41" s="669"/>
      <c r="IA41" s="669"/>
      <c r="IB41" s="669"/>
      <c r="IC41" s="669"/>
      <c r="ID41" s="669"/>
      <c r="IE41" s="669"/>
      <c r="IF41" s="669"/>
      <c r="IG41" s="669"/>
      <c r="IH41" s="669"/>
      <c r="II41" s="669"/>
      <c r="IJ41" s="669"/>
      <c r="IK41" s="669"/>
      <c r="IL41" s="669"/>
      <c r="IM41" s="669"/>
      <c r="IN41" s="669"/>
      <c r="IO41" s="669"/>
      <c r="IP41" s="669"/>
      <c r="IQ41" s="669"/>
      <c r="IR41" s="669"/>
      <c r="IS41" s="669"/>
      <c r="IT41" s="669"/>
      <c r="IU41" s="669"/>
      <c r="IV41" s="669"/>
      <c r="IW41" s="669"/>
      <c r="IX41" s="669"/>
      <c r="IY41" s="669"/>
      <c r="IZ41" s="669"/>
      <c r="JA41" s="669"/>
      <c r="JB41" s="669"/>
      <c r="JC41" s="669"/>
      <c r="JD41" s="669"/>
      <c r="JE41" s="669"/>
      <c r="JF41" s="669"/>
      <c r="JG41" s="669"/>
      <c r="JH41" s="669"/>
      <c r="JI41" s="669"/>
      <c r="JJ41" s="669"/>
      <c r="JK41" s="669"/>
      <c r="JL41" s="669"/>
      <c r="JM41" s="669"/>
      <c r="JN41" s="669"/>
      <c r="JO41" s="669"/>
      <c r="JP41" s="669"/>
      <c r="JQ41" s="669"/>
      <c r="JR41" s="669"/>
      <c r="JS41" s="669"/>
      <c r="JT41" s="669"/>
      <c r="JU41" s="669"/>
      <c r="JV41" s="669"/>
      <c r="JW41" s="669"/>
      <c r="JX41" s="669"/>
      <c r="JY41" s="669"/>
      <c r="JZ41" s="669"/>
      <c r="KA41" s="669"/>
      <c r="KB41" s="669"/>
      <c r="KC41" s="669"/>
      <c r="KD41" s="669"/>
      <c r="KE41" s="669"/>
      <c r="KF41" s="669"/>
      <c r="KG41" s="669"/>
      <c r="KH41" s="669"/>
      <c r="KI41" s="669"/>
      <c r="KJ41" s="669"/>
      <c r="KK41" s="669"/>
      <c r="KL41" s="669"/>
      <c r="KM41" s="669"/>
      <c r="KN41" s="669"/>
      <c r="KO41" s="669"/>
      <c r="KP41" s="669"/>
      <c r="KQ41" s="669"/>
      <c r="KR41" s="669"/>
      <c r="KS41" s="669"/>
      <c r="KT41" s="669"/>
      <c r="KU41" s="669"/>
      <c r="KV41" s="669"/>
      <c r="KW41" s="669"/>
      <c r="KX41" s="669"/>
      <c r="KY41" s="669"/>
      <c r="KZ41" s="669"/>
      <c r="LA41" s="669"/>
      <c r="LB41" s="669"/>
      <c r="LC41" s="669"/>
      <c r="LD41" s="669"/>
      <c r="LE41" s="669"/>
      <c r="LF41" s="669"/>
      <c r="LG41" s="669"/>
      <c r="LH41" s="669"/>
      <c r="LI41" s="669"/>
      <c r="LJ41" s="669"/>
      <c r="LK41" s="669"/>
      <c r="LL41" s="669"/>
      <c r="LM41" s="669"/>
      <c r="LN41" s="669"/>
      <c r="LO41" s="669"/>
      <c r="LP41" s="669"/>
      <c r="LQ41" s="669"/>
      <c r="LR41" s="669"/>
      <c r="LS41" s="669"/>
      <c r="LT41" s="669"/>
      <c r="LU41" s="669"/>
      <c r="LV41" s="669"/>
      <c r="LW41" s="669"/>
      <c r="LX41" s="669"/>
      <c r="LY41" s="669"/>
      <c r="LZ41" s="669"/>
      <c r="MA41" s="669"/>
      <c r="MB41" s="669"/>
      <c r="MC41" s="669"/>
      <c r="MD41" s="669"/>
      <c r="ME41" s="669"/>
      <c r="MF41" s="669"/>
      <c r="MG41" s="669"/>
      <c r="MH41" s="669"/>
      <c r="MI41" s="669"/>
      <c r="MJ41" s="669"/>
      <c r="MK41" s="669"/>
      <c r="ML41" s="669"/>
      <c r="MM41" s="669"/>
      <c r="MN41" s="669"/>
      <c r="MO41" s="669"/>
      <c r="MP41" s="669"/>
      <c r="MQ41" s="669"/>
      <c r="MR41" s="669"/>
      <c r="MS41" s="669"/>
      <c r="MT41" s="669"/>
      <c r="MU41" s="669"/>
      <c r="MV41" s="669"/>
      <c r="MW41" s="669"/>
      <c r="MX41" s="669"/>
      <c r="MY41" s="669"/>
      <c r="MZ41" s="669"/>
      <c r="NA41" s="669"/>
      <c r="NB41" s="669"/>
      <c r="NC41" s="669"/>
      <c r="ND41" s="669"/>
      <c r="NE41" s="669"/>
      <c r="NF41" s="669"/>
      <c r="NG41" s="669"/>
      <c r="NH41" s="669"/>
      <c r="NI41" s="669"/>
      <c r="NJ41" s="669"/>
      <c r="NK41" s="669"/>
      <c r="NL41" s="669"/>
      <c r="NM41" s="669"/>
      <c r="NN41" s="669"/>
      <c r="NO41" s="669"/>
      <c r="NP41" s="669"/>
      <c r="NQ41" s="669"/>
      <c r="NR41" s="669"/>
      <c r="NS41" s="669"/>
      <c r="NT41" s="669"/>
      <c r="NU41" s="669"/>
      <c r="NV41" s="669"/>
      <c r="NW41" s="669"/>
      <c r="NX41" s="669"/>
      <c r="NY41" s="669"/>
      <c r="NZ41" s="669"/>
      <c r="OA41" s="669"/>
      <c r="OB41" s="669"/>
      <c r="OC41" s="669"/>
      <c r="OD41" s="669"/>
      <c r="OE41" s="669"/>
      <c r="OF41" s="669"/>
      <c r="OG41" s="669"/>
      <c r="OH41" s="669"/>
      <c r="OI41" s="669"/>
      <c r="OJ41" s="669"/>
      <c r="OK41" s="669"/>
      <c r="OL41" s="669"/>
      <c r="OM41" s="669"/>
      <c r="ON41" s="669"/>
      <c r="OO41" s="669"/>
      <c r="OP41" s="669"/>
      <c r="OQ41" s="669"/>
      <c r="OR41" s="669"/>
      <c r="OS41" s="669"/>
      <c r="OT41" s="669"/>
      <c r="OU41" s="669"/>
      <c r="OV41" s="669"/>
      <c r="OW41" s="669"/>
      <c r="OX41" s="669"/>
      <c r="OY41" s="669"/>
      <c r="OZ41" s="669"/>
      <c r="PA41" s="669"/>
      <c r="PB41" s="669"/>
      <c r="PC41" s="669"/>
      <c r="PD41" s="669"/>
      <c r="PE41" s="669"/>
      <c r="PF41" s="669"/>
      <c r="PG41" s="669"/>
      <c r="PH41" s="669"/>
      <c r="PI41" s="669"/>
      <c r="PJ41" s="669"/>
      <c r="PK41" s="669"/>
      <c r="PL41" s="669"/>
      <c r="PM41" s="669"/>
      <c r="PN41" s="669"/>
      <c r="PO41" s="669"/>
      <c r="PP41" s="669"/>
      <c r="PQ41" s="669"/>
      <c r="PR41" s="669"/>
      <c r="PS41" s="669"/>
      <c r="PT41" s="669"/>
      <c r="PU41" s="669"/>
      <c r="PV41" s="669"/>
      <c r="PW41" s="669"/>
      <c r="PX41" s="669"/>
      <c r="PY41" s="669"/>
      <c r="PZ41" s="669"/>
      <c r="QA41" s="669"/>
      <c r="QB41" s="669"/>
      <c r="QC41" s="669"/>
      <c r="QD41" s="669"/>
    </row>
    <row r="42" spans="1:446" s="116" customFormat="1" x14ac:dyDescent="0.25">
      <c r="A42" s="678">
        <v>1</v>
      </c>
      <c r="B42" s="668"/>
      <c r="C42" s="669"/>
      <c r="D42" s="669"/>
      <c r="E42" s="668"/>
      <c r="F42" s="669"/>
      <c r="G42" s="669"/>
      <c r="H42" s="669"/>
      <c r="I42" s="669"/>
      <c r="J42" s="669"/>
      <c r="K42" s="669"/>
      <c r="L42" s="669"/>
      <c r="M42" s="669"/>
      <c r="N42" s="669"/>
      <c r="O42" s="669"/>
      <c r="P42" s="669"/>
      <c r="Q42" s="669"/>
      <c r="R42" s="669"/>
      <c r="S42" s="669"/>
      <c r="T42" s="669"/>
      <c r="U42" s="669"/>
      <c r="V42" s="669"/>
      <c r="W42" s="669"/>
      <c r="X42" s="669"/>
      <c r="Y42" s="669"/>
      <c r="Z42" s="669"/>
      <c r="AA42" s="669"/>
      <c r="AB42" s="669"/>
      <c r="AC42" s="669"/>
      <c r="AD42" s="669"/>
      <c r="AE42" s="669"/>
      <c r="AF42" s="669"/>
      <c r="AG42" s="669"/>
      <c r="AH42" s="669"/>
      <c r="AI42" s="669"/>
      <c r="AJ42" s="669"/>
      <c r="AK42" s="669"/>
      <c r="AL42" s="669"/>
      <c r="AM42" s="669"/>
      <c r="AN42" s="669"/>
      <c r="AO42" s="669"/>
      <c r="AP42" s="669"/>
      <c r="AQ42" s="669"/>
      <c r="AR42" s="669"/>
      <c r="AS42" s="669"/>
      <c r="AT42" s="669"/>
      <c r="AU42" s="669"/>
      <c r="AV42" s="669"/>
      <c r="AW42" s="669"/>
      <c r="AX42" s="669"/>
      <c r="AY42" s="669"/>
      <c r="AZ42" s="669"/>
      <c r="BA42" s="669"/>
      <c r="BB42" s="669"/>
      <c r="BC42" s="669"/>
      <c r="BD42" s="669"/>
      <c r="BE42" s="669"/>
      <c r="BF42" s="669"/>
      <c r="BG42" s="669"/>
      <c r="BH42" s="669"/>
      <c r="BI42" s="669"/>
      <c r="BJ42" s="669"/>
      <c r="BK42" s="669"/>
      <c r="BL42" s="669"/>
      <c r="BM42" s="669"/>
      <c r="BN42" s="669"/>
      <c r="BO42" s="669"/>
      <c r="BP42" s="669"/>
      <c r="BQ42" s="669"/>
      <c r="BR42" s="669"/>
      <c r="BS42" s="669"/>
      <c r="BT42" s="669"/>
      <c r="BU42" s="669"/>
      <c r="BV42" s="669"/>
      <c r="BW42" s="669"/>
      <c r="BX42" s="669"/>
      <c r="BY42" s="669"/>
      <c r="BZ42" s="669"/>
      <c r="CA42" s="669"/>
      <c r="CB42" s="669"/>
      <c r="CC42" s="669"/>
      <c r="CD42" s="669"/>
      <c r="CE42" s="669"/>
      <c r="CF42" s="669"/>
      <c r="CG42" s="669"/>
      <c r="CH42" s="669"/>
      <c r="CI42" s="669"/>
      <c r="CJ42" s="669"/>
      <c r="CK42" s="669"/>
      <c r="CL42" s="669"/>
      <c r="CM42" s="669"/>
      <c r="CN42" s="669"/>
      <c r="CO42" s="669"/>
      <c r="CP42" s="669"/>
      <c r="CQ42" s="669"/>
      <c r="CR42" s="669"/>
      <c r="CS42" s="669"/>
      <c r="CT42" s="669"/>
      <c r="CU42" s="669"/>
      <c r="CV42" s="669"/>
      <c r="CW42" s="669"/>
      <c r="CX42" s="669"/>
      <c r="CY42" s="669"/>
      <c r="CZ42" s="669"/>
      <c r="DA42" s="669"/>
      <c r="DB42" s="669"/>
      <c r="DC42" s="669"/>
      <c r="DD42" s="669"/>
      <c r="DE42" s="669"/>
      <c r="DF42" s="669"/>
      <c r="DG42" s="669"/>
      <c r="DH42" s="669"/>
      <c r="DI42" s="669"/>
      <c r="DJ42" s="669"/>
      <c r="DK42" s="669"/>
      <c r="DL42" s="669"/>
      <c r="DM42" s="669"/>
      <c r="DN42" s="669"/>
      <c r="DO42" s="669"/>
      <c r="DP42" s="669"/>
      <c r="DQ42" s="669"/>
      <c r="DR42" s="669"/>
      <c r="DS42" s="669"/>
      <c r="DT42" s="669"/>
      <c r="DU42" s="669"/>
      <c r="DV42" s="669"/>
      <c r="DW42" s="669"/>
      <c r="DX42" s="669"/>
      <c r="DY42" s="669"/>
      <c r="DZ42" s="669"/>
      <c r="EA42" s="669"/>
      <c r="EB42" s="669"/>
      <c r="EC42" s="669"/>
      <c r="ED42" s="669"/>
      <c r="EE42" s="669"/>
      <c r="EF42" s="669"/>
      <c r="EG42" s="669"/>
      <c r="EH42" s="669"/>
      <c r="EI42" s="669"/>
      <c r="EJ42" s="669"/>
      <c r="EK42" s="669"/>
      <c r="EL42" s="669"/>
      <c r="EM42" s="669"/>
      <c r="EN42" s="669"/>
      <c r="EO42" s="669"/>
      <c r="EP42" s="669"/>
      <c r="EQ42" s="669"/>
      <c r="ER42" s="669"/>
      <c r="ES42" s="669"/>
      <c r="ET42" s="669"/>
      <c r="EU42" s="669"/>
      <c r="EV42" s="669"/>
      <c r="EW42" s="669"/>
      <c r="EX42" s="669"/>
      <c r="EY42" s="669"/>
      <c r="EZ42" s="669"/>
      <c r="FA42" s="669"/>
      <c r="FB42" s="669"/>
      <c r="FC42" s="669"/>
      <c r="FD42" s="669"/>
      <c r="FE42" s="669"/>
      <c r="FF42" s="669"/>
      <c r="FG42" s="669"/>
      <c r="FH42" s="669"/>
      <c r="FI42" s="669"/>
      <c r="FJ42" s="669"/>
      <c r="FK42" s="669"/>
      <c r="FL42" s="669"/>
      <c r="FM42" s="669"/>
      <c r="FN42" s="669"/>
      <c r="FO42" s="669"/>
      <c r="FP42" s="669"/>
      <c r="FQ42" s="669"/>
      <c r="FR42" s="669"/>
      <c r="FS42" s="669"/>
      <c r="FT42" s="669"/>
      <c r="FU42" s="669"/>
      <c r="FV42" s="669"/>
      <c r="FW42" s="669"/>
      <c r="FX42" s="669"/>
      <c r="FY42" s="669"/>
      <c r="FZ42" s="669"/>
      <c r="GA42" s="669"/>
      <c r="GB42" s="669"/>
      <c r="GC42" s="669"/>
      <c r="GD42" s="669"/>
      <c r="GE42" s="669"/>
      <c r="GF42" s="669"/>
      <c r="GG42" s="669"/>
      <c r="GH42" s="669"/>
      <c r="GI42" s="669"/>
      <c r="GJ42" s="669"/>
      <c r="GK42" s="669"/>
      <c r="GL42" s="669"/>
      <c r="GM42" s="669"/>
      <c r="GN42" s="669"/>
      <c r="GO42" s="669"/>
      <c r="GP42" s="669"/>
      <c r="GQ42" s="669"/>
      <c r="GR42" s="669"/>
      <c r="GS42" s="669"/>
      <c r="GT42" s="669"/>
      <c r="GU42" s="669"/>
      <c r="GV42" s="669"/>
      <c r="GW42" s="669"/>
      <c r="GX42" s="669"/>
      <c r="GY42" s="669"/>
      <c r="GZ42" s="669"/>
      <c r="HA42" s="669"/>
      <c r="HB42" s="669"/>
      <c r="HC42" s="669"/>
      <c r="HD42" s="669"/>
      <c r="HE42" s="669"/>
      <c r="HF42" s="669"/>
      <c r="HG42" s="669"/>
      <c r="HH42" s="669"/>
      <c r="HI42" s="669"/>
      <c r="HJ42" s="669"/>
      <c r="HK42" s="669"/>
      <c r="HL42" s="669"/>
      <c r="HM42" s="669"/>
      <c r="HN42" s="669"/>
      <c r="HO42" s="669"/>
      <c r="HP42" s="669"/>
      <c r="HQ42" s="669"/>
      <c r="HR42" s="669"/>
      <c r="HS42" s="669"/>
      <c r="HT42" s="669"/>
      <c r="HU42" s="669"/>
      <c r="HV42" s="669"/>
      <c r="HW42" s="669"/>
      <c r="HX42" s="669"/>
      <c r="HY42" s="669"/>
      <c r="HZ42" s="669"/>
      <c r="IA42" s="669"/>
      <c r="IB42" s="669"/>
      <c r="IC42" s="669"/>
      <c r="ID42" s="669"/>
      <c r="IE42" s="669"/>
      <c r="IF42" s="669"/>
      <c r="IG42" s="669"/>
      <c r="IH42" s="669"/>
      <c r="II42" s="669"/>
      <c r="IJ42" s="669"/>
      <c r="IK42" s="669"/>
      <c r="IL42" s="669"/>
      <c r="IM42" s="669"/>
      <c r="IN42" s="669"/>
      <c r="IO42" s="669"/>
      <c r="IP42" s="669"/>
      <c r="IQ42" s="669"/>
      <c r="IR42" s="669"/>
      <c r="IS42" s="669"/>
      <c r="IT42" s="669"/>
      <c r="IU42" s="669"/>
      <c r="IV42" s="669"/>
      <c r="IW42" s="669"/>
      <c r="IX42" s="669"/>
      <c r="IY42" s="669"/>
      <c r="IZ42" s="669"/>
      <c r="JA42" s="669"/>
      <c r="JB42" s="669"/>
      <c r="JC42" s="669"/>
      <c r="JD42" s="669"/>
      <c r="JE42" s="669"/>
      <c r="JF42" s="669"/>
      <c r="JG42" s="669"/>
      <c r="JH42" s="669"/>
      <c r="JI42" s="669"/>
      <c r="JJ42" s="669"/>
      <c r="JK42" s="669"/>
      <c r="JL42" s="669"/>
      <c r="JM42" s="669"/>
      <c r="JN42" s="669"/>
      <c r="JO42" s="669"/>
      <c r="JP42" s="669"/>
      <c r="JQ42" s="669"/>
      <c r="JR42" s="669"/>
      <c r="JS42" s="669"/>
      <c r="JT42" s="669"/>
      <c r="JU42" s="669"/>
      <c r="JV42" s="669"/>
      <c r="JW42" s="669"/>
      <c r="JX42" s="669"/>
      <c r="JY42" s="669"/>
      <c r="JZ42" s="669"/>
      <c r="KA42" s="669"/>
      <c r="KB42" s="669"/>
      <c r="KC42" s="669"/>
      <c r="KD42" s="669"/>
      <c r="KE42" s="669"/>
      <c r="KF42" s="669"/>
      <c r="KG42" s="669"/>
      <c r="KH42" s="669"/>
      <c r="KI42" s="669"/>
      <c r="KJ42" s="669"/>
      <c r="KK42" s="669"/>
      <c r="KL42" s="669"/>
      <c r="KM42" s="669"/>
      <c r="KN42" s="669"/>
      <c r="KO42" s="669"/>
      <c r="KP42" s="669"/>
      <c r="KQ42" s="669"/>
      <c r="KR42" s="669"/>
      <c r="KS42" s="669"/>
      <c r="KT42" s="669"/>
      <c r="KU42" s="669"/>
      <c r="KV42" s="669"/>
      <c r="KW42" s="669"/>
      <c r="KX42" s="669"/>
      <c r="KY42" s="669"/>
      <c r="KZ42" s="669"/>
      <c r="LA42" s="669"/>
      <c r="LB42" s="669"/>
      <c r="LC42" s="669"/>
      <c r="LD42" s="669"/>
      <c r="LE42" s="669"/>
      <c r="LF42" s="669"/>
      <c r="LG42" s="669"/>
      <c r="LH42" s="669"/>
      <c r="LI42" s="669"/>
      <c r="LJ42" s="669"/>
      <c r="LK42" s="669"/>
      <c r="LL42" s="669"/>
      <c r="LM42" s="669"/>
      <c r="LN42" s="669"/>
      <c r="LO42" s="669"/>
      <c r="LP42" s="669"/>
      <c r="LQ42" s="669"/>
      <c r="LR42" s="669"/>
      <c r="LS42" s="669"/>
      <c r="LT42" s="669"/>
      <c r="LU42" s="669"/>
      <c r="LV42" s="669"/>
      <c r="LW42" s="669"/>
      <c r="LX42" s="669"/>
      <c r="LY42" s="669"/>
      <c r="LZ42" s="669"/>
      <c r="MA42" s="669"/>
      <c r="MB42" s="669"/>
      <c r="MC42" s="669"/>
      <c r="MD42" s="669"/>
      <c r="ME42" s="669"/>
      <c r="MF42" s="669"/>
      <c r="MG42" s="669"/>
      <c r="MH42" s="669"/>
      <c r="MI42" s="669"/>
      <c r="MJ42" s="669"/>
      <c r="MK42" s="669"/>
      <c r="ML42" s="669"/>
      <c r="MM42" s="669"/>
      <c r="MN42" s="669"/>
      <c r="MO42" s="669"/>
      <c r="MP42" s="669"/>
      <c r="MQ42" s="669"/>
      <c r="MR42" s="669"/>
      <c r="MS42" s="669"/>
      <c r="MT42" s="669"/>
      <c r="MU42" s="669"/>
      <c r="MV42" s="669"/>
      <c r="MW42" s="669"/>
      <c r="MX42" s="669"/>
      <c r="MY42" s="669"/>
      <c r="MZ42" s="669"/>
      <c r="NA42" s="669"/>
      <c r="NB42" s="669"/>
      <c r="NC42" s="669"/>
      <c r="ND42" s="669"/>
      <c r="NE42" s="669"/>
      <c r="NF42" s="669"/>
      <c r="NG42" s="669"/>
      <c r="NH42" s="669"/>
      <c r="NI42" s="669"/>
      <c r="NJ42" s="669"/>
      <c r="NK42" s="669"/>
      <c r="NL42" s="669"/>
      <c r="NM42" s="669"/>
      <c r="NN42" s="669"/>
      <c r="NO42" s="669"/>
      <c r="NP42" s="669"/>
      <c r="NQ42" s="669"/>
      <c r="NR42" s="669"/>
      <c r="NS42" s="669"/>
      <c r="NT42" s="669"/>
      <c r="NU42" s="669"/>
      <c r="NV42" s="669"/>
      <c r="NW42" s="669"/>
      <c r="NX42" s="669"/>
      <c r="NY42" s="669"/>
      <c r="NZ42" s="669"/>
      <c r="OA42" s="669"/>
      <c r="OB42" s="669"/>
      <c r="OC42" s="669"/>
      <c r="OD42" s="669"/>
      <c r="OE42" s="669"/>
      <c r="OF42" s="669"/>
      <c r="OG42" s="669"/>
      <c r="OH42" s="669"/>
      <c r="OI42" s="669"/>
      <c r="OJ42" s="669"/>
      <c r="OK42" s="669"/>
      <c r="OL42" s="669"/>
      <c r="OM42" s="669"/>
      <c r="ON42" s="669"/>
      <c r="OO42" s="669"/>
      <c r="OP42" s="669"/>
      <c r="OQ42" s="669"/>
      <c r="OR42" s="669"/>
      <c r="OS42" s="669"/>
      <c r="OT42" s="669"/>
      <c r="OU42" s="669"/>
      <c r="OV42" s="669"/>
      <c r="OW42" s="669"/>
      <c r="OX42" s="669"/>
      <c r="OY42" s="669"/>
      <c r="OZ42" s="669"/>
      <c r="PA42" s="669"/>
      <c r="PB42" s="669"/>
      <c r="PC42" s="669"/>
      <c r="PD42" s="669"/>
      <c r="PE42" s="669"/>
      <c r="PF42" s="669"/>
      <c r="PG42" s="669"/>
      <c r="PH42" s="669"/>
      <c r="PI42" s="669"/>
      <c r="PJ42" s="669"/>
      <c r="PK42" s="669"/>
      <c r="PL42" s="669"/>
      <c r="PM42" s="669"/>
      <c r="PN42" s="669"/>
      <c r="PO42" s="669"/>
      <c r="PP42" s="669"/>
      <c r="PQ42" s="669"/>
      <c r="PR42" s="669"/>
      <c r="PS42" s="669"/>
      <c r="PT42" s="669"/>
      <c r="PU42" s="669"/>
      <c r="PV42" s="669"/>
      <c r="PW42" s="669"/>
      <c r="PX42" s="669"/>
      <c r="PY42" s="669"/>
      <c r="PZ42" s="669"/>
      <c r="QA42" s="669"/>
      <c r="QB42" s="669"/>
      <c r="QC42" s="669"/>
      <c r="QD42" s="669"/>
    </row>
    <row r="43" spans="1:446" s="116" customFormat="1" x14ac:dyDescent="0.25">
      <c r="A43" s="678">
        <v>1</v>
      </c>
      <c r="B43" s="668"/>
      <c r="C43" s="669"/>
      <c r="D43" s="669"/>
      <c r="E43" s="668"/>
      <c r="F43" s="669"/>
      <c r="G43" s="669"/>
      <c r="H43" s="669"/>
      <c r="I43" s="669"/>
      <c r="J43" s="669"/>
      <c r="K43" s="669"/>
      <c r="L43" s="669"/>
      <c r="M43" s="669"/>
      <c r="N43" s="669"/>
      <c r="O43" s="669"/>
      <c r="P43" s="669"/>
      <c r="Q43" s="669"/>
      <c r="R43" s="669"/>
      <c r="S43" s="669"/>
      <c r="T43" s="669"/>
      <c r="U43" s="669"/>
      <c r="V43" s="669"/>
      <c r="W43" s="669"/>
      <c r="X43" s="669"/>
      <c r="Y43" s="669"/>
      <c r="Z43" s="669"/>
      <c r="AA43" s="669"/>
      <c r="AB43" s="669"/>
      <c r="AC43" s="669"/>
      <c r="AD43" s="669"/>
      <c r="AE43" s="669"/>
      <c r="AF43" s="669"/>
      <c r="AG43" s="669"/>
      <c r="AH43" s="669"/>
      <c r="AI43" s="669"/>
      <c r="AJ43" s="669"/>
      <c r="AK43" s="669"/>
      <c r="AL43" s="669"/>
      <c r="AM43" s="669"/>
      <c r="AN43" s="669"/>
      <c r="AO43" s="669"/>
      <c r="AP43" s="669"/>
      <c r="AQ43" s="669"/>
      <c r="AR43" s="669"/>
      <c r="AS43" s="669"/>
      <c r="AT43" s="669"/>
      <c r="AU43" s="669"/>
      <c r="AV43" s="669"/>
      <c r="AW43" s="669"/>
      <c r="AX43" s="669"/>
      <c r="AY43" s="669"/>
      <c r="AZ43" s="669"/>
      <c r="BA43" s="669"/>
      <c r="BB43" s="669"/>
      <c r="BC43" s="669"/>
      <c r="BD43" s="669"/>
      <c r="BE43" s="669"/>
      <c r="BF43" s="669"/>
      <c r="BG43" s="669"/>
      <c r="BH43" s="669"/>
      <c r="BI43" s="669"/>
      <c r="BJ43" s="669"/>
      <c r="BK43" s="669"/>
      <c r="BL43" s="669"/>
      <c r="BM43" s="669"/>
      <c r="BN43" s="669"/>
      <c r="BO43" s="669"/>
      <c r="BP43" s="669"/>
      <c r="BQ43" s="669"/>
      <c r="BR43" s="669"/>
      <c r="BS43" s="669"/>
      <c r="BT43" s="669"/>
      <c r="BU43" s="669"/>
      <c r="BV43" s="669"/>
      <c r="BW43" s="669"/>
      <c r="BX43" s="669"/>
      <c r="BY43" s="669"/>
      <c r="BZ43" s="669"/>
      <c r="CA43" s="669"/>
      <c r="CB43" s="669"/>
      <c r="CC43" s="669"/>
      <c r="CD43" s="669"/>
      <c r="CE43" s="669"/>
      <c r="CF43" s="669"/>
      <c r="CG43" s="669"/>
      <c r="CH43" s="669"/>
      <c r="CI43" s="669"/>
      <c r="CJ43" s="669"/>
      <c r="CK43" s="669"/>
      <c r="CL43" s="669"/>
      <c r="CM43" s="669"/>
      <c r="CN43" s="669"/>
      <c r="CO43" s="669"/>
      <c r="CP43" s="669"/>
      <c r="CQ43" s="669"/>
      <c r="CR43" s="669"/>
      <c r="CS43" s="669"/>
      <c r="CT43" s="669"/>
      <c r="CU43" s="669"/>
      <c r="CV43" s="669"/>
      <c r="CW43" s="669"/>
      <c r="CX43" s="669"/>
      <c r="CY43" s="669"/>
      <c r="CZ43" s="669"/>
      <c r="DA43" s="669"/>
      <c r="DB43" s="669"/>
      <c r="DC43" s="669"/>
      <c r="DD43" s="669"/>
      <c r="DE43" s="669"/>
      <c r="DF43" s="669"/>
      <c r="DG43" s="669"/>
      <c r="DH43" s="669"/>
      <c r="DI43" s="669"/>
      <c r="DJ43" s="669"/>
      <c r="DK43" s="669"/>
      <c r="DL43" s="669"/>
      <c r="DM43" s="669"/>
      <c r="DN43" s="669"/>
      <c r="DO43" s="669"/>
      <c r="DP43" s="669"/>
      <c r="DQ43" s="669"/>
      <c r="DR43" s="669"/>
      <c r="DS43" s="669"/>
      <c r="DT43" s="669"/>
      <c r="DU43" s="669"/>
      <c r="DV43" s="669"/>
      <c r="DW43" s="669"/>
      <c r="DX43" s="669"/>
      <c r="DY43" s="669"/>
      <c r="DZ43" s="669"/>
      <c r="EA43" s="669"/>
      <c r="EB43" s="669"/>
      <c r="EC43" s="669"/>
      <c r="ED43" s="669"/>
      <c r="EE43" s="669"/>
      <c r="EF43" s="669"/>
      <c r="EG43" s="669"/>
      <c r="EH43" s="669"/>
      <c r="EI43" s="669"/>
      <c r="EJ43" s="669"/>
      <c r="EK43" s="669"/>
      <c r="EL43" s="669"/>
      <c r="EM43" s="669"/>
      <c r="EN43" s="669"/>
      <c r="EO43" s="669"/>
      <c r="EP43" s="669"/>
      <c r="EQ43" s="669"/>
      <c r="ER43" s="669"/>
      <c r="ES43" s="669"/>
      <c r="ET43" s="669"/>
      <c r="EU43" s="669"/>
      <c r="EV43" s="669"/>
      <c r="EW43" s="669"/>
      <c r="EX43" s="669"/>
      <c r="EY43" s="669"/>
      <c r="EZ43" s="669"/>
      <c r="FA43" s="669"/>
      <c r="FB43" s="669"/>
      <c r="FC43" s="669"/>
      <c r="FD43" s="669"/>
      <c r="FE43" s="669"/>
      <c r="FF43" s="669"/>
      <c r="FG43" s="669"/>
      <c r="FH43" s="669"/>
      <c r="FI43" s="669"/>
      <c r="FJ43" s="669"/>
      <c r="FK43" s="669"/>
      <c r="FL43" s="669"/>
      <c r="FM43" s="669"/>
      <c r="FN43" s="669"/>
      <c r="FO43" s="669"/>
      <c r="FP43" s="669"/>
      <c r="FQ43" s="669"/>
      <c r="FR43" s="669"/>
      <c r="FS43" s="669"/>
      <c r="FT43" s="669"/>
      <c r="FU43" s="669"/>
      <c r="FV43" s="669"/>
      <c r="FW43" s="669"/>
      <c r="FX43" s="669"/>
      <c r="FY43" s="669"/>
      <c r="FZ43" s="669"/>
      <c r="GA43" s="669"/>
      <c r="GB43" s="669"/>
      <c r="GC43" s="669"/>
      <c r="GD43" s="669"/>
      <c r="GE43" s="669"/>
      <c r="GF43" s="669"/>
      <c r="GG43" s="669"/>
      <c r="GH43" s="669"/>
      <c r="GI43" s="669"/>
      <c r="GJ43" s="669"/>
      <c r="GK43" s="669"/>
      <c r="GL43" s="669"/>
      <c r="GM43" s="669"/>
      <c r="GN43" s="669"/>
      <c r="GO43" s="669"/>
      <c r="GP43" s="669"/>
      <c r="GQ43" s="669"/>
      <c r="GR43" s="669"/>
      <c r="GS43" s="669"/>
      <c r="GT43" s="669"/>
      <c r="GU43" s="669"/>
      <c r="GV43" s="669"/>
      <c r="GW43" s="669"/>
      <c r="GX43" s="669"/>
      <c r="GY43" s="669"/>
      <c r="GZ43" s="669"/>
      <c r="HA43" s="669"/>
      <c r="HB43" s="669"/>
      <c r="HC43" s="669"/>
      <c r="HD43" s="669"/>
      <c r="HE43" s="669"/>
      <c r="HF43" s="669"/>
      <c r="HG43" s="669"/>
      <c r="HH43" s="669"/>
      <c r="HI43" s="669"/>
      <c r="HJ43" s="669"/>
      <c r="HK43" s="669"/>
      <c r="HL43" s="669"/>
      <c r="HM43" s="669"/>
      <c r="HN43" s="669"/>
      <c r="HO43" s="669"/>
      <c r="HP43" s="669"/>
      <c r="HQ43" s="669"/>
      <c r="HR43" s="669"/>
      <c r="HS43" s="669"/>
      <c r="HT43" s="669"/>
      <c r="HU43" s="669"/>
      <c r="HV43" s="669"/>
      <c r="HW43" s="669"/>
      <c r="HX43" s="669"/>
      <c r="HY43" s="669"/>
      <c r="HZ43" s="669"/>
      <c r="IA43" s="669"/>
      <c r="IB43" s="669"/>
      <c r="IC43" s="669"/>
      <c r="ID43" s="669"/>
      <c r="IE43" s="669"/>
      <c r="IF43" s="669"/>
      <c r="IG43" s="669"/>
      <c r="IH43" s="669"/>
      <c r="II43" s="669"/>
      <c r="IJ43" s="669"/>
      <c r="IK43" s="669"/>
      <c r="IL43" s="669"/>
      <c r="IM43" s="669"/>
      <c r="IN43" s="669"/>
      <c r="IO43" s="669"/>
      <c r="IP43" s="669"/>
      <c r="IQ43" s="669"/>
      <c r="IR43" s="669"/>
      <c r="IS43" s="669"/>
      <c r="IT43" s="669"/>
      <c r="IU43" s="669"/>
      <c r="IV43" s="669"/>
      <c r="IW43" s="669"/>
      <c r="IX43" s="669"/>
      <c r="IY43" s="669"/>
      <c r="IZ43" s="669"/>
      <c r="JA43" s="669"/>
      <c r="JB43" s="669"/>
      <c r="JC43" s="669"/>
      <c r="JD43" s="669"/>
      <c r="JE43" s="669"/>
      <c r="JF43" s="669"/>
      <c r="JG43" s="669"/>
      <c r="JH43" s="669"/>
      <c r="JI43" s="669"/>
      <c r="JJ43" s="669"/>
      <c r="JK43" s="669"/>
      <c r="JL43" s="669"/>
      <c r="JM43" s="669"/>
      <c r="JN43" s="669"/>
      <c r="JO43" s="669"/>
      <c r="JP43" s="669"/>
      <c r="JQ43" s="669"/>
      <c r="JR43" s="669"/>
      <c r="JS43" s="669"/>
      <c r="JT43" s="669"/>
      <c r="JU43" s="669"/>
      <c r="JV43" s="669"/>
      <c r="JW43" s="669"/>
      <c r="JX43" s="669"/>
      <c r="JY43" s="669"/>
      <c r="JZ43" s="669"/>
      <c r="KA43" s="669"/>
      <c r="KB43" s="669"/>
      <c r="KC43" s="669"/>
      <c r="KD43" s="669"/>
      <c r="KE43" s="669"/>
      <c r="KF43" s="669"/>
      <c r="KG43" s="669"/>
      <c r="KH43" s="669"/>
      <c r="KI43" s="669"/>
      <c r="KJ43" s="669"/>
      <c r="KK43" s="669"/>
      <c r="KL43" s="669"/>
      <c r="KM43" s="669"/>
      <c r="KN43" s="669"/>
      <c r="KO43" s="669"/>
      <c r="KP43" s="669"/>
      <c r="KQ43" s="669"/>
      <c r="KR43" s="669"/>
      <c r="KS43" s="669"/>
      <c r="KT43" s="669"/>
      <c r="KU43" s="669"/>
      <c r="KV43" s="669"/>
      <c r="KW43" s="669"/>
      <c r="KX43" s="669"/>
      <c r="KY43" s="669"/>
      <c r="KZ43" s="669"/>
      <c r="LA43" s="669"/>
      <c r="LB43" s="669"/>
      <c r="LC43" s="669"/>
      <c r="LD43" s="669"/>
      <c r="LE43" s="669"/>
      <c r="LF43" s="669"/>
      <c r="LG43" s="669"/>
      <c r="LH43" s="669"/>
      <c r="LI43" s="669"/>
      <c r="LJ43" s="669"/>
      <c r="LK43" s="669"/>
      <c r="LL43" s="669"/>
      <c r="LM43" s="669"/>
      <c r="LN43" s="669"/>
      <c r="LO43" s="669"/>
      <c r="LP43" s="669"/>
      <c r="LQ43" s="669"/>
      <c r="LR43" s="669"/>
      <c r="LS43" s="669"/>
      <c r="LT43" s="669"/>
      <c r="LU43" s="669"/>
      <c r="LV43" s="669"/>
      <c r="LW43" s="669"/>
      <c r="LX43" s="669"/>
      <c r="LY43" s="669"/>
      <c r="LZ43" s="669"/>
      <c r="MA43" s="669"/>
      <c r="MB43" s="669"/>
      <c r="MC43" s="669"/>
      <c r="MD43" s="669"/>
      <c r="ME43" s="669"/>
      <c r="MF43" s="669"/>
      <c r="MG43" s="669"/>
      <c r="MH43" s="669"/>
      <c r="MI43" s="669"/>
      <c r="MJ43" s="669"/>
      <c r="MK43" s="669"/>
      <c r="ML43" s="669"/>
      <c r="MM43" s="669"/>
      <c r="MN43" s="669"/>
      <c r="MO43" s="669"/>
      <c r="MP43" s="669"/>
      <c r="MQ43" s="669"/>
      <c r="MR43" s="669"/>
      <c r="MS43" s="669"/>
      <c r="MT43" s="669"/>
      <c r="MU43" s="669"/>
      <c r="MV43" s="669"/>
      <c r="MW43" s="669"/>
      <c r="MX43" s="669"/>
      <c r="MY43" s="669"/>
      <c r="MZ43" s="669"/>
      <c r="NA43" s="669"/>
      <c r="NB43" s="669"/>
      <c r="NC43" s="669"/>
      <c r="ND43" s="669"/>
      <c r="NE43" s="669"/>
      <c r="NF43" s="669"/>
      <c r="NG43" s="669"/>
      <c r="NH43" s="669"/>
      <c r="NI43" s="669"/>
      <c r="NJ43" s="669"/>
      <c r="NK43" s="669"/>
      <c r="NL43" s="669"/>
      <c r="NM43" s="669"/>
      <c r="NN43" s="669"/>
      <c r="NO43" s="669"/>
      <c r="NP43" s="669"/>
      <c r="NQ43" s="669"/>
      <c r="NR43" s="669"/>
      <c r="NS43" s="669"/>
      <c r="NT43" s="669"/>
      <c r="NU43" s="669"/>
      <c r="NV43" s="669"/>
      <c r="NW43" s="669"/>
      <c r="NX43" s="669"/>
      <c r="NY43" s="669"/>
      <c r="NZ43" s="669"/>
      <c r="OA43" s="669"/>
      <c r="OB43" s="669"/>
      <c r="OC43" s="669"/>
      <c r="OD43" s="669"/>
      <c r="OE43" s="669"/>
      <c r="OF43" s="669"/>
      <c r="OG43" s="669"/>
      <c r="OH43" s="669"/>
      <c r="OI43" s="669"/>
      <c r="OJ43" s="669"/>
      <c r="OK43" s="669"/>
      <c r="OL43" s="669"/>
      <c r="OM43" s="669"/>
      <c r="ON43" s="669"/>
      <c r="OO43" s="669"/>
      <c r="OP43" s="669"/>
      <c r="OQ43" s="669"/>
      <c r="OR43" s="669"/>
      <c r="OS43" s="669"/>
      <c r="OT43" s="669"/>
      <c r="OU43" s="669"/>
      <c r="OV43" s="669"/>
      <c r="OW43" s="669"/>
      <c r="OX43" s="669"/>
      <c r="OY43" s="669"/>
      <c r="OZ43" s="669"/>
      <c r="PA43" s="669"/>
      <c r="PB43" s="669"/>
      <c r="PC43" s="669"/>
      <c r="PD43" s="669"/>
      <c r="PE43" s="669"/>
      <c r="PF43" s="669"/>
      <c r="PG43" s="669"/>
      <c r="PH43" s="669"/>
      <c r="PI43" s="669"/>
      <c r="PJ43" s="669"/>
      <c r="PK43" s="669"/>
      <c r="PL43" s="669"/>
      <c r="PM43" s="669"/>
      <c r="PN43" s="669"/>
      <c r="PO43" s="669"/>
      <c r="PP43" s="669"/>
      <c r="PQ43" s="669"/>
      <c r="PR43" s="669"/>
      <c r="PS43" s="669"/>
      <c r="PT43" s="669"/>
      <c r="PU43" s="669"/>
      <c r="PV43" s="669"/>
      <c r="PW43" s="669"/>
      <c r="PX43" s="669"/>
      <c r="PY43" s="669"/>
      <c r="PZ43" s="669"/>
      <c r="QA43" s="669"/>
      <c r="QB43" s="669"/>
      <c r="QC43" s="669"/>
      <c r="QD43" s="669"/>
    </row>
    <row r="44" spans="1:446" s="116" customFormat="1" x14ac:dyDescent="0.25">
      <c r="A44" s="678">
        <v>1</v>
      </c>
      <c r="B44" s="668"/>
      <c r="C44" s="669"/>
      <c r="D44" s="669"/>
      <c r="E44" s="668"/>
      <c r="F44" s="669"/>
      <c r="G44" s="669"/>
      <c r="H44" s="669"/>
      <c r="I44" s="669"/>
      <c r="J44" s="669"/>
      <c r="K44" s="669"/>
      <c r="L44" s="669"/>
      <c r="M44" s="669"/>
      <c r="N44" s="669"/>
      <c r="O44" s="669"/>
      <c r="P44" s="669"/>
      <c r="Q44" s="669"/>
      <c r="R44" s="669"/>
      <c r="S44" s="669"/>
      <c r="T44" s="669"/>
      <c r="U44" s="669"/>
      <c r="V44" s="669"/>
      <c r="W44" s="669"/>
      <c r="X44" s="669"/>
      <c r="Y44" s="669"/>
      <c r="Z44" s="669"/>
      <c r="AA44" s="669"/>
      <c r="AB44" s="669"/>
      <c r="AC44" s="669"/>
      <c r="AD44" s="669"/>
      <c r="AE44" s="669"/>
      <c r="AF44" s="669"/>
      <c r="AG44" s="669"/>
      <c r="AH44" s="669"/>
      <c r="AI44" s="669"/>
      <c r="AJ44" s="669"/>
      <c r="AK44" s="669"/>
      <c r="AL44" s="669"/>
      <c r="AM44" s="669"/>
      <c r="AN44" s="669"/>
      <c r="AO44" s="669"/>
      <c r="AP44" s="669"/>
      <c r="AQ44" s="669"/>
      <c r="AR44" s="669"/>
      <c r="AS44" s="669"/>
      <c r="AT44" s="669"/>
      <c r="AU44" s="669"/>
      <c r="AV44" s="669"/>
      <c r="AW44" s="669"/>
      <c r="AX44" s="669"/>
      <c r="AY44" s="669"/>
      <c r="AZ44" s="669"/>
      <c r="BA44" s="669"/>
      <c r="BB44" s="669"/>
      <c r="BC44" s="669"/>
      <c r="BD44" s="669"/>
      <c r="BE44" s="669"/>
      <c r="BF44" s="669"/>
      <c r="BG44" s="669"/>
      <c r="BH44" s="669"/>
      <c r="BI44" s="669"/>
      <c r="BJ44" s="669"/>
      <c r="BK44" s="669"/>
      <c r="BL44" s="669"/>
      <c r="BM44" s="669"/>
      <c r="BN44" s="669"/>
      <c r="BO44" s="669"/>
      <c r="BP44" s="669"/>
      <c r="BQ44" s="669"/>
      <c r="BR44" s="669"/>
      <c r="BS44" s="669"/>
      <c r="BT44" s="669"/>
      <c r="BU44" s="669"/>
      <c r="BV44" s="669"/>
      <c r="BW44" s="669"/>
      <c r="BX44" s="669"/>
      <c r="BY44" s="669"/>
      <c r="BZ44" s="669"/>
      <c r="CA44" s="669"/>
      <c r="CB44" s="669"/>
      <c r="CC44" s="669"/>
      <c r="CD44" s="669"/>
      <c r="CE44" s="669"/>
      <c r="CF44" s="669"/>
      <c r="CG44" s="669"/>
      <c r="CH44" s="669"/>
      <c r="CI44" s="669"/>
      <c r="CJ44" s="669"/>
      <c r="CK44" s="669"/>
      <c r="CL44" s="669"/>
      <c r="CM44" s="669"/>
      <c r="CN44" s="669"/>
      <c r="CO44" s="669"/>
      <c r="CP44" s="669"/>
      <c r="CQ44" s="669"/>
      <c r="CR44" s="669"/>
      <c r="CS44" s="669"/>
      <c r="CT44" s="669"/>
      <c r="CU44" s="669"/>
      <c r="CV44" s="669"/>
      <c r="CW44" s="669"/>
      <c r="CX44" s="669"/>
      <c r="CY44" s="669"/>
      <c r="CZ44" s="669"/>
      <c r="DA44" s="669"/>
      <c r="DB44" s="669"/>
      <c r="DC44" s="669"/>
      <c r="DD44" s="669"/>
      <c r="DE44" s="669"/>
      <c r="DF44" s="669"/>
      <c r="DG44" s="669"/>
      <c r="DH44" s="669"/>
      <c r="DI44" s="669"/>
      <c r="DJ44" s="669"/>
      <c r="DK44" s="669"/>
      <c r="DL44" s="669"/>
      <c r="DM44" s="669"/>
      <c r="DN44" s="669"/>
      <c r="DO44" s="669"/>
      <c r="DP44" s="669"/>
      <c r="DQ44" s="669"/>
      <c r="DR44" s="669"/>
      <c r="DS44" s="669"/>
      <c r="DT44" s="669"/>
      <c r="DU44" s="669"/>
      <c r="DV44" s="669"/>
      <c r="DW44" s="669"/>
      <c r="DX44" s="669"/>
      <c r="DY44" s="669"/>
      <c r="DZ44" s="669"/>
      <c r="EA44" s="669"/>
      <c r="EB44" s="669"/>
      <c r="EC44" s="669"/>
      <c r="ED44" s="669"/>
      <c r="EE44" s="669"/>
      <c r="EF44" s="669"/>
      <c r="EG44" s="669"/>
      <c r="EH44" s="669"/>
      <c r="EI44" s="669"/>
      <c r="EJ44" s="669"/>
      <c r="EK44" s="669"/>
      <c r="EL44" s="669"/>
      <c r="EM44" s="669"/>
      <c r="EN44" s="669"/>
      <c r="EO44" s="669"/>
      <c r="EP44" s="669"/>
      <c r="EQ44" s="669"/>
      <c r="ER44" s="669"/>
      <c r="ES44" s="669"/>
      <c r="ET44" s="669"/>
      <c r="EU44" s="669"/>
      <c r="EV44" s="669"/>
      <c r="EW44" s="669"/>
      <c r="EX44" s="669"/>
      <c r="EY44" s="669"/>
      <c r="EZ44" s="669"/>
      <c r="FA44" s="669"/>
      <c r="FB44" s="669"/>
      <c r="FC44" s="669"/>
      <c r="FD44" s="669"/>
      <c r="FE44" s="669"/>
      <c r="FF44" s="669"/>
      <c r="FG44" s="669"/>
      <c r="FH44" s="669"/>
      <c r="FI44" s="669"/>
      <c r="FJ44" s="669"/>
      <c r="FK44" s="669"/>
      <c r="FL44" s="669"/>
      <c r="FM44" s="669"/>
      <c r="FN44" s="669"/>
      <c r="FO44" s="669"/>
      <c r="FP44" s="669"/>
      <c r="FQ44" s="669"/>
      <c r="FR44" s="669"/>
      <c r="FS44" s="669"/>
      <c r="FT44" s="669"/>
      <c r="FU44" s="669"/>
      <c r="FV44" s="669"/>
      <c r="FW44" s="669"/>
      <c r="FX44" s="669"/>
      <c r="FY44" s="669"/>
      <c r="FZ44" s="669"/>
      <c r="GA44" s="669"/>
      <c r="GB44" s="669"/>
      <c r="GC44" s="669"/>
      <c r="GD44" s="669"/>
      <c r="GE44" s="669"/>
      <c r="GF44" s="669"/>
      <c r="GG44" s="669"/>
      <c r="GH44" s="669"/>
      <c r="GI44" s="669"/>
      <c r="GJ44" s="669"/>
      <c r="GK44" s="669"/>
      <c r="GL44" s="669"/>
      <c r="GM44" s="669"/>
      <c r="GN44" s="669"/>
      <c r="GO44" s="669"/>
      <c r="GP44" s="669"/>
      <c r="GQ44" s="669"/>
      <c r="GR44" s="669"/>
      <c r="GS44" s="669"/>
      <c r="GT44" s="669"/>
      <c r="GU44" s="669"/>
      <c r="GV44" s="669"/>
      <c r="GW44" s="669"/>
      <c r="GX44" s="669"/>
      <c r="GY44" s="669"/>
      <c r="GZ44" s="669"/>
      <c r="HA44" s="669"/>
      <c r="HB44" s="669"/>
      <c r="HC44" s="669"/>
      <c r="HD44" s="669"/>
      <c r="HE44" s="669"/>
      <c r="HF44" s="669"/>
      <c r="HG44" s="669"/>
      <c r="HH44" s="669"/>
      <c r="HI44" s="669"/>
      <c r="HJ44" s="669"/>
      <c r="HK44" s="669"/>
      <c r="HL44" s="669"/>
      <c r="HM44" s="669"/>
      <c r="HN44" s="669"/>
      <c r="HO44" s="669"/>
      <c r="HP44" s="669"/>
      <c r="HQ44" s="669"/>
      <c r="HR44" s="669"/>
      <c r="HS44" s="669"/>
      <c r="HT44" s="669"/>
      <c r="HU44" s="669"/>
      <c r="HV44" s="669"/>
      <c r="HW44" s="669"/>
      <c r="HX44" s="669"/>
      <c r="HY44" s="669"/>
      <c r="HZ44" s="669"/>
      <c r="IA44" s="669"/>
      <c r="IB44" s="669"/>
      <c r="IC44" s="669"/>
      <c r="ID44" s="669"/>
      <c r="IE44" s="669"/>
      <c r="IF44" s="669"/>
      <c r="IG44" s="669"/>
      <c r="IH44" s="669"/>
      <c r="II44" s="669"/>
      <c r="IJ44" s="669"/>
      <c r="IK44" s="669"/>
      <c r="IL44" s="669"/>
      <c r="IM44" s="669"/>
      <c r="IN44" s="669"/>
      <c r="IO44" s="669"/>
      <c r="IP44" s="669"/>
      <c r="IQ44" s="669"/>
      <c r="IR44" s="669"/>
      <c r="IS44" s="669"/>
      <c r="IT44" s="669"/>
      <c r="IU44" s="669"/>
      <c r="IV44" s="669"/>
      <c r="IW44" s="669"/>
      <c r="IX44" s="669"/>
      <c r="IY44" s="669"/>
      <c r="IZ44" s="669"/>
      <c r="JA44" s="669"/>
      <c r="JB44" s="669"/>
      <c r="JC44" s="669"/>
      <c r="JD44" s="669"/>
      <c r="JE44" s="669"/>
      <c r="JF44" s="669"/>
      <c r="JG44" s="669"/>
      <c r="JH44" s="669"/>
      <c r="JI44" s="669"/>
      <c r="JJ44" s="669"/>
      <c r="JK44" s="669"/>
      <c r="JL44" s="669"/>
      <c r="JM44" s="669"/>
      <c r="JN44" s="669"/>
      <c r="JO44" s="669"/>
      <c r="JP44" s="669"/>
      <c r="JQ44" s="669"/>
      <c r="JR44" s="669"/>
      <c r="JS44" s="669"/>
      <c r="JT44" s="669"/>
      <c r="JU44" s="669"/>
      <c r="JV44" s="669"/>
      <c r="JW44" s="669"/>
      <c r="JX44" s="669"/>
      <c r="JY44" s="669"/>
      <c r="JZ44" s="669"/>
      <c r="KA44" s="669"/>
      <c r="KB44" s="669"/>
      <c r="KC44" s="669"/>
      <c r="KD44" s="669"/>
      <c r="KE44" s="669"/>
      <c r="KF44" s="669"/>
      <c r="KG44" s="669"/>
      <c r="KH44" s="669"/>
      <c r="KI44" s="669"/>
      <c r="KJ44" s="669"/>
      <c r="KK44" s="669"/>
      <c r="KL44" s="669"/>
      <c r="KM44" s="669"/>
      <c r="KN44" s="669"/>
      <c r="KO44" s="669"/>
      <c r="KP44" s="669"/>
      <c r="KQ44" s="669"/>
      <c r="KR44" s="669"/>
      <c r="KS44" s="669"/>
      <c r="KT44" s="669"/>
      <c r="KU44" s="669"/>
      <c r="KV44" s="669"/>
      <c r="KW44" s="669"/>
      <c r="KX44" s="669"/>
      <c r="KY44" s="669"/>
      <c r="KZ44" s="669"/>
      <c r="LA44" s="669"/>
      <c r="LB44" s="669"/>
      <c r="LC44" s="669"/>
      <c r="LD44" s="669"/>
      <c r="LE44" s="669"/>
      <c r="LF44" s="669"/>
      <c r="LG44" s="669"/>
      <c r="LH44" s="669"/>
      <c r="LI44" s="669"/>
      <c r="LJ44" s="669"/>
      <c r="LK44" s="669"/>
      <c r="LL44" s="669"/>
      <c r="LM44" s="669"/>
      <c r="LN44" s="669"/>
      <c r="LO44" s="669"/>
      <c r="LP44" s="669"/>
      <c r="LQ44" s="669"/>
      <c r="LR44" s="669"/>
      <c r="LS44" s="669"/>
      <c r="LT44" s="669"/>
      <c r="LU44" s="669"/>
      <c r="LV44" s="669"/>
      <c r="LW44" s="669"/>
      <c r="LX44" s="669"/>
      <c r="LY44" s="669"/>
      <c r="LZ44" s="669"/>
      <c r="MA44" s="669"/>
      <c r="MB44" s="669"/>
      <c r="MC44" s="669"/>
      <c r="MD44" s="669"/>
      <c r="ME44" s="669"/>
      <c r="MF44" s="669"/>
      <c r="MG44" s="669"/>
      <c r="MH44" s="669"/>
      <c r="MI44" s="669"/>
      <c r="MJ44" s="669"/>
      <c r="MK44" s="669"/>
      <c r="ML44" s="669"/>
      <c r="MM44" s="669"/>
      <c r="MN44" s="669"/>
      <c r="MO44" s="669"/>
      <c r="MP44" s="669"/>
      <c r="MQ44" s="669"/>
      <c r="MR44" s="669"/>
      <c r="MS44" s="669"/>
      <c r="MT44" s="669"/>
      <c r="MU44" s="669"/>
      <c r="MV44" s="669"/>
      <c r="MW44" s="669"/>
      <c r="MX44" s="669"/>
      <c r="MY44" s="669"/>
      <c r="MZ44" s="669"/>
      <c r="NA44" s="669"/>
      <c r="NB44" s="669"/>
      <c r="NC44" s="669"/>
      <c r="ND44" s="669"/>
      <c r="NE44" s="669"/>
      <c r="NF44" s="669"/>
      <c r="NG44" s="669"/>
      <c r="NH44" s="669"/>
      <c r="NI44" s="669"/>
      <c r="NJ44" s="669"/>
      <c r="NK44" s="669"/>
      <c r="NL44" s="669"/>
      <c r="NM44" s="669"/>
      <c r="NN44" s="669"/>
      <c r="NO44" s="669"/>
      <c r="NP44" s="669"/>
      <c r="NQ44" s="669"/>
      <c r="NR44" s="669"/>
      <c r="NS44" s="669"/>
      <c r="NT44" s="669"/>
      <c r="NU44" s="669"/>
      <c r="NV44" s="669"/>
      <c r="NW44" s="669"/>
      <c r="NX44" s="669"/>
      <c r="NY44" s="669"/>
      <c r="NZ44" s="669"/>
      <c r="OA44" s="669"/>
      <c r="OB44" s="669"/>
      <c r="OC44" s="669"/>
      <c r="OD44" s="669"/>
      <c r="OE44" s="669"/>
      <c r="OF44" s="669"/>
      <c r="OG44" s="669"/>
      <c r="OH44" s="669"/>
      <c r="OI44" s="669"/>
      <c r="OJ44" s="669"/>
      <c r="OK44" s="669"/>
      <c r="OL44" s="669"/>
      <c r="OM44" s="669"/>
      <c r="ON44" s="669"/>
      <c r="OO44" s="669"/>
      <c r="OP44" s="669"/>
      <c r="OQ44" s="669"/>
      <c r="OR44" s="669"/>
      <c r="OS44" s="669"/>
      <c r="OT44" s="669"/>
      <c r="OU44" s="669"/>
      <c r="OV44" s="669"/>
      <c r="OW44" s="669"/>
      <c r="OX44" s="669"/>
      <c r="OY44" s="669"/>
      <c r="OZ44" s="669"/>
      <c r="PA44" s="669"/>
      <c r="PB44" s="669"/>
      <c r="PC44" s="669"/>
      <c r="PD44" s="669"/>
      <c r="PE44" s="669"/>
      <c r="PF44" s="669"/>
      <c r="PG44" s="669"/>
      <c r="PH44" s="669"/>
      <c r="PI44" s="669"/>
      <c r="PJ44" s="669"/>
      <c r="PK44" s="669"/>
      <c r="PL44" s="669"/>
      <c r="PM44" s="669"/>
      <c r="PN44" s="669"/>
      <c r="PO44" s="669"/>
      <c r="PP44" s="669"/>
      <c r="PQ44" s="669"/>
      <c r="PR44" s="669"/>
      <c r="PS44" s="669"/>
      <c r="PT44" s="669"/>
      <c r="PU44" s="669"/>
      <c r="PV44" s="669"/>
      <c r="PW44" s="669"/>
      <c r="PX44" s="669"/>
      <c r="PY44" s="669"/>
      <c r="PZ44" s="669"/>
      <c r="QA44" s="669"/>
      <c r="QB44" s="669"/>
      <c r="QC44" s="669"/>
      <c r="QD44" s="669"/>
    </row>
    <row r="45" spans="1:446" s="116" customFormat="1" x14ac:dyDescent="0.25">
      <c r="A45" s="678">
        <v>1</v>
      </c>
      <c r="B45" s="668"/>
      <c r="C45" s="669"/>
      <c r="D45" s="669"/>
      <c r="E45" s="668"/>
      <c r="F45" s="669"/>
      <c r="G45" s="669"/>
      <c r="H45" s="669"/>
      <c r="I45" s="669"/>
      <c r="J45" s="669"/>
      <c r="K45" s="669"/>
      <c r="L45" s="669"/>
      <c r="M45" s="669"/>
      <c r="N45" s="669"/>
      <c r="O45" s="669"/>
      <c r="P45" s="669"/>
      <c r="Q45" s="669"/>
      <c r="R45" s="669"/>
      <c r="S45" s="669"/>
      <c r="T45" s="669"/>
      <c r="U45" s="669"/>
      <c r="V45" s="669"/>
      <c r="W45" s="669"/>
      <c r="X45" s="669"/>
      <c r="Y45" s="669"/>
      <c r="Z45" s="669"/>
      <c r="AA45" s="669"/>
      <c r="AB45" s="669"/>
      <c r="AC45" s="669"/>
      <c r="AD45" s="669"/>
      <c r="AE45" s="669"/>
      <c r="AF45" s="669"/>
      <c r="AG45" s="669"/>
      <c r="AH45" s="669"/>
      <c r="AI45" s="669"/>
      <c r="AJ45" s="669"/>
      <c r="AK45" s="669"/>
      <c r="AL45" s="669"/>
      <c r="AM45" s="669"/>
      <c r="AN45" s="669"/>
      <c r="AO45" s="669"/>
      <c r="AP45" s="669"/>
      <c r="AQ45" s="669"/>
      <c r="AR45" s="669"/>
      <c r="AS45" s="669"/>
      <c r="AT45" s="669"/>
      <c r="AU45" s="669"/>
      <c r="AV45" s="669"/>
      <c r="AW45" s="669"/>
      <c r="AX45" s="669"/>
      <c r="AY45" s="669"/>
      <c r="AZ45" s="669"/>
      <c r="BA45" s="669"/>
      <c r="BB45" s="669"/>
      <c r="BC45" s="669"/>
      <c r="BD45" s="669"/>
      <c r="BE45" s="669"/>
      <c r="BF45" s="669"/>
      <c r="BG45" s="669"/>
      <c r="BH45" s="669"/>
      <c r="BI45" s="669"/>
      <c r="BJ45" s="669"/>
      <c r="BK45" s="669"/>
      <c r="BL45" s="669"/>
      <c r="BM45" s="669"/>
      <c r="BN45" s="669"/>
      <c r="BO45" s="669"/>
      <c r="BP45" s="669"/>
      <c r="BQ45" s="669"/>
      <c r="BR45" s="669"/>
      <c r="BS45" s="669"/>
      <c r="BT45" s="669"/>
      <c r="BU45" s="669"/>
      <c r="BV45" s="669"/>
      <c r="BW45" s="669"/>
      <c r="BX45" s="669"/>
      <c r="BY45" s="669"/>
      <c r="BZ45" s="669"/>
      <c r="CA45" s="669"/>
      <c r="CB45" s="669"/>
      <c r="CC45" s="669"/>
      <c r="CD45" s="669"/>
      <c r="CE45" s="669"/>
      <c r="CF45" s="669"/>
      <c r="CG45" s="669"/>
      <c r="CH45" s="669"/>
      <c r="CI45" s="669"/>
      <c r="CJ45" s="669"/>
      <c r="CK45" s="669"/>
      <c r="CL45" s="669"/>
      <c r="CM45" s="669"/>
      <c r="CN45" s="669"/>
      <c r="CO45" s="669"/>
      <c r="CP45" s="669"/>
      <c r="CQ45" s="669"/>
      <c r="CR45" s="669"/>
      <c r="CS45" s="669"/>
      <c r="CT45" s="669"/>
      <c r="CU45" s="669"/>
      <c r="CV45" s="669"/>
      <c r="CW45" s="669"/>
      <c r="CX45" s="669"/>
      <c r="CY45" s="669"/>
      <c r="CZ45" s="669"/>
      <c r="DA45" s="669"/>
      <c r="DB45" s="669"/>
      <c r="DC45" s="669"/>
      <c r="DD45" s="669"/>
      <c r="DE45" s="669"/>
      <c r="DF45" s="669"/>
      <c r="DG45" s="669"/>
      <c r="DH45" s="669"/>
      <c r="DI45" s="669"/>
      <c r="DJ45" s="669"/>
      <c r="DK45" s="669"/>
      <c r="DL45" s="669"/>
      <c r="DM45" s="669"/>
      <c r="DN45" s="669"/>
      <c r="DO45" s="669"/>
      <c r="DP45" s="669"/>
      <c r="DQ45" s="669"/>
      <c r="DR45" s="669"/>
      <c r="DS45" s="669"/>
      <c r="DT45" s="669"/>
      <c r="DU45" s="669"/>
      <c r="DV45" s="669"/>
      <c r="DW45" s="669"/>
      <c r="DX45" s="669"/>
      <c r="DY45" s="669"/>
      <c r="DZ45" s="669"/>
      <c r="EA45" s="669"/>
      <c r="EB45" s="669"/>
      <c r="EC45" s="669"/>
      <c r="ED45" s="669"/>
      <c r="EE45" s="669"/>
      <c r="EF45" s="669"/>
      <c r="EG45" s="669"/>
      <c r="EH45" s="669"/>
      <c r="EI45" s="669"/>
      <c r="EJ45" s="669"/>
      <c r="EK45" s="669"/>
      <c r="EL45" s="669"/>
      <c r="EM45" s="669"/>
      <c r="EN45" s="669"/>
      <c r="EO45" s="669"/>
      <c r="EP45" s="669"/>
      <c r="EQ45" s="669"/>
      <c r="ER45" s="669"/>
      <c r="ES45" s="669"/>
      <c r="ET45" s="669"/>
      <c r="EU45" s="669"/>
      <c r="EV45" s="669"/>
      <c r="EW45" s="669"/>
      <c r="EX45" s="669"/>
      <c r="EY45" s="669"/>
      <c r="EZ45" s="669"/>
      <c r="FA45" s="669"/>
      <c r="FB45" s="669"/>
      <c r="FC45" s="669"/>
      <c r="FD45" s="669"/>
      <c r="FE45" s="669"/>
      <c r="FF45" s="669"/>
      <c r="FG45" s="669"/>
      <c r="FH45" s="669"/>
      <c r="FI45" s="669"/>
      <c r="FJ45" s="669"/>
      <c r="FK45" s="669"/>
      <c r="FL45" s="669"/>
      <c r="FM45" s="669"/>
      <c r="FN45" s="669"/>
      <c r="FO45" s="669"/>
      <c r="FP45" s="669"/>
      <c r="FQ45" s="669"/>
      <c r="FR45" s="669"/>
      <c r="FS45" s="669"/>
      <c r="FT45" s="669"/>
      <c r="FU45" s="669"/>
      <c r="FV45" s="669"/>
      <c r="FW45" s="669"/>
      <c r="FX45" s="669"/>
      <c r="FY45" s="669"/>
      <c r="FZ45" s="669"/>
      <c r="GA45" s="669"/>
      <c r="GB45" s="669"/>
      <c r="GC45" s="669"/>
      <c r="GD45" s="669"/>
      <c r="GE45" s="669"/>
      <c r="GF45" s="669"/>
      <c r="GG45" s="669"/>
      <c r="GH45" s="669"/>
      <c r="GI45" s="669"/>
      <c r="GJ45" s="669"/>
      <c r="GK45" s="669"/>
      <c r="GL45" s="669"/>
      <c r="GM45" s="669"/>
      <c r="GN45" s="669"/>
      <c r="GO45" s="669"/>
      <c r="GP45" s="669"/>
      <c r="GQ45" s="669"/>
      <c r="GR45" s="669"/>
      <c r="GS45" s="669"/>
      <c r="GT45" s="669"/>
      <c r="GU45" s="669"/>
      <c r="GV45" s="669"/>
      <c r="GW45" s="669"/>
      <c r="GX45" s="669"/>
      <c r="GY45" s="669"/>
      <c r="GZ45" s="669"/>
      <c r="HA45" s="669"/>
      <c r="HB45" s="669"/>
      <c r="HC45" s="669"/>
      <c r="HD45" s="669"/>
      <c r="HE45" s="669"/>
      <c r="HF45" s="669"/>
      <c r="HG45" s="669"/>
      <c r="HH45" s="669"/>
      <c r="HI45" s="669"/>
      <c r="HJ45" s="669"/>
      <c r="HK45" s="669"/>
      <c r="HL45" s="669"/>
      <c r="HM45" s="669"/>
      <c r="HN45" s="669"/>
      <c r="HO45" s="669"/>
      <c r="HP45" s="669"/>
      <c r="HQ45" s="669"/>
      <c r="HR45" s="669"/>
      <c r="HS45" s="669"/>
      <c r="HT45" s="669"/>
      <c r="HU45" s="669"/>
      <c r="HV45" s="669"/>
      <c r="HW45" s="669"/>
      <c r="HX45" s="669"/>
      <c r="HY45" s="669"/>
      <c r="HZ45" s="669"/>
      <c r="IA45" s="669"/>
      <c r="IB45" s="669"/>
      <c r="IC45" s="669"/>
      <c r="ID45" s="669"/>
      <c r="IE45" s="669"/>
      <c r="IF45" s="669"/>
      <c r="IG45" s="669"/>
      <c r="IH45" s="669"/>
      <c r="II45" s="669"/>
      <c r="IJ45" s="669"/>
      <c r="IK45" s="669"/>
      <c r="IL45" s="669"/>
      <c r="IM45" s="669"/>
      <c r="IN45" s="669"/>
      <c r="IO45" s="669"/>
      <c r="IP45" s="669"/>
      <c r="IQ45" s="669"/>
      <c r="IR45" s="669"/>
      <c r="IS45" s="669"/>
      <c r="IT45" s="669"/>
      <c r="IU45" s="669"/>
      <c r="IV45" s="669"/>
      <c r="IW45" s="669"/>
      <c r="IX45" s="669"/>
      <c r="IY45" s="669"/>
      <c r="IZ45" s="669"/>
      <c r="JA45" s="669"/>
      <c r="JB45" s="669"/>
      <c r="JC45" s="669"/>
      <c r="JD45" s="669"/>
      <c r="JE45" s="669"/>
      <c r="JF45" s="669"/>
      <c r="JG45" s="669"/>
      <c r="JH45" s="669"/>
      <c r="JI45" s="669"/>
      <c r="JJ45" s="669"/>
      <c r="JK45" s="669"/>
      <c r="JL45" s="669"/>
      <c r="JM45" s="669"/>
      <c r="JN45" s="669"/>
      <c r="JO45" s="669"/>
      <c r="JP45" s="669"/>
      <c r="JQ45" s="669"/>
      <c r="JR45" s="669"/>
      <c r="JS45" s="669"/>
      <c r="JT45" s="669"/>
      <c r="JU45" s="669"/>
      <c r="JV45" s="669"/>
      <c r="JW45" s="669"/>
      <c r="JX45" s="669"/>
      <c r="JY45" s="669"/>
      <c r="JZ45" s="669"/>
      <c r="KA45" s="669"/>
      <c r="KB45" s="669"/>
      <c r="KC45" s="669"/>
      <c r="KD45" s="669"/>
      <c r="KE45" s="669"/>
      <c r="KF45" s="669"/>
      <c r="KG45" s="669"/>
      <c r="KH45" s="669"/>
      <c r="KI45" s="669"/>
      <c r="KJ45" s="669"/>
      <c r="KK45" s="669"/>
      <c r="KL45" s="669"/>
      <c r="KM45" s="669"/>
      <c r="KN45" s="669"/>
      <c r="KO45" s="669"/>
      <c r="KP45" s="669"/>
      <c r="KQ45" s="669"/>
      <c r="KR45" s="669"/>
      <c r="KS45" s="669"/>
      <c r="KT45" s="669"/>
      <c r="KU45" s="669"/>
      <c r="KV45" s="669"/>
      <c r="KW45" s="669"/>
      <c r="KX45" s="669"/>
      <c r="KY45" s="669"/>
      <c r="KZ45" s="669"/>
      <c r="LA45" s="669"/>
      <c r="LB45" s="669"/>
      <c r="LC45" s="669"/>
      <c r="LD45" s="669"/>
      <c r="LE45" s="669"/>
      <c r="LF45" s="669"/>
      <c r="LG45" s="669"/>
      <c r="LH45" s="669"/>
      <c r="LI45" s="669"/>
      <c r="LJ45" s="669"/>
      <c r="LK45" s="669"/>
      <c r="LL45" s="669"/>
      <c r="LM45" s="669"/>
      <c r="LN45" s="669"/>
      <c r="LO45" s="669"/>
      <c r="LP45" s="669"/>
      <c r="LQ45" s="669"/>
      <c r="LR45" s="669"/>
      <c r="LS45" s="669"/>
      <c r="LT45" s="669"/>
      <c r="LU45" s="669"/>
      <c r="LV45" s="669"/>
      <c r="LW45" s="669"/>
      <c r="LX45" s="669"/>
      <c r="LY45" s="669"/>
      <c r="LZ45" s="669"/>
      <c r="MA45" s="669"/>
      <c r="MB45" s="669"/>
      <c r="MC45" s="669"/>
      <c r="MD45" s="669"/>
      <c r="ME45" s="669"/>
      <c r="MF45" s="669"/>
      <c r="MG45" s="669"/>
      <c r="MH45" s="669"/>
      <c r="MI45" s="669"/>
      <c r="MJ45" s="669"/>
      <c r="MK45" s="669"/>
      <c r="ML45" s="669"/>
      <c r="MM45" s="669"/>
      <c r="MN45" s="669"/>
      <c r="MO45" s="669"/>
      <c r="MP45" s="669"/>
      <c r="MQ45" s="669"/>
      <c r="MR45" s="669"/>
      <c r="MS45" s="669"/>
      <c r="MT45" s="669"/>
      <c r="MU45" s="669"/>
      <c r="MV45" s="669"/>
      <c r="MW45" s="669"/>
      <c r="MX45" s="669"/>
      <c r="MY45" s="669"/>
      <c r="MZ45" s="669"/>
      <c r="NA45" s="669"/>
      <c r="NB45" s="669"/>
      <c r="NC45" s="669"/>
      <c r="ND45" s="669"/>
      <c r="NE45" s="669"/>
      <c r="NF45" s="669"/>
      <c r="NG45" s="669"/>
      <c r="NH45" s="669"/>
      <c r="NI45" s="669"/>
      <c r="NJ45" s="669"/>
      <c r="NK45" s="669"/>
      <c r="NL45" s="669"/>
      <c r="NM45" s="669"/>
      <c r="NN45" s="669"/>
      <c r="NO45" s="669"/>
      <c r="NP45" s="669"/>
      <c r="NQ45" s="669"/>
      <c r="NR45" s="669"/>
      <c r="NS45" s="669"/>
      <c r="NT45" s="669"/>
      <c r="NU45" s="669"/>
      <c r="NV45" s="669"/>
      <c r="NW45" s="669"/>
      <c r="NX45" s="669"/>
      <c r="NY45" s="669"/>
      <c r="NZ45" s="669"/>
      <c r="OA45" s="669"/>
      <c r="OB45" s="669"/>
      <c r="OC45" s="669"/>
      <c r="OD45" s="669"/>
      <c r="OE45" s="669"/>
      <c r="OF45" s="669"/>
      <c r="OG45" s="669"/>
      <c r="OH45" s="669"/>
      <c r="OI45" s="669"/>
      <c r="OJ45" s="669"/>
      <c r="OK45" s="669"/>
      <c r="OL45" s="669"/>
      <c r="OM45" s="669"/>
      <c r="ON45" s="669"/>
      <c r="OO45" s="669"/>
      <c r="OP45" s="669"/>
      <c r="OQ45" s="669"/>
      <c r="OR45" s="669"/>
      <c r="OS45" s="669"/>
      <c r="OT45" s="669"/>
      <c r="OU45" s="669"/>
      <c r="OV45" s="669"/>
      <c r="OW45" s="669"/>
      <c r="OX45" s="669"/>
      <c r="OY45" s="669"/>
      <c r="OZ45" s="669"/>
      <c r="PA45" s="669"/>
      <c r="PB45" s="669"/>
      <c r="PC45" s="669"/>
      <c r="PD45" s="669"/>
      <c r="PE45" s="669"/>
      <c r="PF45" s="669"/>
      <c r="PG45" s="669"/>
      <c r="PH45" s="669"/>
      <c r="PI45" s="669"/>
      <c r="PJ45" s="669"/>
      <c r="PK45" s="669"/>
      <c r="PL45" s="669"/>
      <c r="PM45" s="669"/>
      <c r="PN45" s="669"/>
      <c r="PO45" s="669"/>
      <c r="PP45" s="669"/>
      <c r="PQ45" s="669"/>
      <c r="PR45" s="669"/>
      <c r="PS45" s="669"/>
      <c r="PT45" s="669"/>
      <c r="PU45" s="669"/>
      <c r="PV45" s="669"/>
      <c r="PW45" s="669"/>
      <c r="PX45" s="669"/>
      <c r="PY45" s="669"/>
      <c r="PZ45" s="669"/>
      <c r="QA45" s="669"/>
      <c r="QB45" s="669"/>
      <c r="QC45" s="669"/>
      <c r="QD45" s="669"/>
    </row>
    <row r="46" spans="1:446" s="116" customFormat="1" x14ac:dyDescent="0.25">
      <c r="A46" s="678">
        <v>1</v>
      </c>
      <c r="B46" s="668"/>
      <c r="C46" s="669"/>
      <c r="D46" s="669"/>
      <c r="E46" s="668"/>
      <c r="F46" s="669"/>
      <c r="G46" s="669"/>
      <c r="H46" s="669"/>
      <c r="I46" s="669"/>
      <c r="J46" s="669"/>
      <c r="K46" s="669"/>
      <c r="L46" s="669"/>
      <c r="M46" s="669"/>
      <c r="N46" s="669"/>
      <c r="O46" s="669"/>
      <c r="P46" s="669"/>
      <c r="Q46" s="669"/>
      <c r="R46" s="669"/>
      <c r="S46" s="669"/>
      <c r="T46" s="669"/>
      <c r="U46" s="669"/>
      <c r="V46" s="669"/>
      <c r="W46" s="669"/>
      <c r="X46" s="669"/>
      <c r="Y46" s="669"/>
      <c r="Z46" s="669"/>
      <c r="AA46" s="669"/>
      <c r="AB46" s="669"/>
      <c r="AC46" s="669"/>
      <c r="AD46" s="669"/>
      <c r="AE46" s="669"/>
      <c r="AF46" s="669"/>
      <c r="AG46" s="669"/>
      <c r="AH46" s="669"/>
      <c r="AI46" s="669"/>
      <c r="AJ46" s="669"/>
      <c r="AK46" s="669"/>
      <c r="AL46" s="669"/>
      <c r="AM46" s="669"/>
      <c r="AN46" s="669"/>
      <c r="AO46" s="669"/>
      <c r="AP46" s="669"/>
      <c r="AQ46" s="669"/>
      <c r="AR46" s="669"/>
      <c r="AS46" s="669"/>
      <c r="AT46" s="669"/>
      <c r="AU46" s="669"/>
      <c r="AV46" s="669"/>
      <c r="AW46" s="669"/>
      <c r="AX46" s="669"/>
      <c r="AY46" s="669"/>
      <c r="AZ46" s="669"/>
      <c r="BA46" s="669"/>
      <c r="BB46" s="669"/>
      <c r="BC46" s="669"/>
      <c r="BD46" s="669"/>
      <c r="BE46" s="669"/>
      <c r="BF46" s="669"/>
      <c r="BG46" s="669"/>
      <c r="BH46" s="669"/>
      <c r="BI46" s="669"/>
      <c r="BJ46" s="669"/>
      <c r="BK46" s="669"/>
      <c r="BL46" s="669"/>
      <c r="BM46" s="669"/>
      <c r="BN46" s="669"/>
      <c r="BO46" s="669"/>
      <c r="BP46" s="669"/>
      <c r="BQ46" s="669"/>
      <c r="BR46" s="669"/>
      <c r="BS46" s="669"/>
      <c r="BT46" s="669"/>
      <c r="BU46" s="669"/>
      <c r="BV46" s="669"/>
      <c r="BW46" s="669"/>
      <c r="BX46" s="669"/>
      <c r="BY46" s="669"/>
      <c r="BZ46" s="669"/>
      <c r="CA46" s="669"/>
      <c r="CB46" s="669"/>
      <c r="CC46" s="669"/>
      <c r="CD46" s="669"/>
      <c r="CE46" s="669"/>
      <c r="CF46" s="669"/>
      <c r="CG46" s="669"/>
      <c r="CH46" s="669"/>
      <c r="CI46" s="669"/>
      <c r="CJ46" s="669"/>
      <c r="CK46" s="669"/>
      <c r="CL46" s="669"/>
      <c r="CM46" s="669"/>
      <c r="CN46" s="669"/>
      <c r="CO46" s="669"/>
      <c r="CP46" s="669"/>
      <c r="CQ46" s="669"/>
      <c r="CR46" s="669"/>
      <c r="CS46" s="669"/>
      <c r="CT46" s="669"/>
      <c r="CU46" s="669"/>
      <c r="CV46" s="669"/>
      <c r="CW46" s="669"/>
      <c r="CX46" s="669"/>
      <c r="CY46" s="669"/>
      <c r="CZ46" s="669"/>
      <c r="DA46" s="669"/>
      <c r="DB46" s="669"/>
      <c r="DC46" s="669"/>
      <c r="DD46" s="669"/>
      <c r="DE46" s="669"/>
      <c r="DF46" s="669"/>
      <c r="DG46" s="669"/>
      <c r="DH46" s="669"/>
      <c r="DI46" s="669"/>
      <c r="DJ46" s="669"/>
      <c r="DK46" s="669"/>
      <c r="DL46" s="669"/>
      <c r="DM46" s="669"/>
      <c r="DN46" s="669"/>
      <c r="DO46" s="669"/>
      <c r="DP46" s="669"/>
      <c r="DQ46" s="669"/>
      <c r="DR46" s="669"/>
      <c r="DS46" s="669"/>
      <c r="DT46" s="669"/>
      <c r="DU46" s="669"/>
      <c r="DV46" s="669"/>
      <c r="DW46" s="669"/>
      <c r="DX46" s="669"/>
      <c r="DY46" s="669"/>
      <c r="DZ46" s="669"/>
      <c r="EA46" s="669"/>
      <c r="EB46" s="669"/>
      <c r="EC46" s="669"/>
      <c r="ED46" s="669"/>
      <c r="EE46" s="669"/>
      <c r="EF46" s="669"/>
      <c r="EG46" s="669"/>
      <c r="EH46" s="669"/>
      <c r="EI46" s="669"/>
      <c r="EJ46" s="669"/>
      <c r="EK46" s="669"/>
      <c r="EL46" s="669"/>
      <c r="EM46" s="669"/>
      <c r="EN46" s="669"/>
      <c r="EO46" s="669"/>
      <c r="EP46" s="669"/>
      <c r="EQ46" s="669"/>
      <c r="ER46" s="669"/>
      <c r="ES46" s="669"/>
      <c r="ET46" s="669"/>
      <c r="EU46" s="669"/>
      <c r="EV46" s="669"/>
      <c r="EW46" s="669"/>
      <c r="EX46" s="669"/>
      <c r="EY46" s="669"/>
      <c r="EZ46" s="669"/>
      <c r="FA46" s="669"/>
      <c r="FB46" s="669"/>
      <c r="FC46" s="669"/>
      <c r="FD46" s="669"/>
      <c r="FE46" s="669"/>
      <c r="FF46" s="669"/>
      <c r="FG46" s="669"/>
      <c r="FH46" s="669"/>
      <c r="FI46" s="669"/>
      <c r="FJ46" s="669"/>
      <c r="FK46" s="669"/>
      <c r="FL46" s="669"/>
      <c r="FM46" s="669"/>
      <c r="FN46" s="669"/>
      <c r="FO46" s="669"/>
      <c r="FP46" s="669"/>
      <c r="FQ46" s="669"/>
      <c r="FR46" s="669"/>
      <c r="FS46" s="669"/>
      <c r="FT46" s="669"/>
      <c r="FU46" s="669"/>
      <c r="FV46" s="669"/>
      <c r="FW46" s="669"/>
      <c r="FX46" s="669"/>
      <c r="FY46" s="669"/>
      <c r="FZ46" s="669"/>
      <c r="GA46" s="669"/>
      <c r="GB46" s="669"/>
      <c r="GC46" s="669"/>
      <c r="GD46" s="669"/>
      <c r="GE46" s="669"/>
      <c r="GF46" s="669"/>
      <c r="GG46" s="669"/>
      <c r="GH46" s="669"/>
      <c r="GI46" s="669"/>
      <c r="GJ46" s="669"/>
      <c r="GK46" s="669"/>
      <c r="GL46" s="669"/>
      <c r="GM46" s="669"/>
      <c r="GN46" s="669"/>
      <c r="GO46" s="669"/>
      <c r="GP46" s="669"/>
      <c r="GQ46" s="669"/>
      <c r="GR46" s="669"/>
      <c r="GS46" s="669"/>
      <c r="GT46" s="669"/>
      <c r="GU46" s="669"/>
      <c r="GV46" s="669"/>
      <c r="GW46" s="669"/>
      <c r="GX46" s="669"/>
      <c r="GY46" s="669"/>
      <c r="GZ46" s="669"/>
      <c r="HA46" s="669"/>
      <c r="HB46" s="669"/>
      <c r="HC46" s="669"/>
      <c r="HD46" s="669"/>
      <c r="HE46" s="669"/>
      <c r="HF46" s="669"/>
      <c r="HG46" s="669"/>
      <c r="HH46" s="669"/>
      <c r="HI46" s="669"/>
      <c r="HJ46" s="669"/>
      <c r="HK46" s="669"/>
      <c r="HL46" s="669"/>
      <c r="HM46" s="669"/>
      <c r="HN46" s="669"/>
      <c r="HO46" s="669"/>
      <c r="HP46" s="669"/>
      <c r="HQ46" s="669"/>
      <c r="HR46" s="669"/>
      <c r="HS46" s="669"/>
      <c r="HT46" s="669"/>
      <c r="HU46" s="669"/>
      <c r="HV46" s="669"/>
      <c r="HW46" s="669"/>
      <c r="HX46" s="669"/>
      <c r="HY46" s="669"/>
      <c r="HZ46" s="669"/>
      <c r="IA46" s="669"/>
      <c r="IB46" s="669"/>
      <c r="IC46" s="669"/>
      <c r="ID46" s="669"/>
      <c r="IE46" s="669"/>
      <c r="IF46" s="669"/>
      <c r="IG46" s="669"/>
      <c r="IH46" s="669"/>
      <c r="II46" s="669"/>
      <c r="IJ46" s="669"/>
      <c r="IK46" s="669"/>
      <c r="IL46" s="669"/>
      <c r="IM46" s="669"/>
      <c r="IN46" s="669"/>
      <c r="IO46" s="669"/>
      <c r="IP46" s="669"/>
      <c r="IQ46" s="669"/>
      <c r="IR46" s="669"/>
      <c r="IS46" s="669"/>
      <c r="IT46" s="669"/>
      <c r="IU46" s="669"/>
      <c r="IV46" s="669"/>
      <c r="IW46" s="669"/>
      <c r="IX46" s="669"/>
      <c r="IY46" s="669"/>
      <c r="IZ46" s="669"/>
      <c r="JA46" s="669"/>
      <c r="JB46" s="669"/>
      <c r="JC46" s="669"/>
      <c r="JD46" s="669"/>
      <c r="JE46" s="669"/>
      <c r="JF46" s="669"/>
      <c r="JG46" s="669"/>
      <c r="JH46" s="669"/>
      <c r="JI46" s="669"/>
      <c r="JJ46" s="669"/>
      <c r="JK46" s="669"/>
      <c r="JL46" s="669"/>
      <c r="JM46" s="669"/>
      <c r="JN46" s="669"/>
      <c r="JO46" s="669"/>
      <c r="JP46" s="669"/>
      <c r="JQ46" s="669"/>
      <c r="JR46" s="669"/>
      <c r="JS46" s="669"/>
      <c r="JT46" s="669"/>
      <c r="JU46" s="669"/>
      <c r="JV46" s="669"/>
      <c r="JW46" s="669"/>
      <c r="JX46" s="669"/>
      <c r="JY46" s="669"/>
      <c r="JZ46" s="669"/>
      <c r="KA46" s="669"/>
      <c r="KB46" s="669"/>
      <c r="KC46" s="669"/>
      <c r="KD46" s="669"/>
      <c r="KE46" s="669"/>
      <c r="KF46" s="669"/>
      <c r="KG46" s="669"/>
      <c r="KH46" s="669"/>
      <c r="KI46" s="669"/>
      <c r="KJ46" s="669"/>
      <c r="KK46" s="669"/>
      <c r="KL46" s="669"/>
      <c r="KM46" s="669"/>
      <c r="KN46" s="669"/>
      <c r="KO46" s="669"/>
      <c r="KP46" s="669"/>
      <c r="KQ46" s="669"/>
      <c r="KR46" s="669"/>
      <c r="KS46" s="669"/>
      <c r="KT46" s="669"/>
      <c r="KU46" s="669"/>
      <c r="KV46" s="669"/>
      <c r="KW46" s="669"/>
      <c r="KX46" s="669"/>
      <c r="KY46" s="669"/>
      <c r="KZ46" s="669"/>
      <c r="LA46" s="669"/>
      <c r="LB46" s="669"/>
      <c r="LC46" s="669"/>
      <c r="LD46" s="669"/>
      <c r="LE46" s="669"/>
      <c r="LF46" s="669"/>
      <c r="LG46" s="669"/>
      <c r="LH46" s="669"/>
      <c r="LI46" s="669"/>
      <c r="LJ46" s="669"/>
      <c r="LK46" s="669"/>
      <c r="LL46" s="669"/>
      <c r="LM46" s="669"/>
      <c r="LN46" s="669"/>
      <c r="LO46" s="669"/>
      <c r="LP46" s="669"/>
      <c r="LQ46" s="669"/>
      <c r="LR46" s="669"/>
      <c r="LS46" s="669"/>
      <c r="LT46" s="669"/>
      <c r="LU46" s="669"/>
      <c r="LV46" s="669"/>
      <c r="LW46" s="669"/>
      <c r="LX46" s="669"/>
      <c r="LY46" s="669"/>
      <c r="LZ46" s="669"/>
      <c r="MA46" s="669"/>
      <c r="MB46" s="669"/>
      <c r="MC46" s="669"/>
      <c r="MD46" s="669"/>
      <c r="ME46" s="669"/>
      <c r="MF46" s="669"/>
      <c r="MG46" s="669"/>
      <c r="MH46" s="669"/>
      <c r="MI46" s="669"/>
      <c r="MJ46" s="669"/>
      <c r="MK46" s="669"/>
      <c r="ML46" s="669"/>
      <c r="MM46" s="669"/>
      <c r="MN46" s="669"/>
      <c r="MO46" s="669"/>
      <c r="MP46" s="669"/>
      <c r="MQ46" s="669"/>
      <c r="MR46" s="669"/>
      <c r="MS46" s="669"/>
      <c r="MT46" s="669"/>
      <c r="MU46" s="669"/>
      <c r="MV46" s="669"/>
      <c r="MW46" s="669"/>
      <c r="MX46" s="669"/>
      <c r="MY46" s="669"/>
      <c r="MZ46" s="669"/>
      <c r="NA46" s="669"/>
      <c r="NB46" s="669"/>
      <c r="NC46" s="669"/>
      <c r="ND46" s="669"/>
      <c r="NE46" s="669"/>
      <c r="NF46" s="669"/>
      <c r="NG46" s="669"/>
      <c r="NH46" s="669"/>
      <c r="NI46" s="669"/>
      <c r="NJ46" s="669"/>
      <c r="NK46" s="669"/>
      <c r="NL46" s="669"/>
      <c r="NM46" s="669"/>
      <c r="NN46" s="669"/>
      <c r="NO46" s="669"/>
      <c r="NP46" s="669"/>
      <c r="NQ46" s="669"/>
      <c r="NR46" s="669"/>
      <c r="NS46" s="669"/>
      <c r="NT46" s="669"/>
      <c r="NU46" s="669"/>
      <c r="NV46" s="669"/>
      <c r="NW46" s="669"/>
      <c r="NX46" s="669"/>
      <c r="NY46" s="669"/>
      <c r="NZ46" s="669"/>
      <c r="OA46" s="669"/>
      <c r="OB46" s="669"/>
      <c r="OC46" s="669"/>
      <c r="OD46" s="669"/>
      <c r="OE46" s="669"/>
      <c r="OF46" s="669"/>
      <c r="OG46" s="669"/>
      <c r="OH46" s="669"/>
      <c r="OI46" s="669"/>
      <c r="OJ46" s="669"/>
      <c r="OK46" s="669"/>
      <c r="OL46" s="669"/>
      <c r="OM46" s="669"/>
      <c r="ON46" s="669"/>
      <c r="OO46" s="669"/>
      <c r="OP46" s="669"/>
      <c r="OQ46" s="669"/>
      <c r="OR46" s="669"/>
      <c r="OS46" s="669"/>
      <c r="OT46" s="669"/>
      <c r="OU46" s="669"/>
      <c r="OV46" s="669"/>
      <c r="OW46" s="669"/>
      <c r="OX46" s="669"/>
      <c r="OY46" s="669"/>
      <c r="OZ46" s="669"/>
      <c r="PA46" s="669"/>
      <c r="PB46" s="669"/>
      <c r="PC46" s="669"/>
      <c r="PD46" s="669"/>
      <c r="PE46" s="669"/>
      <c r="PF46" s="669"/>
      <c r="PG46" s="669"/>
      <c r="PH46" s="669"/>
      <c r="PI46" s="669"/>
      <c r="PJ46" s="669"/>
      <c r="PK46" s="669"/>
      <c r="PL46" s="669"/>
      <c r="PM46" s="669"/>
      <c r="PN46" s="669"/>
      <c r="PO46" s="669"/>
      <c r="PP46" s="669"/>
      <c r="PQ46" s="669"/>
      <c r="PR46" s="669"/>
      <c r="PS46" s="669"/>
      <c r="PT46" s="669"/>
      <c r="PU46" s="669"/>
      <c r="PV46" s="669"/>
      <c r="PW46" s="669"/>
      <c r="PX46" s="669"/>
      <c r="PY46" s="669"/>
      <c r="PZ46" s="669"/>
      <c r="QA46" s="669"/>
      <c r="QB46" s="669"/>
      <c r="QC46" s="669"/>
      <c r="QD46" s="669"/>
    </row>
    <row r="47" spans="1:446" s="116" customFormat="1" x14ac:dyDescent="0.25">
      <c r="A47" s="678">
        <v>1</v>
      </c>
      <c r="B47" s="668"/>
      <c r="C47" s="669"/>
      <c r="D47" s="669"/>
      <c r="E47" s="668"/>
      <c r="F47" s="669"/>
      <c r="G47" s="669"/>
      <c r="H47" s="669"/>
      <c r="I47" s="669"/>
      <c r="J47" s="669"/>
      <c r="K47" s="669"/>
      <c r="L47" s="669"/>
      <c r="M47" s="669"/>
      <c r="N47" s="669"/>
      <c r="O47" s="669"/>
      <c r="P47" s="669"/>
      <c r="Q47" s="669"/>
      <c r="R47" s="669"/>
      <c r="S47" s="669"/>
      <c r="T47" s="669"/>
      <c r="U47" s="669"/>
      <c r="V47" s="669"/>
      <c r="W47" s="669"/>
      <c r="X47" s="669"/>
      <c r="Y47" s="669"/>
      <c r="Z47" s="669"/>
      <c r="AA47" s="669"/>
      <c r="AB47" s="669"/>
      <c r="AC47" s="669"/>
      <c r="AD47" s="669"/>
      <c r="AE47" s="669"/>
      <c r="AF47" s="669"/>
      <c r="AG47" s="669"/>
      <c r="AH47" s="669"/>
      <c r="AI47" s="669"/>
      <c r="AJ47" s="669"/>
      <c r="AK47" s="669"/>
      <c r="AL47" s="669"/>
      <c r="AM47" s="669"/>
      <c r="AN47" s="669"/>
      <c r="AO47" s="669"/>
      <c r="AP47" s="669"/>
      <c r="AQ47" s="669"/>
      <c r="AR47" s="669"/>
      <c r="AS47" s="669"/>
      <c r="AT47" s="669"/>
      <c r="AU47" s="669"/>
      <c r="AV47" s="669"/>
      <c r="AW47" s="669"/>
      <c r="AX47" s="669"/>
      <c r="AY47" s="669"/>
      <c r="AZ47" s="669"/>
      <c r="BA47" s="669"/>
      <c r="BB47" s="669"/>
      <c r="BC47" s="669"/>
      <c r="BD47" s="669"/>
      <c r="BE47" s="669"/>
      <c r="BF47" s="669"/>
      <c r="BG47" s="669"/>
      <c r="BH47" s="669"/>
      <c r="BI47" s="669"/>
      <c r="BJ47" s="669"/>
      <c r="BK47" s="669"/>
      <c r="BL47" s="669"/>
      <c r="BM47" s="669"/>
      <c r="BN47" s="669"/>
      <c r="BO47" s="669"/>
      <c r="BP47" s="669"/>
      <c r="BQ47" s="669"/>
      <c r="BR47" s="669"/>
      <c r="BS47" s="669"/>
      <c r="BT47" s="669"/>
      <c r="BU47" s="669"/>
      <c r="BV47" s="669"/>
      <c r="BW47" s="669"/>
      <c r="BX47" s="669"/>
      <c r="BY47" s="669"/>
      <c r="BZ47" s="669"/>
      <c r="CA47" s="669"/>
      <c r="CB47" s="669"/>
      <c r="CC47" s="669"/>
      <c r="CD47" s="669"/>
      <c r="CE47" s="669"/>
      <c r="CF47" s="669"/>
      <c r="CG47" s="669"/>
      <c r="CH47" s="669"/>
      <c r="CI47" s="669"/>
      <c r="CJ47" s="669"/>
      <c r="CK47" s="669"/>
      <c r="CL47" s="669"/>
      <c r="CM47" s="669"/>
      <c r="CN47" s="669"/>
      <c r="CO47" s="669"/>
      <c r="CP47" s="669"/>
      <c r="CQ47" s="669"/>
      <c r="CR47" s="669"/>
      <c r="CS47" s="669"/>
      <c r="CT47" s="669"/>
      <c r="CU47" s="669"/>
      <c r="CV47" s="669"/>
      <c r="CW47" s="669"/>
      <c r="CX47" s="669"/>
      <c r="CY47" s="669"/>
      <c r="CZ47" s="669"/>
      <c r="DA47" s="669"/>
      <c r="DB47" s="669"/>
      <c r="DC47" s="669"/>
      <c r="DD47" s="669"/>
      <c r="DE47" s="669"/>
      <c r="DF47" s="669"/>
      <c r="DG47" s="669"/>
      <c r="DH47" s="669"/>
      <c r="DI47" s="669"/>
      <c r="DJ47" s="669"/>
      <c r="DK47" s="669"/>
      <c r="DL47" s="669"/>
      <c r="DM47" s="669"/>
      <c r="DN47" s="669"/>
      <c r="DO47" s="669"/>
      <c r="DP47" s="669"/>
      <c r="DQ47" s="669"/>
      <c r="DR47" s="669"/>
      <c r="DS47" s="669"/>
      <c r="DT47" s="669"/>
      <c r="DU47" s="669"/>
      <c r="DV47" s="669"/>
      <c r="DW47" s="669"/>
      <c r="DX47" s="669"/>
      <c r="DY47" s="669"/>
      <c r="DZ47" s="669"/>
      <c r="EA47" s="669"/>
      <c r="EB47" s="669"/>
      <c r="EC47" s="669"/>
      <c r="ED47" s="669"/>
      <c r="EE47" s="669"/>
      <c r="EF47" s="669"/>
      <c r="EG47" s="669"/>
      <c r="EH47" s="669"/>
      <c r="EI47" s="669"/>
      <c r="EJ47" s="669"/>
      <c r="EK47" s="669"/>
      <c r="EL47" s="669"/>
      <c r="EM47" s="669"/>
      <c r="EN47" s="669"/>
      <c r="EO47" s="669"/>
      <c r="EP47" s="669"/>
      <c r="EQ47" s="669"/>
      <c r="ER47" s="669"/>
      <c r="ES47" s="669"/>
      <c r="ET47" s="669"/>
      <c r="EU47" s="669"/>
      <c r="EV47" s="669"/>
      <c r="EW47" s="669"/>
      <c r="EX47" s="669"/>
      <c r="EY47" s="669"/>
      <c r="EZ47" s="669"/>
      <c r="FA47" s="669"/>
      <c r="FB47" s="669"/>
      <c r="FC47" s="669"/>
      <c r="FD47" s="669"/>
      <c r="FE47" s="669"/>
      <c r="FF47" s="669"/>
      <c r="FG47" s="669"/>
      <c r="FH47" s="669"/>
      <c r="FI47" s="669"/>
      <c r="FJ47" s="669"/>
      <c r="FK47" s="669"/>
      <c r="FL47" s="669"/>
      <c r="FM47" s="669"/>
      <c r="FN47" s="669"/>
      <c r="FO47" s="669"/>
      <c r="FP47" s="669"/>
      <c r="FQ47" s="669"/>
      <c r="FR47" s="669"/>
      <c r="FS47" s="669"/>
      <c r="FT47" s="669"/>
      <c r="FU47" s="669"/>
      <c r="FV47" s="669"/>
      <c r="FW47" s="669"/>
      <c r="FX47" s="669"/>
      <c r="FY47" s="669"/>
      <c r="FZ47" s="669"/>
      <c r="GA47" s="669"/>
      <c r="GB47" s="669"/>
      <c r="GC47" s="669"/>
      <c r="GD47" s="669"/>
      <c r="GE47" s="669"/>
      <c r="GF47" s="669"/>
      <c r="GG47" s="669"/>
      <c r="GH47" s="669"/>
      <c r="GI47" s="669"/>
      <c r="GJ47" s="669"/>
      <c r="GK47" s="669"/>
      <c r="GL47" s="669"/>
      <c r="GM47" s="669"/>
      <c r="GN47" s="669"/>
      <c r="GO47" s="669"/>
      <c r="GP47" s="669"/>
      <c r="GQ47" s="669"/>
      <c r="GR47" s="669"/>
      <c r="GS47" s="669"/>
      <c r="GT47" s="669"/>
      <c r="GU47" s="669"/>
      <c r="GV47" s="669"/>
      <c r="GW47" s="669"/>
      <c r="GX47" s="669"/>
      <c r="GY47" s="669"/>
      <c r="GZ47" s="669"/>
      <c r="HA47" s="669"/>
      <c r="HB47" s="669"/>
      <c r="HC47" s="669"/>
      <c r="HD47" s="669"/>
      <c r="HE47" s="669"/>
      <c r="HF47" s="669"/>
      <c r="HG47" s="669"/>
      <c r="HH47" s="669"/>
      <c r="HI47" s="669"/>
      <c r="HJ47" s="669"/>
      <c r="HK47" s="669"/>
      <c r="HL47" s="669"/>
      <c r="HM47" s="669"/>
      <c r="HN47" s="669"/>
      <c r="HO47" s="669"/>
      <c r="HP47" s="669"/>
      <c r="HQ47" s="669"/>
      <c r="HR47" s="669"/>
      <c r="HS47" s="669"/>
      <c r="HT47" s="669"/>
      <c r="HU47" s="669"/>
      <c r="HV47" s="669"/>
      <c r="HW47" s="669"/>
      <c r="HX47" s="669"/>
      <c r="HY47" s="669"/>
      <c r="HZ47" s="669"/>
      <c r="IA47" s="669"/>
      <c r="IB47" s="669"/>
      <c r="IC47" s="669"/>
      <c r="ID47" s="669"/>
      <c r="IE47" s="669"/>
      <c r="IF47" s="669"/>
      <c r="IG47" s="669"/>
      <c r="IH47" s="669"/>
      <c r="II47" s="669"/>
      <c r="IJ47" s="669"/>
      <c r="IK47" s="669"/>
      <c r="IL47" s="669"/>
      <c r="IM47" s="669"/>
      <c r="IN47" s="669"/>
      <c r="IO47" s="669"/>
      <c r="IP47" s="669"/>
      <c r="IQ47" s="669"/>
      <c r="IR47" s="669"/>
      <c r="IS47" s="669"/>
      <c r="IT47" s="669"/>
      <c r="IU47" s="669"/>
      <c r="IV47" s="669"/>
      <c r="IW47" s="669"/>
      <c r="IX47" s="669"/>
      <c r="IY47" s="669"/>
      <c r="IZ47" s="669"/>
      <c r="JA47" s="669"/>
      <c r="JB47" s="669"/>
      <c r="JC47" s="669"/>
      <c r="JD47" s="669"/>
      <c r="JE47" s="669"/>
      <c r="JF47" s="669"/>
      <c r="JG47" s="669"/>
      <c r="JH47" s="669"/>
      <c r="JI47" s="669"/>
      <c r="JJ47" s="669"/>
      <c r="JK47" s="669"/>
      <c r="JL47" s="669"/>
      <c r="JM47" s="669"/>
      <c r="JN47" s="669"/>
      <c r="JO47" s="669"/>
      <c r="JP47" s="669"/>
      <c r="JQ47" s="669"/>
      <c r="JR47" s="669"/>
      <c r="JS47" s="669"/>
      <c r="JT47" s="669"/>
      <c r="JU47" s="669"/>
      <c r="JV47" s="669"/>
      <c r="JW47" s="669"/>
      <c r="JX47" s="669"/>
      <c r="JY47" s="669"/>
      <c r="JZ47" s="669"/>
      <c r="KA47" s="669"/>
      <c r="KB47" s="669"/>
      <c r="KC47" s="669"/>
      <c r="KD47" s="669"/>
      <c r="KE47" s="669"/>
      <c r="KF47" s="669"/>
      <c r="KG47" s="669"/>
      <c r="KH47" s="669"/>
      <c r="KI47" s="669"/>
      <c r="KJ47" s="669"/>
      <c r="KK47" s="669"/>
      <c r="KL47" s="669"/>
      <c r="KM47" s="669"/>
      <c r="KN47" s="669"/>
      <c r="KO47" s="669"/>
      <c r="KP47" s="669"/>
      <c r="KQ47" s="669"/>
      <c r="KR47" s="669"/>
      <c r="KS47" s="669"/>
      <c r="KT47" s="669"/>
      <c r="KU47" s="669"/>
      <c r="KV47" s="669"/>
      <c r="KW47" s="669"/>
      <c r="KX47" s="669"/>
      <c r="KY47" s="669"/>
      <c r="KZ47" s="669"/>
      <c r="LA47" s="669"/>
      <c r="LB47" s="669"/>
      <c r="LC47" s="669"/>
      <c r="LD47" s="669"/>
      <c r="LE47" s="669"/>
      <c r="LF47" s="669"/>
      <c r="LG47" s="669"/>
      <c r="LH47" s="669"/>
      <c r="LI47" s="669"/>
      <c r="LJ47" s="669"/>
      <c r="LK47" s="669"/>
      <c r="LL47" s="669"/>
      <c r="LM47" s="669"/>
      <c r="LN47" s="669"/>
      <c r="LO47" s="669"/>
      <c r="LP47" s="669"/>
      <c r="LQ47" s="669"/>
      <c r="LR47" s="669"/>
      <c r="LS47" s="669"/>
      <c r="LT47" s="669"/>
      <c r="LU47" s="669"/>
      <c r="LV47" s="669"/>
      <c r="LW47" s="669"/>
      <c r="LX47" s="669"/>
      <c r="LY47" s="669"/>
      <c r="LZ47" s="669"/>
      <c r="MA47" s="669"/>
      <c r="MB47" s="669"/>
      <c r="MC47" s="669"/>
      <c r="MD47" s="669"/>
      <c r="ME47" s="669"/>
      <c r="MF47" s="669"/>
      <c r="MG47" s="669"/>
      <c r="MH47" s="669"/>
      <c r="MI47" s="669"/>
      <c r="MJ47" s="669"/>
      <c r="MK47" s="669"/>
      <c r="ML47" s="669"/>
      <c r="MM47" s="669"/>
      <c r="MN47" s="669"/>
      <c r="MO47" s="669"/>
      <c r="MP47" s="669"/>
      <c r="MQ47" s="669"/>
      <c r="MR47" s="669"/>
      <c r="MS47" s="669"/>
      <c r="MT47" s="669"/>
      <c r="MU47" s="669"/>
      <c r="MV47" s="669"/>
      <c r="MW47" s="669"/>
      <c r="MX47" s="669"/>
      <c r="MY47" s="669"/>
      <c r="MZ47" s="669"/>
      <c r="NA47" s="669"/>
      <c r="NB47" s="669"/>
      <c r="NC47" s="669"/>
      <c r="ND47" s="669"/>
      <c r="NE47" s="669"/>
      <c r="NF47" s="669"/>
      <c r="NG47" s="669"/>
      <c r="NH47" s="669"/>
      <c r="NI47" s="669"/>
      <c r="NJ47" s="669"/>
      <c r="NK47" s="669"/>
      <c r="NL47" s="669"/>
      <c r="NM47" s="669"/>
      <c r="NN47" s="669"/>
      <c r="NO47" s="669"/>
      <c r="NP47" s="669"/>
      <c r="NQ47" s="669"/>
      <c r="NR47" s="669"/>
      <c r="NS47" s="669"/>
      <c r="NT47" s="669"/>
      <c r="NU47" s="669"/>
      <c r="NV47" s="669"/>
      <c r="NW47" s="669"/>
      <c r="NX47" s="669"/>
      <c r="NY47" s="669"/>
      <c r="NZ47" s="669"/>
      <c r="OA47" s="669"/>
      <c r="OB47" s="669"/>
      <c r="OC47" s="669"/>
      <c r="OD47" s="669"/>
      <c r="OE47" s="669"/>
      <c r="OF47" s="669"/>
      <c r="OG47" s="669"/>
      <c r="OH47" s="669"/>
      <c r="OI47" s="669"/>
      <c r="OJ47" s="669"/>
      <c r="OK47" s="669"/>
      <c r="OL47" s="669"/>
      <c r="OM47" s="669"/>
      <c r="ON47" s="669"/>
      <c r="OO47" s="669"/>
      <c r="OP47" s="669"/>
      <c r="OQ47" s="669"/>
      <c r="OR47" s="669"/>
      <c r="OS47" s="669"/>
      <c r="OT47" s="669"/>
      <c r="OU47" s="669"/>
      <c r="OV47" s="669"/>
      <c r="OW47" s="669"/>
      <c r="OX47" s="669"/>
      <c r="OY47" s="669"/>
      <c r="OZ47" s="669"/>
      <c r="PA47" s="669"/>
      <c r="PB47" s="669"/>
      <c r="PC47" s="669"/>
      <c r="PD47" s="669"/>
      <c r="PE47" s="669"/>
      <c r="PF47" s="669"/>
      <c r="PG47" s="669"/>
      <c r="PH47" s="669"/>
      <c r="PI47" s="669"/>
      <c r="PJ47" s="669"/>
      <c r="PK47" s="669"/>
      <c r="PL47" s="669"/>
      <c r="PM47" s="669"/>
      <c r="PN47" s="669"/>
      <c r="PO47" s="669"/>
      <c r="PP47" s="669"/>
      <c r="PQ47" s="669"/>
      <c r="PR47" s="669"/>
      <c r="PS47" s="669"/>
      <c r="PT47" s="669"/>
      <c r="PU47" s="669"/>
      <c r="PV47" s="669"/>
      <c r="PW47" s="669"/>
      <c r="PX47" s="669"/>
      <c r="PY47" s="669"/>
      <c r="PZ47" s="669"/>
      <c r="QA47" s="669"/>
      <c r="QB47" s="669"/>
      <c r="QC47" s="669"/>
      <c r="QD47" s="669"/>
    </row>
    <row r="48" spans="1:446" s="116" customFormat="1" x14ac:dyDescent="0.25">
      <c r="A48" s="678">
        <v>1</v>
      </c>
      <c r="B48" s="668"/>
      <c r="C48" s="669"/>
      <c r="D48" s="669"/>
      <c r="E48" s="668"/>
      <c r="F48" s="669"/>
      <c r="G48" s="669"/>
      <c r="H48" s="669"/>
      <c r="I48" s="669"/>
      <c r="J48" s="669"/>
      <c r="K48" s="669"/>
      <c r="L48" s="669"/>
      <c r="M48" s="669"/>
      <c r="N48" s="669"/>
      <c r="O48" s="669"/>
      <c r="P48" s="669"/>
      <c r="Q48" s="669"/>
      <c r="R48" s="669"/>
      <c r="S48" s="669"/>
      <c r="T48" s="669"/>
      <c r="U48" s="669"/>
      <c r="V48" s="669"/>
      <c r="W48" s="669"/>
      <c r="X48" s="669"/>
      <c r="Y48" s="669"/>
      <c r="Z48" s="669"/>
      <c r="AA48" s="669"/>
      <c r="AB48" s="669"/>
      <c r="AC48" s="669"/>
      <c r="AD48" s="669"/>
      <c r="AE48" s="669"/>
      <c r="AF48" s="669"/>
      <c r="AG48" s="669"/>
      <c r="AH48" s="669"/>
      <c r="AI48" s="669"/>
      <c r="AJ48" s="669"/>
      <c r="AK48" s="669"/>
      <c r="AL48" s="669"/>
      <c r="AM48" s="669"/>
      <c r="AN48" s="669"/>
      <c r="AO48" s="669"/>
      <c r="AP48" s="669"/>
      <c r="AQ48" s="669"/>
      <c r="AR48" s="669"/>
      <c r="AS48" s="669"/>
      <c r="AT48" s="669"/>
      <c r="AU48" s="669"/>
      <c r="AV48" s="669"/>
      <c r="AW48" s="669"/>
      <c r="AX48" s="669"/>
      <c r="AY48" s="669"/>
      <c r="AZ48" s="669"/>
      <c r="BA48" s="669"/>
      <c r="BB48" s="669"/>
      <c r="BC48" s="669"/>
      <c r="BD48" s="669"/>
      <c r="BE48" s="669"/>
      <c r="BF48" s="669"/>
      <c r="BG48" s="669"/>
      <c r="BH48" s="669"/>
      <c r="BI48" s="669"/>
      <c r="BJ48" s="669"/>
      <c r="BK48" s="669"/>
      <c r="BL48" s="669"/>
      <c r="BM48" s="669"/>
      <c r="BN48" s="669"/>
      <c r="BO48" s="669"/>
      <c r="BP48" s="669"/>
      <c r="BQ48" s="669"/>
      <c r="BR48" s="669"/>
      <c r="BS48" s="669"/>
      <c r="BT48" s="669"/>
      <c r="BU48" s="669"/>
      <c r="BV48" s="669"/>
      <c r="BW48" s="669"/>
      <c r="BX48" s="669"/>
      <c r="BY48" s="669"/>
      <c r="BZ48" s="669"/>
      <c r="CA48" s="669"/>
      <c r="CB48" s="669"/>
      <c r="CC48" s="669"/>
      <c r="CD48" s="669"/>
      <c r="CE48" s="669"/>
      <c r="CF48" s="669"/>
      <c r="CG48" s="669"/>
      <c r="CH48" s="669"/>
      <c r="CI48" s="669"/>
      <c r="CJ48" s="669"/>
      <c r="CK48" s="669"/>
      <c r="CL48" s="669"/>
      <c r="CM48" s="669"/>
      <c r="CN48" s="669"/>
      <c r="CO48" s="669"/>
      <c r="CP48" s="669"/>
      <c r="CQ48" s="669"/>
      <c r="CR48" s="669"/>
      <c r="CS48" s="669"/>
      <c r="CT48" s="669"/>
      <c r="CU48" s="669"/>
      <c r="CV48" s="669"/>
      <c r="CW48" s="669"/>
      <c r="CX48" s="669"/>
      <c r="CY48" s="669"/>
      <c r="CZ48" s="669"/>
      <c r="DA48" s="669"/>
      <c r="DB48" s="669"/>
      <c r="DC48" s="669"/>
      <c r="DD48" s="669"/>
      <c r="DE48" s="669"/>
      <c r="DF48" s="669"/>
      <c r="DG48" s="669"/>
      <c r="DH48" s="669"/>
      <c r="DI48" s="669"/>
      <c r="DJ48" s="669"/>
      <c r="DK48" s="669"/>
      <c r="DL48" s="669"/>
      <c r="DM48" s="669"/>
      <c r="DN48" s="669"/>
      <c r="DO48" s="669"/>
      <c r="DP48" s="669"/>
      <c r="DQ48" s="669"/>
      <c r="DR48" s="669"/>
      <c r="DS48" s="669"/>
      <c r="DT48" s="669"/>
      <c r="DU48" s="669"/>
      <c r="DV48" s="669"/>
      <c r="DW48" s="669"/>
      <c r="DX48" s="669"/>
      <c r="DY48" s="669"/>
      <c r="DZ48" s="669"/>
      <c r="EA48" s="669"/>
      <c r="EB48" s="669"/>
      <c r="EC48" s="669"/>
      <c r="ED48" s="669"/>
      <c r="EE48" s="669"/>
      <c r="EF48" s="669"/>
      <c r="EG48" s="669"/>
      <c r="EH48" s="669"/>
      <c r="EI48" s="669"/>
      <c r="EJ48" s="669"/>
      <c r="EK48" s="669"/>
      <c r="EL48" s="669"/>
      <c r="EM48" s="669"/>
      <c r="EN48" s="669"/>
      <c r="EO48" s="669"/>
      <c r="EP48" s="669"/>
      <c r="EQ48" s="669"/>
      <c r="ER48" s="669"/>
      <c r="ES48" s="669"/>
      <c r="ET48" s="669"/>
      <c r="EU48" s="669"/>
      <c r="EV48" s="669"/>
      <c r="EW48" s="669"/>
      <c r="EX48" s="669"/>
      <c r="EY48" s="669"/>
      <c r="EZ48" s="669"/>
      <c r="FA48" s="669"/>
      <c r="FB48" s="669"/>
      <c r="FC48" s="669"/>
      <c r="FD48" s="669"/>
      <c r="FE48" s="669"/>
      <c r="FF48" s="669"/>
      <c r="FG48" s="669"/>
      <c r="FH48" s="669"/>
      <c r="FI48" s="669"/>
      <c r="FJ48" s="669"/>
      <c r="FK48" s="669"/>
      <c r="FL48" s="669"/>
      <c r="FM48" s="669"/>
      <c r="FN48" s="669"/>
      <c r="FO48" s="669"/>
      <c r="FP48" s="669"/>
      <c r="FQ48" s="669"/>
      <c r="FR48" s="669"/>
      <c r="FS48" s="669"/>
      <c r="FT48" s="669"/>
      <c r="FU48" s="669"/>
      <c r="FV48" s="669"/>
      <c r="FW48" s="669"/>
      <c r="FX48" s="669"/>
      <c r="FY48" s="669"/>
      <c r="FZ48" s="669"/>
      <c r="GA48" s="669"/>
      <c r="GB48" s="669"/>
      <c r="GC48" s="669"/>
      <c r="GD48" s="669"/>
      <c r="GE48" s="669"/>
      <c r="GF48" s="669"/>
      <c r="GG48" s="669"/>
      <c r="GH48" s="669"/>
      <c r="GI48" s="669"/>
      <c r="GJ48" s="669"/>
      <c r="GK48" s="669"/>
      <c r="GL48" s="669"/>
      <c r="GM48" s="669"/>
      <c r="GN48" s="669"/>
      <c r="GO48" s="669"/>
      <c r="GP48" s="669"/>
      <c r="GQ48" s="669"/>
      <c r="GR48" s="669"/>
      <c r="GS48" s="669"/>
      <c r="GT48" s="669"/>
      <c r="GU48" s="669"/>
      <c r="GV48" s="669"/>
      <c r="GW48" s="669"/>
      <c r="GX48" s="669"/>
      <c r="GY48" s="669"/>
      <c r="GZ48" s="669"/>
      <c r="HA48" s="669"/>
      <c r="HB48" s="669"/>
      <c r="HC48" s="669"/>
      <c r="HD48" s="669"/>
      <c r="HE48" s="669"/>
      <c r="HF48" s="669"/>
      <c r="HG48" s="669"/>
      <c r="HH48" s="669"/>
      <c r="HI48" s="669"/>
      <c r="HJ48" s="669"/>
      <c r="HK48" s="669"/>
      <c r="HL48" s="669"/>
      <c r="HM48" s="669"/>
      <c r="HN48" s="669"/>
      <c r="HO48" s="669"/>
      <c r="HP48" s="669"/>
      <c r="HQ48" s="669"/>
      <c r="HR48" s="669"/>
      <c r="HS48" s="669"/>
      <c r="HT48" s="669"/>
      <c r="HU48" s="669"/>
      <c r="HV48" s="669"/>
      <c r="HW48" s="669"/>
      <c r="HX48" s="669"/>
      <c r="HY48" s="669"/>
      <c r="HZ48" s="669"/>
      <c r="IA48" s="669"/>
      <c r="IB48" s="669"/>
      <c r="IC48" s="669"/>
      <c r="ID48" s="669"/>
      <c r="IE48" s="669"/>
      <c r="IF48" s="669"/>
      <c r="IG48" s="669"/>
      <c r="IH48" s="669"/>
      <c r="II48" s="669"/>
      <c r="IJ48" s="669"/>
      <c r="IK48" s="669"/>
      <c r="IL48" s="669"/>
      <c r="IM48" s="669"/>
      <c r="IN48" s="669"/>
      <c r="IO48" s="669"/>
      <c r="IP48" s="669"/>
      <c r="IQ48" s="669"/>
      <c r="IR48" s="669"/>
      <c r="IS48" s="669"/>
      <c r="IT48" s="669"/>
      <c r="IU48" s="669"/>
      <c r="IV48" s="669"/>
      <c r="IW48" s="669"/>
      <c r="IX48" s="669"/>
      <c r="IY48" s="669"/>
      <c r="IZ48" s="669"/>
      <c r="JA48" s="669"/>
      <c r="JB48" s="669"/>
      <c r="JC48" s="669"/>
      <c r="JD48" s="669"/>
      <c r="JE48" s="669"/>
      <c r="JF48" s="669"/>
      <c r="JG48" s="669"/>
      <c r="JH48" s="669"/>
      <c r="JI48" s="669"/>
      <c r="JJ48" s="669"/>
      <c r="JK48" s="669"/>
      <c r="JL48" s="669"/>
      <c r="JM48" s="669"/>
      <c r="JN48" s="669"/>
      <c r="JO48" s="669"/>
      <c r="JP48" s="669"/>
      <c r="JQ48" s="669"/>
      <c r="JR48" s="669"/>
      <c r="JS48" s="669"/>
      <c r="JT48" s="669"/>
      <c r="JU48" s="669"/>
      <c r="JV48" s="669"/>
      <c r="JW48" s="669"/>
      <c r="JX48" s="669"/>
      <c r="JY48" s="669"/>
      <c r="JZ48" s="669"/>
      <c r="KA48" s="669"/>
      <c r="KB48" s="669"/>
      <c r="KC48" s="669"/>
      <c r="KD48" s="669"/>
      <c r="KE48" s="669"/>
      <c r="KF48" s="669"/>
      <c r="KG48" s="669"/>
      <c r="KH48" s="669"/>
      <c r="KI48" s="669"/>
      <c r="KJ48" s="669"/>
      <c r="KK48" s="669"/>
      <c r="KL48" s="669"/>
      <c r="KM48" s="669"/>
      <c r="KN48" s="669"/>
      <c r="KO48" s="669"/>
      <c r="KP48" s="669"/>
      <c r="KQ48" s="669"/>
      <c r="KR48" s="669"/>
      <c r="KS48" s="669"/>
      <c r="KT48" s="669"/>
      <c r="KU48" s="669"/>
      <c r="KV48" s="669"/>
      <c r="KW48" s="669"/>
      <c r="KX48" s="669"/>
      <c r="KY48" s="669"/>
      <c r="KZ48" s="669"/>
      <c r="LA48" s="669"/>
      <c r="LB48" s="669"/>
      <c r="LC48" s="669"/>
      <c r="LD48" s="669"/>
      <c r="LE48" s="669"/>
      <c r="LF48" s="669"/>
      <c r="LG48" s="669"/>
      <c r="LH48" s="669"/>
      <c r="LI48" s="669"/>
      <c r="LJ48" s="669"/>
      <c r="LK48" s="669"/>
      <c r="LL48" s="669"/>
      <c r="LM48" s="669"/>
      <c r="LN48" s="669"/>
      <c r="LO48" s="669"/>
      <c r="LP48" s="669"/>
      <c r="LQ48" s="669"/>
      <c r="LR48" s="669"/>
      <c r="LS48" s="669"/>
      <c r="LT48" s="669"/>
      <c r="LU48" s="669"/>
      <c r="LV48" s="669"/>
      <c r="LW48" s="669"/>
      <c r="LX48" s="669"/>
      <c r="LY48" s="669"/>
      <c r="LZ48" s="669"/>
      <c r="MA48" s="669"/>
      <c r="MB48" s="669"/>
      <c r="MC48" s="669"/>
      <c r="MD48" s="669"/>
      <c r="ME48" s="669"/>
      <c r="MF48" s="669"/>
      <c r="MG48" s="669"/>
      <c r="MH48" s="669"/>
      <c r="MI48" s="669"/>
      <c r="MJ48" s="669"/>
      <c r="MK48" s="669"/>
      <c r="ML48" s="669"/>
      <c r="MM48" s="669"/>
      <c r="MN48" s="669"/>
      <c r="MO48" s="669"/>
      <c r="MP48" s="669"/>
      <c r="MQ48" s="669"/>
      <c r="MR48" s="669"/>
      <c r="MS48" s="669"/>
      <c r="MT48" s="669"/>
      <c r="MU48" s="669"/>
      <c r="MV48" s="669"/>
      <c r="MW48" s="669"/>
      <c r="MX48" s="669"/>
      <c r="MY48" s="669"/>
      <c r="MZ48" s="669"/>
      <c r="NA48" s="669"/>
      <c r="NB48" s="669"/>
      <c r="NC48" s="669"/>
      <c r="ND48" s="669"/>
      <c r="NE48" s="669"/>
      <c r="NF48" s="669"/>
      <c r="NG48" s="669"/>
      <c r="NH48" s="669"/>
      <c r="NI48" s="669"/>
      <c r="NJ48" s="669"/>
      <c r="NK48" s="669"/>
      <c r="NL48" s="669"/>
      <c r="NM48" s="669"/>
      <c r="NN48" s="669"/>
      <c r="NO48" s="669"/>
      <c r="NP48" s="669"/>
      <c r="NQ48" s="669"/>
      <c r="NR48" s="669"/>
      <c r="NS48" s="669"/>
      <c r="NT48" s="669"/>
      <c r="NU48" s="669"/>
      <c r="NV48" s="669"/>
      <c r="NW48" s="669"/>
      <c r="NX48" s="669"/>
      <c r="NY48" s="669"/>
      <c r="NZ48" s="669"/>
      <c r="OA48" s="669"/>
      <c r="OB48" s="669"/>
      <c r="OC48" s="669"/>
      <c r="OD48" s="669"/>
      <c r="OE48" s="669"/>
      <c r="OF48" s="669"/>
      <c r="OG48" s="669"/>
      <c r="OH48" s="669"/>
      <c r="OI48" s="669"/>
      <c r="OJ48" s="669"/>
      <c r="OK48" s="669"/>
      <c r="OL48" s="669"/>
      <c r="OM48" s="669"/>
      <c r="ON48" s="669"/>
      <c r="OO48" s="669"/>
      <c r="OP48" s="669"/>
      <c r="OQ48" s="669"/>
      <c r="OR48" s="669"/>
      <c r="OS48" s="669"/>
      <c r="OT48" s="669"/>
      <c r="OU48" s="669"/>
      <c r="OV48" s="669"/>
      <c r="OW48" s="669"/>
      <c r="OX48" s="669"/>
      <c r="OY48" s="669"/>
      <c r="OZ48" s="669"/>
      <c r="PA48" s="669"/>
      <c r="PB48" s="669"/>
      <c r="PC48" s="669"/>
      <c r="PD48" s="669"/>
      <c r="PE48" s="669"/>
      <c r="PF48" s="669"/>
      <c r="PG48" s="669"/>
      <c r="PH48" s="669"/>
      <c r="PI48" s="669"/>
      <c r="PJ48" s="669"/>
      <c r="PK48" s="669"/>
      <c r="PL48" s="669"/>
      <c r="PM48" s="669"/>
      <c r="PN48" s="669"/>
      <c r="PO48" s="669"/>
      <c r="PP48" s="669"/>
      <c r="PQ48" s="669"/>
      <c r="PR48" s="669"/>
      <c r="PS48" s="669"/>
      <c r="PT48" s="669"/>
      <c r="PU48" s="669"/>
      <c r="PV48" s="669"/>
      <c r="PW48" s="669"/>
      <c r="PX48" s="669"/>
      <c r="PY48" s="669"/>
      <c r="PZ48" s="669"/>
      <c r="QA48" s="669"/>
      <c r="QB48" s="669"/>
      <c r="QC48" s="669"/>
      <c r="QD48" s="669"/>
    </row>
    <row r="49" spans="1:446" s="116" customFormat="1" x14ac:dyDescent="0.25">
      <c r="A49" s="678">
        <v>1</v>
      </c>
      <c r="B49" s="668"/>
      <c r="C49" s="669"/>
      <c r="D49" s="669"/>
      <c r="E49" s="668"/>
      <c r="F49" s="669"/>
      <c r="G49" s="669"/>
      <c r="H49" s="669"/>
      <c r="I49" s="669"/>
      <c r="J49" s="669"/>
      <c r="K49" s="669"/>
      <c r="L49" s="669"/>
      <c r="M49" s="669"/>
      <c r="N49" s="669"/>
      <c r="O49" s="669"/>
      <c r="P49" s="669"/>
      <c r="Q49" s="669"/>
      <c r="R49" s="669"/>
      <c r="S49" s="669"/>
      <c r="T49" s="669"/>
      <c r="U49" s="669"/>
      <c r="V49" s="669"/>
      <c r="W49" s="669"/>
      <c r="X49" s="669"/>
      <c r="Y49" s="669"/>
      <c r="Z49" s="669"/>
      <c r="AA49" s="669"/>
      <c r="AB49" s="669"/>
      <c r="AC49" s="669"/>
      <c r="AD49" s="669"/>
      <c r="AE49" s="669"/>
      <c r="AF49" s="669"/>
      <c r="AG49" s="669"/>
      <c r="AH49" s="669"/>
      <c r="AI49" s="669"/>
      <c r="AJ49" s="669"/>
      <c r="AK49" s="669"/>
      <c r="AL49" s="669"/>
      <c r="AM49" s="669"/>
      <c r="AN49" s="669"/>
      <c r="AO49" s="669"/>
      <c r="AP49" s="669"/>
      <c r="AQ49" s="669"/>
      <c r="AR49" s="669"/>
      <c r="AS49" s="669"/>
      <c r="AT49" s="669"/>
      <c r="AU49" s="669"/>
      <c r="AV49" s="669"/>
      <c r="AW49" s="669"/>
      <c r="AX49" s="669"/>
      <c r="AY49" s="669"/>
      <c r="AZ49" s="669"/>
      <c r="BA49" s="669"/>
      <c r="BB49" s="669"/>
      <c r="BC49" s="669"/>
      <c r="BD49" s="669"/>
      <c r="BE49" s="669"/>
      <c r="BF49" s="669"/>
      <c r="BG49" s="669"/>
      <c r="BH49" s="669"/>
      <c r="BI49" s="669"/>
      <c r="BJ49" s="669"/>
      <c r="BK49" s="669"/>
      <c r="BL49" s="669"/>
      <c r="BM49" s="669"/>
      <c r="BN49" s="669"/>
      <c r="BO49" s="669"/>
      <c r="BP49" s="669"/>
      <c r="BQ49" s="669"/>
      <c r="BR49" s="669"/>
      <c r="BS49" s="669"/>
      <c r="BT49" s="669"/>
      <c r="BU49" s="669"/>
      <c r="BV49" s="669"/>
      <c r="BW49" s="669"/>
      <c r="BX49" s="669"/>
      <c r="BY49" s="669"/>
      <c r="BZ49" s="669"/>
      <c r="CA49" s="669"/>
      <c r="CB49" s="669"/>
      <c r="CC49" s="669"/>
      <c r="CD49" s="669"/>
      <c r="CE49" s="669"/>
      <c r="CF49" s="669"/>
      <c r="CG49" s="669"/>
      <c r="CH49" s="669"/>
      <c r="CI49" s="669"/>
      <c r="CJ49" s="669"/>
      <c r="CK49" s="669"/>
      <c r="CL49" s="669"/>
      <c r="CM49" s="669"/>
      <c r="CN49" s="669"/>
      <c r="CO49" s="669"/>
      <c r="CP49" s="669"/>
      <c r="CQ49" s="669"/>
      <c r="CR49" s="669"/>
      <c r="CS49" s="669"/>
      <c r="CT49" s="669"/>
      <c r="CU49" s="669"/>
      <c r="CV49" s="669"/>
      <c r="CW49" s="669"/>
      <c r="CX49" s="669"/>
      <c r="CY49" s="669"/>
      <c r="CZ49" s="669"/>
      <c r="DA49" s="669"/>
      <c r="DB49" s="669"/>
      <c r="DC49" s="669"/>
      <c r="DD49" s="669"/>
      <c r="DE49" s="669"/>
      <c r="DF49" s="669"/>
      <c r="DG49" s="669"/>
      <c r="DH49" s="669"/>
      <c r="DI49" s="669"/>
      <c r="DJ49" s="669"/>
      <c r="DK49" s="669"/>
      <c r="DL49" s="669"/>
      <c r="DM49" s="669"/>
      <c r="DN49" s="669"/>
      <c r="DO49" s="669"/>
      <c r="DP49" s="669"/>
      <c r="DQ49" s="669"/>
      <c r="DR49" s="669"/>
      <c r="DS49" s="669"/>
      <c r="DT49" s="669"/>
      <c r="DU49" s="669"/>
      <c r="DV49" s="669"/>
      <c r="DW49" s="669"/>
      <c r="DX49" s="669"/>
      <c r="DY49" s="669"/>
      <c r="DZ49" s="669"/>
      <c r="EA49" s="669"/>
      <c r="EB49" s="669"/>
      <c r="EC49" s="669"/>
      <c r="ED49" s="669"/>
      <c r="EE49" s="669"/>
      <c r="EF49" s="669"/>
      <c r="EG49" s="669"/>
      <c r="EH49" s="669"/>
      <c r="EI49" s="669"/>
      <c r="EJ49" s="669"/>
      <c r="EK49" s="669"/>
      <c r="EL49" s="669"/>
      <c r="EM49" s="669"/>
      <c r="EN49" s="669"/>
      <c r="EO49" s="669"/>
      <c r="EP49" s="669"/>
      <c r="EQ49" s="669"/>
      <c r="ER49" s="669"/>
      <c r="ES49" s="669"/>
      <c r="ET49" s="669"/>
      <c r="EU49" s="669"/>
      <c r="EV49" s="669"/>
      <c r="EW49" s="669"/>
      <c r="EX49" s="669"/>
      <c r="EY49" s="669"/>
      <c r="EZ49" s="669"/>
      <c r="FA49" s="669"/>
      <c r="FB49" s="669"/>
      <c r="FC49" s="669"/>
      <c r="FD49" s="669"/>
      <c r="FE49" s="669"/>
      <c r="FF49" s="669"/>
      <c r="FG49" s="669"/>
      <c r="FH49" s="669"/>
      <c r="FI49" s="669"/>
      <c r="FJ49" s="669"/>
      <c r="FK49" s="669"/>
      <c r="FL49" s="669"/>
      <c r="FM49" s="669"/>
      <c r="FN49" s="669"/>
      <c r="FO49" s="669"/>
      <c r="FP49" s="669"/>
      <c r="FQ49" s="669"/>
      <c r="FR49" s="669"/>
      <c r="FS49" s="669"/>
      <c r="FT49" s="669"/>
      <c r="FU49" s="669"/>
      <c r="FV49" s="669"/>
      <c r="FW49" s="669"/>
      <c r="FX49" s="669"/>
      <c r="FY49" s="669"/>
      <c r="FZ49" s="669"/>
      <c r="GA49" s="669"/>
      <c r="GB49" s="669"/>
      <c r="GC49" s="669"/>
      <c r="GD49" s="669"/>
      <c r="GE49" s="669"/>
      <c r="GF49" s="669"/>
      <c r="GG49" s="669"/>
      <c r="GH49" s="669"/>
      <c r="GI49" s="669"/>
      <c r="GJ49" s="669"/>
      <c r="GK49" s="669"/>
      <c r="GL49" s="669"/>
      <c r="GM49" s="669"/>
      <c r="GN49" s="669"/>
      <c r="GO49" s="669"/>
      <c r="GP49" s="669"/>
      <c r="GQ49" s="669"/>
      <c r="GR49" s="669"/>
      <c r="GS49" s="669"/>
      <c r="GT49" s="669"/>
      <c r="GU49" s="669"/>
      <c r="GV49" s="669"/>
      <c r="GW49" s="669"/>
      <c r="GX49" s="669"/>
      <c r="GY49" s="669"/>
      <c r="GZ49" s="669"/>
      <c r="HA49" s="669"/>
      <c r="HB49" s="669"/>
      <c r="HC49" s="669"/>
      <c r="HD49" s="669"/>
      <c r="HE49" s="669"/>
      <c r="HF49" s="669"/>
      <c r="HG49" s="669"/>
      <c r="HH49" s="669"/>
      <c r="HI49" s="669"/>
      <c r="HJ49" s="669"/>
      <c r="HK49" s="669"/>
      <c r="HL49" s="669"/>
      <c r="HM49" s="669"/>
      <c r="HN49" s="669"/>
      <c r="HO49" s="669"/>
      <c r="HP49" s="669"/>
      <c r="HQ49" s="669"/>
      <c r="HR49" s="669"/>
      <c r="HS49" s="669"/>
      <c r="HT49" s="669"/>
      <c r="HU49" s="669"/>
      <c r="HV49" s="669"/>
      <c r="HW49" s="669"/>
      <c r="HX49" s="669"/>
      <c r="HY49" s="669"/>
      <c r="HZ49" s="669"/>
      <c r="IA49" s="669"/>
      <c r="IB49" s="669"/>
      <c r="IC49" s="669"/>
      <c r="ID49" s="669"/>
      <c r="IE49" s="669"/>
      <c r="IF49" s="669"/>
      <c r="IG49" s="669"/>
      <c r="IH49" s="669"/>
      <c r="II49" s="669"/>
      <c r="IJ49" s="669"/>
      <c r="IK49" s="669"/>
      <c r="IL49" s="669"/>
      <c r="IM49" s="669"/>
      <c r="IN49" s="669"/>
      <c r="IO49" s="669"/>
      <c r="IP49" s="669"/>
      <c r="IQ49" s="669"/>
      <c r="IR49" s="669"/>
      <c r="IS49" s="669"/>
      <c r="IT49" s="669"/>
      <c r="IU49" s="669"/>
      <c r="IV49" s="669"/>
      <c r="IW49" s="669"/>
      <c r="IX49" s="669"/>
      <c r="IY49" s="669"/>
      <c r="IZ49" s="669"/>
      <c r="JA49" s="669"/>
      <c r="JB49" s="669"/>
      <c r="JC49" s="669"/>
      <c r="JD49" s="669"/>
      <c r="JE49" s="669"/>
      <c r="JF49" s="669"/>
      <c r="JG49" s="669"/>
      <c r="JH49" s="669"/>
      <c r="JI49" s="669"/>
      <c r="JJ49" s="669"/>
      <c r="JK49" s="669"/>
      <c r="JL49" s="669"/>
      <c r="JM49" s="669"/>
      <c r="JN49" s="669"/>
      <c r="JO49" s="669"/>
      <c r="JP49" s="669"/>
      <c r="JQ49" s="669"/>
      <c r="JR49" s="669"/>
      <c r="JS49" s="669"/>
      <c r="JT49" s="669"/>
      <c r="JU49" s="669"/>
      <c r="JV49" s="669"/>
      <c r="JW49" s="669"/>
      <c r="JX49" s="669"/>
      <c r="JY49" s="669"/>
      <c r="JZ49" s="669"/>
      <c r="KA49" s="669"/>
      <c r="KB49" s="669"/>
      <c r="KC49" s="669"/>
      <c r="KD49" s="669"/>
      <c r="KE49" s="669"/>
      <c r="KF49" s="669"/>
      <c r="KG49" s="669"/>
      <c r="KH49" s="669"/>
      <c r="KI49" s="669"/>
      <c r="KJ49" s="669"/>
      <c r="KK49" s="669"/>
      <c r="KL49" s="669"/>
      <c r="KM49" s="669"/>
      <c r="KN49" s="669"/>
      <c r="KO49" s="669"/>
      <c r="KP49" s="669"/>
      <c r="KQ49" s="669"/>
      <c r="KR49" s="669"/>
      <c r="KS49" s="669"/>
      <c r="KT49" s="669"/>
      <c r="KU49" s="669"/>
      <c r="KV49" s="669"/>
      <c r="KW49" s="669"/>
      <c r="KX49" s="669"/>
      <c r="KY49" s="669"/>
      <c r="KZ49" s="669"/>
      <c r="LA49" s="669"/>
      <c r="LB49" s="669"/>
      <c r="LC49" s="669"/>
      <c r="LD49" s="669"/>
      <c r="LE49" s="669"/>
      <c r="LF49" s="669"/>
      <c r="LG49" s="669"/>
      <c r="LH49" s="669"/>
      <c r="LI49" s="669"/>
      <c r="LJ49" s="669"/>
      <c r="LK49" s="669"/>
      <c r="LL49" s="669"/>
      <c r="LM49" s="669"/>
      <c r="LN49" s="669"/>
      <c r="LO49" s="669"/>
      <c r="LP49" s="669"/>
      <c r="LQ49" s="669"/>
      <c r="LR49" s="669"/>
      <c r="LS49" s="669"/>
      <c r="LT49" s="669"/>
      <c r="LU49" s="669"/>
      <c r="LV49" s="669"/>
      <c r="LW49" s="669"/>
      <c r="LX49" s="669"/>
      <c r="LY49" s="669"/>
      <c r="LZ49" s="669"/>
      <c r="MA49" s="669"/>
      <c r="MB49" s="669"/>
      <c r="MC49" s="669"/>
      <c r="MD49" s="669"/>
      <c r="ME49" s="669"/>
      <c r="MF49" s="669"/>
      <c r="MG49" s="669"/>
      <c r="MH49" s="669"/>
      <c r="MI49" s="669"/>
      <c r="MJ49" s="669"/>
      <c r="MK49" s="669"/>
      <c r="ML49" s="669"/>
      <c r="MM49" s="669"/>
      <c r="MN49" s="669"/>
      <c r="MO49" s="669"/>
      <c r="MP49" s="669"/>
      <c r="MQ49" s="669"/>
      <c r="MR49" s="669"/>
      <c r="MS49" s="669"/>
      <c r="MT49" s="669"/>
      <c r="MU49" s="669"/>
      <c r="MV49" s="669"/>
      <c r="MW49" s="669"/>
      <c r="MX49" s="669"/>
      <c r="MY49" s="669"/>
      <c r="MZ49" s="669"/>
      <c r="NA49" s="669"/>
      <c r="NB49" s="669"/>
      <c r="NC49" s="669"/>
      <c r="ND49" s="669"/>
      <c r="NE49" s="669"/>
      <c r="NF49" s="669"/>
      <c r="NG49" s="669"/>
      <c r="NH49" s="669"/>
      <c r="NI49" s="669"/>
      <c r="NJ49" s="669"/>
      <c r="NK49" s="669"/>
      <c r="NL49" s="669"/>
      <c r="NM49" s="669"/>
      <c r="NN49" s="669"/>
      <c r="NO49" s="669"/>
      <c r="NP49" s="669"/>
      <c r="NQ49" s="669"/>
      <c r="NR49" s="669"/>
      <c r="NS49" s="669"/>
      <c r="NT49" s="669"/>
      <c r="NU49" s="669"/>
      <c r="NV49" s="669"/>
      <c r="NW49" s="669"/>
      <c r="NX49" s="669"/>
      <c r="NY49" s="669"/>
      <c r="NZ49" s="669"/>
      <c r="OA49" s="669"/>
      <c r="OB49" s="669"/>
      <c r="OC49" s="669"/>
      <c r="OD49" s="669"/>
      <c r="OE49" s="669"/>
      <c r="OF49" s="669"/>
      <c r="OG49" s="669"/>
      <c r="OH49" s="669"/>
      <c r="OI49" s="669"/>
      <c r="OJ49" s="669"/>
      <c r="OK49" s="669"/>
      <c r="OL49" s="669"/>
      <c r="OM49" s="669"/>
      <c r="ON49" s="669"/>
      <c r="OO49" s="669"/>
      <c r="OP49" s="669"/>
      <c r="OQ49" s="669"/>
      <c r="OR49" s="669"/>
      <c r="OS49" s="669"/>
      <c r="OT49" s="669"/>
      <c r="OU49" s="669"/>
      <c r="OV49" s="669"/>
      <c r="OW49" s="669"/>
      <c r="OX49" s="669"/>
      <c r="OY49" s="669"/>
      <c r="OZ49" s="669"/>
      <c r="PA49" s="669"/>
      <c r="PB49" s="669"/>
      <c r="PC49" s="669"/>
      <c r="PD49" s="669"/>
      <c r="PE49" s="669"/>
      <c r="PF49" s="669"/>
      <c r="PG49" s="669"/>
      <c r="PH49" s="669"/>
      <c r="PI49" s="669"/>
      <c r="PJ49" s="669"/>
      <c r="PK49" s="669"/>
      <c r="PL49" s="669"/>
      <c r="PM49" s="669"/>
      <c r="PN49" s="669"/>
      <c r="PO49" s="669"/>
      <c r="PP49" s="669"/>
      <c r="PQ49" s="669"/>
      <c r="PR49" s="669"/>
      <c r="PS49" s="669"/>
      <c r="PT49" s="669"/>
      <c r="PU49" s="669"/>
      <c r="PV49" s="669"/>
      <c r="PW49" s="669"/>
      <c r="PX49" s="669"/>
      <c r="PY49" s="669"/>
      <c r="PZ49" s="669"/>
      <c r="QA49" s="669"/>
      <c r="QB49" s="669"/>
      <c r="QC49" s="669"/>
      <c r="QD49" s="669"/>
    </row>
    <row r="50" spans="1:446" s="116" customFormat="1" x14ac:dyDescent="0.25">
      <c r="A50" s="678">
        <v>1</v>
      </c>
      <c r="B50" s="668"/>
      <c r="C50" s="669"/>
      <c r="D50" s="669"/>
      <c r="E50" s="668"/>
      <c r="F50" s="669"/>
      <c r="G50" s="669"/>
      <c r="H50" s="669"/>
      <c r="I50" s="669"/>
      <c r="J50" s="669"/>
      <c r="K50" s="669"/>
      <c r="L50" s="669"/>
      <c r="M50" s="669"/>
      <c r="N50" s="669"/>
      <c r="O50" s="669"/>
      <c r="P50" s="669"/>
      <c r="Q50" s="669"/>
      <c r="R50" s="669"/>
      <c r="S50" s="669"/>
      <c r="T50" s="669"/>
      <c r="U50" s="669"/>
      <c r="V50" s="669"/>
      <c r="W50" s="669"/>
      <c r="X50" s="669"/>
      <c r="Y50" s="669"/>
      <c r="Z50" s="669"/>
      <c r="AA50" s="669"/>
      <c r="AB50" s="669"/>
      <c r="AC50" s="669"/>
      <c r="AD50" s="669"/>
      <c r="AE50" s="669"/>
      <c r="AF50" s="669"/>
      <c r="AG50" s="669"/>
      <c r="AH50" s="669"/>
      <c r="AI50" s="669"/>
      <c r="AJ50" s="669"/>
      <c r="AK50" s="669"/>
      <c r="AL50" s="669"/>
      <c r="AM50" s="669"/>
      <c r="AN50" s="669"/>
      <c r="AO50" s="669"/>
      <c r="AP50" s="669"/>
      <c r="AQ50" s="669"/>
      <c r="AR50" s="669"/>
      <c r="AS50" s="669"/>
      <c r="AT50" s="669"/>
      <c r="AU50" s="669"/>
      <c r="AV50" s="669"/>
      <c r="AW50" s="669"/>
      <c r="AX50" s="669"/>
      <c r="AY50" s="669"/>
      <c r="AZ50" s="669"/>
      <c r="BA50" s="669"/>
      <c r="BB50" s="669"/>
      <c r="BC50" s="669"/>
      <c r="BD50" s="669"/>
      <c r="BE50" s="669"/>
      <c r="BF50" s="669"/>
      <c r="BG50" s="669"/>
      <c r="BH50" s="669"/>
      <c r="BI50" s="669"/>
      <c r="BJ50" s="669"/>
      <c r="BK50" s="669"/>
      <c r="BL50" s="669"/>
      <c r="BM50" s="669"/>
      <c r="BN50" s="669"/>
      <c r="BO50" s="669"/>
      <c r="BP50" s="669"/>
      <c r="BQ50" s="669"/>
      <c r="BR50" s="669"/>
      <c r="BS50" s="669"/>
      <c r="BT50" s="669"/>
      <c r="BU50" s="669"/>
      <c r="BV50" s="669"/>
      <c r="BW50" s="669"/>
      <c r="BX50" s="669"/>
      <c r="BY50" s="669"/>
      <c r="BZ50" s="669"/>
      <c r="CA50" s="669"/>
      <c r="CB50" s="669"/>
      <c r="CC50" s="669"/>
      <c r="CD50" s="669"/>
      <c r="CE50" s="669"/>
      <c r="CF50" s="669"/>
      <c r="CG50" s="669"/>
      <c r="CH50" s="669"/>
      <c r="CI50" s="669"/>
      <c r="CJ50" s="669"/>
      <c r="CK50" s="669"/>
      <c r="CL50" s="669"/>
      <c r="CM50" s="669"/>
      <c r="CN50" s="669"/>
      <c r="CO50" s="669"/>
      <c r="CP50" s="669"/>
      <c r="CQ50" s="669"/>
      <c r="CR50" s="669"/>
      <c r="CS50" s="669"/>
      <c r="CT50" s="669"/>
      <c r="CU50" s="669"/>
      <c r="CV50" s="669"/>
      <c r="CW50" s="669"/>
      <c r="CX50" s="669"/>
      <c r="CY50" s="669"/>
      <c r="CZ50" s="669"/>
      <c r="DA50" s="669"/>
      <c r="DB50" s="669"/>
      <c r="DC50" s="669"/>
      <c r="DD50" s="669"/>
      <c r="DE50" s="669"/>
      <c r="DF50" s="669"/>
      <c r="DG50" s="669"/>
      <c r="DH50" s="669"/>
      <c r="DI50" s="669"/>
      <c r="DJ50" s="669"/>
      <c r="DK50" s="669"/>
      <c r="DL50" s="669"/>
      <c r="DM50" s="669"/>
      <c r="DN50" s="669"/>
      <c r="DO50" s="669"/>
      <c r="DP50" s="669"/>
      <c r="DQ50" s="669"/>
      <c r="DR50" s="669"/>
      <c r="DS50" s="669"/>
      <c r="DT50" s="669"/>
      <c r="DU50" s="669"/>
      <c r="DV50" s="669"/>
      <c r="DW50" s="669"/>
      <c r="DX50" s="669"/>
      <c r="DY50" s="669"/>
      <c r="DZ50" s="669"/>
      <c r="EA50" s="669"/>
      <c r="EB50" s="669"/>
      <c r="EC50" s="669"/>
      <c r="ED50" s="669"/>
      <c r="EE50" s="669"/>
      <c r="EF50" s="669"/>
      <c r="EG50" s="669"/>
      <c r="EH50" s="669"/>
      <c r="EI50" s="669"/>
      <c r="EJ50" s="669"/>
      <c r="EK50" s="669"/>
      <c r="EL50" s="669"/>
      <c r="EM50" s="669"/>
      <c r="EN50" s="669"/>
      <c r="EO50" s="669"/>
      <c r="EP50" s="669"/>
      <c r="EQ50" s="669"/>
      <c r="ER50" s="669"/>
      <c r="ES50" s="669"/>
      <c r="ET50" s="669"/>
      <c r="EU50" s="669"/>
      <c r="EV50" s="669"/>
      <c r="EW50" s="669"/>
      <c r="EX50" s="669"/>
      <c r="EY50" s="669"/>
      <c r="EZ50" s="669"/>
      <c r="FA50" s="669"/>
      <c r="FB50" s="669"/>
      <c r="FC50" s="669"/>
      <c r="FD50" s="669"/>
      <c r="FE50" s="669"/>
      <c r="FF50" s="669"/>
      <c r="FG50" s="669"/>
      <c r="FH50" s="669"/>
      <c r="FI50" s="669"/>
      <c r="FJ50" s="669"/>
      <c r="FK50" s="669"/>
      <c r="FL50" s="669"/>
      <c r="FM50" s="669"/>
      <c r="FN50" s="669"/>
      <c r="FO50" s="669"/>
      <c r="FP50" s="669"/>
      <c r="FQ50" s="669"/>
      <c r="FR50" s="669"/>
      <c r="FS50" s="669"/>
      <c r="FT50" s="669"/>
      <c r="FU50" s="669"/>
      <c r="FV50" s="669"/>
      <c r="FW50" s="669"/>
      <c r="FX50" s="669"/>
      <c r="FY50" s="669"/>
      <c r="FZ50" s="669"/>
      <c r="GA50" s="669"/>
      <c r="GB50" s="669"/>
      <c r="GC50" s="669"/>
      <c r="GD50" s="669"/>
      <c r="GE50" s="669"/>
      <c r="GF50" s="669"/>
      <c r="GG50" s="669"/>
      <c r="GH50" s="669"/>
      <c r="GI50" s="669"/>
      <c r="GJ50" s="669"/>
      <c r="GK50" s="669"/>
      <c r="GL50" s="669"/>
      <c r="GM50" s="669"/>
      <c r="GN50" s="669"/>
      <c r="GO50" s="669"/>
      <c r="GP50" s="669"/>
      <c r="GQ50" s="669"/>
      <c r="GR50" s="669"/>
      <c r="GS50" s="669"/>
      <c r="GT50" s="669"/>
      <c r="GU50" s="669"/>
      <c r="GV50" s="669"/>
      <c r="GW50" s="669"/>
      <c r="GX50" s="669"/>
      <c r="GY50" s="669"/>
      <c r="GZ50" s="669"/>
      <c r="HA50" s="669"/>
      <c r="HB50" s="669"/>
      <c r="HC50" s="669"/>
      <c r="HD50" s="669"/>
      <c r="HE50" s="669"/>
      <c r="HF50" s="669"/>
      <c r="HG50" s="669"/>
      <c r="HH50" s="669"/>
      <c r="HI50" s="669"/>
      <c r="HJ50" s="669"/>
      <c r="HK50" s="669"/>
      <c r="HL50" s="669"/>
      <c r="HM50" s="669"/>
      <c r="HN50" s="669"/>
      <c r="HO50" s="669"/>
      <c r="HP50" s="669"/>
      <c r="HQ50" s="669"/>
      <c r="HR50" s="669"/>
      <c r="HS50" s="669"/>
      <c r="HT50" s="669"/>
      <c r="HU50" s="669"/>
      <c r="HV50" s="669"/>
      <c r="HW50" s="669"/>
      <c r="HX50" s="669"/>
      <c r="HY50" s="669"/>
      <c r="HZ50" s="669"/>
      <c r="IA50" s="669"/>
      <c r="IB50" s="669"/>
      <c r="IC50" s="669"/>
      <c r="ID50" s="669"/>
      <c r="IE50" s="669"/>
      <c r="IF50" s="669"/>
      <c r="IG50" s="669"/>
      <c r="IH50" s="669"/>
      <c r="II50" s="669"/>
      <c r="IJ50" s="669"/>
      <c r="IK50" s="669"/>
      <c r="IL50" s="669"/>
      <c r="IM50" s="669"/>
      <c r="IN50" s="669"/>
      <c r="IO50" s="669"/>
      <c r="IP50" s="669"/>
      <c r="IQ50" s="669"/>
      <c r="IR50" s="669"/>
      <c r="IS50" s="669"/>
      <c r="IT50" s="669"/>
      <c r="IU50" s="669"/>
      <c r="IV50" s="669"/>
      <c r="IW50" s="669"/>
      <c r="IX50" s="669"/>
      <c r="IY50" s="669"/>
      <c r="IZ50" s="669"/>
      <c r="JA50" s="669"/>
      <c r="JB50" s="669"/>
      <c r="JC50" s="669"/>
      <c r="JD50" s="669"/>
      <c r="JE50" s="669"/>
      <c r="JF50" s="669"/>
      <c r="JG50" s="669"/>
      <c r="JH50" s="669"/>
      <c r="JI50" s="669"/>
      <c r="JJ50" s="669"/>
      <c r="JK50" s="669"/>
      <c r="JL50" s="669"/>
      <c r="JM50" s="669"/>
      <c r="JN50" s="669"/>
      <c r="JO50" s="669"/>
      <c r="JP50" s="669"/>
      <c r="JQ50" s="669"/>
      <c r="JR50" s="669"/>
      <c r="JS50" s="669"/>
      <c r="JT50" s="669"/>
      <c r="JU50" s="669"/>
      <c r="JV50" s="669"/>
      <c r="JW50" s="669"/>
      <c r="JX50" s="669"/>
      <c r="JY50" s="669"/>
      <c r="JZ50" s="669"/>
      <c r="KA50" s="669"/>
      <c r="KB50" s="669"/>
      <c r="KC50" s="669"/>
      <c r="KD50" s="669"/>
      <c r="KE50" s="669"/>
      <c r="KF50" s="669"/>
      <c r="KG50" s="669"/>
      <c r="KH50" s="669"/>
      <c r="KI50" s="669"/>
      <c r="KJ50" s="669"/>
      <c r="KK50" s="669"/>
      <c r="KL50" s="669"/>
      <c r="KM50" s="669"/>
      <c r="KN50" s="669"/>
      <c r="KO50" s="669"/>
      <c r="KP50" s="669"/>
      <c r="KQ50" s="669"/>
      <c r="KR50" s="669"/>
      <c r="KS50" s="669"/>
      <c r="KT50" s="669"/>
      <c r="KU50" s="669"/>
      <c r="KV50" s="669"/>
      <c r="KW50" s="669"/>
      <c r="KX50" s="669"/>
      <c r="KY50" s="669"/>
      <c r="KZ50" s="669"/>
      <c r="LA50" s="669"/>
      <c r="LB50" s="669"/>
      <c r="LC50" s="669"/>
      <c r="LD50" s="669"/>
      <c r="LE50" s="669"/>
      <c r="LF50" s="669"/>
      <c r="LG50" s="669"/>
      <c r="LH50" s="669"/>
      <c r="LI50" s="669"/>
      <c r="LJ50" s="669"/>
      <c r="LK50" s="669"/>
      <c r="LL50" s="669"/>
      <c r="LM50" s="669"/>
      <c r="LN50" s="669"/>
      <c r="LO50" s="669"/>
      <c r="LP50" s="669"/>
      <c r="LQ50" s="669"/>
      <c r="LR50" s="669"/>
      <c r="LS50" s="669"/>
      <c r="LT50" s="669"/>
      <c r="LU50" s="669"/>
      <c r="LV50" s="669"/>
      <c r="LW50" s="669"/>
      <c r="LX50" s="669"/>
      <c r="LY50" s="669"/>
      <c r="LZ50" s="669"/>
      <c r="MA50" s="669"/>
      <c r="MB50" s="669"/>
      <c r="MC50" s="669"/>
      <c r="MD50" s="669"/>
      <c r="ME50" s="669"/>
      <c r="MF50" s="669"/>
      <c r="MG50" s="669"/>
      <c r="MH50" s="669"/>
      <c r="MI50" s="669"/>
      <c r="MJ50" s="669"/>
      <c r="MK50" s="669"/>
      <c r="ML50" s="669"/>
      <c r="MM50" s="669"/>
      <c r="MN50" s="669"/>
      <c r="MO50" s="669"/>
      <c r="MP50" s="669"/>
      <c r="MQ50" s="669"/>
      <c r="MR50" s="669"/>
      <c r="MS50" s="669"/>
      <c r="MT50" s="669"/>
      <c r="MU50" s="669"/>
      <c r="MV50" s="669"/>
      <c r="MW50" s="669"/>
      <c r="MX50" s="669"/>
      <c r="MY50" s="669"/>
      <c r="MZ50" s="669"/>
      <c r="NA50" s="669"/>
      <c r="NB50" s="669"/>
      <c r="NC50" s="669"/>
      <c r="ND50" s="669"/>
      <c r="NE50" s="669"/>
      <c r="NF50" s="669"/>
      <c r="NG50" s="669"/>
      <c r="NH50" s="669"/>
      <c r="NI50" s="669"/>
      <c r="NJ50" s="669"/>
      <c r="NK50" s="669"/>
      <c r="NL50" s="669"/>
      <c r="NM50" s="669"/>
      <c r="NN50" s="669"/>
      <c r="NO50" s="669"/>
      <c r="NP50" s="669"/>
      <c r="NQ50" s="669"/>
      <c r="NR50" s="669"/>
      <c r="NS50" s="669"/>
      <c r="NT50" s="669"/>
      <c r="NU50" s="669"/>
      <c r="NV50" s="669"/>
      <c r="NW50" s="669"/>
      <c r="NX50" s="669"/>
      <c r="NY50" s="669"/>
      <c r="NZ50" s="669"/>
      <c r="OA50" s="669"/>
      <c r="OB50" s="669"/>
      <c r="OC50" s="669"/>
      <c r="OD50" s="669"/>
      <c r="OE50" s="669"/>
      <c r="OF50" s="669"/>
      <c r="OG50" s="669"/>
      <c r="OH50" s="669"/>
      <c r="OI50" s="669"/>
      <c r="OJ50" s="669"/>
      <c r="OK50" s="669"/>
      <c r="OL50" s="669"/>
      <c r="OM50" s="669"/>
      <c r="ON50" s="669"/>
      <c r="OO50" s="669"/>
      <c r="OP50" s="669"/>
      <c r="OQ50" s="669"/>
      <c r="OR50" s="669"/>
      <c r="OS50" s="669"/>
      <c r="OT50" s="669"/>
      <c r="OU50" s="669"/>
      <c r="OV50" s="669"/>
      <c r="OW50" s="669"/>
      <c r="OX50" s="669"/>
      <c r="OY50" s="669"/>
      <c r="OZ50" s="669"/>
      <c r="PA50" s="669"/>
      <c r="PB50" s="669"/>
      <c r="PC50" s="669"/>
      <c r="PD50" s="669"/>
      <c r="PE50" s="669"/>
      <c r="PF50" s="669"/>
      <c r="PG50" s="669"/>
      <c r="PH50" s="669"/>
      <c r="PI50" s="669"/>
      <c r="PJ50" s="669"/>
      <c r="PK50" s="669"/>
      <c r="PL50" s="669"/>
      <c r="PM50" s="669"/>
      <c r="PN50" s="669"/>
      <c r="PO50" s="669"/>
      <c r="PP50" s="669"/>
      <c r="PQ50" s="669"/>
      <c r="PR50" s="669"/>
      <c r="PS50" s="669"/>
      <c r="PT50" s="669"/>
      <c r="PU50" s="669"/>
      <c r="PV50" s="669"/>
      <c r="PW50" s="669"/>
      <c r="PX50" s="669"/>
      <c r="PY50" s="669"/>
      <c r="PZ50" s="669"/>
      <c r="QA50" s="669"/>
      <c r="QB50" s="669"/>
      <c r="QC50" s="669"/>
      <c r="QD50" s="669"/>
    </row>
    <row r="51" spans="1:446" s="116" customFormat="1" x14ac:dyDescent="0.25">
      <c r="A51" s="678">
        <v>1</v>
      </c>
      <c r="B51" s="668"/>
      <c r="C51" s="669"/>
      <c r="D51" s="669"/>
      <c r="E51" s="668"/>
      <c r="F51" s="669"/>
      <c r="G51" s="669"/>
      <c r="H51" s="669"/>
      <c r="I51" s="669"/>
      <c r="J51" s="669"/>
      <c r="K51" s="669"/>
      <c r="L51" s="669"/>
      <c r="M51" s="669"/>
      <c r="N51" s="669"/>
      <c r="O51" s="669"/>
      <c r="P51" s="669"/>
      <c r="Q51" s="669"/>
      <c r="R51" s="669"/>
      <c r="S51" s="669"/>
      <c r="T51" s="669"/>
      <c r="U51" s="669"/>
      <c r="V51" s="669"/>
      <c r="W51" s="669"/>
      <c r="X51" s="669"/>
      <c r="Y51" s="669"/>
      <c r="Z51" s="669"/>
      <c r="AA51" s="669"/>
      <c r="AB51" s="669"/>
      <c r="AC51" s="669"/>
      <c r="AD51" s="669"/>
      <c r="AE51" s="669"/>
      <c r="AF51" s="669"/>
      <c r="AG51" s="669"/>
      <c r="AH51" s="669"/>
      <c r="AI51" s="669"/>
      <c r="AJ51" s="669"/>
      <c r="AK51" s="669"/>
      <c r="AL51" s="669"/>
      <c r="AM51" s="669"/>
      <c r="AN51" s="669"/>
      <c r="AO51" s="669"/>
      <c r="AP51" s="669"/>
      <c r="AQ51" s="669"/>
      <c r="AR51" s="669"/>
      <c r="AS51" s="669"/>
      <c r="AT51" s="669"/>
      <c r="AU51" s="669"/>
      <c r="AV51" s="669"/>
      <c r="AW51" s="669"/>
      <c r="AX51" s="669"/>
      <c r="AY51" s="669"/>
      <c r="AZ51" s="669"/>
      <c r="BA51" s="669"/>
      <c r="BB51" s="669"/>
      <c r="BC51" s="669"/>
      <c r="BD51" s="669"/>
      <c r="BE51" s="669"/>
      <c r="BF51" s="669"/>
      <c r="BG51" s="669"/>
      <c r="BH51" s="669"/>
      <c r="BI51" s="669"/>
      <c r="BJ51" s="669"/>
      <c r="BK51" s="669"/>
      <c r="BL51" s="669"/>
      <c r="BM51" s="669"/>
      <c r="BN51" s="669"/>
      <c r="BO51" s="669"/>
      <c r="BP51" s="669"/>
      <c r="BQ51" s="669"/>
      <c r="BR51" s="669"/>
      <c r="BS51" s="669"/>
      <c r="BT51" s="669"/>
      <c r="BU51" s="669"/>
      <c r="BV51" s="669"/>
      <c r="BW51" s="669"/>
      <c r="BX51" s="669"/>
      <c r="BY51" s="669"/>
      <c r="BZ51" s="669"/>
      <c r="CA51" s="669"/>
      <c r="CB51" s="669"/>
      <c r="CC51" s="669"/>
      <c r="CD51" s="669"/>
      <c r="CE51" s="669"/>
      <c r="CF51" s="669"/>
      <c r="CG51" s="669"/>
      <c r="CH51" s="669"/>
      <c r="CI51" s="669"/>
      <c r="CJ51" s="669"/>
      <c r="CK51" s="669"/>
      <c r="CL51" s="669"/>
      <c r="CM51" s="669"/>
      <c r="CN51" s="669"/>
      <c r="CO51" s="669"/>
      <c r="CP51" s="669"/>
      <c r="CQ51" s="669"/>
      <c r="CR51" s="669"/>
      <c r="CS51" s="669"/>
      <c r="CT51" s="669"/>
      <c r="CU51" s="669"/>
      <c r="CV51" s="669"/>
      <c r="CW51" s="669"/>
      <c r="CX51" s="669"/>
      <c r="CY51" s="669"/>
      <c r="CZ51" s="669"/>
      <c r="DA51" s="669"/>
      <c r="DB51" s="669"/>
      <c r="DC51" s="669"/>
      <c r="DD51" s="669"/>
      <c r="DE51" s="669"/>
      <c r="DF51" s="669"/>
      <c r="DG51" s="669"/>
      <c r="DH51" s="669"/>
      <c r="DI51" s="669"/>
      <c r="DJ51" s="669"/>
      <c r="DK51" s="669"/>
      <c r="DL51" s="669"/>
      <c r="DM51" s="669"/>
      <c r="DN51" s="669"/>
      <c r="DO51" s="669"/>
      <c r="DP51" s="669"/>
      <c r="DQ51" s="669"/>
      <c r="DR51" s="669"/>
      <c r="DS51" s="669"/>
      <c r="DT51" s="669"/>
      <c r="DU51" s="669"/>
      <c r="DV51" s="669"/>
      <c r="DW51" s="669"/>
      <c r="DX51" s="669"/>
      <c r="DY51" s="669"/>
      <c r="DZ51" s="669"/>
      <c r="EA51" s="669"/>
      <c r="EB51" s="669"/>
      <c r="EC51" s="669"/>
      <c r="ED51" s="669"/>
      <c r="EE51" s="669"/>
      <c r="EF51" s="669"/>
      <c r="EG51" s="669"/>
      <c r="EH51" s="669"/>
      <c r="EI51" s="669"/>
      <c r="EJ51" s="669"/>
      <c r="EK51" s="669"/>
      <c r="EL51" s="669"/>
      <c r="EM51" s="669"/>
      <c r="EN51" s="669"/>
      <c r="EO51" s="669"/>
      <c r="EP51" s="669"/>
      <c r="EQ51" s="669"/>
      <c r="ER51" s="669"/>
      <c r="ES51" s="669"/>
      <c r="ET51" s="669"/>
      <c r="EU51" s="669"/>
      <c r="EV51" s="669"/>
      <c r="EW51" s="669"/>
      <c r="EX51" s="669"/>
      <c r="EY51" s="669"/>
      <c r="EZ51" s="669"/>
      <c r="FA51" s="669"/>
      <c r="FB51" s="669"/>
      <c r="FC51" s="669"/>
      <c r="FD51" s="669"/>
      <c r="FE51" s="669"/>
      <c r="FF51" s="669"/>
      <c r="FG51" s="669"/>
      <c r="FH51" s="669"/>
      <c r="FI51" s="669"/>
      <c r="FJ51" s="669"/>
      <c r="FK51" s="669"/>
      <c r="FL51" s="669"/>
      <c r="FM51" s="669"/>
      <c r="FN51" s="669"/>
      <c r="FO51" s="669"/>
      <c r="FP51" s="669"/>
      <c r="FQ51" s="669"/>
      <c r="FR51" s="669"/>
      <c r="FS51" s="669"/>
      <c r="FT51" s="669"/>
      <c r="FU51" s="669"/>
      <c r="FV51" s="669"/>
      <c r="FW51" s="669"/>
      <c r="FX51" s="669"/>
      <c r="FY51" s="669"/>
      <c r="FZ51" s="669"/>
      <c r="GA51" s="669"/>
      <c r="GB51" s="669"/>
      <c r="GC51" s="669"/>
      <c r="GD51" s="669"/>
      <c r="GE51" s="669"/>
      <c r="GF51" s="669"/>
      <c r="GG51" s="669"/>
      <c r="GH51" s="669"/>
      <c r="GI51" s="669"/>
      <c r="GJ51" s="669"/>
      <c r="GK51" s="669"/>
      <c r="GL51" s="669"/>
      <c r="GM51" s="669"/>
      <c r="GN51" s="669"/>
      <c r="GO51" s="669"/>
      <c r="GP51" s="669"/>
      <c r="GQ51" s="669"/>
      <c r="GR51" s="669"/>
      <c r="GS51" s="669"/>
      <c r="GT51" s="669"/>
      <c r="GU51" s="669"/>
      <c r="GV51" s="669"/>
      <c r="GW51" s="669"/>
      <c r="GX51" s="669"/>
      <c r="GY51" s="669"/>
      <c r="GZ51" s="669"/>
      <c r="HA51" s="669"/>
      <c r="HB51" s="669"/>
      <c r="HC51" s="669"/>
      <c r="HD51" s="669"/>
      <c r="HE51" s="669"/>
      <c r="HF51" s="669"/>
      <c r="HG51" s="669"/>
      <c r="HH51" s="669"/>
      <c r="HI51" s="669"/>
      <c r="HJ51" s="669"/>
      <c r="HK51" s="669"/>
      <c r="HL51" s="669"/>
      <c r="HM51" s="669"/>
      <c r="HN51" s="669"/>
      <c r="HO51" s="669"/>
      <c r="HP51" s="669"/>
      <c r="HQ51" s="669"/>
      <c r="HR51" s="669"/>
      <c r="HS51" s="669"/>
      <c r="HT51" s="669"/>
      <c r="HU51" s="669"/>
      <c r="HV51" s="669"/>
      <c r="HW51" s="669"/>
      <c r="HX51" s="669"/>
      <c r="HY51" s="669"/>
      <c r="HZ51" s="669"/>
      <c r="IA51" s="669"/>
      <c r="IB51" s="669"/>
      <c r="IC51" s="669"/>
      <c r="ID51" s="669"/>
      <c r="IE51" s="669"/>
      <c r="IF51" s="669"/>
      <c r="IG51" s="669"/>
      <c r="IH51" s="669"/>
      <c r="II51" s="669"/>
      <c r="IJ51" s="669"/>
      <c r="IK51" s="669"/>
      <c r="IL51" s="669"/>
      <c r="IM51" s="669"/>
      <c r="IN51" s="669"/>
      <c r="IO51" s="669"/>
      <c r="IP51" s="669"/>
      <c r="IQ51" s="669"/>
      <c r="IR51" s="669"/>
      <c r="IS51" s="669"/>
      <c r="IT51" s="669"/>
      <c r="IU51" s="669"/>
      <c r="IV51" s="669"/>
      <c r="IW51" s="669"/>
      <c r="IX51" s="669"/>
      <c r="IY51" s="669"/>
      <c r="IZ51" s="669"/>
      <c r="JA51" s="669"/>
      <c r="JB51" s="669"/>
      <c r="JC51" s="669"/>
      <c r="JD51" s="669"/>
      <c r="JE51" s="669"/>
      <c r="JF51" s="669"/>
      <c r="JG51" s="669"/>
      <c r="JH51" s="669"/>
      <c r="JI51" s="669"/>
      <c r="JJ51" s="669"/>
      <c r="JK51" s="669"/>
      <c r="JL51" s="669"/>
      <c r="JM51" s="669"/>
      <c r="JN51" s="669"/>
      <c r="JO51" s="669"/>
      <c r="JP51" s="669"/>
      <c r="JQ51" s="669"/>
      <c r="JR51" s="669"/>
      <c r="JS51" s="669"/>
      <c r="JT51" s="669"/>
      <c r="JU51" s="669"/>
      <c r="JV51" s="669"/>
      <c r="JW51" s="669"/>
      <c r="JX51" s="669"/>
      <c r="JY51" s="669"/>
      <c r="JZ51" s="669"/>
      <c r="KA51" s="669"/>
      <c r="KB51" s="669"/>
      <c r="KC51" s="669"/>
      <c r="KD51" s="669"/>
      <c r="KE51" s="669"/>
      <c r="KF51" s="669"/>
      <c r="KG51" s="669"/>
      <c r="KH51" s="669"/>
      <c r="KI51" s="669"/>
      <c r="KJ51" s="669"/>
      <c r="KK51" s="669"/>
      <c r="KL51" s="669"/>
      <c r="KM51" s="669"/>
      <c r="KN51" s="669"/>
      <c r="KO51" s="669"/>
      <c r="KP51" s="669"/>
      <c r="KQ51" s="669"/>
      <c r="KR51" s="669"/>
      <c r="KS51" s="669"/>
      <c r="KT51" s="669"/>
      <c r="KU51" s="669"/>
      <c r="KV51" s="669"/>
      <c r="KW51" s="669"/>
      <c r="KX51" s="669"/>
      <c r="KY51" s="669"/>
      <c r="KZ51" s="669"/>
      <c r="LA51" s="669"/>
      <c r="LB51" s="669"/>
      <c r="LC51" s="669"/>
      <c r="LD51" s="669"/>
      <c r="LE51" s="669"/>
      <c r="LF51" s="669"/>
      <c r="LG51" s="669"/>
      <c r="LH51" s="669"/>
      <c r="LI51" s="669"/>
      <c r="LJ51" s="669"/>
      <c r="LK51" s="669"/>
      <c r="LL51" s="669"/>
      <c r="LM51" s="669"/>
      <c r="LN51" s="669"/>
      <c r="LO51" s="669"/>
      <c r="LP51" s="669"/>
      <c r="LQ51" s="669"/>
      <c r="LR51" s="669"/>
      <c r="LS51" s="669"/>
      <c r="LT51" s="669"/>
      <c r="LU51" s="669"/>
      <c r="LV51" s="669"/>
      <c r="LW51" s="669"/>
      <c r="LX51" s="669"/>
      <c r="LY51" s="669"/>
      <c r="LZ51" s="669"/>
      <c r="MA51" s="669"/>
      <c r="MB51" s="669"/>
      <c r="MC51" s="669"/>
      <c r="MD51" s="669"/>
      <c r="ME51" s="669"/>
      <c r="MF51" s="669"/>
      <c r="MG51" s="669"/>
      <c r="MH51" s="669"/>
      <c r="MI51" s="669"/>
      <c r="MJ51" s="669"/>
      <c r="MK51" s="669"/>
      <c r="ML51" s="669"/>
      <c r="MM51" s="669"/>
      <c r="MN51" s="669"/>
      <c r="MO51" s="669"/>
      <c r="MP51" s="669"/>
      <c r="MQ51" s="669"/>
      <c r="MR51" s="669"/>
      <c r="MS51" s="669"/>
      <c r="MT51" s="669"/>
      <c r="MU51" s="669"/>
      <c r="MV51" s="669"/>
      <c r="MW51" s="669"/>
      <c r="MX51" s="669"/>
      <c r="MY51" s="669"/>
      <c r="MZ51" s="669"/>
      <c r="NA51" s="669"/>
      <c r="NB51" s="669"/>
      <c r="NC51" s="669"/>
      <c r="ND51" s="669"/>
      <c r="NE51" s="669"/>
      <c r="NF51" s="669"/>
      <c r="NG51" s="669"/>
      <c r="NH51" s="669"/>
      <c r="NI51" s="669"/>
      <c r="NJ51" s="669"/>
      <c r="NK51" s="669"/>
      <c r="NL51" s="669"/>
      <c r="NM51" s="669"/>
      <c r="NN51" s="669"/>
      <c r="NO51" s="669"/>
      <c r="NP51" s="669"/>
      <c r="NQ51" s="669"/>
      <c r="NR51" s="669"/>
      <c r="NS51" s="669"/>
      <c r="NT51" s="669"/>
      <c r="NU51" s="669"/>
      <c r="NV51" s="669"/>
      <c r="NW51" s="669"/>
      <c r="NX51" s="669"/>
      <c r="NY51" s="669"/>
      <c r="NZ51" s="669"/>
      <c r="OA51" s="669"/>
      <c r="OB51" s="669"/>
      <c r="OC51" s="669"/>
      <c r="OD51" s="669"/>
      <c r="OE51" s="669"/>
      <c r="OF51" s="669"/>
      <c r="OG51" s="669"/>
      <c r="OH51" s="669"/>
      <c r="OI51" s="669"/>
      <c r="OJ51" s="669"/>
      <c r="OK51" s="669"/>
      <c r="OL51" s="669"/>
      <c r="OM51" s="669"/>
      <c r="ON51" s="669"/>
      <c r="OO51" s="669"/>
      <c r="OP51" s="669"/>
      <c r="OQ51" s="669"/>
      <c r="OR51" s="669"/>
      <c r="OS51" s="669"/>
      <c r="OT51" s="669"/>
      <c r="OU51" s="669"/>
      <c r="OV51" s="669"/>
      <c r="OW51" s="669"/>
      <c r="OX51" s="669"/>
      <c r="OY51" s="669"/>
      <c r="OZ51" s="669"/>
      <c r="PA51" s="669"/>
      <c r="PB51" s="669"/>
      <c r="PC51" s="669"/>
      <c r="PD51" s="669"/>
      <c r="PE51" s="669"/>
      <c r="PF51" s="669"/>
      <c r="PG51" s="669"/>
      <c r="PH51" s="669"/>
      <c r="PI51" s="669"/>
      <c r="PJ51" s="669"/>
      <c r="PK51" s="669"/>
      <c r="PL51" s="669"/>
      <c r="PM51" s="669"/>
      <c r="PN51" s="669"/>
      <c r="PO51" s="669"/>
      <c r="PP51" s="669"/>
      <c r="PQ51" s="669"/>
      <c r="PR51" s="669"/>
      <c r="PS51" s="669"/>
      <c r="PT51" s="669"/>
      <c r="PU51" s="669"/>
      <c r="PV51" s="669"/>
      <c r="PW51" s="669"/>
      <c r="PX51" s="669"/>
      <c r="PY51" s="669"/>
      <c r="PZ51" s="669"/>
      <c r="QA51" s="669"/>
      <c r="QB51" s="669"/>
      <c r="QC51" s="669"/>
      <c r="QD51" s="669"/>
    </row>
    <row r="52" spans="1:446" s="116" customFormat="1" x14ac:dyDescent="0.25">
      <c r="A52" s="678">
        <v>1</v>
      </c>
      <c r="B52" s="668"/>
      <c r="C52" s="669"/>
      <c r="D52" s="669"/>
      <c r="E52" s="668"/>
      <c r="F52" s="669"/>
      <c r="G52" s="669"/>
      <c r="H52" s="669"/>
      <c r="I52" s="669"/>
      <c r="J52" s="669"/>
      <c r="K52" s="669"/>
      <c r="L52" s="669"/>
      <c r="M52" s="669"/>
      <c r="N52" s="669"/>
      <c r="O52" s="669"/>
      <c r="P52" s="669"/>
      <c r="Q52" s="669"/>
      <c r="R52" s="669"/>
      <c r="S52" s="669"/>
      <c r="T52" s="669"/>
      <c r="U52" s="669"/>
      <c r="V52" s="669"/>
      <c r="W52" s="669"/>
      <c r="X52" s="669"/>
      <c r="Y52" s="669"/>
      <c r="Z52" s="669"/>
      <c r="AA52" s="669"/>
      <c r="AB52" s="669"/>
      <c r="AC52" s="669"/>
      <c r="AD52" s="669"/>
      <c r="AE52" s="669"/>
      <c r="AF52" s="669"/>
      <c r="AG52" s="669"/>
      <c r="AH52" s="669"/>
      <c r="AI52" s="669"/>
      <c r="AJ52" s="669"/>
      <c r="AK52" s="669"/>
      <c r="AL52" s="669"/>
      <c r="AM52" s="669"/>
      <c r="AN52" s="669"/>
      <c r="AO52" s="669"/>
      <c r="AP52" s="669"/>
      <c r="AQ52" s="669"/>
      <c r="AR52" s="669"/>
      <c r="AS52" s="669"/>
      <c r="AT52" s="669"/>
      <c r="AU52" s="669"/>
      <c r="AV52" s="669"/>
      <c r="AW52" s="669"/>
      <c r="AX52" s="669"/>
      <c r="AY52" s="669"/>
      <c r="AZ52" s="669"/>
      <c r="BA52" s="669"/>
      <c r="BB52" s="669"/>
      <c r="BC52" s="669"/>
      <c r="BD52" s="669"/>
      <c r="BE52" s="669"/>
      <c r="BF52" s="669"/>
      <c r="BG52" s="669"/>
      <c r="BH52" s="669"/>
      <c r="BI52" s="669"/>
      <c r="BJ52" s="669"/>
      <c r="BK52" s="669"/>
      <c r="BL52" s="669"/>
      <c r="BM52" s="669"/>
      <c r="BN52" s="669"/>
      <c r="BO52" s="669"/>
      <c r="BP52" s="669"/>
      <c r="BQ52" s="669"/>
      <c r="BR52" s="669"/>
      <c r="BS52" s="669"/>
      <c r="BT52" s="669"/>
      <c r="BU52" s="669"/>
      <c r="BV52" s="669"/>
      <c r="BW52" s="669"/>
      <c r="BX52" s="669"/>
      <c r="BY52" s="669"/>
      <c r="BZ52" s="669"/>
      <c r="CA52" s="669"/>
      <c r="CB52" s="669"/>
      <c r="CC52" s="669"/>
      <c r="CD52" s="669"/>
      <c r="CE52" s="669"/>
      <c r="CF52" s="669"/>
      <c r="CG52" s="669"/>
      <c r="CH52" s="669"/>
      <c r="CI52" s="669"/>
      <c r="CJ52" s="669"/>
      <c r="CK52" s="669"/>
      <c r="CL52" s="669"/>
      <c r="CM52" s="669"/>
      <c r="CN52" s="669"/>
      <c r="CO52" s="669"/>
      <c r="CP52" s="669"/>
      <c r="CQ52" s="669"/>
      <c r="CR52" s="669"/>
      <c r="CS52" s="669"/>
      <c r="CT52" s="669"/>
      <c r="CU52" s="669"/>
      <c r="CV52" s="669"/>
      <c r="CW52" s="669"/>
      <c r="CX52" s="669"/>
      <c r="CY52" s="669"/>
      <c r="CZ52" s="669"/>
      <c r="DA52" s="669"/>
      <c r="DB52" s="669"/>
      <c r="DC52" s="669"/>
      <c r="DD52" s="669"/>
      <c r="DE52" s="669"/>
      <c r="DF52" s="669"/>
      <c r="DG52" s="669"/>
      <c r="DH52" s="669"/>
      <c r="DI52" s="669"/>
      <c r="DJ52" s="669"/>
      <c r="DK52" s="669"/>
      <c r="DL52" s="669"/>
      <c r="DM52" s="669"/>
      <c r="DN52" s="669"/>
      <c r="DO52" s="669"/>
      <c r="DP52" s="669"/>
      <c r="DQ52" s="669"/>
      <c r="DR52" s="669"/>
      <c r="DS52" s="669"/>
      <c r="DT52" s="669"/>
      <c r="DU52" s="669"/>
      <c r="DV52" s="669"/>
      <c r="DW52" s="669"/>
      <c r="DX52" s="669"/>
      <c r="DY52" s="669"/>
      <c r="DZ52" s="669"/>
      <c r="EA52" s="669"/>
      <c r="EB52" s="669"/>
      <c r="EC52" s="669"/>
      <c r="ED52" s="669"/>
      <c r="EE52" s="669"/>
      <c r="EF52" s="669"/>
      <c r="EG52" s="669"/>
      <c r="EH52" s="669"/>
      <c r="EI52" s="669"/>
      <c r="EJ52" s="669"/>
      <c r="EK52" s="669"/>
      <c r="EL52" s="669"/>
      <c r="EM52" s="669"/>
      <c r="EN52" s="669"/>
      <c r="EO52" s="669"/>
      <c r="EP52" s="669"/>
      <c r="EQ52" s="669"/>
      <c r="ER52" s="669"/>
      <c r="ES52" s="669"/>
      <c r="ET52" s="669"/>
      <c r="EU52" s="669"/>
      <c r="EV52" s="669"/>
      <c r="EW52" s="669"/>
      <c r="EX52" s="669"/>
      <c r="EY52" s="669"/>
      <c r="EZ52" s="669"/>
      <c r="FA52" s="669"/>
      <c r="FB52" s="669"/>
      <c r="FC52" s="669"/>
      <c r="FD52" s="669"/>
      <c r="FE52" s="669"/>
      <c r="FF52" s="669"/>
      <c r="FG52" s="669"/>
      <c r="FH52" s="669"/>
      <c r="FI52" s="669"/>
      <c r="FJ52" s="669"/>
      <c r="FK52" s="669"/>
      <c r="FL52" s="669"/>
      <c r="FM52" s="669"/>
      <c r="FN52" s="669"/>
      <c r="FO52" s="669"/>
      <c r="FP52" s="669"/>
      <c r="FQ52" s="669"/>
      <c r="FR52" s="669"/>
      <c r="FS52" s="669"/>
      <c r="FT52" s="669"/>
      <c r="FU52" s="669"/>
      <c r="FV52" s="669"/>
      <c r="FW52" s="669"/>
      <c r="FX52" s="669"/>
      <c r="FY52" s="669"/>
      <c r="FZ52" s="669"/>
      <c r="GA52" s="669"/>
      <c r="GB52" s="669"/>
      <c r="GC52" s="669"/>
      <c r="GD52" s="669"/>
      <c r="GE52" s="669"/>
      <c r="GF52" s="669"/>
      <c r="GG52" s="669"/>
      <c r="GH52" s="669"/>
      <c r="GI52" s="669"/>
      <c r="GJ52" s="669"/>
      <c r="GK52" s="669"/>
      <c r="GL52" s="669"/>
      <c r="GM52" s="669"/>
      <c r="GN52" s="669"/>
      <c r="GO52" s="669"/>
      <c r="GP52" s="669"/>
      <c r="GQ52" s="669"/>
      <c r="GR52" s="669"/>
      <c r="GS52" s="669"/>
      <c r="GT52" s="669"/>
      <c r="GU52" s="669"/>
      <c r="GV52" s="669"/>
      <c r="GW52" s="669"/>
      <c r="GX52" s="669"/>
      <c r="GY52" s="669"/>
      <c r="GZ52" s="669"/>
      <c r="HA52" s="669"/>
      <c r="HB52" s="669"/>
      <c r="HC52" s="669"/>
      <c r="HD52" s="669"/>
      <c r="HE52" s="669"/>
      <c r="HF52" s="669"/>
      <c r="HG52" s="669"/>
      <c r="HH52" s="669"/>
      <c r="HI52" s="669"/>
      <c r="HJ52" s="669"/>
      <c r="HK52" s="669"/>
      <c r="HL52" s="669"/>
      <c r="HM52" s="669"/>
      <c r="HN52" s="669"/>
      <c r="HO52" s="669"/>
      <c r="HP52" s="669"/>
      <c r="HQ52" s="669"/>
      <c r="HR52" s="669"/>
      <c r="HS52" s="669"/>
      <c r="HT52" s="669"/>
      <c r="HU52" s="669"/>
      <c r="HV52" s="669"/>
      <c r="HW52" s="669"/>
      <c r="HX52" s="669"/>
      <c r="HY52" s="669"/>
      <c r="HZ52" s="669"/>
      <c r="IA52" s="669"/>
      <c r="IB52" s="669"/>
      <c r="IC52" s="669"/>
      <c r="ID52" s="669"/>
      <c r="IE52" s="669"/>
      <c r="IF52" s="669"/>
      <c r="IG52" s="669"/>
      <c r="IH52" s="669"/>
      <c r="II52" s="669"/>
      <c r="IJ52" s="669"/>
      <c r="IK52" s="669"/>
      <c r="IL52" s="669"/>
      <c r="IM52" s="669"/>
      <c r="IN52" s="669"/>
      <c r="IO52" s="669"/>
      <c r="IP52" s="669"/>
      <c r="IQ52" s="669"/>
      <c r="IR52" s="669"/>
      <c r="IS52" s="669"/>
      <c r="IT52" s="669"/>
      <c r="IU52" s="669"/>
      <c r="IV52" s="669"/>
      <c r="IW52" s="669"/>
      <c r="IX52" s="669"/>
      <c r="IY52" s="669"/>
      <c r="IZ52" s="669"/>
      <c r="JA52" s="669"/>
      <c r="JB52" s="669"/>
      <c r="JC52" s="669"/>
      <c r="JD52" s="669"/>
      <c r="JE52" s="669"/>
      <c r="JF52" s="669"/>
      <c r="JG52" s="669"/>
      <c r="JH52" s="669"/>
      <c r="JI52" s="669"/>
      <c r="JJ52" s="669"/>
      <c r="JK52" s="669"/>
      <c r="JL52" s="669"/>
      <c r="JM52" s="669"/>
      <c r="JN52" s="669"/>
      <c r="JO52" s="669"/>
      <c r="JP52" s="669"/>
      <c r="JQ52" s="669"/>
      <c r="JR52" s="669"/>
      <c r="JS52" s="669"/>
      <c r="JT52" s="669"/>
      <c r="JU52" s="669"/>
      <c r="JV52" s="669"/>
      <c r="JW52" s="669"/>
      <c r="JX52" s="669"/>
      <c r="JY52" s="669"/>
      <c r="JZ52" s="669"/>
      <c r="KA52" s="669"/>
      <c r="KB52" s="669"/>
      <c r="KC52" s="669"/>
      <c r="KD52" s="669"/>
      <c r="KE52" s="669"/>
      <c r="KF52" s="669"/>
      <c r="KG52" s="669"/>
      <c r="KH52" s="669"/>
      <c r="KI52" s="669"/>
      <c r="KJ52" s="669"/>
      <c r="KK52" s="669"/>
      <c r="KL52" s="669"/>
      <c r="KM52" s="669"/>
      <c r="KN52" s="669"/>
      <c r="KO52" s="669"/>
      <c r="KP52" s="669"/>
      <c r="KQ52" s="669"/>
      <c r="KR52" s="669"/>
      <c r="KS52" s="669"/>
      <c r="KT52" s="669"/>
      <c r="KU52" s="669"/>
      <c r="KV52" s="669"/>
      <c r="KW52" s="669"/>
      <c r="KX52" s="669"/>
      <c r="KY52" s="669"/>
      <c r="KZ52" s="669"/>
      <c r="LA52" s="669"/>
      <c r="LB52" s="669"/>
      <c r="LC52" s="669"/>
      <c r="LD52" s="669"/>
      <c r="LE52" s="669"/>
      <c r="LF52" s="669"/>
      <c r="LG52" s="669"/>
      <c r="LH52" s="669"/>
      <c r="LI52" s="669"/>
      <c r="LJ52" s="669"/>
      <c r="LK52" s="669"/>
      <c r="LL52" s="669"/>
      <c r="LM52" s="669"/>
      <c r="LN52" s="669"/>
      <c r="LO52" s="669"/>
      <c r="LP52" s="669"/>
      <c r="LQ52" s="669"/>
      <c r="LR52" s="669"/>
      <c r="LS52" s="669"/>
      <c r="LT52" s="669"/>
      <c r="LU52" s="669"/>
      <c r="LV52" s="669"/>
      <c r="LW52" s="669"/>
      <c r="LX52" s="669"/>
      <c r="LY52" s="669"/>
      <c r="LZ52" s="669"/>
      <c r="MA52" s="669"/>
      <c r="MB52" s="669"/>
      <c r="MC52" s="669"/>
      <c r="MD52" s="669"/>
      <c r="ME52" s="669"/>
      <c r="MF52" s="669"/>
      <c r="MG52" s="669"/>
      <c r="MH52" s="669"/>
      <c r="MI52" s="669"/>
      <c r="MJ52" s="669"/>
      <c r="MK52" s="669"/>
      <c r="ML52" s="669"/>
      <c r="MM52" s="669"/>
      <c r="MN52" s="669"/>
      <c r="MO52" s="669"/>
      <c r="MP52" s="669"/>
      <c r="MQ52" s="669"/>
      <c r="MR52" s="669"/>
      <c r="MS52" s="669"/>
      <c r="MT52" s="669"/>
      <c r="MU52" s="669"/>
      <c r="MV52" s="669"/>
      <c r="MW52" s="669"/>
      <c r="MX52" s="669"/>
      <c r="MY52" s="669"/>
      <c r="MZ52" s="669"/>
      <c r="NA52" s="669"/>
      <c r="NB52" s="669"/>
      <c r="NC52" s="669"/>
      <c r="ND52" s="669"/>
      <c r="NE52" s="669"/>
      <c r="NF52" s="669"/>
      <c r="NG52" s="669"/>
      <c r="NH52" s="669"/>
      <c r="NI52" s="669"/>
      <c r="NJ52" s="669"/>
      <c r="NK52" s="669"/>
      <c r="NL52" s="669"/>
      <c r="NM52" s="669"/>
      <c r="NN52" s="669"/>
      <c r="NO52" s="669"/>
      <c r="NP52" s="669"/>
      <c r="NQ52" s="669"/>
      <c r="NR52" s="669"/>
      <c r="NS52" s="669"/>
      <c r="NT52" s="669"/>
      <c r="NU52" s="669"/>
      <c r="NV52" s="669"/>
      <c r="NW52" s="669"/>
      <c r="NX52" s="669"/>
      <c r="NY52" s="669"/>
      <c r="NZ52" s="669"/>
      <c r="OA52" s="669"/>
      <c r="OB52" s="669"/>
      <c r="OC52" s="669"/>
      <c r="OD52" s="669"/>
      <c r="OE52" s="669"/>
      <c r="OF52" s="669"/>
      <c r="OG52" s="669"/>
      <c r="OH52" s="669"/>
      <c r="OI52" s="669"/>
      <c r="OJ52" s="669"/>
      <c r="OK52" s="669"/>
      <c r="OL52" s="669"/>
      <c r="OM52" s="669"/>
      <c r="ON52" s="669"/>
      <c r="OO52" s="669"/>
      <c r="OP52" s="669"/>
      <c r="OQ52" s="669"/>
      <c r="OR52" s="669"/>
      <c r="OS52" s="669"/>
      <c r="OT52" s="669"/>
      <c r="OU52" s="669"/>
      <c r="OV52" s="669"/>
      <c r="OW52" s="669"/>
      <c r="OX52" s="669"/>
      <c r="OY52" s="669"/>
      <c r="OZ52" s="669"/>
      <c r="PA52" s="669"/>
      <c r="PB52" s="669"/>
      <c r="PC52" s="669"/>
      <c r="PD52" s="669"/>
      <c r="PE52" s="669"/>
      <c r="PF52" s="669"/>
      <c r="PG52" s="669"/>
      <c r="PH52" s="669"/>
      <c r="PI52" s="669"/>
      <c r="PJ52" s="669"/>
      <c r="PK52" s="669"/>
      <c r="PL52" s="669"/>
      <c r="PM52" s="669"/>
      <c r="PN52" s="669"/>
      <c r="PO52" s="669"/>
      <c r="PP52" s="669"/>
      <c r="PQ52" s="669"/>
      <c r="PR52" s="669"/>
      <c r="PS52" s="669"/>
      <c r="PT52" s="669"/>
      <c r="PU52" s="669"/>
      <c r="PV52" s="669"/>
      <c r="PW52" s="669"/>
      <c r="PX52" s="669"/>
      <c r="PY52" s="669"/>
      <c r="PZ52" s="669"/>
      <c r="QA52" s="669"/>
      <c r="QB52" s="669"/>
      <c r="QC52" s="669"/>
      <c r="QD52" s="669"/>
    </row>
    <row r="53" spans="1:446" s="116" customFormat="1" x14ac:dyDescent="0.25">
      <c r="A53" s="678">
        <v>1</v>
      </c>
      <c r="B53" s="668"/>
      <c r="C53" s="669"/>
      <c r="D53" s="669"/>
      <c r="E53" s="668"/>
      <c r="F53" s="669"/>
      <c r="G53" s="669"/>
      <c r="H53" s="669"/>
      <c r="I53" s="669"/>
      <c r="J53" s="669"/>
      <c r="K53" s="669"/>
      <c r="L53" s="669"/>
      <c r="M53" s="669"/>
      <c r="N53" s="669"/>
      <c r="O53" s="669"/>
      <c r="P53" s="669"/>
      <c r="Q53" s="669"/>
      <c r="R53" s="669"/>
      <c r="S53" s="669"/>
      <c r="T53" s="669"/>
      <c r="U53" s="669"/>
      <c r="V53" s="669"/>
      <c r="W53" s="669"/>
      <c r="X53" s="669"/>
      <c r="Y53" s="669"/>
      <c r="Z53" s="669"/>
      <c r="AA53" s="669"/>
      <c r="AB53" s="669"/>
      <c r="AC53" s="669"/>
      <c r="AD53" s="669"/>
      <c r="AE53" s="669"/>
      <c r="AF53" s="669"/>
      <c r="AG53" s="669"/>
      <c r="AH53" s="669"/>
      <c r="AI53" s="669"/>
      <c r="AJ53" s="669"/>
      <c r="AK53" s="669"/>
      <c r="AL53" s="669"/>
      <c r="AM53" s="669"/>
      <c r="AN53" s="669"/>
      <c r="AO53" s="669"/>
      <c r="AP53" s="669"/>
      <c r="AQ53" s="669"/>
      <c r="AR53" s="669"/>
      <c r="AS53" s="669"/>
      <c r="AT53" s="669"/>
      <c r="AU53" s="669"/>
      <c r="AV53" s="669"/>
      <c r="AW53" s="669"/>
      <c r="AX53" s="669"/>
      <c r="AY53" s="669"/>
      <c r="AZ53" s="669"/>
      <c r="BA53" s="669"/>
      <c r="BB53" s="669"/>
      <c r="BC53" s="669"/>
      <c r="BD53" s="669"/>
      <c r="BE53" s="669"/>
      <c r="BF53" s="669"/>
      <c r="BG53" s="669"/>
      <c r="BH53" s="669"/>
      <c r="BI53" s="669"/>
      <c r="BJ53" s="669"/>
      <c r="BK53" s="669"/>
      <c r="BL53" s="669"/>
      <c r="BM53" s="669"/>
      <c r="BN53" s="669"/>
      <c r="BO53" s="669"/>
      <c r="BP53" s="669"/>
      <c r="BQ53" s="669"/>
      <c r="BR53" s="669"/>
      <c r="BS53" s="669"/>
      <c r="BT53" s="669"/>
      <c r="BU53" s="669"/>
      <c r="BV53" s="669"/>
      <c r="BW53" s="669"/>
      <c r="BX53" s="669"/>
      <c r="BY53" s="669"/>
      <c r="BZ53" s="669"/>
      <c r="CA53" s="669"/>
      <c r="CB53" s="669"/>
      <c r="CC53" s="669"/>
      <c r="CD53" s="669"/>
      <c r="CE53" s="669"/>
      <c r="CF53" s="669"/>
      <c r="CG53" s="669"/>
      <c r="CH53" s="669"/>
      <c r="CI53" s="669"/>
      <c r="CJ53" s="669"/>
      <c r="CK53" s="669"/>
      <c r="CL53" s="669"/>
      <c r="CM53" s="669"/>
      <c r="CN53" s="669"/>
      <c r="CO53" s="669"/>
      <c r="CP53" s="669"/>
      <c r="CQ53" s="669"/>
      <c r="CR53" s="669"/>
      <c r="CS53" s="669"/>
      <c r="CT53" s="669"/>
      <c r="CU53" s="669"/>
      <c r="CV53" s="669"/>
      <c r="CW53" s="669"/>
      <c r="CX53" s="669"/>
      <c r="CY53" s="669"/>
      <c r="CZ53" s="669"/>
      <c r="DA53" s="669"/>
      <c r="DB53" s="669"/>
      <c r="DC53" s="669"/>
      <c r="DD53" s="669"/>
      <c r="DE53" s="669"/>
      <c r="DF53" s="669"/>
      <c r="DG53" s="669"/>
      <c r="DH53" s="669"/>
      <c r="DI53" s="669"/>
      <c r="DJ53" s="669"/>
      <c r="DK53" s="669"/>
      <c r="DL53" s="669"/>
      <c r="DM53" s="669"/>
      <c r="DN53" s="669"/>
      <c r="DO53" s="669"/>
      <c r="DP53" s="669"/>
      <c r="DQ53" s="669"/>
      <c r="DR53" s="669"/>
      <c r="DS53" s="669"/>
      <c r="DT53" s="669"/>
      <c r="DU53" s="669"/>
      <c r="DV53" s="669"/>
      <c r="DW53" s="669"/>
      <c r="DX53" s="669"/>
      <c r="DY53" s="669"/>
      <c r="DZ53" s="669"/>
      <c r="EA53" s="669"/>
      <c r="EB53" s="669"/>
      <c r="EC53" s="669"/>
      <c r="ED53" s="669"/>
      <c r="EE53" s="669"/>
      <c r="EF53" s="669"/>
      <c r="EG53" s="669"/>
      <c r="EH53" s="669"/>
      <c r="EI53" s="669"/>
      <c r="EJ53" s="669"/>
      <c r="EK53" s="669"/>
      <c r="EL53" s="669"/>
      <c r="EM53" s="669"/>
      <c r="EN53" s="669"/>
      <c r="EO53" s="669"/>
      <c r="EP53" s="669"/>
      <c r="EQ53" s="669"/>
      <c r="ER53" s="669"/>
      <c r="ES53" s="669"/>
      <c r="ET53" s="669"/>
      <c r="EU53" s="669"/>
      <c r="EV53" s="669"/>
      <c r="EW53" s="669"/>
      <c r="EX53" s="669"/>
      <c r="EY53" s="669"/>
      <c r="EZ53" s="669"/>
      <c r="FA53" s="669"/>
      <c r="FB53" s="669"/>
      <c r="FC53" s="669"/>
      <c r="FD53" s="669"/>
      <c r="FE53" s="669"/>
      <c r="FF53" s="669"/>
      <c r="FG53" s="669"/>
      <c r="FH53" s="669"/>
      <c r="FI53" s="669"/>
      <c r="FJ53" s="669"/>
      <c r="FK53" s="669"/>
      <c r="FL53" s="669"/>
      <c r="FM53" s="669"/>
      <c r="FN53" s="669"/>
      <c r="FO53" s="669"/>
      <c r="FP53" s="669"/>
      <c r="FQ53" s="669"/>
      <c r="FR53" s="669"/>
      <c r="FS53" s="669"/>
      <c r="FT53" s="669"/>
      <c r="FU53" s="669"/>
      <c r="FV53" s="669"/>
      <c r="FW53" s="669"/>
      <c r="FX53" s="669"/>
      <c r="FY53" s="669"/>
      <c r="FZ53" s="669"/>
      <c r="GA53" s="669"/>
      <c r="GB53" s="669"/>
      <c r="GC53" s="669"/>
      <c r="GD53" s="669"/>
      <c r="GE53" s="669"/>
      <c r="GF53" s="669"/>
      <c r="GG53" s="669"/>
      <c r="GH53" s="669"/>
      <c r="GI53" s="669"/>
      <c r="GJ53" s="669"/>
      <c r="GK53" s="669"/>
      <c r="GL53" s="669"/>
      <c r="GM53" s="669"/>
      <c r="GN53" s="669"/>
      <c r="GO53" s="669"/>
      <c r="GP53" s="669"/>
      <c r="GQ53" s="669"/>
      <c r="GR53" s="669"/>
      <c r="GS53" s="669"/>
      <c r="GT53" s="669"/>
      <c r="GU53" s="669"/>
      <c r="GV53" s="669"/>
      <c r="GW53" s="669"/>
      <c r="GX53" s="669"/>
      <c r="GY53" s="669"/>
      <c r="GZ53" s="669"/>
      <c r="HA53" s="669"/>
      <c r="HB53" s="669"/>
      <c r="HC53" s="669"/>
      <c r="HD53" s="669"/>
      <c r="HE53" s="669"/>
      <c r="HF53" s="669"/>
      <c r="HG53" s="669"/>
      <c r="HH53" s="669"/>
      <c r="HI53" s="669"/>
      <c r="HJ53" s="669"/>
      <c r="HK53" s="669"/>
      <c r="HL53" s="669"/>
      <c r="HM53" s="669"/>
      <c r="HN53" s="669"/>
      <c r="HO53" s="669"/>
      <c r="HP53" s="669"/>
      <c r="HQ53" s="669"/>
      <c r="HR53" s="669"/>
      <c r="HS53" s="669"/>
      <c r="HT53" s="669"/>
      <c r="HU53" s="669"/>
      <c r="HV53" s="669"/>
      <c r="HW53" s="669"/>
      <c r="HX53" s="669"/>
      <c r="HY53" s="669"/>
      <c r="HZ53" s="669"/>
      <c r="IA53" s="669"/>
      <c r="IB53" s="669"/>
      <c r="IC53" s="669"/>
      <c r="ID53" s="669"/>
      <c r="IE53" s="669"/>
      <c r="IF53" s="669"/>
      <c r="IG53" s="669"/>
      <c r="IH53" s="669"/>
      <c r="II53" s="669"/>
      <c r="IJ53" s="669"/>
      <c r="IK53" s="669"/>
      <c r="IL53" s="669"/>
      <c r="IM53" s="669"/>
      <c r="IN53" s="669"/>
      <c r="IO53" s="669"/>
      <c r="IP53" s="669"/>
      <c r="IQ53" s="669"/>
      <c r="IR53" s="669"/>
      <c r="IS53" s="669"/>
      <c r="IT53" s="669"/>
      <c r="IU53" s="669"/>
      <c r="IV53" s="669"/>
      <c r="IW53" s="669"/>
      <c r="IX53" s="669"/>
      <c r="IY53" s="669"/>
      <c r="IZ53" s="669"/>
      <c r="JA53" s="669"/>
      <c r="JB53" s="669"/>
      <c r="JC53" s="669"/>
      <c r="JD53" s="669"/>
      <c r="JE53" s="669"/>
      <c r="JF53" s="669"/>
      <c r="JG53" s="669"/>
      <c r="JH53" s="669"/>
      <c r="JI53" s="669"/>
      <c r="JJ53" s="669"/>
      <c r="JK53" s="669"/>
      <c r="JL53" s="669"/>
      <c r="JM53" s="669"/>
      <c r="JN53" s="669"/>
      <c r="JO53" s="669"/>
      <c r="JP53" s="669"/>
      <c r="JQ53" s="669"/>
      <c r="JR53" s="669"/>
      <c r="JS53" s="669"/>
      <c r="JT53" s="669"/>
      <c r="JU53" s="669"/>
      <c r="JV53" s="669"/>
      <c r="JW53" s="669"/>
      <c r="JX53" s="669"/>
      <c r="JY53" s="669"/>
      <c r="JZ53" s="669"/>
      <c r="KA53" s="669"/>
      <c r="KB53" s="669"/>
      <c r="KC53" s="669"/>
      <c r="KD53" s="669"/>
      <c r="KE53" s="669"/>
      <c r="KF53" s="669"/>
      <c r="KG53" s="669"/>
      <c r="KH53" s="669"/>
      <c r="KI53" s="669"/>
      <c r="KJ53" s="669"/>
      <c r="KK53" s="669"/>
      <c r="KL53" s="669"/>
      <c r="KM53" s="669"/>
      <c r="KN53" s="669"/>
      <c r="KO53" s="669"/>
      <c r="KP53" s="669"/>
      <c r="KQ53" s="669"/>
      <c r="KR53" s="669"/>
      <c r="KS53" s="669"/>
      <c r="KT53" s="669"/>
      <c r="KU53" s="669"/>
      <c r="KV53" s="669"/>
      <c r="KW53" s="669"/>
      <c r="KX53" s="669"/>
      <c r="KY53" s="669"/>
      <c r="KZ53" s="669"/>
      <c r="LA53" s="669"/>
      <c r="LB53" s="669"/>
      <c r="LC53" s="669"/>
      <c r="LD53" s="669"/>
      <c r="LE53" s="669"/>
      <c r="LF53" s="669"/>
      <c r="LG53" s="669"/>
      <c r="LH53" s="669"/>
      <c r="LI53" s="669"/>
      <c r="LJ53" s="669"/>
      <c r="LK53" s="669"/>
      <c r="LL53" s="669"/>
      <c r="LM53" s="669"/>
      <c r="LN53" s="669"/>
      <c r="LO53" s="669"/>
      <c r="LP53" s="669"/>
      <c r="LQ53" s="669"/>
      <c r="LR53" s="669"/>
      <c r="LS53" s="669"/>
      <c r="LT53" s="669"/>
      <c r="LU53" s="669"/>
      <c r="LV53" s="669"/>
      <c r="LW53" s="669"/>
      <c r="LX53" s="669"/>
      <c r="LY53" s="669"/>
      <c r="LZ53" s="669"/>
      <c r="MA53" s="669"/>
      <c r="MB53" s="669"/>
      <c r="MC53" s="669"/>
      <c r="MD53" s="669"/>
      <c r="ME53" s="669"/>
      <c r="MF53" s="669"/>
      <c r="MG53" s="669"/>
      <c r="MH53" s="669"/>
      <c r="MI53" s="669"/>
      <c r="MJ53" s="669"/>
      <c r="MK53" s="669"/>
      <c r="ML53" s="669"/>
      <c r="MM53" s="669"/>
      <c r="MN53" s="669"/>
      <c r="MO53" s="669"/>
      <c r="MP53" s="669"/>
      <c r="MQ53" s="669"/>
      <c r="MR53" s="669"/>
      <c r="MS53" s="669"/>
      <c r="MT53" s="669"/>
      <c r="MU53" s="669"/>
      <c r="MV53" s="669"/>
      <c r="MW53" s="669"/>
      <c r="MX53" s="669"/>
      <c r="MY53" s="669"/>
      <c r="MZ53" s="669"/>
      <c r="NA53" s="669"/>
      <c r="NB53" s="669"/>
      <c r="NC53" s="669"/>
      <c r="ND53" s="669"/>
      <c r="NE53" s="669"/>
      <c r="NF53" s="669"/>
      <c r="NG53" s="669"/>
      <c r="NH53" s="669"/>
      <c r="NI53" s="669"/>
      <c r="NJ53" s="669"/>
      <c r="NK53" s="669"/>
      <c r="NL53" s="669"/>
      <c r="NM53" s="669"/>
      <c r="NN53" s="669"/>
      <c r="NO53" s="669"/>
      <c r="NP53" s="669"/>
      <c r="NQ53" s="669"/>
      <c r="NR53" s="669"/>
      <c r="NS53" s="669"/>
      <c r="NT53" s="669"/>
      <c r="NU53" s="669"/>
      <c r="NV53" s="669"/>
      <c r="NW53" s="669"/>
      <c r="NX53" s="669"/>
      <c r="NY53" s="669"/>
      <c r="NZ53" s="669"/>
      <c r="OA53" s="669"/>
      <c r="OB53" s="669"/>
      <c r="OC53" s="669"/>
      <c r="OD53" s="669"/>
      <c r="OE53" s="669"/>
      <c r="OF53" s="669"/>
      <c r="OG53" s="669"/>
      <c r="OH53" s="669"/>
      <c r="OI53" s="669"/>
      <c r="OJ53" s="669"/>
      <c r="OK53" s="669"/>
      <c r="OL53" s="669"/>
      <c r="OM53" s="669"/>
      <c r="ON53" s="669"/>
      <c r="OO53" s="669"/>
      <c r="OP53" s="669"/>
      <c r="OQ53" s="669"/>
      <c r="OR53" s="669"/>
      <c r="OS53" s="669"/>
      <c r="OT53" s="669"/>
      <c r="OU53" s="669"/>
      <c r="OV53" s="669"/>
      <c r="OW53" s="669"/>
      <c r="OX53" s="669"/>
      <c r="OY53" s="669"/>
      <c r="OZ53" s="669"/>
      <c r="PA53" s="669"/>
      <c r="PB53" s="669"/>
      <c r="PC53" s="669"/>
      <c r="PD53" s="669"/>
      <c r="PE53" s="669"/>
      <c r="PF53" s="669"/>
      <c r="PG53" s="669"/>
      <c r="PH53" s="669"/>
      <c r="PI53" s="669"/>
      <c r="PJ53" s="669"/>
      <c r="PK53" s="669"/>
      <c r="PL53" s="669"/>
      <c r="PM53" s="669"/>
      <c r="PN53" s="669"/>
      <c r="PO53" s="669"/>
      <c r="PP53" s="669"/>
      <c r="PQ53" s="669"/>
      <c r="PR53" s="669"/>
      <c r="PS53" s="669"/>
      <c r="PT53" s="669"/>
      <c r="PU53" s="669"/>
      <c r="PV53" s="669"/>
      <c r="PW53" s="669"/>
      <c r="PX53" s="669"/>
      <c r="PY53" s="669"/>
      <c r="PZ53" s="669"/>
      <c r="QA53" s="669"/>
      <c r="QB53" s="669"/>
      <c r="QC53" s="669"/>
      <c r="QD53" s="669"/>
    </row>
    <row r="54" spans="1:446" s="116" customFormat="1" x14ac:dyDescent="0.25">
      <c r="A54" s="678">
        <v>1</v>
      </c>
      <c r="B54" s="668"/>
      <c r="C54" s="669"/>
      <c r="D54" s="669"/>
      <c r="E54" s="668"/>
      <c r="F54" s="669"/>
      <c r="G54" s="669"/>
      <c r="H54" s="669"/>
      <c r="I54" s="669"/>
      <c r="J54" s="669"/>
      <c r="K54" s="669"/>
      <c r="L54" s="669"/>
      <c r="M54" s="669"/>
      <c r="N54" s="669"/>
      <c r="O54" s="669"/>
      <c r="P54" s="669"/>
      <c r="Q54" s="669"/>
      <c r="R54" s="669"/>
      <c r="S54" s="669"/>
      <c r="T54" s="669"/>
      <c r="U54" s="669"/>
      <c r="V54" s="669"/>
      <c r="W54" s="669"/>
      <c r="X54" s="669"/>
      <c r="Y54" s="669"/>
      <c r="Z54" s="669"/>
      <c r="AA54" s="669"/>
      <c r="AB54" s="669"/>
      <c r="AC54" s="669"/>
      <c r="AD54" s="669"/>
      <c r="AE54" s="669"/>
      <c r="AF54" s="669"/>
      <c r="AG54" s="669"/>
      <c r="AH54" s="669"/>
      <c r="AI54" s="669"/>
      <c r="AJ54" s="669"/>
      <c r="AK54" s="669"/>
      <c r="AL54" s="669"/>
      <c r="AM54" s="669"/>
      <c r="AN54" s="669"/>
      <c r="AO54" s="669"/>
      <c r="AP54" s="669"/>
      <c r="AQ54" s="669"/>
      <c r="AR54" s="669"/>
      <c r="AS54" s="669"/>
      <c r="AT54" s="669"/>
      <c r="AU54" s="669"/>
      <c r="AV54" s="669"/>
      <c r="AW54" s="669"/>
      <c r="AX54" s="669"/>
      <c r="AY54" s="669"/>
      <c r="AZ54" s="669"/>
      <c r="BA54" s="669"/>
      <c r="BB54" s="669"/>
      <c r="BC54" s="669"/>
      <c r="BD54" s="669"/>
      <c r="BE54" s="669"/>
      <c r="BF54" s="669"/>
      <c r="BG54" s="669"/>
      <c r="BH54" s="669"/>
      <c r="BI54" s="669"/>
      <c r="BJ54" s="669"/>
      <c r="BK54" s="669"/>
      <c r="BL54" s="669"/>
      <c r="BM54" s="669"/>
      <c r="BN54" s="669"/>
      <c r="BO54" s="669"/>
      <c r="BP54" s="669"/>
      <c r="BQ54" s="669"/>
      <c r="BR54" s="669"/>
      <c r="BS54" s="669"/>
      <c r="BT54" s="669"/>
      <c r="BU54" s="669"/>
      <c r="BV54" s="669"/>
      <c r="BW54" s="669"/>
      <c r="BX54" s="669"/>
      <c r="BY54" s="669"/>
      <c r="BZ54" s="669"/>
      <c r="CA54" s="669"/>
      <c r="CB54" s="669"/>
      <c r="CC54" s="669"/>
      <c r="CD54" s="669"/>
      <c r="CE54" s="669"/>
      <c r="CF54" s="669"/>
      <c r="CG54" s="669"/>
      <c r="CH54" s="669"/>
      <c r="CI54" s="669"/>
      <c r="CJ54" s="669"/>
      <c r="CK54" s="669"/>
      <c r="CL54" s="669"/>
      <c r="CM54" s="669"/>
      <c r="CN54" s="669"/>
      <c r="CO54" s="669"/>
      <c r="CP54" s="669"/>
      <c r="CQ54" s="669"/>
      <c r="CR54" s="669"/>
      <c r="CS54" s="669"/>
      <c r="CT54" s="669"/>
      <c r="CU54" s="669"/>
      <c r="CV54" s="669"/>
      <c r="CW54" s="669"/>
      <c r="CX54" s="669"/>
      <c r="CY54" s="669"/>
      <c r="CZ54" s="669"/>
      <c r="DA54" s="669"/>
      <c r="DB54" s="669"/>
      <c r="DC54" s="669"/>
      <c r="DD54" s="669"/>
      <c r="DE54" s="669"/>
      <c r="DF54" s="669"/>
      <c r="DG54" s="669"/>
      <c r="DH54" s="669"/>
      <c r="DI54" s="669"/>
      <c r="DJ54" s="669"/>
      <c r="DK54" s="669"/>
      <c r="DL54" s="669"/>
      <c r="DM54" s="669"/>
      <c r="DN54" s="669"/>
      <c r="DO54" s="669"/>
      <c r="DP54" s="669"/>
      <c r="DQ54" s="669"/>
      <c r="DR54" s="669"/>
      <c r="DS54" s="669"/>
      <c r="DT54" s="669"/>
      <c r="DU54" s="669"/>
      <c r="DV54" s="669"/>
      <c r="DW54" s="669"/>
      <c r="DX54" s="669"/>
      <c r="DY54" s="669"/>
      <c r="DZ54" s="669"/>
      <c r="EA54" s="669"/>
      <c r="EB54" s="669"/>
      <c r="EC54" s="669"/>
      <c r="ED54" s="669"/>
      <c r="EE54" s="669"/>
      <c r="EF54" s="669"/>
      <c r="EG54" s="669"/>
      <c r="EH54" s="669"/>
      <c r="EI54" s="669"/>
      <c r="EJ54" s="669"/>
      <c r="EK54" s="669"/>
      <c r="EL54" s="669"/>
      <c r="EM54" s="669"/>
      <c r="EN54" s="669"/>
      <c r="EO54" s="669"/>
      <c r="EP54" s="669"/>
      <c r="EQ54" s="669"/>
      <c r="ER54" s="669"/>
      <c r="ES54" s="669"/>
      <c r="ET54" s="669"/>
      <c r="EU54" s="669"/>
      <c r="EV54" s="669"/>
      <c r="EW54" s="669"/>
      <c r="EX54" s="669"/>
      <c r="EY54" s="669"/>
      <c r="EZ54" s="669"/>
      <c r="FA54" s="669"/>
      <c r="FB54" s="669"/>
      <c r="FC54" s="669"/>
      <c r="FD54" s="669"/>
      <c r="FE54" s="669"/>
      <c r="FF54" s="669"/>
      <c r="FG54" s="669"/>
      <c r="FH54" s="669"/>
      <c r="FI54" s="669"/>
      <c r="FJ54" s="669"/>
      <c r="FK54" s="669"/>
      <c r="FL54" s="669"/>
      <c r="FM54" s="669"/>
      <c r="FN54" s="669"/>
      <c r="FO54" s="669"/>
      <c r="FP54" s="669"/>
      <c r="FQ54" s="669"/>
      <c r="FR54" s="669"/>
      <c r="FS54" s="669"/>
      <c r="FT54" s="669"/>
      <c r="FU54" s="669"/>
      <c r="FV54" s="669"/>
      <c r="FW54" s="669"/>
      <c r="FX54" s="669"/>
      <c r="FY54" s="669"/>
      <c r="FZ54" s="669"/>
      <c r="GA54" s="669"/>
      <c r="GB54" s="669"/>
      <c r="GC54" s="669"/>
      <c r="GD54" s="669"/>
      <c r="GE54" s="669"/>
      <c r="GF54" s="669"/>
      <c r="GG54" s="669"/>
      <c r="GH54" s="669"/>
      <c r="GI54" s="669"/>
      <c r="GJ54" s="669"/>
      <c r="GK54" s="669"/>
      <c r="GL54" s="669"/>
      <c r="GM54" s="669"/>
      <c r="GN54" s="669"/>
      <c r="GO54" s="669"/>
      <c r="GP54" s="669"/>
      <c r="GQ54" s="669"/>
      <c r="GR54" s="669"/>
      <c r="GS54" s="669"/>
      <c r="GT54" s="669"/>
      <c r="GU54" s="669"/>
      <c r="GV54" s="669"/>
      <c r="GW54" s="669"/>
      <c r="GX54" s="669"/>
      <c r="GY54" s="669"/>
      <c r="GZ54" s="669"/>
      <c r="HA54" s="669"/>
      <c r="HB54" s="669"/>
      <c r="HC54" s="669"/>
      <c r="HD54" s="669"/>
      <c r="HE54" s="669"/>
      <c r="HF54" s="669"/>
      <c r="HG54" s="669"/>
      <c r="HH54" s="669"/>
      <c r="HI54" s="669"/>
      <c r="HJ54" s="669"/>
      <c r="HK54" s="669"/>
      <c r="HL54" s="669"/>
      <c r="HM54" s="669"/>
      <c r="HN54" s="669"/>
      <c r="HO54" s="669"/>
      <c r="HP54" s="669"/>
      <c r="HQ54" s="669"/>
      <c r="HR54" s="669"/>
      <c r="HS54" s="669"/>
      <c r="HT54" s="669"/>
      <c r="HU54" s="669"/>
      <c r="HV54" s="669"/>
      <c r="HW54" s="669"/>
      <c r="HX54" s="669"/>
      <c r="HY54" s="669"/>
      <c r="HZ54" s="669"/>
      <c r="IA54" s="669"/>
      <c r="IB54" s="669"/>
      <c r="IC54" s="669"/>
      <c r="ID54" s="669"/>
      <c r="IE54" s="669"/>
      <c r="IF54" s="669"/>
      <c r="IG54" s="669"/>
      <c r="IH54" s="669"/>
      <c r="II54" s="669"/>
      <c r="IJ54" s="669"/>
      <c r="IK54" s="669"/>
      <c r="IL54" s="669"/>
      <c r="IM54" s="669"/>
      <c r="IN54" s="669"/>
      <c r="IO54" s="669"/>
      <c r="IP54" s="669"/>
      <c r="IQ54" s="669"/>
      <c r="IR54" s="669"/>
      <c r="IS54" s="669"/>
      <c r="IT54" s="669"/>
      <c r="IU54" s="669"/>
      <c r="IV54" s="669"/>
      <c r="IW54" s="669"/>
      <c r="IX54" s="669"/>
      <c r="IY54" s="669"/>
      <c r="IZ54" s="669"/>
      <c r="JA54" s="669"/>
      <c r="JB54" s="669"/>
      <c r="JC54" s="669"/>
      <c r="JD54" s="669"/>
      <c r="JE54" s="669"/>
      <c r="JF54" s="669"/>
      <c r="JG54" s="669"/>
      <c r="JH54" s="669"/>
      <c r="JI54" s="669"/>
      <c r="JJ54" s="669"/>
      <c r="JK54" s="669"/>
      <c r="JL54" s="669"/>
      <c r="JM54" s="669"/>
      <c r="JN54" s="669"/>
      <c r="JO54" s="669"/>
      <c r="JP54" s="669"/>
      <c r="JQ54" s="669"/>
      <c r="JR54" s="669"/>
      <c r="JS54" s="669"/>
      <c r="JT54" s="669"/>
      <c r="JU54" s="669"/>
      <c r="JV54" s="669"/>
      <c r="JW54" s="669"/>
      <c r="JX54" s="669"/>
      <c r="JY54" s="669"/>
      <c r="JZ54" s="669"/>
      <c r="KA54" s="669"/>
      <c r="KB54" s="669"/>
      <c r="KC54" s="669"/>
      <c r="KD54" s="669"/>
      <c r="KE54" s="669"/>
      <c r="KF54" s="669"/>
      <c r="KG54" s="669"/>
      <c r="KH54" s="669"/>
      <c r="KI54" s="669"/>
      <c r="KJ54" s="669"/>
      <c r="KK54" s="669"/>
      <c r="KL54" s="669"/>
      <c r="KM54" s="669"/>
      <c r="KN54" s="669"/>
      <c r="KO54" s="669"/>
      <c r="KP54" s="669"/>
      <c r="KQ54" s="669"/>
      <c r="KR54" s="669"/>
      <c r="KS54" s="669"/>
      <c r="KT54" s="669"/>
      <c r="KU54" s="669"/>
      <c r="KV54" s="669"/>
      <c r="KW54" s="669"/>
      <c r="KX54" s="669"/>
      <c r="KY54" s="669"/>
      <c r="KZ54" s="669"/>
      <c r="LA54" s="669"/>
      <c r="LB54" s="669"/>
      <c r="LC54" s="669"/>
      <c r="LD54" s="669"/>
      <c r="LE54" s="669"/>
      <c r="LF54" s="669"/>
      <c r="LG54" s="669"/>
      <c r="LH54" s="669"/>
      <c r="LI54" s="669"/>
      <c r="LJ54" s="669"/>
      <c r="LK54" s="669"/>
      <c r="LL54" s="669"/>
      <c r="LM54" s="669"/>
      <c r="LN54" s="669"/>
      <c r="LO54" s="669"/>
      <c r="LP54" s="669"/>
      <c r="LQ54" s="669"/>
      <c r="LR54" s="669"/>
      <c r="LS54" s="669"/>
      <c r="LT54" s="669"/>
      <c r="LU54" s="669"/>
      <c r="LV54" s="669"/>
      <c r="LW54" s="669"/>
      <c r="LX54" s="669"/>
      <c r="LY54" s="669"/>
      <c r="LZ54" s="669"/>
      <c r="MA54" s="669"/>
      <c r="MB54" s="669"/>
      <c r="MC54" s="669"/>
      <c r="MD54" s="669"/>
      <c r="ME54" s="669"/>
      <c r="MF54" s="669"/>
      <c r="MG54" s="669"/>
      <c r="MH54" s="669"/>
      <c r="MI54" s="669"/>
      <c r="MJ54" s="669"/>
      <c r="MK54" s="669"/>
      <c r="ML54" s="669"/>
      <c r="MM54" s="669"/>
      <c r="MN54" s="669"/>
      <c r="MO54" s="669"/>
      <c r="MP54" s="669"/>
      <c r="MQ54" s="669"/>
      <c r="MR54" s="669"/>
      <c r="MS54" s="669"/>
      <c r="MT54" s="669"/>
      <c r="MU54" s="669"/>
      <c r="MV54" s="669"/>
      <c r="MW54" s="669"/>
      <c r="MX54" s="669"/>
      <c r="MY54" s="669"/>
      <c r="MZ54" s="669"/>
      <c r="NA54" s="669"/>
      <c r="NB54" s="669"/>
      <c r="NC54" s="669"/>
      <c r="ND54" s="669"/>
      <c r="NE54" s="669"/>
      <c r="NF54" s="669"/>
      <c r="NG54" s="669"/>
      <c r="NH54" s="669"/>
      <c r="NI54" s="669"/>
      <c r="NJ54" s="669"/>
      <c r="NK54" s="669"/>
      <c r="NL54" s="669"/>
      <c r="NM54" s="669"/>
      <c r="NN54" s="669"/>
      <c r="NO54" s="669"/>
      <c r="NP54" s="669"/>
      <c r="NQ54" s="669"/>
      <c r="NR54" s="669"/>
      <c r="NS54" s="669"/>
      <c r="NT54" s="669"/>
      <c r="NU54" s="669"/>
      <c r="NV54" s="669"/>
      <c r="NW54" s="669"/>
      <c r="NX54" s="669"/>
      <c r="NY54" s="669"/>
      <c r="NZ54" s="669"/>
      <c r="OA54" s="669"/>
      <c r="OB54" s="669"/>
      <c r="OC54" s="669"/>
      <c r="OD54" s="669"/>
      <c r="OE54" s="669"/>
      <c r="OF54" s="669"/>
      <c r="OG54" s="669"/>
      <c r="OH54" s="669"/>
      <c r="OI54" s="669"/>
      <c r="OJ54" s="669"/>
      <c r="OK54" s="669"/>
      <c r="OL54" s="669"/>
      <c r="OM54" s="669"/>
      <c r="ON54" s="669"/>
      <c r="OO54" s="669"/>
      <c r="OP54" s="669"/>
      <c r="OQ54" s="669"/>
      <c r="OR54" s="669"/>
      <c r="OS54" s="669"/>
      <c r="OT54" s="669"/>
      <c r="OU54" s="669"/>
      <c r="OV54" s="669"/>
      <c r="OW54" s="669"/>
      <c r="OX54" s="669"/>
      <c r="OY54" s="669"/>
      <c r="OZ54" s="669"/>
      <c r="PA54" s="669"/>
      <c r="PB54" s="669"/>
      <c r="PC54" s="669"/>
      <c r="PD54" s="669"/>
      <c r="PE54" s="669"/>
      <c r="PF54" s="669"/>
      <c r="PG54" s="669"/>
      <c r="PH54" s="669"/>
      <c r="PI54" s="669"/>
      <c r="PJ54" s="669"/>
      <c r="PK54" s="669"/>
      <c r="PL54" s="669"/>
      <c r="PM54" s="669"/>
      <c r="PN54" s="669"/>
      <c r="PO54" s="669"/>
      <c r="PP54" s="669"/>
      <c r="PQ54" s="669"/>
      <c r="PR54" s="669"/>
      <c r="PS54" s="669"/>
      <c r="PT54" s="669"/>
      <c r="PU54" s="669"/>
      <c r="PV54" s="669"/>
      <c r="PW54" s="669"/>
      <c r="PX54" s="669"/>
      <c r="PY54" s="669"/>
      <c r="PZ54" s="669"/>
      <c r="QA54" s="669"/>
      <c r="QB54" s="669"/>
      <c r="QC54" s="669"/>
      <c r="QD54" s="669"/>
    </row>
    <row r="55" spans="1:446" s="116" customFormat="1" x14ac:dyDescent="0.25">
      <c r="A55" s="678">
        <v>1</v>
      </c>
      <c r="B55" s="668"/>
      <c r="C55" s="669"/>
      <c r="D55" s="669"/>
      <c r="E55" s="668"/>
      <c r="F55" s="669"/>
      <c r="G55" s="669"/>
      <c r="H55" s="669"/>
      <c r="I55" s="669"/>
      <c r="J55" s="669"/>
      <c r="K55" s="669"/>
      <c r="L55" s="669"/>
      <c r="M55" s="669"/>
      <c r="N55" s="669"/>
      <c r="O55" s="669"/>
      <c r="P55" s="669"/>
      <c r="Q55" s="669"/>
      <c r="R55" s="669"/>
      <c r="S55" s="669"/>
      <c r="T55" s="669"/>
      <c r="U55" s="669"/>
      <c r="V55" s="669"/>
      <c r="W55" s="669"/>
      <c r="X55" s="669"/>
      <c r="Y55" s="669"/>
      <c r="Z55" s="669"/>
      <c r="AA55" s="669"/>
      <c r="AB55" s="669"/>
      <c r="AC55" s="669"/>
      <c r="AD55" s="669"/>
      <c r="AE55" s="669"/>
      <c r="AF55" s="669"/>
      <c r="AG55" s="669"/>
      <c r="AH55" s="669"/>
      <c r="AI55" s="669"/>
      <c r="AJ55" s="669"/>
      <c r="AK55" s="669"/>
      <c r="AL55" s="669"/>
      <c r="AM55" s="669"/>
      <c r="AN55" s="669"/>
      <c r="AO55" s="669"/>
      <c r="AP55" s="669"/>
      <c r="AQ55" s="669"/>
      <c r="AR55" s="669"/>
      <c r="AS55" s="669"/>
      <c r="AT55" s="669"/>
      <c r="AU55" s="669"/>
      <c r="AV55" s="669"/>
      <c r="AW55" s="669"/>
      <c r="AX55" s="669"/>
      <c r="AY55" s="669"/>
      <c r="AZ55" s="669"/>
      <c r="BA55" s="669"/>
      <c r="BB55" s="669"/>
      <c r="BC55" s="669"/>
      <c r="BD55" s="669"/>
      <c r="BE55" s="669"/>
      <c r="BF55" s="669"/>
      <c r="BG55" s="669"/>
      <c r="BH55" s="669"/>
      <c r="BI55" s="669"/>
      <c r="BJ55" s="669"/>
      <c r="BK55" s="669"/>
      <c r="BL55" s="669"/>
      <c r="BM55" s="669"/>
      <c r="BN55" s="669"/>
      <c r="BO55" s="669"/>
      <c r="BP55" s="669"/>
      <c r="BQ55" s="669"/>
      <c r="BR55" s="669"/>
      <c r="BS55" s="669"/>
      <c r="BT55" s="669"/>
      <c r="BU55" s="669"/>
      <c r="BV55" s="669"/>
      <c r="BW55" s="669"/>
      <c r="BX55" s="669"/>
      <c r="BY55" s="669"/>
      <c r="BZ55" s="669"/>
      <c r="CA55" s="669"/>
      <c r="CB55" s="669"/>
      <c r="CC55" s="669"/>
      <c r="CD55" s="669"/>
      <c r="CE55" s="669"/>
      <c r="CF55" s="669"/>
      <c r="CG55" s="669"/>
      <c r="CH55" s="669"/>
      <c r="CI55" s="669"/>
      <c r="CJ55" s="669"/>
      <c r="CK55" s="669"/>
      <c r="CL55" s="669"/>
      <c r="CM55" s="669"/>
      <c r="CN55" s="669"/>
      <c r="CO55" s="669"/>
      <c r="CP55" s="669"/>
      <c r="CQ55" s="669"/>
      <c r="CR55" s="669"/>
      <c r="CS55" s="669"/>
      <c r="CT55" s="669"/>
      <c r="CU55" s="669"/>
      <c r="CV55" s="669"/>
      <c r="CW55" s="669"/>
      <c r="CX55" s="669"/>
      <c r="CY55" s="669"/>
      <c r="CZ55" s="669"/>
      <c r="DA55" s="669"/>
      <c r="DB55" s="669"/>
      <c r="DC55" s="669"/>
      <c r="DD55" s="669"/>
      <c r="DE55" s="669"/>
      <c r="DF55" s="669"/>
      <c r="DG55" s="669"/>
      <c r="DH55" s="669"/>
      <c r="DI55" s="669"/>
      <c r="DJ55" s="669"/>
      <c r="DK55" s="669"/>
      <c r="DL55" s="669"/>
      <c r="DM55" s="669"/>
      <c r="DN55" s="669"/>
      <c r="DO55" s="669"/>
      <c r="DP55" s="669"/>
      <c r="DQ55" s="669"/>
      <c r="DR55" s="669"/>
      <c r="DS55" s="669"/>
      <c r="DT55" s="669"/>
      <c r="DU55" s="669"/>
      <c r="DV55" s="669"/>
      <c r="DW55" s="669"/>
      <c r="DX55" s="669"/>
      <c r="DY55" s="669"/>
      <c r="DZ55" s="669"/>
      <c r="EA55" s="669"/>
      <c r="EB55" s="669"/>
      <c r="EC55" s="669"/>
      <c r="ED55" s="669"/>
      <c r="EE55" s="669"/>
      <c r="EF55" s="669"/>
      <c r="EG55" s="669"/>
      <c r="EH55" s="669"/>
      <c r="EI55" s="669"/>
      <c r="EJ55" s="669"/>
      <c r="EK55" s="669"/>
      <c r="EL55" s="669"/>
      <c r="EM55" s="669"/>
      <c r="EN55" s="669"/>
      <c r="EO55" s="669"/>
      <c r="EP55" s="669"/>
      <c r="EQ55" s="669"/>
      <c r="ER55" s="669"/>
      <c r="ES55" s="669"/>
      <c r="ET55" s="669"/>
      <c r="EU55" s="669"/>
      <c r="EV55" s="669"/>
      <c r="EW55" s="669"/>
      <c r="EX55" s="669"/>
      <c r="EY55" s="669"/>
      <c r="EZ55" s="669"/>
      <c r="FA55" s="669"/>
      <c r="FB55" s="669"/>
      <c r="FC55" s="669"/>
      <c r="FD55" s="669"/>
      <c r="FE55" s="669"/>
      <c r="FF55" s="669"/>
      <c r="FG55" s="669"/>
      <c r="FH55" s="669"/>
      <c r="FI55" s="669"/>
      <c r="FJ55" s="669"/>
      <c r="FK55" s="669"/>
      <c r="FL55" s="669"/>
      <c r="FM55" s="669"/>
      <c r="FN55" s="669"/>
      <c r="FO55" s="669"/>
      <c r="FP55" s="669"/>
      <c r="FQ55" s="669"/>
      <c r="FR55" s="669"/>
      <c r="FS55" s="669"/>
      <c r="FT55" s="669"/>
      <c r="FU55" s="669"/>
      <c r="FV55" s="669"/>
      <c r="FW55" s="669"/>
      <c r="FX55" s="669"/>
      <c r="FY55" s="669"/>
      <c r="FZ55" s="669"/>
      <c r="GA55" s="669"/>
      <c r="GB55" s="669"/>
      <c r="GC55" s="669"/>
      <c r="GD55" s="669"/>
      <c r="GE55" s="669"/>
      <c r="GF55" s="669"/>
      <c r="GG55" s="669"/>
      <c r="GH55" s="669"/>
      <c r="GI55" s="669"/>
      <c r="GJ55" s="669"/>
      <c r="GK55" s="669"/>
      <c r="GL55" s="669"/>
      <c r="GM55" s="669"/>
      <c r="GN55" s="669"/>
      <c r="GO55" s="669"/>
      <c r="GP55" s="669"/>
      <c r="GQ55" s="669"/>
      <c r="GR55" s="669"/>
      <c r="GS55" s="669"/>
      <c r="GT55" s="669"/>
      <c r="GU55" s="669"/>
      <c r="GV55" s="669"/>
      <c r="GW55" s="669"/>
      <c r="GX55" s="669"/>
      <c r="GY55" s="669"/>
      <c r="GZ55" s="669"/>
      <c r="HA55" s="669"/>
      <c r="HB55" s="669"/>
      <c r="HC55" s="669"/>
      <c r="HD55" s="669"/>
      <c r="HE55" s="669"/>
      <c r="HF55" s="669"/>
      <c r="HG55" s="669"/>
      <c r="HH55" s="669"/>
      <c r="HI55" s="669"/>
      <c r="HJ55" s="669"/>
      <c r="HK55" s="669"/>
      <c r="HL55" s="669"/>
      <c r="HM55" s="669"/>
      <c r="HN55" s="669"/>
      <c r="HO55" s="669"/>
      <c r="HP55" s="669"/>
      <c r="HQ55" s="669"/>
      <c r="HR55" s="669"/>
      <c r="HS55" s="669"/>
      <c r="HT55" s="669"/>
      <c r="HU55" s="669"/>
      <c r="HV55" s="669"/>
      <c r="HW55" s="669"/>
      <c r="HX55" s="669"/>
      <c r="HY55" s="669"/>
      <c r="HZ55" s="669"/>
      <c r="IA55" s="669"/>
      <c r="IB55" s="669"/>
      <c r="IC55" s="669"/>
      <c r="ID55" s="669"/>
      <c r="IE55" s="669"/>
      <c r="IF55" s="669"/>
      <c r="IG55" s="669"/>
      <c r="IH55" s="669"/>
      <c r="II55" s="669"/>
      <c r="IJ55" s="669"/>
      <c r="IK55" s="669"/>
      <c r="IL55" s="669"/>
      <c r="IM55" s="669"/>
      <c r="IN55" s="669"/>
      <c r="IO55" s="669"/>
      <c r="IP55" s="669"/>
      <c r="IQ55" s="669"/>
      <c r="IR55" s="669"/>
      <c r="IS55" s="669"/>
      <c r="IT55" s="669"/>
      <c r="IU55" s="669"/>
      <c r="IV55" s="669"/>
      <c r="IW55" s="669"/>
      <c r="IX55" s="669"/>
      <c r="IY55" s="669"/>
      <c r="IZ55" s="669"/>
      <c r="JA55" s="669"/>
      <c r="JB55" s="669"/>
      <c r="JC55" s="669"/>
      <c r="JD55" s="669"/>
      <c r="JE55" s="669"/>
      <c r="JF55" s="669"/>
      <c r="JG55" s="669"/>
      <c r="JH55" s="669"/>
      <c r="JI55" s="669"/>
      <c r="JJ55" s="669"/>
      <c r="JK55" s="669"/>
      <c r="JL55" s="669"/>
      <c r="JM55" s="669"/>
      <c r="JN55" s="669"/>
      <c r="JO55" s="669"/>
      <c r="JP55" s="669"/>
      <c r="JQ55" s="669"/>
      <c r="JR55" s="669"/>
      <c r="JS55" s="669"/>
      <c r="JT55" s="669"/>
      <c r="JU55" s="669"/>
      <c r="JV55" s="669"/>
      <c r="JW55" s="669"/>
      <c r="JX55" s="669"/>
      <c r="JY55" s="669"/>
      <c r="JZ55" s="669"/>
      <c r="KA55" s="669"/>
      <c r="KB55" s="669"/>
      <c r="KC55" s="669"/>
      <c r="KD55" s="669"/>
      <c r="KE55" s="669"/>
      <c r="KF55" s="669"/>
      <c r="KG55" s="669"/>
      <c r="KH55" s="669"/>
      <c r="KI55" s="669"/>
      <c r="KJ55" s="669"/>
      <c r="KK55" s="669"/>
      <c r="KL55" s="669"/>
      <c r="KM55" s="669"/>
      <c r="KN55" s="669"/>
      <c r="KO55" s="669"/>
      <c r="KP55" s="669"/>
      <c r="KQ55" s="669"/>
      <c r="KR55" s="669"/>
      <c r="KS55" s="669"/>
      <c r="KT55" s="669"/>
      <c r="KU55" s="669"/>
      <c r="KV55" s="669"/>
      <c r="KW55" s="669"/>
      <c r="KX55" s="669"/>
      <c r="KY55" s="669"/>
      <c r="KZ55" s="669"/>
      <c r="LA55" s="669"/>
      <c r="LB55" s="669"/>
      <c r="LC55" s="669"/>
      <c r="LD55" s="669"/>
      <c r="LE55" s="669"/>
      <c r="LF55" s="669"/>
      <c r="LG55" s="669"/>
      <c r="LH55" s="669"/>
      <c r="LI55" s="669"/>
      <c r="LJ55" s="669"/>
      <c r="LK55" s="669"/>
      <c r="LL55" s="669"/>
      <c r="LM55" s="669"/>
      <c r="LN55" s="669"/>
      <c r="LO55" s="669"/>
      <c r="LP55" s="669"/>
      <c r="LQ55" s="669"/>
      <c r="LR55" s="669"/>
      <c r="LS55" s="669"/>
      <c r="LT55" s="669"/>
      <c r="LU55" s="669"/>
      <c r="LV55" s="669"/>
      <c r="LW55" s="669"/>
      <c r="LX55" s="669"/>
      <c r="LY55" s="669"/>
      <c r="LZ55" s="669"/>
      <c r="MA55" s="669"/>
      <c r="MB55" s="669"/>
      <c r="MC55" s="669"/>
      <c r="MD55" s="669"/>
      <c r="ME55" s="669"/>
      <c r="MF55" s="669"/>
      <c r="MG55" s="669"/>
      <c r="MH55" s="669"/>
      <c r="MI55" s="669"/>
      <c r="MJ55" s="669"/>
      <c r="MK55" s="669"/>
      <c r="ML55" s="669"/>
      <c r="MM55" s="669"/>
      <c r="MN55" s="669"/>
      <c r="MO55" s="669"/>
      <c r="MP55" s="669"/>
      <c r="MQ55" s="669"/>
      <c r="MR55" s="669"/>
      <c r="MS55" s="669"/>
      <c r="MT55" s="669"/>
      <c r="MU55" s="669"/>
      <c r="MV55" s="669"/>
      <c r="MW55" s="669"/>
      <c r="MX55" s="669"/>
      <c r="MY55" s="669"/>
      <c r="MZ55" s="669"/>
      <c r="NA55" s="669"/>
      <c r="NB55" s="669"/>
      <c r="NC55" s="669"/>
      <c r="ND55" s="669"/>
      <c r="NE55" s="669"/>
      <c r="NF55" s="669"/>
      <c r="NG55" s="669"/>
      <c r="NH55" s="669"/>
      <c r="NI55" s="669"/>
      <c r="NJ55" s="669"/>
      <c r="NK55" s="669"/>
      <c r="NL55" s="669"/>
      <c r="NM55" s="669"/>
      <c r="NN55" s="669"/>
      <c r="NO55" s="669"/>
      <c r="NP55" s="669"/>
      <c r="NQ55" s="669"/>
      <c r="NR55" s="669"/>
      <c r="NS55" s="669"/>
      <c r="NT55" s="669"/>
      <c r="NU55" s="669"/>
      <c r="NV55" s="669"/>
      <c r="NW55" s="669"/>
      <c r="NX55" s="669"/>
      <c r="NY55" s="669"/>
      <c r="NZ55" s="669"/>
      <c r="OA55" s="669"/>
      <c r="OB55" s="669"/>
      <c r="OC55" s="669"/>
      <c r="OD55" s="669"/>
      <c r="OE55" s="669"/>
      <c r="OF55" s="669"/>
      <c r="OG55" s="669"/>
      <c r="OH55" s="669"/>
      <c r="OI55" s="669"/>
      <c r="OJ55" s="669"/>
      <c r="OK55" s="669"/>
      <c r="OL55" s="669"/>
      <c r="OM55" s="669"/>
      <c r="ON55" s="669"/>
      <c r="OO55" s="669"/>
      <c r="OP55" s="669"/>
      <c r="OQ55" s="669"/>
      <c r="OR55" s="669"/>
      <c r="OS55" s="669"/>
      <c r="OT55" s="669"/>
      <c r="OU55" s="669"/>
      <c r="OV55" s="669"/>
      <c r="OW55" s="669"/>
      <c r="OX55" s="669"/>
      <c r="OY55" s="669"/>
      <c r="OZ55" s="669"/>
      <c r="PA55" s="669"/>
      <c r="PB55" s="669"/>
      <c r="PC55" s="669"/>
      <c r="PD55" s="669"/>
      <c r="PE55" s="669"/>
      <c r="PF55" s="669"/>
      <c r="PG55" s="669"/>
      <c r="PH55" s="669"/>
      <c r="PI55" s="669"/>
      <c r="PJ55" s="669"/>
      <c r="PK55" s="669"/>
      <c r="PL55" s="669"/>
      <c r="PM55" s="669"/>
      <c r="PN55" s="669"/>
      <c r="PO55" s="669"/>
      <c r="PP55" s="669"/>
      <c r="PQ55" s="669"/>
      <c r="PR55" s="669"/>
      <c r="PS55" s="669"/>
      <c r="PT55" s="669"/>
      <c r="PU55" s="669"/>
      <c r="PV55" s="669"/>
      <c r="PW55" s="669"/>
      <c r="PX55" s="669"/>
      <c r="PY55" s="669"/>
      <c r="PZ55" s="669"/>
      <c r="QA55" s="669"/>
      <c r="QB55" s="669"/>
      <c r="QC55" s="669"/>
      <c r="QD55" s="669"/>
    </row>
    <row r="56" spans="1:446" s="116" customFormat="1" x14ac:dyDescent="0.25">
      <c r="A56" s="678">
        <v>1</v>
      </c>
      <c r="B56" s="668"/>
      <c r="C56" s="669"/>
      <c r="D56" s="669"/>
      <c r="E56" s="668"/>
      <c r="F56" s="669"/>
      <c r="G56" s="669"/>
      <c r="H56" s="669"/>
      <c r="I56" s="669"/>
      <c r="J56" s="669"/>
      <c r="K56" s="669"/>
      <c r="L56" s="669"/>
      <c r="M56" s="669"/>
      <c r="N56" s="669"/>
      <c r="O56" s="669"/>
      <c r="P56" s="669"/>
      <c r="Q56" s="669"/>
      <c r="R56" s="669"/>
      <c r="S56" s="669"/>
      <c r="T56" s="669"/>
      <c r="U56" s="669"/>
      <c r="V56" s="669"/>
      <c r="W56" s="669"/>
      <c r="X56" s="669"/>
      <c r="Y56" s="669"/>
      <c r="Z56" s="669"/>
      <c r="AA56" s="669"/>
      <c r="AB56" s="669"/>
      <c r="AC56" s="669"/>
      <c r="AD56" s="669"/>
      <c r="AE56" s="669"/>
      <c r="AF56" s="669"/>
      <c r="AG56" s="669"/>
      <c r="AH56" s="669"/>
      <c r="AI56" s="669"/>
      <c r="AJ56" s="669"/>
      <c r="AK56" s="669"/>
      <c r="AL56" s="669"/>
      <c r="AM56" s="669"/>
      <c r="AN56" s="669"/>
      <c r="AO56" s="669"/>
      <c r="AP56" s="669"/>
      <c r="AQ56" s="669"/>
      <c r="AR56" s="669"/>
      <c r="AS56" s="669"/>
      <c r="AT56" s="669"/>
      <c r="AU56" s="669"/>
      <c r="AV56" s="669"/>
      <c r="AW56" s="669"/>
      <c r="AX56" s="669"/>
      <c r="AY56" s="669"/>
      <c r="AZ56" s="669"/>
      <c r="BA56" s="669"/>
      <c r="BB56" s="669"/>
      <c r="BC56" s="669"/>
      <c r="BD56" s="669"/>
      <c r="BE56" s="669"/>
      <c r="BF56" s="669"/>
      <c r="BG56" s="669"/>
      <c r="BH56" s="669"/>
      <c r="BI56" s="669"/>
      <c r="BJ56" s="669"/>
      <c r="BK56" s="669"/>
      <c r="BL56" s="669"/>
      <c r="BM56" s="669"/>
      <c r="BN56" s="669"/>
      <c r="BO56" s="669"/>
      <c r="BP56" s="669"/>
      <c r="BQ56" s="669"/>
      <c r="BR56" s="669"/>
      <c r="BS56" s="669"/>
      <c r="BT56" s="669"/>
      <c r="BU56" s="669"/>
      <c r="BV56" s="669"/>
      <c r="BW56" s="669"/>
      <c r="BX56" s="669"/>
      <c r="BY56" s="669"/>
      <c r="BZ56" s="669"/>
      <c r="CA56" s="669"/>
      <c r="CB56" s="669"/>
      <c r="CC56" s="669"/>
      <c r="CD56" s="669"/>
      <c r="CE56" s="669"/>
      <c r="CF56" s="669"/>
      <c r="CG56" s="669"/>
      <c r="CH56" s="669"/>
      <c r="CI56" s="669"/>
      <c r="CJ56" s="669"/>
      <c r="CK56" s="669"/>
      <c r="CL56" s="669"/>
      <c r="CM56" s="669"/>
      <c r="CN56" s="669"/>
      <c r="CO56" s="669"/>
      <c r="CP56" s="669"/>
      <c r="CQ56" s="669"/>
      <c r="CR56" s="669"/>
      <c r="CS56" s="669"/>
      <c r="CT56" s="669"/>
      <c r="CU56" s="669"/>
      <c r="CV56" s="669"/>
      <c r="CW56" s="669"/>
      <c r="CX56" s="669"/>
      <c r="CY56" s="669"/>
      <c r="CZ56" s="669"/>
      <c r="DA56" s="669"/>
      <c r="DB56" s="669"/>
      <c r="DC56" s="669"/>
      <c r="DD56" s="669"/>
      <c r="DE56" s="669"/>
      <c r="DF56" s="669"/>
      <c r="DG56" s="669"/>
      <c r="DH56" s="669"/>
      <c r="DI56" s="669"/>
      <c r="DJ56" s="669"/>
      <c r="DK56" s="669"/>
      <c r="DL56" s="669"/>
      <c r="DM56" s="669"/>
      <c r="DN56" s="669"/>
      <c r="DO56" s="669"/>
      <c r="DP56" s="669"/>
      <c r="DQ56" s="669"/>
      <c r="DR56" s="669"/>
      <c r="DS56" s="669"/>
      <c r="DT56" s="669"/>
      <c r="DU56" s="669"/>
      <c r="DV56" s="669"/>
      <c r="DW56" s="669"/>
      <c r="DX56" s="669"/>
      <c r="DY56" s="669"/>
      <c r="DZ56" s="669"/>
      <c r="EA56" s="669"/>
      <c r="EB56" s="669"/>
      <c r="EC56" s="669"/>
      <c r="ED56" s="669"/>
      <c r="EE56" s="669"/>
      <c r="EF56" s="669"/>
      <c r="EG56" s="669"/>
      <c r="EH56" s="669"/>
      <c r="EI56" s="669"/>
      <c r="EJ56" s="669"/>
      <c r="EK56" s="669"/>
      <c r="EL56" s="669"/>
      <c r="EM56" s="669"/>
      <c r="EN56" s="669"/>
      <c r="EO56" s="669"/>
      <c r="EP56" s="669"/>
      <c r="EQ56" s="669"/>
      <c r="ER56" s="669"/>
      <c r="ES56" s="669"/>
      <c r="ET56" s="669"/>
      <c r="EU56" s="669"/>
      <c r="EV56" s="669"/>
      <c r="EW56" s="669"/>
      <c r="EX56" s="669"/>
      <c r="EY56" s="669"/>
      <c r="EZ56" s="669"/>
      <c r="FA56" s="669"/>
      <c r="FB56" s="669"/>
      <c r="FC56" s="669"/>
      <c r="FD56" s="669"/>
      <c r="FE56" s="669"/>
      <c r="FF56" s="669"/>
      <c r="FG56" s="669"/>
      <c r="FH56" s="669"/>
      <c r="FI56" s="669"/>
      <c r="FJ56" s="669"/>
      <c r="FK56" s="669"/>
      <c r="FL56" s="669"/>
      <c r="FM56" s="669"/>
      <c r="FN56" s="669"/>
      <c r="FO56" s="669"/>
      <c r="FP56" s="669"/>
      <c r="FQ56" s="669"/>
      <c r="FR56" s="669"/>
      <c r="FS56" s="669"/>
      <c r="FT56" s="669"/>
      <c r="FU56" s="669"/>
      <c r="FV56" s="669"/>
      <c r="FW56" s="669"/>
      <c r="FX56" s="669"/>
      <c r="FY56" s="669"/>
      <c r="FZ56" s="669"/>
      <c r="GA56" s="669"/>
      <c r="GB56" s="669"/>
      <c r="GC56" s="669"/>
      <c r="GD56" s="669"/>
      <c r="GE56" s="669"/>
      <c r="GF56" s="669"/>
      <c r="GG56" s="669"/>
      <c r="GH56" s="669"/>
      <c r="GI56" s="669"/>
      <c r="GJ56" s="669"/>
      <c r="GK56" s="669"/>
      <c r="GL56" s="669"/>
      <c r="GM56" s="669"/>
      <c r="GN56" s="669"/>
      <c r="GO56" s="669"/>
      <c r="GP56" s="669"/>
      <c r="GQ56" s="669"/>
      <c r="GR56" s="669"/>
      <c r="GS56" s="669"/>
      <c r="GT56" s="669"/>
      <c r="GU56" s="669"/>
      <c r="GV56" s="669"/>
      <c r="GW56" s="669"/>
      <c r="GX56" s="669"/>
      <c r="GY56" s="669"/>
      <c r="GZ56" s="669"/>
      <c r="HA56" s="669"/>
      <c r="HB56" s="669"/>
      <c r="HC56" s="669"/>
      <c r="HD56" s="669"/>
      <c r="HE56" s="669"/>
      <c r="HF56" s="669"/>
      <c r="HG56" s="669"/>
      <c r="HH56" s="669"/>
      <c r="HI56" s="669"/>
      <c r="HJ56" s="669"/>
      <c r="HK56" s="669"/>
      <c r="HL56" s="669"/>
      <c r="HM56" s="669"/>
      <c r="HN56" s="669"/>
      <c r="HO56" s="669"/>
      <c r="HP56" s="669"/>
      <c r="HQ56" s="669"/>
      <c r="HR56" s="669"/>
      <c r="HS56" s="669"/>
      <c r="HT56" s="669"/>
      <c r="HU56" s="669"/>
      <c r="HV56" s="669"/>
      <c r="HW56" s="669"/>
      <c r="HX56" s="669"/>
      <c r="HY56" s="669"/>
      <c r="HZ56" s="669"/>
      <c r="IA56" s="669"/>
      <c r="IB56" s="669"/>
      <c r="IC56" s="669"/>
      <c r="ID56" s="669"/>
      <c r="IE56" s="669"/>
      <c r="IF56" s="669"/>
      <c r="IG56" s="669"/>
      <c r="IH56" s="669"/>
      <c r="II56" s="669"/>
      <c r="IJ56" s="669"/>
      <c r="IK56" s="669"/>
      <c r="IL56" s="669"/>
      <c r="IM56" s="669"/>
      <c r="IN56" s="669"/>
      <c r="IO56" s="669"/>
      <c r="IP56" s="669"/>
      <c r="IQ56" s="669"/>
      <c r="IR56" s="669"/>
      <c r="IS56" s="669"/>
      <c r="IT56" s="669"/>
      <c r="IU56" s="669"/>
      <c r="IV56" s="669"/>
      <c r="IW56" s="669"/>
      <c r="IX56" s="669"/>
      <c r="IY56" s="669"/>
      <c r="IZ56" s="669"/>
      <c r="JA56" s="669"/>
      <c r="JB56" s="669"/>
      <c r="JC56" s="669"/>
      <c r="JD56" s="669"/>
      <c r="JE56" s="669"/>
      <c r="JF56" s="669"/>
      <c r="JG56" s="669"/>
      <c r="JH56" s="669"/>
      <c r="JI56" s="669"/>
      <c r="JJ56" s="669"/>
      <c r="JK56" s="669"/>
      <c r="JL56" s="669"/>
      <c r="JM56" s="669"/>
      <c r="JN56" s="669"/>
      <c r="JO56" s="669"/>
      <c r="JP56" s="669"/>
      <c r="JQ56" s="669"/>
      <c r="JR56" s="669"/>
      <c r="JS56" s="669"/>
      <c r="JT56" s="669"/>
      <c r="JU56" s="669"/>
      <c r="JV56" s="669"/>
      <c r="JW56" s="669"/>
      <c r="JX56" s="669"/>
      <c r="JY56" s="669"/>
      <c r="JZ56" s="669"/>
      <c r="KA56" s="669"/>
      <c r="KB56" s="669"/>
      <c r="KC56" s="669"/>
      <c r="KD56" s="669"/>
      <c r="KE56" s="669"/>
      <c r="KF56" s="669"/>
      <c r="KG56" s="669"/>
      <c r="KH56" s="669"/>
      <c r="KI56" s="669"/>
      <c r="KJ56" s="669"/>
      <c r="KK56" s="669"/>
      <c r="KL56" s="669"/>
      <c r="KM56" s="669"/>
      <c r="KN56" s="669"/>
      <c r="KO56" s="669"/>
      <c r="KP56" s="669"/>
      <c r="KQ56" s="669"/>
      <c r="KR56" s="669"/>
      <c r="KS56" s="669"/>
      <c r="KT56" s="669"/>
      <c r="KU56" s="669"/>
      <c r="KV56" s="669"/>
      <c r="KW56" s="669"/>
      <c r="KX56" s="669"/>
      <c r="KY56" s="669"/>
      <c r="KZ56" s="669"/>
      <c r="LA56" s="669"/>
      <c r="LB56" s="669"/>
      <c r="LC56" s="669"/>
      <c r="LD56" s="669"/>
      <c r="LE56" s="669"/>
      <c r="LF56" s="669"/>
      <c r="LG56" s="669"/>
      <c r="LH56" s="669"/>
      <c r="LI56" s="669"/>
      <c r="LJ56" s="669"/>
      <c r="LK56" s="669"/>
      <c r="LL56" s="669"/>
      <c r="LM56" s="669"/>
      <c r="LN56" s="669"/>
      <c r="LO56" s="669"/>
      <c r="LP56" s="669"/>
      <c r="LQ56" s="669"/>
      <c r="LR56" s="669"/>
      <c r="LS56" s="669"/>
      <c r="LT56" s="669"/>
      <c r="LU56" s="669"/>
      <c r="LV56" s="669"/>
      <c r="LW56" s="669"/>
      <c r="LX56" s="669"/>
      <c r="LY56" s="669"/>
      <c r="LZ56" s="669"/>
      <c r="MA56" s="669"/>
      <c r="MB56" s="669"/>
      <c r="MC56" s="669"/>
      <c r="MD56" s="669"/>
      <c r="ME56" s="669"/>
      <c r="MF56" s="669"/>
      <c r="MG56" s="669"/>
      <c r="MH56" s="669"/>
      <c r="MI56" s="669"/>
      <c r="MJ56" s="669"/>
      <c r="MK56" s="669"/>
      <c r="ML56" s="669"/>
      <c r="MM56" s="669"/>
      <c r="MN56" s="669"/>
      <c r="MO56" s="669"/>
      <c r="MP56" s="669"/>
      <c r="MQ56" s="669"/>
      <c r="MR56" s="669"/>
      <c r="MS56" s="669"/>
      <c r="MT56" s="669"/>
      <c r="MU56" s="669"/>
      <c r="MV56" s="669"/>
      <c r="MW56" s="669"/>
      <c r="MX56" s="669"/>
      <c r="MY56" s="669"/>
      <c r="MZ56" s="669"/>
      <c r="NA56" s="669"/>
      <c r="NB56" s="669"/>
      <c r="NC56" s="669"/>
      <c r="ND56" s="669"/>
      <c r="NE56" s="669"/>
      <c r="NF56" s="669"/>
      <c r="NG56" s="669"/>
      <c r="NH56" s="669"/>
      <c r="NI56" s="669"/>
      <c r="NJ56" s="669"/>
      <c r="NK56" s="669"/>
      <c r="NL56" s="669"/>
      <c r="NM56" s="669"/>
      <c r="NN56" s="669"/>
      <c r="NO56" s="669"/>
      <c r="NP56" s="669"/>
      <c r="NQ56" s="669"/>
      <c r="NR56" s="669"/>
      <c r="NS56" s="669"/>
      <c r="NT56" s="669"/>
      <c r="NU56" s="669"/>
      <c r="NV56" s="669"/>
      <c r="NW56" s="669"/>
      <c r="NX56" s="669"/>
      <c r="NY56" s="669"/>
      <c r="NZ56" s="669"/>
      <c r="OA56" s="669"/>
      <c r="OB56" s="669"/>
      <c r="OC56" s="669"/>
      <c r="OD56" s="669"/>
      <c r="OE56" s="669"/>
      <c r="OF56" s="669"/>
      <c r="OG56" s="669"/>
      <c r="OH56" s="669"/>
      <c r="OI56" s="669"/>
      <c r="OJ56" s="669"/>
      <c r="OK56" s="669"/>
      <c r="OL56" s="669"/>
      <c r="OM56" s="669"/>
      <c r="ON56" s="669"/>
      <c r="OO56" s="669"/>
      <c r="OP56" s="669"/>
      <c r="OQ56" s="669"/>
      <c r="OR56" s="669"/>
      <c r="OS56" s="669"/>
      <c r="OT56" s="669"/>
      <c r="OU56" s="669"/>
      <c r="OV56" s="669"/>
      <c r="OW56" s="669"/>
      <c r="OX56" s="669"/>
      <c r="OY56" s="669"/>
      <c r="OZ56" s="669"/>
      <c r="PA56" s="669"/>
      <c r="PB56" s="669"/>
      <c r="PC56" s="669"/>
      <c r="PD56" s="669"/>
      <c r="PE56" s="669"/>
      <c r="PF56" s="669"/>
      <c r="PG56" s="669"/>
      <c r="PH56" s="669"/>
      <c r="PI56" s="669"/>
      <c r="PJ56" s="669"/>
      <c r="PK56" s="669"/>
      <c r="PL56" s="669"/>
      <c r="PM56" s="669"/>
      <c r="PN56" s="669"/>
      <c r="PO56" s="669"/>
      <c r="PP56" s="669"/>
      <c r="PQ56" s="669"/>
      <c r="PR56" s="669"/>
      <c r="PS56" s="669"/>
      <c r="PT56" s="669"/>
      <c r="PU56" s="669"/>
      <c r="PV56" s="669"/>
      <c r="PW56" s="669"/>
      <c r="PX56" s="669"/>
      <c r="PY56" s="669"/>
      <c r="PZ56" s="669"/>
      <c r="QA56" s="669"/>
      <c r="QB56" s="669"/>
      <c r="QC56" s="669"/>
      <c r="QD56" s="669"/>
    </row>
    <row r="57" spans="1:446" s="116" customFormat="1" x14ac:dyDescent="0.25">
      <c r="A57" s="678">
        <v>1</v>
      </c>
      <c r="B57" s="668"/>
      <c r="C57" s="669"/>
      <c r="D57" s="669"/>
      <c r="E57" s="668"/>
      <c r="F57" s="669"/>
      <c r="G57" s="669"/>
      <c r="H57" s="669"/>
      <c r="I57" s="669"/>
      <c r="J57" s="669"/>
      <c r="K57" s="669"/>
      <c r="L57" s="669"/>
      <c r="M57" s="669"/>
      <c r="N57" s="669"/>
      <c r="O57" s="669"/>
      <c r="P57" s="669"/>
      <c r="Q57" s="669"/>
      <c r="R57" s="669"/>
      <c r="S57" s="669"/>
      <c r="T57" s="669"/>
      <c r="U57" s="669"/>
      <c r="V57" s="669"/>
      <c r="W57" s="669"/>
      <c r="X57" s="669"/>
      <c r="Y57" s="669"/>
      <c r="Z57" s="669"/>
      <c r="AA57" s="669"/>
      <c r="AB57" s="669"/>
      <c r="AC57" s="669"/>
      <c r="AD57" s="669"/>
      <c r="AE57" s="669"/>
      <c r="AF57" s="669"/>
      <c r="AG57" s="669"/>
      <c r="AH57" s="669"/>
      <c r="AI57" s="669"/>
      <c r="AJ57" s="669"/>
      <c r="AK57" s="669"/>
      <c r="AL57" s="669"/>
      <c r="AM57" s="669"/>
      <c r="AN57" s="669"/>
      <c r="AO57" s="669"/>
      <c r="AP57" s="669"/>
      <c r="AQ57" s="669"/>
      <c r="AR57" s="669"/>
      <c r="AS57" s="669"/>
      <c r="AT57" s="669"/>
      <c r="AU57" s="669"/>
      <c r="AV57" s="669"/>
      <c r="AW57" s="669"/>
      <c r="AX57" s="669"/>
      <c r="AY57" s="669"/>
      <c r="AZ57" s="669"/>
      <c r="BA57" s="669"/>
      <c r="BB57" s="669"/>
      <c r="BC57" s="669"/>
      <c r="BD57" s="669"/>
      <c r="BE57" s="669"/>
      <c r="BF57" s="669"/>
      <c r="BG57" s="669"/>
      <c r="BH57" s="669"/>
      <c r="BI57" s="669"/>
      <c r="BJ57" s="669"/>
      <c r="BK57" s="669"/>
      <c r="BL57" s="669"/>
      <c r="BM57" s="669"/>
      <c r="BN57" s="669"/>
      <c r="BO57" s="669"/>
      <c r="BP57" s="669"/>
      <c r="BQ57" s="669"/>
      <c r="BR57" s="669"/>
      <c r="BS57" s="669"/>
      <c r="BT57" s="669"/>
      <c r="BU57" s="669"/>
      <c r="BV57" s="669"/>
      <c r="BW57" s="669"/>
      <c r="BX57" s="669"/>
      <c r="BY57" s="669"/>
      <c r="BZ57" s="669"/>
      <c r="CA57" s="669"/>
      <c r="CB57" s="669"/>
      <c r="CC57" s="669"/>
      <c r="CD57" s="669"/>
      <c r="CE57" s="669"/>
      <c r="CF57" s="669"/>
      <c r="CG57" s="669"/>
      <c r="CH57" s="669"/>
      <c r="CI57" s="669"/>
      <c r="CJ57" s="669"/>
      <c r="CK57" s="669"/>
      <c r="CL57" s="669"/>
      <c r="CM57" s="669"/>
      <c r="CN57" s="669"/>
      <c r="CO57" s="669"/>
      <c r="CP57" s="669"/>
      <c r="CQ57" s="669"/>
      <c r="CR57" s="669"/>
      <c r="CS57" s="669"/>
      <c r="CT57" s="669"/>
      <c r="CU57" s="669"/>
      <c r="CV57" s="669"/>
      <c r="CW57" s="669"/>
      <c r="CX57" s="669"/>
      <c r="CY57" s="669"/>
      <c r="CZ57" s="669"/>
      <c r="DA57" s="669"/>
      <c r="DB57" s="669"/>
      <c r="DC57" s="669"/>
      <c r="DD57" s="669"/>
      <c r="DE57" s="669"/>
      <c r="DF57" s="669"/>
      <c r="DG57" s="669"/>
      <c r="DH57" s="669"/>
      <c r="DI57" s="669"/>
      <c r="DJ57" s="669"/>
      <c r="DK57" s="669"/>
      <c r="DL57" s="669"/>
      <c r="DM57" s="669"/>
      <c r="DN57" s="669"/>
      <c r="DO57" s="669"/>
      <c r="DP57" s="669"/>
      <c r="DQ57" s="669"/>
      <c r="DR57" s="669"/>
      <c r="DS57" s="669"/>
      <c r="DT57" s="669"/>
      <c r="DU57" s="669"/>
      <c r="DV57" s="669"/>
      <c r="DW57" s="669"/>
      <c r="DX57" s="669"/>
      <c r="DY57" s="669"/>
      <c r="DZ57" s="669"/>
      <c r="EA57" s="669"/>
      <c r="EB57" s="669"/>
      <c r="EC57" s="669"/>
      <c r="ED57" s="669"/>
      <c r="EE57" s="669"/>
      <c r="EF57" s="669"/>
      <c r="EG57" s="669"/>
      <c r="EH57" s="669"/>
      <c r="EI57" s="669"/>
      <c r="EJ57" s="669"/>
      <c r="EK57" s="669"/>
      <c r="EL57" s="669"/>
      <c r="EM57" s="669"/>
      <c r="EN57" s="669"/>
      <c r="EO57" s="669"/>
      <c r="EP57" s="669"/>
      <c r="EQ57" s="669"/>
      <c r="ER57" s="669"/>
      <c r="ES57" s="669"/>
      <c r="ET57" s="669"/>
      <c r="EU57" s="669"/>
      <c r="EV57" s="669"/>
      <c r="EW57" s="669"/>
      <c r="EX57" s="669"/>
      <c r="EY57" s="669"/>
      <c r="EZ57" s="669"/>
      <c r="FA57" s="669"/>
      <c r="FB57" s="669"/>
      <c r="FC57" s="669"/>
      <c r="FD57" s="669"/>
      <c r="FE57" s="669"/>
      <c r="FF57" s="669"/>
      <c r="FG57" s="669"/>
      <c r="FH57" s="669"/>
      <c r="FI57" s="669"/>
      <c r="FJ57" s="669"/>
      <c r="FK57" s="669"/>
      <c r="FL57" s="669"/>
      <c r="FM57" s="669"/>
      <c r="FN57" s="669"/>
      <c r="FO57" s="669"/>
      <c r="FP57" s="669"/>
      <c r="FQ57" s="669"/>
      <c r="FR57" s="669"/>
      <c r="FS57" s="669"/>
      <c r="FT57" s="669"/>
      <c r="FU57" s="669"/>
      <c r="FV57" s="669"/>
      <c r="FW57" s="669"/>
      <c r="FX57" s="669"/>
      <c r="FY57" s="669"/>
      <c r="FZ57" s="669"/>
      <c r="GA57" s="669"/>
      <c r="GB57" s="669"/>
      <c r="GC57" s="669"/>
      <c r="GD57" s="669"/>
      <c r="GE57" s="669"/>
      <c r="GF57" s="669"/>
      <c r="GG57" s="669"/>
      <c r="GH57" s="669"/>
      <c r="GI57" s="669"/>
      <c r="GJ57" s="669"/>
      <c r="GK57" s="669"/>
      <c r="GL57" s="669"/>
      <c r="GM57" s="669"/>
      <c r="GN57" s="669"/>
      <c r="GO57" s="669"/>
      <c r="GP57" s="669"/>
      <c r="GQ57" s="669"/>
      <c r="GR57" s="669"/>
      <c r="GS57" s="669"/>
      <c r="GT57" s="669"/>
      <c r="GU57" s="669"/>
      <c r="GV57" s="669"/>
      <c r="GW57" s="669"/>
      <c r="GX57" s="669"/>
      <c r="GY57" s="669"/>
      <c r="GZ57" s="669"/>
      <c r="HA57" s="669"/>
      <c r="HB57" s="669"/>
      <c r="HC57" s="669"/>
      <c r="HD57" s="669"/>
      <c r="HE57" s="669"/>
      <c r="HF57" s="669"/>
      <c r="HG57" s="669"/>
      <c r="HH57" s="669"/>
      <c r="HI57" s="669"/>
      <c r="HJ57" s="669"/>
      <c r="HK57" s="669"/>
      <c r="HL57" s="669"/>
      <c r="HM57" s="669"/>
      <c r="HN57" s="669"/>
      <c r="HO57" s="669"/>
      <c r="HP57" s="669"/>
      <c r="HQ57" s="669"/>
      <c r="HR57" s="669"/>
      <c r="HS57" s="669"/>
      <c r="HT57" s="669"/>
      <c r="HU57" s="669"/>
      <c r="HV57" s="669"/>
      <c r="HW57" s="669"/>
      <c r="HX57" s="669"/>
      <c r="HY57" s="669"/>
      <c r="HZ57" s="669"/>
      <c r="IA57" s="669"/>
      <c r="IB57" s="669"/>
      <c r="IC57" s="669"/>
      <c r="ID57" s="669"/>
      <c r="IE57" s="669"/>
      <c r="IF57" s="669"/>
      <c r="IG57" s="669"/>
      <c r="IH57" s="669"/>
      <c r="II57" s="669"/>
      <c r="IJ57" s="669"/>
      <c r="IK57" s="669"/>
      <c r="IL57" s="669"/>
      <c r="IM57" s="669"/>
      <c r="IN57" s="669"/>
      <c r="IO57" s="669"/>
      <c r="IP57" s="669"/>
      <c r="IQ57" s="669"/>
      <c r="IR57" s="669"/>
      <c r="IS57" s="669"/>
      <c r="IT57" s="669"/>
      <c r="IU57" s="669"/>
      <c r="IV57" s="669"/>
      <c r="IW57" s="669"/>
      <c r="IX57" s="669"/>
      <c r="IY57" s="669"/>
      <c r="IZ57" s="669"/>
      <c r="JA57" s="669"/>
      <c r="JB57" s="669"/>
      <c r="JC57" s="669"/>
      <c r="JD57" s="669"/>
      <c r="JE57" s="669"/>
      <c r="JF57" s="669"/>
      <c r="JG57" s="669"/>
      <c r="JH57" s="669"/>
      <c r="JI57" s="669"/>
      <c r="JJ57" s="669"/>
      <c r="JK57" s="669"/>
      <c r="JL57" s="669"/>
      <c r="JM57" s="669"/>
      <c r="JN57" s="669"/>
      <c r="JO57" s="669"/>
      <c r="JP57" s="669"/>
      <c r="JQ57" s="669"/>
      <c r="JR57" s="669"/>
      <c r="JS57" s="669"/>
      <c r="JT57" s="669"/>
      <c r="JU57" s="669"/>
      <c r="JV57" s="669"/>
      <c r="JW57" s="669"/>
      <c r="JX57" s="669"/>
      <c r="JY57" s="669"/>
      <c r="JZ57" s="669"/>
      <c r="KA57" s="669"/>
      <c r="KB57" s="669"/>
      <c r="KC57" s="669"/>
      <c r="KD57" s="669"/>
      <c r="KE57" s="669"/>
      <c r="KF57" s="669"/>
      <c r="KG57" s="669"/>
      <c r="KH57" s="669"/>
      <c r="KI57" s="669"/>
      <c r="KJ57" s="669"/>
      <c r="KK57" s="669"/>
      <c r="KL57" s="669"/>
      <c r="KM57" s="669"/>
      <c r="KN57" s="669"/>
      <c r="KO57" s="669"/>
      <c r="KP57" s="669"/>
      <c r="KQ57" s="669"/>
      <c r="KR57" s="669"/>
      <c r="KS57" s="669"/>
      <c r="KT57" s="669"/>
      <c r="KU57" s="669"/>
      <c r="KV57" s="669"/>
      <c r="KW57" s="669"/>
      <c r="KX57" s="669"/>
      <c r="KY57" s="669"/>
      <c r="KZ57" s="669"/>
      <c r="LA57" s="669"/>
      <c r="LB57" s="669"/>
      <c r="LC57" s="669"/>
      <c r="LD57" s="669"/>
      <c r="LE57" s="669"/>
      <c r="LF57" s="669"/>
      <c r="LG57" s="669"/>
      <c r="LH57" s="669"/>
      <c r="LI57" s="669"/>
      <c r="LJ57" s="669"/>
      <c r="LK57" s="669"/>
      <c r="LL57" s="669"/>
      <c r="LM57" s="669"/>
      <c r="LN57" s="669"/>
      <c r="LO57" s="669"/>
      <c r="LP57" s="669"/>
      <c r="LQ57" s="669"/>
      <c r="LR57" s="669"/>
      <c r="LS57" s="669"/>
      <c r="LT57" s="669"/>
      <c r="LU57" s="669"/>
      <c r="LV57" s="669"/>
      <c r="LW57" s="669"/>
      <c r="LX57" s="669"/>
      <c r="LY57" s="669"/>
      <c r="LZ57" s="669"/>
      <c r="MA57" s="669"/>
      <c r="MB57" s="669"/>
      <c r="MC57" s="669"/>
      <c r="MD57" s="669"/>
      <c r="ME57" s="669"/>
      <c r="MF57" s="669"/>
      <c r="MG57" s="669"/>
      <c r="MH57" s="669"/>
      <c r="MI57" s="669"/>
      <c r="MJ57" s="669"/>
      <c r="MK57" s="669"/>
      <c r="ML57" s="669"/>
      <c r="MM57" s="669"/>
      <c r="MN57" s="669"/>
      <c r="MO57" s="669"/>
      <c r="MP57" s="669"/>
      <c r="MQ57" s="669"/>
      <c r="MR57" s="669"/>
      <c r="MS57" s="669"/>
      <c r="MT57" s="669"/>
      <c r="MU57" s="669"/>
      <c r="MV57" s="669"/>
      <c r="MW57" s="669"/>
      <c r="MX57" s="669"/>
      <c r="MY57" s="669"/>
      <c r="MZ57" s="669"/>
      <c r="NA57" s="669"/>
      <c r="NB57" s="669"/>
      <c r="NC57" s="669"/>
      <c r="ND57" s="669"/>
      <c r="NE57" s="669"/>
      <c r="NF57" s="669"/>
      <c r="NG57" s="669"/>
      <c r="NH57" s="669"/>
      <c r="NI57" s="669"/>
      <c r="NJ57" s="669"/>
      <c r="NK57" s="669"/>
      <c r="NL57" s="669"/>
      <c r="NM57" s="669"/>
      <c r="NN57" s="669"/>
      <c r="NO57" s="669"/>
      <c r="NP57" s="669"/>
      <c r="NQ57" s="669"/>
      <c r="NR57" s="669"/>
      <c r="NS57" s="669"/>
      <c r="NT57" s="669"/>
      <c r="NU57" s="669"/>
      <c r="NV57" s="669"/>
      <c r="NW57" s="669"/>
      <c r="NX57" s="669"/>
      <c r="NY57" s="669"/>
      <c r="NZ57" s="669"/>
      <c r="OA57" s="669"/>
      <c r="OB57" s="669"/>
      <c r="OC57" s="669"/>
      <c r="OD57" s="669"/>
      <c r="OE57" s="669"/>
      <c r="OF57" s="669"/>
      <c r="OG57" s="669"/>
      <c r="OH57" s="669"/>
      <c r="OI57" s="669"/>
      <c r="OJ57" s="669"/>
      <c r="OK57" s="669"/>
      <c r="OL57" s="669"/>
      <c r="OM57" s="669"/>
      <c r="ON57" s="669"/>
      <c r="OO57" s="669"/>
      <c r="OP57" s="669"/>
      <c r="OQ57" s="669"/>
      <c r="OR57" s="669"/>
      <c r="OS57" s="669"/>
      <c r="OT57" s="669"/>
      <c r="OU57" s="669"/>
      <c r="OV57" s="669"/>
      <c r="OW57" s="669"/>
      <c r="OX57" s="669"/>
      <c r="OY57" s="669"/>
      <c r="OZ57" s="669"/>
      <c r="PA57" s="669"/>
      <c r="PB57" s="669"/>
      <c r="PC57" s="669"/>
      <c r="PD57" s="669"/>
      <c r="PE57" s="669"/>
      <c r="PF57" s="669"/>
      <c r="PG57" s="669"/>
      <c r="PH57" s="669"/>
      <c r="PI57" s="669"/>
      <c r="PJ57" s="669"/>
      <c r="PK57" s="669"/>
      <c r="PL57" s="669"/>
      <c r="PM57" s="669"/>
      <c r="PN57" s="669"/>
      <c r="PO57" s="669"/>
      <c r="PP57" s="669"/>
      <c r="PQ57" s="669"/>
      <c r="PR57" s="669"/>
      <c r="PS57" s="669"/>
      <c r="PT57" s="669"/>
      <c r="PU57" s="669"/>
      <c r="PV57" s="669"/>
      <c r="PW57" s="669"/>
      <c r="PX57" s="669"/>
      <c r="PY57" s="669"/>
      <c r="PZ57" s="669"/>
      <c r="QA57" s="669"/>
      <c r="QB57" s="669"/>
      <c r="QC57" s="669"/>
      <c r="QD57" s="669"/>
    </row>
    <row r="58" spans="1:446" s="116" customFormat="1" x14ac:dyDescent="0.25">
      <c r="A58" s="678">
        <v>1</v>
      </c>
      <c r="B58" s="668"/>
      <c r="C58" s="669"/>
      <c r="D58" s="669"/>
      <c r="E58" s="668"/>
      <c r="F58" s="669"/>
      <c r="G58" s="669"/>
      <c r="H58" s="669"/>
      <c r="I58" s="669"/>
      <c r="J58" s="669"/>
      <c r="K58" s="669"/>
      <c r="L58" s="669"/>
      <c r="M58" s="669"/>
      <c r="N58" s="669"/>
      <c r="O58" s="669"/>
      <c r="P58" s="669"/>
      <c r="Q58" s="669"/>
      <c r="R58" s="669"/>
      <c r="S58" s="669"/>
      <c r="T58" s="669"/>
      <c r="U58" s="669"/>
      <c r="V58" s="669"/>
      <c r="W58" s="669"/>
      <c r="X58" s="669"/>
      <c r="Y58" s="669"/>
      <c r="Z58" s="669"/>
      <c r="AA58" s="669"/>
      <c r="AB58" s="669"/>
      <c r="AC58" s="669"/>
      <c r="AD58" s="669"/>
      <c r="AE58" s="669"/>
      <c r="AF58" s="669"/>
      <c r="AG58" s="669"/>
      <c r="AH58" s="669"/>
      <c r="AI58" s="669"/>
      <c r="AJ58" s="669"/>
      <c r="AK58" s="669"/>
      <c r="AL58" s="669"/>
      <c r="AM58" s="669"/>
      <c r="AN58" s="669"/>
      <c r="AO58" s="669"/>
      <c r="AP58" s="669"/>
      <c r="AQ58" s="669"/>
      <c r="AR58" s="669"/>
      <c r="AS58" s="669"/>
      <c r="AT58" s="669"/>
      <c r="AU58" s="669"/>
      <c r="AV58" s="669"/>
      <c r="AW58" s="669"/>
      <c r="AX58" s="669"/>
      <c r="AY58" s="669"/>
      <c r="AZ58" s="669"/>
      <c r="BA58" s="669"/>
      <c r="BB58" s="669"/>
      <c r="BC58" s="669"/>
      <c r="BD58" s="669"/>
      <c r="BE58" s="669"/>
      <c r="BF58" s="669"/>
      <c r="BG58" s="669"/>
      <c r="BH58" s="669"/>
      <c r="BI58" s="669"/>
      <c r="BJ58" s="669"/>
      <c r="BK58" s="669"/>
      <c r="BL58" s="669"/>
      <c r="BM58" s="669"/>
      <c r="BN58" s="669"/>
      <c r="BO58" s="669"/>
      <c r="BP58" s="669"/>
      <c r="BQ58" s="669"/>
      <c r="BR58" s="669"/>
      <c r="BS58" s="669"/>
      <c r="BT58" s="669"/>
      <c r="BU58" s="669"/>
      <c r="BV58" s="669"/>
      <c r="BW58" s="669"/>
      <c r="BX58" s="669"/>
      <c r="BY58" s="669"/>
      <c r="BZ58" s="669"/>
      <c r="CA58" s="669"/>
      <c r="CB58" s="669"/>
      <c r="CC58" s="669"/>
      <c r="CD58" s="669"/>
      <c r="CE58" s="669"/>
      <c r="CF58" s="669"/>
      <c r="CG58" s="669"/>
      <c r="CH58" s="669"/>
      <c r="CI58" s="669"/>
      <c r="CJ58" s="669"/>
      <c r="CK58" s="669"/>
      <c r="CL58" s="669"/>
      <c r="CM58" s="669"/>
      <c r="CN58" s="669"/>
      <c r="CO58" s="669"/>
      <c r="CP58" s="669"/>
      <c r="CQ58" s="669"/>
      <c r="CR58" s="669"/>
      <c r="CS58" s="669"/>
      <c r="CT58" s="669"/>
      <c r="CU58" s="669"/>
      <c r="CV58" s="669"/>
      <c r="CW58" s="669"/>
      <c r="CX58" s="669"/>
      <c r="CY58" s="669"/>
      <c r="CZ58" s="669"/>
      <c r="DA58" s="669"/>
      <c r="DB58" s="669"/>
      <c r="DC58" s="669"/>
      <c r="DD58" s="669"/>
      <c r="DE58" s="669"/>
      <c r="DF58" s="669"/>
      <c r="DG58" s="669"/>
      <c r="DH58" s="669"/>
      <c r="DI58" s="669"/>
      <c r="DJ58" s="669"/>
      <c r="DK58" s="669"/>
      <c r="DL58" s="669"/>
      <c r="DM58" s="669"/>
      <c r="DN58" s="669"/>
      <c r="DO58" s="669"/>
      <c r="DP58" s="669"/>
      <c r="DQ58" s="669"/>
      <c r="DR58" s="669"/>
      <c r="DS58" s="669"/>
      <c r="DT58" s="669"/>
      <c r="DU58" s="669"/>
      <c r="DV58" s="669"/>
      <c r="DW58" s="669"/>
      <c r="DX58" s="669"/>
      <c r="DY58" s="669"/>
      <c r="DZ58" s="669"/>
      <c r="EA58" s="669"/>
      <c r="EB58" s="669"/>
      <c r="EC58" s="669"/>
      <c r="ED58" s="669"/>
      <c r="EE58" s="669"/>
      <c r="EF58" s="669"/>
      <c r="EG58" s="669"/>
      <c r="EH58" s="669"/>
      <c r="EI58" s="669"/>
      <c r="EJ58" s="669"/>
      <c r="EK58" s="669"/>
      <c r="EL58" s="669"/>
      <c r="EM58" s="669"/>
      <c r="EN58" s="669"/>
      <c r="EO58" s="669"/>
      <c r="EP58" s="669"/>
      <c r="EQ58" s="669"/>
      <c r="ER58" s="669"/>
      <c r="ES58" s="669"/>
      <c r="ET58" s="669"/>
      <c r="EU58" s="669"/>
      <c r="EV58" s="669"/>
      <c r="EW58" s="669"/>
      <c r="EX58" s="669"/>
      <c r="EY58" s="669"/>
      <c r="EZ58" s="669"/>
      <c r="FA58" s="669"/>
      <c r="FB58" s="669"/>
      <c r="FC58" s="669"/>
      <c r="FD58" s="669"/>
      <c r="FE58" s="669"/>
      <c r="FF58" s="669"/>
      <c r="FG58" s="669"/>
      <c r="FH58" s="669"/>
      <c r="FI58" s="669"/>
      <c r="FJ58" s="669"/>
      <c r="FK58" s="669"/>
      <c r="FL58" s="669"/>
      <c r="FM58" s="669"/>
      <c r="FN58" s="669"/>
      <c r="FO58" s="669"/>
      <c r="FP58" s="669"/>
      <c r="FQ58" s="669"/>
      <c r="FR58" s="669"/>
      <c r="FS58" s="669"/>
      <c r="FT58" s="669"/>
      <c r="FU58" s="669"/>
      <c r="FV58" s="669"/>
      <c r="FW58" s="669"/>
      <c r="FX58" s="669"/>
      <c r="FY58" s="669"/>
      <c r="FZ58" s="669"/>
      <c r="GA58" s="669"/>
      <c r="GB58" s="669"/>
      <c r="GC58" s="669"/>
      <c r="GD58" s="669"/>
      <c r="GE58" s="669"/>
      <c r="GF58" s="669"/>
      <c r="GG58" s="669"/>
      <c r="GH58" s="669"/>
      <c r="GI58" s="669"/>
      <c r="GJ58" s="669"/>
      <c r="GK58" s="669"/>
      <c r="GL58" s="669"/>
      <c r="GM58" s="669"/>
      <c r="GN58" s="669"/>
      <c r="GO58" s="669"/>
      <c r="GP58" s="669"/>
      <c r="GQ58" s="669"/>
      <c r="GR58" s="669"/>
      <c r="GS58" s="669"/>
      <c r="GT58" s="669"/>
      <c r="GU58" s="669"/>
      <c r="GV58" s="669"/>
      <c r="GW58" s="669"/>
      <c r="GX58" s="669"/>
      <c r="GY58" s="669"/>
      <c r="GZ58" s="669"/>
      <c r="HA58" s="669"/>
      <c r="HB58" s="669"/>
      <c r="HC58" s="669"/>
      <c r="HD58" s="669"/>
      <c r="HE58" s="669"/>
      <c r="HF58" s="669"/>
      <c r="HG58" s="669"/>
      <c r="HH58" s="669"/>
      <c r="HI58" s="669"/>
      <c r="HJ58" s="669"/>
      <c r="HK58" s="669"/>
      <c r="HL58" s="669"/>
      <c r="HM58" s="669"/>
      <c r="HN58" s="669"/>
      <c r="HO58" s="669"/>
      <c r="HP58" s="669"/>
      <c r="HQ58" s="669"/>
      <c r="HR58" s="669"/>
      <c r="HS58" s="669"/>
      <c r="HT58" s="669"/>
      <c r="HU58" s="669"/>
      <c r="HV58" s="669"/>
      <c r="HW58" s="669"/>
      <c r="HX58" s="669"/>
      <c r="HY58" s="669"/>
      <c r="HZ58" s="669"/>
      <c r="IA58" s="669"/>
      <c r="IB58" s="669"/>
      <c r="IC58" s="669"/>
      <c r="ID58" s="669"/>
      <c r="IE58" s="669"/>
      <c r="IF58" s="669"/>
      <c r="IG58" s="669"/>
      <c r="IH58" s="669"/>
      <c r="II58" s="669"/>
      <c r="IJ58" s="669"/>
      <c r="IK58" s="669"/>
      <c r="IL58" s="669"/>
      <c r="IM58" s="669"/>
      <c r="IN58" s="669"/>
      <c r="IO58" s="669"/>
      <c r="IP58" s="669"/>
      <c r="IQ58" s="669"/>
      <c r="IR58" s="669"/>
      <c r="IS58" s="669"/>
      <c r="IT58" s="669"/>
      <c r="IU58" s="669"/>
      <c r="IV58" s="669"/>
      <c r="IW58" s="669"/>
      <c r="IX58" s="669"/>
      <c r="IY58" s="669"/>
      <c r="IZ58" s="669"/>
      <c r="JA58" s="669"/>
      <c r="JB58" s="669"/>
      <c r="JC58" s="669"/>
      <c r="JD58" s="669"/>
      <c r="JE58" s="669"/>
      <c r="JF58" s="669"/>
      <c r="JG58" s="669"/>
      <c r="JH58" s="669"/>
      <c r="JI58" s="669"/>
      <c r="JJ58" s="669"/>
      <c r="JK58" s="669"/>
      <c r="JL58" s="669"/>
      <c r="JM58" s="669"/>
      <c r="JN58" s="669"/>
      <c r="JO58" s="669"/>
      <c r="JP58" s="669"/>
      <c r="JQ58" s="669"/>
      <c r="JR58" s="669"/>
      <c r="JS58" s="669"/>
      <c r="JT58" s="669"/>
      <c r="JU58" s="669"/>
      <c r="JV58" s="669"/>
      <c r="JW58" s="669"/>
      <c r="JX58" s="669"/>
      <c r="JY58" s="669"/>
      <c r="JZ58" s="669"/>
      <c r="KA58" s="669"/>
      <c r="KB58" s="669"/>
      <c r="KC58" s="669"/>
      <c r="KD58" s="669"/>
      <c r="KE58" s="669"/>
      <c r="KF58" s="669"/>
      <c r="KG58" s="669"/>
      <c r="KH58" s="669"/>
      <c r="KI58" s="669"/>
      <c r="KJ58" s="669"/>
      <c r="KK58" s="669"/>
      <c r="KL58" s="669"/>
      <c r="KM58" s="669"/>
      <c r="KN58" s="669"/>
      <c r="KO58" s="669"/>
      <c r="KP58" s="669"/>
      <c r="KQ58" s="669"/>
      <c r="KR58" s="669"/>
      <c r="KS58" s="669"/>
      <c r="KT58" s="669"/>
      <c r="KU58" s="669"/>
      <c r="KV58" s="669"/>
      <c r="KW58" s="669"/>
      <c r="KX58" s="669"/>
      <c r="KY58" s="669"/>
      <c r="KZ58" s="669"/>
      <c r="LA58" s="669"/>
      <c r="LB58" s="669"/>
      <c r="LC58" s="669"/>
      <c r="LD58" s="669"/>
      <c r="LE58" s="669"/>
      <c r="LF58" s="669"/>
      <c r="LG58" s="669"/>
      <c r="LH58" s="669"/>
      <c r="LI58" s="669"/>
      <c r="LJ58" s="669"/>
      <c r="LK58" s="669"/>
      <c r="LL58" s="669"/>
      <c r="LM58" s="669"/>
      <c r="LN58" s="669"/>
      <c r="LO58" s="669"/>
      <c r="LP58" s="669"/>
      <c r="LQ58" s="669"/>
      <c r="LR58" s="669"/>
      <c r="LS58" s="669"/>
      <c r="LT58" s="669"/>
      <c r="LU58" s="669"/>
      <c r="LV58" s="669"/>
      <c r="LW58" s="669"/>
      <c r="LX58" s="669"/>
      <c r="LY58" s="669"/>
      <c r="LZ58" s="669"/>
      <c r="MA58" s="669"/>
      <c r="MB58" s="669"/>
      <c r="MC58" s="669"/>
      <c r="MD58" s="669"/>
      <c r="ME58" s="669"/>
      <c r="MF58" s="669"/>
      <c r="MG58" s="669"/>
      <c r="MH58" s="669"/>
      <c r="MI58" s="669"/>
      <c r="MJ58" s="669"/>
      <c r="MK58" s="669"/>
      <c r="ML58" s="669"/>
      <c r="MM58" s="669"/>
      <c r="MN58" s="669"/>
      <c r="MO58" s="669"/>
      <c r="MP58" s="669"/>
      <c r="MQ58" s="669"/>
      <c r="MR58" s="669"/>
      <c r="MS58" s="669"/>
      <c r="MT58" s="669"/>
      <c r="MU58" s="669"/>
      <c r="MV58" s="669"/>
      <c r="MW58" s="669"/>
      <c r="MX58" s="669"/>
      <c r="MY58" s="669"/>
      <c r="MZ58" s="669"/>
      <c r="NA58" s="669"/>
      <c r="NB58" s="669"/>
      <c r="NC58" s="669"/>
      <c r="ND58" s="669"/>
      <c r="NE58" s="669"/>
      <c r="NF58" s="669"/>
      <c r="NG58" s="669"/>
      <c r="NH58" s="669"/>
      <c r="NI58" s="669"/>
      <c r="NJ58" s="669"/>
      <c r="NK58" s="669"/>
      <c r="NL58" s="669"/>
      <c r="NM58" s="669"/>
      <c r="NN58" s="669"/>
      <c r="NO58" s="669"/>
      <c r="NP58" s="669"/>
      <c r="NQ58" s="669"/>
      <c r="NR58" s="669"/>
      <c r="NS58" s="669"/>
      <c r="NT58" s="669"/>
      <c r="NU58" s="669"/>
      <c r="NV58" s="669"/>
      <c r="NW58" s="669"/>
      <c r="NX58" s="669"/>
      <c r="NY58" s="669"/>
      <c r="NZ58" s="669"/>
      <c r="OA58" s="669"/>
      <c r="OB58" s="669"/>
      <c r="OC58" s="669"/>
      <c r="OD58" s="669"/>
      <c r="OE58" s="669"/>
      <c r="OF58" s="669"/>
      <c r="OG58" s="669"/>
      <c r="OH58" s="669"/>
      <c r="OI58" s="669"/>
      <c r="OJ58" s="669"/>
      <c r="OK58" s="669"/>
      <c r="OL58" s="669"/>
      <c r="OM58" s="669"/>
      <c r="ON58" s="669"/>
      <c r="OO58" s="669"/>
      <c r="OP58" s="669"/>
      <c r="OQ58" s="669"/>
      <c r="OR58" s="669"/>
      <c r="OS58" s="669"/>
      <c r="OT58" s="669"/>
      <c r="OU58" s="669"/>
      <c r="OV58" s="669"/>
      <c r="OW58" s="669"/>
      <c r="OX58" s="669"/>
      <c r="OY58" s="669"/>
      <c r="OZ58" s="669"/>
      <c r="PA58" s="669"/>
      <c r="PB58" s="669"/>
      <c r="PC58" s="669"/>
      <c r="PD58" s="669"/>
      <c r="PE58" s="669"/>
      <c r="PF58" s="669"/>
      <c r="PG58" s="669"/>
      <c r="PH58" s="669"/>
      <c r="PI58" s="669"/>
      <c r="PJ58" s="669"/>
      <c r="PK58" s="669"/>
      <c r="PL58" s="669"/>
      <c r="PM58" s="669"/>
      <c r="PN58" s="669"/>
      <c r="PO58" s="669"/>
      <c r="PP58" s="669"/>
      <c r="PQ58" s="669"/>
      <c r="PR58" s="669"/>
      <c r="PS58" s="669"/>
      <c r="PT58" s="669"/>
      <c r="PU58" s="669"/>
      <c r="PV58" s="669"/>
      <c r="PW58" s="669"/>
      <c r="PX58" s="669"/>
      <c r="PY58" s="669"/>
      <c r="PZ58" s="669"/>
      <c r="QA58" s="669"/>
      <c r="QB58" s="669"/>
      <c r="QC58" s="669"/>
      <c r="QD58" s="669"/>
    </row>
    <row r="59" spans="1:446" s="116" customFormat="1" x14ac:dyDescent="0.25">
      <c r="A59" s="678">
        <v>1</v>
      </c>
      <c r="B59" s="668"/>
      <c r="C59" s="669"/>
      <c r="D59" s="669"/>
      <c r="E59" s="668"/>
      <c r="F59" s="669"/>
      <c r="G59" s="669"/>
      <c r="H59" s="669"/>
      <c r="I59" s="669"/>
      <c r="J59" s="669"/>
      <c r="K59" s="669"/>
      <c r="L59" s="669"/>
      <c r="M59" s="669"/>
      <c r="N59" s="669"/>
      <c r="O59" s="669"/>
      <c r="P59" s="669"/>
      <c r="Q59" s="669"/>
      <c r="R59" s="669"/>
      <c r="S59" s="669"/>
      <c r="T59" s="669"/>
      <c r="U59" s="669"/>
      <c r="V59" s="669"/>
      <c r="W59" s="669"/>
      <c r="X59" s="669"/>
      <c r="Y59" s="669"/>
      <c r="Z59" s="669"/>
      <c r="AA59" s="669"/>
      <c r="AB59" s="669"/>
      <c r="AC59" s="669"/>
      <c r="AD59" s="669"/>
      <c r="AE59" s="669"/>
      <c r="AF59" s="669"/>
      <c r="AG59" s="669"/>
      <c r="AH59" s="669"/>
      <c r="AI59" s="669"/>
      <c r="AJ59" s="669"/>
      <c r="AK59" s="669"/>
      <c r="AL59" s="669"/>
      <c r="AM59" s="669"/>
      <c r="AN59" s="669"/>
      <c r="AO59" s="669"/>
      <c r="AP59" s="669"/>
      <c r="AQ59" s="669"/>
      <c r="AR59" s="669"/>
      <c r="AS59" s="669"/>
      <c r="AT59" s="669"/>
      <c r="AU59" s="669"/>
      <c r="AV59" s="669"/>
      <c r="AW59" s="669"/>
      <c r="AX59" s="669"/>
      <c r="AY59" s="669"/>
      <c r="AZ59" s="669"/>
      <c r="BA59" s="669"/>
      <c r="BB59" s="669"/>
      <c r="BC59" s="669"/>
      <c r="BD59" s="669"/>
      <c r="BE59" s="669"/>
      <c r="BF59" s="669"/>
      <c r="BG59" s="669"/>
      <c r="BH59" s="669"/>
      <c r="BI59" s="669"/>
      <c r="BJ59" s="669"/>
      <c r="BK59" s="669"/>
      <c r="BL59" s="669"/>
      <c r="BM59" s="669"/>
      <c r="BN59" s="669"/>
      <c r="BO59" s="669"/>
      <c r="BP59" s="669"/>
      <c r="BQ59" s="669"/>
      <c r="BR59" s="669"/>
      <c r="BS59" s="669"/>
      <c r="BT59" s="669"/>
      <c r="BU59" s="669"/>
      <c r="BV59" s="669"/>
      <c r="BW59" s="669"/>
      <c r="BX59" s="669"/>
      <c r="BY59" s="669"/>
      <c r="BZ59" s="669"/>
      <c r="CA59" s="669"/>
      <c r="CB59" s="669"/>
      <c r="CC59" s="669"/>
      <c r="CD59" s="669"/>
      <c r="CE59" s="669"/>
      <c r="CF59" s="669"/>
      <c r="CG59" s="669"/>
      <c r="CH59" s="669"/>
      <c r="CI59" s="669"/>
      <c r="CJ59" s="669"/>
      <c r="CK59" s="669"/>
      <c r="CL59" s="669"/>
      <c r="CM59" s="669"/>
      <c r="CN59" s="669"/>
      <c r="CO59" s="669"/>
      <c r="CP59" s="669"/>
      <c r="CQ59" s="669"/>
      <c r="CR59" s="669"/>
      <c r="CS59" s="669"/>
      <c r="CT59" s="669"/>
      <c r="CU59" s="669"/>
      <c r="CV59" s="669"/>
      <c r="CW59" s="669"/>
      <c r="CX59" s="669"/>
      <c r="CY59" s="669"/>
      <c r="CZ59" s="669"/>
      <c r="DA59" s="669"/>
      <c r="DB59" s="669"/>
      <c r="DC59" s="669"/>
      <c r="DD59" s="669"/>
      <c r="DE59" s="669"/>
      <c r="DF59" s="669"/>
      <c r="DG59" s="669"/>
      <c r="DH59" s="669"/>
      <c r="DI59" s="669"/>
      <c r="DJ59" s="669"/>
      <c r="DK59" s="669"/>
      <c r="DL59" s="669"/>
      <c r="DM59" s="669"/>
      <c r="DN59" s="669"/>
      <c r="DO59" s="669"/>
      <c r="DP59" s="669"/>
      <c r="DQ59" s="669"/>
      <c r="DR59" s="669"/>
      <c r="DS59" s="669"/>
      <c r="DT59" s="669"/>
      <c r="DU59" s="669"/>
      <c r="DV59" s="669"/>
      <c r="DW59" s="669"/>
      <c r="DX59" s="669"/>
      <c r="DY59" s="669"/>
      <c r="DZ59" s="669"/>
      <c r="EA59" s="669"/>
      <c r="EB59" s="669"/>
      <c r="EC59" s="669"/>
      <c r="ED59" s="669"/>
      <c r="EE59" s="669"/>
      <c r="EF59" s="669"/>
      <c r="EG59" s="669"/>
      <c r="EH59" s="669"/>
      <c r="EI59" s="669"/>
      <c r="EJ59" s="669"/>
      <c r="EK59" s="669"/>
      <c r="EL59" s="669"/>
      <c r="EM59" s="669"/>
      <c r="EN59" s="669"/>
      <c r="EO59" s="669"/>
      <c r="EP59" s="669"/>
      <c r="EQ59" s="669"/>
      <c r="ER59" s="669"/>
      <c r="ES59" s="669"/>
      <c r="ET59" s="669"/>
      <c r="EU59" s="669"/>
      <c r="EV59" s="669"/>
      <c r="EW59" s="669"/>
      <c r="EX59" s="669"/>
      <c r="EY59" s="669"/>
      <c r="EZ59" s="669"/>
      <c r="FA59" s="669"/>
      <c r="FB59" s="669"/>
      <c r="FC59" s="669"/>
      <c r="FD59" s="669"/>
      <c r="FE59" s="669"/>
      <c r="FF59" s="669"/>
      <c r="FG59" s="669"/>
      <c r="FH59" s="669"/>
      <c r="FI59" s="669"/>
      <c r="FJ59" s="669"/>
      <c r="FK59" s="669"/>
      <c r="FL59" s="669"/>
      <c r="FM59" s="669"/>
      <c r="FN59" s="669"/>
      <c r="FO59" s="669"/>
      <c r="FP59" s="669"/>
      <c r="FQ59" s="669"/>
      <c r="FR59" s="669"/>
      <c r="FS59" s="669"/>
      <c r="FT59" s="669"/>
      <c r="FU59" s="669"/>
      <c r="FV59" s="669"/>
      <c r="FW59" s="669"/>
      <c r="FX59" s="669"/>
      <c r="FY59" s="669"/>
      <c r="FZ59" s="669"/>
      <c r="GA59" s="669"/>
      <c r="GB59" s="669"/>
      <c r="GC59" s="669"/>
      <c r="GD59" s="669"/>
      <c r="GE59" s="669"/>
      <c r="GF59" s="669"/>
      <c r="GG59" s="669"/>
      <c r="GH59" s="669"/>
      <c r="GI59" s="669"/>
      <c r="GJ59" s="669"/>
      <c r="GK59" s="669"/>
      <c r="GL59" s="669"/>
      <c r="GM59" s="669"/>
      <c r="GN59" s="669"/>
      <c r="GO59" s="669"/>
      <c r="GP59" s="669"/>
      <c r="GQ59" s="669"/>
      <c r="GR59" s="669"/>
      <c r="GS59" s="669"/>
      <c r="GT59" s="669"/>
      <c r="GU59" s="669"/>
      <c r="GV59" s="669"/>
      <c r="GW59" s="669"/>
      <c r="GX59" s="669"/>
      <c r="GY59" s="669"/>
      <c r="GZ59" s="669"/>
      <c r="HA59" s="669"/>
      <c r="HB59" s="669"/>
      <c r="HC59" s="669"/>
      <c r="HD59" s="669"/>
      <c r="HE59" s="669"/>
      <c r="HF59" s="669"/>
      <c r="HG59" s="669"/>
      <c r="HH59" s="669"/>
      <c r="HI59" s="669"/>
      <c r="HJ59" s="669"/>
      <c r="HK59" s="669"/>
      <c r="HL59" s="669"/>
      <c r="HM59" s="669"/>
      <c r="HN59" s="669"/>
      <c r="HO59" s="669"/>
      <c r="HP59" s="669"/>
      <c r="HQ59" s="669"/>
      <c r="HR59" s="669"/>
      <c r="HS59" s="669"/>
      <c r="HT59" s="669"/>
      <c r="HU59" s="669"/>
      <c r="HV59" s="669"/>
      <c r="HW59" s="669"/>
      <c r="HX59" s="669"/>
      <c r="HY59" s="669"/>
      <c r="HZ59" s="669"/>
      <c r="IA59" s="669"/>
      <c r="IB59" s="669"/>
      <c r="IC59" s="669"/>
      <c r="ID59" s="669"/>
      <c r="IE59" s="669"/>
      <c r="IF59" s="669"/>
      <c r="IG59" s="669"/>
      <c r="IH59" s="669"/>
      <c r="II59" s="669"/>
      <c r="IJ59" s="669"/>
      <c r="IK59" s="669"/>
      <c r="IL59" s="669"/>
      <c r="IM59" s="669"/>
      <c r="IN59" s="669"/>
      <c r="IO59" s="669"/>
      <c r="IP59" s="669"/>
      <c r="IQ59" s="669"/>
      <c r="IR59" s="669"/>
      <c r="IS59" s="669"/>
      <c r="IT59" s="669"/>
      <c r="IU59" s="669"/>
      <c r="IV59" s="669"/>
      <c r="IW59" s="669"/>
      <c r="IX59" s="669"/>
      <c r="IY59" s="669"/>
      <c r="IZ59" s="669"/>
      <c r="JA59" s="669"/>
      <c r="JB59" s="669"/>
      <c r="JC59" s="669"/>
      <c r="JD59" s="669"/>
      <c r="JE59" s="669"/>
      <c r="JF59" s="669"/>
      <c r="JG59" s="669"/>
      <c r="JH59" s="669"/>
      <c r="JI59" s="669"/>
      <c r="JJ59" s="669"/>
      <c r="JK59" s="669"/>
      <c r="JL59" s="669"/>
      <c r="JM59" s="669"/>
      <c r="JN59" s="669"/>
      <c r="JO59" s="669"/>
      <c r="JP59" s="669"/>
      <c r="JQ59" s="669"/>
      <c r="JR59" s="669"/>
      <c r="JS59" s="669"/>
      <c r="JT59" s="669"/>
      <c r="JU59" s="669"/>
      <c r="JV59" s="669"/>
      <c r="JW59" s="669"/>
      <c r="JX59" s="669"/>
      <c r="JY59" s="669"/>
      <c r="JZ59" s="669"/>
      <c r="KA59" s="669"/>
      <c r="KB59" s="669"/>
      <c r="KC59" s="669"/>
      <c r="KD59" s="669"/>
      <c r="KE59" s="669"/>
      <c r="KF59" s="669"/>
      <c r="KG59" s="669"/>
      <c r="KH59" s="669"/>
      <c r="KI59" s="669"/>
      <c r="KJ59" s="669"/>
      <c r="KK59" s="669"/>
      <c r="KL59" s="669"/>
      <c r="KM59" s="669"/>
      <c r="KN59" s="669"/>
      <c r="KO59" s="669"/>
      <c r="KP59" s="669"/>
      <c r="KQ59" s="669"/>
      <c r="KR59" s="669"/>
      <c r="KS59" s="669"/>
      <c r="KT59" s="669"/>
      <c r="KU59" s="669"/>
      <c r="KV59" s="669"/>
      <c r="KW59" s="669"/>
      <c r="KX59" s="669"/>
      <c r="KY59" s="669"/>
      <c r="KZ59" s="669"/>
      <c r="LA59" s="669"/>
      <c r="LB59" s="669"/>
      <c r="LC59" s="669"/>
      <c r="LD59" s="669"/>
      <c r="LE59" s="669"/>
      <c r="LF59" s="669"/>
      <c r="LG59" s="669"/>
      <c r="LH59" s="669"/>
      <c r="LI59" s="669"/>
      <c r="LJ59" s="669"/>
      <c r="LK59" s="669"/>
      <c r="LL59" s="669"/>
      <c r="LM59" s="669"/>
      <c r="LN59" s="669"/>
      <c r="LO59" s="669"/>
      <c r="LP59" s="669"/>
      <c r="LQ59" s="669"/>
      <c r="LR59" s="669"/>
      <c r="LS59" s="669"/>
      <c r="LT59" s="669"/>
      <c r="LU59" s="669"/>
      <c r="LV59" s="669"/>
      <c r="LW59" s="669"/>
      <c r="LX59" s="669"/>
      <c r="LY59" s="669"/>
      <c r="LZ59" s="669"/>
      <c r="MA59" s="669"/>
      <c r="MB59" s="669"/>
      <c r="MC59" s="669"/>
      <c r="MD59" s="669"/>
      <c r="ME59" s="669"/>
      <c r="MF59" s="669"/>
      <c r="MG59" s="669"/>
      <c r="MH59" s="669"/>
      <c r="MI59" s="669"/>
      <c r="MJ59" s="669"/>
      <c r="MK59" s="669"/>
      <c r="ML59" s="669"/>
      <c r="MM59" s="669"/>
      <c r="MN59" s="669"/>
      <c r="MO59" s="669"/>
      <c r="MP59" s="669"/>
      <c r="MQ59" s="669"/>
      <c r="MR59" s="669"/>
      <c r="MS59" s="669"/>
      <c r="MT59" s="669"/>
      <c r="MU59" s="669"/>
      <c r="MV59" s="669"/>
      <c r="MW59" s="669"/>
      <c r="MX59" s="669"/>
      <c r="MY59" s="669"/>
      <c r="MZ59" s="669"/>
      <c r="NA59" s="669"/>
      <c r="NB59" s="669"/>
      <c r="NC59" s="669"/>
      <c r="ND59" s="669"/>
      <c r="NE59" s="669"/>
      <c r="NF59" s="669"/>
      <c r="NG59" s="669"/>
      <c r="NH59" s="669"/>
      <c r="NI59" s="669"/>
      <c r="NJ59" s="669"/>
      <c r="NK59" s="669"/>
      <c r="NL59" s="669"/>
      <c r="NM59" s="669"/>
      <c r="NN59" s="669"/>
      <c r="NO59" s="669"/>
      <c r="NP59" s="669"/>
      <c r="NQ59" s="669"/>
      <c r="NR59" s="669"/>
      <c r="NS59" s="669"/>
      <c r="NT59" s="669"/>
      <c r="NU59" s="669"/>
      <c r="NV59" s="669"/>
      <c r="NW59" s="669"/>
      <c r="NX59" s="669"/>
      <c r="NY59" s="669"/>
      <c r="NZ59" s="669"/>
      <c r="OA59" s="669"/>
      <c r="OB59" s="669"/>
      <c r="OC59" s="669"/>
      <c r="OD59" s="669"/>
      <c r="OE59" s="669"/>
      <c r="OF59" s="669"/>
      <c r="OG59" s="669"/>
      <c r="OH59" s="669"/>
      <c r="OI59" s="669"/>
      <c r="OJ59" s="669"/>
      <c r="OK59" s="669"/>
      <c r="OL59" s="669"/>
      <c r="OM59" s="669"/>
      <c r="ON59" s="669"/>
      <c r="OO59" s="669"/>
      <c r="OP59" s="669"/>
      <c r="OQ59" s="669"/>
      <c r="OR59" s="669"/>
      <c r="OS59" s="669"/>
      <c r="OT59" s="669"/>
      <c r="OU59" s="669"/>
      <c r="OV59" s="669"/>
      <c r="OW59" s="669"/>
      <c r="OX59" s="669"/>
      <c r="OY59" s="669"/>
      <c r="OZ59" s="669"/>
      <c r="PA59" s="669"/>
      <c r="PB59" s="669"/>
      <c r="PC59" s="669"/>
      <c r="PD59" s="669"/>
      <c r="PE59" s="669"/>
      <c r="PF59" s="669"/>
      <c r="PG59" s="669"/>
      <c r="PH59" s="669"/>
      <c r="PI59" s="669"/>
      <c r="PJ59" s="669"/>
      <c r="PK59" s="669"/>
      <c r="PL59" s="669"/>
      <c r="PM59" s="669"/>
      <c r="PN59" s="669"/>
      <c r="PO59" s="669"/>
      <c r="PP59" s="669"/>
      <c r="PQ59" s="669"/>
      <c r="PR59" s="669"/>
      <c r="PS59" s="669"/>
      <c r="PT59" s="669"/>
      <c r="PU59" s="669"/>
      <c r="PV59" s="669"/>
      <c r="PW59" s="669"/>
      <c r="PX59" s="669"/>
      <c r="PY59" s="669"/>
      <c r="PZ59" s="669"/>
      <c r="QA59" s="669"/>
      <c r="QB59" s="669"/>
      <c r="QC59" s="669"/>
      <c r="QD59" s="669"/>
    </row>
    <row r="60" spans="1:446" s="116" customFormat="1" x14ac:dyDescent="0.25">
      <c r="A60" s="678">
        <v>1</v>
      </c>
      <c r="B60" s="668"/>
      <c r="C60" s="669"/>
      <c r="D60" s="669"/>
      <c r="E60" s="668"/>
      <c r="F60" s="669"/>
      <c r="G60" s="669"/>
      <c r="H60" s="669"/>
      <c r="I60" s="669"/>
      <c r="J60" s="669"/>
      <c r="K60" s="669"/>
      <c r="L60" s="669"/>
      <c r="M60" s="669"/>
      <c r="N60" s="669"/>
      <c r="O60" s="669"/>
      <c r="P60" s="669"/>
      <c r="Q60" s="669"/>
      <c r="R60" s="669"/>
      <c r="S60" s="669"/>
      <c r="T60" s="669"/>
      <c r="U60" s="669"/>
      <c r="V60" s="669"/>
      <c r="W60" s="669"/>
      <c r="X60" s="669"/>
      <c r="Y60" s="669"/>
      <c r="Z60" s="669"/>
      <c r="AA60" s="669"/>
      <c r="AB60" s="669"/>
      <c r="AC60" s="669"/>
      <c r="AD60" s="669"/>
      <c r="AE60" s="669"/>
      <c r="AF60" s="669"/>
      <c r="AG60" s="669"/>
      <c r="AH60" s="669"/>
      <c r="AI60" s="669"/>
      <c r="AJ60" s="669"/>
      <c r="AK60" s="669"/>
      <c r="AL60" s="669"/>
      <c r="AM60" s="669"/>
      <c r="AN60" s="669"/>
      <c r="AO60" s="669"/>
      <c r="AP60" s="669"/>
      <c r="AQ60" s="669"/>
      <c r="AR60" s="669"/>
      <c r="AS60" s="669"/>
      <c r="AT60" s="669"/>
      <c r="AU60" s="669"/>
      <c r="AV60" s="669"/>
      <c r="AW60" s="669"/>
      <c r="AX60" s="669"/>
      <c r="AY60" s="669"/>
      <c r="AZ60" s="669"/>
      <c r="BA60" s="669"/>
      <c r="BB60" s="669"/>
      <c r="BC60" s="669"/>
      <c r="BD60" s="669"/>
      <c r="BE60" s="669"/>
      <c r="BF60" s="669"/>
      <c r="BG60" s="669"/>
      <c r="BH60" s="669"/>
      <c r="BI60" s="669"/>
      <c r="BJ60" s="669"/>
      <c r="BK60" s="669"/>
      <c r="BL60" s="669"/>
      <c r="BM60" s="669"/>
      <c r="BN60" s="669"/>
      <c r="BO60" s="669"/>
      <c r="BP60" s="669"/>
      <c r="BQ60" s="669"/>
      <c r="BR60" s="669"/>
      <c r="BS60" s="669"/>
      <c r="BT60" s="669"/>
      <c r="BU60" s="669"/>
      <c r="BV60" s="669"/>
      <c r="BW60" s="669"/>
      <c r="BX60" s="669"/>
      <c r="BY60" s="669"/>
      <c r="BZ60" s="669"/>
      <c r="CA60" s="669"/>
      <c r="CB60" s="669"/>
      <c r="CC60" s="669"/>
      <c r="CD60" s="669"/>
      <c r="CE60" s="669"/>
      <c r="CF60" s="669"/>
      <c r="CG60" s="669"/>
      <c r="CH60" s="669"/>
      <c r="CI60" s="669"/>
      <c r="CJ60" s="669"/>
      <c r="CK60" s="669"/>
      <c r="CL60" s="669"/>
      <c r="CM60" s="669"/>
      <c r="CN60" s="669"/>
      <c r="CO60" s="669"/>
      <c r="CP60" s="669"/>
      <c r="CQ60" s="669"/>
      <c r="CR60" s="669"/>
      <c r="CS60" s="669"/>
      <c r="CT60" s="669"/>
      <c r="CU60" s="669"/>
      <c r="CV60" s="669"/>
      <c r="CW60" s="669"/>
      <c r="CX60" s="669"/>
      <c r="CY60" s="669"/>
      <c r="CZ60" s="669"/>
      <c r="DA60" s="669"/>
      <c r="DB60" s="669"/>
      <c r="DC60" s="669"/>
      <c r="DD60" s="669"/>
      <c r="DE60" s="669"/>
      <c r="DF60" s="669"/>
      <c r="DG60" s="669"/>
      <c r="DH60" s="669"/>
      <c r="DI60" s="669"/>
      <c r="DJ60" s="669"/>
      <c r="DK60" s="669"/>
      <c r="DL60" s="669"/>
      <c r="DM60" s="669"/>
      <c r="DN60" s="669"/>
      <c r="DO60" s="669"/>
      <c r="DP60" s="669"/>
      <c r="DQ60" s="669"/>
      <c r="DR60" s="669"/>
      <c r="DS60" s="669"/>
      <c r="DT60" s="669"/>
      <c r="DU60" s="669"/>
      <c r="DV60" s="669"/>
      <c r="DW60" s="669"/>
      <c r="DX60" s="669"/>
      <c r="DY60" s="669"/>
      <c r="DZ60" s="669"/>
      <c r="EA60" s="669"/>
      <c r="EB60" s="669"/>
      <c r="EC60" s="669"/>
      <c r="ED60" s="669"/>
      <c r="EE60" s="669"/>
      <c r="EF60" s="669"/>
      <c r="EG60" s="669"/>
      <c r="EH60" s="669"/>
      <c r="EI60" s="669"/>
      <c r="EJ60" s="669"/>
      <c r="EK60" s="669"/>
      <c r="EL60" s="669"/>
      <c r="EM60" s="669"/>
      <c r="EN60" s="669"/>
      <c r="EO60" s="669"/>
      <c r="EP60" s="669"/>
      <c r="EQ60" s="669"/>
      <c r="ER60" s="669"/>
      <c r="ES60" s="669"/>
      <c r="ET60" s="669"/>
      <c r="EU60" s="669"/>
      <c r="EV60" s="669"/>
      <c r="EW60" s="669"/>
      <c r="EX60" s="669"/>
      <c r="EY60" s="669"/>
      <c r="EZ60" s="669"/>
      <c r="FA60" s="669"/>
      <c r="FB60" s="669"/>
      <c r="FC60" s="669"/>
      <c r="FD60" s="669"/>
      <c r="FE60" s="669"/>
      <c r="FF60" s="669"/>
      <c r="FG60" s="669"/>
      <c r="FH60" s="669"/>
      <c r="FI60" s="669"/>
      <c r="FJ60" s="669"/>
      <c r="FK60" s="669"/>
      <c r="FL60" s="669"/>
      <c r="FM60" s="669"/>
      <c r="FN60" s="669"/>
      <c r="FO60" s="669"/>
      <c r="FP60" s="669"/>
      <c r="FQ60" s="669"/>
      <c r="FR60" s="669"/>
      <c r="FS60" s="669"/>
      <c r="FT60" s="669"/>
      <c r="FU60" s="669"/>
      <c r="FV60" s="669"/>
      <c r="FW60" s="669"/>
      <c r="FX60" s="669"/>
      <c r="FY60" s="669"/>
      <c r="FZ60" s="669"/>
      <c r="GA60" s="669"/>
      <c r="GB60" s="669"/>
      <c r="GC60" s="669"/>
      <c r="GD60" s="669"/>
      <c r="GE60" s="669"/>
      <c r="GF60" s="669"/>
      <c r="GG60" s="669"/>
      <c r="GH60" s="669"/>
      <c r="GI60" s="669"/>
      <c r="GJ60" s="669"/>
      <c r="GK60" s="669"/>
      <c r="GL60" s="669"/>
      <c r="GM60" s="669"/>
      <c r="GN60" s="669"/>
      <c r="GO60" s="669"/>
      <c r="GP60" s="669"/>
      <c r="GQ60" s="669"/>
      <c r="GR60" s="669"/>
      <c r="GS60" s="669"/>
      <c r="GT60" s="669"/>
      <c r="GU60" s="669"/>
      <c r="GV60" s="669"/>
      <c r="GW60" s="669"/>
      <c r="GX60" s="669"/>
      <c r="GY60" s="669"/>
      <c r="GZ60" s="669"/>
      <c r="HA60" s="669"/>
      <c r="HB60" s="669"/>
      <c r="HC60" s="669"/>
      <c r="HD60" s="669"/>
      <c r="HE60" s="669"/>
      <c r="HF60" s="669"/>
      <c r="HG60" s="669"/>
      <c r="HH60" s="669"/>
      <c r="HI60" s="669"/>
      <c r="HJ60" s="669"/>
      <c r="HK60" s="669"/>
      <c r="HL60" s="669"/>
      <c r="HM60" s="669"/>
      <c r="HN60" s="669"/>
      <c r="HO60" s="669"/>
      <c r="HP60" s="669"/>
      <c r="HQ60" s="669"/>
      <c r="HR60" s="669"/>
      <c r="HS60" s="669"/>
      <c r="HT60" s="669"/>
      <c r="HU60" s="669"/>
      <c r="HV60" s="669"/>
      <c r="HW60" s="669"/>
      <c r="HX60" s="669"/>
      <c r="HY60" s="669"/>
      <c r="HZ60" s="669"/>
      <c r="IA60" s="669"/>
      <c r="IB60" s="669"/>
      <c r="IC60" s="669"/>
      <c r="ID60" s="669"/>
      <c r="IE60" s="669"/>
      <c r="IF60" s="669"/>
      <c r="IG60" s="669"/>
      <c r="IH60" s="669"/>
      <c r="II60" s="669"/>
      <c r="IJ60" s="669"/>
      <c r="IK60" s="669"/>
      <c r="IL60" s="669"/>
      <c r="IM60" s="669"/>
      <c r="IN60" s="669"/>
      <c r="IO60" s="669"/>
      <c r="IP60" s="669"/>
      <c r="IQ60" s="669"/>
      <c r="IR60" s="669"/>
      <c r="IS60" s="669"/>
      <c r="IT60" s="669"/>
      <c r="IU60" s="669"/>
      <c r="IV60" s="669"/>
      <c r="IW60" s="669"/>
      <c r="IX60" s="669"/>
      <c r="IY60" s="669"/>
      <c r="IZ60" s="669"/>
      <c r="JA60" s="669"/>
      <c r="JB60" s="669"/>
      <c r="JC60" s="669"/>
      <c r="JD60" s="669"/>
      <c r="JE60" s="669"/>
      <c r="JF60" s="669"/>
      <c r="JG60" s="669"/>
      <c r="JH60" s="669"/>
      <c r="JI60" s="669"/>
      <c r="JJ60" s="669"/>
      <c r="JK60" s="669"/>
      <c r="JL60" s="669"/>
      <c r="JM60" s="669"/>
      <c r="JN60" s="669"/>
      <c r="JO60" s="669"/>
      <c r="JP60" s="669"/>
      <c r="JQ60" s="669"/>
      <c r="JR60" s="669"/>
      <c r="JS60" s="669"/>
      <c r="JT60" s="669"/>
      <c r="JU60" s="669"/>
      <c r="JV60" s="669"/>
      <c r="JW60" s="669"/>
      <c r="JX60" s="669"/>
      <c r="JY60" s="669"/>
      <c r="JZ60" s="669"/>
      <c r="KA60" s="669"/>
      <c r="KB60" s="669"/>
      <c r="KC60" s="669"/>
      <c r="KD60" s="669"/>
      <c r="KE60" s="669"/>
      <c r="KF60" s="669"/>
      <c r="KG60" s="669"/>
      <c r="KH60" s="669"/>
      <c r="KI60" s="669"/>
      <c r="KJ60" s="669"/>
      <c r="KK60" s="669"/>
      <c r="KL60" s="669"/>
      <c r="KM60" s="669"/>
      <c r="KN60" s="669"/>
      <c r="KO60" s="669"/>
      <c r="KP60" s="669"/>
      <c r="KQ60" s="669"/>
      <c r="KR60" s="669"/>
      <c r="KS60" s="669"/>
      <c r="KT60" s="669"/>
      <c r="KU60" s="669"/>
      <c r="KV60" s="669"/>
      <c r="KW60" s="669"/>
      <c r="KX60" s="669"/>
      <c r="KY60" s="669"/>
      <c r="KZ60" s="669"/>
      <c r="LA60" s="669"/>
      <c r="LB60" s="669"/>
      <c r="LC60" s="669"/>
      <c r="LD60" s="669"/>
      <c r="LE60" s="669"/>
      <c r="LF60" s="669"/>
      <c r="LG60" s="669"/>
      <c r="LH60" s="669"/>
      <c r="LI60" s="669"/>
      <c r="LJ60" s="669"/>
      <c r="LK60" s="669"/>
      <c r="LL60" s="669"/>
      <c r="LM60" s="669"/>
      <c r="LN60" s="669"/>
      <c r="LO60" s="669"/>
      <c r="LP60" s="669"/>
      <c r="LQ60" s="669"/>
      <c r="LR60" s="669"/>
      <c r="LS60" s="669"/>
      <c r="LT60" s="669"/>
      <c r="LU60" s="669"/>
      <c r="LV60" s="669"/>
      <c r="LW60" s="669"/>
      <c r="LX60" s="669"/>
      <c r="LY60" s="669"/>
      <c r="LZ60" s="669"/>
      <c r="MA60" s="669"/>
      <c r="MB60" s="669"/>
      <c r="MC60" s="669"/>
      <c r="MD60" s="669"/>
      <c r="ME60" s="669"/>
      <c r="MF60" s="669"/>
      <c r="MG60" s="669"/>
      <c r="MH60" s="669"/>
      <c r="MI60" s="669"/>
      <c r="MJ60" s="669"/>
      <c r="MK60" s="669"/>
      <c r="ML60" s="669"/>
      <c r="MM60" s="669"/>
      <c r="MN60" s="669"/>
      <c r="MO60" s="669"/>
      <c r="MP60" s="669"/>
      <c r="MQ60" s="669"/>
      <c r="MR60" s="669"/>
      <c r="MS60" s="669"/>
      <c r="MT60" s="669"/>
      <c r="MU60" s="669"/>
      <c r="MV60" s="669"/>
      <c r="MW60" s="669"/>
      <c r="MX60" s="669"/>
      <c r="MY60" s="669"/>
      <c r="MZ60" s="669"/>
      <c r="NA60" s="669"/>
      <c r="NB60" s="669"/>
      <c r="NC60" s="669"/>
      <c r="ND60" s="669"/>
      <c r="NE60" s="669"/>
      <c r="NF60" s="669"/>
      <c r="NG60" s="669"/>
      <c r="NH60" s="669"/>
      <c r="NI60" s="669"/>
      <c r="NJ60" s="669"/>
      <c r="NK60" s="669"/>
      <c r="NL60" s="669"/>
      <c r="NM60" s="669"/>
      <c r="NN60" s="669"/>
      <c r="NO60" s="669"/>
      <c r="NP60" s="669"/>
      <c r="NQ60" s="669"/>
      <c r="NR60" s="669"/>
      <c r="NS60" s="669"/>
      <c r="NT60" s="669"/>
      <c r="NU60" s="669"/>
      <c r="NV60" s="669"/>
      <c r="NW60" s="669"/>
      <c r="NX60" s="669"/>
      <c r="NY60" s="669"/>
      <c r="NZ60" s="669"/>
      <c r="OA60" s="669"/>
      <c r="OB60" s="669"/>
      <c r="OC60" s="669"/>
      <c r="OD60" s="669"/>
      <c r="OE60" s="669"/>
      <c r="OF60" s="669"/>
      <c r="OG60" s="669"/>
      <c r="OH60" s="669"/>
      <c r="OI60" s="669"/>
      <c r="OJ60" s="669"/>
      <c r="OK60" s="669"/>
      <c r="OL60" s="669"/>
      <c r="OM60" s="669"/>
      <c r="ON60" s="669"/>
      <c r="OO60" s="669"/>
      <c r="OP60" s="669"/>
      <c r="OQ60" s="669"/>
      <c r="OR60" s="669"/>
      <c r="OS60" s="669"/>
      <c r="OT60" s="669"/>
      <c r="OU60" s="669"/>
      <c r="OV60" s="669"/>
      <c r="OW60" s="669"/>
      <c r="OX60" s="669"/>
      <c r="OY60" s="669"/>
      <c r="OZ60" s="669"/>
      <c r="PA60" s="669"/>
      <c r="PB60" s="669"/>
      <c r="PC60" s="669"/>
      <c r="PD60" s="669"/>
      <c r="PE60" s="669"/>
      <c r="PF60" s="669"/>
      <c r="PG60" s="669"/>
      <c r="PH60" s="669"/>
      <c r="PI60" s="669"/>
      <c r="PJ60" s="669"/>
      <c r="PK60" s="669"/>
      <c r="PL60" s="669"/>
      <c r="PM60" s="669"/>
      <c r="PN60" s="669"/>
      <c r="PO60" s="669"/>
      <c r="PP60" s="669"/>
      <c r="PQ60" s="669"/>
      <c r="PR60" s="669"/>
      <c r="PS60" s="669"/>
      <c r="PT60" s="669"/>
      <c r="PU60" s="669"/>
      <c r="PV60" s="669"/>
      <c r="PW60" s="669"/>
      <c r="PX60" s="669"/>
      <c r="PY60" s="669"/>
      <c r="PZ60" s="669"/>
      <c r="QA60" s="669"/>
      <c r="QB60" s="669"/>
      <c r="QC60" s="669"/>
      <c r="QD60" s="669"/>
    </row>
    <row r="61" spans="1:446" s="116" customFormat="1" x14ac:dyDescent="0.25">
      <c r="A61" s="678">
        <v>1</v>
      </c>
      <c r="B61" s="668"/>
      <c r="C61" s="669"/>
      <c r="D61" s="669"/>
      <c r="E61" s="668"/>
      <c r="F61" s="669"/>
      <c r="G61" s="669"/>
      <c r="H61" s="669"/>
      <c r="I61" s="669"/>
      <c r="J61" s="669"/>
      <c r="K61" s="669"/>
      <c r="L61" s="669"/>
      <c r="M61" s="669"/>
      <c r="N61" s="669"/>
      <c r="O61" s="669"/>
      <c r="P61" s="669"/>
      <c r="Q61" s="669"/>
      <c r="R61" s="669"/>
      <c r="S61" s="669"/>
      <c r="T61" s="669"/>
      <c r="U61" s="669"/>
      <c r="V61" s="669"/>
      <c r="W61" s="669"/>
      <c r="X61" s="669"/>
      <c r="Y61" s="669"/>
      <c r="Z61" s="669"/>
      <c r="AA61" s="669"/>
      <c r="AB61" s="669"/>
      <c r="AC61" s="669"/>
      <c r="AD61" s="669"/>
      <c r="AE61" s="669"/>
      <c r="AF61" s="669"/>
      <c r="AG61" s="669"/>
      <c r="AH61" s="669"/>
      <c r="AI61" s="669"/>
      <c r="AJ61" s="669"/>
      <c r="AK61" s="669"/>
      <c r="AL61" s="669"/>
      <c r="AM61" s="669"/>
      <c r="AN61" s="669"/>
      <c r="AO61" s="669"/>
      <c r="AP61" s="669"/>
      <c r="AQ61" s="669"/>
      <c r="AR61" s="669"/>
      <c r="AS61" s="669"/>
      <c r="AT61" s="669"/>
      <c r="AU61" s="669"/>
      <c r="AV61" s="669"/>
      <c r="AW61" s="669"/>
      <c r="AX61" s="669"/>
      <c r="AY61" s="669"/>
      <c r="AZ61" s="669"/>
      <c r="BA61" s="669"/>
      <c r="BB61" s="669"/>
      <c r="BC61" s="669"/>
      <c r="BD61" s="669"/>
      <c r="BE61" s="669"/>
      <c r="BF61" s="669"/>
      <c r="BG61" s="669"/>
      <c r="BH61" s="669"/>
      <c r="BI61" s="669"/>
      <c r="BJ61" s="669"/>
      <c r="BK61" s="669"/>
      <c r="BL61" s="669"/>
      <c r="BM61" s="669"/>
      <c r="BN61" s="669"/>
      <c r="BO61" s="669"/>
      <c r="BP61" s="669"/>
      <c r="BQ61" s="669"/>
      <c r="BR61" s="669"/>
      <c r="BS61" s="669"/>
      <c r="BT61" s="669"/>
      <c r="BU61" s="669"/>
      <c r="BV61" s="669"/>
      <c r="BW61" s="669"/>
      <c r="BX61" s="669"/>
      <c r="BY61" s="669"/>
      <c r="BZ61" s="669"/>
      <c r="CA61" s="669"/>
      <c r="CB61" s="669"/>
      <c r="CC61" s="669"/>
      <c r="CD61" s="669"/>
      <c r="CE61" s="669"/>
      <c r="CF61" s="669"/>
      <c r="CG61" s="669"/>
      <c r="CH61" s="669"/>
      <c r="CI61" s="669"/>
      <c r="CJ61" s="669"/>
      <c r="CK61" s="669"/>
      <c r="CL61" s="669"/>
      <c r="CM61" s="669"/>
      <c r="CN61" s="669"/>
      <c r="CO61" s="669"/>
      <c r="CP61" s="669"/>
      <c r="CQ61" s="669"/>
      <c r="CR61" s="669"/>
      <c r="CS61" s="669"/>
      <c r="CT61" s="669"/>
      <c r="CU61" s="669"/>
      <c r="CV61" s="669"/>
      <c r="CW61" s="669"/>
      <c r="CX61" s="669"/>
      <c r="CY61" s="669"/>
      <c r="CZ61" s="669"/>
      <c r="DA61" s="669"/>
      <c r="DB61" s="669"/>
      <c r="DC61" s="669"/>
      <c r="DD61" s="669"/>
      <c r="DE61" s="669"/>
      <c r="DF61" s="669"/>
      <c r="DG61" s="669"/>
      <c r="DH61" s="669"/>
      <c r="DI61" s="669"/>
      <c r="DJ61" s="669"/>
      <c r="DK61" s="669"/>
      <c r="DL61" s="669"/>
      <c r="DM61" s="669"/>
      <c r="DN61" s="669"/>
      <c r="DO61" s="669"/>
      <c r="DP61" s="669"/>
      <c r="DQ61" s="669"/>
      <c r="DR61" s="669"/>
      <c r="DS61" s="669"/>
      <c r="DT61" s="669"/>
      <c r="DU61" s="669"/>
      <c r="DV61" s="669"/>
      <c r="DW61" s="669"/>
      <c r="DX61" s="669"/>
      <c r="DY61" s="669"/>
      <c r="DZ61" s="669"/>
      <c r="EA61" s="669"/>
      <c r="EB61" s="669"/>
      <c r="EC61" s="669"/>
      <c r="ED61" s="669"/>
      <c r="EE61" s="669"/>
      <c r="EF61" s="669"/>
      <c r="EG61" s="669"/>
      <c r="EH61" s="669"/>
      <c r="EI61" s="669"/>
      <c r="EJ61" s="669"/>
      <c r="EK61" s="669"/>
      <c r="EL61" s="669"/>
      <c r="EM61" s="669"/>
      <c r="EN61" s="669"/>
      <c r="EO61" s="669"/>
      <c r="EP61" s="669"/>
      <c r="EQ61" s="669"/>
      <c r="ER61" s="669"/>
      <c r="ES61" s="669"/>
      <c r="ET61" s="669"/>
      <c r="EU61" s="669"/>
      <c r="EV61" s="669"/>
      <c r="EW61" s="669"/>
      <c r="EX61" s="669"/>
      <c r="EY61" s="669"/>
      <c r="EZ61" s="669"/>
      <c r="FA61" s="669"/>
      <c r="FB61" s="669"/>
      <c r="FC61" s="669"/>
      <c r="FD61" s="669"/>
      <c r="FE61" s="669"/>
      <c r="FF61" s="669"/>
      <c r="FG61" s="669"/>
      <c r="FH61" s="669"/>
      <c r="FI61" s="669"/>
      <c r="FJ61" s="669"/>
      <c r="FK61" s="669"/>
      <c r="FL61" s="669"/>
      <c r="FM61" s="669"/>
      <c r="FN61" s="669"/>
      <c r="FO61" s="669"/>
      <c r="FP61" s="669"/>
      <c r="FQ61" s="669"/>
      <c r="FR61" s="669"/>
      <c r="FS61" s="669"/>
      <c r="FT61" s="669"/>
      <c r="FU61" s="669"/>
      <c r="FV61" s="669"/>
      <c r="FW61" s="669"/>
      <c r="FX61" s="669"/>
      <c r="FY61" s="669"/>
      <c r="FZ61" s="669"/>
      <c r="GA61" s="669"/>
      <c r="GB61" s="669"/>
      <c r="GC61" s="669"/>
      <c r="GD61" s="669"/>
      <c r="GE61" s="669"/>
      <c r="GF61" s="669"/>
      <c r="GG61" s="669"/>
      <c r="GH61" s="669"/>
      <c r="GI61" s="669"/>
      <c r="GJ61" s="669"/>
      <c r="GK61" s="669"/>
      <c r="GL61" s="669"/>
      <c r="GM61" s="669"/>
      <c r="GN61" s="669"/>
      <c r="GO61" s="669"/>
      <c r="GP61" s="669"/>
      <c r="GQ61" s="669"/>
      <c r="GR61" s="669"/>
      <c r="GS61" s="669"/>
      <c r="GT61" s="669"/>
      <c r="GU61" s="669"/>
      <c r="GV61" s="669"/>
      <c r="GW61" s="669"/>
      <c r="GX61" s="669"/>
      <c r="GY61" s="669"/>
      <c r="GZ61" s="669"/>
      <c r="HA61" s="669"/>
      <c r="HB61" s="669"/>
      <c r="HC61" s="669"/>
      <c r="HD61" s="669"/>
      <c r="HE61" s="669"/>
      <c r="HF61" s="669"/>
      <c r="HG61" s="669"/>
      <c r="HH61" s="669"/>
      <c r="HI61" s="669"/>
      <c r="HJ61" s="669"/>
      <c r="HK61" s="669"/>
      <c r="HL61" s="669"/>
      <c r="HM61" s="669"/>
      <c r="HN61" s="669"/>
      <c r="HO61" s="669"/>
      <c r="HP61" s="669"/>
      <c r="HQ61" s="669"/>
      <c r="HR61" s="669"/>
      <c r="HS61" s="669"/>
      <c r="HT61" s="669"/>
      <c r="HU61" s="669"/>
      <c r="HV61" s="669"/>
      <c r="HW61" s="669"/>
      <c r="HX61" s="669"/>
      <c r="HY61" s="669"/>
      <c r="HZ61" s="669"/>
      <c r="IA61" s="669"/>
      <c r="IB61" s="669"/>
      <c r="IC61" s="669"/>
      <c r="ID61" s="669"/>
      <c r="IE61" s="669"/>
      <c r="IF61" s="669"/>
      <c r="IG61" s="669"/>
      <c r="IH61" s="669"/>
      <c r="II61" s="669"/>
      <c r="IJ61" s="669"/>
      <c r="IK61" s="669"/>
      <c r="IL61" s="669"/>
      <c r="IM61" s="669"/>
      <c r="IN61" s="669"/>
      <c r="IO61" s="669"/>
      <c r="IP61" s="669"/>
      <c r="IQ61" s="669"/>
      <c r="IR61" s="669"/>
      <c r="IS61" s="669"/>
      <c r="IT61" s="669"/>
      <c r="IU61" s="669"/>
      <c r="IV61" s="669"/>
      <c r="IW61" s="669"/>
      <c r="IX61" s="669"/>
      <c r="IY61" s="669"/>
      <c r="IZ61" s="669"/>
      <c r="JA61" s="669"/>
      <c r="JB61" s="669"/>
      <c r="JC61" s="669"/>
      <c r="JD61" s="669"/>
      <c r="JE61" s="669"/>
      <c r="JF61" s="669"/>
      <c r="JG61" s="669"/>
      <c r="JH61" s="669"/>
      <c r="JI61" s="669"/>
      <c r="JJ61" s="669"/>
      <c r="JK61" s="669"/>
      <c r="JL61" s="669"/>
      <c r="JM61" s="669"/>
      <c r="JN61" s="669"/>
      <c r="JO61" s="669"/>
      <c r="JP61" s="669"/>
      <c r="JQ61" s="669"/>
      <c r="JR61" s="669"/>
      <c r="JS61" s="669"/>
      <c r="JT61" s="669"/>
      <c r="JU61" s="669"/>
      <c r="JV61" s="669"/>
      <c r="JW61" s="669"/>
      <c r="JX61" s="669"/>
      <c r="JY61" s="669"/>
      <c r="JZ61" s="669"/>
      <c r="KA61" s="669"/>
      <c r="KB61" s="669"/>
      <c r="KC61" s="669"/>
      <c r="KD61" s="669"/>
      <c r="KE61" s="669"/>
      <c r="KF61" s="669"/>
      <c r="KG61" s="669"/>
      <c r="KH61" s="669"/>
      <c r="KI61" s="669"/>
      <c r="KJ61" s="669"/>
      <c r="KK61" s="669"/>
      <c r="KL61" s="669"/>
      <c r="KM61" s="669"/>
      <c r="KN61" s="669"/>
      <c r="KO61" s="669"/>
      <c r="KP61" s="669"/>
      <c r="KQ61" s="669"/>
      <c r="KR61" s="669"/>
      <c r="KS61" s="669"/>
      <c r="KT61" s="669"/>
      <c r="KU61" s="669"/>
      <c r="KV61" s="669"/>
      <c r="KW61" s="669"/>
      <c r="KX61" s="669"/>
      <c r="KY61" s="669"/>
      <c r="KZ61" s="669"/>
      <c r="LA61" s="669"/>
      <c r="LB61" s="669"/>
      <c r="LC61" s="669"/>
      <c r="LD61" s="669"/>
      <c r="LE61" s="669"/>
      <c r="LF61" s="669"/>
      <c r="LG61" s="669"/>
      <c r="LH61" s="669"/>
      <c r="LI61" s="669"/>
      <c r="LJ61" s="669"/>
      <c r="LK61" s="669"/>
      <c r="LL61" s="669"/>
      <c r="LM61" s="669"/>
      <c r="LN61" s="669"/>
      <c r="LO61" s="669"/>
      <c r="LP61" s="669"/>
      <c r="LQ61" s="669"/>
      <c r="LR61" s="669"/>
      <c r="LS61" s="669"/>
      <c r="LT61" s="669"/>
      <c r="LU61" s="669"/>
      <c r="LV61" s="669"/>
      <c r="LW61" s="669"/>
      <c r="LX61" s="669"/>
      <c r="LY61" s="669"/>
      <c r="LZ61" s="669"/>
      <c r="MA61" s="669"/>
      <c r="MB61" s="669"/>
      <c r="MC61" s="669"/>
      <c r="MD61" s="669"/>
      <c r="ME61" s="669"/>
      <c r="MF61" s="669"/>
      <c r="MG61" s="669"/>
      <c r="MH61" s="669"/>
      <c r="MI61" s="669"/>
      <c r="MJ61" s="669"/>
      <c r="MK61" s="669"/>
      <c r="ML61" s="669"/>
      <c r="MM61" s="669"/>
      <c r="MN61" s="669"/>
      <c r="MO61" s="669"/>
      <c r="MP61" s="669"/>
      <c r="MQ61" s="669"/>
      <c r="MR61" s="669"/>
      <c r="MS61" s="669"/>
      <c r="MT61" s="669"/>
      <c r="MU61" s="669"/>
      <c r="MV61" s="669"/>
      <c r="MW61" s="669"/>
      <c r="MX61" s="669"/>
      <c r="MY61" s="669"/>
      <c r="MZ61" s="669"/>
      <c r="NA61" s="669"/>
      <c r="NB61" s="669"/>
      <c r="NC61" s="669"/>
      <c r="ND61" s="669"/>
      <c r="NE61" s="669"/>
      <c r="NF61" s="669"/>
      <c r="NG61" s="669"/>
      <c r="NH61" s="669"/>
      <c r="NI61" s="669"/>
      <c r="NJ61" s="669"/>
      <c r="NK61" s="669"/>
      <c r="NL61" s="669"/>
      <c r="NM61" s="669"/>
      <c r="NN61" s="669"/>
      <c r="NO61" s="669"/>
      <c r="NP61" s="669"/>
      <c r="NQ61" s="669"/>
      <c r="NR61" s="669"/>
      <c r="NS61" s="669"/>
      <c r="NT61" s="669"/>
      <c r="NU61" s="669"/>
      <c r="NV61" s="669"/>
      <c r="NW61" s="669"/>
      <c r="NX61" s="669"/>
      <c r="NY61" s="669"/>
      <c r="NZ61" s="669"/>
      <c r="OA61" s="669"/>
      <c r="OB61" s="669"/>
      <c r="OC61" s="669"/>
      <c r="OD61" s="669"/>
      <c r="OE61" s="669"/>
      <c r="OF61" s="669"/>
      <c r="OG61" s="669"/>
      <c r="OH61" s="669"/>
      <c r="OI61" s="669"/>
      <c r="OJ61" s="669"/>
      <c r="OK61" s="669"/>
      <c r="OL61" s="669"/>
      <c r="OM61" s="669"/>
      <c r="ON61" s="669"/>
      <c r="OO61" s="669"/>
      <c r="OP61" s="669"/>
      <c r="OQ61" s="669"/>
      <c r="OR61" s="669"/>
      <c r="OS61" s="669"/>
      <c r="OT61" s="669"/>
      <c r="OU61" s="669"/>
      <c r="OV61" s="669"/>
      <c r="OW61" s="669"/>
      <c r="OX61" s="669"/>
      <c r="OY61" s="669"/>
      <c r="OZ61" s="669"/>
      <c r="PA61" s="669"/>
      <c r="PB61" s="669"/>
      <c r="PC61" s="669"/>
      <c r="PD61" s="669"/>
      <c r="PE61" s="669"/>
      <c r="PF61" s="669"/>
      <c r="PG61" s="669"/>
      <c r="PH61" s="669"/>
      <c r="PI61" s="669"/>
      <c r="PJ61" s="669"/>
      <c r="PK61" s="669"/>
      <c r="PL61" s="669"/>
      <c r="PM61" s="669"/>
      <c r="PN61" s="669"/>
      <c r="PO61" s="669"/>
      <c r="PP61" s="669"/>
      <c r="PQ61" s="669"/>
      <c r="PR61" s="669"/>
      <c r="PS61" s="669"/>
      <c r="PT61" s="669"/>
      <c r="PU61" s="669"/>
      <c r="PV61" s="669"/>
      <c r="PW61" s="669"/>
      <c r="PX61" s="669"/>
      <c r="PY61" s="669"/>
      <c r="PZ61" s="669"/>
      <c r="QA61" s="669"/>
      <c r="QB61" s="669"/>
      <c r="QC61" s="669"/>
      <c r="QD61" s="669"/>
    </row>
    <row r="62" spans="1:446" s="116" customFormat="1" x14ac:dyDescent="0.25">
      <c r="A62" s="678">
        <v>1</v>
      </c>
      <c r="B62" s="668"/>
      <c r="C62" s="669"/>
      <c r="D62" s="669"/>
      <c r="E62" s="668"/>
      <c r="F62" s="669"/>
      <c r="G62" s="669"/>
      <c r="H62" s="669"/>
      <c r="I62" s="669"/>
      <c r="J62" s="669"/>
      <c r="K62" s="669"/>
      <c r="L62" s="669"/>
      <c r="M62" s="669"/>
      <c r="N62" s="669"/>
      <c r="O62" s="669"/>
      <c r="P62" s="669"/>
      <c r="Q62" s="669"/>
      <c r="R62" s="669"/>
      <c r="S62" s="669"/>
      <c r="T62" s="669"/>
      <c r="U62" s="669"/>
      <c r="V62" s="669"/>
      <c r="W62" s="669"/>
      <c r="X62" s="669"/>
      <c r="Y62" s="669"/>
      <c r="Z62" s="669"/>
      <c r="AA62" s="669"/>
      <c r="AB62" s="669"/>
      <c r="AC62" s="669"/>
      <c r="AD62" s="669"/>
      <c r="AE62" s="669"/>
      <c r="AF62" s="669"/>
      <c r="AG62" s="669"/>
      <c r="AH62" s="669"/>
      <c r="AI62" s="669"/>
      <c r="AJ62" s="669"/>
      <c r="AK62" s="669"/>
      <c r="AL62" s="669"/>
      <c r="AM62" s="669"/>
      <c r="AN62" s="669"/>
      <c r="AO62" s="669"/>
      <c r="AP62" s="669"/>
      <c r="AQ62" s="669"/>
      <c r="AR62" s="669"/>
      <c r="AS62" s="669"/>
      <c r="AT62" s="669"/>
      <c r="AU62" s="669"/>
      <c r="AV62" s="669"/>
      <c r="AW62" s="669"/>
      <c r="AX62" s="669"/>
      <c r="AY62" s="669"/>
      <c r="AZ62" s="669"/>
      <c r="BA62" s="669"/>
      <c r="BB62" s="669"/>
      <c r="BC62" s="669"/>
      <c r="BD62" s="669"/>
      <c r="BE62" s="669"/>
      <c r="BF62" s="669"/>
      <c r="BG62" s="669"/>
      <c r="BH62" s="669"/>
      <c r="BI62" s="669"/>
      <c r="BJ62" s="669"/>
      <c r="BK62" s="669"/>
      <c r="BL62" s="669"/>
      <c r="BM62" s="669"/>
      <c r="BN62" s="669"/>
      <c r="BO62" s="669"/>
      <c r="BP62" s="669"/>
      <c r="BQ62" s="669"/>
      <c r="BR62" s="669"/>
      <c r="BS62" s="669"/>
      <c r="BT62" s="669"/>
      <c r="BU62" s="669"/>
      <c r="BV62" s="669"/>
      <c r="BW62" s="669"/>
      <c r="BX62" s="669"/>
      <c r="BY62" s="669"/>
      <c r="BZ62" s="669"/>
      <c r="CA62" s="669"/>
      <c r="CB62" s="669"/>
      <c r="CC62" s="669"/>
      <c r="CD62" s="669"/>
      <c r="CE62" s="669"/>
      <c r="CF62" s="669"/>
      <c r="CG62" s="669"/>
      <c r="CH62" s="669"/>
      <c r="CI62" s="669"/>
      <c r="CJ62" s="669"/>
      <c r="CK62" s="669"/>
      <c r="CL62" s="669"/>
      <c r="CM62" s="669"/>
      <c r="CN62" s="669"/>
      <c r="CO62" s="669"/>
      <c r="CP62" s="669"/>
      <c r="CQ62" s="669"/>
      <c r="CR62" s="669"/>
      <c r="CS62" s="669"/>
      <c r="CT62" s="669"/>
      <c r="CU62" s="669"/>
      <c r="CV62" s="669"/>
      <c r="CW62" s="669"/>
      <c r="CX62" s="669"/>
      <c r="CY62" s="669"/>
      <c r="CZ62" s="669"/>
      <c r="DA62" s="669"/>
      <c r="DB62" s="669"/>
      <c r="DC62" s="669"/>
      <c r="DD62" s="669"/>
      <c r="DE62" s="669"/>
      <c r="DF62" s="669"/>
      <c r="DG62" s="669"/>
      <c r="DH62" s="669"/>
      <c r="DI62" s="669"/>
      <c r="DJ62" s="669"/>
      <c r="DK62" s="669"/>
      <c r="DL62" s="669"/>
      <c r="DM62" s="669"/>
      <c r="DN62" s="669"/>
      <c r="DO62" s="669"/>
      <c r="DP62" s="669"/>
      <c r="DQ62" s="669"/>
      <c r="DR62" s="669"/>
      <c r="DS62" s="669"/>
      <c r="DT62" s="669"/>
      <c r="DU62" s="669"/>
      <c r="DV62" s="669"/>
      <c r="DW62" s="669"/>
      <c r="DX62" s="669"/>
      <c r="DY62" s="669"/>
      <c r="DZ62" s="669"/>
      <c r="EA62" s="669"/>
      <c r="EB62" s="669"/>
      <c r="EC62" s="669"/>
      <c r="ED62" s="669"/>
      <c r="EE62" s="669"/>
      <c r="EF62" s="669"/>
      <c r="EG62" s="669"/>
      <c r="EH62" s="669"/>
      <c r="EI62" s="669"/>
      <c r="EJ62" s="669"/>
      <c r="EK62" s="669"/>
      <c r="EL62" s="669"/>
      <c r="EM62" s="669"/>
      <c r="EN62" s="669"/>
      <c r="EO62" s="669"/>
      <c r="EP62" s="669"/>
      <c r="EQ62" s="669"/>
      <c r="ER62" s="669"/>
      <c r="ES62" s="669"/>
      <c r="ET62" s="669"/>
      <c r="EU62" s="669"/>
      <c r="EV62" s="669"/>
      <c r="EW62" s="669"/>
      <c r="EX62" s="669"/>
      <c r="EY62" s="669"/>
      <c r="EZ62" s="669"/>
      <c r="FA62" s="669"/>
      <c r="FB62" s="669"/>
      <c r="FC62" s="669"/>
      <c r="FD62" s="669"/>
      <c r="FE62" s="669"/>
      <c r="FF62" s="669"/>
      <c r="FG62" s="669"/>
      <c r="FH62" s="669"/>
      <c r="FI62" s="669"/>
      <c r="FJ62" s="669"/>
      <c r="FK62" s="669"/>
      <c r="FL62" s="669"/>
      <c r="FM62" s="669"/>
      <c r="FN62" s="669"/>
      <c r="FO62" s="669"/>
      <c r="FP62" s="669"/>
      <c r="FQ62" s="669"/>
      <c r="FR62" s="669"/>
      <c r="FS62" s="669"/>
      <c r="FT62" s="669"/>
      <c r="FU62" s="669"/>
      <c r="FV62" s="669"/>
      <c r="FW62" s="669"/>
      <c r="FX62" s="669"/>
      <c r="FY62" s="669"/>
      <c r="FZ62" s="669"/>
      <c r="GA62" s="669"/>
      <c r="GB62" s="669"/>
      <c r="GC62" s="669"/>
      <c r="GD62" s="669"/>
      <c r="GE62" s="669"/>
      <c r="GF62" s="669"/>
      <c r="GG62" s="669"/>
      <c r="GH62" s="669"/>
      <c r="GI62" s="669"/>
      <c r="GJ62" s="669"/>
      <c r="GK62" s="669"/>
      <c r="GL62" s="669"/>
      <c r="GM62" s="669"/>
      <c r="GN62" s="669"/>
      <c r="GO62" s="669"/>
      <c r="GP62" s="669"/>
      <c r="GQ62" s="669"/>
      <c r="GR62" s="669"/>
      <c r="GS62" s="669"/>
      <c r="GT62" s="669"/>
      <c r="GU62" s="669"/>
      <c r="GV62" s="669"/>
      <c r="GW62" s="669"/>
      <c r="GX62" s="669"/>
      <c r="GY62" s="669"/>
      <c r="GZ62" s="669"/>
      <c r="HA62" s="669"/>
      <c r="HB62" s="669"/>
      <c r="HC62" s="669"/>
      <c r="HD62" s="669"/>
      <c r="HE62" s="669"/>
      <c r="HF62" s="669"/>
      <c r="HG62" s="669"/>
      <c r="HH62" s="669"/>
      <c r="HI62" s="669"/>
      <c r="HJ62" s="669"/>
      <c r="HK62" s="669"/>
      <c r="HL62" s="669"/>
      <c r="HM62" s="669"/>
      <c r="HN62" s="669"/>
      <c r="HO62" s="669"/>
      <c r="HP62" s="669"/>
      <c r="HQ62" s="669"/>
      <c r="HR62" s="669"/>
      <c r="HS62" s="669"/>
      <c r="HT62" s="669"/>
      <c r="HU62" s="669"/>
      <c r="HV62" s="669"/>
      <c r="HW62" s="669"/>
      <c r="HX62" s="669"/>
      <c r="HY62" s="669"/>
      <c r="HZ62" s="669"/>
      <c r="IA62" s="669"/>
      <c r="IB62" s="669"/>
      <c r="IC62" s="669"/>
      <c r="ID62" s="669"/>
      <c r="IE62" s="669"/>
      <c r="IF62" s="669"/>
      <c r="IG62" s="669"/>
      <c r="IH62" s="669"/>
      <c r="II62" s="669"/>
      <c r="IJ62" s="669"/>
      <c r="IK62" s="669"/>
      <c r="IL62" s="669"/>
      <c r="IM62" s="669"/>
      <c r="IN62" s="669"/>
      <c r="IO62" s="669"/>
      <c r="IP62" s="669"/>
      <c r="IQ62" s="669"/>
      <c r="IR62" s="669"/>
      <c r="IS62" s="669"/>
      <c r="IT62" s="669"/>
      <c r="IU62" s="669"/>
      <c r="IV62" s="669"/>
      <c r="IW62" s="669"/>
      <c r="IX62" s="669"/>
      <c r="IY62" s="669"/>
      <c r="IZ62" s="669"/>
      <c r="JA62" s="669"/>
      <c r="JB62" s="669"/>
      <c r="JC62" s="669"/>
      <c r="JD62" s="669"/>
      <c r="JE62" s="669"/>
      <c r="JF62" s="669"/>
      <c r="JG62" s="669"/>
      <c r="JH62" s="669"/>
      <c r="JI62" s="669"/>
      <c r="JJ62" s="669"/>
      <c r="JK62" s="669"/>
      <c r="JL62" s="669"/>
      <c r="JM62" s="669"/>
      <c r="JN62" s="669"/>
      <c r="JO62" s="669"/>
      <c r="JP62" s="669"/>
      <c r="JQ62" s="669"/>
      <c r="JR62" s="669"/>
      <c r="JS62" s="669"/>
      <c r="JT62" s="669"/>
      <c r="JU62" s="669"/>
      <c r="JV62" s="669"/>
      <c r="JW62" s="669"/>
      <c r="JX62" s="669"/>
      <c r="JY62" s="669"/>
      <c r="JZ62" s="669"/>
      <c r="KA62" s="669"/>
      <c r="KB62" s="669"/>
      <c r="KC62" s="669"/>
      <c r="KD62" s="669"/>
      <c r="KE62" s="669"/>
      <c r="KF62" s="669"/>
      <c r="KG62" s="669"/>
      <c r="KH62" s="669"/>
      <c r="KI62" s="669"/>
      <c r="KJ62" s="669"/>
      <c r="KK62" s="669"/>
      <c r="KL62" s="669"/>
      <c r="KM62" s="669"/>
      <c r="KN62" s="669"/>
      <c r="KO62" s="669"/>
      <c r="KP62" s="669"/>
      <c r="KQ62" s="669"/>
      <c r="KR62" s="669"/>
      <c r="KS62" s="669"/>
      <c r="KT62" s="669"/>
      <c r="KU62" s="669"/>
      <c r="KV62" s="669"/>
      <c r="KW62" s="669"/>
      <c r="KX62" s="669"/>
      <c r="KY62" s="669"/>
      <c r="KZ62" s="669"/>
      <c r="LA62" s="669"/>
      <c r="LB62" s="669"/>
      <c r="LC62" s="669"/>
      <c r="LD62" s="669"/>
      <c r="LE62" s="669"/>
      <c r="LF62" s="669"/>
      <c r="LG62" s="669"/>
      <c r="LH62" s="669"/>
      <c r="LI62" s="669"/>
      <c r="LJ62" s="669"/>
      <c r="LK62" s="669"/>
      <c r="LL62" s="669"/>
      <c r="LM62" s="669"/>
      <c r="LN62" s="669"/>
      <c r="LO62" s="669"/>
      <c r="LP62" s="669"/>
      <c r="LQ62" s="669"/>
      <c r="LR62" s="669"/>
      <c r="LS62" s="669"/>
      <c r="LT62" s="669"/>
      <c r="LU62" s="669"/>
      <c r="LV62" s="669"/>
      <c r="LW62" s="669"/>
      <c r="LX62" s="669"/>
      <c r="LY62" s="669"/>
      <c r="LZ62" s="669"/>
      <c r="MA62" s="669"/>
      <c r="MB62" s="669"/>
      <c r="MC62" s="669"/>
      <c r="MD62" s="669"/>
      <c r="ME62" s="669"/>
      <c r="MF62" s="669"/>
      <c r="MG62" s="669"/>
      <c r="MH62" s="669"/>
      <c r="MI62" s="669"/>
      <c r="MJ62" s="669"/>
      <c r="MK62" s="669"/>
      <c r="ML62" s="669"/>
      <c r="MM62" s="669"/>
      <c r="MN62" s="669"/>
      <c r="MO62" s="669"/>
      <c r="MP62" s="669"/>
      <c r="MQ62" s="669"/>
      <c r="MR62" s="669"/>
      <c r="MS62" s="669"/>
      <c r="MT62" s="669"/>
      <c r="MU62" s="669"/>
      <c r="MV62" s="669"/>
      <c r="MW62" s="669"/>
      <c r="MX62" s="669"/>
      <c r="MY62" s="669"/>
      <c r="MZ62" s="669"/>
      <c r="NA62" s="669"/>
      <c r="NB62" s="669"/>
      <c r="NC62" s="669"/>
      <c r="ND62" s="669"/>
      <c r="NE62" s="669"/>
      <c r="NF62" s="669"/>
      <c r="NG62" s="669"/>
      <c r="NH62" s="669"/>
      <c r="NI62" s="669"/>
      <c r="NJ62" s="669"/>
      <c r="NK62" s="669"/>
      <c r="NL62" s="669"/>
      <c r="NM62" s="669"/>
      <c r="NN62" s="669"/>
      <c r="NO62" s="669"/>
      <c r="NP62" s="669"/>
      <c r="NQ62" s="669"/>
      <c r="NR62" s="669"/>
      <c r="NS62" s="669"/>
      <c r="NT62" s="669"/>
      <c r="NU62" s="669"/>
      <c r="NV62" s="669"/>
      <c r="NW62" s="669"/>
      <c r="NX62" s="669"/>
      <c r="NY62" s="669"/>
      <c r="NZ62" s="669"/>
      <c r="OA62" s="669"/>
      <c r="OB62" s="669"/>
      <c r="OC62" s="669"/>
      <c r="OD62" s="669"/>
      <c r="OE62" s="669"/>
      <c r="OF62" s="669"/>
      <c r="OG62" s="669"/>
      <c r="OH62" s="669"/>
      <c r="OI62" s="669"/>
      <c r="OJ62" s="669"/>
      <c r="OK62" s="669"/>
      <c r="OL62" s="669"/>
      <c r="OM62" s="669"/>
      <c r="ON62" s="669"/>
      <c r="OO62" s="669"/>
      <c r="OP62" s="669"/>
      <c r="OQ62" s="669"/>
      <c r="OR62" s="669"/>
      <c r="OS62" s="669"/>
      <c r="OT62" s="669"/>
      <c r="OU62" s="669"/>
      <c r="OV62" s="669"/>
      <c r="OW62" s="669"/>
      <c r="OX62" s="669"/>
      <c r="OY62" s="669"/>
      <c r="OZ62" s="669"/>
      <c r="PA62" s="669"/>
      <c r="PB62" s="669"/>
      <c r="PC62" s="669"/>
      <c r="PD62" s="669"/>
      <c r="PE62" s="669"/>
      <c r="PF62" s="669"/>
      <c r="PG62" s="669"/>
      <c r="PH62" s="669"/>
      <c r="PI62" s="669"/>
      <c r="PJ62" s="669"/>
      <c r="PK62" s="669"/>
      <c r="PL62" s="669"/>
      <c r="PM62" s="669"/>
      <c r="PN62" s="669"/>
      <c r="PO62" s="669"/>
      <c r="PP62" s="669"/>
      <c r="PQ62" s="669"/>
      <c r="PR62" s="669"/>
      <c r="PS62" s="669"/>
      <c r="PT62" s="669"/>
      <c r="PU62" s="669"/>
      <c r="PV62" s="669"/>
      <c r="PW62" s="669"/>
      <c r="PX62" s="669"/>
      <c r="PY62" s="669"/>
      <c r="PZ62" s="669"/>
      <c r="QA62" s="669"/>
      <c r="QB62" s="669"/>
      <c r="QC62" s="669"/>
      <c r="QD62" s="669"/>
    </row>
    <row r="63" spans="1:446" s="116" customFormat="1" x14ac:dyDescent="0.25">
      <c r="A63" s="678">
        <v>1</v>
      </c>
      <c r="B63" s="668"/>
      <c r="C63" s="669"/>
      <c r="D63" s="669"/>
      <c r="E63" s="668"/>
      <c r="F63" s="669"/>
      <c r="G63" s="669"/>
      <c r="H63" s="669"/>
      <c r="I63" s="669"/>
      <c r="J63" s="669"/>
      <c r="K63" s="669"/>
      <c r="L63" s="669"/>
      <c r="M63" s="669"/>
      <c r="N63" s="669"/>
      <c r="O63" s="669"/>
      <c r="P63" s="669"/>
      <c r="Q63" s="669"/>
      <c r="R63" s="669"/>
      <c r="S63" s="669"/>
      <c r="T63" s="669"/>
      <c r="U63" s="669"/>
      <c r="V63" s="669"/>
      <c r="W63" s="669"/>
      <c r="X63" s="669"/>
      <c r="Y63" s="669"/>
      <c r="Z63" s="669"/>
      <c r="AA63" s="669"/>
      <c r="AB63" s="669"/>
      <c r="AC63" s="669"/>
      <c r="AD63" s="669"/>
      <c r="AE63" s="669"/>
      <c r="AF63" s="669"/>
      <c r="AG63" s="669"/>
      <c r="AH63" s="669"/>
      <c r="AI63" s="669"/>
      <c r="AJ63" s="669"/>
      <c r="AK63" s="669"/>
      <c r="AL63" s="669"/>
      <c r="AM63" s="669"/>
      <c r="AN63" s="669"/>
      <c r="AO63" s="669"/>
      <c r="AP63" s="669"/>
      <c r="AQ63" s="669"/>
      <c r="AR63" s="669"/>
      <c r="AS63" s="669"/>
      <c r="AT63" s="669"/>
      <c r="AU63" s="669"/>
      <c r="AV63" s="669"/>
      <c r="AW63" s="669"/>
      <c r="AX63" s="669"/>
      <c r="AY63" s="669"/>
      <c r="AZ63" s="669"/>
      <c r="BA63" s="669"/>
      <c r="BB63" s="669"/>
      <c r="BC63" s="669"/>
      <c r="BD63" s="669"/>
      <c r="BE63" s="669"/>
      <c r="BF63" s="669"/>
      <c r="BG63" s="669"/>
      <c r="BH63" s="669"/>
      <c r="BI63" s="669"/>
      <c r="BJ63" s="669"/>
      <c r="BK63" s="669"/>
      <c r="BL63" s="669"/>
      <c r="BM63" s="669"/>
      <c r="BN63" s="669"/>
      <c r="BO63" s="669"/>
      <c r="BP63" s="669"/>
      <c r="BQ63" s="669"/>
      <c r="BR63" s="669"/>
      <c r="BS63" s="669"/>
      <c r="BT63" s="669"/>
      <c r="BU63" s="669"/>
      <c r="BV63" s="669"/>
      <c r="BW63" s="669"/>
      <c r="BX63" s="669"/>
      <c r="BY63" s="669"/>
      <c r="BZ63" s="669"/>
      <c r="CA63" s="669"/>
      <c r="CB63" s="669"/>
      <c r="CC63" s="669"/>
      <c r="CD63" s="669"/>
      <c r="CE63" s="669"/>
      <c r="CF63" s="669"/>
      <c r="CG63" s="669"/>
      <c r="CH63" s="669"/>
      <c r="CI63" s="669"/>
      <c r="CJ63" s="669"/>
      <c r="CK63" s="669"/>
      <c r="CL63" s="669"/>
      <c r="CM63" s="669"/>
      <c r="CN63" s="669"/>
      <c r="CO63" s="669"/>
      <c r="CP63" s="669"/>
      <c r="CQ63" s="669"/>
      <c r="CR63" s="669"/>
      <c r="CS63" s="669"/>
      <c r="CT63" s="669"/>
      <c r="CU63" s="669"/>
      <c r="CV63" s="669"/>
      <c r="CW63" s="669"/>
      <c r="CX63" s="669"/>
      <c r="CY63" s="669"/>
      <c r="CZ63" s="669"/>
      <c r="DA63" s="669"/>
      <c r="DB63" s="669"/>
      <c r="DC63" s="669"/>
      <c r="DD63" s="669"/>
      <c r="DE63" s="669"/>
      <c r="DF63" s="669"/>
      <c r="DG63" s="669"/>
      <c r="DH63" s="669"/>
      <c r="DI63" s="669"/>
      <c r="DJ63" s="669"/>
      <c r="DK63" s="669"/>
      <c r="DL63" s="669"/>
      <c r="DM63" s="669"/>
      <c r="DN63" s="669"/>
      <c r="DO63" s="669"/>
      <c r="DP63" s="669"/>
      <c r="DQ63" s="669"/>
      <c r="DR63" s="669"/>
      <c r="DS63" s="669"/>
      <c r="DT63" s="669"/>
      <c r="DU63" s="669"/>
      <c r="DV63" s="669"/>
      <c r="DW63" s="669"/>
      <c r="DX63" s="669"/>
      <c r="DY63" s="669"/>
      <c r="DZ63" s="669"/>
      <c r="EA63" s="669"/>
      <c r="EB63" s="669"/>
      <c r="EC63" s="669"/>
      <c r="ED63" s="669"/>
      <c r="EE63" s="669"/>
      <c r="EF63" s="669"/>
      <c r="EG63" s="669"/>
      <c r="EH63" s="669"/>
      <c r="EI63" s="669"/>
      <c r="EJ63" s="669"/>
      <c r="EK63" s="669"/>
      <c r="EL63" s="669"/>
      <c r="EM63" s="669"/>
      <c r="EN63" s="669"/>
      <c r="EO63" s="669"/>
      <c r="EP63" s="669"/>
      <c r="EQ63" s="669"/>
      <c r="ER63" s="669"/>
      <c r="ES63" s="669"/>
      <c r="ET63" s="669"/>
      <c r="EU63" s="669"/>
      <c r="EV63" s="669"/>
      <c r="EW63" s="669"/>
      <c r="EX63" s="669"/>
      <c r="EY63" s="669"/>
      <c r="EZ63" s="669"/>
      <c r="FA63" s="669"/>
      <c r="FB63" s="669"/>
      <c r="FC63" s="669"/>
      <c r="FD63" s="669"/>
      <c r="FE63" s="669"/>
      <c r="FF63" s="669"/>
      <c r="FG63" s="669"/>
      <c r="FH63" s="669"/>
      <c r="FI63" s="669"/>
      <c r="FJ63" s="669"/>
      <c r="FK63" s="669"/>
      <c r="FL63" s="669"/>
      <c r="FM63" s="669"/>
      <c r="FN63" s="669"/>
      <c r="FO63" s="669"/>
      <c r="FP63" s="669"/>
      <c r="FQ63" s="669"/>
      <c r="FR63" s="669"/>
      <c r="FS63" s="669"/>
      <c r="FT63" s="669"/>
      <c r="FU63" s="669"/>
      <c r="FV63" s="669"/>
      <c r="FW63" s="669"/>
      <c r="FX63" s="669"/>
      <c r="FY63" s="669"/>
      <c r="FZ63" s="669"/>
      <c r="GA63" s="669"/>
      <c r="GB63" s="669"/>
      <c r="GC63" s="669"/>
      <c r="GD63" s="669"/>
      <c r="GE63" s="669"/>
      <c r="GF63" s="669"/>
      <c r="GG63" s="669"/>
      <c r="GH63" s="669"/>
      <c r="GI63" s="669"/>
      <c r="GJ63" s="669"/>
      <c r="GK63" s="669"/>
      <c r="GL63" s="669"/>
      <c r="GM63" s="669"/>
      <c r="GN63" s="669"/>
      <c r="GO63" s="669"/>
      <c r="GP63" s="669"/>
      <c r="GQ63" s="669"/>
      <c r="GR63" s="669"/>
      <c r="GS63" s="669"/>
      <c r="GT63" s="669"/>
      <c r="GU63" s="669"/>
      <c r="GV63" s="669"/>
      <c r="GW63" s="669"/>
      <c r="GX63" s="669"/>
      <c r="GY63" s="669"/>
      <c r="GZ63" s="669"/>
      <c r="HA63" s="669"/>
      <c r="HB63" s="669"/>
      <c r="HC63" s="669"/>
      <c r="HD63" s="669"/>
      <c r="HE63" s="669"/>
      <c r="HF63" s="669"/>
      <c r="HG63" s="669"/>
      <c r="HH63" s="669"/>
      <c r="HI63" s="669"/>
      <c r="HJ63" s="669"/>
      <c r="HK63" s="669"/>
      <c r="HL63" s="669"/>
      <c r="HM63" s="669"/>
      <c r="HN63" s="669"/>
      <c r="HO63" s="669"/>
      <c r="HP63" s="669"/>
      <c r="HQ63" s="669"/>
      <c r="HR63" s="669"/>
      <c r="HS63" s="669"/>
      <c r="HT63" s="669"/>
      <c r="HU63" s="669"/>
      <c r="HV63" s="669"/>
      <c r="HW63" s="669"/>
      <c r="HX63" s="669"/>
      <c r="HY63" s="669"/>
      <c r="HZ63" s="669"/>
      <c r="IA63" s="669"/>
      <c r="IB63" s="669"/>
      <c r="IC63" s="669"/>
      <c r="ID63" s="669"/>
      <c r="IE63" s="669"/>
      <c r="IF63" s="669"/>
      <c r="IG63" s="669"/>
      <c r="IH63" s="669"/>
      <c r="II63" s="669"/>
      <c r="IJ63" s="669"/>
      <c r="IK63" s="669"/>
      <c r="IL63" s="669"/>
      <c r="IM63" s="669"/>
      <c r="IN63" s="669"/>
      <c r="IO63" s="669"/>
      <c r="IP63" s="669"/>
      <c r="IQ63" s="669"/>
      <c r="IR63" s="669"/>
      <c r="IS63" s="669"/>
      <c r="IT63" s="669"/>
      <c r="IU63" s="669"/>
      <c r="IV63" s="669"/>
      <c r="IW63" s="669"/>
      <c r="IX63" s="669"/>
      <c r="IY63" s="669"/>
      <c r="IZ63" s="669"/>
      <c r="JA63" s="669"/>
      <c r="JB63" s="669"/>
      <c r="JC63" s="669"/>
      <c r="JD63" s="669"/>
      <c r="JE63" s="669"/>
      <c r="JF63" s="669"/>
      <c r="JG63" s="669"/>
      <c r="JH63" s="669"/>
      <c r="JI63" s="669"/>
      <c r="JJ63" s="669"/>
      <c r="JK63" s="669"/>
      <c r="JL63" s="669"/>
      <c r="JM63" s="669"/>
      <c r="JN63" s="669"/>
      <c r="JO63" s="669"/>
      <c r="JP63" s="669"/>
      <c r="JQ63" s="669"/>
      <c r="JR63" s="669"/>
      <c r="JS63" s="669"/>
      <c r="JT63" s="669"/>
      <c r="JU63" s="669"/>
      <c r="JV63" s="669"/>
      <c r="JW63" s="669"/>
      <c r="JX63" s="669"/>
      <c r="JY63" s="669"/>
      <c r="JZ63" s="669"/>
      <c r="KA63" s="669"/>
      <c r="KB63" s="669"/>
      <c r="KC63" s="669"/>
      <c r="KD63" s="669"/>
      <c r="KE63" s="669"/>
      <c r="KF63" s="669"/>
      <c r="KG63" s="669"/>
      <c r="KH63" s="669"/>
      <c r="KI63" s="669"/>
      <c r="KJ63" s="669"/>
      <c r="KK63" s="669"/>
      <c r="KL63" s="669"/>
      <c r="KM63" s="669"/>
      <c r="KN63" s="669"/>
      <c r="KO63" s="669"/>
      <c r="KP63" s="669"/>
      <c r="KQ63" s="669"/>
      <c r="KR63" s="669"/>
      <c r="KS63" s="669"/>
      <c r="KT63" s="669"/>
      <c r="KU63" s="669"/>
      <c r="KV63" s="669"/>
      <c r="KW63" s="669"/>
      <c r="KX63" s="669"/>
      <c r="KY63" s="669"/>
      <c r="KZ63" s="669"/>
      <c r="LA63" s="669"/>
      <c r="LB63" s="669"/>
      <c r="LC63" s="669"/>
      <c r="LD63" s="669"/>
      <c r="LE63" s="669"/>
      <c r="LF63" s="669"/>
      <c r="LG63" s="669"/>
      <c r="LH63" s="669"/>
      <c r="LI63" s="669"/>
      <c r="LJ63" s="669"/>
      <c r="LK63" s="669"/>
      <c r="LL63" s="669"/>
      <c r="LM63" s="669"/>
      <c r="LN63" s="669"/>
      <c r="LO63" s="669"/>
      <c r="LP63" s="669"/>
      <c r="LQ63" s="669"/>
      <c r="LR63" s="669"/>
      <c r="LS63" s="669"/>
      <c r="LT63" s="669"/>
      <c r="LU63" s="669"/>
      <c r="LV63" s="669"/>
      <c r="LW63" s="669"/>
      <c r="LX63" s="669"/>
      <c r="LY63" s="669"/>
      <c r="LZ63" s="669"/>
      <c r="MA63" s="669"/>
      <c r="MB63" s="669"/>
      <c r="MC63" s="669"/>
      <c r="MD63" s="669"/>
      <c r="ME63" s="669"/>
      <c r="MF63" s="669"/>
      <c r="MG63" s="669"/>
      <c r="MH63" s="669"/>
      <c r="MI63" s="669"/>
      <c r="MJ63" s="669"/>
      <c r="MK63" s="669"/>
      <c r="ML63" s="669"/>
      <c r="MM63" s="669"/>
      <c r="MN63" s="669"/>
      <c r="MO63" s="669"/>
      <c r="MP63" s="669"/>
      <c r="MQ63" s="669"/>
      <c r="MR63" s="669"/>
      <c r="MS63" s="669"/>
      <c r="MT63" s="669"/>
      <c r="MU63" s="669"/>
      <c r="MV63" s="669"/>
      <c r="MW63" s="669"/>
      <c r="MX63" s="669"/>
      <c r="MY63" s="669"/>
      <c r="MZ63" s="669"/>
      <c r="NA63" s="669"/>
      <c r="NB63" s="669"/>
      <c r="NC63" s="669"/>
      <c r="ND63" s="669"/>
      <c r="NE63" s="669"/>
      <c r="NF63" s="669"/>
      <c r="NG63" s="669"/>
      <c r="NH63" s="669"/>
      <c r="NI63" s="669"/>
      <c r="NJ63" s="669"/>
      <c r="NK63" s="669"/>
      <c r="NL63" s="669"/>
      <c r="NM63" s="669"/>
      <c r="NN63" s="669"/>
      <c r="NO63" s="669"/>
      <c r="NP63" s="669"/>
      <c r="NQ63" s="669"/>
      <c r="NR63" s="669"/>
      <c r="NS63" s="669"/>
      <c r="NT63" s="669"/>
      <c r="NU63" s="669"/>
      <c r="NV63" s="669"/>
      <c r="NW63" s="669"/>
      <c r="NX63" s="669"/>
      <c r="NY63" s="669"/>
      <c r="NZ63" s="669"/>
      <c r="OA63" s="669"/>
      <c r="OB63" s="669"/>
      <c r="OC63" s="669"/>
      <c r="OD63" s="669"/>
      <c r="OE63" s="669"/>
      <c r="OF63" s="669"/>
      <c r="OG63" s="669"/>
      <c r="OH63" s="669"/>
      <c r="OI63" s="669"/>
      <c r="OJ63" s="669"/>
      <c r="OK63" s="669"/>
      <c r="OL63" s="669"/>
      <c r="OM63" s="669"/>
      <c r="ON63" s="669"/>
      <c r="OO63" s="669"/>
      <c r="OP63" s="669"/>
      <c r="OQ63" s="669"/>
      <c r="OR63" s="669"/>
      <c r="OS63" s="669"/>
      <c r="OT63" s="669"/>
      <c r="OU63" s="669"/>
      <c r="OV63" s="669"/>
      <c r="OW63" s="669"/>
      <c r="OX63" s="669"/>
      <c r="OY63" s="669"/>
      <c r="OZ63" s="669"/>
      <c r="PA63" s="669"/>
      <c r="PB63" s="669"/>
      <c r="PC63" s="669"/>
      <c r="PD63" s="669"/>
      <c r="PE63" s="669"/>
      <c r="PF63" s="669"/>
      <c r="PG63" s="669"/>
      <c r="PH63" s="669"/>
      <c r="PI63" s="669"/>
      <c r="PJ63" s="669"/>
      <c r="PK63" s="669"/>
      <c r="PL63" s="669"/>
      <c r="PM63" s="669"/>
      <c r="PN63" s="669"/>
      <c r="PO63" s="669"/>
      <c r="PP63" s="669"/>
      <c r="PQ63" s="669"/>
      <c r="PR63" s="669"/>
      <c r="PS63" s="669"/>
      <c r="PT63" s="669"/>
      <c r="PU63" s="669"/>
      <c r="PV63" s="669"/>
      <c r="PW63" s="669"/>
      <c r="PX63" s="669"/>
      <c r="PY63" s="669"/>
      <c r="PZ63" s="669"/>
      <c r="QA63" s="669"/>
      <c r="QB63" s="669"/>
      <c r="QC63" s="669"/>
      <c r="QD63" s="669"/>
    </row>
    <row r="64" spans="1:446" s="116" customFormat="1" x14ac:dyDescent="0.25">
      <c r="A64" s="678">
        <v>1</v>
      </c>
      <c r="B64" s="668"/>
      <c r="C64" s="669"/>
      <c r="D64" s="669"/>
      <c r="E64" s="668"/>
      <c r="F64" s="669"/>
      <c r="G64" s="669"/>
      <c r="H64" s="669"/>
      <c r="I64" s="669"/>
      <c r="J64" s="669"/>
      <c r="K64" s="669"/>
      <c r="L64" s="669"/>
      <c r="M64" s="669"/>
      <c r="N64" s="669"/>
      <c r="O64" s="669"/>
      <c r="P64" s="669"/>
      <c r="Q64" s="669"/>
      <c r="R64" s="669"/>
      <c r="S64" s="669"/>
      <c r="T64" s="669"/>
      <c r="U64" s="669"/>
      <c r="V64" s="669"/>
      <c r="W64" s="669"/>
      <c r="X64" s="669"/>
      <c r="Y64" s="669"/>
      <c r="Z64" s="669"/>
      <c r="AA64" s="669"/>
      <c r="AB64" s="669"/>
      <c r="AC64" s="669"/>
      <c r="AD64" s="669"/>
      <c r="AE64" s="669"/>
      <c r="AF64" s="669"/>
      <c r="AG64" s="669"/>
      <c r="AH64" s="669"/>
      <c r="AI64" s="669"/>
      <c r="AJ64" s="669"/>
      <c r="AK64" s="669"/>
      <c r="AL64" s="669"/>
      <c r="AM64" s="669"/>
      <c r="AN64" s="669"/>
      <c r="AO64" s="669"/>
      <c r="AP64" s="669"/>
      <c r="AQ64" s="669"/>
      <c r="AR64" s="669"/>
      <c r="AS64" s="669"/>
      <c r="AT64" s="669"/>
      <c r="AU64" s="669"/>
      <c r="AV64" s="669"/>
      <c r="AW64" s="669"/>
      <c r="AX64" s="669"/>
      <c r="AY64" s="669"/>
      <c r="AZ64" s="669"/>
      <c r="BA64" s="669"/>
      <c r="BB64" s="669"/>
      <c r="BC64" s="669"/>
      <c r="BD64" s="669"/>
      <c r="BE64" s="669"/>
      <c r="BF64" s="669"/>
      <c r="BG64" s="669"/>
      <c r="BH64" s="669"/>
      <c r="BI64" s="669"/>
      <c r="BJ64" s="669"/>
      <c r="BK64" s="669"/>
      <c r="BL64" s="669"/>
      <c r="BM64" s="669"/>
      <c r="BN64" s="669"/>
      <c r="BO64" s="669"/>
      <c r="BP64" s="669"/>
      <c r="BQ64" s="669"/>
      <c r="BR64" s="669"/>
      <c r="BS64" s="669"/>
      <c r="BT64" s="669"/>
      <c r="BU64" s="669"/>
      <c r="BV64" s="669"/>
      <c r="BW64" s="669"/>
      <c r="BX64" s="669"/>
      <c r="BY64" s="669"/>
      <c r="BZ64" s="669"/>
      <c r="CA64" s="669"/>
      <c r="CB64" s="669"/>
      <c r="CC64" s="669"/>
      <c r="CD64" s="669"/>
      <c r="CE64" s="669"/>
      <c r="CF64" s="669"/>
      <c r="CG64" s="669"/>
      <c r="CH64" s="669"/>
      <c r="CI64" s="669"/>
      <c r="CJ64" s="669"/>
      <c r="CK64" s="669"/>
      <c r="CL64" s="669"/>
      <c r="CM64" s="669"/>
      <c r="CN64" s="669"/>
      <c r="CO64" s="669"/>
      <c r="CP64" s="669"/>
      <c r="CQ64" s="669"/>
      <c r="CR64" s="669"/>
      <c r="CS64" s="669"/>
      <c r="CT64" s="669"/>
      <c r="CU64" s="669"/>
      <c r="CV64" s="669"/>
      <c r="CW64" s="669"/>
      <c r="CX64" s="669"/>
      <c r="CY64" s="669"/>
      <c r="CZ64" s="669"/>
      <c r="DA64" s="669"/>
      <c r="DB64" s="669"/>
      <c r="DC64" s="669"/>
      <c r="DD64" s="669"/>
      <c r="DE64" s="669"/>
      <c r="DF64" s="669"/>
      <c r="DG64" s="669"/>
      <c r="DH64" s="669"/>
      <c r="DI64" s="669"/>
      <c r="DJ64" s="669"/>
      <c r="DK64" s="669"/>
      <c r="DL64" s="669"/>
      <c r="DM64" s="669"/>
      <c r="DN64" s="669"/>
      <c r="DO64" s="669"/>
      <c r="DP64" s="669"/>
      <c r="DQ64" s="669"/>
      <c r="DR64" s="669"/>
      <c r="DS64" s="669"/>
      <c r="DT64" s="669"/>
      <c r="DU64" s="669"/>
      <c r="DV64" s="669"/>
      <c r="DW64" s="669"/>
      <c r="DX64" s="669"/>
      <c r="DY64" s="669"/>
      <c r="DZ64" s="669"/>
      <c r="EA64" s="669"/>
      <c r="EB64" s="669"/>
      <c r="EC64" s="669"/>
      <c r="ED64" s="669"/>
      <c r="EE64" s="669"/>
      <c r="EF64" s="669"/>
      <c r="EG64" s="669"/>
      <c r="EH64" s="669"/>
      <c r="EI64" s="669"/>
      <c r="EJ64" s="669"/>
      <c r="EK64" s="669"/>
      <c r="EL64" s="669"/>
      <c r="EM64" s="669"/>
      <c r="EN64" s="669"/>
      <c r="EO64" s="669"/>
      <c r="EP64" s="669"/>
      <c r="EQ64" s="669"/>
      <c r="ER64" s="669"/>
      <c r="ES64" s="669"/>
      <c r="ET64" s="669"/>
      <c r="EU64" s="669"/>
      <c r="EV64" s="669"/>
      <c r="EW64" s="669"/>
      <c r="EX64" s="669"/>
      <c r="EY64" s="669"/>
      <c r="EZ64" s="669"/>
      <c r="FA64" s="669"/>
      <c r="FB64" s="669"/>
      <c r="FC64" s="669"/>
      <c r="FD64" s="669"/>
      <c r="FE64" s="669"/>
      <c r="FF64" s="669"/>
      <c r="FG64" s="669"/>
      <c r="FH64" s="669"/>
      <c r="FI64" s="669"/>
      <c r="FJ64" s="669"/>
      <c r="FK64" s="669"/>
      <c r="FL64" s="669"/>
      <c r="FM64" s="669"/>
      <c r="FN64" s="669"/>
      <c r="FO64" s="669"/>
      <c r="FP64" s="669"/>
      <c r="FQ64" s="669"/>
      <c r="FR64" s="669"/>
      <c r="FS64" s="669"/>
      <c r="FT64" s="669"/>
      <c r="FU64" s="669"/>
      <c r="FV64" s="669"/>
      <c r="FW64" s="669"/>
      <c r="FX64" s="669"/>
      <c r="FY64" s="669"/>
      <c r="FZ64" s="669"/>
      <c r="GA64" s="669"/>
      <c r="GB64" s="669"/>
      <c r="GC64" s="669"/>
      <c r="GD64" s="669"/>
      <c r="GE64" s="669"/>
      <c r="GF64" s="669"/>
      <c r="GG64" s="669"/>
      <c r="GH64" s="669"/>
      <c r="GI64" s="669"/>
      <c r="GJ64" s="669"/>
      <c r="GK64" s="669"/>
      <c r="GL64" s="669"/>
      <c r="GM64" s="669"/>
      <c r="GN64" s="669"/>
      <c r="GO64" s="669"/>
      <c r="GP64" s="669"/>
      <c r="GQ64" s="669"/>
      <c r="GR64" s="669"/>
      <c r="GS64" s="669"/>
      <c r="GT64" s="669"/>
      <c r="GU64" s="669"/>
      <c r="GV64" s="669"/>
      <c r="GW64" s="669"/>
      <c r="GX64" s="669"/>
      <c r="GY64" s="669"/>
      <c r="GZ64" s="669"/>
      <c r="HA64" s="669"/>
      <c r="HB64" s="669"/>
      <c r="HC64" s="669"/>
      <c r="HD64" s="669"/>
      <c r="HE64" s="669"/>
      <c r="HF64" s="669"/>
      <c r="HG64" s="669"/>
      <c r="HH64" s="669"/>
      <c r="HI64" s="669"/>
      <c r="HJ64" s="669"/>
      <c r="HK64" s="669"/>
      <c r="HL64" s="669"/>
      <c r="HM64" s="669"/>
      <c r="HN64" s="669"/>
      <c r="HO64" s="669"/>
      <c r="HP64" s="669"/>
      <c r="HQ64" s="669"/>
      <c r="HR64" s="669"/>
      <c r="HS64" s="669"/>
      <c r="HT64" s="669"/>
      <c r="HU64" s="669"/>
      <c r="HV64" s="669"/>
      <c r="HW64" s="669"/>
      <c r="HX64" s="669"/>
      <c r="HY64" s="669"/>
      <c r="HZ64" s="669"/>
      <c r="IA64" s="669"/>
      <c r="IB64" s="669"/>
      <c r="IC64" s="669"/>
      <c r="ID64" s="669"/>
      <c r="IE64" s="669"/>
      <c r="IF64" s="669"/>
      <c r="IG64" s="669"/>
      <c r="IH64" s="669"/>
      <c r="II64" s="669"/>
      <c r="IJ64" s="669"/>
      <c r="IK64" s="669"/>
      <c r="IL64" s="669"/>
      <c r="IM64" s="669"/>
      <c r="IN64" s="669"/>
      <c r="IO64" s="669"/>
      <c r="IP64" s="669"/>
      <c r="IQ64" s="669"/>
      <c r="IR64" s="669"/>
      <c r="IS64" s="669"/>
      <c r="IT64" s="669"/>
      <c r="IU64" s="669"/>
      <c r="IV64" s="669"/>
      <c r="IW64" s="669"/>
      <c r="IX64" s="669"/>
      <c r="IY64" s="669"/>
      <c r="IZ64" s="669"/>
      <c r="JA64" s="669"/>
      <c r="JB64" s="669"/>
      <c r="JC64" s="669"/>
      <c r="JD64" s="669"/>
      <c r="JE64" s="669"/>
      <c r="JF64" s="669"/>
      <c r="JG64" s="669"/>
      <c r="JH64" s="669"/>
      <c r="JI64" s="669"/>
      <c r="JJ64" s="669"/>
      <c r="JK64" s="669"/>
      <c r="JL64" s="669"/>
      <c r="JM64" s="669"/>
      <c r="JN64" s="669"/>
      <c r="JO64" s="669"/>
      <c r="JP64" s="669"/>
      <c r="JQ64" s="669"/>
      <c r="JR64" s="669"/>
      <c r="JS64" s="669"/>
      <c r="JT64" s="669"/>
      <c r="JU64" s="669"/>
      <c r="JV64" s="669"/>
      <c r="JW64" s="669"/>
      <c r="JX64" s="669"/>
      <c r="JY64" s="669"/>
      <c r="JZ64" s="669"/>
      <c r="KA64" s="669"/>
      <c r="KB64" s="669"/>
      <c r="KC64" s="669"/>
      <c r="KD64" s="669"/>
      <c r="KE64" s="669"/>
      <c r="KF64" s="669"/>
      <c r="KG64" s="669"/>
      <c r="KH64" s="669"/>
      <c r="KI64" s="669"/>
      <c r="KJ64" s="669"/>
      <c r="KK64" s="669"/>
      <c r="KL64" s="669"/>
      <c r="KM64" s="669"/>
      <c r="KN64" s="669"/>
      <c r="KO64" s="669"/>
      <c r="KP64" s="669"/>
      <c r="KQ64" s="669"/>
      <c r="KR64" s="669"/>
      <c r="KS64" s="669"/>
      <c r="KT64" s="669"/>
      <c r="KU64" s="669"/>
      <c r="KV64" s="669"/>
      <c r="KW64" s="669"/>
      <c r="KX64" s="669"/>
      <c r="KY64" s="669"/>
      <c r="KZ64" s="669"/>
      <c r="LA64" s="669"/>
      <c r="LB64" s="669"/>
      <c r="LC64" s="669"/>
      <c r="LD64" s="669"/>
      <c r="LE64" s="669"/>
      <c r="LF64" s="669"/>
      <c r="LG64" s="669"/>
      <c r="LH64" s="669"/>
      <c r="LI64" s="669"/>
      <c r="LJ64" s="669"/>
      <c r="LK64" s="669"/>
      <c r="LL64" s="669"/>
      <c r="LM64" s="669"/>
      <c r="LN64" s="669"/>
      <c r="LO64" s="669"/>
      <c r="LP64" s="669"/>
      <c r="LQ64" s="669"/>
      <c r="LR64" s="669"/>
      <c r="LS64" s="669"/>
      <c r="LT64" s="669"/>
      <c r="LU64" s="669"/>
      <c r="LV64" s="669"/>
      <c r="LW64" s="669"/>
      <c r="LX64" s="669"/>
      <c r="LY64" s="669"/>
      <c r="LZ64" s="669"/>
      <c r="MA64" s="669"/>
      <c r="MB64" s="669"/>
      <c r="MC64" s="669"/>
      <c r="MD64" s="669"/>
      <c r="ME64" s="669"/>
      <c r="MF64" s="669"/>
      <c r="MG64" s="669"/>
      <c r="MH64" s="669"/>
      <c r="MI64" s="669"/>
      <c r="MJ64" s="669"/>
      <c r="MK64" s="669"/>
      <c r="ML64" s="669"/>
      <c r="MM64" s="669"/>
      <c r="MN64" s="669"/>
      <c r="MO64" s="669"/>
      <c r="MP64" s="669"/>
      <c r="MQ64" s="669"/>
      <c r="MR64" s="669"/>
      <c r="MS64" s="669"/>
      <c r="MT64" s="669"/>
      <c r="MU64" s="669"/>
      <c r="MV64" s="669"/>
      <c r="MW64" s="669"/>
      <c r="MX64" s="669"/>
      <c r="MY64" s="669"/>
      <c r="MZ64" s="669"/>
      <c r="NA64" s="669"/>
      <c r="NB64" s="669"/>
      <c r="NC64" s="669"/>
      <c r="ND64" s="669"/>
      <c r="NE64" s="669"/>
      <c r="NF64" s="669"/>
      <c r="NG64" s="669"/>
      <c r="NH64" s="669"/>
      <c r="NI64" s="669"/>
      <c r="NJ64" s="669"/>
      <c r="NK64" s="669"/>
      <c r="NL64" s="669"/>
      <c r="NM64" s="669"/>
      <c r="NN64" s="669"/>
      <c r="NO64" s="669"/>
      <c r="NP64" s="669"/>
      <c r="NQ64" s="669"/>
      <c r="NR64" s="669"/>
      <c r="NS64" s="669"/>
      <c r="NT64" s="669"/>
      <c r="NU64" s="669"/>
      <c r="NV64" s="669"/>
      <c r="NW64" s="669"/>
      <c r="NX64" s="669"/>
      <c r="NY64" s="669"/>
      <c r="NZ64" s="669"/>
      <c r="OA64" s="669"/>
      <c r="OB64" s="669"/>
      <c r="OC64" s="669"/>
      <c r="OD64" s="669"/>
      <c r="OE64" s="669"/>
      <c r="OF64" s="669"/>
      <c r="OG64" s="669"/>
      <c r="OH64" s="669"/>
      <c r="OI64" s="669"/>
      <c r="OJ64" s="669"/>
      <c r="OK64" s="669"/>
      <c r="OL64" s="669"/>
      <c r="OM64" s="669"/>
      <c r="ON64" s="669"/>
      <c r="OO64" s="669"/>
      <c r="OP64" s="669"/>
      <c r="OQ64" s="669"/>
      <c r="OR64" s="669"/>
      <c r="OS64" s="669"/>
      <c r="OT64" s="669"/>
      <c r="OU64" s="669"/>
      <c r="OV64" s="669"/>
      <c r="OW64" s="669"/>
      <c r="OX64" s="669"/>
      <c r="OY64" s="669"/>
      <c r="OZ64" s="669"/>
      <c r="PA64" s="669"/>
      <c r="PB64" s="669"/>
      <c r="PC64" s="669"/>
      <c r="PD64" s="669"/>
      <c r="PE64" s="669"/>
      <c r="PF64" s="669"/>
      <c r="PG64" s="669"/>
      <c r="PH64" s="669"/>
      <c r="PI64" s="669"/>
      <c r="PJ64" s="669"/>
      <c r="PK64" s="669"/>
      <c r="PL64" s="669"/>
      <c r="PM64" s="669"/>
      <c r="PN64" s="669"/>
      <c r="PO64" s="669"/>
      <c r="PP64" s="669"/>
      <c r="PQ64" s="669"/>
      <c r="PR64" s="669"/>
      <c r="PS64" s="669"/>
      <c r="PT64" s="669"/>
      <c r="PU64" s="669"/>
      <c r="PV64" s="669"/>
      <c r="PW64" s="669"/>
      <c r="PX64" s="669"/>
      <c r="PY64" s="669"/>
      <c r="PZ64" s="669"/>
      <c r="QA64" s="669"/>
      <c r="QB64" s="669"/>
      <c r="QC64" s="669"/>
      <c r="QD64" s="669"/>
    </row>
    <row r="65" spans="1:446" s="116" customFormat="1" x14ac:dyDescent="0.25">
      <c r="A65" s="678">
        <v>1</v>
      </c>
      <c r="B65" s="668"/>
      <c r="C65" s="669"/>
      <c r="D65" s="669"/>
      <c r="E65" s="668"/>
      <c r="F65" s="669"/>
      <c r="G65" s="669"/>
      <c r="H65" s="669"/>
      <c r="I65" s="669"/>
      <c r="J65" s="669"/>
      <c r="K65" s="669"/>
      <c r="L65" s="669"/>
      <c r="M65" s="669"/>
      <c r="N65" s="669"/>
      <c r="O65" s="669"/>
      <c r="P65" s="669"/>
      <c r="Q65" s="669"/>
      <c r="R65" s="669"/>
      <c r="S65" s="669"/>
      <c r="T65" s="669"/>
      <c r="U65" s="669"/>
      <c r="V65" s="669"/>
      <c r="W65" s="669"/>
      <c r="X65" s="669"/>
      <c r="Y65" s="669"/>
      <c r="Z65" s="669"/>
      <c r="AA65" s="669"/>
      <c r="AB65" s="669"/>
      <c r="AC65" s="669"/>
      <c r="AD65" s="669"/>
      <c r="AE65" s="669"/>
      <c r="AF65" s="669"/>
      <c r="AG65" s="669"/>
      <c r="AH65" s="669"/>
      <c r="AI65" s="669"/>
      <c r="AJ65" s="669"/>
      <c r="AK65" s="669"/>
      <c r="AL65" s="669"/>
      <c r="AM65" s="669"/>
      <c r="AN65" s="669"/>
      <c r="AO65" s="669"/>
      <c r="AP65" s="669"/>
      <c r="AQ65" s="669"/>
      <c r="AR65" s="669"/>
      <c r="AS65" s="669"/>
      <c r="AT65" s="669"/>
      <c r="AU65" s="669"/>
      <c r="AV65" s="669"/>
      <c r="AW65" s="669"/>
      <c r="AX65" s="669"/>
      <c r="AY65" s="669"/>
      <c r="AZ65" s="669"/>
      <c r="BA65" s="669"/>
      <c r="BB65" s="669"/>
      <c r="BC65" s="669"/>
      <c r="BD65" s="669"/>
      <c r="BE65" s="669"/>
      <c r="BF65" s="669"/>
      <c r="BG65" s="669"/>
      <c r="BH65" s="669"/>
      <c r="BI65" s="669"/>
      <c r="BJ65" s="669"/>
      <c r="BK65" s="669"/>
      <c r="BL65" s="669"/>
      <c r="BM65" s="669"/>
      <c r="BN65" s="669"/>
      <c r="BO65" s="669"/>
      <c r="BP65" s="669"/>
      <c r="BQ65" s="669"/>
      <c r="BR65" s="669"/>
      <c r="BS65" s="669"/>
      <c r="BT65" s="669"/>
      <c r="BU65" s="669"/>
      <c r="BV65" s="669"/>
      <c r="BW65" s="669"/>
      <c r="BX65" s="669"/>
      <c r="BY65" s="669"/>
      <c r="BZ65" s="669"/>
      <c r="CA65" s="669"/>
      <c r="CB65" s="669"/>
      <c r="CC65" s="669"/>
      <c r="CD65" s="669"/>
      <c r="CE65" s="669"/>
      <c r="CF65" s="669"/>
      <c r="CG65" s="669"/>
      <c r="CH65" s="669"/>
      <c r="CI65" s="669"/>
      <c r="CJ65" s="669"/>
      <c r="CK65" s="669"/>
      <c r="CL65" s="669"/>
      <c r="CM65" s="669"/>
      <c r="CN65" s="669"/>
      <c r="CO65" s="669"/>
      <c r="CP65" s="669"/>
      <c r="CQ65" s="669"/>
      <c r="CR65" s="669"/>
      <c r="CS65" s="669"/>
      <c r="CT65" s="669"/>
      <c r="CU65" s="669"/>
      <c r="CV65" s="669"/>
      <c r="CW65" s="669"/>
      <c r="CX65" s="669"/>
      <c r="CY65" s="669"/>
      <c r="CZ65" s="669"/>
      <c r="DA65" s="669"/>
      <c r="DB65" s="669"/>
      <c r="DC65" s="669"/>
      <c r="DD65" s="669"/>
      <c r="DE65" s="669"/>
      <c r="DF65" s="669"/>
      <c r="DG65" s="669"/>
      <c r="DH65" s="669"/>
      <c r="DI65" s="669"/>
      <c r="DJ65" s="669"/>
      <c r="DK65" s="669"/>
      <c r="DL65" s="669"/>
      <c r="DM65" s="669"/>
      <c r="DN65" s="669"/>
      <c r="DO65" s="669"/>
      <c r="DP65" s="669"/>
      <c r="DQ65" s="669"/>
      <c r="DR65" s="669"/>
      <c r="DS65" s="669"/>
      <c r="DT65" s="669"/>
      <c r="DU65" s="669"/>
      <c r="DV65" s="669"/>
      <c r="DW65" s="669"/>
      <c r="DX65" s="669"/>
      <c r="DY65" s="669"/>
      <c r="DZ65" s="669"/>
      <c r="EA65" s="669"/>
      <c r="EB65" s="669"/>
      <c r="EC65" s="669"/>
      <c r="ED65" s="669"/>
      <c r="EE65" s="669"/>
      <c r="EF65" s="669"/>
      <c r="EG65" s="669"/>
      <c r="EH65" s="669"/>
      <c r="EI65" s="669"/>
      <c r="EJ65" s="669"/>
      <c r="EK65" s="669"/>
      <c r="EL65" s="669"/>
      <c r="EM65" s="669"/>
      <c r="EN65" s="669"/>
      <c r="EO65" s="669"/>
      <c r="EP65" s="669"/>
      <c r="EQ65" s="669"/>
      <c r="ER65" s="669"/>
      <c r="ES65" s="669"/>
      <c r="ET65" s="669"/>
      <c r="EU65" s="669"/>
      <c r="EV65" s="669"/>
      <c r="EW65" s="669"/>
      <c r="EX65" s="669"/>
      <c r="EY65" s="669"/>
      <c r="EZ65" s="669"/>
      <c r="FA65" s="669"/>
      <c r="FB65" s="669"/>
      <c r="FC65" s="669"/>
      <c r="FD65" s="669"/>
      <c r="FE65" s="669"/>
      <c r="FF65" s="669"/>
      <c r="FG65" s="669"/>
      <c r="FH65" s="669"/>
      <c r="FI65" s="669"/>
      <c r="FJ65" s="669"/>
      <c r="FK65" s="669"/>
      <c r="FL65" s="669"/>
      <c r="FM65" s="669"/>
      <c r="FN65" s="669"/>
      <c r="FO65" s="669"/>
      <c r="FP65" s="669"/>
      <c r="FQ65" s="669"/>
      <c r="FR65" s="669"/>
      <c r="FS65" s="669"/>
      <c r="FT65" s="669"/>
      <c r="FU65" s="669"/>
      <c r="FV65" s="669"/>
      <c r="FW65" s="669"/>
      <c r="FX65" s="669"/>
      <c r="FY65" s="669"/>
      <c r="FZ65" s="669"/>
      <c r="GA65" s="669"/>
      <c r="GB65" s="669"/>
      <c r="GC65" s="669"/>
      <c r="GD65" s="669"/>
      <c r="GE65" s="669"/>
      <c r="GF65" s="669"/>
      <c r="GG65" s="669"/>
      <c r="GH65" s="669"/>
      <c r="GI65" s="669"/>
      <c r="GJ65" s="669"/>
      <c r="GK65" s="669"/>
      <c r="GL65" s="669"/>
      <c r="GM65" s="669"/>
      <c r="GN65" s="669"/>
      <c r="GO65" s="669"/>
      <c r="GP65" s="669"/>
      <c r="GQ65" s="669"/>
      <c r="GR65" s="669"/>
      <c r="GS65" s="669"/>
      <c r="GT65" s="669"/>
      <c r="GU65" s="669"/>
      <c r="GV65" s="669"/>
      <c r="GW65" s="669"/>
      <c r="GX65" s="669"/>
      <c r="GY65" s="669"/>
      <c r="GZ65" s="669"/>
      <c r="HA65" s="669"/>
      <c r="HB65" s="669"/>
      <c r="HC65" s="669"/>
      <c r="HD65" s="669"/>
      <c r="HE65" s="669"/>
      <c r="HF65" s="669"/>
      <c r="HG65" s="669"/>
      <c r="HH65" s="669"/>
      <c r="HI65" s="669"/>
      <c r="HJ65" s="669"/>
      <c r="HK65" s="669"/>
      <c r="HL65" s="669"/>
      <c r="HM65" s="669"/>
      <c r="HN65" s="669"/>
      <c r="HO65" s="669"/>
      <c r="HP65" s="669"/>
      <c r="HQ65" s="669"/>
      <c r="HR65" s="669"/>
      <c r="HS65" s="669"/>
      <c r="HT65" s="669"/>
      <c r="HU65" s="669"/>
      <c r="HV65" s="669"/>
      <c r="HW65" s="669"/>
      <c r="HX65" s="669"/>
      <c r="HY65" s="669"/>
      <c r="HZ65" s="669"/>
      <c r="IA65" s="669"/>
      <c r="IB65" s="669"/>
      <c r="IC65" s="669"/>
      <c r="ID65" s="669"/>
      <c r="IE65" s="669"/>
      <c r="IF65" s="669"/>
      <c r="IG65" s="669"/>
      <c r="IH65" s="669"/>
      <c r="II65" s="669"/>
      <c r="IJ65" s="669"/>
      <c r="IK65" s="669"/>
      <c r="IL65" s="669"/>
      <c r="IM65" s="669"/>
      <c r="IN65" s="669"/>
      <c r="IO65" s="669"/>
      <c r="IP65" s="669"/>
      <c r="IQ65" s="669"/>
      <c r="IR65" s="669"/>
      <c r="IS65" s="669"/>
      <c r="IT65" s="669"/>
      <c r="IU65" s="669"/>
      <c r="IV65" s="669"/>
      <c r="IW65" s="669"/>
      <c r="IX65" s="669"/>
      <c r="IY65" s="669"/>
      <c r="IZ65" s="669"/>
      <c r="JA65" s="669"/>
      <c r="JB65" s="669"/>
      <c r="JC65" s="669"/>
      <c r="JD65" s="669"/>
      <c r="JE65" s="669"/>
      <c r="JF65" s="669"/>
      <c r="JG65" s="669"/>
      <c r="JH65" s="669"/>
      <c r="JI65" s="669"/>
      <c r="JJ65" s="669"/>
      <c r="JK65" s="669"/>
      <c r="JL65" s="669"/>
      <c r="JM65" s="669"/>
      <c r="JN65" s="669"/>
      <c r="JO65" s="669"/>
      <c r="JP65" s="669"/>
      <c r="JQ65" s="669"/>
      <c r="JR65" s="669"/>
      <c r="JS65" s="669"/>
      <c r="JT65" s="669"/>
      <c r="JU65" s="669"/>
      <c r="JV65" s="669"/>
      <c r="JW65" s="669"/>
      <c r="JX65" s="669"/>
      <c r="JY65" s="669"/>
      <c r="JZ65" s="669"/>
      <c r="KA65" s="669"/>
      <c r="KB65" s="669"/>
      <c r="KC65" s="669"/>
      <c r="KD65" s="669"/>
      <c r="KE65" s="669"/>
      <c r="KF65" s="669"/>
      <c r="KG65" s="669"/>
      <c r="KH65" s="669"/>
      <c r="KI65" s="669"/>
      <c r="KJ65" s="669"/>
      <c r="KK65" s="669"/>
      <c r="KL65" s="669"/>
      <c r="KM65" s="669"/>
      <c r="KN65" s="669"/>
      <c r="KO65" s="669"/>
      <c r="KP65" s="669"/>
      <c r="KQ65" s="669"/>
      <c r="KR65" s="669"/>
      <c r="KS65" s="669"/>
      <c r="KT65" s="669"/>
      <c r="KU65" s="669"/>
      <c r="KV65" s="669"/>
      <c r="KW65" s="669"/>
      <c r="KX65" s="669"/>
      <c r="KY65" s="669"/>
      <c r="KZ65" s="669"/>
      <c r="LA65" s="669"/>
      <c r="LB65" s="669"/>
      <c r="LC65" s="669"/>
      <c r="LD65" s="669"/>
      <c r="LE65" s="669"/>
      <c r="LF65" s="669"/>
      <c r="LG65" s="669"/>
      <c r="LH65" s="669"/>
      <c r="LI65" s="669"/>
      <c r="LJ65" s="669"/>
      <c r="LK65" s="669"/>
      <c r="LL65" s="669"/>
      <c r="LM65" s="669"/>
      <c r="LN65" s="669"/>
      <c r="LO65" s="669"/>
      <c r="LP65" s="669"/>
      <c r="LQ65" s="669"/>
      <c r="LR65" s="669"/>
      <c r="LS65" s="669"/>
      <c r="LT65" s="669"/>
      <c r="LU65" s="669"/>
      <c r="LV65" s="669"/>
      <c r="LW65" s="669"/>
      <c r="LX65" s="669"/>
      <c r="LY65" s="669"/>
      <c r="LZ65" s="669"/>
      <c r="MA65" s="669"/>
      <c r="MB65" s="669"/>
      <c r="MC65" s="669"/>
      <c r="MD65" s="669"/>
      <c r="ME65" s="669"/>
      <c r="MF65" s="669"/>
      <c r="MG65" s="669"/>
      <c r="MH65" s="669"/>
      <c r="MI65" s="669"/>
      <c r="MJ65" s="669"/>
      <c r="MK65" s="669"/>
      <c r="ML65" s="669"/>
      <c r="MM65" s="669"/>
      <c r="MN65" s="669"/>
      <c r="MO65" s="669"/>
      <c r="MP65" s="669"/>
      <c r="MQ65" s="669"/>
      <c r="MR65" s="669"/>
      <c r="MS65" s="669"/>
      <c r="MT65" s="669"/>
      <c r="MU65" s="669"/>
      <c r="MV65" s="669"/>
      <c r="MW65" s="669"/>
      <c r="MX65" s="669"/>
      <c r="MY65" s="669"/>
      <c r="MZ65" s="669"/>
      <c r="NA65" s="669"/>
      <c r="NB65" s="669"/>
      <c r="NC65" s="669"/>
      <c r="ND65" s="669"/>
      <c r="NE65" s="669"/>
      <c r="NF65" s="669"/>
      <c r="NG65" s="669"/>
      <c r="NH65" s="669"/>
      <c r="NI65" s="669"/>
      <c r="NJ65" s="669"/>
      <c r="NK65" s="669"/>
      <c r="NL65" s="669"/>
      <c r="NM65" s="669"/>
      <c r="NN65" s="669"/>
      <c r="NO65" s="669"/>
      <c r="NP65" s="669"/>
      <c r="NQ65" s="669"/>
      <c r="NR65" s="669"/>
      <c r="NS65" s="669"/>
      <c r="NT65" s="669"/>
      <c r="NU65" s="669"/>
      <c r="NV65" s="669"/>
      <c r="NW65" s="669"/>
      <c r="NX65" s="669"/>
      <c r="NY65" s="669"/>
      <c r="NZ65" s="669"/>
      <c r="OA65" s="669"/>
      <c r="OB65" s="669"/>
      <c r="OC65" s="669"/>
      <c r="OD65" s="669"/>
      <c r="OE65" s="669"/>
      <c r="OF65" s="669"/>
      <c r="OG65" s="669"/>
      <c r="OH65" s="669"/>
      <c r="OI65" s="669"/>
      <c r="OJ65" s="669"/>
      <c r="OK65" s="669"/>
      <c r="OL65" s="669"/>
      <c r="OM65" s="669"/>
      <c r="ON65" s="669"/>
      <c r="OO65" s="669"/>
      <c r="OP65" s="669"/>
      <c r="OQ65" s="669"/>
      <c r="OR65" s="669"/>
      <c r="OS65" s="669"/>
      <c r="OT65" s="669"/>
      <c r="OU65" s="669"/>
      <c r="OV65" s="669"/>
      <c r="OW65" s="669"/>
      <c r="OX65" s="669"/>
      <c r="OY65" s="669"/>
      <c r="OZ65" s="669"/>
      <c r="PA65" s="669"/>
      <c r="PB65" s="669"/>
      <c r="PC65" s="669"/>
      <c r="PD65" s="669"/>
      <c r="PE65" s="669"/>
      <c r="PF65" s="669"/>
      <c r="PG65" s="669"/>
      <c r="PH65" s="669"/>
      <c r="PI65" s="669"/>
      <c r="PJ65" s="669"/>
      <c r="PK65" s="669"/>
      <c r="PL65" s="669"/>
      <c r="PM65" s="669"/>
      <c r="PN65" s="669"/>
      <c r="PO65" s="669"/>
      <c r="PP65" s="669"/>
      <c r="PQ65" s="669"/>
      <c r="PR65" s="669"/>
      <c r="PS65" s="669"/>
      <c r="PT65" s="669"/>
      <c r="PU65" s="669"/>
      <c r="PV65" s="669"/>
      <c r="PW65" s="669"/>
      <c r="PX65" s="669"/>
      <c r="PY65" s="669"/>
      <c r="PZ65" s="669"/>
      <c r="QA65" s="669"/>
      <c r="QB65" s="669"/>
      <c r="QC65" s="669"/>
      <c r="QD65" s="669"/>
    </row>
    <row r="66" spans="1:446" s="116" customFormat="1" x14ac:dyDescent="0.25">
      <c r="A66" s="678">
        <v>1</v>
      </c>
      <c r="B66" s="668"/>
      <c r="C66" s="669"/>
      <c r="D66" s="669"/>
      <c r="E66" s="668"/>
      <c r="F66" s="669"/>
      <c r="G66" s="669"/>
      <c r="H66" s="669"/>
      <c r="I66" s="669"/>
      <c r="J66" s="669"/>
      <c r="K66" s="669"/>
      <c r="L66" s="669"/>
      <c r="M66" s="669"/>
      <c r="N66" s="669"/>
      <c r="O66" s="669"/>
      <c r="P66" s="669"/>
      <c r="Q66" s="669"/>
      <c r="R66" s="669"/>
      <c r="S66" s="669"/>
      <c r="T66" s="669"/>
      <c r="U66" s="669"/>
      <c r="V66" s="669"/>
      <c r="W66" s="669"/>
      <c r="X66" s="669"/>
      <c r="Y66" s="669"/>
      <c r="Z66" s="669"/>
      <c r="AA66" s="669"/>
      <c r="AB66" s="669"/>
      <c r="AC66" s="669"/>
      <c r="AD66" s="669"/>
      <c r="AE66" s="669"/>
      <c r="AF66" s="669"/>
      <c r="AG66" s="669"/>
      <c r="AH66" s="669"/>
      <c r="AI66" s="669"/>
      <c r="AJ66" s="669"/>
      <c r="AK66" s="669"/>
      <c r="AL66" s="669"/>
      <c r="AM66" s="669"/>
      <c r="AN66" s="669"/>
      <c r="AO66" s="669"/>
      <c r="AP66" s="669"/>
      <c r="AQ66" s="669"/>
      <c r="AR66" s="669"/>
      <c r="AS66" s="669"/>
      <c r="AT66" s="669"/>
      <c r="AU66" s="669"/>
      <c r="AV66" s="669"/>
      <c r="AW66" s="669"/>
      <c r="AX66" s="669"/>
      <c r="AY66" s="669"/>
      <c r="AZ66" s="669"/>
      <c r="BA66" s="669"/>
      <c r="BB66" s="669"/>
      <c r="BC66" s="669"/>
      <c r="BD66" s="669"/>
      <c r="BE66" s="669"/>
      <c r="BF66" s="669"/>
      <c r="BG66" s="669"/>
      <c r="BH66" s="669"/>
      <c r="BI66" s="669"/>
      <c r="BJ66" s="669"/>
      <c r="BK66" s="669"/>
      <c r="BL66" s="669"/>
      <c r="BM66" s="669"/>
      <c r="BN66" s="669"/>
      <c r="BO66" s="669"/>
      <c r="BP66" s="669"/>
      <c r="BQ66" s="669"/>
      <c r="BR66" s="669"/>
      <c r="BS66" s="669"/>
      <c r="BT66" s="669"/>
      <c r="BU66" s="669"/>
      <c r="BV66" s="669"/>
      <c r="BW66" s="669"/>
      <c r="BX66" s="669"/>
      <c r="BY66" s="669"/>
      <c r="BZ66" s="669"/>
      <c r="CA66" s="669"/>
      <c r="CB66" s="669"/>
      <c r="CC66" s="669"/>
      <c r="CD66" s="669"/>
      <c r="CE66" s="669"/>
      <c r="CF66" s="669"/>
      <c r="CG66" s="669"/>
      <c r="CH66" s="669"/>
      <c r="CI66" s="669"/>
      <c r="CJ66" s="669"/>
      <c r="CK66" s="669"/>
      <c r="CL66" s="669"/>
      <c r="CM66" s="669"/>
      <c r="CN66" s="669"/>
      <c r="CO66" s="669"/>
      <c r="CP66" s="669"/>
      <c r="CQ66" s="669"/>
      <c r="CR66" s="669"/>
      <c r="CS66" s="669"/>
      <c r="CT66" s="669"/>
      <c r="CU66" s="669"/>
      <c r="CV66" s="669"/>
      <c r="CW66" s="669"/>
      <c r="CX66" s="669"/>
      <c r="CY66" s="669"/>
      <c r="CZ66" s="669"/>
      <c r="DA66" s="669"/>
      <c r="DB66" s="669"/>
      <c r="DC66" s="669"/>
      <c r="DD66" s="669"/>
      <c r="DE66" s="669"/>
      <c r="DF66" s="669"/>
      <c r="DG66" s="669"/>
      <c r="DH66" s="669"/>
      <c r="DI66" s="669"/>
      <c r="DJ66" s="669"/>
      <c r="DK66" s="669"/>
      <c r="DL66" s="669"/>
      <c r="DM66" s="669"/>
      <c r="DN66" s="669"/>
      <c r="DO66" s="669"/>
      <c r="DP66" s="669"/>
      <c r="DQ66" s="669"/>
      <c r="DR66" s="669"/>
      <c r="DS66" s="669"/>
      <c r="DT66" s="669"/>
      <c r="DU66" s="669"/>
      <c r="DV66" s="669"/>
      <c r="DW66" s="669"/>
      <c r="DX66" s="669"/>
      <c r="DY66" s="669"/>
      <c r="DZ66" s="669"/>
      <c r="EA66" s="669"/>
      <c r="EB66" s="669"/>
      <c r="EC66" s="669"/>
      <c r="ED66" s="669"/>
      <c r="EE66" s="669"/>
      <c r="EF66" s="669"/>
      <c r="EG66" s="669"/>
      <c r="EH66" s="669"/>
      <c r="EI66" s="669"/>
      <c r="EJ66" s="669"/>
      <c r="EK66" s="669"/>
      <c r="EL66" s="669"/>
      <c r="EM66" s="669"/>
      <c r="EN66" s="669"/>
      <c r="EO66" s="669"/>
      <c r="EP66" s="669"/>
      <c r="EQ66" s="669"/>
      <c r="ER66" s="669"/>
      <c r="ES66" s="669"/>
      <c r="ET66" s="669"/>
      <c r="EU66" s="669"/>
      <c r="EV66" s="669"/>
      <c r="EW66" s="669"/>
      <c r="EX66" s="669"/>
      <c r="EY66" s="669"/>
      <c r="EZ66" s="669"/>
      <c r="FA66" s="669"/>
      <c r="FB66" s="669"/>
      <c r="FC66" s="669"/>
      <c r="FD66" s="669"/>
      <c r="FE66" s="669"/>
      <c r="FF66" s="669"/>
      <c r="FG66" s="669"/>
      <c r="FH66" s="669"/>
      <c r="FI66" s="669"/>
      <c r="FJ66" s="669"/>
      <c r="FK66" s="669"/>
      <c r="FL66" s="669"/>
      <c r="FM66" s="669"/>
      <c r="FN66" s="669"/>
      <c r="FO66" s="669"/>
      <c r="FP66" s="669"/>
      <c r="FQ66" s="669"/>
      <c r="FR66" s="669"/>
      <c r="FS66" s="669"/>
      <c r="FT66" s="669"/>
      <c r="FU66" s="669"/>
      <c r="FV66" s="669"/>
      <c r="FW66" s="669"/>
      <c r="FX66" s="669"/>
      <c r="FY66" s="669"/>
      <c r="FZ66" s="669"/>
      <c r="GA66" s="669"/>
      <c r="GB66" s="669"/>
      <c r="GC66" s="669"/>
      <c r="GD66" s="669"/>
      <c r="GE66" s="669"/>
      <c r="GF66" s="669"/>
      <c r="GG66" s="669"/>
      <c r="GH66" s="669"/>
      <c r="GI66" s="669"/>
      <c r="GJ66" s="669"/>
      <c r="GK66" s="669"/>
      <c r="GL66" s="669"/>
      <c r="GM66" s="669"/>
      <c r="GN66" s="669"/>
      <c r="GO66" s="669"/>
      <c r="GP66" s="669"/>
      <c r="GQ66" s="669"/>
      <c r="GR66" s="669"/>
      <c r="GS66" s="669"/>
      <c r="GT66" s="669"/>
      <c r="GU66" s="669"/>
      <c r="GV66" s="669"/>
      <c r="GW66" s="669"/>
      <c r="GX66" s="669"/>
      <c r="GY66" s="669"/>
      <c r="GZ66" s="669"/>
      <c r="HA66" s="669"/>
      <c r="HB66" s="669"/>
      <c r="HC66" s="669"/>
      <c r="HD66" s="669"/>
      <c r="HE66" s="669"/>
      <c r="HF66" s="669"/>
      <c r="HG66" s="669"/>
      <c r="HH66" s="669"/>
      <c r="HI66" s="669"/>
      <c r="HJ66" s="669"/>
      <c r="HK66" s="669"/>
      <c r="HL66" s="669"/>
      <c r="HM66" s="669"/>
      <c r="HN66" s="669"/>
      <c r="HO66" s="669"/>
      <c r="HP66" s="669"/>
      <c r="HQ66" s="669"/>
      <c r="HR66" s="669"/>
      <c r="HS66" s="669"/>
      <c r="HT66" s="669"/>
      <c r="HU66" s="669"/>
      <c r="HV66" s="669"/>
      <c r="HW66" s="669"/>
      <c r="HX66" s="669"/>
      <c r="HY66" s="669"/>
      <c r="HZ66" s="669"/>
      <c r="IA66" s="669"/>
      <c r="IB66" s="669"/>
      <c r="IC66" s="669"/>
      <c r="ID66" s="669"/>
      <c r="IE66" s="669"/>
      <c r="IF66" s="669"/>
      <c r="IG66" s="669"/>
      <c r="IH66" s="669"/>
      <c r="II66" s="669"/>
      <c r="IJ66" s="669"/>
      <c r="IK66" s="669"/>
      <c r="IL66" s="669"/>
      <c r="IM66" s="669"/>
      <c r="IN66" s="669"/>
      <c r="IO66" s="669"/>
      <c r="IP66" s="669"/>
      <c r="IQ66" s="669"/>
      <c r="IR66" s="669"/>
      <c r="IS66" s="669"/>
      <c r="IT66" s="669"/>
      <c r="IU66" s="669"/>
      <c r="IV66" s="669"/>
      <c r="IW66" s="669"/>
      <c r="IX66" s="669"/>
      <c r="IY66" s="669"/>
      <c r="IZ66" s="669"/>
      <c r="JA66" s="669"/>
      <c r="JB66" s="669"/>
      <c r="JC66" s="669"/>
      <c r="JD66" s="669"/>
      <c r="JE66" s="669"/>
      <c r="JF66" s="669"/>
      <c r="JG66" s="669"/>
      <c r="JH66" s="669"/>
      <c r="JI66" s="669"/>
      <c r="JJ66" s="669"/>
      <c r="JK66" s="669"/>
      <c r="JL66" s="669"/>
      <c r="JM66" s="669"/>
      <c r="JN66" s="669"/>
      <c r="JO66" s="669"/>
      <c r="JP66" s="669"/>
      <c r="JQ66" s="669"/>
      <c r="JR66" s="669"/>
      <c r="JS66" s="669"/>
      <c r="JT66" s="669"/>
      <c r="JU66" s="669"/>
      <c r="JV66" s="669"/>
      <c r="JW66" s="669"/>
      <c r="JX66" s="669"/>
      <c r="JY66" s="669"/>
      <c r="JZ66" s="669"/>
      <c r="KA66" s="669"/>
      <c r="KB66" s="669"/>
      <c r="KC66" s="669"/>
      <c r="KD66" s="669"/>
      <c r="KE66" s="669"/>
      <c r="KF66" s="669"/>
      <c r="KG66" s="669"/>
      <c r="KH66" s="669"/>
      <c r="KI66" s="669"/>
      <c r="KJ66" s="669"/>
      <c r="KK66" s="669"/>
      <c r="KL66" s="669"/>
      <c r="KM66" s="669"/>
      <c r="KN66" s="669"/>
      <c r="KO66" s="669"/>
      <c r="KP66" s="669"/>
      <c r="KQ66" s="669"/>
      <c r="KR66" s="669"/>
      <c r="KS66" s="669"/>
      <c r="KT66" s="669"/>
      <c r="KU66" s="669"/>
      <c r="KV66" s="669"/>
      <c r="KW66" s="669"/>
      <c r="KX66" s="669"/>
      <c r="KY66" s="669"/>
      <c r="KZ66" s="669"/>
      <c r="LA66" s="669"/>
      <c r="LB66" s="669"/>
      <c r="LC66" s="669"/>
      <c r="LD66" s="669"/>
      <c r="LE66" s="669"/>
      <c r="LF66" s="669"/>
      <c r="LG66" s="669"/>
      <c r="LH66" s="669"/>
      <c r="LI66" s="669"/>
      <c r="LJ66" s="669"/>
      <c r="LK66" s="669"/>
      <c r="LL66" s="669"/>
      <c r="LM66" s="669"/>
      <c r="LN66" s="669"/>
      <c r="LO66" s="669"/>
      <c r="LP66" s="669"/>
      <c r="LQ66" s="669"/>
      <c r="LR66" s="669"/>
      <c r="LS66" s="669"/>
      <c r="LT66" s="669"/>
      <c r="LU66" s="669"/>
      <c r="LV66" s="669"/>
      <c r="LW66" s="669"/>
      <c r="LX66" s="669"/>
      <c r="LY66" s="669"/>
      <c r="LZ66" s="669"/>
      <c r="MA66" s="669"/>
      <c r="MB66" s="669"/>
      <c r="MC66" s="669"/>
      <c r="MD66" s="669"/>
      <c r="ME66" s="669"/>
      <c r="MF66" s="669"/>
      <c r="MG66" s="669"/>
      <c r="MH66" s="669"/>
      <c r="MI66" s="669"/>
      <c r="MJ66" s="669"/>
      <c r="MK66" s="669"/>
      <c r="ML66" s="669"/>
      <c r="MM66" s="669"/>
      <c r="MN66" s="669"/>
      <c r="MO66" s="669"/>
      <c r="MP66" s="669"/>
      <c r="MQ66" s="669"/>
      <c r="MR66" s="669"/>
      <c r="MS66" s="669"/>
      <c r="MT66" s="669"/>
      <c r="MU66" s="669"/>
      <c r="MV66" s="669"/>
      <c r="MW66" s="669"/>
      <c r="MX66" s="669"/>
      <c r="MY66" s="669"/>
      <c r="MZ66" s="669"/>
      <c r="NA66" s="669"/>
      <c r="NB66" s="669"/>
      <c r="NC66" s="669"/>
      <c r="ND66" s="669"/>
      <c r="NE66" s="669"/>
      <c r="NF66" s="669"/>
      <c r="NG66" s="669"/>
      <c r="NH66" s="669"/>
      <c r="NI66" s="669"/>
      <c r="NJ66" s="669"/>
      <c r="NK66" s="669"/>
      <c r="NL66" s="669"/>
      <c r="NM66" s="669"/>
      <c r="NN66" s="669"/>
      <c r="NO66" s="669"/>
      <c r="NP66" s="669"/>
      <c r="NQ66" s="669"/>
      <c r="NR66" s="669"/>
      <c r="NS66" s="669"/>
      <c r="NT66" s="669"/>
      <c r="NU66" s="669"/>
      <c r="NV66" s="669"/>
      <c r="NW66" s="669"/>
      <c r="NX66" s="669"/>
      <c r="NY66" s="669"/>
      <c r="NZ66" s="669"/>
      <c r="OA66" s="669"/>
      <c r="OB66" s="669"/>
      <c r="OC66" s="669"/>
      <c r="OD66" s="669"/>
      <c r="OE66" s="669"/>
      <c r="OF66" s="669"/>
      <c r="OG66" s="669"/>
      <c r="OH66" s="669"/>
      <c r="OI66" s="669"/>
      <c r="OJ66" s="669"/>
      <c r="OK66" s="669"/>
      <c r="OL66" s="669"/>
      <c r="OM66" s="669"/>
      <c r="ON66" s="669"/>
      <c r="OO66" s="669"/>
      <c r="OP66" s="669"/>
      <c r="OQ66" s="669"/>
      <c r="OR66" s="669"/>
      <c r="OS66" s="669"/>
      <c r="OT66" s="669"/>
      <c r="OU66" s="669"/>
      <c r="OV66" s="669"/>
      <c r="OW66" s="669"/>
      <c r="OX66" s="669"/>
      <c r="OY66" s="669"/>
      <c r="OZ66" s="669"/>
      <c r="PA66" s="669"/>
      <c r="PB66" s="669"/>
      <c r="PC66" s="669"/>
      <c r="PD66" s="669"/>
      <c r="PE66" s="669"/>
      <c r="PF66" s="669"/>
      <c r="PG66" s="669"/>
      <c r="PH66" s="669"/>
      <c r="PI66" s="669"/>
      <c r="PJ66" s="669"/>
      <c r="PK66" s="669"/>
      <c r="PL66" s="669"/>
      <c r="PM66" s="669"/>
      <c r="PN66" s="669"/>
      <c r="PO66" s="669"/>
      <c r="PP66" s="669"/>
      <c r="PQ66" s="669"/>
      <c r="PR66" s="669"/>
      <c r="PS66" s="669"/>
      <c r="PT66" s="669"/>
      <c r="PU66" s="669"/>
      <c r="PV66" s="669"/>
      <c r="PW66" s="669"/>
      <c r="PX66" s="669"/>
      <c r="PY66" s="669"/>
      <c r="PZ66" s="669"/>
      <c r="QA66" s="669"/>
      <c r="QB66" s="669"/>
      <c r="QC66" s="669"/>
      <c r="QD66" s="669"/>
    </row>
    <row r="67" spans="1:446" s="116" customFormat="1" x14ac:dyDescent="0.25">
      <c r="A67" s="678">
        <v>1</v>
      </c>
      <c r="B67" s="668"/>
      <c r="C67" s="669"/>
      <c r="D67" s="669"/>
      <c r="E67" s="668"/>
      <c r="F67" s="669"/>
      <c r="G67" s="669"/>
      <c r="H67" s="669"/>
      <c r="I67" s="669"/>
      <c r="J67" s="669"/>
      <c r="K67" s="669"/>
      <c r="L67" s="669"/>
      <c r="M67" s="669"/>
      <c r="N67" s="669"/>
      <c r="O67" s="669"/>
      <c r="P67" s="669"/>
      <c r="Q67" s="669"/>
      <c r="R67" s="669"/>
      <c r="S67" s="669"/>
      <c r="T67" s="669"/>
      <c r="U67" s="669"/>
      <c r="V67" s="669"/>
      <c r="W67" s="669"/>
      <c r="X67" s="669"/>
      <c r="Y67" s="669"/>
      <c r="Z67" s="669"/>
      <c r="AA67" s="669"/>
      <c r="AB67" s="669"/>
      <c r="AC67" s="669"/>
      <c r="AD67" s="669"/>
      <c r="AE67" s="669"/>
      <c r="AF67" s="669"/>
      <c r="AG67" s="669"/>
      <c r="AH67" s="669"/>
      <c r="AI67" s="669"/>
      <c r="AJ67" s="669"/>
      <c r="AK67" s="669"/>
      <c r="AL67" s="669"/>
      <c r="AM67" s="669"/>
      <c r="AN67" s="669"/>
      <c r="AO67" s="669"/>
      <c r="AP67" s="669"/>
      <c r="AQ67" s="669"/>
      <c r="AR67" s="669"/>
      <c r="AS67" s="669"/>
      <c r="AT67" s="669"/>
      <c r="AU67" s="669"/>
      <c r="AV67" s="669"/>
      <c r="AW67" s="669"/>
      <c r="AX67" s="669"/>
      <c r="AY67" s="669"/>
      <c r="AZ67" s="669"/>
      <c r="BA67" s="669"/>
      <c r="BB67" s="669"/>
      <c r="BC67" s="669"/>
      <c r="BD67" s="669"/>
      <c r="BE67" s="669"/>
      <c r="BF67" s="669"/>
      <c r="BG67" s="669"/>
      <c r="BH67" s="669"/>
      <c r="BI67" s="669"/>
      <c r="BJ67" s="669"/>
      <c r="BK67" s="669"/>
      <c r="BL67" s="669"/>
      <c r="BM67" s="669"/>
      <c r="BN67" s="669"/>
      <c r="BO67" s="669"/>
      <c r="BP67" s="669"/>
      <c r="BQ67" s="669"/>
      <c r="BR67" s="669"/>
      <c r="BS67" s="669"/>
      <c r="BT67" s="669"/>
      <c r="BU67" s="669"/>
      <c r="BV67" s="669"/>
      <c r="BW67" s="669"/>
      <c r="BX67" s="669"/>
      <c r="BY67" s="669"/>
      <c r="BZ67" s="669"/>
      <c r="CA67" s="669"/>
      <c r="CB67" s="669"/>
      <c r="CC67" s="669"/>
      <c r="CD67" s="669"/>
      <c r="CE67" s="669"/>
      <c r="CF67" s="669"/>
      <c r="CG67" s="669"/>
      <c r="CH67" s="669"/>
      <c r="CI67" s="669"/>
      <c r="CJ67" s="669"/>
      <c r="CK67" s="669"/>
      <c r="CL67" s="669"/>
      <c r="CM67" s="669"/>
      <c r="CN67" s="669"/>
      <c r="CO67" s="669"/>
      <c r="CP67" s="669"/>
      <c r="CQ67" s="669"/>
      <c r="CR67" s="669"/>
      <c r="CS67" s="669"/>
      <c r="CT67" s="669"/>
      <c r="CU67" s="669"/>
      <c r="CV67" s="669"/>
      <c r="CW67" s="669"/>
      <c r="CX67" s="669"/>
      <c r="CY67" s="669"/>
      <c r="CZ67" s="669"/>
      <c r="DA67" s="669"/>
      <c r="DB67" s="669"/>
      <c r="DC67" s="669"/>
      <c r="DD67" s="669"/>
      <c r="DE67" s="669"/>
      <c r="DF67" s="669"/>
      <c r="DG67" s="669"/>
      <c r="DH67" s="669"/>
      <c r="DI67" s="669"/>
      <c r="DJ67" s="669"/>
      <c r="DK67" s="669"/>
      <c r="DL67" s="669"/>
      <c r="DM67" s="669"/>
      <c r="DN67" s="669"/>
      <c r="DO67" s="669"/>
      <c r="DP67" s="669"/>
      <c r="DQ67" s="669"/>
      <c r="DR67" s="669"/>
      <c r="DS67" s="669"/>
      <c r="DT67" s="669"/>
      <c r="DU67" s="669"/>
      <c r="DV67" s="669"/>
      <c r="DW67" s="669"/>
      <c r="DX67" s="669"/>
      <c r="DY67" s="669"/>
      <c r="DZ67" s="669"/>
      <c r="EA67" s="669"/>
      <c r="EB67" s="669"/>
      <c r="EC67" s="669"/>
      <c r="ED67" s="669"/>
      <c r="EE67" s="669"/>
      <c r="EF67" s="669"/>
      <c r="EG67" s="669"/>
      <c r="EH67" s="669"/>
      <c r="EI67" s="669"/>
      <c r="EJ67" s="669"/>
      <c r="EK67" s="669"/>
      <c r="EL67" s="669"/>
      <c r="EM67" s="669"/>
      <c r="EN67" s="669"/>
      <c r="EO67" s="669"/>
      <c r="EP67" s="669"/>
      <c r="EQ67" s="669"/>
      <c r="ER67" s="669"/>
      <c r="ES67" s="669"/>
      <c r="ET67" s="669"/>
      <c r="EU67" s="669"/>
      <c r="EV67" s="669"/>
      <c r="EW67" s="669"/>
      <c r="EX67" s="669"/>
      <c r="EY67" s="669"/>
      <c r="EZ67" s="669"/>
      <c r="FA67" s="669"/>
      <c r="FB67" s="669"/>
      <c r="FC67" s="669"/>
      <c r="FD67" s="669"/>
      <c r="FE67" s="669"/>
      <c r="FF67" s="669"/>
      <c r="FG67" s="669"/>
      <c r="FH67" s="669"/>
      <c r="FI67" s="669"/>
      <c r="FJ67" s="669"/>
      <c r="FK67" s="669"/>
      <c r="FL67" s="669"/>
      <c r="FM67" s="669"/>
      <c r="FN67" s="669"/>
      <c r="FO67" s="669"/>
      <c r="FP67" s="669"/>
      <c r="FQ67" s="669"/>
      <c r="FR67" s="669"/>
      <c r="FS67" s="669"/>
      <c r="FT67" s="669"/>
      <c r="FU67" s="669"/>
      <c r="FV67" s="669"/>
      <c r="FW67" s="669"/>
      <c r="FX67" s="669"/>
      <c r="FY67" s="669"/>
      <c r="FZ67" s="669"/>
      <c r="GA67" s="669"/>
      <c r="GB67" s="669"/>
      <c r="GC67" s="669"/>
      <c r="GD67" s="669"/>
      <c r="GE67" s="669"/>
      <c r="GF67" s="669"/>
      <c r="GG67" s="669"/>
      <c r="GH67" s="669"/>
      <c r="GI67" s="669"/>
      <c r="GJ67" s="669"/>
      <c r="GK67" s="669"/>
      <c r="GL67" s="669"/>
      <c r="GM67" s="669"/>
      <c r="GN67" s="669"/>
      <c r="GO67" s="669"/>
      <c r="GP67" s="669"/>
      <c r="GQ67" s="669"/>
      <c r="GR67" s="669"/>
      <c r="GS67" s="669"/>
      <c r="GT67" s="669"/>
      <c r="GU67" s="669"/>
      <c r="GV67" s="669"/>
      <c r="GW67" s="669"/>
      <c r="GX67" s="669"/>
      <c r="GY67" s="669"/>
      <c r="GZ67" s="669"/>
      <c r="HA67" s="669"/>
      <c r="HB67" s="669"/>
      <c r="HC67" s="669"/>
      <c r="HD67" s="669"/>
      <c r="HE67" s="669"/>
      <c r="HF67" s="669"/>
      <c r="HG67" s="669"/>
      <c r="HH67" s="669"/>
      <c r="HI67" s="669"/>
      <c r="HJ67" s="669"/>
      <c r="HK67" s="669"/>
      <c r="HL67" s="669"/>
      <c r="HM67" s="669"/>
      <c r="HN67" s="669"/>
      <c r="HO67" s="669"/>
      <c r="HP67" s="669"/>
      <c r="HQ67" s="669"/>
      <c r="HR67" s="669"/>
      <c r="HS67" s="669"/>
      <c r="HT67" s="669"/>
      <c r="HU67" s="669"/>
      <c r="HV67" s="669"/>
      <c r="HW67" s="669"/>
      <c r="HX67" s="669"/>
      <c r="HY67" s="669"/>
      <c r="HZ67" s="669"/>
      <c r="IA67" s="669"/>
      <c r="IB67" s="669"/>
      <c r="IC67" s="669"/>
      <c r="ID67" s="669"/>
      <c r="IE67" s="669"/>
      <c r="IF67" s="669"/>
      <c r="IG67" s="669"/>
      <c r="IH67" s="669"/>
      <c r="II67" s="669"/>
      <c r="IJ67" s="669"/>
      <c r="IK67" s="669"/>
      <c r="IL67" s="669"/>
      <c r="IM67" s="669"/>
      <c r="IN67" s="669"/>
      <c r="IO67" s="669"/>
      <c r="IP67" s="669"/>
      <c r="IQ67" s="669"/>
      <c r="IR67" s="669"/>
      <c r="IS67" s="669"/>
      <c r="IT67" s="669"/>
      <c r="IU67" s="669"/>
      <c r="IV67" s="669"/>
      <c r="IW67" s="669"/>
      <c r="IX67" s="669"/>
      <c r="IY67" s="669"/>
      <c r="IZ67" s="669"/>
      <c r="JA67" s="669"/>
      <c r="JB67" s="669"/>
      <c r="JC67" s="669"/>
      <c r="JD67" s="669"/>
      <c r="JE67" s="669"/>
      <c r="JF67" s="669"/>
      <c r="JG67" s="669"/>
      <c r="JH67" s="669"/>
      <c r="JI67" s="669"/>
      <c r="JJ67" s="669"/>
      <c r="JK67" s="669"/>
      <c r="JL67" s="669"/>
      <c r="JM67" s="669"/>
      <c r="JN67" s="669"/>
      <c r="JO67" s="669"/>
      <c r="JP67" s="669"/>
      <c r="JQ67" s="669"/>
      <c r="JR67" s="669"/>
      <c r="JS67" s="669"/>
      <c r="JT67" s="669"/>
      <c r="JU67" s="669"/>
      <c r="JV67" s="669"/>
      <c r="JW67" s="669"/>
      <c r="JX67" s="669"/>
      <c r="JY67" s="669"/>
      <c r="JZ67" s="669"/>
      <c r="KA67" s="669"/>
      <c r="KB67" s="669"/>
      <c r="KC67" s="669"/>
      <c r="KD67" s="669"/>
      <c r="KE67" s="669"/>
      <c r="KF67" s="669"/>
      <c r="KG67" s="669"/>
      <c r="KH67" s="669"/>
      <c r="KI67" s="669"/>
      <c r="KJ67" s="669"/>
      <c r="KK67" s="669"/>
      <c r="KL67" s="669"/>
      <c r="KM67" s="669"/>
      <c r="KN67" s="669"/>
      <c r="KO67" s="669"/>
      <c r="KP67" s="669"/>
      <c r="KQ67" s="669"/>
      <c r="KR67" s="669"/>
      <c r="KS67" s="669"/>
      <c r="KT67" s="669"/>
      <c r="KU67" s="669"/>
      <c r="KV67" s="669"/>
      <c r="KW67" s="669"/>
      <c r="KX67" s="669"/>
      <c r="KY67" s="669"/>
      <c r="KZ67" s="669"/>
      <c r="LA67" s="669"/>
      <c r="LB67" s="669"/>
      <c r="LC67" s="669"/>
      <c r="LD67" s="669"/>
      <c r="LE67" s="669"/>
      <c r="LF67" s="669"/>
      <c r="LG67" s="669"/>
      <c r="LH67" s="669"/>
      <c r="LI67" s="669"/>
      <c r="LJ67" s="669"/>
      <c r="LK67" s="669"/>
      <c r="LL67" s="669"/>
      <c r="LM67" s="669"/>
      <c r="LN67" s="669"/>
      <c r="LO67" s="669"/>
      <c r="LP67" s="669"/>
      <c r="LQ67" s="669"/>
      <c r="LR67" s="669"/>
      <c r="LS67" s="669"/>
      <c r="LT67" s="669"/>
      <c r="LU67" s="669"/>
      <c r="LV67" s="669"/>
      <c r="LW67" s="669"/>
      <c r="LX67" s="669"/>
      <c r="LY67" s="669"/>
      <c r="LZ67" s="669"/>
      <c r="MA67" s="669"/>
      <c r="MB67" s="669"/>
      <c r="MC67" s="669"/>
      <c r="MD67" s="669"/>
      <c r="ME67" s="669"/>
      <c r="MF67" s="669"/>
      <c r="MG67" s="669"/>
      <c r="MH67" s="669"/>
      <c r="MI67" s="669"/>
      <c r="MJ67" s="669"/>
      <c r="MK67" s="669"/>
      <c r="ML67" s="669"/>
      <c r="MM67" s="669"/>
      <c r="MN67" s="669"/>
      <c r="MO67" s="669"/>
      <c r="MP67" s="669"/>
      <c r="MQ67" s="669"/>
      <c r="MR67" s="669"/>
      <c r="MS67" s="669"/>
      <c r="MT67" s="669"/>
      <c r="MU67" s="669"/>
      <c r="MV67" s="669"/>
      <c r="MW67" s="669"/>
      <c r="MX67" s="669"/>
      <c r="MY67" s="669"/>
      <c r="MZ67" s="669"/>
      <c r="NA67" s="669"/>
      <c r="NB67" s="669"/>
      <c r="NC67" s="669"/>
      <c r="ND67" s="669"/>
      <c r="NE67" s="669"/>
      <c r="NF67" s="669"/>
      <c r="NG67" s="669"/>
      <c r="NH67" s="669"/>
      <c r="NI67" s="669"/>
      <c r="NJ67" s="669"/>
      <c r="NK67" s="669"/>
      <c r="NL67" s="669"/>
      <c r="NM67" s="669"/>
      <c r="NN67" s="669"/>
      <c r="NO67" s="669"/>
      <c r="NP67" s="669"/>
      <c r="NQ67" s="669"/>
      <c r="NR67" s="669"/>
      <c r="NS67" s="669"/>
      <c r="NT67" s="669"/>
      <c r="NU67" s="669"/>
      <c r="NV67" s="669"/>
      <c r="NW67" s="669"/>
      <c r="NX67" s="669"/>
      <c r="NY67" s="669"/>
      <c r="NZ67" s="669"/>
      <c r="OA67" s="669"/>
      <c r="OB67" s="669"/>
      <c r="OC67" s="669"/>
      <c r="OD67" s="669"/>
      <c r="OE67" s="669"/>
      <c r="OF67" s="669"/>
      <c r="OG67" s="669"/>
      <c r="OH67" s="669"/>
      <c r="OI67" s="669"/>
      <c r="OJ67" s="669"/>
      <c r="OK67" s="669"/>
      <c r="OL67" s="669"/>
      <c r="OM67" s="669"/>
      <c r="ON67" s="669"/>
      <c r="OO67" s="669"/>
      <c r="OP67" s="669"/>
      <c r="OQ67" s="669"/>
      <c r="OR67" s="669"/>
      <c r="OS67" s="669"/>
      <c r="OT67" s="669"/>
      <c r="OU67" s="669"/>
      <c r="OV67" s="669"/>
      <c r="OW67" s="669"/>
      <c r="OX67" s="669"/>
      <c r="OY67" s="669"/>
      <c r="OZ67" s="669"/>
      <c r="PA67" s="669"/>
      <c r="PB67" s="669"/>
      <c r="PC67" s="669"/>
      <c r="PD67" s="669"/>
      <c r="PE67" s="669"/>
      <c r="PF67" s="669"/>
      <c r="PG67" s="669"/>
      <c r="PH67" s="669"/>
      <c r="PI67" s="669"/>
      <c r="PJ67" s="669"/>
      <c r="PK67" s="669"/>
      <c r="PL67" s="669"/>
      <c r="PM67" s="669"/>
      <c r="PN67" s="669"/>
      <c r="PO67" s="669"/>
      <c r="PP67" s="669"/>
      <c r="PQ67" s="669"/>
      <c r="PR67" s="669"/>
      <c r="PS67" s="669"/>
      <c r="PT67" s="669"/>
      <c r="PU67" s="669"/>
      <c r="PV67" s="669"/>
      <c r="PW67" s="669"/>
      <c r="PX67" s="669"/>
      <c r="PY67" s="669"/>
      <c r="PZ67" s="669"/>
      <c r="QA67" s="669"/>
      <c r="QB67" s="669"/>
      <c r="QC67" s="669"/>
      <c r="QD67" s="669"/>
    </row>
    <row r="68" spans="1:446" s="116" customFormat="1" x14ac:dyDescent="0.25">
      <c r="A68" s="678">
        <v>1</v>
      </c>
      <c r="B68" s="668"/>
      <c r="C68" s="669"/>
      <c r="D68" s="669"/>
      <c r="E68" s="668"/>
      <c r="F68" s="669"/>
      <c r="G68" s="669"/>
      <c r="H68" s="669"/>
      <c r="I68" s="669"/>
      <c r="J68" s="669"/>
      <c r="K68" s="669"/>
      <c r="L68" s="669"/>
      <c r="M68" s="669"/>
      <c r="N68" s="669"/>
      <c r="O68" s="669"/>
      <c r="P68" s="669"/>
      <c r="Q68" s="669"/>
      <c r="R68" s="669"/>
      <c r="S68" s="669"/>
      <c r="T68" s="669"/>
      <c r="U68" s="669"/>
      <c r="V68" s="669"/>
      <c r="W68" s="669"/>
      <c r="X68" s="669"/>
      <c r="Y68" s="669"/>
      <c r="Z68" s="669"/>
      <c r="AA68" s="669"/>
      <c r="AB68" s="669"/>
      <c r="AC68" s="669"/>
      <c r="AD68" s="669"/>
      <c r="AE68" s="669"/>
      <c r="AF68" s="669"/>
      <c r="AG68" s="669"/>
      <c r="AH68" s="669"/>
      <c r="AI68" s="669"/>
      <c r="AJ68" s="669"/>
      <c r="AK68" s="669"/>
      <c r="AL68" s="669"/>
      <c r="AM68" s="669"/>
      <c r="AN68" s="669"/>
      <c r="AO68" s="669"/>
      <c r="AP68" s="669"/>
      <c r="AQ68" s="669"/>
      <c r="AR68" s="669"/>
      <c r="AS68" s="669"/>
      <c r="AT68" s="669"/>
      <c r="AU68" s="669"/>
      <c r="AV68" s="669"/>
      <c r="AW68" s="669"/>
      <c r="AX68" s="669"/>
      <c r="AY68" s="669"/>
      <c r="AZ68" s="669"/>
      <c r="BA68" s="669"/>
      <c r="BB68" s="669"/>
      <c r="BC68" s="669"/>
      <c r="BD68" s="669"/>
      <c r="BE68" s="669"/>
      <c r="BF68" s="669"/>
      <c r="BG68" s="669"/>
      <c r="BH68" s="669"/>
      <c r="BI68" s="669"/>
      <c r="BJ68" s="669"/>
      <c r="BK68" s="669"/>
      <c r="BL68" s="669"/>
      <c r="BM68" s="669"/>
      <c r="BN68" s="669"/>
      <c r="BO68" s="669"/>
      <c r="BP68" s="669"/>
      <c r="BQ68" s="669"/>
      <c r="BR68" s="669"/>
      <c r="BS68" s="669"/>
      <c r="BT68" s="669"/>
      <c r="BU68" s="669"/>
      <c r="BV68" s="669"/>
      <c r="BW68" s="669"/>
      <c r="BX68" s="669"/>
      <c r="BY68" s="669"/>
      <c r="BZ68" s="669"/>
      <c r="CA68" s="669"/>
      <c r="CB68" s="669"/>
      <c r="CC68" s="669"/>
      <c r="CD68" s="669"/>
      <c r="CE68" s="669"/>
      <c r="CF68" s="669"/>
      <c r="CG68" s="669"/>
      <c r="CH68" s="669"/>
      <c r="CI68" s="669"/>
      <c r="CJ68" s="669"/>
      <c r="CK68" s="669"/>
      <c r="CL68" s="669"/>
      <c r="CM68" s="669"/>
      <c r="CN68" s="669"/>
      <c r="CO68" s="669"/>
      <c r="CP68" s="669"/>
      <c r="CQ68" s="669"/>
      <c r="CR68" s="669"/>
      <c r="CS68" s="669"/>
      <c r="CT68" s="669"/>
      <c r="CU68" s="669"/>
      <c r="CV68" s="669"/>
      <c r="CW68" s="669"/>
      <c r="CX68" s="669"/>
      <c r="CY68" s="669"/>
      <c r="CZ68" s="669"/>
      <c r="DA68" s="669"/>
      <c r="DB68" s="669"/>
      <c r="DC68" s="669"/>
      <c r="DD68" s="669"/>
      <c r="DE68" s="669"/>
      <c r="DF68" s="669"/>
      <c r="DG68" s="669"/>
      <c r="DH68" s="669"/>
      <c r="DI68" s="669"/>
      <c r="DJ68" s="669"/>
      <c r="DK68" s="669"/>
      <c r="DL68" s="669"/>
      <c r="DM68" s="669"/>
      <c r="DN68" s="669"/>
      <c r="DO68" s="669"/>
      <c r="DP68" s="669"/>
      <c r="DQ68" s="669"/>
      <c r="DR68" s="669"/>
      <c r="DS68" s="669"/>
      <c r="DT68" s="669"/>
      <c r="DU68" s="669"/>
      <c r="DV68" s="669"/>
      <c r="DW68" s="669"/>
      <c r="DX68" s="669"/>
      <c r="DY68" s="669"/>
      <c r="DZ68" s="669"/>
      <c r="EA68" s="669"/>
      <c r="EB68" s="669"/>
      <c r="EC68" s="669"/>
      <c r="ED68" s="669"/>
      <c r="EE68" s="669"/>
      <c r="EF68" s="669"/>
      <c r="EG68" s="669"/>
      <c r="EH68" s="669"/>
      <c r="EI68" s="669"/>
      <c r="EJ68" s="669"/>
      <c r="EK68" s="669"/>
      <c r="EL68" s="669"/>
      <c r="EM68" s="669"/>
      <c r="EN68" s="669"/>
      <c r="EO68" s="669"/>
      <c r="EP68" s="669"/>
      <c r="EQ68" s="669"/>
      <c r="ER68" s="669"/>
      <c r="ES68" s="669"/>
      <c r="ET68" s="669"/>
      <c r="EU68" s="669"/>
      <c r="EV68" s="669"/>
      <c r="EW68" s="669"/>
      <c r="EX68" s="669"/>
      <c r="EY68" s="669"/>
      <c r="EZ68" s="669"/>
      <c r="FA68" s="669"/>
      <c r="FB68" s="669"/>
      <c r="FC68" s="669"/>
      <c r="FD68" s="669"/>
      <c r="FE68" s="669"/>
      <c r="FF68" s="669"/>
      <c r="FG68" s="669"/>
      <c r="FH68" s="669"/>
      <c r="FI68" s="669"/>
      <c r="FJ68" s="669"/>
      <c r="FK68" s="669"/>
      <c r="FL68" s="669"/>
      <c r="FM68" s="669"/>
      <c r="FN68" s="669"/>
      <c r="FO68" s="669"/>
      <c r="FP68" s="669"/>
      <c r="FQ68" s="669"/>
      <c r="FR68" s="669"/>
      <c r="FS68" s="669"/>
      <c r="FT68" s="669"/>
      <c r="FU68" s="669"/>
      <c r="FV68" s="669"/>
      <c r="FW68" s="669"/>
      <c r="FX68" s="669"/>
      <c r="FY68" s="669"/>
      <c r="FZ68" s="669"/>
      <c r="GA68" s="669"/>
      <c r="GB68" s="669"/>
      <c r="GC68" s="669"/>
      <c r="GD68" s="669"/>
      <c r="GE68" s="669"/>
      <c r="GF68" s="669"/>
      <c r="GG68" s="669"/>
      <c r="GH68" s="669"/>
      <c r="GI68" s="669"/>
      <c r="GJ68" s="669"/>
      <c r="GK68" s="669"/>
      <c r="GL68" s="669"/>
      <c r="GM68" s="669"/>
      <c r="GN68" s="669"/>
      <c r="GO68" s="669"/>
      <c r="GP68" s="669"/>
      <c r="GQ68" s="669"/>
      <c r="GR68" s="669"/>
      <c r="GS68" s="669"/>
      <c r="GT68" s="669"/>
      <c r="GU68" s="669"/>
      <c r="GV68" s="669"/>
      <c r="GW68" s="669"/>
      <c r="GX68" s="669"/>
      <c r="GY68" s="669"/>
      <c r="GZ68" s="669"/>
      <c r="HA68" s="669"/>
      <c r="HB68" s="669"/>
      <c r="HC68" s="669"/>
      <c r="HD68" s="669"/>
      <c r="HE68" s="669"/>
      <c r="HF68" s="669"/>
      <c r="HG68" s="669"/>
      <c r="HH68" s="669"/>
      <c r="HI68" s="669"/>
      <c r="HJ68" s="669"/>
      <c r="HK68" s="669"/>
      <c r="HL68" s="669"/>
      <c r="HM68" s="669"/>
      <c r="HN68" s="669"/>
      <c r="HO68" s="669"/>
      <c r="HP68" s="669"/>
      <c r="HQ68" s="669"/>
      <c r="HR68" s="669"/>
      <c r="HS68" s="669"/>
      <c r="HT68" s="669"/>
      <c r="HU68" s="669"/>
      <c r="HV68" s="669"/>
      <c r="HW68" s="669"/>
      <c r="HX68" s="669"/>
      <c r="HY68" s="669"/>
      <c r="HZ68" s="669"/>
      <c r="IA68" s="669"/>
      <c r="IB68" s="669"/>
      <c r="IC68" s="669"/>
      <c r="ID68" s="669"/>
      <c r="IE68" s="669"/>
      <c r="IF68" s="669"/>
      <c r="IG68" s="669"/>
      <c r="IH68" s="669"/>
      <c r="II68" s="669"/>
      <c r="IJ68" s="669"/>
      <c r="IK68" s="669"/>
      <c r="IL68" s="669"/>
      <c r="IM68" s="669"/>
      <c r="IN68" s="669"/>
      <c r="IO68" s="669"/>
      <c r="IP68" s="669"/>
      <c r="IQ68" s="669"/>
      <c r="IR68" s="669"/>
      <c r="IS68" s="669"/>
      <c r="IT68" s="669"/>
      <c r="IU68" s="669"/>
      <c r="IV68" s="669"/>
      <c r="IW68" s="669"/>
      <c r="IX68" s="669"/>
      <c r="IY68" s="669"/>
      <c r="IZ68" s="669"/>
      <c r="JA68" s="669"/>
      <c r="JB68" s="669"/>
      <c r="JC68" s="669"/>
      <c r="JD68" s="669"/>
      <c r="JE68" s="669"/>
      <c r="JF68" s="669"/>
      <c r="JG68" s="669"/>
      <c r="JH68" s="669"/>
      <c r="JI68" s="669"/>
      <c r="JJ68" s="669"/>
      <c r="JK68" s="669"/>
      <c r="JL68" s="669"/>
      <c r="JM68" s="669"/>
      <c r="JN68" s="669"/>
      <c r="JO68" s="669"/>
      <c r="JP68" s="669"/>
      <c r="JQ68" s="669"/>
      <c r="JR68" s="669"/>
      <c r="JS68" s="669"/>
      <c r="JT68" s="669"/>
      <c r="JU68" s="669"/>
      <c r="JV68" s="669"/>
      <c r="JW68" s="669"/>
      <c r="JX68" s="669"/>
      <c r="JY68" s="669"/>
      <c r="JZ68" s="669"/>
      <c r="KA68" s="669"/>
      <c r="KB68" s="669"/>
      <c r="KC68" s="669"/>
      <c r="KD68" s="669"/>
      <c r="KE68" s="669"/>
      <c r="KF68" s="669"/>
      <c r="KG68" s="669"/>
      <c r="KH68" s="669"/>
      <c r="KI68" s="669"/>
      <c r="KJ68" s="669"/>
      <c r="KK68" s="669"/>
      <c r="KL68" s="669"/>
      <c r="KM68" s="669"/>
      <c r="KN68" s="669"/>
      <c r="KO68" s="669"/>
      <c r="KP68" s="669"/>
      <c r="KQ68" s="669"/>
      <c r="KR68" s="669"/>
      <c r="KS68" s="669"/>
      <c r="KT68" s="669"/>
      <c r="KU68" s="669"/>
      <c r="KV68" s="669"/>
      <c r="KW68" s="669"/>
      <c r="KX68" s="669"/>
      <c r="KY68" s="669"/>
      <c r="KZ68" s="669"/>
      <c r="LA68" s="669"/>
      <c r="LB68" s="669"/>
      <c r="LC68" s="669"/>
      <c r="LD68" s="669"/>
      <c r="LE68" s="669"/>
      <c r="LF68" s="669"/>
      <c r="LG68" s="669"/>
      <c r="LH68" s="669"/>
      <c r="LI68" s="669"/>
      <c r="LJ68" s="669"/>
      <c r="LK68" s="669"/>
      <c r="LL68" s="669"/>
      <c r="LM68" s="669"/>
      <c r="LN68" s="669"/>
      <c r="LO68" s="669"/>
      <c r="LP68" s="669"/>
      <c r="LQ68" s="669"/>
      <c r="LR68" s="669"/>
      <c r="LS68" s="669"/>
      <c r="LT68" s="669"/>
      <c r="LU68" s="669"/>
      <c r="LV68" s="669"/>
      <c r="LW68" s="669"/>
      <c r="LX68" s="669"/>
      <c r="LY68" s="669"/>
      <c r="LZ68" s="669"/>
      <c r="MA68" s="669"/>
      <c r="MB68" s="669"/>
      <c r="MC68" s="669"/>
      <c r="MD68" s="669"/>
      <c r="ME68" s="669"/>
      <c r="MF68" s="669"/>
      <c r="MG68" s="669"/>
      <c r="MH68" s="669"/>
      <c r="MI68" s="669"/>
      <c r="MJ68" s="669"/>
      <c r="MK68" s="669"/>
      <c r="ML68" s="669"/>
      <c r="MM68" s="669"/>
      <c r="MN68" s="669"/>
      <c r="MO68" s="669"/>
      <c r="MP68" s="669"/>
      <c r="MQ68" s="669"/>
      <c r="MR68" s="669"/>
      <c r="MS68" s="669"/>
      <c r="MT68" s="669"/>
      <c r="MU68" s="669"/>
      <c r="MV68" s="669"/>
      <c r="MW68" s="669"/>
      <c r="MX68" s="669"/>
      <c r="MY68" s="669"/>
      <c r="MZ68" s="669"/>
      <c r="NA68" s="669"/>
      <c r="NB68" s="669"/>
      <c r="NC68" s="669"/>
      <c r="ND68" s="669"/>
      <c r="NE68" s="669"/>
      <c r="NF68" s="669"/>
      <c r="NG68" s="669"/>
      <c r="NH68" s="669"/>
      <c r="NI68" s="669"/>
      <c r="NJ68" s="669"/>
      <c r="NK68" s="669"/>
      <c r="NL68" s="669"/>
      <c r="NM68" s="669"/>
      <c r="NN68" s="669"/>
      <c r="NO68" s="669"/>
      <c r="NP68" s="669"/>
      <c r="NQ68" s="669"/>
      <c r="NR68" s="669"/>
      <c r="NS68" s="669"/>
      <c r="NT68" s="669"/>
      <c r="NU68" s="669"/>
      <c r="NV68" s="669"/>
      <c r="NW68" s="669"/>
      <c r="NX68" s="669"/>
      <c r="NY68" s="669"/>
      <c r="NZ68" s="669"/>
      <c r="OA68" s="669"/>
      <c r="OB68" s="669"/>
      <c r="OC68" s="669"/>
      <c r="OD68" s="669"/>
      <c r="OE68" s="669"/>
      <c r="OF68" s="669"/>
      <c r="OG68" s="669"/>
      <c r="OH68" s="669"/>
      <c r="OI68" s="669"/>
      <c r="OJ68" s="669"/>
      <c r="OK68" s="669"/>
      <c r="OL68" s="669"/>
      <c r="OM68" s="669"/>
      <c r="ON68" s="669"/>
      <c r="OO68" s="669"/>
      <c r="OP68" s="669"/>
      <c r="OQ68" s="669"/>
      <c r="OR68" s="669"/>
      <c r="OS68" s="669"/>
      <c r="OT68" s="669"/>
      <c r="OU68" s="669"/>
      <c r="OV68" s="669"/>
      <c r="OW68" s="669"/>
      <c r="OX68" s="669"/>
      <c r="OY68" s="669"/>
      <c r="OZ68" s="669"/>
      <c r="PA68" s="669"/>
      <c r="PB68" s="669"/>
      <c r="PC68" s="669"/>
      <c r="PD68" s="669"/>
      <c r="PE68" s="669"/>
      <c r="PF68" s="669"/>
      <c r="PG68" s="669"/>
      <c r="PH68" s="669"/>
      <c r="PI68" s="669"/>
      <c r="PJ68" s="669"/>
      <c r="PK68" s="669"/>
      <c r="PL68" s="669"/>
      <c r="PM68" s="669"/>
      <c r="PN68" s="669"/>
      <c r="PO68" s="669"/>
      <c r="PP68" s="669"/>
      <c r="PQ68" s="669"/>
      <c r="PR68" s="669"/>
      <c r="PS68" s="669"/>
      <c r="PT68" s="669"/>
      <c r="PU68" s="669"/>
      <c r="PV68" s="669"/>
      <c r="PW68" s="669"/>
      <c r="PX68" s="669"/>
      <c r="PY68" s="669"/>
      <c r="PZ68" s="669"/>
      <c r="QA68" s="669"/>
      <c r="QB68" s="669"/>
      <c r="QC68" s="669"/>
      <c r="QD68" s="669"/>
    </row>
    <row r="69" spans="1:446" s="116" customFormat="1" x14ac:dyDescent="0.25">
      <c r="A69" s="678">
        <v>1</v>
      </c>
      <c r="B69" s="668"/>
      <c r="C69" s="669"/>
      <c r="D69" s="669"/>
      <c r="E69" s="668"/>
      <c r="F69" s="669"/>
      <c r="G69" s="669"/>
      <c r="H69" s="669"/>
      <c r="I69" s="669"/>
      <c r="J69" s="669"/>
      <c r="K69" s="669"/>
      <c r="L69" s="669"/>
      <c r="M69" s="669"/>
      <c r="N69" s="669"/>
      <c r="O69" s="669"/>
      <c r="P69" s="669"/>
      <c r="Q69" s="669"/>
      <c r="R69" s="669"/>
      <c r="S69" s="669"/>
      <c r="T69" s="669"/>
      <c r="U69" s="669"/>
      <c r="V69" s="669"/>
      <c r="W69" s="669"/>
      <c r="X69" s="669"/>
      <c r="Y69" s="669"/>
      <c r="Z69" s="669"/>
      <c r="AA69" s="669"/>
      <c r="AB69" s="669"/>
      <c r="AC69" s="669"/>
      <c r="AD69" s="669"/>
      <c r="AE69" s="669"/>
      <c r="AF69" s="669"/>
      <c r="AG69" s="669"/>
      <c r="AH69" s="669"/>
      <c r="AI69" s="669"/>
      <c r="AJ69" s="669"/>
      <c r="AK69" s="669"/>
      <c r="AL69" s="669"/>
      <c r="AM69" s="669"/>
      <c r="AN69" s="669"/>
      <c r="AO69" s="669"/>
      <c r="AP69" s="669"/>
      <c r="AQ69" s="669"/>
      <c r="AR69" s="669"/>
      <c r="AS69" s="669"/>
      <c r="AT69" s="669"/>
      <c r="AU69" s="669"/>
      <c r="AV69" s="669"/>
      <c r="AW69" s="669"/>
      <c r="AX69" s="669"/>
      <c r="AY69" s="669"/>
      <c r="AZ69" s="669"/>
      <c r="BA69" s="669"/>
      <c r="BB69" s="669"/>
      <c r="BC69" s="669"/>
      <c r="BD69" s="669"/>
      <c r="BE69" s="669"/>
      <c r="BF69" s="669"/>
      <c r="BG69" s="669"/>
      <c r="BH69" s="669"/>
      <c r="BI69" s="669"/>
      <c r="BJ69" s="669"/>
      <c r="BK69" s="669"/>
      <c r="BL69" s="669"/>
      <c r="BM69" s="669"/>
      <c r="BN69" s="669"/>
      <c r="BO69" s="669"/>
      <c r="BP69" s="669"/>
      <c r="BQ69" s="669"/>
      <c r="BR69" s="669"/>
      <c r="BS69" s="669"/>
      <c r="BT69" s="669"/>
      <c r="BU69" s="669"/>
      <c r="BV69" s="669"/>
      <c r="BW69" s="669"/>
      <c r="BX69" s="669"/>
      <c r="BY69" s="669"/>
      <c r="BZ69" s="669"/>
      <c r="CA69" s="669"/>
      <c r="CB69" s="669"/>
      <c r="CC69" s="669"/>
      <c r="CD69" s="669"/>
      <c r="CE69" s="669"/>
      <c r="CF69" s="669"/>
      <c r="CG69" s="669"/>
      <c r="CH69" s="669"/>
      <c r="CI69" s="669"/>
      <c r="CJ69" s="669"/>
      <c r="CK69" s="669"/>
      <c r="CL69" s="669"/>
      <c r="CM69" s="669"/>
      <c r="CN69" s="669"/>
      <c r="CO69" s="669"/>
      <c r="CP69" s="669"/>
      <c r="CQ69" s="669"/>
      <c r="CR69" s="669"/>
      <c r="CS69" s="669"/>
      <c r="CT69" s="669"/>
      <c r="CU69" s="669"/>
      <c r="CV69" s="669"/>
      <c r="CW69" s="669"/>
      <c r="CX69" s="669"/>
      <c r="CY69" s="669"/>
      <c r="CZ69" s="669"/>
      <c r="DA69" s="669"/>
      <c r="DB69" s="669"/>
      <c r="DC69" s="669"/>
      <c r="DD69" s="669"/>
      <c r="DE69" s="669"/>
      <c r="DF69" s="669"/>
      <c r="DG69" s="669"/>
      <c r="DH69" s="669"/>
      <c r="DI69" s="669"/>
      <c r="DJ69" s="669"/>
      <c r="DK69" s="669"/>
      <c r="DL69" s="669"/>
      <c r="DM69" s="669"/>
      <c r="DN69" s="669"/>
      <c r="DO69" s="669"/>
      <c r="DP69" s="669"/>
      <c r="DQ69" s="669"/>
      <c r="DR69" s="669"/>
      <c r="DS69" s="669"/>
      <c r="DT69" s="669"/>
      <c r="DU69" s="669"/>
      <c r="DV69" s="669"/>
      <c r="DW69" s="669"/>
      <c r="DX69" s="669"/>
      <c r="DY69" s="669"/>
      <c r="DZ69" s="669"/>
      <c r="EA69" s="669"/>
      <c r="EB69" s="669"/>
      <c r="EC69" s="669"/>
      <c r="ED69" s="669"/>
      <c r="EE69" s="669"/>
      <c r="EF69" s="669"/>
      <c r="EG69" s="669"/>
      <c r="EH69" s="669"/>
      <c r="EI69" s="669"/>
      <c r="EJ69" s="669"/>
      <c r="EK69" s="669"/>
      <c r="EL69" s="669"/>
      <c r="EM69" s="669"/>
      <c r="EN69" s="669"/>
      <c r="EO69" s="669"/>
      <c r="EP69" s="669"/>
      <c r="EQ69" s="669"/>
      <c r="ER69" s="669"/>
      <c r="ES69" s="669"/>
      <c r="ET69" s="669"/>
      <c r="EU69" s="669"/>
      <c r="EV69" s="669"/>
      <c r="EW69" s="669"/>
      <c r="EX69" s="669"/>
      <c r="EY69" s="669"/>
      <c r="EZ69" s="669"/>
      <c r="FA69" s="669"/>
      <c r="FB69" s="669"/>
      <c r="FC69" s="669"/>
      <c r="FD69" s="669"/>
      <c r="FE69" s="669"/>
      <c r="FF69" s="669"/>
      <c r="FG69" s="669"/>
      <c r="FH69" s="669"/>
      <c r="FI69" s="669"/>
      <c r="FJ69" s="669"/>
      <c r="FK69" s="669"/>
      <c r="FL69" s="669"/>
      <c r="FM69" s="669"/>
      <c r="FN69" s="669"/>
      <c r="FO69" s="669"/>
      <c r="FP69" s="669"/>
      <c r="FQ69" s="669"/>
      <c r="FR69" s="669"/>
      <c r="FS69" s="669"/>
      <c r="FT69" s="669"/>
      <c r="FU69" s="669"/>
      <c r="FV69" s="669"/>
      <c r="FW69" s="669"/>
      <c r="FX69" s="669"/>
      <c r="FY69" s="669"/>
      <c r="FZ69" s="669"/>
      <c r="GA69" s="669"/>
      <c r="GB69" s="669"/>
      <c r="GC69" s="669"/>
      <c r="GD69" s="669"/>
      <c r="GE69" s="669"/>
      <c r="GF69" s="669"/>
      <c r="GG69" s="669"/>
      <c r="GH69" s="669"/>
      <c r="GI69" s="669"/>
      <c r="GJ69" s="669"/>
      <c r="GK69" s="669"/>
      <c r="GL69" s="669"/>
      <c r="GM69" s="669"/>
      <c r="GN69" s="669"/>
      <c r="GO69" s="669"/>
      <c r="GP69" s="669"/>
      <c r="GQ69" s="669"/>
      <c r="GR69" s="669"/>
      <c r="GS69" s="669"/>
      <c r="GT69" s="669"/>
      <c r="GU69" s="669"/>
      <c r="GV69" s="669"/>
      <c r="GW69" s="669"/>
      <c r="GX69" s="669"/>
      <c r="GY69" s="669"/>
      <c r="GZ69" s="669"/>
      <c r="HA69" s="669"/>
      <c r="HB69" s="669"/>
      <c r="HC69" s="669"/>
      <c r="HD69" s="669"/>
      <c r="HE69" s="669"/>
      <c r="HF69" s="669"/>
      <c r="HG69" s="669"/>
      <c r="HH69" s="669"/>
      <c r="HI69" s="669"/>
      <c r="HJ69" s="669"/>
      <c r="HK69" s="669"/>
      <c r="HL69" s="669"/>
      <c r="HM69" s="669"/>
      <c r="HN69" s="669"/>
      <c r="HO69" s="669"/>
      <c r="HP69" s="669"/>
      <c r="HQ69" s="669"/>
      <c r="HR69" s="669"/>
      <c r="HS69" s="669"/>
      <c r="HT69" s="669"/>
      <c r="HU69" s="669"/>
      <c r="HV69" s="669"/>
      <c r="HW69" s="669"/>
      <c r="HX69" s="669"/>
      <c r="HY69" s="669"/>
      <c r="HZ69" s="669"/>
      <c r="IA69" s="669"/>
      <c r="IB69" s="669"/>
      <c r="IC69" s="669"/>
      <c r="ID69" s="669"/>
      <c r="IE69" s="669"/>
      <c r="IF69" s="669"/>
      <c r="IG69" s="669"/>
      <c r="IH69" s="669"/>
      <c r="II69" s="669"/>
      <c r="IJ69" s="669"/>
      <c r="IK69" s="669"/>
      <c r="IL69" s="669"/>
      <c r="IM69" s="669"/>
      <c r="IN69" s="669"/>
      <c r="IO69" s="669"/>
      <c r="IP69" s="669"/>
      <c r="IQ69" s="669"/>
      <c r="IR69" s="669"/>
      <c r="IS69" s="669"/>
      <c r="IT69" s="669"/>
      <c r="IU69" s="669"/>
      <c r="IV69" s="669"/>
      <c r="IW69" s="669"/>
      <c r="IX69" s="669"/>
      <c r="IY69" s="669"/>
      <c r="IZ69" s="669"/>
      <c r="JA69" s="669"/>
      <c r="JB69" s="669"/>
      <c r="JC69" s="669"/>
      <c r="JD69" s="669"/>
      <c r="JE69" s="669"/>
      <c r="JF69" s="669"/>
      <c r="JG69" s="669"/>
      <c r="JH69" s="669"/>
      <c r="JI69" s="669"/>
      <c r="JJ69" s="669"/>
      <c r="JK69" s="669"/>
      <c r="JL69" s="669"/>
      <c r="JM69" s="669"/>
      <c r="JN69" s="669"/>
      <c r="JO69" s="669"/>
      <c r="JP69" s="669"/>
      <c r="JQ69" s="669"/>
      <c r="JR69" s="669"/>
      <c r="JS69" s="669"/>
      <c r="JT69" s="669"/>
      <c r="JU69" s="669"/>
      <c r="JV69" s="669"/>
      <c r="JW69" s="669"/>
      <c r="JX69" s="669"/>
      <c r="JY69" s="669"/>
      <c r="JZ69" s="669"/>
      <c r="KA69" s="669"/>
      <c r="KB69" s="669"/>
      <c r="KC69" s="669"/>
      <c r="KD69" s="669"/>
      <c r="KE69" s="669"/>
      <c r="KF69" s="669"/>
      <c r="KG69" s="669"/>
      <c r="KH69" s="669"/>
      <c r="KI69" s="669"/>
      <c r="KJ69" s="669"/>
      <c r="KK69" s="669"/>
      <c r="KL69" s="669"/>
      <c r="KM69" s="669"/>
      <c r="KN69" s="669"/>
      <c r="KO69" s="669"/>
      <c r="KP69" s="669"/>
      <c r="KQ69" s="669"/>
      <c r="KR69" s="669"/>
      <c r="KS69" s="669"/>
      <c r="KT69" s="669"/>
      <c r="KU69" s="669"/>
      <c r="KV69" s="669"/>
      <c r="KW69" s="669"/>
      <c r="KX69" s="669"/>
      <c r="KY69" s="669"/>
      <c r="KZ69" s="669"/>
      <c r="LA69" s="669"/>
      <c r="LB69" s="669"/>
      <c r="LC69" s="669"/>
      <c r="LD69" s="669"/>
      <c r="LE69" s="669"/>
      <c r="LF69" s="669"/>
      <c r="LG69" s="669"/>
      <c r="LH69" s="669"/>
      <c r="LI69" s="669"/>
      <c r="LJ69" s="669"/>
      <c r="LK69" s="669"/>
      <c r="LL69" s="669"/>
      <c r="LM69" s="669"/>
      <c r="LN69" s="669"/>
      <c r="LO69" s="669"/>
      <c r="LP69" s="669"/>
      <c r="LQ69" s="669"/>
      <c r="LR69" s="669"/>
      <c r="LS69" s="669"/>
      <c r="LT69" s="669"/>
      <c r="LU69" s="669"/>
      <c r="LV69" s="669"/>
      <c r="LW69" s="669"/>
      <c r="LX69" s="669"/>
      <c r="LY69" s="669"/>
      <c r="LZ69" s="669"/>
      <c r="MA69" s="669"/>
      <c r="MB69" s="669"/>
      <c r="MC69" s="669"/>
      <c r="MD69" s="669"/>
      <c r="ME69" s="669"/>
      <c r="MF69" s="669"/>
      <c r="MG69" s="669"/>
      <c r="MH69" s="669"/>
      <c r="MI69" s="669"/>
      <c r="MJ69" s="669"/>
      <c r="MK69" s="669"/>
      <c r="ML69" s="669"/>
      <c r="MM69" s="669"/>
      <c r="MN69" s="669"/>
      <c r="MO69" s="669"/>
      <c r="MP69" s="669"/>
      <c r="MQ69" s="669"/>
      <c r="MR69" s="669"/>
      <c r="MS69" s="669"/>
      <c r="MT69" s="669"/>
      <c r="MU69" s="669"/>
      <c r="MV69" s="669"/>
      <c r="MW69" s="669"/>
      <c r="MX69" s="669"/>
      <c r="MY69" s="669"/>
      <c r="MZ69" s="669"/>
      <c r="NA69" s="669"/>
      <c r="NB69" s="669"/>
      <c r="NC69" s="669"/>
      <c r="ND69" s="669"/>
      <c r="NE69" s="669"/>
      <c r="NF69" s="669"/>
      <c r="NG69" s="669"/>
      <c r="NH69" s="669"/>
      <c r="NI69" s="669"/>
      <c r="NJ69" s="669"/>
      <c r="NK69" s="669"/>
      <c r="NL69" s="669"/>
      <c r="NM69" s="669"/>
      <c r="NN69" s="669"/>
      <c r="NO69" s="669"/>
      <c r="NP69" s="669"/>
      <c r="NQ69" s="669"/>
      <c r="NR69" s="669"/>
      <c r="NS69" s="669"/>
      <c r="NT69" s="669"/>
      <c r="NU69" s="669"/>
      <c r="NV69" s="669"/>
      <c r="NW69" s="669"/>
      <c r="NX69" s="669"/>
      <c r="NY69" s="669"/>
      <c r="NZ69" s="669"/>
      <c r="OA69" s="669"/>
      <c r="OB69" s="669"/>
      <c r="OC69" s="669"/>
      <c r="OD69" s="669"/>
      <c r="OE69" s="669"/>
      <c r="OF69" s="669"/>
      <c r="OG69" s="669"/>
      <c r="OH69" s="669"/>
      <c r="OI69" s="669"/>
      <c r="OJ69" s="669"/>
      <c r="OK69" s="669"/>
      <c r="OL69" s="669"/>
      <c r="OM69" s="669"/>
      <c r="ON69" s="669"/>
      <c r="OO69" s="669"/>
      <c r="OP69" s="669"/>
      <c r="OQ69" s="669"/>
      <c r="OR69" s="669"/>
      <c r="OS69" s="669"/>
      <c r="OT69" s="669"/>
      <c r="OU69" s="669"/>
      <c r="OV69" s="669"/>
      <c r="OW69" s="669"/>
      <c r="OX69" s="669"/>
      <c r="OY69" s="669"/>
      <c r="OZ69" s="669"/>
      <c r="PA69" s="669"/>
      <c r="PB69" s="669"/>
      <c r="PC69" s="669"/>
      <c r="PD69" s="669"/>
      <c r="PE69" s="669"/>
      <c r="PF69" s="669"/>
      <c r="PG69" s="669"/>
      <c r="PH69" s="669"/>
      <c r="PI69" s="669"/>
      <c r="PJ69" s="669"/>
      <c r="PK69" s="669"/>
      <c r="PL69" s="669"/>
      <c r="PM69" s="669"/>
      <c r="PN69" s="669"/>
      <c r="PO69" s="669"/>
      <c r="PP69" s="669"/>
      <c r="PQ69" s="669"/>
      <c r="PR69" s="669"/>
      <c r="PS69" s="669"/>
      <c r="PT69" s="669"/>
      <c r="PU69" s="669"/>
      <c r="PV69" s="669"/>
      <c r="PW69" s="669"/>
      <c r="PX69" s="669"/>
      <c r="PY69" s="669"/>
      <c r="PZ69" s="669"/>
      <c r="QA69" s="669"/>
      <c r="QB69" s="669"/>
      <c r="QC69" s="669"/>
      <c r="QD69" s="669"/>
    </row>
    <row r="70" spans="1:446" s="116" customFormat="1" x14ac:dyDescent="0.25">
      <c r="A70" s="678">
        <v>1</v>
      </c>
      <c r="B70" s="668"/>
      <c r="C70" s="669"/>
      <c r="D70" s="669"/>
      <c r="E70" s="668"/>
      <c r="F70" s="669"/>
      <c r="G70" s="669"/>
      <c r="H70" s="669"/>
      <c r="I70" s="669"/>
      <c r="J70" s="669"/>
      <c r="K70" s="669"/>
      <c r="L70" s="669"/>
      <c r="M70" s="669"/>
      <c r="N70" s="669"/>
      <c r="O70" s="669"/>
      <c r="P70" s="669"/>
      <c r="Q70" s="669"/>
      <c r="R70" s="669"/>
      <c r="S70" s="669"/>
      <c r="T70" s="669"/>
      <c r="U70" s="669"/>
      <c r="V70" s="669"/>
      <c r="W70" s="669"/>
      <c r="X70" s="669"/>
      <c r="Y70" s="669"/>
      <c r="Z70" s="669"/>
      <c r="AA70" s="669"/>
      <c r="AB70" s="669"/>
      <c r="AC70" s="669"/>
      <c r="AD70" s="669"/>
      <c r="AE70" s="669"/>
      <c r="AF70" s="669"/>
      <c r="AG70" s="669"/>
      <c r="AH70" s="669"/>
      <c r="AI70" s="669"/>
      <c r="AJ70" s="669"/>
      <c r="AK70" s="669"/>
      <c r="AL70" s="669"/>
      <c r="AM70" s="669"/>
      <c r="AN70" s="669"/>
      <c r="AO70" s="669"/>
      <c r="AP70" s="669"/>
      <c r="AQ70" s="669"/>
      <c r="AR70" s="669"/>
      <c r="AS70" s="669"/>
      <c r="AT70" s="669"/>
      <c r="AU70" s="669"/>
      <c r="AV70" s="669"/>
      <c r="AW70" s="669"/>
      <c r="AX70" s="669"/>
      <c r="AY70" s="669"/>
      <c r="AZ70" s="669"/>
      <c r="BA70" s="669"/>
      <c r="BB70" s="669"/>
      <c r="BC70" s="669"/>
      <c r="BD70" s="669"/>
      <c r="BE70" s="669"/>
      <c r="BF70" s="669"/>
      <c r="BG70" s="669"/>
      <c r="BH70" s="669"/>
      <c r="BI70" s="669"/>
      <c r="BJ70" s="669"/>
      <c r="BK70" s="669"/>
      <c r="BL70" s="669"/>
      <c r="BM70" s="669"/>
      <c r="BN70" s="669"/>
      <c r="BO70" s="669"/>
      <c r="BP70" s="669"/>
      <c r="BQ70" s="669"/>
      <c r="BR70" s="669"/>
      <c r="BS70" s="669"/>
      <c r="BT70" s="669"/>
      <c r="BU70" s="669"/>
      <c r="BV70" s="669"/>
      <c r="BW70" s="669"/>
      <c r="BX70" s="669"/>
      <c r="BY70" s="669"/>
      <c r="BZ70" s="669"/>
      <c r="CA70" s="669"/>
      <c r="CB70" s="669"/>
      <c r="CC70" s="669"/>
      <c r="CD70" s="669"/>
      <c r="CE70" s="669"/>
      <c r="CF70" s="669"/>
      <c r="CG70" s="669"/>
      <c r="CH70" s="669"/>
      <c r="CI70" s="669"/>
      <c r="CJ70" s="669"/>
      <c r="CK70" s="669"/>
      <c r="CL70" s="669"/>
      <c r="CM70" s="669"/>
      <c r="CN70" s="669"/>
      <c r="CO70" s="669"/>
      <c r="CP70" s="669"/>
      <c r="CQ70" s="669"/>
      <c r="CR70" s="669"/>
      <c r="CS70" s="669"/>
      <c r="CT70" s="669"/>
      <c r="CU70" s="669"/>
      <c r="CV70" s="669"/>
      <c r="CW70" s="669"/>
      <c r="CX70" s="669"/>
      <c r="CY70" s="669"/>
      <c r="CZ70" s="669"/>
      <c r="DA70" s="669"/>
      <c r="DB70" s="669"/>
      <c r="DC70" s="669"/>
      <c r="DD70" s="669"/>
      <c r="DE70" s="669"/>
      <c r="DF70" s="669"/>
      <c r="DG70" s="669"/>
      <c r="DH70" s="669"/>
      <c r="DI70" s="669"/>
      <c r="DJ70" s="669"/>
      <c r="DK70" s="669"/>
      <c r="DL70" s="669"/>
      <c r="DM70" s="669"/>
      <c r="DN70" s="669"/>
      <c r="DO70" s="669"/>
      <c r="DP70" s="669"/>
      <c r="DQ70" s="669"/>
      <c r="DR70" s="669"/>
      <c r="DS70" s="669"/>
      <c r="DT70" s="669"/>
      <c r="DU70" s="669"/>
      <c r="DV70" s="669"/>
      <c r="DW70" s="669"/>
      <c r="DX70" s="669"/>
      <c r="DY70" s="669"/>
      <c r="DZ70" s="669"/>
      <c r="EA70" s="669"/>
      <c r="EB70" s="669"/>
      <c r="EC70" s="669"/>
      <c r="ED70" s="669"/>
      <c r="EE70" s="669"/>
      <c r="EF70" s="669"/>
      <c r="EG70" s="669"/>
      <c r="EH70" s="669"/>
      <c r="EI70" s="669"/>
      <c r="EJ70" s="669"/>
      <c r="EK70" s="669"/>
      <c r="EL70" s="669"/>
      <c r="EM70" s="669"/>
      <c r="EN70" s="669"/>
      <c r="EO70" s="669"/>
      <c r="EP70" s="669"/>
      <c r="EQ70" s="669"/>
      <c r="ER70" s="669"/>
      <c r="ES70" s="669"/>
      <c r="ET70" s="669"/>
      <c r="EU70" s="669"/>
      <c r="EV70" s="669"/>
      <c r="EW70" s="669"/>
      <c r="EX70" s="669"/>
      <c r="EY70" s="669"/>
      <c r="EZ70" s="669"/>
      <c r="FA70" s="669"/>
      <c r="FB70" s="669"/>
      <c r="FC70" s="669"/>
      <c r="FD70" s="669"/>
      <c r="FE70" s="669"/>
      <c r="FF70" s="669"/>
      <c r="FG70" s="669"/>
      <c r="FH70" s="669"/>
      <c r="FI70" s="669"/>
      <c r="FJ70" s="669"/>
      <c r="FK70" s="669"/>
      <c r="FL70" s="669"/>
      <c r="FM70" s="669"/>
      <c r="FN70" s="669"/>
      <c r="FO70" s="669"/>
      <c r="FP70" s="669"/>
      <c r="FQ70" s="669"/>
      <c r="FR70" s="669"/>
      <c r="FS70" s="669"/>
      <c r="FT70" s="669"/>
      <c r="FU70" s="669"/>
      <c r="FV70" s="669"/>
      <c r="FW70" s="669"/>
      <c r="FX70" s="669"/>
      <c r="FY70" s="669"/>
      <c r="FZ70" s="669"/>
      <c r="GA70" s="669"/>
      <c r="GB70" s="669"/>
      <c r="GC70" s="669"/>
      <c r="GD70" s="669"/>
      <c r="GE70" s="669"/>
      <c r="GF70" s="669"/>
      <c r="GG70" s="669"/>
      <c r="GH70" s="669"/>
      <c r="GI70" s="669"/>
      <c r="GJ70" s="669"/>
      <c r="GK70" s="669"/>
      <c r="GL70" s="669"/>
      <c r="GM70" s="669"/>
      <c r="GN70" s="669"/>
      <c r="GO70" s="669"/>
      <c r="GP70" s="669"/>
      <c r="GQ70" s="669"/>
      <c r="GR70" s="669"/>
      <c r="GS70" s="669"/>
      <c r="GT70" s="669"/>
      <c r="GU70" s="669"/>
      <c r="GV70" s="669"/>
      <c r="GW70" s="669"/>
      <c r="GX70" s="669"/>
      <c r="GY70" s="669"/>
      <c r="GZ70" s="669"/>
      <c r="HA70" s="669"/>
      <c r="HB70" s="669"/>
      <c r="HC70" s="669"/>
      <c r="HD70" s="669"/>
      <c r="HE70" s="669"/>
      <c r="HF70" s="669"/>
      <c r="HG70" s="669"/>
      <c r="HH70" s="669"/>
      <c r="HI70" s="669"/>
      <c r="HJ70" s="669"/>
      <c r="HK70" s="669"/>
      <c r="HL70" s="669"/>
      <c r="HM70" s="669"/>
      <c r="HN70" s="669"/>
      <c r="HO70" s="669"/>
      <c r="HP70" s="669"/>
      <c r="HQ70" s="669"/>
      <c r="HR70" s="669"/>
      <c r="HS70" s="669"/>
      <c r="HT70" s="669"/>
      <c r="HU70" s="669"/>
      <c r="HV70" s="669"/>
      <c r="HW70" s="669"/>
      <c r="HX70" s="669"/>
      <c r="HY70" s="669"/>
      <c r="HZ70" s="669"/>
      <c r="IA70" s="669"/>
      <c r="IB70" s="669"/>
      <c r="IC70" s="669"/>
      <c r="ID70" s="669"/>
      <c r="IE70" s="669"/>
      <c r="IF70" s="669"/>
      <c r="IG70" s="669"/>
      <c r="IH70" s="669"/>
      <c r="II70" s="669"/>
      <c r="IJ70" s="669"/>
      <c r="IK70" s="669"/>
      <c r="IL70" s="669"/>
      <c r="IM70" s="669"/>
      <c r="IN70" s="669"/>
      <c r="IO70" s="669"/>
      <c r="IP70" s="669"/>
      <c r="IQ70" s="669"/>
      <c r="IR70" s="669"/>
      <c r="IS70" s="669"/>
      <c r="IT70" s="669"/>
      <c r="IU70" s="669"/>
      <c r="IV70" s="669"/>
      <c r="IW70" s="669"/>
      <c r="IX70" s="669"/>
      <c r="IY70" s="669"/>
      <c r="IZ70" s="669"/>
      <c r="JA70" s="669"/>
      <c r="JB70" s="669"/>
      <c r="JC70" s="669"/>
      <c r="JD70" s="669"/>
      <c r="JE70" s="669"/>
      <c r="JF70" s="669"/>
      <c r="JG70" s="669"/>
      <c r="JH70" s="669"/>
      <c r="JI70" s="669"/>
      <c r="JJ70" s="669"/>
      <c r="JK70" s="669"/>
      <c r="JL70" s="669"/>
      <c r="JM70" s="669"/>
      <c r="JN70" s="669"/>
      <c r="JO70" s="669"/>
      <c r="JP70" s="669"/>
      <c r="JQ70" s="669"/>
      <c r="JR70" s="669"/>
      <c r="JS70" s="669"/>
      <c r="JT70" s="669"/>
      <c r="JU70" s="669"/>
      <c r="JV70" s="669"/>
      <c r="JW70" s="669"/>
      <c r="JX70" s="669"/>
      <c r="JY70" s="669"/>
      <c r="JZ70" s="669"/>
      <c r="KA70" s="669"/>
      <c r="KB70" s="669"/>
      <c r="KC70" s="669"/>
      <c r="KD70" s="669"/>
      <c r="KE70" s="669"/>
      <c r="KF70" s="669"/>
      <c r="KG70" s="669"/>
      <c r="KH70" s="669"/>
      <c r="KI70" s="669"/>
      <c r="KJ70" s="669"/>
      <c r="KK70" s="669"/>
      <c r="KL70" s="669"/>
      <c r="KM70" s="669"/>
      <c r="KN70" s="669"/>
      <c r="KO70" s="669"/>
      <c r="KP70" s="669"/>
      <c r="KQ70" s="669"/>
      <c r="KR70" s="669"/>
      <c r="KS70" s="669"/>
      <c r="KT70" s="669"/>
      <c r="KU70" s="669"/>
      <c r="KV70" s="669"/>
      <c r="KW70" s="669"/>
      <c r="KX70" s="669"/>
      <c r="KY70" s="669"/>
      <c r="KZ70" s="669"/>
      <c r="LA70" s="669"/>
      <c r="LB70" s="669"/>
      <c r="LC70" s="669"/>
      <c r="LD70" s="669"/>
      <c r="LE70" s="669"/>
      <c r="LF70" s="669"/>
      <c r="LG70" s="669"/>
      <c r="LH70" s="669"/>
      <c r="LI70" s="669"/>
      <c r="LJ70" s="669"/>
      <c r="LK70" s="669"/>
      <c r="LL70" s="669"/>
      <c r="LM70" s="669"/>
      <c r="LN70" s="669"/>
      <c r="LO70" s="669"/>
      <c r="LP70" s="669"/>
      <c r="LQ70" s="669"/>
      <c r="LR70" s="669"/>
      <c r="LS70" s="669"/>
      <c r="LT70" s="669"/>
      <c r="LU70" s="669"/>
      <c r="LV70" s="669"/>
      <c r="LW70" s="669"/>
      <c r="LX70" s="669"/>
      <c r="LY70" s="669"/>
      <c r="LZ70" s="669"/>
      <c r="MA70" s="669"/>
      <c r="MB70" s="669"/>
      <c r="MC70" s="669"/>
      <c r="MD70" s="669"/>
      <c r="ME70" s="669"/>
      <c r="MF70" s="669"/>
      <c r="MG70" s="669"/>
      <c r="MH70" s="669"/>
      <c r="MI70" s="669"/>
      <c r="MJ70" s="669"/>
      <c r="MK70" s="669"/>
      <c r="ML70" s="669"/>
      <c r="MM70" s="669"/>
      <c r="MN70" s="669"/>
      <c r="MO70" s="669"/>
      <c r="MP70" s="669"/>
      <c r="MQ70" s="669"/>
      <c r="MR70" s="669"/>
      <c r="MS70" s="669"/>
      <c r="MT70" s="669"/>
      <c r="MU70" s="669"/>
      <c r="MV70" s="669"/>
      <c r="MW70" s="669"/>
      <c r="MX70" s="669"/>
      <c r="MY70" s="669"/>
      <c r="MZ70" s="669"/>
      <c r="NA70" s="669"/>
      <c r="NB70" s="669"/>
      <c r="NC70" s="669"/>
      <c r="ND70" s="669"/>
      <c r="NE70" s="669"/>
      <c r="NF70" s="669"/>
      <c r="NG70" s="669"/>
      <c r="NH70" s="669"/>
      <c r="NI70" s="669"/>
      <c r="NJ70" s="669"/>
      <c r="NK70" s="669"/>
      <c r="NL70" s="669"/>
      <c r="NM70" s="669"/>
      <c r="NN70" s="669"/>
      <c r="NO70" s="669"/>
      <c r="NP70" s="669"/>
      <c r="NQ70" s="669"/>
      <c r="NR70" s="669"/>
      <c r="NS70" s="669"/>
      <c r="NT70" s="669"/>
      <c r="NU70" s="669"/>
      <c r="NV70" s="669"/>
      <c r="NW70" s="669"/>
      <c r="NX70" s="669"/>
      <c r="NY70" s="669"/>
      <c r="NZ70" s="669"/>
      <c r="OA70" s="669"/>
      <c r="OB70" s="669"/>
      <c r="OC70" s="669"/>
      <c r="OD70" s="669"/>
      <c r="OE70" s="669"/>
      <c r="OF70" s="669"/>
      <c r="OG70" s="669"/>
      <c r="OH70" s="669"/>
      <c r="OI70" s="669"/>
      <c r="OJ70" s="669"/>
      <c r="OK70" s="669"/>
      <c r="OL70" s="669"/>
      <c r="OM70" s="669"/>
      <c r="ON70" s="669"/>
      <c r="OO70" s="669"/>
      <c r="OP70" s="669"/>
      <c r="OQ70" s="669"/>
      <c r="OR70" s="669"/>
      <c r="OS70" s="669"/>
      <c r="OT70" s="669"/>
      <c r="OU70" s="669"/>
      <c r="OV70" s="669"/>
      <c r="OW70" s="669"/>
      <c r="OX70" s="669"/>
      <c r="OY70" s="669"/>
      <c r="OZ70" s="669"/>
      <c r="PA70" s="669"/>
      <c r="PB70" s="669"/>
      <c r="PC70" s="669"/>
      <c r="PD70" s="669"/>
      <c r="PE70" s="669"/>
      <c r="PF70" s="669"/>
      <c r="PG70" s="669"/>
      <c r="PH70" s="669"/>
      <c r="PI70" s="669"/>
      <c r="PJ70" s="669"/>
      <c r="PK70" s="669"/>
      <c r="PL70" s="669"/>
      <c r="PM70" s="669"/>
      <c r="PN70" s="669"/>
      <c r="PO70" s="669"/>
      <c r="PP70" s="669"/>
      <c r="PQ70" s="669"/>
      <c r="PR70" s="669"/>
      <c r="PS70" s="669"/>
      <c r="PT70" s="669"/>
      <c r="PU70" s="669"/>
      <c r="PV70" s="669"/>
      <c r="PW70" s="669"/>
      <c r="PX70" s="669"/>
      <c r="PY70" s="669"/>
      <c r="PZ70" s="669"/>
      <c r="QA70" s="669"/>
      <c r="QB70" s="669"/>
      <c r="QC70" s="669"/>
      <c r="QD70" s="669"/>
    </row>
    <row r="71" spans="1:446" s="116" customFormat="1" x14ac:dyDescent="0.25">
      <c r="A71" s="678">
        <v>1</v>
      </c>
      <c r="B71" s="668"/>
      <c r="C71" s="669"/>
      <c r="D71" s="669"/>
      <c r="E71" s="668"/>
      <c r="F71" s="669"/>
      <c r="G71" s="669"/>
      <c r="H71" s="669"/>
      <c r="I71" s="669"/>
      <c r="J71" s="669"/>
      <c r="K71" s="669"/>
      <c r="L71" s="669"/>
      <c r="M71" s="669"/>
      <c r="N71" s="669"/>
      <c r="O71" s="669"/>
      <c r="P71" s="669"/>
      <c r="Q71" s="669"/>
      <c r="R71" s="669"/>
      <c r="S71" s="669"/>
      <c r="T71" s="669"/>
      <c r="U71" s="669"/>
      <c r="V71" s="669"/>
      <c r="W71" s="669"/>
      <c r="X71" s="669"/>
      <c r="Y71" s="669"/>
      <c r="Z71" s="669"/>
      <c r="AA71" s="669"/>
      <c r="AB71" s="669"/>
      <c r="AC71" s="669"/>
      <c r="AD71" s="669"/>
      <c r="AE71" s="669"/>
      <c r="AF71" s="669"/>
      <c r="AG71" s="669"/>
      <c r="AH71" s="669"/>
      <c r="AI71" s="669"/>
      <c r="AJ71" s="669"/>
      <c r="AK71" s="669"/>
      <c r="AL71" s="669"/>
      <c r="AM71" s="669"/>
      <c r="AN71" s="669"/>
      <c r="AO71" s="669"/>
      <c r="AP71" s="669"/>
      <c r="AQ71" s="669"/>
      <c r="AR71" s="669"/>
      <c r="AS71" s="669"/>
      <c r="AT71" s="669"/>
      <c r="AU71" s="669"/>
      <c r="AV71" s="669"/>
      <c r="AW71" s="669"/>
      <c r="AX71" s="669"/>
      <c r="AY71" s="669"/>
      <c r="AZ71" s="669"/>
      <c r="BA71" s="669"/>
      <c r="BB71" s="669"/>
      <c r="BC71" s="669"/>
      <c r="BD71" s="669"/>
      <c r="BE71" s="669"/>
      <c r="BF71" s="669"/>
      <c r="BG71" s="669"/>
      <c r="BH71" s="669"/>
      <c r="BI71" s="669"/>
      <c r="BJ71" s="669"/>
      <c r="BK71" s="669"/>
      <c r="BL71" s="669"/>
      <c r="BM71" s="669"/>
      <c r="BN71" s="669"/>
      <c r="BO71" s="669"/>
      <c r="BP71" s="669"/>
      <c r="BQ71" s="669"/>
      <c r="BR71" s="669"/>
      <c r="BS71" s="669"/>
      <c r="BT71" s="669"/>
      <c r="BU71" s="669"/>
      <c r="BV71" s="669"/>
      <c r="BW71" s="669"/>
      <c r="BX71" s="669"/>
      <c r="BY71" s="669"/>
      <c r="BZ71" s="669"/>
      <c r="CA71" s="669"/>
      <c r="CB71" s="669"/>
      <c r="CC71" s="669"/>
      <c r="CD71" s="669"/>
      <c r="CE71" s="669"/>
      <c r="CF71" s="669"/>
      <c r="CG71" s="669"/>
      <c r="CH71" s="669"/>
      <c r="CI71" s="669"/>
      <c r="CJ71" s="669"/>
      <c r="CK71" s="669"/>
      <c r="CL71" s="669"/>
      <c r="CM71" s="669"/>
      <c r="CN71" s="669"/>
      <c r="CO71" s="669"/>
      <c r="CP71" s="669"/>
      <c r="CQ71" s="669"/>
      <c r="CR71" s="669"/>
      <c r="CS71" s="669"/>
      <c r="CT71" s="669"/>
      <c r="CU71" s="669"/>
      <c r="CV71" s="669"/>
      <c r="CW71" s="669"/>
      <c r="CX71" s="669"/>
      <c r="CY71" s="669"/>
      <c r="CZ71" s="669"/>
      <c r="DA71" s="669"/>
      <c r="DB71" s="669"/>
      <c r="DC71" s="669"/>
      <c r="DD71" s="669"/>
      <c r="DE71" s="669"/>
      <c r="DF71" s="669"/>
      <c r="DG71" s="669"/>
      <c r="DH71" s="669"/>
      <c r="DI71" s="669"/>
      <c r="DJ71" s="669"/>
      <c r="DK71" s="669"/>
      <c r="DL71" s="669"/>
      <c r="DM71" s="669"/>
      <c r="DN71" s="669"/>
      <c r="DO71" s="669"/>
      <c r="DP71" s="669"/>
      <c r="DQ71" s="669"/>
      <c r="DR71" s="669"/>
      <c r="DS71" s="669"/>
      <c r="DT71" s="669"/>
      <c r="DU71" s="669"/>
      <c r="DV71" s="669"/>
      <c r="DW71" s="669"/>
      <c r="DX71" s="669"/>
      <c r="DY71" s="669"/>
      <c r="DZ71" s="669"/>
      <c r="EA71" s="669"/>
      <c r="EB71" s="669"/>
      <c r="EC71" s="669"/>
      <c r="ED71" s="669"/>
      <c r="EE71" s="669"/>
      <c r="EF71" s="669"/>
      <c r="EG71" s="669"/>
      <c r="EH71" s="669"/>
      <c r="EI71" s="669"/>
      <c r="EJ71" s="669"/>
      <c r="EK71" s="669"/>
      <c r="EL71" s="669"/>
      <c r="EM71" s="669"/>
      <c r="EN71" s="669"/>
      <c r="EO71" s="669"/>
      <c r="EP71" s="669"/>
      <c r="EQ71" s="669"/>
      <c r="ER71" s="669"/>
      <c r="ES71" s="669"/>
      <c r="ET71" s="669"/>
      <c r="EU71" s="669"/>
      <c r="EV71" s="669"/>
      <c r="EW71" s="669"/>
      <c r="EX71" s="669"/>
      <c r="EY71" s="669"/>
      <c r="EZ71" s="669"/>
      <c r="FA71" s="669"/>
      <c r="FB71" s="669"/>
      <c r="FC71" s="669"/>
      <c r="FD71" s="669"/>
      <c r="FE71" s="669"/>
      <c r="FF71" s="669"/>
      <c r="FG71" s="669"/>
      <c r="FH71" s="669"/>
      <c r="FI71" s="669"/>
      <c r="FJ71" s="669"/>
      <c r="FK71" s="669"/>
      <c r="FL71" s="669"/>
      <c r="FM71" s="669"/>
      <c r="FN71" s="669"/>
      <c r="FO71" s="669"/>
      <c r="FP71" s="669"/>
      <c r="FQ71" s="669"/>
      <c r="FR71" s="669"/>
      <c r="FS71" s="669"/>
      <c r="FT71" s="669"/>
      <c r="FU71" s="669"/>
      <c r="FV71" s="669"/>
      <c r="FW71" s="669"/>
      <c r="FX71" s="669"/>
      <c r="FY71" s="669"/>
      <c r="FZ71" s="669"/>
      <c r="GA71" s="669"/>
      <c r="GB71" s="669"/>
      <c r="GC71" s="669"/>
      <c r="GD71" s="669"/>
      <c r="GE71" s="669"/>
      <c r="GF71" s="669"/>
      <c r="GG71" s="669"/>
      <c r="GH71" s="669"/>
      <c r="GI71" s="669"/>
      <c r="GJ71" s="669"/>
      <c r="GK71" s="669"/>
      <c r="GL71" s="669"/>
      <c r="GM71" s="669"/>
      <c r="GN71" s="669"/>
      <c r="GO71" s="669"/>
      <c r="GP71" s="669"/>
      <c r="GQ71" s="669"/>
      <c r="GR71" s="669"/>
      <c r="GS71" s="669"/>
      <c r="GT71" s="669"/>
      <c r="GU71" s="669"/>
      <c r="GV71" s="669"/>
      <c r="GW71" s="669"/>
      <c r="GX71" s="669"/>
      <c r="GY71" s="669"/>
      <c r="GZ71" s="669"/>
      <c r="HA71" s="669"/>
      <c r="HB71" s="669"/>
      <c r="HC71" s="669"/>
      <c r="HD71" s="669"/>
      <c r="HE71" s="669"/>
      <c r="HF71" s="669"/>
      <c r="HG71" s="669"/>
      <c r="HH71" s="669"/>
      <c r="HI71" s="669"/>
      <c r="HJ71" s="669"/>
      <c r="HK71" s="669"/>
      <c r="HL71" s="669"/>
      <c r="HM71" s="669"/>
      <c r="HN71" s="669"/>
      <c r="HO71" s="669"/>
      <c r="HP71" s="669"/>
      <c r="HQ71" s="669"/>
      <c r="HR71" s="669"/>
      <c r="HS71" s="669"/>
      <c r="HT71" s="669"/>
      <c r="HU71" s="669"/>
      <c r="HV71" s="669"/>
      <c r="HW71" s="669"/>
      <c r="HX71" s="669"/>
      <c r="HY71" s="669"/>
      <c r="HZ71" s="669"/>
      <c r="IA71" s="669"/>
      <c r="IB71" s="669"/>
      <c r="IC71" s="669"/>
      <c r="ID71" s="669"/>
      <c r="IE71" s="669"/>
      <c r="IF71" s="669"/>
      <c r="IG71" s="669"/>
      <c r="IH71" s="669"/>
      <c r="II71" s="669"/>
      <c r="IJ71" s="669"/>
      <c r="IK71" s="669"/>
      <c r="IL71" s="669"/>
      <c r="IM71" s="669"/>
      <c r="IN71" s="669"/>
      <c r="IO71" s="669"/>
      <c r="IP71" s="669"/>
      <c r="IQ71" s="669"/>
      <c r="IR71" s="669"/>
      <c r="IS71" s="669"/>
      <c r="IT71" s="669"/>
      <c r="IU71" s="669"/>
      <c r="IV71" s="669"/>
      <c r="IW71" s="669"/>
      <c r="IX71" s="669"/>
      <c r="IY71" s="669"/>
      <c r="IZ71" s="669"/>
      <c r="JA71" s="669"/>
      <c r="JB71" s="669"/>
      <c r="JC71" s="669"/>
      <c r="JD71" s="669"/>
      <c r="JE71" s="669"/>
      <c r="JF71" s="669"/>
      <c r="JG71" s="669"/>
      <c r="JH71" s="669"/>
      <c r="JI71" s="669"/>
      <c r="JJ71" s="669"/>
      <c r="JK71" s="669"/>
      <c r="JL71" s="669"/>
      <c r="JM71" s="669"/>
      <c r="JN71" s="669"/>
      <c r="JO71" s="669"/>
      <c r="JP71" s="669"/>
      <c r="JQ71" s="669"/>
      <c r="JR71" s="669"/>
      <c r="JS71" s="669"/>
      <c r="JT71" s="669"/>
      <c r="JU71" s="669"/>
      <c r="JV71" s="669"/>
      <c r="JW71" s="669"/>
      <c r="JX71" s="669"/>
      <c r="JY71" s="669"/>
      <c r="JZ71" s="669"/>
      <c r="KA71" s="669"/>
      <c r="KB71" s="669"/>
      <c r="KC71" s="669"/>
      <c r="KD71" s="669"/>
      <c r="KE71" s="669"/>
      <c r="KF71" s="669"/>
      <c r="KG71" s="669"/>
      <c r="KH71" s="669"/>
      <c r="KI71" s="669"/>
      <c r="KJ71" s="669"/>
      <c r="KK71" s="669"/>
      <c r="KL71" s="669"/>
      <c r="KM71" s="669"/>
      <c r="KN71" s="669"/>
      <c r="KO71" s="669"/>
      <c r="KP71" s="669"/>
      <c r="KQ71" s="669"/>
      <c r="KR71" s="669"/>
      <c r="KS71" s="669"/>
      <c r="KT71" s="669"/>
      <c r="KU71" s="669"/>
      <c r="KV71" s="669"/>
      <c r="KW71" s="669"/>
      <c r="KX71" s="669"/>
      <c r="KY71" s="669"/>
      <c r="KZ71" s="669"/>
      <c r="LA71" s="669"/>
      <c r="LB71" s="669"/>
      <c r="LC71" s="669"/>
      <c r="LD71" s="669"/>
      <c r="LE71" s="669"/>
      <c r="LF71" s="669"/>
      <c r="LG71" s="669"/>
      <c r="LH71" s="669"/>
      <c r="LI71" s="669"/>
      <c r="LJ71" s="669"/>
      <c r="LK71" s="669"/>
      <c r="LL71" s="669"/>
      <c r="LM71" s="669"/>
      <c r="LN71" s="669"/>
      <c r="LO71" s="669"/>
      <c r="LP71" s="669"/>
      <c r="LQ71" s="669"/>
      <c r="LR71" s="669"/>
      <c r="LS71" s="669"/>
      <c r="LT71" s="669"/>
      <c r="LU71" s="669"/>
      <c r="LV71" s="669"/>
      <c r="LW71" s="669"/>
      <c r="LX71" s="669"/>
      <c r="LY71" s="669"/>
      <c r="LZ71" s="669"/>
      <c r="MA71" s="669"/>
      <c r="MB71" s="669"/>
      <c r="MC71" s="669"/>
      <c r="MD71" s="669"/>
      <c r="ME71" s="669"/>
      <c r="MF71" s="669"/>
      <c r="MG71" s="669"/>
      <c r="MH71" s="669"/>
      <c r="MI71" s="669"/>
      <c r="MJ71" s="669"/>
      <c r="MK71" s="669"/>
      <c r="ML71" s="669"/>
      <c r="MM71" s="669"/>
      <c r="MN71" s="669"/>
      <c r="MO71" s="669"/>
      <c r="MP71" s="669"/>
      <c r="MQ71" s="669"/>
      <c r="MR71" s="669"/>
      <c r="MS71" s="669"/>
      <c r="MT71" s="669"/>
      <c r="MU71" s="669"/>
      <c r="MV71" s="669"/>
      <c r="MW71" s="669"/>
      <c r="MX71" s="669"/>
      <c r="MY71" s="669"/>
      <c r="MZ71" s="669"/>
      <c r="NA71" s="669"/>
      <c r="NB71" s="669"/>
      <c r="NC71" s="669"/>
      <c r="ND71" s="669"/>
      <c r="NE71" s="669"/>
      <c r="NF71" s="669"/>
      <c r="NG71" s="669"/>
      <c r="NH71" s="669"/>
      <c r="NI71" s="669"/>
      <c r="NJ71" s="669"/>
      <c r="NK71" s="669"/>
      <c r="NL71" s="669"/>
      <c r="NM71" s="669"/>
      <c r="NN71" s="669"/>
      <c r="NO71" s="669"/>
      <c r="NP71" s="669"/>
      <c r="NQ71" s="669"/>
      <c r="NR71" s="669"/>
      <c r="NS71" s="669"/>
      <c r="NT71" s="669"/>
      <c r="NU71" s="669"/>
      <c r="NV71" s="669"/>
      <c r="NW71" s="669"/>
      <c r="NX71" s="669"/>
      <c r="NY71" s="669"/>
      <c r="NZ71" s="669"/>
      <c r="OA71" s="669"/>
      <c r="OB71" s="669"/>
      <c r="OC71" s="669"/>
      <c r="OD71" s="669"/>
      <c r="OE71" s="669"/>
      <c r="OF71" s="669"/>
      <c r="OG71" s="669"/>
      <c r="OH71" s="669"/>
      <c r="OI71" s="669"/>
      <c r="OJ71" s="669"/>
      <c r="OK71" s="669"/>
      <c r="OL71" s="669"/>
      <c r="OM71" s="669"/>
      <c r="ON71" s="669"/>
      <c r="OO71" s="669"/>
      <c r="OP71" s="669"/>
      <c r="OQ71" s="669"/>
      <c r="OR71" s="669"/>
      <c r="OS71" s="669"/>
      <c r="OT71" s="669"/>
      <c r="OU71" s="669"/>
      <c r="OV71" s="669"/>
      <c r="OW71" s="669"/>
      <c r="OX71" s="669"/>
      <c r="OY71" s="669"/>
      <c r="OZ71" s="669"/>
      <c r="PA71" s="669"/>
      <c r="PB71" s="669"/>
      <c r="PC71" s="669"/>
      <c r="PD71" s="669"/>
      <c r="PE71" s="669"/>
      <c r="PF71" s="669"/>
      <c r="PG71" s="669"/>
      <c r="PH71" s="669"/>
      <c r="PI71" s="669"/>
      <c r="PJ71" s="669"/>
      <c r="PK71" s="669"/>
      <c r="PL71" s="669"/>
      <c r="PM71" s="669"/>
      <c r="PN71" s="669"/>
      <c r="PO71" s="669"/>
      <c r="PP71" s="669"/>
      <c r="PQ71" s="669"/>
      <c r="PR71" s="669"/>
      <c r="PS71" s="669"/>
      <c r="PT71" s="669"/>
      <c r="PU71" s="669"/>
      <c r="PV71" s="669"/>
      <c r="PW71" s="669"/>
      <c r="PX71" s="669"/>
      <c r="PY71" s="669"/>
      <c r="PZ71" s="669"/>
      <c r="QA71" s="669"/>
      <c r="QB71" s="669"/>
      <c r="QC71" s="669"/>
      <c r="QD71" s="669"/>
    </row>
    <row r="72" spans="1:446" s="116" customFormat="1" x14ac:dyDescent="0.25">
      <c r="A72" s="678">
        <v>1</v>
      </c>
      <c r="B72" s="668"/>
      <c r="C72" s="669"/>
      <c r="D72" s="669"/>
      <c r="E72" s="668"/>
      <c r="F72" s="669"/>
      <c r="G72" s="669"/>
      <c r="H72" s="669"/>
      <c r="I72" s="669"/>
      <c r="J72" s="669"/>
      <c r="K72" s="669"/>
      <c r="L72" s="669"/>
      <c r="M72" s="669"/>
      <c r="N72" s="669"/>
      <c r="O72" s="669"/>
      <c r="P72" s="669"/>
      <c r="Q72" s="669"/>
      <c r="R72" s="669"/>
      <c r="S72" s="669"/>
      <c r="T72" s="669"/>
      <c r="U72" s="669"/>
      <c r="V72" s="669"/>
      <c r="W72" s="669"/>
      <c r="X72" s="669"/>
      <c r="Y72" s="669"/>
      <c r="Z72" s="669"/>
      <c r="AA72" s="669"/>
      <c r="AB72" s="669"/>
      <c r="AC72" s="669"/>
      <c r="AD72" s="669"/>
      <c r="AE72" s="669"/>
      <c r="AF72" s="669"/>
      <c r="AG72" s="669"/>
      <c r="AH72" s="669"/>
      <c r="AI72" s="669"/>
      <c r="AJ72" s="669"/>
      <c r="AK72" s="669"/>
      <c r="AL72" s="669"/>
      <c r="AM72" s="669"/>
      <c r="AN72" s="669"/>
      <c r="AO72" s="669"/>
      <c r="AP72" s="669"/>
      <c r="AQ72" s="669"/>
      <c r="AR72" s="669"/>
      <c r="AS72" s="669"/>
      <c r="AT72" s="669"/>
      <c r="AU72" s="669"/>
      <c r="AV72" s="669"/>
      <c r="AW72" s="669"/>
      <c r="AX72" s="669"/>
      <c r="AY72" s="669"/>
      <c r="AZ72" s="669"/>
      <c r="BA72" s="669"/>
      <c r="BB72" s="669"/>
      <c r="BC72" s="669"/>
      <c r="BD72" s="669"/>
      <c r="BE72" s="669"/>
      <c r="BF72" s="669"/>
      <c r="BG72" s="669"/>
      <c r="BH72" s="669"/>
      <c r="BI72" s="669"/>
      <c r="BJ72" s="669"/>
      <c r="BK72" s="669"/>
      <c r="BL72" s="669"/>
      <c r="BM72" s="669"/>
      <c r="BN72" s="669"/>
      <c r="BO72" s="669"/>
      <c r="BP72" s="669"/>
      <c r="BQ72" s="669"/>
      <c r="BR72" s="669"/>
      <c r="BS72" s="669"/>
      <c r="BT72" s="669"/>
      <c r="BU72" s="669"/>
      <c r="BV72" s="669"/>
      <c r="BW72" s="669"/>
      <c r="BX72" s="669"/>
      <c r="BY72" s="669"/>
      <c r="BZ72" s="669"/>
      <c r="CA72" s="669"/>
      <c r="CB72" s="669"/>
      <c r="CC72" s="669"/>
      <c r="CD72" s="669"/>
      <c r="CE72" s="669"/>
      <c r="CF72" s="669"/>
      <c r="CG72" s="669"/>
      <c r="CH72" s="669"/>
      <c r="CI72" s="669"/>
      <c r="CJ72" s="669"/>
      <c r="CK72" s="669"/>
      <c r="CL72" s="669"/>
      <c r="CM72" s="669"/>
      <c r="CN72" s="669"/>
      <c r="CO72" s="669"/>
      <c r="CP72" s="669"/>
      <c r="CQ72" s="669"/>
      <c r="CR72" s="669"/>
      <c r="CS72" s="669"/>
      <c r="CT72" s="669"/>
      <c r="CU72" s="669"/>
      <c r="CV72" s="669"/>
      <c r="CW72" s="669"/>
      <c r="CX72" s="669"/>
      <c r="CY72" s="669"/>
      <c r="CZ72" s="669"/>
      <c r="DA72" s="669"/>
      <c r="DB72" s="669"/>
      <c r="DC72" s="669"/>
      <c r="DD72" s="669"/>
      <c r="DE72" s="669"/>
      <c r="DF72" s="669"/>
      <c r="DG72" s="669"/>
      <c r="DH72" s="669"/>
      <c r="DI72" s="669"/>
      <c r="DJ72" s="669"/>
      <c r="DK72" s="669"/>
      <c r="DL72" s="669"/>
      <c r="DM72" s="669"/>
      <c r="DN72" s="669"/>
      <c r="DO72" s="669"/>
      <c r="DP72" s="669"/>
      <c r="DQ72" s="669"/>
      <c r="DR72" s="669"/>
      <c r="DS72" s="669"/>
      <c r="DT72" s="669"/>
      <c r="DU72" s="669"/>
      <c r="DV72" s="669"/>
      <c r="DW72" s="669"/>
      <c r="DX72" s="669"/>
      <c r="DY72" s="669"/>
      <c r="DZ72" s="669"/>
      <c r="EA72" s="669"/>
      <c r="EB72" s="669"/>
      <c r="EC72" s="669"/>
      <c r="ED72" s="669"/>
      <c r="EE72" s="669"/>
      <c r="EF72" s="669"/>
      <c r="EG72" s="669"/>
      <c r="EH72" s="669"/>
      <c r="EI72" s="669"/>
      <c r="EJ72" s="669"/>
      <c r="EK72" s="669"/>
      <c r="EL72" s="669"/>
      <c r="EM72" s="669"/>
      <c r="EN72" s="669"/>
      <c r="EO72" s="669"/>
      <c r="EP72" s="669"/>
      <c r="EQ72" s="669"/>
      <c r="ER72" s="669"/>
      <c r="ES72" s="669"/>
      <c r="ET72" s="669"/>
      <c r="EU72" s="669"/>
      <c r="EV72" s="669"/>
      <c r="EW72" s="669"/>
      <c r="EX72" s="669"/>
      <c r="EY72" s="669"/>
      <c r="EZ72" s="669"/>
      <c r="FA72" s="669"/>
      <c r="FB72" s="669"/>
      <c r="FC72" s="669"/>
      <c r="FD72" s="669"/>
      <c r="FE72" s="669"/>
      <c r="FF72" s="669"/>
      <c r="FG72" s="669"/>
      <c r="FH72" s="669"/>
      <c r="FI72" s="669"/>
      <c r="FJ72" s="669"/>
      <c r="FK72" s="669"/>
      <c r="FL72" s="669"/>
      <c r="FM72" s="669"/>
      <c r="FN72" s="669"/>
      <c r="FO72" s="669"/>
      <c r="FP72" s="669"/>
      <c r="FQ72" s="669"/>
      <c r="FR72" s="669"/>
      <c r="FS72" s="669"/>
      <c r="FT72" s="669"/>
      <c r="FU72" s="669"/>
      <c r="FV72" s="669"/>
      <c r="FW72" s="669"/>
      <c r="FX72" s="669"/>
      <c r="FY72" s="669"/>
      <c r="FZ72" s="669"/>
      <c r="GA72" s="669"/>
      <c r="GB72" s="669"/>
      <c r="GC72" s="669"/>
      <c r="GD72" s="669"/>
      <c r="GE72" s="669"/>
      <c r="GF72" s="669"/>
      <c r="GG72" s="669"/>
      <c r="GH72" s="669"/>
      <c r="GI72" s="669"/>
      <c r="GJ72" s="669"/>
      <c r="GK72" s="669"/>
      <c r="GL72" s="669"/>
      <c r="GM72" s="669"/>
      <c r="GN72" s="669"/>
      <c r="GO72" s="669"/>
      <c r="GP72" s="669"/>
      <c r="GQ72" s="669"/>
      <c r="GR72" s="669"/>
      <c r="GS72" s="669"/>
      <c r="GT72" s="669"/>
      <c r="GU72" s="669"/>
      <c r="GV72" s="669"/>
      <c r="GW72" s="669"/>
      <c r="GX72" s="669"/>
      <c r="GY72" s="669"/>
      <c r="GZ72" s="669"/>
      <c r="HA72" s="669"/>
      <c r="HB72" s="669"/>
      <c r="HC72" s="669"/>
      <c r="HD72" s="669"/>
      <c r="HE72" s="669"/>
      <c r="HF72" s="669"/>
      <c r="HG72" s="669"/>
      <c r="HH72" s="669"/>
      <c r="HI72" s="669"/>
      <c r="HJ72" s="669"/>
      <c r="HK72" s="669"/>
      <c r="HL72" s="669"/>
      <c r="HM72" s="669"/>
      <c r="HN72" s="669"/>
      <c r="HO72" s="669"/>
      <c r="HP72" s="669"/>
      <c r="HQ72" s="669"/>
      <c r="HR72" s="669"/>
      <c r="HS72" s="669"/>
      <c r="HT72" s="669"/>
      <c r="HU72" s="669"/>
      <c r="HV72" s="669"/>
      <c r="HW72" s="669"/>
      <c r="HX72" s="669"/>
      <c r="HY72" s="669"/>
      <c r="HZ72" s="669"/>
      <c r="IA72" s="669"/>
      <c r="IB72" s="669"/>
      <c r="IC72" s="669"/>
      <c r="ID72" s="669"/>
      <c r="IE72" s="669"/>
      <c r="IF72" s="669"/>
      <c r="IG72" s="669"/>
      <c r="IH72" s="669"/>
      <c r="II72" s="669"/>
      <c r="IJ72" s="669"/>
      <c r="IK72" s="669"/>
      <c r="IL72" s="669"/>
      <c r="IM72" s="669"/>
      <c r="IN72" s="669"/>
      <c r="IO72" s="669"/>
      <c r="IP72" s="669"/>
      <c r="IQ72" s="669"/>
      <c r="IR72" s="669"/>
      <c r="IS72" s="669"/>
      <c r="IT72" s="669"/>
      <c r="IU72" s="669"/>
      <c r="IV72" s="669"/>
      <c r="IW72" s="669"/>
      <c r="IX72" s="669"/>
      <c r="IY72" s="669"/>
      <c r="IZ72" s="669"/>
      <c r="JA72" s="669"/>
      <c r="JB72" s="669"/>
      <c r="JC72" s="669"/>
      <c r="JD72" s="669"/>
      <c r="JE72" s="669"/>
      <c r="JF72" s="669"/>
      <c r="JG72" s="669"/>
      <c r="JH72" s="669"/>
      <c r="JI72" s="669"/>
      <c r="JJ72" s="669"/>
      <c r="JK72" s="669"/>
      <c r="JL72" s="669"/>
      <c r="JM72" s="669"/>
      <c r="JN72" s="669"/>
      <c r="JO72" s="669"/>
      <c r="JP72" s="669"/>
      <c r="JQ72" s="669"/>
      <c r="JR72" s="669"/>
      <c r="JS72" s="669"/>
      <c r="JT72" s="669"/>
      <c r="JU72" s="669"/>
      <c r="JV72" s="669"/>
      <c r="JW72" s="669"/>
      <c r="JX72" s="669"/>
      <c r="JY72" s="669"/>
      <c r="JZ72" s="669"/>
      <c r="KA72" s="669"/>
      <c r="KB72" s="669"/>
      <c r="KC72" s="669"/>
      <c r="KD72" s="669"/>
      <c r="KE72" s="669"/>
      <c r="KF72" s="669"/>
      <c r="KG72" s="669"/>
      <c r="KH72" s="669"/>
      <c r="KI72" s="669"/>
      <c r="KJ72" s="669"/>
      <c r="KK72" s="669"/>
      <c r="KL72" s="669"/>
      <c r="KM72" s="669"/>
      <c r="KN72" s="669"/>
      <c r="KO72" s="669"/>
      <c r="KP72" s="669"/>
      <c r="KQ72" s="669"/>
      <c r="KR72" s="669"/>
      <c r="KS72" s="669"/>
      <c r="KT72" s="669"/>
      <c r="KU72" s="669"/>
      <c r="KV72" s="669"/>
      <c r="KW72" s="669"/>
      <c r="KX72" s="669"/>
      <c r="KY72" s="669"/>
      <c r="KZ72" s="669"/>
      <c r="LA72" s="669"/>
      <c r="LB72" s="669"/>
      <c r="LC72" s="669"/>
      <c r="LD72" s="669"/>
      <c r="LE72" s="669"/>
      <c r="LF72" s="669"/>
      <c r="LG72" s="669"/>
      <c r="LH72" s="669"/>
      <c r="LI72" s="669"/>
      <c r="LJ72" s="669"/>
      <c r="LK72" s="669"/>
      <c r="LL72" s="669"/>
      <c r="LM72" s="669"/>
      <c r="LN72" s="669"/>
      <c r="LO72" s="669"/>
      <c r="LP72" s="669"/>
      <c r="LQ72" s="669"/>
      <c r="LR72" s="669"/>
      <c r="LS72" s="669"/>
      <c r="LT72" s="669"/>
      <c r="LU72" s="669"/>
      <c r="LV72" s="669"/>
      <c r="LW72" s="669"/>
      <c r="LX72" s="669"/>
      <c r="LY72" s="669"/>
      <c r="LZ72" s="669"/>
      <c r="MA72" s="669"/>
      <c r="MB72" s="669"/>
      <c r="MC72" s="669"/>
      <c r="MD72" s="669"/>
      <c r="ME72" s="669"/>
      <c r="MF72" s="669"/>
      <c r="MG72" s="669"/>
      <c r="MH72" s="669"/>
      <c r="MI72" s="669"/>
      <c r="MJ72" s="669"/>
      <c r="MK72" s="669"/>
      <c r="ML72" s="669"/>
      <c r="MM72" s="669"/>
      <c r="MN72" s="669"/>
      <c r="MO72" s="669"/>
      <c r="MP72" s="669"/>
      <c r="MQ72" s="669"/>
      <c r="MR72" s="669"/>
      <c r="MS72" s="669"/>
      <c r="MT72" s="669"/>
      <c r="MU72" s="669"/>
      <c r="MV72" s="669"/>
      <c r="MW72" s="669"/>
      <c r="MX72" s="669"/>
      <c r="MY72" s="669"/>
      <c r="MZ72" s="669"/>
      <c r="NA72" s="669"/>
      <c r="NB72" s="669"/>
      <c r="NC72" s="669"/>
      <c r="ND72" s="669"/>
      <c r="NE72" s="669"/>
      <c r="NF72" s="669"/>
      <c r="NG72" s="669"/>
      <c r="NH72" s="669"/>
      <c r="NI72" s="669"/>
      <c r="NJ72" s="669"/>
      <c r="NK72" s="669"/>
      <c r="NL72" s="669"/>
      <c r="NM72" s="669"/>
      <c r="NN72" s="669"/>
      <c r="NO72" s="669"/>
      <c r="NP72" s="669"/>
      <c r="NQ72" s="669"/>
      <c r="NR72" s="669"/>
      <c r="NS72" s="669"/>
      <c r="NT72" s="669"/>
      <c r="NU72" s="669"/>
      <c r="NV72" s="669"/>
      <c r="NW72" s="669"/>
      <c r="NX72" s="669"/>
      <c r="NY72" s="669"/>
      <c r="NZ72" s="669"/>
      <c r="OA72" s="669"/>
      <c r="OB72" s="669"/>
      <c r="OC72" s="669"/>
      <c r="OD72" s="669"/>
      <c r="OE72" s="669"/>
      <c r="OF72" s="669"/>
      <c r="OG72" s="669"/>
      <c r="OH72" s="669"/>
      <c r="OI72" s="669"/>
      <c r="OJ72" s="669"/>
      <c r="OK72" s="669"/>
      <c r="OL72" s="669"/>
      <c r="OM72" s="669"/>
      <c r="ON72" s="669"/>
      <c r="OO72" s="669"/>
      <c r="OP72" s="669"/>
      <c r="OQ72" s="669"/>
      <c r="OR72" s="669"/>
      <c r="OS72" s="669"/>
      <c r="OT72" s="669"/>
      <c r="OU72" s="669"/>
      <c r="OV72" s="669"/>
      <c r="OW72" s="669"/>
      <c r="OX72" s="669"/>
      <c r="OY72" s="669"/>
      <c r="OZ72" s="669"/>
      <c r="PA72" s="669"/>
      <c r="PB72" s="669"/>
      <c r="PC72" s="669"/>
      <c r="PD72" s="669"/>
      <c r="PE72" s="669"/>
      <c r="PF72" s="669"/>
      <c r="PG72" s="669"/>
      <c r="PH72" s="669"/>
      <c r="PI72" s="669"/>
      <c r="PJ72" s="669"/>
      <c r="PK72" s="669"/>
      <c r="PL72" s="669"/>
      <c r="PM72" s="669"/>
      <c r="PN72" s="669"/>
      <c r="PO72" s="669"/>
      <c r="PP72" s="669"/>
      <c r="PQ72" s="669"/>
      <c r="PR72" s="669"/>
      <c r="PS72" s="669"/>
      <c r="PT72" s="669"/>
      <c r="PU72" s="669"/>
      <c r="PV72" s="669"/>
      <c r="PW72" s="669"/>
      <c r="PX72" s="669"/>
      <c r="PY72" s="669"/>
      <c r="PZ72" s="669"/>
      <c r="QA72" s="669"/>
      <c r="QB72" s="669"/>
      <c r="QC72" s="669"/>
      <c r="QD72" s="669"/>
    </row>
    <row r="73" spans="1:446" s="116" customFormat="1" x14ac:dyDescent="0.25">
      <c r="A73" s="678">
        <v>1</v>
      </c>
      <c r="B73" s="668"/>
      <c r="C73" s="669"/>
      <c r="D73" s="669"/>
      <c r="E73" s="668"/>
      <c r="F73" s="669"/>
      <c r="G73" s="669"/>
      <c r="H73" s="669"/>
      <c r="I73" s="669"/>
      <c r="J73" s="669"/>
      <c r="K73" s="669"/>
      <c r="L73" s="669"/>
      <c r="M73" s="669"/>
      <c r="N73" s="669"/>
      <c r="O73" s="669"/>
      <c r="P73" s="669"/>
      <c r="Q73" s="669"/>
      <c r="R73" s="669"/>
      <c r="S73" s="669"/>
      <c r="T73" s="669"/>
      <c r="U73" s="669"/>
      <c r="V73" s="669"/>
      <c r="W73" s="669"/>
      <c r="X73" s="669"/>
      <c r="Y73" s="669"/>
      <c r="Z73" s="669"/>
      <c r="AA73" s="669"/>
      <c r="AB73" s="669"/>
      <c r="AC73" s="669"/>
      <c r="AD73" s="669"/>
      <c r="AE73" s="669"/>
      <c r="AF73" s="669"/>
      <c r="AG73" s="669"/>
      <c r="AH73" s="669"/>
      <c r="AI73" s="669"/>
      <c r="AJ73" s="669"/>
      <c r="AK73" s="669"/>
      <c r="AL73" s="669"/>
      <c r="AM73" s="669"/>
      <c r="AN73" s="669"/>
      <c r="AO73" s="669"/>
      <c r="AP73" s="669"/>
      <c r="AQ73" s="669"/>
      <c r="AR73" s="669"/>
      <c r="AS73" s="669"/>
      <c r="AT73" s="669"/>
      <c r="AU73" s="669"/>
      <c r="AV73" s="669"/>
      <c r="AW73" s="669"/>
      <c r="AX73" s="669"/>
      <c r="AY73" s="669"/>
      <c r="AZ73" s="669"/>
      <c r="BA73" s="669"/>
      <c r="BB73" s="669"/>
      <c r="BC73" s="669"/>
      <c r="BD73" s="669"/>
      <c r="BE73" s="669"/>
      <c r="BF73" s="669"/>
      <c r="BG73" s="669"/>
      <c r="BH73" s="669"/>
      <c r="BI73" s="669"/>
      <c r="BJ73" s="669"/>
      <c r="BK73" s="669"/>
      <c r="BL73" s="669"/>
      <c r="BM73" s="669"/>
      <c r="BN73" s="669"/>
      <c r="BO73" s="669"/>
      <c r="BP73" s="669"/>
      <c r="BQ73" s="669"/>
      <c r="BR73" s="669"/>
      <c r="BS73" s="669"/>
      <c r="BT73" s="669"/>
      <c r="BU73" s="669"/>
      <c r="BV73" s="669"/>
      <c r="BW73" s="669"/>
      <c r="BX73" s="669"/>
      <c r="BY73" s="669"/>
      <c r="BZ73" s="669"/>
      <c r="CA73" s="669"/>
      <c r="CB73" s="669"/>
      <c r="CC73" s="669"/>
      <c r="CD73" s="669"/>
      <c r="CE73" s="669"/>
      <c r="CF73" s="669"/>
      <c r="CG73" s="669"/>
      <c r="CH73" s="669"/>
      <c r="CI73" s="669"/>
      <c r="CJ73" s="669"/>
      <c r="CK73" s="669"/>
      <c r="CL73" s="669"/>
      <c r="CM73" s="669"/>
      <c r="CN73" s="669"/>
      <c r="CO73" s="669"/>
      <c r="CP73" s="669"/>
      <c r="CQ73" s="669"/>
      <c r="CR73" s="669"/>
      <c r="CS73" s="669"/>
      <c r="CT73" s="669"/>
      <c r="CU73" s="669"/>
      <c r="CV73" s="669"/>
      <c r="CW73" s="669"/>
      <c r="CX73" s="669"/>
      <c r="CY73" s="669"/>
      <c r="CZ73" s="669"/>
      <c r="DA73" s="669"/>
      <c r="DB73" s="669"/>
      <c r="DC73" s="669"/>
      <c r="DD73" s="669"/>
      <c r="DE73" s="669"/>
      <c r="DF73" s="669"/>
      <c r="DG73" s="669"/>
      <c r="DH73" s="669"/>
      <c r="DI73" s="669"/>
      <c r="DJ73" s="669"/>
      <c r="DK73" s="669"/>
      <c r="DL73" s="669"/>
      <c r="DM73" s="669"/>
      <c r="DN73" s="669"/>
      <c r="DO73" s="669"/>
      <c r="DP73" s="669"/>
      <c r="DQ73" s="669"/>
      <c r="DR73" s="669"/>
      <c r="DS73" s="669"/>
      <c r="DT73" s="669"/>
      <c r="DU73" s="669"/>
      <c r="DV73" s="669"/>
      <c r="DW73" s="669"/>
      <c r="DX73" s="669"/>
      <c r="DY73" s="669"/>
      <c r="DZ73" s="669"/>
      <c r="EA73" s="669"/>
      <c r="EB73" s="669"/>
      <c r="EC73" s="669"/>
      <c r="ED73" s="669"/>
      <c r="EE73" s="669"/>
      <c r="EF73" s="669"/>
      <c r="EG73" s="669"/>
      <c r="EH73" s="669"/>
      <c r="EI73" s="669"/>
      <c r="EJ73" s="669"/>
      <c r="EK73" s="669"/>
      <c r="EL73" s="669"/>
      <c r="EM73" s="669"/>
      <c r="EN73" s="669"/>
      <c r="EO73" s="669"/>
      <c r="EP73" s="669"/>
      <c r="EQ73" s="669"/>
      <c r="ER73" s="669"/>
      <c r="ES73" s="669"/>
      <c r="ET73" s="669"/>
      <c r="EU73" s="669"/>
      <c r="EV73" s="669"/>
      <c r="EW73" s="669"/>
      <c r="EX73" s="669"/>
      <c r="EY73" s="669"/>
      <c r="EZ73" s="669"/>
      <c r="FA73" s="669"/>
      <c r="FB73" s="669"/>
      <c r="FC73" s="669"/>
      <c r="FD73" s="669"/>
      <c r="FE73" s="669"/>
      <c r="FF73" s="669"/>
      <c r="FG73" s="669"/>
      <c r="FH73" s="669"/>
      <c r="FI73" s="669"/>
      <c r="FJ73" s="669"/>
      <c r="FK73" s="669"/>
      <c r="FL73" s="669"/>
      <c r="FM73" s="669"/>
      <c r="FN73" s="669"/>
      <c r="FO73" s="669"/>
      <c r="FP73" s="669"/>
      <c r="FQ73" s="669"/>
      <c r="FR73" s="669"/>
      <c r="FS73" s="669"/>
      <c r="FT73" s="669"/>
      <c r="FU73" s="669"/>
      <c r="FV73" s="669"/>
      <c r="FW73" s="669"/>
      <c r="FX73" s="669"/>
      <c r="FY73" s="669"/>
      <c r="FZ73" s="669"/>
      <c r="GA73" s="669"/>
      <c r="GB73" s="669"/>
      <c r="GC73" s="669"/>
      <c r="GD73" s="669"/>
      <c r="GE73" s="669"/>
      <c r="GF73" s="669"/>
      <c r="GG73" s="669"/>
      <c r="GH73" s="669"/>
      <c r="GI73" s="669"/>
      <c r="GJ73" s="669"/>
      <c r="GK73" s="669"/>
      <c r="GL73" s="669"/>
      <c r="GM73" s="669"/>
      <c r="GN73" s="669"/>
      <c r="GO73" s="669"/>
      <c r="GP73" s="669"/>
      <c r="GQ73" s="669"/>
      <c r="GR73" s="669"/>
      <c r="GS73" s="669"/>
      <c r="GT73" s="669"/>
      <c r="GU73" s="669"/>
      <c r="GV73" s="669"/>
      <c r="GW73" s="669"/>
      <c r="GX73" s="669"/>
      <c r="GY73" s="669"/>
      <c r="GZ73" s="669"/>
      <c r="HA73" s="669"/>
      <c r="HB73" s="669"/>
      <c r="HC73" s="669"/>
      <c r="HD73" s="669"/>
      <c r="HE73" s="669"/>
      <c r="HF73" s="669"/>
      <c r="HG73" s="669"/>
      <c r="HH73" s="669"/>
      <c r="HI73" s="669"/>
      <c r="HJ73" s="669"/>
      <c r="HK73" s="669"/>
      <c r="HL73" s="669"/>
      <c r="HM73" s="669"/>
      <c r="HN73" s="669"/>
      <c r="HO73" s="669"/>
      <c r="HP73" s="669"/>
      <c r="HQ73" s="669"/>
      <c r="HR73" s="669"/>
      <c r="HS73" s="669"/>
      <c r="HT73" s="669"/>
      <c r="HU73" s="669"/>
      <c r="HV73" s="669"/>
      <c r="HW73" s="669"/>
      <c r="HX73" s="669"/>
      <c r="HY73" s="669"/>
      <c r="HZ73" s="669"/>
      <c r="IA73" s="669"/>
      <c r="IB73" s="669"/>
      <c r="IC73" s="669"/>
      <c r="ID73" s="669"/>
      <c r="IE73" s="669"/>
      <c r="IF73" s="669"/>
      <c r="IG73" s="669"/>
      <c r="IH73" s="669"/>
      <c r="II73" s="669"/>
      <c r="IJ73" s="669"/>
      <c r="IK73" s="669"/>
      <c r="IL73" s="669"/>
      <c r="IM73" s="669"/>
      <c r="IN73" s="669"/>
      <c r="IO73" s="669"/>
      <c r="IP73" s="669"/>
      <c r="IQ73" s="669"/>
      <c r="IR73" s="669"/>
      <c r="IS73" s="669"/>
      <c r="IT73" s="669"/>
      <c r="IU73" s="669"/>
      <c r="IV73" s="669"/>
      <c r="IW73" s="669"/>
      <c r="IX73" s="669"/>
      <c r="IY73" s="669"/>
      <c r="IZ73" s="669"/>
      <c r="JA73" s="669"/>
      <c r="JB73" s="669"/>
      <c r="JC73" s="669"/>
      <c r="JD73" s="669"/>
      <c r="JE73" s="669"/>
      <c r="JF73" s="669"/>
      <c r="JG73" s="669"/>
      <c r="JH73" s="669"/>
      <c r="JI73" s="669"/>
      <c r="JJ73" s="669"/>
      <c r="JK73" s="669"/>
      <c r="JL73" s="669"/>
      <c r="JM73" s="669"/>
      <c r="JN73" s="669"/>
      <c r="JO73" s="669"/>
      <c r="JP73" s="669"/>
      <c r="JQ73" s="669"/>
      <c r="JR73" s="669"/>
      <c r="JS73" s="669"/>
      <c r="JT73" s="669"/>
      <c r="JU73" s="669"/>
      <c r="JV73" s="669"/>
      <c r="JW73" s="669"/>
      <c r="JX73" s="669"/>
      <c r="JY73" s="669"/>
      <c r="JZ73" s="669"/>
      <c r="KA73" s="669"/>
      <c r="KB73" s="669"/>
      <c r="KC73" s="669"/>
      <c r="KD73" s="669"/>
      <c r="KE73" s="669"/>
      <c r="KF73" s="669"/>
      <c r="KG73" s="669"/>
      <c r="KH73" s="669"/>
      <c r="KI73" s="669"/>
      <c r="KJ73" s="669"/>
      <c r="KK73" s="669"/>
      <c r="KL73" s="669"/>
      <c r="KM73" s="669"/>
      <c r="KN73" s="669"/>
      <c r="KO73" s="669"/>
      <c r="KP73" s="669"/>
      <c r="KQ73" s="669"/>
      <c r="KR73" s="669"/>
      <c r="KS73" s="669"/>
      <c r="KT73" s="669"/>
      <c r="KU73" s="669"/>
      <c r="KV73" s="669"/>
      <c r="KW73" s="669"/>
      <c r="KX73" s="669"/>
      <c r="KY73" s="669"/>
      <c r="KZ73" s="669"/>
      <c r="LA73" s="669"/>
      <c r="LB73" s="669"/>
      <c r="LC73" s="669"/>
      <c r="LD73" s="669"/>
      <c r="LE73" s="669"/>
      <c r="LF73" s="669"/>
      <c r="LG73" s="669"/>
      <c r="LH73" s="669"/>
      <c r="LI73" s="669"/>
      <c r="LJ73" s="669"/>
      <c r="LK73" s="669"/>
      <c r="LL73" s="669"/>
      <c r="LM73" s="669"/>
      <c r="LN73" s="669"/>
      <c r="LO73" s="669"/>
      <c r="LP73" s="669"/>
      <c r="LQ73" s="669"/>
      <c r="LR73" s="669"/>
      <c r="LS73" s="669"/>
      <c r="LT73" s="669"/>
      <c r="LU73" s="669"/>
      <c r="LV73" s="669"/>
      <c r="LW73" s="669"/>
      <c r="LX73" s="669"/>
      <c r="LY73" s="669"/>
      <c r="LZ73" s="669"/>
      <c r="MA73" s="669"/>
      <c r="MB73" s="669"/>
      <c r="MC73" s="669"/>
      <c r="MD73" s="669"/>
      <c r="ME73" s="669"/>
      <c r="MF73" s="669"/>
      <c r="MG73" s="669"/>
      <c r="MH73" s="669"/>
      <c r="MI73" s="669"/>
      <c r="MJ73" s="669"/>
      <c r="MK73" s="669"/>
      <c r="ML73" s="669"/>
      <c r="MM73" s="669"/>
      <c r="MN73" s="669"/>
      <c r="MO73" s="669"/>
      <c r="MP73" s="669"/>
      <c r="MQ73" s="669"/>
      <c r="MR73" s="669"/>
      <c r="MS73" s="669"/>
      <c r="MT73" s="669"/>
      <c r="MU73" s="669"/>
      <c r="MV73" s="669"/>
      <c r="MW73" s="669"/>
      <c r="MX73" s="669"/>
      <c r="MY73" s="669"/>
      <c r="MZ73" s="669"/>
      <c r="NA73" s="669"/>
      <c r="NB73" s="669"/>
      <c r="NC73" s="669"/>
      <c r="ND73" s="669"/>
      <c r="NE73" s="669"/>
      <c r="NF73" s="669"/>
      <c r="NG73" s="669"/>
      <c r="NH73" s="669"/>
      <c r="NI73" s="669"/>
      <c r="NJ73" s="669"/>
      <c r="NK73" s="669"/>
      <c r="NL73" s="669"/>
      <c r="NM73" s="669"/>
      <c r="NN73" s="669"/>
      <c r="NO73" s="669"/>
      <c r="NP73" s="669"/>
      <c r="NQ73" s="669"/>
      <c r="NR73" s="669"/>
      <c r="NS73" s="669"/>
      <c r="NT73" s="669"/>
      <c r="NU73" s="669"/>
      <c r="NV73" s="669"/>
      <c r="NW73" s="669"/>
      <c r="NX73" s="669"/>
      <c r="NY73" s="669"/>
      <c r="NZ73" s="669"/>
      <c r="OA73" s="669"/>
      <c r="OB73" s="669"/>
      <c r="OC73" s="669"/>
      <c r="OD73" s="669"/>
      <c r="OE73" s="669"/>
      <c r="OF73" s="669"/>
      <c r="OG73" s="669"/>
      <c r="OH73" s="669"/>
      <c r="OI73" s="669"/>
      <c r="OJ73" s="669"/>
      <c r="OK73" s="669"/>
      <c r="OL73" s="669"/>
      <c r="OM73" s="669"/>
      <c r="ON73" s="669"/>
      <c r="OO73" s="669"/>
      <c r="OP73" s="669"/>
      <c r="OQ73" s="669"/>
      <c r="OR73" s="669"/>
      <c r="OS73" s="669"/>
      <c r="OT73" s="669"/>
      <c r="OU73" s="669"/>
      <c r="OV73" s="669"/>
      <c r="OW73" s="669"/>
      <c r="OX73" s="669"/>
      <c r="OY73" s="669"/>
      <c r="OZ73" s="669"/>
      <c r="PA73" s="669"/>
      <c r="PB73" s="669"/>
      <c r="PC73" s="669"/>
      <c r="PD73" s="669"/>
      <c r="PE73" s="669"/>
      <c r="PF73" s="669"/>
      <c r="PG73" s="669"/>
      <c r="PH73" s="669"/>
      <c r="PI73" s="669"/>
      <c r="PJ73" s="669"/>
      <c r="PK73" s="669"/>
      <c r="PL73" s="669"/>
      <c r="PM73" s="669"/>
      <c r="PN73" s="669"/>
      <c r="PO73" s="669"/>
      <c r="PP73" s="669"/>
      <c r="PQ73" s="669"/>
      <c r="PR73" s="669"/>
      <c r="PS73" s="669"/>
      <c r="PT73" s="669"/>
      <c r="PU73" s="669"/>
      <c r="PV73" s="669"/>
      <c r="PW73" s="669"/>
      <c r="PX73" s="669"/>
      <c r="PY73" s="669"/>
      <c r="PZ73" s="669"/>
      <c r="QA73" s="669"/>
      <c r="QB73" s="669"/>
      <c r="QC73" s="669"/>
      <c r="QD73" s="669"/>
    </row>
    <row r="74" spans="1:446" s="116" customFormat="1" x14ac:dyDescent="0.25">
      <c r="A74" s="678">
        <v>1</v>
      </c>
      <c r="B74" s="668"/>
      <c r="C74" s="669"/>
      <c r="D74" s="669"/>
      <c r="E74" s="668"/>
      <c r="F74" s="669"/>
      <c r="G74" s="669"/>
      <c r="H74" s="669"/>
      <c r="I74" s="669"/>
      <c r="J74" s="669"/>
      <c r="K74" s="669"/>
      <c r="L74" s="669"/>
      <c r="M74" s="669"/>
      <c r="N74" s="669"/>
      <c r="O74" s="669"/>
      <c r="P74" s="669"/>
      <c r="Q74" s="669"/>
      <c r="R74" s="669"/>
      <c r="S74" s="669"/>
      <c r="T74" s="669"/>
      <c r="U74" s="669"/>
      <c r="V74" s="669"/>
      <c r="W74" s="669"/>
      <c r="X74" s="669"/>
      <c r="Y74" s="669"/>
      <c r="Z74" s="669"/>
      <c r="AA74" s="669"/>
      <c r="AB74" s="669"/>
      <c r="AC74" s="669"/>
      <c r="AD74" s="669"/>
      <c r="AE74" s="669"/>
      <c r="AF74" s="669"/>
      <c r="AG74" s="669"/>
      <c r="AH74" s="669"/>
      <c r="AI74" s="669"/>
      <c r="AJ74" s="669"/>
      <c r="AK74" s="669"/>
      <c r="AL74" s="669"/>
      <c r="AM74" s="669"/>
      <c r="AN74" s="669"/>
      <c r="AO74" s="669"/>
      <c r="AP74" s="669"/>
      <c r="AQ74" s="669"/>
      <c r="AR74" s="669"/>
      <c r="AS74" s="669"/>
      <c r="AT74" s="669"/>
      <c r="AU74" s="669"/>
      <c r="AV74" s="669"/>
      <c r="AW74" s="669"/>
      <c r="AX74" s="669"/>
      <c r="AY74" s="669"/>
      <c r="AZ74" s="669"/>
      <c r="BA74" s="669"/>
      <c r="BB74" s="669"/>
      <c r="BC74" s="669"/>
      <c r="BD74" s="669"/>
      <c r="BE74" s="669"/>
      <c r="BF74" s="669"/>
      <c r="BG74" s="669"/>
      <c r="BH74" s="669"/>
      <c r="BI74" s="669"/>
      <c r="BJ74" s="669"/>
      <c r="BK74" s="669"/>
      <c r="BL74" s="669"/>
      <c r="BM74" s="669"/>
      <c r="BN74" s="669"/>
      <c r="BO74" s="669"/>
      <c r="BP74" s="669"/>
      <c r="BQ74" s="669"/>
      <c r="BR74" s="669"/>
      <c r="BS74" s="669"/>
      <c r="BT74" s="669"/>
      <c r="BU74" s="669"/>
      <c r="BV74" s="669"/>
      <c r="BW74" s="669"/>
      <c r="BX74" s="669"/>
      <c r="BY74" s="669"/>
      <c r="BZ74" s="669"/>
      <c r="CA74" s="669"/>
      <c r="CB74" s="669"/>
      <c r="CC74" s="669"/>
      <c r="CD74" s="669"/>
      <c r="CE74" s="669"/>
      <c r="CF74" s="669"/>
      <c r="CG74" s="669"/>
      <c r="CH74" s="669"/>
      <c r="CI74" s="669"/>
      <c r="CJ74" s="669"/>
      <c r="CK74" s="669"/>
      <c r="CL74" s="669"/>
      <c r="CM74" s="669"/>
      <c r="CN74" s="669"/>
      <c r="CO74" s="669"/>
      <c r="CP74" s="669"/>
      <c r="CQ74" s="669"/>
      <c r="CR74" s="669"/>
      <c r="CS74" s="669"/>
      <c r="CT74" s="669"/>
      <c r="CU74" s="669"/>
      <c r="CV74" s="669"/>
      <c r="CW74" s="669"/>
      <c r="CX74" s="669"/>
      <c r="CY74" s="669"/>
      <c r="CZ74" s="669"/>
      <c r="DA74" s="669"/>
      <c r="DB74" s="669"/>
      <c r="DC74" s="669"/>
      <c r="DD74" s="669"/>
      <c r="DE74" s="669"/>
      <c r="DF74" s="669"/>
      <c r="DG74" s="669"/>
      <c r="DH74" s="669"/>
      <c r="DI74" s="669"/>
      <c r="DJ74" s="669"/>
      <c r="DK74" s="669"/>
      <c r="DL74" s="669"/>
      <c r="DM74" s="669"/>
      <c r="DN74" s="669"/>
      <c r="DO74" s="669"/>
      <c r="DP74" s="669"/>
      <c r="DQ74" s="669"/>
      <c r="DR74" s="669"/>
      <c r="DS74" s="669"/>
      <c r="DT74" s="669"/>
      <c r="DU74" s="669"/>
      <c r="DV74" s="669"/>
      <c r="DW74" s="669"/>
      <c r="DX74" s="669"/>
      <c r="DY74" s="669"/>
      <c r="DZ74" s="669"/>
      <c r="EA74" s="669"/>
      <c r="EB74" s="669"/>
      <c r="EC74" s="669"/>
      <c r="ED74" s="669"/>
      <c r="EE74" s="669"/>
      <c r="EF74" s="669"/>
      <c r="EG74" s="669"/>
      <c r="EH74" s="669"/>
      <c r="EI74" s="669"/>
      <c r="EJ74" s="669"/>
      <c r="EK74" s="669"/>
      <c r="EL74" s="669"/>
      <c r="EM74" s="669"/>
      <c r="EN74" s="669"/>
      <c r="EO74" s="669"/>
      <c r="EP74" s="669"/>
      <c r="EQ74" s="669"/>
      <c r="ER74" s="669"/>
      <c r="ES74" s="669"/>
      <c r="ET74" s="669"/>
      <c r="EU74" s="669"/>
      <c r="EV74" s="669"/>
      <c r="EW74" s="669"/>
      <c r="EX74" s="669"/>
      <c r="EY74" s="669"/>
      <c r="EZ74" s="669"/>
      <c r="FA74" s="669"/>
      <c r="FB74" s="669"/>
      <c r="FC74" s="669"/>
      <c r="FD74" s="669"/>
      <c r="FE74" s="669"/>
      <c r="FF74" s="669"/>
      <c r="FG74" s="669"/>
      <c r="FH74" s="669"/>
      <c r="FI74" s="669"/>
      <c r="FJ74" s="669"/>
      <c r="FK74" s="669"/>
      <c r="FL74" s="669"/>
      <c r="FM74" s="669"/>
      <c r="FN74" s="669"/>
      <c r="FO74" s="669"/>
      <c r="FP74" s="669"/>
      <c r="FQ74" s="669"/>
      <c r="FR74" s="669"/>
      <c r="FS74" s="669"/>
      <c r="FT74" s="669"/>
      <c r="FU74" s="669"/>
      <c r="FV74" s="669"/>
      <c r="FW74" s="669"/>
      <c r="FX74" s="669"/>
      <c r="FY74" s="669"/>
      <c r="FZ74" s="669"/>
      <c r="GA74" s="669"/>
      <c r="GB74" s="669"/>
      <c r="GC74" s="669"/>
      <c r="GD74" s="669"/>
      <c r="GE74" s="669"/>
      <c r="GF74" s="669"/>
      <c r="GG74" s="669"/>
      <c r="GH74" s="669"/>
      <c r="GI74" s="669"/>
      <c r="GJ74" s="669"/>
      <c r="GK74" s="669"/>
      <c r="GL74" s="669"/>
      <c r="GM74" s="669"/>
      <c r="GN74" s="669"/>
      <c r="GO74" s="669"/>
      <c r="GP74" s="669"/>
      <c r="GQ74" s="669"/>
      <c r="GR74" s="669"/>
      <c r="GS74" s="669"/>
      <c r="GT74" s="669"/>
      <c r="GU74" s="669"/>
      <c r="GV74" s="669"/>
      <c r="GW74" s="669"/>
      <c r="GX74" s="669"/>
      <c r="GY74" s="669"/>
      <c r="GZ74" s="669"/>
      <c r="HA74" s="669"/>
      <c r="HB74" s="669"/>
      <c r="HC74" s="669"/>
      <c r="HD74" s="669"/>
      <c r="HE74" s="669"/>
      <c r="HF74" s="669"/>
      <c r="HG74" s="669"/>
      <c r="HH74" s="669"/>
      <c r="HI74" s="669"/>
      <c r="HJ74" s="669"/>
      <c r="HK74" s="669"/>
      <c r="HL74" s="669"/>
      <c r="HM74" s="669"/>
      <c r="HN74" s="669"/>
      <c r="HO74" s="669"/>
      <c r="HP74" s="669"/>
      <c r="HQ74" s="669"/>
      <c r="HR74" s="669"/>
      <c r="HS74" s="669"/>
      <c r="HT74" s="669"/>
      <c r="HU74" s="669"/>
      <c r="HV74" s="669"/>
      <c r="HW74" s="669"/>
      <c r="HX74" s="669"/>
      <c r="HY74" s="669"/>
      <c r="HZ74" s="669"/>
      <c r="IA74" s="669"/>
      <c r="IB74" s="669"/>
      <c r="IC74" s="669"/>
      <c r="ID74" s="669"/>
      <c r="IE74" s="669"/>
      <c r="IF74" s="669"/>
      <c r="IG74" s="669"/>
      <c r="IH74" s="669"/>
      <c r="II74" s="669"/>
      <c r="IJ74" s="669"/>
      <c r="IK74" s="669"/>
      <c r="IL74" s="669"/>
      <c r="IM74" s="669"/>
      <c r="IN74" s="669"/>
      <c r="IO74" s="669"/>
      <c r="IP74" s="669"/>
      <c r="IQ74" s="669"/>
      <c r="IR74" s="669"/>
      <c r="IS74" s="669"/>
      <c r="IT74" s="669"/>
      <c r="IU74" s="669"/>
      <c r="IV74" s="669"/>
      <c r="IW74" s="669"/>
      <c r="IX74" s="669"/>
      <c r="IY74" s="669"/>
      <c r="IZ74" s="669"/>
      <c r="JA74" s="669"/>
      <c r="JB74" s="669"/>
      <c r="JC74" s="669"/>
      <c r="JD74" s="669"/>
      <c r="JE74" s="669"/>
      <c r="JF74" s="669"/>
      <c r="JG74" s="669"/>
      <c r="JH74" s="669"/>
      <c r="JI74" s="669"/>
      <c r="JJ74" s="669"/>
      <c r="JK74" s="669"/>
      <c r="JL74" s="669"/>
      <c r="JM74" s="669"/>
      <c r="JN74" s="669"/>
      <c r="JO74" s="669"/>
      <c r="JP74" s="669"/>
      <c r="JQ74" s="669"/>
      <c r="JR74" s="669"/>
      <c r="JS74" s="669"/>
      <c r="JT74" s="669"/>
      <c r="JU74" s="669"/>
      <c r="JV74" s="669"/>
      <c r="JW74" s="669"/>
      <c r="JX74" s="669"/>
      <c r="JY74" s="669"/>
      <c r="JZ74" s="669"/>
      <c r="KA74" s="669"/>
      <c r="KB74" s="669"/>
      <c r="KC74" s="669"/>
      <c r="KD74" s="669"/>
      <c r="KE74" s="669"/>
      <c r="KF74" s="669"/>
      <c r="KG74" s="669"/>
      <c r="KH74" s="669"/>
      <c r="KI74" s="669"/>
      <c r="KJ74" s="669"/>
      <c r="KK74" s="669"/>
      <c r="KL74" s="669"/>
      <c r="KM74" s="669"/>
      <c r="KN74" s="669"/>
      <c r="KO74" s="669"/>
      <c r="KP74" s="669"/>
      <c r="KQ74" s="669"/>
      <c r="KR74" s="669"/>
      <c r="KS74" s="669"/>
      <c r="KT74" s="669"/>
      <c r="KU74" s="669"/>
      <c r="KV74" s="669"/>
      <c r="KW74" s="669"/>
      <c r="KX74" s="669"/>
      <c r="KY74" s="669"/>
      <c r="KZ74" s="669"/>
      <c r="LA74" s="669"/>
      <c r="LB74" s="669"/>
      <c r="LC74" s="669"/>
      <c r="LD74" s="669"/>
      <c r="LE74" s="669"/>
      <c r="LF74" s="669"/>
      <c r="LG74" s="669"/>
      <c r="LH74" s="669"/>
      <c r="LI74" s="669"/>
      <c r="LJ74" s="669"/>
      <c r="LK74" s="669"/>
      <c r="LL74" s="669"/>
      <c r="LM74" s="669"/>
      <c r="LN74" s="669"/>
      <c r="LO74" s="669"/>
      <c r="LP74" s="669"/>
      <c r="LQ74" s="669"/>
      <c r="LR74" s="669"/>
      <c r="LS74" s="669"/>
      <c r="LT74" s="669"/>
      <c r="LU74" s="669"/>
      <c r="LV74" s="669"/>
      <c r="LW74" s="669"/>
      <c r="LX74" s="669"/>
      <c r="LY74" s="669"/>
      <c r="LZ74" s="669"/>
      <c r="MA74" s="669"/>
      <c r="MB74" s="669"/>
      <c r="MC74" s="669"/>
      <c r="MD74" s="669"/>
      <c r="ME74" s="669"/>
      <c r="MF74" s="669"/>
      <c r="MG74" s="669"/>
      <c r="MH74" s="669"/>
      <c r="MI74" s="669"/>
      <c r="MJ74" s="669"/>
      <c r="MK74" s="669"/>
      <c r="ML74" s="669"/>
      <c r="MM74" s="669"/>
      <c r="MN74" s="669"/>
      <c r="MO74" s="669"/>
      <c r="MP74" s="669"/>
      <c r="MQ74" s="669"/>
      <c r="MR74" s="669"/>
      <c r="MS74" s="669"/>
      <c r="MT74" s="669"/>
      <c r="MU74" s="669"/>
      <c r="MV74" s="669"/>
      <c r="MW74" s="669"/>
      <c r="MX74" s="669"/>
      <c r="MY74" s="669"/>
      <c r="MZ74" s="669"/>
      <c r="NA74" s="669"/>
      <c r="NB74" s="669"/>
      <c r="NC74" s="669"/>
      <c r="ND74" s="669"/>
      <c r="NE74" s="669"/>
      <c r="NF74" s="669"/>
      <c r="NG74" s="669"/>
      <c r="NH74" s="669"/>
      <c r="NI74" s="669"/>
      <c r="NJ74" s="669"/>
      <c r="NK74" s="669"/>
      <c r="NL74" s="669"/>
      <c r="NM74" s="669"/>
      <c r="NN74" s="669"/>
      <c r="NO74" s="669"/>
      <c r="NP74" s="669"/>
      <c r="NQ74" s="669"/>
      <c r="NR74" s="669"/>
      <c r="NS74" s="669"/>
      <c r="NT74" s="669"/>
      <c r="NU74" s="669"/>
      <c r="NV74" s="669"/>
      <c r="NW74" s="669"/>
      <c r="NX74" s="669"/>
      <c r="NY74" s="669"/>
      <c r="NZ74" s="669"/>
      <c r="OA74" s="669"/>
      <c r="OB74" s="669"/>
      <c r="OC74" s="669"/>
      <c r="OD74" s="669"/>
      <c r="OE74" s="669"/>
      <c r="OF74" s="669"/>
      <c r="OG74" s="669"/>
      <c r="OH74" s="669"/>
      <c r="OI74" s="669"/>
      <c r="OJ74" s="669"/>
      <c r="OK74" s="669"/>
      <c r="OL74" s="669"/>
      <c r="OM74" s="669"/>
      <c r="ON74" s="669"/>
      <c r="OO74" s="669"/>
      <c r="OP74" s="669"/>
      <c r="OQ74" s="669"/>
      <c r="OR74" s="669"/>
      <c r="OS74" s="669"/>
      <c r="OT74" s="669"/>
      <c r="OU74" s="669"/>
      <c r="OV74" s="669"/>
      <c r="OW74" s="669"/>
      <c r="OX74" s="669"/>
      <c r="OY74" s="669"/>
      <c r="OZ74" s="669"/>
      <c r="PA74" s="669"/>
      <c r="PB74" s="669"/>
      <c r="PC74" s="669"/>
      <c r="PD74" s="669"/>
      <c r="PE74" s="669"/>
      <c r="PF74" s="669"/>
      <c r="PG74" s="669"/>
      <c r="PH74" s="669"/>
      <c r="PI74" s="669"/>
      <c r="PJ74" s="669"/>
      <c r="PK74" s="669"/>
      <c r="PL74" s="669"/>
      <c r="PM74" s="669"/>
      <c r="PN74" s="669"/>
      <c r="PO74" s="669"/>
      <c r="PP74" s="669"/>
      <c r="PQ74" s="669"/>
      <c r="PR74" s="669"/>
      <c r="PS74" s="669"/>
      <c r="PT74" s="669"/>
      <c r="PU74" s="669"/>
      <c r="PV74" s="669"/>
      <c r="PW74" s="669"/>
      <c r="PX74" s="669"/>
      <c r="PY74" s="669"/>
      <c r="PZ74" s="669"/>
      <c r="QA74" s="669"/>
      <c r="QB74" s="669"/>
      <c r="QC74" s="669"/>
      <c r="QD74" s="669"/>
    </row>
    <row r="75" spans="1:446" s="116" customFormat="1" x14ac:dyDescent="0.25">
      <c r="A75" s="678">
        <v>1</v>
      </c>
      <c r="B75" s="611"/>
      <c r="E75" s="611"/>
    </row>
    <row r="76" spans="1:446" s="116" customFormat="1" x14ac:dyDescent="0.25">
      <c r="A76" s="678">
        <v>1</v>
      </c>
      <c r="B76" s="611"/>
      <c r="E76" s="611"/>
    </row>
    <row r="77" spans="1:446" s="116" customFormat="1" x14ac:dyDescent="0.25">
      <c r="A77" s="678">
        <v>1</v>
      </c>
      <c r="B77" s="611"/>
      <c r="E77" s="611"/>
    </row>
    <row r="78" spans="1:446" s="116" customFormat="1" x14ac:dyDescent="0.25">
      <c r="A78" s="678">
        <v>1</v>
      </c>
      <c r="B78" s="611"/>
      <c r="E78" s="611"/>
    </row>
    <row r="79" spans="1:446" s="116" customFormat="1" x14ac:dyDescent="0.25">
      <c r="A79" s="678">
        <v>1</v>
      </c>
      <c r="B79" s="611"/>
      <c r="E79" s="611"/>
    </row>
    <row r="80" spans="1:446" s="116" customFormat="1" x14ac:dyDescent="0.25">
      <c r="A80" s="678">
        <v>1</v>
      </c>
      <c r="B80" s="611"/>
      <c r="E80" s="611"/>
    </row>
    <row r="81" spans="1:5" s="116" customFormat="1" x14ac:dyDescent="0.25">
      <c r="A81" s="678">
        <v>1</v>
      </c>
      <c r="B81" s="611"/>
      <c r="E81" s="611"/>
    </row>
    <row r="82" spans="1:5" s="116" customFormat="1" x14ac:dyDescent="0.25">
      <c r="A82" s="678">
        <v>1</v>
      </c>
      <c r="B82" s="611"/>
      <c r="E82" s="611"/>
    </row>
    <row r="83" spans="1:5" s="116" customFormat="1" x14ac:dyDescent="0.25">
      <c r="A83" s="678">
        <v>1</v>
      </c>
      <c r="B83" s="611"/>
      <c r="E83" s="611"/>
    </row>
    <row r="84" spans="1:5" s="116" customFormat="1" x14ac:dyDescent="0.25">
      <c r="A84" s="678">
        <v>1</v>
      </c>
      <c r="B84" s="611"/>
      <c r="E84" s="611"/>
    </row>
    <row r="85" spans="1:5" s="116" customFormat="1" x14ac:dyDescent="0.25">
      <c r="A85" s="678">
        <v>1</v>
      </c>
      <c r="B85" s="611"/>
      <c r="E85" s="611"/>
    </row>
    <row r="86" spans="1:5" s="116" customFormat="1" x14ac:dyDescent="0.25">
      <c r="A86" s="678">
        <v>1</v>
      </c>
      <c r="B86" s="611"/>
      <c r="E86" s="611"/>
    </row>
    <row r="87" spans="1:5" s="116" customFormat="1" x14ac:dyDescent="0.25">
      <c r="A87" s="678">
        <v>1</v>
      </c>
      <c r="B87" s="611"/>
      <c r="E87" s="611"/>
    </row>
    <row r="88" spans="1:5" s="116" customFormat="1" x14ac:dyDescent="0.25">
      <c r="A88" s="678">
        <v>1</v>
      </c>
      <c r="B88" s="611"/>
      <c r="E88" s="611"/>
    </row>
    <row r="89" spans="1:5" x14ac:dyDescent="0.25">
      <c r="A89" s="679">
        <v>1</v>
      </c>
      <c r="B89" s="5"/>
      <c r="E89" s="5"/>
    </row>
    <row r="90" spans="1:5" x14ac:dyDescent="0.25">
      <c r="A90" s="679">
        <v>1</v>
      </c>
      <c r="B90" s="5"/>
      <c r="E90" s="5"/>
    </row>
    <row r="91" spans="1:5" x14ac:dyDescent="0.25">
      <c r="A91" s="679">
        <v>1</v>
      </c>
      <c r="B91" s="5"/>
      <c r="E91" s="5"/>
    </row>
    <row r="92" spans="1:5" x14ac:dyDescent="0.25">
      <c r="A92" s="679">
        <v>1</v>
      </c>
      <c r="B92" s="5"/>
      <c r="E92" s="5"/>
    </row>
    <row r="93" spans="1:5" x14ac:dyDescent="0.25">
      <c r="A93" s="679">
        <v>1</v>
      </c>
      <c r="B93" s="5"/>
      <c r="E93" s="5"/>
    </row>
    <row r="94" spans="1:5" x14ac:dyDescent="0.25">
      <c r="A94" s="679">
        <v>1</v>
      </c>
      <c r="B94" s="5"/>
      <c r="E94" s="5"/>
    </row>
    <row r="95" spans="1:5" x14ac:dyDescent="0.25">
      <c r="A95" s="679">
        <v>1</v>
      </c>
      <c r="B95" s="5"/>
      <c r="E95" s="5"/>
    </row>
    <row r="96" spans="1:5" x14ac:dyDescent="0.25">
      <c r="A96" s="679">
        <v>1</v>
      </c>
      <c r="B96" s="5"/>
      <c r="E96" s="5"/>
    </row>
    <row r="97" spans="1:5" x14ac:dyDescent="0.25">
      <c r="A97" s="679">
        <v>1</v>
      </c>
      <c r="B97" s="5"/>
      <c r="E97" s="5"/>
    </row>
    <row r="98" spans="1:5" x14ac:dyDescent="0.25">
      <c r="A98" s="679">
        <v>1</v>
      </c>
      <c r="B98" s="5"/>
      <c r="E98" s="5"/>
    </row>
    <row r="99" spans="1:5" x14ac:dyDescent="0.25">
      <c r="A99" s="679">
        <v>1</v>
      </c>
      <c r="B99" s="5"/>
      <c r="E99" s="5"/>
    </row>
    <row r="100" spans="1:5" x14ac:dyDescent="0.25">
      <c r="A100" s="679">
        <v>1</v>
      </c>
      <c r="B100" s="5"/>
      <c r="E100" s="5"/>
    </row>
    <row r="101" spans="1:5" x14ac:dyDescent="0.25">
      <c r="A101" s="679">
        <v>1</v>
      </c>
      <c r="B101" s="5"/>
      <c r="E101" s="5"/>
    </row>
    <row r="102" spans="1:5" x14ac:dyDescent="0.25">
      <c r="A102" s="679">
        <v>1</v>
      </c>
      <c r="B102" s="5"/>
      <c r="E102" s="5"/>
    </row>
    <row r="103" spans="1:5" x14ac:dyDescent="0.25">
      <c r="A103" s="679">
        <v>1</v>
      </c>
      <c r="B103" s="5"/>
      <c r="E103" s="5"/>
    </row>
    <row r="104" spans="1:5" x14ac:dyDescent="0.25">
      <c r="A104" s="679">
        <v>1</v>
      </c>
      <c r="B104" s="5"/>
      <c r="E104" s="5"/>
    </row>
    <row r="105" spans="1:5" x14ac:dyDescent="0.25">
      <c r="A105" s="679">
        <v>1</v>
      </c>
      <c r="B105" s="5"/>
      <c r="E105" s="5"/>
    </row>
    <row r="106" spans="1:5" x14ac:dyDescent="0.25">
      <c r="A106" s="679">
        <v>1</v>
      </c>
      <c r="B106" s="5"/>
      <c r="E106" s="5"/>
    </row>
    <row r="107" spans="1:5" x14ac:dyDescent="0.25">
      <c r="A107" s="679">
        <v>1</v>
      </c>
      <c r="B107" s="5"/>
      <c r="E107" s="5"/>
    </row>
    <row r="108" spans="1:5" x14ac:dyDescent="0.25">
      <c r="A108" s="679">
        <v>1</v>
      </c>
      <c r="B108" s="5"/>
      <c r="E108" s="5"/>
    </row>
    <row r="109" spans="1:5" x14ac:dyDescent="0.25">
      <c r="A109" s="679">
        <v>1</v>
      </c>
      <c r="B109" s="5"/>
      <c r="E109" s="5"/>
    </row>
    <row r="110" spans="1:5" x14ac:dyDescent="0.25">
      <c r="A110" s="679">
        <v>1</v>
      </c>
      <c r="B110" s="5"/>
      <c r="E110" s="5"/>
    </row>
    <row r="111" spans="1:5" x14ac:dyDescent="0.25">
      <c r="A111" s="679">
        <v>1</v>
      </c>
      <c r="B111" s="5"/>
      <c r="E111" s="5"/>
    </row>
    <row r="112" spans="1:5" x14ac:dyDescent="0.25">
      <c r="A112" s="679">
        <v>1</v>
      </c>
      <c r="B112" s="5"/>
      <c r="E112" s="5"/>
    </row>
    <row r="113" spans="1:5" x14ac:dyDescent="0.25">
      <c r="A113" s="679">
        <v>1</v>
      </c>
      <c r="B113" s="5"/>
      <c r="E113" s="5"/>
    </row>
    <row r="114" spans="1:5" x14ac:dyDescent="0.25">
      <c r="A114" s="679">
        <v>1</v>
      </c>
      <c r="B114" s="5"/>
      <c r="E114" s="5"/>
    </row>
    <row r="115" spans="1:5" x14ac:dyDescent="0.25">
      <c r="A115" s="679">
        <v>1</v>
      </c>
      <c r="B115" s="5"/>
      <c r="E115" s="5"/>
    </row>
    <row r="116" spans="1:5" x14ac:dyDescent="0.25">
      <c r="A116" s="679">
        <v>1</v>
      </c>
      <c r="B116" s="5"/>
      <c r="E116" s="5"/>
    </row>
    <row r="117" spans="1:5" x14ac:dyDescent="0.25">
      <c r="A117" s="679">
        <v>1</v>
      </c>
      <c r="B117" s="5"/>
      <c r="E117" s="5"/>
    </row>
    <row r="118" spans="1:5" x14ac:dyDescent="0.25">
      <c r="A118" s="679">
        <v>1</v>
      </c>
      <c r="B118" s="5"/>
      <c r="E118" s="5"/>
    </row>
    <row r="119" spans="1:5" x14ac:dyDescent="0.25">
      <c r="A119" s="679">
        <v>1</v>
      </c>
      <c r="B119" s="5"/>
      <c r="E119" s="5"/>
    </row>
    <row r="120" spans="1:5" x14ac:dyDescent="0.25">
      <c r="A120" s="679">
        <v>1</v>
      </c>
      <c r="B120" s="5"/>
      <c r="E120" s="5"/>
    </row>
    <row r="121" spans="1:5" x14ac:dyDescent="0.25">
      <c r="A121" s="679">
        <v>1</v>
      </c>
      <c r="B121" s="5"/>
      <c r="E121" s="5"/>
    </row>
    <row r="122" spans="1:5" x14ac:dyDescent="0.25">
      <c r="A122" s="679">
        <v>1</v>
      </c>
      <c r="B122" s="5"/>
      <c r="E122" s="5"/>
    </row>
    <row r="123" spans="1:5" x14ac:dyDescent="0.25">
      <c r="A123" s="679">
        <v>1</v>
      </c>
      <c r="B123" s="5"/>
      <c r="E123" s="5"/>
    </row>
    <row r="124" spans="1:5" x14ac:dyDescent="0.25">
      <c r="A124" s="679">
        <v>1</v>
      </c>
      <c r="B124" s="5"/>
      <c r="E124" s="5"/>
    </row>
    <row r="125" spans="1:5" x14ac:dyDescent="0.25">
      <c r="A125" s="679">
        <v>1</v>
      </c>
      <c r="B125" s="5"/>
      <c r="E125" s="5"/>
    </row>
    <row r="126" spans="1:5" x14ac:dyDescent="0.25">
      <c r="A126" s="679">
        <v>1</v>
      </c>
      <c r="B126" s="5"/>
      <c r="E126" s="5"/>
    </row>
    <row r="127" spans="1:5" x14ac:dyDescent="0.25">
      <c r="A127" s="679">
        <v>1</v>
      </c>
      <c r="B127" s="5"/>
      <c r="E127" s="5"/>
    </row>
    <row r="128" spans="1:5" x14ac:dyDescent="0.25">
      <c r="A128" s="679">
        <v>1</v>
      </c>
      <c r="B128" s="5"/>
      <c r="E128" s="5"/>
    </row>
    <row r="129" spans="1:5" x14ac:dyDescent="0.25">
      <c r="A129" s="679">
        <v>1</v>
      </c>
      <c r="B129" s="5"/>
      <c r="E129" s="5"/>
    </row>
    <row r="130" spans="1:5" x14ac:dyDescent="0.25">
      <c r="A130" s="679">
        <v>1</v>
      </c>
      <c r="B130" s="5"/>
      <c r="E130" s="5"/>
    </row>
    <row r="131" spans="1:5" x14ac:dyDescent="0.25">
      <c r="A131" s="679">
        <v>1</v>
      </c>
      <c r="B131" s="5"/>
      <c r="E131" s="5"/>
    </row>
    <row r="132" spans="1:5" x14ac:dyDescent="0.25">
      <c r="A132" s="679">
        <v>1</v>
      </c>
      <c r="B132" s="5"/>
      <c r="E132" s="5"/>
    </row>
    <row r="133" spans="1:5" x14ac:dyDescent="0.25">
      <c r="A133" s="679">
        <v>1</v>
      </c>
      <c r="B133" s="5"/>
      <c r="E133" s="5"/>
    </row>
    <row r="134" spans="1:5" x14ac:dyDescent="0.25">
      <c r="A134" s="679">
        <v>1</v>
      </c>
      <c r="B134" s="5"/>
      <c r="E134" s="5"/>
    </row>
    <row r="135" spans="1:5" x14ac:dyDescent="0.25">
      <c r="A135" s="679">
        <v>1</v>
      </c>
      <c r="B135" s="5"/>
      <c r="E135" s="5"/>
    </row>
    <row r="136" spans="1:5" x14ac:dyDescent="0.25">
      <c r="A136" s="679">
        <v>1</v>
      </c>
      <c r="B136" s="5"/>
      <c r="E136" s="5"/>
    </row>
    <row r="137" spans="1:5" x14ac:dyDescent="0.25">
      <c r="A137" s="679">
        <v>1</v>
      </c>
      <c r="B137" s="5"/>
      <c r="E137" s="5"/>
    </row>
    <row r="138" spans="1:5" x14ac:dyDescent="0.25">
      <c r="A138" s="679">
        <v>1</v>
      </c>
      <c r="B138" s="5"/>
      <c r="E138" s="5"/>
    </row>
    <row r="139" spans="1:5" x14ac:dyDescent="0.25">
      <c r="A139" s="679">
        <v>1</v>
      </c>
      <c r="B139" s="5"/>
      <c r="E139" s="5"/>
    </row>
    <row r="140" spans="1:5" x14ac:dyDescent="0.25">
      <c r="A140" s="679">
        <v>1</v>
      </c>
      <c r="B140" s="5"/>
      <c r="E140" s="5"/>
    </row>
    <row r="141" spans="1:5" x14ac:dyDescent="0.25">
      <c r="A141" s="679">
        <v>1</v>
      </c>
      <c r="B141" s="5"/>
      <c r="E141" s="5"/>
    </row>
    <row r="142" spans="1:5" x14ac:dyDescent="0.25">
      <c r="A142" s="679">
        <v>1</v>
      </c>
      <c r="B142" s="5"/>
      <c r="E142" s="5"/>
    </row>
    <row r="143" spans="1:5" x14ac:dyDescent="0.25">
      <c r="A143" s="679">
        <v>1</v>
      </c>
      <c r="B143" s="5"/>
      <c r="E143" s="5"/>
    </row>
    <row r="144" spans="1:5" x14ac:dyDescent="0.25">
      <c r="A144" s="679">
        <v>1</v>
      </c>
      <c r="B144" s="5"/>
      <c r="E144" s="5"/>
    </row>
    <row r="145" spans="1:5" x14ac:dyDescent="0.25">
      <c r="A145" s="679">
        <v>1</v>
      </c>
      <c r="B145" s="5"/>
      <c r="E145" s="5"/>
    </row>
    <row r="146" spans="1:5" x14ac:dyDescent="0.25">
      <c r="A146" s="679">
        <v>1</v>
      </c>
      <c r="B146" s="5"/>
      <c r="E146" s="5"/>
    </row>
    <row r="147" spans="1:5" x14ac:dyDescent="0.25">
      <c r="A147" s="679">
        <v>1</v>
      </c>
      <c r="B147" s="5"/>
      <c r="E147" s="5"/>
    </row>
    <row r="148" spans="1:5" x14ac:dyDescent="0.25">
      <c r="A148" s="679">
        <v>1</v>
      </c>
      <c r="B148" s="5"/>
      <c r="E148" s="5"/>
    </row>
    <row r="149" spans="1:5" x14ac:dyDescent="0.25">
      <c r="A149" s="679">
        <v>1</v>
      </c>
      <c r="B149" s="5"/>
      <c r="E149" s="5"/>
    </row>
    <row r="150" spans="1:5" x14ac:dyDescent="0.25">
      <c r="A150" s="679">
        <v>1</v>
      </c>
      <c r="B150" s="5"/>
      <c r="E150" s="5"/>
    </row>
    <row r="151" spans="1:5" x14ac:dyDescent="0.25">
      <c r="A151" s="679">
        <v>1</v>
      </c>
      <c r="B151" s="5"/>
      <c r="E151" s="5"/>
    </row>
    <row r="152" spans="1:5" x14ac:dyDescent="0.25">
      <c r="A152" s="679">
        <v>1</v>
      </c>
      <c r="B152" s="5"/>
      <c r="E152" s="5"/>
    </row>
    <row r="153" spans="1:5" x14ac:dyDescent="0.25">
      <c r="A153" s="679">
        <v>1</v>
      </c>
      <c r="B153" s="5"/>
      <c r="E153" s="5"/>
    </row>
    <row r="154" spans="1:5" x14ac:dyDescent="0.25">
      <c r="A154" s="679">
        <v>1</v>
      </c>
      <c r="B154" s="5"/>
      <c r="E154" s="5"/>
    </row>
    <row r="155" spans="1:5" x14ac:dyDescent="0.25">
      <c r="A155" s="679">
        <v>1</v>
      </c>
      <c r="B155" s="5"/>
      <c r="E155" s="5"/>
    </row>
    <row r="156" spans="1:5" x14ac:dyDescent="0.25">
      <c r="A156" s="679">
        <v>1</v>
      </c>
      <c r="B156" s="5"/>
      <c r="E156" s="5"/>
    </row>
    <row r="157" spans="1:5" x14ac:dyDescent="0.25">
      <c r="A157" s="679">
        <v>1</v>
      </c>
      <c r="B157" s="5"/>
      <c r="E157" s="5"/>
    </row>
    <row r="158" spans="1:5" x14ac:dyDescent="0.25">
      <c r="A158" s="679">
        <v>1</v>
      </c>
      <c r="B158" s="5"/>
      <c r="E158" s="5"/>
    </row>
    <row r="159" spans="1:5" x14ac:dyDescent="0.25">
      <c r="A159" s="679">
        <v>1</v>
      </c>
      <c r="B159" s="5"/>
      <c r="E159" s="5"/>
    </row>
    <row r="160" spans="1:5" x14ac:dyDescent="0.25">
      <c r="A160" s="679">
        <v>1</v>
      </c>
      <c r="B160" s="5"/>
      <c r="E160" s="5"/>
    </row>
    <row r="161" spans="1:5" x14ac:dyDescent="0.25">
      <c r="A161" s="679">
        <v>1</v>
      </c>
      <c r="B161" s="5"/>
      <c r="E161" s="5"/>
    </row>
    <row r="162" spans="1:5" x14ac:dyDescent="0.25">
      <c r="A162" s="679">
        <v>1</v>
      </c>
      <c r="B162" s="5"/>
      <c r="E162" s="5"/>
    </row>
    <row r="163" spans="1:5" x14ac:dyDescent="0.25">
      <c r="A163" s="679">
        <v>1</v>
      </c>
      <c r="B163" s="5"/>
      <c r="E163" s="5"/>
    </row>
    <row r="164" spans="1:5" x14ac:dyDescent="0.25">
      <c r="A164" s="679">
        <v>1</v>
      </c>
      <c r="B164" s="5"/>
      <c r="E164" s="5"/>
    </row>
    <row r="165" spans="1:5" x14ac:dyDescent="0.25">
      <c r="A165" s="679">
        <v>1</v>
      </c>
      <c r="B165" s="5"/>
      <c r="E165" s="5"/>
    </row>
    <row r="166" spans="1:5" x14ac:dyDescent="0.25">
      <c r="A166" s="679">
        <v>1</v>
      </c>
      <c r="B166" s="5"/>
      <c r="E166" s="5"/>
    </row>
    <row r="167" spans="1:5" x14ac:dyDescent="0.25">
      <c r="A167" s="679">
        <v>1</v>
      </c>
      <c r="B167" s="5"/>
      <c r="E167" s="5"/>
    </row>
    <row r="168" spans="1:5" x14ac:dyDescent="0.25">
      <c r="A168" s="679">
        <v>1</v>
      </c>
      <c r="B168" s="5"/>
      <c r="E168" s="5"/>
    </row>
    <row r="169" spans="1:5" x14ac:dyDescent="0.25">
      <c r="A169" s="679">
        <v>1</v>
      </c>
      <c r="B169" s="5"/>
      <c r="E169" s="5"/>
    </row>
    <row r="170" spans="1:5" x14ac:dyDescent="0.25">
      <c r="A170" s="679">
        <v>1</v>
      </c>
      <c r="B170" s="5"/>
      <c r="E170" s="5"/>
    </row>
    <row r="171" spans="1:5" x14ac:dyDescent="0.25">
      <c r="A171" s="679">
        <v>1</v>
      </c>
      <c r="B171" s="5"/>
      <c r="E171" s="5"/>
    </row>
    <row r="172" spans="1:5" x14ac:dyDescent="0.25">
      <c r="A172" s="679">
        <v>1</v>
      </c>
      <c r="B172" s="5"/>
      <c r="E172" s="5"/>
    </row>
    <row r="173" spans="1:5" x14ac:dyDescent="0.25">
      <c r="A173" s="679">
        <v>1</v>
      </c>
      <c r="B173" s="5"/>
      <c r="E173" s="5"/>
    </row>
    <row r="174" spans="1:5" x14ac:dyDescent="0.25">
      <c r="A174" s="679">
        <v>1</v>
      </c>
      <c r="B174" s="5"/>
      <c r="E174" s="5"/>
    </row>
    <row r="175" spans="1:5" x14ac:dyDescent="0.25">
      <c r="A175" s="679">
        <v>1</v>
      </c>
      <c r="B175" s="5"/>
      <c r="E175" s="5"/>
    </row>
    <row r="176" spans="1:5" x14ac:dyDescent="0.25">
      <c r="A176" s="679">
        <v>1</v>
      </c>
      <c r="B176" s="5"/>
      <c r="E176" s="5"/>
    </row>
    <row r="177" spans="1:5" x14ac:dyDescent="0.25">
      <c r="A177" s="679">
        <v>1</v>
      </c>
      <c r="B177" s="5"/>
      <c r="E177" s="5"/>
    </row>
    <row r="178" spans="1:5" x14ac:dyDescent="0.25">
      <c r="A178" s="679">
        <v>1</v>
      </c>
      <c r="B178" s="5"/>
      <c r="E178" s="5"/>
    </row>
    <row r="179" spans="1:5" x14ac:dyDescent="0.25">
      <c r="A179" s="679">
        <v>1</v>
      </c>
      <c r="B179" s="5"/>
    </row>
    <row r="180" spans="1:5" x14ac:dyDescent="0.25">
      <c r="A180" s="679">
        <v>1</v>
      </c>
      <c r="B180" s="5"/>
    </row>
    <row r="181" spans="1:5" x14ac:dyDescent="0.25">
      <c r="A181" s="679">
        <v>1</v>
      </c>
      <c r="B181" s="5"/>
    </row>
    <row r="182" spans="1:5" x14ac:dyDescent="0.25">
      <c r="A182" s="679">
        <v>1</v>
      </c>
      <c r="B182" s="5"/>
    </row>
    <row r="183" spans="1:5" x14ac:dyDescent="0.25">
      <c r="A183" s="679">
        <v>1</v>
      </c>
      <c r="B183" s="5"/>
    </row>
    <row r="184" spans="1:5" x14ac:dyDescent="0.25">
      <c r="A184" s="679">
        <v>1</v>
      </c>
      <c r="B184" s="5"/>
    </row>
    <row r="185" spans="1:5" x14ac:dyDescent="0.25">
      <c r="A185" s="679">
        <v>1</v>
      </c>
      <c r="B185" s="5"/>
    </row>
    <row r="186" spans="1:5" x14ac:dyDescent="0.25">
      <c r="A186" s="679">
        <v>1</v>
      </c>
      <c r="B186" s="5"/>
    </row>
    <row r="187" spans="1:5" x14ac:dyDescent="0.25">
      <c r="A187" s="679">
        <v>1</v>
      </c>
      <c r="B187" s="5"/>
    </row>
    <row r="188" spans="1:5" x14ac:dyDescent="0.25">
      <c r="A188" s="679">
        <v>1</v>
      </c>
      <c r="B188" s="5"/>
    </row>
    <row r="189" spans="1:5" x14ac:dyDescent="0.25">
      <c r="A189" s="679">
        <v>1</v>
      </c>
      <c r="B189" s="5"/>
    </row>
    <row r="190" spans="1:5" x14ac:dyDescent="0.25">
      <c r="A190" s="679">
        <v>1</v>
      </c>
      <c r="B190" s="5"/>
    </row>
    <row r="191" spans="1:5" x14ac:dyDescent="0.25">
      <c r="A191" s="679">
        <v>1</v>
      </c>
      <c r="B191" s="5"/>
    </row>
    <row r="192" spans="1:5" x14ac:dyDescent="0.25">
      <c r="A192" s="679">
        <v>1</v>
      </c>
      <c r="B192" s="5"/>
    </row>
    <row r="193" spans="1:2" x14ac:dyDescent="0.25">
      <c r="A193" s="679">
        <v>1</v>
      </c>
      <c r="B193" s="5"/>
    </row>
    <row r="194" spans="1:2" x14ac:dyDescent="0.25">
      <c r="A194" s="679">
        <v>1</v>
      </c>
      <c r="B194" s="5"/>
    </row>
    <row r="195" spans="1:2" x14ac:dyDescent="0.25">
      <c r="A195" s="679">
        <v>1</v>
      </c>
      <c r="B195" s="5"/>
    </row>
    <row r="196" spans="1:2" x14ac:dyDescent="0.25">
      <c r="A196" s="679">
        <v>1</v>
      </c>
      <c r="B196" s="5"/>
    </row>
    <row r="197" spans="1:2" x14ac:dyDescent="0.25">
      <c r="A197" s="679">
        <v>1</v>
      </c>
      <c r="B197" s="5"/>
    </row>
    <row r="198" spans="1:2" x14ac:dyDescent="0.25">
      <c r="A198" s="679">
        <v>1</v>
      </c>
      <c r="B198" s="5"/>
    </row>
    <row r="199" spans="1:2" x14ac:dyDescent="0.25">
      <c r="A199" s="679">
        <v>1</v>
      </c>
      <c r="B199" s="5"/>
    </row>
    <row r="200" spans="1:2" x14ac:dyDescent="0.25">
      <c r="A200" s="679">
        <v>1</v>
      </c>
      <c r="B200" s="5"/>
    </row>
    <row r="201" spans="1:2" x14ac:dyDescent="0.25">
      <c r="A201" s="679">
        <v>1</v>
      </c>
      <c r="B201" s="5"/>
    </row>
    <row r="202" spans="1:2" x14ac:dyDescent="0.25">
      <c r="A202" s="679">
        <v>1</v>
      </c>
      <c r="B202" s="5"/>
    </row>
    <row r="203" spans="1:2" x14ac:dyDescent="0.25">
      <c r="A203" s="679">
        <v>1</v>
      </c>
      <c r="B203" s="5"/>
    </row>
    <row r="204" spans="1:2" x14ac:dyDescent="0.25">
      <c r="A204" s="679">
        <v>1</v>
      </c>
      <c r="B204" s="5"/>
    </row>
    <row r="205" spans="1:2" x14ac:dyDescent="0.25">
      <c r="A205" s="679">
        <v>1</v>
      </c>
      <c r="B205" s="5"/>
    </row>
    <row r="206" spans="1:2" x14ac:dyDescent="0.25">
      <c r="A206" s="679">
        <v>1</v>
      </c>
      <c r="B206" s="5"/>
    </row>
    <row r="207" spans="1:2" x14ac:dyDescent="0.25">
      <c r="A207" s="679">
        <v>1</v>
      </c>
      <c r="B207" s="5"/>
    </row>
    <row r="208" spans="1:2" x14ac:dyDescent="0.25">
      <c r="A208" s="660">
        <v>1</v>
      </c>
    </row>
    <row r="209" spans="1:1" x14ac:dyDescent="0.25">
      <c r="A209" s="660">
        <v>1</v>
      </c>
    </row>
    <row r="210" spans="1:1" x14ac:dyDescent="0.25">
      <c r="A210" s="660">
        <v>1</v>
      </c>
    </row>
    <row r="211" spans="1:1" x14ac:dyDescent="0.25">
      <c r="A211" s="660">
        <v>1</v>
      </c>
    </row>
    <row r="212" spans="1:1" x14ac:dyDescent="0.25">
      <c r="A212" s="660">
        <v>1</v>
      </c>
    </row>
    <row r="213" spans="1:1" x14ac:dyDescent="0.25">
      <c r="A213" s="660">
        <v>1</v>
      </c>
    </row>
    <row r="214" spans="1:1" x14ac:dyDescent="0.25">
      <c r="A214" s="660">
        <v>1</v>
      </c>
    </row>
    <row r="215" spans="1:1" x14ac:dyDescent="0.25">
      <c r="A215" s="660">
        <v>1</v>
      </c>
    </row>
  </sheetData>
  <mergeCells count="624">
    <mergeCell ref="OU5:QD5"/>
    <mergeCell ref="OU7:QD7"/>
    <mergeCell ref="CR5:EJ5"/>
    <mergeCell ref="EK5:GC5"/>
    <mergeCell ref="GD5:HV5"/>
    <mergeCell ref="HW5:JO5"/>
    <mergeCell ref="JP5:LH5"/>
    <mergeCell ref="LI5:NA5"/>
    <mergeCell ref="NB5:OT5"/>
    <mergeCell ref="CR7:EJ7"/>
    <mergeCell ref="EK7:GC7"/>
    <mergeCell ref="GD7:HV7"/>
    <mergeCell ref="HW7:JO7"/>
    <mergeCell ref="JP7:LH7"/>
    <mergeCell ref="LI7:NA7"/>
    <mergeCell ref="NB7:OT7"/>
    <mergeCell ref="HZ6:IB6"/>
    <mergeCell ref="IL6:IN6"/>
    <mergeCell ref="MY6:NA6"/>
    <mergeCell ref="NB6:ND6"/>
    <mergeCell ref="NT6:NV6"/>
    <mergeCell ref="NW6:NY6"/>
    <mergeCell ref="HH6:HJ6"/>
    <mergeCell ref="AM8:AO8"/>
    <mergeCell ref="L6:N6"/>
    <mergeCell ref="O6:Q6"/>
    <mergeCell ref="U8:W8"/>
    <mergeCell ref="AM4:AO4"/>
    <mergeCell ref="AG4:AI4"/>
    <mergeCell ref="AJ4:AL4"/>
    <mergeCell ref="X4:Z4"/>
    <mergeCell ref="X8:Z8"/>
    <mergeCell ref="R6:T6"/>
    <mergeCell ref="B1:B9"/>
    <mergeCell ref="C1:C9"/>
    <mergeCell ref="D1:D9"/>
    <mergeCell ref="E1:E9"/>
    <mergeCell ref="F1:AX1"/>
    <mergeCell ref="F2:H2"/>
    <mergeCell ref="I2:K2"/>
    <mergeCell ref="L2:N2"/>
    <mergeCell ref="O2:Q2"/>
    <mergeCell ref="R2:T2"/>
    <mergeCell ref="AA2:AC2"/>
    <mergeCell ref="AD2:AF2"/>
    <mergeCell ref="AP2:AR2"/>
    <mergeCell ref="AS4:AU4"/>
    <mergeCell ref="U2:W2"/>
    <mergeCell ref="X2:Z2"/>
    <mergeCell ref="AD8:AF8"/>
    <mergeCell ref="AS2:AU2"/>
    <mergeCell ref="R4:T4"/>
    <mergeCell ref="AD4:AF4"/>
    <mergeCell ref="F5:AX5"/>
    <mergeCell ref="AG2:AI2"/>
    <mergeCell ref="AA4:AC4"/>
    <mergeCell ref="AJ2:AL2"/>
    <mergeCell ref="AM2:AO2"/>
    <mergeCell ref="AV2:AX2"/>
    <mergeCell ref="F3:AX3"/>
    <mergeCell ref="F4:H4"/>
    <mergeCell ref="I4:K4"/>
    <mergeCell ref="L4:N4"/>
    <mergeCell ref="O4:Q4"/>
    <mergeCell ref="AV4:AX4"/>
    <mergeCell ref="U4:W4"/>
    <mergeCell ref="AP4:AR4"/>
    <mergeCell ref="AS8:AU8"/>
    <mergeCell ref="AV8:AX8"/>
    <mergeCell ref="U6:W6"/>
    <mergeCell ref="X6:Z6"/>
    <mergeCell ref="AD6:AF6"/>
    <mergeCell ref="AG6:AI6"/>
    <mergeCell ref="AJ6:AL6"/>
    <mergeCell ref="AS6:AU6"/>
    <mergeCell ref="AV6:AX6"/>
    <mergeCell ref="F7:AX7"/>
    <mergeCell ref="F8:H8"/>
    <mergeCell ref="I8:K8"/>
    <mergeCell ref="L8:N8"/>
    <mergeCell ref="O8:Q8"/>
    <mergeCell ref="R8:T8"/>
    <mergeCell ref="F6:H6"/>
    <mergeCell ref="AP6:AR6"/>
    <mergeCell ref="AA8:AC8"/>
    <mergeCell ref="AP8:AR8"/>
    <mergeCell ref="AA6:AC6"/>
    <mergeCell ref="AM6:AO6"/>
    <mergeCell ref="I6:K6"/>
    <mergeCell ref="AG8:AI8"/>
    <mergeCell ref="AJ8:AL8"/>
    <mergeCell ref="AY8:BA8"/>
    <mergeCell ref="BB8:BD8"/>
    <mergeCell ref="BE2:BG2"/>
    <mergeCell ref="BH2:BJ2"/>
    <mergeCell ref="BE4:BG4"/>
    <mergeCell ref="BH4:BJ4"/>
    <mergeCell ref="BE6:BG6"/>
    <mergeCell ref="BH6:BJ6"/>
    <mergeCell ref="BE8:BG8"/>
    <mergeCell ref="BH8:BJ8"/>
    <mergeCell ref="AY2:BA2"/>
    <mergeCell ref="BB2:BD2"/>
    <mergeCell ref="AY4:BA4"/>
    <mergeCell ref="BB4:BD4"/>
    <mergeCell ref="AY6:BA6"/>
    <mergeCell ref="BB6:BD6"/>
    <mergeCell ref="BK8:BM8"/>
    <mergeCell ref="BN8:BP8"/>
    <mergeCell ref="BQ2:BS2"/>
    <mergeCell ref="BT2:BV2"/>
    <mergeCell ref="BQ4:BS4"/>
    <mergeCell ref="BT4:BV4"/>
    <mergeCell ref="BQ6:BS6"/>
    <mergeCell ref="BT6:BV6"/>
    <mergeCell ref="BQ8:BS8"/>
    <mergeCell ref="BT8:BV8"/>
    <mergeCell ref="BK2:BM2"/>
    <mergeCell ref="BN2:BP2"/>
    <mergeCell ref="BK4:BM4"/>
    <mergeCell ref="BN4:BP4"/>
    <mergeCell ref="BK6:BM6"/>
    <mergeCell ref="BN6:BP6"/>
    <mergeCell ref="CF6:CH6"/>
    <mergeCell ref="CC8:CE8"/>
    <mergeCell ref="CF8:CH8"/>
    <mergeCell ref="BW2:BY2"/>
    <mergeCell ref="BZ2:CB2"/>
    <mergeCell ref="BW4:BY4"/>
    <mergeCell ref="BZ4:CB4"/>
    <mergeCell ref="BW6:BY6"/>
    <mergeCell ref="BZ6:CB6"/>
    <mergeCell ref="CI8:CK8"/>
    <mergeCell ref="CL8:CN8"/>
    <mergeCell ref="CO2:CQ2"/>
    <mergeCell ref="CR2:CT2"/>
    <mergeCell ref="CO4:CQ4"/>
    <mergeCell ref="CR4:CT4"/>
    <mergeCell ref="CO6:CQ6"/>
    <mergeCell ref="CR6:CT6"/>
    <mergeCell ref="CO8:CQ8"/>
    <mergeCell ref="CR8:CT8"/>
    <mergeCell ref="CI2:CK2"/>
    <mergeCell ref="CL2:CN2"/>
    <mergeCell ref="CI4:CK4"/>
    <mergeCell ref="CL4:CN4"/>
    <mergeCell ref="CI6:CK6"/>
    <mergeCell ref="CL6:CN6"/>
    <mergeCell ref="AY3:CQ3"/>
    <mergeCell ref="BW8:BY8"/>
    <mergeCell ref="BZ8:CB8"/>
    <mergeCell ref="CC2:CE2"/>
    <mergeCell ref="CF2:CH2"/>
    <mergeCell ref="CC4:CE4"/>
    <mergeCell ref="CF4:CH4"/>
    <mergeCell ref="CC6:CE6"/>
    <mergeCell ref="CU8:CW8"/>
    <mergeCell ref="CX8:CZ8"/>
    <mergeCell ref="DA2:DC2"/>
    <mergeCell ref="DD2:DF2"/>
    <mergeCell ref="DA4:DC4"/>
    <mergeCell ref="DD4:DF4"/>
    <mergeCell ref="DA6:DC6"/>
    <mergeCell ref="DD6:DF6"/>
    <mergeCell ref="DA8:DC8"/>
    <mergeCell ref="DD8:DF8"/>
    <mergeCell ref="CU2:CW2"/>
    <mergeCell ref="CX2:CZ2"/>
    <mergeCell ref="CU4:CW4"/>
    <mergeCell ref="CX4:CZ4"/>
    <mergeCell ref="CU6:CW6"/>
    <mergeCell ref="CX6:CZ6"/>
    <mergeCell ref="DG8:DI8"/>
    <mergeCell ref="DJ8:DL8"/>
    <mergeCell ref="DM2:DO2"/>
    <mergeCell ref="DP2:DR2"/>
    <mergeCell ref="DM4:DO4"/>
    <mergeCell ref="DP4:DR4"/>
    <mergeCell ref="DM6:DO6"/>
    <mergeCell ref="DP6:DR6"/>
    <mergeCell ref="DM8:DO8"/>
    <mergeCell ref="DP8:DR8"/>
    <mergeCell ref="DG2:DI2"/>
    <mergeCell ref="DJ2:DL2"/>
    <mergeCell ref="DG4:DI4"/>
    <mergeCell ref="DJ4:DL4"/>
    <mergeCell ref="DG6:DI6"/>
    <mergeCell ref="DJ6:DL6"/>
    <mergeCell ref="EB2:ED2"/>
    <mergeCell ref="DY4:EA4"/>
    <mergeCell ref="EB4:ED4"/>
    <mergeCell ref="DY6:EA6"/>
    <mergeCell ref="EB6:ED6"/>
    <mergeCell ref="DY8:EA8"/>
    <mergeCell ref="EB8:ED8"/>
    <mergeCell ref="DS2:DU2"/>
    <mergeCell ref="DV2:DX2"/>
    <mergeCell ref="DS4:DU4"/>
    <mergeCell ref="DV4:DX4"/>
    <mergeCell ref="DS6:DU6"/>
    <mergeCell ref="DV6:DX6"/>
    <mergeCell ref="EN2:EP2"/>
    <mergeCell ref="EN4:EP4"/>
    <mergeCell ref="EN6:EP6"/>
    <mergeCell ref="EN8:EP8"/>
    <mergeCell ref="EQ2:ES2"/>
    <mergeCell ref="EQ4:ES4"/>
    <mergeCell ref="EQ6:ES6"/>
    <mergeCell ref="EQ8:ES8"/>
    <mergeCell ref="EE8:EG8"/>
    <mergeCell ref="EH8:EJ8"/>
    <mergeCell ref="EK2:EM2"/>
    <mergeCell ref="EK4:EM4"/>
    <mergeCell ref="EK6:EM6"/>
    <mergeCell ref="EK8:EM8"/>
    <mergeCell ref="EE2:EG2"/>
    <mergeCell ref="EH2:EJ2"/>
    <mergeCell ref="EE4:EG4"/>
    <mergeCell ref="EH4:EJ4"/>
    <mergeCell ref="EE6:EG6"/>
    <mergeCell ref="EH6:EJ6"/>
    <mergeCell ref="CR3:EJ3"/>
    <mergeCell ref="DS8:DU8"/>
    <mergeCell ref="DV8:DX8"/>
    <mergeCell ref="DY2:EA2"/>
    <mergeCell ref="EZ2:FB2"/>
    <mergeCell ref="EZ4:FB4"/>
    <mergeCell ref="EZ6:FB6"/>
    <mergeCell ref="EZ8:FB8"/>
    <mergeCell ref="FC2:FE2"/>
    <mergeCell ref="FC4:FE4"/>
    <mergeCell ref="FC6:FE6"/>
    <mergeCell ref="FC8:FE8"/>
    <mergeCell ref="ET2:EV2"/>
    <mergeCell ref="ET4:EV4"/>
    <mergeCell ref="ET6:EV6"/>
    <mergeCell ref="ET8:EV8"/>
    <mergeCell ref="EW2:EY2"/>
    <mergeCell ref="EW4:EY4"/>
    <mergeCell ref="EW6:EY6"/>
    <mergeCell ref="EW8:EY8"/>
    <mergeCell ref="FO8:FQ8"/>
    <mergeCell ref="FF2:FH2"/>
    <mergeCell ref="FF4:FH4"/>
    <mergeCell ref="FF6:FH6"/>
    <mergeCell ref="FF8:FH8"/>
    <mergeCell ref="FI2:FK2"/>
    <mergeCell ref="FI4:FK4"/>
    <mergeCell ref="FI6:FK6"/>
    <mergeCell ref="FI8:FK8"/>
    <mergeCell ref="FX2:FZ2"/>
    <mergeCell ref="FX4:FZ4"/>
    <mergeCell ref="FX6:FZ6"/>
    <mergeCell ref="FX8:FZ8"/>
    <mergeCell ref="GA2:GC2"/>
    <mergeCell ref="GA4:GC4"/>
    <mergeCell ref="GA6:GC6"/>
    <mergeCell ref="GA8:GC8"/>
    <mergeCell ref="EK3:GC3"/>
    <mergeCell ref="FR2:FT2"/>
    <mergeCell ref="FR4:FT4"/>
    <mergeCell ref="FR6:FT6"/>
    <mergeCell ref="FR8:FT8"/>
    <mergeCell ref="FU2:FW2"/>
    <mergeCell ref="FU4:FW4"/>
    <mergeCell ref="FU6:FW6"/>
    <mergeCell ref="FU8:FW8"/>
    <mergeCell ref="FL2:FN2"/>
    <mergeCell ref="FL4:FN4"/>
    <mergeCell ref="FL6:FN6"/>
    <mergeCell ref="FL8:FN8"/>
    <mergeCell ref="FO2:FQ2"/>
    <mergeCell ref="FO4:FQ4"/>
    <mergeCell ref="FO6:FQ6"/>
    <mergeCell ref="GJ2:GL2"/>
    <mergeCell ref="GJ4:GL4"/>
    <mergeCell ref="GJ6:GL6"/>
    <mergeCell ref="GJ8:GL8"/>
    <mergeCell ref="GM2:GO2"/>
    <mergeCell ref="GM4:GO4"/>
    <mergeCell ref="GM6:GO6"/>
    <mergeCell ref="GM8:GO8"/>
    <mergeCell ref="GD2:GF2"/>
    <mergeCell ref="GD4:GF4"/>
    <mergeCell ref="GD6:GF6"/>
    <mergeCell ref="GD8:GF8"/>
    <mergeCell ref="GG2:GI2"/>
    <mergeCell ref="GG4:GI4"/>
    <mergeCell ref="GG6:GI6"/>
    <mergeCell ref="GG8:GI8"/>
    <mergeCell ref="GV2:GX2"/>
    <mergeCell ref="GV4:GX4"/>
    <mergeCell ref="GV6:GX6"/>
    <mergeCell ref="GV8:GX8"/>
    <mergeCell ref="GY2:HA2"/>
    <mergeCell ref="GY4:HA4"/>
    <mergeCell ref="GY6:HA6"/>
    <mergeCell ref="GY8:HA8"/>
    <mergeCell ref="GP2:GR2"/>
    <mergeCell ref="GP4:GR4"/>
    <mergeCell ref="GP6:GR6"/>
    <mergeCell ref="GP8:GR8"/>
    <mergeCell ref="GS2:GU2"/>
    <mergeCell ref="GS4:GU4"/>
    <mergeCell ref="GS6:GU6"/>
    <mergeCell ref="GS8:GU8"/>
    <mergeCell ref="HH8:HJ8"/>
    <mergeCell ref="HK2:HM2"/>
    <mergeCell ref="HK4:HM4"/>
    <mergeCell ref="HK6:HM6"/>
    <mergeCell ref="HK8:HM8"/>
    <mergeCell ref="HB2:HD2"/>
    <mergeCell ref="HB4:HD4"/>
    <mergeCell ref="HB6:HD6"/>
    <mergeCell ref="HB8:HD8"/>
    <mergeCell ref="HE2:HG2"/>
    <mergeCell ref="HE4:HG4"/>
    <mergeCell ref="HE6:HG6"/>
    <mergeCell ref="HE8:HG8"/>
    <mergeCell ref="HZ8:IB8"/>
    <mergeCell ref="IC2:IE2"/>
    <mergeCell ref="IC4:IE4"/>
    <mergeCell ref="IC6:IE6"/>
    <mergeCell ref="IC8:IE8"/>
    <mergeCell ref="HT2:HV2"/>
    <mergeCell ref="HT4:HV4"/>
    <mergeCell ref="HT6:HV6"/>
    <mergeCell ref="HT8:HV8"/>
    <mergeCell ref="HW2:HY2"/>
    <mergeCell ref="HW4:HY4"/>
    <mergeCell ref="HW6:HY6"/>
    <mergeCell ref="HW8:HY8"/>
    <mergeCell ref="GD3:HV3"/>
    <mergeCell ref="HN2:HP2"/>
    <mergeCell ref="HN4:HP4"/>
    <mergeCell ref="HN6:HP6"/>
    <mergeCell ref="HN8:HP8"/>
    <mergeCell ref="HQ2:HS2"/>
    <mergeCell ref="HQ4:HS4"/>
    <mergeCell ref="HQ6:HS6"/>
    <mergeCell ref="HQ8:HS8"/>
    <mergeCell ref="HH2:HJ2"/>
    <mergeCell ref="HH4:HJ4"/>
    <mergeCell ref="IL8:IN8"/>
    <mergeCell ref="IO2:IQ2"/>
    <mergeCell ref="IO4:IQ4"/>
    <mergeCell ref="IO6:IQ6"/>
    <mergeCell ref="IO8:IQ8"/>
    <mergeCell ref="IF2:IH2"/>
    <mergeCell ref="IF4:IH4"/>
    <mergeCell ref="IF6:IH6"/>
    <mergeCell ref="IF8:IH8"/>
    <mergeCell ref="II2:IK2"/>
    <mergeCell ref="II4:IK4"/>
    <mergeCell ref="II6:IK6"/>
    <mergeCell ref="II8:IK8"/>
    <mergeCell ref="IR4:IT4"/>
    <mergeCell ref="IU4:IW4"/>
    <mergeCell ref="IX4:IZ4"/>
    <mergeCell ref="JA4:JC4"/>
    <mergeCell ref="JD4:JF4"/>
    <mergeCell ref="JG4:JI4"/>
    <mergeCell ref="JJ4:JL4"/>
    <mergeCell ref="JM4:JO4"/>
    <mergeCell ref="IR2:IT2"/>
    <mergeCell ref="IU2:IW2"/>
    <mergeCell ref="IX2:IZ2"/>
    <mergeCell ref="JA2:JC2"/>
    <mergeCell ref="JD2:JF2"/>
    <mergeCell ref="HW3:JO3"/>
    <mergeCell ref="IL2:IN2"/>
    <mergeCell ref="IL4:IN4"/>
    <mergeCell ref="HZ2:IB2"/>
    <mergeCell ref="HZ4:IB4"/>
    <mergeCell ref="IR8:IT8"/>
    <mergeCell ref="IU8:IW8"/>
    <mergeCell ref="IX8:IZ8"/>
    <mergeCell ref="JA8:JC8"/>
    <mergeCell ref="JD8:JF8"/>
    <mergeCell ref="JG8:JI8"/>
    <mergeCell ref="JJ8:JL8"/>
    <mergeCell ref="JM8:JO8"/>
    <mergeCell ref="IR6:IT6"/>
    <mergeCell ref="IU6:IW6"/>
    <mergeCell ref="IX6:IZ6"/>
    <mergeCell ref="JA6:JC6"/>
    <mergeCell ref="JD6:JF6"/>
    <mergeCell ref="KK4:KM4"/>
    <mergeCell ref="JP2:JR2"/>
    <mergeCell ref="JS2:JU2"/>
    <mergeCell ref="JV2:JX2"/>
    <mergeCell ref="JY2:KA2"/>
    <mergeCell ref="KB2:KD2"/>
    <mergeCell ref="JG6:JI6"/>
    <mergeCell ref="JJ6:JL6"/>
    <mergeCell ref="JM6:JO6"/>
    <mergeCell ref="JG2:JI2"/>
    <mergeCell ref="JJ2:JL2"/>
    <mergeCell ref="JM2:JO2"/>
    <mergeCell ref="KE6:KG6"/>
    <mergeCell ref="KH6:KJ6"/>
    <mergeCell ref="KK6:KM6"/>
    <mergeCell ref="JP8:JR8"/>
    <mergeCell ref="JS8:JU8"/>
    <mergeCell ref="JV8:JX8"/>
    <mergeCell ref="JY8:KA8"/>
    <mergeCell ref="KB8:KD8"/>
    <mergeCell ref="KE8:KG8"/>
    <mergeCell ref="KH8:KJ8"/>
    <mergeCell ref="KK8:KM8"/>
    <mergeCell ref="JP6:JR6"/>
    <mergeCell ref="JS6:JU6"/>
    <mergeCell ref="JV6:JX6"/>
    <mergeCell ref="JY6:KA6"/>
    <mergeCell ref="KB6:KD6"/>
    <mergeCell ref="KN4:KP4"/>
    <mergeCell ref="KQ4:KS4"/>
    <mergeCell ref="KT4:KV4"/>
    <mergeCell ref="KW4:KY4"/>
    <mergeCell ref="KZ4:LB4"/>
    <mergeCell ref="LC4:LE4"/>
    <mergeCell ref="LF4:LH4"/>
    <mergeCell ref="LI4:LK4"/>
    <mergeCell ref="KN2:KP2"/>
    <mergeCell ref="KQ2:KS2"/>
    <mergeCell ref="KT2:KV2"/>
    <mergeCell ref="KW2:KY2"/>
    <mergeCell ref="KZ2:LB2"/>
    <mergeCell ref="JP3:LH3"/>
    <mergeCell ref="KE2:KG2"/>
    <mergeCell ref="KH2:KJ2"/>
    <mergeCell ref="KK2:KM2"/>
    <mergeCell ref="JP4:JR4"/>
    <mergeCell ref="JS4:JU4"/>
    <mergeCell ref="JV4:JX4"/>
    <mergeCell ref="JY4:KA4"/>
    <mergeCell ref="KB4:KD4"/>
    <mergeCell ref="KE4:KG4"/>
    <mergeCell ref="KH4:KJ4"/>
    <mergeCell ref="KN8:KP8"/>
    <mergeCell ref="KQ8:KS8"/>
    <mergeCell ref="KT8:KV8"/>
    <mergeCell ref="KW8:KY8"/>
    <mergeCell ref="KZ8:LB8"/>
    <mergeCell ref="LC8:LE8"/>
    <mergeCell ref="LF8:LH8"/>
    <mergeCell ref="LI8:LK8"/>
    <mergeCell ref="KN6:KP6"/>
    <mergeCell ref="KQ6:KS6"/>
    <mergeCell ref="KT6:KV6"/>
    <mergeCell ref="KW6:KY6"/>
    <mergeCell ref="KZ6:LB6"/>
    <mergeCell ref="MD4:MF4"/>
    <mergeCell ref="MG4:MI4"/>
    <mergeCell ref="LL2:LN2"/>
    <mergeCell ref="LO2:LQ2"/>
    <mergeCell ref="LR2:LT2"/>
    <mergeCell ref="LU2:LW2"/>
    <mergeCell ref="LX2:LZ2"/>
    <mergeCell ref="LC6:LE6"/>
    <mergeCell ref="LF6:LH6"/>
    <mergeCell ref="LI6:LK6"/>
    <mergeCell ref="LC2:LE2"/>
    <mergeCell ref="LF2:LH2"/>
    <mergeCell ref="LI2:LK2"/>
    <mergeCell ref="MA6:MC6"/>
    <mergeCell ref="MD6:MF6"/>
    <mergeCell ref="MG6:MI6"/>
    <mergeCell ref="LL8:LN8"/>
    <mergeCell ref="LO8:LQ8"/>
    <mergeCell ref="LR8:LT8"/>
    <mergeCell ref="LU8:LW8"/>
    <mergeCell ref="LX8:LZ8"/>
    <mergeCell ref="MA8:MC8"/>
    <mergeCell ref="MD8:MF8"/>
    <mergeCell ref="MG8:MI8"/>
    <mergeCell ref="LL6:LN6"/>
    <mergeCell ref="LO6:LQ6"/>
    <mergeCell ref="LR6:LT6"/>
    <mergeCell ref="LU6:LW6"/>
    <mergeCell ref="LX6:LZ6"/>
    <mergeCell ref="MY2:NA2"/>
    <mergeCell ref="NB2:ND2"/>
    <mergeCell ref="MJ4:ML4"/>
    <mergeCell ref="MM4:MO4"/>
    <mergeCell ref="MP4:MR4"/>
    <mergeCell ref="MS4:MU4"/>
    <mergeCell ref="MV4:MX4"/>
    <mergeCell ref="MY4:NA4"/>
    <mergeCell ref="NB4:ND4"/>
    <mergeCell ref="MJ2:ML2"/>
    <mergeCell ref="MM2:MO2"/>
    <mergeCell ref="MP2:MR2"/>
    <mergeCell ref="MS2:MU2"/>
    <mergeCell ref="MV2:MX2"/>
    <mergeCell ref="LI3:NA3"/>
    <mergeCell ref="MA2:MC2"/>
    <mergeCell ref="MD2:MF2"/>
    <mergeCell ref="MG2:MI2"/>
    <mergeCell ref="LL4:LN4"/>
    <mergeCell ref="LO4:LQ4"/>
    <mergeCell ref="LR4:LT4"/>
    <mergeCell ref="LU4:LW4"/>
    <mergeCell ref="LX4:LZ4"/>
    <mergeCell ref="MA4:MC4"/>
    <mergeCell ref="MJ8:ML8"/>
    <mergeCell ref="MM8:MO8"/>
    <mergeCell ref="MP8:MR8"/>
    <mergeCell ref="MS8:MU8"/>
    <mergeCell ref="MV8:MX8"/>
    <mergeCell ref="MY8:NA8"/>
    <mergeCell ref="NB8:ND8"/>
    <mergeCell ref="MJ6:ML6"/>
    <mergeCell ref="MM6:MO6"/>
    <mergeCell ref="MP6:MR6"/>
    <mergeCell ref="MS6:MU6"/>
    <mergeCell ref="MV6:MX6"/>
    <mergeCell ref="NE8:NG8"/>
    <mergeCell ref="NH8:NJ8"/>
    <mergeCell ref="NK8:NM8"/>
    <mergeCell ref="NN8:NP8"/>
    <mergeCell ref="NQ8:NS8"/>
    <mergeCell ref="NT8:NV8"/>
    <mergeCell ref="NW8:NY8"/>
    <mergeCell ref="NE6:NG6"/>
    <mergeCell ref="NH6:NJ6"/>
    <mergeCell ref="NK6:NM6"/>
    <mergeCell ref="NN6:NP6"/>
    <mergeCell ref="NQ6:NS6"/>
    <mergeCell ref="OL4:ON4"/>
    <mergeCell ref="OO4:OQ4"/>
    <mergeCell ref="OR4:OT4"/>
    <mergeCell ref="NZ2:OB2"/>
    <mergeCell ref="OC2:OE2"/>
    <mergeCell ref="OF2:OH2"/>
    <mergeCell ref="OI2:OK2"/>
    <mergeCell ref="OL2:ON2"/>
    <mergeCell ref="NB3:OT3"/>
    <mergeCell ref="NT2:NV2"/>
    <mergeCell ref="NW2:NY2"/>
    <mergeCell ref="NE4:NG4"/>
    <mergeCell ref="NH4:NJ4"/>
    <mergeCell ref="NK4:NM4"/>
    <mergeCell ref="NN4:NP4"/>
    <mergeCell ref="NQ4:NS4"/>
    <mergeCell ref="NT4:NV4"/>
    <mergeCell ref="NW4:NY4"/>
    <mergeCell ref="NE2:NG2"/>
    <mergeCell ref="NH2:NJ2"/>
    <mergeCell ref="NK2:NM2"/>
    <mergeCell ref="NN2:NP2"/>
    <mergeCell ref="NQ2:NS2"/>
    <mergeCell ref="PA2:PC2"/>
    <mergeCell ref="PD2:PF2"/>
    <mergeCell ref="OU4:OW4"/>
    <mergeCell ref="OX4:OZ4"/>
    <mergeCell ref="PA4:PC4"/>
    <mergeCell ref="PD4:PF4"/>
    <mergeCell ref="NZ8:OB8"/>
    <mergeCell ref="OC8:OE8"/>
    <mergeCell ref="OF8:OH8"/>
    <mergeCell ref="OI8:OK8"/>
    <mergeCell ref="OL8:ON8"/>
    <mergeCell ref="OO8:OQ8"/>
    <mergeCell ref="OR8:OT8"/>
    <mergeCell ref="NZ6:OB6"/>
    <mergeCell ref="OC6:OE6"/>
    <mergeCell ref="OF6:OH6"/>
    <mergeCell ref="OI6:OK6"/>
    <mergeCell ref="OL6:ON6"/>
    <mergeCell ref="OO2:OQ2"/>
    <mergeCell ref="OR2:OT2"/>
    <mergeCell ref="NZ4:OB4"/>
    <mergeCell ref="OC4:OE4"/>
    <mergeCell ref="OF4:OH4"/>
    <mergeCell ref="OI4:OK4"/>
    <mergeCell ref="QB2:QD2"/>
    <mergeCell ref="QB4:QD4"/>
    <mergeCell ref="QB6:QD6"/>
    <mergeCell ref="PS6:PU6"/>
    <mergeCell ref="PV6:PX6"/>
    <mergeCell ref="PY6:QA6"/>
    <mergeCell ref="PS8:PU8"/>
    <mergeCell ref="PV8:PX8"/>
    <mergeCell ref="PY8:QA8"/>
    <mergeCell ref="PS2:PU2"/>
    <mergeCell ref="PV2:PX2"/>
    <mergeCell ref="PY2:QA2"/>
    <mergeCell ref="PS4:PU4"/>
    <mergeCell ref="PV4:PX4"/>
    <mergeCell ref="PY4:QA4"/>
    <mergeCell ref="QB8:QD8"/>
    <mergeCell ref="OU3:QD3"/>
    <mergeCell ref="PG6:PI6"/>
    <mergeCell ref="PJ6:PL6"/>
    <mergeCell ref="PM6:PO6"/>
    <mergeCell ref="PP6:PR6"/>
    <mergeCell ref="PG8:PI8"/>
    <mergeCell ref="PJ8:PL8"/>
    <mergeCell ref="PM8:PO8"/>
    <mergeCell ref="PP8:PR8"/>
    <mergeCell ref="OU8:OW8"/>
    <mergeCell ref="OX8:OZ8"/>
    <mergeCell ref="PA8:PC8"/>
    <mergeCell ref="PD8:PF8"/>
    <mergeCell ref="OO6:OQ6"/>
    <mergeCell ref="OR6:OT6"/>
    <mergeCell ref="AY1:CQ1"/>
    <mergeCell ref="AY5:CQ5"/>
    <mergeCell ref="AY7:CQ7"/>
    <mergeCell ref="PG2:PI2"/>
    <mergeCell ref="PJ2:PL2"/>
    <mergeCell ref="PM2:PO2"/>
    <mergeCell ref="PP2:PR2"/>
    <mergeCell ref="PG4:PI4"/>
    <mergeCell ref="PJ4:PL4"/>
    <mergeCell ref="PM4:PO4"/>
    <mergeCell ref="PP4:PR4"/>
    <mergeCell ref="OU6:OW6"/>
    <mergeCell ref="OX6:OZ6"/>
    <mergeCell ref="PA6:PC6"/>
    <mergeCell ref="PD6:PF6"/>
    <mergeCell ref="OU2:OW2"/>
    <mergeCell ref="OX2:OZ2"/>
  </mergeCells>
  <pageMargins left="0.31496062992125984" right="0.31496062992125984" top="0.35433070866141736" bottom="0.35433070866141736" header="0.31496062992125984" footer="0.31496062992125984"/>
  <pageSetup paperSize="9" scale="50" pageOrder="overThenDown" orientation="landscape" blackAndWhite="1" horizontalDpi="200" verticalDpi="200" r:id="rId1"/>
  <headerFooter>
    <oddFooter>&amp;L&amp;F в/ч 75764&amp;C&amp;D &amp;T&amp;RСтраница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Обложка</vt:lpstr>
      <vt:lpstr>Меню</vt:lpstr>
      <vt:lpstr>Проверка норм</vt:lpstr>
      <vt:lpstr>Лист3 учет</vt:lpstr>
      <vt:lpstr>Сводная</vt:lpstr>
      <vt:lpstr>Акт</vt:lpstr>
      <vt:lpstr>инфо</vt:lpstr>
      <vt:lpstr>Лист3 печать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Olga</dc:creator>
  <cp:lastModifiedBy>Рутковская Ольга Александровна</cp:lastModifiedBy>
  <cp:lastPrinted>2023-08-09T13:24:30Z</cp:lastPrinted>
  <dcterms:created xsi:type="dcterms:W3CDTF">2023-07-10T19:03:29Z</dcterms:created>
  <dcterms:modified xsi:type="dcterms:W3CDTF">2023-09-04T13:28:46Z</dcterms:modified>
</cp:coreProperties>
</file>